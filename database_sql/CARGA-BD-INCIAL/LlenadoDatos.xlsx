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05" windowWidth="29040" windowHeight="15720" tabRatio="600" firstSheet="0" activeTab="6" autoFilterDateGrouping="1"/>
  </bookViews>
  <sheets>
    <sheet name="Instrucciones" sheetId="1" state="visible" r:id="rId1"/>
    <sheet name="Catalogos" sheetId="2" state="visible" r:id="rId2"/>
    <sheet name="Empresa" sheetId="3" state="visible" r:id="rId3"/>
    <sheet name="Almacenes" sheetId="4" state="visible" r:id="rId4"/>
    <sheet name="Gases" sheetId="5" state="visible" r:id="rId5"/>
    <sheet name="TiposBalon" sheetId="6" state="visible" r:id="rId6"/>
    <sheet name="Clientes" sheetId="7" state="visible" r:id="rId7"/>
    <sheet name="Plantas" sheetId="8" state="visible" r:id="rId8"/>
    <sheet name="Contactos" sheetId="9" state="visible" r:id="rId9"/>
    <sheet name="Direcciones" sheetId="10" state="visible" r:id="rId10"/>
    <sheet name="Balones" sheetId="11" state="visible" r:id="rId11"/>
    <sheet name="Script SQL" sheetId="12" state="visible" r:id="rId12"/>
  </sheets>
  <definedNames>
    <definedName name="_xlnm._FilterDatabase" localSheetId="1" hidden="1">'Catalogos'!$A$2:$Z$53</definedName>
    <definedName name="_xlnm._FilterDatabase" localSheetId="6" hidden="1">'Clientes'!$B$4:$O$261</definedName>
    <definedName name="_xlnm._FilterDatabase" localSheetId="8" hidden="1">'Contactos'!$A$4:$M$499</definedName>
    <definedName name="_xlnm._FilterDatabase" localSheetId="9" hidden="1">'Direcciones'!$A$4:$M$497</definedName>
    <definedName name="_xlnm._FilterDatabase" localSheetId="10" hidden="1">'Balones'!$A$4:$AA$322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7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theme="1"/>
      <sz val="16"/>
    </font>
    <font>
      <name val="Arial"/>
      <color rgb="FF555555"/>
      <sz val="12"/>
    </font>
    <font>
      <name val="Arial"/>
      <b val="1"/>
      <color rgb="FF1F4E78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b val="1"/>
      <color theme="1"/>
      <sz val="14"/>
    </font>
    <font>
      <name val="Arial"/>
      <i val="1"/>
      <color rgb="FF555555"/>
      <sz val="9"/>
    </font>
    <font>
      <name val="Arial"/>
      <color rgb="FF0000FF"/>
      <sz val="10"/>
    </font>
    <font>
      <name val="Calibri"/>
      <color theme="1"/>
      <sz val="11"/>
      <scheme val="minor"/>
    </font>
    <font>
      <name val="Arial"/>
      <i val="1"/>
      <color theme="1"/>
      <sz val="10"/>
    </font>
    <font>
      <name val="Courier New"/>
      <color theme="1"/>
      <sz val="9"/>
    </font>
    <font>
      <name val="Arial"/>
      <b val="1"/>
      <color rgb="FF0000FF"/>
      <sz val="10"/>
    </font>
    <font>
      <name val="Calibri"/>
      <color rgb="FF000000"/>
      <sz val="9"/>
    </font>
    <font>
      <name val="Courier New"/>
      <color rgb="FF375623"/>
      <sz val="9"/>
    </font>
    <font>
      <name val="Calibri"/>
      <color rgb="FF000000"/>
      <sz val="11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i val="1"/>
      <color rgb="00666666"/>
      <sz val="8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  <font>
      <name val="Arial"/>
      <sz val="12"/>
    </font>
    <font>
      <name val="Arial"/>
      <b val="1"/>
      <sz val="11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1F4E78"/>
        <bgColor rgb="FF1F4E78"/>
      </patternFill>
    </fill>
    <fill>
      <patternFill patternType="solid">
        <fgColor rgb="FF7F7F7F"/>
        <bgColor rgb="FF7F7F7F"/>
      </patternFill>
    </fill>
    <fill>
      <patternFill patternType="solid">
        <fgColor rgb="FF375623"/>
        <bgColor rgb="FF375623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0"/>
      </patternFill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FFFF00"/>
      </patternFill>
    </fill>
    <fill>
      <patternFill patternType="solid">
        <fgColor rgb="0037562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11" fillId="0" borderId="1"/>
  </cellStyleXfs>
  <cellXfs count="8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9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10" fillId="0" borderId="2" pivotButton="0" quotePrefix="0" xfId="0"/>
    <xf numFmtId="0" fontId="7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0" borderId="2" pivotButton="0" quotePrefix="0" xfId="0"/>
    <xf numFmtId="49" fontId="10" fillId="0" borderId="2" pivotButton="0" quotePrefix="0" xfId="0"/>
    <xf numFmtId="0" fontId="11" fillId="0" borderId="0" pivotButton="0" quotePrefix="0" xfId="0"/>
    <xf numFmtId="0" fontId="12" fillId="7" borderId="2" pivotButton="0" quotePrefix="0" xfId="0"/>
    <xf numFmtId="49" fontId="10" fillId="0" borderId="2" applyAlignment="1" pivotButton="0" quotePrefix="0" xfId="0">
      <alignment horizontal="left" vertical="center"/>
    </xf>
    <xf numFmtId="0" fontId="10" fillId="0" borderId="0" pivotButton="0" quotePrefix="0" xfId="0"/>
    <xf numFmtId="0" fontId="13" fillId="7" borderId="2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1" fillId="0" borderId="2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7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164" fontId="10" fillId="0" borderId="2" applyAlignment="1" pivotButton="0" quotePrefix="0" xfId="0">
      <alignment horizontal="center"/>
    </xf>
    <xf numFmtId="164" fontId="12" fillId="7" borderId="2" pivotButton="0" quotePrefix="0" xfId="0"/>
    <xf numFmtId="49" fontId="10" fillId="0" borderId="2" applyAlignment="1" pivotButton="0" quotePrefix="0" xfId="0">
      <alignment horizontal="center"/>
    </xf>
    <xf numFmtId="0" fontId="15" fillId="10" borderId="3" pivotButton="0" quotePrefix="0" xfId="0"/>
    <xf numFmtId="164" fontId="10" fillId="0" borderId="2" pivotButton="0" quotePrefix="0" xfId="0"/>
    <xf numFmtId="49" fontId="10" fillId="0" borderId="0" pivotButton="0" quotePrefix="0" xfId="0"/>
    <xf numFmtId="0" fontId="13" fillId="7" borderId="0" applyAlignment="1" pivotButton="0" quotePrefix="0" xfId="0">
      <alignment vertical="top"/>
    </xf>
    <xf numFmtId="49" fontId="1" fillId="0" borderId="2" pivotButton="0" quotePrefix="0" xfId="0"/>
    <xf numFmtId="0" fontId="1" fillId="7" borderId="2" applyAlignment="1" pivotButton="0" quotePrefix="0" xfId="0">
      <alignment vertical="top"/>
    </xf>
    <xf numFmtId="49" fontId="10" fillId="0" borderId="2" applyAlignment="1" pivotButton="0" quotePrefix="0" xfId="0">
      <alignment horizontal="center" vertical="center"/>
    </xf>
    <xf numFmtId="49" fontId="10" fillId="0" borderId="2" applyAlignment="1" pivotButton="0" quotePrefix="0" xfId="0">
      <alignment horizontal="left"/>
    </xf>
    <xf numFmtId="0" fontId="5" fillId="0" borderId="0" pivotButton="0" quotePrefix="0" xfId="0"/>
    <xf numFmtId="0" fontId="16" fillId="0" borderId="0" pivotButton="0" quotePrefix="0" xfId="0"/>
    <xf numFmtId="0" fontId="13" fillId="0" borderId="0" pivotButton="0" quotePrefix="0" xfId="0"/>
    <xf numFmtId="49" fontId="17" fillId="0" borderId="3" applyAlignment="1" pivotButton="0" quotePrefix="0" xfId="0">
      <alignment horizontal="left"/>
    </xf>
    <xf numFmtId="0" fontId="12" fillId="8" borderId="2" pivotButton="0" quotePrefix="0" xfId="0"/>
    <xf numFmtId="49" fontId="10" fillId="8" borderId="2" pivotButton="0" quotePrefix="0" xfId="0"/>
    <xf numFmtId="0" fontId="10" fillId="8" borderId="2" pivotButton="0" quotePrefix="0" xfId="0"/>
    <xf numFmtId="164" fontId="10" fillId="8" borderId="2" pivotButton="0" quotePrefix="0" xfId="0"/>
    <xf numFmtId="164" fontId="12" fillId="8" borderId="2" pivotButton="0" quotePrefix="0" xfId="0"/>
    <xf numFmtId="0" fontId="13" fillId="8" borderId="2" applyAlignment="1" pivotButton="0" quotePrefix="0" xfId="0">
      <alignment vertical="top"/>
    </xf>
    <xf numFmtId="0" fontId="11" fillId="8" borderId="0" pivotButton="0" quotePrefix="0" xfId="0"/>
    <xf numFmtId="49" fontId="10" fillId="11" borderId="2" pivotButton="0" quotePrefix="0" xfId="0"/>
    <xf numFmtId="49" fontId="10" fillId="8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9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9" fillId="0" borderId="1" pivotButton="0" quotePrefix="0" xfId="0"/>
    <xf numFmtId="0" fontId="8" fillId="0" borderId="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23" fillId="0" borderId="0" pivotButton="0" quotePrefix="0" xfId="0"/>
    <xf numFmtId="0" fontId="26" fillId="2" borderId="1" applyAlignment="1" pivotButton="0" quotePrefix="0" xfId="0">
      <alignment vertical="top" wrapText="1"/>
    </xf>
    <xf numFmtId="0" fontId="26" fillId="3" borderId="1" applyAlignment="1" pivotButton="0" quotePrefix="0" xfId="0">
      <alignment vertical="top" wrapText="1"/>
    </xf>
    <xf numFmtId="0" fontId="26" fillId="4" borderId="1" applyAlignment="1" pivotButton="0" quotePrefix="0" xfId="0">
      <alignment vertical="top" wrapText="1"/>
    </xf>
    <xf numFmtId="0" fontId="18" fillId="12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13" borderId="4" applyAlignment="1" pivotButton="0" quotePrefix="0" xfId="0">
      <alignment vertical="center" wrapText="1"/>
    </xf>
    <xf numFmtId="0" fontId="21" fillId="14" borderId="4" applyAlignment="1" pivotButton="0" quotePrefix="0" xfId="0">
      <alignment vertical="center" wrapText="1"/>
    </xf>
    <xf numFmtId="0" fontId="22" fillId="15" borderId="4" applyAlignment="1" pivotButton="0" quotePrefix="0" xfId="0">
      <alignment vertical="center" wrapText="1"/>
    </xf>
    <xf numFmtId="0" fontId="21" fillId="16" borderId="4" applyAlignment="1" pivotButton="0" quotePrefix="0" xfId="0">
      <alignment vertical="center" wrapText="1"/>
    </xf>
    <xf numFmtId="0" fontId="23" fillId="0" borderId="4" pivotButton="0" quotePrefix="0" xfId="0"/>
  </cellXfs>
  <cellStyles count="1">
    <cellStyle name="Normal" xfId="0" builtinId="0"/>
  </cellStyles>
  <dxfs count="11"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None</author>
  </authors>
  <commentList>
    <comment ref="A2" authorId="0" shapeId="0">
      <text>
        <t>======
ID#AAACFl_M01Y
Author    (2026-09-14 21:22:17)
gen_lista_opciones · lista TipoDocumento
NO EDITAR: valores fijos del sistema.</t>
      </text>
    </comment>
    <comment ref="B2" authorId="0" shapeId="0">
      <text>
        <t>======
ID#AAACFl_M02A
Author    (2026-09-14 21:22:17)
gen_lista_opciones · lista TipoPersona
NO EDITAR: valores fijos del sistema.</t>
      </text>
    </comment>
    <comment ref="C2" authorId="0" shapeId="0">
      <text>
        <t>======
ID#AAACFl_M02E
Author    (2026-09-14 21:22:17)
gen_lista_opciones · lista TipoCliente
NO EDITAR: valores fijos del sistema.</t>
      </text>
    </comment>
    <comment ref="D2" authorId="0" shapeId="0">
      <text>
        <t>======
ID#AAACFl_M00g
Author    (2026-09-14 21:22:17)
gen_lista_opciones · lista PropietarioBalon
NO EDITAR: valores fijos del sistema.</t>
      </text>
    </comment>
    <comment ref="E2" authorId="0" shapeId="0">
      <text>
        <t>======
ID#AAACFl_M00Q
Author    (2026-09-14 21:22:17)
gen_lista_opciones · lista EstadoBalon
NO EDITAR: valores fijos del sistema.</t>
      </text>
    </comment>
    <comment ref="F2" authorId="0" shapeId="0">
      <text>
        <t>======
ID#AAACFl_M03Q
Author    (2026-09-14 21:22:17)
gen_lista_opciones · lista MarcaCilindro
NO EDITAR: valores fijos del sistema.</t>
      </text>
    </comment>
    <comment ref="G2" authorId="0" shapeId="0">
      <text>
        <t>======
ID#AAACFl_M03o
Author    (2026-09-14 21:22:17)
gen_lista_opciones · lista OrganoInspectorCilindro
NO EDITAR: valores fijos del sistema.</t>
      </text>
    </comment>
    <comment ref="H2" authorId="0" shapeId="0">
      <text>
        <t>======
ID#AAACFl_M03I
Author    (2026-09-14 21:22:17)
pro_producto.nombre con es_gas = TRUE · la empresa debe poner el nombre EXACTO del producto en el sistema
EDITABLE: la empresa puede agregar valores debajo.</t>
      </text>
    </comment>
    <comment ref="I2" authorId="0" shapeId="0">
      <text>
        <t>======
ID#AAACFl_M02g
Author    (2026-09-14 21:22:17)
bal_tipo_balon.nombre · la empresa DEBE completar con sus tipos reales (nombre exacto)
EDITABLE: la empresa puede agregar valores debajo.</t>
      </text>
    </comment>
    <comment ref="J2" authorId="0" shapeId="0">
      <text>
        <t>======
ID#AAACFl_M00I
Author    (2026-09-14 21:22:17)
gen_almacen.nombre · la empresa puede agregar sus almacenes (nombre exacto)
EDITABLE: la empresa puede agregar valores debajo.</t>
      </text>
    </comment>
    <comment ref="K2" authorId="0" shapeId="0">
      <text>
        <t>======
ID#AAACFl_M01A
Author    (2026-09-14 21:22:17)
Valores lógicos
NO EDITAR: valores fijos del sistema.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4" authorId="0" shapeId="0">
      <text>
        <t>======
ID#AAACFl_M004
Author    (2026-09-14 21:22:17)
Se calcula solo. Debe decir OK.</t>
      </text>
    </comment>
    <comment ref="B4" authorId="0" shapeId="0">
      <text>
        <t>======
ID#AAACFl_M020
Author    (2026-09-14 21:22:17)
DNI para personas, RUC para empresas.</t>
      </text>
    </comment>
    <comment ref="C4" authorId="0" shapeId="0">
      <text>
        <t>======
ID#AAACFl_M00A
Author    (2026-09-14 21:22:17)
DNI 8 dígitos · RUC 11 dígitos. Escribir como texto (conserva ceros a la izquierda). ÚNICO.</t>
      </text>
    </comment>
    <comment ref="D4" authorId="0" shapeId="0">
      <text>
        <t>======
ID#AAACFl_M02c
Author    (2026-09-14 21:22:17)
OBLIGATORIO si es empresa (persona jurídica). Dejar vacío si es persona natural.</t>
      </text>
    </comment>
    <comment ref="E4" authorId="0" shapeId="0">
      <text>
        <t>======
ID#AAACFl_M038
Author    (2026-09-14 21:22:17)
OBLIGATORIO si es persona natural. Dejar vacío si es empresa.</t>
      </text>
    </comment>
    <comment ref="F4" authorId="0" shapeId="0">
      <text>
        <t>======
ID#AAACFl_M010
Author    (2026-09-14 21:22:17)
Solo personas naturales.</t>
      </text>
    </comment>
    <comment ref="G4" authorId="0" shapeId="0">
      <text>
        <t>======
ID#AAACFl_M000
Author    (2026-09-14 21:22:17)
Solo personas naturales.</t>
      </text>
    </comment>
    <comment ref="H4" authorId="0" shapeId="0">
      <text>
        <t>======
ID#AAACFl_M0zo
Author    (2026-09-14 21:22:17)
Persona Natural o Persona Jurídica.</t>
      </text>
    </comment>
    <comment ref="I4" authorId="0" shapeId="0">
      <text>
        <t>======
ID#AAACFl_M018
Author    (2026-09-14 21:22:17)
Cliente · Paciente · Proveedor (planta de recarga, ej. Swiss Gas) · Cliente / Proveedor.</t>
      </text>
    </comment>
    <comment ref="J4" authorId="0" shapeId="0">
      <text>
        <t>======
ID#AAACFl_M0zw
Author    (2026-09-14 21:22:17)
Dirección principal de entrega / fiscal. Se registra en cli_direcciones como principal.</t>
      </text>
    </comment>
    <comment ref="K4" authorId="0" shapeId="0">
      <text>
        <t>======
ID#AAACFl_M02Y
Author    (2026-09-14 21:22:17)
Referencia para llegar (frente a…, a media cuadra de…).</t>
      </text>
    </comment>
    <comment ref="L4" authorId="0" shapeId="0">
      <text>
        <t>======
ID#AAACFl_M03w
Author    (2026-09-14 21:22:17)
Celular o fijo.</t>
      </text>
    </comment>
    <comment ref="M4" authorId="0" shapeId="0">
      <text>
        <t>======
ID#AAACFl_M03g
Author    (2026-09-14 21:22:17)
Correo (para envío de comprobantes).</t>
      </text>
    </comment>
    <comment ref="N4" authorId="0" shapeId="0">
      <text>
        <t>======
ID#AAACFl_M03A
Author    (2026-09-14 21:22:17)
Código propio de la empresa. ÚNICO. 'CVARIOS' está reservado.</t>
      </text>
    </comment>
    <comment ref="O4" authorId="0" shapeId="0">
      <text>
        <t>======
ID#AAACFl_M0z4
Author    (2026-09-14 21:22:17)
Notas libres.</t>
      </text>
    </comment>
    <comment ref="P4" authorId="0" shapeId="0">
      <text>
        <t>======
ID#AAACFl_M01w
Author    (2026-09-14 21:22:17)
Generado automáticamente. Llama a cli_crear_clientes.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4" authorId="0" shapeId="0">
      <text>
        <t>======
ID#AAACFl_M01o
Author    (2026-09-14 21:22:17)
OBLIGATORIO. N° documento del cliente tal como está en la hoja Clientes.</t>
      </text>
    </comment>
    <comment ref="B4" authorId="0" shapeId="0">
      <text>
        <t>======
ID#AAACFl_M01s
Author    (2026-09-14 21:22:17)
Se calcula solo desde la hoja Clientes.</t>
      </text>
    </comment>
    <comment ref="C4" authorId="0" shapeId="0">
      <text>
        <t>======
ID#AAACFl_M02s
Author    (2026-09-14 21:22:17)
OBLIGATORIO. Nombre(s) del contacto.</t>
      </text>
    </comment>
    <comment ref="F4" authorId="0" shapeId="0">
      <text>
        <t>======
ID#AAACFl_M014
Author    (2026-09-14 21:22:17)
Principal.</t>
      </text>
    </comment>
    <comment ref="J4" authorId="0" shapeId="0">
      <text>
        <t>======
ID#AAACFl_M01c
Author    (2026-09-14 21:22:17)
Dirección del contacto si es distinta a la del cliente.</t>
      </text>
    </comment>
    <comment ref="K4" authorId="0" shapeId="0">
      <text>
        <t>======
ID#AAACFl_M01g
Author    (2026-09-14 21:22:17)
SI para el contacto principal del cliente (solo uno por cliente).</t>
      </text>
    </comment>
    <comment ref="L4" authorId="0" shapeId="0">
      <text>
        <t>======
ID#AAACFl_M03U
Author    (2026-09-14 21:22:17)
Se calcula solo. Debe decir OK.</t>
      </text>
    </comment>
    <comment ref="M4" authorId="0" shapeId="0">
      <text>
        <t>======
ID#AAACFl_M0zs
Author    (2026-09-14 21:22:17)
Generado automáticamente. INSERT en cli_contacto.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4" authorId="0" shapeId="0">
      <text>
        <t>======
ID#AAACFl_M02I
Author    (2026-09-14 21:22:17)
OBLIGATORIO. N° documento del cliente tal como está en la hoja Clientes.</t>
      </text>
    </comment>
    <comment ref="B4" authorId="0" shapeId="0">
      <text>
        <t>======
ID#AAACFl_M00o
Author    (2026-09-14 21:22:17)
Se calcula solo desde la hoja Clientes.</t>
      </text>
    </comment>
    <comment ref="C4" authorId="0" shapeId="0">
      <text>
        <t>======
ID#AAACFl_M01M
Author    (2026-09-14 21:22:17)
Etiqueta: Sucursal Tambo, Almacén, Casa, etc.</t>
      </text>
    </comment>
    <comment ref="D4" authorId="0" shapeId="0">
      <text>
        <t>======
ID#AAACFl_M00U
Author    (2026-09-14 21:22:17)
OBLIGATORIO. Calle, número, urbanización.</t>
      </text>
    </comment>
    <comment ref="E4" authorId="0" shapeId="0">
      <text>
        <t>======
ID#AAACFl_M030
Author    (2026-09-14 21:22:17)
Referencia para llegar.</t>
      </text>
    </comment>
    <comment ref="F4" authorId="0" shapeId="0">
      <text>
        <t>======
ID#AAACFl_M02U
Author    (2026-09-14 21:22:17)
Nombre exacto como en el sistema (ej. JUNIN).</t>
      </text>
    </comment>
    <comment ref="G4" authorId="0" shapeId="0">
      <text>
        <t>======
ID#AAACFl_M02o
Author    (2026-09-14 21:22:17)
Nombre exacto (ej. HUANCAYO).</t>
      </text>
    </comment>
    <comment ref="H4" authorId="0" shapeId="0">
      <text>
        <t>======
ID#AAACFl_M02M
Author    (2026-09-14 21:22:17)
Nombre exacto (ej. EL TAMBO).</t>
      </text>
    </comment>
    <comment ref="I4" authorId="0" shapeId="0">
      <text>
        <t>======
ID#AAACFl_M00Y
Author    (2026-09-14 21:22:17)
Decimal, ej. -12.065. Se puede obtener de Google Maps.</t>
      </text>
    </comment>
    <comment ref="J4" authorId="0" shapeId="0">
      <text>
        <t>======
ID#AAACFl_M01U
Author    (2026-09-14 21:22:17)
Decimal, ej. -75.204.</t>
      </text>
    </comment>
    <comment ref="K4" authorId="0" shapeId="0">
      <text>
        <t>======
ID#AAACFl_M024
Author    (2026-09-14 21:22:17)
Normalmente NO (la principal viene de la hoja Clientes).</t>
      </text>
    </comment>
    <comment ref="L4" authorId="0" shapeId="0">
      <text>
        <t>======
ID#AAACFl_M034
Author    (2026-09-14 21:22:17)
Se calcula solo. Debe decir OK.</t>
      </text>
    </comment>
    <comment ref="M4" authorId="0" shapeId="0">
      <text>
        <t>======
ID#AAACFl_M00M
Author    (2026-09-14 21:22:17)
Generado automáticamente. INSERT en cli_direcciones.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B4" authorId="0" shapeId="0">
      <text>
        <t>======
ID#AAACFl_M008
Author    (2026-09-14 21:22:17)
Se calcula solo. Debe decir OK.</t>
      </text>
    </comment>
    <comment ref="C4" authorId="0" shapeId="0">
      <text>
        <t>======
ID#AAACFl_M02k
Author    (2026-09-14 21:22:17)
OBLIGATORIO. Código pintado/grabado en el cilindro. ÚNICO.</t>
      </text>
    </comment>
    <comment ref="E4" authorId="0" shapeId="0">
      <text>
        <t>======
ID#AAACFl_M03E
Author    (2026-09-14 21:22:17)
OBLIGATORIO. Gas que contiene el cilindro.</t>
      </text>
    </comment>
    <comment ref="F4" authorId="0" shapeId="0">
      <text>
        <t>======
ID#AAACFl_M03k
Author    (2026-09-14 21:22:17)
EMPRESA = envase de la empresa · CLIENTE = envase del cliente · PLANTA = envase del proveedor · PROPIA.</t>
      </text>
    </comment>
    <comment ref="G4" authorId="0" shapeId="0">
      <text>
        <t>======
ID#AAACFl_M03c
Author    (2026-09-14 21:22:17)
OBLIGATORIO si Propietario = CLIENTE o PLANTA. N° documento de la hoja Clientes.</t>
      </text>
    </comment>
    <comment ref="H4" authorId="0" shapeId="0">
      <text>
        <t>======
ID#AAACFl_M0z0
Author    (2026-09-14 21:22:17)
Se calcula solo desde la hoja Clientes. Si sale 'NO EXISTE', el documento no está registrado.</t>
      </text>
    </comment>
    <comment ref="I4" authorId="0" shapeId="0">
      <text>
        <t>======
ID#AAACFl_M02w
Author    (2026-09-14 21:22:17)
DISPONIBLE si está en almacén · EN_PODER_CLIENTE / PRESTADO_CLIENTE si lo tiene un cliente.</t>
      </text>
    </comment>
    <comment ref="J4" authorId="0" shapeId="0">
      <text>
        <t>======
ID#AAACFl_M00s
Author    (2026-09-14 21:22:17)
Llenar si el cilindro está físicamente en un almacén de la empresa.</t>
      </text>
    </comment>
    <comment ref="K4" authorId="0" shapeId="0">
      <text>
        <t>======
ID#AAACFl_M03s
Author    (2026-09-14 21:22:17)
Llenar si el cilindro está físicamente en poder de un cliente. N° documento de la hoja Clientes.</t>
      </text>
    </comment>
    <comment ref="L4" authorId="0" shapeId="0">
      <text>
        <t>======
ID#AAACFl_M00w
Author    (2026-09-14 21:22:17)
Se calcula solo desde la hoja Clientes.</t>
      </text>
    </comment>
    <comment ref="M4" authorId="0" shapeId="0">
      <text>
        <t>======
ID#AAACFl_M00k
Author    (2026-09-14 21:22:17)
4 dígitos, del lomo del cilindro. Ej: 2018.</t>
      </text>
    </comment>
    <comment ref="N4" authorId="0" shapeId="0">
      <text>
        <t>======
ID#AAACFl_M01Q
Author    (2026-09-14 21:22:17)
1 a 12.</t>
      </text>
    </comment>
    <comment ref="O4" authorId="0" shapeId="0">
      <text>
        <t>======
ID#AAACFl_M00c
Author    (2026-09-14 21:22:17)
Fecha (dd/mm/aaaa). Si no se conoce, dejar vacío y el sistema usa fabricación + 5 años.</t>
      </text>
    </comment>
    <comment ref="P4" authorId="0" shapeId="0">
      <text>
        <t>======
ID#AAACFl_M01E
Author    (2026-09-14 21:22:17)
Se calcula solo: última PH + 5 años, o fabricación + 5 años.</t>
      </text>
    </comment>
    <comment ref="Q4" authorId="0" shapeId="0">
      <text>
        <t>======
ID#AAACFl_M02Q
Author    (2026-09-14 21:22:17)
Si se deja vacío el sistema copia el Código balón.</t>
      </text>
    </comment>
    <comment ref="R4" authorId="0" shapeId="0">
      <text>
        <t>======
ID#AAACFl_M0z8
Author    (2026-09-14 21:22:17)
Marca del fabricante.</t>
      </text>
    </comment>
    <comment ref="S4" authorId="0" shapeId="0">
      <text>
        <t>======
ID#AAACFl_M03Y
Author    (2026-09-14 21:22:17)
Quién certificó la PH. NO_APLICA si no tiene.</t>
      </text>
    </comment>
    <comment ref="T4" authorId="0" shapeId="0">
      <text>
        <t>======
ID#AAACFl_M0zg
Author    (2026-09-14 21:22:17)
Número.</t>
      </text>
    </comment>
    <comment ref="U4" authorId="0" shapeId="0">
      <text>
        <t>======
ID#AAACFl_M00E
Author    (2026-09-14 21:22:17)
Texto libre (CGA 540, CGA 510…).</t>
      </text>
    </comment>
    <comment ref="V4" authorId="0" shapeId="0">
      <text>
        <t>======
ID#AAACFl_M01I
Author    (2026-09-14 21:22:17)
Referencia del libro físico de control.</t>
      </text>
    </comment>
    <comment ref="W4" authorId="0" shapeId="0">
      <text>
        <t>======
ID#AAACFl_M0zk
Author    (2026-09-14 21:22:17)
Número de página.</t>
      </text>
    </comment>
    <comment ref="X4" authorId="0" shapeId="0">
      <text>
        <t>======
ID#AAACFl_M01k
Author    (2026-09-14 21:22:17)
Notas libres.</t>
      </text>
    </comment>
    <comment ref="Y4" authorId="0" shapeId="0">
      <text>
        <t>======
ID#AAACFl_M028
Author    (2026-09-14 21:22:17)
Generado automáticamente. Llama a bal_crear_balon.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10" defaultColWidth="14.42578125" defaultRowHeight="15" customHeight="1"/>
  <cols>
    <col width="4" customWidth="1" style="64" min="1" max="1"/>
    <col width="30" customWidth="1" style="64" min="2" max="2"/>
    <col width="100" customWidth="1" style="64" min="3" max="3"/>
    <col width="8.5703125" customWidth="1" style="64" min="4" max="26"/>
  </cols>
  <sheetData>
    <row r="1" ht="20.25" customHeight="1" s="64">
      <c r="A1" s="1" t="inlineStr">
        <is>
          <t>|</t>
        </is>
      </c>
      <c r="B1" s="2" t="inlineStr">
        <is>
          <t>Plantilla de carga inicial · Sistema Sarita</t>
        </is>
      </c>
      <c r="C1" s="1" t="n"/>
    </row>
    <row r="2" ht="15.75" customHeight="1" s="64">
      <c r="A2" s="1" t="n"/>
      <c r="B2" s="68" t="inlineStr">
        <is>
          <t>Clientes, Contactos, Direcciones, Prerequisitos de balones y Balones / Cilindros</t>
        </is>
      </c>
      <c r="C2" s="1" t="n"/>
    </row>
    <row r="3">
      <c r="A3" s="1" t="n"/>
      <c r="B3" s="1" t="n"/>
      <c r="C3" s="1" t="n"/>
    </row>
    <row r="4">
      <c r="A4" s="1" t="n"/>
      <c r="B4" s="69" t="inlineStr">
        <is>
          <t>ORDEN DE LLENADO</t>
        </is>
      </c>
      <c r="C4" s="1" t="n"/>
    </row>
    <row r="5" ht="25.5" customHeight="1" s="64">
      <c r="A5" s="1" t="n"/>
      <c r="B5" s="70" t="inlineStr">
        <is>
          <t>1. Catalogos</t>
        </is>
      </c>
      <c r="C5" s="71" t="inlineStr">
        <is>
          <t>Listas fijas (azul) + Gas/TipoBalon/Almacen (amarillo) de referencia.</t>
        </is>
      </c>
    </row>
    <row r="6" ht="38.25" customHeight="1" s="64">
      <c r="A6" s="1" t="n"/>
      <c r="B6" s="70" t="inlineStr">
        <is>
          <t>2. Empresa</t>
        </is>
      </c>
      <c r="C6" s="71" t="inlineStr">
        <is>
          <t>gen_empresa + gen_sucursal (hoja Empresa).</t>
        </is>
      </c>
    </row>
    <row r="7" ht="25.5" customHeight="1" s="64">
      <c r="A7" s="1" t="n"/>
      <c r="B7" s="70" t="inlineStr">
        <is>
          <t>3. Almacenes</t>
        </is>
      </c>
      <c r="C7" s="71" t="inlineStr">
        <is>
          <t>gen_almacen vinculados a sucursal PRINCIPAL.</t>
        </is>
      </c>
    </row>
    <row r="8">
      <c r="A8" s="1" t="n"/>
      <c r="B8" s="70" t="inlineStr">
        <is>
          <t>4. Gases</t>
        </is>
      </c>
      <c r="C8" s="71" t="inlineStr">
        <is>
          <t>pro_producto con es_gas=TRUE.</t>
        </is>
      </c>
    </row>
    <row r="9" ht="25.5" customHeight="1" s="64">
      <c r="A9" s="1" t="n"/>
      <c r="B9" s="70" t="inlineStr">
        <is>
          <t>5. TiposBalon</t>
        </is>
      </c>
      <c r="C9" s="71" t="inlineStr">
        <is>
          <t>bal_tipo_balon vinculados al gas.</t>
        </is>
      </c>
    </row>
    <row r="10">
      <c r="A10" s="1" t="n"/>
      <c r="B10" s="72" t="inlineStr">
        <is>
          <t>6. Clientes</t>
        </is>
      </c>
      <c r="C10" s="73" t="inlineStr">
        <is>
          <t>cli_clientes. El N° documento es llave para el resto.</t>
        </is>
      </c>
    </row>
    <row r="11">
      <c r="A11" s="1" t="n"/>
      <c r="B11" s="72" t="inlineStr">
        <is>
          <t>7. Plantas</t>
        </is>
      </c>
      <c r="C11" s="73" t="inlineStr">
        <is>
          <t>Upgrade/alta de proveedores usados como Propietario=PLANTA.</t>
        </is>
      </c>
    </row>
    <row r="12">
      <c r="A12" s="1" t="n"/>
      <c r="B12" s="74" t="inlineStr">
        <is>
          <t>8. Contactos</t>
        </is>
      </c>
      <c r="C12" s="71" t="inlineStr">
        <is>
          <t>Opcional. Varios por cliente.</t>
        </is>
      </c>
    </row>
    <row r="13">
      <c r="A13" s="1" t="n"/>
      <c r="B13" s="75" t="inlineStr">
        <is>
          <t>9. Direcciones</t>
        </is>
      </c>
      <c r="C13" s="71" t="inlineStr">
        <is>
          <t>Direcciones adicionales (la principal viene de Clientes).</t>
        </is>
      </c>
    </row>
    <row r="14">
      <c r="A14" s="1" t="n"/>
      <c r="B14" s="76" t="inlineStr">
        <is>
          <t>10. Balones</t>
        </is>
      </c>
      <c r="C14" s="71" t="inlineStr">
        <is>
          <t>Cilindros. Requiere prerequisitos + clientes cargados.</t>
        </is>
      </c>
    </row>
    <row r="15">
      <c r="A15" s="1" t="n"/>
      <c r="B15" s="10" t="inlineStr">
        <is>
          <t>Verde</t>
        </is>
      </c>
      <c r="C15" s="6" t="inlineStr">
        <is>
          <t>AUTOMÁTICO — no escribir; se calcula solo (verificación de clientes, próxima PH, chequeo de la fila).</t>
        </is>
      </c>
      <c r="H15" s="1" t="n"/>
    </row>
    <row r="16" ht="25.5" customHeight="1" s="64">
      <c r="A16" s="1" t="n"/>
      <c r="B16" s="11" t="inlineStr">
        <is>
          <t>Negro</t>
        </is>
      </c>
      <c r="C16" s="6" t="inlineStr">
        <is>
          <t>SQL — sentencia generada automáticamente a partir de la fila (solo cuando Chequeo = OK). Para uso del área de sistemas.</t>
        </is>
      </c>
    </row>
    <row r="17">
      <c r="A17" s="1" t="n"/>
      <c r="B17" s="1" t="n"/>
      <c r="C17" s="1" t="n"/>
    </row>
    <row r="18">
      <c r="A18" s="1" t="n"/>
      <c r="B18" s="4" t="inlineStr">
        <is>
          <t>REGLAS</t>
        </is>
      </c>
      <c r="C18" s="1" t="n"/>
    </row>
    <row r="19">
      <c r="A19" s="1" t="n"/>
      <c r="B19" s="29" t="inlineStr">
        <is>
          <t>Texto azul</t>
        </is>
      </c>
      <c r="C19" s="6" t="inlineStr">
        <is>
          <t>Son las celdas donde la empresa escribe. Las celdas con fondo gris son fórmulas: no tocar.</t>
        </is>
      </c>
    </row>
    <row r="20">
      <c r="A20" s="1" t="n"/>
      <c r="B20" s="30" t="inlineStr">
        <is>
          <t>Filas crema</t>
        </is>
      </c>
      <c r="C20" s="6" t="inlineStr">
        <is>
          <t>Las primeras filas de cada hoja son EJEMPLOS. Reemplácelas con datos reales.</t>
        </is>
      </c>
    </row>
    <row r="21" ht="15.75" customHeight="1" s="64">
      <c r="A21" s="1" t="n"/>
      <c r="B21" s="5" t="inlineStr">
        <is>
          <t>Columna Chequeo</t>
        </is>
      </c>
      <c r="C21" s="6" t="inlineStr">
        <is>
          <t>Debe decir OK en verde. Si sale rojo, indica qué falta o qué está duplicado. Mientras no diga OK, la columna SQL queda vacía.</t>
        </is>
      </c>
    </row>
    <row r="22" ht="15.75" customHeight="1" s="64">
      <c r="A22" s="1" t="n"/>
      <c r="B22" s="5" t="inlineStr">
        <is>
          <t>N° documento</t>
        </is>
      </c>
      <c r="C22" s="6" t="inlineStr">
        <is>
          <t>Escribirlo como texto: DNI 8 dígitos, RUC 11 dígitos. No se puede repetir.</t>
        </is>
      </c>
    </row>
    <row r="23" ht="15.75" customHeight="1" s="64">
      <c r="A23" s="1" t="n"/>
      <c r="B23" s="5" t="inlineStr">
        <is>
          <t>Código balón</t>
        </is>
      </c>
      <c r="C23" s="6" t="inlineStr">
        <is>
          <t>Es el código pintado/grabado en el cilindro. No se puede repetir.</t>
        </is>
      </c>
    </row>
    <row r="24" ht="15.75" customHeight="1" s="64">
      <c r="A24" s="1" t="n"/>
      <c r="B24" s="5" t="inlineStr">
        <is>
          <t>Propietario del balón</t>
        </is>
      </c>
      <c r="C24" s="6" t="inlineStr">
        <is>
          <t>EMPRESA: envase de la empresa que se presta a clientes · CLIENTE: envase que es del cliente · PLANTA: envase del proveedor de recarga (indicar el documento del proveedor) · PROPIA.</t>
        </is>
      </c>
    </row>
    <row r="25" ht="15.75" customHeight="1" s="64">
      <c r="A25" s="1" t="n"/>
      <c r="B25" s="5" t="inlineStr">
        <is>
          <t>Dónde está el balón</t>
        </is>
      </c>
      <c r="C25" s="6" t="inlineStr">
        <is>
          <t>Llene Almacén si está en la empresa, o Doc. cliente donde está si lo tiene un cliente. No ambos.</t>
        </is>
      </c>
    </row>
    <row r="26" ht="15.75" customHeight="1" s="64">
      <c r="A26" s="1" t="n"/>
      <c r="B26" s="5" t="inlineStr">
        <is>
          <t>Prueba hidrostática</t>
        </is>
      </c>
      <c r="C26" s="6" t="inlineStr">
        <is>
          <t>Si conoce la fecha de la última PH, anótela. Si no, con año y mes de fabricación el sistema calcula la próxima (vigencia 5 años).</t>
        </is>
      </c>
    </row>
    <row r="27" ht="15.75" customHeight="1" s="64">
      <c r="A27" s="1" t="n"/>
      <c r="B27" s="5" t="inlineStr">
        <is>
          <t>Fechas</t>
        </is>
      </c>
      <c r="C27" s="6" t="inlineStr">
        <is>
          <t>Formato dd/mm/aaaa.</t>
        </is>
      </c>
    </row>
    <row r="28" ht="15.75" customHeight="1" s="64">
      <c r="A28" s="1" t="n"/>
      <c r="B28" s="5" t="inlineStr">
        <is>
          <t>No borrar</t>
        </is>
      </c>
      <c r="C28" s="6" t="inlineStr">
        <is>
          <t>No elimine ni renombre hojas ni columnas: las fórmulas y el SQL dependen de ellas.</t>
        </is>
      </c>
    </row>
    <row r="29" hidden="1" ht="15.75" customHeight="1" s="64">
      <c r="A29" s="1" t="n"/>
      <c r="B29" s="1" t="n"/>
      <c r="C29" s="1" t="n"/>
    </row>
    <row r="30" hidden="1" ht="15.75" customHeight="1" s="64">
      <c r="A30" s="1" t="n"/>
      <c r="B30" s="4" t="inlineStr">
        <is>
          <t>PARA SISTEMAS: CARGA A LA BD</t>
        </is>
      </c>
      <c r="C30" s="1" t="n"/>
    </row>
    <row r="31" hidden="1" ht="15.75" customHeight="1" s="64">
      <c r="A31" s="1" t="n"/>
      <c r="B31" s="5" t="inlineStr">
        <is>
          <t>Hoja Script SQL</t>
        </is>
      </c>
      <c r="C31" s="6" t="inlineStr">
        <is>
          <t>Reúne, en orden, la columna SQL de todas las hojas (Clientes → Contactos → Direcciones → Balones). Seleccione la columna A completa, copie y pegue en psql / DBeaver / pgAdmin sobre la BD destino. Las filas vacías se ignoran.</t>
        </is>
      </c>
    </row>
    <row r="32" hidden="1" ht="15.75" customHeight="1" s="64">
      <c r="A32" s="1" t="n"/>
      <c r="B32" s="5" t="inlineStr">
        <is>
          <t>Requisitos previos</t>
        </is>
      </c>
      <c r="C32" s="6" t="inlineStr">
        <is>
          <t>Deben existir en la BD: las listas de gen_lista_opciones (seeds), los productos gas en pro_producto (es_gas = TRUE) con el mismo nombre que Catalogos!Gas, los tipos en bal_tipo_balon con el mismo nombre que Catalogos!TipoBalon, y los almacenes en gen_almacen con el mismo nombre que Catalogos!Almacen. Los nombres se comparan sin distinguir mayúsculas.</t>
        </is>
      </c>
    </row>
    <row r="33" hidden="1" ht="15.75" customHeight="1" s="64">
      <c r="A33" s="1" t="n"/>
      <c r="B33" s="5" t="inlineStr">
        <is>
          <t>Cómo funciona</t>
        </is>
      </c>
      <c r="C33" s="6" t="inlineStr">
        <is>
          <t>Clientes y Balones llaman a las funciones cli_crear_clientes / bal_crear_balon (aplican todas las validaciones del sistema y devuelven JSON: si aparece "error" en el resultado, esa fila no se cargó). Contactos y Direcciones son INSERT directos protegidos con NOT EXISTS para no duplicar. Los IDs se resuelven por nombre / N° documento con subconsultas, por eso el orden importa.</t>
        </is>
      </c>
    </row>
    <row r="34" hidden="1" ht="15.75" customHeight="1" s="64">
      <c r="A34" s="1" t="n"/>
      <c r="B34" s="5" t="inlineStr">
        <is>
          <t>Idempotencia</t>
        </is>
      </c>
      <c r="C34" s="6" t="inlineStr">
        <is>
          <t>Clientes y Balones rechazan duplicados por documento / código (la función devuelve error y no inserta). Contactos y Direcciones no se insertan si ya existe uno igual para ese cliente. Se puede volver a ejecutar el script sin duplicar datos.</t>
        </is>
      </c>
    </row>
    <row r="35" hidden="1" ht="15.75" customHeight="1" s="64">
      <c r="A35" s="1" t="n"/>
      <c r="B35" s="5" t="inlineStr">
        <is>
          <t>Transacción</t>
        </is>
      </c>
      <c r="C35" s="6" t="inlineStr">
        <is>
          <t>Recomendado envolver todo en BEGIN; … COMMIT; y revisar los resultados antes de confirmar.</t>
        </is>
      </c>
    </row>
    <row r="36" hidden="1" ht="15.75" customHeight="1" s="64">
      <c r="A36" s="1" t="n"/>
      <c r="B36" s="1" t="n"/>
      <c r="C36" s="1" t="n"/>
    </row>
    <row r="37" hidden="1" ht="15.75" customHeight="1" s="64">
      <c r="A37" s="1" t="n"/>
      <c r="B37" s="5" t="inlineStr">
        <is>
          <t>CORRESPONDENCIA CON LA BD</t>
        </is>
      </c>
      <c r="C37" s="6" t="inlineStr">
        <is>
          <t>La fila gris sobre cada encabezado indica el campo de la base de datos al que corresponde la columna.</t>
        </is>
      </c>
    </row>
    <row r="38" ht="15.75" customHeight="1" s="64">
      <c r="A38" s="1" t="n"/>
      <c r="B38" s="1" t="n"/>
      <c r="C38" s="1" t="n"/>
    </row>
    <row r="39" ht="15.75" customHeight="1" s="64">
      <c r="A39" s="1" t="n"/>
      <c r="B39" s="1" t="n"/>
      <c r="C39" s="1" t="n"/>
    </row>
    <row r="40" ht="15.75" customHeight="1" s="64">
      <c r="A40" s="1" t="n"/>
      <c r="B40" s="1" t="n"/>
      <c r="C40" s="1" t="n"/>
    </row>
    <row r="41" ht="15.75" customHeight="1" s="64">
      <c r="A41" s="1" t="n"/>
      <c r="B41" s="1" t="n"/>
      <c r="C41" s="1" t="n"/>
    </row>
    <row r="42" ht="15.75" customHeight="1" s="64">
      <c r="A42" s="1" t="n"/>
      <c r="B42" s="1" t="n"/>
      <c r="C42" s="1" t="n"/>
    </row>
    <row r="43" ht="15.75" customHeight="1" s="64">
      <c r="A43" s="1" t="n"/>
      <c r="B43" s="1" t="n"/>
      <c r="C43" s="1" t="n"/>
    </row>
    <row r="44" ht="15.75" customHeight="1" s="64">
      <c r="A44" s="1" t="n"/>
      <c r="B44" s="1" t="n"/>
      <c r="C44" s="1" t="n"/>
    </row>
    <row r="45" ht="15.75" customHeight="1" s="64">
      <c r="A45" s="1" t="n"/>
      <c r="B45" s="1" t="n"/>
      <c r="C45" s="1" t="n"/>
    </row>
    <row r="46" ht="15.75" customHeight="1" s="64">
      <c r="A46" s="1" t="n"/>
      <c r="B46" s="1" t="n"/>
      <c r="C46" s="1" t="n"/>
    </row>
    <row r="47" ht="15.75" customHeight="1" s="64">
      <c r="A47" s="1" t="n"/>
      <c r="B47" s="1" t="n"/>
      <c r="C47" s="1" t="n"/>
    </row>
    <row r="48" ht="15.75" customHeight="1" s="64">
      <c r="A48" s="1" t="n"/>
      <c r="B48" s="1" t="n"/>
      <c r="C48" s="1" t="n"/>
    </row>
    <row r="49" ht="15.75" customHeight="1" s="64">
      <c r="A49" s="1" t="n"/>
      <c r="B49" s="1" t="n"/>
      <c r="C49" s="1" t="n"/>
    </row>
    <row r="50" ht="15.75" customHeight="1" s="64">
      <c r="A50" s="1" t="n"/>
      <c r="B50" s="1" t="n"/>
      <c r="C50" s="1" t="n"/>
    </row>
    <row r="51" ht="15.75" customHeight="1" s="64">
      <c r="A51" s="1" t="n"/>
      <c r="B51" s="1" t="n"/>
      <c r="C51" s="1" t="n"/>
    </row>
    <row r="52" ht="15.75" customHeight="1" s="64">
      <c r="A52" s="1" t="n"/>
      <c r="B52" s="1" t="n"/>
      <c r="C52" s="1" t="n"/>
    </row>
    <row r="53" ht="15.75" customHeight="1" s="64">
      <c r="A53" s="1" t="n"/>
      <c r="B53" s="1" t="n"/>
      <c r="C53" s="1" t="n"/>
    </row>
    <row r="54" ht="15.75" customHeight="1" s="64">
      <c r="A54" s="1" t="n"/>
      <c r="B54" s="1" t="n"/>
      <c r="C54" s="1" t="n"/>
    </row>
    <row r="55" ht="15.75" customHeight="1" s="64">
      <c r="A55" s="1" t="n"/>
      <c r="B55" s="1" t="n"/>
      <c r="C55" s="1" t="n"/>
    </row>
    <row r="56" ht="15.75" customHeight="1" s="64">
      <c r="A56" s="1" t="n"/>
      <c r="B56" s="1" t="n"/>
      <c r="C56" s="1" t="n"/>
    </row>
    <row r="57" ht="15.75" customHeight="1" s="64">
      <c r="A57" s="1" t="n"/>
      <c r="B57" s="1" t="n"/>
      <c r="C57" s="1" t="n"/>
    </row>
    <row r="58" ht="15.75" customHeight="1" s="64">
      <c r="A58" s="1" t="n"/>
      <c r="B58" s="1" t="n"/>
      <c r="C58" s="1" t="n"/>
    </row>
    <row r="59" ht="15.75" customHeight="1" s="64">
      <c r="A59" s="1" t="n"/>
      <c r="B59" s="1" t="n"/>
      <c r="C59" s="1" t="n"/>
    </row>
    <row r="60" ht="15.75" customHeight="1" s="64">
      <c r="A60" s="1" t="n"/>
      <c r="B60" s="1" t="n"/>
      <c r="C60" s="1" t="n"/>
    </row>
    <row r="61" ht="15.75" customHeight="1" s="64">
      <c r="A61" s="1" t="n"/>
      <c r="B61" s="1" t="n"/>
      <c r="C61" s="1" t="n"/>
    </row>
    <row r="62" ht="15.75" customHeight="1" s="64">
      <c r="A62" s="1" t="n"/>
      <c r="B62" s="1" t="n"/>
      <c r="C62" s="1" t="n"/>
    </row>
    <row r="63" ht="15.75" customHeight="1" s="64">
      <c r="A63" s="1" t="n"/>
      <c r="B63" s="1" t="n"/>
      <c r="C63" s="1" t="n"/>
    </row>
    <row r="64" ht="15.75" customHeight="1" s="64">
      <c r="A64" s="1" t="n"/>
      <c r="B64" s="1" t="n"/>
      <c r="C64" s="1" t="n"/>
    </row>
    <row r="65" ht="15.75" customHeight="1" s="64">
      <c r="A65" s="1" t="n"/>
      <c r="B65" s="1" t="n"/>
      <c r="C65" s="1" t="n"/>
    </row>
    <row r="66" ht="15.75" customHeight="1" s="64">
      <c r="A66" s="1" t="n"/>
      <c r="B66" s="1" t="n"/>
      <c r="C66" s="1" t="n"/>
    </row>
    <row r="67" ht="15.75" customHeight="1" s="64">
      <c r="A67" s="1" t="n"/>
      <c r="B67" s="1" t="n"/>
      <c r="C67" s="1" t="n"/>
    </row>
    <row r="68" ht="15.75" customHeight="1" s="64">
      <c r="A68" s="1" t="n"/>
      <c r="B68" s="1" t="n"/>
      <c r="C68" s="1" t="n"/>
    </row>
    <row r="69" ht="15.75" customHeight="1" s="64">
      <c r="A69" s="1" t="n"/>
      <c r="B69" s="1" t="n"/>
      <c r="C69" s="1" t="n"/>
    </row>
    <row r="70" ht="15.75" customHeight="1" s="64">
      <c r="A70" s="1" t="n"/>
      <c r="B70" s="1" t="n"/>
      <c r="C70" s="1" t="n"/>
    </row>
    <row r="71" ht="15.75" customHeight="1" s="64">
      <c r="A71" s="1" t="n"/>
      <c r="B71" s="1" t="n"/>
      <c r="C71" s="1" t="n"/>
    </row>
    <row r="72" ht="15.75" customHeight="1" s="64">
      <c r="A72" s="1" t="n"/>
      <c r="B72" s="1" t="n"/>
      <c r="C72" s="1" t="n"/>
    </row>
    <row r="73" ht="15.75" customHeight="1" s="64">
      <c r="A73" s="1" t="n"/>
      <c r="B73" s="1" t="n"/>
      <c r="C73" s="1" t="n"/>
    </row>
    <row r="74" ht="15.75" customHeight="1" s="64">
      <c r="A74" s="1" t="n"/>
      <c r="B74" s="1" t="n"/>
      <c r="C74" s="1" t="n"/>
    </row>
    <row r="75" ht="15.75" customHeight="1" s="64">
      <c r="A75" s="1" t="n"/>
      <c r="B75" s="1" t="n"/>
      <c r="C75" s="1" t="n"/>
    </row>
    <row r="76" ht="15.75" customHeight="1" s="64">
      <c r="A76" s="1" t="n"/>
      <c r="B76" s="1" t="n"/>
      <c r="C76" s="1" t="n"/>
    </row>
    <row r="77" ht="15.75" customHeight="1" s="64">
      <c r="A77" s="1" t="n"/>
      <c r="B77" s="1" t="n"/>
      <c r="C77" s="1" t="n"/>
    </row>
    <row r="78" ht="15.75" customHeight="1" s="64">
      <c r="A78" s="1" t="n"/>
      <c r="B78" s="1" t="n"/>
      <c r="C78" s="1" t="n"/>
    </row>
    <row r="79" ht="15.75" customHeight="1" s="64">
      <c r="A79" s="1" t="n"/>
      <c r="B79" s="1" t="n"/>
      <c r="C79" s="1" t="n"/>
    </row>
    <row r="80" ht="15.75" customHeight="1" s="64">
      <c r="A80" s="1" t="n"/>
      <c r="B80" s="1" t="n"/>
      <c r="C80" s="1" t="n"/>
    </row>
    <row r="81" ht="15.75" customHeight="1" s="64">
      <c r="A81" s="1" t="n"/>
      <c r="B81" s="1" t="n"/>
      <c r="C81" s="1" t="n"/>
    </row>
    <row r="82" ht="15.75" customHeight="1" s="64">
      <c r="A82" s="1" t="n"/>
      <c r="B82" s="1" t="n"/>
      <c r="C82" s="1" t="n"/>
    </row>
    <row r="83" ht="15.75" customHeight="1" s="64">
      <c r="A83" s="1" t="n"/>
      <c r="B83" s="1" t="n"/>
      <c r="C83" s="1" t="n"/>
    </row>
    <row r="84" ht="15.75" customHeight="1" s="64">
      <c r="A84" s="1" t="n"/>
      <c r="B84" s="1" t="n"/>
      <c r="C84" s="1" t="n"/>
    </row>
    <row r="85" ht="15.75" customHeight="1" s="64">
      <c r="A85" s="1" t="n"/>
      <c r="B85" s="1" t="n"/>
      <c r="C85" s="1" t="n"/>
    </row>
    <row r="86" ht="15.75" customHeight="1" s="64">
      <c r="A86" s="1" t="n"/>
      <c r="B86" s="1" t="n"/>
      <c r="C86" s="1" t="n"/>
    </row>
    <row r="87" ht="15.75" customHeight="1" s="64">
      <c r="A87" s="1" t="n"/>
      <c r="B87" s="1" t="n"/>
      <c r="C87" s="1" t="n"/>
    </row>
    <row r="88" ht="15.75" customHeight="1" s="64">
      <c r="A88" s="1" t="n"/>
      <c r="B88" s="1" t="n"/>
      <c r="C88" s="1" t="n"/>
    </row>
    <row r="89" ht="15.75" customHeight="1" s="64">
      <c r="A89" s="1" t="n"/>
      <c r="B89" s="1" t="n"/>
      <c r="C89" s="1" t="n"/>
    </row>
    <row r="90" ht="15.75" customHeight="1" s="64">
      <c r="A90" s="1" t="n"/>
      <c r="B90" s="1" t="n"/>
      <c r="C90" s="1" t="n"/>
    </row>
    <row r="91" ht="15.75" customHeight="1" s="64">
      <c r="A91" s="1" t="n"/>
      <c r="B91" s="1" t="n"/>
      <c r="C91" s="1" t="n"/>
    </row>
    <row r="92" ht="15.75" customHeight="1" s="64">
      <c r="A92" s="1" t="n"/>
      <c r="B92" s="1" t="n"/>
      <c r="C92" s="1" t="n"/>
    </row>
    <row r="93" ht="15.75" customHeight="1" s="64">
      <c r="A93" s="1" t="n"/>
      <c r="B93" s="1" t="n"/>
      <c r="C93" s="1" t="n"/>
    </row>
    <row r="94" ht="15.75" customHeight="1" s="64">
      <c r="A94" s="1" t="n"/>
      <c r="B94" s="1" t="n"/>
      <c r="C94" s="1" t="n"/>
    </row>
    <row r="95" ht="15.75" customHeight="1" s="64">
      <c r="A95" s="1" t="n"/>
      <c r="B95" s="1" t="n"/>
      <c r="C95" s="1" t="n"/>
    </row>
    <row r="96" ht="15.75" customHeight="1" s="64">
      <c r="A96" s="1" t="n"/>
      <c r="B96" s="1" t="n"/>
      <c r="C96" s="1" t="n"/>
    </row>
    <row r="97" ht="15.75" customHeight="1" s="64">
      <c r="A97" s="1" t="n"/>
      <c r="B97" s="1" t="n"/>
      <c r="C97" s="1" t="n"/>
    </row>
    <row r="98" ht="15.75" customHeight="1" s="64">
      <c r="A98" s="1" t="n"/>
      <c r="B98" s="1" t="n"/>
      <c r="C98" s="1" t="n"/>
    </row>
    <row r="99" ht="15.75" customHeight="1" s="64">
      <c r="A99" s="1" t="n"/>
      <c r="B99" s="1" t="n"/>
      <c r="C99" s="1" t="n"/>
    </row>
    <row r="100" ht="15.75" customHeight="1" s="64">
      <c r="A100" s="1" t="n"/>
      <c r="B100" s="1" t="n"/>
      <c r="C100" s="1" t="n"/>
    </row>
    <row r="101" ht="15.75" customHeight="1" s="64">
      <c r="A101" s="1" t="n"/>
      <c r="B101" s="1" t="n"/>
      <c r="C101" s="1" t="n"/>
    </row>
    <row r="102" ht="15.75" customHeight="1" s="64">
      <c r="A102" s="1" t="n"/>
      <c r="B102" s="1" t="n"/>
      <c r="C102" s="1" t="n"/>
    </row>
    <row r="103" ht="15.75" customHeight="1" s="64">
      <c r="A103" s="1" t="n"/>
      <c r="B103" s="1" t="n"/>
      <c r="C103" s="1" t="n"/>
    </row>
    <row r="104" ht="15.75" customHeight="1" s="64">
      <c r="A104" s="1" t="n"/>
      <c r="B104" s="1" t="n"/>
      <c r="C104" s="1" t="n"/>
    </row>
    <row r="105" ht="15.75" customHeight="1" s="64">
      <c r="A105" s="1" t="n"/>
      <c r="B105" s="1" t="n"/>
      <c r="C105" s="1" t="n"/>
    </row>
    <row r="106" ht="15.75" customHeight="1" s="64">
      <c r="A106" s="1" t="n"/>
      <c r="B106" s="1" t="n"/>
      <c r="C106" s="1" t="n"/>
    </row>
    <row r="107" ht="15.75" customHeight="1" s="64">
      <c r="A107" s="1" t="n"/>
      <c r="B107" s="1" t="n"/>
      <c r="C107" s="1" t="n"/>
    </row>
    <row r="108" ht="15.75" customHeight="1" s="64">
      <c r="A108" s="1" t="n"/>
      <c r="B108" s="1" t="n"/>
      <c r="C108" s="1" t="n"/>
    </row>
    <row r="109" ht="15.75" customHeight="1" s="64">
      <c r="A109" s="1" t="n"/>
      <c r="B109" s="1" t="n"/>
      <c r="C109" s="1" t="n"/>
    </row>
    <row r="110" ht="15.75" customHeight="1" s="64">
      <c r="A110" s="1" t="n"/>
      <c r="B110" s="1" t="n"/>
      <c r="C110" s="1" t="n"/>
    </row>
    <row r="111" ht="15.75" customHeight="1" s="64">
      <c r="A111" s="1" t="n"/>
      <c r="B111" s="1" t="n"/>
      <c r="C111" s="1" t="n"/>
    </row>
    <row r="112" ht="15.75" customHeight="1" s="64">
      <c r="A112" s="1" t="n"/>
      <c r="B112" s="1" t="n"/>
      <c r="C112" s="1" t="n"/>
    </row>
    <row r="113" ht="15.75" customHeight="1" s="64">
      <c r="A113" s="1" t="n"/>
      <c r="B113" s="1" t="n"/>
      <c r="C113" s="1" t="n"/>
    </row>
    <row r="114" ht="15.75" customHeight="1" s="64">
      <c r="A114" s="1" t="n"/>
      <c r="B114" s="1" t="n"/>
      <c r="C114" s="1" t="n"/>
    </row>
    <row r="115" ht="15.75" customHeight="1" s="64">
      <c r="A115" s="1" t="n"/>
      <c r="B115" s="1" t="n"/>
      <c r="C115" s="1" t="n"/>
    </row>
    <row r="116" ht="15.75" customHeight="1" s="64">
      <c r="A116" s="1" t="n"/>
      <c r="B116" s="1" t="n"/>
      <c r="C116" s="1" t="n"/>
    </row>
    <row r="117" ht="15.75" customHeight="1" s="64">
      <c r="A117" s="1" t="n"/>
      <c r="B117" s="1" t="n"/>
      <c r="C117" s="1" t="n"/>
    </row>
    <row r="118" ht="15.75" customHeight="1" s="64">
      <c r="A118" s="1" t="n"/>
      <c r="B118" s="1" t="n"/>
      <c r="C118" s="1" t="n"/>
    </row>
    <row r="119" ht="15.75" customHeight="1" s="64">
      <c r="A119" s="1" t="n"/>
      <c r="B119" s="1" t="n"/>
      <c r="C119" s="1" t="n"/>
    </row>
    <row r="120" ht="15.75" customHeight="1" s="64">
      <c r="A120" s="1" t="n"/>
      <c r="B120" s="1" t="n"/>
      <c r="C120" s="1" t="n"/>
    </row>
    <row r="121" ht="15.75" customHeight="1" s="64">
      <c r="A121" s="1" t="n"/>
      <c r="B121" s="1" t="n"/>
      <c r="C121" s="1" t="n"/>
    </row>
    <row r="122" ht="15.75" customHeight="1" s="64">
      <c r="A122" s="1" t="n"/>
      <c r="B122" s="1" t="n"/>
      <c r="C122" s="1" t="n"/>
    </row>
    <row r="123" ht="15.75" customHeight="1" s="64">
      <c r="A123" s="1" t="n"/>
      <c r="B123" s="1" t="n"/>
      <c r="C123" s="1" t="n"/>
    </row>
    <row r="124" ht="15.75" customHeight="1" s="64">
      <c r="A124" s="1" t="n"/>
      <c r="B124" s="1" t="n"/>
      <c r="C124" s="1" t="n"/>
    </row>
    <row r="125" ht="15.75" customHeight="1" s="64">
      <c r="A125" s="1" t="n"/>
      <c r="B125" s="1" t="n"/>
      <c r="C125" s="1" t="n"/>
    </row>
    <row r="126" ht="15.75" customHeight="1" s="64">
      <c r="A126" s="1" t="n"/>
      <c r="B126" s="1" t="n"/>
      <c r="C126" s="1" t="n"/>
    </row>
    <row r="127" ht="15.75" customHeight="1" s="64">
      <c r="A127" s="1" t="n"/>
      <c r="B127" s="1" t="n"/>
      <c r="C127" s="1" t="n"/>
    </row>
    <row r="128" ht="15.75" customHeight="1" s="64">
      <c r="A128" s="1" t="n"/>
      <c r="B128" s="1" t="n"/>
      <c r="C128" s="1" t="n"/>
    </row>
    <row r="129" ht="15.75" customHeight="1" s="64">
      <c r="A129" s="1" t="n"/>
      <c r="B129" s="1" t="n"/>
      <c r="C129" s="1" t="n"/>
    </row>
    <row r="130" ht="15.75" customHeight="1" s="64">
      <c r="A130" s="1" t="n"/>
      <c r="B130" s="1" t="n"/>
      <c r="C130" s="1" t="n"/>
    </row>
    <row r="131" ht="15.75" customHeight="1" s="64">
      <c r="A131" s="1" t="n"/>
      <c r="B131" s="1" t="n"/>
      <c r="C131" s="1" t="n"/>
    </row>
    <row r="132" ht="15.75" customHeight="1" s="64">
      <c r="A132" s="1" t="n"/>
      <c r="B132" s="1" t="n"/>
      <c r="C132" s="1" t="n"/>
    </row>
    <row r="133" ht="15.75" customHeight="1" s="64">
      <c r="A133" s="1" t="n"/>
      <c r="B133" s="1" t="n"/>
      <c r="C133" s="1" t="n"/>
    </row>
    <row r="134" ht="15.75" customHeight="1" s="64">
      <c r="A134" s="1" t="n"/>
      <c r="B134" s="1" t="n"/>
      <c r="C134" s="1" t="n"/>
    </row>
    <row r="135" ht="15.75" customHeight="1" s="64">
      <c r="A135" s="1" t="n"/>
      <c r="B135" s="1" t="n"/>
      <c r="C135" s="1" t="n"/>
    </row>
    <row r="136" ht="15.75" customHeight="1" s="64">
      <c r="A136" s="1" t="n"/>
      <c r="B136" s="1" t="n"/>
      <c r="C136" s="1" t="n"/>
    </row>
    <row r="137" ht="15.75" customHeight="1" s="64">
      <c r="A137" s="1" t="n"/>
      <c r="B137" s="1" t="n"/>
      <c r="C137" s="1" t="n"/>
    </row>
    <row r="138" ht="15.75" customHeight="1" s="64">
      <c r="A138" s="1" t="n"/>
      <c r="B138" s="1" t="n"/>
      <c r="C138" s="1" t="n"/>
    </row>
    <row r="139" ht="15.75" customHeight="1" s="64">
      <c r="A139" s="1" t="n"/>
      <c r="B139" s="1" t="n"/>
      <c r="C139" s="1" t="n"/>
    </row>
    <row r="140" ht="15.75" customHeight="1" s="64">
      <c r="A140" s="1" t="n"/>
      <c r="B140" s="1" t="n"/>
      <c r="C140" s="1" t="n"/>
    </row>
    <row r="141" ht="15.75" customHeight="1" s="64">
      <c r="A141" s="1" t="n"/>
      <c r="B141" s="1" t="n"/>
      <c r="C141" s="1" t="n"/>
    </row>
    <row r="142" ht="15.75" customHeight="1" s="64">
      <c r="A142" s="1" t="n"/>
      <c r="B142" s="1" t="n"/>
      <c r="C142" s="1" t="n"/>
    </row>
    <row r="143" ht="15.75" customHeight="1" s="64">
      <c r="A143" s="1" t="n"/>
      <c r="B143" s="1" t="n"/>
      <c r="C143" s="1" t="n"/>
    </row>
    <row r="144" ht="15.75" customHeight="1" s="64">
      <c r="A144" s="1" t="n"/>
      <c r="B144" s="1" t="n"/>
      <c r="C144" s="1" t="n"/>
    </row>
    <row r="145" ht="15.75" customHeight="1" s="64">
      <c r="A145" s="1" t="n"/>
      <c r="B145" s="1" t="n"/>
      <c r="C145" s="1" t="n"/>
    </row>
    <row r="146" ht="15.75" customHeight="1" s="64">
      <c r="A146" s="1" t="n"/>
      <c r="B146" s="1" t="n"/>
      <c r="C146" s="1" t="n"/>
    </row>
    <row r="147" ht="15.75" customHeight="1" s="64">
      <c r="A147" s="1" t="n"/>
      <c r="B147" s="1" t="n"/>
      <c r="C147" s="1" t="n"/>
    </row>
    <row r="148" ht="15.75" customHeight="1" s="64">
      <c r="A148" s="1" t="n"/>
      <c r="B148" s="1" t="n"/>
      <c r="C148" s="1" t="n"/>
    </row>
    <row r="149" ht="15.75" customHeight="1" s="64">
      <c r="A149" s="1" t="n"/>
      <c r="B149" s="1" t="n"/>
      <c r="C149" s="1" t="n"/>
    </row>
    <row r="150" ht="15.75" customHeight="1" s="64">
      <c r="A150" s="1" t="n"/>
      <c r="B150" s="1" t="n"/>
      <c r="C150" s="1" t="n"/>
    </row>
    <row r="151" ht="15.75" customHeight="1" s="64">
      <c r="A151" s="1" t="n"/>
      <c r="B151" s="1" t="n"/>
      <c r="C151" s="1" t="n"/>
    </row>
    <row r="152" ht="15.75" customHeight="1" s="64">
      <c r="A152" s="1" t="n"/>
      <c r="B152" s="1" t="n"/>
      <c r="C152" s="1" t="n"/>
    </row>
    <row r="153" ht="15.75" customHeight="1" s="64">
      <c r="A153" s="1" t="n"/>
      <c r="B153" s="1" t="n"/>
      <c r="C153" s="1" t="n"/>
    </row>
    <row r="154" ht="15.75" customHeight="1" s="64">
      <c r="A154" s="1" t="n"/>
      <c r="B154" s="1" t="n"/>
      <c r="C154" s="1" t="n"/>
    </row>
    <row r="155" ht="15.75" customHeight="1" s="64">
      <c r="A155" s="1" t="n"/>
      <c r="B155" s="1" t="n"/>
      <c r="C155" s="1" t="n"/>
    </row>
    <row r="156" ht="15.75" customHeight="1" s="64">
      <c r="A156" s="1" t="n"/>
      <c r="B156" s="1" t="n"/>
      <c r="C156" s="1" t="n"/>
    </row>
    <row r="157" ht="15.75" customHeight="1" s="64">
      <c r="A157" s="1" t="n"/>
      <c r="B157" s="1" t="n"/>
      <c r="C157" s="1" t="n"/>
    </row>
    <row r="158" ht="15.75" customHeight="1" s="64">
      <c r="A158" s="1" t="n"/>
      <c r="B158" s="1" t="n"/>
      <c r="C158" s="1" t="n"/>
    </row>
    <row r="159" ht="15.75" customHeight="1" s="64">
      <c r="A159" s="1" t="n"/>
      <c r="B159" s="1" t="n"/>
      <c r="C159" s="1" t="n"/>
    </row>
    <row r="160" ht="15.75" customHeight="1" s="64">
      <c r="A160" s="1" t="n"/>
      <c r="B160" s="1" t="n"/>
      <c r="C160" s="1" t="n"/>
    </row>
    <row r="161" ht="15.75" customHeight="1" s="64">
      <c r="A161" s="1" t="n"/>
      <c r="B161" s="1" t="n"/>
      <c r="C161" s="1" t="n"/>
    </row>
    <row r="162" ht="15.75" customHeight="1" s="64">
      <c r="A162" s="1" t="n"/>
      <c r="B162" s="1" t="n"/>
      <c r="C162" s="1" t="n"/>
    </row>
    <row r="163" ht="15.75" customHeight="1" s="64">
      <c r="A163" s="1" t="n"/>
      <c r="B163" s="1" t="n"/>
      <c r="C163" s="1" t="n"/>
    </row>
    <row r="164" ht="15.75" customHeight="1" s="64">
      <c r="A164" s="1" t="n"/>
      <c r="B164" s="1" t="n"/>
      <c r="C164" s="1" t="n"/>
    </row>
    <row r="165" ht="15.75" customHeight="1" s="64">
      <c r="A165" s="1" t="n"/>
      <c r="B165" s="1" t="n"/>
      <c r="C165" s="1" t="n"/>
    </row>
    <row r="166" ht="15.75" customHeight="1" s="64">
      <c r="A166" s="1" t="n"/>
      <c r="B166" s="1" t="n"/>
      <c r="C166" s="1" t="n"/>
    </row>
    <row r="167" ht="15.75" customHeight="1" s="64">
      <c r="A167" s="1" t="n"/>
      <c r="B167" s="1" t="n"/>
      <c r="C167" s="1" t="n"/>
    </row>
    <row r="168" ht="15.75" customHeight="1" s="64">
      <c r="A168" s="1" t="n"/>
      <c r="B168" s="1" t="n"/>
      <c r="C168" s="1" t="n"/>
    </row>
    <row r="169" ht="15.75" customHeight="1" s="64">
      <c r="A169" s="1" t="n"/>
      <c r="B169" s="1" t="n"/>
      <c r="C169" s="1" t="n"/>
    </row>
    <row r="170" ht="15.75" customHeight="1" s="64">
      <c r="A170" s="1" t="n"/>
      <c r="B170" s="1" t="n"/>
      <c r="C170" s="1" t="n"/>
    </row>
    <row r="171" ht="15.75" customHeight="1" s="64">
      <c r="A171" s="1" t="n"/>
      <c r="B171" s="1" t="n"/>
      <c r="C171" s="1" t="n"/>
    </row>
    <row r="172" ht="15.75" customHeight="1" s="64">
      <c r="A172" s="1" t="n"/>
      <c r="B172" s="1" t="n"/>
      <c r="C172" s="1" t="n"/>
    </row>
    <row r="173" ht="15.75" customHeight="1" s="64">
      <c r="A173" s="1" t="n"/>
      <c r="B173" s="1" t="n"/>
      <c r="C173" s="1" t="n"/>
    </row>
    <row r="174" ht="15.75" customHeight="1" s="64">
      <c r="A174" s="1" t="n"/>
      <c r="B174" s="1" t="n"/>
      <c r="C174" s="1" t="n"/>
    </row>
    <row r="175" ht="15.75" customHeight="1" s="64">
      <c r="A175" s="1" t="n"/>
      <c r="B175" s="1" t="n"/>
      <c r="C175" s="1" t="n"/>
    </row>
    <row r="176" ht="15.75" customHeight="1" s="64">
      <c r="A176" s="1" t="n"/>
      <c r="B176" s="1" t="n"/>
      <c r="C176" s="1" t="n"/>
    </row>
    <row r="177" ht="15.75" customHeight="1" s="64">
      <c r="A177" s="1" t="n"/>
      <c r="B177" s="1" t="n"/>
      <c r="C177" s="1" t="n"/>
    </row>
    <row r="178" ht="15.75" customHeight="1" s="64">
      <c r="A178" s="1" t="n"/>
      <c r="B178" s="1" t="n"/>
      <c r="C178" s="1" t="n"/>
    </row>
    <row r="179" ht="15.75" customHeight="1" s="64">
      <c r="A179" s="1" t="n"/>
      <c r="B179" s="1" t="n"/>
      <c r="C179" s="1" t="n"/>
    </row>
    <row r="180" ht="15.75" customHeight="1" s="64">
      <c r="A180" s="1" t="n"/>
      <c r="B180" s="1" t="n"/>
      <c r="C180" s="1" t="n"/>
    </row>
    <row r="181" ht="15.75" customHeight="1" s="64">
      <c r="A181" s="1" t="n"/>
      <c r="B181" s="1" t="n"/>
      <c r="C181" s="1" t="n"/>
    </row>
    <row r="182" ht="15.75" customHeight="1" s="64">
      <c r="A182" s="1" t="n"/>
      <c r="B182" s="1" t="n"/>
      <c r="C182" s="1" t="n"/>
    </row>
    <row r="183" ht="15.75" customHeight="1" s="64">
      <c r="A183" s="1" t="n"/>
      <c r="B183" s="1" t="n"/>
      <c r="C183" s="1" t="n"/>
    </row>
    <row r="184" ht="15.75" customHeight="1" s="64">
      <c r="A184" s="1" t="n"/>
      <c r="B184" s="1" t="n"/>
      <c r="C184" s="1" t="n"/>
    </row>
    <row r="185" ht="15.75" customHeight="1" s="64">
      <c r="A185" s="1" t="n"/>
      <c r="B185" s="1" t="n"/>
      <c r="C185" s="1" t="n"/>
    </row>
    <row r="186" ht="15.75" customHeight="1" s="64">
      <c r="A186" s="1" t="n"/>
      <c r="B186" s="1" t="n"/>
      <c r="C186" s="1" t="n"/>
    </row>
    <row r="187" ht="15.75" customHeight="1" s="64">
      <c r="A187" s="1" t="n"/>
      <c r="B187" s="1" t="n"/>
      <c r="C187" s="1" t="n"/>
    </row>
    <row r="188" ht="15.75" customHeight="1" s="64">
      <c r="A188" s="1" t="n"/>
      <c r="B188" s="1" t="n"/>
      <c r="C188" s="1" t="n"/>
    </row>
    <row r="189" ht="15.75" customHeight="1" s="64">
      <c r="A189" s="1" t="n"/>
      <c r="B189" s="1" t="n"/>
      <c r="C189" s="1" t="n"/>
    </row>
    <row r="190" ht="15.75" customHeight="1" s="64">
      <c r="A190" s="1" t="n"/>
      <c r="B190" s="1" t="n"/>
      <c r="C190" s="1" t="n"/>
    </row>
    <row r="191" ht="15.75" customHeight="1" s="64">
      <c r="A191" s="1" t="n"/>
      <c r="B191" s="1" t="n"/>
      <c r="C191" s="1" t="n"/>
    </row>
    <row r="192" ht="15.75" customHeight="1" s="64">
      <c r="A192" s="1" t="n"/>
      <c r="B192" s="1" t="n"/>
      <c r="C192" s="1" t="n"/>
    </row>
    <row r="193" ht="15.75" customHeight="1" s="64">
      <c r="A193" s="1" t="n"/>
      <c r="B193" s="1" t="n"/>
      <c r="C193" s="1" t="n"/>
    </row>
    <row r="194" ht="15.75" customHeight="1" s="64">
      <c r="A194" s="1" t="n"/>
      <c r="B194" s="1" t="n"/>
      <c r="C194" s="1" t="n"/>
    </row>
    <row r="195" ht="15.75" customHeight="1" s="64">
      <c r="A195" s="1" t="n"/>
      <c r="B195" s="1" t="n"/>
      <c r="C195" s="1" t="n"/>
    </row>
    <row r="196" ht="15.75" customHeight="1" s="64">
      <c r="A196" s="1" t="n"/>
      <c r="B196" s="1" t="n"/>
      <c r="C196" s="1" t="n"/>
    </row>
    <row r="197" ht="15.75" customHeight="1" s="64">
      <c r="A197" s="1" t="n"/>
      <c r="B197" s="1" t="n"/>
      <c r="C197" s="1" t="n"/>
    </row>
    <row r="198" ht="15.75" customHeight="1" s="64">
      <c r="A198" s="1" t="n"/>
      <c r="B198" s="1" t="n"/>
      <c r="C198" s="1" t="n"/>
    </row>
    <row r="199" ht="15.75" customHeight="1" s="64">
      <c r="A199" s="1" t="n"/>
      <c r="B199" s="1" t="n"/>
      <c r="C199" s="1" t="n"/>
    </row>
    <row r="200" ht="15.75" customHeight="1" s="64">
      <c r="A200" s="1" t="n"/>
      <c r="B200" s="1" t="n"/>
      <c r="C200" s="1" t="n"/>
    </row>
    <row r="201" ht="15.75" customHeight="1" s="64">
      <c r="A201" s="1" t="n"/>
      <c r="B201" s="1" t="n"/>
      <c r="C201" s="1" t="n"/>
    </row>
    <row r="202" ht="15.75" customHeight="1" s="64">
      <c r="A202" s="1" t="n"/>
      <c r="B202" s="1" t="n"/>
      <c r="C202" s="1" t="n"/>
    </row>
    <row r="203" ht="15.75" customHeight="1" s="64">
      <c r="A203" s="1" t="n"/>
      <c r="B203" s="1" t="n"/>
      <c r="C203" s="1" t="n"/>
    </row>
    <row r="204" ht="15.75" customHeight="1" s="64">
      <c r="A204" s="1" t="n"/>
      <c r="B204" s="1" t="n"/>
      <c r="C204" s="1" t="n"/>
    </row>
    <row r="205" ht="15.75" customHeight="1" s="64">
      <c r="A205" s="1" t="n"/>
      <c r="B205" s="1" t="n"/>
      <c r="C205" s="1" t="n"/>
    </row>
    <row r="206" ht="15.75" customHeight="1" s="64">
      <c r="A206" s="1" t="n"/>
      <c r="B206" s="1" t="n"/>
      <c r="C206" s="1" t="n"/>
    </row>
    <row r="207" ht="15.75" customHeight="1" s="64">
      <c r="A207" s="1" t="n"/>
      <c r="B207" s="1" t="n"/>
      <c r="C207" s="1" t="n"/>
    </row>
    <row r="208" ht="15.75" customHeight="1" s="64">
      <c r="A208" s="1" t="n"/>
      <c r="B208" s="1" t="n"/>
      <c r="C208" s="1" t="n"/>
    </row>
    <row r="209" ht="15.75" customHeight="1" s="64">
      <c r="A209" s="1" t="n"/>
      <c r="B209" s="1" t="n"/>
      <c r="C209" s="1" t="n"/>
    </row>
    <row r="210" ht="15.75" customHeight="1" s="64">
      <c r="A210" s="1" t="n"/>
      <c r="B210" s="1" t="n"/>
      <c r="C210" s="1" t="n"/>
    </row>
    <row r="211" ht="15.75" customHeight="1" s="64">
      <c r="A211" s="1" t="n"/>
      <c r="B211" s="1" t="n"/>
      <c r="C211" s="1" t="n"/>
    </row>
    <row r="212" ht="15.75" customHeight="1" s="64">
      <c r="A212" s="1" t="n"/>
      <c r="B212" s="1" t="n"/>
      <c r="C212" s="1" t="n"/>
    </row>
    <row r="213" ht="15.75" customHeight="1" s="64">
      <c r="A213" s="1" t="n"/>
      <c r="B213" s="1" t="n"/>
      <c r="C213" s="1" t="n"/>
    </row>
    <row r="214" ht="15.75" customHeight="1" s="64">
      <c r="A214" s="1" t="n"/>
      <c r="B214" s="1" t="n"/>
      <c r="C214" s="1" t="n"/>
    </row>
    <row r="215" ht="15.75" customHeight="1" s="64">
      <c r="A215" s="1" t="n"/>
      <c r="B215" s="1" t="n"/>
      <c r="C215" s="1" t="n"/>
    </row>
    <row r="216" ht="15.75" customHeight="1" s="64">
      <c r="A216" s="1" t="n"/>
      <c r="B216" s="1" t="n"/>
      <c r="C216" s="1" t="n"/>
    </row>
    <row r="217" ht="15.75" customHeight="1" s="64">
      <c r="A217" s="1" t="n"/>
      <c r="B217" s="1" t="n"/>
      <c r="C217" s="1" t="n"/>
    </row>
    <row r="218" ht="15.75" customHeight="1" s="64">
      <c r="A218" s="1" t="n"/>
      <c r="B218" s="1" t="n"/>
      <c r="C218" s="1" t="n"/>
    </row>
    <row r="219" ht="15.75" customHeight="1" s="64">
      <c r="A219" s="1" t="n"/>
      <c r="B219" s="1" t="n"/>
      <c r="C219" s="1" t="n"/>
    </row>
    <row r="220" ht="15.75" customHeight="1" s="64">
      <c r="A220" s="1" t="n"/>
      <c r="B220" s="1" t="n"/>
      <c r="C220" s="1" t="n"/>
    </row>
    <row r="221" ht="15.75" customHeight="1" s="64">
      <c r="A221" s="1" t="n"/>
      <c r="B221" s="1" t="n"/>
      <c r="C221" s="1" t="n"/>
    </row>
    <row r="222" ht="15.75" customHeight="1" s="64">
      <c r="A222" s="1" t="n"/>
      <c r="B222" s="1" t="n"/>
      <c r="C222" s="1" t="n"/>
    </row>
    <row r="223" ht="15.75" customHeight="1" s="64">
      <c r="A223" s="1" t="n"/>
      <c r="B223" s="1" t="n"/>
      <c r="C223" s="1" t="n"/>
    </row>
    <row r="224" ht="15.75" customHeight="1" s="64">
      <c r="A224" s="1" t="n"/>
      <c r="B224" s="1" t="n"/>
      <c r="C224" s="1" t="n"/>
    </row>
    <row r="225" ht="15.75" customHeight="1" s="64">
      <c r="A225" s="1" t="n"/>
      <c r="B225" s="1" t="n"/>
      <c r="C225" s="1" t="n"/>
    </row>
    <row r="226" ht="15.75" customHeight="1" s="64">
      <c r="A226" s="1" t="n"/>
      <c r="B226" s="1" t="n"/>
      <c r="C226" s="1" t="n"/>
    </row>
    <row r="227" ht="15.75" customHeight="1" s="64">
      <c r="A227" s="1" t="n"/>
      <c r="B227" s="1" t="n"/>
      <c r="C227" s="1" t="n"/>
    </row>
    <row r="228" ht="15.75" customHeight="1" s="64">
      <c r="A228" s="1" t="n"/>
      <c r="B228" s="1" t="n"/>
      <c r="C228" s="1" t="n"/>
    </row>
    <row r="229" ht="15.75" customHeight="1" s="64">
      <c r="A229" s="1" t="n"/>
      <c r="B229" s="1" t="n"/>
      <c r="C229" s="1" t="n"/>
    </row>
    <row r="230" ht="15.75" customHeight="1" s="64">
      <c r="A230" s="1" t="n"/>
      <c r="B230" s="1" t="n"/>
      <c r="C230" s="1" t="n"/>
    </row>
    <row r="231" ht="15.75" customHeight="1" s="64">
      <c r="A231" s="1" t="n"/>
      <c r="B231" s="1" t="n"/>
      <c r="C231" s="1" t="n"/>
    </row>
    <row r="232" ht="15.75" customHeight="1" s="64">
      <c r="A232" s="1" t="n"/>
      <c r="B232" s="1" t="n"/>
      <c r="C232" s="1" t="n"/>
    </row>
    <row r="233" ht="15.75" customHeight="1" s="64">
      <c r="A233" s="1" t="n"/>
      <c r="B233" s="1" t="n"/>
      <c r="C233" s="1" t="n"/>
    </row>
    <row r="234" ht="15.75" customHeight="1" s="64">
      <c r="A234" s="1" t="n"/>
      <c r="B234" s="1" t="n"/>
      <c r="C234" s="1" t="n"/>
    </row>
    <row r="235" ht="15.75" customHeight="1" s="64">
      <c r="A235" s="1" t="n"/>
      <c r="B235" s="1" t="n"/>
      <c r="C235" s="1" t="n"/>
    </row>
    <row r="236" ht="15.75" customHeight="1" s="64">
      <c r="A236" s="1" t="n"/>
      <c r="B236" s="1" t="n"/>
      <c r="C236" s="1" t="n"/>
    </row>
    <row r="237" ht="15.75" customHeight="1" s="64">
      <c r="A237" s="1" t="n"/>
      <c r="B237" s="1" t="n"/>
      <c r="C237" s="1" t="n"/>
    </row>
    <row r="238" ht="15.75" customHeight="1" s="64">
      <c r="A238" s="1" t="n"/>
      <c r="B238" s="1" t="n"/>
      <c r="C238" s="1" t="n"/>
    </row>
    <row r="239" ht="15.75" customHeight="1" s="64">
      <c r="A239" s="1" t="n"/>
      <c r="B239" s="1" t="n"/>
      <c r="C239" s="1" t="n"/>
    </row>
    <row r="240" ht="15.75" customHeight="1" s="64">
      <c r="A240" s="1" t="n"/>
      <c r="B240" s="1" t="n"/>
      <c r="C240" s="1" t="n"/>
    </row>
    <row r="241" ht="15.75" customHeight="1" s="64">
      <c r="A241" s="1" t="n"/>
      <c r="B241" s="1" t="n"/>
      <c r="C241" s="1" t="n"/>
    </row>
    <row r="242" ht="15.75" customHeight="1" s="64">
      <c r="A242" s="1" t="n"/>
      <c r="B242" s="1" t="n"/>
      <c r="C242" s="1" t="n"/>
    </row>
    <row r="243" ht="15.75" customHeight="1" s="64">
      <c r="A243" s="1" t="n"/>
      <c r="B243" s="1" t="n"/>
      <c r="C243" s="1" t="n"/>
    </row>
    <row r="244" ht="15.75" customHeight="1" s="64">
      <c r="A244" s="1" t="n"/>
      <c r="B244" s="1" t="n"/>
      <c r="C244" s="1" t="n"/>
    </row>
    <row r="245" ht="15.75" customHeight="1" s="64">
      <c r="A245" s="1" t="n"/>
      <c r="B245" s="1" t="n"/>
      <c r="C245" s="1" t="n"/>
    </row>
    <row r="246" ht="15.75" customHeight="1" s="64">
      <c r="A246" s="1" t="n"/>
      <c r="B246" s="1" t="n"/>
      <c r="C246" s="1" t="n"/>
    </row>
    <row r="247" ht="15.75" customHeight="1" s="64">
      <c r="A247" s="1" t="n"/>
      <c r="B247" s="1" t="n"/>
      <c r="C247" s="1" t="n"/>
    </row>
    <row r="248" ht="15.75" customHeight="1" s="64">
      <c r="A248" s="1" t="n"/>
      <c r="B248" s="1" t="n"/>
      <c r="C248" s="1" t="n"/>
    </row>
    <row r="249" ht="15.75" customHeight="1" s="64">
      <c r="A249" s="1" t="n"/>
      <c r="B249" s="1" t="n"/>
      <c r="C249" s="1" t="n"/>
    </row>
    <row r="250" ht="15.75" customHeight="1" s="64">
      <c r="A250" s="1" t="n"/>
      <c r="B250" s="1" t="n"/>
      <c r="C250" s="1" t="n"/>
    </row>
    <row r="251" ht="15.75" customHeight="1" s="64">
      <c r="A251" s="1" t="n"/>
      <c r="B251" s="1" t="n"/>
      <c r="C251" s="1" t="n"/>
    </row>
    <row r="252" ht="15.75" customHeight="1" s="64">
      <c r="A252" s="1" t="n"/>
      <c r="B252" s="1" t="n"/>
      <c r="C252" s="1" t="n"/>
    </row>
    <row r="253" ht="15.75" customHeight="1" s="64">
      <c r="A253" s="1" t="n"/>
      <c r="B253" s="1" t="n"/>
      <c r="C253" s="1" t="n"/>
    </row>
    <row r="254" ht="15.75" customHeight="1" s="64">
      <c r="A254" s="1" t="n"/>
      <c r="B254" s="1" t="n"/>
      <c r="C254" s="1" t="n"/>
    </row>
    <row r="255" ht="15.75" customHeight="1" s="64">
      <c r="A255" s="1" t="n"/>
      <c r="B255" s="1" t="n"/>
      <c r="C255" s="1" t="n"/>
    </row>
    <row r="256" ht="15.75" customHeight="1" s="64">
      <c r="A256" s="1" t="n"/>
      <c r="B256" s="1" t="n"/>
      <c r="C256" s="1" t="n"/>
    </row>
    <row r="257" ht="15.75" customHeight="1" s="64">
      <c r="A257" s="1" t="n"/>
      <c r="B257" s="1" t="n"/>
      <c r="C257" s="1" t="n"/>
    </row>
    <row r="258" ht="15.75" customHeight="1" s="64">
      <c r="A258" s="1" t="n"/>
      <c r="B258" s="1" t="n"/>
      <c r="C258" s="1" t="n"/>
    </row>
    <row r="259" ht="15.75" customHeight="1" s="64">
      <c r="A259" s="1" t="n"/>
      <c r="B259" s="1" t="n"/>
      <c r="C259" s="1" t="n"/>
    </row>
    <row r="260" ht="15.75" customHeight="1" s="64">
      <c r="A260" s="1" t="n"/>
      <c r="B260" s="1" t="n"/>
      <c r="C260" s="1" t="n"/>
    </row>
    <row r="261" ht="15.75" customHeight="1" s="64">
      <c r="A261" s="1" t="n"/>
      <c r="B261" s="1" t="n"/>
      <c r="C261" s="1" t="n"/>
    </row>
    <row r="262" ht="15.75" customHeight="1" s="64">
      <c r="A262" s="1" t="n"/>
      <c r="B262" s="1" t="n"/>
      <c r="C262" s="1" t="n"/>
    </row>
    <row r="263" ht="15.75" customHeight="1" s="64">
      <c r="A263" s="1" t="n"/>
      <c r="B263" s="1" t="n"/>
      <c r="C263" s="1" t="n"/>
    </row>
    <row r="264" ht="15.75" customHeight="1" s="64">
      <c r="A264" s="1" t="n"/>
      <c r="B264" s="1" t="n"/>
      <c r="C264" s="1" t="n"/>
    </row>
    <row r="265" ht="15.75" customHeight="1" s="64">
      <c r="A265" s="1" t="n"/>
      <c r="B265" s="1" t="n"/>
      <c r="C265" s="1" t="n"/>
    </row>
    <row r="266" ht="15.75" customHeight="1" s="64">
      <c r="A266" s="1" t="n"/>
      <c r="B266" s="1" t="n"/>
      <c r="C266" s="1" t="n"/>
    </row>
    <row r="267" ht="15.75" customHeight="1" s="64">
      <c r="A267" s="1" t="n"/>
      <c r="B267" s="1" t="n"/>
      <c r="C267" s="1" t="n"/>
    </row>
    <row r="268" ht="15.75" customHeight="1" s="64">
      <c r="A268" s="1" t="n"/>
      <c r="B268" s="1" t="n"/>
      <c r="C268" s="1" t="n"/>
    </row>
    <row r="269" ht="15.75" customHeight="1" s="64">
      <c r="A269" s="1" t="n"/>
      <c r="B269" s="1" t="n"/>
      <c r="C269" s="1" t="n"/>
    </row>
    <row r="270" ht="15.75" customHeight="1" s="64">
      <c r="A270" s="1" t="n"/>
      <c r="B270" s="1" t="n"/>
      <c r="C270" s="1" t="n"/>
    </row>
    <row r="271" ht="15.75" customHeight="1" s="64">
      <c r="A271" s="1" t="n"/>
      <c r="B271" s="1" t="n"/>
      <c r="C271" s="1" t="n"/>
    </row>
    <row r="272" ht="15.75" customHeight="1" s="64">
      <c r="A272" s="1" t="n"/>
      <c r="B272" s="1" t="n"/>
      <c r="C272" s="1" t="n"/>
    </row>
    <row r="273" ht="15.75" customHeight="1" s="64">
      <c r="A273" s="1" t="n"/>
      <c r="B273" s="1" t="n"/>
      <c r="C273" s="1" t="n"/>
    </row>
    <row r="274" ht="15.75" customHeight="1" s="64">
      <c r="A274" s="1" t="n"/>
      <c r="B274" s="1" t="n"/>
      <c r="C274" s="1" t="n"/>
    </row>
    <row r="275" ht="15.75" customHeight="1" s="64">
      <c r="A275" s="1" t="n"/>
      <c r="B275" s="1" t="n"/>
      <c r="C275" s="1" t="n"/>
    </row>
    <row r="276" ht="15.75" customHeight="1" s="64">
      <c r="A276" s="1" t="n"/>
      <c r="B276" s="1" t="n"/>
      <c r="C276" s="1" t="n"/>
    </row>
    <row r="277" ht="15.75" customHeight="1" s="64">
      <c r="A277" s="1" t="n"/>
      <c r="B277" s="1" t="n"/>
      <c r="C277" s="1" t="n"/>
    </row>
    <row r="278" ht="15.75" customHeight="1" s="64">
      <c r="A278" s="1" t="n"/>
      <c r="B278" s="1" t="n"/>
      <c r="C278" s="1" t="n"/>
    </row>
    <row r="279" ht="15.75" customHeight="1" s="64">
      <c r="A279" s="1" t="n"/>
      <c r="B279" s="1" t="n"/>
      <c r="C279" s="1" t="n"/>
    </row>
    <row r="280" ht="15.75" customHeight="1" s="64">
      <c r="A280" s="1" t="n"/>
      <c r="B280" s="1" t="n"/>
      <c r="C280" s="1" t="n"/>
    </row>
    <row r="281" ht="15.75" customHeight="1" s="64">
      <c r="A281" s="1" t="n"/>
      <c r="B281" s="1" t="n"/>
      <c r="C281" s="1" t="n"/>
    </row>
    <row r="282" ht="15.75" customHeight="1" s="64">
      <c r="A282" s="1" t="n"/>
      <c r="B282" s="1" t="n"/>
      <c r="C282" s="1" t="n"/>
    </row>
    <row r="283" ht="15.75" customHeight="1" s="64">
      <c r="A283" s="1" t="n"/>
      <c r="B283" s="1" t="n"/>
      <c r="C283" s="1" t="n"/>
    </row>
    <row r="284" ht="15.75" customHeight="1" s="64">
      <c r="A284" s="1" t="n"/>
      <c r="B284" s="1" t="n"/>
      <c r="C284" s="1" t="n"/>
    </row>
    <row r="285" ht="15.75" customHeight="1" s="64">
      <c r="A285" s="1" t="n"/>
      <c r="B285" s="1" t="n"/>
      <c r="C285" s="1" t="n"/>
    </row>
    <row r="286" ht="15.75" customHeight="1" s="64">
      <c r="A286" s="1" t="n"/>
      <c r="B286" s="1" t="n"/>
      <c r="C286" s="1" t="n"/>
    </row>
    <row r="287" ht="15.75" customHeight="1" s="64">
      <c r="A287" s="1" t="n"/>
      <c r="B287" s="1" t="n"/>
      <c r="C287" s="1" t="n"/>
    </row>
    <row r="288" ht="15.75" customHeight="1" s="64">
      <c r="A288" s="1" t="n"/>
      <c r="B288" s="1" t="n"/>
      <c r="C288" s="1" t="n"/>
    </row>
    <row r="289" ht="15.75" customHeight="1" s="64">
      <c r="A289" s="1" t="n"/>
      <c r="B289" s="1" t="n"/>
      <c r="C289" s="1" t="n"/>
    </row>
    <row r="290" ht="15.75" customHeight="1" s="64">
      <c r="A290" s="1" t="n"/>
      <c r="B290" s="1" t="n"/>
      <c r="C290" s="1" t="n"/>
    </row>
    <row r="291" ht="15.75" customHeight="1" s="64">
      <c r="A291" s="1" t="n"/>
      <c r="B291" s="1" t="n"/>
      <c r="C291" s="1" t="n"/>
    </row>
    <row r="292" ht="15.75" customHeight="1" s="64">
      <c r="A292" s="1" t="n"/>
      <c r="B292" s="1" t="n"/>
      <c r="C292" s="1" t="n"/>
    </row>
    <row r="293" ht="15.75" customHeight="1" s="64">
      <c r="A293" s="1" t="n"/>
      <c r="B293" s="1" t="n"/>
      <c r="C293" s="1" t="n"/>
    </row>
    <row r="294" ht="15.75" customHeight="1" s="64">
      <c r="A294" s="1" t="n"/>
      <c r="B294" s="1" t="n"/>
      <c r="C294" s="1" t="n"/>
    </row>
    <row r="295" ht="15.75" customHeight="1" s="64">
      <c r="A295" s="1" t="n"/>
      <c r="B295" s="1" t="n"/>
      <c r="C295" s="1" t="n"/>
    </row>
    <row r="296" ht="15.75" customHeight="1" s="64">
      <c r="A296" s="1" t="n"/>
      <c r="B296" s="1" t="n"/>
      <c r="C296" s="1" t="n"/>
    </row>
    <row r="297" ht="15.75" customHeight="1" s="64">
      <c r="A297" s="1" t="n"/>
      <c r="B297" s="1" t="n"/>
      <c r="C297" s="1" t="n"/>
    </row>
    <row r="298" ht="15.75" customHeight="1" s="64">
      <c r="A298" s="1" t="n"/>
      <c r="B298" s="1" t="n"/>
      <c r="C298" s="1" t="n"/>
    </row>
    <row r="299" ht="15.75" customHeight="1" s="64">
      <c r="A299" s="1" t="n"/>
      <c r="B299" s="1" t="n"/>
      <c r="C299" s="1" t="n"/>
    </row>
    <row r="300" ht="15.75" customHeight="1" s="64">
      <c r="A300" s="1" t="n"/>
      <c r="B300" s="1" t="n"/>
      <c r="C300" s="1" t="n"/>
    </row>
    <row r="301" ht="15.75" customHeight="1" s="64">
      <c r="A301" s="1" t="n"/>
      <c r="B301" s="1" t="n"/>
      <c r="C301" s="1" t="n"/>
    </row>
    <row r="302" ht="15.75" customHeight="1" s="64">
      <c r="A302" s="1" t="n"/>
      <c r="B302" s="1" t="n"/>
      <c r="C302" s="1" t="n"/>
    </row>
    <row r="303" ht="15.75" customHeight="1" s="64">
      <c r="A303" s="1" t="n"/>
      <c r="B303" s="1" t="n"/>
      <c r="C303" s="1" t="n"/>
    </row>
    <row r="304" ht="15.75" customHeight="1" s="64">
      <c r="A304" s="1" t="n"/>
      <c r="B304" s="1" t="n"/>
      <c r="C304" s="1" t="n"/>
    </row>
    <row r="305" ht="15.75" customHeight="1" s="64">
      <c r="A305" s="1" t="n"/>
      <c r="B305" s="1" t="n"/>
      <c r="C305" s="1" t="n"/>
    </row>
    <row r="306" ht="15.75" customHeight="1" s="64">
      <c r="A306" s="1" t="n"/>
      <c r="B306" s="1" t="n"/>
      <c r="C306" s="1" t="n"/>
    </row>
    <row r="307" ht="15.75" customHeight="1" s="64">
      <c r="A307" s="1" t="n"/>
      <c r="B307" s="1" t="n"/>
      <c r="C307" s="1" t="n"/>
    </row>
    <row r="308" ht="15.75" customHeight="1" s="64">
      <c r="A308" s="1" t="n"/>
      <c r="B308" s="1" t="n"/>
      <c r="C308" s="1" t="n"/>
    </row>
    <row r="309" ht="15.75" customHeight="1" s="64">
      <c r="A309" s="1" t="n"/>
      <c r="B309" s="1" t="n"/>
      <c r="C309" s="1" t="n"/>
    </row>
    <row r="310" ht="15.75" customHeight="1" s="64">
      <c r="A310" s="1" t="n"/>
      <c r="B310" s="1" t="n"/>
      <c r="C310" s="1" t="n"/>
    </row>
    <row r="311" ht="15.75" customHeight="1" s="64">
      <c r="A311" s="1" t="n"/>
      <c r="B311" s="1" t="n"/>
      <c r="C311" s="1" t="n"/>
    </row>
    <row r="312" ht="15.75" customHeight="1" s="64">
      <c r="A312" s="1" t="n"/>
      <c r="B312" s="1" t="n"/>
      <c r="C312" s="1" t="n"/>
    </row>
    <row r="313" ht="15.75" customHeight="1" s="64">
      <c r="A313" s="1" t="n"/>
      <c r="B313" s="1" t="n"/>
      <c r="C313" s="1" t="n"/>
    </row>
    <row r="314" ht="15.75" customHeight="1" s="64">
      <c r="A314" s="1" t="n"/>
      <c r="B314" s="1" t="n"/>
      <c r="C314" s="1" t="n"/>
    </row>
    <row r="315" ht="15.75" customHeight="1" s="64">
      <c r="A315" s="1" t="n"/>
      <c r="B315" s="1" t="n"/>
      <c r="C315" s="1" t="n"/>
    </row>
    <row r="316" ht="15.75" customHeight="1" s="64">
      <c r="A316" s="1" t="n"/>
      <c r="B316" s="1" t="n"/>
      <c r="C316" s="1" t="n"/>
    </row>
    <row r="317" ht="15.75" customHeight="1" s="64">
      <c r="A317" s="1" t="n"/>
      <c r="B317" s="1" t="n"/>
      <c r="C317" s="1" t="n"/>
    </row>
    <row r="318" ht="15.75" customHeight="1" s="64">
      <c r="A318" s="1" t="n"/>
      <c r="B318" s="1" t="n"/>
      <c r="C318" s="1" t="n"/>
    </row>
    <row r="319" ht="15.75" customHeight="1" s="64">
      <c r="A319" s="1" t="n"/>
      <c r="B319" s="1" t="n"/>
      <c r="C319" s="1" t="n"/>
    </row>
    <row r="320" ht="15.75" customHeight="1" s="64">
      <c r="A320" s="1" t="n"/>
      <c r="B320" s="1" t="n"/>
      <c r="C320" s="1" t="n"/>
    </row>
    <row r="321" ht="15.75" customHeight="1" s="64">
      <c r="A321" s="1" t="n"/>
      <c r="B321" s="1" t="n"/>
      <c r="C321" s="1" t="n"/>
    </row>
    <row r="322" ht="15.75" customHeight="1" s="64">
      <c r="A322" s="1" t="n"/>
      <c r="B322" s="1" t="n"/>
      <c r="C322" s="1" t="n"/>
    </row>
    <row r="323" ht="15.75" customHeight="1" s="64">
      <c r="A323" s="1" t="n"/>
      <c r="B323" s="1" t="n"/>
      <c r="C323" s="1" t="n"/>
    </row>
    <row r="324" ht="15.75" customHeight="1" s="64">
      <c r="A324" s="1" t="n"/>
      <c r="B324" s="1" t="n"/>
      <c r="C324" s="1" t="n"/>
    </row>
    <row r="325" ht="15.75" customHeight="1" s="64">
      <c r="A325" s="1" t="n"/>
      <c r="B325" s="1" t="n"/>
      <c r="C325" s="1" t="n"/>
    </row>
    <row r="326" ht="15.75" customHeight="1" s="64">
      <c r="A326" s="1" t="n"/>
      <c r="B326" s="1" t="n"/>
      <c r="C326" s="1" t="n"/>
    </row>
    <row r="327" ht="15.75" customHeight="1" s="64">
      <c r="A327" s="1" t="n"/>
      <c r="B327" s="1" t="n"/>
      <c r="C327" s="1" t="n"/>
    </row>
    <row r="328" ht="15.75" customHeight="1" s="64">
      <c r="A328" s="1" t="n"/>
      <c r="B328" s="1" t="n"/>
      <c r="C328" s="1" t="n"/>
    </row>
    <row r="329" ht="15.75" customHeight="1" s="64">
      <c r="A329" s="1" t="n"/>
      <c r="B329" s="1" t="n"/>
      <c r="C329" s="1" t="n"/>
    </row>
    <row r="330" ht="15.75" customHeight="1" s="64">
      <c r="A330" s="1" t="n"/>
      <c r="B330" s="1" t="n"/>
      <c r="C330" s="1" t="n"/>
    </row>
    <row r="331" ht="15.75" customHeight="1" s="64">
      <c r="A331" s="1" t="n"/>
      <c r="B331" s="1" t="n"/>
      <c r="C331" s="1" t="n"/>
    </row>
    <row r="332" ht="15.75" customHeight="1" s="64">
      <c r="A332" s="1" t="n"/>
      <c r="B332" s="1" t="n"/>
      <c r="C332" s="1" t="n"/>
    </row>
    <row r="333" ht="15.75" customHeight="1" s="64">
      <c r="A333" s="1" t="n"/>
      <c r="B333" s="1" t="n"/>
      <c r="C333" s="1" t="n"/>
    </row>
    <row r="334" ht="15.75" customHeight="1" s="64">
      <c r="A334" s="1" t="n"/>
      <c r="B334" s="1" t="n"/>
      <c r="C334" s="1" t="n"/>
    </row>
    <row r="335" ht="15.75" customHeight="1" s="64">
      <c r="A335" s="1" t="n"/>
      <c r="B335" s="1" t="n"/>
      <c r="C335" s="1" t="n"/>
    </row>
    <row r="336" ht="15.75" customHeight="1" s="64">
      <c r="A336" s="1" t="n"/>
      <c r="B336" s="1" t="n"/>
      <c r="C336" s="1" t="n"/>
    </row>
    <row r="337" ht="15.75" customHeight="1" s="64">
      <c r="A337" s="1" t="n"/>
      <c r="B337" s="1" t="n"/>
      <c r="C337" s="1" t="n"/>
    </row>
    <row r="338" ht="15.75" customHeight="1" s="64">
      <c r="A338" s="1" t="n"/>
      <c r="B338" s="1" t="n"/>
      <c r="C338" s="1" t="n"/>
    </row>
    <row r="339" ht="15.75" customHeight="1" s="64">
      <c r="A339" s="1" t="n"/>
      <c r="B339" s="1" t="n"/>
      <c r="C339" s="1" t="n"/>
    </row>
    <row r="340" ht="15.75" customHeight="1" s="64">
      <c r="A340" s="1" t="n"/>
      <c r="B340" s="1" t="n"/>
      <c r="C340" s="1" t="n"/>
    </row>
    <row r="341" ht="15.75" customHeight="1" s="64">
      <c r="A341" s="1" t="n"/>
      <c r="B341" s="1" t="n"/>
      <c r="C341" s="1" t="n"/>
    </row>
    <row r="342" ht="15.75" customHeight="1" s="64">
      <c r="A342" s="1" t="n"/>
      <c r="B342" s="1" t="n"/>
      <c r="C342" s="1" t="n"/>
    </row>
    <row r="343" ht="15.75" customHeight="1" s="64">
      <c r="A343" s="1" t="n"/>
      <c r="B343" s="1" t="n"/>
      <c r="C343" s="1" t="n"/>
    </row>
    <row r="344" ht="15.75" customHeight="1" s="64">
      <c r="A344" s="1" t="n"/>
      <c r="B344" s="1" t="n"/>
      <c r="C344" s="1" t="n"/>
    </row>
    <row r="345" ht="15.75" customHeight="1" s="64">
      <c r="A345" s="1" t="n"/>
      <c r="B345" s="1" t="n"/>
      <c r="C345" s="1" t="n"/>
    </row>
    <row r="346" ht="15.75" customHeight="1" s="64">
      <c r="A346" s="1" t="n"/>
      <c r="B346" s="1" t="n"/>
      <c r="C346" s="1" t="n"/>
    </row>
    <row r="347" ht="15.75" customHeight="1" s="64">
      <c r="A347" s="1" t="n"/>
      <c r="B347" s="1" t="n"/>
      <c r="C347" s="1" t="n"/>
    </row>
    <row r="348" ht="15.75" customHeight="1" s="64">
      <c r="A348" s="1" t="n"/>
      <c r="B348" s="1" t="n"/>
      <c r="C348" s="1" t="n"/>
    </row>
    <row r="349" ht="15.75" customHeight="1" s="64">
      <c r="A349" s="1" t="n"/>
      <c r="B349" s="1" t="n"/>
      <c r="C349" s="1" t="n"/>
    </row>
    <row r="350" ht="15.75" customHeight="1" s="64">
      <c r="A350" s="1" t="n"/>
      <c r="B350" s="1" t="n"/>
      <c r="C350" s="1" t="n"/>
    </row>
    <row r="351" ht="15.75" customHeight="1" s="64">
      <c r="A351" s="1" t="n"/>
      <c r="B351" s="1" t="n"/>
      <c r="C351" s="1" t="n"/>
    </row>
    <row r="352" ht="15.75" customHeight="1" s="64">
      <c r="A352" s="1" t="n"/>
      <c r="B352" s="1" t="n"/>
      <c r="C352" s="1" t="n"/>
    </row>
    <row r="353" ht="15.75" customHeight="1" s="64">
      <c r="A353" s="1" t="n"/>
      <c r="B353" s="1" t="n"/>
      <c r="C353" s="1" t="n"/>
    </row>
    <row r="354" ht="15.75" customHeight="1" s="64">
      <c r="A354" s="1" t="n"/>
      <c r="B354" s="1" t="n"/>
      <c r="C354" s="1" t="n"/>
    </row>
    <row r="355" ht="15.75" customHeight="1" s="64">
      <c r="A355" s="1" t="n"/>
      <c r="B355" s="1" t="n"/>
      <c r="C355" s="1" t="n"/>
    </row>
    <row r="356" ht="15.75" customHeight="1" s="64">
      <c r="A356" s="1" t="n"/>
      <c r="B356" s="1" t="n"/>
      <c r="C356" s="1" t="n"/>
    </row>
    <row r="357" ht="15.75" customHeight="1" s="64">
      <c r="A357" s="1" t="n"/>
      <c r="B357" s="1" t="n"/>
      <c r="C357" s="1" t="n"/>
    </row>
    <row r="358" ht="15.75" customHeight="1" s="64">
      <c r="A358" s="1" t="n"/>
      <c r="B358" s="1" t="n"/>
      <c r="C358" s="1" t="n"/>
    </row>
    <row r="359" ht="15.75" customHeight="1" s="64">
      <c r="A359" s="1" t="n"/>
      <c r="B359" s="1" t="n"/>
      <c r="C359" s="1" t="n"/>
    </row>
    <row r="360" ht="15.75" customHeight="1" s="64">
      <c r="A360" s="1" t="n"/>
      <c r="B360" s="1" t="n"/>
      <c r="C360" s="1" t="n"/>
    </row>
    <row r="361" ht="15.75" customHeight="1" s="64">
      <c r="A361" s="1" t="n"/>
      <c r="B361" s="1" t="n"/>
      <c r="C361" s="1" t="n"/>
    </row>
    <row r="362" ht="15.75" customHeight="1" s="64">
      <c r="A362" s="1" t="n"/>
      <c r="B362" s="1" t="n"/>
      <c r="C362" s="1" t="n"/>
    </row>
    <row r="363" ht="15.75" customHeight="1" s="64">
      <c r="A363" s="1" t="n"/>
      <c r="B363" s="1" t="n"/>
      <c r="C363" s="1" t="n"/>
    </row>
    <row r="364" ht="15.75" customHeight="1" s="64">
      <c r="A364" s="1" t="n"/>
      <c r="B364" s="1" t="n"/>
      <c r="C364" s="1" t="n"/>
    </row>
    <row r="365" ht="15.75" customHeight="1" s="64">
      <c r="A365" s="1" t="n"/>
      <c r="B365" s="1" t="n"/>
      <c r="C365" s="1" t="n"/>
    </row>
    <row r="366" ht="15.75" customHeight="1" s="64">
      <c r="A366" s="1" t="n"/>
      <c r="B366" s="1" t="n"/>
      <c r="C366" s="1" t="n"/>
    </row>
    <row r="367" ht="15.75" customHeight="1" s="64">
      <c r="A367" s="1" t="n"/>
      <c r="B367" s="1" t="n"/>
      <c r="C367" s="1" t="n"/>
    </row>
    <row r="368" ht="15.75" customHeight="1" s="64">
      <c r="A368" s="1" t="n"/>
      <c r="B368" s="1" t="n"/>
      <c r="C368" s="1" t="n"/>
    </row>
    <row r="369" ht="15.75" customHeight="1" s="64">
      <c r="A369" s="1" t="n"/>
      <c r="B369" s="1" t="n"/>
      <c r="C369" s="1" t="n"/>
    </row>
    <row r="370" ht="15.75" customHeight="1" s="64">
      <c r="A370" s="1" t="n"/>
      <c r="B370" s="1" t="n"/>
      <c r="C370" s="1" t="n"/>
    </row>
    <row r="371" ht="15.75" customHeight="1" s="64">
      <c r="A371" s="1" t="n"/>
      <c r="B371" s="1" t="n"/>
      <c r="C371" s="1" t="n"/>
    </row>
    <row r="372" ht="15.75" customHeight="1" s="64">
      <c r="A372" s="1" t="n"/>
      <c r="B372" s="1" t="n"/>
      <c r="C372" s="1" t="n"/>
    </row>
    <row r="373" ht="15.75" customHeight="1" s="64">
      <c r="A373" s="1" t="n"/>
      <c r="B373" s="1" t="n"/>
      <c r="C373" s="1" t="n"/>
    </row>
    <row r="374" ht="15.75" customHeight="1" s="64">
      <c r="A374" s="1" t="n"/>
      <c r="B374" s="1" t="n"/>
      <c r="C374" s="1" t="n"/>
    </row>
    <row r="375" ht="15.75" customHeight="1" s="64">
      <c r="A375" s="1" t="n"/>
      <c r="B375" s="1" t="n"/>
      <c r="C375" s="1" t="n"/>
    </row>
    <row r="376" ht="15.75" customHeight="1" s="64">
      <c r="A376" s="1" t="n"/>
      <c r="B376" s="1" t="n"/>
      <c r="C376" s="1" t="n"/>
    </row>
    <row r="377" ht="15.75" customHeight="1" s="64">
      <c r="A377" s="1" t="n"/>
      <c r="B377" s="1" t="n"/>
      <c r="C377" s="1" t="n"/>
    </row>
    <row r="378" ht="15.75" customHeight="1" s="64">
      <c r="A378" s="1" t="n"/>
      <c r="B378" s="1" t="n"/>
      <c r="C378" s="1" t="n"/>
    </row>
    <row r="379" ht="15.75" customHeight="1" s="64">
      <c r="A379" s="1" t="n"/>
      <c r="B379" s="1" t="n"/>
      <c r="C379" s="1" t="n"/>
    </row>
    <row r="380" ht="15.75" customHeight="1" s="64">
      <c r="A380" s="1" t="n"/>
      <c r="B380" s="1" t="n"/>
      <c r="C380" s="1" t="n"/>
    </row>
    <row r="381" ht="15.75" customHeight="1" s="64">
      <c r="A381" s="1" t="n"/>
      <c r="B381" s="1" t="n"/>
      <c r="C381" s="1" t="n"/>
    </row>
    <row r="382" ht="15.75" customHeight="1" s="64">
      <c r="A382" s="1" t="n"/>
      <c r="B382" s="1" t="n"/>
      <c r="C382" s="1" t="n"/>
    </row>
    <row r="383" ht="15.75" customHeight="1" s="64">
      <c r="A383" s="1" t="n"/>
      <c r="B383" s="1" t="n"/>
      <c r="C383" s="1" t="n"/>
    </row>
    <row r="384" ht="15.75" customHeight="1" s="64">
      <c r="A384" s="1" t="n"/>
      <c r="B384" s="1" t="n"/>
      <c r="C384" s="1" t="n"/>
    </row>
    <row r="385" ht="15.75" customHeight="1" s="64">
      <c r="A385" s="1" t="n"/>
      <c r="B385" s="1" t="n"/>
      <c r="C385" s="1" t="n"/>
    </row>
    <row r="386" ht="15.75" customHeight="1" s="64">
      <c r="A386" s="1" t="n"/>
      <c r="B386" s="1" t="n"/>
      <c r="C386" s="1" t="n"/>
    </row>
    <row r="387" ht="15.75" customHeight="1" s="64">
      <c r="A387" s="1" t="n"/>
      <c r="B387" s="1" t="n"/>
      <c r="C387" s="1" t="n"/>
    </row>
    <row r="388" ht="15.75" customHeight="1" s="64">
      <c r="A388" s="1" t="n"/>
      <c r="B388" s="1" t="n"/>
      <c r="C388" s="1" t="n"/>
    </row>
    <row r="389" ht="15.75" customHeight="1" s="64">
      <c r="A389" s="1" t="n"/>
      <c r="B389" s="1" t="n"/>
      <c r="C389" s="1" t="n"/>
    </row>
    <row r="390" ht="15.75" customHeight="1" s="64">
      <c r="A390" s="1" t="n"/>
      <c r="B390" s="1" t="n"/>
      <c r="C390" s="1" t="n"/>
    </row>
    <row r="391" ht="15.75" customHeight="1" s="64">
      <c r="A391" s="1" t="n"/>
      <c r="B391" s="1" t="n"/>
      <c r="C391" s="1" t="n"/>
    </row>
    <row r="392" ht="15.75" customHeight="1" s="64">
      <c r="A392" s="1" t="n"/>
      <c r="B392" s="1" t="n"/>
      <c r="C392" s="1" t="n"/>
    </row>
    <row r="393" ht="15.75" customHeight="1" s="64">
      <c r="A393" s="1" t="n"/>
      <c r="B393" s="1" t="n"/>
      <c r="C393" s="1" t="n"/>
    </row>
    <row r="394" ht="15.75" customHeight="1" s="64">
      <c r="A394" s="1" t="n"/>
      <c r="B394" s="1" t="n"/>
      <c r="C394" s="1" t="n"/>
    </row>
    <row r="395" ht="15.75" customHeight="1" s="64">
      <c r="A395" s="1" t="n"/>
      <c r="B395" s="1" t="n"/>
      <c r="C395" s="1" t="n"/>
    </row>
    <row r="396" ht="15.75" customHeight="1" s="64">
      <c r="A396" s="1" t="n"/>
      <c r="B396" s="1" t="n"/>
      <c r="C396" s="1" t="n"/>
    </row>
    <row r="397" ht="15.75" customHeight="1" s="64">
      <c r="A397" s="1" t="n"/>
      <c r="B397" s="1" t="n"/>
      <c r="C397" s="1" t="n"/>
    </row>
    <row r="398" ht="15.75" customHeight="1" s="64">
      <c r="A398" s="1" t="n"/>
      <c r="B398" s="1" t="n"/>
      <c r="C398" s="1" t="n"/>
    </row>
    <row r="399" ht="15.75" customHeight="1" s="64">
      <c r="A399" s="1" t="n"/>
      <c r="B399" s="1" t="n"/>
      <c r="C399" s="1" t="n"/>
    </row>
    <row r="400" ht="15.75" customHeight="1" s="64">
      <c r="A400" s="1" t="n"/>
      <c r="B400" s="1" t="n"/>
      <c r="C400" s="1" t="n"/>
    </row>
    <row r="401" ht="15.75" customHeight="1" s="64">
      <c r="A401" s="1" t="n"/>
      <c r="B401" s="1" t="n"/>
      <c r="C401" s="1" t="n"/>
    </row>
    <row r="402" ht="15.75" customHeight="1" s="64">
      <c r="A402" s="1" t="n"/>
      <c r="B402" s="1" t="n"/>
      <c r="C402" s="1" t="n"/>
    </row>
    <row r="403" ht="15.75" customHeight="1" s="64">
      <c r="A403" s="1" t="n"/>
      <c r="B403" s="1" t="n"/>
      <c r="C403" s="1" t="n"/>
    </row>
    <row r="404" ht="15.75" customHeight="1" s="64">
      <c r="A404" s="1" t="n"/>
      <c r="B404" s="1" t="n"/>
      <c r="C404" s="1" t="n"/>
    </row>
    <row r="405" ht="15.75" customHeight="1" s="64">
      <c r="A405" s="1" t="n"/>
      <c r="B405" s="1" t="n"/>
      <c r="C405" s="1" t="n"/>
    </row>
    <row r="406" ht="15.75" customHeight="1" s="64">
      <c r="A406" s="1" t="n"/>
      <c r="B406" s="1" t="n"/>
      <c r="C406" s="1" t="n"/>
    </row>
    <row r="407" ht="15.75" customHeight="1" s="64">
      <c r="A407" s="1" t="n"/>
      <c r="B407" s="1" t="n"/>
      <c r="C407" s="1" t="n"/>
    </row>
    <row r="408" ht="15.75" customHeight="1" s="64">
      <c r="A408" s="1" t="n"/>
      <c r="B408" s="1" t="n"/>
      <c r="C408" s="1" t="n"/>
    </row>
    <row r="409" ht="15.75" customHeight="1" s="64">
      <c r="A409" s="1" t="n"/>
      <c r="B409" s="1" t="n"/>
      <c r="C409" s="1" t="n"/>
    </row>
    <row r="410" ht="15.75" customHeight="1" s="64">
      <c r="A410" s="1" t="n"/>
      <c r="B410" s="1" t="n"/>
      <c r="C410" s="1" t="n"/>
    </row>
    <row r="411" ht="15.75" customHeight="1" s="64">
      <c r="A411" s="1" t="n"/>
      <c r="B411" s="1" t="n"/>
      <c r="C411" s="1" t="n"/>
    </row>
    <row r="412" ht="15.75" customHeight="1" s="64">
      <c r="A412" s="1" t="n"/>
      <c r="B412" s="1" t="n"/>
      <c r="C412" s="1" t="n"/>
    </row>
    <row r="413" ht="15.75" customHeight="1" s="64">
      <c r="A413" s="1" t="n"/>
      <c r="B413" s="1" t="n"/>
      <c r="C413" s="1" t="n"/>
    </row>
    <row r="414" ht="15.75" customHeight="1" s="64">
      <c r="A414" s="1" t="n"/>
      <c r="B414" s="1" t="n"/>
      <c r="C414" s="1" t="n"/>
    </row>
    <row r="415" ht="15.75" customHeight="1" s="64">
      <c r="A415" s="1" t="n"/>
      <c r="B415" s="1" t="n"/>
      <c r="C415" s="1" t="n"/>
    </row>
    <row r="416" ht="15.75" customHeight="1" s="64">
      <c r="A416" s="1" t="n"/>
      <c r="B416" s="1" t="n"/>
      <c r="C416" s="1" t="n"/>
    </row>
    <row r="417" ht="15.75" customHeight="1" s="64">
      <c r="A417" s="1" t="n"/>
      <c r="B417" s="1" t="n"/>
      <c r="C417" s="1" t="n"/>
    </row>
    <row r="418" ht="15.75" customHeight="1" s="64">
      <c r="A418" s="1" t="n"/>
      <c r="B418" s="1" t="n"/>
      <c r="C418" s="1" t="n"/>
    </row>
    <row r="419" ht="15.75" customHeight="1" s="64">
      <c r="A419" s="1" t="n"/>
      <c r="B419" s="1" t="n"/>
      <c r="C419" s="1" t="n"/>
    </row>
    <row r="420" ht="15.75" customHeight="1" s="64">
      <c r="A420" s="1" t="n"/>
      <c r="B420" s="1" t="n"/>
      <c r="C420" s="1" t="n"/>
    </row>
    <row r="421" ht="15.75" customHeight="1" s="64">
      <c r="A421" s="1" t="n"/>
      <c r="B421" s="1" t="n"/>
      <c r="C421" s="1" t="n"/>
    </row>
    <row r="422" ht="15.75" customHeight="1" s="64">
      <c r="A422" s="1" t="n"/>
      <c r="B422" s="1" t="n"/>
      <c r="C422" s="1" t="n"/>
    </row>
    <row r="423" ht="15.75" customHeight="1" s="64">
      <c r="A423" s="1" t="n"/>
      <c r="B423" s="1" t="n"/>
      <c r="C423" s="1" t="n"/>
    </row>
    <row r="424" ht="15.75" customHeight="1" s="64">
      <c r="A424" s="1" t="n"/>
      <c r="B424" s="1" t="n"/>
      <c r="C424" s="1" t="n"/>
    </row>
    <row r="425" ht="15.75" customHeight="1" s="64">
      <c r="A425" s="1" t="n"/>
      <c r="B425" s="1" t="n"/>
      <c r="C425" s="1" t="n"/>
    </row>
    <row r="426" ht="15.75" customHeight="1" s="64">
      <c r="A426" s="1" t="n"/>
      <c r="B426" s="1" t="n"/>
      <c r="C426" s="1" t="n"/>
    </row>
    <row r="427" ht="15.75" customHeight="1" s="64">
      <c r="A427" s="1" t="n"/>
      <c r="B427" s="1" t="n"/>
      <c r="C427" s="1" t="n"/>
    </row>
    <row r="428" ht="15.75" customHeight="1" s="64">
      <c r="A428" s="1" t="n"/>
      <c r="B428" s="1" t="n"/>
      <c r="C428" s="1" t="n"/>
    </row>
    <row r="429" ht="15.75" customHeight="1" s="64">
      <c r="A429" s="1" t="n"/>
      <c r="B429" s="1" t="n"/>
      <c r="C429" s="1" t="n"/>
    </row>
    <row r="430" ht="15.75" customHeight="1" s="64">
      <c r="A430" s="1" t="n"/>
      <c r="B430" s="1" t="n"/>
      <c r="C430" s="1" t="n"/>
    </row>
    <row r="431" ht="15.75" customHeight="1" s="64">
      <c r="A431" s="1" t="n"/>
      <c r="B431" s="1" t="n"/>
      <c r="C431" s="1" t="n"/>
    </row>
    <row r="432" ht="15.75" customHeight="1" s="64">
      <c r="A432" s="1" t="n"/>
      <c r="B432" s="1" t="n"/>
      <c r="C432" s="1" t="n"/>
    </row>
    <row r="433" ht="15.75" customHeight="1" s="64">
      <c r="A433" s="1" t="n"/>
      <c r="B433" s="1" t="n"/>
      <c r="C433" s="1" t="n"/>
    </row>
    <row r="434" ht="15.75" customHeight="1" s="64">
      <c r="A434" s="1" t="n"/>
      <c r="B434" s="1" t="n"/>
      <c r="C434" s="1" t="n"/>
    </row>
    <row r="435" ht="15.75" customHeight="1" s="64">
      <c r="A435" s="1" t="n"/>
      <c r="B435" s="1" t="n"/>
      <c r="C435" s="1" t="n"/>
    </row>
    <row r="436" ht="15.75" customHeight="1" s="64">
      <c r="A436" s="1" t="n"/>
      <c r="B436" s="1" t="n"/>
      <c r="C436" s="1" t="n"/>
    </row>
    <row r="437" ht="15.75" customHeight="1" s="64">
      <c r="A437" s="1" t="n"/>
      <c r="B437" s="1" t="n"/>
      <c r="C437" s="1" t="n"/>
    </row>
    <row r="438" ht="15.75" customHeight="1" s="64">
      <c r="A438" s="1" t="n"/>
      <c r="B438" s="1" t="n"/>
      <c r="C438" s="1" t="n"/>
    </row>
    <row r="439" ht="15.75" customHeight="1" s="64">
      <c r="A439" s="1" t="n"/>
      <c r="B439" s="1" t="n"/>
      <c r="C439" s="1" t="n"/>
    </row>
    <row r="440" ht="15.75" customHeight="1" s="64">
      <c r="A440" s="1" t="n"/>
      <c r="B440" s="1" t="n"/>
      <c r="C440" s="1" t="n"/>
    </row>
    <row r="441" ht="15.75" customHeight="1" s="64">
      <c r="A441" s="1" t="n"/>
      <c r="B441" s="1" t="n"/>
      <c r="C441" s="1" t="n"/>
    </row>
    <row r="442" ht="15.75" customHeight="1" s="64">
      <c r="A442" s="1" t="n"/>
      <c r="B442" s="1" t="n"/>
      <c r="C442" s="1" t="n"/>
    </row>
    <row r="443" ht="15.75" customHeight="1" s="64">
      <c r="A443" s="1" t="n"/>
      <c r="B443" s="1" t="n"/>
      <c r="C443" s="1" t="n"/>
    </row>
    <row r="444" ht="15.75" customHeight="1" s="64">
      <c r="A444" s="1" t="n"/>
      <c r="B444" s="1" t="n"/>
      <c r="C444" s="1" t="n"/>
    </row>
    <row r="445" ht="15.75" customHeight="1" s="64">
      <c r="A445" s="1" t="n"/>
      <c r="B445" s="1" t="n"/>
      <c r="C445" s="1" t="n"/>
    </row>
    <row r="446" ht="15.75" customHeight="1" s="64">
      <c r="A446" s="1" t="n"/>
      <c r="B446" s="1" t="n"/>
      <c r="C446" s="1" t="n"/>
    </row>
    <row r="447" ht="15.75" customHeight="1" s="64">
      <c r="A447" s="1" t="n"/>
      <c r="B447" s="1" t="n"/>
      <c r="C447" s="1" t="n"/>
    </row>
    <row r="448" ht="15.75" customHeight="1" s="64">
      <c r="A448" s="1" t="n"/>
      <c r="B448" s="1" t="n"/>
      <c r="C448" s="1" t="n"/>
    </row>
    <row r="449" ht="15.75" customHeight="1" s="64">
      <c r="A449" s="1" t="n"/>
      <c r="B449" s="1" t="n"/>
      <c r="C449" s="1" t="n"/>
    </row>
    <row r="450" ht="15.75" customHeight="1" s="64">
      <c r="A450" s="1" t="n"/>
      <c r="B450" s="1" t="n"/>
      <c r="C450" s="1" t="n"/>
    </row>
    <row r="451" ht="15.75" customHeight="1" s="64">
      <c r="A451" s="1" t="n"/>
      <c r="B451" s="1" t="n"/>
      <c r="C451" s="1" t="n"/>
    </row>
    <row r="452" ht="15.75" customHeight="1" s="64">
      <c r="A452" s="1" t="n"/>
      <c r="B452" s="1" t="n"/>
      <c r="C452" s="1" t="n"/>
    </row>
    <row r="453" ht="15.75" customHeight="1" s="64">
      <c r="A453" s="1" t="n"/>
      <c r="B453" s="1" t="n"/>
      <c r="C453" s="1" t="n"/>
    </row>
    <row r="454" ht="15.75" customHeight="1" s="64">
      <c r="A454" s="1" t="n"/>
      <c r="B454" s="1" t="n"/>
      <c r="C454" s="1" t="n"/>
    </row>
    <row r="455" ht="15.75" customHeight="1" s="64">
      <c r="A455" s="1" t="n"/>
      <c r="B455" s="1" t="n"/>
      <c r="C455" s="1" t="n"/>
    </row>
    <row r="456" ht="15.75" customHeight="1" s="64">
      <c r="A456" s="1" t="n"/>
      <c r="B456" s="1" t="n"/>
      <c r="C456" s="1" t="n"/>
    </row>
    <row r="457" ht="15.75" customHeight="1" s="64">
      <c r="A457" s="1" t="n"/>
      <c r="B457" s="1" t="n"/>
      <c r="C457" s="1" t="n"/>
    </row>
    <row r="458" ht="15.75" customHeight="1" s="64">
      <c r="A458" s="1" t="n"/>
      <c r="B458" s="1" t="n"/>
      <c r="C458" s="1" t="n"/>
    </row>
    <row r="459" ht="15.75" customHeight="1" s="64">
      <c r="A459" s="1" t="n"/>
      <c r="B459" s="1" t="n"/>
      <c r="C459" s="1" t="n"/>
    </row>
    <row r="460" ht="15.75" customHeight="1" s="64">
      <c r="A460" s="1" t="n"/>
      <c r="B460" s="1" t="n"/>
      <c r="C460" s="1" t="n"/>
    </row>
    <row r="461" ht="15.75" customHeight="1" s="64">
      <c r="A461" s="1" t="n"/>
      <c r="B461" s="1" t="n"/>
      <c r="C461" s="1" t="n"/>
    </row>
    <row r="462" ht="15.75" customHeight="1" s="64">
      <c r="A462" s="1" t="n"/>
      <c r="B462" s="1" t="n"/>
      <c r="C462" s="1" t="n"/>
    </row>
    <row r="463" ht="15.75" customHeight="1" s="64">
      <c r="A463" s="1" t="n"/>
      <c r="B463" s="1" t="n"/>
      <c r="C463" s="1" t="n"/>
    </row>
    <row r="464" ht="15.75" customHeight="1" s="64">
      <c r="A464" s="1" t="n"/>
      <c r="B464" s="1" t="n"/>
      <c r="C464" s="1" t="n"/>
    </row>
    <row r="465" ht="15.75" customHeight="1" s="64">
      <c r="A465" s="1" t="n"/>
      <c r="B465" s="1" t="n"/>
      <c r="C465" s="1" t="n"/>
    </row>
    <row r="466" ht="15.75" customHeight="1" s="64">
      <c r="A466" s="1" t="n"/>
      <c r="B466" s="1" t="n"/>
      <c r="C466" s="1" t="n"/>
    </row>
    <row r="467" ht="15.75" customHeight="1" s="64">
      <c r="A467" s="1" t="n"/>
      <c r="B467" s="1" t="n"/>
      <c r="C467" s="1" t="n"/>
    </row>
    <row r="468" ht="15.75" customHeight="1" s="64">
      <c r="A468" s="1" t="n"/>
      <c r="B468" s="1" t="n"/>
      <c r="C468" s="1" t="n"/>
    </row>
    <row r="469" ht="15.75" customHeight="1" s="64">
      <c r="A469" s="1" t="n"/>
      <c r="B469" s="1" t="n"/>
      <c r="C469" s="1" t="n"/>
    </row>
    <row r="470" ht="15.75" customHeight="1" s="64">
      <c r="A470" s="1" t="n"/>
      <c r="B470" s="1" t="n"/>
      <c r="C470" s="1" t="n"/>
    </row>
    <row r="471" ht="15.75" customHeight="1" s="64">
      <c r="A471" s="1" t="n"/>
      <c r="B471" s="1" t="n"/>
      <c r="C471" s="1" t="n"/>
    </row>
    <row r="472" ht="15.75" customHeight="1" s="64">
      <c r="A472" s="1" t="n"/>
      <c r="B472" s="1" t="n"/>
      <c r="C472" s="1" t="n"/>
    </row>
    <row r="473" ht="15.75" customHeight="1" s="64">
      <c r="A473" s="1" t="n"/>
      <c r="B473" s="1" t="n"/>
      <c r="C473" s="1" t="n"/>
    </row>
    <row r="474" ht="15.75" customHeight="1" s="64">
      <c r="A474" s="1" t="n"/>
      <c r="B474" s="1" t="n"/>
      <c r="C474" s="1" t="n"/>
    </row>
    <row r="475" ht="15.75" customHeight="1" s="64">
      <c r="A475" s="1" t="n"/>
      <c r="B475" s="1" t="n"/>
      <c r="C475" s="1" t="n"/>
    </row>
    <row r="476" ht="15.75" customHeight="1" s="64">
      <c r="A476" s="1" t="n"/>
      <c r="B476" s="1" t="n"/>
      <c r="C476" s="1" t="n"/>
    </row>
    <row r="477" ht="15.75" customHeight="1" s="64">
      <c r="A477" s="1" t="n"/>
      <c r="B477" s="1" t="n"/>
      <c r="C477" s="1" t="n"/>
    </row>
    <row r="478" ht="15.75" customHeight="1" s="64">
      <c r="A478" s="1" t="n"/>
      <c r="B478" s="1" t="n"/>
      <c r="C478" s="1" t="n"/>
    </row>
    <row r="479" ht="15.75" customHeight="1" s="64">
      <c r="A479" s="1" t="n"/>
      <c r="B479" s="1" t="n"/>
      <c r="C479" s="1" t="n"/>
    </row>
    <row r="480" ht="15.75" customHeight="1" s="64">
      <c r="A480" s="1" t="n"/>
      <c r="B480" s="1" t="n"/>
      <c r="C480" s="1" t="n"/>
    </row>
    <row r="481" ht="15.75" customHeight="1" s="64">
      <c r="A481" s="1" t="n"/>
      <c r="B481" s="1" t="n"/>
      <c r="C481" s="1" t="n"/>
    </row>
    <row r="482" ht="15.75" customHeight="1" s="64">
      <c r="A482" s="1" t="n"/>
      <c r="B482" s="1" t="n"/>
      <c r="C482" s="1" t="n"/>
    </row>
    <row r="483" ht="15.75" customHeight="1" s="64">
      <c r="A483" s="1" t="n"/>
      <c r="B483" s="1" t="n"/>
      <c r="C483" s="1" t="n"/>
    </row>
    <row r="484" ht="15.75" customHeight="1" s="64">
      <c r="A484" s="1" t="n"/>
      <c r="B484" s="1" t="n"/>
      <c r="C484" s="1" t="n"/>
    </row>
    <row r="485" ht="15.75" customHeight="1" s="64">
      <c r="A485" s="1" t="n"/>
      <c r="B485" s="1" t="n"/>
      <c r="C485" s="1" t="n"/>
    </row>
    <row r="486" ht="15.75" customHeight="1" s="64">
      <c r="A486" s="1" t="n"/>
      <c r="B486" s="1" t="n"/>
      <c r="C486" s="1" t="n"/>
    </row>
    <row r="487" ht="15.75" customHeight="1" s="64">
      <c r="A487" s="1" t="n"/>
      <c r="B487" s="1" t="n"/>
      <c r="C487" s="1" t="n"/>
    </row>
    <row r="488" ht="15.75" customHeight="1" s="64">
      <c r="A488" s="1" t="n"/>
      <c r="B488" s="1" t="n"/>
      <c r="C488" s="1" t="n"/>
    </row>
    <row r="489" ht="15.75" customHeight="1" s="64">
      <c r="A489" s="1" t="n"/>
      <c r="B489" s="1" t="n"/>
      <c r="C489" s="1" t="n"/>
    </row>
    <row r="490" ht="15.75" customHeight="1" s="64">
      <c r="A490" s="1" t="n"/>
      <c r="B490" s="1" t="n"/>
      <c r="C490" s="1" t="n"/>
    </row>
    <row r="491" ht="15.75" customHeight="1" s="64">
      <c r="A491" s="1" t="n"/>
      <c r="B491" s="1" t="n"/>
      <c r="C491" s="1" t="n"/>
    </row>
    <row r="492" ht="15.75" customHeight="1" s="64">
      <c r="A492" s="1" t="n"/>
      <c r="B492" s="1" t="n"/>
      <c r="C492" s="1" t="n"/>
    </row>
    <row r="493" ht="15.75" customHeight="1" s="64">
      <c r="A493" s="1" t="n"/>
      <c r="B493" s="1" t="n"/>
      <c r="C493" s="1" t="n"/>
    </row>
    <row r="494" ht="15.75" customHeight="1" s="64">
      <c r="A494" s="1" t="n"/>
      <c r="B494" s="1" t="n"/>
      <c r="C494" s="1" t="n"/>
    </row>
    <row r="495" ht="15.75" customHeight="1" s="64">
      <c r="A495" s="1" t="n"/>
      <c r="B495" s="1" t="n"/>
      <c r="C495" s="1" t="n"/>
    </row>
    <row r="496" ht="15.75" customHeight="1" s="64">
      <c r="A496" s="1" t="n"/>
      <c r="B496" s="1" t="n"/>
      <c r="C496" s="1" t="n"/>
    </row>
    <row r="497" ht="15.75" customHeight="1" s="64">
      <c r="A497" s="1" t="n"/>
      <c r="B497" s="1" t="n"/>
      <c r="C497" s="1" t="n"/>
    </row>
    <row r="498" ht="15.75" customHeight="1" s="64">
      <c r="A498" s="1" t="n"/>
      <c r="B498" s="1" t="n"/>
      <c r="C498" s="1" t="n"/>
    </row>
    <row r="499" ht="15.75" customHeight="1" s="64">
      <c r="A499" s="1" t="n"/>
      <c r="B499" s="1" t="n"/>
      <c r="C499" s="1" t="n"/>
    </row>
    <row r="500" ht="15.75" customHeight="1" s="64">
      <c r="A500" s="1" t="n"/>
      <c r="B500" s="1" t="n"/>
      <c r="C500" s="1" t="n"/>
    </row>
    <row r="501" ht="15.75" customHeight="1" s="64">
      <c r="A501" s="1" t="n"/>
      <c r="B501" s="1" t="n"/>
      <c r="C501" s="1" t="n"/>
    </row>
    <row r="502" ht="15.75" customHeight="1" s="64">
      <c r="A502" s="1" t="n"/>
      <c r="B502" s="1" t="n"/>
      <c r="C502" s="1" t="n"/>
    </row>
    <row r="503" ht="15.75" customHeight="1" s="64">
      <c r="A503" s="1" t="n"/>
      <c r="B503" s="1" t="n"/>
      <c r="C503" s="1" t="n"/>
    </row>
    <row r="504" ht="15.75" customHeight="1" s="64">
      <c r="A504" s="1" t="n"/>
      <c r="B504" s="1" t="n"/>
      <c r="C504" s="1" t="n"/>
    </row>
    <row r="505" ht="15.75" customHeight="1" s="64">
      <c r="A505" s="1" t="n"/>
      <c r="B505" s="1" t="n"/>
      <c r="C505" s="1" t="n"/>
    </row>
    <row r="506" ht="15.75" customHeight="1" s="64">
      <c r="A506" s="1" t="n"/>
      <c r="B506" s="1" t="n"/>
      <c r="C506" s="1" t="n"/>
    </row>
    <row r="507" ht="15.75" customHeight="1" s="64">
      <c r="A507" s="1" t="n"/>
      <c r="B507" s="1" t="n"/>
      <c r="C507" s="1" t="n"/>
    </row>
    <row r="508" ht="15.75" customHeight="1" s="64">
      <c r="A508" s="1" t="n"/>
      <c r="B508" s="1" t="n"/>
      <c r="C508" s="1" t="n"/>
    </row>
    <row r="509" ht="15.75" customHeight="1" s="64">
      <c r="A509" s="1" t="n"/>
      <c r="B509" s="1" t="n"/>
      <c r="C509" s="1" t="n"/>
    </row>
    <row r="510" ht="15.75" customHeight="1" s="64">
      <c r="A510" s="1" t="n"/>
      <c r="B510" s="1" t="n"/>
      <c r="C510" s="1" t="n"/>
    </row>
    <row r="511" ht="15.75" customHeight="1" s="64">
      <c r="A511" s="1" t="n"/>
      <c r="B511" s="1" t="n"/>
      <c r="C511" s="1" t="n"/>
    </row>
    <row r="512" ht="15.75" customHeight="1" s="64">
      <c r="A512" s="1" t="n"/>
      <c r="B512" s="1" t="n"/>
      <c r="C512" s="1" t="n"/>
    </row>
    <row r="513" ht="15.75" customHeight="1" s="64">
      <c r="A513" s="1" t="n"/>
      <c r="B513" s="1" t="n"/>
      <c r="C513" s="1" t="n"/>
    </row>
    <row r="514" ht="15.75" customHeight="1" s="64">
      <c r="A514" s="1" t="n"/>
      <c r="B514" s="1" t="n"/>
      <c r="C514" s="1" t="n"/>
    </row>
    <row r="515" ht="15.75" customHeight="1" s="64">
      <c r="A515" s="1" t="n"/>
      <c r="B515" s="1" t="n"/>
      <c r="C515" s="1" t="n"/>
    </row>
    <row r="516" ht="15.75" customHeight="1" s="64">
      <c r="A516" s="1" t="n"/>
      <c r="B516" s="1" t="n"/>
      <c r="C516" s="1" t="n"/>
    </row>
    <row r="517" ht="15.75" customHeight="1" s="64">
      <c r="A517" s="1" t="n"/>
      <c r="B517" s="1" t="n"/>
      <c r="C517" s="1" t="n"/>
    </row>
    <row r="518" ht="15.75" customHeight="1" s="64">
      <c r="A518" s="1" t="n"/>
      <c r="B518" s="1" t="n"/>
      <c r="C518" s="1" t="n"/>
    </row>
    <row r="519" ht="15.75" customHeight="1" s="64">
      <c r="A519" s="1" t="n"/>
      <c r="B519" s="1" t="n"/>
      <c r="C519" s="1" t="n"/>
    </row>
    <row r="520" ht="15.75" customHeight="1" s="64">
      <c r="A520" s="1" t="n"/>
      <c r="B520" s="1" t="n"/>
      <c r="C520" s="1" t="n"/>
    </row>
    <row r="521" ht="15.75" customHeight="1" s="64">
      <c r="A521" s="1" t="n"/>
      <c r="B521" s="1" t="n"/>
      <c r="C521" s="1" t="n"/>
    </row>
    <row r="522" ht="15.75" customHeight="1" s="64">
      <c r="A522" s="1" t="n"/>
      <c r="B522" s="1" t="n"/>
      <c r="C522" s="1" t="n"/>
    </row>
    <row r="523" ht="15.75" customHeight="1" s="64">
      <c r="A523" s="1" t="n"/>
      <c r="B523" s="1" t="n"/>
      <c r="C523" s="1" t="n"/>
    </row>
    <row r="524" ht="15.75" customHeight="1" s="64">
      <c r="A524" s="1" t="n"/>
      <c r="B524" s="1" t="n"/>
      <c r="C524" s="1" t="n"/>
    </row>
    <row r="525" ht="15.75" customHeight="1" s="64">
      <c r="A525" s="1" t="n"/>
      <c r="B525" s="1" t="n"/>
      <c r="C525" s="1" t="n"/>
    </row>
    <row r="526" ht="15.75" customHeight="1" s="64">
      <c r="A526" s="1" t="n"/>
      <c r="B526" s="1" t="n"/>
      <c r="C526" s="1" t="n"/>
    </row>
    <row r="527" ht="15.75" customHeight="1" s="64">
      <c r="A527" s="1" t="n"/>
      <c r="B527" s="1" t="n"/>
      <c r="C527" s="1" t="n"/>
    </row>
    <row r="528" ht="15.75" customHeight="1" s="64">
      <c r="A528" s="1" t="n"/>
      <c r="B528" s="1" t="n"/>
      <c r="C528" s="1" t="n"/>
    </row>
    <row r="529" ht="15.75" customHeight="1" s="64">
      <c r="A529" s="1" t="n"/>
      <c r="B529" s="1" t="n"/>
      <c r="C529" s="1" t="n"/>
    </row>
    <row r="530" ht="15.75" customHeight="1" s="64">
      <c r="A530" s="1" t="n"/>
      <c r="B530" s="1" t="n"/>
      <c r="C530" s="1" t="n"/>
    </row>
    <row r="531" ht="15.75" customHeight="1" s="64">
      <c r="A531" s="1" t="n"/>
      <c r="B531" s="1" t="n"/>
      <c r="C531" s="1" t="n"/>
    </row>
    <row r="532" ht="15.75" customHeight="1" s="64">
      <c r="A532" s="1" t="n"/>
      <c r="B532" s="1" t="n"/>
      <c r="C532" s="1" t="n"/>
    </row>
    <row r="533" ht="15.75" customHeight="1" s="64">
      <c r="A533" s="1" t="n"/>
      <c r="B533" s="1" t="n"/>
      <c r="C533" s="1" t="n"/>
    </row>
    <row r="534" ht="15.75" customHeight="1" s="64">
      <c r="A534" s="1" t="n"/>
      <c r="B534" s="1" t="n"/>
      <c r="C534" s="1" t="n"/>
    </row>
    <row r="535" ht="15.75" customHeight="1" s="64">
      <c r="A535" s="1" t="n"/>
      <c r="B535" s="1" t="n"/>
      <c r="C535" s="1" t="n"/>
    </row>
    <row r="536" ht="15.75" customHeight="1" s="64">
      <c r="A536" s="1" t="n"/>
      <c r="B536" s="1" t="n"/>
      <c r="C536" s="1" t="n"/>
    </row>
    <row r="537" ht="15.75" customHeight="1" s="64">
      <c r="A537" s="1" t="n"/>
      <c r="B537" s="1" t="n"/>
      <c r="C537" s="1" t="n"/>
    </row>
    <row r="538" ht="15.75" customHeight="1" s="64">
      <c r="A538" s="1" t="n"/>
      <c r="B538" s="1" t="n"/>
      <c r="C538" s="1" t="n"/>
    </row>
    <row r="539" ht="15.75" customHeight="1" s="64">
      <c r="A539" s="1" t="n"/>
      <c r="B539" s="1" t="n"/>
      <c r="C539" s="1" t="n"/>
    </row>
    <row r="540" ht="15.75" customHeight="1" s="64">
      <c r="A540" s="1" t="n"/>
      <c r="B540" s="1" t="n"/>
      <c r="C540" s="1" t="n"/>
    </row>
    <row r="541" ht="15.75" customHeight="1" s="64">
      <c r="A541" s="1" t="n"/>
      <c r="B541" s="1" t="n"/>
      <c r="C541" s="1" t="n"/>
    </row>
    <row r="542" ht="15.75" customHeight="1" s="64">
      <c r="A542" s="1" t="n"/>
      <c r="B542" s="1" t="n"/>
      <c r="C542" s="1" t="n"/>
    </row>
    <row r="543" ht="15.75" customHeight="1" s="64">
      <c r="A543" s="1" t="n"/>
      <c r="B543" s="1" t="n"/>
      <c r="C543" s="1" t="n"/>
    </row>
    <row r="544" ht="15.75" customHeight="1" s="64">
      <c r="A544" s="1" t="n"/>
      <c r="B544" s="1" t="n"/>
      <c r="C544" s="1" t="n"/>
    </row>
    <row r="545" ht="15.75" customHeight="1" s="64">
      <c r="A545" s="1" t="n"/>
      <c r="B545" s="1" t="n"/>
      <c r="C545" s="1" t="n"/>
    </row>
    <row r="546" ht="15.75" customHeight="1" s="64">
      <c r="A546" s="1" t="n"/>
      <c r="B546" s="1" t="n"/>
      <c r="C546" s="1" t="n"/>
    </row>
    <row r="547" ht="15.75" customHeight="1" s="64">
      <c r="A547" s="1" t="n"/>
      <c r="B547" s="1" t="n"/>
      <c r="C547" s="1" t="n"/>
    </row>
    <row r="548" ht="15.75" customHeight="1" s="64">
      <c r="A548" s="1" t="n"/>
      <c r="B548" s="1" t="n"/>
      <c r="C548" s="1" t="n"/>
    </row>
    <row r="549" ht="15.75" customHeight="1" s="64">
      <c r="A549" s="1" t="n"/>
      <c r="B549" s="1" t="n"/>
      <c r="C549" s="1" t="n"/>
    </row>
    <row r="550" ht="15.75" customHeight="1" s="64">
      <c r="A550" s="1" t="n"/>
      <c r="B550" s="1" t="n"/>
      <c r="C550" s="1" t="n"/>
    </row>
    <row r="551" ht="15.75" customHeight="1" s="64">
      <c r="A551" s="1" t="n"/>
      <c r="B551" s="1" t="n"/>
      <c r="C551" s="1" t="n"/>
    </row>
    <row r="552" ht="15.75" customHeight="1" s="64">
      <c r="A552" s="1" t="n"/>
      <c r="B552" s="1" t="n"/>
      <c r="C552" s="1" t="n"/>
    </row>
    <row r="553" ht="15.75" customHeight="1" s="64">
      <c r="A553" s="1" t="n"/>
      <c r="B553" s="1" t="n"/>
      <c r="C553" s="1" t="n"/>
    </row>
    <row r="554" ht="15.75" customHeight="1" s="64">
      <c r="A554" s="1" t="n"/>
      <c r="B554" s="1" t="n"/>
      <c r="C554" s="1" t="n"/>
    </row>
    <row r="555" ht="15.75" customHeight="1" s="64">
      <c r="A555" s="1" t="n"/>
      <c r="B555" s="1" t="n"/>
      <c r="C555" s="1" t="n"/>
    </row>
    <row r="556" ht="15.75" customHeight="1" s="64">
      <c r="A556" s="1" t="n"/>
      <c r="B556" s="1" t="n"/>
      <c r="C556" s="1" t="n"/>
    </row>
    <row r="557" ht="15.75" customHeight="1" s="64">
      <c r="A557" s="1" t="n"/>
      <c r="B557" s="1" t="n"/>
      <c r="C557" s="1" t="n"/>
    </row>
    <row r="558" ht="15.75" customHeight="1" s="64">
      <c r="A558" s="1" t="n"/>
      <c r="B558" s="1" t="n"/>
      <c r="C558" s="1" t="n"/>
    </row>
    <row r="559" ht="15.75" customHeight="1" s="64">
      <c r="A559" s="1" t="n"/>
      <c r="B559" s="1" t="n"/>
      <c r="C559" s="1" t="n"/>
    </row>
    <row r="560" ht="15.75" customHeight="1" s="64">
      <c r="A560" s="1" t="n"/>
      <c r="B560" s="1" t="n"/>
      <c r="C560" s="1" t="n"/>
    </row>
    <row r="561" ht="15.75" customHeight="1" s="64">
      <c r="A561" s="1" t="n"/>
      <c r="B561" s="1" t="n"/>
      <c r="C561" s="1" t="n"/>
    </row>
    <row r="562" ht="15.75" customHeight="1" s="64">
      <c r="A562" s="1" t="n"/>
      <c r="B562" s="1" t="n"/>
      <c r="C562" s="1" t="n"/>
    </row>
    <row r="563" ht="15.75" customHeight="1" s="64">
      <c r="A563" s="1" t="n"/>
      <c r="B563" s="1" t="n"/>
      <c r="C563" s="1" t="n"/>
    </row>
    <row r="564" ht="15.75" customHeight="1" s="64">
      <c r="A564" s="1" t="n"/>
      <c r="B564" s="1" t="n"/>
      <c r="C564" s="1" t="n"/>
    </row>
    <row r="565" ht="15.75" customHeight="1" s="64">
      <c r="A565" s="1" t="n"/>
      <c r="B565" s="1" t="n"/>
      <c r="C565" s="1" t="n"/>
    </row>
    <row r="566" ht="15.75" customHeight="1" s="64">
      <c r="A566" s="1" t="n"/>
      <c r="B566" s="1" t="n"/>
      <c r="C566" s="1" t="n"/>
    </row>
    <row r="567" ht="15.75" customHeight="1" s="64">
      <c r="A567" s="1" t="n"/>
      <c r="B567" s="1" t="n"/>
      <c r="C567" s="1" t="n"/>
    </row>
    <row r="568" ht="15.75" customHeight="1" s="64">
      <c r="A568" s="1" t="n"/>
      <c r="B568" s="1" t="n"/>
      <c r="C568" s="1" t="n"/>
    </row>
    <row r="569" ht="15.75" customHeight="1" s="64">
      <c r="A569" s="1" t="n"/>
      <c r="B569" s="1" t="n"/>
      <c r="C569" s="1" t="n"/>
    </row>
    <row r="570" ht="15.75" customHeight="1" s="64">
      <c r="A570" s="1" t="n"/>
      <c r="B570" s="1" t="n"/>
      <c r="C570" s="1" t="n"/>
    </row>
    <row r="571" ht="15.75" customHeight="1" s="64">
      <c r="A571" s="1" t="n"/>
      <c r="B571" s="1" t="n"/>
      <c r="C571" s="1" t="n"/>
    </row>
    <row r="572" ht="15.75" customHeight="1" s="64">
      <c r="A572" s="1" t="n"/>
      <c r="B572" s="1" t="n"/>
      <c r="C572" s="1" t="n"/>
    </row>
    <row r="573" ht="15.75" customHeight="1" s="64">
      <c r="A573" s="1" t="n"/>
      <c r="B573" s="1" t="n"/>
      <c r="C573" s="1" t="n"/>
    </row>
    <row r="574" ht="15.75" customHeight="1" s="64">
      <c r="A574" s="1" t="n"/>
      <c r="B574" s="1" t="n"/>
      <c r="C574" s="1" t="n"/>
    </row>
    <row r="575" ht="15.75" customHeight="1" s="64">
      <c r="A575" s="1" t="n"/>
      <c r="B575" s="1" t="n"/>
      <c r="C575" s="1" t="n"/>
    </row>
    <row r="576" ht="15.75" customHeight="1" s="64">
      <c r="A576" s="1" t="n"/>
      <c r="B576" s="1" t="n"/>
      <c r="C576" s="1" t="n"/>
    </row>
    <row r="577" ht="15.75" customHeight="1" s="64">
      <c r="A577" s="1" t="n"/>
      <c r="B577" s="1" t="n"/>
      <c r="C577" s="1" t="n"/>
    </row>
    <row r="578" ht="15.75" customHeight="1" s="64">
      <c r="A578" s="1" t="n"/>
      <c r="B578" s="1" t="n"/>
      <c r="C578" s="1" t="n"/>
    </row>
    <row r="579" ht="15.75" customHeight="1" s="64">
      <c r="A579" s="1" t="n"/>
      <c r="B579" s="1" t="n"/>
      <c r="C579" s="1" t="n"/>
    </row>
    <row r="580" ht="15.75" customHeight="1" s="64">
      <c r="A580" s="1" t="n"/>
      <c r="B580" s="1" t="n"/>
      <c r="C580" s="1" t="n"/>
    </row>
    <row r="581" ht="15.75" customHeight="1" s="64">
      <c r="A581" s="1" t="n"/>
      <c r="B581" s="1" t="n"/>
      <c r="C581" s="1" t="n"/>
    </row>
    <row r="582" ht="15.75" customHeight="1" s="64">
      <c r="A582" s="1" t="n"/>
      <c r="B582" s="1" t="n"/>
      <c r="C582" s="1" t="n"/>
    </row>
    <row r="583" ht="15.75" customHeight="1" s="64">
      <c r="A583" s="1" t="n"/>
      <c r="B583" s="1" t="n"/>
      <c r="C583" s="1" t="n"/>
    </row>
    <row r="584" ht="15.75" customHeight="1" s="64">
      <c r="A584" s="1" t="n"/>
      <c r="B584" s="1" t="n"/>
      <c r="C584" s="1" t="n"/>
    </row>
    <row r="585" ht="15.75" customHeight="1" s="64">
      <c r="A585" s="1" t="n"/>
      <c r="B585" s="1" t="n"/>
      <c r="C585" s="1" t="n"/>
    </row>
    <row r="586" ht="15.75" customHeight="1" s="64">
      <c r="A586" s="1" t="n"/>
      <c r="B586" s="1" t="n"/>
      <c r="C586" s="1" t="n"/>
    </row>
    <row r="587" ht="15.75" customHeight="1" s="64">
      <c r="A587" s="1" t="n"/>
      <c r="B587" s="1" t="n"/>
      <c r="C587" s="1" t="n"/>
    </row>
    <row r="588" ht="15.75" customHeight="1" s="64">
      <c r="A588" s="1" t="n"/>
      <c r="B588" s="1" t="n"/>
      <c r="C588" s="1" t="n"/>
    </row>
    <row r="589" ht="15.75" customHeight="1" s="64">
      <c r="A589" s="1" t="n"/>
      <c r="B589" s="1" t="n"/>
      <c r="C589" s="1" t="n"/>
    </row>
    <row r="590" ht="15.75" customHeight="1" s="64">
      <c r="A590" s="1" t="n"/>
      <c r="B590" s="1" t="n"/>
      <c r="C590" s="1" t="n"/>
    </row>
    <row r="591" ht="15.75" customHeight="1" s="64">
      <c r="A591" s="1" t="n"/>
      <c r="B591" s="1" t="n"/>
      <c r="C591" s="1" t="n"/>
    </row>
    <row r="592" ht="15.75" customHeight="1" s="64">
      <c r="A592" s="1" t="n"/>
      <c r="B592" s="1" t="n"/>
      <c r="C592" s="1" t="n"/>
    </row>
    <row r="593" ht="15.75" customHeight="1" s="64">
      <c r="A593" s="1" t="n"/>
      <c r="B593" s="1" t="n"/>
      <c r="C593" s="1" t="n"/>
    </row>
    <row r="594" ht="15.75" customHeight="1" s="64">
      <c r="A594" s="1" t="n"/>
      <c r="B594" s="1" t="n"/>
      <c r="C594" s="1" t="n"/>
    </row>
    <row r="595" ht="15.75" customHeight="1" s="64">
      <c r="A595" s="1" t="n"/>
      <c r="B595" s="1" t="n"/>
      <c r="C595" s="1" t="n"/>
    </row>
    <row r="596" ht="15.75" customHeight="1" s="64">
      <c r="A596" s="1" t="n"/>
      <c r="B596" s="1" t="n"/>
      <c r="C596" s="1" t="n"/>
    </row>
    <row r="597" ht="15.75" customHeight="1" s="64">
      <c r="A597" s="1" t="n"/>
      <c r="B597" s="1" t="n"/>
      <c r="C597" s="1" t="n"/>
    </row>
    <row r="598" ht="15.75" customHeight="1" s="64">
      <c r="A598" s="1" t="n"/>
      <c r="B598" s="1" t="n"/>
      <c r="C598" s="1" t="n"/>
    </row>
    <row r="599" ht="15.75" customHeight="1" s="64">
      <c r="A599" s="1" t="n"/>
      <c r="B599" s="1" t="n"/>
      <c r="C599" s="1" t="n"/>
    </row>
    <row r="600" ht="15.75" customHeight="1" s="64">
      <c r="A600" s="1" t="n"/>
      <c r="B600" s="1" t="n"/>
      <c r="C600" s="1" t="n"/>
    </row>
    <row r="601" ht="15.75" customHeight="1" s="64">
      <c r="A601" s="1" t="n"/>
      <c r="B601" s="1" t="n"/>
      <c r="C601" s="1" t="n"/>
    </row>
    <row r="602" ht="15.75" customHeight="1" s="64">
      <c r="A602" s="1" t="n"/>
      <c r="B602" s="1" t="n"/>
      <c r="C602" s="1" t="n"/>
    </row>
    <row r="603" ht="15.75" customHeight="1" s="64">
      <c r="A603" s="1" t="n"/>
      <c r="B603" s="1" t="n"/>
      <c r="C603" s="1" t="n"/>
    </row>
    <row r="604" ht="15.75" customHeight="1" s="64">
      <c r="A604" s="1" t="n"/>
      <c r="B604" s="1" t="n"/>
      <c r="C604" s="1" t="n"/>
    </row>
    <row r="605" ht="15.75" customHeight="1" s="64">
      <c r="A605" s="1" t="n"/>
      <c r="B605" s="1" t="n"/>
      <c r="C605" s="1" t="n"/>
    </row>
    <row r="606" ht="15.75" customHeight="1" s="64">
      <c r="A606" s="1" t="n"/>
      <c r="B606" s="1" t="n"/>
      <c r="C606" s="1" t="n"/>
    </row>
    <row r="607" ht="15.75" customHeight="1" s="64">
      <c r="A607" s="1" t="n"/>
      <c r="B607" s="1" t="n"/>
      <c r="C607" s="1" t="n"/>
    </row>
    <row r="608" ht="15.75" customHeight="1" s="64">
      <c r="A608" s="1" t="n"/>
      <c r="B608" s="1" t="n"/>
      <c r="C608" s="1" t="n"/>
    </row>
    <row r="609" ht="15.75" customHeight="1" s="64">
      <c r="A609" s="1" t="n"/>
      <c r="B609" s="1" t="n"/>
      <c r="C609" s="1" t="n"/>
    </row>
    <row r="610" ht="15.75" customHeight="1" s="64">
      <c r="A610" s="1" t="n"/>
      <c r="B610" s="1" t="n"/>
      <c r="C610" s="1" t="n"/>
    </row>
    <row r="611" ht="15.75" customHeight="1" s="64">
      <c r="A611" s="1" t="n"/>
      <c r="B611" s="1" t="n"/>
      <c r="C611" s="1" t="n"/>
    </row>
    <row r="612" ht="15.75" customHeight="1" s="64">
      <c r="A612" s="1" t="n"/>
      <c r="B612" s="1" t="n"/>
      <c r="C612" s="1" t="n"/>
    </row>
    <row r="613" ht="15.75" customHeight="1" s="64">
      <c r="A613" s="1" t="n"/>
      <c r="B613" s="1" t="n"/>
      <c r="C613" s="1" t="n"/>
    </row>
    <row r="614" ht="15.75" customHeight="1" s="64">
      <c r="A614" s="1" t="n"/>
      <c r="B614" s="1" t="n"/>
      <c r="C614" s="1" t="n"/>
    </row>
    <row r="615" ht="15.75" customHeight="1" s="64">
      <c r="A615" s="1" t="n"/>
      <c r="B615" s="1" t="n"/>
      <c r="C615" s="1" t="n"/>
    </row>
    <row r="616" ht="15.75" customHeight="1" s="64">
      <c r="A616" s="1" t="n"/>
      <c r="B616" s="1" t="n"/>
      <c r="C616" s="1" t="n"/>
    </row>
    <row r="617" ht="15.75" customHeight="1" s="64">
      <c r="A617" s="1" t="n"/>
      <c r="B617" s="1" t="n"/>
      <c r="C617" s="1" t="n"/>
    </row>
    <row r="618" ht="15.75" customHeight="1" s="64">
      <c r="A618" s="1" t="n"/>
      <c r="B618" s="1" t="n"/>
      <c r="C618" s="1" t="n"/>
    </row>
    <row r="619" ht="15.75" customHeight="1" s="64">
      <c r="A619" s="1" t="n"/>
      <c r="B619" s="1" t="n"/>
      <c r="C619" s="1" t="n"/>
    </row>
    <row r="620" ht="15.75" customHeight="1" s="64">
      <c r="A620" s="1" t="n"/>
      <c r="B620" s="1" t="n"/>
      <c r="C620" s="1" t="n"/>
    </row>
    <row r="621" ht="15.75" customHeight="1" s="64">
      <c r="A621" s="1" t="n"/>
      <c r="B621" s="1" t="n"/>
      <c r="C621" s="1" t="n"/>
    </row>
    <row r="622" ht="15.75" customHeight="1" s="64">
      <c r="A622" s="1" t="n"/>
      <c r="B622" s="1" t="n"/>
      <c r="C622" s="1" t="n"/>
    </row>
    <row r="623" ht="15.75" customHeight="1" s="64">
      <c r="A623" s="1" t="n"/>
      <c r="B623" s="1" t="n"/>
      <c r="C623" s="1" t="n"/>
    </row>
    <row r="624" ht="15.75" customHeight="1" s="64">
      <c r="A624" s="1" t="n"/>
      <c r="B624" s="1" t="n"/>
      <c r="C624" s="1" t="n"/>
    </row>
    <row r="625" ht="15.75" customHeight="1" s="64">
      <c r="A625" s="1" t="n"/>
      <c r="B625" s="1" t="n"/>
      <c r="C625" s="1" t="n"/>
    </row>
    <row r="626" ht="15.75" customHeight="1" s="64">
      <c r="A626" s="1" t="n"/>
      <c r="B626" s="1" t="n"/>
      <c r="C626" s="1" t="n"/>
    </row>
    <row r="627" ht="15.75" customHeight="1" s="64">
      <c r="A627" s="1" t="n"/>
      <c r="B627" s="1" t="n"/>
      <c r="C627" s="1" t="n"/>
    </row>
    <row r="628" ht="15.75" customHeight="1" s="64">
      <c r="A628" s="1" t="n"/>
      <c r="B628" s="1" t="n"/>
      <c r="C628" s="1" t="n"/>
    </row>
    <row r="629" ht="15.75" customHeight="1" s="64">
      <c r="A629" s="1" t="n"/>
      <c r="B629" s="1" t="n"/>
      <c r="C629" s="1" t="n"/>
    </row>
    <row r="630" ht="15.75" customHeight="1" s="64">
      <c r="A630" s="1" t="n"/>
      <c r="B630" s="1" t="n"/>
      <c r="C630" s="1" t="n"/>
    </row>
    <row r="631" ht="15.75" customHeight="1" s="64">
      <c r="A631" s="1" t="n"/>
      <c r="B631" s="1" t="n"/>
      <c r="C631" s="1" t="n"/>
    </row>
    <row r="632" ht="15.75" customHeight="1" s="64">
      <c r="A632" s="1" t="n"/>
      <c r="B632" s="1" t="n"/>
      <c r="C632" s="1" t="n"/>
    </row>
    <row r="633" ht="15.75" customHeight="1" s="64">
      <c r="A633" s="1" t="n"/>
      <c r="B633" s="1" t="n"/>
      <c r="C633" s="1" t="n"/>
    </row>
    <row r="634" ht="15.75" customHeight="1" s="64">
      <c r="A634" s="1" t="n"/>
      <c r="B634" s="1" t="n"/>
      <c r="C634" s="1" t="n"/>
    </row>
    <row r="635" ht="15.75" customHeight="1" s="64">
      <c r="A635" s="1" t="n"/>
      <c r="B635" s="1" t="n"/>
      <c r="C635" s="1" t="n"/>
    </row>
    <row r="636" ht="15.75" customHeight="1" s="64">
      <c r="A636" s="1" t="n"/>
      <c r="B636" s="1" t="n"/>
      <c r="C636" s="1" t="n"/>
    </row>
    <row r="637" ht="15.75" customHeight="1" s="64">
      <c r="A637" s="1" t="n"/>
      <c r="B637" s="1" t="n"/>
      <c r="C637" s="1" t="n"/>
    </row>
    <row r="638" ht="15.75" customHeight="1" s="64">
      <c r="A638" s="1" t="n"/>
      <c r="B638" s="1" t="n"/>
      <c r="C638" s="1" t="n"/>
    </row>
    <row r="639" ht="15.75" customHeight="1" s="64">
      <c r="A639" s="1" t="n"/>
      <c r="B639" s="1" t="n"/>
      <c r="C639" s="1" t="n"/>
    </row>
    <row r="640" ht="15.75" customHeight="1" s="64">
      <c r="A640" s="1" t="n"/>
      <c r="B640" s="1" t="n"/>
      <c r="C640" s="1" t="n"/>
    </row>
    <row r="641" ht="15.75" customHeight="1" s="64">
      <c r="A641" s="1" t="n"/>
      <c r="B641" s="1" t="n"/>
      <c r="C641" s="1" t="n"/>
    </row>
    <row r="642" ht="15.75" customHeight="1" s="64">
      <c r="A642" s="1" t="n"/>
      <c r="B642" s="1" t="n"/>
      <c r="C642" s="1" t="n"/>
    </row>
    <row r="643" ht="15.75" customHeight="1" s="64">
      <c r="A643" s="1" t="n"/>
      <c r="B643" s="1" t="n"/>
      <c r="C643" s="1" t="n"/>
    </row>
    <row r="644" ht="15.75" customHeight="1" s="64">
      <c r="A644" s="1" t="n"/>
      <c r="B644" s="1" t="n"/>
      <c r="C644" s="1" t="n"/>
    </row>
    <row r="645" ht="15.75" customHeight="1" s="64">
      <c r="A645" s="1" t="n"/>
      <c r="B645" s="1" t="n"/>
      <c r="C645" s="1" t="n"/>
    </row>
    <row r="646" ht="15.75" customHeight="1" s="64">
      <c r="A646" s="1" t="n"/>
      <c r="B646" s="1" t="n"/>
      <c r="C646" s="1" t="n"/>
    </row>
    <row r="647" ht="15.75" customHeight="1" s="64">
      <c r="A647" s="1" t="n"/>
      <c r="B647" s="1" t="n"/>
      <c r="C647" s="1" t="n"/>
    </row>
    <row r="648" ht="15.75" customHeight="1" s="64">
      <c r="A648" s="1" t="n"/>
      <c r="B648" s="1" t="n"/>
      <c r="C648" s="1" t="n"/>
    </row>
    <row r="649" ht="15.75" customHeight="1" s="64">
      <c r="A649" s="1" t="n"/>
      <c r="B649" s="1" t="n"/>
      <c r="C649" s="1" t="n"/>
    </row>
    <row r="650" ht="15.75" customHeight="1" s="64">
      <c r="A650" s="1" t="n"/>
      <c r="B650" s="1" t="n"/>
      <c r="C650" s="1" t="n"/>
    </row>
    <row r="651" ht="15.75" customHeight="1" s="64">
      <c r="A651" s="1" t="n"/>
      <c r="B651" s="1" t="n"/>
      <c r="C651" s="1" t="n"/>
    </row>
    <row r="652" ht="15.75" customHeight="1" s="64">
      <c r="A652" s="1" t="n"/>
      <c r="B652" s="1" t="n"/>
      <c r="C652" s="1" t="n"/>
    </row>
    <row r="653" ht="15.75" customHeight="1" s="64">
      <c r="A653" s="1" t="n"/>
      <c r="B653" s="1" t="n"/>
      <c r="C653" s="1" t="n"/>
    </row>
    <row r="654" ht="15.75" customHeight="1" s="64">
      <c r="A654" s="1" t="n"/>
      <c r="B654" s="1" t="n"/>
      <c r="C654" s="1" t="n"/>
    </row>
    <row r="655" ht="15.75" customHeight="1" s="64">
      <c r="A655" s="1" t="n"/>
      <c r="B655" s="1" t="n"/>
      <c r="C655" s="1" t="n"/>
    </row>
    <row r="656" ht="15.75" customHeight="1" s="64">
      <c r="A656" s="1" t="n"/>
      <c r="B656" s="1" t="n"/>
      <c r="C656" s="1" t="n"/>
    </row>
    <row r="657" ht="15.75" customHeight="1" s="64">
      <c r="A657" s="1" t="n"/>
      <c r="B657" s="1" t="n"/>
      <c r="C657" s="1" t="n"/>
    </row>
    <row r="658" ht="15.75" customHeight="1" s="64">
      <c r="A658" s="1" t="n"/>
      <c r="B658" s="1" t="n"/>
      <c r="C658" s="1" t="n"/>
    </row>
    <row r="659" ht="15.75" customHeight="1" s="64">
      <c r="A659" s="1" t="n"/>
      <c r="B659" s="1" t="n"/>
      <c r="C659" s="1" t="n"/>
    </row>
    <row r="660" ht="15.75" customHeight="1" s="64">
      <c r="A660" s="1" t="n"/>
      <c r="B660" s="1" t="n"/>
      <c r="C660" s="1" t="n"/>
    </row>
    <row r="661" ht="15.75" customHeight="1" s="64">
      <c r="A661" s="1" t="n"/>
      <c r="B661" s="1" t="n"/>
      <c r="C661" s="1" t="n"/>
    </row>
    <row r="662" ht="15.75" customHeight="1" s="64">
      <c r="A662" s="1" t="n"/>
      <c r="B662" s="1" t="n"/>
      <c r="C662" s="1" t="n"/>
    </row>
    <row r="663" ht="15.75" customHeight="1" s="64">
      <c r="A663" s="1" t="n"/>
      <c r="B663" s="1" t="n"/>
      <c r="C663" s="1" t="n"/>
    </row>
    <row r="664" ht="15.75" customHeight="1" s="64">
      <c r="A664" s="1" t="n"/>
      <c r="B664" s="1" t="n"/>
      <c r="C664" s="1" t="n"/>
    </row>
    <row r="665" ht="15.75" customHeight="1" s="64">
      <c r="A665" s="1" t="n"/>
      <c r="B665" s="1" t="n"/>
      <c r="C665" s="1" t="n"/>
    </row>
    <row r="666" ht="15.75" customHeight="1" s="64">
      <c r="A666" s="1" t="n"/>
      <c r="B666" s="1" t="n"/>
      <c r="C666" s="1" t="n"/>
    </row>
    <row r="667" ht="15.75" customHeight="1" s="64">
      <c r="A667" s="1" t="n"/>
      <c r="B667" s="1" t="n"/>
      <c r="C667" s="1" t="n"/>
    </row>
    <row r="668" ht="15.75" customHeight="1" s="64">
      <c r="A668" s="1" t="n"/>
      <c r="B668" s="1" t="n"/>
      <c r="C668" s="1" t="n"/>
    </row>
    <row r="669" ht="15.75" customHeight="1" s="64">
      <c r="A669" s="1" t="n"/>
      <c r="B669" s="1" t="n"/>
      <c r="C669" s="1" t="n"/>
    </row>
    <row r="670" ht="15.75" customHeight="1" s="64">
      <c r="A670" s="1" t="n"/>
      <c r="B670" s="1" t="n"/>
      <c r="C670" s="1" t="n"/>
    </row>
    <row r="671" ht="15.75" customHeight="1" s="64">
      <c r="A671" s="1" t="n"/>
      <c r="B671" s="1" t="n"/>
      <c r="C671" s="1" t="n"/>
    </row>
    <row r="672" ht="15.75" customHeight="1" s="64">
      <c r="A672" s="1" t="n"/>
      <c r="B672" s="1" t="n"/>
      <c r="C672" s="1" t="n"/>
    </row>
    <row r="673" ht="15.75" customHeight="1" s="64">
      <c r="A673" s="1" t="n"/>
      <c r="B673" s="1" t="n"/>
      <c r="C673" s="1" t="n"/>
    </row>
    <row r="674" ht="15.75" customHeight="1" s="64">
      <c r="A674" s="1" t="n"/>
      <c r="B674" s="1" t="n"/>
      <c r="C674" s="1" t="n"/>
    </row>
    <row r="675" ht="15.75" customHeight="1" s="64">
      <c r="A675" s="1" t="n"/>
      <c r="B675" s="1" t="n"/>
      <c r="C675" s="1" t="n"/>
    </row>
    <row r="676" ht="15.75" customHeight="1" s="64">
      <c r="A676" s="1" t="n"/>
      <c r="B676" s="1" t="n"/>
      <c r="C676" s="1" t="n"/>
    </row>
    <row r="677" ht="15.75" customHeight="1" s="64">
      <c r="A677" s="1" t="n"/>
      <c r="B677" s="1" t="n"/>
      <c r="C677" s="1" t="n"/>
    </row>
    <row r="678" ht="15.75" customHeight="1" s="64">
      <c r="A678" s="1" t="n"/>
      <c r="B678" s="1" t="n"/>
      <c r="C678" s="1" t="n"/>
    </row>
    <row r="679" ht="15.75" customHeight="1" s="64">
      <c r="A679" s="1" t="n"/>
      <c r="B679" s="1" t="n"/>
      <c r="C679" s="1" t="n"/>
    </row>
    <row r="680" ht="15.75" customHeight="1" s="64">
      <c r="A680" s="1" t="n"/>
      <c r="B680" s="1" t="n"/>
      <c r="C680" s="1" t="n"/>
    </row>
    <row r="681" ht="15.75" customHeight="1" s="64">
      <c r="A681" s="1" t="n"/>
      <c r="B681" s="1" t="n"/>
      <c r="C681" s="1" t="n"/>
    </row>
    <row r="682" ht="15.75" customHeight="1" s="64">
      <c r="A682" s="1" t="n"/>
      <c r="B682" s="1" t="n"/>
      <c r="C682" s="1" t="n"/>
    </row>
    <row r="683" ht="15.75" customHeight="1" s="64">
      <c r="A683" s="1" t="n"/>
      <c r="B683" s="1" t="n"/>
      <c r="C683" s="1" t="n"/>
    </row>
    <row r="684" ht="15.75" customHeight="1" s="64">
      <c r="A684" s="1" t="n"/>
      <c r="B684" s="1" t="n"/>
      <c r="C684" s="1" t="n"/>
    </row>
    <row r="685" ht="15.75" customHeight="1" s="64">
      <c r="A685" s="1" t="n"/>
      <c r="B685" s="1" t="n"/>
      <c r="C685" s="1" t="n"/>
    </row>
    <row r="686" ht="15.75" customHeight="1" s="64">
      <c r="A686" s="1" t="n"/>
      <c r="B686" s="1" t="n"/>
      <c r="C686" s="1" t="n"/>
    </row>
    <row r="687" ht="15.75" customHeight="1" s="64">
      <c r="A687" s="1" t="n"/>
      <c r="B687" s="1" t="n"/>
      <c r="C687" s="1" t="n"/>
    </row>
    <row r="688" ht="15.75" customHeight="1" s="64">
      <c r="A688" s="1" t="n"/>
      <c r="B688" s="1" t="n"/>
      <c r="C688" s="1" t="n"/>
    </row>
    <row r="689" ht="15.75" customHeight="1" s="64">
      <c r="A689" s="1" t="n"/>
      <c r="B689" s="1" t="n"/>
      <c r="C689" s="1" t="n"/>
    </row>
    <row r="690" ht="15.75" customHeight="1" s="64">
      <c r="A690" s="1" t="n"/>
      <c r="B690" s="1" t="n"/>
      <c r="C690" s="1" t="n"/>
    </row>
    <row r="691" ht="15.75" customHeight="1" s="64">
      <c r="A691" s="1" t="n"/>
      <c r="B691" s="1" t="n"/>
      <c r="C691" s="1" t="n"/>
    </row>
    <row r="692" ht="15.75" customHeight="1" s="64">
      <c r="A692" s="1" t="n"/>
      <c r="B692" s="1" t="n"/>
      <c r="C692" s="1" t="n"/>
    </row>
    <row r="693" ht="15.75" customHeight="1" s="64">
      <c r="A693" s="1" t="n"/>
      <c r="B693" s="1" t="n"/>
      <c r="C693" s="1" t="n"/>
    </row>
    <row r="694" ht="15.75" customHeight="1" s="64">
      <c r="A694" s="1" t="n"/>
      <c r="B694" s="1" t="n"/>
      <c r="C694" s="1" t="n"/>
    </row>
    <row r="695" ht="15.75" customHeight="1" s="64">
      <c r="A695" s="1" t="n"/>
      <c r="B695" s="1" t="n"/>
      <c r="C695" s="1" t="n"/>
    </row>
    <row r="696" ht="15.75" customHeight="1" s="64">
      <c r="A696" s="1" t="n"/>
      <c r="B696" s="1" t="n"/>
      <c r="C696" s="1" t="n"/>
    </row>
    <row r="697" ht="15.75" customHeight="1" s="64">
      <c r="A697" s="1" t="n"/>
      <c r="B697" s="1" t="n"/>
      <c r="C697" s="1" t="n"/>
    </row>
    <row r="698" ht="15.75" customHeight="1" s="64">
      <c r="A698" s="1" t="n"/>
      <c r="B698" s="1" t="n"/>
      <c r="C698" s="1" t="n"/>
    </row>
    <row r="699" ht="15.75" customHeight="1" s="64">
      <c r="A699" s="1" t="n"/>
      <c r="B699" s="1" t="n"/>
      <c r="C699" s="1" t="n"/>
    </row>
    <row r="700" ht="15.75" customHeight="1" s="64">
      <c r="A700" s="1" t="n"/>
      <c r="B700" s="1" t="n"/>
      <c r="C700" s="1" t="n"/>
    </row>
    <row r="701" ht="15.75" customHeight="1" s="64">
      <c r="A701" s="1" t="n"/>
      <c r="B701" s="1" t="n"/>
      <c r="C701" s="1" t="n"/>
    </row>
    <row r="702" ht="15.75" customHeight="1" s="64">
      <c r="A702" s="1" t="n"/>
      <c r="B702" s="1" t="n"/>
      <c r="C702" s="1" t="n"/>
    </row>
    <row r="703" ht="15.75" customHeight="1" s="64">
      <c r="A703" s="1" t="n"/>
      <c r="B703" s="1" t="n"/>
      <c r="C703" s="1" t="n"/>
    </row>
    <row r="704" ht="15.75" customHeight="1" s="64">
      <c r="A704" s="1" t="n"/>
      <c r="B704" s="1" t="n"/>
      <c r="C704" s="1" t="n"/>
    </row>
    <row r="705" ht="15.75" customHeight="1" s="64">
      <c r="A705" s="1" t="n"/>
      <c r="B705" s="1" t="n"/>
      <c r="C705" s="1" t="n"/>
    </row>
    <row r="706" ht="15.75" customHeight="1" s="64">
      <c r="A706" s="1" t="n"/>
      <c r="B706" s="1" t="n"/>
      <c r="C706" s="1" t="n"/>
    </row>
    <row r="707" ht="15.75" customHeight="1" s="64">
      <c r="A707" s="1" t="n"/>
      <c r="B707" s="1" t="n"/>
      <c r="C707" s="1" t="n"/>
    </row>
    <row r="708" ht="15.75" customHeight="1" s="64">
      <c r="A708" s="1" t="n"/>
      <c r="B708" s="1" t="n"/>
      <c r="C708" s="1" t="n"/>
    </row>
    <row r="709" ht="15.75" customHeight="1" s="64">
      <c r="A709" s="1" t="n"/>
      <c r="B709" s="1" t="n"/>
      <c r="C709" s="1" t="n"/>
    </row>
    <row r="710" ht="15.75" customHeight="1" s="64">
      <c r="A710" s="1" t="n"/>
      <c r="B710" s="1" t="n"/>
      <c r="C710" s="1" t="n"/>
    </row>
    <row r="711" ht="15.75" customHeight="1" s="64">
      <c r="A711" s="1" t="n"/>
      <c r="B711" s="1" t="n"/>
      <c r="C711" s="1" t="n"/>
    </row>
    <row r="712" ht="15.75" customHeight="1" s="64">
      <c r="A712" s="1" t="n"/>
      <c r="B712" s="1" t="n"/>
      <c r="C712" s="1" t="n"/>
    </row>
    <row r="713" ht="15.75" customHeight="1" s="64">
      <c r="A713" s="1" t="n"/>
      <c r="B713" s="1" t="n"/>
      <c r="C713" s="1" t="n"/>
    </row>
    <row r="714" ht="15.75" customHeight="1" s="64">
      <c r="A714" s="1" t="n"/>
      <c r="B714" s="1" t="n"/>
      <c r="C714" s="1" t="n"/>
    </row>
    <row r="715" ht="15.75" customHeight="1" s="64">
      <c r="A715" s="1" t="n"/>
      <c r="B715" s="1" t="n"/>
      <c r="C715" s="1" t="n"/>
    </row>
    <row r="716" ht="15.75" customHeight="1" s="64">
      <c r="A716" s="1" t="n"/>
      <c r="B716" s="1" t="n"/>
      <c r="C716" s="1" t="n"/>
    </row>
    <row r="717" ht="15.75" customHeight="1" s="64">
      <c r="A717" s="1" t="n"/>
      <c r="B717" s="1" t="n"/>
      <c r="C717" s="1" t="n"/>
    </row>
    <row r="718" ht="15.75" customHeight="1" s="64">
      <c r="A718" s="1" t="n"/>
      <c r="B718" s="1" t="n"/>
      <c r="C718" s="1" t="n"/>
    </row>
    <row r="719" ht="15.75" customHeight="1" s="64">
      <c r="A719" s="1" t="n"/>
      <c r="B719" s="1" t="n"/>
      <c r="C719" s="1" t="n"/>
    </row>
    <row r="720" ht="15.75" customHeight="1" s="64">
      <c r="A720" s="1" t="n"/>
      <c r="B720" s="1" t="n"/>
      <c r="C720" s="1" t="n"/>
    </row>
    <row r="721" ht="15.75" customHeight="1" s="64">
      <c r="A721" s="1" t="n"/>
      <c r="B721" s="1" t="n"/>
      <c r="C721" s="1" t="n"/>
    </row>
    <row r="722" ht="15.75" customHeight="1" s="64">
      <c r="A722" s="1" t="n"/>
      <c r="B722" s="1" t="n"/>
      <c r="C722" s="1" t="n"/>
    </row>
    <row r="723" ht="15.75" customHeight="1" s="64">
      <c r="A723" s="1" t="n"/>
      <c r="B723" s="1" t="n"/>
      <c r="C723" s="1" t="n"/>
    </row>
    <row r="724" ht="15.75" customHeight="1" s="64">
      <c r="A724" s="1" t="n"/>
      <c r="B724" s="1" t="n"/>
      <c r="C724" s="1" t="n"/>
    </row>
    <row r="725" ht="15.75" customHeight="1" s="64">
      <c r="A725" s="1" t="n"/>
      <c r="B725" s="1" t="n"/>
      <c r="C725" s="1" t="n"/>
    </row>
    <row r="726" ht="15.75" customHeight="1" s="64">
      <c r="A726" s="1" t="n"/>
      <c r="B726" s="1" t="n"/>
      <c r="C726" s="1" t="n"/>
    </row>
    <row r="727" ht="15.75" customHeight="1" s="64">
      <c r="A727" s="1" t="n"/>
      <c r="B727" s="1" t="n"/>
      <c r="C727" s="1" t="n"/>
    </row>
    <row r="728" ht="15.75" customHeight="1" s="64">
      <c r="A728" s="1" t="n"/>
      <c r="B728" s="1" t="n"/>
      <c r="C728" s="1" t="n"/>
    </row>
    <row r="729" ht="15.75" customHeight="1" s="64">
      <c r="A729" s="1" t="n"/>
      <c r="B729" s="1" t="n"/>
      <c r="C729" s="1" t="n"/>
    </row>
    <row r="730" ht="15.75" customHeight="1" s="64">
      <c r="A730" s="1" t="n"/>
      <c r="B730" s="1" t="n"/>
      <c r="C730" s="1" t="n"/>
    </row>
    <row r="731" ht="15.75" customHeight="1" s="64">
      <c r="A731" s="1" t="n"/>
      <c r="B731" s="1" t="n"/>
      <c r="C731" s="1" t="n"/>
    </row>
    <row r="732" ht="15.75" customHeight="1" s="64">
      <c r="A732" s="1" t="n"/>
      <c r="B732" s="1" t="n"/>
      <c r="C732" s="1" t="n"/>
    </row>
    <row r="733" ht="15.75" customHeight="1" s="64">
      <c r="A733" s="1" t="n"/>
      <c r="B733" s="1" t="n"/>
      <c r="C733" s="1" t="n"/>
    </row>
    <row r="734" ht="15.75" customHeight="1" s="64">
      <c r="A734" s="1" t="n"/>
      <c r="B734" s="1" t="n"/>
      <c r="C734" s="1" t="n"/>
    </row>
    <row r="735" ht="15.75" customHeight="1" s="64">
      <c r="A735" s="1" t="n"/>
      <c r="B735" s="1" t="n"/>
      <c r="C735" s="1" t="n"/>
    </row>
    <row r="736" ht="15.75" customHeight="1" s="64">
      <c r="A736" s="1" t="n"/>
      <c r="B736" s="1" t="n"/>
      <c r="C736" s="1" t="n"/>
    </row>
    <row r="737" ht="15.75" customHeight="1" s="64">
      <c r="A737" s="1" t="n"/>
      <c r="B737" s="1" t="n"/>
      <c r="C737" s="1" t="n"/>
    </row>
    <row r="738" ht="15.75" customHeight="1" s="64">
      <c r="A738" s="1" t="n"/>
      <c r="B738" s="1" t="n"/>
      <c r="C738" s="1" t="n"/>
    </row>
    <row r="739" ht="15.75" customHeight="1" s="64">
      <c r="A739" s="1" t="n"/>
      <c r="B739" s="1" t="n"/>
      <c r="C739" s="1" t="n"/>
    </row>
    <row r="740" ht="15.75" customHeight="1" s="64">
      <c r="A740" s="1" t="n"/>
      <c r="B740" s="1" t="n"/>
      <c r="C740" s="1" t="n"/>
    </row>
    <row r="741" ht="15.75" customHeight="1" s="64">
      <c r="A741" s="1" t="n"/>
      <c r="B741" s="1" t="n"/>
      <c r="C741" s="1" t="n"/>
    </row>
    <row r="742" ht="15.75" customHeight="1" s="64">
      <c r="A742" s="1" t="n"/>
      <c r="B742" s="1" t="n"/>
      <c r="C742" s="1" t="n"/>
    </row>
    <row r="743" ht="15.75" customHeight="1" s="64">
      <c r="A743" s="1" t="n"/>
      <c r="B743" s="1" t="n"/>
      <c r="C743" s="1" t="n"/>
    </row>
    <row r="744" ht="15.75" customHeight="1" s="64">
      <c r="A744" s="1" t="n"/>
      <c r="B744" s="1" t="n"/>
      <c r="C744" s="1" t="n"/>
    </row>
    <row r="745" ht="15.75" customHeight="1" s="64">
      <c r="A745" s="1" t="n"/>
      <c r="B745" s="1" t="n"/>
      <c r="C745" s="1" t="n"/>
    </row>
    <row r="746" ht="15.75" customHeight="1" s="64">
      <c r="A746" s="1" t="n"/>
      <c r="B746" s="1" t="n"/>
      <c r="C746" s="1" t="n"/>
    </row>
    <row r="747" ht="15.75" customHeight="1" s="64">
      <c r="A747" s="1" t="n"/>
      <c r="B747" s="1" t="n"/>
      <c r="C747" s="1" t="n"/>
    </row>
    <row r="748" ht="15.75" customHeight="1" s="64">
      <c r="A748" s="1" t="n"/>
      <c r="B748" s="1" t="n"/>
      <c r="C748" s="1" t="n"/>
    </row>
    <row r="749" ht="15.75" customHeight="1" s="64">
      <c r="A749" s="1" t="n"/>
      <c r="B749" s="1" t="n"/>
      <c r="C749" s="1" t="n"/>
    </row>
    <row r="750" ht="15.75" customHeight="1" s="64">
      <c r="A750" s="1" t="n"/>
      <c r="B750" s="1" t="n"/>
      <c r="C750" s="1" t="n"/>
    </row>
    <row r="751" ht="15.75" customHeight="1" s="64">
      <c r="A751" s="1" t="n"/>
      <c r="B751" s="1" t="n"/>
      <c r="C751" s="1" t="n"/>
    </row>
    <row r="752" ht="15.75" customHeight="1" s="64">
      <c r="A752" s="1" t="n"/>
      <c r="B752" s="1" t="n"/>
      <c r="C752" s="1" t="n"/>
    </row>
    <row r="753" ht="15.75" customHeight="1" s="64">
      <c r="A753" s="1" t="n"/>
      <c r="B753" s="1" t="n"/>
      <c r="C753" s="1" t="n"/>
    </row>
    <row r="754" ht="15.75" customHeight="1" s="64">
      <c r="A754" s="1" t="n"/>
      <c r="B754" s="1" t="n"/>
      <c r="C754" s="1" t="n"/>
    </row>
    <row r="755" ht="15.75" customHeight="1" s="64">
      <c r="A755" s="1" t="n"/>
      <c r="B755" s="1" t="n"/>
      <c r="C755" s="1" t="n"/>
    </row>
    <row r="756" ht="15.75" customHeight="1" s="64">
      <c r="A756" s="1" t="n"/>
      <c r="B756" s="1" t="n"/>
      <c r="C756" s="1" t="n"/>
    </row>
    <row r="757" ht="15.75" customHeight="1" s="64">
      <c r="A757" s="1" t="n"/>
      <c r="B757" s="1" t="n"/>
      <c r="C757" s="1" t="n"/>
    </row>
    <row r="758" ht="15.75" customHeight="1" s="64">
      <c r="A758" s="1" t="n"/>
      <c r="B758" s="1" t="n"/>
      <c r="C758" s="1" t="n"/>
    </row>
    <row r="759" ht="15.75" customHeight="1" s="64">
      <c r="A759" s="1" t="n"/>
      <c r="B759" s="1" t="n"/>
      <c r="C759" s="1" t="n"/>
    </row>
    <row r="760" ht="15.75" customHeight="1" s="64">
      <c r="A760" s="1" t="n"/>
      <c r="B760" s="1" t="n"/>
      <c r="C760" s="1" t="n"/>
    </row>
    <row r="761" ht="15.75" customHeight="1" s="64">
      <c r="A761" s="1" t="n"/>
      <c r="B761" s="1" t="n"/>
      <c r="C761" s="1" t="n"/>
    </row>
    <row r="762" ht="15.75" customHeight="1" s="64">
      <c r="A762" s="1" t="n"/>
      <c r="B762" s="1" t="n"/>
      <c r="C762" s="1" t="n"/>
    </row>
    <row r="763" ht="15.75" customHeight="1" s="64">
      <c r="A763" s="1" t="n"/>
      <c r="B763" s="1" t="n"/>
      <c r="C763" s="1" t="n"/>
    </row>
    <row r="764" ht="15.75" customHeight="1" s="64">
      <c r="A764" s="1" t="n"/>
      <c r="B764" s="1" t="n"/>
      <c r="C764" s="1" t="n"/>
    </row>
    <row r="765" ht="15.75" customHeight="1" s="64">
      <c r="A765" s="1" t="n"/>
      <c r="B765" s="1" t="n"/>
      <c r="C765" s="1" t="n"/>
    </row>
    <row r="766" ht="15.75" customHeight="1" s="64">
      <c r="A766" s="1" t="n"/>
      <c r="B766" s="1" t="n"/>
      <c r="C766" s="1" t="n"/>
    </row>
    <row r="767" ht="15.75" customHeight="1" s="64">
      <c r="A767" s="1" t="n"/>
      <c r="B767" s="1" t="n"/>
      <c r="C767" s="1" t="n"/>
    </row>
    <row r="768" ht="15.75" customHeight="1" s="64">
      <c r="A768" s="1" t="n"/>
      <c r="B768" s="1" t="n"/>
      <c r="C768" s="1" t="n"/>
    </row>
    <row r="769" ht="15.75" customHeight="1" s="64">
      <c r="A769" s="1" t="n"/>
      <c r="B769" s="1" t="n"/>
      <c r="C769" s="1" t="n"/>
    </row>
    <row r="770" ht="15.75" customHeight="1" s="64">
      <c r="A770" s="1" t="n"/>
      <c r="B770" s="1" t="n"/>
      <c r="C770" s="1" t="n"/>
    </row>
    <row r="771" ht="15.75" customHeight="1" s="64">
      <c r="A771" s="1" t="n"/>
      <c r="B771" s="1" t="n"/>
      <c r="C771" s="1" t="n"/>
    </row>
    <row r="772" ht="15.75" customHeight="1" s="64">
      <c r="A772" s="1" t="n"/>
      <c r="B772" s="1" t="n"/>
      <c r="C772" s="1" t="n"/>
    </row>
    <row r="773" ht="15.75" customHeight="1" s="64">
      <c r="A773" s="1" t="n"/>
      <c r="B773" s="1" t="n"/>
      <c r="C773" s="1" t="n"/>
    </row>
    <row r="774" ht="15.75" customHeight="1" s="64">
      <c r="A774" s="1" t="n"/>
      <c r="B774" s="1" t="n"/>
      <c r="C774" s="1" t="n"/>
    </row>
    <row r="775" ht="15.75" customHeight="1" s="64">
      <c r="A775" s="1" t="n"/>
      <c r="B775" s="1" t="n"/>
      <c r="C775" s="1" t="n"/>
    </row>
    <row r="776" ht="15.75" customHeight="1" s="64">
      <c r="A776" s="1" t="n"/>
      <c r="B776" s="1" t="n"/>
      <c r="C776" s="1" t="n"/>
    </row>
    <row r="777" ht="15.75" customHeight="1" s="64">
      <c r="A777" s="1" t="n"/>
      <c r="B777" s="1" t="n"/>
      <c r="C777" s="1" t="n"/>
    </row>
    <row r="778" ht="15.75" customHeight="1" s="64">
      <c r="A778" s="1" t="n"/>
      <c r="B778" s="1" t="n"/>
      <c r="C778" s="1" t="n"/>
    </row>
    <row r="779" ht="15.75" customHeight="1" s="64">
      <c r="A779" s="1" t="n"/>
      <c r="B779" s="1" t="n"/>
      <c r="C779" s="1" t="n"/>
    </row>
    <row r="780" ht="15.75" customHeight="1" s="64">
      <c r="A780" s="1" t="n"/>
      <c r="B780" s="1" t="n"/>
      <c r="C780" s="1" t="n"/>
    </row>
    <row r="781" ht="15.75" customHeight="1" s="64">
      <c r="A781" s="1" t="n"/>
      <c r="B781" s="1" t="n"/>
      <c r="C781" s="1" t="n"/>
    </row>
    <row r="782" ht="15.75" customHeight="1" s="64">
      <c r="A782" s="1" t="n"/>
      <c r="B782" s="1" t="n"/>
      <c r="C782" s="1" t="n"/>
    </row>
    <row r="783" ht="15.75" customHeight="1" s="64">
      <c r="A783" s="1" t="n"/>
      <c r="B783" s="1" t="n"/>
      <c r="C783" s="1" t="n"/>
    </row>
    <row r="784" ht="15.75" customHeight="1" s="64">
      <c r="A784" s="1" t="n"/>
      <c r="B784" s="1" t="n"/>
      <c r="C784" s="1" t="n"/>
    </row>
    <row r="785" ht="15.75" customHeight="1" s="64">
      <c r="A785" s="1" t="n"/>
      <c r="B785" s="1" t="n"/>
      <c r="C785" s="1" t="n"/>
    </row>
    <row r="786" ht="15.75" customHeight="1" s="64">
      <c r="A786" s="1" t="n"/>
      <c r="B786" s="1" t="n"/>
      <c r="C786" s="1" t="n"/>
    </row>
    <row r="787" ht="15.75" customHeight="1" s="64">
      <c r="A787" s="1" t="n"/>
      <c r="B787" s="1" t="n"/>
      <c r="C787" s="1" t="n"/>
    </row>
    <row r="788" ht="15.75" customHeight="1" s="64">
      <c r="A788" s="1" t="n"/>
      <c r="B788" s="1" t="n"/>
      <c r="C788" s="1" t="n"/>
    </row>
    <row r="789" ht="15.75" customHeight="1" s="64">
      <c r="A789" s="1" t="n"/>
      <c r="B789" s="1" t="n"/>
      <c r="C789" s="1" t="n"/>
    </row>
    <row r="790" ht="15.75" customHeight="1" s="64">
      <c r="A790" s="1" t="n"/>
      <c r="B790" s="1" t="n"/>
      <c r="C790" s="1" t="n"/>
    </row>
    <row r="791" ht="15.75" customHeight="1" s="64">
      <c r="A791" s="1" t="n"/>
      <c r="B791" s="1" t="n"/>
      <c r="C791" s="1" t="n"/>
    </row>
    <row r="792" ht="15.75" customHeight="1" s="64">
      <c r="A792" s="1" t="n"/>
      <c r="B792" s="1" t="n"/>
      <c r="C792" s="1" t="n"/>
    </row>
    <row r="793" ht="15.75" customHeight="1" s="64">
      <c r="A793" s="1" t="n"/>
      <c r="B793" s="1" t="n"/>
      <c r="C793" s="1" t="n"/>
    </row>
    <row r="794" ht="15.75" customHeight="1" s="64">
      <c r="A794" s="1" t="n"/>
      <c r="B794" s="1" t="n"/>
      <c r="C794" s="1" t="n"/>
    </row>
    <row r="795" ht="15.75" customHeight="1" s="64">
      <c r="A795" s="1" t="n"/>
      <c r="B795" s="1" t="n"/>
      <c r="C795" s="1" t="n"/>
    </row>
    <row r="796" ht="15.75" customHeight="1" s="64">
      <c r="A796" s="1" t="n"/>
      <c r="B796" s="1" t="n"/>
      <c r="C796" s="1" t="n"/>
    </row>
    <row r="797" ht="15.75" customHeight="1" s="64">
      <c r="A797" s="1" t="n"/>
      <c r="B797" s="1" t="n"/>
      <c r="C797" s="1" t="n"/>
    </row>
    <row r="798" ht="15.75" customHeight="1" s="64">
      <c r="A798" s="1" t="n"/>
      <c r="B798" s="1" t="n"/>
      <c r="C798" s="1" t="n"/>
    </row>
    <row r="799" ht="15.75" customHeight="1" s="64">
      <c r="A799" s="1" t="n"/>
      <c r="B799" s="1" t="n"/>
      <c r="C799" s="1" t="n"/>
    </row>
    <row r="800" ht="15.75" customHeight="1" s="64">
      <c r="A800" s="1" t="n"/>
      <c r="B800" s="1" t="n"/>
      <c r="C800" s="1" t="n"/>
    </row>
    <row r="801" ht="15.75" customHeight="1" s="64">
      <c r="A801" s="1" t="n"/>
      <c r="B801" s="1" t="n"/>
      <c r="C801" s="1" t="n"/>
    </row>
    <row r="802" ht="15.75" customHeight="1" s="64">
      <c r="A802" s="1" t="n"/>
      <c r="B802" s="1" t="n"/>
      <c r="C802" s="1" t="n"/>
    </row>
    <row r="803" ht="15.75" customHeight="1" s="64">
      <c r="A803" s="1" t="n"/>
      <c r="B803" s="1" t="n"/>
      <c r="C803" s="1" t="n"/>
    </row>
    <row r="804" ht="15.75" customHeight="1" s="64">
      <c r="A804" s="1" t="n"/>
      <c r="B804" s="1" t="n"/>
      <c r="C804" s="1" t="n"/>
    </row>
    <row r="805" ht="15.75" customHeight="1" s="64">
      <c r="A805" s="1" t="n"/>
      <c r="B805" s="1" t="n"/>
      <c r="C805" s="1" t="n"/>
    </row>
    <row r="806" ht="15.75" customHeight="1" s="64">
      <c r="A806" s="1" t="n"/>
      <c r="B806" s="1" t="n"/>
      <c r="C806" s="1" t="n"/>
    </row>
    <row r="807" ht="15.75" customHeight="1" s="64">
      <c r="A807" s="1" t="n"/>
      <c r="B807" s="1" t="n"/>
      <c r="C807" s="1" t="n"/>
    </row>
    <row r="808" ht="15.75" customHeight="1" s="64">
      <c r="A808" s="1" t="n"/>
      <c r="B808" s="1" t="n"/>
      <c r="C808" s="1" t="n"/>
    </row>
    <row r="809" ht="15.75" customHeight="1" s="64">
      <c r="A809" s="1" t="n"/>
      <c r="B809" s="1" t="n"/>
      <c r="C809" s="1" t="n"/>
    </row>
    <row r="810" ht="15.75" customHeight="1" s="64">
      <c r="A810" s="1" t="n"/>
      <c r="B810" s="1" t="n"/>
      <c r="C810" s="1" t="n"/>
    </row>
    <row r="811" ht="15.75" customHeight="1" s="64">
      <c r="A811" s="1" t="n"/>
      <c r="B811" s="1" t="n"/>
      <c r="C811" s="1" t="n"/>
    </row>
    <row r="812" ht="15.75" customHeight="1" s="64">
      <c r="A812" s="1" t="n"/>
      <c r="B812" s="1" t="n"/>
      <c r="C812" s="1" t="n"/>
    </row>
    <row r="813" ht="15.75" customHeight="1" s="64">
      <c r="A813" s="1" t="n"/>
      <c r="B813" s="1" t="n"/>
      <c r="C813" s="1" t="n"/>
    </row>
    <row r="814" ht="15.75" customHeight="1" s="64">
      <c r="A814" s="1" t="n"/>
      <c r="B814" s="1" t="n"/>
      <c r="C814" s="1" t="n"/>
    </row>
    <row r="815" ht="15.75" customHeight="1" s="64">
      <c r="A815" s="1" t="n"/>
      <c r="B815" s="1" t="n"/>
      <c r="C815" s="1" t="n"/>
    </row>
    <row r="816" ht="15.75" customHeight="1" s="64">
      <c r="A816" s="1" t="n"/>
      <c r="B816" s="1" t="n"/>
      <c r="C816" s="1" t="n"/>
    </row>
    <row r="817" ht="15.75" customHeight="1" s="64">
      <c r="A817" s="1" t="n"/>
      <c r="B817" s="1" t="n"/>
      <c r="C817" s="1" t="n"/>
    </row>
    <row r="818" ht="15.75" customHeight="1" s="64">
      <c r="A818" s="1" t="n"/>
      <c r="B818" s="1" t="n"/>
      <c r="C818" s="1" t="n"/>
    </row>
    <row r="819" ht="15.75" customHeight="1" s="64">
      <c r="A819" s="1" t="n"/>
      <c r="B819" s="1" t="n"/>
      <c r="C819" s="1" t="n"/>
    </row>
    <row r="820" ht="15.75" customHeight="1" s="64">
      <c r="A820" s="1" t="n"/>
      <c r="B820" s="1" t="n"/>
      <c r="C820" s="1" t="n"/>
    </row>
    <row r="821" ht="15.75" customHeight="1" s="64">
      <c r="A821" s="1" t="n"/>
      <c r="B821" s="1" t="n"/>
      <c r="C821" s="1" t="n"/>
    </row>
    <row r="822" ht="15.75" customHeight="1" s="64">
      <c r="A822" s="1" t="n"/>
      <c r="B822" s="1" t="n"/>
      <c r="C822" s="1" t="n"/>
    </row>
    <row r="823" ht="15.75" customHeight="1" s="64">
      <c r="A823" s="1" t="n"/>
      <c r="B823" s="1" t="n"/>
      <c r="C823" s="1" t="n"/>
    </row>
    <row r="824" ht="15.75" customHeight="1" s="64">
      <c r="A824" s="1" t="n"/>
      <c r="B824" s="1" t="n"/>
      <c r="C824" s="1" t="n"/>
    </row>
    <row r="825" ht="15.75" customHeight="1" s="64">
      <c r="A825" s="1" t="n"/>
      <c r="B825" s="1" t="n"/>
      <c r="C825" s="1" t="n"/>
    </row>
    <row r="826" ht="15.75" customHeight="1" s="64">
      <c r="A826" s="1" t="n"/>
      <c r="B826" s="1" t="n"/>
      <c r="C826" s="1" t="n"/>
    </row>
    <row r="827" ht="15.75" customHeight="1" s="64">
      <c r="A827" s="1" t="n"/>
      <c r="B827" s="1" t="n"/>
      <c r="C827" s="1" t="n"/>
    </row>
    <row r="828" ht="15.75" customHeight="1" s="64">
      <c r="A828" s="1" t="n"/>
      <c r="B828" s="1" t="n"/>
      <c r="C828" s="1" t="n"/>
    </row>
    <row r="829" ht="15.75" customHeight="1" s="64">
      <c r="A829" s="1" t="n"/>
      <c r="B829" s="1" t="n"/>
      <c r="C829" s="1" t="n"/>
    </row>
    <row r="830" ht="15.75" customHeight="1" s="64">
      <c r="A830" s="1" t="n"/>
      <c r="B830" s="1" t="n"/>
      <c r="C830" s="1" t="n"/>
    </row>
    <row r="831" ht="15.75" customHeight="1" s="64">
      <c r="A831" s="1" t="n"/>
      <c r="B831" s="1" t="n"/>
      <c r="C831" s="1" t="n"/>
    </row>
    <row r="832" ht="15.75" customHeight="1" s="64">
      <c r="A832" s="1" t="n"/>
      <c r="B832" s="1" t="n"/>
      <c r="C832" s="1" t="n"/>
    </row>
    <row r="833" ht="15.75" customHeight="1" s="64">
      <c r="A833" s="1" t="n"/>
      <c r="B833" s="1" t="n"/>
      <c r="C833" s="1" t="n"/>
    </row>
    <row r="834" ht="15.75" customHeight="1" s="64">
      <c r="A834" s="1" t="n"/>
      <c r="B834" s="1" t="n"/>
      <c r="C834" s="1" t="n"/>
    </row>
    <row r="835" ht="15.75" customHeight="1" s="64">
      <c r="A835" s="1" t="n"/>
      <c r="B835" s="1" t="n"/>
      <c r="C835" s="1" t="n"/>
    </row>
    <row r="836" ht="15.75" customHeight="1" s="64">
      <c r="A836" s="1" t="n"/>
      <c r="B836" s="1" t="n"/>
      <c r="C836" s="1" t="n"/>
    </row>
    <row r="837" ht="15.75" customHeight="1" s="64">
      <c r="A837" s="1" t="n"/>
      <c r="B837" s="1" t="n"/>
      <c r="C837" s="1" t="n"/>
    </row>
    <row r="838" ht="15.75" customHeight="1" s="64">
      <c r="A838" s="1" t="n"/>
      <c r="B838" s="1" t="n"/>
      <c r="C838" s="1" t="n"/>
    </row>
    <row r="839" ht="15.75" customHeight="1" s="64">
      <c r="A839" s="1" t="n"/>
      <c r="B839" s="1" t="n"/>
      <c r="C839" s="1" t="n"/>
    </row>
    <row r="840" ht="15.75" customHeight="1" s="64">
      <c r="A840" s="1" t="n"/>
      <c r="B840" s="1" t="n"/>
      <c r="C840" s="1" t="n"/>
    </row>
    <row r="841" ht="15.75" customHeight="1" s="64">
      <c r="A841" s="1" t="n"/>
      <c r="B841" s="1" t="n"/>
      <c r="C841" s="1" t="n"/>
    </row>
    <row r="842" ht="15.75" customHeight="1" s="64">
      <c r="A842" s="1" t="n"/>
      <c r="B842" s="1" t="n"/>
      <c r="C842" s="1" t="n"/>
    </row>
    <row r="843" ht="15.75" customHeight="1" s="64">
      <c r="A843" s="1" t="n"/>
      <c r="B843" s="1" t="n"/>
      <c r="C843" s="1" t="n"/>
    </row>
    <row r="844" ht="15.75" customHeight="1" s="64">
      <c r="A844" s="1" t="n"/>
      <c r="B844" s="1" t="n"/>
      <c r="C844" s="1" t="n"/>
    </row>
    <row r="845" ht="15.75" customHeight="1" s="64">
      <c r="A845" s="1" t="n"/>
      <c r="B845" s="1" t="n"/>
      <c r="C845" s="1" t="n"/>
    </row>
    <row r="846" ht="15.75" customHeight="1" s="64">
      <c r="A846" s="1" t="n"/>
      <c r="B846" s="1" t="n"/>
      <c r="C846" s="1" t="n"/>
    </row>
    <row r="847" ht="15.75" customHeight="1" s="64">
      <c r="A847" s="1" t="n"/>
      <c r="B847" s="1" t="n"/>
      <c r="C847" s="1" t="n"/>
    </row>
    <row r="848" ht="15.75" customHeight="1" s="64">
      <c r="A848" s="1" t="n"/>
      <c r="B848" s="1" t="n"/>
      <c r="C848" s="1" t="n"/>
    </row>
    <row r="849" ht="15.75" customHeight="1" s="64">
      <c r="A849" s="1" t="n"/>
      <c r="B849" s="1" t="n"/>
      <c r="C849" s="1" t="n"/>
    </row>
    <row r="850" ht="15.75" customHeight="1" s="64">
      <c r="A850" s="1" t="n"/>
      <c r="B850" s="1" t="n"/>
      <c r="C850" s="1" t="n"/>
    </row>
    <row r="851" ht="15.75" customHeight="1" s="64">
      <c r="A851" s="1" t="n"/>
      <c r="B851" s="1" t="n"/>
      <c r="C851" s="1" t="n"/>
    </row>
    <row r="852" ht="15.75" customHeight="1" s="64">
      <c r="A852" s="1" t="n"/>
      <c r="B852" s="1" t="n"/>
      <c r="C852" s="1" t="n"/>
    </row>
    <row r="853" ht="15.75" customHeight="1" s="64">
      <c r="A853" s="1" t="n"/>
      <c r="B853" s="1" t="n"/>
      <c r="C853" s="1" t="n"/>
    </row>
    <row r="854" ht="15.75" customHeight="1" s="64">
      <c r="A854" s="1" t="n"/>
      <c r="B854" s="1" t="n"/>
      <c r="C854" s="1" t="n"/>
    </row>
    <row r="855" ht="15.75" customHeight="1" s="64">
      <c r="A855" s="1" t="n"/>
      <c r="B855" s="1" t="n"/>
      <c r="C855" s="1" t="n"/>
    </row>
    <row r="856" ht="15.75" customHeight="1" s="64">
      <c r="A856" s="1" t="n"/>
      <c r="B856" s="1" t="n"/>
      <c r="C856" s="1" t="n"/>
    </row>
    <row r="857" ht="15.75" customHeight="1" s="64">
      <c r="A857" s="1" t="n"/>
      <c r="B857" s="1" t="n"/>
      <c r="C857" s="1" t="n"/>
    </row>
    <row r="858" ht="15.75" customHeight="1" s="64">
      <c r="A858" s="1" t="n"/>
      <c r="B858" s="1" t="n"/>
      <c r="C858" s="1" t="n"/>
    </row>
    <row r="859" ht="15.75" customHeight="1" s="64">
      <c r="A859" s="1" t="n"/>
      <c r="B859" s="1" t="n"/>
      <c r="C859" s="1" t="n"/>
    </row>
    <row r="860" ht="15.75" customHeight="1" s="64">
      <c r="A860" s="1" t="n"/>
      <c r="B860" s="1" t="n"/>
      <c r="C860" s="1" t="n"/>
    </row>
    <row r="861" ht="15.75" customHeight="1" s="64">
      <c r="A861" s="1" t="n"/>
      <c r="B861" s="1" t="n"/>
      <c r="C861" s="1" t="n"/>
    </row>
    <row r="862" ht="15.75" customHeight="1" s="64">
      <c r="A862" s="1" t="n"/>
      <c r="B862" s="1" t="n"/>
      <c r="C862" s="1" t="n"/>
    </row>
    <row r="863" ht="15.75" customHeight="1" s="64">
      <c r="A863" s="1" t="n"/>
      <c r="B863" s="1" t="n"/>
      <c r="C863" s="1" t="n"/>
    </row>
    <row r="864" ht="15.75" customHeight="1" s="64">
      <c r="A864" s="1" t="n"/>
      <c r="B864" s="1" t="n"/>
      <c r="C864" s="1" t="n"/>
    </row>
    <row r="865" ht="15.75" customHeight="1" s="64">
      <c r="A865" s="1" t="n"/>
      <c r="B865" s="1" t="n"/>
      <c r="C865" s="1" t="n"/>
    </row>
    <row r="866" ht="15.75" customHeight="1" s="64">
      <c r="A866" s="1" t="n"/>
      <c r="B866" s="1" t="n"/>
      <c r="C866" s="1" t="n"/>
    </row>
    <row r="867" ht="15.75" customHeight="1" s="64">
      <c r="A867" s="1" t="n"/>
      <c r="B867" s="1" t="n"/>
      <c r="C867" s="1" t="n"/>
    </row>
    <row r="868" ht="15.75" customHeight="1" s="64">
      <c r="A868" s="1" t="n"/>
      <c r="B868" s="1" t="n"/>
      <c r="C868" s="1" t="n"/>
    </row>
    <row r="869" ht="15.75" customHeight="1" s="64">
      <c r="A869" s="1" t="n"/>
      <c r="B869" s="1" t="n"/>
      <c r="C869" s="1" t="n"/>
    </row>
    <row r="870" ht="15.75" customHeight="1" s="64">
      <c r="A870" s="1" t="n"/>
      <c r="B870" s="1" t="n"/>
      <c r="C870" s="1" t="n"/>
    </row>
    <row r="871" ht="15.75" customHeight="1" s="64">
      <c r="A871" s="1" t="n"/>
      <c r="B871" s="1" t="n"/>
      <c r="C871" s="1" t="n"/>
    </row>
    <row r="872" ht="15.75" customHeight="1" s="64">
      <c r="A872" s="1" t="n"/>
      <c r="B872" s="1" t="n"/>
      <c r="C872" s="1" t="n"/>
    </row>
    <row r="873" ht="15.75" customHeight="1" s="64">
      <c r="A873" s="1" t="n"/>
      <c r="B873" s="1" t="n"/>
      <c r="C873" s="1" t="n"/>
    </row>
    <row r="874" ht="15.75" customHeight="1" s="64">
      <c r="A874" s="1" t="n"/>
      <c r="B874" s="1" t="n"/>
      <c r="C874" s="1" t="n"/>
    </row>
    <row r="875" ht="15.75" customHeight="1" s="64">
      <c r="A875" s="1" t="n"/>
      <c r="B875" s="1" t="n"/>
      <c r="C875" s="1" t="n"/>
    </row>
    <row r="876" ht="15.75" customHeight="1" s="64">
      <c r="A876" s="1" t="n"/>
      <c r="B876" s="1" t="n"/>
      <c r="C876" s="1" t="n"/>
    </row>
    <row r="877" ht="15.75" customHeight="1" s="64">
      <c r="A877" s="1" t="n"/>
      <c r="B877" s="1" t="n"/>
      <c r="C877" s="1" t="n"/>
    </row>
    <row r="878" ht="15.75" customHeight="1" s="64">
      <c r="A878" s="1" t="n"/>
      <c r="B878" s="1" t="n"/>
      <c r="C878" s="1" t="n"/>
    </row>
    <row r="879" ht="15.75" customHeight="1" s="64">
      <c r="A879" s="1" t="n"/>
      <c r="B879" s="1" t="n"/>
      <c r="C879" s="1" t="n"/>
    </row>
    <row r="880" ht="15.75" customHeight="1" s="64">
      <c r="A880" s="1" t="n"/>
      <c r="B880" s="1" t="n"/>
      <c r="C880" s="1" t="n"/>
    </row>
    <row r="881" ht="15.75" customHeight="1" s="64">
      <c r="A881" s="1" t="n"/>
      <c r="B881" s="1" t="n"/>
      <c r="C881" s="1" t="n"/>
    </row>
    <row r="882" ht="15.75" customHeight="1" s="64">
      <c r="A882" s="1" t="n"/>
      <c r="B882" s="1" t="n"/>
      <c r="C882" s="1" t="n"/>
    </row>
    <row r="883" ht="15.75" customHeight="1" s="64">
      <c r="A883" s="1" t="n"/>
      <c r="B883" s="1" t="n"/>
      <c r="C883" s="1" t="n"/>
    </row>
    <row r="884" ht="15.75" customHeight="1" s="64">
      <c r="A884" s="1" t="n"/>
      <c r="B884" s="1" t="n"/>
      <c r="C884" s="1" t="n"/>
    </row>
    <row r="885" ht="15.75" customHeight="1" s="64">
      <c r="A885" s="1" t="n"/>
      <c r="B885" s="1" t="n"/>
      <c r="C885" s="1" t="n"/>
    </row>
    <row r="886" ht="15.75" customHeight="1" s="64">
      <c r="A886" s="1" t="n"/>
      <c r="B886" s="1" t="n"/>
      <c r="C886" s="1" t="n"/>
    </row>
    <row r="887" ht="15.75" customHeight="1" s="64">
      <c r="A887" s="1" t="n"/>
      <c r="B887" s="1" t="n"/>
      <c r="C887" s="1" t="n"/>
    </row>
    <row r="888" ht="15.75" customHeight="1" s="64">
      <c r="A888" s="1" t="n"/>
      <c r="B888" s="1" t="n"/>
      <c r="C888" s="1" t="n"/>
    </row>
    <row r="889" ht="15.75" customHeight="1" s="64">
      <c r="A889" s="1" t="n"/>
      <c r="B889" s="1" t="n"/>
      <c r="C889" s="1" t="n"/>
    </row>
    <row r="890" ht="15.75" customHeight="1" s="64">
      <c r="A890" s="1" t="n"/>
      <c r="B890" s="1" t="n"/>
      <c r="C890" s="1" t="n"/>
    </row>
    <row r="891" ht="15.75" customHeight="1" s="64">
      <c r="A891" s="1" t="n"/>
      <c r="B891" s="1" t="n"/>
      <c r="C891" s="1" t="n"/>
    </row>
    <row r="892" ht="15.75" customHeight="1" s="64">
      <c r="A892" s="1" t="n"/>
      <c r="B892" s="1" t="n"/>
      <c r="C892" s="1" t="n"/>
    </row>
    <row r="893" ht="15.75" customHeight="1" s="64">
      <c r="A893" s="1" t="n"/>
      <c r="B893" s="1" t="n"/>
      <c r="C893" s="1" t="n"/>
    </row>
    <row r="894" ht="15.75" customHeight="1" s="64">
      <c r="A894" s="1" t="n"/>
      <c r="B894" s="1" t="n"/>
      <c r="C894" s="1" t="n"/>
    </row>
    <row r="895" ht="15.75" customHeight="1" s="64">
      <c r="A895" s="1" t="n"/>
      <c r="B895" s="1" t="n"/>
      <c r="C895" s="1" t="n"/>
    </row>
    <row r="896" ht="15.75" customHeight="1" s="64">
      <c r="A896" s="1" t="n"/>
      <c r="B896" s="1" t="n"/>
      <c r="C896" s="1" t="n"/>
    </row>
    <row r="897" ht="15.75" customHeight="1" s="64">
      <c r="A897" s="1" t="n"/>
      <c r="B897" s="1" t="n"/>
      <c r="C897" s="1" t="n"/>
    </row>
    <row r="898" ht="15.75" customHeight="1" s="64">
      <c r="A898" s="1" t="n"/>
      <c r="B898" s="1" t="n"/>
      <c r="C898" s="1" t="n"/>
    </row>
    <row r="899" ht="15.75" customHeight="1" s="64">
      <c r="A899" s="1" t="n"/>
      <c r="B899" s="1" t="n"/>
      <c r="C899" s="1" t="n"/>
    </row>
    <row r="900" ht="15.75" customHeight="1" s="64">
      <c r="A900" s="1" t="n"/>
      <c r="B900" s="1" t="n"/>
      <c r="C900" s="1" t="n"/>
    </row>
    <row r="901" ht="15.75" customHeight="1" s="64">
      <c r="A901" s="1" t="n"/>
      <c r="B901" s="1" t="n"/>
      <c r="C901" s="1" t="n"/>
    </row>
    <row r="902" ht="15.75" customHeight="1" s="64">
      <c r="A902" s="1" t="n"/>
      <c r="B902" s="1" t="n"/>
      <c r="C902" s="1" t="n"/>
    </row>
    <row r="903" ht="15.75" customHeight="1" s="64">
      <c r="A903" s="1" t="n"/>
      <c r="B903" s="1" t="n"/>
      <c r="C903" s="1" t="n"/>
    </row>
    <row r="904" ht="15.75" customHeight="1" s="64">
      <c r="A904" s="1" t="n"/>
      <c r="B904" s="1" t="n"/>
      <c r="C904" s="1" t="n"/>
    </row>
    <row r="905" ht="15.75" customHeight="1" s="64">
      <c r="A905" s="1" t="n"/>
      <c r="B905" s="1" t="n"/>
      <c r="C905" s="1" t="n"/>
    </row>
    <row r="906" ht="15.75" customHeight="1" s="64">
      <c r="A906" s="1" t="n"/>
      <c r="B906" s="1" t="n"/>
      <c r="C906" s="1" t="n"/>
    </row>
    <row r="907" ht="15.75" customHeight="1" s="64">
      <c r="A907" s="1" t="n"/>
      <c r="B907" s="1" t="n"/>
      <c r="C907" s="1" t="n"/>
    </row>
    <row r="908" ht="15.75" customHeight="1" s="64">
      <c r="A908" s="1" t="n"/>
      <c r="B908" s="1" t="n"/>
      <c r="C908" s="1" t="n"/>
    </row>
    <row r="909" ht="15.75" customHeight="1" s="64">
      <c r="A909" s="1" t="n"/>
      <c r="B909" s="1" t="n"/>
      <c r="C909" s="1" t="n"/>
    </row>
    <row r="910" ht="15.75" customHeight="1" s="64">
      <c r="A910" s="1" t="n"/>
      <c r="B910" s="1" t="n"/>
      <c r="C910" s="1" t="n"/>
    </row>
    <row r="911" ht="15.75" customHeight="1" s="64">
      <c r="A911" s="1" t="n"/>
      <c r="B911" s="1" t="n"/>
      <c r="C911" s="1" t="n"/>
    </row>
    <row r="912" ht="15.75" customHeight="1" s="64">
      <c r="A912" s="1" t="n"/>
      <c r="B912" s="1" t="n"/>
      <c r="C912" s="1" t="n"/>
    </row>
    <row r="913" ht="15.75" customHeight="1" s="64">
      <c r="A913" s="1" t="n"/>
      <c r="B913" s="1" t="n"/>
      <c r="C913" s="1" t="n"/>
    </row>
    <row r="914" ht="15.75" customHeight="1" s="64">
      <c r="A914" s="1" t="n"/>
      <c r="B914" s="1" t="n"/>
      <c r="C914" s="1" t="n"/>
    </row>
    <row r="915" ht="15.75" customHeight="1" s="64">
      <c r="A915" s="1" t="n"/>
      <c r="B915" s="1" t="n"/>
      <c r="C915" s="1" t="n"/>
    </row>
    <row r="916" ht="15.75" customHeight="1" s="64">
      <c r="A916" s="1" t="n"/>
      <c r="B916" s="1" t="n"/>
      <c r="C916" s="1" t="n"/>
    </row>
    <row r="917" ht="15.75" customHeight="1" s="64">
      <c r="A917" s="1" t="n"/>
      <c r="B917" s="1" t="n"/>
      <c r="C917" s="1" t="n"/>
    </row>
    <row r="918" ht="15.75" customHeight="1" s="64">
      <c r="A918" s="1" t="n"/>
      <c r="B918" s="1" t="n"/>
      <c r="C918" s="1" t="n"/>
    </row>
    <row r="919" ht="15.75" customHeight="1" s="64">
      <c r="A919" s="1" t="n"/>
      <c r="B919" s="1" t="n"/>
      <c r="C919" s="1" t="n"/>
    </row>
    <row r="920" ht="15.75" customHeight="1" s="64">
      <c r="A920" s="1" t="n"/>
      <c r="B920" s="1" t="n"/>
      <c r="C920" s="1" t="n"/>
    </row>
    <row r="921" ht="15.75" customHeight="1" s="64">
      <c r="A921" s="1" t="n"/>
      <c r="B921" s="1" t="n"/>
      <c r="C921" s="1" t="n"/>
    </row>
    <row r="922" ht="15.75" customHeight="1" s="64">
      <c r="A922" s="1" t="n"/>
      <c r="B922" s="1" t="n"/>
      <c r="C922" s="1" t="n"/>
    </row>
    <row r="923" ht="15.75" customHeight="1" s="64">
      <c r="A923" s="1" t="n"/>
      <c r="B923" s="1" t="n"/>
      <c r="C923" s="1" t="n"/>
    </row>
    <row r="924" ht="15.75" customHeight="1" s="64">
      <c r="A924" s="1" t="n"/>
      <c r="B924" s="1" t="n"/>
      <c r="C924" s="1" t="n"/>
    </row>
    <row r="925" ht="15.75" customHeight="1" s="64">
      <c r="A925" s="1" t="n"/>
      <c r="B925" s="1" t="n"/>
      <c r="C925" s="1" t="n"/>
    </row>
    <row r="926" ht="15.75" customHeight="1" s="64">
      <c r="A926" s="1" t="n"/>
      <c r="B926" s="1" t="n"/>
      <c r="C926" s="1" t="n"/>
    </row>
    <row r="927" ht="15.75" customHeight="1" s="64">
      <c r="A927" s="1" t="n"/>
      <c r="B927" s="1" t="n"/>
      <c r="C927" s="1" t="n"/>
    </row>
    <row r="928" ht="15.75" customHeight="1" s="64">
      <c r="A928" s="1" t="n"/>
      <c r="B928" s="1" t="n"/>
      <c r="C928" s="1" t="n"/>
    </row>
    <row r="929" ht="15.75" customHeight="1" s="64">
      <c r="A929" s="1" t="n"/>
      <c r="B929" s="1" t="n"/>
      <c r="C929" s="1" t="n"/>
    </row>
    <row r="930" ht="15.75" customHeight="1" s="64">
      <c r="A930" s="1" t="n"/>
      <c r="B930" s="1" t="n"/>
      <c r="C930" s="1" t="n"/>
    </row>
    <row r="931" ht="15.75" customHeight="1" s="64">
      <c r="A931" s="1" t="n"/>
      <c r="B931" s="1" t="n"/>
      <c r="C931" s="1" t="n"/>
    </row>
    <row r="932" ht="15.75" customHeight="1" s="64">
      <c r="A932" s="1" t="n"/>
      <c r="B932" s="1" t="n"/>
      <c r="C932" s="1" t="n"/>
    </row>
    <row r="933" ht="15.75" customHeight="1" s="64">
      <c r="A933" s="1" t="n"/>
      <c r="B933" s="1" t="n"/>
      <c r="C933" s="1" t="n"/>
    </row>
    <row r="934" ht="15.75" customHeight="1" s="64">
      <c r="A934" s="1" t="n"/>
      <c r="B934" s="1" t="n"/>
      <c r="C934" s="1" t="n"/>
    </row>
    <row r="935" ht="15.75" customHeight="1" s="64">
      <c r="A935" s="1" t="n"/>
      <c r="B935" s="1" t="n"/>
      <c r="C935" s="1" t="n"/>
    </row>
    <row r="936" ht="15.75" customHeight="1" s="64">
      <c r="A936" s="1" t="n"/>
      <c r="B936" s="1" t="n"/>
      <c r="C936" s="1" t="n"/>
    </row>
    <row r="937" ht="15.75" customHeight="1" s="64">
      <c r="A937" s="1" t="n"/>
      <c r="B937" s="1" t="n"/>
      <c r="C937" s="1" t="n"/>
    </row>
    <row r="938" ht="15.75" customHeight="1" s="64">
      <c r="A938" s="1" t="n"/>
      <c r="B938" s="1" t="n"/>
      <c r="C938" s="1" t="n"/>
    </row>
    <row r="939" ht="15.75" customHeight="1" s="64">
      <c r="A939" s="1" t="n"/>
      <c r="B939" s="1" t="n"/>
      <c r="C939" s="1" t="n"/>
    </row>
    <row r="940" ht="15.75" customHeight="1" s="64">
      <c r="A940" s="1" t="n"/>
      <c r="B940" s="1" t="n"/>
      <c r="C940" s="1" t="n"/>
    </row>
    <row r="941" ht="15.75" customHeight="1" s="64">
      <c r="A941" s="1" t="n"/>
      <c r="B941" s="1" t="n"/>
      <c r="C941" s="1" t="n"/>
    </row>
    <row r="942" ht="15.75" customHeight="1" s="64">
      <c r="A942" s="1" t="n"/>
      <c r="B942" s="1" t="n"/>
      <c r="C942" s="1" t="n"/>
    </row>
    <row r="943" ht="15.75" customHeight="1" s="64">
      <c r="A943" s="1" t="n"/>
      <c r="B943" s="1" t="n"/>
      <c r="C943" s="1" t="n"/>
    </row>
    <row r="944" ht="15.75" customHeight="1" s="64">
      <c r="A944" s="1" t="n"/>
      <c r="B944" s="1" t="n"/>
      <c r="C944" s="1" t="n"/>
    </row>
    <row r="945" ht="15.75" customHeight="1" s="64">
      <c r="A945" s="1" t="n"/>
      <c r="B945" s="1" t="n"/>
      <c r="C945" s="1" t="n"/>
    </row>
    <row r="946" ht="15.75" customHeight="1" s="64">
      <c r="A946" s="1" t="n"/>
      <c r="B946" s="1" t="n"/>
      <c r="C946" s="1" t="n"/>
    </row>
    <row r="947" ht="15.75" customHeight="1" s="64">
      <c r="A947" s="1" t="n"/>
      <c r="B947" s="1" t="n"/>
      <c r="C947" s="1" t="n"/>
    </row>
    <row r="948" ht="15.75" customHeight="1" s="64">
      <c r="A948" s="1" t="n"/>
      <c r="B948" s="1" t="n"/>
      <c r="C948" s="1" t="n"/>
    </row>
    <row r="949" ht="15.75" customHeight="1" s="64">
      <c r="A949" s="1" t="n"/>
      <c r="B949" s="1" t="n"/>
      <c r="C949" s="1" t="n"/>
    </row>
    <row r="950" ht="15.75" customHeight="1" s="64">
      <c r="A950" s="1" t="n"/>
      <c r="B950" s="1" t="n"/>
      <c r="C950" s="1" t="n"/>
    </row>
    <row r="951" ht="15.75" customHeight="1" s="64">
      <c r="A951" s="1" t="n"/>
      <c r="B951" s="1" t="n"/>
      <c r="C951" s="1" t="n"/>
    </row>
    <row r="952" ht="15.75" customHeight="1" s="64">
      <c r="A952" s="1" t="n"/>
      <c r="B952" s="1" t="n"/>
      <c r="C952" s="1" t="n"/>
    </row>
    <row r="953" ht="15.75" customHeight="1" s="64">
      <c r="A953" s="1" t="n"/>
      <c r="B953" s="1" t="n"/>
      <c r="C953" s="1" t="n"/>
    </row>
    <row r="954" ht="15.75" customHeight="1" s="64">
      <c r="A954" s="1" t="n"/>
      <c r="B954" s="1" t="n"/>
      <c r="C954" s="1" t="n"/>
    </row>
    <row r="955" ht="15.75" customHeight="1" s="64">
      <c r="A955" s="1" t="n"/>
      <c r="B955" s="1" t="n"/>
      <c r="C955" s="1" t="n"/>
    </row>
    <row r="956" ht="15.75" customHeight="1" s="64">
      <c r="A956" s="1" t="n"/>
      <c r="B956" s="1" t="n"/>
      <c r="C956" s="1" t="n"/>
    </row>
    <row r="957" ht="15.75" customHeight="1" s="64">
      <c r="A957" s="1" t="n"/>
      <c r="B957" s="1" t="n"/>
      <c r="C957" s="1" t="n"/>
    </row>
    <row r="958" ht="15.75" customHeight="1" s="64">
      <c r="A958" s="1" t="n"/>
      <c r="B958" s="1" t="n"/>
      <c r="C958" s="1" t="n"/>
    </row>
    <row r="959" ht="15.75" customHeight="1" s="64">
      <c r="A959" s="1" t="n"/>
      <c r="B959" s="1" t="n"/>
      <c r="C959" s="1" t="n"/>
    </row>
    <row r="960" ht="15.75" customHeight="1" s="64">
      <c r="A960" s="1" t="n"/>
      <c r="B960" s="1" t="n"/>
      <c r="C960" s="1" t="n"/>
    </row>
    <row r="961" ht="15.75" customHeight="1" s="64">
      <c r="A961" s="1" t="n"/>
      <c r="B961" s="1" t="n"/>
      <c r="C961" s="1" t="n"/>
    </row>
    <row r="962" ht="15.75" customHeight="1" s="64">
      <c r="A962" s="1" t="n"/>
      <c r="B962" s="1" t="n"/>
      <c r="C962" s="1" t="n"/>
    </row>
    <row r="963" ht="15.75" customHeight="1" s="64">
      <c r="A963" s="1" t="n"/>
      <c r="B963" s="1" t="n"/>
      <c r="C963" s="1" t="n"/>
    </row>
    <row r="964" ht="15.75" customHeight="1" s="64">
      <c r="A964" s="1" t="n"/>
      <c r="B964" s="1" t="n"/>
      <c r="C964" s="1" t="n"/>
    </row>
    <row r="965" ht="15.75" customHeight="1" s="64">
      <c r="A965" s="1" t="n"/>
      <c r="B965" s="1" t="n"/>
      <c r="C965" s="1" t="n"/>
    </row>
    <row r="966" ht="15.75" customHeight="1" s="64">
      <c r="A966" s="1" t="n"/>
      <c r="B966" s="1" t="n"/>
      <c r="C966" s="1" t="n"/>
    </row>
    <row r="967" ht="15.75" customHeight="1" s="64">
      <c r="A967" s="1" t="n"/>
      <c r="B967" s="1" t="n"/>
      <c r="C967" s="1" t="n"/>
    </row>
    <row r="968" ht="15.75" customHeight="1" s="64">
      <c r="A968" s="1" t="n"/>
      <c r="B968" s="1" t="n"/>
      <c r="C968" s="1" t="n"/>
    </row>
    <row r="969" ht="15.75" customHeight="1" s="64">
      <c r="A969" s="1" t="n"/>
      <c r="B969" s="1" t="n"/>
      <c r="C969" s="1" t="n"/>
    </row>
    <row r="970" ht="15.75" customHeight="1" s="64">
      <c r="A970" s="1" t="n"/>
      <c r="B970" s="1" t="n"/>
      <c r="C970" s="1" t="n"/>
    </row>
    <row r="971" ht="15.75" customHeight="1" s="64">
      <c r="A971" s="1" t="n"/>
      <c r="B971" s="1" t="n"/>
      <c r="C971" s="1" t="n"/>
    </row>
    <row r="972" ht="15.75" customHeight="1" s="64">
      <c r="A972" s="1" t="n"/>
      <c r="B972" s="1" t="n"/>
      <c r="C972" s="1" t="n"/>
    </row>
    <row r="973" ht="15.75" customHeight="1" s="64">
      <c r="A973" s="1" t="n"/>
      <c r="B973" s="1" t="n"/>
      <c r="C973" s="1" t="n"/>
    </row>
    <row r="974" ht="15.75" customHeight="1" s="64">
      <c r="A974" s="1" t="n"/>
      <c r="B974" s="1" t="n"/>
      <c r="C974" s="1" t="n"/>
    </row>
    <row r="975" ht="15.75" customHeight="1" s="64">
      <c r="A975" s="1" t="n"/>
      <c r="B975" s="1" t="n"/>
      <c r="C975" s="1" t="n"/>
    </row>
    <row r="976" ht="15.75" customHeight="1" s="64">
      <c r="A976" s="1" t="n"/>
      <c r="B976" s="1" t="n"/>
      <c r="C976" s="1" t="n"/>
    </row>
    <row r="977" ht="15.75" customHeight="1" s="64">
      <c r="A977" s="1" t="n"/>
      <c r="B977" s="1" t="n"/>
      <c r="C977" s="1" t="n"/>
    </row>
    <row r="978" ht="15.75" customHeight="1" s="64">
      <c r="A978" s="1" t="n"/>
      <c r="B978" s="1" t="n"/>
      <c r="C978" s="1" t="n"/>
    </row>
    <row r="979" ht="15.75" customHeight="1" s="64">
      <c r="A979" s="1" t="n"/>
      <c r="B979" s="1" t="n"/>
      <c r="C979" s="1" t="n"/>
    </row>
    <row r="980" ht="15.75" customHeight="1" s="64">
      <c r="A980" s="1" t="n"/>
      <c r="B980" s="1" t="n"/>
      <c r="C980" s="1" t="n"/>
    </row>
    <row r="981" ht="15.75" customHeight="1" s="64">
      <c r="A981" s="1" t="n"/>
      <c r="B981" s="1" t="n"/>
      <c r="C981" s="1" t="n"/>
    </row>
    <row r="982" ht="15.75" customHeight="1" s="64">
      <c r="A982" s="1" t="n"/>
      <c r="B982" s="1" t="n"/>
      <c r="C982" s="1" t="n"/>
    </row>
    <row r="983" ht="15.75" customHeight="1" s="64">
      <c r="A983" s="1" t="n"/>
      <c r="B983" s="1" t="n"/>
      <c r="C983" s="1" t="n"/>
    </row>
    <row r="984" ht="15.75" customHeight="1" s="64">
      <c r="A984" s="1" t="n"/>
      <c r="B984" s="1" t="n"/>
      <c r="C984" s="1" t="n"/>
    </row>
    <row r="985" ht="15.75" customHeight="1" s="64">
      <c r="A985" s="1" t="n"/>
      <c r="B985" s="1" t="n"/>
      <c r="C985" s="1" t="n"/>
    </row>
    <row r="986" ht="15.75" customHeight="1" s="64">
      <c r="A986" s="1" t="n"/>
      <c r="B986" s="1" t="n"/>
      <c r="C986" s="1" t="n"/>
    </row>
    <row r="987" ht="15.75" customHeight="1" s="64">
      <c r="A987" s="1" t="n"/>
      <c r="B987" s="1" t="n"/>
      <c r="C987" s="1" t="n"/>
    </row>
    <row r="988" ht="15.75" customHeight="1" s="64">
      <c r="A988" s="1" t="n"/>
      <c r="B988" s="1" t="n"/>
      <c r="C988" s="1" t="n"/>
    </row>
    <row r="989" ht="15.75" customHeight="1" s="64">
      <c r="A989" s="1" t="n"/>
      <c r="B989" s="1" t="n"/>
      <c r="C989" s="1" t="n"/>
    </row>
    <row r="990" ht="15.75" customHeight="1" s="64">
      <c r="A990" s="1" t="n"/>
      <c r="B990" s="1" t="n"/>
      <c r="C990" s="1" t="n"/>
    </row>
    <row r="991" ht="15.75" customHeight="1" s="64">
      <c r="A991" s="1" t="n"/>
      <c r="B991" s="1" t="n"/>
      <c r="C991" s="1" t="n"/>
    </row>
    <row r="992" ht="15.75" customHeight="1" s="64">
      <c r="A992" s="1" t="n"/>
      <c r="B992" s="1" t="n"/>
      <c r="C992" s="1" t="n"/>
    </row>
    <row r="993" ht="15.75" customHeight="1" s="64">
      <c r="A993" s="1" t="n"/>
      <c r="B993" s="1" t="n"/>
      <c r="C993" s="1" t="n"/>
    </row>
    <row r="994" ht="15.75" customHeight="1" s="64">
      <c r="A994" s="1" t="n"/>
      <c r="B994" s="1" t="n"/>
      <c r="C994" s="1" t="n"/>
    </row>
    <row r="995" ht="15.75" customHeight="1" s="64">
      <c r="A995" s="1" t="n"/>
      <c r="B995" s="1" t="n"/>
      <c r="C995" s="1" t="n"/>
    </row>
    <row r="996" ht="15.75" customHeight="1" s="64">
      <c r="A996" s="1" t="n"/>
      <c r="B996" s="1" t="n"/>
      <c r="C996" s="1" t="n"/>
    </row>
    <row r="997" ht="15.75" customHeight="1" s="64">
      <c r="A997" s="1" t="n"/>
      <c r="B997" s="1" t="n"/>
      <c r="C997" s="1" t="n"/>
    </row>
    <row r="998" ht="15.75" customHeight="1" s="64">
      <c r="A998" s="1" t="n"/>
      <c r="B998" s="1" t="n"/>
      <c r="C998" s="1" t="n"/>
    </row>
    <row r="999" ht="15.75" customHeight="1" s="64">
      <c r="A999" s="1" t="n"/>
      <c r="B999" s="1" t="n"/>
      <c r="C999" s="1" t="n"/>
    </row>
    <row r="1000" ht="15.75" customHeight="1" s="64">
      <c r="A1000" s="1" t="n"/>
      <c r="B1000" s="1" t="n"/>
      <c r="C1000" s="1" t="n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/>
  <cols>
    <col width="26" customWidth="1" style="64" min="1" max="10"/>
    <col width="7.140625" customWidth="1" style="64" min="11" max="11"/>
    <col width="8.5703125" customWidth="1" style="64" min="12" max="34"/>
  </cols>
  <sheetData>
    <row r="1" ht="18" customHeight="1" s="64">
      <c r="A1" s="67" t="inlineStr">
        <is>
          <t>Catálogos (listas desplegables)</t>
        </is>
      </c>
    </row>
    <row r="2" ht="30" customHeight="1" s="64">
      <c r="A2" s="16" t="inlineStr">
        <is>
          <t>TipoDocumento</t>
        </is>
      </c>
      <c r="B2" s="16" t="inlineStr">
        <is>
          <t>TipoPersona</t>
        </is>
      </c>
      <c r="C2" s="16" t="inlineStr">
        <is>
          <t>TipoCliente</t>
        </is>
      </c>
      <c r="D2" s="16" t="inlineStr">
        <is>
          <t>PropietarioBalon</t>
        </is>
      </c>
      <c r="E2" s="16" t="inlineStr">
        <is>
          <t>EstadoBalon</t>
        </is>
      </c>
      <c r="F2" s="16" t="inlineStr">
        <is>
          <t>MarcaCilindro</t>
        </is>
      </c>
      <c r="G2" s="16" t="inlineStr">
        <is>
          <t>OrganoInspector</t>
        </is>
      </c>
      <c r="H2" s="21" t="inlineStr">
        <is>
          <t>Gas</t>
        </is>
      </c>
      <c r="I2" s="21" t="inlineStr">
        <is>
          <t>TipoBalon</t>
        </is>
      </c>
      <c r="J2" s="21" t="inlineStr">
        <is>
          <t>Almacen</t>
        </is>
      </c>
      <c r="K2" s="16" t="inlineStr">
        <is>
          <t>SiNo</t>
        </is>
      </c>
    </row>
    <row r="3">
      <c r="A3" s="22" t="inlineStr">
        <is>
          <t>DNI</t>
        </is>
      </c>
      <c r="B3" s="22" t="inlineStr">
        <is>
          <t>Persona Natural</t>
        </is>
      </c>
      <c r="C3" s="22" t="inlineStr">
        <is>
          <t>Cliente</t>
        </is>
      </c>
      <c r="D3" s="22" t="inlineStr">
        <is>
          <t>EMPRESA</t>
        </is>
      </c>
      <c r="E3" s="22" t="inlineStr">
        <is>
          <t>DISPONIBLE</t>
        </is>
      </c>
      <c r="F3" s="22" t="inlineStr">
        <is>
          <t>JP</t>
        </is>
      </c>
      <c r="G3" s="22" t="inlineStr">
        <is>
          <t>NO_APLICA</t>
        </is>
      </c>
      <c r="H3" s="17" t="inlineStr">
        <is>
          <t>OXIGENO MEDICINAL</t>
        </is>
      </c>
      <c r="I3" s="17" t="inlineStr">
        <is>
          <t>Oxígeno Medicinal 6 m³</t>
        </is>
      </c>
      <c r="J3" s="17" t="inlineStr">
        <is>
          <t>ALMACEN PRINCIPAL</t>
        </is>
      </c>
      <c r="K3" s="22" t="inlineStr">
        <is>
          <t>SI</t>
        </is>
      </c>
    </row>
    <row r="4">
      <c r="A4" s="22" t="inlineStr">
        <is>
          <t>RUC</t>
        </is>
      </c>
      <c r="B4" s="22" t="inlineStr">
        <is>
          <t>Persona Jurídica</t>
        </is>
      </c>
      <c r="C4" s="22" t="inlineStr">
        <is>
          <t>Paciente</t>
        </is>
      </c>
      <c r="D4" s="22" t="inlineStr">
        <is>
          <t>CLIENTE</t>
        </is>
      </c>
      <c r="E4" s="22" t="inlineStr">
        <is>
          <t>EN_PODER_CLIENTE</t>
        </is>
      </c>
      <c r="F4" s="22" t="inlineStr">
        <is>
          <t>BTIC-JP</t>
        </is>
      </c>
      <c r="G4" s="22" t="inlineStr">
        <is>
          <t>OCIA</t>
        </is>
      </c>
      <c r="H4" s="17" t="inlineStr">
        <is>
          <t>OXIGENO INDUSTRIAL</t>
        </is>
      </c>
      <c r="I4" s="17" t="inlineStr">
        <is>
          <t>Oxígeno Medicinal 10 m³</t>
        </is>
      </c>
      <c r="J4" s="17" t="inlineStr">
        <is>
          <t>ALMACEN LAMBAYEQUE</t>
        </is>
      </c>
      <c r="K4" s="22" t="inlineStr">
        <is>
          <t>NO</t>
        </is>
      </c>
    </row>
    <row r="5">
      <c r="A5" s="22" t="inlineStr">
        <is>
          <t>CARNET EXTRANJERIA</t>
        </is>
      </c>
      <c r="B5" s="1" t="n"/>
      <c r="C5" s="22" t="inlineStr">
        <is>
          <t>Proveedor</t>
        </is>
      </c>
      <c r="D5" s="22" t="inlineStr">
        <is>
          <t>PLANTA</t>
        </is>
      </c>
      <c r="E5" s="22" t="inlineStr">
        <is>
          <t>ALQUILADO</t>
        </is>
      </c>
      <c r="F5" s="22" t="inlineStr">
        <is>
          <t>JD</t>
        </is>
      </c>
      <c r="G5" s="22" t="inlineStr">
        <is>
          <t>DNV</t>
        </is>
      </c>
      <c r="H5" s="17" t="inlineStr">
        <is>
          <t>ACETILENO ESTANDAR</t>
        </is>
      </c>
      <c r="I5" s="17" t="inlineStr">
        <is>
          <t>Oxígeno Industrial 6 m³</t>
        </is>
      </c>
      <c r="J5" s="1" t="n"/>
      <c r="K5" s="1" t="n"/>
    </row>
    <row r="6">
      <c r="A6" s="22" t="inlineStr">
        <is>
          <t>PASAPORTE</t>
        </is>
      </c>
      <c r="B6" s="1" t="n"/>
      <c r="C6" s="22" t="inlineStr">
        <is>
          <t>Cliente / Proveedor</t>
        </is>
      </c>
      <c r="D6" s="22" t="n"/>
      <c r="E6" s="22" t="inlineStr">
        <is>
          <t>EN_MANTENIMIENTO</t>
        </is>
      </c>
      <c r="F6" s="22" t="inlineStr">
        <is>
          <t>YA</t>
        </is>
      </c>
      <c r="G6" s="22" t="inlineStr">
        <is>
          <t>BUREAU_VERITAS</t>
        </is>
      </c>
      <c r="H6" s="17" t="inlineStr">
        <is>
          <t>NITROGENO</t>
        </is>
      </c>
      <c r="I6" s="17" t="inlineStr">
        <is>
          <t>Oxígeno Industrial 10 m³</t>
        </is>
      </c>
      <c r="J6" s="1" t="n"/>
      <c r="K6" s="1" t="n"/>
    </row>
    <row r="7">
      <c r="A7" s="1" t="inlineStr">
        <is>
          <t>SD</t>
        </is>
      </c>
      <c r="B7" s="1" t="n"/>
      <c r="C7" s="1" t="inlineStr">
        <is>
          <t>Empresa</t>
        </is>
      </c>
      <c r="D7" s="1" t="n"/>
      <c r="E7" s="22" t="inlineStr">
        <is>
          <t>EN_RECARGA_EXTERNA</t>
        </is>
      </c>
      <c r="F7" s="22" t="inlineStr">
        <is>
          <t>LD</t>
        </is>
      </c>
      <c r="G7" s="22" t="inlineStr">
        <is>
          <t>LLOYDS</t>
        </is>
      </c>
      <c r="H7" s="17" t="inlineStr">
        <is>
          <t>ARGON</t>
        </is>
      </c>
      <c r="I7" s="17" t="inlineStr">
        <is>
          <t>Acetileno 5 kg</t>
        </is>
      </c>
      <c r="J7" s="1" t="n"/>
      <c r="K7" s="1" t="n"/>
    </row>
    <row r="8">
      <c r="A8" s="1" t="n"/>
      <c r="B8" s="1" t="n"/>
      <c r="C8" s="1" t="n"/>
      <c r="D8" s="1" t="n"/>
      <c r="E8" s="22" t="inlineStr">
        <is>
          <t>POR_RECOGER</t>
        </is>
      </c>
      <c r="F8" s="22" t="inlineStr">
        <is>
          <t>AMERICANA</t>
        </is>
      </c>
      <c r="G8" s="22" t="inlineStr">
        <is>
          <t>OTRO</t>
        </is>
      </c>
      <c r="H8" s="17" t="inlineStr">
        <is>
          <t>DIÓXIDO DE CARBONO</t>
        </is>
      </c>
      <c r="I8" s="17" t="inlineStr">
        <is>
          <t>Nitrógeno 6 m³</t>
        </is>
      </c>
      <c r="J8" s="1" t="n"/>
      <c r="K8" s="1" t="n"/>
    </row>
    <row r="9">
      <c r="A9" s="1" t="n"/>
      <c r="B9" s="1" t="n"/>
      <c r="C9" s="1" t="n"/>
      <c r="D9" s="1" t="n"/>
      <c r="E9" s="22" t="inlineStr">
        <is>
          <t>ROBO</t>
        </is>
      </c>
      <c r="F9" s="22" t="inlineStr">
        <is>
          <t>BRASILERA</t>
        </is>
      </c>
      <c r="G9" s="1" t="inlineStr">
        <is>
          <t>TS</t>
        </is>
      </c>
      <c r="H9" s="17" t="inlineStr">
        <is>
          <t>AIRE COMPRIMIDO</t>
        </is>
      </c>
      <c r="I9" s="17" t="inlineStr">
        <is>
          <t>Argón Estándar 10 m3</t>
        </is>
      </c>
      <c r="J9" s="1" t="n"/>
      <c r="K9" s="1" t="n"/>
    </row>
    <row r="10">
      <c r="A10" s="1" t="n"/>
      <c r="B10" s="1" t="n"/>
      <c r="C10" s="1" t="n"/>
      <c r="D10" s="1" t="n"/>
      <c r="E10" s="22" t="inlineStr">
        <is>
          <t>DADO_DE_BAJA</t>
        </is>
      </c>
      <c r="F10" s="22" t="inlineStr">
        <is>
          <t>ARGENTINA</t>
        </is>
      </c>
      <c r="G10" s="1" t="inlineStr">
        <is>
          <t>NO TIENE</t>
        </is>
      </c>
      <c r="H10" s="17" t="inlineStr">
        <is>
          <t>STARGOLD ESTANDAR</t>
        </is>
      </c>
      <c r="I10" s="17" t="inlineStr">
        <is>
          <t>Argón Estándar  6 m3</t>
        </is>
      </c>
      <c r="J10" s="1" t="n"/>
      <c r="K10" s="1" t="n"/>
    </row>
    <row r="11">
      <c r="A11" s="1" t="n"/>
      <c r="B11" s="1" t="n"/>
      <c r="C11" s="1" t="n"/>
      <c r="D11" s="1" t="n"/>
      <c r="E11" s="24" t="inlineStr">
        <is>
          <t>ALMACEN EXTRAVIADO</t>
        </is>
      </c>
      <c r="F11" s="22" t="inlineStr">
        <is>
          <t>OTRA</t>
        </is>
      </c>
      <c r="G11" s="1" t="inlineStr">
        <is>
          <t>HEXAGONAL (0036)</t>
        </is>
      </c>
      <c r="H11" s="17" t="inlineStr">
        <is>
          <t>ETILENO</t>
        </is>
      </c>
      <c r="I11" s="17" t="inlineStr">
        <is>
          <t>Argón Estándar  3 m3</t>
        </is>
      </c>
      <c r="J11" s="1" t="n"/>
      <c r="K11" s="1" t="n"/>
    </row>
    <row r="12">
      <c r="A12" s="1" t="n"/>
      <c r="B12" s="1" t="n"/>
      <c r="C12" s="1" t="n"/>
      <c r="D12" s="1" t="n"/>
      <c r="E12" s="24" t="inlineStr">
        <is>
          <t>CLIENTE EXTRAVIADO</t>
        </is>
      </c>
      <c r="F12" s="1" t="inlineStr">
        <is>
          <t>SEFIC</t>
        </is>
      </c>
      <c r="G12" s="1" t="inlineStr">
        <is>
          <t>HEXAGONAL (T10)</t>
        </is>
      </c>
      <c r="H12" s="1" t="inlineStr">
        <is>
          <t xml:space="preserve">ACETILENO ESPECIAL </t>
        </is>
      </c>
      <c r="I12" s="17" t="inlineStr">
        <is>
          <t>Nitrógeno 10 m³</t>
        </is>
      </c>
      <c r="J12" s="1" t="n"/>
      <c r="K12" s="1" t="n"/>
    </row>
    <row r="13">
      <c r="A13" s="1" t="n"/>
      <c r="B13" s="1" t="n"/>
      <c r="C13" s="1" t="n"/>
      <c r="D13" s="1" t="n"/>
      <c r="E13" s="1" t="inlineStr">
        <is>
          <t>POR VERIFICAR</t>
        </is>
      </c>
      <c r="F13" s="1" t="inlineStr">
        <is>
          <t>ALEMANA</t>
        </is>
      </c>
      <c r="G13" s="1" t="inlineStr">
        <is>
          <t>CIRCULO (J)</t>
        </is>
      </c>
      <c r="H13" s="1" t="inlineStr">
        <is>
          <t>GAS PROPANO</t>
        </is>
      </c>
      <c r="I13" s="17" t="inlineStr">
        <is>
          <t>Nitrógeno 3 m³</t>
        </is>
      </c>
      <c r="J13" s="1" t="n"/>
      <c r="K13" s="1" t="n"/>
    </row>
    <row r="14">
      <c r="A14" s="1" t="n"/>
      <c r="B14" s="1" t="n"/>
      <c r="C14" s="1" t="n"/>
      <c r="D14" s="1" t="n"/>
      <c r="E14" s="1" t="n"/>
      <c r="F14" s="1" t="inlineStr">
        <is>
          <t>YA</t>
        </is>
      </c>
      <c r="G14" s="1" t="inlineStr">
        <is>
          <t>ESTRELLA</t>
        </is>
      </c>
      <c r="H14" s="1" t="n"/>
      <c r="I14" s="17" t="inlineStr">
        <is>
          <t>Dióxido de carbono 25 kg</t>
        </is>
      </c>
      <c r="J14" s="1" t="n"/>
      <c r="K14" s="1" t="n"/>
    </row>
    <row r="15">
      <c r="A15" s="1" t="n"/>
      <c r="B15" s="1" t="n"/>
      <c r="C15" s="1" t="n"/>
      <c r="D15" s="1" t="n"/>
      <c r="E15" s="1" t="n"/>
      <c r="F15" s="1" t="inlineStr">
        <is>
          <t>DOT</t>
        </is>
      </c>
      <c r="G15" s="1" t="inlineStr">
        <is>
          <t>TRIANGULO</t>
        </is>
      </c>
      <c r="H15" s="1" t="n"/>
      <c r="I15" s="17" t="inlineStr">
        <is>
          <t>Dióxido de carbono 30 kg</t>
        </is>
      </c>
      <c r="J15" s="1" t="n"/>
      <c r="K15" s="1" t="n"/>
    </row>
    <row r="16">
      <c r="A16" s="1" t="n"/>
      <c r="B16" s="1" t="n"/>
      <c r="C16" s="1" t="n"/>
      <c r="D16" s="1" t="n"/>
      <c r="E16" s="1" t="n"/>
      <c r="F16" s="1" t="inlineStr">
        <is>
          <t>AGA</t>
        </is>
      </c>
      <c r="G16" s="1" t="n"/>
      <c r="H16" s="1" t="n"/>
      <c r="I16" s="17" t="inlineStr">
        <is>
          <t>Dióxido de carbono 13 kg</t>
        </is>
      </c>
      <c r="J16" s="1" t="n"/>
      <c r="K16" s="1" t="n"/>
    </row>
    <row r="17">
      <c r="A17" s="1" t="n"/>
      <c r="B17" s="1" t="n"/>
      <c r="C17" s="1" t="n"/>
      <c r="D17" s="1" t="n"/>
      <c r="E17" s="1" t="n"/>
      <c r="F17" s="1" t="inlineStr">
        <is>
          <t>SUIZA</t>
        </is>
      </c>
      <c r="G17" s="1" t="n"/>
      <c r="H17" s="1" t="n"/>
      <c r="I17" s="17" t="inlineStr">
        <is>
          <t>Acetileno 1 - 3 kg</t>
        </is>
      </c>
      <c r="J17" s="1" t="n"/>
      <c r="K17" s="1" t="n"/>
    </row>
    <row r="18">
      <c r="A18" s="1" t="n"/>
      <c r="B18" s="1" t="n"/>
      <c r="C18" s="1" t="n"/>
      <c r="D18" s="1" t="n"/>
      <c r="E18" s="1" t="n"/>
      <c r="F18" s="1" t="inlineStr">
        <is>
          <t>OXIGENO CRISTIAN</t>
        </is>
      </c>
      <c r="G18" s="1" t="n"/>
      <c r="H18" s="1" t="n"/>
      <c r="I18" s="17" t="inlineStr">
        <is>
          <t>Acetileno 0 kg</t>
        </is>
      </c>
      <c r="J18" s="1" t="n"/>
      <c r="K18" s="1" t="n"/>
    </row>
    <row r="19">
      <c r="A19" s="1" t="n"/>
      <c r="B19" s="1" t="n"/>
      <c r="C19" s="1" t="n"/>
      <c r="D19" s="1" t="n"/>
      <c r="E19" s="1" t="n"/>
      <c r="F19" s="1" t="inlineStr">
        <is>
          <t>OXYGEN</t>
        </is>
      </c>
      <c r="G19" s="1" t="n"/>
      <c r="H19" s="1" t="n"/>
      <c r="I19" s="17" t="inlineStr">
        <is>
          <t>Acetileno de 3.5 - 5 kg</t>
        </is>
      </c>
      <c r="J19" s="1" t="n"/>
      <c r="K19" s="1" t="n"/>
    </row>
    <row r="20" ht="15.75" customHeight="1" s="64">
      <c r="A20" s="1" t="n"/>
      <c r="B20" s="1" t="n"/>
      <c r="C20" s="1" t="n"/>
      <c r="D20" s="1" t="n"/>
      <c r="E20" s="1" t="n"/>
      <c r="F20" s="1" t="inlineStr">
        <is>
          <t>OXYNET</t>
        </is>
      </c>
      <c r="G20" s="1" t="n"/>
      <c r="H20" s="1" t="n"/>
      <c r="I20" s="17" t="inlineStr">
        <is>
          <t>Acetileno de 8 - 10 kg</t>
        </is>
      </c>
      <c r="J20" s="1" t="n"/>
      <c r="K20" s="1" t="n"/>
    </row>
    <row r="21" ht="15.75" customHeight="1" s="64">
      <c r="A21" s="1" t="n"/>
      <c r="B21" s="1" t="n"/>
      <c r="C21" s="1" t="n"/>
      <c r="D21" s="1" t="n"/>
      <c r="E21" s="1" t="n"/>
      <c r="F21" s="1" t="inlineStr">
        <is>
          <t>WELDWELL</t>
        </is>
      </c>
      <c r="G21" s="1" t="n"/>
      <c r="H21" s="1" t="n"/>
      <c r="I21" s="17" t="inlineStr">
        <is>
          <t>Acetileno de 3.5 - 5.5 kg</t>
        </is>
      </c>
      <c r="J21" s="1" t="n"/>
      <c r="K21" s="1" t="n"/>
    </row>
    <row r="22" ht="15.75" customHeight="1" s="64">
      <c r="A22" s="1" t="n"/>
      <c r="B22" s="1" t="n"/>
      <c r="C22" s="1" t="n"/>
      <c r="D22" s="1" t="n"/>
      <c r="E22" s="1" t="n"/>
      <c r="F22" s="1" t="n"/>
      <c r="G22" s="1" t="n"/>
      <c r="H22" s="1" t="n"/>
      <c r="I22" s="17" t="inlineStr">
        <is>
          <t>Acetileno de 6 - 8 kg</t>
        </is>
      </c>
      <c r="J22" s="1" t="n"/>
      <c r="K22" s="1" t="n"/>
    </row>
    <row r="23" ht="15.75" customHeight="1" s="64">
      <c r="A23" s="1" t="n"/>
      <c r="B23" s="1" t="n"/>
      <c r="C23" s="1" t="n"/>
      <c r="D23" s="1" t="n"/>
      <c r="E23" s="1" t="n"/>
      <c r="F23" s="1" t="n"/>
      <c r="G23" s="1" t="n"/>
      <c r="H23" s="1" t="n"/>
      <c r="I23" s="17" t="inlineStr">
        <is>
          <t>Acetileno de 6 - 7.5 kg</t>
        </is>
      </c>
      <c r="J23" s="1" t="n"/>
      <c r="K23" s="1" t="n"/>
    </row>
    <row r="24" ht="15.75" customHeight="1" s="64">
      <c r="A24" s="1" t="n"/>
      <c r="B24" s="1" t="n"/>
      <c r="C24" s="1" t="n"/>
      <c r="D24" s="1" t="n"/>
      <c r="E24" s="1" t="n"/>
      <c r="F24" s="1" t="n"/>
      <c r="G24" s="1" t="n"/>
      <c r="H24" s="1" t="n"/>
      <c r="I24" s="17" t="inlineStr">
        <is>
          <t>Acetileno de 7 - 9 kg</t>
        </is>
      </c>
      <c r="J24" s="1" t="n"/>
      <c r="K24" s="1" t="n"/>
    </row>
    <row r="25" ht="15.75" customHeight="1" s="64">
      <c r="A25" s="1" t="n"/>
      <c r="B25" s="1" t="n"/>
      <c r="C25" s="1" t="n"/>
      <c r="D25" s="1" t="n"/>
      <c r="E25" s="1" t="n"/>
      <c r="F25" s="1" t="n"/>
      <c r="G25" s="1" t="n"/>
      <c r="H25" s="1" t="n"/>
      <c r="I25" s="17" t="inlineStr">
        <is>
          <t>Acetileno de 4 kg</t>
        </is>
      </c>
      <c r="J25" s="1" t="n"/>
      <c r="K25" s="1" t="n"/>
    </row>
    <row r="26" ht="15.75" customHeight="1" s="64">
      <c r="A26" s="1" t="n"/>
      <c r="B26" s="1" t="n"/>
      <c r="C26" s="1" t="n"/>
      <c r="D26" s="1" t="n"/>
      <c r="E26" s="1" t="n"/>
      <c r="F26" s="1" t="n"/>
      <c r="G26" s="1" t="n"/>
      <c r="H26" s="1" t="n"/>
      <c r="I26" s="17" t="inlineStr">
        <is>
          <t>Acetileno de 1 - 4 kg</t>
        </is>
      </c>
      <c r="J26" s="1" t="n"/>
      <c r="K26" s="1" t="n"/>
    </row>
    <row r="27" ht="15.75" customHeight="1" s="64">
      <c r="A27" s="1" t="n"/>
      <c r="B27" s="1" t="n"/>
      <c r="C27" s="1" t="n"/>
      <c r="D27" s="1" t="n"/>
      <c r="E27" s="1" t="n"/>
      <c r="F27" s="1" t="n"/>
      <c r="G27" s="1" t="n"/>
      <c r="H27" s="1" t="n"/>
      <c r="I27" s="17" t="inlineStr">
        <is>
          <t>Stargold Estandar de 10 m3</t>
        </is>
      </c>
      <c r="J27" s="1" t="n"/>
      <c r="K27" s="1" t="n"/>
    </row>
    <row r="28" ht="15.75" customHeight="1" s="64">
      <c r="A28" s="1" t="n"/>
      <c r="B28" s="1" t="n"/>
      <c r="C28" s="1" t="n"/>
      <c r="D28" s="1" t="n"/>
      <c r="E28" s="1" t="n"/>
      <c r="F28" s="1" t="n"/>
      <c r="G28" s="1" t="n"/>
      <c r="H28" s="1" t="n"/>
      <c r="I28" s="17" t="inlineStr">
        <is>
          <t>Stargold Estandar de 6 m3</t>
        </is>
      </c>
      <c r="J28" s="1" t="n"/>
      <c r="K28" s="1" t="n"/>
    </row>
    <row r="29" ht="15.75" customHeight="1" s="64">
      <c r="A29" s="1" t="n"/>
      <c r="B29" s="1" t="n"/>
      <c r="C29" s="1" t="n"/>
      <c r="D29" s="1" t="n"/>
      <c r="E29" s="1" t="n"/>
      <c r="F29" s="1" t="n"/>
      <c r="G29" s="1" t="n"/>
      <c r="H29" s="1" t="n"/>
      <c r="I29" s="17" t="inlineStr">
        <is>
          <t>Etil 10 m³</t>
        </is>
      </c>
      <c r="J29" s="1" t="n"/>
      <c r="K29" s="1" t="n"/>
    </row>
    <row r="30" ht="15.75" customHeight="1" s="64">
      <c r="A30" s="1" t="n"/>
      <c r="B30" s="1" t="n"/>
      <c r="C30" s="1" t="n"/>
      <c r="D30" s="1" t="n"/>
      <c r="E30" s="1" t="n"/>
      <c r="F30" s="1" t="n"/>
      <c r="G30" s="1" t="n"/>
      <c r="H30" s="1" t="n"/>
      <c r="I30" s="17" t="inlineStr">
        <is>
          <t>Stargold Estandar de 3 m3</t>
        </is>
      </c>
      <c r="J30" s="1" t="n"/>
      <c r="K30" s="1" t="n"/>
    </row>
    <row r="31" ht="15.75" customHeight="1" s="64">
      <c r="A31" s="1" t="n"/>
      <c r="B31" s="1" t="n"/>
      <c r="C31" s="1" t="n"/>
      <c r="D31" s="1" t="n"/>
      <c r="E31" s="1" t="n"/>
      <c r="F31" s="1" t="n"/>
      <c r="G31" s="1" t="n"/>
      <c r="H31" s="1" t="n"/>
      <c r="I31" s="17" t="inlineStr">
        <is>
          <t>Stargold Estandar de 7 m3</t>
        </is>
      </c>
      <c r="J31" s="1" t="n"/>
      <c r="K31" s="1" t="n"/>
    </row>
    <row r="32" ht="15.75" customHeight="1" s="64">
      <c r="A32" s="1" t="n"/>
      <c r="B32" s="1" t="n"/>
      <c r="C32" s="1" t="n"/>
      <c r="D32" s="1" t="n"/>
      <c r="E32" s="1" t="n"/>
      <c r="F32" s="1" t="n"/>
      <c r="G32" s="1" t="n"/>
      <c r="H32" s="1" t="n"/>
      <c r="I32" s="17" t="inlineStr">
        <is>
          <t>ACETILENO ESPECIAL 7 KG</t>
        </is>
      </c>
      <c r="J32" s="1" t="n"/>
      <c r="K32" s="1" t="n"/>
    </row>
    <row r="33" ht="15.75" customHeight="1" s="64">
      <c r="A33" s="1" t="n"/>
      <c r="B33" s="1" t="n"/>
      <c r="C33" s="1" t="n"/>
      <c r="D33" s="1" t="n"/>
      <c r="E33" s="1" t="n"/>
      <c r="F33" s="1" t="n"/>
      <c r="G33" s="1" t="n"/>
      <c r="H33" s="1" t="n"/>
      <c r="I33" s="17" t="inlineStr">
        <is>
          <t>DIOXIDO DE CARBONO 9 KG</t>
        </is>
      </c>
      <c r="J33" s="1" t="n"/>
      <c r="K33" s="1" t="n"/>
    </row>
    <row r="34" ht="15.75" customHeight="1" s="64">
      <c r="A34" s="1" t="n"/>
      <c r="B34" s="1" t="n"/>
      <c r="C34" s="1" t="n"/>
      <c r="D34" s="1" t="n"/>
      <c r="E34" s="1" t="n"/>
      <c r="F34" s="1" t="n"/>
      <c r="G34" s="1" t="n"/>
      <c r="H34" s="1" t="n"/>
      <c r="I34" s="17" t="inlineStr">
        <is>
          <t>Oxígeno Medicinal 3 m³</t>
        </is>
      </c>
      <c r="J34" s="1" t="n"/>
      <c r="K34" s="1" t="n"/>
    </row>
    <row r="35" ht="15.75" customHeight="1" s="64">
      <c r="A35" s="1" t="n"/>
      <c r="B35" s="1" t="n"/>
      <c r="C35" s="1" t="n"/>
      <c r="D35" s="1" t="n"/>
      <c r="E35" s="1" t="n"/>
      <c r="F35" s="1" t="n"/>
      <c r="G35" s="1" t="n"/>
      <c r="H35" s="1" t="n"/>
      <c r="I35" s="17" t="inlineStr">
        <is>
          <t>Oxigeno Industrial 3 m³</t>
        </is>
      </c>
      <c r="J35" s="1" t="n"/>
      <c r="K35" s="1" t="n"/>
    </row>
    <row r="36" ht="15.75" customHeight="1" s="64">
      <c r="A36" s="1" t="n"/>
      <c r="B36" s="1" t="n"/>
      <c r="C36" s="1" t="n"/>
      <c r="D36" s="1" t="n"/>
      <c r="E36" s="1" t="n"/>
      <c r="F36" s="1" t="n"/>
      <c r="G36" s="1" t="n"/>
      <c r="H36" s="1" t="n"/>
      <c r="I36" s="17" t="inlineStr">
        <is>
          <t>Oxigeno Industrial 8 m³</t>
        </is>
      </c>
      <c r="J36" s="1" t="n"/>
      <c r="K36" s="1" t="n"/>
    </row>
    <row r="37" ht="15.75" customHeight="1" s="64">
      <c r="A37" s="1" t="n"/>
      <c r="B37" s="1" t="n"/>
      <c r="C37" s="1" t="n"/>
      <c r="D37" s="1" t="n"/>
      <c r="E37" s="1" t="n"/>
      <c r="F37" s="1" t="n"/>
      <c r="G37" s="1" t="n"/>
      <c r="H37" s="1" t="n"/>
      <c r="I37" s="17" t="inlineStr">
        <is>
          <t>Oxigeno Industrial 7 m³</t>
        </is>
      </c>
      <c r="J37" s="1" t="n"/>
      <c r="K37" s="1" t="n"/>
    </row>
    <row r="38" ht="15.75" customHeight="1" s="64">
      <c r="A38" s="1" t="n"/>
      <c r="B38" s="1" t="n"/>
      <c r="C38" s="1" t="n"/>
      <c r="D38" s="1" t="n"/>
      <c r="E38" s="1" t="n"/>
      <c r="F38" s="1" t="n"/>
      <c r="G38" s="1" t="n"/>
      <c r="H38" s="1" t="n"/>
      <c r="I38" s="17" t="inlineStr">
        <is>
          <t>Oxigeno Medicinal 1.5 m³</t>
        </is>
      </c>
      <c r="J38" s="1" t="n"/>
      <c r="K38" s="1" t="n"/>
    </row>
    <row r="39" ht="15.75" customHeight="1" s="64">
      <c r="A39" s="1" t="n"/>
      <c r="B39" s="1" t="n"/>
      <c r="C39" s="1" t="n"/>
      <c r="D39" s="1" t="n"/>
      <c r="E39" s="1" t="n"/>
      <c r="F39" s="1" t="n"/>
      <c r="G39" s="1" t="n"/>
      <c r="H39" s="1" t="n"/>
      <c r="I39" s="17" t="inlineStr">
        <is>
          <t>Gas Propano 45 kg</t>
        </is>
      </c>
      <c r="J39" s="1" t="n"/>
      <c r="K39" s="1" t="n"/>
    </row>
    <row r="40" ht="15.75" customHeight="1" s="64">
      <c r="A40" s="1" t="n"/>
      <c r="B40" s="1" t="n"/>
      <c r="C40" s="1" t="n"/>
      <c r="D40" s="1" t="n"/>
      <c r="E40" s="1" t="n"/>
      <c r="F40" s="1" t="n"/>
      <c r="G40" s="1" t="n"/>
      <c r="H40" s="1" t="n"/>
      <c r="I40" s="17" t="inlineStr">
        <is>
          <t>Gas Propano 10 kg</t>
        </is>
      </c>
      <c r="J40" s="1" t="n"/>
      <c r="K40" s="1" t="n"/>
    </row>
    <row r="41" ht="15.75" customHeight="1" s="64">
      <c r="A41" s="1" t="n"/>
      <c r="B41" s="1" t="n"/>
      <c r="C41" s="1" t="n"/>
      <c r="D41" s="1" t="n"/>
      <c r="E41" s="1" t="n"/>
      <c r="F41" s="1" t="n"/>
      <c r="G41" s="1" t="n"/>
      <c r="H41" s="1" t="n"/>
      <c r="I41" s="17" t="inlineStr">
        <is>
          <t>Oxigeno Medicinal 1 m³</t>
        </is>
      </c>
      <c r="J41" s="1" t="n"/>
      <c r="K41" s="1" t="n"/>
    </row>
    <row r="42" ht="15.75" customHeight="1" s="64">
      <c r="A42" s="1" t="n"/>
      <c r="B42" s="1" t="n"/>
      <c r="C42" s="1" t="n"/>
      <c r="D42" s="1" t="n"/>
      <c r="E42" s="1" t="n"/>
      <c r="F42" s="1" t="n"/>
      <c r="G42" s="1" t="n"/>
      <c r="H42" s="1" t="n"/>
      <c r="I42" s="17" t="inlineStr">
        <is>
          <t>Oxigeno Industrial 4 m³</t>
        </is>
      </c>
      <c r="J42" s="1" t="n"/>
      <c r="K42" s="1" t="n"/>
    </row>
    <row r="43" ht="15.75" customHeight="1" s="64">
      <c r="A43" s="1" t="n"/>
      <c r="B43" s="1" t="n"/>
      <c r="C43" s="1" t="n"/>
      <c r="D43" s="1" t="n"/>
      <c r="E43" s="1" t="n"/>
      <c r="F43" s="1" t="n"/>
      <c r="G43" s="1" t="n"/>
      <c r="H43" s="1" t="n"/>
      <c r="I43" s="17" t="inlineStr">
        <is>
          <t>Oxigeno Industrial de 1.5 m3</t>
        </is>
      </c>
      <c r="J43" s="1" t="n"/>
      <c r="K43" s="1" t="n"/>
      <c r="L43" s="1" t="n"/>
      <c r="M43" s="1" t="n"/>
      <c r="N43" s="1" t="n"/>
      <c r="O43" s="1" t="n"/>
      <c r="P43" s="1" t="n"/>
      <c r="Q43" s="27" t="n"/>
      <c r="R43" s="1" t="n"/>
      <c r="S43" s="1" t="n"/>
    </row>
    <row r="44" ht="15.75" customHeight="1" s="64">
      <c r="A44" s="1" t="n"/>
      <c r="B44" s="1" t="n"/>
      <c r="C44" s="1" t="n"/>
      <c r="D44" s="1" t="n"/>
      <c r="E44" s="1" t="n"/>
      <c r="F44" s="1" t="n"/>
      <c r="G44" s="1" t="n"/>
      <c r="H44" s="1" t="n"/>
      <c r="I44" s="17" t="inlineStr">
        <is>
          <t>DIOXIDO DE CARBONO 3 KG</t>
        </is>
      </c>
      <c r="J44" s="1" t="n"/>
      <c r="K44" s="1" t="n"/>
      <c r="L44" s="1" t="n"/>
      <c r="M44" s="1" t="n"/>
      <c r="N44" s="1" t="n"/>
      <c r="O44" s="1" t="n"/>
      <c r="P44" s="1" t="n"/>
      <c r="Q44" s="17" t="inlineStr">
        <is>
          <t>DIOXIDO DE CARBONO 3 KG</t>
        </is>
      </c>
      <c r="R44" s="1" t="n"/>
      <c r="S44" s="1" t="n"/>
    </row>
    <row r="45" ht="15.75" customHeight="1" s="64">
      <c r="A45" s="1" t="n"/>
      <c r="B45" s="1" t="n"/>
      <c r="C45" s="1" t="n"/>
      <c r="D45" s="1" t="n"/>
      <c r="E45" s="1" t="n"/>
      <c r="F45" s="1" t="n"/>
      <c r="G45" s="1" t="n"/>
      <c r="H45" s="1" t="n"/>
      <c r="I45" s="17" t="inlineStr">
        <is>
          <t>Oxigeno Industrial 2 m³</t>
        </is>
      </c>
      <c r="J45" s="1" t="n"/>
      <c r="K45" s="1" t="n"/>
    </row>
    <row r="46" ht="15.75" customHeight="1" s="64">
      <c r="A46" s="1" t="n"/>
      <c r="B46" s="1" t="n"/>
      <c r="C46" s="1" t="n"/>
      <c r="D46" s="1" t="n"/>
      <c r="E46" s="1" t="n"/>
      <c r="F46" s="1" t="n"/>
      <c r="G46" s="1" t="n"/>
      <c r="H46" s="1" t="n"/>
      <c r="I46" s="17" t="inlineStr">
        <is>
          <t>Oxigeno Industrial 2.5 m³</t>
        </is>
      </c>
      <c r="J46" s="1" t="n"/>
      <c r="K46" s="1" t="n"/>
    </row>
    <row r="47" ht="15.75" customHeight="1" s="64">
      <c r="A47" s="1" t="n"/>
      <c r="B47" s="1" t="n"/>
      <c r="C47" s="1" t="n"/>
      <c r="D47" s="1" t="n"/>
      <c r="E47" s="1" t="n"/>
      <c r="F47" s="1" t="n"/>
      <c r="G47" s="1" t="n"/>
      <c r="H47" s="1" t="n"/>
      <c r="I47" s="17" t="inlineStr">
        <is>
          <t>Dioxido de Carbono de 12 kg</t>
        </is>
      </c>
      <c r="J47" s="1" t="n"/>
      <c r="K47" s="1" t="n"/>
    </row>
    <row r="48" ht="15.75" customHeight="1" s="64">
      <c r="A48" s="1" t="n"/>
      <c r="B48" s="1" t="n"/>
      <c r="C48" s="1" t="n"/>
      <c r="D48" s="1" t="n"/>
      <c r="E48" s="1" t="n"/>
      <c r="F48" s="1" t="n"/>
      <c r="G48" s="1" t="n"/>
      <c r="H48" s="1" t="n"/>
      <c r="I48" s="17" t="inlineStr">
        <is>
          <t>Dióxido de carbono 7 kg</t>
        </is>
      </c>
      <c r="J48" s="1" t="n"/>
      <c r="K48" s="1" t="n"/>
    </row>
    <row r="49" ht="15.75" customHeight="1" s="64">
      <c r="A49" s="1" t="n"/>
      <c r="B49" s="1" t="n"/>
      <c r="C49" s="1" t="n"/>
      <c r="D49" s="1" t="n"/>
      <c r="E49" s="1" t="n"/>
      <c r="F49" s="1" t="n"/>
      <c r="G49" s="1" t="n"/>
      <c r="H49" s="1" t="n"/>
      <c r="I49" s="17" t="inlineStr">
        <is>
          <t>Oxigeno Industrial 1 m³</t>
        </is>
      </c>
      <c r="J49" s="1" t="n"/>
      <c r="K49" s="1" t="n"/>
    </row>
    <row r="50" ht="15.75" customHeight="1" s="64">
      <c r="A50" s="1" t="n"/>
      <c r="B50" s="1" t="n"/>
      <c r="C50" s="1" t="n"/>
      <c r="D50" s="1" t="n"/>
      <c r="E50" s="1" t="n"/>
      <c r="F50" s="1" t="n"/>
      <c r="G50" s="1" t="n"/>
      <c r="H50" s="1" t="n"/>
      <c r="I50" s="17" t="inlineStr">
        <is>
          <t>Acetileno de 2.5 kg</t>
        </is>
      </c>
      <c r="J50" s="1" t="n"/>
      <c r="K50" s="1" t="n"/>
    </row>
    <row r="51" ht="15.75" customHeight="1" s="64">
      <c r="A51" s="1" t="n"/>
      <c r="B51" s="1" t="n"/>
      <c r="C51" s="1" t="n"/>
      <c r="D51" s="1" t="n"/>
      <c r="E51" s="1" t="n"/>
      <c r="F51" s="1" t="n"/>
      <c r="G51" s="1" t="n"/>
      <c r="H51" s="1" t="n"/>
      <c r="I51" s="17" t="inlineStr">
        <is>
          <t>Acetileno de 10 kg</t>
        </is>
      </c>
      <c r="J51" s="1" t="n"/>
      <c r="K51" s="1" t="n"/>
    </row>
    <row r="52" ht="15.75" customHeight="1" s="64">
      <c r="A52" s="1" t="n"/>
      <c r="B52" s="1" t="n"/>
      <c r="C52" s="1" t="n"/>
      <c r="D52" s="1" t="n"/>
      <c r="E52" s="1" t="n"/>
      <c r="F52" s="1" t="n"/>
      <c r="G52" s="1" t="n"/>
      <c r="H52" s="1" t="n"/>
      <c r="I52" s="17" t="inlineStr">
        <is>
          <t>Acetileno de 8kg</t>
        </is>
      </c>
      <c r="J52" s="1" t="n"/>
      <c r="K52" s="1" t="n"/>
    </row>
    <row r="53" ht="15.75" customHeight="1" s="64">
      <c r="A53" s="1" t="n"/>
      <c r="B53" s="1" t="n"/>
      <c r="C53" s="1" t="n"/>
      <c r="D53" s="1" t="n"/>
      <c r="E53" s="1" t="n"/>
      <c r="F53" s="1" t="n"/>
      <c r="G53" s="1" t="n"/>
      <c r="H53" s="1" t="n"/>
      <c r="I53" s="17" t="inlineStr">
        <is>
          <t>Acetileno de 7 kg</t>
        </is>
      </c>
      <c r="J53" s="1" t="n"/>
      <c r="K53" s="1" t="n"/>
    </row>
    <row r="54" ht="15.75" customHeight="1" s="64">
      <c r="A54" s="63" t="inlineStr">
        <is>
          <t>Fondo amarillo / texto azul = lista que la empresa puede completar. Azul oscuro = valores fijos del sistema, no modificar.</t>
        </is>
      </c>
      <c r="B54" s="1" t="n"/>
      <c r="C54" s="1" t="n"/>
      <c r="D54" s="1" t="n"/>
      <c r="E54" s="1" t="n"/>
      <c r="F54" s="1" t="n"/>
      <c r="G54" s="1" t="n"/>
      <c r="H54" s="1" t="n"/>
      <c r="I54" s="17" t="n"/>
      <c r="K54" s="1" t="n"/>
    </row>
    <row r="55" ht="15.75" customHeight="1" s="64">
      <c r="A55" s="1" t="n"/>
      <c r="B55" s="1" t="n"/>
      <c r="C55" s="1" t="n"/>
      <c r="D55" s="1" t="n"/>
      <c r="E55" s="1" t="n"/>
      <c r="F55" s="1" t="n"/>
      <c r="G55" s="1" t="n"/>
      <c r="H55" s="1" t="n"/>
      <c r="I55" s="17" t="n"/>
      <c r="J55" s="1" t="n"/>
      <c r="K55" s="1" t="n"/>
    </row>
    <row r="56" ht="15.75" customHeight="1" s="64">
      <c r="A56" s="1" t="n"/>
      <c r="B56" s="1" t="n"/>
      <c r="C56" s="1" t="n"/>
      <c r="D56" s="1" t="n"/>
      <c r="E56" s="1" t="n"/>
      <c r="F56" s="1" t="n"/>
      <c r="G56" s="1" t="n"/>
      <c r="H56" s="1" t="n"/>
      <c r="I56" s="17" t="n"/>
      <c r="J56" s="1" t="n"/>
      <c r="K56" s="1" t="n"/>
    </row>
    <row r="57" ht="15.75" customHeight="1" s="64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15.75" customHeight="1" s="64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15.75" customHeight="1" s="6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15.75" customHeight="1" s="6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 ht="15.75" customHeight="1" s="64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15.75" customHeight="1" s="64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 ht="15.75" customHeight="1" s="64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15.75" customHeight="1" s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15.75" customHeight="1" s="64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15.75" customHeight="1" s="6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 ht="15.75" customHeight="1" s="6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15.75" customHeight="1" s="6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 ht="15.75" customHeight="1" s="6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 ht="15.75" customHeight="1" s="6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 ht="15.75" customHeight="1" s="6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 ht="15.75" customHeight="1" s="6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 ht="15.75" customHeight="1" s="6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15.75" customHeight="1" s="6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 ht="15.75" customHeight="1" s="6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 ht="15.75" customHeight="1" s="6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 ht="15.75" customHeight="1" s="6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 ht="15.75" customHeight="1" s="6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 ht="15.75" customHeight="1" s="6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 ht="15.75" customHeight="1" s="6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 ht="15.75" customHeight="1" s="6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 ht="15.75" customHeight="1" s="6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 ht="15.75" customHeight="1" s="6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 ht="15.75" customHeight="1" s="6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 ht="15.75" customHeight="1" s="6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 ht="15.75" customHeight="1" s="6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 ht="15.75" customHeight="1" s="6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 ht="15.75" customHeight="1" s="6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 ht="15.75" customHeight="1" s="6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 ht="15.75" customHeight="1" s="6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 ht="15.75" customHeight="1" s="6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 ht="15.75" customHeight="1" s="6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 ht="15.75" customHeight="1" s="6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 ht="15.75" customHeight="1" s="6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 ht="15.75" customHeight="1" s="6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 ht="15.75" customHeight="1" s="6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5.75" customHeight="1" s="6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5.75" customHeight="1" s="6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5.75" customHeight="1" s="6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 ht="15.75" customHeight="1" s="6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 ht="15.75" customHeight="1" s="6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 ht="15.75" customHeight="1" s="6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 ht="15.75" customHeight="1" s="6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 ht="15.75" customHeight="1" s="6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 ht="15.75" customHeight="1" s="6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 ht="15.75" customHeight="1" s="6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 ht="15.75" customHeight="1" s="6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 ht="15.75" customHeight="1" s="6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 ht="15.75" customHeight="1" s="6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 ht="15.75" customHeight="1" s="6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 ht="15.75" customHeight="1" s="6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 ht="15.75" customHeight="1" s="6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 ht="15.75" customHeight="1" s="6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 ht="15.75" customHeight="1" s="6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 ht="15.75" customHeight="1" s="6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 ht="15.75" customHeight="1" s="6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 ht="15.75" customHeight="1" s="6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 ht="15.75" customHeight="1" s="6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 ht="15.75" customHeight="1" s="6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 ht="15.75" customHeight="1" s="6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 ht="15.75" customHeight="1" s="6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 ht="15.75" customHeight="1" s="6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 ht="15.75" customHeight="1" s="6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 ht="15.75" customHeight="1" s="6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 ht="15.75" customHeight="1" s="6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 ht="15.75" customHeight="1" s="6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 ht="15.75" customHeight="1" s="6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 ht="15.75" customHeight="1" s="6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 ht="15.75" customHeight="1" s="6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 ht="15.75" customHeight="1" s="6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 ht="15.75" customHeight="1" s="6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 ht="15.75" customHeight="1" s="6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 ht="15.75" customHeight="1" s="6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 ht="15.75" customHeight="1" s="6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 ht="15.75" customHeight="1" s="6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 ht="15.75" customHeight="1" s="6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 ht="15.75" customHeight="1" s="6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 ht="15.75" customHeight="1" s="6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 ht="15.75" customHeight="1" s="6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 ht="15.75" customHeight="1" s="6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 ht="15.75" customHeight="1" s="6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 ht="15.75" customHeight="1" s="6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 ht="15.75" customHeight="1" s="6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 ht="15.75" customHeight="1" s="6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 ht="15.75" customHeight="1" s="6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 ht="15.75" customHeight="1" s="6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 ht="15.75" customHeight="1" s="6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 ht="15.75" customHeight="1" s="6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 ht="15.75" customHeight="1" s="6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 ht="15.75" customHeight="1" s="6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 ht="15.75" customHeight="1" s="6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 ht="15.75" customHeight="1" s="6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 ht="15.75" customHeight="1" s="6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 ht="15.75" customHeight="1" s="6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 ht="15.75" customHeight="1" s="6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 ht="15.75" customHeight="1" s="6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 ht="15.75" customHeight="1" s="6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 ht="15.75" customHeight="1" s="6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 ht="15.75" customHeight="1" s="6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 ht="15.75" customHeight="1" s="6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 ht="15.75" customHeight="1" s="6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 ht="15.75" customHeight="1" s="6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 ht="15.75" customHeight="1" s="6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 ht="15.75" customHeight="1" s="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 ht="15.75" customHeight="1" s="6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 ht="15.75" customHeight="1" s="6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 ht="15.75" customHeight="1" s="6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 ht="15.75" customHeight="1" s="6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 ht="15.75" customHeight="1" s="6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 ht="15.75" customHeight="1" s="6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 ht="15.75" customHeight="1" s="6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 ht="15.75" customHeight="1" s="6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 ht="15.75" customHeight="1" s="6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 ht="15.75" customHeight="1" s="6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 ht="15.75" customHeight="1" s="6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 ht="15.75" customHeight="1" s="6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 ht="15.75" customHeight="1" s="6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 ht="15.75" customHeight="1" s="6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 ht="15.75" customHeight="1" s="6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 ht="15.75" customHeight="1" s="6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 ht="15.75" customHeight="1" s="6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 ht="15.75" customHeight="1" s="6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 ht="15.75" customHeight="1" s="6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 ht="15.75" customHeight="1" s="6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 ht="15.75" customHeight="1" s="6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 ht="15.75" customHeight="1" s="6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 ht="15.75" customHeight="1" s="6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 ht="15.75" customHeight="1" s="6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 ht="15.75" customHeight="1" s="6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 ht="15.75" customHeight="1" s="6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 ht="15.75" customHeight="1" s="6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 ht="15.75" customHeight="1" s="6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 ht="15.75" customHeight="1" s="6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 ht="15.75" customHeight="1" s="6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 ht="15.75" customHeight="1" s="6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 ht="15.75" customHeight="1" s="6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 ht="15.75" customHeight="1" s="6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 ht="15.75" customHeight="1" s="6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 ht="15.75" customHeight="1" s="6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 ht="15.75" customHeight="1" s="6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 ht="15.75" customHeight="1" s="6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 ht="15.75" customHeight="1" s="6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 ht="15.75" customHeight="1" s="6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 ht="15.75" customHeight="1" s="6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 ht="15.75" customHeight="1" s="6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 ht="15.75" customHeight="1" s="6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 ht="15.75" customHeight="1" s="6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 ht="15.75" customHeight="1" s="6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 ht="15.75" customHeight="1" s="6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 ht="15.75" customHeight="1" s="6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 ht="15.75" customHeight="1" s="6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 ht="15.75" customHeight="1" s="6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 ht="15.75" customHeight="1" s="6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 ht="15.75" customHeight="1" s="6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 ht="15.75" customHeight="1" s="6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 ht="15.75" customHeight="1" s="6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 ht="15.75" customHeight="1" s="6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 ht="15.75" customHeight="1" s="6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 ht="15.75" customHeight="1" s="6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 ht="15.75" customHeight="1" s="6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 ht="15.75" customHeight="1" s="6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 ht="15.75" customHeight="1" s="6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 ht="15.75" customHeight="1" s="6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 ht="15.75" customHeight="1" s="6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 ht="15.75" customHeight="1" s="6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 ht="15.75" customHeight="1" s="6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 ht="15.75" customHeight="1" s="6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 ht="15.75" customHeight="1" s="6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 ht="15.75" customHeight="1" s="6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 ht="15.75" customHeight="1" s="6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 ht="15.75" customHeight="1" s="6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 ht="15.75" customHeight="1" s="6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 ht="15.75" customHeight="1" s="6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 ht="15.75" customHeight="1" s="6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 ht="15.75" customHeight="1" s="6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 ht="15.75" customHeight="1" s="6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 ht="15.75" customHeight="1" s="6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 ht="15.75" customHeight="1" s="6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 ht="15.75" customHeight="1" s="6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 ht="15.75" customHeight="1" s="6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 ht="15.75" customHeight="1" s="6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 ht="15.75" customHeight="1" s="6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 ht="15.75" customHeight="1" s="6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 ht="15.75" customHeight="1" s="6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 ht="15.75" customHeight="1" s="6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 ht="15.75" customHeight="1" s="6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 ht="15.75" customHeight="1" s="6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 ht="15.75" customHeight="1" s="6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 ht="15.75" customHeight="1" s="6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 ht="15.75" customHeight="1" s="6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 ht="15.75" customHeight="1" s="6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 ht="15.75" customHeight="1" s="6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 ht="15.75" customHeight="1" s="6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 ht="15.75" customHeight="1" s="6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 ht="15.75" customHeight="1" s="6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 ht="15.75" customHeight="1" s="6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 ht="15.75" customHeight="1" s="6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 ht="15.75" customHeight="1" s="6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 ht="15.75" customHeight="1" s="6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 ht="15.75" customHeight="1" s="6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 ht="15.75" customHeight="1" s="6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 ht="15.75" customHeight="1" s="6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 ht="15.75" customHeight="1" s="6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 ht="15.75" customHeight="1" s="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 ht="15.75" customHeight="1" s="6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 ht="15.75" customHeight="1" s="6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 ht="15.75" customHeight="1" s="6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 ht="15.75" customHeight="1" s="6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 ht="15.75" customHeight="1" s="6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 ht="15.75" customHeight="1" s="6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 ht="15.75" customHeight="1" s="6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 ht="15.75" customHeight="1" s="6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 ht="15.75" customHeight="1" s="6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 ht="15.75" customHeight="1" s="6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 ht="15.75" customHeight="1" s="6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 ht="15.75" customHeight="1" s="6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 ht="15.75" customHeight="1" s="6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 ht="15.75" customHeight="1" s="6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 ht="15.75" customHeight="1" s="6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 ht="15.75" customHeight="1" s="6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 ht="15.75" customHeight="1" s="6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 ht="15.75" customHeight="1" s="6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 ht="15.75" customHeight="1" s="6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 ht="15.75" customHeight="1" s="6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 ht="15.75" customHeight="1" s="6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 ht="15.75" customHeight="1" s="6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 ht="15.75" customHeight="1" s="6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 ht="15.75" customHeight="1" s="6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 ht="15.75" customHeight="1" s="6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 ht="15.75" customHeight="1" s="6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 ht="15.75" customHeight="1" s="6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 ht="15.75" customHeight="1" s="6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 ht="15.75" customHeight="1" s="6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 ht="15.75" customHeight="1" s="6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 ht="15.75" customHeight="1" s="6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 ht="15.75" customHeight="1" s="6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 ht="15.75" customHeight="1" s="6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 ht="15.75" customHeight="1" s="6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 ht="15.75" customHeight="1" s="6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 ht="15.75" customHeight="1" s="6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 ht="15.75" customHeight="1" s="6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 ht="15.75" customHeight="1" s="6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 ht="15.75" customHeight="1" s="6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 ht="15.75" customHeight="1" s="6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 ht="15.75" customHeight="1" s="6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 ht="15.75" customHeight="1" s="6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 ht="15.75" customHeight="1" s="6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 ht="15.75" customHeight="1" s="6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 ht="15.75" customHeight="1" s="6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 ht="15.75" customHeight="1" s="6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 ht="15.75" customHeight="1" s="6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 ht="15.75" customHeight="1" s="6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 ht="15.75" customHeight="1" s="6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 ht="15.75" customHeight="1" s="6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 ht="15.75" customHeight="1" s="6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 ht="15.75" customHeight="1" s="6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 ht="15.75" customHeight="1" s="6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 ht="15.75" customHeight="1" s="6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 ht="15.75" customHeight="1" s="6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 ht="15.75" customHeight="1" s="6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 ht="15.75" customHeight="1" s="6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 ht="15.75" customHeight="1" s="6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 ht="15.75" customHeight="1" s="6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 ht="15.75" customHeight="1" s="6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 ht="15.75" customHeight="1" s="6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 ht="15.75" customHeight="1" s="6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 ht="15.75" customHeight="1" s="6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 ht="15.75" customHeight="1" s="6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 ht="15.75" customHeight="1" s="6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 ht="15.75" customHeight="1" s="6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 ht="15.75" customHeight="1" s="6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 ht="15.75" customHeight="1" s="6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 ht="15.75" customHeight="1" s="6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 ht="15.75" customHeight="1" s="6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 ht="15.75" customHeight="1" s="6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 ht="15.75" customHeight="1" s="6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 ht="15.75" customHeight="1" s="6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 ht="15.75" customHeight="1" s="6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 ht="15.75" customHeight="1" s="6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 ht="15.75" customHeight="1" s="6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 ht="15.75" customHeight="1" s="6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 ht="15.75" customHeight="1" s="6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 ht="15.75" customHeight="1" s="6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 ht="15.75" customHeight="1" s="6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 ht="15.75" customHeight="1" s="6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 ht="15.75" customHeight="1" s="6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 ht="15.75" customHeight="1" s="6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 ht="15.75" customHeight="1" s="6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 ht="15.75" customHeight="1" s="6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 ht="15.75" customHeight="1" s="6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 ht="15.75" customHeight="1" s="6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 ht="15.75" customHeight="1" s="6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 ht="15.75" customHeight="1" s="6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 ht="15.75" customHeight="1" s="6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 ht="15.75" customHeight="1" s="6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 ht="15.75" customHeight="1" s="6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 ht="15.75" customHeight="1" s="6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 ht="15.75" customHeight="1" s="6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 ht="15.75" customHeight="1" s="6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 ht="15.75" customHeight="1" s="6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 ht="15.75" customHeight="1" s="6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 ht="15.75" customHeight="1" s="6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 ht="15.75" customHeight="1" s="6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 ht="15.75" customHeight="1" s="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 ht="15.75" customHeight="1" s="6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 ht="15.75" customHeight="1" s="6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 ht="15.75" customHeight="1" s="6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 ht="15.75" customHeight="1" s="6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 ht="15.75" customHeight="1" s="6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 ht="15.75" customHeight="1" s="6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 ht="15.75" customHeight="1" s="6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 ht="15.75" customHeight="1" s="6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 ht="15.75" customHeight="1" s="6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 ht="15.75" customHeight="1" s="6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 ht="15.75" customHeight="1" s="6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 ht="15.75" customHeight="1" s="6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 ht="15.75" customHeight="1" s="6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 ht="15.75" customHeight="1" s="6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 ht="15.75" customHeight="1" s="6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 ht="15.75" customHeight="1" s="6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 ht="15.75" customHeight="1" s="6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 ht="15.75" customHeight="1" s="6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 ht="15.75" customHeight="1" s="6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 ht="15.75" customHeight="1" s="6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 ht="15.75" customHeight="1" s="6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 ht="15.75" customHeight="1" s="6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 ht="15.75" customHeight="1" s="6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 ht="15.75" customHeight="1" s="6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 ht="15.75" customHeight="1" s="6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 ht="15.75" customHeight="1" s="6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 ht="15.75" customHeight="1" s="6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 ht="15.75" customHeight="1" s="6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 ht="15.75" customHeight="1" s="6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 ht="15.75" customHeight="1" s="6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 ht="15.75" customHeight="1" s="6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 ht="15.75" customHeight="1" s="6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 ht="15.75" customHeight="1" s="6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 ht="15.75" customHeight="1" s="6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 ht="15.75" customHeight="1" s="6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 ht="15.75" customHeight="1" s="6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 ht="15.75" customHeight="1" s="6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 ht="15.75" customHeight="1" s="6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 ht="15.75" customHeight="1" s="6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 ht="15.75" customHeight="1" s="6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 ht="15.75" customHeight="1" s="6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 ht="15.75" customHeight="1" s="6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 ht="15.75" customHeight="1" s="6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 ht="15.75" customHeight="1" s="6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 ht="15.75" customHeight="1" s="6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 ht="15.75" customHeight="1" s="6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 ht="15.75" customHeight="1" s="6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 ht="15.75" customHeight="1" s="6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 ht="15.75" customHeight="1" s="6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 ht="15.75" customHeight="1" s="6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 ht="15.75" customHeight="1" s="6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 ht="15.75" customHeight="1" s="6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 ht="15.75" customHeight="1" s="6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 ht="15.75" customHeight="1" s="6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 ht="15.75" customHeight="1" s="6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 ht="15.75" customHeight="1" s="6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 ht="15.75" customHeight="1" s="6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 ht="15.75" customHeight="1" s="6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 ht="15.75" customHeight="1" s="6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 ht="15.75" customHeight="1" s="6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 ht="15.75" customHeight="1" s="6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 ht="15.75" customHeight="1" s="6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 ht="15.75" customHeight="1" s="6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 ht="15.75" customHeight="1" s="6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 ht="15.75" customHeight="1" s="6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 ht="15.75" customHeight="1" s="6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 ht="15.75" customHeight="1" s="6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 ht="15.75" customHeight="1" s="6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 ht="15.75" customHeight="1" s="6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 ht="15.75" customHeight="1" s="6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 ht="15.75" customHeight="1" s="6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 ht="15.75" customHeight="1" s="6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 ht="15.75" customHeight="1" s="6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 ht="15.75" customHeight="1" s="6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 ht="15.75" customHeight="1" s="6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 ht="15.75" customHeight="1" s="6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 ht="15.75" customHeight="1" s="6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 ht="15.75" customHeight="1" s="6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 ht="15.75" customHeight="1" s="6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 ht="15.75" customHeight="1" s="6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 ht="15.75" customHeight="1" s="6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 ht="15.75" customHeight="1" s="6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 ht="15.75" customHeight="1" s="6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 ht="15.75" customHeight="1" s="6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 ht="15.75" customHeight="1" s="6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 ht="15.75" customHeight="1" s="6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 ht="15.75" customHeight="1" s="6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 ht="15.75" customHeight="1" s="6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 ht="15.75" customHeight="1" s="6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 ht="15.75" customHeight="1" s="6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 ht="15.75" customHeight="1" s="6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 ht="15.75" customHeight="1" s="6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 ht="15.75" customHeight="1" s="6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 ht="15.75" customHeight="1" s="6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 ht="15.75" customHeight="1" s="6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 ht="15.75" customHeight="1" s="6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 ht="15.75" customHeight="1" s="6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 ht="15.75" customHeight="1" s="6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 ht="15.75" customHeight="1" s="6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 ht="15.75" customHeight="1" s="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 ht="15.75" customHeight="1" s="6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 ht="15.75" customHeight="1" s="6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 ht="15.75" customHeight="1" s="6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 ht="15.75" customHeight="1" s="6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 ht="15.75" customHeight="1" s="6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 ht="15.75" customHeight="1" s="6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 ht="15.75" customHeight="1" s="6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 ht="15.75" customHeight="1" s="6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 ht="15.75" customHeight="1" s="6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 ht="15.75" customHeight="1" s="6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 ht="15.75" customHeight="1" s="6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 ht="15.75" customHeight="1" s="6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 ht="15.75" customHeight="1" s="6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 ht="15.75" customHeight="1" s="6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 ht="15.75" customHeight="1" s="6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 ht="15.75" customHeight="1" s="6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 ht="15.75" customHeight="1" s="6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 ht="15.75" customHeight="1" s="6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 ht="15.75" customHeight="1" s="6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 ht="15.75" customHeight="1" s="6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 ht="15.75" customHeight="1" s="6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 ht="15.75" customHeight="1" s="6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 ht="15.75" customHeight="1" s="6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 ht="15.75" customHeight="1" s="6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 ht="15.75" customHeight="1" s="6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 ht="15.75" customHeight="1" s="6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 ht="15.75" customHeight="1" s="6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 ht="15.75" customHeight="1" s="6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 ht="15.75" customHeight="1" s="6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 ht="15.75" customHeight="1" s="6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 ht="15.75" customHeight="1" s="6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 ht="15.75" customHeight="1" s="6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 ht="15.75" customHeight="1" s="6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 ht="15.75" customHeight="1" s="6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 ht="15.75" customHeight="1" s="6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 ht="15.75" customHeight="1" s="6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 ht="15.75" customHeight="1" s="6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 ht="15.75" customHeight="1" s="6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 ht="15.75" customHeight="1" s="6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 ht="15.75" customHeight="1" s="6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 ht="15.75" customHeight="1" s="6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 ht="15.75" customHeight="1" s="6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 ht="15.75" customHeight="1" s="6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 ht="15.75" customHeight="1" s="6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 ht="15.75" customHeight="1" s="6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 ht="15.75" customHeight="1" s="6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 ht="15.75" customHeight="1" s="6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 ht="15.75" customHeight="1" s="6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 ht="15.75" customHeight="1" s="6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 ht="15.75" customHeight="1" s="6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 ht="15.75" customHeight="1" s="6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 ht="15.75" customHeight="1" s="6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 ht="15.75" customHeight="1" s="6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 ht="15.75" customHeight="1" s="6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 ht="15.75" customHeight="1" s="6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 ht="15.75" customHeight="1" s="6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 ht="15.75" customHeight="1" s="6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 ht="15.75" customHeight="1" s="6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 ht="15.75" customHeight="1" s="6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 ht="15.75" customHeight="1" s="6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 ht="15.75" customHeight="1" s="6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 ht="15.75" customHeight="1" s="6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 ht="15.75" customHeight="1" s="6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 ht="15.75" customHeight="1" s="6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 ht="15.75" customHeight="1" s="6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 ht="15.75" customHeight="1" s="6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 ht="15.75" customHeight="1" s="6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 ht="15.75" customHeight="1" s="6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 ht="15.75" customHeight="1" s="6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 ht="15.75" customHeight="1" s="6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 ht="15.75" customHeight="1" s="6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 ht="15.75" customHeight="1" s="6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 ht="15.75" customHeight="1" s="6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 ht="15.75" customHeight="1" s="6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 ht="15.75" customHeight="1" s="6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 ht="15.75" customHeight="1" s="6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 ht="15.75" customHeight="1" s="6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 ht="15.75" customHeight="1" s="6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 ht="15.75" customHeight="1" s="6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 ht="15.75" customHeight="1" s="6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 ht="15.75" customHeight="1" s="6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 ht="15.75" customHeight="1" s="6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 ht="15.75" customHeight="1" s="6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 ht="15.75" customHeight="1" s="6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 ht="15.75" customHeight="1" s="6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 ht="15.75" customHeight="1" s="6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 ht="15.75" customHeight="1" s="6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 ht="15.75" customHeight="1" s="6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 ht="15.75" customHeight="1" s="6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 ht="15.75" customHeight="1" s="6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 ht="15.75" customHeight="1" s="6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 ht="15.75" customHeight="1" s="6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 ht="15.75" customHeight="1" s="6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 ht="15.75" customHeight="1" s="6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 ht="15.75" customHeight="1" s="6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 ht="15.75" customHeight="1" s="6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 ht="15.75" customHeight="1" s="6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 ht="15.75" customHeight="1" s="6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 ht="15.75" customHeight="1" s="6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 ht="15.75" customHeight="1" s="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 ht="15.75" customHeight="1" s="6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 ht="15.75" customHeight="1" s="6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 ht="15.75" customHeight="1" s="6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 ht="15.75" customHeight="1" s="6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 ht="15.75" customHeight="1" s="6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 ht="15.75" customHeight="1" s="6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 ht="15.75" customHeight="1" s="6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 ht="15.75" customHeight="1" s="6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 ht="15.75" customHeight="1" s="6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 ht="15.75" customHeight="1" s="6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 ht="15.75" customHeight="1" s="6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 ht="15.75" customHeight="1" s="6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 ht="15.75" customHeight="1" s="6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 ht="15.75" customHeight="1" s="6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 ht="15.75" customHeight="1" s="6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 ht="15.75" customHeight="1" s="6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 ht="15.75" customHeight="1" s="6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 ht="15.75" customHeight="1" s="6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 ht="15.75" customHeight="1" s="6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 ht="15.75" customHeight="1" s="6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 ht="15.75" customHeight="1" s="6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 ht="15.75" customHeight="1" s="6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 ht="15.75" customHeight="1" s="6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 ht="15.75" customHeight="1" s="6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 ht="15.75" customHeight="1" s="6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 ht="15.75" customHeight="1" s="6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 ht="15.75" customHeight="1" s="6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 ht="15.75" customHeight="1" s="6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 ht="15.75" customHeight="1" s="6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 ht="15.75" customHeight="1" s="6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 ht="15.75" customHeight="1" s="6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 ht="15.75" customHeight="1" s="6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 ht="15.75" customHeight="1" s="6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 ht="15.75" customHeight="1" s="6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 ht="15.75" customHeight="1" s="6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 ht="15.75" customHeight="1" s="6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 ht="15.75" customHeight="1" s="6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 ht="15.75" customHeight="1" s="6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 ht="15.75" customHeight="1" s="6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 ht="15.75" customHeight="1" s="6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 ht="15.75" customHeight="1" s="6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 ht="15.75" customHeight="1" s="6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 ht="15.75" customHeight="1" s="6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 ht="15.75" customHeight="1" s="6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 ht="15.75" customHeight="1" s="6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 ht="15.75" customHeight="1" s="6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 ht="15.75" customHeight="1" s="6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 ht="15.75" customHeight="1" s="6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 ht="15.75" customHeight="1" s="6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 ht="15.75" customHeight="1" s="6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 ht="15.75" customHeight="1" s="6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 ht="15.75" customHeight="1" s="6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 ht="15.75" customHeight="1" s="6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 ht="15.75" customHeight="1" s="6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 ht="15.75" customHeight="1" s="6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 ht="15.75" customHeight="1" s="6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 ht="15.75" customHeight="1" s="6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 ht="15.75" customHeight="1" s="6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 ht="15.75" customHeight="1" s="6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 ht="15.75" customHeight="1" s="6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 ht="15.75" customHeight="1" s="6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 ht="15.75" customHeight="1" s="6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 ht="15.75" customHeight="1" s="6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 ht="15.75" customHeight="1" s="6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 ht="15.75" customHeight="1" s="6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 ht="15.75" customHeight="1" s="6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 ht="15.75" customHeight="1" s="6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 ht="15.75" customHeight="1" s="6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 ht="15.75" customHeight="1" s="6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 ht="15.75" customHeight="1" s="6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 ht="15.75" customHeight="1" s="6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 ht="15.75" customHeight="1" s="6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 ht="15.75" customHeight="1" s="6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 ht="15.75" customHeight="1" s="6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 ht="15.75" customHeight="1" s="6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 ht="15.75" customHeight="1" s="6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 ht="15.75" customHeight="1" s="6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 ht="15.75" customHeight="1" s="6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 ht="15.75" customHeight="1" s="6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 ht="15.75" customHeight="1" s="6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 ht="15.75" customHeight="1" s="6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 ht="15.75" customHeight="1" s="6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 ht="15.75" customHeight="1" s="6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 ht="15.75" customHeight="1" s="6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 ht="15.75" customHeight="1" s="6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 ht="15.75" customHeight="1" s="6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 ht="15.75" customHeight="1" s="6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 ht="15.75" customHeight="1" s="6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 ht="15.75" customHeight="1" s="6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 ht="15.75" customHeight="1" s="6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 ht="15.75" customHeight="1" s="6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 ht="15.75" customHeight="1" s="6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 ht="15.75" customHeight="1" s="6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 ht="15.75" customHeight="1" s="6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 ht="15.75" customHeight="1" s="6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 ht="15.75" customHeight="1" s="6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 ht="15.75" customHeight="1" s="6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 ht="15.75" customHeight="1" s="6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 ht="15.75" customHeight="1" s="6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 ht="15.75" customHeight="1" s="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 ht="15.75" customHeight="1" s="6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 ht="15.75" customHeight="1" s="6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 ht="15.75" customHeight="1" s="6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 ht="15.75" customHeight="1" s="6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 ht="15.75" customHeight="1" s="6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 ht="15.75" customHeight="1" s="6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 ht="15.75" customHeight="1" s="6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 ht="15.75" customHeight="1" s="6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 ht="15.75" customHeight="1" s="6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 ht="15.75" customHeight="1" s="6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 ht="15.75" customHeight="1" s="6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 ht="15.75" customHeight="1" s="6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 ht="15.75" customHeight="1" s="6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 ht="15.75" customHeight="1" s="6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 ht="15.75" customHeight="1" s="6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 ht="15.75" customHeight="1" s="6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 ht="15.75" customHeight="1" s="6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 ht="15.75" customHeight="1" s="6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 ht="15.75" customHeight="1" s="6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 ht="15.75" customHeight="1" s="6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 ht="15.75" customHeight="1" s="6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 ht="15.75" customHeight="1" s="6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 ht="15.75" customHeight="1" s="6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 ht="15.75" customHeight="1" s="6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 ht="15.75" customHeight="1" s="6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 ht="15.75" customHeight="1" s="6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 ht="15.75" customHeight="1" s="6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 ht="15.75" customHeight="1" s="6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 ht="15.75" customHeight="1" s="6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 ht="15.75" customHeight="1" s="6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 ht="15.75" customHeight="1" s="6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 ht="15.75" customHeight="1" s="6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 ht="15.75" customHeight="1" s="6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 ht="15.75" customHeight="1" s="6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 ht="15.75" customHeight="1" s="6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 ht="15.75" customHeight="1" s="6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 ht="15.75" customHeight="1" s="6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 ht="15.75" customHeight="1" s="6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 ht="15.75" customHeight="1" s="6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 ht="15.75" customHeight="1" s="6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 ht="15.75" customHeight="1" s="6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 ht="15.75" customHeight="1" s="6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 ht="15.75" customHeight="1" s="6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 ht="15.75" customHeight="1" s="6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 ht="15.75" customHeight="1" s="6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 ht="15.75" customHeight="1" s="6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 ht="15.75" customHeight="1" s="6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 ht="15.75" customHeight="1" s="6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 ht="15.75" customHeight="1" s="6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 ht="15.75" customHeight="1" s="6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 ht="15.75" customHeight="1" s="6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 ht="15.75" customHeight="1" s="6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 ht="15.75" customHeight="1" s="6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 ht="15.75" customHeight="1" s="6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 ht="15.75" customHeight="1" s="6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 ht="15.75" customHeight="1" s="6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 ht="15.75" customHeight="1" s="6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 ht="15.75" customHeight="1" s="6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 ht="15.75" customHeight="1" s="6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 ht="15.75" customHeight="1" s="6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 ht="15.75" customHeight="1" s="6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 ht="15.75" customHeight="1" s="6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 ht="15.75" customHeight="1" s="6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 ht="15.75" customHeight="1" s="6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 ht="15.75" customHeight="1" s="6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 ht="15.75" customHeight="1" s="6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 ht="15.75" customHeight="1" s="6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 ht="15.75" customHeight="1" s="6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 ht="15.75" customHeight="1" s="6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 ht="15.75" customHeight="1" s="6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 ht="15.75" customHeight="1" s="6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 ht="15.75" customHeight="1" s="6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 ht="15.75" customHeight="1" s="6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 ht="15.75" customHeight="1" s="6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 ht="15.75" customHeight="1" s="6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 ht="15.75" customHeight="1" s="6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 ht="15.75" customHeight="1" s="6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 ht="15.75" customHeight="1" s="6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 ht="15.75" customHeight="1" s="6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 ht="15.75" customHeight="1" s="6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 ht="15.75" customHeight="1" s="6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 ht="15.75" customHeight="1" s="6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 ht="15.75" customHeight="1" s="6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 ht="15.75" customHeight="1" s="6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 ht="15.75" customHeight="1" s="6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 ht="15.75" customHeight="1" s="6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 ht="15.75" customHeight="1" s="6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 ht="15.75" customHeight="1" s="6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 ht="15.75" customHeight="1" s="6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 ht="15.75" customHeight="1" s="6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 ht="15.75" customHeight="1" s="6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 ht="15.75" customHeight="1" s="6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 ht="15.75" customHeight="1" s="6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 ht="15.75" customHeight="1" s="6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 ht="15.75" customHeight="1" s="6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 ht="15.75" customHeight="1" s="6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 ht="15.75" customHeight="1" s="6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 ht="15.75" customHeight="1" s="6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 ht="15.75" customHeight="1" s="6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 ht="15.75" customHeight="1" s="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 ht="15.75" customHeight="1" s="6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 ht="15.75" customHeight="1" s="6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 ht="15.75" customHeight="1" s="6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 ht="15.75" customHeight="1" s="6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 ht="15.75" customHeight="1" s="6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 ht="15.75" customHeight="1" s="6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 ht="15.75" customHeight="1" s="6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 ht="15.75" customHeight="1" s="6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 ht="15.75" customHeight="1" s="6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 ht="15.75" customHeight="1" s="6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 ht="15.75" customHeight="1" s="6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 ht="15.75" customHeight="1" s="6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 ht="15.75" customHeight="1" s="6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 ht="15.75" customHeight="1" s="6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 ht="15.75" customHeight="1" s="6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 ht="15.75" customHeight="1" s="6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 ht="15.75" customHeight="1" s="6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 ht="15.75" customHeight="1" s="6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 ht="15.75" customHeight="1" s="6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 ht="15.75" customHeight="1" s="6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 ht="15.75" customHeight="1" s="6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 ht="15.75" customHeight="1" s="6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 ht="15.75" customHeight="1" s="6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 ht="15.75" customHeight="1" s="6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 ht="15.75" customHeight="1" s="6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 ht="15.75" customHeight="1" s="6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 ht="15.75" customHeight="1" s="6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 ht="15.75" customHeight="1" s="6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 ht="15.75" customHeight="1" s="6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 ht="15.75" customHeight="1" s="6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 ht="15.75" customHeight="1" s="6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 ht="15.75" customHeight="1" s="6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 ht="15.75" customHeight="1" s="6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 ht="15.75" customHeight="1" s="6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 ht="15.75" customHeight="1" s="6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 ht="15.75" customHeight="1" s="6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 ht="15.75" customHeight="1" s="6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 ht="15.75" customHeight="1" s="6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 ht="15.75" customHeight="1" s="6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 ht="15.75" customHeight="1" s="6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 ht="15.75" customHeight="1" s="6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 ht="15.75" customHeight="1" s="6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 ht="15.75" customHeight="1" s="6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 ht="15.75" customHeight="1" s="6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 ht="15.75" customHeight="1" s="6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 ht="15.75" customHeight="1" s="6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 ht="15.75" customHeight="1" s="6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 ht="15.75" customHeight="1" s="6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 ht="15.75" customHeight="1" s="6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 ht="15.75" customHeight="1" s="6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 ht="15.75" customHeight="1" s="6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 ht="15.75" customHeight="1" s="6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 ht="15.75" customHeight="1" s="6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 ht="15.75" customHeight="1" s="6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 ht="15.75" customHeight="1" s="6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 ht="15.75" customHeight="1" s="6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 ht="15.75" customHeight="1" s="6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 ht="15.75" customHeight="1" s="6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 ht="15.75" customHeight="1" s="6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 ht="15.75" customHeight="1" s="6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 ht="15.75" customHeight="1" s="6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 ht="15.75" customHeight="1" s="6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 ht="15.75" customHeight="1" s="6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 ht="15.75" customHeight="1" s="6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 ht="15.75" customHeight="1" s="6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 ht="15.75" customHeight="1" s="6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 ht="15.75" customHeight="1" s="6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 ht="15.75" customHeight="1" s="6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 ht="15.75" customHeight="1" s="6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 ht="15.75" customHeight="1" s="6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 ht="15.75" customHeight="1" s="6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 ht="15.75" customHeight="1" s="6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 ht="15.75" customHeight="1" s="6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 ht="15.75" customHeight="1" s="6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 ht="15.75" customHeight="1" s="6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 ht="15.75" customHeight="1" s="6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 ht="15.75" customHeight="1" s="6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 ht="15.75" customHeight="1" s="6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 ht="15.75" customHeight="1" s="6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 ht="15.75" customHeight="1" s="6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 ht="15.75" customHeight="1" s="6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 ht="15.75" customHeight="1" s="6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 ht="15.75" customHeight="1" s="6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 ht="15.75" customHeight="1" s="6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 ht="15.75" customHeight="1" s="6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 ht="15.75" customHeight="1" s="6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 ht="15.75" customHeight="1" s="6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 ht="15.75" customHeight="1" s="6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 ht="15.75" customHeight="1" s="6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 ht="15.75" customHeight="1" s="6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 ht="15.75" customHeight="1" s="6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 ht="15.75" customHeight="1" s="6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 ht="15.75" customHeight="1" s="6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 ht="15.75" customHeight="1" s="6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 ht="15.75" customHeight="1" s="6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 ht="15.75" customHeight="1" s="6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  <row r="861" ht="15.75" customHeight="1" s="6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</row>
    <row r="862" ht="15.75" customHeight="1" s="6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</row>
    <row r="863" ht="15.75" customHeight="1" s="6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</row>
    <row r="864" ht="15.75" customHeight="1" s="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</row>
    <row r="865" ht="15.75" customHeight="1" s="6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</row>
    <row r="866" ht="15.75" customHeight="1" s="6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</row>
    <row r="867" ht="15.75" customHeight="1" s="6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</row>
    <row r="868" ht="15.75" customHeight="1" s="6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</row>
    <row r="869" ht="15.75" customHeight="1" s="6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</row>
    <row r="870" ht="15.75" customHeight="1" s="6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</row>
    <row r="871" ht="15.75" customHeight="1" s="6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</row>
    <row r="872" ht="15.75" customHeight="1" s="6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</row>
    <row r="873" ht="15.75" customHeight="1" s="6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</row>
    <row r="874" ht="15.75" customHeight="1" s="6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</row>
    <row r="875" ht="15.75" customHeight="1" s="6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</row>
    <row r="876" ht="15.75" customHeight="1" s="6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</row>
    <row r="877" ht="15.75" customHeight="1" s="6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</row>
    <row r="878" ht="15.75" customHeight="1" s="6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</row>
    <row r="879" ht="15.75" customHeight="1" s="6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</row>
    <row r="880" ht="15.75" customHeight="1" s="6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</row>
    <row r="881" ht="15.75" customHeight="1" s="6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</row>
    <row r="882" ht="15.75" customHeight="1" s="6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</row>
    <row r="883" ht="15.75" customHeight="1" s="6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</row>
    <row r="884" ht="15.75" customHeight="1" s="6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</row>
    <row r="885" ht="15.75" customHeight="1" s="6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</row>
    <row r="886" ht="15.75" customHeight="1" s="6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</row>
    <row r="887" ht="15.75" customHeight="1" s="6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</row>
    <row r="888" ht="15.75" customHeight="1" s="6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</row>
    <row r="889" ht="15.75" customHeight="1" s="6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</row>
    <row r="890" ht="15.75" customHeight="1" s="6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</row>
    <row r="891" ht="15.75" customHeight="1" s="6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</row>
    <row r="892" ht="15.75" customHeight="1" s="6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</row>
    <row r="893" ht="15.75" customHeight="1" s="6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</row>
    <row r="894" ht="15.75" customHeight="1" s="6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</row>
    <row r="895" ht="15.75" customHeight="1" s="6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</row>
    <row r="896" ht="15.75" customHeight="1" s="6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</row>
    <row r="897" ht="15.75" customHeight="1" s="6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</row>
    <row r="898" ht="15.75" customHeight="1" s="6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</row>
    <row r="899" ht="15.75" customHeight="1" s="6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</row>
    <row r="900" ht="15.75" customHeight="1" s="6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</row>
    <row r="901" ht="15.75" customHeight="1" s="6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</row>
    <row r="902" ht="15.75" customHeight="1" s="6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</row>
    <row r="903" ht="15.75" customHeight="1" s="6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</row>
    <row r="904" ht="15.75" customHeight="1" s="6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</row>
    <row r="905" ht="15.75" customHeight="1" s="6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</row>
    <row r="906" ht="15.75" customHeight="1" s="6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</row>
    <row r="907" ht="15.75" customHeight="1" s="6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</row>
    <row r="908" ht="15.75" customHeight="1" s="6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</row>
    <row r="909" ht="15.75" customHeight="1" s="6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</row>
    <row r="910" ht="15.75" customHeight="1" s="6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</row>
    <row r="911" ht="15.75" customHeight="1" s="6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</row>
    <row r="912" ht="15.75" customHeight="1" s="6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</row>
    <row r="913" ht="15.75" customHeight="1" s="6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</row>
    <row r="914" ht="15.75" customHeight="1" s="6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</row>
    <row r="915" ht="15.75" customHeight="1" s="6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</row>
    <row r="916" ht="15.75" customHeight="1" s="6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</row>
    <row r="917" ht="15.75" customHeight="1" s="6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</row>
    <row r="918" ht="15.75" customHeight="1" s="6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</row>
    <row r="919" ht="15.75" customHeight="1" s="6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</row>
    <row r="920" ht="15.75" customHeight="1" s="6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</row>
    <row r="921" ht="15.75" customHeight="1" s="6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</row>
    <row r="922" ht="15.75" customHeight="1" s="6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</row>
    <row r="923" ht="15.75" customHeight="1" s="6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</row>
    <row r="924" ht="15.75" customHeight="1" s="6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</row>
    <row r="925" ht="15.75" customHeight="1" s="6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</row>
    <row r="926" ht="15.75" customHeight="1" s="6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</row>
    <row r="927" ht="15.75" customHeight="1" s="6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</row>
    <row r="928" ht="15.75" customHeight="1" s="6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</row>
    <row r="929" ht="15.75" customHeight="1" s="6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</row>
    <row r="930" ht="15.75" customHeight="1" s="6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</row>
    <row r="931" ht="15.75" customHeight="1" s="6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</row>
    <row r="932" ht="15.75" customHeight="1" s="6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</row>
    <row r="933" ht="15.75" customHeight="1" s="6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</row>
    <row r="934" ht="15.75" customHeight="1" s="6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</row>
    <row r="935" ht="15.75" customHeight="1" s="6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</row>
    <row r="936" ht="15.75" customHeight="1" s="6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</row>
    <row r="937" ht="15.75" customHeight="1" s="6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</row>
    <row r="938" ht="15.75" customHeight="1" s="6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</row>
    <row r="939" ht="15.75" customHeight="1" s="6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</row>
    <row r="940" ht="15.75" customHeight="1" s="6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</row>
    <row r="941" ht="15.75" customHeight="1" s="6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</row>
    <row r="942" ht="15.75" customHeight="1" s="6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</row>
    <row r="943" ht="15.75" customHeight="1" s="6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</row>
    <row r="944" ht="15.75" customHeight="1" s="6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</row>
    <row r="945" ht="15.75" customHeight="1" s="6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</row>
    <row r="946" ht="15.75" customHeight="1" s="6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</row>
    <row r="947" ht="15.75" customHeight="1" s="6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</row>
    <row r="948" ht="15.75" customHeight="1" s="6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</row>
    <row r="949" ht="15.75" customHeight="1" s="6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</row>
    <row r="950" ht="15.75" customHeight="1" s="6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</row>
    <row r="951" ht="15.75" customHeight="1" s="6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</row>
    <row r="952" ht="15.75" customHeight="1" s="6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</row>
    <row r="953" ht="15.75" customHeight="1" s="6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</row>
    <row r="954" ht="15.75" customHeight="1" s="6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</row>
    <row r="955" ht="15.75" customHeight="1" s="6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</row>
    <row r="956" ht="15.75" customHeight="1" s="6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</row>
    <row r="957" ht="15.75" customHeight="1" s="6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</row>
    <row r="958" ht="15.75" customHeight="1" s="6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</row>
    <row r="959" ht="15.75" customHeight="1" s="6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</row>
    <row r="960" ht="15.75" customHeight="1" s="6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</row>
    <row r="961" ht="15.75" customHeight="1" s="6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</row>
    <row r="962" ht="15.75" customHeight="1" s="6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</row>
    <row r="963" ht="15.75" customHeight="1" s="6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</row>
    <row r="964" ht="15.75" customHeight="1" s="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</row>
    <row r="965" ht="15.75" customHeight="1" s="6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</row>
    <row r="966" ht="15.75" customHeight="1" s="6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</row>
    <row r="967" ht="15.75" customHeight="1" s="6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</row>
    <row r="968" ht="15.75" customHeight="1" s="6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</row>
    <row r="969" ht="15.75" customHeight="1" s="6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</row>
    <row r="970" ht="15.75" customHeight="1" s="6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</row>
    <row r="971" ht="15.75" customHeight="1" s="6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</row>
    <row r="972" ht="15.75" customHeight="1" s="6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</row>
    <row r="973" ht="15.75" customHeight="1" s="6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</row>
    <row r="974" ht="15.75" customHeight="1" s="6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</row>
    <row r="975" ht="15.75" customHeight="1" s="6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</row>
    <row r="976" ht="15.75" customHeight="1" s="6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</row>
    <row r="977" ht="15.75" customHeight="1" s="6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</row>
    <row r="978" ht="15.75" customHeight="1" s="6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</row>
    <row r="979" ht="15.75" customHeight="1" s="6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</row>
    <row r="980" ht="15.75" customHeight="1" s="6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</row>
    <row r="981" ht="15.75" customHeight="1" s="6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</row>
    <row r="982" ht="15.75" customHeight="1" s="6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</row>
    <row r="983" ht="15.75" customHeight="1" s="6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</row>
    <row r="984" ht="15.75" customHeight="1" s="6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</row>
    <row r="985" ht="15.75" customHeight="1" s="6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</row>
    <row r="986" ht="15.75" customHeight="1" s="6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</row>
    <row r="987" ht="15.75" customHeight="1" s="6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</row>
    <row r="988" ht="15.75" customHeight="1" s="6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</row>
    <row r="989" ht="15.75" customHeight="1" s="6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</row>
    <row r="990" ht="15.75" customHeight="1" s="6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</row>
    <row r="991" ht="15.75" customHeight="1" s="6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</row>
    <row r="992" ht="15.75" customHeight="1" s="6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</row>
    <row r="993" ht="15.75" customHeight="1" s="6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</row>
    <row r="994" ht="15.75" customHeight="1" s="6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</row>
    <row r="995" ht="15.75" customHeight="1" s="6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</row>
    <row r="996" ht="15.75" customHeight="1" s="6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</row>
    <row r="997" ht="15.75" customHeight="1" s="6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</row>
    <row r="998" ht="15.75" customHeight="1" s="6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</row>
    <row r="999" ht="15.75" customHeight="1" s="6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</row>
    <row r="1000" ht="15.75" customHeight="1" s="6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</row>
    <row r="1001" ht="15.75" customHeight="1" s="64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</row>
    <row r="1002" ht="15.75" customHeight="1" s="64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</row>
    <row r="1003" ht="15.75" customHeight="1" s="64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</row>
    <row r="1004" ht="15.75" customHeight="1" s="6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</row>
    <row r="1005" ht="15.75" customHeight="1" s="64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</row>
    <row r="1006" ht="15.75" customHeight="1" s="64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</row>
    <row r="1007" ht="15.75" customHeight="1" s="64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</row>
    <row r="1008" ht="15.75" customHeight="1" s="64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</row>
    <row r="1009" ht="15.75" customHeight="1" s="64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</row>
  </sheetData>
  <autoFilter ref="A2:Z53"/>
  <mergeCells count="1">
    <mergeCell ref="A1:K1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42" customWidth="1" style="64" min="2" max="2"/>
    <col width="16" customWidth="1" style="64" min="3" max="3"/>
    <col width="18" customWidth="1" style="64" min="4" max="4"/>
    <col width="17" customWidth="1" style="64" min="5" max="5"/>
    <col width="20" customWidth="1" style="64" min="6" max="6"/>
    <col width="42" customWidth="1" style="64" min="7" max="7"/>
  </cols>
  <sheetData>
    <row r="1">
      <c r="B1" s="77" t="inlineStr">
        <is>
          <t>0a) EMPRESA Y SUCURSAL  →  gen_empresa + gen_sucursal</t>
        </is>
      </c>
    </row>
    <row r="2">
      <c r="B2" s="78" t="inlineStr">
        <is>
          <t>Datos mínimos de la empresa Oxígeno Sarita y la sucursal principal. Se cargan ANTES de almacenes, gases, tipos y balones.</t>
        </is>
      </c>
    </row>
    <row r="3">
      <c r="A3" s="79" t="inlineStr">
        <is>
          <t>(tabla)</t>
        </is>
      </c>
      <c r="B3" s="79" t="inlineStr">
        <is>
          <t>ruc</t>
        </is>
      </c>
      <c r="C3" s="79" t="inlineStr">
        <is>
          <t>razon_social</t>
        </is>
      </c>
      <c r="D3" s="79" t="inlineStr">
        <is>
          <t>nombre_comercial</t>
        </is>
      </c>
      <c r="E3" s="79" t="inlineStr">
        <is>
          <t>sucursal_codigo</t>
        </is>
      </c>
      <c r="F3" s="79" t="inlineStr">
        <is>
          <t>sucursal_nombre</t>
        </is>
      </c>
      <c r="G3" s="79" t="inlineStr">
        <is>
          <t>(sentencia SQL)</t>
        </is>
      </c>
    </row>
    <row r="4">
      <c r="A4" s="80" t="inlineStr">
        <is>
          <t>Ámbito</t>
        </is>
      </c>
      <c r="B4" s="81" t="inlineStr">
        <is>
          <t>RUC</t>
        </is>
      </c>
      <c r="C4" s="81" t="inlineStr">
        <is>
          <t>Razón social</t>
        </is>
      </c>
      <c r="D4" s="82" t="inlineStr">
        <is>
          <t>Nombre comercial</t>
        </is>
      </c>
      <c r="E4" s="81" t="inlineStr">
        <is>
          <t>Código sucursal</t>
        </is>
      </c>
      <c r="F4" s="82" t="inlineStr">
        <is>
          <t>Nombre sucursal</t>
        </is>
      </c>
      <c r="G4" s="83" t="inlineStr">
        <is>
          <t>SQL</t>
        </is>
      </c>
    </row>
    <row r="5">
      <c r="A5" s="84" t="inlineStr">
        <is>
          <t>Empresa</t>
        </is>
      </c>
      <c r="B5" s="84" t="inlineStr">
        <is>
          <t>10175332796</t>
        </is>
      </c>
      <c r="C5" s="84" t="inlineStr">
        <is>
          <t>OXIGENO SARITA</t>
        </is>
      </c>
      <c r="D5" s="84" t="inlineStr">
        <is>
          <t>OXIGENO SARITA</t>
        </is>
      </c>
      <c r="E5" s="84" t="inlineStr"/>
      <c r="F5" s="84" t="inlineStr"/>
      <c r="G5" s="84" t="inlineStr">
        <is>
          <t>INSERT INTO gen_empresa (ruc, razon_social, nombre_comercial, estado, id_usuario_creacion, id_usuario_modificacion) SELECT '10175332796', 'OXIGENO SARITA', 'OXIGENO SARITA', 1, 1, 1 WHERE NOT EXISTS (SELECT 1 FROM gen_empresa WHERE ruc = '10175332796');</t>
        </is>
      </c>
    </row>
    <row r="6">
      <c r="A6" s="84" t="inlineStr">
        <is>
          <t>Sucursal</t>
        </is>
      </c>
      <c r="B6" s="84" t="inlineStr"/>
      <c r="C6" s="84" t="inlineStr"/>
      <c r="D6" s="84" t="inlineStr"/>
      <c r="E6" s="84" t="inlineStr">
        <is>
          <t>PRINCIPAL</t>
        </is>
      </c>
      <c r="F6" s="84" t="inlineStr">
        <is>
          <t>Sucursal Principal</t>
        </is>
      </c>
      <c r="G6" s="84" t="inlineStr">
        <is>
          <t>INSERT INTO gen_sucursal (codigo, nombre, estado, id_usuario_creacion, id_usuario_modificacion) SELECT 'PRINCIPAL', 'Sucursal Principal', 1, 1, 1 WHERE NOT EXISTS (SELECT 1 FROM gen_sucursal WHERE UPPER(codigo) = 'PRINCIPAL');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42" customWidth="1" style="64" min="2" max="2"/>
    <col width="17" customWidth="1" style="64" min="3" max="3"/>
    <col width="42" customWidth="1" style="64" min="4" max="4"/>
    <col width="12" customWidth="1" style="64" min="5" max="5"/>
  </cols>
  <sheetData>
    <row r="1">
      <c r="B1" s="77" t="inlineStr">
        <is>
          <t>0b) ALMACENES  →  gen_almacen</t>
        </is>
      </c>
    </row>
    <row r="2">
      <c r="B2" s="78" t="inlineStr">
        <is>
          <t>Requieren sucursal PRINCIPAL. Los nombres deben coincidir con la columna Almacén de Balones.</t>
        </is>
      </c>
    </row>
    <row r="3">
      <c r="A3" s="79" t="inlineStr">
        <is>
          <t>(validación)</t>
        </is>
      </c>
      <c r="B3" s="79" t="inlineStr">
        <is>
          <t>nombre</t>
        </is>
      </c>
      <c r="C3" s="79" t="inlineStr">
        <is>
          <t>sucursal_codigo</t>
        </is>
      </c>
      <c r="D3" s="79" t="inlineStr">
        <is>
          <t>(sentencia SQL)</t>
        </is>
      </c>
    </row>
    <row r="4">
      <c r="A4" s="83" t="inlineStr">
        <is>
          <t>Chequeo</t>
        </is>
      </c>
      <c r="B4" s="81" t="inlineStr">
        <is>
          <t>Nombre almacén</t>
        </is>
      </c>
      <c r="C4" s="82" t="inlineStr">
        <is>
          <t>Código sucursal</t>
        </is>
      </c>
      <c r="D4" s="83" t="inlineStr">
        <is>
          <t>SQL</t>
        </is>
      </c>
    </row>
    <row r="5">
      <c r="A5" s="84" t="inlineStr">
        <is>
          <t>OK</t>
        </is>
      </c>
      <c r="B5" s="84" t="inlineStr">
        <is>
          <t>ALMACEN LAMBAYEQUE</t>
        </is>
      </c>
      <c r="C5" s="84" t="inlineStr">
        <is>
          <t>PRINCIPAL</t>
        </is>
      </c>
      <c r="D5" s="84" t="inlineStr">
        <is>
          <t>INSERT INTO gen_almacen (id_sucursal, nombre, estado, id_usuario_creacion, id_usuario_modificacion) SELECT s.id, 'ALMACEN LAMBAYEQUE', 1, 1, 1 FROM gen_sucursal s WHERE UPPER(s.codigo) = 'PRINCIPAL' AND NOT EXISTS (SELECT 1 FROM gen_almacen a WHERE UPPER(TRIM(a.nombre)) = UPPER(TRIM('ALMACEN LAMBAYEQUE')));</t>
        </is>
      </c>
    </row>
    <row r="6">
      <c r="A6" s="84" t="inlineStr">
        <is>
          <t>OK</t>
        </is>
      </c>
      <c r="B6" s="84" t="inlineStr">
        <is>
          <t>ALMACEN PRINCIPAL</t>
        </is>
      </c>
      <c r="C6" s="84" t="inlineStr">
        <is>
          <t>PRINCIPAL</t>
        </is>
      </c>
      <c r="D6" s="84" t="inlineStr">
        <is>
          <t>INSERT INTO gen_almacen (id_sucursal, nombre, estado, id_usuario_creacion, id_usuario_modificacion) SELECT s.id, 'ALMACEN PRINCIPAL', 1, 1, 1 FROM gen_sucursal s WHERE UPPER(s.codigo) = 'PRINCIPAL' AND NOT EXISTS (SELECT 1 FROM gen_almacen a WHERE UPPER(TRIM(a.nombre)) = UPPER(TRIM('ALMACEN PRINCIPAL')));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42" customWidth="1" style="64" min="2" max="2"/>
    <col width="20" customWidth="1" style="64" min="3" max="3"/>
    <col width="42" customWidth="1" style="64" min="4" max="4"/>
    <col width="12" customWidth="1" style="64" min="5" max="5"/>
  </cols>
  <sheetData>
    <row r="1">
      <c r="B1" s="77" t="inlineStr">
        <is>
          <t>0c) GASES  →  pro_producto (es_gas = TRUE)</t>
        </is>
      </c>
    </row>
    <row r="2">
      <c r="B2" s="78" t="inlineStr">
        <is>
          <t>Productos gas. El nombre debe coincidir con la columna Gas de Balones (sin distinguir mayúsculas).</t>
        </is>
      </c>
    </row>
    <row r="3">
      <c r="A3" s="79" t="inlineStr">
        <is>
          <t>(validación)</t>
        </is>
      </c>
      <c r="B3" s="79" t="inlineStr">
        <is>
          <t>codigo</t>
        </is>
      </c>
      <c r="C3" s="79" t="inlineStr">
        <is>
          <t>nombre</t>
        </is>
      </c>
      <c r="D3" s="79" t="inlineStr">
        <is>
          <t>(sentencia SQL)</t>
        </is>
      </c>
    </row>
    <row r="4">
      <c r="A4" s="83" t="inlineStr">
        <is>
          <t>Chequeo</t>
        </is>
      </c>
      <c r="B4" s="82" t="inlineStr">
        <is>
          <t>Código</t>
        </is>
      </c>
      <c r="C4" s="81" t="inlineStr">
        <is>
          <t>Nombre gas</t>
        </is>
      </c>
      <c r="D4" s="83" t="inlineStr">
        <is>
          <t>SQL</t>
        </is>
      </c>
    </row>
    <row r="5">
      <c r="A5" s="84" t="inlineStr">
        <is>
          <t>OK</t>
        </is>
      </c>
      <c r="B5" s="84" t="inlineStr">
        <is>
          <t>GAS-ACE-ESP</t>
        </is>
      </c>
      <c r="C5" s="84" t="inlineStr">
        <is>
          <t>ACETILENO ESPECIAL</t>
        </is>
      </c>
      <c r="D5" s="84" t="inlineStr">
        <is>
          <t>INSERT INTO pro_producto (codigo, nombre, es_gas, afecta_stock, precio, estado, id_usuario_creacion, id_usuario_modificacion) SELECT 'GAS-ACE-ESP', 'ACETILENO ESPECIAL', TRUE, FALSE, 0, 1, 1, 1 WHERE NOT EXISTS (SELECT 1 FROM pro_producto p WHERE p.es_gas = TRUE AND UPPER(TRIM(p.nombre)) = UPPER(TRIM('ACETILENO ESPECIAL'))) AND NOT EXISTS (SELECT 1 FROM pro_producto p2 WHERE p2.codigo = 'GAS-ACE-ESP');</t>
        </is>
      </c>
    </row>
    <row r="6">
      <c r="A6" s="84" t="inlineStr">
        <is>
          <t>OK</t>
        </is>
      </c>
      <c r="B6" s="84" t="inlineStr">
        <is>
          <t>GAS-ACE-EST</t>
        </is>
      </c>
      <c r="C6" s="84" t="inlineStr">
        <is>
          <t>ACETILENO ESTANDAR</t>
        </is>
      </c>
      <c r="D6" s="84" t="inlineStr">
        <is>
          <t>INSERT INTO pro_producto (codigo, nombre, es_gas, afecta_stock, precio, estado, id_usuario_creacion, id_usuario_modificacion) SELECT 'GAS-ACE-EST', 'ACETILENO ESTANDAR', TRUE, FALSE, 0, 1, 1, 1 WHERE NOT EXISTS (SELECT 1 FROM pro_producto p WHERE p.es_gas = TRUE AND UPPER(TRIM(p.nombre)) = UPPER(TRIM('ACETILENO ESTANDAR'))) AND NOT EXISTS (SELECT 1 FROM pro_producto p2 WHERE p2.codigo = 'GAS-ACE-EST');</t>
        </is>
      </c>
    </row>
    <row r="7">
      <c r="A7" s="84" t="inlineStr">
        <is>
          <t>OK</t>
        </is>
      </c>
      <c r="B7" s="84" t="inlineStr">
        <is>
          <t>GAS-AIRE-COMPRIMIDO</t>
        </is>
      </c>
      <c r="C7" s="84" t="inlineStr">
        <is>
          <t>AIRE COMPRIMIDO</t>
        </is>
      </c>
      <c r="D7" s="84" t="inlineStr">
        <is>
          <t>INSERT INTO pro_producto (codigo, nombre, es_gas, afecta_stock, precio, estado, id_usuario_creacion, id_usuario_modificacion) SELECT 'GAS-AIRE-COMPRIMIDO', 'AIRE COMPRIMIDO', TRUE, FALSE, 0, 1, 1, 1 WHERE NOT EXISTS (SELECT 1 FROM pro_producto p WHERE p.es_gas = TRUE AND UPPER(TRIM(p.nombre)) = UPPER(TRIM('AIRE COMPRIMIDO'))) AND NOT EXISTS (SELECT 1 FROM pro_producto p2 WHERE p2.codigo = 'GAS-AIRE-COMPRIMIDO');</t>
        </is>
      </c>
    </row>
    <row r="8">
      <c r="A8" s="84" t="inlineStr">
        <is>
          <t>OK</t>
        </is>
      </c>
      <c r="B8" s="84" t="inlineStr">
        <is>
          <t>GAS-ARGON</t>
        </is>
      </c>
      <c r="C8" s="84" t="inlineStr">
        <is>
          <t>ARGON</t>
        </is>
      </c>
      <c r="D8" s="84" t="inlineStr">
        <is>
          <t>INSERT INTO pro_producto (codigo, nombre, es_gas, afecta_stock, precio, estado, id_usuario_creacion, id_usuario_modificacion) SELECT 'GAS-ARGON', 'ARGON', TRUE, FALSE, 0, 1, 1, 1 WHERE NOT EXISTS (SELECT 1 FROM pro_producto p WHERE p.es_gas = TRUE AND UPPER(TRIM(p.nombre)) = UPPER(TRIM('ARGON'))) AND NOT EXISTS (SELECT 1 FROM pro_producto p2 WHERE p2.codigo = 'GAS-ARGON');</t>
        </is>
      </c>
    </row>
    <row r="9">
      <c r="A9" s="84" t="inlineStr">
        <is>
          <t>OK</t>
        </is>
      </c>
      <c r="B9" s="84" t="inlineStr">
        <is>
          <t>GAS-CO2</t>
        </is>
      </c>
      <c r="C9" s="84" t="inlineStr">
        <is>
          <t>DIÓXIDO DE CARBONO</t>
        </is>
      </c>
      <c r="D9" s="84" t="inlineStr">
        <is>
          <t>INSERT INTO pro_producto (codigo, nombre, es_gas, afecta_stock, precio, estado, id_usuario_creacion, id_usuario_modificacion) SELECT 'GAS-CO2', 'DIÓXIDO DE CARBONO', TRUE, FALSE, 0, 1, 1, 1 WHERE NOT EXISTS (SELECT 1 FROM pro_producto p WHERE p.es_gas = TRUE AND UPPER(TRIM(p.nombre)) = UPPER(TRIM('DIÓXIDO DE CARBONO'))) AND NOT EXISTS (SELECT 1 FROM pro_producto p2 WHERE p2.codigo = 'GAS-CO2');</t>
        </is>
      </c>
    </row>
    <row r="10">
      <c r="A10" s="84" t="inlineStr">
        <is>
          <t>OK</t>
        </is>
      </c>
      <c r="B10" s="84" t="inlineStr">
        <is>
          <t>GAS-ETILENO</t>
        </is>
      </c>
      <c r="C10" s="84" t="inlineStr">
        <is>
          <t>ETILENO</t>
        </is>
      </c>
      <c r="D10" s="84" t="inlineStr">
        <is>
          <t>INSERT INTO pro_producto (codigo, nombre, es_gas, afecta_stock, precio, estado, id_usuario_creacion, id_usuario_modificacion) SELECT 'GAS-ETILENO', 'ETILENO', TRUE, FALSE, 0, 1, 1, 1 WHERE NOT EXISTS (SELECT 1 FROM pro_producto p WHERE p.es_gas = TRUE AND UPPER(TRIM(p.nombre)) = UPPER(TRIM('ETILENO'))) AND NOT EXISTS (SELECT 1 FROM pro_producto p2 WHERE p2.codigo = 'GAS-ETILENO');</t>
        </is>
      </c>
    </row>
    <row r="11">
      <c r="A11" s="84" t="inlineStr">
        <is>
          <t>OK</t>
        </is>
      </c>
      <c r="B11" s="84" t="inlineStr">
        <is>
          <t>GAS-PROPANO</t>
        </is>
      </c>
      <c r="C11" s="84" t="inlineStr">
        <is>
          <t>GAS PROPANO</t>
        </is>
      </c>
      <c r="D11" s="84" t="inlineStr">
        <is>
          <t>INSERT INTO pro_producto (codigo, nombre, es_gas, afecta_stock, precio, estado, id_usuario_creacion, id_usuario_modificacion) SELECT 'GAS-PROPANO', 'GAS PROPANO', TRUE, FALSE, 0, 1, 1, 1 WHERE NOT EXISTS (SELECT 1 FROM pro_producto p WHERE p.es_gas = TRUE AND UPPER(TRIM(p.nombre)) = UPPER(TRIM('GAS PROPANO'))) AND NOT EXISTS (SELECT 1 FROM pro_producto p2 WHERE p2.codigo = 'GAS-PROPANO');</t>
        </is>
      </c>
    </row>
    <row r="12">
      <c r="A12" s="84" t="inlineStr">
        <is>
          <t>OK</t>
        </is>
      </c>
      <c r="B12" s="84" t="inlineStr">
        <is>
          <t>GAS-NITROGENO</t>
        </is>
      </c>
      <c r="C12" s="84" t="inlineStr">
        <is>
          <t>NITROGENO</t>
        </is>
      </c>
      <c r="D12" s="84" t="inlineStr">
        <is>
          <t>INSERT INTO pro_producto (codigo, nombre, es_gas, afecta_stock, precio, estado, id_usuario_creacion, id_usuario_modificacion) SELECT 'GAS-NITROGENO', 'NITROGENO', TRUE, FALSE, 0, 1, 1, 1 WHERE NOT EXISTS (SELECT 1 FROM pro_producto p WHERE p.es_gas = TRUE AND UPPER(TRIM(p.nombre)) = UPPER(TRIM('NITROGENO'))) AND NOT EXISTS (SELECT 1 FROM pro_producto p2 WHERE p2.codigo = 'GAS-NITROGENO');</t>
        </is>
      </c>
    </row>
    <row r="13">
      <c r="A13" s="84" t="inlineStr">
        <is>
          <t>OK</t>
        </is>
      </c>
      <c r="B13" s="84" t="inlineStr">
        <is>
          <t>GAS-OXI-IND</t>
        </is>
      </c>
      <c r="C13" s="84" t="inlineStr">
        <is>
          <t>OXIGENO INDUSTRIAL</t>
        </is>
      </c>
      <c r="D13" s="84" t="inlineStr">
        <is>
          <t>INSERT INTO pro_producto (codigo, nombre, es_gas, afecta_stock, precio, estado, id_usuario_creacion, id_usuario_modificacion) SELECT 'GAS-OXI-IND', 'OXIGENO INDUSTRIAL', TRUE, FALSE, 0, 1, 1, 1 WHERE NOT EXISTS (SELECT 1 FROM pro_producto p WHERE p.es_gas = TRUE AND UPPER(TRIM(p.nombre)) = UPPER(TRIM('OXIGENO INDUSTRIAL'))) AND NOT EXISTS (SELECT 1 FROM pro_producto p2 WHERE p2.codigo = 'GAS-OXI-IND');</t>
        </is>
      </c>
    </row>
    <row r="14">
      <c r="A14" s="84" t="inlineStr">
        <is>
          <t>OK</t>
        </is>
      </c>
      <c r="B14" s="84" t="inlineStr">
        <is>
          <t>GAS-OXI-MED</t>
        </is>
      </c>
      <c r="C14" s="84" t="inlineStr">
        <is>
          <t>OXIGENO MEDICINAL</t>
        </is>
      </c>
      <c r="D14" s="84" t="inlineStr">
        <is>
          <t>INSERT INTO pro_producto (codigo, nombre, es_gas, afecta_stock, precio, estado, id_usuario_creacion, id_usuario_modificacion) SELECT 'GAS-OXI-MED', 'OXIGENO MEDICINAL', TRUE, FALSE, 0, 1, 1, 1 WHERE NOT EXISTS (SELECT 1 FROM pro_producto p WHERE p.es_gas = TRUE AND UPPER(TRIM(p.nombre)) = UPPER(TRIM('OXIGENO MEDICINAL'))) AND NOT EXISTS (SELECT 1 FROM pro_producto p2 WHERE p2.codigo = 'GAS-OXI-MED');</t>
        </is>
      </c>
    </row>
    <row r="15">
      <c r="A15" s="84" t="inlineStr">
        <is>
          <t>OK</t>
        </is>
      </c>
      <c r="B15" s="84" t="inlineStr">
        <is>
          <t>GAS-STARGOLD</t>
        </is>
      </c>
      <c r="C15" s="84" t="inlineStr">
        <is>
          <t>STARGOLD ESTANDAR</t>
        </is>
      </c>
      <c r="D15" s="84" t="inlineStr">
        <is>
          <t>INSERT INTO pro_producto (codigo, nombre, es_gas, afecta_stock, precio, estado, id_usuario_creacion, id_usuario_modificacion) SELECT 'GAS-STARGOLD', 'STARGOLD ESTANDAR', TRUE, FALSE, 0, 1, 1, 1 WHERE NOT EXISTS (SELECT 1 FROM pro_producto p WHERE p.es_gas = TRUE AND UPPER(TRIM(p.nombre)) = UPPER(TRIM('STARGOLD ESTANDAR'))) AND NOT EXISTS (SELECT 1 FROM pro_producto p2 WHERE p2.codigo = 'GAS-STARGOLD');</t>
        </is>
      </c>
    </row>
  </sheetData>
  <mergeCells count="2">
    <mergeCell ref="B1:E1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42" customWidth="1" style="64" min="2" max="2"/>
    <col width="20" customWidth="1" style="64" min="3" max="3"/>
    <col width="12" customWidth="1" style="64" min="4" max="4"/>
    <col width="17" customWidth="1" style="64" min="5" max="5"/>
    <col width="42" customWidth="1" style="64" min="6" max="6"/>
    <col width="12" customWidth="1" style="64" min="7" max="7"/>
  </cols>
  <sheetData>
    <row r="1">
      <c r="B1" s="77" t="inlineStr">
        <is>
          <t>0d) TIPOS DE BALÓN  →  bal_tipo_balon</t>
        </is>
      </c>
    </row>
    <row r="2">
      <c r="B2" s="78" t="inlineStr">
        <is>
          <t>Cada tipo se vincula a un gas (pro_producto). Capacidad/unidad se inferen del nombre cuando es posible. El nombre debe coincidir con Tipo balón de la hoja Balones.</t>
        </is>
      </c>
    </row>
    <row r="3">
      <c r="A3" s="79" t="inlineStr">
        <is>
          <t>(validación)</t>
        </is>
      </c>
      <c r="B3" s="79" t="inlineStr">
        <is>
          <t>nombre</t>
        </is>
      </c>
      <c r="C3" s="79" t="inlineStr">
        <is>
          <t>gas</t>
        </is>
      </c>
      <c r="D3" s="79" t="inlineStr">
        <is>
          <t>capacidad</t>
        </is>
      </c>
      <c r="E3" s="79" t="inlineStr">
        <is>
          <t>unidad</t>
        </is>
      </c>
      <c r="F3" s="79" t="inlineStr">
        <is>
          <t>(sentencia SQL)</t>
        </is>
      </c>
    </row>
    <row r="4">
      <c r="A4" s="83" t="inlineStr">
        <is>
          <t>Chequeo</t>
        </is>
      </c>
      <c r="B4" s="81" t="inlineStr">
        <is>
          <t>Nombre tipo balón</t>
        </is>
      </c>
      <c r="C4" s="81" t="inlineStr">
        <is>
          <t>Gas</t>
        </is>
      </c>
      <c r="D4" s="82" t="inlineStr">
        <is>
          <t>Capacidad</t>
        </is>
      </c>
      <c r="E4" s="82" t="inlineStr">
        <is>
          <t>Unidad (MT3/KG)</t>
        </is>
      </c>
      <c r="F4" s="83" t="inlineStr">
        <is>
          <t>SQL</t>
        </is>
      </c>
    </row>
    <row r="5">
      <c r="A5" s="84" t="inlineStr">
        <is>
          <t>OK</t>
        </is>
      </c>
      <c r="B5" s="84" t="inlineStr">
        <is>
          <t>Acetileno 0 kg</t>
        </is>
      </c>
      <c r="C5" s="84" t="inlineStr">
        <is>
          <t>ACETILENO ESTANDAR</t>
        </is>
      </c>
      <c r="D5" s="84" t="n">
        <v>0</v>
      </c>
      <c r="E5" s="84" t="inlineStr">
        <is>
          <t>KG</t>
        </is>
      </c>
      <c r="F5" s="84" t="inlineStr">
        <is>
          <t>INSERT INTO bal_tipo_balon (nombre, id_gas, capacidad, id_unidad_medida, estado, vigencia_ph_anios, id_usuario_creacion, id_usuario_modificacion) SELECT 'Acetileno 0 kg', p.id, 0.0,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0 kg'))) LIMIT 1;</t>
        </is>
      </c>
    </row>
    <row r="6">
      <c r="A6" s="84" t="inlineStr">
        <is>
          <t>OK</t>
        </is>
      </c>
      <c r="B6" s="84" t="inlineStr">
        <is>
          <t>Acetileno 1 - 3 kg</t>
        </is>
      </c>
      <c r="C6" s="84" t="inlineStr">
        <is>
          <t>ACETILENO ESTANDAR</t>
        </is>
      </c>
      <c r="D6" s="84" t="n">
        <v>3</v>
      </c>
      <c r="E6" s="84" t="inlineStr">
        <is>
          <t>KG</t>
        </is>
      </c>
      <c r="F6" s="84" t="inlineStr">
        <is>
          <t>INSERT INTO bal_tipo_balon (nombre, id_gas, capacidad, id_unidad_medida, estado, vigencia_ph_anios, id_usuario_creacion, id_usuario_modificacion) SELECT 'Acetileno 1 - 3 kg', p.id, 3.0,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1 - 3 kg'))) LIMIT 1;</t>
        </is>
      </c>
    </row>
    <row r="7">
      <c r="A7" s="84" t="inlineStr">
        <is>
          <t>OK</t>
        </is>
      </c>
      <c r="B7" s="84" t="inlineStr">
        <is>
          <t>Acetileno 5 kg</t>
        </is>
      </c>
      <c r="C7" s="84" t="inlineStr">
        <is>
          <t>ACETILENO ESTANDAR</t>
        </is>
      </c>
      <c r="D7" s="84" t="n">
        <v>5</v>
      </c>
      <c r="E7" s="84" t="inlineStr">
        <is>
          <t>KG</t>
        </is>
      </c>
      <c r="F7" s="84" t="inlineStr">
        <is>
          <t>INSERT INTO bal_tipo_balon (nombre, id_gas, capacidad, id_unidad_medida, estado, vigencia_ph_anios, id_usuario_creacion, id_usuario_modificacion) SELECT 'Acetileno 5 kg', p.id, 5.0,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5 kg'))) LIMIT 1;</t>
        </is>
      </c>
    </row>
    <row r="8">
      <c r="A8" s="84" t="inlineStr">
        <is>
          <t>OK</t>
        </is>
      </c>
      <c r="B8" s="84" t="inlineStr">
        <is>
          <t>Acetileno de 1 - 4 kg</t>
        </is>
      </c>
      <c r="C8" s="84" t="inlineStr">
        <is>
          <t>ACETILENO ESTANDAR</t>
        </is>
      </c>
      <c r="D8" s="84" t="n">
        <v>4</v>
      </c>
      <c r="E8" s="84" t="inlineStr">
        <is>
          <t>KG</t>
        </is>
      </c>
      <c r="F8" s="84" t="inlineStr">
        <is>
          <t>INSERT INTO bal_tipo_balon (nombre, id_gas, capacidad, id_unidad_medida, estado, vigencia_ph_anios, id_usuario_creacion, id_usuario_modificacion) SELECT 'Acetileno de 1 - 4 kg', p.id, 4.0,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de 1 - 4 kg'))) LIMIT 1;</t>
        </is>
      </c>
    </row>
    <row r="9">
      <c r="A9" s="84" t="inlineStr">
        <is>
          <t>FALTA gas</t>
        </is>
      </c>
      <c r="B9" s="84" t="inlineStr">
        <is>
          <t>Acetileno de 10 kg</t>
        </is>
      </c>
      <c r="C9" s="84" t="inlineStr"/>
      <c r="D9" s="84" t="n">
        <v>10</v>
      </c>
      <c r="E9" s="84" t="inlineStr">
        <is>
          <t>KG</t>
        </is>
      </c>
      <c r="F9" s="84" t="n"/>
    </row>
    <row r="10">
      <c r="A10" s="84" t="inlineStr">
        <is>
          <t>FALTA gas</t>
        </is>
      </c>
      <c r="B10" s="84" t="inlineStr">
        <is>
          <t>Acetileno de 2.5 kg</t>
        </is>
      </c>
      <c r="C10" s="84" t="inlineStr"/>
      <c r="D10" s="84" t="n">
        <v>2.5</v>
      </c>
      <c r="E10" s="84" t="inlineStr">
        <is>
          <t>KG</t>
        </is>
      </c>
      <c r="F10" s="84" t="n"/>
    </row>
    <row r="11">
      <c r="A11" s="84" t="inlineStr">
        <is>
          <t>OK</t>
        </is>
      </c>
      <c r="B11" s="84" t="inlineStr">
        <is>
          <t>Acetileno de 3.5 - 5 kg</t>
        </is>
      </c>
      <c r="C11" s="84" t="inlineStr">
        <is>
          <t>ACETILENO ESTANDAR</t>
        </is>
      </c>
      <c r="D11" s="84" t="n">
        <v>5</v>
      </c>
      <c r="E11" s="84" t="inlineStr">
        <is>
          <t>KG</t>
        </is>
      </c>
      <c r="F11" s="84" t="inlineStr">
        <is>
          <t>INSERT INTO bal_tipo_balon (nombre, id_gas, capacidad, id_unidad_medida, estado, vigencia_ph_anios, id_usuario_creacion, id_usuario_modificacion) SELECT 'Acetileno de 3.5 - 5 kg', p.id, 5.0,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de 3.5 - 5 kg'))) LIMIT 1;</t>
        </is>
      </c>
    </row>
    <row r="12">
      <c r="A12" s="84" t="inlineStr">
        <is>
          <t>OK</t>
        </is>
      </c>
      <c r="B12" s="84" t="inlineStr">
        <is>
          <t>Acetileno de 3.5 - 5.5 kg</t>
        </is>
      </c>
      <c r="C12" s="84" t="inlineStr">
        <is>
          <t>ACETILENO ESTANDAR</t>
        </is>
      </c>
      <c r="D12" s="84" t="n">
        <v>5.5</v>
      </c>
      <c r="E12" s="84" t="inlineStr">
        <is>
          <t>KG</t>
        </is>
      </c>
      <c r="F12" s="84" t="inlineStr">
        <is>
          <t>INSERT INTO bal_tipo_balon (nombre, id_gas, capacidad, id_unidad_medida, estado, vigencia_ph_anios, id_usuario_creacion, id_usuario_modificacion) SELECT 'Acetileno de 3.5 - 5.5 kg', p.id, 5.5,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de 3.5 - 5.5 kg'))) LIMIT 1;</t>
        </is>
      </c>
    </row>
    <row r="13">
      <c r="A13" s="84" t="inlineStr">
        <is>
          <t>OK</t>
        </is>
      </c>
      <c r="B13" s="84" t="inlineStr">
        <is>
          <t>Acetileno de 4 kg</t>
        </is>
      </c>
      <c r="C13" s="84" t="inlineStr">
        <is>
          <t>ACETILENO ESTANDAR</t>
        </is>
      </c>
      <c r="D13" s="84" t="n">
        <v>4</v>
      </c>
      <c r="E13" s="84" t="inlineStr">
        <is>
          <t>KG</t>
        </is>
      </c>
      <c r="F13" s="84" t="inlineStr">
        <is>
          <t>INSERT INTO bal_tipo_balon (nombre, id_gas, capacidad, id_unidad_medida, estado, vigencia_ph_anios, id_usuario_creacion, id_usuario_modificacion) SELECT 'Acetileno de 4 kg', p.id, 4.0,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de 4 kg'))) LIMIT 1;</t>
        </is>
      </c>
    </row>
    <row r="14">
      <c r="A14" s="84" t="inlineStr">
        <is>
          <t>OK</t>
        </is>
      </c>
      <c r="B14" s="84" t="inlineStr">
        <is>
          <t>Acetileno de 6 - 7.5 kg</t>
        </is>
      </c>
      <c r="C14" s="84" t="inlineStr">
        <is>
          <t>ACETILENO ESTANDAR</t>
        </is>
      </c>
      <c r="D14" s="84" t="n">
        <v>7.5</v>
      </c>
      <c r="E14" s="84" t="inlineStr">
        <is>
          <t>KG</t>
        </is>
      </c>
      <c r="F14" s="84" t="inlineStr">
        <is>
          <t>INSERT INTO bal_tipo_balon (nombre, id_gas, capacidad, id_unidad_medida, estado, vigencia_ph_anios, id_usuario_creacion, id_usuario_modificacion) SELECT 'Acetileno de 6 - 7.5 kg', p.id, 7.5,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de 6 - 7.5 kg'))) LIMIT 1;</t>
        </is>
      </c>
    </row>
    <row r="15">
      <c r="A15" s="84" t="inlineStr">
        <is>
          <t>OK</t>
        </is>
      </c>
      <c r="B15" s="84" t="inlineStr">
        <is>
          <t>Acetileno de 6 - 8 kg</t>
        </is>
      </c>
      <c r="C15" s="84" t="inlineStr">
        <is>
          <t>ACETILENO ESTANDAR</t>
        </is>
      </c>
      <c r="D15" s="84" t="n">
        <v>8</v>
      </c>
      <c r="E15" s="84" t="inlineStr">
        <is>
          <t>KG</t>
        </is>
      </c>
      <c r="F15" s="84" t="inlineStr">
        <is>
          <t>INSERT INTO bal_tipo_balon (nombre, id_gas, capacidad, id_unidad_medida, estado, vigencia_ph_anios, id_usuario_creacion, id_usuario_modificacion) SELECT 'Acetileno de 6 - 8 kg', p.id, 8.0,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de 6 - 8 kg'))) LIMIT 1;</t>
        </is>
      </c>
    </row>
    <row r="16">
      <c r="A16" s="84" t="inlineStr">
        <is>
          <t>OK</t>
        </is>
      </c>
      <c r="B16" s="84" t="inlineStr">
        <is>
          <t>Acetileno de 7 - 9 kg</t>
        </is>
      </c>
      <c r="C16" s="84" t="inlineStr">
        <is>
          <t>ACETILENO ESTANDAR</t>
        </is>
      </c>
      <c r="D16" s="84" t="n">
        <v>9</v>
      </c>
      <c r="E16" s="84" t="inlineStr">
        <is>
          <t>KG</t>
        </is>
      </c>
      <c r="F16" s="84" t="inlineStr">
        <is>
          <t>INSERT INTO bal_tipo_balon (nombre, id_gas, capacidad, id_unidad_medida, estado, vigencia_ph_anios, id_usuario_creacion, id_usuario_modificacion) SELECT 'Acetileno de 7 - 9 kg', p.id, 9.0,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de 7 - 9 kg'))) LIMIT 1;</t>
        </is>
      </c>
    </row>
    <row r="17">
      <c r="A17" s="84" t="inlineStr">
        <is>
          <t>FALTA gas</t>
        </is>
      </c>
      <c r="B17" s="84" t="inlineStr">
        <is>
          <t>Acetileno de 7 kg</t>
        </is>
      </c>
      <c r="C17" s="84" t="inlineStr"/>
      <c r="D17" s="84" t="n">
        <v>7</v>
      </c>
      <c r="E17" s="84" t="inlineStr">
        <is>
          <t>KG</t>
        </is>
      </c>
      <c r="F17" s="84" t="n"/>
    </row>
    <row r="18">
      <c r="A18" s="84" t="inlineStr">
        <is>
          <t>OK</t>
        </is>
      </c>
      <c r="B18" s="84" t="inlineStr">
        <is>
          <t>Acetileno de 8 - 10 kg</t>
        </is>
      </c>
      <c r="C18" s="84" t="inlineStr">
        <is>
          <t>ACETILENO ESTANDAR</t>
        </is>
      </c>
      <c r="D18" s="84" t="n">
        <v>10</v>
      </c>
      <c r="E18" s="84" t="inlineStr">
        <is>
          <t>KG</t>
        </is>
      </c>
      <c r="F18" s="84" t="inlineStr">
        <is>
          <t>INSERT INTO bal_tipo_balon (nombre, id_gas, capacidad, id_unidad_medida, estado, vigencia_ph_anios, id_usuario_creacion, id_usuario_modificacion) SELECT 'Acetileno de 8 - 10 kg', p.id, 10.0, (SELECT id FROM gen_lista_opciones lo JOIN gen_lista l ON l.id = lo.id_lista WHERE l.nombre = 'UnidadMedida' AND UPPER(lo.nombre) = UPPER('KG') AND lo.estado = 1 LIMIT 1), 1, 5, 1, 1 FROM pro_producto p WHERE p.es_gas = TRUE AND UPPER(TRIM(p.nombre)) = UPPER(TRIM('ACETILENO ESTANDAR')) AND NOT EXISTS (SELECT 1 FROM bal_tipo_balon t WHERE UPPER(TRIM(t.nombre)) = UPPER(TRIM('Acetileno de 8 - 10 kg'))) LIMIT 1;</t>
        </is>
      </c>
    </row>
    <row r="19">
      <c r="A19" s="84" t="inlineStr">
        <is>
          <t>OK</t>
        </is>
      </c>
      <c r="B19" s="84" t="inlineStr">
        <is>
          <t>Acetileno de 8kg</t>
        </is>
      </c>
      <c r="C19" s="84" t="inlineStr">
        <is>
          <t>ACETILENO ESPECIAL</t>
        </is>
      </c>
      <c r="D19" s="84" t="n">
        <v>8</v>
      </c>
      <c r="E19" s="84" t="inlineStr">
        <is>
          <t>KG</t>
        </is>
      </c>
      <c r="F19" s="84" t="inlineStr">
        <is>
          <t>INSERT INTO bal_tipo_balon (nombre, id_gas, capacidad, id_unidad_medida, estado, vigencia_ph_anios, id_usuario_creacion, id_usuario_modificacion) SELECT 'Acetileno de 8kg', p.id, 8.0, (SELECT id FROM gen_lista_opciones lo JOIN gen_lista l ON l.id = lo.id_lista WHERE l.nombre = 'UnidadMedida' AND UPPER(lo.nombre) = UPPER('KG') AND lo.estado = 1 LIMIT 1), 1, 5, 1, 1 FROM pro_producto p WHERE p.es_gas = TRUE AND UPPER(TRIM(p.nombre)) = UPPER(TRIM('ACETILENO ESPECIAL')) AND NOT EXISTS (SELECT 1 FROM bal_tipo_balon t WHERE UPPER(TRIM(t.nombre)) = UPPER(TRIM('Acetileno de 8kg'))) LIMIT 1;</t>
        </is>
      </c>
    </row>
    <row r="20">
      <c r="A20" s="84" t="inlineStr">
        <is>
          <t>FALTA gas</t>
        </is>
      </c>
      <c r="B20" s="84" t="inlineStr">
        <is>
          <t>ACETILENO ESPECIAL 7 KG</t>
        </is>
      </c>
      <c r="C20" s="84" t="inlineStr"/>
      <c r="D20" s="84" t="n">
        <v>7</v>
      </c>
      <c r="E20" s="84" t="inlineStr">
        <is>
          <t>KG</t>
        </is>
      </c>
      <c r="F20" s="84" t="n"/>
    </row>
    <row r="21">
      <c r="A21" s="84" t="inlineStr">
        <is>
          <t>OK</t>
        </is>
      </c>
      <c r="B21" s="84" t="inlineStr">
        <is>
          <t>Argón Estándar 10 m3</t>
        </is>
      </c>
      <c r="C21" s="84" t="inlineStr">
        <is>
          <t>ARGON</t>
        </is>
      </c>
      <c r="D21" s="84" t="n">
        <v>10</v>
      </c>
      <c r="E21" s="84" t="inlineStr">
        <is>
          <t>MT3</t>
        </is>
      </c>
      <c r="F21" s="84" t="inlineStr">
        <is>
          <t>INSERT INTO bal_tipo_balon (nombre, id_gas, capacidad, id_unidad_medida, estado, vigencia_ph_anios, id_usuario_creacion, id_usuario_modificacion) SELECT 'Argón Estándar 10 m3', p.id, 10.0, (SELECT id FROM gen_lista_opciones lo JOIN gen_lista l ON l.id = lo.id_lista WHERE l.nombre = 'UnidadMedida' AND UPPER(lo.nombre) = UPPER('MT3') AND lo.estado = 1 LIMIT 1), 1, 5, 1, 1 FROM pro_producto p WHERE p.es_gas = TRUE AND UPPER(TRIM(p.nombre)) = UPPER(TRIM('ARGON')) AND NOT EXISTS (SELECT 1 FROM bal_tipo_balon t WHERE UPPER(TRIM(t.nombre)) = UPPER(TRIM('Argón Estándar 10 m3'))) LIMIT 1;</t>
        </is>
      </c>
    </row>
    <row r="22">
      <c r="A22" s="84" t="inlineStr">
        <is>
          <t>OK</t>
        </is>
      </c>
      <c r="B22" s="84" t="inlineStr">
        <is>
          <t>Argón Estándar  3 m3</t>
        </is>
      </c>
      <c r="C22" s="84" t="inlineStr">
        <is>
          <t>ARGON</t>
        </is>
      </c>
      <c r="D22" s="84" t="n">
        <v>3</v>
      </c>
      <c r="E22" s="84" t="inlineStr">
        <is>
          <t>MT3</t>
        </is>
      </c>
      <c r="F22" s="84" t="inlineStr">
        <is>
          <t>INSERT INTO bal_tipo_balon (nombre, id_gas, capacidad, id_unidad_medida, estado, vigencia_ph_anios, id_usuario_creacion, id_usuario_modificacion) SELECT 'Argón Estándar  3 m3', p.id, 3.0, (SELECT id FROM gen_lista_opciones lo JOIN gen_lista l ON l.id = lo.id_lista WHERE l.nombre = 'UnidadMedida' AND UPPER(lo.nombre) = UPPER('MT3') AND lo.estado = 1 LIMIT 1), 1, 5, 1, 1 FROM pro_producto p WHERE p.es_gas = TRUE AND UPPER(TRIM(p.nombre)) = UPPER(TRIM('ARGON')) AND NOT EXISTS (SELECT 1 FROM bal_tipo_balon t WHERE UPPER(TRIM(t.nombre)) = UPPER(TRIM('Argón Estándar  3 m3'))) LIMIT 1;</t>
        </is>
      </c>
    </row>
    <row r="23">
      <c r="A23" s="84" t="inlineStr">
        <is>
          <t>OK</t>
        </is>
      </c>
      <c r="B23" s="84" t="inlineStr">
        <is>
          <t>Argón Estándar  6 m3</t>
        </is>
      </c>
      <c r="C23" s="84" t="inlineStr">
        <is>
          <t>ARGON</t>
        </is>
      </c>
      <c r="D23" s="84" t="n">
        <v>6</v>
      </c>
      <c r="E23" s="84" t="inlineStr">
        <is>
          <t>MT3</t>
        </is>
      </c>
      <c r="F23" s="84" t="inlineStr">
        <is>
          <t>INSERT INTO bal_tipo_balon (nombre, id_gas, capacidad, id_unidad_medida, estado, vigencia_ph_anios, id_usuario_creacion, id_usuario_modificacion) SELECT 'Argón Estándar  6 m3', p.id, 6.0, (SELECT id FROM gen_lista_opciones lo JOIN gen_lista l ON l.id = lo.id_lista WHERE l.nombre = 'UnidadMedida' AND UPPER(lo.nombre) = UPPER('MT3') AND lo.estado = 1 LIMIT 1), 1, 5, 1, 1 FROM pro_producto p WHERE p.es_gas = TRUE AND UPPER(TRIM(p.nombre)) = UPPER(TRIM('ARGON')) AND NOT EXISTS (SELECT 1 FROM bal_tipo_balon t WHERE UPPER(TRIM(t.nombre)) = UPPER(TRIM('Argón Estándar  6 m3'))) LIMIT 1;</t>
        </is>
      </c>
    </row>
    <row r="24">
      <c r="A24" s="84" t="inlineStr">
        <is>
          <t>OK</t>
        </is>
      </c>
      <c r="B24" s="84" t="inlineStr">
        <is>
          <t>Dióxido de carbono 13 kg</t>
        </is>
      </c>
      <c r="C24" s="84" t="inlineStr">
        <is>
          <t>DIÓXIDO DE CARBONO</t>
        </is>
      </c>
      <c r="D24" s="84" t="n">
        <v>13</v>
      </c>
      <c r="E24" s="84" t="inlineStr">
        <is>
          <t>KG</t>
        </is>
      </c>
      <c r="F24" s="84" t="inlineStr">
        <is>
          <t>INSERT INTO bal_tipo_balon (nombre, id_gas, capacidad, id_unidad_medida, estado, vigencia_ph_anios, id_usuario_creacion, id_usuario_modificacion) SELECT 'Dióxido de carbono 13 kg', p.id, 13.0, (SELECT id FROM gen_lista_opciones lo JOIN gen_lista l ON l.id = lo.id_lista WHERE l.nombre = 'UnidadMedida' AND UPPER(lo.nombre) = UPPER('KG') AND lo.estado = 1 LIMIT 1), 1, 5, 1, 1 FROM pro_producto p WHERE p.es_gas = TRUE AND UPPER(TRIM(p.nombre)) = UPPER(TRIM('DIÓXIDO DE CARBONO')) AND NOT EXISTS (SELECT 1 FROM bal_tipo_balon t WHERE UPPER(TRIM(t.nombre)) = UPPER(TRIM('Dióxido de carbono 13 kg'))) LIMIT 1;</t>
        </is>
      </c>
    </row>
    <row r="25">
      <c r="A25" s="84" t="inlineStr">
        <is>
          <t>OK</t>
        </is>
      </c>
      <c r="B25" s="84" t="inlineStr">
        <is>
          <t>Dióxido de carbono 25 kg</t>
        </is>
      </c>
      <c r="C25" s="84" t="inlineStr">
        <is>
          <t>DIÓXIDO DE CARBONO</t>
        </is>
      </c>
      <c r="D25" s="84" t="n">
        <v>25</v>
      </c>
      <c r="E25" s="84" t="inlineStr">
        <is>
          <t>KG</t>
        </is>
      </c>
      <c r="F25" s="84" t="inlineStr">
        <is>
          <t>INSERT INTO bal_tipo_balon (nombre, id_gas, capacidad, id_unidad_medida, estado, vigencia_ph_anios, id_usuario_creacion, id_usuario_modificacion) SELECT 'Dióxido de carbono 25 kg', p.id, 25.0, (SELECT id FROM gen_lista_opciones lo JOIN gen_lista l ON l.id = lo.id_lista WHERE l.nombre = 'UnidadMedida' AND UPPER(lo.nombre) = UPPER('KG') AND lo.estado = 1 LIMIT 1), 1, 5, 1, 1 FROM pro_producto p WHERE p.es_gas = TRUE AND UPPER(TRIM(p.nombre)) = UPPER(TRIM('DIÓXIDO DE CARBONO')) AND NOT EXISTS (SELECT 1 FROM bal_tipo_balon t WHERE UPPER(TRIM(t.nombre)) = UPPER(TRIM('Dióxido de carbono 25 kg'))) LIMIT 1;</t>
        </is>
      </c>
    </row>
    <row r="26">
      <c r="A26" s="84" t="inlineStr">
        <is>
          <t>OK</t>
        </is>
      </c>
      <c r="B26" s="84" t="inlineStr">
        <is>
          <t>DIOXIDO DE CARBONO 3 KG</t>
        </is>
      </c>
      <c r="C26" s="84" t="inlineStr">
        <is>
          <t>DIÓXIDO DE CARBONO</t>
        </is>
      </c>
      <c r="D26" s="84" t="n">
        <v>3</v>
      </c>
      <c r="E26" s="84" t="inlineStr">
        <is>
          <t>KG</t>
        </is>
      </c>
      <c r="F26" s="84" t="inlineStr">
        <is>
          <t>INSERT INTO bal_tipo_balon (nombre, id_gas, capacidad, id_unidad_medida, estado, vigencia_ph_anios, id_usuario_creacion, id_usuario_modificacion) SELECT 'DIOXIDO DE CARBONO 3 KG', p.id, 3.0, (SELECT id FROM gen_lista_opciones lo JOIN gen_lista l ON l.id = lo.id_lista WHERE l.nombre = 'UnidadMedida' AND UPPER(lo.nombre) = UPPER('KG') AND lo.estado = 1 LIMIT 1), 1, 5, 1, 1 FROM pro_producto p WHERE p.es_gas = TRUE AND UPPER(TRIM(p.nombre)) = UPPER(TRIM('DIÓXIDO DE CARBONO')) AND NOT EXISTS (SELECT 1 FROM bal_tipo_balon t WHERE UPPER(TRIM(t.nombre)) = UPPER(TRIM('DIOXIDO DE CARBONO 3 KG'))) LIMIT 1;</t>
        </is>
      </c>
    </row>
    <row r="27">
      <c r="A27" s="84" t="inlineStr">
        <is>
          <t>OK</t>
        </is>
      </c>
      <c r="B27" s="84" t="inlineStr">
        <is>
          <t>Dióxido de carbono 30 kg</t>
        </is>
      </c>
      <c r="C27" s="84" t="inlineStr">
        <is>
          <t>DIÓXIDO DE CARBONO</t>
        </is>
      </c>
      <c r="D27" s="84" t="n">
        <v>30</v>
      </c>
      <c r="E27" s="84" t="inlineStr">
        <is>
          <t>KG</t>
        </is>
      </c>
      <c r="F27" s="84" t="inlineStr">
        <is>
          <t>INSERT INTO bal_tipo_balon (nombre, id_gas, capacidad, id_unidad_medida, estado, vigencia_ph_anios, id_usuario_creacion, id_usuario_modificacion) SELECT 'Dióxido de carbono 30 kg', p.id, 30.0, (SELECT id FROM gen_lista_opciones lo JOIN gen_lista l ON l.id = lo.id_lista WHERE l.nombre = 'UnidadMedida' AND UPPER(lo.nombre) = UPPER('KG') AND lo.estado = 1 LIMIT 1), 1, 5, 1, 1 FROM pro_producto p WHERE p.es_gas = TRUE AND UPPER(TRIM(p.nombre)) = UPPER(TRIM('DIÓXIDO DE CARBONO')) AND NOT EXISTS (SELECT 1 FROM bal_tipo_balon t WHERE UPPER(TRIM(t.nombre)) = UPPER(TRIM('Dióxido de carbono 30 kg'))) LIMIT 1;</t>
        </is>
      </c>
    </row>
    <row r="28">
      <c r="A28" s="84" t="inlineStr">
        <is>
          <t>OK</t>
        </is>
      </c>
      <c r="B28" s="84" t="inlineStr">
        <is>
          <t>Dióxido de carbono 7 kg</t>
        </is>
      </c>
      <c r="C28" s="84" t="inlineStr">
        <is>
          <t>DIÓXIDO DE CARBONO</t>
        </is>
      </c>
      <c r="D28" s="84" t="n">
        <v>7</v>
      </c>
      <c r="E28" s="84" t="inlineStr">
        <is>
          <t>KG</t>
        </is>
      </c>
      <c r="F28" s="84" t="inlineStr">
        <is>
          <t>INSERT INTO bal_tipo_balon (nombre, id_gas, capacidad, id_unidad_medida, estado, vigencia_ph_anios, id_usuario_creacion, id_usuario_modificacion) SELECT 'Dióxido de carbono 7 kg', p.id, 7.0, (SELECT id FROM gen_lista_opciones lo JOIN gen_lista l ON l.id = lo.id_lista WHERE l.nombre = 'UnidadMedida' AND UPPER(lo.nombre) = UPPER('KG') AND lo.estado = 1 LIMIT 1), 1, 5, 1, 1 FROM pro_producto p WHERE p.es_gas = TRUE AND UPPER(TRIM(p.nombre)) = UPPER(TRIM('DIÓXIDO DE CARBONO')) AND NOT EXISTS (SELECT 1 FROM bal_tipo_balon t WHERE UPPER(TRIM(t.nombre)) = UPPER(TRIM('Dióxido de carbono 7 kg'))) LIMIT 1;</t>
        </is>
      </c>
    </row>
    <row r="29">
      <c r="A29" s="84" t="inlineStr">
        <is>
          <t>OK</t>
        </is>
      </c>
      <c r="B29" s="84" t="inlineStr">
        <is>
          <t>DIOXIDO DE CARBONO 9 KG</t>
        </is>
      </c>
      <c r="C29" s="84" t="inlineStr">
        <is>
          <t>DIÓXIDO DE CARBONO</t>
        </is>
      </c>
      <c r="D29" s="84" t="n">
        <v>9</v>
      </c>
      <c r="E29" s="84" t="inlineStr">
        <is>
          <t>KG</t>
        </is>
      </c>
      <c r="F29" s="84" t="inlineStr">
        <is>
          <t>INSERT INTO bal_tipo_balon (nombre, id_gas, capacidad, id_unidad_medida, estado, vigencia_ph_anios, id_usuario_creacion, id_usuario_modificacion) SELECT 'DIOXIDO DE CARBONO 9 KG', p.id, 9.0, (SELECT id FROM gen_lista_opciones lo JOIN gen_lista l ON l.id = lo.id_lista WHERE l.nombre = 'UnidadMedida' AND UPPER(lo.nombre) = UPPER('KG') AND lo.estado = 1 LIMIT 1), 1, 5, 1, 1 FROM pro_producto p WHERE p.es_gas = TRUE AND UPPER(TRIM(p.nombre)) = UPPER(TRIM('DIÓXIDO DE CARBONO')) AND NOT EXISTS (SELECT 1 FROM bal_tipo_balon t WHERE UPPER(TRIM(t.nombre)) = UPPER(TRIM('DIOXIDO DE CARBONO 9 KG'))) LIMIT 1;</t>
        </is>
      </c>
    </row>
    <row r="30">
      <c r="A30" s="84" t="inlineStr">
        <is>
          <t>OK</t>
        </is>
      </c>
      <c r="B30" s="84" t="inlineStr">
        <is>
          <t>Dioxido de Carbono de 12 kg</t>
        </is>
      </c>
      <c r="C30" s="84" t="inlineStr">
        <is>
          <t>DIÓXIDO DE CARBONO</t>
        </is>
      </c>
      <c r="D30" s="84" t="n">
        <v>12</v>
      </c>
      <c r="E30" s="84" t="inlineStr">
        <is>
          <t>KG</t>
        </is>
      </c>
      <c r="F30" s="84" t="inlineStr">
        <is>
          <t>INSERT INTO bal_tipo_balon (nombre, id_gas, capacidad, id_unidad_medida, estado, vigencia_ph_anios, id_usuario_creacion, id_usuario_modificacion) SELECT 'Dioxido de Carbono de 12 kg', p.id, 12.0, (SELECT id FROM gen_lista_opciones lo JOIN gen_lista l ON l.id = lo.id_lista WHERE l.nombre = 'UnidadMedida' AND UPPER(lo.nombre) = UPPER('KG') AND lo.estado = 1 LIMIT 1), 1, 5, 1, 1 FROM pro_producto p WHERE p.es_gas = TRUE AND UPPER(TRIM(p.nombre)) = UPPER(TRIM('DIÓXIDO DE CARBONO')) AND NOT EXISTS (SELECT 1 FROM bal_tipo_balon t WHERE UPPER(TRIM(t.nombre)) = UPPER(TRIM('Dioxido de Carbono de 12 kg'))) LIMIT 1;</t>
        </is>
      </c>
    </row>
    <row r="31">
      <c r="A31" s="84" t="inlineStr">
        <is>
          <t>OK</t>
        </is>
      </c>
      <c r="B31" s="84" t="inlineStr">
        <is>
          <t>Etil 10 m³</t>
        </is>
      </c>
      <c r="C31" s="84" t="inlineStr">
        <is>
          <t>ETILENO</t>
        </is>
      </c>
      <c r="D31" s="84" t="n">
        <v>10</v>
      </c>
      <c r="E31" s="84" t="inlineStr">
        <is>
          <t>MT3</t>
        </is>
      </c>
      <c r="F31" s="84" t="inlineStr">
        <is>
          <t>INSERT INTO bal_tipo_balon (nombre, id_gas, capacidad, id_unidad_medida, estado, vigencia_ph_anios, id_usuario_creacion, id_usuario_modificacion) SELECT 'Etil 10 m³', p.id, 10.0, (SELECT id FROM gen_lista_opciones lo JOIN gen_lista l ON l.id = lo.id_lista WHERE l.nombre = 'UnidadMedida' AND UPPER(lo.nombre) = UPPER('MT3') AND lo.estado = 1 LIMIT 1), 1, 5, 1, 1 FROM pro_producto p WHERE p.es_gas = TRUE AND UPPER(TRIM(p.nombre)) = UPPER(TRIM('ETILENO')) AND NOT EXISTS (SELECT 1 FROM bal_tipo_balon t WHERE UPPER(TRIM(t.nombre)) = UPPER(TRIM('Etil 10 m³'))) LIMIT 1;</t>
        </is>
      </c>
    </row>
    <row r="32">
      <c r="A32" s="84" t="inlineStr">
        <is>
          <t>OK</t>
        </is>
      </c>
      <c r="B32" s="84" t="inlineStr">
        <is>
          <t>Gas Propano 10 kg</t>
        </is>
      </c>
      <c r="C32" s="84" t="inlineStr">
        <is>
          <t>OXIGENO INDUSTRIAL</t>
        </is>
      </c>
      <c r="D32" s="84" t="n">
        <v>10</v>
      </c>
      <c r="E32" s="84" t="inlineStr">
        <is>
          <t>KG</t>
        </is>
      </c>
      <c r="F32" s="84" t="inlineStr">
        <is>
          <t>INSERT INTO bal_tipo_balon (nombre, id_gas, capacidad, id_unidad_medida, estado, vigencia_ph_anios, id_usuario_creacion, id_usuario_modificacion) SELECT 'Gas Propano 10 kg', p.id, 10.0, (SELECT id FROM gen_lista_opciones lo JOIN gen_lista l ON l.id = lo.id_lista WHERE l.nombre = 'UnidadMedida' AND UPPER(lo.nombre) = UPPER('KG') AND lo.estado = 1 LIMIT 1), 1, 5, 1, 1 FROM pro_producto p WHERE p.es_gas = TRUE AND UPPER(TRIM(p.nombre)) = UPPER(TRIM('OXIGENO INDUSTRIAL')) AND NOT EXISTS (SELECT 1 FROM bal_tipo_balon t WHERE UPPER(TRIM(t.nombre)) = UPPER(TRIM('Gas Propano 10 kg'))) LIMIT 1;</t>
        </is>
      </c>
    </row>
    <row r="33">
      <c r="A33" s="84" t="inlineStr">
        <is>
          <t>OK</t>
        </is>
      </c>
      <c r="B33" s="84" t="inlineStr">
        <is>
          <t>Gas Propano 45 kg</t>
        </is>
      </c>
      <c r="C33" s="84" t="inlineStr">
        <is>
          <t>GAS PROPANO</t>
        </is>
      </c>
      <c r="D33" s="84" t="n">
        <v>45</v>
      </c>
      <c r="E33" s="84" t="inlineStr">
        <is>
          <t>KG</t>
        </is>
      </c>
      <c r="F33" s="84" t="inlineStr">
        <is>
          <t>INSERT INTO bal_tipo_balon (nombre, id_gas, capacidad, id_unidad_medida, estado, vigencia_ph_anios, id_usuario_creacion, id_usuario_modificacion) SELECT 'Gas Propano 45 kg', p.id, 45.0, (SELECT id FROM gen_lista_opciones lo JOIN gen_lista l ON l.id = lo.id_lista WHERE l.nombre = 'UnidadMedida' AND UPPER(lo.nombre) = UPPER('KG') AND lo.estado = 1 LIMIT 1), 1, 5, 1, 1 FROM pro_producto p WHERE p.es_gas = TRUE AND UPPER(TRIM(p.nombre)) = UPPER(TRIM('GAS PROPANO')) AND NOT EXISTS (SELECT 1 FROM bal_tipo_balon t WHERE UPPER(TRIM(t.nombre)) = UPPER(TRIM('Gas Propano 45 kg'))) LIMIT 1;</t>
        </is>
      </c>
    </row>
    <row r="34">
      <c r="A34" s="84" t="inlineStr">
        <is>
          <t>OK</t>
        </is>
      </c>
      <c r="B34" s="84" t="inlineStr">
        <is>
          <t>Nitrógeno 10 m³</t>
        </is>
      </c>
      <c r="C34" s="84" t="inlineStr">
        <is>
          <t>NITROGENO</t>
        </is>
      </c>
      <c r="D34" s="84" t="n">
        <v>10</v>
      </c>
      <c r="E34" s="84" t="inlineStr">
        <is>
          <t>MT3</t>
        </is>
      </c>
      <c r="F34" s="84" t="inlineStr">
        <is>
          <t>INSERT INTO bal_tipo_balon (nombre, id_gas, capacidad, id_unidad_medida, estado, vigencia_ph_anios, id_usuario_creacion, id_usuario_modificacion) SELECT 'Nitrógeno 10 m³', p.id, 10.0, (SELECT id FROM gen_lista_opciones lo JOIN gen_lista l ON l.id = lo.id_lista WHERE l.nombre = 'UnidadMedida' AND UPPER(lo.nombre) = UPPER('MT3') AND lo.estado = 1 LIMIT 1), 1, 5, 1, 1 FROM pro_producto p WHERE p.es_gas = TRUE AND UPPER(TRIM(p.nombre)) = UPPER(TRIM('NITROGENO')) AND NOT EXISTS (SELECT 1 FROM bal_tipo_balon t WHERE UPPER(TRIM(t.nombre)) = UPPER(TRIM('Nitrógeno 10 m³'))) LIMIT 1;</t>
        </is>
      </c>
    </row>
    <row r="35">
      <c r="A35" s="84" t="inlineStr">
        <is>
          <t>OK</t>
        </is>
      </c>
      <c r="B35" s="84" t="inlineStr">
        <is>
          <t>Nitrógeno 3 m³</t>
        </is>
      </c>
      <c r="C35" s="84" t="inlineStr">
        <is>
          <t>NITROGENO</t>
        </is>
      </c>
      <c r="D35" s="84" t="n">
        <v>3</v>
      </c>
      <c r="E35" s="84" t="inlineStr">
        <is>
          <t>MT3</t>
        </is>
      </c>
      <c r="F35" s="84" t="inlineStr">
        <is>
          <t>INSERT INTO bal_tipo_balon (nombre, id_gas, capacidad, id_unidad_medida, estado, vigencia_ph_anios, id_usuario_creacion, id_usuario_modificacion) SELECT 'Nitrógeno 3 m³', p.id, 3.0, (SELECT id FROM gen_lista_opciones lo JOIN gen_lista l ON l.id = lo.id_lista WHERE l.nombre = 'UnidadMedida' AND UPPER(lo.nombre) = UPPER('MT3') AND lo.estado = 1 LIMIT 1), 1, 5, 1, 1 FROM pro_producto p WHERE p.es_gas = TRUE AND UPPER(TRIM(p.nombre)) = UPPER(TRIM('NITROGENO')) AND NOT EXISTS (SELECT 1 FROM bal_tipo_balon t WHERE UPPER(TRIM(t.nombre)) = UPPER(TRIM('Nitrógeno 3 m³'))) LIMIT 1;</t>
        </is>
      </c>
    </row>
    <row r="36">
      <c r="A36" s="84" t="inlineStr">
        <is>
          <t>OK</t>
        </is>
      </c>
      <c r="B36" s="84" t="inlineStr">
        <is>
          <t>Nitrógeno 6 m³</t>
        </is>
      </c>
      <c r="C36" s="84" t="inlineStr">
        <is>
          <t>NITROGENO</t>
        </is>
      </c>
      <c r="D36" s="84" t="n">
        <v>6</v>
      </c>
      <c r="E36" s="84" t="inlineStr">
        <is>
          <t>MT3</t>
        </is>
      </c>
      <c r="F36" s="84" t="inlineStr">
        <is>
          <t>INSERT INTO bal_tipo_balon (nombre, id_gas, capacidad, id_unidad_medida, estado, vigencia_ph_anios, id_usuario_creacion, id_usuario_modificacion) SELECT 'Nitrógeno 6 m³', p.id, 6.0, (SELECT id FROM gen_lista_opciones lo JOIN gen_lista l ON l.id = lo.id_lista WHERE l.nombre = 'UnidadMedida' AND UPPER(lo.nombre) = UPPER('MT3') AND lo.estado = 1 LIMIT 1), 1, 5, 1, 1 FROM pro_producto p WHERE p.es_gas = TRUE AND UPPER(TRIM(p.nombre)) = UPPER(TRIM('NITROGENO')) AND NOT EXISTS (SELECT 1 FROM bal_tipo_balon t WHERE UPPER(TRIM(t.nombre)) = UPPER(TRIM('Nitrógeno 6 m³'))) LIMIT 1;</t>
        </is>
      </c>
    </row>
    <row r="37">
      <c r="A37" s="84" t="inlineStr">
        <is>
          <t>OK</t>
        </is>
      </c>
      <c r="B37" s="84" t="inlineStr">
        <is>
          <t>Oxigeno Industrial 1 m³</t>
        </is>
      </c>
      <c r="C37" s="84" t="inlineStr">
        <is>
          <t>OXIGENO INDUSTRIAL</t>
        </is>
      </c>
      <c r="D37" s="84" t="n">
        <v>1</v>
      </c>
      <c r="E37" s="84" t="inlineStr">
        <is>
          <t>MT3</t>
        </is>
      </c>
      <c r="F37" s="84" t="inlineStr">
        <is>
          <t>INSERT INTO bal_tipo_balon (nombre, id_gas, capacidad, id_unidad_medida, estado, vigencia_ph_anios, id_usuario_creacion, id_usuario_modificacion) SELECT 'Oxigeno Industrial 1 m³', p.id, 1.0, (SELECT id FROM gen_lista_opciones lo JOIN gen_lista l ON l.id = lo.id_lista WHERE l.nombre = 'UnidadMedida' AND UPPER(lo.nombre) = UPPER('MT3') AND lo.estado = 1 LIMIT 1), 1, 5, 1, 1 FROM pro_producto p WHERE p.es_gas = TRUE AND UPPER(TRIM(p.nombre)) = UPPER(TRIM('OXIGENO INDUSTRIAL')) AND NOT EXISTS (SELECT 1 FROM bal_tipo_balon t WHERE UPPER(TRIM(t.nombre)) = UPPER(TRIM('Oxigeno Industrial 1 m³'))) LIMIT 1;</t>
        </is>
      </c>
    </row>
    <row r="38">
      <c r="A38" s="84" t="inlineStr">
        <is>
          <t>OK</t>
        </is>
      </c>
      <c r="B38" s="84" t="inlineStr">
        <is>
          <t>Oxígeno Industrial 10 m³</t>
        </is>
      </c>
      <c r="C38" s="84" t="inlineStr">
        <is>
          <t>OXIGENO INDUSTRIAL</t>
        </is>
      </c>
      <c r="D38" s="84" t="n">
        <v>10</v>
      </c>
      <c r="E38" s="84" t="inlineStr">
        <is>
          <t>MT3</t>
        </is>
      </c>
      <c r="F38" s="84" t="inlineStr">
        <is>
          <t>INSERT INTO bal_tipo_balon (nombre, id_gas, capacidad, id_unidad_medida, estado, vigencia_ph_anios, id_usuario_creacion, id_usuario_modificacion) SELECT 'Oxígeno Industrial 10 m³', p.id, 10.0, (SELECT id FROM gen_lista_opciones lo JOIN gen_lista l ON l.id = lo.id_lista WHERE l.nombre = 'UnidadMedida' AND UPPER(lo.nombre) = UPPER('MT3') AND lo.estado = 1 LIMIT 1), 1, 5, 1, 1 FROM pro_producto p WHERE p.es_gas = TRUE AND UPPER(TRIM(p.nombre)) = UPPER(TRIM('OXIGENO INDUSTRIAL')) AND NOT EXISTS (SELECT 1 FROM bal_tipo_balon t WHERE UPPER(TRIM(t.nombre)) = UPPER(TRIM('Oxígeno Industrial 10 m³'))) LIMIT 1;</t>
        </is>
      </c>
    </row>
    <row r="39">
      <c r="A39" s="84" t="inlineStr">
        <is>
          <t>OK</t>
        </is>
      </c>
      <c r="B39" s="84" t="inlineStr">
        <is>
          <t>Oxigeno Industrial 2 m³</t>
        </is>
      </c>
      <c r="C39" s="84" t="inlineStr">
        <is>
          <t>OXIGENO INDUSTRIAL</t>
        </is>
      </c>
      <c r="D39" s="84" t="n">
        <v>2</v>
      </c>
      <c r="E39" s="84" t="inlineStr">
        <is>
          <t>MT3</t>
        </is>
      </c>
      <c r="F39" s="84" t="inlineStr">
        <is>
          <t>INSERT INTO bal_tipo_balon (nombre, id_gas, capacidad, id_unidad_medida, estado, vigencia_ph_anios, id_usuario_creacion, id_usuario_modificacion) SELECT 'Oxigeno Industrial 2 m³', p.id, 2.0, (SELECT id FROM gen_lista_opciones lo JOIN gen_lista l ON l.id = lo.id_lista WHERE l.nombre = 'UnidadMedida' AND UPPER(lo.nombre) = UPPER('MT3') AND lo.estado = 1 LIMIT 1), 1, 5, 1, 1 FROM pro_producto p WHERE p.es_gas = TRUE AND UPPER(TRIM(p.nombre)) = UPPER(TRIM('OXIGENO INDUSTRIAL')) AND NOT EXISTS (SELECT 1 FROM bal_tipo_balon t WHERE UPPER(TRIM(t.nombre)) = UPPER(TRIM('Oxigeno Industrial 2 m³'))) LIMIT 1;</t>
        </is>
      </c>
    </row>
    <row r="40">
      <c r="A40" s="84" t="inlineStr">
        <is>
          <t>OK</t>
        </is>
      </c>
      <c r="B40" s="84" t="inlineStr">
        <is>
          <t>Oxigeno Industrial 2.5 m³</t>
        </is>
      </c>
      <c r="C40" s="84" t="inlineStr">
        <is>
          <t>OXIGENO INDUSTRIAL</t>
        </is>
      </c>
      <c r="D40" s="84" t="n">
        <v>2.5</v>
      </c>
      <c r="E40" s="84" t="inlineStr">
        <is>
          <t>MT3</t>
        </is>
      </c>
      <c r="F40" s="84" t="inlineStr">
        <is>
          <t>INSERT INTO bal_tipo_balon (nombre, id_gas, capacidad, id_unidad_medida, estado, vigencia_ph_anios, id_usuario_creacion, id_usuario_modificacion) SELECT 'Oxigeno Industrial 2.5 m³', p.id, 2.5, (SELECT id FROM gen_lista_opciones lo JOIN gen_lista l ON l.id = lo.id_lista WHERE l.nombre = 'UnidadMedida' AND UPPER(lo.nombre) = UPPER('MT3') AND lo.estado = 1 LIMIT 1), 1, 5, 1, 1 FROM pro_producto p WHERE p.es_gas = TRUE AND UPPER(TRIM(p.nombre)) = UPPER(TRIM('OXIGENO INDUSTRIAL')) AND NOT EXISTS (SELECT 1 FROM bal_tipo_balon t WHERE UPPER(TRIM(t.nombre)) = UPPER(TRIM('Oxigeno Industrial 2.5 m³'))) LIMIT 1;</t>
        </is>
      </c>
    </row>
    <row r="41">
      <c r="A41" s="84" t="inlineStr">
        <is>
          <t>OK</t>
        </is>
      </c>
      <c r="B41" s="84" t="inlineStr">
        <is>
          <t>Oxigeno Industrial 3 m³</t>
        </is>
      </c>
      <c r="C41" s="84" t="inlineStr">
        <is>
          <t>OXIGENO INDUSTRIAL</t>
        </is>
      </c>
      <c r="D41" s="84" t="n">
        <v>3</v>
      </c>
      <c r="E41" s="84" t="inlineStr">
        <is>
          <t>MT3</t>
        </is>
      </c>
      <c r="F41" s="84" t="inlineStr">
        <is>
          <t>INSERT INTO bal_tipo_balon (nombre, id_gas, capacidad, id_unidad_medida, estado, vigencia_ph_anios, id_usuario_creacion, id_usuario_modificacion) SELECT 'Oxigeno Industrial 3 m³', p.id, 3.0, (SELECT id FROM gen_lista_opciones lo JOIN gen_lista l ON l.id = lo.id_lista WHERE l.nombre = 'UnidadMedida' AND UPPER(lo.nombre) = UPPER('MT3') AND lo.estado = 1 LIMIT 1), 1, 5, 1, 1 FROM pro_producto p WHERE p.es_gas = TRUE AND UPPER(TRIM(p.nombre)) = UPPER(TRIM('OXIGENO INDUSTRIAL')) AND NOT EXISTS (SELECT 1 FROM bal_tipo_balon t WHERE UPPER(TRIM(t.nombre)) = UPPER(TRIM('Oxigeno Industrial 3 m³'))) LIMIT 1;</t>
        </is>
      </c>
    </row>
    <row r="42">
      <c r="A42" s="84" t="inlineStr">
        <is>
          <t>OK</t>
        </is>
      </c>
      <c r="B42" s="84" t="inlineStr">
        <is>
          <t>Oxigeno Industrial 4 m³</t>
        </is>
      </c>
      <c r="C42" s="84" t="inlineStr">
        <is>
          <t>OXIGENO INDUSTRIAL</t>
        </is>
      </c>
      <c r="D42" s="84" t="n">
        <v>4</v>
      </c>
      <c r="E42" s="84" t="inlineStr">
        <is>
          <t>MT3</t>
        </is>
      </c>
      <c r="F42" s="84" t="inlineStr">
        <is>
          <t>INSERT INTO bal_tipo_balon (nombre, id_gas, capacidad, id_unidad_medida, estado, vigencia_ph_anios, id_usuario_creacion, id_usuario_modificacion) SELECT 'Oxigeno Industrial 4 m³', p.id, 4.0, (SELECT id FROM gen_lista_opciones lo JOIN gen_lista l ON l.id = lo.id_lista WHERE l.nombre = 'UnidadMedida' AND UPPER(lo.nombre) = UPPER('MT3') AND lo.estado = 1 LIMIT 1), 1, 5, 1, 1 FROM pro_producto p WHERE p.es_gas = TRUE AND UPPER(TRIM(p.nombre)) = UPPER(TRIM('OXIGENO INDUSTRIAL')) AND NOT EXISTS (SELECT 1 FROM bal_tipo_balon t WHERE UPPER(TRIM(t.nombre)) = UPPER(TRIM('Oxigeno Industrial 4 m³'))) LIMIT 1;</t>
        </is>
      </c>
    </row>
    <row r="43">
      <c r="A43" s="84" t="inlineStr">
        <is>
          <t>OK</t>
        </is>
      </c>
      <c r="B43" s="84" t="inlineStr">
        <is>
          <t>Oxígeno Industrial 6 m³</t>
        </is>
      </c>
      <c r="C43" s="84" t="inlineStr">
        <is>
          <t>OXIGENO INDUSTRIAL</t>
        </is>
      </c>
      <c r="D43" s="84" t="n">
        <v>6</v>
      </c>
      <c r="E43" s="84" t="inlineStr">
        <is>
          <t>MT3</t>
        </is>
      </c>
      <c r="F43" s="84" t="inlineStr">
        <is>
          <t>INSERT INTO bal_tipo_balon (nombre, id_gas, capacidad, id_unidad_medida, estado, vigencia_ph_anios, id_usuario_creacion, id_usuario_modificacion) SELECT 'Oxígeno Industrial 6 m³', p.id, 6.0, (SELECT id FROM gen_lista_opciones lo JOIN gen_lista l ON l.id = lo.id_lista WHERE l.nombre = 'UnidadMedida' AND UPPER(lo.nombre) = UPPER('MT3') AND lo.estado = 1 LIMIT 1), 1, 5, 1, 1 FROM pro_producto p WHERE p.es_gas = TRUE AND UPPER(TRIM(p.nombre)) = UPPER(TRIM('OXIGENO INDUSTRIAL')) AND NOT EXISTS (SELECT 1 FROM bal_tipo_balon t WHERE UPPER(TRIM(t.nombre)) = UPPER(TRIM('Oxígeno Industrial 6 m³'))) LIMIT 1;</t>
        </is>
      </c>
    </row>
    <row r="44">
      <c r="A44" s="84" t="inlineStr">
        <is>
          <t>OK</t>
        </is>
      </c>
      <c r="B44" s="84" t="inlineStr">
        <is>
          <t>Oxigeno Industrial 7 m³</t>
        </is>
      </c>
      <c r="C44" s="84" t="inlineStr">
        <is>
          <t>OXIGENO INDUSTRIAL</t>
        </is>
      </c>
      <c r="D44" s="84" t="n">
        <v>7</v>
      </c>
      <c r="E44" s="84" t="inlineStr">
        <is>
          <t>MT3</t>
        </is>
      </c>
      <c r="F44" s="84" t="inlineStr">
        <is>
          <t>INSERT INTO bal_tipo_balon (nombre, id_gas, capacidad, id_unidad_medida, estado, vigencia_ph_anios, id_usuario_creacion, id_usuario_modificacion) SELECT 'Oxigeno Industrial 7 m³', p.id, 7.0, (SELECT id FROM gen_lista_opciones lo JOIN gen_lista l ON l.id = lo.id_lista WHERE l.nombre = 'UnidadMedida' AND UPPER(lo.nombre) = UPPER('MT3') AND lo.estado = 1 LIMIT 1), 1, 5, 1, 1 FROM pro_producto p WHERE p.es_gas = TRUE AND UPPER(TRIM(p.nombre)) = UPPER(TRIM('OXIGENO INDUSTRIAL')) AND NOT EXISTS (SELECT 1 FROM bal_tipo_balon t WHERE UPPER(TRIM(t.nombre)) = UPPER(TRIM('Oxigeno Industrial 7 m³'))) LIMIT 1;</t>
        </is>
      </c>
    </row>
    <row r="45">
      <c r="A45" s="84" t="inlineStr">
        <is>
          <t>OK</t>
        </is>
      </c>
      <c r="B45" s="84" t="inlineStr">
        <is>
          <t>Oxigeno Industrial 8 m³</t>
        </is>
      </c>
      <c r="C45" s="84" t="inlineStr">
        <is>
          <t>OXIGENO INDUSTRIAL</t>
        </is>
      </c>
      <c r="D45" s="84" t="n">
        <v>8</v>
      </c>
      <c r="E45" s="84" t="inlineStr">
        <is>
          <t>MT3</t>
        </is>
      </c>
      <c r="F45" s="84" t="inlineStr">
        <is>
          <t>INSERT INTO bal_tipo_balon (nombre, id_gas, capacidad, id_unidad_medida, estado, vigencia_ph_anios, id_usuario_creacion, id_usuario_modificacion) SELECT 'Oxigeno Industrial 8 m³', p.id, 8.0, (SELECT id FROM gen_lista_opciones lo JOIN gen_lista l ON l.id = lo.id_lista WHERE l.nombre = 'UnidadMedida' AND UPPER(lo.nombre) = UPPER('MT3') AND lo.estado = 1 LIMIT 1), 1, 5, 1, 1 FROM pro_producto p WHERE p.es_gas = TRUE AND UPPER(TRIM(p.nombre)) = UPPER(TRIM('OXIGENO INDUSTRIAL')) AND NOT EXISTS (SELECT 1 FROM bal_tipo_balon t WHERE UPPER(TRIM(t.nombre)) = UPPER(TRIM('Oxigeno Industrial 8 m³'))) LIMIT 1;</t>
        </is>
      </c>
    </row>
    <row r="46">
      <c r="A46" s="84" t="inlineStr">
        <is>
          <t>OK</t>
        </is>
      </c>
      <c r="B46" s="84" t="inlineStr">
        <is>
          <t>Oxigeno Industrial de 1.5 m3</t>
        </is>
      </c>
      <c r="C46" s="84" t="inlineStr">
        <is>
          <t>OXIGENO INDUSTRIAL</t>
        </is>
      </c>
      <c r="D46" s="84" t="n">
        <v>1.5</v>
      </c>
      <c r="E46" s="84" t="inlineStr">
        <is>
          <t>MT3</t>
        </is>
      </c>
      <c r="F46" s="84" t="inlineStr">
        <is>
          <t>INSERT INTO bal_tipo_balon (nombre, id_gas, capacidad, id_unidad_medida, estado, vigencia_ph_anios, id_usuario_creacion, id_usuario_modificacion) SELECT 'Oxigeno Industrial de 1.5 m3', p.id, 1.5, (SELECT id FROM gen_lista_opciones lo JOIN gen_lista l ON l.id = lo.id_lista WHERE l.nombre = 'UnidadMedida' AND UPPER(lo.nombre) = UPPER('MT3') AND lo.estado = 1 LIMIT 1), 1, 5, 1, 1 FROM pro_producto p WHERE p.es_gas = TRUE AND UPPER(TRIM(p.nombre)) = UPPER(TRIM('OXIGENO INDUSTRIAL')) AND NOT EXISTS (SELECT 1 FROM bal_tipo_balon t WHERE UPPER(TRIM(t.nombre)) = UPPER(TRIM('Oxigeno Industrial de 1.5 m3'))) LIMIT 1;</t>
        </is>
      </c>
    </row>
    <row r="47">
      <c r="A47" s="84" t="inlineStr">
        <is>
          <t>OK</t>
        </is>
      </c>
      <c r="B47" s="84" t="inlineStr">
        <is>
          <t>Oxigeno Medicinal 1 m³</t>
        </is>
      </c>
      <c r="C47" s="84" t="inlineStr">
        <is>
          <t>OXIGENO MEDICINAL</t>
        </is>
      </c>
      <c r="D47" s="84" t="n">
        <v>1</v>
      </c>
      <c r="E47" s="84" t="inlineStr">
        <is>
          <t>MT3</t>
        </is>
      </c>
      <c r="F47" s="84" t="inlineStr">
        <is>
          <t>INSERT INTO bal_tipo_balon (nombre, id_gas, capacidad, id_unidad_medida, estado, vigencia_ph_anios, id_usuario_creacion, id_usuario_modificacion) SELECT 'Oxigeno Medicinal 1 m³', p.id, 1.0, (SELECT id FROM gen_lista_opciones lo JOIN gen_lista l ON l.id = lo.id_lista WHERE l.nombre = 'UnidadMedida' AND UPPER(lo.nombre) = UPPER('MT3') AND lo.estado = 1 LIMIT 1), 1, 5, 1, 1 FROM pro_producto p WHERE p.es_gas = TRUE AND UPPER(TRIM(p.nombre)) = UPPER(TRIM('OXIGENO MEDICINAL')) AND NOT EXISTS (SELECT 1 FROM bal_tipo_balon t WHERE UPPER(TRIM(t.nombre)) = UPPER(TRIM('Oxigeno Medicinal 1 m³'))) LIMIT 1;</t>
        </is>
      </c>
    </row>
    <row r="48">
      <c r="A48" s="84" t="inlineStr">
        <is>
          <t>OK</t>
        </is>
      </c>
      <c r="B48" s="84" t="inlineStr">
        <is>
          <t>Oxigeno Medicinal 1.5 m³</t>
        </is>
      </c>
      <c r="C48" s="84" t="inlineStr">
        <is>
          <t>OXIGENO MEDICINAL</t>
        </is>
      </c>
      <c r="D48" s="84" t="n">
        <v>1.5</v>
      </c>
      <c r="E48" s="84" t="inlineStr">
        <is>
          <t>MT3</t>
        </is>
      </c>
      <c r="F48" s="84" t="inlineStr">
        <is>
          <t>INSERT INTO bal_tipo_balon (nombre, id_gas, capacidad, id_unidad_medida, estado, vigencia_ph_anios, id_usuario_creacion, id_usuario_modificacion) SELECT 'Oxigeno Medicinal 1.5 m³', p.id, 1.5, (SELECT id FROM gen_lista_opciones lo JOIN gen_lista l ON l.id = lo.id_lista WHERE l.nombre = 'UnidadMedida' AND UPPER(lo.nombre) = UPPER('MT3') AND lo.estado = 1 LIMIT 1), 1, 5, 1, 1 FROM pro_producto p WHERE p.es_gas = TRUE AND UPPER(TRIM(p.nombre)) = UPPER(TRIM('OXIGENO MEDICINAL')) AND NOT EXISTS (SELECT 1 FROM bal_tipo_balon t WHERE UPPER(TRIM(t.nombre)) = UPPER(TRIM('Oxigeno Medicinal 1.5 m³'))) LIMIT 1;</t>
        </is>
      </c>
    </row>
    <row r="49">
      <c r="A49" s="84" t="inlineStr">
        <is>
          <t>OK</t>
        </is>
      </c>
      <c r="B49" s="84" t="inlineStr">
        <is>
          <t>Oxígeno Medicinal 10 m³</t>
        </is>
      </c>
      <c r="C49" s="84" t="inlineStr">
        <is>
          <t>OXIGENO MEDICINAL</t>
        </is>
      </c>
      <c r="D49" s="84" t="n">
        <v>10</v>
      </c>
      <c r="E49" s="84" t="inlineStr">
        <is>
          <t>MT3</t>
        </is>
      </c>
      <c r="F49" s="84" t="inlineStr">
        <is>
          <t>INSERT INTO bal_tipo_balon (nombre, id_gas, capacidad, id_unidad_medida, estado, vigencia_ph_anios, id_usuario_creacion, id_usuario_modificacion) SELECT 'Oxígeno Medicinal 10 m³', p.id, 10.0, (SELECT id FROM gen_lista_opciones lo JOIN gen_lista l ON l.id = lo.id_lista WHERE l.nombre = 'UnidadMedida' AND UPPER(lo.nombre) = UPPER('MT3') AND lo.estado = 1 LIMIT 1), 1, 5, 1, 1 FROM pro_producto p WHERE p.es_gas = TRUE AND UPPER(TRIM(p.nombre)) = UPPER(TRIM('OXIGENO MEDICINAL')) AND NOT EXISTS (SELECT 1 FROM bal_tipo_balon t WHERE UPPER(TRIM(t.nombre)) = UPPER(TRIM('Oxígeno Medicinal 10 m³'))) LIMIT 1;</t>
        </is>
      </c>
    </row>
    <row r="50">
      <c r="A50" s="84" t="inlineStr">
        <is>
          <t>OK</t>
        </is>
      </c>
      <c r="B50" s="84" t="inlineStr">
        <is>
          <t>Oxígeno Medicinal 3 m³</t>
        </is>
      </c>
      <c r="C50" s="84" t="inlineStr">
        <is>
          <t>OXIGENO MEDICINAL</t>
        </is>
      </c>
      <c r="D50" s="84" t="n">
        <v>3</v>
      </c>
      <c r="E50" s="84" t="inlineStr">
        <is>
          <t>MT3</t>
        </is>
      </c>
      <c r="F50" s="84" t="inlineStr">
        <is>
          <t>INSERT INTO bal_tipo_balon (nombre, id_gas, capacidad, id_unidad_medida, estado, vigencia_ph_anios, id_usuario_creacion, id_usuario_modificacion) SELECT 'Oxígeno Medicinal 3 m³', p.id, 3.0, (SELECT id FROM gen_lista_opciones lo JOIN gen_lista l ON l.id = lo.id_lista WHERE l.nombre = 'UnidadMedida' AND UPPER(lo.nombre) = UPPER('MT3') AND lo.estado = 1 LIMIT 1), 1, 5, 1, 1 FROM pro_producto p WHERE p.es_gas = TRUE AND UPPER(TRIM(p.nombre)) = UPPER(TRIM('OXIGENO MEDICINAL')) AND NOT EXISTS (SELECT 1 FROM bal_tipo_balon t WHERE UPPER(TRIM(t.nombre)) = UPPER(TRIM('Oxígeno Medicinal 3 m³'))) LIMIT 1;</t>
        </is>
      </c>
    </row>
    <row r="51">
      <c r="A51" s="84" t="inlineStr">
        <is>
          <t>OK</t>
        </is>
      </c>
      <c r="B51" s="84" t="inlineStr">
        <is>
          <t>Oxígeno Medicinal 6 m³</t>
        </is>
      </c>
      <c r="C51" s="84" t="inlineStr">
        <is>
          <t>OXIGENO MEDICINAL</t>
        </is>
      </c>
      <c r="D51" s="84" t="n">
        <v>6</v>
      </c>
      <c r="E51" s="84" t="inlineStr">
        <is>
          <t>MT3</t>
        </is>
      </c>
      <c r="F51" s="84" t="inlineStr">
        <is>
          <t>INSERT INTO bal_tipo_balon (nombre, id_gas, capacidad, id_unidad_medida, estado, vigencia_ph_anios, id_usuario_creacion, id_usuario_modificacion) SELECT 'Oxígeno Medicinal 6 m³', p.id, 6.0, (SELECT id FROM gen_lista_opciones lo JOIN gen_lista l ON l.id = lo.id_lista WHERE l.nombre = 'UnidadMedida' AND UPPER(lo.nombre) = UPPER('MT3') AND lo.estado = 1 LIMIT 1), 1, 5, 1, 1 FROM pro_producto p WHERE p.es_gas = TRUE AND UPPER(TRIM(p.nombre)) = UPPER(TRIM('OXIGENO MEDICINAL')) AND NOT EXISTS (SELECT 1 FROM bal_tipo_balon t WHERE UPPER(TRIM(t.nombre)) = UPPER(TRIM('Oxígeno Medicinal 6 m³'))) LIMIT 1;</t>
        </is>
      </c>
    </row>
    <row r="52">
      <c r="A52" s="84" t="inlineStr">
        <is>
          <t>OK</t>
        </is>
      </c>
      <c r="B52" s="84" t="inlineStr">
        <is>
          <t>Stargold Estandar de 10 m3</t>
        </is>
      </c>
      <c r="C52" s="84" t="inlineStr">
        <is>
          <t>STARGOLD ESTANDAR</t>
        </is>
      </c>
      <c r="D52" s="84" t="n">
        <v>10</v>
      </c>
      <c r="E52" s="84" t="inlineStr">
        <is>
          <t>MT3</t>
        </is>
      </c>
      <c r="F52" s="84" t="inlineStr">
        <is>
          <t>INSERT INTO bal_tipo_balon (nombre, id_gas, capacidad, id_unidad_medida, estado, vigencia_ph_anios, id_usuario_creacion, id_usuario_modificacion) SELECT 'Stargold Estandar de 10 m3', p.id, 10.0, (SELECT id FROM gen_lista_opciones lo JOIN gen_lista l ON l.id = lo.id_lista WHERE l.nombre = 'UnidadMedida' AND UPPER(lo.nombre) = UPPER('MT3') AND lo.estado = 1 LIMIT 1), 1, 5, 1, 1 FROM pro_producto p WHERE p.es_gas = TRUE AND UPPER(TRIM(p.nombre)) = UPPER(TRIM('STARGOLD ESTANDAR')) AND NOT EXISTS (SELECT 1 FROM bal_tipo_balon t WHERE UPPER(TRIM(t.nombre)) = UPPER(TRIM('Stargold Estandar de 10 m3'))) LIMIT 1;</t>
        </is>
      </c>
    </row>
    <row r="53">
      <c r="A53" s="84" t="inlineStr">
        <is>
          <t>OK</t>
        </is>
      </c>
      <c r="B53" s="84" t="inlineStr">
        <is>
          <t>Stargold Estandar de 3 m3</t>
        </is>
      </c>
      <c r="C53" s="84" t="inlineStr">
        <is>
          <t>STARGOLD ESTANDAR</t>
        </is>
      </c>
      <c r="D53" s="84" t="n">
        <v>3</v>
      </c>
      <c r="E53" s="84" t="inlineStr">
        <is>
          <t>MT3</t>
        </is>
      </c>
      <c r="F53" s="84" t="inlineStr">
        <is>
          <t>INSERT INTO bal_tipo_balon (nombre, id_gas, capacidad, id_unidad_medida, estado, vigencia_ph_anios, id_usuario_creacion, id_usuario_modificacion) SELECT 'Stargold Estandar de 3 m3', p.id, 3.0, (SELECT id FROM gen_lista_opciones lo JOIN gen_lista l ON l.id = lo.id_lista WHERE l.nombre = 'UnidadMedida' AND UPPER(lo.nombre) = UPPER('MT3') AND lo.estado = 1 LIMIT 1), 1, 5, 1, 1 FROM pro_producto p WHERE p.es_gas = TRUE AND UPPER(TRIM(p.nombre)) = UPPER(TRIM('STARGOLD ESTANDAR')) AND NOT EXISTS (SELECT 1 FROM bal_tipo_balon t WHERE UPPER(TRIM(t.nombre)) = UPPER(TRIM('Stargold Estandar de 3 m3'))) LIMIT 1;</t>
        </is>
      </c>
    </row>
    <row r="54">
      <c r="A54" s="84" t="inlineStr">
        <is>
          <t>OK</t>
        </is>
      </c>
      <c r="B54" s="84" t="inlineStr">
        <is>
          <t>Stargold Estandar de 6 m3</t>
        </is>
      </c>
      <c r="C54" s="84" t="inlineStr">
        <is>
          <t>STARGOLD ESTANDAR</t>
        </is>
      </c>
      <c r="D54" s="84" t="n">
        <v>6</v>
      </c>
      <c r="E54" s="84" t="inlineStr">
        <is>
          <t>MT3</t>
        </is>
      </c>
      <c r="F54" s="84" t="inlineStr">
        <is>
          <t>INSERT INTO bal_tipo_balon (nombre, id_gas, capacidad, id_unidad_medida, estado, vigencia_ph_anios, id_usuario_creacion, id_usuario_modificacion) SELECT 'Stargold Estandar de 6 m3', p.id, 6.0, (SELECT id FROM gen_lista_opciones lo JOIN gen_lista l ON l.id = lo.id_lista WHERE l.nombre = 'UnidadMedida' AND UPPER(lo.nombre) = UPPER('MT3') AND lo.estado = 1 LIMIT 1), 1, 5, 1, 1 FROM pro_producto p WHERE p.es_gas = TRUE AND UPPER(TRIM(p.nombre)) = UPPER(TRIM('STARGOLD ESTANDAR')) AND NOT EXISTS (SELECT 1 FROM bal_tipo_balon t WHERE UPPER(TRIM(t.nombre)) = UPPER(TRIM('Stargold Estandar de 6 m3'))) LIMIT 1;</t>
        </is>
      </c>
    </row>
    <row r="55">
      <c r="A55" s="84" t="inlineStr">
        <is>
          <t>OK</t>
        </is>
      </c>
      <c r="B55" s="84" t="inlineStr">
        <is>
          <t>Stargold Estandar de 7 m3</t>
        </is>
      </c>
      <c r="C55" s="84" t="inlineStr">
        <is>
          <t>STARGOLD ESTANDAR</t>
        </is>
      </c>
      <c r="D55" s="84" t="n">
        <v>7</v>
      </c>
      <c r="E55" s="84" t="inlineStr">
        <is>
          <t>MT3</t>
        </is>
      </c>
      <c r="F55" s="84" t="inlineStr">
        <is>
          <t>INSERT INTO bal_tipo_balon (nombre, id_gas, capacidad, id_unidad_medida, estado, vigencia_ph_anios, id_usuario_creacion, id_usuario_modificacion) SELECT 'Stargold Estandar de 7 m3', p.id, 7.0, (SELECT id FROM gen_lista_opciones lo JOIN gen_lista l ON l.id = lo.id_lista WHERE l.nombre = 'UnidadMedida' AND UPPER(lo.nombre) = UPPER('MT3') AND lo.estado = 1 LIMIT 1), 1, 5, 1, 1 FROM pro_producto p WHERE p.es_gas = TRUE AND UPPER(TRIM(p.nombre)) = UPPER(TRIM('STARGOLD ESTANDAR')) AND NOT EXISTS (SELECT 1 FROM bal_tipo_balon t WHERE UPPER(TRIM(t.nombre)) = UPPER(TRIM('Stargold Estandar de 7 m3'))) LIMIT 1;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50"/>
  <sheetViews>
    <sheetView workbookViewId="0">
      <pane ySplit="4" topLeftCell="A5" activePane="bottomLeft" state="frozen"/>
      <selection pane="bottomLeft" activeCell="D5" sqref="D5"/>
    </sheetView>
  </sheetViews>
  <sheetFormatPr baseColWidth="10" defaultColWidth="14.42578125" defaultRowHeight="15" customHeight="1"/>
  <cols>
    <col width="22.42578125" customWidth="1" style="64" min="1" max="1"/>
    <col width="16" customWidth="1" style="64" min="2" max="3"/>
    <col width="41.28515625" customWidth="1" style="64" min="4" max="4"/>
    <col width="38.5703125" customWidth="1" style="64" min="5" max="5"/>
    <col width="18" customWidth="1" style="64" min="6" max="7"/>
    <col width="16" customWidth="1" style="64" min="8" max="8"/>
    <col width="18" customWidth="1" style="64" min="9" max="9"/>
    <col width="64.42578125" customWidth="1" style="64" min="10" max="10"/>
    <col width="26" customWidth="1" style="64" min="11" max="11"/>
    <col width="16" customWidth="1" style="64" min="12" max="12"/>
    <col width="26" customWidth="1" style="64" min="13" max="13"/>
    <col width="14" customWidth="1" style="64" min="14" max="14"/>
    <col width="30" customWidth="1" style="64" min="15" max="15"/>
    <col hidden="1" width="60" customWidth="1" style="64" min="16" max="16"/>
    <col width="8.5703125" customWidth="1" style="64" min="17" max="26"/>
  </cols>
  <sheetData>
    <row r="1" ht="18" customHeight="1" s="64">
      <c r="A1" s="1" t="n"/>
      <c r="B1" s="65" t="inlineStr">
        <is>
          <t>1) CLIENTES  →  tabla cli_clientes (función cli_crear_clientes)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66" t="inlineStr">
        <is>
          <t>Llenar PRIMERO esta hoja. Debe indicar Razón social (empresa) O Nombres (persona). El N° de documento no puede repetirse y se usa como llave en las demás hojas. La dirección de esta hoja queda como dirección principal.</t>
        </is>
      </c>
      <c r="N2" s="1" t="n"/>
      <c r="O2" s="1" t="n"/>
      <c r="P2" s="1" t="n"/>
    </row>
    <row r="3" ht="25.5" customHeight="1" s="64">
      <c r="A3" s="14" t="inlineStr">
        <is>
          <t>(validación)</t>
        </is>
      </c>
      <c r="B3" s="14" t="inlineStr">
        <is>
          <t>id_tipo_documento</t>
        </is>
      </c>
      <c r="C3" s="14" t="inlineStr">
        <is>
          <t>numero_documento</t>
        </is>
      </c>
      <c r="D3" s="14" t="inlineStr">
        <is>
          <t>razon_social</t>
        </is>
      </c>
      <c r="E3" s="14" t="inlineStr">
        <is>
          <t>nombres</t>
        </is>
      </c>
      <c r="F3" s="14" t="inlineStr">
        <is>
          <t>apellido_paterno</t>
        </is>
      </c>
      <c r="G3" s="14" t="inlineStr">
        <is>
          <t>apellido_materno</t>
        </is>
      </c>
      <c r="H3" s="14" t="inlineStr">
        <is>
          <t>id_tipo_persona</t>
        </is>
      </c>
      <c r="I3" s="14" t="inlineStr">
        <is>
          <t>id_tipo_cliente</t>
        </is>
      </c>
      <c r="J3" s="14" t="inlineStr">
        <is>
          <t>cli_direcciones.direccion (principal)</t>
        </is>
      </c>
      <c r="K3" s="14" t="inlineStr">
        <is>
          <t>cli_direcciones.referencia</t>
        </is>
      </c>
      <c r="L3" s="14" t="inlineStr">
        <is>
          <t>telefono</t>
        </is>
      </c>
      <c r="M3" s="14" t="inlineStr">
        <is>
          <t>email</t>
        </is>
      </c>
      <c r="N3" s="14" t="inlineStr">
        <is>
          <t>codigo_interno</t>
        </is>
      </c>
      <c r="O3" s="14" t="inlineStr">
        <is>
          <t>observacion</t>
        </is>
      </c>
      <c r="P3" s="14" t="inlineStr">
        <is>
          <t>(sentencia SQL)</t>
        </is>
      </c>
    </row>
    <row r="4" ht="42" customHeight="1" s="64">
      <c r="A4" s="15" t="inlineStr">
        <is>
          <t>Chequeo</t>
        </is>
      </c>
      <c r="B4" s="16" t="inlineStr">
        <is>
          <t>Tipo documento</t>
        </is>
      </c>
      <c r="C4" s="17" t="inlineStr">
        <is>
          <t>N° documento</t>
        </is>
      </c>
      <c r="D4" s="18" t="inlineStr">
        <is>
          <t>Razón social</t>
        </is>
      </c>
      <c r="E4" s="18" t="inlineStr">
        <is>
          <t>Nombres</t>
        </is>
      </c>
      <c r="F4" s="16" t="inlineStr">
        <is>
          <t>Apellido paterno</t>
        </is>
      </c>
      <c r="G4" s="16" t="inlineStr">
        <is>
          <t>Apellido materno</t>
        </is>
      </c>
      <c r="H4" s="16" t="inlineStr">
        <is>
          <t>Tipo persona</t>
        </is>
      </c>
      <c r="I4" s="16" t="inlineStr">
        <is>
          <t>Tipo cliente</t>
        </is>
      </c>
      <c r="J4" s="16" t="inlineStr">
        <is>
          <t>Dirección principal</t>
        </is>
      </c>
      <c r="K4" s="19" t="inlineStr">
        <is>
          <t>Referencia</t>
        </is>
      </c>
      <c r="L4" s="16" t="inlineStr">
        <is>
          <t>Teléfono</t>
        </is>
      </c>
      <c r="M4" s="19" t="inlineStr">
        <is>
          <t>Email</t>
        </is>
      </c>
      <c r="N4" s="19" t="inlineStr">
        <is>
          <t>Código interno</t>
        </is>
      </c>
      <c r="O4" s="19" t="inlineStr">
        <is>
          <t>Observación</t>
        </is>
      </c>
      <c r="P4" s="20" t="inlineStr">
        <is>
          <t>SQL</t>
        </is>
      </c>
    </row>
    <row r="5">
      <c r="A5" s="25">
        <f>IF(AND(D5="",E5="",C5=""),"",IF(AND(D5="",E5=""),"FALTA razón social o nombres",IF(AND(C5&lt;&gt;"",SUMPRODUCT(--($C$5:$C$549=C5))&gt;1),"DOCUMENTO DUPLICADO",IF(AND(B5="DNI",C5&lt;&gt;"",LEN(C5&amp;"")&lt;&gt;8),"DNI debe tener 8 dígitos",IF(AND(B5="RUC",C5&lt;&gt;"",LEN(C5&amp;"")&lt;&gt;11),"RUC debe tener 11 dígitos",IF(AND(N5&lt;&gt;"",SUMPRODUCT(--($N$5:$N$549=N5))&gt;1),"CÓDIGO INTERNO DUPLICADO","OK"))))))</f>
        <v/>
      </c>
      <c r="B5" s="17" t="inlineStr">
        <is>
          <t>RUC</t>
        </is>
      </c>
      <c r="C5" s="26" t="inlineStr">
        <is>
          <t>20608006738</t>
        </is>
      </c>
      <c r="D5" s="17" t="inlineStr">
        <is>
          <t>ACEROX GUZMAN S.A.C.</t>
        </is>
      </c>
      <c r="E5" s="17" t="n"/>
      <c r="F5" s="17" t="n"/>
      <c r="G5" s="17" t="n"/>
      <c r="H5" s="17" t="inlineStr">
        <is>
          <t>Persona Jurídica</t>
        </is>
      </c>
      <c r="I5" s="17" t="inlineStr">
        <is>
          <t>Cliente</t>
        </is>
      </c>
      <c r="J5" s="17" t="n"/>
      <c r="K5" s="17" t="n"/>
      <c r="L5" s="23" t="n"/>
      <c r="M5" s="17" t="n"/>
      <c r="N5" s="23" t="n"/>
      <c r="O5" s="17" t="n"/>
      <c r="P5" s="28">
        <f>IF(A5&lt;&gt;"OK","","SELECT cli_crear_clientes(p_codigo_interno =&gt; "&amp;IF(TRIM(N5&amp;"")="","NULL","'"&amp;SUBSTITUTE(TRIM(N5),"'","''")&amp;"'")&amp;", p_razon_social =&gt; "&amp;IF(TRIM(D5&amp;"")="","NULL","'"&amp;SUBSTITUTE(TRIM(D5),"'","''")&amp;"'")&amp;", p_id_tipo_cliente =&gt; "&amp;IF(TRIM(I5&amp;"")="","NULL","(SELECT lo.id FROM gen_lista_opciones lo JOIN gen_lista l ON l.id = lo.id_lista WHERE l.nombre = 'TipoCliente' AND upper(lo.nombre) = upper('"&amp;SUBSTITUTE(TRIM(I5),"'","''")&amp;"') AND lo.estado = 1 LIMIT 1)")&amp;", p_id_tipo_persona =&gt; "&amp;IF(TRIM(H5&amp;"")="","NULL","(SELECT lo.id FROM gen_lista_opciones lo JOIN gen_lista l ON l.id = lo.id_lista WHERE l.nombre = 'TipoPersona' AND upper(lo.nombre) = upper('"&amp;SUBSTITUTE(TRIM(H5),"'","''")&amp;"') AND lo.estado = 1 LIMIT 1)")&amp;", p_nombres =&gt; "&amp;IF(TRIM(E5&amp;"")="","NULL","'"&amp;SUBSTITUTE(TRIM(E5),"'","''")&amp;"'")&amp;", p_apellido_paterno =&gt; "&amp;IF(TRIM(F5&amp;"")="","NULL","'"&amp;SUBSTITUTE(TRIM(F5),"'","''")&amp;"'")&amp;", p_apellido_materno =&gt; "&amp;IF(TRIM(G5&amp;"")="","NULL","'"&amp;SUBSTITUTE(TRIM(G5),"'","''")&amp;"'")&amp;", p_id_tipo_documento =&gt; "&amp;IF(TRIM(B5&amp;"")="","NULL","(SELECT lo.id FROM gen_lista_opciones lo JOIN gen_lista l ON l.id = lo.id_lista WHERE l.nombre = 'TipoDocumento' AND upper(lo.nombre) = upper('"&amp;SUBSTITUTE(TRIM(B5),"'","''")&amp;"') AND lo.estado = 1 LIMIT 1)")&amp;", p_numero_documento =&gt; "&amp;IF(TRIM(C5&amp;"")="","NULL","'"&amp;SUBSTITUTE(TRIM(C5),"'","''")&amp;"'")&amp;", p_telefono =&gt; "&amp;IF(TRIM(L5&amp;"")="","NULL","'"&amp;SUBSTITUTE(TRIM(L5),"'","''")&amp;"'")&amp;", p_email =&gt; "&amp;IF(TRIM(M5&amp;"")="","NULL","'"&amp;SUBSTITUTE(TRIM(M5),"'","''")&amp;"'")&amp;", p_observacion =&gt; "&amp;IF(TRIM(O5&amp;"")="","NULL","'"&amp;SUBSTITUTE(TRIM(O5),"'","''")&amp;"'")&amp;", p_direccion =&gt; "&amp;IF(TRIM(J5&amp;"")="","NULL","'"&amp;SUBSTITUTE(TRIM(J5),"'","''")&amp;"'")&amp;", p_referencia =&gt; "&amp;IF(TRIM(K5&amp;"")="","NULL","'"&amp;SUBSTITUTE(TRIM(K5),"'","''")&amp;"'")&amp;") AS resultado_cliente_"&amp;ROW()&amp;";")</f>
        <v/>
      </c>
    </row>
    <row r="6" ht="17.25" customHeight="1" s="64">
      <c r="A6" s="25">
        <f>IF(AND(D6="",E6="",C6=""),"",IF(AND(D6="",E6=""),"FALTA razón social o nombres",IF(AND(C6&lt;&gt;"",SUMPRODUCT(--($C$5:$C$549=C6))&gt;1),"DOCUMENTO DUPLICADO",IF(AND(B6="DNI",C6&lt;&gt;"",LEN(C6&amp;"")&lt;&gt;8),"DNI debe tener 8 dígitos",IF(AND(B6="RUC",C6&lt;&gt;"",LEN(C6&amp;"")&lt;&gt;11),"RUC debe tener 11 dígitos",IF(AND(N6&lt;&gt;"",SUMPRODUCT(--($N$5:$N$549=N6))&gt;1),"CÓDIGO INTERNO DUPLICADO","OK"))))))</f>
        <v/>
      </c>
      <c r="B6" s="17" t="inlineStr">
        <is>
          <t>RUC</t>
        </is>
      </c>
      <c r="C6" s="23" t="inlineStr">
        <is>
          <t>10448235012</t>
        </is>
      </c>
      <c r="D6" s="17" t="inlineStr">
        <is>
          <t>AGUILAR HERRERA EDILBERTO</t>
        </is>
      </c>
      <c r="E6" s="17" t="n"/>
      <c r="F6" s="17" t="n"/>
      <c r="G6" s="17" t="n"/>
      <c r="H6" s="17" t="inlineStr">
        <is>
          <t>Persona Jurídica</t>
        </is>
      </c>
      <c r="I6" s="17" t="inlineStr">
        <is>
          <t>Cliente</t>
        </is>
      </c>
      <c r="J6" s="17" t="n"/>
      <c r="K6" s="17" t="n"/>
      <c r="L6" s="23" t="n"/>
      <c r="M6" s="17" t="n"/>
      <c r="N6" s="23" t="n"/>
      <c r="O6" s="17" t="n"/>
      <c r="P6" s="28">
        <f>IF(A6&lt;&gt;"OK","","SELECT cli_crear_clientes(p_codigo_interno =&gt; "&amp;IF(TRIM(N6&amp;"")="","NULL","'"&amp;SUBSTITUTE(TRIM(N6),"'","''")&amp;"'")&amp;", p_razon_social =&gt; "&amp;IF(TRIM(D6&amp;"")="","NULL","'"&amp;SUBSTITUTE(TRIM(D6),"'","''")&amp;"'")&amp;", p_id_tipo_cliente =&gt; "&amp;IF(TRIM(I6&amp;"")="","NULL","(SELECT lo.id FROM gen_lista_opciones lo JOIN gen_lista l ON l.id = lo.id_lista WHERE l.nombre = 'TipoCliente' AND upper(lo.nombre) = upper('"&amp;SUBSTITUTE(TRIM(I6),"'","''")&amp;"') AND lo.estado = 1 LIMIT 1)")&amp;", p_id_tipo_persona =&gt; "&amp;IF(TRIM(H6&amp;"")="","NULL","(SELECT lo.id FROM gen_lista_opciones lo JOIN gen_lista l ON l.id = lo.id_lista WHERE l.nombre = 'TipoPersona' AND upper(lo.nombre) = upper('"&amp;SUBSTITUTE(TRIM(H6),"'","''")&amp;"') AND lo.estado = 1 LIMIT 1)")&amp;", p_nombres =&gt; "&amp;IF(TRIM(E6&amp;"")="","NULL","'"&amp;SUBSTITUTE(TRIM(E6),"'","''")&amp;"'")&amp;", p_apellido_paterno =&gt; "&amp;IF(TRIM(F6&amp;"")="","NULL","'"&amp;SUBSTITUTE(TRIM(F6),"'","''")&amp;"'")&amp;", p_apellido_materno =&gt; "&amp;IF(TRIM(G6&amp;"")="","NULL","'"&amp;SUBSTITUTE(TRIM(G6),"'","''")&amp;"'")&amp;", p_id_tipo_documento =&gt; "&amp;IF(TRIM(B6&amp;"")="","NULL","(SELECT lo.id FROM gen_lista_opciones lo JOIN gen_lista l ON l.id = lo.id_lista WHERE l.nombre = 'TipoDocumento' AND upper(lo.nombre) = upper('"&amp;SUBSTITUTE(TRIM(B6),"'","''")&amp;"') AND lo.estado = 1 LIMIT 1)")&amp;", p_numero_documento =&gt; "&amp;IF(TRIM(C6&amp;"")="","NULL","'"&amp;SUBSTITUTE(TRIM(C6),"'","''")&amp;"'")&amp;", p_telefono =&gt; "&amp;IF(TRIM(L6&amp;"")="","NULL","'"&amp;SUBSTITUTE(TRIM(L6),"'","''")&amp;"'")&amp;", p_email =&gt; "&amp;IF(TRIM(M6&amp;"")="","NULL","'"&amp;SUBSTITUTE(TRIM(M6),"'","''")&amp;"'")&amp;", p_observacion =&gt; "&amp;IF(TRIM(O6&amp;"")="","NULL","'"&amp;SUBSTITUTE(TRIM(O6),"'","''")&amp;"'")&amp;", p_direccion =&gt; "&amp;IF(TRIM(J6&amp;"")="","NULL","'"&amp;SUBSTITUTE(TRIM(J6),"'","''")&amp;"'")&amp;", p_referencia =&gt; "&amp;IF(TRIM(K6&amp;"")="","NULL","'"&amp;SUBSTITUTE(TRIM(K6),"'","''")&amp;"'")&amp;") AS resultado_cliente_"&amp;ROW()&amp;";")</f>
        <v/>
      </c>
    </row>
    <row r="7">
      <c r="A7" s="25">
        <f>IF(AND(D7="",E7="",C7=""),"",IF(AND(D7="",E7=""),"FALTA razón social o nombres",IF(AND(C7&lt;&gt;"",SUMPRODUCT(--($C$5:$C$549=C7))&gt;1),"DOCUMENTO DUPLICADO",IF(AND(B7="DNI",C7&lt;&gt;"",LEN(C7&amp;"")&lt;&gt;8),"DNI debe tener 8 dígitos",IF(AND(B7="RUC",C7&lt;&gt;"",LEN(C7&amp;"")&lt;&gt;11),"RUC debe tener 11 dígitos",IF(AND(N7&lt;&gt;"",SUMPRODUCT(--($N$5:$N$549=N7))&gt;1),"CÓDIGO INTERNO DUPLICADO","OK"))))))</f>
        <v/>
      </c>
      <c r="B7" s="17" t="inlineStr">
        <is>
          <t>RUC</t>
        </is>
      </c>
      <c r="C7" s="23" t="inlineStr">
        <is>
          <t>20604549401</t>
        </is>
      </c>
      <c r="D7" s="17" t="inlineStr">
        <is>
          <t>AIRPROJECT &amp; CARBIDE PERU S.A.C. - AIRPROJECT &amp; CARBIDE S.A.C.</t>
        </is>
      </c>
      <c r="E7" s="17" t="n"/>
      <c r="F7" s="17" t="n"/>
      <c r="G7" s="17" t="n"/>
      <c r="H7" s="17" t="inlineStr">
        <is>
          <t>Persona Jurídica</t>
        </is>
      </c>
      <c r="I7" s="17" t="inlineStr">
        <is>
          <t>Proveedor</t>
        </is>
      </c>
      <c r="J7" s="17" t="inlineStr">
        <is>
          <t xml:space="preserve">MZA. B LOTE. 8 OTR. CP SOL Y CAMPO (COSTADO GRIFO CAMPO SOL) </t>
        </is>
      </c>
      <c r="K7" s="17" t="n"/>
      <c r="L7" s="23" t="n"/>
      <c r="M7" s="17" t="n"/>
      <c r="N7" s="23" t="n"/>
      <c r="O7" s="17" t="n"/>
      <c r="P7" s="28">
        <f>IF(A7&lt;&gt;"OK","","SELECT cli_crear_clientes(p_codigo_interno =&gt; "&amp;IF(TRIM(N7&amp;"")="","NULL","'"&amp;SUBSTITUTE(TRIM(N7),"'","''")&amp;"'")&amp;", p_razon_social =&gt; "&amp;IF(TRIM(D7&amp;"")="","NULL","'"&amp;SUBSTITUTE(TRIM(D7),"'","''")&amp;"'")&amp;", p_id_tipo_cliente =&gt; "&amp;IF(TRIM(I7&amp;"")="","NULL","(SELECT lo.id FROM gen_lista_opciones lo JOIN gen_lista l ON l.id = lo.id_lista WHERE l.nombre = 'TipoCliente' AND upper(lo.nombre) = upper('"&amp;SUBSTITUTE(TRIM(I7),"'","''")&amp;"') AND lo.estado = 1 LIMIT 1)")&amp;", p_id_tipo_persona =&gt; "&amp;IF(TRIM(H7&amp;"")="","NULL","(SELECT lo.id FROM gen_lista_opciones lo JOIN gen_lista l ON l.id = lo.id_lista WHERE l.nombre = 'TipoPersona' AND upper(lo.nombre) = upper('"&amp;SUBSTITUTE(TRIM(H7),"'","''")&amp;"') AND lo.estado = 1 LIMIT 1)")&amp;", p_nombres =&gt; "&amp;IF(TRIM(E7&amp;"")="","NULL","'"&amp;SUBSTITUTE(TRIM(E7),"'","''")&amp;"'")&amp;", p_apellido_paterno =&gt; "&amp;IF(TRIM(F7&amp;"")="","NULL","'"&amp;SUBSTITUTE(TRIM(F7),"'","''")&amp;"'")&amp;", p_apellido_materno =&gt; "&amp;IF(TRIM(G7&amp;"")="","NULL","'"&amp;SUBSTITUTE(TRIM(G7),"'","''")&amp;"'")&amp;", p_id_tipo_documento =&gt; "&amp;IF(TRIM(B7&amp;"")="","NULL","(SELECT lo.id FROM gen_lista_opciones lo JOIN gen_lista l ON l.id = lo.id_lista WHERE l.nombre = 'TipoDocumento' AND upper(lo.nombre) = upper('"&amp;SUBSTITUTE(TRIM(B7),"'","''")&amp;"') AND lo.estado = 1 LIMIT 1)")&amp;", p_numero_documento =&gt; "&amp;IF(TRIM(C7&amp;"")="","NULL","'"&amp;SUBSTITUTE(TRIM(C7),"'","''")&amp;"'")&amp;", p_telefono =&gt; "&amp;IF(TRIM(L7&amp;"")="","NULL","'"&amp;SUBSTITUTE(TRIM(L7),"'","''")&amp;"'")&amp;", p_email =&gt; "&amp;IF(TRIM(M7&amp;"")="","NULL","'"&amp;SUBSTITUTE(TRIM(M7),"'","''")&amp;"'")&amp;", p_observacion =&gt; "&amp;IF(TRIM(O7&amp;"")="","NULL","'"&amp;SUBSTITUTE(TRIM(O7),"'","''")&amp;"'")&amp;", p_direccion =&gt; "&amp;IF(TRIM(J7&amp;"")="","NULL","'"&amp;SUBSTITUTE(TRIM(J7),"'","''")&amp;"'")&amp;", p_referencia =&gt; "&amp;IF(TRIM(K7&amp;"")="","NULL","'"&amp;SUBSTITUTE(TRIM(K7),"'","''")&amp;"'")&amp;") AS resultado_cliente_"&amp;ROW()&amp;";")</f>
        <v/>
      </c>
    </row>
    <row r="8">
      <c r="A8" s="25">
        <f>IF(AND(D8="",E8="",C8=""),"",IF(AND(D8="",E8=""),"FALTA razón social o nombres",IF(AND(C8&lt;&gt;"",SUMPRODUCT(--($C$5:$C$549=C8))&gt;1),"DOCUMENTO DUPLICADO",IF(AND(B8="DNI",C8&lt;&gt;"",LEN(C8&amp;"")&lt;&gt;8),"DNI debe tener 8 dígitos",IF(AND(B8="RUC",C8&lt;&gt;"",LEN(C8&amp;"")&lt;&gt;11),"RUC debe tener 11 dígitos",IF(AND(N8&lt;&gt;"",SUMPRODUCT(--($N$5:$N$549=N8))&gt;1),"CÓDIGO INTERNO DUPLICADO","OK"))))))</f>
        <v/>
      </c>
      <c r="B8" s="17" t="inlineStr">
        <is>
          <t>RUC</t>
        </is>
      </c>
      <c r="C8" s="23" t="inlineStr">
        <is>
          <t>20480823860</t>
        </is>
      </c>
      <c r="D8" s="17" t="inlineStr">
        <is>
          <t>ALIAZIONE COSTRUZIONE E SALDATURA E.I.R.L.</t>
        </is>
      </c>
      <c r="E8" s="17" t="n"/>
      <c r="F8" s="17" t="n"/>
      <c r="G8" s="17" t="n"/>
      <c r="H8" s="17" t="inlineStr">
        <is>
          <t>Persona Jurídica</t>
        </is>
      </c>
      <c r="I8" s="17" t="inlineStr">
        <is>
          <t>Cliente</t>
        </is>
      </c>
      <c r="J8" s="17" t="n"/>
      <c r="K8" s="17" t="n"/>
      <c r="L8" s="23" t="n"/>
      <c r="M8" s="17" t="n"/>
      <c r="N8" s="23" t="n"/>
      <c r="O8" s="17" t="n"/>
      <c r="P8" s="28">
        <f>IF(A8&lt;&gt;"OK","","SELECT cli_crear_clientes(p_codigo_interno =&gt; "&amp;IF(TRIM(N8&amp;"")="","NULL","'"&amp;SUBSTITUTE(TRIM(N8),"'","''")&amp;"'")&amp;", p_razon_social =&gt; "&amp;IF(TRIM(D8&amp;"")="","NULL","'"&amp;SUBSTITUTE(TRIM(D8),"'","''")&amp;"'")&amp;", p_id_tipo_cliente =&gt; "&amp;IF(TRIM(I8&amp;"")="","NULL","(SELECT lo.id FROM gen_lista_opciones lo JOIN gen_lista l ON l.id = lo.id_lista WHERE l.nombre = 'TipoCliente' AND upper(lo.nombre) = upper('"&amp;SUBSTITUTE(TRIM(I8),"'","''")&amp;"') AND lo.estado = 1 LIMIT 1)")&amp;", p_id_tipo_persona =&gt; "&amp;IF(TRIM(H8&amp;"")="","NULL","(SELECT lo.id FROM gen_lista_opciones lo JOIN gen_lista l ON l.id = lo.id_lista WHERE l.nombre = 'TipoPersona' AND upper(lo.nombre) = upper('"&amp;SUBSTITUTE(TRIM(H8),"'","''")&amp;"') AND lo.estado = 1 LIMIT 1)")&amp;", p_nombres =&gt; "&amp;IF(TRIM(E8&amp;"")="","NULL","'"&amp;SUBSTITUTE(TRIM(E8),"'","''")&amp;"'")&amp;", p_apellido_paterno =&gt; "&amp;IF(TRIM(F8&amp;"")="","NULL","'"&amp;SUBSTITUTE(TRIM(F8),"'","''")&amp;"'")&amp;", p_apellido_materno =&gt; "&amp;IF(TRIM(G8&amp;"")="","NULL","'"&amp;SUBSTITUTE(TRIM(G8),"'","''")&amp;"'")&amp;", p_id_tipo_documento =&gt; "&amp;IF(TRIM(B8&amp;"")="","NULL","(SELECT lo.id FROM gen_lista_opciones lo JOIN gen_lista l ON l.id = lo.id_lista WHERE l.nombre = 'TipoDocumento' AND upper(lo.nombre) = upper('"&amp;SUBSTITUTE(TRIM(B8),"'","''")&amp;"') AND lo.estado = 1 LIMIT 1)")&amp;", p_numero_documento =&gt; "&amp;IF(TRIM(C8&amp;"")="","NULL","'"&amp;SUBSTITUTE(TRIM(C8),"'","''")&amp;"'")&amp;", p_telefono =&gt; "&amp;IF(TRIM(L8&amp;"")="","NULL","'"&amp;SUBSTITUTE(TRIM(L8),"'","''")&amp;"'")&amp;", p_email =&gt; "&amp;IF(TRIM(M8&amp;"")="","NULL","'"&amp;SUBSTITUTE(TRIM(M8),"'","''")&amp;"'")&amp;", p_observacion =&gt; "&amp;IF(TRIM(O8&amp;"")="","NULL","'"&amp;SUBSTITUTE(TRIM(O8),"'","''")&amp;"'")&amp;", p_direccion =&gt; "&amp;IF(TRIM(J8&amp;"")="","NULL","'"&amp;SUBSTITUTE(TRIM(J8),"'","''")&amp;"'")&amp;", p_referencia =&gt; "&amp;IF(TRIM(K8&amp;"")="","NULL","'"&amp;SUBSTITUTE(TRIM(K8),"'","''")&amp;"'")&amp;") AS resultado_cliente_"&amp;ROW()&amp;";")</f>
        <v/>
      </c>
    </row>
    <row r="9">
      <c r="A9" s="25">
        <f>IF(AND(D9="",E9="",C9=""),"",IF(AND(D9="",E9=""),"FALTA razón social o nombres",IF(AND(C9&lt;&gt;"",SUMPRODUCT(--($C$5:$C$549=C9))&gt;1),"DOCUMENTO DUPLICADO",IF(AND(B9="DNI",C9&lt;&gt;"",LEN(C9&amp;"")&lt;&gt;8),"DNI debe tener 8 dígitos",IF(AND(B9="RUC",C9&lt;&gt;"",LEN(C9&amp;"")&lt;&gt;11),"RUC debe tener 11 dígitos",IF(AND(N9&lt;&gt;"",SUMPRODUCT(--($N$5:$N$549=N9))&gt;1),"CÓDIGO INTERNO DUPLICADO","OK"))))))</f>
        <v/>
      </c>
      <c r="B9" s="17" t="inlineStr">
        <is>
          <t>DNI</t>
        </is>
      </c>
      <c r="C9" s="23" t="inlineStr">
        <is>
          <t>41390177</t>
        </is>
      </c>
      <c r="D9" s="17" t="n"/>
      <c r="E9" s="17" t="inlineStr">
        <is>
          <t>CARLOS ALBERTO</t>
        </is>
      </c>
      <c r="F9" s="17" t="inlineStr">
        <is>
          <t>ALFARO</t>
        </is>
      </c>
      <c r="G9" s="17" t="inlineStr">
        <is>
          <t>ACUÑA</t>
        </is>
      </c>
      <c r="H9" s="17" t="inlineStr">
        <is>
          <t>Persona Natural</t>
        </is>
      </c>
      <c r="I9" s="17" t="inlineStr">
        <is>
          <t>Cliente</t>
        </is>
      </c>
      <c r="J9" s="17" t="n"/>
      <c r="K9" s="17" t="n"/>
      <c r="L9" s="23" t="n"/>
      <c r="M9" s="17" t="n"/>
      <c r="N9" s="23" t="n"/>
      <c r="O9" s="17" t="n"/>
      <c r="P9" s="28">
        <f>IF(A9&lt;&gt;"OK","","SELECT cli_crear_clientes(p_codigo_interno =&gt; "&amp;IF(TRIM(N9&amp;"")="","NULL","'"&amp;SUBSTITUTE(TRIM(N9),"'","''")&amp;"'")&amp;", p_razon_social =&gt; "&amp;IF(TRIM(D9&amp;"")="","NULL","'"&amp;SUBSTITUTE(TRIM(D9),"'","''")&amp;"'")&amp;", p_id_tipo_cliente =&gt; "&amp;IF(TRIM(I9&amp;"")="","NULL","(SELECT lo.id FROM gen_lista_opciones lo JOIN gen_lista l ON l.id = lo.id_lista WHERE l.nombre = 'TipoCliente' AND upper(lo.nombre) = upper('"&amp;SUBSTITUTE(TRIM(I9),"'","''")&amp;"') AND lo.estado = 1 LIMIT 1)")&amp;", p_id_tipo_persona =&gt; "&amp;IF(TRIM(H9&amp;"")="","NULL","(SELECT lo.id FROM gen_lista_opciones lo JOIN gen_lista l ON l.id = lo.id_lista WHERE l.nombre = 'TipoPersona' AND upper(lo.nombre) = upper('"&amp;SUBSTITUTE(TRIM(H9),"'","''")&amp;"') AND lo.estado = 1 LIMIT 1)")&amp;", p_nombres =&gt; "&amp;IF(TRIM(E9&amp;"")="","NULL","'"&amp;SUBSTITUTE(TRIM(E9),"'","''")&amp;"'")&amp;", p_apellido_paterno =&gt; "&amp;IF(TRIM(F9&amp;"")="","NULL","'"&amp;SUBSTITUTE(TRIM(F9),"'","''")&amp;"'")&amp;", p_apellido_materno =&gt; "&amp;IF(TRIM(G9&amp;"")="","NULL","'"&amp;SUBSTITUTE(TRIM(G9),"'","''")&amp;"'")&amp;", p_id_tipo_documento =&gt; "&amp;IF(TRIM(B9&amp;"")="","NULL","(SELECT lo.id FROM gen_lista_opciones lo JOIN gen_lista l ON l.id = lo.id_lista WHERE l.nombre = 'TipoDocumento' AND upper(lo.nombre) = upper('"&amp;SUBSTITUTE(TRIM(B9),"'","''")&amp;"') AND lo.estado = 1 LIMIT 1)")&amp;", p_numero_documento =&gt; "&amp;IF(TRIM(C9&amp;"")="","NULL","'"&amp;SUBSTITUTE(TRIM(C9),"'","''")&amp;"'")&amp;", p_telefono =&gt; "&amp;IF(TRIM(L9&amp;"")="","NULL","'"&amp;SUBSTITUTE(TRIM(L9),"'","''")&amp;"'")&amp;", p_email =&gt; "&amp;IF(TRIM(M9&amp;"")="","NULL","'"&amp;SUBSTITUTE(TRIM(M9),"'","''")&amp;"'")&amp;", p_observacion =&gt; "&amp;IF(TRIM(O9&amp;"")="","NULL","'"&amp;SUBSTITUTE(TRIM(O9),"'","''")&amp;"'")&amp;", p_direccion =&gt; "&amp;IF(TRIM(J9&amp;"")="","NULL","'"&amp;SUBSTITUTE(TRIM(J9),"'","''")&amp;"'")&amp;", p_referencia =&gt; "&amp;IF(TRIM(K9&amp;"")="","NULL","'"&amp;SUBSTITUTE(TRIM(K9),"'","''")&amp;"'")&amp;") AS resultado_cliente_"&amp;ROW()&amp;";")</f>
        <v/>
      </c>
    </row>
    <row r="10">
      <c r="A10" s="25">
        <f>IF(AND(D10="",E10="",C10=""),"",IF(AND(D10="",E10=""),"FALTA razón social o nombres",IF(AND(C10&lt;&gt;"",SUMPRODUCT(--($C$5:$C$549=C10))&gt;1),"DOCUMENTO DUPLICADO",IF(AND(B10="DNI",C10&lt;&gt;"",LEN(C10&amp;"")&lt;&gt;8),"DNI debe tener 8 dígitos",IF(AND(B10="RUC",C10&lt;&gt;"",LEN(C10&amp;"")&lt;&gt;11),"RUC debe tener 11 dígitos",IF(AND(N10&lt;&gt;"",SUMPRODUCT(--($N$5:$N$549=N10))&gt;1),"CÓDIGO INTERNO DUPLICADO","OK"))))))</f>
        <v/>
      </c>
      <c r="B10" s="17" t="inlineStr">
        <is>
          <t>DNI</t>
        </is>
      </c>
      <c r="C10" s="23" t="inlineStr">
        <is>
          <t>41554093</t>
        </is>
      </c>
      <c r="D10" s="17" t="n"/>
      <c r="E10" s="17" t="inlineStr">
        <is>
          <t>JULIO CESAR</t>
        </is>
      </c>
      <c r="F10" s="17" t="inlineStr">
        <is>
          <t>SANTAMARIA</t>
        </is>
      </c>
      <c r="G10" s="17" t="inlineStr">
        <is>
          <t>CHAPOÑAN</t>
        </is>
      </c>
      <c r="H10" s="17" t="inlineStr">
        <is>
          <t>Persona Natural</t>
        </is>
      </c>
      <c r="I10" s="17" t="inlineStr">
        <is>
          <t>Cliente</t>
        </is>
      </c>
      <c r="J10" s="17" t="n"/>
      <c r="K10" s="17" t="n"/>
      <c r="L10" s="23" t="n"/>
      <c r="M10" s="17" t="n"/>
      <c r="N10" s="23" t="n"/>
      <c r="O10" s="17" t="n"/>
      <c r="P10" s="28">
        <f>IF(A10&lt;&gt;"OK","","SELECT cli_crear_clientes(p_codigo_interno =&gt; "&amp;IF(TRIM(N10&amp;"")="","NULL","'"&amp;SUBSTITUTE(TRIM(N10),"'","''")&amp;"'")&amp;", p_razon_social =&gt; "&amp;IF(TRIM(D10&amp;"")="","NULL","'"&amp;SUBSTITUTE(TRIM(D10),"'","''")&amp;"'")&amp;", p_id_tipo_cliente =&gt; "&amp;IF(TRIM(I10&amp;"")="","NULL","(SELECT lo.id FROM gen_lista_opciones lo JOIN gen_lista l ON l.id = lo.id_lista WHERE l.nombre = 'TipoCliente' AND upper(lo.nombre) = upper('"&amp;SUBSTITUTE(TRIM(I10),"'","''")&amp;"') AND lo.estado = 1 LIMIT 1)")&amp;", p_id_tipo_persona =&gt; "&amp;IF(TRIM(H10&amp;"")="","NULL","(SELECT lo.id FROM gen_lista_opciones lo JOIN gen_lista l ON l.id = lo.id_lista WHERE l.nombre = 'TipoPersona' AND upper(lo.nombre) = upper('"&amp;SUBSTITUTE(TRIM(H10),"'","''")&amp;"') AND lo.estado = 1 LIMIT 1)")&amp;", p_nombres =&gt; "&amp;IF(TRIM(E10&amp;"")="","NULL","'"&amp;SUBSTITUTE(TRIM(E10),"'","''")&amp;"'")&amp;", p_apellido_paterno =&gt; "&amp;IF(TRIM(F10&amp;"")="","NULL","'"&amp;SUBSTITUTE(TRIM(F10),"'","''")&amp;"'")&amp;", p_apellido_materno =&gt; "&amp;IF(TRIM(G10&amp;"")="","NULL","'"&amp;SUBSTITUTE(TRIM(G10),"'","''")&amp;"'")&amp;", p_id_tipo_documento =&gt; "&amp;IF(TRIM(B10&amp;"")="","NULL","(SELECT lo.id FROM gen_lista_opciones lo JOIN gen_lista l ON l.id = lo.id_lista WHERE l.nombre = 'TipoDocumento' AND upper(lo.nombre) = upper('"&amp;SUBSTITUTE(TRIM(B10),"'","''")&amp;"') AND lo.estado = 1 LIMIT 1)")&amp;", p_numero_documento =&gt; "&amp;IF(TRIM(C10&amp;"")="","NULL","'"&amp;SUBSTITUTE(TRIM(C10),"'","''")&amp;"'")&amp;", p_telefono =&gt; "&amp;IF(TRIM(L10&amp;"")="","NULL","'"&amp;SUBSTITUTE(TRIM(L10),"'","''")&amp;"'")&amp;", p_email =&gt; "&amp;IF(TRIM(M10&amp;"")="","NULL","'"&amp;SUBSTITUTE(TRIM(M10),"'","''")&amp;"'")&amp;", p_observacion =&gt; "&amp;IF(TRIM(O10&amp;"")="","NULL","'"&amp;SUBSTITUTE(TRIM(O10),"'","''")&amp;"'")&amp;", p_direccion =&gt; "&amp;IF(TRIM(J10&amp;"")="","NULL","'"&amp;SUBSTITUTE(TRIM(J10),"'","''")&amp;"'")&amp;", p_referencia =&gt; "&amp;IF(TRIM(K10&amp;"")="","NULL","'"&amp;SUBSTITUTE(TRIM(K10),"'","''")&amp;"'")&amp;") AS resultado_cliente_"&amp;ROW()&amp;";")</f>
        <v/>
      </c>
    </row>
    <row r="11">
      <c r="A11" s="25">
        <f>IF(AND(D11="",E11="",C11=""),"",IF(AND(D11="",E11=""),"FALTA razón social o nombres",IF(AND(C11&lt;&gt;"",SUMPRODUCT(--($C$5:$C$549=C11))&gt;1),"DOCUMENTO DUPLICADO",IF(AND(B11="DNI",C11&lt;&gt;"",LEN(C11&amp;"")&lt;&gt;8),"DNI debe tener 8 dígitos",IF(AND(B11="RUC",C11&lt;&gt;"",LEN(C11&amp;"")&lt;&gt;11),"RUC debe tener 11 dígitos",IF(AND(N11&lt;&gt;"",SUMPRODUCT(--($N$5:$N$549=N11))&gt;1),"CÓDIGO INTERNO DUPLICADO","OK"))))))</f>
        <v/>
      </c>
      <c r="B11" s="17" t="inlineStr">
        <is>
          <t>DNI</t>
        </is>
      </c>
      <c r="C11" s="23" t="inlineStr">
        <is>
          <t>16482081</t>
        </is>
      </c>
      <c r="D11" s="17" t="n"/>
      <c r="E11" s="17" t="inlineStr">
        <is>
          <t>MYRIAM ERLINDA</t>
        </is>
      </c>
      <c r="F11" s="17" t="inlineStr">
        <is>
          <t>SALDARRIAGA</t>
        </is>
      </c>
      <c r="G11" s="17" t="inlineStr">
        <is>
          <t>MEJIA</t>
        </is>
      </c>
      <c r="H11" s="17" t="inlineStr">
        <is>
          <t>Persona Natural</t>
        </is>
      </c>
      <c r="I11" s="17" t="inlineStr">
        <is>
          <t>Cliente</t>
        </is>
      </c>
      <c r="J11" s="17" t="n"/>
      <c r="K11" s="17" t="n"/>
      <c r="L11" s="23" t="n"/>
      <c r="M11" s="17" t="n"/>
      <c r="N11" s="23" t="n"/>
      <c r="O11" s="17" t="n"/>
      <c r="P11" s="28">
        <f>IF(A11&lt;&gt;"OK","","SELECT cli_crear_clientes(p_codigo_interno =&gt; "&amp;IF(TRIM(N11&amp;"")="","NULL","'"&amp;SUBSTITUTE(TRIM(N11),"'","''")&amp;"'")&amp;", p_razon_social =&gt; "&amp;IF(TRIM(D11&amp;"")="","NULL","'"&amp;SUBSTITUTE(TRIM(D11),"'","''")&amp;"'")&amp;", p_id_tipo_cliente =&gt; "&amp;IF(TRIM(I11&amp;"")="","NULL","(SELECT lo.id FROM gen_lista_opciones lo JOIN gen_lista l ON l.id = lo.id_lista WHERE l.nombre = 'TipoCliente' AND upper(lo.nombre) = upper('"&amp;SUBSTITUTE(TRIM(I11),"'","''")&amp;"') AND lo.estado = 1 LIMIT 1)")&amp;", p_id_tipo_persona =&gt; "&amp;IF(TRIM(H11&amp;"")="","NULL","(SELECT lo.id FROM gen_lista_opciones lo JOIN gen_lista l ON l.id = lo.id_lista WHERE l.nombre = 'TipoPersona' AND upper(lo.nombre) = upper('"&amp;SUBSTITUTE(TRIM(H11),"'","''")&amp;"') AND lo.estado = 1 LIMIT 1)")&amp;", p_nombres =&gt; "&amp;IF(TRIM(E11&amp;"")="","NULL","'"&amp;SUBSTITUTE(TRIM(E11),"'","''")&amp;"'")&amp;", p_apellido_paterno =&gt; "&amp;IF(TRIM(F11&amp;"")="","NULL","'"&amp;SUBSTITUTE(TRIM(F11),"'","''")&amp;"'")&amp;", p_apellido_materno =&gt; "&amp;IF(TRIM(G11&amp;"")="","NULL","'"&amp;SUBSTITUTE(TRIM(G11),"'","''")&amp;"'")&amp;", p_id_tipo_documento =&gt; "&amp;IF(TRIM(B11&amp;"")="","NULL","(SELECT lo.id FROM gen_lista_opciones lo JOIN gen_lista l ON l.id = lo.id_lista WHERE l.nombre = 'TipoDocumento' AND upper(lo.nombre) = upper('"&amp;SUBSTITUTE(TRIM(B11),"'","''")&amp;"') AND lo.estado = 1 LIMIT 1)")&amp;", p_numero_documento =&gt; "&amp;IF(TRIM(C11&amp;"")="","NULL","'"&amp;SUBSTITUTE(TRIM(C11),"'","''")&amp;"'")&amp;", p_telefono =&gt; "&amp;IF(TRIM(L11&amp;"")="","NULL","'"&amp;SUBSTITUTE(TRIM(L11),"'","''")&amp;"'")&amp;", p_email =&gt; "&amp;IF(TRIM(M11&amp;"")="","NULL","'"&amp;SUBSTITUTE(TRIM(M11),"'","''")&amp;"'")&amp;", p_observacion =&gt; "&amp;IF(TRIM(O11&amp;"")="","NULL","'"&amp;SUBSTITUTE(TRIM(O11),"'","''")&amp;"'")&amp;", p_direccion =&gt; "&amp;IF(TRIM(J11&amp;"")="","NULL","'"&amp;SUBSTITUTE(TRIM(J11),"'","''")&amp;"'")&amp;", p_referencia =&gt; "&amp;IF(TRIM(K11&amp;"")="","NULL","'"&amp;SUBSTITUTE(TRIM(K11),"'","''")&amp;"'")&amp;") AS resultado_cliente_"&amp;ROW()&amp;";")</f>
        <v/>
      </c>
    </row>
    <row r="12">
      <c r="A12" s="25">
        <f>IF(AND(D12="",E12="",C12=""),"",IF(AND(D12="",E12=""),"FALTA razón social o nombres",IF(AND(C12&lt;&gt;"",SUMPRODUCT(--($C$5:$C$549=C12))&gt;1),"DOCUMENTO DUPLICADO",IF(AND(B12="DNI",C12&lt;&gt;"",LEN(C12&amp;"")&lt;&gt;8),"DNI debe tener 8 dígitos",IF(AND(B12="RUC",C12&lt;&gt;"",LEN(C12&amp;"")&lt;&gt;11),"RUC debe tener 11 dígitos",IF(AND(N12&lt;&gt;"",SUMPRODUCT(--($N$5:$N$549=N12))&gt;1),"CÓDIGO INTERNO DUPLICADO","OK"))))))</f>
        <v/>
      </c>
      <c r="B12" s="17" t="inlineStr">
        <is>
          <t>DNI</t>
        </is>
      </c>
      <c r="C12" s="23" t="inlineStr">
        <is>
          <t>41037767</t>
        </is>
      </c>
      <c r="D12" s="17" t="n"/>
      <c r="E12" s="17" t="inlineStr">
        <is>
          <t>ROSARIO DEL PILAR</t>
        </is>
      </c>
      <c r="F12" s="17" t="inlineStr">
        <is>
          <t xml:space="preserve">ROJAS </t>
        </is>
      </c>
      <c r="G12" s="17" t="inlineStr">
        <is>
          <t>CABRERA</t>
        </is>
      </c>
      <c r="H12" s="17" t="inlineStr">
        <is>
          <t>Persona Natural</t>
        </is>
      </c>
      <c r="I12" s="17" t="inlineStr">
        <is>
          <t>Cliente</t>
        </is>
      </c>
      <c r="J12" s="17" t="n"/>
      <c r="K12" s="17" t="n"/>
      <c r="L12" s="23" t="n"/>
      <c r="M12" s="17" t="n"/>
      <c r="N12" s="23" t="n"/>
      <c r="O12" s="17" t="n"/>
      <c r="P12" s="28">
        <f>IF(A12&lt;&gt;"OK","","SELECT cli_crear_clientes(p_codigo_interno =&gt; "&amp;IF(TRIM(N12&amp;"")="","NULL","'"&amp;SUBSTITUTE(TRIM(N12),"'","''")&amp;"'")&amp;", p_razon_social =&gt; "&amp;IF(TRIM(D12&amp;"")="","NULL","'"&amp;SUBSTITUTE(TRIM(D12),"'","''")&amp;"'")&amp;", p_id_tipo_cliente =&gt; "&amp;IF(TRIM(I12&amp;"")="","NULL","(SELECT lo.id FROM gen_lista_opciones lo JOIN gen_lista l ON l.id = lo.id_lista WHERE l.nombre = 'TipoCliente' AND upper(lo.nombre) = upper('"&amp;SUBSTITUTE(TRIM(I12),"'","''")&amp;"') AND lo.estado = 1 LIMIT 1)")&amp;", p_id_tipo_persona =&gt; "&amp;IF(TRIM(H12&amp;"")="","NULL","(SELECT lo.id FROM gen_lista_opciones lo JOIN gen_lista l ON l.id = lo.id_lista WHERE l.nombre = 'TipoPersona' AND upper(lo.nombre) = upper('"&amp;SUBSTITUTE(TRIM(H12),"'","''")&amp;"') AND lo.estado = 1 LIMIT 1)")&amp;", p_nombres =&gt; "&amp;IF(TRIM(E12&amp;"")="","NULL","'"&amp;SUBSTITUTE(TRIM(E12),"'","''")&amp;"'")&amp;", p_apellido_paterno =&gt; "&amp;IF(TRIM(F12&amp;"")="","NULL","'"&amp;SUBSTITUTE(TRIM(F12),"'","''")&amp;"'")&amp;", p_apellido_materno =&gt; "&amp;IF(TRIM(G12&amp;"")="","NULL","'"&amp;SUBSTITUTE(TRIM(G12),"'","''")&amp;"'")&amp;", p_id_tipo_documento =&gt; "&amp;IF(TRIM(B12&amp;"")="","NULL","(SELECT lo.id FROM gen_lista_opciones lo JOIN gen_lista l ON l.id = lo.id_lista WHERE l.nombre = 'TipoDocumento' AND upper(lo.nombre) = upper('"&amp;SUBSTITUTE(TRIM(B12),"'","''")&amp;"') AND lo.estado = 1 LIMIT 1)")&amp;", p_numero_documento =&gt; "&amp;IF(TRIM(C12&amp;"")="","NULL","'"&amp;SUBSTITUTE(TRIM(C12),"'","''")&amp;"'")&amp;", p_telefono =&gt; "&amp;IF(TRIM(L12&amp;"")="","NULL","'"&amp;SUBSTITUTE(TRIM(L12),"'","''")&amp;"'")&amp;", p_email =&gt; "&amp;IF(TRIM(M12&amp;"")="","NULL","'"&amp;SUBSTITUTE(TRIM(M12),"'","''")&amp;"'")&amp;", p_observacion =&gt; "&amp;IF(TRIM(O12&amp;"")="","NULL","'"&amp;SUBSTITUTE(TRIM(O12),"'","''")&amp;"'")&amp;", p_direccion =&gt; "&amp;IF(TRIM(J12&amp;"")="","NULL","'"&amp;SUBSTITUTE(TRIM(J12),"'","''")&amp;"'")&amp;", p_referencia =&gt; "&amp;IF(TRIM(K12&amp;"")="","NULL","'"&amp;SUBSTITUTE(TRIM(K12),"'","''")&amp;"'")&amp;") AS resultado_cliente_"&amp;ROW()&amp;";")</f>
        <v/>
      </c>
    </row>
    <row r="13">
      <c r="A13" s="25">
        <f>IF(AND(D13="",E13="",C13=""),"",IF(AND(D13="",E13=""),"FALTA razón social o nombres",IF(AND(C13&lt;&gt;"",SUMPRODUCT(--($C$5:$C$549=C13))&gt;1),"DOCUMENTO DUPLICADO",IF(AND(B13="DNI",C13&lt;&gt;"",LEN(C13&amp;"")&lt;&gt;8),"DNI debe tener 8 dígitos",IF(AND(B13="RUC",C13&lt;&gt;"",LEN(C13&amp;"")&lt;&gt;11),"RUC debe tener 11 dígitos",IF(AND(N13&lt;&gt;"",SUMPRODUCT(--($N$5:$N$549=N13))&gt;1),"CÓDIGO INTERNO DUPLICADO","OK"))))))</f>
        <v/>
      </c>
      <c r="B13" s="17" t="inlineStr">
        <is>
          <t>RUC</t>
        </is>
      </c>
      <c r="C13" s="23" t="inlineStr">
        <is>
          <t>20523386469</t>
        </is>
      </c>
      <c r="D13" s="17" t="inlineStr">
        <is>
          <t xml:space="preserve">ALTAVISTA INVERSIONES GLOBALES SOCIEDAD ANONIMA CERRADA - AIG S.A.C. </t>
        </is>
      </c>
      <c r="E13" s="17" t="n"/>
      <c r="F13" s="17" t="n"/>
      <c r="G13" s="17" t="n"/>
      <c r="H13" s="17" t="inlineStr">
        <is>
          <t>Persona Jurídica</t>
        </is>
      </c>
      <c r="I13" s="17" t="inlineStr">
        <is>
          <t>Cliente</t>
        </is>
      </c>
      <c r="J13" s="17" t="n"/>
      <c r="K13" s="17" t="n"/>
      <c r="L13" s="23" t="n"/>
      <c r="M13" s="17" t="n"/>
      <c r="N13" s="23" t="n"/>
      <c r="O13" s="17" t="n"/>
      <c r="P13" s="28">
        <f>IF(A13&lt;&gt;"OK","","SELECT cli_crear_clientes(p_codigo_interno =&gt; "&amp;IF(TRIM(N13&amp;"")="","NULL","'"&amp;SUBSTITUTE(TRIM(N13),"'","''")&amp;"'")&amp;", p_razon_social =&gt; "&amp;IF(TRIM(D13&amp;"")="","NULL","'"&amp;SUBSTITUTE(TRIM(D13),"'","''")&amp;"'")&amp;", p_id_tipo_cliente =&gt; "&amp;IF(TRIM(I13&amp;"")="","NULL","(SELECT lo.id FROM gen_lista_opciones lo JOIN gen_lista l ON l.id = lo.id_lista WHERE l.nombre = 'TipoCliente' AND upper(lo.nombre) = upper('"&amp;SUBSTITUTE(TRIM(I13),"'","''")&amp;"') AND lo.estado = 1 LIMIT 1)")&amp;", p_id_tipo_persona =&gt; "&amp;IF(TRIM(H13&amp;"")="","NULL","(SELECT lo.id FROM gen_lista_opciones lo JOIN gen_lista l ON l.id = lo.id_lista WHERE l.nombre = 'TipoPersona' AND upper(lo.nombre) = upper('"&amp;SUBSTITUTE(TRIM(H13),"'","''")&amp;"') AND lo.estado = 1 LIMIT 1)")&amp;", p_nombres =&gt; "&amp;IF(TRIM(E13&amp;"")="","NULL","'"&amp;SUBSTITUTE(TRIM(E13),"'","''")&amp;"'")&amp;", p_apellido_paterno =&gt; "&amp;IF(TRIM(F13&amp;"")="","NULL","'"&amp;SUBSTITUTE(TRIM(F13),"'","''")&amp;"'")&amp;", p_apellido_materno =&gt; "&amp;IF(TRIM(G13&amp;"")="","NULL","'"&amp;SUBSTITUTE(TRIM(G13),"'","''")&amp;"'")&amp;", p_id_tipo_documento =&gt; "&amp;IF(TRIM(B13&amp;"")="","NULL","(SELECT lo.id FROM gen_lista_opciones lo JOIN gen_lista l ON l.id = lo.id_lista WHERE l.nombre = 'TipoDocumento' AND upper(lo.nombre) = upper('"&amp;SUBSTITUTE(TRIM(B13),"'","''")&amp;"') AND lo.estado = 1 LIMIT 1)")&amp;", p_numero_documento =&gt; "&amp;IF(TRIM(C13&amp;"")="","NULL","'"&amp;SUBSTITUTE(TRIM(C13),"'","''")&amp;"'")&amp;", p_telefono =&gt; "&amp;IF(TRIM(L13&amp;"")="","NULL","'"&amp;SUBSTITUTE(TRIM(L13),"'","''")&amp;"'")&amp;", p_email =&gt; "&amp;IF(TRIM(M13&amp;"")="","NULL","'"&amp;SUBSTITUTE(TRIM(M13),"'","''")&amp;"'")&amp;", p_observacion =&gt; "&amp;IF(TRIM(O13&amp;"")="","NULL","'"&amp;SUBSTITUTE(TRIM(O13),"'","''")&amp;"'")&amp;", p_direccion =&gt; "&amp;IF(TRIM(J13&amp;"")="","NULL","'"&amp;SUBSTITUTE(TRIM(J13),"'","''")&amp;"'")&amp;", p_referencia =&gt; "&amp;IF(TRIM(K13&amp;"")="","NULL","'"&amp;SUBSTITUTE(TRIM(K13),"'","''")&amp;"'")&amp;") AS resultado_cliente_"&amp;ROW()&amp;";")</f>
        <v/>
      </c>
    </row>
    <row r="14">
      <c r="A14" s="25">
        <f>IF(AND(D14="",E14="",C14=""),"",IF(AND(D14="",E14=""),"FALTA razón social o nombres",IF(AND(C14&lt;&gt;"",SUMPRODUCT(--($C$5:$C$549=C14))&gt;1),"DOCUMENTO DUPLICADO",IF(AND(B14="DNI",C14&lt;&gt;"",LEN(C14&amp;"")&lt;&gt;8),"DNI debe tener 8 dígitos",IF(AND(B14="RUC",C14&lt;&gt;"",LEN(C14&amp;"")&lt;&gt;11),"RUC debe tener 11 dígitos",IF(AND(N14&lt;&gt;"",SUMPRODUCT(--($N$5:$N$549=N14))&gt;1),"CÓDIGO INTERNO DUPLICADO","OK"))))))</f>
        <v/>
      </c>
      <c r="B14" s="17" t="inlineStr">
        <is>
          <t>DNI</t>
        </is>
      </c>
      <c r="C14" s="26" t="inlineStr">
        <is>
          <t>45370902</t>
        </is>
      </c>
      <c r="D14" s="26" t="inlineStr">
        <is>
          <t>ANGELES CASTRO ELVIN WANDER</t>
        </is>
      </c>
      <c r="E14" s="17" t="n"/>
      <c r="F14" s="17" t="n"/>
      <c r="G14" s="17" t="n"/>
      <c r="H14" s="17" t="inlineStr">
        <is>
          <t>Persona Natural</t>
        </is>
      </c>
      <c r="I14" s="17" t="inlineStr">
        <is>
          <t>Cliente</t>
        </is>
      </c>
      <c r="J14" s="17" t="n"/>
      <c r="K14" s="17" t="n"/>
      <c r="L14" s="23" t="n"/>
      <c r="M14" s="17" t="n"/>
      <c r="N14" s="23" t="n"/>
      <c r="O14" s="17" t="n"/>
      <c r="P14" s="28">
        <f>IF(A14&lt;&gt;"OK","","SELECT cli_crear_clientes(p_codigo_interno =&gt; "&amp;IF(TRIM(N14&amp;"")="","NULL","'"&amp;SUBSTITUTE(TRIM(N14),"'","''")&amp;"'")&amp;", p_razon_social =&gt; "&amp;IF(TRIM(D14&amp;"")="","NULL","'"&amp;SUBSTITUTE(TRIM(D14),"'","''")&amp;"'")&amp;", p_id_tipo_cliente =&gt; "&amp;IF(TRIM(I14&amp;"")="","NULL","(SELECT lo.id FROM gen_lista_opciones lo JOIN gen_lista l ON l.id = lo.id_lista WHERE l.nombre = 'TipoCliente' AND upper(lo.nombre) = upper('"&amp;SUBSTITUTE(TRIM(I14),"'","''")&amp;"') AND lo.estado = 1 LIMIT 1)")&amp;", p_id_tipo_persona =&gt; "&amp;IF(TRIM(H14&amp;"")="","NULL","(SELECT lo.id FROM gen_lista_opciones lo JOIN gen_lista l ON l.id = lo.id_lista WHERE l.nombre = 'TipoPersona' AND upper(lo.nombre) = upper('"&amp;SUBSTITUTE(TRIM(H14),"'","''")&amp;"') AND lo.estado = 1 LIMIT 1)")&amp;", p_nombres =&gt; "&amp;IF(TRIM(E14&amp;"")="","NULL","'"&amp;SUBSTITUTE(TRIM(E14),"'","''")&amp;"'")&amp;", p_apellido_paterno =&gt; "&amp;IF(TRIM(F14&amp;"")="","NULL","'"&amp;SUBSTITUTE(TRIM(F14),"'","''")&amp;"'")&amp;", p_apellido_materno =&gt; "&amp;IF(TRIM(G14&amp;"")="","NULL","'"&amp;SUBSTITUTE(TRIM(G14),"'","''")&amp;"'")&amp;", p_id_tipo_documento =&gt; "&amp;IF(TRIM(B14&amp;"")="","NULL","(SELECT lo.id FROM gen_lista_opciones lo JOIN gen_lista l ON l.id = lo.id_lista WHERE l.nombre = 'TipoDocumento' AND upper(lo.nombre) = upper('"&amp;SUBSTITUTE(TRIM(B14),"'","''")&amp;"') AND lo.estado = 1 LIMIT 1)")&amp;", p_numero_documento =&gt; "&amp;IF(TRIM(C14&amp;"")="","NULL","'"&amp;SUBSTITUTE(TRIM(C14),"'","''")&amp;"'")&amp;", p_telefono =&gt; "&amp;IF(TRIM(L14&amp;"")="","NULL","'"&amp;SUBSTITUTE(TRIM(L14),"'","''")&amp;"'")&amp;", p_email =&gt; "&amp;IF(TRIM(M14&amp;"")="","NULL","'"&amp;SUBSTITUTE(TRIM(M14),"'","''")&amp;"'")&amp;", p_observacion =&gt; "&amp;IF(TRIM(O14&amp;"")="","NULL","'"&amp;SUBSTITUTE(TRIM(O14),"'","''")&amp;"'")&amp;", p_direccion =&gt; "&amp;IF(TRIM(J14&amp;"")="","NULL","'"&amp;SUBSTITUTE(TRIM(J14),"'","''")&amp;"'")&amp;", p_referencia =&gt; "&amp;IF(TRIM(K14&amp;"")="","NULL","'"&amp;SUBSTITUTE(TRIM(K14),"'","''")&amp;"'")&amp;") AS resultado_cliente_"&amp;ROW()&amp;";")</f>
        <v/>
      </c>
    </row>
    <row r="15">
      <c r="A15" s="25">
        <f>IF(AND(D15="",E15="",C15=""),"",IF(AND(D15="",E15=""),"FALTA razón social o nombres",IF(AND(C15&lt;&gt;"",SUMPRODUCT(--($C$5:$C$549=C15))&gt;1),"DOCUMENTO DUPLICADO",IF(AND(B15="DNI",C15&lt;&gt;"",LEN(C15&amp;"")&lt;&gt;8),"DNI debe tener 8 dígitos",IF(AND(B15="RUC",C15&lt;&gt;"",LEN(C15&amp;"")&lt;&gt;11),"RUC debe tener 11 dígitos",IF(AND(N15&lt;&gt;"",SUMPRODUCT(--($N$5:$N$549=N15))&gt;1),"CÓDIGO INTERNO DUPLICADO","OK"))))))</f>
        <v/>
      </c>
      <c r="B15" s="17" t="inlineStr">
        <is>
          <t>SD</t>
        </is>
      </c>
      <c r="C15" s="23" t="inlineStr">
        <is>
          <t>00001</t>
        </is>
      </c>
      <c r="D15" s="17" t="n"/>
      <c r="E15" s="17" t="inlineStr">
        <is>
          <t>DAVID</t>
        </is>
      </c>
      <c r="F15" s="17" t="inlineStr">
        <is>
          <t xml:space="preserve">VALDERA </t>
        </is>
      </c>
      <c r="G15" s="17" t="n"/>
      <c r="H15" s="17" t="inlineStr">
        <is>
          <t>Persona Natural</t>
        </is>
      </c>
      <c r="I15" s="17" t="inlineStr">
        <is>
          <t>Cliente</t>
        </is>
      </c>
      <c r="J15" s="17" t="n"/>
      <c r="K15" s="17" t="n"/>
      <c r="L15" s="23" t="n"/>
      <c r="M15" s="17" t="n"/>
      <c r="N15" s="23" t="n"/>
      <c r="O15" s="17" t="n"/>
      <c r="P15" s="28">
        <f>IF(A15&lt;&gt;"OK","","SELECT cli_crear_clientes(p_codigo_interno =&gt; "&amp;IF(TRIM(N15&amp;"")="","NULL","'"&amp;SUBSTITUTE(TRIM(N15),"'","''")&amp;"'")&amp;", p_razon_social =&gt; "&amp;IF(TRIM(D15&amp;"")="","NULL","'"&amp;SUBSTITUTE(TRIM(D15),"'","''")&amp;"'")&amp;", p_id_tipo_cliente =&gt; "&amp;IF(TRIM(I15&amp;"")="","NULL","(SELECT lo.id FROM gen_lista_opciones lo JOIN gen_lista l ON l.id = lo.id_lista WHERE l.nombre = 'TipoCliente' AND upper(lo.nombre) = upper('"&amp;SUBSTITUTE(TRIM(I15),"'","''")&amp;"') AND lo.estado = 1 LIMIT 1)")&amp;", p_id_tipo_persona =&gt; "&amp;IF(TRIM(H15&amp;"")="","NULL","(SELECT lo.id FROM gen_lista_opciones lo JOIN gen_lista l ON l.id = lo.id_lista WHERE l.nombre = 'TipoPersona' AND upper(lo.nombre) = upper('"&amp;SUBSTITUTE(TRIM(H15),"'","''")&amp;"') AND lo.estado = 1 LIMIT 1)")&amp;", p_nombres =&gt; "&amp;IF(TRIM(E15&amp;"")="","NULL","'"&amp;SUBSTITUTE(TRIM(E15),"'","''")&amp;"'")&amp;", p_apellido_paterno =&gt; "&amp;IF(TRIM(F15&amp;"")="","NULL","'"&amp;SUBSTITUTE(TRIM(F15),"'","''")&amp;"'")&amp;", p_apellido_materno =&gt; "&amp;IF(TRIM(G15&amp;"")="","NULL","'"&amp;SUBSTITUTE(TRIM(G15),"'","''")&amp;"'")&amp;", p_id_tipo_documento =&gt; "&amp;IF(TRIM(B15&amp;"")="","NULL","(SELECT lo.id FROM gen_lista_opciones lo JOIN gen_lista l ON l.id = lo.id_lista WHERE l.nombre = 'TipoDocumento' AND upper(lo.nombre) = upper('"&amp;SUBSTITUTE(TRIM(B15),"'","''")&amp;"') AND lo.estado = 1 LIMIT 1)")&amp;", p_numero_documento =&gt; "&amp;IF(TRIM(C15&amp;"")="","NULL","'"&amp;SUBSTITUTE(TRIM(C15),"'","''")&amp;"'")&amp;", p_telefono =&gt; "&amp;IF(TRIM(L15&amp;"")="","NULL","'"&amp;SUBSTITUTE(TRIM(L15),"'","''")&amp;"'")&amp;", p_email =&gt; "&amp;IF(TRIM(M15&amp;"")="","NULL","'"&amp;SUBSTITUTE(TRIM(M15),"'","''")&amp;"'")&amp;", p_observacion =&gt; "&amp;IF(TRIM(O15&amp;"")="","NULL","'"&amp;SUBSTITUTE(TRIM(O15),"'","''")&amp;"'")&amp;", p_direccion =&gt; "&amp;IF(TRIM(J15&amp;"")="","NULL","'"&amp;SUBSTITUTE(TRIM(J15),"'","''")&amp;"'")&amp;", p_referencia =&gt; "&amp;IF(TRIM(K15&amp;"")="","NULL","'"&amp;SUBSTITUTE(TRIM(K15),"'","''")&amp;"'")&amp;") AS resultado_cliente_"&amp;ROW()&amp;";")</f>
        <v/>
      </c>
    </row>
    <row r="16">
      <c r="A16" s="25">
        <f>IF(AND(D16="",E16="",C16=""),"",IF(AND(D16="",E16=""),"FALTA razón social o nombres",IF(AND(C16&lt;&gt;"",SUMPRODUCT(--($C$5:$C$549=C16))&gt;1),"DOCUMENTO DUPLICADO",IF(AND(B16="DNI",C16&lt;&gt;"",LEN(C16&amp;"")&lt;&gt;8),"DNI debe tener 8 dígitos",IF(AND(B16="RUC",C16&lt;&gt;"",LEN(C16&amp;"")&lt;&gt;11),"RUC debe tener 11 dígitos",IF(AND(N16&lt;&gt;"",SUMPRODUCT(--($N$5:$N$549=N16))&gt;1),"CÓDIGO INTERNO DUPLICADO","OK"))))))</f>
        <v/>
      </c>
      <c r="B16" s="17" t="inlineStr">
        <is>
          <t>RUC</t>
        </is>
      </c>
      <c r="C16" s="23" t="inlineStr">
        <is>
          <t>20604078866</t>
        </is>
      </c>
      <c r="D16" s="17" t="inlineStr">
        <is>
          <t>ARGAMAX CONSTRUCTORA CORPORATION S.A.C.</t>
        </is>
      </c>
      <c r="E16" s="17" t="n"/>
      <c r="F16" s="17" t="n"/>
      <c r="G16" s="17" t="n"/>
      <c r="H16" s="17" t="inlineStr">
        <is>
          <t>Persona Jurídica</t>
        </is>
      </c>
      <c r="I16" s="17" t="inlineStr">
        <is>
          <t>Cliente</t>
        </is>
      </c>
      <c r="J16" s="17" t="inlineStr">
        <is>
          <t xml:space="preserve">CAL.FRANCISCO CUNEO NRO. 223 URB. PATAZCA </t>
        </is>
      </c>
      <c r="K16" s="17" t="n"/>
      <c r="L16" s="23" t="n"/>
      <c r="M16" s="17" t="n"/>
      <c r="N16" s="23" t="n"/>
      <c r="O16" s="17" t="n"/>
      <c r="P16" s="28">
        <f>IF(A16&lt;&gt;"OK","","SELECT cli_crear_clientes(p_codigo_interno =&gt; "&amp;IF(TRIM(N16&amp;"")="","NULL","'"&amp;SUBSTITUTE(TRIM(N16),"'","''")&amp;"'")&amp;", p_razon_social =&gt; "&amp;IF(TRIM(D16&amp;"")="","NULL","'"&amp;SUBSTITUTE(TRIM(D16),"'","''")&amp;"'")&amp;", p_id_tipo_cliente =&gt; "&amp;IF(TRIM(I16&amp;"")="","NULL","(SELECT lo.id FROM gen_lista_opciones lo JOIN gen_lista l ON l.id = lo.id_lista WHERE l.nombre = 'TipoCliente' AND upper(lo.nombre) = upper('"&amp;SUBSTITUTE(TRIM(I16),"'","''")&amp;"') AND lo.estado = 1 LIMIT 1)")&amp;", p_id_tipo_persona =&gt; "&amp;IF(TRIM(H16&amp;"")="","NULL","(SELECT lo.id FROM gen_lista_opciones lo JOIN gen_lista l ON l.id = lo.id_lista WHERE l.nombre = 'TipoPersona' AND upper(lo.nombre) = upper('"&amp;SUBSTITUTE(TRIM(H16),"'","''")&amp;"') AND lo.estado = 1 LIMIT 1)")&amp;", p_nombres =&gt; "&amp;IF(TRIM(E16&amp;"")="","NULL","'"&amp;SUBSTITUTE(TRIM(E16),"'","''")&amp;"'")&amp;", p_apellido_paterno =&gt; "&amp;IF(TRIM(F16&amp;"")="","NULL","'"&amp;SUBSTITUTE(TRIM(F16),"'","''")&amp;"'")&amp;", p_apellido_materno =&gt; "&amp;IF(TRIM(G16&amp;"")="","NULL","'"&amp;SUBSTITUTE(TRIM(G16),"'","''")&amp;"'")&amp;", p_id_tipo_documento =&gt; "&amp;IF(TRIM(B16&amp;"")="","NULL","(SELECT lo.id FROM gen_lista_opciones lo JOIN gen_lista l ON l.id = lo.id_lista WHERE l.nombre = 'TipoDocumento' AND upper(lo.nombre) = upper('"&amp;SUBSTITUTE(TRIM(B16),"'","''")&amp;"') AND lo.estado = 1 LIMIT 1)")&amp;", p_numero_documento =&gt; "&amp;IF(TRIM(C16&amp;"")="","NULL","'"&amp;SUBSTITUTE(TRIM(C16),"'","''")&amp;"'")&amp;", p_telefono =&gt; "&amp;IF(TRIM(L16&amp;"")="","NULL","'"&amp;SUBSTITUTE(TRIM(L16),"'","''")&amp;"'")&amp;", p_email =&gt; "&amp;IF(TRIM(M16&amp;"")="","NULL","'"&amp;SUBSTITUTE(TRIM(M16),"'","''")&amp;"'")&amp;", p_observacion =&gt; "&amp;IF(TRIM(O16&amp;"")="","NULL","'"&amp;SUBSTITUTE(TRIM(O16),"'","''")&amp;"'")&amp;", p_direccion =&gt; "&amp;IF(TRIM(J16&amp;"")="","NULL","'"&amp;SUBSTITUTE(TRIM(J16),"'","''")&amp;"'")&amp;", p_referencia =&gt; "&amp;IF(TRIM(K16&amp;"")="","NULL","'"&amp;SUBSTITUTE(TRIM(K16),"'","''")&amp;"'")&amp;") AS resultado_cliente_"&amp;ROW()&amp;";")</f>
        <v/>
      </c>
    </row>
    <row r="17">
      <c r="A17" s="25">
        <f>IF(AND(D17="",E17="",C17=""),"",IF(AND(D17="",E17=""),"FALTA razón social o nombres",IF(AND(C17&lt;&gt;"",SUMPRODUCT(--($C$5:$C$549=C17))&gt;1),"DOCUMENTO DUPLICADO",IF(AND(B17="DNI",C17&lt;&gt;"",LEN(C17&amp;"")&lt;&gt;8),"DNI debe tener 8 dígitos",IF(AND(B17="RUC",C17&lt;&gt;"",LEN(C17&amp;"")&lt;&gt;11),"RUC debe tener 11 dígitos",IF(AND(N17&lt;&gt;"",SUMPRODUCT(--($N$5:$N$549=N17))&gt;1),"CÓDIGO INTERNO DUPLICADO","OK"))))))</f>
        <v/>
      </c>
      <c r="B17" s="17" t="inlineStr">
        <is>
          <t>DNI</t>
        </is>
      </c>
      <c r="C17" s="26" t="inlineStr">
        <is>
          <t>76881055</t>
        </is>
      </c>
      <c r="D17" s="17" t="n"/>
      <c r="E17" s="17" t="inlineStr">
        <is>
          <t>EDGAR RONAL</t>
        </is>
      </c>
      <c r="F17" s="17" t="inlineStr">
        <is>
          <t xml:space="preserve">BRAVO </t>
        </is>
      </c>
      <c r="G17" s="17" t="inlineStr">
        <is>
          <t>SANTAMARIA</t>
        </is>
      </c>
      <c r="H17" s="17" t="inlineStr">
        <is>
          <t>Persona Natural</t>
        </is>
      </c>
      <c r="I17" s="17" t="inlineStr">
        <is>
          <t>Cliente</t>
        </is>
      </c>
      <c r="J17" s="17" t="n"/>
      <c r="K17" s="17" t="n"/>
      <c r="L17" s="23" t="n"/>
      <c r="M17" s="17" t="n"/>
      <c r="N17" s="23" t="n"/>
      <c r="O17" s="17" t="n"/>
      <c r="P17" s="28">
        <f>IF(A17&lt;&gt;"OK","","SELECT cli_crear_clientes(p_codigo_interno =&gt; "&amp;IF(TRIM(N17&amp;"")="","NULL","'"&amp;SUBSTITUTE(TRIM(N17),"'","''")&amp;"'")&amp;", p_razon_social =&gt; "&amp;IF(TRIM(D17&amp;"")="","NULL","'"&amp;SUBSTITUTE(TRIM(D17),"'","''")&amp;"'")&amp;", p_id_tipo_cliente =&gt; "&amp;IF(TRIM(I17&amp;"")="","NULL","(SELECT lo.id FROM gen_lista_opciones lo JOIN gen_lista l ON l.id = lo.id_lista WHERE l.nombre = 'TipoCliente' AND upper(lo.nombre) = upper('"&amp;SUBSTITUTE(TRIM(I17),"'","''")&amp;"') AND lo.estado = 1 LIMIT 1)")&amp;", p_id_tipo_persona =&gt; "&amp;IF(TRIM(H17&amp;"")="","NULL","(SELECT lo.id FROM gen_lista_opciones lo JOIN gen_lista l ON l.id = lo.id_lista WHERE l.nombre = 'TipoPersona' AND upper(lo.nombre) = upper('"&amp;SUBSTITUTE(TRIM(H17),"'","''")&amp;"') AND lo.estado = 1 LIMIT 1)")&amp;", p_nombres =&gt; "&amp;IF(TRIM(E17&amp;"")="","NULL","'"&amp;SUBSTITUTE(TRIM(E17),"'","''")&amp;"'")&amp;", p_apellido_paterno =&gt; "&amp;IF(TRIM(F17&amp;"")="","NULL","'"&amp;SUBSTITUTE(TRIM(F17),"'","''")&amp;"'")&amp;", p_apellido_materno =&gt; "&amp;IF(TRIM(G17&amp;"")="","NULL","'"&amp;SUBSTITUTE(TRIM(G17),"'","''")&amp;"'")&amp;", p_id_tipo_documento =&gt; "&amp;IF(TRIM(B17&amp;"")="","NULL","(SELECT lo.id FROM gen_lista_opciones lo JOIN gen_lista l ON l.id = lo.id_lista WHERE l.nombre = 'TipoDocumento' AND upper(lo.nombre) = upper('"&amp;SUBSTITUTE(TRIM(B17),"'","''")&amp;"') AND lo.estado = 1 LIMIT 1)")&amp;", p_numero_documento =&gt; "&amp;IF(TRIM(C17&amp;"")="","NULL","'"&amp;SUBSTITUTE(TRIM(C17),"'","''")&amp;"'")&amp;", p_telefono =&gt; "&amp;IF(TRIM(L17&amp;"")="","NULL","'"&amp;SUBSTITUTE(TRIM(L17),"'","''")&amp;"'")&amp;", p_email =&gt; "&amp;IF(TRIM(M17&amp;"")="","NULL","'"&amp;SUBSTITUTE(TRIM(M17),"'","''")&amp;"'")&amp;", p_observacion =&gt; "&amp;IF(TRIM(O17&amp;"")="","NULL","'"&amp;SUBSTITUTE(TRIM(O17),"'","''")&amp;"'")&amp;", p_direccion =&gt; "&amp;IF(TRIM(J17&amp;"")="","NULL","'"&amp;SUBSTITUTE(TRIM(J17),"'","''")&amp;"'")&amp;", p_referencia =&gt; "&amp;IF(TRIM(K17&amp;"")="","NULL","'"&amp;SUBSTITUTE(TRIM(K17),"'","''")&amp;"'")&amp;") AS resultado_cliente_"&amp;ROW()&amp;";")</f>
        <v/>
      </c>
    </row>
    <row r="18">
      <c r="A18" s="25">
        <f>IF(AND(D18="",E18="",C18=""),"",IF(AND(D18="",E18=""),"FALTA razón social o nombres",IF(AND(C18&lt;&gt;"",SUMPRODUCT(--($C$5:$C$549=C18))&gt;1),"DOCUMENTO DUPLICADO",IF(AND(B18="DNI",C18&lt;&gt;"",LEN(C18&amp;"")&lt;&gt;8),"DNI debe tener 8 dígitos",IF(AND(B18="RUC",C18&lt;&gt;"",LEN(C18&amp;"")&lt;&gt;11),"RUC debe tener 11 dígitos",IF(AND(N18&lt;&gt;"",SUMPRODUCT(--($N$5:$N$549=N18))&gt;1),"CÓDIGO INTERNO DUPLICADO","OK"))))))</f>
        <v/>
      </c>
      <c r="B18" s="17" t="inlineStr">
        <is>
          <t>RUC</t>
        </is>
      </c>
      <c r="C18" s="23" t="inlineStr">
        <is>
          <t>20526140151</t>
        </is>
      </c>
      <c r="D18" s="17" t="inlineStr">
        <is>
          <t>AUTOMAN CHICLAYO E.I.R.L.</t>
        </is>
      </c>
      <c r="E18" s="17" t="n"/>
      <c r="F18" s="17" t="n"/>
      <c r="G18" s="17" t="n"/>
      <c r="H18" s="17" t="inlineStr">
        <is>
          <t>Persona Jurídica</t>
        </is>
      </c>
      <c r="I18" s="17" t="inlineStr">
        <is>
          <t>Cliente</t>
        </is>
      </c>
      <c r="J18" s="17" t="n"/>
      <c r="K18" s="17" t="n"/>
      <c r="L18" s="23" t="n"/>
      <c r="M18" s="17" t="n"/>
      <c r="N18" s="23" t="n"/>
      <c r="O18" s="17" t="n"/>
      <c r="P18" s="28">
        <f>IF(A18&lt;&gt;"OK","","SELECT cli_crear_clientes(p_codigo_interno =&gt; "&amp;IF(TRIM(N18&amp;"")="","NULL","'"&amp;SUBSTITUTE(TRIM(N18),"'","''")&amp;"'")&amp;", p_razon_social =&gt; "&amp;IF(TRIM(D18&amp;"")="","NULL","'"&amp;SUBSTITUTE(TRIM(D18),"'","''")&amp;"'")&amp;", p_id_tipo_cliente =&gt; "&amp;IF(TRIM(I18&amp;"")="","NULL","(SELECT lo.id FROM gen_lista_opciones lo JOIN gen_lista l ON l.id = lo.id_lista WHERE l.nombre = 'TipoCliente' AND upper(lo.nombre) = upper('"&amp;SUBSTITUTE(TRIM(I18),"'","''")&amp;"') AND lo.estado = 1 LIMIT 1)")&amp;", p_id_tipo_persona =&gt; "&amp;IF(TRIM(H18&amp;"")="","NULL","(SELECT lo.id FROM gen_lista_opciones lo JOIN gen_lista l ON l.id = lo.id_lista WHERE l.nombre = 'TipoPersona' AND upper(lo.nombre) = upper('"&amp;SUBSTITUTE(TRIM(H18),"'","''")&amp;"') AND lo.estado = 1 LIMIT 1)")&amp;", p_nombres =&gt; "&amp;IF(TRIM(E18&amp;"")="","NULL","'"&amp;SUBSTITUTE(TRIM(E18),"'","''")&amp;"'")&amp;", p_apellido_paterno =&gt; "&amp;IF(TRIM(F18&amp;"")="","NULL","'"&amp;SUBSTITUTE(TRIM(F18),"'","''")&amp;"'")&amp;", p_apellido_materno =&gt; "&amp;IF(TRIM(G18&amp;"")="","NULL","'"&amp;SUBSTITUTE(TRIM(G18),"'","''")&amp;"'")&amp;", p_id_tipo_documento =&gt; "&amp;IF(TRIM(B18&amp;"")="","NULL","(SELECT lo.id FROM gen_lista_opciones lo JOIN gen_lista l ON l.id = lo.id_lista WHERE l.nombre = 'TipoDocumento' AND upper(lo.nombre) = upper('"&amp;SUBSTITUTE(TRIM(B18),"'","''")&amp;"') AND lo.estado = 1 LIMIT 1)")&amp;", p_numero_documento =&gt; "&amp;IF(TRIM(C18&amp;"")="","NULL","'"&amp;SUBSTITUTE(TRIM(C18),"'","''")&amp;"'")&amp;", p_telefono =&gt; "&amp;IF(TRIM(L18&amp;"")="","NULL","'"&amp;SUBSTITUTE(TRIM(L18),"'","''")&amp;"'")&amp;", p_email =&gt; "&amp;IF(TRIM(M18&amp;"")="","NULL","'"&amp;SUBSTITUTE(TRIM(M18),"'","''")&amp;"'")&amp;", p_observacion =&gt; "&amp;IF(TRIM(O18&amp;"")="","NULL","'"&amp;SUBSTITUTE(TRIM(O18),"'","''")&amp;"'")&amp;", p_direccion =&gt; "&amp;IF(TRIM(J18&amp;"")="","NULL","'"&amp;SUBSTITUTE(TRIM(J18),"'","''")&amp;"'")&amp;", p_referencia =&gt; "&amp;IF(TRIM(K18&amp;"")="","NULL","'"&amp;SUBSTITUTE(TRIM(K18),"'","''")&amp;"'")&amp;") AS resultado_cliente_"&amp;ROW()&amp;";")</f>
        <v/>
      </c>
    </row>
    <row r="19">
      <c r="A19" s="25">
        <f>IF(AND(D19="",E19="",C19=""),"",IF(AND(D19="",E19=""),"FALTA razón social o nombres",IF(AND(C19&lt;&gt;"",SUMPRODUCT(--($C$5:$C$549=C19))&gt;1),"DOCUMENTO DUPLICADO",IF(AND(B19="DNI",C19&lt;&gt;"",LEN(C19&amp;"")&lt;&gt;8),"DNI debe tener 8 dígitos",IF(AND(B19="RUC",C19&lt;&gt;"",LEN(C19&amp;"")&lt;&gt;11),"RUC debe tener 11 dígitos",IF(AND(N19&lt;&gt;"",SUMPRODUCT(--($N$5:$N$549=N19))&gt;1),"CÓDIGO INTERNO DUPLICADO","OK"))))))</f>
        <v/>
      </c>
      <c r="B19" s="17" t="inlineStr">
        <is>
          <t>RUC</t>
        </is>
      </c>
      <c r="C19" s="23" t="inlineStr">
        <is>
          <t>20480748710</t>
        </is>
      </c>
      <c r="D19" s="17" t="inlineStr">
        <is>
          <t>B &amp; V CONSTRUCCIONES METALICAS Y SERVICIOS GENERALES S.R.L.</t>
        </is>
      </c>
      <c r="E19" s="17" t="n"/>
      <c r="F19" s="17" t="n"/>
      <c r="G19" s="17" t="n"/>
      <c r="H19" s="17" t="inlineStr">
        <is>
          <t>Persona Jurídica</t>
        </is>
      </c>
      <c r="I19" s="17" t="inlineStr">
        <is>
          <t>Cliente</t>
        </is>
      </c>
      <c r="J19" s="17" t="n"/>
      <c r="K19" s="17" t="n"/>
      <c r="L19" s="23" t="n"/>
      <c r="M19" s="17" t="n"/>
      <c r="N19" s="23" t="n"/>
      <c r="O19" s="17" t="n"/>
      <c r="P19" s="28">
        <f>IF(A19&lt;&gt;"OK","","SELECT cli_crear_clientes(p_codigo_interno =&gt; "&amp;IF(TRIM(N19&amp;"")="","NULL","'"&amp;SUBSTITUTE(TRIM(N19),"'","''")&amp;"'")&amp;", p_razon_social =&gt; "&amp;IF(TRIM(D19&amp;"")="","NULL","'"&amp;SUBSTITUTE(TRIM(D19),"'","''")&amp;"'")&amp;", p_id_tipo_cliente =&gt; "&amp;IF(TRIM(I19&amp;"")="","NULL","(SELECT lo.id FROM gen_lista_opciones lo JOIN gen_lista l ON l.id = lo.id_lista WHERE l.nombre = 'TipoCliente' AND upper(lo.nombre) = upper('"&amp;SUBSTITUTE(TRIM(I19),"'","''")&amp;"') AND lo.estado = 1 LIMIT 1)")&amp;", p_id_tipo_persona =&gt; "&amp;IF(TRIM(H19&amp;"")="","NULL","(SELECT lo.id FROM gen_lista_opciones lo JOIN gen_lista l ON l.id = lo.id_lista WHERE l.nombre = 'TipoPersona' AND upper(lo.nombre) = upper('"&amp;SUBSTITUTE(TRIM(H19),"'","''")&amp;"') AND lo.estado = 1 LIMIT 1)")&amp;", p_nombres =&gt; "&amp;IF(TRIM(E19&amp;"")="","NULL","'"&amp;SUBSTITUTE(TRIM(E19),"'","''")&amp;"'")&amp;", p_apellido_paterno =&gt; "&amp;IF(TRIM(F19&amp;"")="","NULL","'"&amp;SUBSTITUTE(TRIM(F19),"'","''")&amp;"'")&amp;", p_apellido_materno =&gt; "&amp;IF(TRIM(G19&amp;"")="","NULL","'"&amp;SUBSTITUTE(TRIM(G19),"'","''")&amp;"'")&amp;", p_id_tipo_documento =&gt; "&amp;IF(TRIM(B19&amp;"")="","NULL","(SELECT lo.id FROM gen_lista_opciones lo JOIN gen_lista l ON l.id = lo.id_lista WHERE l.nombre = 'TipoDocumento' AND upper(lo.nombre) = upper('"&amp;SUBSTITUTE(TRIM(B19),"'","''")&amp;"') AND lo.estado = 1 LIMIT 1)")&amp;", p_numero_documento =&gt; "&amp;IF(TRIM(C19&amp;"")="","NULL","'"&amp;SUBSTITUTE(TRIM(C19),"'","''")&amp;"'")&amp;", p_telefono =&gt; "&amp;IF(TRIM(L19&amp;"")="","NULL","'"&amp;SUBSTITUTE(TRIM(L19),"'","''")&amp;"'")&amp;", p_email =&gt; "&amp;IF(TRIM(M19&amp;"")="","NULL","'"&amp;SUBSTITUTE(TRIM(M19),"'","''")&amp;"'")&amp;", p_observacion =&gt; "&amp;IF(TRIM(O19&amp;"")="","NULL","'"&amp;SUBSTITUTE(TRIM(O19),"'","''")&amp;"'")&amp;", p_direccion =&gt; "&amp;IF(TRIM(J19&amp;"")="","NULL","'"&amp;SUBSTITUTE(TRIM(J19),"'","''")&amp;"'")&amp;", p_referencia =&gt; "&amp;IF(TRIM(K19&amp;"")="","NULL","'"&amp;SUBSTITUTE(TRIM(K19),"'","''")&amp;"'")&amp;") AS resultado_cliente_"&amp;ROW()&amp;";")</f>
        <v/>
      </c>
    </row>
    <row r="20">
      <c r="A20" s="25">
        <f>IF(AND(D20="",E20="",C20=""),"",IF(AND(D20="",E20=""),"FALTA razón social o nombres",IF(AND(C20&lt;&gt;"",SUMPRODUCT(--($C$5:$C$549=C20))&gt;1),"DOCUMENTO DUPLICADO",IF(AND(B20="DNI",C20&lt;&gt;"",LEN(C20&amp;"")&lt;&gt;8),"DNI debe tener 8 dígitos",IF(AND(B20="RUC",C20&lt;&gt;"",LEN(C20&amp;"")&lt;&gt;11),"RUC debe tener 11 dígitos",IF(AND(N20&lt;&gt;"",SUMPRODUCT(--($N$5:$N$549=N20))&gt;1),"CÓDIGO INTERNO DUPLICADO","OK"))))))</f>
        <v/>
      </c>
      <c r="B20" s="17" t="inlineStr">
        <is>
          <t>RUC</t>
        </is>
      </c>
      <c r="C20" s="23" t="inlineStr">
        <is>
          <t>10176242073</t>
        </is>
      </c>
      <c r="D20" s="17" t="inlineStr">
        <is>
          <t>BANCES DE LA CRUZ JUAN MANUEL</t>
        </is>
      </c>
      <c r="E20" s="17" t="n"/>
      <c r="F20" s="17" t="n"/>
      <c r="G20" s="17" t="n"/>
      <c r="H20" s="17" t="inlineStr">
        <is>
          <t>Persona Natural</t>
        </is>
      </c>
      <c r="I20" s="17" t="inlineStr">
        <is>
          <t>Cliente</t>
        </is>
      </c>
      <c r="J20" s="17" t="n"/>
      <c r="K20" s="17" t="n"/>
      <c r="L20" s="23" t="n"/>
      <c r="M20" s="17" t="n"/>
      <c r="N20" s="23" t="n"/>
      <c r="O20" s="17" t="n"/>
      <c r="P20" s="28">
        <f>IF(A20&lt;&gt;"OK","","SELECT cli_crear_clientes(p_codigo_interno =&gt; "&amp;IF(TRIM(N20&amp;"")="","NULL","'"&amp;SUBSTITUTE(TRIM(N20),"'","''")&amp;"'")&amp;", p_razon_social =&gt; "&amp;IF(TRIM(D20&amp;"")="","NULL","'"&amp;SUBSTITUTE(TRIM(D20),"'","''")&amp;"'")&amp;", p_id_tipo_cliente =&gt; "&amp;IF(TRIM(I20&amp;"")="","NULL","(SELECT lo.id FROM gen_lista_opciones lo JOIN gen_lista l ON l.id = lo.id_lista WHERE l.nombre = 'TipoCliente' AND upper(lo.nombre) = upper('"&amp;SUBSTITUTE(TRIM(I20),"'","''")&amp;"') AND lo.estado = 1 LIMIT 1)")&amp;", p_id_tipo_persona =&gt; "&amp;IF(TRIM(H20&amp;"")="","NULL","(SELECT lo.id FROM gen_lista_opciones lo JOIN gen_lista l ON l.id = lo.id_lista WHERE l.nombre = 'TipoPersona' AND upper(lo.nombre) = upper('"&amp;SUBSTITUTE(TRIM(H20),"'","''")&amp;"') AND lo.estado = 1 LIMIT 1)")&amp;", p_nombres =&gt; "&amp;IF(TRIM(E20&amp;"")="","NULL","'"&amp;SUBSTITUTE(TRIM(E20),"'","''")&amp;"'")&amp;", p_apellido_paterno =&gt; "&amp;IF(TRIM(F20&amp;"")="","NULL","'"&amp;SUBSTITUTE(TRIM(F20),"'","''")&amp;"'")&amp;", p_apellido_materno =&gt; "&amp;IF(TRIM(G20&amp;"")="","NULL","'"&amp;SUBSTITUTE(TRIM(G20),"'","''")&amp;"'")&amp;", p_id_tipo_documento =&gt; "&amp;IF(TRIM(B20&amp;"")="","NULL","(SELECT lo.id FROM gen_lista_opciones lo JOIN gen_lista l ON l.id = lo.id_lista WHERE l.nombre = 'TipoDocumento' AND upper(lo.nombre) = upper('"&amp;SUBSTITUTE(TRIM(B20),"'","''")&amp;"') AND lo.estado = 1 LIMIT 1)")&amp;", p_numero_documento =&gt; "&amp;IF(TRIM(C20&amp;"")="","NULL","'"&amp;SUBSTITUTE(TRIM(C20),"'","''")&amp;"'")&amp;", p_telefono =&gt; "&amp;IF(TRIM(L20&amp;"")="","NULL","'"&amp;SUBSTITUTE(TRIM(L20),"'","''")&amp;"'")&amp;", p_email =&gt; "&amp;IF(TRIM(M20&amp;"")="","NULL","'"&amp;SUBSTITUTE(TRIM(M20),"'","''")&amp;"'")&amp;", p_observacion =&gt; "&amp;IF(TRIM(O20&amp;"")="","NULL","'"&amp;SUBSTITUTE(TRIM(O20),"'","''")&amp;"'")&amp;", p_direccion =&gt; "&amp;IF(TRIM(J20&amp;"")="","NULL","'"&amp;SUBSTITUTE(TRIM(J20),"'","''")&amp;"'")&amp;", p_referencia =&gt; "&amp;IF(TRIM(K20&amp;"")="","NULL","'"&amp;SUBSTITUTE(TRIM(K20),"'","''")&amp;"'")&amp;") AS resultado_cliente_"&amp;ROW()&amp;";")</f>
        <v/>
      </c>
    </row>
    <row r="21">
      <c r="A21" s="25">
        <f>IF(AND(D21="",E21="",C21=""),"",IF(AND(D21="",E21=""),"FALTA razón social o nombres",IF(AND(C21&lt;&gt;"",SUMPRODUCT(--($C$5:$C$549=C21))&gt;1),"DOCUMENTO DUPLICADO",IF(AND(B21="DNI",C21&lt;&gt;"",LEN(C21&amp;"")&lt;&gt;8),"DNI debe tener 8 dígitos",IF(AND(B21="RUC",C21&lt;&gt;"",LEN(C21&amp;"")&lt;&gt;11),"RUC debe tener 11 dígitos",IF(AND(N21&lt;&gt;"",SUMPRODUCT(--($N$5:$N$549=N21))&gt;1),"CÓDIGO INTERNO DUPLICADO","OK"))))))</f>
        <v/>
      </c>
      <c r="B21" s="17" t="inlineStr">
        <is>
          <t>RUC</t>
        </is>
      </c>
      <c r="C21" s="26" t="inlineStr">
        <is>
          <t>20480725931</t>
        </is>
      </c>
      <c r="D21" s="17" t="inlineStr">
        <is>
          <t>COMERCIAL FRIONORTE E.I.R.L.</t>
        </is>
      </c>
      <c r="E21" s="17" t="n"/>
      <c r="F21" s="17" t="n"/>
      <c r="G21" s="17" t="n"/>
      <c r="H21" s="17" t="inlineStr">
        <is>
          <t>Persona Jurídica</t>
        </is>
      </c>
      <c r="I21" s="17" t="inlineStr">
        <is>
          <t>Cliente</t>
        </is>
      </c>
      <c r="J21" s="17" t="n"/>
      <c r="K21" s="17" t="n"/>
      <c r="L21" s="23" t="n"/>
      <c r="M21" s="17" t="n"/>
      <c r="N21" s="23" t="n"/>
      <c r="O21" s="17" t="n"/>
      <c r="P21" s="28">
        <f>IF(A21&lt;&gt;"OK","","SELECT cli_crear_clientes(p_codigo_interno =&gt; "&amp;IF(TRIM(N21&amp;"")="","NULL","'"&amp;SUBSTITUTE(TRIM(N21),"'","''")&amp;"'")&amp;", p_razon_social =&gt; "&amp;IF(TRIM(D21&amp;"")="","NULL","'"&amp;SUBSTITUTE(TRIM(D21),"'","''")&amp;"'")&amp;", p_id_tipo_cliente =&gt; "&amp;IF(TRIM(I21&amp;"")="","NULL","(SELECT lo.id FROM gen_lista_opciones lo JOIN gen_lista l ON l.id = lo.id_lista WHERE l.nombre = 'TipoCliente' AND upper(lo.nombre) = upper('"&amp;SUBSTITUTE(TRIM(I21),"'","''")&amp;"') AND lo.estado = 1 LIMIT 1)")&amp;", p_id_tipo_persona =&gt; "&amp;IF(TRIM(H21&amp;"")="","NULL","(SELECT lo.id FROM gen_lista_opciones lo JOIN gen_lista l ON l.id = lo.id_lista WHERE l.nombre = 'TipoPersona' AND upper(lo.nombre) = upper('"&amp;SUBSTITUTE(TRIM(H21),"'","''")&amp;"') AND lo.estado = 1 LIMIT 1)")&amp;", p_nombres =&gt; "&amp;IF(TRIM(E21&amp;"")="","NULL","'"&amp;SUBSTITUTE(TRIM(E21),"'","''")&amp;"'")&amp;", p_apellido_paterno =&gt; "&amp;IF(TRIM(F21&amp;"")="","NULL","'"&amp;SUBSTITUTE(TRIM(F21),"'","''")&amp;"'")&amp;", p_apellido_materno =&gt; "&amp;IF(TRIM(G21&amp;"")="","NULL","'"&amp;SUBSTITUTE(TRIM(G21),"'","''")&amp;"'")&amp;", p_id_tipo_documento =&gt; "&amp;IF(TRIM(B21&amp;"")="","NULL","(SELECT lo.id FROM gen_lista_opciones lo JOIN gen_lista l ON l.id = lo.id_lista WHERE l.nombre = 'TipoDocumento' AND upper(lo.nombre) = upper('"&amp;SUBSTITUTE(TRIM(B21),"'","''")&amp;"') AND lo.estado = 1 LIMIT 1)")&amp;", p_numero_documento =&gt; "&amp;IF(TRIM(C21&amp;"")="","NULL","'"&amp;SUBSTITUTE(TRIM(C21),"'","''")&amp;"'")&amp;", p_telefono =&gt; "&amp;IF(TRIM(L21&amp;"")="","NULL","'"&amp;SUBSTITUTE(TRIM(L21),"'","''")&amp;"'")&amp;", p_email =&gt; "&amp;IF(TRIM(M21&amp;"")="","NULL","'"&amp;SUBSTITUTE(TRIM(M21),"'","''")&amp;"'")&amp;", p_observacion =&gt; "&amp;IF(TRIM(O21&amp;"")="","NULL","'"&amp;SUBSTITUTE(TRIM(O21),"'","''")&amp;"'")&amp;", p_direccion =&gt; "&amp;IF(TRIM(J21&amp;"")="","NULL","'"&amp;SUBSTITUTE(TRIM(J21),"'","''")&amp;"'")&amp;", p_referencia =&gt; "&amp;IF(TRIM(K21&amp;"")="","NULL","'"&amp;SUBSTITUTE(TRIM(K21),"'","''")&amp;"'")&amp;") AS resultado_cliente_"&amp;ROW()&amp;";")</f>
        <v/>
      </c>
    </row>
    <row r="22">
      <c r="A22" s="25">
        <f>IF(AND(D22="",E22="",C22=""),"",IF(AND(D22="",E22=""),"FALTA razón social o nombres",IF(AND(C22&lt;&gt;"",SUMPRODUCT(--($C$5:$C$549=C22))&gt;1),"DOCUMENTO DUPLICADO",IF(AND(B22="DNI",C22&lt;&gt;"",LEN(C22&amp;"")&lt;&gt;8),"DNI debe tener 8 dígitos",IF(AND(B22="RUC",C22&lt;&gt;"",LEN(C22&amp;"")&lt;&gt;11),"RUC debe tener 11 dígitos",IF(AND(N22&lt;&gt;"",SUMPRODUCT(--($N$5:$N$549=N22))&gt;1),"CÓDIGO INTERNO DUPLICADO","OK"))))))</f>
        <v/>
      </c>
      <c r="B22" s="17" t="inlineStr">
        <is>
          <t>RUC</t>
        </is>
      </c>
      <c r="C22" s="26" t="inlineStr">
        <is>
          <t>20602694853</t>
        </is>
      </c>
      <c r="D22" s="17" t="inlineStr">
        <is>
          <t>CONSTRUCTORA BRIAMONTE E.I.R.L.</t>
        </is>
      </c>
      <c r="E22" s="17" t="n"/>
      <c r="F22" s="17" t="n"/>
      <c r="G22" s="17" t="n"/>
      <c r="H22" s="17" t="inlineStr">
        <is>
          <t>Persona Jurídica</t>
        </is>
      </c>
      <c r="I22" s="17" t="inlineStr">
        <is>
          <t>Cliente</t>
        </is>
      </c>
      <c r="J22" s="17" t="n"/>
      <c r="K22" s="17" t="n"/>
      <c r="L22" s="23" t="n"/>
      <c r="M22" s="17" t="n"/>
      <c r="N22" s="23" t="n"/>
      <c r="O22" s="17" t="n"/>
      <c r="P22" s="28">
        <f>IF(A22&lt;&gt;"OK","","SELECT cli_crear_clientes(p_codigo_interno =&gt; "&amp;IF(TRIM(N22&amp;"")="","NULL","'"&amp;SUBSTITUTE(TRIM(N22),"'","''")&amp;"'")&amp;", p_razon_social =&gt; "&amp;IF(TRIM(D22&amp;"")="","NULL","'"&amp;SUBSTITUTE(TRIM(D22),"'","''")&amp;"'")&amp;", p_id_tipo_cliente =&gt; "&amp;IF(TRIM(I22&amp;"")="","NULL","(SELECT lo.id FROM gen_lista_opciones lo JOIN gen_lista l ON l.id = lo.id_lista WHERE l.nombre = 'TipoCliente' AND upper(lo.nombre) = upper('"&amp;SUBSTITUTE(TRIM(I22),"'","''")&amp;"') AND lo.estado = 1 LIMIT 1)")&amp;", p_id_tipo_persona =&gt; "&amp;IF(TRIM(H22&amp;"")="","NULL","(SELECT lo.id FROM gen_lista_opciones lo JOIN gen_lista l ON l.id = lo.id_lista WHERE l.nombre = 'TipoPersona' AND upper(lo.nombre) = upper('"&amp;SUBSTITUTE(TRIM(H22),"'","''")&amp;"') AND lo.estado = 1 LIMIT 1)")&amp;", p_nombres =&gt; "&amp;IF(TRIM(E22&amp;"")="","NULL","'"&amp;SUBSTITUTE(TRIM(E22),"'","''")&amp;"'")&amp;", p_apellido_paterno =&gt; "&amp;IF(TRIM(F22&amp;"")="","NULL","'"&amp;SUBSTITUTE(TRIM(F22),"'","''")&amp;"'")&amp;", p_apellido_materno =&gt; "&amp;IF(TRIM(G22&amp;"")="","NULL","'"&amp;SUBSTITUTE(TRIM(G22),"'","''")&amp;"'")&amp;", p_id_tipo_documento =&gt; "&amp;IF(TRIM(B22&amp;"")="","NULL","(SELECT lo.id FROM gen_lista_opciones lo JOIN gen_lista l ON l.id = lo.id_lista WHERE l.nombre = 'TipoDocumento' AND upper(lo.nombre) = upper('"&amp;SUBSTITUTE(TRIM(B22),"'","''")&amp;"') AND lo.estado = 1 LIMIT 1)")&amp;", p_numero_documento =&gt; "&amp;IF(TRIM(C22&amp;"")="","NULL","'"&amp;SUBSTITUTE(TRIM(C22),"'","''")&amp;"'")&amp;", p_telefono =&gt; "&amp;IF(TRIM(L22&amp;"")="","NULL","'"&amp;SUBSTITUTE(TRIM(L22),"'","''")&amp;"'")&amp;", p_email =&gt; "&amp;IF(TRIM(M22&amp;"")="","NULL","'"&amp;SUBSTITUTE(TRIM(M22),"'","''")&amp;"'")&amp;", p_observacion =&gt; "&amp;IF(TRIM(O22&amp;"")="","NULL","'"&amp;SUBSTITUTE(TRIM(O22),"'","''")&amp;"'")&amp;", p_direccion =&gt; "&amp;IF(TRIM(J22&amp;"")="","NULL","'"&amp;SUBSTITUTE(TRIM(J22),"'","''")&amp;"'")&amp;", p_referencia =&gt; "&amp;IF(TRIM(K22&amp;"")="","NULL","'"&amp;SUBSTITUTE(TRIM(K22),"'","''")&amp;"'")&amp;") AS resultado_cliente_"&amp;ROW()&amp;";")</f>
        <v/>
      </c>
    </row>
    <row r="23">
      <c r="A23" s="25">
        <f>IF(AND(D23="",E23="",C23=""),"",IF(AND(D23="",E23=""),"FALTA razón social o nombres",IF(AND(C23&lt;&gt;"",SUMPRODUCT(--($C$5:$C$549=C23))&gt;1),"DOCUMENTO DUPLICADO",IF(AND(B23="DNI",C23&lt;&gt;"",LEN(C23&amp;"")&lt;&gt;8),"DNI debe tener 8 dígitos",IF(AND(B23="RUC",C23&lt;&gt;"",LEN(C23&amp;"")&lt;&gt;11),"RUC debe tener 11 dígitos",IF(AND(N23&lt;&gt;"",SUMPRODUCT(--($N$5:$N$549=N23))&gt;1),"CÓDIGO INTERNO DUPLICADO","OK"))))))</f>
        <v/>
      </c>
      <c r="B23" s="17" t="inlineStr">
        <is>
          <t>DNI</t>
        </is>
      </c>
      <c r="C23" s="26" t="inlineStr">
        <is>
          <t>41079206</t>
        </is>
      </c>
      <c r="D23" s="17" t="inlineStr">
        <is>
          <t>CORREA QUINTOS JACINTO</t>
        </is>
      </c>
      <c r="E23" s="17" t="n"/>
      <c r="F23" s="17" t="n"/>
      <c r="G23" s="17" t="n"/>
      <c r="H23" s="17" t="inlineStr">
        <is>
          <t>Persona Natural</t>
        </is>
      </c>
      <c r="I23" s="17" t="inlineStr">
        <is>
          <t>Cliente</t>
        </is>
      </c>
      <c r="J23" s="17" t="n"/>
      <c r="K23" s="17" t="n"/>
      <c r="L23" s="23" t="n"/>
      <c r="M23" s="17" t="n"/>
      <c r="N23" s="23" t="n"/>
      <c r="O23" s="17" t="n"/>
      <c r="P23" s="28">
        <f>IF(A23&lt;&gt;"OK","","SELECT cli_crear_clientes(p_codigo_interno =&gt; "&amp;IF(TRIM(N23&amp;"")="","NULL","'"&amp;SUBSTITUTE(TRIM(N23),"'","''")&amp;"'")&amp;", p_razon_social =&gt; "&amp;IF(TRIM(D23&amp;"")="","NULL","'"&amp;SUBSTITUTE(TRIM(D23),"'","''")&amp;"'")&amp;", p_id_tipo_cliente =&gt; "&amp;IF(TRIM(I23&amp;"")="","NULL","(SELECT lo.id FROM gen_lista_opciones lo JOIN gen_lista l ON l.id = lo.id_lista WHERE l.nombre = 'TipoCliente' AND upper(lo.nombre) = upper('"&amp;SUBSTITUTE(TRIM(I23),"'","''")&amp;"') AND lo.estado = 1 LIMIT 1)")&amp;", p_id_tipo_persona =&gt; "&amp;IF(TRIM(H23&amp;"")="","NULL","(SELECT lo.id FROM gen_lista_opciones lo JOIN gen_lista l ON l.id = lo.id_lista WHERE l.nombre = 'TipoPersona' AND upper(lo.nombre) = upper('"&amp;SUBSTITUTE(TRIM(H23),"'","''")&amp;"') AND lo.estado = 1 LIMIT 1)")&amp;", p_nombres =&gt; "&amp;IF(TRIM(E23&amp;"")="","NULL","'"&amp;SUBSTITUTE(TRIM(E23),"'","''")&amp;"'")&amp;", p_apellido_paterno =&gt; "&amp;IF(TRIM(F23&amp;"")="","NULL","'"&amp;SUBSTITUTE(TRIM(F23),"'","''")&amp;"'")&amp;", p_apellido_materno =&gt; "&amp;IF(TRIM(G23&amp;"")="","NULL","'"&amp;SUBSTITUTE(TRIM(G23),"'","''")&amp;"'")&amp;", p_id_tipo_documento =&gt; "&amp;IF(TRIM(B23&amp;"")="","NULL","(SELECT lo.id FROM gen_lista_opciones lo JOIN gen_lista l ON l.id = lo.id_lista WHERE l.nombre = 'TipoDocumento' AND upper(lo.nombre) = upper('"&amp;SUBSTITUTE(TRIM(B23),"'","''")&amp;"') AND lo.estado = 1 LIMIT 1)")&amp;", p_numero_documento =&gt; "&amp;IF(TRIM(C23&amp;"")="","NULL","'"&amp;SUBSTITUTE(TRIM(C23),"'","''")&amp;"'")&amp;", p_telefono =&gt; "&amp;IF(TRIM(L23&amp;"")="","NULL","'"&amp;SUBSTITUTE(TRIM(L23),"'","''")&amp;"'")&amp;", p_email =&gt; "&amp;IF(TRIM(M23&amp;"")="","NULL","'"&amp;SUBSTITUTE(TRIM(M23),"'","''")&amp;"'")&amp;", p_observacion =&gt; "&amp;IF(TRIM(O23&amp;"")="","NULL","'"&amp;SUBSTITUTE(TRIM(O23),"'","''")&amp;"'")&amp;", p_direccion =&gt; "&amp;IF(TRIM(J23&amp;"")="","NULL","'"&amp;SUBSTITUTE(TRIM(J23),"'","''")&amp;"'")&amp;", p_referencia =&gt; "&amp;IF(TRIM(K23&amp;"")="","NULL","'"&amp;SUBSTITUTE(TRIM(K23),"'","''")&amp;"'")&amp;") AS resultado_cliente_"&amp;ROW()&amp;";")</f>
        <v/>
      </c>
    </row>
    <row r="24">
      <c r="A24" s="25">
        <f>IF(AND(D24="",E24="",C24=""),"",IF(AND(D24="",E24=""),"FALTA razón social o nombres",IF(AND(C24&lt;&gt;"",SUMPRODUCT(--($C$5:$C$549=C24))&gt;1),"DOCUMENTO DUPLICADO",IF(AND(B24="DNI",C24&lt;&gt;"",LEN(C24&amp;"")&lt;&gt;8),"DNI debe tener 8 dígitos",IF(AND(B24="RUC",C24&lt;&gt;"",LEN(C24&amp;"")&lt;&gt;11),"RUC debe tener 11 dígitos",IF(AND(N24&lt;&gt;"",SUMPRODUCT(--($N$5:$N$549=N24))&gt;1),"CÓDIGO INTERNO DUPLICADO","OK"))))))</f>
        <v/>
      </c>
      <c r="B24" s="17" t="inlineStr">
        <is>
          <t>RUC</t>
        </is>
      </c>
      <c r="C24" s="26" t="inlineStr">
        <is>
          <t>20555041137</t>
        </is>
      </c>
      <c r="D24" s="17" t="inlineStr">
        <is>
          <t>EL CANTARO DE JUANITA S.A.C.</t>
        </is>
      </c>
      <c r="E24" s="17" t="n"/>
      <c r="F24" s="17" t="n"/>
      <c r="G24" s="17" t="n"/>
      <c r="H24" s="17" t="inlineStr">
        <is>
          <t>Persona Jurídica</t>
        </is>
      </c>
      <c r="I24" s="17" t="inlineStr">
        <is>
          <t>Cliente</t>
        </is>
      </c>
      <c r="J24" s="17" t="n"/>
      <c r="K24" s="17" t="n"/>
      <c r="L24" s="23" t="n"/>
      <c r="M24" s="17" t="n"/>
      <c r="N24" s="23" t="n"/>
      <c r="O24" s="17" t="n"/>
      <c r="P24" s="28">
        <f>IF(A24&lt;&gt;"OK","","SELECT cli_crear_clientes(p_codigo_interno =&gt; "&amp;IF(TRIM(N24&amp;"")="","NULL","'"&amp;SUBSTITUTE(TRIM(N24),"'","''")&amp;"'")&amp;", p_razon_social =&gt; "&amp;IF(TRIM(D24&amp;"")="","NULL","'"&amp;SUBSTITUTE(TRIM(D24),"'","''")&amp;"'")&amp;", p_id_tipo_cliente =&gt; "&amp;IF(TRIM(I24&amp;"")="","NULL","(SELECT lo.id FROM gen_lista_opciones lo JOIN gen_lista l ON l.id = lo.id_lista WHERE l.nombre = 'TipoCliente' AND upper(lo.nombre) = upper('"&amp;SUBSTITUTE(TRIM(I24),"'","''")&amp;"') AND lo.estado = 1 LIMIT 1)")&amp;", p_id_tipo_persona =&gt; "&amp;IF(TRIM(H24&amp;"")="","NULL","(SELECT lo.id FROM gen_lista_opciones lo JOIN gen_lista l ON l.id = lo.id_lista WHERE l.nombre = 'TipoPersona' AND upper(lo.nombre) = upper('"&amp;SUBSTITUTE(TRIM(H24),"'","''")&amp;"') AND lo.estado = 1 LIMIT 1)")&amp;", p_nombres =&gt; "&amp;IF(TRIM(E24&amp;"")="","NULL","'"&amp;SUBSTITUTE(TRIM(E24),"'","''")&amp;"'")&amp;", p_apellido_paterno =&gt; "&amp;IF(TRIM(F24&amp;"")="","NULL","'"&amp;SUBSTITUTE(TRIM(F24),"'","''")&amp;"'")&amp;", p_apellido_materno =&gt; "&amp;IF(TRIM(G24&amp;"")="","NULL","'"&amp;SUBSTITUTE(TRIM(G24),"'","''")&amp;"'")&amp;", p_id_tipo_documento =&gt; "&amp;IF(TRIM(B24&amp;"")="","NULL","(SELECT lo.id FROM gen_lista_opciones lo JOIN gen_lista l ON l.id = lo.id_lista WHERE l.nombre = 'TipoDocumento' AND upper(lo.nombre) = upper('"&amp;SUBSTITUTE(TRIM(B24),"'","''")&amp;"') AND lo.estado = 1 LIMIT 1)")&amp;", p_numero_documento =&gt; "&amp;IF(TRIM(C24&amp;"")="","NULL","'"&amp;SUBSTITUTE(TRIM(C24),"'","''")&amp;"'")&amp;", p_telefono =&gt; "&amp;IF(TRIM(L24&amp;"")="","NULL","'"&amp;SUBSTITUTE(TRIM(L24),"'","''")&amp;"'")&amp;", p_email =&gt; "&amp;IF(TRIM(M24&amp;"")="","NULL","'"&amp;SUBSTITUTE(TRIM(M24),"'","''")&amp;"'")&amp;", p_observacion =&gt; "&amp;IF(TRIM(O24&amp;"")="","NULL","'"&amp;SUBSTITUTE(TRIM(O24),"'","''")&amp;"'")&amp;", p_direccion =&gt; "&amp;IF(TRIM(J24&amp;"")="","NULL","'"&amp;SUBSTITUTE(TRIM(J24),"'","''")&amp;"'")&amp;", p_referencia =&gt; "&amp;IF(TRIM(K24&amp;"")="","NULL","'"&amp;SUBSTITUTE(TRIM(K24),"'","''")&amp;"'")&amp;") AS resultado_cliente_"&amp;ROW()&amp;";")</f>
        <v/>
      </c>
    </row>
    <row r="25">
      <c r="A25" s="25">
        <f>IF(AND(D25="",E25="",C25=""),"",IF(AND(D25="",E25=""),"FALTA razón social o nombres",IF(AND(C25&lt;&gt;"",SUMPRODUCT(--($C$5:$C$549=C25))&gt;1),"DOCUMENTO DUPLICADO",IF(AND(B25="DNI",C25&lt;&gt;"",LEN(C25&amp;"")&lt;&gt;8),"DNI debe tener 8 dígitos",IF(AND(B25="RUC",C25&lt;&gt;"",LEN(C25&amp;"")&lt;&gt;11),"RUC debe tener 11 dígitos",IF(AND(N25&lt;&gt;"",SUMPRODUCT(--($N$5:$N$549=N25))&gt;1),"CÓDIGO INTERNO DUPLICADO","OK"))))))</f>
        <v/>
      </c>
      <c r="B25" s="17" t="inlineStr">
        <is>
          <t>RUC</t>
        </is>
      </c>
      <c r="C25" s="26" t="inlineStr">
        <is>
          <t>20103626448</t>
        </is>
      </c>
      <c r="D25" s="17" t="inlineStr">
        <is>
          <t>EMPRESA DE TRANSPORTES CHICLAYO S.A.</t>
        </is>
      </c>
      <c r="E25" s="17" t="n"/>
      <c r="F25" s="17" t="n"/>
      <c r="G25" s="17" t="n"/>
      <c r="H25" s="17" t="inlineStr">
        <is>
          <t>Persona Jurídica</t>
        </is>
      </c>
      <c r="I25" s="17" t="inlineStr">
        <is>
          <t>Cliente</t>
        </is>
      </c>
      <c r="J25" s="17" t="n"/>
      <c r="K25" s="17" t="n"/>
      <c r="L25" s="23" t="n"/>
      <c r="M25" s="17" t="n"/>
      <c r="N25" s="23" t="n"/>
      <c r="O25" s="17" t="n"/>
      <c r="P25" s="28">
        <f>IF(A25&lt;&gt;"OK","","SELECT cli_crear_clientes(p_codigo_interno =&gt; "&amp;IF(TRIM(N25&amp;"")="","NULL","'"&amp;SUBSTITUTE(TRIM(N25),"'","''")&amp;"'")&amp;", p_razon_social =&gt; "&amp;IF(TRIM(D25&amp;"")="","NULL","'"&amp;SUBSTITUTE(TRIM(D25),"'","''")&amp;"'")&amp;", p_id_tipo_cliente =&gt; "&amp;IF(TRIM(I25&amp;"")="","NULL","(SELECT lo.id FROM gen_lista_opciones lo JOIN gen_lista l ON l.id = lo.id_lista WHERE l.nombre = 'TipoCliente' AND upper(lo.nombre) = upper('"&amp;SUBSTITUTE(TRIM(I25),"'","''")&amp;"') AND lo.estado = 1 LIMIT 1)")&amp;", p_id_tipo_persona =&gt; "&amp;IF(TRIM(H25&amp;"")="","NULL","(SELECT lo.id FROM gen_lista_opciones lo JOIN gen_lista l ON l.id = lo.id_lista WHERE l.nombre = 'TipoPersona' AND upper(lo.nombre) = upper('"&amp;SUBSTITUTE(TRIM(H25),"'","''")&amp;"') AND lo.estado = 1 LIMIT 1)")&amp;", p_nombres =&gt; "&amp;IF(TRIM(E25&amp;"")="","NULL","'"&amp;SUBSTITUTE(TRIM(E25),"'","''")&amp;"'")&amp;", p_apellido_paterno =&gt; "&amp;IF(TRIM(F25&amp;"")="","NULL","'"&amp;SUBSTITUTE(TRIM(F25),"'","''")&amp;"'")&amp;", p_apellido_materno =&gt; "&amp;IF(TRIM(G25&amp;"")="","NULL","'"&amp;SUBSTITUTE(TRIM(G25),"'","''")&amp;"'")&amp;", p_id_tipo_documento =&gt; "&amp;IF(TRIM(B25&amp;"")="","NULL","(SELECT lo.id FROM gen_lista_opciones lo JOIN gen_lista l ON l.id = lo.id_lista WHERE l.nombre = 'TipoDocumento' AND upper(lo.nombre) = upper('"&amp;SUBSTITUTE(TRIM(B25),"'","''")&amp;"') AND lo.estado = 1 LIMIT 1)")&amp;", p_numero_documento =&gt; "&amp;IF(TRIM(C25&amp;"")="","NULL","'"&amp;SUBSTITUTE(TRIM(C25),"'","''")&amp;"'")&amp;", p_telefono =&gt; "&amp;IF(TRIM(L25&amp;"")="","NULL","'"&amp;SUBSTITUTE(TRIM(L25),"'","''")&amp;"'")&amp;", p_email =&gt; "&amp;IF(TRIM(M25&amp;"")="","NULL","'"&amp;SUBSTITUTE(TRIM(M25),"'","''")&amp;"'")&amp;", p_observacion =&gt; "&amp;IF(TRIM(O25&amp;"")="","NULL","'"&amp;SUBSTITUTE(TRIM(O25),"'","''")&amp;"'")&amp;", p_direccion =&gt; "&amp;IF(TRIM(J25&amp;"")="","NULL","'"&amp;SUBSTITUTE(TRIM(J25),"'","''")&amp;"'")&amp;", p_referencia =&gt; "&amp;IF(TRIM(K25&amp;"")="","NULL","'"&amp;SUBSTITUTE(TRIM(K25),"'","''")&amp;"'")&amp;") AS resultado_cliente_"&amp;ROW()&amp;";")</f>
        <v/>
      </c>
    </row>
    <row r="26" ht="15.75" customHeight="1" s="64">
      <c r="A26" s="25">
        <f>IF(AND(D26="",E26="",C26=""),"",IF(AND(D26="",E26=""),"FALTA razón social o nombres",IF(AND(C26&lt;&gt;"",SUMPRODUCT(--($C$5:$C$549=C26))&gt;1),"DOCUMENTO DUPLICADO",IF(AND(B26="DNI",C26&lt;&gt;"",LEN(C26&amp;"")&lt;&gt;8),"DNI debe tener 8 dígitos",IF(AND(B26="RUC",C26&lt;&gt;"",LEN(C26&amp;"")&lt;&gt;11),"RUC debe tener 11 dígitos",IF(AND(N26&lt;&gt;"",SUMPRODUCT(--($N$5:$N$549=N26))&gt;1),"CÓDIGO INTERNO DUPLICADO","OK"))))))</f>
        <v/>
      </c>
      <c r="B26" s="17" t="inlineStr">
        <is>
          <t>RUC</t>
        </is>
      </c>
      <c r="C26" s="23" t="inlineStr">
        <is>
          <t>20103448591</t>
        </is>
      </c>
      <c r="D26" s="17" t="inlineStr">
        <is>
          <t>EMPRESA PRESTADORA DE SERVICIOS DE SANEAMIENTO DE AGUA POTABLE Y ALCANTARILLADO DE LAMBAYEQUE S.A.</t>
        </is>
      </c>
      <c r="E26" s="17" t="n"/>
      <c r="F26" s="17" t="n"/>
      <c r="G26" s="17" t="n"/>
      <c r="H26" s="17" t="inlineStr">
        <is>
          <t>Persona Jurídica</t>
        </is>
      </c>
      <c r="I26" s="17" t="inlineStr">
        <is>
          <t>Cliente</t>
        </is>
      </c>
      <c r="J26" s="17" t="inlineStr">
        <is>
          <t>AV. SAENZ PEÑA NRO. 1860 URB. LATINA L</t>
        </is>
      </c>
      <c r="K26" s="17" t="n"/>
      <c r="L26" s="23" t="n"/>
      <c r="M26" s="17" t="n"/>
      <c r="N26" s="23" t="n"/>
      <c r="O26" s="17" t="n"/>
      <c r="P26" s="28">
        <f>IF(A26&lt;&gt;"OK","","SELECT cli_crear_clientes(p_codigo_interno =&gt; "&amp;IF(TRIM(N26&amp;"")="","NULL","'"&amp;SUBSTITUTE(TRIM(N26),"'","''")&amp;"'")&amp;", p_razon_social =&gt; "&amp;IF(TRIM(D26&amp;"")="","NULL","'"&amp;SUBSTITUTE(TRIM(D26),"'","''")&amp;"'")&amp;", p_id_tipo_cliente =&gt; "&amp;IF(TRIM(I26&amp;"")="","NULL","(SELECT lo.id FROM gen_lista_opciones lo JOIN gen_lista l ON l.id = lo.id_lista WHERE l.nombre = 'TipoCliente' AND upper(lo.nombre) = upper('"&amp;SUBSTITUTE(TRIM(I26),"'","''")&amp;"') AND lo.estado = 1 LIMIT 1)")&amp;", p_id_tipo_persona =&gt; "&amp;IF(TRIM(H26&amp;"")="","NULL","(SELECT lo.id FROM gen_lista_opciones lo JOIN gen_lista l ON l.id = lo.id_lista WHERE l.nombre = 'TipoPersona' AND upper(lo.nombre) = upper('"&amp;SUBSTITUTE(TRIM(H26),"'","''")&amp;"') AND lo.estado = 1 LIMIT 1)")&amp;", p_nombres =&gt; "&amp;IF(TRIM(E26&amp;"")="","NULL","'"&amp;SUBSTITUTE(TRIM(E26),"'","''")&amp;"'")&amp;", p_apellido_paterno =&gt; "&amp;IF(TRIM(F26&amp;"")="","NULL","'"&amp;SUBSTITUTE(TRIM(F26),"'","''")&amp;"'")&amp;", p_apellido_materno =&gt; "&amp;IF(TRIM(G26&amp;"")="","NULL","'"&amp;SUBSTITUTE(TRIM(G26),"'","''")&amp;"'")&amp;", p_id_tipo_documento =&gt; "&amp;IF(TRIM(B26&amp;"")="","NULL","(SELECT lo.id FROM gen_lista_opciones lo JOIN gen_lista l ON l.id = lo.id_lista WHERE l.nombre = 'TipoDocumento' AND upper(lo.nombre) = upper('"&amp;SUBSTITUTE(TRIM(B26),"'","''")&amp;"') AND lo.estado = 1 LIMIT 1)")&amp;", p_numero_documento =&gt; "&amp;IF(TRIM(C26&amp;"")="","NULL","'"&amp;SUBSTITUTE(TRIM(C26),"'","''")&amp;"'")&amp;", p_telefono =&gt; "&amp;IF(TRIM(L26&amp;"")="","NULL","'"&amp;SUBSTITUTE(TRIM(L26),"'","''")&amp;"'")&amp;", p_email =&gt; "&amp;IF(TRIM(M26&amp;"")="","NULL","'"&amp;SUBSTITUTE(TRIM(M26),"'","''")&amp;"'")&amp;", p_observacion =&gt; "&amp;IF(TRIM(O26&amp;"")="","NULL","'"&amp;SUBSTITUTE(TRIM(O26),"'","''")&amp;"'")&amp;", p_direccion =&gt; "&amp;IF(TRIM(J26&amp;"")="","NULL","'"&amp;SUBSTITUTE(TRIM(J26),"'","''")&amp;"'")&amp;", p_referencia =&gt; "&amp;IF(TRIM(K26&amp;"")="","NULL","'"&amp;SUBSTITUTE(TRIM(K26),"'","''")&amp;"'")&amp;") AS resultado_cliente_"&amp;ROW()&amp;";")</f>
        <v/>
      </c>
    </row>
    <row r="27" ht="15.75" customHeight="1" s="64">
      <c r="A27" s="25">
        <f>IF(AND(D27="",E27="",C27=""),"",IF(AND(D27="",E27=""),"FALTA razón social o nombres",IF(AND(C27&lt;&gt;"",SUMPRODUCT(--($C$5:$C$549=C27))&gt;1),"DOCUMENTO DUPLICADO",IF(AND(B27="DNI",C27&lt;&gt;"",LEN(C27&amp;"")&lt;&gt;8),"DNI debe tener 8 dígitos",IF(AND(B27="RUC",C27&lt;&gt;"",LEN(C27&amp;"")&lt;&gt;11),"RUC debe tener 11 dígitos",IF(AND(N27&lt;&gt;"",SUMPRODUCT(--($N$5:$N$549=N27))&gt;1),"CÓDIGO INTERNO DUPLICADO","OK"))))))</f>
        <v/>
      </c>
      <c r="B27" s="17" t="inlineStr">
        <is>
          <t>RUC</t>
        </is>
      </c>
      <c r="C27" s="26" t="inlineStr">
        <is>
          <t>20608737848</t>
        </is>
      </c>
      <c r="D27" s="26" t="inlineStr">
        <is>
          <t>ENERGIAS RS E.I.R.L.</t>
        </is>
      </c>
      <c r="E27" s="17" t="n"/>
      <c r="F27" s="17" t="n"/>
      <c r="G27" s="17" t="n"/>
      <c r="H27" s="17" t="inlineStr">
        <is>
          <t>Persona Jurídica</t>
        </is>
      </c>
      <c r="I27" s="17" t="inlineStr">
        <is>
          <t>Cliente</t>
        </is>
      </c>
      <c r="J27" s="17" t="n"/>
      <c r="K27" s="17" t="n"/>
      <c r="L27" s="23" t="n"/>
      <c r="M27" s="17" t="n"/>
      <c r="N27" s="23" t="n"/>
      <c r="O27" s="17" t="n"/>
      <c r="P27" s="28">
        <f>IF(A27&lt;&gt;"OK","","SELECT cli_crear_clientes(p_codigo_interno =&gt; "&amp;IF(TRIM(N27&amp;"")="","NULL","'"&amp;SUBSTITUTE(TRIM(N27),"'","''")&amp;"'")&amp;", p_razon_social =&gt; "&amp;IF(TRIM(D27&amp;"")="","NULL","'"&amp;SUBSTITUTE(TRIM(D27),"'","''")&amp;"'")&amp;", p_id_tipo_cliente =&gt; "&amp;IF(TRIM(I27&amp;"")="","NULL","(SELECT lo.id FROM gen_lista_opciones lo JOIN gen_lista l ON l.id = lo.id_lista WHERE l.nombre = 'TipoCliente' AND upper(lo.nombre) = upper('"&amp;SUBSTITUTE(TRIM(I27),"'","''")&amp;"') AND lo.estado = 1 LIMIT 1)")&amp;", p_id_tipo_persona =&gt; "&amp;IF(TRIM(H27&amp;"")="","NULL","(SELECT lo.id FROM gen_lista_opciones lo JOIN gen_lista l ON l.id = lo.id_lista WHERE l.nombre = 'TipoPersona' AND upper(lo.nombre) = upper('"&amp;SUBSTITUTE(TRIM(H27),"'","''")&amp;"') AND lo.estado = 1 LIMIT 1)")&amp;", p_nombres =&gt; "&amp;IF(TRIM(E27&amp;"")="","NULL","'"&amp;SUBSTITUTE(TRIM(E27),"'","''")&amp;"'")&amp;", p_apellido_paterno =&gt; "&amp;IF(TRIM(F27&amp;"")="","NULL","'"&amp;SUBSTITUTE(TRIM(F27),"'","''")&amp;"'")&amp;", p_apellido_materno =&gt; "&amp;IF(TRIM(G27&amp;"")="","NULL","'"&amp;SUBSTITUTE(TRIM(G27),"'","''")&amp;"'")&amp;", p_id_tipo_documento =&gt; "&amp;IF(TRIM(B27&amp;"")="","NULL","(SELECT lo.id FROM gen_lista_opciones lo JOIN gen_lista l ON l.id = lo.id_lista WHERE l.nombre = 'TipoDocumento' AND upper(lo.nombre) = upper('"&amp;SUBSTITUTE(TRIM(B27),"'","''")&amp;"') AND lo.estado = 1 LIMIT 1)")&amp;", p_numero_documento =&gt; "&amp;IF(TRIM(C27&amp;"")="","NULL","'"&amp;SUBSTITUTE(TRIM(C27),"'","''")&amp;"'")&amp;", p_telefono =&gt; "&amp;IF(TRIM(L27&amp;"")="","NULL","'"&amp;SUBSTITUTE(TRIM(L27),"'","''")&amp;"'")&amp;", p_email =&gt; "&amp;IF(TRIM(M27&amp;"")="","NULL","'"&amp;SUBSTITUTE(TRIM(M27),"'","''")&amp;"'")&amp;", p_observacion =&gt; "&amp;IF(TRIM(O27&amp;"")="","NULL","'"&amp;SUBSTITUTE(TRIM(O27),"'","''")&amp;"'")&amp;", p_direccion =&gt; "&amp;IF(TRIM(J27&amp;"")="","NULL","'"&amp;SUBSTITUTE(TRIM(J27),"'","''")&amp;"'")&amp;", p_referencia =&gt; "&amp;IF(TRIM(K27&amp;"")="","NULL","'"&amp;SUBSTITUTE(TRIM(K27),"'","''")&amp;"'")&amp;") AS resultado_cliente_"&amp;ROW()&amp;";")</f>
        <v/>
      </c>
    </row>
    <row r="28" ht="15.75" customHeight="1" s="64">
      <c r="A28" s="25">
        <f>IF(AND(D28="",E28="",C28=""),"",IF(AND(D28="",E28=""),"FALTA razón social o nombres",IF(AND(C28&lt;&gt;"",SUMPRODUCT(--($C$5:$C$549=C28))&gt;1),"DOCUMENTO DUPLICADO",IF(AND(B28="DNI",C28&lt;&gt;"",LEN(C28&amp;"")&lt;&gt;8),"DNI debe tener 8 dígitos",IF(AND(B28="RUC",C28&lt;&gt;"",LEN(C28&amp;"")&lt;&gt;11),"RUC debe tener 11 dígitos",IF(AND(N28&lt;&gt;"",SUMPRODUCT(--($N$5:$N$549=N28))&gt;1),"CÓDIGO INTERNO DUPLICADO","OK"))))))</f>
        <v/>
      </c>
      <c r="B28" s="17" t="inlineStr">
        <is>
          <t>RUC</t>
        </is>
      </c>
      <c r="C28" s="26" t="inlineStr">
        <is>
          <t>20614101939</t>
        </is>
      </c>
      <c r="D28" s="26" t="inlineStr">
        <is>
          <t>ESCOBAR PROYECTOS GENERALES S.R.L.</t>
        </is>
      </c>
      <c r="E28" s="17" t="n"/>
      <c r="F28" s="17" t="n"/>
      <c r="G28" s="17" t="n"/>
      <c r="H28" s="17" t="inlineStr">
        <is>
          <t>Persona Jurídica</t>
        </is>
      </c>
      <c r="I28" s="17" t="inlineStr">
        <is>
          <t>Cliente</t>
        </is>
      </c>
      <c r="J28" s="17" t="n"/>
      <c r="K28" s="17" t="n"/>
      <c r="L28" s="23" t="n"/>
      <c r="M28" s="17" t="n"/>
      <c r="N28" s="23" t="n"/>
      <c r="O28" s="17" t="n"/>
      <c r="P28" s="28">
        <f>IF(A28&lt;&gt;"OK","","SELECT cli_crear_clientes(p_codigo_interno =&gt; "&amp;IF(TRIM(N28&amp;"")="","NULL","'"&amp;SUBSTITUTE(TRIM(N28),"'","''")&amp;"'")&amp;", p_razon_social =&gt; "&amp;IF(TRIM(D28&amp;"")="","NULL","'"&amp;SUBSTITUTE(TRIM(D28),"'","''")&amp;"'")&amp;", p_id_tipo_cliente =&gt; "&amp;IF(TRIM(I28&amp;"")="","NULL","(SELECT lo.id FROM gen_lista_opciones lo JOIN gen_lista l ON l.id = lo.id_lista WHERE l.nombre = 'TipoCliente' AND upper(lo.nombre) = upper('"&amp;SUBSTITUTE(TRIM(I28),"'","''")&amp;"') AND lo.estado = 1 LIMIT 1)")&amp;", p_id_tipo_persona =&gt; "&amp;IF(TRIM(H28&amp;"")="","NULL","(SELECT lo.id FROM gen_lista_opciones lo JOIN gen_lista l ON l.id = lo.id_lista WHERE l.nombre = 'TipoPersona' AND upper(lo.nombre) = upper('"&amp;SUBSTITUTE(TRIM(H28),"'","''")&amp;"') AND lo.estado = 1 LIMIT 1)")&amp;", p_nombres =&gt; "&amp;IF(TRIM(E28&amp;"")="","NULL","'"&amp;SUBSTITUTE(TRIM(E28),"'","''")&amp;"'")&amp;", p_apellido_paterno =&gt; "&amp;IF(TRIM(F28&amp;"")="","NULL","'"&amp;SUBSTITUTE(TRIM(F28),"'","''")&amp;"'")&amp;", p_apellido_materno =&gt; "&amp;IF(TRIM(G28&amp;"")="","NULL","'"&amp;SUBSTITUTE(TRIM(G28),"'","''")&amp;"'")&amp;", p_id_tipo_documento =&gt; "&amp;IF(TRIM(B28&amp;"")="","NULL","(SELECT lo.id FROM gen_lista_opciones lo JOIN gen_lista l ON l.id = lo.id_lista WHERE l.nombre = 'TipoDocumento' AND upper(lo.nombre) = upper('"&amp;SUBSTITUTE(TRIM(B28),"'","''")&amp;"') AND lo.estado = 1 LIMIT 1)")&amp;", p_numero_documento =&gt; "&amp;IF(TRIM(C28&amp;"")="","NULL","'"&amp;SUBSTITUTE(TRIM(C28),"'","''")&amp;"'")&amp;", p_telefono =&gt; "&amp;IF(TRIM(L28&amp;"")="","NULL","'"&amp;SUBSTITUTE(TRIM(L28),"'","''")&amp;"'")&amp;", p_email =&gt; "&amp;IF(TRIM(M28&amp;"")="","NULL","'"&amp;SUBSTITUTE(TRIM(M28),"'","''")&amp;"'")&amp;", p_observacion =&gt; "&amp;IF(TRIM(O28&amp;"")="","NULL","'"&amp;SUBSTITUTE(TRIM(O28),"'","''")&amp;"'")&amp;", p_direccion =&gt; "&amp;IF(TRIM(J28&amp;"")="","NULL","'"&amp;SUBSTITUTE(TRIM(J28),"'","''")&amp;"'")&amp;", p_referencia =&gt; "&amp;IF(TRIM(K28&amp;"")="","NULL","'"&amp;SUBSTITUTE(TRIM(K28),"'","''")&amp;"'")&amp;") AS resultado_cliente_"&amp;ROW()&amp;";")</f>
        <v/>
      </c>
    </row>
    <row r="29" ht="15.75" customHeight="1" s="64">
      <c r="A29" s="25">
        <f>IF(AND(D29="",E29="",C29=""),"",IF(AND(D29="",E29=""),"FALTA razón social o nombres",IF(AND(C29&lt;&gt;"",SUMPRODUCT(--($C$5:$C$549=C29))&gt;1),"DOCUMENTO DUPLICADO",IF(AND(B29="DNI",C29&lt;&gt;"",LEN(C29&amp;"")&lt;&gt;8),"DNI debe tener 8 dígitos",IF(AND(B29="RUC",C29&lt;&gt;"",LEN(C29&amp;"")&lt;&gt;11),"RUC debe tener 11 dígitos",IF(AND(N29&lt;&gt;"",SUMPRODUCT(--($N$5:$N$549=N29))&gt;1),"CÓDIGO INTERNO DUPLICADO","OK"))))))</f>
        <v/>
      </c>
      <c r="B29" s="17" t="inlineStr">
        <is>
          <t>RUC</t>
        </is>
      </c>
      <c r="C29" s="23" t="inlineStr">
        <is>
          <t>20608793080</t>
        </is>
      </c>
      <c r="D29" s="17" t="inlineStr">
        <is>
          <t>ESSANT S.R.L.</t>
        </is>
      </c>
      <c r="E29" s="17" t="n"/>
      <c r="F29" s="17" t="n"/>
      <c r="G29" s="17" t="n"/>
      <c r="H29" s="17" t="inlineStr">
        <is>
          <t>Persona Jurídica</t>
        </is>
      </c>
      <c r="I29" s="17" t="inlineStr">
        <is>
          <t>Cliente</t>
        </is>
      </c>
      <c r="J29" s="17" t="n"/>
      <c r="K29" s="17" t="n"/>
      <c r="L29" s="23" t="n"/>
      <c r="M29" s="17" t="n"/>
      <c r="N29" s="23" t="n"/>
      <c r="O29" s="17" t="n"/>
      <c r="P29" s="28">
        <f>IF(A29&lt;&gt;"OK","","SELECT cli_crear_clientes(p_codigo_interno =&gt; "&amp;IF(TRIM(N29&amp;"")="","NULL","'"&amp;SUBSTITUTE(TRIM(N29),"'","''")&amp;"'")&amp;", p_razon_social =&gt; "&amp;IF(TRIM(D29&amp;"")="","NULL","'"&amp;SUBSTITUTE(TRIM(D29),"'","''")&amp;"'")&amp;", p_id_tipo_cliente =&gt; "&amp;IF(TRIM(I29&amp;"")="","NULL","(SELECT lo.id FROM gen_lista_opciones lo JOIN gen_lista l ON l.id = lo.id_lista WHERE l.nombre = 'TipoCliente' AND upper(lo.nombre) = upper('"&amp;SUBSTITUTE(TRIM(I29),"'","''")&amp;"') AND lo.estado = 1 LIMIT 1)")&amp;", p_id_tipo_persona =&gt; "&amp;IF(TRIM(H29&amp;"")="","NULL","(SELECT lo.id FROM gen_lista_opciones lo JOIN gen_lista l ON l.id = lo.id_lista WHERE l.nombre = 'TipoPersona' AND upper(lo.nombre) = upper('"&amp;SUBSTITUTE(TRIM(H29),"'","''")&amp;"') AND lo.estado = 1 LIMIT 1)")&amp;", p_nombres =&gt; "&amp;IF(TRIM(E29&amp;"")="","NULL","'"&amp;SUBSTITUTE(TRIM(E29),"'","''")&amp;"'")&amp;", p_apellido_paterno =&gt; "&amp;IF(TRIM(F29&amp;"")="","NULL","'"&amp;SUBSTITUTE(TRIM(F29),"'","''")&amp;"'")&amp;", p_apellido_materno =&gt; "&amp;IF(TRIM(G29&amp;"")="","NULL","'"&amp;SUBSTITUTE(TRIM(G29),"'","''")&amp;"'")&amp;", p_id_tipo_documento =&gt; "&amp;IF(TRIM(B29&amp;"")="","NULL","(SELECT lo.id FROM gen_lista_opciones lo JOIN gen_lista l ON l.id = lo.id_lista WHERE l.nombre = 'TipoDocumento' AND upper(lo.nombre) = upper('"&amp;SUBSTITUTE(TRIM(B29),"'","''")&amp;"') AND lo.estado = 1 LIMIT 1)")&amp;", p_numero_documento =&gt; "&amp;IF(TRIM(C29&amp;"")="","NULL","'"&amp;SUBSTITUTE(TRIM(C29),"'","''")&amp;"'")&amp;", p_telefono =&gt; "&amp;IF(TRIM(L29&amp;"")="","NULL","'"&amp;SUBSTITUTE(TRIM(L29),"'","''")&amp;"'")&amp;", p_email =&gt; "&amp;IF(TRIM(M29&amp;"")="","NULL","'"&amp;SUBSTITUTE(TRIM(M29),"'","''")&amp;"'")&amp;", p_observacion =&gt; "&amp;IF(TRIM(O29&amp;"")="","NULL","'"&amp;SUBSTITUTE(TRIM(O29),"'","''")&amp;"'")&amp;", p_direccion =&gt; "&amp;IF(TRIM(J29&amp;"")="","NULL","'"&amp;SUBSTITUTE(TRIM(J29),"'","''")&amp;"'")&amp;", p_referencia =&gt; "&amp;IF(TRIM(K29&amp;"")="","NULL","'"&amp;SUBSTITUTE(TRIM(K29),"'","''")&amp;"'")&amp;") AS resultado_cliente_"&amp;ROW()&amp;";")</f>
        <v/>
      </c>
    </row>
    <row r="30" ht="15.75" customHeight="1" s="64">
      <c r="A30" s="25">
        <f>IF(AND(D30="",E30="",C30=""),"",IF(AND(D30="",E30=""),"FALTA razón social o nombres",IF(AND(C30&lt;&gt;"",SUMPRODUCT(--($C$5:$C$549=C30))&gt;1),"DOCUMENTO DUPLICADO",IF(AND(B30="DNI",C30&lt;&gt;"",LEN(C30&amp;"")&lt;&gt;8),"DNI debe tener 8 dígitos",IF(AND(B30="RUC",C30&lt;&gt;"",LEN(C30&amp;"")&lt;&gt;11),"RUC debe tener 11 dígitos",IF(AND(N30&lt;&gt;"",SUMPRODUCT(--($N$5:$N$549=N30))&gt;1),"CÓDIGO INTERNO DUPLICADO","OK"))))))</f>
        <v/>
      </c>
      <c r="B30" s="17" t="inlineStr">
        <is>
          <t>RUC</t>
        </is>
      </c>
      <c r="C30" s="26" t="inlineStr">
        <is>
          <t>20480192932</t>
        </is>
      </c>
      <c r="D30" s="17" t="inlineStr">
        <is>
          <t>FABRICACIONES Y SERVICIOS GUZMAN S.A.C.</t>
        </is>
      </c>
      <c r="E30" s="17" t="n"/>
      <c r="F30" s="17" t="n"/>
      <c r="G30" s="17" t="n"/>
      <c r="H30" s="17" t="inlineStr">
        <is>
          <t>Persona Jurídica</t>
        </is>
      </c>
      <c r="I30" s="17" t="inlineStr">
        <is>
          <t>Cliente</t>
        </is>
      </c>
      <c r="J30" s="17" t="n"/>
      <c r="K30" s="17" t="n"/>
      <c r="L30" s="23" t="n"/>
      <c r="M30" s="17" t="n"/>
      <c r="N30" s="23" t="n"/>
      <c r="O30" s="17" t="n"/>
      <c r="P30" s="28">
        <f>IF(A30&lt;&gt;"OK","","SELECT cli_crear_clientes(p_codigo_interno =&gt; "&amp;IF(TRIM(N30&amp;"")="","NULL","'"&amp;SUBSTITUTE(TRIM(N30),"'","''")&amp;"'")&amp;", p_razon_social =&gt; "&amp;IF(TRIM(D30&amp;"")="","NULL","'"&amp;SUBSTITUTE(TRIM(D30),"'","''")&amp;"'")&amp;", p_id_tipo_cliente =&gt; "&amp;IF(TRIM(I30&amp;"")="","NULL","(SELECT lo.id FROM gen_lista_opciones lo JOIN gen_lista l ON l.id = lo.id_lista WHERE l.nombre = 'TipoCliente' AND upper(lo.nombre) = upper('"&amp;SUBSTITUTE(TRIM(I30),"'","''")&amp;"') AND lo.estado = 1 LIMIT 1)")&amp;", p_id_tipo_persona =&gt; "&amp;IF(TRIM(H30&amp;"")="","NULL","(SELECT lo.id FROM gen_lista_opciones lo JOIN gen_lista l ON l.id = lo.id_lista WHERE l.nombre = 'TipoPersona' AND upper(lo.nombre) = upper('"&amp;SUBSTITUTE(TRIM(H30),"'","''")&amp;"') AND lo.estado = 1 LIMIT 1)")&amp;", p_nombres =&gt; "&amp;IF(TRIM(E30&amp;"")="","NULL","'"&amp;SUBSTITUTE(TRIM(E30),"'","''")&amp;"'")&amp;", p_apellido_paterno =&gt; "&amp;IF(TRIM(F30&amp;"")="","NULL","'"&amp;SUBSTITUTE(TRIM(F30),"'","''")&amp;"'")&amp;", p_apellido_materno =&gt; "&amp;IF(TRIM(G30&amp;"")="","NULL","'"&amp;SUBSTITUTE(TRIM(G30),"'","''")&amp;"'")&amp;", p_id_tipo_documento =&gt; "&amp;IF(TRIM(B30&amp;"")="","NULL","(SELECT lo.id FROM gen_lista_opciones lo JOIN gen_lista l ON l.id = lo.id_lista WHERE l.nombre = 'TipoDocumento' AND upper(lo.nombre) = upper('"&amp;SUBSTITUTE(TRIM(B30),"'","''")&amp;"') AND lo.estado = 1 LIMIT 1)")&amp;", p_numero_documento =&gt; "&amp;IF(TRIM(C30&amp;"")="","NULL","'"&amp;SUBSTITUTE(TRIM(C30),"'","''")&amp;"'")&amp;", p_telefono =&gt; "&amp;IF(TRIM(L30&amp;"")="","NULL","'"&amp;SUBSTITUTE(TRIM(L30),"'","''")&amp;"'")&amp;", p_email =&gt; "&amp;IF(TRIM(M30&amp;"")="","NULL","'"&amp;SUBSTITUTE(TRIM(M30),"'","''")&amp;"'")&amp;", p_observacion =&gt; "&amp;IF(TRIM(O30&amp;"")="","NULL","'"&amp;SUBSTITUTE(TRIM(O30),"'","''")&amp;"'")&amp;", p_direccion =&gt; "&amp;IF(TRIM(J30&amp;"")="","NULL","'"&amp;SUBSTITUTE(TRIM(J30),"'","''")&amp;"'")&amp;", p_referencia =&gt; "&amp;IF(TRIM(K30&amp;"")="","NULL","'"&amp;SUBSTITUTE(TRIM(K30),"'","''")&amp;"'")&amp;") AS resultado_cliente_"&amp;ROW()&amp;";")</f>
        <v/>
      </c>
    </row>
    <row r="31" ht="15.75" customHeight="1" s="64">
      <c r="A31" s="25">
        <f>IF(AND(D31="",E31="",C31=""),"",IF(AND(D31="",E31=""),"FALTA razón social o nombres",IF(AND(C31&lt;&gt;"",SUMPRODUCT(--($C$5:$C$549=C31))&gt;1),"DOCUMENTO DUPLICADO",IF(AND(B31="DNI",C31&lt;&gt;"",LEN(C31&amp;"")&lt;&gt;8),"DNI debe tener 8 dígitos",IF(AND(B31="RUC",C31&lt;&gt;"",LEN(C31&amp;"")&lt;&gt;11),"RUC debe tener 11 dígitos",IF(AND(N31&lt;&gt;"",SUMPRODUCT(--($N$5:$N$549=N31))&gt;1),"CÓDIGO INTERNO DUPLICADO","OK"))))))</f>
        <v/>
      </c>
      <c r="B31" s="17" t="inlineStr">
        <is>
          <t>RUC</t>
        </is>
      </c>
      <c r="C31" s="26" t="inlineStr">
        <is>
          <t>20561169404</t>
        </is>
      </c>
      <c r="D31" s="17" t="inlineStr">
        <is>
          <t>FRIO CENTER YOVERA S.A.C.</t>
        </is>
      </c>
      <c r="E31" s="17" t="n"/>
      <c r="F31" s="17" t="n"/>
      <c r="G31" s="17" t="n"/>
      <c r="H31" s="17" t="inlineStr">
        <is>
          <t>Persona Jurídica</t>
        </is>
      </c>
      <c r="I31" s="17" t="inlineStr">
        <is>
          <t>Cliente</t>
        </is>
      </c>
      <c r="J31" s="17" t="n"/>
      <c r="K31" s="17" t="n"/>
      <c r="L31" s="23" t="n"/>
      <c r="M31" s="17" t="n"/>
      <c r="N31" s="23" t="n"/>
      <c r="O31" s="17" t="n"/>
      <c r="P31" s="28">
        <f>IF(A31&lt;&gt;"OK","","SELECT cli_crear_clientes(p_codigo_interno =&gt; "&amp;IF(TRIM(N31&amp;"")="","NULL","'"&amp;SUBSTITUTE(TRIM(N31),"'","''")&amp;"'")&amp;", p_razon_social =&gt; "&amp;IF(TRIM(D31&amp;"")="","NULL","'"&amp;SUBSTITUTE(TRIM(D31),"'","''")&amp;"'")&amp;", p_id_tipo_cliente =&gt; "&amp;IF(TRIM(I31&amp;"")="","NULL","(SELECT lo.id FROM gen_lista_opciones lo JOIN gen_lista l ON l.id = lo.id_lista WHERE l.nombre = 'TipoCliente' AND upper(lo.nombre) = upper('"&amp;SUBSTITUTE(TRIM(I31),"'","''")&amp;"') AND lo.estado = 1 LIMIT 1)")&amp;", p_id_tipo_persona =&gt; "&amp;IF(TRIM(H31&amp;"")="","NULL","(SELECT lo.id FROM gen_lista_opciones lo JOIN gen_lista l ON l.id = lo.id_lista WHERE l.nombre = 'TipoPersona' AND upper(lo.nombre) = upper('"&amp;SUBSTITUTE(TRIM(H31),"'","''")&amp;"') AND lo.estado = 1 LIMIT 1)")&amp;", p_nombres =&gt; "&amp;IF(TRIM(E31&amp;"")="","NULL","'"&amp;SUBSTITUTE(TRIM(E31),"'","''")&amp;"'")&amp;", p_apellido_paterno =&gt; "&amp;IF(TRIM(F31&amp;"")="","NULL","'"&amp;SUBSTITUTE(TRIM(F31),"'","''")&amp;"'")&amp;", p_apellido_materno =&gt; "&amp;IF(TRIM(G31&amp;"")="","NULL","'"&amp;SUBSTITUTE(TRIM(G31),"'","''")&amp;"'")&amp;", p_id_tipo_documento =&gt; "&amp;IF(TRIM(B31&amp;"")="","NULL","(SELECT lo.id FROM gen_lista_opciones lo JOIN gen_lista l ON l.id = lo.id_lista WHERE l.nombre = 'TipoDocumento' AND upper(lo.nombre) = upper('"&amp;SUBSTITUTE(TRIM(B31),"'","''")&amp;"') AND lo.estado = 1 LIMIT 1)")&amp;", p_numero_documento =&gt; "&amp;IF(TRIM(C31&amp;"")="","NULL","'"&amp;SUBSTITUTE(TRIM(C31),"'","''")&amp;"'")&amp;", p_telefono =&gt; "&amp;IF(TRIM(L31&amp;"")="","NULL","'"&amp;SUBSTITUTE(TRIM(L31),"'","''")&amp;"'")&amp;", p_email =&gt; "&amp;IF(TRIM(M31&amp;"")="","NULL","'"&amp;SUBSTITUTE(TRIM(M31),"'","''")&amp;"'")&amp;", p_observacion =&gt; "&amp;IF(TRIM(O31&amp;"")="","NULL","'"&amp;SUBSTITUTE(TRIM(O31),"'","''")&amp;"'")&amp;", p_direccion =&gt; "&amp;IF(TRIM(J31&amp;"")="","NULL","'"&amp;SUBSTITUTE(TRIM(J31),"'","''")&amp;"'")&amp;", p_referencia =&gt; "&amp;IF(TRIM(K31&amp;"")="","NULL","'"&amp;SUBSTITUTE(TRIM(K31),"'","''")&amp;"'")&amp;") AS resultado_cliente_"&amp;ROW()&amp;";")</f>
        <v/>
      </c>
    </row>
    <row r="32" ht="15.75" customHeight="1" s="64">
      <c r="A32" s="25">
        <f>IF(AND(D32="",E32="",C32=""),"",IF(AND(D32="",E32=""),"FALTA razón social o nombres",IF(AND(C32&lt;&gt;"",SUMPRODUCT(--($C$5:$C$549=C32))&gt;1),"DOCUMENTO DUPLICADO",IF(AND(B32="DNI",C32&lt;&gt;"",LEN(C32&amp;"")&lt;&gt;8),"DNI debe tener 8 dígitos",IF(AND(B32="RUC",C32&lt;&gt;"",LEN(C32&amp;"")&lt;&gt;11),"RUC debe tener 11 dígitos",IF(AND(N32&lt;&gt;"",SUMPRODUCT(--($N$5:$N$549=N32))&gt;1),"CÓDIGO INTERNO DUPLICADO","OK"))))))</f>
        <v/>
      </c>
      <c r="B32" s="17" t="inlineStr">
        <is>
          <t>RUC</t>
        </is>
      </c>
      <c r="C32" s="23" t="inlineStr">
        <is>
          <t>20144364059</t>
        </is>
      </c>
      <c r="D32" s="17" t="inlineStr">
        <is>
          <t>FUERZA AEREA DEL PERU</t>
        </is>
      </c>
      <c r="E32" s="17" t="n"/>
      <c r="F32" s="17" t="n"/>
      <c r="G32" s="17" t="n"/>
      <c r="H32" s="17" t="inlineStr">
        <is>
          <t>Persona Jurídica</t>
        </is>
      </c>
      <c r="I32" s="17" t="inlineStr">
        <is>
          <t>Cliente</t>
        </is>
      </c>
      <c r="J32" s="17" t="inlineStr">
        <is>
          <t xml:space="preserve">AV. LA PERUANIDAD NRO. SN CAMPO DE MARTE (NOTIF. A DIRECCION GENERAL DE ECONOMIA) </t>
        </is>
      </c>
      <c r="K32" s="17" t="n"/>
      <c r="L32" s="23" t="n"/>
      <c r="M32" s="17" t="n"/>
      <c r="N32" s="23" t="n"/>
      <c r="O32" s="17" t="n"/>
      <c r="P32" s="28">
        <f>IF(A32&lt;&gt;"OK","","SELECT cli_crear_clientes(p_codigo_interno =&gt; "&amp;IF(TRIM(N32&amp;"")="","NULL","'"&amp;SUBSTITUTE(TRIM(N32),"'","''")&amp;"'")&amp;", p_razon_social =&gt; "&amp;IF(TRIM(D32&amp;"")="","NULL","'"&amp;SUBSTITUTE(TRIM(D32),"'","''")&amp;"'")&amp;", p_id_tipo_cliente =&gt; "&amp;IF(TRIM(I32&amp;"")="","NULL","(SELECT lo.id FROM gen_lista_opciones lo JOIN gen_lista l ON l.id = lo.id_lista WHERE l.nombre = 'TipoCliente' AND upper(lo.nombre) = upper('"&amp;SUBSTITUTE(TRIM(I32),"'","''")&amp;"') AND lo.estado = 1 LIMIT 1)")&amp;", p_id_tipo_persona =&gt; "&amp;IF(TRIM(H32&amp;"")="","NULL","(SELECT lo.id FROM gen_lista_opciones lo JOIN gen_lista l ON l.id = lo.id_lista WHERE l.nombre = 'TipoPersona' AND upper(lo.nombre) = upper('"&amp;SUBSTITUTE(TRIM(H32),"'","''")&amp;"') AND lo.estado = 1 LIMIT 1)")&amp;", p_nombres =&gt; "&amp;IF(TRIM(E32&amp;"")="","NULL","'"&amp;SUBSTITUTE(TRIM(E32),"'","''")&amp;"'")&amp;", p_apellido_paterno =&gt; "&amp;IF(TRIM(F32&amp;"")="","NULL","'"&amp;SUBSTITUTE(TRIM(F32),"'","''")&amp;"'")&amp;", p_apellido_materno =&gt; "&amp;IF(TRIM(G32&amp;"")="","NULL","'"&amp;SUBSTITUTE(TRIM(G32),"'","''")&amp;"'")&amp;", p_id_tipo_documento =&gt; "&amp;IF(TRIM(B32&amp;"")="","NULL","(SELECT lo.id FROM gen_lista_opciones lo JOIN gen_lista l ON l.id = lo.id_lista WHERE l.nombre = 'TipoDocumento' AND upper(lo.nombre) = upper('"&amp;SUBSTITUTE(TRIM(B32),"'","''")&amp;"') AND lo.estado = 1 LIMIT 1)")&amp;", p_numero_documento =&gt; "&amp;IF(TRIM(C32&amp;"")="","NULL","'"&amp;SUBSTITUTE(TRIM(C32),"'","''")&amp;"'")&amp;", p_telefono =&gt; "&amp;IF(TRIM(L32&amp;"")="","NULL","'"&amp;SUBSTITUTE(TRIM(L32),"'","''")&amp;"'")&amp;", p_email =&gt; "&amp;IF(TRIM(M32&amp;"")="","NULL","'"&amp;SUBSTITUTE(TRIM(M32),"'","''")&amp;"'")&amp;", p_observacion =&gt; "&amp;IF(TRIM(O32&amp;"")="","NULL","'"&amp;SUBSTITUTE(TRIM(O32),"'","''")&amp;"'")&amp;", p_direccion =&gt; "&amp;IF(TRIM(J32&amp;"")="","NULL","'"&amp;SUBSTITUTE(TRIM(J32),"'","''")&amp;"'")&amp;", p_referencia =&gt; "&amp;IF(TRIM(K32&amp;"")="","NULL","'"&amp;SUBSTITUTE(TRIM(K32),"'","''")&amp;"'")&amp;") AS resultado_cliente_"&amp;ROW()&amp;";")</f>
        <v/>
      </c>
    </row>
    <row r="33" ht="15.75" customHeight="1" s="64">
      <c r="A33" s="25">
        <f>IF(AND(D33="",E33="",C33=""),"",IF(AND(D33="",E33=""),"FALTA razón social o nombres",IF(AND(C33&lt;&gt;"",SUMPRODUCT(--($C$5:$C$549=C33))&gt;1),"DOCUMENTO DUPLICADO",IF(AND(B33="DNI",C33&lt;&gt;"",LEN(C33&amp;"")&lt;&gt;8),"DNI debe tener 8 dígitos",IF(AND(B33="RUC",C33&lt;&gt;"",LEN(C33&amp;"")&lt;&gt;11),"RUC debe tener 11 dígitos",IF(AND(N33&lt;&gt;"",SUMPRODUCT(--($N$5:$N$549=N33))&gt;1),"CÓDIGO INTERNO DUPLICADO","OK"))))))</f>
        <v/>
      </c>
      <c r="B33" s="17" t="inlineStr">
        <is>
          <t>RUC</t>
        </is>
      </c>
      <c r="C33" s="23" t="inlineStr">
        <is>
          <t>20451534107</t>
        </is>
      </c>
      <c r="D33" s="17" t="inlineStr">
        <is>
          <t>GAMACMIN MINERO METALURGICA SOCIEDAD ANONIMA CERRADA - GAMACMIN S.A.C.</t>
        </is>
      </c>
      <c r="E33" s="17" t="n"/>
      <c r="F33" s="17" t="n"/>
      <c r="G33" s="17" t="n"/>
      <c r="H33" s="17" t="inlineStr">
        <is>
          <t>Persona Jurídica</t>
        </is>
      </c>
      <c r="I33" s="17" t="inlineStr">
        <is>
          <t>Cliente</t>
        </is>
      </c>
      <c r="J33" s="17" t="n"/>
      <c r="K33" s="17" t="n"/>
      <c r="L33" s="23" t="n"/>
      <c r="M33" s="17" t="n"/>
      <c r="N33" s="23" t="n"/>
      <c r="O33" s="17" t="n"/>
      <c r="P33" s="28">
        <f>IF(A33&lt;&gt;"OK","","SELECT cli_crear_clientes(p_codigo_interno =&gt; "&amp;IF(TRIM(N33&amp;"")="","NULL","'"&amp;SUBSTITUTE(TRIM(N33),"'","''")&amp;"'")&amp;", p_razon_social =&gt; "&amp;IF(TRIM(D33&amp;"")="","NULL","'"&amp;SUBSTITUTE(TRIM(D33),"'","''")&amp;"'")&amp;", p_id_tipo_cliente =&gt; "&amp;IF(TRIM(I33&amp;"")="","NULL","(SELECT lo.id FROM gen_lista_opciones lo JOIN gen_lista l ON l.id = lo.id_lista WHERE l.nombre = 'TipoCliente' AND upper(lo.nombre) = upper('"&amp;SUBSTITUTE(TRIM(I33),"'","''")&amp;"') AND lo.estado = 1 LIMIT 1)")&amp;", p_id_tipo_persona =&gt; "&amp;IF(TRIM(H33&amp;"")="","NULL","(SELECT lo.id FROM gen_lista_opciones lo JOIN gen_lista l ON l.id = lo.id_lista WHERE l.nombre = 'TipoPersona' AND upper(lo.nombre) = upper('"&amp;SUBSTITUTE(TRIM(H33),"'","''")&amp;"') AND lo.estado = 1 LIMIT 1)")&amp;", p_nombres =&gt; "&amp;IF(TRIM(E33&amp;"")="","NULL","'"&amp;SUBSTITUTE(TRIM(E33),"'","''")&amp;"'")&amp;", p_apellido_paterno =&gt; "&amp;IF(TRIM(F33&amp;"")="","NULL","'"&amp;SUBSTITUTE(TRIM(F33),"'","''")&amp;"'")&amp;", p_apellido_materno =&gt; "&amp;IF(TRIM(G33&amp;"")="","NULL","'"&amp;SUBSTITUTE(TRIM(G33),"'","''")&amp;"'")&amp;", p_id_tipo_documento =&gt; "&amp;IF(TRIM(B33&amp;"")="","NULL","(SELECT lo.id FROM gen_lista_opciones lo JOIN gen_lista l ON l.id = lo.id_lista WHERE l.nombre = 'TipoDocumento' AND upper(lo.nombre) = upper('"&amp;SUBSTITUTE(TRIM(B33),"'","''")&amp;"') AND lo.estado = 1 LIMIT 1)")&amp;", p_numero_documento =&gt; "&amp;IF(TRIM(C33&amp;"")="","NULL","'"&amp;SUBSTITUTE(TRIM(C33),"'","''")&amp;"'")&amp;", p_telefono =&gt; "&amp;IF(TRIM(L33&amp;"")="","NULL","'"&amp;SUBSTITUTE(TRIM(L33),"'","''")&amp;"'")&amp;", p_email =&gt; "&amp;IF(TRIM(M33&amp;"")="","NULL","'"&amp;SUBSTITUTE(TRIM(M33),"'","''")&amp;"'")&amp;", p_observacion =&gt; "&amp;IF(TRIM(O33&amp;"")="","NULL","'"&amp;SUBSTITUTE(TRIM(O33),"'","''")&amp;"'")&amp;", p_direccion =&gt; "&amp;IF(TRIM(J33&amp;"")="","NULL","'"&amp;SUBSTITUTE(TRIM(J33),"'","''")&amp;"'")&amp;", p_referencia =&gt; "&amp;IF(TRIM(K33&amp;"")="","NULL","'"&amp;SUBSTITUTE(TRIM(K33),"'","''")&amp;"'")&amp;") AS resultado_cliente_"&amp;ROW()&amp;";")</f>
        <v/>
      </c>
    </row>
    <row r="34" ht="15.75" customHeight="1" s="64">
      <c r="A34" s="25">
        <f>IF(AND(D34="",E34="",C34=""),"",IF(AND(D34="",E34=""),"FALTA razón social o nombres",IF(AND(C34&lt;&gt;"",SUMPRODUCT(--($C$5:$C$549=C34))&gt;1),"DOCUMENTO DUPLICADO",IF(AND(B34="DNI",C34&lt;&gt;"",LEN(C34&amp;"")&lt;&gt;8),"DNI debe tener 8 dígitos",IF(AND(B34="RUC",C34&lt;&gt;"",LEN(C34&amp;"")&lt;&gt;11),"RUC debe tener 11 dígitos",IF(AND(N34&lt;&gt;"",SUMPRODUCT(--($N$5:$N$549=N34))&gt;1),"CÓDIGO INTERNO DUPLICADO","OK"))))))</f>
        <v/>
      </c>
      <c r="B34" s="17" t="inlineStr">
        <is>
          <t>RUC</t>
        </is>
      </c>
      <c r="C34" s="23" t="inlineStr">
        <is>
          <t>20601914469</t>
        </is>
      </c>
      <c r="D34" s="17" t="inlineStr">
        <is>
          <t>GLOBAL PROJECT SP S.A.C</t>
        </is>
      </c>
      <c r="E34" s="17" t="n"/>
      <c r="F34" s="17" t="n"/>
      <c r="G34" s="17" t="n"/>
      <c r="H34" s="17" t="inlineStr">
        <is>
          <t>Persona Jurídica</t>
        </is>
      </c>
      <c r="I34" s="17" t="inlineStr">
        <is>
          <t>Cliente</t>
        </is>
      </c>
      <c r="J34" s="17" t="n"/>
      <c r="K34" s="17" t="n"/>
      <c r="L34" s="23" t="n"/>
      <c r="M34" s="17" t="n"/>
      <c r="N34" s="23" t="n"/>
      <c r="O34" s="17" t="n"/>
      <c r="P34" s="28">
        <f>IF(A34&lt;&gt;"OK","","SELECT cli_crear_clientes(p_codigo_interno =&gt; "&amp;IF(TRIM(N34&amp;"")="","NULL","'"&amp;SUBSTITUTE(TRIM(N34),"'","''")&amp;"'")&amp;", p_razon_social =&gt; "&amp;IF(TRIM(D34&amp;"")="","NULL","'"&amp;SUBSTITUTE(TRIM(D34),"'","''")&amp;"'")&amp;", p_id_tipo_cliente =&gt; "&amp;IF(TRIM(I34&amp;"")="","NULL","(SELECT lo.id FROM gen_lista_opciones lo JOIN gen_lista l ON l.id = lo.id_lista WHERE l.nombre = 'TipoCliente' AND upper(lo.nombre) = upper('"&amp;SUBSTITUTE(TRIM(I34),"'","''")&amp;"') AND lo.estado = 1 LIMIT 1)")&amp;", p_id_tipo_persona =&gt; "&amp;IF(TRIM(H34&amp;"")="","NULL","(SELECT lo.id FROM gen_lista_opciones lo JOIN gen_lista l ON l.id = lo.id_lista WHERE l.nombre = 'TipoPersona' AND upper(lo.nombre) = upper('"&amp;SUBSTITUTE(TRIM(H34),"'","''")&amp;"') AND lo.estado = 1 LIMIT 1)")&amp;", p_nombres =&gt; "&amp;IF(TRIM(E34&amp;"")="","NULL","'"&amp;SUBSTITUTE(TRIM(E34),"'","''")&amp;"'")&amp;", p_apellido_paterno =&gt; "&amp;IF(TRIM(F34&amp;"")="","NULL","'"&amp;SUBSTITUTE(TRIM(F34),"'","''")&amp;"'")&amp;", p_apellido_materno =&gt; "&amp;IF(TRIM(G34&amp;"")="","NULL","'"&amp;SUBSTITUTE(TRIM(G34),"'","''")&amp;"'")&amp;", p_id_tipo_documento =&gt; "&amp;IF(TRIM(B34&amp;"")="","NULL","(SELECT lo.id FROM gen_lista_opciones lo JOIN gen_lista l ON l.id = lo.id_lista WHERE l.nombre = 'TipoDocumento' AND upper(lo.nombre) = upper('"&amp;SUBSTITUTE(TRIM(B34),"'","''")&amp;"') AND lo.estado = 1 LIMIT 1)")&amp;", p_numero_documento =&gt; "&amp;IF(TRIM(C34&amp;"")="","NULL","'"&amp;SUBSTITUTE(TRIM(C34),"'","''")&amp;"'")&amp;", p_telefono =&gt; "&amp;IF(TRIM(L34&amp;"")="","NULL","'"&amp;SUBSTITUTE(TRIM(L34),"'","''")&amp;"'")&amp;", p_email =&gt; "&amp;IF(TRIM(M34&amp;"")="","NULL","'"&amp;SUBSTITUTE(TRIM(M34),"'","''")&amp;"'")&amp;", p_observacion =&gt; "&amp;IF(TRIM(O34&amp;"")="","NULL","'"&amp;SUBSTITUTE(TRIM(O34),"'","''")&amp;"'")&amp;", p_direccion =&gt; "&amp;IF(TRIM(J34&amp;"")="","NULL","'"&amp;SUBSTITUTE(TRIM(J34),"'","''")&amp;"'")&amp;", p_referencia =&gt; "&amp;IF(TRIM(K34&amp;"")="","NULL","'"&amp;SUBSTITUTE(TRIM(K34),"'","''")&amp;"'")&amp;") AS resultado_cliente_"&amp;ROW()&amp;";")</f>
        <v/>
      </c>
    </row>
    <row r="35" ht="15.75" customHeight="1" s="64">
      <c r="A35" s="25">
        <f>IF(AND(D35="",E35="",C35=""),"",IF(AND(D35="",E35=""),"FALTA razón social o nombres",IF(AND(C35&lt;&gt;"",SUMPRODUCT(--($C$5:$C$549=C35))&gt;1),"DOCUMENTO DUPLICADO",IF(AND(B35="DNI",C35&lt;&gt;"",LEN(C35&amp;"")&lt;&gt;8),"DNI debe tener 8 dígitos",IF(AND(B35="RUC",C35&lt;&gt;"",LEN(C35&amp;"")&lt;&gt;11),"RUC debe tener 11 dígitos",IF(AND(N35&lt;&gt;"",SUMPRODUCT(--($N$5:$N$549=N35))&gt;1),"CÓDIGO INTERNO DUPLICADO","OK"))))))</f>
        <v/>
      </c>
      <c r="B35" s="17" t="inlineStr">
        <is>
          <t>RUC</t>
        </is>
      </c>
      <c r="C35" s="23" t="n">
        <v>20608134001</v>
      </c>
      <c r="D35" s="17" t="inlineStr">
        <is>
          <t>GRUPO SALUD &amp; ASOCIADOS S.A.C</t>
        </is>
      </c>
      <c r="E35" s="31" t="n"/>
      <c r="F35" s="31" t="n"/>
      <c r="G35" s="31" t="n"/>
      <c r="H35" s="17" t="inlineStr">
        <is>
          <t>Persona Jurídica</t>
        </is>
      </c>
      <c r="I35" s="17" t="inlineStr">
        <is>
          <t>Cliente</t>
        </is>
      </c>
      <c r="J35" s="31" t="n"/>
      <c r="K35" s="31" t="n"/>
      <c r="L35" s="31" t="n"/>
      <c r="M35" s="31" t="n"/>
      <c r="N35" s="31" t="n"/>
      <c r="O35" s="31" t="n"/>
      <c r="P35" s="31">
        <f>IF(A35&lt;&gt;"OK","","SELECT cli_crear_clientes(p_codigo_interno =&gt; "&amp;IF(TRIM(N35&amp;"")="","NULL","'"&amp;SUBSTITUTE(TRIM(N35),"'","''")&amp;"'")&amp;", p_razon_social =&gt; "&amp;IF(TRIM(D35&amp;"")="","NULL","'"&amp;SUBSTITUTE(TRIM(D35),"'","''")&amp;"'")&amp;", p_id_tipo_cliente =&gt; "&amp;IF(TRIM(I35&amp;"")="","NULL","(SELECT lo.id FROM gen_lista_opciones lo JOIN gen_lista l ON l.id = lo.id_lista WHERE l.nombre = 'TipoCliente' AND upper(lo.nombre) = upper('"&amp;SUBSTITUTE(TRIM(I35),"'","''")&amp;"') AND lo.estado = 1 LIMIT 1)")&amp;", p_id_tipo_persona =&gt; "&amp;IF(TRIM(H35&amp;"")="","NULL","(SELECT lo.id FROM gen_lista_opciones lo JOIN gen_lista l ON l.id = lo.id_lista WHERE l.nombre = 'TipoPersona' AND upper(lo.nombre) = upper('"&amp;SUBSTITUTE(TRIM(H35),"'","''")&amp;"') AND lo.estado = 1 LIMIT 1)")&amp;", p_nombres =&gt; "&amp;IF(TRIM(E35&amp;"")="","NULL","'"&amp;SUBSTITUTE(TRIM(E35),"'","''")&amp;"'")&amp;", p_apellido_paterno =&gt; "&amp;IF(TRIM(F35&amp;"")="","NULL","'"&amp;SUBSTITUTE(TRIM(F35),"'","''")&amp;"'")&amp;", p_apellido_materno =&gt; "&amp;IF(TRIM(G35&amp;"")="","NULL","'"&amp;SUBSTITUTE(TRIM(G35),"'","''")&amp;"'")&amp;", p_id_tipo_documento =&gt; "&amp;IF(TRIM(B35&amp;"")="","NULL","(SELECT lo.id FROM gen_lista_opciones lo JOIN gen_lista l ON l.id = lo.id_lista WHERE l.nombre = 'TipoDocumento' AND upper(lo.nombre) = upper('"&amp;SUBSTITUTE(TRIM(B35),"'","''")&amp;"') AND lo.estado = 1 LIMIT 1)")&amp;", p_numero_documento =&gt; "&amp;IF(TRIM(C35&amp;"")="","NULL","'"&amp;SUBSTITUTE(TRIM(C35),"'","''")&amp;"'")&amp;", p_telefono =&gt; "&amp;IF(TRIM(L35&amp;"")="","NULL","'"&amp;SUBSTITUTE(TRIM(L35),"'","''")&amp;"'")&amp;", p_email =&gt; "&amp;IF(TRIM(M35&amp;"")="","NULL","'"&amp;SUBSTITUTE(TRIM(M35),"'","''")&amp;"'")&amp;", p_observacion =&gt; "&amp;IF(TRIM(O35&amp;"")="","NULL","'"&amp;SUBSTITUTE(TRIM(O35),"'","''")&amp;"'")&amp;", p_direccion =&gt; "&amp;IF(TRIM(J35&amp;"")="","NULL","'"&amp;SUBSTITUTE(TRIM(J35),"'","''")&amp;"'")&amp;", p_referencia =&gt; "&amp;IF(TRIM(K35&amp;"")="","NULL","'"&amp;SUBSTITUTE(TRIM(K35),"'","''")&amp;"'")&amp;") AS resultado_cliente_"&amp;ROW()&amp;";")</f>
        <v/>
      </c>
    </row>
    <row r="36" ht="15.75" customHeight="1" s="64">
      <c r="A36" s="25">
        <f>IF(AND(D36="",E36="",C36=""),"",IF(AND(D36="",E36=""),"FALTA razón social o nombres",IF(AND(C36&lt;&gt;"",SUMPRODUCT(--($C$5:$C$549=C36))&gt;1),"DOCUMENTO DUPLICADO",IF(AND(B36="DNI",C36&lt;&gt;"",LEN(C36&amp;"")&lt;&gt;8),"DNI debe tener 8 dígitos",IF(AND(B36="RUC",C36&lt;&gt;"",LEN(C36&amp;"")&lt;&gt;11),"RUC debe tener 11 dígitos",IF(AND(N36&lt;&gt;"",SUMPRODUCT(--($N$5:$N$549=N36))&gt;1),"CÓDIGO INTERNO DUPLICADO","OK"))))))</f>
        <v/>
      </c>
      <c r="B36" s="17" t="inlineStr">
        <is>
          <t>RUC</t>
        </is>
      </c>
      <c r="C36" s="23" t="inlineStr">
        <is>
          <t>10439328482</t>
        </is>
      </c>
      <c r="D36" s="17" t="inlineStr">
        <is>
          <t>GUZMAN NIÑO SERGIO BRUNO</t>
        </is>
      </c>
      <c r="E36" s="17" t="n"/>
      <c r="F36" s="17" t="n"/>
      <c r="G36" s="17" t="n"/>
      <c r="H36" s="17" t="inlineStr">
        <is>
          <t>Persona Jurídica</t>
        </is>
      </c>
      <c r="I36" s="17" t="inlineStr">
        <is>
          <t>Cliente</t>
        </is>
      </c>
      <c r="J36" s="17" t="n"/>
      <c r="K36" s="17" t="n"/>
      <c r="L36" s="23" t="n"/>
      <c r="M36" s="17" t="n"/>
      <c r="N36" s="23" t="n"/>
      <c r="O36" s="17" t="n"/>
      <c r="P36" s="28">
        <f>IF(A36&lt;&gt;"OK","","SELECT cli_crear_clientes(p_codigo_interno =&gt; "&amp;IF(TRIM(N36&amp;"")="","NULL","'"&amp;SUBSTITUTE(TRIM(N36),"'","''")&amp;"'")&amp;", p_razon_social =&gt; "&amp;IF(TRIM(D36&amp;"")="","NULL","'"&amp;SUBSTITUTE(TRIM(D36),"'","''")&amp;"'")&amp;", p_id_tipo_cliente =&gt; "&amp;IF(TRIM(I36&amp;"")="","NULL","(SELECT lo.id FROM gen_lista_opciones lo JOIN gen_lista l ON l.id = lo.id_lista WHERE l.nombre = 'TipoCliente' AND upper(lo.nombre) = upper('"&amp;SUBSTITUTE(TRIM(I36),"'","''")&amp;"') AND lo.estado = 1 LIMIT 1)")&amp;", p_id_tipo_persona =&gt; "&amp;IF(TRIM(H36&amp;"")="","NULL","(SELECT lo.id FROM gen_lista_opciones lo JOIN gen_lista l ON l.id = lo.id_lista WHERE l.nombre = 'TipoPersona' AND upper(lo.nombre) = upper('"&amp;SUBSTITUTE(TRIM(H36),"'","''")&amp;"') AND lo.estado = 1 LIMIT 1)")&amp;", p_nombres =&gt; "&amp;IF(TRIM(E36&amp;"")="","NULL","'"&amp;SUBSTITUTE(TRIM(E36),"'","''")&amp;"'")&amp;", p_apellido_paterno =&gt; "&amp;IF(TRIM(F36&amp;"")="","NULL","'"&amp;SUBSTITUTE(TRIM(F36),"'","''")&amp;"'")&amp;", p_apellido_materno =&gt; "&amp;IF(TRIM(G36&amp;"")="","NULL","'"&amp;SUBSTITUTE(TRIM(G36),"'","''")&amp;"'")&amp;", p_id_tipo_documento =&gt; "&amp;IF(TRIM(B36&amp;"")="","NULL","(SELECT lo.id FROM gen_lista_opciones lo JOIN gen_lista l ON l.id = lo.id_lista WHERE l.nombre = 'TipoDocumento' AND upper(lo.nombre) = upper('"&amp;SUBSTITUTE(TRIM(B36),"'","''")&amp;"') AND lo.estado = 1 LIMIT 1)")&amp;", p_numero_documento =&gt; "&amp;IF(TRIM(C36&amp;"")="","NULL","'"&amp;SUBSTITUTE(TRIM(C36),"'","''")&amp;"'")&amp;", p_telefono =&gt; "&amp;IF(TRIM(L36&amp;"")="","NULL","'"&amp;SUBSTITUTE(TRIM(L36),"'","''")&amp;"'")&amp;", p_email =&gt; "&amp;IF(TRIM(M36&amp;"")="","NULL","'"&amp;SUBSTITUTE(TRIM(M36),"'","''")&amp;"'")&amp;", p_observacion =&gt; "&amp;IF(TRIM(O36&amp;"")="","NULL","'"&amp;SUBSTITUTE(TRIM(O36),"'","''")&amp;"'")&amp;", p_direccion =&gt; "&amp;IF(TRIM(J36&amp;"")="","NULL","'"&amp;SUBSTITUTE(TRIM(J36),"'","''")&amp;"'")&amp;", p_referencia =&gt; "&amp;IF(TRIM(K36&amp;"")="","NULL","'"&amp;SUBSTITUTE(TRIM(K36),"'","''")&amp;"'")&amp;") AS resultado_cliente_"&amp;ROW()&amp;";")</f>
        <v/>
      </c>
    </row>
    <row r="37" ht="15.75" customHeight="1" s="64">
      <c r="A37" s="25">
        <f>IF(AND(D37="",E37="",C37=""),"",IF(AND(D37="",E37=""),"FALTA razón social o nombres",IF(AND(C37&lt;&gt;"",SUMPRODUCT(--($C$5:$C$549=C37))&gt;1),"DOCUMENTO DUPLICADO",IF(AND(B37="DNI",C37&lt;&gt;"",LEN(C37&amp;"")&lt;&gt;8),"DNI debe tener 8 dígitos",IF(AND(B37="RUC",C37&lt;&gt;"",LEN(C37&amp;"")&lt;&gt;11),"RUC debe tener 11 dígitos",IF(AND(N37&lt;&gt;"",SUMPRODUCT(--($N$5:$N$549=N37))&gt;1),"CÓDIGO INTERNO DUPLICADO","OK"))))))</f>
        <v/>
      </c>
      <c r="B37" s="17" t="inlineStr">
        <is>
          <t>RUC</t>
        </is>
      </c>
      <c r="C37" s="23" t="inlineStr">
        <is>
          <t>20607948675</t>
        </is>
      </c>
      <c r="D37" s="17" t="inlineStr">
        <is>
          <t>INDUSTRIAS CRIOGENICAS DEL PERU S.A.C.</t>
        </is>
      </c>
      <c r="E37" s="17" t="n"/>
      <c r="F37" s="17" t="n"/>
      <c r="G37" s="17" t="n"/>
      <c r="H37" s="17" t="inlineStr">
        <is>
          <t>Persona Jurídica</t>
        </is>
      </c>
      <c r="I37" s="17" t="inlineStr">
        <is>
          <t>Proveedor</t>
        </is>
      </c>
      <c r="J37" s="17" t="n"/>
      <c r="K37" s="17" t="n"/>
      <c r="L37" s="23" t="n"/>
      <c r="M37" s="17" t="n"/>
      <c r="N37" s="23" t="n"/>
      <c r="O37" s="17" t="n"/>
      <c r="P37" s="28">
        <f>IF(A37&lt;&gt;"OK","","SELECT cli_crear_clientes(p_codigo_interno =&gt; "&amp;IF(TRIM(N37&amp;"")="","NULL","'"&amp;SUBSTITUTE(TRIM(N37),"'","''")&amp;"'")&amp;", p_razon_social =&gt; "&amp;IF(TRIM(D37&amp;"")="","NULL","'"&amp;SUBSTITUTE(TRIM(D37),"'","''")&amp;"'")&amp;", p_id_tipo_cliente =&gt; "&amp;IF(TRIM(I37&amp;"")="","NULL","(SELECT lo.id FROM gen_lista_opciones lo JOIN gen_lista l ON l.id = lo.id_lista WHERE l.nombre = 'TipoCliente' AND upper(lo.nombre) = upper('"&amp;SUBSTITUTE(TRIM(I37),"'","''")&amp;"') AND lo.estado = 1 LIMIT 1)")&amp;", p_id_tipo_persona =&gt; "&amp;IF(TRIM(H37&amp;"")="","NULL","(SELECT lo.id FROM gen_lista_opciones lo JOIN gen_lista l ON l.id = lo.id_lista WHERE l.nombre = 'TipoPersona' AND upper(lo.nombre) = upper('"&amp;SUBSTITUTE(TRIM(H37),"'","''")&amp;"') AND lo.estado = 1 LIMIT 1)")&amp;", p_nombres =&gt; "&amp;IF(TRIM(E37&amp;"")="","NULL","'"&amp;SUBSTITUTE(TRIM(E37),"'","''")&amp;"'")&amp;", p_apellido_paterno =&gt; "&amp;IF(TRIM(F37&amp;"")="","NULL","'"&amp;SUBSTITUTE(TRIM(F37),"'","''")&amp;"'")&amp;", p_apellido_materno =&gt; "&amp;IF(TRIM(G37&amp;"")="","NULL","'"&amp;SUBSTITUTE(TRIM(G37),"'","''")&amp;"'")&amp;", p_id_tipo_documento =&gt; "&amp;IF(TRIM(B37&amp;"")="","NULL","(SELECT lo.id FROM gen_lista_opciones lo JOIN gen_lista l ON l.id = lo.id_lista WHERE l.nombre = 'TipoDocumento' AND upper(lo.nombre) = upper('"&amp;SUBSTITUTE(TRIM(B37),"'","''")&amp;"') AND lo.estado = 1 LIMIT 1)")&amp;", p_numero_documento =&gt; "&amp;IF(TRIM(C37&amp;"")="","NULL","'"&amp;SUBSTITUTE(TRIM(C37),"'","''")&amp;"'")&amp;", p_telefono =&gt; "&amp;IF(TRIM(L37&amp;"")="","NULL","'"&amp;SUBSTITUTE(TRIM(L37),"'","''")&amp;"'")&amp;", p_email =&gt; "&amp;IF(TRIM(M37&amp;"")="","NULL","'"&amp;SUBSTITUTE(TRIM(M37),"'","''")&amp;"'")&amp;", p_observacion =&gt; "&amp;IF(TRIM(O37&amp;"")="","NULL","'"&amp;SUBSTITUTE(TRIM(O37),"'","''")&amp;"'")&amp;", p_direccion =&gt; "&amp;IF(TRIM(J37&amp;"")="","NULL","'"&amp;SUBSTITUTE(TRIM(J37),"'","''")&amp;"'")&amp;", p_referencia =&gt; "&amp;IF(TRIM(K37&amp;"")="","NULL","'"&amp;SUBSTITUTE(TRIM(K37),"'","''")&amp;"'")&amp;") AS resultado_cliente_"&amp;ROW()&amp;";")</f>
        <v/>
      </c>
    </row>
    <row r="38" ht="15.75" customHeight="1" s="64">
      <c r="A38" s="25">
        <f>IF(AND(D38="",E38="",C38=""),"",IF(AND(D38="",E38=""),"FALTA razón social o nombres",IF(AND(C38&lt;&gt;"",SUMPRODUCT(--($C$5:$C$549=C38))&gt;1),"DOCUMENTO DUPLICADO",IF(AND(B38="DNI",C38&lt;&gt;"",LEN(C38&amp;"")&lt;&gt;8),"DNI debe tener 8 dígitos",IF(AND(B38="RUC",C38&lt;&gt;"",LEN(C38&amp;"")&lt;&gt;11),"RUC debe tener 11 dígitos",IF(AND(N38&lt;&gt;"",SUMPRODUCT(--($N$5:$N$549=N38))&gt;1),"CÓDIGO INTERNO DUPLICADO","OK"))))))</f>
        <v/>
      </c>
      <c r="B38" s="17" t="inlineStr">
        <is>
          <t>RUC</t>
        </is>
      </c>
      <c r="C38" s="26" t="inlineStr">
        <is>
          <t>20612446106</t>
        </is>
      </c>
      <c r="D38" s="26" t="inlineStr">
        <is>
          <t>INDUSTRIAS DEL ACERO GUZMAN SOCIEDAD ANONIMA CERRADA</t>
        </is>
      </c>
      <c r="E38" s="17" t="n"/>
      <c r="F38" s="17" t="n"/>
      <c r="G38" s="17" t="n"/>
      <c r="H38" s="17" t="inlineStr">
        <is>
          <t>Persona Jurídica</t>
        </is>
      </c>
      <c r="I38" s="17" t="inlineStr">
        <is>
          <t>Cliente</t>
        </is>
      </c>
      <c r="J38" s="17" t="n"/>
      <c r="K38" s="17" t="n"/>
      <c r="L38" s="23" t="n"/>
      <c r="M38" s="17" t="n"/>
      <c r="N38" s="23" t="n"/>
      <c r="O38" s="17" t="n"/>
      <c r="P38" s="28">
        <f>IF(A38&lt;&gt;"OK","","SELECT cli_crear_clientes(p_codigo_interno =&gt; "&amp;IF(TRIM(N38&amp;"")="","NULL","'"&amp;SUBSTITUTE(TRIM(N38),"'","''")&amp;"'")&amp;", p_razon_social =&gt; "&amp;IF(TRIM(D38&amp;"")="","NULL","'"&amp;SUBSTITUTE(TRIM(D38),"'","''")&amp;"'")&amp;", p_id_tipo_cliente =&gt; "&amp;IF(TRIM(I38&amp;"")="","NULL","(SELECT lo.id FROM gen_lista_opciones lo JOIN gen_lista l ON l.id = lo.id_lista WHERE l.nombre = 'TipoCliente' AND upper(lo.nombre) = upper('"&amp;SUBSTITUTE(TRIM(I38),"'","''")&amp;"') AND lo.estado = 1 LIMIT 1)")&amp;", p_id_tipo_persona =&gt; "&amp;IF(TRIM(H38&amp;"")="","NULL","(SELECT lo.id FROM gen_lista_opciones lo JOIN gen_lista l ON l.id = lo.id_lista WHERE l.nombre = 'TipoPersona' AND upper(lo.nombre) = upper('"&amp;SUBSTITUTE(TRIM(H38),"'","''")&amp;"') AND lo.estado = 1 LIMIT 1)")&amp;", p_nombres =&gt; "&amp;IF(TRIM(E38&amp;"")="","NULL","'"&amp;SUBSTITUTE(TRIM(E38),"'","''")&amp;"'")&amp;", p_apellido_paterno =&gt; "&amp;IF(TRIM(F38&amp;"")="","NULL","'"&amp;SUBSTITUTE(TRIM(F38),"'","''")&amp;"'")&amp;", p_apellido_materno =&gt; "&amp;IF(TRIM(G38&amp;"")="","NULL","'"&amp;SUBSTITUTE(TRIM(G38),"'","''")&amp;"'")&amp;", p_id_tipo_documento =&gt; "&amp;IF(TRIM(B38&amp;"")="","NULL","(SELECT lo.id FROM gen_lista_opciones lo JOIN gen_lista l ON l.id = lo.id_lista WHERE l.nombre = 'TipoDocumento' AND upper(lo.nombre) = upper('"&amp;SUBSTITUTE(TRIM(B38),"'","''")&amp;"') AND lo.estado = 1 LIMIT 1)")&amp;", p_numero_documento =&gt; "&amp;IF(TRIM(C38&amp;"")="","NULL","'"&amp;SUBSTITUTE(TRIM(C38),"'","''")&amp;"'")&amp;", p_telefono =&gt; "&amp;IF(TRIM(L38&amp;"")="","NULL","'"&amp;SUBSTITUTE(TRIM(L38),"'","''")&amp;"'")&amp;", p_email =&gt; "&amp;IF(TRIM(M38&amp;"")="","NULL","'"&amp;SUBSTITUTE(TRIM(M38),"'","''")&amp;"'")&amp;", p_observacion =&gt; "&amp;IF(TRIM(O38&amp;"")="","NULL","'"&amp;SUBSTITUTE(TRIM(O38),"'","''")&amp;"'")&amp;", p_direccion =&gt; "&amp;IF(TRIM(J38&amp;"")="","NULL","'"&amp;SUBSTITUTE(TRIM(J38),"'","''")&amp;"'")&amp;", p_referencia =&gt; "&amp;IF(TRIM(K38&amp;"")="","NULL","'"&amp;SUBSTITUTE(TRIM(K38),"'","''")&amp;"'")&amp;") AS resultado_cliente_"&amp;ROW()&amp;";")</f>
        <v/>
      </c>
    </row>
    <row r="39" ht="15.75" customHeight="1" s="64">
      <c r="A39" s="25">
        <f>IF(AND(D39="",E39="",C39=""),"",IF(AND(D39="",E39=""),"FALTA razón social o nombres",IF(AND(C39&lt;&gt;"",SUMPRODUCT(--($C$5:$C$549=C39))&gt;1),"DOCUMENTO DUPLICADO",IF(AND(B39="DNI",C39&lt;&gt;"",LEN(C39&amp;"")&lt;&gt;8),"DNI debe tener 8 dígitos",IF(AND(B39="RUC",C39&lt;&gt;"",LEN(C39&amp;"")&lt;&gt;11),"RUC debe tener 11 dígitos",IF(AND(N39&lt;&gt;"",SUMPRODUCT(--($N$5:$N$549=N39))&gt;1),"CÓDIGO INTERNO DUPLICADO","OK"))))))</f>
        <v/>
      </c>
      <c r="B39" s="17" t="inlineStr">
        <is>
          <t>RUC</t>
        </is>
      </c>
      <c r="C39" s="26" t="inlineStr">
        <is>
          <t>20602257470</t>
        </is>
      </c>
      <c r="D39" s="17" t="inlineStr">
        <is>
          <t>INNNOVATION MACHINERY INDUSTRIAL FENIX PERU S.A.C.</t>
        </is>
      </c>
      <c r="E39" s="17" t="n"/>
      <c r="F39" s="17" t="n"/>
      <c r="G39" s="17" t="n"/>
      <c r="H39" s="17" t="inlineStr">
        <is>
          <t>Persona Jurídica</t>
        </is>
      </c>
      <c r="I39" s="17" t="inlineStr">
        <is>
          <t>Cliente</t>
        </is>
      </c>
      <c r="J39" s="17" t="n"/>
      <c r="K39" s="17" t="n"/>
      <c r="L39" s="23" t="n"/>
      <c r="M39" s="17" t="n"/>
      <c r="N39" s="23" t="n"/>
      <c r="O39" s="17" t="n"/>
      <c r="P39" s="28">
        <f>IF(A39&lt;&gt;"OK","","SELECT cli_crear_clientes(p_codigo_interno =&gt; "&amp;IF(TRIM(N39&amp;"")="","NULL","'"&amp;SUBSTITUTE(TRIM(N39),"'","''")&amp;"'")&amp;", p_razon_social =&gt; "&amp;IF(TRIM(D39&amp;"")="","NULL","'"&amp;SUBSTITUTE(TRIM(D39),"'","''")&amp;"'")&amp;", p_id_tipo_cliente =&gt; "&amp;IF(TRIM(I39&amp;"")="","NULL","(SELECT lo.id FROM gen_lista_opciones lo JOIN gen_lista l ON l.id = lo.id_lista WHERE l.nombre = 'TipoCliente' AND upper(lo.nombre) = upper('"&amp;SUBSTITUTE(TRIM(I39),"'","''")&amp;"') AND lo.estado = 1 LIMIT 1)")&amp;", p_id_tipo_persona =&gt; "&amp;IF(TRIM(H39&amp;"")="","NULL","(SELECT lo.id FROM gen_lista_opciones lo JOIN gen_lista l ON l.id = lo.id_lista WHERE l.nombre = 'TipoPersona' AND upper(lo.nombre) = upper('"&amp;SUBSTITUTE(TRIM(H39),"'","''")&amp;"') AND lo.estado = 1 LIMIT 1)")&amp;", p_nombres =&gt; "&amp;IF(TRIM(E39&amp;"")="","NULL","'"&amp;SUBSTITUTE(TRIM(E39),"'","''")&amp;"'")&amp;", p_apellido_paterno =&gt; "&amp;IF(TRIM(F39&amp;"")="","NULL","'"&amp;SUBSTITUTE(TRIM(F39),"'","''")&amp;"'")&amp;", p_apellido_materno =&gt; "&amp;IF(TRIM(G39&amp;"")="","NULL","'"&amp;SUBSTITUTE(TRIM(G39),"'","''")&amp;"'")&amp;", p_id_tipo_documento =&gt; "&amp;IF(TRIM(B39&amp;"")="","NULL","(SELECT lo.id FROM gen_lista_opciones lo JOIN gen_lista l ON l.id = lo.id_lista WHERE l.nombre = 'TipoDocumento' AND upper(lo.nombre) = upper('"&amp;SUBSTITUTE(TRIM(B39),"'","''")&amp;"') AND lo.estado = 1 LIMIT 1)")&amp;", p_numero_documento =&gt; "&amp;IF(TRIM(C39&amp;"")="","NULL","'"&amp;SUBSTITUTE(TRIM(C39),"'","''")&amp;"'")&amp;", p_telefono =&gt; "&amp;IF(TRIM(L39&amp;"")="","NULL","'"&amp;SUBSTITUTE(TRIM(L39),"'","''")&amp;"'")&amp;", p_email =&gt; "&amp;IF(TRIM(M39&amp;"")="","NULL","'"&amp;SUBSTITUTE(TRIM(M39),"'","''")&amp;"'")&amp;", p_observacion =&gt; "&amp;IF(TRIM(O39&amp;"")="","NULL","'"&amp;SUBSTITUTE(TRIM(O39),"'","''")&amp;"'")&amp;", p_direccion =&gt; "&amp;IF(TRIM(J39&amp;"")="","NULL","'"&amp;SUBSTITUTE(TRIM(J39),"'","''")&amp;"'")&amp;", p_referencia =&gt; "&amp;IF(TRIM(K39&amp;"")="","NULL","'"&amp;SUBSTITUTE(TRIM(K39),"'","''")&amp;"'")&amp;") AS resultado_cliente_"&amp;ROW()&amp;";")</f>
        <v/>
      </c>
    </row>
    <row r="40" ht="15.75" customHeight="1" s="64">
      <c r="A40" s="25">
        <f>IF(AND(D40="",E40="",C40=""),"",IF(AND(D40="",E40=""),"FALTA razón social o nombres",IF(AND(C40&lt;&gt;"",SUMPRODUCT(--($C$5:$C$549=C40))&gt;1),"DOCUMENTO DUPLICADO",IF(AND(B40="DNI",C40&lt;&gt;"",LEN(C40&amp;"")&lt;&gt;8),"DNI debe tener 8 dígitos",IF(AND(B40="RUC",C40&lt;&gt;"",LEN(C40&amp;"")&lt;&gt;11),"RUC debe tener 11 dígitos",IF(AND(N40&lt;&gt;"",SUMPRODUCT(--($N$5:$N$549=N40))&gt;1),"CÓDIGO INTERNO DUPLICADO","OK"))))))</f>
        <v/>
      </c>
      <c r="B40" s="17" t="inlineStr">
        <is>
          <t>DNI</t>
        </is>
      </c>
      <c r="C40" s="23" t="inlineStr">
        <is>
          <t>17430623</t>
        </is>
      </c>
      <c r="D40" s="17" t="n"/>
      <c r="E40" s="17" t="inlineStr">
        <is>
          <t>MARCO ANTONIO</t>
        </is>
      </c>
      <c r="F40" s="17" t="inlineStr">
        <is>
          <t xml:space="preserve">CHANAME </t>
        </is>
      </c>
      <c r="G40" s="17" t="inlineStr">
        <is>
          <t xml:space="preserve">CARBONEL </t>
        </is>
      </c>
      <c r="H40" s="17" t="inlineStr">
        <is>
          <t>Persona Natural</t>
        </is>
      </c>
      <c r="I40" s="17" t="inlineStr">
        <is>
          <t>Cliente</t>
        </is>
      </c>
      <c r="J40" s="17" t="n"/>
      <c r="K40" s="17" t="n"/>
      <c r="L40" s="23" t="n"/>
      <c r="M40" s="17" t="n"/>
      <c r="N40" s="23" t="n"/>
      <c r="O40" s="17" t="n"/>
      <c r="P40" s="28">
        <f>IF(A40&lt;&gt;"OK","","SELECT cli_crear_clientes(p_codigo_interno =&gt; "&amp;IF(TRIM(N40&amp;"")="","NULL","'"&amp;SUBSTITUTE(TRIM(N40),"'","''")&amp;"'")&amp;", p_razon_social =&gt; "&amp;IF(TRIM(D40&amp;"")="","NULL","'"&amp;SUBSTITUTE(TRIM(D40),"'","''")&amp;"'")&amp;", p_id_tipo_cliente =&gt; "&amp;IF(TRIM(I40&amp;"")="","NULL","(SELECT lo.id FROM gen_lista_opciones lo JOIN gen_lista l ON l.id = lo.id_lista WHERE l.nombre = 'TipoCliente' AND upper(lo.nombre) = upper('"&amp;SUBSTITUTE(TRIM(I40),"'","''")&amp;"') AND lo.estado = 1 LIMIT 1)")&amp;", p_id_tipo_persona =&gt; "&amp;IF(TRIM(H40&amp;"")="","NULL","(SELECT lo.id FROM gen_lista_opciones lo JOIN gen_lista l ON l.id = lo.id_lista WHERE l.nombre = 'TipoPersona' AND upper(lo.nombre) = upper('"&amp;SUBSTITUTE(TRIM(H40),"'","''")&amp;"') AND lo.estado = 1 LIMIT 1)")&amp;", p_nombres =&gt; "&amp;IF(TRIM(E40&amp;"")="","NULL","'"&amp;SUBSTITUTE(TRIM(E40),"'","''")&amp;"'")&amp;", p_apellido_paterno =&gt; "&amp;IF(TRIM(F40&amp;"")="","NULL","'"&amp;SUBSTITUTE(TRIM(F40),"'","''")&amp;"'")&amp;", p_apellido_materno =&gt; "&amp;IF(TRIM(G40&amp;"")="","NULL","'"&amp;SUBSTITUTE(TRIM(G40),"'","''")&amp;"'")&amp;", p_id_tipo_documento =&gt; "&amp;IF(TRIM(B40&amp;"")="","NULL","(SELECT lo.id FROM gen_lista_opciones lo JOIN gen_lista l ON l.id = lo.id_lista WHERE l.nombre = 'TipoDocumento' AND upper(lo.nombre) = upper('"&amp;SUBSTITUTE(TRIM(B40),"'","''")&amp;"') AND lo.estado = 1 LIMIT 1)")&amp;", p_numero_documento =&gt; "&amp;IF(TRIM(C40&amp;"")="","NULL","'"&amp;SUBSTITUTE(TRIM(C40),"'","''")&amp;"'")&amp;", p_telefono =&gt; "&amp;IF(TRIM(L40&amp;"")="","NULL","'"&amp;SUBSTITUTE(TRIM(L40),"'","''")&amp;"'")&amp;", p_email =&gt; "&amp;IF(TRIM(M40&amp;"")="","NULL","'"&amp;SUBSTITUTE(TRIM(M40),"'","''")&amp;"'")&amp;", p_observacion =&gt; "&amp;IF(TRIM(O40&amp;"")="","NULL","'"&amp;SUBSTITUTE(TRIM(O40),"'","''")&amp;"'")&amp;", p_direccion =&gt; "&amp;IF(TRIM(J40&amp;"")="","NULL","'"&amp;SUBSTITUTE(TRIM(J40),"'","''")&amp;"'")&amp;", p_referencia =&gt; "&amp;IF(TRIM(K40&amp;"")="","NULL","'"&amp;SUBSTITUTE(TRIM(K40),"'","''")&amp;"'")&amp;") AS resultado_cliente_"&amp;ROW()&amp;";")</f>
        <v/>
      </c>
    </row>
    <row r="41" ht="15.75" customHeight="1" s="64">
      <c r="A41" s="25">
        <f>IF(AND(D41="",E41="",C41=""),"",IF(AND(D41="",E41=""),"FALTA razón social o nombres",IF(AND(C41&lt;&gt;"",SUMPRODUCT(--($C$5:$C$549=C41))&gt;1),"DOCUMENTO DUPLICADO",IF(AND(B41="DNI",C41&lt;&gt;"",LEN(C41&amp;"")&lt;&gt;8),"DNI debe tener 8 dígitos",IF(AND(B41="RUC",C41&lt;&gt;"",LEN(C41&amp;"")&lt;&gt;11),"RUC debe tener 11 dígitos",IF(AND(N41&lt;&gt;"",SUMPRODUCT(--($N$5:$N$549=N41))&gt;1),"CÓDIGO INTERNO DUPLICADO","OK"))))))</f>
        <v/>
      </c>
      <c r="B41" s="17" t="inlineStr">
        <is>
          <t>RUC</t>
        </is>
      </c>
      <c r="C41" s="26" t="inlineStr">
        <is>
          <t>20514134155</t>
        </is>
      </c>
      <c r="D41" s="26" t="inlineStr">
        <is>
          <t>LATERCER S.A.C.</t>
        </is>
      </c>
      <c r="E41" s="17" t="n"/>
      <c r="F41" s="17" t="n"/>
      <c r="G41" s="17" t="n"/>
      <c r="H41" s="17" t="inlineStr">
        <is>
          <t>Persona Jurídica</t>
        </is>
      </c>
      <c r="I41" s="17" t="inlineStr">
        <is>
          <t>Cliente</t>
        </is>
      </c>
      <c r="J41" s="17" t="n"/>
      <c r="K41" s="17" t="n"/>
      <c r="L41" s="23" t="n"/>
      <c r="M41" s="17" t="n"/>
      <c r="N41" s="23" t="n"/>
      <c r="O41" s="17" t="n"/>
      <c r="P41" s="28">
        <f>IF(A41&lt;&gt;"OK","","SELECT cli_crear_clientes(p_codigo_interno =&gt; "&amp;IF(TRIM(N41&amp;"")="","NULL","'"&amp;SUBSTITUTE(TRIM(N41),"'","''")&amp;"'")&amp;", p_razon_social =&gt; "&amp;IF(TRIM(D41&amp;"")="","NULL","'"&amp;SUBSTITUTE(TRIM(D41),"'","''")&amp;"'")&amp;", p_id_tipo_cliente =&gt; "&amp;IF(TRIM(I41&amp;"")="","NULL","(SELECT lo.id FROM gen_lista_opciones lo JOIN gen_lista l ON l.id = lo.id_lista WHERE l.nombre = 'TipoCliente' AND upper(lo.nombre) = upper('"&amp;SUBSTITUTE(TRIM(I41),"'","''")&amp;"') AND lo.estado = 1 LIMIT 1)")&amp;", p_id_tipo_persona =&gt; "&amp;IF(TRIM(H41&amp;"")="","NULL","(SELECT lo.id FROM gen_lista_opciones lo JOIN gen_lista l ON l.id = lo.id_lista WHERE l.nombre = 'TipoPersona' AND upper(lo.nombre) = upper('"&amp;SUBSTITUTE(TRIM(H41),"'","''")&amp;"') AND lo.estado = 1 LIMIT 1)")&amp;", p_nombres =&gt; "&amp;IF(TRIM(E41&amp;"")="","NULL","'"&amp;SUBSTITUTE(TRIM(E41),"'","''")&amp;"'")&amp;", p_apellido_paterno =&gt; "&amp;IF(TRIM(F41&amp;"")="","NULL","'"&amp;SUBSTITUTE(TRIM(F41),"'","''")&amp;"'")&amp;", p_apellido_materno =&gt; "&amp;IF(TRIM(G41&amp;"")="","NULL","'"&amp;SUBSTITUTE(TRIM(G41),"'","''")&amp;"'")&amp;", p_id_tipo_documento =&gt; "&amp;IF(TRIM(B41&amp;"")="","NULL","(SELECT lo.id FROM gen_lista_opciones lo JOIN gen_lista l ON l.id = lo.id_lista WHERE l.nombre = 'TipoDocumento' AND upper(lo.nombre) = upper('"&amp;SUBSTITUTE(TRIM(B41),"'","''")&amp;"') AND lo.estado = 1 LIMIT 1)")&amp;", p_numero_documento =&gt; "&amp;IF(TRIM(C41&amp;"")="","NULL","'"&amp;SUBSTITUTE(TRIM(C41),"'","''")&amp;"'")&amp;", p_telefono =&gt; "&amp;IF(TRIM(L41&amp;"")="","NULL","'"&amp;SUBSTITUTE(TRIM(L41),"'","''")&amp;"'")&amp;", p_email =&gt; "&amp;IF(TRIM(M41&amp;"")="","NULL","'"&amp;SUBSTITUTE(TRIM(M41),"'","''")&amp;"'")&amp;", p_observacion =&gt; "&amp;IF(TRIM(O41&amp;"")="","NULL","'"&amp;SUBSTITUTE(TRIM(O41),"'","''")&amp;"'")&amp;", p_direccion =&gt; "&amp;IF(TRIM(J41&amp;"")="","NULL","'"&amp;SUBSTITUTE(TRIM(J41),"'","''")&amp;"'")&amp;", p_referencia =&gt; "&amp;IF(TRIM(K41&amp;"")="","NULL","'"&amp;SUBSTITUTE(TRIM(K41),"'","''")&amp;"'")&amp;") AS resultado_cliente_"&amp;ROW()&amp;";")</f>
        <v/>
      </c>
    </row>
    <row r="42" ht="15.75" customHeight="1" s="64">
      <c r="A42" s="25">
        <f>IF(AND(D42="",E42="",C42=""),"",IF(AND(D42="",E42=""),"FALTA razón social o nombres",IF(AND(C42&lt;&gt;"",SUMPRODUCT(--($C$5:$C$549=C42))&gt;1),"DOCUMENTO DUPLICADO",IF(AND(B42="DNI",C42&lt;&gt;"",LEN(C42&amp;"")&lt;&gt;8),"DNI debe tener 8 dígitos",IF(AND(B42="RUC",C42&lt;&gt;"",LEN(C42&amp;"")&lt;&gt;11),"RUC debe tener 11 dígitos",IF(AND(N42&lt;&gt;"",SUMPRODUCT(--($N$5:$N$549=N42))&gt;1),"CÓDIGO INTERNO DUPLICADO","OK"))))))</f>
        <v/>
      </c>
      <c r="B42" s="17" t="inlineStr">
        <is>
          <t>RUC</t>
        </is>
      </c>
      <c r="C42" s="26" t="inlineStr">
        <is>
          <t>20607980358</t>
        </is>
      </c>
      <c r="D42" s="17" t="inlineStr">
        <is>
          <t>LIGA DE CIRUGIA CONTRA LA OBESIDAD E.I.R.L.</t>
        </is>
      </c>
      <c r="E42" s="17" t="n"/>
      <c r="F42" s="17" t="n"/>
      <c r="G42" s="17" t="n"/>
      <c r="H42" s="17" t="inlineStr">
        <is>
          <t>Persona Jurídica</t>
        </is>
      </c>
      <c r="I42" s="17" t="inlineStr">
        <is>
          <t>Cliente</t>
        </is>
      </c>
      <c r="J42" s="17" t="n"/>
      <c r="K42" s="17" t="n"/>
      <c r="L42" s="23" t="n"/>
      <c r="M42" s="17" t="n"/>
      <c r="N42" s="23" t="n"/>
      <c r="O42" s="17" t="n"/>
      <c r="P42" s="28">
        <f>IF(A42&lt;&gt;"OK","","SELECT cli_crear_clientes(p_codigo_interno =&gt; "&amp;IF(TRIM(N42&amp;"")="","NULL","'"&amp;SUBSTITUTE(TRIM(N42),"'","''")&amp;"'")&amp;", p_razon_social =&gt; "&amp;IF(TRIM(D42&amp;"")="","NULL","'"&amp;SUBSTITUTE(TRIM(D42),"'","''")&amp;"'")&amp;", p_id_tipo_cliente =&gt; "&amp;IF(TRIM(I42&amp;"")="","NULL","(SELECT lo.id FROM gen_lista_opciones lo JOIN gen_lista l ON l.id = lo.id_lista WHERE l.nombre = 'TipoCliente' AND upper(lo.nombre) = upper('"&amp;SUBSTITUTE(TRIM(I42),"'","''")&amp;"') AND lo.estado = 1 LIMIT 1)")&amp;", p_id_tipo_persona =&gt; "&amp;IF(TRIM(H42&amp;"")="","NULL","(SELECT lo.id FROM gen_lista_opciones lo JOIN gen_lista l ON l.id = lo.id_lista WHERE l.nombre = 'TipoPersona' AND upper(lo.nombre) = upper('"&amp;SUBSTITUTE(TRIM(H42),"'","''")&amp;"') AND lo.estado = 1 LIMIT 1)")&amp;", p_nombres =&gt; "&amp;IF(TRIM(E42&amp;"")="","NULL","'"&amp;SUBSTITUTE(TRIM(E42),"'","''")&amp;"'")&amp;", p_apellido_paterno =&gt; "&amp;IF(TRIM(F42&amp;"")="","NULL","'"&amp;SUBSTITUTE(TRIM(F42),"'","''")&amp;"'")&amp;", p_apellido_materno =&gt; "&amp;IF(TRIM(G42&amp;"")="","NULL","'"&amp;SUBSTITUTE(TRIM(G42),"'","''")&amp;"'")&amp;", p_id_tipo_documento =&gt; "&amp;IF(TRIM(B42&amp;"")="","NULL","(SELECT lo.id FROM gen_lista_opciones lo JOIN gen_lista l ON l.id = lo.id_lista WHERE l.nombre = 'TipoDocumento' AND upper(lo.nombre) = upper('"&amp;SUBSTITUTE(TRIM(B42),"'","''")&amp;"') AND lo.estado = 1 LIMIT 1)")&amp;", p_numero_documento =&gt; "&amp;IF(TRIM(C42&amp;"")="","NULL","'"&amp;SUBSTITUTE(TRIM(C42),"'","''")&amp;"'")&amp;", p_telefono =&gt; "&amp;IF(TRIM(L42&amp;"")="","NULL","'"&amp;SUBSTITUTE(TRIM(L42),"'","''")&amp;"'")&amp;", p_email =&gt; "&amp;IF(TRIM(M42&amp;"")="","NULL","'"&amp;SUBSTITUTE(TRIM(M42),"'","''")&amp;"'")&amp;", p_observacion =&gt; "&amp;IF(TRIM(O42&amp;"")="","NULL","'"&amp;SUBSTITUTE(TRIM(O42),"'","''")&amp;"'")&amp;", p_direccion =&gt; "&amp;IF(TRIM(J42&amp;"")="","NULL","'"&amp;SUBSTITUTE(TRIM(J42),"'","''")&amp;"'")&amp;", p_referencia =&gt; "&amp;IF(TRIM(K42&amp;"")="","NULL","'"&amp;SUBSTITUTE(TRIM(K42),"'","''")&amp;"'")&amp;") AS resultado_cliente_"&amp;ROW()&amp;";")</f>
        <v/>
      </c>
    </row>
    <row r="43" ht="15.75" customHeight="1" s="64">
      <c r="A43" s="25">
        <f>IF(AND(D43="",E43="",C43=""),"",IF(AND(D43="",E43=""),"FALTA razón social o nombres",IF(AND(C43&lt;&gt;"",SUMPRODUCT(--($C$5:$C$549=C43))&gt;1),"DOCUMENTO DUPLICADO",IF(AND(B43="DNI",C43&lt;&gt;"",LEN(C43&amp;"")&lt;&gt;8),"DNI debe tener 8 dígitos",IF(AND(B43="RUC",C43&lt;&gt;"",LEN(C43&amp;"")&lt;&gt;11),"RUC debe tener 11 dígitos",IF(AND(N43&lt;&gt;"",SUMPRODUCT(--($N$5:$N$549=N43))&gt;1),"CÓDIGO INTERNO DUPLICADO","OK"))))))</f>
        <v/>
      </c>
      <c r="B43" s="17" t="inlineStr">
        <is>
          <t>RUC</t>
        </is>
      </c>
      <c r="C43" s="26" t="inlineStr">
        <is>
          <t>20338570041</t>
        </is>
      </c>
      <c r="D43" s="17" t="inlineStr">
        <is>
          <t>LINDE PERU S.R.L.</t>
        </is>
      </c>
      <c r="E43" s="17" t="n"/>
      <c r="F43" s="17" t="n"/>
      <c r="G43" s="17" t="n"/>
      <c r="H43" s="17" t="inlineStr">
        <is>
          <t>Persona Jurídica</t>
        </is>
      </c>
      <c r="I43" s="17" t="inlineStr">
        <is>
          <t>Proveedor</t>
        </is>
      </c>
      <c r="J43" s="17" t="n"/>
      <c r="K43" s="17" t="n"/>
      <c r="L43" s="23" t="n"/>
      <c r="M43" s="17" t="n"/>
      <c r="N43" s="23" t="n"/>
      <c r="O43" s="17" t="n"/>
      <c r="P43" s="28">
        <f>IF(A43&lt;&gt;"OK","","SELECT cli_crear_clientes(p_codigo_interno =&gt; "&amp;IF(TRIM(N43&amp;"")="","NULL","'"&amp;SUBSTITUTE(TRIM(N43),"'","''")&amp;"'")&amp;", p_razon_social =&gt; "&amp;IF(TRIM(D43&amp;"")="","NULL","'"&amp;SUBSTITUTE(TRIM(D43),"'","''")&amp;"'")&amp;", p_id_tipo_cliente =&gt; "&amp;IF(TRIM(I43&amp;"")="","NULL","(SELECT lo.id FROM gen_lista_opciones lo JOIN gen_lista l ON l.id = lo.id_lista WHERE l.nombre = 'TipoCliente' AND upper(lo.nombre) = upper('"&amp;SUBSTITUTE(TRIM(I43),"'","''")&amp;"') AND lo.estado = 1 LIMIT 1)")&amp;", p_id_tipo_persona =&gt; "&amp;IF(TRIM(H43&amp;"")="","NULL","(SELECT lo.id FROM gen_lista_opciones lo JOIN gen_lista l ON l.id = lo.id_lista WHERE l.nombre = 'TipoPersona' AND upper(lo.nombre) = upper('"&amp;SUBSTITUTE(TRIM(H43),"'","''")&amp;"') AND lo.estado = 1 LIMIT 1)")&amp;", p_nombres =&gt; "&amp;IF(TRIM(E43&amp;"")="","NULL","'"&amp;SUBSTITUTE(TRIM(E43),"'","''")&amp;"'")&amp;", p_apellido_paterno =&gt; "&amp;IF(TRIM(F43&amp;"")="","NULL","'"&amp;SUBSTITUTE(TRIM(F43),"'","''")&amp;"'")&amp;", p_apellido_materno =&gt; "&amp;IF(TRIM(G43&amp;"")="","NULL","'"&amp;SUBSTITUTE(TRIM(G43),"'","''")&amp;"'")&amp;", p_id_tipo_documento =&gt; "&amp;IF(TRIM(B43&amp;"")="","NULL","(SELECT lo.id FROM gen_lista_opciones lo JOIN gen_lista l ON l.id = lo.id_lista WHERE l.nombre = 'TipoDocumento' AND upper(lo.nombre) = upper('"&amp;SUBSTITUTE(TRIM(B43),"'","''")&amp;"') AND lo.estado = 1 LIMIT 1)")&amp;", p_numero_documento =&gt; "&amp;IF(TRIM(C43&amp;"")="","NULL","'"&amp;SUBSTITUTE(TRIM(C43),"'","''")&amp;"'")&amp;", p_telefono =&gt; "&amp;IF(TRIM(L43&amp;"")="","NULL","'"&amp;SUBSTITUTE(TRIM(L43),"'","''")&amp;"'")&amp;", p_email =&gt; "&amp;IF(TRIM(M43&amp;"")="","NULL","'"&amp;SUBSTITUTE(TRIM(M43),"'","''")&amp;"'")&amp;", p_observacion =&gt; "&amp;IF(TRIM(O43&amp;"")="","NULL","'"&amp;SUBSTITUTE(TRIM(O43),"'","''")&amp;"'")&amp;", p_direccion =&gt; "&amp;IF(TRIM(J43&amp;"")="","NULL","'"&amp;SUBSTITUTE(TRIM(J43),"'","''")&amp;"'")&amp;", p_referencia =&gt; "&amp;IF(TRIM(K43&amp;"")="","NULL","'"&amp;SUBSTITUTE(TRIM(K43),"'","''")&amp;"'")&amp;") AS resultado_cliente_"&amp;ROW()&amp;";")</f>
        <v/>
      </c>
    </row>
    <row r="44" ht="15.75" customHeight="1" s="64">
      <c r="A44" s="25">
        <f>IF(AND(D44="",E44="",C44=""),"",IF(AND(D44="",E44=""),"FALTA razón social o nombres",IF(AND(C44&lt;&gt;"",SUMPRODUCT(--($C$5:$C$549=C44))&gt;1),"DOCUMENTO DUPLICADO",IF(AND(B44="DNI",C44&lt;&gt;"",LEN(C44&amp;"")&lt;&gt;8),"DNI debe tener 8 dígitos",IF(AND(B44="RUC",C44&lt;&gt;"",LEN(C44&amp;"")&lt;&gt;11),"RUC debe tener 11 dígitos",IF(AND(N44&lt;&gt;"",SUMPRODUCT(--($N$5:$N$549=N44))&gt;1),"CÓDIGO INTERNO DUPLICADO","OK"))))))</f>
        <v/>
      </c>
      <c r="B44" s="17" t="inlineStr">
        <is>
          <t>RUC</t>
        </is>
      </c>
      <c r="C44" s="26" t="inlineStr">
        <is>
          <t>20609474671</t>
        </is>
      </c>
      <c r="D44" s="17" t="inlineStr">
        <is>
          <t>MASTER FRIO SOLUCIONES E.I.R.L.</t>
        </is>
      </c>
      <c r="E44" s="17" t="n"/>
      <c r="F44" s="17" t="n"/>
      <c r="G44" s="17" t="n"/>
      <c r="H44" s="17" t="inlineStr">
        <is>
          <t>Persona Jurídica</t>
        </is>
      </c>
      <c r="I44" s="17" t="inlineStr">
        <is>
          <t>Cliente</t>
        </is>
      </c>
      <c r="J44" s="17" t="n"/>
      <c r="K44" s="17" t="n"/>
      <c r="L44" s="23" t="n"/>
      <c r="M44" s="17" t="n"/>
      <c r="N44" s="23" t="n"/>
      <c r="O44" s="17" t="n"/>
      <c r="P44" s="28">
        <f>IF(A44&lt;&gt;"OK","","SELECT cli_crear_clientes(p_codigo_interno =&gt; "&amp;IF(TRIM(N44&amp;"")="","NULL","'"&amp;SUBSTITUTE(TRIM(N44),"'","''")&amp;"'")&amp;", p_razon_social =&gt; "&amp;IF(TRIM(D44&amp;"")="","NULL","'"&amp;SUBSTITUTE(TRIM(D44),"'","''")&amp;"'")&amp;", p_id_tipo_cliente =&gt; "&amp;IF(TRIM(I44&amp;"")="","NULL","(SELECT lo.id FROM gen_lista_opciones lo JOIN gen_lista l ON l.id = lo.id_lista WHERE l.nombre = 'TipoCliente' AND upper(lo.nombre) = upper('"&amp;SUBSTITUTE(TRIM(I44),"'","''")&amp;"') AND lo.estado = 1 LIMIT 1)")&amp;", p_id_tipo_persona =&gt; "&amp;IF(TRIM(H44&amp;"")="","NULL","(SELECT lo.id FROM gen_lista_opciones lo JOIN gen_lista l ON l.id = lo.id_lista WHERE l.nombre = 'TipoPersona' AND upper(lo.nombre) = upper('"&amp;SUBSTITUTE(TRIM(H44),"'","''")&amp;"') AND lo.estado = 1 LIMIT 1)")&amp;", p_nombres =&gt; "&amp;IF(TRIM(E44&amp;"")="","NULL","'"&amp;SUBSTITUTE(TRIM(E44),"'","''")&amp;"'")&amp;", p_apellido_paterno =&gt; "&amp;IF(TRIM(F44&amp;"")="","NULL","'"&amp;SUBSTITUTE(TRIM(F44),"'","''")&amp;"'")&amp;", p_apellido_materno =&gt; "&amp;IF(TRIM(G44&amp;"")="","NULL","'"&amp;SUBSTITUTE(TRIM(G44),"'","''")&amp;"'")&amp;", p_id_tipo_documento =&gt; "&amp;IF(TRIM(B44&amp;"")="","NULL","(SELECT lo.id FROM gen_lista_opciones lo JOIN gen_lista l ON l.id = lo.id_lista WHERE l.nombre = 'TipoDocumento' AND upper(lo.nombre) = upper('"&amp;SUBSTITUTE(TRIM(B44),"'","''")&amp;"') AND lo.estado = 1 LIMIT 1)")&amp;", p_numero_documento =&gt; "&amp;IF(TRIM(C44&amp;"")="","NULL","'"&amp;SUBSTITUTE(TRIM(C44),"'","''")&amp;"'")&amp;", p_telefono =&gt; "&amp;IF(TRIM(L44&amp;"")="","NULL","'"&amp;SUBSTITUTE(TRIM(L44),"'","''")&amp;"'")&amp;", p_email =&gt; "&amp;IF(TRIM(M44&amp;"")="","NULL","'"&amp;SUBSTITUTE(TRIM(M44),"'","''")&amp;"'")&amp;", p_observacion =&gt; "&amp;IF(TRIM(O44&amp;"")="","NULL","'"&amp;SUBSTITUTE(TRIM(O44),"'","''")&amp;"'")&amp;", p_direccion =&gt; "&amp;IF(TRIM(J44&amp;"")="","NULL","'"&amp;SUBSTITUTE(TRIM(J44),"'","''")&amp;"'")&amp;", p_referencia =&gt; "&amp;IF(TRIM(K44&amp;"")="","NULL","'"&amp;SUBSTITUTE(TRIM(K44),"'","''")&amp;"'")&amp;") AS resultado_cliente_"&amp;ROW()&amp;";")</f>
        <v/>
      </c>
    </row>
    <row r="45" ht="15.75" customHeight="1" s="64">
      <c r="A45" s="25">
        <f>IF(AND(D45="",E45="",C45=""),"",IF(AND(D45="",E45=""),"FALTA razón social o nombres",IF(AND(C45&lt;&gt;"",SUMPRODUCT(--($C$5:$C$549=C45))&gt;1),"DOCUMENTO DUPLICADO",IF(AND(B45="DNI",C45&lt;&gt;"",LEN(C45&amp;"")&lt;&gt;8),"DNI debe tener 8 dígitos",IF(AND(B45="RUC",C45&lt;&gt;"",LEN(C45&amp;"")&lt;&gt;11),"RUC debe tener 11 dígitos",IF(AND(N45&lt;&gt;"",SUMPRODUCT(--($N$5:$N$549=N45))&gt;1),"CÓDIGO INTERNO DUPLICADO","OK"))))))</f>
        <v/>
      </c>
      <c r="B45" s="17" t="inlineStr">
        <is>
          <t>RUC</t>
        </is>
      </c>
      <c r="C45" s="26" t="inlineStr">
        <is>
          <t>10803677714</t>
        </is>
      </c>
      <c r="D45" s="26" t="inlineStr">
        <is>
          <t>MORENO CASUSOL JOSE WILLIAM</t>
        </is>
      </c>
      <c r="E45" s="17" t="n"/>
      <c r="F45" s="17" t="n"/>
      <c r="G45" s="17" t="n"/>
      <c r="H45" s="17" t="inlineStr">
        <is>
          <t>Persona Jurídica</t>
        </is>
      </c>
      <c r="I45" s="17" t="inlineStr">
        <is>
          <t>Cliente</t>
        </is>
      </c>
      <c r="J45" s="17" t="n"/>
      <c r="K45" s="17" t="n"/>
      <c r="L45" s="23" t="n"/>
      <c r="M45" s="17" t="n"/>
      <c r="N45" s="23" t="n"/>
      <c r="O45" s="17" t="n"/>
      <c r="P45" s="28">
        <f>IF(A45&lt;&gt;"OK","","SELECT cli_crear_clientes(p_codigo_interno =&gt; "&amp;IF(TRIM(N45&amp;"")="","NULL","'"&amp;SUBSTITUTE(TRIM(N45),"'","''")&amp;"'")&amp;", p_razon_social =&gt; "&amp;IF(TRIM(D45&amp;"")="","NULL","'"&amp;SUBSTITUTE(TRIM(D45),"'","''")&amp;"'")&amp;", p_id_tipo_cliente =&gt; "&amp;IF(TRIM(I45&amp;"")="","NULL","(SELECT lo.id FROM gen_lista_opciones lo JOIN gen_lista l ON l.id = lo.id_lista WHERE l.nombre = 'TipoCliente' AND upper(lo.nombre) = upper('"&amp;SUBSTITUTE(TRIM(I45),"'","''")&amp;"') AND lo.estado = 1 LIMIT 1)")&amp;", p_id_tipo_persona =&gt; "&amp;IF(TRIM(H45&amp;"")="","NULL","(SELECT lo.id FROM gen_lista_opciones lo JOIN gen_lista l ON l.id = lo.id_lista WHERE l.nombre = 'TipoPersona' AND upper(lo.nombre) = upper('"&amp;SUBSTITUTE(TRIM(H45),"'","''")&amp;"') AND lo.estado = 1 LIMIT 1)")&amp;", p_nombres =&gt; "&amp;IF(TRIM(E45&amp;"")="","NULL","'"&amp;SUBSTITUTE(TRIM(E45),"'","''")&amp;"'")&amp;", p_apellido_paterno =&gt; "&amp;IF(TRIM(F45&amp;"")="","NULL","'"&amp;SUBSTITUTE(TRIM(F45),"'","''")&amp;"'")&amp;", p_apellido_materno =&gt; "&amp;IF(TRIM(G45&amp;"")="","NULL","'"&amp;SUBSTITUTE(TRIM(G45),"'","''")&amp;"'")&amp;", p_id_tipo_documento =&gt; "&amp;IF(TRIM(B45&amp;"")="","NULL","(SELECT lo.id FROM gen_lista_opciones lo JOIN gen_lista l ON l.id = lo.id_lista WHERE l.nombre = 'TipoDocumento' AND upper(lo.nombre) = upper('"&amp;SUBSTITUTE(TRIM(B45),"'","''")&amp;"') AND lo.estado = 1 LIMIT 1)")&amp;", p_numero_documento =&gt; "&amp;IF(TRIM(C45&amp;"")="","NULL","'"&amp;SUBSTITUTE(TRIM(C45),"'","''")&amp;"'")&amp;", p_telefono =&gt; "&amp;IF(TRIM(L45&amp;"")="","NULL","'"&amp;SUBSTITUTE(TRIM(L45),"'","''")&amp;"'")&amp;", p_email =&gt; "&amp;IF(TRIM(M45&amp;"")="","NULL","'"&amp;SUBSTITUTE(TRIM(M45),"'","''")&amp;"'")&amp;", p_observacion =&gt; "&amp;IF(TRIM(O45&amp;"")="","NULL","'"&amp;SUBSTITUTE(TRIM(O45),"'","''")&amp;"'")&amp;", p_direccion =&gt; "&amp;IF(TRIM(J45&amp;"")="","NULL","'"&amp;SUBSTITUTE(TRIM(J45),"'","''")&amp;"'")&amp;", p_referencia =&gt; "&amp;IF(TRIM(K45&amp;"")="","NULL","'"&amp;SUBSTITUTE(TRIM(K45),"'","''")&amp;"'")&amp;") AS resultado_cliente_"&amp;ROW()&amp;";")</f>
        <v/>
      </c>
    </row>
    <row r="46" ht="15.75" customHeight="1" s="64">
      <c r="A46" s="25">
        <f>IF(AND(D46="",E46="",C46=""),"",IF(AND(D46="",E46=""),"FALTA razón social o nombres",IF(AND(C46&lt;&gt;"",SUMPRODUCT(--($C$5:$C$549=C46))&gt;1),"DOCUMENTO DUPLICADO",IF(AND(B46="DNI",C46&lt;&gt;"",LEN(C46&amp;"")&lt;&gt;8),"DNI debe tener 8 dígitos",IF(AND(B46="RUC",C46&lt;&gt;"",LEN(C46&amp;"")&lt;&gt;11),"RUC debe tener 11 dígitos",IF(AND(N46&lt;&gt;"",SUMPRODUCT(--($N$5:$N$549=N46))&gt;1),"CÓDIGO INTERNO DUPLICADO","OK"))))))</f>
        <v/>
      </c>
      <c r="B46" s="17" t="inlineStr">
        <is>
          <t>RUC</t>
        </is>
      </c>
      <c r="C46" s="26" t="inlineStr">
        <is>
          <t>20600017412</t>
        </is>
      </c>
      <c r="D46" s="17" t="inlineStr">
        <is>
          <t>NORT PARTS MULTILLANTAS Y SERVICIOS GENERALES E.I.R.L.</t>
        </is>
      </c>
      <c r="E46" s="17" t="n"/>
      <c r="F46" s="17" t="n"/>
      <c r="G46" s="17" t="n"/>
      <c r="H46" s="17" t="inlineStr">
        <is>
          <t>Persona Jurídica</t>
        </is>
      </c>
      <c r="I46" s="17" t="inlineStr">
        <is>
          <t>Cliente</t>
        </is>
      </c>
      <c r="J46" s="17" t="n"/>
      <c r="K46" s="17" t="n"/>
      <c r="L46" s="23" t="n"/>
      <c r="M46" s="17" t="n"/>
      <c r="N46" s="23" t="n"/>
      <c r="O46" s="17" t="n"/>
      <c r="P46" s="28">
        <f>IF(A46&lt;&gt;"OK","","SELECT cli_crear_clientes(p_codigo_interno =&gt; "&amp;IF(TRIM(N46&amp;"")="","NULL","'"&amp;SUBSTITUTE(TRIM(N46),"'","''")&amp;"'")&amp;", p_razon_social =&gt; "&amp;IF(TRIM(D46&amp;"")="","NULL","'"&amp;SUBSTITUTE(TRIM(D46),"'","''")&amp;"'")&amp;", p_id_tipo_cliente =&gt; "&amp;IF(TRIM(I46&amp;"")="","NULL","(SELECT lo.id FROM gen_lista_opciones lo JOIN gen_lista l ON l.id = lo.id_lista WHERE l.nombre = 'TipoCliente' AND upper(lo.nombre) = upper('"&amp;SUBSTITUTE(TRIM(I46),"'","''")&amp;"') AND lo.estado = 1 LIMIT 1)")&amp;", p_id_tipo_persona =&gt; "&amp;IF(TRIM(H46&amp;"")="","NULL","(SELECT lo.id FROM gen_lista_opciones lo JOIN gen_lista l ON l.id = lo.id_lista WHERE l.nombre = 'TipoPersona' AND upper(lo.nombre) = upper('"&amp;SUBSTITUTE(TRIM(H46),"'","''")&amp;"') AND lo.estado = 1 LIMIT 1)")&amp;", p_nombres =&gt; "&amp;IF(TRIM(E46&amp;"")="","NULL","'"&amp;SUBSTITUTE(TRIM(E46),"'","''")&amp;"'")&amp;", p_apellido_paterno =&gt; "&amp;IF(TRIM(F46&amp;"")="","NULL","'"&amp;SUBSTITUTE(TRIM(F46),"'","''")&amp;"'")&amp;", p_apellido_materno =&gt; "&amp;IF(TRIM(G46&amp;"")="","NULL","'"&amp;SUBSTITUTE(TRIM(G46),"'","''")&amp;"'")&amp;", p_id_tipo_documento =&gt; "&amp;IF(TRIM(B46&amp;"")="","NULL","(SELECT lo.id FROM gen_lista_opciones lo JOIN gen_lista l ON l.id = lo.id_lista WHERE l.nombre = 'TipoDocumento' AND upper(lo.nombre) = upper('"&amp;SUBSTITUTE(TRIM(B46),"'","''")&amp;"') AND lo.estado = 1 LIMIT 1)")&amp;", p_numero_documento =&gt; "&amp;IF(TRIM(C46&amp;"")="","NULL","'"&amp;SUBSTITUTE(TRIM(C46),"'","''")&amp;"'")&amp;", p_telefono =&gt; "&amp;IF(TRIM(L46&amp;"")="","NULL","'"&amp;SUBSTITUTE(TRIM(L46),"'","''")&amp;"'")&amp;", p_email =&gt; "&amp;IF(TRIM(M46&amp;"")="","NULL","'"&amp;SUBSTITUTE(TRIM(M46),"'","''")&amp;"'")&amp;", p_observacion =&gt; "&amp;IF(TRIM(O46&amp;"")="","NULL","'"&amp;SUBSTITUTE(TRIM(O46),"'","''")&amp;"'")&amp;", p_direccion =&gt; "&amp;IF(TRIM(J46&amp;"")="","NULL","'"&amp;SUBSTITUTE(TRIM(J46),"'","''")&amp;"'")&amp;", p_referencia =&gt; "&amp;IF(TRIM(K46&amp;"")="","NULL","'"&amp;SUBSTITUTE(TRIM(K46),"'","''")&amp;"'")&amp;") AS resultado_cliente_"&amp;ROW()&amp;";")</f>
        <v/>
      </c>
    </row>
    <row r="47" ht="15.75" customHeight="1" s="64">
      <c r="A47" s="25">
        <f>IF(AND(D47="",E47="",C47=""),"",IF(AND(D47="",E47=""),"FALTA razón social o nombres",IF(AND(C47&lt;&gt;"",SUMPRODUCT(--($C$5:$C$549=C47))&gt;1),"DOCUMENTO DUPLICADO",IF(AND(B47="DNI",C47&lt;&gt;"",LEN(C47&amp;"")&lt;&gt;8),"DNI debe tener 8 dígitos",IF(AND(B47="RUC",C47&lt;&gt;"",LEN(C47&amp;"")&lt;&gt;11),"RUC debe tener 11 dígitos",IF(AND(N47&lt;&gt;"",SUMPRODUCT(--($N$5:$N$549=N47))&gt;1),"CÓDIGO INTERNO DUPLICADO","OK"))))))</f>
        <v/>
      </c>
      <c r="B47" s="17" t="inlineStr">
        <is>
          <t>RUC</t>
        </is>
      </c>
      <c r="C47" s="26" t="inlineStr">
        <is>
          <t>20536698834</t>
        </is>
      </c>
      <c r="D47" s="26" t="inlineStr">
        <is>
          <t>OXIGENO CHRISTIAN S.A.C.</t>
        </is>
      </c>
      <c r="E47" s="17" t="n"/>
      <c r="F47" s="17" t="n"/>
      <c r="G47" s="17" t="n"/>
      <c r="H47" s="17" t="inlineStr">
        <is>
          <t>Persona Jurídica</t>
        </is>
      </c>
      <c r="I47" s="17" t="inlineStr">
        <is>
          <t>Proveedor</t>
        </is>
      </c>
      <c r="J47" s="17" t="n"/>
      <c r="K47" s="17" t="n"/>
      <c r="L47" s="23" t="n"/>
      <c r="M47" s="17" t="n"/>
      <c r="N47" s="23" t="n"/>
      <c r="O47" s="17" t="n"/>
      <c r="P47" s="28">
        <f>IF(A47&lt;&gt;"OK","","SELECT cli_crear_clientes(p_codigo_interno =&gt; "&amp;IF(TRIM(N47&amp;"")="","NULL","'"&amp;SUBSTITUTE(TRIM(N47),"'","''")&amp;"'")&amp;", p_razon_social =&gt; "&amp;IF(TRIM(D47&amp;"")="","NULL","'"&amp;SUBSTITUTE(TRIM(D47),"'","''")&amp;"'")&amp;", p_id_tipo_cliente =&gt; "&amp;IF(TRIM(I47&amp;"")="","NULL","(SELECT lo.id FROM gen_lista_opciones lo JOIN gen_lista l ON l.id = lo.id_lista WHERE l.nombre = 'TipoCliente' AND upper(lo.nombre) = upper('"&amp;SUBSTITUTE(TRIM(I47),"'","''")&amp;"') AND lo.estado = 1 LIMIT 1)")&amp;", p_id_tipo_persona =&gt; "&amp;IF(TRIM(H47&amp;"")="","NULL","(SELECT lo.id FROM gen_lista_opciones lo JOIN gen_lista l ON l.id = lo.id_lista WHERE l.nombre = 'TipoPersona' AND upper(lo.nombre) = upper('"&amp;SUBSTITUTE(TRIM(H47),"'","''")&amp;"') AND lo.estado = 1 LIMIT 1)")&amp;", p_nombres =&gt; "&amp;IF(TRIM(E47&amp;"")="","NULL","'"&amp;SUBSTITUTE(TRIM(E47),"'","''")&amp;"'")&amp;", p_apellido_paterno =&gt; "&amp;IF(TRIM(F47&amp;"")="","NULL","'"&amp;SUBSTITUTE(TRIM(F47),"'","''")&amp;"'")&amp;", p_apellido_materno =&gt; "&amp;IF(TRIM(G47&amp;"")="","NULL","'"&amp;SUBSTITUTE(TRIM(G47),"'","''")&amp;"'")&amp;", p_id_tipo_documento =&gt; "&amp;IF(TRIM(B47&amp;"")="","NULL","(SELECT lo.id FROM gen_lista_opciones lo JOIN gen_lista l ON l.id = lo.id_lista WHERE l.nombre = 'TipoDocumento' AND upper(lo.nombre) = upper('"&amp;SUBSTITUTE(TRIM(B47),"'","''")&amp;"') AND lo.estado = 1 LIMIT 1)")&amp;", p_numero_documento =&gt; "&amp;IF(TRIM(C47&amp;"")="","NULL","'"&amp;SUBSTITUTE(TRIM(C47),"'","''")&amp;"'")&amp;", p_telefono =&gt; "&amp;IF(TRIM(L47&amp;"")="","NULL","'"&amp;SUBSTITUTE(TRIM(L47),"'","''")&amp;"'")&amp;", p_email =&gt; "&amp;IF(TRIM(M47&amp;"")="","NULL","'"&amp;SUBSTITUTE(TRIM(M47),"'","''")&amp;"'")&amp;", p_observacion =&gt; "&amp;IF(TRIM(O47&amp;"")="","NULL","'"&amp;SUBSTITUTE(TRIM(O47),"'","''")&amp;"'")&amp;", p_direccion =&gt; "&amp;IF(TRIM(J47&amp;"")="","NULL","'"&amp;SUBSTITUTE(TRIM(J47),"'","''")&amp;"'")&amp;", p_referencia =&gt; "&amp;IF(TRIM(K47&amp;"")="","NULL","'"&amp;SUBSTITUTE(TRIM(K47),"'","''")&amp;"'")&amp;") AS resultado_cliente_"&amp;ROW()&amp;";")</f>
        <v/>
      </c>
    </row>
    <row r="48" ht="15.75" customHeight="1" s="64">
      <c r="A48" s="25">
        <f>IF(AND(D48="",E48="",C48=""),"",IF(AND(D48="",E48=""),"FALTA razón social o nombres",IF(AND(C48&lt;&gt;"",SUMPRODUCT(--($C$5:$C$549=C48))&gt;1),"DOCUMENTO DUPLICADO",IF(AND(B48="DNI",C48&lt;&gt;"",LEN(C48&amp;"")&lt;&gt;8),"DNI debe tener 8 dígitos",IF(AND(B48="RUC",C48&lt;&gt;"",LEN(C48&amp;"")&lt;&gt;11),"RUC debe tener 11 dígitos",IF(AND(N48&lt;&gt;"",SUMPRODUCT(--($N$5:$N$549=N48))&gt;1),"CÓDIGO INTERNO DUPLICADO","OK"))))))</f>
        <v/>
      </c>
      <c r="B48" s="17" t="inlineStr">
        <is>
          <t>RUC</t>
        </is>
      </c>
      <c r="C48" s="23" t="inlineStr">
        <is>
          <t>10175332796</t>
        </is>
      </c>
      <c r="D48" s="26" t="inlineStr">
        <is>
          <t>OXIGENO SARITA</t>
        </is>
      </c>
      <c r="E48" s="17" t="n"/>
      <c r="F48" s="17" t="n"/>
      <c r="G48" s="17" t="n"/>
      <c r="H48" s="17" t="inlineStr">
        <is>
          <t>Persona Jurídica</t>
        </is>
      </c>
      <c r="I48" s="17" t="inlineStr">
        <is>
          <t>Cliente</t>
        </is>
      </c>
      <c r="J48" s="17" t="n"/>
      <c r="K48" s="17" t="n"/>
      <c r="L48" s="23" t="n"/>
      <c r="M48" s="17" t="n"/>
      <c r="N48" s="23" t="n"/>
      <c r="O48" s="17" t="n"/>
      <c r="P48" s="28">
        <f>IF(A48&lt;&gt;"OK","","SELECT cli_crear_clientes(p_codigo_interno =&gt; "&amp;IF(TRIM(N48&amp;"")="","NULL","'"&amp;SUBSTITUTE(TRIM(N48),"'","''")&amp;"'")&amp;", p_razon_social =&gt; "&amp;IF(TRIM(D48&amp;"")="","NULL","'"&amp;SUBSTITUTE(TRIM(D48),"'","''")&amp;"'")&amp;", p_id_tipo_cliente =&gt; "&amp;IF(TRIM(I48&amp;"")="","NULL","(SELECT lo.id FROM gen_lista_opciones lo JOIN gen_lista l ON l.id = lo.id_lista WHERE l.nombre = 'TipoCliente' AND upper(lo.nombre) = upper('"&amp;SUBSTITUTE(TRIM(I48),"'","''")&amp;"') AND lo.estado = 1 LIMIT 1)")&amp;", p_id_tipo_persona =&gt; "&amp;IF(TRIM(H48&amp;"")="","NULL","(SELECT lo.id FROM gen_lista_opciones lo JOIN gen_lista l ON l.id = lo.id_lista WHERE l.nombre = 'TipoPersona' AND upper(lo.nombre) = upper('"&amp;SUBSTITUTE(TRIM(H48),"'","''")&amp;"') AND lo.estado = 1 LIMIT 1)")&amp;", p_nombres =&gt; "&amp;IF(TRIM(E48&amp;"")="","NULL","'"&amp;SUBSTITUTE(TRIM(E48),"'","''")&amp;"'")&amp;", p_apellido_paterno =&gt; "&amp;IF(TRIM(F48&amp;"")="","NULL","'"&amp;SUBSTITUTE(TRIM(F48),"'","''")&amp;"'")&amp;", p_apellido_materno =&gt; "&amp;IF(TRIM(G48&amp;"")="","NULL","'"&amp;SUBSTITUTE(TRIM(G48),"'","''")&amp;"'")&amp;", p_id_tipo_documento =&gt; "&amp;IF(TRIM(B48&amp;"")="","NULL","(SELECT lo.id FROM gen_lista_opciones lo JOIN gen_lista l ON l.id = lo.id_lista WHERE l.nombre = 'TipoDocumento' AND upper(lo.nombre) = upper('"&amp;SUBSTITUTE(TRIM(B48),"'","''")&amp;"') AND lo.estado = 1 LIMIT 1)")&amp;", p_numero_documento =&gt; "&amp;IF(TRIM(C48&amp;"")="","NULL","'"&amp;SUBSTITUTE(TRIM(C48),"'","''")&amp;"'")&amp;", p_telefono =&gt; "&amp;IF(TRIM(L48&amp;"")="","NULL","'"&amp;SUBSTITUTE(TRIM(L48),"'","''")&amp;"'")&amp;", p_email =&gt; "&amp;IF(TRIM(M48&amp;"")="","NULL","'"&amp;SUBSTITUTE(TRIM(M48),"'","''")&amp;"'")&amp;", p_observacion =&gt; "&amp;IF(TRIM(O48&amp;"")="","NULL","'"&amp;SUBSTITUTE(TRIM(O48),"'","''")&amp;"'")&amp;", p_direccion =&gt; "&amp;IF(TRIM(J48&amp;"")="","NULL","'"&amp;SUBSTITUTE(TRIM(J48),"'","''")&amp;"'")&amp;", p_referencia =&gt; "&amp;IF(TRIM(K48&amp;"")="","NULL","'"&amp;SUBSTITUTE(TRIM(K48),"'","''")&amp;"'")&amp;") AS resultado_cliente_"&amp;ROW()&amp;";")</f>
        <v/>
      </c>
    </row>
    <row r="49" ht="15.75" customHeight="1" s="64">
      <c r="A49" s="25">
        <f>IF(AND(D49="",E49="",C49=""),"",IF(AND(D49="",E49=""),"FALTA razón social o nombres",IF(AND(C49&lt;&gt;"",SUMPRODUCT(--($C$5:$C$549=C49))&gt;1),"DOCUMENTO DUPLICADO",IF(AND(B49="DNI",C49&lt;&gt;"",LEN(C49&amp;"")&lt;&gt;8),"DNI debe tener 8 dígitos",IF(AND(B49="RUC",C49&lt;&gt;"",LEN(C49&amp;"")&lt;&gt;11),"RUC debe tener 11 dígitos",IF(AND(N49&lt;&gt;"",SUMPRODUCT(--($N$5:$N$549=N49))&gt;1),"CÓDIGO INTERNO DUPLICADO","OK"))))))</f>
        <v/>
      </c>
      <c r="B49" s="17" t="inlineStr">
        <is>
          <t>DNI</t>
        </is>
      </c>
      <c r="C49" s="23" t="inlineStr">
        <is>
          <t>16671957</t>
        </is>
      </c>
      <c r="D49" s="17" t="n"/>
      <c r="E49" s="17" t="inlineStr">
        <is>
          <t>JOSE ALBERTO</t>
        </is>
      </c>
      <c r="F49" s="17" t="inlineStr">
        <is>
          <t>GOMEZ</t>
        </is>
      </c>
      <c r="G49" s="17" t="inlineStr">
        <is>
          <t>CASTILLO</t>
        </is>
      </c>
      <c r="H49" s="17" t="inlineStr">
        <is>
          <t>Persona Natural</t>
        </is>
      </c>
      <c r="I49" s="17" t="inlineStr">
        <is>
          <t>Cliente</t>
        </is>
      </c>
      <c r="J49" s="17" t="n"/>
      <c r="K49" s="17" t="n"/>
      <c r="L49" s="23" t="n"/>
      <c r="M49" s="17" t="n"/>
      <c r="N49" s="23" t="n"/>
      <c r="O49" s="17" t="n"/>
      <c r="P49" s="28">
        <f>IF(A49&lt;&gt;"OK","","SELECT cli_crear_clientes(p_codigo_interno =&gt; "&amp;IF(TRIM(N49&amp;"")="","NULL","'"&amp;SUBSTITUTE(TRIM(N49),"'","''")&amp;"'")&amp;", p_razon_social =&gt; "&amp;IF(TRIM(D49&amp;"")="","NULL","'"&amp;SUBSTITUTE(TRIM(D49),"'","''")&amp;"'")&amp;", p_id_tipo_cliente =&gt; "&amp;IF(TRIM(I49&amp;"")="","NULL","(SELECT lo.id FROM gen_lista_opciones lo JOIN gen_lista l ON l.id = lo.id_lista WHERE l.nombre = 'TipoCliente' AND upper(lo.nombre) = upper('"&amp;SUBSTITUTE(TRIM(I49),"'","''")&amp;"') AND lo.estado = 1 LIMIT 1)")&amp;", p_id_tipo_persona =&gt; "&amp;IF(TRIM(H49&amp;"")="","NULL","(SELECT lo.id FROM gen_lista_opciones lo JOIN gen_lista l ON l.id = lo.id_lista WHERE l.nombre = 'TipoPersona' AND upper(lo.nombre) = upper('"&amp;SUBSTITUTE(TRIM(H49),"'","''")&amp;"') AND lo.estado = 1 LIMIT 1)")&amp;", p_nombres =&gt; "&amp;IF(TRIM(E49&amp;"")="","NULL","'"&amp;SUBSTITUTE(TRIM(E49),"'","''")&amp;"'")&amp;", p_apellido_paterno =&gt; "&amp;IF(TRIM(F49&amp;"")="","NULL","'"&amp;SUBSTITUTE(TRIM(F49),"'","''")&amp;"'")&amp;", p_apellido_materno =&gt; "&amp;IF(TRIM(G49&amp;"")="","NULL","'"&amp;SUBSTITUTE(TRIM(G49),"'","''")&amp;"'")&amp;", p_id_tipo_documento =&gt; "&amp;IF(TRIM(B49&amp;"")="","NULL","(SELECT lo.id FROM gen_lista_opciones lo JOIN gen_lista l ON l.id = lo.id_lista WHERE l.nombre = 'TipoDocumento' AND upper(lo.nombre) = upper('"&amp;SUBSTITUTE(TRIM(B49),"'","''")&amp;"') AND lo.estado = 1 LIMIT 1)")&amp;", p_numero_documento =&gt; "&amp;IF(TRIM(C49&amp;"")="","NULL","'"&amp;SUBSTITUTE(TRIM(C49),"'","''")&amp;"'")&amp;", p_telefono =&gt; "&amp;IF(TRIM(L49&amp;"")="","NULL","'"&amp;SUBSTITUTE(TRIM(L49),"'","''")&amp;"'")&amp;", p_email =&gt; "&amp;IF(TRIM(M49&amp;"")="","NULL","'"&amp;SUBSTITUTE(TRIM(M49),"'","''")&amp;"'")&amp;", p_observacion =&gt; "&amp;IF(TRIM(O49&amp;"")="","NULL","'"&amp;SUBSTITUTE(TRIM(O49),"'","''")&amp;"'")&amp;", p_direccion =&gt; "&amp;IF(TRIM(J49&amp;"")="","NULL","'"&amp;SUBSTITUTE(TRIM(J49),"'","''")&amp;"'")&amp;", p_referencia =&gt; "&amp;IF(TRIM(K49&amp;"")="","NULL","'"&amp;SUBSTITUTE(TRIM(K49),"'","''")&amp;"'")&amp;") AS resultado_cliente_"&amp;ROW()&amp;";")</f>
        <v/>
      </c>
    </row>
    <row r="50" ht="15.75" customHeight="1" s="64">
      <c r="A50" s="25">
        <f>IF(AND(D50="",E50="",C50=""),"",IF(AND(D50="",E50=""),"FALTA razón social o nombres",IF(AND(C50&lt;&gt;"",SUMPRODUCT(--($C$5:$C$549=C50))&gt;1),"DOCUMENTO DUPLICADO",IF(AND(B50="DNI",C50&lt;&gt;"",LEN(C50&amp;"")&lt;&gt;8),"DNI debe tener 8 dígitos",IF(AND(B50="RUC",C50&lt;&gt;"",LEN(C50&amp;"")&lt;&gt;11),"RUC debe tener 11 dígitos",IF(AND(N50&lt;&gt;"",SUMPRODUCT(--($N$5:$N$549=N50))&gt;1),"CÓDIGO INTERNO DUPLICADO","OK"))))))</f>
        <v/>
      </c>
      <c r="B50" s="17" t="inlineStr">
        <is>
          <t>RUC</t>
        </is>
      </c>
      <c r="C50" s="23" t="inlineStr">
        <is>
          <t>20518304233</t>
        </is>
      </c>
      <c r="D50" s="17" t="inlineStr">
        <is>
          <t>POTENZA GAS S.A.C.</t>
        </is>
      </c>
      <c r="E50" s="17" t="n"/>
      <c r="F50" s="17" t="n"/>
      <c r="G50" s="17" t="n"/>
      <c r="H50" s="17" t="inlineStr">
        <is>
          <t>Persona Jurídica</t>
        </is>
      </c>
      <c r="I50" s="17" t="inlineStr">
        <is>
          <t>Cliente</t>
        </is>
      </c>
      <c r="J50" s="17" t="n"/>
      <c r="K50" s="17" t="n"/>
      <c r="L50" s="23" t="n"/>
      <c r="M50" s="17" t="n"/>
      <c r="N50" s="23" t="n"/>
      <c r="O50" s="17" t="n"/>
      <c r="P50" s="28">
        <f>IF(A50&lt;&gt;"OK","","SELECT cli_crear_clientes(p_codigo_interno =&gt; "&amp;IF(TRIM(N50&amp;"")="","NULL","'"&amp;SUBSTITUTE(TRIM(N50),"'","''")&amp;"'")&amp;", p_razon_social =&gt; "&amp;IF(TRIM(D50&amp;"")="","NULL","'"&amp;SUBSTITUTE(TRIM(D50),"'","''")&amp;"'")&amp;", p_id_tipo_cliente =&gt; "&amp;IF(TRIM(I50&amp;"")="","NULL","(SELECT lo.id FROM gen_lista_opciones lo JOIN gen_lista l ON l.id = lo.id_lista WHERE l.nombre = 'TipoCliente' AND upper(lo.nombre) = upper('"&amp;SUBSTITUTE(TRIM(I50),"'","''")&amp;"') AND lo.estado = 1 LIMIT 1)")&amp;", p_id_tipo_persona =&gt; "&amp;IF(TRIM(H50&amp;"")="","NULL","(SELECT lo.id FROM gen_lista_opciones lo JOIN gen_lista l ON l.id = lo.id_lista WHERE l.nombre = 'TipoPersona' AND upper(lo.nombre) = upper('"&amp;SUBSTITUTE(TRIM(H50),"'","''")&amp;"') AND lo.estado = 1 LIMIT 1)")&amp;", p_nombres =&gt; "&amp;IF(TRIM(E50&amp;"")="","NULL","'"&amp;SUBSTITUTE(TRIM(E50),"'","''")&amp;"'")&amp;", p_apellido_paterno =&gt; "&amp;IF(TRIM(F50&amp;"")="","NULL","'"&amp;SUBSTITUTE(TRIM(F50),"'","''")&amp;"'")&amp;", p_apellido_materno =&gt; "&amp;IF(TRIM(G50&amp;"")="","NULL","'"&amp;SUBSTITUTE(TRIM(G50),"'","''")&amp;"'")&amp;", p_id_tipo_documento =&gt; "&amp;IF(TRIM(B50&amp;"")="","NULL","(SELECT lo.id FROM gen_lista_opciones lo JOIN gen_lista l ON l.id = lo.id_lista WHERE l.nombre = 'TipoDocumento' AND upper(lo.nombre) = upper('"&amp;SUBSTITUTE(TRIM(B50),"'","''")&amp;"') AND lo.estado = 1 LIMIT 1)")&amp;", p_numero_documento =&gt; "&amp;IF(TRIM(C50&amp;"")="","NULL","'"&amp;SUBSTITUTE(TRIM(C50),"'","''")&amp;"'")&amp;", p_telefono =&gt; "&amp;IF(TRIM(L50&amp;"")="","NULL","'"&amp;SUBSTITUTE(TRIM(L50),"'","''")&amp;"'")&amp;", p_email =&gt; "&amp;IF(TRIM(M50&amp;"")="","NULL","'"&amp;SUBSTITUTE(TRIM(M50),"'","''")&amp;"'")&amp;", p_observacion =&gt; "&amp;IF(TRIM(O50&amp;"")="","NULL","'"&amp;SUBSTITUTE(TRIM(O50),"'","''")&amp;"'")&amp;", p_direccion =&gt; "&amp;IF(TRIM(J50&amp;"")="","NULL","'"&amp;SUBSTITUTE(TRIM(J50),"'","''")&amp;"'")&amp;", p_referencia =&gt; "&amp;IF(TRIM(K50&amp;"")="","NULL","'"&amp;SUBSTITUTE(TRIM(K50),"'","''")&amp;"'")&amp;") AS resultado_cliente_"&amp;ROW()&amp;";")</f>
        <v/>
      </c>
    </row>
    <row r="51" ht="15.75" customHeight="1" s="64">
      <c r="A51" s="25">
        <f>IF(AND(D51="",E51="",C51=""),"",IF(AND(D51="",E51=""),"FALTA razón social o nombres",IF(AND(C51&lt;&gt;"",SUMPRODUCT(--($C$5:$C$549=C51))&gt;1),"DOCUMENTO DUPLICADO",IF(AND(B51="DNI",C51&lt;&gt;"",LEN(C51&amp;"")&lt;&gt;8),"DNI debe tener 8 dígitos",IF(AND(B51="RUC",C51&lt;&gt;"",LEN(C51&amp;"")&lt;&gt;11),"RUC debe tener 11 dígitos",IF(AND(N51&lt;&gt;"",SUMPRODUCT(--($N$5:$N$549=N51))&gt;1),"CÓDIGO INTERNO DUPLICADO","OK"))))))</f>
        <v/>
      </c>
      <c r="B51" s="17" t="inlineStr">
        <is>
          <t>RUC</t>
        </is>
      </c>
      <c r="C51" s="26" t="inlineStr">
        <is>
          <t>20270453679</t>
        </is>
      </c>
      <c r="D51" s="17" t="inlineStr">
        <is>
          <t>PRODUCTOS INDUSTRIALES SRL</t>
        </is>
      </c>
      <c r="E51" s="17" t="n"/>
      <c r="F51" s="17" t="n"/>
      <c r="G51" s="17" t="n"/>
      <c r="H51" s="17" t="inlineStr">
        <is>
          <t>Persona Jurídica</t>
        </is>
      </c>
      <c r="I51" s="17" t="inlineStr">
        <is>
          <t>Cliente</t>
        </is>
      </c>
      <c r="J51" s="17" t="inlineStr">
        <is>
          <t xml:space="preserve">AV. JOSE LEONARDO ORTIZ NRO. 428 RES. JOSE LEONARDO ORTIZ </t>
        </is>
      </c>
      <c r="K51" s="17" t="n"/>
      <c r="L51" s="23" t="n"/>
      <c r="M51" s="17" t="n"/>
      <c r="N51" s="23" t="n"/>
      <c r="O51" s="17" t="n"/>
      <c r="P51" s="28">
        <f>IF(A51&lt;&gt;"OK","","SELECT cli_crear_clientes(p_codigo_interno =&gt; "&amp;IF(TRIM(N51&amp;"")="","NULL","'"&amp;SUBSTITUTE(TRIM(N51),"'","''")&amp;"'")&amp;", p_razon_social =&gt; "&amp;IF(TRIM(D51&amp;"")="","NULL","'"&amp;SUBSTITUTE(TRIM(D51),"'","''")&amp;"'")&amp;", p_id_tipo_cliente =&gt; "&amp;IF(TRIM(I51&amp;"")="","NULL","(SELECT lo.id FROM gen_lista_opciones lo JOIN gen_lista l ON l.id = lo.id_lista WHERE l.nombre = 'TipoCliente' AND upper(lo.nombre) = upper('"&amp;SUBSTITUTE(TRIM(I51),"'","''")&amp;"') AND lo.estado = 1 LIMIT 1)")&amp;", p_id_tipo_persona =&gt; "&amp;IF(TRIM(H51&amp;"")="","NULL","(SELECT lo.id FROM gen_lista_opciones lo JOIN gen_lista l ON l.id = lo.id_lista WHERE l.nombre = 'TipoPersona' AND upper(lo.nombre) = upper('"&amp;SUBSTITUTE(TRIM(H51),"'","''")&amp;"') AND lo.estado = 1 LIMIT 1)")&amp;", p_nombres =&gt; "&amp;IF(TRIM(E51&amp;"")="","NULL","'"&amp;SUBSTITUTE(TRIM(E51),"'","''")&amp;"'")&amp;", p_apellido_paterno =&gt; "&amp;IF(TRIM(F51&amp;"")="","NULL","'"&amp;SUBSTITUTE(TRIM(F51),"'","''")&amp;"'")&amp;", p_apellido_materno =&gt; "&amp;IF(TRIM(G51&amp;"")="","NULL","'"&amp;SUBSTITUTE(TRIM(G51),"'","''")&amp;"'")&amp;", p_id_tipo_documento =&gt; "&amp;IF(TRIM(B51&amp;"")="","NULL","(SELECT lo.id FROM gen_lista_opciones lo JOIN gen_lista l ON l.id = lo.id_lista WHERE l.nombre = 'TipoDocumento' AND upper(lo.nombre) = upper('"&amp;SUBSTITUTE(TRIM(B51),"'","''")&amp;"') AND lo.estado = 1 LIMIT 1)")&amp;", p_numero_documento =&gt; "&amp;IF(TRIM(C51&amp;"")="","NULL","'"&amp;SUBSTITUTE(TRIM(C51),"'","''")&amp;"'")&amp;", p_telefono =&gt; "&amp;IF(TRIM(L51&amp;"")="","NULL","'"&amp;SUBSTITUTE(TRIM(L51),"'","''")&amp;"'")&amp;", p_email =&gt; "&amp;IF(TRIM(M51&amp;"")="","NULL","'"&amp;SUBSTITUTE(TRIM(M51),"'","''")&amp;"'")&amp;", p_observacion =&gt; "&amp;IF(TRIM(O51&amp;"")="","NULL","'"&amp;SUBSTITUTE(TRIM(O51),"'","''")&amp;"'")&amp;", p_direccion =&gt; "&amp;IF(TRIM(J51&amp;"")="","NULL","'"&amp;SUBSTITUTE(TRIM(J51),"'","''")&amp;"'")&amp;", p_referencia =&gt; "&amp;IF(TRIM(K51&amp;"")="","NULL","'"&amp;SUBSTITUTE(TRIM(K51),"'","''")&amp;"'")&amp;") AS resultado_cliente_"&amp;ROW()&amp;";")</f>
        <v/>
      </c>
    </row>
    <row r="52" ht="15.75" customHeight="1" s="64">
      <c r="A52" s="25">
        <f>IF(AND(D52="",E52="",C52=""),"",IF(AND(D52="",E52=""),"FALTA razón social o nombres",IF(AND(C52&lt;&gt;"",SUMPRODUCT(--($C$5:$C$549=C52))&gt;1),"DOCUMENTO DUPLICADO",IF(AND(B52="DNI",C52&lt;&gt;"",LEN(C52&amp;"")&lt;&gt;8),"DNI debe tener 8 dígitos",IF(AND(B52="RUC",C52&lt;&gt;"",LEN(C52&amp;"")&lt;&gt;11),"RUC debe tener 11 dígitos",IF(AND(N52&lt;&gt;"",SUMPRODUCT(--($N$5:$N$549=N52))&gt;1),"CÓDIGO INTERNO DUPLICADO","OK"))))))</f>
        <v/>
      </c>
      <c r="B52" s="17" t="inlineStr">
        <is>
          <t>RUC</t>
        </is>
      </c>
      <c r="C52" s="23" t="inlineStr">
        <is>
          <t>20607756121</t>
        </is>
      </c>
      <c r="D52" s="17" t="inlineStr">
        <is>
          <t>PROYECTOS FINOX E.I.R.L.</t>
        </is>
      </c>
      <c r="E52" s="17" t="n"/>
      <c r="F52" s="17" t="n"/>
      <c r="G52" s="17" t="n"/>
      <c r="H52" s="17" t="inlineStr">
        <is>
          <t>Persona Jurídica</t>
        </is>
      </c>
      <c r="I52" s="17" t="inlineStr">
        <is>
          <t>Cliente</t>
        </is>
      </c>
      <c r="J52" s="17" t="n"/>
      <c r="K52" s="17" t="n"/>
      <c r="L52" s="23" t="n"/>
      <c r="M52" s="17" t="n"/>
      <c r="N52" s="23" t="n"/>
      <c r="O52" s="17" t="n"/>
      <c r="P52" s="28">
        <f>IF(A52&lt;&gt;"OK","","SELECT cli_crear_clientes(p_codigo_interno =&gt; "&amp;IF(TRIM(N52&amp;"")="","NULL","'"&amp;SUBSTITUTE(TRIM(N52),"'","''")&amp;"'")&amp;", p_razon_social =&gt; "&amp;IF(TRIM(D52&amp;"")="","NULL","'"&amp;SUBSTITUTE(TRIM(D52),"'","''")&amp;"'")&amp;", p_id_tipo_cliente =&gt; "&amp;IF(TRIM(I52&amp;"")="","NULL","(SELECT lo.id FROM gen_lista_opciones lo JOIN gen_lista l ON l.id = lo.id_lista WHERE l.nombre = 'TipoCliente' AND upper(lo.nombre) = upper('"&amp;SUBSTITUTE(TRIM(I52),"'","''")&amp;"') AND lo.estado = 1 LIMIT 1)")&amp;", p_id_tipo_persona =&gt; "&amp;IF(TRIM(H52&amp;"")="","NULL","(SELECT lo.id FROM gen_lista_opciones lo JOIN gen_lista l ON l.id = lo.id_lista WHERE l.nombre = 'TipoPersona' AND upper(lo.nombre) = upper('"&amp;SUBSTITUTE(TRIM(H52),"'","''")&amp;"') AND lo.estado = 1 LIMIT 1)")&amp;", p_nombres =&gt; "&amp;IF(TRIM(E52&amp;"")="","NULL","'"&amp;SUBSTITUTE(TRIM(E52),"'","''")&amp;"'")&amp;", p_apellido_paterno =&gt; "&amp;IF(TRIM(F52&amp;"")="","NULL","'"&amp;SUBSTITUTE(TRIM(F52),"'","''")&amp;"'")&amp;", p_apellido_materno =&gt; "&amp;IF(TRIM(G52&amp;"")="","NULL","'"&amp;SUBSTITUTE(TRIM(G52),"'","''")&amp;"'")&amp;", p_id_tipo_documento =&gt; "&amp;IF(TRIM(B52&amp;"")="","NULL","(SELECT lo.id FROM gen_lista_opciones lo JOIN gen_lista l ON l.id = lo.id_lista WHERE l.nombre = 'TipoDocumento' AND upper(lo.nombre) = upper('"&amp;SUBSTITUTE(TRIM(B52),"'","''")&amp;"') AND lo.estado = 1 LIMIT 1)")&amp;", p_numero_documento =&gt; "&amp;IF(TRIM(C52&amp;"")="","NULL","'"&amp;SUBSTITUTE(TRIM(C52),"'","''")&amp;"'")&amp;", p_telefono =&gt; "&amp;IF(TRIM(L52&amp;"")="","NULL","'"&amp;SUBSTITUTE(TRIM(L52),"'","''")&amp;"'")&amp;", p_email =&gt; "&amp;IF(TRIM(M52&amp;"")="","NULL","'"&amp;SUBSTITUTE(TRIM(M52),"'","''")&amp;"'")&amp;", p_observacion =&gt; "&amp;IF(TRIM(O52&amp;"")="","NULL","'"&amp;SUBSTITUTE(TRIM(O52),"'","''")&amp;"'")&amp;", p_direccion =&gt; "&amp;IF(TRIM(J52&amp;"")="","NULL","'"&amp;SUBSTITUTE(TRIM(J52),"'","''")&amp;"'")&amp;", p_referencia =&gt; "&amp;IF(TRIM(K52&amp;"")="","NULL","'"&amp;SUBSTITUTE(TRIM(K52),"'","''")&amp;"'")&amp;") AS resultado_cliente_"&amp;ROW()&amp;";")</f>
        <v/>
      </c>
    </row>
    <row r="53" ht="15.75" customHeight="1" s="64">
      <c r="A53" s="25">
        <f>IF(AND(D53="",E53="",C53=""),"",IF(AND(D53="",E53=""),"FALTA razón social o nombres",IF(AND(C53&lt;&gt;"",SUMPRODUCT(--($C$5:$C$549=C53))&gt;1),"DOCUMENTO DUPLICADO",IF(AND(B53="DNI",C53&lt;&gt;"",LEN(C53&amp;"")&lt;&gt;8),"DNI debe tener 8 dígitos",IF(AND(B53="RUC",C53&lt;&gt;"",LEN(C53&amp;"")&lt;&gt;11),"RUC debe tener 11 dígitos",IF(AND(N53&lt;&gt;"",SUMPRODUCT(--($N$5:$N$549=N53))&gt;1),"CÓDIGO INTERNO DUPLICADO","OK"))))))</f>
        <v/>
      </c>
      <c r="B53" s="17" t="inlineStr">
        <is>
          <t>DNI</t>
        </is>
      </c>
      <c r="C53" s="26" t="inlineStr">
        <is>
          <t>27392599</t>
        </is>
      </c>
      <c r="D53" s="26" t="inlineStr">
        <is>
          <t>RUIZ SEGURA SEGUNDO SEBASTIAN</t>
        </is>
      </c>
      <c r="E53" s="17" t="n"/>
      <c r="F53" s="17" t="n"/>
      <c r="G53" s="17" t="n"/>
      <c r="H53" s="17" t="inlineStr">
        <is>
          <t>Persona Natural</t>
        </is>
      </c>
      <c r="I53" s="17" t="inlineStr">
        <is>
          <t>Cliente</t>
        </is>
      </c>
      <c r="J53" s="17" t="n"/>
      <c r="K53" s="17" t="n"/>
      <c r="L53" s="23" t="n"/>
      <c r="M53" s="17" t="n"/>
      <c r="N53" s="23" t="n"/>
      <c r="O53" s="17" t="n"/>
      <c r="P53" s="28">
        <f>IF(A53&lt;&gt;"OK","","SELECT cli_crear_clientes(p_codigo_interno =&gt; "&amp;IF(TRIM(N53&amp;"")="","NULL","'"&amp;SUBSTITUTE(TRIM(N53),"'","''")&amp;"'")&amp;", p_razon_social =&gt; "&amp;IF(TRIM(D53&amp;"")="","NULL","'"&amp;SUBSTITUTE(TRIM(D53),"'","''")&amp;"'")&amp;", p_id_tipo_cliente =&gt; "&amp;IF(TRIM(I53&amp;"")="","NULL","(SELECT lo.id FROM gen_lista_opciones lo JOIN gen_lista l ON l.id = lo.id_lista WHERE l.nombre = 'TipoCliente' AND upper(lo.nombre) = upper('"&amp;SUBSTITUTE(TRIM(I53),"'","''")&amp;"') AND lo.estado = 1 LIMIT 1)")&amp;", p_id_tipo_persona =&gt; "&amp;IF(TRIM(H53&amp;"")="","NULL","(SELECT lo.id FROM gen_lista_opciones lo JOIN gen_lista l ON l.id = lo.id_lista WHERE l.nombre = 'TipoPersona' AND upper(lo.nombre) = upper('"&amp;SUBSTITUTE(TRIM(H53),"'","''")&amp;"') AND lo.estado = 1 LIMIT 1)")&amp;", p_nombres =&gt; "&amp;IF(TRIM(E53&amp;"")="","NULL","'"&amp;SUBSTITUTE(TRIM(E53),"'","''")&amp;"'")&amp;", p_apellido_paterno =&gt; "&amp;IF(TRIM(F53&amp;"")="","NULL","'"&amp;SUBSTITUTE(TRIM(F53),"'","''")&amp;"'")&amp;", p_apellido_materno =&gt; "&amp;IF(TRIM(G53&amp;"")="","NULL","'"&amp;SUBSTITUTE(TRIM(G53),"'","''")&amp;"'")&amp;", p_id_tipo_documento =&gt; "&amp;IF(TRIM(B53&amp;"")="","NULL","(SELECT lo.id FROM gen_lista_opciones lo JOIN gen_lista l ON l.id = lo.id_lista WHERE l.nombre = 'TipoDocumento' AND upper(lo.nombre) = upper('"&amp;SUBSTITUTE(TRIM(B53),"'","''")&amp;"') AND lo.estado = 1 LIMIT 1)")&amp;", p_numero_documento =&gt; "&amp;IF(TRIM(C53&amp;"")="","NULL","'"&amp;SUBSTITUTE(TRIM(C53),"'","''")&amp;"'")&amp;", p_telefono =&gt; "&amp;IF(TRIM(L53&amp;"")="","NULL","'"&amp;SUBSTITUTE(TRIM(L53),"'","''")&amp;"'")&amp;", p_email =&gt; "&amp;IF(TRIM(M53&amp;"")="","NULL","'"&amp;SUBSTITUTE(TRIM(M53),"'","''")&amp;"'")&amp;", p_observacion =&gt; "&amp;IF(TRIM(O53&amp;"")="","NULL","'"&amp;SUBSTITUTE(TRIM(O53),"'","''")&amp;"'")&amp;", p_direccion =&gt; "&amp;IF(TRIM(J53&amp;"")="","NULL","'"&amp;SUBSTITUTE(TRIM(J53),"'","''")&amp;"'")&amp;", p_referencia =&gt; "&amp;IF(TRIM(K53&amp;"")="","NULL","'"&amp;SUBSTITUTE(TRIM(K53),"'","''")&amp;"'")&amp;") AS resultado_cliente_"&amp;ROW()&amp;";")</f>
        <v/>
      </c>
    </row>
    <row r="54" ht="15.75" customHeight="1" s="64">
      <c r="A54" s="25">
        <f>IF(AND(D54="",E54="",C54=""),"",IF(AND(D54="",E54=""),"FALTA razón social o nombres",IF(AND(C54&lt;&gt;"",SUMPRODUCT(--($C$5:$C$549=C54))&gt;1),"DOCUMENTO DUPLICADO",IF(AND(B54="DNI",C54&lt;&gt;"",LEN(C54&amp;"")&lt;&gt;8),"DNI debe tener 8 dígitos",IF(AND(B54="RUC",C54&lt;&gt;"",LEN(C54&amp;"")&lt;&gt;11),"RUC debe tener 11 dígitos",IF(AND(N54&lt;&gt;"",SUMPRODUCT(--($N$5:$N$549=N54))&gt;1),"CÓDIGO INTERNO DUPLICADO","OK"))))))</f>
        <v/>
      </c>
      <c r="B54" s="17" t="inlineStr">
        <is>
          <t>RUC</t>
        </is>
      </c>
      <c r="C54" s="26" t="inlineStr">
        <is>
          <t>10471465572</t>
        </is>
      </c>
      <c r="D54" s="17" t="inlineStr">
        <is>
          <t>RUIZ TORRES WILSON</t>
        </is>
      </c>
      <c r="E54" s="17" t="n"/>
      <c r="F54" s="17" t="n"/>
      <c r="G54" s="17" t="n"/>
      <c r="H54" s="17" t="inlineStr">
        <is>
          <t>Persona Jurídica</t>
        </is>
      </c>
      <c r="I54" s="17" t="inlineStr">
        <is>
          <t>Cliente</t>
        </is>
      </c>
      <c r="J54" s="17" t="n"/>
      <c r="K54" s="17" t="n"/>
      <c r="L54" s="23" t="n"/>
      <c r="M54" s="17" t="n"/>
      <c r="N54" s="23" t="n"/>
      <c r="O54" s="17" t="n"/>
      <c r="P54" s="28">
        <f>IF(A54&lt;&gt;"OK","","SELECT cli_crear_clientes(p_codigo_interno =&gt; "&amp;IF(TRIM(N54&amp;"")="","NULL","'"&amp;SUBSTITUTE(TRIM(N54),"'","''")&amp;"'")&amp;", p_razon_social =&gt; "&amp;IF(TRIM(D54&amp;"")="","NULL","'"&amp;SUBSTITUTE(TRIM(D54),"'","''")&amp;"'")&amp;", p_id_tipo_cliente =&gt; "&amp;IF(TRIM(I54&amp;"")="","NULL","(SELECT lo.id FROM gen_lista_opciones lo JOIN gen_lista l ON l.id = lo.id_lista WHERE l.nombre = 'TipoCliente' AND upper(lo.nombre) = upper('"&amp;SUBSTITUTE(TRIM(I54),"'","''")&amp;"') AND lo.estado = 1 LIMIT 1)")&amp;", p_id_tipo_persona =&gt; "&amp;IF(TRIM(H54&amp;"")="","NULL","(SELECT lo.id FROM gen_lista_opciones lo JOIN gen_lista l ON l.id = lo.id_lista WHERE l.nombre = 'TipoPersona' AND upper(lo.nombre) = upper('"&amp;SUBSTITUTE(TRIM(H54),"'","''")&amp;"') AND lo.estado = 1 LIMIT 1)")&amp;", p_nombres =&gt; "&amp;IF(TRIM(E54&amp;"")="","NULL","'"&amp;SUBSTITUTE(TRIM(E54),"'","''")&amp;"'")&amp;", p_apellido_paterno =&gt; "&amp;IF(TRIM(F54&amp;"")="","NULL","'"&amp;SUBSTITUTE(TRIM(F54),"'","''")&amp;"'")&amp;", p_apellido_materno =&gt; "&amp;IF(TRIM(G54&amp;"")="","NULL","'"&amp;SUBSTITUTE(TRIM(G54),"'","''")&amp;"'")&amp;", p_id_tipo_documento =&gt; "&amp;IF(TRIM(B54&amp;"")="","NULL","(SELECT lo.id FROM gen_lista_opciones lo JOIN gen_lista l ON l.id = lo.id_lista WHERE l.nombre = 'TipoDocumento' AND upper(lo.nombre) = upper('"&amp;SUBSTITUTE(TRIM(B54),"'","''")&amp;"') AND lo.estado = 1 LIMIT 1)")&amp;", p_numero_documento =&gt; "&amp;IF(TRIM(C54&amp;"")="","NULL","'"&amp;SUBSTITUTE(TRIM(C54),"'","''")&amp;"'")&amp;", p_telefono =&gt; "&amp;IF(TRIM(L54&amp;"")="","NULL","'"&amp;SUBSTITUTE(TRIM(L54),"'","''")&amp;"'")&amp;", p_email =&gt; "&amp;IF(TRIM(M54&amp;"")="","NULL","'"&amp;SUBSTITUTE(TRIM(M54),"'","''")&amp;"'")&amp;", p_observacion =&gt; "&amp;IF(TRIM(O54&amp;"")="","NULL","'"&amp;SUBSTITUTE(TRIM(O54),"'","''")&amp;"'")&amp;", p_direccion =&gt; "&amp;IF(TRIM(J54&amp;"")="","NULL","'"&amp;SUBSTITUTE(TRIM(J54),"'","''")&amp;"'")&amp;", p_referencia =&gt; "&amp;IF(TRIM(K54&amp;"")="","NULL","'"&amp;SUBSTITUTE(TRIM(K54),"'","''")&amp;"'")&amp;") AS resultado_cliente_"&amp;ROW()&amp;";")</f>
        <v/>
      </c>
    </row>
    <row r="55" ht="15.75" customHeight="1" s="64">
      <c r="A55" s="25">
        <f>IF(AND(D55="",E55="",C55=""),"",IF(AND(D55="",E55=""),"FALTA razón social o nombres",IF(AND(C55&lt;&gt;"",SUMPRODUCT(--($C$5:$C$549=C55))&gt;1),"DOCUMENTO DUPLICADO",IF(AND(B55="DNI",C55&lt;&gt;"",LEN(C55&amp;"")&lt;&gt;8),"DNI debe tener 8 dígitos",IF(AND(B55="RUC",C55&lt;&gt;"",LEN(C55&amp;"")&lt;&gt;11),"RUC debe tener 11 dígitos",IF(AND(N55&lt;&gt;"",SUMPRODUCT(--($N$5:$N$549=N55))&gt;1),"CÓDIGO INTERNO DUPLICADO","OK"))))))</f>
        <v/>
      </c>
      <c r="B55" s="17" t="inlineStr">
        <is>
          <t>RUC</t>
        </is>
      </c>
      <c r="C55" s="26" t="inlineStr">
        <is>
          <t>10477042347</t>
        </is>
      </c>
      <c r="D55" s="26" t="inlineStr">
        <is>
          <t>SANDOVAL SANTISTEBAN DANTE</t>
        </is>
      </c>
      <c r="E55" s="17" t="n"/>
      <c r="F55" s="17" t="n"/>
      <c r="G55" s="17" t="n"/>
      <c r="H55" s="17" t="inlineStr">
        <is>
          <t>Persona Jurídica</t>
        </is>
      </c>
      <c r="I55" s="17" t="inlineStr">
        <is>
          <t>Cliente</t>
        </is>
      </c>
      <c r="J55" s="17" t="n"/>
      <c r="K55" s="17" t="n"/>
      <c r="L55" s="23" t="n"/>
      <c r="M55" s="17" t="n"/>
      <c r="N55" s="23" t="n"/>
      <c r="O55" s="17" t="n"/>
      <c r="P55" s="28">
        <f>IF(A55&lt;&gt;"OK","","SELECT cli_crear_clientes(p_codigo_interno =&gt; "&amp;IF(TRIM(N55&amp;"")="","NULL","'"&amp;SUBSTITUTE(TRIM(N55),"'","''")&amp;"'")&amp;", p_razon_social =&gt; "&amp;IF(TRIM(D55&amp;"")="","NULL","'"&amp;SUBSTITUTE(TRIM(D55),"'","''")&amp;"'")&amp;", p_id_tipo_cliente =&gt; "&amp;IF(TRIM(I55&amp;"")="","NULL","(SELECT lo.id FROM gen_lista_opciones lo JOIN gen_lista l ON l.id = lo.id_lista WHERE l.nombre = 'TipoCliente' AND upper(lo.nombre) = upper('"&amp;SUBSTITUTE(TRIM(I55),"'","''")&amp;"') AND lo.estado = 1 LIMIT 1)")&amp;", p_id_tipo_persona =&gt; "&amp;IF(TRIM(H55&amp;"")="","NULL","(SELECT lo.id FROM gen_lista_opciones lo JOIN gen_lista l ON l.id = lo.id_lista WHERE l.nombre = 'TipoPersona' AND upper(lo.nombre) = upper('"&amp;SUBSTITUTE(TRIM(H55),"'","''")&amp;"') AND lo.estado = 1 LIMIT 1)")&amp;", p_nombres =&gt; "&amp;IF(TRIM(E55&amp;"")="","NULL","'"&amp;SUBSTITUTE(TRIM(E55),"'","''")&amp;"'")&amp;", p_apellido_paterno =&gt; "&amp;IF(TRIM(F55&amp;"")="","NULL","'"&amp;SUBSTITUTE(TRIM(F55),"'","''")&amp;"'")&amp;", p_apellido_materno =&gt; "&amp;IF(TRIM(G55&amp;"")="","NULL","'"&amp;SUBSTITUTE(TRIM(G55),"'","''")&amp;"'")&amp;", p_id_tipo_documento =&gt; "&amp;IF(TRIM(B55&amp;"")="","NULL","(SELECT lo.id FROM gen_lista_opciones lo JOIN gen_lista l ON l.id = lo.id_lista WHERE l.nombre = 'TipoDocumento' AND upper(lo.nombre) = upper('"&amp;SUBSTITUTE(TRIM(B55),"'","''")&amp;"') AND lo.estado = 1 LIMIT 1)")&amp;", p_numero_documento =&gt; "&amp;IF(TRIM(C55&amp;"")="","NULL","'"&amp;SUBSTITUTE(TRIM(C55),"'","''")&amp;"'")&amp;", p_telefono =&gt; "&amp;IF(TRIM(L55&amp;"")="","NULL","'"&amp;SUBSTITUTE(TRIM(L55),"'","''")&amp;"'")&amp;", p_email =&gt; "&amp;IF(TRIM(M55&amp;"")="","NULL","'"&amp;SUBSTITUTE(TRIM(M55),"'","''")&amp;"'")&amp;", p_observacion =&gt; "&amp;IF(TRIM(O55&amp;"")="","NULL","'"&amp;SUBSTITUTE(TRIM(O55),"'","''")&amp;"'")&amp;", p_direccion =&gt; "&amp;IF(TRIM(J55&amp;"")="","NULL","'"&amp;SUBSTITUTE(TRIM(J55),"'","''")&amp;"'")&amp;", p_referencia =&gt; "&amp;IF(TRIM(K55&amp;"")="","NULL","'"&amp;SUBSTITUTE(TRIM(K55),"'","''")&amp;"'")&amp;") AS resultado_cliente_"&amp;ROW()&amp;";")</f>
        <v/>
      </c>
    </row>
    <row r="56" ht="15.75" customHeight="1" s="64">
      <c r="A56" s="25">
        <f>IF(AND(D56="",E56="",C56=""),"",IF(AND(D56="",E56=""),"FALTA razón social o nombres",IF(AND(C56&lt;&gt;"",SUMPRODUCT(--($C$5:$C$549=C56))&gt;1),"DOCUMENTO DUPLICADO",IF(AND(B56="DNI",C56&lt;&gt;"",LEN(C56&amp;"")&lt;&gt;8),"DNI debe tener 8 dígitos",IF(AND(B56="RUC",C56&lt;&gt;"",LEN(C56&amp;"")&lt;&gt;11),"RUC debe tener 11 dígitos",IF(AND(N56&lt;&gt;"",SUMPRODUCT(--($N$5:$N$549=N56))&gt;1),"CÓDIGO INTERNO DUPLICADO","OK"))))))</f>
        <v/>
      </c>
      <c r="B56" s="17" t="inlineStr">
        <is>
          <t>DNI</t>
        </is>
      </c>
      <c r="C56" s="23" t="inlineStr">
        <is>
          <t>73829125</t>
        </is>
      </c>
      <c r="D56" s="17" t="n"/>
      <c r="E56" s="17" t="inlineStr">
        <is>
          <t>FERNANDO</t>
        </is>
      </c>
      <c r="F56" s="17" t="inlineStr">
        <is>
          <t xml:space="preserve">PERRIGO </t>
        </is>
      </c>
      <c r="G56" s="17" t="inlineStr">
        <is>
          <t xml:space="preserve">MAYTA </t>
        </is>
      </c>
      <c r="H56" s="17" t="inlineStr">
        <is>
          <t>Persona Natural</t>
        </is>
      </c>
      <c r="I56" s="17" t="inlineStr">
        <is>
          <t>Cliente</t>
        </is>
      </c>
      <c r="J56" s="17" t="n"/>
      <c r="K56" s="17" t="n"/>
      <c r="L56" s="23" t="n"/>
      <c r="M56" s="17" t="n"/>
      <c r="N56" s="23" t="n"/>
      <c r="O56" s="17" t="n"/>
      <c r="P56" s="28">
        <f>IF(A56&lt;&gt;"OK","","SELECT cli_crear_clientes(p_codigo_interno =&gt; "&amp;IF(TRIM(N56&amp;"")="","NULL","'"&amp;SUBSTITUTE(TRIM(N56),"'","''")&amp;"'")&amp;", p_razon_social =&gt; "&amp;IF(TRIM(D56&amp;"")="","NULL","'"&amp;SUBSTITUTE(TRIM(D56),"'","''")&amp;"'")&amp;", p_id_tipo_cliente =&gt; "&amp;IF(TRIM(I56&amp;"")="","NULL","(SELECT lo.id FROM gen_lista_opciones lo JOIN gen_lista l ON l.id = lo.id_lista WHERE l.nombre = 'TipoCliente' AND upper(lo.nombre) = upper('"&amp;SUBSTITUTE(TRIM(I56),"'","''")&amp;"') AND lo.estado = 1 LIMIT 1)")&amp;", p_id_tipo_persona =&gt; "&amp;IF(TRIM(H56&amp;"")="","NULL","(SELECT lo.id FROM gen_lista_opciones lo JOIN gen_lista l ON l.id = lo.id_lista WHERE l.nombre = 'TipoPersona' AND upper(lo.nombre) = upper('"&amp;SUBSTITUTE(TRIM(H56),"'","''")&amp;"') AND lo.estado = 1 LIMIT 1)")&amp;", p_nombres =&gt; "&amp;IF(TRIM(E56&amp;"")="","NULL","'"&amp;SUBSTITUTE(TRIM(E56),"'","''")&amp;"'")&amp;", p_apellido_paterno =&gt; "&amp;IF(TRIM(F56&amp;"")="","NULL","'"&amp;SUBSTITUTE(TRIM(F56),"'","''")&amp;"'")&amp;", p_apellido_materno =&gt; "&amp;IF(TRIM(G56&amp;"")="","NULL","'"&amp;SUBSTITUTE(TRIM(G56),"'","''")&amp;"'")&amp;", p_id_tipo_documento =&gt; "&amp;IF(TRIM(B56&amp;"")="","NULL","(SELECT lo.id FROM gen_lista_opciones lo JOIN gen_lista l ON l.id = lo.id_lista WHERE l.nombre = 'TipoDocumento' AND upper(lo.nombre) = upper('"&amp;SUBSTITUTE(TRIM(B56),"'","''")&amp;"') AND lo.estado = 1 LIMIT 1)")&amp;", p_numero_documento =&gt; "&amp;IF(TRIM(C56&amp;"")="","NULL","'"&amp;SUBSTITUTE(TRIM(C56),"'","''")&amp;"'")&amp;", p_telefono =&gt; "&amp;IF(TRIM(L56&amp;"")="","NULL","'"&amp;SUBSTITUTE(TRIM(L56),"'","''")&amp;"'")&amp;", p_email =&gt; "&amp;IF(TRIM(M56&amp;"")="","NULL","'"&amp;SUBSTITUTE(TRIM(M56),"'","''")&amp;"'")&amp;", p_observacion =&gt; "&amp;IF(TRIM(O56&amp;"")="","NULL","'"&amp;SUBSTITUTE(TRIM(O56),"'","''")&amp;"'")&amp;", p_direccion =&gt; "&amp;IF(TRIM(J56&amp;"")="","NULL","'"&amp;SUBSTITUTE(TRIM(J56),"'","''")&amp;"'")&amp;", p_referencia =&gt; "&amp;IF(TRIM(K56&amp;"")="","NULL","'"&amp;SUBSTITUTE(TRIM(K56),"'","''")&amp;"'")&amp;") AS resultado_cliente_"&amp;ROW()&amp;";")</f>
        <v/>
      </c>
    </row>
    <row r="57" ht="15.75" customHeight="1" s="64">
      <c r="A57" s="25">
        <f>IF(AND(D57="",E57="",C57=""),"",IF(AND(D57="",E57=""),"FALTA razón social o nombres",IF(AND(C57&lt;&gt;"",SUMPRODUCT(--($C$5:$C$549=C57))&gt;1),"DOCUMENTO DUPLICADO",IF(AND(B57="DNI",C57&lt;&gt;"",LEN(C57&amp;"")&lt;&gt;8),"DNI debe tener 8 dígitos",IF(AND(B57="RUC",C57&lt;&gt;"",LEN(C57&amp;"")&lt;&gt;11),"RUC debe tener 11 dígitos",IF(AND(N57&lt;&gt;"",SUMPRODUCT(--($N$5:$N$549=N57))&gt;1),"CÓDIGO INTERNO DUPLICADO","OK"))))))</f>
        <v/>
      </c>
      <c r="B57" s="17" t="inlineStr">
        <is>
          <t>DNI</t>
        </is>
      </c>
      <c r="C57" s="26" t="inlineStr">
        <is>
          <t>17621023</t>
        </is>
      </c>
      <c r="D57" s="41" t="n"/>
      <c r="E57" s="17" t="inlineStr">
        <is>
          <t>CESAR</t>
        </is>
      </c>
      <c r="F57" s="17" t="inlineStr">
        <is>
          <t>SANDOVAL</t>
        </is>
      </c>
      <c r="G57" s="17" t="inlineStr">
        <is>
          <t>INOÑAN</t>
        </is>
      </c>
      <c r="H57" s="17" t="inlineStr">
        <is>
          <t>Persona Natural</t>
        </is>
      </c>
      <c r="I57" s="17" t="inlineStr">
        <is>
          <t>Cliente</t>
        </is>
      </c>
      <c r="J57" s="17" t="n"/>
      <c r="K57" s="17" t="n"/>
      <c r="L57" s="23" t="n"/>
      <c r="M57" s="17" t="n"/>
      <c r="N57" s="23" t="n"/>
      <c r="O57" s="17" t="n"/>
      <c r="P57" s="28">
        <f>IF(A57&lt;&gt;"OK","","SELECT cli_crear_clientes(p_codigo_interno =&gt; "&amp;IF(TRIM(N57&amp;"")="","NULL","'"&amp;SUBSTITUTE(TRIM(N57),"'","''")&amp;"'")&amp;", p_razon_social =&gt; "&amp;IF(TRIM(D57&amp;"")="","NULL","'"&amp;SUBSTITUTE(TRIM(D57),"'","''")&amp;"'")&amp;", p_id_tipo_cliente =&gt; "&amp;IF(TRIM(I57&amp;"")="","NULL","(SELECT lo.id FROM gen_lista_opciones lo JOIN gen_lista l ON l.id = lo.id_lista WHERE l.nombre = 'TipoCliente' AND upper(lo.nombre) = upper('"&amp;SUBSTITUTE(TRIM(I57),"'","''")&amp;"') AND lo.estado = 1 LIMIT 1)")&amp;", p_id_tipo_persona =&gt; "&amp;IF(TRIM(H57&amp;"")="","NULL","(SELECT lo.id FROM gen_lista_opciones lo JOIN gen_lista l ON l.id = lo.id_lista WHERE l.nombre = 'TipoPersona' AND upper(lo.nombre) = upper('"&amp;SUBSTITUTE(TRIM(H57),"'","''")&amp;"') AND lo.estado = 1 LIMIT 1)")&amp;", p_nombres =&gt; "&amp;IF(TRIM(E57&amp;"")="","NULL","'"&amp;SUBSTITUTE(TRIM(E57),"'","''")&amp;"'")&amp;", p_apellido_paterno =&gt; "&amp;IF(TRIM(F57&amp;"")="","NULL","'"&amp;SUBSTITUTE(TRIM(F57),"'","''")&amp;"'")&amp;", p_apellido_materno =&gt; "&amp;IF(TRIM(G57&amp;"")="","NULL","'"&amp;SUBSTITUTE(TRIM(G57),"'","''")&amp;"'")&amp;", p_id_tipo_documento =&gt; "&amp;IF(TRIM(B57&amp;"")="","NULL","(SELECT lo.id FROM gen_lista_opciones lo JOIN gen_lista l ON l.id = lo.id_lista WHERE l.nombre = 'TipoDocumento' AND upper(lo.nombre) = upper('"&amp;SUBSTITUTE(TRIM(B57),"'","''")&amp;"') AND lo.estado = 1 LIMIT 1)")&amp;", p_numero_documento =&gt; "&amp;IF(TRIM(C57&amp;"")="","NULL","'"&amp;SUBSTITUTE(TRIM(C57),"'","''")&amp;"'")&amp;", p_telefono =&gt; "&amp;IF(TRIM(L57&amp;"")="","NULL","'"&amp;SUBSTITUTE(TRIM(L57),"'","''")&amp;"'")&amp;", p_email =&gt; "&amp;IF(TRIM(M57&amp;"")="","NULL","'"&amp;SUBSTITUTE(TRIM(M57),"'","''")&amp;"'")&amp;", p_observacion =&gt; "&amp;IF(TRIM(O57&amp;"")="","NULL","'"&amp;SUBSTITUTE(TRIM(O57),"'","''")&amp;"'")&amp;", p_direccion =&gt; "&amp;IF(TRIM(J57&amp;"")="","NULL","'"&amp;SUBSTITUTE(TRIM(J57),"'","''")&amp;"'")&amp;", p_referencia =&gt; "&amp;IF(TRIM(K57&amp;"")="","NULL","'"&amp;SUBSTITUTE(TRIM(K57),"'","''")&amp;"'")&amp;") AS resultado_cliente_"&amp;ROW()&amp;";")</f>
        <v/>
      </c>
    </row>
    <row r="58" ht="15.75" customHeight="1" s="64">
      <c r="A58" s="25">
        <f>IF(AND(D58="",E58="",C58=""),"",IF(AND(D58="",E58=""),"FALTA razón social o nombres",IF(AND(C58&lt;&gt;"",SUMPRODUCT(--($C$5:$C$549=C58))&gt;1),"DOCUMENTO DUPLICADO",IF(AND(B58="DNI",C58&lt;&gt;"",LEN(C58&amp;"")&lt;&gt;8),"DNI debe tener 8 dígitos",IF(AND(B58="RUC",C58&lt;&gt;"",LEN(C58&amp;"")&lt;&gt;11),"RUC debe tener 11 dígitos",IF(AND(N58&lt;&gt;"",SUMPRODUCT(--($N$5:$N$549=N58))&gt;1),"CÓDIGO INTERNO DUPLICADO","OK"))))))</f>
        <v/>
      </c>
      <c r="B58" s="17" t="inlineStr">
        <is>
          <t>DNI</t>
        </is>
      </c>
      <c r="C58" s="26" t="inlineStr">
        <is>
          <t>45355947</t>
        </is>
      </c>
      <c r="D58" s="17" t="n"/>
      <c r="E58" s="17" t="inlineStr">
        <is>
          <t xml:space="preserve">JUANA </t>
        </is>
      </c>
      <c r="F58" s="17" t="inlineStr">
        <is>
          <t xml:space="preserve">LINARES </t>
        </is>
      </c>
      <c r="G58" s="17" t="inlineStr">
        <is>
          <t>TORRES</t>
        </is>
      </c>
      <c r="H58" s="17" t="inlineStr">
        <is>
          <t>Persona Natural</t>
        </is>
      </c>
      <c r="I58" s="17" t="inlineStr">
        <is>
          <t>Cliente</t>
        </is>
      </c>
      <c r="J58" s="17" t="n"/>
      <c r="K58" s="17" t="n"/>
      <c r="L58" s="23" t="n"/>
      <c r="M58" s="17" t="n"/>
      <c r="N58" s="23" t="n"/>
      <c r="O58" s="17" t="n"/>
      <c r="P58" s="28">
        <f>IF(A58&lt;&gt;"OK","","SELECT cli_crear_clientes(p_codigo_interno =&gt; "&amp;IF(TRIM(N58&amp;"")="","NULL","'"&amp;SUBSTITUTE(TRIM(N58),"'","''")&amp;"'")&amp;", p_razon_social =&gt; "&amp;IF(TRIM(D58&amp;"")="","NULL","'"&amp;SUBSTITUTE(TRIM(D58),"'","''")&amp;"'")&amp;", p_id_tipo_cliente =&gt; "&amp;IF(TRIM(I58&amp;"")="","NULL","(SELECT lo.id FROM gen_lista_opciones lo JOIN gen_lista l ON l.id = lo.id_lista WHERE l.nombre = 'TipoCliente' AND upper(lo.nombre) = upper('"&amp;SUBSTITUTE(TRIM(I58),"'","''")&amp;"') AND lo.estado = 1 LIMIT 1)")&amp;", p_id_tipo_persona =&gt; "&amp;IF(TRIM(H58&amp;"")="","NULL","(SELECT lo.id FROM gen_lista_opciones lo JOIN gen_lista l ON l.id = lo.id_lista WHERE l.nombre = 'TipoPersona' AND upper(lo.nombre) = upper('"&amp;SUBSTITUTE(TRIM(H58),"'","''")&amp;"') AND lo.estado = 1 LIMIT 1)")&amp;", p_nombres =&gt; "&amp;IF(TRIM(E58&amp;"")="","NULL","'"&amp;SUBSTITUTE(TRIM(E58),"'","''")&amp;"'")&amp;", p_apellido_paterno =&gt; "&amp;IF(TRIM(F58&amp;"")="","NULL","'"&amp;SUBSTITUTE(TRIM(F58),"'","''")&amp;"'")&amp;", p_apellido_materno =&gt; "&amp;IF(TRIM(G58&amp;"")="","NULL","'"&amp;SUBSTITUTE(TRIM(G58),"'","''")&amp;"'")&amp;", p_id_tipo_documento =&gt; "&amp;IF(TRIM(B58&amp;"")="","NULL","(SELECT lo.id FROM gen_lista_opciones lo JOIN gen_lista l ON l.id = lo.id_lista WHERE l.nombre = 'TipoDocumento' AND upper(lo.nombre) = upper('"&amp;SUBSTITUTE(TRIM(B58),"'","''")&amp;"') AND lo.estado = 1 LIMIT 1)")&amp;", p_numero_documento =&gt; "&amp;IF(TRIM(C58&amp;"")="","NULL","'"&amp;SUBSTITUTE(TRIM(C58),"'","''")&amp;"'")&amp;", p_telefono =&gt; "&amp;IF(TRIM(L58&amp;"")="","NULL","'"&amp;SUBSTITUTE(TRIM(L58),"'","''")&amp;"'")&amp;", p_email =&gt; "&amp;IF(TRIM(M58&amp;"")="","NULL","'"&amp;SUBSTITUTE(TRIM(M58),"'","''")&amp;"'")&amp;", p_observacion =&gt; "&amp;IF(TRIM(O58&amp;"")="","NULL","'"&amp;SUBSTITUTE(TRIM(O58),"'","''")&amp;"'")&amp;", p_direccion =&gt; "&amp;IF(TRIM(J58&amp;"")="","NULL","'"&amp;SUBSTITUTE(TRIM(J58),"'","''")&amp;"'")&amp;", p_referencia =&gt; "&amp;IF(TRIM(K58&amp;"")="","NULL","'"&amp;SUBSTITUTE(TRIM(K58),"'","''")&amp;"'")&amp;") AS resultado_cliente_"&amp;ROW()&amp;";")</f>
        <v/>
      </c>
    </row>
    <row r="59" ht="15.75" customHeight="1" s="64">
      <c r="A59" s="25">
        <f>IF(AND(D59="",E59="",C59=""),"",IF(AND(D59="",E59=""),"FALTA razón social o nombres",IF(AND(C59&lt;&gt;"",SUMPRODUCT(--($C$5:$C$549=C59))&gt;1),"DOCUMENTO DUPLICADO",IF(AND(B59="DNI",C59&lt;&gt;"",LEN(C59&amp;"")&lt;&gt;8),"DNI debe tener 8 dígitos",IF(AND(B59="RUC",C59&lt;&gt;"",LEN(C59&amp;"")&lt;&gt;11),"RUC debe tener 11 dígitos",IF(AND(N59&lt;&gt;"",SUMPRODUCT(--($N$5:$N$549=N59))&gt;1),"CÓDIGO INTERNO DUPLICADO","OK"))))))</f>
        <v/>
      </c>
      <c r="B59" s="17" t="inlineStr">
        <is>
          <t>RUC</t>
        </is>
      </c>
      <c r="C59" s="26" t="inlineStr">
        <is>
          <t>20603383967</t>
        </is>
      </c>
      <c r="D59" s="17" t="inlineStr">
        <is>
          <t>SERVICIOS Y CONSTRUCCION.IMESUR S.A.C.</t>
        </is>
      </c>
      <c r="E59" s="17" t="n"/>
      <c r="F59" s="17" t="n"/>
      <c r="G59" s="17" t="n"/>
      <c r="H59" s="17" t="inlineStr">
        <is>
          <t>Persona Jurídica</t>
        </is>
      </c>
      <c r="I59" s="17" t="inlineStr">
        <is>
          <t>Cliente</t>
        </is>
      </c>
      <c r="J59" s="17" t="n"/>
      <c r="K59" s="17" t="n"/>
      <c r="L59" s="23" t="n"/>
      <c r="M59" s="17" t="n"/>
      <c r="N59" s="23" t="n"/>
      <c r="O59" s="17" t="n"/>
      <c r="P59" s="28">
        <f>IF(A59&lt;&gt;"OK","","SELECT cli_crear_clientes(p_codigo_interno =&gt; "&amp;IF(TRIM(N59&amp;"")="","NULL","'"&amp;SUBSTITUTE(TRIM(N59),"'","''")&amp;"'")&amp;", p_razon_social =&gt; "&amp;IF(TRIM(D59&amp;"")="","NULL","'"&amp;SUBSTITUTE(TRIM(D59),"'","''")&amp;"'")&amp;", p_id_tipo_cliente =&gt; "&amp;IF(TRIM(I59&amp;"")="","NULL","(SELECT lo.id FROM gen_lista_opciones lo JOIN gen_lista l ON l.id = lo.id_lista WHERE l.nombre = 'TipoCliente' AND upper(lo.nombre) = upper('"&amp;SUBSTITUTE(TRIM(I59),"'","''")&amp;"') AND lo.estado = 1 LIMIT 1)")&amp;", p_id_tipo_persona =&gt; "&amp;IF(TRIM(H59&amp;"")="","NULL","(SELECT lo.id FROM gen_lista_opciones lo JOIN gen_lista l ON l.id = lo.id_lista WHERE l.nombre = 'TipoPersona' AND upper(lo.nombre) = upper('"&amp;SUBSTITUTE(TRIM(H59),"'","''")&amp;"') AND lo.estado = 1 LIMIT 1)")&amp;", p_nombres =&gt; "&amp;IF(TRIM(E59&amp;"")="","NULL","'"&amp;SUBSTITUTE(TRIM(E59),"'","''")&amp;"'")&amp;", p_apellido_paterno =&gt; "&amp;IF(TRIM(F59&amp;"")="","NULL","'"&amp;SUBSTITUTE(TRIM(F59),"'","''")&amp;"'")&amp;", p_apellido_materno =&gt; "&amp;IF(TRIM(G59&amp;"")="","NULL","'"&amp;SUBSTITUTE(TRIM(G59),"'","''")&amp;"'")&amp;", p_id_tipo_documento =&gt; "&amp;IF(TRIM(B59&amp;"")="","NULL","(SELECT lo.id FROM gen_lista_opciones lo JOIN gen_lista l ON l.id = lo.id_lista WHERE l.nombre = 'TipoDocumento' AND upper(lo.nombre) = upper('"&amp;SUBSTITUTE(TRIM(B59),"'","''")&amp;"') AND lo.estado = 1 LIMIT 1)")&amp;", p_numero_documento =&gt; "&amp;IF(TRIM(C59&amp;"")="","NULL","'"&amp;SUBSTITUTE(TRIM(C59),"'","''")&amp;"'")&amp;", p_telefono =&gt; "&amp;IF(TRIM(L59&amp;"")="","NULL","'"&amp;SUBSTITUTE(TRIM(L59),"'","''")&amp;"'")&amp;", p_email =&gt; "&amp;IF(TRIM(M59&amp;"")="","NULL","'"&amp;SUBSTITUTE(TRIM(M59),"'","''")&amp;"'")&amp;", p_observacion =&gt; "&amp;IF(TRIM(O59&amp;"")="","NULL","'"&amp;SUBSTITUTE(TRIM(O59),"'","''")&amp;"'")&amp;", p_direccion =&gt; "&amp;IF(TRIM(J59&amp;"")="","NULL","'"&amp;SUBSTITUTE(TRIM(J59),"'","''")&amp;"'")&amp;", p_referencia =&gt; "&amp;IF(TRIM(K59&amp;"")="","NULL","'"&amp;SUBSTITUTE(TRIM(K59),"'","''")&amp;"'")&amp;") AS resultado_cliente_"&amp;ROW()&amp;";")</f>
        <v/>
      </c>
    </row>
    <row r="60" ht="15.75" customHeight="1" s="64">
      <c r="A60" s="25">
        <f>IF(AND(D60="",E60="",C60=""),"",IF(AND(D60="",E60=""),"FALTA razón social o nombres",IF(AND(C60&lt;&gt;"",SUMPRODUCT(--($C$5:$C$549=C60))&gt;1),"DOCUMENTO DUPLICADO",IF(AND(B60="DNI",C60&lt;&gt;"",LEN(C60&amp;"")&lt;&gt;8),"DNI debe tener 8 dígitos",IF(AND(B60="RUC",C60&lt;&gt;"",LEN(C60&amp;"")&lt;&gt;11),"RUC debe tener 11 dígitos",IF(AND(N60&lt;&gt;"",SUMPRODUCT(--($N$5:$N$549=N60))&gt;1),"CÓDIGO INTERNO DUPLICADO","OK"))))))</f>
        <v/>
      </c>
      <c r="B60" s="17" t="inlineStr">
        <is>
          <t>RUC</t>
        </is>
      </c>
      <c r="C60" s="23" t="inlineStr">
        <is>
          <t>20610025707</t>
        </is>
      </c>
      <c r="D60" s="17" t="inlineStr">
        <is>
          <t>SEFABIN E.I.R.L.</t>
        </is>
      </c>
      <c r="E60" s="17" t="n"/>
      <c r="F60" s="17" t="n"/>
      <c r="G60" s="17" t="n"/>
      <c r="H60" s="17" t="inlineStr">
        <is>
          <t>Persona Jurídica</t>
        </is>
      </c>
      <c r="I60" s="17" t="inlineStr">
        <is>
          <t>Cliente</t>
        </is>
      </c>
      <c r="J60" s="17" t="n"/>
      <c r="K60" s="17" t="n"/>
      <c r="L60" s="23" t="n"/>
      <c r="M60" s="17" t="n"/>
      <c r="N60" s="23" t="n"/>
      <c r="O60" s="17" t="n"/>
      <c r="P60" s="28">
        <f>IF(A60&lt;&gt;"OK","","SELECT cli_crear_clientes(p_codigo_interno =&gt; "&amp;IF(TRIM(N60&amp;"")="","NULL","'"&amp;SUBSTITUTE(TRIM(N60),"'","''")&amp;"'")&amp;", p_razon_social =&gt; "&amp;IF(TRIM(D60&amp;"")="","NULL","'"&amp;SUBSTITUTE(TRIM(D60),"'","''")&amp;"'")&amp;", p_id_tipo_cliente =&gt; "&amp;IF(TRIM(I60&amp;"")="","NULL","(SELECT lo.id FROM gen_lista_opciones lo JOIN gen_lista l ON l.id = lo.id_lista WHERE l.nombre = 'TipoCliente' AND upper(lo.nombre) = upper('"&amp;SUBSTITUTE(TRIM(I60),"'","''")&amp;"') AND lo.estado = 1 LIMIT 1)")&amp;", p_id_tipo_persona =&gt; "&amp;IF(TRIM(H60&amp;"")="","NULL","(SELECT lo.id FROM gen_lista_opciones lo JOIN gen_lista l ON l.id = lo.id_lista WHERE l.nombre = 'TipoPersona' AND upper(lo.nombre) = upper('"&amp;SUBSTITUTE(TRIM(H60),"'","''")&amp;"') AND lo.estado = 1 LIMIT 1)")&amp;", p_nombres =&gt; "&amp;IF(TRIM(E60&amp;"")="","NULL","'"&amp;SUBSTITUTE(TRIM(E60),"'","''")&amp;"'")&amp;", p_apellido_paterno =&gt; "&amp;IF(TRIM(F60&amp;"")="","NULL","'"&amp;SUBSTITUTE(TRIM(F60),"'","''")&amp;"'")&amp;", p_apellido_materno =&gt; "&amp;IF(TRIM(G60&amp;"")="","NULL","'"&amp;SUBSTITUTE(TRIM(G60),"'","''")&amp;"'")&amp;", p_id_tipo_documento =&gt; "&amp;IF(TRIM(B60&amp;"")="","NULL","(SELECT lo.id FROM gen_lista_opciones lo JOIN gen_lista l ON l.id = lo.id_lista WHERE l.nombre = 'TipoDocumento' AND upper(lo.nombre) = upper('"&amp;SUBSTITUTE(TRIM(B60),"'","''")&amp;"') AND lo.estado = 1 LIMIT 1)")&amp;", p_numero_documento =&gt; "&amp;IF(TRIM(C60&amp;"")="","NULL","'"&amp;SUBSTITUTE(TRIM(C60),"'","''")&amp;"'")&amp;", p_telefono =&gt; "&amp;IF(TRIM(L60&amp;"")="","NULL","'"&amp;SUBSTITUTE(TRIM(L60),"'","''")&amp;"'")&amp;", p_email =&gt; "&amp;IF(TRIM(M60&amp;"")="","NULL","'"&amp;SUBSTITUTE(TRIM(M60),"'","''")&amp;"'")&amp;", p_observacion =&gt; "&amp;IF(TRIM(O60&amp;"")="","NULL","'"&amp;SUBSTITUTE(TRIM(O60),"'","''")&amp;"'")&amp;", p_direccion =&gt; "&amp;IF(TRIM(J60&amp;"")="","NULL","'"&amp;SUBSTITUTE(TRIM(J60),"'","''")&amp;"'")&amp;", p_referencia =&gt; "&amp;IF(TRIM(K60&amp;"")="","NULL","'"&amp;SUBSTITUTE(TRIM(K60),"'","''")&amp;"'")&amp;") AS resultado_cliente_"&amp;ROW()&amp;";")</f>
        <v/>
      </c>
    </row>
    <row r="61" ht="15.75" customHeight="1" s="64">
      <c r="A61" s="25">
        <f>IF(AND(D61="",E61="",C61=""),"",IF(AND(D61="",E61=""),"FALTA razón social o nombres",IF(AND(C61&lt;&gt;"",SUMPRODUCT(--($C$5:$C$549=C61))&gt;1),"DOCUMENTO DUPLICADO",IF(AND(B61="DNI",C61&lt;&gt;"",LEN(C61&amp;"")&lt;&gt;8),"DNI debe tener 8 dígitos",IF(AND(B61="RUC",C61&lt;&gt;"",LEN(C61&amp;"")&lt;&gt;11),"RUC debe tener 11 dígitos",IF(AND(N61&lt;&gt;"",SUMPRODUCT(--($N$5:$N$549=N61))&gt;1),"CÓDIGO INTERNO DUPLICADO","OK"))))))</f>
        <v/>
      </c>
      <c r="B61" s="17" t="inlineStr">
        <is>
          <t>RUC</t>
        </is>
      </c>
      <c r="C61" s="26" t="inlineStr">
        <is>
          <t>20174513245</t>
        </is>
      </c>
      <c r="D61" s="26" t="inlineStr">
        <is>
          <t>TRUCKS AND MOTORS DEL PERU S.A. CERRADA</t>
        </is>
      </c>
      <c r="E61" s="17" t="n"/>
      <c r="F61" s="17" t="n"/>
      <c r="G61" s="17" t="n"/>
      <c r="H61" s="17" t="inlineStr">
        <is>
          <t>Persona Jurídica</t>
        </is>
      </c>
      <c r="I61" s="17" t="inlineStr">
        <is>
          <t>Cliente</t>
        </is>
      </c>
      <c r="J61" s="17" t="inlineStr">
        <is>
          <t>Lambayeque</t>
        </is>
      </c>
      <c r="K61" s="17" t="n"/>
      <c r="L61" s="23" t="n"/>
      <c r="M61" s="17" t="n"/>
      <c r="N61" s="23" t="n"/>
      <c r="O61" s="17" t="n"/>
      <c r="P61" s="28">
        <f>IF(A61&lt;&gt;"OK","","SELECT cli_crear_clientes(p_codigo_interno =&gt; "&amp;IF(TRIM(N61&amp;"")="","NULL","'"&amp;SUBSTITUTE(TRIM(N61),"'","''")&amp;"'")&amp;", p_razon_social =&gt; "&amp;IF(TRIM(D61&amp;"")="","NULL","'"&amp;SUBSTITUTE(TRIM(D61),"'","''")&amp;"'")&amp;", p_id_tipo_cliente =&gt; "&amp;IF(TRIM(I61&amp;"")="","NULL","(SELECT lo.id FROM gen_lista_opciones lo JOIN gen_lista l ON l.id = lo.id_lista WHERE l.nombre = 'TipoCliente' AND upper(lo.nombre) = upper('"&amp;SUBSTITUTE(TRIM(I61),"'","''")&amp;"') AND lo.estado = 1 LIMIT 1)")&amp;", p_id_tipo_persona =&gt; "&amp;IF(TRIM(H61&amp;"")="","NULL","(SELECT lo.id FROM gen_lista_opciones lo JOIN gen_lista l ON l.id = lo.id_lista WHERE l.nombre = 'TipoPersona' AND upper(lo.nombre) = upper('"&amp;SUBSTITUTE(TRIM(H61),"'","''")&amp;"') AND lo.estado = 1 LIMIT 1)")&amp;", p_nombres =&gt; "&amp;IF(TRIM(E61&amp;"")="","NULL","'"&amp;SUBSTITUTE(TRIM(E61),"'","''")&amp;"'")&amp;", p_apellido_paterno =&gt; "&amp;IF(TRIM(F61&amp;"")="","NULL","'"&amp;SUBSTITUTE(TRIM(F61),"'","''")&amp;"'")&amp;", p_apellido_materno =&gt; "&amp;IF(TRIM(G61&amp;"")="","NULL","'"&amp;SUBSTITUTE(TRIM(G61),"'","''")&amp;"'")&amp;", p_id_tipo_documento =&gt; "&amp;IF(TRIM(B61&amp;"")="","NULL","(SELECT lo.id FROM gen_lista_opciones lo JOIN gen_lista l ON l.id = lo.id_lista WHERE l.nombre = 'TipoDocumento' AND upper(lo.nombre) = upper('"&amp;SUBSTITUTE(TRIM(B61),"'","''")&amp;"') AND lo.estado = 1 LIMIT 1)")&amp;", p_numero_documento =&gt; "&amp;IF(TRIM(C61&amp;"")="","NULL","'"&amp;SUBSTITUTE(TRIM(C61),"'","''")&amp;"'")&amp;", p_telefono =&gt; "&amp;IF(TRIM(L61&amp;"")="","NULL","'"&amp;SUBSTITUTE(TRIM(L61),"'","''")&amp;"'")&amp;", p_email =&gt; "&amp;IF(TRIM(M61&amp;"")="","NULL","'"&amp;SUBSTITUTE(TRIM(M61),"'","''")&amp;"'")&amp;", p_observacion =&gt; "&amp;IF(TRIM(O61&amp;"")="","NULL","'"&amp;SUBSTITUTE(TRIM(O61),"'","''")&amp;"'")&amp;", p_direccion =&gt; "&amp;IF(TRIM(J61&amp;"")="","NULL","'"&amp;SUBSTITUTE(TRIM(J61),"'","''")&amp;"'")&amp;", p_referencia =&gt; "&amp;IF(TRIM(K61&amp;"")="","NULL","'"&amp;SUBSTITUTE(TRIM(K61),"'","''")&amp;"'")&amp;") AS resultado_cliente_"&amp;ROW()&amp;";")</f>
        <v/>
      </c>
    </row>
    <row r="62" ht="15.75" customHeight="1" s="64">
      <c r="A62" s="25">
        <f>IF(AND(D62="",E62="",C62=""),"",IF(AND(D62="",E62=""),"FALTA razón social o nombres",IF(AND(C62&lt;&gt;"",SUMPRODUCT(--($C$5:$C$549=C62))&gt;1),"DOCUMENTO DUPLICADO",IF(AND(B62="DNI",C62&lt;&gt;"",LEN(C62&amp;"")&lt;&gt;8),"DNI debe tener 8 dígitos",IF(AND(B62="RUC",C62&lt;&gt;"",LEN(C62&amp;"")&lt;&gt;11),"RUC debe tener 11 dígitos",IF(AND(N62&lt;&gt;"",SUMPRODUCT(--($N$5:$N$549=N62))&gt;1),"CÓDIGO INTERNO DUPLICADO","OK"))))))</f>
        <v/>
      </c>
      <c r="B62" s="17" t="inlineStr">
        <is>
          <t>RUC</t>
        </is>
      </c>
      <c r="C62" s="26" t="inlineStr">
        <is>
          <t>20480319860</t>
        </is>
      </c>
      <c r="D62" s="26" t="inlineStr">
        <is>
          <t>V &amp; F SAC</t>
        </is>
      </c>
      <c r="E62" s="17" t="n"/>
      <c r="F62" s="17" t="n"/>
      <c r="G62" s="17" t="n"/>
      <c r="H62" s="17" t="inlineStr">
        <is>
          <t>Persona Jurídica</t>
        </is>
      </c>
      <c r="I62" s="17" t="inlineStr">
        <is>
          <t>Cliente</t>
        </is>
      </c>
      <c r="J62" s="17" t="n"/>
      <c r="K62" s="17" t="n"/>
      <c r="L62" s="23" t="n"/>
      <c r="M62" s="17" t="n"/>
      <c r="N62" s="23" t="n"/>
      <c r="O62" s="17" t="n"/>
      <c r="P62" s="28">
        <f>IF(A62&lt;&gt;"OK","","SELECT cli_crear_clientes(p_codigo_interno =&gt; "&amp;IF(TRIM(N62&amp;"")="","NULL","'"&amp;SUBSTITUTE(TRIM(N62),"'","''")&amp;"'")&amp;", p_razon_social =&gt; "&amp;IF(TRIM(D62&amp;"")="","NULL","'"&amp;SUBSTITUTE(TRIM(D62),"'","''")&amp;"'")&amp;", p_id_tipo_cliente =&gt; "&amp;IF(TRIM(I62&amp;"")="","NULL","(SELECT lo.id FROM gen_lista_opciones lo JOIN gen_lista l ON l.id = lo.id_lista WHERE l.nombre = 'TipoCliente' AND upper(lo.nombre) = upper('"&amp;SUBSTITUTE(TRIM(I62),"'","''")&amp;"') AND lo.estado = 1 LIMIT 1)")&amp;", p_id_tipo_persona =&gt; "&amp;IF(TRIM(H62&amp;"")="","NULL","(SELECT lo.id FROM gen_lista_opciones lo JOIN gen_lista l ON l.id = lo.id_lista WHERE l.nombre = 'TipoPersona' AND upper(lo.nombre) = upper('"&amp;SUBSTITUTE(TRIM(H62),"'","''")&amp;"') AND lo.estado = 1 LIMIT 1)")&amp;", p_nombres =&gt; "&amp;IF(TRIM(E62&amp;"")="","NULL","'"&amp;SUBSTITUTE(TRIM(E62),"'","''")&amp;"'")&amp;", p_apellido_paterno =&gt; "&amp;IF(TRIM(F62&amp;"")="","NULL","'"&amp;SUBSTITUTE(TRIM(F62),"'","''")&amp;"'")&amp;", p_apellido_materno =&gt; "&amp;IF(TRIM(G62&amp;"")="","NULL","'"&amp;SUBSTITUTE(TRIM(G62),"'","''")&amp;"'")&amp;", p_id_tipo_documento =&gt; "&amp;IF(TRIM(B62&amp;"")="","NULL","(SELECT lo.id FROM gen_lista_opciones lo JOIN gen_lista l ON l.id = lo.id_lista WHERE l.nombre = 'TipoDocumento' AND upper(lo.nombre) = upper('"&amp;SUBSTITUTE(TRIM(B62),"'","''")&amp;"') AND lo.estado = 1 LIMIT 1)")&amp;", p_numero_documento =&gt; "&amp;IF(TRIM(C62&amp;"")="","NULL","'"&amp;SUBSTITUTE(TRIM(C62),"'","''")&amp;"'")&amp;", p_telefono =&gt; "&amp;IF(TRIM(L62&amp;"")="","NULL","'"&amp;SUBSTITUTE(TRIM(L62),"'","''")&amp;"'")&amp;", p_email =&gt; "&amp;IF(TRIM(M62&amp;"")="","NULL","'"&amp;SUBSTITUTE(TRIM(M62),"'","''")&amp;"'")&amp;", p_observacion =&gt; "&amp;IF(TRIM(O62&amp;"")="","NULL","'"&amp;SUBSTITUTE(TRIM(O62),"'","''")&amp;"'")&amp;", p_direccion =&gt; "&amp;IF(TRIM(J62&amp;"")="","NULL","'"&amp;SUBSTITUTE(TRIM(J62),"'","''")&amp;"'")&amp;", p_referencia =&gt; "&amp;IF(TRIM(K62&amp;"")="","NULL","'"&amp;SUBSTITUTE(TRIM(K62),"'","''")&amp;"'")&amp;") AS resultado_cliente_"&amp;ROW()&amp;";")</f>
        <v/>
      </c>
    </row>
    <row r="63" ht="15.75" customHeight="1" s="64">
      <c r="A63" s="25">
        <f>IF(AND(D63="",E63="",C63=""),"",IF(AND(D63="",E63=""),"FALTA razón social o nombres",IF(AND(C63&lt;&gt;"",SUMPRODUCT(--($C$5:$C$549=C63))&gt;1),"DOCUMENTO DUPLICADO",IF(AND(B63="DNI",C63&lt;&gt;"",LEN(C63&amp;"")&lt;&gt;8),"DNI debe tener 8 dígitos",IF(AND(B63="RUC",C63&lt;&gt;"",LEN(C63&amp;"")&lt;&gt;11),"RUC debe tener 11 dígitos",IF(AND(N63&lt;&gt;"",SUMPRODUCT(--($N$5:$N$549=N63))&gt;1),"CÓDIGO INTERNO DUPLICADO","OK"))))))</f>
        <v/>
      </c>
      <c r="B63" s="17" t="inlineStr">
        <is>
          <t>SD</t>
        </is>
      </c>
      <c r="C63" s="23" t="inlineStr">
        <is>
          <t>000001</t>
        </is>
      </c>
      <c r="D63" s="17" t="n"/>
      <c r="E63" s="17" t="inlineStr">
        <is>
          <t>TANANTA</t>
        </is>
      </c>
      <c r="F63" s="17" t="inlineStr">
        <is>
          <t>TANANTA</t>
        </is>
      </c>
      <c r="G63" s="17" t="inlineStr">
        <is>
          <t>TANANTA</t>
        </is>
      </c>
      <c r="H63" s="17" t="inlineStr">
        <is>
          <t>Persona Natural</t>
        </is>
      </c>
      <c r="I63" s="17" t="inlineStr">
        <is>
          <t>Cliente</t>
        </is>
      </c>
      <c r="J63" s="17" t="n"/>
      <c r="K63" s="17" t="n"/>
      <c r="L63" s="23" t="n"/>
      <c r="M63" s="17" t="n"/>
      <c r="N63" s="23" t="n"/>
      <c r="O63" s="17" t="n"/>
      <c r="P63" s="28">
        <f>IF(A63&lt;&gt;"OK","","SELECT cli_crear_clientes(p_codigo_interno =&gt; "&amp;IF(TRIM(N63&amp;"")="","NULL","'"&amp;SUBSTITUTE(TRIM(N63),"'","''")&amp;"'")&amp;", p_razon_social =&gt; "&amp;IF(TRIM(D63&amp;"")="","NULL","'"&amp;SUBSTITUTE(TRIM(D63),"'","''")&amp;"'")&amp;", p_id_tipo_cliente =&gt; "&amp;IF(TRIM(I63&amp;"")="","NULL","(SELECT lo.id FROM gen_lista_opciones lo JOIN gen_lista l ON l.id = lo.id_lista WHERE l.nombre = 'TipoCliente' AND upper(lo.nombre) = upper('"&amp;SUBSTITUTE(TRIM(I63),"'","''")&amp;"') AND lo.estado = 1 LIMIT 1)")&amp;", p_id_tipo_persona =&gt; "&amp;IF(TRIM(H63&amp;"")="","NULL","(SELECT lo.id FROM gen_lista_opciones lo JOIN gen_lista l ON l.id = lo.id_lista WHERE l.nombre = 'TipoPersona' AND upper(lo.nombre) = upper('"&amp;SUBSTITUTE(TRIM(H63),"'","''")&amp;"') AND lo.estado = 1 LIMIT 1)")&amp;", p_nombres =&gt; "&amp;IF(TRIM(E63&amp;"")="","NULL","'"&amp;SUBSTITUTE(TRIM(E63),"'","''")&amp;"'")&amp;", p_apellido_paterno =&gt; "&amp;IF(TRIM(F63&amp;"")="","NULL","'"&amp;SUBSTITUTE(TRIM(F63),"'","''")&amp;"'")&amp;", p_apellido_materno =&gt; "&amp;IF(TRIM(G63&amp;"")="","NULL","'"&amp;SUBSTITUTE(TRIM(G63),"'","''")&amp;"'")&amp;", p_id_tipo_documento =&gt; "&amp;IF(TRIM(B63&amp;"")="","NULL","(SELECT lo.id FROM gen_lista_opciones lo JOIN gen_lista l ON l.id = lo.id_lista WHERE l.nombre = 'TipoDocumento' AND upper(lo.nombre) = upper('"&amp;SUBSTITUTE(TRIM(B63),"'","''")&amp;"') AND lo.estado = 1 LIMIT 1)")&amp;", p_numero_documento =&gt; "&amp;IF(TRIM(C63&amp;"")="","NULL","'"&amp;SUBSTITUTE(TRIM(C63),"'","''")&amp;"'")&amp;", p_telefono =&gt; "&amp;IF(TRIM(L63&amp;"")="","NULL","'"&amp;SUBSTITUTE(TRIM(L63),"'","''")&amp;"'")&amp;", p_email =&gt; "&amp;IF(TRIM(M63&amp;"")="","NULL","'"&amp;SUBSTITUTE(TRIM(M63),"'","''")&amp;"'")&amp;", p_observacion =&gt; "&amp;IF(TRIM(O63&amp;"")="","NULL","'"&amp;SUBSTITUTE(TRIM(O63),"'","''")&amp;"'")&amp;", p_direccion =&gt; "&amp;IF(TRIM(J63&amp;"")="","NULL","'"&amp;SUBSTITUTE(TRIM(J63),"'","''")&amp;"'")&amp;", p_referencia =&gt; "&amp;IF(TRIM(K63&amp;"")="","NULL","'"&amp;SUBSTITUTE(TRIM(K63),"'","''")&amp;"'")&amp;") AS resultado_cliente_"&amp;ROW()&amp;";")</f>
        <v/>
      </c>
    </row>
    <row r="64" ht="15.75" customHeight="1" s="64">
      <c r="A64" s="25">
        <f>IF(AND(D64="",E64="",C64=""),"",IF(AND(D64="",E64=""),"FALTA razón social o nombres",IF(AND(C64&lt;&gt;"",SUMPRODUCT(--($C$5:$C$549=C64))&gt;1),"DOCUMENTO DUPLICADO",IF(AND(B64="DNI",C64&lt;&gt;"",LEN(C64&amp;"")&lt;&gt;8),"DNI debe tener 8 dígitos",IF(AND(B64="RUC",C64&lt;&gt;"",LEN(C64&amp;"")&lt;&gt;11),"RUC debe tener 11 dígitos",IF(AND(N64&lt;&gt;"",SUMPRODUCT(--($N$5:$N$549=N64))&gt;1),"CÓDIGO INTERNO DUPLICADO","OK"))))))</f>
        <v/>
      </c>
      <c r="B64" s="17" t="inlineStr">
        <is>
          <t>RUC</t>
        </is>
      </c>
      <c r="C64" s="23" t="inlineStr">
        <is>
          <t>20615458440</t>
        </is>
      </c>
      <c r="D64" s="17" t="inlineStr">
        <is>
          <t>VICOLUX INGENIERIA Y CONSTRUCCION SOCIEDAD ANONIMA CERRADA</t>
        </is>
      </c>
      <c r="E64" s="17" t="n"/>
      <c r="F64" s="17" t="n"/>
      <c r="G64" s="17" t="n"/>
      <c r="H64" s="17" t="inlineStr">
        <is>
          <t>Persona Jurídica</t>
        </is>
      </c>
      <c r="I64" s="17" t="inlineStr">
        <is>
          <t>Cliente</t>
        </is>
      </c>
      <c r="J64" s="17" t="n"/>
      <c r="K64" s="17" t="n"/>
      <c r="L64" s="23" t="n"/>
      <c r="M64" s="17" t="n"/>
      <c r="N64" s="23" t="n"/>
      <c r="O64" s="17" t="n"/>
      <c r="P64" s="28">
        <f>IF(A64&lt;&gt;"OK","","SELECT cli_crear_clientes(p_codigo_interno =&gt; "&amp;IF(TRIM(N64&amp;"")="","NULL","'"&amp;SUBSTITUTE(TRIM(N64),"'","''")&amp;"'")&amp;", p_razon_social =&gt; "&amp;IF(TRIM(D64&amp;"")="","NULL","'"&amp;SUBSTITUTE(TRIM(D64),"'","''")&amp;"'")&amp;", p_id_tipo_cliente =&gt; "&amp;IF(TRIM(I64&amp;"")="","NULL","(SELECT lo.id FROM gen_lista_opciones lo JOIN gen_lista l ON l.id = lo.id_lista WHERE l.nombre = 'TipoCliente' AND upper(lo.nombre) = upper('"&amp;SUBSTITUTE(TRIM(I64),"'","''")&amp;"') AND lo.estado = 1 LIMIT 1)")&amp;", p_id_tipo_persona =&gt; "&amp;IF(TRIM(H64&amp;"")="","NULL","(SELECT lo.id FROM gen_lista_opciones lo JOIN gen_lista l ON l.id = lo.id_lista WHERE l.nombre = 'TipoPersona' AND upper(lo.nombre) = upper('"&amp;SUBSTITUTE(TRIM(H64),"'","''")&amp;"') AND lo.estado = 1 LIMIT 1)")&amp;", p_nombres =&gt; "&amp;IF(TRIM(E64&amp;"")="","NULL","'"&amp;SUBSTITUTE(TRIM(E64),"'","''")&amp;"'")&amp;", p_apellido_paterno =&gt; "&amp;IF(TRIM(F64&amp;"")="","NULL","'"&amp;SUBSTITUTE(TRIM(F64),"'","''")&amp;"'")&amp;", p_apellido_materno =&gt; "&amp;IF(TRIM(G64&amp;"")="","NULL","'"&amp;SUBSTITUTE(TRIM(G64),"'","''")&amp;"'")&amp;", p_id_tipo_documento =&gt; "&amp;IF(TRIM(B64&amp;"")="","NULL","(SELECT lo.id FROM gen_lista_opciones lo JOIN gen_lista l ON l.id = lo.id_lista WHERE l.nombre = 'TipoDocumento' AND upper(lo.nombre) = upper('"&amp;SUBSTITUTE(TRIM(B64),"'","''")&amp;"') AND lo.estado = 1 LIMIT 1)")&amp;", p_numero_documento =&gt; "&amp;IF(TRIM(C64&amp;"")="","NULL","'"&amp;SUBSTITUTE(TRIM(C64),"'","''")&amp;"'")&amp;", p_telefono =&gt; "&amp;IF(TRIM(L64&amp;"")="","NULL","'"&amp;SUBSTITUTE(TRIM(L64),"'","''")&amp;"'")&amp;", p_email =&gt; "&amp;IF(TRIM(M64&amp;"")="","NULL","'"&amp;SUBSTITUTE(TRIM(M64),"'","''")&amp;"'")&amp;", p_observacion =&gt; "&amp;IF(TRIM(O64&amp;"")="","NULL","'"&amp;SUBSTITUTE(TRIM(O64),"'","''")&amp;"'")&amp;", p_direccion =&gt; "&amp;IF(TRIM(J64&amp;"")="","NULL","'"&amp;SUBSTITUTE(TRIM(J64),"'","''")&amp;"'")&amp;", p_referencia =&gt; "&amp;IF(TRIM(K64&amp;"")="","NULL","'"&amp;SUBSTITUTE(TRIM(K64),"'","''")&amp;"'")&amp;") AS resultado_cliente_"&amp;ROW()&amp;";")</f>
        <v/>
      </c>
    </row>
    <row r="65" ht="15.75" customHeight="1" s="64">
      <c r="A65" s="25">
        <f>IF(AND(D65="",E65="",C65=""),"",IF(AND(D65="",E65=""),"FALTA razón social o nombres",IF(AND(C65&lt;&gt;"",SUMPRODUCT(--($C$5:$C$549=C65))&gt;1),"DOCUMENTO DUPLICADO",IF(AND(B65="DNI",C65&lt;&gt;"",LEN(C65&amp;"")&lt;&gt;8),"DNI debe tener 8 dígitos",IF(AND(B65="RUC",C65&lt;&gt;"",LEN(C65&amp;"")&lt;&gt;11),"RUC debe tener 11 dígitos",IF(AND(N65&lt;&gt;"",SUMPRODUCT(--($N$5:$N$549=N65))&gt;1),"CÓDIGO INTERNO DUPLICADO","OK"))))))</f>
        <v/>
      </c>
      <c r="B65" s="17" t="inlineStr">
        <is>
          <t>RUC</t>
        </is>
      </c>
      <c r="C65" s="23" t="inlineStr">
        <is>
          <t>20461642706</t>
        </is>
      </c>
      <c r="D65" s="17" t="inlineStr">
        <is>
          <t xml:space="preserve">AGRICOLA CERRO PRIETO S.A. </t>
        </is>
      </c>
      <c r="E65" s="17" t="n"/>
      <c r="F65" s="17" t="n"/>
      <c r="G65" s="17" t="n"/>
      <c r="H65" s="17" t="inlineStr">
        <is>
          <t>Persona Jurídica</t>
        </is>
      </c>
      <c r="I65" s="17" t="inlineStr">
        <is>
          <t>Cliente</t>
        </is>
      </c>
      <c r="J65" s="17" t="n"/>
      <c r="K65" s="17" t="n"/>
      <c r="L65" s="23" t="n"/>
      <c r="M65" s="17" t="n"/>
      <c r="N65" s="23" t="n"/>
      <c r="O65" s="17" t="n"/>
      <c r="P65" s="28">
        <f>IF(A65&lt;&gt;"OK","","SELECT cli_crear_clientes(p_codigo_interno =&gt; "&amp;IF(TRIM(N65&amp;"")="","NULL","'"&amp;SUBSTITUTE(TRIM(N65),"'","''")&amp;"'")&amp;", p_razon_social =&gt; "&amp;IF(TRIM(D65&amp;"")="","NULL","'"&amp;SUBSTITUTE(TRIM(D65),"'","''")&amp;"'")&amp;", p_id_tipo_cliente =&gt; "&amp;IF(TRIM(I65&amp;"")="","NULL","(SELECT lo.id FROM gen_lista_opciones lo JOIN gen_lista l ON l.id = lo.id_lista WHERE l.nombre = 'TipoCliente' AND upper(lo.nombre) = upper('"&amp;SUBSTITUTE(TRIM(I65),"'","''")&amp;"') AND lo.estado = 1 LIMIT 1)")&amp;", p_id_tipo_persona =&gt; "&amp;IF(TRIM(H65&amp;"")="","NULL","(SELECT lo.id FROM gen_lista_opciones lo JOIN gen_lista l ON l.id = lo.id_lista WHERE l.nombre = 'TipoPersona' AND upper(lo.nombre) = upper('"&amp;SUBSTITUTE(TRIM(H65),"'","''")&amp;"') AND lo.estado = 1 LIMIT 1)")&amp;", p_nombres =&gt; "&amp;IF(TRIM(E65&amp;"")="","NULL","'"&amp;SUBSTITUTE(TRIM(E65),"'","''")&amp;"'")&amp;", p_apellido_paterno =&gt; "&amp;IF(TRIM(F65&amp;"")="","NULL","'"&amp;SUBSTITUTE(TRIM(F65),"'","''")&amp;"'")&amp;", p_apellido_materno =&gt; "&amp;IF(TRIM(G65&amp;"")="","NULL","'"&amp;SUBSTITUTE(TRIM(G65),"'","''")&amp;"'")&amp;", p_id_tipo_documento =&gt; "&amp;IF(TRIM(B65&amp;"")="","NULL","(SELECT lo.id FROM gen_lista_opciones lo JOIN gen_lista l ON l.id = lo.id_lista WHERE l.nombre = 'TipoDocumento' AND upper(lo.nombre) = upper('"&amp;SUBSTITUTE(TRIM(B65),"'","''")&amp;"') AND lo.estado = 1 LIMIT 1)")&amp;", p_numero_documento =&gt; "&amp;IF(TRIM(C65&amp;"")="","NULL","'"&amp;SUBSTITUTE(TRIM(C65),"'","''")&amp;"'")&amp;", p_telefono =&gt; "&amp;IF(TRIM(L65&amp;"")="","NULL","'"&amp;SUBSTITUTE(TRIM(L65),"'","''")&amp;"'")&amp;", p_email =&gt; "&amp;IF(TRIM(M65&amp;"")="","NULL","'"&amp;SUBSTITUTE(TRIM(M65),"'","''")&amp;"'")&amp;", p_observacion =&gt; "&amp;IF(TRIM(O65&amp;"")="","NULL","'"&amp;SUBSTITUTE(TRIM(O65),"'","''")&amp;"'")&amp;", p_direccion =&gt; "&amp;IF(TRIM(J65&amp;"")="","NULL","'"&amp;SUBSTITUTE(TRIM(J65),"'","''")&amp;"'")&amp;", p_referencia =&gt; "&amp;IF(TRIM(K65&amp;"")="","NULL","'"&amp;SUBSTITUTE(TRIM(K65),"'","''")&amp;"'")&amp;") AS resultado_cliente_"&amp;ROW()&amp;";")</f>
        <v/>
      </c>
    </row>
    <row r="66" ht="15.75" customHeight="1" s="64">
      <c r="A66" s="25">
        <f>IF(AND(D66="",E66="",C66=""),"",IF(AND(D66="",E66=""),"FALTA razón social o nombres",IF(AND(C66&lt;&gt;"",SUMPRODUCT(--($C$5:$C$549=C66))&gt;1),"DOCUMENTO DUPLICADO",IF(AND(B66="DNI",C66&lt;&gt;"",LEN(C66&amp;"")&lt;&gt;8),"DNI debe tener 8 dígitos",IF(AND(B66="RUC",C66&lt;&gt;"",LEN(C66&amp;"")&lt;&gt;11),"RUC debe tener 11 dígitos",IF(AND(N66&lt;&gt;"",SUMPRODUCT(--($N$5:$N$549=N66))&gt;1),"CÓDIGO INTERNO DUPLICADO","OK"))))))</f>
        <v/>
      </c>
      <c r="B66" s="17" t="inlineStr">
        <is>
          <t>RUC</t>
        </is>
      </c>
      <c r="C66" s="23" t="inlineStr">
        <is>
          <t>10190310839</t>
        </is>
      </c>
      <c r="D66" s="17" t="inlineStr">
        <is>
          <t>VIDAL MINCHOLA HILDER FANOR</t>
        </is>
      </c>
      <c r="E66" s="17" t="n"/>
      <c r="F66" s="17" t="n"/>
      <c r="G66" s="17" t="n"/>
      <c r="H66" s="17" t="inlineStr">
        <is>
          <t>Persona Jurídica</t>
        </is>
      </c>
      <c r="I66" s="17" t="inlineStr">
        <is>
          <t>Cliente</t>
        </is>
      </c>
      <c r="J66" s="17" t="n"/>
      <c r="K66" s="17" t="n"/>
      <c r="L66" s="23" t="n"/>
      <c r="M66" s="17" t="n"/>
      <c r="N66" s="23" t="n"/>
      <c r="O66" s="17" t="n"/>
      <c r="P66" s="28">
        <f>IF(A66&lt;&gt;"OK","","SELECT cli_crear_clientes(p_codigo_interno =&gt; "&amp;IF(TRIM(N66&amp;"")="","NULL","'"&amp;SUBSTITUTE(TRIM(N66),"'","''")&amp;"'")&amp;", p_razon_social =&gt; "&amp;IF(TRIM(D66&amp;"")="","NULL","'"&amp;SUBSTITUTE(TRIM(D66),"'","''")&amp;"'")&amp;", p_id_tipo_cliente =&gt; "&amp;IF(TRIM(I66&amp;"")="","NULL","(SELECT lo.id FROM gen_lista_opciones lo JOIN gen_lista l ON l.id = lo.id_lista WHERE l.nombre = 'TipoCliente' AND upper(lo.nombre) = upper('"&amp;SUBSTITUTE(TRIM(I66),"'","''")&amp;"') AND lo.estado = 1 LIMIT 1)")&amp;", p_id_tipo_persona =&gt; "&amp;IF(TRIM(H66&amp;"")="","NULL","(SELECT lo.id FROM gen_lista_opciones lo JOIN gen_lista l ON l.id = lo.id_lista WHERE l.nombre = 'TipoPersona' AND upper(lo.nombre) = upper('"&amp;SUBSTITUTE(TRIM(H66),"'","''")&amp;"') AND lo.estado = 1 LIMIT 1)")&amp;", p_nombres =&gt; "&amp;IF(TRIM(E66&amp;"")="","NULL","'"&amp;SUBSTITUTE(TRIM(E66),"'","''")&amp;"'")&amp;", p_apellido_paterno =&gt; "&amp;IF(TRIM(F66&amp;"")="","NULL","'"&amp;SUBSTITUTE(TRIM(F66),"'","''")&amp;"'")&amp;", p_apellido_materno =&gt; "&amp;IF(TRIM(G66&amp;"")="","NULL","'"&amp;SUBSTITUTE(TRIM(G66),"'","''")&amp;"'")&amp;", p_id_tipo_documento =&gt; "&amp;IF(TRIM(B66&amp;"")="","NULL","(SELECT lo.id FROM gen_lista_opciones lo JOIN gen_lista l ON l.id = lo.id_lista WHERE l.nombre = 'TipoDocumento' AND upper(lo.nombre) = upper('"&amp;SUBSTITUTE(TRIM(B66),"'","''")&amp;"') AND lo.estado = 1 LIMIT 1)")&amp;", p_numero_documento =&gt; "&amp;IF(TRIM(C66&amp;"")="","NULL","'"&amp;SUBSTITUTE(TRIM(C66),"'","''")&amp;"'")&amp;", p_telefono =&gt; "&amp;IF(TRIM(L66&amp;"")="","NULL","'"&amp;SUBSTITUTE(TRIM(L66),"'","''")&amp;"'")&amp;", p_email =&gt; "&amp;IF(TRIM(M66&amp;"")="","NULL","'"&amp;SUBSTITUTE(TRIM(M66),"'","''")&amp;"'")&amp;", p_observacion =&gt; "&amp;IF(TRIM(O66&amp;"")="","NULL","'"&amp;SUBSTITUTE(TRIM(O66),"'","''")&amp;"'")&amp;", p_direccion =&gt; "&amp;IF(TRIM(J66&amp;"")="","NULL","'"&amp;SUBSTITUTE(TRIM(J66),"'","''")&amp;"'")&amp;", p_referencia =&gt; "&amp;IF(TRIM(K66&amp;"")="","NULL","'"&amp;SUBSTITUTE(TRIM(K66),"'","''")&amp;"'")&amp;") AS resultado_cliente_"&amp;ROW()&amp;";")</f>
        <v/>
      </c>
    </row>
    <row r="67" ht="15.75" customHeight="1" s="64">
      <c r="A67" s="25">
        <f>IF(AND(D67="",E67="",C67=""),"",IF(AND(D67="",E67=""),"FALTA razón social o nombres",IF(AND(C67&lt;&gt;"",SUMPRODUCT(--($C$5:$C$549=C67))&gt;1),"DOCUMENTO DUPLICADO",IF(AND(B67="DNI",C67&lt;&gt;"",LEN(C67&amp;"")&lt;&gt;8),"DNI debe tener 8 dígitos",IF(AND(B67="RUC",C67&lt;&gt;"",LEN(C67&amp;"")&lt;&gt;11),"RUC debe tener 11 dígitos",IF(AND(N67&lt;&gt;"",SUMPRODUCT(--($N$5:$N$549=N67))&gt;1),"CÓDIGO INTERNO DUPLICADO","OK"))))))</f>
        <v/>
      </c>
      <c r="B67" s="17" t="inlineStr">
        <is>
          <t>RUC</t>
        </is>
      </c>
      <c r="C67" s="26" t="inlineStr">
        <is>
          <t>10440281074</t>
        </is>
      </c>
      <c r="D67" s="26" t="inlineStr">
        <is>
          <t>VISUETA YACILA LUIS FREDERICK</t>
        </is>
      </c>
      <c r="E67" s="17" t="n"/>
      <c r="F67" s="17" t="n"/>
      <c r="G67" s="17" t="n"/>
      <c r="H67" s="17" t="inlineStr">
        <is>
          <t>Persona Jurídica</t>
        </is>
      </c>
      <c r="I67" s="17" t="inlineStr">
        <is>
          <t>Cliente</t>
        </is>
      </c>
      <c r="J67" s="17" t="n"/>
      <c r="K67" s="17" t="n"/>
      <c r="L67" s="23" t="n"/>
      <c r="M67" s="17" t="n"/>
      <c r="N67" s="23" t="n"/>
      <c r="O67" s="17" t="n"/>
      <c r="P67" s="28">
        <f>IF(A67&lt;&gt;"OK","","SELECT cli_crear_clientes(p_codigo_interno =&gt; "&amp;IF(TRIM(N67&amp;"")="","NULL","'"&amp;SUBSTITUTE(TRIM(N67),"'","''")&amp;"'")&amp;", p_razon_social =&gt; "&amp;IF(TRIM(D67&amp;"")="","NULL","'"&amp;SUBSTITUTE(TRIM(D67),"'","''")&amp;"'")&amp;", p_id_tipo_cliente =&gt; "&amp;IF(TRIM(I67&amp;"")="","NULL","(SELECT lo.id FROM gen_lista_opciones lo JOIN gen_lista l ON l.id = lo.id_lista WHERE l.nombre = 'TipoCliente' AND upper(lo.nombre) = upper('"&amp;SUBSTITUTE(TRIM(I67),"'","''")&amp;"') AND lo.estado = 1 LIMIT 1)")&amp;", p_id_tipo_persona =&gt; "&amp;IF(TRIM(H67&amp;"")="","NULL","(SELECT lo.id FROM gen_lista_opciones lo JOIN gen_lista l ON l.id = lo.id_lista WHERE l.nombre = 'TipoPersona' AND upper(lo.nombre) = upper('"&amp;SUBSTITUTE(TRIM(H67),"'","''")&amp;"') AND lo.estado = 1 LIMIT 1)")&amp;", p_nombres =&gt; "&amp;IF(TRIM(E67&amp;"")="","NULL","'"&amp;SUBSTITUTE(TRIM(E67),"'","''")&amp;"'")&amp;", p_apellido_paterno =&gt; "&amp;IF(TRIM(F67&amp;"")="","NULL","'"&amp;SUBSTITUTE(TRIM(F67),"'","''")&amp;"'")&amp;", p_apellido_materno =&gt; "&amp;IF(TRIM(G67&amp;"")="","NULL","'"&amp;SUBSTITUTE(TRIM(G67),"'","''")&amp;"'")&amp;", p_id_tipo_documento =&gt; "&amp;IF(TRIM(B67&amp;"")="","NULL","(SELECT lo.id FROM gen_lista_opciones lo JOIN gen_lista l ON l.id = lo.id_lista WHERE l.nombre = 'TipoDocumento' AND upper(lo.nombre) = upper('"&amp;SUBSTITUTE(TRIM(B67),"'","''")&amp;"') AND lo.estado = 1 LIMIT 1)")&amp;", p_numero_documento =&gt; "&amp;IF(TRIM(C67&amp;"")="","NULL","'"&amp;SUBSTITUTE(TRIM(C67),"'","''")&amp;"'")&amp;", p_telefono =&gt; "&amp;IF(TRIM(L67&amp;"")="","NULL","'"&amp;SUBSTITUTE(TRIM(L67),"'","''")&amp;"'")&amp;", p_email =&gt; "&amp;IF(TRIM(M67&amp;"")="","NULL","'"&amp;SUBSTITUTE(TRIM(M67),"'","''")&amp;"'")&amp;", p_observacion =&gt; "&amp;IF(TRIM(O67&amp;"")="","NULL","'"&amp;SUBSTITUTE(TRIM(O67),"'","''")&amp;"'")&amp;", p_direccion =&gt; "&amp;IF(TRIM(J67&amp;"")="","NULL","'"&amp;SUBSTITUTE(TRIM(J67),"'","''")&amp;"'")&amp;", p_referencia =&gt; "&amp;IF(TRIM(K67&amp;"")="","NULL","'"&amp;SUBSTITUTE(TRIM(K67),"'","''")&amp;"'")&amp;") AS resultado_cliente_"&amp;ROW()&amp;";")</f>
        <v/>
      </c>
    </row>
    <row r="68" ht="15.75" customHeight="1" s="64">
      <c r="A68" s="25">
        <f>IF(AND(D68="",E68="",C68=""),"",IF(AND(D68="",E68=""),"FALTA razón social o nombres",IF(AND(C68&lt;&gt;"",SUMPRODUCT(--($C$5:$C$549=C68))&gt;1),"DOCUMENTO DUPLICADO",IF(AND(B68="DNI",C68&lt;&gt;"",LEN(C68&amp;"")&lt;&gt;8),"DNI debe tener 8 dígitos",IF(AND(B68="RUC",C68&lt;&gt;"",LEN(C68&amp;"")&lt;&gt;11),"RUC debe tener 11 dígitos",IF(AND(N68&lt;&gt;"",SUMPRODUCT(--($N$5:$N$549=N68))&gt;1),"CÓDIGO INTERNO DUPLICADO","OK"))))))</f>
        <v/>
      </c>
      <c r="B68" s="17" t="inlineStr">
        <is>
          <t>DNI</t>
        </is>
      </c>
      <c r="C68" s="23" t="inlineStr">
        <is>
          <t>44556460</t>
        </is>
      </c>
      <c r="D68" s="17" t="n"/>
      <c r="E68" s="1" t="inlineStr">
        <is>
          <t>JUNIOR ESTIGUAR</t>
        </is>
      </c>
      <c r="F68" s="1" t="inlineStr">
        <is>
          <t>SANCHEZ</t>
        </is>
      </c>
      <c r="G68" s="1" t="inlineStr">
        <is>
          <t xml:space="preserve"> DIAZ</t>
        </is>
      </c>
      <c r="H68" s="17" t="inlineStr">
        <is>
          <t>Persona Natural</t>
        </is>
      </c>
      <c r="I68" s="17" t="inlineStr">
        <is>
          <t>Cliente</t>
        </is>
      </c>
      <c r="J68" s="1" t="n"/>
      <c r="K68" s="1" t="n"/>
      <c r="L68" s="1" t="n"/>
      <c r="M68" s="1" t="n"/>
      <c r="N68" s="1" t="n"/>
      <c r="O68" s="1" t="n"/>
      <c r="P68" s="1">
        <f>IF(A68&lt;&gt;"OK","","SELECT cli_crear_clientes(p_codigo_interno =&gt; "&amp;IF(TRIM(N68&amp;"")="","NULL","'"&amp;SUBSTITUTE(TRIM(N68),"'","''")&amp;"'")&amp;", p_razon_social =&gt; "&amp;IF(TRIM(D68&amp;"")="","NULL","'"&amp;SUBSTITUTE(TRIM(D68),"'","''")&amp;"'")&amp;", p_id_tipo_cliente =&gt; "&amp;IF(TRIM(I68&amp;"")="","NULL","(SELECT lo.id FROM gen_lista_opciones lo JOIN gen_lista l ON l.id = lo.id_lista WHERE l.nombre = 'TipoCliente' AND upper(lo.nombre) = upper('"&amp;SUBSTITUTE(TRIM(I68),"'","''")&amp;"') AND lo.estado = 1 LIMIT 1)")&amp;", p_id_tipo_persona =&gt; "&amp;IF(TRIM(H68&amp;"")="","NULL","(SELECT lo.id FROM gen_lista_opciones lo JOIN gen_lista l ON l.id = lo.id_lista WHERE l.nombre = 'TipoPersona' AND upper(lo.nombre) = upper('"&amp;SUBSTITUTE(TRIM(H68),"'","''")&amp;"') AND lo.estado = 1 LIMIT 1)")&amp;", p_nombres =&gt; "&amp;IF(TRIM(E68&amp;"")="","NULL","'"&amp;SUBSTITUTE(TRIM(E68),"'","''")&amp;"'")&amp;", p_apellido_paterno =&gt; "&amp;IF(TRIM(F68&amp;"")="","NULL","'"&amp;SUBSTITUTE(TRIM(F68),"'","''")&amp;"'")&amp;", p_apellido_materno =&gt; "&amp;IF(TRIM(G68&amp;"")="","NULL","'"&amp;SUBSTITUTE(TRIM(G68),"'","''")&amp;"'")&amp;", p_id_tipo_documento =&gt; "&amp;IF(TRIM(B68&amp;"")="","NULL","(SELECT lo.id FROM gen_lista_opciones lo JOIN gen_lista l ON l.id = lo.id_lista WHERE l.nombre = 'TipoDocumento' AND upper(lo.nombre) = upper('"&amp;SUBSTITUTE(TRIM(B68),"'","''")&amp;"') AND lo.estado = 1 LIMIT 1)")&amp;", p_numero_documento =&gt; "&amp;IF(TRIM(C68&amp;"")="","NULL","'"&amp;SUBSTITUTE(TRIM(C68),"'","''")&amp;"'")&amp;", p_telefono =&gt; "&amp;IF(TRIM(L68&amp;"")="","NULL","'"&amp;SUBSTITUTE(TRIM(L68),"'","''")&amp;"'")&amp;", p_email =&gt; "&amp;IF(TRIM(M68&amp;"")="","NULL","'"&amp;SUBSTITUTE(TRIM(M68),"'","''")&amp;"'")&amp;", p_observacion =&gt; "&amp;IF(TRIM(O68&amp;"")="","NULL","'"&amp;SUBSTITUTE(TRIM(O68),"'","''")&amp;"'")&amp;", p_direccion =&gt; "&amp;IF(TRIM(J68&amp;"")="","NULL","'"&amp;SUBSTITUTE(TRIM(J68),"'","''")&amp;"'")&amp;", p_referencia =&gt; "&amp;IF(TRIM(K68&amp;"")="","NULL","'"&amp;SUBSTITUTE(TRIM(K68),"'","''")&amp;"'")&amp;") AS resultado_cliente_"&amp;ROW()&amp;";")</f>
        <v/>
      </c>
    </row>
    <row r="69" ht="15.75" customHeight="1" s="64">
      <c r="A69" s="25">
        <f>IF(AND(D69="",E69="",C69=""),"",IF(AND(D69="",E69=""),"FALTA razón social o nombres",IF(AND(C69&lt;&gt;"",SUMPRODUCT(--($C$5:$C$549=C69))&gt;1),"DOCUMENTO DUPLICADO",IF(AND(B69="DNI",C69&lt;&gt;"",LEN(C69&amp;"")&lt;&gt;8),"DNI debe tener 8 dígitos",IF(AND(B69="RUC",C69&lt;&gt;"",LEN(C69&amp;"")&lt;&gt;11),"RUC debe tener 11 dígitos",IF(AND(N69&lt;&gt;"",SUMPRODUCT(--($N$5:$N$549=N69))&gt;1),"CÓDIGO INTERNO DUPLICADO","OK"))))))</f>
        <v/>
      </c>
      <c r="B69" s="17" t="inlineStr">
        <is>
          <t>RUC</t>
        </is>
      </c>
      <c r="C69" s="26" t="inlineStr">
        <is>
          <t>10483897940</t>
        </is>
      </c>
      <c r="D69" s="26" t="inlineStr">
        <is>
          <t>ZARATE GALLARDO WILLIAM</t>
        </is>
      </c>
      <c r="E69" s="27" t="n"/>
      <c r="F69" s="27" t="n"/>
      <c r="G69" s="27" t="n"/>
      <c r="H69" s="17" t="inlineStr">
        <is>
          <t>Persona Jurídica</t>
        </is>
      </c>
      <c r="I69" s="17" t="inlineStr">
        <is>
          <t>Cliente</t>
        </is>
      </c>
      <c r="J69" s="27" t="n"/>
      <c r="K69" s="27" t="n"/>
      <c r="L69" s="43" t="n"/>
      <c r="M69" s="27" t="n"/>
      <c r="N69" s="43" t="n"/>
      <c r="O69" s="27" t="n"/>
      <c r="P69" s="44">
        <f>IF(A69&lt;&gt;"OK","","SELECT cli_crear_clientes(p_codigo_interno =&gt; "&amp;IF(TRIM(N69&amp;"")="","NULL","'"&amp;SUBSTITUTE(TRIM(N69),"'","''")&amp;"'")&amp;", p_razon_social =&gt; "&amp;IF(TRIM(D69&amp;"")="","NULL","'"&amp;SUBSTITUTE(TRIM(D69),"'","''")&amp;"'")&amp;", p_id_tipo_cliente =&gt; "&amp;IF(TRIM(I69&amp;"")="","NULL","(SELECT lo.id FROM gen_lista_opciones lo JOIN gen_lista l ON l.id = lo.id_lista WHERE l.nombre = 'TipoCliente' AND upper(lo.nombre) = upper('"&amp;SUBSTITUTE(TRIM(I69),"'","''")&amp;"') AND lo.estado = 1 LIMIT 1)")&amp;", p_id_tipo_persona =&gt; "&amp;IF(TRIM(H69&amp;"")="","NULL","(SELECT lo.id FROM gen_lista_opciones lo JOIN gen_lista l ON l.id = lo.id_lista WHERE l.nombre = 'TipoPersona' AND upper(lo.nombre) = upper('"&amp;SUBSTITUTE(TRIM(H69),"'","''")&amp;"') AND lo.estado = 1 LIMIT 1)")&amp;", p_nombres =&gt; "&amp;IF(TRIM(E69&amp;"")="","NULL","'"&amp;SUBSTITUTE(TRIM(E69),"'","''")&amp;"'")&amp;", p_apellido_paterno =&gt; "&amp;IF(TRIM(F69&amp;"")="","NULL","'"&amp;SUBSTITUTE(TRIM(F69),"'","''")&amp;"'")&amp;", p_apellido_materno =&gt; "&amp;IF(TRIM(G69&amp;"")="","NULL","'"&amp;SUBSTITUTE(TRIM(G69),"'","''")&amp;"'")&amp;", p_id_tipo_documento =&gt; "&amp;IF(TRIM(B69&amp;"")="","NULL","(SELECT lo.id FROM gen_lista_opciones lo JOIN gen_lista l ON l.id = lo.id_lista WHERE l.nombre = 'TipoDocumento' AND upper(lo.nombre) = upper('"&amp;SUBSTITUTE(TRIM(B69),"'","''")&amp;"') AND lo.estado = 1 LIMIT 1)")&amp;", p_numero_documento =&gt; "&amp;IF(TRIM(C69&amp;"")="","NULL","'"&amp;SUBSTITUTE(TRIM(C69),"'","''")&amp;"'")&amp;", p_telefono =&gt; "&amp;IF(TRIM(L69&amp;"")="","NULL","'"&amp;SUBSTITUTE(TRIM(L69),"'","''")&amp;"'")&amp;", p_email =&gt; "&amp;IF(TRIM(M69&amp;"")="","NULL","'"&amp;SUBSTITUTE(TRIM(M69),"'","''")&amp;"'")&amp;", p_observacion =&gt; "&amp;IF(TRIM(O69&amp;"")="","NULL","'"&amp;SUBSTITUTE(TRIM(O69),"'","''")&amp;"'")&amp;", p_direccion =&gt; "&amp;IF(TRIM(J69&amp;"")="","NULL","'"&amp;SUBSTITUTE(TRIM(J69),"'","''")&amp;"'")&amp;", p_referencia =&gt; "&amp;IF(TRIM(K69&amp;"")="","NULL","'"&amp;SUBSTITUTE(TRIM(K69),"'","''")&amp;"'")&amp;") AS resultado_cliente_"&amp;ROW()&amp;";")</f>
        <v/>
      </c>
    </row>
    <row r="70" ht="16.5" customHeight="1" s="64">
      <c r="A70" s="25">
        <f>IF(AND(D70="",E70="",C70=""),"",IF(AND(D70="",E70=""),"FALTA razón social o nombres",IF(AND(C70&lt;&gt;"",SUMPRODUCT(--($C$5:$C$549=C70))&gt;1),"DOCUMENTO DUPLICADO",IF(AND(B70="DNI",C70&lt;&gt;"",LEN(C70&amp;"")&lt;&gt;8),"DNI debe tener 8 dígitos",IF(AND(B70="RUC",C70&lt;&gt;"",LEN(C70&amp;"")&lt;&gt;11),"RUC debe tener 11 dígitos",IF(AND(N70&lt;&gt;"",SUMPRODUCT(--($N$5:$N$549=N70))&gt;1),"CÓDIGO INTERNO DUPLICADO","OK"))))))</f>
        <v/>
      </c>
      <c r="B70" s="17" t="inlineStr">
        <is>
          <t>RUC</t>
        </is>
      </c>
      <c r="C70" s="23" t="inlineStr">
        <is>
          <t>20610651691</t>
        </is>
      </c>
      <c r="D70" s="17" t="inlineStr">
        <is>
          <t>ZONA CAR CHICLAYO S.A.C.</t>
        </is>
      </c>
      <c r="E70" s="17" t="n"/>
      <c r="F70" s="17" t="n"/>
      <c r="G70" s="17" t="n"/>
      <c r="H70" s="17" t="inlineStr">
        <is>
          <t>Persona Jurídica</t>
        </is>
      </c>
      <c r="I70" s="17" t="inlineStr">
        <is>
          <t>Cliente</t>
        </is>
      </c>
      <c r="J70" s="17" t="n"/>
      <c r="K70" s="17" t="n"/>
      <c r="L70" s="23" t="n"/>
      <c r="M70" s="17" t="n"/>
      <c r="N70" s="23" t="n"/>
      <c r="O70" s="17" t="n"/>
      <c r="P70" s="28">
        <f>IF(A70&lt;&gt;"OK","","SELECT cli_crear_clientes(p_codigo_interno =&gt; "&amp;IF(TRIM(N70&amp;"")="","NULL","'"&amp;SUBSTITUTE(TRIM(N70),"'","''")&amp;"'")&amp;", p_razon_social =&gt; "&amp;IF(TRIM(D70&amp;"")="","NULL","'"&amp;SUBSTITUTE(TRIM(D70),"'","''")&amp;"'")&amp;", p_id_tipo_cliente =&gt; "&amp;IF(TRIM(I70&amp;"")="","NULL","(SELECT lo.id FROM gen_lista_opciones lo JOIN gen_lista l ON l.id = lo.id_lista WHERE l.nombre = 'TipoCliente' AND upper(lo.nombre) = upper('"&amp;SUBSTITUTE(TRIM(I70),"'","''")&amp;"') AND lo.estado = 1 LIMIT 1)")&amp;", p_id_tipo_persona =&gt; "&amp;IF(TRIM(H70&amp;"")="","NULL","(SELECT lo.id FROM gen_lista_opciones lo JOIN gen_lista l ON l.id = lo.id_lista WHERE l.nombre = 'TipoPersona' AND upper(lo.nombre) = upper('"&amp;SUBSTITUTE(TRIM(H70),"'","''")&amp;"') AND lo.estado = 1 LIMIT 1)")&amp;", p_nombres =&gt; "&amp;IF(TRIM(E70&amp;"")="","NULL","'"&amp;SUBSTITUTE(TRIM(E70),"'","''")&amp;"'")&amp;", p_apellido_paterno =&gt; "&amp;IF(TRIM(F70&amp;"")="","NULL","'"&amp;SUBSTITUTE(TRIM(F70),"'","''")&amp;"'")&amp;", p_apellido_materno =&gt; "&amp;IF(TRIM(G70&amp;"")="","NULL","'"&amp;SUBSTITUTE(TRIM(G70),"'","''")&amp;"'")&amp;", p_id_tipo_documento =&gt; "&amp;IF(TRIM(B70&amp;"")="","NULL","(SELECT lo.id FROM gen_lista_opciones lo JOIN gen_lista l ON l.id = lo.id_lista WHERE l.nombre = 'TipoDocumento' AND upper(lo.nombre) = upper('"&amp;SUBSTITUTE(TRIM(B70),"'","''")&amp;"') AND lo.estado = 1 LIMIT 1)")&amp;", p_numero_documento =&gt; "&amp;IF(TRIM(C70&amp;"")="","NULL","'"&amp;SUBSTITUTE(TRIM(C70),"'","''")&amp;"'")&amp;", p_telefono =&gt; "&amp;IF(TRIM(L70&amp;"")="","NULL","'"&amp;SUBSTITUTE(TRIM(L70),"'","''")&amp;"'")&amp;", p_email =&gt; "&amp;IF(TRIM(M70&amp;"")="","NULL","'"&amp;SUBSTITUTE(TRIM(M70),"'","''")&amp;"'")&amp;", p_observacion =&gt; "&amp;IF(TRIM(O70&amp;"")="","NULL","'"&amp;SUBSTITUTE(TRIM(O70),"'","''")&amp;"'")&amp;", p_direccion =&gt; "&amp;IF(TRIM(J70&amp;"")="","NULL","'"&amp;SUBSTITUTE(TRIM(J70),"'","''")&amp;"'")&amp;", p_referencia =&gt; "&amp;IF(TRIM(K70&amp;"")="","NULL","'"&amp;SUBSTITUTE(TRIM(K70),"'","''")&amp;"'")&amp;") AS resultado_cliente_"&amp;ROW()&amp;";")</f>
        <v/>
      </c>
    </row>
    <row r="71" ht="15.75" customHeight="1" s="64">
      <c r="A71" s="25">
        <f>IF(AND(D71="",E71="",C71=""),"",IF(AND(D71="",E71=""),"FALTA razón social o nombres",IF(AND(C71&lt;&gt;"",SUMPRODUCT(--($C$5:$C$549=C71))&gt;1),"DOCUMENTO DUPLICADO",IF(AND(B71="DNI",C71&lt;&gt;"",LEN(C71&amp;"")&lt;&gt;8),"DNI debe tener 8 dígitos",IF(AND(B71="RUC",C71&lt;&gt;"",LEN(C71&amp;"")&lt;&gt;11),"RUC debe tener 11 dígitos",IF(AND(N71&lt;&gt;"",SUMPRODUCT(--($N$5:$N$549=N71))&gt;1),"CÓDIGO INTERNO DUPLICADO","OK"))))))</f>
        <v/>
      </c>
      <c r="B71" s="17" t="inlineStr">
        <is>
          <t>SD</t>
        </is>
      </c>
      <c r="C71" s="23" t="inlineStr">
        <is>
          <t>000002</t>
        </is>
      </c>
      <c r="D71" s="17" t="n"/>
      <c r="E71" s="17" t="inlineStr">
        <is>
          <t xml:space="preserve">JOSE </t>
        </is>
      </c>
      <c r="F71" s="17" t="inlineStr">
        <is>
          <t>CASTILLO</t>
        </is>
      </c>
      <c r="G71" s="17" t="inlineStr">
        <is>
          <t>COBEÑAS</t>
        </is>
      </c>
      <c r="H71" s="17" t="inlineStr">
        <is>
          <t>Persona Natural</t>
        </is>
      </c>
      <c r="I71" s="17" t="inlineStr">
        <is>
          <t>Cliente</t>
        </is>
      </c>
      <c r="J71" s="17" t="n"/>
      <c r="K71" s="17" t="n"/>
      <c r="L71" s="23" t="n"/>
      <c r="M71" s="17" t="n"/>
      <c r="N71" s="23" t="n"/>
      <c r="O71" s="17" t="n"/>
      <c r="P71" s="28">
        <f>IF(A71&lt;&gt;"OK","","SELECT cli_crear_clientes(p_codigo_interno =&gt; "&amp;IF(TRIM(N71&amp;"")="","NULL","'"&amp;SUBSTITUTE(TRIM(N71),"'","''")&amp;"'")&amp;", p_razon_social =&gt; "&amp;IF(TRIM(D71&amp;"")="","NULL","'"&amp;SUBSTITUTE(TRIM(D71),"'","''")&amp;"'")&amp;", p_id_tipo_cliente =&gt; "&amp;IF(TRIM(I71&amp;"")="","NULL","(SELECT lo.id FROM gen_lista_opciones lo JOIN gen_lista l ON l.id = lo.id_lista WHERE l.nombre = 'TipoCliente' AND upper(lo.nombre) = upper('"&amp;SUBSTITUTE(TRIM(I71),"'","''")&amp;"') AND lo.estado = 1 LIMIT 1)")&amp;", p_id_tipo_persona =&gt; "&amp;IF(TRIM(H71&amp;"")="","NULL","(SELECT lo.id FROM gen_lista_opciones lo JOIN gen_lista l ON l.id = lo.id_lista WHERE l.nombre = 'TipoPersona' AND upper(lo.nombre) = upper('"&amp;SUBSTITUTE(TRIM(H71),"'","''")&amp;"') AND lo.estado = 1 LIMIT 1)")&amp;", p_nombres =&gt; "&amp;IF(TRIM(E71&amp;"")="","NULL","'"&amp;SUBSTITUTE(TRIM(E71),"'","''")&amp;"'")&amp;", p_apellido_paterno =&gt; "&amp;IF(TRIM(F71&amp;"")="","NULL","'"&amp;SUBSTITUTE(TRIM(F71),"'","''")&amp;"'")&amp;", p_apellido_materno =&gt; "&amp;IF(TRIM(G71&amp;"")="","NULL","'"&amp;SUBSTITUTE(TRIM(G71),"'","''")&amp;"'")&amp;", p_id_tipo_documento =&gt; "&amp;IF(TRIM(B71&amp;"")="","NULL","(SELECT lo.id FROM gen_lista_opciones lo JOIN gen_lista l ON l.id = lo.id_lista WHERE l.nombre = 'TipoDocumento' AND upper(lo.nombre) = upper('"&amp;SUBSTITUTE(TRIM(B71),"'","''")&amp;"') AND lo.estado = 1 LIMIT 1)")&amp;", p_numero_documento =&gt; "&amp;IF(TRIM(C71&amp;"")="","NULL","'"&amp;SUBSTITUTE(TRIM(C71),"'","''")&amp;"'")&amp;", p_telefono =&gt; "&amp;IF(TRIM(L71&amp;"")="","NULL","'"&amp;SUBSTITUTE(TRIM(L71),"'","''")&amp;"'")&amp;", p_email =&gt; "&amp;IF(TRIM(M71&amp;"")="","NULL","'"&amp;SUBSTITUTE(TRIM(M71),"'","''")&amp;"'")&amp;", p_observacion =&gt; "&amp;IF(TRIM(O71&amp;"")="","NULL","'"&amp;SUBSTITUTE(TRIM(O71),"'","''")&amp;"'")&amp;", p_direccion =&gt; "&amp;IF(TRIM(J71&amp;"")="","NULL","'"&amp;SUBSTITUTE(TRIM(J71),"'","''")&amp;"'")&amp;", p_referencia =&gt; "&amp;IF(TRIM(K71&amp;"")="","NULL","'"&amp;SUBSTITUTE(TRIM(K71),"'","''")&amp;"'")&amp;") AS resultado_cliente_"&amp;ROW()&amp;";")</f>
        <v/>
      </c>
    </row>
    <row r="72" ht="15.75" customHeight="1" s="64">
      <c r="A72" s="25">
        <f>IF(AND(D72="",E72="",C72=""),"",IF(AND(D72="",E72=""),"FALTA razón social o nombres",IF(AND(C72&lt;&gt;"",SUMPRODUCT(--($C$5:$C$549=C72))&gt;1),"DOCUMENTO DUPLICADO",IF(AND(B72="DNI",C72&lt;&gt;"",LEN(C72&amp;"")&lt;&gt;8),"DNI debe tener 8 dígitos",IF(AND(B72="RUC",C72&lt;&gt;"",LEN(C72&amp;"")&lt;&gt;11),"RUC debe tener 11 dígitos",IF(AND(N72&lt;&gt;"",SUMPRODUCT(--($N$5:$N$549=N72))&gt;1),"CÓDIGO INTERNO DUPLICADO","OK"))))))</f>
        <v/>
      </c>
      <c r="B72" s="17" t="inlineStr">
        <is>
          <t>RUC</t>
        </is>
      </c>
      <c r="C72" s="23" t="inlineStr">
        <is>
          <t>10167643812</t>
        </is>
      </c>
      <c r="D72" s="17" t="inlineStr">
        <is>
          <t>CACHAY BRUNO CARLOS</t>
        </is>
      </c>
      <c r="E72" s="17" t="n"/>
      <c r="F72" s="17" t="n"/>
      <c r="G72" s="17" t="n"/>
      <c r="H72" s="17" t="inlineStr">
        <is>
          <t>Persona Jurídica</t>
        </is>
      </c>
      <c r="I72" s="17" t="inlineStr">
        <is>
          <t>Cliente</t>
        </is>
      </c>
      <c r="J72" s="31" t="n"/>
      <c r="K72" s="31" t="n"/>
      <c r="L72" s="45" t="n"/>
      <c r="M72" s="31" t="n"/>
      <c r="N72" s="45" t="n"/>
      <c r="O72" s="31" t="n"/>
      <c r="P72" s="46">
        <f>IF(A72&lt;&gt;"OK","","SELECT cli_crear_clientes(p_codigo_interno =&gt; "&amp;IF(TRIM(N72&amp;"")="","NULL","'"&amp;SUBSTITUTE(TRIM(N72),"'","''")&amp;"'")&amp;", p_razon_social =&gt; "&amp;IF(TRIM(D72&amp;"")="","NULL","'"&amp;SUBSTITUTE(TRIM(D72),"'","''")&amp;"'")&amp;", p_id_tipo_cliente =&gt; "&amp;IF(TRIM(I72&amp;"")="","NULL","(SELECT lo.id FROM gen_lista_opciones lo JOIN gen_lista l ON l.id = lo.id_lista WHERE l.nombre = 'TipoCliente' AND upper(lo.nombre) = upper('"&amp;SUBSTITUTE(TRIM(I72),"'","''")&amp;"') AND lo.estado = 1 LIMIT 1)")&amp;", p_id_tipo_persona =&gt; "&amp;IF(TRIM(H72&amp;"")="","NULL","(SELECT lo.id FROM gen_lista_opciones lo JOIN gen_lista l ON l.id = lo.id_lista WHERE l.nombre = 'TipoPersona' AND upper(lo.nombre) = upper('"&amp;SUBSTITUTE(TRIM(H72),"'","''")&amp;"') AND lo.estado = 1 LIMIT 1)")&amp;", p_nombres =&gt; "&amp;IF(TRIM(E72&amp;"")="","NULL","'"&amp;SUBSTITUTE(TRIM(E72),"'","''")&amp;"'")&amp;", p_apellido_paterno =&gt; "&amp;IF(TRIM(F72&amp;"")="","NULL","'"&amp;SUBSTITUTE(TRIM(F72),"'","''")&amp;"'")&amp;", p_apellido_materno =&gt; "&amp;IF(TRIM(G72&amp;"")="","NULL","'"&amp;SUBSTITUTE(TRIM(G72),"'","''")&amp;"'")&amp;", p_id_tipo_documento =&gt; "&amp;IF(TRIM(B72&amp;"")="","NULL","(SELECT lo.id FROM gen_lista_opciones lo JOIN gen_lista l ON l.id = lo.id_lista WHERE l.nombre = 'TipoDocumento' AND upper(lo.nombre) = upper('"&amp;SUBSTITUTE(TRIM(B72),"'","''")&amp;"') AND lo.estado = 1 LIMIT 1)")&amp;", p_numero_documento =&gt; "&amp;IF(TRIM(C72&amp;"")="","NULL","'"&amp;SUBSTITUTE(TRIM(C72),"'","''")&amp;"'")&amp;", p_telefono =&gt; "&amp;IF(TRIM(L72&amp;"")="","NULL","'"&amp;SUBSTITUTE(TRIM(L72),"'","''")&amp;"'")&amp;", p_email =&gt; "&amp;IF(TRIM(M72&amp;"")="","NULL","'"&amp;SUBSTITUTE(TRIM(M72),"'","''")&amp;"'")&amp;", p_observacion =&gt; "&amp;IF(TRIM(O72&amp;"")="","NULL","'"&amp;SUBSTITUTE(TRIM(O72),"'","''")&amp;"'")&amp;", p_direccion =&gt; "&amp;IF(TRIM(J72&amp;"")="","NULL","'"&amp;SUBSTITUTE(TRIM(J72),"'","''")&amp;"'")&amp;", p_referencia =&gt; "&amp;IF(TRIM(K72&amp;"")="","NULL","'"&amp;SUBSTITUTE(TRIM(K72),"'","''")&amp;"'")&amp;") AS resultado_cliente_"&amp;ROW()&amp;";")</f>
        <v/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64">
      <c r="A73" s="25">
        <f>IF(AND(D73="",E73="",C73=""),"",IF(AND(D73="",E73=""),"FALTA razón social o nombres",IF(AND(C73&lt;&gt;"",SUMPRODUCT(--($C$5:$C$549=C73))&gt;1),"DOCUMENTO DUPLICADO",IF(AND(B73="DNI",C73&lt;&gt;"",LEN(C73&amp;"")&lt;&gt;8),"DNI debe tener 8 dígitos",IF(AND(B73="RUC",C73&lt;&gt;"",LEN(C73&amp;"")&lt;&gt;11),"RUC debe tener 11 dígitos",IF(AND(N73&lt;&gt;"",SUMPRODUCT(--($N$5:$N$549=N73))&gt;1),"CÓDIGO INTERNO DUPLICADO","OK"))))))</f>
        <v/>
      </c>
      <c r="B73" s="17" t="inlineStr">
        <is>
          <t>SD</t>
        </is>
      </c>
      <c r="C73" s="23" t="inlineStr">
        <is>
          <t>000003</t>
        </is>
      </c>
      <c r="D73" s="17" t="n"/>
      <c r="E73" s="17" t="inlineStr">
        <is>
          <t>FERNANDO</t>
        </is>
      </c>
      <c r="F73" s="17" t="inlineStr">
        <is>
          <t>DELGADO</t>
        </is>
      </c>
      <c r="G73" s="17" t="inlineStr">
        <is>
          <t>MAZA</t>
        </is>
      </c>
      <c r="H73" s="17" t="inlineStr">
        <is>
          <t>Persona Natural</t>
        </is>
      </c>
      <c r="I73" s="17" t="inlineStr">
        <is>
          <t>Cliente</t>
        </is>
      </c>
      <c r="J73" s="31" t="n"/>
      <c r="K73" s="31" t="n"/>
      <c r="L73" s="45" t="n"/>
      <c r="M73" s="31" t="n"/>
      <c r="N73" s="45" t="n"/>
      <c r="O73" s="31" t="n"/>
      <c r="P73" s="46">
        <f>IF(A73&lt;&gt;"OK","","SELECT cli_crear_clientes(p_codigo_interno =&gt; "&amp;IF(TRIM(N73&amp;"")="","NULL","'"&amp;SUBSTITUTE(TRIM(N73),"'","''")&amp;"'")&amp;", p_razon_social =&gt; "&amp;IF(TRIM(D73&amp;"")="","NULL","'"&amp;SUBSTITUTE(TRIM(D73),"'","''")&amp;"'")&amp;", p_id_tipo_cliente =&gt; "&amp;IF(TRIM(I73&amp;"")="","NULL","(SELECT lo.id FROM gen_lista_opciones lo JOIN gen_lista l ON l.id = lo.id_lista WHERE l.nombre = 'TipoCliente' AND upper(lo.nombre) = upper('"&amp;SUBSTITUTE(TRIM(I73),"'","''")&amp;"') AND lo.estado = 1 LIMIT 1)")&amp;", p_id_tipo_persona =&gt; "&amp;IF(TRIM(H73&amp;"")="","NULL","(SELECT lo.id FROM gen_lista_opciones lo JOIN gen_lista l ON l.id = lo.id_lista WHERE l.nombre = 'TipoPersona' AND upper(lo.nombre) = upper('"&amp;SUBSTITUTE(TRIM(H73),"'","''")&amp;"') AND lo.estado = 1 LIMIT 1)")&amp;", p_nombres =&gt; "&amp;IF(TRIM(E73&amp;"")="","NULL","'"&amp;SUBSTITUTE(TRIM(E73),"'","''")&amp;"'")&amp;", p_apellido_paterno =&gt; "&amp;IF(TRIM(F73&amp;"")="","NULL","'"&amp;SUBSTITUTE(TRIM(F73),"'","''")&amp;"'")&amp;", p_apellido_materno =&gt; "&amp;IF(TRIM(G73&amp;"")="","NULL","'"&amp;SUBSTITUTE(TRIM(G73),"'","''")&amp;"'")&amp;", p_id_tipo_documento =&gt; "&amp;IF(TRIM(B73&amp;"")="","NULL","(SELECT lo.id FROM gen_lista_opciones lo JOIN gen_lista l ON l.id = lo.id_lista WHERE l.nombre = 'TipoDocumento' AND upper(lo.nombre) = upper('"&amp;SUBSTITUTE(TRIM(B73),"'","''")&amp;"') AND lo.estado = 1 LIMIT 1)")&amp;", p_numero_documento =&gt; "&amp;IF(TRIM(C73&amp;"")="","NULL","'"&amp;SUBSTITUTE(TRIM(C73),"'","''")&amp;"'")&amp;", p_telefono =&gt; "&amp;IF(TRIM(L73&amp;"")="","NULL","'"&amp;SUBSTITUTE(TRIM(L73),"'","''")&amp;"'")&amp;", p_email =&gt; "&amp;IF(TRIM(M73&amp;"")="","NULL","'"&amp;SUBSTITUTE(TRIM(M73),"'","''")&amp;"'")&amp;", p_observacion =&gt; "&amp;IF(TRIM(O73&amp;"")="","NULL","'"&amp;SUBSTITUTE(TRIM(O73),"'","''")&amp;"'")&amp;", p_direccion =&gt; "&amp;IF(TRIM(J73&amp;"")="","NULL","'"&amp;SUBSTITUTE(TRIM(J73),"'","''")&amp;"'")&amp;", p_referencia =&gt; "&amp;IF(TRIM(K73&amp;"")="","NULL","'"&amp;SUBSTITUTE(TRIM(K73),"'","''")&amp;"'")&amp;") AS resultado_cliente_"&amp;ROW()&amp;";")</f>
        <v/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64">
      <c r="A74" s="25">
        <f>IF(AND(D74="",E74="",C74=""),"",IF(AND(D74="",E74=""),"FALTA razón social o nombres",IF(AND(C74&lt;&gt;"",SUMPRODUCT(--($C$5:$C$549=C74))&gt;1),"DOCUMENTO DUPLICADO",IF(AND(B74="DNI",C74&lt;&gt;"",LEN(C74&amp;"")&lt;&gt;8),"DNI debe tener 8 dígitos",IF(AND(B74="RUC",C74&lt;&gt;"",LEN(C74&amp;"")&lt;&gt;11),"RUC debe tener 11 dígitos",IF(AND(N74&lt;&gt;"",SUMPRODUCT(--($N$5:$N$549=N74))&gt;1),"CÓDIGO INTERNO DUPLICADO","OK"))))))</f>
        <v/>
      </c>
      <c r="B74" s="17" t="inlineStr">
        <is>
          <t>RUC</t>
        </is>
      </c>
      <c r="C74" s="23" t="inlineStr">
        <is>
          <t>20607793531</t>
        </is>
      </c>
      <c r="D74" s="17" t="inlineStr">
        <is>
          <t>MECANICA ELECTRICA DEL NORTE S.A.C.</t>
        </is>
      </c>
      <c r="E74" s="17" t="n"/>
      <c r="F74" s="17" t="n"/>
      <c r="G74" s="17" t="n"/>
      <c r="H74" s="17" t="inlineStr">
        <is>
          <t>Persona Jurídica</t>
        </is>
      </c>
      <c r="I74" s="17" t="inlineStr">
        <is>
          <t>Cliente</t>
        </is>
      </c>
      <c r="J74" s="31" t="n"/>
      <c r="K74" s="31" t="n"/>
      <c r="L74" s="45" t="n"/>
      <c r="M74" s="31" t="n"/>
      <c r="N74" s="45" t="n"/>
      <c r="O74" s="31" t="n"/>
      <c r="P74" s="46">
        <f>IF(A74&lt;&gt;"OK","","SELECT cli_crear_clientes(p_codigo_interno =&gt; "&amp;IF(TRIM(N74&amp;"")="","NULL","'"&amp;SUBSTITUTE(TRIM(N74),"'","''")&amp;"'")&amp;", p_razon_social =&gt; "&amp;IF(TRIM(D74&amp;"")="","NULL","'"&amp;SUBSTITUTE(TRIM(D74),"'","''")&amp;"'")&amp;", p_id_tipo_cliente =&gt; "&amp;IF(TRIM(I74&amp;"")="","NULL","(SELECT lo.id FROM gen_lista_opciones lo JOIN gen_lista l ON l.id = lo.id_lista WHERE l.nombre = 'TipoCliente' AND upper(lo.nombre) = upper('"&amp;SUBSTITUTE(TRIM(I74),"'","''")&amp;"') AND lo.estado = 1 LIMIT 1)")&amp;", p_id_tipo_persona =&gt; "&amp;IF(TRIM(H74&amp;"")="","NULL","(SELECT lo.id FROM gen_lista_opciones lo JOIN gen_lista l ON l.id = lo.id_lista WHERE l.nombre = 'TipoPersona' AND upper(lo.nombre) = upper('"&amp;SUBSTITUTE(TRIM(H74),"'","''")&amp;"') AND lo.estado = 1 LIMIT 1)")&amp;", p_nombres =&gt; "&amp;IF(TRIM(E74&amp;"")="","NULL","'"&amp;SUBSTITUTE(TRIM(E74),"'","''")&amp;"'")&amp;", p_apellido_paterno =&gt; "&amp;IF(TRIM(F74&amp;"")="","NULL","'"&amp;SUBSTITUTE(TRIM(F74),"'","''")&amp;"'")&amp;", p_apellido_materno =&gt; "&amp;IF(TRIM(G74&amp;"")="","NULL","'"&amp;SUBSTITUTE(TRIM(G74),"'","''")&amp;"'")&amp;", p_id_tipo_documento =&gt; "&amp;IF(TRIM(B74&amp;"")="","NULL","(SELECT lo.id FROM gen_lista_opciones lo JOIN gen_lista l ON l.id = lo.id_lista WHERE l.nombre = 'TipoDocumento' AND upper(lo.nombre) = upper('"&amp;SUBSTITUTE(TRIM(B74),"'","''")&amp;"') AND lo.estado = 1 LIMIT 1)")&amp;", p_numero_documento =&gt; "&amp;IF(TRIM(C74&amp;"")="","NULL","'"&amp;SUBSTITUTE(TRIM(C74),"'","''")&amp;"'")&amp;", p_telefono =&gt; "&amp;IF(TRIM(L74&amp;"")="","NULL","'"&amp;SUBSTITUTE(TRIM(L74),"'","''")&amp;"'")&amp;", p_email =&gt; "&amp;IF(TRIM(M74&amp;"")="","NULL","'"&amp;SUBSTITUTE(TRIM(M74),"'","''")&amp;"'")&amp;", p_observacion =&gt; "&amp;IF(TRIM(O74&amp;"")="","NULL","'"&amp;SUBSTITUTE(TRIM(O74),"'","''")&amp;"'")&amp;", p_direccion =&gt; "&amp;IF(TRIM(J74&amp;"")="","NULL","'"&amp;SUBSTITUTE(TRIM(J74),"'","''")&amp;"'")&amp;", p_referencia =&gt; "&amp;IF(TRIM(K74&amp;"")="","NULL","'"&amp;SUBSTITUTE(TRIM(K74),"'","''")&amp;"'")&amp;") AS resultado_cliente_"&amp;ROW()&amp;";")</f>
        <v/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64">
      <c r="A75" s="25">
        <f>IF(AND(D75="",E75="",C75=""),"",IF(AND(D75="",E75=""),"FALTA razón social o nombres",IF(AND(C75&lt;&gt;"",SUMPRODUCT(--($C$5:$C$549=C75))&gt;1),"DOCUMENTO DUPLICADO",IF(AND(B75="DNI",C75&lt;&gt;"",LEN(C75&amp;"")&lt;&gt;8),"DNI debe tener 8 dígitos",IF(AND(B75="RUC",C75&lt;&gt;"",LEN(C75&amp;"")&lt;&gt;11),"RUC debe tener 11 dígitos",IF(AND(N75&lt;&gt;"",SUMPRODUCT(--($N$5:$N$549=N75))&gt;1),"CÓDIGO INTERNO DUPLICADO","OK"))))))</f>
        <v/>
      </c>
      <c r="B75" s="17" t="inlineStr">
        <is>
          <t>RUC</t>
        </is>
      </c>
      <c r="C75" s="23" t="inlineStr">
        <is>
          <t>20603994818</t>
        </is>
      </c>
      <c r="D75" s="17" t="inlineStr">
        <is>
          <t>VOLVO DIESEL S.A.C.</t>
        </is>
      </c>
      <c r="E75" s="17" t="n"/>
      <c r="F75" s="17" t="n"/>
      <c r="G75" s="17" t="n"/>
      <c r="H75" s="17" t="inlineStr">
        <is>
          <t>Persona Jurídica</t>
        </is>
      </c>
      <c r="I75" s="17" t="inlineStr">
        <is>
          <t>Cliente</t>
        </is>
      </c>
      <c r="J75" s="31" t="n"/>
      <c r="K75" s="31" t="n"/>
      <c r="L75" s="45" t="n"/>
      <c r="M75" s="31" t="n"/>
      <c r="N75" s="45" t="n"/>
      <c r="O75" s="31" t="n"/>
      <c r="P75" s="46">
        <f>IF(A75&lt;&gt;"OK","","SELECT cli_crear_clientes(p_codigo_interno =&gt; "&amp;IF(TRIM(N75&amp;"")="","NULL","'"&amp;SUBSTITUTE(TRIM(N75),"'","''")&amp;"'")&amp;", p_razon_social =&gt; "&amp;IF(TRIM(D75&amp;"")="","NULL","'"&amp;SUBSTITUTE(TRIM(D75),"'","''")&amp;"'")&amp;", p_id_tipo_cliente =&gt; "&amp;IF(TRIM(I75&amp;"")="","NULL","(SELECT lo.id FROM gen_lista_opciones lo JOIN gen_lista l ON l.id = lo.id_lista WHERE l.nombre = 'TipoCliente' AND upper(lo.nombre) = upper('"&amp;SUBSTITUTE(TRIM(I75),"'","''")&amp;"') AND lo.estado = 1 LIMIT 1)")&amp;", p_id_tipo_persona =&gt; "&amp;IF(TRIM(H75&amp;"")="","NULL","(SELECT lo.id FROM gen_lista_opciones lo JOIN gen_lista l ON l.id = lo.id_lista WHERE l.nombre = 'TipoPersona' AND upper(lo.nombre) = upper('"&amp;SUBSTITUTE(TRIM(H75),"'","''")&amp;"') AND lo.estado = 1 LIMIT 1)")&amp;", p_nombres =&gt; "&amp;IF(TRIM(E75&amp;"")="","NULL","'"&amp;SUBSTITUTE(TRIM(E75),"'","''")&amp;"'")&amp;", p_apellido_paterno =&gt; "&amp;IF(TRIM(F75&amp;"")="","NULL","'"&amp;SUBSTITUTE(TRIM(F75),"'","''")&amp;"'")&amp;", p_apellido_materno =&gt; "&amp;IF(TRIM(G75&amp;"")="","NULL","'"&amp;SUBSTITUTE(TRIM(G75),"'","''")&amp;"'")&amp;", p_id_tipo_documento =&gt; "&amp;IF(TRIM(B75&amp;"")="","NULL","(SELECT lo.id FROM gen_lista_opciones lo JOIN gen_lista l ON l.id = lo.id_lista WHERE l.nombre = 'TipoDocumento' AND upper(lo.nombre) = upper('"&amp;SUBSTITUTE(TRIM(B75),"'","''")&amp;"') AND lo.estado = 1 LIMIT 1)")&amp;", p_numero_documento =&gt; "&amp;IF(TRIM(C75&amp;"")="","NULL","'"&amp;SUBSTITUTE(TRIM(C75),"'","''")&amp;"'")&amp;", p_telefono =&gt; "&amp;IF(TRIM(L75&amp;"")="","NULL","'"&amp;SUBSTITUTE(TRIM(L75),"'","''")&amp;"'")&amp;", p_email =&gt; "&amp;IF(TRIM(M75&amp;"")="","NULL","'"&amp;SUBSTITUTE(TRIM(M75),"'","''")&amp;"'")&amp;", p_observacion =&gt; "&amp;IF(TRIM(O75&amp;"")="","NULL","'"&amp;SUBSTITUTE(TRIM(O75),"'","''")&amp;"'")&amp;", p_direccion =&gt; "&amp;IF(TRIM(J75&amp;"")="","NULL","'"&amp;SUBSTITUTE(TRIM(J75),"'","''")&amp;"'")&amp;", p_referencia =&gt; "&amp;IF(TRIM(K75&amp;"")="","NULL","'"&amp;SUBSTITUTE(TRIM(K75),"'","''")&amp;"'")&amp;") AS resultado_cliente_"&amp;ROW()&amp;";")</f>
        <v/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64">
      <c r="A76" s="25">
        <f>IF(AND(D76="",E76="",C76=""),"",IF(AND(D76="",E76=""),"FALTA razón social o nombres",IF(AND(C76&lt;&gt;"",SUMPRODUCT(--($C$5:$C$549=C76))&gt;1),"DOCUMENTO DUPLICADO",IF(AND(B76="DNI",C76&lt;&gt;"",LEN(C76&amp;"")&lt;&gt;8),"DNI debe tener 8 dígitos",IF(AND(B76="RUC",C76&lt;&gt;"",LEN(C76&amp;"")&lt;&gt;11),"RUC debe tener 11 dígitos",IF(AND(N76&lt;&gt;"",SUMPRODUCT(--($N$5:$N$549=N76))&gt;1),"CÓDIGO INTERNO DUPLICADO","OK"))))))</f>
        <v/>
      </c>
      <c r="B76" s="17" t="inlineStr">
        <is>
          <t>SD</t>
        </is>
      </c>
      <c r="C76" s="23" t="inlineStr">
        <is>
          <t>000004</t>
        </is>
      </c>
      <c r="D76" s="17" t="n"/>
      <c r="E76" s="17" t="inlineStr">
        <is>
          <t>HAMILTON</t>
        </is>
      </c>
      <c r="F76" s="17" t="inlineStr">
        <is>
          <t>ZUTA</t>
        </is>
      </c>
      <c r="G76" s="17" t="n"/>
      <c r="H76" s="17" t="inlineStr">
        <is>
          <t>Persona Natural</t>
        </is>
      </c>
      <c r="I76" s="17" t="inlineStr">
        <is>
          <t>Cliente</t>
        </is>
      </c>
      <c r="J76" s="31" t="n"/>
      <c r="K76" s="31" t="n"/>
      <c r="L76" s="45" t="n"/>
      <c r="M76" s="31" t="n"/>
      <c r="N76" s="45" t="n"/>
      <c r="O76" s="31" t="n"/>
      <c r="P76" s="46">
        <f>IF(A76&lt;&gt;"OK","","SELECT cli_crear_clientes(p_codigo_interno =&gt; "&amp;IF(TRIM(N76&amp;"")="","NULL","'"&amp;SUBSTITUTE(TRIM(N76),"'","''")&amp;"'")&amp;", p_razon_social =&gt; "&amp;IF(TRIM(D76&amp;"")="","NULL","'"&amp;SUBSTITUTE(TRIM(D76),"'","''")&amp;"'")&amp;", p_id_tipo_cliente =&gt; "&amp;IF(TRIM(I76&amp;"")="","NULL","(SELECT lo.id FROM gen_lista_opciones lo JOIN gen_lista l ON l.id = lo.id_lista WHERE l.nombre = 'TipoCliente' AND upper(lo.nombre) = upper('"&amp;SUBSTITUTE(TRIM(I76),"'","''")&amp;"') AND lo.estado = 1 LIMIT 1)")&amp;", p_id_tipo_persona =&gt; "&amp;IF(TRIM(H76&amp;"")="","NULL","(SELECT lo.id FROM gen_lista_opciones lo JOIN gen_lista l ON l.id = lo.id_lista WHERE l.nombre = 'TipoPersona' AND upper(lo.nombre) = upper('"&amp;SUBSTITUTE(TRIM(H76),"'","''")&amp;"') AND lo.estado = 1 LIMIT 1)")&amp;", p_nombres =&gt; "&amp;IF(TRIM(E76&amp;"")="","NULL","'"&amp;SUBSTITUTE(TRIM(E76),"'","''")&amp;"'")&amp;", p_apellido_paterno =&gt; "&amp;IF(TRIM(F76&amp;"")="","NULL","'"&amp;SUBSTITUTE(TRIM(F76),"'","''")&amp;"'")&amp;", p_apellido_materno =&gt; "&amp;IF(TRIM(G76&amp;"")="","NULL","'"&amp;SUBSTITUTE(TRIM(G76),"'","''")&amp;"'")&amp;", p_id_tipo_documento =&gt; "&amp;IF(TRIM(B76&amp;"")="","NULL","(SELECT lo.id FROM gen_lista_opciones lo JOIN gen_lista l ON l.id = lo.id_lista WHERE l.nombre = 'TipoDocumento' AND upper(lo.nombre) = upper('"&amp;SUBSTITUTE(TRIM(B76),"'","''")&amp;"') AND lo.estado = 1 LIMIT 1)")&amp;", p_numero_documento =&gt; "&amp;IF(TRIM(C76&amp;"")="","NULL","'"&amp;SUBSTITUTE(TRIM(C76),"'","''")&amp;"'")&amp;", p_telefono =&gt; "&amp;IF(TRIM(L76&amp;"")="","NULL","'"&amp;SUBSTITUTE(TRIM(L76),"'","''")&amp;"'")&amp;", p_email =&gt; "&amp;IF(TRIM(M76&amp;"")="","NULL","'"&amp;SUBSTITUTE(TRIM(M76),"'","''")&amp;"'")&amp;", p_observacion =&gt; "&amp;IF(TRIM(O76&amp;"")="","NULL","'"&amp;SUBSTITUTE(TRIM(O76),"'","''")&amp;"'")&amp;", p_direccion =&gt; "&amp;IF(TRIM(J76&amp;"")="","NULL","'"&amp;SUBSTITUTE(TRIM(J76),"'","''")&amp;"'")&amp;", p_referencia =&gt; "&amp;IF(TRIM(K76&amp;"")="","NULL","'"&amp;SUBSTITUTE(TRIM(K76),"'","''")&amp;"'")&amp;") AS resultado_cliente_"&amp;ROW()&amp;";")</f>
        <v/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64">
      <c r="A77" s="25">
        <f>IF(AND(D77="",E77="",C77=""),"",IF(AND(D77="",E77=""),"FALTA razón social o nombres",IF(AND(C77&lt;&gt;"",SUMPRODUCT(--($C$5:$C$549=C77))&gt;1),"DOCUMENTO DUPLICADO",IF(AND(B77="DNI",C77&lt;&gt;"",LEN(C77&amp;"")&lt;&gt;8),"DNI debe tener 8 dígitos",IF(AND(B77="RUC",C77&lt;&gt;"",LEN(C77&amp;"")&lt;&gt;11),"RUC debe tener 11 dígitos",IF(AND(N77&lt;&gt;"",SUMPRODUCT(--($N$5:$N$549=N77))&gt;1),"CÓDIGO INTERNO DUPLICADO","OK"))))))</f>
        <v/>
      </c>
      <c r="B77" s="17" t="inlineStr">
        <is>
          <t>SD</t>
        </is>
      </c>
      <c r="C77" s="23" t="inlineStr">
        <is>
          <t>000005</t>
        </is>
      </c>
      <c r="D77" s="17" t="n"/>
      <c r="E77" s="17" t="inlineStr">
        <is>
          <t>ELQUIN</t>
        </is>
      </c>
      <c r="F77" s="17" t="inlineStr">
        <is>
          <t>HUAMANCHUMO</t>
        </is>
      </c>
      <c r="G77" s="17" t="inlineStr">
        <is>
          <t>LLONTOP</t>
        </is>
      </c>
      <c r="H77" s="17" t="inlineStr">
        <is>
          <t>Persona Natural</t>
        </is>
      </c>
      <c r="I77" s="17" t="inlineStr">
        <is>
          <t>Cliente</t>
        </is>
      </c>
      <c r="J77" s="31" t="n"/>
      <c r="K77" s="31" t="n"/>
      <c r="L77" s="45" t="n"/>
      <c r="M77" s="31" t="n"/>
      <c r="N77" s="45" t="n"/>
      <c r="O77" s="31" t="n"/>
      <c r="P77" s="46">
        <f>IF(A77&lt;&gt;"OK","","SELECT cli_crear_clientes(p_codigo_interno =&gt; "&amp;IF(TRIM(N77&amp;"")="","NULL","'"&amp;SUBSTITUTE(TRIM(N77),"'","''")&amp;"'")&amp;", p_razon_social =&gt; "&amp;IF(TRIM(D77&amp;"")="","NULL","'"&amp;SUBSTITUTE(TRIM(D77),"'","''")&amp;"'")&amp;", p_id_tipo_cliente =&gt; "&amp;IF(TRIM(I77&amp;"")="","NULL","(SELECT lo.id FROM gen_lista_opciones lo JOIN gen_lista l ON l.id = lo.id_lista WHERE l.nombre = 'TipoCliente' AND upper(lo.nombre) = upper('"&amp;SUBSTITUTE(TRIM(I77),"'","''")&amp;"') AND lo.estado = 1 LIMIT 1)")&amp;", p_id_tipo_persona =&gt; "&amp;IF(TRIM(H77&amp;"")="","NULL","(SELECT lo.id FROM gen_lista_opciones lo JOIN gen_lista l ON l.id = lo.id_lista WHERE l.nombre = 'TipoPersona' AND upper(lo.nombre) = upper('"&amp;SUBSTITUTE(TRIM(H77),"'","''")&amp;"') AND lo.estado = 1 LIMIT 1)")&amp;", p_nombres =&gt; "&amp;IF(TRIM(E77&amp;"")="","NULL","'"&amp;SUBSTITUTE(TRIM(E77),"'","''")&amp;"'")&amp;", p_apellido_paterno =&gt; "&amp;IF(TRIM(F77&amp;"")="","NULL","'"&amp;SUBSTITUTE(TRIM(F77),"'","''")&amp;"'")&amp;", p_apellido_materno =&gt; "&amp;IF(TRIM(G77&amp;"")="","NULL","'"&amp;SUBSTITUTE(TRIM(G77),"'","''")&amp;"'")&amp;", p_id_tipo_documento =&gt; "&amp;IF(TRIM(B77&amp;"")="","NULL","(SELECT lo.id FROM gen_lista_opciones lo JOIN gen_lista l ON l.id = lo.id_lista WHERE l.nombre = 'TipoDocumento' AND upper(lo.nombre) = upper('"&amp;SUBSTITUTE(TRIM(B77),"'","''")&amp;"') AND lo.estado = 1 LIMIT 1)")&amp;", p_numero_documento =&gt; "&amp;IF(TRIM(C77&amp;"")="","NULL","'"&amp;SUBSTITUTE(TRIM(C77),"'","''")&amp;"'")&amp;", p_telefono =&gt; "&amp;IF(TRIM(L77&amp;"")="","NULL","'"&amp;SUBSTITUTE(TRIM(L77),"'","''")&amp;"'")&amp;", p_email =&gt; "&amp;IF(TRIM(M77&amp;"")="","NULL","'"&amp;SUBSTITUTE(TRIM(M77),"'","''")&amp;"'")&amp;", p_observacion =&gt; "&amp;IF(TRIM(O77&amp;"")="","NULL","'"&amp;SUBSTITUTE(TRIM(O77),"'","''")&amp;"'")&amp;", p_direccion =&gt; "&amp;IF(TRIM(J77&amp;"")="","NULL","'"&amp;SUBSTITUTE(TRIM(J77),"'","''")&amp;"'")&amp;", p_referencia =&gt; "&amp;IF(TRIM(K77&amp;"")="","NULL","'"&amp;SUBSTITUTE(TRIM(K77),"'","''")&amp;"'")&amp;") AS resultado_cliente_"&amp;ROW()&amp;";")</f>
        <v/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64">
      <c r="A78" s="25">
        <f>IF(AND(D78="",E78="",C78=""),"",IF(AND(D78="",E78=""),"FALTA razón social o nombres",IF(AND(C78&lt;&gt;"",SUMPRODUCT(--($C$5:$C$549=C78))&gt;1),"DOCUMENTO DUPLICADO",IF(AND(B78="DNI",C78&lt;&gt;"",LEN(C78&amp;"")&lt;&gt;8),"DNI debe tener 8 dígitos",IF(AND(B78="RUC",C78&lt;&gt;"",LEN(C78&amp;"")&lt;&gt;11),"RUC debe tener 11 dígitos",IF(AND(N78&lt;&gt;"",SUMPRODUCT(--($N$5:$N$549=N78))&gt;1),"CÓDIGO INTERNO DUPLICADO","OK"))))))</f>
        <v/>
      </c>
      <c r="B78" s="17" t="inlineStr">
        <is>
          <t>RUC</t>
        </is>
      </c>
      <c r="C78" s="23" t="inlineStr">
        <is>
          <t>10164621796</t>
        </is>
      </c>
      <c r="D78" s="17" t="inlineStr">
        <is>
          <t>VALERA PASAPERA CESAR ARMANDO</t>
        </is>
      </c>
      <c r="E78" s="17" t="n"/>
      <c r="F78" s="17" t="n"/>
      <c r="G78" s="17" t="n"/>
      <c r="H78" s="17" t="inlineStr">
        <is>
          <t>Persona Jurídica</t>
        </is>
      </c>
      <c r="I78" s="17" t="inlineStr">
        <is>
          <t>Cliente</t>
        </is>
      </c>
      <c r="J78" s="31" t="n"/>
      <c r="K78" s="31" t="n"/>
      <c r="L78" s="45" t="n"/>
      <c r="M78" s="31" t="n"/>
      <c r="N78" s="45" t="n"/>
      <c r="O78" s="31" t="n"/>
      <c r="P78" s="46">
        <f>IF(A78&lt;&gt;"OK","","SELECT cli_crear_clientes(p_codigo_interno =&gt; "&amp;IF(TRIM(N78&amp;"")="","NULL","'"&amp;SUBSTITUTE(TRIM(N78),"'","''")&amp;"'")&amp;", p_razon_social =&gt; "&amp;IF(TRIM(D78&amp;"")="","NULL","'"&amp;SUBSTITUTE(TRIM(D78),"'","''")&amp;"'")&amp;", p_id_tipo_cliente =&gt; "&amp;IF(TRIM(I78&amp;"")="","NULL","(SELECT lo.id FROM gen_lista_opciones lo JOIN gen_lista l ON l.id = lo.id_lista WHERE l.nombre = 'TipoCliente' AND upper(lo.nombre) = upper('"&amp;SUBSTITUTE(TRIM(I78),"'","''")&amp;"') AND lo.estado = 1 LIMIT 1)")&amp;", p_id_tipo_persona =&gt; "&amp;IF(TRIM(H78&amp;"")="","NULL","(SELECT lo.id FROM gen_lista_opciones lo JOIN gen_lista l ON l.id = lo.id_lista WHERE l.nombre = 'TipoPersona' AND upper(lo.nombre) = upper('"&amp;SUBSTITUTE(TRIM(H78),"'","''")&amp;"') AND lo.estado = 1 LIMIT 1)")&amp;", p_nombres =&gt; "&amp;IF(TRIM(E78&amp;"")="","NULL","'"&amp;SUBSTITUTE(TRIM(E78),"'","''")&amp;"'")&amp;", p_apellido_paterno =&gt; "&amp;IF(TRIM(F78&amp;"")="","NULL","'"&amp;SUBSTITUTE(TRIM(F78),"'","''")&amp;"'")&amp;", p_apellido_materno =&gt; "&amp;IF(TRIM(G78&amp;"")="","NULL","'"&amp;SUBSTITUTE(TRIM(G78),"'","''")&amp;"'")&amp;", p_id_tipo_documento =&gt; "&amp;IF(TRIM(B78&amp;"")="","NULL","(SELECT lo.id FROM gen_lista_opciones lo JOIN gen_lista l ON l.id = lo.id_lista WHERE l.nombre = 'TipoDocumento' AND upper(lo.nombre) = upper('"&amp;SUBSTITUTE(TRIM(B78),"'","''")&amp;"') AND lo.estado = 1 LIMIT 1)")&amp;", p_numero_documento =&gt; "&amp;IF(TRIM(C78&amp;"")="","NULL","'"&amp;SUBSTITUTE(TRIM(C78),"'","''")&amp;"'")&amp;", p_telefono =&gt; "&amp;IF(TRIM(L78&amp;"")="","NULL","'"&amp;SUBSTITUTE(TRIM(L78),"'","''")&amp;"'")&amp;", p_email =&gt; "&amp;IF(TRIM(M78&amp;"")="","NULL","'"&amp;SUBSTITUTE(TRIM(M78),"'","''")&amp;"'")&amp;", p_observacion =&gt; "&amp;IF(TRIM(O78&amp;"")="","NULL","'"&amp;SUBSTITUTE(TRIM(O78),"'","''")&amp;"'")&amp;", p_direccion =&gt; "&amp;IF(TRIM(J78&amp;"")="","NULL","'"&amp;SUBSTITUTE(TRIM(J78),"'","''")&amp;"'")&amp;", p_referencia =&gt; "&amp;IF(TRIM(K78&amp;"")="","NULL","'"&amp;SUBSTITUTE(TRIM(K78),"'","''")&amp;"'")&amp;") AS resultado_cliente_"&amp;ROW()&amp;";")</f>
        <v/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64">
      <c r="A79" s="25">
        <f>IF(AND(D79="",E79="",C79=""),"",IF(AND(D79="",E79=""),"FALTA razón social o nombres",IF(AND(C79&lt;&gt;"",SUMPRODUCT(--($C$5:$C$549=C79))&gt;1),"DOCUMENTO DUPLICADO",IF(AND(B79="DNI",C79&lt;&gt;"",LEN(C79&amp;"")&lt;&gt;8),"DNI debe tener 8 dígitos",IF(AND(B79="RUC",C79&lt;&gt;"",LEN(C79&amp;"")&lt;&gt;11),"RUC debe tener 11 dígitos",IF(AND(N79&lt;&gt;"",SUMPRODUCT(--($N$5:$N$549=N79))&gt;1),"CÓDIGO INTERNO DUPLICADO","OK"))))))</f>
        <v/>
      </c>
      <c r="B79" s="17" t="inlineStr">
        <is>
          <t>DNI</t>
        </is>
      </c>
      <c r="C79" s="23" t="inlineStr">
        <is>
          <t>42080968</t>
        </is>
      </c>
      <c r="D79" s="17" t="n"/>
      <c r="E79" s="17" t="inlineStr">
        <is>
          <t>ORLANDO</t>
        </is>
      </c>
      <c r="F79" s="17" t="inlineStr">
        <is>
          <t>TICLIAHUANCA</t>
        </is>
      </c>
      <c r="G79" s="17" t="inlineStr">
        <is>
          <t>RAMOS</t>
        </is>
      </c>
      <c r="H79" s="17" t="inlineStr">
        <is>
          <t>Persona Natural</t>
        </is>
      </c>
      <c r="I79" s="17" t="inlineStr">
        <is>
          <t>Cliente</t>
        </is>
      </c>
      <c r="J79" s="31" t="n"/>
      <c r="K79" s="31" t="n"/>
      <c r="L79" s="45" t="n"/>
      <c r="M79" s="31" t="n"/>
      <c r="N79" s="45" t="n"/>
      <c r="O79" s="31" t="n"/>
      <c r="P79" s="46">
        <f>IF(A79&lt;&gt;"OK","","SELECT cli_crear_clientes(p_codigo_interno =&gt; "&amp;IF(TRIM(N79&amp;"")="","NULL","'"&amp;SUBSTITUTE(TRIM(N79),"'","''")&amp;"'")&amp;", p_razon_social =&gt; "&amp;IF(TRIM(D79&amp;"")="","NULL","'"&amp;SUBSTITUTE(TRIM(D79),"'","''")&amp;"'")&amp;", p_id_tipo_cliente =&gt; "&amp;IF(TRIM(I79&amp;"")="","NULL","(SELECT lo.id FROM gen_lista_opciones lo JOIN gen_lista l ON l.id = lo.id_lista WHERE l.nombre = 'TipoCliente' AND upper(lo.nombre) = upper('"&amp;SUBSTITUTE(TRIM(I79),"'","''")&amp;"') AND lo.estado = 1 LIMIT 1)")&amp;", p_id_tipo_persona =&gt; "&amp;IF(TRIM(H79&amp;"")="","NULL","(SELECT lo.id FROM gen_lista_opciones lo JOIN gen_lista l ON l.id = lo.id_lista WHERE l.nombre = 'TipoPersona' AND upper(lo.nombre) = upper('"&amp;SUBSTITUTE(TRIM(H79),"'","''")&amp;"') AND lo.estado = 1 LIMIT 1)")&amp;", p_nombres =&gt; "&amp;IF(TRIM(E79&amp;"")="","NULL","'"&amp;SUBSTITUTE(TRIM(E79),"'","''")&amp;"'")&amp;", p_apellido_paterno =&gt; "&amp;IF(TRIM(F79&amp;"")="","NULL","'"&amp;SUBSTITUTE(TRIM(F79),"'","''")&amp;"'")&amp;", p_apellido_materno =&gt; "&amp;IF(TRIM(G79&amp;"")="","NULL","'"&amp;SUBSTITUTE(TRIM(G79),"'","''")&amp;"'")&amp;", p_id_tipo_documento =&gt; "&amp;IF(TRIM(B79&amp;"")="","NULL","(SELECT lo.id FROM gen_lista_opciones lo JOIN gen_lista l ON l.id = lo.id_lista WHERE l.nombre = 'TipoDocumento' AND upper(lo.nombre) = upper('"&amp;SUBSTITUTE(TRIM(B79),"'","''")&amp;"') AND lo.estado = 1 LIMIT 1)")&amp;", p_numero_documento =&gt; "&amp;IF(TRIM(C79&amp;"")="","NULL","'"&amp;SUBSTITUTE(TRIM(C79),"'","''")&amp;"'")&amp;", p_telefono =&gt; "&amp;IF(TRIM(L79&amp;"")="","NULL","'"&amp;SUBSTITUTE(TRIM(L79),"'","''")&amp;"'")&amp;", p_email =&gt; "&amp;IF(TRIM(M79&amp;"")="","NULL","'"&amp;SUBSTITUTE(TRIM(M79),"'","''")&amp;"'")&amp;", p_observacion =&gt; "&amp;IF(TRIM(O79&amp;"")="","NULL","'"&amp;SUBSTITUTE(TRIM(O79),"'","''")&amp;"'")&amp;", p_direccion =&gt; "&amp;IF(TRIM(J79&amp;"")="","NULL","'"&amp;SUBSTITUTE(TRIM(J79),"'","''")&amp;"'")&amp;", p_referencia =&gt; "&amp;IF(TRIM(K79&amp;"")="","NULL","'"&amp;SUBSTITUTE(TRIM(K79),"'","''")&amp;"'")&amp;") AS resultado_cliente_"&amp;ROW()&amp;";")</f>
        <v/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64">
      <c r="A80" s="25">
        <f>IF(AND(D80="",E80="",C80=""),"",IF(AND(D80="",E80=""),"FALTA razón social o nombres",IF(AND(C80&lt;&gt;"",SUMPRODUCT(--($C$5:$C$549=C80))&gt;1),"DOCUMENTO DUPLICADO",IF(AND(B80="DNI",C80&lt;&gt;"",LEN(C80&amp;"")&lt;&gt;8),"DNI debe tener 8 dígitos",IF(AND(B80="RUC",C80&lt;&gt;"",LEN(C80&amp;"")&lt;&gt;11),"RUC debe tener 11 dígitos",IF(AND(N80&lt;&gt;"",SUMPRODUCT(--($N$5:$N$549=N80))&gt;1),"CÓDIGO INTERNO DUPLICADO","OK"))))))</f>
        <v/>
      </c>
      <c r="B80" s="17" t="inlineStr">
        <is>
          <t>RUC</t>
        </is>
      </c>
      <c r="C80" s="23" t="inlineStr">
        <is>
          <t>10167238195</t>
        </is>
      </c>
      <c r="D80" s="17" t="inlineStr">
        <is>
          <t>ELIAS CAPUÑAY FLOR DE MARIA</t>
        </is>
      </c>
      <c r="E80" s="17" t="n"/>
      <c r="F80" s="17" t="n"/>
      <c r="G80" s="17" t="n"/>
      <c r="H80" s="17" t="inlineStr">
        <is>
          <t>Persona Jurídica</t>
        </is>
      </c>
      <c r="I80" s="17" t="inlineStr">
        <is>
          <t>Cliente / Proveedor</t>
        </is>
      </c>
      <c r="J80" s="31" t="n"/>
      <c r="K80" s="31" t="n"/>
      <c r="L80" s="45" t="n"/>
      <c r="M80" s="31" t="n"/>
      <c r="N80" s="45" t="n"/>
      <c r="O80" s="31" t="n"/>
      <c r="P80" s="46">
        <f>IF(A80&lt;&gt;"OK","","SELECT cli_crear_clientes(p_codigo_interno =&gt; "&amp;IF(TRIM(N80&amp;"")="","NULL","'"&amp;SUBSTITUTE(TRIM(N80),"'","''")&amp;"'")&amp;", p_razon_social =&gt; "&amp;IF(TRIM(D80&amp;"")="","NULL","'"&amp;SUBSTITUTE(TRIM(D80),"'","''")&amp;"'")&amp;", p_id_tipo_cliente =&gt; "&amp;IF(TRIM(I80&amp;"")="","NULL","(SELECT lo.id FROM gen_lista_opciones lo JOIN gen_lista l ON l.id = lo.id_lista WHERE l.nombre = 'TipoCliente' AND upper(lo.nombre) = upper('"&amp;SUBSTITUTE(TRIM(I80),"'","''")&amp;"') AND lo.estado = 1 LIMIT 1)")&amp;", p_id_tipo_persona =&gt; "&amp;IF(TRIM(H80&amp;"")="","NULL","(SELECT lo.id FROM gen_lista_opciones lo JOIN gen_lista l ON l.id = lo.id_lista WHERE l.nombre = 'TipoPersona' AND upper(lo.nombre) = upper('"&amp;SUBSTITUTE(TRIM(H80),"'","''")&amp;"') AND lo.estado = 1 LIMIT 1)")&amp;", p_nombres =&gt; "&amp;IF(TRIM(E80&amp;"")="","NULL","'"&amp;SUBSTITUTE(TRIM(E80),"'","''")&amp;"'")&amp;", p_apellido_paterno =&gt; "&amp;IF(TRIM(F80&amp;"")="","NULL","'"&amp;SUBSTITUTE(TRIM(F80),"'","''")&amp;"'")&amp;", p_apellido_materno =&gt; "&amp;IF(TRIM(G80&amp;"")="","NULL","'"&amp;SUBSTITUTE(TRIM(G80),"'","''")&amp;"'")&amp;", p_id_tipo_documento =&gt; "&amp;IF(TRIM(B80&amp;"")="","NULL","(SELECT lo.id FROM gen_lista_opciones lo JOIN gen_lista l ON l.id = lo.id_lista WHERE l.nombre = 'TipoDocumento' AND upper(lo.nombre) = upper('"&amp;SUBSTITUTE(TRIM(B80),"'","''")&amp;"') AND lo.estado = 1 LIMIT 1)")&amp;", p_numero_documento =&gt; "&amp;IF(TRIM(C80&amp;"")="","NULL","'"&amp;SUBSTITUTE(TRIM(C80),"'","''")&amp;"'")&amp;", p_telefono =&gt; "&amp;IF(TRIM(L80&amp;"")="","NULL","'"&amp;SUBSTITUTE(TRIM(L80),"'","''")&amp;"'")&amp;", p_email =&gt; "&amp;IF(TRIM(M80&amp;"")="","NULL","'"&amp;SUBSTITUTE(TRIM(M80),"'","''")&amp;"'")&amp;", p_observacion =&gt; "&amp;IF(TRIM(O80&amp;"")="","NULL","'"&amp;SUBSTITUTE(TRIM(O80),"'","''")&amp;"'")&amp;", p_direccion =&gt; "&amp;IF(TRIM(J80&amp;"")="","NULL","'"&amp;SUBSTITUTE(TRIM(J80),"'","''")&amp;"'")&amp;", p_referencia =&gt; "&amp;IF(TRIM(K80&amp;"")="","NULL","'"&amp;SUBSTITUTE(TRIM(K80),"'","''")&amp;"'")&amp;") AS resultado_cliente_"&amp;ROW()&amp;";")</f>
        <v/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64">
      <c r="A81" s="25">
        <f>IF(AND(D81="",E81="",C81=""),"",IF(AND(D81="",E81=""),"FALTA razón social o nombres",IF(AND(C81&lt;&gt;"",SUMPRODUCT(--($C$5:$C$549=C81))&gt;1),"DOCUMENTO DUPLICADO",IF(AND(B81="DNI",C81&lt;&gt;"",LEN(C81&amp;"")&lt;&gt;8),"DNI debe tener 8 dígitos",IF(AND(B81="RUC",C81&lt;&gt;"",LEN(C81&amp;"")&lt;&gt;11),"RUC debe tener 11 dígitos",IF(AND(N81&lt;&gt;"",SUMPRODUCT(--($N$5:$N$549=N81))&gt;1),"CÓDIGO INTERNO DUPLICADO","OK"))))))</f>
        <v/>
      </c>
      <c r="B81" s="17" t="inlineStr">
        <is>
          <t>RUC</t>
        </is>
      </c>
      <c r="C81" s="23" t="inlineStr">
        <is>
          <t>20563657376</t>
        </is>
      </c>
      <c r="D81" s="17" t="inlineStr">
        <is>
          <t>MANSERVED DEALER S.A.C.</t>
        </is>
      </c>
      <c r="E81" s="17" t="n"/>
      <c r="F81" s="17" t="n"/>
      <c r="G81" s="17" t="n"/>
      <c r="H81" s="17" t="inlineStr">
        <is>
          <t>Persona Jurídica</t>
        </is>
      </c>
      <c r="I81" s="17" t="inlineStr">
        <is>
          <t>Cliente</t>
        </is>
      </c>
      <c r="J81" s="31" t="n"/>
      <c r="K81" s="31" t="n"/>
      <c r="L81" s="45" t="n"/>
      <c r="M81" s="31" t="n"/>
      <c r="N81" s="45" t="n"/>
      <c r="O81" s="31" t="n"/>
      <c r="P81" s="46">
        <f>IF(A81&lt;&gt;"OK","","SELECT cli_crear_clientes(p_codigo_interno =&gt; "&amp;IF(TRIM(N81&amp;"")="","NULL","'"&amp;SUBSTITUTE(TRIM(N81),"'","''")&amp;"'")&amp;", p_razon_social =&gt; "&amp;IF(TRIM(D81&amp;"")="","NULL","'"&amp;SUBSTITUTE(TRIM(D81),"'","''")&amp;"'")&amp;", p_id_tipo_cliente =&gt; "&amp;IF(TRIM(I81&amp;"")="","NULL","(SELECT lo.id FROM gen_lista_opciones lo JOIN gen_lista l ON l.id = lo.id_lista WHERE l.nombre = 'TipoCliente' AND upper(lo.nombre) = upper('"&amp;SUBSTITUTE(TRIM(I81),"'","''")&amp;"') AND lo.estado = 1 LIMIT 1)")&amp;", p_id_tipo_persona =&gt; "&amp;IF(TRIM(H81&amp;"")="","NULL","(SELECT lo.id FROM gen_lista_opciones lo JOIN gen_lista l ON l.id = lo.id_lista WHERE l.nombre = 'TipoPersona' AND upper(lo.nombre) = upper('"&amp;SUBSTITUTE(TRIM(H81),"'","''")&amp;"') AND lo.estado = 1 LIMIT 1)")&amp;", p_nombres =&gt; "&amp;IF(TRIM(E81&amp;"")="","NULL","'"&amp;SUBSTITUTE(TRIM(E81),"'","''")&amp;"'")&amp;", p_apellido_paterno =&gt; "&amp;IF(TRIM(F81&amp;"")="","NULL","'"&amp;SUBSTITUTE(TRIM(F81),"'","''")&amp;"'")&amp;", p_apellido_materno =&gt; "&amp;IF(TRIM(G81&amp;"")="","NULL","'"&amp;SUBSTITUTE(TRIM(G81),"'","''")&amp;"'")&amp;", p_id_tipo_documento =&gt; "&amp;IF(TRIM(B81&amp;"")="","NULL","(SELECT lo.id FROM gen_lista_opciones lo JOIN gen_lista l ON l.id = lo.id_lista WHERE l.nombre = 'TipoDocumento' AND upper(lo.nombre) = upper('"&amp;SUBSTITUTE(TRIM(B81),"'","''")&amp;"') AND lo.estado = 1 LIMIT 1)")&amp;", p_numero_documento =&gt; "&amp;IF(TRIM(C81&amp;"")="","NULL","'"&amp;SUBSTITUTE(TRIM(C81),"'","''")&amp;"'")&amp;", p_telefono =&gt; "&amp;IF(TRIM(L81&amp;"")="","NULL","'"&amp;SUBSTITUTE(TRIM(L81),"'","''")&amp;"'")&amp;", p_email =&gt; "&amp;IF(TRIM(M81&amp;"")="","NULL","'"&amp;SUBSTITUTE(TRIM(M81),"'","''")&amp;"'")&amp;", p_observacion =&gt; "&amp;IF(TRIM(O81&amp;"")="","NULL","'"&amp;SUBSTITUTE(TRIM(O81),"'","''")&amp;"'")&amp;", p_direccion =&gt; "&amp;IF(TRIM(J81&amp;"")="","NULL","'"&amp;SUBSTITUTE(TRIM(J81),"'","''")&amp;"'")&amp;", p_referencia =&gt; "&amp;IF(TRIM(K81&amp;"")="","NULL","'"&amp;SUBSTITUTE(TRIM(K81),"'","''")&amp;"'")&amp;") AS resultado_cliente_"&amp;ROW()&amp;";")</f>
        <v/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64">
      <c r="A82" s="25">
        <f>IF(AND(D82="",E82="",C82=""),"",IF(AND(D82="",E82=""),"FALTA razón social o nombres",IF(AND(C82&lt;&gt;"",SUMPRODUCT(--($C$5:$C$549=C82))&gt;1),"DOCUMENTO DUPLICADO",IF(AND(B82="DNI",C82&lt;&gt;"",LEN(C82&amp;"")&lt;&gt;8),"DNI debe tener 8 dígitos",IF(AND(B82="RUC",C82&lt;&gt;"",LEN(C82&amp;"")&lt;&gt;11),"RUC debe tener 11 dígitos",IF(AND(N82&lt;&gt;"",SUMPRODUCT(--($N$5:$N$549=N82))&gt;1),"CÓDIGO INTERNO DUPLICADO","OK"))))))</f>
        <v/>
      </c>
      <c r="B82" s="17" t="inlineStr">
        <is>
          <t>RUC</t>
        </is>
      </c>
      <c r="C82" s="23" t="inlineStr">
        <is>
          <t>20487607917</t>
        </is>
      </c>
      <c r="D82" s="17" t="inlineStr">
        <is>
          <t>RUEDAMAX EMPRESA INDIVIDUAL DE RESPONSABILIDAD LIMITADA</t>
        </is>
      </c>
      <c r="E82" s="17" t="n"/>
      <c r="F82" s="17" t="n"/>
      <c r="G82" s="17" t="n"/>
      <c r="H82" s="17" t="inlineStr">
        <is>
          <t>Persona Jurídica</t>
        </is>
      </c>
      <c r="I82" s="17" t="inlineStr">
        <is>
          <t>Cliente</t>
        </is>
      </c>
      <c r="J82" s="31" t="n"/>
      <c r="K82" s="31" t="n"/>
      <c r="L82" s="45" t="n"/>
      <c r="M82" s="31" t="n"/>
      <c r="N82" s="45" t="n"/>
      <c r="O82" s="31" t="n"/>
      <c r="P82" s="46">
        <f>IF(A82&lt;&gt;"OK","","SELECT cli_crear_clientes(p_codigo_interno =&gt; "&amp;IF(TRIM(N82&amp;"")="","NULL","'"&amp;SUBSTITUTE(TRIM(N82),"'","''")&amp;"'")&amp;", p_razon_social =&gt; "&amp;IF(TRIM(D82&amp;"")="","NULL","'"&amp;SUBSTITUTE(TRIM(D82),"'","''")&amp;"'")&amp;", p_id_tipo_cliente =&gt; "&amp;IF(TRIM(I82&amp;"")="","NULL","(SELECT lo.id FROM gen_lista_opciones lo JOIN gen_lista l ON l.id = lo.id_lista WHERE l.nombre = 'TipoCliente' AND upper(lo.nombre) = upper('"&amp;SUBSTITUTE(TRIM(I82),"'","''")&amp;"') AND lo.estado = 1 LIMIT 1)")&amp;", p_id_tipo_persona =&gt; "&amp;IF(TRIM(H82&amp;"")="","NULL","(SELECT lo.id FROM gen_lista_opciones lo JOIN gen_lista l ON l.id = lo.id_lista WHERE l.nombre = 'TipoPersona' AND upper(lo.nombre) = upper('"&amp;SUBSTITUTE(TRIM(H82),"'","''")&amp;"') AND lo.estado = 1 LIMIT 1)")&amp;", p_nombres =&gt; "&amp;IF(TRIM(E82&amp;"")="","NULL","'"&amp;SUBSTITUTE(TRIM(E82),"'","''")&amp;"'")&amp;", p_apellido_paterno =&gt; "&amp;IF(TRIM(F82&amp;"")="","NULL","'"&amp;SUBSTITUTE(TRIM(F82),"'","''")&amp;"'")&amp;", p_apellido_materno =&gt; "&amp;IF(TRIM(G82&amp;"")="","NULL","'"&amp;SUBSTITUTE(TRIM(G82),"'","''")&amp;"'")&amp;", p_id_tipo_documento =&gt; "&amp;IF(TRIM(B82&amp;"")="","NULL","(SELECT lo.id FROM gen_lista_opciones lo JOIN gen_lista l ON l.id = lo.id_lista WHERE l.nombre = 'TipoDocumento' AND upper(lo.nombre) = upper('"&amp;SUBSTITUTE(TRIM(B82),"'","''")&amp;"') AND lo.estado = 1 LIMIT 1)")&amp;", p_numero_documento =&gt; "&amp;IF(TRIM(C82&amp;"")="","NULL","'"&amp;SUBSTITUTE(TRIM(C82),"'","''")&amp;"'")&amp;", p_telefono =&gt; "&amp;IF(TRIM(L82&amp;"")="","NULL","'"&amp;SUBSTITUTE(TRIM(L82),"'","''")&amp;"'")&amp;", p_email =&gt; "&amp;IF(TRIM(M82&amp;"")="","NULL","'"&amp;SUBSTITUTE(TRIM(M82),"'","''")&amp;"'")&amp;", p_observacion =&gt; "&amp;IF(TRIM(O82&amp;"")="","NULL","'"&amp;SUBSTITUTE(TRIM(O82),"'","''")&amp;"'")&amp;", p_direccion =&gt; "&amp;IF(TRIM(J82&amp;"")="","NULL","'"&amp;SUBSTITUTE(TRIM(J82),"'","''")&amp;"'")&amp;", p_referencia =&gt; "&amp;IF(TRIM(K82&amp;"")="","NULL","'"&amp;SUBSTITUTE(TRIM(K82),"'","''")&amp;"'")&amp;") AS resultado_cliente_"&amp;ROW()&amp;";")</f>
        <v/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64">
      <c r="A83" s="25">
        <f>IF(AND(D83="",E83="",C83=""),"",IF(AND(D83="",E83=""),"FALTA razón social o nombres",IF(AND(C83&lt;&gt;"",SUMPRODUCT(--($C$5:$C$549=C83))&gt;1),"DOCUMENTO DUPLICADO",IF(AND(B83="DNI",C83&lt;&gt;"",LEN(C83&amp;"")&lt;&gt;8),"DNI debe tener 8 dígitos",IF(AND(B83="RUC",C83&lt;&gt;"",LEN(C83&amp;"")&lt;&gt;11),"RUC debe tener 11 dígitos",IF(AND(N83&lt;&gt;"",SUMPRODUCT(--($N$5:$N$549=N83))&gt;1),"CÓDIGO INTERNO DUPLICADO","OK"))))))</f>
        <v/>
      </c>
      <c r="B83" s="17" t="inlineStr">
        <is>
          <t>SD</t>
        </is>
      </c>
      <c r="C83" s="23" t="inlineStr">
        <is>
          <t>000006</t>
        </is>
      </c>
      <c r="D83" s="17" t="n"/>
      <c r="E83" s="17" t="inlineStr">
        <is>
          <t>BORIS</t>
        </is>
      </c>
      <c r="F83" s="17" t="n"/>
      <c r="G83" s="17" t="n"/>
      <c r="H83" s="17" t="inlineStr">
        <is>
          <t>Persona Natural</t>
        </is>
      </c>
      <c r="I83" s="17" t="inlineStr">
        <is>
          <t>Cliente</t>
        </is>
      </c>
      <c r="J83" s="31" t="n"/>
      <c r="K83" s="31" t="n"/>
      <c r="L83" s="45" t="n"/>
      <c r="M83" s="31" t="n"/>
      <c r="N83" s="45" t="n"/>
      <c r="O83" s="31" t="n"/>
      <c r="P83" s="46">
        <f>IF(A83&lt;&gt;"OK","","SELECT cli_crear_clientes(p_codigo_interno =&gt; "&amp;IF(TRIM(N83&amp;"")="","NULL","'"&amp;SUBSTITUTE(TRIM(N83),"'","''")&amp;"'")&amp;", p_razon_social =&gt; "&amp;IF(TRIM(D83&amp;"")="","NULL","'"&amp;SUBSTITUTE(TRIM(D83),"'","''")&amp;"'")&amp;", p_id_tipo_cliente =&gt; "&amp;IF(TRIM(I83&amp;"")="","NULL","(SELECT lo.id FROM gen_lista_opciones lo JOIN gen_lista l ON l.id = lo.id_lista WHERE l.nombre = 'TipoCliente' AND upper(lo.nombre) = upper('"&amp;SUBSTITUTE(TRIM(I83),"'","''")&amp;"') AND lo.estado = 1 LIMIT 1)")&amp;", p_id_tipo_persona =&gt; "&amp;IF(TRIM(H83&amp;"")="","NULL","(SELECT lo.id FROM gen_lista_opciones lo JOIN gen_lista l ON l.id = lo.id_lista WHERE l.nombre = 'TipoPersona' AND upper(lo.nombre) = upper('"&amp;SUBSTITUTE(TRIM(H83),"'","''")&amp;"') AND lo.estado = 1 LIMIT 1)")&amp;", p_nombres =&gt; "&amp;IF(TRIM(E83&amp;"")="","NULL","'"&amp;SUBSTITUTE(TRIM(E83),"'","''")&amp;"'")&amp;", p_apellido_paterno =&gt; "&amp;IF(TRIM(F83&amp;"")="","NULL","'"&amp;SUBSTITUTE(TRIM(F83),"'","''")&amp;"'")&amp;", p_apellido_materno =&gt; "&amp;IF(TRIM(G83&amp;"")="","NULL","'"&amp;SUBSTITUTE(TRIM(G83),"'","''")&amp;"'")&amp;", p_id_tipo_documento =&gt; "&amp;IF(TRIM(B83&amp;"")="","NULL","(SELECT lo.id FROM gen_lista_opciones lo JOIN gen_lista l ON l.id = lo.id_lista WHERE l.nombre = 'TipoDocumento' AND upper(lo.nombre) = upper('"&amp;SUBSTITUTE(TRIM(B83),"'","''")&amp;"') AND lo.estado = 1 LIMIT 1)")&amp;", p_numero_documento =&gt; "&amp;IF(TRIM(C83&amp;"")="","NULL","'"&amp;SUBSTITUTE(TRIM(C83),"'","''")&amp;"'")&amp;", p_telefono =&gt; "&amp;IF(TRIM(L83&amp;"")="","NULL","'"&amp;SUBSTITUTE(TRIM(L83),"'","''")&amp;"'")&amp;", p_email =&gt; "&amp;IF(TRIM(M83&amp;"")="","NULL","'"&amp;SUBSTITUTE(TRIM(M83),"'","''")&amp;"'")&amp;", p_observacion =&gt; "&amp;IF(TRIM(O83&amp;"")="","NULL","'"&amp;SUBSTITUTE(TRIM(O83),"'","''")&amp;"'")&amp;", p_direccion =&gt; "&amp;IF(TRIM(J83&amp;"")="","NULL","'"&amp;SUBSTITUTE(TRIM(J83),"'","''")&amp;"'")&amp;", p_referencia =&gt; "&amp;IF(TRIM(K83&amp;"")="","NULL","'"&amp;SUBSTITUTE(TRIM(K83),"'","''")&amp;"'")&amp;") AS resultado_cliente_"&amp;ROW()&amp;";")</f>
        <v/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64">
      <c r="A84" s="25">
        <f>IF(AND(D84="",E84="",C84=""),"",IF(AND(D84="",E84=""),"FALTA razón social o nombres",IF(AND(C84&lt;&gt;"",SUMPRODUCT(--($C$5:$C$549=C84))&gt;1),"DOCUMENTO DUPLICADO",IF(AND(B84="DNI",C84&lt;&gt;"",LEN(C84&amp;"")&lt;&gt;8),"DNI debe tener 8 dígitos",IF(AND(B84="RUC",C84&lt;&gt;"",LEN(C84&amp;"")&lt;&gt;11),"RUC debe tener 11 dígitos",IF(AND(N84&lt;&gt;"",SUMPRODUCT(--($N$5:$N$549=N84))&gt;1),"CÓDIGO INTERNO DUPLICADO","OK"))))))</f>
        <v/>
      </c>
      <c r="B84" s="17" t="inlineStr">
        <is>
          <t>SD</t>
        </is>
      </c>
      <c r="C84" s="23" t="inlineStr">
        <is>
          <t>000007</t>
        </is>
      </c>
      <c r="D84" s="17" t="inlineStr">
        <is>
          <t>CONSORCIO ROVELLA - PALORAMI</t>
        </is>
      </c>
      <c r="E84" s="17" t="n"/>
      <c r="F84" s="17" t="n"/>
      <c r="G84" s="17" t="n"/>
      <c r="H84" s="17" t="inlineStr">
        <is>
          <t>Persona Natural</t>
        </is>
      </c>
      <c r="I84" s="17" t="inlineStr">
        <is>
          <t>Cliente</t>
        </is>
      </c>
      <c r="J84" s="31" t="n"/>
      <c r="K84" s="31" t="n"/>
      <c r="L84" s="45" t="n"/>
      <c r="M84" s="31" t="n"/>
      <c r="N84" s="45" t="n"/>
      <c r="O84" s="31" t="n"/>
      <c r="P84" s="46">
        <f>IF(A84&lt;&gt;"OK","","SELECT cli_crear_clientes(p_codigo_interno =&gt; "&amp;IF(TRIM(N84&amp;"")="","NULL","'"&amp;SUBSTITUTE(TRIM(N84),"'","''")&amp;"'")&amp;", p_razon_social =&gt; "&amp;IF(TRIM(D84&amp;"")="","NULL","'"&amp;SUBSTITUTE(TRIM(D84),"'","''")&amp;"'")&amp;", p_id_tipo_cliente =&gt; "&amp;IF(TRIM(I84&amp;"")="","NULL","(SELECT lo.id FROM gen_lista_opciones lo JOIN gen_lista l ON l.id = lo.id_lista WHERE l.nombre = 'TipoCliente' AND upper(lo.nombre) = upper('"&amp;SUBSTITUTE(TRIM(I84),"'","''")&amp;"') AND lo.estado = 1 LIMIT 1)")&amp;", p_id_tipo_persona =&gt; "&amp;IF(TRIM(H84&amp;"")="","NULL","(SELECT lo.id FROM gen_lista_opciones lo JOIN gen_lista l ON l.id = lo.id_lista WHERE l.nombre = 'TipoPersona' AND upper(lo.nombre) = upper('"&amp;SUBSTITUTE(TRIM(H84),"'","''")&amp;"') AND lo.estado = 1 LIMIT 1)")&amp;", p_nombres =&gt; "&amp;IF(TRIM(E84&amp;"")="","NULL","'"&amp;SUBSTITUTE(TRIM(E84),"'","''")&amp;"'")&amp;", p_apellido_paterno =&gt; "&amp;IF(TRIM(F84&amp;"")="","NULL","'"&amp;SUBSTITUTE(TRIM(F84),"'","''")&amp;"'")&amp;", p_apellido_materno =&gt; "&amp;IF(TRIM(G84&amp;"")="","NULL","'"&amp;SUBSTITUTE(TRIM(G84),"'","''")&amp;"'")&amp;", p_id_tipo_documento =&gt; "&amp;IF(TRIM(B84&amp;"")="","NULL","(SELECT lo.id FROM gen_lista_opciones lo JOIN gen_lista l ON l.id = lo.id_lista WHERE l.nombre = 'TipoDocumento' AND upper(lo.nombre) = upper('"&amp;SUBSTITUTE(TRIM(B84),"'","''")&amp;"') AND lo.estado = 1 LIMIT 1)")&amp;", p_numero_documento =&gt; "&amp;IF(TRIM(C84&amp;"")="","NULL","'"&amp;SUBSTITUTE(TRIM(C84),"'","''")&amp;"'")&amp;", p_telefono =&gt; "&amp;IF(TRIM(L84&amp;"")="","NULL","'"&amp;SUBSTITUTE(TRIM(L84),"'","''")&amp;"'")&amp;", p_email =&gt; "&amp;IF(TRIM(M84&amp;"")="","NULL","'"&amp;SUBSTITUTE(TRIM(M84),"'","''")&amp;"'")&amp;", p_observacion =&gt; "&amp;IF(TRIM(O84&amp;"")="","NULL","'"&amp;SUBSTITUTE(TRIM(O84),"'","''")&amp;"'")&amp;", p_direccion =&gt; "&amp;IF(TRIM(J84&amp;"")="","NULL","'"&amp;SUBSTITUTE(TRIM(J84),"'","''")&amp;"'")&amp;", p_referencia =&gt; "&amp;IF(TRIM(K84&amp;"")="","NULL","'"&amp;SUBSTITUTE(TRIM(K84),"'","''")&amp;"'")&amp;") AS resultado_cliente_"&amp;ROW()&amp;";")</f>
        <v/>
      </c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64">
      <c r="A85" s="25">
        <f>IF(AND(D85="",E85="",C85=""),"",IF(AND(D85="",E85=""),"FALTA razón social o nombres",IF(AND(C85&lt;&gt;"",SUMPRODUCT(--($C$5:$C$549=C85))&gt;1),"DOCUMENTO DUPLICADO",IF(AND(B85="DNI",C85&lt;&gt;"",LEN(C85&amp;"")&lt;&gt;8),"DNI debe tener 8 dígitos",IF(AND(B85="RUC",C85&lt;&gt;"",LEN(C85&amp;"")&lt;&gt;11),"RUC debe tener 11 dígitos",IF(AND(N85&lt;&gt;"",SUMPRODUCT(--($N$5:$N$549=N85))&gt;1),"CÓDIGO INTERNO DUPLICADO","OK"))))))</f>
        <v/>
      </c>
      <c r="B85" s="17" t="inlineStr">
        <is>
          <t>RUC</t>
        </is>
      </c>
      <c r="C85" s="23" t="inlineStr">
        <is>
          <t>20603674295</t>
        </is>
      </c>
      <c r="D85" s="17" t="inlineStr">
        <is>
          <t>AMS POZOS DE VIDA S.A.C.</t>
        </is>
      </c>
      <c r="E85" s="17" t="n"/>
      <c r="F85" s="17" t="n"/>
      <c r="G85" s="17" t="n"/>
      <c r="H85" s="17" t="inlineStr">
        <is>
          <t>Persona Jurídica</t>
        </is>
      </c>
      <c r="I85" s="17" t="inlineStr">
        <is>
          <t>Cliente</t>
        </is>
      </c>
      <c r="J85" s="31" t="n"/>
      <c r="K85" s="31" t="n"/>
      <c r="L85" s="45" t="n"/>
      <c r="M85" s="31" t="n"/>
      <c r="N85" s="45" t="n"/>
      <c r="O85" s="31" t="n"/>
      <c r="P85" s="46">
        <f>IF(A85&lt;&gt;"OK","","SELECT cli_crear_clientes(p_codigo_interno =&gt; "&amp;IF(TRIM(N85&amp;"")="","NULL","'"&amp;SUBSTITUTE(TRIM(N85),"'","''")&amp;"'")&amp;", p_razon_social =&gt; "&amp;IF(TRIM(D85&amp;"")="","NULL","'"&amp;SUBSTITUTE(TRIM(D85),"'","''")&amp;"'")&amp;", p_id_tipo_cliente =&gt; "&amp;IF(TRIM(I85&amp;"")="","NULL","(SELECT lo.id FROM gen_lista_opciones lo JOIN gen_lista l ON l.id = lo.id_lista WHERE l.nombre = 'TipoCliente' AND upper(lo.nombre) = upper('"&amp;SUBSTITUTE(TRIM(I85),"'","''")&amp;"') AND lo.estado = 1 LIMIT 1)")&amp;", p_id_tipo_persona =&gt; "&amp;IF(TRIM(H85&amp;"")="","NULL","(SELECT lo.id FROM gen_lista_opciones lo JOIN gen_lista l ON l.id = lo.id_lista WHERE l.nombre = 'TipoPersona' AND upper(lo.nombre) = upper('"&amp;SUBSTITUTE(TRIM(H85),"'","''")&amp;"') AND lo.estado = 1 LIMIT 1)")&amp;", p_nombres =&gt; "&amp;IF(TRIM(E85&amp;"")="","NULL","'"&amp;SUBSTITUTE(TRIM(E85),"'","''")&amp;"'")&amp;", p_apellido_paterno =&gt; "&amp;IF(TRIM(F85&amp;"")="","NULL","'"&amp;SUBSTITUTE(TRIM(F85),"'","''")&amp;"'")&amp;", p_apellido_materno =&gt; "&amp;IF(TRIM(G85&amp;"")="","NULL","'"&amp;SUBSTITUTE(TRIM(G85),"'","''")&amp;"'")&amp;", p_id_tipo_documento =&gt; "&amp;IF(TRIM(B85&amp;"")="","NULL","(SELECT lo.id FROM gen_lista_opciones lo JOIN gen_lista l ON l.id = lo.id_lista WHERE l.nombre = 'TipoDocumento' AND upper(lo.nombre) = upper('"&amp;SUBSTITUTE(TRIM(B85),"'","''")&amp;"') AND lo.estado = 1 LIMIT 1)")&amp;", p_numero_documento =&gt; "&amp;IF(TRIM(C85&amp;"")="","NULL","'"&amp;SUBSTITUTE(TRIM(C85),"'","''")&amp;"'")&amp;", p_telefono =&gt; "&amp;IF(TRIM(L85&amp;"")="","NULL","'"&amp;SUBSTITUTE(TRIM(L85),"'","''")&amp;"'")&amp;", p_email =&gt; "&amp;IF(TRIM(M85&amp;"")="","NULL","'"&amp;SUBSTITUTE(TRIM(M85),"'","''")&amp;"'")&amp;", p_observacion =&gt; "&amp;IF(TRIM(O85&amp;"")="","NULL","'"&amp;SUBSTITUTE(TRIM(O85),"'","''")&amp;"'")&amp;", p_direccion =&gt; "&amp;IF(TRIM(J85&amp;"")="","NULL","'"&amp;SUBSTITUTE(TRIM(J85),"'","''")&amp;"'")&amp;", p_referencia =&gt; "&amp;IF(TRIM(K85&amp;"")="","NULL","'"&amp;SUBSTITUTE(TRIM(K85),"'","''")&amp;"'")&amp;") AS resultado_cliente_"&amp;ROW()&amp;";")</f>
        <v/>
      </c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64">
      <c r="A86" s="25">
        <f>IF(AND(D86="",E86="",C86=""),"",IF(AND(D86="",E86=""),"FALTA razón social o nombres",IF(AND(C86&lt;&gt;"",SUMPRODUCT(--($C$5:$C$549=C86))&gt;1),"DOCUMENTO DUPLICADO",IF(AND(B86="DNI",C86&lt;&gt;"",LEN(C86&amp;"")&lt;&gt;8),"DNI debe tener 8 dígitos",IF(AND(B86="RUC",C86&lt;&gt;"",LEN(C86&amp;"")&lt;&gt;11),"RUC debe tener 11 dígitos",IF(AND(N86&lt;&gt;"",SUMPRODUCT(--($N$5:$N$549=N86))&gt;1),"CÓDIGO INTERNO DUPLICADO","OK"))))))</f>
        <v/>
      </c>
      <c r="B86" s="17" t="inlineStr">
        <is>
          <t>RUC</t>
        </is>
      </c>
      <c r="C86" s="23" t="inlineStr">
        <is>
          <t>20600279735</t>
        </is>
      </c>
      <c r="D86" s="17" t="inlineStr">
        <is>
          <t>VEHICULOS &amp; MAQUINAS SOCIEDAD ANONIMA CERRADA</t>
        </is>
      </c>
      <c r="E86" s="17" t="n"/>
      <c r="F86" s="17" t="n"/>
      <c r="G86" s="17" t="n"/>
      <c r="H86" s="17" t="inlineStr">
        <is>
          <t>Persona Jurídica</t>
        </is>
      </c>
      <c r="I86" s="17" t="inlineStr">
        <is>
          <t>Cliente</t>
        </is>
      </c>
      <c r="J86" s="31" t="n"/>
      <c r="K86" s="31" t="n"/>
      <c r="L86" s="45" t="n"/>
      <c r="M86" s="31" t="n"/>
      <c r="N86" s="45" t="n"/>
      <c r="O86" s="31" t="n"/>
      <c r="P86" s="46">
        <f>IF(A86&lt;&gt;"OK","","SELECT cli_crear_clientes(p_codigo_interno =&gt; "&amp;IF(TRIM(N86&amp;"")="","NULL","'"&amp;SUBSTITUTE(TRIM(N86),"'","''")&amp;"'")&amp;", p_razon_social =&gt; "&amp;IF(TRIM(D86&amp;"")="","NULL","'"&amp;SUBSTITUTE(TRIM(D86),"'","''")&amp;"'")&amp;", p_id_tipo_cliente =&gt; "&amp;IF(TRIM(I86&amp;"")="","NULL","(SELECT lo.id FROM gen_lista_opciones lo JOIN gen_lista l ON l.id = lo.id_lista WHERE l.nombre = 'TipoCliente' AND upper(lo.nombre) = upper('"&amp;SUBSTITUTE(TRIM(I86),"'","''")&amp;"') AND lo.estado = 1 LIMIT 1)")&amp;", p_id_tipo_persona =&gt; "&amp;IF(TRIM(H86&amp;"")="","NULL","(SELECT lo.id FROM gen_lista_opciones lo JOIN gen_lista l ON l.id = lo.id_lista WHERE l.nombre = 'TipoPersona' AND upper(lo.nombre) = upper('"&amp;SUBSTITUTE(TRIM(H86),"'","''")&amp;"') AND lo.estado = 1 LIMIT 1)")&amp;", p_nombres =&gt; "&amp;IF(TRIM(E86&amp;"")="","NULL","'"&amp;SUBSTITUTE(TRIM(E86),"'","''")&amp;"'")&amp;", p_apellido_paterno =&gt; "&amp;IF(TRIM(F86&amp;"")="","NULL","'"&amp;SUBSTITUTE(TRIM(F86),"'","''")&amp;"'")&amp;", p_apellido_materno =&gt; "&amp;IF(TRIM(G86&amp;"")="","NULL","'"&amp;SUBSTITUTE(TRIM(G86),"'","''")&amp;"'")&amp;", p_id_tipo_documento =&gt; "&amp;IF(TRIM(B86&amp;"")="","NULL","(SELECT lo.id FROM gen_lista_opciones lo JOIN gen_lista l ON l.id = lo.id_lista WHERE l.nombre = 'TipoDocumento' AND upper(lo.nombre) = upper('"&amp;SUBSTITUTE(TRIM(B86),"'","''")&amp;"') AND lo.estado = 1 LIMIT 1)")&amp;", p_numero_documento =&gt; "&amp;IF(TRIM(C86&amp;"")="","NULL","'"&amp;SUBSTITUTE(TRIM(C86),"'","''")&amp;"'")&amp;", p_telefono =&gt; "&amp;IF(TRIM(L86&amp;"")="","NULL","'"&amp;SUBSTITUTE(TRIM(L86),"'","''")&amp;"'")&amp;", p_email =&gt; "&amp;IF(TRIM(M86&amp;"")="","NULL","'"&amp;SUBSTITUTE(TRIM(M86),"'","''")&amp;"'")&amp;", p_observacion =&gt; "&amp;IF(TRIM(O86&amp;"")="","NULL","'"&amp;SUBSTITUTE(TRIM(O86),"'","''")&amp;"'")&amp;", p_direccion =&gt; "&amp;IF(TRIM(J86&amp;"")="","NULL","'"&amp;SUBSTITUTE(TRIM(J86),"'","''")&amp;"'")&amp;", p_referencia =&gt; "&amp;IF(TRIM(K86&amp;"")="","NULL","'"&amp;SUBSTITUTE(TRIM(K86),"'","''")&amp;"'")&amp;") AS resultado_cliente_"&amp;ROW()&amp;";")</f>
        <v/>
      </c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64">
      <c r="A87" s="25">
        <f>IF(AND(D87="",E87="",C87=""),"",IF(AND(D87="",E87=""),"FALTA razón social o nombres",IF(AND(C87&lt;&gt;"",SUMPRODUCT(--($C$5:$C$549=C87))&gt;1),"DOCUMENTO DUPLICADO",IF(AND(B87="DNI",C87&lt;&gt;"",LEN(C87&amp;"")&lt;&gt;8),"DNI debe tener 8 dígitos",IF(AND(B87="RUC",C87&lt;&gt;"",LEN(C87&amp;"")&lt;&gt;11),"RUC debe tener 11 dígitos",IF(AND(N87&lt;&gt;"",SUMPRODUCT(--($N$5:$N$549=N87))&gt;1),"CÓDIGO INTERNO DUPLICADO","OK"))))))</f>
        <v/>
      </c>
      <c r="B87" s="17" t="inlineStr">
        <is>
          <t>SD</t>
        </is>
      </c>
      <c r="C87" s="23" t="inlineStr">
        <is>
          <t>000008</t>
        </is>
      </c>
      <c r="D87" s="17" t="n"/>
      <c r="E87" s="17" t="inlineStr">
        <is>
          <t>DIEGO</t>
        </is>
      </c>
      <c r="F87" s="17" t="inlineStr">
        <is>
          <t>RAMIREZ</t>
        </is>
      </c>
      <c r="G87" s="17" t="n"/>
      <c r="H87" s="17" t="inlineStr">
        <is>
          <t>Persona Natural</t>
        </is>
      </c>
      <c r="I87" s="17" t="inlineStr">
        <is>
          <t>Cliente</t>
        </is>
      </c>
      <c r="J87" s="31" t="n"/>
      <c r="K87" s="31" t="n"/>
      <c r="L87" s="45" t="n"/>
      <c r="M87" s="31" t="n"/>
      <c r="N87" s="45" t="n"/>
      <c r="O87" s="31" t="n"/>
      <c r="P87" s="46">
        <f>IF(A87&lt;&gt;"OK","","SELECT cli_crear_clientes(p_codigo_interno =&gt; "&amp;IF(TRIM(N87&amp;"")="","NULL","'"&amp;SUBSTITUTE(TRIM(N87),"'","''")&amp;"'")&amp;", p_razon_social =&gt; "&amp;IF(TRIM(D87&amp;"")="","NULL","'"&amp;SUBSTITUTE(TRIM(D87),"'","''")&amp;"'")&amp;", p_id_tipo_cliente =&gt; "&amp;IF(TRIM(I87&amp;"")="","NULL","(SELECT lo.id FROM gen_lista_opciones lo JOIN gen_lista l ON l.id = lo.id_lista WHERE l.nombre = 'TipoCliente' AND upper(lo.nombre) = upper('"&amp;SUBSTITUTE(TRIM(I87),"'","''")&amp;"') AND lo.estado = 1 LIMIT 1)")&amp;", p_id_tipo_persona =&gt; "&amp;IF(TRIM(H87&amp;"")="","NULL","(SELECT lo.id FROM gen_lista_opciones lo JOIN gen_lista l ON l.id = lo.id_lista WHERE l.nombre = 'TipoPersona' AND upper(lo.nombre) = upper('"&amp;SUBSTITUTE(TRIM(H87),"'","''")&amp;"') AND lo.estado = 1 LIMIT 1)")&amp;", p_nombres =&gt; "&amp;IF(TRIM(E87&amp;"")="","NULL","'"&amp;SUBSTITUTE(TRIM(E87),"'","''")&amp;"'")&amp;", p_apellido_paterno =&gt; "&amp;IF(TRIM(F87&amp;"")="","NULL","'"&amp;SUBSTITUTE(TRIM(F87),"'","''")&amp;"'")&amp;", p_apellido_materno =&gt; "&amp;IF(TRIM(G87&amp;"")="","NULL","'"&amp;SUBSTITUTE(TRIM(G87),"'","''")&amp;"'")&amp;", p_id_tipo_documento =&gt; "&amp;IF(TRIM(B87&amp;"")="","NULL","(SELECT lo.id FROM gen_lista_opciones lo JOIN gen_lista l ON l.id = lo.id_lista WHERE l.nombre = 'TipoDocumento' AND upper(lo.nombre) = upper('"&amp;SUBSTITUTE(TRIM(B87),"'","''")&amp;"') AND lo.estado = 1 LIMIT 1)")&amp;", p_numero_documento =&gt; "&amp;IF(TRIM(C87&amp;"")="","NULL","'"&amp;SUBSTITUTE(TRIM(C87),"'","''")&amp;"'")&amp;", p_telefono =&gt; "&amp;IF(TRIM(L87&amp;"")="","NULL","'"&amp;SUBSTITUTE(TRIM(L87),"'","''")&amp;"'")&amp;", p_email =&gt; "&amp;IF(TRIM(M87&amp;"")="","NULL","'"&amp;SUBSTITUTE(TRIM(M87),"'","''")&amp;"'")&amp;", p_observacion =&gt; "&amp;IF(TRIM(O87&amp;"")="","NULL","'"&amp;SUBSTITUTE(TRIM(O87),"'","''")&amp;"'")&amp;", p_direccion =&gt; "&amp;IF(TRIM(J87&amp;"")="","NULL","'"&amp;SUBSTITUTE(TRIM(J87),"'","''")&amp;"'")&amp;", p_referencia =&gt; "&amp;IF(TRIM(K87&amp;"")="","NULL","'"&amp;SUBSTITUTE(TRIM(K87),"'","''")&amp;"'")&amp;") AS resultado_cliente_"&amp;ROW()&amp;";")</f>
        <v/>
      </c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64">
      <c r="A88" s="25">
        <f>IF(AND(D88="",E88="",C88=""),"",IF(AND(D88="",E88=""),"FALTA razón social o nombres",IF(AND(C88&lt;&gt;"",SUMPRODUCT(--($C$5:$C$549=C88))&gt;1),"DOCUMENTO DUPLICADO",IF(AND(B88="DNI",C88&lt;&gt;"",LEN(C88&amp;"")&lt;&gt;8),"DNI debe tener 8 dígitos",IF(AND(B88="RUC",C88&lt;&gt;"",LEN(C88&amp;"")&lt;&gt;11),"RUC debe tener 11 dígitos",IF(AND(N88&lt;&gt;"",SUMPRODUCT(--($N$5:$N$549=N88))&gt;1),"CÓDIGO INTERNO DUPLICADO","OK"))))))</f>
        <v/>
      </c>
      <c r="B88" s="17" t="inlineStr">
        <is>
          <t>RUC</t>
        </is>
      </c>
      <c r="C88" s="23" t="inlineStr">
        <is>
          <t>20602110771</t>
        </is>
      </c>
      <c r="D88" s="17" t="inlineStr">
        <is>
          <t>CORONADO MERINO INGENIEROS SOCIEDAD ANONIMA CERRADA - COMEING S.A.C.</t>
        </is>
      </c>
      <c r="E88" s="17" t="n"/>
      <c r="F88" s="17" t="n"/>
      <c r="G88" s="17" t="n"/>
      <c r="H88" s="17" t="inlineStr">
        <is>
          <t>Persona Jurídica</t>
        </is>
      </c>
      <c r="I88" s="17" t="inlineStr">
        <is>
          <t>Cliente</t>
        </is>
      </c>
      <c r="J88" s="31" t="n"/>
      <c r="K88" s="31" t="n"/>
      <c r="L88" s="45" t="n"/>
      <c r="M88" s="31" t="n"/>
      <c r="N88" s="45" t="n"/>
      <c r="O88" s="31" t="n"/>
      <c r="P88" s="46">
        <f>IF(A88&lt;&gt;"OK","","SELECT cli_crear_clientes(p_codigo_interno =&gt; "&amp;IF(TRIM(N88&amp;"")="","NULL","'"&amp;SUBSTITUTE(TRIM(N88),"'","''")&amp;"'")&amp;", p_razon_social =&gt; "&amp;IF(TRIM(D88&amp;"")="","NULL","'"&amp;SUBSTITUTE(TRIM(D88),"'","''")&amp;"'")&amp;", p_id_tipo_cliente =&gt; "&amp;IF(TRIM(I88&amp;"")="","NULL","(SELECT lo.id FROM gen_lista_opciones lo JOIN gen_lista l ON l.id = lo.id_lista WHERE l.nombre = 'TipoCliente' AND upper(lo.nombre) = upper('"&amp;SUBSTITUTE(TRIM(I88),"'","''")&amp;"') AND lo.estado = 1 LIMIT 1)")&amp;", p_id_tipo_persona =&gt; "&amp;IF(TRIM(H88&amp;"")="","NULL","(SELECT lo.id FROM gen_lista_opciones lo JOIN gen_lista l ON l.id = lo.id_lista WHERE l.nombre = 'TipoPersona' AND upper(lo.nombre) = upper('"&amp;SUBSTITUTE(TRIM(H88),"'","''")&amp;"') AND lo.estado = 1 LIMIT 1)")&amp;", p_nombres =&gt; "&amp;IF(TRIM(E88&amp;"")="","NULL","'"&amp;SUBSTITUTE(TRIM(E88),"'","''")&amp;"'")&amp;", p_apellido_paterno =&gt; "&amp;IF(TRIM(F88&amp;"")="","NULL","'"&amp;SUBSTITUTE(TRIM(F88),"'","''")&amp;"'")&amp;", p_apellido_materno =&gt; "&amp;IF(TRIM(G88&amp;"")="","NULL","'"&amp;SUBSTITUTE(TRIM(G88),"'","''")&amp;"'")&amp;", p_id_tipo_documento =&gt; "&amp;IF(TRIM(B88&amp;"")="","NULL","(SELECT lo.id FROM gen_lista_opciones lo JOIN gen_lista l ON l.id = lo.id_lista WHERE l.nombre = 'TipoDocumento' AND upper(lo.nombre) = upper('"&amp;SUBSTITUTE(TRIM(B88),"'","''")&amp;"') AND lo.estado = 1 LIMIT 1)")&amp;", p_numero_documento =&gt; "&amp;IF(TRIM(C88&amp;"")="","NULL","'"&amp;SUBSTITUTE(TRIM(C88),"'","''")&amp;"'")&amp;", p_telefono =&gt; "&amp;IF(TRIM(L88&amp;"")="","NULL","'"&amp;SUBSTITUTE(TRIM(L88),"'","''")&amp;"'")&amp;", p_email =&gt; "&amp;IF(TRIM(M88&amp;"")="","NULL","'"&amp;SUBSTITUTE(TRIM(M88),"'","''")&amp;"'")&amp;", p_observacion =&gt; "&amp;IF(TRIM(O88&amp;"")="","NULL","'"&amp;SUBSTITUTE(TRIM(O88),"'","''")&amp;"'")&amp;", p_direccion =&gt; "&amp;IF(TRIM(J88&amp;"")="","NULL","'"&amp;SUBSTITUTE(TRIM(J88),"'","''")&amp;"'")&amp;", p_referencia =&gt; "&amp;IF(TRIM(K88&amp;"")="","NULL","'"&amp;SUBSTITUTE(TRIM(K88),"'","''")&amp;"'")&amp;") AS resultado_cliente_"&amp;ROW()&amp;";")</f>
        <v/>
      </c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64">
      <c r="A89" s="25">
        <f>IF(AND(D89="",E89="",C89=""),"",IF(AND(D89="",E89=""),"FALTA razón social o nombres",IF(AND(C89&lt;&gt;"",SUMPRODUCT(--($C$5:$C$549=C89))&gt;1),"DOCUMENTO DUPLICADO",IF(AND(B89="DNI",C89&lt;&gt;"",LEN(C89&amp;"")&lt;&gt;8),"DNI debe tener 8 dígitos",IF(AND(B89="RUC",C89&lt;&gt;"",LEN(C89&amp;"")&lt;&gt;11),"RUC debe tener 11 dígitos",IF(AND(N89&lt;&gt;"",SUMPRODUCT(--($N$5:$N$549=N89))&gt;1),"CÓDIGO INTERNO DUPLICADO","OK"))))))</f>
        <v/>
      </c>
      <c r="B89" s="17" t="inlineStr">
        <is>
          <t>RUC</t>
        </is>
      </c>
      <c r="C89" s="23" t="inlineStr">
        <is>
          <t>20600498470</t>
        </is>
      </c>
      <c r="D89" s="17" t="inlineStr">
        <is>
          <t>FRIOSYSTEM PERU S.R.L.</t>
        </is>
      </c>
      <c r="E89" s="17" t="n"/>
      <c r="F89" s="17" t="n"/>
      <c r="G89" s="17" t="n"/>
      <c r="H89" s="17" t="inlineStr">
        <is>
          <t>Persona Jurídica</t>
        </is>
      </c>
      <c r="I89" s="17" t="inlineStr">
        <is>
          <t>Cliente</t>
        </is>
      </c>
      <c r="J89" s="31" t="n"/>
      <c r="K89" s="31" t="n"/>
      <c r="L89" s="45" t="n"/>
      <c r="M89" s="31" t="n"/>
      <c r="N89" s="45" t="n"/>
      <c r="O89" s="31" t="n"/>
      <c r="P89" s="46">
        <f>IF(A89&lt;&gt;"OK","","SELECT cli_crear_clientes(p_codigo_interno =&gt; "&amp;IF(TRIM(N89&amp;"")="","NULL","'"&amp;SUBSTITUTE(TRIM(N89),"'","''")&amp;"'")&amp;", p_razon_social =&gt; "&amp;IF(TRIM(D89&amp;"")="","NULL","'"&amp;SUBSTITUTE(TRIM(D89),"'","''")&amp;"'")&amp;", p_id_tipo_cliente =&gt; "&amp;IF(TRIM(I89&amp;"")="","NULL","(SELECT lo.id FROM gen_lista_opciones lo JOIN gen_lista l ON l.id = lo.id_lista WHERE l.nombre = 'TipoCliente' AND upper(lo.nombre) = upper('"&amp;SUBSTITUTE(TRIM(I89),"'","''")&amp;"') AND lo.estado = 1 LIMIT 1)")&amp;", p_id_tipo_persona =&gt; "&amp;IF(TRIM(H89&amp;"")="","NULL","(SELECT lo.id FROM gen_lista_opciones lo JOIN gen_lista l ON l.id = lo.id_lista WHERE l.nombre = 'TipoPersona' AND upper(lo.nombre) = upper('"&amp;SUBSTITUTE(TRIM(H89),"'","''")&amp;"') AND lo.estado = 1 LIMIT 1)")&amp;", p_nombres =&gt; "&amp;IF(TRIM(E89&amp;"")="","NULL","'"&amp;SUBSTITUTE(TRIM(E89),"'","''")&amp;"'")&amp;", p_apellido_paterno =&gt; "&amp;IF(TRIM(F89&amp;"")="","NULL","'"&amp;SUBSTITUTE(TRIM(F89),"'","''")&amp;"'")&amp;", p_apellido_materno =&gt; "&amp;IF(TRIM(G89&amp;"")="","NULL","'"&amp;SUBSTITUTE(TRIM(G89),"'","''")&amp;"'")&amp;", p_id_tipo_documento =&gt; "&amp;IF(TRIM(B89&amp;"")="","NULL","(SELECT lo.id FROM gen_lista_opciones lo JOIN gen_lista l ON l.id = lo.id_lista WHERE l.nombre = 'TipoDocumento' AND upper(lo.nombre) = upper('"&amp;SUBSTITUTE(TRIM(B89),"'","''")&amp;"') AND lo.estado = 1 LIMIT 1)")&amp;", p_numero_documento =&gt; "&amp;IF(TRIM(C89&amp;"")="","NULL","'"&amp;SUBSTITUTE(TRIM(C89),"'","''")&amp;"'")&amp;", p_telefono =&gt; "&amp;IF(TRIM(L89&amp;"")="","NULL","'"&amp;SUBSTITUTE(TRIM(L89),"'","''")&amp;"'")&amp;", p_email =&gt; "&amp;IF(TRIM(M89&amp;"")="","NULL","'"&amp;SUBSTITUTE(TRIM(M89),"'","''")&amp;"'")&amp;", p_observacion =&gt; "&amp;IF(TRIM(O89&amp;"")="","NULL","'"&amp;SUBSTITUTE(TRIM(O89),"'","''")&amp;"'")&amp;", p_direccion =&gt; "&amp;IF(TRIM(J89&amp;"")="","NULL","'"&amp;SUBSTITUTE(TRIM(J89),"'","''")&amp;"'")&amp;", p_referencia =&gt; "&amp;IF(TRIM(K89&amp;"")="","NULL","'"&amp;SUBSTITUTE(TRIM(K89),"'","''")&amp;"'")&amp;") AS resultado_cliente_"&amp;ROW()&amp;";")</f>
        <v/>
      </c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64">
      <c r="A90" s="25">
        <f>IF(AND(D90="",E90="",C90=""),"",IF(AND(D90="",E90=""),"FALTA razón social o nombres",IF(AND(C90&lt;&gt;"",SUMPRODUCT(--($C$5:$C$549=C90))&gt;1),"DOCUMENTO DUPLICADO",IF(AND(B90="DNI",C90&lt;&gt;"",LEN(C90&amp;"")&lt;&gt;8),"DNI debe tener 8 dígitos",IF(AND(B90="RUC",C90&lt;&gt;"",LEN(C90&amp;"")&lt;&gt;11),"RUC debe tener 11 dígitos",IF(AND(N90&lt;&gt;"",SUMPRODUCT(--($N$5:$N$549=N90))&gt;1),"CÓDIGO INTERNO DUPLICADO","OK"))))))</f>
        <v/>
      </c>
      <c r="B90" s="17" t="inlineStr">
        <is>
          <t>SD</t>
        </is>
      </c>
      <c r="C90" s="23" t="inlineStr">
        <is>
          <t>000009</t>
        </is>
      </c>
      <c r="D90" s="17" t="n"/>
      <c r="E90" s="17" t="inlineStr">
        <is>
          <t>JOSE FLORENTINO</t>
        </is>
      </c>
      <c r="F90" s="17" t="inlineStr">
        <is>
          <t>MORA</t>
        </is>
      </c>
      <c r="G90" s="17" t="inlineStr">
        <is>
          <t>CUEVA</t>
        </is>
      </c>
      <c r="H90" s="17" t="inlineStr">
        <is>
          <t>Persona Natural</t>
        </is>
      </c>
      <c r="I90" s="17" t="inlineStr">
        <is>
          <t>Cliente</t>
        </is>
      </c>
      <c r="J90" s="31" t="n"/>
      <c r="K90" s="31" t="n"/>
      <c r="L90" s="45" t="n"/>
      <c r="M90" s="31" t="n"/>
      <c r="N90" s="45" t="n"/>
      <c r="O90" s="31" t="n"/>
      <c r="P90" s="46">
        <f>IF(A90&lt;&gt;"OK","","SELECT cli_crear_clientes(p_codigo_interno =&gt; "&amp;IF(TRIM(N90&amp;"")="","NULL","'"&amp;SUBSTITUTE(TRIM(N90),"'","''")&amp;"'")&amp;", p_razon_social =&gt; "&amp;IF(TRIM(D90&amp;"")="","NULL","'"&amp;SUBSTITUTE(TRIM(D90),"'","''")&amp;"'")&amp;", p_id_tipo_cliente =&gt; "&amp;IF(TRIM(I90&amp;"")="","NULL","(SELECT lo.id FROM gen_lista_opciones lo JOIN gen_lista l ON l.id = lo.id_lista WHERE l.nombre = 'TipoCliente' AND upper(lo.nombre) = upper('"&amp;SUBSTITUTE(TRIM(I90),"'","''")&amp;"') AND lo.estado = 1 LIMIT 1)")&amp;", p_id_tipo_persona =&gt; "&amp;IF(TRIM(H90&amp;"")="","NULL","(SELECT lo.id FROM gen_lista_opciones lo JOIN gen_lista l ON l.id = lo.id_lista WHERE l.nombre = 'TipoPersona' AND upper(lo.nombre) = upper('"&amp;SUBSTITUTE(TRIM(H90),"'","''")&amp;"') AND lo.estado = 1 LIMIT 1)")&amp;", p_nombres =&gt; "&amp;IF(TRIM(E90&amp;"")="","NULL","'"&amp;SUBSTITUTE(TRIM(E90),"'","''")&amp;"'")&amp;", p_apellido_paterno =&gt; "&amp;IF(TRIM(F90&amp;"")="","NULL","'"&amp;SUBSTITUTE(TRIM(F90),"'","''")&amp;"'")&amp;", p_apellido_materno =&gt; "&amp;IF(TRIM(G90&amp;"")="","NULL","'"&amp;SUBSTITUTE(TRIM(G90),"'","''")&amp;"'")&amp;", p_id_tipo_documento =&gt; "&amp;IF(TRIM(B90&amp;"")="","NULL","(SELECT lo.id FROM gen_lista_opciones lo JOIN gen_lista l ON l.id = lo.id_lista WHERE l.nombre = 'TipoDocumento' AND upper(lo.nombre) = upper('"&amp;SUBSTITUTE(TRIM(B90),"'","''")&amp;"') AND lo.estado = 1 LIMIT 1)")&amp;", p_numero_documento =&gt; "&amp;IF(TRIM(C90&amp;"")="","NULL","'"&amp;SUBSTITUTE(TRIM(C90),"'","''")&amp;"'")&amp;", p_telefono =&gt; "&amp;IF(TRIM(L90&amp;"")="","NULL","'"&amp;SUBSTITUTE(TRIM(L90),"'","''")&amp;"'")&amp;", p_email =&gt; "&amp;IF(TRIM(M90&amp;"")="","NULL","'"&amp;SUBSTITUTE(TRIM(M90),"'","''")&amp;"'")&amp;", p_observacion =&gt; "&amp;IF(TRIM(O90&amp;"")="","NULL","'"&amp;SUBSTITUTE(TRIM(O90),"'","''")&amp;"'")&amp;", p_direccion =&gt; "&amp;IF(TRIM(J90&amp;"")="","NULL","'"&amp;SUBSTITUTE(TRIM(J90),"'","''")&amp;"'")&amp;", p_referencia =&gt; "&amp;IF(TRIM(K90&amp;"")="","NULL","'"&amp;SUBSTITUTE(TRIM(K90),"'","''")&amp;"'")&amp;") AS resultado_cliente_"&amp;ROW()&amp;";")</f>
        <v/>
      </c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64">
      <c r="A91" s="25">
        <f>IF(AND(D91="",E91="",C91=""),"",IF(AND(D91="",E91=""),"FALTA razón social o nombres",IF(AND(C91&lt;&gt;"",SUMPRODUCT(--($C$5:$C$549=C91))&gt;1),"DOCUMENTO DUPLICADO",IF(AND(B91="DNI",C91&lt;&gt;"",LEN(C91&amp;"")&lt;&gt;8),"DNI debe tener 8 dígitos",IF(AND(B91="RUC",C91&lt;&gt;"",LEN(C91&amp;"")&lt;&gt;11),"RUC debe tener 11 dígitos",IF(AND(N91&lt;&gt;"",SUMPRODUCT(--($N$5:$N$549=N91))&gt;1),"CÓDIGO INTERNO DUPLICADO","OK"))))))</f>
        <v/>
      </c>
      <c r="B91" s="17" t="inlineStr">
        <is>
          <t>RUC</t>
        </is>
      </c>
      <c r="C91" s="23" t="inlineStr">
        <is>
          <t>20480254806</t>
        </is>
      </c>
      <c r="D91" s="17" t="inlineStr">
        <is>
          <t>MULTISERVER CHICLAYO SAC</t>
        </is>
      </c>
      <c r="E91" s="17" t="n"/>
      <c r="F91" s="17" t="n"/>
      <c r="G91" s="17" t="n"/>
      <c r="H91" s="17" t="inlineStr">
        <is>
          <t>Persona Jurídica</t>
        </is>
      </c>
      <c r="I91" s="17" t="inlineStr">
        <is>
          <t>Cliente</t>
        </is>
      </c>
      <c r="J91" s="31" t="n"/>
      <c r="K91" s="31" t="n"/>
      <c r="L91" s="45" t="n"/>
      <c r="M91" s="31" t="n"/>
      <c r="N91" s="45" t="n"/>
      <c r="O91" s="31" t="n"/>
      <c r="P91" s="46">
        <f>IF(A91&lt;&gt;"OK","","SELECT cli_crear_clientes(p_codigo_interno =&gt; "&amp;IF(TRIM(N91&amp;"")="","NULL","'"&amp;SUBSTITUTE(TRIM(N91),"'","''")&amp;"'")&amp;", p_razon_social =&gt; "&amp;IF(TRIM(D91&amp;"")="","NULL","'"&amp;SUBSTITUTE(TRIM(D91),"'","''")&amp;"'")&amp;", p_id_tipo_cliente =&gt; "&amp;IF(TRIM(I91&amp;"")="","NULL","(SELECT lo.id FROM gen_lista_opciones lo JOIN gen_lista l ON l.id = lo.id_lista WHERE l.nombre = 'TipoCliente' AND upper(lo.nombre) = upper('"&amp;SUBSTITUTE(TRIM(I91),"'","''")&amp;"') AND lo.estado = 1 LIMIT 1)")&amp;", p_id_tipo_persona =&gt; "&amp;IF(TRIM(H91&amp;"")="","NULL","(SELECT lo.id FROM gen_lista_opciones lo JOIN gen_lista l ON l.id = lo.id_lista WHERE l.nombre = 'TipoPersona' AND upper(lo.nombre) = upper('"&amp;SUBSTITUTE(TRIM(H91),"'","''")&amp;"') AND lo.estado = 1 LIMIT 1)")&amp;", p_nombres =&gt; "&amp;IF(TRIM(E91&amp;"")="","NULL","'"&amp;SUBSTITUTE(TRIM(E91),"'","''")&amp;"'")&amp;", p_apellido_paterno =&gt; "&amp;IF(TRIM(F91&amp;"")="","NULL","'"&amp;SUBSTITUTE(TRIM(F91),"'","''")&amp;"'")&amp;", p_apellido_materno =&gt; "&amp;IF(TRIM(G91&amp;"")="","NULL","'"&amp;SUBSTITUTE(TRIM(G91),"'","''")&amp;"'")&amp;", p_id_tipo_documento =&gt; "&amp;IF(TRIM(B91&amp;"")="","NULL","(SELECT lo.id FROM gen_lista_opciones lo JOIN gen_lista l ON l.id = lo.id_lista WHERE l.nombre = 'TipoDocumento' AND upper(lo.nombre) = upper('"&amp;SUBSTITUTE(TRIM(B91),"'","''")&amp;"') AND lo.estado = 1 LIMIT 1)")&amp;", p_numero_documento =&gt; "&amp;IF(TRIM(C91&amp;"")="","NULL","'"&amp;SUBSTITUTE(TRIM(C91),"'","''")&amp;"'")&amp;", p_telefono =&gt; "&amp;IF(TRIM(L91&amp;"")="","NULL","'"&amp;SUBSTITUTE(TRIM(L91),"'","''")&amp;"'")&amp;", p_email =&gt; "&amp;IF(TRIM(M91&amp;"")="","NULL","'"&amp;SUBSTITUTE(TRIM(M91),"'","''")&amp;"'")&amp;", p_observacion =&gt; "&amp;IF(TRIM(O91&amp;"")="","NULL","'"&amp;SUBSTITUTE(TRIM(O91),"'","''")&amp;"'")&amp;", p_direccion =&gt; "&amp;IF(TRIM(J91&amp;"")="","NULL","'"&amp;SUBSTITUTE(TRIM(J91),"'","''")&amp;"'")&amp;", p_referencia =&gt; "&amp;IF(TRIM(K91&amp;"")="","NULL","'"&amp;SUBSTITUTE(TRIM(K91),"'","''")&amp;"'")&amp;") AS resultado_cliente_"&amp;ROW()&amp;";")</f>
        <v/>
      </c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64">
      <c r="A92" s="25">
        <f>IF(AND(D92="",E92="",C92=""),"",IF(AND(D92="",E92=""),"FALTA razón social o nombres",IF(AND(C92&lt;&gt;"",SUMPRODUCT(--($C$5:$C$549=C92))&gt;1),"DOCUMENTO DUPLICADO",IF(AND(B92="DNI",C92&lt;&gt;"",LEN(C92&amp;"")&lt;&gt;8),"DNI debe tener 8 dígitos",IF(AND(B92="RUC",C92&lt;&gt;"",LEN(C92&amp;"")&lt;&gt;11),"RUC debe tener 11 dígitos",IF(AND(N92&lt;&gt;"",SUMPRODUCT(--($N$5:$N$549=N92))&gt;1),"CÓDIGO INTERNO DUPLICADO","OK"))))))</f>
        <v/>
      </c>
      <c r="B92" s="17" t="inlineStr">
        <is>
          <t>DNI</t>
        </is>
      </c>
      <c r="C92" s="23" t="inlineStr">
        <is>
          <t>46095699</t>
        </is>
      </c>
      <c r="D92" s="17" t="n"/>
      <c r="E92" s="17" t="inlineStr">
        <is>
          <t>EDWIN HUMBERTO</t>
        </is>
      </c>
      <c r="F92" s="17" t="inlineStr">
        <is>
          <t>NEYRA</t>
        </is>
      </c>
      <c r="G92" s="17" t="inlineStr">
        <is>
          <t>QUINTO</t>
        </is>
      </c>
      <c r="H92" s="17" t="inlineStr">
        <is>
          <t>Persona Natural</t>
        </is>
      </c>
      <c r="I92" s="17" t="inlineStr">
        <is>
          <t>Cliente</t>
        </is>
      </c>
      <c r="J92" s="31" t="n"/>
      <c r="K92" s="31" t="n"/>
      <c r="L92" s="45" t="n"/>
      <c r="M92" s="31" t="n"/>
      <c r="N92" s="45" t="n"/>
      <c r="O92" s="31" t="n"/>
      <c r="P92" s="46">
        <f>IF(A92&lt;&gt;"OK","","SELECT cli_crear_clientes(p_codigo_interno =&gt; "&amp;IF(TRIM(N92&amp;"")="","NULL","'"&amp;SUBSTITUTE(TRIM(N92),"'","''")&amp;"'")&amp;", p_razon_social =&gt; "&amp;IF(TRIM(D92&amp;"")="","NULL","'"&amp;SUBSTITUTE(TRIM(D92),"'","''")&amp;"'")&amp;", p_id_tipo_cliente =&gt; "&amp;IF(TRIM(I92&amp;"")="","NULL","(SELECT lo.id FROM gen_lista_opciones lo JOIN gen_lista l ON l.id = lo.id_lista WHERE l.nombre = 'TipoCliente' AND upper(lo.nombre) = upper('"&amp;SUBSTITUTE(TRIM(I92),"'","''")&amp;"') AND lo.estado = 1 LIMIT 1)")&amp;", p_id_tipo_persona =&gt; "&amp;IF(TRIM(H92&amp;"")="","NULL","(SELECT lo.id FROM gen_lista_opciones lo JOIN gen_lista l ON l.id = lo.id_lista WHERE l.nombre = 'TipoPersona' AND upper(lo.nombre) = upper('"&amp;SUBSTITUTE(TRIM(H92),"'","''")&amp;"') AND lo.estado = 1 LIMIT 1)")&amp;", p_nombres =&gt; "&amp;IF(TRIM(E92&amp;"")="","NULL","'"&amp;SUBSTITUTE(TRIM(E92),"'","''")&amp;"'")&amp;", p_apellido_paterno =&gt; "&amp;IF(TRIM(F92&amp;"")="","NULL","'"&amp;SUBSTITUTE(TRIM(F92),"'","''")&amp;"'")&amp;", p_apellido_materno =&gt; "&amp;IF(TRIM(G92&amp;"")="","NULL","'"&amp;SUBSTITUTE(TRIM(G92),"'","''")&amp;"'")&amp;", p_id_tipo_documento =&gt; "&amp;IF(TRIM(B92&amp;"")="","NULL","(SELECT lo.id FROM gen_lista_opciones lo JOIN gen_lista l ON l.id = lo.id_lista WHERE l.nombre = 'TipoDocumento' AND upper(lo.nombre) = upper('"&amp;SUBSTITUTE(TRIM(B92),"'","''")&amp;"') AND lo.estado = 1 LIMIT 1)")&amp;", p_numero_documento =&gt; "&amp;IF(TRIM(C92&amp;"")="","NULL","'"&amp;SUBSTITUTE(TRIM(C92),"'","''")&amp;"'")&amp;", p_telefono =&gt; "&amp;IF(TRIM(L92&amp;"")="","NULL","'"&amp;SUBSTITUTE(TRIM(L92),"'","''")&amp;"'")&amp;", p_email =&gt; "&amp;IF(TRIM(M92&amp;"")="","NULL","'"&amp;SUBSTITUTE(TRIM(M92),"'","''")&amp;"'")&amp;", p_observacion =&gt; "&amp;IF(TRIM(O92&amp;"")="","NULL","'"&amp;SUBSTITUTE(TRIM(O92),"'","''")&amp;"'")&amp;", p_direccion =&gt; "&amp;IF(TRIM(J92&amp;"")="","NULL","'"&amp;SUBSTITUTE(TRIM(J92),"'","''")&amp;"'")&amp;", p_referencia =&gt; "&amp;IF(TRIM(K92&amp;"")="","NULL","'"&amp;SUBSTITUTE(TRIM(K92),"'","''")&amp;"'")&amp;") AS resultado_cliente_"&amp;ROW()&amp;";")</f>
        <v/>
      </c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64">
      <c r="A93" s="25">
        <f>IF(AND(D93="",E93="",C93=""),"",IF(AND(D93="",E93=""),"FALTA razón social o nombres",IF(AND(C93&lt;&gt;"",SUMPRODUCT(--($C$5:$C$549=C93))&gt;1),"DOCUMENTO DUPLICADO",IF(AND(B93="DNI",C93&lt;&gt;"",LEN(C93&amp;"")&lt;&gt;8),"DNI debe tener 8 dígitos",IF(AND(B93="RUC",C93&lt;&gt;"",LEN(C93&amp;"")&lt;&gt;11),"RUC debe tener 11 dígitos",IF(AND(N93&lt;&gt;"",SUMPRODUCT(--($N$5:$N$549=N93))&gt;1),"CÓDIGO INTERNO DUPLICADO","OK"))))))</f>
        <v/>
      </c>
      <c r="B93" s="17" t="inlineStr">
        <is>
          <t>DNI</t>
        </is>
      </c>
      <c r="C93" s="23" t="inlineStr">
        <is>
          <t>16708955</t>
        </is>
      </c>
      <c r="D93" s="17" t="n"/>
      <c r="E93" s="17" t="inlineStr">
        <is>
          <t>PEDRO MANUEL</t>
        </is>
      </c>
      <c r="F93" s="17" t="inlineStr">
        <is>
          <t>ODIAGA</t>
        </is>
      </c>
      <c r="G93" s="17" t="inlineStr">
        <is>
          <t>HUAMAN</t>
        </is>
      </c>
      <c r="H93" s="17" t="inlineStr">
        <is>
          <t>Persona Natural</t>
        </is>
      </c>
      <c r="I93" s="17" t="inlineStr">
        <is>
          <t>Cliente</t>
        </is>
      </c>
      <c r="J93" s="31" t="n"/>
      <c r="K93" s="31" t="n"/>
      <c r="L93" s="45" t="n"/>
      <c r="M93" s="31" t="n"/>
      <c r="N93" s="45" t="n"/>
      <c r="O93" s="31" t="n"/>
      <c r="P93" s="46">
        <f>IF(A93&lt;&gt;"OK","","SELECT cli_crear_clientes(p_codigo_interno =&gt; "&amp;IF(TRIM(N93&amp;"")="","NULL","'"&amp;SUBSTITUTE(TRIM(N93),"'","''")&amp;"'")&amp;", p_razon_social =&gt; "&amp;IF(TRIM(D93&amp;"")="","NULL","'"&amp;SUBSTITUTE(TRIM(D93),"'","''")&amp;"'")&amp;", p_id_tipo_cliente =&gt; "&amp;IF(TRIM(I93&amp;"")="","NULL","(SELECT lo.id FROM gen_lista_opciones lo JOIN gen_lista l ON l.id = lo.id_lista WHERE l.nombre = 'TipoCliente' AND upper(lo.nombre) = upper('"&amp;SUBSTITUTE(TRIM(I93),"'","''")&amp;"') AND lo.estado = 1 LIMIT 1)")&amp;", p_id_tipo_persona =&gt; "&amp;IF(TRIM(H93&amp;"")="","NULL","(SELECT lo.id FROM gen_lista_opciones lo JOIN gen_lista l ON l.id = lo.id_lista WHERE l.nombre = 'TipoPersona' AND upper(lo.nombre) = upper('"&amp;SUBSTITUTE(TRIM(H93),"'","''")&amp;"') AND lo.estado = 1 LIMIT 1)")&amp;", p_nombres =&gt; "&amp;IF(TRIM(E93&amp;"")="","NULL","'"&amp;SUBSTITUTE(TRIM(E93),"'","''")&amp;"'")&amp;", p_apellido_paterno =&gt; "&amp;IF(TRIM(F93&amp;"")="","NULL","'"&amp;SUBSTITUTE(TRIM(F93),"'","''")&amp;"'")&amp;", p_apellido_materno =&gt; "&amp;IF(TRIM(G93&amp;"")="","NULL","'"&amp;SUBSTITUTE(TRIM(G93),"'","''")&amp;"'")&amp;", p_id_tipo_documento =&gt; "&amp;IF(TRIM(B93&amp;"")="","NULL","(SELECT lo.id FROM gen_lista_opciones lo JOIN gen_lista l ON l.id = lo.id_lista WHERE l.nombre = 'TipoDocumento' AND upper(lo.nombre) = upper('"&amp;SUBSTITUTE(TRIM(B93),"'","''")&amp;"') AND lo.estado = 1 LIMIT 1)")&amp;", p_numero_documento =&gt; "&amp;IF(TRIM(C93&amp;"")="","NULL","'"&amp;SUBSTITUTE(TRIM(C93),"'","''")&amp;"'")&amp;", p_telefono =&gt; "&amp;IF(TRIM(L93&amp;"")="","NULL","'"&amp;SUBSTITUTE(TRIM(L93),"'","''")&amp;"'")&amp;", p_email =&gt; "&amp;IF(TRIM(M93&amp;"")="","NULL","'"&amp;SUBSTITUTE(TRIM(M93),"'","''")&amp;"'")&amp;", p_observacion =&gt; "&amp;IF(TRIM(O93&amp;"")="","NULL","'"&amp;SUBSTITUTE(TRIM(O93),"'","''")&amp;"'")&amp;", p_direccion =&gt; "&amp;IF(TRIM(J93&amp;"")="","NULL","'"&amp;SUBSTITUTE(TRIM(J93),"'","''")&amp;"'")&amp;", p_referencia =&gt; "&amp;IF(TRIM(K93&amp;"")="","NULL","'"&amp;SUBSTITUTE(TRIM(K93),"'","''")&amp;"'")&amp;") AS resultado_cliente_"&amp;ROW()&amp;";")</f>
        <v/>
      </c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64">
      <c r="A94" s="25">
        <f>IF(AND(D94="",E94="",C94=""),"",IF(AND(D94="",E94=""),"FALTA razón social o nombres",IF(AND(C94&lt;&gt;"",SUMPRODUCT(--($C$5:$C$549=C94))&gt;1),"DOCUMENTO DUPLICADO",IF(AND(B94="DNI",C94&lt;&gt;"",LEN(C94&amp;"")&lt;&gt;8),"DNI debe tener 8 dígitos",IF(AND(B94="RUC",C94&lt;&gt;"",LEN(C94&amp;"")&lt;&gt;11),"RUC debe tener 11 dígitos",IF(AND(N94&lt;&gt;"",SUMPRODUCT(--($N$5:$N$549=N94))&gt;1),"CÓDIGO INTERNO DUPLICADO","OK"))))))</f>
        <v/>
      </c>
      <c r="B94" s="17" t="inlineStr">
        <is>
          <t>RUC</t>
        </is>
      </c>
      <c r="C94" s="23" t="inlineStr">
        <is>
          <t>20487931005</t>
        </is>
      </c>
      <c r="D94" s="17" t="inlineStr">
        <is>
          <t>REFRIGERACION DEL NORTE S.R.L.</t>
        </is>
      </c>
      <c r="E94" s="17" t="n"/>
      <c r="F94" s="17" t="n"/>
      <c r="G94" s="17" t="n"/>
      <c r="H94" s="17" t="inlineStr">
        <is>
          <t>Persona Jurídica</t>
        </is>
      </c>
      <c r="I94" s="17" t="inlineStr">
        <is>
          <t>Cliente</t>
        </is>
      </c>
      <c r="J94" s="31" t="n"/>
      <c r="K94" s="31" t="n"/>
      <c r="L94" s="45" t="n"/>
      <c r="M94" s="31" t="n"/>
      <c r="N94" s="45" t="n"/>
      <c r="O94" s="31" t="n"/>
      <c r="P94" s="46">
        <f>IF(A94&lt;&gt;"OK","","SELECT cli_crear_clientes(p_codigo_interno =&gt; "&amp;IF(TRIM(N94&amp;"")="","NULL","'"&amp;SUBSTITUTE(TRIM(N94),"'","''")&amp;"'")&amp;", p_razon_social =&gt; "&amp;IF(TRIM(D94&amp;"")="","NULL","'"&amp;SUBSTITUTE(TRIM(D94),"'","''")&amp;"'")&amp;", p_id_tipo_cliente =&gt; "&amp;IF(TRIM(I94&amp;"")="","NULL","(SELECT lo.id FROM gen_lista_opciones lo JOIN gen_lista l ON l.id = lo.id_lista WHERE l.nombre = 'TipoCliente' AND upper(lo.nombre) = upper('"&amp;SUBSTITUTE(TRIM(I94),"'","''")&amp;"') AND lo.estado = 1 LIMIT 1)")&amp;", p_id_tipo_persona =&gt; "&amp;IF(TRIM(H94&amp;"")="","NULL","(SELECT lo.id FROM gen_lista_opciones lo JOIN gen_lista l ON l.id = lo.id_lista WHERE l.nombre = 'TipoPersona' AND upper(lo.nombre) = upper('"&amp;SUBSTITUTE(TRIM(H94),"'","''")&amp;"') AND lo.estado = 1 LIMIT 1)")&amp;", p_nombres =&gt; "&amp;IF(TRIM(E94&amp;"")="","NULL","'"&amp;SUBSTITUTE(TRIM(E94),"'","''")&amp;"'")&amp;", p_apellido_paterno =&gt; "&amp;IF(TRIM(F94&amp;"")="","NULL","'"&amp;SUBSTITUTE(TRIM(F94),"'","''")&amp;"'")&amp;", p_apellido_materno =&gt; "&amp;IF(TRIM(G94&amp;"")="","NULL","'"&amp;SUBSTITUTE(TRIM(G94),"'","''")&amp;"'")&amp;", p_id_tipo_documento =&gt; "&amp;IF(TRIM(B94&amp;"")="","NULL","(SELECT lo.id FROM gen_lista_opciones lo JOIN gen_lista l ON l.id = lo.id_lista WHERE l.nombre = 'TipoDocumento' AND upper(lo.nombre) = upper('"&amp;SUBSTITUTE(TRIM(B94),"'","''")&amp;"') AND lo.estado = 1 LIMIT 1)")&amp;", p_numero_documento =&gt; "&amp;IF(TRIM(C94&amp;"")="","NULL","'"&amp;SUBSTITUTE(TRIM(C94),"'","''")&amp;"'")&amp;", p_telefono =&gt; "&amp;IF(TRIM(L94&amp;"")="","NULL","'"&amp;SUBSTITUTE(TRIM(L94),"'","''")&amp;"'")&amp;", p_email =&gt; "&amp;IF(TRIM(M94&amp;"")="","NULL","'"&amp;SUBSTITUTE(TRIM(M94),"'","''")&amp;"'")&amp;", p_observacion =&gt; "&amp;IF(TRIM(O94&amp;"")="","NULL","'"&amp;SUBSTITUTE(TRIM(O94),"'","''")&amp;"'")&amp;", p_direccion =&gt; "&amp;IF(TRIM(J94&amp;"")="","NULL","'"&amp;SUBSTITUTE(TRIM(J94),"'","''")&amp;"'")&amp;", p_referencia =&gt; "&amp;IF(TRIM(K94&amp;"")="","NULL","'"&amp;SUBSTITUTE(TRIM(K94),"'","''")&amp;"'")&amp;") AS resultado_cliente_"&amp;ROW()&amp;";")</f>
        <v/>
      </c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64">
      <c r="A95" s="25">
        <f>IF(AND(D95="",E95="",C95=""),"",IF(AND(D95="",E95=""),"FALTA razón social o nombres",IF(AND(C95&lt;&gt;"",SUMPRODUCT(--($C$5:$C$549=C95))&gt;1),"DOCUMENTO DUPLICADO",IF(AND(B95="DNI",C95&lt;&gt;"",LEN(C95&amp;"")&lt;&gt;8),"DNI debe tener 8 dígitos",IF(AND(B95="RUC",C95&lt;&gt;"",LEN(C95&amp;"")&lt;&gt;11),"RUC debe tener 11 dígitos",IF(AND(N95&lt;&gt;"",SUMPRODUCT(--($N$5:$N$549=N95))&gt;1),"CÓDIGO INTERNO DUPLICADO","OK"))))))</f>
        <v/>
      </c>
      <c r="B95" s="17" t="inlineStr">
        <is>
          <t>SD</t>
        </is>
      </c>
      <c r="C95" s="23" t="inlineStr">
        <is>
          <t>000010</t>
        </is>
      </c>
      <c r="D95" s="17" t="n"/>
      <c r="E95" s="17" t="inlineStr">
        <is>
          <t>ALDANA</t>
        </is>
      </c>
      <c r="F95" s="17" t="n"/>
      <c r="G95" s="17" t="n"/>
      <c r="H95" s="17" t="inlineStr">
        <is>
          <t>Persona Natural</t>
        </is>
      </c>
      <c r="I95" s="17" t="inlineStr">
        <is>
          <t>Cliente</t>
        </is>
      </c>
      <c r="J95" s="31" t="n"/>
      <c r="K95" s="31" t="n"/>
      <c r="L95" s="45" t="n"/>
      <c r="M95" s="31" t="n"/>
      <c r="N95" s="45" t="n"/>
      <c r="O95" s="31" t="n"/>
      <c r="P95" s="46">
        <f>IF(A95&lt;&gt;"OK","","SELECT cli_crear_clientes(p_codigo_interno =&gt; "&amp;IF(TRIM(N95&amp;"")="","NULL","'"&amp;SUBSTITUTE(TRIM(N95),"'","''")&amp;"'")&amp;", p_razon_social =&gt; "&amp;IF(TRIM(D95&amp;"")="","NULL","'"&amp;SUBSTITUTE(TRIM(D95),"'","''")&amp;"'")&amp;", p_id_tipo_cliente =&gt; "&amp;IF(TRIM(I95&amp;"")="","NULL","(SELECT lo.id FROM gen_lista_opciones lo JOIN gen_lista l ON l.id = lo.id_lista WHERE l.nombre = 'TipoCliente' AND upper(lo.nombre) = upper('"&amp;SUBSTITUTE(TRIM(I95),"'","''")&amp;"') AND lo.estado = 1 LIMIT 1)")&amp;", p_id_tipo_persona =&gt; "&amp;IF(TRIM(H95&amp;"")="","NULL","(SELECT lo.id FROM gen_lista_opciones lo JOIN gen_lista l ON l.id = lo.id_lista WHERE l.nombre = 'TipoPersona' AND upper(lo.nombre) = upper('"&amp;SUBSTITUTE(TRIM(H95),"'","''")&amp;"') AND lo.estado = 1 LIMIT 1)")&amp;", p_nombres =&gt; "&amp;IF(TRIM(E95&amp;"")="","NULL","'"&amp;SUBSTITUTE(TRIM(E95),"'","''")&amp;"'")&amp;", p_apellido_paterno =&gt; "&amp;IF(TRIM(F95&amp;"")="","NULL","'"&amp;SUBSTITUTE(TRIM(F95),"'","''")&amp;"'")&amp;", p_apellido_materno =&gt; "&amp;IF(TRIM(G95&amp;"")="","NULL","'"&amp;SUBSTITUTE(TRIM(G95),"'","''")&amp;"'")&amp;", p_id_tipo_documento =&gt; "&amp;IF(TRIM(B95&amp;"")="","NULL","(SELECT lo.id FROM gen_lista_opciones lo JOIN gen_lista l ON l.id = lo.id_lista WHERE l.nombre = 'TipoDocumento' AND upper(lo.nombre) = upper('"&amp;SUBSTITUTE(TRIM(B95),"'","''")&amp;"') AND lo.estado = 1 LIMIT 1)")&amp;", p_numero_documento =&gt; "&amp;IF(TRIM(C95&amp;"")="","NULL","'"&amp;SUBSTITUTE(TRIM(C95),"'","''")&amp;"'")&amp;", p_telefono =&gt; "&amp;IF(TRIM(L95&amp;"")="","NULL","'"&amp;SUBSTITUTE(TRIM(L95),"'","''")&amp;"'")&amp;", p_email =&gt; "&amp;IF(TRIM(M95&amp;"")="","NULL","'"&amp;SUBSTITUTE(TRIM(M95),"'","''")&amp;"'")&amp;", p_observacion =&gt; "&amp;IF(TRIM(O95&amp;"")="","NULL","'"&amp;SUBSTITUTE(TRIM(O95),"'","''")&amp;"'")&amp;", p_direccion =&gt; "&amp;IF(TRIM(J95&amp;"")="","NULL","'"&amp;SUBSTITUTE(TRIM(J95),"'","''")&amp;"'")&amp;", p_referencia =&gt; "&amp;IF(TRIM(K95&amp;"")="","NULL","'"&amp;SUBSTITUTE(TRIM(K95),"'","''")&amp;"'")&amp;") AS resultado_cliente_"&amp;ROW()&amp;";")</f>
        <v/>
      </c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64">
      <c r="A96" s="25">
        <f>IF(AND(D96="",E96="",C96=""),"",IF(AND(D96="",E96=""),"FALTA razón social o nombres",IF(AND(C96&lt;&gt;"",SUMPRODUCT(--($C$5:$C$549=C96))&gt;1),"DOCUMENTO DUPLICADO",IF(AND(B96="DNI",C96&lt;&gt;"",LEN(C96&amp;"")&lt;&gt;8),"DNI debe tener 8 dígitos",IF(AND(B96="RUC",C96&lt;&gt;"",LEN(C96&amp;"")&lt;&gt;11),"RUC debe tener 11 dígitos",IF(AND(N96&lt;&gt;"",SUMPRODUCT(--($N$5:$N$549=N96))&gt;1),"CÓDIGO INTERNO DUPLICADO","OK"))))))</f>
        <v/>
      </c>
      <c r="B96" s="17" t="inlineStr">
        <is>
          <t>DNI</t>
        </is>
      </c>
      <c r="C96" s="23" t="inlineStr">
        <is>
          <t>61180748</t>
        </is>
      </c>
      <c r="D96" s="17" t="n"/>
      <c r="E96" s="17" t="inlineStr">
        <is>
          <t>JORGE SEGUNDO</t>
        </is>
      </c>
      <c r="F96" s="17" t="inlineStr">
        <is>
          <t>MENDOZA</t>
        </is>
      </c>
      <c r="G96" s="17" t="inlineStr">
        <is>
          <t>MORENO</t>
        </is>
      </c>
      <c r="H96" s="17" t="inlineStr">
        <is>
          <t>Persona Natural</t>
        </is>
      </c>
      <c r="I96" s="17" t="inlineStr">
        <is>
          <t>Cliente</t>
        </is>
      </c>
      <c r="J96" s="31" t="n"/>
      <c r="K96" s="31" t="n"/>
      <c r="L96" s="45" t="n"/>
      <c r="M96" s="31" t="n"/>
      <c r="N96" s="45" t="n"/>
      <c r="O96" s="31" t="n"/>
      <c r="P96" s="46">
        <f>IF(A96&lt;&gt;"OK","","SELECT cli_crear_clientes(p_codigo_interno =&gt; "&amp;IF(TRIM(N96&amp;"")="","NULL","'"&amp;SUBSTITUTE(TRIM(N96),"'","''")&amp;"'")&amp;", p_razon_social =&gt; "&amp;IF(TRIM(D96&amp;"")="","NULL","'"&amp;SUBSTITUTE(TRIM(D96),"'","''")&amp;"'")&amp;", p_id_tipo_cliente =&gt; "&amp;IF(TRIM(I96&amp;"")="","NULL","(SELECT lo.id FROM gen_lista_opciones lo JOIN gen_lista l ON l.id = lo.id_lista WHERE l.nombre = 'TipoCliente' AND upper(lo.nombre) = upper('"&amp;SUBSTITUTE(TRIM(I96),"'","''")&amp;"') AND lo.estado = 1 LIMIT 1)")&amp;", p_id_tipo_persona =&gt; "&amp;IF(TRIM(H96&amp;"")="","NULL","(SELECT lo.id FROM gen_lista_opciones lo JOIN gen_lista l ON l.id = lo.id_lista WHERE l.nombre = 'TipoPersona' AND upper(lo.nombre) = upper('"&amp;SUBSTITUTE(TRIM(H96),"'","''")&amp;"') AND lo.estado = 1 LIMIT 1)")&amp;", p_nombres =&gt; "&amp;IF(TRIM(E96&amp;"")="","NULL","'"&amp;SUBSTITUTE(TRIM(E96),"'","''")&amp;"'")&amp;", p_apellido_paterno =&gt; "&amp;IF(TRIM(F96&amp;"")="","NULL","'"&amp;SUBSTITUTE(TRIM(F96),"'","''")&amp;"'")&amp;", p_apellido_materno =&gt; "&amp;IF(TRIM(G96&amp;"")="","NULL","'"&amp;SUBSTITUTE(TRIM(G96),"'","''")&amp;"'")&amp;", p_id_tipo_documento =&gt; "&amp;IF(TRIM(B96&amp;"")="","NULL","(SELECT lo.id FROM gen_lista_opciones lo JOIN gen_lista l ON l.id = lo.id_lista WHERE l.nombre = 'TipoDocumento' AND upper(lo.nombre) = upper('"&amp;SUBSTITUTE(TRIM(B96),"'","''")&amp;"') AND lo.estado = 1 LIMIT 1)")&amp;", p_numero_documento =&gt; "&amp;IF(TRIM(C96&amp;"")="","NULL","'"&amp;SUBSTITUTE(TRIM(C96),"'","''")&amp;"'")&amp;", p_telefono =&gt; "&amp;IF(TRIM(L96&amp;"")="","NULL","'"&amp;SUBSTITUTE(TRIM(L96),"'","''")&amp;"'")&amp;", p_email =&gt; "&amp;IF(TRIM(M96&amp;"")="","NULL","'"&amp;SUBSTITUTE(TRIM(M96),"'","''")&amp;"'")&amp;", p_observacion =&gt; "&amp;IF(TRIM(O96&amp;"")="","NULL","'"&amp;SUBSTITUTE(TRIM(O96),"'","''")&amp;"'")&amp;", p_direccion =&gt; "&amp;IF(TRIM(J96&amp;"")="","NULL","'"&amp;SUBSTITUTE(TRIM(J96),"'","''")&amp;"'")&amp;", p_referencia =&gt; "&amp;IF(TRIM(K96&amp;"")="","NULL","'"&amp;SUBSTITUTE(TRIM(K96),"'","''")&amp;"'")&amp;") AS resultado_cliente_"&amp;ROW()&amp;";")</f>
        <v/>
      </c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64">
      <c r="A97" s="25">
        <f>IF(AND(D97="",E97="",C97=""),"",IF(AND(D97="",E97=""),"FALTA razón social o nombres",IF(AND(C97&lt;&gt;"",SUMPRODUCT(--($C$5:$C$549=C97))&gt;1),"DOCUMENTO DUPLICADO",IF(AND(B97="DNI",C97&lt;&gt;"",LEN(C97&amp;"")&lt;&gt;8),"DNI debe tener 8 dígitos",IF(AND(B97="RUC",C97&lt;&gt;"",LEN(C97&amp;"")&lt;&gt;11),"RUC debe tener 11 dígitos",IF(AND(N97&lt;&gt;"",SUMPRODUCT(--($N$5:$N$549=N97))&gt;1),"CÓDIGO INTERNO DUPLICADO","OK"))))))</f>
        <v/>
      </c>
      <c r="B97" s="17" t="inlineStr">
        <is>
          <t>SD</t>
        </is>
      </c>
      <c r="C97" s="23" t="inlineStr">
        <is>
          <t>000011</t>
        </is>
      </c>
      <c r="D97" s="17" t="n"/>
      <c r="E97" s="17" t="inlineStr">
        <is>
          <t>DIONISIO</t>
        </is>
      </c>
      <c r="F97" s="17" t="inlineStr">
        <is>
          <t>BARRETO</t>
        </is>
      </c>
      <c r="G97" s="17" t="n"/>
      <c r="H97" s="17" t="inlineStr">
        <is>
          <t>Persona Natural</t>
        </is>
      </c>
      <c r="I97" s="17" t="inlineStr">
        <is>
          <t>Cliente</t>
        </is>
      </c>
      <c r="J97" s="31" t="n"/>
      <c r="K97" s="31" t="n"/>
      <c r="L97" s="45" t="n"/>
      <c r="M97" s="31" t="n"/>
      <c r="N97" s="45" t="n"/>
      <c r="O97" s="31" t="n"/>
      <c r="P97" s="46">
        <f>IF(A97&lt;&gt;"OK","","SELECT cli_crear_clientes(p_codigo_interno =&gt; "&amp;IF(TRIM(N97&amp;"")="","NULL","'"&amp;SUBSTITUTE(TRIM(N97),"'","''")&amp;"'")&amp;", p_razon_social =&gt; "&amp;IF(TRIM(D97&amp;"")="","NULL","'"&amp;SUBSTITUTE(TRIM(D97),"'","''")&amp;"'")&amp;", p_id_tipo_cliente =&gt; "&amp;IF(TRIM(I97&amp;"")="","NULL","(SELECT lo.id FROM gen_lista_opciones lo JOIN gen_lista l ON l.id = lo.id_lista WHERE l.nombre = 'TipoCliente' AND upper(lo.nombre) = upper('"&amp;SUBSTITUTE(TRIM(I97),"'","''")&amp;"') AND lo.estado = 1 LIMIT 1)")&amp;", p_id_tipo_persona =&gt; "&amp;IF(TRIM(H97&amp;"")="","NULL","(SELECT lo.id FROM gen_lista_opciones lo JOIN gen_lista l ON l.id = lo.id_lista WHERE l.nombre = 'TipoPersona' AND upper(lo.nombre) = upper('"&amp;SUBSTITUTE(TRIM(H97),"'","''")&amp;"') AND lo.estado = 1 LIMIT 1)")&amp;", p_nombres =&gt; "&amp;IF(TRIM(E97&amp;"")="","NULL","'"&amp;SUBSTITUTE(TRIM(E97),"'","''")&amp;"'")&amp;", p_apellido_paterno =&gt; "&amp;IF(TRIM(F97&amp;"")="","NULL","'"&amp;SUBSTITUTE(TRIM(F97),"'","''")&amp;"'")&amp;", p_apellido_materno =&gt; "&amp;IF(TRIM(G97&amp;"")="","NULL","'"&amp;SUBSTITUTE(TRIM(G97),"'","''")&amp;"'")&amp;", p_id_tipo_documento =&gt; "&amp;IF(TRIM(B97&amp;"")="","NULL","(SELECT lo.id FROM gen_lista_opciones lo JOIN gen_lista l ON l.id = lo.id_lista WHERE l.nombre = 'TipoDocumento' AND upper(lo.nombre) = upper('"&amp;SUBSTITUTE(TRIM(B97),"'","''")&amp;"') AND lo.estado = 1 LIMIT 1)")&amp;", p_numero_documento =&gt; "&amp;IF(TRIM(C97&amp;"")="","NULL","'"&amp;SUBSTITUTE(TRIM(C97),"'","''")&amp;"'")&amp;", p_telefono =&gt; "&amp;IF(TRIM(L97&amp;"")="","NULL","'"&amp;SUBSTITUTE(TRIM(L97),"'","''")&amp;"'")&amp;", p_email =&gt; "&amp;IF(TRIM(M97&amp;"")="","NULL","'"&amp;SUBSTITUTE(TRIM(M97),"'","''")&amp;"'")&amp;", p_observacion =&gt; "&amp;IF(TRIM(O97&amp;"")="","NULL","'"&amp;SUBSTITUTE(TRIM(O97),"'","''")&amp;"'")&amp;", p_direccion =&gt; "&amp;IF(TRIM(J97&amp;"")="","NULL","'"&amp;SUBSTITUTE(TRIM(J97),"'","''")&amp;"'")&amp;", p_referencia =&gt; "&amp;IF(TRIM(K97&amp;"")="","NULL","'"&amp;SUBSTITUTE(TRIM(K97),"'","''")&amp;"'")&amp;") AS resultado_cliente_"&amp;ROW()&amp;";")</f>
        <v/>
      </c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64">
      <c r="A98" s="25">
        <f>IF(AND(D98="",E98="",C98=""),"",IF(AND(D98="",E98=""),"FALTA razón social o nombres",IF(AND(C98&lt;&gt;"",SUMPRODUCT(--($C$5:$C$549=C98))&gt;1),"DOCUMENTO DUPLICADO",IF(AND(B98="DNI",C98&lt;&gt;"",LEN(C98&amp;"")&lt;&gt;8),"DNI debe tener 8 dígitos",IF(AND(B98="RUC",C98&lt;&gt;"",LEN(C98&amp;"")&lt;&gt;11),"RUC debe tener 11 dígitos",IF(AND(N98&lt;&gt;"",SUMPRODUCT(--($N$5:$N$549=N98))&gt;1),"CÓDIGO INTERNO DUPLICADO","OK"))))))</f>
        <v/>
      </c>
      <c r="B98" s="17" t="inlineStr">
        <is>
          <t>SD</t>
        </is>
      </c>
      <c r="C98" s="23" t="inlineStr">
        <is>
          <t>000012</t>
        </is>
      </c>
      <c r="D98" s="17" t="n"/>
      <c r="E98" s="17" t="inlineStr">
        <is>
          <t>JUAN</t>
        </is>
      </c>
      <c r="F98" s="17" t="inlineStr">
        <is>
          <t>RIOJAS</t>
        </is>
      </c>
      <c r="G98" s="17" t="inlineStr">
        <is>
          <t>MARTINEZ</t>
        </is>
      </c>
      <c r="H98" s="17" t="inlineStr">
        <is>
          <t>Persona Natural</t>
        </is>
      </c>
      <c r="I98" s="17" t="inlineStr">
        <is>
          <t>Cliente</t>
        </is>
      </c>
      <c r="J98" s="31" t="n"/>
      <c r="K98" s="31" t="n"/>
      <c r="L98" s="45" t="n"/>
      <c r="M98" s="31" t="n"/>
      <c r="N98" s="45" t="n"/>
      <c r="O98" s="31" t="n"/>
      <c r="P98" s="46">
        <f>IF(A98&lt;&gt;"OK","","SELECT cli_crear_clientes(p_codigo_interno =&gt; "&amp;IF(TRIM(N98&amp;"")="","NULL","'"&amp;SUBSTITUTE(TRIM(N98),"'","''")&amp;"'")&amp;", p_razon_social =&gt; "&amp;IF(TRIM(D98&amp;"")="","NULL","'"&amp;SUBSTITUTE(TRIM(D98),"'","''")&amp;"'")&amp;", p_id_tipo_cliente =&gt; "&amp;IF(TRIM(I98&amp;"")="","NULL","(SELECT lo.id FROM gen_lista_opciones lo JOIN gen_lista l ON l.id = lo.id_lista WHERE l.nombre = 'TipoCliente' AND upper(lo.nombre) = upper('"&amp;SUBSTITUTE(TRIM(I98),"'","''")&amp;"') AND lo.estado = 1 LIMIT 1)")&amp;", p_id_tipo_persona =&gt; "&amp;IF(TRIM(H98&amp;"")="","NULL","(SELECT lo.id FROM gen_lista_opciones lo JOIN gen_lista l ON l.id = lo.id_lista WHERE l.nombre = 'TipoPersona' AND upper(lo.nombre) = upper('"&amp;SUBSTITUTE(TRIM(H98),"'","''")&amp;"') AND lo.estado = 1 LIMIT 1)")&amp;", p_nombres =&gt; "&amp;IF(TRIM(E98&amp;"")="","NULL","'"&amp;SUBSTITUTE(TRIM(E98),"'","''")&amp;"'")&amp;", p_apellido_paterno =&gt; "&amp;IF(TRIM(F98&amp;"")="","NULL","'"&amp;SUBSTITUTE(TRIM(F98),"'","''")&amp;"'")&amp;", p_apellido_materno =&gt; "&amp;IF(TRIM(G98&amp;"")="","NULL","'"&amp;SUBSTITUTE(TRIM(G98),"'","''")&amp;"'")&amp;", p_id_tipo_documento =&gt; "&amp;IF(TRIM(B98&amp;"")="","NULL","(SELECT lo.id FROM gen_lista_opciones lo JOIN gen_lista l ON l.id = lo.id_lista WHERE l.nombre = 'TipoDocumento' AND upper(lo.nombre) = upper('"&amp;SUBSTITUTE(TRIM(B98),"'","''")&amp;"') AND lo.estado = 1 LIMIT 1)")&amp;", p_numero_documento =&gt; "&amp;IF(TRIM(C98&amp;"")="","NULL","'"&amp;SUBSTITUTE(TRIM(C98),"'","''")&amp;"'")&amp;", p_telefono =&gt; "&amp;IF(TRIM(L98&amp;"")="","NULL","'"&amp;SUBSTITUTE(TRIM(L98),"'","''")&amp;"'")&amp;", p_email =&gt; "&amp;IF(TRIM(M98&amp;"")="","NULL","'"&amp;SUBSTITUTE(TRIM(M98),"'","''")&amp;"'")&amp;", p_observacion =&gt; "&amp;IF(TRIM(O98&amp;"")="","NULL","'"&amp;SUBSTITUTE(TRIM(O98),"'","''")&amp;"'")&amp;", p_direccion =&gt; "&amp;IF(TRIM(J98&amp;"")="","NULL","'"&amp;SUBSTITUTE(TRIM(J98),"'","''")&amp;"'")&amp;", p_referencia =&gt; "&amp;IF(TRIM(K98&amp;"")="","NULL","'"&amp;SUBSTITUTE(TRIM(K98),"'","''")&amp;"'")&amp;") AS resultado_cliente_"&amp;ROW()&amp;";")</f>
        <v/>
      </c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64">
      <c r="A99" s="25">
        <f>IF(AND(D99="",E99="",C99=""),"",IF(AND(D99="",E99=""),"FALTA razón social o nombres",IF(AND(C99&lt;&gt;"",SUMPRODUCT(--($C$5:$C$549=C99))&gt;1),"DOCUMENTO DUPLICADO",IF(AND(B99="DNI",C99&lt;&gt;"",LEN(C99&amp;"")&lt;&gt;8),"DNI debe tener 8 dígitos",IF(AND(B99="RUC",C99&lt;&gt;"",LEN(C99&amp;"")&lt;&gt;11),"RUC debe tener 11 dígitos",IF(AND(N99&lt;&gt;"",SUMPRODUCT(--($N$5:$N$549=N99))&gt;1),"CÓDIGO INTERNO DUPLICADO","OK"))))))</f>
        <v/>
      </c>
      <c r="B99" s="17" t="inlineStr">
        <is>
          <t>SD</t>
        </is>
      </c>
      <c r="C99" s="23" t="inlineStr">
        <is>
          <t>000013</t>
        </is>
      </c>
      <c r="D99" s="17" t="n"/>
      <c r="E99" s="17" t="inlineStr">
        <is>
          <t xml:space="preserve">ANGEL </t>
        </is>
      </c>
      <c r="F99" s="17" t="inlineStr">
        <is>
          <t>CORDOVA</t>
        </is>
      </c>
      <c r="G99" s="17" t="n"/>
      <c r="H99" s="31" t="inlineStr">
        <is>
          <t>Persona Natural</t>
        </is>
      </c>
      <c r="I99" s="17" t="inlineStr">
        <is>
          <t>Cliente</t>
        </is>
      </c>
      <c r="J99" s="31" t="n"/>
      <c r="K99" s="31" t="n"/>
      <c r="L99" s="45" t="n"/>
      <c r="M99" s="31" t="n"/>
      <c r="N99" s="45" t="n"/>
      <c r="O99" s="31" t="n"/>
      <c r="P99" s="46">
        <f>IF(A99&lt;&gt;"OK","","SELECT cli_crear_clientes(p_codigo_interno =&gt; "&amp;IF(TRIM(N99&amp;"")="","NULL","'"&amp;SUBSTITUTE(TRIM(N99),"'","''")&amp;"'")&amp;", p_razon_social =&gt; "&amp;IF(TRIM(D99&amp;"")="","NULL","'"&amp;SUBSTITUTE(TRIM(D99),"'","''")&amp;"'")&amp;", p_id_tipo_cliente =&gt; "&amp;IF(TRIM(I99&amp;"")="","NULL","(SELECT lo.id FROM gen_lista_opciones lo JOIN gen_lista l ON l.id = lo.id_lista WHERE l.nombre = 'TipoCliente' AND upper(lo.nombre) = upper('"&amp;SUBSTITUTE(TRIM(I99),"'","''")&amp;"') AND lo.estado = 1 LIMIT 1)")&amp;", p_id_tipo_persona =&gt; "&amp;IF(TRIM(H99&amp;"")="","NULL","(SELECT lo.id FROM gen_lista_opciones lo JOIN gen_lista l ON l.id = lo.id_lista WHERE l.nombre = 'TipoPersona' AND upper(lo.nombre) = upper('"&amp;SUBSTITUTE(TRIM(H99),"'","''")&amp;"') AND lo.estado = 1 LIMIT 1)")&amp;", p_nombres =&gt; "&amp;IF(TRIM(E99&amp;"")="","NULL","'"&amp;SUBSTITUTE(TRIM(E99),"'","''")&amp;"'")&amp;", p_apellido_paterno =&gt; "&amp;IF(TRIM(F99&amp;"")="","NULL","'"&amp;SUBSTITUTE(TRIM(F99),"'","''")&amp;"'")&amp;", p_apellido_materno =&gt; "&amp;IF(TRIM(G99&amp;"")="","NULL","'"&amp;SUBSTITUTE(TRIM(G99),"'","''")&amp;"'")&amp;", p_id_tipo_documento =&gt; "&amp;IF(TRIM(B99&amp;"")="","NULL","(SELECT lo.id FROM gen_lista_opciones lo JOIN gen_lista l ON l.id = lo.id_lista WHERE l.nombre = 'TipoDocumento' AND upper(lo.nombre) = upper('"&amp;SUBSTITUTE(TRIM(B99),"'","''")&amp;"') AND lo.estado = 1 LIMIT 1)")&amp;", p_numero_documento =&gt; "&amp;IF(TRIM(C99&amp;"")="","NULL","'"&amp;SUBSTITUTE(TRIM(C99),"'","''")&amp;"'")&amp;", p_telefono =&gt; "&amp;IF(TRIM(L99&amp;"")="","NULL","'"&amp;SUBSTITUTE(TRIM(L99),"'","''")&amp;"'")&amp;", p_email =&gt; "&amp;IF(TRIM(M99&amp;"")="","NULL","'"&amp;SUBSTITUTE(TRIM(M99),"'","''")&amp;"'")&amp;", p_observacion =&gt; "&amp;IF(TRIM(O99&amp;"")="","NULL","'"&amp;SUBSTITUTE(TRIM(O99),"'","''")&amp;"'")&amp;", p_direccion =&gt; "&amp;IF(TRIM(J99&amp;"")="","NULL","'"&amp;SUBSTITUTE(TRIM(J99),"'","''")&amp;"'")&amp;", p_referencia =&gt; "&amp;IF(TRIM(K99&amp;"")="","NULL","'"&amp;SUBSTITUTE(TRIM(K99),"'","''")&amp;"'")&amp;") AS resultado_cliente_"&amp;ROW()&amp;";")</f>
        <v/>
      </c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64">
      <c r="A100" s="25">
        <f>IF(AND(D100="",E100="",C100=""),"",IF(AND(D100="",E100=""),"FALTA razón social o nombres",IF(AND(C100&lt;&gt;"",SUMPRODUCT(--($C$5:$C$549=C100))&gt;1),"DOCUMENTO DUPLICADO",IF(AND(B100="DNI",C100&lt;&gt;"",LEN(C100&amp;"")&lt;&gt;8),"DNI debe tener 8 dígitos",IF(AND(B100="RUC",C100&lt;&gt;"",LEN(C100&amp;"")&lt;&gt;11),"RUC debe tener 11 dígitos",IF(AND(N100&lt;&gt;"",SUMPRODUCT(--($N$5:$N$549=N100))&gt;1),"CÓDIGO INTERNO DUPLICADO","OK"))))))</f>
        <v/>
      </c>
      <c r="B100" s="17" t="inlineStr">
        <is>
          <t>SD</t>
        </is>
      </c>
      <c r="C100" s="23" t="inlineStr">
        <is>
          <t>000014</t>
        </is>
      </c>
      <c r="D100" s="17" t="n"/>
      <c r="E100" s="17" t="inlineStr">
        <is>
          <t xml:space="preserve">MARIA </t>
        </is>
      </c>
      <c r="F100" s="17" t="inlineStr">
        <is>
          <t>BERENISE</t>
        </is>
      </c>
      <c r="G100" s="17" t="n"/>
      <c r="H100" s="31" t="inlineStr">
        <is>
          <t>Persona Natural</t>
        </is>
      </c>
      <c r="I100" s="17" t="inlineStr">
        <is>
          <t>Cliente</t>
        </is>
      </c>
      <c r="J100" s="31" t="n"/>
      <c r="K100" s="31" t="n"/>
      <c r="L100" s="45" t="n"/>
      <c r="M100" s="31" t="n"/>
      <c r="N100" s="45" t="n"/>
      <c r="O100" s="31" t="n"/>
      <c r="P100" s="46">
        <f>IF(A100&lt;&gt;"OK","","SELECT cli_crear_clientes(p_codigo_interno =&gt; "&amp;IF(TRIM(N100&amp;"")="","NULL","'"&amp;SUBSTITUTE(TRIM(N100),"'","''")&amp;"'")&amp;", p_razon_social =&gt; "&amp;IF(TRIM(D100&amp;"")="","NULL","'"&amp;SUBSTITUTE(TRIM(D100),"'","''")&amp;"'")&amp;", p_id_tipo_cliente =&gt; "&amp;IF(TRIM(I100&amp;"")="","NULL","(SELECT lo.id FROM gen_lista_opciones lo JOIN gen_lista l ON l.id = lo.id_lista WHERE l.nombre = 'TipoCliente' AND upper(lo.nombre) = upper('"&amp;SUBSTITUTE(TRIM(I100),"'","''")&amp;"') AND lo.estado = 1 LIMIT 1)")&amp;", p_id_tipo_persona =&gt; "&amp;IF(TRIM(H100&amp;"")="","NULL","(SELECT lo.id FROM gen_lista_opciones lo JOIN gen_lista l ON l.id = lo.id_lista WHERE l.nombre = 'TipoPersona' AND upper(lo.nombre) = upper('"&amp;SUBSTITUTE(TRIM(H100),"'","''")&amp;"') AND lo.estado = 1 LIMIT 1)")&amp;", p_nombres =&gt; "&amp;IF(TRIM(E100&amp;"")="","NULL","'"&amp;SUBSTITUTE(TRIM(E100),"'","''")&amp;"'")&amp;", p_apellido_paterno =&gt; "&amp;IF(TRIM(F100&amp;"")="","NULL","'"&amp;SUBSTITUTE(TRIM(F100),"'","''")&amp;"'")&amp;", p_apellido_materno =&gt; "&amp;IF(TRIM(G100&amp;"")="","NULL","'"&amp;SUBSTITUTE(TRIM(G100),"'","''")&amp;"'")&amp;", p_id_tipo_documento =&gt; "&amp;IF(TRIM(B100&amp;"")="","NULL","(SELECT lo.id FROM gen_lista_opciones lo JOIN gen_lista l ON l.id = lo.id_lista WHERE l.nombre = 'TipoDocumento' AND upper(lo.nombre) = upper('"&amp;SUBSTITUTE(TRIM(B100),"'","''")&amp;"') AND lo.estado = 1 LIMIT 1)")&amp;", p_numero_documento =&gt; "&amp;IF(TRIM(C100&amp;"")="","NULL","'"&amp;SUBSTITUTE(TRIM(C100),"'","''")&amp;"'")&amp;", p_telefono =&gt; "&amp;IF(TRIM(L100&amp;"")="","NULL","'"&amp;SUBSTITUTE(TRIM(L100),"'","''")&amp;"'")&amp;", p_email =&gt; "&amp;IF(TRIM(M100&amp;"")="","NULL","'"&amp;SUBSTITUTE(TRIM(M100),"'","''")&amp;"'")&amp;", p_observacion =&gt; "&amp;IF(TRIM(O100&amp;"")="","NULL","'"&amp;SUBSTITUTE(TRIM(O100),"'","''")&amp;"'")&amp;", p_direccion =&gt; "&amp;IF(TRIM(J100&amp;"")="","NULL","'"&amp;SUBSTITUTE(TRIM(J100),"'","''")&amp;"'")&amp;", p_referencia =&gt; "&amp;IF(TRIM(K100&amp;"")="","NULL","'"&amp;SUBSTITUTE(TRIM(K100),"'","''")&amp;"'")&amp;") AS resultado_cliente_"&amp;ROW()&amp;";")</f>
        <v/>
      </c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64">
      <c r="A101" s="25">
        <f>IF(AND(D101="",E101="",C101=""),"",IF(AND(D101="",E101=""),"FALTA razón social o nombres",IF(AND(C101&lt;&gt;"",SUMPRODUCT(--($C$5:$C$549=C101))&gt;1),"DOCUMENTO DUPLICADO",IF(AND(B101="DNI",C101&lt;&gt;"",LEN(C101&amp;"")&lt;&gt;8),"DNI debe tener 8 dígitos",IF(AND(B101="RUC",C101&lt;&gt;"",LEN(C101&amp;"")&lt;&gt;11),"RUC debe tener 11 dígitos",IF(AND(N101&lt;&gt;"",SUMPRODUCT(--($N$5:$N$549=N101))&gt;1),"CÓDIGO INTERNO DUPLICADO","OK"))))))</f>
        <v/>
      </c>
      <c r="B101" s="17" t="inlineStr">
        <is>
          <t>SD</t>
        </is>
      </c>
      <c r="C101" s="23" t="inlineStr">
        <is>
          <t>000015</t>
        </is>
      </c>
      <c r="D101" s="17" t="n"/>
      <c r="E101" s="17" t="inlineStr">
        <is>
          <t xml:space="preserve">MARIA </t>
        </is>
      </c>
      <c r="F101" s="17" t="inlineStr">
        <is>
          <t>MALCA</t>
        </is>
      </c>
      <c r="G101" s="17" t="n"/>
      <c r="H101" s="31" t="inlineStr">
        <is>
          <t>Persona Natural</t>
        </is>
      </c>
      <c r="I101" s="17" t="inlineStr">
        <is>
          <t>Cliente</t>
        </is>
      </c>
      <c r="J101" s="31" t="n"/>
      <c r="K101" s="31" t="n"/>
      <c r="L101" s="45" t="n"/>
      <c r="M101" s="31" t="n"/>
      <c r="N101" s="45" t="n"/>
      <c r="O101" s="31" t="n"/>
      <c r="P101" s="46">
        <f>IF(A101&lt;&gt;"OK","","SELECT cli_crear_clientes(p_codigo_interno =&gt; "&amp;IF(TRIM(N101&amp;"")="","NULL","'"&amp;SUBSTITUTE(TRIM(N101),"'","''")&amp;"'")&amp;", p_razon_social =&gt; "&amp;IF(TRIM(D101&amp;"")="","NULL","'"&amp;SUBSTITUTE(TRIM(D101),"'","''")&amp;"'")&amp;", p_id_tipo_cliente =&gt; "&amp;IF(TRIM(I101&amp;"")="","NULL","(SELECT lo.id FROM gen_lista_opciones lo JOIN gen_lista l ON l.id = lo.id_lista WHERE l.nombre = 'TipoCliente' AND upper(lo.nombre) = upper('"&amp;SUBSTITUTE(TRIM(I101),"'","''")&amp;"') AND lo.estado = 1 LIMIT 1)")&amp;", p_id_tipo_persona =&gt; "&amp;IF(TRIM(H101&amp;"")="","NULL","(SELECT lo.id FROM gen_lista_opciones lo JOIN gen_lista l ON l.id = lo.id_lista WHERE l.nombre = 'TipoPersona' AND upper(lo.nombre) = upper('"&amp;SUBSTITUTE(TRIM(H101),"'","''")&amp;"') AND lo.estado = 1 LIMIT 1)")&amp;", p_nombres =&gt; "&amp;IF(TRIM(E101&amp;"")="","NULL","'"&amp;SUBSTITUTE(TRIM(E101),"'","''")&amp;"'")&amp;", p_apellido_paterno =&gt; "&amp;IF(TRIM(F101&amp;"")="","NULL","'"&amp;SUBSTITUTE(TRIM(F101),"'","''")&amp;"'")&amp;", p_apellido_materno =&gt; "&amp;IF(TRIM(G101&amp;"")="","NULL","'"&amp;SUBSTITUTE(TRIM(G101),"'","''")&amp;"'")&amp;", p_id_tipo_documento =&gt; "&amp;IF(TRIM(B101&amp;"")="","NULL","(SELECT lo.id FROM gen_lista_opciones lo JOIN gen_lista l ON l.id = lo.id_lista WHERE l.nombre = 'TipoDocumento' AND upper(lo.nombre) = upper('"&amp;SUBSTITUTE(TRIM(B101),"'","''")&amp;"') AND lo.estado = 1 LIMIT 1)")&amp;", p_numero_documento =&gt; "&amp;IF(TRIM(C101&amp;"")="","NULL","'"&amp;SUBSTITUTE(TRIM(C101),"'","''")&amp;"'")&amp;", p_telefono =&gt; "&amp;IF(TRIM(L101&amp;"")="","NULL","'"&amp;SUBSTITUTE(TRIM(L101),"'","''")&amp;"'")&amp;", p_email =&gt; "&amp;IF(TRIM(M101&amp;"")="","NULL","'"&amp;SUBSTITUTE(TRIM(M101),"'","''")&amp;"'")&amp;", p_observacion =&gt; "&amp;IF(TRIM(O101&amp;"")="","NULL","'"&amp;SUBSTITUTE(TRIM(O101),"'","''")&amp;"'")&amp;", p_direccion =&gt; "&amp;IF(TRIM(J101&amp;"")="","NULL","'"&amp;SUBSTITUTE(TRIM(J101),"'","''")&amp;"'")&amp;", p_referencia =&gt; "&amp;IF(TRIM(K101&amp;"")="","NULL","'"&amp;SUBSTITUTE(TRIM(K101),"'","''")&amp;"'")&amp;") AS resultado_cliente_"&amp;ROW()&amp;";")</f>
        <v/>
      </c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64">
      <c r="A102" s="25">
        <f>IF(AND(D102="",E102="",C102=""),"",IF(AND(D102="",E102=""),"FALTA razón social o nombres",IF(AND(C102&lt;&gt;"",SUMPRODUCT(--($C$5:$C$549=C102))&gt;1),"DOCUMENTO DUPLICADO",IF(AND(B102="DNI",C102&lt;&gt;"",LEN(C102&amp;"")&lt;&gt;8),"DNI debe tener 8 dígitos",IF(AND(B102="RUC",C102&lt;&gt;"",LEN(C102&amp;"")&lt;&gt;11),"RUC debe tener 11 dígitos",IF(AND(N102&lt;&gt;"",SUMPRODUCT(--($N$5:$N$549=N102))&gt;1),"CÓDIGO INTERNO DUPLICADO","OK"))))))</f>
        <v/>
      </c>
      <c r="B102" s="17" t="inlineStr">
        <is>
          <t>SD</t>
        </is>
      </c>
      <c r="C102" s="23" t="inlineStr">
        <is>
          <t>000016</t>
        </is>
      </c>
      <c r="D102" s="17" t="n"/>
      <c r="E102" s="17" t="inlineStr">
        <is>
          <t>CASINALDO</t>
        </is>
      </c>
      <c r="F102" s="17" t="inlineStr">
        <is>
          <t>VERA</t>
        </is>
      </c>
      <c r="G102" s="17" t="n"/>
      <c r="H102" s="31" t="inlineStr">
        <is>
          <t>Persona Natural</t>
        </is>
      </c>
      <c r="I102" s="17" t="inlineStr">
        <is>
          <t>Cliente</t>
        </is>
      </c>
      <c r="J102" s="31" t="n"/>
      <c r="K102" s="31" t="n"/>
      <c r="L102" s="45" t="n"/>
      <c r="M102" s="31" t="n"/>
      <c r="N102" s="45" t="n"/>
      <c r="O102" s="31" t="n"/>
      <c r="P102" s="46">
        <f>IF(A102&lt;&gt;"OK","","SELECT cli_crear_clientes(p_codigo_interno =&gt; "&amp;IF(TRIM(N102&amp;"")="","NULL","'"&amp;SUBSTITUTE(TRIM(N102),"'","''")&amp;"'")&amp;", p_razon_social =&gt; "&amp;IF(TRIM(D102&amp;"")="","NULL","'"&amp;SUBSTITUTE(TRIM(D102),"'","''")&amp;"'")&amp;", p_id_tipo_cliente =&gt; "&amp;IF(TRIM(I102&amp;"")="","NULL","(SELECT lo.id FROM gen_lista_opciones lo JOIN gen_lista l ON l.id = lo.id_lista WHERE l.nombre = 'TipoCliente' AND upper(lo.nombre) = upper('"&amp;SUBSTITUTE(TRIM(I102),"'","''")&amp;"') AND lo.estado = 1 LIMIT 1)")&amp;", p_id_tipo_persona =&gt; "&amp;IF(TRIM(H102&amp;"")="","NULL","(SELECT lo.id FROM gen_lista_opciones lo JOIN gen_lista l ON l.id = lo.id_lista WHERE l.nombre = 'TipoPersona' AND upper(lo.nombre) = upper('"&amp;SUBSTITUTE(TRIM(H102),"'","''")&amp;"') AND lo.estado = 1 LIMIT 1)")&amp;", p_nombres =&gt; "&amp;IF(TRIM(E102&amp;"")="","NULL","'"&amp;SUBSTITUTE(TRIM(E102),"'","''")&amp;"'")&amp;", p_apellido_paterno =&gt; "&amp;IF(TRIM(F102&amp;"")="","NULL","'"&amp;SUBSTITUTE(TRIM(F102),"'","''")&amp;"'")&amp;", p_apellido_materno =&gt; "&amp;IF(TRIM(G102&amp;"")="","NULL","'"&amp;SUBSTITUTE(TRIM(G102),"'","''")&amp;"'")&amp;", p_id_tipo_documento =&gt; "&amp;IF(TRIM(B102&amp;"")="","NULL","(SELECT lo.id FROM gen_lista_opciones lo JOIN gen_lista l ON l.id = lo.id_lista WHERE l.nombre = 'TipoDocumento' AND upper(lo.nombre) = upper('"&amp;SUBSTITUTE(TRIM(B102),"'","''")&amp;"') AND lo.estado = 1 LIMIT 1)")&amp;", p_numero_documento =&gt; "&amp;IF(TRIM(C102&amp;"")="","NULL","'"&amp;SUBSTITUTE(TRIM(C102),"'","''")&amp;"'")&amp;", p_telefono =&gt; "&amp;IF(TRIM(L102&amp;"")="","NULL","'"&amp;SUBSTITUTE(TRIM(L102),"'","''")&amp;"'")&amp;", p_email =&gt; "&amp;IF(TRIM(M102&amp;"")="","NULL","'"&amp;SUBSTITUTE(TRIM(M102),"'","''")&amp;"'")&amp;", p_observacion =&gt; "&amp;IF(TRIM(O102&amp;"")="","NULL","'"&amp;SUBSTITUTE(TRIM(O102),"'","''")&amp;"'")&amp;", p_direccion =&gt; "&amp;IF(TRIM(J102&amp;"")="","NULL","'"&amp;SUBSTITUTE(TRIM(J102),"'","''")&amp;"'")&amp;", p_referencia =&gt; "&amp;IF(TRIM(K102&amp;"")="","NULL","'"&amp;SUBSTITUTE(TRIM(K102),"'","''")&amp;"'")&amp;") AS resultado_cliente_"&amp;ROW()&amp;";")</f>
        <v/>
      </c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64">
      <c r="A103" s="25">
        <f>IF(AND(D103="",E103="",C103=""),"",IF(AND(D103="",E103=""),"FALTA razón social o nombres",IF(AND(C103&lt;&gt;"",SUMPRODUCT(--($C$5:$C$549=C103))&gt;1),"DOCUMENTO DUPLICADO",IF(AND(B103="DNI",C103&lt;&gt;"",LEN(C103&amp;"")&lt;&gt;8),"DNI debe tener 8 dígitos",IF(AND(B103="RUC",C103&lt;&gt;"",LEN(C103&amp;"")&lt;&gt;11),"RUC debe tener 11 dígitos",IF(AND(N103&lt;&gt;"",SUMPRODUCT(--($N$5:$N$549=N103))&gt;1),"CÓDIGO INTERNO DUPLICADO","OK"))))))</f>
        <v/>
      </c>
      <c r="B103" s="17" t="inlineStr">
        <is>
          <t>RUC</t>
        </is>
      </c>
      <c r="C103" s="23" t="inlineStr">
        <is>
          <t>20601783372</t>
        </is>
      </c>
      <c r="D103" s="17" t="inlineStr">
        <is>
          <t>ATO ASCENSORES NACIONALES S.A.C.</t>
        </is>
      </c>
      <c r="E103" s="17" t="n"/>
      <c r="F103" s="17" t="n"/>
      <c r="G103" s="17" t="n"/>
      <c r="H103" s="31" t="inlineStr">
        <is>
          <t>Persona Jurídica</t>
        </is>
      </c>
      <c r="I103" s="17" t="inlineStr">
        <is>
          <t>Cliente</t>
        </is>
      </c>
      <c r="J103" s="31" t="n"/>
      <c r="K103" s="31" t="n"/>
      <c r="L103" s="45" t="n"/>
      <c r="M103" s="31" t="n"/>
      <c r="N103" s="45" t="n"/>
      <c r="O103" s="31" t="n"/>
      <c r="P103" s="46">
        <f>IF(A103&lt;&gt;"OK","","SELECT cli_crear_clientes(p_codigo_interno =&gt; "&amp;IF(TRIM(N103&amp;"")="","NULL","'"&amp;SUBSTITUTE(TRIM(N103),"'","''")&amp;"'")&amp;", p_razon_social =&gt; "&amp;IF(TRIM(D103&amp;"")="","NULL","'"&amp;SUBSTITUTE(TRIM(D103),"'","''")&amp;"'")&amp;", p_id_tipo_cliente =&gt; "&amp;IF(TRIM(I103&amp;"")="","NULL","(SELECT lo.id FROM gen_lista_opciones lo JOIN gen_lista l ON l.id = lo.id_lista WHERE l.nombre = 'TipoCliente' AND upper(lo.nombre) = upper('"&amp;SUBSTITUTE(TRIM(I103),"'","''")&amp;"') AND lo.estado = 1 LIMIT 1)")&amp;", p_id_tipo_persona =&gt; "&amp;IF(TRIM(H103&amp;"")="","NULL","(SELECT lo.id FROM gen_lista_opciones lo JOIN gen_lista l ON l.id = lo.id_lista WHERE l.nombre = 'TipoPersona' AND upper(lo.nombre) = upper('"&amp;SUBSTITUTE(TRIM(H103),"'","''")&amp;"') AND lo.estado = 1 LIMIT 1)")&amp;", p_nombres =&gt; "&amp;IF(TRIM(E103&amp;"")="","NULL","'"&amp;SUBSTITUTE(TRIM(E103),"'","''")&amp;"'")&amp;", p_apellido_paterno =&gt; "&amp;IF(TRIM(F103&amp;"")="","NULL","'"&amp;SUBSTITUTE(TRIM(F103),"'","''")&amp;"'")&amp;", p_apellido_materno =&gt; "&amp;IF(TRIM(G103&amp;"")="","NULL","'"&amp;SUBSTITUTE(TRIM(G103),"'","''")&amp;"'")&amp;", p_id_tipo_documento =&gt; "&amp;IF(TRIM(B103&amp;"")="","NULL","(SELECT lo.id FROM gen_lista_opciones lo JOIN gen_lista l ON l.id = lo.id_lista WHERE l.nombre = 'TipoDocumento' AND upper(lo.nombre) = upper('"&amp;SUBSTITUTE(TRIM(B103),"'","''")&amp;"') AND lo.estado = 1 LIMIT 1)")&amp;", p_numero_documento =&gt; "&amp;IF(TRIM(C103&amp;"")="","NULL","'"&amp;SUBSTITUTE(TRIM(C103),"'","''")&amp;"'")&amp;", p_telefono =&gt; "&amp;IF(TRIM(L103&amp;"")="","NULL","'"&amp;SUBSTITUTE(TRIM(L103),"'","''")&amp;"'")&amp;", p_email =&gt; "&amp;IF(TRIM(M103&amp;"")="","NULL","'"&amp;SUBSTITUTE(TRIM(M103),"'","''")&amp;"'")&amp;", p_observacion =&gt; "&amp;IF(TRIM(O103&amp;"")="","NULL","'"&amp;SUBSTITUTE(TRIM(O103),"'","''")&amp;"'")&amp;", p_direccion =&gt; "&amp;IF(TRIM(J103&amp;"")="","NULL","'"&amp;SUBSTITUTE(TRIM(J103),"'","''")&amp;"'")&amp;", p_referencia =&gt; "&amp;IF(TRIM(K103&amp;"")="","NULL","'"&amp;SUBSTITUTE(TRIM(K103),"'","''")&amp;"'")&amp;") AS resultado_cliente_"&amp;ROW()&amp;";")</f>
        <v/>
      </c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64">
      <c r="A104" s="25">
        <f>IF(AND(D104="",E104="",C104=""),"",IF(AND(D104="",E104=""),"FALTA razón social o nombres",IF(AND(C104&lt;&gt;"",SUMPRODUCT(--($C$5:$C$549=C104))&gt;1),"DOCUMENTO DUPLICADO",IF(AND(B104="DNI",C104&lt;&gt;"",LEN(C104&amp;"")&lt;&gt;8),"DNI debe tener 8 dígitos",IF(AND(B104="RUC",C104&lt;&gt;"",LEN(C104&amp;"")&lt;&gt;11),"RUC debe tener 11 dígitos",IF(AND(N104&lt;&gt;"",SUMPRODUCT(--($N$5:$N$549=N104))&gt;1),"CÓDIGO INTERNO DUPLICADO","OK"))))))</f>
        <v/>
      </c>
      <c r="B104" s="17" t="inlineStr">
        <is>
          <t>RUC</t>
        </is>
      </c>
      <c r="C104" s="23" t="inlineStr">
        <is>
          <t>10176064183</t>
        </is>
      </c>
      <c r="D104" s="17" t="inlineStr">
        <is>
          <t xml:space="preserve">CHICOMA ROQUE PEDRO PABLO - CHAVEZ SERRATO MANUEL </t>
        </is>
      </c>
      <c r="E104" s="17" t="n"/>
      <c r="F104" s="17" t="n"/>
      <c r="G104" s="17" t="n"/>
      <c r="H104" s="31" t="inlineStr">
        <is>
          <t>Persona Jurídica</t>
        </is>
      </c>
      <c r="I104" s="17" t="inlineStr">
        <is>
          <t>Cliente</t>
        </is>
      </c>
      <c r="J104" s="31" t="n"/>
      <c r="K104" s="31" t="n"/>
      <c r="L104" s="45" t="n"/>
      <c r="M104" s="31" t="n"/>
      <c r="N104" s="45" t="n"/>
      <c r="O104" s="31" t="n"/>
      <c r="P104" s="46">
        <f>IF(A104&lt;&gt;"OK","","SELECT cli_crear_clientes(p_codigo_interno =&gt; "&amp;IF(TRIM(N104&amp;"")="","NULL","'"&amp;SUBSTITUTE(TRIM(N104),"'","''")&amp;"'")&amp;", p_razon_social =&gt; "&amp;IF(TRIM(D104&amp;"")="","NULL","'"&amp;SUBSTITUTE(TRIM(D104),"'","''")&amp;"'")&amp;", p_id_tipo_cliente =&gt; "&amp;IF(TRIM(I104&amp;"")="","NULL","(SELECT lo.id FROM gen_lista_opciones lo JOIN gen_lista l ON l.id = lo.id_lista WHERE l.nombre = 'TipoCliente' AND upper(lo.nombre) = upper('"&amp;SUBSTITUTE(TRIM(I104),"'","''")&amp;"') AND lo.estado = 1 LIMIT 1)")&amp;", p_id_tipo_persona =&gt; "&amp;IF(TRIM(H104&amp;"")="","NULL","(SELECT lo.id FROM gen_lista_opciones lo JOIN gen_lista l ON l.id = lo.id_lista WHERE l.nombre = 'TipoPersona' AND upper(lo.nombre) = upper('"&amp;SUBSTITUTE(TRIM(H104),"'","''")&amp;"') AND lo.estado = 1 LIMIT 1)")&amp;", p_nombres =&gt; "&amp;IF(TRIM(E104&amp;"")="","NULL","'"&amp;SUBSTITUTE(TRIM(E104),"'","''")&amp;"'")&amp;", p_apellido_paterno =&gt; "&amp;IF(TRIM(F104&amp;"")="","NULL","'"&amp;SUBSTITUTE(TRIM(F104),"'","''")&amp;"'")&amp;", p_apellido_materno =&gt; "&amp;IF(TRIM(G104&amp;"")="","NULL","'"&amp;SUBSTITUTE(TRIM(G104),"'","''")&amp;"'")&amp;", p_id_tipo_documento =&gt; "&amp;IF(TRIM(B104&amp;"")="","NULL","(SELECT lo.id FROM gen_lista_opciones lo JOIN gen_lista l ON l.id = lo.id_lista WHERE l.nombre = 'TipoDocumento' AND upper(lo.nombre) = upper('"&amp;SUBSTITUTE(TRIM(B104),"'","''")&amp;"') AND lo.estado = 1 LIMIT 1)")&amp;", p_numero_documento =&gt; "&amp;IF(TRIM(C104&amp;"")="","NULL","'"&amp;SUBSTITUTE(TRIM(C104),"'","''")&amp;"'")&amp;", p_telefono =&gt; "&amp;IF(TRIM(L104&amp;"")="","NULL","'"&amp;SUBSTITUTE(TRIM(L104),"'","''")&amp;"'")&amp;", p_email =&gt; "&amp;IF(TRIM(M104&amp;"")="","NULL","'"&amp;SUBSTITUTE(TRIM(M104),"'","''")&amp;"'")&amp;", p_observacion =&gt; "&amp;IF(TRIM(O104&amp;"")="","NULL","'"&amp;SUBSTITUTE(TRIM(O104),"'","''")&amp;"'")&amp;", p_direccion =&gt; "&amp;IF(TRIM(J104&amp;"")="","NULL","'"&amp;SUBSTITUTE(TRIM(J104),"'","''")&amp;"'")&amp;", p_referencia =&gt; "&amp;IF(TRIM(K104&amp;"")="","NULL","'"&amp;SUBSTITUTE(TRIM(K104),"'","''")&amp;"'")&amp;") AS resultado_cliente_"&amp;ROW()&amp;";")</f>
        <v/>
      </c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64">
      <c r="A105" s="25">
        <f>IF(AND(D105="",E105="",C105=""),"",IF(AND(D105="",E105=""),"FALTA razón social o nombres",IF(AND(C105&lt;&gt;"",SUMPRODUCT(--($C$5:$C$549=C105))&gt;1),"DOCUMENTO DUPLICADO",IF(AND(B105="DNI",C105&lt;&gt;"",LEN(C105&amp;"")&lt;&gt;8),"DNI debe tener 8 dígitos",IF(AND(B105="RUC",C105&lt;&gt;"",LEN(C105&amp;"")&lt;&gt;11),"RUC debe tener 11 dígitos",IF(AND(N105&lt;&gt;"",SUMPRODUCT(--($N$5:$N$549=N105))&gt;1),"CÓDIGO INTERNO DUPLICADO","OK"))))))</f>
        <v/>
      </c>
      <c r="B105" s="17" t="inlineStr">
        <is>
          <t>SD</t>
        </is>
      </c>
      <c r="C105" s="23" t="inlineStr">
        <is>
          <t>000017</t>
        </is>
      </c>
      <c r="D105" s="17" t="n"/>
      <c r="E105" s="17" t="inlineStr">
        <is>
          <t>JARA</t>
        </is>
      </c>
      <c r="F105" s="17" t="n"/>
      <c r="G105" s="17" t="n"/>
      <c r="H105" s="31" t="inlineStr">
        <is>
          <t>Persona Natural</t>
        </is>
      </c>
      <c r="I105" s="17" t="inlineStr">
        <is>
          <t>Cliente</t>
        </is>
      </c>
      <c r="J105" s="31" t="n"/>
      <c r="K105" s="31" t="n"/>
      <c r="L105" s="45" t="n"/>
      <c r="M105" s="31" t="n"/>
      <c r="N105" s="45" t="n"/>
      <c r="O105" s="31" t="n"/>
      <c r="P105" s="46">
        <f>IF(A105&lt;&gt;"OK","","SELECT cli_crear_clientes(p_codigo_interno =&gt; "&amp;IF(TRIM(N105&amp;"")="","NULL","'"&amp;SUBSTITUTE(TRIM(N105),"'","''")&amp;"'")&amp;", p_razon_social =&gt; "&amp;IF(TRIM(D105&amp;"")="","NULL","'"&amp;SUBSTITUTE(TRIM(D105),"'","''")&amp;"'")&amp;", p_id_tipo_cliente =&gt; "&amp;IF(TRIM(I105&amp;"")="","NULL","(SELECT lo.id FROM gen_lista_opciones lo JOIN gen_lista l ON l.id = lo.id_lista WHERE l.nombre = 'TipoCliente' AND upper(lo.nombre) = upper('"&amp;SUBSTITUTE(TRIM(I105),"'","''")&amp;"') AND lo.estado = 1 LIMIT 1)")&amp;", p_id_tipo_persona =&gt; "&amp;IF(TRIM(H105&amp;"")="","NULL","(SELECT lo.id FROM gen_lista_opciones lo JOIN gen_lista l ON l.id = lo.id_lista WHERE l.nombre = 'TipoPersona' AND upper(lo.nombre) = upper('"&amp;SUBSTITUTE(TRIM(H105),"'","''")&amp;"') AND lo.estado = 1 LIMIT 1)")&amp;", p_nombres =&gt; "&amp;IF(TRIM(E105&amp;"")="","NULL","'"&amp;SUBSTITUTE(TRIM(E105),"'","''")&amp;"'")&amp;", p_apellido_paterno =&gt; "&amp;IF(TRIM(F105&amp;"")="","NULL","'"&amp;SUBSTITUTE(TRIM(F105),"'","''")&amp;"'")&amp;", p_apellido_materno =&gt; "&amp;IF(TRIM(G105&amp;"")="","NULL","'"&amp;SUBSTITUTE(TRIM(G105),"'","''")&amp;"'")&amp;", p_id_tipo_documento =&gt; "&amp;IF(TRIM(B105&amp;"")="","NULL","(SELECT lo.id FROM gen_lista_opciones lo JOIN gen_lista l ON l.id = lo.id_lista WHERE l.nombre = 'TipoDocumento' AND upper(lo.nombre) = upper('"&amp;SUBSTITUTE(TRIM(B105),"'","''")&amp;"') AND lo.estado = 1 LIMIT 1)")&amp;", p_numero_documento =&gt; "&amp;IF(TRIM(C105&amp;"")="","NULL","'"&amp;SUBSTITUTE(TRIM(C105),"'","''")&amp;"'")&amp;", p_telefono =&gt; "&amp;IF(TRIM(L105&amp;"")="","NULL","'"&amp;SUBSTITUTE(TRIM(L105),"'","''")&amp;"'")&amp;", p_email =&gt; "&amp;IF(TRIM(M105&amp;"")="","NULL","'"&amp;SUBSTITUTE(TRIM(M105),"'","''")&amp;"'")&amp;", p_observacion =&gt; "&amp;IF(TRIM(O105&amp;"")="","NULL","'"&amp;SUBSTITUTE(TRIM(O105),"'","''")&amp;"'")&amp;", p_direccion =&gt; "&amp;IF(TRIM(J105&amp;"")="","NULL","'"&amp;SUBSTITUTE(TRIM(J105),"'","''")&amp;"'")&amp;", p_referencia =&gt; "&amp;IF(TRIM(K105&amp;"")="","NULL","'"&amp;SUBSTITUTE(TRIM(K105),"'","''")&amp;"'")&amp;") AS resultado_cliente_"&amp;ROW()&amp;";")</f>
        <v/>
      </c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64">
      <c r="A106" s="25">
        <f>IF(AND(D106="",E106="",C106=""),"",IF(AND(D106="",E106=""),"FALTA razón social o nombres",IF(AND(C106&lt;&gt;"",SUMPRODUCT(--($C$5:$C$549=C106))&gt;1),"DOCUMENTO DUPLICADO",IF(AND(B106="DNI",C106&lt;&gt;"",LEN(C106&amp;"")&lt;&gt;8),"DNI debe tener 8 dígitos",IF(AND(B106="RUC",C106&lt;&gt;"",LEN(C106&amp;"")&lt;&gt;11),"RUC debe tener 11 dígitos",IF(AND(N106&lt;&gt;"",SUMPRODUCT(--($N$5:$N$549=N106))&gt;1),"CÓDIGO INTERNO DUPLICADO","OK"))))))</f>
        <v/>
      </c>
      <c r="B106" s="17" t="inlineStr">
        <is>
          <t>SD</t>
        </is>
      </c>
      <c r="C106" s="23" t="inlineStr">
        <is>
          <t>000018</t>
        </is>
      </c>
      <c r="D106" s="17" t="n"/>
      <c r="E106" s="17" t="inlineStr">
        <is>
          <t>JAVIER</t>
        </is>
      </c>
      <c r="F106" s="17" t="inlineStr">
        <is>
          <t>ESCALONA</t>
        </is>
      </c>
      <c r="G106" s="17" t="n"/>
      <c r="H106" s="31" t="inlineStr">
        <is>
          <t>Persona Jurídica</t>
        </is>
      </c>
      <c r="I106" s="17" t="inlineStr">
        <is>
          <t>Cliente</t>
        </is>
      </c>
      <c r="J106" s="31" t="n"/>
      <c r="K106" s="31" t="n"/>
      <c r="L106" s="45" t="n"/>
      <c r="M106" s="31" t="n"/>
      <c r="N106" s="45" t="n"/>
      <c r="O106" s="31" t="n"/>
      <c r="P106" s="46">
        <f>IF(A106&lt;&gt;"OK","","SELECT cli_crear_clientes(p_codigo_interno =&gt; "&amp;IF(TRIM(N106&amp;"")="","NULL","'"&amp;SUBSTITUTE(TRIM(N106),"'","''")&amp;"'")&amp;", p_razon_social =&gt; "&amp;IF(TRIM(D106&amp;"")="","NULL","'"&amp;SUBSTITUTE(TRIM(D106),"'","''")&amp;"'")&amp;", p_id_tipo_cliente =&gt; "&amp;IF(TRIM(I106&amp;"")="","NULL","(SELECT lo.id FROM gen_lista_opciones lo JOIN gen_lista l ON l.id = lo.id_lista WHERE l.nombre = 'TipoCliente' AND upper(lo.nombre) = upper('"&amp;SUBSTITUTE(TRIM(I106),"'","''")&amp;"') AND lo.estado = 1 LIMIT 1)")&amp;", p_id_tipo_persona =&gt; "&amp;IF(TRIM(H106&amp;"")="","NULL","(SELECT lo.id FROM gen_lista_opciones lo JOIN gen_lista l ON l.id = lo.id_lista WHERE l.nombre = 'TipoPersona' AND upper(lo.nombre) = upper('"&amp;SUBSTITUTE(TRIM(H106),"'","''")&amp;"') AND lo.estado = 1 LIMIT 1)")&amp;", p_nombres =&gt; "&amp;IF(TRIM(E106&amp;"")="","NULL","'"&amp;SUBSTITUTE(TRIM(E106),"'","''")&amp;"'")&amp;", p_apellido_paterno =&gt; "&amp;IF(TRIM(F106&amp;"")="","NULL","'"&amp;SUBSTITUTE(TRIM(F106),"'","''")&amp;"'")&amp;", p_apellido_materno =&gt; "&amp;IF(TRIM(G106&amp;"")="","NULL","'"&amp;SUBSTITUTE(TRIM(G106),"'","''")&amp;"'")&amp;", p_id_tipo_documento =&gt; "&amp;IF(TRIM(B106&amp;"")="","NULL","(SELECT lo.id FROM gen_lista_opciones lo JOIN gen_lista l ON l.id = lo.id_lista WHERE l.nombre = 'TipoDocumento' AND upper(lo.nombre) = upper('"&amp;SUBSTITUTE(TRIM(B106),"'","''")&amp;"') AND lo.estado = 1 LIMIT 1)")&amp;", p_numero_documento =&gt; "&amp;IF(TRIM(C106&amp;"")="","NULL","'"&amp;SUBSTITUTE(TRIM(C106),"'","''")&amp;"'")&amp;", p_telefono =&gt; "&amp;IF(TRIM(L106&amp;"")="","NULL","'"&amp;SUBSTITUTE(TRIM(L106),"'","''")&amp;"'")&amp;", p_email =&gt; "&amp;IF(TRIM(M106&amp;"")="","NULL","'"&amp;SUBSTITUTE(TRIM(M106),"'","''")&amp;"'")&amp;", p_observacion =&gt; "&amp;IF(TRIM(O106&amp;"")="","NULL","'"&amp;SUBSTITUTE(TRIM(O106),"'","''")&amp;"'")&amp;", p_direccion =&gt; "&amp;IF(TRIM(J106&amp;"")="","NULL","'"&amp;SUBSTITUTE(TRIM(J106),"'","''")&amp;"'")&amp;", p_referencia =&gt; "&amp;IF(TRIM(K106&amp;"")="","NULL","'"&amp;SUBSTITUTE(TRIM(K106),"'","''")&amp;"'")&amp;") AS resultado_cliente_"&amp;ROW()&amp;";")</f>
        <v/>
      </c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64">
      <c r="A107" s="25">
        <f>IF(AND(D107="",E107="",C107=""),"",IF(AND(D107="",E107=""),"FALTA razón social o nombres",IF(AND(C107&lt;&gt;"",SUMPRODUCT(--($C$5:$C$549=C107))&gt;1),"DOCUMENTO DUPLICADO",IF(AND(B107="DNI",C107&lt;&gt;"",LEN(C107&amp;"")&lt;&gt;8),"DNI debe tener 8 dígitos",IF(AND(B107="RUC",C107&lt;&gt;"",LEN(C107&amp;"")&lt;&gt;11),"RUC debe tener 11 dígitos",IF(AND(N107&lt;&gt;"",SUMPRODUCT(--($N$5:$N$549=N107))&gt;1),"CÓDIGO INTERNO DUPLICADO","OK"))))))</f>
        <v/>
      </c>
      <c r="B107" s="17" t="inlineStr">
        <is>
          <t>RUC</t>
        </is>
      </c>
      <c r="C107" s="23" t="inlineStr">
        <is>
          <t>10167103923</t>
        </is>
      </c>
      <c r="D107" s="17" t="inlineStr">
        <is>
          <t>ARREDONDO ARRIBASPLATA JOHN EDUARDO</t>
        </is>
      </c>
      <c r="E107" s="17" t="n"/>
      <c r="F107" s="17" t="n"/>
      <c r="G107" s="17" t="n"/>
      <c r="H107" s="31" t="inlineStr">
        <is>
          <t>Persona Jurídica</t>
        </is>
      </c>
      <c r="I107" s="17" t="inlineStr">
        <is>
          <t>Cliente</t>
        </is>
      </c>
      <c r="J107" s="31" t="n"/>
      <c r="K107" s="31" t="n"/>
      <c r="L107" s="45" t="n"/>
      <c r="M107" s="31" t="n"/>
      <c r="N107" s="45" t="n"/>
      <c r="O107" s="31" t="n"/>
      <c r="P107" s="46">
        <f>IF(A107&lt;&gt;"OK","","SELECT cli_crear_clientes(p_codigo_interno =&gt; "&amp;IF(TRIM(N107&amp;"")="","NULL","'"&amp;SUBSTITUTE(TRIM(N107),"'","''")&amp;"'")&amp;", p_razon_social =&gt; "&amp;IF(TRIM(D107&amp;"")="","NULL","'"&amp;SUBSTITUTE(TRIM(D107),"'","''")&amp;"'")&amp;", p_id_tipo_cliente =&gt; "&amp;IF(TRIM(I107&amp;"")="","NULL","(SELECT lo.id FROM gen_lista_opciones lo JOIN gen_lista l ON l.id = lo.id_lista WHERE l.nombre = 'TipoCliente' AND upper(lo.nombre) = upper('"&amp;SUBSTITUTE(TRIM(I107),"'","''")&amp;"') AND lo.estado = 1 LIMIT 1)")&amp;", p_id_tipo_persona =&gt; "&amp;IF(TRIM(H107&amp;"")="","NULL","(SELECT lo.id FROM gen_lista_opciones lo JOIN gen_lista l ON l.id = lo.id_lista WHERE l.nombre = 'TipoPersona' AND upper(lo.nombre) = upper('"&amp;SUBSTITUTE(TRIM(H107),"'","''")&amp;"') AND lo.estado = 1 LIMIT 1)")&amp;", p_nombres =&gt; "&amp;IF(TRIM(E107&amp;"")="","NULL","'"&amp;SUBSTITUTE(TRIM(E107),"'","''")&amp;"'")&amp;", p_apellido_paterno =&gt; "&amp;IF(TRIM(F107&amp;"")="","NULL","'"&amp;SUBSTITUTE(TRIM(F107),"'","''")&amp;"'")&amp;", p_apellido_materno =&gt; "&amp;IF(TRIM(G107&amp;"")="","NULL","'"&amp;SUBSTITUTE(TRIM(G107),"'","''")&amp;"'")&amp;", p_id_tipo_documento =&gt; "&amp;IF(TRIM(B107&amp;"")="","NULL","(SELECT lo.id FROM gen_lista_opciones lo JOIN gen_lista l ON l.id = lo.id_lista WHERE l.nombre = 'TipoDocumento' AND upper(lo.nombre) = upper('"&amp;SUBSTITUTE(TRIM(B107),"'","''")&amp;"') AND lo.estado = 1 LIMIT 1)")&amp;", p_numero_documento =&gt; "&amp;IF(TRIM(C107&amp;"")="","NULL","'"&amp;SUBSTITUTE(TRIM(C107),"'","''")&amp;"'")&amp;", p_telefono =&gt; "&amp;IF(TRIM(L107&amp;"")="","NULL","'"&amp;SUBSTITUTE(TRIM(L107),"'","''")&amp;"'")&amp;", p_email =&gt; "&amp;IF(TRIM(M107&amp;"")="","NULL","'"&amp;SUBSTITUTE(TRIM(M107),"'","''")&amp;"'")&amp;", p_observacion =&gt; "&amp;IF(TRIM(O107&amp;"")="","NULL","'"&amp;SUBSTITUTE(TRIM(O107),"'","''")&amp;"'")&amp;", p_direccion =&gt; "&amp;IF(TRIM(J107&amp;"")="","NULL","'"&amp;SUBSTITUTE(TRIM(J107),"'","''")&amp;"'")&amp;", p_referencia =&gt; "&amp;IF(TRIM(K107&amp;"")="","NULL","'"&amp;SUBSTITUTE(TRIM(K107),"'","''")&amp;"'")&amp;") AS resultado_cliente_"&amp;ROW()&amp;";")</f>
        <v/>
      </c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64">
      <c r="A108" s="25">
        <f>IF(AND(D108="",E108="",C108=""),"",IF(AND(D108="",E108=""),"FALTA razón social o nombres",IF(AND(C108&lt;&gt;"",SUMPRODUCT(--($C$5:$C$549=C108))&gt;1),"DOCUMENTO DUPLICADO",IF(AND(B108="DNI",C108&lt;&gt;"",LEN(C108&amp;"")&lt;&gt;8),"DNI debe tener 8 dígitos",IF(AND(B108="RUC",C108&lt;&gt;"",LEN(C108&amp;"")&lt;&gt;11),"RUC debe tener 11 dígitos",IF(AND(N108&lt;&gt;"",SUMPRODUCT(--($N$5:$N$549=N108))&gt;1),"CÓDIGO INTERNO DUPLICADO","OK"))))))</f>
        <v/>
      </c>
      <c r="B108" s="17" t="inlineStr">
        <is>
          <t>SD</t>
        </is>
      </c>
      <c r="C108" s="23" t="inlineStr">
        <is>
          <t>000019</t>
        </is>
      </c>
      <c r="D108" s="17" t="n"/>
      <c r="E108" s="17" t="inlineStr">
        <is>
          <t>AUGUSTO</t>
        </is>
      </c>
      <c r="F108" s="17" t="inlineStr">
        <is>
          <t>BALDERA</t>
        </is>
      </c>
      <c r="G108" s="17" t="n"/>
      <c r="H108" s="17" t="inlineStr">
        <is>
          <t>Persona Natural</t>
        </is>
      </c>
      <c r="I108" s="17" t="inlineStr">
        <is>
          <t>Cliente</t>
        </is>
      </c>
      <c r="J108" s="17" t="n"/>
      <c r="K108" s="17" t="n"/>
      <c r="L108" s="23" t="n"/>
      <c r="M108" s="17" t="n"/>
      <c r="N108" s="23" t="n"/>
      <c r="O108" s="17" t="n"/>
      <c r="P108" s="28">
        <f>IF(A108&lt;&gt;"OK","","SELECT cli_crear_clientes(p_codigo_interno =&gt; "&amp;IF(TRIM(N108&amp;"")="","NULL","'"&amp;SUBSTITUTE(TRIM(N108),"'","''")&amp;"'")&amp;", p_razon_social =&gt; "&amp;IF(TRIM(D108&amp;"")="","NULL","'"&amp;SUBSTITUTE(TRIM(D108),"'","''")&amp;"'")&amp;", p_id_tipo_cliente =&gt; "&amp;IF(TRIM(I108&amp;"")="","NULL","(SELECT lo.id FROM gen_lista_opciones lo JOIN gen_lista l ON l.id = lo.id_lista WHERE l.nombre = 'TipoCliente' AND upper(lo.nombre) = upper('"&amp;SUBSTITUTE(TRIM(I108),"'","''")&amp;"') AND lo.estado = 1 LIMIT 1)")&amp;", p_id_tipo_persona =&gt; "&amp;IF(TRIM(H108&amp;"")="","NULL","(SELECT lo.id FROM gen_lista_opciones lo JOIN gen_lista l ON l.id = lo.id_lista WHERE l.nombre = 'TipoPersona' AND upper(lo.nombre) = upper('"&amp;SUBSTITUTE(TRIM(H108),"'","''")&amp;"') AND lo.estado = 1 LIMIT 1)")&amp;", p_nombres =&gt; "&amp;IF(TRIM(E108&amp;"")="","NULL","'"&amp;SUBSTITUTE(TRIM(E108),"'","''")&amp;"'")&amp;", p_apellido_paterno =&gt; "&amp;IF(TRIM(F108&amp;"")="","NULL","'"&amp;SUBSTITUTE(TRIM(F108),"'","''")&amp;"'")&amp;", p_apellido_materno =&gt; "&amp;IF(TRIM(G108&amp;"")="","NULL","'"&amp;SUBSTITUTE(TRIM(G108),"'","''")&amp;"'")&amp;", p_id_tipo_documento =&gt; "&amp;IF(TRIM(B108&amp;"")="","NULL","(SELECT lo.id FROM gen_lista_opciones lo JOIN gen_lista l ON l.id = lo.id_lista WHERE l.nombre = 'TipoDocumento' AND upper(lo.nombre) = upper('"&amp;SUBSTITUTE(TRIM(B108),"'","''")&amp;"') AND lo.estado = 1 LIMIT 1)")&amp;", p_numero_documento =&gt; "&amp;IF(TRIM(C108&amp;"")="","NULL","'"&amp;SUBSTITUTE(TRIM(C108),"'","''")&amp;"'")&amp;", p_telefono =&gt; "&amp;IF(TRIM(L108&amp;"")="","NULL","'"&amp;SUBSTITUTE(TRIM(L108),"'","''")&amp;"'")&amp;", p_email =&gt; "&amp;IF(TRIM(M108&amp;"")="","NULL","'"&amp;SUBSTITUTE(TRIM(M108),"'","''")&amp;"'")&amp;", p_observacion =&gt; "&amp;IF(TRIM(O108&amp;"")="","NULL","'"&amp;SUBSTITUTE(TRIM(O108),"'","''")&amp;"'")&amp;", p_direccion =&gt; "&amp;IF(TRIM(J108&amp;"")="","NULL","'"&amp;SUBSTITUTE(TRIM(J108),"'","''")&amp;"'")&amp;", p_referencia =&gt; "&amp;IF(TRIM(K108&amp;"")="","NULL","'"&amp;SUBSTITUTE(TRIM(K108),"'","''")&amp;"'")&amp;") AS resultado_cliente_"&amp;ROW()&amp;";")</f>
        <v/>
      </c>
    </row>
    <row r="109" ht="15.75" customHeight="1" s="64">
      <c r="A109" s="25">
        <f>IF(AND(D109="",E109="",C109=""),"",IF(AND(D109="",E109=""),"FALTA razón social o nombres",IF(AND(C109&lt;&gt;"",SUMPRODUCT(--($C$5:$C$549=C109))&gt;1),"DOCUMENTO DUPLICADO",IF(AND(B109="DNI",C109&lt;&gt;"",LEN(C109&amp;"")&lt;&gt;8),"DNI debe tener 8 dígitos",IF(AND(B109="RUC",C109&lt;&gt;"",LEN(C109&amp;"")&lt;&gt;11),"RUC debe tener 11 dígitos",IF(AND(N109&lt;&gt;"",SUMPRODUCT(--($N$5:$N$549=N109))&gt;1),"CÓDIGO INTERNO DUPLICADO","OK"))))))</f>
        <v/>
      </c>
      <c r="B109" s="17" t="inlineStr">
        <is>
          <t>SD</t>
        </is>
      </c>
      <c r="C109" s="23" t="inlineStr">
        <is>
          <t>000020</t>
        </is>
      </c>
      <c r="D109" s="17" t="n"/>
      <c r="E109" s="17" t="inlineStr">
        <is>
          <t>PEDRO</t>
        </is>
      </c>
      <c r="F109" s="17" t="inlineStr">
        <is>
          <t xml:space="preserve">BANCES </t>
        </is>
      </c>
      <c r="G109" s="17" t="inlineStr">
        <is>
          <t xml:space="preserve">BANCES </t>
        </is>
      </c>
      <c r="H109" s="17" t="inlineStr">
        <is>
          <t>Persona Natural</t>
        </is>
      </c>
      <c r="I109" s="17" t="inlineStr">
        <is>
          <t>Cliente</t>
        </is>
      </c>
      <c r="J109" s="17" t="n"/>
      <c r="K109" s="17" t="n"/>
      <c r="L109" s="23" t="n"/>
      <c r="M109" s="17" t="n"/>
      <c r="N109" s="23" t="n"/>
      <c r="O109" s="17" t="n"/>
      <c r="P109" s="28">
        <f>IF(A109&lt;&gt;"OK","","SELECT cli_crear_clientes(p_codigo_interno =&gt; "&amp;IF(TRIM(N109&amp;"")="","NULL","'"&amp;SUBSTITUTE(TRIM(N109),"'","''")&amp;"'")&amp;", p_razon_social =&gt; "&amp;IF(TRIM(D109&amp;"")="","NULL","'"&amp;SUBSTITUTE(TRIM(D109),"'","''")&amp;"'")&amp;", p_id_tipo_cliente =&gt; "&amp;IF(TRIM(I109&amp;"")="","NULL","(SELECT lo.id FROM gen_lista_opciones lo JOIN gen_lista l ON l.id = lo.id_lista WHERE l.nombre = 'TipoCliente' AND upper(lo.nombre) = upper('"&amp;SUBSTITUTE(TRIM(I109),"'","''")&amp;"') AND lo.estado = 1 LIMIT 1)")&amp;", p_id_tipo_persona =&gt; "&amp;IF(TRIM(H109&amp;"")="","NULL","(SELECT lo.id FROM gen_lista_opciones lo JOIN gen_lista l ON l.id = lo.id_lista WHERE l.nombre = 'TipoPersona' AND upper(lo.nombre) = upper('"&amp;SUBSTITUTE(TRIM(H109),"'","''")&amp;"') AND lo.estado = 1 LIMIT 1)")&amp;", p_nombres =&gt; "&amp;IF(TRIM(E109&amp;"")="","NULL","'"&amp;SUBSTITUTE(TRIM(E109),"'","''")&amp;"'")&amp;", p_apellido_paterno =&gt; "&amp;IF(TRIM(F109&amp;"")="","NULL","'"&amp;SUBSTITUTE(TRIM(F109),"'","''")&amp;"'")&amp;", p_apellido_materno =&gt; "&amp;IF(TRIM(G109&amp;"")="","NULL","'"&amp;SUBSTITUTE(TRIM(G109),"'","''")&amp;"'")&amp;", p_id_tipo_documento =&gt; "&amp;IF(TRIM(B109&amp;"")="","NULL","(SELECT lo.id FROM gen_lista_opciones lo JOIN gen_lista l ON l.id = lo.id_lista WHERE l.nombre = 'TipoDocumento' AND upper(lo.nombre) = upper('"&amp;SUBSTITUTE(TRIM(B109),"'","''")&amp;"') AND lo.estado = 1 LIMIT 1)")&amp;", p_numero_documento =&gt; "&amp;IF(TRIM(C109&amp;"")="","NULL","'"&amp;SUBSTITUTE(TRIM(C109),"'","''")&amp;"'")&amp;", p_telefono =&gt; "&amp;IF(TRIM(L109&amp;"")="","NULL","'"&amp;SUBSTITUTE(TRIM(L109),"'","''")&amp;"'")&amp;", p_email =&gt; "&amp;IF(TRIM(M109&amp;"")="","NULL","'"&amp;SUBSTITUTE(TRIM(M109),"'","''")&amp;"'")&amp;", p_observacion =&gt; "&amp;IF(TRIM(O109&amp;"")="","NULL","'"&amp;SUBSTITUTE(TRIM(O109),"'","''")&amp;"'")&amp;", p_direccion =&gt; "&amp;IF(TRIM(J109&amp;"")="","NULL","'"&amp;SUBSTITUTE(TRIM(J109),"'","''")&amp;"'")&amp;", p_referencia =&gt; "&amp;IF(TRIM(K109&amp;"")="","NULL","'"&amp;SUBSTITUTE(TRIM(K109),"'","''")&amp;"'")&amp;") AS resultado_cliente_"&amp;ROW()&amp;";")</f>
        <v/>
      </c>
    </row>
    <row r="110" ht="15.75" customHeight="1" s="64">
      <c r="A110" s="25">
        <f>IF(AND(D110="",E110="",C110=""),"",IF(AND(D110="",E110=""),"FALTA razón social o nombres",IF(AND(C110&lt;&gt;"",SUMPRODUCT(--($C$5:$C$549=C110))&gt;1),"DOCUMENTO DUPLICADO",IF(AND(B110="DNI",C110&lt;&gt;"",LEN(C110&amp;"")&lt;&gt;8),"DNI debe tener 8 dígitos",IF(AND(B110="RUC",C110&lt;&gt;"",LEN(C110&amp;"")&lt;&gt;11),"RUC debe tener 11 dígitos",IF(AND(N110&lt;&gt;"",SUMPRODUCT(--($N$5:$N$549=N110))&gt;1),"CÓDIGO INTERNO DUPLICADO","OK"))))))</f>
        <v/>
      </c>
      <c r="B110" s="17" t="inlineStr">
        <is>
          <t>DNI</t>
        </is>
      </c>
      <c r="C110" s="23" t="inlineStr">
        <is>
          <t>28069256</t>
        </is>
      </c>
      <c r="D110" s="17" t="n"/>
      <c r="E110" s="17" t="inlineStr">
        <is>
          <t>JOILE AMABLE</t>
        </is>
      </c>
      <c r="F110" s="17" t="inlineStr">
        <is>
          <t xml:space="preserve">CACERES </t>
        </is>
      </c>
      <c r="G110" s="17" t="inlineStr">
        <is>
          <t xml:space="preserve">LOZANO </t>
        </is>
      </c>
      <c r="H110" s="17" t="inlineStr">
        <is>
          <t>Persona Natural</t>
        </is>
      </c>
      <c r="I110" s="17" t="inlineStr">
        <is>
          <t>Cliente</t>
        </is>
      </c>
      <c r="J110" s="17" t="n"/>
      <c r="K110" s="17" t="n"/>
      <c r="L110" s="23" t="n"/>
      <c r="M110" s="17" t="n"/>
      <c r="N110" s="23" t="n"/>
      <c r="O110" s="17" t="n"/>
      <c r="P110" s="28">
        <f>IF(A110&lt;&gt;"OK","","SELECT cli_crear_clientes(p_codigo_interno =&gt; "&amp;IF(TRIM(N110&amp;"")="","NULL","'"&amp;SUBSTITUTE(TRIM(N110),"'","''")&amp;"'")&amp;", p_razon_social =&gt; "&amp;IF(TRIM(D110&amp;"")="","NULL","'"&amp;SUBSTITUTE(TRIM(D110),"'","''")&amp;"'")&amp;", p_id_tipo_cliente =&gt; "&amp;IF(TRIM(I110&amp;"")="","NULL","(SELECT lo.id FROM gen_lista_opciones lo JOIN gen_lista l ON l.id = lo.id_lista WHERE l.nombre = 'TipoCliente' AND upper(lo.nombre) = upper('"&amp;SUBSTITUTE(TRIM(I110),"'","''")&amp;"') AND lo.estado = 1 LIMIT 1)")&amp;", p_id_tipo_persona =&gt; "&amp;IF(TRIM(H110&amp;"")="","NULL","(SELECT lo.id FROM gen_lista_opciones lo JOIN gen_lista l ON l.id = lo.id_lista WHERE l.nombre = 'TipoPersona' AND upper(lo.nombre) = upper('"&amp;SUBSTITUTE(TRIM(H110),"'","''")&amp;"') AND lo.estado = 1 LIMIT 1)")&amp;", p_nombres =&gt; "&amp;IF(TRIM(E110&amp;"")="","NULL","'"&amp;SUBSTITUTE(TRIM(E110),"'","''")&amp;"'")&amp;", p_apellido_paterno =&gt; "&amp;IF(TRIM(F110&amp;"")="","NULL","'"&amp;SUBSTITUTE(TRIM(F110),"'","''")&amp;"'")&amp;", p_apellido_materno =&gt; "&amp;IF(TRIM(G110&amp;"")="","NULL","'"&amp;SUBSTITUTE(TRIM(G110),"'","''")&amp;"'")&amp;", p_id_tipo_documento =&gt; "&amp;IF(TRIM(B110&amp;"")="","NULL","(SELECT lo.id FROM gen_lista_opciones lo JOIN gen_lista l ON l.id = lo.id_lista WHERE l.nombre = 'TipoDocumento' AND upper(lo.nombre) = upper('"&amp;SUBSTITUTE(TRIM(B110),"'","''")&amp;"') AND lo.estado = 1 LIMIT 1)")&amp;", p_numero_documento =&gt; "&amp;IF(TRIM(C110&amp;"")="","NULL","'"&amp;SUBSTITUTE(TRIM(C110),"'","''")&amp;"'")&amp;", p_telefono =&gt; "&amp;IF(TRIM(L110&amp;"")="","NULL","'"&amp;SUBSTITUTE(TRIM(L110),"'","''")&amp;"'")&amp;", p_email =&gt; "&amp;IF(TRIM(M110&amp;"")="","NULL","'"&amp;SUBSTITUTE(TRIM(M110),"'","''")&amp;"'")&amp;", p_observacion =&gt; "&amp;IF(TRIM(O110&amp;"")="","NULL","'"&amp;SUBSTITUTE(TRIM(O110),"'","''")&amp;"'")&amp;", p_direccion =&gt; "&amp;IF(TRIM(J110&amp;"")="","NULL","'"&amp;SUBSTITUTE(TRIM(J110),"'","''")&amp;"'")&amp;", p_referencia =&gt; "&amp;IF(TRIM(K110&amp;"")="","NULL","'"&amp;SUBSTITUTE(TRIM(K110),"'","''")&amp;"'")&amp;") AS resultado_cliente_"&amp;ROW()&amp;";")</f>
        <v/>
      </c>
    </row>
    <row r="111" ht="15.75" customHeight="1" s="64">
      <c r="A111" s="25">
        <f>IF(AND(D111="",E111="",C111=""),"",IF(AND(D111="",E111=""),"FALTA razón social o nombres",IF(AND(C111&lt;&gt;"",SUMPRODUCT(--($C$5:$C$549=C111))&gt;1),"DOCUMENTO DUPLICADO",IF(AND(B111="DNI",C111&lt;&gt;"",LEN(C111&amp;"")&lt;&gt;8),"DNI debe tener 8 dígitos",IF(AND(B111="RUC",C111&lt;&gt;"",LEN(C111&amp;"")&lt;&gt;11),"RUC debe tener 11 dígitos",IF(AND(N111&lt;&gt;"",SUMPRODUCT(--($N$5:$N$549=N111))&gt;1),"CÓDIGO INTERNO DUPLICADO","OK"))))))</f>
        <v/>
      </c>
      <c r="B111" s="17" t="inlineStr">
        <is>
          <t>SD</t>
        </is>
      </c>
      <c r="C111" s="23" t="inlineStr">
        <is>
          <t>000021</t>
        </is>
      </c>
      <c r="D111" s="17" t="n"/>
      <c r="E111" s="17" t="inlineStr">
        <is>
          <t>DEVAR</t>
        </is>
      </c>
      <c r="F111" s="17" t="inlineStr">
        <is>
          <t>CALVAY</t>
        </is>
      </c>
      <c r="G111" s="17" t="inlineStr">
        <is>
          <t>PEÑA</t>
        </is>
      </c>
      <c r="H111" s="17" t="inlineStr">
        <is>
          <t>Persona Natural</t>
        </is>
      </c>
      <c r="I111" s="17" t="inlineStr">
        <is>
          <t>Cliente</t>
        </is>
      </c>
      <c r="J111" s="17" t="n"/>
      <c r="K111" s="17" t="n"/>
      <c r="L111" s="23" t="n"/>
      <c r="M111" s="17" t="n"/>
      <c r="N111" s="23" t="n"/>
      <c r="O111" s="17" t="n"/>
      <c r="P111" s="28">
        <f>IF(A111&lt;&gt;"OK","","SELECT cli_crear_clientes(p_codigo_interno =&gt; "&amp;IF(TRIM(N111&amp;"")="","NULL","'"&amp;SUBSTITUTE(TRIM(N111),"'","''")&amp;"'")&amp;", p_razon_social =&gt; "&amp;IF(TRIM(D111&amp;"")="","NULL","'"&amp;SUBSTITUTE(TRIM(D111),"'","''")&amp;"'")&amp;", p_id_tipo_cliente =&gt; "&amp;IF(TRIM(I111&amp;"")="","NULL","(SELECT lo.id FROM gen_lista_opciones lo JOIN gen_lista l ON l.id = lo.id_lista WHERE l.nombre = 'TipoCliente' AND upper(lo.nombre) = upper('"&amp;SUBSTITUTE(TRIM(I111),"'","''")&amp;"') AND lo.estado = 1 LIMIT 1)")&amp;", p_id_tipo_persona =&gt; "&amp;IF(TRIM(H111&amp;"")="","NULL","(SELECT lo.id FROM gen_lista_opciones lo JOIN gen_lista l ON l.id = lo.id_lista WHERE l.nombre = 'TipoPersona' AND upper(lo.nombre) = upper('"&amp;SUBSTITUTE(TRIM(H111),"'","''")&amp;"') AND lo.estado = 1 LIMIT 1)")&amp;", p_nombres =&gt; "&amp;IF(TRIM(E111&amp;"")="","NULL","'"&amp;SUBSTITUTE(TRIM(E111),"'","''")&amp;"'")&amp;", p_apellido_paterno =&gt; "&amp;IF(TRIM(F111&amp;"")="","NULL","'"&amp;SUBSTITUTE(TRIM(F111),"'","''")&amp;"'")&amp;", p_apellido_materno =&gt; "&amp;IF(TRIM(G111&amp;"")="","NULL","'"&amp;SUBSTITUTE(TRIM(G111),"'","''")&amp;"'")&amp;", p_id_tipo_documento =&gt; "&amp;IF(TRIM(B111&amp;"")="","NULL","(SELECT lo.id FROM gen_lista_opciones lo JOIN gen_lista l ON l.id = lo.id_lista WHERE l.nombre = 'TipoDocumento' AND upper(lo.nombre) = upper('"&amp;SUBSTITUTE(TRIM(B111),"'","''")&amp;"') AND lo.estado = 1 LIMIT 1)")&amp;", p_numero_documento =&gt; "&amp;IF(TRIM(C111&amp;"")="","NULL","'"&amp;SUBSTITUTE(TRIM(C111),"'","''")&amp;"'")&amp;", p_telefono =&gt; "&amp;IF(TRIM(L111&amp;"")="","NULL","'"&amp;SUBSTITUTE(TRIM(L111),"'","''")&amp;"'")&amp;", p_email =&gt; "&amp;IF(TRIM(M111&amp;"")="","NULL","'"&amp;SUBSTITUTE(TRIM(M111),"'","''")&amp;"'")&amp;", p_observacion =&gt; "&amp;IF(TRIM(O111&amp;"")="","NULL","'"&amp;SUBSTITUTE(TRIM(O111),"'","''")&amp;"'")&amp;", p_direccion =&gt; "&amp;IF(TRIM(J111&amp;"")="","NULL","'"&amp;SUBSTITUTE(TRIM(J111),"'","''")&amp;"'")&amp;", p_referencia =&gt; "&amp;IF(TRIM(K111&amp;"")="","NULL","'"&amp;SUBSTITUTE(TRIM(K111),"'","''")&amp;"'")&amp;") AS resultado_cliente_"&amp;ROW()&amp;";")</f>
        <v/>
      </c>
    </row>
    <row r="112" ht="15.75" customHeight="1" s="64">
      <c r="A112" s="25">
        <f>IF(AND(D112="",E112="",C112=""),"",IF(AND(D112="",E112=""),"FALTA razón social o nombres",IF(AND(C112&lt;&gt;"",SUMPRODUCT(--($C$5:$C$549=C112))&gt;1),"DOCUMENTO DUPLICADO",IF(AND(B112="DNI",C112&lt;&gt;"",LEN(C112&amp;"")&lt;&gt;8),"DNI debe tener 8 dígitos",IF(AND(B112="RUC",C112&lt;&gt;"",LEN(C112&amp;"")&lt;&gt;11),"RUC debe tener 11 dígitos",IF(AND(N112&lt;&gt;"",SUMPRODUCT(--($N$5:$N$549=N112))&gt;1),"CÓDIGO INTERNO DUPLICADO","OK"))))))</f>
        <v/>
      </c>
      <c r="B112" s="17" t="inlineStr">
        <is>
          <t>RUC</t>
        </is>
      </c>
      <c r="C112" s="23" t="inlineStr">
        <is>
          <t>10277270213</t>
        </is>
      </c>
      <c r="D112" s="17" t="inlineStr">
        <is>
          <t>CAMACHO ZELADA ANTERO VIDAL</t>
        </is>
      </c>
      <c r="E112" s="17" t="n"/>
      <c r="F112" s="17" t="n"/>
      <c r="G112" s="17" t="n"/>
      <c r="H112" s="17" t="inlineStr">
        <is>
          <t>Persona Jurídica</t>
        </is>
      </c>
      <c r="I112" s="17" t="inlineStr">
        <is>
          <t>Cliente</t>
        </is>
      </c>
      <c r="J112" s="17" t="n"/>
      <c r="K112" s="17" t="n"/>
      <c r="L112" s="23" t="n"/>
      <c r="M112" s="17" t="n"/>
      <c r="N112" s="23" t="n"/>
      <c r="O112" s="17" t="n"/>
      <c r="P112" s="28">
        <f>IF(A112&lt;&gt;"OK","","SELECT cli_crear_clientes(p_codigo_interno =&gt; "&amp;IF(TRIM(N112&amp;"")="","NULL","'"&amp;SUBSTITUTE(TRIM(N112),"'","''")&amp;"'")&amp;", p_razon_social =&gt; "&amp;IF(TRIM(D112&amp;"")="","NULL","'"&amp;SUBSTITUTE(TRIM(D112),"'","''")&amp;"'")&amp;", p_id_tipo_cliente =&gt; "&amp;IF(TRIM(I112&amp;"")="","NULL","(SELECT lo.id FROM gen_lista_opciones lo JOIN gen_lista l ON l.id = lo.id_lista WHERE l.nombre = 'TipoCliente' AND upper(lo.nombre) = upper('"&amp;SUBSTITUTE(TRIM(I112),"'","''")&amp;"') AND lo.estado = 1 LIMIT 1)")&amp;", p_id_tipo_persona =&gt; "&amp;IF(TRIM(H112&amp;"")="","NULL","(SELECT lo.id FROM gen_lista_opciones lo JOIN gen_lista l ON l.id = lo.id_lista WHERE l.nombre = 'TipoPersona' AND upper(lo.nombre) = upper('"&amp;SUBSTITUTE(TRIM(H112),"'","''")&amp;"') AND lo.estado = 1 LIMIT 1)")&amp;", p_nombres =&gt; "&amp;IF(TRIM(E112&amp;"")="","NULL","'"&amp;SUBSTITUTE(TRIM(E112),"'","''")&amp;"'")&amp;", p_apellido_paterno =&gt; "&amp;IF(TRIM(F112&amp;"")="","NULL","'"&amp;SUBSTITUTE(TRIM(F112),"'","''")&amp;"'")&amp;", p_apellido_materno =&gt; "&amp;IF(TRIM(G112&amp;"")="","NULL","'"&amp;SUBSTITUTE(TRIM(G112),"'","''")&amp;"'")&amp;", p_id_tipo_documento =&gt; "&amp;IF(TRIM(B112&amp;"")="","NULL","(SELECT lo.id FROM gen_lista_opciones lo JOIN gen_lista l ON l.id = lo.id_lista WHERE l.nombre = 'TipoDocumento' AND upper(lo.nombre) = upper('"&amp;SUBSTITUTE(TRIM(B112),"'","''")&amp;"') AND lo.estado = 1 LIMIT 1)")&amp;", p_numero_documento =&gt; "&amp;IF(TRIM(C112&amp;"")="","NULL","'"&amp;SUBSTITUTE(TRIM(C112),"'","''")&amp;"'")&amp;", p_telefono =&gt; "&amp;IF(TRIM(L112&amp;"")="","NULL","'"&amp;SUBSTITUTE(TRIM(L112),"'","''")&amp;"'")&amp;", p_email =&gt; "&amp;IF(TRIM(M112&amp;"")="","NULL","'"&amp;SUBSTITUTE(TRIM(M112),"'","''")&amp;"'")&amp;", p_observacion =&gt; "&amp;IF(TRIM(O112&amp;"")="","NULL","'"&amp;SUBSTITUTE(TRIM(O112),"'","''")&amp;"'")&amp;", p_direccion =&gt; "&amp;IF(TRIM(J112&amp;"")="","NULL","'"&amp;SUBSTITUTE(TRIM(J112),"'","''")&amp;"'")&amp;", p_referencia =&gt; "&amp;IF(TRIM(K112&amp;"")="","NULL","'"&amp;SUBSTITUTE(TRIM(K112),"'","''")&amp;"'")&amp;") AS resultado_cliente_"&amp;ROW()&amp;";")</f>
        <v/>
      </c>
    </row>
    <row r="113" ht="15.75" customHeight="1" s="64">
      <c r="A113" s="25">
        <f>IF(AND(D113="",E113="",C113=""),"",IF(AND(D113="",E113=""),"FALTA razón social o nombres",IF(AND(C113&lt;&gt;"",SUMPRODUCT(--($C$5:$C$549=C113))&gt;1),"DOCUMENTO DUPLICADO",IF(AND(B113="DNI",C113&lt;&gt;"",LEN(C113&amp;"")&lt;&gt;8),"DNI debe tener 8 dígitos",IF(AND(B113="RUC",C113&lt;&gt;"",LEN(C113&amp;"")&lt;&gt;11),"RUC debe tener 11 dígitos",IF(AND(N113&lt;&gt;"",SUMPRODUCT(--($N$5:$N$549=N113))&gt;1),"CÓDIGO INTERNO DUPLICADO","OK"))))))</f>
        <v/>
      </c>
      <c r="B113" s="17" t="inlineStr">
        <is>
          <t>DNI</t>
        </is>
      </c>
      <c r="C113" s="23" t="inlineStr">
        <is>
          <t>16688260</t>
        </is>
      </c>
      <c r="D113" s="17" t="n"/>
      <c r="E113" s="17" t="inlineStr">
        <is>
          <t>JUAN</t>
        </is>
      </c>
      <c r="F113" s="17" t="inlineStr">
        <is>
          <t xml:space="preserve">DEL CANTO </t>
        </is>
      </c>
      <c r="G113" s="17" t="inlineStr">
        <is>
          <t>PATRONI</t>
        </is>
      </c>
      <c r="H113" s="17" t="inlineStr">
        <is>
          <t>Persona Natural</t>
        </is>
      </c>
      <c r="I113" s="17" t="inlineStr">
        <is>
          <t>Cliente</t>
        </is>
      </c>
      <c r="J113" s="17" t="n"/>
      <c r="K113" s="17" t="n"/>
      <c r="L113" s="23" t="n"/>
      <c r="M113" s="17" t="n"/>
      <c r="N113" s="23" t="n"/>
      <c r="O113" s="17" t="n"/>
      <c r="P113" s="28">
        <f>IF(A113&lt;&gt;"OK","","SELECT cli_crear_clientes(p_codigo_interno =&gt; "&amp;IF(TRIM(N113&amp;"")="","NULL","'"&amp;SUBSTITUTE(TRIM(N113),"'","''")&amp;"'")&amp;", p_razon_social =&gt; "&amp;IF(TRIM(D113&amp;"")="","NULL","'"&amp;SUBSTITUTE(TRIM(D113),"'","''")&amp;"'")&amp;", p_id_tipo_cliente =&gt; "&amp;IF(TRIM(I113&amp;"")="","NULL","(SELECT lo.id FROM gen_lista_opciones lo JOIN gen_lista l ON l.id = lo.id_lista WHERE l.nombre = 'TipoCliente' AND upper(lo.nombre) = upper('"&amp;SUBSTITUTE(TRIM(I113),"'","''")&amp;"') AND lo.estado = 1 LIMIT 1)")&amp;", p_id_tipo_persona =&gt; "&amp;IF(TRIM(H113&amp;"")="","NULL","(SELECT lo.id FROM gen_lista_opciones lo JOIN gen_lista l ON l.id = lo.id_lista WHERE l.nombre = 'TipoPersona' AND upper(lo.nombre) = upper('"&amp;SUBSTITUTE(TRIM(H113),"'","''")&amp;"') AND lo.estado = 1 LIMIT 1)")&amp;", p_nombres =&gt; "&amp;IF(TRIM(E113&amp;"")="","NULL","'"&amp;SUBSTITUTE(TRIM(E113),"'","''")&amp;"'")&amp;", p_apellido_paterno =&gt; "&amp;IF(TRIM(F113&amp;"")="","NULL","'"&amp;SUBSTITUTE(TRIM(F113),"'","''")&amp;"'")&amp;", p_apellido_materno =&gt; "&amp;IF(TRIM(G113&amp;"")="","NULL","'"&amp;SUBSTITUTE(TRIM(G113),"'","''")&amp;"'")&amp;", p_id_tipo_documento =&gt; "&amp;IF(TRIM(B113&amp;"")="","NULL","(SELECT lo.id FROM gen_lista_opciones lo JOIN gen_lista l ON l.id = lo.id_lista WHERE l.nombre = 'TipoDocumento' AND upper(lo.nombre) = upper('"&amp;SUBSTITUTE(TRIM(B113),"'","''")&amp;"') AND lo.estado = 1 LIMIT 1)")&amp;", p_numero_documento =&gt; "&amp;IF(TRIM(C113&amp;"")="","NULL","'"&amp;SUBSTITUTE(TRIM(C113),"'","''")&amp;"'")&amp;", p_telefono =&gt; "&amp;IF(TRIM(L113&amp;"")="","NULL","'"&amp;SUBSTITUTE(TRIM(L113),"'","''")&amp;"'")&amp;", p_email =&gt; "&amp;IF(TRIM(M113&amp;"")="","NULL","'"&amp;SUBSTITUTE(TRIM(M113),"'","''")&amp;"'")&amp;", p_observacion =&gt; "&amp;IF(TRIM(O113&amp;"")="","NULL","'"&amp;SUBSTITUTE(TRIM(O113),"'","''")&amp;"'")&amp;", p_direccion =&gt; "&amp;IF(TRIM(J113&amp;"")="","NULL","'"&amp;SUBSTITUTE(TRIM(J113),"'","''")&amp;"'")&amp;", p_referencia =&gt; "&amp;IF(TRIM(K113&amp;"")="","NULL","'"&amp;SUBSTITUTE(TRIM(K113),"'","''")&amp;"'")&amp;") AS resultado_cliente_"&amp;ROW()&amp;";")</f>
        <v/>
      </c>
    </row>
    <row r="114" ht="15.75" customHeight="1" s="64">
      <c r="A114" s="25">
        <f>IF(AND(D114="",E114="",C114=""),"",IF(AND(D114="",E114=""),"FALTA razón social o nombres",IF(AND(C114&lt;&gt;"",SUMPRODUCT(--($C$5:$C$549=C114))&gt;1),"DOCUMENTO DUPLICADO",IF(AND(B114="DNI",C114&lt;&gt;"",LEN(C114&amp;"")&lt;&gt;8),"DNI debe tener 8 dígitos",IF(AND(B114="RUC",C114&lt;&gt;"",LEN(C114&amp;"")&lt;&gt;11),"RUC debe tener 11 dígitos",IF(AND(N114&lt;&gt;"",SUMPRODUCT(--($N$5:$N$549=N114))&gt;1),"CÓDIGO INTERNO DUPLICADO","OK"))))))</f>
        <v/>
      </c>
      <c r="B114" s="17" t="inlineStr">
        <is>
          <t>RUC</t>
        </is>
      </c>
      <c r="C114" s="23" t="inlineStr">
        <is>
          <t>10435901871</t>
        </is>
      </c>
      <c r="D114" s="17" t="inlineStr">
        <is>
          <t>CASTILLO LEON ROBERT STEVE</t>
        </is>
      </c>
      <c r="E114" s="17" t="n"/>
      <c r="F114" s="17" t="n"/>
      <c r="G114" s="17" t="n"/>
      <c r="H114" s="17" t="inlineStr">
        <is>
          <t>Persona Jurídica</t>
        </is>
      </c>
      <c r="I114" s="17" t="inlineStr">
        <is>
          <t>Cliente</t>
        </is>
      </c>
      <c r="J114" s="17" t="n"/>
      <c r="K114" s="17" t="n"/>
      <c r="L114" s="23" t="n"/>
      <c r="M114" s="17" t="n"/>
      <c r="N114" s="23" t="n"/>
      <c r="O114" s="17" t="n"/>
      <c r="P114" s="28">
        <f>IF(A114&lt;&gt;"OK","","SELECT cli_crear_clientes(p_codigo_interno =&gt; "&amp;IF(TRIM(N114&amp;"")="","NULL","'"&amp;SUBSTITUTE(TRIM(N114),"'","''")&amp;"'")&amp;", p_razon_social =&gt; "&amp;IF(TRIM(D114&amp;"")="","NULL","'"&amp;SUBSTITUTE(TRIM(D114),"'","''")&amp;"'")&amp;", p_id_tipo_cliente =&gt; "&amp;IF(TRIM(I114&amp;"")="","NULL","(SELECT lo.id FROM gen_lista_opciones lo JOIN gen_lista l ON l.id = lo.id_lista WHERE l.nombre = 'TipoCliente' AND upper(lo.nombre) = upper('"&amp;SUBSTITUTE(TRIM(I114),"'","''")&amp;"') AND lo.estado = 1 LIMIT 1)")&amp;", p_id_tipo_persona =&gt; "&amp;IF(TRIM(H114&amp;"")="","NULL","(SELECT lo.id FROM gen_lista_opciones lo JOIN gen_lista l ON l.id = lo.id_lista WHERE l.nombre = 'TipoPersona' AND upper(lo.nombre) = upper('"&amp;SUBSTITUTE(TRIM(H114),"'","''")&amp;"') AND lo.estado = 1 LIMIT 1)")&amp;", p_nombres =&gt; "&amp;IF(TRIM(E114&amp;"")="","NULL","'"&amp;SUBSTITUTE(TRIM(E114),"'","''")&amp;"'")&amp;", p_apellido_paterno =&gt; "&amp;IF(TRIM(F114&amp;"")="","NULL","'"&amp;SUBSTITUTE(TRIM(F114),"'","''")&amp;"'")&amp;", p_apellido_materno =&gt; "&amp;IF(TRIM(G114&amp;"")="","NULL","'"&amp;SUBSTITUTE(TRIM(G114),"'","''")&amp;"'")&amp;", p_id_tipo_documento =&gt; "&amp;IF(TRIM(B114&amp;"")="","NULL","(SELECT lo.id FROM gen_lista_opciones lo JOIN gen_lista l ON l.id = lo.id_lista WHERE l.nombre = 'TipoDocumento' AND upper(lo.nombre) = upper('"&amp;SUBSTITUTE(TRIM(B114),"'","''")&amp;"') AND lo.estado = 1 LIMIT 1)")&amp;", p_numero_documento =&gt; "&amp;IF(TRIM(C114&amp;"")="","NULL","'"&amp;SUBSTITUTE(TRIM(C114),"'","''")&amp;"'")&amp;", p_telefono =&gt; "&amp;IF(TRIM(L114&amp;"")="","NULL","'"&amp;SUBSTITUTE(TRIM(L114),"'","''")&amp;"'")&amp;", p_email =&gt; "&amp;IF(TRIM(M114&amp;"")="","NULL","'"&amp;SUBSTITUTE(TRIM(M114),"'","''")&amp;"'")&amp;", p_observacion =&gt; "&amp;IF(TRIM(O114&amp;"")="","NULL","'"&amp;SUBSTITUTE(TRIM(O114),"'","''")&amp;"'")&amp;", p_direccion =&gt; "&amp;IF(TRIM(J114&amp;"")="","NULL","'"&amp;SUBSTITUTE(TRIM(J114),"'","''")&amp;"'")&amp;", p_referencia =&gt; "&amp;IF(TRIM(K114&amp;"")="","NULL","'"&amp;SUBSTITUTE(TRIM(K114),"'","''")&amp;"'")&amp;") AS resultado_cliente_"&amp;ROW()&amp;";")</f>
        <v/>
      </c>
    </row>
    <row r="115" ht="15.75" customHeight="1" s="64">
      <c r="A115" s="25">
        <f>IF(AND(D115="",E115="",C115=""),"",IF(AND(D115="",E115=""),"FALTA razón social o nombres",IF(AND(C115&lt;&gt;"",SUMPRODUCT(--($C$5:$C$549=C115))&gt;1),"DOCUMENTO DUPLICADO",IF(AND(B115="DNI",C115&lt;&gt;"",LEN(C115&amp;"")&lt;&gt;8),"DNI debe tener 8 dígitos",IF(AND(B115="RUC",C115&lt;&gt;"",LEN(C115&amp;"")&lt;&gt;11),"RUC debe tener 11 dígitos",IF(AND(N115&lt;&gt;"",SUMPRODUCT(--($N$5:$N$549=N115))&gt;1),"CÓDIGO INTERNO DUPLICADO","OK"))))))</f>
        <v/>
      </c>
      <c r="B115" s="17" t="inlineStr">
        <is>
          <t>SD</t>
        </is>
      </c>
      <c r="C115" s="23" t="inlineStr">
        <is>
          <t>000022</t>
        </is>
      </c>
      <c r="D115" s="17" t="n"/>
      <c r="E115" s="17" t="inlineStr">
        <is>
          <t xml:space="preserve">JOSE </t>
        </is>
      </c>
      <c r="F115" s="17" t="inlineStr">
        <is>
          <t>CHAPOÑAN</t>
        </is>
      </c>
      <c r="G115" s="17" t="n"/>
      <c r="H115" s="17" t="inlineStr">
        <is>
          <t>Persona Natural</t>
        </is>
      </c>
      <c r="I115" s="17" t="inlineStr">
        <is>
          <t>Cliente</t>
        </is>
      </c>
      <c r="J115" s="17" t="n"/>
      <c r="K115" s="17" t="n"/>
      <c r="L115" s="23" t="n"/>
      <c r="M115" s="17" t="n"/>
      <c r="N115" s="23" t="n"/>
      <c r="O115" s="17" t="n"/>
      <c r="P115" s="28">
        <f>IF(A115&lt;&gt;"OK","","SELECT cli_crear_clientes(p_codigo_interno =&gt; "&amp;IF(TRIM(N115&amp;"")="","NULL","'"&amp;SUBSTITUTE(TRIM(N115),"'","''")&amp;"'")&amp;", p_razon_social =&gt; "&amp;IF(TRIM(D115&amp;"")="","NULL","'"&amp;SUBSTITUTE(TRIM(D115),"'","''")&amp;"'")&amp;", p_id_tipo_cliente =&gt; "&amp;IF(TRIM(I115&amp;"")="","NULL","(SELECT lo.id FROM gen_lista_opciones lo JOIN gen_lista l ON l.id = lo.id_lista WHERE l.nombre = 'TipoCliente' AND upper(lo.nombre) = upper('"&amp;SUBSTITUTE(TRIM(I115),"'","''")&amp;"') AND lo.estado = 1 LIMIT 1)")&amp;", p_id_tipo_persona =&gt; "&amp;IF(TRIM(H115&amp;"")="","NULL","(SELECT lo.id FROM gen_lista_opciones lo JOIN gen_lista l ON l.id = lo.id_lista WHERE l.nombre = 'TipoPersona' AND upper(lo.nombre) = upper('"&amp;SUBSTITUTE(TRIM(H115),"'","''")&amp;"') AND lo.estado = 1 LIMIT 1)")&amp;", p_nombres =&gt; "&amp;IF(TRIM(E115&amp;"")="","NULL","'"&amp;SUBSTITUTE(TRIM(E115),"'","''")&amp;"'")&amp;", p_apellido_paterno =&gt; "&amp;IF(TRIM(F115&amp;"")="","NULL","'"&amp;SUBSTITUTE(TRIM(F115),"'","''")&amp;"'")&amp;", p_apellido_materno =&gt; "&amp;IF(TRIM(G115&amp;"")="","NULL","'"&amp;SUBSTITUTE(TRIM(G115),"'","''")&amp;"'")&amp;", p_id_tipo_documento =&gt; "&amp;IF(TRIM(B115&amp;"")="","NULL","(SELECT lo.id FROM gen_lista_opciones lo JOIN gen_lista l ON l.id = lo.id_lista WHERE l.nombre = 'TipoDocumento' AND upper(lo.nombre) = upper('"&amp;SUBSTITUTE(TRIM(B115),"'","''")&amp;"') AND lo.estado = 1 LIMIT 1)")&amp;", p_numero_documento =&gt; "&amp;IF(TRIM(C115&amp;"")="","NULL","'"&amp;SUBSTITUTE(TRIM(C115),"'","''")&amp;"'")&amp;", p_telefono =&gt; "&amp;IF(TRIM(L115&amp;"")="","NULL","'"&amp;SUBSTITUTE(TRIM(L115),"'","''")&amp;"'")&amp;", p_email =&gt; "&amp;IF(TRIM(M115&amp;"")="","NULL","'"&amp;SUBSTITUTE(TRIM(M115),"'","''")&amp;"'")&amp;", p_observacion =&gt; "&amp;IF(TRIM(O115&amp;"")="","NULL","'"&amp;SUBSTITUTE(TRIM(O115),"'","''")&amp;"'")&amp;", p_direccion =&gt; "&amp;IF(TRIM(J115&amp;"")="","NULL","'"&amp;SUBSTITUTE(TRIM(J115),"'","''")&amp;"'")&amp;", p_referencia =&gt; "&amp;IF(TRIM(K115&amp;"")="","NULL","'"&amp;SUBSTITUTE(TRIM(K115),"'","''")&amp;"'")&amp;") AS resultado_cliente_"&amp;ROW()&amp;";")</f>
        <v/>
      </c>
    </row>
    <row r="116" ht="15.75" customHeight="1" s="64">
      <c r="A116" s="25">
        <f>IF(AND(D116="",E116="",C116=""),"",IF(AND(D116="",E116=""),"FALTA razón social o nombres",IF(AND(C116&lt;&gt;"",SUMPRODUCT(--($C$5:$C$549=C116))&gt;1),"DOCUMENTO DUPLICADO",IF(AND(B116="DNI",C116&lt;&gt;"",LEN(C116&amp;"")&lt;&gt;8),"DNI debe tener 8 dígitos",IF(AND(B116="RUC",C116&lt;&gt;"",LEN(C116&amp;"")&lt;&gt;11),"RUC debe tener 11 dígitos",IF(AND(N116&lt;&gt;"",SUMPRODUCT(--($N$5:$N$549=N116))&gt;1),"CÓDIGO INTERNO DUPLICADO","OK"))))))</f>
        <v/>
      </c>
      <c r="B116" s="17" t="inlineStr">
        <is>
          <t>RUC</t>
        </is>
      </c>
      <c r="C116" s="23" t="inlineStr">
        <is>
          <t>10488481679</t>
        </is>
      </c>
      <c r="D116" s="17" t="inlineStr">
        <is>
          <t>RODRIGUEZ CHUQUE LUIS SAMUEL</t>
        </is>
      </c>
      <c r="E116" s="17" t="n"/>
      <c r="F116" s="17" t="n"/>
      <c r="G116" s="17" t="n"/>
      <c r="H116" s="17" t="inlineStr">
        <is>
          <t>Persona Jurídica</t>
        </is>
      </c>
      <c r="I116" s="17" t="inlineStr">
        <is>
          <t>Cliente</t>
        </is>
      </c>
      <c r="J116" s="17" t="n"/>
      <c r="K116" s="17" t="n"/>
      <c r="L116" s="23" t="n"/>
      <c r="M116" s="17" t="n"/>
      <c r="N116" s="23" t="n"/>
      <c r="O116" s="17" t="n"/>
      <c r="P116" s="28">
        <f>IF(A116&lt;&gt;"OK","","SELECT cli_crear_clientes(p_codigo_interno =&gt; "&amp;IF(TRIM(N116&amp;"")="","NULL","'"&amp;SUBSTITUTE(TRIM(N116),"'","''")&amp;"'")&amp;", p_razon_social =&gt; "&amp;IF(TRIM(D116&amp;"")="","NULL","'"&amp;SUBSTITUTE(TRIM(D116),"'","''")&amp;"'")&amp;", p_id_tipo_cliente =&gt; "&amp;IF(TRIM(I116&amp;"")="","NULL","(SELECT lo.id FROM gen_lista_opciones lo JOIN gen_lista l ON l.id = lo.id_lista WHERE l.nombre = 'TipoCliente' AND upper(lo.nombre) = upper('"&amp;SUBSTITUTE(TRIM(I116),"'","''")&amp;"') AND lo.estado = 1 LIMIT 1)")&amp;", p_id_tipo_persona =&gt; "&amp;IF(TRIM(H116&amp;"")="","NULL","(SELECT lo.id FROM gen_lista_opciones lo JOIN gen_lista l ON l.id = lo.id_lista WHERE l.nombre = 'TipoPersona' AND upper(lo.nombre) = upper('"&amp;SUBSTITUTE(TRIM(H116),"'","''")&amp;"') AND lo.estado = 1 LIMIT 1)")&amp;", p_nombres =&gt; "&amp;IF(TRIM(E116&amp;"")="","NULL","'"&amp;SUBSTITUTE(TRIM(E116),"'","''")&amp;"'")&amp;", p_apellido_paterno =&gt; "&amp;IF(TRIM(F116&amp;"")="","NULL","'"&amp;SUBSTITUTE(TRIM(F116),"'","''")&amp;"'")&amp;", p_apellido_materno =&gt; "&amp;IF(TRIM(G116&amp;"")="","NULL","'"&amp;SUBSTITUTE(TRIM(G116),"'","''")&amp;"'")&amp;", p_id_tipo_documento =&gt; "&amp;IF(TRIM(B116&amp;"")="","NULL","(SELECT lo.id FROM gen_lista_opciones lo JOIN gen_lista l ON l.id = lo.id_lista WHERE l.nombre = 'TipoDocumento' AND upper(lo.nombre) = upper('"&amp;SUBSTITUTE(TRIM(B116),"'","''")&amp;"') AND lo.estado = 1 LIMIT 1)")&amp;", p_numero_documento =&gt; "&amp;IF(TRIM(C116&amp;"")="","NULL","'"&amp;SUBSTITUTE(TRIM(C116),"'","''")&amp;"'")&amp;", p_telefono =&gt; "&amp;IF(TRIM(L116&amp;"")="","NULL","'"&amp;SUBSTITUTE(TRIM(L116),"'","''")&amp;"'")&amp;", p_email =&gt; "&amp;IF(TRIM(M116&amp;"")="","NULL","'"&amp;SUBSTITUTE(TRIM(M116),"'","''")&amp;"'")&amp;", p_observacion =&gt; "&amp;IF(TRIM(O116&amp;"")="","NULL","'"&amp;SUBSTITUTE(TRIM(O116),"'","''")&amp;"'")&amp;", p_direccion =&gt; "&amp;IF(TRIM(J116&amp;"")="","NULL","'"&amp;SUBSTITUTE(TRIM(J116),"'","''")&amp;"'")&amp;", p_referencia =&gt; "&amp;IF(TRIM(K116&amp;"")="","NULL","'"&amp;SUBSTITUTE(TRIM(K116),"'","''")&amp;"'")&amp;") AS resultado_cliente_"&amp;ROW()&amp;";")</f>
        <v/>
      </c>
    </row>
    <row r="117" ht="15.75" customHeight="1" s="64">
      <c r="A117" s="25">
        <f>IF(AND(D117="",E117="",C117=""),"",IF(AND(D117="",E117=""),"FALTA razón social o nombres",IF(AND(C117&lt;&gt;"",SUMPRODUCT(--($C$5:$C$549=C117))&gt;1),"DOCUMENTO DUPLICADO",IF(AND(B117="DNI",C117&lt;&gt;"",LEN(C117&amp;"")&lt;&gt;8),"DNI debe tener 8 dígitos",IF(AND(B117="RUC",C117&lt;&gt;"",LEN(C117&amp;"")&lt;&gt;11),"RUC debe tener 11 dígitos",IF(AND(N117&lt;&gt;"",SUMPRODUCT(--($N$5:$N$549=N117))&gt;1),"CÓDIGO INTERNO DUPLICADO","OK"))))))</f>
        <v/>
      </c>
      <c r="B117" s="17" t="inlineStr">
        <is>
          <t>RUC</t>
        </is>
      </c>
      <c r="C117" s="23" t="inlineStr">
        <is>
          <t>20604170991</t>
        </is>
      </c>
      <c r="D117" s="17" t="inlineStr">
        <is>
          <t>CLINICA DE OJOS GARCIA EMPRESA INDIVIDUAL DE RESPONSABILIDAD LIMITADA</t>
        </is>
      </c>
      <c r="E117" s="17" t="n"/>
      <c r="F117" s="17" t="n"/>
      <c r="G117" s="17" t="n"/>
      <c r="H117" s="17" t="inlineStr">
        <is>
          <t>Persona Jurídica</t>
        </is>
      </c>
      <c r="I117" s="17" t="inlineStr">
        <is>
          <t>Cliente</t>
        </is>
      </c>
      <c r="J117" s="17" t="n"/>
      <c r="K117" s="17" t="n"/>
      <c r="L117" s="23" t="n"/>
      <c r="M117" s="17" t="n"/>
      <c r="N117" s="23" t="n"/>
      <c r="O117" s="17" t="n"/>
      <c r="P117" s="28">
        <f>IF(A117&lt;&gt;"OK","","SELECT cli_crear_clientes(p_codigo_interno =&gt; "&amp;IF(TRIM(N117&amp;"")="","NULL","'"&amp;SUBSTITUTE(TRIM(N117),"'","''")&amp;"'")&amp;", p_razon_social =&gt; "&amp;IF(TRIM(D117&amp;"")="","NULL","'"&amp;SUBSTITUTE(TRIM(D117),"'","''")&amp;"'")&amp;", p_id_tipo_cliente =&gt; "&amp;IF(TRIM(I117&amp;"")="","NULL","(SELECT lo.id FROM gen_lista_opciones lo JOIN gen_lista l ON l.id = lo.id_lista WHERE l.nombre = 'TipoCliente' AND upper(lo.nombre) = upper('"&amp;SUBSTITUTE(TRIM(I117),"'","''")&amp;"') AND lo.estado = 1 LIMIT 1)")&amp;", p_id_tipo_persona =&gt; "&amp;IF(TRIM(H117&amp;"")="","NULL","(SELECT lo.id FROM gen_lista_opciones lo JOIN gen_lista l ON l.id = lo.id_lista WHERE l.nombre = 'TipoPersona' AND upper(lo.nombre) = upper('"&amp;SUBSTITUTE(TRIM(H117),"'","''")&amp;"') AND lo.estado = 1 LIMIT 1)")&amp;", p_nombres =&gt; "&amp;IF(TRIM(E117&amp;"")="","NULL","'"&amp;SUBSTITUTE(TRIM(E117),"'","''")&amp;"'")&amp;", p_apellido_paterno =&gt; "&amp;IF(TRIM(F117&amp;"")="","NULL","'"&amp;SUBSTITUTE(TRIM(F117),"'","''")&amp;"'")&amp;", p_apellido_materno =&gt; "&amp;IF(TRIM(G117&amp;"")="","NULL","'"&amp;SUBSTITUTE(TRIM(G117),"'","''")&amp;"'")&amp;", p_id_tipo_documento =&gt; "&amp;IF(TRIM(B117&amp;"")="","NULL","(SELECT lo.id FROM gen_lista_opciones lo JOIN gen_lista l ON l.id = lo.id_lista WHERE l.nombre = 'TipoDocumento' AND upper(lo.nombre) = upper('"&amp;SUBSTITUTE(TRIM(B117),"'","''")&amp;"') AND lo.estado = 1 LIMIT 1)")&amp;", p_numero_documento =&gt; "&amp;IF(TRIM(C117&amp;"")="","NULL","'"&amp;SUBSTITUTE(TRIM(C117),"'","''")&amp;"'")&amp;", p_telefono =&gt; "&amp;IF(TRIM(L117&amp;"")="","NULL","'"&amp;SUBSTITUTE(TRIM(L117),"'","''")&amp;"'")&amp;", p_email =&gt; "&amp;IF(TRIM(M117&amp;"")="","NULL","'"&amp;SUBSTITUTE(TRIM(M117),"'","''")&amp;"'")&amp;", p_observacion =&gt; "&amp;IF(TRIM(O117&amp;"")="","NULL","'"&amp;SUBSTITUTE(TRIM(O117),"'","''")&amp;"'")&amp;", p_direccion =&gt; "&amp;IF(TRIM(J117&amp;"")="","NULL","'"&amp;SUBSTITUTE(TRIM(J117),"'","''")&amp;"'")&amp;", p_referencia =&gt; "&amp;IF(TRIM(K117&amp;"")="","NULL","'"&amp;SUBSTITUTE(TRIM(K117),"'","''")&amp;"'")&amp;") AS resultado_cliente_"&amp;ROW()&amp;";")</f>
        <v/>
      </c>
    </row>
    <row r="118" ht="15.75" customHeight="1" s="64">
      <c r="A118" s="25">
        <f>IF(AND(D118="",E118="",C118=""),"",IF(AND(D118="",E118=""),"FALTA razón social o nombres",IF(AND(C118&lt;&gt;"",SUMPRODUCT(--($C$5:$C$549=C118))&gt;1),"DOCUMENTO DUPLICADO",IF(AND(B118="DNI",C118&lt;&gt;"",LEN(C118&amp;"")&lt;&gt;8),"DNI debe tener 8 dígitos",IF(AND(B118="RUC",C118&lt;&gt;"",LEN(C118&amp;"")&lt;&gt;11),"RUC debe tener 11 dígitos",IF(AND(N118&lt;&gt;"",SUMPRODUCT(--($N$5:$N$549=N118))&gt;1),"CÓDIGO INTERNO DUPLICADO","OK"))))))</f>
        <v/>
      </c>
      <c r="B118" s="17" t="inlineStr">
        <is>
          <t>RUC</t>
        </is>
      </c>
      <c r="C118" s="23" t="inlineStr">
        <is>
          <t>20606641371</t>
        </is>
      </c>
      <c r="D118" s="17" t="inlineStr">
        <is>
          <t>CLINICA SERVISALUD SOLIDARIA S.A.C.</t>
        </is>
      </c>
      <c r="E118" s="17" t="n"/>
      <c r="F118" s="17" t="n"/>
      <c r="G118" s="17" t="n"/>
      <c r="H118" s="17" t="inlineStr">
        <is>
          <t>Persona Jurídica</t>
        </is>
      </c>
      <c r="I118" s="17" t="inlineStr">
        <is>
          <t>Cliente</t>
        </is>
      </c>
      <c r="J118" s="17" t="n"/>
      <c r="K118" s="17" t="n"/>
      <c r="L118" s="23" t="n"/>
      <c r="M118" s="17" t="n"/>
      <c r="N118" s="23" t="n"/>
      <c r="O118" s="17" t="n"/>
      <c r="P118" s="28">
        <f>IF(A118&lt;&gt;"OK","","SELECT cli_crear_clientes(p_codigo_interno =&gt; "&amp;IF(TRIM(N118&amp;"")="","NULL","'"&amp;SUBSTITUTE(TRIM(N118),"'","''")&amp;"'")&amp;", p_razon_social =&gt; "&amp;IF(TRIM(D118&amp;"")="","NULL","'"&amp;SUBSTITUTE(TRIM(D118),"'","''")&amp;"'")&amp;", p_id_tipo_cliente =&gt; "&amp;IF(TRIM(I118&amp;"")="","NULL","(SELECT lo.id FROM gen_lista_opciones lo JOIN gen_lista l ON l.id = lo.id_lista WHERE l.nombre = 'TipoCliente' AND upper(lo.nombre) = upper('"&amp;SUBSTITUTE(TRIM(I118),"'","''")&amp;"') AND lo.estado = 1 LIMIT 1)")&amp;", p_id_tipo_persona =&gt; "&amp;IF(TRIM(H118&amp;"")="","NULL","(SELECT lo.id FROM gen_lista_opciones lo JOIN gen_lista l ON l.id = lo.id_lista WHERE l.nombre = 'TipoPersona' AND upper(lo.nombre) = upper('"&amp;SUBSTITUTE(TRIM(H118),"'","''")&amp;"') AND lo.estado = 1 LIMIT 1)")&amp;", p_nombres =&gt; "&amp;IF(TRIM(E118&amp;"")="","NULL","'"&amp;SUBSTITUTE(TRIM(E118),"'","''")&amp;"'")&amp;", p_apellido_paterno =&gt; "&amp;IF(TRIM(F118&amp;"")="","NULL","'"&amp;SUBSTITUTE(TRIM(F118),"'","''")&amp;"'")&amp;", p_apellido_materno =&gt; "&amp;IF(TRIM(G118&amp;"")="","NULL","'"&amp;SUBSTITUTE(TRIM(G118),"'","''")&amp;"'")&amp;", p_id_tipo_documento =&gt; "&amp;IF(TRIM(B118&amp;"")="","NULL","(SELECT lo.id FROM gen_lista_opciones lo JOIN gen_lista l ON l.id = lo.id_lista WHERE l.nombre = 'TipoDocumento' AND upper(lo.nombre) = upper('"&amp;SUBSTITUTE(TRIM(B118),"'","''")&amp;"') AND lo.estado = 1 LIMIT 1)")&amp;", p_numero_documento =&gt; "&amp;IF(TRIM(C118&amp;"")="","NULL","'"&amp;SUBSTITUTE(TRIM(C118),"'","''")&amp;"'")&amp;", p_telefono =&gt; "&amp;IF(TRIM(L118&amp;"")="","NULL","'"&amp;SUBSTITUTE(TRIM(L118),"'","''")&amp;"'")&amp;", p_email =&gt; "&amp;IF(TRIM(M118&amp;"")="","NULL","'"&amp;SUBSTITUTE(TRIM(M118),"'","''")&amp;"'")&amp;", p_observacion =&gt; "&amp;IF(TRIM(O118&amp;"")="","NULL","'"&amp;SUBSTITUTE(TRIM(O118),"'","''")&amp;"'")&amp;", p_direccion =&gt; "&amp;IF(TRIM(J118&amp;"")="","NULL","'"&amp;SUBSTITUTE(TRIM(J118),"'","''")&amp;"'")&amp;", p_referencia =&gt; "&amp;IF(TRIM(K118&amp;"")="","NULL","'"&amp;SUBSTITUTE(TRIM(K118),"'","''")&amp;"'")&amp;") AS resultado_cliente_"&amp;ROW()&amp;";")</f>
        <v/>
      </c>
    </row>
    <row r="119" ht="15.75" customHeight="1" s="64">
      <c r="A119" s="25">
        <f>IF(AND(D119="",E119="",C119=""),"",IF(AND(D119="",E119=""),"FALTA razón social o nombres",IF(AND(C119&lt;&gt;"",SUMPRODUCT(--($C$5:$C$549=C119))&gt;1),"DOCUMENTO DUPLICADO",IF(AND(B119="DNI",C119&lt;&gt;"",LEN(C119&amp;"")&lt;&gt;8),"DNI debe tener 8 dígitos",IF(AND(B119="RUC",C119&lt;&gt;"",LEN(C119&amp;"")&lt;&gt;11),"RUC debe tener 11 dígitos",IF(AND(N119&lt;&gt;"",SUMPRODUCT(--($N$5:$N$549=N119))&gt;1),"CÓDIGO INTERNO DUPLICADO","OK"))))))</f>
        <v/>
      </c>
      <c r="B119" s="17" t="inlineStr">
        <is>
          <t>RUC</t>
        </is>
      </c>
      <c r="C119" s="23" t="inlineStr">
        <is>
          <t>20602271332</t>
        </is>
      </c>
      <c r="D119" s="17" t="inlineStr">
        <is>
          <t>CONCRETERA DEL NORTE S.R.L.</t>
        </is>
      </c>
      <c r="E119" s="17" t="n"/>
      <c r="F119" s="17" t="n"/>
      <c r="G119" s="17" t="n"/>
      <c r="H119" s="17" t="inlineStr">
        <is>
          <t>Persona Jurídica</t>
        </is>
      </c>
      <c r="I119" s="17" t="inlineStr">
        <is>
          <t>Cliente</t>
        </is>
      </c>
      <c r="J119" s="17" t="n"/>
      <c r="K119" s="17" t="n"/>
      <c r="L119" s="23" t="n"/>
      <c r="M119" s="17" t="n"/>
      <c r="N119" s="23" t="n"/>
      <c r="O119" s="17" t="n"/>
      <c r="P119" s="28">
        <f>IF(A119&lt;&gt;"OK","","SELECT cli_crear_clientes(p_codigo_interno =&gt; "&amp;IF(TRIM(N119&amp;"")="","NULL","'"&amp;SUBSTITUTE(TRIM(N119),"'","''")&amp;"'")&amp;", p_razon_social =&gt; "&amp;IF(TRIM(D119&amp;"")="","NULL","'"&amp;SUBSTITUTE(TRIM(D119),"'","''")&amp;"'")&amp;", p_id_tipo_cliente =&gt; "&amp;IF(TRIM(I119&amp;"")="","NULL","(SELECT lo.id FROM gen_lista_opciones lo JOIN gen_lista l ON l.id = lo.id_lista WHERE l.nombre = 'TipoCliente' AND upper(lo.nombre) = upper('"&amp;SUBSTITUTE(TRIM(I119),"'","''")&amp;"') AND lo.estado = 1 LIMIT 1)")&amp;", p_id_tipo_persona =&gt; "&amp;IF(TRIM(H119&amp;"")="","NULL","(SELECT lo.id FROM gen_lista_opciones lo JOIN gen_lista l ON l.id = lo.id_lista WHERE l.nombre = 'TipoPersona' AND upper(lo.nombre) = upper('"&amp;SUBSTITUTE(TRIM(H119),"'","''")&amp;"') AND lo.estado = 1 LIMIT 1)")&amp;", p_nombres =&gt; "&amp;IF(TRIM(E119&amp;"")="","NULL","'"&amp;SUBSTITUTE(TRIM(E119),"'","''")&amp;"'")&amp;", p_apellido_paterno =&gt; "&amp;IF(TRIM(F119&amp;"")="","NULL","'"&amp;SUBSTITUTE(TRIM(F119),"'","''")&amp;"'")&amp;", p_apellido_materno =&gt; "&amp;IF(TRIM(G119&amp;"")="","NULL","'"&amp;SUBSTITUTE(TRIM(G119),"'","''")&amp;"'")&amp;", p_id_tipo_documento =&gt; "&amp;IF(TRIM(B119&amp;"")="","NULL","(SELECT lo.id FROM gen_lista_opciones lo JOIN gen_lista l ON l.id = lo.id_lista WHERE l.nombre = 'TipoDocumento' AND upper(lo.nombre) = upper('"&amp;SUBSTITUTE(TRIM(B119),"'","''")&amp;"') AND lo.estado = 1 LIMIT 1)")&amp;", p_numero_documento =&gt; "&amp;IF(TRIM(C119&amp;"")="","NULL","'"&amp;SUBSTITUTE(TRIM(C119),"'","''")&amp;"'")&amp;", p_telefono =&gt; "&amp;IF(TRIM(L119&amp;"")="","NULL","'"&amp;SUBSTITUTE(TRIM(L119),"'","''")&amp;"'")&amp;", p_email =&gt; "&amp;IF(TRIM(M119&amp;"")="","NULL","'"&amp;SUBSTITUTE(TRIM(M119),"'","''")&amp;"'")&amp;", p_observacion =&gt; "&amp;IF(TRIM(O119&amp;"")="","NULL","'"&amp;SUBSTITUTE(TRIM(O119),"'","''")&amp;"'")&amp;", p_direccion =&gt; "&amp;IF(TRIM(J119&amp;"")="","NULL","'"&amp;SUBSTITUTE(TRIM(J119),"'","''")&amp;"'")&amp;", p_referencia =&gt; "&amp;IF(TRIM(K119&amp;"")="","NULL","'"&amp;SUBSTITUTE(TRIM(K119),"'","''")&amp;"'")&amp;") AS resultado_cliente_"&amp;ROW()&amp;";")</f>
        <v/>
      </c>
    </row>
    <row r="120" ht="15.75" customHeight="1" s="64">
      <c r="A120" s="25">
        <f>IF(AND(D120="",E120="",C120=""),"",IF(AND(D120="",E120=""),"FALTA razón social o nombres",IF(AND(C120&lt;&gt;"",SUMPRODUCT(--($C$5:$C$549=C120))&gt;1),"DOCUMENTO DUPLICADO",IF(AND(B120="DNI",C120&lt;&gt;"",LEN(C120&amp;"")&lt;&gt;8),"DNI debe tener 8 dígitos",IF(AND(B120="RUC",C120&lt;&gt;"",LEN(C120&amp;"")&lt;&gt;11),"RUC debe tener 11 dígitos",IF(AND(N120&lt;&gt;"",SUMPRODUCT(--($N$5:$N$549=N120))&gt;1),"CÓDIGO INTERNO DUPLICADO","OK"))))))</f>
        <v/>
      </c>
      <c r="B120" s="17" t="inlineStr">
        <is>
          <t>RUC</t>
        </is>
      </c>
      <c r="C120" s="23" t="inlineStr">
        <is>
          <t>20501484831</t>
        </is>
      </c>
      <c r="D120" s="17" t="inlineStr">
        <is>
          <t>CONGREGACION DE LAS SIERVAS DE JESUS DE LA CARIDAD-PERU</t>
        </is>
      </c>
      <c r="E120" s="17" t="n"/>
      <c r="F120" s="17" t="n"/>
      <c r="G120" s="17" t="n"/>
      <c r="H120" s="17" t="inlineStr">
        <is>
          <t>Persona Jurídica</t>
        </is>
      </c>
      <c r="I120" s="17" t="inlineStr">
        <is>
          <t>Cliente</t>
        </is>
      </c>
      <c r="J120" s="17" t="n"/>
      <c r="K120" s="17" t="n"/>
      <c r="L120" s="23" t="n"/>
      <c r="M120" s="17" t="n"/>
      <c r="N120" s="23" t="n"/>
      <c r="O120" s="17" t="n"/>
      <c r="P120" s="28">
        <f>IF(A120&lt;&gt;"OK","","SELECT cli_crear_clientes(p_codigo_interno =&gt; "&amp;IF(TRIM(N120&amp;"")="","NULL","'"&amp;SUBSTITUTE(TRIM(N120),"'","''")&amp;"'")&amp;", p_razon_social =&gt; "&amp;IF(TRIM(D120&amp;"")="","NULL","'"&amp;SUBSTITUTE(TRIM(D120),"'","''")&amp;"'")&amp;", p_id_tipo_cliente =&gt; "&amp;IF(TRIM(I120&amp;"")="","NULL","(SELECT lo.id FROM gen_lista_opciones lo JOIN gen_lista l ON l.id = lo.id_lista WHERE l.nombre = 'TipoCliente' AND upper(lo.nombre) = upper('"&amp;SUBSTITUTE(TRIM(I120),"'","''")&amp;"') AND lo.estado = 1 LIMIT 1)")&amp;", p_id_tipo_persona =&gt; "&amp;IF(TRIM(H120&amp;"")="","NULL","(SELECT lo.id FROM gen_lista_opciones lo JOIN gen_lista l ON l.id = lo.id_lista WHERE l.nombre = 'TipoPersona' AND upper(lo.nombre) = upper('"&amp;SUBSTITUTE(TRIM(H120),"'","''")&amp;"') AND lo.estado = 1 LIMIT 1)")&amp;", p_nombres =&gt; "&amp;IF(TRIM(E120&amp;"")="","NULL","'"&amp;SUBSTITUTE(TRIM(E120),"'","''")&amp;"'")&amp;", p_apellido_paterno =&gt; "&amp;IF(TRIM(F120&amp;"")="","NULL","'"&amp;SUBSTITUTE(TRIM(F120),"'","''")&amp;"'")&amp;", p_apellido_materno =&gt; "&amp;IF(TRIM(G120&amp;"")="","NULL","'"&amp;SUBSTITUTE(TRIM(G120),"'","''")&amp;"'")&amp;", p_id_tipo_documento =&gt; "&amp;IF(TRIM(B120&amp;"")="","NULL","(SELECT lo.id FROM gen_lista_opciones lo JOIN gen_lista l ON l.id = lo.id_lista WHERE l.nombre = 'TipoDocumento' AND upper(lo.nombre) = upper('"&amp;SUBSTITUTE(TRIM(B120),"'","''")&amp;"') AND lo.estado = 1 LIMIT 1)")&amp;", p_numero_documento =&gt; "&amp;IF(TRIM(C120&amp;"")="","NULL","'"&amp;SUBSTITUTE(TRIM(C120),"'","''")&amp;"'")&amp;", p_telefono =&gt; "&amp;IF(TRIM(L120&amp;"")="","NULL","'"&amp;SUBSTITUTE(TRIM(L120),"'","''")&amp;"'")&amp;", p_email =&gt; "&amp;IF(TRIM(M120&amp;"")="","NULL","'"&amp;SUBSTITUTE(TRIM(M120),"'","''")&amp;"'")&amp;", p_observacion =&gt; "&amp;IF(TRIM(O120&amp;"")="","NULL","'"&amp;SUBSTITUTE(TRIM(O120),"'","''")&amp;"'")&amp;", p_direccion =&gt; "&amp;IF(TRIM(J120&amp;"")="","NULL","'"&amp;SUBSTITUTE(TRIM(J120),"'","''")&amp;"'")&amp;", p_referencia =&gt; "&amp;IF(TRIM(K120&amp;"")="","NULL","'"&amp;SUBSTITUTE(TRIM(K120),"'","''")&amp;"'")&amp;") AS resultado_cliente_"&amp;ROW()&amp;";")</f>
        <v/>
      </c>
    </row>
    <row r="121" ht="15.75" customHeight="1" s="64">
      <c r="A121" s="25">
        <f>IF(AND(D121="",E121="",C121=""),"",IF(AND(D121="",E121=""),"FALTA razón social o nombres",IF(AND(C121&lt;&gt;"",SUMPRODUCT(--($C$5:$C$549=C121))&gt;1),"DOCUMENTO DUPLICADO",IF(AND(B121="DNI",C121&lt;&gt;"",LEN(C121&amp;"")&lt;&gt;8),"DNI debe tener 8 dígitos",IF(AND(B121="RUC",C121&lt;&gt;"",LEN(C121&amp;"")&lt;&gt;11),"RUC debe tener 11 dígitos",IF(AND(N121&lt;&gt;"",SUMPRODUCT(--($N$5:$N$549=N121))&gt;1),"CÓDIGO INTERNO DUPLICADO","OK"))))))</f>
        <v/>
      </c>
      <c r="B121" s="17" t="inlineStr">
        <is>
          <t>RUC</t>
        </is>
      </c>
      <c r="C121" s="23" t="inlineStr">
        <is>
          <t>20611952130</t>
        </is>
      </c>
      <c r="D121" s="17" t="inlineStr">
        <is>
          <t>CUBA MEDIC CHICLAYO S.A.C.</t>
        </is>
      </c>
      <c r="E121" s="17" t="n"/>
      <c r="F121" s="17" t="n"/>
      <c r="G121" s="17" t="n"/>
      <c r="H121" s="17" t="inlineStr">
        <is>
          <t>Persona Jurídica</t>
        </is>
      </c>
      <c r="I121" s="17" t="inlineStr">
        <is>
          <t>Cliente</t>
        </is>
      </c>
      <c r="J121" s="17" t="n"/>
      <c r="K121" s="17" t="n"/>
      <c r="L121" s="23" t="n"/>
      <c r="M121" s="17" t="n"/>
      <c r="N121" s="23" t="n"/>
      <c r="O121" s="17" t="n"/>
      <c r="P121" s="28">
        <f>IF(A121&lt;&gt;"OK","","SELECT cli_crear_clientes(p_codigo_interno =&gt; "&amp;IF(TRIM(N121&amp;"")="","NULL","'"&amp;SUBSTITUTE(TRIM(N121),"'","''")&amp;"'")&amp;", p_razon_social =&gt; "&amp;IF(TRIM(D121&amp;"")="","NULL","'"&amp;SUBSTITUTE(TRIM(D121),"'","''")&amp;"'")&amp;", p_id_tipo_cliente =&gt; "&amp;IF(TRIM(I121&amp;"")="","NULL","(SELECT lo.id FROM gen_lista_opciones lo JOIN gen_lista l ON l.id = lo.id_lista WHERE l.nombre = 'TipoCliente' AND upper(lo.nombre) = upper('"&amp;SUBSTITUTE(TRIM(I121),"'","''")&amp;"') AND lo.estado = 1 LIMIT 1)")&amp;", p_id_tipo_persona =&gt; "&amp;IF(TRIM(H121&amp;"")="","NULL","(SELECT lo.id FROM gen_lista_opciones lo JOIN gen_lista l ON l.id = lo.id_lista WHERE l.nombre = 'TipoPersona' AND upper(lo.nombre) = upper('"&amp;SUBSTITUTE(TRIM(H121),"'","''")&amp;"') AND lo.estado = 1 LIMIT 1)")&amp;", p_nombres =&gt; "&amp;IF(TRIM(E121&amp;"")="","NULL","'"&amp;SUBSTITUTE(TRIM(E121),"'","''")&amp;"'")&amp;", p_apellido_paterno =&gt; "&amp;IF(TRIM(F121&amp;"")="","NULL","'"&amp;SUBSTITUTE(TRIM(F121),"'","''")&amp;"'")&amp;", p_apellido_materno =&gt; "&amp;IF(TRIM(G121&amp;"")="","NULL","'"&amp;SUBSTITUTE(TRIM(G121),"'","''")&amp;"'")&amp;", p_id_tipo_documento =&gt; "&amp;IF(TRIM(B121&amp;"")="","NULL","(SELECT lo.id FROM gen_lista_opciones lo JOIN gen_lista l ON l.id = lo.id_lista WHERE l.nombre = 'TipoDocumento' AND upper(lo.nombre) = upper('"&amp;SUBSTITUTE(TRIM(B121),"'","''")&amp;"') AND lo.estado = 1 LIMIT 1)")&amp;", p_numero_documento =&gt; "&amp;IF(TRIM(C121&amp;"")="","NULL","'"&amp;SUBSTITUTE(TRIM(C121),"'","''")&amp;"'")&amp;", p_telefono =&gt; "&amp;IF(TRIM(L121&amp;"")="","NULL","'"&amp;SUBSTITUTE(TRIM(L121),"'","''")&amp;"'")&amp;", p_email =&gt; "&amp;IF(TRIM(M121&amp;"")="","NULL","'"&amp;SUBSTITUTE(TRIM(M121),"'","''")&amp;"'")&amp;", p_observacion =&gt; "&amp;IF(TRIM(O121&amp;"")="","NULL","'"&amp;SUBSTITUTE(TRIM(O121),"'","''")&amp;"'")&amp;", p_direccion =&gt; "&amp;IF(TRIM(J121&amp;"")="","NULL","'"&amp;SUBSTITUTE(TRIM(J121),"'","''")&amp;"'")&amp;", p_referencia =&gt; "&amp;IF(TRIM(K121&amp;"")="","NULL","'"&amp;SUBSTITUTE(TRIM(K121),"'","''")&amp;"'")&amp;") AS resultado_cliente_"&amp;ROW()&amp;";")</f>
        <v/>
      </c>
    </row>
    <row r="122" ht="15.75" customHeight="1" s="64">
      <c r="A122" s="25">
        <f>IF(AND(D122="",E122="",C122=""),"",IF(AND(D122="",E122=""),"FALTA razón social o nombres",IF(AND(C122&lt;&gt;"",SUMPRODUCT(--($C$5:$C$549=C122))&gt;1),"DOCUMENTO DUPLICADO",IF(AND(B122="DNI",C122&lt;&gt;"",LEN(C122&amp;"")&lt;&gt;8),"DNI debe tener 8 dígitos",IF(AND(B122="RUC",C122&lt;&gt;"",LEN(C122&amp;"")&lt;&gt;11),"RUC debe tener 11 dígitos",IF(AND(N122&lt;&gt;"",SUMPRODUCT(--($N$5:$N$549=N122))&gt;1),"CÓDIGO INTERNO DUPLICADO","OK"))))))</f>
        <v/>
      </c>
      <c r="B122" s="17" t="inlineStr">
        <is>
          <t>DNI</t>
        </is>
      </c>
      <c r="C122" s="23" t="inlineStr">
        <is>
          <t>16780162</t>
        </is>
      </c>
      <c r="D122" s="17" t="n"/>
      <c r="E122" s="17" t="inlineStr">
        <is>
          <t>TALITA SOLEDAD</t>
        </is>
      </c>
      <c r="F122" s="17" t="inlineStr">
        <is>
          <t xml:space="preserve">DELGADO </t>
        </is>
      </c>
      <c r="G122" s="17" t="inlineStr">
        <is>
          <t xml:space="preserve">SOBERON </t>
        </is>
      </c>
      <c r="H122" s="17" t="inlineStr">
        <is>
          <t>Persona Natural</t>
        </is>
      </c>
      <c r="I122" s="17" t="inlineStr">
        <is>
          <t>Cliente</t>
        </is>
      </c>
      <c r="J122" s="17" t="n"/>
      <c r="K122" s="17" t="n"/>
      <c r="L122" s="23" t="n"/>
      <c r="M122" s="17" t="n"/>
      <c r="N122" s="23" t="n"/>
      <c r="O122" s="17" t="n"/>
      <c r="P122" s="28">
        <f>IF(A122&lt;&gt;"OK","","SELECT cli_crear_clientes(p_codigo_interno =&gt; "&amp;IF(TRIM(N122&amp;"")="","NULL","'"&amp;SUBSTITUTE(TRIM(N122),"'","''")&amp;"'")&amp;", p_razon_social =&gt; "&amp;IF(TRIM(D122&amp;"")="","NULL","'"&amp;SUBSTITUTE(TRIM(D122),"'","''")&amp;"'")&amp;", p_id_tipo_cliente =&gt; "&amp;IF(TRIM(I122&amp;"")="","NULL","(SELECT lo.id FROM gen_lista_opciones lo JOIN gen_lista l ON l.id = lo.id_lista WHERE l.nombre = 'TipoCliente' AND upper(lo.nombre) = upper('"&amp;SUBSTITUTE(TRIM(I122),"'","''")&amp;"') AND lo.estado = 1 LIMIT 1)")&amp;", p_id_tipo_persona =&gt; "&amp;IF(TRIM(H122&amp;"")="","NULL","(SELECT lo.id FROM gen_lista_opciones lo JOIN gen_lista l ON l.id = lo.id_lista WHERE l.nombre = 'TipoPersona' AND upper(lo.nombre) = upper('"&amp;SUBSTITUTE(TRIM(H122),"'","''")&amp;"') AND lo.estado = 1 LIMIT 1)")&amp;", p_nombres =&gt; "&amp;IF(TRIM(E122&amp;"")="","NULL","'"&amp;SUBSTITUTE(TRIM(E122),"'","''")&amp;"'")&amp;", p_apellido_paterno =&gt; "&amp;IF(TRIM(F122&amp;"")="","NULL","'"&amp;SUBSTITUTE(TRIM(F122),"'","''")&amp;"'")&amp;", p_apellido_materno =&gt; "&amp;IF(TRIM(G122&amp;"")="","NULL","'"&amp;SUBSTITUTE(TRIM(G122),"'","''")&amp;"'")&amp;", p_id_tipo_documento =&gt; "&amp;IF(TRIM(B122&amp;"")="","NULL","(SELECT lo.id FROM gen_lista_opciones lo JOIN gen_lista l ON l.id = lo.id_lista WHERE l.nombre = 'TipoDocumento' AND upper(lo.nombre) = upper('"&amp;SUBSTITUTE(TRIM(B122),"'","''")&amp;"') AND lo.estado = 1 LIMIT 1)")&amp;", p_numero_documento =&gt; "&amp;IF(TRIM(C122&amp;"")="","NULL","'"&amp;SUBSTITUTE(TRIM(C122),"'","''")&amp;"'")&amp;", p_telefono =&gt; "&amp;IF(TRIM(L122&amp;"")="","NULL","'"&amp;SUBSTITUTE(TRIM(L122),"'","''")&amp;"'")&amp;", p_email =&gt; "&amp;IF(TRIM(M122&amp;"")="","NULL","'"&amp;SUBSTITUTE(TRIM(M122),"'","''")&amp;"'")&amp;", p_observacion =&gt; "&amp;IF(TRIM(O122&amp;"")="","NULL","'"&amp;SUBSTITUTE(TRIM(O122),"'","''")&amp;"'")&amp;", p_direccion =&gt; "&amp;IF(TRIM(J122&amp;"")="","NULL","'"&amp;SUBSTITUTE(TRIM(J122),"'","''")&amp;"'")&amp;", p_referencia =&gt; "&amp;IF(TRIM(K122&amp;"")="","NULL","'"&amp;SUBSTITUTE(TRIM(K122),"'","''")&amp;"'")&amp;") AS resultado_cliente_"&amp;ROW()&amp;";")</f>
        <v/>
      </c>
    </row>
    <row r="123" ht="15.75" customHeight="1" s="64">
      <c r="A123" s="25">
        <f>IF(AND(D123="",E123="",C123=""),"",IF(AND(D123="",E123=""),"FALTA razón social o nombres",IF(AND(C123&lt;&gt;"",SUMPRODUCT(--($C$5:$C$549=C123))&gt;1),"DOCUMENTO DUPLICADO",IF(AND(B123="DNI",C123&lt;&gt;"",LEN(C123&amp;"")&lt;&gt;8),"DNI debe tener 8 dígitos",IF(AND(B123="RUC",C123&lt;&gt;"",LEN(C123&amp;"")&lt;&gt;11),"RUC debe tener 11 dígitos",IF(AND(N123&lt;&gt;"",SUMPRODUCT(--($N$5:$N$549=N123))&gt;1),"CÓDIGO INTERNO DUPLICADO","OK"))))))</f>
        <v/>
      </c>
      <c r="B123" s="17" t="inlineStr">
        <is>
          <t>DNI</t>
        </is>
      </c>
      <c r="C123" s="23" t="inlineStr">
        <is>
          <t>16732020</t>
        </is>
      </c>
      <c r="D123" s="17" t="n"/>
      <c r="E123" s="17" t="inlineStr">
        <is>
          <t>CECILIA EMPERATRIZ</t>
        </is>
      </c>
      <c r="F123" s="17" t="inlineStr">
        <is>
          <t xml:space="preserve">GARCIA </t>
        </is>
      </c>
      <c r="G123" s="17" t="inlineStr">
        <is>
          <t xml:space="preserve">NUÑEZ </t>
        </is>
      </c>
      <c r="H123" s="17" t="inlineStr">
        <is>
          <t>Persona Natural</t>
        </is>
      </c>
      <c r="I123" s="17" t="inlineStr">
        <is>
          <t>Cliente</t>
        </is>
      </c>
      <c r="J123" s="17" t="n"/>
      <c r="K123" s="17" t="n"/>
      <c r="L123" s="23" t="n"/>
      <c r="M123" s="17" t="n"/>
      <c r="N123" s="23" t="n"/>
      <c r="O123" s="17" t="n"/>
      <c r="P123" s="28">
        <f>IF(A123&lt;&gt;"OK","","SELECT cli_crear_clientes(p_codigo_interno =&gt; "&amp;IF(TRIM(N123&amp;"")="","NULL","'"&amp;SUBSTITUTE(TRIM(N123),"'","''")&amp;"'")&amp;", p_razon_social =&gt; "&amp;IF(TRIM(D123&amp;"")="","NULL","'"&amp;SUBSTITUTE(TRIM(D123),"'","''")&amp;"'")&amp;", p_id_tipo_cliente =&gt; "&amp;IF(TRIM(I123&amp;"")="","NULL","(SELECT lo.id FROM gen_lista_opciones lo JOIN gen_lista l ON l.id = lo.id_lista WHERE l.nombre = 'TipoCliente' AND upper(lo.nombre) = upper('"&amp;SUBSTITUTE(TRIM(I123),"'","''")&amp;"') AND lo.estado = 1 LIMIT 1)")&amp;", p_id_tipo_persona =&gt; "&amp;IF(TRIM(H123&amp;"")="","NULL","(SELECT lo.id FROM gen_lista_opciones lo JOIN gen_lista l ON l.id = lo.id_lista WHERE l.nombre = 'TipoPersona' AND upper(lo.nombre) = upper('"&amp;SUBSTITUTE(TRIM(H123),"'","''")&amp;"') AND lo.estado = 1 LIMIT 1)")&amp;", p_nombres =&gt; "&amp;IF(TRIM(E123&amp;"")="","NULL","'"&amp;SUBSTITUTE(TRIM(E123),"'","''")&amp;"'")&amp;", p_apellido_paterno =&gt; "&amp;IF(TRIM(F123&amp;"")="","NULL","'"&amp;SUBSTITUTE(TRIM(F123),"'","''")&amp;"'")&amp;", p_apellido_materno =&gt; "&amp;IF(TRIM(G123&amp;"")="","NULL","'"&amp;SUBSTITUTE(TRIM(G123),"'","''")&amp;"'")&amp;", p_id_tipo_documento =&gt; "&amp;IF(TRIM(B123&amp;"")="","NULL","(SELECT lo.id FROM gen_lista_opciones lo JOIN gen_lista l ON l.id = lo.id_lista WHERE l.nombre = 'TipoDocumento' AND upper(lo.nombre) = upper('"&amp;SUBSTITUTE(TRIM(B123),"'","''")&amp;"') AND lo.estado = 1 LIMIT 1)")&amp;", p_numero_documento =&gt; "&amp;IF(TRIM(C123&amp;"")="","NULL","'"&amp;SUBSTITUTE(TRIM(C123),"'","''")&amp;"'")&amp;", p_telefono =&gt; "&amp;IF(TRIM(L123&amp;"")="","NULL","'"&amp;SUBSTITUTE(TRIM(L123),"'","''")&amp;"'")&amp;", p_email =&gt; "&amp;IF(TRIM(M123&amp;"")="","NULL","'"&amp;SUBSTITUTE(TRIM(M123),"'","''")&amp;"'")&amp;", p_observacion =&gt; "&amp;IF(TRIM(O123&amp;"")="","NULL","'"&amp;SUBSTITUTE(TRIM(O123),"'","''")&amp;"'")&amp;", p_direccion =&gt; "&amp;IF(TRIM(J123&amp;"")="","NULL","'"&amp;SUBSTITUTE(TRIM(J123),"'","''")&amp;"'")&amp;", p_referencia =&gt; "&amp;IF(TRIM(K123&amp;"")="","NULL","'"&amp;SUBSTITUTE(TRIM(K123),"'","''")&amp;"'")&amp;") AS resultado_cliente_"&amp;ROW()&amp;";")</f>
        <v/>
      </c>
    </row>
    <row r="124" ht="15.75" customHeight="1" s="64">
      <c r="A124" s="25">
        <f>IF(AND(D124="",E124="",C124=""),"",IF(AND(D124="",E124=""),"FALTA razón social o nombres",IF(AND(C124&lt;&gt;"",SUMPRODUCT(--($C$5:$C$549=C124))&gt;1),"DOCUMENTO DUPLICADO",IF(AND(B124="DNI",C124&lt;&gt;"",LEN(C124&amp;"")&lt;&gt;8),"DNI debe tener 8 dígitos",IF(AND(B124="RUC",C124&lt;&gt;"",LEN(C124&amp;"")&lt;&gt;11),"RUC debe tener 11 dígitos",IF(AND(N124&lt;&gt;"",SUMPRODUCT(--($N$5:$N$549=N124))&gt;1),"CÓDIGO INTERNO DUPLICADO","OK"))))))</f>
        <v/>
      </c>
      <c r="B124" s="17" t="inlineStr">
        <is>
          <t>RUC</t>
        </is>
      </c>
      <c r="C124" s="23" t="inlineStr">
        <is>
          <t>20607539597</t>
        </is>
      </c>
      <c r="D124" s="17" t="inlineStr">
        <is>
          <t>GEOSOLUCIONES INTEGRALES DE PERFORACION S.A.C.</t>
        </is>
      </c>
      <c r="E124" s="17" t="n"/>
      <c r="F124" s="17" t="n"/>
      <c r="G124" s="17" t="n"/>
      <c r="H124" s="17" t="inlineStr">
        <is>
          <t>Persona Jurídica</t>
        </is>
      </c>
      <c r="I124" s="17" t="inlineStr">
        <is>
          <t>Cliente</t>
        </is>
      </c>
      <c r="J124" s="17" t="n"/>
      <c r="K124" s="17" t="n"/>
      <c r="L124" s="23" t="n"/>
      <c r="M124" s="17" t="n"/>
      <c r="N124" s="23" t="n"/>
      <c r="O124" s="17" t="n"/>
      <c r="P124" s="28">
        <f>IF(A124&lt;&gt;"OK","","SELECT cli_crear_clientes(p_codigo_interno =&gt; "&amp;IF(TRIM(N124&amp;"")="","NULL","'"&amp;SUBSTITUTE(TRIM(N124),"'","''")&amp;"'")&amp;", p_razon_social =&gt; "&amp;IF(TRIM(D124&amp;"")="","NULL","'"&amp;SUBSTITUTE(TRIM(D124),"'","''")&amp;"'")&amp;", p_id_tipo_cliente =&gt; "&amp;IF(TRIM(I124&amp;"")="","NULL","(SELECT lo.id FROM gen_lista_opciones lo JOIN gen_lista l ON l.id = lo.id_lista WHERE l.nombre = 'TipoCliente' AND upper(lo.nombre) = upper('"&amp;SUBSTITUTE(TRIM(I124),"'","''")&amp;"') AND lo.estado = 1 LIMIT 1)")&amp;", p_id_tipo_persona =&gt; "&amp;IF(TRIM(H124&amp;"")="","NULL","(SELECT lo.id FROM gen_lista_opciones lo JOIN gen_lista l ON l.id = lo.id_lista WHERE l.nombre = 'TipoPersona' AND upper(lo.nombre) = upper('"&amp;SUBSTITUTE(TRIM(H124),"'","''")&amp;"') AND lo.estado = 1 LIMIT 1)")&amp;", p_nombres =&gt; "&amp;IF(TRIM(E124&amp;"")="","NULL","'"&amp;SUBSTITUTE(TRIM(E124),"'","''")&amp;"'")&amp;", p_apellido_paterno =&gt; "&amp;IF(TRIM(F124&amp;"")="","NULL","'"&amp;SUBSTITUTE(TRIM(F124),"'","''")&amp;"'")&amp;", p_apellido_materno =&gt; "&amp;IF(TRIM(G124&amp;"")="","NULL","'"&amp;SUBSTITUTE(TRIM(G124),"'","''")&amp;"'")&amp;", p_id_tipo_documento =&gt; "&amp;IF(TRIM(B124&amp;"")="","NULL","(SELECT lo.id FROM gen_lista_opciones lo JOIN gen_lista l ON l.id = lo.id_lista WHERE l.nombre = 'TipoDocumento' AND upper(lo.nombre) = upper('"&amp;SUBSTITUTE(TRIM(B124),"'","''")&amp;"') AND lo.estado = 1 LIMIT 1)")&amp;", p_numero_documento =&gt; "&amp;IF(TRIM(C124&amp;"")="","NULL","'"&amp;SUBSTITUTE(TRIM(C124),"'","''")&amp;"'")&amp;", p_telefono =&gt; "&amp;IF(TRIM(L124&amp;"")="","NULL","'"&amp;SUBSTITUTE(TRIM(L124),"'","''")&amp;"'")&amp;", p_email =&gt; "&amp;IF(TRIM(M124&amp;"")="","NULL","'"&amp;SUBSTITUTE(TRIM(M124),"'","''")&amp;"'")&amp;", p_observacion =&gt; "&amp;IF(TRIM(O124&amp;"")="","NULL","'"&amp;SUBSTITUTE(TRIM(O124),"'","''")&amp;"'")&amp;", p_direccion =&gt; "&amp;IF(TRIM(J124&amp;"")="","NULL","'"&amp;SUBSTITUTE(TRIM(J124),"'","''")&amp;"'")&amp;", p_referencia =&gt; "&amp;IF(TRIM(K124&amp;"")="","NULL","'"&amp;SUBSTITUTE(TRIM(K124),"'","''")&amp;"'")&amp;") AS resultado_cliente_"&amp;ROW()&amp;";")</f>
        <v/>
      </c>
    </row>
    <row r="125" ht="15.75" customHeight="1" s="64">
      <c r="A125" s="25">
        <f>IF(AND(D125="",E125="",C125=""),"",IF(AND(D125="",E125=""),"FALTA razón social o nombres",IF(AND(C125&lt;&gt;"",SUMPRODUCT(--($C$5:$C$549=C125))&gt;1),"DOCUMENTO DUPLICADO",IF(AND(B125="DNI",C125&lt;&gt;"",LEN(C125&amp;"")&lt;&gt;8),"DNI debe tener 8 dígitos",IF(AND(B125="RUC",C125&lt;&gt;"",LEN(C125&amp;"")&lt;&gt;11),"RUC debe tener 11 dígitos",IF(AND(N125&lt;&gt;"",SUMPRODUCT(--($N$5:$N$549=N125))&gt;1),"CÓDIGO INTERNO DUPLICADO","OK"))))))</f>
        <v/>
      </c>
      <c r="B125" s="17" t="inlineStr">
        <is>
          <t>SD</t>
        </is>
      </c>
      <c r="C125" s="23" t="inlineStr">
        <is>
          <t>000023</t>
        </is>
      </c>
      <c r="D125" s="17" t="n"/>
      <c r="E125" s="17" t="inlineStr">
        <is>
          <t>GIL</t>
        </is>
      </c>
      <c r="F125" s="17" t="inlineStr">
        <is>
          <t>ESPERANZA</t>
        </is>
      </c>
      <c r="G125" s="17" t="n"/>
      <c r="H125" s="17" t="inlineStr">
        <is>
          <t>Persona Natural</t>
        </is>
      </c>
      <c r="I125" s="17" t="inlineStr">
        <is>
          <t>Cliente</t>
        </is>
      </c>
      <c r="J125" s="17" t="n"/>
      <c r="K125" s="17" t="n"/>
      <c r="L125" s="23" t="n"/>
      <c r="M125" s="17" t="n"/>
      <c r="N125" s="23" t="n"/>
      <c r="O125" s="17" t="n"/>
      <c r="P125" s="28">
        <f>IF(A125&lt;&gt;"OK","","SELECT cli_crear_clientes(p_codigo_interno =&gt; "&amp;IF(TRIM(N125&amp;"")="","NULL","'"&amp;SUBSTITUTE(TRIM(N125),"'","''")&amp;"'")&amp;", p_razon_social =&gt; "&amp;IF(TRIM(D125&amp;"")="","NULL","'"&amp;SUBSTITUTE(TRIM(D125),"'","''")&amp;"'")&amp;", p_id_tipo_cliente =&gt; "&amp;IF(TRIM(I125&amp;"")="","NULL","(SELECT lo.id FROM gen_lista_opciones lo JOIN gen_lista l ON l.id = lo.id_lista WHERE l.nombre = 'TipoCliente' AND upper(lo.nombre) = upper('"&amp;SUBSTITUTE(TRIM(I125),"'","''")&amp;"') AND lo.estado = 1 LIMIT 1)")&amp;", p_id_tipo_persona =&gt; "&amp;IF(TRIM(H125&amp;"")="","NULL","(SELECT lo.id FROM gen_lista_opciones lo JOIN gen_lista l ON l.id = lo.id_lista WHERE l.nombre = 'TipoPersona' AND upper(lo.nombre) = upper('"&amp;SUBSTITUTE(TRIM(H125),"'","''")&amp;"') AND lo.estado = 1 LIMIT 1)")&amp;", p_nombres =&gt; "&amp;IF(TRIM(E125&amp;"")="","NULL","'"&amp;SUBSTITUTE(TRIM(E125),"'","''")&amp;"'")&amp;", p_apellido_paterno =&gt; "&amp;IF(TRIM(F125&amp;"")="","NULL","'"&amp;SUBSTITUTE(TRIM(F125),"'","''")&amp;"'")&amp;", p_apellido_materno =&gt; "&amp;IF(TRIM(G125&amp;"")="","NULL","'"&amp;SUBSTITUTE(TRIM(G125),"'","''")&amp;"'")&amp;", p_id_tipo_documento =&gt; "&amp;IF(TRIM(B125&amp;"")="","NULL","(SELECT lo.id FROM gen_lista_opciones lo JOIN gen_lista l ON l.id = lo.id_lista WHERE l.nombre = 'TipoDocumento' AND upper(lo.nombre) = upper('"&amp;SUBSTITUTE(TRIM(B125),"'","''")&amp;"') AND lo.estado = 1 LIMIT 1)")&amp;", p_numero_documento =&gt; "&amp;IF(TRIM(C125&amp;"")="","NULL","'"&amp;SUBSTITUTE(TRIM(C125),"'","''")&amp;"'")&amp;", p_telefono =&gt; "&amp;IF(TRIM(L125&amp;"")="","NULL","'"&amp;SUBSTITUTE(TRIM(L125),"'","''")&amp;"'")&amp;", p_email =&gt; "&amp;IF(TRIM(M125&amp;"")="","NULL","'"&amp;SUBSTITUTE(TRIM(M125),"'","''")&amp;"'")&amp;", p_observacion =&gt; "&amp;IF(TRIM(O125&amp;"")="","NULL","'"&amp;SUBSTITUTE(TRIM(O125),"'","''")&amp;"'")&amp;", p_direccion =&gt; "&amp;IF(TRIM(J125&amp;"")="","NULL","'"&amp;SUBSTITUTE(TRIM(J125),"'","''")&amp;"'")&amp;", p_referencia =&gt; "&amp;IF(TRIM(K125&amp;"")="","NULL","'"&amp;SUBSTITUTE(TRIM(K125),"'","''")&amp;"'")&amp;") AS resultado_cliente_"&amp;ROW()&amp;";")</f>
        <v/>
      </c>
    </row>
    <row r="126" ht="15.75" customHeight="1" s="64">
      <c r="A126" s="25">
        <f>IF(AND(D126="",E126="",C126=""),"",IF(AND(D126="",E126=""),"FALTA razón social o nombres",IF(AND(C126&lt;&gt;"",SUMPRODUCT(--($C$5:$C$549=C126))&gt;1),"DOCUMENTO DUPLICADO",IF(AND(B126="DNI",C126&lt;&gt;"",LEN(C126&amp;"")&lt;&gt;8),"DNI debe tener 8 dígitos",IF(AND(B126="RUC",C126&lt;&gt;"",LEN(C126&amp;"")&lt;&gt;11),"RUC debe tener 11 dígitos",IF(AND(N126&lt;&gt;"",SUMPRODUCT(--($N$5:$N$549=N126))&gt;1),"CÓDIGO INTERNO DUPLICADO","OK"))))))</f>
        <v/>
      </c>
      <c r="B126" s="17" t="inlineStr">
        <is>
          <t>RUC</t>
        </is>
      </c>
      <c r="C126" s="23" t="inlineStr">
        <is>
          <t>20602412416</t>
        </is>
      </c>
      <c r="D126" s="17" t="inlineStr">
        <is>
          <t>GRUPO VIRGEN DE LA MEDALLA MILAGROSA E.I.R.L.</t>
        </is>
      </c>
      <c r="E126" s="17" t="n"/>
      <c r="F126" s="17" t="n"/>
      <c r="G126" s="17" t="n"/>
      <c r="H126" s="17" t="inlineStr">
        <is>
          <t>Persona Jurídica</t>
        </is>
      </c>
      <c r="I126" s="17" t="inlineStr">
        <is>
          <t>Cliente</t>
        </is>
      </c>
      <c r="J126" s="17" t="n"/>
      <c r="K126" s="17" t="n"/>
      <c r="L126" s="23" t="n"/>
      <c r="M126" s="17" t="n"/>
      <c r="N126" s="23" t="n"/>
      <c r="O126" s="17" t="n"/>
      <c r="P126" s="28">
        <f>IF(A126&lt;&gt;"OK","","SELECT cli_crear_clientes(p_codigo_interno =&gt; "&amp;IF(TRIM(N126&amp;"")="","NULL","'"&amp;SUBSTITUTE(TRIM(N126),"'","''")&amp;"'")&amp;", p_razon_social =&gt; "&amp;IF(TRIM(D126&amp;"")="","NULL","'"&amp;SUBSTITUTE(TRIM(D126),"'","''")&amp;"'")&amp;", p_id_tipo_cliente =&gt; "&amp;IF(TRIM(I126&amp;"")="","NULL","(SELECT lo.id FROM gen_lista_opciones lo JOIN gen_lista l ON l.id = lo.id_lista WHERE l.nombre = 'TipoCliente' AND upper(lo.nombre) = upper('"&amp;SUBSTITUTE(TRIM(I126),"'","''")&amp;"') AND lo.estado = 1 LIMIT 1)")&amp;", p_id_tipo_persona =&gt; "&amp;IF(TRIM(H126&amp;"")="","NULL","(SELECT lo.id FROM gen_lista_opciones lo JOIN gen_lista l ON l.id = lo.id_lista WHERE l.nombre = 'TipoPersona' AND upper(lo.nombre) = upper('"&amp;SUBSTITUTE(TRIM(H126),"'","''")&amp;"') AND lo.estado = 1 LIMIT 1)")&amp;", p_nombres =&gt; "&amp;IF(TRIM(E126&amp;"")="","NULL","'"&amp;SUBSTITUTE(TRIM(E126),"'","''")&amp;"'")&amp;", p_apellido_paterno =&gt; "&amp;IF(TRIM(F126&amp;"")="","NULL","'"&amp;SUBSTITUTE(TRIM(F126),"'","''")&amp;"'")&amp;", p_apellido_materno =&gt; "&amp;IF(TRIM(G126&amp;"")="","NULL","'"&amp;SUBSTITUTE(TRIM(G126),"'","''")&amp;"'")&amp;", p_id_tipo_documento =&gt; "&amp;IF(TRIM(B126&amp;"")="","NULL","(SELECT lo.id FROM gen_lista_opciones lo JOIN gen_lista l ON l.id = lo.id_lista WHERE l.nombre = 'TipoDocumento' AND upper(lo.nombre) = upper('"&amp;SUBSTITUTE(TRIM(B126),"'","''")&amp;"') AND lo.estado = 1 LIMIT 1)")&amp;", p_numero_documento =&gt; "&amp;IF(TRIM(C126&amp;"")="","NULL","'"&amp;SUBSTITUTE(TRIM(C126),"'","''")&amp;"'")&amp;", p_telefono =&gt; "&amp;IF(TRIM(L126&amp;"")="","NULL","'"&amp;SUBSTITUTE(TRIM(L126),"'","''")&amp;"'")&amp;", p_email =&gt; "&amp;IF(TRIM(M126&amp;"")="","NULL","'"&amp;SUBSTITUTE(TRIM(M126),"'","''")&amp;"'")&amp;", p_observacion =&gt; "&amp;IF(TRIM(O126&amp;"")="","NULL","'"&amp;SUBSTITUTE(TRIM(O126),"'","''")&amp;"'")&amp;", p_direccion =&gt; "&amp;IF(TRIM(J126&amp;"")="","NULL","'"&amp;SUBSTITUTE(TRIM(J126),"'","''")&amp;"'")&amp;", p_referencia =&gt; "&amp;IF(TRIM(K126&amp;"")="","NULL","'"&amp;SUBSTITUTE(TRIM(K126),"'","''")&amp;"'")&amp;") AS resultado_cliente_"&amp;ROW()&amp;";")</f>
        <v/>
      </c>
    </row>
    <row r="127" ht="15.75" customHeight="1" s="64">
      <c r="A127" s="25">
        <f>IF(AND(D127="",E127="",C127=""),"",IF(AND(D127="",E127=""),"FALTA razón social o nombres",IF(AND(C127&lt;&gt;"",SUMPRODUCT(--($C$5:$C$549=C127))&gt;1),"DOCUMENTO DUPLICADO",IF(AND(B127="DNI",C127&lt;&gt;"",LEN(C127&amp;"")&lt;&gt;8),"DNI debe tener 8 dígitos",IF(AND(B127="RUC",C127&lt;&gt;"",LEN(C127&amp;"")&lt;&gt;11),"RUC debe tener 11 dígitos",IF(AND(N127&lt;&gt;"",SUMPRODUCT(--($N$5:$N$549=N127))&gt;1),"CÓDIGO INTERNO DUPLICADO","OK"))))))</f>
        <v/>
      </c>
      <c r="B127" s="17" t="inlineStr">
        <is>
          <t>SD</t>
        </is>
      </c>
      <c r="C127" s="23" t="inlineStr">
        <is>
          <t>000024</t>
        </is>
      </c>
      <c r="D127" s="17" t="n"/>
      <c r="E127" s="17" t="inlineStr">
        <is>
          <t>PEDRO</t>
        </is>
      </c>
      <c r="F127" s="17" t="inlineStr">
        <is>
          <t>LEON</t>
        </is>
      </c>
      <c r="G127" s="17" t="n"/>
      <c r="H127" s="17" t="inlineStr">
        <is>
          <t>Persona Natural</t>
        </is>
      </c>
      <c r="I127" s="17" t="inlineStr">
        <is>
          <t>Cliente</t>
        </is>
      </c>
      <c r="J127" s="17" t="n"/>
      <c r="K127" s="17" t="n"/>
      <c r="L127" s="23" t="n"/>
      <c r="M127" s="17" t="n"/>
      <c r="N127" s="23" t="n"/>
      <c r="O127" s="17" t="n"/>
      <c r="P127" s="28">
        <f>IF(A127&lt;&gt;"OK","","SELECT cli_crear_clientes(p_codigo_interno =&gt; "&amp;IF(TRIM(N127&amp;"")="","NULL","'"&amp;SUBSTITUTE(TRIM(N127),"'","''")&amp;"'")&amp;", p_razon_social =&gt; "&amp;IF(TRIM(D127&amp;"")="","NULL","'"&amp;SUBSTITUTE(TRIM(D127),"'","''")&amp;"'")&amp;", p_id_tipo_cliente =&gt; "&amp;IF(TRIM(I127&amp;"")="","NULL","(SELECT lo.id FROM gen_lista_opciones lo JOIN gen_lista l ON l.id = lo.id_lista WHERE l.nombre = 'TipoCliente' AND upper(lo.nombre) = upper('"&amp;SUBSTITUTE(TRIM(I127),"'","''")&amp;"') AND lo.estado = 1 LIMIT 1)")&amp;", p_id_tipo_persona =&gt; "&amp;IF(TRIM(H127&amp;"")="","NULL","(SELECT lo.id FROM gen_lista_opciones lo JOIN gen_lista l ON l.id = lo.id_lista WHERE l.nombre = 'TipoPersona' AND upper(lo.nombre) = upper('"&amp;SUBSTITUTE(TRIM(H127),"'","''")&amp;"') AND lo.estado = 1 LIMIT 1)")&amp;", p_nombres =&gt; "&amp;IF(TRIM(E127&amp;"")="","NULL","'"&amp;SUBSTITUTE(TRIM(E127),"'","''")&amp;"'")&amp;", p_apellido_paterno =&gt; "&amp;IF(TRIM(F127&amp;"")="","NULL","'"&amp;SUBSTITUTE(TRIM(F127),"'","''")&amp;"'")&amp;", p_apellido_materno =&gt; "&amp;IF(TRIM(G127&amp;"")="","NULL","'"&amp;SUBSTITUTE(TRIM(G127),"'","''")&amp;"'")&amp;", p_id_tipo_documento =&gt; "&amp;IF(TRIM(B127&amp;"")="","NULL","(SELECT lo.id FROM gen_lista_opciones lo JOIN gen_lista l ON l.id = lo.id_lista WHERE l.nombre = 'TipoDocumento' AND upper(lo.nombre) = upper('"&amp;SUBSTITUTE(TRIM(B127),"'","''")&amp;"') AND lo.estado = 1 LIMIT 1)")&amp;", p_numero_documento =&gt; "&amp;IF(TRIM(C127&amp;"")="","NULL","'"&amp;SUBSTITUTE(TRIM(C127),"'","''")&amp;"'")&amp;", p_telefono =&gt; "&amp;IF(TRIM(L127&amp;"")="","NULL","'"&amp;SUBSTITUTE(TRIM(L127),"'","''")&amp;"'")&amp;", p_email =&gt; "&amp;IF(TRIM(M127&amp;"")="","NULL","'"&amp;SUBSTITUTE(TRIM(M127),"'","''")&amp;"'")&amp;", p_observacion =&gt; "&amp;IF(TRIM(O127&amp;"")="","NULL","'"&amp;SUBSTITUTE(TRIM(O127),"'","''")&amp;"'")&amp;", p_direccion =&gt; "&amp;IF(TRIM(J127&amp;"")="","NULL","'"&amp;SUBSTITUTE(TRIM(J127),"'","''")&amp;"'")&amp;", p_referencia =&gt; "&amp;IF(TRIM(K127&amp;"")="","NULL","'"&amp;SUBSTITUTE(TRIM(K127),"'","''")&amp;"'")&amp;") AS resultado_cliente_"&amp;ROW()&amp;";")</f>
        <v/>
      </c>
    </row>
    <row r="128" ht="15.75" customHeight="1" s="64">
      <c r="A128" s="25">
        <f>IF(AND(D128="",E128="",C128=""),"",IF(AND(D128="",E128=""),"FALTA razón social o nombres",IF(AND(C128&lt;&gt;"",SUMPRODUCT(--($C$5:$C$549=C128))&gt;1),"DOCUMENTO DUPLICADO",IF(AND(B128="DNI",C128&lt;&gt;"",LEN(C128&amp;"")&lt;&gt;8),"DNI debe tener 8 dígitos",IF(AND(B128="RUC",C128&lt;&gt;"",LEN(C128&amp;"")&lt;&gt;11),"RUC debe tener 11 dígitos",IF(AND(N128&lt;&gt;"",SUMPRODUCT(--($N$5:$N$549=N128))&gt;1),"CÓDIGO INTERNO DUPLICADO","OK"))))))</f>
        <v/>
      </c>
      <c r="B128" s="17" t="inlineStr">
        <is>
          <t>SD</t>
        </is>
      </c>
      <c r="C128" s="23" t="inlineStr">
        <is>
          <t>000025</t>
        </is>
      </c>
      <c r="D128" s="17" t="n"/>
      <c r="E128" s="17" t="inlineStr">
        <is>
          <t xml:space="preserve"> SEGUNDO</t>
        </is>
      </c>
      <c r="F128" s="17" t="inlineStr">
        <is>
          <t xml:space="preserve">LLATAS </t>
        </is>
      </c>
      <c r="G128" s="17" t="inlineStr">
        <is>
          <t xml:space="preserve">CONTRERAS </t>
        </is>
      </c>
      <c r="H128" s="17" t="inlineStr">
        <is>
          <t>Persona Natural</t>
        </is>
      </c>
      <c r="I128" s="17" t="inlineStr">
        <is>
          <t>Cliente</t>
        </is>
      </c>
      <c r="J128" s="17" t="n"/>
      <c r="K128" s="17" t="n"/>
      <c r="L128" s="23" t="n"/>
      <c r="M128" s="17" t="n"/>
      <c r="N128" s="23" t="n"/>
      <c r="O128" s="17" t="n"/>
      <c r="P128" s="28">
        <f>IF(A128&lt;&gt;"OK","","SELECT cli_crear_clientes(p_codigo_interno =&gt; "&amp;IF(TRIM(N128&amp;"")="","NULL","'"&amp;SUBSTITUTE(TRIM(N128),"'","''")&amp;"'")&amp;", p_razon_social =&gt; "&amp;IF(TRIM(D128&amp;"")="","NULL","'"&amp;SUBSTITUTE(TRIM(D128),"'","''")&amp;"'")&amp;", p_id_tipo_cliente =&gt; "&amp;IF(TRIM(I128&amp;"")="","NULL","(SELECT lo.id FROM gen_lista_opciones lo JOIN gen_lista l ON l.id = lo.id_lista WHERE l.nombre = 'TipoCliente' AND upper(lo.nombre) = upper('"&amp;SUBSTITUTE(TRIM(I128),"'","''")&amp;"') AND lo.estado = 1 LIMIT 1)")&amp;", p_id_tipo_persona =&gt; "&amp;IF(TRIM(H128&amp;"")="","NULL","(SELECT lo.id FROM gen_lista_opciones lo JOIN gen_lista l ON l.id = lo.id_lista WHERE l.nombre = 'TipoPersona' AND upper(lo.nombre) = upper('"&amp;SUBSTITUTE(TRIM(H128),"'","''")&amp;"') AND lo.estado = 1 LIMIT 1)")&amp;", p_nombres =&gt; "&amp;IF(TRIM(E128&amp;"")="","NULL","'"&amp;SUBSTITUTE(TRIM(E128),"'","''")&amp;"'")&amp;", p_apellido_paterno =&gt; "&amp;IF(TRIM(F128&amp;"")="","NULL","'"&amp;SUBSTITUTE(TRIM(F128),"'","''")&amp;"'")&amp;", p_apellido_materno =&gt; "&amp;IF(TRIM(G128&amp;"")="","NULL","'"&amp;SUBSTITUTE(TRIM(G128),"'","''")&amp;"'")&amp;", p_id_tipo_documento =&gt; "&amp;IF(TRIM(B128&amp;"")="","NULL","(SELECT lo.id FROM gen_lista_opciones lo JOIN gen_lista l ON l.id = lo.id_lista WHERE l.nombre = 'TipoDocumento' AND upper(lo.nombre) = upper('"&amp;SUBSTITUTE(TRIM(B128),"'","''")&amp;"') AND lo.estado = 1 LIMIT 1)")&amp;", p_numero_documento =&gt; "&amp;IF(TRIM(C128&amp;"")="","NULL","'"&amp;SUBSTITUTE(TRIM(C128),"'","''")&amp;"'")&amp;", p_telefono =&gt; "&amp;IF(TRIM(L128&amp;"")="","NULL","'"&amp;SUBSTITUTE(TRIM(L128),"'","''")&amp;"'")&amp;", p_email =&gt; "&amp;IF(TRIM(M128&amp;"")="","NULL","'"&amp;SUBSTITUTE(TRIM(M128),"'","''")&amp;"'")&amp;", p_observacion =&gt; "&amp;IF(TRIM(O128&amp;"")="","NULL","'"&amp;SUBSTITUTE(TRIM(O128),"'","''")&amp;"'")&amp;", p_direccion =&gt; "&amp;IF(TRIM(J128&amp;"")="","NULL","'"&amp;SUBSTITUTE(TRIM(J128),"'","''")&amp;"'")&amp;", p_referencia =&gt; "&amp;IF(TRIM(K128&amp;"")="","NULL","'"&amp;SUBSTITUTE(TRIM(K128),"'","''")&amp;"'")&amp;") AS resultado_cliente_"&amp;ROW()&amp;";")</f>
        <v/>
      </c>
    </row>
    <row r="129" ht="15.75" customHeight="1" s="64">
      <c r="A129" s="25">
        <f>IF(AND(D129="",E129="",C129=""),"",IF(AND(D129="",E129=""),"FALTA razón social o nombres",IF(AND(C129&lt;&gt;"",SUMPRODUCT(--($C$5:$C$549=C129))&gt;1),"DOCUMENTO DUPLICADO",IF(AND(B129="DNI",C129&lt;&gt;"",LEN(C129&amp;"")&lt;&gt;8),"DNI debe tener 8 dígitos",IF(AND(B129="RUC",C129&lt;&gt;"",LEN(C129&amp;"")&lt;&gt;11),"RUC debe tener 11 dígitos",IF(AND(N129&lt;&gt;"",SUMPRODUCT(--($N$5:$N$549=N129))&gt;1),"CÓDIGO INTERNO DUPLICADO","OK"))))))</f>
        <v/>
      </c>
      <c r="B129" s="17" t="inlineStr">
        <is>
          <t>SD</t>
        </is>
      </c>
      <c r="C129" s="23" t="inlineStr">
        <is>
          <t>000026</t>
        </is>
      </c>
      <c r="D129" s="17" t="n"/>
      <c r="E129" s="17" t="inlineStr">
        <is>
          <t>JOEL</t>
        </is>
      </c>
      <c r="F129" s="17" t="inlineStr">
        <is>
          <t xml:space="preserve">LLUNCOR </t>
        </is>
      </c>
      <c r="G129" s="17" t="n"/>
      <c r="H129" s="17" t="inlineStr">
        <is>
          <t>Persona Natural</t>
        </is>
      </c>
      <c r="I129" s="17" t="inlineStr">
        <is>
          <t>Cliente</t>
        </is>
      </c>
      <c r="J129" s="17" t="n"/>
      <c r="K129" s="17" t="n"/>
      <c r="L129" s="23" t="n"/>
      <c r="M129" s="17" t="n"/>
      <c r="N129" s="23" t="n"/>
      <c r="O129" s="17" t="n"/>
      <c r="P129" s="28">
        <f>IF(A129&lt;&gt;"OK","","SELECT cli_crear_clientes(p_codigo_interno =&gt; "&amp;IF(TRIM(N129&amp;"")="","NULL","'"&amp;SUBSTITUTE(TRIM(N129),"'","''")&amp;"'")&amp;", p_razon_social =&gt; "&amp;IF(TRIM(D129&amp;"")="","NULL","'"&amp;SUBSTITUTE(TRIM(D129),"'","''")&amp;"'")&amp;", p_id_tipo_cliente =&gt; "&amp;IF(TRIM(I129&amp;"")="","NULL","(SELECT lo.id FROM gen_lista_opciones lo JOIN gen_lista l ON l.id = lo.id_lista WHERE l.nombre = 'TipoCliente' AND upper(lo.nombre) = upper('"&amp;SUBSTITUTE(TRIM(I129),"'","''")&amp;"') AND lo.estado = 1 LIMIT 1)")&amp;", p_id_tipo_persona =&gt; "&amp;IF(TRIM(H129&amp;"")="","NULL","(SELECT lo.id FROM gen_lista_opciones lo JOIN gen_lista l ON l.id = lo.id_lista WHERE l.nombre = 'TipoPersona' AND upper(lo.nombre) = upper('"&amp;SUBSTITUTE(TRIM(H129),"'","''")&amp;"') AND lo.estado = 1 LIMIT 1)")&amp;", p_nombres =&gt; "&amp;IF(TRIM(E129&amp;"")="","NULL","'"&amp;SUBSTITUTE(TRIM(E129),"'","''")&amp;"'")&amp;", p_apellido_paterno =&gt; "&amp;IF(TRIM(F129&amp;"")="","NULL","'"&amp;SUBSTITUTE(TRIM(F129),"'","''")&amp;"'")&amp;", p_apellido_materno =&gt; "&amp;IF(TRIM(G129&amp;"")="","NULL","'"&amp;SUBSTITUTE(TRIM(G129),"'","''")&amp;"'")&amp;", p_id_tipo_documento =&gt; "&amp;IF(TRIM(B129&amp;"")="","NULL","(SELECT lo.id FROM gen_lista_opciones lo JOIN gen_lista l ON l.id = lo.id_lista WHERE l.nombre = 'TipoDocumento' AND upper(lo.nombre) = upper('"&amp;SUBSTITUTE(TRIM(B129),"'","''")&amp;"') AND lo.estado = 1 LIMIT 1)")&amp;", p_numero_documento =&gt; "&amp;IF(TRIM(C129&amp;"")="","NULL","'"&amp;SUBSTITUTE(TRIM(C129),"'","''")&amp;"'")&amp;", p_telefono =&gt; "&amp;IF(TRIM(L129&amp;"")="","NULL","'"&amp;SUBSTITUTE(TRIM(L129),"'","''")&amp;"'")&amp;", p_email =&gt; "&amp;IF(TRIM(M129&amp;"")="","NULL","'"&amp;SUBSTITUTE(TRIM(M129),"'","''")&amp;"'")&amp;", p_observacion =&gt; "&amp;IF(TRIM(O129&amp;"")="","NULL","'"&amp;SUBSTITUTE(TRIM(O129),"'","''")&amp;"'")&amp;", p_direccion =&gt; "&amp;IF(TRIM(J129&amp;"")="","NULL","'"&amp;SUBSTITUTE(TRIM(J129),"'","''")&amp;"'")&amp;", p_referencia =&gt; "&amp;IF(TRIM(K129&amp;"")="","NULL","'"&amp;SUBSTITUTE(TRIM(K129),"'","''")&amp;"'")&amp;") AS resultado_cliente_"&amp;ROW()&amp;";")</f>
        <v/>
      </c>
    </row>
    <row r="130" ht="15.75" customHeight="1" s="64">
      <c r="A130" s="25">
        <f>IF(AND(D130="",E130="",C130=""),"",IF(AND(D130="",E130=""),"FALTA razón social o nombres",IF(AND(C130&lt;&gt;"",SUMPRODUCT(--($C$5:$C$549=C130))&gt;1),"DOCUMENTO DUPLICADO",IF(AND(B130="DNI",C130&lt;&gt;"",LEN(C130&amp;"")&lt;&gt;8),"DNI debe tener 8 dígitos",IF(AND(B130="RUC",C130&lt;&gt;"",LEN(C130&amp;"")&lt;&gt;11),"RUC debe tener 11 dígitos",IF(AND(N130&lt;&gt;"",SUMPRODUCT(--($N$5:$N$549=N130))&gt;1),"CÓDIGO INTERNO DUPLICADO","OK"))))))</f>
        <v/>
      </c>
      <c r="B130" s="17" t="inlineStr">
        <is>
          <t>SD</t>
        </is>
      </c>
      <c r="C130" s="23" t="inlineStr">
        <is>
          <t>000027</t>
        </is>
      </c>
      <c r="D130" s="17" t="n"/>
      <c r="E130" s="17" t="inlineStr">
        <is>
          <t>CINDY</t>
        </is>
      </c>
      <c r="F130" s="17" t="inlineStr">
        <is>
          <t>LOZADA</t>
        </is>
      </c>
      <c r="G130" s="17" t="n"/>
      <c r="H130" s="17" t="inlineStr">
        <is>
          <t>Persona Natural</t>
        </is>
      </c>
      <c r="I130" s="17" t="inlineStr">
        <is>
          <t>Cliente</t>
        </is>
      </c>
      <c r="J130" s="17" t="n"/>
      <c r="K130" s="17" t="n"/>
      <c r="L130" s="23" t="n"/>
      <c r="M130" s="17" t="n"/>
      <c r="N130" s="23" t="n"/>
      <c r="O130" s="17" t="n"/>
      <c r="P130" s="28">
        <f>IF(A130&lt;&gt;"OK","","SELECT cli_crear_clientes(p_codigo_interno =&gt; "&amp;IF(TRIM(N130&amp;"")="","NULL","'"&amp;SUBSTITUTE(TRIM(N130),"'","''")&amp;"'")&amp;", p_razon_social =&gt; "&amp;IF(TRIM(D130&amp;"")="","NULL","'"&amp;SUBSTITUTE(TRIM(D130),"'","''")&amp;"'")&amp;", p_id_tipo_cliente =&gt; "&amp;IF(TRIM(I130&amp;"")="","NULL","(SELECT lo.id FROM gen_lista_opciones lo JOIN gen_lista l ON l.id = lo.id_lista WHERE l.nombre = 'TipoCliente' AND upper(lo.nombre) = upper('"&amp;SUBSTITUTE(TRIM(I130),"'","''")&amp;"') AND lo.estado = 1 LIMIT 1)")&amp;", p_id_tipo_persona =&gt; "&amp;IF(TRIM(H130&amp;"")="","NULL","(SELECT lo.id FROM gen_lista_opciones lo JOIN gen_lista l ON l.id = lo.id_lista WHERE l.nombre = 'TipoPersona' AND upper(lo.nombre) = upper('"&amp;SUBSTITUTE(TRIM(H130),"'","''")&amp;"') AND lo.estado = 1 LIMIT 1)")&amp;", p_nombres =&gt; "&amp;IF(TRIM(E130&amp;"")="","NULL","'"&amp;SUBSTITUTE(TRIM(E130),"'","''")&amp;"'")&amp;", p_apellido_paterno =&gt; "&amp;IF(TRIM(F130&amp;"")="","NULL","'"&amp;SUBSTITUTE(TRIM(F130),"'","''")&amp;"'")&amp;", p_apellido_materno =&gt; "&amp;IF(TRIM(G130&amp;"")="","NULL","'"&amp;SUBSTITUTE(TRIM(G130),"'","''")&amp;"'")&amp;", p_id_tipo_documento =&gt; "&amp;IF(TRIM(B130&amp;"")="","NULL","(SELECT lo.id FROM gen_lista_opciones lo JOIN gen_lista l ON l.id = lo.id_lista WHERE l.nombre = 'TipoDocumento' AND upper(lo.nombre) = upper('"&amp;SUBSTITUTE(TRIM(B130),"'","''")&amp;"') AND lo.estado = 1 LIMIT 1)")&amp;", p_numero_documento =&gt; "&amp;IF(TRIM(C130&amp;"")="","NULL","'"&amp;SUBSTITUTE(TRIM(C130),"'","''")&amp;"'")&amp;", p_telefono =&gt; "&amp;IF(TRIM(L130&amp;"")="","NULL","'"&amp;SUBSTITUTE(TRIM(L130),"'","''")&amp;"'")&amp;", p_email =&gt; "&amp;IF(TRIM(M130&amp;"")="","NULL","'"&amp;SUBSTITUTE(TRIM(M130),"'","''")&amp;"'")&amp;", p_observacion =&gt; "&amp;IF(TRIM(O130&amp;"")="","NULL","'"&amp;SUBSTITUTE(TRIM(O130),"'","''")&amp;"'")&amp;", p_direccion =&gt; "&amp;IF(TRIM(J130&amp;"")="","NULL","'"&amp;SUBSTITUTE(TRIM(J130),"'","''")&amp;"'")&amp;", p_referencia =&gt; "&amp;IF(TRIM(K130&amp;"")="","NULL","'"&amp;SUBSTITUTE(TRIM(K130),"'","''")&amp;"'")&amp;") AS resultado_cliente_"&amp;ROW()&amp;";")</f>
        <v/>
      </c>
    </row>
    <row r="131" ht="15.75" customHeight="1" s="64">
      <c r="A131" s="25">
        <f>IF(AND(D131="",E131="",C131=""),"",IF(AND(D131="",E131=""),"FALTA razón social o nombres",IF(AND(C131&lt;&gt;"",SUMPRODUCT(--($C$5:$C$549=C131))&gt;1),"DOCUMENTO DUPLICADO",IF(AND(B131="DNI",C131&lt;&gt;"",LEN(C131&amp;"")&lt;&gt;8),"DNI debe tener 8 dígitos",IF(AND(B131="RUC",C131&lt;&gt;"",LEN(C131&amp;"")&lt;&gt;11),"RUC debe tener 11 dígitos",IF(AND(N131&lt;&gt;"",SUMPRODUCT(--($N$5:$N$549=N131))&gt;1),"CÓDIGO INTERNO DUPLICADO","OK"))))))</f>
        <v/>
      </c>
      <c r="B131" s="17" t="inlineStr">
        <is>
          <t>RUC</t>
        </is>
      </c>
      <c r="C131" s="23" t="inlineStr">
        <is>
          <t>20487381765</t>
        </is>
      </c>
      <c r="D131" s="17" t="inlineStr">
        <is>
          <t>MADRE JUANA S.A.C.</t>
        </is>
      </c>
      <c r="E131" s="17" t="n"/>
      <c r="F131" s="17" t="n"/>
      <c r="G131" s="17" t="n"/>
      <c r="H131" s="17" t="inlineStr">
        <is>
          <t>Persona Jurídica</t>
        </is>
      </c>
      <c r="I131" s="17" t="inlineStr">
        <is>
          <t>Cliente</t>
        </is>
      </c>
      <c r="J131" s="17" t="n"/>
      <c r="K131" s="17" t="n"/>
      <c r="L131" s="23" t="n"/>
      <c r="M131" s="17" t="n"/>
      <c r="N131" s="23" t="n"/>
      <c r="O131" s="17" t="n"/>
      <c r="P131" s="28">
        <f>IF(A131&lt;&gt;"OK","","SELECT cli_crear_clientes(p_codigo_interno =&gt; "&amp;IF(TRIM(N131&amp;"")="","NULL","'"&amp;SUBSTITUTE(TRIM(N131),"'","''")&amp;"'")&amp;", p_razon_social =&gt; "&amp;IF(TRIM(D131&amp;"")="","NULL","'"&amp;SUBSTITUTE(TRIM(D131),"'","''")&amp;"'")&amp;", p_id_tipo_cliente =&gt; "&amp;IF(TRIM(I131&amp;"")="","NULL","(SELECT lo.id FROM gen_lista_opciones lo JOIN gen_lista l ON l.id = lo.id_lista WHERE l.nombre = 'TipoCliente' AND upper(lo.nombre) = upper('"&amp;SUBSTITUTE(TRIM(I131),"'","''")&amp;"') AND lo.estado = 1 LIMIT 1)")&amp;", p_id_tipo_persona =&gt; "&amp;IF(TRIM(H131&amp;"")="","NULL","(SELECT lo.id FROM gen_lista_opciones lo JOIN gen_lista l ON l.id = lo.id_lista WHERE l.nombre = 'TipoPersona' AND upper(lo.nombre) = upper('"&amp;SUBSTITUTE(TRIM(H131),"'","''")&amp;"') AND lo.estado = 1 LIMIT 1)")&amp;", p_nombres =&gt; "&amp;IF(TRIM(E131&amp;"")="","NULL","'"&amp;SUBSTITUTE(TRIM(E131),"'","''")&amp;"'")&amp;", p_apellido_paterno =&gt; "&amp;IF(TRIM(F131&amp;"")="","NULL","'"&amp;SUBSTITUTE(TRIM(F131),"'","''")&amp;"'")&amp;", p_apellido_materno =&gt; "&amp;IF(TRIM(G131&amp;"")="","NULL","'"&amp;SUBSTITUTE(TRIM(G131),"'","''")&amp;"'")&amp;", p_id_tipo_documento =&gt; "&amp;IF(TRIM(B131&amp;"")="","NULL","(SELECT lo.id FROM gen_lista_opciones lo JOIN gen_lista l ON l.id = lo.id_lista WHERE l.nombre = 'TipoDocumento' AND upper(lo.nombre) = upper('"&amp;SUBSTITUTE(TRIM(B131),"'","''")&amp;"') AND lo.estado = 1 LIMIT 1)")&amp;", p_numero_documento =&gt; "&amp;IF(TRIM(C131&amp;"")="","NULL","'"&amp;SUBSTITUTE(TRIM(C131),"'","''")&amp;"'")&amp;", p_telefono =&gt; "&amp;IF(TRIM(L131&amp;"")="","NULL","'"&amp;SUBSTITUTE(TRIM(L131),"'","''")&amp;"'")&amp;", p_email =&gt; "&amp;IF(TRIM(M131&amp;"")="","NULL","'"&amp;SUBSTITUTE(TRIM(M131),"'","''")&amp;"'")&amp;", p_observacion =&gt; "&amp;IF(TRIM(O131&amp;"")="","NULL","'"&amp;SUBSTITUTE(TRIM(O131),"'","''")&amp;"'")&amp;", p_direccion =&gt; "&amp;IF(TRIM(J131&amp;"")="","NULL","'"&amp;SUBSTITUTE(TRIM(J131),"'","''")&amp;"'")&amp;", p_referencia =&gt; "&amp;IF(TRIM(K131&amp;"")="","NULL","'"&amp;SUBSTITUTE(TRIM(K131),"'","''")&amp;"'")&amp;") AS resultado_cliente_"&amp;ROW()&amp;";")</f>
        <v/>
      </c>
    </row>
    <row r="132" ht="15.75" customHeight="1" s="64">
      <c r="A132" s="25">
        <f>IF(AND(D132="",E132="",C132=""),"",IF(AND(D132="",E132=""),"FALTA razón social o nombres",IF(AND(C132&lt;&gt;"",SUMPRODUCT(--($C$5:$C$549=C132))&gt;1),"DOCUMENTO DUPLICADO",IF(AND(B132="DNI",C132&lt;&gt;"",LEN(C132&amp;"")&lt;&gt;8),"DNI debe tener 8 dígitos",IF(AND(B132="RUC",C132&lt;&gt;"",LEN(C132&amp;"")&lt;&gt;11),"RUC debe tener 11 dígitos",IF(AND(N132&lt;&gt;"",SUMPRODUCT(--($N$5:$N$549=N132))&gt;1),"CÓDIGO INTERNO DUPLICADO","OK"))))))</f>
        <v/>
      </c>
      <c r="B132" s="17" t="inlineStr">
        <is>
          <t>DNI</t>
        </is>
      </c>
      <c r="C132" s="23" t="inlineStr">
        <is>
          <t>16769129</t>
        </is>
      </c>
      <c r="D132" s="17" t="n"/>
      <c r="E132" s="17" t="inlineStr">
        <is>
          <t>CARLOS FERNANDO</t>
        </is>
      </c>
      <c r="F132" s="17" t="inlineStr">
        <is>
          <t xml:space="preserve">MONTENEGRO </t>
        </is>
      </c>
      <c r="G132" s="17" t="inlineStr">
        <is>
          <t xml:space="preserve">GOMEZ </t>
        </is>
      </c>
      <c r="H132" s="17" t="inlineStr">
        <is>
          <t>Persona Natural</t>
        </is>
      </c>
      <c r="I132" s="17" t="inlineStr">
        <is>
          <t>Cliente</t>
        </is>
      </c>
      <c r="J132" s="17" t="n"/>
      <c r="K132" s="17" t="n"/>
      <c r="L132" s="23" t="n"/>
      <c r="M132" s="17" t="n"/>
      <c r="N132" s="23" t="n"/>
      <c r="O132" s="17" t="n"/>
      <c r="P132" s="28">
        <f>IF(A132&lt;&gt;"OK","","SELECT cli_crear_clientes(p_codigo_interno =&gt; "&amp;IF(TRIM(N132&amp;"")="","NULL","'"&amp;SUBSTITUTE(TRIM(N132),"'","''")&amp;"'")&amp;", p_razon_social =&gt; "&amp;IF(TRIM(D132&amp;"")="","NULL","'"&amp;SUBSTITUTE(TRIM(D132),"'","''")&amp;"'")&amp;", p_id_tipo_cliente =&gt; "&amp;IF(TRIM(I132&amp;"")="","NULL","(SELECT lo.id FROM gen_lista_opciones lo JOIN gen_lista l ON l.id = lo.id_lista WHERE l.nombre = 'TipoCliente' AND upper(lo.nombre) = upper('"&amp;SUBSTITUTE(TRIM(I132),"'","''")&amp;"') AND lo.estado = 1 LIMIT 1)")&amp;", p_id_tipo_persona =&gt; "&amp;IF(TRIM(H132&amp;"")="","NULL","(SELECT lo.id FROM gen_lista_opciones lo JOIN gen_lista l ON l.id = lo.id_lista WHERE l.nombre = 'TipoPersona' AND upper(lo.nombre) = upper('"&amp;SUBSTITUTE(TRIM(H132),"'","''")&amp;"') AND lo.estado = 1 LIMIT 1)")&amp;", p_nombres =&gt; "&amp;IF(TRIM(E132&amp;"")="","NULL","'"&amp;SUBSTITUTE(TRIM(E132),"'","''")&amp;"'")&amp;", p_apellido_paterno =&gt; "&amp;IF(TRIM(F132&amp;"")="","NULL","'"&amp;SUBSTITUTE(TRIM(F132),"'","''")&amp;"'")&amp;", p_apellido_materno =&gt; "&amp;IF(TRIM(G132&amp;"")="","NULL","'"&amp;SUBSTITUTE(TRIM(G132),"'","''")&amp;"'")&amp;", p_id_tipo_documento =&gt; "&amp;IF(TRIM(B132&amp;"")="","NULL","(SELECT lo.id FROM gen_lista_opciones lo JOIN gen_lista l ON l.id = lo.id_lista WHERE l.nombre = 'TipoDocumento' AND upper(lo.nombre) = upper('"&amp;SUBSTITUTE(TRIM(B132),"'","''")&amp;"') AND lo.estado = 1 LIMIT 1)")&amp;", p_numero_documento =&gt; "&amp;IF(TRIM(C132&amp;"")="","NULL","'"&amp;SUBSTITUTE(TRIM(C132),"'","''")&amp;"'")&amp;", p_telefono =&gt; "&amp;IF(TRIM(L132&amp;"")="","NULL","'"&amp;SUBSTITUTE(TRIM(L132),"'","''")&amp;"'")&amp;", p_email =&gt; "&amp;IF(TRIM(M132&amp;"")="","NULL","'"&amp;SUBSTITUTE(TRIM(M132),"'","''")&amp;"'")&amp;", p_observacion =&gt; "&amp;IF(TRIM(O132&amp;"")="","NULL","'"&amp;SUBSTITUTE(TRIM(O132),"'","''")&amp;"'")&amp;", p_direccion =&gt; "&amp;IF(TRIM(J132&amp;"")="","NULL","'"&amp;SUBSTITUTE(TRIM(J132),"'","''")&amp;"'")&amp;", p_referencia =&gt; "&amp;IF(TRIM(K132&amp;"")="","NULL","'"&amp;SUBSTITUTE(TRIM(K132),"'","''")&amp;"'")&amp;") AS resultado_cliente_"&amp;ROW()&amp;";")</f>
        <v/>
      </c>
    </row>
    <row r="133" ht="15.75" customHeight="1" s="64">
      <c r="A133" s="25">
        <f>IF(AND(D133="",E133="",C133=""),"",IF(AND(D133="",E133=""),"FALTA razón social o nombres",IF(AND(C133&lt;&gt;"",SUMPRODUCT(--($C$5:$C$549=C133))&gt;1),"DOCUMENTO DUPLICADO",IF(AND(B133="DNI",C133&lt;&gt;"",LEN(C133&amp;"")&lt;&gt;8),"DNI debe tener 8 dígitos",IF(AND(B133="RUC",C133&lt;&gt;"",LEN(C133&amp;"")&lt;&gt;11),"RUC debe tener 11 dígitos",IF(AND(N133&lt;&gt;"",SUMPRODUCT(--($N$5:$N$549=N133))&gt;1),"CÓDIGO INTERNO DUPLICADO","OK"))))))</f>
        <v/>
      </c>
      <c r="B133" s="17" t="inlineStr">
        <is>
          <t>RUC</t>
        </is>
      </c>
      <c r="C133" s="23" t="inlineStr">
        <is>
          <t>10484251890</t>
        </is>
      </c>
      <c r="D133" s="17" t="inlineStr">
        <is>
          <t>MONTEZA CHAVEZ HENRY</t>
        </is>
      </c>
      <c r="E133" s="17" t="n"/>
      <c r="F133" s="17" t="n"/>
      <c r="G133" s="17" t="n"/>
      <c r="H133" s="17" t="inlineStr">
        <is>
          <t>Persona Jurídica</t>
        </is>
      </c>
      <c r="I133" s="17" t="inlineStr">
        <is>
          <t>Cliente</t>
        </is>
      </c>
      <c r="J133" s="17" t="n"/>
      <c r="K133" s="17" t="n"/>
      <c r="L133" s="23" t="n"/>
      <c r="M133" s="17" t="n"/>
      <c r="N133" s="23" t="n"/>
      <c r="O133" s="17" t="n"/>
      <c r="P133" s="28">
        <f>IF(A133&lt;&gt;"OK","","SELECT cli_crear_clientes(p_codigo_interno =&gt; "&amp;IF(TRIM(N133&amp;"")="","NULL","'"&amp;SUBSTITUTE(TRIM(N133),"'","''")&amp;"'")&amp;", p_razon_social =&gt; "&amp;IF(TRIM(D133&amp;"")="","NULL","'"&amp;SUBSTITUTE(TRIM(D133),"'","''")&amp;"'")&amp;", p_id_tipo_cliente =&gt; "&amp;IF(TRIM(I133&amp;"")="","NULL","(SELECT lo.id FROM gen_lista_opciones lo JOIN gen_lista l ON l.id = lo.id_lista WHERE l.nombre = 'TipoCliente' AND upper(lo.nombre) = upper('"&amp;SUBSTITUTE(TRIM(I133),"'","''")&amp;"') AND lo.estado = 1 LIMIT 1)")&amp;", p_id_tipo_persona =&gt; "&amp;IF(TRIM(H133&amp;"")="","NULL","(SELECT lo.id FROM gen_lista_opciones lo JOIN gen_lista l ON l.id = lo.id_lista WHERE l.nombre = 'TipoPersona' AND upper(lo.nombre) = upper('"&amp;SUBSTITUTE(TRIM(H133),"'","''")&amp;"') AND lo.estado = 1 LIMIT 1)")&amp;", p_nombres =&gt; "&amp;IF(TRIM(E133&amp;"")="","NULL","'"&amp;SUBSTITUTE(TRIM(E133),"'","''")&amp;"'")&amp;", p_apellido_paterno =&gt; "&amp;IF(TRIM(F133&amp;"")="","NULL","'"&amp;SUBSTITUTE(TRIM(F133),"'","''")&amp;"'")&amp;", p_apellido_materno =&gt; "&amp;IF(TRIM(G133&amp;"")="","NULL","'"&amp;SUBSTITUTE(TRIM(G133),"'","''")&amp;"'")&amp;", p_id_tipo_documento =&gt; "&amp;IF(TRIM(B133&amp;"")="","NULL","(SELECT lo.id FROM gen_lista_opciones lo JOIN gen_lista l ON l.id = lo.id_lista WHERE l.nombre = 'TipoDocumento' AND upper(lo.nombre) = upper('"&amp;SUBSTITUTE(TRIM(B133),"'","''")&amp;"') AND lo.estado = 1 LIMIT 1)")&amp;", p_numero_documento =&gt; "&amp;IF(TRIM(C133&amp;"")="","NULL","'"&amp;SUBSTITUTE(TRIM(C133),"'","''")&amp;"'")&amp;", p_telefono =&gt; "&amp;IF(TRIM(L133&amp;"")="","NULL","'"&amp;SUBSTITUTE(TRIM(L133),"'","''")&amp;"'")&amp;", p_email =&gt; "&amp;IF(TRIM(M133&amp;"")="","NULL","'"&amp;SUBSTITUTE(TRIM(M133),"'","''")&amp;"'")&amp;", p_observacion =&gt; "&amp;IF(TRIM(O133&amp;"")="","NULL","'"&amp;SUBSTITUTE(TRIM(O133),"'","''")&amp;"'")&amp;", p_direccion =&gt; "&amp;IF(TRIM(J133&amp;"")="","NULL","'"&amp;SUBSTITUTE(TRIM(J133),"'","''")&amp;"'")&amp;", p_referencia =&gt; "&amp;IF(TRIM(K133&amp;"")="","NULL","'"&amp;SUBSTITUTE(TRIM(K133),"'","''")&amp;"'")&amp;") AS resultado_cliente_"&amp;ROW()&amp;";")</f>
        <v/>
      </c>
    </row>
    <row r="134" ht="15.75" customHeight="1" s="64">
      <c r="A134" s="25">
        <f>IF(AND(D134="",E134="",C134=""),"",IF(AND(D134="",E134=""),"FALTA razón social o nombres",IF(AND(C134&lt;&gt;"",SUMPRODUCT(--($C$5:$C$549=C134))&gt;1),"DOCUMENTO DUPLICADO",IF(AND(B134="DNI",C134&lt;&gt;"",LEN(C134&amp;"")&lt;&gt;8),"DNI debe tener 8 dígitos",IF(AND(B134="RUC",C134&lt;&gt;"",LEN(C134&amp;"")&lt;&gt;11),"RUC debe tener 11 dígitos",IF(AND(N134&lt;&gt;"",SUMPRODUCT(--($N$5:$N$549=N134))&gt;1),"CÓDIGO INTERNO DUPLICADO","OK"))))))</f>
        <v/>
      </c>
      <c r="B134" s="17" t="inlineStr">
        <is>
          <t>SD</t>
        </is>
      </c>
      <c r="C134" s="23" t="inlineStr">
        <is>
          <t>000028</t>
        </is>
      </c>
      <c r="D134" s="17" t="n"/>
      <c r="E134" s="17" t="inlineStr">
        <is>
          <t>ENRIQUE</t>
        </is>
      </c>
      <c r="F134" s="17" t="inlineStr">
        <is>
          <t xml:space="preserve">MONTEZA </t>
        </is>
      </c>
      <c r="G134" s="17" t="n"/>
      <c r="H134" s="17" t="inlineStr">
        <is>
          <t>Persona Natural</t>
        </is>
      </c>
      <c r="I134" s="17" t="inlineStr">
        <is>
          <t>Cliente</t>
        </is>
      </c>
      <c r="J134" s="17" t="n"/>
      <c r="K134" s="17" t="n"/>
      <c r="L134" s="23" t="n"/>
      <c r="M134" s="17" t="n"/>
      <c r="N134" s="23" t="n"/>
      <c r="O134" s="17" t="n"/>
      <c r="P134" s="28">
        <f>IF(A134&lt;&gt;"OK","","SELECT cli_crear_clientes(p_codigo_interno =&gt; "&amp;IF(TRIM(N134&amp;"")="","NULL","'"&amp;SUBSTITUTE(TRIM(N134),"'","''")&amp;"'")&amp;", p_razon_social =&gt; "&amp;IF(TRIM(D134&amp;"")="","NULL","'"&amp;SUBSTITUTE(TRIM(D134),"'","''")&amp;"'")&amp;", p_id_tipo_cliente =&gt; "&amp;IF(TRIM(I134&amp;"")="","NULL","(SELECT lo.id FROM gen_lista_opciones lo JOIN gen_lista l ON l.id = lo.id_lista WHERE l.nombre = 'TipoCliente' AND upper(lo.nombre) = upper('"&amp;SUBSTITUTE(TRIM(I134),"'","''")&amp;"') AND lo.estado = 1 LIMIT 1)")&amp;", p_id_tipo_persona =&gt; "&amp;IF(TRIM(H134&amp;"")="","NULL","(SELECT lo.id FROM gen_lista_opciones lo JOIN gen_lista l ON l.id = lo.id_lista WHERE l.nombre = 'TipoPersona' AND upper(lo.nombre) = upper('"&amp;SUBSTITUTE(TRIM(H134),"'","''")&amp;"') AND lo.estado = 1 LIMIT 1)")&amp;", p_nombres =&gt; "&amp;IF(TRIM(E134&amp;"")="","NULL","'"&amp;SUBSTITUTE(TRIM(E134),"'","''")&amp;"'")&amp;", p_apellido_paterno =&gt; "&amp;IF(TRIM(F134&amp;"")="","NULL","'"&amp;SUBSTITUTE(TRIM(F134),"'","''")&amp;"'")&amp;", p_apellido_materno =&gt; "&amp;IF(TRIM(G134&amp;"")="","NULL","'"&amp;SUBSTITUTE(TRIM(G134),"'","''")&amp;"'")&amp;", p_id_tipo_documento =&gt; "&amp;IF(TRIM(B134&amp;"")="","NULL","(SELECT lo.id FROM gen_lista_opciones lo JOIN gen_lista l ON l.id = lo.id_lista WHERE l.nombre = 'TipoDocumento' AND upper(lo.nombre) = upper('"&amp;SUBSTITUTE(TRIM(B134),"'","''")&amp;"') AND lo.estado = 1 LIMIT 1)")&amp;", p_numero_documento =&gt; "&amp;IF(TRIM(C134&amp;"")="","NULL","'"&amp;SUBSTITUTE(TRIM(C134),"'","''")&amp;"'")&amp;", p_telefono =&gt; "&amp;IF(TRIM(L134&amp;"")="","NULL","'"&amp;SUBSTITUTE(TRIM(L134),"'","''")&amp;"'")&amp;", p_email =&gt; "&amp;IF(TRIM(M134&amp;"")="","NULL","'"&amp;SUBSTITUTE(TRIM(M134),"'","''")&amp;"'")&amp;", p_observacion =&gt; "&amp;IF(TRIM(O134&amp;"")="","NULL","'"&amp;SUBSTITUTE(TRIM(O134),"'","''")&amp;"'")&amp;", p_direccion =&gt; "&amp;IF(TRIM(J134&amp;"")="","NULL","'"&amp;SUBSTITUTE(TRIM(J134),"'","''")&amp;"'")&amp;", p_referencia =&gt; "&amp;IF(TRIM(K134&amp;"")="","NULL","'"&amp;SUBSTITUTE(TRIM(K134),"'","''")&amp;"'")&amp;") AS resultado_cliente_"&amp;ROW()&amp;";")</f>
        <v/>
      </c>
    </row>
    <row r="135" ht="15.75" customHeight="1" s="64">
      <c r="A135" s="25">
        <f>IF(AND(D135="",E135="",C135=""),"",IF(AND(D135="",E135=""),"FALTA razón social o nombres",IF(AND(C135&lt;&gt;"",SUMPRODUCT(--($C$5:$C$549=C135))&gt;1),"DOCUMENTO DUPLICADO",IF(AND(B135="DNI",C135&lt;&gt;"",LEN(C135&amp;"")&lt;&gt;8),"DNI debe tener 8 dígitos",IF(AND(B135="RUC",C135&lt;&gt;"",LEN(C135&amp;"")&lt;&gt;11),"RUC debe tener 11 dígitos",IF(AND(N135&lt;&gt;"",SUMPRODUCT(--($N$5:$N$549=N135))&gt;1),"CÓDIGO INTERNO DUPLICADO","OK"))))))</f>
        <v/>
      </c>
      <c r="B135" s="17" t="inlineStr">
        <is>
          <t>DNI</t>
        </is>
      </c>
      <c r="C135" s="23" t="inlineStr">
        <is>
          <t>18096175</t>
        </is>
      </c>
      <c r="D135" s="17" t="n"/>
      <c r="E135" s="17" t="inlineStr">
        <is>
          <t>ROMAN</t>
        </is>
      </c>
      <c r="F135" s="17" t="inlineStr">
        <is>
          <t>MONZON</t>
        </is>
      </c>
      <c r="G135" s="17" t="inlineStr">
        <is>
          <t>CALDERON</t>
        </is>
      </c>
      <c r="H135" s="17" t="inlineStr">
        <is>
          <t>Persona Natural</t>
        </is>
      </c>
      <c r="I135" s="17" t="inlineStr">
        <is>
          <t>Cliente</t>
        </is>
      </c>
      <c r="J135" s="17" t="n"/>
      <c r="K135" s="17" t="n"/>
      <c r="L135" s="23" t="n"/>
      <c r="M135" s="17" t="n"/>
      <c r="N135" s="23" t="n"/>
      <c r="O135" s="17" t="n"/>
      <c r="P135" s="28">
        <f>IF(A135&lt;&gt;"OK","","SELECT cli_crear_clientes(p_codigo_interno =&gt; "&amp;IF(TRIM(N135&amp;"")="","NULL","'"&amp;SUBSTITUTE(TRIM(N135),"'","''")&amp;"'")&amp;", p_razon_social =&gt; "&amp;IF(TRIM(D135&amp;"")="","NULL","'"&amp;SUBSTITUTE(TRIM(D135),"'","''")&amp;"'")&amp;", p_id_tipo_cliente =&gt; "&amp;IF(TRIM(I135&amp;"")="","NULL","(SELECT lo.id FROM gen_lista_opciones lo JOIN gen_lista l ON l.id = lo.id_lista WHERE l.nombre = 'TipoCliente' AND upper(lo.nombre) = upper('"&amp;SUBSTITUTE(TRIM(I135),"'","''")&amp;"') AND lo.estado = 1 LIMIT 1)")&amp;", p_id_tipo_persona =&gt; "&amp;IF(TRIM(H135&amp;"")="","NULL","(SELECT lo.id FROM gen_lista_opciones lo JOIN gen_lista l ON l.id = lo.id_lista WHERE l.nombre = 'TipoPersona' AND upper(lo.nombre) = upper('"&amp;SUBSTITUTE(TRIM(H135),"'","''")&amp;"') AND lo.estado = 1 LIMIT 1)")&amp;", p_nombres =&gt; "&amp;IF(TRIM(E135&amp;"")="","NULL","'"&amp;SUBSTITUTE(TRIM(E135),"'","''")&amp;"'")&amp;", p_apellido_paterno =&gt; "&amp;IF(TRIM(F135&amp;"")="","NULL","'"&amp;SUBSTITUTE(TRIM(F135),"'","''")&amp;"'")&amp;", p_apellido_materno =&gt; "&amp;IF(TRIM(G135&amp;"")="","NULL","'"&amp;SUBSTITUTE(TRIM(G135),"'","''")&amp;"'")&amp;", p_id_tipo_documento =&gt; "&amp;IF(TRIM(B135&amp;"")="","NULL","(SELECT lo.id FROM gen_lista_opciones lo JOIN gen_lista l ON l.id = lo.id_lista WHERE l.nombre = 'TipoDocumento' AND upper(lo.nombre) = upper('"&amp;SUBSTITUTE(TRIM(B135),"'","''")&amp;"') AND lo.estado = 1 LIMIT 1)")&amp;", p_numero_documento =&gt; "&amp;IF(TRIM(C135&amp;"")="","NULL","'"&amp;SUBSTITUTE(TRIM(C135),"'","''")&amp;"'")&amp;", p_telefono =&gt; "&amp;IF(TRIM(L135&amp;"")="","NULL","'"&amp;SUBSTITUTE(TRIM(L135),"'","''")&amp;"'")&amp;", p_email =&gt; "&amp;IF(TRIM(M135&amp;"")="","NULL","'"&amp;SUBSTITUTE(TRIM(M135),"'","''")&amp;"'")&amp;", p_observacion =&gt; "&amp;IF(TRIM(O135&amp;"")="","NULL","'"&amp;SUBSTITUTE(TRIM(O135),"'","''")&amp;"'")&amp;", p_direccion =&gt; "&amp;IF(TRIM(J135&amp;"")="","NULL","'"&amp;SUBSTITUTE(TRIM(J135),"'","''")&amp;"'")&amp;", p_referencia =&gt; "&amp;IF(TRIM(K135&amp;"")="","NULL","'"&amp;SUBSTITUTE(TRIM(K135),"'","''")&amp;"'")&amp;") AS resultado_cliente_"&amp;ROW()&amp;";")</f>
        <v/>
      </c>
    </row>
    <row r="136" ht="15.75" customHeight="1" s="64">
      <c r="A136" s="25">
        <f>IF(AND(D136="",E136="",C136=""),"",IF(AND(D136="",E136=""),"FALTA razón social o nombres",IF(AND(C136&lt;&gt;"",SUMPRODUCT(--($C$5:$C$549=C136))&gt;1),"DOCUMENTO DUPLICADO",IF(AND(B136="DNI",C136&lt;&gt;"",LEN(C136&amp;"")&lt;&gt;8),"DNI debe tener 8 dígitos",IF(AND(B136="RUC",C136&lt;&gt;"",LEN(C136&amp;"")&lt;&gt;11),"RUC debe tener 11 dígitos",IF(AND(N136&lt;&gt;"",SUMPRODUCT(--($N$5:$N$549=N136))&gt;1),"CÓDIGO INTERNO DUPLICADO","OK"))))))</f>
        <v/>
      </c>
      <c r="B136" s="17" t="inlineStr">
        <is>
          <t>SD</t>
        </is>
      </c>
      <c r="C136" s="23" t="inlineStr">
        <is>
          <t>000029</t>
        </is>
      </c>
      <c r="D136" s="17" t="n"/>
      <c r="E136" s="17" t="inlineStr">
        <is>
          <t>MORENO</t>
        </is>
      </c>
      <c r="F136" s="17" t="n"/>
      <c r="G136" s="17" t="n"/>
      <c r="H136" s="17" t="inlineStr">
        <is>
          <t>Persona Natural</t>
        </is>
      </c>
      <c r="I136" s="17" t="inlineStr">
        <is>
          <t>Cliente</t>
        </is>
      </c>
      <c r="J136" s="17" t="n"/>
      <c r="K136" s="17" t="n"/>
      <c r="L136" s="23" t="n"/>
      <c r="M136" s="17" t="n"/>
      <c r="N136" s="23" t="n"/>
      <c r="O136" s="17" t="n"/>
      <c r="P136" s="28">
        <f>IF(A136&lt;&gt;"OK","","SELECT cli_crear_clientes(p_codigo_interno =&gt; "&amp;IF(TRIM(N136&amp;"")="","NULL","'"&amp;SUBSTITUTE(TRIM(N136),"'","''")&amp;"'")&amp;", p_razon_social =&gt; "&amp;IF(TRIM(D136&amp;"")="","NULL","'"&amp;SUBSTITUTE(TRIM(D136),"'","''")&amp;"'")&amp;", p_id_tipo_cliente =&gt; "&amp;IF(TRIM(I136&amp;"")="","NULL","(SELECT lo.id FROM gen_lista_opciones lo JOIN gen_lista l ON l.id = lo.id_lista WHERE l.nombre = 'TipoCliente' AND upper(lo.nombre) = upper('"&amp;SUBSTITUTE(TRIM(I136),"'","''")&amp;"') AND lo.estado = 1 LIMIT 1)")&amp;", p_id_tipo_persona =&gt; "&amp;IF(TRIM(H136&amp;"")="","NULL","(SELECT lo.id FROM gen_lista_opciones lo JOIN gen_lista l ON l.id = lo.id_lista WHERE l.nombre = 'TipoPersona' AND upper(lo.nombre) = upper('"&amp;SUBSTITUTE(TRIM(H136),"'","''")&amp;"') AND lo.estado = 1 LIMIT 1)")&amp;", p_nombres =&gt; "&amp;IF(TRIM(E136&amp;"")="","NULL","'"&amp;SUBSTITUTE(TRIM(E136),"'","''")&amp;"'")&amp;", p_apellido_paterno =&gt; "&amp;IF(TRIM(F136&amp;"")="","NULL","'"&amp;SUBSTITUTE(TRIM(F136),"'","''")&amp;"'")&amp;", p_apellido_materno =&gt; "&amp;IF(TRIM(G136&amp;"")="","NULL","'"&amp;SUBSTITUTE(TRIM(G136),"'","''")&amp;"'")&amp;", p_id_tipo_documento =&gt; "&amp;IF(TRIM(B136&amp;"")="","NULL","(SELECT lo.id FROM gen_lista_opciones lo JOIN gen_lista l ON l.id = lo.id_lista WHERE l.nombre = 'TipoDocumento' AND upper(lo.nombre) = upper('"&amp;SUBSTITUTE(TRIM(B136),"'","''")&amp;"') AND lo.estado = 1 LIMIT 1)")&amp;", p_numero_documento =&gt; "&amp;IF(TRIM(C136&amp;"")="","NULL","'"&amp;SUBSTITUTE(TRIM(C136),"'","''")&amp;"'")&amp;", p_telefono =&gt; "&amp;IF(TRIM(L136&amp;"")="","NULL","'"&amp;SUBSTITUTE(TRIM(L136),"'","''")&amp;"'")&amp;", p_email =&gt; "&amp;IF(TRIM(M136&amp;"")="","NULL","'"&amp;SUBSTITUTE(TRIM(M136),"'","''")&amp;"'")&amp;", p_observacion =&gt; "&amp;IF(TRIM(O136&amp;"")="","NULL","'"&amp;SUBSTITUTE(TRIM(O136),"'","''")&amp;"'")&amp;", p_direccion =&gt; "&amp;IF(TRIM(J136&amp;"")="","NULL","'"&amp;SUBSTITUTE(TRIM(J136),"'","''")&amp;"'")&amp;", p_referencia =&gt; "&amp;IF(TRIM(K136&amp;"")="","NULL","'"&amp;SUBSTITUTE(TRIM(K136),"'","''")&amp;"'")&amp;") AS resultado_cliente_"&amp;ROW()&amp;";")</f>
        <v/>
      </c>
    </row>
    <row r="137" ht="15.75" customHeight="1" s="64">
      <c r="A137" s="25">
        <f>IF(AND(D137="",E137="",C137=""),"",IF(AND(D137="",E137=""),"FALTA razón social o nombres",IF(AND(C137&lt;&gt;"",SUMPRODUCT(--($C$5:$C$549=C137))&gt;1),"DOCUMENTO DUPLICADO",IF(AND(B137="DNI",C137&lt;&gt;"",LEN(C137&amp;"")&lt;&gt;8),"DNI debe tener 8 dígitos",IF(AND(B137="RUC",C137&lt;&gt;"",LEN(C137&amp;"")&lt;&gt;11),"RUC debe tener 11 dígitos",IF(AND(N137&lt;&gt;"",SUMPRODUCT(--($N$5:$N$549=N137))&gt;1),"CÓDIGO INTERNO DUPLICADO","OK"))))))</f>
        <v/>
      </c>
      <c r="B137" s="17" t="inlineStr">
        <is>
          <t>SD</t>
        </is>
      </c>
      <c r="C137" s="23" t="inlineStr">
        <is>
          <t>000030</t>
        </is>
      </c>
      <c r="D137" s="17" t="n"/>
      <c r="E137" s="17" t="inlineStr">
        <is>
          <t>NAHOMI</t>
        </is>
      </c>
      <c r="F137" s="17" t="n"/>
      <c r="G137" s="17" t="n"/>
      <c r="H137" s="17" t="inlineStr">
        <is>
          <t>Persona Natural</t>
        </is>
      </c>
      <c r="I137" s="17" t="inlineStr">
        <is>
          <t>Cliente</t>
        </is>
      </c>
      <c r="J137" s="17" t="n"/>
      <c r="K137" s="17" t="n"/>
      <c r="L137" s="23" t="n"/>
      <c r="M137" s="17" t="n"/>
      <c r="N137" s="23" t="n"/>
      <c r="O137" s="17" t="n"/>
      <c r="P137" s="28">
        <f>IF(A137&lt;&gt;"OK","","SELECT cli_crear_clientes(p_codigo_interno =&gt; "&amp;IF(TRIM(N137&amp;"")="","NULL","'"&amp;SUBSTITUTE(TRIM(N137),"'","''")&amp;"'")&amp;", p_razon_social =&gt; "&amp;IF(TRIM(D137&amp;"")="","NULL","'"&amp;SUBSTITUTE(TRIM(D137),"'","''")&amp;"'")&amp;", p_id_tipo_cliente =&gt; "&amp;IF(TRIM(I137&amp;"")="","NULL","(SELECT lo.id FROM gen_lista_opciones lo JOIN gen_lista l ON l.id = lo.id_lista WHERE l.nombre = 'TipoCliente' AND upper(lo.nombre) = upper('"&amp;SUBSTITUTE(TRIM(I137),"'","''")&amp;"') AND lo.estado = 1 LIMIT 1)")&amp;", p_id_tipo_persona =&gt; "&amp;IF(TRIM(H137&amp;"")="","NULL","(SELECT lo.id FROM gen_lista_opciones lo JOIN gen_lista l ON l.id = lo.id_lista WHERE l.nombre = 'TipoPersona' AND upper(lo.nombre) = upper('"&amp;SUBSTITUTE(TRIM(H137),"'","''")&amp;"') AND lo.estado = 1 LIMIT 1)")&amp;", p_nombres =&gt; "&amp;IF(TRIM(E137&amp;"")="","NULL","'"&amp;SUBSTITUTE(TRIM(E137),"'","''")&amp;"'")&amp;", p_apellido_paterno =&gt; "&amp;IF(TRIM(F137&amp;"")="","NULL","'"&amp;SUBSTITUTE(TRIM(F137),"'","''")&amp;"'")&amp;", p_apellido_materno =&gt; "&amp;IF(TRIM(G137&amp;"")="","NULL","'"&amp;SUBSTITUTE(TRIM(G137),"'","''")&amp;"'")&amp;", p_id_tipo_documento =&gt; "&amp;IF(TRIM(B137&amp;"")="","NULL","(SELECT lo.id FROM gen_lista_opciones lo JOIN gen_lista l ON l.id = lo.id_lista WHERE l.nombre = 'TipoDocumento' AND upper(lo.nombre) = upper('"&amp;SUBSTITUTE(TRIM(B137),"'","''")&amp;"') AND lo.estado = 1 LIMIT 1)")&amp;", p_numero_documento =&gt; "&amp;IF(TRIM(C137&amp;"")="","NULL","'"&amp;SUBSTITUTE(TRIM(C137),"'","''")&amp;"'")&amp;", p_telefono =&gt; "&amp;IF(TRIM(L137&amp;"")="","NULL","'"&amp;SUBSTITUTE(TRIM(L137),"'","''")&amp;"'")&amp;", p_email =&gt; "&amp;IF(TRIM(M137&amp;"")="","NULL","'"&amp;SUBSTITUTE(TRIM(M137),"'","''")&amp;"'")&amp;", p_observacion =&gt; "&amp;IF(TRIM(O137&amp;"")="","NULL","'"&amp;SUBSTITUTE(TRIM(O137),"'","''")&amp;"'")&amp;", p_direccion =&gt; "&amp;IF(TRIM(J137&amp;"")="","NULL","'"&amp;SUBSTITUTE(TRIM(J137),"'","''")&amp;"'")&amp;", p_referencia =&gt; "&amp;IF(TRIM(K137&amp;"")="","NULL","'"&amp;SUBSTITUTE(TRIM(K137),"'","''")&amp;"'")&amp;") AS resultado_cliente_"&amp;ROW()&amp;";")</f>
        <v/>
      </c>
    </row>
    <row r="138" ht="15.75" customHeight="1" s="64">
      <c r="A138" s="25">
        <f>IF(AND(D138="",E138="",C138=""),"",IF(AND(D138="",E138=""),"FALTA razón social o nombres",IF(AND(C138&lt;&gt;"",SUMPRODUCT(--($C$5:$C$549=C138))&gt;1),"DOCUMENTO DUPLICADO",IF(AND(B138="DNI",C138&lt;&gt;"",LEN(C138&amp;"")&lt;&gt;8),"DNI debe tener 8 dígitos",IF(AND(B138="RUC",C138&lt;&gt;"",LEN(C138&amp;"")&lt;&gt;11),"RUC debe tener 11 dígitos",IF(AND(N138&lt;&gt;"",SUMPRODUCT(--($N$5:$N$549=N138))&gt;1),"CÓDIGO INTERNO DUPLICADO","OK"))))))</f>
        <v/>
      </c>
      <c r="B138" s="17" t="inlineStr">
        <is>
          <t>DNI</t>
        </is>
      </c>
      <c r="C138" s="23" t="inlineStr">
        <is>
          <t>16719442</t>
        </is>
      </c>
      <c r="D138" s="17" t="n"/>
      <c r="E138" s="17" t="inlineStr">
        <is>
          <t>FRANKLYN</t>
        </is>
      </c>
      <c r="F138" s="17" t="inlineStr">
        <is>
          <t>NEYRA</t>
        </is>
      </c>
      <c r="G138" s="17" t="inlineStr">
        <is>
          <t>CISNEROS</t>
        </is>
      </c>
      <c r="H138" s="17" t="inlineStr">
        <is>
          <t>Persona Natural</t>
        </is>
      </c>
      <c r="I138" s="17" t="inlineStr">
        <is>
          <t>Cliente</t>
        </is>
      </c>
      <c r="J138" s="17" t="n"/>
      <c r="K138" s="17" t="n"/>
      <c r="L138" s="23" t="n"/>
      <c r="M138" s="17" t="n"/>
      <c r="N138" s="23" t="n"/>
      <c r="O138" s="17" t="n"/>
      <c r="P138" s="28">
        <f>IF(A138&lt;&gt;"OK","","SELECT cli_crear_clientes(p_codigo_interno =&gt; "&amp;IF(TRIM(N138&amp;"")="","NULL","'"&amp;SUBSTITUTE(TRIM(N138),"'","''")&amp;"'")&amp;", p_razon_social =&gt; "&amp;IF(TRIM(D138&amp;"")="","NULL","'"&amp;SUBSTITUTE(TRIM(D138),"'","''")&amp;"'")&amp;", p_id_tipo_cliente =&gt; "&amp;IF(TRIM(I138&amp;"")="","NULL","(SELECT lo.id FROM gen_lista_opciones lo JOIN gen_lista l ON l.id = lo.id_lista WHERE l.nombre = 'TipoCliente' AND upper(lo.nombre) = upper('"&amp;SUBSTITUTE(TRIM(I138),"'","''")&amp;"') AND lo.estado = 1 LIMIT 1)")&amp;", p_id_tipo_persona =&gt; "&amp;IF(TRIM(H138&amp;"")="","NULL","(SELECT lo.id FROM gen_lista_opciones lo JOIN gen_lista l ON l.id = lo.id_lista WHERE l.nombre = 'TipoPersona' AND upper(lo.nombre) = upper('"&amp;SUBSTITUTE(TRIM(H138),"'","''")&amp;"') AND lo.estado = 1 LIMIT 1)")&amp;", p_nombres =&gt; "&amp;IF(TRIM(E138&amp;"")="","NULL","'"&amp;SUBSTITUTE(TRIM(E138),"'","''")&amp;"'")&amp;", p_apellido_paterno =&gt; "&amp;IF(TRIM(F138&amp;"")="","NULL","'"&amp;SUBSTITUTE(TRIM(F138),"'","''")&amp;"'")&amp;", p_apellido_materno =&gt; "&amp;IF(TRIM(G138&amp;"")="","NULL","'"&amp;SUBSTITUTE(TRIM(G138),"'","''")&amp;"'")&amp;", p_id_tipo_documento =&gt; "&amp;IF(TRIM(B138&amp;"")="","NULL","(SELECT lo.id FROM gen_lista_opciones lo JOIN gen_lista l ON l.id = lo.id_lista WHERE l.nombre = 'TipoDocumento' AND upper(lo.nombre) = upper('"&amp;SUBSTITUTE(TRIM(B138),"'","''")&amp;"') AND lo.estado = 1 LIMIT 1)")&amp;", p_numero_documento =&gt; "&amp;IF(TRIM(C138&amp;"")="","NULL","'"&amp;SUBSTITUTE(TRIM(C138),"'","''")&amp;"'")&amp;", p_telefono =&gt; "&amp;IF(TRIM(L138&amp;"")="","NULL","'"&amp;SUBSTITUTE(TRIM(L138),"'","''")&amp;"'")&amp;", p_email =&gt; "&amp;IF(TRIM(M138&amp;"")="","NULL","'"&amp;SUBSTITUTE(TRIM(M138),"'","''")&amp;"'")&amp;", p_observacion =&gt; "&amp;IF(TRIM(O138&amp;"")="","NULL","'"&amp;SUBSTITUTE(TRIM(O138),"'","''")&amp;"'")&amp;", p_direccion =&gt; "&amp;IF(TRIM(J138&amp;"")="","NULL","'"&amp;SUBSTITUTE(TRIM(J138),"'","''")&amp;"'")&amp;", p_referencia =&gt; "&amp;IF(TRIM(K138&amp;"")="","NULL","'"&amp;SUBSTITUTE(TRIM(K138),"'","''")&amp;"'")&amp;") AS resultado_cliente_"&amp;ROW()&amp;";")</f>
        <v/>
      </c>
    </row>
    <row r="139" ht="15.75" customHeight="1" s="64">
      <c r="A139" s="25">
        <f>IF(AND(D139="",E139="",C139=""),"",IF(AND(D139="",E139=""),"FALTA razón social o nombres",IF(AND(C139&lt;&gt;"",SUMPRODUCT(--($C$5:$C$549=C139))&gt;1),"DOCUMENTO DUPLICADO",IF(AND(B139="DNI",C139&lt;&gt;"",LEN(C139&amp;"")&lt;&gt;8),"DNI debe tener 8 dígitos",IF(AND(B139="RUC",C139&lt;&gt;"",LEN(C139&amp;"")&lt;&gt;11),"RUC debe tener 11 dígitos",IF(AND(N139&lt;&gt;"",SUMPRODUCT(--($N$5:$N$549=N139))&gt;1),"CÓDIGO INTERNO DUPLICADO","OK"))))))</f>
        <v/>
      </c>
      <c r="B139" s="17" t="inlineStr">
        <is>
          <t>DNI</t>
        </is>
      </c>
      <c r="C139" s="23" t="inlineStr">
        <is>
          <t>17609290</t>
        </is>
      </c>
      <c r="D139" s="17" t="n"/>
      <c r="E139" s="17" t="inlineStr">
        <is>
          <t>MANUELA</t>
        </is>
      </c>
      <c r="F139" s="17" t="inlineStr">
        <is>
          <t>PALACIOS</t>
        </is>
      </c>
      <c r="G139" s="17" t="inlineStr">
        <is>
          <t>CUMPEN</t>
        </is>
      </c>
      <c r="H139" s="17" t="inlineStr">
        <is>
          <t>Persona Natural</t>
        </is>
      </c>
      <c r="I139" s="17" t="inlineStr">
        <is>
          <t>Cliente</t>
        </is>
      </c>
      <c r="J139" s="17" t="n"/>
      <c r="K139" s="17" t="n"/>
      <c r="L139" s="23" t="n"/>
      <c r="M139" s="17" t="n"/>
      <c r="N139" s="23" t="n"/>
      <c r="O139" s="17" t="n"/>
      <c r="P139" s="28">
        <f>IF(A139&lt;&gt;"OK","","SELECT cli_crear_clientes(p_codigo_interno =&gt; "&amp;IF(TRIM(N139&amp;"")="","NULL","'"&amp;SUBSTITUTE(TRIM(N139),"'","''")&amp;"'")&amp;", p_razon_social =&gt; "&amp;IF(TRIM(D139&amp;"")="","NULL","'"&amp;SUBSTITUTE(TRIM(D139),"'","''")&amp;"'")&amp;", p_id_tipo_cliente =&gt; "&amp;IF(TRIM(I139&amp;"")="","NULL","(SELECT lo.id FROM gen_lista_opciones lo JOIN gen_lista l ON l.id = lo.id_lista WHERE l.nombre = 'TipoCliente' AND upper(lo.nombre) = upper('"&amp;SUBSTITUTE(TRIM(I139),"'","''")&amp;"') AND lo.estado = 1 LIMIT 1)")&amp;", p_id_tipo_persona =&gt; "&amp;IF(TRIM(H139&amp;"")="","NULL","(SELECT lo.id FROM gen_lista_opciones lo JOIN gen_lista l ON l.id = lo.id_lista WHERE l.nombre = 'TipoPersona' AND upper(lo.nombre) = upper('"&amp;SUBSTITUTE(TRIM(H139),"'","''")&amp;"') AND lo.estado = 1 LIMIT 1)")&amp;", p_nombres =&gt; "&amp;IF(TRIM(E139&amp;"")="","NULL","'"&amp;SUBSTITUTE(TRIM(E139),"'","''")&amp;"'")&amp;", p_apellido_paterno =&gt; "&amp;IF(TRIM(F139&amp;"")="","NULL","'"&amp;SUBSTITUTE(TRIM(F139),"'","''")&amp;"'")&amp;", p_apellido_materno =&gt; "&amp;IF(TRIM(G139&amp;"")="","NULL","'"&amp;SUBSTITUTE(TRIM(G139),"'","''")&amp;"'")&amp;", p_id_tipo_documento =&gt; "&amp;IF(TRIM(B139&amp;"")="","NULL","(SELECT lo.id FROM gen_lista_opciones lo JOIN gen_lista l ON l.id = lo.id_lista WHERE l.nombre = 'TipoDocumento' AND upper(lo.nombre) = upper('"&amp;SUBSTITUTE(TRIM(B139),"'","''")&amp;"') AND lo.estado = 1 LIMIT 1)")&amp;", p_numero_documento =&gt; "&amp;IF(TRIM(C139&amp;"")="","NULL","'"&amp;SUBSTITUTE(TRIM(C139),"'","''")&amp;"'")&amp;", p_telefono =&gt; "&amp;IF(TRIM(L139&amp;"")="","NULL","'"&amp;SUBSTITUTE(TRIM(L139),"'","''")&amp;"'")&amp;", p_email =&gt; "&amp;IF(TRIM(M139&amp;"")="","NULL","'"&amp;SUBSTITUTE(TRIM(M139),"'","''")&amp;"'")&amp;", p_observacion =&gt; "&amp;IF(TRIM(O139&amp;"")="","NULL","'"&amp;SUBSTITUTE(TRIM(O139),"'","''")&amp;"'")&amp;", p_direccion =&gt; "&amp;IF(TRIM(J139&amp;"")="","NULL","'"&amp;SUBSTITUTE(TRIM(J139),"'","''")&amp;"'")&amp;", p_referencia =&gt; "&amp;IF(TRIM(K139&amp;"")="","NULL","'"&amp;SUBSTITUTE(TRIM(K139),"'","''")&amp;"'")&amp;") AS resultado_cliente_"&amp;ROW()&amp;";")</f>
        <v/>
      </c>
    </row>
    <row r="140" ht="15.75" customHeight="1" s="64">
      <c r="A140" s="25">
        <f>IF(AND(D140="",E140="",C140=""),"",IF(AND(D140="",E140=""),"FALTA razón social o nombres",IF(AND(C140&lt;&gt;"",SUMPRODUCT(--($C$5:$C$549=C140))&gt;1),"DOCUMENTO DUPLICADO",IF(AND(B140="DNI",C140&lt;&gt;"",LEN(C140&amp;"")&lt;&gt;8),"DNI debe tener 8 dígitos",IF(AND(B140="RUC",C140&lt;&gt;"",LEN(C140&amp;"")&lt;&gt;11),"RUC debe tener 11 dígitos",IF(AND(N140&lt;&gt;"",SUMPRODUCT(--($N$5:$N$549=N140))&gt;1),"CÓDIGO INTERNO DUPLICADO","OK"))))))</f>
        <v/>
      </c>
      <c r="B140" s="17" t="inlineStr">
        <is>
          <t>DNI</t>
        </is>
      </c>
      <c r="C140" s="23" t="inlineStr">
        <is>
          <t>16480825</t>
        </is>
      </c>
      <c r="D140" s="17" t="n"/>
      <c r="E140" s="17" t="inlineStr">
        <is>
          <t>JOSE DANIEL</t>
        </is>
      </c>
      <c r="F140" s="17" t="inlineStr">
        <is>
          <t xml:space="preserve">PANTA </t>
        </is>
      </c>
      <c r="G140" s="17" t="inlineStr">
        <is>
          <t xml:space="preserve">HUANCAS </t>
        </is>
      </c>
      <c r="H140" s="17" t="inlineStr">
        <is>
          <t>Persona Natural</t>
        </is>
      </c>
      <c r="I140" s="17" t="inlineStr">
        <is>
          <t>Cliente</t>
        </is>
      </c>
      <c r="J140" s="17" t="n"/>
      <c r="K140" s="17" t="n"/>
      <c r="L140" s="23" t="n"/>
      <c r="M140" s="17" t="n"/>
      <c r="N140" s="23" t="n"/>
      <c r="O140" s="17" t="n"/>
      <c r="P140" s="28">
        <f>IF(A140&lt;&gt;"OK","","SELECT cli_crear_clientes(p_codigo_interno =&gt; "&amp;IF(TRIM(N140&amp;"")="","NULL","'"&amp;SUBSTITUTE(TRIM(N140),"'","''")&amp;"'")&amp;", p_razon_social =&gt; "&amp;IF(TRIM(D140&amp;"")="","NULL","'"&amp;SUBSTITUTE(TRIM(D140),"'","''")&amp;"'")&amp;", p_id_tipo_cliente =&gt; "&amp;IF(TRIM(I140&amp;"")="","NULL","(SELECT lo.id FROM gen_lista_opciones lo JOIN gen_lista l ON l.id = lo.id_lista WHERE l.nombre = 'TipoCliente' AND upper(lo.nombre) = upper('"&amp;SUBSTITUTE(TRIM(I140),"'","''")&amp;"') AND lo.estado = 1 LIMIT 1)")&amp;", p_id_tipo_persona =&gt; "&amp;IF(TRIM(H140&amp;"")="","NULL","(SELECT lo.id FROM gen_lista_opciones lo JOIN gen_lista l ON l.id = lo.id_lista WHERE l.nombre = 'TipoPersona' AND upper(lo.nombre) = upper('"&amp;SUBSTITUTE(TRIM(H140),"'","''")&amp;"') AND lo.estado = 1 LIMIT 1)")&amp;", p_nombres =&gt; "&amp;IF(TRIM(E140&amp;"")="","NULL","'"&amp;SUBSTITUTE(TRIM(E140),"'","''")&amp;"'")&amp;", p_apellido_paterno =&gt; "&amp;IF(TRIM(F140&amp;"")="","NULL","'"&amp;SUBSTITUTE(TRIM(F140),"'","''")&amp;"'")&amp;", p_apellido_materno =&gt; "&amp;IF(TRIM(G140&amp;"")="","NULL","'"&amp;SUBSTITUTE(TRIM(G140),"'","''")&amp;"'")&amp;", p_id_tipo_documento =&gt; "&amp;IF(TRIM(B140&amp;"")="","NULL","(SELECT lo.id FROM gen_lista_opciones lo JOIN gen_lista l ON l.id = lo.id_lista WHERE l.nombre = 'TipoDocumento' AND upper(lo.nombre) = upper('"&amp;SUBSTITUTE(TRIM(B140),"'","''")&amp;"') AND lo.estado = 1 LIMIT 1)")&amp;", p_numero_documento =&gt; "&amp;IF(TRIM(C140&amp;"")="","NULL","'"&amp;SUBSTITUTE(TRIM(C140),"'","''")&amp;"'")&amp;", p_telefono =&gt; "&amp;IF(TRIM(L140&amp;"")="","NULL","'"&amp;SUBSTITUTE(TRIM(L140),"'","''")&amp;"'")&amp;", p_email =&gt; "&amp;IF(TRIM(M140&amp;"")="","NULL","'"&amp;SUBSTITUTE(TRIM(M140),"'","''")&amp;"'")&amp;", p_observacion =&gt; "&amp;IF(TRIM(O140&amp;"")="","NULL","'"&amp;SUBSTITUTE(TRIM(O140),"'","''")&amp;"'")&amp;", p_direccion =&gt; "&amp;IF(TRIM(J140&amp;"")="","NULL","'"&amp;SUBSTITUTE(TRIM(J140),"'","''")&amp;"'")&amp;", p_referencia =&gt; "&amp;IF(TRIM(K140&amp;"")="","NULL","'"&amp;SUBSTITUTE(TRIM(K140),"'","''")&amp;"'")&amp;") AS resultado_cliente_"&amp;ROW()&amp;";")</f>
        <v/>
      </c>
    </row>
    <row r="141" ht="15.75" customHeight="1" s="64">
      <c r="A141" s="25">
        <f>IF(AND(D141="",E141="",C141=""),"",IF(AND(D141="",E141=""),"FALTA razón social o nombres",IF(AND(C141&lt;&gt;"",SUMPRODUCT(--($C$5:$C$549=C141))&gt;1),"DOCUMENTO DUPLICADO",IF(AND(B141="DNI",C141&lt;&gt;"",LEN(C141&amp;"")&lt;&gt;8),"DNI debe tener 8 dígitos",IF(AND(B141="RUC",C141&lt;&gt;"",LEN(C141&amp;"")&lt;&gt;11),"RUC debe tener 11 dígitos",IF(AND(N141&lt;&gt;"",SUMPRODUCT(--($N$5:$N$549=N141))&gt;1),"CÓDIGO INTERNO DUPLICADO","OK"))))))</f>
        <v/>
      </c>
      <c r="B141" s="17" t="inlineStr">
        <is>
          <t>DNI</t>
        </is>
      </c>
      <c r="C141" s="23" t="inlineStr">
        <is>
          <t>44435893</t>
        </is>
      </c>
      <c r="D141" s="17" t="n"/>
      <c r="E141" s="17" t="inlineStr">
        <is>
          <t>JOSELITO</t>
        </is>
      </c>
      <c r="F141" s="17" t="inlineStr">
        <is>
          <t>RIMAY</t>
        </is>
      </c>
      <c r="G141" s="17" t="inlineStr">
        <is>
          <t>VASQUEZ</t>
        </is>
      </c>
      <c r="H141" s="17" t="inlineStr">
        <is>
          <t>Persona Natural</t>
        </is>
      </c>
      <c r="I141" s="17" t="inlineStr">
        <is>
          <t>Cliente</t>
        </is>
      </c>
      <c r="J141" s="17" t="n"/>
      <c r="K141" s="17" t="n"/>
      <c r="L141" s="23" t="n"/>
      <c r="M141" s="17" t="n"/>
      <c r="N141" s="23" t="n"/>
      <c r="O141" s="17" t="n"/>
      <c r="P141" s="28">
        <f>IF(A141&lt;&gt;"OK","","SELECT cli_crear_clientes(p_codigo_interno =&gt; "&amp;IF(TRIM(N141&amp;"")="","NULL","'"&amp;SUBSTITUTE(TRIM(N141),"'","''")&amp;"'")&amp;", p_razon_social =&gt; "&amp;IF(TRIM(D141&amp;"")="","NULL","'"&amp;SUBSTITUTE(TRIM(D141),"'","''")&amp;"'")&amp;", p_id_tipo_cliente =&gt; "&amp;IF(TRIM(I141&amp;"")="","NULL","(SELECT lo.id FROM gen_lista_opciones lo JOIN gen_lista l ON l.id = lo.id_lista WHERE l.nombre = 'TipoCliente' AND upper(lo.nombre) = upper('"&amp;SUBSTITUTE(TRIM(I141),"'","''")&amp;"') AND lo.estado = 1 LIMIT 1)")&amp;", p_id_tipo_persona =&gt; "&amp;IF(TRIM(H141&amp;"")="","NULL","(SELECT lo.id FROM gen_lista_opciones lo JOIN gen_lista l ON l.id = lo.id_lista WHERE l.nombre = 'TipoPersona' AND upper(lo.nombre) = upper('"&amp;SUBSTITUTE(TRIM(H141),"'","''")&amp;"') AND lo.estado = 1 LIMIT 1)")&amp;", p_nombres =&gt; "&amp;IF(TRIM(E141&amp;"")="","NULL","'"&amp;SUBSTITUTE(TRIM(E141),"'","''")&amp;"'")&amp;", p_apellido_paterno =&gt; "&amp;IF(TRIM(F141&amp;"")="","NULL","'"&amp;SUBSTITUTE(TRIM(F141),"'","''")&amp;"'")&amp;", p_apellido_materno =&gt; "&amp;IF(TRIM(G141&amp;"")="","NULL","'"&amp;SUBSTITUTE(TRIM(G141),"'","''")&amp;"'")&amp;", p_id_tipo_documento =&gt; "&amp;IF(TRIM(B141&amp;"")="","NULL","(SELECT lo.id FROM gen_lista_opciones lo JOIN gen_lista l ON l.id = lo.id_lista WHERE l.nombre = 'TipoDocumento' AND upper(lo.nombre) = upper('"&amp;SUBSTITUTE(TRIM(B141),"'","''")&amp;"') AND lo.estado = 1 LIMIT 1)")&amp;", p_numero_documento =&gt; "&amp;IF(TRIM(C141&amp;"")="","NULL","'"&amp;SUBSTITUTE(TRIM(C141),"'","''")&amp;"'")&amp;", p_telefono =&gt; "&amp;IF(TRIM(L141&amp;"")="","NULL","'"&amp;SUBSTITUTE(TRIM(L141),"'","''")&amp;"'")&amp;", p_email =&gt; "&amp;IF(TRIM(M141&amp;"")="","NULL","'"&amp;SUBSTITUTE(TRIM(M141),"'","''")&amp;"'")&amp;", p_observacion =&gt; "&amp;IF(TRIM(O141&amp;"")="","NULL","'"&amp;SUBSTITUTE(TRIM(O141),"'","''")&amp;"'")&amp;", p_direccion =&gt; "&amp;IF(TRIM(J141&amp;"")="","NULL","'"&amp;SUBSTITUTE(TRIM(J141),"'","''")&amp;"'")&amp;", p_referencia =&gt; "&amp;IF(TRIM(K141&amp;"")="","NULL","'"&amp;SUBSTITUTE(TRIM(K141),"'","''")&amp;"'")&amp;") AS resultado_cliente_"&amp;ROW()&amp;";")</f>
        <v/>
      </c>
    </row>
    <row r="142" ht="15.75" customHeight="1" s="64">
      <c r="A142" s="25">
        <f>IF(AND(D142="",E142="",C142=""),"",IF(AND(D142="",E142=""),"FALTA razón social o nombres",IF(AND(C142&lt;&gt;"",SUMPRODUCT(--($C$5:$C$549=C142))&gt;1),"DOCUMENTO DUPLICADO",IF(AND(B142="DNI",C142&lt;&gt;"",LEN(C142&amp;"")&lt;&gt;8),"DNI debe tener 8 dígitos",IF(AND(B142="RUC",C142&lt;&gt;"",LEN(C142&amp;"")&lt;&gt;11),"RUC debe tener 11 dígitos",IF(AND(N142&lt;&gt;"",SUMPRODUCT(--($N$5:$N$549=N142))&gt;1),"CÓDIGO INTERNO DUPLICADO","OK"))))))</f>
        <v/>
      </c>
      <c r="B142" s="17" t="inlineStr">
        <is>
          <t>RUC</t>
        </is>
      </c>
      <c r="C142" s="23" t="inlineStr">
        <is>
          <t>10438424798</t>
        </is>
      </c>
      <c r="D142" s="17" t="inlineStr">
        <is>
          <t>SANCHEZ MALDONADO JORGE LUIS</t>
        </is>
      </c>
      <c r="E142" s="17" t="n"/>
      <c r="F142" s="17" t="n"/>
      <c r="G142" s="17" t="n"/>
      <c r="H142" s="17" t="inlineStr">
        <is>
          <t>Persona Jurídica</t>
        </is>
      </c>
      <c r="I142" s="17" t="inlineStr">
        <is>
          <t>Cliente</t>
        </is>
      </c>
      <c r="J142" s="17" t="n"/>
      <c r="K142" s="17" t="n"/>
      <c r="L142" s="23" t="n"/>
      <c r="M142" s="17" t="n"/>
      <c r="N142" s="23" t="n"/>
      <c r="O142" s="17" t="n"/>
      <c r="P142" s="28">
        <f>IF(A142&lt;&gt;"OK","","SELECT cli_crear_clientes(p_codigo_interno =&gt; "&amp;IF(TRIM(N142&amp;"")="","NULL","'"&amp;SUBSTITUTE(TRIM(N142),"'","''")&amp;"'")&amp;", p_razon_social =&gt; "&amp;IF(TRIM(D142&amp;"")="","NULL","'"&amp;SUBSTITUTE(TRIM(D142),"'","''")&amp;"'")&amp;", p_id_tipo_cliente =&gt; "&amp;IF(TRIM(I142&amp;"")="","NULL","(SELECT lo.id FROM gen_lista_opciones lo JOIN gen_lista l ON l.id = lo.id_lista WHERE l.nombre = 'TipoCliente' AND upper(lo.nombre) = upper('"&amp;SUBSTITUTE(TRIM(I142),"'","''")&amp;"') AND lo.estado = 1 LIMIT 1)")&amp;", p_id_tipo_persona =&gt; "&amp;IF(TRIM(H142&amp;"")="","NULL","(SELECT lo.id FROM gen_lista_opciones lo JOIN gen_lista l ON l.id = lo.id_lista WHERE l.nombre = 'TipoPersona' AND upper(lo.nombre) = upper('"&amp;SUBSTITUTE(TRIM(H142),"'","''")&amp;"') AND lo.estado = 1 LIMIT 1)")&amp;", p_nombres =&gt; "&amp;IF(TRIM(E142&amp;"")="","NULL","'"&amp;SUBSTITUTE(TRIM(E142),"'","''")&amp;"'")&amp;", p_apellido_paterno =&gt; "&amp;IF(TRIM(F142&amp;"")="","NULL","'"&amp;SUBSTITUTE(TRIM(F142),"'","''")&amp;"'")&amp;", p_apellido_materno =&gt; "&amp;IF(TRIM(G142&amp;"")="","NULL","'"&amp;SUBSTITUTE(TRIM(G142),"'","''")&amp;"'")&amp;", p_id_tipo_documento =&gt; "&amp;IF(TRIM(B142&amp;"")="","NULL","(SELECT lo.id FROM gen_lista_opciones lo JOIN gen_lista l ON l.id = lo.id_lista WHERE l.nombre = 'TipoDocumento' AND upper(lo.nombre) = upper('"&amp;SUBSTITUTE(TRIM(B142),"'","''")&amp;"') AND lo.estado = 1 LIMIT 1)")&amp;", p_numero_documento =&gt; "&amp;IF(TRIM(C142&amp;"")="","NULL","'"&amp;SUBSTITUTE(TRIM(C142),"'","''")&amp;"'")&amp;", p_telefono =&gt; "&amp;IF(TRIM(L142&amp;"")="","NULL","'"&amp;SUBSTITUTE(TRIM(L142),"'","''")&amp;"'")&amp;", p_email =&gt; "&amp;IF(TRIM(M142&amp;"")="","NULL","'"&amp;SUBSTITUTE(TRIM(M142),"'","''")&amp;"'")&amp;", p_observacion =&gt; "&amp;IF(TRIM(O142&amp;"")="","NULL","'"&amp;SUBSTITUTE(TRIM(O142),"'","''")&amp;"'")&amp;", p_direccion =&gt; "&amp;IF(TRIM(J142&amp;"")="","NULL","'"&amp;SUBSTITUTE(TRIM(J142),"'","''")&amp;"'")&amp;", p_referencia =&gt; "&amp;IF(TRIM(K142&amp;"")="","NULL","'"&amp;SUBSTITUTE(TRIM(K142),"'","''")&amp;"'")&amp;") AS resultado_cliente_"&amp;ROW()&amp;";")</f>
        <v/>
      </c>
    </row>
    <row r="143" ht="15.75" customHeight="1" s="64">
      <c r="A143" s="25">
        <f>IF(AND(D143="",E143="",C143=""),"",IF(AND(D143="",E143=""),"FALTA razón social o nombres",IF(AND(C143&lt;&gt;"",SUMPRODUCT(--($C$5:$C$549=C143))&gt;1),"DOCUMENTO DUPLICADO",IF(AND(B143="DNI",C143&lt;&gt;"",LEN(C143&amp;"")&lt;&gt;8),"DNI debe tener 8 dígitos",IF(AND(B143="RUC",C143&lt;&gt;"",LEN(C143&amp;"")&lt;&gt;11),"RUC debe tener 11 dígitos",IF(AND(N143&lt;&gt;"",SUMPRODUCT(--($N$5:$N$549=N143))&gt;1),"CÓDIGO INTERNO DUPLICADO","OK"))))))</f>
        <v/>
      </c>
      <c r="B143" s="17" t="inlineStr">
        <is>
          <t>RUC</t>
        </is>
      </c>
      <c r="C143" s="23" t="inlineStr">
        <is>
          <t>10400805160</t>
        </is>
      </c>
      <c r="D143" s="17" t="inlineStr">
        <is>
          <t>SANTOS MATIAS DOMINGO</t>
        </is>
      </c>
      <c r="E143" s="17" t="n"/>
      <c r="F143" s="17" t="n"/>
      <c r="G143" s="17" t="n"/>
      <c r="H143" s="17" t="inlineStr">
        <is>
          <t>Persona Jurídica</t>
        </is>
      </c>
      <c r="I143" s="17" t="inlineStr">
        <is>
          <t>Cliente</t>
        </is>
      </c>
      <c r="J143" s="17" t="n"/>
      <c r="K143" s="17" t="n"/>
      <c r="L143" s="23" t="n"/>
      <c r="M143" s="17" t="n"/>
      <c r="N143" s="23" t="n"/>
      <c r="O143" s="17" t="n"/>
      <c r="P143" s="28">
        <f>IF(A143&lt;&gt;"OK","","SELECT cli_crear_clientes(p_codigo_interno =&gt; "&amp;IF(TRIM(N143&amp;"")="","NULL","'"&amp;SUBSTITUTE(TRIM(N143),"'","''")&amp;"'")&amp;", p_razon_social =&gt; "&amp;IF(TRIM(D143&amp;"")="","NULL","'"&amp;SUBSTITUTE(TRIM(D143),"'","''")&amp;"'")&amp;", p_id_tipo_cliente =&gt; "&amp;IF(TRIM(I143&amp;"")="","NULL","(SELECT lo.id FROM gen_lista_opciones lo JOIN gen_lista l ON l.id = lo.id_lista WHERE l.nombre = 'TipoCliente' AND upper(lo.nombre) = upper('"&amp;SUBSTITUTE(TRIM(I143),"'","''")&amp;"') AND lo.estado = 1 LIMIT 1)")&amp;", p_id_tipo_persona =&gt; "&amp;IF(TRIM(H143&amp;"")="","NULL","(SELECT lo.id FROM gen_lista_opciones lo JOIN gen_lista l ON l.id = lo.id_lista WHERE l.nombre = 'TipoPersona' AND upper(lo.nombre) = upper('"&amp;SUBSTITUTE(TRIM(H143),"'","''")&amp;"') AND lo.estado = 1 LIMIT 1)")&amp;", p_nombres =&gt; "&amp;IF(TRIM(E143&amp;"")="","NULL","'"&amp;SUBSTITUTE(TRIM(E143),"'","''")&amp;"'")&amp;", p_apellido_paterno =&gt; "&amp;IF(TRIM(F143&amp;"")="","NULL","'"&amp;SUBSTITUTE(TRIM(F143),"'","''")&amp;"'")&amp;", p_apellido_materno =&gt; "&amp;IF(TRIM(G143&amp;"")="","NULL","'"&amp;SUBSTITUTE(TRIM(G143),"'","''")&amp;"'")&amp;", p_id_tipo_documento =&gt; "&amp;IF(TRIM(B143&amp;"")="","NULL","(SELECT lo.id FROM gen_lista_opciones lo JOIN gen_lista l ON l.id = lo.id_lista WHERE l.nombre = 'TipoDocumento' AND upper(lo.nombre) = upper('"&amp;SUBSTITUTE(TRIM(B143),"'","''")&amp;"') AND lo.estado = 1 LIMIT 1)")&amp;", p_numero_documento =&gt; "&amp;IF(TRIM(C143&amp;"")="","NULL","'"&amp;SUBSTITUTE(TRIM(C143),"'","''")&amp;"'")&amp;", p_telefono =&gt; "&amp;IF(TRIM(L143&amp;"")="","NULL","'"&amp;SUBSTITUTE(TRIM(L143),"'","''")&amp;"'")&amp;", p_email =&gt; "&amp;IF(TRIM(M143&amp;"")="","NULL","'"&amp;SUBSTITUTE(TRIM(M143),"'","''")&amp;"'")&amp;", p_observacion =&gt; "&amp;IF(TRIM(O143&amp;"")="","NULL","'"&amp;SUBSTITUTE(TRIM(O143),"'","''")&amp;"'")&amp;", p_direccion =&gt; "&amp;IF(TRIM(J143&amp;"")="","NULL","'"&amp;SUBSTITUTE(TRIM(J143),"'","''")&amp;"'")&amp;", p_referencia =&gt; "&amp;IF(TRIM(K143&amp;"")="","NULL","'"&amp;SUBSTITUTE(TRIM(K143),"'","''")&amp;"'")&amp;") AS resultado_cliente_"&amp;ROW()&amp;";")</f>
        <v/>
      </c>
    </row>
    <row r="144" ht="15.75" customHeight="1" s="64">
      <c r="A144" s="25">
        <f>IF(AND(D144="",E144="",C144=""),"",IF(AND(D144="",E144=""),"FALTA razón social o nombres",IF(AND(C144&lt;&gt;"",SUMPRODUCT(--($C$5:$C$549=C144))&gt;1),"DOCUMENTO DUPLICADO",IF(AND(B144="DNI",C144&lt;&gt;"",LEN(C144&amp;"")&lt;&gt;8),"DNI debe tener 8 dígitos",IF(AND(B144="RUC",C144&lt;&gt;"",LEN(C144&amp;"")&lt;&gt;11),"RUC debe tener 11 dígitos",IF(AND(N144&lt;&gt;"",SUMPRODUCT(--($N$5:$N$549=N144))&gt;1),"CÓDIGO INTERNO DUPLICADO","OK"))))))</f>
        <v/>
      </c>
      <c r="B144" s="17" t="inlineStr">
        <is>
          <t>RUC</t>
        </is>
      </c>
      <c r="C144" s="23" t="inlineStr">
        <is>
          <t>20487997529</t>
        </is>
      </c>
      <c r="D144" s="17" t="inlineStr">
        <is>
          <t>SERVICIOS EDUCATIVOS KEPLER COLLEGE S.A.C</t>
        </is>
      </c>
      <c r="E144" s="17" t="n"/>
      <c r="F144" s="17" t="n"/>
      <c r="G144" s="17" t="n"/>
      <c r="H144" s="17" t="inlineStr">
        <is>
          <t>Persona Jurídica</t>
        </is>
      </c>
      <c r="I144" s="17" t="inlineStr">
        <is>
          <t>Cliente</t>
        </is>
      </c>
      <c r="J144" s="17" t="n"/>
      <c r="K144" s="17" t="n"/>
      <c r="L144" s="23" t="n"/>
      <c r="M144" s="17" t="n"/>
      <c r="N144" s="23" t="n"/>
      <c r="O144" s="17" t="n"/>
      <c r="P144" s="28">
        <f>IF(A144&lt;&gt;"OK","","SELECT cli_crear_clientes(p_codigo_interno =&gt; "&amp;IF(TRIM(N144&amp;"")="","NULL","'"&amp;SUBSTITUTE(TRIM(N144),"'","''")&amp;"'")&amp;", p_razon_social =&gt; "&amp;IF(TRIM(D144&amp;"")="","NULL","'"&amp;SUBSTITUTE(TRIM(D144),"'","''")&amp;"'")&amp;", p_id_tipo_cliente =&gt; "&amp;IF(TRIM(I144&amp;"")="","NULL","(SELECT lo.id FROM gen_lista_opciones lo JOIN gen_lista l ON l.id = lo.id_lista WHERE l.nombre = 'TipoCliente' AND upper(lo.nombre) = upper('"&amp;SUBSTITUTE(TRIM(I144),"'","''")&amp;"') AND lo.estado = 1 LIMIT 1)")&amp;", p_id_tipo_persona =&gt; "&amp;IF(TRIM(H144&amp;"")="","NULL","(SELECT lo.id FROM gen_lista_opciones lo JOIN gen_lista l ON l.id = lo.id_lista WHERE l.nombre = 'TipoPersona' AND upper(lo.nombre) = upper('"&amp;SUBSTITUTE(TRIM(H144),"'","''")&amp;"') AND lo.estado = 1 LIMIT 1)")&amp;", p_nombres =&gt; "&amp;IF(TRIM(E144&amp;"")="","NULL","'"&amp;SUBSTITUTE(TRIM(E144),"'","''")&amp;"'")&amp;", p_apellido_paterno =&gt; "&amp;IF(TRIM(F144&amp;"")="","NULL","'"&amp;SUBSTITUTE(TRIM(F144),"'","''")&amp;"'")&amp;", p_apellido_materno =&gt; "&amp;IF(TRIM(G144&amp;"")="","NULL","'"&amp;SUBSTITUTE(TRIM(G144),"'","''")&amp;"'")&amp;", p_id_tipo_documento =&gt; "&amp;IF(TRIM(B144&amp;"")="","NULL","(SELECT lo.id FROM gen_lista_opciones lo JOIN gen_lista l ON l.id = lo.id_lista WHERE l.nombre = 'TipoDocumento' AND upper(lo.nombre) = upper('"&amp;SUBSTITUTE(TRIM(B144),"'","''")&amp;"') AND lo.estado = 1 LIMIT 1)")&amp;", p_numero_documento =&gt; "&amp;IF(TRIM(C144&amp;"")="","NULL","'"&amp;SUBSTITUTE(TRIM(C144),"'","''")&amp;"'")&amp;", p_telefono =&gt; "&amp;IF(TRIM(L144&amp;"")="","NULL","'"&amp;SUBSTITUTE(TRIM(L144),"'","''")&amp;"'")&amp;", p_email =&gt; "&amp;IF(TRIM(M144&amp;"")="","NULL","'"&amp;SUBSTITUTE(TRIM(M144),"'","''")&amp;"'")&amp;", p_observacion =&gt; "&amp;IF(TRIM(O144&amp;"")="","NULL","'"&amp;SUBSTITUTE(TRIM(O144),"'","''")&amp;"'")&amp;", p_direccion =&gt; "&amp;IF(TRIM(J144&amp;"")="","NULL","'"&amp;SUBSTITUTE(TRIM(J144),"'","''")&amp;"'")&amp;", p_referencia =&gt; "&amp;IF(TRIM(K144&amp;"")="","NULL","'"&amp;SUBSTITUTE(TRIM(K144),"'","''")&amp;"'")&amp;") AS resultado_cliente_"&amp;ROW()&amp;";")</f>
        <v/>
      </c>
    </row>
    <row r="145" ht="15.75" customHeight="1" s="64">
      <c r="A145" s="25">
        <f>IF(AND(D145="",E145="",C145=""),"",IF(AND(D145="",E145=""),"FALTA razón social o nombres",IF(AND(C145&lt;&gt;"",SUMPRODUCT(--($C$5:$C$549=C145))&gt;1),"DOCUMENTO DUPLICADO",IF(AND(B145="DNI",C145&lt;&gt;"",LEN(C145&amp;"")&lt;&gt;8),"DNI debe tener 8 dígitos",IF(AND(B145="RUC",C145&lt;&gt;"",LEN(C145&amp;"")&lt;&gt;11),"RUC debe tener 11 dígitos",IF(AND(N145&lt;&gt;"",SUMPRODUCT(--($N$5:$N$549=N145))&gt;1),"CÓDIGO INTERNO DUPLICADO","OK"))))))</f>
        <v/>
      </c>
      <c r="B145" s="17" t="inlineStr">
        <is>
          <t>RUC</t>
        </is>
      </c>
      <c r="C145" s="23" t="inlineStr">
        <is>
          <t>20487981525</t>
        </is>
      </c>
      <c r="D145" s="17" t="inlineStr">
        <is>
          <t>SERVICIOS MEDICOS ESPECIALIZADOS DEL NORTE E.I.R.L.</t>
        </is>
      </c>
      <c r="E145" s="17" t="n"/>
      <c r="F145" s="17" t="n"/>
      <c r="G145" s="17" t="n"/>
      <c r="H145" s="17" t="inlineStr">
        <is>
          <t>Persona Jurídica</t>
        </is>
      </c>
      <c r="I145" s="17" t="inlineStr">
        <is>
          <t>Cliente</t>
        </is>
      </c>
      <c r="J145" s="17" t="n"/>
      <c r="K145" s="17" t="n"/>
      <c r="L145" s="23" t="n"/>
      <c r="M145" s="17" t="n"/>
      <c r="N145" s="23" t="n"/>
      <c r="O145" s="17" t="n"/>
      <c r="P145" s="28">
        <f>IF(A145&lt;&gt;"OK","","SELECT cli_crear_clientes(p_codigo_interno =&gt; "&amp;IF(TRIM(N145&amp;"")="","NULL","'"&amp;SUBSTITUTE(TRIM(N145),"'","''")&amp;"'")&amp;", p_razon_social =&gt; "&amp;IF(TRIM(D145&amp;"")="","NULL","'"&amp;SUBSTITUTE(TRIM(D145),"'","''")&amp;"'")&amp;", p_id_tipo_cliente =&gt; "&amp;IF(TRIM(I145&amp;"")="","NULL","(SELECT lo.id FROM gen_lista_opciones lo JOIN gen_lista l ON l.id = lo.id_lista WHERE l.nombre = 'TipoCliente' AND upper(lo.nombre) = upper('"&amp;SUBSTITUTE(TRIM(I145),"'","''")&amp;"') AND lo.estado = 1 LIMIT 1)")&amp;", p_id_tipo_persona =&gt; "&amp;IF(TRIM(H145&amp;"")="","NULL","(SELECT lo.id FROM gen_lista_opciones lo JOIN gen_lista l ON l.id = lo.id_lista WHERE l.nombre = 'TipoPersona' AND upper(lo.nombre) = upper('"&amp;SUBSTITUTE(TRIM(H145),"'","''")&amp;"') AND lo.estado = 1 LIMIT 1)")&amp;", p_nombres =&gt; "&amp;IF(TRIM(E145&amp;"")="","NULL","'"&amp;SUBSTITUTE(TRIM(E145),"'","''")&amp;"'")&amp;", p_apellido_paterno =&gt; "&amp;IF(TRIM(F145&amp;"")="","NULL","'"&amp;SUBSTITUTE(TRIM(F145),"'","''")&amp;"'")&amp;", p_apellido_materno =&gt; "&amp;IF(TRIM(G145&amp;"")="","NULL","'"&amp;SUBSTITUTE(TRIM(G145),"'","''")&amp;"'")&amp;", p_id_tipo_documento =&gt; "&amp;IF(TRIM(B145&amp;"")="","NULL","(SELECT lo.id FROM gen_lista_opciones lo JOIN gen_lista l ON l.id = lo.id_lista WHERE l.nombre = 'TipoDocumento' AND upper(lo.nombre) = upper('"&amp;SUBSTITUTE(TRIM(B145),"'","''")&amp;"') AND lo.estado = 1 LIMIT 1)")&amp;", p_numero_documento =&gt; "&amp;IF(TRIM(C145&amp;"")="","NULL","'"&amp;SUBSTITUTE(TRIM(C145),"'","''")&amp;"'")&amp;", p_telefono =&gt; "&amp;IF(TRIM(L145&amp;"")="","NULL","'"&amp;SUBSTITUTE(TRIM(L145),"'","''")&amp;"'")&amp;", p_email =&gt; "&amp;IF(TRIM(M145&amp;"")="","NULL","'"&amp;SUBSTITUTE(TRIM(M145),"'","''")&amp;"'")&amp;", p_observacion =&gt; "&amp;IF(TRIM(O145&amp;"")="","NULL","'"&amp;SUBSTITUTE(TRIM(O145),"'","''")&amp;"'")&amp;", p_direccion =&gt; "&amp;IF(TRIM(J145&amp;"")="","NULL","'"&amp;SUBSTITUTE(TRIM(J145),"'","''")&amp;"'")&amp;", p_referencia =&gt; "&amp;IF(TRIM(K145&amp;"")="","NULL","'"&amp;SUBSTITUTE(TRIM(K145),"'","''")&amp;"'")&amp;") AS resultado_cliente_"&amp;ROW()&amp;";")</f>
        <v/>
      </c>
    </row>
    <row r="146" ht="15.75" customHeight="1" s="64">
      <c r="A146" s="25">
        <f>IF(AND(D146="",E146="",C146=""),"",IF(AND(D146="",E146=""),"FALTA razón social o nombres",IF(AND(C146&lt;&gt;"",SUMPRODUCT(--($C$5:$C$549=C146))&gt;1),"DOCUMENTO DUPLICADO",IF(AND(B146="DNI",C146&lt;&gt;"",LEN(C146&amp;"")&lt;&gt;8),"DNI debe tener 8 dígitos",IF(AND(B146="RUC",C146&lt;&gt;"",LEN(C146&amp;"")&lt;&gt;11),"RUC debe tener 11 dígitos",IF(AND(N146&lt;&gt;"",SUMPRODUCT(--($N$5:$N$549=N146))&gt;1),"CÓDIGO INTERNO DUPLICADO","OK"))))))</f>
        <v/>
      </c>
      <c r="B146" s="17" t="inlineStr">
        <is>
          <t>SD</t>
        </is>
      </c>
      <c r="C146" s="23" t="inlineStr">
        <is>
          <t>000031</t>
        </is>
      </c>
      <c r="D146" s="17" t="n"/>
      <c r="E146" s="17" t="inlineStr">
        <is>
          <t>LINO</t>
        </is>
      </c>
      <c r="F146" s="17" t="inlineStr">
        <is>
          <t xml:space="preserve">SIESQUEN </t>
        </is>
      </c>
      <c r="G146" s="17" t="inlineStr">
        <is>
          <t xml:space="preserve">MORES </t>
        </is>
      </c>
      <c r="H146" s="17" t="inlineStr">
        <is>
          <t>Persona Natural</t>
        </is>
      </c>
      <c r="I146" s="17" t="inlineStr">
        <is>
          <t>Cliente</t>
        </is>
      </c>
      <c r="J146" s="17" t="n"/>
      <c r="K146" s="17" t="n"/>
      <c r="L146" s="23" t="n"/>
      <c r="M146" s="17" t="n"/>
      <c r="N146" s="23" t="n"/>
      <c r="O146" s="17" t="n"/>
      <c r="P146" s="28">
        <f>IF(A146&lt;&gt;"OK","","SELECT cli_crear_clientes(p_codigo_interno =&gt; "&amp;IF(TRIM(N146&amp;"")="","NULL","'"&amp;SUBSTITUTE(TRIM(N146),"'","''")&amp;"'")&amp;", p_razon_social =&gt; "&amp;IF(TRIM(D146&amp;"")="","NULL","'"&amp;SUBSTITUTE(TRIM(D146),"'","''")&amp;"'")&amp;", p_id_tipo_cliente =&gt; "&amp;IF(TRIM(I146&amp;"")="","NULL","(SELECT lo.id FROM gen_lista_opciones lo JOIN gen_lista l ON l.id = lo.id_lista WHERE l.nombre = 'TipoCliente' AND upper(lo.nombre) = upper('"&amp;SUBSTITUTE(TRIM(I146),"'","''")&amp;"') AND lo.estado = 1 LIMIT 1)")&amp;", p_id_tipo_persona =&gt; "&amp;IF(TRIM(H146&amp;"")="","NULL","(SELECT lo.id FROM gen_lista_opciones lo JOIN gen_lista l ON l.id = lo.id_lista WHERE l.nombre = 'TipoPersona' AND upper(lo.nombre) = upper('"&amp;SUBSTITUTE(TRIM(H146),"'","''")&amp;"') AND lo.estado = 1 LIMIT 1)")&amp;", p_nombres =&gt; "&amp;IF(TRIM(E146&amp;"")="","NULL","'"&amp;SUBSTITUTE(TRIM(E146),"'","''")&amp;"'")&amp;", p_apellido_paterno =&gt; "&amp;IF(TRIM(F146&amp;"")="","NULL","'"&amp;SUBSTITUTE(TRIM(F146),"'","''")&amp;"'")&amp;", p_apellido_materno =&gt; "&amp;IF(TRIM(G146&amp;"")="","NULL","'"&amp;SUBSTITUTE(TRIM(G146),"'","''")&amp;"'")&amp;", p_id_tipo_documento =&gt; "&amp;IF(TRIM(B146&amp;"")="","NULL","(SELECT lo.id FROM gen_lista_opciones lo JOIN gen_lista l ON l.id = lo.id_lista WHERE l.nombre = 'TipoDocumento' AND upper(lo.nombre) = upper('"&amp;SUBSTITUTE(TRIM(B146),"'","''")&amp;"') AND lo.estado = 1 LIMIT 1)")&amp;", p_numero_documento =&gt; "&amp;IF(TRIM(C146&amp;"")="","NULL","'"&amp;SUBSTITUTE(TRIM(C146),"'","''")&amp;"'")&amp;", p_telefono =&gt; "&amp;IF(TRIM(L146&amp;"")="","NULL","'"&amp;SUBSTITUTE(TRIM(L146),"'","''")&amp;"'")&amp;", p_email =&gt; "&amp;IF(TRIM(M146&amp;"")="","NULL","'"&amp;SUBSTITUTE(TRIM(M146),"'","''")&amp;"'")&amp;", p_observacion =&gt; "&amp;IF(TRIM(O146&amp;"")="","NULL","'"&amp;SUBSTITUTE(TRIM(O146),"'","''")&amp;"'")&amp;", p_direccion =&gt; "&amp;IF(TRIM(J146&amp;"")="","NULL","'"&amp;SUBSTITUTE(TRIM(J146),"'","''")&amp;"'")&amp;", p_referencia =&gt; "&amp;IF(TRIM(K146&amp;"")="","NULL","'"&amp;SUBSTITUTE(TRIM(K146),"'","''")&amp;"'")&amp;") AS resultado_cliente_"&amp;ROW()&amp;";")</f>
        <v/>
      </c>
    </row>
    <row r="147" ht="15.75" customHeight="1" s="64">
      <c r="A147" s="25">
        <f>IF(AND(D147="",E147="",C147=""),"",IF(AND(D147="",E147=""),"FALTA razón social o nombres",IF(AND(C147&lt;&gt;"",SUMPRODUCT(--($C$5:$C$549=C147))&gt;1),"DOCUMENTO DUPLICADO",IF(AND(B147="DNI",C147&lt;&gt;"",LEN(C147&amp;"")&lt;&gt;8),"DNI debe tener 8 dígitos",IF(AND(B147="RUC",C147&lt;&gt;"",LEN(C147&amp;"")&lt;&gt;11),"RUC debe tener 11 dígitos",IF(AND(N147&lt;&gt;"",SUMPRODUCT(--($N$5:$N$549=N147))&gt;1),"CÓDIGO INTERNO DUPLICADO","OK"))))))</f>
        <v/>
      </c>
      <c r="B147" s="17" t="inlineStr">
        <is>
          <t>RUC</t>
        </is>
      </c>
      <c r="C147" s="23" t="inlineStr">
        <is>
          <t>10166681028</t>
        </is>
      </c>
      <c r="D147" s="17" t="inlineStr">
        <is>
          <t>TAIPE YALO EFRAIN</t>
        </is>
      </c>
      <c r="E147" s="17" t="n"/>
      <c r="F147" s="17" t="n"/>
      <c r="G147" s="17" t="n"/>
      <c r="H147" s="17" t="inlineStr">
        <is>
          <t>Persona Jurídica</t>
        </is>
      </c>
      <c r="I147" s="17" t="inlineStr">
        <is>
          <t>Cliente</t>
        </is>
      </c>
      <c r="J147" s="17" t="n"/>
      <c r="K147" s="17" t="n"/>
      <c r="L147" s="23" t="n"/>
      <c r="M147" s="17" t="n"/>
      <c r="N147" s="23" t="n"/>
      <c r="O147" s="17" t="n"/>
      <c r="P147" s="28">
        <f>IF(A147&lt;&gt;"OK","","SELECT cli_crear_clientes(p_codigo_interno =&gt; "&amp;IF(TRIM(N147&amp;"")="","NULL","'"&amp;SUBSTITUTE(TRIM(N147),"'","''")&amp;"'")&amp;", p_razon_social =&gt; "&amp;IF(TRIM(D147&amp;"")="","NULL","'"&amp;SUBSTITUTE(TRIM(D147),"'","''")&amp;"'")&amp;", p_id_tipo_cliente =&gt; "&amp;IF(TRIM(I147&amp;"")="","NULL","(SELECT lo.id FROM gen_lista_opciones lo JOIN gen_lista l ON l.id = lo.id_lista WHERE l.nombre = 'TipoCliente' AND upper(lo.nombre) = upper('"&amp;SUBSTITUTE(TRIM(I147),"'","''")&amp;"') AND lo.estado = 1 LIMIT 1)")&amp;", p_id_tipo_persona =&gt; "&amp;IF(TRIM(H147&amp;"")="","NULL","(SELECT lo.id FROM gen_lista_opciones lo JOIN gen_lista l ON l.id = lo.id_lista WHERE l.nombre = 'TipoPersona' AND upper(lo.nombre) = upper('"&amp;SUBSTITUTE(TRIM(H147),"'","''")&amp;"') AND lo.estado = 1 LIMIT 1)")&amp;", p_nombres =&gt; "&amp;IF(TRIM(E147&amp;"")="","NULL","'"&amp;SUBSTITUTE(TRIM(E147),"'","''")&amp;"'")&amp;", p_apellido_paterno =&gt; "&amp;IF(TRIM(F147&amp;"")="","NULL","'"&amp;SUBSTITUTE(TRIM(F147),"'","''")&amp;"'")&amp;", p_apellido_materno =&gt; "&amp;IF(TRIM(G147&amp;"")="","NULL","'"&amp;SUBSTITUTE(TRIM(G147),"'","''")&amp;"'")&amp;", p_id_tipo_documento =&gt; "&amp;IF(TRIM(B147&amp;"")="","NULL","(SELECT lo.id FROM gen_lista_opciones lo JOIN gen_lista l ON l.id = lo.id_lista WHERE l.nombre = 'TipoDocumento' AND upper(lo.nombre) = upper('"&amp;SUBSTITUTE(TRIM(B147),"'","''")&amp;"') AND lo.estado = 1 LIMIT 1)")&amp;", p_numero_documento =&gt; "&amp;IF(TRIM(C147&amp;"")="","NULL","'"&amp;SUBSTITUTE(TRIM(C147),"'","''")&amp;"'")&amp;", p_telefono =&gt; "&amp;IF(TRIM(L147&amp;"")="","NULL","'"&amp;SUBSTITUTE(TRIM(L147),"'","''")&amp;"'")&amp;", p_email =&gt; "&amp;IF(TRIM(M147&amp;"")="","NULL","'"&amp;SUBSTITUTE(TRIM(M147),"'","''")&amp;"'")&amp;", p_observacion =&gt; "&amp;IF(TRIM(O147&amp;"")="","NULL","'"&amp;SUBSTITUTE(TRIM(O147),"'","''")&amp;"'")&amp;", p_direccion =&gt; "&amp;IF(TRIM(J147&amp;"")="","NULL","'"&amp;SUBSTITUTE(TRIM(J147),"'","''")&amp;"'")&amp;", p_referencia =&gt; "&amp;IF(TRIM(K147&amp;"")="","NULL","'"&amp;SUBSTITUTE(TRIM(K147),"'","''")&amp;"'")&amp;") AS resultado_cliente_"&amp;ROW()&amp;";")</f>
        <v/>
      </c>
    </row>
    <row r="148" ht="15.75" customHeight="1" s="64">
      <c r="A148" s="25">
        <f>IF(AND(D148="",E148="",C148=""),"",IF(AND(D148="",E148=""),"FALTA razón social o nombres",IF(AND(C148&lt;&gt;"",SUMPRODUCT(--($C$5:$C$549=C148))&gt;1),"DOCUMENTO DUPLICADO",IF(AND(B148="DNI",C148&lt;&gt;"",LEN(C148&amp;"")&lt;&gt;8),"DNI debe tener 8 dígitos",IF(AND(B148="RUC",C148&lt;&gt;"",LEN(C148&amp;"")&lt;&gt;11),"RUC debe tener 11 dígitos",IF(AND(N148&lt;&gt;"",SUMPRODUCT(--($N$5:$N$549=N148))&gt;1),"CÓDIGO INTERNO DUPLICADO","OK"))))))</f>
        <v/>
      </c>
      <c r="B148" s="17" t="inlineStr">
        <is>
          <t>RUC</t>
        </is>
      </c>
      <c r="C148" s="23" t="inlineStr">
        <is>
          <t>10438519977</t>
        </is>
      </c>
      <c r="D148" s="17" t="inlineStr">
        <is>
          <t>TELLO RIVERA ROYER</t>
        </is>
      </c>
      <c r="E148" s="17" t="n"/>
      <c r="F148" s="17" t="n"/>
      <c r="G148" s="17" t="n"/>
      <c r="H148" s="17" t="inlineStr">
        <is>
          <t>Persona Jurídica</t>
        </is>
      </c>
      <c r="I148" s="17" t="inlineStr">
        <is>
          <t>Cliente</t>
        </is>
      </c>
      <c r="J148" s="17" t="n"/>
      <c r="K148" s="17" t="n"/>
      <c r="L148" s="23" t="n"/>
      <c r="M148" s="17" t="n"/>
      <c r="N148" s="23" t="n"/>
      <c r="O148" s="17" t="n"/>
      <c r="P148" s="28">
        <f>IF(A148&lt;&gt;"OK","","SELECT cli_crear_clientes(p_codigo_interno =&gt; "&amp;IF(TRIM(N148&amp;"")="","NULL","'"&amp;SUBSTITUTE(TRIM(N148),"'","''")&amp;"'")&amp;", p_razon_social =&gt; "&amp;IF(TRIM(D148&amp;"")="","NULL","'"&amp;SUBSTITUTE(TRIM(D148),"'","''")&amp;"'")&amp;", p_id_tipo_cliente =&gt; "&amp;IF(TRIM(I148&amp;"")="","NULL","(SELECT lo.id FROM gen_lista_opciones lo JOIN gen_lista l ON l.id = lo.id_lista WHERE l.nombre = 'TipoCliente' AND upper(lo.nombre) = upper('"&amp;SUBSTITUTE(TRIM(I148),"'","''")&amp;"') AND lo.estado = 1 LIMIT 1)")&amp;", p_id_tipo_persona =&gt; "&amp;IF(TRIM(H148&amp;"")="","NULL","(SELECT lo.id FROM gen_lista_opciones lo JOIN gen_lista l ON l.id = lo.id_lista WHERE l.nombre = 'TipoPersona' AND upper(lo.nombre) = upper('"&amp;SUBSTITUTE(TRIM(H148),"'","''")&amp;"') AND lo.estado = 1 LIMIT 1)")&amp;", p_nombres =&gt; "&amp;IF(TRIM(E148&amp;"")="","NULL","'"&amp;SUBSTITUTE(TRIM(E148),"'","''")&amp;"'")&amp;", p_apellido_paterno =&gt; "&amp;IF(TRIM(F148&amp;"")="","NULL","'"&amp;SUBSTITUTE(TRIM(F148),"'","''")&amp;"'")&amp;", p_apellido_materno =&gt; "&amp;IF(TRIM(G148&amp;"")="","NULL","'"&amp;SUBSTITUTE(TRIM(G148),"'","''")&amp;"'")&amp;", p_id_tipo_documento =&gt; "&amp;IF(TRIM(B148&amp;"")="","NULL","(SELECT lo.id FROM gen_lista_opciones lo JOIN gen_lista l ON l.id = lo.id_lista WHERE l.nombre = 'TipoDocumento' AND upper(lo.nombre) = upper('"&amp;SUBSTITUTE(TRIM(B148),"'","''")&amp;"') AND lo.estado = 1 LIMIT 1)")&amp;", p_numero_documento =&gt; "&amp;IF(TRIM(C148&amp;"")="","NULL","'"&amp;SUBSTITUTE(TRIM(C148),"'","''")&amp;"'")&amp;", p_telefono =&gt; "&amp;IF(TRIM(L148&amp;"")="","NULL","'"&amp;SUBSTITUTE(TRIM(L148),"'","''")&amp;"'")&amp;", p_email =&gt; "&amp;IF(TRIM(M148&amp;"")="","NULL","'"&amp;SUBSTITUTE(TRIM(M148),"'","''")&amp;"'")&amp;", p_observacion =&gt; "&amp;IF(TRIM(O148&amp;"")="","NULL","'"&amp;SUBSTITUTE(TRIM(O148),"'","''")&amp;"'")&amp;", p_direccion =&gt; "&amp;IF(TRIM(J148&amp;"")="","NULL","'"&amp;SUBSTITUTE(TRIM(J148),"'","''")&amp;"'")&amp;", p_referencia =&gt; "&amp;IF(TRIM(K148&amp;"")="","NULL","'"&amp;SUBSTITUTE(TRIM(K148),"'","''")&amp;"'")&amp;") AS resultado_cliente_"&amp;ROW()&amp;";")</f>
        <v/>
      </c>
    </row>
    <row r="149" ht="15.75" customHeight="1" s="64">
      <c r="A149" s="25">
        <f>IF(AND(D149="",E149="",C149=""),"",IF(AND(D149="",E149=""),"FALTA razón social o nombres",IF(AND(C149&lt;&gt;"",SUMPRODUCT(--($C$5:$C$549=C149))&gt;1),"DOCUMENTO DUPLICADO",IF(AND(B149="DNI",C149&lt;&gt;"",LEN(C149&amp;"")&lt;&gt;8),"DNI debe tener 8 dígitos",IF(AND(B149="RUC",C149&lt;&gt;"",LEN(C149&amp;"")&lt;&gt;11),"RUC debe tener 11 dígitos",IF(AND(N149&lt;&gt;"",SUMPRODUCT(--($N$5:$N$549=N149))&gt;1),"CÓDIGO INTERNO DUPLICADO","OK"))))))</f>
        <v/>
      </c>
      <c r="B149" s="17" t="inlineStr">
        <is>
          <t>RUC</t>
        </is>
      </c>
      <c r="C149" s="23" t="inlineStr">
        <is>
          <t>10438675910</t>
        </is>
      </c>
      <c r="D149" s="17" t="inlineStr">
        <is>
          <t>BERNAOLA ELERA ROSA ELIANA</t>
        </is>
      </c>
      <c r="E149" s="17" t="n"/>
      <c r="F149" s="17" t="n"/>
      <c r="G149" s="17" t="n"/>
      <c r="H149" s="17" t="inlineStr">
        <is>
          <t>Persona Jurídica</t>
        </is>
      </c>
      <c r="I149" s="17" t="inlineStr">
        <is>
          <t>Cliente</t>
        </is>
      </c>
      <c r="J149" s="17" t="n"/>
      <c r="K149" s="17" t="n"/>
      <c r="L149" s="23" t="n"/>
      <c r="M149" s="17" t="n"/>
      <c r="N149" s="23" t="n"/>
      <c r="O149" s="17" t="n"/>
      <c r="P149" s="28">
        <f>IF(A149&lt;&gt;"OK","","SELECT cli_crear_clientes(p_codigo_interno =&gt; "&amp;IF(TRIM(N149&amp;"")="","NULL","'"&amp;SUBSTITUTE(TRIM(N149),"'","''")&amp;"'")&amp;", p_razon_social =&gt; "&amp;IF(TRIM(D149&amp;"")="","NULL","'"&amp;SUBSTITUTE(TRIM(D149),"'","''")&amp;"'")&amp;", p_id_tipo_cliente =&gt; "&amp;IF(TRIM(I149&amp;"")="","NULL","(SELECT lo.id FROM gen_lista_opciones lo JOIN gen_lista l ON l.id = lo.id_lista WHERE l.nombre = 'TipoCliente' AND upper(lo.nombre) = upper('"&amp;SUBSTITUTE(TRIM(I149),"'","''")&amp;"') AND lo.estado = 1 LIMIT 1)")&amp;", p_id_tipo_persona =&gt; "&amp;IF(TRIM(H149&amp;"")="","NULL","(SELECT lo.id FROM gen_lista_opciones lo JOIN gen_lista l ON l.id = lo.id_lista WHERE l.nombre = 'TipoPersona' AND upper(lo.nombre) = upper('"&amp;SUBSTITUTE(TRIM(H149),"'","''")&amp;"') AND lo.estado = 1 LIMIT 1)")&amp;", p_nombres =&gt; "&amp;IF(TRIM(E149&amp;"")="","NULL","'"&amp;SUBSTITUTE(TRIM(E149),"'","''")&amp;"'")&amp;", p_apellido_paterno =&gt; "&amp;IF(TRIM(F149&amp;"")="","NULL","'"&amp;SUBSTITUTE(TRIM(F149),"'","''")&amp;"'")&amp;", p_apellido_materno =&gt; "&amp;IF(TRIM(G149&amp;"")="","NULL","'"&amp;SUBSTITUTE(TRIM(G149),"'","''")&amp;"'")&amp;", p_id_tipo_documento =&gt; "&amp;IF(TRIM(B149&amp;"")="","NULL","(SELECT lo.id FROM gen_lista_opciones lo JOIN gen_lista l ON l.id = lo.id_lista WHERE l.nombre = 'TipoDocumento' AND upper(lo.nombre) = upper('"&amp;SUBSTITUTE(TRIM(B149),"'","''")&amp;"') AND lo.estado = 1 LIMIT 1)")&amp;", p_numero_documento =&gt; "&amp;IF(TRIM(C149&amp;"")="","NULL","'"&amp;SUBSTITUTE(TRIM(C149),"'","''")&amp;"'")&amp;", p_telefono =&gt; "&amp;IF(TRIM(L149&amp;"")="","NULL","'"&amp;SUBSTITUTE(TRIM(L149),"'","''")&amp;"'")&amp;", p_email =&gt; "&amp;IF(TRIM(M149&amp;"")="","NULL","'"&amp;SUBSTITUTE(TRIM(M149),"'","''")&amp;"'")&amp;", p_observacion =&gt; "&amp;IF(TRIM(O149&amp;"")="","NULL","'"&amp;SUBSTITUTE(TRIM(O149),"'","''")&amp;"'")&amp;", p_direccion =&gt; "&amp;IF(TRIM(J149&amp;"")="","NULL","'"&amp;SUBSTITUTE(TRIM(J149),"'","''")&amp;"'")&amp;", p_referencia =&gt; "&amp;IF(TRIM(K149&amp;"")="","NULL","'"&amp;SUBSTITUTE(TRIM(K149),"'","''")&amp;"'")&amp;") AS resultado_cliente_"&amp;ROW()&amp;";")</f>
        <v/>
      </c>
    </row>
    <row r="150" ht="15.75" customHeight="1" s="64">
      <c r="A150" s="25">
        <f>IF(AND(D150="",E150="",C150=""),"",IF(AND(D150="",E150=""),"FALTA razón social o nombres",IF(AND(C150&lt;&gt;"",SUMPRODUCT(--($C$5:$C$549=C150))&gt;1),"DOCUMENTO DUPLICADO",IF(AND(B150="DNI",C150&lt;&gt;"",LEN(C150&amp;"")&lt;&gt;8),"DNI debe tener 8 dígitos",IF(AND(B150="RUC",C150&lt;&gt;"",LEN(C150&amp;"")&lt;&gt;11),"RUC debe tener 11 dígitos",IF(AND(N150&lt;&gt;"",SUMPRODUCT(--($N$5:$N$549=N150))&gt;1),"CÓDIGO INTERNO DUPLICADO","OK"))))))</f>
        <v/>
      </c>
      <c r="B150" s="17" t="inlineStr">
        <is>
          <t>RUC</t>
        </is>
      </c>
      <c r="C150" s="23" t="inlineStr">
        <is>
          <t>10096762190</t>
        </is>
      </c>
      <c r="D150" s="17" t="inlineStr">
        <is>
          <t>TORRES CANAZA JAVIER ANGEL</t>
        </is>
      </c>
      <c r="E150" s="17" t="n"/>
      <c r="F150" s="17" t="n"/>
      <c r="G150" s="17" t="n"/>
      <c r="H150" s="17" t="inlineStr">
        <is>
          <t>Persona Jurídica</t>
        </is>
      </c>
      <c r="I150" s="17" t="inlineStr">
        <is>
          <t>Cliente</t>
        </is>
      </c>
      <c r="J150" s="17" t="n"/>
      <c r="K150" s="17" t="n"/>
      <c r="L150" s="23" t="n"/>
      <c r="M150" s="17" t="n"/>
      <c r="N150" s="23" t="n"/>
      <c r="O150" s="17" t="n"/>
      <c r="P150" s="28">
        <f>IF(A150&lt;&gt;"OK","","SELECT cli_crear_clientes(p_codigo_interno =&gt; "&amp;IF(TRIM(N150&amp;"")="","NULL","'"&amp;SUBSTITUTE(TRIM(N150),"'","''")&amp;"'")&amp;", p_razon_social =&gt; "&amp;IF(TRIM(D150&amp;"")="","NULL","'"&amp;SUBSTITUTE(TRIM(D150),"'","''")&amp;"'")&amp;", p_id_tipo_cliente =&gt; "&amp;IF(TRIM(I150&amp;"")="","NULL","(SELECT lo.id FROM gen_lista_opciones lo JOIN gen_lista l ON l.id = lo.id_lista WHERE l.nombre = 'TipoCliente' AND upper(lo.nombre) = upper('"&amp;SUBSTITUTE(TRIM(I150),"'","''")&amp;"') AND lo.estado = 1 LIMIT 1)")&amp;", p_id_tipo_persona =&gt; "&amp;IF(TRIM(H150&amp;"")="","NULL","(SELECT lo.id FROM gen_lista_opciones lo JOIN gen_lista l ON l.id = lo.id_lista WHERE l.nombre = 'TipoPersona' AND upper(lo.nombre) = upper('"&amp;SUBSTITUTE(TRIM(H150),"'","''")&amp;"') AND lo.estado = 1 LIMIT 1)")&amp;", p_nombres =&gt; "&amp;IF(TRIM(E150&amp;"")="","NULL","'"&amp;SUBSTITUTE(TRIM(E150),"'","''")&amp;"'")&amp;", p_apellido_paterno =&gt; "&amp;IF(TRIM(F150&amp;"")="","NULL","'"&amp;SUBSTITUTE(TRIM(F150),"'","''")&amp;"'")&amp;", p_apellido_materno =&gt; "&amp;IF(TRIM(G150&amp;"")="","NULL","'"&amp;SUBSTITUTE(TRIM(G150),"'","''")&amp;"'")&amp;", p_id_tipo_documento =&gt; "&amp;IF(TRIM(B150&amp;"")="","NULL","(SELECT lo.id FROM gen_lista_opciones lo JOIN gen_lista l ON l.id = lo.id_lista WHERE l.nombre = 'TipoDocumento' AND upper(lo.nombre) = upper('"&amp;SUBSTITUTE(TRIM(B150),"'","''")&amp;"') AND lo.estado = 1 LIMIT 1)")&amp;", p_numero_documento =&gt; "&amp;IF(TRIM(C150&amp;"")="","NULL","'"&amp;SUBSTITUTE(TRIM(C150),"'","''")&amp;"'")&amp;", p_telefono =&gt; "&amp;IF(TRIM(L150&amp;"")="","NULL","'"&amp;SUBSTITUTE(TRIM(L150),"'","''")&amp;"'")&amp;", p_email =&gt; "&amp;IF(TRIM(M150&amp;"")="","NULL","'"&amp;SUBSTITUTE(TRIM(M150),"'","''")&amp;"'")&amp;", p_observacion =&gt; "&amp;IF(TRIM(O150&amp;"")="","NULL","'"&amp;SUBSTITUTE(TRIM(O150),"'","''")&amp;"'")&amp;", p_direccion =&gt; "&amp;IF(TRIM(J150&amp;"")="","NULL","'"&amp;SUBSTITUTE(TRIM(J150),"'","''")&amp;"'")&amp;", p_referencia =&gt; "&amp;IF(TRIM(K150&amp;"")="","NULL","'"&amp;SUBSTITUTE(TRIM(K150),"'","''")&amp;"'")&amp;") AS resultado_cliente_"&amp;ROW()&amp;";")</f>
        <v/>
      </c>
    </row>
    <row r="151" ht="15.75" customHeight="1" s="64">
      <c r="A151" s="25">
        <f>IF(AND(D151="",E151="",C151=""),"",IF(AND(D151="",E151=""),"FALTA razón social o nombres",IF(AND(C151&lt;&gt;"",SUMPRODUCT(--($C$5:$C$549=C151))&gt;1),"DOCUMENTO DUPLICADO",IF(AND(B151="DNI",C151&lt;&gt;"",LEN(C151&amp;"")&lt;&gt;8),"DNI debe tener 8 dígitos",IF(AND(B151="RUC",C151&lt;&gt;"",LEN(C151&amp;"")&lt;&gt;11),"RUC debe tener 11 dígitos",IF(AND(N151&lt;&gt;"",SUMPRODUCT(--($N$5:$N$549=N151))&gt;1),"CÓDIGO INTERNO DUPLICADO","OK"))))))</f>
        <v/>
      </c>
      <c r="B151" s="17" t="inlineStr">
        <is>
          <t>RUC</t>
        </is>
      </c>
      <c r="C151" s="23" t="inlineStr">
        <is>
          <t>20395492129</t>
        </is>
      </c>
      <c r="D151" s="17" t="inlineStr">
        <is>
          <t>UNIVERSIDAD CATOLICA SANTO TORIBIO DE MOGROVEJO</t>
        </is>
      </c>
      <c r="E151" s="17" t="n"/>
      <c r="F151" s="17" t="n"/>
      <c r="G151" s="17" t="n"/>
      <c r="H151" s="17" t="inlineStr">
        <is>
          <t>Persona Jurídica</t>
        </is>
      </c>
      <c r="I151" s="17" t="inlineStr">
        <is>
          <t>Cliente</t>
        </is>
      </c>
      <c r="J151" s="17" t="n"/>
      <c r="K151" s="17" t="n"/>
      <c r="L151" s="23" t="n"/>
      <c r="M151" s="17" t="n"/>
      <c r="N151" s="23" t="n"/>
      <c r="O151" s="17" t="n"/>
      <c r="P151" s="28">
        <f>IF(A151&lt;&gt;"OK","","SELECT cli_crear_clientes(p_codigo_interno =&gt; "&amp;IF(TRIM(N151&amp;"")="","NULL","'"&amp;SUBSTITUTE(TRIM(N151),"'","''")&amp;"'")&amp;", p_razon_social =&gt; "&amp;IF(TRIM(D151&amp;"")="","NULL","'"&amp;SUBSTITUTE(TRIM(D151),"'","''")&amp;"'")&amp;", p_id_tipo_cliente =&gt; "&amp;IF(TRIM(I151&amp;"")="","NULL","(SELECT lo.id FROM gen_lista_opciones lo JOIN gen_lista l ON l.id = lo.id_lista WHERE l.nombre = 'TipoCliente' AND upper(lo.nombre) = upper('"&amp;SUBSTITUTE(TRIM(I151),"'","''")&amp;"') AND lo.estado = 1 LIMIT 1)")&amp;", p_id_tipo_persona =&gt; "&amp;IF(TRIM(H151&amp;"")="","NULL","(SELECT lo.id FROM gen_lista_opciones lo JOIN gen_lista l ON l.id = lo.id_lista WHERE l.nombre = 'TipoPersona' AND upper(lo.nombre) = upper('"&amp;SUBSTITUTE(TRIM(H151),"'","''")&amp;"') AND lo.estado = 1 LIMIT 1)")&amp;", p_nombres =&gt; "&amp;IF(TRIM(E151&amp;"")="","NULL","'"&amp;SUBSTITUTE(TRIM(E151),"'","''")&amp;"'")&amp;", p_apellido_paterno =&gt; "&amp;IF(TRIM(F151&amp;"")="","NULL","'"&amp;SUBSTITUTE(TRIM(F151),"'","''")&amp;"'")&amp;", p_apellido_materno =&gt; "&amp;IF(TRIM(G151&amp;"")="","NULL","'"&amp;SUBSTITUTE(TRIM(G151),"'","''")&amp;"'")&amp;", p_id_tipo_documento =&gt; "&amp;IF(TRIM(B151&amp;"")="","NULL","(SELECT lo.id FROM gen_lista_opciones lo JOIN gen_lista l ON l.id = lo.id_lista WHERE l.nombre = 'TipoDocumento' AND upper(lo.nombre) = upper('"&amp;SUBSTITUTE(TRIM(B151),"'","''")&amp;"') AND lo.estado = 1 LIMIT 1)")&amp;", p_numero_documento =&gt; "&amp;IF(TRIM(C151&amp;"")="","NULL","'"&amp;SUBSTITUTE(TRIM(C151),"'","''")&amp;"'")&amp;", p_telefono =&gt; "&amp;IF(TRIM(L151&amp;"")="","NULL","'"&amp;SUBSTITUTE(TRIM(L151),"'","''")&amp;"'")&amp;", p_email =&gt; "&amp;IF(TRIM(M151&amp;"")="","NULL","'"&amp;SUBSTITUTE(TRIM(M151),"'","''")&amp;"'")&amp;", p_observacion =&gt; "&amp;IF(TRIM(O151&amp;"")="","NULL","'"&amp;SUBSTITUTE(TRIM(O151),"'","''")&amp;"'")&amp;", p_direccion =&gt; "&amp;IF(TRIM(J151&amp;"")="","NULL","'"&amp;SUBSTITUTE(TRIM(J151),"'","''")&amp;"'")&amp;", p_referencia =&gt; "&amp;IF(TRIM(K151&amp;"")="","NULL","'"&amp;SUBSTITUTE(TRIM(K151),"'","''")&amp;"'")&amp;") AS resultado_cliente_"&amp;ROW()&amp;";")</f>
        <v/>
      </c>
    </row>
    <row r="152" ht="15.75" customHeight="1" s="64">
      <c r="A152" s="25">
        <f>IF(AND(D152="",E152="",C152=""),"",IF(AND(D152="",E152=""),"FALTA razón social o nombres",IF(AND(C152&lt;&gt;"",SUMPRODUCT(--($C$5:$C$549=C152))&gt;1),"DOCUMENTO DUPLICADO",IF(AND(B152="DNI",C152&lt;&gt;"",LEN(C152&amp;"")&lt;&gt;8),"DNI debe tener 8 dígitos",IF(AND(B152="RUC",C152&lt;&gt;"",LEN(C152&amp;"")&lt;&gt;11),"RUC debe tener 11 dígitos",IF(AND(N152&lt;&gt;"",SUMPRODUCT(--($N$5:$N$549=N152))&gt;1),"CÓDIGO INTERNO DUPLICADO","OK"))))))</f>
        <v/>
      </c>
      <c r="B152" s="17" t="inlineStr">
        <is>
          <t>SD</t>
        </is>
      </c>
      <c r="C152" s="23" t="inlineStr">
        <is>
          <t>000032</t>
        </is>
      </c>
      <c r="D152" s="17" t="n"/>
      <c r="E152" s="17" t="inlineStr">
        <is>
          <t>VALENTIN - FERREÑAFE</t>
        </is>
      </c>
      <c r="F152" s="17" t="n"/>
      <c r="G152" s="17" t="n"/>
      <c r="H152" s="17" t="inlineStr">
        <is>
          <t>Persona Natural</t>
        </is>
      </c>
      <c r="I152" s="17" t="inlineStr">
        <is>
          <t>Cliente</t>
        </is>
      </c>
      <c r="J152" s="17" t="n"/>
      <c r="K152" s="17" t="n"/>
      <c r="L152" s="23" t="n"/>
      <c r="M152" s="17" t="n"/>
      <c r="N152" s="23" t="n"/>
      <c r="O152" s="17" t="n"/>
      <c r="P152" s="28">
        <f>IF(A152&lt;&gt;"OK","","SELECT cli_crear_clientes(p_codigo_interno =&gt; "&amp;IF(TRIM(N152&amp;"")="","NULL","'"&amp;SUBSTITUTE(TRIM(N152),"'","''")&amp;"'")&amp;", p_razon_social =&gt; "&amp;IF(TRIM(D152&amp;"")="","NULL","'"&amp;SUBSTITUTE(TRIM(D152),"'","''")&amp;"'")&amp;", p_id_tipo_cliente =&gt; "&amp;IF(TRIM(I152&amp;"")="","NULL","(SELECT lo.id FROM gen_lista_opciones lo JOIN gen_lista l ON l.id = lo.id_lista WHERE l.nombre = 'TipoCliente' AND upper(lo.nombre) = upper('"&amp;SUBSTITUTE(TRIM(I152),"'","''")&amp;"') AND lo.estado = 1 LIMIT 1)")&amp;", p_id_tipo_persona =&gt; "&amp;IF(TRIM(H152&amp;"")="","NULL","(SELECT lo.id FROM gen_lista_opciones lo JOIN gen_lista l ON l.id = lo.id_lista WHERE l.nombre = 'TipoPersona' AND upper(lo.nombre) = upper('"&amp;SUBSTITUTE(TRIM(H152),"'","''")&amp;"') AND lo.estado = 1 LIMIT 1)")&amp;", p_nombres =&gt; "&amp;IF(TRIM(E152&amp;"")="","NULL","'"&amp;SUBSTITUTE(TRIM(E152),"'","''")&amp;"'")&amp;", p_apellido_paterno =&gt; "&amp;IF(TRIM(F152&amp;"")="","NULL","'"&amp;SUBSTITUTE(TRIM(F152),"'","''")&amp;"'")&amp;", p_apellido_materno =&gt; "&amp;IF(TRIM(G152&amp;"")="","NULL","'"&amp;SUBSTITUTE(TRIM(G152),"'","''")&amp;"'")&amp;", p_id_tipo_documento =&gt; "&amp;IF(TRIM(B152&amp;"")="","NULL","(SELECT lo.id FROM gen_lista_opciones lo JOIN gen_lista l ON l.id = lo.id_lista WHERE l.nombre = 'TipoDocumento' AND upper(lo.nombre) = upper('"&amp;SUBSTITUTE(TRIM(B152),"'","''")&amp;"') AND lo.estado = 1 LIMIT 1)")&amp;", p_numero_documento =&gt; "&amp;IF(TRIM(C152&amp;"")="","NULL","'"&amp;SUBSTITUTE(TRIM(C152),"'","''")&amp;"'")&amp;", p_telefono =&gt; "&amp;IF(TRIM(L152&amp;"")="","NULL","'"&amp;SUBSTITUTE(TRIM(L152),"'","''")&amp;"'")&amp;", p_email =&gt; "&amp;IF(TRIM(M152&amp;"")="","NULL","'"&amp;SUBSTITUTE(TRIM(M152),"'","''")&amp;"'")&amp;", p_observacion =&gt; "&amp;IF(TRIM(O152&amp;"")="","NULL","'"&amp;SUBSTITUTE(TRIM(O152),"'","''")&amp;"'")&amp;", p_direccion =&gt; "&amp;IF(TRIM(J152&amp;"")="","NULL","'"&amp;SUBSTITUTE(TRIM(J152),"'","''")&amp;"'")&amp;", p_referencia =&gt; "&amp;IF(TRIM(K152&amp;"")="","NULL","'"&amp;SUBSTITUTE(TRIM(K152),"'","''")&amp;"'")&amp;") AS resultado_cliente_"&amp;ROW()&amp;";")</f>
        <v/>
      </c>
    </row>
    <row r="153" ht="15.75" customHeight="1" s="64">
      <c r="A153" s="25">
        <f>IF(AND(D153="",E153="",C153=""),"",IF(AND(D153="",E153=""),"FALTA razón social o nombres",IF(AND(C153&lt;&gt;"",SUMPRODUCT(--($C$5:$C$549=C153))&gt;1),"DOCUMENTO DUPLICADO",IF(AND(B153="DNI",C153&lt;&gt;"",LEN(C153&amp;"")&lt;&gt;8),"DNI debe tener 8 dígitos",IF(AND(B153="RUC",C153&lt;&gt;"",LEN(C153&amp;"")&lt;&gt;11),"RUC debe tener 11 dígitos",IF(AND(N153&lt;&gt;"",SUMPRODUCT(--($N$5:$N$549=N153))&gt;1),"CÓDIGO INTERNO DUPLICADO","OK"))))))</f>
        <v/>
      </c>
      <c r="B153" s="17" t="inlineStr">
        <is>
          <t>DNI</t>
        </is>
      </c>
      <c r="C153" s="23" t="inlineStr">
        <is>
          <t>16616978</t>
        </is>
      </c>
      <c r="D153" s="17" t="n"/>
      <c r="E153" s="17" t="inlineStr">
        <is>
          <t>WILLY EDWIN</t>
        </is>
      </c>
      <c r="F153" s="17" t="inlineStr">
        <is>
          <t>VILCAMANGO</t>
        </is>
      </c>
      <c r="G153" s="17" t="inlineStr">
        <is>
          <t>RAMOS</t>
        </is>
      </c>
      <c r="H153" s="17" t="inlineStr">
        <is>
          <t>Persona Natural</t>
        </is>
      </c>
      <c r="I153" s="17" t="inlineStr">
        <is>
          <t>Cliente</t>
        </is>
      </c>
      <c r="J153" s="17" t="n"/>
      <c r="K153" s="17" t="n"/>
      <c r="L153" s="23" t="n"/>
      <c r="M153" s="17" t="n"/>
      <c r="N153" s="23" t="n"/>
      <c r="O153" s="17" t="n"/>
      <c r="P153" s="28">
        <f>IF(A153&lt;&gt;"OK","","SELECT cli_crear_clientes(p_codigo_interno =&gt; "&amp;IF(TRIM(N153&amp;"")="","NULL","'"&amp;SUBSTITUTE(TRIM(N153),"'","''")&amp;"'")&amp;", p_razon_social =&gt; "&amp;IF(TRIM(D153&amp;"")="","NULL","'"&amp;SUBSTITUTE(TRIM(D153),"'","''")&amp;"'")&amp;", p_id_tipo_cliente =&gt; "&amp;IF(TRIM(I153&amp;"")="","NULL","(SELECT lo.id FROM gen_lista_opciones lo JOIN gen_lista l ON l.id = lo.id_lista WHERE l.nombre = 'TipoCliente' AND upper(lo.nombre) = upper('"&amp;SUBSTITUTE(TRIM(I153),"'","''")&amp;"') AND lo.estado = 1 LIMIT 1)")&amp;", p_id_tipo_persona =&gt; "&amp;IF(TRIM(H153&amp;"")="","NULL","(SELECT lo.id FROM gen_lista_opciones lo JOIN gen_lista l ON l.id = lo.id_lista WHERE l.nombre = 'TipoPersona' AND upper(lo.nombre) = upper('"&amp;SUBSTITUTE(TRIM(H153),"'","''")&amp;"') AND lo.estado = 1 LIMIT 1)")&amp;", p_nombres =&gt; "&amp;IF(TRIM(E153&amp;"")="","NULL","'"&amp;SUBSTITUTE(TRIM(E153),"'","''")&amp;"'")&amp;", p_apellido_paterno =&gt; "&amp;IF(TRIM(F153&amp;"")="","NULL","'"&amp;SUBSTITUTE(TRIM(F153),"'","''")&amp;"'")&amp;", p_apellido_materno =&gt; "&amp;IF(TRIM(G153&amp;"")="","NULL","'"&amp;SUBSTITUTE(TRIM(G153),"'","''")&amp;"'")&amp;", p_id_tipo_documento =&gt; "&amp;IF(TRIM(B153&amp;"")="","NULL","(SELECT lo.id FROM gen_lista_opciones lo JOIN gen_lista l ON l.id = lo.id_lista WHERE l.nombre = 'TipoDocumento' AND upper(lo.nombre) = upper('"&amp;SUBSTITUTE(TRIM(B153),"'","''")&amp;"') AND lo.estado = 1 LIMIT 1)")&amp;", p_numero_documento =&gt; "&amp;IF(TRIM(C153&amp;"")="","NULL","'"&amp;SUBSTITUTE(TRIM(C153),"'","''")&amp;"'")&amp;", p_telefono =&gt; "&amp;IF(TRIM(L153&amp;"")="","NULL","'"&amp;SUBSTITUTE(TRIM(L153),"'","''")&amp;"'")&amp;", p_email =&gt; "&amp;IF(TRIM(M153&amp;"")="","NULL","'"&amp;SUBSTITUTE(TRIM(M153),"'","''")&amp;"'")&amp;", p_observacion =&gt; "&amp;IF(TRIM(O153&amp;"")="","NULL","'"&amp;SUBSTITUTE(TRIM(O153),"'","''")&amp;"'")&amp;", p_direccion =&gt; "&amp;IF(TRIM(J153&amp;"")="","NULL","'"&amp;SUBSTITUTE(TRIM(J153),"'","''")&amp;"'")&amp;", p_referencia =&gt; "&amp;IF(TRIM(K153&amp;"")="","NULL","'"&amp;SUBSTITUTE(TRIM(K153),"'","''")&amp;"'")&amp;") AS resultado_cliente_"&amp;ROW()&amp;";")</f>
        <v/>
      </c>
    </row>
    <row r="154" ht="15.75" customHeight="1" s="64">
      <c r="A154" s="25">
        <f>IF(AND(D154="",E154="",C154=""),"",IF(AND(D154="",E154=""),"FALTA razón social o nombres",IF(AND(C154&lt;&gt;"",SUMPRODUCT(--($C$5:$C$549=C154))&gt;1),"DOCUMENTO DUPLICADO",IF(AND(B154="DNI",C154&lt;&gt;"",LEN(C154&amp;"")&lt;&gt;8),"DNI debe tener 8 dígitos",IF(AND(B154="RUC",C154&lt;&gt;"",LEN(C154&amp;"")&lt;&gt;11),"RUC debe tener 11 dígitos",IF(AND(N154&lt;&gt;"",SUMPRODUCT(--($N$5:$N$549=N154))&gt;1),"CÓDIGO INTERNO DUPLICADO","OK"))))))</f>
        <v/>
      </c>
      <c r="B154" s="17" t="inlineStr">
        <is>
          <t>DNI</t>
        </is>
      </c>
      <c r="C154" s="23" t="inlineStr">
        <is>
          <t>06547378</t>
        </is>
      </c>
      <c r="D154" s="17" t="n"/>
      <c r="E154" s="17" t="inlineStr">
        <is>
          <t>JUAN</t>
        </is>
      </c>
      <c r="F154" s="17" t="inlineStr">
        <is>
          <t xml:space="preserve">YANAGUI </t>
        </is>
      </c>
      <c r="G154" s="17" t="inlineStr">
        <is>
          <t xml:space="preserve">CASTILLO </t>
        </is>
      </c>
      <c r="H154" s="17" t="inlineStr">
        <is>
          <t>Persona Natural</t>
        </is>
      </c>
      <c r="I154" s="17" t="inlineStr">
        <is>
          <t>Cliente</t>
        </is>
      </c>
      <c r="J154" s="17" t="n"/>
      <c r="K154" s="17" t="n"/>
      <c r="L154" s="23" t="n"/>
      <c r="M154" s="17" t="n"/>
      <c r="N154" s="23" t="n"/>
      <c r="O154" s="17" t="n"/>
      <c r="P154" s="28">
        <f>IF(A154&lt;&gt;"OK","","SELECT cli_crear_clientes(p_codigo_interno =&gt; "&amp;IF(TRIM(N154&amp;"")="","NULL","'"&amp;SUBSTITUTE(TRIM(N154),"'","''")&amp;"'")&amp;", p_razon_social =&gt; "&amp;IF(TRIM(D154&amp;"")="","NULL","'"&amp;SUBSTITUTE(TRIM(D154),"'","''")&amp;"'")&amp;", p_id_tipo_cliente =&gt; "&amp;IF(TRIM(I154&amp;"")="","NULL","(SELECT lo.id FROM gen_lista_opciones lo JOIN gen_lista l ON l.id = lo.id_lista WHERE l.nombre = 'TipoCliente' AND upper(lo.nombre) = upper('"&amp;SUBSTITUTE(TRIM(I154),"'","''")&amp;"') AND lo.estado = 1 LIMIT 1)")&amp;", p_id_tipo_persona =&gt; "&amp;IF(TRIM(H154&amp;"")="","NULL","(SELECT lo.id FROM gen_lista_opciones lo JOIN gen_lista l ON l.id = lo.id_lista WHERE l.nombre = 'TipoPersona' AND upper(lo.nombre) = upper('"&amp;SUBSTITUTE(TRIM(H154),"'","''")&amp;"') AND lo.estado = 1 LIMIT 1)")&amp;", p_nombres =&gt; "&amp;IF(TRIM(E154&amp;"")="","NULL","'"&amp;SUBSTITUTE(TRIM(E154),"'","''")&amp;"'")&amp;", p_apellido_paterno =&gt; "&amp;IF(TRIM(F154&amp;"")="","NULL","'"&amp;SUBSTITUTE(TRIM(F154),"'","''")&amp;"'")&amp;", p_apellido_materno =&gt; "&amp;IF(TRIM(G154&amp;"")="","NULL","'"&amp;SUBSTITUTE(TRIM(G154),"'","''")&amp;"'")&amp;", p_id_tipo_documento =&gt; "&amp;IF(TRIM(B154&amp;"")="","NULL","(SELECT lo.id FROM gen_lista_opciones lo JOIN gen_lista l ON l.id = lo.id_lista WHERE l.nombre = 'TipoDocumento' AND upper(lo.nombre) = upper('"&amp;SUBSTITUTE(TRIM(B154),"'","''")&amp;"') AND lo.estado = 1 LIMIT 1)")&amp;", p_numero_documento =&gt; "&amp;IF(TRIM(C154&amp;"")="","NULL","'"&amp;SUBSTITUTE(TRIM(C154),"'","''")&amp;"'")&amp;", p_telefono =&gt; "&amp;IF(TRIM(L154&amp;"")="","NULL","'"&amp;SUBSTITUTE(TRIM(L154),"'","''")&amp;"'")&amp;", p_email =&gt; "&amp;IF(TRIM(M154&amp;"")="","NULL","'"&amp;SUBSTITUTE(TRIM(M154),"'","''")&amp;"'")&amp;", p_observacion =&gt; "&amp;IF(TRIM(O154&amp;"")="","NULL","'"&amp;SUBSTITUTE(TRIM(O154),"'","''")&amp;"'")&amp;", p_direccion =&gt; "&amp;IF(TRIM(J154&amp;"")="","NULL","'"&amp;SUBSTITUTE(TRIM(J154),"'","''")&amp;"'")&amp;", p_referencia =&gt; "&amp;IF(TRIM(K154&amp;"")="","NULL","'"&amp;SUBSTITUTE(TRIM(K154),"'","''")&amp;"'")&amp;") AS resultado_cliente_"&amp;ROW()&amp;";")</f>
        <v/>
      </c>
    </row>
    <row r="155" ht="15.75" customHeight="1" s="64">
      <c r="A155" s="25">
        <f>IF(AND(D155="",E155="",C155=""),"",IF(AND(D155="",E155=""),"FALTA razón social o nombres",IF(AND(C155&lt;&gt;"",SUMPRODUCT(--($C$5:$C$549=C155))&gt;1),"DOCUMENTO DUPLICADO",IF(AND(B155="DNI",C155&lt;&gt;"",LEN(C155&amp;"")&lt;&gt;8),"DNI debe tener 8 dígitos",IF(AND(B155="RUC",C155&lt;&gt;"",LEN(C155&amp;"")&lt;&gt;11),"RUC debe tener 11 dígitos",IF(AND(N155&lt;&gt;"",SUMPRODUCT(--($N$5:$N$549=N155))&gt;1),"CÓDIGO INTERNO DUPLICADO","OK"))))))</f>
        <v/>
      </c>
      <c r="B155" s="17" t="inlineStr">
        <is>
          <t>SD</t>
        </is>
      </c>
      <c r="C155" s="23" t="inlineStr">
        <is>
          <t>000033</t>
        </is>
      </c>
      <c r="D155" s="17" t="n"/>
      <c r="E155" s="17" t="inlineStr">
        <is>
          <t>ANGEL</t>
        </is>
      </c>
      <c r="F155" s="17" t="inlineStr">
        <is>
          <t xml:space="preserve">ZAMBRANO </t>
        </is>
      </c>
      <c r="G155" s="17" t="n"/>
      <c r="H155" s="17" t="inlineStr">
        <is>
          <t>Persona Natural</t>
        </is>
      </c>
      <c r="I155" s="17" t="inlineStr">
        <is>
          <t>Cliente</t>
        </is>
      </c>
      <c r="J155" s="17" t="n"/>
      <c r="K155" s="17" t="n"/>
      <c r="L155" s="23" t="n"/>
      <c r="M155" s="17" t="n"/>
      <c r="N155" s="23" t="n"/>
      <c r="O155" s="17" t="n"/>
      <c r="P155" s="28">
        <f>IF(A155&lt;&gt;"OK","","SELECT cli_crear_clientes(p_codigo_interno =&gt; "&amp;IF(TRIM(N155&amp;"")="","NULL","'"&amp;SUBSTITUTE(TRIM(N155),"'","''")&amp;"'")&amp;", p_razon_social =&gt; "&amp;IF(TRIM(D155&amp;"")="","NULL","'"&amp;SUBSTITUTE(TRIM(D155),"'","''")&amp;"'")&amp;", p_id_tipo_cliente =&gt; "&amp;IF(TRIM(I155&amp;"")="","NULL","(SELECT lo.id FROM gen_lista_opciones lo JOIN gen_lista l ON l.id = lo.id_lista WHERE l.nombre = 'TipoCliente' AND upper(lo.nombre) = upper('"&amp;SUBSTITUTE(TRIM(I155),"'","''")&amp;"') AND lo.estado = 1 LIMIT 1)")&amp;", p_id_tipo_persona =&gt; "&amp;IF(TRIM(H155&amp;"")="","NULL","(SELECT lo.id FROM gen_lista_opciones lo JOIN gen_lista l ON l.id = lo.id_lista WHERE l.nombre = 'TipoPersona' AND upper(lo.nombre) = upper('"&amp;SUBSTITUTE(TRIM(H155),"'","''")&amp;"') AND lo.estado = 1 LIMIT 1)")&amp;", p_nombres =&gt; "&amp;IF(TRIM(E155&amp;"")="","NULL","'"&amp;SUBSTITUTE(TRIM(E155),"'","''")&amp;"'")&amp;", p_apellido_paterno =&gt; "&amp;IF(TRIM(F155&amp;"")="","NULL","'"&amp;SUBSTITUTE(TRIM(F155),"'","''")&amp;"'")&amp;", p_apellido_materno =&gt; "&amp;IF(TRIM(G155&amp;"")="","NULL","'"&amp;SUBSTITUTE(TRIM(G155),"'","''")&amp;"'")&amp;", p_id_tipo_documento =&gt; "&amp;IF(TRIM(B155&amp;"")="","NULL","(SELECT lo.id FROM gen_lista_opciones lo JOIN gen_lista l ON l.id = lo.id_lista WHERE l.nombre = 'TipoDocumento' AND upper(lo.nombre) = upper('"&amp;SUBSTITUTE(TRIM(B155),"'","''")&amp;"') AND lo.estado = 1 LIMIT 1)")&amp;", p_numero_documento =&gt; "&amp;IF(TRIM(C155&amp;"")="","NULL","'"&amp;SUBSTITUTE(TRIM(C155),"'","''")&amp;"'")&amp;", p_telefono =&gt; "&amp;IF(TRIM(L155&amp;"")="","NULL","'"&amp;SUBSTITUTE(TRIM(L155),"'","''")&amp;"'")&amp;", p_email =&gt; "&amp;IF(TRIM(M155&amp;"")="","NULL","'"&amp;SUBSTITUTE(TRIM(M155),"'","''")&amp;"'")&amp;", p_observacion =&gt; "&amp;IF(TRIM(O155&amp;"")="","NULL","'"&amp;SUBSTITUTE(TRIM(O155),"'","''")&amp;"'")&amp;", p_direccion =&gt; "&amp;IF(TRIM(J155&amp;"")="","NULL","'"&amp;SUBSTITUTE(TRIM(J155),"'","''")&amp;"'")&amp;", p_referencia =&gt; "&amp;IF(TRIM(K155&amp;"")="","NULL","'"&amp;SUBSTITUTE(TRIM(K155),"'","''")&amp;"'")&amp;") AS resultado_cliente_"&amp;ROW()&amp;";")</f>
        <v/>
      </c>
    </row>
    <row r="156" ht="15.75" customHeight="1" s="64">
      <c r="A156" s="25">
        <f>IF(AND(D156="",E156="",C156=""),"",IF(AND(D156="",E156=""),"FALTA razón social o nombres",IF(AND(C156&lt;&gt;"",SUMPRODUCT(--($C$5:$C$549=C156))&gt;1),"DOCUMENTO DUPLICADO",IF(AND(B156="DNI",C156&lt;&gt;"",LEN(C156&amp;"")&lt;&gt;8),"DNI debe tener 8 dígitos",IF(AND(B156="RUC",C156&lt;&gt;"",LEN(C156&amp;"")&lt;&gt;11),"RUC debe tener 11 dígitos",IF(AND(N156&lt;&gt;"",SUMPRODUCT(--($N$5:$N$549=N156))&gt;1),"CÓDIGO INTERNO DUPLICADO","OK"))))))</f>
        <v/>
      </c>
      <c r="B156" s="17" t="inlineStr">
        <is>
          <t>SD</t>
        </is>
      </c>
      <c r="C156" s="23" t="inlineStr">
        <is>
          <t>000034</t>
        </is>
      </c>
      <c r="D156" s="17" t="n"/>
      <c r="E156" s="17" t="inlineStr">
        <is>
          <t xml:space="preserve">JORGE </t>
        </is>
      </c>
      <c r="F156" s="17" t="inlineStr">
        <is>
          <t>MENDOZA</t>
        </is>
      </c>
      <c r="G156" s="17" t="n"/>
      <c r="H156" s="17" t="inlineStr">
        <is>
          <t>Persona Natural</t>
        </is>
      </c>
      <c r="I156" s="17" t="inlineStr">
        <is>
          <t>Cliente</t>
        </is>
      </c>
      <c r="J156" s="17" t="n"/>
      <c r="K156" s="17" t="n"/>
      <c r="L156" s="23" t="n"/>
      <c r="M156" s="17" t="n"/>
      <c r="N156" s="23" t="n"/>
      <c r="O156" s="17" t="n"/>
      <c r="P156" s="28">
        <f>IF(A156&lt;&gt;"OK","","SELECT cli_crear_clientes(p_codigo_interno =&gt; "&amp;IF(TRIM(N156&amp;"")="","NULL","'"&amp;SUBSTITUTE(TRIM(N156),"'","''")&amp;"'")&amp;", p_razon_social =&gt; "&amp;IF(TRIM(D156&amp;"")="","NULL","'"&amp;SUBSTITUTE(TRIM(D156),"'","''")&amp;"'")&amp;", p_id_tipo_cliente =&gt; "&amp;IF(TRIM(I156&amp;"")="","NULL","(SELECT lo.id FROM gen_lista_opciones lo JOIN gen_lista l ON l.id = lo.id_lista WHERE l.nombre = 'TipoCliente' AND upper(lo.nombre) = upper('"&amp;SUBSTITUTE(TRIM(I156),"'","''")&amp;"') AND lo.estado = 1 LIMIT 1)")&amp;", p_id_tipo_persona =&gt; "&amp;IF(TRIM(H156&amp;"")="","NULL","(SELECT lo.id FROM gen_lista_opciones lo JOIN gen_lista l ON l.id = lo.id_lista WHERE l.nombre = 'TipoPersona' AND upper(lo.nombre) = upper('"&amp;SUBSTITUTE(TRIM(H156),"'","''")&amp;"') AND lo.estado = 1 LIMIT 1)")&amp;", p_nombres =&gt; "&amp;IF(TRIM(E156&amp;"")="","NULL","'"&amp;SUBSTITUTE(TRIM(E156),"'","''")&amp;"'")&amp;", p_apellido_paterno =&gt; "&amp;IF(TRIM(F156&amp;"")="","NULL","'"&amp;SUBSTITUTE(TRIM(F156),"'","''")&amp;"'")&amp;", p_apellido_materno =&gt; "&amp;IF(TRIM(G156&amp;"")="","NULL","'"&amp;SUBSTITUTE(TRIM(G156),"'","''")&amp;"'")&amp;", p_id_tipo_documento =&gt; "&amp;IF(TRIM(B156&amp;"")="","NULL","(SELECT lo.id FROM gen_lista_opciones lo JOIN gen_lista l ON l.id = lo.id_lista WHERE l.nombre = 'TipoDocumento' AND upper(lo.nombre) = upper('"&amp;SUBSTITUTE(TRIM(B156),"'","''")&amp;"') AND lo.estado = 1 LIMIT 1)")&amp;", p_numero_documento =&gt; "&amp;IF(TRIM(C156&amp;"")="","NULL","'"&amp;SUBSTITUTE(TRIM(C156),"'","''")&amp;"'")&amp;", p_telefono =&gt; "&amp;IF(TRIM(L156&amp;"")="","NULL","'"&amp;SUBSTITUTE(TRIM(L156),"'","''")&amp;"'")&amp;", p_email =&gt; "&amp;IF(TRIM(M156&amp;"")="","NULL","'"&amp;SUBSTITUTE(TRIM(M156),"'","''")&amp;"'")&amp;", p_observacion =&gt; "&amp;IF(TRIM(O156&amp;"")="","NULL","'"&amp;SUBSTITUTE(TRIM(O156),"'","''")&amp;"'")&amp;", p_direccion =&gt; "&amp;IF(TRIM(J156&amp;"")="","NULL","'"&amp;SUBSTITUTE(TRIM(J156),"'","''")&amp;"'")&amp;", p_referencia =&gt; "&amp;IF(TRIM(K156&amp;"")="","NULL","'"&amp;SUBSTITUTE(TRIM(K156),"'","''")&amp;"'")&amp;") AS resultado_cliente_"&amp;ROW()&amp;";")</f>
        <v/>
      </c>
    </row>
    <row r="157" ht="15.75" customHeight="1" s="64">
      <c r="A157" s="25">
        <f>IF(AND(D157="",E157="",C157=""),"",IF(AND(D157="",E157=""),"FALTA razón social o nombres",IF(AND(C157&lt;&gt;"",SUMPRODUCT(--($C$5:$C$549=C157))&gt;1),"DOCUMENTO DUPLICADO",IF(AND(B157="DNI",C157&lt;&gt;"",LEN(C157&amp;"")&lt;&gt;8),"DNI debe tener 8 dígitos",IF(AND(B157="RUC",C157&lt;&gt;"",LEN(C157&amp;"")&lt;&gt;11),"RUC debe tener 11 dígitos",IF(AND(N157&lt;&gt;"",SUMPRODUCT(--($N$5:$N$549=N157))&gt;1),"CÓDIGO INTERNO DUPLICADO","OK"))))))</f>
        <v/>
      </c>
      <c r="B157" s="17" t="inlineStr">
        <is>
          <t>RUC</t>
        </is>
      </c>
      <c r="C157" s="23" t="inlineStr">
        <is>
          <t>20607710385</t>
        </is>
      </c>
      <c r="D157" s="17" t="inlineStr">
        <is>
          <t>PEDIACIX S.R.L.</t>
        </is>
      </c>
      <c r="E157" s="17" t="n"/>
      <c r="F157" s="17" t="n"/>
      <c r="G157" s="17" t="n"/>
      <c r="H157" s="17" t="inlineStr">
        <is>
          <t>Persona Jurídica</t>
        </is>
      </c>
      <c r="I157" s="17" t="inlineStr">
        <is>
          <t>Cliente</t>
        </is>
      </c>
      <c r="J157" s="17" t="n"/>
      <c r="K157" s="17" t="n"/>
      <c r="L157" s="23" t="n"/>
      <c r="M157" s="17" t="n"/>
      <c r="N157" s="23" t="n"/>
      <c r="O157" s="17" t="n"/>
      <c r="P157" s="28">
        <f>IF(A157&lt;&gt;"OK","","SELECT cli_crear_clientes(p_codigo_interno =&gt; "&amp;IF(TRIM(N157&amp;"")="","NULL","'"&amp;SUBSTITUTE(TRIM(N157),"'","''")&amp;"'")&amp;", p_razon_social =&gt; "&amp;IF(TRIM(D157&amp;"")="","NULL","'"&amp;SUBSTITUTE(TRIM(D157),"'","''")&amp;"'")&amp;", p_id_tipo_cliente =&gt; "&amp;IF(TRIM(I157&amp;"")="","NULL","(SELECT lo.id FROM gen_lista_opciones lo JOIN gen_lista l ON l.id = lo.id_lista WHERE l.nombre = 'TipoCliente' AND upper(lo.nombre) = upper('"&amp;SUBSTITUTE(TRIM(I157),"'","''")&amp;"') AND lo.estado = 1 LIMIT 1)")&amp;", p_id_tipo_persona =&gt; "&amp;IF(TRIM(H157&amp;"")="","NULL","(SELECT lo.id FROM gen_lista_opciones lo JOIN gen_lista l ON l.id = lo.id_lista WHERE l.nombre = 'TipoPersona' AND upper(lo.nombre) = upper('"&amp;SUBSTITUTE(TRIM(H157),"'","''")&amp;"') AND lo.estado = 1 LIMIT 1)")&amp;", p_nombres =&gt; "&amp;IF(TRIM(E157&amp;"")="","NULL","'"&amp;SUBSTITUTE(TRIM(E157),"'","''")&amp;"'")&amp;", p_apellido_paterno =&gt; "&amp;IF(TRIM(F157&amp;"")="","NULL","'"&amp;SUBSTITUTE(TRIM(F157),"'","''")&amp;"'")&amp;", p_apellido_materno =&gt; "&amp;IF(TRIM(G157&amp;"")="","NULL","'"&amp;SUBSTITUTE(TRIM(G157),"'","''")&amp;"'")&amp;", p_id_tipo_documento =&gt; "&amp;IF(TRIM(B157&amp;"")="","NULL","(SELECT lo.id FROM gen_lista_opciones lo JOIN gen_lista l ON l.id = lo.id_lista WHERE l.nombre = 'TipoDocumento' AND upper(lo.nombre) = upper('"&amp;SUBSTITUTE(TRIM(B157),"'","''")&amp;"') AND lo.estado = 1 LIMIT 1)")&amp;", p_numero_documento =&gt; "&amp;IF(TRIM(C157&amp;"")="","NULL","'"&amp;SUBSTITUTE(TRIM(C157),"'","''")&amp;"'")&amp;", p_telefono =&gt; "&amp;IF(TRIM(L157&amp;"")="","NULL","'"&amp;SUBSTITUTE(TRIM(L157),"'","''")&amp;"'")&amp;", p_email =&gt; "&amp;IF(TRIM(M157&amp;"")="","NULL","'"&amp;SUBSTITUTE(TRIM(M157),"'","''")&amp;"'")&amp;", p_observacion =&gt; "&amp;IF(TRIM(O157&amp;"")="","NULL","'"&amp;SUBSTITUTE(TRIM(O157),"'","''")&amp;"'")&amp;", p_direccion =&gt; "&amp;IF(TRIM(J157&amp;"")="","NULL","'"&amp;SUBSTITUTE(TRIM(J157),"'","''")&amp;"'")&amp;", p_referencia =&gt; "&amp;IF(TRIM(K157&amp;"")="","NULL","'"&amp;SUBSTITUTE(TRIM(K157),"'","''")&amp;"'")&amp;") AS resultado_cliente_"&amp;ROW()&amp;";")</f>
        <v/>
      </c>
    </row>
    <row r="158" ht="15.75" customHeight="1" s="64">
      <c r="A158" s="25">
        <f>IF(AND(D158="",E158="",C158=""),"",IF(AND(D158="",E158=""),"FALTA razón social o nombres",IF(AND(C158&lt;&gt;"",SUMPRODUCT(--($C$5:$C$549=C158))&gt;1),"DOCUMENTO DUPLICADO",IF(AND(B158="DNI",C158&lt;&gt;"",LEN(C158&amp;"")&lt;&gt;8),"DNI debe tener 8 dígitos",IF(AND(B158="RUC",C158&lt;&gt;"",LEN(C158&amp;"")&lt;&gt;11),"RUC debe tener 11 dígitos",IF(AND(N158&lt;&gt;"",SUMPRODUCT(--($N$5:$N$549=N158))&gt;1),"CÓDIGO INTERNO DUPLICADO","OK"))))))</f>
        <v/>
      </c>
      <c r="B158" s="17" t="inlineStr">
        <is>
          <t>RUC</t>
        </is>
      </c>
      <c r="C158" s="23" t="inlineStr">
        <is>
          <t>20605722238</t>
        </is>
      </c>
      <c r="D158" s="17" t="inlineStr">
        <is>
          <t>I.E.D. GASTROCIX S.A.C.</t>
        </is>
      </c>
      <c r="E158" s="17" t="n"/>
      <c r="F158" s="17" t="n"/>
      <c r="G158" s="17" t="n"/>
      <c r="H158" s="17" t="inlineStr">
        <is>
          <t>Persona Jurídica</t>
        </is>
      </c>
      <c r="I158" s="17" t="inlineStr">
        <is>
          <t>Cliente</t>
        </is>
      </c>
      <c r="J158" s="17" t="n"/>
      <c r="K158" s="17" t="n"/>
      <c r="L158" s="23" t="n"/>
      <c r="M158" s="17" t="n"/>
      <c r="N158" s="23" t="n"/>
      <c r="O158" s="17" t="n"/>
      <c r="P158" s="28">
        <f>IF(A158&lt;&gt;"OK","","SELECT cli_crear_clientes(p_codigo_interno =&gt; "&amp;IF(TRIM(N158&amp;"")="","NULL","'"&amp;SUBSTITUTE(TRIM(N158),"'","''")&amp;"'")&amp;", p_razon_social =&gt; "&amp;IF(TRIM(D158&amp;"")="","NULL","'"&amp;SUBSTITUTE(TRIM(D158),"'","''")&amp;"'")&amp;", p_id_tipo_cliente =&gt; "&amp;IF(TRIM(I158&amp;"")="","NULL","(SELECT lo.id FROM gen_lista_opciones lo JOIN gen_lista l ON l.id = lo.id_lista WHERE l.nombre = 'TipoCliente' AND upper(lo.nombre) = upper('"&amp;SUBSTITUTE(TRIM(I158),"'","''")&amp;"') AND lo.estado = 1 LIMIT 1)")&amp;", p_id_tipo_persona =&gt; "&amp;IF(TRIM(H158&amp;"")="","NULL","(SELECT lo.id FROM gen_lista_opciones lo JOIN gen_lista l ON l.id = lo.id_lista WHERE l.nombre = 'TipoPersona' AND upper(lo.nombre) = upper('"&amp;SUBSTITUTE(TRIM(H158),"'","''")&amp;"') AND lo.estado = 1 LIMIT 1)")&amp;", p_nombres =&gt; "&amp;IF(TRIM(E158&amp;"")="","NULL","'"&amp;SUBSTITUTE(TRIM(E158),"'","''")&amp;"'")&amp;", p_apellido_paterno =&gt; "&amp;IF(TRIM(F158&amp;"")="","NULL","'"&amp;SUBSTITUTE(TRIM(F158),"'","''")&amp;"'")&amp;", p_apellido_materno =&gt; "&amp;IF(TRIM(G158&amp;"")="","NULL","'"&amp;SUBSTITUTE(TRIM(G158),"'","''")&amp;"'")&amp;", p_id_tipo_documento =&gt; "&amp;IF(TRIM(B158&amp;"")="","NULL","(SELECT lo.id FROM gen_lista_opciones lo JOIN gen_lista l ON l.id = lo.id_lista WHERE l.nombre = 'TipoDocumento' AND upper(lo.nombre) = upper('"&amp;SUBSTITUTE(TRIM(B158),"'","''")&amp;"') AND lo.estado = 1 LIMIT 1)")&amp;", p_numero_documento =&gt; "&amp;IF(TRIM(C158&amp;"")="","NULL","'"&amp;SUBSTITUTE(TRIM(C158),"'","''")&amp;"'")&amp;", p_telefono =&gt; "&amp;IF(TRIM(L158&amp;"")="","NULL","'"&amp;SUBSTITUTE(TRIM(L158),"'","''")&amp;"'")&amp;", p_email =&gt; "&amp;IF(TRIM(M158&amp;"")="","NULL","'"&amp;SUBSTITUTE(TRIM(M158),"'","''")&amp;"'")&amp;", p_observacion =&gt; "&amp;IF(TRIM(O158&amp;"")="","NULL","'"&amp;SUBSTITUTE(TRIM(O158),"'","''")&amp;"'")&amp;", p_direccion =&gt; "&amp;IF(TRIM(J158&amp;"")="","NULL","'"&amp;SUBSTITUTE(TRIM(J158),"'","''")&amp;"'")&amp;", p_referencia =&gt; "&amp;IF(TRIM(K158&amp;"")="","NULL","'"&amp;SUBSTITUTE(TRIM(K158),"'","''")&amp;"'")&amp;") AS resultado_cliente_"&amp;ROW()&amp;";")</f>
        <v/>
      </c>
    </row>
    <row r="159" ht="15.75" customHeight="1" s="64">
      <c r="A159" s="25">
        <f>IF(AND(D159="",E159="",C159=""),"",IF(AND(D159="",E159=""),"FALTA razón social o nombres",IF(AND(C159&lt;&gt;"",SUMPRODUCT(--($C$5:$C$549=C159))&gt;1),"DOCUMENTO DUPLICADO",IF(AND(B159="DNI",C159&lt;&gt;"",LEN(C159&amp;"")&lt;&gt;8),"DNI debe tener 8 dígitos",IF(AND(B159="RUC",C159&lt;&gt;"",LEN(C159&amp;"")&lt;&gt;11),"RUC debe tener 11 dígitos",IF(AND(N159&lt;&gt;"",SUMPRODUCT(--($N$5:$N$549=N159))&gt;1),"CÓDIGO INTERNO DUPLICADO","OK"))))))</f>
        <v/>
      </c>
      <c r="B159" s="17" t="inlineStr">
        <is>
          <t>DNI</t>
        </is>
      </c>
      <c r="C159" s="23" t="inlineStr">
        <is>
          <t>73496013</t>
        </is>
      </c>
      <c r="D159" s="17" t="n"/>
      <c r="E159" s="17" t="inlineStr">
        <is>
          <t>CARLOS</t>
        </is>
      </c>
      <c r="F159" s="17" t="inlineStr">
        <is>
          <t>BECERRA</t>
        </is>
      </c>
      <c r="G159" s="17" t="inlineStr">
        <is>
          <t>VILCHEZ</t>
        </is>
      </c>
      <c r="H159" s="17" t="inlineStr">
        <is>
          <t>Persona Natural</t>
        </is>
      </c>
      <c r="I159" s="17" t="inlineStr">
        <is>
          <t>Cliente</t>
        </is>
      </c>
      <c r="J159" s="17" t="n"/>
      <c r="K159" s="17" t="n"/>
      <c r="L159" s="23" t="n"/>
      <c r="M159" s="17" t="n"/>
      <c r="N159" s="23" t="n"/>
      <c r="O159" s="17" t="n"/>
      <c r="P159" s="28">
        <f>IF(A159&lt;&gt;"OK","","SELECT cli_crear_clientes(p_codigo_interno =&gt; "&amp;IF(TRIM(N159&amp;"")="","NULL","'"&amp;SUBSTITUTE(TRIM(N159),"'","''")&amp;"'")&amp;", p_razon_social =&gt; "&amp;IF(TRIM(D159&amp;"")="","NULL","'"&amp;SUBSTITUTE(TRIM(D159),"'","''")&amp;"'")&amp;", p_id_tipo_cliente =&gt; "&amp;IF(TRIM(I159&amp;"")="","NULL","(SELECT lo.id FROM gen_lista_opciones lo JOIN gen_lista l ON l.id = lo.id_lista WHERE l.nombre = 'TipoCliente' AND upper(lo.nombre) = upper('"&amp;SUBSTITUTE(TRIM(I159),"'","''")&amp;"') AND lo.estado = 1 LIMIT 1)")&amp;", p_id_tipo_persona =&gt; "&amp;IF(TRIM(H159&amp;"")="","NULL","(SELECT lo.id FROM gen_lista_opciones lo JOIN gen_lista l ON l.id = lo.id_lista WHERE l.nombre = 'TipoPersona' AND upper(lo.nombre) = upper('"&amp;SUBSTITUTE(TRIM(H159),"'","''")&amp;"') AND lo.estado = 1 LIMIT 1)")&amp;", p_nombres =&gt; "&amp;IF(TRIM(E159&amp;"")="","NULL","'"&amp;SUBSTITUTE(TRIM(E159),"'","''")&amp;"'")&amp;", p_apellido_paterno =&gt; "&amp;IF(TRIM(F159&amp;"")="","NULL","'"&amp;SUBSTITUTE(TRIM(F159),"'","''")&amp;"'")&amp;", p_apellido_materno =&gt; "&amp;IF(TRIM(G159&amp;"")="","NULL","'"&amp;SUBSTITUTE(TRIM(G159),"'","''")&amp;"'")&amp;", p_id_tipo_documento =&gt; "&amp;IF(TRIM(B159&amp;"")="","NULL","(SELECT lo.id FROM gen_lista_opciones lo JOIN gen_lista l ON l.id = lo.id_lista WHERE l.nombre = 'TipoDocumento' AND upper(lo.nombre) = upper('"&amp;SUBSTITUTE(TRIM(B159),"'","''")&amp;"') AND lo.estado = 1 LIMIT 1)")&amp;", p_numero_documento =&gt; "&amp;IF(TRIM(C159&amp;"")="","NULL","'"&amp;SUBSTITUTE(TRIM(C159),"'","''")&amp;"'")&amp;", p_telefono =&gt; "&amp;IF(TRIM(L159&amp;"")="","NULL","'"&amp;SUBSTITUTE(TRIM(L159),"'","''")&amp;"'")&amp;", p_email =&gt; "&amp;IF(TRIM(M159&amp;"")="","NULL","'"&amp;SUBSTITUTE(TRIM(M159),"'","''")&amp;"'")&amp;", p_observacion =&gt; "&amp;IF(TRIM(O159&amp;"")="","NULL","'"&amp;SUBSTITUTE(TRIM(O159),"'","''")&amp;"'")&amp;", p_direccion =&gt; "&amp;IF(TRIM(J159&amp;"")="","NULL","'"&amp;SUBSTITUTE(TRIM(J159),"'","''")&amp;"'")&amp;", p_referencia =&gt; "&amp;IF(TRIM(K159&amp;"")="","NULL","'"&amp;SUBSTITUTE(TRIM(K159),"'","''")&amp;"'")&amp;") AS resultado_cliente_"&amp;ROW()&amp;";")</f>
        <v/>
      </c>
    </row>
    <row r="160" ht="15.75" customHeight="1" s="64">
      <c r="A160" s="25">
        <f>IF(AND(D160="",E160="",C160=""),"",IF(AND(D160="",E160=""),"FALTA razón social o nombres",IF(AND(C160&lt;&gt;"",SUMPRODUCT(--($C$5:$C$549=C160))&gt;1),"DOCUMENTO DUPLICADO",IF(AND(B160="DNI",C160&lt;&gt;"",LEN(C160&amp;"")&lt;&gt;8),"DNI debe tener 8 dígitos",IF(AND(B160="RUC",C160&lt;&gt;"",LEN(C160&amp;"")&lt;&gt;11),"RUC debe tener 11 dígitos",IF(AND(N160&lt;&gt;"",SUMPRODUCT(--($N$5:$N$549=N160))&gt;1),"CÓDIGO INTERNO DUPLICADO","OK"))))))</f>
        <v/>
      </c>
      <c r="B160" s="17" t="inlineStr">
        <is>
          <t>RUC</t>
        </is>
      </c>
      <c r="C160" s="23" t="inlineStr">
        <is>
          <t>10436580326</t>
        </is>
      </c>
      <c r="D160" s="17" t="inlineStr">
        <is>
          <t>BURGA SALINAS SANTOS CATALINA</t>
        </is>
      </c>
      <c r="E160" s="17" t="n"/>
      <c r="F160" s="17" t="n"/>
      <c r="G160" s="17" t="n"/>
      <c r="H160" s="17" t="inlineStr">
        <is>
          <t>Persona Jurídica</t>
        </is>
      </c>
      <c r="I160" s="17" t="inlineStr">
        <is>
          <t>Cliente</t>
        </is>
      </c>
      <c r="J160" s="17" t="n"/>
      <c r="K160" s="17" t="n"/>
      <c r="L160" s="23" t="n"/>
      <c r="M160" s="17" t="n"/>
      <c r="N160" s="23" t="n"/>
      <c r="O160" s="17" t="n"/>
      <c r="P160" s="28">
        <f>IF(A160&lt;&gt;"OK","","SELECT cli_crear_clientes(p_codigo_interno =&gt; "&amp;IF(TRIM(N160&amp;"")="","NULL","'"&amp;SUBSTITUTE(TRIM(N160),"'","''")&amp;"'")&amp;", p_razon_social =&gt; "&amp;IF(TRIM(D160&amp;"")="","NULL","'"&amp;SUBSTITUTE(TRIM(D160),"'","''")&amp;"'")&amp;", p_id_tipo_cliente =&gt; "&amp;IF(TRIM(I160&amp;"")="","NULL","(SELECT lo.id FROM gen_lista_opciones lo JOIN gen_lista l ON l.id = lo.id_lista WHERE l.nombre = 'TipoCliente' AND upper(lo.nombre) = upper('"&amp;SUBSTITUTE(TRIM(I160),"'","''")&amp;"') AND lo.estado = 1 LIMIT 1)")&amp;", p_id_tipo_persona =&gt; "&amp;IF(TRIM(H160&amp;"")="","NULL","(SELECT lo.id FROM gen_lista_opciones lo JOIN gen_lista l ON l.id = lo.id_lista WHERE l.nombre = 'TipoPersona' AND upper(lo.nombre) = upper('"&amp;SUBSTITUTE(TRIM(H160),"'","''")&amp;"') AND lo.estado = 1 LIMIT 1)")&amp;", p_nombres =&gt; "&amp;IF(TRIM(E160&amp;"")="","NULL","'"&amp;SUBSTITUTE(TRIM(E160),"'","''")&amp;"'")&amp;", p_apellido_paterno =&gt; "&amp;IF(TRIM(F160&amp;"")="","NULL","'"&amp;SUBSTITUTE(TRIM(F160),"'","''")&amp;"'")&amp;", p_apellido_materno =&gt; "&amp;IF(TRIM(G160&amp;"")="","NULL","'"&amp;SUBSTITUTE(TRIM(G160),"'","''")&amp;"'")&amp;", p_id_tipo_documento =&gt; "&amp;IF(TRIM(B160&amp;"")="","NULL","(SELECT lo.id FROM gen_lista_opciones lo JOIN gen_lista l ON l.id = lo.id_lista WHERE l.nombre = 'TipoDocumento' AND upper(lo.nombre) = upper('"&amp;SUBSTITUTE(TRIM(B160),"'","''")&amp;"') AND lo.estado = 1 LIMIT 1)")&amp;", p_numero_documento =&gt; "&amp;IF(TRIM(C160&amp;"")="","NULL","'"&amp;SUBSTITUTE(TRIM(C160),"'","''")&amp;"'")&amp;", p_telefono =&gt; "&amp;IF(TRIM(L160&amp;"")="","NULL","'"&amp;SUBSTITUTE(TRIM(L160),"'","''")&amp;"'")&amp;", p_email =&gt; "&amp;IF(TRIM(M160&amp;"")="","NULL","'"&amp;SUBSTITUTE(TRIM(M160),"'","''")&amp;"'")&amp;", p_observacion =&gt; "&amp;IF(TRIM(O160&amp;"")="","NULL","'"&amp;SUBSTITUTE(TRIM(O160),"'","''")&amp;"'")&amp;", p_direccion =&gt; "&amp;IF(TRIM(J160&amp;"")="","NULL","'"&amp;SUBSTITUTE(TRIM(J160),"'","''")&amp;"'")&amp;", p_referencia =&gt; "&amp;IF(TRIM(K160&amp;"")="","NULL","'"&amp;SUBSTITUTE(TRIM(K160),"'","''")&amp;"'")&amp;") AS resultado_cliente_"&amp;ROW()&amp;";")</f>
        <v/>
      </c>
    </row>
    <row r="161" ht="15.75" customHeight="1" s="64">
      <c r="A161" s="25">
        <f>IF(AND(D161="",E161="",C161=""),"",IF(AND(D161="",E161=""),"FALTA razón social o nombres",IF(AND(C161&lt;&gt;"",SUMPRODUCT(--($C$5:$C$549=C161))&gt;1),"DOCUMENTO DUPLICADO",IF(AND(B161="DNI",C161&lt;&gt;"",LEN(C161&amp;"")&lt;&gt;8),"DNI debe tener 8 dígitos",IF(AND(B161="RUC",C161&lt;&gt;"",LEN(C161&amp;"")&lt;&gt;11),"RUC debe tener 11 dígitos",IF(AND(N161&lt;&gt;"",SUMPRODUCT(--($N$5:$N$549=N161))&gt;1),"CÓDIGO INTERNO DUPLICADO","OK"))))))</f>
        <v/>
      </c>
      <c r="B161" s="17" t="inlineStr">
        <is>
          <t>SD</t>
        </is>
      </c>
      <c r="C161" s="23" t="inlineStr">
        <is>
          <t>000035</t>
        </is>
      </c>
      <c r="D161" s="17" t="n"/>
      <c r="E161" s="17" t="inlineStr">
        <is>
          <t>JOHEL</t>
        </is>
      </c>
      <c r="F161" s="17" t="n"/>
      <c r="G161" s="17" t="n"/>
      <c r="H161" s="17" t="inlineStr">
        <is>
          <t>Persona Natural</t>
        </is>
      </c>
      <c r="I161" s="17" t="inlineStr">
        <is>
          <t>Cliente</t>
        </is>
      </c>
      <c r="J161" s="17" t="n"/>
      <c r="K161" s="17" t="n"/>
      <c r="L161" s="23" t="n"/>
      <c r="M161" s="17" t="n"/>
      <c r="N161" s="23" t="n"/>
      <c r="O161" s="17" t="n"/>
      <c r="P161" s="28">
        <f>IF(A161&lt;&gt;"OK","","SELECT cli_crear_clientes(p_codigo_interno =&gt; "&amp;IF(TRIM(N161&amp;"")="","NULL","'"&amp;SUBSTITUTE(TRIM(N161),"'","''")&amp;"'")&amp;", p_razon_social =&gt; "&amp;IF(TRIM(D161&amp;"")="","NULL","'"&amp;SUBSTITUTE(TRIM(D161),"'","''")&amp;"'")&amp;", p_id_tipo_cliente =&gt; "&amp;IF(TRIM(I161&amp;"")="","NULL","(SELECT lo.id FROM gen_lista_opciones lo JOIN gen_lista l ON l.id = lo.id_lista WHERE l.nombre = 'TipoCliente' AND upper(lo.nombre) = upper('"&amp;SUBSTITUTE(TRIM(I161),"'","''")&amp;"') AND lo.estado = 1 LIMIT 1)")&amp;", p_id_tipo_persona =&gt; "&amp;IF(TRIM(H161&amp;"")="","NULL","(SELECT lo.id FROM gen_lista_opciones lo JOIN gen_lista l ON l.id = lo.id_lista WHERE l.nombre = 'TipoPersona' AND upper(lo.nombre) = upper('"&amp;SUBSTITUTE(TRIM(H161),"'","''")&amp;"') AND lo.estado = 1 LIMIT 1)")&amp;", p_nombres =&gt; "&amp;IF(TRIM(E161&amp;"")="","NULL","'"&amp;SUBSTITUTE(TRIM(E161),"'","''")&amp;"'")&amp;", p_apellido_paterno =&gt; "&amp;IF(TRIM(F161&amp;"")="","NULL","'"&amp;SUBSTITUTE(TRIM(F161),"'","''")&amp;"'")&amp;", p_apellido_materno =&gt; "&amp;IF(TRIM(G161&amp;"")="","NULL","'"&amp;SUBSTITUTE(TRIM(G161),"'","''")&amp;"'")&amp;", p_id_tipo_documento =&gt; "&amp;IF(TRIM(B161&amp;"")="","NULL","(SELECT lo.id FROM gen_lista_opciones lo JOIN gen_lista l ON l.id = lo.id_lista WHERE l.nombre = 'TipoDocumento' AND upper(lo.nombre) = upper('"&amp;SUBSTITUTE(TRIM(B161),"'","''")&amp;"') AND lo.estado = 1 LIMIT 1)")&amp;", p_numero_documento =&gt; "&amp;IF(TRIM(C161&amp;"")="","NULL","'"&amp;SUBSTITUTE(TRIM(C161),"'","''")&amp;"'")&amp;", p_telefono =&gt; "&amp;IF(TRIM(L161&amp;"")="","NULL","'"&amp;SUBSTITUTE(TRIM(L161),"'","''")&amp;"'")&amp;", p_email =&gt; "&amp;IF(TRIM(M161&amp;"")="","NULL","'"&amp;SUBSTITUTE(TRIM(M161),"'","''")&amp;"'")&amp;", p_observacion =&gt; "&amp;IF(TRIM(O161&amp;"")="","NULL","'"&amp;SUBSTITUTE(TRIM(O161),"'","''")&amp;"'")&amp;", p_direccion =&gt; "&amp;IF(TRIM(J161&amp;"")="","NULL","'"&amp;SUBSTITUTE(TRIM(J161),"'","''")&amp;"'")&amp;", p_referencia =&gt; "&amp;IF(TRIM(K161&amp;"")="","NULL","'"&amp;SUBSTITUTE(TRIM(K161),"'","''")&amp;"'")&amp;") AS resultado_cliente_"&amp;ROW()&amp;";")</f>
        <v/>
      </c>
    </row>
    <row r="162" ht="15.75" customHeight="1" s="64">
      <c r="A162" s="25">
        <f>IF(AND(D162="",E162="",C162=""),"",IF(AND(D162="",E162=""),"FALTA razón social o nombres",IF(AND(C162&lt;&gt;"",SUMPRODUCT(--($C$5:$C$549=C162))&gt;1),"DOCUMENTO DUPLICADO",IF(AND(B162="DNI",C162&lt;&gt;"",LEN(C162&amp;"")&lt;&gt;8),"DNI debe tener 8 dígitos",IF(AND(B162="RUC",C162&lt;&gt;"",LEN(C162&amp;"")&lt;&gt;11),"RUC debe tener 11 dígitos",IF(AND(N162&lt;&gt;"",SUMPRODUCT(--($N$5:$N$549=N162))&gt;1),"CÓDIGO INTERNO DUPLICADO","OK"))))))</f>
        <v/>
      </c>
      <c r="B162" s="17" t="inlineStr">
        <is>
          <t>SD</t>
        </is>
      </c>
      <c r="C162" s="23" t="inlineStr">
        <is>
          <t>000036</t>
        </is>
      </c>
      <c r="D162" s="17" t="n"/>
      <c r="E162" s="17" t="inlineStr">
        <is>
          <t>DEYSI PILAR</t>
        </is>
      </c>
      <c r="F162" s="17" t="n"/>
      <c r="G162" s="17" t="n"/>
      <c r="H162" s="17" t="inlineStr">
        <is>
          <t>Persona Natural</t>
        </is>
      </c>
      <c r="I162" s="17" t="inlineStr">
        <is>
          <t>Cliente</t>
        </is>
      </c>
      <c r="J162" s="17" t="n"/>
      <c r="K162" s="17" t="n"/>
      <c r="L162" s="23" t="n"/>
      <c r="M162" s="17" t="n"/>
      <c r="N162" s="23" t="n"/>
      <c r="O162" s="17" t="n"/>
      <c r="P162" s="28">
        <f>IF(A162&lt;&gt;"OK","","SELECT cli_crear_clientes(p_codigo_interno =&gt; "&amp;IF(TRIM(N162&amp;"")="","NULL","'"&amp;SUBSTITUTE(TRIM(N162),"'","''")&amp;"'")&amp;", p_razon_social =&gt; "&amp;IF(TRIM(D162&amp;"")="","NULL","'"&amp;SUBSTITUTE(TRIM(D162),"'","''")&amp;"'")&amp;", p_id_tipo_cliente =&gt; "&amp;IF(TRIM(I162&amp;"")="","NULL","(SELECT lo.id FROM gen_lista_opciones lo JOIN gen_lista l ON l.id = lo.id_lista WHERE l.nombre = 'TipoCliente' AND upper(lo.nombre) = upper('"&amp;SUBSTITUTE(TRIM(I162),"'","''")&amp;"') AND lo.estado = 1 LIMIT 1)")&amp;", p_id_tipo_persona =&gt; "&amp;IF(TRIM(H162&amp;"")="","NULL","(SELECT lo.id FROM gen_lista_opciones lo JOIN gen_lista l ON l.id = lo.id_lista WHERE l.nombre = 'TipoPersona' AND upper(lo.nombre) = upper('"&amp;SUBSTITUTE(TRIM(H162),"'","''")&amp;"') AND lo.estado = 1 LIMIT 1)")&amp;", p_nombres =&gt; "&amp;IF(TRIM(E162&amp;"")="","NULL","'"&amp;SUBSTITUTE(TRIM(E162),"'","''")&amp;"'")&amp;", p_apellido_paterno =&gt; "&amp;IF(TRIM(F162&amp;"")="","NULL","'"&amp;SUBSTITUTE(TRIM(F162),"'","''")&amp;"'")&amp;", p_apellido_materno =&gt; "&amp;IF(TRIM(G162&amp;"")="","NULL","'"&amp;SUBSTITUTE(TRIM(G162),"'","''")&amp;"'")&amp;", p_id_tipo_documento =&gt; "&amp;IF(TRIM(B162&amp;"")="","NULL","(SELECT lo.id FROM gen_lista_opciones lo JOIN gen_lista l ON l.id = lo.id_lista WHERE l.nombre = 'TipoDocumento' AND upper(lo.nombre) = upper('"&amp;SUBSTITUTE(TRIM(B162),"'","''")&amp;"') AND lo.estado = 1 LIMIT 1)")&amp;", p_numero_documento =&gt; "&amp;IF(TRIM(C162&amp;"")="","NULL","'"&amp;SUBSTITUTE(TRIM(C162),"'","''")&amp;"'")&amp;", p_telefono =&gt; "&amp;IF(TRIM(L162&amp;"")="","NULL","'"&amp;SUBSTITUTE(TRIM(L162),"'","''")&amp;"'")&amp;", p_email =&gt; "&amp;IF(TRIM(M162&amp;"")="","NULL","'"&amp;SUBSTITUTE(TRIM(M162),"'","''")&amp;"'")&amp;", p_observacion =&gt; "&amp;IF(TRIM(O162&amp;"")="","NULL","'"&amp;SUBSTITUTE(TRIM(O162),"'","''")&amp;"'")&amp;", p_direccion =&gt; "&amp;IF(TRIM(J162&amp;"")="","NULL","'"&amp;SUBSTITUTE(TRIM(J162),"'","''")&amp;"'")&amp;", p_referencia =&gt; "&amp;IF(TRIM(K162&amp;"")="","NULL","'"&amp;SUBSTITUTE(TRIM(K162),"'","''")&amp;"'")&amp;") AS resultado_cliente_"&amp;ROW()&amp;";")</f>
        <v/>
      </c>
    </row>
    <row r="163" ht="15.75" customHeight="1" s="64">
      <c r="A163" s="25">
        <f>IF(AND(D163="",E163="",C163=""),"",IF(AND(D163="",E163=""),"FALTA razón social o nombres",IF(AND(C163&lt;&gt;"",SUMPRODUCT(--($C$5:$C$549=C163))&gt;1),"DOCUMENTO DUPLICADO",IF(AND(B163="DNI",C163&lt;&gt;"",LEN(C163&amp;"")&lt;&gt;8),"DNI debe tener 8 dígitos",IF(AND(B163="RUC",C163&lt;&gt;"",LEN(C163&amp;"")&lt;&gt;11),"RUC debe tener 11 dígitos",IF(AND(N163&lt;&gt;"",SUMPRODUCT(--($N$5:$N$549=N163))&gt;1),"CÓDIGO INTERNO DUPLICADO","OK"))))))</f>
        <v/>
      </c>
      <c r="B163" s="17" t="inlineStr">
        <is>
          <t>RUC</t>
        </is>
      </c>
      <c r="C163" s="23" t="inlineStr">
        <is>
          <t>10273953677</t>
        </is>
      </c>
      <c r="D163" s="17" t="inlineStr">
        <is>
          <t>DIAZ PEREZ SANDALIANO</t>
        </is>
      </c>
      <c r="E163" s="17" t="n"/>
      <c r="F163" s="17" t="n"/>
      <c r="G163" s="17" t="n"/>
      <c r="H163" s="17" t="inlineStr">
        <is>
          <t>Persona Jurídica</t>
        </is>
      </c>
      <c r="I163" s="17" t="inlineStr">
        <is>
          <t>Cliente</t>
        </is>
      </c>
      <c r="J163" s="17" t="n"/>
      <c r="K163" s="17" t="n"/>
      <c r="L163" s="23" t="n"/>
      <c r="M163" s="17" t="n"/>
      <c r="N163" s="23" t="n"/>
      <c r="O163" s="17" t="n"/>
      <c r="P163" s="28">
        <f>IF(A163&lt;&gt;"OK","","SELECT cli_crear_clientes(p_codigo_interno =&gt; "&amp;IF(TRIM(N163&amp;"")="","NULL","'"&amp;SUBSTITUTE(TRIM(N163),"'","''")&amp;"'")&amp;", p_razon_social =&gt; "&amp;IF(TRIM(D163&amp;"")="","NULL","'"&amp;SUBSTITUTE(TRIM(D163),"'","''")&amp;"'")&amp;", p_id_tipo_cliente =&gt; "&amp;IF(TRIM(I163&amp;"")="","NULL","(SELECT lo.id FROM gen_lista_opciones lo JOIN gen_lista l ON l.id = lo.id_lista WHERE l.nombre = 'TipoCliente' AND upper(lo.nombre) = upper('"&amp;SUBSTITUTE(TRIM(I163),"'","''")&amp;"') AND lo.estado = 1 LIMIT 1)")&amp;", p_id_tipo_persona =&gt; "&amp;IF(TRIM(H163&amp;"")="","NULL","(SELECT lo.id FROM gen_lista_opciones lo JOIN gen_lista l ON l.id = lo.id_lista WHERE l.nombre = 'TipoPersona' AND upper(lo.nombre) = upper('"&amp;SUBSTITUTE(TRIM(H163),"'","''")&amp;"') AND lo.estado = 1 LIMIT 1)")&amp;", p_nombres =&gt; "&amp;IF(TRIM(E163&amp;"")="","NULL","'"&amp;SUBSTITUTE(TRIM(E163),"'","''")&amp;"'")&amp;", p_apellido_paterno =&gt; "&amp;IF(TRIM(F163&amp;"")="","NULL","'"&amp;SUBSTITUTE(TRIM(F163),"'","''")&amp;"'")&amp;", p_apellido_materno =&gt; "&amp;IF(TRIM(G163&amp;"")="","NULL","'"&amp;SUBSTITUTE(TRIM(G163),"'","''")&amp;"'")&amp;", p_id_tipo_documento =&gt; "&amp;IF(TRIM(B163&amp;"")="","NULL","(SELECT lo.id FROM gen_lista_opciones lo JOIN gen_lista l ON l.id = lo.id_lista WHERE l.nombre = 'TipoDocumento' AND upper(lo.nombre) = upper('"&amp;SUBSTITUTE(TRIM(B163),"'","''")&amp;"') AND lo.estado = 1 LIMIT 1)")&amp;", p_numero_documento =&gt; "&amp;IF(TRIM(C163&amp;"")="","NULL","'"&amp;SUBSTITUTE(TRIM(C163),"'","''")&amp;"'")&amp;", p_telefono =&gt; "&amp;IF(TRIM(L163&amp;"")="","NULL","'"&amp;SUBSTITUTE(TRIM(L163),"'","''")&amp;"'")&amp;", p_email =&gt; "&amp;IF(TRIM(M163&amp;"")="","NULL","'"&amp;SUBSTITUTE(TRIM(M163),"'","''")&amp;"'")&amp;", p_observacion =&gt; "&amp;IF(TRIM(O163&amp;"")="","NULL","'"&amp;SUBSTITUTE(TRIM(O163),"'","''")&amp;"'")&amp;", p_direccion =&gt; "&amp;IF(TRIM(J163&amp;"")="","NULL","'"&amp;SUBSTITUTE(TRIM(J163),"'","''")&amp;"'")&amp;", p_referencia =&gt; "&amp;IF(TRIM(K163&amp;"")="","NULL","'"&amp;SUBSTITUTE(TRIM(K163),"'","''")&amp;"'")&amp;") AS resultado_cliente_"&amp;ROW()&amp;";")</f>
        <v/>
      </c>
    </row>
    <row r="164" ht="15.75" customHeight="1" s="64">
      <c r="A164" s="25">
        <f>IF(AND(D164="",E164="",C164=""),"",IF(AND(D164="",E164=""),"FALTA razón social o nombres",IF(AND(C164&lt;&gt;"",SUMPRODUCT(--($C$5:$C$549=C164))&gt;1),"DOCUMENTO DUPLICADO",IF(AND(B164="DNI",C164&lt;&gt;"",LEN(C164&amp;"")&lt;&gt;8),"DNI debe tener 8 dígitos",IF(AND(B164="RUC",C164&lt;&gt;"",LEN(C164&amp;"")&lt;&gt;11),"RUC debe tener 11 dígitos",IF(AND(N164&lt;&gt;"",SUMPRODUCT(--($N$5:$N$549=N164))&gt;1),"CÓDIGO INTERNO DUPLICADO","OK"))))))</f>
        <v/>
      </c>
      <c r="B164" s="17" t="inlineStr">
        <is>
          <t>RUC</t>
        </is>
      </c>
      <c r="C164" s="23" t="inlineStr">
        <is>
          <t>10429005197</t>
        </is>
      </c>
      <c r="D164" s="17" t="inlineStr">
        <is>
          <t>SAMAME TARRILLO KARINA DEL PILAR</t>
        </is>
      </c>
      <c r="E164" s="17" t="n"/>
      <c r="F164" s="17" t="n"/>
      <c r="G164" s="17" t="n"/>
      <c r="H164" s="17" t="inlineStr">
        <is>
          <t>Persona Jurídica</t>
        </is>
      </c>
      <c r="I164" s="17" t="inlineStr">
        <is>
          <t>Cliente</t>
        </is>
      </c>
      <c r="J164" s="17" t="n"/>
      <c r="K164" s="17" t="n"/>
      <c r="L164" s="23" t="n"/>
      <c r="M164" s="17" t="n"/>
      <c r="N164" s="23" t="n"/>
      <c r="O164" s="17" t="n"/>
      <c r="P164" s="28">
        <f>IF(A164&lt;&gt;"OK","","SELECT cli_crear_clientes(p_codigo_interno =&gt; "&amp;IF(TRIM(N164&amp;"")="","NULL","'"&amp;SUBSTITUTE(TRIM(N164),"'","''")&amp;"'")&amp;", p_razon_social =&gt; "&amp;IF(TRIM(D164&amp;"")="","NULL","'"&amp;SUBSTITUTE(TRIM(D164),"'","''")&amp;"'")&amp;", p_id_tipo_cliente =&gt; "&amp;IF(TRIM(I164&amp;"")="","NULL","(SELECT lo.id FROM gen_lista_opciones lo JOIN gen_lista l ON l.id = lo.id_lista WHERE l.nombre = 'TipoCliente' AND upper(lo.nombre) = upper('"&amp;SUBSTITUTE(TRIM(I164),"'","''")&amp;"') AND lo.estado = 1 LIMIT 1)")&amp;", p_id_tipo_persona =&gt; "&amp;IF(TRIM(H164&amp;"")="","NULL","(SELECT lo.id FROM gen_lista_opciones lo JOIN gen_lista l ON l.id = lo.id_lista WHERE l.nombre = 'TipoPersona' AND upper(lo.nombre) = upper('"&amp;SUBSTITUTE(TRIM(H164),"'","''")&amp;"') AND lo.estado = 1 LIMIT 1)")&amp;", p_nombres =&gt; "&amp;IF(TRIM(E164&amp;"")="","NULL","'"&amp;SUBSTITUTE(TRIM(E164),"'","''")&amp;"'")&amp;", p_apellido_paterno =&gt; "&amp;IF(TRIM(F164&amp;"")="","NULL","'"&amp;SUBSTITUTE(TRIM(F164),"'","''")&amp;"'")&amp;", p_apellido_materno =&gt; "&amp;IF(TRIM(G164&amp;"")="","NULL","'"&amp;SUBSTITUTE(TRIM(G164),"'","''")&amp;"'")&amp;", p_id_tipo_documento =&gt; "&amp;IF(TRIM(B164&amp;"")="","NULL","(SELECT lo.id FROM gen_lista_opciones lo JOIN gen_lista l ON l.id = lo.id_lista WHERE l.nombre = 'TipoDocumento' AND upper(lo.nombre) = upper('"&amp;SUBSTITUTE(TRIM(B164),"'","''")&amp;"') AND lo.estado = 1 LIMIT 1)")&amp;", p_numero_documento =&gt; "&amp;IF(TRIM(C164&amp;"")="","NULL","'"&amp;SUBSTITUTE(TRIM(C164),"'","''")&amp;"'")&amp;", p_telefono =&gt; "&amp;IF(TRIM(L164&amp;"")="","NULL","'"&amp;SUBSTITUTE(TRIM(L164),"'","''")&amp;"'")&amp;", p_email =&gt; "&amp;IF(TRIM(M164&amp;"")="","NULL","'"&amp;SUBSTITUTE(TRIM(M164),"'","''")&amp;"'")&amp;", p_observacion =&gt; "&amp;IF(TRIM(O164&amp;"")="","NULL","'"&amp;SUBSTITUTE(TRIM(O164),"'","''")&amp;"'")&amp;", p_direccion =&gt; "&amp;IF(TRIM(J164&amp;"")="","NULL","'"&amp;SUBSTITUTE(TRIM(J164),"'","''")&amp;"'")&amp;", p_referencia =&gt; "&amp;IF(TRIM(K164&amp;"")="","NULL","'"&amp;SUBSTITUTE(TRIM(K164),"'","''")&amp;"'")&amp;") AS resultado_cliente_"&amp;ROW()&amp;";")</f>
        <v/>
      </c>
    </row>
    <row r="165" ht="15.75" customHeight="1" s="64">
      <c r="A165" s="25">
        <f>IF(AND(D165="",E165="",C165=""),"",IF(AND(D165="",E165=""),"FALTA razón social o nombres",IF(AND(C165&lt;&gt;"",SUMPRODUCT(--($C$5:$C$549=C165))&gt;1),"DOCUMENTO DUPLICADO",IF(AND(B165="DNI",C165&lt;&gt;"",LEN(C165&amp;"")&lt;&gt;8),"DNI debe tener 8 dígitos",IF(AND(B165="RUC",C165&lt;&gt;"",LEN(C165&amp;"")&lt;&gt;11),"RUC debe tener 11 dígitos",IF(AND(N165&lt;&gt;"",SUMPRODUCT(--($N$5:$N$549=N165))&gt;1),"CÓDIGO INTERNO DUPLICADO","OK"))))))</f>
        <v/>
      </c>
      <c r="B165" s="17" t="inlineStr">
        <is>
          <t>SD</t>
        </is>
      </c>
      <c r="C165" s="23" t="inlineStr">
        <is>
          <t>000037</t>
        </is>
      </c>
      <c r="D165" s="17" t="n"/>
      <c r="E165" s="17" t="inlineStr">
        <is>
          <t>AGUSTIN</t>
        </is>
      </c>
      <c r="F165" s="17" t="inlineStr">
        <is>
          <t xml:space="preserve">MAGO </t>
        </is>
      </c>
      <c r="G165" s="17" t="n"/>
      <c r="H165" s="17" t="inlineStr">
        <is>
          <t>Persona Natural</t>
        </is>
      </c>
      <c r="I165" s="17" t="inlineStr">
        <is>
          <t>Cliente</t>
        </is>
      </c>
      <c r="J165" s="17" t="n"/>
      <c r="K165" s="17" t="n"/>
      <c r="L165" s="23" t="n"/>
      <c r="M165" s="17" t="n"/>
      <c r="N165" s="23" t="n"/>
      <c r="O165" s="17" t="n"/>
      <c r="P165" s="28">
        <f>IF(A165&lt;&gt;"OK","","SELECT cli_crear_clientes(p_codigo_interno =&gt; "&amp;IF(TRIM(N165&amp;"")="","NULL","'"&amp;SUBSTITUTE(TRIM(N165),"'","''")&amp;"'")&amp;", p_razon_social =&gt; "&amp;IF(TRIM(D165&amp;"")="","NULL","'"&amp;SUBSTITUTE(TRIM(D165),"'","''")&amp;"'")&amp;", p_id_tipo_cliente =&gt; "&amp;IF(TRIM(I165&amp;"")="","NULL","(SELECT lo.id FROM gen_lista_opciones lo JOIN gen_lista l ON l.id = lo.id_lista WHERE l.nombre = 'TipoCliente' AND upper(lo.nombre) = upper('"&amp;SUBSTITUTE(TRIM(I165),"'","''")&amp;"') AND lo.estado = 1 LIMIT 1)")&amp;", p_id_tipo_persona =&gt; "&amp;IF(TRIM(H165&amp;"")="","NULL","(SELECT lo.id FROM gen_lista_opciones lo JOIN gen_lista l ON l.id = lo.id_lista WHERE l.nombre = 'TipoPersona' AND upper(lo.nombre) = upper('"&amp;SUBSTITUTE(TRIM(H165),"'","''")&amp;"') AND lo.estado = 1 LIMIT 1)")&amp;", p_nombres =&gt; "&amp;IF(TRIM(E165&amp;"")="","NULL","'"&amp;SUBSTITUTE(TRIM(E165),"'","''")&amp;"'")&amp;", p_apellido_paterno =&gt; "&amp;IF(TRIM(F165&amp;"")="","NULL","'"&amp;SUBSTITUTE(TRIM(F165),"'","''")&amp;"'")&amp;", p_apellido_materno =&gt; "&amp;IF(TRIM(G165&amp;"")="","NULL","'"&amp;SUBSTITUTE(TRIM(G165),"'","''")&amp;"'")&amp;", p_id_tipo_documento =&gt; "&amp;IF(TRIM(B165&amp;"")="","NULL","(SELECT lo.id FROM gen_lista_opciones lo JOIN gen_lista l ON l.id = lo.id_lista WHERE l.nombre = 'TipoDocumento' AND upper(lo.nombre) = upper('"&amp;SUBSTITUTE(TRIM(B165),"'","''")&amp;"') AND lo.estado = 1 LIMIT 1)")&amp;", p_numero_documento =&gt; "&amp;IF(TRIM(C165&amp;"")="","NULL","'"&amp;SUBSTITUTE(TRIM(C165),"'","''")&amp;"'")&amp;", p_telefono =&gt; "&amp;IF(TRIM(L165&amp;"")="","NULL","'"&amp;SUBSTITUTE(TRIM(L165),"'","''")&amp;"'")&amp;", p_email =&gt; "&amp;IF(TRIM(M165&amp;"")="","NULL","'"&amp;SUBSTITUTE(TRIM(M165),"'","''")&amp;"'")&amp;", p_observacion =&gt; "&amp;IF(TRIM(O165&amp;"")="","NULL","'"&amp;SUBSTITUTE(TRIM(O165),"'","''")&amp;"'")&amp;", p_direccion =&gt; "&amp;IF(TRIM(J165&amp;"")="","NULL","'"&amp;SUBSTITUTE(TRIM(J165),"'","''")&amp;"'")&amp;", p_referencia =&gt; "&amp;IF(TRIM(K165&amp;"")="","NULL","'"&amp;SUBSTITUTE(TRIM(K165),"'","''")&amp;"'")&amp;") AS resultado_cliente_"&amp;ROW()&amp;";")</f>
        <v/>
      </c>
    </row>
    <row r="166" ht="15.75" customHeight="1" s="64">
      <c r="A166" s="25">
        <f>IF(AND(D166="",E166="",C166=""),"",IF(AND(D166="",E166=""),"FALTA razón social o nombres",IF(AND(C166&lt;&gt;"",SUMPRODUCT(--($C$5:$C$549=C166))&gt;1),"DOCUMENTO DUPLICADO",IF(AND(B166="DNI",C166&lt;&gt;"",LEN(C166&amp;"")&lt;&gt;8),"DNI debe tener 8 dígitos",IF(AND(B166="RUC",C166&lt;&gt;"",LEN(C166&amp;"")&lt;&gt;11),"RUC debe tener 11 dígitos",IF(AND(N166&lt;&gt;"",SUMPRODUCT(--($N$5:$N$549=N166))&gt;1),"CÓDIGO INTERNO DUPLICADO","OK"))))))</f>
        <v/>
      </c>
      <c r="B166" s="17" t="inlineStr">
        <is>
          <t>DNI</t>
        </is>
      </c>
      <c r="C166" s="23" t="inlineStr">
        <is>
          <t>47872576</t>
        </is>
      </c>
      <c r="D166" s="17" t="n"/>
      <c r="E166" s="17" t="inlineStr">
        <is>
          <t>JHON DEYVI</t>
        </is>
      </c>
      <c r="F166" s="17" t="inlineStr">
        <is>
          <t xml:space="preserve">CASTELLANOS </t>
        </is>
      </c>
      <c r="G166" s="17" t="inlineStr">
        <is>
          <t xml:space="preserve">CORDOVA </t>
        </is>
      </c>
      <c r="H166" s="17" t="inlineStr">
        <is>
          <t>Persona Natural</t>
        </is>
      </c>
      <c r="I166" s="17" t="inlineStr">
        <is>
          <t>Cliente</t>
        </is>
      </c>
      <c r="J166" s="17" t="n"/>
      <c r="K166" s="17" t="n"/>
      <c r="L166" s="23" t="n"/>
      <c r="M166" s="17" t="n"/>
      <c r="N166" s="23" t="n"/>
      <c r="O166" s="17" t="n"/>
      <c r="P166" s="28">
        <f>IF(A166&lt;&gt;"OK","","SELECT cli_crear_clientes(p_codigo_interno =&gt; "&amp;IF(TRIM(N166&amp;"")="","NULL","'"&amp;SUBSTITUTE(TRIM(N166),"'","''")&amp;"'")&amp;", p_razon_social =&gt; "&amp;IF(TRIM(D166&amp;"")="","NULL","'"&amp;SUBSTITUTE(TRIM(D166),"'","''")&amp;"'")&amp;", p_id_tipo_cliente =&gt; "&amp;IF(TRIM(I166&amp;"")="","NULL","(SELECT lo.id FROM gen_lista_opciones lo JOIN gen_lista l ON l.id = lo.id_lista WHERE l.nombre = 'TipoCliente' AND upper(lo.nombre) = upper('"&amp;SUBSTITUTE(TRIM(I166),"'","''")&amp;"') AND lo.estado = 1 LIMIT 1)")&amp;", p_id_tipo_persona =&gt; "&amp;IF(TRIM(H166&amp;"")="","NULL","(SELECT lo.id FROM gen_lista_opciones lo JOIN gen_lista l ON l.id = lo.id_lista WHERE l.nombre = 'TipoPersona' AND upper(lo.nombre) = upper('"&amp;SUBSTITUTE(TRIM(H166),"'","''")&amp;"') AND lo.estado = 1 LIMIT 1)")&amp;", p_nombres =&gt; "&amp;IF(TRIM(E166&amp;"")="","NULL","'"&amp;SUBSTITUTE(TRIM(E166),"'","''")&amp;"'")&amp;", p_apellido_paterno =&gt; "&amp;IF(TRIM(F166&amp;"")="","NULL","'"&amp;SUBSTITUTE(TRIM(F166),"'","''")&amp;"'")&amp;", p_apellido_materno =&gt; "&amp;IF(TRIM(G166&amp;"")="","NULL","'"&amp;SUBSTITUTE(TRIM(G166),"'","''")&amp;"'")&amp;", p_id_tipo_documento =&gt; "&amp;IF(TRIM(B166&amp;"")="","NULL","(SELECT lo.id FROM gen_lista_opciones lo JOIN gen_lista l ON l.id = lo.id_lista WHERE l.nombre = 'TipoDocumento' AND upper(lo.nombre) = upper('"&amp;SUBSTITUTE(TRIM(B166),"'","''")&amp;"') AND lo.estado = 1 LIMIT 1)")&amp;", p_numero_documento =&gt; "&amp;IF(TRIM(C166&amp;"")="","NULL","'"&amp;SUBSTITUTE(TRIM(C166),"'","''")&amp;"'")&amp;", p_telefono =&gt; "&amp;IF(TRIM(L166&amp;"")="","NULL","'"&amp;SUBSTITUTE(TRIM(L166),"'","''")&amp;"'")&amp;", p_email =&gt; "&amp;IF(TRIM(M166&amp;"")="","NULL","'"&amp;SUBSTITUTE(TRIM(M166),"'","''")&amp;"'")&amp;", p_observacion =&gt; "&amp;IF(TRIM(O166&amp;"")="","NULL","'"&amp;SUBSTITUTE(TRIM(O166),"'","''")&amp;"'")&amp;", p_direccion =&gt; "&amp;IF(TRIM(J166&amp;"")="","NULL","'"&amp;SUBSTITUTE(TRIM(J166),"'","''")&amp;"'")&amp;", p_referencia =&gt; "&amp;IF(TRIM(K166&amp;"")="","NULL","'"&amp;SUBSTITUTE(TRIM(K166),"'","''")&amp;"'")&amp;") AS resultado_cliente_"&amp;ROW()&amp;";")</f>
        <v/>
      </c>
    </row>
    <row r="167" ht="15.75" customHeight="1" s="64">
      <c r="A167" s="25">
        <f>IF(AND(D167="",E167="",C167=""),"",IF(AND(D167="",E167=""),"FALTA razón social o nombres",IF(AND(C167&lt;&gt;"",SUMPRODUCT(--($C$5:$C$549=C167))&gt;1),"DOCUMENTO DUPLICADO",IF(AND(B167="DNI",C167&lt;&gt;"",LEN(C167&amp;"")&lt;&gt;8),"DNI debe tener 8 dígitos",IF(AND(B167="RUC",C167&lt;&gt;"",LEN(C167&amp;"")&lt;&gt;11),"RUC debe tener 11 dígitos",IF(AND(N167&lt;&gt;"",SUMPRODUCT(--($N$5:$N$549=N167))&gt;1),"CÓDIGO INTERNO DUPLICADO","OK"))))))</f>
        <v/>
      </c>
      <c r="B167" s="17" t="inlineStr">
        <is>
          <t>RUC</t>
        </is>
      </c>
      <c r="C167" s="23" t="inlineStr">
        <is>
          <t>10280648448</t>
        </is>
      </c>
      <c r="D167" s="17" t="inlineStr">
        <is>
          <t>MOZA PEREZ YODALIA CLARA</t>
        </is>
      </c>
      <c r="E167" s="17" t="n"/>
      <c r="F167" s="17" t="n"/>
      <c r="G167" s="17" t="n"/>
      <c r="H167" s="17" t="inlineStr">
        <is>
          <t>Persona Jurídica</t>
        </is>
      </c>
      <c r="I167" s="17" t="inlineStr">
        <is>
          <t>Cliente</t>
        </is>
      </c>
      <c r="J167" s="17" t="n"/>
      <c r="K167" s="17" t="n"/>
      <c r="L167" s="23" t="n"/>
      <c r="M167" s="17" t="n"/>
      <c r="N167" s="23" t="n"/>
      <c r="O167" s="17" t="n"/>
      <c r="P167" s="28">
        <f>IF(A167&lt;&gt;"OK","","SELECT cli_crear_clientes(p_codigo_interno =&gt; "&amp;IF(TRIM(N167&amp;"")="","NULL","'"&amp;SUBSTITUTE(TRIM(N167),"'","''")&amp;"'")&amp;", p_razon_social =&gt; "&amp;IF(TRIM(D167&amp;"")="","NULL","'"&amp;SUBSTITUTE(TRIM(D167),"'","''")&amp;"'")&amp;", p_id_tipo_cliente =&gt; "&amp;IF(TRIM(I167&amp;"")="","NULL","(SELECT lo.id FROM gen_lista_opciones lo JOIN gen_lista l ON l.id = lo.id_lista WHERE l.nombre = 'TipoCliente' AND upper(lo.nombre) = upper('"&amp;SUBSTITUTE(TRIM(I167),"'","''")&amp;"') AND lo.estado = 1 LIMIT 1)")&amp;", p_id_tipo_persona =&gt; "&amp;IF(TRIM(H167&amp;"")="","NULL","(SELECT lo.id FROM gen_lista_opciones lo JOIN gen_lista l ON l.id = lo.id_lista WHERE l.nombre = 'TipoPersona' AND upper(lo.nombre) = upper('"&amp;SUBSTITUTE(TRIM(H167),"'","''")&amp;"') AND lo.estado = 1 LIMIT 1)")&amp;", p_nombres =&gt; "&amp;IF(TRIM(E167&amp;"")="","NULL","'"&amp;SUBSTITUTE(TRIM(E167),"'","''")&amp;"'")&amp;", p_apellido_paterno =&gt; "&amp;IF(TRIM(F167&amp;"")="","NULL","'"&amp;SUBSTITUTE(TRIM(F167),"'","''")&amp;"'")&amp;", p_apellido_materno =&gt; "&amp;IF(TRIM(G167&amp;"")="","NULL","'"&amp;SUBSTITUTE(TRIM(G167),"'","''")&amp;"'")&amp;", p_id_tipo_documento =&gt; "&amp;IF(TRIM(B167&amp;"")="","NULL","(SELECT lo.id FROM gen_lista_opciones lo JOIN gen_lista l ON l.id = lo.id_lista WHERE l.nombre = 'TipoDocumento' AND upper(lo.nombre) = upper('"&amp;SUBSTITUTE(TRIM(B167),"'","''")&amp;"') AND lo.estado = 1 LIMIT 1)")&amp;", p_numero_documento =&gt; "&amp;IF(TRIM(C167&amp;"")="","NULL","'"&amp;SUBSTITUTE(TRIM(C167),"'","''")&amp;"'")&amp;", p_telefono =&gt; "&amp;IF(TRIM(L167&amp;"")="","NULL","'"&amp;SUBSTITUTE(TRIM(L167),"'","''")&amp;"'")&amp;", p_email =&gt; "&amp;IF(TRIM(M167&amp;"")="","NULL","'"&amp;SUBSTITUTE(TRIM(M167),"'","''")&amp;"'")&amp;", p_observacion =&gt; "&amp;IF(TRIM(O167&amp;"")="","NULL","'"&amp;SUBSTITUTE(TRIM(O167),"'","''")&amp;"'")&amp;", p_direccion =&gt; "&amp;IF(TRIM(J167&amp;"")="","NULL","'"&amp;SUBSTITUTE(TRIM(J167),"'","''")&amp;"'")&amp;", p_referencia =&gt; "&amp;IF(TRIM(K167&amp;"")="","NULL","'"&amp;SUBSTITUTE(TRIM(K167),"'","''")&amp;"'")&amp;") AS resultado_cliente_"&amp;ROW()&amp;";")</f>
        <v/>
      </c>
    </row>
    <row r="168" ht="15.75" customHeight="1" s="64">
      <c r="A168" s="25">
        <f>IF(AND(D168="",E168="",C168=""),"",IF(AND(D168="",E168=""),"FALTA razón social o nombres",IF(AND(C168&lt;&gt;"",SUMPRODUCT(--($C$5:$C$549=C168))&gt;1),"DOCUMENTO DUPLICADO",IF(AND(B168="DNI",C168&lt;&gt;"",LEN(C168&amp;"")&lt;&gt;8),"DNI debe tener 8 dígitos",IF(AND(B168="RUC",C168&lt;&gt;"",LEN(C168&amp;"")&lt;&gt;11),"RUC debe tener 11 dígitos",IF(AND(N168&lt;&gt;"",SUMPRODUCT(--($N$5:$N$549=N168))&gt;1),"CÓDIGO INTERNO DUPLICADO","OK"))))))</f>
        <v/>
      </c>
      <c r="B168" s="17" t="inlineStr">
        <is>
          <t>RUC</t>
        </is>
      </c>
      <c r="C168" s="23" t="inlineStr">
        <is>
          <t>10176081967</t>
        </is>
      </c>
      <c r="D168" s="17" t="inlineStr">
        <is>
          <t>SANTISTEBAN BALDERA PEDRO</t>
        </is>
      </c>
      <c r="E168" s="17" t="n"/>
      <c r="F168" s="17" t="n"/>
      <c r="G168" s="17" t="n"/>
      <c r="H168" s="17" t="inlineStr">
        <is>
          <t>Persona Jurídica</t>
        </is>
      </c>
      <c r="I168" s="17" t="inlineStr">
        <is>
          <t>Cliente</t>
        </is>
      </c>
      <c r="J168" s="17" t="n"/>
      <c r="K168" s="17" t="n"/>
      <c r="L168" s="23" t="n"/>
      <c r="M168" s="17" t="n"/>
      <c r="N168" s="23" t="n"/>
      <c r="O168" s="17" t="n"/>
      <c r="P168" s="28">
        <f>IF(A168&lt;&gt;"OK","","SELECT cli_crear_clientes(p_codigo_interno =&gt; "&amp;IF(TRIM(N168&amp;"")="","NULL","'"&amp;SUBSTITUTE(TRIM(N168),"'","''")&amp;"'")&amp;", p_razon_social =&gt; "&amp;IF(TRIM(D168&amp;"")="","NULL","'"&amp;SUBSTITUTE(TRIM(D168),"'","''")&amp;"'")&amp;", p_id_tipo_cliente =&gt; "&amp;IF(TRIM(I168&amp;"")="","NULL","(SELECT lo.id FROM gen_lista_opciones lo JOIN gen_lista l ON l.id = lo.id_lista WHERE l.nombre = 'TipoCliente' AND upper(lo.nombre) = upper('"&amp;SUBSTITUTE(TRIM(I168),"'","''")&amp;"') AND lo.estado = 1 LIMIT 1)")&amp;", p_id_tipo_persona =&gt; "&amp;IF(TRIM(H168&amp;"")="","NULL","(SELECT lo.id FROM gen_lista_opciones lo JOIN gen_lista l ON l.id = lo.id_lista WHERE l.nombre = 'TipoPersona' AND upper(lo.nombre) = upper('"&amp;SUBSTITUTE(TRIM(H168),"'","''")&amp;"') AND lo.estado = 1 LIMIT 1)")&amp;", p_nombres =&gt; "&amp;IF(TRIM(E168&amp;"")="","NULL","'"&amp;SUBSTITUTE(TRIM(E168),"'","''")&amp;"'")&amp;", p_apellido_paterno =&gt; "&amp;IF(TRIM(F168&amp;"")="","NULL","'"&amp;SUBSTITUTE(TRIM(F168),"'","''")&amp;"'")&amp;", p_apellido_materno =&gt; "&amp;IF(TRIM(G168&amp;"")="","NULL","'"&amp;SUBSTITUTE(TRIM(G168),"'","''")&amp;"'")&amp;", p_id_tipo_documento =&gt; "&amp;IF(TRIM(B168&amp;"")="","NULL","(SELECT lo.id FROM gen_lista_opciones lo JOIN gen_lista l ON l.id = lo.id_lista WHERE l.nombre = 'TipoDocumento' AND upper(lo.nombre) = upper('"&amp;SUBSTITUTE(TRIM(B168),"'","''")&amp;"') AND lo.estado = 1 LIMIT 1)")&amp;", p_numero_documento =&gt; "&amp;IF(TRIM(C168&amp;"")="","NULL","'"&amp;SUBSTITUTE(TRIM(C168),"'","''")&amp;"'")&amp;", p_telefono =&gt; "&amp;IF(TRIM(L168&amp;"")="","NULL","'"&amp;SUBSTITUTE(TRIM(L168),"'","''")&amp;"'")&amp;", p_email =&gt; "&amp;IF(TRIM(M168&amp;"")="","NULL","'"&amp;SUBSTITUTE(TRIM(M168),"'","''")&amp;"'")&amp;", p_observacion =&gt; "&amp;IF(TRIM(O168&amp;"")="","NULL","'"&amp;SUBSTITUTE(TRIM(O168),"'","''")&amp;"'")&amp;", p_direccion =&gt; "&amp;IF(TRIM(J168&amp;"")="","NULL","'"&amp;SUBSTITUTE(TRIM(J168),"'","''")&amp;"'")&amp;", p_referencia =&gt; "&amp;IF(TRIM(K168&amp;"")="","NULL","'"&amp;SUBSTITUTE(TRIM(K168),"'","''")&amp;"'")&amp;") AS resultado_cliente_"&amp;ROW()&amp;";")</f>
        <v/>
      </c>
    </row>
    <row r="169" ht="15.75" customHeight="1" s="64">
      <c r="A169" s="25">
        <f>IF(AND(D169="",E169="",C169=""),"",IF(AND(D169="",E169=""),"FALTA razón social o nombres",IF(AND(C169&lt;&gt;"",SUMPRODUCT(--($C$5:$C$549=C169))&gt;1),"DOCUMENTO DUPLICADO",IF(AND(B169="DNI",C169&lt;&gt;"",LEN(C169&amp;"")&lt;&gt;8),"DNI debe tener 8 dígitos",IF(AND(B169="RUC",C169&lt;&gt;"",LEN(C169&amp;"")&lt;&gt;11),"RUC debe tener 11 dígitos",IF(AND(N169&lt;&gt;"",SUMPRODUCT(--($N$5:$N$549=N169))&gt;1),"CÓDIGO INTERNO DUPLICADO","OK"))))))</f>
        <v/>
      </c>
      <c r="B169" s="17" t="inlineStr">
        <is>
          <t>SD</t>
        </is>
      </c>
      <c r="C169" s="23" t="inlineStr">
        <is>
          <t>000038</t>
        </is>
      </c>
      <c r="D169" s="17" t="n"/>
      <c r="E169" s="17" t="inlineStr">
        <is>
          <t>JOSE</t>
        </is>
      </c>
      <c r="F169" s="17" t="inlineStr">
        <is>
          <t xml:space="preserve">SANTOS </t>
        </is>
      </c>
      <c r="G169" s="17" t="inlineStr">
        <is>
          <t xml:space="preserve">RINGA </t>
        </is>
      </c>
      <c r="H169" s="17" t="inlineStr">
        <is>
          <t>Persona Natural</t>
        </is>
      </c>
      <c r="I169" s="17" t="inlineStr">
        <is>
          <t>Cliente</t>
        </is>
      </c>
      <c r="J169" s="17" t="n"/>
      <c r="K169" s="17" t="n"/>
      <c r="L169" s="23" t="n"/>
      <c r="M169" s="17" t="n"/>
      <c r="N169" s="23" t="n"/>
      <c r="O169" s="17" t="n"/>
      <c r="P169" s="28">
        <f>IF(A169&lt;&gt;"OK","","SELECT cli_crear_clientes(p_codigo_interno =&gt; "&amp;IF(TRIM(N169&amp;"")="","NULL","'"&amp;SUBSTITUTE(TRIM(N169),"'","''")&amp;"'")&amp;", p_razon_social =&gt; "&amp;IF(TRIM(D169&amp;"")="","NULL","'"&amp;SUBSTITUTE(TRIM(D169),"'","''")&amp;"'")&amp;", p_id_tipo_cliente =&gt; "&amp;IF(TRIM(I169&amp;"")="","NULL","(SELECT lo.id FROM gen_lista_opciones lo JOIN gen_lista l ON l.id = lo.id_lista WHERE l.nombre = 'TipoCliente' AND upper(lo.nombre) = upper('"&amp;SUBSTITUTE(TRIM(I169),"'","''")&amp;"') AND lo.estado = 1 LIMIT 1)")&amp;", p_id_tipo_persona =&gt; "&amp;IF(TRIM(H169&amp;"")="","NULL","(SELECT lo.id FROM gen_lista_opciones lo JOIN gen_lista l ON l.id = lo.id_lista WHERE l.nombre = 'TipoPersona' AND upper(lo.nombre) = upper('"&amp;SUBSTITUTE(TRIM(H169),"'","''")&amp;"') AND lo.estado = 1 LIMIT 1)")&amp;", p_nombres =&gt; "&amp;IF(TRIM(E169&amp;"")="","NULL","'"&amp;SUBSTITUTE(TRIM(E169),"'","''")&amp;"'")&amp;", p_apellido_paterno =&gt; "&amp;IF(TRIM(F169&amp;"")="","NULL","'"&amp;SUBSTITUTE(TRIM(F169),"'","''")&amp;"'")&amp;", p_apellido_materno =&gt; "&amp;IF(TRIM(G169&amp;"")="","NULL","'"&amp;SUBSTITUTE(TRIM(G169),"'","''")&amp;"'")&amp;", p_id_tipo_documento =&gt; "&amp;IF(TRIM(B169&amp;"")="","NULL","(SELECT lo.id FROM gen_lista_opciones lo JOIN gen_lista l ON l.id = lo.id_lista WHERE l.nombre = 'TipoDocumento' AND upper(lo.nombre) = upper('"&amp;SUBSTITUTE(TRIM(B169),"'","''")&amp;"') AND lo.estado = 1 LIMIT 1)")&amp;", p_numero_documento =&gt; "&amp;IF(TRIM(C169&amp;"")="","NULL","'"&amp;SUBSTITUTE(TRIM(C169),"'","''")&amp;"'")&amp;", p_telefono =&gt; "&amp;IF(TRIM(L169&amp;"")="","NULL","'"&amp;SUBSTITUTE(TRIM(L169),"'","''")&amp;"'")&amp;", p_email =&gt; "&amp;IF(TRIM(M169&amp;"")="","NULL","'"&amp;SUBSTITUTE(TRIM(M169),"'","''")&amp;"'")&amp;", p_observacion =&gt; "&amp;IF(TRIM(O169&amp;"")="","NULL","'"&amp;SUBSTITUTE(TRIM(O169),"'","''")&amp;"'")&amp;", p_direccion =&gt; "&amp;IF(TRIM(J169&amp;"")="","NULL","'"&amp;SUBSTITUTE(TRIM(J169),"'","''")&amp;"'")&amp;", p_referencia =&gt; "&amp;IF(TRIM(K169&amp;"")="","NULL","'"&amp;SUBSTITUTE(TRIM(K169),"'","''")&amp;"'")&amp;") AS resultado_cliente_"&amp;ROW()&amp;";")</f>
        <v/>
      </c>
    </row>
    <row r="170" ht="15.75" customHeight="1" s="64">
      <c r="A170" s="25">
        <f>IF(AND(D170="",E170="",C170=""),"",IF(AND(D170="",E170=""),"FALTA razón social o nombres",IF(AND(C170&lt;&gt;"",SUMPRODUCT(--($C$5:$C$549=C170))&gt;1),"DOCUMENTO DUPLICADO",IF(AND(B170="DNI",C170&lt;&gt;"",LEN(C170&amp;"")&lt;&gt;8),"DNI debe tener 8 dígitos",IF(AND(B170="RUC",C170&lt;&gt;"",LEN(C170&amp;"")&lt;&gt;11),"RUC debe tener 11 dígitos",IF(AND(N170&lt;&gt;"",SUMPRODUCT(--($N$5:$N$549=N170))&gt;1),"CÓDIGO INTERNO DUPLICADO","OK"))))))</f>
        <v/>
      </c>
      <c r="B170" s="17" t="inlineStr">
        <is>
          <t>SD</t>
        </is>
      </c>
      <c r="C170" s="23" t="inlineStr">
        <is>
          <t>000039</t>
        </is>
      </c>
      <c r="D170" s="17" t="n"/>
      <c r="E170" s="17" t="inlineStr">
        <is>
          <t>SR CLAUDIO</t>
        </is>
      </c>
      <c r="F170" s="17" t="n"/>
      <c r="G170" s="17" t="n"/>
      <c r="H170" s="17" t="inlineStr">
        <is>
          <t>Persona Natural</t>
        </is>
      </c>
      <c r="I170" s="17" t="inlineStr">
        <is>
          <t>Cliente</t>
        </is>
      </c>
      <c r="J170" s="17" t="n"/>
      <c r="K170" s="17" t="n"/>
      <c r="L170" s="23" t="n"/>
      <c r="M170" s="17" t="n"/>
      <c r="N170" s="23" t="n"/>
      <c r="O170" s="17" t="n"/>
      <c r="P170" s="28">
        <f>IF(A170&lt;&gt;"OK","","SELECT cli_crear_clientes(p_codigo_interno =&gt; "&amp;IF(TRIM(N170&amp;"")="","NULL","'"&amp;SUBSTITUTE(TRIM(N170),"'","''")&amp;"'")&amp;", p_razon_social =&gt; "&amp;IF(TRIM(D170&amp;"")="","NULL","'"&amp;SUBSTITUTE(TRIM(D170),"'","''")&amp;"'")&amp;", p_id_tipo_cliente =&gt; "&amp;IF(TRIM(I170&amp;"")="","NULL","(SELECT lo.id FROM gen_lista_opciones lo JOIN gen_lista l ON l.id = lo.id_lista WHERE l.nombre = 'TipoCliente' AND upper(lo.nombre) = upper('"&amp;SUBSTITUTE(TRIM(I170),"'","''")&amp;"') AND lo.estado = 1 LIMIT 1)")&amp;", p_id_tipo_persona =&gt; "&amp;IF(TRIM(H170&amp;"")="","NULL","(SELECT lo.id FROM gen_lista_opciones lo JOIN gen_lista l ON l.id = lo.id_lista WHERE l.nombre = 'TipoPersona' AND upper(lo.nombre) = upper('"&amp;SUBSTITUTE(TRIM(H170),"'","''")&amp;"') AND lo.estado = 1 LIMIT 1)")&amp;", p_nombres =&gt; "&amp;IF(TRIM(E170&amp;"")="","NULL","'"&amp;SUBSTITUTE(TRIM(E170),"'","''")&amp;"'")&amp;", p_apellido_paterno =&gt; "&amp;IF(TRIM(F170&amp;"")="","NULL","'"&amp;SUBSTITUTE(TRIM(F170),"'","''")&amp;"'")&amp;", p_apellido_materno =&gt; "&amp;IF(TRIM(G170&amp;"")="","NULL","'"&amp;SUBSTITUTE(TRIM(G170),"'","''")&amp;"'")&amp;", p_id_tipo_documento =&gt; "&amp;IF(TRIM(B170&amp;"")="","NULL","(SELECT lo.id FROM gen_lista_opciones lo JOIN gen_lista l ON l.id = lo.id_lista WHERE l.nombre = 'TipoDocumento' AND upper(lo.nombre) = upper('"&amp;SUBSTITUTE(TRIM(B170),"'","''")&amp;"') AND lo.estado = 1 LIMIT 1)")&amp;", p_numero_documento =&gt; "&amp;IF(TRIM(C170&amp;"")="","NULL","'"&amp;SUBSTITUTE(TRIM(C170),"'","''")&amp;"'")&amp;", p_telefono =&gt; "&amp;IF(TRIM(L170&amp;"")="","NULL","'"&amp;SUBSTITUTE(TRIM(L170),"'","''")&amp;"'")&amp;", p_email =&gt; "&amp;IF(TRIM(M170&amp;"")="","NULL","'"&amp;SUBSTITUTE(TRIM(M170),"'","''")&amp;"'")&amp;", p_observacion =&gt; "&amp;IF(TRIM(O170&amp;"")="","NULL","'"&amp;SUBSTITUTE(TRIM(O170),"'","''")&amp;"'")&amp;", p_direccion =&gt; "&amp;IF(TRIM(J170&amp;"")="","NULL","'"&amp;SUBSTITUTE(TRIM(J170),"'","''")&amp;"'")&amp;", p_referencia =&gt; "&amp;IF(TRIM(K170&amp;"")="","NULL","'"&amp;SUBSTITUTE(TRIM(K170),"'","''")&amp;"'")&amp;") AS resultado_cliente_"&amp;ROW()&amp;";")</f>
        <v/>
      </c>
    </row>
    <row r="171" ht="15.75" customHeight="1" s="64">
      <c r="A171" s="25">
        <f>IF(AND(D171="",E171="",C171=""),"",IF(AND(D171="",E171=""),"FALTA razón social o nombres",IF(AND(C171&lt;&gt;"",SUMPRODUCT(--($C$5:$C$549=C171))&gt;1),"DOCUMENTO DUPLICADO",IF(AND(B171="DNI",C171&lt;&gt;"",LEN(C171&amp;"")&lt;&gt;8),"DNI debe tener 8 dígitos",IF(AND(B171="RUC",C171&lt;&gt;"",LEN(C171&amp;"")&lt;&gt;11),"RUC debe tener 11 dígitos",IF(AND(N171&lt;&gt;"",SUMPRODUCT(--($N$5:$N$549=N171))&gt;1),"CÓDIGO INTERNO DUPLICADO","OK"))))))</f>
        <v/>
      </c>
      <c r="B171" s="17" t="inlineStr">
        <is>
          <t>RUC</t>
        </is>
      </c>
      <c r="C171" s="23" t="inlineStr">
        <is>
          <t>10074562162</t>
        </is>
      </c>
      <c r="D171" s="17" t="inlineStr">
        <is>
          <t>UCULMANA LOPEZ ANA BEATRIZ</t>
        </is>
      </c>
      <c r="E171" s="17" t="n"/>
      <c r="F171" s="17" t="n"/>
      <c r="G171" s="17" t="n"/>
      <c r="H171" s="17" t="inlineStr">
        <is>
          <t>Persona Jurídica</t>
        </is>
      </c>
      <c r="I171" s="17" t="inlineStr">
        <is>
          <t>Cliente</t>
        </is>
      </c>
      <c r="J171" s="17" t="n"/>
      <c r="K171" s="17" t="n"/>
      <c r="L171" s="23" t="n"/>
      <c r="M171" s="17" t="n"/>
      <c r="N171" s="23" t="n"/>
      <c r="O171" s="17" t="n"/>
      <c r="P171" s="28">
        <f>IF(A171&lt;&gt;"OK","","SELECT cli_crear_clientes(p_codigo_interno =&gt; "&amp;IF(TRIM(N171&amp;"")="","NULL","'"&amp;SUBSTITUTE(TRIM(N171),"'","''")&amp;"'")&amp;", p_razon_social =&gt; "&amp;IF(TRIM(D171&amp;"")="","NULL","'"&amp;SUBSTITUTE(TRIM(D171),"'","''")&amp;"'")&amp;", p_id_tipo_cliente =&gt; "&amp;IF(TRIM(I171&amp;"")="","NULL","(SELECT lo.id FROM gen_lista_opciones lo JOIN gen_lista l ON l.id = lo.id_lista WHERE l.nombre = 'TipoCliente' AND upper(lo.nombre) = upper('"&amp;SUBSTITUTE(TRIM(I171),"'","''")&amp;"') AND lo.estado = 1 LIMIT 1)")&amp;", p_id_tipo_persona =&gt; "&amp;IF(TRIM(H171&amp;"")="","NULL","(SELECT lo.id FROM gen_lista_opciones lo JOIN gen_lista l ON l.id = lo.id_lista WHERE l.nombre = 'TipoPersona' AND upper(lo.nombre) = upper('"&amp;SUBSTITUTE(TRIM(H171),"'","''")&amp;"') AND lo.estado = 1 LIMIT 1)")&amp;", p_nombres =&gt; "&amp;IF(TRIM(E171&amp;"")="","NULL","'"&amp;SUBSTITUTE(TRIM(E171),"'","''")&amp;"'")&amp;", p_apellido_paterno =&gt; "&amp;IF(TRIM(F171&amp;"")="","NULL","'"&amp;SUBSTITUTE(TRIM(F171),"'","''")&amp;"'")&amp;", p_apellido_materno =&gt; "&amp;IF(TRIM(G171&amp;"")="","NULL","'"&amp;SUBSTITUTE(TRIM(G171),"'","''")&amp;"'")&amp;", p_id_tipo_documento =&gt; "&amp;IF(TRIM(B171&amp;"")="","NULL","(SELECT lo.id FROM gen_lista_opciones lo JOIN gen_lista l ON l.id = lo.id_lista WHERE l.nombre = 'TipoDocumento' AND upper(lo.nombre) = upper('"&amp;SUBSTITUTE(TRIM(B171),"'","''")&amp;"') AND lo.estado = 1 LIMIT 1)")&amp;", p_numero_documento =&gt; "&amp;IF(TRIM(C171&amp;"")="","NULL","'"&amp;SUBSTITUTE(TRIM(C171),"'","''")&amp;"'")&amp;", p_telefono =&gt; "&amp;IF(TRIM(L171&amp;"")="","NULL","'"&amp;SUBSTITUTE(TRIM(L171),"'","''")&amp;"'")&amp;", p_email =&gt; "&amp;IF(TRIM(M171&amp;"")="","NULL","'"&amp;SUBSTITUTE(TRIM(M171),"'","''")&amp;"'")&amp;", p_observacion =&gt; "&amp;IF(TRIM(O171&amp;"")="","NULL","'"&amp;SUBSTITUTE(TRIM(O171),"'","''")&amp;"'")&amp;", p_direccion =&gt; "&amp;IF(TRIM(J171&amp;"")="","NULL","'"&amp;SUBSTITUTE(TRIM(J171),"'","''")&amp;"'")&amp;", p_referencia =&gt; "&amp;IF(TRIM(K171&amp;"")="","NULL","'"&amp;SUBSTITUTE(TRIM(K171),"'","''")&amp;"'")&amp;") AS resultado_cliente_"&amp;ROW()&amp;";")</f>
        <v/>
      </c>
    </row>
    <row r="172" ht="15.75" customHeight="1" s="64">
      <c r="A172" s="25">
        <f>IF(AND(D172="",E172="",C172=""),"",IF(AND(D172="",E172=""),"FALTA razón social o nombres",IF(AND(C172&lt;&gt;"",SUMPRODUCT(--($C$5:$C$549=C172))&gt;1),"DOCUMENTO DUPLICADO",IF(AND(B172="DNI",C172&lt;&gt;"",LEN(C172&amp;"")&lt;&gt;8),"DNI debe tener 8 dígitos",IF(AND(B172="RUC",C172&lt;&gt;"",LEN(C172&amp;"")&lt;&gt;11),"RUC debe tener 11 dígitos",IF(AND(N172&lt;&gt;"",SUMPRODUCT(--($N$5:$N$549=N172))&gt;1),"CÓDIGO INTERNO DUPLICADO","OK"))))))</f>
        <v/>
      </c>
      <c r="B172" s="17" t="inlineStr">
        <is>
          <t>RUC</t>
        </is>
      </c>
      <c r="C172" s="23" t="inlineStr">
        <is>
          <t>10081132572</t>
        </is>
      </c>
      <c r="D172" s="17" t="inlineStr">
        <is>
          <t>VALDIVIESO ARBULU HARALD FREDDY</t>
        </is>
      </c>
      <c r="E172" s="17" t="n"/>
      <c r="F172" s="17" t="n"/>
      <c r="G172" s="17" t="n"/>
      <c r="H172" s="17" t="inlineStr">
        <is>
          <t>Persona Jurídica</t>
        </is>
      </c>
      <c r="I172" s="17" t="inlineStr">
        <is>
          <t>Cliente</t>
        </is>
      </c>
      <c r="J172" s="17" t="n"/>
      <c r="K172" s="17" t="n"/>
      <c r="L172" s="23" t="n"/>
      <c r="M172" s="17" t="n"/>
      <c r="N172" s="23" t="n"/>
      <c r="O172" s="17" t="n"/>
      <c r="P172" s="28">
        <f>IF(A172&lt;&gt;"OK","","SELECT cli_crear_clientes(p_codigo_interno =&gt; "&amp;IF(TRIM(N172&amp;"")="","NULL","'"&amp;SUBSTITUTE(TRIM(N172),"'","''")&amp;"'")&amp;", p_razon_social =&gt; "&amp;IF(TRIM(D172&amp;"")="","NULL","'"&amp;SUBSTITUTE(TRIM(D172),"'","''")&amp;"'")&amp;", p_id_tipo_cliente =&gt; "&amp;IF(TRIM(I172&amp;"")="","NULL","(SELECT lo.id FROM gen_lista_opciones lo JOIN gen_lista l ON l.id = lo.id_lista WHERE l.nombre = 'TipoCliente' AND upper(lo.nombre) = upper('"&amp;SUBSTITUTE(TRIM(I172),"'","''")&amp;"') AND lo.estado = 1 LIMIT 1)")&amp;", p_id_tipo_persona =&gt; "&amp;IF(TRIM(H172&amp;"")="","NULL","(SELECT lo.id FROM gen_lista_opciones lo JOIN gen_lista l ON l.id = lo.id_lista WHERE l.nombre = 'TipoPersona' AND upper(lo.nombre) = upper('"&amp;SUBSTITUTE(TRIM(H172),"'","''")&amp;"') AND lo.estado = 1 LIMIT 1)")&amp;", p_nombres =&gt; "&amp;IF(TRIM(E172&amp;"")="","NULL","'"&amp;SUBSTITUTE(TRIM(E172),"'","''")&amp;"'")&amp;", p_apellido_paterno =&gt; "&amp;IF(TRIM(F172&amp;"")="","NULL","'"&amp;SUBSTITUTE(TRIM(F172),"'","''")&amp;"'")&amp;", p_apellido_materno =&gt; "&amp;IF(TRIM(G172&amp;"")="","NULL","'"&amp;SUBSTITUTE(TRIM(G172),"'","''")&amp;"'")&amp;", p_id_tipo_documento =&gt; "&amp;IF(TRIM(B172&amp;"")="","NULL","(SELECT lo.id FROM gen_lista_opciones lo JOIN gen_lista l ON l.id = lo.id_lista WHERE l.nombre = 'TipoDocumento' AND upper(lo.nombre) = upper('"&amp;SUBSTITUTE(TRIM(B172),"'","''")&amp;"') AND lo.estado = 1 LIMIT 1)")&amp;", p_numero_documento =&gt; "&amp;IF(TRIM(C172&amp;"")="","NULL","'"&amp;SUBSTITUTE(TRIM(C172),"'","''")&amp;"'")&amp;", p_telefono =&gt; "&amp;IF(TRIM(L172&amp;"")="","NULL","'"&amp;SUBSTITUTE(TRIM(L172),"'","''")&amp;"'")&amp;", p_email =&gt; "&amp;IF(TRIM(M172&amp;"")="","NULL","'"&amp;SUBSTITUTE(TRIM(M172),"'","''")&amp;"'")&amp;", p_observacion =&gt; "&amp;IF(TRIM(O172&amp;"")="","NULL","'"&amp;SUBSTITUTE(TRIM(O172),"'","''")&amp;"'")&amp;", p_direccion =&gt; "&amp;IF(TRIM(J172&amp;"")="","NULL","'"&amp;SUBSTITUTE(TRIM(J172),"'","''")&amp;"'")&amp;", p_referencia =&gt; "&amp;IF(TRIM(K172&amp;"")="","NULL","'"&amp;SUBSTITUTE(TRIM(K172),"'","''")&amp;"'")&amp;") AS resultado_cliente_"&amp;ROW()&amp;";")</f>
        <v/>
      </c>
    </row>
    <row r="173" ht="15.75" customHeight="1" s="64">
      <c r="A173" s="25">
        <f>IF(AND(D173="",E173="",C173=""),"",IF(AND(D173="",E173=""),"FALTA razón social o nombres",IF(AND(C173&lt;&gt;"",SUMPRODUCT(--($C$5:$C$549=C173))&gt;1),"DOCUMENTO DUPLICADO",IF(AND(B173="DNI",C173&lt;&gt;"",LEN(C173&amp;"")&lt;&gt;8),"DNI debe tener 8 dígitos",IF(AND(B173="RUC",C173&lt;&gt;"",LEN(C173&amp;"")&lt;&gt;11),"RUC debe tener 11 dígitos",IF(AND(N173&lt;&gt;"",SUMPRODUCT(--($N$5:$N$549=N173))&gt;1),"CÓDIGO INTERNO DUPLICADO","OK"))))))</f>
        <v/>
      </c>
      <c r="B173" s="17" t="inlineStr">
        <is>
          <t>DNI</t>
        </is>
      </c>
      <c r="C173" s="23" t="inlineStr">
        <is>
          <t>16747813</t>
        </is>
      </c>
      <c r="D173" s="17" t="n"/>
      <c r="E173" s="17" t="inlineStr">
        <is>
          <t>JUAN HECTOR</t>
        </is>
      </c>
      <c r="F173" s="17" t="inlineStr">
        <is>
          <t>ACOSTA</t>
        </is>
      </c>
      <c r="G173" s="17" t="inlineStr">
        <is>
          <t>SANDOVAL</t>
        </is>
      </c>
      <c r="H173" s="17" t="inlineStr">
        <is>
          <t>Persona Natural</t>
        </is>
      </c>
      <c r="I173" s="17" t="inlineStr">
        <is>
          <t>Cliente</t>
        </is>
      </c>
      <c r="J173" s="17" t="n"/>
      <c r="K173" s="17" t="n"/>
      <c r="L173" s="23" t="n"/>
      <c r="M173" s="17" t="n"/>
      <c r="N173" s="23" t="n"/>
      <c r="O173" s="17" t="n"/>
      <c r="P173" s="28">
        <f>IF(A173&lt;&gt;"OK","","SELECT cli_crear_clientes(p_codigo_interno =&gt; "&amp;IF(TRIM(N173&amp;"")="","NULL","'"&amp;SUBSTITUTE(TRIM(N173),"'","''")&amp;"'")&amp;", p_razon_social =&gt; "&amp;IF(TRIM(D173&amp;"")="","NULL","'"&amp;SUBSTITUTE(TRIM(D173),"'","''")&amp;"'")&amp;", p_id_tipo_cliente =&gt; "&amp;IF(TRIM(I173&amp;"")="","NULL","(SELECT lo.id FROM gen_lista_opciones lo JOIN gen_lista l ON l.id = lo.id_lista WHERE l.nombre = 'TipoCliente' AND upper(lo.nombre) = upper('"&amp;SUBSTITUTE(TRIM(I173),"'","''")&amp;"') AND lo.estado = 1 LIMIT 1)")&amp;", p_id_tipo_persona =&gt; "&amp;IF(TRIM(H173&amp;"")="","NULL","(SELECT lo.id FROM gen_lista_opciones lo JOIN gen_lista l ON l.id = lo.id_lista WHERE l.nombre = 'TipoPersona' AND upper(lo.nombre) = upper('"&amp;SUBSTITUTE(TRIM(H173),"'","''")&amp;"') AND lo.estado = 1 LIMIT 1)")&amp;", p_nombres =&gt; "&amp;IF(TRIM(E173&amp;"")="","NULL","'"&amp;SUBSTITUTE(TRIM(E173),"'","''")&amp;"'")&amp;", p_apellido_paterno =&gt; "&amp;IF(TRIM(F173&amp;"")="","NULL","'"&amp;SUBSTITUTE(TRIM(F173),"'","''")&amp;"'")&amp;", p_apellido_materno =&gt; "&amp;IF(TRIM(G173&amp;"")="","NULL","'"&amp;SUBSTITUTE(TRIM(G173),"'","''")&amp;"'")&amp;", p_id_tipo_documento =&gt; "&amp;IF(TRIM(B173&amp;"")="","NULL","(SELECT lo.id FROM gen_lista_opciones lo JOIN gen_lista l ON l.id = lo.id_lista WHERE l.nombre = 'TipoDocumento' AND upper(lo.nombre) = upper('"&amp;SUBSTITUTE(TRIM(B173),"'","''")&amp;"') AND lo.estado = 1 LIMIT 1)")&amp;", p_numero_documento =&gt; "&amp;IF(TRIM(C173&amp;"")="","NULL","'"&amp;SUBSTITUTE(TRIM(C173),"'","''")&amp;"'")&amp;", p_telefono =&gt; "&amp;IF(TRIM(L173&amp;"")="","NULL","'"&amp;SUBSTITUTE(TRIM(L173),"'","''")&amp;"'")&amp;", p_email =&gt; "&amp;IF(TRIM(M173&amp;"")="","NULL","'"&amp;SUBSTITUTE(TRIM(M173),"'","''")&amp;"'")&amp;", p_observacion =&gt; "&amp;IF(TRIM(O173&amp;"")="","NULL","'"&amp;SUBSTITUTE(TRIM(O173),"'","''")&amp;"'")&amp;", p_direccion =&gt; "&amp;IF(TRIM(J173&amp;"")="","NULL","'"&amp;SUBSTITUTE(TRIM(J173),"'","''")&amp;"'")&amp;", p_referencia =&gt; "&amp;IF(TRIM(K173&amp;"")="","NULL","'"&amp;SUBSTITUTE(TRIM(K173),"'","''")&amp;"'")&amp;") AS resultado_cliente_"&amp;ROW()&amp;";")</f>
        <v/>
      </c>
    </row>
    <row r="174" ht="15.75" customHeight="1" s="64">
      <c r="A174" s="25">
        <f>IF(AND(D174="",E174="",C174=""),"",IF(AND(D174="",E174=""),"FALTA razón social o nombres",IF(AND(C174&lt;&gt;"",SUMPRODUCT(--($C$5:$C$549=C174))&gt;1),"DOCUMENTO DUPLICADO",IF(AND(B174="DNI",C174&lt;&gt;"",LEN(C174&amp;"")&lt;&gt;8),"DNI debe tener 8 dígitos",IF(AND(B174="RUC",C174&lt;&gt;"",LEN(C174&amp;"")&lt;&gt;11),"RUC debe tener 11 dígitos",IF(AND(N174&lt;&gt;"",SUMPRODUCT(--($N$5:$N$549=N174))&gt;1),"CÓDIGO INTERNO DUPLICADO","OK"))))))</f>
        <v/>
      </c>
      <c r="B174" s="17" t="inlineStr">
        <is>
          <t>DNI</t>
        </is>
      </c>
      <c r="C174" s="23" t="inlineStr">
        <is>
          <t>29268940</t>
        </is>
      </c>
      <c r="D174" s="17" t="n"/>
      <c r="E174" s="17" t="inlineStr">
        <is>
          <t>GEOVANA LUCY</t>
        </is>
      </c>
      <c r="F174" s="17" t="inlineStr">
        <is>
          <t>ALAYZA</t>
        </is>
      </c>
      <c r="G174" s="17" t="inlineStr">
        <is>
          <t>CARRERA</t>
        </is>
      </c>
      <c r="H174" s="17" t="inlineStr">
        <is>
          <t>Persona Natural</t>
        </is>
      </c>
      <c r="I174" s="17" t="inlineStr">
        <is>
          <t>Cliente</t>
        </is>
      </c>
      <c r="J174" s="17" t="n"/>
      <c r="K174" s="17" t="n"/>
      <c r="L174" s="23" t="n"/>
      <c r="M174" s="17" t="n"/>
      <c r="N174" s="23" t="n"/>
      <c r="O174" s="17" t="n"/>
      <c r="P174" s="28">
        <f>IF(A174&lt;&gt;"OK","","SELECT cli_crear_clientes(p_codigo_interno =&gt; "&amp;IF(TRIM(N174&amp;"")="","NULL","'"&amp;SUBSTITUTE(TRIM(N174),"'","''")&amp;"'")&amp;", p_razon_social =&gt; "&amp;IF(TRIM(D174&amp;"")="","NULL","'"&amp;SUBSTITUTE(TRIM(D174),"'","''")&amp;"'")&amp;", p_id_tipo_cliente =&gt; "&amp;IF(TRIM(I174&amp;"")="","NULL","(SELECT lo.id FROM gen_lista_opciones lo JOIN gen_lista l ON l.id = lo.id_lista WHERE l.nombre = 'TipoCliente' AND upper(lo.nombre) = upper('"&amp;SUBSTITUTE(TRIM(I174),"'","''")&amp;"') AND lo.estado = 1 LIMIT 1)")&amp;", p_id_tipo_persona =&gt; "&amp;IF(TRIM(H174&amp;"")="","NULL","(SELECT lo.id FROM gen_lista_opciones lo JOIN gen_lista l ON l.id = lo.id_lista WHERE l.nombre = 'TipoPersona' AND upper(lo.nombre) = upper('"&amp;SUBSTITUTE(TRIM(H174),"'","''")&amp;"') AND lo.estado = 1 LIMIT 1)")&amp;", p_nombres =&gt; "&amp;IF(TRIM(E174&amp;"")="","NULL","'"&amp;SUBSTITUTE(TRIM(E174),"'","''")&amp;"'")&amp;", p_apellido_paterno =&gt; "&amp;IF(TRIM(F174&amp;"")="","NULL","'"&amp;SUBSTITUTE(TRIM(F174),"'","''")&amp;"'")&amp;", p_apellido_materno =&gt; "&amp;IF(TRIM(G174&amp;"")="","NULL","'"&amp;SUBSTITUTE(TRIM(G174),"'","''")&amp;"'")&amp;", p_id_tipo_documento =&gt; "&amp;IF(TRIM(B174&amp;"")="","NULL","(SELECT lo.id FROM gen_lista_opciones lo JOIN gen_lista l ON l.id = lo.id_lista WHERE l.nombre = 'TipoDocumento' AND upper(lo.nombre) = upper('"&amp;SUBSTITUTE(TRIM(B174),"'","''")&amp;"') AND lo.estado = 1 LIMIT 1)")&amp;", p_numero_documento =&gt; "&amp;IF(TRIM(C174&amp;"")="","NULL","'"&amp;SUBSTITUTE(TRIM(C174),"'","''")&amp;"'")&amp;", p_telefono =&gt; "&amp;IF(TRIM(L174&amp;"")="","NULL","'"&amp;SUBSTITUTE(TRIM(L174),"'","''")&amp;"'")&amp;", p_email =&gt; "&amp;IF(TRIM(M174&amp;"")="","NULL","'"&amp;SUBSTITUTE(TRIM(M174),"'","''")&amp;"'")&amp;", p_observacion =&gt; "&amp;IF(TRIM(O174&amp;"")="","NULL","'"&amp;SUBSTITUTE(TRIM(O174),"'","''")&amp;"'")&amp;", p_direccion =&gt; "&amp;IF(TRIM(J174&amp;"")="","NULL","'"&amp;SUBSTITUTE(TRIM(J174),"'","''")&amp;"'")&amp;", p_referencia =&gt; "&amp;IF(TRIM(K174&amp;"")="","NULL","'"&amp;SUBSTITUTE(TRIM(K174),"'","''")&amp;"'")&amp;") AS resultado_cliente_"&amp;ROW()&amp;";")</f>
        <v/>
      </c>
    </row>
    <row r="175" ht="15.75" customHeight="1" s="64">
      <c r="A175" s="25">
        <f>IF(AND(D175="",E175="",C175=""),"",IF(AND(D175="",E175=""),"FALTA razón social o nombres",IF(AND(C175&lt;&gt;"",SUMPRODUCT(--($C$5:$C$549=C175))&gt;1),"DOCUMENTO DUPLICADO",IF(AND(B175="DNI",C175&lt;&gt;"",LEN(C175&amp;"")&lt;&gt;8),"DNI debe tener 8 dígitos",IF(AND(B175="RUC",C175&lt;&gt;"",LEN(C175&amp;"")&lt;&gt;11),"RUC debe tener 11 dígitos",IF(AND(N175&lt;&gt;"",SUMPRODUCT(--($N$5:$N$549=N175))&gt;1),"CÓDIGO INTERNO DUPLICADO","OK"))))))</f>
        <v/>
      </c>
      <c r="B175" s="17" t="inlineStr">
        <is>
          <t>SD</t>
        </is>
      </c>
      <c r="C175" s="23" t="inlineStr">
        <is>
          <t>000040</t>
        </is>
      </c>
      <c r="D175" s="17" t="n"/>
      <c r="E175" s="17" t="inlineStr">
        <is>
          <t>ALIAZIONE</t>
        </is>
      </c>
      <c r="F175" s="17" t="n"/>
      <c r="G175" s="17" t="n"/>
      <c r="H175" s="17" t="inlineStr">
        <is>
          <t>Persona Natural</t>
        </is>
      </c>
      <c r="I175" s="17" t="inlineStr">
        <is>
          <t>Cliente</t>
        </is>
      </c>
      <c r="J175" s="17" t="n"/>
      <c r="K175" s="17" t="n"/>
      <c r="L175" s="23" t="n"/>
      <c r="M175" s="17" t="n"/>
      <c r="N175" s="23" t="n"/>
      <c r="O175" s="17" t="n"/>
      <c r="P175" s="28">
        <f>IF(A175&lt;&gt;"OK","","SELECT cli_crear_clientes(p_codigo_interno =&gt; "&amp;IF(TRIM(N175&amp;"")="","NULL","'"&amp;SUBSTITUTE(TRIM(N175),"'","''")&amp;"'")&amp;", p_razon_social =&gt; "&amp;IF(TRIM(D175&amp;"")="","NULL","'"&amp;SUBSTITUTE(TRIM(D175),"'","''")&amp;"'")&amp;", p_id_tipo_cliente =&gt; "&amp;IF(TRIM(I175&amp;"")="","NULL","(SELECT lo.id FROM gen_lista_opciones lo JOIN gen_lista l ON l.id = lo.id_lista WHERE l.nombre = 'TipoCliente' AND upper(lo.nombre) = upper('"&amp;SUBSTITUTE(TRIM(I175),"'","''")&amp;"') AND lo.estado = 1 LIMIT 1)")&amp;", p_id_tipo_persona =&gt; "&amp;IF(TRIM(H175&amp;"")="","NULL","(SELECT lo.id FROM gen_lista_opciones lo JOIN gen_lista l ON l.id = lo.id_lista WHERE l.nombre = 'TipoPersona' AND upper(lo.nombre) = upper('"&amp;SUBSTITUTE(TRIM(H175),"'","''")&amp;"') AND lo.estado = 1 LIMIT 1)")&amp;", p_nombres =&gt; "&amp;IF(TRIM(E175&amp;"")="","NULL","'"&amp;SUBSTITUTE(TRIM(E175),"'","''")&amp;"'")&amp;", p_apellido_paterno =&gt; "&amp;IF(TRIM(F175&amp;"")="","NULL","'"&amp;SUBSTITUTE(TRIM(F175),"'","''")&amp;"'")&amp;", p_apellido_materno =&gt; "&amp;IF(TRIM(G175&amp;"")="","NULL","'"&amp;SUBSTITUTE(TRIM(G175),"'","''")&amp;"'")&amp;", p_id_tipo_documento =&gt; "&amp;IF(TRIM(B175&amp;"")="","NULL","(SELECT lo.id FROM gen_lista_opciones lo JOIN gen_lista l ON l.id = lo.id_lista WHERE l.nombre = 'TipoDocumento' AND upper(lo.nombre) = upper('"&amp;SUBSTITUTE(TRIM(B175),"'","''")&amp;"') AND lo.estado = 1 LIMIT 1)")&amp;", p_numero_documento =&gt; "&amp;IF(TRIM(C175&amp;"")="","NULL","'"&amp;SUBSTITUTE(TRIM(C175),"'","''")&amp;"'")&amp;", p_telefono =&gt; "&amp;IF(TRIM(L175&amp;"")="","NULL","'"&amp;SUBSTITUTE(TRIM(L175),"'","''")&amp;"'")&amp;", p_email =&gt; "&amp;IF(TRIM(M175&amp;"")="","NULL","'"&amp;SUBSTITUTE(TRIM(M175),"'","''")&amp;"'")&amp;", p_observacion =&gt; "&amp;IF(TRIM(O175&amp;"")="","NULL","'"&amp;SUBSTITUTE(TRIM(O175),"'","''")&amp;"'")&amp;", p_direccion =&gt; "&amp;IF(TRIM(J175&amp;"")="","NULL","'"&amp;SUBSTITUTE(TRIM(J175),"'","''")&amp;"'")&amp;", p_referencia =&gt; "&amp;IF(TRIM(K175&amp;"")="","NULL","'"&amp;SUBSTITUTE(TRIM(K175),"'","''")&amp;"'")&amp;") AS resultado_cliente_"&amp;ROW()&amp;";")</f>
        <v/>
      </c>
    </row>
    <row r="176" ht="15.75" customHeight="1" s="64">
      <c r="A176" s="25">
        <f>IF(AND(D176="",E176="",C176=""),"",IF(AND(D176="",E176=""),"FALTA razón social o nombres",IF(AND(C176&lt;&gt;"",SUMPRODUCT(--($C$5:$C$549=C176))&gt;1),"DOCUMENTO DUPLICADO",IF(AND(B176="DNI",C176&lt;&gt;"",LEN(C176&amp;"")&lt;&gt;8),"DNI debe tener 8 dígitos",IF(AND(B176="RUC",C176&lt;&gt;"",LEN(C176&amp;"")&lt;&gt;11),"RUC debe tener 11 dígitos",IF(AND(N176&lt;&gt;"",SUMPRODUCT(--($N$5:$N$549=N176))&gt;1),"CÓDIGO INTERNO DUPLICADO","OK"))))))</f>
        <v/>
      </c>
      <c r="B176" s="17" t="inlineStr">
        <is>
          <t>DNI</t>
        </is>
      </c>
      <c r="C176" s="23" t="inlineStr">
        <is>
          <t>16530972</t>
        </is>
      </c>
      <c r="D176" s="17" t="n"/>
      <c r="E176" s="17" t="inlineStr">
        <is>
          <t>JUAN OSWALDO</t>
        </is>
      </c>
      <c r="F176" s="17" t="inlineStr">
        <is>
          <t>ALVARADO</t>
        </is>
      </c>
      <c r="G176" s="17" t="inlineStr">
        <is>
          <t>FIGUEROA</t>
        </is>
      </c>
      <c r="H176" s="17" t="inlineStr">
        <is>
          <t>Persona Natural</t>
        </is>
      </c>
      <c r="I176" s="17" t="inlineStr">
        <is>
          <t>Cliente</t>
        </is>
      </c>
      <c r="J176" s="17" t="n"/>
      <c r="K176" s="17" t="n"/>
      <c r="L176" s="23" t="n"/>
      <c r="M176" s="17" t="n"/>
      <c r="N176" s="23" t="n"/>
      <c r="O176" s="17" t="n"/>
      <c r="P176" s="28">
        <f>IF(A176&lt;&gt;"OK","","SELECT cli_crear_clientes(p_codigo_interno =&gt; "&amp;IF(TRIM(N176&amp;"")="","NULL","'"&amp;SUBSTITUTE(TRIM(N176),"'","''")&amp;"'")&amp;", p_razon_social =&gt; "&amp;IF(TRIM(D176&amp;"")="","NULL","'"&amp;SUBSTITUTE(TRIM(D176),"'","''")&amp;"'")&amp;", p_id_tipo_cliente =&gt; "&amp;IF(TRIM(I176&amp;"")="","NULL","(SELECT lo.id FROM gen_lista_opciones lo JOIN gen_lista l ON l.id = lo.id_lista WHERE l.nombre = 'TipoCliente' AND upper(lo.nombre) = upper('"&amp;SUBSTITUTE(TRIM(I176),"'","''")&amp;"') AND lo.estado = 1 LIMIT 1)")&amp;", p_id_tipo_persona =&gt; "&amp;IF(TRIM(H176&amp;"")="","NULL","(SELECT lo.id FROM gen_lista_opciones lo JOIN gen_lista l ON l.id = lo.id_lista WHERE l.nombre = 'TipoPersona' AND upper(lo.nombre) = upper('"&amp;SUBSTITUTE(TRIM(H176),"'","''")&amp;"') AND lo.estado = 1 LIMIT 1)")&amp;", p_nombres =&gt; "&amp;IF(TRIM(E176&amp;"")="","NULL","'"&amp;SUBSTITUTE(TRIM(E176),"'","''")&amp;"'")&amp;", p_apellido_paterno =&gt; "&amp;IF(TRIM(F176&amp;"")="","NULL","'"&amp;SUBSTITUTE(TRIM(F176),"'","''")&amp;"'")&amp;", p_apellido_materno =&gt; "&amp;IF(TRIM(G176&amp;"")="","NULL","'"&amp;SUBSTITUTE(TRIM(G176),"'","''")&amp;"'")&amp;", p_id_tipo_documento =&gt; "&amp;IF(TRIM(B176&amp;"")="","NULL","(SELECT lo.id FROM gen_lista_opciones lo JOIN gen_lista l ON l.id = lo.id_lista WHERE l.nombre = 'TipoDocumento' AND upper(lo.nombre) = upper('"&amp;SUBSTITUTE(TRIM(B176),"'","''")&amp;"') AND lo.estado = 1 LIMIT 1)")&amp;", p_numero_documento =&gt; "&amp;IF(TRIM(C176&amp;"")="","NULL","'"&amp;SUBSTITUTE(TRIM(C176),"'","''")&amp;"'")&amp;", p_telefono =&gt; "&amp;IF(TRIM(L176&amp;"")="","NULL","'"&amp;SUBSTITUTE(TRIM(L176),"'","''")&amp;"'")&amp;", p_email =&gt; "&amp;IF(TRIM(M176&amp;"")="","NULL","'"&amp;SUBSTITUTE(TRIM(M176),"'","''")&amp;"'")&amp;", p_observacion =&gt; "&amp;IF(TRIM(O176&amp;"")="","NULL","'"&amp;SUBSTITUTE(TRIM(O176),"'","''")&amp;"'")&amp;", p_direccion =&gt; "&amp;IF(TRIM(J176&amp;"")="","NULL","'"&amp;SUBSTITUTE(TRIM(J176),"'","''")&amp;"'")&amp;", p_referencia =&gt; "&amp;IF(TRIM(K176&amp;"")="","NULL","'"&amp;SUBSTITUTE(TRIM(K176),"'","''")&amp;"'")&amp;") AS resultado_cliente_"&amp;ROW()&amp;";")</f>
        <v/>
      </c>
    </row>
    <row r="177" ht="15.75" customHeight="1" s="64">
      <c r="A177" s="25">
        <f>IF(AND(D177="",E177="",C177=""),"",IF(AND(D177="",E177=""),"FALTA razón social o nombres",IF(AND(C177&lt;&gt;"",SUMPRODUCT(--($C$5:$C$549=C177))&gt;1),"DOCUMENTO DUPLICADO",IF(AND(B177="DNI",C177&lt;&gt;"",LEN(C177&amp;"")&lt;&gt;8),"DNI debe tener 8 dígitos",IF(AND(B177="RUC",C177&lt;&gt;"",LEN(C177&amp;"")&lt;&gt;11),"RUC debe tener 11 dígitos",IF(AND(N177&lt;&gt;"",SUMPRODUCT(--($N$5:$N$549=N177))&gt;1),"CÓDIGO INTERNO DUPLICADO","OK"))))))</f>
        <v/>
      </c>
      <c r="B177" s="17" t="inlineStr">
        <is>
          <t>RUC</t>
        </is>
      </c>
      <c r="C177" s="23" t="inlineStr">
        <is>
          <t>20602375383</t>
        </is>
      </c>
      <c r="D177" s="17" t="inlineStr">
        <is>
          <t>APU SALUD MEDICOS A DOMICILIO S.A.C.</t>
        </is>
      </c>
      <c r="E177" s="17" t="n"/>
      <c r="F177" s="17" t="n"/>
      <c r="G177" s="17" t="n"/>
      <c r="H177" s="17" t="inlineStr">
        <is>
          <t>Persona Jurídica</t>
        </is>
      </c>
      <c r="I177" s="17" t="inlineStr">
        <is>
          <t>Cliente</t>
        </is>
      </c>
      <c r="J177" s="17" t="n"/>
      <c r="K177" s="17" t="n"/>
      <c r="L177" s="23" t="n"/>
      <c r="M177" s="17" t="n"/>
      <c r="N177" s="23" t="n"/>
      <c r="O177" s="17" t="n"/>
      <c r="P177" s="28">
        <f>IF(A177&lt;&gt;"OK","","SELECT cli_crear_clientes(p_codigo_interno =&gt; "&amp;IF(TRIM(N177&amp;"")="","NULL","'"&amp;SUBSTITUTE(TRIM(N177),"'","''")&amp;"'")&amp;", p_razon_social =&gt; "&amp;IF(TRIM(D177&amp;"")="","NULL","'"&amp;SUBSTITUTE(TRIM(D177),"'","''")&amp;"'")&amp;", p_id_tipo_cliente =&gt; "&amp;IF(TRIM(I177&amp;"")="","NULL","(SELECT lo.id FROM gen_lista_opciones lo JOIN gen_lista l ON l.id = lo.id_lista WHERE l.nombre = 'TipoCliente' AND upper(lo.nombre) = upper('"&amp;SUBSTITUTE(TRIM(I177),"'","''")&amp;"') AND lo.estado = 1 LIMIT 1)")&amp;", p_id_tipo_persona =&gt; "&amp;IF(TRIM(H177&amp;"")="","NULL","(SELECT lo.id FROM gen_lista_opciones lo JOIN gen_lista l ON l.id = lo.id_lista WHERE l.nombre = 'TipoPersona' AND upper(lo.nombre) = upper('"&amp;SUBSTITUTE(TRIM(H177),"'","''")&amp;"') AND lo.estado = 1 LIMIT 1)")&amp;", p_nombres =&gt; "&amp;IF(TRIM(E177&amp;"")="","NULL","'"&amp;SUBSTITUTE(TRIM(E177),"'","''")&amp;"'")&amp;", p_apellido_paterno =&gt; "&amp;IF(TRIM(F177&amp;"")="","NULL","'"&amp;SUBSTITUTE(TRIM(F177),"'","''")&amp;"'")&amp;", p_apellido_materno =&gt; "&amp;IF(TRIM(G177&amp;"")="","NULL","'"&amp;SUBSTITUTE(TRIM(G177),"'","''")&amp;"'")&amp;", p_id_tipo_documento =&gt; "&amp;IF(TRIM(B177&amp;"")="","NULL","(SELECT lo.id FROM gen_lista_opciones lo JOIN gen_lista l ON l.id = lo.id_lista WHERE l.nombre = 'TipoDocumento' AND upper(lo.nombre) = upper('"&amp;SUBSTITUTE(TRIM(B177),"'","''")&amp;"') AND lo.estado = 1 LIMIT 1)")&amp;", p_numero_documento =&gt; "&amp;IF(TRIM(C177&amp;"")="","NULL","'"&amp;SUBSTITUTE(TRIM(C177),"'","''")&amp;"'")&amp;", p_telefono =&gt; "&amp;IF(TRIM(L177&amp;"")="","NULL","'"&amp;SUBSTITUTE(TRIM(L177),"'","''")&amp;"'")&amp;", p_email =&gt; "&amp;IF(TRIM(M177&amp;"")="","NULL","'"&amp;SUBSTITUTE(TRIM(M177),"'","''")&amp;"'")&amp;", p_observacion =&gt; "&amp;IF(TRIM(O177&amp;"")="","NULL","'"&amp;SUBSTITUTE(TRIM(O177),"'","''")&amp;"'")&amp;", p_direccion =&gt; "&amp;IF(TRIM(J177&amp;"")="","NULL","'"&amp;SUBSTITUTE(TRIM(J177),"'","''")&amp;"'")&amp;", p_referencia =&gt; "&amp;IF(TRIM(K177&amp;"")="","NULL","'"&amp;SUBSTITUTE(TRIM(K177),"'","''")&amp;"'")&amp;") AS resultado_cliente_"&amp;ROW()&amp;";")</f>
        <v/>
      </c>
    </row>
    <row r="178" ht="15.75" customHeight="1" s="64">
      <c r="A178" s="25">
        <f>IF(AND(D178="",E178="",C178=""),"",IF(AND(D178="",E178=""),"FALTA razón social o nombres",IF(AND(C178&lt;&gt;"",SUMPRODUCT(--($C$5:$C$549=C178))&gt;1),"DOCUMENTO DUPLICADO",IF(AND(B178="DNI",C178&lt;&gt;"",LEN(C178&amp;"")&lt;&gt;8),"DNI debe tener 8 dígitos",IF(AND(B178="RUC",C178&lt;&gt;"",LEN(C178&amp;"")&lt;&gt;11),"RUC debe tener 11 dígitos",IF(AND(N178&lt;&gt;"",SUMPRODUCT(--($N$5:$N$549=N178))&gt;1),"CÓDIGO INTERNO DUPLICADO","OK"))))))</f>
        <v/>
      </c>
      <c r="B178" s="17" t="inlineStr">
        <is>
          <t>DNI</t>
        </is>
      </c>
      <c r="C178" s="23" t="inlineStr">
        <is>
          <t>16563500</t>
        </is>
      </c>
      <c r="D178" s="17" t="n"/>
      <c r="E178" s="17" t="inlineStr">
        <is>
          <t>BELGY</t>
        </is>
      </c>
      <c r="F178" s="17" t="inlineStr">
        <is>
          <t>ATOCHE</t>
        </is>
      </c>
      <c r="G178" s="17" t="inlineStr">
        <is>
          <t>APONTE</t>
        </is>
      </c>
      <c r="H178" s="17" t="inlineStr">
        <is>
          <t>Persona Natural</t>
        </is>
      </c>
      <c r="I178" s="17" t="inlineStr">
        <is>
          <t>Cliente</t>
        </is>
      </c>
      <c r="J178" s="17" t="n"/>
      <c r="K178" s="17" t="n"/>
      <c r="L178" s="23" t="n"/>
      <c r="M178" s="17" t="n"/>
      <c r="N178" s="23" t="n"/>
      <c r="O178" s="17" t="n"/>
      <c r="P178" s="28">
        <f>IF(A178&lt;&gt;"OK","","SELECT cli_crear_clientes(p_codigo_interno =&gt; "&amp;IF(TRIM(N178&amp;"")="","NULL","'"&amp;SUBSTITUTE(TRIM(N178),"'","''")&amp;"'")&amp;", p_razon_social =&gt; "&amp;IF(TRIM(D178&amp;"")="","NULL","'"&amp;SUBSTITUTE(TRIM(D178),"'","''")&amp;"'")&amp;", p_id_tipo_cliente =&gt; "&amp;IF(TRIM(I178&amp;"")="","NULL","(SELECT lo.id FROM gen_lista_opciones lo JOIN gen_lista l ON l.id = lo.id_lista WHERE l.nombre = 'TipoCliente' AND upper(lo.nombre) = upper('"&amp;SUBSTITUTE(TRIM(I178),"'","''")&amp;"') AND lo.estado = 1 LIMIT 1)")&amp;", p_id_tipo_persona =&gt; "&amp;IF(TRIM(H178&amp;"")="","NULL","(SELECT lo.id FROM gen_lista_opciones lo JOIN gen_lista l ON l.id = lo.id_lista WHERE l.nombre = 'TipoPersona' AND upper(lo.nombre) = upper('"&amp;SUBSTITUTE(TRIM(H178),"'","''")&amp;"') AND lo.estado = 1 LIMIT 1)")&amp;", p_nombres =&gt; "&amp;IF(TRIM(E178&amp;"")="","NULL","'"&amp;SUBSTITUTE(TRIM(E178),"'","''")&amp;"'")&amp;", p_apellido_paterno =&gt; "&amp;IF(TRIM(F178&amp;"")="","NULL","'"&amp;SUBSTITUTE(TRIM(F178),"'","''")&amp;"'")&amp;", p_apellido_materno =&gt; "&amp;IF(TRIM(G178&amp;"")="","NULL","'"&amp;SUBSTITUTE(TRIM(G178),"'","''")&amp;"'")&amp;", p_id_tipo_documento =&gt; "&amp;IF(TRIM(B178&amp;"")="","NULL","(SELECT lo.id FROM gen_lista_opciones lo JOIN gen_lista l ON l.id = lo.id_lista WHERE l.nombre = 'TipoDocumento' AND upper(lo.nombre) = upper('"&amp;SUBSTITUTE(TRIM(B178),"'","''")&amp;"') AND lo.estado = 1 LIMIT 1)")&amp;", p_numero_documento =&gt; "&amp;IF(TRIM(C178&amp;"")="","NULL","'"&amp;SUBSTITUTE(TRIM(C178),"'","''")&amp;"'")&amp;", p_telefono =&gt; "&amp;IF(TRIM(L178&amp;"")="","NULL","'"&amp;SUBSTITUTE(TRIM(L178),"'","''")&amp;"'")&amp;", p_email =&gt; "&amp;IF(TRIM(M178&amp;"")="","NULL","'"&amp;SUBSTITUTE(TRIM(M178),"'","''")&amp;"'")&amp;", p_observacion =&gt; "&amp;IF(TRIM(O178&amp;"")="","NULL","'"&amp;SUBSTITUTE(TRIM(O178),"'","''")&amp;"'")&amp;", p_direccion =&gt; "&amp;IF(TRIM(J178&amp;"")="","NULL","'"&amp;SUBSTITUTE(TRIM(J178),"'","''")&amp;"'")&amp;", p_referencia =&gt; "&amp;IF(TRIM(K178&amp;"")="","NULL","'"&amp;SUBSTITUTE(TRIM(K178),"'","''")&amp;"'")&amp;") AS resultado_cliente_"&amp;ROW()&amp;";")</f>
        <v/>
      </c>
    </row>
    <row r="179" ht="15.75" customHeight="1" s="64">
      <c r="A179" s="25">
        <f>IF(AND(D179="",E179="",C179=""),"",IF(AND(D179="",E179=""),"FALTA razón social o nombres",IF(AND(C179&lt;&gt;"",SUMPRODUCT(--($C$5:$C$549=C179))&gt;1),"DOCUMENTO DUPLICADO",IF(AND(B179="DNI",C179&lt;&gt;"",LEN(C179&amp;"")&lt;&gt;8),"DNI debe tener 8 dígitos",IF(AND(B179="RUC",C179&lt;&gt;"",LEN(C179&amp;"")&lt;&gt;11),"RUC debe tener 11 dígitos",IF(AND(N179&lt;&gt;"",SUMPRODUCT(--($N$5:$N$549=N179))&gt;1),"CÓDIGO INTERNO DUPLICADO","OK"))))))</f>
        <v/>
      </c>
      <c r="B179" s="17" t="inlineStr">
        <is>
          <t>SD</t>
        </is>
      </c>
      <c r="C179" s="23" t="inlineStr">
        <is>
          <t>000041</t>
        </is>
      </c>
      <c r="D179" s="17" t="n"/>
      <c r="E179" s="17" t="inlineStr">
        <is>
          <t>AUGUSTO</t>
        </is>
      </c>
      <c r="F179" s="17" t="inlineStr">
        <is>
          <t>VALDERA</t>
        </is>
      </c>
      <c r="G179" s="17" t="n"/>
      <c r="H179" s="17" t="inlineStr">
        <is>
          <t>Persona Natural</t>
        </is>
      </c>
      <c r="I179" s="17" t="inlineStr">
        <is>
          <t>Cliente</t>
        </is>
      </c>
      <c r="J179" s="17" t="n"/>
      <c r="K179" s="17" t="n"/>
      <c r="L179" s="23" t="n"/>
      <c r="M179" s="17" t="n"/>
      <c r="N179" s="23" t="n"/>
      <c r="O179" s="17" t="n"/>
      <c r="P179" s="28">
        <f>IF(A179&lt;&gt;"OK","","SELECT cli_crear_clientes(p_codigo_interno =&gt; "&amp;IF(TRIM(N179&amp;"")="","NULL","'"&amp;SUBSTITUTE(TRIM(N179),"'","''")&amp;"'")&amp;", p_razon_social =&gt; "&amp;IF(TRIM(D179&amp;"")="","NULL","'"&amp;SUBSTITUTE(TRIM(D179),"'","''")&amp;"'")&amp;", p_id_tipo_cliente =&gt; "&amp;IF(TRIM(I179&amp;"")="","NULL","(SELECT lo.id FROM gen_lista_opciones lo JOIN gen_lista l ON l.id = lo.id_lista WHERE l.nombre = 'TipoCliente' AND upper(lo.nombre) = upper('"&amp;SUBSTITUTE(TRIM(I179),"'","''")&amp;"') AND lo.estado = 1 LIMIT 1)")&amp;", p_id_tipo_persona =&gt; "&amp;IF(TRIM(H179&amp;"")="","NULL","(SELECT lo.id FROM gen_lista_opciones lo JOIN gen_lista l ON l.id = lo.id_lista WHERE l.nombre = 'TipoPersona' AND upper(lo.nombre) = upper('"&amp;SUBSTITUTE(TRIM(H179),"'","''")&amp;"') AND lo.estado = 1 LIMIT 1)")&amp;", p_nombres =&gt; "&amp;IF(TRIM(E179&amp;"")="","NULL","'"&amp;SUBSTITUTE(TRIM(E179),"'","''")&amp;"'")&amp;", p_apellido_paterno =&gt; "&amp;IF(TRIM(F179&amp;"")="","NULL","'"&amp;SUBSTITUTE(TRIM(F179),"'","''")&amp;"'")&amp;", p_apellido_materno =&gt; "&amp;IF(TRIM(G179&amp;"")="","NULL","'"&amp;SUBSTITUTE(TRIM(G179),"'","''")&amp;"'")&amp;", p_id_tipo_documento =&gt; "&amp;IF(TRIM(B179&amp;"")="","NULL","(SELECT lo.id FROM gen_lista_opciones lo JOIN gen_lista l ON l.id = lo.id_lista WHERE l.nombre = 'TipoDocumento' AND upper(lo.nombre) = upper('"&amp;SUBSTITUTE(TRIM(B179),"'","''")&amp;"') AND lo.estado = 1 LIMIT 1)")&amp;", p_numero_documento =&gt; "&amp;IF(TRIM(C179&amp;"")="","NULL","'"&amp;SUBSTITUTE(TRIM(C179),"'","''")&amp;"'")&amp;", p_telefono =&gt; "&amp;IF(TRIM(L179&amp;"")="","NULL","'"&amp;SUBSTITUTE(TRIM(L179),"'","''")&amp;"'")&amp;", p_email =&gt; "&amp;IF(TRIM(M179&amp;"")="","NULL","'"&amp;SUBSTITUTE(TRIM(M179),"'","''")&amp;"'")&amp;", p_observacion =&gt; "&amp;IF(TRIM(O179&amp;"")="","NULL","'"&amp;SUBSTITUTE(TRIM(O179),"'","''")&amp;"'")&amp;", p_direccion =&gt; "&amp;IF(TRIM(J179&amp;"")="","NULL","'"&amp;SUBSTITUTE(TRIM(J179),"'","''")&amp;"'")&amp;", p_referencia =&gt; "&amp;IF(TRIM(K179&amp;"")="","NULL","'"&amp;SUBSTITUTE(TRIM(K179),"'","''")&amp;"'")&amp;") AS resultado_cliente_"&amp;ROW()&amp;";")</f>
        <v/>
      </c>
    </row>
    <row r="180" ht="15.75" customHeight="1" s="64">
      <c r="A180" s="25">
        <f>IF(AND(D180="",E180="",C180=""),"",IF(AND(D180="",E180=""),"FALTA razón social o nombres",IF(AND(C180&lt;&gt;"",SUMPRODUCT(--($C$5:$C$549=C180))&gt;1),"DOCUMENTO DUPLICADO",IF(AND(B180="DNI",C180&lt;&gt;"",LEN(C180&amp;"")&lt;&gt;8),"DNI debe tener 8 dígitos",IF(AND(B180="RUC",C180&lt;&gt;"",LEN(C180&amp;"")&lt;&gt;11),"RUC debe tener 11 dígitos",IF(AND(N180&lt;&gt;"",SUMPRODUCT(--($N$5:$N$549=N180))&gt;1),"CÓDIGO INTERNO DUPLICADO","OK"))))))</f>
        <v/>
      </c>
      <c r="B180" s="17" t="inlineStr">
        <is>
          <t>RUC</t>
        </is>
      </c>
      <c r="C180" s="23" t="inlineStr">
        <is>
          <t>10176008763</t>
        </is>
      </c>
      <c r="D180" s="17" t="inlineStr">
        <is>
          <t>BALDERA CHAPOÑAN ANTERO</t>
        </is>
      </c>
      <c r="E180" s="17" t="n"/>
      <c r="F180" s="17" t="n"/>
      <c r="G180" s="17" t="n"/>
      <c r="H180" s="17" t="inlineStr">
        <is>
          <t>Persona Jurídica</t>
        </is>
      </c>
      <c r="I180" s="17" t="inlineStr">
        <is>
          <t>Cliente</t>
        </is>
      </c>
      <c r="J180" s="17" t="n"/>
      <c r="K180" s="17" t="n"/>
      <c r="L180" s="23" t="n"/>
      <c r="M180" s="17" t="n"/>
      <c r="N180" s="23" t="n"/>
      <c r="O180" s="17" t="n"/>
      <c r="P180" s="28">
        <f>IF(A180&lt;&gt;"OK","","SELECT cli_crear_clientes(p_codigo_interno =&gt; "&amp;IF(TRIM(N180&amp;"")="","NULL","'"&amp;SUBSTITUTE(TRIM(N180),"'","''")&amp;"'")&amp;", p_razon_social =&gt; "&amp;IF(TRIM(D180&amp;"")="","NULL","'"&amp;SUBSTITUTE(TRIM(D180),"'","''")&amp;"'")&amp;", p_id_tipo_cliente =&gt; "&amp;IF(TRIM(I180&amp;"")="","NULL","(SELECT lo.id FROM gen_lista_opciones lo JOIN gen_lista l ON l.id = lo.id_lista WHERE l.nombre = 'TipoCliente' AND upper(lo.nombre) = upper('"&amp;SUBSTITUTE(TRIM(I180),"'","''")&amp;"') AND lo.estado = 1 LIMIT 1)")&amp;", p_id_tipo_persona =&gt; "&amp;IF(TRIM(H180&amp;"")="","NULL","(SELECT lo.id FROM gen_lista_opciones lo JOIN gen_lista l ON l.id = lo.id_lista WHERE l.nombre = 'TipoPersona' AND upper(lo.nombre) = upper('"&amp;SUBSTITUTE(TRIM(H180),"'","''")&amp;"') AND lo.estado = 1 LIMIT 1)")&amp;", p_nombres =&gt; "&amp;IF(TRIM(E180&amp;"")="","NULL","'"&amp;SUBSTITUTE(TRIM(E180),"'","''")&amp;"'")&amp;", p_apellido_paterno =&gt; "&amp;IF(TRIM(F180&amp;"")="","NULL","'"&amp;SUBSTITUTE(TRIM(F180),"'","''")&amp;"'")&amp;", p_apellido_materno =&gt; "&amp;IF(TRIM(G180&amp;"")="","NULL","'"&amp;SUBSTITUTE(TRIM(G180),"'","''")&amp;"'")&amp;", p_id_tipo_documento =&gt; "&amp;IF(TRIM(B180&amp;"")="","NULL","(SELECT lo.id FROM gen_lista_opciones lo JOIN gen_lista l ON l.id = lo.id_lista WHERE l.nombre = 'TipoDocumento' AND upper(lo.nombre) = upper('"&amp;SUBSTITUTE(TRIM(B180),"'","''")&amp;"') AND lo.estado = 1 LIMIT 1)")&amp;", p_numero_documento =&gt; "&amp;IF(TRIM(C180&amp;"")="","NULL","'"&amp;SUBSTITUTE(TRIM(C180),"'","''")&amp;"'")&amp;", p_telefono =&gt; "&amp;IF(TRIM(L180&amp;"")="","NULL","'"&amp;SUBSTITUTE(TRIM(L180),"'","''")&amp;"'")&amp;", p_email =&gt; "&amp;IF(TRIM(M180&amp;"")="","NULL","'"&amp;SUBSTITUTE(TRIM(M180),"'","''")&amp;"'")&amp;", p_observacion =&gt; "&amp;IF(TRIM(O180&amp;"")="","NULL","'"&amp;SUBSTITUTE(TRIM(O180),"'","''")&amp;"'")&amp;", p_direccion =&gt; "&amp;IF(TRIM(J180&amp;"")="","NULL","'"&amp;SUBSTITUTE(TRIM(J180),"'","''")&amp;"'")&amp;", p_referencia =&gt; "&amp;IF(TRIM(K180&amp;"")="","NULL","'"&amp;SUBSTITUTE(TRIM(K180),"'","''")&amp;"'")&amp;") AS resultado_cliente_"&amp;ROW()&amp;";")</f>
        <v/>
      </c>
    </row>
    <row r="181" ht="15.75" customHeight="1" s="64">
      <c r="A181" s="25">
        <f>IF(AND(D181="",E181="",C181=""),"",IF(AND(D181="",E181=""),"FALTA razón social o nombres",IF(AND(C181&lt;&gt;"",SUMPRODUCT(--($C$5:$C$549=C181))&gt;1),"DOCUMENTO DUPLICADO",IF(AND(B181="DNI",C181&lt;&gt;"",LEN(C181&amp;"")&lt;&gt;8),"DNI debe tener 8 dígitos",IF(AND(B181="RUC",C181&lt;&gt;"",LEN(C181&amp;"")&lt;&gt;11),"RUC debe tener 11 dígitos",IF(AND(N181&lt;&gt;"",SUMPRODUCT(--($N$5:$N$549=N181))&gt;1),"CÓDIGO INTERNO DUPLICADO","OK"))))))</f>
        <v/>
      </c>
      <c r="B181" s="17" t="inlineStr">
        <is>
          <t>SD</t>
        </is>
      </c>
      <c r="C181" s="23" t="inlineStr">
        <is>
          <t>000042</t>
        </is>
      </c>
      <c r="D181" s="17" t="n"/>
      <c r="E181" s="17" t="inlineStr">
        <is>
          <t>AUGUSTO</t>
        </is>
      </c>
      <c r="F181" s="17" t="inlineStr">
        <is>
          <t>BALDERA CHERO</t>
        </is>
      </c>
      <c r="G181" s="17" t="n"/>
      <c r="H181" s="17" t="inlineStr">
        <is>
          <t>Persona Natural</t>
        </is>
      </c>
      <c r="I181" s="17" t="inlineStr">
        <is>
          <t>Cliente</t>
        </is>
      </c>
      <c r="J181" s="17" t="n"/>
      <c r="K181" s="17" t="n"/>
      <c r="L181" s="23" t="n"/>
      <c r="M181" s="17" t="n"/>
      <c r="N181" s="23" t="n"/>
      <c r="O181" s="17" t="n"/>
      <c r="P181" s="28">
        <f>IF(A181&lt;&gt;"OK","","SELECT cli_crear_clientes(p_codigo_interno =&gt; "&amp;IF(TRIM(N181&amp;"")="","NULL","'"&amp;SUBSTITUTE(TRIM(N181),"'","''")&amp;"'")&amp;", p_razon_social =&gt; "&amp;IF(TRIM(D181&amp;"")="","NULL","'"&amp;SUBSTITUTE(TRIM(D181),"'","''")&amp;"'")&amp;", p_id_tipo_cliente =&gt; "&amp;IF(TRIM(I181&amp;"")="","NULL","(SELECT lo.id FROM gen_lista_opciones lo JOIN gen_lista l ON l.id = lo.id_lista WHERE l.nombre = 'TipoCliente' AND upper(lo.nombre) = upper('"&amp;SUBSTITUTE(TRIM(I181),"'","''")&amp;"') AND lo.estado = 1 LIMIT 1)")&amp;", p_id_tipo_persona =&gt; "&amp;IF(TRIM(H181&amp;"")="","NULL","(SELECT lo.id FROM gen_lista_opciones lo JOIN gen_lista l ON l.id = lo.id_lista WHERE l.nombre = 'TipoPersona' AND upper(lo.nombre) = upper('"&amp;SUBSTITUTE(TRIM(H181),"'","''")&amp;"') AND lo.estado = 1 LIMIT 1)")&amp;", p_nombres =&gt; "&amp;IF(TRIM(E181&amp;"")="","NULL","'"&amp;SUBSTITUTE(TRIM(E181),"'","''")&amp;"'")&amp;", p_apellido_paterno =&gt; "&amp;IF(TRIM(F181&amp;"")="","NULL","'"&amp;SUBSTITUTE(TRIM(F181),"'","''")&amp;"'")&amp;", p_apellido_materno =&gt; "&amp;IF(TRIM(G181&amp;"")="","NULL","'"&amp;SUBSTITUTE(TRIM(G181),"'","''")&amp;"'")&amp;", p_id_tipo_documento =&gt; "&amp;IF(TRIM(B181&amp;"")="","NULL","(SELECT lo.id FROM gen_lista_opciones lo JOIN gen_lista l ON l.id = lo.id_lista WHERE l.nombre = 'TipoDocumento' AND upper(lo.nombre) = upper('"&amp;SUBSTITUTE(TRIM(B181),"'","''")&amp;"') AND lo.estado = 1 LIMIT 1)")&amp;", p_numero_documento =&gt; "&amp;IF(TRIM(C181&amp;"")="","NULL","'"&amp;SUBSTITUTE(TRIM(C181),"'","''")&amp;"'")&amp;", p_telefono =&gt; "&amp;IF(TRIM(L181&amp;"")="","NULL","'"&amp;SUBSTITUTE(TRIM(L181),"'","''")&amp;"'")&amp;", p_email =&gt; "&amp;IF(TRIM(M181&amp;"")="","NULL","'"&amp;SUBSTITUTE(TRIM(M181),"'","''")&amp;"'")&amp;", p_observacion =&gt; "&amp;IF(TRIM(O181&amp;"")="","NULL","'"&amp;SUBSTITUTE(TRIM(O181),"'","''")&amp;"'")&amp;", p_direccion =&gt; "&amp;IF(TRIM(J181&amp;"")="","NULL","'"&amp;SUBSTITUTE(TRIM(J181),"'","''")&amp;"'")&amp;", p_referencia =&gt; "&amp;IF(TRIM(K181&amp;"")="","NULL","'"&amp;SUBSTITUTE(TRIM(K181),"'","''")&amp;"'")&amp;") AS resultado_cliente_"&amp;ROW()&amp;";")</f>
        <v/>
      </c>
    </row>
    <row r="182" ht="15.75" customHeight="1" s="64">
      <c r="A182" s="25">
        <f>IF(AND(D182="",E182="",C182=""),"",IF(AND(D182="",E182=""),"FALTA razón social o nombres",IF(AND(C182&lt;&gt;"",SUMPRODUCT(--($C$5:$C$549=C182))&gt;1),"DOCUMENTO DUPLICADO",IF(AND(B182="DNI",C182&lt;&gt;"",LEN(C182&amp;"")&lt;&gt;8),"DNI debe tener 8 dígitos",IF(AND(B182="RUC",C182&lt;&gt;"",LEN(C182&amp;"")&lt;&gt;11),"RUC debe tener 11 dígitos",IF(AND(N182&lt;&gt;"",SUMPRODUCT(--($N$5:$N$549=N182))&gt;1),"CÓDIGO INTERNO DUPLICADO","OK"))))))</f>
        <v/>
      </c>
      <c r="B182" s="17" t="inlineStr">
        <is>
          <t>DNI</t>
        </is>
      </c>
      <c r="C182" s="23" t="inlineStr">
        <is>
          <t>29646105</t>
        </is>
      </c>
      <c r="D182" s="17" t="n"/>
      <c r="E182" s="17" t="inlineStr">
        <is>
          <t>ANA CECILIA</t>
        </is>
      </c>
      <c r="F182" s="17" t="inlineStr">
        <is>
          <t>CHAUANA</t>
        </is>
      </c>
      <c r="G182" s="17" t="inlineStr">
        <is>
          <t>SANCHAZ</t>
        </is>
      </c>
      <c r="H182" s="17" t="inlineStr">
        <is>
          <t>Persona Jurídica</t>
        </is>
      </c>
      <c r="I182" s="17" t="inlineStr">
        <is>
          <t>Cliente</t>
        </is>
      </c>
      <c r="J182" s="17" t="n"/>
      <c r="K182" s="17" t="n"/>
      <c r="L182" s="23" t="n"/>
      <c r="M182" s="17" t="n"/>
      <c r="N182" s="23" t="n"/>
      <c r="O182" s="17" t="n"/>
      <c r="P182" s="28">
        <f>IF(A182&lt;&gt;"OK","","SELECT cli_crear_clientes(p_codigo_interno =&gt; "&amp;IF(TRIM(N182&amp;"")="","NULL","'"&amp;SUBSTITUTE(TRIM(N182),"'","''")&amp;"'")&amp;", p_razon_social =&gt; "&amp;IF(TRIM(D182&amp;"")="","NULL","'"&amp;SUBSTITUTE(TRIM(D182),"'","''")&amp;"'")&amp;", p_id_tipo_cliente =&gt; "&amp;IF(TRIM(I182&amp;"")="","NULL","(SELECT lo.id FROM gen_lista_opciones lo JOIN gen_lista l ON l.id = lo.id_lista WHERE l.nombre = 'TipoCliente' AND upper(lo.nombre) = upper('"&amp;SUBSTITUTE(TRIM(I182),"'","''")&amp;"') AND lo.estado = 1 LIMIT 1)")&amp;", p_id_tipo_persona =&gt; "&amp;IF(TRIM(H182&amp;"")="","NULL","(SELECT lo.id FROM gen_lista_opciones lo JOIN gen_lista l ON l.id = lo.id_lista WHERE l.nombre = 'TipoPersona' AND upper(lo.nombre) = upper('"&amp;SUBSTITUTE(TRIM(H182),"'","''")&amp;"') AND lo.estado = 1 LIMIT 1)")&amp;", p_nombres =&gt; "&amp;IF(TRIM(E182&amp;"")="","NULL","'"&amp;SUBSTITUTE(TRIM(E182),"'","''")&amp;"'")&amp;", p_apellido_paterno =&gt; "&amp;IF(TRIM(F182&amp;"")="","NULL","'"&amp;SUBSTITUTE(TRIM(F182),"'","''")&amp;"'")&amp;", p_apellido_materno =&gt; "&amp;IF(TRIM(G182&amp;"")="","NULL","'"&amp;SUBSTITUTE(TRIM(G182),"'","''")&amp;"'")&amp;", p_id_tipo_documento =&gt; "&amp;IF(TRIM(B182&amp;"")="","NULL","(SELECT lo.id FROM gen_lista_opciones lo JOIN gen_lista l ON l.id = lo.id_lista WHERE l.nombre = 'TipoDocumento' AND upper(lo.nombre) = upper('"&amp;SUBSTITUTE(TRIM(B182),"'","''")&amp;"') AND lo.estado = 1 LIMIT 1)")&amp;", p_numero_documento =&gt; "&amp;IF(TRIM(C182&amp;"")="","NULL","'"&amp;SUBSTITUTE(TRIM(C182),"'","''")&amp;"'")&amp;", p_telefono =&gt; "&amp;IF(TRIM(L182&amp;"")="","NULL","'"&amp;SUBSTITUTE(TRIM(L182),"'","''")&amp;"'")&amp;", p_email =&gt; "&amp;IF(TRIM(M182&amp;"")="","NULL","'"&amp;SUBSTITUTE(TRIM(M182),"'","''")&amp;"'")&amp;", p_observacion =&gt; "&amp;IF(TRIM(O182&amp;"")="","NULL","'"&amp;SUBSTITUTE(TRIM(O182),"'","''")&amp;"'")&amp;", p_direccion =&gt; "&amp;IF(TRIM(J182&amp;"")="","NULL","'"&amp;SUBSTITUTE(TRIM(J182),"'","''")&amp;"'")&amp;", p_referencia =&gt; "&amp;IF(TRIM(K182&amp;"")="","NULL","'"&amp;SUBSTITUTE(TRIM(K182),"'","''")&amp;"'")&amp;") AS resultado_cliente_"&amp;ROW()&amp;";")</f>
        <v/>
      </c>
    </row>
    <row r="183" ht="15.75" customHeight="1" s="64">
      <c r="A183" s="25">
        <f>IF(AND(D183="",E183="",C183=""),"",IF(AND(D183="",E183=""),"FALTA razón social o nombres",IF(AND(C183&lt;&gt;"",SUMPRODUCT(--($C$5:$C$549=C183))&gt;1),"DOCUMENTO DUPLICADO",IF(AND(B183="DNI",C183&lt;&gt;"",LEN(C183&amp;"")&lt;&gt;8),"DNI debe tener 8 dígitos",IF(AND(B183="RUC",C183&lt;&gt;"",LEN(C183&amp;"")&lt;&gt;11),"RUC debe tener 11 dígitos",IF(AND(N183&lt;&gt;"",SUMPRODUCT(--($N$5:$N$549=N183))&gt;1),"CÓDIGO INTERNO DUPLICADO","OK"))))))</f>
        <v/>
      </c>
      <c r="B183" s="17" t="inlineStr">
        <is>
          <t>DNI</t>
        </is>
      </c>
      <c r="C183" s="23" t="inlineStr">
        <is>
          <t>44491850</t>
        </is>
      </c>
      <c r="D183" s="17" t="n"/>
      <c r="E183" s="17" t="inlineStr">
        <is>
          <t>HUGO</t>
        </is>
      </c>
      <c r="F183" s="17" t="inlineStr">
        <is>
          <t xml:space="preserve">BANCES </t>
        </is>
      </c>
      <c r="G183" s="17" t="inlineStr">
        <is>
          <t>SANDOVAL</t>
        </is>
      </c>
      <c r="H183" s="17" t="inlineStr">
        <is>
          <t>Persona Natural</t>
        </is>
      </c>
      <c r="I183" s="17" t="inlineStr">
        <is>
          <t>Cliente</t>
        </is>
      </c>
      <c r="J183" s="17" t="n"/>
      <c r="K183" s="17" t="n"/>
      <c r="L183" s="23" t="n"/>
      <c r="M183" s="17" t="n"/>
      <c r="N183" s="23" t="n"/>
      <c r="O183" s="17" t="n"/>
      <c r="P183" s="28">
        <f>IF(A183&lt;&gt;"OK","","SELECT cli_crear_clientes(p_codigo_interno =&gt; "&amp;IF(TRIM(N183&amp;"")="","NULL","'"&amp;SUBSTITUTE(TRIM(N183),"'","''")&amp;"'")&amp;", p_razon_social =&gt; "&amp;IF(TRIM(D183&amp;"")="","NULL","'"&amp;SUBSTITUTE(TRIM(D183),"'","''")&amp;"'")&amp;", p_id_tipo_cliente =&gt; "&amp;IF(TRIM(I183&amp;"")="","NULL","(SELECT lo.id FROM gen_lista_opciones lo JOIN gen_lista l ON l.id = lo.id_lista WHERE l.nombre = 'TipoCliente' AND upper(lo.nombre) = upper('"&amp;SUBSTITUTE(TRIM(I183),"'","''")&amp;"') AND lo.estado = 1 LIMIT 1)")&amp;", p_id_tipo_persona =&gt; "&amp;IF(TRIM(H183&amp;"")="","NULL","(SELECT lo.id FROM gen_lista_opciones lo JOIN gen_lista l ON l.id = lo.id_lista WHERE l.nombre = 'TipoPersona' AND upper(lo.nombre) = upper('"&amp;SUBSTITUTE(TRIM(H183),"'","''")&amp;"') AND lo.estado = 1 LIMIT 1)")&amp;", p_nombres =&gt; "&amp;IF(TRIM(E183&amp;"")="","NULL","'"&amp;SUBSTITUTE(TRIM(E183),"'","''")&amp;"'")&amp;", p_apellido_paterno =&gt; "&amp;IF(TRIM(F183&amp;"")="","NULL","'"&amp;SUBSTITUTE(TRIM(F183),"'","''")&amp;"'")&amp;", p_apellido_materno =&gt; "&amp;IF(TRIM(G183&amp;"")="","NULL","'"&amp;SUBSTITUTE(TRIM(G183),"'","''")&amp;"'")&amp;", p_id_tipo_documento =&gt; "&amp;IF(TRIM(B183&amp;"")="","NULL","(SELECT lo.id FROM gen_lista_opciones lo JOIN gen_lista l ON l.id = lo.id_lista WHERE l.nombre = 'TipoDocumento' AND upper(lo.nombre) = upper('"&amp;SUBSTITUTE(TRIM(B183),"'","''")&amp;"') AND lo.estado = 1 LIMIT 1)")&amp;", p_numero_documento =&gt; "&amp;IF(TRIM(C183&amp;"")="","NULL","'"&amp;SUBSTITUTE(TRIM(C183),"'","''")&amp;"'")&amp;", p_telefono =&gt; "&amp;IF(TRIM(L183&amp;"")="","NULL","'"&amp;SUBSTITUTE(TRIM(L183),"'","''")&amp;"'")&amp;", p_email =&gt; "&amp;IF(TRIM(M183&amp;"")="","NULL","'"&amp;SUBSTITUTE(TRIM(M183),"'","''")&amp;"'")&amp;", p_observacion =&gt; "&amp;IF(TRIM(O183&amp;"")="","NULL","'"&amp;SUBSTITUTE(TRIM(O183),"'","''")&amp;"'")&amp;", p_direccion =&gt; "&amp;IF(TRIM(J183&amp;"")="","NULL","'"&amp;SUBSTITUTE(TRIM(J183),"'","''")&amp;"'")&amp;", p_referencia =&gt; "&amp;IF(TRIM(K183&amp;"")="","NULL","'"&amp;SUBSTITUTE(TRIM(K183),"'","''")&amp;"'")&amp;") AS resultado_cliente_"&amp;ROW()&amp;";")</f>
        <v/>
      </c>
    </row>
    <row r="184" ht="15.75" customHeight="1" s="64">
      <c r="A184" s="25">
        <f>IF(AND(D184="",E184="",C184=""),"",IF(AND(D184="",E184=""),"FALTA razón social o nombres",IF(AND(C184&lt;&gt;"",SUMPRODUCT(--($C$5:$C$549=C184))&gt;1),"DOCUMENTO DUPLICADO",IF(AND(B184="DNI",C184&lt;&gt;"",LEN(C184&amp;"")&lt;&gt;8),"DNI debe tener 8 dígitos",IF(AND(B184="RUC",C184&lt;&gt;"",LEN(C184&amp;"")&lt;&gt;11),"RUC debe tener 11 dígitos",IF(AND(N184&lt;&gt;"",SUMPRODUCT(--($N$5:$N$549=N184))&gt;1),"CÓDIGO INTERNO DUPLICADO","OK"))))))</f>
        <v/>
      </c>
      <c r="B184" s="17" t="inlineStr">
        <is>
          <t>RUC</t>
        </is>
      </c>
      <c r="C184" s="23" t="inlineStr">
        <is>
          <t>10164549831</t>
        </is>
      </c>
      <c r="D184" s="24" t="inlineStr">
        <is>
          <t>BANCES VEGA WALTER ENRIQUE</t>
        </is>
      </c>
      <c r="E184" s="17" t="n"/>
      <c r="F184" s="17" t="n"/>
      <c r="G184" s="17" t="n"/>
      <c r="H184" s="17" t="inlineStr">
        <is>
          <t>Persona Jurídica</t>
        </is>
      </c>
      <c r="I184" s="17" t="inlineStr">
        <is>
          <t>Cliente</t>
        </is>
      </c>
      <c r="J184" s="17" t="n"/>
      <c r="K184" s="17" t="n"/>
      <c r="L184" s="23" t="n"/>
      <c r="M184" s="17" t="n"/>
      <c r="N184" s="23" t="n"/>
      <c r="O184" s="17" t="n"/>
      <c r="P184" s="28">
        <f>IF(A184&lt;&gt;"OK","","SELECT cli_crear_clientes(p_codigo_interno =&gt; "&amp;IF(TRIM(N184&amp;"")="","NULL","'"&amp;SUBSTITUTE(TRIM(N184),"'","''")&amp;"'")&amp;", p_razon_social =&gt; "&amp;IF(TRIM(D184&amp;"")="","NULL","'"&amp;SUBSTITUTE(TRIM(D184),"'","''")&amp;"'")&amp;", p_id_tipo_cliente =&gt; "&amp;IF(TRIM(I184&amp;"")="","NULL","(SELECT lo.id FROM gen_lista_opciones lo JOIN gen_lista l ON l.id = lo.id_lista WHERE l.nombre = 'TipoCliente' AND upper(lo.nombre) = upper('"&amp;SUBSTITUTE(TRIM(I184),"'","''")&amp;"') AND lo.estado = 1 LIMIT 1)")&amp;", p_id_tipo_persona =&gt; "&amp;IF(TRIM(H184&amp;"")="","NULL","(SELECT lo.id FROM gen_lista_opciones lo JOIN gen_lista l ON l.id = lo.id_lista WHERE l.nombre = 'TipoPersona' AND upper(lo.nombre) = upper('"&amp;SUBSTITUTE(TRIM(H184),"'","''")&amp;"') AND lo.estado = 1 LIMIT 1)")&amp;", p_nombres =&gt; "&amp;IF(TRIM(E184&amp;"")="","NULL","'"&amp;SUBSTITUTE(TRIM(E184),"'","''")&amp;"'")&amp;", p_apellido_paterno =&gt; "&amp;IF(TRIM(F184&amp;"")="","NULL","'"&amp;SUBSTITUTE(TRIM(F184),"'","''")&amp;"'")&amp;", p_apellido_materno =&gt; "&amp;IF(TRIM(G184&amp;"")="","NULL","'"&amp;SUBSTITUTE(TRIM(G184),"'","''")&amp;"'")&amp;", p_id_tipo_documento =&gt; "&amp;IF(TRIM(B184&amp;"")="","NULL","(SELECT lo.id FROM gen_lista_opciones lo JOIN gen_lista l ON l.id = lo.id_lista WHERE l.nombre = 'TipoDocumento' AND upper(lo.nombre) = upper('"&amp;SUBSTITUTE(TRIM(B184),"'","''")&amp;"') AND lo.estado = 1 LIMIT 1)")&amp;", p_numero_documento =&gt; "&amp;IF(TRIM(C184&amp;"")="","NULL","'"&amp;SUBSTITUTE(TRIM(C184),"'","''")&amp;"'")&amp;", p_telefono =&gt; "&amp;IF(TRIM(L184&amp;"")="","NULL","'"&amp;SUBSTITUTE(TRIM(L184),"'","''")&amp;"'")&amp;", p_email =&gt; "&amp;IF(TRIM(M184&amp;"")="","NULL","'"&amp;SUBSTITUTE(TRIM(M184),"'","''")&amp;"'")&amp;", p_observacion =&gt; "&amp;IF(TRIM(O184&amp;"")="","NULL","'"&amp;SUBSTITUTE(TRIM(O184),"'","''")&amp;"'")&amp;", p_direccion =&gt; "&amp;IF(TRIM(J184&amp;"")="","NULL","'"&amp;SUBSTITUTE(TRIM(J184),"'","''")&amp;"'")&amp;", p_referencia =&gt; "&amp;IF(TRIM(K184&amp;"")="","NULL","'"&amp;SUBSTITUTE(TRIM(K184),"'","''")&amp;"'")&amp;") AS resultado_cliente_"&amp;ROW()&amp;";")</f>
        <v/>
      </c>
    </row>
    <row r="185" ht="15.75" customHeight="1" s="64">
      <c r="A185" s="25">
        <f>IF(AND(D185="",E185="",C185=""),"",IF(AND(D185="",E185=""),"FALTA razón social o nombres",IF(AND(C185&lt;&gt;"",SUMPRODUCT(--($C$5:$C$549=C185))&gt;1),"DOCUMENTO DUPLICADO",IF(AND(B185="DNI",C185&lt;&gt;"",LEN(C185&amp;"")&lt;&gt;8),"DNI debe tener 8 dígitos",IF(AND(B185="RUC",C185&lt;&gt;"",LEN(C185&amp;"")&lt;&gt;11),"RUC debe tener 11 dígitos",IF(AND(N185&lt;&gt;"",SUMPRODUCT(--($N$5:$N$549=N185))&gt;1),"CÓDIGO INTERNO DUPLICADO","OK"))))))</f>
        <v/>
      </c>
      <c r="B185" s="17" t="inlineStr">
        <is>
          <t>DNI</t>
        </is>
      </c>
      <c r="C185" s="23" t="inlineStr">
        <is>
          <t>16739420</t>
        </is>
      </c>
      <c r="D185" s="17" t="n"/>
      <c r="E185" s="17" t="inlineStr">
        <is>
          <t>MANUEL EDILBERTO</t>
        </is>
      </c>
      <c r="F185" s="17" t="inlineStr">
        <is>
          <t>BARRETO</t>
        </is>
      </c>
      <c r="G185" s="17" t="inlineStr">
        <is>
          <t>PALOMINO</t>
        </is>
      </c>
      <c r="H185" s="17" t="inlineStr">
        <is>
          <t>Persona Natural</t>
        </is>
      </c>
      <c r="I185" s="17" t="inlineStr">
        <is>
          <t>Cliente</t>
        </is>
      </c>
      <c r="J185" s="17" t="n"/>
      <c r="K185" s="17" t="n"/>
      <c r="L185" s="23" t="n"/>
      <c r="M185" s="17" t="n"/>
      <c r="N185" s="23" t="n"/>
      <c r="O185" s="17" t="n"/>
      <c r="P185" s="28">
        <f>IF(A185&lt;&gt;"OK","","SELECT cli_crear_clientes(p_codigo_interno =&gt; "&amp;IF(TRIM(N185&amp;"")="","NULL","'"&amp;SUBSTITUTE(TRIM(N185),"'","''")&amp;"'")&amp;", p_razon_social =&gt; "&amp;IF(TRIM(D185&amp;"")="","NULL","'"&amp;SUBSTITUTE(TRIM(D185),"'","''")&amp;"'")&amp;", p_id_tipo_cliente =&gt; "&amp;IF(TRIM(I185&amp;"")="","NULL","(SELECT lo.id FROM gen_lista_opciones lo JOIN gen_lista l ON l.id = lo.id_lista WHERE l.nombre = 'TipoCliente' AND upper(lo.nombre) = upper('"&amp;SUBSTITUTE(TRIM(I185),"'","''")&amp;"') AND lo.estado = 1 LIMIT 1)")&amp;", p_id_tipo_persona =&gt; "&amp;IF(TRIM(H185&amp;"")="","NULL","(SELECT lo.id FROM gen_lista_opciones lo JOIN gen_lista l ON l.id = lo.id_lista WHERE l.nombre = 'TipoPersona' AND upper(lo.nombre) = upper('"&amp;SUBSTITUTE(TRIM(H185),"'","''")&amp;"') AND lo.estado = 1 LIMIT 1)")&amp;", p_nombres =&gt; "&amp;IF(TRIM(E185&amp;"")="","NULL","'"&amp;SUBSTITUTE(TRIM(E185),"'","''")&amp;"'")&amp;", p_apellido_paterno =&gt; "&amp;IF(TRIM(F185&amp;"")="","NULL","'"&amp;SUBSTITUTE(TRIM(F185),"'","''")&amp;"'")&amp;", p_apellido_materno =&gt; "&amp;IF(TRIM(G185&amp;"")="","NULL","'"&amp;SUBSTITUTE(TRIM(G185),"'","''")&amp;"'")&amp;", p_id_tipo_documento =&gt; "&amp;IF(TRIM(B185&amp;"")="","NULL","(SELECT lo.id FROM gen_lista_opciones lo JOIN gen_lista l ON l.id = lo.id_lista WHERE l.nombre = 'TipoDocumento' AND upper(lo.nombre) = upper('"&amp;SUBSTITUTE(TRIM(B185),"'","''")&amp;"') AND lo.estado = 1 LIMIT 1)")&amp;", p_numero_documento =&gt; "&amp;IF(TRIM(C185&amp;"")="","NULL","'"&amp;SUBSTITUTE(TRIM(C185),"'","''")&amp;"'")&amp;", p_telefono =&gt; "&amp;IF(TRIM(L185&amp;"")="","NULL","'"&amp;SUBSTITUTE(TRIM(L185),"'","''")&amp;"'")&amp;", p_email =&gt; "&amp;IF(TRIM(M185&amp;"")="","NULL","'"&amp;SUBSTITUTE(TRIM(M185),"'","''")&amp;"'")&amp;", p_observacion =&gt; "&amp;IF(TRIM(O185&amp;"")="","NULL","'"&amp;SUBSTITUTE(TRIM(O185),"'","''")&amp;"'")&amp;", p_direccion =&gt; "&amp;IF(TRIM(J185&amp;"")="","NULL","'"&amp;SUBSTITUTE(TRIM(J185),"'","''")&amp;"'")&amp;", p_referencia =&gt; "&amp;IF(TRIM(K185&amp;"")="","NULL","'"&amp;SUBSTITUTE(TRIM(K185),"'","''")&amp;"'")&amp;") AS resultado_cliente_"&amp;ROW()&amp;";")</f>
        <v/>
      </c>
    </row>
    <row r="186" ht="15.75" customHeight="1" s="64">
      <c r="A186" s="25">
        <f>IF(AND(D186="",E186="",C186=""),"",IF(AND(D186="",E186=""),"FALTA razón social o nombres",IF(AND(C186&lt;&gt;"",SUMPRODUCT(--($C$5:$C$549=C186))&gt;1),"DOCUMENTO DUPLICADO",IF(AND(B186="DNI",C186&lt;&gt;"",LEN(C186&amp;"")&lt;&gt;8),"DNI debe tener 8 dígitos",IF(AND(B186="RUC",C186&lt;&gt;"",LEN(C186&amp;"")&lt;&gt;11),"RUC debe tener 11 dígitos",IF(AND(N186&lt;&gt;"",SUMPRODUCT(--($N$5:$N$549=N186))&gt;1),"CÓDIGO INTERNO DUPLICADO","OK"))))))</f>
        <v/>
      </c>
      <c r="B186" s="17" t="inlineStr">
        <is>
          <t>DNI</t>
        </is>
      </c>
      <c r="C186" s="23" t="inlineStr">
        <is>
          <t>44377974</t>
        </is>
      </c>
      <c r="D186" s="17" t="n"/>
      <c r="E186" s="17" t="inlineStr">
        <is>
          <t>DINA</t>
        </is>
      </c>
      <c r="F186" s="17" t="inlineStr">
        <is>
          <t xml:space="preserve">CHAPOÑAN </t>
        </is>
      </c>
      <c r="G186" s="17" t="inlineStr">
        <is>
          <t>MORALES</t>
        </is>
      </c>
      <c r="H186" s="17" t="inlineStr">
        <is>
          <t>Persona Natural</t>
        </is>
      </c>
      <c r="I186" s="17" t="inlineStr">
        <is>
          <t>Cliente</t>
        </is>
      </c>
      <c r="J186" s="17" t="n"/>
      <c r="K186" s="17" t="n"/>
      <c r="L186" s="23" t="n"/>
      <c r="M186" s="17" t="n"/>
      <c r="N186" s="23" t="n"/>
      <c r="O186" s="17" t="n"/>
      <c r="P186" s="28">
        <f>IF(A186&lt;&gt;"OK","","SELECT cli_crear_clientes(p_codigo_interno =&gt; "&amp;IF(TRIM(N186&amp;"")="","NULL","'"&amp;SUBSTITUTE(TRIM(N186),"'","''")&amp;"'")&amp;", p_razon_social =&gt; "&amp;IF(TRIM(D186&amp;"")="","NULL","'"&amp;SUBSTITUTE(TRIM(D186),"'","''")&amp;"'")&amp;", p_id_tipo_cliente =&gt; "&amp;IF(TRIM(I186&amp;"")="","NULL","(SELECT lo.id FROM gen_lista_opciones lo JOIN gen_lista l ON l.id = lo.id_lista WHERE l.nombre = 'TipoCliente' AND upper(lo.nombre) = upper('"&amp;SUBSTITUTE(TRIM(I186),"'","''")&amp;"') AND lo.estado = 1 LIMIT 1)")&amp;", p_id_tipo_persona =&gt; "&amp;IF(TRIM(H186&amp;"")="","NULL","(SELECT lo.id FROM gen_lista_opciones lo JOIN gen_lista l ON l.id = lo.id_lista WHERE l.nombre = 'TipoPersona' AND upper(lo.nombre) = upper('"&amp;SUBSTITUTE(TRIM(H186),"'","''")&amp;"') AND lo.estado = 1 LIMIT 1)")&amp;", p_nombres =&gt; "&amp;IF(TRIM(E186&amp;"")="","NULL","'"&amp;SUBSTITUTE(TRIM(E186),"'","''")&amp;"'")&amp;", p_apellido_paterno =&gt; "&amp;IF(TRIM(F186&amp;"")="","NULL","'"&amp;SUBSTITUTE(TRIM(F186),"'","''")&amp;"'")&amp;", p_apellido_materno =&gt; "&amp;IF(TRIM(G186&amp;"")="","NULL","'"&amp;SUBSTITUTE(TRIM(G186),"'","''")&amp;"'")&amp;", p_id_tipo_documento =&gt; "&amp;IF(TRIM(B186&amp;"")="","NULL","(SELECT lo.id FROM gen_lista_opciones lo JOIN gen_lista l ON l.id = lo.id_lista WHERE l.nombre = 'TipoDocumento' AND upper(lo.nombre) = upper('"&amp;SUBSTITUTE(TRIM(B186),"'","''")&amp;"') AND lo.estado = 1 LIMIT 1)")&amp;", p_numero_documento =&gt; "&amp;IF(TRIM(C186&amp;"")="","NULL","'"&amp;SUBSTITUTE(TRIM(C186),"'","''")&amp;"'")&amp;", p_telefono =&gt; "&amp;IF(TRIM(L186&amp;"")="","NULL","'"&amp;SUBSTITUTE(TRIM(L186),"'","''")&amp;"'")&amp;", p_email =&gt; "&amp;IF(TRIM(M186&amp;"")="","NULL","'"&amp;SUBSTITUTE(TRIM(M186),"'","''")&amp;"'")&amp;", p_observacion =&gt; "&amp;IF(TRIM(O186&amp;"")="","NULL","'"&amp;SUBSTITUTE(TRIM(O186),"'","''")&amp;"'")&amp;", p_direccion =&gt; "&amp;IF(TRIM(J186&amp;"")="","NULL","'"&amp;SUBSTITUTE(TRIM(J186),"'","''")&amp;"'")&amp;", p_referencia =&gt; "&amp;IF(TRIM(K186&amp;"")="","NULL","'"&amp;SUBSTITUTE(TRIM(K186),"'","''")&amp;"'")&amp;") AS resultado_cliente_"&amp;ROW()&amp;";")</f>
        <v/>
      </c>
    </row>
    <row r="187" ht="15.75" customHeight="1" s="64">
      <c r="A187" s="25">
        <f>IF(AND(D187="",E187="",C187=""),"",IF(AND(D187="",E187=""),"FALTA razón social o nombres",IF(AND(C187&lt;&gt;"",SUMPRODUCT(--($C$5:$C$549=C187))&gt;1),"DOCUMENTO DUPLICADO",IF(AND(B187="DNI",C187&lt;&gt;"",LEN(C187&amp;"")&lt;&gt;8),"DNI debe tener 8 dígitos",IF(AND(B187="RUC",C187&lt;&gt;"",LEN(C187&amp;"")&lt;&gt;11),"RUC debe tener 11 dígitos",IF(AND(N187&lt;&gt;"",SUMPRODUCT(--($N$5:$N$549=N187))&gt;1),"CÓDIGO INTERNO DUPLICADO","OK"))))))</f>
        <v/>
      </c>
      <c r="B187" s="17" t="inlineStr">
        <is>
          <t>RUC</t>
        </is>
      </c>
      <c r="C187" s="23" t="inlineStr">
        <is>
          <t>10037018738</t>
        </is>
      </c>
      <c r="D187" s="17" t="inlineStr">
        <is>
          <t>CHUMAN BANCES ALEJANDRO JAIME</t>
        </is>
      </c>
      <c r="E187" s="17" t="n"/>
      <c r="F187" s="17" t="n"/>
      <c r="G187" s="17" t="n"/>
      <c r="H187" s="17" t="inlineStr">
        <is>
          <t>Persona Jurídica</t>
        </is>
      </c>
      <c r="I187" s="17" t="inlineStr">
        <is>
          <t>Cliente</t>
        </is>
      </c>
      <c r="J187" s="17" t="n"/>
      <c r="K187" s="17" t="n"/>
      <c r="L187" s="23" t="n"/>
      <c r="M187" s="17" t="n"/>
      <c r="N187" s="23" t="n"/>
      <c r="O187" s="17" t="n"/>
      <c r="P187" s="28">
        <f>IF(A187&lt;&gt;"OK","","SELECT cli_crear_clientes(p_codigo_interno =&gt; "&amp;IF(TRIM(N187&amp;"")="","NULL","'"&amp;SUBSTITUTE(TRIM(N187),"'","''")&amp;"'")&amp;", p_razon_social =&gt; "&amp;IF(TRIM(D187&amp;"")="","NULL","'"&amp;SUBSTITUTE(TRIM(D187),"'","''")&amp;"'")&amp;", p_id_tipo_cliente =&gt; "&amp;IF(TRIM(I187&amp;"")="","NULL","(SELECT lo.id FROM gen_lista_opciones lo JOIN gen_lista l ON l.id = lo.id_lista WHERE l.nombre = 'TipoCliente' AND upper(lo.nombre) = upper('"&amp;SUBSTITUTE(TRIM(I187),"'","''")&amp;"') AND lo.estado = 1 LIMIT 1)")&amp;", p_id_tipo_persona =&gt; "&amp;IF(TRIM(H187&amp;"")="","NULL","(SELECT lo.id FROM gen_lista_opciones lo JOIN gen_lista l ON l.id = lo.id_lista WHERE l.nombre = 'TipoPersona' AND upper(lo.nombre) = upper('"&amp;SUBSTITUTE(TRIM(H187),"'","''")&amp;"') AND lo.estado = 1 LIMIT 1)")&amp;", p_nombres =&gt; "&amp;IF(TRIM(E187&amp;"")="","NULL","'"&amp;SUBSTITUTE(TRIM(E187),"'","''")&amp;"'")&amp;", p_apellido_paterno =&gt; "&amp;IF(TRIM(F187&amp;"")="","NULL","'"&amp;SUBSTITUTE(TRIM(F187),"'","''")&amp;"'")&amp;", p_apellido_materno =&gt; "&amp;IF(TRIM(G187&amp;"")="","NULL","'"&amp;SUBSTITUTE(TRIM(G187),"'","''")&amp;"'")&amp;", p_id_tipo_documento =&gt; "&amp;IF(TRIM(B187&amp;"")="","NULL","(SELECT lo.id FROM gen_lista_opciones lo JOIN gen_lista l ON l.id = lo.id_lista WHERE l.nombre = 'TipoDocumento' AND upper(lo.nombre) = upper('"&amp;SUBSTITUTE(TRIM(B187),"'","''")&amp;"') AND lo.estado = 1 LIMIT 1)")&amp;", p_numero_documento =&gt; "&amp;IF(TRIM(C187&amp;"")="","NULL","'"&amp;SUBSTITUTE(TRIM(C187),"'","''")&amp;"'")&amp;", p_telefono =&gt; "&amp;IF(TRIM(L187&amp;"")="","NULL","'"&amp;SUBSTITUTE(TRIM(L187),"'","''")&amp;"'")&amp;", p_email =&gt; "&amp;IF(TRIM(M187&amp;"")="","NULL","'"&amp;SUBSTITUTE(TRIM(M187),"'","''")&amp;"'")&amp;", p_observacion =&gt; "&amp;IF(TRIM(O187&amp;"")="","NULL","'"&amp;SUBSTITUTE(TRIM(O187),"'","''")&amp;"'")&amp;", p_direccion =&gt; "&amp;IF(TRIM(J187&amp;"")="","NULL","'"&amp;SUBSTITUTE(TRIM(J187),"'","''")&amp;"'")&amp;", p_referencia =&gt; "&amp;IF(TRIM(K187&amp;"")="","NULL","'"&amp;SUBSTITUTE(TRIM(K187),"'","''")&amp;"'")&amp;") AS resultado_cliente_"&amp;ROW()&amp;";")</f>
        <v/>
      </c>
    </row>
    <row r="188" ht="15.75" customHeight="1" s="64">
      <c r="A188" s="25">
        <f>IF(AND(D188="",E188="",C188=""),"",IF(AND(D188="",E188=""),"FALTA razón social o nombres",IF(AND(C188&lt;&gt;"",SUMPRODUCT(--($C$5:$C$549=C188))&gt;1),"DOCUMENTO DUPLICADO",IF(AND(B188="DNI",C188&lt;&gt;"",LEN(C188&amp;"")&lt;&gt;8),"DNI debe tener 8 dígitos",IF(AND(B188="RUC",C188&lt;&gt;"",LEN(C188&amp;"")&lt;&gt;11),"RUC debe tener 11 dígitos",IF(AND(N188&lt;&gt;"",SUMPRODUCT(--($N$5:$N$549=N188))&gt;1),"CÓDIGO INTERNO DUPLICADO","OK"))))))</f>
        <v/>
      </c>
      <c r="B188" s="17" t="inlineStr">
        <is>
          <t>RUC</t>
        </is>
      </c>
      <c r="C188" s="23" t="inlineStr">
        <is>
          <t>10176032800</t>
        </is>
      </c>
      <c r="D188" s="17" t="inlineStr">
        <is>
          <t>CHUMAN BANCES JOSE DEL CARMEN</t>
        </is>
      </c>
      <c r="E188" s="17" t="n"/>
      <c r="F188" s="17" t="n"/>
      <c r="G188" s="17" t="n"/>
      <c r="H188" s="17" t="inlineStr">
        <is>
          <t>Persona Jurídica</t>
        </is>
      </c>
      <c r="I188" s="17" t="inlineStr">
        <is>
          <t>Cliente</t>
        </is>
      </c>
      <c r="J188" s="17" t="n"/>
      <c r="K188" s="17" t="n"/>
      <c r="L188" s="23" t="n"/>
      <c r="M188" s="17" t="n"/>
      <c r="N188" s="23" t="n"/>
      <c r="O188" s="17" t="n"/>
      <c r="P188" s="28">
        <f>IF(A188&lt;&gt;"OK","","SELECT cli_crear_clientes(p_codigo_interno =&gt; "&amp;IF(TRIM(N188&amp;"")="","NULL","'"&amp;SUBSTITUTE(TRIM(N188),"'","''")&amp;"'")&amp;", p_razon_social =&gt; "&amp;IF(TRIM(D188&amp;"")="","NULL","'"&amp;SUBSTITUTE(TRIM(D188),"'","''")&amp;"'")&amp;", p_id_tipo_cliente =&gt; "&amp;IF(TRIM(I188&amp;"")="","NULL","(SELECT lo.id FROM gen_lista_opciones lo JOIN gen_lista l ON l.id = lo.id_lista WHERE l.nombre = 'TipoCliente' AND upper(lo.nombre) = upper('"&amp;SUBSTITUTE(TRIM(I188),"'","''")&amp;"') AND lo.estado = 1 LIMIT 1)")&amp;", p_id_tipo_persona =&gt; "&amp;IF(TRIM(H188&amp;"")="","NULL","(SELECT lo.id FROM gen_lista_opciones lo JOIN gen_lista l ON l.id = lo.id_lista WHERE l.nombre = 'TipoPersona' AND upper(lo.nombre) = upper('"&amp;SUBSTITUTE(TRIM(H188),"'","''")&amp;"') AND lo.estado = 1 LIMIT 1)")&amp;", p_nombres =&gt; "&amp;IF(TRIM(E188&amp;"")="","NULL","'"&amp;SUBSTITUTE(TRIM(E188),"'","''")&amp;"'")&amp;", p_apellido_paterno =&gt; "&amp;IF(TRIM(F188&amp;"")="","NULL","'"&amp;SUBSTITUTE(TRIM(F188),"'","''")&amp;"'")&amp;", p_apellido_materno =&gt; "&amp;IF(TRIM(G188&amp;"")="","NULL","'"&amp;SUBSTITUTE(TRIM(G188),"'","''")&amp;"'")&amp;", p_id_tipo_documento =&gt; "&amp;IF(TRIM(B188&amp;"")="","NULL","(SELECT lo.id FROM gen_lista_opciones lo JOIN gen_lista l ON l.id = lo.id_lista WHERE l.nombre = 'TipoDocumento' AND upper(lo.nombre) = upper('"&amp;SUBSTITUTE(TRIM(B188),"'","''")&amp;"') AND lo.estado = 1 LIMIT 1)")&amp;", p_numero_documento =&gt; "&amp;IF(TRIM(C188&amp;"")="","NULL","'"&amp;SUBSTITUTE(TRIM(C188),"'","''")&amp;"'")&amp;", p_telefono =&gt; "&amp;IF(TRIM(L188&amp;"")="","NULL","'"&amp;SUBSTITUTE(TRIM(L188),"'","''")&amp;"'")&amp;", p_email =&gt; "&amp;IF(TRIM(M188&amp;"")="","NULL","'"&amp;SUBSTITUTE(TRIM(M188),"'","''")&amp;"'")&amp;", p_observacion =&gt; "&amp;IF(TRIM(O188&amp;"")="","NULL","'"&amp;SUBSTITUTE(TRIM(O188),"'","''")&amp;"'")&amp;", p_direccion =&gt; "&amp;IF(TRIM(J188&amp;"")="","NULL","'"&amp;SUBSTITUTE(TRIM(J188),"'","''")&amp;"'")&amp;", p_referencia =&gt; "&amp;IF(TRIM(K188&amp;"")="","NULL","'"&amp;SUBSTITUTE(TRIM(K188),"'","''")&amp;"'")&amp;") AS resultado_cliente_"&amp;ROW()&amp;";")</f>
        <v/>
      </c>
    </row>
    <row r="189" ht="15.75" customHeight="1" s="64">
      <c r="A189" s="25">
        <f>IF(AND(D189="",E189="",C189=""),"",IF(AND(D189="",E189=""),"FALTA razón social o nombres",IF(AND(C189&lt;&gt;"",SUMPRODUCT(--($C$5:$C$549=C189))&gt;1),"DOCUMENTO DUPLICADO",IF(AND(B189="DNI",C189&lt;&gt;"",LEN(C189&amp;"")&lt;&gt;8),"DNI debe tener 8 dígitos",IF(AND(B189="RUC",C189&lt;&gt;"",LEN(C189&amp;"")&lt;&gt;11),"RUC debe tener 11 dígitos",IF(AND(N189&lt;&gt;"",SUMPRODUCT(--($N$5:$N$549=N189))&gt;1),"CÓDIGO INTERNO DUPLICADO","OK"))))))</f>
        <v/>
      </c>
      <c r="B189" s="17" t="inlineStr">
        <is>
          <t>SD</t>
        </is>
      </c>
      <c r="C189" s="23" t="inlineStr">
        <is>
          <t>000043</t>
        </is>
      </c>
      <c r="D189" s="17" t="n"/>
      <c r="E189" s="17" t="inlineStr">
        <is>
          <t>CHUZON</t>
        </is>
      </c>
      <c r="F189" s="17" t="inlineStr">
        <is>
          <t>ROMAN</t>
        </is>
      </c>
      <c r="G189" s="17" t="n"/>
      <c r="H189" s="17" t="inlineStr">
        <is>
          <t>Persona Natural</t>
        </is>
      </c>
      <c r="I189" s="17" t="inlineStr">
        <is>
          <t>Cliente</t>
        </is>
      </c>
      <c r="J189" s="17" t="n"/>
      <c r="K189" s="17" t="n"/>
      <c r="L189" s="23" t="n"/>
      <c r="M189" s="17" t="n"/>
      <c r="N189" s="23" t="n"/>
      <c r="O189" s="17" t="n"/>
      <c r="P189" s="28">
        <f>IF(A189&lt;&gt;"OK","","SELECT cli_crear_clientes(p_codigo_interno =&gt; "&amp;IF(TRIM(N189&amp;"")="","NULL","'"&amp;SUBSTITUTE(TRIM(N189),"'","''")&amp;"'")&amp;", p_razon_social =&gt; "&amp;IF(TRIM(D189&amp;"")="","NULL","'"&amp;SUBSTITUTE(TRIM(D189),"'","''")&amp;"'")&amp;", p_id_tipo_cliente =&gt; "&amp;IF(TRIM(I189&amp;"")="","NULL","(SELECT lo.id FROM gen_lista_opciones lo JOIN gen_lista l ON l.id = lo.id_lista WHERE l.nombre = 'TipoCliente' AND upper(lo.nombre) = upper('"&amp;SUBSTITUTE(TRIM(I189),"'","''")&amp;"') AND lo.estado = 1 LIMIT 1)")&amp;", p_id_tipo_persona =&gt; "&amp;IF(TRIM(H189&amp;"")="","NULL","(SELECT lo.id FROM gen_lista_opciones lo JOIN gen_lista l ON l.id = lo.id_lista WHERE l.nombre = 'TipoPersona' AND upper(lo.nombre) = upper('"&amp;SUBSTITUTE(TRIM(H189),"'","''")&amp;"') AND lo.estado = 1 LIMIT 1)")&amp;", p_nombres =&gt; "&amp;IF(TRIM(E189&amp;"")="","NULL","'"&amp;SUBSTITUTE(TRIM(E189),"'","''")&amp;"'")&amp;", p_apellido_paterno =&gt; "&amp;IF(TRIM(F189&amp;"")="","NULL","'"&amp;SUBSTITUTE(TRIM(F189),"'","''")&amp;"'")&amp;", p_apellido_materno =&gt; "&amp;IF(TRIM(G189&amp;"")="","NULL","'"&amp;SUBSTITUTE(TRIM(G189),"'","''")&amp;"'")&amp;", p_id_tipo_documento =&gt; "&amp;IF(TRIM(B189&amp;"")="","NULL","(SELECT lo.id FROM gen_lista_opciones lo JOIN gen_lista l ON l.id = lo.id_lista WHERE l.nombre = 'TipoDocumento' AND upper(lo.nombre) = upper('"&amp;SUBSTITUTE(TRIM(B189),"'","''")&amp;"') AND lo.estado = 1 LIMIT 1)")&amp;", p_numero_documento =&gt; "&amp;IF(TRIM(C189&amp;"")="","NULL","'"&amp;SUBSTITUTE(TRIM(C189),"'","''")&amp;"'")&amp;", p_telefono =&gt; "&amp;IF(TRIM(L189&amp;"")="","NULL","'"&amp;SUBSTITUTE(TRIM(L189),"'","''")&amp;"'")&amp;", p_email =&gt; "&amp;IF(TRIM(M189&amp;"")="","NULL","'"&amp;SUBSTITUTE(TRIM(M189),"'","''")&amp;"'")&amp;", p_observacion =&gt; "&amp;IF(TRIM(O189&amp;"")="","NULL","'"&amp;SUBSTITUTE(TRIM(O189),"'","''")&amp;"'")&amp;", p_direccion =&gt; "&amp;IF(TRIM(J189&amp;"")="","NULL","'"&amp;SUBSTITUTE(TRIM(J189),"'","''")&amp;"'")&amp;", p_referencia =&gt; "&amp;IF(TRIM(K189&amp;"")="","NULL","'"&amp;SUBSTITUTE(TRIM(K189),"'","''")&amp;"'")&amp;") AS resultado_cliente_"&amp;ROW()&amp;";")</f>
        <v/>
      </c>
    </row>
    <row r="190" ht="15.75" customHeight="1" s="64">
      <c r="A190" s="25">
        <f>IF(AND(D190="",E190="",C190=""),"",IF(AND(D190="",E190=""),"FALTA razón social o nombres",IF(AND(C190&lt;&gt;"",SUMPRODUCT(--($C$5:$C$549=C190))&gt;1),"DOCUMENTO DUPLICADO",IF(AND(B190="DNI",C190&lt;&gt;"",LEN(C190&amp;"")&lt;&gt;8),"DNI debe tener 8 dígitos",IF(AND(B190="RUC",C190&lt;&gt;"",LEN(C190&amp;"")&lt;&gt;11),"RUC debe tener 11 dígitos",IF(AND(N190&lt;&gt;"",SUMPRODUCT(--($N$5:$N$549=N190))&gt;1),"CÓDIGO INTERNO DUPLICADO","OK"))))))</f>
        <v/>
      </c>
      <c r="B190" s="17" t="inlineStr">
        <is>
          <t>RUC</t>
        </is>
      </c>
      <c r="C190" s="23" t="inlineStr">
        <is>
          <t>20103324948</t>
        </is>
      </c>
      <c r="D190" s="17" t="inlineStr">
        <is>
          <t>CLINICA CHICLAYO S.A.</t>
        </is>
      </c>
      <c r="E190" s="17" t="n"/>
      <c r="F190" s="17" t="n"/>
      <c r="G190" s="17" t="n"/>
      <c r="H190" s="17" t="inlineStr">
        <is>
          <t>Persona Jurídica</t>
        </is>
      </c>
      <c r="I190" s="17" t="inlineStr">
        <is>
          <t>Cliente</t>
        </is>
      </c>
      <c r="J190" s="17" t="n"/>
      <c r="K190" s="17" t="n"/>
      <c r="L190" s="23" t="n"/>
      <c r="M190" s="17" t="n"/>
      <c r="N190" s="23" t="n"/>
      <c r="O190" s="17" t="n"/>
      <c r="P190" s="28">
        <f>IF(A190&lt;&gt;"OK","","SELECT cli_crear_clientes(p_codigo_interno =&gt; "&amp;IF(TRIM(N190&amp;"")="","NULL","'"&amp;SUBSTITUTE(TRIM(N190),"'","''")&amp;"'")&amp;", p_razon_social =&gt; "&amp;IF(TRIM(D190&amp;"")="","NULL","'"&amp;SUBSTITUTE(TRIM(D190),"'","''")&amp;"'")&amp;", p_id_tipo_cliente =&gt; "&amp;IF(TRIM(I190&amp;"")="","NULL","(SELECT lo.id FROM gen_lista_opciones lo JOIN gen_lista l ON l.id = lo.id_lista WHERE l.nombre = 'TipoCliente' AND upper(lo.nombre) = upper('"&amp;SUBSTITUTE(TRIM(I190),"'","''")&amp;"') AND lo.estado = 1 LIMIT 1)")&amp;", p_id_tipo_persona =&gt; "&amp;IF(TRIM(H190&amp;"")="","NULL","(SELECT lo.id FROM gen_lista_opciones lo JOIN gen_lista l ON l.id = lo.id_lista WHERE l.nombre = 'TipoPersona' AND upper(lo.nombre) = upper('"&amp;SUBSTITUTE(TRIM(H190),"'","''")&amp;"') AND lo.estado = 1 LIMIT 1)")&amp;", p_nombres =&gt; "&amp;IF(TRIM(E190&amp;"")="","NULL","'"&amp;SUBSTITUTE(TRIM(E190),"'","''")&amp;"'")&amp;", p_apellido_paterno =&gt; "&amp;IF(TRIM(F190&amp;"")="","NULL","'"&amp;SUBSTITUTE(TRIM(F190),"'","''")&amp;"'")&amp;", p_apellido_materno =&gt; "&amp;IF(TRIM(G190&amp;"")="","NULL","'"&amp;SUBSTITUTE(TRIM(G190),"'","''")&amp;"'")&amp;", p_id_tipo_documento =&gt; "&amp;IF(TRIM(B190&amp;"")="","NULL","(SELECT lo.id FROM gen_lista_opciones lo JOIN gen_lista l ON l.id = lo.id_lista WHERE l.nombre = 'TipoDocumento' AND upper(lo.nombre) = upper('"&amp;SUBSTITUTE(TRIM(B190),"'","''")&amp;"') AND lo.estado = 1 LIMIT 1)")&amp;", p_numero_documento =&gt; "&amp;IF(TRIM(C190&amp;"")="","NULL","'"&amp;SUBSTITUTE(TRIM(C190),"'","''")&amp;"'")&amp;", p_telefono =&gt; "&amp;IF(TRIM(L190&amp;"")="","NULL","'"&amp;SUBSTITUTE(TRIM(L190),"'","''")&amp;"'")&amp;", p_email =&gt; "&amp;IF(TRIM(M190&amp;"")="","NULL","'"&amp;SUBSTITUTE(TRIM(M190),"'","''")&amp;"'")&amp;", p_observacion =&gt; "&amp;IF(TRIM(O190&amp;"")="","NULL","'"&amp;SUBSTITUTE(TRIM(O190),"'","''")&amp;"'")&amp;", p_direccion =&gt; "&amp;IF(TRIM(J190&amp;"")="","NULL","'"&amp;SUBSTITUTE(TRIM(J190),"'","''")&amp;"'")&amp;", p_referencia =&gt; "&amp;IF(TRIM(K190&amp;"")="","NULL","'"&amp;SUBSTITUTE(TRIM(K190),"'","''")&amp;"'")&amp;") AS resultado_cliente_"&amp;ROW()&amp;";")</f>
        <v/>
      </c>
    </row>
    <row r="191" ht="15.75" customHeight="1" s="64">
      <c r="A191" s="25">
        <f>IF(AND(D191="",E191="",C191=""),"",IF(AND(D191="",E191=""),"FALTA razón social o nombres",IF(AND(C191&lt;&gt;"",SUMPRODUCT(--($C$5:$C$549=C191))&gt;1),"DOCUMENTO DUPLICADO",IF(AND(B191="DNI",C191&lt;&gt;"",LEN(C191&amp;"")&lt;&gt;8),"DNI debe tener 8 dígitos",IF(AND(B191="RUC",C191&lt;&gt;"",LEN(C191&amp;"")&lt;&gt;11),"RUC debe tener 11 dígitos",IF(AND(N191&lt;&gt;"",SUMPRODUCT(--($N$5:$N$549=N191))&gt;1),"CÓDIGO INTERNO DUPLICADO","OK"))))))</f>
        <v/>
      </c>
      <c r="B191" s="17" t="inlineStr">
        <is>
          <t>RUC</t>
        </is>
      </c>
      <c r="C191" s="23" t="inlineStr">
        <is>
          <t>20561370762</t>
        </is>
      </c>
      <c r="D191" s="17" t="inlineStr">
        <is>
          <t>CLINICA DE FERTILIDAD DEL NORTE S.A.C.</t>
        </is>
      </c>
      <c r="E191" s="17" t="n"/>
      <c r="F191" s="17" t="n"/>
      <c r="G191" s="17" t="n"/>
      <c r="H191" s="17" t="inlineStr">
        <is>
          <t>Persona Jurídica</t>
        </is>
      </c>
      <c r="I191" s="17" t="inlineStr">
        <is>
          <t>Cliente</t>
        </is>
      </c>
      <c r="J191" s="17" t="n"/>
      <c r="K191" s="17" t="n"/>
      <c r="L191" s="23" t="n"/>
      <c r="M191" s="17" t="n"/>
      <c r="N191" s="23" t="n"/>
      <c r="O191" s="17" t="n"/>
      <c r="P191" s="28">
        <f>IF(A191&lt;&gt;"OK","","SELECT cli_crear_clientes(p_codigo_interno =&gt; "&amp;IF(TRIM(N191&amp;"")="","NULL","'"&amp;SUBSTITUTE(TRIM(N191),"'","''")&amp;"'")&amp;", p_razon_social =&gt; "&amp;IF(TRIM(D191&amp;"")="","NULL","'"&amp;SUBSTITUTE(TRIM(D191),"'","''")&amp;"'")&amp;", p_id_tipo_cliente =&gt; "&amp;IF(TRIM(I191&amp;"")="","NULL","(SELECT lo.id FROM gen_lista_opciones lo JOIN gen_lista l ON l.id = lo.id_lista WHERE l.nombre = 'TipoCliente' AND upper(lo.nombre) = upper('"&amp;SUBSTITUTE(TRIM(I191),"'","''")&amp;"') AND lo.estado = 1 LIMIT 1)")&amp;", p_id_tipo_persona =&gt; "&amp;IF(TRIM(H191&amp;"")="","NULL","(SELECT lo.id FROM gen_lista_opciones lo JOIN gen_lista l ON l.id = lo.id_lista WHERE l.nombre = 'TipoPersona' AND upper(lo.nombre) = upper('"&amp;SUBSTITUTE(TRIM(H191),"'","''")&amp;"') AND lo.estado = 1 LIMIT 1)")&amp;", p_nombres =&gt; "&amp;IF(TRIM(E191&amp;"")="","NULL","'"&amp;SUBSTITUTE(TRIM(E191),"'","''")&amp;"'")&amp;", p_apellido_paterno =&gt; "&amp;IF(TRIM(F191&amp;"")="","NULL","'"&amp;SUBSTITUTE(TRIM(F191),"'","''")&amp;"'")&amp;", p_apellido_materno =&gt; "&amp;IF(TRIM(G191&amp;"")="","NULL","'"&amp;SUBSTITUTE(TRIM(G191),"'","''")&amp;"'")&amp;", p_id_tipo_documento =&gt; "&amp;IF(TRIM(B191&amp;"")="","NULL","(SELECT lo.id FROM gen_lista_opciones lo JOIN gen_lista l ON l.id = lo.id_lista WHERE l.nombre = 'TipoDocumento' AND upper(lo.nombre) = upper('"&amp;SUBSTITUTE(TRIM(B191),"'","''")&amp;"') AND lo.estado = 1 LIMIT 1)")&amp;", p_numero_documento =&gt; "&amp;IF(TRIM(C191&amp;"")="","NULL","'"&amp;SUBSTITUTE(TRIM(C191),"'","''")&amp;"'")&amp;", p_telefono =&gt; "&amp;IF(TRIM(L191&amp;"")="","NULL","'"&amp;SUBSTITUTE(TRIM(L191),"'","''")&amp;"'")&amp;", p_email =&gt; "&amp;IF(TRIM(M191&amp;"")="","NULL","'"&amp;SUBSTITUTE(TRIM(M191),"'","''")&amp;"'")&amp;", p_observacion =&gt; "&amp;IF(TRIM(O191&amp;"")="","NULL","'"&amp;SUBSTITUTE(TRIM(O191),"'","''")&amp;"'")&amp;", p_direccion =&gt; "&amp;IF(TRIM(J191&amp;"")="","NULL","'"&amp;SUBSTITUTE(TRIM(J191),"'","''")&amp;"'")&amp;", p_referencia =&gt; "&amp;IF(TRIM(K191&amp;"")="","NULL","'"&amp;SUBSTITUTE(TRIM(K191),"'","''")&amp;"'")&amp;") AS resultado_cliente_"&amp;ROW()&amp;";")</f>
        <v/>
      </c>
    </row>
    <row r="192" ht="15.75" customHeight="1" s="64">
      <c r="A192" s="25">
        <f>IF(AND(D192="",E192="",C192=""),"",IF(AND(D192="",E192=""),"FALTA razón social o nombres",IF(AND(C192&lt;&gt;"",SUMPRODUCT(--($C$5:$C$549=C192))&gt;1),"DOCUMENTO DUPLICADO",IF(AND(B192="DNI",C192&lt;&gt;"",LEN(C192&amp;"")&lt;&gt;8),"DNI debe tener 8 dígitos",IF(AND(B192="RUC",C192&lt;&gt;"",LEN(C192&amp;"")&lt;&gt;11),"RUC debe tener 11 dígitos",IF(AND(N192&lt;&gt;"",SUMPRODUCT(--($N$5:$N$549=N192))&gt;1),"CÓDIGO INTERNO DUPLICADO","OK"))))))</f>
        <v/>
      </c>
      <c r="B192" s="17" t="inlineStr">
        <is>
          <t>RUC</t>
        </is>
      </c>
      <c r="C192" s="23" t="inlineStr">
        <is>
          <t>20561359441</t>
        </is>
      </c>
      <c r="D192" s="17" t="inlineStr">
        <is>
          <t>CLINICA FLORIAN SOCIEDAD ANONIMA CERRADA</t>
        </is>
      </c>
      <c r="E192" s="17" t="n"/>
      <c r="F192" s="17" t="n"/>
      <c r="G192" s="17" t="n"/>
      <c r="H192" s="17" t="inlineStr">
        <is>
          <t>Persona Jurídica</t>
        </is>
      </c>
      <c r="I192" s="17" t="inlineStr">
        <is>
          <t>Cliente</t>
        </is>
      </c>
      <c r="J192" s="17" t="n"/>
      <c r="K192" s="17" t="n"/>
      <c r="L192" s="23" t="n"/>
      <c r="M192" s="17" t="n"/>
      <c r="N192" s="23" t="n"/>
      <c r="O192" s="17" t="n"/>
      <c r="P192" s="28">
        <f>IF(A192&lt;&gt;"OK","","SELECT cli_crear_clientes(p_codigo_interno =&gt; "&amp;IF(TRIM(N192&amp;"")="","NULL","'"&amp;SUBSTITUTE(TRIM(N192),"'","''")&amp;"'")&amp;", p_razon_social =&gt; "&amp;IF(TRIM(D192&amp;"")="","NULL","'"&amp;SUBSTITUTE(TRIM(D192),"'","''")&amp;"'")&amp;", p_id_tipo_cliente =&gt; "&amp;IF(TRIM(I192&amp;"")="","NULL","(SELECT lo.id FROM gen_lista_opciones lo JOIN gen_lista l ON l.id = lo.id_lista WHERE l.nombre = 'TipoCliente' AND upper(lo.nombre) = upper('"&amp;SUBSTITUTE(TRIM(I192),"'","''")&amp;"') AND lo.estado = 1 LIMIT 1)")&amp;", p_id_tipo_persona =&gt; "&amp;IF(TRIM(H192&amp;"")="","NULL","(SELECT lo.id FROM gen_lista_opciones lo JOIN gen_lista l ON l.id = lo.id_lista WHERE l.nombre = 'TipoPersona' AND upper(lo.nombre) = upper('"&amp;SUBSTITUTE(TRIM(H192),"'","''")&amp;"') AND lo.estado = 1 LIMIT 1)")&amp;", p_nombres =&gt; "&amp;IF(TRIM(E192&amp;"")="","NULL","'"&amp;SUBSTITUTE(TRIM(E192),"'","''")&amp;"'")&amp;", p_apellido_paterno =&gt; "&amp;IF(TRIM(F192&amp;"")="","NULL","'"&amp;SUBSTITUTE(TRIM(F192),"'","''")&amp;"'")&amp;", p_apellido_materno =&gt; "&amp;IF(TRIM(G192&amp;"")="","NULL","'"&amp;SUBSTITUTE(TRIM(G192),"'","''")&amp;"'")&amp;", p_id_tipo_documento =&gt; "&amp;IF(TRIM(B192&amp;"")="","NULL","(SELECT lo.id FROM gen_lista_opciones lo JOIN gen_lista l ON l.id = lo.id_lista WHERE l.nombre = 'TipoDocumento' AND upper(lo.nombre) = upper('"&amp;SUBSTITUTE(TRIM(B192),"'","''")&amp;"') AND lo.estado = 1 LIMIT 1)")&amp;", p_numero_documento =&gt; "&amp;IF(TRIM(C192&amp;"")="","NULL","'"&amp;SUBSTITUTE(TRIM(C192),"'","''")&amp;"'")&amp;", p_telefono =&gt; "&amp;IF(TRIM(L192&amp;"")="","NULL","'"&amp;SUBSTITUTE(TRIM(L192),"'","''")&amp;"'")&amp;", p_email =&gt; "&amp;IF(TRIM(M192&amp;"")="","NULL","'"&amp;SUBSTITUTE(TRIM(M192),"'","''")&amp;"'")&amp;", p_observacion =&gt; "&amp;IF(TRIM(O192&amp;"")="","NULL","'"&amp;SUBSTITUTE(TRIM(O192),"'","''")&amp;"'")&amp;", p_direccion =&gt; "&amp;IF(TRIM(J192&amp;"")="","NULL","'"&amp;SUBSTITUTE(TRIM(J192),"'","''")&amp;"'")&amp;", p_referencia =&gt; "&amp;IF(TRIM(K192&amp;"")="","NULL","'"&amp;SUBSTITUTE(TRIM(K192),"'","''")&amp;"'")&amp;") AS resultado_cliente_"&amp;ROW()&amp;";")</f>
        <v/>
      </c>
    </row>
    <row r="193" ht="15.75" customHeight="1" s="64">
      <c r="A193" s="25">
        <f>IF(AND(D193="",E193="",C193=""),"",IF(AND(D193="",E193=""),"FALTA razón social o nombres",IF(AND(C193&lt;&gt;"",SUMPRODUCT(--($C$5:$C$549=C193))&gt;1),"DOCUMENTO DUPLICADO",IF(AND(B193="DNI",C193&lt;&gt;"",LEN(C193&amp;"")&lt;&gt;8),"DNI debe tener 8 dígitos",IF(AND(B193="RUC",C193&lt;&gt;"",LEN(C193&amp;"")&lt;&gt;11),"RUC debe tener 11 dígitos",IF(AND(N193&lt;&gt;"",SUMPRODUCT(--($N$5:$N$549=N193))&gt;1),"CÓDIGO INTERNO DUPLICADO","OK"))))))</f>
        <v/>
      </c>
      <c r="B193" s="17" t="inlineStr">
        <is>
          <t>DNI</t>
        </is>
      </c>
      <c r="C193" s="23" t="inlineStr">
        <is>
          <t>16676149</t>
        </is>
      </c>
      <c r="D193" s="17" t="n"/>
      <c r="E193" s="17" t="inlineStr">
        <is>
          <t>SEGUNDO TEOFILO</t>
        </is>
      </c>
      <c r="F193" s="17" t="inlineStr">
        <is>
          <t>COLCHADO</t>
        </is>
      </c>
      <c r="G193" s="17" t="inlineStr">
        <is>
          <t>BECERRA</t>
        </is>
      </c>
      <c r="H193" s="17" t="inlineStr">
        <is>
          <t>Persona Jurídica</t>
        </is>
      </c>
      <c r="I193" s="17" t="inlineStr">
        <is>
          <t>Cliente</t>
        </is>
      </c>
      <c r="J193" s="17" t="n"/>
      <c r="K193" s="17" t="n"/>
      <c r="L193" s="23" t="n"/>
      <c r="M193" s="17" t="n"/>
      <c r="N193" s="23" t="n"/>
      <c r="O193" s="17" t="n"/>
      <c r="P193" s="28">
        <f>IF(A193&lt;&gt;"OK","","SELECT cli_crear_clientes(p_codigo_interno =&gt; "&amp;IF(TRIM(N193&amp;"")="","NULL","'"&amp;SUBSTITUTE(TRIM(N193),"'","''")&amp;"'")&amp;", p_razon_social =&gt; "&amp;IF(TRIM(D193&amp;"")="","NULL","'"&amp;SUBSTITUTE(TRIM(D193),"'","''")&amp;"'")&amp;", p_id_tipo_cliente =&gt; "&amp;IF(TRIM(I193&amp;"")="","NULL","(SELECT lo.id FROM gen_lista_opciones lo JOIN gen_lista l ON l.id = lo.id_lista WHERE l.nombre = 'TipoCliente' AND upper(lo.nombre) = upper('"&amp;SUBSTITUTE(TRIM(I193),"'","''")&amp;"') AND lo.estado = 1 LIMIT 1)")&amp;", p_id_tipo_persona =&gt; "&amp;IF(TRIM(H193&amp;"")="","NULL","(SELECT lo.id FROM gen_lista_opciones lo JOIN gen_lista l ON l.id = lo.id_lista WHERE l.nombre = 'TipoPersona' AND upper(lo.nombre) = upper('"&amp;SUBSTITUTE(TRIM(H193),"'","''")&amp;"') AND lo.estado = 1 LIMIT 1)")&amp;", p_nombres =&gt; "&amp;IF(TRIM(E193&amp;"")="","NULL","'"&amp;SUBSTITUTE(TRIM(E193),"'","''")&amp;"'")&amp;", p_apellido_paterno =&gt; "&amp;IF(TRIM(F193&amp;"")="","NULL","'"&amp;SUBSTITUTE(TRIM(F193),"'","''")&amp;"'")&amp;", p_apellido_materno =&gt; "&amp;IF(TRIM(G193&amp;"")="","NULL","'"&amp;SUBSTITUTE(TRIM(G193),"'","''")&amp;"'")&amp;", p_id_tipo_documento =&gt; "&amp;IF(TRIM(B193&amp;"")="","NULL","(SELECT lo.id FROM gen_lista_opciones lo JOIN gen_lista l ON l.id = lo.id_lista WHERE l.nombre = 'TipoDocumento' AND upper(lo.nombre) = upper('"&amp;SUBSTITUTE(TRIM(B193),"'","''")&amp;"') AND lo.estado = 1 LIMIT 1)")&amp;", p_numero_documento =&gt; "&amp;IF(TRIM(C193&amp;"")="","NULL","'"&amp;SUBSTITUTE(TRIM(C193),"'","''")&amp;"'")&amp;", p_telefono =&gt; "&amp;IF(TRIM(L193&amp;"")="","NULL","'"&amp;SUBSTITUTE(TRIM(L193),"'","''")&amp;"'")&amp;", p_email =&gt; "&amp;IF(TRIM(M193&amp;"")="","NULL","'"&amp;SUBSTITUTE(TRIM(M193),"'","''")&amp;"'")&amp;", p_observacion =&gt; "&amp;IF(TRIM(O193&amp;"")="","NULL","'"&amp;SUBSTITUTE(TRIM(O193),"'","''")&amp;"'")&amp;", p_direccion =&gt; "&amp;IF(TRIM(J193&amp;"")="","NULL","'"&amp;SUBSTITUTE(TRIM(J193),"'","''")&amp;"'")&amp;", p_referencia =&gt; "&amp;IF(TRIM(K193&amp;"")="","NULL","'"&amp;SUBSTITUTE(TRIM(K193),"'","''")&amp;"'")&amp;") AS resultado_cliente_"&amp;ROW()&amp;";")</f>
        <v/>
      </c>
    </row>
    <row r="194" ht="15.75" customHeight="1" s="64">
      <c r="A194" s="25">
        <f>IF(AND(D194="",E194="",C194=""),"",IF(AND(D194="",E194=""),"FALTA razón social o nombres",IF(AND(C194&lt;&gt;"",SUMPRODUCT(--($C$5:$C$549=C194))&gt;1),"DOCUMENTO DUPLICADO",IF(AND(B194="DNI",C194&lt;&gt;"",LEN(C194&amp;"")&lt;&gt;8),"DNI debe tener 8 dígitos",IF(AND(B194="RUC",C194&lt;&gt;"",LEN(C194&amp;"")&lt;&gt;11),"RUC debe tener 11 dígitos",IF(AND(N194&lt;&gt;"",SUMPRODUCT(--($N$5:$N$549=N194))&gt;1),"CÓDIGO INTERNO DUPLICADO","OK"))))))</f>
        <v/>
      </c>
      <c r="B194" s="17" t="inlineStr">
        <is>
          <t>SD</t>
        </is>
      </c>
      <c r="C194" s="23" t="inlineStr">
        <is>
          <t>000044</t>
        </is>
      </c>
      <c r="D194" s="17" t="n"/>
      <c r="E194" s="17" t="inlineStr">
        <is>
          <t>ORLANDO</t>
        </is>
      </c>
      <c r="F194" s="17" t="inlineStr">
        <is>
          <t>CORONADO</t>
        </is>
      </c>
      <c r="G194" s="17" t="inlineStr">
        <is>
          <t>GALAN</t>
        </is>
      </c>
      <c r="H194" s="17" t="inlineStr">
        <is>
          <t>Persona Natural</t>
        </is>
      </c>
      <c r="I194" s="17" t="inlineStr">
        <is>
          <t>Cliente</t>
        </is>
      </c>
      <c r="J194" s="17" t="n"/>
      <c r="K194" s="17" t="n"/>
      <c r="L194" s="23" t="n"/>
      <c r="M194" s="17" t="n"/>
      <c r="N194" s="23" t="n"/>
      <c r="O194" s="17" t="n"/>
      <c r="P194" s="28">
        <f>IF(A194&lt;&gt;"OK","","SELECT cli_crear_clientes(p_codigo_interno =&gt; "&amp;IF(TRIM(N194&amp;"")="","NULL","'"&amp;SUBSTITUTE(TRIM(N194),"'","''")&amp;"'")&amp;", p_razon_social =&gt; "&amp;IF(TRIM(D194&amp;"")="","NULL","'"&amp;SUBSTITUTE(TRIM(D194),"'","''")&amp;"'")&amp;", p_id_tipo_cliente =&gt; "&amp;IF(TRIM(I194&amp;"")="","NULL","(SELECT lo.id FROM gen_lista_opciones lo JOIN gen_lista l ON l.id = lo.id_lista WHERE l.nombre = 'TipoCliente' AND upper(lo.nombre) = upper('"&amp;SUBSTITUTE(TRIM(I194),"'","''")&amp;"') AND lo.estado = 1 LIMIT 1)")&amp;", p_id_tipo_persona =&gt; "&amp;IF(TRIM(H194&amp;"")="","NULL","(SELECT lo.id FROM gen_lista_opciones lo JOIN gen_lista l ON l.id = lo.id_lista WHERE l.nombre = 'TipoPersona' AND upper(lo.nombre) = upper('"&amp;SUBSTITUTE(TRIM(H194),"'","''")&amp;"') AND lo.estado = 1 LIMIT 1)")&amp;", p_nombres =&gt; "&amp;IF(TRIM(E194&amp;"")="","NULL","'"&amp;SUBSTITUTE(TRIM(E194),"'","''")&amp;"'")&amp;", p_apellido_paterno =&gt; "&amp;IF(TRIM(F194&amp;"")="","NULL","'"&amp;SUBSTITUTE(TRIM(F194),"'","''")&amp;"'")&amp;", p_apellido_materno =&gt; "&amp;IF(TRIM(G194&amp;"")="","NULL","'"&amp;SUBSTITUTE(TRIM(G194),"'","''")&amp;"'")&amp;", p_id_tipo_documento =&gt; "&amp;IF(TRIM(B194&amp;"")="","NULL","(SELECT lo.id FROM gen_lista_opciones lo JOIN gen_lista l ON l.id = lo.id_lista WHERE l.nombre = 'TipoDocumento' AND upper(lo.nombre) = upper('"&amp;SUBSTITUTE(TRIM(B194),"'","''")&amp;"') AND lo.estado = 1 LIMIT 1)")&amp;", p_numero_documento =&gt; "&amp;IF(TRIM(C194&amp;"")="","NULL","'"&amp;SUBSTITUTE(TRIM(C194),"'","''")&amp;"'")&amp;", p_telefono =&gt; "&amp;IF(TRIM(L194&amp;"")="","NULL","'"&amp;SUBSTITUTE(TRIM(L194),"'","''")&amp;"'")&amp;", p_email =&gt; "&amp;IF(TRIM(M194&amp;"")="","NULL","'"&amp;SUBSTITUTE(TRIM(M194),"'","''")&amp;"'")&amp;", p_observacion =&gt; "&amp;IF(TRIM(O194&amp;"")="","NULL","'"&amp;SUBSTITUTE(TRIM(O194),"'","''")&amp;"'")&amp;", p_direccion =&gt; "&amp;IF(TRIM(J194&amp;"")="","NULL","'"&amp;SUBSTITUTE(TRIM(J194),"'","''")&amp;"'")&amp;", p_referencia =&gt; "&amp;IF(TRIM(K194&amp;"")="","NULL","'"&amp;SUBSTITUTE(TRIM(K194),"'","''")&amp;"'")&amp;") AS resultado_cliente_"&amp;ROW()&amp;";")</f>
        <v/>
      </c>
    </row>
    <row r="195" ht="15.75" customHeight="1" s="64">
      <c r="A195" s="25">
        <f>IF(AND(D195="",E195="",C195=""),"",IF(AND(D195="",E195=""),"FALTA razón social o nombres",IF(AND(C195&lt;&gt;"",SUMPRODUCT(--($C$5:$C$549=C195))&gt;1),"DOCUMENTO DUPLICADO",IF(AND(B195="DNI",C195&lt;&gt;"",LEN(C195&amp;"")&lt;&gt;8),"DNI debe tener 8 dígitos",IF(AND(B195="RUC",C195&lt;&gt;"",LEN(C195&amp;"")&lt;&gt;11),"RUC debe tener 11 dígitos",IF(AND(N195&lt;&gt;"",SUMPRODUCT(--($N$5:$N$549=N195))&gt;1),"CÓDIGO INTERNO DUPLICADO","OK"))))))</f>
        <v/>
      </c>
      <c r="B195" s="17" t="inlineStr">
        <is>
          <t>DNI</t>
        </is>
      </c>
      <c r="C195" s="23" t="inlineStr">
        <is>
          <t>47067456</t>
        </is>
      </c>
      <c r="D195" s="17" t="n"/>
      <c r="E195" s="17" t="inlineStr">
        <is>
          <t>GUSTAVO ENRIQUE</t>
        </is>
      </c>
      <c r="F195" s="17" t="inlineStr">
        <is>
          <t>CORONEL</t>
        </is>
      </c>
      <c r="G195" s="17" t="inlineStr">
        <is>
          <t>IDROGO</t>
        </is>
      </c>
      <c r="H195" s="17" t="inlineStr">
        <is>
          <t>Persona Natural</t>
        </is>
      </c>
      <c r="I195" s="17" t="inlineStr">
        <is>
          <t>Cliente</t>
        </is>
      </c>
      <c r="J195" s="17" t="n"/>
      <c r="K195" s="17" t="n"/>
      <c r="L195" s="23" t="n"/>
      <c r="M195" s="17" t="n"/>
      <c r="N195" s="23" t="n"/>
      <c r="O195" s="17" t="n"/>
      <c r="P195" s="28">
        <f>IF(A195&lt;&gt;"OK","","SELECT cli_crear_clientes(p_codigo_interno =&gt; "&amp;IF(TRIM(N195&amp;"")="","NULL","'"&amp;SUBSTITUTE(TRIM(N195),"'","''")&amp;"'")&amp;", p_razon_social =&gt; "&amp;IF(TRIM(D195&amp;"")="","NULL","'"&amp;SUBSTITUTE(TRIM(D195),"'","''")&amp;"'")&amp;", p_id_tipo_cliente =&gt; "&amp;IF(TRIM(I195&amp;"")="","NULL","(SELECT lo.id FROM gen_lista_opciones lo JOIN gen_lista l ON l.id = lo.id_lista WHERE l.nombre = 'TipoCliente' AND upper(lo.nombre) = upper('"&amp;SUBSTITUTE(TRIM(I195),"'","''")&amp;"') AND lo.estado = 1 LIMIT 1)")&amp;", p_id_tipo_persona =&gt; "&amp;IF(TRIM(H195&amp;"")="","NULL","(SELECT lo.id FROM gen_lista_opciones lo JOIN gen_lista l ON l.id = lo.id_lista WHERE l.nombre = 'TipoPersona' AND upper(lo.nombre) = upper('"&amp;SUBSTITUTE(TRIM(H195),"'","''")&amp;"') AND lo.estado = 1 LIMIT 1)")&amp;", p_nombres =&gt; "&amp;IF(TRIM(E195&amp;"")="","NULL","'"&amp;SUBSTITUTE(TRIM(E195),"'","''")&amp;"'")&amp;", p_apellido_paterno =&gt; "&amp;IF(TRIM(F195&amp;"")="","NULL","'"&amp;SUBSTITUTE(TRIM(F195),"'","''")&amp;"'")&amp;", p_apellido_materno =&gt; "&amp;IF(TRIM(G195&amp;"")="","NULL","'"&amp;SUBSTITUTE(TRIM(G195),"'","''")&amp;"'")&amp;", p_id_tipo_documento =&gt; "&amp;IF(TRIM(B195&amp;"")="","NULL","(SELECT lo.id FROM gen_lista_opciones lo JOIN gen_lista l ON l.id = lo.id_lista WHERE l.nombre = 'TipoDocumento' AND upper(lo.nombre) = upper('"&amp;SUBSTITUTE(TRIM(B195),"'","''")&amp;"') AND lo.estado = 1 LIMIT 1)")&amp;", p_numero_documento =&gt; "&amp;IF(TRIM(C195&amp;"")="","NULL","'"&amp;SUBSTITUTE(TRIM(C195),"'","''")&amp;"'")&amp;", p_telefono =&gt; "&amp;IF(TRIM(L195&amp;"")="","NULL","'"&amp;SUBSTITUTE(TRIM(L195),"'","''")&amp;"'")&amp;", p_email =&gt; "&amp;IF(TRIM(M195&amp;"")="","NULL","'"&amp;SUBSTITUTE(TRIM(M195),"'","''")&amp;"'")&amp;", p_observacion =&gt; "&amp;IF(TRIM(O195&amp;"")="","NULL","'"&amp;SUBSTITUTE(TRIM(O195),"'","''")&amp;"'")&amp;", p_direccion =&gt; "&amp;IF(TRIM(J195&amp;"")="","NULL","'"&amp;SUBSTITUTE(TRIM(J195),"'","''")&amp;"'")&amp;", p_referencia =&gt; "&amp;IF(TRIM(K195&amp;"")="","NULL","'"&amp;SUBSTITUTE(TRIM(K195),"'","''")&amp;"'")&amp;") AS resultado_cliente_"&amp;ROW()&amp;";")</f>
        <v/>
      </c>
    </row>
    <row r="196" ht="15.75" customHeight="1" s="64">
      <c r="A196" s="25">
        <f>IF(AND(D196="",E196="",C196=""),"",IF(AND(D196="",E196=""),"FALTA razón social o nombres",IF(AND(C196&lt;&gt;"",SUMPRODUCT(--($C$5:$C$549=C196))&gt;1),"DOCUMENTO DUPLICADO",IF(AND(B196="DNI",C196&lt;&gt;"",LEN(C196&amp;"")&lt;&gt;8),"DNI debe tener 8 dígitos",IF(AND(B196="RUC",C196&lt;&gt;"",LEN(C196&amp;"")&lt;&gt;11),"RUC debe tener 11 dígitos",IF(AND(N196&lt;&gt;"",SUMPRODUCT(--($N$5:$N$549=N196))&gt;1),"CÓDIGO INTERNO DUPLICADO","OK"))))))</f>
        <v/>
      </c>
      <c r="B196" s="17" t="inlineStr">
        <is>
          <t>RUC</t>
        </is>
      </c>
      <c r="C196" s="23" t="inlineStr">
        <is>
          <t>10166403486</t>
        </is>
      </c>
      <c r="D196" s="17" t="inlineStr">
        <is>
          <t>CORONEL VASQUEZ MODESTO</t>
        </is>
      </c>
      <c r="E196" s="17" t="n"/>
      <c r="F196" s="17" t="n"/>
      <c r="G196" s="17" t="n"/>
      <c r="H196" s="17" t="inlineStr">
        <is>
          <t>Persona Jurídica</t>
        </is>
      </c>
      <c r="I196" s="17" t="inlineStr">
        <is>
          <t>Cliente</t>
        </is>
      </c>
      <c r="J196" s="17" t="n"/>
      <c r="K196" s="17" t="n"/>
      <c r="L196" s="23" t="n"/>
      <c r="M196" s="17" t="n"/>
      <c r="N196" s="23" t="n"/>
      <c r="O196" s="17" t="n"/>
      <c r="P196" s="28">
        <f>IF(A196&lt;&gt;"OK","","SELECT cli_crear_clientes(p_codigo_interno =&gt; "&amp;IF(TRIM(N196&amp;"")="","NULL","'"&amp;SUBSTITUTE(TRIM(N196),"'","''")&amp;"'")&amp;", p_razon_social =&gt; "&amp;IF(TRIM(D196&amp;"")="","NULL","'"&amp;SUBSTITUTE(TRIM(D196),"'","''")&amp;"'")&amp;", p_id_tipo_cliente =&gt; "&amp;IF(TRIM(I196&amp;"")="","NULL","(SELECT lo.id FROM gen_lista_opciones lo JOIN gen_lista l ON l.id = lo.id_lista WHERE l.nombre = 'TipoCliente' AND upper(lo.nombre) = upper('"&amp;SUBSTITUTE(TRIM(I196),"'","''")&amp;"') AND lo.estado = 1 LIMIT 1)")&amp;", p_id_tipo_persona =&gt; "&amp;IF(TRIM(H196&amp;"")="","NULL","(SELECT lo.id FROM gen_lista_opciones lo JOIN gen_lista l ON l.id = lo.id_lista WHERE l.nombre = 'TipoPersona' AND upper(lo.nombre) = upper('"&amp;SUBSTITUTE(TRIM(H196),"'","''")&amp;"') AND lo.estado = 1 LIMIT 1)")&amp;", p_nombres =&gt; "&amp;IF(TRIM(E196&amp;"")="","NULL","'"&amp;SUBSTITUTE(TRIM(E196),"'","''")&amp;"'")&amp;", p_apellido_paterno =&gt; "&amp;IF(TRIM(F196&amp;"")="","NULL","'"&amp;SUBSTITUTE(TRIM(F196),"'","''")&amp;"'")&amp;", p_apellido_materno =&gt; "&amp;IF(TRIM(G196&amp;"")="","NULL","'"&amp;SUBSTITUTE(TRIM(G196),"'","''")&amp;"'")&amp;", p_id_tipo_documento =&gt; "&amp;IF(TRIM(B196&amp;"")="","NULL","(SELECT lo.id FROM gen_lista_opciones lo JOIN gen_lista l ON l.id = lo.id_lista WHERE l.nombre = 'TipoDocumento' AND upper(lo.nombre) = upper('"&amp;SUBSTITUTE(TRIM(B196),"'","''")&amp;"') AND lo.estado = 1 LIMIT 1)")&amp;", p_numero_documento =&gt; "&amp;IF(TRIM(C196&amp;"")="","NULL","'"&amp;SUBSTITUTE(TRIM(C196),"'","''")&amp;"'")&amp;", p_telefono =&gt; "&amp;IF(TRIM(L196&amp;"")="","NULL","'"&amp;SUBSTITUTE(TRIM(L196),"'","''")&amp;"'")&amp;", p_email =&gt; "&amp;IF(TRIM(M196&amp;"")="","NULL","'"&amp;SUBSTITUTE(TRIM(M196),"'","''")&amp;"'")&amp;", p_observacion =&gt; "&amp;IF(TRIM(O196&amp;"")="","NULL","'"&amp;SUBSTITUTE(TRIM(O196),"'","''")&amp;"'")&amp;", p_direccion =&gt; "&amp;IF(TRIM(J196&amp;"")="","NULL","'"&amp;SUBSTITUTE(TRIM(J196),"'","''")&amp;"'")&amp;", p_referencia =&gt; "&amp;IF(TRIM(K196&amp;"")="","NULL","'"&amp;SUBSTITUTE(TRIM(K196),"'","''")&amp;"'")&amp;") AS resultado_cliente_"&amp;ROW()&amp;";")</f>
        <v/>
      </c>
    </row>
    <row r="197" ht="15.75" customHeight="1" s="64">
      <c r="A197" s="25">
        <f>IF(AND(D197="",E197="",C197=""),"",IF(AND(D197="",E197=""),"FALTA razón social o nombres",IF(AND(C197&lt;&gt;"",SUMPRODUCT(--($C$5:$C$549=C197))&gt;1),"DOCUMENTO DUPLICADO",IF(AND(B197="DNI",C197&lt;&gt;"",LEN(C197&amp;"")&lt;&gt;8),"DNI debe tener 8 dígitos",IF(AND(B197="RUC",C197&lt;&gt;"",LEN(C197&amp;"")&lt;&gt;11),"RUC debe tener 11 dígitos",IF(AND(N197&lt;&gt;"",SUMPRODUCT(--($N$5:$N$549=N197))&gt;1),"CÓDIGO INTERNO DUPLICADO","OK"))))))</f>
        <v/>
      </c>
      <c r="B197" s="17" t="inlineStr">
        <is>
          <t>DNI</t>
        </is>
      </c>
      <c r="C197" s="23" t="inlineStr">
        <is>
          <t>90000386</t>
        </is>
      </c>
      <c r="D197" s="17" t="n"/>
      <c r="E197" s="17" t="inlineStr">
        <is>
          <t>CYNTHIA PAOLA</t>
        </is>
      </c>
      <c r="F197" s="17" t="inlineStr">
        <is>
          <t>COTRINA</t>
        </is>
      </c>
      <c r="G197" s="17" t="inlineStr">
        <is>
          <t>CORONADO</t>
        </is>
      </c>
      <c r="H197" s="17" t="inlineStr">
        <is>
          <t>Persona Natural</t>
        </is>
      </c>
      <c r="I197" s="17" t="inlineStr">
        <is>
          <t>Cliente</t>
        </is>
      </c>
      <c r="J197" s="17" t="n"/>
      <c r="K197" s="17" t="n"/>
      <c r="L197" s="23" t="n"/>
      <c r="M197" s="17" t="n"/>
      <c r="N197" s="23" t="n"/>
      <c r="O197" s="17" t="n"/>
      <c r="P197" s="28">
        <f>IF(A197&lt;&gt;"OK","","SELECT cli_crear_clientes(p_codigo_interno =&gt; "&amp;IF(TRIM(N197&amp;"")="","NULL","'"&amp;SUBSTITUTE(TRIM(N197),"'","''")&amp;"'")&amp;", p_razon_social =&gt; "&amp;IF(TRIM(D197&amp;"")="","NULL","'"&amp;SUBSTITUTE(TRIM(D197),"'","''")&amp;"'")&amp;", p_id_tipo_cliente =&gt; "&amp;IF(TRIM(I197&amp;"")="","NULL","(SELECT lo.id FROM gen_lista_opciones lo JOIN gen_lista l ON l.id = lo.id_lista WHERE l.nombre = 'TipoCliente' AND upper(lo.nombre) = upper('"&amp;SUBSTITUTE(TRIM(I197),"'","''")&amp;"') AND lo.estado = 1 LIMIT 1)")&amp;", p_id_tipo_persona =&gt; "&amp;IF(TRIM(H197&amp;"")="","NULL","(SELECT lo.id FROM gen_lista_opciones lo JOIN gen_lista l ON l.id = lo.id_lista WHERE l.nombre = 'TipoPersona' AND upper(lo.nombre) = upper('"&amp;SUBSTITUTE(TRIM(H197),"'","''")&amp;"') AND lo.estado = 1 LIMIT 1)")&amp;", p_nombres =&gt; "&amp;IF(TRIM(E197&amp;"")="","NULL","'"&amp;SUBSTITUTE(TRIM(E197),"'","''")&amp;"'")&amp;", p_apellido_paterno =&gt; "&amp;IF(TRIM(F197&amp;"")="","NULL","'"&amp;SUBSTITUTE(TRIM(F197),"'","''")&amp;"'")&amp;", p_apellido_materno =&gt; "&amp;IF(TRIM(G197&amp;"")="","NULL","'"&amp;SUBSTITUTE(TRIM(G197),"'","''")&amp;"'")&amp;", p_id_tipo_documento =&gt; "&amp;IF(TRIM(B197&amp;"")="","NULL","(SELECT lo.id FROM gen_lista_opciones lo JOIN gen_lista l ON l.id = lo.id_lista WHERE l.nombre = 'TipoDocumento' AND upper(lo.nombre) = upper('"&amp;SUBSTITUTE(TRIM(B197),"'","''")&amp;"') AND lo.estado = 1 LIMIT 1)")&amp;", p_numero_documento =&gt; "&amp;IF(TRIM(C197&amp;"")="","NULL","'"&amp;SUBSTITUTE(TRIM(C197),"'","''")&amp;"'")&amp;", p_telefono =&gt; "&amp;IF(TRIM(L197&amp;"")="","NULL","'"&amp;SUBSTITUTE(TRIM(L197),"'","''")&amp;"'")&amp;", p_email =&gt; "&amp;IF(TRIM(M197&amp;"")="","NULL","'"&amp;SUBSTITUTE(TRIM(M197),"'","''")&amp;"'")&amp;", p_observacion =&gt; "&amp;IF(TRIM(O197&amp;"")="","NULL","'"&amp;SUBSTITUTE(TRIM(O197),"'","''")&amp;"'")&amp;", p_direccion =&gt; "&amp;IF(TRIM(J197&amp;"")="","NULL","'"&amp;SUBSTITUTE(TRIM(J197),"'","''")&amp;"'")&amp;", p_referencia =&gt; "&amp;IF(TRIM(K197&amp;"")="","NULL","'"&amp;SUBSTITUTE(TRIM(K197),"'","''")&amp;"'")&amp;") AS resultado_cliente_"&amp;ROW()&amp;";")</f>
        <v/>
      </c>
    </row>
    <row r="198" ht="15.75" customHeight="1" s="64">
      <c r="A198" s="25">
        <f>IF(AND(D198="",E198="",C198=""),"",IF(AND(D198="",E198=""),"FALTA razón social o nombres",IF(AND(C198&lt;&gt;"",SUMPRODUCT(--($C$5:$C$549=C198))&gt;1),"DOCUMENTO DUPLICADO",IF(AND(B198="DNI",C198&lt;&gt;"",LEN(C198&amp;"")&lt;&gt;8),"DNI debe tener 8 dígitos",IF(AND(B198="RUC",C198&lt;&gt;"",LEN(C198&amp;"")&lt;&gt;11),"RUC debe tener 11 dígitos",IF(AND(N198&lt;&gt;"",SUMPRODUCT(--($N$5:$N$549=N198))&gt;1),"CÓDIGO INTERNO DUPLICADO","OK"))))))</f>
        <v/>
      </c>
      <c r="B198" s="17" t="inlineStr">
        <is>
          <t>SD</t>
        </is>
      </c>
      <c r="C198" s="23" t="inlineStr">
        <is>
          <t>000045</t>
        </is>
      </c>
      <c r="D198" s="23" t="inlineStr">
        <is>
          <t>CORCORPORACION EVOCADORA PERU S.A.C.</t>
        </is>
      </c>
      <c r="E198" s="17" t="n"/>
      <c r="F198" s="17" t="n"/>
      <c r="G198" s="17" t="n"/>
      <c r="H198" s="17" t="inlineStr">
        <is>
          <t>Persona Natural</t>
        </is>
      </c>
      <c r="I198" s="17" t="inlineStr">
        <is>
          <t>Cliente</t>
        </is>
      </c>
      <c r="J198" s="17" t="n"/>
      <c r="K198" s="17" t="n"/>
      <c r="L198" s="23" t="n"/>
      <c r="M198" s="17" t="n"/>
      <c r="N198" s="23" t="n"/>
      <c r="O198" s="17" t="n"/>
      <c r="P198" s="28">
        <f>IF(A198&lt;&gt;"OK","","SELECT cli_crear_clientes(p_codigo_interno =&gt; "&amp;IF(TRIM(N198&amp;"")="","NULL","'"&amp;SUBSTITUTE(TRIM(N198),"'","''")&amp;"'")&amp;", p_razon_social =&gt; "&amp;IF(TRIM(D198&amp;"")="","NULL","'"&amp;SUBSTITUTE(TRIM(D198),"'","''")&amp;"'")&amp;", p_id_tipo_cliente =&gt; "&amp;IF(TRIM(I198&amp;"")="","NULL","(SELECT lo.id FROM gen_lista_opciones lo JOIN gen_lista l ON l.id = lo.id_lista WHERE l.nombre = 'TipoCliente' AND upper(lo.nombre) = upper('"&amp;SUBSTITUTE(TRIM(I198),"'","''")&amp;"') AND lo.estado = 1 LIMIT 1)")&amp;", p_id_tipo_persona =&gt; "&amp;IF(TRIM(H198&amp;"")="","NULL","(SELECT lo.id FROM gen_lista_opciones lo JOIN gen_lista l ON l.id = lo.id_lista WHERE l.nombre = 'TipoPersona' AND upper(lo.nombre) = upper('"&amp;SUBSTITUTE(TRIM(H198),"'","''")&amp;"') AND lo.estado = 1 LIMIT 1)")&amp;", p_nombres =&gt; "&amp;IF(TRIM(E198&amp;"")="","NULL","'"&amp;SUBSTITUTE(TRIM(E198),"'","''")&amp;"'")&amp;", p_apellido_paterno =&gt; "&amp;IF(TRIM(F198&amp;"")="","NULL","'"&amp;SUBSTITUTE(TRIM(F198),"'","''")&amp;"'")&amp;", p_apellido_materno =&gt; "&amp;IF(TRIM(G198&amp;"")="","NULL","'"&amp;SUBSTITUTE(TRIM(G198),"'","''")&amp;"'")&amp;", p_id_tipo_documento =&gt; "&amp;IF(TRIM(B198&amp;"")="","NULL","(SELECT lo.id FROM gen_lista_opciones lo JOIN gen_lista l ON l.id = lo.id_lista WHERE l.nombre = 'TipoDocumento' AND upper(lo.nombre) = upper('"&amp;SUBSTITUTE(TRIM(B198),"'","''")&amp;"') AND lo.estado = 1 LIMIT 1)")&amp;", p_numero_documento =&gt; "&amp;IF(TRIM(C198&amp;"")="","NULL","'"&amp;SUBSTITUTE(TRIM(C198),"'","''")&amp;"'")&amp;", p_telefono =&gt; "&amp;IF(TRIM(L198&amp;"")="","NULL","'"&amp;SUBSTITUTE(TRIM(L198),"'","''")&amp;"'")&amp;", p_email =&gt; "&amp;IF(TRIM(M198&amp;"")="","NULL","'"&amp;SUBSTITUTE(TRIM(M198),"'","''")&amp;"'")&amp;", p_observacion =&gt; "&amp;IF(TRIM(O198&amp;"")="","NULL","'"&amp;SUBSTITUTE(TRIM(O198),"'","''")&amp;"'")&amp;", p_direccion =&gt; "&amp;IF(TRIM(J198&amp;"")="","NULL","'"&amp;SUBSTITUTE(TRIM(J198),"'","''")&amp;"'")&amp;", p_referencia =&gt; "&amp;IF(TRIM(K198&amp;"")="","NULL","'"&amp;SUBSTITUTE(TRIM(K198),"'","''")&amp;"'")&amp;") AS resultado_cliente_"&amp;ROW()&amp;";")</f>
        <v/>
      </c>
    </row>
    <row r="199" ht="15.75" customHeight="1" s="64">
      <c r="A199" s="25">
        <f>IF(AND(D199="",E199="",C199=""),"",IF(AND(D199="",E199=""),"FALTA razón social o nombres",IF(AND(C199&lt;&gt;"",SUMPRODUCT(--($C$5:$C$549=C199))&gt;1),"DOCUMENTO DUPLICADO",IF(AND(B199="DNI",C199&lt;&gt;"",LEN(C199&amp;"")&lt;&gt;8),"DNI debe tener 8 dígitos",IF(AND(B199="RUC",C199&lt;&gt;"",LEN(C199&amp;"")&lt;&gt;11),"RUC debe tener 11 dígitos",IF(AND(N199&lt;&gt;"",SUMPRODUCT(--($N$5:$N$549=N199))&gt;1),"CÓDIGO INTERNO DUPLICADO","OK"))))))</f>
        <v/>
      </c>
      <c r="B199" s="17" t="inlineStr">
        <is>
          <t>SD</t>
        </is>
      </c>
      <c r="C199" s="23" t="inlineStr">
        <is>
          <t>000046</t>
        </is>
      </c>
      <c r="D199" s="17" t="n"/>
      <c r="E199" s="17" t="inlineStr">
        <is>
          <t>LUIS</t>
        </is>
      </c>
      <c r="F199" s="17" t="inlineStr">
        <is>
          <t>DAMIAN</t>
        </is>
      </c>
      <c r="G199" s="17" t="inlineStr">
        <is>
          <t>SANDOVAL</t>
        </is>
      </c>
      <c r="H199" s="17" t="inlineStr">
        <is>
          <t>Persona Natural</t>
        </is>
      </c>
      <c r="I199" s="17" t="inlineStr">
        <is>
          <t>Cliente</t>
        </is>
      </c>
      <c r="J199" s="17" t="n"/>
      <c r="K199" s="17" t="n"/>
      <c r="L199" s="23" t="n"/>
      <c r="M199" s="17" t="n"/>
      <c r="N199" s="23" t="n"/>
      <c r="O199" s="17" t="n"/>
      <c r="P199" s="28">
        <f>IF(A199&lt;&gt;"OK","","SELECT cli_crear_clientes(p_codigo_interno =&gt; "&amp;IF(TRIM(N199&amp;"")="","NULL","'"&amp;SUBSTITUTE(TRIM(N199),"'","''")&amp;"'")&amp;", p_razon_social =&gt; "&amp;IF(TRIM(D199&amp;"")="","NULL","'"&amp;SUBSTITUTE(TRIM(D199),"'","''")&amp;"'")&amp;", p_id_tipo_cliente =&gt; "&amp;IF(TRIM(I199&amp;"")="","NULL","(SELECT lo.id FROM gen_lista_opciones lo JOIN gen_lista l ON l.id = lo.id_lista WHERE l.nombre = 'TipoCliente' AND upper(lo.nombre) = upper('"&amp;SUBSTITUTE(TRIM(I199),"'","''")&amp;"') AND lo.estado = 1 LIMIT 1)")&amp;", p_id_tipo_persona =&gt; "&amp;IF(TRIM(H199&amp;"")="","NULL","(SELECT lo.id FROM gen_lista_opciones lo JOIN gen_lista l ON l.id = lo.id_lista WHERE l.nombre = 'TipoPersona' AND upper(lo.nombre) = upper('"&amp;SUBSTITUTE(TRIM(H199),"'","''")&amp;"') AND lo.estado = 1 LIMIT 1)")&amp;", p_nombres =&gt; "&amp;IF(TRIM(E199&amp;"")="","NULL","'"&amp;SUBSTITUTE(TRIM(E199),"'","''")&amp;"'")&amp;", p_apellido_paterno =&gt; "&amp;IF(TRIM(F199&amp;"")="","NULL","'"&amp;SUBSTITUTE(TRIM(F199),"'","''")&amp;"'")&amp;", p_apellido_materno =&gt; "&amp;IF(TRIM(G199&amp;"")="","NULL","'"&amp;SUBSTITUTE(TRIM(G199),"'","''")&amp;"'")&amp;", p_id_tipo_documento =&gt; "&amp;IF(TRIM(B199&amp;"")="","NULL","(SELECT lo.id FROM gen_lista_opciones lo JOIN gen_lista l ON l.id = lo.id_lista WHERE l.nombre = 'TipoDocumento' AND upper(lo.nombre) = upper('"&amp;SUBSTITUTE(TRIM(B199),"'","''")&amp;"') AND lo.estado = 1 LIMIT 1)")&amp;", p_numero_documento =&gt; "&amp;IF(TRIM(C199&amp;"")="","NULL","'"&amp;SUBSTITUTE(TRIM(C199),"'","''")&amp;"'")&amp;", p_telefono =&gt; "&amp;IF(TRIM(L199&amp;"")="","NULL","'"&amp;SUBSTITUTE(TRIM(L199),"'","''")&amp;"'")&amp;", p_email =&gt; "&amp;IF(TRIM(M199&amp;"")="","NULL","'"&amp;SUBSTITUTE(TRIM(M199),"'","''")&amp;"'")&amp;", p_observacion =&gt; "&amp;IF(TRIM(O199&amp;"")="","NULL","'"&amp;SUBSTITUTE(TRIM(O199),"'","''")&amp;"'")&amp;", p_direccion =&gt; "&amp;IF(TRIM(J199&amp;"")="","NULL","'"&amp;SUBSTITUTE(TRIM(J199),"'","''")&amp;"'")&amp;", p_referencia =&gt; "&amp;IF(TRIM(K199&amp;"")="","NULL","'"&amp;SUBSTITUTE(TRIM(K199),"'","''")&amp;"'")&amp;") AS resultado_cliente_"&amp;ROW()&amp;";")</f>
        <v/>
      </c>
    </row>
    <row r="200" ht="15.75" customHeight="1" s="64">
      <c r="A200" s="25">
        <f>IF(AND(D200="",E200="",C200=""),"",IF(AND(D200="",E200=""),"FALTA razón social o nombres",IF(AND(C200&lt;&gt;"",SUMPRODUCT(--($C$5:$C$549=C200))&gt;1),"DOCUMENTO DUPLICADO",IF(AND(B200="DNI",C200&lt;&gt;"",LEN(C200&amp;"")&lt;&gt;8),"DNI debe tener 8 dígitos",IF(AND(B200="RUC",C200&lt;&gt;"",LEN(C200&amp;"")&lt;&gt;11),"RUC debe tener 11 dígitos",IF(AND(N200&lt;&gt;"",SUMPRODUCT(--($N$5:$N$549=N200))&gt;1),"CÓDIGO INTERNO DUPLICADO","OK"))))))</f>
        <v/>
      </c>
      <c r="B200" s="17" t="inlineStr">
        <is>
          <t>SD</t>
        </is>
      </c>
      <c r="C200" s="23" t="inlineStr">
        <is>
          <t>000047</t>
        </is>
      </c>
      <c r="D200" s="17" t="n"/>
      <c r="E200" s="17" t="inlineStr">
        <is>
          <t xml:space="preserve">DANY </t>
        </is>
      </c>
      <c r="F200" s="17" t="inlineStr">
        <is>
          <t>MACO</t>
        </is>
      </c>
      <c r="G200" s="17" t="n"/>
      <c r="H200" s="17" t="inlineStr">
        <is>
          <t>Persona Natural</t>
        </is>
      </c>
      <c r="I200" s="17" t="inlineStr">
        <is>
          <t>Cliente</t>
        </is>
      </c>
      <c r="J200" s="17" t="n"/>
      <c r="K200" s="17" t="n"/>
      <c r="L200" s="23" t="n"/>
      <c r="M200" s="17" t="n"/>
      <c r="N200" s="23" t="n"/>
      <c r="O200" s="17" t="n"/>
      <c r="P200" s="28">
        <f>IF(A200&lt;&gt;"OK","","SELECT cli_crear_clientes(p_codigo_interno =&gt; "&amp;IF(TRIM(N200&amp;"")="","NULL","'"&amp;SUBSTITUTE(TRIM(N200),"'","''")&amp;"'")&amp;", p_razon_social =&gt; "&amp;IF(TRIM(D200&amp;"")="","NULL","'"&amp;SUBSTITUTE(TRIM(D200),"'","''")&amp;"'")&amp;", p_id_tipo_cliente =&gt; "&amp;IF(TRIM(I200&amp;"")="","NULL","(SELECT lo.id FROM gen_lista_opciones lo JOIN gen_lista l ON l.id = lo.id_lista WHERE l.nombre = 'TipoCliente' AND upper(lo.nombre) = upper('"&amp;SUBSTITUTE(TRIM(I200),"'","''")&amp;"') AND lo.estado = 1 LIMIT 1)")&amp;", p_id_tipo_persona =&gt; "&amp;IF(TRIM(H200&amp;"")="","NULL","(SELECT lo.id FROM gen_lista_opciones lo JOIN gen_lista l ON l.id = lo.id_lista WHERE l.nombre = 'TipoPersona' AND upper(lo.nombre) = upper('"&amp;SUBSTITUTE(TRIM(H200),"'","''")&amp;"') AND lo.estado = 1 LIMIT 1)")&amp;", p_nombres =&gt; "&amp;IF(TRIM(E200&amp;"")="","NULL","'"&amp;SUBSTITUTE(TRIM(E200),"'","''")&amp;"'")&amp;", p_apellido_paterno =&gt; "&amp;IF(TRIM(F200&amp;"")="","NULL","'"&amp;SUBSTITUTE(TRIM(F200),"'","''")&amp;"'")&amp;", p_apellido_materno =&gt; "&amp;IF(TRIM(G200&amp;"")="","NULL","'"&amp;SUBSTITUTE(TRIM(G200),"'","''")&amp;"'")&amp;", p_id_tipo_documento =&gt; "&amp;IF(TRIM(B200&amp;"")="","NULL","(SELECT lo.id FROM gen_lista_opciones lo JOIN gen_lista l ON l.id = lo.id_lista WHERE l.nombre = 'TipoDocumento' AND upper(lo.nombre) = upper('"&amp;SUBSTITUTE(TRIM(B200),"'","''")&amp;"') AND lo.estado = 1 LIMIT 1)")&amp;", p_numero_documento =&gt; "&amp;IF(TRIM(C200&amp;"")="","NULL","'"&amp;SUBSTITUTE(TRIM(C200),"'","''")&amp;"'")&amp;", p_telefono =&gt; "&amp;IF(TRIM(L200&amp;"")="","NULL","'"&amp;SUBSTITUTE(TRIM(L200),"'","''")&amp;"'")&amp;", p_email =&gt; "&amp;IF(TRIM(M200&amp;"")="","NULL","'"&amp;SUBSTITUTE(TRIM(M200),"'","''")&amp;"'")&amp;", p_observacion =&gt; "&amp;IF(TRIM(O200&amp;"")="","NULL","'"&amp;SUBSTITUTE(TRIM(O200),"'","''")&amp;"'")&amp;", p_direccion =&gt; "&amp;IF(TRIM(J200&amp;"")="","NULL","'"&amp;SUBSTITUTE(TRIM(J200),"'","''")&amp;"'")&amp;", p_referencia =&gt; "&amp;IF(TRIM(K200&amp;"")="","NULL","'"&amp;SUBSTITUTE(TRIM(K200),"'","''")&amp;"'")&amp;") AS resultado_cliente_"&amp;ROW()&amp;";")</f>
        <v/>
      </c>
    </row>
    <row r="201" ht="15.75" customHeight="1" s="64">
      <c r="A201" s="25">
        <f>IF(AND(D201="",E201="",C201=""),"",IF(AND(D201="",E201=""),"FALTA razón social o nombres",IF(AND(C201&lt;&gt;"",SUMPRODUCT(--($C$5:$C$549=C201))&gt;1),"DOCUMENTO DUPLICADO",IF(AND(B201="DNI",C201&lt;&gt;"",LEN(C201&amp;"")&lt;&gt;8),"DNI debe tener 8 dígitos",IF(AND(B201="RUC",C201&lt;&gt;"",LEN(C201&amp;"")&lt;&gt;11),"RUC debe tener 11 dígitos",IF(AND(N201&lt;&gt;"",SUMPRODUCT(--($N$5:$N$549=N201))&gt;1),"CÓDIGO INTERNO DUPLICADO","OK"))))))</f>
        <v/>
      </c>
      <c r="B201" s="17" t="inlineStr">
        <is>
          <t>SD</t>
        </is>
      </c>
      <c r="C201" s="23" t="inlineStr">
        <is>
          <t>000048</t>
        </is>
      </c>
      <c r="D201" s="17" t="n"/>
      <c r="E201" s="17" t="inlineStr">
        <is>
          <t xml:space="preserve">JOSE </t>
        </is>
      </c>
      <c r="F201" s="17" t="inlineStr">
        <is>
          <t xml:space="preserve">DAVILA </t>
        </is>
      </c>
      <c r="G201" s="17" t="inlineStr">
        <is>
          <t>MONTENEGRO</t>
        </is>
      </c>
      <c r="H201" s="17" t="inlineStr">
        <is>
          <t>Persona Natural</t>
        </is>
      </c>
      <c r="I201" s="17" t="inlineStr">
        <is>
          <t>Cliente</t>
        </is>
      </c>
      <c r="J201" s="17" t="n"/>
      <c r="K201" s="17" t="n"/>
      <c r="L201" s="23" t="n"/>
      <c r="M201" s="17" t="n"/>
      <c r="N201" s="23" t="n"/>
      <c r="O201" s="17" t="n"/>
      <c r="P201" s="28">
        <f>IF(A201&lt;&gt;"OK","","SELECT cli_crear_clientes(p_codigo_interno =&gt; "&amp;IF(TRIM(N201&amp;"")="","NULL","'"&amp;SUBSTITUTE(TRIM(N201),"'","''")&amp;"'")&amp;", p_razon_social =&gt; "&amp;IF(TRIM(D201&amp;"")="","NULL","'"&amp;SUBSTITUTE(TRIM(D201),"'","''")&amp;"'")&amp;", p_id_tipo_cliente =&gt; "&amp;IF(TRIM(I201&amp;"")="","NULL","(SELECT lo.id FROM gen_lista_opciones lo JOIN gen_lista l ON l.id = lo.id_lista WHERE l.nombre = 'TipoCliente' AND upper(lo.nombre) = upper('"&amp;SUBSTITUTE(TRIM(I201),"'","''")&amp;"') AND lo.estado = 1 LIMIT 1)")&amp;", p_id_tipo_persona =&gt; "&amp;IF(TRIM(H201&amp;"")="","NULL","(SELECT lo.id FROM gen_lista_opciones lo JOIN gen_lista l ON l.id = lo.id_lista WHERE l.nombre = 'TipoPersona' AND upper(lo.nombre) = upper('"&amp;SUBSTITUTE(TRIM(H201),"'","''")&amp;"') AND lo.estado = 1 LIMIT 1)")&amp;", p_nombres =&gt; "&amp;IF(TRIM(E201&amp;"")="","NULL","'"&amp;SUBSTITUTE(TRIM(E201),"'","''")&amp;"'")&amp;", p_apellido_paterno =&gt; "&amp;IF(TRIM(F201&amp;"")="","NULL","'"&amp;SUBSTITUTE(TRIM(F201),"'","''")&amp;"'")&amp;", p_apellido_materno =&gt; "&amp;IF(TRIM(G201&amp;"")="","NULL","'"&amp;SUBSTITUTE(TRIM(G201),"'","''")&amp;"'")&amp;", p_id_tipo_documento =&gt; "&amp;IF(TRIM(B201&amp;"")="","NULL","(SELECT lo.id FROM gen_lista_opciones lo JOIN gen_lista l ON l.id = lo.id_lista WHERE l.nombre = 'TipoDocumento' AND upper(lo.nombre) = upper('"&amp;SUBSTITUTE(TRIM(B201),"'","''")&amp;"') AND lo.estado = 1 LIMIT 1)")&amp;", p_numero_documento =&gt; "&amp;IF(TRIM(C201&amp;"")="","NULL","'"&amp;SUBSTITUTE(TRIM(C201),"'","''")&amp;"'")&amp;", p_telefono =&gt; "&amp;IF(TRIM(L201&amp;"")="","NULL","'"&amp;SUBSTITUTE(TRIM(L201),"'","''")&amp;"'")&amp;", p_email =&gt; "&amp;IF(TRIM(M201&amp;"")="","NULL","'"&amp;SUBSTITUTE(TRIM(M201),"'","''")&amp;"'")&amp;", p_observacion =&gt; "&amp;IF(TRIM(O201&amp;"")="","NULL","'"&amp;SUBSTITUTE(TRIM(O201),"'","''")&amp;"'")&amp;", p_direccion =&gt; "&amp;IF(TRIM(J201&amp;"")="","NULL","'"&amp;SUBSTITUTE(TRIM(J201),"'","''")&amp;"'")&amp;", p_referencia =&gt; "&amp;IF(TRIM(K201&amp;"")="","NULL","'"&amp;SUBSTITUTE(TRIM(K201),"'","''")&amp;"'")&amp;") AS resultado_cliente_"&amp;ROW()&amp;";")</f>
        <v/>
      </c>
    </row>
    <row r="202" ht="15.75" customHeight="1" s="64">
      <c r="A202" s="25">
        <f>IF(AND(D202="",E202="",C202=""),"",IF(AND(D202="",E202=""),"FALTA razón social o nombres",IF(AND(C202&lt;&gt;"",SUMPRODUCT(--($C$5:$C$549=C202))&gt;1),"DOCUMENTO DUPLICADO",IF(AND(B202="DNI",C202&lt;&gt;"",LEN(C202&amp;"")&lt;&gt;8),"DNI debe tener 8 dígitos",IF(AND(B202="RUC",C202&lt;&gt;"",LEN(C202&amp;"")&lt;&gt;11),"RUC debe tener 11 dígitos",IF(AND(N202&lt;&gt;"",SUMPRODUCT(--($N$5:$N$549=N202))&gt;1),"CÓDIGO INTERNO DUPLICADO","OK"))))))</f>
        <v/>
      </c>
      <c r="B202" s="17" t="inlineStr">
        <is>
          <t>DNI</t>
        </is>
      </c>
      <c r="C202" s="23" t="inlineStr">
        <is>
          <t>16456285</t>
        </is>
      </c>
      <c r="D202" s="17" t="n"/>
      <c r="E202" s="17" t="inlineStr">
        <is>
          <t>ALFONZO</t>
        </is>
      </c>
      <c r="F202" s="17" t="inlineStr">
        <is>
          <t xml:space="preserve">DAVILA </t>
        </is>
      </c>
      <c r="G202" s="17" t="inlineStr">
        <is>
          <t>SAAVEDRA</t>
        </is>
      </c>
      <c r="H202" s="17" t="inlineStr">
        <is>
          <t>Persona Natural</t>
        </is>
      </c>
      <c r="I202" s="17" t="inlineStr">
        <is>
          <t>Cliente</t>
        </is>
      </c>
      <c r="J202" s="17" t="n"/>
      <c r="K202" s="17" t="n"/>
      <c r="L202" s="23" t="n"/>
      <c r="M202" s="17" t="n"/>
      <c r="N202" s="23" t="n"/>
      <c r="O202" s="17" t="n"/>
      <c r="P202" s="28">
        <f>IF(A202&lt;&gt;"OK","","SELECT cli_crear_clientes(p_codigo_interno =&gt; "&amp;IF(TRIM(N202&amp;"")="","NULL","'"&amp;SUBSTITUTE(TRIM(N202),"'","''")&amp;"'")&amp;", p_razon_social =&gt; "&amp;IF(TRIM(D202&amp;"")="","NULL","'"&amp;SUBSTITUTE(TRIM(D202),"'","''")&amp;"'")&amp;", p_id_tipo_cliente =&gt; "&amp;IF(TRIM(I202&amp;"")="","NULL","(SELECT lo.id FROM gen_lista_opciones lo JOIN gen_lista l ON l.id = lo.id_lista WHERE l.nombre = 'TipoCliente' AND upper(lo.nombre) = upper('"&amp;SUBSTITUTE(TRIM(I202),"'","''")&amp;"') AND lo.estado = 1 LIMIT 1)")&amp;", p_id_tipo_persona =&gt; "&amp;IF(TRIM(H202&amp;"")="","NULL","(SELECT lo.id FROM gen_lista_opciones lo JOIN gen_lista l ON l.id = lo.id_lista WHERE l.nombre = 'TipoPersona' AND upper(lo.nombre) = upper('"&amp;SUBSTITUTE(TRIM(H202),"'","''")&amp;"') AND lo.estado = 1 LIMIT 1)")&amp;", p_nombres =&gt; "&amp;IF(TRIM(E202&amp;"")="","NULL","'"&amp;SUBSTITUTE(TRIM(E202),"'","''")&amp;"'")&amp;", p_apellido_paterno =&gt; "&amp;IF(TRIM(F202&amp;"")="","NULL","'"&amp;SUBSTITUTE(TRIM(F202),"'","''")&amp;"'")&amp;", p_apellido_materno =&gt; "&amp;IF(TRIM(G202&amp;"")="","NULL","'"&amp;SUBSTITUTE(TRIM(G202),"'","''")&amp;"'")&amp;", p_id_tipo_documento =&gt; "&amp;IF(TRIM(B202&amp;"")="","NULL","(SELECT lo.id FROM gen_lista_opciones lo JOIN gen_lista l ON l.id = lo.id_lista WHERE l.nombre = 'TipoDocumento' AND upper(lo.nombre) = upper('"&amp;SUBSTITUTE(TRIM(B202),"'","''")&amp;"') AND lo.estado = 1 LIMIT 1)")&amp;", p_numero_documento =&gt; "&amp;IF(TRIM(C202&amp;"")="","NULL","'"&amp;SUBSTITUTE(TRIM(C202),"'","''")&amp;"'")&amp;", p_telefono =&gt; "&amp;IF(TRIM(L202&amp;"")="","NULL","'"&amp;SUBSTITUTE(TRIM(L202),"'","''")&amp;"'")&amp;", p_email =&gt; "&amp;IF(TRIM(M202&amp;"")="","NULL","'"&amp;SUBSTITUTE(TRIM(M202),"'","''")&amp;"'")&amp;", p_observacion =&gt; "&amp;IF(TRIM(O202&amp;"")="","NULL","'"&amp;SUBSTITUTE(TRIM(O202),"'","''")&amp;"'")&amp;", p_direccion =&gt; "&amp;IF(TRIM(J202&amp;"")="","NULL","'"&amp;SUBSTITUTE(TRIM(J202),"'","''")&amp;"'")&amp;", p_referencia =&gt; "&amp;IF(TRIM(K202&amp;"")="","NULL","'"&amp;SUBSTITUTE(TRIM(K202),"'","''")&amp;"'")&amp;") AS resultado_cliente_"&amp;ROW()&amp;";")</f>
        <v/>
      </c>
    </row>
    <row r="203" ht="15.75" customHeight="1" s="64">
      <c r="A203" s="25">
        <f>IF(AND(D203="",E203="",C203=""),"",IF(AND(D203="",E203=""),"FALTA razón social o nombres",IF(AND(C203&lt;&gt;"",SUMPRODUCT(--($C$5:$C$549=C203))&gt;1),"DOCUMENTO DUPLICADO",IF(AND(B203="DNI",C203&lt;&gt;"",LEN(C203&amp;"")&lt;&gt;8),"DNI debe tener 8 dígitos",IF(AND(B203="RUC",C203&lt;&gt;"",LEN(C203&amp;"")&lt;&gt;11),"RUC debe tener 11 dígitos",IF(AND(N203&lt;&gt;"",SUMPRODUCT(--($N$5:$N$549=N203))&gt;1),"CÓDIGO INTERNO DUPLICADO","OK"))))))</f>
        <v/>
      </c>
      <c r="B203" s="17" t="inlineStr">
        <is>
          <t>RUC</t>
        </is>
      </c>
      <c r="C203" s="23" t="inlineStr">
        <is>
          <t>20611929596</t>
        </is>
      </c>
      <c r="D203" s="23" t="inlineStr">
        <is>
          <t>DC CADENA DE SERVICIOS GENERALES E.I.R.L.</t>
        </is>
      </c>
      <c r="E203" s="17" t="n"/>
      <c r="F203" s="17" t="n"/>
      <c r="G203" s="17" t="n"/>
      <c r="H203" s="17" t="inlineStr">
        <is>
          <t>Persona Jurídica</t>
        </is>
      </c>
      <c r="I203" s="17" t="inlineStr">
        <is>
          <t>Cliente</t>
        </is>
      </c>
      <c r="J203" s="17" t="n"/>
      <c r="K203" s="17" t="n"/>
      <c r="L203" s="23" t="n"/>
      <c r="M203" s="17" t="n"/>
      <c r="N203" s="23" t="n"/>
      <c r="O203" s="17" t="n"/>
      <c r="P203" s="28">
        <f>IF(A203&lt;&gt;"OK","","SELECT cli_crear_clientes(p_codigo_interno =&gt; "&amp;IF(TRIM(N203&amp;"")="","NULL","'"&amp;SUBSTITUTE(TRIM(N203),"'","''")&amp;"'")&amp;", p_razon_social =&gt; "&amp;IF(TRIM(D203&amp;"")="","NULL","'"&amp;SUBSTITUTE(TRIM(D203),"'","''")&amp;"'")&amp;", p_id_tipo_cliente =&gt; "&amp;IF(TRIM(I203&amp;"")="","NULL","(SELECT lo.id FROM gen_lista_opciones lo JOIN gen_lista l ON l.id = lo.id_lista WHERE l.nombre = 'TipoCliente' AND upper(lo.nombre) = upper('"&amp;SUBSTITUTE(TRIM(I203),"'","''")&amp;"') AND lo.estado = 1 LIMIT 1)")&amp;", p_id_tipo_persona =&gt; "&amp;IF(TRIM(H203&amp;"")="","NULL","(SELECT lo.id FROM gen_lista_opciones lo JOIN gen_lista l ON l.id = lo.id_lista WHERE l.nombre = 'TipoPersona' AND upper(lo.nombre) = upper('"&amp;SUBSTITUTE(TRIM(H203),"'","''")&amp;"') AND lo.estado = 1 LIMIT 1)")&amp;", p_nombres =&gt; "&amp;IF(TRIM(E203&amp;"")="","NULL","'"&amp;SUBSTITUTE(TRIM(E203),"'","''")&amp;"'")&amp;", p_apellido_paterno =&gt; "&amp;IF(TRIM(F203&amp;"")="","NULL","'"&amp;SUBSTITUTE(TRIM(F203),"'","''")&amp;"'")&amp;", p_apellido_materno =&gt; "&amp;IF(TRIM(G203&amp;"")="","NULL","'"&amp;SUBSTITUTE(TRIM(G203),"'","''")&amp;"'")&amp;", p_id_tipo_documento =&gt; "&amp;IF(TRIM(B203&amp;"")="","NULL","(SELECT lo.id FROM gen_lista_opciones lo JOIN gen_lista l ON l.id = lo.id_lista WHERE l.nombre = 'TipoDocumento' AND upper(lo.nombre) = upper('"&amp;SUBSTITUTE(TRIM(B203),"'","''")&amp;"') AND lo.estado = 1 LIMIT 1)")&amp;", p_numero_documento =&gt; "&amp;IF(TRIM(C203&amp;"")="","NULL","'"&amp;SUBSTITUTE(TRIM(C203),"'","''")&amp;"'")&amp;", p_telefono =&gt; "&amp;IF(TRIM(L203&amp;"")="","NULL","'"&amp;SUBSTITUTE(TRIM(L203),"'","''")&amp;"'")&amp;", p_email =&gt; "&amp;IF(TRIM(M203&amp;"")="","NULL","'"&amp;SUBSTITUTE(TRIM(M203),"'","''")&amp;"'")&amp;", p_observacion =&gt; "&amp;IF(TRIM(O203&amp;"")="","NULL","'"&amp;SUBSTITUTE(TRIM(O203),"'","''")&amp;"'")&amp;", p_direccion =&gt; "&amp;IF(TRIM(J203&amp;"")="","NULL","'"&amp;SUBSTITUTE(TRIM(J203),"'","''")&amp;"'")&amp;", p_referencia =&gt; "&amp;IF(TRIM(K203&amp;"")="","NULL","'"&amp;SUBSTITUTE(TRIM(K203),"'","''")&amp;"'")&amp;") AS resultado_cliente_"&amp;ROW()&amp;";")</f>
        <v/>
      </c>
    </row>
    <row r="204" ht="15.75" customHeight="1" s="64">
      <c r="A204" s="25">
        <f>IF(AND(D204="",E204="",C204=""),"",IF(AND(D204="",E204=""),"FALTA razón social o nombres",IF(AND(C204&lt;&gt;"",SUMPRODUCT(--($C$5:$C$549=C204))&gt;1),"DOCUMENTO DUPLICADO",IF(AND(B204="DNI",C204&lt;&gt;"",LEN(C204&amp;"")&lt;&gt;8),"DNI debe tener 8 dígitos",IF(AND(B204="RUC",C204&lt;&gt;"",LEN(C204&amp;"")&lt;&gt;11),"RUC debe tener 11 dígitos",IF(AND(N204&lt;&gt;"",SUMPRODUCT(--($N$5:$N$549=N204))&gt;1),"CÓDIGO INTERNO DUPLICADO","OK"))))))</f>
        <v/>
      </c>
      <c r="B204" s="17" t="inlineStr">
        <is>
          <t>RUC</t>
        </is>
      </c>
      <c r="C204" s="23" t="inlineStr">
        <is>
          <t>10403521197</t>
        </is>
      </c>
      <c r="D204" s="17" t="inlineStr">
        <is>
          <t>DIAZ RUIZ BELIZARIO</t>
        </is>
      </c>
      <c r="E204" s="17" t="n"/>
      <c r="F204" s="17" t="n"/>
      <c r="G204" s="17" t="n"/>
      <c r="H204" s="17" t="inlineStr">
        <is>
          <t>Persona Jurídica</t>
        </is>
      </c>
      <c r="I204" s="17" t="inlineStr">
        <is>
          <t>Cliente</t>
        </is>
      </c>
      <c r="J204" s="17" t="n"/>
      <c r="K204" s="17" t="n"/>
      <c r="L204" s="23" t="n"/>
      <c r="M204" s="17" t="n"/>
      <c r="N204" s="23" t="n"/>
      <c r="O204" s="17" t="n"/>
      <c r="P204" s="28">
        <f>IF(A204&lt;&gt;"OK","","SELECT cli_crear_clientes(p_codigo_interno =&gt; "&amp;IF(TRIM(N204&amp;"")="","NULL","'"&amp;SUBSTITUTE(TRIM(N204),"'","''")&amp;"'")&amp;", p_razon_social =&gt; "&amp;IF(TRIM(D204&amp;"")="","NULL","'"&amp;SUBSTITUTE(TRIM(D204),"'","''")&amp;"'")&amp;", p_id_tipo_cliente =&gt; "&amp;IF(TRIM(I204&amp;"")="","NULL","(SELECT lo.id FROM gen_lista_opciones lo JOIN gen_lista l ON l.id = lo.id_lista WHERE l.nombre = 'TipoCliente' AND upper(lo.nombre) = upper('"&amp;SUBSTITUTE(TRIM(I204),"'","''")&amp;"') AND lo.estado = 1 LIMIT 1)")&amp;", p_id_tipo_persona =&gt; "&amp;IF(TRIM(H204&amp;"")="","NULL","(SELECT lo.id FROM gen_lista_opciones lo JOIN gen_lista l ON l.id = lo.id_lista WHERE l.nombre = 'TipoPersona' AND upper(lo.nombre) = upper('"&amp;SUBSTITUTE(TRIM(H204),"'","''")&amp;"') AND lo.estado = 1 LIMIT 1)")&amp;", p_nombres =&gt; "&amp;IF(TRIM(E204&amp;"")="","NULL","'"&amp;SUBSTITUTE(TRIM(E204),"'","''")&amp;"'")&amp;", p_apellido_paterno =&gt; "&amp;IF(TRIM(F204&amp;"")="","NULL","'"&amp;SUBSTITUTE(TRIM(F204),"'","''")&amp;"'")&amp;", p_apellido_materno =&gt; "&amp;IF(TRIM(G204&amp;"")="","NULL","'"&amp;SUBSTITUTE(TRIM(G204),"'","''")&amp;"'")&amp;", p_id_tipo_documento =&gt; "&amp;IF(TRIM(B204&amp;"")="","NULL","(SELECT lo.id FROM gen_lista_opciones lo JOIN gen_lista l ON l.id = lo.id_lista WHERE l.nombre = 'TipoDocumento' AND upper(lo.nombre) = upper('"&amp;SUBSTITUTE(TRIM(B204),"'","''")&amp;"') AND lo.estado = 1 LIMIT 1)")&amp;", p_numero_documento =&gt; "&amp;IF(TRIM(C204&amp;"")="","NULL","'"&amp;SUBSTITUTE(TRIM(C204),"'","''")&amp;"'")&amp;", p_telefono =&gt; "&amp;IF(TRIM(L204&amp;"")="","NULL","'"&amp;SUBSTITUTE(TRIM(L204),"'","''")&amp;"'")&amp;", p_email =&gt; "&amp;IF(TRIM(M204&amp;"")="","NULL","'"&amp;SUBSTITUTE(TRIM(M204),"'","''")&amp;"'")&amp;", p_observacion =&gt; "&amp;IF(TRIM(O204&amp;"")="","NULL","'"&amp;SUBSTITUTE(TRIM(O204),"'","''")&amp;"'")&amp;", p_direccion =&gt; "&amp;IF(TRIM(J204&amp;"")="","NULL","'"&amp;SUBSTITUTE(TRIM(J204),"'","''")&amp;"'")&amp;", p_referencia =&gt; "&amp;IF(TRIM(K204&amp;"")="","NULL","'"&amp;SUBSTITUTE(TRIM(K204),"'","''")&amp;"'")&amp;") AS resultado_cliente_"&amp;ROW()&amp;";")</f>
        <v/>
      </c>
    </row>
    <row r="205" ht="15.75" customHeight="1" s="64">
      <c r="A205" s="25">
        <f>IF(AND(D205="",E205="",C205=""),"",IF(AND(D205="",E205=""),"FALTA razón social o nombres",IF(AND(C205&lt;&gt;"",SUMPRODUCT(--($C$5:$C$549=C205))&gt;1),"DOCUMENTO DUPLICADO",IF(AND(B205="DNI",C205&lt;&gt;"",LEN(C205&amp;"")&lt;&gt;8),"DNI debe tener 8 dígitos",IF(AND(B205="RUC",C205&lt;&gt;"",LEN(C205&amp;"")&lt;&gt;11),"RUC debe tener 11 dígitos",IF(AND(N205&lt;&gt;"",SUMPRODUCT(--($N$5:$N$549=N205))&gt;1),"CÓDIGO INTERNO DUPLICADO","OK"))))))</f>
        <v/>
      </c>
      <c r="B205" s="17" t="inlineStr">
        <is>
          <t>RUC</t>
        </is>
      </c>
      <c r="C205" s="23" t="inlineStr">
        <is>
          <t>20612690007</t>
        </is>
      </c>
      <c r="D205" s="17" t="inlineStr">
        <is>
          <t>ECOFUMIG SOLUCIONES S.A.C.</t>
        </is>
      </c>
      <c r="E205" s="17" t="n"/>
      <c r="F205" s="17" t="n"/>
      <c r="G205" s="17" t="n"/>
      <c r="H205" s="17" t="inlineStr">
        <is>
          <t>Persona Jurídica</t>
        </is>
      </c>
      <c r="I205" s="17" t="inlineStr">
        <is>
          <t>Cliente</t>
        </is>
      </c>
      <c r="J205" s="17" t="n"/>
      <c r="K205" s="17" t="n"/>
      <c r="L205" s="23" t="n"/>
      <c r="M205" s="17" t="n"/>
      <c r="N205" s="23" t="n"/>
      <c r="O205" s="17" t="n"/>
      <c r="P205" s="28">
        <f>IF(A205&lt;&gt;"OK","","SELECT cli_crear_clientes(p_codigo_interno =&gt; "&amp;IF(TRIM(N205&amp;"")="","NULL","'"&amp;SUBSTITUTE(TRIM(N205),"'","''")&amp;"'")&amp;", p_razon_social =&gt; "&amp;IF(TRIM(D205&amp;"")="","NULL","'"&amp;SUBSTITUTE(TRIM(D205),"'","''")&amp;"'")&amp;", p_id_tipo_cliente =&gt; "&amp;IF(TRIM(I205&amp;"")="","NULL","(SELECT lo.id FROM gen_lista_opciones lo JOIN gen_lista l ON l.id = lo.id_lista WHERE l.nombre = 'TipoCliente' AND upper(lo.nombre) = upper('"&amp;SUBSTITUTE(TRIM(I205),"'","''")&amp;"') AND lo.estado = 1 LIMIT 1)")&amp;", p_id_tipo_persona =&gt; "&amp;IF(TRIM(H205&amp;"")="","NULL","(SELECT lo.id FROM gen_lista_opciones lo JOIN gen_lista l ON l.id = lo.id_lista WHERE l.nombre = 'TipoPersona' AND upper(lo.nombre) = upper('"&amp;SUBSTITUTE(TRIM(H205),"'","''")&amp;"') AND lo.estado = 1 LIMIT 1)")&amp;", p_nombres =&gt; "&amp;IF(TRIM(E205&amp;"")="","NULL","'"&amp;SUBSTITUTE(TRIM(E205),"'","''")&amp;"'")&amp;", p_apellido_paterno =&gt; "&amp;IF(TRIM(F205&amp;"")="","NULL","'"&amp;SUBSTITUTE(TRIM(F205),"'","''")&amp;"'")&amp;", p_apellido_materno =&gt; "&amp;IF(TRIM(G205&amp;"")="","NULL","'"&amp;SUBSTITUTE(TRIM(G205),"'","''")&amp;"'")&amp;", p_id_tipo_documento =&gt; "&amp;IF(TRIM(B205&amp;"")="","NULL","(SELECT lo.id FROM gen_lista_opciones lo JOIN gen_lista l ON l.id = lo.id_lista WHERE l.nombre = 'TipoDocumento' AND upper(lo.nombre) = upper('"&amp;SUBSTITUTE(TRIM(B205),"'","''")&amp;"') AND lo.estado = 1 LIMIT 1)")&amp;", p_numero_documento =&gt; "&amp;IF(TRIM(C205&amp;"")="","NULL","'"&amp;SUBSTITUTE(TRIM(C205),"'","''")&amp;"'")&amp;", p_telefono =&gt; "&amp;IF(TRIM(L205&amp;"")="","NULL","'"&amp;SUBSTITUTE(TRIM(L205),"'","''")&amp;"'")&amp;", p_email =&gt; "&amp;IF(TRIM(M205&amp;"")="","NULL","'"&amp;SUBSTITUTE(TRIM(M205),"'","''")&amp;"'")&amp;", p_observacion =&gt; "&amp;IF(TRIM(O205&amp;"")="","NULL","'"&amp;SUBSTITUTE(TRIM(O205),"'","''")&amp;"'")&amp;", p_direccion =&gt; "&amp;IF(TRIM(J205&amp;"")="","NULL","'"&amp;SUBSTITUTE(TRIM(J205),"'","''")&amp;"'")&amp;", p_referencia =&gt; "&amp;IF(TRIM(K205&amp;"")="","NULL","'"&amp;SUBSTITUTE(TRIM(K205),"'","''")&amp;"'")&amp;") AS resultado_cliente_"&amp;ROW()&amp;";")</f>
        <v/>
      </c>
    </row>
    <row r="206" ht="15.75" customHeight="1" s="64">
      <c r="A206" s="25">
        <f>IF(AND(D206="",E206="",C206=""),"",IF(AND(D206="",E206=""),"FALTA razón social o nombres",IF(AND(C206&lt;&gt;"",SUMPRODUCT(--($C$5:$C$549=C206))&gt;1),"DOCUMENTO DUPLICADO",IF(AND(B206="DNI",C206&lt;&gt;"",LEN(C206&amp;"")&lt;&gt;8),"DNI debe tener 8 dígitos",IF(AND(B206="RUC",C206&lt;&gt;"",LEN(C206&amp;"")&lt;&gt;11),"RUC debe tener 11 dígitos",IF(AND(N206&lt;&gt;"",SUMPRODUCT(--($N$5:$N$549=N206))&gt;1),"CÓDIGO INTERNO DUPLICADO","OK"))))))</f>
        <v/>
      </c>
      <c r="B206" s="17" t="inlineStr">
        <is>
          <t>SD</t>
        </is>
      </c>
      <c r="C206" s="23" t="inlineStr">
        <is>
          <t>000049</t>
        </is>
      </c>
      <c r="D206" s="17" t="n"/>
      <c r="E206" s="17" t="inlineStr">
        <is>
          <t>ERICK</t>
        </is>
      </c>
      <c r="F206" s="17" t="inlineStr">
        <is>
          <t>EFFIO</t>
        </is>
      </c>
      <c r="G206" s="17" t="n"/>
      <c r="H206" s="17" t="inlineStr">
        <is>
          <t>Persona Natural</t>
        </is>
      </c>
      <c r="I206" s="17" t="inlineStr">
        <is>
          <t>Cliente</t>
        </is>
      </c>
      <c r="J206" s="17" t="n"/>
      <c r="K206" s="17" t="n"/>
      <c r="L206" s="23" t="n"/>
      <c r="M206" s="17" t="n"/>
      <c r="N206" s="23" t="n"/>
      <c r="O206" s="17" t="n"/>
      <c r="P206" s="28">
        <f>IF(A206&lt;&gt;"OK","","SELECT cli_crear_clientes(p_codigo_interno =&gt; "&amp;IF(TRIM(N206&amp;"")="","NULL","'"&amp;SUBSTITUTE(TRIM(N206),"'","''")&amp;"'")&amp;", p_razon_social =&gt; "&amp;IF(TRIM(D206&amp;"")="","NULL","'"&amp;SUBSTITUTE(TRIM(D206),"'","''")&amp;"'")&amp;", p_id_tipo_cliente =&gt; "&amp;IF(TRIM(I206&amp;"")="","NULL","(SELECT lo.id FROM gen_lista_opciones lo JOIN gen_lista l ON l.id = lo.id_lista WHERE l.nombre = 'TipoCliente' AND upper(lo.nombre) = upper('"&amp;SUBSTITUTE(TRIM(I206),"'","''")&amp;"') AND lo.estado = 1 LIMIT 1)")&amp;", p_id_tipo_persona =&gt; "&amp;IF(TRIM(H206&amp;"")="","NULL","(SELECT lo.id FROM gen_lista_opciones lo JOIN gen_lista l ON l.id = lo.id_lista WHERE l.nombre = 'TipoPersona' AND upper(lo.nombre) = upper('"&amp;SUBSTITUTE(TRIM(H206),"'","''")&amp;"') AND lo.estado = 1 LIMIT 1)")&amp;", p_nombres =&gt; "&amp;IF(TRIM(E206&amp;"")="","NULL","'"&amp;SUBSTITUTE(TRIM(E206),"'","''")&amp;"'")&amp;", p_apellido_paterno =&gt; "&amp;IF(TRIM(F206&amp;"")="","NULL","'"&amp;SUBSTITUTE(TRIM(F206),"'","''")&amp;"'")&amp;", p_apellido_materno =&gt; "&amp;IF(TRIM(G206&amp;"")="","NULL","'"&amp;SUBSTITUTE(TRIM(G206),"'","''")&amp;"'")&amp;", p_id_tipo_documento =&gt; "&amp;IF(TRIM(B206&amp;"")="","NULL","(SELECT lo.id FROM gen_lista_opciones lo JOIN gen_lista l ON l.id = lo.id_lista WHERE l.nombre = 'TipoDocumento' AND upper(lo.nombre) = upper('"&amp;SUBSTITUTE(TRIM(B206),"'","''")&amp;"') AND lo.estado = 1 LIMIT 1)")&amp;", p_numero_documento =&gt; "&amp;IF(TRIM(C206&amp;"")="","NULL","'"&amp;SUBSTITUTE(TRIM(C206),"'","''")&amp;"'")&amp;", p_telefono =&gt; "&amp;IF(TRIM(L206&amp;"")="","NULL","'"&amp;SUBSTITUTE(TRIM(L206),"'","''")&amp;"'")&amp;", p_email =&gt; "&amp;IF(TRIM(M206&amp;"")="","NULL","'"&amp;SUBSTITUTE(TRIM(M206),"'","''")&amp;"'")&amp;", p_observacion =&gt; "&amp;IF(TRIM(O206&amp;"")="","NULL","'"&amp;SUBSTITUTE(TRIM(O206),"'","''")&amp;"'")&amp;", p_direccion =&gt; "&amp;IF(TRIM(J206&amp;"")="","NULL","'"&amp;SUBSTITUTE(TRIM(J206),"'","''")&amp;"'")&amp;", p_referencia =&gt; "&amp;IF(TRIM(K206&amp;"")="","NULL","'"&amp;SUBSTITUTE(TRIM(K206),"'","''")&amp;"'")&amp;") AS resultado_cliente_"&amp;ROW()&amp;";")</f>
        <v/>
      </c>
    </row>
    <row r="207" ht="15.75" customHeight="1" s="64">
      <c r="A207" s="25">
        <f>IF(AND(D207="",E207="",C207=""),"",IF(AND(D207="",E207=""),"FALTA razón social o nombres",IF(AND(C207&lt;&gt;"",SUMPRODUCT(--($C$5:$C$549=C207))&gt;1),"DOCUMENTO DUPLICADO",IF(AND(B207="DNI",C207&lt;&gt;"",LEN(C207&amp;"")&lt;&gt;8),"DNI debe tener 8 dígitos",IF(AND(B207="RUC",C207&lt;&gt;"",LEN(C207&amp;"")&lt;&gt;11),"RUC debe tener 11 dígitos",IF(AND(N207&lt;&gt;"",SUMPRODUCT(--($N$5:$N$549=N207))&gt;1),"CÓDIGO INTERNO DUPLICADO","OK"))))))</f>
        <v/>
      </c>
      <c r="B207" s="17" t="inlineStr">
        <is>
          <t>SD</t>
        </is>
      </c>
      <c r="C207" s="23" t="inlineStr">
        <is>
          <t>000050</t>
        </is>
      </c>
      <c r="D207" s="17" t="n"/>
      <c r="E207" s="17" t="inlineStr">
        <is>
          <t>SAMUEL</t>
        </is>
      </c>
      <c r="F207" s="17" t="inlineStr">
        <is>
          <t>ESPICHE</t>
        </is>
      </c>
      <c r="G207" s="17" t="n"/>
      <c r="H207" s="17" t="inlineStr">
        <is>
          <t>Persona Jurídica</t>
        </is>
      </c>
      <c r="I207" s="17" t="inlineStr">
        <is>
          <t>Cliente</t>
        </is>
      </c>
      <c r="J207" s="17" t="n"/>
      <c r="K207" s="17" t="n"/>
      <c r="L207" s="23" t="n"/>
      <c r="M207" s="17" t="n"/>
      <c r="N207" s="23" t="n"/>
      <c r="O207" s="17" t="n"/>
      <c r="P207" s="28">
        <f>IF(A207&lt;&gt;"OK","","SELECT cli_crear_clientes(p_codigo_interno =&gt; "&amp;IF(TRIM(N207&amp;"")="","NULL","'"&amp;SUBSTITUTE(TRIM(N207),"'","''")&amp;"'")&amp;", p_razon_social =&gt; "&amp;IF(TRIM(D207&amp;"")="","NULL","'"&amp;SUBSTITUTE(TRIM(D207),"'","''")&amp;"'")&amp;", p_id_tipo_cliente =&gt; "&amp;IF(TRIM(I207&amp;"")="","NULL","(SELECT lo.id FROM gen_lista_opciones lo JOIN gen_lista l ON l.id = lo.id_lista WHERE l.nombre = 'TipoCliente' AND upper(lo.nombre) = upper('"&amp;SUBSTITUTE(TRIM(I207),"'","''")&amp;"') AND lo.estado = 1 LIMIT 1)")&amp;", p_id_tipo_persona =&gt; "&amp;IF(TRIM(H207&amp;"")="","NULL","(SELECT lo.id FROM gen_lista_opciones lo JOIN gen_lista l ON l.id = lo.id_lista WHERE l.nombre = 'TipoPersona' AND upper(lo.nombre) = upper('"&amp;SUBSTITUTE(TRIM(H207),"'","''")&amp;"') AND lo.estado = 1 LIMIT 1)")&amp;", p_nombres =&gt; "&amp;IF(TRIM(E207&amp;"")="","NULL","'"&amp;SUBSTITUTE(TRIM(E207),"'","''")&amp;"'")&amp;", p_apellido_paterno =&gt; "&amp;IF(TRIM(F207&amp;"")="","NULL","'"&amp;SUBSTITUTE(TRIM(F207),"'","''")&amp;"'")&amp;", p_apellido_materno =&gt; "&amp;IF(TRIM(G207&amp;"")="","NULL","'"&amp;SUBSTITUTE(TRIM(G207),"'","''")&amp;"'")&amp;", p_id_tipo_documento =&gt; "&amp;IF(TRIM(B207&amp;"")="","NULL","(SELECT lo.id FROM gen_lista_opciones lo JOIN gen_lista l ON l.id = lo.id_lista WHERE l.nombre = 'TipoDocumento' AND upper(lo.nombre) = upper('"&amp;SUBSTITUTE(TRIM(B207),"'","''")&amp;"') AND lo.estado = 1 LIMIT 1)")&amp;", p_numero_documento =&gt; "&amp;IF(TRIM(C207&amp;"")="","NULL","'"&amp;SUBSTITUTE(TRIM(C207),"'","''")&amp;"'")&amp;", p_telefono =&gt; "&amp;IF(TRIM(L207&amp;"")="","NULL","'"&amp;SUBSTITUTE(TRIM(L207),"'","''")&amp;"'")&amp;", p_email =&gt; "&amp;IF(TRIM(M207&amp;"")="","NULL","'"&amp;SUBSTITUTE(TRIM(M207),"'","''")&amp;"'")&amp;", p_observacion =&gt; "&amp;IF(TRIM(O207&amp;"")="","NULL","'"&amp;SUBSTITUTE(TRIM(O207),"'","''")&amp;"'")&amp;", p_direccion =&gt; "&amp;IF(TRIM(J207&amp;"")="","NULL","'"&amp;SUBSTITUTE(TRIM(J207),"'","''")&amp;"'")&amp;", p_referencia =&gt; "&amp;IF(TRIM(K207&amp;"")="","NULL","'"&amp;SUBSTITUTE(TRIM(K207),"'","''")&amp;"'")&amp;") AS resultado_cliente_"&amp;ROW()&amp;";")</f>
        <v/>
      </c>
    </row>
    <row r="208" ht="15.75" customHeight="1" s="64">
      <c r="A208" s="25">
        <f>IF(AND(D208="",E208="",C208=""),"",IF(AND(D208="",E208=""),"FALTA razón social o nombres",IF(AND(C208&lt;&gt;"",SUMPRODUCT(--($C$5:$C$549=C208))&gt;1),"DOCUMENTO DUPLICADO",IF(AND(B208="DNI",C208&lt;&gt;"",LEN(C208&amp;"")&lt;&gt;8),"DNI debe tener 8 dígitos",IF(AND(B208="RUC",C208&lt;&gt;"",LEN(C208&amp;"")&lt;&gt;11),"RUC debe tener 11 dígitos",IF(AND(N208&lt;&gt;"",SUMPRODUCT(--($N$5:$N$549=N208))&gt;1),"CÓDIGO INTERNO DUPLICADO","OK"))))))</f>
        <v/>
      </c>
      <c r="B208" s="17" t="inlineStr">
        <is>
          <t>RUC</t>
        </is>
      </c>
      <c r="C208" s="23" t="inlineStr">
        <is>
          <t>20611122013</t>
        </is>
      </c>
      <c r="D208" s="17" t="inlineStr">
        <is>
          <t>FARANTRUJ E.I.R.L.</t>
        </is>
      </c>
      <c r="E208" s="17" t="n"/>
      <c r="F208" s="17" t="n"/>
      <c r="G208" s="17" t="n"/>
      <c r="H208" s="17" t="inlineStr">
        <is>
          <t>Persona Jurídica</t>
        </is>
      </c>
      <c r="I208" s="17" t="inlineStr">
        <is>
          <t>Cliente</t>
        </is>
      </c>
      <c r="J208" s="17" t="n"/>
      <c r="K208" s="17" t="n"/>
      <c r="L208" s="23" t="n"/>
      <c r="M208" s="17" t="n"/>
      <c r="N208" s="23" t="n"/>
      <c r="O208" s="17" t="n"/>
      <c r="P208" s="28">
        <f>IF(A208&lt;&gt;"OK","","SELECT cli_crear_clientes(p_codigo_interno =&gt; "&amp;IF(TRIM(N208&amp;"")="","NULL","'"&amp;SUBSTITUTE(TRIM(N208),"'","''")&amp;"'")&amp;", p_razon_social =&gt; "&amp;IF(TRIM(D208&amp;"")="","NULL","'"&amp;SUBSTITUTE(TRIM(D208),"'","''")&amp;"'")&amp;", p_id_tipo_cliente =&gt; "&amp;IF(TRIM(I208&amp;"")="","NULL","(SELECT lo.id FROM gen_lista_opciones lo JOIN gen_lista l ON l.id = lo.id_lista WHERE l.nombre = 'TipoCliente' AND upper(lo.nombre) = upper('"&amp;SUBSTITUTE(TRIM(I208),"'","''")&amp;"') AND lo.estado = 1 LIMIT 1)")&amp;", p_id_tipo_persona =&gt; "&amp;IF(TRIM(H208&amp;"")="","NULL","(SELECT lo.id FROM gen_lista_opciones lo JOIN gen_lista l ON l.id = lo.id_lista WHERE l.nombre = 'TipoPersona' AND upper(lo.nombre) = upper('"&amp;SUBSTITUTE(TRIM(H208),"'","''")&amp;"') AND lo.estado = 1 LIMIT 1)")&amp;", p_nombres =&gt; "&amp;IF(TRIM(E208&amp;"")="","NULL","'"&amp;SUBSTITUTE(TRIM(E208),"'","''")&amp;"'")&amp;", p_apellido_paterno =&gt; "&amp;IF(TRIM(F208&amp;"")="","NULL","'"&amp;SUBSTITUTE(TRIM(F208),"'","''")&amp;"'")&amp;", p_apellido_materno =&gt; "&amp;IF(TRIM(G208&amp;"")="","NULL","'"&amp;SUBSTITUTE(TRIM(G208),"'","''")&amp;"'")&amp;", p_id_tipo_documento =&gt; "&amp;IF(TRIM(B208&amp;"")="","NULL","(SELECT lo.id FROM gen_lista_opciones lo JOIN gen_lista l ON l.id = lo.id_lista WHERE l.nombre = 'TipoDocumento' AND upper(lo.nombre) = upper('"&amp;SUBSTITUTE(TRIM(B208),"'","''")&amp;"') AND lo.estado = 1 LIMIT 1)")&amp;", p_numero_documento =&gt; "&amp;IF(TRIM(C208&amp;"")="","NULL","'"&amp;SUBSTITUTE(TRIM(C208),"'","''")&amp;"'")&amp;", p_telefono =&gt; "&amp;IF(TRIM(L208&amp;"")="","NULL","'"&amp;SUBSTITUTE(TRIM(L208),"'","''")&amp;"'")&amp;", p_email =&gt; "&amp;IF(TRIM(M208&amp;"")="","NULL","'"&amp;SUBSTITUTE(TRIM(M208),"'","''")&amp;"'")&amp;", p_observacion =&gt; "&amp;IF(TRIM(O208&amp;"")="","NULL","'"&amp;SUBSTITUTE(TRIM(O208),"'","''")&amp;"'")&amp;", p_direccion =&gt; "&amp;IF(TRIM(J208&amp;"")="","NULL","'"&amp;SUBSTITUTE(TRIM(J208),"'","''")&amp;"'")&amp;", p_referencia =&gt; "&amp;IF(TRIM(K208&amp;"")="","NULL","'"&amp;SUBSTITUTE(TRIM(K208),"'","''")&amp;"'")&amp;") AS resultado_cliente_"&amp;ROW()&amp;";")</f>
        <v/>
      </c>
    </row>
    <row r="209" ht="15.75" customHeight="1" s="64">
      <c r="A209" s="25">
        <f>IF(AND(D209="",E209="",C209=""),"",IF(AND(D209="",E209=""),"FALTA razón social o nombres",IF(AND(C209&lt;&gt;"",SUMPRODUCT(--($C$5:$C$549=C209))&gt;1),"DOCUMENTO DUPLICADO",IF(AND(B209="DNI",C209&lt;&gt;"",LEN(C209&amp;"")&lt;&gt;8),"DNI debe tener 8 dígitos",IF(AND(B209="RUC",C209&lt;&gt;"",LEN(C209&amp;"")&lt;&gt;11),"RUC debe tener 11 dígitos",IF(AND(N209&lt;&gt;"",SUMPRODUCT(--($N$5:$N$549=N209))&gt;1),"CÓDIGO INTERNO DUPLICADO","OK"))))))</f>
        <v/>
      </c>
      <c r="B209" s="17" t="inlineStr">
        <is>
          <t>RUC</t>
        </is>
      </c>
      <c r="C209" s="23" t="inlineStr">
        <is>
          <t>10402505643</t>
        </is>
      </c>
      <c r="D209" s="17" t="inlineStr">
        <is>
          <t>FERNANDEZ BUSTAMANTE MARIO OSMAN</t>
        </is>
      </c>
      <c r="E209" s="17" t="n"/>
      <c r="F209" s="17" t="n"/>
      <c r="G209" s="17" t="n"/>
      <c r="H209" s="17" t="inlineStr">
        <is>
          <t>Persona Jurídica</t>
        </is>
      </c>
      <c r="I209" s="17" t="inlineStr">
        <is>
          <t>Cliente</t>
        </is>
      </c>
      <c r="J209" s="17" t="n"/>
      <c r="K209" s="17" t="n"/>
      <c r="L209" s="23" t="n"/>
      <c r="M209" s="17" t="n"/>
      <c r="N209" s="23" t="n"/>
      <c r="O209" s="17" t="n"/>
      <c r="P209" s="28">
        <f>IF(A209&lt;&gt;"OK","","SELECT cli_crear_clientes(p_codigo_interno =&gt; "&amp;IF(TRIM(N209&amp;"")="","NULL","'"&amp;SUBSTITUTE(TRIM(N209),"'","''")&amp;"'")&amp;", p_razon_social =&gt; "&amp;IF(TRIM(D209&amp;"")="","NULL","'"&amp;SUBSTITUTE(TRIM(D209),"'","''")&amp;"'")&amp;", p_id_tipo_cliente =&gt; "&amp;IF(TRIM(I209&amp;"")="","NULL","(SELECT lo.id FROM gen_lista_opciones lo JOIN gen_lista l ON l.id = lo.id_lista WHERE l.nombre = 'TipoCliente' AND upper(lo.nombre) = upper('"&amp;SUBSTITUTE(TRIM(I209),"'","''")&amp;"') AND lo.estado = 1 LIMIT 1)")&amp;", p_id_tipo_persona =&gt; "&amp;IF(TRIM(H209&amp;"")="","NULL","(SELECT lo.id FROM gen_lista_opciones lo JOIN gen_lista l ON l.id = lo.id_lista WHERE l.nombre = 'TipoPersona' AND upper(lo.nombre) = upper('"&amp;SUBSTITUTE(TRIM(H209),"'","''")&amp;"') AND lo.estado = 1 LIMIT 1)")&amp;", p_nombres =&gt; "&amp;IF(TRIM(E209&amp;"")="","NULL","'"&amp;SUBSTITUTE(TRIM(E209),"'","''")&amp;"'")&amp;", p_apellido_paterno =&gt; "&amp;IF(TRIM(F209&amp;"")="","NULL","'"&amp;SUBSTITUTE(TRIM(F209),"'","''")&amp;"'")&amp;", p_apellido_materno =&gt; "&amp;IF(TRIM(G209&amp;"")="","NULL","'"&amp;SUBSTITUTE(TRIM(G209),"'","''")&amp;"'")&amp;", p_id_tipo_documento =&gt; "&amp;IF(TRIM(B209&amp;"")="","NULL","(SELECT lo.id FROM gen_lista_opciones lo JOIN gen_lista l ON l.id = lo.id_lista WHERE l.nombre = 'TipoDocumento' AND upper(lo.nombre) = upper('"&amp;SUBSTITUTE(TRIM(B209),"'","''")&amp;"') AND lo.estado = 1 LIMIT 1)")&amp;", p_numero_documento =&gt; "&amp;IF(TRIM(C209&amp;"")="","NULL","'"&amp;SUBSTITUTE(TRIM(C209),"'","''")&amp;"'")&amp;", p_telefono =&gt; "&amp;IF(TRIM(L209&amp;"")="","NULL","'"&amp;SUBSTITUTE(TRIM(L209),"'","''")&amp;"'")&amp;", p_email =&gt; "&amp;IF(TRIM(M209&amp;"")="","NULL","'"&amp;SUBSTITUTE(TRIM(M209),"'","''")&amp;"'")&amp;", p_observacion =&gt; "&amp;IF(TRIM(O209&amp;"")="","NULL","'"&amp;SUBSTITUTE(TRIM(O209),"'","''")&amp;"'")&amp;", p_direccion =&gt; "&amp;IF(TRIM(J209&amp;"")="","NULL","'"&amp;SUBSTITUTE(TRIM(J209),"'","''")&amp;"'")&amp;", p_referencia =&gt; "&amp;IF(TRIM(K209&amp;"")="","NULL","'"&amp;SUBSTITUTE(TRIM(K209),"'","''")&amp;"'")&amp;") AS resultado_cliente_"&amp;ROW()&amp;";")</f>
        <v/>
      </c>
    </row>
    <row r="210" ht="15.75" customHeight="1" s="64">
      <c r="A210" s="25">
        <f>IF(AND(D210="",E210="",C210=""),"",IF(AND(D210="",E210=""),"FALTA razón social o nombres",IF(AND(C210&lt;&gt;"",SUMPRODUCT(--($C$5:$C$549=C210))&gt;1),"DOCUMENTO DUPLICADO",IF(AND(B210="DNI",C210&lt;&gt;"",LEN(C210&amp;"")&lt;&gt;8),"DNI debe tener 8 dígitos",IF(AND(B210="RUC",C210&lt;&gt;"",LEN(C210&amp;"")&lt;&gt;11),"RUC debe tener 11 dígitos",IF(AND(N210&lt;&gt;"",SUMPRODUCT(--($N$5:$N$549=N210))&gt;1),"CÓDIGO INTERNO DUPLICADO","OK"))))))</f>
        <v/>
      </c>
      <c r="B210" s="17" t="inlineStr">
        <is>
          <t>RUC</t>
        </is>
      </c>
      <c r="C210" s="23" t="inlineStr">
        <is>
          <t>10748757070</t>
        </is>
      </c>
      <c r="D210" s="17" t="inlineStr">
        <is>
          <t>GALLARDO TINEO VLADIMIR</t>
        </is>
      </c>
      <c r="E210" s="17" t="n"/>
      <c r="F210" s="17" t="n"/>
      <c r="G210" s="17" t="n"/>
      <c r="H210" s="17" t="inlineStr">
        <is>
          <t>Persona Jurídica</t>
        </is>
      </c>
      <c r="I210" s="17" t="inlineStr">
        <is>
          <t>Cliente</t>
        </is>
      </c>
      <c r="J210" s="17" t="n"/>
      <c r="K210" s="17" t="n"/>
      <c r="L210" s="23" t="n"/>
      <c r="M210" s="17" t="n"/>
      <c r="N210" s="23" t="n"/>
      <c r="O210" s="17" t="n"/>
      <c r="P210" s="28">
        <f>IF(A210&lt;&gt;"OK","","SELECT cli_crear_clientes(p_codigo_interno =&gt; "&amp;IF(TRIM(N210&amp;"")="","NULL","'"&amp;SUBSTITUTE(TRIM(N210),"'","''")&amp;"'")&amp;", p_razon_social =&gt; "&amp;IF(TRIM(D210&amp;"")="","NULL","'"&amp;SUBSTITUTE(TRIM(D210),"'","''")&amp;"'")&amp;", p_id_tipo_cliente =&gt; "&amp;IF(TRIM(I210&amp;"")="","NULL","(SELECT lo.id FROM gen_lista_opciones lo JOIN gen_lista l ON l.id = lo.id_lista WHERE l.nombre = 'TipoCliente' AND upper(lo.nombre) = upper('"&amp;SUBSTITUTE(TRIM(I210),"'","''")&amp;"') AND lo.estado = 1 LIMIT 1)")&amp;", p_id_tipo_persona =&gt; "&amp;IF(TRIM(H210&amp;"")="","NULL","(SELECT lo.id FROM gen_lista_opciones lo JOIN gen_lista l ON l.id = lo.id_lista WHERE l.nombre = 'TipoPersona' AND upper(lo.nombre) = upper('"&amp;SUBSTITUTE(TRIM(H210),"'","''")&amp;"') AND lo.estado = 1 LIMIT 1)")&amp;", p_nombres =&gt; "&amp;IF(TRIM(E210&amp;"")="","NULL","'"&amp;SUBSTITUTE(TRIM(E210),"'","''")&amp;"'")&amp;", p_apellido_paterno =&gt; "&amp;IF(TRIM(F210&amp;"")="","NULL","'"&amp;SUBSTITUTE(TRIM(F210),"'","''")&amp;"'")&amp;", p_apellido_materno =&gt; "&amp;IF(TRIM(G210&amp;"")="","NULL","'"&amp;SUBSTITUTE(TRIM(G210),"'","''")&amp;"'")&amp;", p_id_tipo_documento =&gt; "&amp;IF(TRIM(B210&amp;"")="","NULL","(SELECT lo.id FROM gen_lista_opciones lo JOIN gen_lista l ON l.id = lo.id_lista WHERE l.nombre = 'TipoDocumento' AND upper(lo.nombre) = upper('"&amp;SUBSTITUTE(TRIM(B210),"'","''")&amp;"') AND lo.estado = 1 LIMIT 1)")&amp;", p_numero_documento =&gt; "&amp;IF(TRIM(C210&amp;"")="","NULL","'"&amp;SUBSTITUTE(TRIM(C210),"'","''")&amp;"'")&amp;", p_telefono =&gt; "&amp;IF(TRIM(L210&amp;"")="","NULL","'"&amp;SUBSTITUTE(TRIM(L210),"'","''")&amp;"'")&amp;", p_email =&gt; "&amp;IF(TRIM(M210&amp;"")="","NULL","'"&amp;SUBSTITUTE(TRIM(M210),"'","''")&amp;"'")&amp;", p_observacion =&gt; "&amp;IF(TRIM(O210&amp;"")="","NULL","'"&amp;SUBSTITUTE(TRIM(O210),"'","''")&amp;"'")&amp;", p_direccion =&gt; "&amp;IF(TRIM(J210&amp;"")="","NULL","'"&amp;SUBSTITUTE(TRIM(J210),"'","''")&amp;"'")&amp;", p_referencia =&gt; "&amp;IF(TRIM(K210&amp;"")="","NULL","'"&amp;SUBSTITUTE(TRIM(K210),"'","''")&amp;"'")&amp;") AS resultado_cliente_"&amp;ROW()&amp;";")</f>
        <v/>
      </c>
    </row>
    <row r="211" ht="15.75" customHeight="1" s="64">
      <c r="A211" s="25">
        <f>IF(AND(D211="",E211="",C211=""),"",IF(AND(D211="",E211=""),"FALTA razón social o nombres",IF(AND(C211&lt;&gt;"",SUMPRODUCT(--($C$5:$C$549=C211))&gt;1),"DOCUMENTO DUPLICADO",IF(AND(B211="DNI",C211&lt;&gt;"",LEN(C211&amp;"")&lt;&gt;8),"DNI debe tener 8 dígitos",IF(AND(B211="RUC",C211&lt;&gt;"",LEN(C211&amp;"")&lt;&gt;11),"RUC debe tener 11 dígitos",IF(AND(N211&lt;&gt;"",SUMPRODUCT(--($N$5:$N$549=N211))&gt;1),"CÓDIGO INTERNO DUPLICADO","OK"))))))</f>
        <v/>
      </c>
      <c r="B211" s="17" t="inlineStr">
        <is>
          <t>DNI</t>
        </is>
      </c>
      <c r="C211" s="23" t="inlineStr">
        <is>
          <t>44436445</t>
        </is>
      </c>
      <c r="D211" s="17" t="n"/>
      <c r="E211" s="17" t="inlineStr">
        <is>
          <t>FIORELLA</t>
        </is>
      </c>
      <c r="F211" s="17" t="inlineStr">
        <is>
          <t>GARCIA</t>
        </is>
      </c>
      <c r="G211" s="17" t="inlineStr">
        <is>
          <t>AGUINAGA</t>
        </is>
      </c>
      <c r="H211" s="17" t="inlineStr">
        <is>
          <t>Persona Natural</t>
        </is>
      </c>
      <c r="I211" s="17" t="inlineStr">
        <is>
          <t>Cliente</t>
        </is>
      </c>
      <c r="J211" s="17" t="n"/>
      <c r="K211" s="17" t="n"/>
      <c r="L211" s="23" t="n"/>
      <c r="M211" s="17" t="n"/>
      <c r="N211" s="23" t="n"/>
      <c r="O211" s="17" t="n"/>
      <c r="P211" s="28">
        <f>IF(A211&lt;&gt;"OK","","SELECT cli_crear_clientes(p_codigo_interno =&gt; "&amp;IF(TRIM(N211&amp;"")="","NULL","'"&amp;SUBSTITUTE(TRIM(N211),"'","''")&amp;"'")&amp;", p_razon_social =&gt; "&amp;IF(TRIM(D211&amp;"")="","NULL","'"&amp;SUBSTITUTE(TRIM(D211),"'","''")&amp;"'")&amp;", p_id_tipo_cliente =&gt; "&amp;IF(TRIM(I211&amp;"")="","NULL","(SELECT lo.id FROM gen_lista_opciones lo JOIN gen_lista l ON l.id = lo.id_lista WHERE l.nombre = 'TipoCliente' AND upper(lo.nombre) = upper('"&amp;SUBSTITUTE(TRIM(I211),"'","''")&amp;"') AND lo.estado = 1 LIMIT 1)")&amp;", p_id_tipo_persona =&gt; "&amp;IF(TRIM(H211&amp;"")="","NULL","(SELECT lo.id FROM gen_lista_opciones lo JOIN gen_lista l ON l.id = lo.id_lista WHERE l.nombre = 'TipoPersona' AND upper(lo.nombre) = upper('"&amp;SUBSTITUTE(TRIM(H211),"'","''")&amp;"') AND lo.estado = 1 LIMIT 1)")&amp;", p_nombres =&gt; "&amp;IF(TRIM(E211&amp;"")="","NULL","'"&amp;SUBSTITUTE(TRIM(E211),"'","''")&amp;"'")&amp;", p_apellido_paterno =&gt; "&amp;IF(TRIM(F211&amp;"")="","NULL","'"&amp;SUBSTITUTE(TRIM(F211),"'","''")&amp;"'")&amp;", p_apellido_materno =&gt; "&amp;IF(TRIM(G211&amp;"")="","NULL","'"&amp;SUBSTITUTE(TRIM(G211),"'","''")&amp;"'")&amp;", p_id_tipo_documento =&gt; "&amp;IF(TRIM(B211&amp;"")="","NULL","(SELECT lo.id FROM gen_lista_opciones lo JOIN gen_lista l ON l.id = lo.id_lista WHERE l.nombre = 'TipoDocumento' AND upper(lo.nombre) = upper('"&amp;SUBSTITUTE(TRIM(B211),"'","''")&amp;"') AND lo.estado = 1 LIMIT 1)")&amp;", p_numero_documento =&gt; "&amp;IF(TRIM(C211&amp;"")="","NULL","'"&amp;SUBSTITUTE(TRIM(C211),"'","''")&amp;"'")&amp;", p_telefono =&gt; "&amp;IF(TRIM(L211&amp;"")="","NULL","'"&amp;SUBSTITUTE(TRIM(L211),"'","''")&amp;"'")&amp;", p_email =&gt; "&amp;IF(TRIM(M211&amp;"")="","NULL","'"&amp;SUBSTITUTE(TRIM(M211),"'","''")&amp;"'")&amp;", p_observacion =&gt; "&amp;IF(TRIM(O211&amp;"")="","NULL","'"&amp;SUBSTITUTE(TRIM(O211),"'","''")&amp;"'")&amp;", p_direccion =&gt; "&amp;IF(TRIM(J211&amp;"")="","NULL","'"&amp;SUBSTITUTE(TRIM(J211),"'","''")&amp;"'")&amp;", p_referencia =&gt; "&amp;IF(TRIM(K211&amp;"")="","NULL","'"&amp;SUBSTITUTE(TRIM(K211),"'","''")&amp;"'")&amp;") AS resultado_cliente_"&amp;ROW()&amp;";")</f>
        <v/>
      </c>
    </row>
    <row r="212" ht="15.75" customHeight="1" s="64">
      <c r="A212" s="25">
        <f>IF(AND(D212="",E212="",C212=""),"",IF(AND(D212="",E212=""),"FALTA razón social o nombres",IF(AND(C212&lt;&gt;"",SUMPRODUCT(--($C$5:$C$549=C212))&gt;1),"DOCUMENTO DUPLICADO",IF(AND(B212="DNI",C212&lt;&gt;"",LEN(C212&amp;"")&lt;&gt;8),"DNI debe tener 8 dígitos",IF(AND(B212="RUC",C212&lt;&gt;"",LEN(C212&amp;"")&lt;&gt;11),"RUC debe tener 11 dígitos",IF(AND(N212&lt;&gt;"",SUMPRODUCT(--($N$5:$N$549=N212))&gt;1),"CÓDIGO INTERNO DUPLICADO","OK"))))))</f>
        <v/>
      </c>
      <c r="B212" s="17" t="inlineStr">
        <is>
          <t>DNI</t>
        </is>
      </c>
      <c r="C212" s="23" t="inlineStr">
        <is>
          <t>46979641</t>
        </is>
      </c>
      <c r="D212" s="17" t="n"/>
      <c r="E212" s="17" t="inlineStr">
        <is>
          <t>JULIA ANGEL</t>
        </is>
      </c>
      <c r="F212" s="17" t="inlineStr">
        <is>
          <t xml:space="preserve">GARCIA </t>
        </is>
      </c>
      <c r="G212" s="17" t="inlineStr">
        <is>
          <t xml:space="preserve">ALARCON </t>
        </is>
      </c>
      <c r="H212" s="17" t="inlineStr">
        <is>
          <t>Persona Natural</t>
        </is>
      </c>
      <c r="I212" s="17" t="inlineStr">
        <is>
          <t>Cliente</t>
        </is>
      </c>
      <c r="J212" s="17" t="n"/>
      <c r="K212" s="17" t="n"/>
      <c r="L212" s="23" t="n"/>
      <c r="M212" s="17" t="n"/>
      <c r="N212" s="23" t="n"/>
      <c r="O212" s="17" t="n"/>
      <c r="P212" s="28">
        <f>IF(A212&lt;&gt;"OK","","SELECT cli_crear_clientes(p_codigo_interno =&gt; "&amp;IF(TRIM(N212&amp;"")="","NULL","'"&amp;SUBSTITUTE(TRIM(N212),"'","''")&amp;"'")&amp;", p_razon_social =&gt; "&amp;IF(TRIM(D212&amp;"")="","NULL","'"&amp;SUBSTITUTE(TRIM(D212),"'","''")&amp;"'")&amp;", p_id_tipo_cliente =&gt; "&amp;IF(TRIM(I212&amp;"")="","NULL","(SELECT lo.id FROM gen_lista_opciones lo JOIN gen_lista l ON l.id = lo.id_lista WHERE l.nombre = 'TipoCliente' AND upper(lo.nombre) = upper('"&amp;SUBSTITUTE(TRIM(I212),"'","''")&amp;"') AND lo.estado = 1 LIMIT 1)")&amp;", p_id_tipo_persona =&gt; "&amp;IF(TRIM(H212&amp;"")="","NULL","(SELECT lo.id FROM gen_lista_opciones lo JOIN gen_lista l ON l.id = lo.id_lista WHERE l.nombre = 'TipoPersona' AND upper(lo.nombre) = upper('"&amp;SUBSTITUTE(TRIM(H212),"'","''")&amp;"') AND lo.estado = 1 LIMIT 1)")&amp;", p_nombres =&gt; "&amp;IF(TRIM(E212&amp;"")="","NULL","'"&amp;SUBSTITUTE(TRIM(E212),"'","''")&amp;"'")&amp;", p_apellido_paterno =&gt; "&amp;IF(TRIM(F212&amp;"")="","NULL","'"&amp;SUBSTITUTE(TRIM(F212),"'","''")&amp;"'")&amp;", p_apellido_materno =&gt; "&amp;IF(TRIM(G212&amp;"")="","NULL","'"&amp;SUBSTITUTE(TRIM(G212),"'","''")&amp;"'")&amp;", p_id_tipo_documento =&gt; "&amp;IF(TRIM(B212&amp;"")="","NULL","(SELECT lo.id FROM gen_lista_opciones lo JOIN gen_lista l ON l.id = lo.id_lista WHERE l.nombre = 'TipoDocumento' AND upper(lo.nombre) = upper('"&amp;SUBSTITUTE(TRIM(B212),"'","''")&amp;"') AND lo.estado = 1 LIMIT 1)")&amp;", p_numero_documento =&gt; "&amp;IF(TRIM(C212&amp;"")="","NULL","'"&amp;SUBSTITUTE(TRIM(C212),"'","''")&amp;"'")&amp;", p_telefono =&gt; "&amp;IF(TRIM(L212&amp;"")="","NULL","'"&amp;SUBSTITUTE(TRIM(L212),"'","''")&amp;"'")&amp;", p_email =&gt; "&amp;IF(TRIM(M212&amp;"")="","NULL","'"&amp;SUBSTITUTE(TRIM(M212),"'","''")&amp;"'")&amp;", p_observacion =&gt; "&amp;IF(TRIM(O212&amp;"")="","NULL","'"&amp;SUBSTITUTE(TRIM(O212),"'","''")&amp;"'")&amp;", p_direccion =&gt; "&amp;IF(TRIM(J212&amp;"")="","NULL","'"&amp;SUBSTITUTE(TRIM(J212),"'","''")&amp;"'")&amp;", p_referencia =&gt; "&amp;IF(TRIM(K212&amp;"")="","NULL","'"&amp;SUBSTITUTE(TRIM(K212),"'","''")&amp;"'")&amp;") AS resultado_cliente_"&amp;ROW()&amp;";")</f>
        <v/>
      </c>
    </row>
    <row r="213" ht="15.75" customHeight="1" s="64">
      <c r="A213" s="25">
        <f>IF(AND(D213="",E213="",C213=""),"",IF(AND(D213="",E213=""),"FALTA razón social o nombres",IF(AND(C213&lt;&gt;"",SUMPRODUCT(--($C$5:$C$549=C213))&gt;1),"DOCUMENTO DUPLICADO",IF(AND(B213="DNI",C213&lt;&gt;"",LEN(C213&amp;"")&lt;&gt;8),"DNI debe tener 8 dígitos",IF(AND(B213="RUC",C213&lt;&gt;"",LEN(C213&amp;"")&lt;&gt;11),"RUC debe tener 11 dígitos",IF(AND(N213&lt;&gt;"",SUMPRODUCT(--($N$5:$N$549=N213))&gt;1),"CÓDIGO INTERNO DUPLICADO","OK"))))))</f>
        <v/>
      </c>
      <c r="B213" s="17" t="inlineStr">
        <is>
          <t>RUC</t>
        </is>
      </c>
      <c r="C213" s="23" t="inlineStr">
        <is>
          <t>20612747726</t>
        </is>
      </c>
      <c r="D213" s="17" t="inlineStr">
        <is>
          <t>GRUPO FERRETERO CONTRATISTAS GENERALES E.I.R.L.</t>
        </is>
      </c>
      <c r="E213" s="17" t="n"/>
      <c r="F213" s="17" t="n"/>
      <c r="G213" s="17" t="n"/>
      <c r="H213" s="17" t="inlineStr">
        <is>
          <t>Persona Jurídica</t>
        </is>
      </c>
      <c r="I213" s="17" t="inlineStr">
        <is>
          <t>Cliente</t>
        </is>
      </c>
      <c r="J213" s="17" t="n"/>
      <c r="K213" s="17" t="n"/>
      <c r="L213" s="23" t="n"/>
      <c r="M213" s="17" t="n"/>
      <c r="N213" s="23" t="n"/>
      <c r="O213" s="17" t="n"/>
      <c r="P213" s="28">
        <f>IF(A213&lt;&gt;"OK","","SELECT cli_crear_clientes(p_codigo_interno =&gt; "&amp;IF(TRIM(N213&amp;"")="","NULL","'"&amp;SUBSTITUTE(TRIM(N213),"'","''")&amp;"'")&amp;", p_razon_social =&gt; "&amp;IF(TRIM(D213&amp;"")="","NULL","'"&amp;SUBSTITUTE(TRIM(D213),"'","''")&amp;"'")&amp;", p_id_tipo_cliente =&gt; "&amp;IF(TRIM(I213&amp;"")="","NULL","(SELECT lo.id FROM gen_lista_opciones lo JOIN gen_lista l ON l.id = lo.id_lista WHERE l.nombre = 'TipoCliente' AND upper(lo.nombre) = upper('"&amp;SUBSTITUTE(TRIM(I213),"'","''")&amp;"') AND lo.estado = 1 LIMIT 1)")&amp;", p_id_tipo_persona =&gt; "&amp;IF(TRIM(H213&amp;"")="","NULL","(SELECT lo.id FROM gen_lista_opciones lo JOIN gen_lista l ON l.id = lo.id_lista WHERE l.nombre = 'TipoPersona' AND upper(lo.nombre) = upper('"&amp;SUBSTITUTE(TRIM(H213),"'","''")&amp;"') AND lo.estado = 1 LIMIT 1)")&amp;", p_nombres =&gt; "&amp;IF(TRIM(E213&amp;"")="","NULL","'"&amp;SUBSTITUTE(TRIM(E213),"'","''")&amp;"'")&amp;", p_apellido_paterno =&gt; "&amp;IF(TRIM(F213&amp;"")="","NULL","'"&amp;SUBSTITUTE(TRIM(F213),"'","''")&amp;"'")&amp;", p_apellido_materno =&gt; "&amp;IF(TRIM(G213&amp;"")="","NULL","'"&amp;SUBSTITUTE(TRIM(G213),"'","''")&amp;"'")&amp;", p_id_tipo_documento =&gt; "&amp;IF(TRIM(B213&amp;"")="","NULL","(SELECT lo.id FROM gen_lista_opciones lo JOIN gen_lista l ON l.id = lo.id_lista WHERE l.nombre = 'TipoDocumento' AND upper(lo.nombre) = upper('"&amp;SUBSTITUTE(TRIM(B213),"'","''")&amp;"') AND lo.estado = 1 LIMIT 1)")&amp;", p_numero_documento =&gt; "&amp;IF(TRIM(C213&amp;"")="","NULL","'"&amp;SUBSTITUTE(TRIM(C213),"'","''")&amp;"'")&amp;", p_telefono =&gt; "&amp;IF(TRIM(L213&amp;"")="","NULL","'"&amp;SUBSTITUTE(TRIM(L213),"'","''")&amp;"'")&amp;", p_email =&gt; "&amp;IF(TRIM(M213&amp;"")="","NULL","'"&amp;SUBSTITUTE(TRIM(M213),"'","''")&amp;"'")&amp;", p_observacion =&gt; "&amp;IF(TRIM(O213&amp;"")="","NULL","'"&amp;SUBSTITUTE(TRIM(O213),"'","''")&amp;"'")&amp;", p_direccion =&gt; "&amp;IF(TRIM(J213&amp;"")="","NULL","'"&amp;SUBSTITUTE(TRIM(J213),"'","''")&amp;"'")&amp;", p_referencia =&gt; "&amp;IF(TRIM(K213&amp;"")="","NULL","'"&amp;SUBSTITUTE(TRIM(K213),"'","''")&amp;"'")&amp;") AS resultado_cliente_"&amp;ROW()&amp;";")</f>
        <v/>
      </c>
    </row>
    <row r="214" ht="15.75" customHeight="1" s="64">
      <c r="A214" s="25">
        <f>IF(AND(D214="",E214="",C214=""),"",IF(AND(D214="",E214=""),"FALTA razón social o nombres",IF(AND(C214&lt;&gt;"",SUMPRODUCT(--($C$5:$C$549=C214))&gt;1),"DOCUMENTO DUPLICADO",IF(AND(B214="DNI",C214&lt;&gt;"",LEN(C214&amp;"")&lt;&gt;8),"DNI debe tener 8 dígitos",IF(AND(B214="RUC",C214&lt;&gt;"",LEN(C214&amp;"")&lt;&gt;11),"RUC debe tener 11 dígitos",IF(AND(N214&lt;&gt;"",SUMPRODUCT(--($N$5:$N$549=N214))&gt;1),"CÓDIGO INTERNO DUPLICADO","OK"))))))</f>
        <v/>
      </c>
      <c r="B214" s="17" t="inlineStr">
        <is>
          <t>RUC</t>
        </is>
      </c>
      <c r="C214" s="23" t="inlineStr">
        <is>
          <t>20607333875</t>
        </is>
      </c>
      <c r="D214" s="17" t="inlineStr">
        <is>
          <t>GRUPO SALUD HOGAR S.A.C.</t>
        </is>
      </c>
      <c r="E214" s="17" t="n"/>
      <c r="F214" s="17" t="n"/>
      <c r="G214" s="17" t="n"/>
      <c r="H214" s="17" t="inlineStr">
        <is>
          <t>Persona Jurídica</t>
        </is>
      </c>
      <c r="I214" s="17" t="inlineStr">
        <is>
          <t>Cliente</t>
        </is>
      </c>
      <c r="J214" s="17" t="n"/>
      <c r="K214" s="17" t="n"/>
      <c r="L214" s="23" t="n"/>
      <c r="M214" s="17" t="n"/>
      <c r="N214" s="23" t="n"/>
      <c r="O214" s="17" t="n"/>
      <c r="P214" s="28">
        <f>IF(A214&lt;&gt;"OK","","SELECT cli_crear_clientes(p_codigo_interno =&gt; "&amp;IF(TRIM(N214&amp;"")="","NULL","'"&amp;SUBSTITUTE(TRIM(N214),"'","''")&amp;"'")&amp;", p_razon_social =&gt; "&amp;IF(TRIM(D214&amp;"")="","NULL","'"&amp;SUBSTITUTE(TRIM(D214),"'","''")&amp;"'")&amp;", p_id_tipo_cliente =&gt; "&amp;IF(TRIM(I214&amp;"")="","NULL","(SELECT lo.id FROM gen_lista_opciones lo JOIN gen_lista l ON l.id = lo.id_lista WHERE l.nombre = 'TipoCliente' AND upper(lo.nombre) = upper('"&amp;SUBSTITUTE(TRIM(I214),"'","''")&amp;"') AND lo.estado = 1 LIMIT 1)")&amp;", p_id_tipo_persona =&gt; "&amp;IF(TRIM(H214&amp;"")="","NULL","(SELECT lo.id FROM gen_lista_opciones lo JOIN gen_lista l ON l.id = lo.id_lista WHERE l.nombre = 'TipoPersona' AND upper(lo.nombre) = upper('"&amp;SUBSTITUTE(TRIM(H214),"'","''")&amp;"') AND lo.estado = 1 LIMIT 1)")&amp;", p_nombres =&gt; "&amp;IF(TRIM(E214&amp;"")="","NULL","'"&amp;SUBSTITUTE(TRIM(E214),"'","''")&amp;"'")&amp;", p_apellido_paterno =&gt; "&amp;IF(TRIM(F214&amp;"")="","NULL","'"&amp;SUBSTITUTE(TRIM(F214),"'","''")&amp;"'")&amp;", p_apellido_materno =&gt; "&amp;IF(TRIM(G214&amp;"")="","NULL","'"&amp;SUBSTITUTE(TRIM(G214),"'","''")&amp;"'")&amp;", p_id_tipo_documento =&gt; "&amp;IF(TRIM(B214&amp;"")="","NULL","(SELECT lo.id FROM gen_lista_opciones lo JOIN gen_lista l ON l.id = lo.id_lista WHERE l.nombre = 'TipoDocumento' AND upper(lo.nombre) = upper('"&amp;SUBSTITUTE(TRIM(B214),"'","''")&amp;"') AND lo.estado = 1 LIMIT 1)")&amp;", p_numero_documento =&gt; "&amp;IF(TRIM(C214&amp;"")="","NULL","'"&amp;SUBSTITUTE(TRIM(C214),"'","''")&amp;"'")&amp;", p_telefono =&gt; "&amp;IF(TRIM(L214&amp;"")="","NULL","'"&amp;SUBSTITUTE(TRIM(L214),"'","''")&amp;"'")&amp;", p_email =&gt; "&amp;IF(TRIM(M214&amp;"")="","NULL","'"&amp;SUBSTITUTE(TRIM(M214),"'","''")&amp;"'")&amp;", p_observacion =&gt; "&amp;IF(TRIM(O214&amp;"")="","NULL","'"&amp;SUBSTITUTE(TRIM(O214),"'","''")&amp;"'")&amp;", p_direccion =&gt; "&amp;IF(TRIM(J214&amp;"")="","NULL","'"&amp;SUBSTITUTE(TRIM(J214),"'","''")&amp;"'")&amp;", p_referencia =&gt; "&amp;IF(TRIM(K214&amp;"")="","NULL","'"&amp;SUBSTITUTE(TRIM(K214),"'","''")&amp;"'")&amp;") AS resultado_cliente_"&amp;ROW()&amp;";")</f>
        <v/>
      </c>
    </row>
    <row r="215" ht="15.75" customHeight="1" s="64">
      <c r="A215" s="25">
        <f>IF(AND(D215="",E215="",C215=""),"",IF(AND(D215="",E215=""),"FALTA razón social o nombres",IF(AND(C215&lt;&gt;"",SUMPRODUCT(--($C$5:$C$549=C215))&gt;1),"DOCUMENTO DUPLICADO",IF(AND(B215="DNI",C215&lt;&gt;"",LEN(C215&amp;"")&lt;&gt;8),"DNI debe tener 8 dígitos",IF(AND(B215="RUC",C215&lt;&gt;"",LEN(C215&amp;"")&lt;&gt;11),"RUC debe tener 11 dígitos",IF(AND(N215&lt;&gt;"",SUMPRODUCT(--($N$5:$N$549=N215))&gt;1),"CÓDIGO INTERNO DUPLICADO","OK"))))))</f>
        <v/>
      </c>
      <c r="B215" s="17" t="inlineStr">
        <is>
          <t>RUC</t>
        </is>
      </c>
      <c r="C215" s="23" t="inlineStr">
        <is>
          <t>20608134001</t>
        </is>
      </c>
      <c r="D215" s="17" t="inlineStr">
        <is>
          <t>GRUPO SALUD &amp; ASOCIADOS S.A.C</t>
        </is>
      </c>
      <c r="E215" s="17" t="n"/>
      <c r="F215" s="17" t="n"/>
      <c r="G215" s="17" t="n"/>
      <c r="H215" s="17" t="inlineStr">
        <is>
          <t>Persona Jurídica</t>
        </is>
      </c>
      <c r="I215" s="17" t="inlineStr">
        <is>
          <t>Cliente</t>
        </is>
      </c>
      <c r="J215" s="17" t="n"/>
      <c r="K215" s="17" t="n"/>
      <c r="L215" s="23" t="n"/>
      <c r="M215" s="17" t="n"/>
      <c r="N215" s="23" t="n"/>
      <c r="O215" s="17" t="n"/>
      <c r="P215" s="28">
        <f>IF(A215&lt;&gt;"OK","","SELECT cli_crear_clientes(p_codigo_interno =&gt; "&amp;IF(TRIM(N215&amp;"")="","NULL","'"&amp;SUBSTITUTE(TRIM(N215),"'","''")&amp;"'")&amp;", p_razon_social =&gt; "&amp;IF(TRIM(D215&amp;"")="","NULL","'"&amp;SUBSTITUTE(TRIM(D215),"'","''")&amp;"'")&amp;", p_id_tipo_cliente =&gt; "&amp;IF(TRIM(I215&amp;"")="","NULL","(SELECT lo.id FROM gen_lista_opciones lo JOIN gen_lista l ON l.id = lo.id_lista WHERE l.nombre = 'TipoCliente' AND upper(lo.nombre) = upper('"&amp;SUBSTITUTE(TRIM(I215),"'","''")&amp;"') AND lo.estado = 1 LIMIT 1)")&amp;", p_id_tipo_persona =&gt; "&amp;IF(TRIM(H215&amp;"")="","NULL","(SELECT lo.id FROM gen_lista_opciones lo JOIN gen_lista l ON l.id = lo.id_lista WHERE l.nombre = 'TipoPersona' AND upper(lo.nombre) = upper('"&amp;SUBSTITUTE(TRIM(H215),"'","''")&amp;"') AND lo.estado = 1 LIMIT 1)")&amp;", p_nombres =&gt; "&amp;IF(TRIM(E215&amp;"")="","NULL","'"&amp;SUBSTITUTE(TRIM(E215),"'","''")&amp;"'")&amp;", p_apellido_paterno =&gt; "&amp;IF(TRIM(F215&amp;"")="","NULL","'"&amp;SUBSTITUTE(TRIM(F215),"'","''")&amp;"'")&amp;", p_apellido_materno =&gt; "&amp;IF(TRIM(G215&amp;"")="","NULL","'"&amp;SUBSTITUTE(TRIM(G215),"'","''")&amp;"'")&amp;", p_id_tipo_documento =&gt; "&amp;IF(TRIM(B215&amp;"")="","NULL","(SELECT lo.id FROM gen_lista_opciones lo JOIN gen_lista l ON l.id = lo.id_lista WHERE l.nombre = 'TipoDocumento' AND upper(lo.nombre) = upper('"&amp;SUBSTITUTE(TRIM(B215),"'","''")&amp;"') AND lo.estado = 1 LIMIT 1)")&amp;", p_numero_documento =&gt; "&amp;IF(TRIM(C215&amp;"")="","NULL","'"&amp;SUBSTITUTE(TRIM(C215),"'","''")&amp;"'")&amp;", p_telefono =&gt; "&amp;IF(TRIM(L215&amp;"")="","NULL","'"&amp;SUBSTITUTE(TRIM(L215),"'","''")&amp;"'")&amp;", p_email =&gt; "&amp;IF(TRIM(M215&amp;"")="","NULL","'"&amp;SUBSTITUTE(TRIM(M215),"'","''")&amp;"'")&amp;", p_observacion =&gt; "&amp;IF(TRIM(O215&amp;"")="","NULL","'"&amp;SUBSTITUTE(TRIM(O215),"'","''")&amp;"'")&amp;", p_direccion =&gt; "&amp;IF(TRIM(J215&amp;"")="","NULL","'"&amp;SUBSTITUTE(TRIM(J215),"'","''")&amp;"'")&amp;", p_referencia =&gt; "&amp;IF(TRIM(K215&amp;"")="","NULL","'"&amp;SUBSTITUTE(TRIM(K215),"'","''")&amp;"'")&amp;") AS resultado_cliente_"&amp;ROW()&amp;";")</f>
        <v/>
      </c>
    </row>
    <row r="216" ht="15.75" customHeight="1" s="64">
      <c r="A216" s="25">
        <f>IF(AND(D216="",E216="",C216=""),"",IF(AND(D216="",E216=""),"FALTA razón social o nombres",IF(AND(C216&lt;&gt;"",SUMPRODUCT(--($C$5:$C$549=C216))&gt;1),"DOCUMENTO DUPLICADO",IF(AND(B216="DNI",C216&lt;&gt;"",LEN(C216&amp;"")&lt;&gt;8),"DNI debe tener 8 dígitos",IF(AND(B216="RUC",C216&lt;&gt;"",LEN(C216&amp;"")&lt;&gt;11),"RUC debe tener 11 dígitos",IF(AND(N216&lt;&gt;"",SUMPRODUCT(--($N$5:$N$549=N216))&gt;1),"CÓDIGO INTERNO DUPLICADO","OK"))))))</f>
        <v/>
      </c>
      <c r="B216" s="17" t="inlineStr">
        <is>
          <t>SD</t>
        </is>
      </c>
      <c r="C216" s="23" t="inlineStr">
        <is>
          <t>000051</t>
        </is>
      </c>
      <c r="D216" s="17" t="n"/>
      <c r="E216" s="17" t="inlineStr">
        <is>
          <t>ALEX</t>
        </is>
      </c>
      <c r="F216" s="17" t="inlineStr">
        <is>
          <t>HERRERA</t>
        </is>
      </c>
      <c r="G216" s="17" t="n"/>
      <c r="H216" s="17" t="inlineStr">
        <is>
          <t>Persona Natural</t>
        </is>
      </c>
      <c r="I216" s="17" t="inlineStr">
        <is>
          <t>Cliente</t>
        </is>
      </c>
      <c r="J216" s="17" t="n"/>
      <c r="K216" s="17" t="n"/>
      <c r="L216" s="23" t="n"/>
      <c r="M216" s="17" t="n"/>
      <c r="N216" s="23" t="n"/>
      <c r="O216" s="17" t="n"/>
      <c r="P216" s="28">
        <f>IF(A216&lt;&gt;"OK","","SELECT cli_crear_clientes(p_codigo_interno =&gt; "&amp;IF(TRIM(N216&amp;"")="","NULL","'"&amp;SUBSTITUTE(TRIM(N216),"'","''")&amp;"'")&amp;", p_razon_social =&gt; "&amp;IF(TRIM(D216&amp;"")="","NULL","'"&amp;SUBSTITUTE(TRIM(D216),"'","''")&amp;"'")&amp;", p_id_tipo_cliente =&gt; "&amp;IF(TRIM(I216&amp;"")="","NULL","(SELECT lo.id FROM gen_lista_opciones lo JOIN gen_lista l ON l.id = lo.id_lista WHERE l.nombre = 'TipoCliente' AND upper(lo.nombre) = upper('"&amp;SUBSTITUTE(TRIM(I216),"'","''")&amp;"') AND lo.estado = 1 LIMIT 1)")&amp;", p_id_tipo_persona =&gt; "&amp;IF(TRIM(H216&amp;"")="","NULL","(SELECT lo.id FROM gen_lista_opciones lo JOIN gen_lista l ON l.id = lo.id_lista WHERE l.nombre = 'TipoPersona' AND upper(lo.nombre) = upper('"&amp;SUBSTITUTE(TRIM(H216),"'","''")&amp;"') AND lo.estado = 1 LIMIT 1)")&amp;", p_nombres =&gt; "&amp;IF(TRIM(E216&amp;"")="","NULL","'"&amp;SUBSTITUTE(TRIM(E216),"'","''")&amp;"'")&amp;", p_apellido_paterno =&gt; "&amp;IF(TRIM(F216&amp;"")="","NULL","'"&amp;SUBSTITUTE(TRIM(F216),"'","''")&amp;"'")&amp;", p_apellido_materno =&gt; "&amp;IF(TRIM(G216&amp;"")="","NULL","'"&amp;SUBSTITUTE(TRIM(G216),"'","''")&amp;"'")&amp;", p_id_tipo_documento =&gt; "&amp;IF(TRIM(B216&amp;"")="","NULL","(SELECT lo.id FROM gen_lista_opciones lo JOIN gen_lista l ON l.id = lo.id_lista WHERE l.nombre = 'TipoDocumento' AND upper(lo.nombre) = upper('"&amp;SUBSTITUTE(TRIM(B216),"'","''")&amp;"') AND lo.estado = 1 LIMIT 1)")&amp;", p_numero_documento =&gt; "&amp;IF(TRIM(C216&amp;"")="","NULL","'"&amp;SUBSTITUTE(TRIM(C216),"'","''")&amp;"'")&amp;", p_telefono =&gt; "&amp;IF(TRIM(L216&amp;"")="","NULL","'"&amp;SUBSTITUTE(TRIM(L216),"'","''")&amp;"'")&amp;", p_email =&gt; "&amp;IF(TRIM(M216&amp;"")="","NULL","'"&amp;SUBSTITUTE(TRIM(M216),"'","''")&amp;"'")&amp;", p_observacion =&gt; "&amp;IF(TRIM(O216&amp;"")="","NULL","'"&amp;SUBSTITUTE(TRIM(O216),"'","''")&amp;"'")&amp;", p_direccion =&gt; "&amp;IF(TRIM(J216&amp;"")="","NULL","'"&amp;SUBSTITUTE(TRIM(J216),"'","''")&amp;"'")&amp;", p_referencia =&gt; "&amp;IF(TRIM(K216&amp;"")="","NULL","'"&amp;SUBSTITUTE(TRIM(K216),"'","''")&amp;"'")&amp;") AS resultado_cliente_"&amp;ROW()&amp;";")</f>
        <v/>
      </c>
    </row>
    <row r="217" ht="15.75" customHeight="1" s="64">
      <c r="A217" s="25">
        <f>IF(AND(D217="",E217="",C217=""),"",IF(AND(D217="",E217=""),"FALTA razón social o nombres",IF(AND(C217&lt;&gt;"",SUMPRODUCT(--($C$5:$C$549=C217))&gt;1),"DOCUMENTO DUPLICADO",IF(AND(B217="DNI",C217&lt;&gt;"",LEN(C217&amp;"")&lt;&gt;8),"DNI debe tener 8 dígitos",IF(AND(B217="RUC",C217&lt;&gt;"",LEN(C217&amp;"")&lt;&gt;11),"RUC debe tener 11 dígitos",IF(AND(N217&lt;&gt;"",SUMPRODUCT(--($N$5:$N$549=N217))&gt;1),"CÓDIGO INTERNO DUPLICADO","OK"))))))</f>
        <v/>
      </c>
      <c r="B217" s="17" t="inlineStr">
        <is>
          <t>DNI</t>
        </is>
      </c>
      <c r="C217" s="23" t="inlineStr">
        <is>
          <t>07558654</t>
        </is>
      </c>
      <c r="D217" s="17" t="n"/>
      <c r="E217" s="17" t="inlineStr">
        <is>
          <t>SIGIFREDO HIDELGARDO</t>
        </is>
      </c>
      <c r="F217" s="17" t="inlineStr">
        <is>
          <t>HONORIO</t>
        </is>
      </c>
      <c r="G217" s="17" t="inlineStr">
        <is>
          <t>CORDOVA</t>
        </is>
      </c>
      <c r="H217" s="17" t="inlineStr">
        <is>
          <t>Persona Natural</t>
        </is>
      </c>
      <c r="I217" s="17" t="inlineStr">
        <is>
          <t>Cliente</t>
        </is>
      </c>
      <c r="J217" s="17" t="n"/>
      <c r="K217" s="17" t="n"/>
      <c r="L217" s="23" t="n"/>
      <c r="M217" s="17" t="n"/>
      <c r="N217" s="23" t="n"/>
      <c r="O217" s="17" t="n"/>
      <c r="P217" s="28">
        <f>IF(A217&lt;&gt;"OK","","SELECT cli_crear_clientes(p_codigo_interno =&gt; "&amp;IF(TRIM(N217&amp;"")="","NULL","'"&amp;SUBSTITUTE(TRIM(N217),"'","''")&amp;"'")&amp;", p_razon_social =&gt; "&amp;IF(TRIM(D217&amp;"")="","NULL","'"&amp;SUBSTITUTE(TRIM(D217),"'","''")&amp;"'")&amp;", p_id_tipo_cliente =&gt; "&amp;IF(TRIM(I217&amp;"")="","NULL","(SELECT lo.id FROM gen_lista_opciones lo JOIN gen_lista l ON l.id = lo.id_lista WHERE l.nombre = 'TipoCliente' AND upper(lo.nombre) = upper('"&amp;SUBSTITUTE(TRIM(I217),"'","''")&amp;"') AND lo.estado = 1 LIMIT 1)")&amp;", p_id_tipo_persona =&gt; "&amp;IF(TRIM(H217&amp;"")="","NULL","(SELECT lo.id FROM gen_lista_opciones lo JOIN gen_lista l ON l.id = lo.id_lista WHERE l.nombre = 'TipoPersona' AND upper(lo.nombre) = upper('"&amp;SUBSTITUTE(TRIM(H217),"'","''")&amp;"') AND lo.estado = 1 LIMIT 1)")&amp;", p_nombres =&gt; "&amp;IF(TRIM(E217&amp;"")="","NULL","'"&amp;SUBSTITUTE(TRIM(E217),"'","''")&amp;"'")&amp;", p_apellido_paterno =&gt; "&amp;IF(TRIM(F217&amp;"")="","NULL","'"&amp;SUBSTITUTE(TRIM(F217),"'","''")&amp;"'")&amp;", p_apellido_materno =&gt; "&amp;IF(TRIM(G217&amp;"")="","NULL","'"&amp;SUBSTITUTE(TRIM(G217),"'","''")&amp;"'")&amp;", p_id_tipo_documento =&gt; "&amp;IF(TRIM(B217&amp;"")="","NULL","(SELECT lo.id FROM gen_lista_opciones lo JOIN gen_lista l ON l.id = lo.id_lista WHERE l.nombre = 'TipoDocumento' AND upper(lo.nombre) = upper('"&amp;SUBSTITUTE(TRIM(B217),"'","''")&amp;"') AND lo.estado = 1 LIMIT 1)")&amp;", p_numero_documento =&gt; "&amp;IF(TRIM(C217&amp;"")="","NULL","'"&amp;SUBSTITUTE(TRIM(C217),"'","''")&amp;"'")&amp;", p_telefono =&gt; "&amp;IF(TRIM(L217&amp;"")="","NULL","'"&amp;SUBSTITUTE(TRIM(L217),"'","''")&amp;"'")&amp;", p_email =&gt; "&amp;IF(TRIM(M217&amp;"")="","NULL","'"&amp;SUBSTITUTE(TRIM(M217),"'","''")&amp;"'")&amp;", p_observacion =&gt; "&amp;IF(TRIM(O217&amp;"")="","NULL","'"&amp;SUBSTITUTE(TRIM(O217),"'","''")&amp;"'")&amp;", p_direccion =&gt; "&amp;IF(TRIM(J217&amp;"")="","NULL","'"&amp;SUBSTITUTE(TRIM(J217),"'","''")&amp;"'")&amp;", p_referencia =&gt; "&amp;IF(TRIM(K217&amp;"")="","NULL","'"&amp;SUBSTITUTE(TRIM(K217),"'","''")&amp;"'")&amp;") AS resultado_cliente_"&amp;ROW()&amp;";")</f>
        <v/>
      </c>
    </row>
    <row r="218" ht="15.75" customHeight="1" s="64">
      <c r="A218" s="25">
        <f>IF(AND(D218="",E218="",C218=""),"",IF(AND(D218="",E218=""),"FALTA razón social o nombres",IF(AND(C218&lt;&gt;"",SUMPRODUCT(--($C$5:$C$549=C218))&gt;1),"DOCUMENTO DUPLICADO",IF(AND(B218="DNI",C218&lt;&gt;"",LEN(C218&amp;"")&lt;&gt;8),"DNI debe tener 8 dígitos",IF(AND(B218="RUC",C218&lt;&gt;"",LEN(C218&amp;"")&lt;&gt;11),"RUC debe tener 11 dígitos",IF(AND(N218&lt;&gt;"",SUMPRODUCT(--($N$5:$N$549=N218))&gt;1),"CÓDIGO INTERNO DUPLICADO","OK"))))))</f>
        <v/>
      </c>
      <c r="B218" s="17" t="inlineStr">
        <is>
          <t>DNI</t>
        </is>
      </c>
      <c r="C218" s="23" t="inlineStr">
        <is>
          <t>17432701</t>
        </is>
      </c>
      <c r="D218" s="17" t="n"/>
      <c r="E218" s="17" t="inlineStr">
        <is>
          <t>ELVIA LUZ</t>
        </is>
      </c>
      <c r="F218" s="17" t="inlineStr">
        <is>
          <t>HUAMAN</t>
        </is>
      </c>
      <c r="G218" s="17" t="inlineStr">
        <is>
          <t>TENORIO</t>
        </is>
      </c>
      <c r="H218" s="17" t="inlineStr">
        <is>
          <t>Persona Natural</t>
        </is>
      </c>
      <c r="I218" s="17" t="inlineStr">
        <is>
          <t>Cliente</t>
        </is>
      </c>
      <c r="J218" s="17" t="n"/>
      <c r="K218" s="17" t="n"/>
      <c r="L218" s="23" t="n"/>
      <c r="M218" s="17" t="n"/>
      <c r="N218" s="23" t="n"/>
      <c r="O218" s="17" t="n"/>
      <c r="P218" s="28">
        <f>IF(A218&lt;&gt;"OK","","SELECT cli_crear_clientes(p_codigo_interno =&gt; "&amp;IF(TRIM(N218&amp;"")="","NULL","'"&amp;SUBSTITUTE(TRIM(N218),"'","''")&amp;"'")&amp;", p_razon_social =&gt; "&amp;IF(TRIM(D218&amp;"")="","NULL","'"&amp;SUBSTITUTE(TRIM(D218),"'","''")&amp;"'")&amp;", p_id_tipo_cliente =&gt; "&amp;IF(TRIM(I218&amp;"")="","NULL","(SELECT lo.id FROM gen_lista_opciones lo JOIN gen_lista l ON l.id = lo.id_lista WHERE l.nombre = 'TipoCliente' AND upper(lo.nombre) = upper('"&amp;SUBSTITUTE(TRIM(I218),"'","''")&amp;"') AND lo.estado = 1 LIMIT 1)")&amp;", p_id_tipo_persona =&gt; "&amp;IF(TRIM(H218&amp;"")="","NULL","(SELECT lo.id FROM gen_lista_opciones lo JOIN gen_lista l ON l.id = lo.id_lista WHERE l.nombre = 'TipoPersona' AND upper(lo.nombre) = upper('"&amp;SUBSTITUTE(TRIM(H218),"'","''")&amp;"') AND lo.estado = 1 LIMIT 1)")&amp;", p_nombres =&gt; "&amp;IF(TRIM(E218&amp;"")="","NULL","'"&amp;SUBSTITUTE(TRIM(E218),"'","''")&amp;"'")&amp;", p_apellido_paterno =&gt; "&amp;IF(TRIM(F218&amp;"")="","NULL","'"&amp;SUBSTITUTE(TRIM(F218),"'","''")&amp;"'")&amp;", p_apellido_materno =&gt; "&amp;IF(TRIM(G218&amp;"")="","NULL","'"&amp;SUBSTITUTE(TRIM(G218),"'","''")&amp;"'")&amp;", p_id_tipo_documento =&gt; "&amp;IF(TRIM(B218&amp;"")="","NULL","(SELECT lo.id FROM gen_lista_opciones lo JOIN gen_lista l ON l.id = lo.id_lista WHERE l.nombre = 'TipoDocumento' AND upper(lo.nombre) = upper('"&amp;SUBSTITUTE(TRIM(B218),"'","''")&amp;"') AND lo.estado = 1 LIMIT 1)")&amp;", p_numero_documento =&gt; "&amp;IF(TRIM(C218&amp;"")="","NULL","'"&amp;SUBSTITUTE(TRIM(C218),"'","''")&amp;"'")&amp;", p_telefono =&gt; "&amp;IF(TRIM(L218&amp;"")="","NULL","'"&amp;SUBSTITUTE(TRIM(L218),"'","''")&amp;"'")&amp;", p_email =&gt; "&amp;IF(TRIM(M218&amp;"")="","NULL","'"&amp;SUBSTITUTE(TRIM(M218),"'","''")&amp;"'")&amp;", p_observacion =&gt; "&amp;IF(TRIM(O218&amp;"")="","NULL","'"&amp;SUBSTITUTE(TRIM(O218),"'","''")&amp;"'")&amp;", p_direccion =&gt; "&amp;IF(TRIM(J218&amp;"")="","NULL","'"&amp;SUBSTITUTE(TRIM(J218),"'","''")&amp;"'")&amp;", p_referencia =&gt; "&amp;IF(TRIM(K218&amp;"")="","NULL","'"&amp;SUBSTITUTE(TRIM(K218),"'","''")&amp;"'")&amp;") AS resultado_cliente_"&amp;ROW()&amp;";")</f>
        <v/>
      </c>
    </row>
    <row r="219" ht="15.75" customHeight="1" s="64">
      <c r="A219" s="25">
        <f>IF(AND(D219="",E219="",C219=""),"",IF(AND(D219="",E219=""),"FALTA razón social o nombres",IF(AND(C219&lt;&gt;"",SUMPRODUCT(--($C$5:$C$549=C219))&gt;1),"DOCUMENTO DUPLICADO",IF(AND(B219="DNI",C219&lt;&gt;"",LEN(C219&amp;"")&lt;&gt;8),"DNI debe tener 8 dígitos",IF(AND(B219="RUC",C219&lt;&gt;"",LEN(C219&amp;"")&lt;&gt;11),"RUC debe tener 11 dígitos",IF(AND(N219&lt;&gt;"",SUMPRODUCT(--($N$5:$N$549=N219))&gt;1),"CÓDIGO INTERNO DUPLICADO","OK"))))))</f>
        <v/>
      </c>
      <c r="B219" s="17" t="inlineStr">
        <is>
          <t>RUC</t>
        </is>
      </c>
      <c r="C219" s="23" t="inlineStr">
        <is>
          <t>20601073316</t>
        </is>
      </c>
      <c r="D219" s="17" t="inlineStr">
        <is>
          <t>INDUSTRIAS PALA S.A.C.</t>
        </is>
      </c>
      <c r="E219" s="17" t="n"/>
      <c r="F219" s="17" t="n"/>
      <c r="G219" s="17" t="n"/>
      <c r="H219" s="17" t="inlineStr">
        <is>
          <t>Persona Jurídica</t>
        </is>
      </c>
      <c r="I219" s="17" t="inlineStr">
        <is>
          <t>Cliente</t>
        </is>
      </c>
      <c r="J219" s="17" t="n"/>
      <c r="K219" s="17" t="n"/>
      <c r="L219" s="23" t="n"/>
      <c r="M219" s="17" t="n"/>
      <c r="N219" s="23" t="n"/>
      <c r="O219" s="17" t="n"/>
      <c r="P219" s="28">
        <f>IF(A219&lt;&gt;"OK","","SELECT cli_crear_clientes(p_codigo_interno =&gt; "&amp;IF(TRIM(N219&amp;"")="","NULL","'"&amp;SUBSTITUTE(TRIM(N219),"'","''")&amp;"'")&amp;", p_razon_social =&gt; "&amp;IF(TRIM(D219&amp;"")="","NULL","'"&amp;SUBSTITUTE(TRIM(D219),"'","''")&amp;"'")&amp;", p_id_tipo_cliente =&gt; "&amp;IF(TRIM(I219&amp;"")="","NULL","(SELECT lo.id FROM gen_lista_opciones lo JOIN gen_lista l ON l.id = lo.id_lista WHERE l.nombre = 'TipoCliente' AND upper(lo.nombre) = upper('"&amp;SUBSTITUTE(TRIM(I219),"'","''")&amp;"') AND lo.estado = 1 LIMIT 1)")&amp;", p_id_tipo_persona =&gt; "&amp;IF(TRIM(H219&amp;"")="","NULL","(SELECT lo.id FROM gen_lista_opciones lo JOIN gen_lista l ON l.id = lo.id_lista WHERE l.nombre = 'TipoPersona' AND upper(lo.nombre) = upper('"&amp;SUBSTITUTE(TRIM(H219),"'","''")&amp;"') AND lo.estado = 1 LIMIT 1)")&amp;", p_nombres =&gt; "&amp;IF(TRIM(E219&amp;"")="","NULL","'"&amp;SUBSTITUTE(TRIM(E219),"'","''")&amp;"'")&amp;", p_apellido_paterno =&gt; "&amp;IF(TRIM(F219&amp;"")="","NULL","'"&amp;SUBSTITUTE(TRIM(F219),"'","''")&amp;"'")&amp;", p_apellido_materno =&gt; "&amp;IF(TRIM(G219&amp;"")="","NULL","'"&amp;SUBSTITUTE(TRIM(G219),"'","''")&amp;"'")&amp;", p_id_tipo_documento =&gt; "&amp;IF(TRIM(B219&amp;"")="","NULL","(SELECT lo.id FROM gen_lista_opciones lo JOIN gen_lista l ON l.id = lo.id_lista WHERE l.nombre = 'TipoDocumento' AND upper(lo.nombre) = upper('"&amp;SUBSTITUTE(TRIM(B219),"'","''")&amp;"') AND lo.estado = 1 LIMIT 1)")&amp;", p_numero_documento =&gt; "&amp;IF(TRIM(C219&amp;"")="","NULL","'"&amp;SUBSTITUTE(TRIM(C219),"'","''")&amp;"'")&amp;", p_telefono =&gt; "&amp;IF(TRIM(L219&amp;"")="","NULL","'"&amp;SUBSTITUTE(TRIM(L219),"'","''")&amp;"'")&amp;", p_email =&gt; "&amp;IF(TRIM(M219&amp;"")="","NULL","'"&amp;SUBSTITUTE(TRIM(M219),"'","''")&amp;"'")&amp;", p_observacion =&gt; "&amp;IF(TRIM(O219&amp;"")="","NULL","'"&amp;SUBSTITUTE(TRIM(O219),"'","''")&amp;"'")&amp;", p_direccion =&gt; "&amp;IF(TRIM(J219&amp;"")="","NULL","'"&amp;SUBSTITUTE(TRIM(J219),"'","''")&amp;"'")&amp;", p_referencia =&gt; "&amp;IF(TRIM(K219&amp;"")="","NULL","'"&amp;SUBSTITUTE(TRIM(K219),"'","''")&amp;"'")&amp;") AS resultado_cliente_"&amp;ROW()&amp;";")</f>
        <v/>
      </c>
    </row>
    <row r="220" ht="15.75" customHeight="1" s="64">
      <c r="A220" s="25">
        <f>IF(AND(D220="",E220="",C220=""),"",IF(AND(D220="",E220=""),"FALTA razón social o nombres",IF(AND(C220&lt;&gt;"",SUMPRODUCT(--($C$5:$C$549=C220))&gt;1),"DOCUMENTO DUPLICADO",IF(AND(B220="DNI",C220&lt;&gt;"",LEN(C220&amp;"")&lt;&gt;8),"DNI debe tener 8 dígitos",IF(AND(B220="RUC",C220&lt;&gt;"",LEN(C220&amp;"")&lt;&gt;11),"RUC debe tener 11 dígitos",IF(AND(N220&lt;&gt;"",SUMPRODUCT(--($N$5:$N$549=N220))&gt;1),"CÓDIGO INTERNO DUPLICADO","OK"))))))</f>
        <v/>
      </c>
      <c r="B220" s="17" t="inlineStr">
        <is>
          <t>SD</t>
        </is>
      </c>
      <c r="C220" s="23" t="inlineStr">
        <is>
          <t>000053</t>
        </is>
      </c>
      <c r="D220" s="17" t="n"/>
      <c r="E220" s="17" t="inlineStr">
        <is>
          <t>JULIO</t>
        </is>
      </c>
      <c r="F220" s="17" t="inlineStr">
        <is>
          <t>INGA</t>
        </is>
      </c>
      <c r="G220" s="17" t="inlineStr">
        <is>
          <t>VASQUEZ</t>
        </is>
      </c>
      <c r="H220" s="17" t="inlineStr">
        <is>
          <t>Persona Natural</t>
        </is>
      </c>
      <c r="I220" s="17" t="inlineStr">
        <is>
          <t>Cliente</t>
        </is>
      </c>
      <c r="J220" s="17" t="n"/>
      <c r="K220" s="17" t="n"/>
      <c r="L220" s="23" t="n"/>
      <c r="M220" s="17" t="n"/>
      <c r="N220" s="23" t="n"/>
      <c r="O220" s="17" t="n"/>
      <c r="P220" s="28">
        <f>IF(A220&lt;&gt;"OK","","SELECT cli_crear_clientes(p_codigo_interno =&gt; "&amp;IF(TRIM(N220&amp;"")="","NULL","'"&amp;SUBSTITUTE(TRIM(N220),"'","''")&amp;"'")&amp;", p_razon_social =&gt; "&amp;IF(TRIM(D220&amp;"")="","NULL","'"&amp;SUBSTITUTE(TRIM(D220),"'","''")&amp;"'")&amp;", p_id_tipo_cliente =&gt; "&amp;IF(TRIM(I220&amp;"")="","NULL","(SELECT lo.id FROM gen_lista_opciones lo JOIN gen_lista l ON l.id = lo.id_lista WHERE l.nombre = 'TipoCliente' AND upper(lo.nombre) = upper('"&amp;SUBSTITUTE(TRIM(I220),"'","''")&amp;"') AND lo.estado = 1 LIMIT 1)")&amp;", p_id_tipo_persona =&gt; "&amp;IF(TRIM(H220&amp;"")="","NULL","(SELECT lo.id FROM gen_lista_opciones lo JOIN gen_lista l ON l.id = lo.id_lista WHERE l.nombre = 'TipoPersona' AND upper(lo.nombre) = upper('"&amp;SUBSTITUTE(TRIM(H220),"'","''")&amp;"') AND lo.estado = 1 LIMIT 1)")&amp;", p_nombres =&gt; "&amp;IF(TRIM(E220&amp;"")="","NULL","'"&amp;SUBSTITUTE(TRIM(E220),"'","''")&amp;"'")&amp;", p_apellido_paterno =&gt; "&amp;IF(TRIM(F220&amp;"")="","NULL","'"&amp;SUBSTITUTE(TRIM(F220),"'","''")&amp;"'")&amp;", p_apellido_materno =&gt; "&amp;IF(TRIM(G220&amp;"")="","NULL","'"&amp;SUBSTITUTE(TRIM(G220),"'","''")&amp;"'")&amp;", p_id_tipo_documento =&gt; "&amp;IF(TRIM(B220&amp;"")="","NULL","(SELECT lo.id FROM gen_lista_opciones lo JOIN gen_lista l ON l.id = lo.id_lista WHERE l.nombre = 'TipoDocumento' AND upper(lo.nombre) = upper('"&amp;SUBSTITUTE(TRIM(B220),"'","''")&amp;"') AND lo.estado = 1 LIMIT 1)")&amp;", p_numero_documento =&gt; "&amp;IF(TRIM(C220&amp;"")="","NULL","'"&amp;SUBSTITUTE(TRIM(C220),"'","''")&amp;"'")&amp;", p_telefono =&gt; "&amp;IF(TRIM(L220&amp;"")="","NULL","'"&amp;SUBSTITUTE(TRIM(L220),"'","''")&amp;"'")&amp;", p_email =&gt; "&amp;IF(TRIM(M220&amp;"")="","NULL","'"&amp;SUBSTITUTE(TRIM(M220),"'","''")&amp;"'")&amp;", p_observacion =&gt; "&amp;IF(TRIM(O220&amp;"")="","NULL","'"&amp;SUBSTITUTE(TRIM(O220),"'","''")&amp;"'")&amp;", p_direccion =&gt; "&amp;IF(TRIM(J220&amp;"")="","NULL","'"&amp;SUBSTITUTE(TRIM(J220),"'","''")&amp;"'")&amp;", p_referencia =&gt; "&amp;IF(TRIM(K220&amp;"")="","NULL","'"&amp;SUBSTITUTE(TRIM(K220),"'","''")&amp;"'")&amp;") AS resultado_cliente_"&amp;ROW()&amp;";")</f>
        <v/>
      </c>
    </row>
    <row r="221" ht="15.75" customHeight="1" s="64">
      <c r="A221" s="25">
        <f>IF(AND(D221="",E221="",C221=""),"",IF(AND(D221="",E221=""),"FALTA razón social o nombres",IF(AND(C221&lt;&gt;"",SUMPRODUCT(--($C$5:$C$549=C221))&gt;1),"DOCUMENTO DUPLICADO",IF(AND(B221="DNI",C221&lt;&gt;"",LEN(C221&amp;"")&lt;&gt;8),"DNI debe tener 8 dígitos",IF(AND(B221="RUC",C221&lt;&gt;"",LEN(C221&amp;"")&lt;&gt;11),"RUC debe tener 11 dígitos",IF(AND(N221&lt;&gt;"",SUMPRODUCT(--($N$5:$N$549=N221))&gt;1),"CÓDIGO INTERNO DUPLICADO","OK"))))))</f>
        <v/>
      </c>
      <c r="B221" s="17" t="inlineStr">
        <is>
          <t>RUC</t>
        </is>
      </c>
      <c r="C221" s="23" t="inlineStr">
        <is>
          <t>20613421492</t>
        </is>
      </c>
      <c r="D221" s="17" t="inlineStr">
        <is>
          <t>INGENIEROS MECANICOS &amp; AUTOMATIZACIONES E.I.R.L.</t>
        </is>
      </c>
      <c r="E221" s="17" t="n"/>
      <c r="F221" s="17" t="n"/>
      <c r="G221" s="17" t="n"/>
      <c r="H221" s="17" t="inlineStr">
        <is>
          <t>Persona Jurídica</t>
        </is>
      </c>
      <c r="I221" s="17" t="inlineStr">
        <is>
          <t>Cliente</t>
        </is>
      </c>
      <c r="J221" s="17" t="n"/>
      <c r="K221" s="17" t="n"/>
      <c r="L221" s="23" t="n"/>
      <c r="M221" s="17" t="n"/>
      <c r="N221" s="23" t="n"/>
      <c r="O221" s="17" t="n"/>
      <c r="P221" s="28">
        <f>IF(A221&lt;&gt;"OK","","SELECT cli_crear_clientes(p_codigo_interno =&gt; "&amp;IF(TRIM(N221&amp;"")="","NULL","'"&amp;SUBSTITUTE(TRIM(N221),"'","''")&amp;"'")&amp;", p_razon_social =&gt; "&amp;IF(TRIM(D221&amp;"")="","NULL","'"&amp;SUBSTITUTE(TRIM(D221),"'","''")&amp;"'")&amp;", p_id_tipo_cliente =&gt; "&amp;IF(TRIM(I221&amp;"")="","NULL","(SELECT lo.id FROM gen_lista_opciones lo JOIN gen_lista l ON l.id = lo.id_lista WHERE l.nombre = 'TipoCliente' AND upper(lo.nombre) = upper('"&amp;SUBSTITUTE(TRIM(I221),"'","''")&amp;"') AND lo.estado = 1 LIMIT 1)")&amp;", p_id_tipo_persona =&gt; "&amp;IF(TRIM(H221&amp;"")="","NULL","(SELECT lo.id FROM gen_lista_opciones lo JOIN gen_lista l ON l.id = lo.id_lista WHERE l.nombre = 'TipoPersona' AND upper(lo.nombre) = upper('"&amp;SUBSTITUTE(TRIM(H221),"'","''")&amp;"') AND lo.estado = 1 LIMIT 1)")&amp;", p_nombres =&gt; "&amp;IF(TRIM(E221&amp;"")="","NULL","'"&amp;SUBSTITUTE(TRIM(E221),"'","''")&amp;"'")&amp;", p_apellido_paterno =&gt; "&amp;IF(TRIM(F221&amp;"")="","NULL","'"&amp;SUBSTITUTE(TRIM(F221),"'","''")&amp;"'")&amp;", p_apellido_materno =&gt; "&amp;IF(TRIM(G221&amp;"")="","NULL","'"&amp;SUBSTITUTE(TRIM(G221),"'","''")&amp;"'")&amp;", p_id_tipo_documento =&gt; "&amp;IF(TRIM(B221&amp;"")="","NULL","(SELECT lo.id FROM gen_lista_opciones lo JOIN gen_lista l ON l.id = lo.id_lista WHERE l.nombre = 'TipoDocumento' AND upper(lo.nombre) = upper('"&amp;SUBSTITUTE(TRIM(B221),"'","''")&amp;"') AND lo.estado = 1 LIMIT 1)")&amp;", p_numero_documento =&gt; "&amp;IF(TRIM(C221&amp;"")="","NULL","'"&amp;SUBSTITUTE(TRIM(C221),"'","''")&amp;"'")&amp;", p_telefono =&gt; "&amp;IF(TRIM(L221&amp;"")="","NULL","'"&amp;SUBSTITUTE(TRIM(L221),"'","''")&amp;"'")&amp;", p_email =&gt; "&amp;IF(TRIM(M221&amp;"")="","NULL","'"&amp;SUBSTITUTE(TRIM(M221),"'","''")&amp;"'")&amp;", p_observacion =&gt; "&amp;IF(TRIM(O221&amp;"")="","NULL","'"&amp;SUBSTITUTE(TRIM(O221),"'","''")&amp;"'")&amp;", p_direccion =&gt; "&amp;IF(TRIM(J221&amp;"")="","NULL","'"&amp;SUBSTITUTE(TRIM(J221),"'","''")&amp;"'")&amp;", p_referencia =&gt; "&amp;IF(TRIM(K221&amp;"")="","NULL","'"&amp;SUBSTITUTE(TRIM(K221),"'","''")&amp;"'")&amp;") AS resultado_cliente_"&amp;ROW()&amp;";")</f>
        <v/>
      </c>
    </row>
    <row r="222" ht="15.75" customHeight="1" s="64">
      <c r="A222" s="25">
        <f>IF(AND(D222="",E222="",C222=""),"",IF(AND(D222="",E222=""),"FALTA razón social o nombres",IF(AND(C222&lt;&gt;"",SUMPRODUCT(--($C$5:$C$549=C222))&gt;1),"DOCUMENTO DUPLICADO",IF(AND(B222="DNI",C222&lt;&gt;"",LEN(C222&amp;"")&lt;&gt;8),"DNI debe tener 8 dígitos",IF(AND(B222="RUC",C222&lt;&gt;"",LEN(C222&amp;"")&lt;&gt;11),"RUC debe tener 11 dígitos",IF(AND(N222&lt;&gt;"",SUMPRODUCT(--($N$5:$N$549=N222))&gt;1),"CÓDIGO INTERNO DUPLICADO","OK"))))))</f>
        <v/>
      </c>
      <c r="B222" s="17" t="inlineStr">
        <is>
          <t>RUC</t>
        </is>
      </c>
      <c r="C222" s="23" t="n">
        <v>20608316419</v>
      </c>
      <c r="D222" s="23" t="inlineStr">
        <is>
          <t>INVERSIONES R &amp; C ALARCON S.A.C.</t>
        </is>
      </c>
      <c r="E222" s="17" t="n"/>
      <c r="F222" s="17" t="n"/>
      <c r="G222" s="17" t="n"/>
      <c r="H222" s="17" t="inlineStr">
        <is>
          <t>Persona Jurídica</t>
        </is>
      </c>
      <c r="I222" s="17" t="inlineStr">
        <is>
          <t>Cliente</t>
        </is>
      </c>
      <c r="J222" s="17" t="n"/>
      <c r="K222" s="17" t="n"/>
      <c r="L222" s="23" t="n"/>
      <c r="M222" s="17" t="n"/>
      <c r="N222" s="23" t="n"/>
      <c r="O222" s="17" t="n"/>
      <c r="P222" s="28">
        <f>IF(A222&lt;&gt;"OK","","SELECT cli_crear_clientes(p_codigo_interno =&gt; "&amp;IF(TRIM(N222&amp;"")="","NULL","'"&amp;SUBSTITUTE(TRIM(N222),"'","''")&amp;"'")&amp;", p_razon_social =&gt; "&amp;IF(TRIM(D222&amp;"")="","NULL","'"&amp;SUBSTITUTE(TRIM(D222),"'","''")&amp;"'")&amp;", p_id_tipo_cliente =&gt; "&amp;IF(TRIM(I222&amp;"")="","NULL","(SELECT lo.id FROM gen_lista_opciones lo JOIN gen_lista l ON l.id = lo.id_lista WHERE l.nombre = 'TipoCliente' AND upper(lo.nombre) = upper('"&amp;SUBSTITUTE(TRIM(I222),"'","''")&amp;"') AND lo.estado = 1 LIMIT 1)")&amp;", p_id_tipo_persona =&gt; "&amp;IF(TRIM(H222&amp;"")="","NULL","(SELECT lo.id FROM gen_lista_opciones lo JOIN gen_lista l ON l.id = lo.id_lista WHERE l.nombre = 'TipoPersona' AND upper(lo.nombre) = upper('"&amp;SUBSTITUTE(TRIM(H222),"'","''")&amp;"') AND lo.estado = 1 LIMIT 1)")&amp;", p_nombres =&gt; "&amp;IF(TRIM(E222&amp;"")="","NULL","'"&amp;SUBSTITUTE(TRIM(E222),"'","''")&amp;"'")&amp;", p_apellido_paterno =&gt; "&amp;IF(TRIM(F222&amp;"")="","NULL","'"&amp;SUBSTITUTE(TRIM(F222),"'","''")&amp;"'")&amp;", p_apellido_materno =&gt; "&amp;IF(TRIM(G222&amp;"")="","NULL","'"&amp;SUBSTITUTE(TRIM(G222),"'","''")&amp;"'")&amp;", p_id_tipo_documento =&gt; "&amp;IF(TRIM(B222&amp;"")="","NULL","(SELECT lo.id FROM gen_lista_opciones lo JOIN gen_lista l ON l.id = lo.id_lista WHERE l.nombre = 'TipoDocumento' AND upper(lo.nombre) = upper('"&amp;SUBSTITUTE(TRIM(B222),"'","''")&amp;"') AND lo.estado = 1 LIMIT 1)")&amp;", p_numero_documento =&gt; "&amp;IF(TRIM(C222&amp;"")="","NULL","'"&amp;SUBSTITUTE(TRIM(C222),"'","''")&amp;"'")&amp;", p_telefono =&gt; "&amp;IF(TRIM(L222&amp;"")="","NULL","'"&amp;SUBSTITUTE(TRIM(L222),"'","''")&amp;"'")&amp;", p_email =&gt; "&amp;IF(TRIM(M222&amp;"")="","NULL","'"&amp;SUBSTITUTE(TRIM(M222),"'","''")&amp;"'")&amp;", p_observacion =&gt; "&amp;IF(TRIM(O222&amp;"")="","NULL","'"&amp;SUBSTITUTE(TRIM(O222),"'","''")&amp;"'")&amp;", p_direccion =&gt; "&amp;IF(TRIM(J222&amp;"")="","NULL","'"&amp;SUBSTITUTE(TRIM(J222),"'","''")&amp;"'")&amp;", p_referencia =&gt; "&amp;IF(TRIM(K222&amp;"")="","NULL","'"&amp;SUBSTITUTE(TRIM(K222),"'","''")&amp;"'")&amp;") AS resultado_cliente_"&amp;ROW()&amp;";")</f>
        <v/>
      </c>
    </row>
    <row r="223" ht="15.75" customHeight="1" s="64">
      <c r="A223" s="25">
        <f>IF(AND(D223="",E223="",C223=""),"",IF(AND(D223="",E223=""),"FALTA razón social o nombres",IF(AND(C223&lt;&gt;"",SUMPRODUCT(--($C$5:$C$549=C223))&gt;1),"DOCUMENTO DUPLICADO",IF(AND(B223="DNI",C223&lt;&gt;"",LEN(C223&amp;"")&lt;&gt;8),"DNI debe tener 8 dígitos",IF(AND(B223="RUC",C223&lt;&gt;"",LEN(C223&amp;"")&lt;&gt;11),"RUC debe tener 11 dígitos",IF(AND(N223&lt;&gt;"",SUMPRODUCT(--($N$5:$N$549=N223))&gt;1),"CÓDIGO INTERNO DUPLICADO","OK"))))))</f>
        <v/>
      </c>
      <c r="B223" s="17" t="inlineStr">
        <is>
          <t>DNI</t>
        </is>
      </c>
      <c r="C223" s="23" t="inlineStr">
        <is>
          <t>47487670</t>
        </is>
      </c>
      <c r="D223" s="17" t="n"/>
      <c r="E223" s="17" t="inlineStr">
        <is>
          <t>DEMETRIO</t>
        </is>
      </c>
      <c r="F223" s="17" t="inlineStr">
        <is>
          <t>LLAUCE</t>
        </is>
      </c>
      <c r="G223" s="17" t="inlineStr">
        <is>
          <t>CAJUSOL</t>
        </is>
      </c>
      <c r="H223" s="17" t="inlineStr">
        <is>
          <t>Persona Natural</t>
        </is>
      </c>
      <c r="I223" s="17" t="inlineStr">
        <is>
          <t>Cliente</t>
        </is>
      </c>
      <c r="J223" s="17" t="n"/>
      <c r="K223" s="17" t="n"/>
      <c r="L223" s="23" t="n"/>
      <c r="M223" s="17" t="n"/>
      <c r="N223" s="23" t="n"/>
      <c r="O223" s="17" t="n"/>
      <c r="P223" s="28">
        <f>IF(A223&lt;&gt;"OK","","SELECT cli_crear_clientes(p_codigo_interno =&gt; "&amp;IF(TRIM(N223&amp;"")="","NULL","'"&amp;SUBSTITUTE(TRIM(N223),"'","''")&amp;"'")&amp;", p_razon_social =&gt; "&amp;IF(TRIM(D223&amp;"")="","NULL","'"&amp;SUBSTITUTE(TRIM(D223),"'","''")&amp;"'")&amp;", p_id_tipo_cliente =&gt; "&amp;IF(TRIM(I223&amp;"")="","NULL","(SELECT lo.id FROM gen_lista_opciones lo JOIN gen_lista l ON l.id = lo.id_lista WHERE l.nombre = 'TipoCliente' AND upper(lo.nombre) = upper('"&amp;SUBSTITUTE(TRIM(I223),"'","''")&amp;"') AND lo.estado = 1 LIMIT 1)")&amp;", p_id_tipo_persona =&gt; "&amp;IF(TRIM(H223&amp;"")="","NULL","(SELECT lo.id FROM gen_lista_opciones lo JOIN gen_lista l ON l.id = lo.id_lista WHERE l.nombre = 'TipoPersona' AND upper(lo.nombre) = upper('"&amp;SUBSTITUTE(TRIM(H223),"'","''")&amp;"') AND lo.estado = 1 LIMIT 1)")&amp;", p_nombres =&gt; "&amp;IF(TRIM(E223&amp;"")="","NULL","'"&amp;SUBSTITUTE(TRIM(E223),"'","''")&amp;"'")&amp;", p_apellido_paterno =&gt; "&amp;IF(TRIM(F223&amp;"")="","NULL","'"&amp;SUBSTITUTE(TRIM(F223),"'","''")&amp;"'")&amp;", p_apellido_materno =&gt; "&amp;IF(TRIM(G223&amp;"")="","NULL","'"&amp;SUBSTITUTE(TRIM(G223),"'","''")&amp;"'")&amp;", p_id_tipo_documento =&gt; "&amp;IF(TRIM(B223&amp;"")="","NULL","(SELECT lo.id FROM gen_lista_opciones lo JOIN gen_lista l ON l.id = lo.id_lista WHERE l.nombre = 'TipoDocumento' AND upper(lo.nombre) = upper('"&amp;SUBSTITUTE(TRIM(B223),"'","''")&amp;"') AND lo.estado = 1 LIMIT 1)")&amp;", p_numero_documento =&gt; "&amp;IF(TRIM(C223&amp;"")="","NULL","'"&amp;SUBSTITUTE(TRIM(C223),"'","''")&amp;"'")&amp;", p_telefono =&gt; "&amp;IF(TRIM(L223&amp;"")="","NULL","'"&amp;SUBSTITUTE(TRIM(L223),"'","''")&amp;"'")&amp;", p_email =&gt; "&amp;IF(TRIM(M223&amp;"")="","NULL","'"&amp;SUBSTITUTE(TRIM(M223),"'","''")&amp;"'")&amp;", p_observacion =&gt; "&amp;IF(TRIM(O223&amp;"")="","NULL","'"&amp;SUBSTITUTE(TRIM(O223),"'","''")&amp;"'")&amp;", p_direccion =&gt; "&amp;IF(TRIM(J223&amp;"")="","NULL","'"&amp;SUBSTITUTE(TRIM(J223),"'","''")&amp;"'")&amp;", p_referencia =&gt; "&amp;IF(TRIM(K223&amp;"")="","NULL","'"&amp;SUBSTITUTE(TRIM(K223),"'","''")&amp;"'")&amp;") AS resultado_cliente_"&amp;ROW()&amp;";")</f>
        <v/>
      </c>
    </row>
    <row r="224" ht="15.75" customHeight="1" s="64">
      <c r="A224" s="25">
        <f>IF(AND(D224="",E224="",C224=""),"",IF(AND(D224="",E224=""),"FALTA razón social o nombres",IF(AND(C224&lt;&gt;"",SUMPRODUCT(--($C$5:$C$549=C224))&gt;1),"DOCUMENTO DUPLICADO",IF(AND(B224="DNI",C224&lt;&gt;"",LEN(C224&amp;"")&lt;&gt;8),"DNI debe tener 8 dígitos",IF(AND(B224="RUC",C224&lt;&gt;"",LEN(C224&amp;"")&lt;&gt;11),"RUC debe tener 11 dígitos",IF(AND(N224&lt;&gt;"",SUMPRODUCT(--($N$5:$N$549=N224))&gt;1),"CÓDIGO INTERNO DUPLICADO","OK"))))))</f>
        <v/>
      </c>
      <c r="B224" s="17" t="inlineStr">
        <is>
          <t>SD</t>
        </is>
      </c>
      <c r="C224" s="23" t="inlineStr">
        <is>
          <t>000054</t>
        </is>
      </c>
      <c r="D224" s="17" t="n"/>
      <c r="E224" s="17" t="inlineStr">
        <is>
          <t xml:space="preserve">JOSE </t>
        </is>
      </c>
      <c r="F224" s="17" t="inlineStr">
        <is>
          <t>LLONTOP</t>
        </is>
      </c>
      <c r="G224" s="17" t="inlineStr">
        <is>
          <t>BANCES</t>
        </is>
      </c>
      <c r="H224" s="17" t="inlineStr">
        <is>
          <t>Persona Natural</t>
        </is>
      </c>
      <c r="I224" s="17" t="inlineStr">
        <is>
          <t>Cliente</t>
        </is>
      </c>
      <c r="J224" s="17" t="n"/>
      <c r="K224" s="17" t="n"/>
      <c r="L224" s="23" t="n"/>
      <c r="M224" s="17" t="n"/>
      <c r="N224" s="23" t="n"/>
      <c r="O224" s="17" t="n"/>
      <c r="P224" s="28">
        <f>IF(A224&lt;&gt;"OK","","SELECT cli_crear_clientes(p_codigo_interno =&gt; "&amp;IF(TRIM(N224&amp;"")="","NULL","'"&amp;SUBSTITUTE(TRIM(N224),"'","''")&amp;"'")&amp;", p_razon_social =&gt; "&amp;IF(TRIM(D224&amp;"")="","NULL","'"&amp;SUBSTITUTE(TRIM(D224),"'","''")&amp;"'")&amp;", p_id_tipo_cliente =&gt; "&amp;IF(TRIM(I224&amp;"")="","NULL","(SELECT lo.id FROM gen_lista_opciones lo JOIN gen_lista l ON l.id = lo.id_lista WHERE l.nombre = 'TipoCliente' AND upper(lo.nombre) = upper('"&amp;SUBSTITUTE(TRIM(I224),"'","''")&amp;"') AND lo.estado = 1 LIMIT 1)")&amp;", p_id_tipo_persona =&gt; "&amp;IF(TRIM(H224&amp;"")="","NULL","(SELECT lo.id FROM gen_lista_opciones lo JOIN gen_lista l ON l.id = lo.id_lista WHERE l.nombre = 'TipoPersona' AND upper(lo.nombre) = upper('"&amp;SUBSTITUTE(TRIM(H224),"'","''")&amp;"') AND lo.estado = 1 LIMIT 1)")&amp;", p_nombres =&gt; "&amp;IF(TRIM(E224&amp;"")="","NULL","'"&amp;SUBSTITUTE(TRIM(E224),"'","''")&amp;"'")&amp;", p_apellido_paterno =&gt; "&amp;IF(TRIM(F224&amp;"")="","NULL","'"&amp;SUBSTITUTE(TRIM(F224),"'","''")&amp;"'")&amp;", p_apellido_materno =&gt; "&amp;IF(TRIM(G224&amp;"")="","NULL","'"&amp;SUBSTITUTE(TRIM(G224),"'","''")&amp;"'")&amp;", p_id_tipo_documento =&gt; "&amp;IF(TRIM(B224&amp;"")="","NULL","(SELECT lo.id FROM gen_lista_opciones lo JOIN gen_lista l ON l.id = lo.id_lista WHERE l.nombre = 'TipoDocumento' AND upper(lo.nombre) = upper('"&amp;SUBSTITUTE(TRIM(B224),"'","''")&amp;"') AND lo.estado = 1 LIMIT 1)")&amp;", p_numero_documento =&gt; "&amp;IF(TRIM(C224&amp;"")="","NULL","'"&amp;SUBSTITUTE(TRIM(C224),"'","''")&amp;"'")&amp;", p_telefono =&gt; "&amp;IF(TRIM(L224&amp;"")="","NULL","'"&amp;SUBSTITUTE(TRIM(L224),"'","''")&amp;"'")&amp;", p_email =&gt; "&amp;IF(TRIM(M224&amp;"")="","NULL","'"&amp;SUBSTITUTE(TRIM(M224),"'","''")&amp;"'")&amp;", p_observacion =&gt; "&amp;IF(TRIM(O224&amp;"")="","NULL","'"&amp;SUBSTITUTE(TRIM(O224),"'","''")&amp;"'")&amp;", p_direccion =&gt; "&amp;IF(TRIM(J224&amp;"")="","NULL","'"&amp;SUBSTITUTE(TRIM(J224),"'","''")&amp;"'")&amp;", p_referencia =&gt; "&amp;IF(TRIM(K224&amp;"")="","NULL","'"&amp;SUBSTITUTE(TRIM(K224),"'","''")&amp;"'")&amp;") AS resultado_cliente_"&amp;ROW()&amp;";")</f>
        <v/>
      </c>
    </row>
    <row r="225" ht="15.75" customHeight="1" s="64">
      <c r="A225" s="25">
        <f>IF(AND(D225="",E225="",C225=""),"",IF(AND(D225="",E225=""),"FALTA razón social o nombres",IF(AND(C225&lt;&gt;"",SUMPRODUCT(--($C$5:$C$549=C225))&gt;1),"DOCUMENTO DUPLICADO",IF(AND(B225="DNI",C225&lt;&gt;"",LEN(C225&amp;"")&lt;&gt;8),"DNI debe tener 8 dígitos",IF(AND(B225="RUC",C225&lt;&gt;"",LEN(C225&amp;"")&lt;&gt;11),"RUC debe tener 11 dígitos",IF(AND(N225&lt;&gt;"",SUMPRODUCT(--($N$5:$N$549=N225))&gt;1),"CÓDIGO INTERNO DUPLICADO","OK"))))))</f>
        <v/>
      </c>
      <c r="B225" s="17" t="inlineStr">
        <is>
          <t>DNI</t>
        </is>
      </c>
      <c r="C225" s="23" t="inlineStr">
        <is>
          <t>44089512</t>
        </is>
      </c>
      <c r="D225" s="17" t="n"/>
      <c r="E225" s="17" t="inlineStr">
        <is>
          <t>JOSUE NEPTALI</t>
        </is>
      </c>
      <c r="F225" s="17" t="inlineStr">
        <is>
          <t>LLUNCOR</t>
        </is>
      </c>
      <c r="G225" s="17" t="inlineStr">
        <is>
          <t>PISFIL</t>
        </is>
      </c>
      <c r="H225" s="17" t="inlineStr">
        <is>
          <t>Persona Natural</t>
        </is>
      </c>
      <c r="I225" s="17" t="inlineStr">
        <is>
          <t>Cliente</t>
        </is>
      </c>
      <c r="J225" s="17" t="n"/>
      <c r="K225" s="17" t="n"/>
      <c r="L225" s="23" t="n"/>
      <c r="M225" s="17" t="n"/>
      <c r="N225" s="23" t="n"/>
      <c r="O225" s="17" t="n"/>
      <c r="P225" s="28">
        <f>IF(A225&lt;&gt;"OK","","SELECT cli_crear_clientes(p_codigo_interno =&gt; "&amp;IF(TRIM(N225&amp;"")="","NULL","'"&amp;SUBSTITUTE(TRIM(N225),"'","''")&amp;"'")&amp;", p_razon_social =&gt; "&amp;IF(TRIM(D225&amp;"")="","NULL","'"&amp;SUBSTITUTE(TRIM(D225),"'","''")&amp;"'")&amp;", p_id_tipo_cliente =&gt; "&amp;IF(TRIM(I225&amp;"")="","NULL","(SELECT lo.id FROM gen_lista_opciones lo JOIN gen_lista l ON l.id = lo.id_lista WHERE l.nombre = 'TipoCliente' AND upper(lo.nombre) = upper('"&amp;SUBSTITUTE(TRIM(I225),"'","''")&amp;"') AND lo.estado = 1 LIMIT 1)")&amp;", p_id_tipo_persona =&gt; "&amp;IF(TRIM(H225&amp;"")="","NULL","(SELECT lo.id FROM gen_lista_opciones lo JOIN gen_lista l ON l.id = lo.id_lista WHERE l.nombre = 'TipoPersona' AND upper(lo.nombre) = upper('"&amp;SUBSTITUTE(TRIM(H225),"'","''")&amp;"') AND lo.estado = 1 LIMIT 1)")&amp;", p_nombres =&gt; "&amp;IF(TRIM(E225&amp;"")="","NULL","'"&amp;SUBSTITUTE(TRIM(E225),"'","''")&amp;"'")&amp;", p_apellido_paterno =&gt; "&amp;IF(TRIM(F225&amp;"")="","NULL","'"&amp;SUBSTITUTE(TRIM(F225),"'","''")&amp;"'")&amp;", p_apellido_materno =&gt; "&amp;IF(TRIM(G225&amp;"")="","NULL","'"&amp;SUBSTITUTE(TRIM(G225),"'","''")&amp;"'")&amp;", p_id_tipo_documento =&gt; "&amp;IF(TRIM(B225&amp;"")="","NULL","(SELECT lo.id FROM gen_lista_opciones lo JOIN gen_lista l ON l.id = lo.id_lista WHERE l.nombre = 'TipoDocumento' AND upper(lo.nombre) = upper('"&amp;SUBSTITUTE(TRIM(B225),"'","''")&amp;"') AND lo.estado = 1 LIMIT 1)")&amp;", p_numero_documento =&gt; "&amp;IF(TRIM(C225&amp;"")="","NULL","'"&amp;SUBSTITUTE(TRIM(C225),"'","''")&amp;"'")&amp;", p_telefono =&gt; "&amp;IF(TRIM(L225&amp;"")="","NULL","'"&amp;SUBSTITUTE(TRIM(L225),"'","''")&amp;"'")&amp;", p_email =&gt; "&amp;IF(TRIM(M225&amp;"")="","NULL","'"&amp;SUBSTITUTE(TRIM(M225),"'","''")&amp;"'")&amp;", p_observacion =&gt; "&amp;IF(TRIM(O225&amp;"")="","NULL","'"&amp;SUBSTITUTE(TRIM(O225),"'","''")&amp;"'")&amp;", p_direccion =&gt; "&amp;IF(TRIM(J225&amp;"")="","NULL","'"&amp;SUBSTITUTE(TRIM(J225),"'","''")&amp;"'")&amp;", p_referencia =&gt; "&amp;IF(TRIM(K225&amp;"")="","NULL","'"&amp;SUBSTITUTE(TRIM(K225),"'","''")&amp;"'")&amp;") AS resultado_cliente_"&amp;ROW()&amp;";")</f>
        <v/>
      </c>
    </row>
    <row r="226" ht="15.75" customHeight="1" s="64">
      <c r="A226" s="25">
        <f>IF(AND(D226="",E226="",C226=""),"",IF(AND(D226="",E226=""),"FALTA razón social o nombres",IF(AND(C226&lt;&gt;"",SUMPRODUCT(--($C$5:$C$549=C226))&gt;1),"DOCUMENTO DUPLICADO",IF(AND(B226="DNI",C226&lt;&gt;"",LEN(C226&amp;"")&lt;&gt;8),"DNI debe tener 8 dígitos",IF(AND(B226="RUC",C226&lt;&gt;"",LEN(C226&amp;"")&lt;&gt;11),"RUC debe tener 11 dígitos",IF(AND(N226&lt;&gt;"",SUMPRODUCT(--($N$5:$N$549=N226))&gt;1),"CÓDIGO INTERNO DUPLICADO","OK"))))))</f>
        <v/>
      </c>
      <c r="B226" s="17" t="inlineStr">
        <is>
          <t>DNI</t>
        </is>
      </c>
      <c r="C226" s="23" t="inlineStr">
        <is>
          <t>16764812</t>
        </is>
      </c>
      <c r="D226" s="17" t="n"/>
      <c r="E226" s="17" t="inlineStr">
        <is>
          <t>PEDRO</t>
        </is>
      </c>
      <c r="F226" s="17" t="inlineStr">
        <is>
          <t>LOCONI</t>
        </is>
      </c>
      <c r="G226" s="17" t="inlineStr">
        <is>
          <t>SEYTUQUE</t>
        </is>
      </c>
      <c r="H226" s="17" t="inlineStr">
        <is>
          <t>Persona Natural</t>
        </is>
      </c>
      <c r="I226" s="17" t="inlineStr">
        <is>
          <t>Cliente</t>
        </is>
      </c>
      <c r="J226" s="17" t="n"/>
      <c r="K226" s="17" t="n"/>
      <c r="L226" s="23" t="n"/>
      <c r="M226" s="17" t="n"/>
      <c r="N226" s="23" t="n"/>
      <c r="O226" s="17" t="n"/>
      <c r="P226" s="28">
        <f>IF(A226&lt;&gt;"OK","","SELECT cli_crear_clientes(p_codigo_interno =&gt; "&amp;IF(TRIM(N226&amp;"")="","NULL","'"&amp;SUBSTITUTE(TRIM(N226),"'","''")&amp;"'")&amp;", p_razon_social =&gt; "&amp;IF(TRIM(D226&amp;"")="","NULL","'"&amp;SUBSTITUTE(TRIM(D226),"'","''")&amp;"'")&amp;", p_id_tipo_cliente =&gt; "&amp;IF(TRIM(I226&amp;"")="","NULL","(SELECT lo.id FROM gen_lista_opciones lo JOIN gen_lista l ON l.id = lo.id_lista WHERE l.nombre = 'TipoCliente' AND upper(lo.nombre) = upper('"&amp;SUBSTITUTE(TRIM(I226),"'","''")&amp;"') AND lo.estado = 1 LIMIT 1)")&amp;", p_id_tipo_persona =&gt; "&amp;IF(TRIM(H226&amp;"")="","NULL","(SELECT lo.id FROM gen_lista_opciones lo JOIN gen_lista l ON l.id = lo.id_lista WHERE l.nombre = 'TipoPersona' AND upper(lo.nombre) = upper('"&amp;SUBSTITUTE(TRIM(H226),"'","''")&amp;"') AND lo.estado = 1 LIMIT 1)")&amp;", p_nombres =&gt; "&amp;IF(TRIM(E226&amp;"")="","NULL","'"&amp;SUBSTITUTE(TRIM(E226),"'","''")&amp;"'")&amp;", p_apellido_paterno =&gt; "&amp;IF(TRIM(F226&amp;"")="","NULL","'"&amp;SUBSTITUTE(TRIM(F226),"'","''")&amp;"'")&amp;", p_apellido_materno =&gt; "&amp;IF(TRIM(G226&amp;"")="","NULL","'"&amp;SUBSTITUTE(TRIM(G226),"'","''")&amp;"'")&amp;", p_id_tipo_documento =&gt; "&amp;IF(TRIM(B226&amp;"")="","NULL","(SELECT lo.id FROM gen_lista_opciones lo JOIN gen_lista l ON l.id = lo.id_lista WHERE l.nombre = 'TipoDocumento' AND upper(lo.nombre) = upper('"&amp;SUBSTITUTE(TRIM(B226),"'","''")&amp;"') AND lo.estado = 1 LIMIT 1)")&amp;", p_numero_documento =&gt; "&amp;IF(TRIM(C226&amp;"")="","NULL","'"&amp;SUBSTITUTE(TRIM(C226),"'","''")&amp;"'")&amp;", p_telefono =&gt; "&amp;IF(TRIM(L226&amp;"")="","NULL","'"&amp;SUBSTITUTE(TRIM(L226),"'","''")&amp;"'")&amp;", p_email =&gt; "&amp;IF(TRIM(M226&amp;"")="","NULL","'"&amp;SUBSTITUTE(TRIM(M226),"'","''")&amp;"'")&amp;", p_observacion =&gt; "&amp;IF(TRIM(O226&amp;"")="","NULL","'"&amp;SUBSTITUTE(TRIM(O226),"'","''")&amp;"'")&amp;", p_direccion =&gt; "&amp;IF(TRIM(J226&amp;"")="","NULL","'"&amp;SUBSTITUTE(TRIM(J226),"'","''")&amp;"'")&amp;", p_referencia =&gt; "&amp;IF(TRIM(K226&amp;"")="","NULL","'"&amp;SUBSTITUTE(TRIM(K226),"'","''")&amp;"'")&amp;") AS resultado_cliente_"&amp;ROW()&amp;";")</f>
        <v/>
      </c>
    </row>
    <row r="227" ht="15.75" customHeight="1" s="64">
      <c r="A227" s="25">
        <f>IF(AND(D227="",E227="",C227=""),"",IF(AND(D227="",E227=""),"FALTA razón social o nombres",IF(AND(C227&lt;&gt;"",SUMPRODUCT(--($C$5:$C$549=C227))&gt;1),"DOCUMENTO DUPLICADO",IF(AND(B227="DNI",C227&lt;&gt;"",LEN(C227&amp;"")&lt;&gt;8),"DNI debe tener 8 dígitos",IF(AND(B227="RUC",C227&lt;&gt;"",LEN(C227&amp;"")&lt;&gt;11),"RUC debe tener 11 dígitos",IF(AND(N227&lt;&gt;"",SUMPRODUCT(--($N$5:$N$549=N227))&gt;1),"CÓDIGO INTERNO DUPLICADO","OK"))))))</f>
        <v/>
      </c>
      <c r="B227" s="17" t="inlineStr">
        <is>
          <t>SD</t>
        </is>
      </c>
      <c r="C227" s="23" t="inlineStr">
        <is>
          <t>000055</t>
        </is>
      </c>
      <c r="D227" s="17" t="n"/>
      <c r="E227" s="17" t="inlineStr">
        <is>
          <t>BENANCIO</t>
        </is>
      </c>
      <c r="F227" s="17" t="inlineStr">
        <is>
          <t>LOYOLA</t>
        </is>
      </c>
      <c r="G227" s="17" t="inlineStr">
        <is>
          <t>VILELA</t>
        </is>
      </c>
      <c r="H227" s="17" t="inlineStr">
        <is>
          <t>Persona Natural</t>
        </is>
      </c>
      <c r="I227" s="17" t="inlineStr">
        <is>
          <t>Cliente</t>
        </is>
      </c>
      <c r="J227" s="17" t="n"/>
      <c r="K227" s="17" t="n"/>
      <c r="L227" s="23" t="n"/>
      <c r="M227" s="17" t="n"/>
      <c r="N227" s="23" t="n"/>
      <c r="O227" s="17" t="n"/>
      <c r="P227" s="28">
        <f>IF(A227&lt;&gt;"OK","","SELECT cli_crear_clientes(p_codigo_interno =&gt; "&amp;IF(TRIM(N227&amp;"")="","NULL","'"&amp;SUBSTITUTE(TRIM(N227),"'","''")&amp;"'")&amp;", p_razon_social =&gt; "&amp;IF(TRIM(D227&amp;"")="","NULL","'"&amp;SUBSTITUTE(TRIM(D227),"'","''")&amp;"'")&amp;", p_id_tipo_cliente =&gt; "&amp;IF(TRIM(I227&amp;"")="","NULL","(SELECT lo.id FROM gen_lista_opciones lo JOIN gen_lista l ON l.id = lo.id_lista WHERE l.nombre = 'TipoCliente' AND upper(lo.nombre) = upper('"&amp;SUBSTITUTE(TRIM(I227),"'","''")&amp;"') AND lo.estado = 1 LIMIT 1)")&amp;", p_id_tipo_persona =&gt; "&amp;IF(TRIM(H227&amp;"")="","NULL","(SELECT lo.id FROM gen_lista_opciones lo JOIN gen_lista l ON l.id = lo.id_lista WHERE l.nombre = 'TipoPersona' AND upper(lo.nombre) = upper('"&amp;SUBSTITUTE(TRIM(H227),"'","''")&amp;"') AND lo.estado = 1 LIMIT 1)")&amp;", p_nombres =&gt; "&amp;IF(TRIM(E227&amp;"")="","NULL","'"&amp;SUBSTITUTE(TRIM(E227),"'","''")&amp;"'")&amp;", p_apellido_paterno =&gt; "&amp;IF(TRIM(F227&amp;"")="","NULL","'"&amp;SUBSTITUTE(TRIM(F227),"'","''")&amp;"'")&amp;", p_apellido_materno =&gt; "&amp;IF(TRIM(G227&amp;"")="","NULL","'"&amp;SUBSTITUTE(TRIM(G227),"'","''")&amp;"'")&amp;", p_id_tipo_documento =&gt; "&amp;IF(TRIM(B227&amp;"")="","NULL","(SELECT lo.id FROM gen_lista_opciones lo JOIN gen_lista l ON l.id = lo.id_lista WHERE l.nombre = 'TipoDocumento' AND upper(lo.nombre) = upper('"&amp;SUBSTITUTE(TRIM(B227),"'","''")&amp;"') AND lo.estado = 1 LIMIT 1)")&amp;", p_numero_documento =&gt; "&amp;IF(TRIM(C227&amp;"")="","NULL","'"&amp;SUBSTITUTE(TRIM(C227),"'","''")&amp;"'")&amp;", p_telefono =&gt; "&amp;IF(TRIM(L227&amp;"")="","NULL","'"&amp;SUBSTITUTE(TRIM(L227),"'","''")&amp;"'")&amp;", p_email =&gt; "&amp;IF(TRIM(M227&amp;"")="","NULL","'"&amp;SUBSTITUTE(TRIM(M227),"'","''")&amp;"'")&amp;", p_observacion =&gt; "&amp;IF(TRIM(O227&amp;"")="","NULL","'"&amp;SUBSTITUTE(TRIM(O227),"'","''")&amp;"'")&amp;", p_direccion =&gt; "&amp;IF(TRIM(J227&amp;"")="","NULL","'"&amp;SUBSTITUTE(TRIM(J227),"'","''")&amp;"'")&amp;", p_referencia =&gt; "&amp;IF(TRIM(K227&amp;"")="","NULL","'"&amp;SUBSTITUTE(TRIM(K227),"'","''")&amp;"'")&amp;") AS resultado_cliente_"&amp;ROW()&amp;";")</f>
        <v/>
      </c>
    </row>
    <row r="228" ht="15.75" customHeight="1" s="64">
      <c r="A228" s="25">
        <f>IF(AND(D228="",E228="",C228=""),"",IF(AND(D228="",E228=""),"FALTA razón social o nombres",IF(AND(C228&lt;&gt;"",SUMPRODUCT(--($C$5:$C$549=C228))&gt;1),"DOCUMENTO DUPLICADO",IF(AND(B228="DNI",C228&lt;&gt;"",LEN(C228&amp;"")&lt;&gt;8),"DNI debe tener 8 dígitos",IF(AND(B228="RUC",C228&lt;&gt;"",LEN(C228&amp;"")&lt;&gt;11),"RUC debe tener 11 dígitos",IF(AND(N228&lt;&gt;"",SUMPRODUCT(--($N$5:$N$549=N228))&gt;1),"CÓDIGO INTERNO DUPLICADO","OK"))))))</f>
        <v/>
      </c>
      <c r="B228" s="17" t="inlineStr">
        <is>
          <t>SD</t>
        </is>
      </c>
      <c r="C228" s="23" t="inlineStr">
        <is>
          <t>000056</t>
        </is>
      </c>
      <c r="D228" s="17" t="n"/>
      <c r="E228" s="17" t="inlineStr">
        <is>
          <t>OSCAR</t>
        </is>
      </c>
      <c r="F228" s="17" t="inlineStr">
        <is>
          <t>LUNA</t>
        </is>
      </c>
      <c r="G228" s="17" t="inlineStr">
        <is>
          <t>LARIOS</t>
        </is>
      </c>
      <c r="H228" s="17" t="inlineStr">
        <is>
          <t>Persona Natural</t>
        </is>
      </c>
      <c r="I228" s="17" t="inlineStr">
        <is>
          <t>Cliente</t>
        </is>
      </c>
      <c r="J228" s="17" t="n"/>
      <c r="K228" s="17" t="n"/>
      <c r="L228" s="23" t="n"/>
      <c r="M228" s="17" t="n"/>
      <c r="N228" s="23" t="n"/>
      <c r="O228" s="17" t="n"/>
      <c r="P228" s="28">
        <f>IF(A228&lt;&gt;"OK","","SELECT cli_crear_clientes(p_codigo_interno =&gt; "&amp;IF(TRIM(N228&amp;"")="","NULL","'"&amp;SUBSTITUTE(TRIM(N228),"'","''")&amp;"'")&amp;", p_razon_social =&gt; "&amp;IF(TRIM(D228&amp;"")="","NULL","'"&amp;SUBSTITUTE(TRIM(D228),"'","''")&amp;"'")&amp;", p_id_tipo_cliente =&gt; "&amp;IF(TRIM(I228&amp;"")="","NULL","(SELECT lo.id FROM gen_lista_opciones lo JOIN gen_lista l ON l.id = lo.id_lista WHERE l.nombre = 'TipoCliente' AND upper(lo.nombre) = upper('"&amp;SUBSTITUTE(TRIM(I228),"'","''")&amp;"') AND lo.estado = 1 LIMIT 1)")&amp;", p_id_tipo_persona =&gt; "&amp;IF(TRIM(H228&amp;"")="","NULL","(SELECT lo.id FROM gen_lista_opciones lo JOIN gen_lista l ON l.id = lo.id_lista WHERE l.nombre = 'TipoPersona' AND upper(lo.nombre) = upper('"&amp;SUBSTITUTE(TRIM(H228),"'","''")&amp;"') AND lo.estado = 1 LIMIT 1)")&amp;", p_nombres =&gt; "&amp;IF(TRIM(E228&amp;"")="","NULL","'"&amp;SUBSTITUTE(TRIM(E228),"'","''")&amp;"'")&amp;", p_apellido_paterno =&gt; "&amp;IF(TRIM(F228&amp;"")="","NULL","'"&amp;SUBSTITUTE(TRIM(F228),"'","''")&amp;"'")&amp;", p_apellido_materno =&gt; "&amp;IF(TRIM(G228&amp;"")="","NULL","'"&amp;SUBSTITUTE(TRIM(G228),"'","''")&amp;"'")&amp;", p_id_tipo_documento =&gt; "&amp;IF(TRIM(B228&amp;"")="","NULL","(SELECT lo.id FROM gen_lista_opciones lo JOIN gen_lista l ON l.id = lo.id_lista WHERE l.nombre = 'TipoDocumento' AND upper(lo.nombre) = upper('"&amp;SUBSTITUTE(TRIM(B228),"'","''")&amp;"') AND lo.estado = 1 LIMIT 1)")&amp;", p_numero_documento =&gt; "&amp;IF(TRIM(C228&amp;"")="","NULL","'"&amp;SUBSTITUTE(TRIM(C228),"'","''")&amp;"'")&amp;", p_telefono =&gt; "&amp;IF(TRIM(L228&amp;"")="","NULL","'"&amp;SUBSTITUTE(TRIM(L228),"'","''")&amp;"'")&amp;", p_email =&gt; "&amp;IF(TRIM(M228&amp;"")="","NULL","'"&amp;SUBSTITUTE(TRIM(M228),"'","''")&amp;"'")&amp;", p_observacion =&gt; "&amp;IF(TRIM(O228&amp;"")="","NULL","'"&amp;SUBSTITUTE(TRIM(O228),"'","''")&amp;"'")&amp;", p_direccion =&gt; "&amp;IF(TRIM(J228&amp;"")="","NULL","'"&amp;SUBSTITUTE(TRIM(J228),"'","''")&amp;"'")&amp;", p_referencia =&gt; "&amp;IF(TRIM(K228&amp;"")="","NULL","'"&amp;SUBSTITUTE(TRIM(K228),"'","''")&amp;"'")&amp;") AS resultado_cliente_"&amp;ROW()&amp;";")</f>
        <v/>
      </c>
    </row>
    <row r="229" ht="15.75" customHeight="1" s="64">
      <c r="A229" s="25">
        <f>IF(AND(D229="",E229="",C229=""),"",IF(AND(D229="",E229=""),"FALTA razón social o nombres",IF(AND(C229&lt;&gt;"",SUMPRODUCT(--($C$5:$C$549=C229))&gt;1),"DOCUMENTO DUPLICADO",IF(AND(B229="DNI",C229&lt;&gt;"",LEN(C229&amp;"")&lt;&gt;8),"DNI debe tener 8 dígitos",IF(AND(B229="RUC",C229&lt;&gt;"",LEN(C229&amp;"")&lt;&gt;11),"RUC debe tener 11 dígitos",IF(AND(N229&lt;&gt;"",SUMPRODUCT(--($N$5:$N$549=N229))&gt;1),"CÓDIGO INTERNO DUPLICADO","OK"))))))</f>
        <v/>
      </c>
      <c r="B229" s="17" t="inlineStr">
        <is>
          <t>SD</t>
        </is>
      </c>
      <c r="C229" s="23" t="inlineStr">
        <is>
          <t>000057</t>
        </is>
      </c>
      <c r="D229" s="17" t="inlineStr">
        <is>
          <t>MOLINO LOS ANGELES</t>
        </is>
      </c>
      <c r="E229" s="17" t="n"/>
      <c r="F229" s="17" t="n"/>
      <c r="G229" s="17" t="n"/>
      <c r="H229" s="17" t="inlineStr">
        <is>
          <t>Persona Natural</t>
        </is>
      </c>
      <c r="I229" s="17" t="inlineStr">
        <is>
          <t>Cliente</t>
        </is>
      </c>
      <c r="J229" s="17" t="n"/>
      <c r="K229" s="17" t="n"/>
      <c r="L229" s="23" t="n"/>
      <c r="M229" s="17" t="n"/>
      <c r="N229" s="23" t="n"/>
      <c r="O229" s="17" t="n"/>
      <c r="P229" s="28">
        <f>IF(A229&lt;&gt;"OK","","SELECT cli_crear_clientes(p_codigo_interno =&gt; "&amp;IF(TRIM(N229&amp;"")="","NULL","'"&amp;SUBSTITUTE(TRIM(N229),"'","''")&amp;"'")&amp;", p_razon_social =&gt; "&amp;IF(TRIM(D229&amp;"")="","NULL","'"&amp;SUBSTITUTE(TRIM(D229),"'","''")&amp;"'")&amp;", p_id_tipo_cliente =&gt; "&amp;IF(TRIM(I229&amp;"")="","NULL","(SELECT lo.id FROM gen_lista_opciones lo JOIN gen_lista l ON l.id = lo.id_lista WHERE l.nombre = 'TipoCliente' AND upper(lo.nombre) = upper('"&amp;SUBSTITUTE(TRIM(I229),"'","''")&amp;"') AND lo.estado = 1 LIMIT 1)")&amp;", p_id_tipo_persona =&gt; "&amp;IF(TRIM(H229&amp;"")="","NULL","(SELECT lo.id FROM gen_lista_opciones lo JOIN gen_lista l ON l.id = lo.id_lista WHERE l.nombre = 'TipoPersona' AND upper(lo.nombre) = upper('"&amp;SUBSTITUTE(TRIM(H229),"'","''")&amp;"') AND lo.estado = 1 LIMIT 1)")&amp;", p_nombres =&gt; "&amp;IF(TRIM(E229&amp;"")="","NULL","'"&amp;SUBSTITUTE(TRIM(E229),"'","''")&amp;"'")&amp;", p_apellido_paterno =&gt; "&amp;IF(TRIM(F229&amp;"")="","NULL","'"&amp;SUBSTITUTE(TRIM(F229),"'","''")&amp;"'")&amp;", p_apellido_materno =&gt; "&amp;IF(TRIM(G229&amp;"")="","NULL","'"&amp;SUBSTITUTE(TRIM(G229),"'","''")&amp;"'")&amp;", p_id_tipo_documento =&gt; "&amp;IF(TRIM(B229&amp;"")="","NULL","(SELECT lo.id FROM gen_lista_opciones lo JOIN gen_lista l ON l.id = lo.id_lista WHERE l.nombre = 'TipoDocumento' AND upper(lo.nombre) = upper('"&amp;SUBSTITUTE(TRIM(B229),"'","''")&amp;"') AND lo.estado = 1 LIMIT 1)")&amp;", p_numero_documento =&gt; "&amp;IF(TRIM(C229&amp;"")="","NULL","'"&amp;SUBSTITUTE(TRIM(C229),"'","''")&amp;"'")&amp;", p_telefono =&gt; "&amp;IF(TRIM(L229&amp;"")="","NULL","'"&amp;SUBSTITUTE(TRIM(L229),"'","''")&amp;"'")&amp;", p_email =&gt; "&amp;IF(TRIM(M229&amp;"")="","NULL","'"&amp;SUBSTITUTE(TRIM(M229),"'","''")&amp;"'")&amp;", p_observacion =&gt; "&amp;IF(TRIM(O229&amp;"")="","NULL","'"&amp;SUBSTITUTE(TRIM(O229),"'","''")&amp;"'")&amp;", p_direccion =&gt; "&amp;IF(TRIM(J229&amp;"")="","NULL","'"&amp;SUBSTITUTE(TRIM(J229),"'","''")&amp;"'")&amp;", p_referencia =&gt; "&amp;IF(TRIM(K229&amp;"")="","NULL","'"&amp;SUBSTITUTE(TRIM(K229),"'","''")&amp;"'")&amp;") AS resultado_cliente_"&amp;ROW()&amp;";")</f>
        <v/>
      </c>
    </row>
    <row r="230" ht="15.75" customHeight="1" s="64">
      <c r="A230" s="25">
        <f>IF(AND(D230="",E230="",C230=""),"",IF(AND(D230="",E230=""),"FALTA razón social o nombres",IF(AND(C230&lt;&gt;"",SUMPRODUCT(--($C$5:$C$549=C230))&gt;1),"DOCUMENTO DUPLICADO",IF(AND(B230="DNI",C230&lt;&gt;"",LEN(C230&amp;"")&lt;&gt;8),"DNI debe tener 8 dígitos",IF(AND(B230="RUC",C230&lt;&gt;"",LEN(C230&amp;"")&lt;&gt;11),"RUC debe tener 11 dígitos",IF(AND(N230&lt;&gt;"",SUMPRODUCT(--($N$5:$N$549=N230))&gt;1),"CÓDIGO INTERNO DUPLICADO","OK"))))))</f>
        <v/>
      </c>
      <c r="B230" s="17" t="inlineStr">
        <is>
          <t>DNI</t>
        </is>
      </c>
      <c r="C230" s="23" t="inlineStr">
        <is>
          <t>16454507</t>
        </is>
      </c>
      <c r="D230" s="17" t="n"/>
      <c r="E230" s="17" t="inlineStr">
        <is>
          <t>AGUSTIN ELEUTERIO</t>
        </is>
      </c>
      <c r="F230" s="17" t="inlineStr">
        <is>
          <t>MONTALVO</t>
        </is>
      </c>
      <c r="G230" s="17" t="inlineStr">
        <is>
          <t>MUNDACA</t>
        </is>
      </c>
      <c r="H230" s="17" t="inlineStr">
        <is>
          <t>Persona Natural</t>
        </is>
      </c>
      <c r="I230" s="17" t="inlineStr">
        <is>
          <t>Cliente</t>
        </is>
      </c>
      <c r="J230" s="17" t="n"/>
      <c r="K230" s="17" t="n"/>
      <c r="L230" s="23" t="n"/>
      <c r="M230" s="17" t="n"/>
      <c r="N230" s="23" t="n"/>
      <c r="O230" s="17" t="n"/>
      <c r="P230" s="28">
        <f>IF(A230&lt;&gt;"OK","","SELECT cli_crear_clientes(p_codigo_interno =&gt; "&amp;IF(TRIM(N230&amp;"")="","NULL","'"&amp;SUBSTITUTE(TRIM(N230),"'","''")&amp;"'")&amp;", p_razon_social =&gt; "&amp;IF(TRIM(D230&amp;"")="","NULL","'"&amp;SUBSTITUTE(TRIM(D230),"'","''")&amp;"'")&amp;", p_id_tipo_cliente =&gt; "&amp;IF(TRIM(I230&amp;"")="","NULL","(SELECT lo.id FROM gen_lista_opciones lo JOIN gen_lista l ON l.id = lo.id_lista WHERE l.nombre = 'TipoCliente' AND upper(lo.nombre) = upper('"&amp;SUBSTITUTE(TRIM(I230),"'","''")&amp;"') AND lo.estado = 1 LIMIT 1)")&amp;", p_id_tipo_persona =&gt; "&amp;IF(TRIM(H230&amp;"")="","NULL","(SELECT lo.id FROM gen_lista_opciones lo JOIN gen_lista l ON l.id = lo.id_lista WHERE l.nombre = 'TipoPersona' AND upper(lo.nombre) = upper('"&amp;SUBSTITUTE(TRIM(H230),"'","''")&amp;"') AND lo.estado = 1 LIMIT 1)")&amp;", p_nombres =&gt; "&amp;IF(TRIM(E230&amp;"")="","NULL","'"&amp;SUBSTITUTE(TRIM(E230),"'","''")&amp;"'")&amp;", p_apellido_paterno =&gt; "&amp;IF(TRIM(F230&amp;"")="","NULL","'"&amp;SUBSTITUTE(TRIM(F230),"'","''")&amp;"'")&amp;", p_apellido_materno =&gt; "&amp;IF(TRIM(G230&amp;"")="","NULL","'"&amp;SUBSTITUTE(TRIM(G230),"'","''")&amp;"'")&amp;", p_id_tipo_documento =&gt; "&amp;IF(TRIM(B230&amp;"")="","NULL","(SELECT lo.id FROM gen_lista_opciones lo JOIN gen_lista l ON l.id = lo.id_lista WHERE l.nombre = 'TipoDocumento' AND upper(lo.nombre) = upper('"&amp;SUBSTITUTE(TRIM(B230),"'","''")&amp;"') AND lo.estado = 1 LIMIT 1)")&amp;", p_numero_documento =&gt; "&amp;IF(TRIM(C230&amp;"")="","NULL","'"&amp;SUBSTITUTE(TRIM(C230),"'","''")&amp;"'")&amp;", p_telefono =&gt; "&amp;IF(TRIM(L230&amp;"")="","NULL","'"&amp;SUBSTITUTE(TRIM(L230),"'","''")&amp;"'")&amp;", p_email =&gt; "&amp;IF(TRIM(M230&amp;"")="","NULL","'"&amp;SUBSTITUTE(TRIM(M230),"'","''")&amp;"'")&amp;", p_observacion =&gt; "&amp;IF(TRIM(O230&amp;"")="","NULL","'"&amp;SUBSTITUTE(TRIM(O230),"'","''")&amp;"'")&amp;", p_direccion =&gt; "&amp;IF(TRIM(J230&amp;"")="","NULL","'"&amp;SUBSTITUTE(TRIM(J230),"'","''")&amp;"'")&amp;", p_referencia =&gt; "&amp;IF(TRIM(K230&amp;"")="","NULL","'"&amp;SUBSTITUTE(TRIM(K230),"'","''")&amp;"'")&amp;") AS resultado_cliente_"&amp;ROW()&amp;";")</f>
        <v/>
      </c>
    </row>
    <row r="231" ht="15.75" customHeight="1" s="64">
      <c r="A231" s="25">
        <f>IF(AND(D231="",E231="",C231=""),"",IF(AND(D231="",E231=""),"FALTA razón social o nombres",IF(AND(C231&lt;&gt;"",SUMPRODUCT(--($C$5:$C$549=C231))&gt;1),"DOCUMENTO DUPLICADO",IF(AND(B231="DNI",C231&lt;&gt;"",LEN(C231&amp;"")&lt;&gt;8),"DNI debe tener 8 dígitos",IF(AND(B231="RUC",C231&lt;&gt;"",LEN(C231&amp;"")&lt;&gt;11),"RUC debe tener 11 dígitos",IF(AND(N231&lt;&gt;"",SUMPRODUCT(--($N$5:$N$549=N231))&gt;1),"CÓDIGO INTERNO DUPLICADO","OK"))))))</f>
        <v/>
      </c>
      <c r="B231" s="17" t="inlineStr">
        <is>
          <t>DNI</t>
        </is>
      </c>
      <c r="C231" s="23" t="inlineStr">
        <is>
          <t>47892541</t>
        </is>
      </c>
      <c r="D231" s="17" t="n"/>
      <c r="E231" s="17" t="inlineStr">
        <is>
          <t>RIGOBERTO</t>
        </is>
      </c>
      <c r="F231" s="17" t="inlineStr">
        <is>
          <t>MONTEZA</t>
        </is>
      </c>
      <c r="G231" s="17" t="inlineStr">
        <is>
          <t>DIAZ</t>
        </is>
      </c>
      <c r="H231" s="17" t="inlineStr">
        <is>
          <t>Persona Natural</t>
        </is>
      </c>
      <c r="I231" s="17" t="inlineStr">
        <is>
          <t>Cliente</t>
        </is>
      </c>
      <c r="J231" s="17" t="n"/>
      <c r="K231" s="17" t="n"/>
      <c r="L231" s="23" t="n"/>
      <c r="M231" s="17" t="n"/>
      <c r="N231" s="23" t="n"/>
      <c r="O231" s="17" t="n"/>
      <c r="P231" s="28">
        <f>IF(A231&lt;&gt;"OK","","SELECT cli_crear_clientes(p_codigo_interno =&gt; "&amp;IF(TRIM(N231&amp;"")="","NULL","'"&amp;SUBSTITUTE(TRIM(N231),"'","''")&amp;"'")&amp;", p_razon_social =&gt; "&amp;IF(TRIM(D231&amp;"")="","NULL","'"&amp;SUBSTITUTE(TRIM(D231),"'","''")&amp;"'")&amp;", p_id_tipo_cliente =&gt; "&amp;IF(TRIM(I231&amp;"")="","NULL","(SELECT lo.id FROM gen_lista_opciones lo JOIN gen_lista l ON l.id = lo.id_lista WHERE l.nombre = 'TipoCliente' AND upper(lo.nombre) = upper('"&amp;SUBSTITUTE(TRIM(I231),"'","''")&amp;"') AND lo.estado = 1 LIMIT 1)")&amp;", p_id_tipo_persona =&gt; "&amp;IF(TRIM(H231&amp;"")="","NULL","(SELECT lo.id FROM gen_lista_opciones lo JOIN gen_lista l ON l.id = lo.id_lista WHERE l.nombre = 'TipoPersona' AND upper(lo.nombre) = upper('"&amp;SUBSTITUTE(TRIM(H231),"'","''")&amp;"') AND lo.estado = 1 LIMIT 1)")&amp;", p_nombres =&gt; "&amp;IF(TRIM(E231&amp;"")="","NULL","'"&amp;SUBSTITUTE(TRIM(E231),"'","''")&amp;"'")&amp;", p_apellido_paterno =&gt; "&amp;IF(TRIM(F231&amp;"")="","NULL","'"&amp;SUBSTITUTE(TRIM(F231),"'","''")&amp;"'")&amp;", p_apellido_materno =&gt; "&amp;IF(TRIM(G231&amp;"")="","NULL","'"&amp;SUBSTITUTE(TRIM(G231),"'","''")&amp;"'")&amp;", p_id_tipo_documento =&gt; "&amp;IF(TRIM(B231&amp;"")="","NULL","(SELECT lo.id FROM gen_lista_opciones lo JOIN gen_lista l ON l.id = lo.id_lista WHERE l.nombre = 'TipoDocumento' AND upper(lo.nombre) = upper('"&amp;SUBSTITUTE(TRIM(B231),"'","''")&amp;"') AND lo.estado = 1 LIMIT 1)")&amp;", p_numero_documento =&gt; "&amp;IF(TRIM(C231&amp;"")="","NULL","'"&amp;SUBSTITUTE(TRIM(C231),"'","''")&amp;"'")&amp;", p_telefono =&gt; "&amp;IF(TRIM(L231&amp;"")="","NULL","'"&amp;SUBSTITUTE(TRIM(L231),"'","''")&amp;"'")&amp;", p_email =&gt; "&amp;IF(TRIM(M231&amp;"")="","NULL","'"&amp;SUBSTITUTE(TRIM(M231),"'","''")&amp;"'")&amp;", p_observacion =&gt; "&amp;IF(TRIM(O231&amp;"")="","NULL","'"&amp;SUBSTITUTE(TRIM(O231),"'","''")&amp;"'")&amp;", p_direccion =&gt; "&amp;IF(TRIM(J231&amp;"")="","NULL","'"&amp;SUBSTITUTE(TRIM(J231),"'","''")&amp;"'")&amp;", p_referencia =&gt; "&amp;IF(TRIM(K231&amp;"")="","NULL","'"&amp;SUBSTITUTE(TRIM(K231),"'","''")&amp;"'")&amp;") AS resultado_cliente_"&amp;ROW()&amp;";")</f>
        <v/>
      </c>
    </row>
    <row r="232" ht="15.75" customHeight="1" s="64">
      <c r="A232" s="25">
        <f>IF(AND(D232="",E232="",C232=""),"",IF(AND(D232="",E232=""),"FALTA razón social o nombres",IF(AND(C232&lt;&gt;"",SUMPRODUCT(--($C$5:$C$549=C232))&gt;1),"DOCUMENTO DUPLICADO",IF(AND(B232="DNI",C232&lt;&gt;"",LEN(C232&amp;"")&lt;&gt;8),"DNI debe tener 8 dígitos",IF(AND(B232="RUC",C232&lt;&gt;"",LEN(C232&amp;"")&lt;&gt;11),"RUC debe tener 11 dígitos",IF(AND(N232&lt;&gt;"",SUMPRODUCT(--($N$5:$N$549=N232))&gt;1),"CÓDIGO INTERNO DUPLICADO","OK"))))))</f>
        <v/>
      </c>
      <c r="B232" s="17" t="inlineStr">
        <is>
          <t>RUC</t>
        </is>
      </c>
      <c r="C232" s="23" t="inlineStr">
        <is>
          <t>20609158264</t>
        </is>
      </c>
      <c r="D232" s="17" t="inlineStr">
        <is>
          <t>MULTISERVICIOS Y RECTIFICACIONES JONATHAN SAC</t>
        </is>
      </c>
      <c r="E232" s="17" t="n"/>
      <c r="F232" s="17" t="n"/>
      <c r="G232" s="17" t="n"/>
      <c r="H232" s="17" t="inlineStr">
        <is>
          <t>Persona Natural</t>
        </is>
      </c>
      <c r="I232" s="17" t="inlineStr">
        <is>
          <t>Cliente</t>
        </is>
      </c>
      <c r="J232" s="17" t="n"/>
      <c r="K232" s="17" t="n"/>
      <c r="L232" s="23" t="n"/>
      <c r="M232" s="17" t="n"/>
      <c r="N232" s="23" t="n"/>
      <c r="O232" s="17" t="n"/>
      <c r="P232" s="28">
        <f>IF(A232&lt;&gt;"OK","","SELECT cli_crear_clientes(p_codigo_interno =&gt; "&amp;IF(TRIM(N232&amp;"")="","NULL","'"&amp;SUBSTITUTE(TRIM(N232),"'","''")&amp;"'")&amp;", p_razon_social =&gt; "&amp;IF(TRIM(D232&amp;"")="","NULL","'"&amp;SUBSTITUTE(TRIM(D232),"'","''")&amp;"'")&amp;", p_id_tipo_cliente =&gt; "&amp;IF(TRIM(I232&amp;"")="","NULL","(SELECT lo.id FROM gen_lista_opciones lo JOIN gen_lista l ON l.id = lo.id_lista WHERE l.nombre = 'TipoCliente' AND upper(lo.nombre) = upper('"&amp;SUBSTITUTE(TRIM(I232),"'","''")&amp;"') AND lo.estado = 1 LIMIT 1)")&amp;", p_id_tipo_persona =&gt; "&amp;IF(TRIM(H232&amp;"")="","NULL","(SELECT lo.id FROM gen_lista_opciones lo JOIN gen_lista l ON l.id = lo.id_lista WHERE l.nombre = 'TipoPersona' AND upper(lo.nombre) = upper('"&amp;SUBSTITUTE(TRIM(H232),"'","''")&amp;"') AND lo.estado = 1 LIMIT 1)")&amp;", p_nombres =&gt; "&amp;IF(TRIM(E232&amp;"")="","NULL","'"&amp;SUBSTITUTE(TRIM(E232),"'","''")&amp;"'")&amp;", p_apellido_paterno =&gt; "&amp;IF(TRIM(F232&amp;"")="","NULL","'"&amp;SUBSTITUTE(TRIM(F232),"'","''")&amp;"'")&amp;", p_apellido_materno =&gt; "&amp;IF(TRIM(G232&amp;"")="","NULL","'"&amp;SUBSTITUTE(TRIM(G232),"'","''")&amp;"'")&amp;", p_id_tipo_documento =&gt; "&amp;IF(TRIM(B232&amp;"")="","NULL","(SELECT lo.id FROM gen_lista_opciones lo JOIN gen_lista l ON l.id = lo.id_lista WHERE l.nombre = 'TipoDocumento' AND upper(lo.nombre) = upper('"&amp;SUBSTITUTE(TRIM(B232),"'","''")&amp;"') AND lo.estado = 1 LIMIT 1)")&amp;", p_numero_documento =&gt; "&amp;IF(TRIM(C232&amp;"")="","NULL","'"&amp;SUBSTITUTE(TRIM(C232),"'","''")&amp;"'")&amp;", p_telefono =&gt; "&amp;IF(TRIM(L232&amp;"")="","NULL","'"&amp;SUBSTITUTE(TRIM(L232),"'","''")&amp;"'")&amp;", p_email =&gt; "&amp;IF(TRIM(M232&amp;"")="","NULL","'"&amp;SUBSTITUTE(TRIM(M232),"'","''")&amp;"'")&amp;", p_observacion =&gt; "&amp;IF(TRIM(O232&amp;"")="","NULL","'"&amp;SUBSTITUTE(TRIM(O232),"'","''")&amp;"'")&amp;", p_direccion =&gt; "&amp;IF(TRIM(J232&amp;"")="","NULL","'"&amp;SUBSTITUTE(TRIM(J232),"'","''")&amp;"'")&amp;", p_referencia =&gt; "&amp;IF(TRIM(K232&amp;"")="","NULL","'"&amp;SUBSTITUTE(TRIM(K232),"'","''")&amp;"'")&amp;") AS resultado_cliente_"&amp;ROW()&amp;";")</f>
        <v/>
      </c>
    </row>
    <row r="233" ht="15.75" customHeight="1" s="64">
      <c r="A233" s="25">
        <f>IF(AND(D233="",E233="",C233=""),"",IF(AND(D233="",E233=""),"FALTA razón social o nombres",IF(AND(C233&lt;&gt;"",SUMPRODUCT(--($C$5:$C$549=C233))&gt;1),"DOCUMENTO DUPLICADO",IF(AND(B233="DNI",C233&lt;&gt;"",LEN(C233&amp;"")&lt;&gt;8),"DNI debe tener 8 dígitos",IF(AND(B233="RUC",C233&lt;&gt;"",LEN(C233&amp;"")&lt;&gt;11),"RUC debe tener 11 dígitos",IF(AND(N233&lt;&gt;"",SUMPRODUCT(--($N$5:$N$549=N233))&gt;1),"CÓDIGO INTERNO DUPLICADO","OK"))))))</f>
        <v/>
      </c>
      <c r="B233" s="17" t="inlineStr">
        <is>
          <t>RUC</t>
        </is>
      </c>
      <c r="C233" s="23" t="inlineStr">
        <is>
          <t>20601042151</t>
        </is>
      </c>
      <c r="D233" s="17" t="inlineStr">
        <is>
          <t>NEFRO CIX S.A.C.</t>
        </is>
      </c>
      <c r="E233" s="17" t="n"/>
      <c r="F233" s="17" t="n"/>
      <c r="G233" s="17" t="n"/>
      <c r="H233" s="17" t="inlineStr">
        <is>
          <t>Persona Jurídica</t>
        </is>
      </c>
      <c r="I233" s="17" t="inlineStr">
        <is>
          <t>Cliente</t>
        </is>
      </c>
      <c r="J233" s="17" t="n"/>
      <c r="K233" s="17" t="n"/>
      <c r="L233" s="23" t="n"/>
      <c r="M233" s="17" t="n"/>
      <c r="N233" s="23" t="n"/>
      <c r="O233" s="17" t="n"/>
      <c r="P233" s="28">
        <f>IF(A233&lt;&gt;"OK","","SELECT cli_crear_clientes(p_codigo_interno =&gt; "&amp;IF(TRIM(N233&amp;"")="","NULL","'"&amp;SUBSTITUTE(TRIM(N233),"'","''")&amp;"'")&amp;", p_razon_social =&gt; "&amp;IF(TRIM(D233&amp;"")="","NULL","'"&amp;SUBSTITUTE(TRIM(D233),"'","''")&amp;"'")&amp;", p_id_tipo_cliente =&gt; "&amp;IF(TRIM(I233&amp;"")="","NULL","(SELECT lo.id FROM gen_lista_opciones lo JOIN gen_lista l ON l.id = lo.id_lista WHERE l.nombre = 'TipoCliente' AND upper(lo.nombre) = upper('"&amp;SUBSTITUTE(TRIM(I233),"'","''")&amp;"') AND lo.estado = 1 LIMIT 1)")&amp;", p_id_tipo_persona =&gt; "&amp;IF(TRIM(H233&amp;"")="","NULL","(SELECT lo.id FROM gen_lista_opciones lo JOIN gen_lista l ON l.id = lo.id_lista WHERE l.nombre = 'TipoPersona' AND upper(lo.nombre) = upper('"&amp;SUBSTITUTE(TRIM(H233),"'","''")&amp;"') AND lo.estado = 1 LIMIT 1)")&amp;", p_nombres =&gt; "&amp;IF(TRIM(E233&amp;"")="","NULL","'"&amp;SUBSTITUTE(TRIM(E233),"'","''")&amp;"'")&amp;", p_apellido_paterno =&gt; "&amp;IF(TRIM(F233&amp;"")="","NULL","'"&amp;SUBSTITUTE(TRIM(F233),"'","''")&amp;"'")&amp;", p_apellido_materno =&gt; "&amp;IF(TRIM(G233&amp;"")="","NULL","'"&amp;SUBSTITUTE(TRIM(G233),"'","''")&amp;"'")&amp;", p_id_tipo_documento =&gt; "&amp;IF(TRIM(B233&amp;"")="","NULL","(SELECT lo.id FROM gen_lista_opciones lo JOIN gen_lista l ON l.id = lo.id_lista WHERE l.nombre = 'TipoDocumento' AND upper(lo.nombre) = upper('"&amp;SUBSTITUTE(TRIM(B233),"'","''")&amp;"') AND lo.estado = 1 LIMIT 1)")&amp;", p_numero_documento =&gt; "&amp;IF(TRIM(C233&amp;"")="","NULL","'"&amp;SUBSTITUTE(TRIM(C233),"'","''")&amp;"'")&amp;", p_telefono =&gt; "&amp;IF(TRIM(L233&amp;"")="","NULL","'"&amp;SUBSTITUTE(TRIM(L233),"'","''")&amp;"'")&amp;", p_email =&gt; "&amp;IF(TRIM(M233&amp;"")="","NULL","'"&amp;SUBSTITUTE(TRIM(M233),"'","''")&amp;"'")&amp;", p_observacion =&gt; "&amp;IF(TRIM(O233&amp;"")="","NULL","'"&amp;SUBSTITUTE(TRIM(O233),"'","''")&amp;"'")&amp;", p_direccion =&gt; "&amp;IF(TRIM(J233&amp;"")="","NULL","'"&amp;SUBSTITUTE(TRIM(J233),"'","''")&amp;"'")&amp;", p_referencia =&gt; "&amp;IF(TRIM(K233&amp;"")="","NULL","'"&amp;SUBSTITUTE(TRIM(K233),"'","''")&amp;"'")&amp;") AS resultado_cliente_"&amp;ROW()&amp;";")</f>
        <v/>
      </c>
    </row>
    <row r="234" ht="15.75" customHeight="1" s="64">
      <c r="A234" s="25">
        <f>IF(AND(D234="",E234="",C234=""),"",IF(AND(D234="",E234=""),"FALTA razón social o nombres",IF(AND(C234&lt;&gt;"",SUMPRODUCT(--($C$5:$C$549=C234))&gt;1),"DOCUMENTO DUPLICADO",IF(AND(B234="DNI",C234&lt;&gt;"",LEN(C234&amp;"")&lt;&gt;8),"DNI debe tener 8 dígitos",IF(AND(B234="RUC",C234&lt;&gt;"",LEN(C234&amp;"")&lt;&gt;11),"RUC debe tener 11 dígitos",IF(AND(N234&lt;&gt;"",SUMPRODUCT(--($N$5:$N$549=N234))&gt;1),"CÓDIGO INTERNO DUPLICADO","OK"))))))</f>
        <v/>
      </c>
      <c r="B234" s="17" t="inlineStr">
        <is>
          <t>RUC</t>
        </is>
      </c>
      <c r="C234" s="23" t="inlineStr">
        <is>
          <t>20516367670</t>
        </is>
      </c>
      <c r="D234" s="17" t="inlineStr">
        <is>
          <t>OXYMAN COMERCIAL S.A.C.</t>
        </is>
      </c>
      <c r="E234" s="17" t="n"/>
      <c r="F234" s="17" t="n"/>
      <c r="G234" s="17" t="n"/>
      <c r="H234" s="17" t="inlineStr">
        <is>
          <t>Persona Jurídica</t>
        </is>
      </c>
      <c r="I234" s="17" t="inlineStr">
        <is>
          <t>Cliente</t>
        </is>
      </c>
      <c r="J234" s="17" t="n"/>
      <c r="K234" s="17" t="n"/>
      <c r="L234" s="23" t="n"/>
      <c r="M234" s="17" t="n"/>
      <c r="N234" s="23" t="n"/>
      <c r="O234" s="17" t="n"/>
      <c r="P234" s="28">
        <f>IF(A234&lt;&gt;"OK","","SELECT cli_crear_clientes(p_codigo_interno =&gt; "&amp;IF(TRIM(N234&amp;"")="","NULL","'"&amp;SUBSTITUTE(TRIM(N234),"'","''")&amp;"'")&amp;", p_razon_social =&gt; "&amp;IF(TRIM(D234&amp;"")="","NULL","'"&amp;SUBSTITUTE(TRIM(D234),"'","''")&amp;"'")&amp;", p_id_tipo_cliente =&gt; "&amp;IF(TRIM(I234&amp;"")="","NULL","(SELECT lo.id FROM gen_lista_opciones lo JOIN gen_lista l ON l.id = lo.id_lista WHERE l.nombre = 'TipoCliente' AND upper(lo.nombre) = upper('"&amp;SUBSTITUTE(TRIM(I234),"'","''")&amp;"') AND lo.estado = 1 LIMIT 1)")&amp;", p_id_tipo_persona =&gt; "&amp;IF(TRIM(H234&amp;"")="","NULL","(SELECT lo.id FROM gen_lista_opciones lo JOIN gen_lista l ON l.id = lo.id_lista WHERE l.nombre = 'TipoPersona' AND upper(lo.nombre) = upper('"&amp;SUBSTITUTE(TRIM(H234),"'","''")&amp;"') AND lo.estado = 1 LIMIT 1)")&amp;", p_nombres =&gt; "&amp;IF(TRIM(E234&amp;"")="","NULL","'"&amp;SUBSTITUTE(TRIM(E234),"'","''")&amp;"'")&amp;", p_apellido_paterno =&gt; "&amp;IF(TRIM(F234&amp;"")="","NULL","'"&amp;SUBSTITUTE(TRIM(F234),"'","''")&amp;"'")&amp;", p_apellido_materno =&gt; "&amp;IF(TRIM(G234&amp;"")="","NULL","'"&amp;SUBSTITUTE(TRIM(G234),"'","''")&amp;"'")&amp;", p_id_tipo_documento =&gt; "&amp;IF(TRIM(B234&amp;"")="","NULL","(SELECT lo.id FROM gen_lista_opciones lo JOIN gen_lista l ON l.id = lo.id_lista WHERE l.nombre = 'TipoDocumento' AND upper(lo.nombre) = upper('"&amp;SUBSTITUTE(TRIM(B234),"'","''")&amp;"') AND lo.estado = 1 LIMIT 1)")&amp;", p_numero_documento =&gt; "&amp;IF(TRIM(C234&amp;"")="","NULL","'"&amp;SUBSTITUTE(TRIM(C234),"'","''")&amp;"'")&amp;", p_telefono =&gt; "&amp;IF(TRIM(L234&amp;"")="","NULL","'"&amp;SUBSTITUTE(TRIM(L234),"'","''")&amp;"'")&amp;", p_email =&gt; "&amp;IF(TRIM(M234&amp;"")="","NULL","'"&amp;SUBSTITUTE(TRIM(M234),"'","''")&amp;"'")&amp;", p_observacion =&gt; "&amp;IF(TRIM(O234&amp;"")="","NULL","'"&amp;SUBSTITUTE(TRIM(O234),"'","''")&amp;"'")&amp;", p_direccion =&gt; "&amp;IF(TRIM(J234&amp;"")="","NULL","'"&amp;SUBSTITUTE(TRIM(J234),"'","''")&amp;"'")&amp;", p_referencia =&gt; "&amp;IF(TRIM(K234&amp;"")="","NULL","'"&amp;SUBSTITUTE(TRIM(K234),"'","''")&amp;"'")&amp;") AS resultado_cliente_"&amp;ROW()&amp;";")</f>
        <v/>
      </c>
    </row>
    <row r="235" ht="15.75" customHeight="1" s="64">
      <c r="A235" s="25">
        <f>IF(AND(D235="",E235="",C235=""),"",IF(AND(D235="",E235=""),"FALTA razón social o nombres",IF(AND(C235&lt;&gt;"",SUMPRODUCT(--($C$5:$C$549=C235))&gt;1),"DOCUMENTO DUPLICADO",IF(AND(B235="DNI",C235&lt;&gt;"",LEN(C235&amp;"")&lt;&gt;8),"DNI debe tener 8 dígitos",IF(AND(B235="RUC",C235&lt;&gt;"",LEN(C235&amp;"")&lt;&gt;11),"RUC debe tener 11 dígitos",IF(AND(N235&lt;&gt;"",SUMPRODUCT(--($N$5:$N$549=N235))&gt;1),"CÓDIGO INTERNO DUPLICADO","OK"))))))</f>
        <v/>
      </c>
      <c r="B235" s="17" t="inlineStr">
        <is>
          <t>SD</t>
        </is>
      </c>
      <c r="C235" s="23" t="inlineStr">
        <is>
          <t>000058</t>
        </is>
      </c>
      <c r="D235" s="17" t="n"/>
      <c r="E235" s="17" t="inlineStr">
        <is>
          <t>ARON</t>
        </is>
      </c>
      <c r="F235" s="17" t="inlineStr">
        <is>
          <t>PAZ</t>
        </is>
      </c>
      <c r="G235" s="17" t="n"/>
      <c r="H235" s="17" t="inlineStr">
        <is>
          <t>Persona Natural</t>
        </is>
      </c>
      <c r="I235" s="17" t="inlineStr">
        <is>
          <t>Cliente</t>
        </is>
      </c>
      <c r="J235" s="17" t="n"/>
      <c r="K235" s="17" t="n"/>
      <c r="L235" s="23" t="n"/>
      <c r="M235" s="17" t="n"/>
      <c r="N235" s="23" t="n"/>
      <c r="O235" s="17" t="n"/>
      <c r="P235" s="28">
        <f>IF(A235&lt;&gt;"OK","","SELECT cli_crear_clientes(p_codigo_interno =&gt; "&amp;IF(TRIM(N235&amp;"")="","NULL","'"&amp;SUBSTITUTE(TRIM(N235),"'","''")&amp;"'")&amp;", p_razon_social =&gt; "&amp;IF(TRIM(D235&amp;"")="","NULL","'"&amp;SUBSTITUTE(TRIM(D235),"'","''")&amp;"'")&amp;", p_id_tipo_cliente =&gt; "&amp;IF(TRIM(I235&amp;"")="","NULL","(SELECT lo.id FROM gen_lista_opciones lo JOIN gen_lista l ON l.id = lo.id_lista WHERE l.nombre = 'TipoCliente' AND upper(lo.nombre) = upper('"&amp;SUBSTITUTE(TRIM(I235),"'","''")&amp;"') AND lo.estado = 1 LIMIT 1)")&amp;", p_id_tipo_persona =&gt; "&amp;IF(TRIM(H235&amp;"")="","NULL","(SELECT lo.id FROM gen_lista_opciones lo JOIN gen_lista l ON l.id = lo.id_lista WHERE l.nombre = 'TipoPersona' AND upper(lo.nombre) = upper('"&amp;SUBSTITUTE(TRIM(H235),"'","''")&amp;"') AND lo.estado = 1 LIMIT 1)")&amp;", p_nombres =&gt; "&amp;IF(TRIM(E235&amp;"")="","NULL","'"&amp;SUBSTITUTE(TRIM(E235),"'","''")&amp;"'")&amp;", p_apellido_paterno =&gt; "&amp;IF(TRIM(F235&amp;"")="","NULL","'"&amp;SUBSTITUTE(TRIM(F235),"'","''")&amp;"'")&amp;", p_apellido_materno =&gt; "&amp;IF(TRIM(G235&amp;"")="","NULL","'"&amp;SUBSTITUTE(TRIM(G235),"'","''")&amp;"'")&amp;", p_id_tipo_documento =&gt; "&amp;IF(TRIM(B235&amp;"")="","NULL","(SELECT lo.id FROM gen_lista_opciones lo JOIN gen_lista l ON l.id = lo.id_lista WHERE l.nombre = 'TipoDocumento' AND upper(lo.nombre) = upper('"&amp;SUBSTITUTE(TRIM(B235),"'","''")&amp;"') AND lo.estado = 1 LIMIT 1)")&amp;", p_numero_documento =&gt; "&amp;IF(TRIM(C235&amp;"")="","NULL","'"&amp;SUBSTITUTE(TRIM(C235),"'","''")&amp;"'")&amp;", p_telefono =&gt; "&amp;IF(TRIM(L235&amp;"")="","NULL","'"&amp;SUBSTITUTE(TRIM(L235),"'","''")&amp;"'")&amp;", p_email =&gt; "&amp;IF(TRIM(M235&amp;"")="","NULL","'"&amp;SUBSTITUTE(TRIM(M235),"'","''")&amp;"'")&amp;", p_observacion =&gt; "&amp;IF(TRIM(O235&amp;"")="","NULL","'"&amp;SUBSTITUTE(TRIM(O235),"'","''")&amp;"'")&amp;", p_direccion =&gt; "&amp;IF(TRIM(J235&amp;"")="","NULL","'"&amp;SUBSTITUTE(TRIM(J235),"'","''")&amp;"'")&amp;", p_referencia =&gt; "&amp;IF(TRIM(K235&amp;"")="","NULL","'"&amp;SUBSTITUTE(TRIM(K235),"'","''")&amp;"'")&amp;") AS resultado_cliente_"&amp;ROW()&amp;";")</f>
        <v/>
      </c>
    </row>
    <row r="236" ht="15.75" customHeight="1" s="64">
      <c r="A236" s="25">
        <f>IF(AND(D236="",E236="",C236=""),"",IF(AND(D236="",E236=""),"FALTA razón social o nombres",IF(AND(C236&lt;&gt;"",SUMPRODUCT(--($C$5:$C$549=C236))&gt;1),"DOCUMENTO DUPLICADO",IF(AND(B236="DNI",C236&lt;&gt;"",LEN(C236&amp;"")&lt;&gt;8),"DNI debe tener 8 dígitos",IF(AND(B236="RUC",C236&lt;&gt;"",LEN(C236&amp;"")&lt;&gt;11),"RUC debe tener 11 dígitos",IF(AND(N236&lt;&gt;"",SUMPRODUCT(--($N$5:$N$549=N236))&gt;1),"CÓDIGO INTERNO DUPLICADO","OK"))))))</f>
        <v/>
      </c>
      <c r="B236" s="17" t="inlineStr">
        <is>
          <t>DNI</t>
        </is>
      </c>
      <c r="C236" s="23" t="inlineStr">
        <is>
          <t>45831341</t>
        </is>
      </c>
      <c r="D236" s="17" t="n"/>
      <c r="E236" s="17" t="inlineStr">
        <is>
          <t>GUSTAVO ALFREDO</t>
        </is>
      </c>
      <c r="F236" s="17" t="inlineStr">
        <is>
          <t>PEREZ</t>
        </is>
      </c>
      <c r="G236" s="17" t="inlineStr">
        <is>
          <t>BUSTAMANTE</t>
        </is>
      </c>
      <c r="H236" s="17" t="inlineStr">
        <is>
          <t>Persona Natural</t>
        </is>
      </c>
      <c r="I236" s="17" t="inlineStr">
        <is>
          <t>Cliente</t>
        </is>
      </c>
      <c r="J236" s="17" t="n"/>
      <c r="K236" s="17" t="n"/>
      <c r="L236" s="23" t="n"/>
      <c r="M236" s="17" t="n"/>
      <c r="N236" s="23" t="n"/>
      <c r="O236" s="17" t="n"/>
      <c r="P236" s="28">
        <f>IF(A236&lt;&gt;"OK","","SELECT cli_crear_clientes(p_codigo_interno =&gt; "&amp;IF(TRIM(N236&amp;"")="","NULL","'"&amp;SUBSTITUTE(TRIM(N236),"'","''")&amp;"'")&amp;", p_razon_social =&gt; "&amp;IF(TRIM(D236&amp;"")="","NULL","'"&amp;SUBSTITUTE(TRIM(D236),"'","''")&amp;"'")&amp;", p_id_tipo_cliente =&gt; "&amp;IF(TRIM(I236&amp;"")="","NULL","(SELECT lo.id FROM gen_lista_opciones lo JOIN gen_lista l ON l.id = lo.id_lista WHERE l.nombre = 'TipoCliente' AND upper(lo.nombre) = upper('"&amp;SUBSTITUTE(TRIM(I236),"'","''")&amp;"') AND lo.estado = 1 LIMIT 1)")&amp;", p_id_tipo_persona =&gt; "&amp;IF(TRIM(H236&amp;"")="","NULL","(SELECT lo.id FROM gen_lista_opciones lo JOIN gen_lista l ON l.id = lo.id_lista WHERE l.nombre = 'TipoPersona' AND upper(lo.nombre) = upper('"&amp;SUBSTITUTE(TRIM(H236),"'","''")&amp;"') AND lo.estado = 1 LIMIT 1)")&amp;", p_nombres =&gt; "&amp;IF(TRIM(E236&amp;"")="","NULL","'"&amp;SUBSTITUTE(TRIM(E236),"'","''")&amp;"'")&amp;", p_apellido_paterno =&gt; "&amp;IF(TRIM(F236&amp;"")="","NULL","'"&amp;SUBSTITUTE(TRIM(F236),"'","''")&amp;"'")&amp;", p_apellido_materno =&gt; "&amp;IF(TRIM(G236&amp;"")="","NULL","'"&amp;SUBSTITUTE(TRIM(G236),"'","''")&amp;"'")&amp;", p_id_tipo_documento =&gt; "&amp;IF(TRIM(B236&amp;"")="","NULL","(SELECT lo.id FROM gen_lista_opciones lo JOIN gen_lista l ON l.id = lo.id_lista WHERE l.nombre = 'TipoDocumento' AND upper(lo.nombre) = upper('"&amp;SUBSTITUTE(TRIM(B236),"'","''")&amp;"') AND lo.estado = 1 LIMIT 1)")&amp;", p_numero_documento =&gt; "&amp;IF(TRIM(C236&amp;"")="","NULL","'"&amp;SUBSTITUTE(TRIM(C236),"'","''")&amp;"'")&amp;", p_telefono =&gt; "&amp;IF(TRIM(L236&amp;"")="","NULL","'"&amp;SUBSTITUTE(TRIM(L236),"'","''")&amp;"'")&amp;", p_email =&gt; "&amp;IF(TRIM(M236&amp;"")="","NULL","'"&amp;SUBSTITUTE(TRIM(M236),"'","''")&amp;"'")&amp;", p_observacion =&gt; "&amp;IF(TRIM(O236&amp;"")="","NULL","'"&amp;SUBSTITUTE(TRIM(O236),"'","''")&amp;"'")&amp;", p_direccion =&gt; "&amp;IF(TRIM(J236&amp;"")="","NULL","'"&amp;SUBSTITUTE(TRIM(J236),"'","''")&amp;"'")&amp;", p_referencia =&gt; "&amp;IF(TRIM(K236&amp;"")="","NULL","'"&amp;SUBSTITUTE(TRIM(K236),"'","''")&amp;"'")&amp;") AS resultado_cliente_"&amp;ROW()&amp;";")</f>
        <v/>
      </c>
    </row>
    <row r="237" ht="15.75" customHeight="1" s="64">
      <c r="A237" s="25">
        <f>IF(AND(D237="",E237="",C237=""),"",IF(AND(D237="",E237=""),"FALTA razón social o nombres",IF(AND(C237&lt;&gt;"",SUMPRODUCT(--($C$5:$C$549=C237))&gt;1),"DOCUMENTO DUPLICADO",IF(AND(B237="DNI",C237&lt;&gt;"",LEN(C237&amp;"")&lt;&gt;8),"DNI debe tener 8 dígitos",IF(AND(B237="RUC",C237&lt;&gt;"",LEN(C237&amp;"")&lt;&gt;11),"RUC debe tener 11 dígitos",IF(AND(N237&lt;&gt;"",SUMPRODUCT(--($N$5:$N$549=N237))&gt;1),"CÓDIGO INTERNO DUPLICADO","OK"))))))</f>
        <v/>
      </c>
      <c r="B237" s="17" t="inlineStr">
        <is>
          <t>RUC</t>
        </is>
      </c>
      <c r="C237" s="23" t="inlineStr">
        <is>
          <t>10165243299</t>
        </is>
      </c>
      <c r="D237" s="23" t="inlineStr">
        <is>
          <t>QUIROZ CORONADO JUAN MARTIN</t>
        </is>
      </c>
      <c r="E237" s="17" t="n"/>
      <c r="F237" s="17" t="n"/>
      <c r="G237" s="17" t="n"/>
      <c r="H237" s="17" t="inlineStr">
        <is>
          <t>Persona Jurídica</t>
        </is>
      </c>
      <c r="I237" s="17" t="inlineStr">
        <is>
          <t>Cliente</t>
        </is>
      </c>
      <c r="J237" s="17" t="n"/>
      <c r="K237" s="17" t="n"/>
      <c r="L237" s="23" t="n"/>
      <c r="M237" s="17" t="n"/>
      <c r="N237" s="23" t="n"/>
      <c r="O237" s="17" t="n"/>
      <c r="P237" s="28">
        <f>IF(A237&lt;&gt;"OK","","SELECT cli_crear_clientes(p_codigo_interno =&gt; "&amp;IF(TRIM(N237&amp;"")="","NULL","'"&amp;SUBSTITUTE(TRIM(N237),"'","''")&amp;"'")&amp;", p_razon_social =&gt; "&amp;IF(TRIM(D237&amp;"")="","NULL","'"&amp;SUBSTITUTE(TRIM(D237),"'","''")&amp;"'")&amp;", p_id_tipo_cliente =&gt; "&amp;IF(TRIM(I237&amp;"")="","NULL","(SELECT lo.id FROM gen_lista_opciones lo JOIN gen_lista l ON l.id = lo.id_lista WHERE l.nombre = 'TipoCliente' AND upper(lo.nombre) = upper('"&amp;SUBSTITUTE(TRIM(I237),"'","''")&amp;"') AND lo.estado = 1 LIMIT 1)")&amp;", p_id_tipo_persona =&gt; "&amp;IF(TRIM(H237&amp;"")="","NULL","(SELECT lo.id FROM gen_lista_opciones lo JOIN gen_lista l ON l.id = lo.id_lista WHERE l.nombre = 'TipoPersona' AND upper(lo.nombre) = upper('"&amp;SUBSTITUTE(TRIM(H237),"'","''")&amp;"') AND lo.estado = 1 LIMIT 1)")&amp;", p_nombres =&gt; "&amp;IF(TRIM(E237&amp;"")="","NULL","'"&amp;SUBSTITUTE(TRIM(E237),"'","''")&amp;"'")&amp;", p_apellido_paterno =&gt; "&amp;IF(TRIM(F237&amp;"")="","NULL","'"&amp;SUBSTITUTE(TRIM(F237),"'","''")&amp;"'")&amp;", p_apellido_materno =&gt; "&amp;IF(TRIM(G237&amp;"")="","NULL","'"&amp;SUBSTITUTE(TRIM(G237),"'","''")&amp;"'")&amp;", p_id_tipo_documento =&gt; "&amp;IF(TRIM(B237&amp;"")="","NULL","(SELECT lo.id FROM gen_lista_opciones lo JOIN gen_lista l ON l.id = lo.id_lista WHERE l.nombre = 'TipoDocumento' AND upper(lo.nombre) = upper('"&amp;SUBSTITUTE(TRIM(B237),"'","''")&amp;"') AND lo.estado = 1 LIMIT 1)")&amp;", p_numero_documento =&gt; "&amp;IF(TRIM(C237&amp;"")="","NULL","'"&amp;SUBSTITUTE(TRIM(C237),"'","''")&amp;"'")&amp;", p_telefono =&gt; "&amp;IF(TRIM(L237&amp;"")="","NULL","'"&amp;SUBSTITUTE(TRIM(L237),"'","''")&amp;"'")&amp;", p_email =&gt; "&amp;IF(TRIM(M237&amp;"")="","NULL","'"&amp;SUBSTITUTE(TRIM(M237),"'","''")&amp;"'")&amp;", p_observacion =&gt; "&amp;IF(TRIM(O237&amp;"")="","NULL","'"&amp;SUBSTITUTE(TRIM(O237),"'","''")&amp;"'")&amp;", p_direccion =&gt; "&amp;IF(TRIM(J237&amp;"")="","NULL","'"&amp;SUBSTITUTE(TRIM(J237),"'","''")&amp;"'")&amp;", p_referencia =&gt; "&amp;IF(TRIM(K237&amp;"")="","NULL","'"&amp;SUBSTITUTE(TRIM(K237),"'","''")&amp;"'")&amp;") AS resultado_cliente_"&amp;ROW()&amp;";")</f>
        <v/>
      </c>
    </row>
    <row r="238" ht="15.75" customHeight="1" s="64">
      <c r="A238" s="25">
        <f>IF(AND(D238="",E238="",C238=""),"",IF(AND(D238="",E238=""),"FALTA razón social o nombres",IF(AND(C238&lt;&gt;"",SUMPRODUCT(--($C$5:$C$549=C238))&gt;1),"DOCUMENTO DUPLICADO",IF(AND(B238="DNI",C238&lt;&gt;"",LEN(C238&amp;"")&lt;&gt;8),"DNI debe tener 8 dígitos",IF(AND(B238="RUC",C238&lt;&gt;"",LEN(C238&amp;"")&lt;&gt;11),"RUC debe tener 11 dígitos",IF(AND(N238&lt;&gt;"",SUMPRODUCT(--($N$5:$N$549=N238))&gt;1),"CÓDIGO INTERNO DUPLICADO","OK"))))))</f>
        <v/>
      </c>
      <c r="B238" s="17" t="inlineStr">
        <is>
          <t>SD</t>
        </is>
      </c>
      <c r="C238" s="23" t="inlineStr">
        <is>
          <t>000059</t>
        </is>
      </c>
      <c r="D238" s="17" t="n"/>
      <c r="E238" s="17" t="inlineStr">
        <is>
          <t>MARTIN (POSITOS)</t>
        </is>
      </c>
      <c r="F238" s="17" t="inlineStr">
        <is>
          <t xml:space="preserve">QUIROZ </t>
        </is>
      </c>
      <c r="G238" s="17" t="n"/>
      <c r="H238" s="17" t="inlineStr">
        <is>
          <t>Persona Natural</t>
        </is>
      </c>
      <c r="I238" s="17" t="inlineStr">
        <is>
          <t>Cliente</t>
        </is>
      </c>
      <c r="J238" s="17" t="n"/>
      <c r="K238" s="17" t="n"/>
      <c r="L238" s="23" t="n"/>
      <c r="M238" s="17" t="n"/>
      <c r="N238" s="23" t="n"/>
      <c r="O238" s="17" t="n"/>
      <c r="P238" s="28">
        <f>IF(A238&lt;&gt;"OK","","SELECT cli_crear_clientes(p_codigo_interno =&gt; "&amp;IF(TRIM(N238&amp;"")="","NULL","'"&amp;SUBSTITUTE(TRIM(N238),"'","''")&amp;"'")&amp;", p_razon_social =&gt; "&amp;IF(TRIM(D238&amp;"")="","NULL","'"&amp;SUBSTITUTE(TRIM(D238),"'","''")&amp;"'")&amp;", p_id_tipo_cliente =&gt; "&amp;IF(TRIM(I238&amp;"")="","NULL","(SELECT lo.id FROM gen_lista_opciones lo JOIN gen_lista l ON l.id = lo.id_lista WHERE l.nombre = 'TipoCliente' AND upper(lo.nombre) = upper('"&amp;SUBSTITUTE(TRIM(I238),"'","''")&amp;"') AND lo.estado = 1 LIMIT 1)")&amp;", p_id_tipo_persona =&gt; "&amp;IF(TRIM(H238&amp;"")="","NULL","(SELECT lo.id FROM gen_lista_opciones lo JOIN gen_lista l ON l.id = lo.id_lista WHERE l.nombre = 'TipoPersona' AND upper(lo.nombre) = upper('"&amp;SUBSTITUTE(TRIM(H238),"'","''")&amp;"') AND lo.estado = 1 LIMIT 1)")&amp;", p_nombres =&gt; "&amp;IF(TRIM(E238&amp;"")="","NULL","'"&amp;SUBSTITUTE(TRIM(E238),"'","''")&amp;"'")&amp;", p_apellido_paterno =&gt; "&amp;IF(TRIM(F238&amp;"")="","NULL","'"&amp;SUBSTITUTE(TRIM(F238),"'","''")&amp;"'")&amp;", p_apellido_materno =&gt; "&amp;IF(TRIM(G238&amp;"")="","NULL","'"&amp;SUBSTITUTE(TRIM(G238),"'","''")&amp;"'")&amp;", p_id_tipo_documento =&gt; "&amp;IF(TRIM(B238&amp;"")="","NULL","(SELECT lo.id FROM gen_lista_opciones lo JOIN gen_lista l ON l.id = lo.id_lista WHERE l.nombre = 'TipoDocumento' AND upper(lo.nombre) = upper('"&amp;SUBSTITUTE(TRIM(B238),"'","''")&amp;"') AND lo.estado = 1 LIMIT 1)")&amp;", p_numero_documento =&gt; "&amp;IF(TRIM(C238&amp;"")="","NULL","'"&amp;SUBSTITUTE(TRIM(C238),"'","''")&amp;"'")&amp;", p_telefono =&gt; "&amp;IF(TRIM(L238&amp;"")="","NULL","'"&amp;SUBSTITUTE(TRIM(L238),"'","''")&amp;"'")&amp;", p_email =&gt; "&amp;IF(TRIM(M238&amp;"")="","NULL","'"&amp;SUBSTITUTE(TRIM(M238),"'","''")&amp;"'")&amp;", p_observacion =&gt; "&amp;IF(TRIM(O238&amp;"")="","NULL","'"&amp;SUBSTITUTE(TRIM(O238),"'","''")&amp;"'")&amp;", p_direccion =&gt; "&amp;IF(TRIM(J238&amp;"")="","NULL","'"&amp;SUBSTITUTE(TRIM(J238),"'","''")&amp;"'")&amp;", p_referencia =&gt; "&amp;IF(TRIM(K238&amp;"")="","NULL","'"&amp;SUBSTITUTE(TRIM(K238),"'","''")&amp;"'")&amp;") AS resultado_cliente_"&amp;ROW()&amp;";")</f>
        <v/>
      </c>
    </row>
    <row r="239" ht="15.75" customHeight="1" s="64">
      <c r="A239" s="25">
        <f>IF(AND(D239="",E239="",C239=""),"",IF(AND(D239="",E239=""),"FALTA razón social o nombres",IF(AND(C239&lt;&gt;"",SUMPRODUCT(--($C$5:$C$549=C239))&gt;1),"DOCUMENTO DUPLICADO",IF(AND(B239="DNI",C239&lt;&gt;"",LEN(C239&amp;"")&lt;&gt;8),"DNI debe tener 8 dígitos",IF(AND(B239="RUC",C239&lt;&gt;"",LEN(C239&amp;"")&lt;&gt;11),"RUC debe tener 11 dígitos",IF(AND(N239&lt;&gt;"",SUMPRODUCT(--($N$5:$N$549=N239))&gt;1),"CÓDIGO INTERNO DUPLICADO","OK"))))))</f>
        <v/>
      </c>
      <c r="B239" s="17" t="inlineStr">
        <is>
          <t>DNI</t>
        </is>
      </c>
      <c r="C239" s="23" t="inlineStr">
        <is>
          <t>44591416</t>
        </is>
      </c>
      <c r="D239" s="17" t="n"/>
      <c r="E239" s="17" t="inlineStr">
        <is>
          <t>EDGAR</t>
        </is>
      </c>
      <c r="F239" s="17" t="inlineStr">
        <is>
          <t>RAMIREZ</t>
        </is>
      </c>
      <c r="G239" s="17" t="inlineStr">
        <is>
          <t>VASQUEZ</t>
        </is>
      </c>
      <c r="H239" s="17" t="inlineStr">
        <is>
          <t>Persona Natural</t>
        </is>
      </c>
      <c r="I239" s="17" t="inlineStr">
        <is>
          <t>Cliente</t>
        </is>
      </c>
      <c r="J239" s="17" t="n"/>
      <c r="K239" s="17" t="n"/>
      <c r="L239" s="23" t="n"/>
      <c r="M239" s="17" t="n"/>
      <c r="N239" s="23" t="n"/>
      <c r="O239" s="17" t="n"/>
      <c r="P239" s="28">
        <f>IF(A239&lt;&gt;"OK","","SELECT cli_crear_clientes(p_codigo_interno =&gt; "&amp;IF(TRIM(N239&amp;"")="","NULL","'"&amp;SUBSTITUTE(TRIM(N239),"'","''")&amp;"'")&amp;", p_razon_social =&gt; "&amp;IF(TRIM(D239&amp;"")="","NULL","'"&amp;SUBSTITUTE(TRIM(D239),"'","''")&amp;"'")&amp;", p_id_tipo_cliente =&gt; "&amp;IF(TRIM(I239&amp;"")="","NULL","(SELECT lo.id FROM gen_lista_opciones lo JOIN gen_lista l ON l.id = lo.id_lista WHERE l.nombre = 'TipoCliente' AND upper(lo.nombre) = upper('"&amp;SUBSTITUTE(TRIM(I239),"'","''")&amp;"') AND lo.estado = 1 LIMIT 1)")&amp;", p_id_tipo_persona =&gt; "&amp;IF(TRIM(H239&amp;"")="","NULL","(SELECT lo.id FROM gen_lista_opciones lo JOIN gen_lista l ON l.id = lo.id_lista WHERE l.nombre = 'TipoPersona' AND upper(lo.nombre) = upper('"&amp;SUBSTITUTE(TRIM(H239),"'","''")&amp;"') AND lo.estado = 1 LIMIT 1)")&amp;", p_nombres =&gt; "&amp;IF(TRIM(E239&amp;"")="","NULL","'"&amp;SUBSTITUTE(TRIM(E239),"'","''")&amp;"'")&amp;", p_apellido_paterno =&gt; "&amp;IF(TRIM(F239&amp;"")="","NULL","'"&amp;SUBSTITUTE(TRIM(F239),"'","''")&amp;"'")&amp;", p_apellido_materno =&gt; "&amp;IF(TRIM(G239&amp;"")="","NULL","'"&amp;SUBSTITUTE(TRIM(G239),"'","''")&amp;"'")&amp;", p_id_tipo_documento =&gt; "&amp;IF(TRIM(B239&amp;"")="","NULL","(SELECT lo.id FROM gen_lista_opciones lo JOIN gen_lista l ON l.id = lo.id_lista WHERE l.nombre = 'TipoDocumento' AND upper(lo.nombre) = upper('"&amp;SUBSTITUTE(TRIM(B239),"'","''")&amp;"') AND lo.estado = 1 LIMIT 1)")&amp;", p_numero_documento =&gt; "&amp;IF(TRIM(C239&amp;"")="","NULL","'"&amp;SUBSTITUTE(TRIM(C239),"'","''")&amp;"'")&amp;", p_telefono =&gt; "&amp;IF(TRIM(L239&amp;"")="","NULL","'"&amp;SUBSTITUTE(TRIM(L239),"'","''")&amp;"'")&amp;", p_email =&gt; "&amp;IF(TRIM(M239&amp;"")="","NULL","'"&amp;SUBSTITUTE(TRIM(M239),"'","''")&amp;"'")&amp;", p_observacion =&gt; "&amp;IF(TRIM(O239&amp;"")="","NULL","'"&amp;SUBSTITUTE(TRIM(O239),"'","''")&amp;"'")&amp;", p_direccion =&gt; "&amp;IF(TRIM(J239&amp;"")="","NULL","'"&amp;SUBSTITUTE(TRIM(J239),"'","''")&amp;"'")&amp;", p_referencia =&gt; "&amp;IF(TRIM(K239&amp;"")="","NULL","'"&amp;SUBSTITUTE(TRIM(K239),"'","''")&amp;"'")&amp;") AS resultado_cliente_"&amp;ROW()&amp;";")</f>
        <v/>
      </c>
    </row>
    <row r="240" ht="15.75" customHeight="1" s="64">
      <c r="A240" s="25">
        <f>IF(AND(D240="",E240="",C240=""),"",IF(AND(D240="",E240=""),"FALTA razón social o nombres",IF(AND(C240&lt;&gt;"",SUMPRODUCT(--($C$5:$C$549=C240))&gt;1),"DOCUMENTO DUPLICADO",IF(AND(B240="DNI",C240&lt;&gt;"",LEN(C240&amp;"")&lt;&gt;8),"DNI debe tener 8 dígitos",IF(AND(B240="RUC",C240&lt;&gt;"",LEN(C240&amp;"")&lt;&gt;11),"RUC debe tener 11 dígitos",IF(AND(N240&lt;&gt;"",SUMPRODUCT(--($N$5:$N$549=N240))&gt;1),"CÓDIGO INTERNO DUPLICADO","OK"))))))</f>
        <v/>
      </c>
      <c r="B240" s="17" t="inlineStr">
        <is>
          <t>DNI</t>
        </is>
      </c>
      <c r="C240" s="23" t="inlineStr">
        <is>
          <t>16667648</t>
        </is>
      </c>
      <c r="D240" s="17" t="n"/>
      <c r="E240" s="17" t="inlineStr">
        <is>
          <t>CARLOS</t>
        </is>
      </c>
      <c r="F240" s="17" t="inlineStr">
        <is>
          <t>RODRIGUEZ</t>
        </is>
      </c>
      <c r="G240" s="17" t="inlineStr">
        <is>
          <t>CALLE</t>
        </is>
      </c>
      <c r="H240" s="17" t="inlineStr">
        <is>
          <t>Persona Natural</t>
        </is>
      </c>
      <c r="I240" s="17" t="inlineStr">
        <is>
          <t>Cliente</t>
        </is>
      </c>
      <c r="J240" s="17" t="n"/>
      <c r="K240" s="17" t="n"/>
      <c r="L240" s="23" t="n"/>
      <c r="M240" s="17" t="n"/>
      <c r="N240" s="23" t="n"/>
      <c r="O240" s="17" t="n"/>
      <c r="P240" s="28">
        <f>IF(A240&lt;&gt;"OK","","SELECT cli_crear_clientes(p_codigo_interno =&gt; "&amp;IF(TRIM(N240&amp;"")="","NULL","'"&amp;SUBSTITUTE(TRIM(N240),"'","''")&amp;"'")&amp;", p_razon_social =&gt; "&amp;IF(TRIM(D240&amp;"")="","NULL","'"&amp;SUBSTITUTE(TRIM(D240),"'","''")&amp;"'")&amp;", p_id_tipo_cliente =&gt; "&amp;IF(TRIM(I240&amp;"")="","NULL","(SELECT lo.id FROM gen_lista_opciones lo JOIN gen_lista l ON l.id = lo.id_lista WHERE l.nombre = 'TipoCliente' AND upper(lo.nombre) = upper('"&amp;SUBSTITUTE(TRIM(I240),"'","''")&amp;"') AND lo.estado = 1 LIMIT 1)")&amp;", p_id_tipo_persona =&gt; "&amp;IF(TRIM(H240&amp;"")="","NULL","(SELECT lo.id FROM gen_lista_opciones lo JOIN gen_lista l ON l.id = lo.id_lista WHERE l.nombre = 'TipoPersona' AND upper(lo.nombre) = upper('"&amp;SUBSTITUTE(TRIM(H240),"'","''")&amp;"') AND lo.estado = 1 LIMIT 1)")&amp;", p_nombres =&gt; "&amp;IF(TRIM(E240&amp;"")="","NULL","'"&amp;SUBSTITUTE(TRIM(E240),"'","''")&amp;"'")&amp;", p_apellido_paterno =&gt; "&amp;IF(TRIM(F240&amp;"")="","NULL","'"&amp;SUBSTITUTE(TRIM(F240),"'","''")&amp;"'")&amp;", p_apellido_materno =&gt; "&amp;IF(TRIM(G240&amp;"")="","NULL","'"&amp;SUBSTITUTE(TRIM(G240),"'","''")&amp;"'")&amp;", p_id_tipo_documento =&gt; "&amp;IF(TRIM(B240&amp;"")="","NULL","(SELECT lo.id FROM gen_lista_opciones lo JOIN gen_lista l ON l.id = lo.id_lista WHERE l.nombre = 'TipoDocumento' AND upper(lo.nombre) = upper('"&amp;SUBSTITUTE(TRIM(B240),"'","''")&amp;"') AND lo.estado = 1 LIMIT 1)")&amp;", p_numero_documento =&gt; "&amp;IF(TRIM(C240&amp;"")="","NULL","'"&amp;SUBSTITUTE(TRIM(C240),"'","''")&amp;"'")&amp;", p_telefono =&gt; "&amp;IF(TRIM(L240&amp;"")="","NULL","'"&amp;SUBSTITUTE(TRIM(L240),"'","''")&amp;"'")&amp;", p_email =&gt; "&amp;IF(TRIM(M240&amp;"")="","NULL","'"&amp;SUBSTITUTE(TRIM(M240),"'","''")&amp;"'")&amp;", p_observacion =&gt; "&amp;IF(TRIM(O240&amp;"")="","NULL","'"&amp;SUBSTITUTE(TRIM(O240),"'","''")&amp;"'")&amp;", p_direccion =&gt; "&amp;IF(TRIM(J240&amp;"")="","NULL","'"&amp;SUBSTITUTE(TRIM(J240),"'","''")&amp;"'")&amp;", p_referencia =&gt; "&amp;IF(TRIM(K240&amp;"")="","NULL","'"&amp;SUBSTITUTE(TRIM(K240),"'","''")&amp;"'")&amp;") AS resultado_cliente_"&amp;ROW()&amp;";")</f>
        <v/>
      </c>
    </row>
    <row r="241" ht="15.75" customHeight="1" s="64">
      <c r="A241" s="25">
        <f>IF(AND(D241="",E241="",C241=""),"",IF(AND(D241="",E241=""),"FALTA razón social o nombres",IF(AND(C241&lt;&gt;"",SUMPRODUCT(--($C$5:$C$549=C241))&gt;1),"DOCUMENTO DUPLICADO",IF(AND(B241="DNI",C241&lt;&gt;"",LEN(C241&amp;"")&lt;&gt;8),"DNI debe tener 8 dígitos",IF(AND(B241="RUC",C241&lt;&gt;"",LEN(C241&amp;"")&lt;&gt;11),"RUC debe tener 11 dígitos",IF(AND(N241&lt;&gt;"",SUMPRODUCT(--($N$5:$N$549=N241))&gt;1),"CÓDIGO INTERNO DUPLICADO","OK"))))))</f>
        <v/>
      </c>
      <c r="B241" s="17" t="inlineStr">
        <is>
          <t>SD</t>
        </is>
      </c>
      <c r="C241" s="23" t="inlineStr">
        <is>
          <t>000060</t>
        </is>
      </c>
      <c r="D241" s="17" t="n"/>
      <c r="E241" s="17" t="inlineStr">
        <is>
          <t>RUBIÑOS</t>
        </is>
      </c>
      <c r="F241" s="17" t="inlineStr">
        <is>
          <t>LAMBAYEQUE</t>
        </is>
      </c>
      <c r="G241" s="17" t="n"/>
      <c r="H241" s="17" t="inlineStr">
        <is>
          <t>Persona Natural</t>
        </is>
      </c>
      <c r="I241" s="17" t="inlineStr">
        <is>
          <t>Cliente</t>
        </is>
      </c>
      <c r="J241" s="17" t="n"/>
      <c r="K241" s="17" t="n"/>
      <c r="L241" s="23" t="n"/>
      <c r="M241" s="17" t="n"/>
      <c r="N241" s="23" t="n"/>
      <c r="O241" s="17" t="n"/>
      <c r="P241" s="28">
        <f>IF(A241&lt;&gt;"OK","","SELECT cli_crear_clientes(p_codigo_interno =&gt; "&amp;IF(TRIM(N241&amp;"")="","NULL","'"&amp;SUBSTITUTE(TRIM(N241),"'","''")&amp;"'")&amp;", p_razon_social =&gt; "&amp;IF(TRIM(D241&amp;"")="","NULL","'"&amp;SUBSTITUTE(TRIM(D241),"'","''")&amp;"'")&amp;", p_id_tipo_cliente =&gt; "&amp;IF(TRIM(I241&amp;"")="","NULL","(SELECT lo.id FROM gen_lista_opciones lo JOIN gen_lista l ON l.id = lo.id_lista WHERE l.nombre = 'TipoCliente' AND upper(lo.nombre) = upper('"&amp;SUBSTITUTE(TRIM(I241),"'","''")&amp;"') AND lo.estado = 1 LIMIT 1)")&amp;", p_id_tipo_persona =&gt; "&amp;IF(TRIM(H241&amp;"")="","NULL","(SELECT lo.id FROM gen_lista_opciones lo JOIN gen_lista l ON l.id = lo.id_lista WHERE l.nombre = 'TipoPersona' AND upper(lo.nombre) = upper('"&amp;SUBSTITUTE(TRIM(H241),"'","''")&amp;"') AND lo.estado = 1 LIMIT 1)")&amp;", p_nombres =&gt; "&amp;IF(TRIM(E241&amp;"")="","NULL","'"&amp;SUBSTITUTE(TRIM(E241),"'","''")&amp;"'")&amp;", p_apellido_paterno =&gt; "&amp;IF(TRIM(F241&amp;"")="","NULL","'"&amp;SUBSTITUTE(TRIM(F241),"'","''")&amp;"'")&amp;", p_apellido_materno =&gt; "&amp;IF(TRIM(G241&amp;"")="","NULL","'"&amp;SUBSTITUTE(TRIM(G241),"'","''")&amp;"'")&amp;", p_id_tipo_documento =&gt; "&amp;IF(TRIM(B241&amp;"")="","NULL","(SELECT lo.id FROM gen_lista_opciones lo JOIN gen_lista l ON l.id = lo.id_lista WHERE l.nombre = 'TipoDocumento' AND upper(lo.nombre) = upper('"&amp;SUBSTITUTE(TRIM(B241),"'","''")&amp;"') AND lo.estado = 1 LIMIT 1)")&amp;", p_numero_documento =&gt; "&amp;IF(TRIM(C241&amp;"")="","NULL","'"&amp;SUBSTITUTE(TRIM(C241),"'","''")&amp;"'")&amp;", p_telefono =&gt; "&amp;IF(TRIM(L241&amp;"")="","NULL","'"&amp;SUBSTITUTE(TRIM(L241),"'","''")&amp;"'")&amp;", p_email =&gt; "&amp;IF(TRIM(M241&amp;"")="","NULL","'"&amp;SUBSTITUTE(TRIM(M241),"'","''")&amp;"'")&amp;", p_observacion =&gt; "&amp;IF(TRIM(O241&amp;"")="","NULL","'"&amp;SUBSTITUTE(TRIM(O241),"'","''")&amp;"'")&amp;", p_direccion =&gt; "&amp;IF(TRIM(J241&amp;"")="","NULL","'"&amp;SUBSTITUTE(TRIM(J241),"'","''")&amp;"'")&amp;", p_referencia =&gt; "&amp;IF(TRIM(K241&amp;"")="","NULL","'"&amp;SUBSTITUTE(TRIM(K241),"'","''")&amp;"'")&amp;") AS resultado_cliente_"&amp;ROW()&amp;";")</f>
        <v/>
      </c>
    </row>
    <row r="242" ht="15.75" customHeight="1" s="64">
      <c r="A242" s="25">
        <f>IF(AND(D242="",E242="",C242=""),"",IF(AND(D242="",E242=""),"FALTA razón social o nombres",IF(AND(C242&lt;&gt;"",SUMPRODUCT(--($C$5:$C$549=C242))&gt;1),"DOCUMENTO DUPLICADO",IF(AND(B242="DNI",C242&lt;&gt;"",LEN(C242&amp;"")&lt;&gt;8),"DNI debe tener 8 dígitos",IF(AND(B242="RUC",C242&lt;&gt;"",LEN(C242&amp;"")&lt;&gt;11),"RUC debe tener 11 dígitos",IF(AND(N242&lt;&gt;"",SUMPRODUCT(--($N$5:$N$549=N242))&gt;1),"CÓDIGO INTERNO DUPLICADO","OK"))))))</f>
        <v/>
      </c>
      <c r="B242" s="17" t="inlineStr">
        <is>
          <t>SD</t>
        </is>
      </c>
      <c r="C242" s="23" t="inlineStr">
        <is>
          <t>000061</t>
        </is>
      </c>
      <c r="D242" s="17" t="n"/>
      <c r="E242" s="17" t="inlineStr">
        <is>
          <t>CLEINER</t>
        </is>
      </c>
      <c r="F242" s="17" t="inlineStr">
        <is>
          <t>RUIZ</t>
        </is>
      </c>
      <c r="G242" s="17" t="inlineStr">
        <is>
          <t>CIEZA</t>
        </is>
      </c>
      <c r="H242" s="17" t="inlineStr">
        <is>
          <t>Persona Natural</t>
        </is>
      </c>
      <c r="I242" s="17" t="inlineStr">
        <is>
          <t>Cliente</t>
        </is>
      </c>
      <c r="J242" s="17" t="n"/>
      <c r="K242" s="17" t="n"/>
      <c r="L242" s="23" t="n"/>
      <c r="M242" s="17" t="n"/>
      <c r="N242" s="23" t="n"/>
      <c r="O242" s="17" t="n"/>
      <c r="P242" s="28">
        <f>IF(A242&lt;&gt;"OK","","SELECT cli_crear_clientes(p_codigo_interno =&gt; "&amp;IF(TRIM(N242&amp;"")="","NULL","'"&amp;SUBSTITUTE(TRIM(N242),"'","''")&amp;"'")&amp;", p_razon_social =&gt; "&amp;IF(TRIM(D242&amp;"")="","NULL","'"&amp;SUBSTITUTE(TRIM(D242),"'","''")&amp;"'")&amp;", p_id_tipo_cliente =&gt; "&amp;IF(TRIM(I242&amp;"")="","NULL","(SELECT lo.id FROM gen_lista_opciones lo JOIN gen_lista l ON l.id = lo.id_lista WHERE l.nombre = 'TipoCliente' AND upper(lo.nombre) = upper('"&amp;SUBSTITUTE(TRIM(I242),"'","''")&amp;"') AND lo.estado = 1 LIMIT 1)")&amp;", p_id_tipo_persona =&gt; "&amp;IF(TRIM(H242&amp;"")="","NULL","(SELECT lo.id FROM gen_lista_opciones lo JOIN gen_lista l ON l.id = lo.id_lista WHERE l.nombre = 'TipoPersona' AND upper(lo.nombre) = upper('"&amp;SUBSTITUTE(TRIM(H242),"'","''")&amp;"') AND lo.estado = 1 LIMIT 1)")&amp;", p_nombres =&gt; "&amp;IF(TRIM(E242&amp;"")="","NULL","'"&amp;SUBSTITUTE(TRIM(E242),"'","''")&amp;"'")&amp;", p_apellido_paterno =&gt; "&amp;IF(TRIM(F242&amp;"")="","NULL","'"&amp;SUBSTITUTE(TRIM(F242),"'","''")&amp;"'")&amp;", p_apellido_materno =&gt; "&amp;IF(TRIM(G242&amp;"")="","NULL","'"&amp;SUBSTITUTE(TRIM(G242),"'","''")&amp;"'")&amp;", p_id_tipo_documento =&gt; "&amp;IF(TRIM(B242&amp;"")="","NULL","(SELECT lo.id FROM gen_lista_opciones lo JOIN gen_lista l ON l.id = lo.id_lista WHERE l.nombre = 'TipoDocumento' AND upper(lo.nombre) = upper('"&amp;SUBSTITUTE(TRIM(B242),"'","''")&amp;"') AND lo.estado = 1 LIMIT 1)")&amp;", p_numero_documento =&gt; "&amp;IF(TRIM(C242&amp;"")="","NULL","'"&amp;SUBSTITUTE(TRIM(C242),"'","''")&amp;"'")&amp;", p_telefono =&gt; "&amp;IF(TRIM(L242&amp;"")="","NULL","'"&amp;SUBSTITUTE(TRIM(L242),"'","''")&amp;"'")&amp;", p_email =&gt; "&amp;IF(TRIM(M242&amp;"")="","NULL","'"&amp;SUBSTITUTE(TRIM(M242),"'","''")&amp;"'")&amp;", p_observacion =&gt; "&amp;IF(TRIM(O242&amp;"")="","NULL","'"&amp;SUBSTITUTE(TRIM(O242),"'","''")&amp;"'")&amp;", p_direccion =&gt; "&amp;IF(TRIM(J242&amp;"")="","NULL","'"&amp;SUBSTITUTE(TRIM(J242),"'","''")&amp;"'")&amp;", p_referencia =&gt; "&amp;IF(TRIM(K242&amp;"")="","NULL","'"&amp;SUBSTITUTE(TRIM(K242),"'","''")&amp;"'")&amp;") AS resultado_cliente_"&amp;ROW()&amp;";")</f>
        <v/>
      </c>
    </row>
    <row r="243" ht="15.75" customHeight="1" s="64">
      <c r="A243" s="25">
        <f>IF(AND(D243="",E243="",C243=""),"",IF(AND(D243="",E243=""),"FALTA razón social o nombres",IF(AND(C243&lt;&gt;"",SUMPRODUCT(--($C$5:$C$549=C243))&gt;1),"DOCUMENTO DUPLICADO",IF(AND(B243="DNI",C243&lt;&gt;"",LEN(C243&amp;"")&lt;&gt;8),"DNI debe tener 8 dígitos",IF(AND(B243="RUC",C243&lt;&gt;"",LEN(C243&amp;"")&lt;&gt;11),"RUC debe tener 11 dígitos",IF(AND(N243&lt;&gt;"",SUMPRODUCT(--($N$5:$N$549=N243))&gt;1),"CÓDIGO INTERNO DUPLICADO","OK"))))))</f>
        <v/>
      </c>
      <c r="B243" s="17" t="inlineStr">
        <is>
          <t>DNI</t>
        </is>
      </c>
      <c r="C243" s="23" t="inlineStr">
        <is>
          <t>41026210</t>
        </is>
      </c>
      <c r="D243" s="17" t="n"/>
      <c r="E243" s="17" t="inlineStr">
        <is>
          <t>VICTOR MANUEL</t>
        </is>
      </c>
      <c r="F243" s="17" t="inlineStr">
        <is>
          <t>RUIZ</t>
        </is>
      </c>
      <c r="G243" s="17" t="inlineStr">
        <is>
          <t>CORO</t>
        </is>
      </c>
      <c r="H243" s="17" t="inlineStr">
        <is>
          <t>Persona Natural</t>
        </is>
      </c>
      <c r="I243" s="17" t="inlineStr">
        <is>
          <t>Cliente</t>
        </is>
      </c>
      <c r="J243" s="17" t="n"/>
      <c r="K243" s="17" t="n"/>
      <c r="L243" s="23" t="n"/>
      <c r="M243" s="17" t="n"/>
      <c r="N243" s="23" t="n"/>
      <c r="O243" s="17" t="n"/>
      <c r="P243" s="28">
        <f>IF(A243&lt;&gt;"OK","","SELECT cli_crear_clientes(p_codigo_interno =&gt; "&amp;IF(TRIM(N243&amp;"")="","NULL","'"&amp;SUBSTITUTE(TRIM(N243),"'","''")&amp;"'")&amp;", p_razon_social =&gt; "&amp;IF(TRIM(D243&amp;"")="","NULL","'"&amp;SUBSTITUTE(TRIM(D243),"'","''")&amp;"'")&amp;", p_id_tipo_cliente =&gt; "&amp;IF(TRIM(I243&amp;"")="","NULL","(SELECT lo.id FROM gen_lista_opciones lo JOIN gen_lista l ON l.id = lo.id_lista WHERE l.nombre = 'TipoCliente' AND upper(lo.nombre) = upper('"&amp;SUBSTITUTE(TRIM(I243),"'","''")&amp;"') AND lo.estado = 1 LIMIT 1)")&amp;", p_id_tipo_persona =&gt; "&amp;IF(TRIM(H243&amp;"")="","NULL","(SELECT lo.id FROM gen_lista_opciones lo JOIN gen_lista l ON l.id = lo.id_lista WHERE l.nombre = 'TipoPersona' AND upper(lo.nombre) = upper('"&amp;SUBSTITUTE(TRIM(H243),"'","''")&amp;"') AND lo.estado = 1 LIMIT 1)")&amp;", p_nombres =&gt; "&amp;IF(TRIM(E243&amp;"")="","NULL","'"&amp;SUBSTITUTE(TRIM(E243),"'","''")&amp;"'")&amp;", p_apellido_paterno =&gt; "&amp;IF(TRIM(F243&amp;"")="","NULL","'"&amp;SUBSTITUTE(TRIM(F243),"'","''")&amp;"'")&amp;", p_apellido_materno =&gt; "&amp;IF(TRIM(G243&amp;"")="","NULL","'"&amp;SUBSTITUTE(TRIM(G243),"'","''")&amp;"'")&amp;", p_id_tipo_documento =&gt; "&amp;IF(TRIM(B243&amp;"")="","NULL","(SELECT lo.id FROM gen_lista_opciones lo JOIN gen_lista l ON l.id = lo.id_lista WHERE l.nombre = 'TipoDocumento' AND upper(lo.nombre) = upper('"&amp;SUBSTITUTE(TRIM(B243),"'","''")&amp;"') AND lo.estado = 1 LIMIT 1)")&amp;", p_numero_documento =&gt; "&amp;IF(TRIM(C243&amp;"")="","NULL","'"&amp;SUBSTITUTE(TRIM(C243),"'","''")&amp;"'")&amp;", p_telefono =&gt; "&amp;IF(TRIM(L243&amp;"")="","NULL","'"&amp;SUBSTITUTE(TRIM(L243),"'","''")&amp;"'")&amp;", p_email =&gt; "&amp;IF(TRIM(M243&amp;"")="","NULL","'"&amp;SUBSTITUTE(TRIM(M243),"'","''")&amp;"'")&amp;", p_observacion =&gt; "&amp;IF(TRIM(O243&amp;"")="","NULL","'"&amp;SUBSTITUTE(TRIM(O243),"'","''")&amp;"'")&amp;", p_direccion =&gt; "&amp;IF(TRIM(J243&amp;"")="","NULL","'"&amp;SUBSTITUTE(TRIM(J243),"'","''")&amp;"'")&amp;", p_referencia =&gt; "&amp;IF(TRIM(K243&amp;"")="","NULL","'"&amp;SUBSTITUTE(TRIM(K243),"'","''")&amp;"'")&amp;") AS resultado_cliente_"&amp;ROW()&amp;";")</f>
        <v/>
      </c>
    </row>
    <row r="244" ht="15.75" customHeight="1" s="64">
      <c r="A244" s="25">
        <f>IF(AND(D244="",E244="",C244=""),"",IF(AND(D244="",E244=""),"FALTA razón social o nombres",IF(AND(C244&lt;&gt;"",SUMPRODUCT(--($C$5:$C$549=C244))&gt;1),"DOCUMENTO DUPLICADO",IF(AND(B244="DNI",C244&lt;&gt;"",LEN(C244&amp;"")&lt;&gt;8),"DNI debe tener 8 dígitos",IF(AND(B244="RUC",C244&lt;&gt;"",LEN(C244&amp;"")&lt;&gt;11),"RUC debe tener 11 dígitos",IF(AND(N244&lt;&gt;"",SUMPRODUCT(--($N$5:$N$549=N244))&gt;1),"CÓDIGO INTERNO DUPLICADO","OK"))))))</f>
        <v/>
      </c>
      <c r="B244" s="17" t="inlineStr">
        <is>
          <t>RUC</t>
        </is>
      </c>
      <c r="C244" s="23" t="inlineStr">
        <is>
          <t>10433676349</t>
        </is>
      </c>
      <c r="D244" s="17" t="inlineStr">
        <is>
          <t>SANTISTEBAN ALAMO ALFREDO</t>
        </is>
      </c>
      <c r="E244" s="17" t="n"/>
      <c r="F244" s="17" t="n"/>
      <c r="G244" s="17" t="n"/>
      <c r="H244" s="17" t="inlineStr">
        <is>
          <t>Persona Jurídica</t>
        </is>
      </c>
      <c r="I244" s="17" t="inlineStr">
        <is>
          <t>Cliente</t>
        </is>
      </c>
      <c r="J244" s="17" t="n"/>
      <c r="K244" s="17" t="n"/>
      <c r="L244" s="23" t="n"/>
      <c r="M244" s="17" t="n"/>
      <c r="N244" s="23" t="n"/>
      <c r="O244" s="17" t="n"/>
      <c r="P244" s="28">
        <f>IF(A244&lt;&gt;"OK","","SELECT cli_crear_clientes(p_codigo_interno =&gt; "&amp;IF(TRIM(N244&amp;"")="","NULL","'"&amp;SUBSTITUTE(TRIM(N244),"'","''")&amp;"'")&amp;", p_razon_social =&gt; "&amp;IF(TRIM(D244&amp;"")="","NULL","'"&amp;SUBSTITUTE(TRIM(D244),"'","''")&amp;"'")&amp;", p_id_tipo_cliente =&gt; "&amp;IF(TRIM(I244&amp;"")="","NULL","(SELECT lo.id FROM gen_lista_opciones lo JOIN gen_lista l ON l.id = lo.id_lista WHERE l.nombre = 'TipoCliente' AND upper(lo.nombre) = upper('"&amp;SUBSTITUTE(TRIM(I244),"'","''")&amp;"') AND lo.estado = 1 LIMIT 1)")&amp;", p_id_tipo_persona =&gt; "&amp;IF(TRIM(H244&amp;"")="","NULL","(SELECT lo.id FROM gen_lista_opciones lo JOIN gen_lista l ON l.id = lo.id_lista WHERE l.nombre = 'TipoPersona' AND upper(lo.nombre) = upper('"&amp;SUBSTITUTE(TRIM(H244),"'","''")&amp;"') AND lo.estado = 1 LIMIT 1)")&amp;", p_nombres =&gt; "&amp;IF(TRIM(E244&amp;"")="","NULL","'"&amp;SUBSTITUTE(TRIM(E244),"'","''")&amp;"'")&amp;", p_apellido_paterno =&gt; "&amp;IF(TRIM(F244&amp;"")="","NULL","'"&amp;SUBSTITUTE(TRIM(F244),"'","''")&amp;"'")&amp;", p_apellido_materno =&gt; "&amp;IF(TRIM(G244&amp;"")="","NULL","'"&amp;SUBSTITUTE(TRIM(G244),"'","''")&amp;"'")&amp;", p_id_tipo_documento =&gt; "&amp;IF(TRIM(B244&amp;"")="","NULL","(SELECT lo.id FROM gen_lista_opciones lo JOIN gen_lista l ON l.id = lo.id_lista WHERE l.nombre = 'TipoDocumento' AND upper(lo.nombre) = upper('"&amp;SUBSTITUTE(TRIM(B244),"'","''")&amp;"') AND lo.estado = 1 LIMIT 1)")&amp;", p_numero_documento =&gt; "&amp;IF(TRIM(C244&amp;"")="","NULL","'"&amp;SUBSTITUTE(TRIM(C244),"'","''")&amp;"'")&amp;", p_telefono =&gt; "&amp;IF(TRIM(L244&amp;"")="","NULL","'"&amp;SUBSTITUTE(TRIM(L244),"'","''")&amp;"'")&amp;", p_email =&gt; "&amp;IF(TRIM(M244&amp;"")="","NULL","'"&amp;SUBSTITUTE(TRIM(M244),"'","''")&amp;"'")&amp;", p_observacion =&gt; "&amp;IF(TRIM(O244&amp;"")="","NULL","'"&amp;SUBSTITUTE(TRIM(O244),"'","''")&amp;"'")&amp;", p_direccion =&gt; "&amp;IF(TRIM(J244&amp;"")="","NULL","'"&amp;SUBSTITUTE(TRIM(J244),"'","''")&amp;"'")&amp;", p_referencia =&gt; "&amp;IF(TRIM(K244&amp;"")="","NULL","'"&amp;SUBSTITUTE(TRIM(K244),"'","''")&amp;"'")&amp;") AS resultado_cliente_"&amp;ROW()&amp;";")</f>
        <v/>
      </c>
    </row>
    <row r="245" ht="15.75" customHeight="1" s="64">
      <c r="A245" s="25">
        <f>IF(AND(D245="",E245="",C245=""),"",IF(AND(D245="",E245=""),"FALTA razón social o nombres",IF(AND(C245&lt;&gt;"",SUMPRODUCT(--($C$5:$C$549=C245))&gt;1),"DOCUMENTO DUPLICADO",IF(AND(B245="DNI",C245&lt;&gt;"",LEN(C245&amp;"")&lt;&gt;8),"DNI debe tener 8 dígitos",IF(AND(B245="RUC",C245&lt;&gt;"",LEN(C245&amp;"")&lt;&gt;11),"RUC debe tener 11 dígitos",IF(AND(N245&lt;&gt;"",SUMPRODUCT(--($N$5:$N$549=N245))&gt;1),"CÓDIGO INTERNO DUPLICADO","OK"))))))</f>
        <v/>
      </c>
      <c r="B245" s="17" t="inlineStr">
        <is>
          <t>DNI</t>
        </is>
      </c>
      <c r="C245" s="23" t="inlineStr">
        <is>
          <t>45172067</t>
        </is>
      </c>
      <c r="D245" s="17" t="n"/>
      <c r="E245" s="17" t="inlineStr">
        <is>
          <t>CARLOS ALBERTO</t>
        </is>
      </c>
      <c r="F245" s="17" t="inlineStr">
        <is>
          <t>SANCHEZ</t>
        </is>
      </c>
      <c r="G245" s="17" t="inlineStr">
        <is>
          <t>MANAYALLE</t>
        </is>
      </c>
      <c r="H245" s="17" t="inlineStr">
        <is>
          <t>Persona Natural</t>
        </is>
      </c>
      <c r="I245" s="17" t="inlineStr">
        <is>
          <t>Cliente</t>
        </is>
      </c>
      <c r="J245" s="17" t="n"/>
      <c r="K245" s="17" t="n"/>
      <c r="L245" s="23" t="n"/>
      <c r="M245" s="17" t="n"/>
      <c r="N245" s="23" t="n"/>
      <c r="O245" s="17" t="n"/>
      <c r="P245" s="28">
        <f>IF(A245&lt;&gt;"OK","","SELECT cli_crear_clientes(p_codigo_interno =&gt; "&amp;IF(TRIM(N245&amp;"")="","NULL","'"&amp;SUBSTITUTE(TRIM(N245),"'","''")&amp;"'")&amp;", p_razon_social =&gt; "&amp;IF(TRIM(D245&amp;"")="","NULL","'"&amp;SUBSTITUTE(TRIM(D245),"'","''")&amp;"'")&amp;", p_id_tipo_cliente =&gt; "&amp;IF(TRIM(I245&amp;"")="","NULL","(SELECT lo.id FROM gen_lista_opciones lo JOIN gen_lista l ON l.id = lo.id_lista WHERE l.nombre = 'TipoCliente' AND upper(lo.nombre) = upper('"&amp;SUBSTITUTE(TRIM(I245),"'","''")&amp;"') AND lo.estado = 1 LIMIT 1)")&amp;", p_id_tipo_persona =&gt; "&amp;IF(TRIM(H245&amp;"")="","NULL","(SELECT lo.id FROM gen_lista_opciones lo JOIN gen_lista l ON l.id = lo.id_lista WHERE l.nombre = 'TipoPersona' AND upper(lo.nombre) = upper('"&amp;SUBSTITUTE(TRIM(H245),"'","''")&amp;"') AND lo.estado = 1 LIMIT 1)")&amp;", p_nombres =&gt; "&amp;IF(TRIM(E245&amp;"")="","NULL","'"&amp;SUBSTITUTE(TRIM(E245),"'","''")&amp;"'")&amp;", p_apellido_paterno =&gt; "&amp;IF(TRIM(F245&amp;"")="","NULL","'"&amp;SUBSTITUTE(TRIM(F245),"'","''")&amp;"'")&amp;", p_apellido_materno =&gt; "&amp;IF(TRIM(G245&amp;"")="","NULL","'"&amp;SUBSTITUTE(TRIM(G245),"'","''")&amp;"'")&amp;", p_id_tipo_documento =&gt; "&amp;IF(TRIM(B245&amp;"")="","NULL","(SELECT lo.id FROM gen_lista_opciones lo JOIN gen_lista l ON l.id = lo.id_lista WHERE l.nombre = 'TipoDocumento' AND upper(lo.nombre) = upper('"&amp;SUBSTITUTE(TRIM(B245),"'","''")&amp;"') AND lo.estado = 1 LIMIT 1)")&amp;", p_numero_documento =&gt; "&amp;IF(TRIM(C245&amp;"")="","NULL","'"&amp;SUBSTITUTE(TRIM(C245),"'","''")&amp;"'")&amp;", p_telefono =&gt; "&amp;IF(TRIM(L245&amp;"")="","NULL","'"&amp;SUBSTITUTE(TRIM(L245),"'","''")&amp;"'")&amp;", p_email =&gt; "&amp;IF(TRIM(M245&amp;"")="","NULL","'"&amp;SUBSTITUTE(TRIM(M245),"'","''")&amp;"'")&amp;", p_observacion =&gt; "&amp;IF(TRIM(O245&amp;"")="","NULL","'"&amp;SUBSTITUTE(TRIM(O245),"'","''")&amp;"'")&amp;", p_direccion =&gt; "&amp;IF(TRIM(J245&amp;"")="","NULL","'"&amp;SUBSTITUTE(TRIM(J245),"'","''")&amp;"'")&amp;", p_referencia =&gt; "&amp;IF(TRIM(K245&amp;"")="","NULL","'"&amp;SUBSTITUTE(TRIM(K245),"'","''")&amp;"'")&amp;") AS resultado_cliente_"&amp;ROW()&amp;";")</f>
        <v/>
      </c>
    </row>
    <row r="246" ht="15.75" customHeight="1" s="64">
      <c r="A246" s="25">
        <f>IF(AND(D246="",E246="",C246=""),"",IF(AND(D246="",E246=""),"FALTA razón social o nombres",IF(AND(C246&lt;&gt;"",SUMPRODUCT(--($C$5:$C$549=C246))&gt;1),"DOCUMENTO DUPLICADO",IF(AND(B246="DNI",C246&lt;&gt;"",LEN(C246&amp;"")&lt;&gt;8),"DNI debe tener 8 dígitos",IF(AND(B246="RUC",C246&lt;&gt;"",LEN(C246&amp;"")&lt;&gt;11),"RUC debe tener 11 dígitos",IF(AND(N246&lt;&gt;"",SUMPRODUCT(--($N$5:$N$549=N246))&gt;1),"CÓDIGO INTERNO DUPLICADO","OK"))))))</f>
        <v/>
      </c>
      <c r="B246" s="17" t="inlineStr">
        <is>
          <t>DNI</t>
        </is>
      </c>
      <c r="C246" s="23" t="inlineStr">
        <is>
          <t>42781779</t>
        </is>
      </c>
      <c r="D246" s="17" t="n"/>
      <c r="E246" s="17" t="inlineStr">
        <is>
          <t>MANUEL</t>
        </is>
      </c>
      <c r="F246" s="17" t="inlineStr">
        <is>
          <t>SANTISTEBAN</t>
        </is>
      </c>
      <c r="G246" s="17" t="inlineStr">
        <is>
          <t>RIOJAS</t>
        </is>
      </c>
      <c r="H246" s="17" t="inlineStr">
        <is>
          <t>Persona Natural</t>
        </is>
      </c>
      <c r="I246" s="17" t="inlineStr">
        <is>
          <t>Cliente</t>
        </is>
      </c>
      <c r="J246" s="17" t="n"/>
      <c r="K246" s="17" t="n"/>
      <c r="L246" s="23" t="n"/>
      <c r="M246" s="17" t="n"/>
      <c r="N246" s="23" t="n"/>
      <c r="O246" s="17" t="n"/>
      <c r="P246" s="28">
        <f>IF(A246&lt;&gt;"OK","","SELECT cli_crear_clientes(p_codigo_interno =&gt; "&amp;IF(TRIM(N246&amp;"")="","NULL","'"&amp;SUBSTITUTE(TRIM(N246),"'","''")&amp;"'")&amp;", p_razon_social =&gt; "&amp;IF(TRIM(D246&amp;"")="","NULL","'"&amp;SUBSTITUTE(TRIM(D246),"'","''")&amp;"'")&amp;", p_id_tipo_cliente =&gt; "&amp;IF(TRIM(I246&amp;"")="","NULL","(SELECT lo.id FROM gen_lista_opciones lo JOIN gen_lista l ON l.id = lo.id_lista WHERE l.nombre = 'TipoCliente' AND upper(lo.nombre) = upper('"&amp;SUBSTITUTE(TRIM(I246),"'","''")&amp;"') AND lo.estado = 1 LIMIT 1)")&amp;", p_id_tipo_persona =&gt; "&amp;IF(TRIM(H246&amp;"")="","NULL","(SELECT lo.id FROM gen_lista_opciones lo JOIN gen_lista l ON l.id = lo.id_lista WHERE l.nombre = 'TipoPersona' AND upper(lo.nombre) = upper('"&amp;SUBSTITUTE(TRIM(H246),"'","''")&amp;"') AND lo.estado = 1 LIMIT 1)")&amp;", p_nombres =&gt; "&amp;IF(TRIM(E246&amp;"")="","NULL","'"&amp;SUBSTITUTE(TRIM(E246),"'","''")&amp;"'")&amp;", p_apellido_paterno =&gt; "&amp;IF(TRIM(F246&amp;"")="","NULL","'"&amp;SUBSTITUTE(TRIM(F246),"'","''")&amp;"'")&amp;", p_apellido_materno =&gt; "&amp;IF(TRIM(G246&amp;"")="","NULL","'"&amp;SUBSTITUTE(TRIM(G246),"'","''")&amp;"'")&amp;", p_id_tipo_documento =&gt; "&amp;IF(TRIM(B246&amp;"")="","NULL","(SELECT lo.id FROM gen_lista_opciones lo JOIN gen_lista l ON l.id = lo.id_lista WHERE l.nombre = 'TipoDocumento' AND upper(lo.nombre) = upper('"&amp;SUBSTITUTE(TRIM(B246),"'","''")&amp;"') AND lo.estado = 1 LIMIT 1)")&amp;", p_numero_documento =&gt; "&amp;IF(TRIM(C246&amp;"")="","NULL","'"&amp;SUBSTITUTE(TRIM(C246),"'","''")&amp;"'")&amp;", p_telefono =&gt; "&amp;IF(TRIM(L246&amp;"")="","NULL","'"&amp;SUBSTITUTE(TRIM(L246),"'","''")&amp;"'")&amp;", p_email =&gt; "&amp;IF(TRIM(M246&amp;"")="","NULL","'"&amp;SUBSTITUTE(TRIM(M246),"'","''")&amp;"'")&amp;", p_observacion =&gt; "&amp;IF(TRIM(O246&amp;"")="","NULL","'"&amp;SUBSTITUTE(TRIM(O246),"'","''")&amp;"'")&amp;", p_direccion =&gt; "&amp;IF(TRIM(J246&amp;"")="","NULL","'"&amp;SUBSTITUTE(TRIM(J246),"'","''")&amp;"'")&amp;", p_referencia =&gt; "&amp;IF(TRIM(K246&amp;"")="","NULL","'"&amp;SUBSTITUTE(TRIM(K246),"'","''")&amp;"'")&amp;") AS resultado_cliente_"&amp;ROW()&amp;";")</f>
        <v/>
      </c>
    </row>
    <row r="247" ht="15.75" customHeight="1" s="64">
      <c r="A247" s="25">
        <f>IF(AND(D247="",E247="",C247=""),"",IF(AND(D247="",E247=""),"FALTA razón social o nombres",IF(AND(C247&lt;&gt;"",SUMPRODUCT(--($C$5:$C$549=C247))&gt;1),"DOCUMENTO DUPLICADO",IF(AND(B247="DNI",C247&lt;&gt;"",LEN(C247&amp;"")&lt;&gt;8),"DNI debe tener 8 dígitos",IF(AND(B247="RUC",C247&lt;&gt;"",LEN(C247&amp;"")&lt;&gt;11),"RUC debe tener 11 dígitos",IF(AND(N247&lt;&gt;"",SUMPRODUCT(--($N$5:$N$549=N247))&gt;1),"CÓDIGO INTERNO DUPLICADO","OK"))))))</f>
        <v/>
      </c>
      <c r="B247" s="17" t="inlineStr">
        <is>
          <t>DNI</t>
        </is>
      </c>
      <c r="C247" s="23" t="inlineStr">
        <is>
          <t>43626737</t>
        </is>
      </c>
      <c r="D247" s="17" t="n"/>
      <c r="E247" s="17" t="inlineStr">
        <is>
          <t>NILSEN</t>
        </is>
      </c>
      <c r="F247" s="17" t="inlineStr">
        <is>
          <t xml:space="preserve"> SATALAYA</t>
        </is>
      </c>
      <c r="G247" s="17" t="inlineStr">
        <is>
          <t>ROJAS</t>
        </is>
      </c>
      <c r="H247" s="17" t="inlineStr">
        <is>
          <t>Persona Natural</t>
        </is>
      </c>
      <c r="I247" s="17" t="inlineStr">
        <is>
          <t>Cliente</t>
        </is>
      </c>
      <c r="J247" s="17" t="n"/>
      <c r="K247" s="17" t="n"/>
      <c r="L247" s="23" t="n"/>
      <c r="M247" s="17" t="n"/>
      <c r="N247" s="23" t="n"/>
      <c r="O247" s="17" t="n"/>
      <c r="P247" s="28">
        <f>IF(A247&lt;&gt;"OK","","SELECT cli_crear_clientes(p_codigo_interno =&gt; "&amp;IF(TRIM(N247&amp;"")="","NULL","'"&amp;SUBSTITUTE(TRIM(N247),"'","''")&amp;"'")&amp;", p_razon_social =&gt; "&amp;IF(TRIM(D247&amp;"")="","NULL","'"&amp;SUBSTITUTE(TRIM(D247),"'","''")&amp;"'")&amp;", p_id_tipo_cliente =&gt; "&amp;IF(TRIM(I247&amp;"")="","NULL","(SELECT lo.id FROM gen_lista_opciones lo JOIN gen_lista l ON l.id = lo.id_lista WHERE l.nombre = 'TipoCliente' AND upper(lo.nombre) = upper('"&amp;SUBSTITUTE(TRIM(I247),"'","''")&amp;"') AND lo.estado = 1 LIMIT 1)")&amp;", p_id_tipo_persona =&gt; "&amp;IF(TRIM(H247&amp;"")="","NULL","(SELECT lo.id FROM gen_lista_opciones lo JOIN gen_lista l ON l.id = lo.id_lista WHERE l.nombre = 'TipoPersona' AND upper(lo.nombre) = upper('"&amp;SUBSTITUTE(TRIM(H247),"'","''")&amp;"') AND lo.estado = 1 LIMIT 1)")&amp;", p_nombres =&gt; "&amp;IF(TRIM(E247&amp;"")="","NULL","'"&amp;SUBSTITUTE(TRIM(E247),"'","''")&amp;"'")&amp;", p_apellido_paterno =&gt; "&amp;IF(TRIM(F247&amp;"")="","NULL","'"&amp;SUBSTITUTE(TRIM(F247),"'","''")&amp;"'")&amp;", p_apellido_materno =&gt; "&amp;IF(TRIM(G247&amp;"")="","NULL","'"&amp;SUBSTITUTE(TRIM(G247),"'","''")&amp;"'")&amp;", p_id_tipo_documento =&gt; "&amp;IF(TRIM(B247&amp;"")="","NULL","(SELECT lo.id FROM gen_lista_opciones lo JOIN gen_lista l ON l.id = lo.id_lista WHERE l.nombre = 'TipoDocumento' AND upper(lo.nombre) = upper('"&amp;SUBSTITUTE(TRIM(B247),"'","''")&amp;"') AND lo.estado = 1 LIMIT 1)")&amp;", p_numero_documento =&gt; "&amp;IF(TRIM(C247&amp;"")="","NULL","'"&amp;SUBSTITUTE(TRIM(C247),"'","''")&amp;"'")&amp;", p_telefono =&gt; "&amp;IF(TRIM(L247&amp;"")="","NULL","'"&amp;SUBSTITUTE(TRIM(L247),"'","''")&amp;"'")&amp;", p_email =&gt; "&amp;IF(TRIM(M247&amp;"")="","NULL","'"&amp;SUBSTITUTE(TRIM(M247),"'","''")&amp;"'")&amp;", p_observacion =&gt; "&amp;IF(TRIM(O247&amp;"")="","NULL","'"&amp;SUBSTITUTE(TRIM(O247),"'","''")&amp;"'")&amp;", p_direccion =&gt; "&amp;IF(TRIM(J247&amp;"")="","NULL","'"&amp;SUBSTITUTE(TRIM(J247),"'","''")&amp;"'")&amp;", p_referencia =&gt; "&amp;IF(TRIM(K247&amp;"")="","NULL","'"&amp;SUBSTITUTE(TRIM(K247),"'","''")&amp;"'")&amp;") AS resultado_cliente_"&amp;ROW()&amp;";")</f>
        <v/>
      </c>
    </row>
    <row r="248" ht="15.75" customHeight="1" s="64">
      <c r="A248" s="25">
        <f>IF(AND(D248="",E248="",C248=""),"",IF(AND(D248="",E248=""),"FALTA razón social o nombres",IF(AND(C248&lt;&gt;"",SUMPRODUCT(--($C$5:$C$549=C248))&gt;1),"DOCUMENTO DUPLICADO",IF(AND(B248="DNI",C248&lt;&gt;"",LEN(C248&amp;"")&lt;&gt;8),"DNI debe tener 8 dígitos",IF(AND(B248="RUC",C248&lt;&gt;"",LEN(C248&amp;"")&lt;&gt;11),"RUC debe tener 11 dígitos",IF(AND(N248&lt;&gt;"",SUMPRODUCT(--($N$5:$N$549=N248))&gt;1),"CÓDIGO INTERNO DUPLICADO","OK"))))))</f>
        <v/>
      </c>
      <c r="B248" s="17" t="inlineStr">
        <is>
          <t>DNI</t>
        </is>
      </c>
      <c r="C248" s="23" t="inlineStr">
        <is>
          <t>16413826</t>
        </is>
      </c>
      <c r="D248" s="17" t="n"/>
      <c r="E248" s="17" t="inlineStr">
        <is>
          <t>JULIO</t>
        </is>
      </c>
      <c r="F248" s="17" t="inlineStr">
        <is>
          <t>SERQUEN</t>
        </is>
      </c>
      <c r="G248" s="17" t="inlineStr">
        <is>
          <t>UBILLUS</t>
        </is>
      </c>
      <c r="H248" s="17" t="inlineStr">
        <is>
          <t>Persona Natural</t>
        </is>
      </c>
      <c r="I248" s="17" t="inlineStr">
        <is>
          <t>Cliente</t>
        </is>
      </c>
      <c r="J248" s="17" t="n"/>
      <c r="K248" s="17" t="n"/>
      <c r="L248" s="23" t="n"/>
      <c r="M248" s="17" t="n"/>
      <c r="N248" s="23" t="n"/>
      <c r="O248" s="17" t="n"/>
      <c r="P248" s="28">
        <f>IF(A248&lt;&gt;"OK","","SELECT cli_crear_clientes(p_codigo_interno =&gt; "&amp;IF(TRIM(N248&amp;"")="","NULL","'"&amp;SUBSTITUTE(TRIM(N248),"'","''")&amp;"'")&amp;", p_razon_social =&gt; "&amp;IF(TRIM(D248&amp;"")="","NULL","'"&amp;SUBSTITUTE(TRIM(D248),"'","''")&amp;"'")&amp;", p_id_tipo_cliente =&gt; "&amp;IF(TRIM(I248&amp;"")="","NULL","(SELECT lo.id FROM gen_lista_opciones lo JOIN gen_lista l ON l.id = lo.id_lista WHERE l.nombre = 'TipoCliente' AND upper(lo.nombre) = upper('"&amp;SUBSTITUTE(TRIM(I248),"'","''")&amp;"') AND lo.estado = 1 LIMIT 1)")&amp;", p_id_tipo_persona =&gt; "&amp;IF(TRIM(H248&amp;"")="","NULL","(SELECT lo.id FROM gen_lista_opciones lo JOIN gen_lista l ON l.id = lo.id_lista WHERE l.nombre = 'TipoPersona' AND upper(lo.nombre) = upper('"&amp;SUBSTITUTE(TRIM(H248),"'","''")&amp;"') AND lo.estado = 1 LIMIT 1)")&amp;", p_nombres =&gt; "&amp;IF(TRIM(E248&amp;"")="","NULL","'"&amp;SUBSTITUTE(TRIM(E248),"'","''")&amp;"'")&amp;", p_apellido_paterno =&gt; "&amp;IF(TRIM(F248&amp;"")="","NULL","'"&amp;SUBSTITUTE(TRIM(F248),"'","''")&amp;"'")&amp;", p_apellido_materno =&gt; "&amp;IF(TRIM(G248&amp;"")="","NULL","'"&amp;SUBSTITUTE(TRIM(G248),"'","''")&amp;"'")&amp;", p_id_tipo_documento =&gt; "&amp;IF(TRIM(B248&amp;"")="","NULL","(SELECT lo.id FROM gen_lista_opciones lo JOIN gen_lista l ON l.id = lo.id_lista WHERE l.nombre = 'TipoDocumento' AND upper(lo.nombre) = upper('"&amp;SUBSTITUTE(TRIM(B248),"'","''")&amp;"') AND lo.estado = 1 LIMIT 1)")&amp;", p_numero_documento =&gt; "&amp;IF(TRIM(C248&amp;"")="","NULL","'"&amp;SUBSTITUTE(TRIM(C248),"'","''")&amp;"'")&amp;", p_telefono =&gt; "&amp;IF(TRIM(L248&amp;"")="","NULL","'"&amp;SUBSTITUTE(TRIM(L248),"'","''")&amp;"'")&amp;", p_email =&gt; "&amp;IF(TRIM(M248&amp;"")="","NULL","'"&amp;SUBSTITUTE(TRIM(M248),"'","''")&amp;"'")&amp;", p_observacion =&gt; "&amp;IF(TRIM(O248&amp;"")="","NULL","'"&amp;SUBSTITUTE(TRIM(O248),"'","''")&amp;"'")&amp;", p_direccion =&gt; "&amp;IF(TRIM(J248&amp;"")="","NULL","'"&amp;SUBSTITUTE(TRIM(J248),"'","''")&amp;"'")&amp;", p_referencia =&gt; "&amp;IF(TRIM(K248&amp;"")="","NULL","'"&amp;SUBSTITUTE(TRIM(K248),"'","''")&amp;"'")&amp;") AS resultado_cliente_"&amp;ROW()&amp;";")</f>
        <v/>
      </c>
    </row>
    <row r="249" ht="15.75" customHeight="1" s="64">
      <c r="A249" s="25">
        <f>IF(AND(D249="",E249="",C249=""),"",IF(AND(D249="",E249=""),"FALTA razón social o nombres",IF(AND(C249&lt;&gt;"",SUMPRODUCT(--($C$5:$C$549=C249))&gt;1),"DOCUMENTO DUPLICADO",IF(AND(B249="DNI",C249&lt;&gt;"",LEN(C249&amp;"")&lt;&gt;8),"DNI debe tener 8 dígitos",IF(AND(B249="RUC",C249&lt;&gt;"",LEN(C249&amp;"")&lt;&gt;11),"RUC debe tener 11 dígitos",IF(AND(N249&lt;&gt;"",SUMPRODUCT(--($N$5:$N$549=N249))&gt;1),"CÓDIGO INTERNO DUPLICADO","OK"))))))</f>
        <v/>
      </c>
      <c r="B249" s="17" t="inlineStr">
        <is>
          <t>SD</t>
        </is>
      </c>
      <c r="C249" s="23" t="inlineStr">
        <is>
          <t>000062</t>
        </is>
      </c>
      <c r="D249" s="17" t="n"/>
      <c r="E249" s="17" t="inlineStr">
        <is>
          <t>SIPION (ROBERTO)</t>
        </is>
      </c>
      <c r="F249" s="17" t="n"/>
      <c r="G249" s="17" t="n"/>
      <c r="H249" s="17" t="inlineStr">
        <is>
          <t>Persona Natural</t>
        </is>
      </c>
      <c r="I249" s="17" t="inlineStr">
        <is>
          <t>Cliente</t>
        </is>
      </c>
      <c r="J249" s="17" t="n"/>
      <c r="K249" s="17" t="n"/>
      <c r="L249" s="23" t="n"/>
      <c r="M249" s="17" t="n"/>
      <c r="N249" s="23" t="n"/>
      <c r="O249" s="17" t="n"/>
      <c r="P249" s="28">
        <f>IF(A249&lt;&gt;"OK","","SELECT cli_crear_clientes(p_codigo_interno =&gt; "&amp;IF(TRIM(N249&amp;"")="","NULL","'"&amp;SUBSTITUTE(TRIM(N249),"'","''")&amp;"'")&amp;", p_razon_social =&gt; "&amp;IF(TRIM(D249&amp;"")="","NULL","'"&amp;SUBSTITUTE(TRIM(D249),"'","''")&amp;"'")&amp;", p_id_tipo_cliente =&gt; "&amp;IF(TRIM(I249&amp;"")="","NULL","(SELECT lo.id FROM gen_lista_opciones lo JOIN gen_lista l ON l.id = lo.id_lista WHERE l.nombre = 'TipoCliente' AND upper(lo.nombre) = upper('"&amp;SUBSTITUTE(TRIM(I249),"'","''")&amp;"') AND lo.estado = 1 LIMIT 1)")&amp;", p_id_tipo_persona =&gt; "&amp;IF(TRIM(H249&amp;"")="","NULL","(SELECT lo.id FROM gen_lista_opciones lo JOIN gen_lista l ON l.id = lo.id_lista WHERE l.nombre = 'TipoPersona' AND upper(lo.nombre) = upper('"&amp;SUBSTITUTE(TRIM(H249),"'","''")&amp;"') AND lo.estado = 1 LIMIT 1)")&amp;", p_nombres =&gt; "&amp;IF(TRIM(E249&amp;"")="","NULL","'"&amp;SUBSTITUTE(TRIM(E249),"'","''")&amp;"'")&amp;", p_apellido_paterno =&gt; "&amp;IF(TRIM(F249&amp;"")="","NULL","'"&amp;SUBSTITUTE(TRIM(F249),"'","''")&amp;"'")&amp;", p_apellido_materno =&gt; "&amp;IF(TRIM(G249&amp;"")="","NULL","'"&amp;SUBSTITUTE(TRIM(G249),"'","''")&amp;"'")&amp;", p_id_tipo_documento =&gt; "&amp;IF(TRIM(B249&amp;"")="","NULL","(SELECT lo.id FROM gen_lista_opciones lo JOIN gen_lista l ON l.id = lo.id_lista WHERE l.nombre = 'TipoDocumento' AND upper(lo.nombre) = upper('"&amp;SUBSTITUTE(TRIM(B249),"'","''")&amp;"') AND lo.estado = 1 LIMIT 1)")&amp;", p_numero_documento =&gt; "&amp;IF(TRIM(C249&amp;"")="","NULL","'"&amp;SUBSTITUTE(TRIM(C249),"'","''")&amp;"'")&amp;", p_telefono =&gt; "&amp;IF(TRIM(L249&amp;"")="","NULL","'"&amp;SUBSTITUTE(TRIM(L249),"'","''")&amp;"'")&amp;", p_email =&gt; "&amp;IF(TRIM(M249&amp;"")="","NULL","'"&amp;SUBSTITUTE(TRIM(M249),"'","''")&amp;"'")&amp;", p_observacion =&gt; "&amp;IF(TRIM(O249&amp;"")="","NULL","'"&amp;SUBSTITUTE(TRIM(O249),"'","''")&amp;"'")&amp;", p_direccion =&gt; "&amp;IF(TRIM(J249&amp;"")="","NULL","'"&amp;SUBSTITUTE(TRIM(J249),"'","''")&amp;"'")&amp;", p_referencia =&gt; "&amp;IF(TRIM(K249&amp;"")="","NULL","'"&amp;SUBSTITUTE(TRIM(K249),"'","''")&amp;"'")&amp;") AS resultado_cliente_"&amp;ROW()&amp;";")</f>
        <v/>
      </c>
    </row>
    <row r="250" ht="15.75" customHeight="1" s="64">
      <c r="A250" s="25">
        <f>IF(AND(D250="",E250="",C250=""),"",IF(AND(D250="",E250=""),"FALTA razón social o nombres",IF(AND(C250&lt;&gt;"",SUMPRODUCT(--($C$5:$C$549=C250))&gt;1),"DOCUMENTO DUPLICADO",IF(AND(B250="DNI",C250&lt;&gt;"",LEN(C250&amp;"")&lt;&gt;8),"DNI debe tener 8 dígitos",IF(AND(B250="RUC",C250&lt;&gt;"",LEN(C250&amp;"")&lt;&gt;11),"RUC debe tener 11 dígitos",IF(AND(N250&lt;&gt;"",SUMPRODUCT(--($N$5:$N$549=N250))&gt;1),"CÓDIGO INTERNO DUPLICADO","OK"))))))</f>
        <v/>
      </c>
      <c r="B250" s="17" t="inlineStr">
        <is>
          <t>DNI</t>
        </is>
      </c>
      <c r="C250" s="23" t="inlineStr">
        <is>
          <t>40518031</t>
        </is>
      </c>
      <c r="D250" s="17" t="n"/>
      <c r="E250" s="17" t="inlineStr">
        <is>
          <t>ABELARDO</t>
        </is>
      </c>
      <c r="F250" s="17" t="inlineStr">
        <is>
          <t>SOBERON</t>
        </is>
      </c>
      <c r="G250" s="17" t="inlineStr">
        <is>
          <t>VILLANUEVA</t>
        </is>
      </c>
      <c r="H250" s="17" t="inlineStr">
        <is>
          <t>Persona Natural</t>
        </is>
      </c>
      <c r="I250" s="17" t="inlineStr">
        <is>
          <t>Cliente</t>
        </is>
      </c>
      <c r="J250" s="17" t="n"/>
      <c r="K250" s="17" t="n"/>
      <c r="L250" s="23" t="n"/>
      <c r="M250" s="17" t="n"/>
      <c r="N250" s="23" t="n"/>
      <c r="O250" s="17" t="n"/>
      <c r="P250" s="28">
        <f>IF(A250&lt;&gt;"OK","","SELECT cli_crear_clientes(p_codigo_interno =&gt; "&amp;IF(TRIM(N250&amp;"")="","NULL","'"&amp;SUBSTITUTE(TRIM(N250),"'","''")&amp;"'")&amp;", p_razon_social =&gt; "&amp;IF(TRIM(D250&amp;"")="","NULL","'"&amp;SUBSTITUTE(TRIM(D250),"'","''")&amp;"'")&amp;", p_id_tipo_cliente =&gt; "&amp;IF(TRIM(I250&amp;"")="","NULL","(SELECT lo.id FROM gen_lista_opciones lo JOIN gen_lista l ON l.id = lo.id_lista WHERE l.nombre = 'TipoCliente' AND upper(lo.nombre) = upper('"&amp;SUBSTITUTE(TRIM(I250),"'","''")&amp;"') AND lo.estado = 1 LIMIT 1)")&amp;", p_id_tipo_persona =&gt; "&amp;IF(TRIM(H250&amp;"")="","NULL","(SELECT lo.id FROM gen_lista_opciones lo JOIN gen_lista l ON l.id = lo.id_lista WHERE l.nombre = 'TipoPersona' AND upper(lo.nombre) = upper('"&amp;SUBSTITUTE(TRIM(H250),"'","''")&amp;"') AND lo.estado = 1 LIMIT 1)")&amp;", p_nombres =&gt; "&amp;IF(TRIM(E250&amp;"")="","NULL","'"&amp;SUBSTITUTE(TRIM(E250),"'","''")&amp;"'")&amp;", p_apellido_paterno =&gt; "&amp;IF(TRIM(F250&amp;"")="","NULL","'"&amp;SUBSTITUTE(TRIM(F250),"'","''")&amp;"'")&amp;", p_apellido_materno =&gt; "&amp;IF(TRIM(G250&amp;"")="","NULL","'"&amp;SUBSTITUTE(TRIM(G250),"'","''")&amp;"'")&amp;", p_id_tipo_documento =&gt; "&amp;IF(TRIM(B250&amp;"")="","NULL","(SELECT lo.id FROM gen_lista_opciones lo JOIN gen_lista l ON l.id = lo.id_lista WHERE l.nombre = 'TipoDocumento' AND upper(lo.nombre) = upper('"&amp;SUBSTITUTE(TRIM(B250),"'","''")&amp;"') AND lo.estado = 1 LIMIT 1)")&amp;", p_numero_documento =&gt; "&amp;IF(TRIM(C250&amp;"")="","NULL","'"&amp;SUBSTITUTE(TRIM(C250),"'","''")&amp;"'")&amp;", p_telefono =&gt; "&amp;IF(TRIM(L250&amp;"")="","NULL","'"&amp;SUBSTITUTE(TRIM(L250),"'","''")&amp;"'")&amp;", p_email =&gt; "&amp;IF(TRIM(M250&amp;"")="","NULL","'"&amp;SUBSTITUTE(TRIM(M250),"'","''")&amp;"'")&amp;", p_observacion =&gt; "&amp;IF(TRIM(O250&amp;"")="","NULL","'"&amp;SUBSTITUTE(TRIM(O250),"'","''")&amp;"'")&amp;", p_direccion =&gt; "&amp;IF(TRIM(J250&amp;"")="","NULL","'"&amp;SUBSTITUTE(TRIM(J250),"'","''")&amp;"'")&amp;", p_referencia =&gt; "&amp;IF(TRIM(K250&amp;"")="","NULL","'"&amp;SUBSTITUTE(TRIM(K250),"'","''")&amp;"'")&amp;") AS resultado_cliente_"&amp;ROW()&amp;";")</f>
        <v/>
      </c>
    </row>
    <row r="251" ht="15.75" customHeight="1" s="64">
      <c r="A251" s="25">
        <f>IF(AND(D251="",E251="",C251=""),"",IF(AND(D251="",E251=""),"FALTA razón social o nombres",IF(AND(C251&lt;&gt;"",SUMPRODUCT(--($C$5:$C$549=C251))&gt;1),"DOCUMENTO DUPLICADO",IF(AND(B251="DNI",C251&lt;&gt;"",LEN(C251&amp;"")&lt;&gt;8),"DNI debe tener 8 dígitos",IF(AND(B251="RUC",C251&lt;&gt;"",LEN(C251&amp;"")&lt;&gt;11),"RUC debe tener 11 dígitos",IF(AND(N251&lt;&gt;"",SUMPRODUCT(--($N$5:$N$549=N251))&gt;1),"CÓDIGO INTERNO DUPLICADO","OK"))))))</f>
        <v/>
      </c>
      <c r="B251" s="17" t="inlineStr">
        <is>
          <t>DNI</t>
        </is>
      </c>
      <c r="C251" s="23" t="inlineStr">
        <is>
          <t>80542803</t>
        </is>
      </c>
      <c r="D251" s="17" t="n"/>
      <c r="E251" s="17" t="inlineStr">
        <is>
          <t>JAIME</t>
        </is>
      </c>
      <c r="F251" s="17" t="inlineStr">
        <is>
          <t>TABOADA</t>
        </is>
      </c>
      <c r="G251" s="17" t="inlineStr">
        <is>
          <t>SERRATO</t>
        </is>
      </c>
      <c r="H251" s="17" t="inlineStr">
        <is>
          <t>Persona Natural</t>
        </is>
      </c>
      <c r="I251" s="17" t="inlineStr">
        <is>
          <t>Cliente</t>
        </is>
      </c>
      <c r="J251" s="17" t="n"/>
      <c r="K251" s="17" t="n"/>
      <c r="L251" s="23" t="n"/>
      <c r="M251" s="17" t="n"/>
      <c r="N251" s="23" t="n"/>
      <c r="O251" s="17" t="n"/>
      <c r="P251" s="28">
        <f>IF(A251&lt;&gt;"OK","","SELECT cli_crear_clientes(p_codigo_interno =&gt; "&amp;IF(TRIM(N251&amp;"")="","NULL","'"&amp;SUBSTITUTE(TRIM(N251),"'","''")&amp;"'")&amp;", p_razon_social =&gt; "&amp;IF(TRIM(D251&amp;"")="","NULL","'"&amp;SUBSTITUTE(TRIM(D251),"'","''")&amp;"'")&amp;", p_id_tipo_cliente =&gt; "&amp;IF(TRIM(I251&amp;"")="","NULL","(SELECT lo.id FROM gen_lista_opciones lo JOIN gen_lista l ON l.id = lo.id_lista WHERE l.nombre = 'TipoCliente' AND upper(lo.nombre) = upper('"&amp;SUBSTITUTE(TRIM(I251),"'","''")&amp;"') AND lo.estado = 1 LIMIT 1)")&amp;", p_id_tipo_persona =&gt; "&amp;IF(TRIM(H251&amp;"")="","NULL","(SELECT lo.id FROM gen_lista_opciones lo JOIN gen_lista l ON l.id = lo.id_lista WHERE l.nombre = 'TipoPersona' AND upper(lo.nombre) = upper('"&amp;SUBSTITUTE(TRIM(H251),"'","''")&amp;"') AND lo.estado = 1 LIMIT 1)")&amp;", p_nombres =&gt; "&amp;IF(TRIM(E251&amp;"")="","NULL","'"&amp;SUBSTITUTE(TRIM(E251),"'","''")&amp;"'")&amp;", p_apellido_paterno =&gt; "&amp;IF(TRIM(F251&amp;"")="","NULL","'"&amp;SUBSTITUTE(TRIM(F251),"'","''")&amp;"'")&amp;", p_apellido_materno =&gt; "&amp;IF(TRIM(G251&amp;"")="","NULL","'"&amp;SUBSTITUTE(TRIM(G251),"'","''")&amp;"'")&amp;", p_id_tipo_documento =&gt; "&amp;IF(TRIM(B251&amp;"")="","NULL","(SELECT lo.id FROM gen_lista_opciones lo JOIN gen_lista l ON l.id = lo.id_lista WHERE l.nombre = 'TipoDocumento' AND upper(lo.nombre) = upper('"&amp;SUBSTITUTE(TRIM(B251),"'","''")&amp;"') AND lo.estado = 1 LIMIT 1)")&amp;", p_numero_documento =&gt; "&amp;IF(TRIM(C251&amp;"")="","NULL","'"&amp;SUBSTITUTE(TRIM(C251),"'","''")&amp;"'")&amp;", p_telefono =&gt; "&amp;IF(TRIM(L251&amp;"")="","NULL","'"&amp;SUBSTITUTE(TRIM(L251),"'","''")&amp;"'")&amp;", p_email =&gt; "&amp;IF(TRIM(M251&amp;"")="","NULL","'"&amp;SUBSTITUTE(TRIM(M251),"'","''")&amp;"'")&amp;", p_observacion =&gt; "&amp;IF(TRIM(O251&amp;"")="","NULL","'"&amp;SUBSTITUTE(TRIM(O251),"'","''")&amp;"'")&amp;", p_direccion =&gt; "&amp;IF(TRIM(J251&amp;"")="","NULL","'"&amp;SUBSTITUTE(TRIM(J251),"'","''")&amp;"'")&amp;", p_referencia =&gt; "&amp;IF(TRIM(K251&amp;"")="","NULL","'"&amp;SUBSTITUTE(TRIM(K251),"'","''")&amp;"'")&amp;") AS resultado_cliente_"&amp;ROW()&amp;";")</f>
        <v/>
      </c>
    </row>
    <row r="252" ht="15.75" customHeight="1" s="64">
      <c r="A252" s="25">
        <f>IF(AND(D252="",E252="",C252=""),"",IF(AND(D252="",E252=""),"FALTA razón social o nombres",IF(AND(C252&lt;&gt;"",SUMPRODUCT(--($C$5:$C$549=C252))&gt;1),"DOCUMENTO DUPLICADO",IF(AND(B252="DNI",C252&lt;&gt;"",LEN(C252&amp;"")&lt;&gt;8),"DNI debe tener 8 dígitos",IF(AND(B252="RUC",C252&lt;&gt;"",LEN(C252&amp;"")&lt;&gt;11),"RUC debe tener 11 dígitos",IF(AND(N252&lt;&gt;"",SUMPRODUCT(--($N$5:$N$549=N252))&gt;1),"CÓDIGO INTERNO DUPLICADO","OK"))))))</f>
        <v/>
      </c>
      <c r="B252" s="17" t="inlineStr">
        <is>
          <t>RUC</t>
        </is>
      </c>
      <c r="C252" s="23" t="inlineStr">
        <is>
          <t>20601110661</t>
        </is>
      </c>
      <c r="D252" s="17" t="inlineStr">
        <is>
          <t>TENDENCIAS ARQUITECTURA Y DISEÑO E.I.R.L.</t>
        </is>
      </c>
      <c r="E252" s="17" t="n"/>
      <c r="F252" s="17" t="n"/>
      <c r="G252" s="17" t="n"/>
      <c r="H252" s="17" t="inlineStr">
        <is>
          <t>Persona Jurídica</t>
        </is>
      </c>
      <c r="I252" s="17" t="inlineStr">
        <is>
          <t>Cliente</t>
        </is>
      </c>
      <c r="J252" s="17" t="n"/>
      <c r="K252" s="17" t="n"/>
      <c r="L252" s="23" t="n"/>
      <c r="M252" s="17" t="n"/>
      <c r="N252" s="23" t="n"/>
      <c r="O252" s="17" t="n"/>
      <c r="P252" s="28">
        <f>IF(A252&lt;&gt;"OK","","SELECT cli_crear_clientes(p_codigo_interno =&gt; "&amp;IF(TRIM(N252&amp;"")="","NULL","'"&amp;SUBSTITUTE(TRIM(N252),"'","''")&amp;"'")&amp;", p_razon_social =&gt; "&amp;IF(TRIM(D252&amp;"")="","NULL","'"&amp;SUBSTITUTE(TRIM(D252),"'","''")&amp;"'")&amp;", p_id_tipo_cliente =&gt; "&amp;IF(TRIM(I252&amp;"")="","NULL","(SELECT lo.id FROM gen_lista_opciones lo JOIN gen_lista l ON l.id = lo.id_lista WHERE l.nombre = 'TipoCliente' AND upper(lo.nombre) = upper('"&amp;SUBSTITUTE(TRIM(I252),"'","''")&amp;"') AND lo.estado = 1 LIMIT 1)")&amp;", p_id_tipo_persona =&gt; "&amp;IF(TRIM(H252&amp;"")="","NULL","(SELECT lo.id FROM gen_lista_opciones lo JOIN gen_lista l ON l.id = lo.id_lista WHERE l.nombre = 'TipoPersona' AND upper(lo.nombre) = upper('"&amp;SUBSTITUTE(TRIM(H252),"'","''")&amp;"') AND lo.estado = 1 LIMIT 1)")&amp;", p_nombres =&gt; "&amp;IF(TRIM(E252&amp;"")="","NULL","'"&amp;SUBSTITUTE(TRIM(E252),"'","''")&amp;"'")&amp;", p_apellido_paterno =&gt; "&amp;IF(TRIM(F252&amp;"")="","NULL","'"&amp;SUBSTITUTE(TRIM(F252),"'","''")&amp;"'")&amp;", p_apellido_materno =&gt; "&amp;IF(TRIM(G252&amp;"")="","NULL","'"&amp;SUBSTITUTE(TRIM(G252),"'","''")&amp;"'")&amp;", p_id_tipo_documento =&gt; "&amp;IF(TRIM(B252&amp;"")="","NULL","(SELECT lo.id FROM gen_lista_opciones lo JOIN gen_lista l ON l.id = lo.id_lista WHERE l.nombre = 'TipoDocumento' AND upper(lo.nombre) = upper('"&amp;SUBSTITUTE(TRIM(B252),"'","''")&amp;"') AND lo.estado = 1 LIMIT 1)")&amp;", p_numero_documento =&gt; "&amp;IF(TRIM(C252&amp;"")="","NULL","'"&amp;SUBSTITUTE(TRIM(C252),"'","''")&amp;"'")&amp;", p_telefono =&gt; "&amp;IF(TRIM(L252&amp;"")="","NULL","'"&amp;SUBSTITUTE(TRIM(L252),"'","''")&amp;"'")&amp;", p_email =&gt; "&amp;IF(TRIM(M252&amp;"")="","NULL","'"&amp;SUBSTITUTE(TRIM(M252),"'","''")&amp;"'")&amp;", p_observacion =&gt; "&amp;IF(TRIM(O252&amp;"")="","NULL","'"&amp;SUBSTITUTE(TRIM(O252),"'","''")&amp;"'")&amp;", p_direccion =&gt; "&amp;IF(TRIM(J252&amp;"")="","NULL","'"&amp;SUBSTITUTE(TRIM(J252),"'","''")&amp;"'")&amp;", p_referencia =&gt; "&amp;IF(TRIM(K252&amp;"")="","NULL","'"&amp;SUBSTITUTE(TRIM(K252),"'","''")&amp;"'")&amp;") AS resultado_cliente_"&amp;ROW()&amp;";")</f>
        <v/>
      </c>
    </row>
    <row r="253" ht="15.75" customHeight="1" s="64">
      <c r="A253" s="25">
        <f>IF(AND(D253="",E253="",C253=""),"",IF(AND(D253="",E253=""),"FALTA razón social o nombres",IF(AND(C253&lt;&gt;"",SUMPRODUCT(--($C$5:$C$549=C253))&gt;1),"DOCUMENTO DUPLICADO",IF(AND(B253="DNI",C253&lt;&gt;"",LEN(C253&amp;"")&lt;&gt;8),"DNI debe tener 8 dígitos",IF(AND(B253="RUC",C253&lt;&gt;"",LEN(C253&amp;"")&lt;&gt;11),"RUC debe tener 11 dígitos",IF(AND(N253&lt;&gt;"",SUMPRODUCT(--($N$5:$N$549=N253))&gt;1),"CÓDIGO INTERNO DUPLICADO","OK"))))))</f>
        <v/>
      </c>
      <c r="B253" s="17" t="inlineStr">
        <is>
          <t>DNI</t>
        </is>
      </c>
      <c r="C253" s="23" t="inlineStr">
        <is>
          <t>16530919</t>
        </is>
      </c>
      <c r="D253" s="17" t="n"/>
      <c r="E253" s="17" t="inlineStr">
        <is>
          <t>ARNULFO ALIPIO</t>
        </is>
      </c>
      <c r="F253" s="17" t="inlineStr">
        <is>
          <t>TERAN</t>
        </is>
      </c>
      <c r="G253" s="17" t="inlineStr">
        <is>
          <t>BAZAN</t>
        </is>
      </c>
      <c r="H253" s="17" t="inlineStr">
        <is>
          <t>Persona Natural</t>
        </is>
      </c>
      <c r="I253" s="17" t="inlineStr">
        <is>
          <t>Cliente</t>
        </is>
      </c>
      <c r="J253" s="17" t="n"/>
      <c r="K253" s="17" t="n"/>
      <c r="L253" s="23" t="n"/>
      <c r="M253" s="17" t="n"/>
      <c r="N253" s="23" t="n"/>
      <c r="O253" s="17" t="n"/>
      <c r="P253" s="28">
        <f>IF(A253&lt;&gt;"OK","","SELECT cli_crear_clientes(p_codigo_interno =&gt; "&amp;IF(TRIM(N253&amp;"")="","NULL","'"&amp;SUBSTITUTE(TRIM(N253),"'","''")&amp;"'")&amp;", p_razon_social =&gt; "&amp;IF(TRIM(D253&amp;"")="","NULL","'"&amp;SUBSTITUTE(TRIM(D253),"'","''")&amp;"'")&amp;", p_id_tipo_cliente =&gt; "&amp;IF(TRIM(I253&amp;"")="","NULL","(SELECT lo.id FROM gen_lista_opciones lo JOIN gen_lista l ON l.id = lo.id_lista WHERE l.nombre = 'TipoCliente' AND upper(lo.nombre) = upper('"&amp;SUBSTITUTE(TRIM(I253),"'","''")&amp;"') AND lo.estado = 1 LIMIT 1)")&amp;", p_id_tipo_persona =&gt; "&amp;IF(TRIM(H253&amp;"")="","NULL","(SELECT lo.id FROM gen_lista_opciones lo JOIN gen_lista l ON l.id = lo.id_lista WHERE l.nombre = 'TipoPersona' AND upper(lo.nombre) = upper('"&amp;SUBSTITUTE(TRIM(H253),"'","''")&amp;"') AND lo.estado = 1 LIMIT 1)")&amp;", p_nombres =&gt; "&amp;IF(TRIM(E253&amp;"")="","NULL","'"&amp;SUBSTITUTE(TRIM(E253),"'","''")&amp;"'")&amp;", p_apellido_paterno =&gt; "&amp;IF(TRIM(F253&amp;"")="","NULL","'"&amp;SUBSTITUTE(TRIM(F253),"'","''")&amp;"'")&amp;", p_apellido_materno =&gt; "&amp;IF(TRIM(G253&amp;"")="","NULL","'"&amp;SUBSTITUTE(TRIM(G253),"'","''")&amp;"'")&amp;", p_id_tipo_documento =&gt; "&amp;IF(TRIM(B253&amp;"")="","NULL","(SELECT lo.id FROM gen_lista_opciones lo JOIN gen_lista l ON l.id = lo.id_lista WHERE l.nombre = 'TipoDocumento' AND upper(lo.nombre) = upper('"&amp;SUBSTITUTE(TRIM(B253),"'","''")&amp;"') AND lo.estado = 1 LIMIT 1)")&amp;", p_numero_documento =&gt; "&amp;IF(TRIM(C253&amp;"")="","NULL","'"&amp;SUBSTITUTE(TRIM(C253),"'","''")&amp;"'")&amp;", p_telefono =&gt; "&amp;IF(TRIM(L253&amp;"")="","NULL","'"&amp;SUBSTITUTE(TRIM(L253),"'","''")&amp;"'")&amp;", p_email =&gt; "&amp;IF(TRIM(M253&amp;"")="","NULL","'"&amp;SUBSTITUTE(TRIM(M253),"'","''")&amp;"'")&amp;", p_observacion =&gt; "&amp;IF(TRIM(O253&amp;"")="","NULL","'"&amp;SUBSTITUTE(TRIM(O253),"'","''")&amp;"'")&amp;", p_direccion =&gt; "&amp;IF(TRIM(J253&amp;"")="","NULL","'"&amp;SUBSTITUTE(TRIM(J253),"'","''")&amp;"'")&amp;", p_referencia =&gt; "&amp;IF(TRIM(K253&amp;"")="","NULL","'"&amp;SUBSTITUTE(TRIM(K253),"'","''")&amp;"'")&amp;") AS resultado_cliente_"&amp;ROW()&amp;";")</f>
        <v/>
      </c>
    </row>
    <row r="254" ht="15.75" customHeight="1" s="64">
      <c r="A254" s="25">
        <f>IF(AND(D254="",E254="",C254=""),"",IF(AND(D254="",E254=""),"FALTA razón social o nombres",IF(AND(C254&lt;&gt;"",SUMPRODUCT(--($C$5:$C$549=C254))&gt;1),"DOCUMENTO DUPLICADO",IF(AND(B254="DNI",C254&lt;&gt;"",LEN(C254&amp;"")&lt;&gt;8),"DNI debe tener 8 dígitos",IF(AND(B254="RUC",C254&lt;&gt;"",LEN(C254&amp;"")&lt;&gt;11),"RUC debe tener 11 dígitos",IF(AND(N254&lt;&gt;"",SUMPRODUCT(--($N$5:$N$549=N254))&gt;1),"CÓDIGO INTERNO DUPLICADO","OK"))))))</f>
        <v/>
      </c>
      <c r="B254" s="17" t="inlineStr">
        <is>
          <t>DNI</t>
        </is>
      </c>
      <c r="C254" s="23" t="inlineStr">
        <is>
          <t>40446471</t>
        </is>
      </c>
      <c r="D254" s="17" t="n"/>
      <c r="E254" s="17" t="inlineStr">
        <is>
          <t>YURI VLADIMIR</t>
        </is>
      </c>
      <c r="F254" s="17" t="inlineStr">
        <is>
          <t>VALDIVIESO</t>
        </is>
      </c>
      <c r="G254" s="17" t="inlineStr">
        <is>
          <t>VILLENA</t>
        </is>
      </c>
      <c r="H254" s="17" t="inlineStr">
        <is>
          <t>Persona Natural</t>
        </is>
      </c>
      <c r="I254" s="17" t="inlineStr">
        <is>
          <t>Cliente</t>
        </is>
      </c>
      <c r="J254" s="17" t="n"/>
      <c r="K254" s="17" t="n"/>
      <c r="L254" s="23" t="n"/>
      <c r="M254" s="17" t="n"/>
      <c r="N254" s="23" t="n"/>
      <c r="O254" s="17" t="n"/>
      <c r="P254" s="28">
        <f>IF(A254&lt;&gt;"OK","","SELECT cli_crear_clientes(p_codigo_interno =&gt; "&amp;IF(TRIM(N254&amp;"")="","NULL","'"&amp;SUBSTITUTE(TRIM(N254),"'","''")&amp;"'")&amp;", p_razon_social =&gt; "&amp;IF(TRIM(D254&amp;"")="","NULL","'"&amp;SUBSTITUTE(TRIM(D254),"'","''")&amp;"'")&amp;", p_id_tipo_cliente =&gt; "&amp;IF(TRIM(I254&amp;"")="","NULL","(SELECT lo.id FROM gen_lista_opciones lo JOIN gen_lista l ON l.id = lo.id_lista WHERE l.nombre = 'TipoCliente' AND upper(lo.nombre) = upper('"&amp;SUBSTITUTE(TRIM(I254),"'","''")&amp;"') AND lo.estado = 1 LIMIT 1)")&amp;", p_id_tipo_persona =&gt; "&amp;IF(TRIM(H254&amp;"")="","NULL","(SELECT lo.id FROM gen_lista_opciones lo JOIN gen_lista l ON l.id = lo.id_lista WHERE l.nombre = 'TipoPersona' AND upper(lo.nombre) = upper('"&amp;SUBSTITUTE(TRIM(H254),"'","''")&amp;"') AND lo.estado = 1 LIMIT 1)")&amp;", p_nombres =&gt; "&amp;IF(TRIM(E254&amp;"")="","NULL","'"&amp;SUBSTITUTE(TRIM(E254),"'","''")&amp;"'")&amp;", p_apellido_paterno =&gt; "&amp;IF(TRIM(F254&amp;"")="","NULL","'"&amp;SUBSTITUTE(TRIM(F254),"'","''")&amp;"'")&amp;", p_apellido_materno =&gt; "&amp;IF(TRIM(G254&amp;"")="","NULL","'"&amp;SUBSTITUTE(TRIM(G254),"'","''")&amp;"'")&amp;", p_id_tipo_documento =&gt; "&amp;IF(TRIM(B254&amp;"")="","NULL","(SELECT lo.id FROM gen_lista_opciones lo JOIN gen_lista l ON l.id = lo.id_lista WHERE l.nombre = 'TipoDocumento' AND upper(lo.nombre) = upper('"&amp;SUBSTITUTE(TRIM(B254),"'","''")&amp;"') AND lo.estado = 1 LIMIT 1)")&amp;", p_numero_documento =&gt; "&amp;IF(TRIM(C254&amp;"")="","NULL","'"&amp;SUBSTITUTE(TRIM(C254),"'","''")&amp;"'")&amp;", p_telefono =&gt; "&amp;IF(TRIM(L254&amp;"")="","NULL","'"&amp;SUBSTITUTE(TRIM(L254),"'","''")&amp;"'")&amp;", p_email =&gt; "&amp;IF(TRIM(M254&amp;"")="","NULL","'"&amp;SUBSTITUTE(TRIM(M254),"'","''")&amp;"'")&amp;", p_observacion =&gt; "&amp;IF(TRIM(O254&amp;"")="","NULL","'"&amp;SUBSTITUTE(TRIM(O254),"'","''")&amp;"'")&amp;", p_direccion =&gt; "&amp;IF(TRIM(J254&amp;"")="","NULL","'"&amp;SUBSTITUTE(TRIM(J254),"'","''")&amp;"'")&amp;", p_referencia =&gt; "&amp;IF(TRIM(K254&amp;"")="","NULL","'"&amp;SUBSTITUTE(TRIM(K254),"'","''")&amp;"'")&amp;") AS resultado_cliente_"&amp;ROW()&amp;";")</f>
        <v/>
      </c>
    </row>
    <row r="255" ht="15.75" customHeight="1" s="64">
      <c r="A255" s="25">
        <f>IF(AND(D255="",E255="",C255=""),"",IF(AND(D255="",E255=""),"FALTA razón social o nombres",IF(AND(C255&lt;&gt;"",SUMPRODUCT(--($C$5:$C$549=C255))&gt;1),"DOCUMENTO DUPLICADO",IF(AND(B255="DNI",C255&lt;&gt;"",LEN(C255&amp;"")&lt;&gt;8),"DNI debe tener 8 dígitos",IF(AND(B255="RUC",C255&lt;&gt;"",LEN(C255&amp;"")&lt;&gt;11),"RUC debe tener 11 dígitos",IF(AND(N255&lt;&gt;"",SUMPRODUCT(--($N$5:$N$549=N255))&gt;1),"CÓDIGO INTERNO DUPLICADO","OK"))))))</f>
        <v/>
      </c>
      <c r="B255" s="17" t="inlineStr">
        <is>
          <t>DNI</t>
        </is>
      </c>
      <c r="C255" s="23" t="inlineStr">
        <is>
          <t>17522246</t>
        </is>
      </c>
      <c r="D255" s="17" t="n"/>
      <c r="E255" s="17" t="inlineStr">
        <is>
          <t>JUAN ALBERTO</t>
        </is>
      </c>
      <c r="F255" s="17" t="inlineStr">
        <is>
          <t>VEGA</t>
        </is>
      </c>
      <c r="G255" s="17" t="inlineStr">
        <is>
          <t>VARIOS</t>
        </is>
      </c>
      <c r="H255" s="17" t="inlineStr">
        <is>
          <t>Persona Natural</t>
        </is>
      </c>
      <c r="I255" s="17" t="inlineStr">
        <is>
          <t>Cliente</t>
        </is>
      </c>
      <c r="J255" s="17" t="n"/>
      <c r="K255" s="17" t="n"/>
      <c r="L255" s="23" t="n"/>
      <c r="M255" s="17" t="n"/>
      <c r="N255" s="23" t="n"/>
      <c r="O255" s="17" t="n"/>
      <c r="P255" s="28">
        <f>IF(A255&lt;&gt;"OK","","SELECT cli_crear_clientes(p_codigo_interno =&gt; "&amp;IF(TRIM(N255&amp;"")="","NULL","'"&amp;SUBSTITUTE(TRIM(N255),"'","''")&amp;"'")&amp;", p_razon_social =&gt; "&amp;IF(TRIM(D255&amp;"")="","NULL","'"&amp;SUBSTITUTE(TRIM(D255),"'","''")&amp;"'")&amp;", p_id_tipo_cliente =&gt; "&amp;IF(TRIM(I255&amp;"")="","NULL","(SELECT lo.id FROM gen_lista_opciones lo JOIN gen_lista l ON l.id = lo.id_lista WHERE l.nombre = 'TipoCliente' AND upper(lo.nombre) = upper('"&amp;SUBSTITUTE(TRIM(I255),"'","''")&amp;"') AND lo.estado = 1 LIMIT 1)")&amp;", p_id_tipo_persona =&gt; "&amp;IF(TRIM(H255&amp;"")="","NULL","(SELECT lo.id FROM gen_lista_opciones lo JOIN gen_lista l ON l.id = lo.id_lista WHERE l.nombre = 'TipoPersona' AND upper(lo.nombre) = upper('"&amp;SUBSTITUTE(TRIM(H255),"'","''")&amp;"') AND lo.estado = 1 LIMIT 1)")&amp;", p_nombres =&gt; "&amp;IF(TRIM(E255&amp;"")="","NULL","'"&amp;SUBSTITUTE(TRIM(E255),"'","''")&amp;"'")&amp;", p_apellido_paterno =&gt; "&amp;IF(TRIM(F255&amp;"")="","NULL","'"&amp;SUBSTITUTE(TRIM(F255),"'","''")&amp;"'")&amp;", p_apellido_materno =&gt; "&amp;IF(TRIM(G255&amp;"")="","NULL","'"&amp;SUBSTITUTE(TRIM(G255),"'","''")&amp;"'")&amp;", p_id_tipo_documento =&gt; "&amp;IF(TRIM(B255&amp;"")="","NULL","(SELECT lo.id FROM gen_lista_opciones lo JOIN gen_lista l ON l.id = lo.id_lista WHERE l.nombre = 'TipoDocumento' AND upper(lo.nombre) = upper('"&amp;SUBSTITUTE(TRIM(B255),"'","''")&amp;"') AND lo.estado = 1 LIMIT 1)")&amp;", p_numero_documento =&gt; "&amp;IF(TRIM(C255&amp;"")="","NULL","'"&amp;SUBSTITUTE(TRIM(C255),"'","''")&amp;"'")&amp;", p_telefono =&gt; "&amp;IF(TRIM(L255&amp;"")="","NULL","'"&amp;SUBSTITUTE(TRIM(L255),"'","''")&amp;"'")&amp;", p_email =&gt; "&amp;IF(TRIM(M255&amp;"")="","NULL","'"&amp;SUBSTITUTE(TRIM(M255),"'","''")&amp;"'")&amp;", p_observacion =&gt; "&amp;IF(TRIM(O255&amp;"")="","NULL","'"&amp;SUBSTITUTE(TRIM(O255),"'","''")&amp;"'")&amp;", p_direccion =&gt; "&amp;IF(TRIM(J255&amp;"")="","NULL","'"&amp;SUBSTITUTE(TRIM(J255),"'","''")&amp;"'")&amp;", p_referencia =&gt; "&amp;IF(TRIM(K255&amp;"")="","NULL","'"&amp;SUBSTITUTE(TRIM(K255),"'","''")&amp;"'")&amp;") AS resultado_cliente_"&amp;ROW()&amp;";")</f>
        <v/>
      </c>
    </row>
    <row r="256" ht="15.75" customHeight="1" s="64">
      <c r="A256" s="25">
        <f>IF(AND(D256="",E256="",C256=""),"",IF(AND(D256="",E256=""),"FALTA razón social o nombres",IF(AND(C256&lt;&gt;"",SUMPRODUCT(--($C$5:$C$549=C256))&gt;1),"DOCUMENTO DUPLICADO",IF(AND(B256="DNI",C256&lt;&gt;"",LEN(C256&amp;"")&lt;&gt;8),"DNI debe tener 8 dígitos",IF(AND(B256="RUC",C256&lt;&gt;"",LEN(C256&amp;"")&lt;&gt;11),"RUC debe tener 11 dígitos",IF(AND(N256&lt;&gt;"",SUMPRODUCT(--($N$5:$N$549=N256))&gt;1),"CÓDIGO INTERNO DUPLICADO","OK"))))))</f>
        <v/>
      </c>
      <c r="B256" s="17" t="inlineStr">
        <is>
          <t>DNI</t>
        </is>
      </c>
      <c r="C256" s="23" t="inlineStr">
        <is>
          <t>16475399</t>
        </is>
      </c>
      <c r="D256" s="17" t="n"/>
      <c r="E256" s="17" t="inlineStr">
        <is>
          <t>MIRIAN ROSANA</t>
        </is>
      </c>
      <c r="F256" s="17" t="inlineStr">
        <is>
          <t>ZUNINI</t>
        </is>
      </c>
      <c r="G256" s="17" t="inlineStr">
        <is>
          <t>VARONA</t>
        </is>
      </c>
      <c r="H256" s="17" t="inlineStr">
        <is>
          <t>Persona Natural</t>
        </is>
      </c>
      <c r="I256" s="17" t="inlineStr">
        <is>
          <t>Cliente</t>
        </is>
      </c>
      <c r="J256" s="17" t="n"/>
      <c r="K256" s="17" t="n"/>
      <c r="L256" s="23" t="n"/>
      <c r="M256" s="17" t="n"/>
      <c r="N256" s="23" t="n"/>
      <c r="O256" s="17" t="n"/>
      <c r="P256" s="28">
        <f>IF(A256&lt;&gt;"OK","","SELECT cli_crear_clientes(p_codigo_interno =&gt; "&amp;IF(TRIM(N256&amp;"")="","NULL","'"&amp;SUBSTITUTE(TRIM(N256),"'","''")&amp;"'")&amp;", p_razon_social =&gt; "&amp;IF(TRIM(D256&amp;"")="","NULL","'"&amp;SUBSTITUTE(TRIM(D256),"'","''")&amp;"'")&amp;", p_id_tipo_cliente =&gt; "&amp;IF(TRIM(I256&amp;"")="","NULL","(SELECT lo.id FROM gen_lista_opciones lo JOIN gen_lista l ON l.id = lo.id_lista WHERE l.nombre = 'TipoCliente' AND upper(lo.nombre) = upper('"&amp;SUBSTITUTE(TRIM(I256),"'","''")&amp;"') AND lo.estado = 1 LIMIT 1)")&amp;", p_id_tipo_persona =&gt; "&amp;IF(TRIM(H256&amp;"")="","NULL","(SELECT lo.id FROM gen_lista_opciones lo JOIN gen_lista l ON l.id = lo.id_lista WHERE l.nombre = 'TipoPersona' AND upper(lo.nombre) = upper('"&amp;SUBSTITUTE(TRIM(H256),"'","''")&amp;"') AND lo.estado = 1 LIMIT 1)")&amp;", p_nombres =&gt; "&amp;IF(TRIM(E256&amp;"")="","NULL","'"&amp;SUBSTITUTE(TRIM(E256),"'","''")&amp;"'")&amp;", p_apellido_paterno =&gt; "&amp;IF(TRIM(F256&amp;"")="","NULL","'"&amp;SUBSTITUTE(TRIM(F256),"'","''")&amp;"'")&amp;", p_apellido_materno =&gt; "&amp;IF(TRIM(G256&amp;"")="","NULL","'"&amp;SUBSTITUTE(TRIM(G256),"'","''")&amp;"'")&amp;", p_id_tipo_documento =&gt; "&amp;IF(TRIM(B256&amp;"")="","NULL","(SELECT lo.id FROM gen_lista_opciones lo JOIN gen_lista l ON l.id = lo.id_lista WHERE l.nombre = 'TipoDocumento' AND upper(lo.nombre) = upper('"&amp;SUBSTITUTE(TRIM(B256),"'","''")&amp;"') AND lo.estado = 1 LIMIT 1)")&amp;", p_numero_documento =&gt; "&amp;IF(TRIM(C256&amp;"")="","NULL","'"&amp;SUBSTITUTE(TRIM(C256),"'","''")&amp;"'")&amp;", p_telefono =&gt; "&amp;IF(TRIM(L256&amp;"")="","NULL","'"&amp;SUBSTITUTE(TRIM(L256),"'","''")&amp;"'")&amp;", p_email =&gt; "&amp;IF(TRIM(M256&amp;"")="","NULL","'"&amp;SUBSTITUTE(TRIM(M256),"'","''")&amp;"'")&amp;", p_observacion =&gt; "&amp;IF(TRIM(O256&amp;"")="","NULL","'"&amp;SUBSTITUTE(TRIM(O256),"'","''")&amp;"'")&amp;", p_direccion =&gt; "&amp;IF(TRIM(J256&amp;"")="","NULL","'"&amp;SUBSTITUTE(TRIM(J256),"'","''")&amp;"'")&amp;", p_referencia =&gt; "&amp;IF(TRIM(K256&amp;"")="","NULL","'"&amp;SUBSTITUTE(TRIM(K256),"'","''")&amp;"'")&amp;") AS resultado_cliente_"&amp;ROW()&amp;";")</f>
        <v/>
      </c>
    </row>
    <row r="257" ht="15.75" customHeight="1" s="64">
      <c r="A257" s="25">
        <f>IF(AND(D257="",E257="",C257=""),"",IF(AND(D257="",E257=""),"FALTA razón social o nombres",IF(AND(C257&lt;&gt;"",SUMPRODUCT(--($C$5:$C$549=C257))&gt;1),"DOCUMENTO DUPLICADO",IF(AND(B257="DNI",C257&lt;&gt;"",LEN(C257&amp;"")&lt;&gt;8),"DNI debe tener 8 dígitos",IF(AND(B257="RUC",C257&lt;&gt;"",LEN(C257&amp;"")&lt;&gt;11),"RUC debe tener 11 dígitos",IF(AND(N257&lt;&gt;"",SUMPRODUCT(--($N$5:$N$549=N257))&gt;1),"CÓDIGO INTERNO DUPLICADO","OK"))))))</f>
        <v/>
      </c>
      <c r="B257" s="17" t="inlineStr">
        <is>
          <t>RUC</t>
        </is>
      </c>
      <c r="C257" s="23" t="inlineStr">
        <is>
          <t>20611355239</t>
        </is>
      </c>
      <c r="D257" s="17" t="inlineStr">
        <is>
          <t>VIDRIOS ACEROS INOXIDABLES MUEBLERIA A &amp; S S.A.C.</t>
        </is>
      </c>
      <c r="E257" s="17" t="n"/>
      <c r="F257" s="17" t="n"/>
      <c r="G257" s="17" t="n"/>
      <c r="H257" s="17" t="inlineStr">
        <is>
          <t>Persona Jurídica</t>
        </is>
      </c>
      <c r="I257" s="17" t="inlineStr">
        <is>
          <t>Cliente</t>
        </is>
      </c>
      <c r="J257" s="17" t="n"/>
      <c r="K257" s="17" t="n"/>
      <c r="L257" s="23" t="n"/>
      <c r="M257" s="17" t="n"/>
      <c r="N257" s="23" t="n"/>
      <c r="O257" s="17" t="n"/>
      <c r="P257" s="28">
        <f>IF(A257&lt;&gt;"OK","","SELECT cli_crear_clientes(p_codigo_interno =&gt; "&amp;IF(TRIM(N257&amp;"")="","NULL","'"&amp;SUBSTITUTE(TRIM(N257),"'","''")&amp;"'")&amp;", p_razon_social =&gt; "&amp;IF(TRIM(D257&amp;"")="","NULL","'"&amp;SUBSTITUTE(TRIM(D257),"'","''")&amp;"'")&amp;", p_id_tipo_cliente =&gt; "&amp;IF(TRIM(I257&amp;"")="","NULL","(SELECT lo.id FROM gen_lista_opciones lo JOIN gen_lista l ON l.id = lo.id_lista WHERE l.nombre = 'TipoCliente' AND upper(lo.nombre) = upper('"&amp;SUBSTITUTE(TRIM(I257),"'","''")&amp;"') AND lo.estado = 1 LIMIT 1)")&amp;", p_id_tipo_persona =&gt; "&amp;IF(TRIM(H257&amp;"")="","NULL","(SELECT lo.id FROM gen_lista_opciones lo JOIN gen_lista l ON l.id = lo.id_lista WHERE l.nombre = 'TipoPersona' AND upper(lo.nombre) = upper('"&amp;SUBSTITUTE(TRIM(H257),"'","''")&amp;"') AND lo.estado = 1 LIMIT 1)")&amp;", p_nombres =&gt; "&amp;IF(TRIM(E257&amp;"")="","NULL","'"&amp;SUBSTITUTE(TRIM(E257),"'","''")&amp;"'")&amp;", p_apellido_paterno =&gt; "&amp;IF(TRIM(F257&amp;"")="","NULL","'"&amp;SUBSTITUTE(TRIM(F257),"'","''")&amp;"'")&amp;", p_apellido_materno =&gt; "&amp;IF(TRIM(G257&amp;"")="","NULL","'"&amp;SUBSTITUTE(TRIM(G257),"'","''")&amp;"'")&amp;", p_id_tipo_documento =&gt; "&amp;IF(TRIM(B257&amp;"")="","NULL","(SELECT lo.id FROM gen_lista_opciones lo JOIN gen_lista l ON l.id = lo.id_lista WHERE l.nombre = 'TipoDocumento' AND upper(lo.nombre) = upper('"&amp;SUBSTITUTE(TRIM(B257),"'","''")&amp;"') AND lo.estado = 1 LIMIT 1)")&amp;", p_numero_documento =&gt; "&amp;IF(TRIM(C257&amp;"")="","NULL","'"&amp;SUBSTITUTE(TRIM(C257),"'","''")&amp;"'")&amp;", p_telefono =&gt; "&amp;IF(TRIM(L257&amp;"")="","NULL","'"&amp;SUBSTITUTE(TRIM(L257),"'","''")&amp;"'")&amp;", p_email =&gt; "&amp;IF(TRIM(M257&amp;"")="","NULL","'"&amp;SUBSTITUTE(TRIM(M257),"'","''")&amp;"'")&amp;", p_observacion =&gt; "&amp;IF(TRIM(O257&amp;"")="","NULL","'"&amp;SUBSTITUTE(TRIM(O257),"'","''")&amp;"'")&amp;", p_direccion =&gt; "&amp;IF(TRIM(J257&amp;"")="","NULL","'"&amp;SUBSTITUTE(TRIM(J257),"'","''")&amp;"'")&amp;", p_referencia =&gt; "&amp;IF(TRIM(K257&amp;"")="","NULL","'"&amp;SUBSTITUTE(TRIM(K257),"'","''")&amp;"'")&amp;") AS resultado_cliente_"&amp;ROW()&amp;";")</f>
        <v/>
      </c>
    </row>
    <row r="258" ht="15.75" customHeight="1" s="64">
      <c r="A258" s="25">
        <f>IF(AND(D258="",E258="",C258=""),"",IF(AND(D258="",E258=""),"FALTA razón social o nombres",IF(AND(C258&lt;&gt;"",SUMPRODUCT(--($C$5:$C$549=C258))&gt;1),"DOCUMENTO DUPLICADO",IF(AND(B258="DNI",C258&lt;&gt;"",LEN(C258&amp;"")&lt;&gt;8),"DNI debe tener 8 dígitos",IF(AND(B258="RUC",C258&lt;&gt;"",LEN(C258&amp;"")&lt;&gt;11),"RUC debe tener 11 dígitos",IF(AND(N258&lt;&gt;"",SUMPRODUCT(--($N$5:$N$549=N258))&gt;1),"CÓDIGO INTERNO DUPLICADO","OK"))))))</f>
        <v/>
      </c>
      <c r="B258" s="17" t="inlineStr">
        <is>
          <t>DNI</t>
        </is>
      </c>
      <c r="C258" s="23" t="inlineStr">
        <is>
          <t>42715935</t>
        </is>
      </c>
      <c r="D258" s="17" t="n"/>
      <c r="E258" s="17" t="inlineStr">
        <is>
          <t>JESUS ENRIQUE</t>
        </is>
      </c>
      <c r="F258" s="17" t="inlineStr">
        <is>
          <t>YOVERA</t>
        </is>
      </c>
      <c r="G258" s="17" t="inlineStr">
        <is>
          <t>SANTISTEBAN</t>
        </is>
      </c>
      <c r="H258" s="17" t="inlineStr">
        <is>
          <t>Persona Natural</t>
        </is>
      </c>
      <c r="I258" s="17" t="inlineStr">
        <is>
          <t>Cliente</t>
        </is>
      </c>
      <c r="J258" s="17" t="n"/>
      <c r="K258" s="17" t="n"/>
      <c r="L258" s="23" t="n"/>
      <c r="M258" s="17" t="n"/>
      <c r="N258" s="23" t="n"/>
      <c r="O258" s="17" t="n"/>
      <c r="P258" s="28">
        <f>IF(A258&lt;&gt;"OK","","SELECT cli_crear_clientes(p_codigo_interno =&gt; "&amp;IF(TRIM(N258&amp;"")="","NULL","'"&amp;SUBSTITUTE(TRIM(N258),"'","''")&amp;"'")&amp;", p_razon_social =&gt; "&amp;IF(TRIM(D258&amp;"")="","NULL","'"&amp;SUBSTITUTE(TRIM(D258),"'","''")&amp;"'")&amp;", p_id_tipo_cliente =&gt; "&amp;IF(TRIM(I258&amp;"")="","NULL","(SELECT lo.id FROM gen_lista_opciones lo JOIN gen_lista l ON l.id = lo.id_lista WHERE l.nombre = 'TipoCliente' AND upper(lo.nombre) = upper('"&amp;SUBSTITUTE(TRIM(I258),"'","''")&amp;"') AND lo.estado = 1 LIMIT 1)")&amp;", p_id_tipo_persona =&gt; "&amp;IF(TRIM(H258&amp;"")="","NULL","(SELECT lo.id FROM gen_lista_opciones lo JOIN gen_lista l ON l.id = lo.id_lista WHERE l.nombre = 'TipoPersona' AND upper(lo.nombre) = upper('"&amp;SUBSTITUTE(TRIM(H258),"'","''")&amp;"') AND lo.estado = 1 LIMIT 1)")&amp;", p_nombres =&gt; "&amp;IF(TRIM(E258&amp;"")="","NULL","'"&amp;SUBSTITUTE(TRIM(E258),"'","''")&amp;"'")&amp;", p_apellido_paterno =&gt; "&amp;IF(TRIM(F258&amp;"")="","NULL","'"&amp;SUBSTITUTE(TRIM(F258),"'","''")&amp;"'")&amp;", p_apellido_materno =&gt; "&amp;IF(TRIM(G258&amp;"")="","NULL","'"&amp;SUBSTITUTE(TRIM(G258),"'","''")&amp;"'")&amp;", p_id_tipo_documento =&gt; "&amp;IF(TRIM(B258&amp;"")="","NULL","(SELECT lo.id FROM gen_lista_opciones lo JOIN gen_lista l ON l.id = lo.id_lista WHERE l.nombre = 'TipoDocumento' AND upper(lo.nombre) = upper('"&amp;SUBSTITUTE(TRIM(B258),"'","''")&amp;"') AND lo.estado = 1 LIMIT 1)")&amp;", p_numero_documento =&gt; "&amp;IF(TRIM(C258&amp;"")="","NULL","'"&amp;SUBSTITUTE(TRIM(C258),"'","''")&amp;"'")&amp;", p_telefono =&gt; "&amp;IF(TRIM(L258&amp;"")="","NULL","'"&amp;SUBSTITUTE(TRIM(L258),"'","''")&amp;"'")&amp;", p_email =&gt; "&amp;IF(TRIM(M258&amp;"")="","NULL","'"&amp;SUBSTITUTE(TRIM(M258),"'","''")&amp;"'")&amp;", p_observacion =&gt; "&amp;IF(TRIM(O258&amp;"")="","NULL","'"&amp;SUBSTITUTE(TRIM(O258),"'","''")&amp;"'")&amp;", p_direccion =&gt; "&amp;IF(TRIM(J258&amp;"")="","NULL","'"&amp;SUBSTITUTE(TRIM(J258),"'","''")&amp;"'")&amp;", p_referencia =&gt; "&amp;IF(TRIM(K258&amp;"")="","NULL","'"&amp;SUBSTITUTE(TRIM(K258),"'","''")&amp;"'")&amp;") AS resultado_cliente_"&amp;ROW()&amp;";")</f>
        <v/>
      </c>
    </row>
    <row r="259" ht="15.75" customHeight="1" s="64">
      <c r="A259" s="25">
        <f>IF(AND(D259="",E259="",C259=""),"",IF(AND(D259="",E259=""),"FALTA razón social o nombres",IF(AND(C259&lt;&gt;"",SUMPRODUCT(--($C$5:$C$549=C259))&gt;1),"DOCUMENTO DUPLICADO",IF(AND(B259="DNI",C259&lt;&gt;"",LEN(C259&amp;"")&lt;&gt;8),"DNI debe tener 8 dígitos",IF(AND(B259="RUC",C259&lt;&gt;"",LEN(C259&amp;"")&lt;&gt;11),"RUC debe tener 11 dígitos",IF(AND(N259&lt;&gt;"",SUMPRODUCT(--($N$5:$N$549=N259))&gt;1),"CÓDIGO INTERNO DUPLICADO","OK"))))))</f>
        <v/>
      </c>
      <c r="B259" s="17" t="inlineStr">
        <is>
          <t>SD</t>
        </is>
      </c>
      <c r="C259" s="23" t="inlineStr">
        <is>
          <t>000063</t>
        </is>
      </c>
      <c r="D259" s="17" t="n"/>
      <c r="E259" s="17" t="inlineStr">
        <is>
          <t>LUIS</t>
        </is>
      </c>
      <c r="F259" s="17" t="inlineStr">
        <is>
          <t xml:space="preserve">ZACARIAS </t>
        </is>
      </c>
      <c r="G259" s="17" t="inlineStr">
        <is>
          <t xml:space="preserve">FARROÑAN </t>
        </is>
      </c>
      <c r="H259" s="17" t="inlineStr">
        <is>
          <t>Persona Natural</t>
        </is>
      </c>
      <c r="I259" s="17" t="inlineStr">
        <is>
          <t>Cliente</t>
        </is>
      </c>
      <c r="J259" s="17" t="n"/>
      <c r="K259" s="17" t="n"/>
      <c r="L259" s="23" t="n"/>
      <c r="M259" s="17" t="n"/>
      <c r="N259" s="23" t="n"/>
      <c r="O259" s="17" t="n"/>
      <c r="P259" s="28">
        <f>IF(A259&lt;&gt;"OK","","SELECT cli_crear_clientes(p_codigo_interno =&gt; "&amp;IF(TRIM(N259&amp;"")="","NULL","'"&amp;SUBSTITUTE(TRIM(N259),"'","''")&amp;"'")&amp;", p_razon_social =&gt; "&amp;IF(TRIM(D259&amp;"")="","NULL","'"&amp;SUBSTITUTE(TRIM(D259),"'","''")&amp;"'")&amp;", p_id_tipo_cliente =&gt; "&amp;IF(TRIM(I259&amp;"")="","NULL","(SELECT lo.id FROM gen_lista_opciones lo JOIN gen_lista l ON l.id = lo.id_lista WHERE l.nombre = 'TipoCliente' AND upper(lo.nombre) = upper('"&amp;SUBSTITUTE(TRIM(I259),"'","''")&amp;"') AND lo.estado = 1 LIMIT 1)")&amp;", p_id_tipo_persona =&gt; "&amp;IF(TRIM(H259&amp;"")="","NULL","(SELECT lo.id FROM gen_lista_opciones lo JOIN gen_lista l ON l.id = lo.id_lista WHERE l.nombre = 'TipoPersona' AND upper(lo.nombre) = upper('"&amp;SUBSTITUTE(TRIM(H259),"'","''")&amp;"') AND lo.estado = 1 LIMIT 1)")&amp;", p_nombres =&gt; "&amp;IF(TRIM(E259&amp;"")="","NULL","'"&amp;SUBSTITUTE(TRIM(E259),"'","''")&amp;"'")&amp;", p_apellido_paterno =&gt; "&amp;IF(TRIM(F259&amp;"")="","NULL","'"&amp;SUBSTITUTE(TRIM(F259),"'","''")&amp;"'")&amp;", p_apellido_materno =&gt; "&amp;IF(TRIM(G259&amp;"")="","NULL","'"&amp;SUBSTITUTE(TRIM(G259),"'","''")&amp;"'")&amp;", p_id_tipo_documento =&gt; "&amp;IF(TRIM(B259&amp;"")="","NULL","(SELECT lo.id FROM gen_lista_opciones lo JOIN gen_lista l ON l.id = lo.id_lista WHERE l.nombre = 'TipoDocumento' AND upper(lo.nombre) = upper('"&amp;SUBSTITUTE(TRIM(B259),"'","''")&amp;"') AND lo.estado = 1 LIMIT 1)")&amp;", p_numero_documento =&gt; "&amp;IF(TRIM(C259&amp;"")="","NULL","'"&amp;SUBSTITUTE(TRIM(C259),"'","''")&amp;"'")&amp;", p_telefono =&gt; "&amp;IF(TRIM(L259&amp;"")="","NULL","'"&amp;SUBSTITUTE(TRIM(L259),"'","''")&amp;"'")&amp;", p_email =&gt; "&amp;IF(TRIM(M259&amp;"")="","NULL","'"&amp;SUBSTITUTE(TRIM(M259),"'","''")&amp;"'")&amp;", p_observacion =&gt; "&amp;IF(TRIM(O259&amp;"")="","NULL","'"&amp;SUBSTITUTE(TRIM(O259),"'","''")&amp;"'")&amp;", p_direccion =&gt; "&amp;IF(TRIM(J259&amp;"")="","NULL","'"&amp;SUBSTITUTE(TRIM(J259),"'","''")&amp;"'")&amp;", p_referencia =&gt; "&amp;IF(TRIM(K259&amp;"")="","NULL","'"&amp;SUBSTITUTE(TRIM(K259),"'","''")&amp;"'")&amp;") AS resultado_cliente_"&amp;ROW()&amp;";")</f>
        <v/>
      </c>
    </row>
    <row r="260" ht="15.75" customHeight="1" s="64">
      <c r="A260" s="25">
        <f>IF(AND(D260="",E260="",C260=""),"",IF(AND(D260="",E260=""),"FALTA razón social o nombres",IF(AND(C260&lt;&gt;"",SUMPRODUCT(--($C$5:$C$549=C260))&gt;1),"DOCUMENTO DUPLICADO",IF(AND(B260="DNI",C260&lt;&gt;"",LEN(C260&amp;"")&lt;&gt;8),"DNI debe tener 8 dígitos",IF(AND(B260="RUC",C260&lt;&gt;"",LEN(C260&amp;"")&lt;&gt;11),"RUC debe tener 11 dígitos",IF(AND(N260&lt;&gt;"",SUMPRODUCT(--($N$5:$N$549=N260))&gt;1),"CÓDIGO INTERNO DUPLICADO","OK"))))))</f>
        <v/>
      </c>
      <c r="B260" s="17" t="inlineStr">
        <is>
          <t>DNI</t>
        </is>
      </c>
      <c r="C260" s="23" t="inlineStr">
        <is>
          <t>48189363</t>
        </is>
      </c>
      <c r="D260" s="17" t="n"/>
      <c r="E260" s="17" t="inlineStr">
        <is>
          <t>RICHARD JHONSON</t>
        </is>
      </c>
      <c r="F260" s="17" t="inlineStr">
        <is>
          <t>ZAPATA</t>
        </is>
      </c>
      <c r="G260" s="17" t="inlineStr">
        <is>
          <t>PALOMINO</t>
        </is>
      </c>
      <c r="H260" s="17" t="inlineStr">
        <is>
          <t>Persona Natural</t>
        </is>
      </c>
      <c r="I260" s="17" t="inlineStr">
        <is>
          <t>Cliente</t>
        </is>
      </c>
      <c r="J260" s="17" t="n"/>
      <c r="K260" s="17" t="n"/>
      <c r="L260" s="23" t="n"/>
      <c r="M260" s="17" t="n"/>
      <c r="N260" s="23" t="n"/>
      <c r="O260" s="17" t="n"/>
      <c r="P260" s="28">
        <f>IF(A260&lt;&gt;"OK","","SELECT cli_crear_clientes(p_codigo_interno =&gt; "&amp;IF(TRIM(N260&amp;"")="","NULL","'"&amp;SUBSTITUTE(TRIM(N260),"'","''")&amp;"'")&amp;", p_razon_social =&gt; "&amp;IF(TRIM(D260&amp;"")="","NULL","'"&amp;SUBSTITUTE(TRIM(D260),"'","''")&amp;"'")&amp;", p_id_tipo_cliente =&gt; "&amp;IF(TRIM(I260&amp;"")="","NULL","(SELECT lo.id FROM gen_lista_opciones lo JOIN gen_lista l ON l.id = lo.id_lista WHERE l.nombre = 'TipoCliente' AND upper(lo.nombre) = upper('"&amp;SUBSTITUTE(TRIM(I260),"'","''")&amp;"') AND lo.estado = 1 LIMIT 1)")&amp;", p_id_tipo_persona =&gt; "&amp;IF(TRIM(H260&amp;"")="","NULL","(SELECT lo.id FROM gen_lista_opciones lo JOIN gen_lista l ON l.id = lo.id_lista WHERE l.nombre = 'TipoPersona' AND upper(lo.nombre) = upper('"&amp;SUBSTITUTE(TRIM(H260),"'","''")&amp;"') AND lo.estado = 1 LIMIT 1)")&amp;", p_nombres =&gt; "&amp;IF(TRIM(E260&amp;"")="","NULL","'"&amp;SUBSTITUTE(TRIM(E260),"'","''")&amp;"'")&amp;", p_apellido_paterno =&gt; "&amp;IF(TRIM(F260&amp;"")="","NULL","'"&amp;SUBSTITUTE(TRIM(F260),"'","''")&amp;"'")&amp;", p_apellido_materno =&gt; "&amp;IF(TRIM(G260&amp;"")="","NULL","'"&amp;SUBSTITUTE(TRIM(G260),"'","''")&amp;"'")&amp;", p_id_tipo_documento =&gt; "&amp;IF(TRIM(B260&amp;"")="","NULL","(SELECT lo.id FROM gen_lista_opciones lo JOIN gen_lista l ON l.id = lo.id_lista WHERE l.nombre = 'TipoDocumento' AND upper(lo.nombre) = upper('"&amp;SUBSTITUTE(TRIM(B260),"'","''")&amp;"') AND lo.estado = 1 LIMIT 1)")&amp;", p_numero_documento =&gt; "&amp;IF(TRIM(C260&amp;"")="","NULL","'"&amp;SUBSTITUTE(TRIM(C260),"'","''")&amp;"'")&amp;", p_telefono =&gt; "&amp;IF(TRIM(L260&amp;"")="","NULL","'"&amp;SUBSTITUTE(TRIM(L260),"'","''")&amp;"'")&amp;", p_email =&gt; "&amp;IF(TRIM(M260&amp;"")="","NULL","'"&amp;SUBSTITUTE(TRIM(M260),"'","''")&amp;"'")&amp;", p_observacion =&gt; "&amp;IF(TRIM(O260&amp;"")="","NULL","'"&amp;SUBSTITUTE(TRIM(O260),"'","''")&amp;"'")&amp;", p_direccion =&gt; "&amp;IF(TRIM(J260&amp;"")="","NULL","'"&amp;SUBSTITUTE(TRIM(J260),"'","''")&amp;"'")&amp;", p_referencia =&gt; "&amp;IF(TRIM(K260&amp;"")="","NULL","'"&amp;SUBSTITUTE(TRIM(K260),"'","''")&amp;"'")&amp;") AS resultado_cliente_"&amp;ROW()&amp;";")</f>
        <v/>
      </c>
    </row>
    <row r="261" ht="15.75" customHeight="1" s="64">
      <c r="A261" s="25">
        <f>IF(AND(D261="",E261="",C261=""),"",IF(AND(D261="",E261=""),"FALTA razón social o nombres",IF(AND(C261&lt;&gt;"",SUMPRODUCT(--($C$5:$C$549=C261))&gt;1),"DOCUMENTO DUPLICADO",IF(AND(B261="DNI",C261&lt;&gt;"",LEN(C261&amp;"")&lt;&gt;8),"DNI debe tener 8 dígitos",IF(AND(B261="RUC",C261&lt;&gt;"",LEN(C261&amp;"")&lt;&gt;11),"RUC debe tener 11 dígitos",IF(AND(N261&lt;&gt;"",SUMPRODUCT(--($N$5:$N$549=N261))&gt;1),"CÓDIGO INTERNO DUPLICADO","OK"))))))</f>
        <v/>
      </c>
      <c r="B261" s="17" t="inlineStr">
        <is>
          <t>DNI</t>
        </is>
      </c>
      <c r="C261" s="23" t="inlineStr">
        <is>
          <t>71201541</t>
        </is>
      </c>
      <c r="D261" s="17" t="n"/>
      <c r="E261" s="17" t="inlineStr">
        <is>
          <t>HENRY JHONATAN</t>
        </is>
      </c>
      <c r="F261" s="17" t="inlineStr">
        <is>
          <t>ZURITA</t>
        </is>
      </c>
      <c r="G261" s="17" t="inlineStr">
        <is>
          <t>CORREA</t>
        </is>
      </c>
      <c r="H261" s="17" t="inlineStr">
        <is>
          <t>Persona Natural</t>
        </is>
      </c>
      <c r="I261" s="17" t="inlineStr">
        <is>
          <t>Cliente</t>
        </is>
      </c>
      <c r="J261" s="17" t="n"/>
      <c r="K261" s="17" t="n"/>
      <c r="L261" s="23" t="n"/>
      <c r="M261" s="17" t="n"/>
      <c r="N261" s="23" t="n"/>
      <c r="O261" s="17" t="n"/>
      <c r="P261" s="28">
        <f>IF(A261&lt;&gt;"OK","","SELECT cli_crear_clientes(p_codigo_interno =&gt; "&amp;IF(TRIM(N261&amp;"")="","NULL","'"&amp;SUBSTITUTE(TRIM(N261),"'","''")&amp;"'")&amp;", p_razon_social =&gt; "&amp;IF(TRIM(D261&amp;"")="","NULL","'"&amp;SUBSTITUTE(TRIM(D261),"'","''")&amp;"'")&amp;", p_id_tipo_cliente =&gt; "&amp;IF(TRIM(I261&amp;"")="","NULL","(SELECT lo.id FROM gen_lista_opciones lo JOIN gen_lista l ON l.id = lo.id_lista WHERE l.nombre = 'TipoCliente' AND upper(lo.nombre) = upper('"&amp;SUBSTITUTE(TRIM(I261),"'","''")&amp;"') AND lo.estado = 1 LIMIT 1)")&amp;", p_id_tipo_persona =&gt; "&amp;IF(TRIM(H261&amp;"")="","NULL","(SELECT lo.id FROM gen_lista_opciones lo JOIN gen_lista l ON l.id = lo.id_lista WHERE l.nombre = 'TipoPersona' AND upper(lo.nombre) = upper('"&amp;SUBSTITUTE(TRIM(H261),"'","''")&amp;"') AND lo.estado = 1 LIMIT 1)")&amp;", p_nombres =&gt; "&amp;IF(TRIM(E261&amp;"")="","NULL","'"&amp;SUBSTITUTE(TRIM(E261),"'","''")&amp;"'")&amp;", p_apellido_paterno =&gt; "&amp;IF(TRIM(F261&amp;"")="","NULL","'"&amp;SUBSTITUTE(TRIM(F261),"'","''")&amp;"'")&amp;", p_apellido_materno =&gt; "&amp;IF(TRIM(G261&amp;"")="","NULL","'"&amp;SUBSTITUTE(TRIM(G261),"'","''")&amp;"'")&amp;", p_id_tipo_documento =&gt; "&amp;IF(TRIM(B261&amp;"")="","NULL","(SELECT lo.id FROM gen_lista_opciones lo JOIN gen_lista l ON l.id = lo.id_lista WHERE l.nombre = 'TipoDocumento' AND upper(lo.nombre) = upper('"&amp;SUBSTITUTE(TRIM(B261),"'","''")&amp;"') AND lo.estado = 1 LIMIT 1)")&amp;", p_numero_documento =&gt; "&amp;IF(TRIM(C261&amp;"")="","NULL","'"&amp;SUBSTITUTE(TRIM(C261),"'","''")&amp;"'")&amp;", p_telefono =&gt; "&amp;IF(TRIM(L261&amp;"")="","NULL","'"&amp;SUBSTITUTE(TRIM(L261),"'","''")&amp;"'")&amp;", p_email =&gt; "&amp;IF(TRIM(M261&amp;"")="","NULL","'"&amp;SUBSTITUTE(TRIM(M261),"'","''")&amp;"'")&amp;", p_observacion =&gt; "&amp;IF(TRIM(O261&amp;"")="","NULL","'"&amp;SUBSTITUTE(TRIM(O261),"'","''")&amp;"'")&amp;", p_direccion =&gt; "&amp;IF(TRIM(J261&amp;"")="","NULL","'"&amp;SUBSTITUTE(TRIM(J261),"'","''")&amp;"'")&amp;", p_referencia =&gt; "&amp;IF(TRIM(K261&amp;"")="","NULL","'"&amp;SUBSTITUTE(TRIM(K261),"'","''")&amp;"'")&amp;") AS resultado_cliente_"&amp;ROW()&amp;";")</f>
        <v/>
      </c>
    </row>
    <row r="262" ht="15.75" customHeight="1" s="64">
      <c r="A262" s="25">
        <f>IF(AND(D262="",E262="",C262=""),"",IF(AND(D262="",E262=""),"FALTA razón social o nombres",IF(AND(C262&lt;&gt;"",COUNTIF($C$5:$C$549,C262)&gt;1),"DOCUMENTO DUPLICADO",IF(AND(B262="DNI",C262&lt;&gt;"",LEN(C262)&lt;&gt;8),"DNI debe tener 8 dígitos",IF(AND(B262="RUC",C262&lt;&gt;"",LEN(C262)&lt;&gt;11),"RUC debe tener 11 dígitos",IF(AND(N262&lt;&gt;"",COUNTIF($N$5:$N$549,N262)&gt;1),"CÓDIGO INTERNO DUPLICADO","OK"))))))</f>
        <v/>
      </c>
      <c r="B262" s="17" t="n"/>
      <c r="C262" s="23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23" t="n"/>
      <c r="M262" s="17" t="n"/>
      <c r="N262" s="23" t="n"/>
      <c r="O262" s="17" t="n"/>
      <c r="P262" s="28">
        <f>IF(A262&lt;&gt;"OK","","SELECT cli_crear_clientes(p_codigo_interno =&gt; "&amp;IF(TRIM(N262&amp;"")="","NULL","'"&amp;SUBSTITUTE(TRIM(N262),"'","''")&amp;"'")&amp;", p_razon_social =&gt; "&amp;IF(TRIM(D262&amp;"")="","NULL","'"&amp;SUBSTITUTE(TRIM(D262),"'","''")&amp;"'")&amp;", p_id_tipo_cliente =&gt; "&amp;IF(TRIM(I262&amp;"")="","NULL","(SELECT lo.id FROM gen_lista_opciones lo JOIN gen_lista l ON l.id = lo.id_lista WHERE l.nombre = 'TipoCliente' AND upper(lo.nombre) = upper('"&amp;SUBSTITUTE(TRIM(I262),"'","''")&amp;"') AND lo.estado = 1 LIMIT 1)")&amp;", p_id_tipo_persona =&gt; "&amp;IF(TRIM(H262&amp;"")="","NULL","(SELECT lo.id FROM gen_lista_opciones lo JOIN gen_lista l ON l.id = lo.id_lista WHERE l.nombre = 'TipoPersona' AND upper(lo.nombre) = upper('"&amp;SUBSTITUTE(TRIM(H262),"'","''")&amp;"') AND lo.estado = 1 LIMIT 1)")&amp;", p_nombres =&gt; "&amp;IF(TRIM(E262&amp;"")="","NULL","'"&amp;SUBSTITUTE(TRIM(E262),"'","''")&amp;"'")&amp;", p_apellido_paterno =&gt; "&amp;IF(TRIM(F262&amp;"")="","NULL","'"&amp;SUBSTITUTE(TRIM(F262),"'","''")&amp;"'")&amp;", p_apellido_materno =&gt; "&amp;IF(TRIM(G262&amp;"")="","NULL","'"&amp;SUBSTITUTE(TRIM(G262),"'","''")&amp;"'")&amp;", p_id_tipo_documento =&gt; "&amp;IF(TRIM(B262&amp;"")="","NULL","(SELECT lo.id FROM gen_lista_opciones lo JOIN gen_lista l ON l.id = lo.id_lista WHERE l.nombre = 'TipoDocumento' AND upper(lo.nombre) = upper('"&amp;SUBSTITUTE(TRIM(B262),"'","''")&amp;"') AND lo.estado = 1 LIMIT 1)")&amp;", p_numero_documento =&gt; "&amp;IF(TRIM(C262&amp;"")="","NULL","'"&amp;SUBSTITUTE(TRIM(C262),"'","''")&amp;"'")&amp;", p_telefono =&gt; "&amp;IF(TRIM(L262&amp;"")="","NULL","'"&amp;SUBSTITUTE(TRIM(L262),"'","''")&amp;"'")&amp;", p_email =&gt; "&amp;IF(TRIM(M262&amp;"")="","NULL","'"&amp;SUBSTITUTE(TRIM(M262),"'","''")&amp;"'")&amp;", p_observacion =&gt; "&amp;IF(TRIM(O262&amp;"")="","NULL","'"&amp;SUBSTITUTE(TRIM(O262),"'","''")&amp;"'")&amp;", p_direccion =&gt; "&amp;IF(TRIM(J262&amp;"")="","NULL","'"&amp;SUBSTITUTE(TRIM(J262),"'","''")&amp;"'")&amp;", p_referencia =&gt; "&amp;IF(TRIM(K262&amp;"")="","NULL","'"&amp;SUBSTITUTE(TRIM(K262),"'","''")&amp;"'")&amp;") AS resultado_cliente_"&amp;217&amp;";")</f>
        <v/>
      </c>
    </row>
    <row r="263" ht="15.75" customHeight="1" s="64">
      <c r="A263" s="25">
        <f>IF(AND(D263="",E263="",C263=""),"",IF(AND(D263="",E263=""),"FALTA razón social o nombres",IF(AND(C263&lt;&gt;"",COUNTIF($C$5:$C$549,C263)&gt;1),"DOCUMENTO DUPLICADO",IF(AND(B263="DNI",C263&lt;&gt;"",LEN(C263)&lt;&gt;8),"DNI debe tener 8 dígitos",IF(AND(B263="RUC",C263&lt;&gt;"",LEN(C263)&lt;&gt;11),"RUC debe tener 11 dígitos",IF(AND(N263&lt;&gt;"",COUNTIF($N$5:$N$549,N263)&gt;1),"CÓDIGO INTERNO DUPLICADO","OK"))))))</f>
        <v/>
      </c>
      <c r="B263" s="17" t="n"/>
      <c r="C263" s="23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23" t="n"/>
      <c r="M263" s="17" t="n"/>
      <c r="N263" s="23" t="n"/>
      <c r="O263" s="17" t="n"/>
      <c r="P263" s="28">
        <f>IF(A263&lt;&gt;"OK","","SELECT cli_crear_clientes(p_codigo_interno =&gt; "&amp;IF(TRIM(N263&amp;"")="","NULL","'"&amp;SUBSTITUTE(TRIM(N263),"'","''")&amp;"'")&amp;", p_razon_social =&gt; "&amp;IF(TRIM(D263&amp;"")="","NULL","'"&amp;SUBSTITUTE(TRIM(D263),"'","''")&amp;"'")&amp;", p_id_tipo_cliente =&gt; "&amp;IF(TRIM(I263&amp;"")="","NULL","(SELECT lo.id FROM gen_lista_opciones lo JOIN gen_lista l ON l.id = lo.id_lista WHERE l.nombre = 'TipoCliente' AND upper(lo.nombre) = upper('"&amp;SUBSTITUTE(TRIM(I263),"'","''")&amp;"') AND lo.estado = 1 LIMIT 1)")&amp;", p_id_tipo_persona =&gt; "&amp;IF(TRIM(H263&amp;"")="","NULL","(SELECT lo.id FROM gen_lista_opciones lo JOIN gen_lista l ON l.id = lo.id_lista WHERE l.nombre = 'TipoPersona' AND upper(lo.nombre) = upper('"&amp;SUBSTITUTE(TRIM(H263),"'","''")&amp;"') AND lo.estado = 1 LIMIT 1)")&amp;", p_nombres =&gt; "&amp;IF(TRIM(E263&amp;"")="","NULL","'"&amp;SUBSTITUTE(TRIM(E263),"'","''")&amp;"'")&amp;", p_apellido_paterno =&gt; "&amp;IF(TRIM(F263&amp;"")="","NULL","'"&amp;SUBSTITUTE(TRIM(F263),"'","''")&amp;"'")&amp;", p_apellido_materno =&gt; "&amp;IF(TRIM(G263&amp;"")="","NULL","'"&amp;SUBSTITUTE(TRIM(G263),"'","''")&amp;"'")&amp;", p_id_tipo_documento =&gt; "&amp;IF(TRIM(B263&amp;"")="","NULL","(SELECT lo.id FROM gen_lista_opciones lo JOIN gen_lista l ON l.id = lo.id_lista WHERE l.nombre = 'TipoDocumento' AND upper(lo.nombre) = upper('"&amp;SUBSTITUTE(TRIM(B263),"'","''")&amp;"') AND lo.estado = 1 LIMIT 1)")&amp;", p_numero_documento =&gt; "&amp;IF(TRIM(C263&amp;"")="","NULL","'"&amp;SUBSTITUTE(TRIM(C263),"'","''")&amp;"'")&amp;", p_telefono =&gt; "&amp;IF(TRIM(L263&amp;"")="","NULL","'"&amp;SUBSTITUTE(TRIM(L263),"'","''")&amp;"'")&amp;", p_email =&gt; "&amp;IF(TRIM(M263&amp;"")="","NULL","'"&amp;SUBSTITUTE(TRIM(M263),"'","''")&amp;"'")&amp;", p_observacion =&gt; "&amp;IF(TRIM(O263&amp;"")="","NULL","'"&amp;SUBSTITUTE(TRIM(O263),"'","''")&amp;"'")&amp;", p_direccion =&gt; "&amp;IF(TRIM(J263&amp;"")="","NULL","'"&amp;SUBSTITUTE(TRIM(J263),"'","''")&amp;"'")&amp;", p_referencia =&gt; "&amp;IF(TRIM(K263&amp;"")="","NULL","'"&amp;SUBSTITUTE(TRIM(K263),"'","''")&amp;"'")&amp;") AS resultado_cliente_"&amp;218&amp;";")</f>
        <v/>
      </c>
    </row>
    <row r="264" ht="15.75" customHeight="1" s="64">
      <c r="A264" s="25">
        <f>IF(AND(D264="",E264="",C264=""),"",IF(AND(D264="",E264=""),"FALTA razón social o nombres",IF(AND(C264&lt;&gt;"",COUNTIF($C$5:$C$549,C264)&gt;1),"DOCUMENTO DUPLICADO",IF(AND(B264="DNI",C264&lt;&gt;"",LEN(C264)&lt;&gt;8),"DNI debe tener 8 dígitos",IF(AND(B264="RUC",C264&lt;&gt;"",LEN(C264)&lt;&gt;11),"RUC debe tener 11 dígitos",IF(AND(N264&lt;&gt;"",COUNTIF($N$5:$N$549,N264)&gt;1),"CÓDIGO INTERNO DUPLICADO","OK"))))))</f>
        <v/>
      </c>
      <c r="B264" s="17" t="n"/>
      <c r="C264" s="23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23" t="n"/>
      <c r="M264" s="17" t="n"/>
      <c r="N264" s="23" t="n"/>
      <c r="O264" s="17" t="n"/>
      <c r="P264" s="28">
        <f>IF(A264&lt;&gt;"OK","","SELECT cli_crear_clientes(p_codigo_interno =&gt; "&amp;IF(TRIM(N264&amp;"")="","NULL","'"&amp;SUBSTITUTE(TRIM(N264),"'","''")&amp;"'")&amp;", p_razon_social =&gt; "&amp;IF(TRIM(D264&amp;"")="","NULL","'"&amp;SUBSTITUTE(TRIM(D264),"'","''")&amp;"'")&amp;", p_id_tipo_cliente =&gt; "&amp;IF(TRIM(I264&amp;"")="","NULL","(SELECT lo.id FROM gen_lista_opciones lo JOIN gen_lista l ON l.id = lo.id_lista WHERE l.nombre = 'TipoCliente' AND upper(lo.nombre) = upper('"&amp;SUBSTITUTE(TRIM(I264),"'","''")&amp;"') AND lo.estado = 1 LIMIT 1)")&amp;", p_id_tipo_persona =&gt; "&amp;IF(TRIM(H264&amp;"")="","NULL","(SELECT lo.id FROM gen_lista_opciones lo JOIN gen_lista l ON l.id = lo.id_lista WHERE l.nombre = 'TipoPersona' AND upper(lo.nombre) = upper('"&amp;SUBSTITUTE(TRIM(H264),"'","''")&amp;"') AND lo.estado = 1 LIMIT 1)")&amp;", p_nombres =&gt; "&amp;IF(TRIM(E264&amp;"")="","NULL","'"&amp;SUBSTITUTE(TRIM(E264),"'","''")&amp;"'")&amp;", p_apellido_paterno =&gt; "&amp;IF(TRIM(F264&amp;"")="","NULL","'"&amp;SUBSTITUTE(TRIM(F264),"'","''")&amp;"'")&amp;", p_apellido_materno =&gt; "&amp;IF(TRIM(G264&amp;"")="","NULL","'"&amp;SUBSTITUTE(TRIM(G264),"'","''")&amp;"'")&amp;", p_id_tipo_documento =&gt; "&amp;IF(TRIM(B264&amp;"")="","NULL","(SELECT lo.id FROM gen_lista_opciones lo JOIN gen_lista l ON l.id = lo.id_lista WHERE l.nombre = 'TipoDocumento' AND upper(lo.nombre) = upper('"&amp;SUBSTITUTE(TRIM(B264),"'","''")&amp;"') AND lo.estado = 1 LIMIT 1)")&amp;", p_numero_documento =&gt; "&amp;IF(TRIM(C264&amp;"")="","NULL","'"&amp;SUBSTITUTE(TRIM(C264),"'","''")&amp;"'")&amp;", p_telefono =&gt; "&amp;IF(TRIM(L264&amp;"")="","NULL","'"&amp;SUBSTITUTE(TRIM(L264),"'","''")&amp;"'")&amp;", p_email =&gt; "&amp;IF(TRIM(M264&amp;"")="","NULL","'"&amp;SUBSTITUTE(TRIM(M264),"'","''")&amp;"'")&amp;", p_observacion =&gt; "&amp;IF(TRIM(O264&amp;"")="","NULL","'"&amp;SUBSTITUTE(TRIM(O264),"'","''")&amp;"'")&amp;", p_direccion =&gt; "&amp;IF(TRIM(J264&amp;"")="","NULL","'"&amp;SUBSTITUTE(TRIM(J264),"'","''")&amp;"'")&amp;", p_referencia =&gt; "&amp;IF(TRIM(K264&amp;"")="","NULL","'"&amp;SUBSTITUTE(TRIM(K264),"'","''")&amp;"'")&amp;") AS resultado_cliente_"&amp;219&amp;";")</f>
        <v/>
      </c>
    </row>
    <row r="265" ht="15.75" customHeight="1" s="64">
      <c r="A265" s="25">
        <f>IF(AND(D265="",E265="",C265=""),"",IF(AND(D265="",E265=""),"FALTA razón social o nombres",IF(AND(C265&lt;&gt;"",COUNTIF($C$5:$C$549,C265)&gt;1),"DOCUMENTO DUPLICADO",IF(AND(B265="DNI",C265&lt;&gt;"",LEN(C265)&lt;&gt;8),"DNI debe tener 8 dígitos",IF(AND(B265="RUC",C265&lt;&gt;"",LEN(C265)&lt;&gt;11),"RUC debe tener 11 dígitos",IF(AND(N265&lt;&gt;"",COUNTIF($N$5:$N$549,N265)&gt;1),"CÓDIGO INTERNO DUPLICADO","OK"))))))</f>
        <v/>
      </c>
      <c r="B265" s="17" t="n"/>
      <c r="C265" s="23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23" t="n"/>
      <c r="M265" s="17" t="n"/>
      <c r="N265" s="23" t="n"/>
      <c r="O265" s="17" t="n"/>
      <c r="P265" s="28">
        <f>IF(A265&lt;&gt;"OK","","SELECT cli_crear_clientes(p_codigo_interno =&gt; "&amp;IF(TRIM(N265&amp;"")="","NULL","'"&amp;SUBSTITUTE(TRIM(N265),"'","''")&amp;"'")&amp;", p_razon_social =&gt; "&amp;IF(TRIM(D265&amp;"")="","NULL","'"&amp;SUBSTITUTE(TRIM(D265),"'","''")&amp;"'")&amp;", p_id_tipo_cliente =&gt; "&amp;IF(TRIM(I265&amp;"")="","NULL","(SELECT lo.id FROM gen_lista_opciones lo JOIN gen_lista l ON l.id = lo.id_lista WHERE l.nombre = 'TipoCliente' AND upper(lo.nombre) = upper('"&amp;SUBSTITUTE(TRIM(I265),"'","''")&amp;"') AND lo.estado = 1 LIMIT 1)")&amp;", p_id_tipo_persona =&gt; "&amp;IF(TRIM(H265&amp;"")="","NULL","(SELECT lo.id FROM gen_lista_opciones lo JOIN gen_lista l ON l.id = lo.id_lista WHERE l.nombre = 'TipoPersona' AND upper(lo.nombre) = upper('"&amp;SUBSTITUTE(TRIM(H265),"'","''")&amp;"') AND lo.estado = 1 LIMIT 1)")&amp;", p_nombres =&gt; "&amp;IF(TRIM(E265&amp;"")="","NULL","'"&amp;SUBSTITUTE(TRIM(E265),"'","''")&amp;"'")&amp;", p_apellido_paterno =&gt; "&amp;IF(TRIM(F265&amp;"")="","NULL","'"&amp;SUBSTITUTE(TRIM(F265),"'","''")&amp;"'")&amp;", p_apellido_materno =&gt; "&amp;IF(TRIM(G265&amp;"")="","NULL","'"&amp;SUBSTITUTE(TRIM(G265),"'","''")&amp;"'")&amp;", p_id_tipo_documento =&gt; "&amp;IF(TRIM(B265&amp;"")="","NULL","(SELECT lo.id FROM gen_lista_opciones lo JOIN gen_lista l ON l.id = lo.id_lista WHERE l.nombre = 'TipoDocumento' AND upper(lo.nombre) = upper('"&amp;SUBSTITUTE(TRIM(B265),"'","''")&amp;"') AND lo.estado = 1 LIMIT 1)")&amp;", p_numero_documento =&gt; "&amp;IF(TRIM(C265&amp;"")="","NULL","'"&amp;SUBSTITUTE(TRIM(C265),"'","''")&amp;"'")&amp;", p_telefono =&gt; "&amp;IF(TRIM(L265&amp;"")="","NULL","'"&amp;SUBSTITUTE(TRIM(L265),"'","''")&amp;"'")&amp;", p_email =&gt; "&amp;IF(TRIM(M265&amp;"")="","NULL","'"&amp;SUBSTITUTE(TRIM(M265),"'","''")&amp;"'")&amp;", p_observacion =&gt; "&amp;IF(TRIM(O265&amp;"")="","NULL","'"&amp;SUBSTITUTE(TRIM(O265),"'","''")&amp;"'")&amp;", p_direccion =&gt; "&amp;IF(TRIM(J265&amp;"")="","NULL","'"&amp;SUBSTITUTE(TRIM(J265),"'","''")&amp;"'")&amp;", p_referencia =&gt; "&amp;IF(TRIM(K265&amp;"")="","NULL","'"&amp;SUBSTITUTE(TRIM(K265),"'","''")&amp;"'")&amp;") AS resultado_cliente_"&amp;220&amp;";")</f>
        <v/>
      </c>
    </row>
    <row r="266" ht="15.75" customHeight="1" s="64">
      <c r="A266" s="25">
        <f>IF(AND(D266="",E266="",C266=""),"",IF(AND(D266="",E266=""),"FALTA razón social o nombres",IF(AND(C266&lt;&gt;"",COUNTIF($C$5:$C$549,C266)&gt;1),"DOCUMENTO DUPLICADO",IF(AND(B266="DNI",C266&lt;&gt;"",LEN(C266)&lt;&gt;8),"DNI debe tener 8 dígitos",IF(AND(B266="RUC",C266&lt;&gt;"",LEN(C266)&lt;&gt;11),"RUC debe tener 11 dígitos",IF(AND(N266&lt;&gt;"",COUNTIF($N$5:$N$549,N266)&gt;1),"CÓDIGO INTERNO DUPLICADO","OK"))))))</f>
        <v/>
      </c>
      <c r="B266" s="17" t="n"/>
      <c r="C266" s="23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23" t="n"/>
      <c r="M266" s="17" t="n"/>
      <c r="N266" s="23" t="n"/>
      <c r="O266" s="17" t="n"/>
      <c r="P266" s="28">
        <f>IF(A266&lt;&gt;"OK","","SELECT cli_crear_clientes(p_codigo_interno =&gt; "&amp;IF(TRIM(N266&amp;"")="","NULL","'"&amp;SUBSTITUTE(TRIM(N266),"'","''")&amp;"'")&amp;", p_razon_social =&gt; "&amp;IF(TRIM(D266&amp;"")="","NULL","'"&amp;SUBSTITUTE(TRIM(D266),"'","''")&amp;"'")&amp;", p_id_tipo_cliente =&gt; "&amp;IF(TRIM(I266&amp;"")="","NULL","(SELECT lo.id FROM gen_lista_opciones lo JOIN gen_lista l ON l.id = lo.id_lista WHERE l.nombre = 'TipoCliente' AND upper(lo.nombre) = upper('"&amp;SUBSTITUTE(TRIM(I266),"'","''")&amp;"') AND lo.estado = 1 LIMIT 1)")&amp;", p_id_tipo_persona =&gt; "&amp;IF(TRIM(H266&amp;"")="","NULL","(SELECT lo.id FROM gen_lista_opciones lo JOIN gen_lista l ON l.id = lo.id_lista WHERE l.nombre = 'TipoPersona' AND upper(lo.nombre) = upper('"&amp;SUBSTITUTE(TRIM(H266),"'","''")&amp;"') AND lo.estado = 1 LIMIT 1)")&amp;", p_nombres =&gt; "&amp;IF(TRIM(E266&amp;"")="","NULL","'"&amp;SUBSTITUTE(TRIM(E266),"'","''")&amp;"'")&amp;", p_apellido_paterno =&gt; "&amp;IF(TRIM(F266&amp;"")="","NULL","'"&amp;SUBSTITUTE(TRIM(F266),"'","''")&amp;"'")&amp;", p_apellido_materno =&gt; "&amp;IF(TRIM(G266&amp;"")="","NULL","'"&amp;SUBSTITUTE(TRIM(G266),"'","''")&amp;"'")&amp;", p_id_tipo_documento =&gt; "&amp;IF(TRIM(B266&amp;"")="","NULL","(SELECT lo.id FROM gen_lista_opciones lo JOIN gen_lista l ON l.id = lo.id_lista WHERE l.nombre = 'TipoDocumento' AND upper(lo.nombre) = upper('"&amp;SUBSTITUTE(TRIM(B266),"'","''")&amp;"') AND lo.estado = 1 LIMIT 1)")&amp;", p_numero_documento =&gt; "&amp;IF(TRIM(C266&amp;"")="","NULL","'"&amp;SUBSTITUTE(TRIM(C266),"'","''")&amp;"'")&amp;", p_telefono =&gt; "&amp;IF(TRIM(L266&amp;"")="","NULL","'"&amp;SUBSTITUTE(TRIM(L266),"'","''")&amp;"'")&amp;", p_email =&gt; "&amp;IF(TRIM(M266&amp;"")="","NULL","'"&amp;SUBSTITUTE(TRIM(M266),"'","''")&amp;"'")&amp;", p_observacion =&gt; "&amp;IF(TRIM(O266&amp;"")="","NULL","'"&amp;SUBSTITUTE(TRIM(O266),"'","''")&amp;"'")&amp;", p_direccion =&gt; "&amp;IF(TRIM(J266&amp;"")="","NULL","'"&amp;SUBSTITUTE(TRIM(J266),"'","''")&amp;"'")&amp;", p_referencia =&gt; "&amp;IF(TRIM(K266&amp;"")="","NULL","'"&amp;SUBSTITUTE(TRIM(K266),"'","''")&amp;"'")&amp;") AS resultado_cliente_"&amp;221&amp;";")</f>
        <v/>
      </c>
    </row>
    <row r="267" ht="15.75" customHeight="1" s="64">
      <c r="A267" s="25">
        <f>IF(AND(D267="",E267="",C267=""),"",IF(AND(D267="",E267=""),"FALTA razón social o nombres",IF(AND(C267&lt;&gt;"",COUNTIF($C$5:$C$549,C267)&gt;1),"DOCUMENTO DUPLICADO",IF(AND(B267="DNI",C267&lt;&gt;"",LEN(C267)&lt;&gt;8),"DNI debe tener 8 dígitos",IF(AND(B267="RUC",C267&lt;&gt;"",LEN(C267)&lt;&gt;11),"RUC debe tener 11 dígitos",IF(AND(N267&lt;&gt;"",COUNTIF($N$5:$N$549,N267)&gt;1),"CÓDIGO INTERNO DUPLICADO","OK"))))))</f>
        <v/>
      </c>
      <c r="B267" s="17" t="n"/>
      <c r="C267" s="23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23" t="n"/>
      <c r="M267" s="17" t="n"/>
      <c r="N267" s="23" t="n"/>
      <c r="O267" s="17" t="n"/>
      <c r="P267" s="28">
        <f>IF(A267&lt;&gt;"OK","","SELECT cli_crear_clientes(p_codigo_interno =&gt; "&amp;IF(TRIM(N267&amp;"")="","NULL","'"&amp;SUBSTITUTE(TRIM(N267),"'","''")&amp;"'")&amp;", p_razon_social =&gt; "&amp;IF(TRIM(D267&amp;"")="","NULL","'"&amp;SUBSTITUTE(TRIM(D267),"'","''")&amp;"'")&amp;", p_id_tipo_cliente =&gt; "&amp;IF(TRIM(I267&amp;"")="","NULL","(SELECT lo.id FROM gen_lista_opciones lo JOIN gen_lista l ON l.id = lo.id_lista WHERE l.nombre = 'TipoCliente' AND upper(lo.nombre) = upper('"&amp;SUBSTITUTE(TRIM(I267),"'","''")&amp;"') AND lo.estado = 1 LIMIT 1)")&amp;", p_id_tipo_persona =&gt; "&amp;IF(TRIM(H267&amp;"")="","NULL","(SELECT lo.id FROM gen_lista_opciones lo JOIN gen_lista l ON l.id = lo.id_lista WHERE l.nombre = 'TipoPersona' AND upper(lo.nombre) = upper('"&amp;SUBSTITUTE(TRIM(H267),"'","''")&amp;"') AND lo.estado = 1 LIMIT 1)")&amp;", p_nombres =&gt; "&amp;IF(TRIM(E267&amp;"")="","NULL","'"&amp;SUBSTITUTE(TRIM(E267),"'","''")&amp;"'")&amp;", p_apellido_paterno =&gt; "&amp;IF(TRIM(F267&amp;"")="","NULL","'"&amp;SUBSTITUTE(TRIM(F267),"'","''")&amp;"'")&amp;", p_apellido_materno =&gt; "&amp;IF(TRIM(G267&amp;"")="","NULL","'"&amp;SUBSTITUTE(TRIM(G267),"'","''")&amp;"'")&amp;", p_id_tipo_documento =&gt; "&amp;IF(TRIM(B267&amp;"")="","NULL","(SELECT lo.id FROM gen_lista_opciones lo JOIN gen_lista l ON l.id = lo.id_lista WHERE l.nombre = 'TipoDocumento' AND upper(lo.nombre) = upper('"&amp;SUBSTITUTE(TRIM(B267),"'","''")&amp;"') AND lo.estado = 1 LIMIT 1)")&amp;", p_numero_documento =&gt; "&amp;IF(TRIM(C267&amp;"")="","NULL","'"&amp;SUBSTITUTE(TRIM(C267),"'","''")&amp;"'")&amp;", p_telefono =&gt; "&amp;IF(TRIM(L267&amp;"")="","NULL","'"&amp;SUBSTITUTE(TRIM(L267),"'","''")&amp;"'")&amp;", p_email =&gt; "&amp;IF(TRIM(M267&amp;"")="","NULL","'"&amp;SUBSTITUTE(TRIM(M267),"'","''")&amp;"'")&amp;", p_observacion =&gt; "&amp;IF(TRIM(O267&amp;"")="","NULL","'"&amp;SUBSTITUTE(TRIM(O267),"'","''")&amp;"'")&amp;", p_direccion =&gt; "&amp;IF(TRIM(J267&amp;"")="","NULL","'"&amp;SUBSTITUTE(TRIM(J267),"'","''")&amp;"'")&amp;", p_referencia =&gt; "&amp;IF(TRIM(K267&amp;"")="","NULL","'"&amp;SUBSTITUTE(TRIM(K267),"'","''")&amp;"'")&amp;") AS resultado_cliente_"&amp;222&amp;";")</f>
        <v/>
      </c>
    </row>
    <row r="268" ht="15.75" customHeight="1" s="64">
      <c r="A268" s="25">
        <f>IF(AND(D268="",E268="",C268=""),"",IF(AND(D268="",E268=""),"FALTA razón social o nombres",IF(AND(C268&lt;&gt;"",COUNTIF($C$5:$C$549,C268)&gt;1),"DOCUMENTO DUPLICADO",IF(AND(B268="DNI",C268&lt;&gt;"",LEN(C268)&lt;&gt;8),"DNI debe tener 8 dígitos",IF(AND(B268="RUC",C268&lt;&gt;"",LEN(C268)&lt;&gt;11),"RUC debe tener 11 dígitos",IF(AND(N268&lt;&gt;"",COUNTIF($N$5:$N$549,N268)&gt;1),"CÓDIGO INTERNO DUPLICADO","OK"))))))</f>
        <v/>
      </c>
      <c r="B268" s="17" t="n"/>
      <c r="C268" s="23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23" t="n"/>
      <c r="M268" s="17" t="n"/>
      <c r="N268" s="23" t="n"/>
      <c r="O268" s="17" t="n"/>
      <c r="P268" s="28">
        <f>IF(A268&lt;&gt;"OK","","SELECT cli_crear_clientes(p_codigo_interno =&gt; "&amp;IF(TRIM(N268&amp;"")="","NULL","'"&amp;SUBSTITUTE(TRIM(N268),"'","''")&amp;"'")&amp;", p_razon_social =&gt; "&amp;IF(TRIM(D268&amp;"")="","NULL","'"&amp;SUBSTITUTE(TRIM(D268),"'","''")&amp;"'")&amp;", p_id_tipo_cliente =&gt; "&amp;IF(TRIM(I268&amp;"")="","NULL","(SELECT lo.id FROM gen_lista_opciones lo JOIN gen_lista l ON l.id = lo.id_lista WHERE l.nombre = 'TipoCliente' AND upper(lo.nombre) = upper('"&amp;SUBSTITUTE(TRIM(I268),"'","''")&amp;"') AND lo.estado = 1 LIMIT 1)")&amp;", p_id_tipo_persona =&gt; "&amp;IF(TRIM(H268&amp;"")="","NULL","(SELECT lo.id FROM gen_lista_opciones lo JOIN gen_lista l ON l.id = lo.id_lista WHERE l.nombre = 'TipoPersona' AND upper(lo.nombre) = upper('"&amp;SUBSTITUTE(TRIM(H268),"'","''")&amp;"') AND lo.estado = 1 LIMIT 1)")&amp;", p_nombres =&gt; "&amp;IF(TRIM(E268&amp;"")="","NULL","'"&amp;SUBSTITUTE(TRIM(E268),"'","''")&amp;"'")&amp;", p_apellido_paterno =&gt; "&amp;IF(TRIM(F268&amp;"")="","NULL","'"&amp;SUBSTITUTE(TRIM(F268),"'","''")&amp;"'")&amp;", p_apellido_materno =&gt; "&amp;IF(TRIM(G268&amp;"")="","NULL","'"&amp;SUBSTITUTE(TRIM(G268),"'","''")&amp;"'")&amp;", p_id_tipo_documento =&gt; "&amp;IF(TRIM(B268&amp;"")="","NULL","(SELECT lo.id FROM gen_lista_opciones lo JOIN gen_lista l ON l.id = lo.id_lista WHERE l.nombre = 'TipoDocumento' AND upper(lo.nombre) = upper('"&amp;SUBSTITUTE(TRIM(B268),"'","''")&amp;"') AND lo.estado = 1 LIMIT 1)")&amp;", p_numero_documento =&gt; "&amp;IF(TRIM(C268&amp;"")="","NULL","'"&amp;SUBSTITUTE(TRIM(C268),"'","''")&amp;"'")&amp;", p_telefono =&gt; "&amp;IF(TRIM(L268&amp;"")="","NULL","'"&amp;SUBSTITUTE(TRIM(L268),"'","''")&amp;"'")&amp;", p_email =&gt; "&amp;IF(TRIM(M268&amp;"")="","NULL","'"&amp;SUBSTITUTE(TRIM(M268),"'","''")&amp;"'")&amp;", p_observacion =&gt; "&amp;IF(TRIM(O268&amp;"")="","NULL","'"&amp;SUBSTITUTE(TRIM(O268),"'","''")&amp;"'")&amp;", p_direccion =&gt; "&amp;IF(TRIM(J268&amp;"")="","NULL","'"&amp;SUBSTITUTE(TRIM(J268),"'","''")&amp;"'")&amp;", p_referencia =&gt; "&amp;IF(TRIM(K268&amp;"")="","NULL","'"&amp;SUBSTITUTE(TRIM(K268),"'","''")&amp;"'")&amp;") AS resultado_cliente_"&amp;223&amp;";")</f>
        <v/>
      </c>
    </row>
    <row r="269" ht="15.75" customHeight="1" s="64">
      <c r="A269" s="25">
        <f>IF(AND(D269="",E269="",C269=""),"",IF(AND(D269="",E269=""),"FALTA razón social o nombres",IF(AND(C269&lt;&gt;"",COUNTIF($C$5:$C$549,C269)&gt;1),"DOCUMENTO DUPLICADO",IF(AND(B269="DNI",C269&lt;&gt;"",LEN(C269)&lt;&gt;8),"DNI debe tener 8 dígitos",IF(AND(B269="RUC",C269&lt;&gt;"",LEN(C269)&lt;&gt;11),"RUC debe tener 11 dígitos",IF(AND(N269&lt;&gt;"",COUNTIF($N$5:$N$549,N269)&gt;1),"CÓDIGO INTERNO DUPLICADO","OK"))))))</f>
        <v/>
      </c>
      <c r="B269" s="17" t="n"/>
      <c r="C269" s="23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23" t="n"/>
      <c r="M269" s="17" t="n"/>
      <c r="N269" s="23" t="n"/>
      <c r="O269" s="17" t="n"/>
      <c r="P269" s="28">
        <f>IF(A269&lt;&gt;"OK","","SELECT cli_crear_clientes(p_codigo_interno =&gt; "&amp;IF(TRIM(N269&amp;"")="","NULL","'"&amp;SUBSTITUTE(TRIM(N269),"'","''")&amp;"'")&amp;", p_razon_social =&gt; "&amp;IF(TRIM(D269&amp;"")="","NULL","'"&amp;SUBSTITUTE(TRIM(D269),"'","''")&amp;"'")&amp;", p_id_tipo_cliente =&gt; "&amp;IF(TRIM(I269&amp;"")="","NULL","(SELECT lo.id FROM gen_lista_opciones lo JOIN gen_lista l ON l.id = lo.id_lista WHERE l.nombre = 'TipoCliente' AND upper(lo.nombre) = upper('"&amp;SUBSTITUTE(TRIM(I269),"'","''")&amp;"') AND lo.estado = 1 LIMIT 1)")&amp;", p_id_tipo_persona =&gt; "&amp;IF(TRIM(H269&amp;"")="","NULL","(SELECT lo.id FROM gen_lista_opciones lo JOIN gen_lista l ON l.id = lo.id_lista WHERE l.nombre = 'TipoPersona' AND upper(lo.nombre) = upper('"&amp;SUBSTITUTE(TRIM(H269),"'","''")&amp;"') AND lo.estado = 1 LIMIT 1)")&amp;", p_nombres =&gt; "&amp;IF(TRIM(E269&amp;"")="","NULL","'"&amp;SUBSTITUTE(TRIM(E269),"'","''")&amp;"'")&amp;", p_apellido_paterno =&gt; "&amp;IF(TRIM(F269&amp;"")="","NULL","'"&amp;SUBSTITUTE(TRIM(F269),"'","''")&amp;"'")&amp;", p_apellido_materno =&gt; "&amp;IF(TRIM(G269&amp;"")="","NULL","'"&amp;SUBSTITUTE(TRIM(G269),"'","''")&amp;"'")&amp;", p_id_tipo_documento =&gt; "&amp;IF(TRIM(B269&amp;"")="","NULL","(SELECT lo.id FROM gen_lista_opciones lo JOIN gen_lista l ON l.id = lo.id_lista WHERE l.nombre = 'TipoDocumento' AND upper(lo.nombre) = upper('"&amp;SUBSTITUTE(TRIM(B269),"'","''")&amp;"') AND lo.estado = 1 LIMIT 1)")&amp;", p_numero_documento =&gt; "&amp;IF(TRIM(C269&amp;"")="","NULL","'"&amp;SUBSTITUTE(TRIM(C269),"'","''")&amp;"'")&amp;", p_telefono =&gt; "&amp;IF(TRIM(L269&amp;"")="","NULL","'"&amp;SUBSTITUTE(TRIM(L269),"'","''")&amp;"'")&amp;", p_email =&gt; "&amp;IF(TRIM(M269&amp;"")="","NULL","'"&amp;SUBSTITUTE(TRIM(M269),"'","''")&amp;"'")&amp;", p_observacion =&gt; "&amp;IF(TRIM(O269&amp;"")="","NULL","'"&amp;SUBSTITUTE(TRIM(O269),"'","''")&amp;"'")&amp;", p_direccion =&gt; "&amp;IF(TRIM(J269&amp;"")="","NULL","'"&amp;SUBSTITUTE(TRIM(J269),"'","''")&amp;"'")&amp;", p_referencia =&gt; "&amp;IF(TRIM(K269&amp;"")="","NULL","'"&amp;SUBSTITUTE(TRIM(K269),"'","''")&amp;"'")&amp;") AS resultado_cliente_"&amp;224&amp;";")</f>
        <v/>
      </c>
    </row>
    <row r="270" ht="15.75" customHeight="1" s="64">
      <c r="A270" s="25">
        <f>IF(AND(D270="",E270="",C270=""),"",IF(AND(D270="",E270=""),"FALTA razón social o nombres",IF(AND(C270&lt;&gt;"",COUNTIF($C$5:$C$549,C270)&gt;1),"DOCUMENTO DUPLICADO",IF(AND(B270="DNI",C270&lt;&gt;"",LEN(C270)&lt;&gt;8),"DNI debe tener 8 dígitos",IF(AND(B270="RUC",C270&lt;&gt;"",LEN(C270)&lt;&gt;11),"RUC debe tener 11 dígitos",IF(AND(N270&lt;&gt;"",COUNTIF($N$5:$N$549,N270)&gt;1),"CÓDIGO INTERNO DUPLICADO","OK"))))))</f>
        <v/>
      </c>
      <c r="B270" s="17" t="n"/>
      <c r="C270" s="23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23" t="n"/>
      <c r="M270" s="17" t="n"/>
      <c r="N270" s="23" t="n"/>
      <c r="O270" s="17" t="n"/>
      <c r="P270" s="28">
        <f>IF(A270&lt;&gt;"OK","","SELECT cli_crear_clientes(p_codigo_interno =&gt; "&amp;IF(TRIM(N270&amp;"")="","NULL","'"&amp;SUBSTITUTE(TRIM(N270),"'","''")&amp;"'")&amp;", p_razon_social =&gt; "&amp;IF(TRIM(D270&amp;"")="","NULL","'"&amp;SUBSTITUTE(TRIM(D270),"'","''")&amp;"'")&amp;", p_id_tipo_cliente =&gt; "&amp;IF(TRIM(I270&amp;"")="","NULL","(SELECT lo.id FROM gen_lista_opciones lo JOIN gen_lista l ON l.id = lo.id_lista WHERE l.nombre = 'TipoCliente' AND upper(lo.nombre) = upper('"&amp;SUBSTITUTE(TRIM(I270),"'","''")&amp;"') AND lo.estado = 1 LIMIT 1)")&amp;", p_id_tipo_persona =&gt; "&amp;IF(TRIM(H270&amp;"")="","NULL","(SELECT lo.id FROM gen_lista_opciones lo JOIN gen_lista l ON l.id = lo.id_lista WHERE l.nombre = 'TipoPersona' AND upper(lo.nombre) = upper('"&amp;SUBSTITUTE(TRIM(H270),"'","''")&amp;"') AND lo.estado = 1 LIMIT 1)")&amp;", p_nombres =&gt; "&amp;IF(TRIM(E270&amp;"")="","NULL","'"&amp;SUBSTITUTE(TRIM(E270),"'","''")&amp;"'")&amp;", p_apellido_paterno =&gt; "&amp;IF(TRIM(F270&amp;"")="","NULL","'"&amp;SUBSTITUTE(TRIM(F270),"'","''")&amp;"'")&amp;", p_apellido_materno =&gt; "&amp;IF(TRIM(G270&amp;"")="","NULL","'"&amp;SUBSTITUTE(TRIM(G270),"'","''")&amp;"'")&amp;", p_id_tipo_documento =&gt; "&amp;IF(TRIM(B270&amp;"")="","NULL","(SELECT lo.id FROM gen_lista_opciones lo JOIN gen_lista l ON l.id = lo.id_lista WHERE l.nombre = 'TipoDocumento' AND upper(lo.nombre) = upper('"&amp;SUBSTITUTE(TRIM(B270),"'","''")&amp;"') AND lo.estado = 1 LIMIT 1)")&amp;", p_numero_documento =&gt; "&amp;IF(TRIM(C270&amp;"")="","NULL","'"&amp;SUBSTITUTE(TRIM(C270),"'","''")&amp;"'")&amp;", p_telefono =&gt; "&amp;IF(TRIM(L270&amp;"")="","NULL","'"&amp;SUBSTITUTE(TRIM(L270),"'","''")&amp;"'")&amp;", p_email =&gt; "&amp;IF(TRIM(M270&amp;"")="","NULL","'"&amp;SUBSTITUTE(TRIM(M270),"'","''")&amp;"'")&amp;", p_observacion =&gt; "&amp;IF(TRIM(O270&amp;"")="","NULL","'"&amp;SUBSTITUTE(TRIM(O270),"'","''")&amp;"'")&amp;", p_direccion =&gt; "&amp;IF(TRIM(J270&amp;"")="","NULL","'"&amp;SUBSTITUTE(TRIM(J270),"'","''")&amp;"'")&amp;", p_referencia =&gt; "&amp;IF(TRIM(K270&amp;"")="","NULL","'"&amp;SUBSTITUTE(TRIM(K270),"'","''")&amp;"'")&amp;") AS resultado_cliente_"&amp;225&amp;";")</f>
        <v/>
      </c>
    </row>
    <row r="271" ht="15.75" customHeight="1" s="64">
      <c r="A271" s="25">
        <f>IF(AND(D271="",E271="",C271=""),"",IF(AND(D271="",E271=""),"FALTA razón social o nombres",IF(AND(C271&lt;&gt;"",COUNTIF($C$5:$C$549,C271)&gt;1),"DOCUMENTO DUPLICADO",IF(AND(B271="DNI",C271&lt;&gt;"",LEN(C271)&lt;&gt;8),"DNI debe tener 8 dígitos",IF(AND(B271="RUC",C271&lt;&gt;"",LEN(C271)&lt;&gt;11),"RUC debe tener 11 dígitos",IF(AND(N271&lt;&gt;"",COUNTIF($N$5:$N$549,N271)&gt;1),"CÓDIGO INTERNO DUPLICADO","OK"))))))</f>
        <v/>
      </c>
      <c r="B271" s="17" t="n"/>
      <c r="C271" s="23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23" t="n"/>
      <c r="M271" s="17" t="n"/>
      <c r="N271" s="23" t="n"/>
      <c r="O271" s="17" t="n"/>
      <c r="P271" s="28">
        <f>IF(A271&lt;&gt;"OK","","SELECT cli_crear_clientes(p_codigo_interno =&gt; "&amp;IF(TRIM(N271&amp;"")="","NULL","'"&amp;SUBSTITUTE(TRIM(N271),"'","''")&amp;"'")&amp;", p_razon_social =&gt; "&amp;IF(TRIM(D271&amp;"")="","NULL","'"&amp;SUBSTITUTE(TRIM(D271),"'","''")&amp;"'")&amp;", p_id_tipo_cliente =&gt; "&amp;IF(TRIM(I271&amp;"")="","NULL","(SELECT lo.id FROM gen_lista_opciones lo JOIN gen_lista l ON l.id = lo.id_lista WHERE l.nombre = 'TipoCliente' AND upper(lo.nombre) = upper('"&amp;SUBSTITUTE(TRIM(I271),"'","''")&amp;"') AND lo.estado = 1 LIMIT 1)")&amp;", p_id_tipo_persona =&gt; "&amp;IF(TRIM(H271&amp;"")="","NULL","(SELECT lo.id FROM gen_lista_opciones lo JOIN gen_lista l ON l.id = lo.id_lista WHERE l.nombre = 'TipoPersona' AND upper(lo.nombre) = upper('"&amp;SUBSTITUTE(TRIM(H271),"'","''")&amp;"') AND lo.estado = 1 LIMIT 1)")&amp;", p_nombres =&gt; "&amp;IF(TRIM(E271&amp;"")="","NULL","'"&amp;SUBSTITUTE(TRIM(E271),"'","''")&amp;"'")&amp;", p_apellido_paterno =&gt; "&amp;IF(TRIM(F271&amp;"")="","NULL","'"&amp;SUBSTITUTE(TRIM(F271),"'","''")&amp;"'")&amp;", p_apellido_materno =&gt; "&amp;IF(TRIM(G271&amp;"")="","NULL","'"&amp;SUBSTITUTE(TRIM(G271),"'","''")&amp;"'")&amp;", p_id_tipo_documento =&gt; "&amp;IF(TRIM(B271&amp;"")="","NULL","(SELECT lo.id FROM gen_lista_opciones lo JOIN gen_lista l ON l.id = lo.id_lista WHERE l.nombre = 'TipoDocumento' AND upper(lo.nombre) = upper('"&amp;SUBSTITUTE(TRIM(B271),"'","''")&amp;"') AND lo.estado = 1 LIMIT 1)")&amp;", p_numero_documento =&gt; "&amp;IF(TRIM(C271&amp;"")="","NULL","'"&amp;SUBSTITUTE(TRIM(C271),"'","''")&amp;"'")&amp;", p_telefono =&gt; "&amp;IF(TRIM(L271&amp;"")="","NULL","'"&amp;SUBSTITUTE(TRIM(L271),"'","''")&amp;"'")&amp;", p_email =&gt; "&amp;IF(TRIM(M271&amp;"")="","NULL","'"&amp;SUBSTITUTE(TRIM(M271),"'","''")&amp;"'")&amp;", p_observacion =&gt; "&amp;IF(TRIM(O271&amp;"")="","NULL","'"&amp;SUBSTITUTE(TRIM(O271),"'","''")&amp;"'")&amp;", p_direccion =&gt; "&amp;IF(TRIM(J271&amp;"")="","NULL","'"&amp;SUBSTITUTE(TRIM(J271),"'","''")&amp;"'")&amp;", p_referencia =&gt; "&amp;IF(TRIM(K271&amp;"")="","NULL","'"&amp;SUBSTITUTE(TRIM(K271),"'","''")&amp;"'")&amp;") AS resultado_cliente_"&amp;226&amp;";")</f>
        <v/>
      </c>
    </row>
    <row r="272" ht="15.75" customHeight="1" s="64">
      <c r="A272" s="25">
        <f>IF(AND(D272="",E272="",C272=""),"",IF(AND(D272="",E272=""),"FALTA razón social o nombres",IF(AND(C272&lt;&gt;"",COUNTIF($C$5:$C$549,C272)&gt;1),"DOCUMENTO DUPLICADO",IF(AND(B272="DNI",C272&lt;&gt;"",LEN(C272)&lt;&gt;8),"DNI debe tener 8 dígitos",IF(AND(B272="RUC",C272&lt;&gt;"",LEN(C272)&lt;&gt;11),"RUC debe tener 11 dígitos",IF(AND(N272&lt;&gt;"",COUNTIF($N$5:$N$549,N272)&gt;1),"CÓDIGO INTERNO DUPLICADO","OK"))))))</f>
        <v/>
      </c>
      <c r="B272" s="17" t="n"/>
      <c r="C272" s="23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23" t="n"/>
      <c r="M272" s="17" t="n"/>
      <c r="N272" s="23" t="n"/>
      <c r="O272" s="17" t="n"/>
      <c r="P272" s="28">
        <f>IF(A272&lt;&gt;"OK","","SELECT cli_crear_clientes(p_codigo_interno =&gt; "&amp;IF(TRIM(N272&amp;"")="","NULL","'"&amp;SUBSTITUTE(TRIM(N272),"'","''")&amp;"'")&amp;", p_razon_social =&gt; "&amp;IF(TRIM(D272&amp;"")="","NULL","'"&amp;SUBSTITUTE(TRIM(D272),"'","''")&amp;"'")&amp;", p_id_tipo_cliente =&gt; "&amp;IF(TRIM(I272&amp;"")="","NULL","(SELECT lo.id FROM gen_lista_opciones lo JOIN gen_lista l ON l.id = lo.id_lista WHERE l.nombre = 'TipoCliente' AND upper(lo.nombre) = upper('"&amp;SUBSTITUTE(TRIM(I272),"'","''")&amp;"') AND lo.estado = 1 LIMIT 1)")&amp;", p_id_tipo_persona =&gt; "&amp;IF(TRIM(H272&amp;"")="","NULL","(SELECT lo.id FROM gen_lista_opciones lo JOIN gen_lista l ON l.id = lo.id_lista WHERE l.nombre = 'TipoPersona' AND upper(lo.nombre) = upper('"&amp;SUBSTITUTE(TRIM(H272),"'","''")&amp;"') AND lo.estado = 1 LIMIT 1)")&amp;", p_nombres =&gt; "&amp;IF(TRIM(E272&amp;"")="","NULL","'"&amp;SUBSTITUTE(TRIM(E272),"'","''")&amp;"'")&amp;", p_apellido_paterno =&gt; "&amp;IF(TRIM(F272&amp;"")="","NULL","'"&amp;SUBSTITUTE(TRIM(F272),"'","''")&amp;"'")&amp;", p_apellido_materno =&gt; "&amp;IF(TRIM(G272&amp;"")="","NULL","'"&amp;SUBSTITUTE(TRIM(G272),"'","''")&amp;"'")&amp;", p_id_tipo_documento =&gt; "&amp;IF(TRIM(B272&amp;"")="","NULL","(SELECT lo.id FROM gen_lista_opciones lo JOIN gen_lista l ON l.id = lo.id_lista WHERE l.nombre = 'TipoDocumento' AND upper(lo.nombre) = upper('"&amp;SUBSTITUTE(TRIM(B272),"'","''")&amp;"') AND lo.estado = 1 LIMIT 1)")&amp;", p_numero_documento =&gt; "&amp;IF(TRIM(C272&amp;"")="","NULL","'"&amp;SUBSTITUTE(TRIM(C272),"'","''")&amp;"'")&amp;", p_telefono =&gt; "&amp;IF(TRIM(L272&amp;"")="","NULL","'"&amp;SUBSTITUTE(TRIM(L272),"'","''")&amp;"'")&amp;", p_email =&gt; "&amp;IF(TRIM(M272&amp;"")="","NULL","'"&amp;SUBSTITUTE(TRIM(M272),"'","''")&amp;"'")&amp;", p_observacion =&gt; "&amp;IF(TRIM(O272&amp;"")="","NULL","'"&amp;SUBSTITUTE(TRIM(O272),"'","''")&amp;"'")&amp;", p_direccion =&gt; "&amp;IF(TRIM(J272&amp;"")="","NULL","'"&amp;SUBSTITUTE(TRIM(J272),"'","''")&amp;"'")&amp;", p_referencia =&gt; "&amp;IF(TRIM(K272&amp;"")="","NULL","'"&amp;SUBSTITUTE(TRIM(K272),"'","''")&amp;"'")&amp;") AS resultado_cliente_"&amp;227&amp;";")</f>
        <v/>
      </c>
    </row>
    <row r="273" ht="15.75" customHeight="1" s="64">
      <c r="A273" s="25">
        <f>IF(AND(D273="",E273="",C273=""),"",IF(AND(D273="",E273=""),"FALTA razón social o nombres",IF(AND(C273&lt;&gt;"",COUNTIF($C$5:$C$549,C273)&gt;1),"DOCUMENTO DUPLICADO",IF(AND(B273="DNI",C273&lt;&gt;"",LEN(C273)&lt;&gt;8),"DNI debe tener 8 dígitos",IF(AND(B273="RUC",C273&lt;&gt;"",LEN(C273)&lt;&gt;11),"RUC debe tener 11 dígitos",IF(AND(N273&lt;&gt;"",COUNTIF($N$5:$N$549,N273)&gt;1),"CÓDIGO INTERNO DUPLICADO","OK"))))))</f>
        <v/>
      </c>
      <c r="B273" s="17" t="n"/>
      <c r="C273" s="23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23" t="n"/>
      <c r="M273" s="17" t="n"/>
      <c r="N273" s="23" t="n"/>
      <c r="O273" s="17" t="n"/>
      <c r="P273" s="28">
        <f>IF(A273&lt;&gt;"OK","","SELECT cli_crear_clientes(p_codigo_interno =&gt; "&amp;IF(TRIM(N273&amp;"")="","NULL","'"&amp;SUBSTITUTE(TRIM(N273),"'","''")&amp;"'")&amp;", p_razon_social =&gt; "&amp;IF(TRIM(D273&amp;"")="","NULL","'"&amp;SUBSTITUTE(TRIM(D273),"'","''")&amp;"'")&amp;", p_id_tipo_cliente =&gt; "&amp;IF(TRIM(I273&amp;"")="","NULL","(SELECT lo.id FROM gen_lista_opciones lo JOIN gen_lista l ON l.id = lo.id_lista WHERE l.nombre = 'TipoCliente' AND upper(lo.nombre) = upper('"&amp;SUBSTITUTE(TRIM(I273),"'","''")&amp;"') AND lo.estado = 1 LIMIT 1)")&amp;", p_id_tipo_persona =&gt; "&amp;IF(TRIM(H273&amp;"")="","NULL","(SELECT lo.id FROM gen_lista_opciones lo JOIN gen_lista l ON l.id = lo.id_lista WHERE l.nombre = 'TipoPersona' AND upper(lo.nombre) = upper('"&amp;SUBSTITUTE(TRIM(H273),"'","''")&amp;"') AND lo.estado = 1 LIMIT 1)")&amp;", p_nombres =&gt; "&amp;IF(TRIM(E273&amp;"")="","NULL","'"&amp;SUBSTITUTE(TRIM(E273),"'","''")&amp;"'")&amp;", p_apellido_paterno =&gt; "&amp;IF(TRIM(F273&amp;"")="","NULL","'"&amp;SUBSTITUTE(TRIM(F273),"'","''")&amp;"'")&amp;", p_apellido_materno =&gt; "&amp;IF(TRIM(G273&amp;"")="","NULL","'"&amp;SUBSTITUTE(TRIM(G273),"'","''")&amp;"'")&amp;", p_id_tipo_documento =&gt; "&amp;IF(TRIM(B273&amp;"")="","NULL","(SELECT lo.id FROM gen_lista_opciones lo JOIN gen_lista l ON l.id = lo.id_lista WHERE l.nombre = 'TipoDocumento' AND upper(lo.nombre) = upper('"&amp;SUBSTITUTE(TRIM(B273),"'","''")&amp;"') AND lo.estado = 1 LIMIT 1)")&amp;", p_numero_documento =&gt; "&amp;IF(TRIM(C273&amp;"")="","NULL","'"&amp;SUBSTITUTE(TRIM(C273),"'","''")&amp;"'")&amp;", p_telefono =&gt; "&amp;IF(TRIM(L273&amp;"")="","NULL","'"&amp;SUBSTITUTE(TRIM(L273),"'","''")&amp;"'")&amp;", p_email =&gt; "&amp;IF(TRIM(M273&amp;"")="","NULL","'"&amp;SUBSTITUTE(TRIM(M273),"'","''")&amp;"'")&amp;", p_observacion =&gt; "&amp;IF(TRIM(O273&amp;"")="","NULL","'"&amp;SUBSTITUTE(TRIM(O273),"'","''")&amp;"'")&amp;", p_direccion =&gt; "&amp;IF(TRIM(J273&amp;"")="","NULL","'"&amp;SUBSTITUTE(TRIM(J273),"'","''")&amp;"'")&amp;", p_referencia =&gt; "&amp;IF(TRIM(K273&amp;"")="","NULL","'"&amp;SUBSTITUTE(TRIM(K273),"'","''")&amp;"'")&amp;") AS resultado_cliente_"&amp;228&amp;";")</f>
        <v/>
      </c>
    </row>
    <row r="274" ht="15.75" customHeight="1" s="64">
      <c r="A274" s="25">
        <f>IF(AND(D274="",E274="",C274=""),"",IF(AND(D274="",E274=""),"FALTA razón social o nombres",IF(AND(C274&lt;&gt;"",COUNTIF($C$5:$C$549,C274)&gt;1),"DOCUMENTO DUPLICADO",IF(AND(B274="DNI",C274&lt;&gt;"",LEN(C274)&lt;&gt;8),"DNI debe tener 8 dígitos",IF(AND(B274="RUC",C274&lt;&gt;"",LEN(C274)&lt;&gt;11),"RUC debe tener 11 dígitos",IF(AND(N274&lt;&gt;"",COUNTIF($N$5:$N$549,N274)&gt;1),"CÓDIGO INTERNO DUPLICADO","OK"))))))</f>
        <v/>
      </c>
      <c r="B274" s="17" t="n"/>
      <c r="C274" s="23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23" t="n"/>
      <c r="M274" s="17" t="n"/>
      <c r="N274" s="23" t="n"/>
      <c r="O274" s="17" t="n"/>
      <c r="P274" s="28">
        <f>IF(A274&lt;&gt;"OK","","SELECT cli_crear_clientes(p_codigo_interno =&gt; "&amp;IF(TRIM(N274&amp;"")="","NULL","'"&amp;SUBSTITUTE(TRIM(N274),"'","''")&amp;"'")&amp;", p_razon_social =&gt; "&amp;IF(TRIM(D274&amp;"")="","NULL","'"&amp;SUBSTITUTE(TRIM(D274),"'","''")&amp;"'")&amp;", p_id_tipo_cliente =&gt; "&amp;IF(TRIM(I274&amp;"")="","NULL","(SELECT lo.id FROM gen_lista_opciones lo JOIN gen_lista l ON l.id = lo.id_lista WHERE l.nombre = 'TipoCliente' AND upper(lo.nombre) = upper('"&amp;SUBSTITUTE(TRIM(I274),"'","''")&amp;"') AND lo.estado = 1 LIMIT 1)")&amp;", p_id_tipo_persona =&gt; "&amp;IF(TRIM(H274&amp;"")="","NULL","(SELECT lo.id FROM gen_lista_opciones lo JOIN gen_lista l ON l.id = lo.id_lista WHERE l.nombre = 'TipoPersona' AND upper(lo.nombre) = upper('"&amp;SUBSTITUTE(TRIM(H274),"'","''")&amp;"') AND lo.estado = 1 LIMIT 1)")&amp;", p_nombres =&gt; "&amp;IF(TRIM(E274&amp;"")="","NULL","'"&amp;SUBSTITUTE(TRIM(E274),"'","''")&amp;"'")&amp;", p_apellido_paterno =&gt; "&amp;IF(TRIM(F274&amp;"")="","NULL","'"&amp;SUBSTITUTE(TRIM(F274),"'","''")&amp;"'")&amp;", p_apellido_materno =&gt; "&amp;IF(TRIM(G274&amp;"")="","NULL","'"&amp;SUBSTITUTE(TRIM(G274),"'","''")&amp;"'")&amp;", p_id_tipo_documento =&gt; "&amp;IF(TRIM(B274&amp;"")="","NULL","(SELECT lo.id FROM gen_lista_opciones lo JOIN gen_lista l ON l.id = lo.id_lista WHERE l.nombre = 'TipoDocumento' AND upper(lo.nombre) = upper('"&amp;SUBSTITUTE(TRIM(B274),"'","''")&amp;"') AND lo.estado = 1 LIMIT 1)")&amp;", p_numero_documento =&gt; "&amp;IF(TRIM(C274&amp;"")="","NULL","'"&amp;SUBSTITUTE(TRIM(C274),"'","''")&amp;"'")&amp;", p_telefono =&gt; "&amp;IF(TRIM(L274&amp;"")="","NULL","'"&amp;SUBSTITUTE(TRIM(L274),"'","''")&amp;"'")&amp;", p_email =&gt; "&amp;IF(TRIM(M274&amp;"")="","NULL","'"&amp;SUBSTITUTE(TRIM(M274),"'","''")&amp;"'")&amp;", p_observacion =&gt; "&amp;IF(TRIM(O274&amp;"")="","NULL","'"&amp;SUBSTITUTE(TRIM(O274),"'","''")&amp;"'")&amp;", p_direccion =&gt; "&amp;IF(TRIM(J274&amp;"")="","NULL","'"&amp;SUBSTITUTE(TRIM(J274),"'","''")&amp;"'")&amp;", p_referencia =&gt; "&amp;IF(TRIM(K274&amp;"")="","NULL","'"&amp;SUBSTITUTE(TRIM(K274),"'","''")&amp;"'")&amp;") AS resultado_cliente_"&amp;229&amp;";")</f>
        <v/>
      </c>
    </row>
    <row r="275" ht="15.75" customHeight="1" s="64">
      <c r="A275" s="25">
        <f>IF(AND(D275="",E275="",C275=""),"",IF(AND(D275="",E275=""),"FALTA razón social o nombres",IF(AND(C275&lt;&gt;"",COUNTIF($C$5:$C$549,C275)&gt;1),"DOCUMENTO DUPLICADO",IF(AND(B275="DNI",C275&lt;&gt;"",LEN(C275)&lt;&gt;8),"DNI debe tener 8 dígitos",IF(AND(B275="RUC",C275&lt;&gt;"",LEN(C275)&lt;&gt;11),"RUC debe tener 11 dígitos",IF(AND(N275&lt;&gt;"",COUNTIF($N$5:$N$549,N275)&gt;1),"CÓDIGO INTERNO DUPLICADO","OK"))))))</f>
        <v/>
      </c>
      <c r="B275" s="17" t="n"/>
      <c r="C275" s="23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23" t="n"/>
      <c r="M275" s="17" t="n"/>
      <c r="N275" s="23" t="n"/>
      <c r="O275" s="17" t="n"/>
      <c r="P275" s="28">
        <f>IF(A275&lt;&gt;"OK","","SELECT cli_crear_clientes(p_codigo_interno =&gt; "&amp;IF(TRIM(N275&amp;"")="","NULL","'"&amp;SUBSTITUTE(TRIM(N275),"'","''")&amp;"'")&amp;", p_razon_social =&gt; "&amp;IF(TRIM(D275&amp;"")="","NULL","'"&amp;SUBSTITUTE(TRIM(D275),"'","''")&amp;"'")&amp;", p_id_tipo_cliente =&gt; "&amp;IF(TRIM(I275&amp;"")="","NULL","(SELECT lo.id FROM gen_lista_opciones lo JOIN gen_lista l ON l.id = lo.id_lista WHERE l.nombre = 'TipoCliente' AND upper(lo.nombre) = upper('"&amp;SUBSTITUTE(TRIM(I275),"'","''")&amp;"') AND lo.estado = 1 LIMIT 1)")&amp;", p_id_tipo_persona =&gt; "&amp;IF(TRIM(H275&amp;"")="","NULL","(SELECT lo.id FROM gen_lista_opciones lo JOIN gen_lista l ON l.id = lo.id_lista WHERE l.nombre = 'TipoPersona' AND upper(lo.nombre) = upper('"&amp;SUBSTITUTE(TRIM(H275),"'","''")&amp;"') AND lo.estado = 1 LIMIT 1)")&amp;", p_nombres =&gt; "&amp;IF(TRIM(E275&amp;"")="","NULL","'"&amp;SUBSTITUTE(TRIM(E275),"'","''")&amp;"'")&amp;", p_apellido_paterno =&gt; "&amp;IF(TRIM(F275&amp;"")="","NULL","'"&amp;SUBSTITUTE(TRIM(F275),"'","''")&amp;"'")&amp;", p_apellido_materno =&gt; "&amp;IF(TRIM(G275&amp;"")="","NULL","'"&amp;SUBSTITUTE(TRIM(G275),"'","''")&amp;"'")&amp;", p_id_tipo_documento =&gt; "&amp;IF(TRIM(B275&amp;"")="","NULL","(SELECT lo.id FROM gen_lista_opciones lo JOIN gen_lista l ON l.id = lo.id_lista WHERE l.nombre = 'TipoDocumento' AND upper(lo.nombre) = upper('"&amp;SUBSTITUTE(TRIM(B275),"'","''")&amp;"') AND lo.estado = 1 LIMIT 1)")&amp;", p_numero_documento =&gt; "&amp;IF(TRIM(C275&amp;"")="","NULL","'"&amp;SUBSTITUTE(TRIM(C275),"'","''")&amp;"'")&amp;", p_telefono =&gt; "&amp;IF(TRIM(L275&amp;"")="","NULL","'"&amp;SUBSTITUTE(TRIM(L275),"'","''")&amp;"'")&amp;", p_email =&gt; "&amp;IF(TRIM(M275&amp;"")="","NULL","'"&amp;SUBSTITUTE(TRIM(M275),"'","''")&amp;"'")&amp;", p_observacion =&gt; "&amp;IF(TRIM(O275&amp;"")="","NULL","'"&amp;SUBSTITUTE(TRIM(O275),"'","''")&amp;"'")&amp;", p_direccion =&gt; "&amp;IF(TRIM(J275&amp;"")="","NULL","'"&amp;SUBSTITUTE(TRIM(J275),"'","''")&amp;"'")&amp;", p_referencia =&gt; "&amp;IF(TRIM(K275&amp;"")="","NULL","'"&amp;SUBSTITUTE(TRIM(K275),"'","''")&amp;"'")&amp;") AS resultado_cliente_"&amp;230&amp;";")</f>
        <v/>
      </c>
    </row>
    <row r="276" ht="15.75" customHeight="1" s="64">
      <c r="A276" s="25">
        <f>IF(AND(D276="",E276="",C276=""),"",IF(AND(D276="",E276=""),"FALTA razón social o nombres",IF(AND(C276&lt;&gt;"",COUNTIF($C$5:$C$549,C276)&gt;1),"DOCUMENTO DUPLICADO",IF(AND(B276="DNI",C276&lt;&gt;"",LEN(C276)&lt;&gt;8),"DNI debe tener 8 dígitos",IF(AND(B276="RUC",C276&lt;&gt;"",LEN(C276)&lt;&gt;11),"RUC debe tener 11 dígitos",IF(AND(N276&lt;&gt;"",COUNTIF($N$5:$N$549,N276)&gt;1),"CÓDIGO INTERNO DUPLICADO","OK"))))))</f>
        <v/>
      </c>
      <c r="B276" s="17" t="n"/>
      <c r="C276" s="23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23" t="n"/>
      <c r="M276" s="17" t="n"/>
      <c r="N276" s="23" t="n"/>
      <c r="O276" s="17" t="n"/>
      <c r="P276" s="28">
        <f>IF(A276&lt;&gt;"OK","","SELECT cli_crear_clientes(p_codigo_interno =&gt; "&amp;IF(TRIM(N276&amp;"")="","NULL","'"&amp;SUBSTITUTE(TRIM(N276),"'","''")&amp;"'")&amp;", p_razon_social =&gt; "&amp;IF(TRIM(D276&amp;"")="","NULL","'"&amp;SUBSTITUTE(TRIM(D276),"'","''")&amp;"'")&amp;", p_id_tipo_cliente =&gt; "&amp;IF(TRIM(I276&amp;"")="","NULL","(SELECT lo.id FROM gen_lista_opciones lo JOIN gen_lista l ON l.id = lo.id_lista WHERE l.nombre = 'TipoCliente' AND upper(lo.nombre) = upper('"&amp;SUBSTITUTE(TRIM(I276),"'","''")&amp;"') AND lo.estado = 1 LIMIT 1)")&amp;", p_id_tipo_persona =&gt; "&amp;IF(TRIM(H276&amp;"")="","NULL","(SELECT lo.id FROM gen_lista_opciones lo JOIN gen_lista l ON l.id = lo.id_lista WHERE l.nombre = 'TipoPersona' AND upper(lo.nombre) = upper('"&amp;SUBSTITUTE(TRIM(H276),"'","''")&amp;"') AND lo.estado = 1 LIMIT 1)")&amp;", p_nombres =&gt; "&amp;IF(TRIM(E276&amp;"")="","NULL","'"&amp;SUBSTITUTE(TRIM(E276),"'","''")&amp;"'")&amp;", p_apellido_paterno =&gt; "&amp;IF(TRIM(F276&amp;"")="","NULL","'"&amp;SUBSTITUTE(TRIM(F276),"'","''")&amp;"'")&amp;", p_apellido_materno =&gt; "&amp;IF(TRIM(G276&amp;"")="","NULL","'"&amp;SUBSTITUTE(TRIM(G276),"'","''")&amp;"'")&amp;", p_id_tipo_documento =&gt; "&amp;IF(TRIM(B276&amp;"")="","NULL","(SELECT lo.id FROM gen_lista_opciones lo JOIN gen_lista l ON l.id = lo.id_lista WHERE l.nombre = 'TipoDocumento' AND upper(lo.nombre) = upper('"&amp;SUBSTITUTE(TRIM(B276),"'","''")&amp;"') AND lo.estado = 1 LIMIT 1)")&amp;", p_numero_documento =&gt; "&amp;IF(TRIM(C276&amp;"")="","NULL","'"&amp;SUBSTITUTE(TRIM(C276),"'","''")&amp;"'")&amp;", p_telefono =&gt; "&amp;IF(TRIM(L276&amp;"")="","NULL","'"&amp;SUBSTITUTE(TRIM(L276),"'","''")&amp;"'")&amp;", p_email =&gt; "&amp;IF(TRIM(M276&amp;"")="","NULL","'"&amp;SUBSTITUTE(TRIM(M276),"'","''")&amp;"'")&amp;", p_observacion =&gt; "&amp;IF(TRIM(O276&amp;"")="","NULL","'"&amp;SUBSTITUTE(TRIM(O276),"'","''")&amp;"'")&amp;", p_direccion =&gt; "&amp;IF(TRIM(J276&amp;"")="","NULL","'"&amp;SUBSTITUTE(TRIM(J276),"'","''")&amp;"'")&amp;", p_referencia =&gt; "&amp;IF(TRIM(K276&amp;"")="","NULL","'"&amp;SUBSTITUTE(TRIM(K276),"'","''")&amp;"'")&amp;") AS resultado_cliente_"&amp;231&amp;";")</f>
        <v/>
      </c>
    </row>
    <row r="277" ht="15.75" customHeight="1" s="64">
      <c r="A277" s="25">
        <f>IF(AND(D277="",E277="",C277=""),"",IF(AND(D277="",E277=""),"FALTA razón social o nombres",IF(AND(C277&lt;&gt;"",COUNTIF($C$5:$C$549,C277)&gt;1),"DOCUMENTO DUPLICADO",IF(AND(B277="DNI",C277&lt;&gt;"",LEN(C277)&lt;&gt;8),"DNI debe tener 8 dígitos",IF(AND(B277="RUC",C277&lt;&gt;"",LEN(C277)&lt;&gt;11),"RUC debe tener 11 dígitos",IF(AND(N277&lt;&gt;"",COUNTIF($N$5:$N$549,N277)&gt;1),"CÓDIGO INTERNO DUPLICADO","OK"))))))</f>
        <v/>
      </c>
      <c r="B277" s="17" t="n"/>
      <c r="C277" s="23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23" t="n"/>
      <c r="M277" s="17" t="n"/>
      <c r="N277" s="23" t="n"/>
      <c r="O277" s="17" t="n"/>
      <c r="P277" s="28">
        <f>IF(A277&lt;&gt;"OK","","SELECT cli_crear_clientes(p_codigo_interno =&gt; "&amp;IF(TRIM(N277&amp;"")="","NULL","'"&amp;SUBSTITUTE(TRIM(N277),"'","''")&amp;"'")&amp;", p_razon_social =&gt; "&amp;IF(TRIM(D277&amp;"")="","NULL","'"&amp;SUBSTITUTE(TRIM(D277),"'","''")&amp;"'")&amp;", p_id_tipo_cliente =&gt; "&amp;IF(TRIM(I277&amp;"")="","NULL","(SELECT lo.id FROM gen_lista_opciones lo JOIN gen_lista l ON l.id = lo.id_lista WHERE l.nombre = 'TipoCliente' AND upper(lo.nombre) = upper('"&amp;SUBSTITUTE(TRIM(I277),"'","''")&amp;"') AND lo.estado = 1 LIMIT 1)")&amp;", p_id_tipo_persona =&gt; "&amp;IF(TRIM(H277&amp;"")="","NULL","(SELECT lo.id FROM gen_lista_opciones lo JOIN gen_lista l ON l.id = lo.id_lista WHERE l.nombre = 'TipoPersona' AND upper(lo.nombre) = upper('"&amp;SUBSTITUTE(TRIM(H277),"'","''")&amp;"') AND lo.estado = 1 LIMIT 1)")&amp;", p_nombres =&gt; "&amp;IF(TRIM(E277&amp;"")="","NULL","'"&amp;SUBSTITUTE(TRIM(E277),"'","''")&amp;"'")&amp;", p_apellido_paterno =&gt; "&amp;IF(TRIM(F277&amp;"")="","NULL","'"&amp;SUBSTITUTE(TRIM(F277),"'","''")&amp;"'")&amp;", p_apellido_materno =&gt; "&amp;IF(TRIM(G277&amp;"")="","NULL","'"&amp;SUBSTITUTE(TRIM(G277),"'","''")&amp;"'")&amp;", p_id_tipo_documento =&gt; "&amp;IF(TRIM(B277&amp;"")="","NULL","(SELECT lo.id FROM gen_lista_opciones lo JOIN gen_lista l ON l.id = lo.id_lista WHERE l.nombre = 'TipoDocumento' AND upper(lo.nombre) = upper('"&amp;SUBSTITUTE(TRIM(B277),"'","''")&amp;"') AND lo.estado = 1 LIMIT 1)")&amp;", p_numero_documento =&gt; "&amp;IF(TRIM(C277&amp;"")="","NULL","'"&amp;SUBSTITUTE(TRIM(C277),"'","''")&amp;"'")&amp;", p_telefono =&gt; "&amp;IF(TRIM(L277&amp;"")="","NULL","'"&amp;SUBSTITUTE(TRIM(L277),"'","''")&amp;"'")&amp;", p_email =&gt; "&amp;IF(TRIM(M277&amp;"")="","NULL","'"&amp;SUBSTITUTE(TRIM(M277),"'","''")&amp;"'")&amp;", p_observacion =&gt; "&amp;IF(TRIM(O277&amp;"")="","NULL","'"&amp;SUBSTITUTE(TRIM(O277),"'","''")&amp;"'")&amp;", p_direccion =&gt; "&amp;IF(TRIM(J277&amp;"")="","NULL","'"&amp;SUBSTITUTE(TRIM(J277),"'","''")&amp;"'")&amp;", p_referencia =&gt; "&amp;IF(TRIM(K277&amp;"")="","NULL","'"&amp;SUBSTITUTE(TRIM(K277),"'","''")&amp;"'")&amp;") AS resultado_cliente_"&amp;232&amp;";")</f>
        <v/>
      </c>
    </row>
    <row r="278" ht="15.75" customHeight="1" s="64">
      <c r="A278" s="25">
        <f>IF(AND(D278="",E278="",C278=""),"",IF(AND(D278="",E278=""),"FALTA razón social o nombres",IF(AND(C278&lt;&gt;"",COUNTIF($C$5:$C$549,C278)&gt;1),"DOCUMENTO DUPLICADO",IF(AND(B278="DNI",C278&lt;&gt;"",LEN(C278)&lt;&gt;8),"DNI debe tener 8 dígitos",IF(AND(B278="RUC",C278&lt;&gt;"",LEN(C278)&lt;&gt;11),"RUC debe tener 11 dígitos",IF(AND(N278&lt;&gt;"",COUNTIF($N$5:$N$549,N278)&gt;1),"CÓDIGO INTERNO DUPLICADO","OK"))))))</f>
        <v/>
      </c>
      <c r="B278" s="17" t="n"/>
      <c r="C278" s="23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23" t="n"/>
      <c r="M278" s="17" t="n"/>
      <c r="N278" s="23" t="n"/>
      <c r="O278" s="17" t="n"/>
      <c r="P278" s="28">
        <f>IF(A278&lt;&gt;"OK","","SELECT cli_crear_clientes(p_codigo_interno =&gt; "&amp;IF(TRIM(N278&amp;"")="","NULL","'"&amp;SUBSTITUTE(TRIM(N278),"'","''")&amp;"'")&amp;", p_razon_social =&gt; "&amp;IF(TRIM(D278&amp;"")="","NULL","'"&amp;SUBSTITUTE(TRIM(D278),"'","''")&amp;"'")&amp;", p_id_tipo_cliente =&gt; "&amp;IF(TRIM(I278&amp;"")="","NULL","(SELECT lo.id FROM gen_lista_opciones lo JOIN gen_lista l ON l.id = lo.id_lista WHERE l.nombre = 'TipoCliente' AND upper(lo.nombre) = upper('"&amp;SUBSTITUTE(TRIM(I278),"'","''")&amp;"') AND lo.estado = 1 LIMIT 1)")&amp;", p_id_tipo_persona =&gt; "&amp;IF(TRIM(H278&amp;"")="","NULL","(SELECT lo.id FROM gen_lista_opciones lo JOIN gen_lista l ON l.id = lo.id_lista WHERE l.nombre = 'TipoPersona' AND upper(lo.nombre) = upper('"&amp;SUBSTITUTE(TRIM(H278),"'","''")&amp;"') AND lo.estado = 1 LIMIT 1)")&amp;", p_nombres =&gt; "&amp;IF(TRIM(E278&amp;"")="","NULL","'"&amp;SUBSTITUTE(TRIM(E278),"'","''")&amp;"'")&amp;", p_apellido_paterno =&gt; "&amp;IF(TRIM(F278&amp;"")="","NULL","'"&amp;SUBSTITUTE(TRIM(F278),"'","''")&amp;"'")&amp;", p_apellido_materno =&gt; "&amp;IF(TRIM(G278&amp;"")="","NULL","'"&amp;SUBSTITUTE(TRIM(G278),"'","''")&amp;"'")&amp;", p_id_tipo_documento =&gt; "&amp;IF(TRIM(B278&amp;"")="","NULL","(SELECT lo.id FROM gen_lista_opciones lo JOIN gen_lista l ON l.id = lo.id_lista WHERE l.nombre = 'TipoDocumento' AND upper(lo.nombre) = upper('"&amp;SUBSTITUTE(TRIM(B278),"'","''")&amp;"') AND lo.estado = 1 LIMIT 1)")&amp;", p_numero_documento =&gt; "&amp;IF(TRIM(C278&amp;"")="","NULL","'"&amp;SUBSTITUTE(TRIM(C278),"'","''")&amp;"'")&amp;", p_telefono =&gt; "&amp;IF(TRIM(L278&amp;"")="","NULL","'"&amp;SUBSTITUTE(TRIM(L278),"'","''")&amp;"'")&amp;", p_email =&gt; "&amp;IF(TRIM(M278&amp;"")="","NULL","'"&amp;SUBSTITUTE(TRIM(M278),"'","''")&amp;"'")&amp;", p_observacion =&gt; "&amp;IF(TRIM(O278&amp;"")="","NULL","'"&amp;SUBSTITUTE(TRIM(O278),"'","''")&amp;"'")&amp;", p_direccion =&gt; "&amp;IF(TRIM(J278&amp;"")="","NULL","'"&amp;SUBSTITUTE(TRIM(J278),"'","''")&amp;"'")&amp;", p_referencia =&gt; "&amp;IF(TRIM(K278&amp;"")="","NULL","'"&amp;SUBSTITUTE(TRIM(K278),"'","''")&amp;"'")&amp;") AS resultado_cliente_"&amp;233&amp;";")</f>
        <v/>
      </c>
    </row>
    <row r="279" ht="15.75" customHeight="1" s="64">
      <c r="A279" s="25">
        <f>IF(AND(D279="",E279="",C279=""),"",IF(AND(D279="",E279=""),"FALTA razón social o nombres",IF(AND(C279&lt;&gt;"",COUNTIF($C$5:$C$549,C279)&gt;1),"DOCUMENTO DUPLICADO",IF(AND(B279="DNI",C279&lt;&gt;"",LEN(C279)&lt;&gt;8),"DNI debe tener 8 dígitos",IF(AND(B279="RUC",C279&lt;&gt;"",LEN(C279)&lt;&gt;11),"RUC debe tener 11 dígitos",IF(AND(N279&lt;&gt;"",COUNTIF($N$5:$N$549,N279)&gt;1),"CÓDIGO INTERNO DUPLICADO","OK"))))))</f>
        <v/>
      </c>
      <c r="B279" s="17" t="n"/>
      <c r="C279" s="23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23" t="n"/>
      <c r="M279" s="17" t="n"/>
      <c r="N279" s="23" t="n"/>
      <c r="O279" s="17" t="n"/>
      <c r="P279" s="28">
        <f>IF(A279&lt;&gt;"OK","","SELECT cli_crear_clientes(p_codigo_interno =&gt; "&amp;IF(TRIM(N279&amp;"")="","NULL","'"&amp;SUBSTITUTE(TRIM(N279),"'","''")&amp;"'")&amp;", p_razon_social =&gt; "&amp;IF(TRIM(D279&amp;"")="","NULL","'"&amp;SUBSTITUTE(TRIM(D279),"'","''")&amp;"'")&amp;", p_id_tipo_cliente =&gt; "&amp;IF(TRIM(I279&amp;"")="","NULL","(SELECT lo.id FROM gen_lista_opciones lo JOIN gen_lista l ON l.id = lo.id_lista WHERE l.nombre = 'TipoCliente' AND upper(lo.nombre) = upper('"&amp;SUBSTITUTE(TRIM(I279),"'","''")&amp;"') AND lo.estado = 1 LIMIT 1)")&amp;", p_id_tipo_persona =&gt; "&amp;IF(TRIM(H279&amp;"")="","NULL","(SELECT lo.id FROM gen_lista_opciones lo JOIN gen_lista l ON l.id = lo.id_lista WHERE l.nombre = 'TipoPersona' AND upper(lo.nombre) = upper('"&amp;SUBSTITUTE(TRIM(H279),"'","''")&amp;"') AND lo.estado = 1 LIMIT 1)")&amp;", p_nombres =&gt; "&amp;IF(TRIM(E279&amp;"")="","NULL","'"&amp;SUBSTITUTE(TRIM(E279),"'","''")&amp;"'")&amp;", p_apellido_paterno =&gt; "&amp;IF(TRIM(F279&amp;"")="","NULL","'"&amp;SUBSTITUTE(TRIM(F279),"'","''")&amp;"'")&amp;", p_apellido_materno =&gt; "&amp;IF(TRIM(G279&amp;"")="","NULL","'"&amp;SUBSTITUTE(TRIM(G279),"'","''")&amp;"'")&amp;", p_id_tipo_documento =&gt; "&amp;IF(TRIM(B279&amp;"")="","NULL","(SELECT lo.id FROM gen_lista_opciones lo JOIN gen_lista l ON l.id = lo.id_lista WHERE l.nombre = 'TipoDocumento' AND upper(lo.nombre) = upper('"&amp;SUBSTITUTE(TRIM(B279),"'","''")&amp;"') AND lo.estado = 1 LIMIT 1)")&amp;", p_numero_documento =&gt; "&amp;IF(TRIM(C279&amp;"")="","NULL","'"&amp;SUBSTITUTE(TRIM(C279),"'","''")&amp;"'")&amp;", p_telefono =&gt; "&amp;IF(TRIM(L279&amp;"")="","NULL","'"&amp;SUBSTITUTE(TRIM(L279),"'","''")&amp;"'")&amp;", p_email =&gt; "&amp;IF(TRIM(M279&amp;"")="","NULL","'"&amp;SUBSTITUTE(TRIM(M279),"'","''")&amp;"'")&amp;", p_observacion =&gt; "&amp;IF(TRIM(O279&amp;"")="","NULL","'"&amp;SUBSTITUTE(TRIM(O279),"'","''")&amp;"'")&amp;", p_direccion =&gt; "&amp;IF(TRIM(J279&amp;"")="","NULL","'"&amp;SUBSTITUTE(TRIM(J279),"'","''")&amp;"'")&amp;", p_referencia =&gt; "&amp;IF(TRIM(K279&amp;"")="","NULL","'"&amp;SUBSTITUTE(TRIM(K279),"'","''")&amp;"'")&amp;") AS resultado_cliente_"&amp;234&amp;";")</f>
        <v/>
      </c>
    </row>
    <row r="280" ht="15.75" customHeight="1" s="64">
      <c r="A280" s="25">
        <f>IF(AND(D280="",E280="",C280=""),"",IF(AND(D280="",E280=""),"FALTA razón social o nombres",IF(AND(C280&lt;&gt;"",COUNTIF($C$5:$C$549,C280)&gt;1),"DOCUMENTO DUPLICADO",IF(AND(B280="DNI",C280&lt;&gt;"",LEN(C280)&lt;&gt;8),"DNI debe tener 8 dígitos",IF(AND(B280="RUC",C280&lt;&gt;"",LEN(C280)&lt;&gt;11),"RUC debe tener 11 dígitos",IF(AND(N280&lt;&gt;"",COUNTIF($N$5:$N$549,N280)&gt;1),"CÓDIGO INTERNO DUPLICADO","OK"))))))</f>
        <v/>
      </c>
      <c r="B280" s="17" t="n"/>
      <c r="C280" s="23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23" t="n"/>
      <c r="M280" s="17" t="n"/>
      <c r="N280" s="23" t="n"/>
      <c r="O280" s="17" t="n"/>
      <c r="P280" s="28">
        <f>IF(A280&lt;&gt;"OK","","SELECT cli_crear_clientes(p_codigo_interno =&gt; "&amp;IF(TRIM(N280&amp;"")="","NULL","'"&amp;SUBSTITUTE(TRIM(N280),"'","''")&amp;"'")&amp;", p_razon_social =&gt; "&amp;IF(TRIM(D280&amp;"")="","NULL","'"&amp;SUBSTITUTE(TRIM(D280),"'","''")&amp;"'")&amp;", p_id_tipo_cliente =&gt; "&amp;IF(TRIM(I280&amp;"")="","NULL","(SELECT lo.id FROM gen_lista_opciones lo JOIN gen_lista l ON l.id = lo.id_lista WHERE l.nombre = 'TipoCliente' AND upper(lo.nombre) = upper('"&amp;SUBSTITUTE(TRIM(I280),"'","''")&amp;"') AND lo.estado = 1 LIMIT 1)")&amp;", p_id_tipo_persona =&gt; "&amp;IF(TRIM(H280&amp;"")="","NULL","(SELECT lo.id FROM gen_lista_opciones lo JOIN gen_lista l ON l.id = lo.id_lista WHERE l.nombre = 'TipoPersona' AND upper(lo.nombre) = upper('"&amp;SUBSTITUTE(TRIM(H280),"'","''")&amp;"') AND lo.estado = 1 LIMIT 1)")&amp;", p_nombres =&gt; "&amp;IF(TRIM(E280&amp;"")="","NULL","'"&amp;SUBSTITUTE(TRIM(E280),"'","''")&amp;"'")&amp;", p_apellido_paterno =&gt; "&amp;IF(TRIM(F280&amp;"")="","NULL","'"&amp;SUBSTITUTE(TRIM(F280),"'","''")&amp;"'")&amp;", p_apellido_materno =&gt; "&amp;IF(TRIM(G280&amp;"")="","NULL","'"&amp;SUBSTITUTE(TRIM(G280),"'","''")&amp;"'")&amp;", p_id_tipo_documento =&gt; "&amp;IF(TRIM(B280&amp;"")="","NULL","(SELECT lo.id FROM gen_lista_opciones lo JOIN gen_lista l ON l.id = lo.id_lista WHERE l.nombre = 'TipoDocumento' AND upper(lo.nombre) = upper('"&amp;SUBSTITUTE(TRIM(B280),"'","''")&amp;"') AND lo.estado = 1 LIMIT 1)")&amp;", p_numero_documento =&gt; "&amp;IF(TRIM(C280&amp;"")="","NULL","'"&amp;SUBSTITUTE(TRIM(C280),"'","''")&amp;"'")&amp;", p_telefono =&gt; "&amp;IF(TRIM(L280&amp;"")="","NULL","'"&amp;SUBSTITUTE(TRIM(L280),"'","''")&amp;"'")&amp;", p_email =&gt; "&amp;IF(TRIM(M280&amp;"")="","NULL","'"&amp;SUBSTITUTE(TRIM(M280),"'","''")&amp;"'")&amp;", p_observacion =&gt; "&amp;IF(TRIM(O280&amp;"")="","NULL","'"&amp;SUBSTITUTE(TRIM(O280),"'","''")&amp;"'")&amp;", p_direccion =&gt; "&amp;IF(TRIM(J280&amp;"")="","NULL","'"&amp;SUBSTITUTE(TRIM(J280),"'","''")&amp;"'")&amp;", p_referencia =&gt; "&amp;IF(TRIM(K280&amp;"")="","NULL","'"&amp;SUBSTITUTE(TRIM(K280),"'","''")&amp;"'")&amp;") AS resultado_cliente_"&amp;235&amp;";")</f>
        <v/>
      </c>
    </row>
    <row r="281" ht="15.75" customHeight="1" s="64">
      <c r="A281" s="25">
        <f>IF(AND(D281="",E281="",C281=""),"",IF(AND(D281="",E281=""),"FALTA razón social o nombres",IF(AND(C281&lt;&gt;"",COUNTIF($C$5:$C$549,C281)&gt;1),"DOCUMENTO DUPLICADO",IF(AND(B281="DNI",C281&lt;&gt;"",LEN(C281)&lt;&gt;8),"DNI debe tener 8 dígitos",IF(AND(B281="RUC",C281&lt;&gt;"",LEN(C281)&lt;&gt;11),"RUC debe tener 11 dígitos",IF(AND(N281&lt;&gt;"",COUNTIF($N$5:$N$549,N281)&gt;1),"CÓDIGO INTERNO DUPLICADO","OK"))))))</f>
        <v/>
      </c>
      <c r="B281" s="17" t="n"/>
      <c r="C281" s="23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23" t="n"/>
      <c r="M281" s="17" t="n"/>
      <c r="N281" s="23" t="n"/>
      <c r="O281" s="17" t="n"/>
      <c r="P281" s="28">
        <f>IF(A281&lt;&gt;"OK","","SELECT cli_crear_clientes(p_codigo_interno =&gt; "&amp;IF(TRIM(N281&amp;"")="","NULL","'"&amp;SUBSTITUTE(TRIM(N281),"'","''")&amp;"'")&amp;", p_razon_social =&gt; "&amp;IF(TRIM(D281&amp;"")="","NULL","'"&amp;SUBSTITUTE(TRIM(D281),"'","''")&amp;"'")&amp;", p_id_tipo_cliente =&gt; "&amp;IF(TRIM(I281&amp;"")="","NULL","(SELECT lo.id FROM gen_lista_opciones lo JOIN gen_lista l ON l.id = lo.id_lista WHERE l.nombre = 'TipoCliente' AND upper(lo.nombre) = upper('"&amp;SUBSTITUTE(TRIM(I281),"'","''")&amp;"') AND lo.estado = 1 LIMIT 1)")&amp;", p_id_tipo_persona =&gt; "&amp;IF(TRIM(H281&amp;"")="","NULL","(SELECT lo.id FROM gen_lista_opciones lo JOIN gen_lista l ON l.id = lo.id_lista WHERE l.nombre = 'TipoPersona' AND upper(lo.nombre) = upper('"&amp;SUBSTITUTE(TRIM(H281),"'","''")&amp;"') AND lo.estado = 1 LIMIT 1)")&amp;", p_nombres =&gt; "&amp;IF(TRIM(E281&amp;"")="","NULL","'"&amp;SUBSTITUTE(TRIM(E281),"'","''")&amp;"'")&amp;", p_apellido_paterno =&gt; "&amp;IF(TRIM(F281&amp;"")="","NULL","'"&amp;SUBSTITUTE(TRIM(F281),"'","''")&amp;"'")&amp;", p_apellido_materno =&gt; "&amp;IF(TRIM(G281&amp;"")="","NULL","'"&amp;SUBSTITUTE(TRIM(G281),"'","''")&amp;"'")&amp;", p_id_tipo_documento =&gt; "&amp;IF(TRIM(B281&amp;"")="","NULL","(SELECT lo.id FROM gen_lista_opciones lo JOIN gen_lista l ON l.id = lo.id_lista WHERE l.nombre = 'TipoDocumento' AND upper(lo.nombre) = upper('"&amp;SUBSTITUTE(TRIM(B281),"'","''")&amp;"') AND lo.estado = 1 LIMIT 1)")&amp;", p_numero_documento =&gt; "&amp;IF(TRIM(C281&amp;"")="","NULL","'"&amp;SUBSTITUTE(TRIM(C281),"'","''")&amp;"'")&amp;", p_telefono =&gt; "&amp;IF(TRIM(L281&amp;"")="","NULL","'"&amp;SUBSTITUTE(TRIM(L281),"'","''")&amp;"'")&amp;", p_email =&gt; "&amp;IF(TRIM(M281&amp;"")="","NULL","'"&amp;SUBSTITUTE(TRIM(M281),"'","''")&amp;"'")&amp;", p_observacion =&gt; "&amp;IF(TRIM(O281&amp;"")="","NULL","'"&amp;SUBSTITUTE(TRIM(O281),"'","''")&amp;"'")&amp;", p_direccion =&gt; "&amp;IF(TRIM(J281&amp;"")="","NULL","'"&amp;SUBSTITUTE(TRIM(J281),"'","''")&amp;"'")&amp;", p_referencia =&gt; "&amp;IF(TRIM(K281&amp;"")="","NULL","'"&amp;SUBSTITUTE(TRIM(K281),"'","''")&amp;"'")&amp;") AS resultado_cliente_"&amp;236&amp;";")</f>
        <v/>
      </c>
    </row>
    <row r="282" ht="15.75" customHeight="1" s="64">
      <c r="A282" s="25">
        <f>IF(AND(D282="",E282="",C282=""),"",IF(AND(D282="",E282=""),"FALTA razón social o nombres",IF(AND(C282&lt;&gt;"",COUNTIF($C$5:$C$549,C282)&gt;1),"DOCUMENTO DUPLICADO",IF(AND(B282="DNI",C282&lt;&gt;"",LEN(C282)&lt;&gt;8),"DNI debe tener 8 dígitos",IF(AND(B282="RUC",C282&lt;&gt;"",LEN(C282)&lt;&gt;11),"RUC debe tener 11 dígitos",IF(AND(N282&lt;&gt;"",COUNTIF($N$5:$N$549,N282)&gt;1),"CÓDIGO INTERNO DUPLICADO","OK"))))))</f>
        <v/>
      </c>
      <c r="B282" s="17" t="n"/>
      <c r="C282" s="23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23" t="n"/>
      <c r="M282" s="17" t="n"/>
      <c r="N282" s="23" t="n"/>
      <c r="O282" s="17" t="n"/>
      <c r="P282" s="28">
        <f>IF(A282&lt;&gt;"OK","","SELECT cli_crear_clientes(p_codigo_interno =&gt; "&amp;IF(TRIM(N282&amp;"")="","NULL","'"&amp;SUBSTITUTE(TRIM(N282),"'","''")&amp;"'")&amp;", p_razon_social =&gt; "&amp;IF(TRIM(D282&amp;"")="","NULL","'"&amp;SUBSTITUTE(TRIM(D282),"'","''")&amp;"'")&amp;", p_id_tipo_cliente =&gt; "&amp;IF(TRIM(I282&amp;"")="","NULL","(SELECT lo.id FROM gen_lista_opciones lo JOIN gen_lista l ON l.id = lo.id_lista WHERE l.nombre = 'TipoCliente' AND upper(lo.nombre) = upper('"&amp;SUBSTITUTE(TRIM(I282),"'","''")&amp;"') AND lo.estado = 1 LIMIT 1)")&amp;", p_id_tipo_persona =&gt; "&amp;IF(TRIM(H282&amp;"")="","NULL","(SELECT lo.id FROM gen_lista_opciones lo JOIN gen_lista l ON l.id = lo.id_lista WHERE l.nombre = 'TipoPersona' AND upper(lo.nombre) = upper('"&amp;SUBSTITUTE(TRIM(H282),"'","''")&amp;"') AND lo.estado = 1 LIMIT 1)")&amp;", p_nombres =&gt; "&amp;IF(TRIM(E282&amp;"")="","NULL","'"&amp;SUBSTITUTE(TRIM(E282),"'","''")&amp;"'")&amp;", p_apellido_paterno =&gt; "&amp;IF(TRIM(F282&amp;"")="","NULL","'"&amp;SUBSTITUTE(TRIM(F282),"'","''")&amp;"'")&amp;", p_apellido_materno =&gt; "&amp;IF(TRIM(G282&amp;"")="","NULL","'"&amp;SUBSTITUTE(TRIM(G282),"'","''")&amp;"'")&amp;", p_id_tipo_documento =&gt; "&amp;IF(TRIM(B282&amp;"")="","NULL","(SELECT lo.id FROM gen_lista_opciones lo JOIN gen_lista l ON l.id = lo.id_lista WHERE l.nombre = 'TipoDocumento' AND upper(lo.nombre) = upper('"&amp;SUBSTITUTE(TRIM(B282),"'","''")&amp;"') AND lo.estado = 1 LIMIT 1)")&amp;", p_numero_documento =&gt; "&amp;IF(TRIM(C282&amp;"")="","NULL","'"&amp;SUBSTITUTE(TRIM(C282),"'","''")&amp;"'")&amp;", p_telefono =&gt; "&amp;IF(TRIM(L282&amp;"")="","NULL","'"&amp;SUBSTITUTE(TRIM(L282),"'","''")&amp;"'")&amp;", p_email =&gt; "&amp;IF(TRIM(M282&amp;"")="","NULL","'"&amp;SUBSTITUTE(TRIM(M282),"'","''")&amp;"'")&amp;", p_observacion =&gt; "&amp;IF(TRIM(O282&amp;"")="","NULL","'"&amp;SUBSTITUTE(TRIM(O282),"'","''")&amp;"'")&amp;", p_direccion =&gt; "&amp;IF(TRIM(J282&amp;"")="","NULL","'"&amp;SUBSTITUTE(TRIM(J282),"'","''")&amp;"'")&amp;", p_referencia =&gt; "&amp;IF(TRIM(K282&amp;"")="","NULL","'"&amp;SUBSTITUTE(TRIM(K282),"'","''")&amp;"'")&amp;") AS resultado_cliente_"&amp;237&amp;";")</f>
        <v/>
      </c>
    </row>
    <row r="283" ht="15.75" customHeight="1" s="64">
      <c r="A283" s="25">
        <f>IF(AND(D283="",E283="",C283=""),"",IF(AND(D283="",E283=""),"FALTA razón social o nombres",IF(AND(C283&lt;&gt;"",COUNTIF($C$5:$C$549,C283)&gt;1),"DOCUMENTO DUPLICADO",IF(AND(B283="DNI",C283&lt;&gt;"",LEN(C283)&lt;&gt;8),"DNI debe tener 8 dígitos",IF(AND(B283="RUC",C283&lt;&gt;"",LEN(C283)&lt;&gt;11),"RUC debe tener 11 dígitos",IF(AND(N283&lt;&gt;"",COUNTIF($N$5:$N$549,N283)&gt;1),"CÓDIGO INTERNO DUPLICADO","OK"))))))</f>
        <v/>
      </c>
      <c r="B283" s="17" t="n"/>
      <c r="C283" s="23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23" t="n"/>
      <c r="M283" s="17" t="n"/>
      <c r="N283" s="23" t="n"/>
      <c r="O283" s="17" t="n"/>
      <c r="P283" s="28">
        <f>IF(A283&lt;&gt;"OK","","SELECT cli_crear_clientes(p_codigo_interno =&gt; "&amp;IF(TRIM(N283&amp;"")="","NULL","'"&amp;SUBSTITUTE(TRIM(N283),"'","''")&amp;"'")&amp;", p_razon_social =&gt; "&amp;IF(TRIM(D283&amp;"")="","NULL","'"&amp;SUBSTITUTE(TRIM(D283),"'","''")&amp;"'")&amp;", p_id_tipo_cliente =&gt; "&amp;IF(TRIM(I283&amp;"")="","NULL","(SELECT lo.id FROM gen_lista_opciones lo JOIN gen_lista l ON l.id = lo.id_lista WHERE l.nombre = 'TipoCliente' AND upper(lo.nombre) = upper('"&amp;SUBSTITUTE(TRIM(I283),"'","''")&amp;"') AND lo.estado = 1 LIMIT 1)")&amp;", p_id_tipo_persona =&gt; "&amp;IF(TRIM(H283&amp;"")="","NULL","(SELECT lo.id FROM gen_lista_opciones lo JOIN gen_lista l ON l.id = lo.id_lista WHERE l.nombre = 'TipoPersona' AND upper(lo.nombre) = upper('"&amp;SUBSTITUTE(TRIM(H283),"'","''")&amp;"') AND lo.estado = 1 LIMIT 1)")&amp;", p_nombres =&gt; "&amp;IF(TRIM(E283&amp;"")="","NULL","'"&amp;SUBSTITUTE(TRIM(E283),"'","''")&amp;"'")&amp;", p_apellido_paterno =&gt; "&amp;IF(TRIM(F283&amp;"")="","NULL","'"&amp;SUBSTITUTE(TRIM(F283),"'","''")&amp;"'")&amp;", p_apellido_materno =&gt; "&amp;IF(TRIM(G283&amp;"")="","NULL","'"&amp;SUBSTITUTE(TRIM(G283),"'","''")&amp;"'")&amp;", p_id_tipo_documento =&gt; "&amp;IF(TRIM(B283&amp;"")="","NULL","(SELECT lo.id FROM gen_lista_opciones lo JOIN gen_lista l ON l.id = lo.id_lista WHERE l.nombre = 'TipoDocumento' AND upper(lo.nombre) = upper('"&amp;SUBSTITUTE(TRIM(B283),"'","''")&amp;"') AND lo.estado = 1 LIMIT 1)")&amp;", p_numero_documento =&gt; "&amp;IF(TRIM(C283&amp;"")="","NULL","'"&amp;SUBSTITUTE(TRIM(C283),"'","''")&amp;"'")&amp;", p_telefono =&gt; "&amp;IF(TRIM(L283&amp;"")="","NULL","'"&amp;SUBSTITUTE(TRIM(L283),"'","''")&amp;"'")&amp;", p_email =&gt; "&amp;IF(TRIM(M283&amp;"")="","NULL","'"&amp;SUBSTITUTE(TRIM(M283),"'","''")&amp;"'")&amp;", p_observacion =&gt; "&amp;IF(TRIM(O283&amp;"")="","NULL","'"&amp;SUBSTITUTE(TRIM(O283),"'","''")&amp;"'")&amp;", p_direccion =&gt; "&amp;IF(TRIM(J283&amp;"")="","NULL","'"&amp;SUBSTITUTE(TRIM(J283),"'","''")&amp;"'")&amp;", p_referencia =&gt; "&amp;IF(TRIM(K283&amp;"")="","NULL","'"&amp;SUBSTITUTE(TRIM(K283),"'","''")&amp;"'")&amp;") AS resultado_cliente_"&amp;238&amp;";")</f>
        <v/>
      </c>
    </row>
    <row r="284" ht="15.75" customHeight="1" s="64">
      <c r="A284" s="25">
        <f>IF(AND(D284="",E284="",C284=""),"",IF(AND(D284="",E284=""),"FALTA razón social o nombres",IF(AND(C284&lt;&gt;"",COUNTIF($C$5:$C$549,C284)&gt;1),"DOCUMENTO DUPLICADO",IF(AND(B284="DNI",C284&lt;&gt;"",LEN(C284)&lt;&gt;8),"DNI debe tener 8 dígitos",IF(AND(B284="RUC",C284&lt;&gt;"",LEN(C284)&lt;&gt;11),"RUC debe tener 11 dígitos",IF(AND(N284&lt;&gt;"",COUNTIF($N$5:$N$549,N284)&gt;1),"CÓDIGO INTERNO DUPLICADO","OK"))))))</f>
        <v/>
      </c>
      <c r="B284" s="17" t="n"/>
      <c r="C284" s="23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23" t="n"/>
      <c r="M284" s="17" t="n"/>
      <c r="N284" s="23" t="n"/>
      <c r="O284" s="17" t="n"/>
      <c r="P284" s="28">
        <f>IF(A284&lt;&gt;"OK","","SELECT cli_crear_clientes(p_codigo_interno =&gt; "&amp;IF(TRIM(N284&amp;"")="","NULL","'"&amp;SUBSTITUTE(TRIM(N284),"'","''")&amp;"'")&amp;", p_razon_social =&gt; "&amp;IF(TRIM(D284&amp;"")="","NULL","'"&amp;SUBSTITUTE(TRIM(D284),"'","''")&amp;"'")&amp;", p_id_tipo_cliente =&gt; "&amp;IF(TRIM(I284&amp;"")="","NULL","(SELECT lo.id FROM gen_lista_opciones lo JOIN gen_lista l ON l.id = lo.id_lista WHERE l.nombre = 'TipoCliente' AND upper(lo.nombre) = upper('"&amp;SUBSTITUTE(TRIM(I284),"'","''")&amp;"') AND lo.estado = 1 LIMIT 1)")&amp;", p_id_tipo_persona =&gt; "&amp;IF(TRIM(H284&amp;"")="","NULL","(SELECT lo.id FROM gen_lista_opciones lo JOIN gen_lista l ON l.id = lo.id_lista WHERE l.nombre = 'TipoPersona' AND upper(lo.nombre) = upper('"&amp;SUBSTITUTE(TRIM(H284),"'","''")&amp;"') AND lo.estado = 1 LIMIT 1)")&amp;", p_nombres =&gt; "&amp;IF(TRIM(E284&amp;"")="","NULL","'"&amp;SUBSTITUTE(TRIM(E284),"'","''")&amp;"'")&amp;", p_apellido_paterno =&gt; "&amp;IF(TRIM(F284&amp;"")="","NULL","'"&amp;SUBSTITUTE(TRIM(F284),"'","''")&amp;"'")&amp;", p_apellido_materno =&gt; "&amp;IF(TRIM(G284&amp;"")="","NULL","'"&amp;SUBSTITUTE(TRIM(G284),"'","''")&amp;"'")&amp;", p_id_tipo_documento =&gt; "&amp;IF(TRIM(B284&amp;"")="","NULL","(SELECT lo.id FROM gen_lista_opciones lo JOIN gen_lista l ON l.id = lo.id_lista WHERE l.nombre = 'TipoDocumento' AND upper(lo.nombre) = upper('"&amp;SUBSTITUTE(TRIM(B284),"'","''")&amp;"') AND lo.estado = 1 LIMIT 1)")&amp;", p_numero_documento =&gt; "&amp;IF(TRIM(C284&amp;"")="","NULL","'"&amp;SUBSTITUTE(TRIM(C284),"'","''")&amp;"'")&amp;", p_telefono =&gt; "&amp;IF(TRIM(L284&amp;"")="","NULL","'"&amp;SUBSTITUTE(TRIM(L284),"'","''")&amp;"'")&amp;", p_email =&gt; "&amp;IF(TRIM(M284&amp;"")="","NULL","'"&amp;SUBSTITUTE(TRIM(M284),"'","''")&amp;"'")&amp;", p_observacion =&gt; "&amp;IF(TRIM(O284&amp;"")="","NULL","'"&amp;SUBSTITUTE(TRIM(O284),"'","''")&amp;"'")&amp;", p_direccion =&gt; "&amp;IF(TRIM(J284&amp;"")="","NULL","'"&amp;SUBSTITUTE(TRIM(J284),"'","''")&amp;"'")&amp;", p_referencia =&gt; "&amp;IF(TRIM(K284&amp;"")="","NULL","'"&amp;SUBSTITUTE(TRIM(K284),"'","''")&amp;"'")&amp;") AS resultado_cliente_"&amp;239&amp;";")</f>
        <v/>
      </c>
    </row>
    <row r="285" ht="15.75" customHeight="1" s="64">
      <c r="A285" s="25">
        <f>IF(AND(D285="",E285="",C285=""),"",IF(AND(D285="",E285=""),"FALTA razón social o nombres",IF(AND(C285&lt;&gt;"",COUNTIF($C$5:$C$549,C285)&gt;1),"DOCUMENTO DUPLICADO",IF(AND(B285="DNI",C285&lt;&gt;"",LEN(C285)&lt;&gt;8),"DNI debe tener 8 dígitos",IF(AND(B285="RUC",C285&lt;&gt;"",LEN(C285)&lt;&gt;11),"RUC debe tener 11 dígitos",IF(AND(N285&lt;&gt;"",COUNTIF($N$5:$N$549,N285)&gt;1),"CÓDIGO INTERNO DUPLICADO","OK"))))))</f>
        <v/>
      </c>
      <c r="B285" s="17" t="n"/>
      <c r="C285" s="23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23" t="n"/>
      <c r="M285" s="17" t="n"/>
      <c r="N285" s="23" t="n"/>
      <c r="O285" s="17" t="n"/>
      <c r="P285" s="28">
        <f>IF(A285&lt;&gt;"OK","","SELECT cli_crear_clientes(p_codigo_interno =&gt; "&amp;IF(TRIM(N285&amp;"")="","NULL","'"&amp;SUBSTITUTE(TRIM(N285),"'","''")&amp;"'")&amp;", p_razon_social =&gt; "&amp;IF(TRIM(D285&amp;"")="","NULL","'"&amp;SUBSTITUTE(TRIM(D285),"'","''")&amp;"'")&amp;", p_id_tipo_cliente =&gt; "&amp;IF(TRIM(I285&amp;"")="","NULL","(SELECT lo.id FROM gen_lista_opciones lo JOIN gen_lista l ON l.id = lo.id_lista WHERE l.nombre = 'TipoCliente' AND upper(lo.nombre) = upper('"&amp;SUBSTITUTE(TRIM(I285),"'","''")&amp;"') AND lo.estado = 1 LIMIT 1)")&amp;", p_id_tipo_persona =&gt; "&amp;IF(TRIM(H285&amp;"")="","NULL","(SELECT lo.id FROM gen_lista_opciones lo JOIN gen_lista l ON l.id = lo.id_lista WHERE l.nombre = 'TipoPersona' AND upper(lo.nombre) = upper('"&amp;SUBSTITUTE(TRIM(H285),"'","''")&amp;"') AND lo.estado = 1 LIMIT 1)")&amp;", p_nombres =&gt; "&amp;IF(TRIM(E285&amp;"")="","NULL","'"&amp;SUBSTITUTE(TRIM(E285),"'","''")&amp;"'")&amp;", p_apellido_paterno =&gt; "&amp;IF(TRIM(F285&amp;"")="","NULL","'"&amp;SUBSTITUTE(TRIM(F285),"'","''")&amp;"'")&amp;", p_apellido_materno =&gt; "&amp;IF(TRIM(G285&amp;"")="","NULL","'"&amp;SUBSTITUTE(TRIM(G285),"'","''")&amp;"'")&amp;", p_id_tipo_documento =&gt; "&amp;IF(TRIM(B285&amp;"")="","NULL","(SELECT lo.id FROM gen_lista_opciones lo JOIN gen_lista l ON l.id = lo.id_lista WHERE l.nombre = 'TipoDocumento' AND upper(lo.nombre) = upper('"&amp;SUBSTITUTE(TRIM(B285),"'","''")&amp;"') AND lo.estado = 1 LIMIT 1)")&amp;", p_numero_documento =&gt; "&amp;IF(TRIM(C285&amp;"")="","NULL","'"&amp;SUBSTITUTE(TRIM(C285),"'","''")&amp;"'")&amp;", p_telefono =&gt; "&amp;IF(TRIM(L285&amp;"")="","NULL","'"&amp;SUBSTITUTE(TRIM(L285),"'","''")&amp;"'")&amp;", p_email =&gt; "&amp;IF(TRIM(M285&amp;"")="","NULL","'"&amp;SUBSTITUTE(TRIM(M285),"'","''")&amp;"'")&amp;", p_observacion =&gt; "&amp;IF(TRIM(O285&amp;"")="","NULL","'"&amp;SUBSTITUTE(TRIM(O285),"'","''")&amp;"'")&amp;", p_direccion =&gt; "&amp;IF(TRIM(J285&amp;"")="","NULL","'"&amp;SUBSTITUTE(TRIM(J285),"'","''")&amp;"'")&amp;", p_referencia =&gt; "&amp;IF(TRIM(K285&amp;"")="","NULL","'"&amp;SUBSTITUTE(TRIM(K285),"'","''")&amp;"'")&amp;") AS resultado_cliente_"&amp;240&amp;";")</f>
        <v/>
      </c>
    </row>
    <row r="286" ht="15.75" customHeight="1" s="64">
      <c r="A286" s="25">
        <f>IF(AND(D286="",E286="",C286=""),"",IF(AND(D286="",E286=""),"FALTA razón social o nombres",IF(AND(C286&lt;&gt;"",COUNTIF($C$5:$C$549,C286)&gt;1),"DOCUMENTO DUPLICADO",IF(AND(B286="DNI",C286&lt;&gt;"",LEN(C286)&lt;&gt;8),"DNI debe tener 8 dígitos",IF(AND(B286="RUC",C286&lt;&gt;"",LEN(C286)&lt;&gt;11),"RUC debe tener 11 dígitos",IF(AND(N286&lt;&gt;"",COUNTIF($N$5:$N$549,N286)&gt;1),"CÓDIGO INTERNO DUPLICADO","OK"))))))</f>
        <v/>
      </c>
      <c r="B286" s="17" t="n"/>
      <c r="C286" s="23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23" t="n"/>
      <c r="M286" s="17" t="n"/>
      <c r="N286" s="23" t="n"/>
      <c r="O286" s="17" t="n"/>
      <c r="P286" s="28">
        <f>IF(A286&lt;&gt;"OK","","SELECT cli_crear_clientes(p_codigo_interno =&gt; "&amp;IF(TRIM(N286&amp;"")="","NULL","'"&amp;SUBSTITUTE(TRIM(N286),"'","''")&amp;"'")&amp;", p_razon_social =&gt; "&amp;IF(TRIM(D286&amp;"")="","NULL","'"&amp;SUBSTITUTE(TRIM(D286),"'","''")&amp;"'")&amp;", p_id_tipo_cliente =&gt; "&amp;IF(TRIM(I286&amp;"")="","NULL","(SELECT lo.id FROM gen_lista_opciones lo JOIN gen_lista l ON l.id = lo.id_lista WHERE l.nombre = 'TipoCliente' AND upper(lo.nombre) = upper('"&amp;SUBSTITUTE(TRIM(I286),"'","''")&amp;"') AND lo.estado = 1 LIMIT 1)")&amp;", p_id_tipo_persona =&gt; "&amp;IF(TRIM(H286&amp;"")="","NULL","(SELECT lo.id FROM gen_lista_opciones lo JOIN gen_lista l ON l.id = lo.id_lista WHERE l.nombre = 'TipoPersona' AND upper(lo.nombre) = upper('"&amp;SUBSTITUTE(TRIM(H286),"'","''")&amp;"') AND lo.estado = 1 LIMIT 1)")&amp;", p_nombres =&gt; "&amp;IF(TRIM(E286&amp;"")="","NULL","'"&amp;SUBSTITUTE(TRIM(E286),"'","''")&amp;"'")&amp;", p_apellido_paterno =&gt; "&amp;IF(TRIM(F286&amp;"")="","NULL","'"&amp;SUBSTITUTE(TRIM(F286),"'","''")&amp;"'")&amp;", p_apellido_materno =&gt; "&amp;IF(TRIM(G286&amp;"")="","NULL","'"&amp;SUBSTITUTE(TRIM(G286),"'","''")&amp;"'")&amp;", p_id_tipo_documento =&gt; "&amp;IF(TRIM(B286&amp;"")="","NULL","(SELECT lo.id FROM gen_lista_opciones lo JOIN gen_lista l ON l.id = lo.id_lista WHERE l.nombre = 'TipoDocumento' AND upper(lo.nombre) = upper('"&amp;SUBSTITUTE(TRIM(B286),"'","''")&amp;"') AND lo.estado = 1 LIMIT 1)")&amp;", p_numero_documento =&gt; "&amp;IF(TRIM(C286&amp;"")="","NULL","'"&amp;SUBSTITUTE(TRIM(C286),"'","''")&amp;"'")&amp;", p_telefono =&gt; "&amp;IF(TRIM(L286&amp;"")="","NULL","'"&amp;SUBSTITUTE(TRIM(L286),"'","''")&amp;"'")&amp;", p_email =&gt; "&amp;IF(TRIM(M286&amp;"")="","NULL","'"&amp;SUBSTITUTE(TRIM(M286),"'","''")&amp;"'")&amp;", p_observacion =&gt; "&amp;IF(TRIM(O286&amp;"")="","NULL","'"&amp;SUBSTITUTE(TRIM(O286),"'","''")&amp;"'")&amp;", p_direccion =&gt; "&amp;IF(TRIM(J286&amp;"")="","NULL","'"&amp;SUBSTITUTE(TRIM(J286),"'","''")&amp;"'")&amp;", p_referencia =&gt; "&amp;IF(TRIM(K286&amp;"")="","NULL","'"&amp;SUBSTITUTE(TRIM(K286),"'","''")&amp;"'")&amp;") AS resultado_cliente_"&amp;241&amp;";")</f>
        <v/>
      </c>
    </row>
    <row r="287" ht="15.75" customHeight="1" s="64">
      <c r="A287" s="25">
        <f>IF(AND(D287="",E287="",C287=""),"",IF(AND(D287="",E287=""),"FALTA razón social o nombres",IF(AND(C287&lt;&gt;"",COUNTIF($C$5:$C$549,C287)&gt;1),"DOCUMENTO DUPLICADO",IF(AND(B287="DNI",C287&lt;&gt;"",LEN(C287)&lt;&gt;8),"DNI debe tener 8 dígitos",IF(AND(B287="RUC",C287&lt;&gt;"",LEN(C287)&lt;&gt;11),"RUC debe tener 11 dígitos",IF(AND(N287&lt;&gt;"",COUNTIF($N$5:$N$549,N287)&gt;1),"CÓDIGO INTERNO DUPLICADO","OK"))))))</f>
        <v/>
      </c>
      <c r="B287" s="17" t="n"/>
      <c r="C287" s="23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23" t="n"/>
      <c r="M287" s="17" t="n"/>
      <c r="N287" s="23" t="n"/>
      <c r="O287" s="17" t="n"/>
      <c r="P287" s="28">
        <f>IF(A287&lt;&gt;"OK","","SELECT cli_crear_clientes(p_codigo_interno =&gt; "&amp;IF(TRIM(N287&amp;"")="","NULL","'"&amp;SUBSTITUTE(TRIM(N287),"'","''")&amp;"'")&amp;", p_razon_social =&gt; "&amp;IF(TRIM(D287&amp;"")="","NULL","'"&amp;SUBSTITUTE(TRIM(D287),"'","''")&amp;"'")&amp;", p_id_tipo_cliente =&gt; "&amp;IF(TRIM(I287&amp;"")="","NULL","(SELECT lo.id FROM gen_lista_opciones lo JOIN gen_lista l ON l.id = lo.id_lista WHERE l.nombre = 'TipoCliente' AND upper(lo.nombre) = upper('"&amp;SUBSTITUTE(TRIM(I287),"'","''")&amp;"') AND lo.estado = 1 LIMIT 1)")&amp;", p_id_tipo_persona =&gt; "&amp;IF(TRIM(H287&amp;"")="","NULL","(SELECT lo.id FROM gen_lista_opciones lo JOIN gen_lista l ON l.id = lo.id_lista WHERE l.nombre = 'TipoPersona' AND upper(lo.nombre) = upper('"&amp;SUBSTITUTE(TRIM(H287),"'","''")&amp;"') AND lo.estado = 1 LIMIT 1)")&amp;", p_nombres =&gt; "&amp;IF(TRIM(E287&amp;"")="","NULL","'"&amp;SUBSTITUTE(TRIM(E287),"'","''")&amp;"'")&amp;", p_apellido_paterno =&gt; "&amp;IF(TRIM(F287&amp;"")="","NULL","'"&amp;SUBSTITUTE(TRIM(F287),"'","''")&amp;"'")&amp;", p_apellido_materno =&gt; "&amp;IF(TRIM(G287&amp;"")="","NULL","'"&amp;SUBSTITUTE(TRIM(G287),"'","''")&amp;"'")&amp;", p_id_tipo_documento =&gt; "&amp;IF(TRIM(B287&amp;"")="","NULL","(SELECT lo.id FROM gen_lista_opciones lo JOIN gen_lista l ON l.id = lo.id_lista WHERE l.nombre = 'TipoDocumento' AND upper(lo.nombre) = upper('"&amp;SUBSTITUTE(TRIM(B287),"'","''")&amp;"') AND lo.estado = 1 LIMIT 1)")&amp;", p_numero_documento =&gt; "&amp;IF(TRIM(C287&amp;"")="","NULL","'"&amp;SUBSTITUTE(TRIM(C287),"'","''")&amp;"'")&amp;", p_telefono =&gt; "&amp;IF(TRIM(L287&amp;"")="","NULL","'"&amp;SUBSTITUTE(TRIM(L287),"'","''")&amp;"'")&amp;", p_email =&gt; "&amp;IF(TRIM(M287&amp;"")="","NULL","'"&amp;SUBSTITUTE(TRIM(M287),"'","''")&amp;"'")&amp;", p_observacion =&gt; "&amp;IF(TRIM(O287&amp;"")="","NULL","'"&amp;SUBSTITUTE(TRIM(O287),"'","''")&amp;"'")&amp;", p_direccion =&gt; "&amp;IF(TRIM(J287&amp;"")="","NULL","'"&amp;SUBSTITUTE(TRIM(J287),"'","''")&amp;"'")&amp;", p_referencia =&gt; "&amp;IF(TRIM(K287&amp;"")="","NULL","'"&amp;SUBSTITUTE(TRIM(K287),"'","''")&amp;"'")&amp;") AS resultado_cliente_"&amp;242&amp;";")</f>
        <v/>
      </c>
    </row>
    <row r="288" ht="15.75" customHeight="1" s="64">
      <c r="A288" s="25">
        <f>IF(AND(D288="",E288="",C288=""),"",IF(AND(D288="",E288=""),"FALTA razón social o nombres",IF(AND(C288&lt;&gt;"",COUNTIF($C$5:$C$549,C288)&gt;1),"DOCUMENTO DUPLICADO",IF(AND(B288="DNI",C288&lt;&gt;"",LEN(C288)&lt;&gt;8),"DNI debe tener 8 dígitos",IF(AND(B288="RUC",C288&lt;&gt;"",LEN(C288)&lt;&gt;11),"RUC debe tener 11 dígitos",IF(AND(N288&lt;&gt;"",COUNTIF($N$5:$N$549,N288)&gt;1),"CÓDIGO INTERNO DUPLICADO","OK"))))))</f>
        <v/>
      </c>
      <c r="B288" s="17" t="n"/>
      <c r="C288" s="23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23" t="n"/>
      <c r="M288" s="17" t="n"/>
      <c r="N288" s="23" t="n"/>
      <c r="O288" s="17" t="n"/>
      <c r="P288" s="28">
        <f>IF(A288&lt;&gt;"OK","","SELECT cli_crear_clientes(p_codigo_interno =&gt; "&amp;IF(TRIM(N288&amp;"")="","NULL","'"&amp;SUBSTITUTE(TRIM(N288),"'","''")&amp;"'")&amp;", p_razon_social =&gt; "&amp;IF(TRIM(D288&amp;"")="","NULL","'"&amp;SUBSTITUTE(TRIM(D288),"'","''")&amp;"'")&amp;", p_id_tipo_cliente =&gt; "&amp;IF(TRIM(I288&amp;"")="","NULL","(SELECT lo.id FROM gen_lista_opciones lo JOIN gen_lista l ON l.id = lo.id_lista WHERE l.nombre = 'TipoCliente' AND upper(lo.nombre) = upper('"&amp;SUBSTITUTE(TRIM(I288),"'","''")&amp;"') AND lo.estado = 1 LIMIT 1)")&amp;", p_id_tipo_persona =&gt; "&amp;IF(TRIM(H288&amp;"")="","NULL","(SELECT lo.id FROM gen_lista_opciones lo JOIN gen_lista l ON l.id = lo.id_lista WHERE l.nombre = 'TipoPersona' AND upper(lo.nombre) = upper('"&amp;SUBSTITUTE(TRIM(H288),"'","''")&amp;"') AND lo.estado = 1 LIMIT 1)")&amp;", p_nombres =&gt; "&amp;IF(TRIM(E288&amp;"")="","NULL","'"&amp;SUBSTITUTE(TRIM(E288),"'","''")&amp;"'")&amp;", p_apellido_paterno =&gt; "&amp;IF(TRIM(F288&amp;"")="","NULL","'"&amp;SUBSTITUTE(TRIM(F288),"'","''")&amp;"'")&amp;", p_apellido_materno =&gt; "&amp;IF(TRIM(G288&amp;"")="","NULL","'"&amp;SUBSTITUTE(TRIM(G288),"'","''")&amp;"'")&amp;", p_id_tipo_documento =&gt; "&amp;IF(TRIM(B288&amp;"")="","NULL","(SELECT lo.id FROM gen_lista_opciones lo JOIN gen_lista l ON l.id = lo.id_lista WHERE l.nombre = 'TipoDocumento' AND upper(lo.nombre) = upper('"&amp;SUBSTITUTE(TRIM(B288),"'","''")&amp;"') AND lo.estado = 1 LIMIT 1)")&amp;", p_numero_documento =&gt; "&amp;IF(TRIM(C288&amp;"")="","NULL","'"&amp;SUBSTITUTE(TRIM(C288),"'","''")&amp;"'")&amp;", p_telefono =&gt; "&amp;IF(TRIM(L288&amp;"")="","NULL","'"&amp;SUBSTITUTE(TRIM(L288),"'","''")&amp;"'")&amp;", p_email =&gt; "&amp;IF(TRIM(M288&amp;"")="","NULL","'"&amp;SUBSTITUTE(TRIM(M288),"'","''")&amp;"'")&amp;", p_observacion =&gt; "&amp;IF(TRIM(O288&amp;"")="","NULL","'"&amp;SUBSTITUTE(TRIM(O288),"'","''")&amp;"'")&amp;", p_direccion =&gt; "&amp;IF(TRIM(J288&amp;"")="","NULL","'"&amp;SUBSTITUTE(TRIM(J288),"'","''")&amp;"'")&amp;", p_referencia =&gt; "&amp;IF(TRIM(K288&amp;"")="","NULL","'"&amp;SUBSTITUTE(TRIM(K288),"'","''")&amp;"'")&amp;") AS resultado_cliente_"&amp;243&amp;";")</f>
        <v/>
      </c>
    </row>
    <row r="289" ht="15.75" customHeight="1" s="64">
      <c r="A289" s="25">
        <f>IF(AND(D289="",E289="",C289=""),"",IF(AND(D289="",E289=""),"FALTA razón social o nombres",IF(AND(C289&lt;&gt;"",COUNTIF($C$5:$C$549,C289)&gt;1),"DOCUMENTO DUPLICADO",IF(AND(B289="DNI",C289&lt;&gt;"",LEN(C289)&lt;&gt;8),"DNI debe tener 8 dígitos",IF(AND(B289="RUC",C289&lt;&gt;"",LEN(C289)&lt;&gt;11),"RUC debe tener 11 dígitos",IF(AND(N289&lt;&gt;"",COUNTIF($N$5:$N$549,N289)&gt;1),"CÓDIGO INTERNO DUPLICADO","OK"))))))</f>
        <v/>
      </c>
      <c r="B289" s="17" t="n"/>
      <c r="C289" s="23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23" t="n"/>
      <c r="M289" s="17" t="n"/>
      <c r="N289" s="23" t="n"/>
      <c r="O289" s="17" t="n"/>
      <c r="P289" s="28">
        <f>IF(A289&lt;&gt;"OK","","SELECT cli_crear_clientes(p_codigo_interno =&gt; "&amp;IF(TRIM(N289&amp;"")="","NULL","'"&amp;SUBSTITUTE(TRIM(N289),"'","''")&amp;"'")&amp;", p_razon_social =&gt; "&amp;IF(TRIM(D289&amp;"")="","NULL","'"&amp;SUBSTITUTE(TRIM(D289),"'","''")&amp;"'")&amp;", p_id_tipo_cliente =&gt; "&amp;IF(TRIM(I289&amp;"")="","NULL","(SELECT lo.id FROM gen_lista_opciones lo JOIN gen_lista l ON l.id = lo.id_lista WHERE l.nombre = 'TipoCliente' AND upper(lo.nombre) = upper('"&amp;SUBSTITUTE(TRIM(I289),"'","''")&amp;"') AND lo.estado = 1 LIMIT 1)")&amp;", p_id_tipo_persona =&gt; "&amp;IF(TRIM(H289&amp;"")="","NULL","(SELECT lo.id FROM gen_lista_opciones lo JOIN gen_lista l ON l.id = lo.id_lista WHERE l.nombre = 'TipoPersona' AND upper(lo.nombre) = upper('"&amp;SUBSTITUTE(TRIM(H289),"'","''")&amp;"') AND lo.estado = 1 LIMIT 1)")&amp;", p_nombres =&gt; "&amp;IF(TRIM(E289&amp;"")="","NULL","'"&amp;SUBSTITUTE(TRIM(E289),"'","''")&amp;"'")&amp;", p_apellido_paterno =&gt; "&amp;IF(TRIM(F289&amp;"")="","NULL","'"&amp;SUBSTITUTE(TRIM(F289),"'","''")&amp;"'")&amp;", p_apellido_materno =&gt; "&amp;IF(TRIM(G289&amp;"")="","NULL","'"&amp;SUBSTITUTE(TRIM(G289),"'","''")&amp;"'")&amp;", p_id_tipo_documento =&gt; "&amp;IF(TRIM(B289&amp;"")="","NULL","(SELECT lo.id FROM gen_lista_opciones lo JOIN gen_lista l ON l.id = lo.id_lista WHERE l.nombre = 'TipoDocumento' AND upper(lo.nombre) = upper('"&amp;SUBSTITUTE(TRIM(B289),"'","''")&amp;"') AND lo.estado = 1 LIMIT 1)")&amp;", p_numero_documento =&gt; "&amp;IF(TRIM(C289&amp;"")="","NULL","'"&amp;SUBSTITUTE(TRIM(C289),"'","''")&amp;"'")&amp;", p_telefono =&gt; "&amp;IF(TRIM(L289&amp;"")="","NULL","'"&amp;SUBSTITUTE(TRIM(L289),"'","''")&amp;"'")&amp;", p_email =&gt; "&amp;IF(TRIM(M289&amp;"")="","NULL","'"&amp;SUBSTITUTE(TRIM(M289),"'","''")&amp;"'")&amp;", p_observacion =&gt; "&amp;IF(TRIM(O289&amp;"")="","NULL","'"&amp;SUBSTITUTE(TRIM(O289),"'","''")&amp;"'")&amp;", p_direccion =&gt; "&amp;IF(TRIM(J289&amp;"")="","NULL","'"&amp;SUBSTITUTE(TRIM(J289),"'","''")&amp;"'")&amp;", p_referencia =&gt; "&amp;IF(TRIM(K289&amp;"")="","NULL","'"&amp;SUBSTITUTE(TRIM(K289),"'","''")&amp;"'")&amp;") AS resultado_cliente_"&amp;244&amp;";")</f>
        <v/>
      </c>
    </row>
    <row r="290" ht="15.75" customHeight="1" s="64">
      <c r="A290" s="25">
        <f>IF(AND(D290="",E290="",C290=""),"",IF(AND(D290="",E290=""),"FALTA razón social o nombres",IF(AND(C290&lt;&gt;"",COUNTIF($C$5:$C$549,C290)&gt;1),"DOCUMENTO DUPLICADO",IF(AND(B290="DNI",C290&lt;&gt;"",LEN(C290)&lt;&gt;8),"DNI debe tener 8 dígitos",IF(AND(B290="RUC",C290&lt;&gt;"",LEN(C290)&lt;&gt;11),"RUC debe tener 11 dígitos",IF(AND(N290&lt;&gt;"",COUNTIF($N$5:$N$549,N290)&gt;1),"CÓDIGO INTERNO DUPLICADO","OK"))))))</f>
        <v/>
      </c>
      <c r="B290" s="17" t="n"/>
      <c r="C290" s="23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23" t="n"/>
      <c r="M290" s="17" t="n"/>
      <c r="N290" s="23" t="n"/>
      <c r="O290" s="17" t="n"/>
      <c r="P290" s="28">
        <f>IF(A290&lt;&gt;"OK","","SELECT cli_crear_clientes(p_codigo_interno =&gt; "&amp;IF(TRIM(N290&amp;"")="","NULL","'"&amp;SUBSTITUTE(TRIM(N290),"'","''")&amp;"'")&amp;", p_razon_social =&gt; "&amp;IF(TRIM(D290&amp;"")="","NULL","'"&amp;SUBSTITUTE(TRIM(D290),"'","''")&amp;"'")&amp;", p_id_tipo_cliente =&gt; "&amp;IF(TRIM(I290&amp;"")="","NULL","(SELECT lo.id FROM gen_lista_opciones lo JOIN gen_lista l ON l.id = lo.id_lista WHERE l.nombre = 'TipoCliente' AND upper(lo.nombre) = upper('"&amp;SUBSTITUTE(TRIM(I290),"'","''")&amp;"') AND lo.estado = 1 LIMIT 1)")&amp;", p_id_tipo_persona =&gt; "&amp;IF(TRIM(H290&amp;"")="","NULL","(SELECT lo.id FROM gen_lista_opciones lo JOIN gen_lista l ON l.id = lo.id_lista WHERE l.nombre = 'TipoPersona' AND upper(lo.nombre) = upper('"&amp;SUBSTITUTE(TRIM(H290),"'","''")&amp;"') AND lo.estado = 1 LIMIT 1)")&amp;", p_nombres =&gt; "&amp;IF(TRIM(E290&amp;"")="","NULL","'"&amp;SUBSTITUTE(TRIM(E290),"'","''")&amp;"'")&amp;", p_apellido_paterno =&gt; "&amp;IF(TRIM(F290&amp;"")="","NULL","'"&amp;SUBSTITUTE(TRIM(F290),"'","''")&amp;"'")&amp;", p_apellido_materno =&gt; "&amp;IF(TRIM(G290&amp;"")="","NULL","'"&amp;SUBSTITUTE(TRIM(G290),"'","''")&amp;"'")&amp;", p_id_tipo_documento =&gt; "&amp;IF(TRIM(B290&amp;"")="","NULL","(SELECT lo.id FROM gen_lista_opciones lo JOIN gen_lista l ON l.id = lo.id_lista WHERE l.nombre = 'TipoDocumento' AND upper(lo.nombre) = upper('"&amp;SUBSTITUTE(TRIM(B290),"'","''")&amp;"') AND lo.estado = 1 LIMIT 1)")&amp;", p_numero_documento =&gt; "&amp;IF(TRIM(C290&amp;"")="","NULL","'"&amp;SUBSTITUTE(TRIM(C290),"'","''")&amp;"'")&amp;", p_telefono =&gt; "&amp;IF(TRIM(L290&amp;"")="","NULL","'"&amp;SUBSTITUTE(TRIM(L290),"'","''")&amp;"'")&amp;", p_email =&gt; "&amp;IF(TRIM(M290&amp;"")="","NULL","'"&amp;SUBSTITUTE(TRIM(M290),"'","''")&amp;"'")&amp;", p_observacion =&gt; "&amp;IF(TRIM(O290&amp;"")="","NULL","'"&amp;SUBSTITUTE(TRIM(O290),"'","''")&amp;"'")&amp;", p_direccion =&gt; "&amp;IF(TRIM(J290&amp;"")="","NULL","'"&amp;SUBSTITUTE(TRIM(J290),"'","''")&amp;"'")&amp;", p_referencia =&gt; "&amp;IF(TRIM(K290&amp;"")="","NULL","'"&amp;SUBSTITUTE(TRIM(K290),"'","''")&amp;"'")&amp;") AS resultado_cliente_"&amp;245&amp;";")</f>
        <v/>
      </c>
    </row>
    <row r="291" ht="15.75" customHeight="1" s="64">
      <c r="A291" s="25">
        <f>IF(AND(D291="",E291="",C291=""),"",IF(AND(D291="",E291=""),"FALTA razón social o nombres",IF(AND(C291&lt;&gt;"",COUNTIF($C$5:$C$549,C291)&gt;1),"DOCUMENTO DUPLICADO",IF(AND(B291="DNI",C291&lt;&gt;"",LEN(C291)&lt;&gt;8),"DNI debe tener 8 dígitos",IF(AND(B291="RUC",C291&lt;&gt;"",LEN(C291)&lt;&gt;11),"RUC debe tener 11 dígitos",IF(AND(N291&lt;&gt;"",COUNTIF($N$5:$N$549,N291)&gt;1),"CÓDIGO INTERNO DUPLICADO","OK"))))))</f>
        <v/>
      </c>
      <c r="B291" s="17" t="n"/>
      <c r="C291" s="23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23" t="n"/>
      <c r="M291" s="17" t="n"/>
      <c r="N291" s="23" t="n"/>
      <c r="O291" s="17" t="n"/>
      <c r="P291" s="28">
        <f>IF(A291&lt;&gt;"OK","","SELECT cli_crear_clientes(p_codigo_interno =&gt; "&amp;IF(TRIM(N291&amp;"")="","NULL","'"&amp;SUBSTITUTE(TRIM(N291),"'","''")&amp;"'")&amp;", p_razon_social =&gt; "&amp;IF(TRIM(D291&amp;"")="","NULL","'"&amp;SUBSTITUTE(TRIM(D291),"'","''")&amp;"'")&amp;", p_id_tipo_cliente =&gt; "&amp;IF(TRIM(I291&amp;"")="","NULL","(SELECT lo.id FROM gen_lista_opciones lo JOIN gen_lista l ON l.id = lo.id_lista WHERE l.nombre = 'TipoCliente' AND upper(lo.nombre) = upper('"&amp;SUBSTITUTE(TRIM(I291),"'","''")&amp;"') AND lo.estado = 1 LIMIT 1)")&amp;", p_id_tipo_persona =&gt; "&amp;IF(TRIM(H291&amp;"")="","NULL","(SELECT lo.id FROM gen_lista_opciones lo JOIN gen_lista l ON l.id = lo.id_lista WHERE l.nombre = 'TipoPersona' AND upper(lo.nombre) = upper('"&amp;SUBSTITUTE(TRIM(H291),"'","''")&amp;"') AND lo.estado = 1 LIMIT 1)")&amp;", p_nombres =&gt; "&amp;IF(TRIM(E291&amp;"")="","NULL","'"&amp;SUBSTITUTE(TRIM(E291),"'","''")&amp;"'")&amp;", p_apellido_paterno =&gt; "&amp;IF(TRIM(F291&amp;"")="","NULL","'"&amp;SUBSTITUTE(TRIM(F291),"'","''")&amp;"'")&amp;", p_apellido_materno =&gt; "&amp;IF(TRIM(G291&amp;"")="","NULL","'"&amp;SUBSTITUTE(TRIM(G291),"'","''")&amp;"'")&amp;", p_id_tipo_documento =&gt; "&amp;IF(TRIM(B291&amp;"")="","NULL","(SELECT lo.id FROM gen_lista_opciones lo JOIN gen_lista l ON l.id = lo.id_lista WHERE l.nombre = 'TipoDocumento' AND upper(lo.nombre) = upper('"&amp;SUBSTITUTE(TRIM(B291),"'","''")&amp;"') AND lo.estado = 1 LIMIT 1)")&amp;", p_numero_documento =&gt; "&amp;IF(TRIM(C291&amp;"")="","NULL","'"&amp;SUBSTITUTE(TRIM(C291),"'","''")&amp;"'")&amp;", p_telefono =&gt; "&amp;IF(TRIM(L291&amp;"")="","NULL","'"&amp;SUBSTITUTE(TRIM(L291),"'","''")&amp;"'")&amp;", p_email =&gt; "&amp;IF(TRIM(M291&amp;"")="","NULL","'"&amp;SUBSTITUTE(TRIM(M291),"'","''")&amp;"'")&amp;", p_observacion =&gt; "&amp;IF(TRIM(O291&amp;"")="","NULL","'"&amp;SUBSTITUTE(TRIM(O291),"'","''")&amp;"'")&amp;", p_direccion =&gt; "&amp;IF(TRIM(J291&amp;"")="","NULL","'"&amp;SUBSTITUTE(TRIM(J291),"'","''")&amp;"'")&amp;", p_referencia =&gt; "&amp;IF(TRIM(K291&amp;"")="","NULL","'"&amp;SUBSTITUTE(TRIM(K291),"'","''")&amp;"'")&amp;") AS resultado_cliente_"&amp;246&amp;";")</f>
        <v/>
      </c>
    </row>
    <row r="292" ht="15.75" customHeight="1" s="64">
      <c r="A292" s="25">
        <f>IF(AND(D292="",E292="",C292=""),"",IF(AND(D292="",E292=""),"FALTA razón social o nombres",IF(AND(C292&lt;&gt;"",COUNTIF($C$5:$C$549,C292)&gt;1),"DOCUMENTO DUPLICADO",IF(AND(B292="DNI",C292&lt;&gt;"",LEN(C292)&lt;&gt;8),"DNI debe tener 8 dígitos",IF(AND(B292="RUC",C292&lt;&gt;"",LEN(C292)&lt;&gt;11),"RUC debe tener 11 dígitos",IF(AND(N292&lt;&gt;"",COUNTIF($N$5:$N$549,N292)&gt;1),"CÓDIGO INTERNO DUPLICADO","OK"))))))</f>
        <v/>
      </c>
      <c r="B292" s="17" t="n"/>
      <c r="C292" s="23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23" t="n"/>
      <c r="M292" s="17" t="n"/>
      <c r="N292" s="23" t="n"/>
      <c r="O292" s="17" t="n"/>
      <c r="P292" s="28">
        <f>IF(A292&lt;&gt;"OK","","SELECT cli_crear_clientes(p_codigo_interno =&gt; "&amp;IF(TRIM(N292&amp;"")="","NULL","'"&amp;SUBSTITUTE(TRIM(N292),"'","''")&amp;"'")&amp;", p_razon_social =&gt; "&amp;IF(TRIM(D292&amp;"")="","NULL","'"&amp;SUBSTITUTE(TRIM(D292),"'","''")&amp;"'")&amp;", p_id_tipo_cliente =&gt; "&amp;IF(TRIM(I292&amp;"")="","NULL","(SELECT lo.id FROM gen_lista_opciones lo JOIN gen_lista l ON l.id = lo.id_lista WHERE l.nombre = 'TipoCliente' AND upper(lo.nombre) = upper('"&amp;SUBSTITUTE(TRIM(I292),"'","''")&amp;"') AND lo.estado = 1 LIMIT 1)")&amp;", p_id_tipo_persona =&gt; "&amp;IF(TRIM(H292&amp;"")="","NULL","(SELECT lo.id FROM gen_lista_opciones lo JOIN gen_lista l ON l.id = lo.id_lista WHERE l.nombre = 'TipoPersona' AND upper(lo.nombre) = upper('"&amp;SUBSTITUTE(TRIM(H292),"'","''")&amp;"') AND lo.estado = 1 LIMIT 1)")&amp;", p_nombres =&gt; "&amp;IF(TRIM(E292&amp;"")="","NULL","'"&amp;SUBSTITUTE(TRIM(E292),"'","''")&amp;"'")&amp;", p_apellido_paterno =&gt; "&amp;IF(TRIM(F292&amp;"")="","NULL","'"&amp;SUBSTITUTE(TRIM(F292),"'","''")&amp;"'")&amp;", p_apellido_materno =&gt; "&amp;IF(TRIM(G292&amp;"")="","NULL","'"&amp;SUBSTITUTE(TRIM(G292),"'","''")&amp;"'")&amp;", p_id_tipo_documento =&gt; "&amp;IF(TRIM(B292&amp;"")="","NULL","(SELECT lo.id FROM gen_lista_opciones lo JOIN gen_lista l ON l.id = lo.id_lista WHERE l.nombre = 'TipoDocumento' AND upper(lo.nombre) = upper('"&amp;SUBSTITUTE(TRIM(B292),"'","''")&amp;"') AND lo.estado = 1 LIMIT 1)")&amp;", p_numero_documento =&gt; "&amp;IF(TRIM(C292&amp;"")="","NULL","'"&amp;SUBSTITUTE(TRIM(C292),"'","''")&amp;"'")&amp;", p_telefono =&gt; "&amp;IF(TRIM(L292&amp;"")="","NULL","'"&amp;SUBSTITUTE(TRIM(L292),"'","''")&amp;"'")&amp;", p_email =&gt; "&amp;IF(TRIM(M292&amp;"")="","NULL","'"&amp;SUBSTITUTE(TRIM(M292),"'","''")&amp;"'")&amp;", p_observacion =&gt; "&amp;IF(TRIM(O292&amp;"")="","NULL","'"&amp;SUBSTITUTE(TRIM(O292),"'","''")&amp;"'")&amp;", p_direccion =&gt; "&amp;IF(TRIM(J292&amp;"")="","NULL","'"&amp;SUBSTITUTE(TRIM(J292),"'","''")&amp;"'")&amp;", p_referencia =&gt; "&amp;IF(TRIM(K292&amp;"")="","NULL","'"&amp;SUBSTITUTE(TRIM(K292),"'","''")&amp;"'")&amp;") AS resultado_cliente_"&amp;247&amp;";")</f>
        <v/>
      </c>
    </row>
    <row r="293" ht="15.75" customHeight="1" s="64">
      <c r="A293" s="25">
        <f>IF(AND(D293="",E293="",C293=""),"",IF(AND(D293="",E293=""),"FALTA razón social o nombres",IF(AND(C293&lt;&gt;"",COUNTIF($C$5:$C$549,C293)&gt;1),"DOCUMENTO DUPLICADO",IF(AND(B293="DNI",C293&lt;&gt;"",LEN(C293)&lt;&gt;8),"DNI debe tener 8 dígitos",IF(AND(B293="RUC",C293&lt;&gt;"",LEN(C293)&lt;&gt;11),"RUC debe tener 11 dígitos",IF(AND(N293&lt;&gt;"",COUNTIF($N$5:$N$549,N293)&gt;1),"CÓDIGO INTERNO DUPLICADO","OK"))))))</f>
        <v/>
      </c>
      <c r="B293" s="17" t="n"/>
      <c r="C293" s="23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23" t="n"/>
      <c r="M293" s="17" t="n"/>
      <c r="N293" s="23" t="n"/>
      <c r="O293" s="17" t="n"/>
      <c r="P293" s="28">
        <f>IF(A293&lt;&gt;"OK","","SELECT cli_crear_clientes(p_codigo_interno =&gt; "&amp;IF(TRIM(N293&amp;"")="","NULL","'"&amp;SUBSTITUTE(TRIM(N293),"'","''")&amp;"'")&amp;", p_razon_social =&gt; "&amp;IF(TRIM(D293&amp;"")="","NULL","'"&amp;SUBSTITUTE(TRIM(D293),"'","''")&amp;"'")&amp;", p_id_tipo_cliente =&gt; "&amp;IF(TRIM(I293&amp;"")="","NULL","(SELECT lo.id FROM gen_lista_opciones lo JOIN gen_lista l ON l.id = lo.id_lista WHERE l.nombre = 'TipoCliente' AND upper(lo.nombre) = upper('"&amp;SUBSTITUTE(TRIM(I293),"'","''")&amp;"') AND lo.estado = 1 LIMIT 1)")&amp;", p_id_tipo_persona =&gt; "&amp;IF(TRIM(H293&amp;"")="","NULL","(SELECT lo.id FROM gen_lista_opciones lo JOIN gen_lista l ON l.id = lo.id_lista WHERE l.nombre = 'TipoPersona' AND upper(lo.nombre) = upper('"&amp;SUBSTITUTE(TRIM(H293),"'","''")&amp;"') AND lo.estado = 1 LIMIT 1)")&amp;", p_nombres =&gt; "&amp;IF(TRIM(E293&amp;"")="","NULL","'"&amp;SUBSTITUTE(TRIM(E293),"'","''")&amp;"'")&amp;", p_apellido_paterno =&gt; "&amp;IF(TRIM(F293&amp;"")="","NULL","'"&amp;SUBSTITUTE(TRIM(F293),"'","''")&amp;"'")&amp;", p_apellido_materno =&gt; "&amp;IF(TRIM(G293&amp;"")="","NULL","'"&amp;SUBSTITUTE(TRIM(G293),"'","''")&amp;"'")&amp;", p_id_tipo_documento =&gt; "&amp;IF(TRIM(B293&amp;"")="","NULL","(SELECT lo.id FROM gen_lista_opciones lo JOIN gen_lista l ON l.id = lo.id_lista WHERE l.nombre = 'TipoDocumento' AND upper(lo.nombre) = upper('"&amp;SUBSTITUTE(TRIM(B293),"'","''")&amp;"') AND lo.estado = 1 LIMIT 1)")&amp;", p_numero_documento =&gt; "&amp;IF(TRIM(C293&amp;"")="","NULL","'"&amp;SUBSTITUTE(TRIM(C293),"'","''")&amp;"'")&amp;", p_telefono =&gt; "&amp;IF(TRIM(L293&amp;"")="","NULL","'"&amp;SUBSTITUTE(TRIM(L293),"'","''")&amp;"'")&amp;", p_email =&gt; "&amp;IF(TRIM(M293&amp;"")="","NULL","'"&amp;SUBSTITUTE(TRIM(M293),"'","''")&amp;"'")&amp;", p_observacion =&gt; "&amp;IF(TRIM(O293&amp;"")="","NULL","'"&amp;SUBSTITUTE(TRIM(O293),"'","''")&amp;"'")&amp;", p_direccion =&gt; "&amp;IF(TRIM(J293&amp;"")="","NULL","'"&amp;SUBSTITUTE(TRIM(J293),"'","''")&amp;"'")&amp;", p_referencia =&gt; "&amp;IF(TRIM(K293&amp;"")="","NULL","'"&amp;SUBSTITUTE(TRIM(K293),"'","''")&amp;"'")&amp;") AS resultado_cliente_"&amp;248&amp;";")</f>
        <v/>
      </c>
    </row>
    <row r="294" ht="15.75" customHeight="1" s="64">
      <c r="A294" s="25">
        <f>IF(AND(D294="",E294="",C294=""),"",IF(AND(D294="",E294=""),"FALTA razón social o nombres",IF(AND(C294&lt;&gt;"",COUNTIF($C$5:$C$549,C294)&gt;1),"DOCUMENTO DUPLICADO",IF(AND(B294="DNI",C294&lt;&gt;"",LEN(C294)&lt;&gt;8),"DNI debe tener 8 dígitos",IF(AND(B294="RUC",C294&lt;&gt;"",LEN(C294)&lt;&gt;11),"RUC debe tener 11 dígitos",IF(AND(N294&lt;&gt;"",COUNTIF($N$5:$N$549,N294)&gt;1),"CÓDIGO INTERNO DUPLICADO","OK"))))))</f>
        <v/>
      </c>
      <c r="B294" s="17" t="n"/>
      <c r="C294" s="23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23" t="n"/>
      <c r="M294" s="17" t="n"/>
      <c r="N294" s="23" t="n"/>
      <c r="O294" s="17" t="n"/>
      <c r="P294" s="28">
        <f>IF(A294&lt;&gt;"OK","","SELECT cli_crear_clientes(p_codigo_interno =&gt; "&amp;IF(TRIM(N294&amp;"")="","NULL","'"&amp;SUBSTITUTE(TRIM(N294),"'","''")&amp;"'")&amp;", p_razon_social =&gt; "&amp;IF(TRIM(D294&amp;"")="","NULL","'"&amp;SUBSTITUTE(TRIM(D294),"'","''")&amp;"'")&amp;", p_id_tipo_cliente =&gt; "&amp;IF(TRIM(I294&amp;"")="","NULL","(SELECT lo.id FROM gen_lista_opciones lo JOIN gen_lista l ON l.id = lo.id_lista WHERE l.nombre = 'TipoCliente' AND upper(lo.nombre) = upper('"&amp;SUBSTITUTE(TRIM(I294),"'","''")&amp;"') AND lo.estado = 1 LIMIT 1)")&amp;", p_id_tipo_persona =&gt; "&amp;IF(TRIM(H294&amp;"")="","NULL","(SELECT lo.id FROM gen_lista_opciones lo JOIN gen_lista l ON l.id = lo.id_lista WHERE l.nombre = 'TipoPersona' AND upper(lo.nombre) = upper('"&amp;SUBSTITUTE(TRIM(H294),"'","''")&amp;"') AND lo.estado = 1 LIMIT 1)")&amp;", p_nombres =&gt; "&amp;IF(TRIM(E294&amp;"")="","NULL","'"&amp;SUBSTITUTE(TRIM(E294),"'","''")&amp;"'")&amp;", p_apellido_paterno =&gt; "&amp;IF(TRIM(F294&amp;"")="","NULL","'"&amp;SUBSTITUTE(TRIM(F294),"'","''")&amp;"'")&amp;", p_apellido_materno =&gt; "&amp;IF(TRIM(G294&amp;"")="","NULL","'"&amp;SUBSTITUTE(TRIM(G294),"'","''")&amp;"'")&amp;", p_id_tipo_documento =&gt; "&amp;IF(TRIM(B294&amp;"")="","NULL","(SELECT lo.id FROM gen_lista_opciones lo JOIN gen_lista l ON l.id = lo.id_lista WHERE l.nombre = 'TipoDocumento' AND upper(lo.nombre) = upper('"&amp;SUBSTITUTE(TRIM(B294),"'","''")&amp;"') AND lo.estado = 1 LIMIT 1)")&amp;", p_numero_documento =&gt; "&amp;IF(TRIM(C294&amp;"")="","NULL","'"&amp;SUBSTITUTE(TRIM(C294),"'","''")&amp;"'")&amp;", p_telefono =&gt; "&amp;IF(TRIM(L294&amp;"")="","NULL","'"&amp;SUBSTITUTE(TRIM(L294),"'","''")&amp;"'")&amp;", p_email =&gt; "&amp;IF(TRIM(M294&amp;"")="","NULL","'"&amp;SUBSTITUTE(TRIM(M294),"'","''")&amp;"'")&amp;", p_observacion =&gt; "&amp;IF(TRIM(O294&amp;"")="","NULL","'"&amp;SUBSTITUTE(TRIM(O294),"'","''")&amp;"'")&amp;", p_direccion =&gt; "&amp;IF(TRIM(J294&amp;"")="","NULL","'"&amp;SUBSTITUTE(TRIM(J294),"'","''")&amp;"'")&amp;", p_referencia =&gt; "&amp;IF(TRIM(K294&amp;"")="","NULL","'"&amp;SUBSTITUTE(TRIM(K294),"'","''")&amp;"'")&amp;") AS resultado_cliente_"&amp;249&amp;";")</f>
        <v/>
      </c>
    </row>
    <row r="295" ht="15.75" customHeight="1" s="64">
      <c r="A295" s="25">
        <f>IF(AND(D295="",E295="",C295=""),"",IF(AND(D295="",E295=""),"FALTA razón social o nombres",IF(AND(C295&lt;&gt;"",COUNTIF($C$5:$C$549,C295)&gt;1),"DOCUMENTO DUPLICADO",IF(AND(B295="DNI",C295&lt;&gt;"",LEN(C295)&lt;&gt;8),"DNI debe tener 8 dígitos",IF(AND(B295="RUC",C295&lt;&gt;"",LEN(C295)&lt;&gt;11),"RUC debe tener 11 dígitos",IF(AND(N295&lt;&gt;"",COUNTIF($N$5:$N$549,N295)&gt;1),"CÓDIGO INTERNO DUPLICADO","OK"))))))</f>
        <v/>
      </c>
      <c r="B295" s="17" t="n"/>
      <c r="C295" s="23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23" t="n"/>
      <c r="M295" s="17" t="n"/>
      <c r="N295" s="23" t="n"/>
      <c r="O295" s="17" t="n"/>
      <c r="P295" s="28">
        <f>IF(A295&lt;&gt;"OK","","SELECT cli_crear_clientes(p_codigo_interno =&gt; "&amp;IF(TRIM(N295&amp;"")="","NULL","'"&amp;SUBSTITUTE(TRIM(N295),"'","''")&amp;"'")&amp;", p_razon_social =&gt; "&amp;IF(TRIM(D295&amp;"")="","NULL","'"&amp;SUBSTITUTE(TRIM(D295),"'","''")&amp;"'")&amp;", p_id_tipo_cliente =&gt; "&amp;IF(TRIM(I295&amp;"")="","NULL","(SELECT lo.id FROM gen_lista_opciones lo JOIN gen_lista l ON l.id = lo.id_lista WHERE l.nombre = 'TipoCliente' AND upper(lo.nombre) = upper('"&amp;SUBSTITUTE(TRIM(I295),"'","''")&amp;"') AND lo.estado = 1 LIMIT 1)")&amp;", p_id_tipo_persona =&gt; "&amp;IF(TRIM(H295&amp;"")="","NULL","(SELECT lo.id FROM gen_lista_opciones lo JOIN gen_lista l ON l.id = lo.id_lista WHERE l.nombre = 'TipoPersona' AND upper(lo.nombre) = upper('"&amp;SUBSTITUTE(TRIM(H295),"'","''")&amp;"') AND lo.estado = 1 LIMIT 1)")&amp;", p_nombres =&gt; "&amp;IF(TRIM(E295&amp;"")="","NULL","'"&amp;SUBSTITUTE(TRIM(E295),"'","''")&amp;"'")&amp;", p_apellido_paterno =&gt; "&amp;IF(TRIM(F295&amp;"")="","NULL","'"&amp;SUBSTITUTE(TRIM(F295),"'","''")&amp;"'")&amp;", p_apellido_materno =&gt; "&amp;IF(TRIM(G295&amp;"")="","NULL","'"&amp;SUBSTITUTE(TRIM(G295),"'","''")&amp;"'")&amp;", p_id_tipo_documento =&gt; "&amp;IF(TRIM(B295&amp;"")="","NULL","(SELECT lo.id FROM gen_lista_opciones lo JOIN gen_lista l ON l.id = lo.id_lista WHERE l.nombre = 'TipoDocumento' AND upper(lo.nombre) = upper('"&amp;SUBSTITUTE(TRIM(B295),"'","''")&amp;"') AND lo.estado = 1 LIMIT 1)")&amp;", p_numero_documento =&gt; "&amp;IF(TRIM(C295&amp;"")="","NULL","'"&amp;SUBSTITUTE(TRIM(C295),"'","''")&amp;"'")&amp;", p_telefono =&gt; "&amp;IF(TRIM(L295&amp;"")="","NULL","'"&amp;SUBSTITUTE(TRIM(L295),"'","''")&amp;"'")&amp;", p_email =&gt; "&amp;IF(TRIM(M295&amp;"")="","NULL","'"&amp;SUBSTITUTE(TRIM(M295),"'","''")&amp;"'")&amp;", p_observacion =&gt; "&amp;IF(TRIM(O295&amp;"")="","NULL","'"&amp;SUBSTITUTE(TRIM(O295),"'","''")&amp;"'")&amp;", p_direccion =&gt; "&amp;IF(TRIM(J295&amp;"")="","NULL","'"&amp;SUBSTITUTE(TRIM(J295),"'","''")&amp;"'")&amp;", p_referencia =&gt; "&amp;IF(TRIM(K295&amp;"")="","NULL","'"&amp;SUBSTITUTE(TRIM(K295),"'","''")&amp;"'")&amp;") AS resultado_cliente_"&amp;250&amp;";")</f>
        <v/>
      </c>
    </row>
    <row r="296" ht="15.75" customHeight="1" s="64">
      <c r="A296" s="25">
        <f>IF(AND(D296="",E296="",C296=""),"",IF(AND(D296="",E296=""),"FALTA razón social o nombres",IF(AND(C296&lt;&gt;"",COUNTIF($C$5:$C$549,C296)&gt;1),"DOCUMENTO DUPLICADO",IF(AND(B296="DNI",C296&lt;&gt;"",LEN(C296)&lt;&gt;8),"DNI debe tener 8 dígitos",IF(AND(B296="RUC",C296&lt;&gt;"",LEN(C296)&lt;&gt;11),"RUC debe tener 11 dígitos",IF(AND(N296&lt;&gt;"",COUNTIF($N$5:$N$549,N296)&gt;1),"CÓDIGO INTERNO DUPLICADO","OK"))))))</f>
        <v/>
      </c>
      <c r="B296" s="17" t="n"/>
      <c r="C296" s="23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23" t="n"/>
      <c r="M296" s="17" t="n"/>
      <c r="N296" s="23" t="n"/>
      <c r="O296" s="17" t="n"/>
      <c r="P296" s="28">
        <f>IF(A296&lt;&gt;"OK","","SELECT cli_crear_clientes(p_codigo_interno =&gt; "&amp;IF(TRIM(N296&amp;"")="","NULL","'"&amp;SUBSTITUTE(TRIM(N296),"'","''")&amp;"'")&amp;", p_razon_social =&gt; "&amp;IF(TRIM(D296&amp;"")="","NULL","'"&amp;SUBSTITUTE(TRIM(D296),"'","''")&amp;"'")&amp;", p_id_tipo_cliente =&gt; "&amp;IF(TRIM(I296&amp;"")="","NULL","(SELECT lo.id FROM gen_lista_opciones lo JOIN gen_lista l ON l.id = lo.id_lista WHERE l.nombre = 'TipoCliente' AND upper(lo.nombre) = upper('"&amp;SUBSTITUTE(TRIM(I296),"'","''")&amp;"') AND lo.estado = 1 LIMIT 1)")&amp;", p_id_tipo_persona =&gt; "&amp;IF(TRIM(H296&amp;"")="","NULL","(SELECT lo.id FROM gen_lista_opciones lo JOIN gen_lista l ON l.id = lo.id_lista WHERE l.nombre = 'TipoPersona' AND upper(lo.nombre) = upper('"&amp;SUBSTITUTE(TRIM(H296),"'","''")&amp;"') AND lo.estado = 1 LIMIT 1)")&amp;", p_nombres =&gt; "&amp;IF(TRIM(E296&amp;"")="","NULL","'"&amp;SUBSTITUTE(TRIM(E296),"'","''")&amp;"'")&amp;", p_apellido_paterno =&gt; "&amp;IF(TRIM(F296&amp;"")="","NULL","'"&amp;SUBSTITUTE(TRIM(F296),"'","''")&amp;"'")&amp;", p_apellido_materno =&gt; "&amp;IF(TRIM(G296&amp;"")="","NULL","'"&amp;SUBSTITUTE(TRIM(G296),"'","''")&amp;"'")&amp;", p_id_tipo_documento =&gt; "&amp;IF(TRIM(B296&amp;"")="","NULL","(SELECT lo.id FROM gen_lista_opciones lo JOIN gen_lista l ON l.id = lo.id_lista WHERE l.nombre = 'TipoDocumento' AND upper(lo.nombre) = upper('"&amp;SUBSTITUTE(TRIM(B296),"'","''")&amp;"') AND lo.estado = 1 LIMIT 1)")&amp;", p_numero_documento =&gt; "&amp;IF(TRIM(C296&amp;"")="","NULL","'"&amp;SUBSTITUTE(TRIM(C296),"'","''")&amp;"'")&amp;", p_telefono =&gt; "&amp;IF(TRIM(L296&amp;"")="","NULL","'"&amp;SUBSTITUTE(TRIM(L296),"'","''")&amp;"'")&amp;", p_email =&gt; "&amp;IF(TRIM(M296&amp;"")="","NULL","'"&amp;SUBSTITUTE(TRIM(M296),"'","''")&amp;"'")&amp;", p_observacion =&gt; "&amp;IF(TRIM(O296&amp;"")="","NULL","'"&amp;SUBSTITUTE(TRIM(O296),"'","''")&amp;"'")&amp;", p_direccion =&gt; "&amp;IF(TRIM(J296&amp;"")="","NULL","'"&amp;SUBSTITUTE(TRIM(J296),"'","''")&amp;"'")&amp;", p_referencia =&gt; "&amp;IF(TRIM(K296&amp;"")="","NULL","'"&amp;SUBSTITUTE(TRIM(K296),"'","''")&amp;"'")&amp;") AS resultado_cliente_"&amp;251&amp;";")</f>
        <v/>
      </c>
    </row>
    <row r="297" ht="15.75" customHeight="1" s="64">
      <c r="A297" s="25">
        <f>IF(AND(D297="",E297="",C297=""),"",IF(AND(D297="",E297=""),"FALTA razón social o nombres",IF(AND(C297&lt;&gt;"",COUNTIF($C$5:$C$549,C297)&gt;1),"DOCUMENTO DUPLICADO",IF(AND(B297="DNI",C297&lt;&gt;"",LEN(C297)&lt;&gt;8),"DNI debe tener 8 dígitos",IF(AND(B297="RUC",C297&lt;&gt;"",LEN(C297)&lt;&gt;11),"RUC debe tener 11 dígitos",IF(AND(N297&lt;&gt;"",COUNTIF($N$5:$N$549,N297)&gt;1),"CÓDIGO INTERNO DUPLICADO","OK"))))))</f>
        <v/>
      </c>
      <c r="B297" s="17" t="n"/>
      <c r="C297" s="23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23" t="n"/>
      <c r="M297" s="17" t="n"/>
      <c r="N297" s="23" t="n"/>
      <c r="O297" s="17" t="n"/>
      <c r="P297" s="28">
        <f>IF(A297&lt;&gt;"OK","","SELECT cli_crear_clientes(p_codigo_interno =&gt; "&amp;IF(TRIM(N297&amp;"")="","NULL","'"&amp;SUBSTITUTE(TRIM(N297),"'","''")&amp;"'")&amp;", p_razon_social =&gt; "&amp;IF(TRIM(D297&amp;"")="","NULL","'"&amp;SUBSTITUTE(TRIM(D297),"'","''")&amp;"'")&amp;", p_id_tipo_cliente =&gt; "&amp;IF(TRIM(I297&amp;"")="","NULL","(SELECT lo.id FROM gen_lista_opciones lo JOIN gen_lista l ON l.id = lo.id_lista WHERE l.nombre = 'TipoCliente' AND upper(lo.nombre) = upper('"&amp;SUBSTITUTE(TRIM(I297),"'","''")&amp;"') AND lo.estado = 1 LIMIT 1)")&amp;", p_id_tipo_persona =&gt; "&amp;IF(TRIM(H297&amp;"")="","NULL","(SELECT lo.id FROM gen_lista_opciones lo JOIN gen_lista l ON l.id = lo.id_lista WHERE l.nombre = 'TipoPersona' AND upper(lo.nombre) = upper('"&amp;SUBSTITUTE(TRIM(H297),"'","''")&amp;"') AND lo.estado = 1 LIMIT 1)")&amp;", p_nombres =&gt; "&amp;IF(TRIM(E297&amp;"")="","NULL","'"&amp;SUBSTITUTE(TRIM(E297),"'","''")&amp;"'")&amp;", p_apellido_paterno =&gt; "&amp;IF(TRIM(F297&amp;"")="","NULL","'"&amp;SUBSTITUTE(TRIM(F297),"'","''")&amp;"'")&amp;", p_apellido_materno =&gt; "&amp;IF(TRIM(G297&amp;"")="","NULL","'"&amp;SUBSTITUTE(TRIM(G297),"'","''")&amp;"'")&amp;", p_id_tipo_documento =&gt; "&amp;IF(TRIM(B297&amp;"")="","NULL","(SELECT lo.id FROM gen_lista_opciones lo JOIN gen_lista l ON l.id = lo.id_lista WHERE l.nombre = 'TipoDocumento' AND upper(lo.nombre) = upper('"&amp;SUBSTITUTE(TRIM(B297),"'","''")&amp;"') AND lo.estado = 1 LIMIT 1)")&amp;", p_numero_documento =&gt; "&amp;IF(TRIM(C297&amp;"")="","NULL","'"&amp;SUBSTITUTE(TRIM(C297),"'","''")&amp;"'")&amp;", p_telefono =&gt; "&amp;IF(TRIM(L297&amp;"")="","NULL","'"&amp;SUBSTITUTE(TRIM(L297),"'","''")&amp;"'")&amp;", p_email =&gt; "&amp;IF(TRIM(M297&amp;"")="","NULL","'"&amp;SUBSTITUTE(TRIM(M297),"'","''")&amp;"'")&amp;", p_observacion =&gt; "&amp;IF(TRIM(O297&amp;"")="","NULL","'"&amp;SUBSTITUTE(TRIM(O297),"'","''")&amp;"'")&amp;", p_direccion =&gt; "&amp;IF(TRIM(J297&amp;"")="","NULL","'"&amp;SUBSTITUTE(TRIM(J297),"'","''")&amp;"'")&amp;", p_referencia =&gt; "&amp;IF(TRIM(K297&amp;"")="","NULL","'"&amp;SUBSTITUTE(TRIM(K297),"'","''")&amp;"'")&amp;") AS resultado_cliente_"&amp;252&amp;";")</f>
        <v/>
      </c>
    </row>
    <row r="298" ht="15.75" customHeight="1" s="64">
      <c r="A298" s="25">
        <f>IF(AND(D298="",E298="",C298=""),"",IF(AND(D298="",E298=""),"FALTA razón social o nombres",IF(AND(C298&lt;&gt;"",COUNTIF($C$5:$C$549,C298)&gt;1),"DOCUMENTO DUPLICADO",IF(AND(B298="DNI",C298&lt;&gt;"",LEN(C298)&lt;&gt;8),"DNI debe tener 8 dígitos",IF(AND(B298="RUC",C298&lt;&gt;"",LEN(C298)&lt;&gt;11),"RUC debe tener 11 dígitos",IF(AND(N298&lt;&gt;"",COUNTIF($N$5:$N$549,N298)&gt;1),"CÓDIGO INTERNO DUPLICADO","OK"))))))</f>
        <v/>
      </c>
      <c r="B298" s="17" t="n"/>
      <c r="C298" s="23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23" t="n"/>
      <c r="M298" s="17" t="n"/>
      <c r="N298" s="23" t="n"/>
      <c r="O298" s="17" t="n"/>
      <c r="P298" s="28">
        <f>IF(A298&lt;&gt;"OK","","SELECT cli_crear_clientes(p_codigo_interno =&gt; "&amp;IF(TRIM(N298&amp;"")="","NULL","'"&amp;SUBSTITUTE(TRIM(N298),"'","''")&amp;"'")&amp;", p_razon_social =&gt; "&amp;IF(TRIM(D298&amp;"")="","NULL","'"&amp;SUBSTITUTE(TRIM(D298),"'","''")&amp;"'")&amp;", p_id_tipo_cliente =&gt; "&amp;IF(TRIM(I298&amp;"")="","NULL","(SELECT lo.id FROM gen_lista_opciones lo JOIN gen_lista l ON l.id = lo.id_lista WHERE l.nombre = 'TipoCliente' AND upper(lo.nombre) = upper('"&amp;SUBSTITUTE(TRIM(I298),"'","''")&amp;"') AND lo.estado = 1 LIMIT 1)")&amp;", p_id_tipo_persona =&gt; "&amp;IF(TRIM(H298&amp;"")="","NULL","(SELECT lo.id FROM gen_lista_opciones lo JOIN gen_lista l ON l.id = lo.id_lista WHERE l.nombre = 'TipoPersona' AND upper(lo.nombre) = upper('"&amp;SUBSTITUTE(TRIM(H298),"'","''")&amp;"') AND lo.estado = 1 LIMIT 1)")&amp;", p_nombres =&gt; "&amp;IF(TRIM(E298&amp;"")="","NULL","'"&amp;SUBSTITUTE(TRIM(E298),"'","''")&amp;"'")&amp;", p_apellido_paterno =&gt; "&amp;IF(TRIM(F298&amp;"")="","NULL","'"&amp;SUBSTITUTE(TRIM(F298),"'","''")&amp;"'")&amp;", p_apellido_materno =&gt; "&amp;IF(TRIM(G298&amp;"")="","NULL","'"&amp;SUBSTITUTE(TRIM(G298),"'","''")&amp;"'")&amp;", p_id_tipo_documento =&gt; "&amp;IF(TRIM(B298&amp;"")="","NULL","(SELECT lo.id FROM gen_lista_opciones lo JOIN gen_lista l ON l.id = lo.id_lista WHERE l.nombre = 'TipoDocumento' AND upper(lo.nombre) = upper('"&amp;SUBSTITUTE(TRIM(B298),"'","''")&amp;"') AND lo.estado = 1 LIMIT 1)")&amp;", p_numero_documento =&gt; "&amp;IF(TRIM(C298&amp;"")="","NULL","'"&amp;SUBSTITUTE(TRIM(C298),"'","''")&amp;"'")&amp;", p_telefono =&gt; "&amp;IF(TRIM(L298&amp;"")="","NULL","'"&amp;SUBSTITUTE(TRIM(L298),"'","''")&amp;"'")&amp;", p_email =&gt; "&amp;IF(TRIM(M298&amp;"")="","NULL","'"&amp;SUBSTITUTE(TRIM(M298),"'","''")&amp;"'")&amp;", p_observacion =&gt; "&amp;IF(TRIM(O298&amp;"")="","NULL","'"&amp;SUBSTITUTE(TRIM(O298),"'","''")&amp;"'")&amp;", p_direccion =&gt; "&amp;IF(TRIM(J298&amp;"")="","NULL","'"&amp;SUBSTITUTE(TRIM(J298),"'","''")&amp;"'")&amp;", p_referencia =&gt; "&amp;IF(TRIM(K298&amp;"")="","NULL","'"&amp;SUBSTITUTE(TRIM(K298),"'","''")&amp;"'")&amp;") AS resultado_cliente_"&amp;253&amp;";")</f>
        <v/>
      </c>
    </row>
    <row r="299" ht="15.75" customHeight="1" s="64">
      <c r="A299" s="25">
        <f>IF(AND(D299="",E299="",C299=""),"",IF(AND(D299="",E299=""),"FALTA razón social o nombres",IF(AND(C299&lt;&gt;"",COUNTIF($C$5:$C$549,C299)&gt;1),"DOCUMENTO DUPLICADO",IF(AND(B299="DNI",C299&lt;&gt;"",LEN(C299)&lt;&gt;8),"DNI debe tener 8 dígitos",IF(AND(B299="RUC",C299&lt;&gt;"",LEN(C299)&lt;&gt;11),"RUC debe tener 11 dígitos",IF(AND(N299&lt;&gt;"",COUNTIF($N$5:$N$549,N299)&gt;1),"CÓDIGO INTERNO DUPLICADO","OK"))))))</f>
        <v/>
      </c>
      <c r="B299" s="17" t="n"/>
      <c r="C299" s="23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23" t="n"/>
      <c r="M299" s="17" t="n"/>
      <c r="N299" s="23" t="n"/>
      <c r="O299" s="17" t="n"/>
      <c r="P299" s="28">
        <f>IF(A299&lt;&gt;"OK","","SELECT cli_crear_clientes(p_codigo_interno =&gt; "&amp;IF(TRIM(N299&amp;"")="","NULL","'"&amp;SUBSTITUTE(TRIM(N299),"'","''")&amp;"'")&amp;", p_razon_social =&gt; "&amp;IF(TRIM(D299&amp;"")="","NULL","'"&amp;SUBSTITUTE(TRIM(D299),"'","''")&amp;"'")&amp;", p_id_tipo_cliente =&gt; "&amp;IF(TRIM(I299&amp;"")="","NULL","(SELECT lo.id FROM gen_lista_opciones lo JOIN gen_lista l ON l.id = lo.id_lista WHERE l.nombre = 'TipoCliente' AND upper(lo.nombre) = upper('"&amp;SUBSTITUTE(TRIM(I299),"'","''")&amp;"') AND lo.estado = 1 LIMIT 1)")&amp;", p_id_tipo_persona =&gt; "&amp;IF(TRIM(H299&amp;"")="","NULL","(SELECT lo.id FROM gen_lista_opciones lo JOIN gen_lista l ON l.id = lo.id_lista WHERE l.nombre = 'TipoPersona' AND upper(lo.nombre) = upper('"&amp;SUBSTITUTE(TRIM(H299),"'","''")&amp;"') AND lo.estado = 1 LIMIT 1)")&amp;", p_nombres =&gt; "&amp;IF(TRIM(E299&amp;"")="","NULL","'"&amp;SUBSTITUTE(TRIM(E299),"'","''")&amp;"'")&amp;", p_apellido_paterno =&gt; "&amp;IF(TRIM(F299&amp;"")="","NULL","'"&amp;SUBSTITUTE(TRIM(F299),"'","''")&amp;"'")&amp;", p_apellido_materno =&gt; "&amp;IF(TRIM(G299&amp;"")="","NULL","'"&amp;SUBSTITUTE(TRIM(G299),"'","''")&amp;"'")&amp;", p_id_tipo_documento =&gt; "&amp;IF(TRIM(B299&amp;"")="","NULL","(SELECT lo.id FROM gen_lista_opciones lo JOIN gen_lista l ON l.id = lo.id_lista WHERE l.nombre = 'TipoDocumento' AND upper(lo.nombre) = upper('"&amp;SUBSTITUTE(TRIM(B299),"'","''")&amp;"') AND lo.estado = 1 LIMIT 1)")&amp;", p_numero_documento =&gt; "&amp;IF(TRIM(C299&amp;"")="","NULL","'"&amp;SUBSTITUTE(TRIM(C299),"'","''")&amp;"'")&amp;", p_telefono =&gt; "&amp;IF(TRIM(L299&amp;"")="","NULL","'"&amp;SUBSTITUTE(TRIM(L299),"'","''")&amp;"'")&amp;", p_email =&gt; "&amp;IF(TRIM(M299&amp;"")="","NULL","'"&amp;SUBSTITUTE(TRIM(M299),"'","''")&amp;"'")&amp;", p_observacion =&gt; "&amp;IF(TRIM(O299&amp;"")="","NULL","'"&amp;SUBSTITUTE(TRIM(O299),"'","''")&amp;"'")&amp;", p_direccion =&gt; "&amp;IF(TRIM(J299&amp;"")="","NULL","'"&amp;SUBSTITUTE(TRIM(J299),"'","''")&amp;"'")&amp;", p_referencia =&gt; "&amp;IF(TRIM(K299&amp;"")="","NULL","'"&amp;SUBSTITUTE(TRIM(K299),"'","''")&amp;"'")&amp;") AS resultado_cliente_"&amp;254&amp;";")</f>
        <v/>
      </c>
    </row>
    <row r="300" ht="15.75" customHeight="1" s="64">
      <c r="A300" s="25">
        <f>IF(AND(D300="",E300="",C300=""),"",IF(AND(D300="",E300=""),"FALTA razón social o nombres",IF(AND(C300&lt;&gt;"",COUNTIF($C$5:$C$549,C300)&gt;1),"DOCUMENTO DUPLICADO",IF(AND(B300="DNI",C300&lt;&gt;"",LEN(C300)&lt;&gt;8),"DNI debe tener 8 dígitos",IF(AND(B300="RUC",C300&lt;&gt;"",LEN(C300)&lt;&gt;11),"RUC debe tener 11 dígitos",IF(AND(N300&lt;&gt;"",COUNTIF($N$5:$N$549,N300)&gt;1),"CÓDIGO INTERNO DUPLICADO","OK"))))))</f>
        <v/>
      </c>
      <c r="B300" s="17" t="n"/>
      <c r="C300" s="23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23" t="n"/>
      <c r="M300" s="17" t="n"/>
      <c r="N300" s="23" t="n"/>
      <c r="O300" s="17" t="n"/>
      <c r="P300" s="28">
        <f>IF(A300&lt;&gt;"OK","","SELECT cli_crear_clientes(p_codigo_interno =&gt; "&amp;IF(TRIM(N300&amp;"")="","NULL","'"&amp;SUBSTITUTE(TRIM(N300),"'","''")&amp;"'")&amp;", p_razon_social =&gt; "&amp;IF(TRIM(D300&amp;"")="","NULL","'"&amp;SUBSTITUTE(TRIM(D300),"'","''")&amp;"'")&amp;", p_id_tipo_cliente =&gt; "&amp;IF(TRIM(I300&amp;"")="","NULL","(SELECT lo.id FROM gen_lista_opciones lo JOIN gen_lista l ON l.id = lo.id_lista WHERE l.nombre = 'TipoCliente' AND upper(lo.nombre) = upper('"&amp;SUBSTITUTE(TRIM(I300),"'","''")&amp;"') AND lo.estado = 1 LIMIT 1)")&amp;", p_id_tipo_persona =&gt; "&amp;IF(TRIM(H300&amp;"")="","NULL","(SELECT lo.id FROM gen_lista_opciones lo JOIN gen_lista l ON l.id = lo.id_lista WHERE l.nombre = 'TipoPersona' AND upper(lo.nombre) = upper('"&amp;SUBSTITUTE(TRIM(H300),"'","''")&amp;"') AND lo.estado = 1 LIMIT 1)")&amp;", p_nombres =&gt; "&amp;IF(TRIM(E300&amp;"")="","NULL","'"&amp;SUBSTITUTE(TRIM(E300),"'","''")&amp;"'")&amp;", p_apellido_paterno =&gt; "&amp;IF(TRIM(F300&amp;"")="","NULL","'"&amp;SUBSTITUTE(TRIM(F300),"'","''")&amp;"'")&amp;", p_apellido_materno =&gt; "&amp;IF(TRIM(G300&amp;"")="","NULL","'"&amp;SUBSTITUTE(TRIM(G300),"'","''")&amp;"'")&amp;", p_id_tipo_documento =&gt; "&amp;IF(TRIM(B300&amp;"")="","NULL","(SELECT lo.id FROM gen_lista_opciones lo JOIN gen_lista l ON l.id = lo.id_lista WHERE l.nombre = 'TipoDocumento' AND upper(lo.nombre) = upper('"&amp;SUBSTITUTE(TRIM(B300),"'","''")&amp;"') AND lo.estado = 1 LIMIT 1)")&amp;", p_numero_documento =&gt; "&amp;IF(TRIM(C300&amp;"")="","NULL","'"&amp;SUBSTITUTE(TRIM(C300),"'","''")&amp;"'")&amp;", p_telefono =&gt; "&amp;IF(TRIM(L300&amp;"")="","NULL","'"&amp;SUBSTITUTE(TRIM(L300),"'","''")&amp;"'")&amp;", p_email =&gt; "&amp;IF(TRIM(M300&amp;"")="","NULL","'"&amp;SUBSTITUTE(TRIM(M300),"'","''")&amp;"'")&amp;", p_observacion =&gt; "&amp;IF(TRIM(O300&amp;"")="","NULL","'"&amp;SUBSTITUTE(TRIM(O300),"'","''")&amp;"'")&amp;", p_direccion =&gt; "&amp;IF(TRIM(J300&amp;"")="","NULL","'"&amp;SUBSTITUTE(TRIM(J300),"'","''")&amp;"'")&amp;", p_referencia =&gt; "&amp;IF(TRIM(K300&amp;"")="","NULL","'"&amp;SUBSTITUTE(TRIM(K300),"'","''")&amp;"'")&amp;") AS resultado_cliente_"&amp;255&amp;";")</f>
        <v/>
      </c>
    </row>
    <row r="301" ht="15.75" customHeight="1" s="64">
      <c r="A301" s="25">
        <f>IF(AND(D301="",E301="",C301=""),"",IF(AND(D301="",E301=""),"FALTA razón social o nombres",IF(AND(C301&lt;&gt;"",COUNTIF($C$5:$C$549,C301)&gt;1),"DOCUMENTO DUPLICADO",IF(AND(B301="DNI",C301&lt;&gt;"",LEN(C301)&lt;&gt;8),"DNI debe tener 8 dígitos",IF(AND(B301="RUC",C301&lt;&gt;"",LEN(C301)&lt;&gt;11),"RUC debe tener 11 dígitos",IF(AND(N301&lt;&gt;"",COUNTIF($N$5:$N$549,N301)&gt;1),"CÓDIGO INTERNO DUPLICADO","OK"))))))</f>
        <v/>
      </c>
      <c r="B301" s="17" t="n"/>
      <c r="C301" s="23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23" t="n"/>
      <c r="M301" s="17" t="n"/>
      <c r="N301" s="23" t="n"/>
      <c r="O301" s="17" t="n"/>
      <c r="P301" s="28">
        <f>IF(A301&lt;&gt;"OK","","SELECT cli_crear_clientes(p_codigo_interno =&gt; "&amp;IF(TRIM(N301&amp;"")="","NULL","'"&amp;SUBSTITUTE(TRIM(N301),"'","''")&amp;"'")&amp;", p_razon_social =&gt; "&amp;IF(TRIM(D301&amp;"")="","NULL","'"&amp;SUBSTITUTE(TRIM(D301),"'","''")&amp;"'")&amp;", p_id_tipo_cliente =&gt; "&amp;IF(TRIM(I301&amp;"")="","NULL","(SELECT lo.id FROM gen_lista_opciones lo JOIN gen_lista l ON l.id = lo.id_lista WHERE l.nombre = 'TipoCliente' AND upper(lo.nombre) = upper('"&amp;SUBSTITUTE(TRIM(I301),"'","''")&amp;"') AND lo.estado = 1 LIMIT 1)")&amp;", p_id_tipo_persona =&gt; "&amp;IF(TRIM(H301&amp;"")="","NULL","(SELECT lo.id FROM gen_lista_opciones lo JOIN gen_lista l ON l.id = lo.id_lista WHERE l.nombre = 'TipoPersona' AND upper(lo.nombre) = upper('"&amp;SUBSTITUTE(TRIM(H301),"'","''")&amp;"') AND lo.estado = 1 LIMIT 1)")&amp;", p_nombres =&gt; "&amp;IF(TRIM(E301&amp;"")="","NULL","'"&amp;SUBSTITUTE(TRIM(E301),"'","''")&amp;"'")&amp;", p_apellido_paterno =&gt; "&amp;IF(TRIM(F301&amp;"")="","NULL","'"&amp;SUBSTITUTE(TRIM(F301),"'","''")&amp;"'")&amp;", p_apellido_materno =&gt; "&amp;IF(TRIM(G301&amp;"")="","NULL","'"&amp;SUBSTITUTE(TRIM(G301),"'","''")&amp;"'")&amp;", p_id_tipo_documento =&gt; "&amp;IF(TRIM(B301&amp;"")="","NULL","(SELECT lo.id FROM gen_lista_opciones lo JOIN gen_lista l ON l.id = lo.id_lista WHERE l.nombre = 'TipoDocumento' AND upper(lo.nombre) = upper('"&amp;SUBSTITUTE(TRIM(B301),"'","''")&amp;"') AND lo.estado = 1 LIMIT 1)")&amp;", p_numero_documento =&gt; "&amp;IF(TRIM(C301&amp;"")="","NULL","'"&amp;SUBSTITUTE(TRIM(C301),"'","''")&amp;"'")&amp;", p_telefono =&gt; "&amp;IF(TRIM(L301&amp;"")="","NULL","'"&amp;SUBSTITUTE(TRIM(L301),"'","''")&amp;"'")&amp;", p_email =&gt; "&amp;IF(TRIM(M301&amp;"")="","NULL","'"&amp;SUBSTITUTE(TRIM(M301),"'","''")&amp;"'")&amp;", p_observacion =&gt; "&amp;IF(TRIM(O301&amp;"")="","NULL","'"&amp;SUBSTITUTE(TRIM(O301),"'","''")&amp;"'")&amp;", p_direccion =&gt; "&amp;IF(TRIM(J301&amp;"")="","NULL","'"&amp;SUBSTITUTE(TRIM(J301),"'","''")&amp;"'")&amp;", p_referencia =&gt; "&amp;IF(TRIM(K301&amp;"")="","NULL","'"&amp;SUBSTITUTE(TRIM(K301),"'","''")&amp;"'")&amp;") AS resultado_cliente_"&amp;256&amp;";")</f>
        <v/>
      </c>
    </row>
    <row r="302" ht="15.75" customHeight="1" s="64">
      <c r="A302" s="25">
        <f>IF(AND(D302="",E302="",C302=""),"",IF(AND(D302="",E302=""),"FALTA razón social o nombres",IF(AND(C302&lt;&gt;"",COUNTIF($C$5:$C$549,C302)&gt;1),"DOCUMENTO DUPLICADO",IF(AND(B302="DNI",C302&lt;&gt;"",LEN(C302)&lt;&gt;8),"DNI debe tener 8 dígitos",IF(AND(B302="RUC",C302&lt;&gt;"",LEN(C302)&lt;&gt;11),"RUC debe tener 11 dígitos",IF(AND(N302&lt;&gt;"",COUNTIF($N$5:$N$549,N302)&gt;1),"CÓDIGO INTERNO DUPLICADO","OK"))))))</f>
        <v/>
      </c>
      <c r="B302" s="17" t="n"/>
      <c r="C302" s="23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23" t="n"/>
      <c r="M302" s="17" t="n"/>
      <c r="N302" s="23" t="n"/>
      <c r="O302" s="17" t="n"/>
      <c r="P302" s="28">
        <f>IF(A302&lt;&gt;"OK","","SELECT cli_crear_clientes(p_codigo_interno =&gt; "&amp;IF(TRIM(N302&amp;"")="","NULL","'"&amp;SUBSTITUTE(TRIM(N302),"'","''")&amp;"'")&amp;", p_razon_social =&gt; "&amp;IF(TRIM(D302&amp;"")="","NULL","'"&amp;SUBSTITUTE(TRIM(D302),"'","''")&amp;"'")&amp;", p_id_tipo_cliente =&gt; "&amp;IF(TRIM(I302&amp;"")="","NULL","(SELECT lo.id FROM gen_lista_opciones lo JOIN gen_lista l ON l.id = lo.id_lista WHERE l.nombre = 'TipoCliente' AND upper(lo.nombre) = upper('"&amp;SUBSTITUTE(TRIM(I302),"'","''")&amp;"') AND lo.estado = 1 LIMIT 1)")&amp;", p_id_tipo_persona =&gt; "&amp;IF(TRIM(H302&amp;"")="","NULL","(SELECT lo.id FROM gen_lista_opciones lo JOIN gen_lista l ON l.id = lo.id_lista WHERE l.nombre = 'TipoPersona' AND upper(lo.nombre) = upper('"&amp;SUBSTITUTE(TRIM(H302),"'","''")&amp;"') AND lo.estado = 1 LIMIT 1)")&amp;", p_nombres =&gt; "&amp;IF(TRIM(E302&amp;"")="","NULL","'"&amp;SUBSTITUTE(TRIM(E302),"'","''")&amp;"'")&amp;", p_apellido_paterno =&gt; "&amp;IF(TRIM(F302&amp;"")="","NULL","'"&amp;SUBSTITUTE(TRIM(F302),"'","''")&amp;"'")&amp;", p_apellido_materno =&gt; "&amp;IF(TRIM(G302&amp;"")="","NULL","'"&amp;SUBSTITUTE(TRIM(G302),"'","''")&amp;"'")&amp;", p_id_tipo_documento =&gt; "&amp;IF(TRIM(B302&amp;"")="","NULL","(SELECT lo.id FROM gen_lista_opciones lo JOIN gen_lista l ON l.id = lo.id_lista WHERE l.nombre = 'TipoDocumento' AND upper(lo.nombre) = upper('"&amp;SUBSTITUTE(TRIM(B302),"'","''")&amp;"') AND lo.estado = 1 LIMIT 1)")&amp;", p_numero_documento =&gt; "&amp;IF(TRIM(C302&amp;"")="","NULL","'"&amp;SUBSTITUTE(TRIM(C302),"'","''")&amp;"'")&amp;", p_telefono =&gt; "&amp;IF(TRIM(L302&amp;"")="","NULL","'"&amp;SUBSTITUTE(TRIM(L302),"'","''")&amp;"'")&amp;", p_email =&gt; "&amp;IF(TRIM(M302&amp;"")="","NULL","'"&amp;SUBSTITUTE(TRIM(M302),"'","''")&amp;"'")&amp;", p_observacion =&gt; "&amp;IF(TRIM(O302&amp;"")="","NULL","'"&amp;SUBSTITUTE(TRIM(O302),"'","''")&amp;"'")&amp;", p_direccion =&gt; "&amp;IF(TRIM(J302&amp;"")="","NULL","'"&amp;SUBSTITUTE(TRIM(J302),"'","''")&amp;"'")&amp;", p_referencia =&gt; "&amp;IF(TRIM(K302&amp;"")="","NULL","'"&amp;SUBSTITUTE(TRIM(K302),"'","''")&amp;"'")&amp;") AS resultado_cliente_"&amp;257&amp;";")</f>
        <v/>
      </c>
    </row>
    <row r="303" ht="15.75" customHeight="1" s="64">
      <c r="A303" s="25">
        <f>IF(AND(D303="",E303="",C303=""),"",IF(AND(D303="",E303=""),"FALTA razón social o nombres",IF(AND(C303&lt;&gt;"",COUNTIF($C$5:$C$549,C303)&gt;1),"DOCUMENTO DUPLICADO",IF(AND(B303="DNI",C303&lt;&gt;"",LEN(C303)&lt;&gt;8),"DNI debe tener 8 dígitos",IF(AND(B303="RUC",C303&lt;&gt;"",LEN(C303)&lt;&gt;11),"RUC debe tener 11 dígitos",IF(AND(N303&lt;&gt;"",COUNTIF($N$5:$N$549,N303)&gt;1),"CÓDIGO INTERNO DUPLICADO","OK"))))))</f>
        <v/>
      </c>
      <c r="B303" s="17" t="n"/>
      <c r="C303" s="23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23" t="n"/>
      <c r="M303" s="17" t="n"/>
      <c r="N303" s="23" t="n"/>
      <c r="O303" s="17" t="n"/>
      <c r="P303" s="28">
        <f>IF(A303&lt;&gt;"OK","","SELECT cli_crear_clientes(p_codigo_interno =&gt; "&amp;IF(TRIM(N303&amp;"")="","NULL","'"&amp;SUBSTITUTE(TRIM(N303),"'","''")&amp;"'")&amp;", p_razon_social =&gt; "&amp;IF(TRIM(D303&amp;"")="","NULL","'"&amp;SUBSTITUTE(TRIM(D303),"'","''")&amp;"'")&amp;", p_id_tipo_cliente =&gt; "&amp;IF(TRIM(I303&amp;"")="","NULL","(SELECT lo.id FROM gen_lista_opciones lo JOIN gen_lista l ON l.id = lo.id_lista WHERE l.nombre = 'TipoCliente' AND upper(lo.nombre) = upper('"&amp;SUBSTITUTE(TRIM(I303),"'","''")&amp;"') AND lo.estado = 1 LIMIT 1)")&amp;", p_id_tipo_persona =&gt; "&amp;IF(TRIM(H303&amp;"")="","NULL","(SELECT lo.id FROM gen_lista_opciones lo JOIN gen_lista l ON l.id = lo.id_lista WHERE l.nombre = 'TipoPersona' AND upper(lo.nombre) = upper('"&amp;SUBSTITUTE(TRIM(H303),"'","''")&amp;"') AND lo.estado = 1 LIMIT 1)")&amp;", p_nombres =&gt; "&amp;IF(TRIM(E303&amp;"")="","NULL","'"&amp;SUBSTITUTE(TRIM(E303),"'","''")&amp;"'")&amp;", p_apellido_paterno =&gt; "&amp;IF(TRIM(F303&amp;"")="","NULL","'"&amp;SUBSTITUTE(TRIM(F303),"'","''")&amp;"'")&amp;", p_apellido_materno =&gt; "&amp;IF(TRIM(G303&amp;"")="","NULL","'"&amp;SUBSTITUTE(TRIM(G303),"'","''")&amp;"'")&amp;", p_id_tipo_documento =&gt; "&amp;IF(TRIM(B303&amp;"")="","NULL","(SELECT lo.id FROM gen_lista_opciones lo JOIN gen_lista l ON l.id = lo.id_lista WHERE l.nombre = 'TipoDocumento' AND upper(lo.nombre) = upper('"&amp;SUBSTITUTE(TRIM(B303),"'","''")&amp;"') AND lo.estado = 1 LIMIT 1)")&amp;", p_numero_documento =&gt; "&amp;IF(TRIM(C303&amp;"")="","NULL","'"&amp;SUBSTITUTE(TRIM(C303),"'","''")&amp;"'")&amp;", p_telefono =&gt; "&amp;IF(TRIM(L303&amp;"")="","NULL","'"&amp;SUBSTITUTE(TRIM(L303),"'","''")&amp;"'")&amp;", p_email =&gt; "&amp;IF(TRIM(M303&amp;"")="","NULL","'"&amp;SUBSTITUTE(TRIM(M303),"'","''")&amp;"'")&amp;", p_observacion =&gt; "&amp;IF(TRIM(O303&amp;"")="","NULL","'"&amp;SUBSTITUTE(TRIM(O303),"'","''")&amp;"'")&amp;", p_direccion =&gt; "&amp;IF(TRIM(J303&amp;"")="","NULL","'"&amp;SUBSTITUTE(TRIM(J303),"'","''")&amp;"'")&amp;", p_referencia =&gt; "&amp;IF(TRIM(K303&amp;"")="","NULL","'"&amp;SUBSTITUTE(TRIM(K303),"'","''")&amp;"'")&amp;") AS resultado_cliente_"&amp;258&amp;";")</f>
        <v/>
      </c>
    </row>
    <row r="304" ht="15.75" customHeight="1" s="64">
      <c r="A304" s="25">
        <f>IF(AND(D304="",E304="",C304=""),"",IF(AND(D304="",E304=""),"FALTA razón social o nombres",IF(AND(C304&lt;&gt;"",COUNTIF($C$5:$C$549,C304)&gt;1),"DOCUMENTO DUPLICADO",IF(AND(B304="DNI",C304&lt;&gt;"",LEN(C304)&lt;&gt;8),"DNI debe tener 8 dígitos",IF(AND(B304="RUC",C304&lt;&gt;"",LEN(C304)&lt;&gt;11),"RUC debe tener 11 dígitos",IF(AND(N304&lt;&gt;"",COUNTIF($N$5:$N$549,N304)&gt;1),"CÓDIGO INTERNO DUPLICADO","OK"))))))</f>
        <v/>
      </c>
      <c r="B304" s="17" t="n"/>
      <c r="C304" s="23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23" t="n"/>
      <c r="M304" s="17" t="n"/>
      <c r="N304" s="23" t="n"/>
      <c r="O304" s="17" t="n"/>
      <c r="P304" s="28">
        <f>IF(A304&lt;&gt;"OK","","SELECT cli_crear_clientes(p_codigo_interno =&gt; "&amp;IF(TRIM(N304&amp;"")="","NULL","'"&amp;SUBSTITUTE(TRIM(N304),"'","''")&amp;"'")&amp;", p_razon_social =&gt; "&amp;IF(TRIM(D304&amp;"")="","NULL","'"&amp;SUBSTITUTE(TRIM(D304),"'","''")&amp;"'")&amp;", p_id_tipo_cliente =&gt; "&amp;IF(TRIM(I304&amp;"")="","NULL","(SELECT lo.id FROM gen_lista_opciones lo JOIN gen_lista l ON l.id = lo.id_lista WHERE l.nombre = 'TipoCliente' AND upper(lo.nombre) = upper('"&amp;SUBSTITUTE(TRIM(I304),"'","''")&amp;"') AND lo.estado = 1 LIMIT 1)")&amp;", p_id_tipo_persona =&gt; "&amp;IF(TRIM(H304&amp;"")="","NULL","(SELECT lo.id FROM gen_lista_opciones lo JOIN gen_lista l ON l.id = lo.id_lista WHERE l.nombre = 'TipoPersona' AND upper(lo.nombre) = upper('"&amp;SUBSTITUTE(TRIM(H304),"'","''")&amp;"') AND lo.estado = 1 LIMIT 1)")&amp;", p_nombres =&gt; "&amp;IF(TRIM(E304&amp;"")="","NULL","'"&amp;SUBSTITUTE(TRIM(E304),"'","''")&amp;"'")&amp;", p_apellido_paterno =&gt; "&amp;IF(TRIM(F304&amp;"")="","NULL","'"&amp;SUBSTITUTE(TRIM(F304),"'","''")&amp;"'")&amp;", p_apellido_materno =&gt; "&amp;IF(TRIM(G304&amp;"")="","NULL","'"&amp;SUBSTITUTE(TRIM(G304),"'","''")&amp;"'")&amp;", p_id_tipo_documento =&gt; "&amp;IF(TRIM(B304&amp;"")="","NULL","(SELECT lo.id FROM gen_lista_opciones lo JOIN gen_lista l ON l.id = lo.id_lista WHERE l.nombre = 'TipoDocumento' AND upper(lo.nombre) = upper('"&amp;SUBSTITUTE(TRIM(B304),"'","''")&amp;"') AND lo.estado = 1 LIMIT 1)")&amp;", p_numero_documento =&gt; "&amp;IF(TRIM(C304&amp;"")="","NULL","'"&amp;SUBSTITUTE(TRIM(C304),"'","''")&amp;"'")&amp;", p_telefono =&gt; "&amp;IF(TRIM(L304&amp;"")="","NULL","'"&amp;SUBSTITUTE(TRIM(L304),"'","''")&amp;"'")&amp;", p_email =&gt; "&amp;IF(TRIM(M304&amp;"")="","NULL","'"&amp;SUBSTITUTE(TRIM(M304),"'","''")&amp;"'")&amp;", p_observacion =&gt; "&amp;IF(TRIM(O304&amp;"")="","NULL","'"&amp;SUBSTITUTE(TRIM(O304),"'","''")&amp;"'")&amp;", p_direccion =&gt; "&amp;IF(TRIM(J304&amp;"")="","NULL","'"&amp;SUBSTITUTE(TRIM(J304),"'","''")&amp;"'")&amp;", p_referencia =&gt; "&amp;IF(TRIM(K304&amp;"")="","NULL","'"&amp;SUBSTITUTE(TRIM(K304),"'","''")&amp;"'")&amp;") AS resultado_cliente_"&amp;259&amp;";")</f>
        <v/>
      </c>
    </row>
    <row r="305" ht="15.75" customHeight="1" s="64">
      <c r="A305" s="25">
        <f>IF(AND(D305="",E305="",C305=""),"",IF(AND(D305="",E305=""),"FALTA razón social o nombres",IF(AND(C305&lt;&gt;"",COUNTIF($C$5:$C$549,C305)&gt;1),"DOCUMENTO DUPLICADO",IF(AND(B305="DNI",C305&lt;&gt;"",LEN(C305)&lt;&gt;8),"DNI debe tener 8 dígitos",IF(AND(B305="RUC",C305&lt;&gt;"",LEN(C305)&lt;&gt;11),"RUC debe tener 11 dígitos",IF(AND(N305&lt;&gt;"",COUNTIF($N$5:$N$549,N305)&gt;1),"CÓDIGO INTERNO DUPLICADO","OK"))))))</f>
        <v/>
      </c>
      <c r="B305" s="17" t="n"/>
      <c r="C305" s="23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23" t="n"/>
      <c r="M305" s="17" t="n"/>
      <c r="N305" s="23" t="n"/>
      <c r="O305" s="17" t="n"/>
      <c r="P305" s="28">
        <f>IF(A305&lt;&gt;"OK","","SELECT cli_crear_clientes(p_codigo_interno =&gt; "&amp;IF(TRIM(N305&amp;"")="","NULL","'"&amp;SUBSTITUTE(TRIM(N305),"'","''")&amp;"'")&amp;", p_razon_social =&gt; "&amp;IF(TRIM(D305&amp;"")="","NULL","'"&amp;SUBSTITUTE(TRIM(D305),"'","''")&amp;"'")&amp;", p_id_tipo_cliente =&gt; "&amp;IF(TRIM(I305&amp;"")="","NULL","(SELECT lo.id FROM gen_lista_opciones lo JOIN gen_lista l ON l.id = lo.id_lista WHERE l.nombre = 'TipoCliente' AND upper(lo.nombre) = upper('"&amp;SUBSTITUTE(TRIM(I305),"'","''")&amp;"') AND lo.estado = 1 LIMIT 1)")&amp;", p_id_tipo_persona =&gt; "&amp;IF(TRIM(H305&amp;"")="","NULL","(SELECT lo.id FROM gen_lista_opciones lo JOIN gen_lista l ON l.id = lo.id_lista WHERE l.nombre = 'TipoPersona' AND upper(lo.nombre) = upper('"&amp;SUBSTITUTE(TRIM(H305),"'","''")&amp;"') AND lo.estado = 1 LIMIT 1)")&amp;", p_nombres =&gt; "&amp;IF(TRIM(E305&amp;"")="","NULL","'"&amp;SUBSTITUTE(TRIM(E305),"'","''")&amp;"'")&amp;", p_apellido_paterno =&gt; "&amp;IF(TRIM(F305&amp;"")="","NULL","'"&amp;SUBSTITUTE(TRIM(F305),"'","''")&amp;"'")&amp;", p_apellido_materno =&gt; "&amp;IF(TRIM(G305&amp;"")="","NULL","'"&amp;SUBSTITUTE(TRIM(G305),"'","''")&amp;"'")&amp;", p_id_tipo_documento =&gt; "&amp;IF(TRIM(B305&amp;"")="","NULL","(SELECT lo.id FROM gen_lista_opciones lo JOIN gen_lista l ON l.id = lo.id_lista WHERE l.nombre = 'TipoDocumento' AND upper(lo.nombre) = upper('"&amp;SUBSTITUTE(TRIM(B305),"'","''")&amp;"') AND lo.estado = 1 LIMIT 1)")&amp;", p_numero_documento =&gt; "&amp;IF(TRIM(C305&amp;"")="","NULL","'"&amp;SUBSTITUTE(TRIM(C305),"'","''")&amp;"'")&amp;", p_telefono =&gt; "&amp;IF(TRIM(L305&amp;"")="","NULL","'"&amp;SUBSTITUTE(TRIM(L305),"'","''")&amp;"'")&amp;", p_email =&gt; "&amp;IF(TRIM(M305&amp;"")="","NULL","'"&amp;SUBSTITUTE(TRIM(M305),"'","''")&amp;"'")&amp;", p_observacion =&gt; "&amp;IF(TRIM(O305&amp;"")="","NULL","'"&amp;SUBSTITUTE(TRIM(O305),"'","''")&amp;"'")&amp;", p_direccion =&gt; "&amp;IF(TRIM(J305&amp;"")="","NULL","'"&amp;SUBSTITUTE(TRIM(J305),"'","''")&amp;"'")&amp;", p_referencia =&gt; "&amp;IF(TRIM(K305&amp;"")="","NULL","'"&amp;SUBSTITUTE(TRIM(K305),"'","''")&amp;"'")&amp;") AS resultado_cliente_"&amp;260&amp;";")</f>
        <v/>
      </c>
    </row>
    <row r="306" ht="15.75" customHeight="1" s="64">
      <c r="A306" s="25">
        <f>IF(AND(D306="",E306="",C306=""),"",IF(AND(D306="",E306=""),"FALTA razón social o nombres",IF(AND(C306&lt;&gt;"",COUNTIF($C$5:$C$549,C306)&gt;1),"DOCUMENTO DUPLICADO",IF(AND(B306="DNI",C306&lt;&gt;"",LEN(C306)&lt;&gt;8),"DNI debe tener 8 dígitos",IF(AND(B306="RUC",C306&lt;&gt;"",LEN(C306)&lt;&gt;11),"RUC debe tener 11 dígitos",IF(AND(N306&lt;&gt;"",COUNTIF($N$5:$N$549,N306)&gt;1),"CÓDIGO INTERNO DUPLICADO","OK"))))))</f>
        <v/>
      </c>
      <c r="B306" s="17" t="n"/>
      <c r="C306" s="23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23" t="n"/>
      <c r="M306" s="17" t="n"/>
      <c r="N306" s="23" t="n"/>
      <c r="O306" s="17" t="n"/>
      <c r="P306" s="28">
        <f>IF(A306&lt;&gt;"OK","","SELECT cli_crear_clientes(p_codigo_interno =&gt; "&amp;IF(TRIM(N306&amp;"")="","NULL","'"&amp;SUBSTITUTE(TRIM(N306),"'","''")&amp;"'")&amp;", p_razon_social =&gt; "&amp;IF(TRIM(D306&amp;"")="","NULL","'"&amp;SUBSTITUTE(TRIM(D306),"'","''")&amp;"'")&amp;", p_id_tipo_cliente =&gt; "&amp;IF(TRIM(I306&amp;"")="","NULL","(SELECT lo.id FROM gen_lista_opciones lo JOIN gen_lista l ON l.id = lo.id_lista WHERE l.nombre = 'TipoCliente' AND upper(lo.nombre) = upper('"&amp;SUBSTITUTE(TRIM(I306),"'","''")&amp;"') AND lo.estado = 1 LIMIT 1)")&amp;", p_id_tipo_persona =&gt; "&amp;IF(TRIM(H306&amp;"")="","NULL","(SELECT lo.id FROM gen_lista_opciones lo JOIN gen_lista l ON l.id = lo.id_lista WHERE l.nombre = 'TipoPersona' AND upper(lo.nombre) = upper('"&amp;SUBSTITUTE(TRIM(H306),"'","''")&amp;"') AND lo.estado = 1 LIMIT 1)")&amp;", p_nombres =&gt; "&amp;IF(TRIM(E306&amp;"")="","NULL","'"&amp;SUBSTITUTE(TRIM(E306),"'","''")&amp;"'")&amp;", p_apellido_paterno =&gt; "&amp;IF(TRIM(F306&amp;"")="","NULL","'"&amp;SUBSTITUTE(TRIM(F306),"'","''")&amp;"'")&amp;", p_apellido_materno =&gt; "&amp;IF(TRIM(G306&amp;"")="","NULL","'"&amp;SUBSTITUTE(TRIM(G306),"'","''")&amp;"'")&amp;", p_id_tipo_documento =&gt; "&amp;IF(TRIM(B306&amp;"")="","NULL","(SELECT lo.id FROM gen_lista_opciones lo JOIN gen_lista l ON l.id = lo.id_lista WHERE l.nombre = 'TipoDocumento' AND upper(lo.nombre) = upper('"&amp;SUBSTITUTE(TRIM(B306),"'","''")&amp;"') AND lo.estado = 1 LIMIT 1)")&amp;", p_numero_documento =&gt; "&amp;IF(TRIM(C306&amp;"")="","NULL","'"&amp;SUBSTITUTE(TRIM(C306),"'","''")&amp;"'")&amp;", p_telefono =&gt; "&amp;IF(TRIM(L306&amp;"")="","NULL","'"&amp;SUBSTITUTE(TRIM(L306),"'","''")&amp;"'")&amp;", p_email =&gt; "&amp;IF(TRIM(M306&amp;"")="","NULL","'"&amp;SUBSTITUTE(TRIM(M306),"'","''")&amp;"'")&amp;", p_observacion =&gt; "&amp;IF(TRIM(O306&amp;"")="","NULL","'"&amp;SUBSTITUTE(TRIM(O306),"'","''")&amp;"'")&amp;", p_direccion =&gt; "&amp;IF(TRIM(J306&amp;"")="","NULL","'"&amp;SUBSTITUTE(TRIM(J306),"'","''")&amp;"'")&amp;", p_referencia =&gt; "&amp;IF(TRIM(K306&amp;"")="","NULL","'"&amp;SUBSTITUTE(TRIM(K306),"'","''")&amp;"'")&amp;") AS resultado_cliente_"&amp;261&amp;";")</f>
        <v/>
      </c>
    </row>
    <row r="307" ht="15.75" customHeight="1" s="64">
      <c r="A307" s="25">
        <f>IF(AND(D307="",E307="",C307=""),"",IF(AND(D307="",E307=""),"FALTA razón social o nombres",IF(AND(C307&lt;&gt;"",COUNTIF($C$5:$C$549,C307)&gt;1),"DOCUMENTO DUPLICADO",IF(AND(B307="DNI",C307&lt;&gt;"",LEN(C307)&lt;&gt;8),"DNI debe tener 8 dígitos",IF(AND(B307="RUC",C307&lt;&gt;"",LEN(C307)&lt;&gt;11),"RUC debe tener 11 dígitos",IF(AND(N307&lt;&gt;"",COUNTIF($N$5:$N$549,N307)&gt;1),"CÓDIGO INTERNO DUPLICADO","OK"))))))</f>
        <v/>
      </c>
      <c r="B307" s="17" t="n"/>
      <c r="C307" s="23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23" t="n"/>
      <c r="M307" s="17" t="n"/>
      <c r="N307" s="23" t="n"/>
      <c r="O307" s="17" t="n"/>
      <c r="P307" s="28">
        <f>IF(A307&lt;&gt;"OK","","SELECT cli_crear_clientes(p_codigo_interno =&gt; "&amp;IF(TRIM(N307&amp;"")="","NULL","'"&amp;SUBSTITUTE(TRIM(N307),"'","''")&amp;"'")&amp;", p_razon_social =&gt; "&amp;IF(TRIM(D307&amp;"")="","NULL","'"&amp;SUBSTITUTE(TRIM(D307),"'","''")&amp;"'")&amp;", p_id_tipo_cliente =&gt; "&amp;IF(TRIM(I307&amp;"")="","NULL","(SELECT lo.id FROM gen_lista_opciones lo JOIN gen_lista l ON l.id = lo.id_lista WHERE l.nombre = 'TipoCliente' AND upper(lo.nombre) = upper('"&amp;SUBSTITUTE(TRIM(I307),"'","''")&amp;"') AND lo.estado = 1 LIMIT 1)")&amp;", p_id_tipo_persona =&gt; "&amp;IF(TRIM(H307&amp;"")="","NULL","(SELECT lo.id FROM gen_lista_opciones lo JOIN gen_lista l ON l.id = lo.id_lista WHERE l.nombre = 'TipoPersona' AND upper(lo.nombre) = upper('"&amp;SUBSTITUTE(TRIM(H307),"'","''")&amp;"') AND lo.estado = 1 LIMIT 1)")&amp;", p_nombres =&gt; "&amp;IF(TRIM(E307&amp;"")="","NULL","'"&amp;SUBSTITUTE(TRIM(E307),"'","''")&amp;"'")&amp;", p_apellido_paterno =&gt; "&amp;IF(TRIM(F307&amp;"")="","NULL","'"&amp;SUBSTITUTE(TRIM(F307),"'","''")&amp;"'")&amp;", p_apellido_materno =&gt; "&amp;IF(TRIM(G307&amp;"")="","NULL","'"&amp;SUBSTITUTE(TRIM(G307),"'","''")&amp;"'")&amp;", p_id_tipo_documento =&gt; "&amp;IF(TRIM(B307&amp;"")="","NULL","(SELECT lo.id FROM gen_lista_opciones lo JOIN gen_lista l ON l.id = lo.id_lista WHERE l.nombre = 'TipoDocumento' AND upper(lo.nombre) = upper('"&amp;SUBSTITUTE(TRIM(B307),"'","''")&amp;"') AND lo.estado = 1 LIMIT 1)")&amp;", p_numero_documento =&gt; "&amp;IF(TRIM(C307&amp;"")="","NULL","'"&amp;SUBSTITUTE(TRIM(C307),"'","''")&amp;"'")&amp;", p_telefono =&gt; "&amp;IF(TRIM(L307&amp;"")="","NULL","'"&amp;SUBSTITUTE(TRIM(L307),"'","''")&amp;"'")&amp;", p_email =&gt; "&amp;IF(TRIM(M307&amp;"")="","NULL","'"&amp;SUBSTITUTE(TRIM(M307),"'","''")&amp;"'")&amp;", p_observacion =&gt; "&amp;IF(TRIM(O307&amp;"")="","NULL","'"&amp;SUBSTITUTE(TRIM(O307),"'","''")&amp;"'")&amp;", p_direccion =&gt; "&amp;IF(TRIM(J307&amp;"")="","NULL","'"&amp;SUBSTITUTE(TRIM(J307),"'","''")&amp;"'")&amp;", p_referencia =&gt; "&amp;IF(TRIM(K307&amp;"")="","NULL","'"&amp;SUBSTITUTE(TRIM(K307),"'","''")&amp;"'")&amp;") AS resultado_cliente_"&amp;262&amp;";")</f>
        <v/>
      </c>
    </row>
    <row r="308" ht="15.75" customHeight="1" s="64">
      <c r="A308" s="25">
        <f>IF(AND(D308="",E308="",C308=""),"",IF(AND(D308="",E308=""),"FALTA razón social o nombres",IF(AND(C308&lt;&gt;"",COUNTIF($C$5:$C$549,C308)&gt;1),"DOCUMENTO DUPLICADO",IF(AND(B308="DNI",C308&lt;&gt;"",LEN(C308)&lt;&gt;8),"DNI debe tener 8 dígitos",IF(AND(B308="RUC",C308&lt;&gt;"",LEN(C308)&lt;&gt;11),"RUC debe tener 11 dígitos",IF(AND(N308&lt;&gt;"",COUNTIF($N$5:$N$549,N308)&gt;1),"CÓDIGO INTERNO DUPLICADO","OK"))))))</f>
        <v/>
      </c>
      <c r="B308" s="17" t="n"/>
      <c r="C308" s="23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23" t="n"/>
      <c r="M308" s="17" t="n"/>
      <c r="N308" s="23" t="n"/>
      <c r="O308" s="17" t="n"/>
      <c r="P308" s="28">
        <f>IF(A308&lt;&gt;"OK","","SELECT cli_crear_clientes(p_codigo_interno =&gt; "&amp;IF(TRIM(N308&amp;"")="","NULL","'"&amp;SUBSTITUTE(TRIM(N308),"'","''")&amp;"'")&amp;", p_razon_social =&gt; "&amp;IF(TRIM(D308&amp;"")="","NULL","'"&amp;SUBSTITUTE(TRIM(D308),"'","''")&amp;"'")&amp;", p_id_tipo_cliente =&gt; "&amp;IF(TRIM(I308&amp;"")="","NULL","(SELECT lo.id FROM gen_lista_opciones lo JOIN gen_lista l ON l.id = lo.id_lista WHERE l.nombre = 'TipoCliente' AND upper(lo.nombre) = upper('"&amp;SUBSTITUTE(TRIM(I308),"'","''")&amp;"') AND lo.estado = 1 LIMIT 1)")&amp;", p_id_tipo_persona =&gt; "&amp;IF(TRIM(H308&amp;"")="","NULL","(SELECT lo.id FROM gen_lista_opciones lo JOIN gen_lista l ON l.id = lo.id_lista WHERE l.nombre = 'TipoPersona' AND upper(lo.nombre) = upper('"&amp;SUBSTITUTE(TRIM(H308),"'","''")&amp;"') AND lo.estado = 1 LIMIT 1)")&amp;", p_nombres =&gt; "&amp;IF(TRIM(E308&amp;"")="","NULL","'"&amp;SUBSTITUTE(TRIM(E308),"'","''")&amp;"'")&amp;", p_apellido_paterno =&gt; "&amp;IF(TRIM(F308&amp;"")="","NULL","'"&amp;SUBSTITUTE(TRIM(F308),"'","''")&amp;"'")&amp;", p_apellido_materno =&gt; "&amp;IF(TRIM(G308&amp;"")="","NULL","'"&amp;SUBSTITUTE(TRIM(G308),"'","''")&amp;"'")&amp;", p_id_tipo_documento =&gt; "&amp;IF(TRIM(B308&amp;"")="","NULL","(SELECT lo.id FROM gen_lista_opciones lo JOIN gen_lista l ON l.id = lo.id_lista WHERE l.nombre = 'TipoDocumento' AND upper(lo.nombre) = upper('"&amp;SUBSTITUTE(TRIM(B308),"'","''")&amp;"') AND lo.estado = 1 LIMIT 1)")&amp;", p_numero_documento =&gt; "&amp;IF(TRIM(C308&amp;"")="","NULL","'"&amp;SUBSTITUTE(TRIM(C308),"'","''")&amp;"'")&amp;", p_telefono =&gt; "&amp;IF(TRIM(L308&amp;"")="","NULL","'"&amp;SUBSTITUTE(TRIM(L308),"'","''")&amp;"'")&amp;", p_email =&gt; "&amp;IF(TRIM(M308&amp;"")="","NULL","'"&amp;SUBSTITUTE(TRIM(M308),"'","''")&amp;"'")&amp;", p_observacion =&gt; "&amp;IF(TRIM(O308&amp;"")="","NULL","'"&amp;SUBSTITUTE(TRIM(O308),"'","''")&amp;"'")&amp;", p_direccion =&gt; "&amp;IF(TRIM(J308&amp;"")="","NULL","'"&amp;SUBSTITUTE(TRIM(J308),"'","''")&amp;"'")&amp;", p_referencia =&gt; "&amp;IF(TRIM(K308&amp;"")="","NULL","'"&amp;SUBSTITUTE(TRIM(K308),"'","''")&amp;"'")&amp;") AS resultado_cliente_"&amp;263&amp;";")</f>
        <v/>
      </c>
    </row>
    <row r="309" ht="15.75" customHeight="1" s="64">
      <c r="A309" s="25">
        <f>IF(AND(D309="",E309="",C309=""),"",IF(AND(D309="",E309=""),"FALTA razón social o nombres",IF(AND(C309&lt;&gt;"",COUNTIF($C$5:$C$549,C309)&gt;1),"DOCUMENTO DUPLICADO",IF(AND(B309="DNI",C309&lt;&gt;"",LEN(C309)&lt;&gt;8),"DNI debe tener 8 dígitos",IF(AND(B309="RUC",C309&lt;&gt;"",LEN(C309)&lt;&gt;11),"RUC debe tener 11 dígitos",IF(AND(N309&lt;&gt;"",COUNTIF($N$5:$N$549,N309)&gt;1),"CÓDIGO INTERNO DUPLICADO","OK"))))))</f>
        <v/>
      </c>
      <c r="B309" s="17" t="n"/>
      <c r="C309" s="23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23" t="n"/>
      <c r="M309" s="17" t="n"/>
      <c r="N309" s="23" t="n"/>
      <c r="O309" s="17" t="n"/>
      <c r="P309" s="28">
        <f>IF(A309&lt;&gt;"OK","","SELECT cli_crear_clientes(p_codigo_interno =&gt; "&amp;IF(TRIM(N309&amp;"")="","NULL","'"&amp;SUBSTITUTE(TRIM(N309),"'","''")&amp;"'")&amp;", p_razon_social =&gt; "&amp;IF(TRIM(D309&amp;"")="","NULL","'"&amp;SUBSTITUTE(TRIM(D309),"'","''")&amp;"'")&amp;", p_id_tipo_cliente =&gt; "&amp;IF(TRIM(I309&amp;"")="","NULL","(SELECT lo.id FROM gen_lista_opciones lo JOIN gen_lista l ON l.id = lo.id_lista WHERE l.nombre = 'TipoCliente' AND upper(lo.nombre) = upper('"&amp;SUBSTITUTE(TRIM(I309),"'","''")&amp;"') AND lo.estado = 1 LIMIT 1)")&amp;", p_id_tipo_persona =&gt; "&amp;IF(TRIM(H309&amp;"")="","NULL","(SELECT lo.id FROM gen_lista_opciones lo JOIN gen_lista l ON l.id = lo.id_lista WHERE l.nombre = 'TipoPersona' AND upper(lo.nombre) = upper('"&amp;SUBSTITUTE(TRIM(H309),"'","''")&amp;"') AND lo.estado = 1 LIMIT 1)")&amp;", p_nombres =&gt; "&amp;IF(TRIM(E309&amp;"")="","NULL","'"&amp;SUBSTITUTE(TRIM(E309),"'","''")&amp;"'")&amp;", p_apellido_paterno =&gt; "&amp;IF(TRIM(F309&amp;"")="","NULL","'"&amp;SUBSTITUTE(TRIM(F309),"'","''")&amp;"'")&amp;", p_apellido_materno =&gt; "&amp;IF(TRIM(G309&amp;"")="","NULL","'"&amp;SUBSTITUTE(TRIM(G309),"'","''")&amp;"'")&amp;", p_id_tipo_documento =&gt; "&amp;IF(TRIM(B309&amp;"")="","NULL","(SELECT lo.id FROM gen_lista_opciones lo JOIN gen_lista l ON l.id = lo.id_lista WHERE l.nombre = 'TipoDocumento' AND upper(lo.nombre) = upper('"&amp;SUBSTITUTE(TRIM(B309),"'","''")&amp;"') AND lo.estado = 1 LIMIT 1)")&amp;", p_numero_documento =&gt; "&amp;IF(TRIM(C309&amp;"")="","NULL","'"&amp;SUBSTITUTE(TRIM(C309),"'","''")&amp;"'")&amp;", p_telefono =&gt; "&amp;IF(TRIM(L309&amp;"")="","NULL","'"&amp;SUBSTITUTE(TRIM(L309),"'","''")&amp;"'")&amp;", p_email =&gt; "&amp;IF(TRIM(M309&amp;"")="","NULL","'"&amp;SUBSTITUTE(TRIM(M309),"'","''")&amp;"'")&amp;", p_observacion =&gt; "&amp;IF(TRIM(O309&amp;"")="","NULL","'"&amp;SUBSTITUTE(TRIM(O309),"'","''")&amp;"'")&amp;", p_direccion =&gt; "&amp;IF(TRIM(J309&amp;"")="","NULL","'"&amp;SUBSTITUTE(TRIM(J309),"'","''")&amp;"'")&amp;", p_referencia =&gt; "&amp;IF(TRIM(K309&amp;"")="","NULL","'"&amp;SUBSTITUTE(TRIM(K309),"'","''")&amp;"'")&amp;") AS resultado_cliente_"&amp;264&amp;";")</f>
        <v/>
      </c>
    </row>
    <row r="310" ht="15.75" customHeight="1" s="64">
      <c r="A310" s="25">
        <f>IF(AND(D310="",E310="",C310=""),"",IF(AND(D310="",E310=""),"FALTA razón social o nombres",IF(AND(C310&lt;&gt;"",COUNTIF($C$5:$C$549,C310)&gt;1),"DOCUMENTO DUPLICADO",IF(AND(B310="DNI",C310&lt;&gt;"",LEN(C310)&lt;&gt;8),"DNI debe tener 8 dígitos",IF(AND(B310="RUC",C310&lt;&gt;"",LEN(C310)&lt;&gt;11),"RUC debe tener 11 dígitos",IF(AND(N310&lt;&gt;"",COUNTIF($N$5:$N$549,N310)&gt;1),"CÓDIGO INTERNO DUPLICADO","OK"))))))</f>
        <v/>
      </c>
      <c r="B310" s="17" t="n"/>
      <c r="C310" s="23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23" t="n"/>
      <c r="M310" s="17" t="n"/>
      <c r="N310" s="23" t="n"/>
      <c r="O310" s="17" t="n"/>
      <c r="P310" s="28">
        <f>IF(A310&lt;&gt;"OK","","SELECT cli_crear_clientes(p_codigo_interno =&gt; "&amp;IF(TRIM(N310&amp;"")="","NULL","'"&amp;SUBSTITUTE(TRIM(N310),"'","''")&amp;"'")&amp;", p_razon_social =&gt; "&amp;IF(TRIM(D310&amp;"")="","NULL","'"&amp;SUBSTITUTE(TRIM(D310),"'","''")&amp;"'")&amp;", p_id_tipo_cliente =&gt; "&amp;IF(TRIM(I310&amp;"")="","NULL","(SELECT lo.id FROM gen_lista_opciones lo JOIN gen_lista l ON l.id = lo.id_lista WHERE l.nombre = 'TipoCliente' AND upper(lo.nombre) = upper('"&amp;SUBSTITUTE(TRIM(I310),"'","''")&amp;"') AND lo.estado = 1 LIMIT 1)")&amp;", p_id_tipo_persona =&gt; "&amp;IF(TRIM(H310&amp;"")="","NULL","(SELECT lo.id FROM gen_lista_opciones lo JOIN gen_lista l ON l.id = lo.id_lista WHERE l.nombre = 'TipoPersona' AND upper(lo.nombre) = upper('"&amp;SUBSTITUTE(TRIM(H310),"'","''")&amp;"') AND lo.estado = 1 LIMIT 1)")&amp;", p_nombres =&gt; "&amp;IF(TRIM(E310&amp;"")="","NULL","'"&amp;SUBSTITUTE(TRIM(E310),"'","''")&amp;"'")&amp;", p_apellido_paterno =&gt; "&amp;IF(TRIM(F310&amp;"")="","NULL","'"&amp;SUBSTITUTE(TRIM(F310),"'","''")&amp;"'")&amp;", p_apellido_materno =&gt; "&amp;IF(TRIM(G310&amp;"")="","NULL","'"&amp;SUBSTITUTE(TRIM(G310),"'","''")&amp;"'")&amp;", p_id_tipo_documento =&gt; "&amp;IF(TRIM(B310&amp;"")="","NULL","(SELECT lo.id FROM gen_lista_opciones lo JOIN gen_lista l ON l.id = lo.id_lista WHERE l.nombre = 'TipoDocumento' AND upper(lo.nombre) = upper('"&amp;SUBSTITUTE(TRIM(B310),"'","''")&amp;"') AND lo.estado = 1 LIMIT 1)")&amp;", p_numero_documento =&gt; "&amp;IF(TRIM(C310&amp;"")="","NULL","'"&amp;SUBSTITUTE(TRIM(C310),"'","''")&amp;"'")&amp;", p_telefono =&gt; "&amp;IF(TRIM(L310&amp;"")="","NULL","'"&amp;SUBSTITUTE(TRIM(L310),"'","''")&amp;"'")&amp;", p_email =&gt; "&amp;IF(TRIM(M310&amp;"")="","NULL","'"&amp;SUBSTITUTE(TRIM(M310),"'","''")&amp;"'")&amp;", p_observacion =&gt; "&amp;IF(TRIM(O310&amp;"")="","NULL","'"&amp;SUBSTITUTE(TRIM(O310),"'","''")&amp;"'")&amp;", p_direccion =&gt; "&amp;IF(TRIM(J310&amp;"")="","NULL","'"&amp;SUBSTITUTE(TRIM(J310),"'","''")&amp;"'")&amp;", p_referencia =&gt; "&amp;IF(TRIM(K310&amp;"")="","NULL","'"&amp;SUBSTITUTE(TRIM(K310),"'","''")&amp;"'")&amp;") AS resultado_cliente_"&amp;265&amp;";")</f>
        <v/>
      </c>
    </row>
    <row r="311" ht="15.75" customHeight="1" s="64">
      <c r="A311" s="25">
        <f>IF(AND(D311="",E311="",C311=""),"",IF(AND(D311="",E311=""),"FALTA razón social o nombres",IF(AND(C311&lt;&gt;"",COUNTIF($C$5:$C$549,C311)&gt;1),"DOCUMENTO DUPLICADO",IF(AND(B311="DNI",C311&lt;&gt;"",LEN(C311)&lt;&gt;8),"DNI debe tener 8 dígitos",IF(AND(B311="RUC",C311&lt;&gt;"",LEN(C311)&lt;&gt;11),"RUC debe tener 11 dígitos",IF(AND(N311&lt;&gt;"",COUNTIF($N$5:$N$549,N311)&gt;1),"CÓDIGO INTERNO DUPLICADO","OK"))))))</f>
        <v/>
      </c>
      <c r="B311" s="17" t="n"/>
      <c r="C311" s="23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23" t="n"/>
      <c r="M311" s="17" t="n"/>
      <c r="N311" s="23" t="n"/>
      <c r="O311" s="17" t="n"/>
      <c r="P311" s="28">
        <f>IF(A311&lt;&gt;"OK","","SELECT cli_crear_clientes(p_codigo_interno =&gt; "&amp;IF(TRIM(N311&amp;"")="","NULL","'"&amp;SUBSTITUTE(TRIM(N311),"'","''")&amp;"'")&amp;", p_razon_social =&gt; "&amp;IF(TRIM(D311&amp;"")="","NULL","'"&amp;SUBSTITUTE(TRIM(D311),"'","''")&amp;"'")&amp;", p_id_tipo_cliente =&gt; "&amp;IF(TRIM(I311&amp;"")="","NULL","(SELECT lo.id FROM gen_lista_opciones lo JOIN gen_lista l ON l.id = lo.id_lista WHERE l.nombre = 'TipoCliente' AND upper(lo.nombre) = upper('"&amp;SUBSTITUTE(TRIM(I311),"'","''")&amp;"') AND lo.estado = 1 LIMIT 1)")&amp;", p_id_tipo_persona =&gt; "&amp;IF(TRIM(H311&amp;"")="","NULL","(SELECT lo.id FROM gen_lista_opciones lo JOIN gen_lista l ON l.id = lo.id_lista WHERE l.nombre = 'TipoPersona' AND upper(lo.nombre) = upper('"&amp;SUBSTITUTE(TRIM(H311),"'","''")&amp;"') AND lo.estado = 1 LIMIT 1)")&amp;", p_nombres =&gt; "&amp;IF(TRIM(E311&amp;"")="","NULL","'"&amp;SUBSTITUTE(TRIM(E311),"'","''")&amp;"'")&amp;", p_apellido_paterno =&gt; "&amp;IF(TRIM(F311&amp;"")="","NULL","'"&amp;SUBSTITUTE(TRIM(F311),"'","''")&amp;"'")&amp;", p_apellido_materno =&gt; "&amp;IF(TRIM(G311&amp;"")="","NULL","'"&amp;SUBSTITUTE(TRIM(G311),"'","''")&amp;"'")&amp;", p_id_tipo_documento =&gt; "&amp;IF(TRIM(B311&amp;"")="","NULL","(SELECT lo.id FROM gen_lista_opciones lo JOIN gen_lista l ON l.id = lo.id_lista WHERE l.nombre = 'TipoDocumento' AND upper(lo.nombre) = upper('"&amp;SUBSTITUTE(TRIM(B311),"'","''")&amp;"') AND lo.estado = 1 LIMIT 1)")&amp;", p_numero_documento =&gt; "&amp;IF(TRIM(C311&amp;"")="","NULL","'"&amp;SUBSTITUTE(TRIM(C311),"'","''")&amp;"'")&amp;", p_telefono =&gt; "&amp;IF(TRIM(L311&amp;"")="","NULL","'"&amp;SUBSTITUTE(TRIM(L311),"'","''")&amp;"'")&amp;", p_email =&gt; "&amp;IF(TRIM(M311&amp;"")="","NULL","'"&amp;SUBSTITUTE(TRIM(M311),"'","''")&amp;"'")&amp;", p_observacion =&gt; "&amp;IF(TRIM(O311&amp;"")="","NULL","'"&amp;SUBSTITUTE(TRIM(O311),"'","''")&amp;"'")&amp;", p_direccion =&gt; "&amp;IF(TRIM(J311&amp;"")="","NULL","'"&amp;SUBSTITUTE(TRIM(J311),"'","''")&amp;"'")&amp;", p_referencia =&gt; "&amp;IF(TRIM(K311&amp;"")="","NULL","'"&amp;SUBSTITUTE(TRIM(K311),"'","''")&amp;"'")&amp;") AS resultado_cliente_"&amp;266&amp;";")</f>
        <v/>
      </c>
    </row>
    <row r="312" ht="15.75" customHeight="1" s="64">
      <c r="A312" s="25">
        <f>IF(AND(D312="",E312="",C312=""),"",IF(AND(D312="",E312=""),"FALTA razón social o nombres",IF(AND(C312&lt;&gt;"",COUNTIF($C$5:$C$549,C312)&gt;1),"DOCUMENTO DUPLICADO",IF(AND(B312="DNI",C312&lt;&gt;"",LEN(C312)&lt;&gt;8),"DNI debe tener 8 dígitos",IF(AND(B312="RUC",C312&lt;&gt;"",LEN(C312)&lt;&gt;11),"RUC debe tener 11 dígitos",IF(AND(N312&lt;&gt;"",COUNTIF($N$5:$N$549,N312)&gt;1),"CÓDIGO INTERNO DUPLICADO","OK"))))))</f>
        <v/>
      </c>
      <c r="B312" s="17" t="n"/>
      <c r="C312" s="23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23" t="n"/>
      <c r="M312" s="17" t="n"/>
      <c r="N312" s="23" t="n"/>
      <c r="O312" s="17" t="n"/>
      <c r="P312" s="28">
        <f>IF(A312&lt;&gt;"OK","","SELECT cli_crear_clientes(p_codigo_interno =&gt; "&amp;IF(TRIM(N312&amp;"")="","NULL","'"&amp;SUBSTITUTE(TRIM(N312),"'","''")&amp;"'")&amp;", p_razon_social =&gt; "&amp;IF(TRIM(D312&amp;"")="","NULL","'"&amp;SUBSTITUTE(TRIM(D312),"'","''")&amp;"'")&amp;", p_id_tipo_cliente =&gt; "&amp;IF(TRIM(I312&amp;"")="","NULL","(SELECT lo.id FROM gen_lista_opciones lo JOIN gen_lista l ON l.id = lo.id_lista WHERE l.nombre = 'TipoCliente' AND upper(lo.nombre) = upper('"&amp;SUBSTITUTE(TRIM(I312),"'","''")&amp;"') AND lo.estado = 1 LIMIT 1)")&amp;", p_id_tipo_persona =&gt; "&amp;IF(TRIM(H312&amp;"")="","NULL","(SELECT lo.id FROM gen_lista_opciones lo JOIN gen_lista l ON l.id = lo.id_lista WHERE l.nombre = 'TipoPersona' AND upper(lo.nombre) = upper('"&amp;SUBSTITUTE(TRIM(H312),"'","''")&amp;"') AND lo.estado = 1 LIMIT 1)")&amp;", p_nombres =&gt; "&amp;IF(TRIM(E312&amp;"")="","NULL","'"&amp;SUBSTITUTE(TRIM(E312),"'","''")&amp;"'")&amp;", p_apellido_paterno =&gt; "&amp;IF(TRIM(F312&amp;"")="","NULL","'"&amp;SUBSTITUTE(TRIM(F312),"'","''")&amp;"'")&amp;", p_apellido_materno =&gt; "&amp;IF(TRIM(G312&amp;"")="","NULL","'"&amp;SUBSTITUTE(TRIM(G312),"'","''")&amp;"'")&amp;", p_id_tipo_documento =&gt; "&amp;IF(TRIM(B312&amp;"")="","NULL","(SELECT lo.id FROM gen_lista_opciones lo JOIN gen_lista l ON l.id = lo.id_lista WHERE l.nombre = 'TipoDocumento' AND upper(lo.nombre) = upper('"&amp;SUBSTITUTE(TRIM(B312),"'","''")&amp;"') AND lo.estado = 1 LIMIT 1)")&amp;", p_numero_documento =&gt; "&amp;IF(TRIM(C312&amp;"")="","NULL","'"&amp;SUBSTITUTE(TRIM(C312),"'","''")&amp;"'")&amp;", p_telefono =&gt; "&amp;IF(TRIM(L312&amp;"")="","NULL","'"&amp;SUBSTITUTE(TRIM(L312),"'","''")&amp;"'")&amp;", p_email =&gt; "&amp;IF(TRIM(M312&amp;"")="","NULL","'"&amp;SUBSTITUTE(TRIM(M312),"'","''")&amp;"'")&amp;", p_observacion =&gt; "&amp;IF(TRIM(O312&amp;"")="","NULL","'"&amp;SUBSTITUTE(TRIM(O312),"'","''")&amp;"'")&amp;", p_direccion =&gt; "&amp;IF(TRIM(J312&amp;"")="","NULL","'"&amp;SUBSTITUTE(TRIM(J312),"'","''")&amp;"'")&amp;", p_referencia =&gt; "&amp;IF(TRIM(K312&amp;"")="","NULL","'"&amp;SUBSTITUTE(TRIM(K312),"'","''")&amp;"'")&amp;") AS resultado_cliente_"&amp;267&amp;";")</f>
        <v/>
      </c>
    </row>
    <row r="313" ht="15.75" customHeight="1" s="64">
      <c r="A313" s="25">
        <f>IF(AND(D313="",E313="",C313=""),"",IF(AND(D313="",E313=""),"FALTA razón social o nombres",IF(AND(C313&lt;&gt;"",COUNTIF($C$5:$C$549,C313)&gt;1),"DOCUMENTO DUPLICADO",IF(AND(B313="DNI",C313&lt;&gt;"",LEN(C313)&lt;&gt;8),"DNI debe tener 8 dígitos",IF(AND(B313="RUC",C313&lt;&gt;"",LEN(C313)&lt;&gt;11),"RUC debe tener 11 dígitos",IF(AND(N313&lt;&gt;"",COUNTIF($N$5:$N$549,N313)&gt;1),"CÓDIGO INTERNO DUPLICADO","OK"))))))</f>
        <v/>
      </c>
      <c r="B313" s="17" t="n"/>
      <c r="C313" s="23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23" t="n"/>
      <c r="M313" s="17" t="n"/>
      <c r="N313" s="23" t="n"/>
      <c r="O313" s="17" t="n"/>
      <c r="P313" s="28">
        <f>IF(A313&lt;&gt;"OK","","SELECT cli_crear_clientes(p_codigo_interno =&gt; "&amp;IF(TRIM(N313&amp;"")="","NULL","'"&amp;SUBSTITUTE(TRIM(N313),"'","''")&amp;"'")&amp;", p_razon_social =&gt; "&amp;IF(TRIM(D313&amp;"")="","NULL","'"&amp;SUBSTITUTE(TRIM(D313),"'","''")&amp;"'")&amp;", p_id_tipo_cliente =&gt; "&amp;IF(TRIM(I313&amp;"")="","NULL","(SELECT lo.id FROM gen_lista_opciones lo JOIN gen_lista l ON l.id = lo.id_lista WHERE l.nombre = 'TipoCliente' AND upper(lo.nombre) = upper('"&amp;SUBSTITUTE(TRIM(I313),"'","''")&amp;"') AND lo.estado = 1 LIMIT 1)")&amp;", p_id_tipo_persona =&gt; "&amp;IF(TRIM(H313&amp;"")="","NULL","(SELECT lo.id FROM gen_lista_opciones lo JOIN gen_lista l ON l.id = lo.id_lista WHERE l.nombre = 'TipoPersona' AND upper(lo.nombre) = upper('"&amp;SUBSTITUTE(TRIM(H313),"'","''")&amp;"') AND lo.estado = 1 LIMIT 1)")&amp;", p_nombres =&gt; "&amp;IF(TRIM(E313&amp;"")="","NULL","'"&amp;SUBSTITUTE(TRIM(E313),"'","''")&amp;"'")&amp;", p_apellido_paterno =&gt; "&amp;IF(TRIM(F313&amp;"")="","NULL","'"&amp;SUBSTITUTE(TRIM(F313),"'","''")&amp;"'")&amp;", p_apellido_materno =&gt; "&amp;IF(TRIM(G313&amp;"")="","NULL","'"&amp;SUBSTITUTE(TRIM(G313),"'","''")&amp;"'")&amp;", p_id_tipo_documento =&gt; "&amp;IF(TRIM(B313&amp;"")="","NULL","(SELECT lo.id FROM gen_lista_opciones lo JOIN gen_lista l ON l.id = lo.id_lista WHERE l.nombre = 'TipoDocumento' AND upper(lo.nombre) = upper('"&amp;SUBSTITUTE(TRIM(B313),"'","''")&amp;"') AND lo.estado = 1 LIMIT 1)")&amp;", p_numero_documento =&gt; "&amp;IF(TRIM(C313&amp;"")="","NULL","'"&amp;SUBSTITUTE(TRIM(C313),"'","''")&amp;"'")&amp;", p_telefono =&gt; "&amp;IF(TRIM(L313&amp;"")="","NULL","'"&amp;SUBSTITUTE(TRIM(L313),"'","''")&amp;"'")&amp;", p_email =&gt; "&amp;IF(TRIM(M313&amp;"")="","NULL","'"&amp;SUBSTITUTE(TRIM(M313),"'","''")&amp;"'")&amp;", p_observacion =&gt; "&amp;IF(TRIM(O313&amp;"")="","NULL","'"&amp;SUBSTITUTE(TRIM(O313),"'","''")&amp;"'")&amp;", p_direccion =&gt; "&amp;IF(TRIM(J313&amp;"")="","NULL","'"&amp;SUBSTITUTE(TRIM(J313),"'","''")&amp;"'")&amp;", p_referencia =&gt; "&amp;IF(TRIM(K313&amp;"")="","NULL","'"&amp;SUBSTITUTE(TRIM(K313),"'","''")&amp;"'")&amp;") AS resultado_cliente_"&amp;268&amp;";")</f>
        <v/>
      </c>
    </row>
    <row r="314" ht="15.75" customHeight="1" s="64">
      <c r="A314" s="25">
        <f>IF(AND(D314="",E314="",C314=""),"",IF(AND(D314="",E314=""),"FALTA razón social o nombres",IF(AND(C314&lt;&gt;"",COUNTIF($C$5:$C$549,C314)&gt;1),"DOCUMENTO DUPLICADO",IF(AND(B314="DNI",C314&lt;&gt;"",LEN(C314)&lt;&gt;8),"DNI debe tener 8 dígitos",IF(AND(B314="RUC",C314&lt;&gt;"",LEN(C314)&lt;&gt;11),"RUC debe tener 11 dígitos",IF(AND(N314&lt;&gt;"",COUNTIF($N$5:$N$549,N314)&gt;1),"CÓDIGO INTERNO DUPLICADO","OK"))))))</f>
        <v/>
      </c>
      <c r="B314" s="17" t="n"/>
      <c r="C314" s="23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23" t="n"/>
      <c r="M314" s="17" t="n"/>
      <c r="N314" s="23" t="n"/>
      <c r="O314" s="17" t="n"/>
      <c r="P314" s="28">
        <f>IF(A314&lt;&gt;"OK","","SELECT cli_crear_clientes(p_codigo_interno =&gt; "&amp;IF(TRIM(N314&amp;"")="","NULL","'"&amp;SUBSTITUTE(TRIM(N314),"'","''")&amp;"'")&amp;", p_razon_social =&gt; "&amp;IF(TRIM(D314&amp;"")="","NULL","'"&amp;SUBSTITUTE(TRIM(D314),"'","''")&amp;"'")&amp;", p_id_tipo_cliente =&gt; "&amp;IF(TRIM(I314&amp;"")="","NULL","(SELECT lo.id FROM gen_lista_opciones lo JOIN gen_lista l ON l.id = lo.id_lista WHERE l.nombre = 'TipoCliente' AND upper(lo.nombre) = upper('"&amp;SUBSTITUTE(TRIM(I314),"'","''")&amp;"') AND lo.estado = 1 LIMIT 1)")&amp;", p_id_tipo_persona =&gt; "&amp;IF(TRIM(H314&amp;"")="","NULL","(SELECT lo.id FROM gen_lista_opciones lo JOIN gen_lista l ON l.id = lo.id_lista WHERE l.nombre = 'TipoPersona' AND upper(lo.nombre) = upper('"&amp;SUBSTITUTE(TRIM(H314),"'","''")&amp;"') AND lo.estado = 1 LIMIT 1)")&amp;", p_nombres =&gt; "&amp;IF(TRIM(E314&amp;"")="","NULL","'"&amp;SUBSTITUTE(TRIM(E314),"'","''")&amp;"'")&amp;", p_apellido_paterno =&gt; "&amp;IF(TRIM(F314&amp;"")="","NULL","'"&amp;SUBSTITUTE(TRIM(F314),"'","''")&amp;"'")&amp;", p_apellido_materno =&gt; "&amp;IF(TRIM(G314&amp;"")="","NULL","'"&amp;SUBSTITUTE(TRIM(G314),"'","''")&amp;"'")&amp;", p_id_tipo_documento =&gt; "&amp;IF(TRIM(B314&amp;"")="","NULL","(SELECT lo.id FROM gen_lista_opciones lo JOIN gen_lista l ON l.id = lo.id_lista WHERE l.nombre = 'TipoDocumento' AND upper(lo.nombre) = upper('"&amp;SUBSTITUTE(TRIM(B314),"'","''")&amp;"') AND lo.estado = 1 LIMIT 1)")&amp;", p_numero_documento =&gt; "&amp;IF(TRIM(C314&amp;"")="","NULL","'"&amp;SUBSTITUTE(TRIM(C314),"'","''")&amp;"'")&amp;", p_telefono =&gt; "&amp;IF(TRIM(L314&amp;"")="","NULL","'"&amp;SUBSTITUTE(TRIM(L314),"'","''")&amp;"'")&amp;", p_email =&gt; "&amp;IF(TRIM(M314&amp;"")="","NULL","'"&amp;SUBSTITUTE(TRIM(M314),"'","''")&amp;"'")&amp;", p_observacion =&gt; "&amp;IF(TRIM(O314&amp;"")="","NULL","'"&amp;SUBSTITUTE(TRIM(O314),"'","''")&amp;"'")&amp;", p_direccion =&gt; "&amp;IF(TRIM(J314&amp;"")="","NULL","'"&amp;SUBSTITUTE(TRIM(J314),"'","''")&amp;"'")&amp;", p_referencia =&gt; "&amp;IF(TRIM(K314&amp;"")="","NULL","'"&amp;SUBSTITUTE(TRIM(K314),"'","''")&amp;"'")&amp;") AS resultado_cliente_"&amp;269&amp;";")</f>
        <v/>
      </c>
    </row>
    <row r="315" ht="15.75" customHeight="1" s="64">
      <c r="A315" s="25">
        <f>IF(AND(D315="",E315="",C315=""),"",IF(AND(D315="",E315=""),"FALTA razón social o nombres",IF(AND(C315&lt;&gt;"",COUNTIF($C$5:$C$549,C315)&gt;1),"DOCUMENTO DUPLICADO",IF(AND(B315="DNI",C315&lt;&gt;"",LEN(C315)&lt;&gt;8),"DNI debe tener 8 dígitos",IF(AND(B315="RUC",C315&lt;&gt;"",LEN(C315)&lt;&gt;11),"RUC debe tener 11 dígitos",IF(AND(N315&lt;&gt;"",COUNTIF($N$5:$N$549,N315)&gt;1),"CÓDIGO INTERNO DUPLICADO","OK"))))))</f>
        <v/>
      </c>
      <c r="B315" s="17" t="n"/>
      <c r="C315" s="23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23" t="n"/>
      <c r="M315" s="17" t="n"/>
      <c r="N315" s="23" t="n"/>
      <c r="O315" s="17" t="n"/>
      <c r="P315" s="28">
        <f>IF(A315&lt;&gt;"OK","","SELECT cli_crear_clientes(p_codigo_interno =&gt; "&amp;IF(TRIM(N315&amp;"")="","NULL","'"&amp;SUBSTITUTE(TRIM(N315),"'","''")&amp;"'")&amp;", p_razon_social =&gt; "&amp;IF(TRIM(D315&amp;"")="","NULL","'"&amp;SUBSTITUTE(TRIM(D315),"'","''")&amp;"'")&amp;", p_id_tipo_cliente =&gt; "&amp;IF(TRIM(I315&amp;"")="","NULL","(SELECT lo.id FROM gen_lista_opciones lo JOIN gen_lista l ON l.id = lo.id_lista WHERE l.nombre = 'TipoCliente' AND upper(lo.nombre) = upper('"&amp;SUBSTITUTE(TRIM(I315),"'","''")&amp;"') AND lo.estado = 1 LIMIT 1)")&amp;", p_id_tipo_persona =&gt; "&amp;IF(TRIM(H315&amp;"")="","NULL","(SELECT lo.id FROM gen_lista_opciones lo JOIN gen_lista l ON l.id = lo.id_lista WHERE l.nombre = 'TipoPersona' AND upper(lo.nombre) = upper('"&amp;SUBSTITUTE(TRIM(H315),"'","''")&amp;"') AND lo.estado = 1 LIMIT 1)")&amp;", p_nombres =&gt; "&amp;IF(TRIM(E315&amp;"")="","NULL","'"&amp;SUBSTITUTE(TRIM(E315),"'","''")&amp;"'")&amp;", p_apellido_paterno =&gt; "&amp;IF(TRIM(F315&amp;"")="","NULL","'"&amp;SUBSTITUTE(TRIM(F315),"'","''")&amp;"'")&amp;", p_apellido_materno =&gt; "&amp;IF(TRIM(G315&amp;"")="","NULL","'"&amp;SUBSTITUTE(TRIM(G315),"'","''")&amp;"'")&amp;", p_id_tipo_documento =&gt; "&amp;IF(TRIM(B315&amp;"")="","NULL","(SELECT lo.id FROM gen_lista_opciones lo JOIN gen_lista l ON l.id = lo.id_lista WHERE l.nombre = 'TipoDocumento' AND upper(lo.nombre) = upper('"&amp;SUBSTITUTE(TRIM(B315),"'","''")&amp;"') AND lo.estado = 1 LIMIT 1)")&amp;", p_numero_documento =&gt; "&amp;IF(TRIM(C315&amp;"")="","NULL","'"&amp;SUBSTITUTE(TRIM(C315),"'","''")&amp;"'")&amp;", p_telefono =&gt; "&amp;IF(TRIM(L315&amp;"")="","NULL","'"&amp;SUBSTITUTE(TRIM(L315),"'","''")&amp;"'")&amp;", p_email =&gt; "&amp;IF(TRIM(M315&amp;"")="","NULL","'"&amp;SUBSTITUTE(TRIM(M315),"'","''")&amp;"'")&amp;", p_observacion =&gt; "&amp;IF(TRIM(O315&amp;"")="","NULL","'"&amp;SUBSTITUTE(TRIM(O315),"'","''")&amp;"'")&amp;", p_direccion =&gt; "&amp;IF(TRIM(J315&amp;"")="","NULL","'"&amp;SUBSTITUTE(TRIM(J315),"'","''")&amp;"'")&amp;", p_referencia =&gt; "&amp;IF(TRIM(K315&amp;"")="","NULL","'"&amp;SUBSTITUTE(TRIM(K315),"'","''")&amp;"'")&amp;") AS resultado_cliente_"&amp;270&amp;";")</f>
        <v/>
      </c>
    </row>
    <row r="316" ht="15.75" customHeight="1" s="64">
      <c r="A316" s="25">
        <f>IF(AND(D316="",E316="",C316=""),"",IF(AND(D316="",E316=""),"FALTA razón social o nombres",IF(AND(C316&lt;&gt;"",COUNTIF($C$5:$C$549,C316)&gt;1),"DOCUMENTO DUPLICADO",IF(AND(B316="DNI",C316&lt;&gt;"",LEN(C316)&lt;&gt;8),"DNI debe tener 8 dígitos",IF(AND(B316="RUC",C316&lt;&gt;"",LEN(C316)&lt;&gt;11),"RUC debe tener 11 dígitos",IF(AND(N316&lt;&gt;"",COUNTIF($N$5:$N$549,N316)&gt;1),"CÓDIGO INTERNO DUPLICADO","OK"))))))</f>
        <v/>
      </c>
      <c r="B316" s="17" t="n"/>
      <c r="C316" s="23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23" t="n"/>
      <c r="M316" s="17" t="n"/>
      <c r="N316" s="23" t="n"/>
      <c r="O316" s="17" t="n"/>
      <c r="P316" s="28">
        <f>IF(A316&lt;&gt;"OK","","SELECT cli_crear_clientes(p_codigo_interno =&gt; "&amp;IF(TRIM(N316&amp;"")="","NULL","'"&amp;SUBSTITUTE(TRIM(N316),"'","''")&amp;"'")&amp;", p_razon_social =&gt; "&amp;IF(TRIM(D316&amp;"")="","NULL","'"&amp;SUBSTITUTE(TRIM(D316),"'","''")&amp;"'")&amp;", p_id_tipo_cliente =&gt; "&amp;IF(TRIM(I316&amp;"")="","NULL","(SELECT lo.id FROM gen_lista_opciones lo JOIN gen_lista l ON l.id = lo.id_lista WHERE l.nombre = 'TipoCliente' AND upper(lo.nombre) = upper('"&amp;SUBSTITUTE(TRIM(I316),"'","''")&amp;"') AND lo.estado = 1 LIMIT 1)")&amp;", p_id_tipo_persona =&gt; "&amp;IF(TRIM(H316&amp;"")="","NULL","(SELECT lo.id FROM gen_lista_opciones lo JOIN gen_lista l ON l.id = lo.id_lista WHERE l.nombre = 'TipoPersona' AND upper(lo.nombre) = upper('"&amp;SUBSTITUTE(TRIM(H316),"'","''")&amp;"') AND lo.estado = 1 LIMIT 1)")&amp;", p_nombres =&gt; "&amp;IF(TRIM(E316&amp;"")="","NULL","'"&amp;SUBSTITUTE(TRIM(E316),"'","''")&amp;"'")&amp;", p_apellido_paterno =&gt; "&amp;IF(TRIM(F316&amp;"")="","NULL","'"&amp;SUBSTITUTE(TRIM(F316),"'","''")&amp;"'")&amp;", p_apellido_materno =&gt; "&amp;IF(TRIM(G316&amp;"")="","NULL","'"&amp;SUBSTITUTE(TRIM(G316),"'","''")&amp;"'")&amp;", p_id_tipo_documento =&gt; "&amp;IF(TRIM(B316&amp;"")="","NULL","(SELECT lo.id FROM gen_lista_opciones lo JOIN gen_lista l ON l.id = lo.id_lista WHERE l.nombre = 'TipoDocumento' AND upper(lo.nombre) = upper('"&amp;SUBSTITUTE(TRIM(B316),"'","''")&amp;"') AND lo.estado = 1 LIMIT 1)")&amp;", p_numero_documento =&gt; "&amp;IF(TRIM(C316&amp;"")="","NULL","'"&amp;SUBSTITUTE(TRIM(C316),"'","''")&amp;"'")&amp;", p_telefono =&gt; "&amp;IF(TRIM(L316&amp;"")="","NULL","'"&amp;SUBSTITUTE(TRIM(L316),"'","''")&amp;"'")&amp;", p_email =&gt; "&amp;IF(TRIM(M316&amp;"")="","NULL","'"&amp;SUBSTITUTE(TRIM(M316),"'","''")&amp;"'")&amp;", p_observacion =&gt; "&amp;IF(TRIM(O316&amp;"")="","NULL","'"&amp;SUBSTITUTE(TRIM(O316),"'","''")&amp;"'")&amp;", p_direccion =&gt; "&amp;IF(TRIM(J316&amp;"")="","NULL","'"&amp;SUBSTITUTE(TRIM(J316),"'","''")&amp;"'")&amp;", p_referencia =&gt; "&amp;IF(TRIM(K316&amp;"")="","NULL","'"&amp;SUBSTITUTE(TRIM(K316),"'","''")&amp;"'")&amp;") AS resultado_cliente_"&amp;271&amp;";")</f>
        <v/>
      </c>
    </row>
    <row r="317" ht="15.75" customHeight="1" s="64">
      <c r="A317" s="25">
        <f>IF(AND(D317="",E317="",C317=""),"",IF(AND(D317="",E317=""),"FALTA razón social o nombres",IF(AND(C317&lt;&gt;"",COUNTIF($C$5:$C$549,C317)&gt;1),"DOCUMENTO DUPLICADO",IF(AND(B317="DNI",C317&lt;&gt;"",LEN(C317)&lt;&gt;8),"DNI debe tener 8 dígitos",IF(AND(B317="RUC",C317&lt;&gt;"",LEN(C317)&lt;&gt;11),"RUC debe tener 11 dígitos",IF(AND(N317&lt;&gt;"",COUNTIF($N$5:$N$549,N317)&gt;1),"CÓDIGO INTERNO DUPLICADO","OK"))))))</f>
        <v/>
      </c>
      <c r="B317" s="17" t="n"/>
      <c r="C317" s="23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23" t="n"/>
      <c r="M317" s="17" t="n"/>
      <c r="N317" s="23" t="n"/>
      <c r="O317" s="17" t="n"/>
      <c r="P317" s="28">
        <f>IF(A317&lt;&gt;"OK","","SELECT cli_crear_clientes(p_codigo_interno =&gt; "&amp;IF(TRIM(N317&amp;"")="","NULL","'"&amp;SUBSTITUTE(TRIM(N317),"'","''")&amp;"'")&amp;", p_razon_social =&gt; "&amp;IF(TRIM(D317&amp;"")="","NULL","'"&amp;SUBSTITUTE(TRIM(D317),"'","''")&amp;"'")&amp;", p_id_tipo_cliente =&gt; "&amp;IF(TRIM(I317&amp;"")="","NULL","(SELECT lo.id FROM gen_lista_opciones lo JOIN gen_lista l ON l.id = lo.id_lista WHERE l.nombre = 'TipoCliente' AND upper(lo.nombre) = upper('"&amp;SUBSTITUTE(TRIM(I317),"'","''")&amp;"') AND lo.estado = 1 LIMIT 1)")&amp;", p_id_tipo_persona =&gt; "&amp;IF(TRIM(H317&amp;"")="","NULL","(SELECT lo.id FROM gen_lista_opciones lo JOIN gen_lista l ON l.id = lo.id_lista WHERE l.nombre = 'TipoPersona' AND upper(lo.nombre) = upper('"&amp;SUBSTITUTE(TRIM(H317),"'","''")&amp;"') AND lo.estado = 1 LIMIT 1)")&amp;", p_nombres =&gt; "&amp;IF(TRIM(E317&amp;"")="","NULL","'"&amp;SUBSTITUTE(TRIM(E317),"'","''")&amp;"'")&amp;", p_apellido_paterno =&gt; "&amp;IF(TRIM(F317&amp;"")="","NULL","'"&amp;SUBSTITUTE(TRIM(F317),"'","''")&amp;"'")&amp;", p_apellido_materno =&gt; "&amp;IF(TRIM(G317&amp;"")="","NULL","'"&amp;SUBSTITUTE(TRIM(G317),"'","''")&amp;"'")&amp;", p_id_tipo_documento =&gt; "&amp;IF(TRIM(B317&amp;"")="","NULL","(SELECT lo.id FROM gen_lista_opciones lo JOIN gen_lista l ON l.id = lo.id_lista WHERE l.nombre = 'TipoDocumento' AND upper(lo.nombre) = upper('"&amp;SUBSTITUTE(TRIM(B317),"'","''")&amp;"') AND lo.estado = 1 LIMIT 1)")&amp;", p_numero_documento =&gt; "&amp;IF(TRIM(C317&amp;"")="","NULL","'"&amp;SUBSTITUTE(TRIM(C317),"'","''")&amp;"'")&amp;", p_telefono =&gt; "&amp;IF(TRIM(L317&amp;"")="","NULL","'"&amp;SUBSTITUTE(TRIM(L317),"'","''")&amp;"'")&amp;", p_email =&gt; "&amp;IF(TRIM(M317&amp;"")="","NULL","'"&amp;SUBSTITUTE(TRIM(M317),"'","''")&amp;"'")&amp;", p_observacion =&gt; "&amp;IF(TRIM(O317&amp;"")="","NULL","'"&amp;SUBSTITUTE(TRIM(O317),"'","''")&amp;"'")&amp;", p_direccion =&gt; "&amp;IF(TRIM(J317&amp;"")="","NULL","'"&amp;SUBSTITUTE(TRIM(J317),"'","''")&amp;"'")&amp;", p_referencia =&gt; "&amp;IF(TRIM(K317&amp;"")="","NULL","'"&amp;SUBSTITUTE(TRIM(K317),"'","''")&amp;"'")&amp;") AS resultado_cliente_"&amp;272&amp;";")</f>
        <v/>
      </c>
    </row>
    <row r="318" ht="15.75" customHeight="1" s="64">
      <c r="A318" s="25">
        <f>IF(AND(D318="",E318="",C318=""),"",IF(AND(D318="",E318=""),"FALTA razón social o nombres",IF(AND(C318&lt;&gt;"",COUNTIF($C$5:$C$549,C318)&gt;1),"DOCUMENTO DUPLICADO",IF(AND(B318="DNI",C318&lt;&gt;"",LEN(C318)&lt;&gt;8),"DNI debe tener 8 dígitos",IF(AND(B318="RUC",C318&lt;&gt;"",LEN(C318)&lt;&gt;11),"RUC debe tener 11 dígitos",IF(AND(N318&lt;&gt;"",COUNTIF($N$5:$N$549,N318)&gt;1),"CÓDIGO INTERNO DUPLICADO","OK"))))))</f>
        <v/>
      </c>
      <c r="B318" s="17" t="n"/>
      <c r="C318" s="23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23" t="n"/>
      <c r="M318" s="17" t="n"/>
      <c r="N318" s="23" t="n"/>
      <c r="O318" s="17" t="n"/>
      <c r="P318" s="28">
        <f>IF(A318&lt;&gt;"OK","","SELECT cli_crear_clientes(p_codigo_interno =&gt; "&amp;IF(TRIM(N318&amp;"")="","NULL","'"&amp;SUBSTITUTE(TRIM(N318),"'","''")&amp;"'")&amp;", p_razon_social =&gt; "&amp;IF(TRIM(D318&amp;"")="","NULL","'"&amp;SUBSTITUTE(TRIM(D318),"'","''")&amp;"'")&amp;", p_id_tipo_cliente =&gt; "&amp;IF(TRIM(I318&amp;"")="","NULL","(SELECT lo.id FROM gen_lista_opciones lo JOIN gen_lista l ON l.id = lo.id_lista WHERE l.nombre = 'TipoCliente' AND upper(lo.nombre) = upper('"&amp;SUBSTITUTE(TRIM(I318),"'","''")&amp;"') AND lo.estado = 1 LIMIT 1)")&amp;", p_id_tipo_persona =&gt; "&amp;IF(TRIM(H318&amp;"")="","NULL","(SELECT lo.id FROM gen_lista_opciones lo JOIN gen_lista l ON l.id = lo.id_lista WHERE l.nombre = 'TipoPersona' AND upper(lo.nombre) = upper('"&amp;SUBSTITUTE(TRIM(H318),"'","''")&amp;"') AND lo.estado = 1 LIMIT 1)")&amp;", p_nombres =&gt; "&amp;IF(TRIM(E318&amp;"")="","NULL","'"&amp;SUBSTITUTE(TRIM(E318),"'","''")&amp;"'")&amp;", p_apellido_paterno =&gt; "&amp;IF(TRIM(F318&amp;"")="","NULL","'"&amp;SUBSTITUTE(TRIM(F318),"'","''")&amp;"'")&amp;", p_apellido_materno =&gt; "&amp;IF(TRIM(G318&amp;"")="","NULL","'"&amp;SUBSTITUTE(TRIM(G318),"'","''")&amp;"'")&amp;", p_id_tipo_documento =&gt; "&amp;IF(TRIM(B318&amp;"")="","NULL","(SELECT lo.id FROM gen_lista_opciones lo JOIN gen_lista l ON l.id = lo.id_lista WHERE l.nombre = 'TipoDocumento' AND upper(lo.nombre) = upper('"&amp;SUBSTITUTE(TRIM(B318),"'","''")&amp;"') AND lo.estado = 1 LIMIT 1)")&amp;", p_numero_documento =&gt; "&amp;IF(TRIM(C318&amp;"")="","NULL","'"&amp;SUBSTITUTE(TRIM(C318),"'","''")&amp;"'")&amp;", p_telefono =&gt; "&amp;IF(TRIM(L318&amp;"")="","NULL","'"&amp;SUBSTITUTE(TRIM(L318),"'","''")&amp;"'")&amp;", p_email =&gt; "&amp;IF(TRIM(M318&amp;"")="","NULL","'"&amp;SUBSTITUTE(TRIM(M318),"'","''")&amp;"'")&amp;", p_observacion =&gt; "&amp;IF(TRIM(O318&amp;"")="","NULL","'"&amp;SUBSTITUTE(TRIM(O318),"'","''")&amp;"'")&amp;", p_direccion =&gt; "&amp;IF(TRIM(J318&amp;"")="","NULL","'"&amp;SUBSTITUTE(TRIM(J318),"'","''")&amp;"'")&amp;", p_referencia =&gt; "&amp;IF(TRIM(K318&amp;"")="","NULL","'"&amp;SUBSTITUTE(TRIM(K318),"'","''")&amp;"'")&amp;") AS resultado_cliente_"&amp;273&amp;";")</f>
        <v/>
      </c>
    </row>
    <row r="319" ht="15.75" customHeight="1" s="64">
      <c r="A319" s="25">
        <f>IF(AND(D319="",E319="",C319=""),"",IF(AND(D319="",E319=""),"FALTA razón social o nombres",IF(AND(C319&lt;&gt;"",COUNTIF($C$5:$C$549,C319)&gt;1),"DOCUMENTO DUPLICADO",IF(AND(B319="DNI",C319&lt;&gt;"",LEN(C319)&lt;&gt;8),"DNI debe tener 8 dígitos",IF(AND(B319="RUC",C319&lt;&gt;"",LEN(C319)&lt;&gt;11),"RUC debe tener 11 dígitos",IF(AND(N319&lt;&gt;"",COUNTIF($N$5:$N$549,N319)&gt;1),"CÓDIGO INTERNO DUPLICADO","OK"))))))</f>
        <v/>
      </c>
      <c r="B319" s="17" t="n"/>
      <c r="C319" s="23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23" t="n"/>
      <c r="M319" s="17" t="n"/>
      <c r="N319" s="23" t="n"/>
      <c r="O319" s="17" t="n"/>
      <c r="P319" s="28">
        <f>IF(A319&lt;&gt;"OK","","SELECT cli_crear_clientes(p_codigo_interno =&gt; "&amp;IF(TRIM(N319&amp;"")="","NULL","'"&amp;SUBSTITUTE(TRIM(N319),"'","''")&amp;"'")&amp;", p_razon_social =&gt; "&amp;IF(TRIM(D319&amp;"")="","NULL","'"&amp;SUBSTITUTE(TRIM(D319),"'","''")&amp;"'")&amp;", p_id_tipo_cliente =&gt; "&amp;IF(TRIM(I319&amp;"")="","NULL","(SELECT lo.id FROM gen_lista_opciones lo JOIN gen_lista l ON l.id = lo.id_lista WHERE l.nombre = 'TipoCliente' AND upper(lo.nombre) = upper('"&amp;SUBSTITUTE(TRIM(I319),"'","''")&amp;"') AND lo.estado = 1 LIMIT 1)")&amp;", p_id_tipo_persona =&gt; "&amp;IF(TRIM(H319&amp;"")="","NULL","(SELECT lo.id FROM gen_lista_opciones lo JOIN gen_lista l ON l.id = lo.id_lista WHERE l.nombre = 'TipoPersona' AND upper(lo.nombre) = upper('"&amp;SUBSTITUTE(TRIM(H319),"'","''")&amp;"') AND lo.estado = 1 LIMIT 1)")&amp;", p_nombres =&gt; "&amp;IF(TRIM(E319&amp;"")="","NULL","'"&amp;SUBSTITUTE(TRIM(E319),"'","''")&amp;"'")&amp;", p_apellido_paterno =&gt; "&amp;IF(TRIM(F319&amp;"")="","NULL","'"&amp;SUBSTITUTE(TRIM(F319),"'","''")&amp;"'")&amp;", p_apellido_materno =&gt; "&amp;IF(TRIM(G319&amp;"")="","NULL","'"&amp;SUBSTITUTE(TRIM(G319),"'","''")&amp;"'")&amp;", p_id_tipo_documento =&gt; "&amp;IF(TRIM(B319&amp;"")="","NULL","(SELECT lo.id FROM gen_lista_opciones lo JOIN gen_lista l ON l.id = lo.id_lista WHERE l.nombre = 'TipoDocumento' AND upper(lo.nombre) = upper('"&amp;SUBSTITUTE(TRIM(B319),"'","''")&amp;"') AND lo.estado = 1 LIMIT 1)")&amp;", p_numero_documento =&gt; "&amp;IF(TRIM(C319&amp;"")="","NULL","'"&amp;SUBSTITUTE(TRIM(C319),"'","''")&amp;"'")&amp;", p_telefono =&gt; "&amp;IF(TRIM(L319&amp;"")="","NULL","'"&amp;SUBSTITUTE(TRIM(L319),"'","''")&amp;"'")&amp;", p_email =&gt; "&amp;IF(TRIM(M319&amp;"")="","NULL","'"&amp;SUBSTITUTE(TRIM(M319),"'","''")&amp;"'")&amp;", p_observacion =&gt; "&amp;IF(TRIM(O319&amp;"")="","NULL","'"&amp;SUBSTITUTE(TRIM(O319),"'","''")&amp;"'")&amp;", p_direccion =&gt; "&amp;IF(TRIM(J319&amp;"")="","NULL","'"&amp;SUBSTITUTE(TRIM(J319),"'","''")&amp;"'")&amp;", p_referencia =&gt; "&amp;IF(TRIM(K319&amp;"")="","NULL","'"&amp;SUBSTITUTE(TRIM(K319),"'","''")&amp;"'")&amp;") AS resultado_cliente_"&amp;274&amp;";")</f>
        <v/>
      </c>
    </row>
    <row r="320" ht="15.75" customHeight="1" s="64">
      <c r="A320" s="25">
        <f>IF(AND(D320="",E320="",C320=""),"",IF(AND(D320="",E320=""),"FALTA razón social o nombres",IF(AND(C320&lt;&gt;"",COUNTIF($C$5:$C$549,C320)&gt;1),"DOCUMENTO DUPLICADO",IF(AND(B320="DNI",C320&lt;&gt;"",LEN(C320)&lt;&gt;8),"DNI debe tener 8 dígitos",IF(AND(B320="RUC",C320&lt;&gt;"",LEN(C320)&lt;&gt;11),"RUC debe tener 11 dígitos",IF(AND(N320&lt;&gt;"",COUNTIF($N$5:$N$549,N320)&gt;1),"CÓDIGO INTERNO DUPLICADO","OK"))))))</f>
        <v/>
      </c>
      <c r="B320" s="17" t="n"/>
      <c r="C320" s="23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23" t="n"/>
      <c r="M320" s="17" t="n"/>
      <c r="N320" s="23" t="n"/>
      <c r="O320" s="17" t="n"/>
      <c r="P320" s="28">
        <f>IF(A320&lt;&gt;"OK","","SELECT cli_crear_clientes(p_codigo_interno =&gt; "&amp;IF(TRIM(N320&amp;"")="","NULL","'"&amp;SUBSTITUTE(TRIM(N320),"'","''")&amp;"'")&amp;", p_razon_social =&gt; "&amp;IF(TRIM(D320&amp;"")="","NULL","'"&amp;SUBSTITUTE(TRIM(D320),"'","''")&amp;"'")&amp;", p_id_tipo_cliente =&gt; "&amp;IF(TRIM(I320&amp;"")="","NULL","(SELECT lo.id FROM gen_lista_opciones lo JOIN gen_lista l ON l.id = lo.id_lista WHERE l.nombre = 'TipoCliente' AND upper(lo.nombre) = upper('"&amp;SUBSTITUTE(TRIM(I320),"'","''")&amp;"') AND lo.estado = 1 LIMIT 1)")&amp;", p_id_tipo_persona =&gt; "&amp;IF(TRIM(H320&amp;"")="","NULL","(SELECT lo.id FROM gen_lista_opciones lo JOIN gen_lista l ON l.id = lo.id_lista WHERE l.nombre = 'TipoPersona' AND upper(lo.nombre) = upper('"&amp;SUBSTITUTE(TRIM(H320),"'","''")&amp;"') AND lo.estado = 1 LIMIT 1)")&amp;", p_nombres =&gt; "&amp;IF(TRIM(E320&amp;"")="","NULL","'"&amp;SUBSTITUTE(TRIM(E320),"'","''")&amp;"'")&amp;", p_apellido_paterno =&gt; "&amp;IF(TRIM(F320&amp;"")="","NULL","'"&amp;SUBSTITUTE(TRIM(F320),"'","''")&amp;"'")&amp;", p_apellido_materno =&gt; "&amp;IF(TRIM(G320&amp;"")="","NULL","'"&amp;SUBSTITUTE(TRIM(G320),"'","''")&amp;"'")&amp;", p_id_tipo_documento =&gt; "&amp;IF(TRIM(B320&amp;"")="","NULL","(SELECT lo.id FROM gen_lista_opciones lo JOIN gen_lista l ON l.id = lo.id_lista WHERE l.nombre = 'TipoDocumento' AND upper(lo.nombre) = upper('"&amp;SUBSTITUTE(TRIM(B320),"'","''")&amp;"') AND lo.estado = 1 LIMIT 1)")&amp;", p_numero_documento =&gt; "&amp;IF(TRIM(C320&amp;"")="","NULL","'"&amp;SUBSTITUTE(TRIM(C320),"'","''")&amp;"'")&amp;", p_telefono =&gt; "&amp;IF(TRIM(L320&amp;"")="","NULL","'"&amp;SUBSTITUTE(TRIM(L320),"'","''")&amp;"'")&amp;", p_email =&gt; "&amp;IF(TRIM(M320&amp;"")="","NULL","'"&amp;SUBSTITUTE(TRIM(M320),"'","''")&amp;"'")&amp;", p_observacion =&gt; "&amp;IF(TRIM(O320&amp;"")="","NULL","'"&amp;SUBSTITUTE(TRIM(O320),"'","''")&amp;"'")&amp;", p_direccion =&gt; "&amp;IF(TRIM(J320&amp;"")="","NULL","'"&amp;SUBSTITUTE(TRIM(J320),"'","''")&amp;"'")&amp;", p_referencia =&gt; "&amp;IF(TRIM(K320&amp;"")="","NULL","'"&amp;SUBSTITUTE(TRIM(K320),"'","''")&amp;"'")&amp;") AS resultado_cliente_"&amp;275&amp;";")</f>
        <v/>
      </c>
    </row>
    <row r="321" ht="15.75" customHeight="1" s="64">
      <c r="A321" s="25">
        <f>IF(AND(D321="",E321="",C321=""),"",IF(AND(D321="",E321=""),"FALTA razón social o nombres",IF(AND(C321&lt;&gt;"",COUNTIF($C$5:$C$549,C321)&gt;1),"DOCUMENTO DUPLICADO",IF(AND(B321="DNI",C321&lt;&gt;"",LEN(C321)&lt;&gt;8),"DNI debe tener 8 dígitos",IF(AND(B321="RUC",C321&lt;&gt;"",LEN(C321)&lt;&gt;11),"RUC debe tener 11 dígitos",IF(AND(N321&lt;&gt;"",COUNTIF($N$5:$N$549,N321)&gt;1),"CÓDIGO INTERNO DUPLICADO","OK"))))))</f>
        <v/>
      </c>
      <c r="B321" s="17" t="n"/>
      <c r="C321" s="23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23" t="n"/>
      <c r="M321" s="17" t="n"/>
      <c r="N321" s="23" t="n"/>
      <c r="O321" s="17" t="n"/>
      <c r="P321" s="28">
        <f>IF(A321&lt;&gt;"OK","","SELECT cli_crear_clientes(p_codigo_interno =&gt; "&amp;IF(TRIM(N321&amp;"")="","NULL","'"&amp;SUBSTITUTE(TRIM(N321),"'","''")&amp;"'")&amp;", p_razon_social =&gt; "&amp;IF(TRIM(D321&amp;"")="","NULL","'"&amp;SUBSTITUTE(TRIM(D321),"'","''")&amp;"'")&amp;", p_id_tipo_cliente =&gt; "&amp;IF(TRIM(I321&amp;"")="","NULL","(SELECT lo.id FROM gen_lista_opciones lo JOIN gen_lista l ON l.id = lo.id_lista WHERE l.nombre = 'TipoCliente' AND upper(lo.nombre) = upper('"&amp;SUBSTITUTE(TRIM(I321),"'","''")&amp;"') AND lo.estado = 1 LIMIT 1)")&amp;", p_id_tipo_persona =&gt; "&amp;IF(TRIM(H321&amp;"")="","NULL","(SELECT lo.id FROM gen_lista_opciones lo JOIN gen_lista l ON l.id = lo.id_lista WHERE l.nombre = 'TipoPersona' AND upper(lo.nombre) = upper('"&amp;SUBSTITUTE(TRIM(H321),"'","''")&amp;"') AND lo.estado = 1 LIMIT 1)")&amp;", p_nombres =&gt; "&amp;IF(TRIM(E321&amp;"")="","NULL","'"&amp;SUBSTITUTE(TRIM(E321),"'","''")&amp;"'")&amp;", p_apellido_paterno =&gt; "&amp;IF(TRIM(F321&amp;"")="","NULL","'"&amp;SUBSTITUTE(TRIM(F321),"'","''")&amp;"'")&amp;", p_apellido_materno =&gt; "&amp;IF(TRIM(G321&amp;"")="","NULL","'"&amp;SUBSTITUTE(TRIM(G321),"'","''")&amp;"'")&amp;", p_id_tipo_documento =&gt; "&amp;IF(TRIM(B321&amp;"")="","NULL","(SELECT lo.id FROM gen_lista_opciones lo JOIN gen_lista l ON l.id = lo.id_lista WHERE l.nombre = 'TipoDocumento' AND upper(lo.nombre) = upper('"&amp;SUBSTITUTE(TRIM(B321),"'","''")&amp;"') AND lo.estado = 1 LIMIT 1)")&amp;", p_numero_documento =&gt; "&amp;IF(TRIM(C321&amp;"")="","NULL","'"&amp;SUBSTITUTE(TRIM(C321),"'","''")&amp;"'")&amp;", p_telefono =&gt; "&amp;IF(TRIM(L321&amp;"")="","NULL","'"&amp;SUBSTITUTE(TRIM(L321),"'","''")&amp;"'")&amp;", p_email =&gt; "&amp;IF(TRIM(M321&amp;"")="","NULL","'"&amp;SUBSTITUTE(TRIM(M321),"'","''")&amp;"'")&amp;", p_observacion =&gt; "&amp;IF(TRIM(O321&amp;"")="","NULL","'"&amp;SUBSTITUTE(TRIM(O321),"'","''")&amp;"'")&amp;", p_direccion =&gt; "&amp;IF(TRIM(J321&amp;"")="","NULL","'"&amp;SUBSTITUTE(TRIM(J321),"'","''")&amp;"'")&amp;", p_referencia =&gt; "&amp;IF(TRIM(K321&amp;"")="","NULL","'"&amp;SUBSTITUTE(TRIM(K321),"'","''")&amp;"'")&amp;") AS resultado_cliente_"&amp;276&amp;";")</f>
        <v/>
      </c>
    </row>
    <row r="322" ht="15.75" customHeight="1" s="64">
      <c r="A322" s="25">
        <f>IF(AND(D322="",E322="",C322=""),"",IF(AND(D322="",E322=""),"FALTA razón social o nombres",IF(AND(C322&lt;&gt;"",COUNTIF($C$5:$C$549,C322)&gt;1),"DOCUMENTO DUPLICADO",IF(AND(B322="DNI",C322&lt;&gt;"",LEN(C322)&lt;&gt;8),"DNI debe tener 8 dígitos",IF(AND(B322="RUC",C322&lt;&gt;"",LEN(C322)&lt;&gt;11),"RUC debe tener 11 dígitos",IF(AND(N322&lt;&gt;"",COUNTIF($N$5:$N$549,N322)&gt;1),"CÓDIGO INTERNO DUPLICADO","OK"))))))</f>
        <v/>
      </c>
      <c r="B322" s="17" t="n"/>
      <c r="C322" s="23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23" t="n"/>
      <c r="M322" s="17" t="n"/>
      <c r="N322" s="23" t="n"/>
      <c r="O322" s="17" t="n"/>
      <c r="P322" s="28">
        <f>IF(A322&lt;&gt;"OK","","SELECT cli_crear_clientes(p_codigo_interno =&gt; "&amp;IF(TRIM(N322&amp;"")="","NULL","'"&amp;SUBSTITUTE(TRIM(N322),"'","''")&amp;"'")&amp;", p_razon_social =&gt; "&amp;IF(TRIM(D322&amp;"")="","NULL","'"&amp;SUBSTITUTE(TRIM(D322),"'","''")&amp;"'")&amp;", p_id_tipo_cliente =&gt; "&amp;IF(TRIM(I322&amp;"")="","NULL","(SELECT lo.id FROM gen_lista_opciones lo JOIN gen_lista l ON l.id = lo.id_lista WHERE l.nombre = 'TipoCliente' AND upper(lo.nombre) = upper('"&amp;SUBSTITUTE(TRIM(I322),"'","''")&amp;"') AND lo.estado = 1 LIMIT 1)")&amp;", p_id_tipo_persona =&gt; "&amp;IF(TRIM(H322&amp;"")="","NULL","(SELECT lo.id FROM gen_lista_opciones lo JOIN gen_lista l ON l.id = lo.id_lista WHERE l.nombre = 'TipoPersona' AND upper(lo.nombre) = upper('"&amp;SUBSTITUTE(TRIM(H322),"'","''")&amp;"') AND lo.estado = 1 LIMIT 1)")&amp;", p_nombres =&gt; "&amp;IF(TRIM(E322&amp;"")="","NULL","'"&amp;SUBSTITUTE(TRIM(E322),"'","''")&amp;"'")&amp;", p_apellido_paterno =&gt; "&amp;IF(TRIM(F322&amp;"")="","NULL","'"&amp;SUBSTITUTE(TRIM(F322),"'","''")&amp;"'")&amp;", p_apellido_materno =&gt; "&amp;IF(TRIM(G322&amp;"")="","NULL","'"&amp;SUBSTITUTE(TRIM(G322),"'","''")&amp;"'")&amp;", p_id_tipo_documento =&gt; "&amp;IF(TRIM(B322&amp;"")="","NULL","(SELECT lo.id FROM gen_lista_opciones lo JOIN gen_lista l ON l.id = lo.id_lista WHERE l.nombre = 'TipoDocumento' AND upper(lo.nombre) = upper('"&amp;SUBSTITUTE(TRIM(B322),"'","''")&amp;"') AND lo.estado = 1 LIMIT 1)")&amp;", p_numero_documento =&gt; "&amp;IF(TRIM(C322&amp;"")="","NULL","'"&amp;SUBSTITUTE(TRIM(C322),"'","''")&amp;"'")&amp;", p_telefono =&gt; "&amp;IF(TRIM(L322&amp;"")="","NULL","'"&amp;SUBSTITUTE(TRIM(L322),"'","''")&amp;"'")&amp;", p_email =&gt; "&amp;IF(TRIM(M322&amp;"")="","NULL","'"&amp;SUBSTITUTE(TRIM(M322),"'","''")&amp;"'")&amp;", p_observacion =&gt; "&amp;IF(TRIM(O322&amp;"")="","NULL","'"&amp;SUBSTITUTE(TRIM(O322),"'","''")&amp;"'")&amp;", p_direccion =&gt; "&amp;IF(TRIM(J322&amp;"")="","NULL","'"&amp;SUBSTITUTE(TRIM(J322),"'","''")&amp;"'")&amp;", p_referencia =&gt; "&amp;IF(TRIM(K322&amp;"")="","NULL","'"&amp;SUBSTITUTE(TRIM(K322),"'","''")&amp;"'")&amp;") AS resultado_cliente_"&amp;277&amp;";")</f>
        <v/>
      </c>
    </row>
    <row r="323" ht="15.75" customHeight="1" s="64">
      <c r="A323" s="25">
        <f>IF(AND(D323="",E323="",C323=""),"",IF(AND(D323="",E323=""),"FALTA razón social o nombres",IF(AND(C323&lt;&gt;"",COUNTIF($C$5:$C$549,C323)&gt;1),"DOCUMENTO DUPLICADO",IF(AND(B323="DNI",C323&lt;&gt;"",LEN(C323)&lt;&gt;8),"DNI debe tener 8 dígitos",IF(AND(B323="RUC",C323&lt;&gt;"",LEN(C323)&lt;&gt;11),"RUC debe tener 11 dígitos",IF(AND(N323&lt;&gt;"",COUNTIF($N$5:$N$549,N323)&gt;1),"CÓDIGO INTERNO DUPLICADO","OK"))))))</f>
        <v/>
      </c>
      <c r="B323" s="17" t="n"/>
      <c r="C323" s="23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23" t="n"/>
      <c r="M323" s="17" t="n"/>
      <c r="N323" s="23" t="n"/>
      <c r="O323" s="17" t="n"/>
      <c r="P323" s="28">
        <f>IF(A323&lt;&gt;"OK","","SELECT cli_crear_clientes(p_codigo_interno =&gt; "&amp;IF(TRIM(N323&amp;"")="","NULL","'"&amp;SUBSTITUTE(TRIM(N323),"'","''")&amp;"'")&amp;", p_razon_social =&gt; "&amp;IF(TRIM(D323&amp;"")="","NULL","'"&amp;SUBSTITUTE(TRIM(D323),"'","''")&amp;"'")&amp;", p_id_tipo_cliente =&gt; "&amp;IF(TRIM(I323&amp;"")="","NULL","(SELECT lo.id FROM gen_lista_opciones lo JOIN gen_lista l ON l.id = lo.id_lista WHERE l.nombre = 'TipoCliente' AND upper(lo.nombre) = upper('"&amp;SUBSTITUTE(TRIM(I323),"'","''")&amp;"') AND lo.estado = 1 LIMIT 1)")&amp;", p_id_tipo_persona =&gt; "&amp;IF(TRIM(H323&amp;"")="","NULL","(SELECT lo.id FROM gen_lista_opciones lo JOIN gen_lista l ON l.id = lo.id_lista WHERE l.nombre = 'TipoPersona' AND upper(lo.nombre) = upper('"&amp;SUBSTITUTE(TRIM(H323),"'","''")&amp;"') AND lo.estado = 1 LIMIT 1)")&amp;", p_nombres =&gt; "&amp;IF(TRIM(E323&amp;"")="","NULL","'"&amp;SUBSTITUTE(TRIM(E323),"'","''")&amp;"'")&amp;", p_apellido_paterno =&gt; "&amp;IF(TRIM(F323&amp;"")="","NULL","'"&amp;SUBSTITUTE(TRIM(F323),"'","''")&amp;"'")&amp;", p_apellido_materno =&gt; "&amp;IF(TRIM(G323&amp;"")="","NULL","'"&amp;SUBSTITUTE(TRIM(G323),"'","''")&amp;"'")&amp;", p_id_tipo_documento =&gt; "&amp;IF(TRIM(B323&amp;"")="","NULL","(SELECT lo.id FROM gen_lista_opciones lo JOIN gen_lista l ON l.id = lo.id_lista WHERE l.nombre = 'TipoDocumento' AND upper(lo.nombre) = upper('"&amp;SUBSTITUTE(TRIM(B323),"'","''")&amp;"') AND lo.estado = 1 LIMIT 1)")&amp;", p_numero_documento =&gt; "&amp;IF(TRIM(C323&amp;"")="","NULL","'"&amp;SUBSTITUTE(TRIM(C323),"'","''")&amp;"'")&amp;", p_telefono =&gt; "&amp;IF(TRIM(L323&amp;"")="","NULL","'"&amp;SUBSTITUTE(TRIM(L323),"'","''")&amp;"'")&amp;", p_email =&gt; "&amp;IF(TRIM(M323&amp;"")="","NULL","'"&amp;SUBSTITUTE(TRIM(M323),"'","''")&amp;"'")&amp;", p_observacion =&gt; "&amp;IF(TRIM(O323&amp;"")="","NULL","'"&amp;SUBSTITUTE(TRIM(O323),"'","''")&amp;"'")&amp;", p_direccion =&gt; "&amp;IF(TRIM(J323&amp;"")="","NULL","'"&amp;SUBSTITUTE(TRIM(J323),"'","''")&amp;"'")&amp;", p_referencia =&gt; "&amp;IF(TRIM(K323&amp;"")="","NULL","'"&amp;SUBSTITUTE(TRIM(K323),"'","''")&amp;"'")&amp;") AS resultado_cliente_"&amp;278&amp;";")</f>
        <v/>
      </c>
    </row>
    <row r="324" ht="15.75" customHeight="1" s="64">
      <c r="A324" s="25">
        <f>IF(AND(D324="",E324="",C324=""),"",IF(AND(D324="",E324=""),"FALTA razón social o nombres",IF(AND(C324&lt;&gt;"",COUNTIF($C$5:$C$549,C324)&gt;1),"DOCUMENTO DUPLICADO",IF(AND(B324="DNI",C324&lt;&gt;"",LEN(C324)&lt;&gt;8),"DNI debe tener 8 dígitos",IF(AND(B324="RUC",C324&lt;&gt;"",LEN(C324)&lt;&gt;11),"RUC debe tener 11 dígitos",IF(AND(N324&lt;&gt;"",COUNTIF($N$5:$N$549,N324)&gt;1),"CÓDIGO INTERNO DUPLICADO","OK"))))))</f>
        <v/>
      </c>
      <c r="B324" s="17" t="n"/>
      <c r="C324" s="23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23" t="n"/>
      <c r="M324" s="17" t="n"/>
      <c r="N324" s="23" t="n"/>
      <c r="O324" s="17" t="n"/>
      <c r="P324" s="28">
        <f>IF(A324&lt;&gt;"OK","","SELECT cli_crear_clientes(p_codigo_interno =&gt; "&amp;IF(TRIM(N324&amp;"")="","NULL","'"&amp;SUBSTITUTE(TRIM(N324),"'","''")&amp;"'")&amp;", p_razon_social =&gt; "&amp;IF(TRIM(D324&amp;"")="","NULL","'"&amp;SUBSTITUTE(TRIM(D324),"'","''")&amp;"'")&amp;", p_id_tipo_cliente =&gt; "&amp;IF(TRIM(I324&amp;"")="","NULL","(SELECT lo.id FROM gen_lista_opciones lo JOIN gen_lista l ON l.id = lo.id_lista WHERE l.nombre = 'TipoCliente' AND upper(lo.nombre) = upper('"&amp;SUBSTITUTE(TRIM(I324),"'","''")&amp;"') AND lo.estado = 1 LIMIT 1)")&amp;", p_id_tipo_persona =&gt; "&amp;IF(TRIM(H324&amp;"")="","NULL","(SELECT lo.id FROM gen_lista_opciones lo JOIN gen_lista l ON l.id = lo.id_lista WHERE l.nombre = 'TipoPersona' AND upper(lo.nombre) = upper('"&amp;SUBSTITUTE(TRIM(H324),"'","''")&amp;"') AND lo.estado = 1 LIMIT 1)")&amp;", p_nombres =&gt; "&amp;IF(TRIM(E324&amp;"")="","NULL","'"&amp;SUBSTITUTE(TRIM(E324),"'","''")&amp;"'")&amp;", p_apellido_paterno =&gt; "&amp;IF(TRIM(F324&amp;"")="","NULL","'"&amp;SUBSTITUTE(TRIM(F324),"'","''")&amp;"'")&amp;", p_apellido_materno =&gt; "&amp;IF(TRIM(G324&amp;"")="","NULL","'"&amp;SUBSTITUTE(TRIM(G324),"'","''")&amp;"'")&amp;", p_id_tipo_documento =&gt; "&amp;IF(TRIM(B324&amp;"")="","NULL","(SELECT lo.id FROM gen_lista_opciones lo JOIN gen_lista l ON l.id = lo.id_lista WHERE l.nombre = 'TipoDocumento' AND upper(lo.nombre) = upper('"&amp;SUBSTITUTE(TRIM(B324),"'","''")&amp;"') AND lo.estado = 1 LIMIT 1)")&amp;", p_numero_documento =&gt; "&amp;IF(TRIM(C324&amp;"")="","NULL","'"&amp;SUBSTITUTE(TRIM(C324),"'","''")&amp;"'")&amp;", p_telefono =&gt; "&amp;IF(TRIM(L324&amp;"")="","NULL","'"&amp;SUBSTITUTE(TRIM(L324),"'","''")&amp;"'")&amp;", p_email =&gt; "&amp;IF(TRIM(M324&amp;"")="","NULL","'"&amp;SUBSTITUTE(TRIM(M324),"'","''")&amp;"'")&amp;", p_observacion =&gt; "&amp;IF(TRIM(O324&amp;"")="","NULL","'"&amp;SUBSTITUTE(TRIM(O324),"'","''")&amp;"'")&amp;", p_direccion =&gt; "&amp;IF(TRIM(J324&amp;"")="","NULL","'"&amp;SUBSTITUTE(TRIM(J324),"'","''")&amp;"'")&amp;", p_referencia =&gt; "&amp;IF(TRIM(K324&amp;"")="","NULL","'"&amp;SUBSTITUTE(TRIM(K324),"'","''")&amp;"'")&amp;") AS resultado_cliente_"&amp;279&amp;";")</f>
        <v/>
      </c>
    </row>
    <row r="325" ht="15.75" customHeight="1" s="64">
      <c r="A325" s="25">
        <f>IF(AND(D325="",E325="",C325=""),"",IF(AND(D325="",E325=""),"FALTA razón social o nombres",IF(AND(C325&lt;&gt;"",COUNTIF($C$5:$C$549,C325)&gt;1),"DOCUMENTO DUPLICADO",IF(AND(B325="DNI",C325&lt;&gt;"",LEN(C325)&lt;&gt;8),"DNI debe tener 8 dígitos",IF(AND(B325="RUC",C325&lt;&gt;"",LEN(C325)&lt;&gt;11),"RUC debe tener 11 dígitos",IF(AND(N325&lt;&gt;"",COUNTIF($N$5:$N$549,N325)&gt;1),"CÓDIGO INTERNO DUPLICADO","OK"))))))</f>
        <v/>
      </c>
      <c r="B325" s="17" t="n"/>
      <c r="C325" s="23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23" t="n"/>
      <c r="M325" s="17" t="n"/>
      <c r="N325" s="23" t="n"/>
      <c r="O325" s="17" t="n"/>
      <c r="P325" s="28">
        <f>IF(A325&lt;&gt;"OK","","SELECT cli_crear_clientes(p_codigo_interno =&gt; "&amp;IF(TRIM(N325&amp;"")="","NULL","'"&amp;SUBSTITUTE(TRIM(N325),"'","''")&amp;"'")&amp;", p_razon_social =&gt; "&amp;IF(TRIM(D325&amp;"")="","NULL","'"&amp;SUBSTITUTE(TRIM(D325),"'","''")&amp;"'")&amp;", p_id_tipo_cliente =&gt; "&amp;IF(TRIM(I325&amp;"")="","NULL","(SELECT lo.id FROM gen_lista_opciones lo JOIN gen_lista l ON l.id = lo.id_lista WHERE l.nombre = 'TipoCliente' AND upper(lo.nombre) = upper('"&amp;SUBSTITUTE(TRIM(I325),"'","''")&amp;"') AND lo.estado = 1 LIMIT 1)")&amp;", p_id_tipo_persona =&gt; "&amp;IF(TRIM(H325&amp;"")="","NULL","(SELECT lo.id FROM gen_lista_opciones lo JOIN gen_lista l ON l.id = lo.id_lista WHERE l.nombre = 'TipoPersona' AND upper(lo.nombre) = upper('"&amp;SUBSTITUTE(TRIM(H325),"'","''")&amp;"') AND lo.estado = 1 LIMIT 1)")&amp;", p_nombres =&gt; "&amp;IF(TRIM(E325&amp;"")="","NULL","'"&amp;SUBSTITUTE(TRIM(E325),"'","''")&amp;"'")&amp;", p_apellido_paterno =&gt; "&amp;IF(TRIM(F325&amp;"")="","NULL","'"&amp;SUBSTITUTE(TRIM(F325),"'","''")&amp;"'")&amp;", p_apellido_materno =&gt; "&amp;IF(TRIM(G325&amp;"")="","NULL","'"&amp;SUBSTITUTE(TRIM(G325),"'","''")&amp;"'")&amp;", p_id_tipo_documento =&gt; "&amp;IF(TRIM(B325&amp;"")="","NULL","(SELECT lo.id FROM gen_lista_opciones lo JOIN gen_lista l ON l.id = lo.id_lista WHERE l.nombre = 'TipoDocumento' AND upper(lo.nombre) = upper('"&amp;SUBSTITUTE(TRIM(B325),"'","''")&amp;"') AND lo.estado = 1 LIMIT 1)")&amp;", p_numero_documento =&gt; "&amp;IF(TRIM(C325&amp;"")="","NULL","'"&amp;SUBSTITUTE(TRIM(C325),"'","''")&amp;"'")&amp;", p_telefono =&gt; "&amp;IF(TRIM(L325&amp;"")="","NULL","'"&amp;SUBSTITUTE(TRIM(L325),"'","''")&amp;"'")&amp;", p_email =&gt; "&amp;IF(TRIM(M325&amp;"")="","NULL","'"&amp;SUBSTITUTE(TRIM(M325),"'","''")&amp;"'")&amp;", p_observacion =&gt; "&amp;IF(TRIM(O325&amp;"")="","NULL","'"&amp;SUBSTITUTE(TRIM(O325),"'","''")&amp;"'")&amp;", p_direccion =&gt; "&amp;IF(TRIM(J325&amp;"")="","NULL","'"&amp;SUBSTITUTE(TRIM(J325),"'","''")&amp;"'")&amp;", p_referencia =&gt; "&amp;IF(TRIM(K325&amp;"")="","NULL","'"&amp;SUBSTITUTE(TRIM(K325),"'","''")&amp;"'")&amp;") AS resultado_cliente_"&amp;280&amp;";")</f>
        <v/>
      </c>
    </row>
    <row r="326" ht="15.75" customHeight="1" s="64">
      <c r="A326" s="25">
        <f>IF(AND(D326="",E326="",C326=""),"",IF(AND(D326="",E326=""),"FALTA razón social o nombres",IF(AND(C326&lt;&gt;"",COUNTIF($C$5:$C$549,C326)&gt;1),"DOCUMENTO DUPLICADO",IF(AND(B326="DNI",C326&lt;&gt;"",LEN(C326)&lt;&gt;8),"DNI debe tener 8 dígitos",IF(AND(B326="RUC",C326&lt;&gt;"",LEN(C326)&lt;&gt;11),"RUC debe tener 11 dígitos",IF(AND(N326&lt;&gt;"",COUNTIF($N$5:$N$549,N326)&gt;1),"CÓDIGO INTERNO DUPLICADO","OK"))))))</f>
        <v/>
      </c>
      <c r="B326" s="17" t="n"/>
      <c r="C326" s="23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23" t="n"/>
      <c r="M326" s="17" t="n"/>
      <c r="N326" s="23" t="n"/>
      <c r="O326" s="17" t="n"/>
      <c r="P326" s="28">
        <f>IF(A326&lt;&gt;"OK","","SELECT cli_crear_clientes(p_codigo_interno =&gt; "&amp;IF(TRIM(N326&amp;"")="","NULL","'"&amp;SUBSTITUTE(TRIM(N326),"'","''")&amp;"'")&amp;", p_razon_social =&gt; "&amp;IF(TRIM(D326&amp;"")="","NULL","'"&amp;SUBSTITUTE(TRIM(D326),"'","''")&amp;"'")&amp;", p_id_tipo_cliente =&gt; "&amp;IF(TRIM(I326&amp;"")="","NULL","(SELECT lo.id FROM gen_lista_opciones lo JOIN gen_lista l ON l.id = lo.id_lista WHERE l.nombre = 'TipoCliente' AND upper(lo.nombre) = upper('"&amp;SUBSTITUTE(TRIM(I326),"'","''")&amp;"') AND lo.estado = 1 LIMIT 1)")&amp;", p_id_tipo_persona =&gt; "&amp;IF(TRIM(H326&amp;"")="","NULL","(SELECT lo.id FROM gen_lista_opciones lo JOIN gen_lista l ON l.id = lo.id_lista WHERE l.nombre = 'TipoPersona' AND upper(lo.nombre) = upper('"&amp;SUBSTITUTE(TRIM(H326),"'","''")&amp;"') AND lo.estado = 1 LIMIT 1)")&amp;", p_nombres =&gt; "&amp;IF(TRIM(E326&amp;"")="","NULL","'"&amp;SUBSTITUTE(TRIM(E326),"'","''")&amp;"'")&amp;", p_apellido_paterno =&gt; "&amp;IF(TRIM(F326&amp;"")="","NULL","'"&amp;SUBSTITUTE(TRIM(F326),"'","''")&amp;"'")&amp;", p_apellido_materno =&gt; "&amp;IF(TRIM(G326&amp;"")="","NULL","'"&amp;SUBSTITUTE(TRIM(G326),"'","''")&amp;"'")&amp;", p_id_tipo_documento =&gt; "&amp;IF(TRIM(B326&amp;"")="","NULL","(SELECT lo.id FROM gen_lista_opciones lo JOIN gen_lista l ON l.id = lo.id_lista WHERE l.nombre = 'TipoDocumento' AND upper(lo.nombre) = upper('"&amp;SUBSTITUTE(TRIM(B326),"'","''")&amp;"') AND lo.estado = 1 LIMIT 1)")&amp;", p_numero_documento =&gt; "&amp;IF(TRIM(C326&amp;"")="","NULL","'"&amp;SUBSTITUTE(TRIM(C326),"'","''")&amp;"'")&amp;", p_telefono =&gt; "&amp;IF(TRIM(L326&amp;"")="","NULL","'"&amp;SUBSTITUTE(TRIM(L326),"'","''")&amp;"'")&amp;", p_email =&gt; "&amp;IF(TRIM(M326&amp;"")="","NULL","'"&amp;SUBSTITUTE(TRIM(M326),"'","''")&amp;"'")&amp;", p_observacion =&gt; "&amp;IF(TRIM(O326&amp;"")="","NULL","'"&amp;SUBSTITUTE(TRIM(O326),"'","''")&amp;"'")&amp;", p_direccion =&gt; "&amp;IF(TRIM(J326&amp;"")="","NULL","'"&amp;SUBSTITUTE(TRIM(J326),"'","''")&amp;"'")&amp;", p_referencia =&gt; "&amp;IF(TRIM(K326&amp;"")="","NULL","'"&amp;SUBSTITUTE(TRIM(K326),"'","''")&amp;"'")&amp;") AS resultado_cliente_"&amp;281&amp;";")</f>
        <v/>
      </c>
    </row>
    <row r="327" ht="15.75" customHeight="1" s="64">
      <c r="A327" s="25">
        <f>IF(AND(D327="",E327="",C327=""),"",IF(AND(D327="",E327=""),"FALTA razón social o nombres",IF(AND(C327&lt;&gt;"",COUNTIF($C$5:$C$549,C327)&gt;1),"DOCUMENTO DUPLICADO",IF(AND(B327="DNI",C327&lt;&gt;"",LEN(C327)&lt;&gt;8),"DNI debe tener 8 dígitos",IF(AND(B327="RUC",C327&lt;&gt;"",LEN(C327)&lt;&gt;11),"RUC debe tener 11 dígitos",IF(AND(N327&lt;&gt;"",COUNTIF($N$5:$N$549,N327)&gt;1),"CÓDIGO INTERNO DUPLICADO","OK"))))))</f>
        <v/>
      </c>
      <c r="B327" s="17" t="n"/>
      <c r="C327" s="23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23" t="n"/>
      <c r="M327" s="17" t="n"/>
      <c r="N327" s="23" t="n"/>
      <c r="O327" s="17" t="n"/>
      <c r="P327" s="28">
        <f>IF(A327&lt;&gt;"OK","","SELECT cli_crear_clientes(p_codigo_interno =&gt; "&amp;IF(TRIM(N327&amp;"")="","NULL","'"&amp;SUBSTITUTE(TRIM(N327),"'","''")&amp;"'")&amp;", p_razon_social =&gt; "&amp;IF(TRIM(D327&amp;"")="","NULL","'"&amp;SUBSTITUTE(TRIM(D327),"'","''")&amp;"'")&amp;", p_id_tipo_cliente =&gt; "&amp;IF(TRIM(I327&amp;"")="","NULL","(SELECT lo.id FROM gen_lista_opciones lo JOIN gen_lista l ON l.id = lo.id_lista WHERE l.nombre = 'TipoCliente' AND upper(lo.nombre) = upper('"&amp;SUBSTITUTE(TRIM(I327),"'","''")&amp;"') AND lo.estado = 1 LIMIT 1)")&amp;", p_id_tipo_persona =&gt; "&amp;IF(TRIM(H327&amp;"")="","NULL","(SELECT lo.id FROM gen_lista_opciones lo JOIN gen_lista l ON l.id = lo.id_lista WHERE l.nombre = 'TipoPersona' AND upper(lo.nombre) = upper('"&amp;SUBSTITUTE(TRIM(H327),"'","''")&amp;"') AND lo.estado = 1 LIMIT 1)")&amp;", p_nombres =&gt; "&amp;IF(TRIM(E327&amp;"")="","NULL","'"&amp;SUBSTITUTE(TRIM(E327),"'","''")&amp;"'")&amp;", p_apellido_paterno =&gt; "&amp;IF(TRIM(F327&amp;"")="","NULL","'"&amp;SUBSTITUTE(TRIM(F327),"'","''")&amp;"'")&amp;", p_apellido_materno =&gt; "&amp;IF(TRIM(G327&amp;"")="","NULL","'"&amp;SUBSTITUTE(TRIM(G327),"'","''")&amp;"'")&amp;", p_id_tipo_documento =&gt; "&amp;IF(TRIM(B327&amp;"")="","NULL","(SELECT lo.id FROM gen_lista_opciones lo JOIN gen_lista l ON l.id = lo.id_lista WHERE l.nombre = 'TipoDocumento' AND upper(lo.nombre) = upper('"&amp;SUBSTITUTE(TRIM(B327),"'","''")&amp;"') AND lo.estado = 1 LIMIT 1)")&amp;", p_numero_documento =&gt; "&amp;IF(TRIM(C327&amp;"")="","NULL","'"&amp;SUBSTITUTE(TRIM(C327),"'","''")&amp;"'")&amp;", p_telefono =&gt; "&amp;IF(TRIM(L327&amp;"")="","NULL","'"&amp;SUBSTITUTE(TRIM(L327),"'","''")&amp;"'")&amp;", p_email =&gt; "&amp;IF(TRIM(M327&amp;"")="","NULL","'"&amp;SUBSTITUTE(TRIM(M327),"'","''")&amp;"'")&amp;", p_observacion =&gt; "&amp;IF(TRIM(O327&amp;"")="","NULL","'"&amp;SUBSTITUTE(TRIM(O327),"'","''")&amp;"'")&amp;", p_direccion =&gt; "&amp;IF(TRIM(J327&amp;"")="","NULL","'"&amp;SUBSTITUTE(TRIM(J327),"'","''")&amp;"'")&amp;", p_referencia =&gt; "&amp;IF(TRIM(K327&amp;"")="","NULL","'"&amp;SUBSTITUTE(TRIM(K327),"'","''")&amp;"'")&amp;") AS resultado_cliente_"&amp;282&amp;";")</f>
        <v/>
      </c>
    </row>
    <row r="328" ht="15.75" customHeight="1" s="64">
      <c r="A328" s="25">
        <f>IF(AND(D328="",E328="",C328=""),"",IF(AND(D328="",E328=""),"FALTA razón social o nombres",IF(AND(C328&lt;&gt;"",COUNTIF($C$5:$C$549,C328)&gt;1),"DOCUMENTO DUPLICADO",IF(AND(B328="DNI",C328&lt;&gt;"",LEN(C328)&lt;&gt;8),"DNI debe tener 8 dígitos",IF(AND(B328="RUC",C328&lt;&gt;"",LEN(C328)&lt;&gt;11),"RUC debe tener 11 dígitos",IF(AND(N328&lt;&gt;"",COUNTIF($N$5:$N$549,N328)&gt;1),"CÓDIGO INTERNO DUPLICADO","OK"))))))</f>
        <v/>
      </c>
      <c r="B328" s="17" t="n"/>
      <c r="C328" s="23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23" t="n"/>
      <c r="M328" s="17" t="n"/>
      <c r="N328" s="23" t="n"/>
      <c r="O328" s="17" t="n"/>
      <c r="P328" s="28">
        <f>IF(A328&lt;&gt;"OK","","SELECT cli_crear_clientes(p_codigo_interno =&gt; "&amp;IF(TRIM(N328&amp;"")="","NULL","'"&amp;SUBSTITUTE(TRIM(N328),"'","''")&amp;"'")&amp;", p_razon_social =&gt; "&amp;IF(TRIM(D328&amp;"")="","NULL","'"&amp;SUBSTITUTE(TRIM(D328),"'","''")&amp;"'")&amp;", p_id_tipo_cliente =&gt; "&amp;IF(TRIM(I328&amp;"")="","NULL","(SELECT lo.id FROM gen_lista_opciones lo JOIN gen_lista l ON l.id = lo.id_lista WHERE l.nombre = 'TipoCliente' AND upper(lo.nombre) = upper('"&amp;SUBSTITUTE(TRIM(I328),"'","''")&amp;"') AND lo.estado = 1 LIMIT 1)")&amp;", p_id_tipo_persona =&gt; "&amp;IF(TRIM(H328&amp;"")="","NULL","(SELECT lo.id FROM gen_lista_opciones lo JOIN gen_lista l ON l.id = lo.id_lista WHERE l.nombre = 'TipoPersona' AND upper(lo.nombre) = upper('"&amp;SUBSTITUTE(TRIM(H328),"'","''")&amp;"') AND lo.estado = 1 LIMIT 1)")&amp;", p_nombres =&gt; "&amp;IF(TRIM(E328&amp;"")="","NULL","'"&amp;SUBSTITUTE(TRIM(E328),"'","''")&amp;"'")&amp;", p_apellido_paterno =&gt; "&amp;IF(TRIM(F328&amp;"")="","NULL","'"&amp;SUBSTITUTE(TRIM(F328),"'","''")&amp;"'")&amp;", p_apellido_materno =&gt; "&amp;IF(TRIM(G328&amp;"")="","NULL","'"&amp;SUBSTITUTE(TRIM(G328),"'","''")&amp;"'")&amp;", p_id_tipo_documento =&gt; "&amp;IF(TRIM(B328&amp;"")="","NULL","(SELECT lo.id FROM gen_lista_opciones lo JOIN gen_lista l ON l.id = lo.id_lista WHERE l.nombre = 'TipoDocumento' AND upper(lo.nombre) = upper('"&amp;SUBSTITUTE(TRIM(B328),"'","''")&amp;"') AND lo.estado = 1 LIMIT 1)")&amp;", p_numero_documento =&gt; "&amp;IF(TRIM(C328&amp;"")="","NULL","'"&amp;SUBSTITUTE(TRIM(C328),"'","''")&amp;"'")&amp;", p_telefono =&gt; "&amp;IF(TRIM(L328&amp;"")="","NULL","'"&amp;SUBSTITUTE(TRIM(L328),"'","''")&amp;"'")&amp;", p_email =&gt; "&amp;IF(TRIM(M328&amp;"")="","NULL","'"&amp;SUBSTITUTE(TRIM(M328),"'","''")&amp;"'")&amp;", p_observacion =&gt; "&amp;IF(TRIM(O328&amp;"")="","NULL","'"&amp;SUBSTITUTE(TRIM(O328),"'","''")&amp;"'")&amp;", p_direccion =&gt; "&amp;IF(TRIM(J328&amp;"")="","NULL","'"&amp;SUBSTITUTE(TRIM(J328),"'","''")&amp;"'")&amp;", p_referencia =&gt; "&amp;IF(TRIM(K328&amp;"")="","NULL","'"&amp;SUBSTITUTE(TRIM(K328),"'","''")&amp;"'")&amp;") AS resultado_cliente_"&amp;283&amp;";")</f>
        <v/>
      </c>
    </row>
    <row r="329" ht="15.75" customHeight="1" s="64">
      <c r="A329" s="25">
        <f>IF(AND(D329="",E329="",C329=""),"",IF(AND(D329="",E329=""),"FALTA razón social o nombres",IF(AND(C329&lt;&gt;"",COUNTIF($C$5:$C$549,C329)&gt;1),"DOCUMENTO DUPLICADO",IF(AND(B329="DNI",C329&lt;&gt;"",LEN(C329)&lt;&gt;8),"DNI debe tener 8 dígitos",IF(AND(B329="RUC",C329&lt;&gt;"",LEN(C329)&lt;&gt;11),"RUC debe tener 11 dígitos",IF(AND(N329&lt;&gt;"",COUNTIF($N$5:$N$549,N329)&gt;1),"CÓDIGO INTERNO DUPLICADO","OK"))))))</f>
        <v/>
      </c>
      <c r="B329" s="17" t="n"/>
      <c r="C329" s="23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23" t="n"/>
      <c r="M329" s="17" t="n"/>
      <c r="N329" s="23" t="n"/>
      <c r="O329" s="17" t="n"/>
      <c r="P329" s="28">
        <f>IF(A329&lt;&gt;"OK","","SELECT cli_crear_clientes(p_codigo_interno =&gt; "&amp;IF(TRIM(N329&amp;"")="","NULL","'"&amp;SUBSTITUTE(TRIM(N329),"'","''")&amp;"'")&amp;", p_razon_social =&gt; "&amp;IF(TRIM(D329&amp;"")="","NULL","'"&amp;SUBSTITUTE(TRIM(D329),"'","''")&amp;"'")&amp;", p_id_tipo_cliente =&gt; "&amp;IF(TRIM(I329&amp;"")="","NULL","(SELECT lo.id FROM gen_lista_opciones lo JOIN gen_lista l ON l.id = lo.id_lista WHERE l.nombre = 'TipoCliente' AND upper(lo.nombre) = upper('"&amp;SUBSTITUTE(TRIM(I329),"'","''")&amp;"') AND lo.estado = 1 LIMIT 1)")&amp;", p_id_tipo_persona =&gt; "&amp;IF(TRIM(H329&amp;"")="","NULL","(SELECT lo.id FROM gen_lista_opciones lo JOIN gen_lista l ON l.id = lo.id_lista WHERE l.nombre = 'TipoPersona' AND upper(lo.nombre) = upper('"&amp;SUBSTITUTE(TRIM(H329),"'","''")&amp;"') AND lo.estado = 1 LIMIT 1)")&amp;", p_nombres =&gt; "&amp;IF(TRIM(E329&amp;"")="","NULL","'"&amp;SUBSTITUTE(TRIM(E329),"'","''")&amp;"'")&amp;", p_apellido_paterno =&gt; "&amp;IF(TRIM(F329&amp;"")="","NULL","'"&amp;SUBSTITUTE(TRIM(F329),"'","''")&amp;"'")&amp;", p_apellido_materno =&gt; "&amp;IF(TRIM(G329&amp;"")="","NULL","'"&amp;SUBSTITUTE(TRIM(G329),"'","''")&amp;"'")&amp;", p_id_tipo_documento =&gt; "&amp;IF(TRIM(B329&amp;"")="","NULL","(SELECT lo.id FROM gen_lista_opciones lo JOIN gen_lista l ON l.id = lo.id_lista WHERE l.nombre = 'TipoDocumento' AND upper(lo.nombre) = upper('"&amp;SUBSTITUTE(TRIM(B329),"'","''")&amp;"') AND lo.estado = 1 LIMIT 1)")&amp;", p_numero_documento =&gt; "&amp;IF(TRIM(C329&amp;"")="","NULL","'"&amp;SUBSTITUTE(TRIM(C329),"'","''")&amp;"'")&amp;", p_telefono =&gt; "&amp;IF(TRIM(L329&amp;"")="","NULL","'"&amp;SUBSTITUTE(TRIM(L329),"'","''")&amp;"'")&amp;", p_email =&gt; "&amp;IF(TRIM(M329&amp;"")="","NULL","'"&amp;SUBSTITUTE(TRIM(M329),"'","''")&amp;"'")&amp;", p_observacion =&gt; "&amp;IF(TRIM(O329&amp;"")="","NULL","'"&amp;SUBSTITUTE(TRIM(O329),"'","''")&amp;"'")&amp;", p_direccion =&gt; "&amp;IF(TRIM(J329&amp;"")="","NULL","'"&amp;SUBSTITUTE(TRIM(J329),"'","''")&amp;"'")&amp;", p_referencia =&gt; "&amp;IF(TRIM(K329&amp;"")="","NULL","'"&amp;SUBSTITUTE(TRIM(K329),"'","''")&amp;"'")&amp;") AS resultado_cliente_"&amp;284&amp;";")</f>
        <v/>
      </c>
    </row>
    <row r="330" ht="15.75" customHeight="1" s="64">
      <c r="A330" s="25">
        <f>IF(AND(D330="",E330="",C330=""),"",IF(AND(D330="",E330=""),"FALTA razón social o nombres",IF(AND(C330&lt;&gt;"",COUNTIF($C$5:$C$549,C330)&gt;1),"DOCUMENTO DUPLICADO",IF(AND(B330="DNI",C330&lt;&gt;"",LEN(C330)&lt;&gt;8),"DNI debe tener 8 dígitos",IF(AND(B330="RUC",C330&lt;&gt;"",LEN(C330)&lt;&gt;11),"RUC debe tener 11 dígitos",IF(AND(N330&lt;&gt;"",COUNTIF($N$5:$N$549,N330)&gt;1),"CÓDIGO INTERNO DUPLICADO","OK"))))))</f>
        <v/>
      </c>
      <c r="B330" s="17" t="n"/>
      <c r="C330" s="23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23" t="n"/>
      <c r="M330" s="17" t="n"/>
      <c r="N330" s="23" t="n"/>
      <c r="O330" s="17" t="n"/>
      <c r="P330" s="28">
        <f>IF(A330&lt;&gt;"OK","","SELECT cli_crear_clientes(p_codigo_interno =&gt; "&amp;IF(TRIM(N330&amp;"")="","NULL","'"&amp;SUBSTITUTE(TRIM(N330),"'","''")&amp;"'")&amp;", p_razon_social =&gt; "&amp;IF(TRIM(D330&amp;"")="","NULL","'"&amp;SUBSTITUTE(TRIM(D330),"'","''")&amp;"'")&amp;", p_id_tipo_cliente =&gt; "&amp;IF(TRIM(I330&amp;"")="","NULL","(SELECT lo.id FROM gen_lista_opciones lo JOIN gen_lista l ON l.id = lo.id_lista WHERE l.nombre = 'TipoCliente' AND upper(lo.nombre) = upper('"&amp;SUBSTITUTE(TRIM(I330),"'","''")&amp;"') AND lo.estado = 1 LIMIT 1)")&amp;", p_id_tipo_persona =&gt; "&amp;IF(TRIM(H330&amp;"")="","NULL","(SELECT lo.id FROM gen_lista_opciones lo JOIN gen_lista l ON l.id = lo.id_lista WHERE l.nombre = 'TipoPersona' AND upper(lo.nombre) = upper('"&amp;SUBSTITUTE(TRIM(H330),"'","''")&amp;"') AND lo.estado = 1 LIMIT 1)")&amp;", p_nombres =&gt; "&amp;IF(TRIM(E330&amp;"")="","NULL","'"&amp;SUBSTITUTE(TRIM(E330),"'","''")&amp;"'")&amp;", p_apellido_paterno =&gt; "&amp;IF(TRIM(F330&amp;"")="","NULL","'"&amp;SUBSTITUTE(TRIM(F330),"'","''")&amp;"'")&amp;", p_apellido_materno =&gt; "&amp;IF(TRIM(G330&amp;"")="","NULL","'"&amp;SUBSTITUTE(TRIM(G330),"'","''")&amp;"'")&amp;", p_id_tipo_documento =&gt; "&amp;IF(TRIM(B330&amp;"")="","NULL","(SELECT lo.id FROM gen_lista_opciones lo JOIN gen_lista l ON l.id = lo.id_lista WHERE l.nombre = 'TipoDocumento' AND upper(lo.nombre) = upper('"&amp;SUBSTITUTE(TRIM(B330),"'","''")&amp;"') AND lo.estado = 1 LIMIT 1)")&amp;", p_numero_documento =&gt; "&amp;IF(TRIM(C330&amp;"")="","NULL","'"&amp;SUBSTITUTE(TRIM(C330),"'","''")&amp;"'")&amp;", p_telefono =&gt; "&amp;IF(TRIM(L330&amp;"")="","NULL","'"&amp;SUBSTITUTE(TRIM(L330),"'","''")&amp;"'")&amp;", p_email =&gt; "&amp;IF(TRIM(M330&amp;"")="","NULL","'"&amp;SUBSTITUTE(TRIM(M330),"'","''")&amp;"'")&amp;", p_observacion =&gt; "&amp;IF(TRIM(O330&amp;"")="","NULL","'"&amp;SUBSTITUTE(TRIM(O330),"'","''")&amp;"'")&amp;", p_direccion =&gt; "&amp;IF(TRIM(J330&amp;"")="","NULL","'"&amp;SUBSTITUTE(TRIM(J330),"'","''")&amp;"'")&amp;", p_referencia =&gt; "&amp;IF(TRIM(K330&amp;"")="","NULL","'"&amp;SUBSTITUTE(TRIM(K330),"'","''")&amp;"'")&amp;") AS resultado_cliente_"&amp;285&amp;";")</f>
        <v/>
      </c>
    </row>
    <row r="331" ht="15.75" customHeight="1" s="64">
      <c r="A331" s="25">
        <f>IF(AND(D331="",E331="",C331=""),"",IF(AND(D331="",E331=""),"FALTA razón social o nombres",IF(AND(C331&lt;&gt;"",COUNTIF($C$5:$C$549,C331)&gt;1),"DOCUMENTO DUPLICADO",IF(AND(B331="DNI",C331&lt;&gt;"",LEN(C331)&lt;&gt;8),"DNI debe tener 8 dígitos",IF(AND(B331="RUC",C331&lt;&gt;"",LEN(C331)&lt;&gt;11),"RUC debe tener 11 dígitos",IF(AND(N331&lt;&gt;"",COUNTIF($N$5:$N$549,N331)&gt;1),"CÓDIGO INTERNO DUPLICADO","OK"))))))</f>
        <v/>
      </c>
      <c r="B331" s="17" t="n"/>
      <c r="C331" s="23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23" t="n"/>
      <c r="M331" s="17" t="n"/>
      <c r="N331" s="23" t="n"/>
      <c r="O331" s="17" t="n"/>
      <c r="P331" s="28">
        <f>IF(A331&lt;&gt;"OK","","SELECT cli_crear_clientes(p_codigo_interno =&gt; "&amp;IF(TRIM(N331&amp;"")="","NULL","'"&amp;SUBSTITUTE(TRIM(N331),"'","''")&amp;"'")&amp;", p_razon_social =&gt; "&amp;IF(TRIM(D331&amp;"")="","NULL","'"&amp;SUBSTITUTE(TRIM(D331),"'","''")&amp;"'")&amp;", p_id_tipo_cliente =&gt; "&amp;IF(TRIM(I331&amp;"")="","NULL","(SELECT lo.id FROM gen_lista_opciones lo JOIN gen_lista l ON l.id = lo.id_lista WHERE l.nombre = 'TipoCliente' AND upper(lo.nombre) = upper('"&amp;SUBSTITUTE(TRIM(I331),"'","''")&amp;"') AND lo.estado = 1 LIMIT 1)")&amp;", p_id_tipo_persona =&gt; "&amp;IF(TRIM(H331&amp;"")="","NULL","(SELECT lo.id FROM gen_lista_opciones lo JOIN gen_lista l ON l.id = lo.id_lista WHERE l.nombre = 'TipoPersona' AND upper(lo.nombre) = upper('"&amp;SUBSTITUTE(TRIM(H331),"'","''")&amp;"') AND lo.estado = 1 LIMIT 1)")&amp;", p_nombres =&gt; "&amp;IF(TRIM(E331&amp;"")="","NULL","'"&amp;SUBSTITUTE(TRIM(E331),"'","''")&amp;"'")&amp;", p_apellido_paterno =&gt; "&amp;IF(TRIM(F331&amp;"")="","NULL","'"&amp;SUBSTITUTE(TRIM(F331),"'","''")&amp;"'")&amp;", p_apellido_materno =&gt; "&amp;IF(TRIM(G331&amp;"")="","NULL","'"&amp;SUBSTITUTE(TRIM(G331),"'","''")&amp;"'")&amp;", p_id_tipo_documento =&gt; "&amp;IF(TRIM(B331&amp;"")="","NULL","(SELECT lo.id FROM gen_lista_opciones lo JOIN gen_lista l ON l.id = lo.id_lista WHERE l.nombre = 'TipoDocumento' AND upper(lo.nombre) = upper('"&amp;SUBSTITUTE(TRIM(B331),"'","''")&amp;"') AND lo.estado = 1 LIMIT 1)")&amp;", p_numero_documento =&gt; "&amp;IF(TRIM(C331&amp;"")="","NULL","'"&amp;SUBSTITUTE(TRIM(C331),"'","''")&amp;"'")&amp;", p_telefono =&gt; "&amp;IF(TRIM(L331&amp;"")="","NULL","'"&amp;SUBSTITUTE(TRIM(L331),"'","''")&amp;"'")&amp;", p_email =&gt; "&amp;IF(TRIM(M331&amp;"")="","NULL","'"&amp;SUBSTITUTE(TRIM(M331),"'","''")&amp;"'")&amp;", p_observacion =&gt; "&amp;IF(TRIM(O331&amp;"")="","NULL","'"&amp;SUBSTITUTE(TRIM(O331),"'","''")&amp;"'")&amp;", p_direccion =&gt; "&amp;IF(TRIM(J331&amp;"")="","NULL","'"&amp;SUBSTITUTE(TRIM(J331),"'","''")&amp;"'")&amp;", p_referencia =&gt; "&amp;IF(TRIM(K331&amp;"")="","NULL","'"&amp;SUBSTITUTE(TRIM(K331),"'","''")&amp;"'")&amp;") AS resultado_cliente_"&amp;286&amp;";")</f>
        <v/>
      </c>
    </row>
    <row r="332" ht="15.75" customHeight="1" s="64">
      <c r="A332" s="25">
        <f>IF(AND(D332="",E332="",C332=""),"",IF(AND(D332="",E332=""),"FALTA razón social o nombres",IF(AND(C332&lt;&gt;"",COUNTIF($C$5:$C$549,C332)&gt;1),"DOCUMENTO DUPLICADO",IF(AND(B332="DNI",C332&lt;&gt;"",LEN(C332)&lt;&gt;8),"DNI debe tener 8 dígitos",IF(AND(B332="RUC",C332&lt;&gt;"",LEN(C332)&lt;&gt;11),"RUC debe tener 11 dígitos",IF(AND(N332&lt;&gt;"",COUNTIF($N$5:$N$549,N332)&gt;1),"CÓDIGO INTERNO DUPLICADO","OK"))))))</f>
        <v/>
      </c>
      <c r="B332" s="17" t="n"/>
      <c r="C332" s="23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23" t="n"/>
      <c r="M332" s="17" t="n"/>
      <c r="N332" s="23" t="n"/>
      <c r="O332" s="17" t="n"/>
      <c r="P332" s="28">
        <f>IF(A332&lt;&gt;"OK","","SELECT cli_crear_clientes(p_codigo_interno =&gt; "&amp;IF(TRIM(N332&amp;"")="","NULL","'"&amp;SUBSTITUTE(TRIM(N332),"'","''")&amp;"'")&amp;", p_razon_social =&gt; "&amp;IF(TRIM(D332&amp;"")="","NULL","'"&amp;SUBSTITUTE(TRIM(D332),"'","''")&amp;"'")&amp;", p_id_tipo_cliente =&gt; "&amp;IF(TRIM(I332&amp;"")="","NULL","(SELECT lo.id FROM gen_lista_opciones lo JOIN gen_lista l ON l.id = lo.id_lista WHERE l.nombre = 'TipoCliente' AND upper(lo.nombre) = upper('"&amp;SUBSTITUTE(TRIM(I332),"'","''")&amp;"') AND lo.estado = 1 LIMIT 1)")&amp;", p_id_tipo_persona =&gt; "&amp;IF(TRIM(H332&amp;"")="","NULL","(SELECT lo.id FROM gen_lista_opciones lo JOIN gen_lista l ON l.id = lo.id_lista WHERE l.nombre = 'TipoPersona' AND upper(lo.nombre) = upper('"&amp;SUBSTITUTE(TRIM(H332),"'","''")&amp;"') AND lo.estado = 1 LIMIT 1)")&amp;", p_nombres =&gt; "&amp;IF(TRIM(E332&amp;"")="","NULL","'"&amp;SUBSTITUTE(TRIM(E332),"'","''")&amp;"'")&amp;", p_apellido_paterno =&gt; "&amp;IF(TRIM(F332&amp;"")="","NULL","'"&amp;SUBSTITUTE(TRIM(F332),"'","''")&amp;"'")&amp;", p_apellido_materno =&gt; "&amp;IF(TRIM(G332&amp;"")="","NULL","'"&amp;SUBSTITUTE(TRIM(G332),"'","''")&amp;"'")&amp;", p_id_tipo_documento =&gt; "&amp;IF(TRIM(B332&amp;"")="","NULL","(SELECT lo.id FROM gen_lista_opciones lo JOIN gen_lista l ON l.id = lo.id_lista WHERE l.nombre = 'TipoDocumento' AND upper(lo.nombre) = upper('"&amp;SUBSTITUTE(TRIM(B332),"'","''")&amp;"') AND lo.estado = 1 LIMIT 1)")&amp;", p_numero_documento =&gt; "&amp;IF(TRIM(C332&amp;"")="","NULL","'"&amp;SUBSTITUTE(TRIM(C332),"'","''")&amp;"'")&amp;", p_telefono =&gt; "&amp;IF(TRIM(L332&amp;"")="","NULL","'"&amp;SUBSTITUTE(TRIM(L332),"'","''")&amp;"'")&amp;", p_email =&gt; "&amp;IF(TRIM(M332&amp;"")="","NULL","'"&amp;SUBSTITUTE(TRIM(M332),"'","''")&amp;"'")&amp;", p_observacion =&gt; "&amp;IF(TRIM(O332&amp;"")="","NULL","'"&amp;SUBSTITUTE(TRIM(O332),"'","''")&amp;"'")&amp;", p_direccion =&gt; "&amp;IF(TRIM(J332&amp;"")="","NULL","'"&amp;SUBSTITUTE(TRIM(J332),"'","''")&amp;"'")&amp;", p_referencia =&gt; "&amp;IF(TRIM(K332&amp;"")="","NULL","'"&amp;SUBSTITUTE(TRIM(K332),"'","''")&amp;"'")&amp;") AS resultado_cliente_"&amp;287&amp;";")</f>
        <v/>
      </c>
    </row>
    <row r="333" ht="15.75" customHeight="1" s="64">
      <c r="A333" s="25">
        <f>IF(AND(D333="",E333="",C333=""),"",IF(AND(D333="",E333=""),"FALTA razón social o nombres",IF(AND(C333&lt;&gt;"",COUNTIF($C$5:$C$549,C333)&gt;1),"DOCUMENTO DUPLICADO",IF(AND(B333="DNI",C333&lt;&gt;"",LEN(C333)&lt;&gt;8),"DNI debe tener 8 dígitos",IF(AND(B333="RUC",C333&lt;&gt;"",LEN(C333)&lt;&gt;11),"RUC debe tener 11 dígitos",IF(AND(N333&lt;&gt;"",COUNTIF($N$5:$N$549,N333)&gt;1),"CÓDIGO INTERNO DUPLICADO","OK"))))))</f>
        <v/>
      </c>
      <c r="B333" s="17" t="n"/>
      <c r="C333" s="23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23" t="n"/>
      <c r="M333" s="17" t="n"/>
      <c r="N333" s="23" t="n"/>
      <c r="O333" s="17" t="n"/>
      <c r="P333" s="28">
        <f>IF(A333&lt;&gt;"OK","","SELECT cli_crear_clientes(p_codigo_interno =&gt; "&amp;IF(TRIM(N333&amp;"")="","NULL","'"&amp;SUBSTITUTE(TRIM(N333),"'","''")&amp;"'")&amp;", p_razon_social =&gt; "&amp;IF(TRIM(D333&amp;"")="","NULL","'"&amp;SUBSTITUTE(TRIM(D333),"'","''")&amp;"'")&amp;", p_id_tipo_cliente =&gt; "&amp;IF(TRIM(I333&amp;"")="","NULL","(SELECT lo.id FROM gen_lista_opciones lo JOIN gen_lista l ON l.id = lo.id_lista WHERE l.nombre = 'TipoCliente' AND upper(lo.nombre) = upper('"&amp;SUBSTITUTE(TRIM(I333),"'","''")&amp;"') AND lo.estado = 1 LIMIT 1)")&amp;", p_id_tipo_persona =&gt; "&amp;IF(TRIM(H333&amp;"")="","NULL","(SELECT lo.id FROM gen_lista_opciones lo JOIN gen_lista l ON l.id = lo.id_lista WHERE l.nombre = 'TipoPersona' AND upper(lo.nombre) = upper('"&amp;SUBSTITUTE(TRIM(H333),"'","''")&amp;"') AND lo.estado = 1 LIMIT 1)")&amp;", p_nombres =&gt; "&amp;IF(TRIM(E333&amp;"")="","NULL","'"&amp;SUBSTITUTE(TRIM(E333),"'","''")&amp;"'")&amp;", p_apellido_paterno =&gt; "&amp;IF(TRIM(F333&amp;"")="","NULL","'"&amp;SUBSTITUTE(TRIM(F333),"'","''")&amp;"'")&amp;", p_apellido_materno =&gt; "&amp;IF(TRIM(G333&amp;"")="","NULL","'"&amp;SUBSTITUTE(TRIM(G333),"'","''")&amp;"'")&amp;", p_id_tipo_documento =&gt; "&amp;IF(TRIM(B333&amp;"")="","NULL","(SELECT lo.id FROM gen_lista_opciones lo JOIN gen_lista l ON l.id = lo.id_lista WHERE l.nombre = 'TipoDocumento' AND upper(lo.nombre) = upper('"&amp;SUBSTITUTE(TRIM(B333),"'","''")&amp;"') AND lo.estado = 1 LIMIT 1)")&amp;", p_numero_documento =&gt; "&amp;IF(TRIM(C333&amp;"")="","NULL","'"&amp;SUBSTITUTE(TRIM(C333),"'","''")&amp;"'")&amp;", p_telefono =&gt; "&amp;IF(TRIM(L333&amp;"")="","NULL","'"&amp;SUBSTITUTE(TRIM(L333),"'","''")&amp;"'")&amp;", p_email =&gt; "&amp;IF(TRIM(M333&amp;"")="","NULL","'"&amp;SUBSTITUTE(TRIM(M333),"'","''")&amp;"'")&amp;", p_observacion =&gt; "&amp;IF(TRIM(O333&amp;"")="","NULL","'"&amp;SUBSTITUTE(TRIM(O333),"'","''")&amp;"'")&amp;", p_direccion =&gt; "&amp;IF(TRIM(J333&amp;"")="","NULL","'"&amp;SUBSTITUTE(TRIM(J333),"'","''")&amp;"'")&amp;", p_referencia =&gt; "&amp;IF(TRIM(K333&amp;"")="","NULL","'"&amp;SUBSTITUTE(TRIM(K333),"'","''")&amp;"'")&amp;") AS resultado_cliente_"&amp;288&amp;";")</f>
        <v/>
      </c>
    </row>
    <row r="334" ht="15.75" customHeight="1" s="64">
      <c r="A334" s="25">
        <f>IF(AND(D334="",E334="",C334=""),"",IF(AND(D334="",E334=""),"FALTA razón social o nombres",IF(AND(C334&lt;&gt;"",COUNTIF($C$5:$C$549,C334)&gt;1),"DOCUMENTO DUPLICADO",IF(AND(B334="DNI",C334&lt;&gt;"",LEN(C334)&lt;&gt;8),"DNI debe tener 8 dígitos",IF(AND(B334="RUC",C334&lt;&gt;"",LEN(C334)&lt;&gt;11),"RUC debe tener 11 dígitos",IF(AND(N334&lt;&gt;"",COUNTIF($N$5:$N$549,N334)&gt;1),"CÓDIGO INTERNO DUPLICADO","OK"))))))</f>
        <v/>
      </c>
      <c r="B334" s="17" t="n"/>
      <c r="C334" s="23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23" t="n"/>
      <c r="M334" s="17" t="n"/>
      <c r="N334" s="23" t="n"/>
      <c r="O334" s="17" t="n"/>
      <c r="P334" s="28">
        <f>IF(A334&lt;&gt;"OK","","SELECT cli_crear_clientes(p_codigo_interno =&gt; "&amp;IF(TRIM(N334&amp;"")="","NULL","'"&amp;SUBSTITUTE(TRIM(N334),"'","''")&amp;"'")&amp;", p_razon_social =&gt; "&amp;IF(TRIM(D334&amp;"")="","NULL","'"&amp;SUBSTITUTE(TRIM(D334),"'","''")&amp;"'")&amp;", p_id_tipo_cliente =&gt; "&amp;IF(TRIM(I334&amp;"")="","NULL","(SELECT lo.id FROM gen_lista_opciones lo JOIN gen_lista l ON l.id = lo.id_lista WHERE l.nombre = 'TipoCliente' AND upper(lo.nombre) = upper('"&amp;SUBSTITUTE(TRIM(I334),"'","''")&amp;"') AND lo.estado = 1 LIMIT 1)")&amp;", p_id_tipo_persona =&gt; "&amp;IF(TRIM(H334&amp;"")="","NULL","(SELECT lo.id FROM gen_lista_opciones lo JOIN gen_lista l ON l.id = lo.id_lista WHERE l.nombre = 'TipoPersona' AND upper(lo.nombre) = upper('"&amp;SUBSTITUTE(TRIM(H334),"'","''")&amp;"') AND lo.estado = 1 LIMIT 1)")&amp;", p_nombres =&gt; "&amp;IF(TRIM(E334&amp;"")="","NULL","'"&amp;SUBSTITUTE(TRIM(E334),"'","''")&amp;"'")&amp;", p_apellido_paterno =&gt; "&amp;IF(TRIM(F334&amp;"")="","NULL","'"&amp;SUBSTITUTE(TRIM(F334),"'","''")&amp;"'")&amp;", p_apellido_materno =&gt; "&amp;IF(TRIM(G334&amp;"")="","NULL","'"&amp;SUBSTITUTE(TRIM(G334),"'","''")&amp;"'")&amp;", p_id_tipo_documento =&gt; "&amp;IF(TRIM(B334&amp;"")="","NULL","(SELECT lo.id FROM gen_lista_opciones lo JOIN gen_lista l ON l.id = lo.id_lista WHERE l.nombre = 'TipoDocumento' AND upper(lo.nombre) = upper('"&amp;SUBSTITUTE(TRIM(B334),"'","''")&amp;"') AND lo.estado = 1 LIMIT 1)")&amp;", p_numero_documento =&gt; "&amp;IF(TRIM(C334&amp;"")="","NULL","'"&amp;SUBSTITUTE(TRIM(C334),"'","''")&amp;"'")&amp;", p_telefono =&gt; "&amp;IF(TRIM(L334&amp;"")="","NULL","'"&amp;SUBSTITUTE(TRIM(L334),"'","''")&amp;"'")&amp;", p_email =&gt; "&amp;IF(TRIM(M334&amp;"")="","NULL","'"&amp;SUBSTITUTE(TRIM(M334),"'","''")&amp;"'")&amp;", p_observacion =&gt; "&amp;IF(TRIM(O334&amp;"")="","NULL","'"&amp;SUBSTITUTE(TRIM(O334),"'","''")&amp;"'")&amp;", p_direccion =&gt; "&amp;IF(TRIM(J334&amp;"")="","NULL","'"&amp;SUBSTITUTE(TRIM(J334),"'","''")&amp;"'")&amp;", p_referencia =&gt; "&amp;IF(TRIM(K334&amp;"")="","NULL","'"&amp;SUBSTITUTE(TRIM(K334),"'","''")&amp;"'")&amp;") AS resultado_cliente_"&amp;289&amp;";")</f>
        <v/>
      </c>
    </row>
    <row r="335" ht="15.75" customHeight="1" s="64">
      <c r="A335" s="25">
        <f>IF(AND(D335="",E335="",C335=""),"",IF(AND(D335="",E335=""),"FALTA razón social o nombres",IF(AND(C335&lt;&gt;"",COUNTIF($C$5:$C$549,C335)&gt;1),"DOCUMENTO DUPLICADO",IF(AND(B335="DNI",C335&lt;&gt;"",LEN(C335)&lt;&gt;8),"DNI debe tener 8 dígitos",IF(AND(B335="RUC",C335&lt;&gt;"",LEN(C335)&lt;&gt;11),"RUC debe tener 11 dígitos",IF(AND(N335&lt;&gt;"",COUNTIF($N$5:$N$549,N335)&gt;1),"CÓDIGO INTERNO DUPLICADO","OK"))))))</f>
        <v/>
      </c>
      <c r="B335" s="17" t="n"/>
      <c r="C335" s="23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23" t="n"/>
      <c r="M335" s="17" t="n"/>
      <c r="N335" s="23" t="n"/>
      <c r="O335" s="17" t="n"/>
      <c r="P335" s="28">
        <f>IF(A335&lt;&gt;"OK","","SELECT cli_crear_clientes(p_codigo_interno =&gt; "&amp;IF(TRIM(N335&amp;"")="","NULL","'"&amp;SUBSTITUTE(TRIM(N335),"'","''")&amp;"'")&amp;", p_razon_social =&gt; "&amp;IF(TRIM(D335&amp;"")="","NULL","'"&amp;SUBSTITUTE(TRIM(D335),"'","''")&amp;"'")&amp;", p_id_tipo_cliente =&gt; "&amp;IF(TRIM(I335&amp;"")="","NULL","(SELECT lo.id FROM gen_lista_opciones lo JOIN gen_lista l ON l.id = lo.id_lista WHERE l.nombre = 'TipoCliente' AND upper(lo.nombre) = upper('"&amp;SUBSTITUTE(TRIM(I335),"'","''")&amp;"') AND lo.estado = 1 LIMIT 1)")&amp;", p_id_tipo_persona =&gt; "&amp;IF(TRIM(H335&amp;"")="","NULL","(SELECT lo.id FROM gen_lista_opciones lo JOIN gen_lista l ON l.id = lo.id_lista WHERE l.nombre = 'TipoPersona' AND upper(lo.nombre) = upper('"&amp;SUBSTITUTE(TRIM(H335),"'","''")&amp;"') AND lo.estado = 1 LIMIT 1)")&amp;", p_nombres =&gt; "&amp;IF(TRIM(E335&amp;"")="","NULL","'"&amp;SUBSTITUTE(TRIM(E335),"'","''")&amp;"'")&amp;", p_apellido_paterno =&gt; "&amp;IF(TRIM(F335&amp;"")="","NULL","'"&amp;SUBSTITUTE(TRIM(F335),"'","''")&amp;"'")&amp;", p_apellido_materno =&gt; "&amp;IF(TRIM(G335&amp;"")="","NULL","'"&amp;SUBSTITUTE(TRIM(G335),"'","''")&amp;"'")&amp;", p_id_tipo_documento =&gt; "&amp;IF(TRIM(B335&amp;"")="","NULL","(SELECT lo.id FROM gen_lista_opciones lo JOIN gen_lista l ON l.id = lo.id_lista WHERE l.nombre = 'TipoDocumento' AND upper(lo.nombre) = upper('"&amp;SUBSTITUTE(TRIM(B335),"'","''")&amp;"') AND lo.estado = 1 LIMIT 1)")&amp;", p_numero_documento =&gt; "&amp;IF(TRIM(C335&amp;"")="","NULL","'"&amp;SUBSTITUTE(TRIM(C335),"'","''")&amp;"'")&amp;", p_telefono =&gt; "&amp;IF(TRIM(L335&amp;"")="","NULL","'"&amp;SUBSTITUTE(TRIM(L335),"'","''")&amp;"'")&amp;", p_email =&gt; "&amp;IF(TRIM(M335&amp;"")="","NULL","'"&amp;SUBSTITUTE(TRIM(M335),"'","''")&amp;"'")&amp;", p_observacion =&gt; "&amp;IF(TRIM(O335&amp;"")="","NULL","'"&amp;SUBSTITUTE(TRIM(O335),"'","''")&amp;"'")&amp;", p_direccion =&gt; "&amp;IF(TRIM(J335&amp;"")="","NULL","'"&amp;SUBSTITUTE(TRIM(J335),"'","''")&amp;"'")&amp;", p_referencia =&gt; "&amp;IF(TRIM(K335&amp;"")="","NULL","'"&amp;SUBSTITUTE(TRIM(K335),"'","''")&amp;"'")&amp;") AS resultado_cliente_"&amp;290&amp;";")</f>
        <v/>
      </c>
    </row>
    <row r="336" ht="15.75" customHeight="1" s="64">
      <c r="A336" s="25">
        <f>IF(AND(D336="",E336="",C336=""),"",IF(AND(D336="",E336=""),"FALTA razón social o nombres",IF(AND(C336&lt;&gt;"",COUNTIF($C$5:$C$549,C336)&gt;1),"DOCUMENTO DUPLICADO",IF(AND(B336="DNI",C336&lt;&gt;"",LEN(C336)&lt;&gt;8),"DNI debe tener 8 dígitos",IF(AND(B336="RUC",C336&lt;&gt;"",LEN(C336)&lt;&gt;11),"RUC debe tener 11 dígitos",IF(AND(N336&lt;&gt;"",COUNTIF($N$5:$N$549,N336)&gt;1),"CÓDIGO INTERNO DUPLICADO","OK"))))))</f>
        <v/>
      </c>
      <c r="B336" s="17" t="n"/>
      <c r="C336" s="23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23" t="n"/>
      <c r="M336" s="17" t="n"/>
      <c r="N336" s="23" t="n"/>
      <c r="O336" s="17" t="n"/>
      <c r="P336" s="28">
        <f>IF(A336&lt;&gt;"OK","","SELECT cli_crear_clientes(p_codigo_interno =&gt; "&amp;IF(TRIM(N336&amp;"")="","NULL","'"&amp;SUBSTITUTE(TRIM(N336),"'","''")&amp;"'")&amp;", p_razon_social =&gt; "&amp;IF(TRIM(D336&amp;"")="","NULL","'"&amp;SUBSTITUTE(TRIM(D336),"'","''")&amp;"'")&amp;", p_id_tipo_cliente =&gt; "&amp;IF(TRIM(I336&amp;"")="","NULL","(SELECT lo.id FROM gen_lista_opciones lo JOIN gen_lista l ON l.id = lo.id_lista WHERE l.nombre = 'TipoCliente' AND upper(lo.nombre) = upper('"&amp;SUBSTITUTE(TRIM(I336),"'","''")&amp;"') AND lo.estado = 1 LIMIT 1)")&amp;", p_id_tipo_persona =&gt; "&amp;IF(TRIM(H336&amp;"")="","NULL","(SELECT lo.id FROM gen_lista_opciones lo JOIN gen_lista l ON l.id = lo.id_lista WHERE l.nombre = 'TipoPersona' AND upper(lo.nombre) = upper('"&amp;SUBSTITUTE(TRIM(H336),"'","''")&amp;"') AND lo.estado = 1 LIMIT 1)")&amp;", p_nombres =&gt; "&amp;IF(TRIM(E336&amp;"")="","NULL","'"&amp;SUBSTITUTE(TRIM(E336),"'","''")&amp;"'")&amp;", p_apellido_paterno =&gt; "&amp;IF(TRIM(F336&amp;"")="","NULL","'"&amp;SUBSTITUTE(TRIM(F336),"'","''")&amp;"'")&amp;", p_apellido_materno =&gt; "&amp;IF(TRIM(G336&amp;"")="","NULL","'"&amp;SUBSTITUTE(TRIM(G336),"'","''")&amp;"'")&amp;", p_id_tipo_documento =&gt; "&amp;IF(TRIM(B336&amp;"")="","NULL","(SELECT lo.id FROM gen_lista_opciones lo JOIN gen_lista l ON l.id = lo.id_lista WHERE l.nombre = 'TipoDocumento' AND upper(lo.nombre) = upper('"&amp;SUBSTITUTE(TRIM(B336),"'","''")&amp;"') AND lo.estado = 1 LIMIT 1)")&amp;", p_numero_documento =&gt; "&amp;IF(TRIM(C336&amp;"")="","NULL","'"&amp;SUBSTITUTE(TRIM(C336),"'","''")&amp;"'")&amp;", p_telefono =&gt; "&amp;IF(TRIM(L336&amp;"")="","NULL","'"&amp;SUBSTITUTE(TRIM(L336),"'","''")&amp;"'")&amp;", p_email =&gt; "&amp;IF(TRIM(M336&amp;"")="","NULL","'"&amp;SUBSTITUTE(TRIM(M336),"'","''")&amp;"'")&amp;", p_observacion =&gt; "&amp;IF(TRIM(O336&amp;"")="","NULL","'"&amp;SUBSTITUTE(TRIM(O336),"'","''")&amp;"'")&amp;", p_direccion =&gt; "&amp;IF(TRIM(J336&amp;"")="","NULL","'"&amp;SUBSTITUTE(TRIM(J336),"'","''")&amp;"'")&amp;", p_referencia =&gt; "&amp;IF(TRIM(K336&amp;"")="","NULL","'"&amp;SUBSTITUTE(TRIM(K336),"'","''")&amp;"'")&amp;") AS resultado_cliente_"&amp;291&amp;";")</f>
        <v/>
      </c>
    </row>
    <row r="337" ht="15.75" customHeight="1" s="64">
      <c r="A337" s="25">
        <f>IF(AND(D337="",E337="",C337=""),"",IF(AND(D337="",E337=""),"FALTA razón social o nombres",IF(AND(C337&lt;&gt;"",COUNTIF($C$5:$C$549,C337)&gt;1),"DOCUMENTO DUPLICADO",IF(AND(B337="DNI",C337&lt;&gt;"",LEN(C337)&lt;&gt;8),"DNI debe tener 8 dígitos",IF(AND(B337="RUC",C337&lt;&gt;"",LEN(C337)&lt;&gt;11),"RUC debe tener 11 dígitos",IF(AND(N337&lt;&gt;"",COUNTIF($N$5:$N$549,N337)&gt;1),"CÓDIGO INTERNO DUPLICADO","OK"))))))</f>
        <v/>
      </c>
      <c r="B337" s="17" t="n"/>
      <c r="C337" s="23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23" t="n"/>
      <c r="M337" s="17" t="n"/>
      <c r="N337" s="23" t="n"/>
      <c r="O337" s="17" t="n"/>
      <c r="P337" s="28">
        <f>IF(A337&lt;&gt;"OK","","SELECT cli_crear_clientes(p_codigo_interno =&gt; "&amp;IF(TRIM(N337&amp;"")="","NULL","'"&amp;SUBSTITUTE(TRIM(N337),"'","''")&amp;"'")&amp;", p_razon_social =&gt; "&amp;IF(TRIM(D337&amp;"")="","NULL","'"&amp;SUBSTITUTE(TRIM(D337),"'","''")&amp;"'")&amp;", p_id_tipo_cliente =&gt; "&amp;IF(TRIM(I337&amp;"")="","NULL","(SELECT lo.id FROM gen_lista_opciones lo JOIN gen_lista l ON l.id = lo.id_lista WHERE l.nombre = 'TipoCliente' AND upper(lo.nombre) = upper('"&amp;SUBSTITUTE(TRIM(I337),"'","''")&amp;"') AND lo.estado = 1 LIMIT 1)")&amp;", p_id_tipo_persona =&gt; "&amp;IF(TRIM(H337&amp;"")="","NULL","(SELECT lo.id FROM gen_lista_opciones lo JOIN gen_lista l ON l.id = lo.id_lista WHERE l.nombre = 'TipoPersona' AND upper(lo.nombre) = upper('"&amp;SUBSTITUTE(TRIM(H337),"'","''")&amp;"') AND lo.estado = 1 LIMIT 1)")&amp;", p_nombres =&gt; "&amp;IF(TRIM(E337&amp;"")="","NULL","'"&amp;SUBSTITUTE(TRIM(E337),"'","''")&amp;"'")&amp;", p_apellido_paterno =&gt; "&amp;IF(TRIM(F337&amp;"")="","NULL","'"&amp;SUBSTITUTE(TRIM(F337),"'","''")&amp;"'")&amp;", p_apellido_materno =&gt; "&amp;IF(TRIM(G337&amp;"")="","NULL","'"&amp;SUBSTITUTE(TRIM(G337),"'","''")&amp;"'")&amp;", p_id_tipo_documento =&gt; "&amp;IF(TRIM(B337&amp;"")="","NULL","(SELECT lo.id FROM gen_lista_opciones lo JOIN gen_lista l ON l.id = lo.id_lista WHERE l.nombre = 'TipoDocumento' AND upper(lo.nombre) = upper('"&amp;SUBSTITUTE(TRIM(B337),"'","''")&amp;"') AND lo.estado = 1 LIMIT 1)")&amp;", p_numero_documento =&gt; "&amp;IF(TRIM(C337&amp;"")="","NULL","'"&amp;SUBSTITUTE(TRIM(C337),"'","''")&amp;"'")&amp;", p_telefono =&gt; "&amp;IF(TRIM(L337&amp;"")="","NULL","'"&amp;SUBSTITUTE(TRIM(L337),"'","''")&amp;"'")&amp;", p_email =&gt; "&amp;IF(TRIM(M337&amp;"")="","NULL","'"&amp;SUBSTITUTE(TRIM(M337),"'","''")&amp;"'")&amp;", p_observacion =&gt; "&amp;IF(TRIM(O337&amp;"")="","NULL","'"&amp;SUBSTITUTE(TRIM(O337),"'","''")&amp;"'")&amp;", p_direccion =&gt; "&amp;IF(TRIM(J337&amp;"")="","NULL","'"&amp;SUBSTITUTE(TRIM(J337),"'","''")&amp;"'")&amp;", p_referencia =&gt; "&amp;IF(TRIM(K337&amp;"")="","NULL","'"&amp;SUBSTITUTE(TRIM(K337),"'","''")&amp;"'")&amp;") AS resultado_cliente_"&amp;292&amp;";")</f>
        <v/>
      </c>
    </row>
    <row r="338" ht="15.75" customHeight="1" s="64">
      <c r="A338" s="25">
        <f>IF(AND(D338="",E338="",C338=""),"",IF(AND(D338="",E338=""),"FALTA razón social o nombres",IF(AND(C338&lt;&gt;"",COUNTIF($C$5:$C$549,C338)&gt;1),"DOCUMENTO DUPLICADO",IF(AND(B338="DNI",C338&lt;&gt;"",LEN(C338)&lt;&gt;8),"DNI debe tener 8 dígitos",IF(AND(B338="RUC",C338&lt;&gt;"",LEN(C338)&lt;&gt;11),"RUC debe tener 11 dígitos",IF(AND(N338&lt;&gt;"",COUNTIF($N$5:$N$549,N338)&gt;1),"CÓDIGO INTERNO DUPLICADO","OK"))))))</f>
        <v/>
      </c>
      <c r="B338" s="17" t="n"/>
      <c r="C338" s="23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23" t="n"/>
      <c r="M338" s="17" t="n"/>
      <c r="N338" s="23" t="n"/>
      <c r="O338" s="17" t="n"/>
      <c r="P338" s="28">
        <f>IF(A338&lt;&gt;"OK","","SELECT cli_crear_clientes(p_codigo_interno =&gt; "&amp;IF(TRIM(N338&amp;"")="","NULL","'"&amp;SUBSTITUTE(TRIM(N338),"'","''")&amp;"'")&amp;", p_razon_social =&gt; "&amp;IF(TRIM(D338&amp;"")="","NULL","'"&amp;SUBSTITUTE(TRIM(D338),"'","''")&amp;"'")&amp;", p_id_tipo_cliente =&gt; "&amp;IF(TRIM(I338&amp;"")="","NULL","(SELECT lo.id FROM gen_lista_opciones lo JOIN gen_lista l ON l.id = lo.id_lista WHERE l.nombre = 'TipoCliente' AND upper(lo.nombre) = upper('"&amp;SUBSTITUTE(TRIM(I338),"'","''")&amp;"') AND lo.estado = 1 LIMIT 1)")&amp;", p_id_tipo_persona =&gt; "&amp;IF(TRIM(H338&amp;"")="","NULL","(SELECT lo.id FROM gen_lista_opciones lo JOIN gen_lista l ON l.id = lo.id_lista WHERE l.nombre = 'TipoPersona' AND upper(lo.nombre) = upper('"&amp;SUBSTITUTE(TRIM(H338),"'","''")&amp;"') AND lo.estado = 1 LIMIT 1)")&amp;", p_nombres =&gt; "&amp;IF(TRIM(E338&amp;"")="","NULL","'"&amp;SUBSTITUTE(TRIM(E338),"'","''")&amp;"'")&amp;", p_apellido_paterno =&gt; "&amp;IF(TRIM(F338&amp;"")="","NULL","'"&amp;SUBSTITUTE(TRIM(F338),"'","''")&amp;"'")&amp;", p_apellido_materno =&gt; "&amp;IF(TRIM(G338&amp;"")="","NULL","'"&amp;SUBSTITUTE(TRIM(G338),"'","''")&amp;"'")&amp;", p_id_tipo_documento =&gt; "&amp;IF(TRIM(B338&amp;"")="","NULL","(SELECT lo.id FROM gen_lista_opciones lo JOIN gen_lista l ON l.id = lo.id_lista WHERE l.nombre = 'TipoDocumento' AND upper(lo.nombre) = upper('"&amp;SUBSTITUTE(TRIM(B338),"'","''")&amp;"') AND lo.estado = 1 LIMIT 1)")&amp;", p_numero_documento =&gt; "&amp;IF(TRIM(C338&amp;"")="","NULL","'"&amp;SUBSTITUTE(TRIM(C338),"'","''")&amp;"'")&amp;", p_telefono =&gt; "&amp;IF(TRIM(L338&amp;"")="","NULL","'"&amp;SUBSTITUTE(TRIM(L338),"'","''")&amp;"'")&amp;", p_email =&gt; "&amp;IF(TRIM(M338&amp;"")="","NULL","'"&amp;SUBSTITUTE(TRIM(M338),"'","''")&amp;"'")&amp;", p_observacion =&gt; "&amp;IF(TRIM(O338&amp;"")="","NULL","'"&amp;SUBSTITUTE(TRIM(O338),"'","''")&amp;"'")&amp;", p_direccion =&gt; "&amp;IF(TRIM(J338&amp;"")="","NULL","'"&amp;SUBSTITUTE(TRIM(J338),"'","''")&amp;"'")&amp;", p_referencia =&gt; "&amp;IF(TRIM(K338&amp;"")="","NULL","'"&amp;SUBSTITUTE(TRIM(K338),"'","''")&amp;"'")&amp;") AS resultado_cliente_"&amp;293&amp;";")</f>
        <v/>
      </c>
    </row>
    <row r="339" ht="15.75" customHeight="1" s="64">
      <c r="A339" s="25">
        <f>IF(AND(D339="",E339="",C339=""),"",IF(AND(D339="",E339=""),"FALTA razón social o nombres",IF(AND(C339&lt;&gt;"",COUNTIF($C$5:$C$549,C339)&gt;1),"DOCUMENTO DUPLICADO",IF(AND(B339="DNI",C339&lt;&gt;"",LEN(C339)&lt;&gt;8),"DNI debe tener 8 dígitos",IF(AND(B339="RUC",C339&lt;&gt;"",LEN(C339)&lt;&gt;11),"RUC debe tener 11 dígitos",IF(AND(N339&lt;&gt;"",COUNTIF($N$5:$N$549,N339)&gt;1),"CÓDIGO INTERNO DUPLICADO","OK"))))))</f>
        <v/>
      </c>
      <c r="B339" s="17" t="n"/>
      <c r="C339" s="23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23" t="n"/>
      <c r="M339" s="17" t="n"/>
      <c r="N339" s="23" t="n"/>
      <c r="O339" s="17" t="n"/>
      <c r="P339" s="28">
        <f>IF(A339&lt;&gt;"OK","","SELECT cli_crear_clientes(p_codigo_interno =&gt; "&amp;IF(TRIM(N339&amp;"")="","NULL","'"&amp;SUBSTITUTE(TRIM(N339),"'","''")&amp;"'")&amp;", p_razon_social =&gt; "&amp;IF(TRIM(D339&amp;"")="","NULL","'"&amp;SUBSTITUTE(TRIM(D339),"'","''")&amp;"'")&amp;", p_id_tipo_cliente =&gt; "&amp;IF(TRIM(I339&amp;"")="","NULL","(SELECT lo.id FROM gen_lista_opciones lo JOIN gen_lista l ON l.id = lo.id_lista WHERE l.nombre = 'TipoCliente' AND upper(lo.nombre) = upper('"&amp;SUBSTITUTE(TRIM(I339),"'","''")&amp;"') AND lo.estado = 1 LIMIT 1)")&amp;", p_id_tipo_persona =&gt; "&amp;IF(TRIM(H339&amp;"")="","NULL","(SELECT lo.id FROM gen_lista_opciones lo JOIN gen_lista l ON l.id = lo.id_lista WHERE l.nombre = 'TipoPersona' AND upper(lo.nombre) = upper('"&amp;SUBSTITUTE(TRIM(H339),"'","''")&amp;"') AND lo.estado = 1 LIMIT 1)")&amp;", p_nombres =&gt; "&amp;IF(TRIM(E339&amp;"")="","NULL","'"&amp;SUBSTITUTE(TRIM(E339),"'","''")&amp;"'")&amp;", p_apellido_paterno =&gt; "&amp;IF(TRIM(F339&amp;"")="","NULL","'"&amp;SUBSTITUTE(TRIM(F339),"'","''")&amp;"'")&amp;", p_apellido_materno =&gt; "&amp;IF(TRIM(G339&amp;"")="","NULL","'"&amp;SUBSTITUTE(TRIM(G339),"'","''")&amp;"'")&amp;", p_id_tipo_documento =&gt; "&amp;IF(TRIM(B339&amp;"")="","NULL","(SELECT lo.id FROM gen_lista_opciones lo JOIN gen_lista l ON l.id = lo.id_lista WHERE l.nombre = 'TipoDocumento' AND upper(lo.nombre) = upper('"&amp;SUBSTITUTE(TRIM(B339),"'","''")&amp;"') AND lo.estado = 1 LIMIT 1)")&amp;", p_numero_documento =&gt; "&amp;IF(TRIM(C339&amp;"")="","NULL","'"&amp;SUBSTITUTE(TRIM(C339),"'","''")&amp;"'")&amp;", p_telefono =&gt; "&amp;IF(TRIM(L339&amp;"")="","NULL","'"&amp;SUBSTITUTE(TRIM(L339),"'","''")&amp;"'")&amp;", p_email =&gt; "&amp;IF(TRIM(M339&amp;"")="","NULL","'"&amp;SUBSTITUTE(TRIM(M339),"'","''")&amp;"'")&amp;", p_observacion =&gt; "&amp;IF(TRIM(O339&amp;"")="","NULL","'"&amp;SUBSTITUTE(TRIM(O339),"'","''")&amp;"'")&amp;", p_direccion =&gt; "&amp;IF(TRIM(J339&amp;"")="","NULL","'"&amp;SUBSTITUTE(TRIM(J339),"'","''")&amp;"'")&amp;", p_referencia =&gt; "&amp;IF(TRIM(K339&amp;"")="","NULL","'"&amp;SUBSTITUTE(TRIM(K339),"'","''")&amp;"'")&amp;") AS resultado_cliente_"&amp;294&amp;";")</f>
        <v/>
      </c>
    </row>
    <row r="340" ht="15.75" customHeight="1" s="64">
      <c r="A340" s="25">
        <f>IF(AND(D340="",E340="",C340=""),"",IF(AND(D340="",E340=""),"FALTA razón social o nombres",IF(AND(C340&lt;&gt;"",COUNTIF($C$5:$C$549,C340)&gt;1),"DOCUMENTO DUPLICADO",IF(AND(B340="DNI",C340&lt;&gt;"",LEN(C340)&lt;&gt;8),"DNI debe tener 8 dígitos",IF(AND(B340="RUC",C340&lt;&gt;"",LEN(C340)&lt;&gt;11),"RUC debe tener 11 dígitos",IF(AND(N340&lt;&gt;"",COUNTIF($N$5:$N$549,N340)&gt;1),"CÓDIGO INTERNO DUPLICADO","OK"))))))</f>
        <v/>
      </c>
      <c r="B340" s="17" t="n"/>
      <c r="C340" s="23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23" t="n"/>
      <c r="M340" s="17" t="n"/>
      <c r="N340" s="23" t="n"/>
      <c r="O340" s="17" t="n"/>
      <c r="P340" s="28">
        <f>IF(A340&lt;&gt;"OK","","SELECT cli_crear_clientes(p_codigo_interno =&gt; "&amp;IF(TRIM(N340&amp;"")="","NULL","'"&amp;SUBSTITUTE(TRIM(N340),"'","''")&amp;"'")&amp;", p_razon_social =&gt; "&amp;IF(TRIM(D340&amp;"")="","NULL","'"&amp;SUBSTITUTE(TRIM(D340),"'","''")&amp;"'")&amp;", p_id_tipo_cliente =&gt; "&amp;IF(TRIM(I340&amp;"")="","NULL","(SELECT lo.id FROM gen_lista_opciones lo JOIN gen_lista l ON l.id = lo.id_lista WHERE l.nombre = 'TipoCliente' AND upper(lo.nombre) = upper('"&amp;SUBSTITUTE(TRIM(I340),"'","''")&amp;"') AND lo.estado = 1 LIMIT 1)")&amp;", p_id_tipo_persona =&gt; "&amp;IF(TRIM(H340&amp;"")="","NULL","(SELECT lo.id FROM gen_lista_opciones lo JOIN gen_lista l ON l.id = lo.id_lista WHERE l.nombre = 'TipoPersona' AND upper(lo.nombre) = upper('"&amp;SUBSTITUTE(TRIM(H340),"'","''")&amp;"') AND lo.estado = 1 LIMIT 1)")&amp;", p_nombres =&gt; "&amp;IF(TRIM(E340&amp;"")="","NULL","'"&amp;SUBSTITUTE(TRIM(E340),"'","''")&amp;"'")&amp;", p_apellido_paterno =&gt; "&amp;IF(TRIM(F340&amp;"")="","NULL","'"&amp;SUBSTITUTE(TRIM(F340),"'","''")&amp;"'")&amp;", p_apellido_materno =&gt; "&amp;IF(TRIM(G340&amp;"")="","NULL","'"&amp;SUBSTITUTE(TRIM(G340),"'","''")&amp;"'")&amp;", p_id_tipo_documento =&gt; "&amp;IF(TRIM(B340&amp;"")="","NULL","(SELECT lo.id FROM gen_lista_opciones lo JOIN gen_lista l ON l.id = lo.id_lista WHERE l.nombre = 'TipoDocumento' AND upper(lo.nombre) = upper('"&amp;SUBSTITUTE(TRIM(B340),"'","''")&amp;"') AND lo.estado = 1 LIMIT 1)")&amp;", p_numero_documento =&gt; "&amp;IF(TRIM(C340&amp;"")="","NULL","'"&amp;SUBSTITUTE(TRIM(C340),"'","''")&amp;"'")&amp;", p_telefono =&gt; "&amp;IF(TRIM(L340&amp;"")="","NULL","'"&amp;SUBSTITUTE(TRIM(L340),"'","''")&amp;"'")&amp;", p_email =&gt; "&amp;IF(TRIM(M340&amp;"")="","NULL","'"&amp;SUBSTITUTE(TRIM(M340),"'","''")&amp;"'")&amp;", p_observacion =&gt; "&amp;IF(TRIM(O340&amp;"")="","NULL","'"&amp;SUBSTITUTE(TRIM(O340),"'","''")&amp;"'")&amp;", p_direccion =&gt; "&amp;IF(TRIM(J340&amp;"")="","NULL","'"&amp;SUBSTITUTE(TRIM(J340),"'","''")&amp;"'")&amp;", p_referencia =&gt; "&amp;IF(TRIM(K340&amp;"")="","NULL","'"&amp;SUBSTITUTE(TRIM(K340),"'","''")&amp;"'")&amp;") AS resultado_cliente_"&amp;295&amp;";")</f>
        <v/>
      </c>
    </row>
    <row r="341" ht="15.75" customHeight="1" s="64">
      <c r="A341" s="25">
        <f>IF(AND(D341="",E341="",C341=""),"",IF(AND(D341="",E341=""),"FALTA razón social o nombres",IF(AND(C341&lt;&gt;"",COUNTIF($C$5:$C$549,C341)&gt;1),"DOCUMENTO DUPLICADO",IF(AND(B341="DNI",C341&lt;&gt;"",LEN(C341)&lt;&gt;8),"DNI debe tener 8 dígitos",IF(AND(B341="RUC",C341&lt;&gt;"",LEN(C341)&lt;&gt;11),"RUC debe tener 11 dígitos",IF(AND(N341&lt;&gt;"",COUNTIF($N$5:$N$549,N341)&gt;1),"CÓDIGO INTERNO DUPLICADO","OK"))))))</f>
        <v/>
      </c>
      <c r="B341" s="17" t="n"/>
      <c r="C341" s="23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23" t="n"/>
      <c r="M341" s="17" t="n"/>
      <c r="N341" s="23" t="n"/>
      <c r="O341" s="17" t="n"/>
      <c r="P341" s="28">
        <f>IF(A341&lt;&gt;"OK","","SELECT cli_crear_clientes(p_codigo_interno =&gt; "&amp;IF(TRIM(N341&amp;"")="","NULL","'"&amp;SUBSTITUTE(TRIM(N341),"'","''")&amp;"'")&amp;", p_razon_social =&gt; "&amp;IF(TRIM(D341&amp;"")="","NULL","'"&amp;SUBSTITUTE(TRIM(D341),"'","''")&amp;"'")&amp;", p_id_tipo_cliente =&gt; "&amp;IF(TRIM(I341&amp;"")="","NULL","(SELECT lo.id FROM gen_lista_opciones lo JOIN gen_lista l ON l.id = lo.id_lista WHERE l.nombre = 'TipoCliente' AND upper(lo.nombre) = upper('"&amp;SUBSTITUTE(TRIM(I341),"'","''")&amp;"') AND lo.estado = 1 LIMIT 1)")&amp;", p_id_tipo_persona =&gt; "&amp;IF(TRIM(H341&amp;"")="","NULL","(SELECT lo.id FROM gen_lista_opciones lo JOIN gen_lista l ON l.id = lo.id_lista WHERE l.nombre = 'TipoPersona' AND upper(lo.nombre) = upper('"&amp;SUBSTITUTE(TRIM(H341),"'","''")&amp;"') AND lo.estado = 1 LIMIT 1)")&amp;", p_nombres =&gt; "&amp;IF(TRIM(E341&amp;"")="","NULL","'"&amp;SUBSTITUTE(TRIM(E341),"'","''")&amp;"'")&amp;", p_apellido_paterno =&gt; "&amp;IF(TRIM(F341&amp;"")="","NULL","'"&amp;SUBSTITUTE(TRIM(F341),"'","''")&amp;"'")&amp;", p_apellido_materno =&gt; "&amp;IF(TRIM(G341&amp;"")="","NULL","'"&amp;SUBSTITUTE(TRIM(G341),"'","''")&amp;"'")&amp;", p_id_tipo_documento =&gt; "&amp;IF(TRIM(B341&amp;"")="","NULL","(SELECT lo.id FROM gen_lista_opciones lo JOIN gen_lista l ON l.id = lo.id_lista WHERE l.nombre = 'TipoDocumento' AND upper(lo.nombre) = upper('"&amp;SUBSTITUTE(TRIM(B341),"'","''")&amp;"') AND lo.estado = 1 LIMIT 1)")&amp;", p_numero_documento =&gt; "&amp;IF(TRIM(C341&amp;"")="","NULL","'"&amp;SUBSTITUTE(TRIM(C341),"'","''")&amp;"'")&amp;", p_telefono =&gt; "&amp;IF(TRIM(L341&amp;"")="","NULL","'"&amp;SUBSTITUTE(TRIM(L341),"'","''")&amp;"'")&amp;", p_email =&gt; "&amp;IF(TRIM(M341&amp;"")="","NULL","'"&amp;SUBSTITUTE(TRIM(M341),"'","''")&amp;"'")&amp;", p_observacion =&gt; "&amp;IF(TRIM(O341&amp;"")="","NULL","'"&amp;SUBSTITUTE(TRIM(O341),"'","''")&amp;"'")&amp;", p_direccion =&gt; "&amp;IF(TRIM(J341&amp;"")="","NULL","'"&amp;SUBSTITUTE(TRIM(J341),"'","''")&amp;"'")&amp;", p_referencia =&gt; "&amp;IF(TRIM(K341&amp;"")="","NULL","'"&amp;SUBSTITUTE(TRIM(K341),"'","''")&amp;"'")&amp;") AS resultado_cliente_"&amp;296&amp;";")</f>
        <v/>
      </c>
    </row>
    <row r="342" ht="15.75" customHeight="1" s="64">
      <c r="A342" s="25">
        <f>IF(AND(D342="",E342="",C342=""),"",IF(AND(D342="",E342=""),"FALTA razón social o nombres",IF(AND(C342&lt;&gt;"",COUNTIF($C$5:$C$549,C342)&gt;1),"DOCUMENTO DUPLICADO",IF(AND(B342="DNI",C342&lt;&gt;"",LEN(C342)&lt;&gt;8),"DNI debe tener 8 dígitos",IF(AND(B342="RUC",C342&lt;&gt;"",LEN(C342)&lt;&gt;11),"RUC debe tener 11 dígitos",IF(AND(N342&lt;&gt;"",COUNTIF($N$5:$N$549,N342)&gt;1),"CÓDIGO INTERNO DUPLICADO","OK"))))))</f>
        <v/>
      </c>
      <c r="B342" s="17" t="n"/>
      <c r="C342" s="23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23" t="n"/>
      <c r="M342" s="17" t="n"/>
      <c r="N342" s="23" t="n"/>
      <c r="O342" s="17" t="n"/>
      <c r="P342" s="28">
        <f>IF(A342&lt;&gt;"OK","","SELECT cli_crear_clientes(p_codigo_interno =&gt; "&amp;IF(TRIM(N342&amp;"")="","NULL","'"&amp;SUBSTITUTE(TRIM(N342),"'","''")&amp;"'")&amp;", p_razon_social =&gt; "&amp;IF(TRIM(D342&amp;"")="","NULL","'"&amp;SUBSTITUTE(TRIM(D342),"'","''")&amp;"'")&amp;", p_id_tipo_cliente =&gt; "&amp;IF(TRIM(I342&amp;"")="","NULL","(SELECT lo.id FROM gen_lista_opciones lo JOIN gen_lista l ON l.id = lo.id_lista WHERE l.nombre = 'TipoCliente' AND upper(lo.nombre) = upper('"&amp;SUBSTITUTE(TRIM(I342),"'","''")&amp;"') AND lo.estado = 1 LIMIT 1)")&amp;", p_id_tipo_persona =&gt; "&amp;IF(TRIM(H342&amp;"")="","NULL","(SELECT lo.id FROM gen_lista_opciones lo JOIN gen_lista l ON l.id = lo.id_lista WHERE l.nombre = 'TipoPersona' AND upper(lo.nombre) = upper('"&amp;SUBSTITUTE(TRIM(H342),"'","''")&amp;"') AND lo.estado = 1 LIMIT 1)")&amp;", p_nombres =&gt; "&amp;IF(TRIM(E342&amp;"")="","NULL","'"&amp;SUBSTITUTE(TRIM(E342),"'","''")&amp;"'")&amp;", p_apellido_paterno =&gt; "&amp;IF(TRIM(F342&amp;"")="","NULL","'"&amp;SUBSTITUTE(TRIM(F342),"'","''")&amp;"'")&amp;", p_apellido_materno =&gt; "&amp;IF(TRIM(G342&amp;"")="","NULL","'"&amp;SUBSTITUTE(TRIM(G342),"'","''")&amp;"'")&amp;", p_id_tipo_documento =&gt; "&amp;IF(TRIM(B342&amp;"")="","NULL","(SELECT lo.id FROM gen_lista_opciones lo JOIN gen_lista l ON l.id = lo.id_lista WHERE l.nombre = 'TipoDocumento' AND upper(lo.nombre) = upper('"&amp;SUBSTITUTE(TRIM(B342),"'","''")&amp;"') AND lo.estado = 1 LIMIT 1)")&amp;", p_numero_documento =&gt; "&amp;IF(TRIM(C342&amp;"")="","NULL","'"&amp;SUBSTITUTE(TRIM(C342),"'","''")&amp;"'")&amp;", p_telefono =&gt; "&amp;IF(TRIM(L342&amp;"")="","NULL","'"&amp;SUBSTITUTE(TRIM(L342),"'","''")&amp;"'")&amp;", p_email =&gt; "&amp;IF(TRIM(M342&amp;"")="","NULL","'"&amp;SUBSTITUTE(TRIM(M342),"'","''")&amp;"'")&amp;", p_observacion =&gt; "&amp;IF(TRIM(O342&amp;"")="","NULL","'"&amp;SUBSTITUTE(TRIM(O342),"'","''")&amp;"'")&amp;", p_direccion =&gt; "&amp;IF(TRIM(J342&amp;"")="","NULL","'"&amp;SUBSTITUTE(TRIM(J342),"'","''")&amp;"'")&amp;", p_referencia =&gt; "&amp;IF(TRIM(K342&amp;"")="","NULL","'"&amp;SUBSTITUTE(TRIM(K342),"'","''")&amp;"'")&amp;") AS resultado_cliente_"&amp;297&amp;";")</f>
        <v/>
      </c>
    </row>
    <row r="343" ht="15.75" customHeight="1" s="64">
      <c r="A343" s="25">
        <f>IF(AND(D343="",E343="",C343=""),"",IF(AND(D343="",E343=""),"FALTA razón social o nombres",IF(AND(C343&lt;&gt;"",COUNTIF($C$5:$C$549,C343)&gt;1),"DOCUMENTO DUPLICADO",IF(AND(B343="DNI",C343&lt;&gt;"",LEN(C343)&lt;&gt;8),"DNI debe tener 8 dígitos",IF(AND(B343="RUC",C343&lt;&gt;"",LEN(C343)&lt;&gt;11),"RUC debe tener 11 dígitos",IF(AND(N343&lt;&gt;"",COUNTIF($N$5:$N$549,N343)&gt;1),"CÓDIGO INTERNO DUPLICADO","OK"))))))</f>
        <v/>
      </c>
      <c r="B343" s="17" t="n"/>
      <c r="C343" s="23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23" t="n"/>
      <c r="M343" s="17" t="n"/>
      <c r="N343" s="23" t="n"/>
      <c r="O343" s="17" t="n"/>
      <c r="P343" s="28">
        <f>IF(A343&lt;&gt;"OK","","SELECT cli_crear_clientes(p_codigo_interno =&gt; "&amp;IF(TRIM(N343&amp;"")="","NULL","'"&amp;SUBSTITUTE(TRIM(N343),"'","''")&amp;"'")&amp;", p_razon_social =&gt; "&amp;IF(TRIM(D343&amp;"")="","NULL","'"&amp;SUBSTITUTE(TRIM(D343),"'","''")&amp;"'")&amp;", p_id_tipo_cliente =&gt; "&amp;IF(TRIM(I343&amp;"")="","NULL","(SELECT lo.id FROM gen_lista_opciones lo JOIN gen_lista l ON l.id = lo.id_lista WHERE l.nombre = 'TipoCliente' AND upper(lo.nombre) = upper('"&amp;SUBSTITUTE(TRIM(I343),"'","''")&amp;"') AND lo.estado = 1 LIMIT 1)")&amp;", p_id_tipo_persona =&gt; "&amp;IF(TRIM(H343&amp;"")="","NULL","(SELECT lo.id FROM gen_lista_opciones lo JOIN gen_lista l ON l.id = lo.id_lista WHERE l.nombre = 'TipoPersona' AND upper(lo.nombre) = upper('"&amp;SUBSTITUTE(TRIM(H343),"'","''")&amp;"') AND lo.estado = 1 LIMIT 1)")&amp;", p_nombres =&gt; "&amp;IF(TRIM(E343&amp;"")="","NULL","'"&amp;SUBSTITUTE(TRIM(E343),"'","''")&amp;"'")&amp;", p_apellido_paterno =&gt; "&amp;IF(TRIM(F343&amp;"")="","NULL","'"&amp;SUBSTITUTE(TRIM(F343),"'","''")&amp;"'")&amp;", p_apellido_materno =&gt; "&amp;IF(TRIM(G343&amp;"")="","NULL","'"&amp;SUBSTITUTE(TRIM(G343),"'","''")&amp;"'")&amp;", p_id_tipo_documento =&gt; "&amp;IF(TRIM(B343&amp;"")="","NULL","(SELECT lo.id FROM gen_lista_opciones lo JOIN gen_lista l ON l.id = lo.id_lista WHERE l.nombre = 'TipoDocumento' AND upper(lo.nombre) = upper('"&amp;SUBSTITUTE(TRIM(B343),"'","''")&amp;"') AND lo.estado = 1 LIMIT 1)")&amp;", p_numero_documento =&gt; "&amp;IF(TRIM(C343&amp;"")="","NULL","'"&amp;SUBSTITUTE(TRIM(C343),"'","''")&amp;"'")&amp;", p_telefono =&gt; "&amp;IF(TRIM(L343&amp;"")="","NULL","'"&amp;SUBSTITUTE(TRIM(L343),"'","''")&amp;"'")&amp;", p_email =&gt; "&amp;IF(TRIM(M343&amp;"")="","NULL","'"&amp;SUBSTITUTE(TRIM(M343),"'","''")&amp;"'")&amp;", p_observacion =&gt; "&amp;IF(TRIM(O343&amp;"")="","NULL","'"&amp;SUBSTITUTE(TRIM(O343),"'","''")&amp;"'")&amp;", p_direccion =&gt; "&amp;IF(TRIM(J343&amp;"")="","NULL","'"&amp;SUBSTITUTE(TRIM(J343),"'","''")&amp;"'")&amp;", p_referencia =&gt; "&amp;IF(TRIM(K343&amp;"")="","NULL","'"&amp;SUBSTITUTE(TRIM(K343),"'","''")&amp;"'")&amp;") AS resultado_cliente_"&amp;298&amp;";")</f>
        <v/>
      </c>
    </row>
    <row r="344" ht="15.75" customHeight="1" s="64">
      <c r="A344" s="25">
        <f>IF(AND(D344="",E344="",C344=""),"",IF(AND(D344="",E344=""),"FALTA razón social o nombres",IF(AND(C344&lt;&gt;"",COUNTIF($C$5:$C$549,C344)&gt;1),"DOCUMENTO DUPLICADO",IF(AND(B344="DNI",C344&lt;&gt;"",LEN(C344)&lt;&gt;8),"DNI debe tener 8 dígitos",IF(AND(B344="RUC",C344&lt;&gt;"",LEN(C344)&lt;&gt;11),"RUC debe tener 11 dígitos",IF(AND(N344&lt;&gt;"",COUNTIF($N$5:$N$549,N344)&gt;1),"CÓDIGO INTERNO DUPLICADO","OK"))))))</f>
        <v/>
      </c>
      <c r="B344" s="17" t="n"/>
      <c r="C344" s="23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23" t="n"/>
      <c r="M344" s="17" t="n"/>
      <c r="N344" s="23" t="n"/>
      <c r="O344" s="17" t="n"/>
      <c r="P344" s="28">
        <f>IF(A344&lt;&gt;"OK","","SELECT cli_crear_clientes(p_codigo_interno =&gt; "&amp;IF(TRIM(N344&amp;"")="","NULL","'"&amp;SUBSTITUTE(TRIM(N344),"'","''")&amp;"'")&amp;", p_razon_social =&gt; "&amp;IF(TRIM(D344&amp;"")="","NULL","'"&amp;SUBSTITUTE(TRIM(D344),"'","''")&amp;"'")&amp;", p_id_tipo_cliente =&gt; "&amp;IF(TRIM(I344&amp;"")="","NULL","(SELECT lo.id FROM gen_lista_opciones lo JOIN gen_lista l ON l.id = lo.id_lista WHERE l.nombre = 'TipoCliente' AND upper(lo.nombre) = upper('"&amp;SUBSTITUTE(TRIM(I344),"'","''")&amp;"') AND lo.estado = 1 LIMIT 1)")&amp;", p_id_tipo_persona =&gt; "&amp;IF(TRIM(H344&amp;"")="","NULL","(SELECT lo.id FROM gen_lista_opciones lo JOIN gen_lista l ON l.id = lo.id_lista WHERE l.nombre = 'TipoPersona' AND upper(lo.nombre) = upper('"&amp;SUBSTITUTE(TRIM(H344),"'","''")&amp;"') AND lo.estado = 1 LIMIT 1)")&amp;", p_nombres =&gt; "&amp;IF(TRIM(E344&amp;"")="","NULL","'"&amp;SUBSTITUTE(TRIM(E344),"'","''")&amp;"'")&amp;", p_apellido_paterno =&gt; "&amp;IF(TRIM(F344&amp;"")="","NULL","'"&amp;SUBSTITUTE(TRIM(F344),"'","''")&amp;"'")&amp;", p_apellido_materno =&gt; "&amp;IF(TRIM(G344&amp;"")="","NULL","'"&amp;SUBSTITUTE(TRIM(G344),"'","''")&amp;"'")&amp;", p_id_tipo_documento =&gt; "&amp;IF(TRIM(B344&amp;"")="","NULL","(SELECT lo.id FROM gen_lista_opciones lo JOIN gen_lista l ON l.id = lo.id_lista WHERE l.nombre = 'TipoDocumento' AND upper(lo.nombre) = upper('"&amp;SUBSTITUTE(TRIM(B344),"'","''")&amp;"') AND lo.estado = 1 LIMIT 1)")&amp;", p_numero_documento =&gt; "&amp;IF(TRIM(C344&amp;"")="","NULL","'"&amp;SUBSTITUTE(TRIM(C344),"'","''")&amp;"'")&amp;", p_telefono =&gt; "&amp;IF(TRIM(L344&amp;"")="","NULL","'"&amp;SUBSTITUTE(TRIM(L344),"'","''")&amp;"'")&amp;", p_email =&gt; "&amp;IF(TRIM(M344&amp;"")="","NULL","'"&amp;SUBSTITUTE(TRIM(M344),"'","''")&amp;"'")&amp;", p_observacion =&gt; "&amp;IF(TRIM(O344&amp;"")="","NULL","'"&amp;SUBSTITUTE(TRIM(O344),"'","''")&amp;"'")&amp;", p_direccion =&gt; "&amp;IF(TRIM(J344&amp;"")="","NULL","'"&amp;SUBSTITUTE(TRIM(J344),"'","''")&amp;"'")&amp;", p_referencia =&gt; "&amp;IF(TRIM(K344&amp;"")="","NULL","'"&amp;SUBSTITUTE(TRIM(K344),"'","''")&amp;"'")&amp;") AS resultado_cliente_"&amp;299&amp;";")</f>
        <v/>
      </c>
    </row>
    <row r="345" ht="15.75" customHeight="1" s="64">
      <c r="A345" s="25">
        <f>IF(AND(D345="",E345="",C345=""),"",IF(AND(D345="",E345=""),"FALTA razón social o nombres",IF(AND(C345&lt;&gt;"",COUNTIF($C$5:$C$549,C345)&gt;1),"DOCUMENTO DUPLICADO",IF(AND(B345="DNI",C345&lt;&gt;"",LEN(C345)&lt;&gt;8),"DNI debe tener 8 dígitos",IF(AND(B345="RUC",C345&lt;&gt;"",LEN(C345)&lt;&gt;11),"RUC debe tener 11 dígitos",IF(AND(N345&lt;&gt;"",COUNTIF($N$5:$N$549,N345)&gt;1),"CÓDIGO INTERNO DUPLICADO","OK"))))))</f>
        <v/>
      </c>
      <c r="B345" s="17" t="n"/>
      <c r="C345" s="23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23" t="n"/>
      <c r="M345" s="17" t="n"/>
      <c r="N345" s="23" t="n"/>
      <c r="O345" s="17" t="n"/>
      <c r="P345" s="28">
        <f>IF(A345&lt;&gt;"OK","","SELECT cli_crear_clientes(p_codigo_interno =&gt; "&amp;IF(TRIM(N345&amp;"")="","NULL","'"&amp;SUBSTITUTE(TRIM(N345),"'","''")&amp;"'")&amp;", p_razon_social =&gt; "&amp;IF(TRIM(D345&amp;"")="","NULL","'"&amp;SUBSTITUTE(TRIM(D345),"'","''")&amp;"'")&amp;", p_id_tipo_cliente =&gt; "&amp;IF(TRIM(I345&amp;"")="","NULL","(SELECT lo.id FROM gen_lista_opciones lo JOIN gen_lista l ON l.id = lo.id_lista WHERE l.nombre = 'TipoCliente' AND upper(lo.nombre) = upper('"&amp;SUBSTITUTE(TRIM(I345),"'","''")&amp;"') AND lo.estado = 1 LIMIT 1)")&amp;", p_id_tipo_persona =&gt; "&amp;IF(TRIM(H345&amp;"")="","NULL","(SELECT lo.id FROM gen_lista_opciones lo JOIN gen_lista l ON l.id = lo.id_lista WHERE l.nombre = 'TipoPersona' AND upper(lo.nombre) = upper('"&amp;SUBSTITUTE(TRIM(H345),"'","''")&amp;"') AND lo.estado = 1 LIMIT 1)")&amp;", p_nombres =&gt; "&amp;IF(TRIM(E345&amp;"")="","NULL","'"&amp;SUBSTITUTE(TRIM(E345),"'","''")&amp;"'")&amp;", p_apellido_paterno =&gt; "&amp;IF(TRIM(F345&amp;"")="","NULL","'"&amp;SUBSTITUTE(TRIM(F345),"'","''")&amp;"'")&amp;", p_apellido_materno =&gt; "&amp;IF(TRIM(G345&amp;"")="","NULL","'"&amp;SUBSTITUTE(TRIM(G345),"'","''")&amp;"'")&amp;", p_id_tipo_documento =&gt; "&amp;IF(TRIM(B345&amp;"")="","NULL","(SELECT lo.id FROM gen_lista_opciones lo JOIN gen_lista l ON l.id = lo.id_lista WHERE l.nombre = 'TipoDocumento' AND upper(lo.nombre) = upper('"&amp;SUBSTITUTE(TRIM(B345),"'","''")&amp;"') AND lo.estado = 1 LIMIT 1)")&amp;", p_numero_documento =&gt; "&amp;IF(TRIM(C345&amp;"")="","NULL","'"&amp;SUBSTITUTE(TRIM(C345),"'","''")&amp;"'")&amp;", p_telefono =&gt; "&amp;IF(TRIM(L345&amp;"")="","NULL","'"&amp;SUBSTITUTE(TRIM(L345),"'","''")&amp;"'")&amp;", p_email =&gt; "&amp;IF(TRIM(M345&amp;"")="","NULL","'"&amp;SUBSTITUTE(TRIM(M345),"'","''")&amp;"'")&amp;", p_observacion =&gt; "&amp;IF(TRIM(O345&amp;"")="","NULL","'"&amp;SUBSTITUTE(TRIM(O345),"'","''")&amp;"'")&amp;", p_direccion =&gt; "&amp;IF(TRIM(J345&amp;"")="","NULL","'"&amp;SUBSTITUTE(TRIM(J345),"'","''")&amp;"'")&amp;", p_referencia =&gt; "&amp;IF(TRIM(K345&amp;"")="","NULL","'"&amp;SUBSTITUTE(TRIM(K345),"'","''")&amp;"'")&amp;") AS resultado_cliente_"&amp;300&amp;";")</f>
        <v/>
      </c>
    </row>
    <row r="346" ht="15.75" customHeight="1" s="64">
      <c r="A346" s="25">
        <f>IF(AND(D346="",E346="",C346=""),"",IF(AND(D346="",E346=""),"FALTA razón social o nombres",IF(AND(C346&lt;&gt;"",COUNTIF($C$5:$C$549,C346)&gt;1),"DOCUMENTO DUPLICADO",IF(AND(B346="DNI",C346&lt;&gt;"",LEN(C346)&lt;&gt;8),"DNI debe tener 8 dígitos",IF(AND(B346="RUC",C346&lt;&gt;"",LEN(C346)&lt;&gt;11),"RUC debe tener 11 dígitos",IF(AND(N346&lt;&gt;"",COUNTIF($N$5:$N$549,N346)&gt;1),"CÓDIGO INTERNO DUPLICADO","OK"))))))</f>
        <v/>
      </c>
      <c r="B346" s="17" t="n"/>
      <c r="C346" s="23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23" t="n"/>
      <c r="M346" s="17" t="n"/>
      <c r="N346" s="23" t="n"/>
      <c r="O346" s="17" t="n"/>
      <c r="P346" s="28">
        <f>IF(A346&lt;&gt;"OK","","SELECT cli_crear_clientes(p_codigo_interno =&gt; "&amp;IF(TRIM(N346&amp;"")="","NULL","'"&amp;SUBSTITUTE(TRIM(N346),"'","''")&amp;"'")&amp;", p_razon_social =&gt; "&amp;IF(TRIM(D346&amp;"")="","NULL","'"&amp;SUBSTITUTE(TRIM(D346),"'","''")&amp;"'")&amp;", p_id_tipo_cliente =&gt; "&amp;IF(TRIM(I346&amp;"")="","NULL","(SELECT lo.id FROM gen_lista_opciones lo JOIN gen_lista l ON l.id = lo.id_lista WHERE l.nombre = 'TipoCliente' AND upper(lo.nombre) = upper('"&amp;SUBSTITUTE(TRIM(I346),"'","''")&amp;"') AND lo.estado = 1 LIMIT 1)")&amp;", p_id_tipo_persona =&gt; "&amp;IF(TRIM(H346&amp;"")="","NULL","(SELECT lo.id FROM gen_lista_opciones lo JOIN gen_lista l ON l.id = lo.id_lista WHERE l.nombre = 'TipoPersona' AND upper(lo.nombre) = upper('"&amp;SUBSTITUTE(TRIM(H346),"'","''")&amp;"') AND lo.estado = 1 LIMIT 1)")&amp;", p_nombres =&gt; "&amp;IF(TRIM(E346&amp;"")="","NULL","'"&amp;SUBSTITUTE(TRIM(E346),"'","''")&amp;"'")&amp;", p_apellido_paterno =&gt; "&amp;IF(TRIM(F346&amp;"")="","NULL","'"&amp;SUBSTITUTE(TRIM(F346),"'","''")&amp;"'")&amp;", p_apellido_materno =&gt; "&amp;IF(TRIM(G346&amp;"")="","NULL","'"&amp;SUBSTITUTE(TRIM(G346),"'","''")&amp;"'")&amp;", p_id_tipo_documento =&gt; "&amp;IF(TRIM(B346&amp;"")="","NULL","(SELECT lo.id FROM gen_lista_opciones lo JOIN gen_lista l ON l.id = lo.id_lista WHERE l.nombre = 'TipoDocumento' AND upper(lo.nombre) = upper('"&amp;SUBSTITUTE(TRIM(B346),"'","''")&amp;"') AND lo.estado = 1 LIMIT 1)")&amp;", p_numero_documento =&gt; "&amp;IF(TRIM(C346&amp;"")="","NULL","'"&amp;SUBSTITUTE(TRIM(C346),"'","''")&amp;"'")&amp;", p_telefono =&gt; "&amp;IF(TRIM(L346&amp;"")="","NULL","'"&amp;SUBSTITUTE(TRIM(L346),"'","''")&amp;"'")&amp;", p_email =&gt; "&amp;IF(TRIM(M346&amp;"")="","NULL","'"&amp;SUBSTITUTE(TRIM(M346),"'","''")&amp;"'")&amp;", p_observacion =&gt; "&amp;IF(TRIM(O346&amp;"")="","NULL","'"&amp;SUBSTITUTE(TRIM(O346),"'","''")&amp;"'")&amp;", p_direccion =&gt; "&amp;IF(TRIM(J346&amp;"")="","NULL","'"&amp;SUBSTITUTE(TRIM(J346),"'","''")&amp;"'")&amp;", p_referencia =&gt; "&amp;IF(TRIM(K346&amp;"")="","NULL","'"&amp;SUBSTITUTE(TRIM(K346),"'","''")&amp;"'")&amp;") AS resultado_cliente_"&amp;301&amp;";")</f>
        <v/>
      </c>
    </row>
    <row r="347" ht="15.75" customHeight="1" s="64">
      <c r="A347" s="25">
        <f>IF(AND(D347="",E347="",C347=""),"",IF(AND(D347="",E347=""),"FALTA razón social o nombres",IF(AND(C347&lt;&gt;"",COUNTIF($C$5:$C$549,C347)&gt;1),"DOCUMENTO DUPLICADO",IF(AND(B347="DNI",C347&lt;&gt;"",LEN(C347)&lt;&gt;8),"DNI debe tener 8 dígitos",IF(AND(B347="RUC",C347&lt;&gt;"",LEN(C347)&lt;&gt;11),"RUC debe tener 11 dígitos",IF(AND(N347&lt;&gt;"",COUNTIF($N$5:$N$549,N347)&gt;1),"CÓDIGO INTERNO DUPLICADO","OK"))))))</f>
        <v/>
      </c>
      <c r="B347" s="17" t="n"/>
      <c r="C347" s="23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23" t="n"/>
      <c r="M347" s="17" t="n"/>
      <c r="N347" s="23" t="n"/>
      <c r="O347" s="17" t="n"/>
      <c r="P347" s="28">
        <f>IF(A347&lt;&gt;"OK","","SELECT cli_crear_clientes(p_codigo_interno =&gt; "&amp;IF(TRIM(N347&amp;"")="","NULL","'"&amp;SUBSTITUTE(TRIM(N347),"'","''")&amp;"'")&amp;", p_razon_social =&gt; "&amp;IF(TRIM(D347&amp;"")="","NULL","'"&amp;SUBSTITUTE(TRIM(D347),"'","''")&amp;"'")&amp;", p_id_tipo_cliente =&gt; "&amp;IF(TRIM(I347&amp;"")="","NULL","(SELECT lo.id FROM gen_lista_opciones lo JOIN gen_lista l ON l.id = lo.id_lista WHERE l.nombre = 'TipoCliente' AND upper(lo.nombre) = upper('"&amp;SUBSTITUTE(TRIM(I347),"'","''")&amp;"') AND lo.estado = 1 LIMIT 1)")&amp;", p_id_tipo_persona =&gt; "&amp;IF(TRIM(H347&amp;"")="","NULL","(SELECT lo.id FROM gen_lista_opciones lo JOIN gen_lista l ON l.id = lo.id_lista WHERE l.nombre = 'TipoPersona' AND upper(lo.nombre) = upper('"&amp;SUBSTITUTE(TRIM(H347),"'","''")&amp;"') AND lo.estado = 1 LIMIT 1)")&amp;", p_nombres =&gt; "&amp;IF(TRIM(E347&amp;"")="","NULL","'"&amp;SUBSTITUTE(TRIM(E347),"'","''")&amp;"'")&amp;", p_apellido_paterno =&gt; "&amp;IF(TRIM(F347&amp;"")="","NULL","'"&amp;SUBSTITUTE(TRIM(F347),"'","''")&amp;"'")&amp;", p_apellido_materno =&gt; "&amp;IF(TRIM(G347&amp;"")="","NULL","'"&amp;SUBSTITUTE(TRIM(G347),"'","''")&amp;"'")&amp;", p_id_tipo_documento =&gt; "&amp;IF(TRIM(B347&amp;"")="","NULL","(SELECT lo.id FROM gen_lista_opciones lo JOIN gen_lista l ON l.id = lo.id_lista WHERE l.nombre = 'TipoDocumento' AND upper(lo.nombre) = upper('"&amp;SUBSTITUTE(TRIM(B347),"'","''")&amp;"') AND lo.estado = 1 LIMIT 1)")&amp;", p_numero_documento =&gt; "&amp;IF(TRIM(C347&amp;"")="","NULL","'"&amp;SUBSTITUTE(TRIM(C347),"'","''")&amp;"'")&amp;", p_telefono =&gt; "&amp;IF(TRIM(L347&amp;"")="","NULL","'"&amp;SUBSTITUTE(TRIM(L347),"'","''")&amp;"'")&amp;", p_email =&gt; "&amp;IF(TRIM(M347&amp;"")="","NULL","'"&amp;SUBSTITUTE(TRIM(M347),"'","''")&amp;"'")&amp;", p_observacion =&gt; "&amp;IF(TRIM(O347&amp;"")="","NULL","'"&amp;SUBSTITUTE(TRIM(O347),"'","''")&amp;"'")&amp;", p_direccion =&gt; "&amp;IF(TRIM(J347&amp;"")="","NULL","'"&amp;SUBSTITUTE(TRIM(J347),"'","''")&amp;"'")&amp;", p_referencia =&gt; "&amp;IF(TRIM(K347&amp;"")="","NULL","'"&amp;SUBSTITUTE(TRIM(K347),"'","''")&amp;"'")&amp;") AS resultado_cliente_"&amp;302&amp;";")</f>
        <v/>
      </c>
    </row>
    <row r="348" ht="15.75" customHeight="1" s="64">
      <c r="A348" s="25">
        <f>IF(AND(D348="",E348="",C348=""),"",IF(AND(D348="",E348=""),"FALTA razón social o nombres",IF(AND(C348&lt;&gt;"",COUNTIF($C$5:$C$549,C348)&gt;1),"DOCUMENTO DUPLICADO",IF(AND(B348="DNI",C348&lt;&gt;"",LEN(C348)&lt;&gt;8),"DNI debe tener 8 dígitos",IF(AND(B348="RUC",C348&lt;&gt;"",LEN(C348)&lt;&gt;11),"RUC debe tener 11 dígitos",IF(AND(N348&lt;&gt;"",COUNTIF($N$5:$N$549,N348)&gt;1),"CÓDIGO INTERNO DUPLICADO","OK"))))))</f>
        <v/>
      </c>
      <c r="B348" s="17" t="n"/>
      <c r="C348" s="23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23" t="n"/>
      <c r="M348" s="17" t="n"/>
      <c r="N348" s="23" t="n"/>
      <c r="O348" s="17" t="n"/>
      <c r="P348" s="28">
        <f>IF(A348&lt;&gt;"OK","","SELECT cli_crear_clientes(p_codigo_interno =&gt; "&amp;IF(TRIM(N348&amp;"")="","NULL","'"&amp;SUBSTITUTE(TRIM(N348),"'","''")&amp;"'")&amp;", p_razon_social =&gt; "&amp;IF(TRIM(D348&amp;"")="","NULL","'"&amp;SUBSTITUTE(TRIM(D348),"'","''")&amp;"'")&amp;", p_id_tipo_cliente =&gt; "&amp;IF(TRIM(I348&amp;"")="","NULL","(SELECT lo.id FROM gen_lista_opciones lo JOIN gen_lista l ON l.id = lo.id_lista WHERE l.nombre = 'TipoCliente' AND upper(lo.nombre) = upper('"&amp;SUBSTITUTE(TRIM(I348),"'","''")&amp;"') AND lo.estado = 1 LIMIT 1)")&amp;", p_id_tipo_persona =&gt; "&amp;IF(TRIM(H348&amp;"")="","NULL","(SELECT lo.id FROM gen_lista_opciones lo JOIN gen_lista l ON l.id = lo.id_lista WHERE l.nombre = 'TipoPersona' AND upper(lo.nombre) = upper('"&amp;SUBSTITUTE(TRIM(H348),"'","''")&amp;"') AND lo.estado = 1 LIMIT 1)")&amp;", p_nombres =&gt; "&amp;IF(TRIM(E348&amp;"")="","NULL","'"&amp;SUBSTITUTE(TRIM(E348),"'","''")&amp;"'")&amp;", p_apellido_paterno =&gt; "&amp;IF(TRIM(F348&amp;"")="","NULL","'"&amp;SUBSTITUTE(TRIM(F348),"'","''")&amp;"'")&amp;", p_apellido_materno =&gt; "&amp;IF(TRIM(G348&amp;"")="","NULL","'"&amp;SUBSTITUTE(TRIM(G348),"'","''")&amp;"'")&amp;", p_id_tipo_documento =&gt; "&amp;IF(TRIM(B348&amp;"")="","NULL","(SELECT lo.id FROM gen_lista_opciones lo JOIN gen_lista l ON l.id = lo.id_lista WHERE l.nombre = 'TipoDocumento' AND upper(lo.nombre) = upper('"&amp;SUBSTITUTE(TRIM(B348),"'","''")&amp;"') AND lo.estado = 1 LIMIT 1)")&amp;", p_numero_documento =&gt; "&amp;IF(TRIM(C348&amp;"")="","NULL","'"&amp;SUBSTITUTE(TRIM(C348),"'","''")&amp;"'")&amp;", p_telefono =&gt; "&amp;IF(TRIM(L348&amp;"")="","NULL","'"&amp;SUBSTITUTE(TRIM(L348),"'","''")&amp;"'")&amp;", p_email =&gt; "&amp;IF(TRIM(M348&amp;"")="","NULL","'"&amp;SUBSTITUTE(TRIM(M348),"'","''")&amp;"'")&amp;", p_observacion =&gt; "&amp;IF(TRIM(O348&amp;"")="","NULL","'"&amp;SUBSTITUTE(TRIM(O348),"'","''")&amp;"'")&amp;", p_direccion =&gt; "&amp;IF(TRIM(J348&amp;"")="","NULL","'"&amp;SUBSTITUTE(TRIM(J348),"'","''")&amp;"'")&amp;", p_referencia =&gt; "&amp;IF(TRIM(K348&amp;"")="","NULL","'"&amp;SUBSTITUTE(TRIM(K348),"'","''")&amp;"'")&amp;") AS resultado_cliente_"&amp;303&amp;";")</f>
        <v/>
      </c>
    </row>
    <row r="349" ht="15.75" customHeight="1" s="64">
      <c r="A349" s="25">
        <f>IF(AND(D349="",E349="",C349=""),"",IF(AND(D349="",E349=""),"FALTA razón social o nombres",IF(AND(C349&lt;&gt;"",COUNTIF($C$5:$C$549,C349)&gt;1),"DOCUMENTO DUPLICADO",IF(AND(B349="DNI",C349&lt;&gt;"",LEN(C349)&lt;&gt;8),"DNI debe tener 8 dígitos",IF(AND(B349="RUC",C349&lt;&gt;"",LEN(C349)&lt;&gt;11),"RUC debe tener 11 dígitos",IF(AND(N349&lt;&gt;"",COUNTIF($N$5:$N$549,N349)&gt;1),"CÓDIGO INTERNO DUPLICADO","OK"))))))</f>
        <v/>
      </c>
      <c r="B349" s="17" t="n"/>
      <c r="C349" s="23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23" t="n"/>
      <c r="M349" s="17" t="n"/>
      <c r="N349" s="23" t="n"/>
      <c r="O349" s="17" t="n"/>
      <c r="P349" s="28">
        <f>IF(A349&lt;&gt;"OK","","SELECT cli_crear_clientes(p_codigo_interno =&gt; "&amp;IF(TRIM(N349&amp;"")="","NULL","'"&amp;SUBSTITUTE(TRIM(N349),"'","''")&amp;"'")&amp;", p_razon_social =&gt; "&amp;IF(TRIM(D349&amp;"")="","NULL","'"&amp;SUBSTITUTE(TRIM(D349),"'","''")&amp;"'")&amp;", p_id_tipo_cliente =&gt; "&amp;IF(TRIM(I349&amp;"")="","NULL","(SELECT lo.id FROM gen_lista_opciones lo JOIN gen_lista l ON l.id = lo.id_lista WHERE l.nombre = 'TipoCliente' AND upper(lo.nombre) = upper('"&amp;SUBSTITUTE(TRIM(I349),"'","''")&amp;"') AND lo.estado = 1 LIMIT 1)")&amp;", p_id_tipo_persona =&gt; "&amp;IF(TRIM(H349&amp;"")="","NULL","(SELECT lo.id FROM gen_lista_opciones lo JOIN gen_lista l ON l.id = lo.id_lista WHERE l.nombre = 'TipoPersona' AND upper(lo.nombre) = upper('"&amp;SUBSTITUTE(TRIM(H349),"'","''")&amp;"') AND lo.estado = 1 LIMIT 1)")&amp;", p_nombres =&gt; "&amp;IF(TRIM(E349&amp;"")="","NULL","'"&amp;SUBSTITUTE(TRIM(E349),"'","''")&amp;"'")&amp;", p_apellido_paterno =&gt; "&amp;IF(TRIM(F349&amp;"")="","NULL","'"&amp;SUBSTITUTE(TRIM(F349),"'","''")&amp;"'")&amp;", p_apellido_materno =&gt; "&amp;IF(TRIM(G349&amp;"")="","NULL","'"&amp;SUBSTITUTE(TRIM(G349),"'","''")&amp;"'")&amp;", p_id_tipo_documento =&gt; "&amp;IF(TRIM(B349&amp;"")="","NULL","(SELECT lo.id FROM gen_lista_opciones lo JOIN gen_lista l ON l.id = lo.id_lista WHERE l.nombre = 'TipoDocumento' AND upper(lo.nombre) = upper('"&amp;SUBSTITUTE(TRIM(B349),"'","''")&amp;"') AND lo.estado = 1 LIMIT 1)")&amp;", p_numero_documento =&gt; "&amp;IF(TRIM(C349&amp;"")="","NULL","'"&amp;SUBSTITUTE(TRIM(C349),"'","''")&amp;"'")&amp;", p_telefono =&gt; "&amp;IF(TRIM(L349&amp;"")="","NULL","'"&amp;SUBSTITUTE(TRIM(L349),"'","''")&amp;"'")&amp;", p_email =&gt; "&amp;IF(TRIM(M349&amp;"")="","NULL","'"&amp;SUBSTITUTE(TRIM(M349),"'","''")&amp;"'")&amp;", p_observacion =&gt; "&amp;IF(TRIM(O349&amp;"")="","NULL","'"&amp;SUBSTITUTE(TRIM(O349),"'","''")&amp;"'")&amp;", p_direccion =&gt; "&amp;IF(TRIM(J349&amp;"")="","NULL","'"&amp;SUBSTITUTE(TRIM(J349),"'","''")&amp;"'")&amp;", p_referencia =&gt; "&amp;IF(TRIM(K349&amp;"")="","NULL","'"&amp;SUBSTITUTE(TRIM(K349),"'","''")&amp;"'")&amp;") AS resultado_cliente_"&amp;304&amp;";")</f>
        <v/>
      </c>
    </row>
    <row r="350" ht="15.75" customHeight="1" s="64">
      <c r="A350" s="25">
        <f>IF(AND(D350="",E350="",C350=""),"",IF(AND(D350="",E350=""),"FALTA razón social o nombres",IF(AND(C350&lt;&gt;"",COUNTIF($C$5:$C$549,C350)&gt;1),"DOCUMENTO DUPLICADO",IF(AND(B350="DNI",C350&lt;&gt;"",LEN(C350)&lt;&gt;8),"DNI debe tener 8 dígitos",IF(AND(B350="RUC",C350&lt;&gt;"",LEN(C350)&lt;&gt;11),"RUC debe tener 11 dígitos",IF(AND(N350&lt;&gt;"",COUNTIF($N$5:$N$549,N350)&gt;1),"CÓDIGO INTERNO DUPLICADO","OK"))))))</f>
        <v/>
      </c>
      <c r="B350" s="17" t="n"/>
      <c r="C350" s="23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23" t="n"/>
      <c r="M350" s="17" t="n"/>
      <c r="N350" s="23" t="n"/>
      <c r="O350" s="17" t="n"/>
      <c r="P350" s="28">
        <f>IF(A350&lt;&gt;"OK","","SELECT cli_crear_clientes(p_codigo_interno =&gt; "&amp;IF(TRIM(N350&amp;"")="","NULL","'"&amp;SUBSTITUTE(TRIM(N350),"'","''")&amp;"'")&amp;", p_razon_social =&gt; "&amp;IF(TRIM(D350&amp;"")="","NULL","'"&amp;SUBSTITUTE(TRIM(D350),"'","''")&amp;"'")&amp;", p_id_tipo_cliente =&gt; "&amp;IF(TRIM(I350&amp;"")="","NULL","(SELECT lo.id FROM gen_lista_opciones lo JOIN gen_lista l ON l.id = lo.id_lista WHERE l.nombre = 'TipoCliente' AND upper(lo.nombre) = upper('"&amp;SUBSTITUTE(TRIM(I350),"'","''")&amp;"') AND lo.estado = 1 LIMIT 1)")&amp;", p_id_tipo_persona =&gt; "&amp;IF(TRIM(H350&amp;"")="","NULL","(SELECT lo.id FROM gen_lista_opciones lo JOIN gen_lista l ON l.id = lo.id_lista WHERE l.nombre = 'TipoPersona' AND upper(lo.nombre) = upper('"&amp;SUBSTITUTE(TRIM(H350),"'","''")&amp;"') AND lo.estado = 1 LIMIT 1)")&amp;", p_nombres =&gt; "&amp;IF(TRIM(E350&amp;"")="","NULL","'"&amp;SUBSTITUTE(TRIM(E350),"'","''")&amp;"'")&amp;", p_apellido_paterno =&gt; "&amp;IF(TRIM(F350&amp;"")="","NULL","'"&amp;SUBSTITUTE(TRIM(F350),"'","''")&amp;"'")&amp;", p_apellido_materno =&gt; "&amp;IF(TRIM(G350&amp;"")="","NULL","'"&amp;SUBSTITUTE(TRIM(G350),"'","''")&amp;"'")&amp;", p_id_tipo_documento =&gt; "&amp;IF(TRIM(B350&amp;"")="","NULL","(SELECT lo.id FROM gen_lista_opciones lo JOIN gen_lista l ON l.id = lo.id_lista WHERE l.nombre = 'TipoDocumento' AND upper(lo.nombre) = upper('"&amp;SUBSTITUTE(TRIM(B350),"'","''")&amp;"') AND lo.estado = 1 LIMIT 1)")&amp;", p_numero_documento =&gt; "&amp;IF(TRIM(C350&amp;"")="","NULL","'"&amp;SUBSTITUTE(TRIM(C350),"'","''")&amp;"'")&amp;", p_telefono =&gt; "&amp;IF(TRIM(L350&amp;"")="","NULL","'"&amp;SUBSTITUTE(TRIM(L350),"'","''")&amp;"'")&amp;", p_email =&gt; "&amp;IF(TRIM(M350&amp;"")="","NULL","'"&amp;SUBSTITUTE(TRIM(M350),"'","''")&amp;"'")&amp;", p_observacion =&gt; "&amp;IF(TRIM(O350&amp;"")="","NULL","'"&amp;SUBSTITUTE(TRIM(O350),"'","''")&amp;"'")&amp;", p_direccion =&gt; "&amp;IF(TRIM(J350&amp;"")="","NULL","'"&amp;SUBSTITUTE(TRIM(J350),"'","''")&amp;"'")&amp;", p_referencia =&gt; "&amp;IF(TRIM(K350&amp;"")="","NULL","'"&amp;SUBSTITUTE(TRIM(K350),"'","''")&amp;"'")&amp;") AS resultado_cliente_"&amp;305&amp;";")</f>
        <v/>
      </c>
    </row>
    <row r="351" ht="15.75" customHeight="1" s="64">
      <c r="A351" s="25">
        <f>IF(AND(D351="",E351="",C351=""),"",IF(AND(D351="",E351=""),"FALTA razón social o nombres",IF(AND(C351&lt;&gt;"",COUNTIF($C$5:$C$549,C351)&gt;1),"DOCUMENTO DUPLICADO",IF(AND(B351="DNI",C351&lt;&gt;"",LEN(C351)&lt;&gt;8),"DNI debe tener 8 dígitos",IF(AND(B351="RUC",C351&lt;&gt;"",LEN(C351)&lt;&gt;11),"RUC debe tener 11 dígitos",IF(AND(N351&lt;&gt;"",COUNTIF($N$5:$N$549,N351)&gt;1),"CÓDIGO INTERNO DUPLICADO","OK"))))))</f>
        <v/>
      </c>
      <c r="B351" s="17" t="n"/>
      <c r="C351" s="23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23" t="n"/>
      <c r="M351" s="17" t="n"/>
      <c r="N351" s="23" t="n"/>
      <c r="O351" s="17" t="n"/>
      <c r="P351" s="28">
        <f>IF(A351&lt;&gt;"OK","","SELECT cli_crear_clientes(p_codigo_interno =&gt; "&amp;IF(TRIM(N351&amp;"")="","NULL","'"&amp;SUBSTITUTE(TRIM(N351),"'","''")&amp;"'")&amp;", p_razon_social =&gt; "&amp;IF(TRIM(D351&amp;"")="","NULL","'"&amp;SUBSTITUTE(TRIM(D351),"'","''")&amp;"'")&amp;", p_id_tipo_cliente =&gt; "&amp;IF(TRIM(I351&amp;"")="","NULL","(SELECT lo.id FROM gen_lista_opciones lo JOIN gen_lista l ON l.id = lo.id_lista WHERE l.nombre = 'TipoCliente' AND upper(lo.nombre) = upper('"&amp;SUBSTITUTE(TRIM(I351),"'","''")&amp;"') AND lo.estado = 1 LIMIT 1)")&amp;", p_id_tipo_persona =&gt; "&amp;IF(TRIM(H351&amp;"")="","NULL","(SELECT lo.id FROM gen_lista_opciones lo JOIN gen_lista l ON l.id = lo.id_lista WHERE l.nombre = 'TipoPersona' AND upper(lo.nombre) = upper('"&amp;SUBSTITUTE(TRIM(H351),"'","''")&amp;"') AND lo.estado = 1 LIMIT 1)")&amp;", p_nombres =&gt; "&amp;IF(TRIM(E351&amp;"")="","NULL","'"&amp;SUBSTITUTE(TRIM(E351),"'","''")&amp;"'")&amp;", p_apellido_paterno =&gt; "&amp;IF(TRIM(F351&amp;"")="","NULL","'"&amp;SUBSTITUTE(TRIM(F351),"'","''")&amp;"'")&amp;", p_apellido_materno =&gt; "&amp;IF(TRIM(G351&amp;"")="","NULL","'"&amp;SUBSTITUTE(TRIM(G351),"'","''")&amp;"'")&amp;", p_id_tipo_documento =&gt; "&amp;IF(TRIM(B351&amp;"")="","NULL","(SELECT lo.id FROM gen_lista_opciones lo JOIN gen_lista l ON l.id = lo.id_lista WHERE l.nombre = 'TipoDocumento' AND upper(lo.nombre) = upper('"&amp;SUBSTITUTE(TRIM(B351),"'","''")&amp;"') AND lo.estado = 1 LIMIT 1)")&amp;", p_numero_documento =&gt; "&amp;IF(TRIM(C351&amp;"")="","NULL","'"&amp;SUBSTITUTE(TRIM(C351),"'","''")&amp;"'")&amp;", p_telefono =&gt; "&amp;IF(TRIM(L351&amp;"")="","NULL","'"&amp;SUBSTITUTE(TRIM(L351),"'","''")&amp;"'")&amp;", p_email =&gt; "&amp;IF(TRIM(M351&amp;"")="","NULL","'"&amp;SUBSTITUTE(TRIM(M351),"'","''")&amp;"'")&amp;", p_observacion =&gt; "&amp;IF(TRIM(O351&amp;"")="","NULL","'"&amp;SUBSTITUTE(TRIM(O351),"'","''")&amp;"'")&amp;", p_direccion =&gt; "&amp;IF(TRIM(J351&amp;"")="","NULL","'"&amp;SUBSTITUTE(TRIM(J351),"'","''")&amp;"'")&amp;", p_referencia =&gt; "&amp;IF(TRIM(K351&amp;"")="","NULL","'"&amp;SUBSTITUTE(TRIM(K351),"'","''")&amp;"'")&amp;") AS resultado_cliente_"&amp;306&amp;";")</f>
        <v/>
      </c>
    </row>
    <row r="352" ht="15.75" customHeight="1" s="64">
      <c r="A352" s="25">
        <f>IF(AND(D352="",E352="",C352=""),"",IF(AND(D352="",E352=""),"FALTA razón social o nombres",IF(AND(C352&lt;&gt;"",COUNTIF($C$5:$C$549,C352)&gt;1),"DOCUMENTO DUPLICADO",IF(AND(B352="DNI",C352&lt;&gt;"",LEN(C352)&lt;&gt;8),"DNI debe tener 8 dígitos",IF(AND(B352="RUC",C352&lt;&gt;"",LEN(C352)&lt;&gt;11),"RUC debe tener 11 dígitos",IF(AND(N352&lt;&gt;"",COUNTIF($N$5:$N$549,N352)&gt;1),"CÓDIGO INTERNO DUPLICADO","OK"))))))</f>
        <v/>
      </c>
      <c r="B352" s="17" t="n"/>
      <c r="C352" s="23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23" t="n"/>
      <c r="M352" s="17" t="n"/>
      <c r="N352" s="23" t="n"/>
      <c r="O352" s="17" t="n"/>
      <c r="P352" s="28">
        <f>IF(A352&lt;&gt;"OK","","SELECT cli_crear_clientes(p_codigo_interno =&gt; "&amp;IF(TRIM(N352&amp;"")="","NULL","'"&amp;SUBSTITUTE(TRIM(N352),"'","''")&amp;"'")&amp;", p_razon_social =&gt; "&amp;IF(TRIM(D352&amp;"")="","NULL","'"&amp;SUBSTITUTE(TRIM(D352),"'","''")&amp;"'")&amp;", p_id_tipo_cliente =&gt; "&amp;IF(TRIM(I352&amp;"")="","NULL","(SELECT lo.id FROM gen_lista_opciones lo JOIN gen_lista l ON l.id = lo.id_lista WHERE l.nombre = 'TipoCliente' AND upper(lo.nombre) = upper('"&amp;SUBSTITUTE(TRIM(I352),"'","''")&amp;"') AND lo.estado = 1 LIMIT 1)")&amp;", p_id_tipo_persona =&gt; "&amp;IF(TRIM(H352&amp;"")="","NULL","(SELECT lo.id FROM gen_lista_opciones lo JOIN gen_lista l ON l.id = lo.id_lista WHERE l.nombre = 'TipoPersona' AND upper(lo.nombre) = upper('"&amp;SUBSTITUTE(TRIM(H352),"'","''")&amp;"') AND lo.estado = 1 LIMIT 1)")&amp;", p_nombres =&gt; "&amp;IF(TRIM(E352&amp;"")="","NULL","'"&amp;SUBSTITUTE(TRIM(E352),"'","''")&amp;"'")&amp;", p_apellido_paterno =&gt; "&amp;IF(TRIM(F352&amp;"")="","NULL","'"&amp;SUBSTITUTE(TRIM(F352),"'","''")&amp;"'")&amp;", p_apellido_materno =&gt; "&amp;IF(TRIM(G352&amp;"")="","NULL","'"&amp;SUBSTITUTE(TRIM(G352),"'","''")&amp;"'")&amp;", p_id_tipo_documento =&gt; "&amp;IF(TRIM(B352&amp;"")="","NULL","(SELECT lo.id FROM gen_lista_opciones lo JOIN gen_lista l ON l.id = lo.id_lista WHERE l.nombre = 'TipoDocumento' AND upper(lo.nombre) = upper('"&amp;SUBSTITUTE(TRIM(B352),"'","''")&amp;"') AND lo.estado = 1 LIMIT 1)")&amp;", p_numero_documento =&gt; "&amp;IF(TRIM(C352&amp;"")="","NULL","'"&amp;SUBSTITUTE(TRIM(C352),"'","''")&amp;"'")&amp;", p_telefono =&gt; "&amp;IF(TRIM(L352&amp;"")="","NULL","'"&amp;SUBSTITUTE(TRIM(L352),"'","''")&amp;"'")&amp;", p_email =&gt; "&amp;IF(TRIM(M352&amp;"")="","NULL","'"&amp;SUBSTITUTE(TRIM(M352),"'","''")&amp;"'")&amp;", p_observacion =&gt; "&amp;IF(TRIM(O352&amp;"")="","NULL","'"&amp;SUBSTITUTE(TRIM(O352),"'","''")&amp;"'")&amp;", p_direccion =&gt; "&amp;IF(TRIM(J352&amp;"")="","NULL","'"&amp;SUBSTITUTE(TRIM(J352),"'","''")&amp;"'")&amp;", p_referencia =&gt; "&amp;IF(TRIM(K352&amp;"")="","NULL","'"&amp;SUBSTITUTE(TRIM(K352),"'","''")&amp;"'")&amp;") AS resultado_cliente_"&amp;307&amp;";")</f>
        <v/>
      </c>
    </row>
    <row r="353" ht="15.75" customHeight="1" s="64">
      <c r="A353" s="25">
        <f>IF(AND(D353="",E353="",C353=""),"",IF(AND(D353="",E353=""),"FALTA razón social o nombres",IF(AND(C353&lt;&gt;"",COUNTIF($C$5:$C$549,C353)&gt;1),"DOCUMENTO DUPLICADO",IF(AND(B353="DNI",C353&lt;&gt;"",LEN(C353)&lt;&gt;8),"DNI debe tener 8 dígitos",IF(AND(B353="RUC",C353&lt;&gt;"",LEN(C353)&lt;&gt;11),"RUC debe tener 11 dígitos",IF(AND(N353&lt;&gt;"",COUNTIF($N$5:$N$549,N353)&gt;1),"CÓDIGO INTERNO DUPLICADO","OK"))))))</f>
        <v/>
      </c>
      <c r="B353" s="17" t="n"/>
      <c r="C353" s="23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23" t="n"/>
      <c r="M353" s="17" t="n"/>
      <c r="N353" s="23" t="n"/>
      <c r="O353" s="17" t="n"/>
      <c r="P353" s="28">
        <f>IF(A353&lt;&gt;"OK","","SELECT cli_crear_clientes(p_codigo_interno =&gt; "&amp;IF(TRIM(N353&amp;"")="","NULL","'"&amp;SUBSTITUTE(TRIM(N353),"'","''")&amp;"'")&amp;", p_razon_social =&gt; "&amp;IF(TRIM(D353&amp;"")="","NULL","'"&amp;SUBSTITUTE(TRIM(D353),"'","''")&amp;"'")&amp;", p_id_tipo_cliente =&gt; "&amp;IF(TRIM(I353&amp;"")="","NULL","(SELECT lo.id FROM gen_lista_opciones lo JOIN gen_lista l ON l.id = lo.id_lista WHERE l.nombre = 'TipoCliente' AND upper(lo.nombre) = upper('"&amp;SUBSTITUTE(TRIM(I353),"'","''")&amp;"') AND lo.estado = 1 LIMIT 1)")&amp;", p_id_tipo_persona =&gt; "&amp;IF(TRIM(H353&amp;"")="","NULL","(SELECT lo.id FROM gen_lista_opciones lo JOIN gen_lista l ON l.id = lo.id_lista WHERE l.nombre = 'TipoPersona' AND upper(lo.nombre) = upper('"&amp;SUBSTITUTE(TRIM(H353),"'","''")&amp;"') AND lo.estado = 1 LIMIT 1)")&amp;", p_nombres =&gt; "&amp;IF(TRIM(E353&amp;"")="","NULL","'"&amp;SUBSTITUTE(TRIM(E353),"'","''")&amp;"'")&amp;", p_apellido_paterno =&gt; "&amp;IF(TRIM(F353&amp;"")="","NULL","'"&amp;SUBSTITUTE(TRIM(F353),"'","''")&amp;"'")&amp;", p_apellido_materno =&gt; "&amp;IF(TRIM(G353&amp;"")="","NULL","'"&amp;SUBSTITUTE(TRIM(G353),"'","''")&amp;"'")&amp;", p_id_tipo_documento =&gt; "&amp;IF(TRIM(B353&amp;"")="","NULL","(SELECT lo.id FROM gen_lista_opciones lo JOIN gen_lista l ON l.id = lo.id_lista WHERE l.nombre = 'TipoDocumento' AND upper(lo.nombre) = upper('"&amp;SUBSTITUTE(TRIM(B353),"'","''")&amp;"') AND lo.estado = 1 LIMIT 1)")&amp;", p_numero_documento =&gt; "&amp;IF(TRIM(C353&amp;"")="","NULL","'"&amp;SUBSTITUTE(TRIM(C353),"'","''")&amp;"'")&amp;", p_telefono =&gt; "&amp;IF(TRIM(L353&amp;"")="","NULL","'"&amp;SUBSTITUTE(TRIM(L353),"'","''")&amp;"'")&amp;", p_email =&gt; "&amp;IF(TRIM(M353&amp;"")="","NULL","'"&amp;SUBSTITUTE(TRIM(M353),"'","''")&amp;"'")&amp;", p_observacion =&gt; "&amp;IF(TRIM(O353&amp;"")="","NULL","'"&amp;SUBSTITUTE(TRIM(O353),"'","''")&amp;"'")&amp;", p_direccion =&gt; "&amp;IF(TRIM(J353&amp;"")="","NULL","'"&amp;SUBSTITUTE(TRIM(J353),"'","''")&amp;"'")&amp;", p_referencia =&gt; "&amp;IF(TRIM(K353&amp;"")="","NULL","'"&amp;SUBSTITUTE(TRIM(K353),"'","''")&amp;"'")&amp;") AS resultado_cliente_"&amp;308&amp;";")</f>
        <v/>
      </c>
    </row>
    <row r="354" ht="15.75" customHeight="1" s="64">
      <c r="A354" s="25">
        <f>IF(AND(D354="",E354="",C354=""),"",IF(AND(D354="",E354=""),"FALTA razón social o nombres",IF(AND(C354&lt;&gt;"",COUNTIF($C$5:$C$549,C354)&gt;1),"DOCUMENTO DUPLICADO",IF(AND(B354="DNI",C354&lt;&gt;"",LEN(C354)&lt;&gt;8),"DNI debe tener 8 dígitos",IF(AND(B354="RUC",C354&lt;&gt;"",LEN(C354)&lt;&gt;11),"RUC debe tener 11 dígitos",IF(AND(N354&lt;&gt;"",COUNTIF($N$5:$N$549,N354)&gt;1),"CÓDIGO INTERNO DUPLICADO","OK"))))))</f>
        <v/>
      </c>
      <c r="B354" s="17" t="n"/>
      <c r="C354" s="23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23" t="n"/>
      <c r="M354" s="17" t="n"/>
      <c r="N354" s="23" t="n"/>
      <c r="O354" s="17" t="n"/>
      <c r="P354" s="28">
        <f>IF(A354&lt;&gt;"OK","","SELECT cli_crear_clientes(p_codigo_interno =&gt; "&amp;IF(TRIM(N354&amp;"")="","NULL","'"&amp;SUBSTITUTE(TRIM(N354),"'","''")&amp;"'")&amp;", p_razon_social =&gt; "&amp;IF(TRIM(D354&amp;"")="","NULL","'"&amp;SUBSTITUTE(TRIM(D354),"'","''")&amp;"'")&amp;", p_id_tipo_cliente =&gt; "&amp;IF(TRIM(I354&amp;"")="","NULL","(SELECT lo.id FROM gen_lista_opciones lo JOIN gen_lista l ON l.id = lo.id_lista WHERE l.nombre = 'TipoCliente' AND upper(lo.nombre) = upper('"&amp;SUBSTITUTE(TRIM(I354),"'","''")&amp;"') AND lo.estado = 1 LIMIT 1)")&amp;", p_id_tipo_persona =&gt; "&amp;IF(TRIM(H354&amp;"")="","NULL","(SELECT lo.id FROM gen_lista_opciones lo JOIN gen_lista l ON l.id = lo.id_lista WHERE l.nombre = 'TipoPersona' AND upper(lo.nombre) = upper('"&amp;SUBSTITUTE(TRIM(H354),"'","''")&amp;"') AND lo.estado = 1 LIMIT 1)")&amp;", p_nombres =&gt; "&amp;IF(TRIM(E354&amp;"")="","NULL","'"&amp;SUBSTITUTE(TRIM(E354),"'","''")&amp;"'")&amp;", p_apellido_paterno =&gt; "&amp;IF(TRIM(F354&amp;"")="","NULL","'"&amp;SUBSTITUTE(TRIM(F354),"'","''")&amp;"'")&amp;", p_apellido_materno =&gt; "&amp;IF(TRIM(G354&amp;"")="","NULL","'"&amp;SUBSTITUTE(TRIM(G354),"'","''")&amp;"'")&amp;", p_id_tipo_documento =&gt; "&amp;IF(TRIM(B354&amp;"")="","NULL","(SELECT lo.id FROM gen_lista_opciones lo JOIN gen_lista l ON l.id = lo.id_lista WHERE l.nombre = 'TipoDocumento' AND upper(lo.nombre) = upper('"&amp;SUBSTITUTE(TRIM(B354),"'","''")&amp;"') AND lo.estado = 1 LIMIT 1)")&amp;", p_numero_documento =&gt; "&amp;IF(TRIM(C354&amp;"")="","NULL","'"&amp;SUBSTITUTE(TRIM(C354),"'","''")&amp;"'")&amp;", p_telefono =&gt; "&amp;IF(TRIM(L354&amp;"")="","NULL","'"&amp;SUBSTITUTE(TRIM(L354),"'","''")&amp;"'")&amp;", p_email =&gt; "&amp;IF(TRIM(M354&amp;"")="","NULL","'"&amp;SUBSTITUTE(TRIM(M354),"'","''")&amp;"'")&amp;", p_observacion =&gt; "&amp;IF(TRIM(O354&amp;"")="","NULL","'"&amp;SUBSTITUTE(TRIM(O354),"'","''")&amp;"'")&amp;", p_direccion =&gt; "&amp;IF(TRIM(J354&amp;"")="","NULL","'"&amp;SUBSTITUTE(TRIM(J354),"'","''")&amp;"'")&amp;", p_referencia =&gt; "&amp;IF(TRIM(K354&amp;"")="","NULL","'"&amp;SUBSTITUTE(TRIM(K354),"'","''")&amp;"'")&amp;") AS resultado_cliente_"&amp;309&amp;";")</f>
        <v/>
      </c>
    </row>
    <row r="355" ht="15.75" customHeight="1" s="64">
      <c r="A355" s="25">
        <f>IF(AND(D355="",E355="",C355=""),"",IF(AND(D355="",E355=""),"FALTA razón social o nombres",IF(AND(C355&lt;&gt;"",COUNTIF($C$5:$C$549,C355)&gt;1),"DOCUMENTO DUPLICADO",IF(AND(B355="DNI",C355&lt;&gt;"",LEN(C355)&lt;&gt;8),"DNI debe tener 8 dígitos",IF(AND(B355="RUC",C355&lt;&gt;"",LEN(C355)&lt;&gt;11),"RUC debe tener 11 dígitos",IF(AND(N355&lt;&gt;"",COUNTIF($N$5:$N$549,N355)&gt;1),"CÓDIGO INTERNO DUPLICADO","OK"))))))</f>
        <v/>
      </c>
      <c r="B355" s="17" t="n"/>
      <c r="C355" s="23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23" t="n"/>
      <c r="M355" s="17" t="n"/>
      <c r="N355" s="23" t="n"/>
      <c r="O355" s="17" t="n"/>
      <c r="P355" s="28">
        <f>IF(A355&lt;&gt;"OK","","SELECT cli_crear_clientes(p_codigo_interno =&gt; "&amp;IF(TRIM(N355&amp;"")="","NULL","'"&amp;SUBSTITUTE(TRIM(N355),"'","''")&amp;"'")&amp;", p_razon_social =&gt; "&amp;IF(TRIM(D355&amp;"")="","NULL","'"&amp;SUBSTITUTE(TRIM(D355),"'","''")&amp;"'")&amp;", p_id_tipo_cliente =&gt; "&amp;IF(TRIM(I355&amp;"")="","NULL","(SELECT lo.id FROM gen_lista_opciones lo JOIN gen_lista l ON l.id = lo.id_lista WHERE l.nombre = 'TipoCliente' AND upper(lo.nombre) = upper('"&amp;SUBSTITUTE(TRIM(I355),"'","''")&amp;"') AND lo.estado = 1 LIMIT 1)")&amp;", p_id_tipo_persona =&gt; "&amp;IF(TRIM(H355&amp;"")="","NULL","(SELECT lo.id FROM gen_lista_opciones lo JOIN gen_lista l ON l.id = lo.id_lista WHERE l.nombre = 'TipoPersona' AND upper(lo.nombre) = upper('"&amp;SUBSTITUTE(TRIM(H355),"'","''")&amp;"') AND lo.estado = 1 LIMIT 1)")&amp;", p_nombres =&gt; "&amp;IF(TRIM(E355&amp;"")="","NULL","'"&amp;SUBSTITUTE(TRIM(E355),"'","''")&amp;"'")&amp;", p_apellido_paterno =&gt; "&amp;IF(TRIM(F355&amp;"")="","NULL","'"&amp;SUBSTITUTE(TRIM(F355),"'","''")&amp;"'")&amp;", p_apellido_materno =&gt; "&amp;IF(TRIM(G355&amp;"")="","NULL","'"&amp;SUBSTITUTE(TRIM(G355),"'","''")&amp;"'")&amp;", p_id_tipo_documento =&gt; "&amp;IF(TRIM(B355&amp;"")="","NULL","(SELECT lo.id FROM gen_lista_opciones lo JOIN gen_lista l ON l.id = lo.id_lista WHERE l.nombre = 'TipoDocumento' AND upper(lo.nombre) = upper('"&amp;SUBSTITUTE(TRIM(B355),"'","''")&amp;"') AND lo.estado = 1 LIMIT 1)")&amp;", p_numero_documento =&gt; "&amp;IF(TRIM(C355&amp;"")="","NULL","'"&amp;SUBSTITUTE(TRIM(C355),"'","''")&amp;"'")&amp;", p_telefono =&gt; "&amp;IF(TRIM(L355&amp;"")="","NULL","'"&amp;SUBSTITUTE(TRIM(L355),"'","''")&amp;"'")&amp;", p_email =&gt; "&amp;IF(TRIM(M355&amp;"")="","NULL","'"&amp;SUBSTITUTE(TRIM(M355),"'","''")&amp;"'")&amp;", p_observacion =&gt; "&amp;IF(TRIM(O355&amp;"")="","NULL","'"&amp;SUBSTITUTE(TRIM(O355),"'","''")&amp;"'")&amp;", p_direccion =&gt; "&amp;IF(TRIM(J355&amp;"")="","NULL","'"&amp;SUBSTITUTE(TRIM(J355),"'","''")&amp;"'")&amp;", p_referencia =&gt; "&amp;IF(TRIM(K355&amp;"")="","NULL","'"&amp;SUBSTITUTE(TRIM(K355),"'","''")&amp;"'")&amp;") AS resultado_cliente_"&amp;310&amp;";")</f>
        <v/>
      </c>
    </row>
    <row r="356" ht="15.75" customHeight="1" s="64">
      <c r="A356" s="25">
        <f>IF(AND(D356="",E356="",C356=""),"",IF(AND(D356="",E356=""),"FALTA razón social o nombres",IF(AND(C356&lt;&gt;"",COUNTIF($C$5:$C$549,C356)&gt;1),"DOCUMENTO DUPLICADO",IF(AND(B356="DNI",C356&lt;&gt;"",LEN(C356)&lt;&gt;8),"DNI debe tener 8 dígitos",IF(AND(B356="RUC",C356&lt;&gt;"",LEN(C356)&lt;&gt;11),"RUC debe tener 11 dígitos",IF(AND(N356&lt;&gt;"",COUNTIF($N$5:$N$549,N356)&gt;1),"CÓDIGO INTERNO DUPLICADO","OK"))))))</f>
        <v/>
      </c>
      <c r="B356" s="17" t="n"/>
      <c r="C356" s="23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23" t="n"/>
      <c r="M356" s="17" t="n"/>
      <c r="N356" s="23" t="n"/>
      <c r="O356" s="17" t="n"/>
      <c r="P356" s="28">
        <f>IF(A356&lt;&gt;"OK","","SELECT cli_crear_clientes(p_codigo_interno =&gt; "&amp;IF(TRIM(N356&amp;"")="","NULL","'"&amp;SUBSTITUTE(TRIM(N356),"'","''")&amp;"'")&amp;", p_razon_social =&gt; "&amp;IF(TRIM(D356&amp;"")="","NULL","'"&amp;SUBSTITUTE(TRIM(D356),"'","''")&amp;"'")&amp;", p_id_tipo_cliente =&gt; "&amp;IF(TRIM(I356&amp;"")="","NULL","(SELECT lo.id FROM gen_lista_opciones lo JOIN gen_lista l ON l.id = lo.id_lista WHERE l.nombre = 'TipoCliente' AND upper(lo.nombre) = upper('"&amp;SUBSTITUTE(TRIM(I356),"'","''")&amp;"') AND lo.estado = 1 LIMIT 1)")&amp;", p_id_tipo_persona =&gt; "&amp;IF(TRIM(H356&amp;"")="","NULL","(SELECT lo.id FROM gen_lista_opciones lo JOIN gen_lista l ON l.id = lo.id_lista WHERE l.nombre = 'TipoPersona' AND upper(lo.nombre) = upper('"&amp;SUBSTITUTE(TRIM(H356),"'","''")&amp;"') AND lo.estado = 1 LIMIT 1)")&amp;", p_nombres =&gt; "&amp;IF(TRIM(E356&amp;"")="","NULL","'"&amp;SUBSTITUTE(TRIM(E356),"'","''")&amp;"'")&amp;", p_apellido_paterno =&gt; "&amp;IF(TRIM(F356&amp;"")="","NULL","'"&amp;SUBSTITUTE(TRIM(F356),"'","''")&amp;"'")&amp;", p_apellido_materno =&gt; "&amp;IF(TRIM(G356&amp;"")="","NULL","'"&amp;SUBSTITUTE(TRIM(G356),"'","''")&amp;"'")&amp;", p_id_tipo_documento =&gt; "&amp;IF(TRIM(B356&amp;"")="","NULL","(SELECT lo.id FROM gen_lista_opciones lo JOIN gen_lista l ON l.id = lo.id_lista WHERE l.nombre = 'TipoDocumento' AND upper(lo.nombre) = upper('"&amp;SUBSTITUTE(TRIM(B356),"'","''")&amp;"') AND lo.estado = 1 LIMIT 1)")&amp;", p_numero_documento =&gt; "&amp;IF(TRIM(C356&amp;"")="","NULL","'"&amp;SUBSTITUTE(TRIM(C356),"'","''")&amp;"'")&amp;", p_telefono =&gt; "&amp;IF(TRIM(L356&amp;"")="","NULL","'"&amp;SUBSTITUTE(TRIM(L356),"'","''")&amp;"'")&amp;", p_email =&gt; "&amp;IF(TRIM(M356&amp;"")="","NULL","'"&amp;SUBSTITUTE(TRIM(M356),"'","''")&amp;"'")&amp;", p_observacion =&gt; "&amp;IF(TRIM(O356&amp;"")="","NULL","'"&amp;SUBSTITUTE(TRIM(O356),"'","''")&amp;"'")&amp;", p_direccion =&gt; "&amp;IF(TRIM(J356&amp;"")="","NULL","'"&amp;SUBSTITUTE(TRIM(J356),"'","''")&amp;"'")&amp;", p_referencia =&gt; "&amp;IF(TRIM(K356&amp;"")="","NULL","'"&amp;SUBSTITUTE(TRIM(K356),"'","''")&amp;"'")&amp;") AS resultado_cliente_"&amp;311&amp;";")</f>
        <v/>
      </c>
    </row>
    <row r="357" ht="15.75" customHeight="1" s="64">
      <c r="A357" s="25">
        <f>IF(AND(D357="",E357="",C357=""),"",IF(AND(D357="",E357=""),"FALTA razón social o nombres",IF(AND(C357&lt;&gt;"",COUNTIF($C$5:$C$549,C357)&gt;1),"DOCUMENTO DUPLICADO",IF(AND(B357="DNI",C357&lt;&gt;"",LEN(C357)&lt;&gt;8),"DNI debe tener 8 dígitos",IF(AND(B357="RUC",C357&lt;&gt;"",LEN(C357)&lt;&gt;11),"RUC debe tener 11 dígitos",IF(AND(N357&lt;&gt;"",COUNTIF($N$5:$N$549,N357)&gt;1),"CÓDIGO INTERNO DUPLICADO","OK"))))))</f>
        <v/>
      </c>
      <c r="B357" s="17" t="n"/>
      <c r="C357" s="23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23" t="n"/>
      <c r="M357" s="17" t="n"/>
      <c r="N357" s="23" t="n"/>
      <c r="O357" s="17" t="n"/>
      <c r="P357" s="28">
        <f>IF(A357&lt;&gt;"OK","","SELECT cli_crear_clientes(p_codigo_interno =&gt; "&amp;IF(TRIM(N357&amp;"")="","NULL","'"&amp;SUBSTITUTE(TRIM(N357),"'","''")&amp;"'")&amp;", p_razon_social =&gt; "&amp;IF(TRIM(D357&amp;"")="","NULL","'"&amp;SUBSTITUTE(TRIM(D357),"'","''")&amp;"'")&amp;", p_id_tipo_cliente =&gt; "&amp;IF(TRIM(I357&amp;"")="","NULL","(SELECT lo.id FROM gen_lista_opciones lo JOIN gen_lista l ON l.id = lo.id_lista WHERE l.nombre = 'TipoCliente' AND upper(lo.nombre) = upper('"&amp;SUBSTITUTE(TRIM(I357),"'","''")&amp;"') AND lo.estado = 1 LIMIT 1)")&amp;", p_id_tipo_persona =&gt; "&amp;IF(TRIM(H357&amp;"")="","NULL","(SELECT lo.id FROM gen_lista_opciones lo JOIN gen_lista l ON l.id = lo.id_lista WHERE l.nombre = 'TipoPersona' AND upper(lo.nombre) = upper('"&amp;SUBSTITUTE(TRIM(H357),"'","''")&amp;"') AND lo.estado = 1 LIMIT 1)")&amp;", p_nombres =&gt; "&amp;IF(TRIM(E357&amp;"")="","NULL","'"&amp;SUBSTITUTE(TRIM(E357),"'","''")&amp;"'")&amp;", p_apellido_paterno =&gt; "&amp;IF(TRIM(F357&amp;"")="","NULL","'"&amp;SUBSTITUTE(TRIM(F357),"'","''")&amp;"'")&amp;", p_apellido_materno =&gt; "&amp;IF(TRIM(G357&amp;"")="","NULL","'"&amp;SUBSTITUTE(TRIM(G357),"'","''")&amp;"'")&amp;", p_id_tipo_documento =&gt; "&amp;IF(TRIM(B357&amp;"")="","NULL","(SELECT lo.id FROM gen_lista_opciones lo JOIN gen_lista l ON l.id = lo.id_lista WHERE l.nombre = 'TipoDocumento' AND upper(lo.nombre) = upper('"&amp;SUBSTITUTE(TRIM(B357),"'","''")&amp;"') AND lo.estado = 1 LIMIT 1)")&amp;", p_numero_documento =&gt; "&amp;IF(TRIM(C357&amp;"")="","NULL","'"&amp;SUBSTITUTE(TRIM(C357),"'","''")&amp;"'")&amp;", p_telefono =&gt; "&amp;IF(TRIM(L357&amp;"")="","NULL","'"&amp;SUBSTITUTE(TRIM(L357),"'","''")&amp;"'")&amp;", p_email =&gt; "&amp;IF(TRIM(M357&amp;"")="","NULL","'"&amp;SUBSTITUTE(TRIM(M357),"'","''")&amp;"'")&amp;", p_observacion =&gt; "&amp;IF(TRIM(O357&amp;"")="","NULL","'"&amp;SUBSTITUTE(TRIM(O357),"'","''")&amp;"'")&amp;", p_direccion =&gt; "&amp;IF(TRIM(J357&amp;"")="","NULL","'"&amp;SUBSTITUTE(TRIM(J357),"'","''")&amp;"'")&amp;", p_referencia =&gt; "&amp;IF(TRIM(K357&amp;"")="","NULL","'"&amp;SUBSTITUTE(TRIM(K357),"'","''")&amp;"'")&amp;") AS resultado_cliente_"&amp;312&amp;";")</f>
        <v/>
      </c>
    </row>
    <row r="358" ht="15.75" customHeight="1" s="64">
      <c r="A358" s="25">
        <f>IF(AND(D358="",E358="",C358=""),"",IF(AND(D358="",E358=""),"FALTA razón social o nombres",IF(AND(C358&lt;&gt;"",COUNTIF($C$5:$C$549,C358)&gt;1),"DOCUMENTO DUPLICADO",IF(AND(B358="DNI",C358&lt;&gt;"",LEN(C358)&lt;&gt;8),"DNI debe tener 8 dígitos",IF(AND(B358="RUC",C358&lt;&gt;"",LEN(C358)&lt;&gt;11),"RUC debe tener 11 dígitos",IF(AND(N358&lt;&gt;"",COUNTIF($N$5:$N$549,N358)&gt;1),"CÓDIGO INTERNO DUPLICADO","OK"))))))</f>
        <v/>
      </c>
      <c r="B358" s="17" t="n"/>
      <c r="C358" s="23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23" t="n"/>
      <c r="M358" s="17" t="n"/>
      <c r="N358" s="23" t="n"/>
      <c r="O358" s="17" t="n"/>
      <c r="P358" s="28">
        <f>IF(A358&lt;&gt;"OK","","SELECT cli_crear_clientes(p_codigo_interno =&gt; "&amp;IF(TRIM(N358&amp;"")="","NULL","'"&amp;SUBSTITUTE(TRIM(N358),"'","''")&amp;"'")&amp;", p_razon_social =&gt; "&amp;IF(TRIM(D358&amp;"")="","NULL","'"&amp;SUBSTITUTE(TRIM(D358),"'","''")&amp;"'")&amp;", p_id_tipo_cliente =&gt; "&amp;IF(TRIM(I358&amp;"")="","NULL","(SELECT lo.id FROM gen_lista_opciones lo JOIN gen_lista l ON l.id = lo.id_lista WHERE l.nombre = 'TipoCliente' AND upper(lo.nombre) = upper('"&amp;SUBSTITUTE(TRIM(I358),"'","''")&amp;"') AND lo.estado = 1 LIMIT 1)")&amp;", p_id_tipo_persona =&gt; "&amp;IF(TRIM(H358&amp;"")="","NULL","(SELECT lo.id FROM gen_lista_opciones lo JOIN gen_lista l ON l.id = lo.id_lista WHERE l.nombre = 'TipoPersona' AND upper(lo.nombre) = upper('"&amp;SUBSTITUTE(TRIM(H358),"'","''")&amp;"') AND lo.estado = 1 LIMIT 1)")&amp;", p_nombres =&gt; "&amp;IF(TRIM(E358&amp;"")="","NULL","'"&amp;SUBSTITUTE(TRIM(E358),"'","''")&amp;"'")&amp;", p_apellido_paterno =&gt; "&amp;IF(TRIM(F358&amp;"")="","NULL","'"&amp;SUBSTITUTE(TRIM(F358),"'","''")&amp;"'")&amp;", p_apellido_materno =&gt; "&amp;IF(TRIM(G358&amp;"")="","NULL","'"&amp;SUBSTITUTE(TRIM(G358),"'","''")&amp;"'")&amp;", p_id_tipo_documento =&gt; "&amp;IF(TRIM(B358&amp;"")="","NULL","(SELECT lo.id FROM gen_lista_opciones lo JOIN gen_lista l ON l.id = lo.id_lista WHERE l.nombre = 'TipoDocumento' AND upper(lo.nombre) = upper('"&amp;SUBSTITUTE(TRIM(B358),"'","''")&amp;"') AND lo.estado = 1 LIMIT 1)")&amp;", p_numero_documento =&gt; "&amp;IF(TRIM(C358&amp;"")="","NULL","'"&amp;SUBSTITUTE(TRIM(C358),"'","''")&amp;"'")&amp;", p_telefono =&gt; "&amp;IF(TRIM(L358&amp;"")="","NULL","'"&amp;SUBSTITUTE(TRIM(L358),"'","''")&amp;"'")&amp;", p_email =&gt; "&amp;IF(TRIM(M358&amp;"")="","NULL","'"&amp;SUBSTITUTE(TRIM(M358),"'","''")&amp;"'")&amp;", p_observacion =&gt; "&amp;IF(TRIM(O358&amp;"")="","NULL","'"&amp;SUBSTITUTE(TRIM(O358),"'","''")&amp;"'")&amp;", p_direccion =&gt; "&amp;IF(TRIM(J358&amp;"")="","NULL","'"&amp;SUBSTITUTE(TRIM(J358),"'","''")&amp;"'")&amp;", p_referencia =&gt; "&amp;IF(TRIM(K358&amp;"")="","NULL","'"&amp;SUBSTITUTE(TRIM(K358),"'","''")&amp;"'")&amp;") AS resultado_cliente_"&amp;313&amp;";")</f>
        <v/>
      </c>
    </row>
    <row r="359" ht="15.75" customHeight="1" s="64">
      <c r="A359" s="25">
        <f>IF(AND(D359="",E359="",C359=""),"",IF(AND(D359="",E359=""),"FALTA razón social o nombres",IF(AND(C359&lt;&gt;"",COUNTIF($C$5:$C$549,C359)&gt;1),"DOCUMENTO DUPLICADO",IF(AND(B359="DNI",C359&lt;&gt;"",LEN(C359)&lt;&gt;8),"DNI debe tener 8 dígitos",IF(AND(B359="RUC",C359&lt;&gt;"",LEN(C359)&lt;&gt;11),"RUC debe tener 11 dígitos",IF(AND(N359&lt;&gt;"",COUNTIF($N$5:$N$549,N359)&gt;1),"CÓDIGO INTERNO DUPLICADO","OK"))))))</f>
        <v/>
      </c>
      <c r="B359" s="17" t="n"/>
      <c r="C359" s="23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23" t="n"/>
      <c r="M359" s="17" t="n"/>
      <c r="N359" s="23" t="n"/>
      <c r="O359" s="17" t="n"/>
      <c r="P359" s="28">
        <f>IF(A359&lt;&gt;"OK","","SELECT cli_crear_clientes(p_codigo_interno =&gt; "&amp;IF(TRIM(N359&amp;"")="","NULL","'"&amp;SUBSTITUTE(TRIM(N359),"'","''")&amp;"'")&amp;", p_razon_social =&gt; "&amp;IF(TRIM(D359&amp;"")="","NULL","'"&amp;SUBSTITUTE(TRIM(D359),"'","''")&amp;"'")&amp;", p_id_tipo_cliente =&gt; "&amp;IF(TRIM(I359&amp;"")="","NULL","(SELECT lo.id FROM gen_lista_opciones lo JOIN gen_lista l ON l.id = lo.id_lista WHERE l.nombre = 'TipoCliente' AND upper(lo.nombre) = upper('"&amp;SUBSTITUTE(TRIM(I359),"'","''")&amp;"') AND lo.estado = 1 LIMIT 1)")&amp;", p_id_tipo_persona =&gt; "&amp;IF(TRIM(H359&amp;"")="","NULL","(SELECT lo.id FROM gen_lista_opciones lo JOIN gen_lista l ON l.id = lo.id_lista WHERE l.nombre = 'TipoPersona' AND upper(lo.nombre) = upper('"&amp;SUBSTITUTE(TRIM(H359),"'","''")&amp;"') AND lo.estado = 1 LIMIT 1)")&amp;", p_nombres =&gt; "&amp;IF(TRIM(E359&amp;"")="","NULL","'"&amp;SUBSTITUTE(TRIM(E359),"'","''")&amp;"'")&amp;", p_apellido_paterno =&gt; "&amp;IF(TRIM(F359&amp;"")="","NULL","'"&amp;SUBSTITUTE(TRIM(F359),"'","''")&amp;"'")&amp;", p_apellido_materno =&gt; "&amp;IF(TRIM(G359&amp;"")="","NULL","'"&amp;SUBSTITUTE(TRIM(G359),"'","''")&amp;"'")&amp;", p_id_tipo_documento =&gt; "&amp;IF(TRIM(B359&amp;"")="","NULL","(SELECT lo.id FROM gen_lista_opciones lo JOIN gen_lista l ON l.id = lo.id_lista WHERE l.nombre = 'TipoDocumento' AND upper(lo.nombre) = upper('"&amp;SUBSTITUTE(TRIM(B359),"'","''")&amp;"') AND lo.estado = 1 LIMIT 1)")&amp;", p_numero_documento =&gt; "&amp;IF(TRIM(C359&amp;"")="","NULL","'"&amp;SUBSTITUTE(TRIM(C359),"'","''")&amp;"'")&amp;", p_telefono =&gt; "&amp;IF(TRIM(L359&amp;"")="","NULL","'"&amp;SUBSTITUTE(TRIM(L359),"'","''")&amp;"'")&amp;", p_email =&gt; "&amp;IF(TRIM(M359&amp;"")="","NULL","'"&amp;SUBSTITUTE(TRIM(M359),"'","''")&amp;"'")&amp;", p_observacion =&gt; "&amp;IF(TRIM(O359&amp;"")="","NULL","'"&amp;SUBSTITUTE(TRIM(O359),"'","''")&amp;"'")&amp;", p_direccion =&gt; "&amp;IF(TRIM(J359&amp;"")="","NULL","'"&amp;SUBSTITUTE(TRIM(J359),"'","''")&amp;"'")&amp;", p_referencia =&gt; "&amp;IF(TRIM(K359&amp;"")="","NULL","'"&amp;SUBSTITUTE(TRIM(K359),"'","''")&amp;"'")&amp;") AS resultado_cliente_"&amp;314&amp;";")</f>
        <v/>
      </c>
    </row>
    <row r="360" ht="15.75" customHeight="1" s="64">
      <c r="A360" s="25">
        <f>IF(AND(D360="",E360="",C360=""),"",IF(AND(D360="",E360=""),"FALTA razón social o nombres",IF(AND(C360&lt;&gt;"",COUNTIF($C$5:$C$549,C360)&gt;1),"DOCUMENTO DUPLICADO",IF(AND(B360="DNI",C360&lt;&gt;"",LEN(C360)&lt;&gt;8),"DNI debe tener 8 dígitos",IF(AND(B360="RUC",C360&lt;&gt;"",LEN(C360)&lt;&gt;11),"RUC debe tener 11 dígitos",IF(AND(N360&lt;&gt;"",COUNTIF($N$5:$N$549,N360)&gt;1),"CÓDIGO INTERNO DUPLICADO","OK"))))))</f>
        <v/>
      </c>
      <c r="B360" s="17" t="n"/>
      <c r="C360" s="23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23" t="n"/>
      <c r="M360" s="17" t="n"/>
      <c r="N360" s="23" t="n"/>
      <c r="O360" s="17" t="n"/>
      <c r="P360" s="28">
        <f>IF(A360&lt;&gt;"OK","","SELECT cli_crear_clientes(p_codigo_interno =&gt; "&amp;IF(TRIM(N360&amp;"")="","NULL","'"&amp;SUBSTITUTE(TRIM(N360),"'","''")&amp;"'")&amp;", p_razon_social =&gt; "&amp;IF(TRIM(D360&amp;"")="","NULL","'"&amp;SUBSTITUTE(TRIM(D360),"'","''")&amp;"'")&amp;", p_id_tipo_cliente =&gt; "&amp;IF(TRIM(I360&amp;"")="","NULL","(SELECT lo.id FROM gen_lista_opciones lo JOIN gen_lista l ON l.id = lo.id_lista WHERE l.nombre = 'TipoCliente' AND upper(lo.nombre) = upper('"&amp;SUBSTITUTE(TRIM(I360),"'","''")&amp;"') AND lo.estado = 1 LIMIT 1)")&amp;", p_id_tipo_persona =&gt; "&amp;IF(TRIM(H360&amp;"")="","NULL","(SELECT lo.id FROM gen_lista_opciones lo JOIN gen_lista l ON l.id = lo.id_lista WHERE l.nombre = 'TipoPersona' AND upper(lo.nombre) = upper('"&amp;SUBSTITUTE(TRIM(H360),"'","''")&amp;"') AND lo.estado = 1 LIMIT 1)")&amp;", p_nombres =&gt; "&amp;IF(TRIM(E360&amp;"")="","NULL","'"&amp;SUBSTITUTE(TRIM(E360),"'","''")&amp;"'")&amp;", p_apellido_paterno =&gt; "&amp;IF(TRIM(F360&amp;"")="","NULL","'"&amp;SUBSTITUTE(TRIM(F360),"'","''")&amp;"'")&amp;", p_apellido_materno =&gt; "&amp;IF(TRIM(G360&amp;"")="","NULL","'"&amp;SUBSTITUTE(TRIM(G360),"'","''")&amp;"'")&amp;", p_id_tipo_documento =&gt; "&amp;IF(TRIM(B360&amp;"")="","NULL","(SELECT lo.id FROM gen_lista_opciones lo JOIN gen_lista l ON l.id = lo.id_lista WHERE l.nombre = 'TipoDocumento' AND upper(lo.nombre) = upper('"&amp;SUBSTITUTE(TRIM(B360),"'","''")&amp;"') AND lo.estado = 1 LIMIT 1)")&amp;", p_numero_documento =&gt; "&amp;IF(TRIM(C360&amp;"")="","NULL","'"&amp;SUBSTITUTE(TRIM(C360),"'","''")&amp;"'")&amp;", p_telefono =&gt; "&amp;IF(TRIM(L360&amp;"")="","NULL","'"&amp;SUBSTITUTE(TRIM(L360),"'","''")&amp;"'")&amp;", p_email =&gt; "&amp;IF(TRIM(M360&amp;"")="","NULL","'"&amp;SUBSTITUTE(TRIM(M360),"'","''")&amp;"'")&amp;", p_observacion =&gt; "&amp;IF(TRIM(O360&amp;"")="","NULL","'"&amp;SUBSTITUTE(TRIM(O360),"'","''")&amp;"'")&amp;", p_direccion =&gt; "&amp;IF(TRIM(J360&amp;"")="","NULL","'"&amp;SUBSTITUTE(TRIM(J360),"'","''")&amp;"'")&amp;", p_referencia =&gt; "&amp;IF(TRIM(K360&amp;"")="","NULL","'"&amp;SUBSTITUTE(TRIM(K360),"'","''")&amp;"'")&amp;") AS resultado_cliente_"&amp;315&amp;";")</f>
        <v/>
      </c>
    </row>
    <row r="361" ht="15.75" customHeight="1" s="64">
      <c r="A361" s="25">
        <f>IF(AND(D361="",E361="",C361=""),"",IF(AND(D361="",E361=""),"FALTA razón social o nombres",IF(AND(C361&lt;&gt;"",COUNTIF($C$5:$C$549,C361)&gt;1),"DOCUMENTO DUPLICADO",IF(AND(B361="DNI",C361&lt;&gt;"",LEN(C361)&lt;&gt;8),"DNI debe tener 8 dígitos",IF(AND(B361="RUC",C361&lt;&gt;"",LEN(C361)&lt;&gt;11),"RUC debe tener 11 dígitos",IF(AND(N361&lt;&gt;"",COUNTIF($N$5:$N$549,N361)&gt;1),"CÓDIGO INTERNO DUPLICADO","OK"))))))</f>
        <v/>
      </c>
      <c r="B361" s="17" t="n"/>
      <c r="C361" s="23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23" t="n"/>
      <c r="M361" s="17" t="n"/>
      <c r="N361" s="23" t="n"/>
      <c r="O361" s="17" t="n"/>
      <c r="P361" s="28">
        <f>IF(A361&lt;&gt;"OK","","SELECT cli_crear_clientes(p_codigo_interno =&gt; "&amp;IF(TRIM(N361&amp;"")="","NULL","'"&amp;SUBSTITUTE(TRIM(N361),"'","''")&amp;"'")&amp;", p_razon_social =&gt; "&amp;IF(TRIM(D361&amp;"")="","NULL","'"&amp;SUBSTITUTE(TRIM(D361),"'","''")&amp;"'")&amp;", p_id_tipo_cliente =&gt; "&amp;IF(TRIM(I361&amp;"")="","NULL","(SELECT lo.id FROM gen_lista_opciones lo JOIN gen_lista l ON l.id = lo.id_lista WHERE l.nombre = 'TipoCliente' AND upper(lo.nombre) = upper('"&amp;SUBSTITUTE(TRIM(I361),"'","''")&amp;"') AND lo.estado = 1 LIMIT 1)")&amp;", p_id_tipo_persona =&gt; "&amp;IF(TRIM(H361&amp;"")="","NULL","(SELECT lo.id FROM gen_lista_opciones lo JOIN gen_lista l ON l.id = lo.id_lista WHERE l.nombre = 'TipoPersona' AND upper(lo.nombre) = upper('"&amp;SUBSTITUTE(TRIM(H361),"'","''")&amp;"') AND lo.estado = 1 LIMIT 1)")&amp;", p_nombres =&gt; "&amp;IF(TRIM(E361&amp;"")="","NULL","'"&amp;SUBSTITUTE(TRIM(E361),"'","''")&amp;"'")&amp;", p_apellido_paterno =&gt; "&amp;IF(TRIM(F361&amp;"")="","NULL","'"&amp;SUBSTITUTE(TRIM(F361),"'","''")&amp;"'")&amp;", p_apellido_materno =&gt; "&amp;IF(TRIM(G361&amp;"")="","NULL","'"&amp;SUBSTITUTE(TRIM(G361),"'","''")&amp;"'")&amp;", p_id_tipo_documento =&gt; "&amp;IF(TRIM(B361&amp;"")="","NULL","(SELECT lo.id FROM gen_lista_opciones lo JOIN gen_lista l ON l.id = lo.id_lista WHERE l.nombre = 'TipoDocumento' AND upper(lo.nombre) = upper('"&amp;SUBSTITUTE(TRIM(B361),"'","''")&amp;"') AND lo.estado = 1 LIMIT 1)")&amp;", p_numero_documento =&gt; "&amp;IF(TRIM(C361&amp;"")="","NULL","'"&amp;SUBSTITUTE(TRIM(C361),"'","''")&amp;"'")&amp;", p_telefono =&gt; "&amp;IF(TRIM(L361&amp;"")="","NULL","'"&amp;SUBSTITUTE(TRIM(L361),"'","''")&amp;"'")&amp;", p_email =&gt; "&amp;IF(TRIM(M361&amp;"")="","NULL","'"&amp;SUBSTITUTE(TRIM(M361),"'","''")&amp;"'")&amp;", p_observacion =&gt; "&amp;IF(TRIM(O361&amp;"")="","NULL","'"&amp;SUBSTITUTE(TRIM(O361),"'","''")&amp;"'")&amp;", p_direccion =&gt; "&amp;IF(TRIM(J361&amp;"")="","NULL","'"&amp;SUBSTITUTE(TRIM(J361),"'","''")&amp;"'")&amp;", p_referencia =&gt; "&amp;IF(TRIM(K361&amp;"")="","NULL","'"&amp;SUBSTITUTE(TRIM(K361),"'","''")&amp;"'")&amp;") AS resultado_cliente_"&amp;316&amp;";")</f>
        <v/>
      </c>
    </row>
    <row r="362" ht="15.75" customHeight="1" s="64">
      <c r="A362" s="25">
        <f>IF(AND(D362="",E362="",C362=""),"",IF(AND(D362="",E362=""),"FALTA razón social o nombres",IF(AND(C362&lt;&gt;"",COUNTIF($C$5:$C$549,C362)&gt;1),"DOCUMENTO DUPLICADO",IF(AND(B362="DNI",C362&lt;&gt;"",LEN(C362)&lt;&gt;8),"DNI debe tener 8 dígitos",IF(AND(B362="RUC",C362&lt;&gt;"",LEN(C362)&lt;&gt;11),"RUC debe tener 11 dígitos",IF(AND(N362&lt;&gt;"",COUNTIF($N$5:$N$549,N362)&gt;1),"CÓDIGO INTERNO DUPLICADO","OK"))))))</f>
        <v/>
      </c>
      <c r="B362" s="17" t="n"/>
      <c r="C362" s="23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23" t="n"/>
      <c r="M362" s="17" t="n"/>
      <c r="N362" s="23" t="n"/>
      <c r="O362" s="17" t="n"/>
      <c r="P362" s="28">
        <f>IF(A362&lt;&gt;"OK","","SELECT cli_crear_clientes(p_codigo_interno =&gt; "&amp;IF(TRIM(N362&amp;"")="","NULL","'"&amp;SUBSTITUTE(TRIM(N362),"'","''")&amp;"'")&amp;", p_razon_social =&gt; "&amp;IF(TRIM(D362&amp;"")="","NULL","'"&amp;SUBSTITUTE(TRIM(D362),"'","''")&amp;"'")&amp;", p_id_tipo_cliente =&gt; "&amp;IF(TRIM(I362&amp;"")="","NULL","(SELECT lo.id FROM gen_lista_opciones lo JOIN gen_lista l ON l.id = lo.id_lista WHERE l.nombre = 'TipoCliente' AND upper(lo.nombre) = upper('"&amp;SUBSTITUTE(TRIM(I362),"'","''")&amp;"') AND lo.estado = 1 LIMIT 1)")&amp;", p_id_tipo_persona =&gt; "&amp;IF(TRIM(H362&amp;"")="","NULL","(SELECT lo.id FROM gen_lista_opciones lo JOIN gen_lista l ON l.id = lo.id_lista WHERE l.nombre = 'TipoPersona' AND upper(lo.nombre) = upper('"&amp;SUBSTITUTE(TRIM(H362),"'","''")&amp;"') AND lo.estado = 1 LIMIT 1)")&amp;", p_nombres =&gt; "&amp;IF(TRIM(E362&amp;"")="","NULL","'"&amp;SUBSTITUTE(TRIM(E362),"'","''")&amp;"'")&amp;", p_apellido_paterno =&gt; "&amp;IF(TRIM(F362&amp;"")="","NULL","'"&amp;SUBSTITUTE(TRIM(F362),"'","''")&amp;"'")&amp;", p_apellido_materno =&gt; "&amp;IF(TRIM(G362&amp;"")="","NULL","'"&amp;SUBSTITUTE(TRIM(G362),"'","''")&amp;"'")&amp;", p_id_tipo_documento =&gt; "&amp;IF(TRIM(B362&amp;"")="","NULL","(SELECT lo.id FROM gen_lista_opciones lo JOIN gen_lista l ON l.id = lo.id_lista WHERE l.nombre = 'TipoDocumento' AND upper(lo.nombre) = upper('"&amp;SUBSTITUTE(TRIM(B362),"'","''")&amp;"') AND lo.estado = 1 LIMIT 1)")&amp;", p_numero_documento =&gt; "&amp;IF(TRIM(C362&amp;"")="","NULL","'"&amp;SUBSTITUTE(TRIM(C362),"'","''")&amp;"'")&amp;", p_telefono =&gt; "&amp;IF(TRIM(L362&amp;"")="","NULL","'"&amp;SUBSTITUTE(TRIM(L362),"'","''")&amp;"'")&amp;", p_email =&gt; "&amp;IF(TRIM(M362&amp;"")="","NULL","'"&amp;SUBSTITUTE(TRIM(M362),"'","''")&amp;"'")&amp;", p_observacion =&gt; "&amp;IF(TRIM(O362&amp;"")="","NULL","'"&amp;SUBSTITUTE(TRIM(O362),"'","''")&amp;"'")&amp;", p_direccion =&gt; "&amp;IF(TRIM(J362&amp;"")="","NULL","'"&amp;SUBSTITUTE(TRIM(J362),"'","''")&amp;"'")&amp;", p_referencia =&gt; "&amp;IF(TRIM(K362&amp;"")="","NULL","'"&amp;SUBSTITUTE(TRIM(K362),"'","''")&amp;"'")&amp;") AS resultado_cliente_"&amp;317&amp;";")</f>
        <v/>
      </c>
    </row>
    <row r="363" ht="15.75" customHeight="1" s="64">
      <c r="A363" s="25">
        <f>IF(AND(D363="",E363="",C363=""),"",IF(AND(D363="",E363=""),"FALTA razón social o nombres",IF(AND(C363&lt;&gt;"",COUNTIF($C$5:$C$549,C363)&gt;1),"DOCUMENTO DUPLICADO",IF(AND(B363="DNI",C363&lt;&gt;"",LEN(C363)&lt;&gt;8),"DNI debe tener 8 dígitos",IF(AND(B363="RUC",C363&lt;&gt;"",LEN(C363)&lt;&gt;11),"RUC debe tener 11 dígitos",IF(AND(N363&lt;&gt;"",COUNTIF($N$5:$N$549,N363)&gt;1),"CÓDIGO INTERNO DUPLICADO","OK"))))))</f>
        <v/>
      </c>
      <c r="B363" s="17" t="n"/>
      <c r="C363" s="23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23" t="n"/>
      <c r="M363" s="17" t="n"/>
      <c r="N363" s="23" t="n"/>
      <c r="O363" s="17" t="n"/>
      <c r="P363" s="28">
        <f>IF(A363&lt;&gt;"OK","","SELECT cli_crear_clientes(p_codigo_interno =&gt; "&amp;IF(TRIM(N363&amp;"")="","NULL","'"&amp;SUBSTITUTE(TRIM(N363),"'","''")&amp;"'")&amp;", p_razon_social =&gt; "&amp;IF(TRIM(D363&amp;"")="","NULL","'"&amp;SUBSTITUTE(TRIM(D363),"'","''")&amp;"'")&amp;", p_id_tipo_cliente =&gt; "&amp;IF(TRIM(I363&amp;"")="","NULL","(SELECT lo.id FROM gen_lista_opciones lo JOIN gen_lista l ON l.id = lo.id_lista WHERE l.nombre = 'TipoCliente' AND upper(lo.nombre) = upper('"&amp;SUBSTITUTE(TRIM(I363),"'","''")&amp;"') AND lo.estado = 1 LIMIT 1)")&amp;", p_id_tipo_persona =&gt; "&amp;IF(TRIM(H363&amp;"")="","NULL","(SELECT lo.id FROM gen_lista_opciones lo JOIN gen_lista l ON l.id = lo.id_lista WHERE l.nombre = 'TipoPersona' AND upper(lo.nombre) = upper('"&amp;SUBSTITUTE(TRIM(H363),"'","''")&amp;"') AND lo.estado = 1 LIMIT 1)")&amp;", p_nombres =&gt; "&amp;IF(TRIM(E363&amp;"")="","NULL","'"&amp;SUBSTITUTE(TRIM(E363),"'","''")&amp;"'")&amp;", p_apellido_paterno =&gt; "&amp;IF(TRIM(F363&amp;"")="","NULL","'"&amp;SUBSTITUTE(TRIM(F363),"'","''")&amp;"'")&amp;", p_apellido_materno =&gt; "&amp;IF(TRIM(G363&amp;"")="","NULL","'"&amp;SUBSTITUTE(TRIM(G363),"'","''")&amp;"'")&amp;", p_id_tipo_documento =&gt; "&amp;IF(TRIM(B363&amp;"")="","NULL","(SELECT lo.id FROM gen_lista_opciones lo JOIN gen_lista l ON l.id = lo.id_lista WHERE l.nombre = 'TipoDocumento' AND upper(lo.nombre) = upper('"&amp;SUBSTITUTE(TRIM(B363),"'","''")&amp;"') AND lo.estado = 1 LIMIT 1)")&amp;", p_numero_documento =&gt; "&amp;IF(TRIM(C363&amp;"")="","NULL","'"&amp;SUBSTITUTE(TRIM(C363),"'","''")&amp;"'")&amp;", p_telefono =&gt; "&amp;IF(TRIM(L363&amp;"")="","NULL","'"&amp;SUBSTITUTE(TRIM(L363),"'","''")&amp;"'")&amp;", p_email =&gt; "&amp;IF(TRIM(M363&amp;"")="","NULL","'"&amp;SUBSTITUTE(TRIM(M363),"'","''")&amp;"'")&amp;", p_observacion =&gt; "&amp;IF(TRIM(O363&amp;"")="","NULL","'"&amp;SUBSTITUTE(TRIM(O363),"'","''")&amp;"'")&amp;", p_direccion =&gt; "&amp;IF(TRIM(J363&amp;"")="","NULL","'"&amp;SUBSTITUTE(TRIM(J363),"'","''")&amp;"'")&amp;", p_referencia =&gt; "&amp;IF(TRIM(K363&amp;"")="","NULL","'"&amp;SUBSTITUTE(TRIM(K363),"'","''")&amp;"'")&amp;") AS resultado_cliente_"&amp;318&amp;";")</f>
        <v/>
      </c>
    </row>
    <row r="364" ht="15.75" customHeight="1" s="64">
      <c r="A364" s="25">
        <f>IF(AND(D364="",E364="",C364=""),"",IF(AND(D364="",E364=""),"FALTA razón social o nombres",IF(AND(C364&lt;&gt;"",COUNTIF($C$5:$C$549,C364)&gt;1),"DOCUMENTO DUPLICADO",IF(AND(B364="DNI",C364&lt;&gt;"",LEN(C364)&lt;&gt;8),"DNI debe tener 8 dígitos",IF(AND(B364="RUC",C364&lt;&gt;"",LEN(C364)&lt;&gt;11),"RUC debe tener 11 dígitos",IF(AND(N364&lt;&gt;"",COUNTIF($N$5:$N$549,N364)&gt;1),"CÓDIGO INTERNO DUPLICADO","OK"))))))</f>
        <v/>
      </c>
      <c r="B364" s="17" t="n"/>
      <c r="C364" s="23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23" t="n"/>
      <c r="M364" s="17" t="n"/>
      <c r="N364" s="23" t="n"/>
      <c r="O364" s="17" t="n"/>
      <c r="P364" s="28">
        <f>IF(A364&lt;&gt;"OK","","SELECT cli_crear_clientes(p_codigo_interno =&gt; "&amp;IF(TRIM(N364&amp;"")="","NULL","'"&amp;SUBSTITUTE(TRIM(N364),"'","''")&amp;"'")&amp;", p_razon_social =&gt; "&amp;IF(TRIM(D364&amp;"")="","NULL","'"&amp;SUBSTITUTE(TRIM(D364),"'","''")&amp;"'")&amp;", p_id_tipo_cliente =&gt; "&amp;IF(TRIM(I364&amp;"")="","NULL","(SELECT lo.id FROM gen_lista_opciones lo JOIN gen_lista l ON l.id = lo.id_lista WHERE l.nombre = 'TipoCliente' AND upper(lo.nombre) = upper('"&amp;SUBSTITUTE(TRIM(I364),"'","''")&amp;"') AND lo.estado = 1 LIMIT 1)")&amp;", p_id_tipo_persona =&gt; "&amp;IF(TRIM(H364&amp;"")="","NULL","(SELECT lo.id FROM gen_lista_opciones lo JOIN gen_lista l ON l.id = lo.id_lista WHERE l.nombre = 'TipoPersona' AND upper(lo.nombre) = upper('"&amp;SUBSTITUTE(TRIM(H364),"'","''")&amp;"') AND lo.estado = 1 LIMIT 1)")&amp;", p_nombres =&gt; "&amp;IF(TRIM(E364&amp;"")="","NULL","'"&amp;SUBSTITUTE(TRIM(E364),"'","''")&amp;"'")&amp;", p_apellido_paterno =&gt; "&amp;IF(TRIM(F364&amp;"")="","NULL","'"&amp;SUBSTITUTE(TRIM(F364),"'","''")&amp;"'")&amp;", p_apellido_materno =&gt; "&amp;IF(TRIM(G364&amp;"")="","NULL","'"&amp;SUBSTITUTE(TRIM(G364),"'","''")&amp;"'")&amp;", p_id_tipo_documento =&gt; "&amp;IF(TRIM(B364&amp;"")="","NULL","(SELECT lo.id FROM gen_lista_opciones lo JOIN gen_lista l ON l.id = lo.id_lista WHERE l.nombre = 'TipoDocumento' AND upper(lo.nombre) = upper('"&amp;SUBSTITUTE(TRIM(B364),"'","''")&amp;"') AND lo.estado = 1 LIMIT 1)")&amp;", p_numero_documento =&gt; "&amp;IF(TRIM(C364&amp;"")="","NULL","'"&amp;SUBSTITUTE(TRIM(C364),"'","''")&amp;"'")&amp;", p_telefono =&gt; "&amp;IF(TRIM(L364&amp;"")="","NULL","'"&amp;SUBSTITUTE(TRIM(L364),"'","''")&amp;"'")&amp;", p_email =&gt; "&amp;IF(TRIM(M364&amp;"")="","NULL","'"&amp;SUBSTITUTE(TRIM(M364),"'","''")&amp;"'")&amp;", p_observacion =&gt; "&amp;IF(TRIM(O364&amp;"")="","NULL","'"&amp;SUBSTITUTE(TRIM(O364),"'","''")&amp;"'")&amp;", p_direccion =&gt; "&amp;IF(TRIM(J364&amp;"")="","NULL","'"&amp;SUBSTITUTE(TRIM(J364),"'","''")&amp;"'")&amp;", p_referencia =&gt; "&amp;IF(TRIM(K364&amp;"")="","NULL","'"&amp;SUBSTITUTE(TRIM(K364),"'","''")&amp;"'")&amp;") AS resultado_cliente_"&amp;319&amp;";")</f>
        <v/>
      </c>
    </row>
    <row r="365" ht="15.75" customHeight="1" s="64">
      <c r="A365" s="25">
        <f>IF(AND(D365="",E365="",C365=""),"",IF(AND(D365="",E365=""),"FALTA razón social o nombres",IF(AND(C365&lt;&gt;"",COUNTIF($C$5:$C$549,C365)&gt;1),"DOCUMENTO DUPLICADO",IF(AND(B365="DNI",C365&lt;&gt;"",LEN(C365)&lt;&gt;8),"DNI debe tener 8 dígitos",IF(AND(B365="RUC",C365&lt;&gt;"",LEN(C365)&lt;&gt;11),"RUC debe tener 11 dígitos",IF(AND(N365&lt;&gt;"",COUNTIF($N$5:$N$549,N365)&gt;1),"CÓDIGO INTERNO DUPLICADO","OK"))))))</f>
        <v/>
      </c>
      <c r="B365" s="17" t="n"/>
      <c r="C365" s="23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23" t="n"/>
      <c r="M365" s="17" t="n"/>
      <c r="N365" s="23" t="n"/>
      <c r="O365" s="17" t="n"/>
      <c r="P365" s="28">
        <f>IF(A365&lt;&gt;"OK","","SELECT cli_crear_clientes(p_codigo_interno =&gt; "&amp;IF(TRIM(N365&amp;"")="","NULL","'"&amp;SUBSTITUTE(TRIM(N365),"'","''")&amp;"'")&amp;", p_razon_social =&gt; "&amp;IF(TRIM(D365&amp;"")="","NULL","'"&amp;SUBSTITUTE(TRIM(D365),"'","''")&amp;"'")&amp;", p_id_tipo_cliente =&gt; "&amp;IF(TRIM(I365&amp;"")="","NULL","(SELECT lo.id FROM gen_lista_opciones lo JOIN gen_lista l ON l.id = lo.id_lista WHERE l.nombre = 'TipoCliente' AND upper(lo.nombre) = upper('"&amp;SUBSTITUTE(TRIM(I365),"'","''")&amp;"') AND lo.estado = 1 LIMIT 1)")&amp;", p_id_tipo_persona =&gt; "&amp;IF(TRIM(H365&amp;"")="","NULL","(SELECT lo.id FROM gen_lista_opciones lo JOIN gen_lista l ON l.id = lo.id_lista WHERE l.nombre = 'TipoPersona' AND upper(lo.nombre) = upper('"&amp;SUBSTITUTE(TRIM(H365),"'","''")&amp;"') AND lo.estado = 1 LIMIT 1)")&amp;", p_nombres =&gt; "&amp;IF(TRIM(E365&amp;"")="","NULL","'"&amp;SUBSTITUTE(TRIM(E365),"'","''")&amp;"'")&amp;", p_apellido_paterno =&gt; "&amp;IF(TRIM(F365&amp;"")="","NULL","'"&amp;SUBSTITUTE(TRIM(F365),"'","''")&amp;"'")&amp;", p_apellido_materno =&gt; "&amp;IF(TRIM(G365&amp;"")="","NULL","'"&amp;SUBSTITUTE(TRIM(G365),"'","''")&amp;"'")&amp;", p_id_tipo_documento =&gt; "&amp;IF(TRIM(B365&amp;"")="","NULL","(SELECT lo.id FROM gen_lista_opciones lo JOIN gen_lista l ON l.id = lo.id_lista WHERE l.nombre = 'TipoDocumento' AND upper(lo.nombre) = upper('"&amp;SUBSTITUTE(TRIM(B365),"'","''")&amp;"') AND lo.estado = 1 LIMIT 1)")&amp;", p_numero_documento =&gt; "&amp;IF(TRIM(C365&amp;"")="","NULL","'"&amp;SUBSTITUTE(TRIM(C365),"'","''")&amp;"'")&amp;", p_telefono =&gt; "&amp;IF(TRIM(L365&amp;"")="","NULL","'"&amp;SUBSTITUTE(TRIM(L365),"'","''")&amp;"'")&amp;", p_email =&gt; "&amp;IF(TRIM(M365&amp;"")="","NULL","'"&amp;SUBSTITUTE(TRIM(M365),"'","''")&amp;"'")&amp;", p_observacion =&gt; "&amp;IF(TRIM(O365&amp;"")="","NULL","'"&amp;SUBSTITUTE(TRIM(O365),"'","''")&amp;"'")&amp;", p_direccion =&gt; "&amp;IF(TRIM(J365&amp;"")="","NULL","'"&amp;SUBSTITUTE(TRIM(J365),"'","''")&amp;"'")&amp;", p_referencia =&gt; "&amp;IF(TRIM(K365&amp;"")="","NULL","'"&amp;SUBSTITUTE(TRIM(K365),"'","''")&amp;"'")&amp;") AS resultado_cliente_"&amp;320&amp;";")</f>
        <v/>
      </c>
    </row>
    <row r="366" ht="15.75" customHeight="1" s="64">
      <c r="A366" s="25">
        <f>IF(AND(D366="",E366="",C366=""),"",IF(AND(D366="",E366=""),"FALTA razón social o nombres",IF(AND(C366&lt;&gt;"",COUNTIF($C$5:$C$549,C366)&gt;1),"DOCUMENTO DUPLICADO",IF(AND(B366="DNI",C366&lt;&gt;"",LEN(C366)&lt;&gt;8),"DNI debe tener 8 dígitos",IF(AND(B366="RUC",C366&lt;&gt;"",LEN(C366)&lt;&gt;11),"RUC debe tener 11 dígitos",IF(AND(N366&lt;&gt;"",COUNTIF($N$5:$N$549,N366)&gt;1),"CÓDIGO INTERNO DUPLICADO","OK"))))))</f>
        <v/>
      </c>
      <c r="B366" s="17" t="n"/>
      <c r="C366" s="23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23" t="n"/>
      <c r="M366" s="17" t="n"/>
      <c r="N366" s="23" t="n"/>
      <c r="O366" s="17" t="n"/>
      <c r="P366" s="28">
        <f>IF(A366&lt;&gt;"OK","","SELECT cli_crear_clientes(p_codigo_interno =&gt; "&amp;IF(TRIM(N366&amp;"")="","NULL","'"&amp;SUBSTITUTE(TRIM(N366),"'","''")&amp;"'")&amp;", p_razon_social =&gt; "&amp;IF(TRIM(D366&amp;"")="","NULL","'"&amp;SUBSTITUTE(TRIM(D366),"'","''")&amp;"'")&amp;", p_id_tipo_cliente =&gt; "&amp;IF(TRIM(I366&amp;"")="","NULL","(SELECT lo.id FROM gen_lista_opciones lo JOIN gen_lista l ON l.id = lo.id_lista WHERE l.nombre = 'TipoCliente' AND upper(lo.nombre) = upper('"&amp;SUBSTITUTE(TRIM(I366),"'","''")&amp;"') AND lo.estado = 1 LIMIT 1)")&amp;", p_id_tipo_persona =&gt; "&amp;IF(TRIM(H366&amp;"")="","NULL","(SELECT lo.id FROM gen_lista_opciones lo JOIN gen_lista l ON l.id = lo.id_lista WHERE l.nombre = 'TipoPersona' AND upper(lo.nombre) = upper('"&amp;SUBSTITUTE(TRIM(H366),"'","''")&amp;"') AND lo.estado = 1 LIMIT 1)")&amp;", p_nombres =&gt; "&amp;IF(TRIM(E366&amp;"")="","NULL","'"&amp;SUBSTITUTE(TRIM(E366),"'","''")&amp;"'")&amp;", p_apellido_paterno =&gt; "&amp;IF(TRIM(F366&amp;"")="","NULL","'"&amp;SUBSTITUTE(TRIM(F366),"'","''")&amp;"'")&amp;", p_apellido_materno =&gt; "&amp;IF(TRIM(G366&amp;"")="","NULL","'"&amp;SUBSTITUTE(TRIM(G366),"'","''")&amp;"'")&amp;", p_id_tipo_documento =&gt; "&amp;IF(TRIM(B366&amp;"")="","NULL","(SELECT lo.id FROM gen_lista_opciones lo JOIN gen_lista l ON l.id = lo.id_lista WHERE l.nombre = 'TipoDocumento' AND upper(lo.nombre) = upper('"&amp;SUBSTITUTE(TRIM(B366),"'","''")&amp;"') AND lo.estado = 1 LIMIT 1)")&amp;", p_numero_documento =&gt; "&amp;IF(TRIM(C366&amp;"")="","NULL","'"&amp;SUBSTITUTE(TRIM(C366),"'","''")&amp;"'")&amp;", p_telefono =&gt; "&amp;IF(TRIM(L366&amp;"")="","NULL","'"&amp;SUBSTITUTE(TRIM(L366),"'","''")&amp;"'")&amp;", p_email =&gt; "&amp;IF(TRIM(M366&amp;"")="","NULL","'"&amp;SUBSTITUTE(TRIM(M366),"'","''")&amp;"'")&amp;", p_observacion =&gt; "&amp;IF(TRIM(O366&amp;"")="","NULL","'"&amp;SUBSTITUTE(TRIM(O366),"'","''")&amp;"'")&amp;", p_direccion =&gt; "&amp;IF(TRIM(J366&amp;"")="","NULL","'"&amp;SUBSTITUTE(TRIM(J366),"'","''")&amp;"'")&amp;", p_referencia =&gt; "&amp;IF(TRIM(K366&amp;"")="","NULL","'"&amp;SUBSTITUTE(TRIM(K366),"'","''")&amp;"'")&amp;") AS resultado_cliente_"&amp;321&amp;";")</f>
        <v/>
      </c>
    </row>
    <row r="367" ht="15.75" customHeight="1" s="64">
      <c r="A367" s="25">
        <f>IF(AND(D367="",E367="",C367=""),"",IF(AND(D367="",E367=""),"FALTA razón social o nombres",IF(AND(C367&lt;&gt;"",COUNTIF($C$5:$C$549,C367)&gt;1),"DOCUMENTO DUPLICADO",IF(AND(B367="DNI",C367&lt;&gt;"",LEN(C367)&lt;&gt;8),"DNI debe tener 8 dígitos",IF(AND(B367="RUC",C367&lt;&gt;"",LEN(C367)&lt;&gt;11),"RUC debe tener 11 dígitos",IF(AND(N367&lt;&gt;"",COUNTIF($N$5:$N$549,N367)&gt;1),"CÓDIGO INTERNO DUPLICADO","OK"))))))</f>
        <v/>
      </c>
      <c r="B367" s="17" t="n"/>
      <c r="C367" s="23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23" t="n"/>
      <c r="M367" s="17" t="n"/>
      <c r="N367" s="23" t="n"/>
      <c r="O367" s="17" t="n"/>
      <c r="P367" s="28">
        <f>IF(A367&lt;&gt;"OK","","SELECT cli_crear_clientes(p_codigo_interno =&gt; "&amp;IF(TRIM(N367&amp;"")="","NULL","'"&amp;SUBSTITUTE(TRIM(N367),"'","''")&amp;"'")&amp;", p_razon_social =&gt; "&amp;IF(TRIM(D367&amp;"")="","NULL","'"&amp;SUBSTITUTE(TRIM(D367),"'","''")&amp;"'")&amp;", p_id_tipo_cliente =&gt; "&amp;IF(TRIM(I367&amp;"")="","NULL","(SELECT lo.id FROM gen_lista_opciones lo JOIN gen_lista l ON l.id = lo.id_lista WHERE l.nombre = 'TipoCliente' AND upper(lo.nombre) = upper('"&amp;SUBSTITUTE(TRIM(I367),"'","''")&amp;"') AND lo.estado = 1 LIMIT 1)")&amp;", p_id_tipo_persona =&gt; "&amp;IF(TRIM(H367&amp;"")="","NULL","(SELECT lo.id FROM gen_lista_opciones lo JOIN gen_lista l ON l.id = lo.id_lista WHERE l.nombre = 'TipoPersona' AND upper(lo.nombre) = upper('"&amp;SUBSTITUTE(TRIM(H367),"'","''")&amp;"') AND lo.estado = 1 LIMIT 1)")&amp;", p_nombres =&gt; "&amp;IF(TRIM(E367&amp;"")="","NULL","'"&amp;SUBSTITUTE(TRIM(E367),"'","''")&amp;"'")&amp;", p_apellido_paterno =&gt; "&amp;IF(TRIM(F367&amp;"")="","NULL","'"&amp;SUBSTITUTE(TRIM(F367),"'","''")&amp;"'")&amp;", p_apellido_materno =&gt; "&amp;IF(TRIM(G367&amp;"")="","NULL","'"&amp;SUBSTITUTE(TRIM(G367),"'","''")&amp;"'")&amp;", p_id_tipo_documento =&gt; "&amp;IF(TRIM(B367&amp;"")="","NULL","(SELECT lo.id FROM gen_lista_opciones lo JOIN gen_lista l ON l.id = lo.id_lista WHERE l.nombre = 'TipoDocumento' AND upper(lo.nombre) = upper('"&amp;SUBSTITUTE(TRIM(B367),"'","''")&amp;"') AND lo.estado = 1 LIMIT 1)")&amp;", p_numero_documento =&gt; "&amp;IF(TRIM(C367&amp;"")="","NULL","'"&amp;SUBSTITUTE(TRIM(C367),"'","''")&amp;"'")&amp;", p_telefono =&gt; "&amp;IF(TRIM(L367&amp;"")="","NULL","'"&amp;SUBSTITUTE(TRIM(L367),"'","''")&amp;"'")&amp;", p_email =&gt; "&amp;IF(TRIM(M367&amp;"")="","NULL","'"&amp;SUBSTITUTE(TRIM(M367),"'","''")&amp;"'")&amp;", p_observacion =&gt; "&amp;IF(TRIM(O367&amp;"")="","NULL","'"&amp;SUBSTITUTE(TRIM(O367),"'","''")&amp;"'")&amp;", p_direccion =&gt; "&amp;IF(TRIM(J367&amp;"")="","NULL","'"&amp;SUBSTITUTE(TRIM(J367),"'","''")&amp;"'")&amp;", p_referencia =&gt; "&amp;IF(TRIM(K367&amp;"")="","NULL","'"&amp;SUBSTITUTE(TRIM(K367),"'","''")&amp;"'")&amp;") AS resultado_cliente_"&amp;322&amp;";")</f>
        <v/>
      </c>
    </row>
    <row r="368" ht="15.75" customHeight="1" s="64">
      <c r="A368" s="25">
        <f>IF(AND(D368="",E368="",C368=""),"",IF(AND(D368="",E368=""),"FALTA razón social o nombres",IF(AND(C368&lt;&gt;"",COUNTIF($C$5:$C$549,C368)&gt;1),"DOCUMENTO DUPLICADO",IF(AND(B368="DNI",C368&lt;&gt;"",LEN(C368)&lt;&gt;8),"DNI debe tener 8 dígitos",IF(AND(B368="RUC",C368&lt;&gt;"",LEN(C368)&lt;&gt;11),"RUC debe tener 11 dígitos",IF(AND(N368&lt;&gt;"",COUNTIF($N$5:$N$549,N368)&gt;1),"CÓDIGO INTERNO DUPLICADO","OK"))))))</f>
        <v/>
      </c>
      <c r="B368" s="17" t="n"/>
      <c r="C368" s="23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23" t="n"/>
      <c r="M368" s="17" t="n"/>
      <c r="N368" s="23" t="n"/>
      <c r="O368" s="17" t="n"/>
      <c r="P368" s="28">
        <f>IF(A368&lt;&gt;"OK","","SELECT cli_crear_clientes(p_codigo_interno =&gt; "&amp;IF(TRIM(N368&amp;"")="","NULL","'"&amp;SUBSTITUTE(TRIM(N368),"'","''")&amp;"'")&amp;", p_razon_social =&gt; "&amp;IF(TRIM(D368&amp;"")="","NULL","'"&amp;SUBSTITUTE(TRIM(D368),"'","''")&amp;"'")&amp;", p_id_tipo_cliente =&gt; "&amp;IF(TRIM(I368&amp;"")="","NULL","(SELECT lo.id FROM gen_lista_opciones lo JOIN gen_lista l ON l.id = lo.id_lista WHERE l.nombre = 'TipoCliente' AND upper(lo.nombre) = upper('"&amp;SUBSTITUTE(TRIM(I368),"'","''")&amp;"') AND lo.estado = 1 LIMIT 1)")&amp;", p_id_tipo_persona =&gt; "&amp;IF(TRIM(H368&amp;"")="","NULL","(SELECT lo.id FROM gen_lista_opciones lo JOIN gen_lista l ON l.id = lo.id_lista WHERE l.nombre = 'TipoPersona' AND upper(lo.nombre) = upper('"&amp;SUBSTITUTE(TRIM(H368),"'","''")&amp;"') AND lo.estado = 1 LIMIT 1)")&amp;", p_nombres =&gt; "&amp;IF(TRIM(E368&amp;"")="","NULL","'"&amp;SUBSTITUTE(TRIM(E368),"'","''")&amp;"'")&amp;", p_apellido_paterno =&gt; "&amp;IF(TRIM(F368&amp;"")="","NULL","'"&amp;SUBSTITUTE(TRIM(F368),"'","''")&amp;"'")&amp;", p_apellido_materno =&gt; "&amp;IF(TRIM(G368&amp;"")="","NULL","'"&amp;SUBSTITUTE(TRIM(G368),"'","''")&amp;"'")&amp;", p_id_tipo_documento =&gt; "&amp;IF(TRIM(B368&amp;"")="","NULL","(SELECT lo.id FROM gen_lista_opciones lo JOIN gen_lista l ON l.id = lo.id_lista WHERE l.nombre = 'TipoDocumento' AND upper(lo.nombre) = upper('"&amp;SUBSTITUTE(TRIM(B368),"'","''")&amp;"') AND lo.estado = 1 LIMIT 1)")&amp;", p_numero_documento =&gt; "&amp;IF(TRIM(C368&amp;"")="","NULL","'"&amp;SUBSTITUTE(TRIM(C368),"'","''")&amp;"'")&amp;", p_telefono =&gt; "&amp;IF(TRIM(L368&amp;"")="","NULL","'"&amp;SUBSTITUTE(TRIM(L368),"'","''")&amp;"'")&amp;", p_email =&gt; "&amp;IF(TRIM(M368&amp;"")="","NULL","'"&amp;SUBSTITUTE(TRIM(M368),"'","''")&amp;"'")&amp;", p_observacion =&gt; "&amp;IF(TRIM(O368&amp;"")="","NULL","'"&amp;SUBSTITUTE(TRIM(O368),"'","''")&amp;"'")&amp;", p_direccion =&gt; "&amp;IF(TRIM(J368&amp;"")="","NULL","'"&amp;SUBSTITUTE(TRIM(J368),"'","''")&amp;"'")&amp;", p_referencia =&gt; "&amp;IF(TRIM(K368&amp;"")="","NULL","'"&amp;SUBSTITUTE(TRIM(K368),"'","''")&amp;"'")&amp;") AS resultado_cliente_"&amp;323&amp;";")</f>
        <v/>
      </c>
    </row>
    <row r="369" ht="15.75" customHeight="1" s="64">
      <c r="A369" s="25">
        <f>IF(AND(D369="",E369="",C369=""),"",IF(AND(D369="",E369=""),"FALTA razón social o nombres",IF(AND(C369&lt;&gt;"",COUNTIF($C$5:$C$549,C369)&gt;1),"DOCUMENTO DUPLICADO",IF(AND(B369="DNI",C369&lt;&gt;"",LEN(C369)&lt;&gt;8),"DNI debe tener 8 dígitos",IF(AND(B369="RUC",C369&lt;&gt;"",LEN(C369)&lt;&gt;11),"RUC debe tener 11 dígitos",IF(AND(N369&lt;&gt;"",COUNTIF($N$5:$N$549,N369)&gt;1),"CÓDIGO INTERNO DUPLICADO","OK"))))))</f>
        <v/>
      </c>
      <c r="B369" s="17" t="n"/>
      <c r="C369" s="23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23" t="n"/>
      <c r="M369" s="17" t="n"/>
      <c r="N369" s="23" t="n"/>
      <c r="O369" s="17" t="n"/>
      <c r="P369" s="28">
        <f>IF(A369&lt;&gt;"OK","","SELECT cli_crear_clientes(p_codigo_interno =&gt; "&amp;IF(TRIM(N369&amp;"")="","NULL","'"&amp;SUBSTITUTE(TRIM(N369),"'","''")&amp;"'")&amp;", p_razon_social =&gt; "&amp;IF(TRIM(D369&amp;"")="","NULL","'"&amp;SUBSTITUTE(TRIM(D369),"'","''")&amp;"'")&amp;", p_id_tipo_cliente =&gt; "&amp;IF(TRIM(I369&amp;"")="","NULL","(SELECT lo.id FROM gen_lista_opciones lo JOIN gen_lista l ON l.id = lo.id_lista WHERE l.nombre = 'TipoCliente' AND upper(lo.nombre) = upper('"&amp;SUBSTITUTE(TRIM(I369),"'","''")&amp;"') AND lo.estado = 1 LIMIT 1)")&amp;", p_id_tipo_persona =&gt; "&amp;IF(TRIM(H369&amp;"")="","NULL","(SELECT lo.id FROM gen_lista_opciones lo JOIN gen_lista l ON l.id = lo.id_lista WHERE l.nombre = 'TipoPersona' AND upper(lo.nombre) = upper('"&amp;SUBSTITUTE(TRIM(H369),"'","''")&amp;"') AND lo.estado = 1 LIMIT 1)")&amp;", p_nombres =&gt; "&amp;IF(TRIM(E369&amp;"")="","NULL","'"&amp;SUBSTITUTE(TRIM(E369),"'","''")&amp;"'")&amp;", p_apellido_paterno =&gt; "&amp;IF(TRIM(F369&amp;"")="","NULL","'"&amp;SUBSTITUTE(TRIM(F369),"'","''")&amp;"'")&amp;", p_apellido_materno =&gt; "&amp;IF(TRIM(G369&amp;"")="","NULL","'"&amp;SUBSTITUTE(TRIM(G369),"'","''")&amp;"'")&amp;", p_id_tipo_documento =&gt; "&amp;IF(TRIM(B369&amp;"")="","NULL","(SELECT lo.id FROM gen_lista_opciones lo JOIN gen_lista l ON l.id = lo.id_lista WHERE l.nombre = 'TipoDocumento' AND upper(lo.nombre) = upper('"&amp;SUBSTITUTE(TRIM(B369),"'","''")&amp;"') AND lo.estado = 1 LIMIT 1)")&amp;", p_numero_documento =&gt; "&amp;IF(TRIM(C369&amp;"")="","NULL","'"&amp;SUBSTITUTE(TRIM(C369),"'","''")&amp;"'")&amp;", p_telefono =&gt; "&amp;IF(TRIM(L369&amp;"")="","NULL","'"&amp;SUBSTITUTE(TRIM(L369),"'","''")&amp;"'")&amp;", p_email =&gt; "&amp;IF(TRIM(M369&amp;"")="","NULL","'"&amp;SUBSTITUTE(TRIM(M369),"'","''")&amp;"'")&amp;", p_observacion =&gt; "&amp;IF(TRIM(O369&amp;"")="","NULL","'"&amp;SUBSTITUTE(TRIM(O369),"'","''")&amp;"'")&amp;", p_direccion =&gt; "&amp;IF(TRIM(J369&amp;"")="","NULL","'"&amp;SUBSTITUTE(TRIM(J369),"'","''")&amp;"'")&amp;", p_referencia =&gt; "&amp;IF(TRIM(K369&amp;"")="","NULL","'"&amp;SUBSTITUTE(TRIM(K369),"'","''")&amp;"'")&amp;") AS resultado_cliente_"&amp;324&amp;";")</f>
        <v/>
      </c>
    </row>
    <row r="370" ht="15.75" customHeight="1" s="64">
      <c r="A370" s="25">
        <f>IF(AND(D370="",E370="",C370=""),"",IF(AND(D370="",E370=""),"FALTA razón social o nombres",IF(AND(C370&lt;&gt;"",COUNTIF($C$5:$C$549,C370)&gt;1),"DOCUMENTO DUPLICADO",IF(AND(B370="DNI",C370&lt;&gt;"",LEN(C370)&lt;&gt;8),"DNI debe tener 8 dígitos",IF(AND(B370="RUC",C370&lt;&gt;"",LEN(C370)&lt;&gt;11),"RUC debe tener 11 dígitos",IF(AND(N370&lt;&gt;"",COUNTIF($N$5:$N$549,N370)&gt;1),"CÓDIGO INTERNO DUPLICADO","OK"))))))</f>
        <v/>
      </c>
      <c r="B370" s="17" t="n"/>
      <c r="C370" s="23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23" t="n"/>
      <c r="M370" s="17" t="n"/>
      <c r="N370" s="23" t="n"/>
      <c r="O370" s="17" t="n"/>
      <c r="P370" s="28">
        <f>IF(A370&lt;&gt;"OK","","SELECT cli_crear_clientes(p_codigo_interno =&gt; "&amp;IF(TRIM(N370&amp;"")="","NULL","'"&amp;SUBSTITUTE(TRIM(N370),"'","''")&amp;"'")&amp;", p_razon_social =&gt; "&amp;IF(TRIM(D370&amp;"")="","NULL","'"&amp;SUBSTITUTE(TRIM(D370),"'","''")&amp;"'")&amp;", p_id_tipo_cliente =&gt; "&amp;IF(TRIM(I370&amp;"")="","NULL","(SELECT lo.id FROM gen_lista_opciones lo JOIN gen_lista l ON l.id = lo.id_lista WHERE l.nombre = 'TipoCliente' AND upper(lo.nombre) = upper('"&amp;SUBSTITUTE(TRIM(I370),"'","''")&amp;"') AND lo.estado = 1 LIMIT 1)")&amp;", p_id_tipo_persona =&gt; "&amp;IF(TRIM(H370&amp;"")="","NULL","(SELECT lo.id FROM gen_lista_opciones lo JOIN gen_lista l ON l.id = lo.id_lista WHERE l.nombre = 'TipoPersona' AND upper(lo.nombre) = upper('"&amp;SUBSTITUTE(TRIM(H370),"'","''")&amp;"') AND lo.estado = 1 LIMIT 1)")&amp;", p_nombres =&gt; "&amp;IF(TRIM(E370&amp;"")="","NULL","'"&amp;SUBSTITUTE(TRIM(E370),"'","''")&amp;"'")&amp;", p_apellido_paterno =&gt; "&amp;IF(TRIM(F370&amp;"")="","NULL","'"&amp;SUBSTITUTE(TRIM(F370),"'","''")&amp;"'")&amp;", p_apellido_materno =&gt; "&amp;IF(TRIM(G370&amp;"")="","NULL","'"&amp;SUBSTITUTE(TRIM(G370),"'","''")&amp;"'")&amp;", p_id_tipo_documento =&gt; "&amp;IF(TRIM(B370&amp;"")="","NULL","(SELECT lo.id FROM gen_lista_opciones lo JOIN gen_lista l ON l.id = lo.id_lista WHERE l.nombre = 'TipoDocumento' AND upper(lo.nombre) = upper('"&amp;SUBSTITUTE(TRIM(B370),"'","''")&amp;"') AND lo.estado = 1 LIMIT 1)")&amp;", p_numero_documento =&gt; "&amp;IF(TRIM(C370&amp;"")="","NULL","'"&amp;SUBSTITUTE(TRIM(C370),"'","''")&amp;"'")&amp;", p_telefono =&gt; "&amp;IF(TRIM(L370&amp;"")="","NULL","'"&amp;SUBSTITUTE(TRIM(L370),"'","''")&amp;"'")&amp;", p_email =&gt; "&amp;IF(TRIM(M370&amp;"")="","NULL","'"&amp;SUBSTITUTE(TRIM(M370),"'","''")&amp;"'")&amp;", p_observacion =&gt; "&amp;IF(TRIM(O370&amp;"")="","NULL","'"&amp;SUBSTITUTE(TRIM(O370),"'","''")&amp;"'")&amp;", p_direccion =&gt; "&amp;IF(TRIM(J370&amp;"")="","NULL","'"&amp;SUBSTITUTE(TRIM(J370),"'","''")&amp;"'")&amp;", p_referencia =&gt; "&amp;IF(TRIM(K370&amp;"")="","NULL","'"&amp;SUBSTITUTE(TRIM(K370),"'","''")&amp;"'")&amp;") AS resultado_cliente_"&amp;325&amp;";")</f>
        <v/>
      </c>
    </row>
    <row r="371" ht="15.75" customHeight="1" s="64">
      <c r="A371" s="25">
        <f>IF(AND(D371="",E371="",C371=""),"",IF(AND(D371="",E371=""),"FALTA razón social o nombres",IF(AND(C371&lt;&gt;"",COUNTIF($C$5:$C$549,C371)&gt;1),"DOCUMENTO DUPLICADO",IF(AND(B371="DNI",C371&lt;&gt;"",LEN(C371)&lt;&gt;8),"DNI debe tener 8 dígitos",IF(AND(B371="RUC",C371&lt;&gt;"",LEN(C371)&lt;&gt;11),"RUC debe tener 11 dígitos",IF(AND(N371&lt;&gt;"",COUNTIF($N$5:$N$549,N371)&gt;1),"CÓDIGO INTERNO DUPLICADO","OK"))))))</f>
        <v/>
      </c>
      <c r="B371" s="17" t="n"/>
      <c r="C371" s="23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23" t="n"/>
      <c r="M371" s="17" t="n"/>
      <c r="N371" s="23" t="n"/>
      <c r="O371" s="17" t="n"/>
      <c r="P371" s="28">
        <f>IF(A371&lt;&gt;"OK","","SELECT cli_crear_clientes(p_codigo_interno =&gt; "&amp;IF(TRIM(N371&amp;"")="","NULL","'"&amp;SUBSTITUTE(TRIM(N371),"'","''")&amp;"'")&amp;", p_razon_social =&gt; "&amp;IF(TRIM(D371&amp;"")="","NULL","'"&amp;SUBSTITUTE(TRIM(D371),"'","''")&amp;"'")&amp;", p_id_tipo_cliente =&gt; "&amp;IF(TRIM(I371&amp;"")="","NULL","(SELECT lo.id FROM gen_lista_opciones lo JOIN gen_lista l ON l.id = lo.id_lista WHERE l.nombre = 'TipoCliente' AND upper(lo.nombre) = upper('"&amp;SUBSTITUTE(TRIM(I371),"'","''")&amp;"') AND lo.estado = 1 LIMIT 1)")&amp;", p_id_tipo_persona =&gt; "&amp;IF(TRIM(H371&amp;"")="","NULL","(SELECT lo.id FROM gen_lista_opciones lo JOIN gen_lista l ON l.id = lo.id_lista WHERE l.nombre = 'TipoPersona' AND upper(lo.nombre) = upper('"&amp;SUBSTITUTE(TRIM(H371),"'","''")&amp;"') AND lo.estado = 1 LIMIT 1)")&amp;", p_nombres =&gt; "&amp;IF(TRIM(E371&amp;"")="","NULL","'"&amp;SUBSTITUTE(TRIM(E371),"'","''")&amp;"'")&amp;", p_apellido_paterno =&gt; "&amp;IF(TRIM(F371&amp;"")="","NULL","'"&amp;SUBSTITUTE(TRIM(F371),"'","''")&amp;"'")&amp;", p_apellido_materno =&gt; "&amp;IF(TRIM(G371&amp;"")="","NULL","'"&amp;SUBSTITUTE(TRIM(G371),"'","''")&amp;"'")&amp;", p_id_tipo_documento =&gt; "&amp;IF(TRIM(B371&amp;"")="","NULL","(SELECT lo.id FROM gen_lista_opciones lo JOIN gen_lista l ON l.id = lo.id_lista WHERE l.nombre = 'TipoDocumento' AND upper(lo.nombre) = upper('"&amp;SUBSTITUTE(TRIM(B371),"'","''")&amp;"') AND lo.estado = 1 LIMIT 1)")&amp;", p_numero_documento =&gt; "&amp;IF(TRIM(C371&amp;"")="","NULL","'"&amp;SUBSTITUTE(TRIM(C371),"'","''")&amp;"'")&amp;", p_telefono =&gt; "&amp;IF(TRIM(L371&amp;"")="","NULL","'"&amp;SUBSTITUTE(TRIM(L371),"'","''")&amp;"'")&amp;", p_email =&gt; "&amp;IF(TRIM(M371&amp;"")="","NULL","'"&amp;SUBSTITUTE(TRIM(M371),"'","''")&amp;"'")&amp;", p_observacion =&gt; "&amp;IF(TRIM(O371&amp;"")="","NULL","'"&amp;SUBSTITUTE(TRIM(O371),"'","''")&amp;"'")&amp;", p_direccion =&gt; "&amp;IF(TRIM(J371&amp;"")="","NULL","'"&amp;SUBSTITUTE(TRIM(J371),"'","''")&amp;"'")&amp;", p_referencia =&gt; "&amp;IF(TRIM(K371&amp;"")="","NULL","'"&amp;SUBSTITUTE(TRIM(K371),"'","''")&amp;"'")&amp;") AS resultado_cliente_"&amp;326&amp;";")</f>
        <v/>
      </c>
    </row>
    <row r="372" ht="15.75" customHeight="1" s="64">
      <c r="A372" s="25">
        <f>IF(AND(D372="",E372="",C372=""),"",IF(AND(D372="",E372=""),"FALTA razón social o nombres",IF(AND(C372&lt;&gt;"",COUNTIF($C$5:$C$549,C372)&gt;1),"DOCUMENTO DUPLICADO",IF(AND(B372="DNI",C372&lt;&gt;"",LEN(C372)&lt;&gt;8),"DNI debe tener 8 dígitos",IF(AND(B372="RUC",C372&lt;&gt;"",LEN(C372)&lt;&gt;11),"RUC debe tener 11 dígitos",IF(AND(N372&lt;&gt;"",COUNTIF($N$5:$N$549,N372)&gt;1),"CÓDIGO INTERNO DUPLICADO","OK"))))))</f>
        <v/>
      </c>
      <c r="B372" s="17" t="n"/>
      <c r="C372" s="23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23" t="n"/>
      <c r="M372" s="17" t="n"/>
      <c r="N372" s="23" t="n"/>
      <c r="O372" s="17" t="n"/>
      <c r="P372" s="28">
        <f>IF(A372&lt;&gt;"OK","","SELECT cli_crear_clientes(p_codigo_interno =&gt; "&amp;IF(TRIM(N372&amp;"")="","NULL","'"&amp;SUBSTITUTE(TRIM(N372),"'","''")&amp;"'")&amp;", p_razon_social =&gt; "&amp;IF(TRIM(D372&amp;"")="","NULL","'"&amp;SUBSTITUTE(TRIM(D372),"'","''")&amp;"'")&amp;", p_id_tipo_cliente =&gt; "&amp;IF(TRIM(I372&amp;"")="","NULL","(SELECT lo.id FROM gen_lista_opciones lo JOIN gen_lista l ON l.id = lo.id_lista WHERE l.nombre = 'TipoCliente' AND upper(lo.nombre) = upper('"&amp;SUBSTITUTE(TRIM(I372),"'","''")&amp;"') AND lo.estado = 1 LIMIT 1)")&amp;", p_id_tipo_persona =&gt; "&amp;IF(TRIM(H372&amp;"")="","NULL","(SELECT lo.id FROM gen_lista_opciones lo JOIN gen_lista l ON l.id = lo.id_lista WHERE l.nombre = 'TipoPersona' AND upper(lo.nombre) = upper('"&amp;SUBSTITUTE(TRIM(H372),"'","''")&amp;"') AND lo.estado = 1 LIMIT 1)")&amp;", p_nombres =&gt; "&amp;IF(TRIM(E372&amp;"")="","NULL","'"&amp;SUBSTITUTE(TRIM(E372),"'","''")&amp;"'")&amp;", p_apellido_paterno =&gt; "&amp;IF(TRIM(F372&amp;"")="","NULL","'"&amp;SUBSTITUTE(TRIM(F372),"'","''")&amp;"'")&amp;", p_apellido_materno =&gt; "&amp;IF(TRIM(G372&amp;"")="","NULL","'"&amp;SUBSTITUTE(TRIM(G372),"'","''")&amp;"'")&amp;", p_id_tipo_documento =&gt; "&amp;IF(TRIM(B372&amp;"")="","NULL","(SELECT lo.id FROM gen_lista_opciones lo JOIN gen_lista l ON l.id = lo.id_lista WHERE l.nombre = 'TipoDocumento' AND upper(lo.nombre) = upper('"&amp;SUBSTITUTE(TRIM(B372),"'","''")&amp;"') AND lo.estado = 1 LIMIT 1)")&amp;", p_numero_documento =&gt; "&amp;IF(TRIM(C372&amp;"")="","NULL","'"&amp;SUBSTITUTE(TRIM(C372),"'","''")&amp;"'")&amp;", p_telefono =&gt; "&amp;IF(TRIM(L372&amp;"")="","NULL","'"&amp;SUBSTITUTE(TRIM(L372),"'","''")&amp;"'")&amp;", p_email =&gt; "&amp;IF(TRIM(M372&amp;"")="","NULL","'"&amp;SUBSTITUTE(TRIM(M372),"'","''")&amp;"'")&amp;", p_observacion =&gt; "&amp;IF(TRIM(O372&amp;"")="","NULL","'"&amp;SUBSTITUTE(TRIM(O372),"'","''")&amp;"'")&amp;", p_direccion =&gt; "&amp;IF(TRIM(J372&amp;"")="","NULL","'"&amp;SUBSTITUTE(TRIM(J372),"'","''")&amp;"'")&amp;", p_referencia =&gt; "&amp;IF(TRIM(K372&amp;"")="","NULL","'"&amp;SUBSTITUTE(TRIM(K372),"'","''")&amp;"'")&amp;") AS resultado_cliente_"&amp;327&amp;";")</f>
        <v/>
      </c>
    </row>
    <row r="373" ht="15.75" customHeight="1" s="64">
      <c r="A373" s="25">
        <f>IF(AND(D373="",E373="",C373=""),"",IF(AND(D373="",E373=""),"FALTA razón social o nombres",IF(AND(C373&lt;&gt;"",COUNTIF($C$5:$C$549,C373)&gt;1),"DOCUMENTO DUPLICADO",IF(AND(B373="DNI",C373&lt;&gt;"",LEN(C373)&lt;&gt;8),"DNI debe tener 8 dígitos",IF(AND(B373="RUC",C373&lt;&gt;"",LEN(C373)&lt;&gt;11),"RUC debe tener 11 dígitos",IF(AND(N373&lt;&gt;"",COUNTIF($N$5:$N$549,N373)&gt;1),"CÓDIGO INTERNO DUPLICADO","OK"))))))</f>
        <v/>
      </c>
      <c r="B373" s="17" t="n"/>
      <c r="C373" s="23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23" t="n"/>
      <c r="M373" s="17" t="n"/>
      <c r="N373" s="23" t="n"/>
      <c r="O373" s="17" t="n"/>
      <c r="P373" s="28">
        <f>IF(A373&lt;&gt;"OK","","SELECT cli_crear_clientes(p_codigo_interno =&gt; "&amp;IF(TRIM(N373&amp;"")="","NULL","'"&amp;SUBSTITUTE(TRIM(N373),"'","''")&amp;"'")&amp;", p_razon_social =&gt; "&amp;IF(TRIM(D373&amp;"")="","NULL","'"&amp;SUBSTITUTE(TRIM(D373),"'","''")&amp;"'")&amp;", p_id_tipo_cliente =&gt; "&amp;IF(TRIM(I373&amp;"")="","NULL","(SELECT lo.id FROM gen_lista_opciones lo JOIN gen_lista l ON l.id = lo.id_lista WHERE l.nombre = 'TipoCliente' AND upper(lo.nombre) = upper('"&amp;SUBSTITUTE(TRIM(I373),"'","''")&amp;"') AND lo.estado = 1 LIMIT 1)")&amp;", p_id_tipo_persona =&gt; "&amp;IF(TRIM(H373&amp;"")="","NULL","(SELECT lo.id FROM gen_lista_opciones lo JOIN gen_lista l ON l.id = lo.id_lista WHERE l.nombre = 'TipoPersona' AND upper(lo.nombre) = upper('"&amp;SUBSTITUTE(TRIM(H373),"'","''")&amp;"') AND lo.estado = 1 LIMIT 1)")&amp;", p_nombres =&gt; "&amp;IF(TRIM(E373&amp;"")="","NULL","'"&amp;SUBSTITUTE(TRIM(E373),"'","''")&amp;"'")&amp;", p_apellido_paterno =&gt; "&amp;IF(TRIM(F373&amp;"")="","NULL","'"&amp;SUBSTITUTE(TRIM(F373),"'","''")&amp;"'")&amp;", p_apellido_materno =&gt; "&amp;IF(TRIM(G373&amp;"")="","NULL","'"&amp;SUBSTITUTE(TRIM(G373),"'","''")&amp;"'")&amp;", p_id_tipo_documento =&gt; "&amp;IF(TRIM(B373&amp;"")="","NULL","(SELECT lo.id FROM gen_lista_opciones lo JOIN gen_lista l ON l.id = lo.id_lista WHERE l.nombre = 'TipoDocumento' AND upper(lo.nombre) = upper('"&amp;SUBSTITUTE(TRIM(B373),"'","''")&amp;"') AND lo.estado = 1 LIMIT 1)")&amp;", p_numero_documento =&gt; "&amp;IF(TRIM(C373&amp;"")="","NULL","'"&amp;SUBSTITUTE(TRIM(C373),"'","''")&amp;"'")&amp;", p_telefono =&gt; "&amp;IF(TRIM(L373&amp;"")="","NULL","'"&amp;SUBSTITUTE(TRIM(L373),"'","''")&amp;"'")&amp;", p_email =&gt; "&amp;IF(TRIM(M373&amp;"")="","NULL","'"&amp;SUBSTITUTE(TRIM(M373),"'","''")&amp;"'")&amp;", p_observacion =&gt; "&amp;IF(TRIM(O373&amp;"")="","NULL","'"&amp;SUBSTITUTE(TRIM(O373),"'","''")&amp;"'")&amp;", p_direccion =&gt; "&amp;IF(TRIM(J373&amp;"")="","NULL","'"&amp;SUBSTITUTE(TRIM(J373),"'","''")&amp;"'")&amp;", p_referencia =&gt; "&amp;IF(TRIM(K373&amp;"")="","NULL","'"&amp;SUBSTITUTE(TRIM(K373),"'","''")&amp;"'")&amp;") AS resultado_cliente_"&amp;328&amp;";")</f>
        <v/>
      </c>
    </row>
    <row r="374" ht="15.75" customHeight="1" s="64">
      <c r="A374" s="25">
        <f>IF(AND(D374="",E374="",C374=""),"",IF(AND(D374="",E374=""),"FALTA razón social o nombres",IF(AND(C374&lt;&gt;"",COUNTIF($C$5:$C$549,C374)&gt;1),"DOCUMENTO DUPLICADO",IF(AND(B374="DNI",C374&lt;&gt;"",LEN(C374)&lt;&gt;8),"DNI debe tener 8 dígitos",IF(AND(B374="RUC",C374&lt;&gt;"",LEN(C374)&lt;&gt;11),"RUC debe tener 11 dígitos",IF(AND(N374&lt;&gt;"",COUNTIF($N$5:$N$549,N374)&gt;1),"CÓDIGO INTERNO DUPLICADO","OK"))))))</f>
        <v/>
      </c>
      <c r="B374" s="17" t="n"/>
      <c r="C374" s="23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23" t="n"/>
      <c r="M374" s="17" t="n"/>
      <c r="N374" s="23" t="n"/>
      <c r="O374" s="17" t="n"/>
      <c r="P374" s="28">
        <f>IF(A374&lt;&gt;"OK","","SELECT cli_crear_clientes(p_codigo_interno =&gt; "&amp;IF(TRIM(N374&amp;"")="","NULL","'"&amp;SUBSTITUTE(TRIM(N374),"'","''")&amp;"'")&amp;", p_razon_social =&gt; "&amp;IF(TRIM(D374&amp;"")="","NULL","'"&amp;SUBSTITUTE(TRIM(D374),"'","''")&amp;"'")&amp;", p_id_tipo_cliente =&gt; "&amp;IF(TRIM(I374&amp;"")="","NULL","(SELECT lo.id FROM gen_lista_opciones lo JOIN gen_lista l ON l.id = lo.id_lista WHERE l.nombre = 'TipoCliente' AND upper(lo.nombre) = upper('"&amp;SUBSTITUTE(TRIM(I374),"'","''")&amp;"') AND lo.estado = 1 LIMIT 1)")&amp;", p_id_tipo_persona =&gt; "&amp;IF(TRIM(H374&amp;"")="","NULL","(SELECT lo.id FROM gen_lista_opciones lo JOIN gen_lista l ON l.id = lo.id_lista WHERE l.nombre = 'TipoPersona' AND upper(lo.nombre) = upper('"&amp;SUBSTITUTE(TRIM(H374),"'","''")&amp;"') AND lo.estado = 1 LIMIT 1)")&amp;", p_nombres =&gt; "&amp;IF(TRIM(E374&amp;"")="","NULL","'"&amp;SUBSTITUTE(TRIM(E374),"'","''")&amp;"'")&amp;", p_apellido_paterno =&gt; "&amp;IF(TRIM(F374&amp;"")="","NULL","'"&amp;SUBSTITUTE(TRIM(F374),"'","''")&amp;"'")&amp;", p_apellido_materno =&gt; "&amp;IF(TRIM(G374&amp;"")="","NULL","'"&amp;SUBSTITUTE(TRIM(G374),"'","''")&amp;"'")&amp;", p_id_tipo_documento =&gt; "&amp;IF(TRIM(B374&amp;"")="","NULL","(SELECT lo.id FROM gen_lista_opciones lo JOIN gen_lista l ON l.id = lo.id_lista WHERE l.nombre = 'TipoDocumento' AND upper(lo.nombre) = upper('"&amp;SUBSTITUTE(TRIM(B374),"'","''")&amp;"') AND lo.estado = 1 LIMIT 1)")&amp;", p_numero_documento =&gt; "&amp;IF(TRIM(C374&amp;"")="","NULL","'"&amp;SUBSTITUTE(TRIM(C374),"'","''")&amp;"'")&amp;", p_telefono =&gt; "&amp;IF(TRIM(L374&amp;"")="","NULL","'"&amp;SUBSTITUTE(TRIM(L374),"'","''")&amp;"'")&amp;", p_email =&gt; "&amp;IF(TRIM(M374&amp;"")="","NULL","'"&amp;SUBSTITUTE(TRIM(M374),"'","''")&amp;"'")&amp;", p_observacion =&gt; "&amp;IF(TRIM(O374&amp;"")="","NULL","'"&amp;SUBSTITUTE(TRIM(O374),"'","''")&amp;"'")&amp;", p_direccion =&gt; "&amp;IF(TRIM(J374&amp;"")="","NULL","'"&amp;SUBSTITUTE(TRIM(J374),"'","''")&amp;"'")&amp;", p_referencia =&gt; "&amp;IF(TRIM(K374&amp;"")="","NULL","'"&amp;SUBSTITUTE(TRIM(K374),"'","''")&amp;"'")&amp;") AS resultado_cliente_"&amp;329&amp;";")</f>
        <v/>
      </c>
    </row>
    <row r="375" ht="15.75" customHeight="1" s="64">
      <c r="A375" s="25">
        <f>IF(AND(D375="",E375="",C375=""),"",IF(AND(D375="",E375=""),"FALTA razón social o nombres",IF(AND(C375&lt;&gt;"",COUNTIF($C$5:$C$549,C375)&gt;1),"DOCUMENTO DUPLICADO",IF(AND(B375="DNI",C375&lt;&gt;"",LEN(C375)&lt;&gt;8),"DNI debe tener 8 dígitos",IF(AND(B375="RUC",C375&lt;&gt;"",LEN(C375)&lt;&gt;11),"RUC debe tener 11 dígitos",IF(AND(N375&lt;&gt;"",COUNTIF($N$5:$N$549,N375)&gt;1),"CÓDIGO INTERNO DUPLICADO","OK"))))))</f>
        <v/>
      </c>
      <c r="B375" s="17" t="n"/>
      <c r="C375" s="23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23" t="n"/>
      <c r="M375" s="17" t="n"/>
      <c r="N375" s="23" t="n"/>
      <c r="O375" s="17" t="n"/>
      <c r="P375" s="28">
        <f>IF(A375&lt;&gt;"OK","","SELECT cli_crear_clientes(p_codigo_interno =&gt; "&amp;IF(TRIM(N375&amp;"")="","NULL","'"&amp;SUBSTITUTE(TRIM(N375),"'","''")&amp;"'")&amp;", p_razon_social =&gt; "&amp;IF(TRIM(D375&amp;"")="","NULL","'"&amp;SUBSTITUTE(TRIM(D375),"'","''")&amp;"'")&amp;", p_id_tipo_cliente =&gt; "&amp;IF(TRIM(I375&amp;"")="","NULL","(SELECT lo.id FROM gen_lista_opciones lo JOIN gen_lista l ON l.id = lo.id_lista WHERE l.nombre = 'TipoCliente' AND upper(lo.nombre) = upper('"&amp;SUBSTITUTE(TRIM(I375),"'","''")&amp;"') AND lo.estado = 1 LIMIT 1)")&amp;", p_id_tipo_persona =&gt; "&amp;IF(TRIM(H375&amp;"")="","NULL","(SELECT lo.id FROM gen_lista_opciones lo JOIN gen_lista l ON l.id = lo.id_lista WHERE l.nombre = 'TipoPersona' AND upper(lo.nombre) = upper('"&amp;SUBSTITUTE(TRIM(H375),"'","''")&amp;"') AND lo.estado = 1 LIMIT 1)")&amp;", p_nombres =&gt; "&amp;IF(TRIM(E375&amp;"")="","NULL","'"&amp;SUBSTITUTE(TRIM(E375),"'","''")&amp;"'")&amp;", p_apellido_paterno =&gt; "&amp;IF(TRIM(F375&amp;"")="","NULL","'"&amp;SUBSTITUTE(TRIM(F375),"'","''")&amp;"'")&amp;", p_apellido_materno =&gt; "&amp;IF(TRIM(G375&amp;"")="","NULL","'"&amp;SUBSTITUTE(TRIM(G375),"'","''")&amp;"'")&amp;", p_id_tipo_documento =&gt; "&amp;IF(TRIM(B375&amp;"")="","NULL","(SELECT lo.id FROM gen_lista_opciones lo JOIN gen_lista l ON l.id = lo.id_lista WHERE l.nombre = 'TipoDocumento' AND upper(lo.nombre) = upper('"&amp;SUBSTITUTE(TRIM(B375),"'","''")&amp;"') AND lo.estado = 1 LIMIT 1)")&amp;", p_numero_documento =&gt; "&amp;IF(TRIM(C375&amp;"")="","NULL","'"&amp;SUBSTITUTE(TRIM(C375),"'","''")&amp;"'")&amp;", p_telefono =&gt; "&amp;IF(TRIM(L375&amp;"")="","NULL","'"&amp;SUBSTITUTE(TRIM(L375),"'","''")&amp;"'")&amp;", p_email =&gt; "&amp;IF(TRIM(M375&amp;"")="","NULL","'"&amp;SUBSTITUTE(TRIM(M375),"'","''")&amp;"'")&amp;", p_observacion =&gt; "&amp;IF(TRIM(O375&amp;"")="","NULL","'"&amp;SUBSTITUTE(TRIM(O375),"'","''")&amp;"'")&amp;", p_direccion =&gt; "&amp;IF(TRIM(J375&amp;"")="","NULL","'"&amp;SUBSTITUTE(TRIM(J375),"'","''")&amp;"'")&amp;", p_referencia =&gt; "&amp;IF(TRIM(K375&amp;"")="","NULL","'"&amp;SUBSTITUTE(TRIM(K375),"'","''")&amp;"'")&amp;") AS resultado_cliente_"&amp;330&amp;";")</f>
        <v/>
      </c>
    </row>
    <row r="376" ht="15.75" customHeight="1" s="64">
      <c r="A376" s="25">
        <f>IF(AND(D376="",E376="",C376=""),"",IF(AND(D376="",E376=""),"FALTA razón social o nombres",IF(AND(C376&lt;&gt;"",COUNTIF($C$5:$C$549,C376)&gt;1),"DOCUMENTO DUPLICADO",IF(AND(B376="DNI",C376&lt;&gt;"",LEN(C376)&lt;&gt;8),"DNI debe tener 8 dígitos",IF(AND(B376="RUC",C376&lt;&gt;"",LEN(C376)&lt;&gt;11),"RUC debe tener 11 dígitos",IF(AND(N376&lt;&gt;"",COUNTIF($N$5:$N$549,N376)&gt;1),"CÓDIGO INTERNO DUPLICADO","OK"))))))</f>
        <v/>
      </c>
      <c r="B376" s="17" t="n"/>
      <c r="C376" s="23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23" t="n"/>
      <c r="M376" s="17" t="n"/>
      <c r="N376" s="23" t="n"/>
      <c r="O376" s="17" t="n"/>
      <c r="P376" s="28">
        <f>IF(A376&lt;&gt;"OK","","SELECT cli_crear_clientes(p_codigo_interno =&gt; "&amp;IF(TRIM(N376&amp;"")="","NULL","'"&amp;SUBSTITUTE(TRIM(N376),"'","''")&amp;"'")&amp;", p_razon_social =&gt; "&amp;IF(TRIM(D376&amp;"")="","NULL","'"&amp;SUBSTITUTE(TRIM(D376),"'","''")&amp;"'")&amp;", p_id_tipo_cliente =&gt; "&amp;IF(TRIM(I376&amp;"")="","NULL","(SELECT lo.id FROM gen_lista_opciones lo JOIN gen_lista l ON l.id = lo.id_lista WHERE l.nombre = 'TipoCliente' AND upper(lo.nombre) = upper('"&amp;SUBSTITUTE(TRIM(I376),"'","''")&amp;"') AND lo.estado = 1 LIMIT 1)")&amp;", p_id_tipo_persona =&gt; "&amp;IF(TRIM(H376&amp;"")="","NULL","(SELECT lo.id FROM gen_lista_opciones lo JOIN gen_lista l ON l.id = lo.id_lista WHERE l.nombre = 'TipoPersona' AND upper(lo.nombre) = upper('"&amp;SUBSTITUTE(TRIM(H376),"'","''")&amp;"') AND lo.estado = 1 LIMIT 1)")&amp;", p_nombres =&gt; "&amp;IF(TRIM(E376&amp;"")="","NULL","'"&amp;SUBSTITUTE(TRIM(E376),"'","''")&amp;"'")&amp;", p_apellido_paterno =&gt; "&amp;IF(TRIM(F376&amp;"")="","NULL","'"&amp;SUBSTITUTE(TRIM(F376),"'","''")&amp;"'")&amp;", p_apellido_materno =&gt; "&amp;IF(TRIM(G376&amp;"")="","NULL","'"&amp;SUBSTITUTE(TRIM(G376),"'","''")&amp;"'")&amp;", p_id_tipo_documento =&gt; "&amp;IF(TRIM(B376&amp;"")="","NULL","(SELECT lo.id FROM gen_lista_opciones lo JOIN gen_lista l ON l.id = lo.id_lista WHERE l.nombre = 'TipoDocumento' AND upper(lo.nombre) = upper('"&amp;SUBSTITUTE(TRIM(B376),"'","''")&amp;"') AND lo.estado = 1 LIMIT 1)")&amp;", p_numero_documento =&gt; "&amp;IF(TRIM(C376&amp;"")="","NULL","'"&amp;SUBSTITUTE(TRIM(C376),"'","''")&amp;"'")&amp;", p_telefono =&gt; "&amp;IF(TRIM(L376&amp;"")="","NULL","'"&amp;SUBSTITUTE(TRIM(L376),"'","''")&amp;"'")&amp;", p_email =&gt; "&amp;IF(TRIM(M376&amp;"")="","NULL","'"&amp;SUBSTITUTE(TRIM(M376),"'","''")&amp;"'")&amp;", p_observacion =&gt; "&amp;IF(TRIM(O376&amp;"")="","NULL","'"&amp;SUBSTITUTE(TRIM(O376),"'","''")&amp;"'")&amp;", p_direccion =&gt; "&amp;IF(TRIM(J376&amp;"")="","NULL","'"&amp;SUBSTITUTE(TRIM(J376),"'","''")&amp;"'")&amp;", p_referencia =&gt; "&amp;IF(TRIM(K376&amp;"")="","NULL","'"&amp;SUBSTITUTE(TRIM(K376),"'","''")&amp;"'")&amp;") AS resultado_cliente_"&amp;331&amp;";")</f>
        <v/>
      </c>
    </row>
    <row r="377" ht="15.75" customHeight="1" s="64">
      <c r="A377" s="25">
        <f>IF(AND(D377="",E377="",C377=""),"",IF(AND(D377="",E377=""),"FALTA razón social o nombres",IF(AND(C377&lt;&gt;"",COUNTIF($C$5:$C$549,C377)&gt;1),"DOCUMENTO DUPLICADO",IF(AND(B377="DNI",C377&lt;&gt;"",LEN(C377)&lt;&gt;8),"DNI debe tener 8 dígitos",IF(AND(B377="RUC",C377&lt;&gt;"",LEN(C377)&lt;&gt;11),"RUC debe tener 11 dígitos",IF(AND(N377&lt;&gt;"",COUNTIF($N$5:$N$549,N377)&gt;1),"CÓDIGO INTERNO DUPLICADO","OK"))))))</f>
        <v/>
      </c>
      <c r="B377" s="17" t="n"/>
      <c r="C377" s="23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23" t="n"/>
      <c r="M377" s="17" t="n"/>
      <c r="N377" s="23" t="n"/>
      <c r="O377" s="17" t="n"/>
      <c r="P377" s="28">
        <f>IF(A377&lt;&gt;"OK","","SELECT cli_crear_clientes(p_codigo_interno =&gt; "&amp;IF(TRIM(N377&amp;"")="","NULL","'"&amp;SUBSTITUTE(TRIM(N377),"'","''")&amp;"'")&amp;", p_razon_social =&gt; "&amp;IF(TRIM(D377&amp;"")="","NULL","'"&amp;SUBSTITUTE(TRIM(D377),"'","''")&amp;"'")&amp;", p_id_tipo_cliente =&gt; "&amp;IF(TRIM(I377&amp;"")="","NULL","(SELECT lo.id FROM gen_lista_opciones lo JOIN gen_lista l ON l.id = lo.id_lista WHERE l.nombre = 'TipoCliente' AND upper(lo.nombre) = upper('"&amp;SUBSTITUTE(TRIM(I377),"'","''")&amp;"') AND lo.estado = 1 LIMIT 1)")&amp;", p_id_tipo_persona =&gt; "&amp;IF(TRIM(H377&amp;"")="","NULL","(SELECT lo.id FROM gen_lista_opciones lo JOIN gen_lista l ON l.id = lo.id_lista WHERE l.nombre = 'TipoPersona' AND upper(lo.nombre) = upper('"&amp;SUBSTITUTE(TRIM(H377),"'","''")&amp;"') AND lo.estado = 1 LIMIT 1)")&amp;", p_nombres =&gt; "&amp;IF(TRIM(E377&amp;"")="","NULL","'"&amp;SUBSTITUTE(TRIM(E377),"'","''")&amp;"'")&amp;", p_apellido_paterno =&gt; "&amp;IF(TRIM(F377&amp;"")="","NULL","'"&amp;SUBSTITUTE(TRIM(F377),"'","''")&amp;"'")&amp;", p_apellido_materno =&gt; "&amp;IF(TRIM(G377&amp;"")="","NULL","'"&amp;SUBSTITUTE(TRIM(G377),"'","''")&amp;"'")&amp;", p_id_tipo_documento =&gt; "&amp;IF(TRIM(B377&amp;"")="","NULL","(SELECT lo.id FROM gen_lista_opciones lo JOIN gen_lista l ON l.id = lo.id_lista WHERE l.nombre = 'TipoDocumento' AND upper(lo.nombre) = upper('"&amp;SUBSTITUTE(TRIM(B377),"'","''")&amp;"') AND lo.estado = 1 LIMIT 1)")&amp;", p_numero_documento =&gt; "&amp;IF(TRIM(C377&amp;"")="","NULL","'"&amp;SUBSTITUTE(TRIM(C377),"'","''")&amp;"'")&amp;", p_telefono =&gt; "&amp;IF(TRIM(L377&amp;"")="","NULL","'"&amp;SUBSTITUTE(TRIM(L377),"'","''")&amp;"'")&amp;", p_email =&gt; "&amp;IF(TRIM(M377&amp;"")="","NULL","'"&amp;SUBSTITUTE(TRIM(M377),"'","''")&amp;"'")&amp;", p_observacion =&gt; "&amp;IF(TRIM(O377&amp;"")="","NULL","'"&amp;SUBSTITUTE(TRIM(O377),"'","''")&amp;"'")&amp;", p_direccion =&gt; "&amp;IF(TRIM(J377&amp;"")="","NULL","'"&amp;SUBSTITUTE(TRIM(J377),"'","''")&amp;"'")&amp;", p_referencia =&gt; "&amp;IF(TRIM(K377&amp;"")="","NULL","'"&amp;SUBSTITUTE(TRIM(K377),"'","''")&amp;"'")&amp;") AS resultado_cliente_"&amp;332&amp;";")</f>
        <v/>
      </c>
    </row>
    <row r="378" ht="15.75" customHeight="1" s="64">
      <c r="A378" s="25">
        <f>IF(AND(D378="",E378="",C378=""),"",IF(AND(D378="",E378=""),"FALTA razón social o nombres",IF(AND(C378&lt;&gt;"",COUNTIF($C$5:$C$549,C378)&gt;1),"DOCUMENTO DUPLICADO",IF(AND(B378="DNI",C378&lt;&gt;"",LEN(C378)&lt;&gt;8),"DNI debe tener 8 dígitos",IF(AND(B378="RUC",C378&lt;&gt;"",LEN(C378)&lt;&gt;11),"RUC debe tener 11 dígitos",IF(AND(N378&lt;&gt;"",COUNTIF($N$5:$N$549,N378)&gt;1),"CÓDIGO INTERNO DUPLICADO","OK"))))))</f>
        <v/>
      </c>
      <c r="B378" s="17" t="n"/>
      <c r="C378" s="23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23" t="n"/>
      <c r="M378" s="17" t="n"/>
      <c r="N378" s="23" t="n"/>
      <c r="O378" s="17" t="n"/>
      <c r="P378" s="28">
        <f>IF(A378&lt;&gt;"OK","","SELECT cli_crear_clientes(p_codigo_interno =&gt; "&amp;IF(TRIM(N378&amp;"")="","NULL","'"&amp;SUBSTITUTE(TRIM(N378),"'","''")&amp;"'")&amp;", p_razon_social =&gt; "&amp;IF(TRIM(D378&amp;"")="","NULL","'"&amp;SUBSTITUTE(TRIM(D378),"'","''")&amp;"'")&amp;", p_id_tipo_cliente =&gt; "&amp;IF(TRIM(I378&amp;"")="","NULL","(SELECT lo.id FROM gen_lista_opciones lo JOIN gen_lista l ON l.id = lo.id_lista WHERE l.nombre = 'TipoCliente' AND upper(lo.nombre) = upper('"&amp;SUBSTITUTE(TRIM(I378),"'","''")&amp;"') AND lo.estado = 1 LIMIT 1)")&amp;", p_id_tipo_persona =&gt; "&amp;IF(TRIM(H378&amp;"")="","NULL","(SELECT lo.id FROM gen_lista_opciones lo JOIN gen_lista l ON l.id = lo.id_lista WHERE l.nombre = 'TipoPersona' AND upper(lo.nombre) = upper('"&amp;SUBSTITUTE(TRIM(H378),"'","''")&amp;"') AND lo.estado = 1 LIMIT 1)")&amp;", p_nombres =&gt; "&amp;IF(TRIM(E378&amp;"")="","NULL","'"&amp;SUBSTITUTE(TRIM(E378),"'","''")&amp;"'")&amp;", p_apellido_paterno =&gt; "&amp;IF(TRIM(F378&amp;"")="","NULL","'"&amp;SUBSTITUTE(TRIM(F378),"'","''")&amp;"'")&amp;", p_apellido_materno =&gt; "&amp;IF(TRIM(G378&amp;"")="","NULL","'"&amp;SUBSTITUTE(TRIM(G378),"'","''")&amp;"'")&amp;", p_id_tipo_documento =&gt; "&amp;IF(TRIM(B378&amp;"")="","NULL","(SELECT lo.id FROM gen_lista_opciones lo JOIN gen_lista l ON l.id = lo.id_lista WHERE l.nombre = 'TipoDocumento' AND upper(lo.nombre) = upper('"&amp;SUBSTITUTE(TRIM(B378),"'","''")&amp;"') AND lo.estado = 1 LIMIT 1)")&amp;", p_numero_documento =&gt; "&amp;IF(TRIM(C378&amp;"")="","NULL","'"&amp;SUBSTITUTE(TRIM(C378),"'","''")&amp;"'")&amp;", p_telefono =&gt; "&amp;IF(TRIM(L378&amp;"")="","NULL","'"&amp;SUBSTITUTE(TRIM(L378),"'","''")&amp;"'")&amp;", p_email =&gt; "&amp;IF(TRIM(M378&amp;"")="","NULL","'"&amp;SUBSTITUTE(TRIM(M378),"'","''")&amp;"'")&amp;", p_observacion =&gt; "&amp;IF(TRIM(O378&amp;"")="","NULL","'"&amp;SUBSTITUTE(TRIM(O378),"'","''")&amp;"'")&amp;", p_direccion =&gt; "&amp;IF(TRIM(J378&amp;"")="","NULL","'"&amp;SUBSTITUTE(TRIM(J378),"'","''")&amp;"'")&amp;", p_referencia =&gt; "&amp;IF(TRIM(K378&amp;"")="","NULL","'"&amp;SUBSTITUTE(TRIM(K378),"'","''")&amp;"'")&amp;") AS resultado_cliente_"&amp;333&amp;";")</f>
        <v/>
      </c>
    </row>
    <row r="379" ht="15.75" customHeight="1" s="64">
      <c r="A379" s="25">
        <f>IF(AND(D379="",E379="",C379=""),"",IF(AND(D379="",E379=""),"FALTA razón social o nombres",IF(AND(C379&lt;&gt;"",COUNTIF($C$5:$C$549,C379)&gt;1),"DOCUMENTO DUPLICADO",IF(AND(B379="DNI",C379&lt;&gt;"",LEN(C379)&lt;&gt;8),"DNI debe tener 8 dígitos",IF(AND(B379="RUC",C379&lt;&gt;"",LEN(C379)&lt;&gt;11),"RUC debe tener 11 dígitos",IF(AND(N379&lt;&gt;"",COUNTIF($N$5:$N$549,N379)&gt;1),"CÓDIGO INTERNO DUPLICADO","OK"))))))</f>
        <v/>
      </c>
      <c r="B379" s="17" t="n"/>
      <c r="C379" s="23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23" t="n"/>
      <c r="M379" s="17" t="n"/>
      <c r="N379" s="23" t="n"/>
      <c r="O379" s="17" t="n"/>
      <c r="P379" s="28">
        <f>IF(A379&lt;&gt;"OK","","SELECT cli_crear_clientes(p_codigo_interno =&gt; "&amp;IF(TRIM(N379&amp;"")="","NULL","'"&amp;SUBSTITUTE(TRIM(N379),"'","''")&amp;"'")&amp;", p_razon_social =&gt; "&amp;IF(TRIM(D379&amp;"")="","NULL","'"&amp;SUBSTITUTE(TRIM(D379),"'","''")&amp;"'")&amp;", p_id_tipo_cliente =&gt; "&amp;IF(TRIM(I379&amp;"")="","NULL","(SELECT lo.id FROM gen_lista_opciones lo JOIN gen_lista l ON l.id = lo.id_lista WHERE l.nombre = 'TipoCliente' AND upper(lo.nombre) = upper('"&amp;SUBSTITUTE(TRIM(I379),"'","''")&amp;"') AND lo.estado = 1 LIMIT 1)")&amp;", p_id_tipo_persona =&gt; "&amp;IF(TRIM(H379&amp;"")="","NULL","(SELECT lo.id FROM gen_lista_opciones lo JOIN gen_lista l ON l.id = lo.id_lista WHERE l.nombre = 'TipoPersona' AND upper(lo.nombre) = upper('"&amp;SUBSTITUTE(TRIM(H379),"'","''")&amp;"') AND lo.estado = 1 LIMIT 1)")&amp;", p_nombres =&gt; "&amp;IF(TRIM(E379&amp;"")="","NULL","'"&amp;SUBSTITUTE(TRIM(E379),"'","''")&amp;"'")&amp;", p_apellido_paterno =&gt; "&amp;IF(TRIM(F379&amp;"")="","NULL","'"&amp;SUBSTITUTE(TRIM(F379),"'","''")&amp;"'")&amp;", p_apellido_materno =&gt; "&amp;IF(TRIM(G379&amp;"")="","NULL","'"&amp;SUBSTITUTE(TRIM(G379),"'","''")&amp;"'")&amp;", p_id_tipo_documento =&gt; "&amp;IF(TRIM(B379&amp;"")="","NULL","(SELECT lo.id FROM gen_lista_opciones lo JOIN gen_lista l ON l.id = lo.id_lista WHERE l.nombre = 'TipoDocumento' AND upper(lo.nombre) = upper('"&amp;SUBSTITUTE(TRIM(B379),"'","''")&amp;"') AND lo.estado = 1 LIMIT 1)")&amp;", p_numero_documento =&gt; "&amp;IF(TRIM(C379&amp;"")="","NULL","'"&amp;SUBSTITUTE(TRIM(C379),"'","''")&amp;"'")&amp;", p_telefono =&gt; "&amp;IF(TRIM(L379&amp;"")="","NULL","'"&amp;SUBSTITUTE(TRIM(L379),"'","''")&amp;"'")&amp;", p_email =&gt; "&amp;IF(TRIM(M379&amp;"")="","NULL","'"&amp;SUBSTITUTE(TRIM(M379),"'","''")&amp;"'")&amp;", p_observacion =&gt; "&amp;IF(TRIM(O379&amp;"")="","NULL","'"&amp;SUBSTITUTE(TRIM(O379),"'","''")&amp;"'")&amp;", p_direccion =&gt; "&amp;IF(TRIM(J379&amp;"")="","NULL","'"&amp;SUBSTITUTE(TRIM(J379),"'","''")&amp;"'")&amp;", p_referencia =&gt; "&amp;IF(TRIM(K379&amp;"")="","NULL","'"&amp;SUBSTITUTE(TRIM(K379),"'","''")&amp;"'")&amp;") AS resultado_cliente_"&amp;334&amp;";")</f>
        <v/>
      </c>
    </row>
    <row r="380" ht="15.75" customHeight="1" s="64">
      <c r="A380" s="25">
        <f>IF(AND(D380="",E380="",C380=""),"",IF(AND(D380="",E380=""),"FALTA razón social o nombres",IF(AND(C380&lt;&gt;"",COUNTIF($C$5:$C$549,C380)&gt;1),"DOCUMENTO DUPLICADO",IF(AND(B380="DNI",C380&lt;&gt;"",LEN(C380)&lt;&gt;8),"DNI debe tener 8 dígitos",IF(AND(B380="RUC",C380&lt;&gt;"",LEN(C380)&lt;&gt;11),"RUC debe tener 11 dígitos",IF(AND(N380&lt;&gt;"",COUNTIF($N$5:$N$549,N380)&gt;1),"CÓDIGO INTERNO DUPLICADO","OK"))))))</f>
        <v/>
      </c>
      <c r="B380" s="17" t="n"/>
      <c r="C380" s="23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23" t="n"/>
      <c r="M380" s="17" t="n"/>
      <c r="N380" s="23" t="n"/>
      <c r="O380" s="17" t="n"/>
      <c r="P380" s="28">
        <f>IF(A380&lt;&gt;"OK","","SELECT cli_crear_clientes(p_codigo_interno =&gt; "&amp;IF(TRIM(N380&amp;"")="","NULL","'"&amp;SUBSTITUTE(TRIM(N380),"'","''")&amp;"'")&amp;", p_razon_social =&gt; "&amp;IF(TRIM(D380&amp;"")="","NULL","'"&amp;SUBSTITUTE(TRIM(D380),"'","''")&amp;"'")&amp;", p_id_tipo_cliente =&gt; "&amp;IF(TRIM(I380&amp;"")="","NULL","(SELECT lo.id FROM gen_lista_opciones lo JOIN gen_lista l ON l.id = lo.id_lista WHERE l.nombre = 'TipoCliente' AND upper(lo.nombre) = upper('"&amp;SUBSTITUTE(TRIM(I380),"'","''")&amp;"') AND lo.estado = 1 LIMIT 1)")&amp;", p_id_tipo_persona =&gt; "&amp;IF(TRIM(H380&amp;"")="","NULL","(SELECT lo.id FROM gen_lista_opciones lo JOIN gen_lista l ON l.id = lo.id_lista WHERE l.nombre = 'TipoPersona' AND upper(lo.nombre) = upper('"&amp;SUBSTITUTE(TRIM(H380),"'","''")&amp;"') AND lo.estado = 1 LIMIT 1)")&amp;", p_nombres =&gt; "&amp;IF(TRIM(E380&amp;"")="","NULL","'"&amp;SUBSTITUTE(TRIM(E380),"'","''")&amp;"'")&amp;", p_apellido_paterno =&gt; "&amp;IF(TRIM(F380&amp;"")="","NULL","'"&amp;SUBSTITUTE(TRIM(F380),"'","''")&amp;"'")&amp;", p_apellido_materno =&gt; "&amp;IF(TRIM(G380&amp;"")="","NULL","'"&amp;SUBSTITUTE(TRIM(G380),"'","''")&amp;"'")&amp;", p_id_tipo_documento =&gt; "&amp;IF(TRIM(B380&amp;"")="","NULL","(SELECT lo.id FROM gen_lista_opciones lo JOIN gen_lista l ON l.id = lo.id_lista WHERE l.nombre = 'TipoDocumento' AND upper(lo.nombre) = upper('"&amp;SUBSTITUTE(TRIM(B380),"'","''")&amp;"') AND lo.estado = 1 LIMIT 1)")&amp;", p_numero_documento =&gt; "&amp;IF(TRIM(C380&amp;"")="","NULL","'"&amp;SUBSTITUTE(TRIM(C380),"'","''")&amp;"'")&amp;", p_telefono =&gt; "&amp;IF(TRIM(L380&amp;"")="","NULL","'"&amp;SUBSTITUTE(TRIM(L380),"'","''")&amp;"'")&amp;", p_email =&gt; "&amp;IF(TRIM(M380&amp;"")="","NULL","'"&amp;SUBSTITUTE(TRIM(M380),"'","''")&amp;"'")&amp;", p_observacion =&gt; "&amp;IF(TRIM(O380&amp;"")="","NULL","'"&amp;SUBSTITUTE(TRIM(O380),"'","''")&amp;"'")&amp;", p_direccion =&gt; "&amp;IF(TRIM(J380&amp;"")="","NULL","'"&amp;SUBSTITUTE(TRIM(J380),"'","''")&amp;"'")&amp;", p_referencia =&gt; "&amp;IF(TRIM(K380&amp;"")="","NULL","'"&amp;SUBSTITUTE(TRIM(K380),"'","''")&amp;"'")&amp;") AS resultado_cliente_"&amp;335&amp;";")</f>
        <v/>
      </c>
    </row>
    <row r="381" ht="15.75" customHeight="1" s="64">
      <c r="A381" s="25">
        <f>IF(AND(D381="",E381="",C381=""),"",IF(AND(D381="",E381=""),"FALTA razón social o nombres",IF(AND(C381&lt;&gt;"",COUNTIF($C$5:$C$549,C381)&gt;1),"DOCUMENTO DUPLICADO",IF(AND(B381="DNI",C381&lt;&gt;"",LEN(C381)&lt;&gt;8),"DNI debe tener 8 dígitos",IF(AND(B381="RUC",C381&lt;&gt;"",LEN(C381)&lt;&gt;11),"RUC debe tener 11 dígitos",IF(AND(N381&lt;&gt;"",COUNTIF($N$5:$N$549,N381)&gt;1),"CÓDIGO INTERNO DUPLICADO","OK"))))))</f>
        <v/>
      </c>
      <c r="B381" s="17" t="n"/>
      <c r="C381" s="23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23" t="n"/>
      <c r="M381" s="17" t="n"/>
      <c r="N381" s="23" t="n"/>
      <c r="O381" s="17" t="n"/>
      <c r="P381" s="28">
        <f>IF(A381&lt;&gt;"OK","","SELECT cli_crear_clientes(p_codigo_interno =&gt; "&amp;IF(TRIM(N381&amp;"")="","NULL","'"&amp;SUBSTITUTE(TRIM(N381),"'","''")&amp;"'")&amp;", p_razon_social =&gt; "&amp;IF(TRIM(D381&amp;"")="","NULL","'"&amp;SUBSTITUTE(TRIM(D381),"'","''")&amp;"'")&amp;", p_id_tipo_cliente =&gt; "&amp;IF(TRIM(I381&amp;"")="","NULL","(SELECT lo.id FROM gen_lista_opciones lo JOIN gen_lista l ON l.id = lo.id_lista WHERE l.nombre = 'TipoCliente' AND upper(lo.nombre) = upper('"&amp;SUBSTITUTE(TRIM(I381),"'","''")&amp;"') AND lo.estado = 1 LIMIT 1)")&amp;", p_id_tipo_persona =&gt; "&amp;IF(TRIM(H381&amp;"")="","NULL","(SELECT lo.id FROM gen_lista_opciones lo JOIN gen_lista l ON l.id = lo.id_lista WHERE l.nombre = 'TipoPersona' AND upper(lo.nombre) = upper('"&amp;SUBSTITUTE(TRIM(H381),"'","''")&amp;"') AND lo.estado = 1 LIMIT 1)")&amp;", p_nombres =&gt; "&amp;IF(TRIM(E381&amp;"")="","NULL","'"&amp;SUBSTITUTE(TRIM(E381),"'","''")&amp;"'")&amp;", p_apellido_paterno =&gt; "&amp;IF(TRIM(F381&amp;"")="","NULL","'"&amp;SUBSTITUTE(TRIM(F381),"'","''")&amp;"'")&amp;", p_apellido_materno =&gt; "&amp;IF(TRIM(G381&amp;"")="","NULL","'"&amp;SUBSTITUTE(TRIM(G381),"'","''")&amp;"'")&amp;", p_id_tipo_documento =&gt; "&amp;IF(TRIM(B381&amp;"")="","NULL","(SELECT lo.id FROM gen_lista_opciones lo JOIN gen_lista l ON l.id = lo.id_lista WHERE l.nombre = 'TipoDocumento' AND upper(lo.nombre) = upper('"&amp;SUBSTITUTE(TRIM(B381),"'","''")&amp;"') AND lo.estado = 1 LIMIT 1)")&amp;", p_numero_documento =&gt; "&amp;IF(TRIM(C381&amp;"")="","NULL","'"&amp;SUBSTITUTE(TRIM(C381),"'","''")&amp;"'")&amp;", p_telefono =&gt; "&amp;IF(TRIM(L381&amp;"")="","NULL","'"&amp;SUBSTITUTE(TRIM(L381),"'","''")&amp;"'")&amp;", p_email =&gt; "&amp;IF(TRIM(M381&amp;"")="","NULL","'"&amp;SUBSTITUTE(TRIM(M381),"'","''")&amp;"'")&amp;", p_observacion =&gt; "&amp;IF(TRIM(O381&amp;"")="","NULL","'"&amp;SUBSTITUTE(TRIM(O381),"'","''")&amp;"'")&amp;", p_direccion =&gt; "&amp;IF(TRIM(J381&amp;"")="","NULL","'"&amp;SUBSTITUTE(TRIM(J381),"'","''")&amp;"'")&amp;", p_referencia =&gt; "&amp;IF(TRIM(K381&amp;"")="","NULL","'"&amp;SUBSTITUTE(TRIM(K381),"'","''")&amp;"'")&amp;") AS resultado_cliente_"&amp;336&amp;";")</f>
        <v/>
      </c>
    </row>
    <row r="382" ht="15.75" customHeight="1" s="64">
      <c r="A382" s="25">
        <f>IF(AND(D382="",E382="",C382=""),"",IF(AND(D382="",E382=""),"FALTA razón social o nombres",IF(AND(C382&lt;&gt;"",COUNTIF($C$5:$C$549,C382)&gt;1),"DOCUMENTO DUPLICADO",IF(AND(B382="DNI",C382&lt;&gt;"",LEN(C382)&lt;&gt;8),"DNI debe tener 8 dígitos",IF(AND(B382="RUC",C382&lt;&gt;"",LEN(C382)&lt;&gt;11),"RUC debe tener 11 dígitos",IF(AND(N382&lt;&gt;"",COUNTIF($N$5:$N$549,N382)&gt;1),"CÓDIGO INTERNO DUPLICADO","OK"))))))</f>
        <v/>
      </c>
      <c r="B382" s="17" t="n"/>
      <c r="C382" s="23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23" t="n"/>
      <c r="M382" s="17" t="n"/>
      <c r="N382" s="23" t="n"/>
      <c r="O382" s="17" t="n"/>
      <c r="P382" s="28">
        <f>IF(A382&lt;&gt;"OK","","SELECT cli_crear_clientes(p_codigo_interno =&gt; "&amp;IF(TRIM(N382&amp;"")="","NULL","'"&amp;SUBSTITUTE(TRIM(N382),"'","''")&amp;"'")&amp;", p_razon_social =&gt; "&amp;IF(TRIM(D382&amp;"")="","NULL","'"&amp;SUBSTITUTE(TRIM(D382),"'","''")&amp;"'")&amp;", p_id_tipo_cliente =&gt; "&amp;IF(TRIM(I382&amp;"")="","NULL","(SELECT lo.id FROM gen_lista_opciones lo JOIN gen_lista l ON l.id = lo.id_lista WHERE l.nombre = 'TipoCliente' AND upper(lo.nombre) = upper('"&amp;SUBSTITUTE(TRIM(I382),"'","''")&amp;"') AND lo.estado = 1 LIMIT 1)")&amp;", p_id_tipo_persona =&gt; "&amp;IF(TRIM(H382&amp;"")="","NULL","(SELECT lo.id FROM gen_lista_opciones lo JOIN gen_lista l ON l.id = lo.id_lista WHERE l.nombre = 'TipoPersona' AND upper(lo.nombre) = upper('"&amp;SUBSTITUTE(TRIM(H382),"'","''")&amp;"') AND lo.estado = 1 LIMIT 1)")&amp;", p_nombres =&gt; "&amp;IF(TRIM(E382&amp;"")="","NULL","'"&amp;SUBSTITUTE(TRIM(E382),"'","''")&amp;"'")&amp;", p_apellido_paterno =&gt; "&amp;IF(TRIM(F382&amp;"")="","NULL","'"&amp;SUBSTITUTE(TRIM(F382),"'","''")&amp;"'")&amp;", p_apellido_materno =&gt; "&amp;IF(TRIM(G382&amp;"")="","NULL","'"&amp;SUBSTITUTE(TRIM(G382),"'","''")&amp;"'")&amp;", p_id_tipo_documento =&gt; "&amp;IF(TRIM(B382&amp;"")="","NULL","(SELECT lo.id FROM gen_lista_opciones lo JOIN gen_lista l ON l.id = lo.id_lista WHERE l.nombre = 'TipoDocumento' AND upper(lo.nombre) = upper('"&amp;SUBSTITUTE(TRIM(B382),"'","''")&amp;"') AND lo.estado = 1 LIMIT 1)")&amp;", p_numero_documento =&gt; "&amp;IF(TRIM(C382&amp;"")="","NULL","'"&amp;SUBSTITUTE(TRIM(C382),"'","''")&amp;"'")&amp;", p_telefono =&gt; "&amp;IF(TRIM(L382&amp;"")="","NULL","'"&amp;SUBSTITUTE(TRIM(L382),"'","''")&amp;"'")&amp;", p_email =&gt; "&amp;IF(TRIM(M382&amp;"")="","NULL","'"&amp;SUBSTITUTE(TRIM(M382),"'","''")&amp;"'")&amp;", p_observacion =&gt; "&amp;IF(TRIM(O382&amp;"")="","NULL","'"&amp;SUBSTITUTE(TRIM(O382),"'","''")&amp;"'")&amp;", p_direccion =&gt; "&amp;IF(TRIM(J382&amp;"")="","NULL","'"&amp;SUBSTITUTE(TRIM(J382),"'","''")&amp;"'")&amp;", p_referencia =&gt; "&amp;IF(TRIM(K382&amp;"")="","NULL","'"&amp;SUBSTITUTE(TRIM(K382),"'","''")&amp;"'")&amp;") AS resultado_cliente_"&amp;337&amp;";")</f>
        <v/>
      </c>
    </row>
    <row r="383" ht="15.75" customHeight="1" s="64">
      <c r="A383" s="25">
        <f>IF(AND(D383="",E383="",C383=""),"",IF(AND(D383="",E383=""),"FALTA razón social o nombres",IF(AND(C383&lt;&gt;"",COUNTIF($C$5:$C$549,C383)&gt;1),"DOCUMENTO DUPLICADO",IF(AND(B383="DNI",C383&lt;&gt;"",LEN(C383)&lt;&gt;8),"DNI debe tener 8 dígitos",IF(AND(B383="RUC",C383&lt;&gt;"",LEN(C383)&lt;&gt;11),"RUC debe tener 11 dígitos",IF(AND(N383&lt;&gt;"",COUNTIF($N$5:$N$549,N383)&gt;1),"CÓDIGO INTERNO DUPLICADO","OK"))))))</f>
        <v/>
      </c>
      <c r="B383" s="17" t="n"/>
      <c r="C383" s="23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23" t="n"/>
      <c r="M383" s="17" t="n"/>
      <c r="N383" s="23" t="n"/>
      <c r="O383" s="17" t="n"/>
      <c r="P383" s="28">
        <f>IF(A383&lt;&gt;"OK","","SELECT cli_crear_clientes(p_codigo_interno =&gt; "&amp;IF(TRIM(N383&amp;"")="","NULL","'"&amp;SUBSTITUTE(TRIM(N383),"'","''")&amp;"'")&amp;", p_razon_social =&gt; "&amp;IF(TRIM(D383&amp;"")="","NULL","'"&amp;SUBSTITUTE(TRIM(D383),"'","''")&amp;"'")&amp;", p_id_tipo_cliente =&gt; "&amp;IF(TRIM(I383&amp;"")="","NULL","(SELECT lo.id FROM gen_lista_opciones lo JOIN gen_lista l ON l.id = lo.id_lista WHERE l.nombre = 'TipoCliente' AND upper(lo.nombre) = upper('"&amp;SUBSTITUTE(TRIM(I383),"'","''")&amp;"') AND lo.estado = 1 LIMIT 1)")&amp;", p_id_tipo_persona =&gt; "&amp;IF(TRIM(H383&amp;"")="","NULL","(SELECT lo.id FROM gen_lista_opciones lo JOIN gen_lista l ON l.id = lo.id_lista WHERE l.nombre = 'TipoPersona' AND upper(lo.nombre) = upper('"&amp;SUBSTITUTE(TRIM(H383),"'","''")&amp;"') AND lo.estado = 1 LIMIT 1)")&amp;", p_nombres =&gt; "&amp;IF(TRIM(E383&amp;"")="","NULL","'"&amp;SUBSTITUTE(TRIM(E383),"'","''")&amp;"'")&amp;", p_apellido_paterno =&gt; "&amp;IF(TRIM(F383&amp;"")="","NULL","'"&amp;SUBSTITUTE(TRIM(F383),"'","''")&amp;"'")&amp;", p_apellido_materno =&gt; "&amp;IF(TRIM(G383&amp;"")="","NULL","'"&amp;SUBSTITUTE(TRIM(G383),"'","''")&amp;"'")&amp;", p_id_tipo_documento =&gt; "&amp;IF(TRIM(B383&amp;"")="","NULL","(SELECT lo.id FROM gen_lista_opciones lo JOIN gen_lista l ON l.id = lo.id_lista WHERE l.nombre = 'TipoDocumento' AND upper(lo.nombre) = upper('"&amp;SUBSTITUTE(TRIM(B383),"'","''")&amp;"') AND lo.estado = 1 LIMIT 1)")&amp;", p_numero_documento =&gt; "&amp;IF(TRIM(C383&amp;"")="","NULL","'"&amp;SUBSTITUTE(TRIM(C383),"'","''")&amp;"'")&amp;", p_telefono =&gt; "&amp;IF(TRIM(L383&amp;"")="","NULL","'"&amp;SUBSTITUTE(TRIM(L383),"'","''")&amp;"'")&amp;", p_email =&gt; "&amp;IF(TRIM(M383&amp;"")="","NULL","'"&amp;SUBSTITUTE(TRIM(M383),"'","''")&amp;"'")&amp;", p_observacion =&gt; "&amp;IF(TRIM(O383&amp;"")="","NULL","'"&amp;SUBSTITUTE(TRIM(O383),"'","''")&amp;"'")&amp;", p_direccion =&gt; "&amp;IF(TRIM(J383&amp;"")="","NULL","'"&amp;SUBSTITUTE(TRIM(J383),"'","''")&amp;"'")&amp;", p_referencia =&gt; "&amp;IF(TRIM(K383&amp;"")="","NULL","'"&amp;SUBSTITUTE(TRIM(K383),"'","''")&amp;"'")&amp;") AS resultado_cliente_"&amp;338&amp;";")</f>
        <v/>
      </c>
    </row>
    <row r="384" ht="15.75" customHeight="1" s="64">
      <c r="A384" s="25">
        <f>IF(AND(D384="",E384="",C384=""),"",IF(AND(D384="",E384=""),"FALTA razón social o nombres",IF(AND(C384&lt;&gt;"",COUNTIF($C$5:$C$549,C384)&gt;1),"DOCUMENTO DUPLICADO",IF(AND(B384="DNI",C384&lt;&gt;"",LEN(C384)&lt;&gt;8),"DNI debe tener 8 dígitos",IF(AND(B384="RUC",C384&lt;&gt;"",LEN(C384)&lt;&gt;11),"RUC debe tener 11 dígitos",IF(AND(N384&lt;&gt;"",COUNTIF($N$5:$N$549,N384)&gt;1),"CÓDIGO INTERNO DUPLICADO","OK"))))))</f>
        <v/>
      </c>
      <c r="B384" s="17" t="n"/>
      <c r="C384" s="23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23" t="n"/>
      <c r="M384" s="17" t="n"/>
      <c r="N384" s="23" t="n"/>
      <c r="O384" s="17" t="n"/>
      <c r="P384" s="28">
        <f>IF(A384&lt;&gt;"OK","","SELECT cli_crear_clientes(p_codigo_interno =&gt; "&amp;IF(TRIM(N384&amp;"")="","NULL","'"&amp;SUBSTITUTE(TRIM(N384),"'","''")&amp;"'")&amp;", p_razon_social =&gt; "&amp;IF(TRIM(D384&amp;"")="","NULL","'"&amp;SUBSTITUTE(TRIM(D384),"'","''")&amp;"'")&amp;", p_id_tipo_cliente =&gt; "&amp;IF(TRIM(I384&amp;"")="","NULL","(SELECT lo.id FROM gen_lista_opciones lo JOIN gen_lista l ON l.id = lo.id_lista WHERE l.nombre = 'TipoCliente' AND upper(lo.nombre) = upper('"&amp;SUBSTITUTE(TRIM(I384),"'","''")&amp;"') AND lo.estado = 1 LIMIT 1)")&amp;", p_id_tipo_persona =&gt; "&amp;IF(TRIM(H384&amp;"")="","NULL","(SELECT lo.id FROM gen_lista_opciones lo JOIN gen_lista l ON l.id = lo.id_lista WHERE l.nombre = 'TipoPersona' AND upper(lo.nombre) = upper('"&amp;SUBSTITUTE(TRIM(H384),"'","''")&amp;"') AND lo.estado = 1 LIMIT 1)")&amp;", p_nombres =&gt; "&amp;IF(TRIM(E384&amp;"")="","NULL","'"&amp;SUBSTITUTE(TRIM(E384),"'","''")&amp;"'")&amp;", p_apellido_paterno =&gt; "&amp;IF(TRIM(F384&amp;"")="","NULL","'"&amp;SUBSTITUTE(TRIM(F384),"'","''")&amp;"'")&amp;", p_apellido_materno =&gt; "&amp;IF(TRIM(G384&amp;"")="","NULL","'"&amp;SUBSTITUTE(TRIM(G384),"'","''")&amp;"'")&amp;", p_id_tipo_documento =&gt; "&amp;IF(TRIM(B384&amp;"")="","NULL","(SELECT lo.id FROM gen_lista_opciones lo JOIN gen_lista l ON l.id = lo.id_lista WHERE l.nombre = 'TipoDocumento' AND upper(lo.nombre) = upper('"&amp;SUBSTITUTE(TRIM(B384),"'","''")&amp;"') AND lo.estado = 1 LIMIT 1)")&amp;", p_numero_documento =&gt; "&amp;IF(TRIM(C384&amp;"")="","NULL","'"&amp;SUBSTITUTE(TRIM(C384),"'","''")&amp;"'")&amp;", p_telefono =&gt; "&amp;IF(TRIM(L384&amp;"")="","NULL","'"&amp;SUBSTITUTE(TRIM(L384),"'","''")&amp;"'")&amp;", p_email =&gt; "&amp;IF(TRIM(M384&amp;"")="","NULL","'"&amp;SUBSTITUTE(TRIM(M384),"'","''")&amp;"'")&amp;", p_observacion =&gt; "&amp;IF(TRIM(O384&amp;"")="","NULL","'"&amp;SUBSTITUTE(TRIM(O384),"'","''")&amp;"'")&amp;", p_direccion =&gt; "&amp;IF(TRIM(J384&amp;"")="","NULL","'"&amp;SUBSTITUTE(TRIM(J384),"'","''")&amp;"'")&amp;", p_referencia =&gt; "&amp;IF(TRIM(K384&amp;"")="","NULL","'"&amp;SUBSTITUTE(TRIM(K384),"'","''")&amp;"'")&amp;") AS resultado_cliente_"&amp;339&amp;";")</f>
        <v/>
      </c>
    </row>
    <row r="385" ht="15.75" customHeight="1" s="64">
      <c r="A385" s="25">
        <f>IF(AND(D385="",E385="",C385=""),"",IF(AND(D385="",E385=""),"FALTA razón social o nombres",IF(AND(C385&lt;&gt;"",COUNTIF($C$5:$C$549,C385)&gt;1),"DOCUMENTO DUPLICADO",IF(AND(B385="DNI",C385&lt;&gt;"",LEN(C385)&lt;&gt;8),"DNI debe tener 8 dígitos",IF(AND(B385="RUC",C385&lt;&gt;"",LEN(C385)&lt;&gt;11),"RUC debe tener 11 dígitos",IF(AND(N385&lt;&gt;"",COUNTIF($N$5:$N$549,N385)&gt;1),"CÓDIGO INTERNO DUPLICADO","OK"))))))</f>
        <v/>
      </c>
      <c r="B385" s="17" t="n"/>
      <c r="C385" s="23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23" t="n"/>
      <c r="M385" s="17" t="n"/>
      <c r="N385" s="23" t="n"/>
      <c r="O385" s="17" t="n"/>
      <c r="P385" s="28">
        <f>IF(A385&lt;&gt;"OK","","SELECT cli_crear_clientes(p_codigo_interno =&gt; "&amp;IF(TRIM(N385&amp;"")="","NULL","'"&amp;SUBSTITUTE(TRIM(N385),"'","''")&amp;"'")&amp;", p_razon_social =&gt; "&amp;IF(TRIM(D385&amp;"")="","NULL","'"&amp;SUBSTITUTE(TRIM(D385),"'","''")&amp;"'")&amp;", p_id_tipo_cliente =&gt; "&amp;IF(TRIM(I385&amp;"")="","NULL","(SELECT lo.id FROM gen_lista_opciones lo JOIN gen_lista l ON l.id = lo.id_lista WHERE l.nombre = 'TipoCliente' AND upper(lo.nombre) = upper('"&amp;SUBSTITUTE(TRIM(I385),"'","''")&amp;"') AND lo.estado = 1 LIMIT 1)")&amp;", p_id_tipo_persona =&gt; "&amp;IF(TRIM(H385&amp;"")="","NULL","(SELECT lo.id FROM gen_lista_opciones lo JOIN gen_lista l ON l.id = lo.id_lista WHERE l.nombre = 'TipoPersona' AND upper(lo.nombre) = upper('"&amp;SUBSTITUTE(TRIM(H385),"'","''")&amp;"') AND lo.estado = 1 LIMIT 1)")&amp;", p_nombres =&gt; "&amp;IF(TRIM(E385&amp;"")="","NULL","'"&amp;SUBSTITUTE(TRIM(E385),"'","''")&amp;"'")&amp;", p_apellido_paterno =&gt; "&amp;IF(TRIM(F385&amp;"")="","NULL","'"&amp;SUBSTITUTE(TRIM(F385),"'","''")&amp;"'")&amp;", p_apellido_materno =&gt; "&amp;IF(TRIM(G385&amp;"")="","NULL","'"&amp;SUBSTITUTE(TRIM(G385),"'","''")&amp;"'")&amp;", p_id_tipo_documento =&gt; "&amp;IF(TRIM(B385&amp;"")="","NULL","(SELECT lo.id FROM gen_lista_opciones lo JOIN gen_lista l ON l.id = lo.id_lista WHERE l.nombre = 'TipoDocumento' AND upper(lo.nombre) = upper('"&amp;SUBSTITUTE(TRIM(B385),"'","''")&amp;"') AND lo.estado = 1 LIMIT 1)")&amp;", p_numero_documento =&gt; "&amp;IF(TRIM(C385&amp;"")="","NULL","'"&amp;SUBSTITUTE(TRIM(C385),"'","''")&amp;"'")&amp;", p_telefono =&gt; "&amp;IF(TRIM(L385&amp;"")="","NULL","'"&amp;SUBSTITUTE(TRIM(L385),"'","''")&amp;"'")&amp;", p_email =&gt; "&amp;IF(TRIM(M385&amp;"")="","NULL","'"&amp;SUBSTITUTE(TRIM(M385),"'","''")&amp;"'")&amp;", p_observacion =&gt; "&amp;IF(TRIM(O385&amp;"")="","NULL","'"&amp;SUBSTITUTE(TRIM(O385),"'","''")&amp;"'")&amp;", p_direccion =&gt; "&amp;IF(TRIM(J385&amp;"")="","NULL","'"&amp;SUBSTITUTE(TRIM(J385),"'","''")&amp;"'")&amp;", p_referencia =&gt; "&amp;IF(TRIM(K385&amp;"")="","NULL","'"&amp;SUBSTITUTE(TRIM(K385),"'","''")&amp;"'")&amp;") AS resultado_cliente_"&amp;340&amp;";")</f>
        <v/>
      </c>
    </row>
    <row r="386" ht="15.75" customHeight="1" s="64">
      <c r="A386" s="25">
        <f>IF(AND(D386="",E386="",C386=""),"",IF(AND(D386="",E386=""),"FALTA razón social o nombres",IF(AND(C386&lt;&gt;"",COUNTIF($C$5:$C$549,C386)&gt;1),"DOCUMENTO DUPLICADO",IF(AND(B386="DNI",C386&lt;&gt;"",LEN(C386)&lt;&gt;8),"DNI debe tener 8 dígitos",IF(AND(B386="RUC",C386&lt;&gt;"",LEN(C386)&lt;&gt;11),"RUC debe tener 11 dígitos",IF(AND(N386&lt;&gt;"",COUNTIF($N$5:$N$549,N386)&gt;1),"CÓDIGO INTERNO DUPLICADO","OK"))))))</f>
        <v/>
      </c>
      <c r="B386" s="17" t="n"/>
      <c r="C386" s="23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23" t="n"/>
      <c r="M386" s="17" t="n"/>
      <c r="N386" s="23" t="n"/>
      <c r="O386" s="17" t="n"/>
      <c r="P386" s="28">
        <f>IF(A386&lt;&gt;"OK","","SELECT cli_crear_clientes(p_codigo_interno =&gt; "&amp;IF(TRIM(N386&amp;"")="","NULL","'"&amp;SUBSTITUTE(TRIM(N386),"'","''")&amp;"'")&amp;", p_razon_social =&gt; "&amp;IF(TRIM(D386&amp;"")="","NULL","'"&amp;SUBSTITUTE(TRIM(D386),"'","''")&amp;"'")&amp;", p_id_tipo_cliente =&gt; "&amp;IF(TRIM(I386&amp;"")="","NULL","(SELECT lo.id FROM gen_lista_opciones lo JOIN gen_lista l ON l.id = lo.id_lista WHERE l.nombre = 'TipoCliente' AND upper(lo.nombre) = upper('"&amp;SUBSTITUTE(TRIM(I386),"'","''")&amp;"') AND lo.estado = 1 LIMIT 1)")&amp;", p_id_tipo_persona =&gt; "&amp;IF(TRIM(H386&amp;"")="","NULL","(SELECT lo.id FROM gen_lista_opciones lo JOIN gen_lista l ON l.id = lo.id_lista WHERE l.nombre = 'TipoPersona' AND upper(lo.nombre) = upper('"&amp;SUBSTITUTE(TRIM(H386),"'","''")&amp;"') AND lo.estado = 1 LIMIT 1)")&amp;", p_nombres =&gt; "&amp;IF(TRIM(E386&amp;"")="","NULL","'"&amp;SUBSTITUTE(TRIM(E386),"'","''")&amp;"'")&amp;", p_apellido_paterno =&gt; "&amp;IF(TRIM(F386&amp;"")="","NULL","'"&amp;SUBSTITUTE(TRIM(F386),"'","''")&amp;"'")&amp;", p_apellido_materno =&gt; "&amp;IF(TRIM(G386&amp;"")="","NULL","'"&amp;SUBSTITUTE(TRIM(G386),"'","''")&amp;"'")&amp;", p_id_tipo_documento =&gt; "&amp;IF(TRIM(B386&amp;"")="","NULL","(SELECT lo.id FROM gen_lista_opciones lo JOIN gen_lista l ON l.id = lo.id_lista WHERE l.nombre = 'TipoDocumento' AND upper(lo.nombre) = upper('"&amp;SUBSTITUTE(TRIM(B386),"'","''")&amp;"') AND lo.estado = 1 LIMIT 1)")&amp;", p_numero_documento =&gt; "&amp;IF(TRIM(C386&amp;"")="","NULL","'"&amp;SUBSTITUTE(TRIM(C386),"'","''")&amp;"'")&amp;", p_telefono =&gt; "&amp;IF(TRIM(L386&amp;"")="","NULL","'"&amp;SUBSTITUTE(TRIM(L386),"'","''")&amp;"'")&amp;", p_email =&gt; "&amp;IF(TRIM(M386&amp;"")="","NULL","'"&amp;SUBSTITUTE(TRIM(M386),"'","''")&amp;"'")&amp;", p_observacion =&gt; "&amp;IF(TRIM(O386&amp;"")="","NULL","'"&amp;SUBSTITUTE(TRIM(O386),"'","''")&amp;"'")&amp;", p_direccion =&gt; "&amp;IF(TRIM(J386&amp;"")="","NULL","'"&amp;SUBSTITUTE(TRIM(J386),"'","''")&amp;"'")&amp;", p_referencia =&gt; "&amp;IF(TRIM(K386&amp;"")="","NULL","'"&amp;SUBSTITUTE(TRIM(K386),"'","''")&amp;"'")&amp;") AS resultado_cliente_"&amp;341&amp;";")</f>
        <v/>
      </c>
    </row>
    <row r="387" ht="15.75" customHeight="1" s="64">
      <c r="A387" s="25">
        <f>IF(AND(D387="",E387="",C387=""),"",IF(AND(D387="",E387=""),"FALTA razón social o nombres",IF(AND(C387&lt;&gt;"",COUNTIF($C$5:$C$549,C387)&gt;1),"DOCUMENTO DUPLICADO",IF(AND(B387="DNI",C387&lt;&gt;"",LEN(C387)&lt;&gt;8),"DNI debe tener 8 dígitos",IF(AND(B387="RUC",C387&lt;&gt;"",LEN(C387)&lt;&gt;11),"RUC debe tener 11 dígitos",IF(AND(N387&lt;&gt;"",COUNTIF($N$5:$N$549,N387)&gt;1),"CÓDIGO INTERNO DUPLICADO","OK"))))))</f>
        <v/>
      </c>
      <c r="B387" s="17" t="n"/>
      <c r="C387" s="23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23" t="n"/>
      <c r="M387" s="17" t="n"/>
      <c r="N387" s="23" t="n"/>
      <c r="O387" s="17" t="n"/>
      <c r="P387" s="28">
        <f>IF(A387&lt;&gt;"OK","","SELECT cli_crear_clientes(p_codigo_interno =&gt; "&amp;IF(TRIM(N387&amp;"")="","NULL","'"&amp;SUBSTITUTE(TRIM(N387),"'","''")&amp;"'")&amp;", p_razon_social =&gt; "&amp;IF(TRIM(D387&amp;"")="","NULL","'"&amp;SUBSTITUTE(TRIM(D387),"'","''")&amp;"'")&amp;", p_id_tipo_cliente =&gt; "&amp;IF(TRIM(I387&amp;"")="","NULL","(SELECT lo.id FROM gen_lista_opciones lo JOIN gen_lista l ON l.id = lo.id_lista WHERE l.nombre = 'TipoCliente' AND upper(lo.nombre) = upper('"&amp;SUBSTITUTE(TRIM(I387),"'","''")&amp;"') AND lo.estado = 1 LIMIT 1)")&amp;", p_id_tipo_persona =&gt; "&amp;IF(TRIM(H387&amp;"")="","NULL","(SELECT lo.id FROM gen_lista_opciones lo JOIN gen_lista l ON l.id = lo.id_lista WHERE l.nombre = 'TipoPersona' AND upper(lo.nombre) = upper('"&amp;SUBSTITUTE(TRIM(H387),"'","''")&amp;"') AND lo.estado = 1 LIMIT 1)")&amp;", p_nombres =&gt; "&amp;IF(TRIM(E387&amp;"")="","NULL","'"&amp;SUBSTITUTE(TRIM(E387),"'","''")&amp;"'")&amp;", p_apellido_paterno =&gt; "&amp;IF(TRIM(F387&amp;"")="","NULL","'"&amp;SUBSTITUTE(TRIM(F387),"'","''")&amp;"'")&amp;", p_apellido_materno =&gt; "&amp;IF(TRIM(G387&amp;"")="","NULL","'"&amp;SUBSTITUTE(TRIM(G387),"'","''")&amp;"'")&amp;", p_id_tipo_documento =&gt; "&amp;IF(TRIM(B387&amp;"")="","NULL","(SELECT lo.id FROM gen_lista_opciones lo JOIN gen_lista l ON l.id = lo.id_lista WHERE l.nombre = 'TipoDocumento' AND upper(lo.nombre) = upper('"&amp;SUBSTITUTE(TRIM(B387),"'","''")&amp;"') AND lo.estado = 1 LIMIT 1)")&amp;", p_numero_documento =&gt; "&amp;IF(TRIM(C387&amp;"")="","NULL","'"&amp;SUBSTITUTE(TRIM(C387),"'","''")&amp;"'")&amp;", p_telefono =&gt; "&amp;IF(TRIM(L387&amp;"")="","NULL","'"&amp;SUBSTITUTE(TRIM(L387),"'","''")&amp;"'")&amp;", p_email =&gt; "&amp;IF(TRIM(M387&amp;"")="","NULL","'"&amp;SUBSTITUTE(TRIM(M387),"'","''")&amp;"'")&amp;", p_observacion =&gt; "&amp;IF(TRIM(O387&amp;"")="","NULL","'"&amp;SUBSTITUTE(TRIM(O387),"'","''")&amp;"'")&amp;", p_direccion =&gt; "&amp;IF(TRIM(J387&amp;"")="","NULL","'"&amp;SUBSTITUTE(TRIM(J387),"'","''")&amp;"'")&amp;", p_referencia =&gt; "&amp;IF(TRIM(K387&amp;"")="","NULL","'"&amp;SUBSTITUTE(TRIM(K387),"'","''")&amp;"'")&amp;") AS resultado_cliente_"&amp;342&amp;";")</f>
        <v/>
      </c>
    </row>
    <row r="388" ht="15.75" customHeight="1" s="64">
      <c r="A388" s="25">
        <f>IF(AND(D388="",E388="",C388=""),"",IF(AND(D388="",E388=""),"FALTA razón social o nombres",IF(AND(C388&lt;&gt;"",COUNTIF($C$5:$C$549,C388)&gt;1),"DOCUMENTO DUPLICADO",IF(AND(B388="DNI",C388&lt;&gt;"",LEN(C388)&lt;&gt;8),"DNI debe tener 8 dígitos",IF(AND(B388="RUC",C388&lt;&gt;"",LEN(C388)&lt;&gt;11),"RUC debe tener 11 dígitos",IF(AND(N388&lt;&gt;"",COUNTIF($N$5:$N$549,N388)&gt;1),"CÓDIGO INTERNO DUPLICADO","OK"))))))</f>
        <v/>
      </c>
      <c r="B388" s="17" t="n"/>
      <c r="C388" s="23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23" t="n"/>
      <c r="M388" s="17" t="n"/>
      <c r="N388" s="23" t="n"/>
      <c r="O388" s="17" t="n"/>
      <c r="P388" s="28">
        <f>IF(A388&lt;&gt;"OK","","SELECT cli_crear_clientes(p_codigo_interno =&gt; "&amp;IF(TRIM(N388&amp;"")="","NULL","'"&amp;SUBSTITUTE(TRIM(N388),"'","''")&amp;"'")&amp;", p_razon_social =&gt; "&amp;IF(TRIM(D388&amp;"")="","NULL","'"&amp;SUBSTITUTE(TRIM(D388),"'","''")&amp;"'")&amp;", p_id_tipo_cliente =&gt; "&amp;IF(TRIM(I388&amp;"")="","NULL","(SELECT lo.id FROM gen_lista_opciones lo JOIN gen_lista l ON l.id = lo.id_lista WHERE l.nombre = 'TipoCliente' AND upper(lo.nombre) = upper('"&amp;SUBSTITUTE(TRIM(I388),"'","''")&amp;"') AND lo.estado = 1 LIMIT 1)")&amp;", p_id_tipo_persona =&gt; "&amp;IF(TRIM(H388&amp;"")="","NULL","(SELECT lo.id FROM gen_lista_opciones lo JOIN gen_lista l ON l.id = lo.id_lista WHERE l.nombre = 'TipoPersona' AND upper(lo.nombre) = upper('"&amp;SUBSTITUTE(TRIM(H388),"'","''")&amp;"') AND lo.estado = 1 LIMIT 1)")&amp;", p_nombres =&gt; "&amp;IF(TRIM(E388&amp;"")="","NULL","'"&amp;SUBSTITUTE(TRIM(E388),"'","''")&amp;"'")&amp;", p_apellido_paterno =&gt; "&amp;IF(TRIM(F388&amp;"")="","NULL","'"&amp;SUBSTITUTE(TRIM(F388),"'","''")&amp;"'")&amp;", p_apellido_materno =&gt; "&amp;IF(TRIM(G388&amp;"")="","NULL","'"&amp;SUBSTITUTE(TRIM(G388),"'","''")&amp;"'")&amp;", p_id_tipo_documento =&gt; "&amp;IF(TRIM(B388&amp;"")="","NULL","(SELECT lo.id FROM gen_lista_opciones lo JOIN gen_lista l ON l.id = lo.id_lista WHERE l.nombre = 'TipoDocumento' AND upper(lo.nombre) = upper('"&amp;SUBSTITUTE(TRIM(B388),"'","''")&amp;"') AND lo.estado = 1 LIMIT 1)")&amp;", p_numero_documento =&gt; "&amp;IF(TRIM(C388&amp;"")="","NULL","'"&amp;SUBSTITUTE(TRIM(C388),"'","''")&amp;"'")&amp;", p_telefono =&gt; "&amp;IF(TRIM(L388&amp;"")="","NULL","'"&amp;SUBSTITUTE(TRIM(L388),"'","''")&amp;"'")&amp;", p_email =&gt; "&amp;IF(TRIM(M388&amp;"")="","NULL","'"&amp;SUBSTITUTE(TRIM(M388),"'","''")&amp;"'")&amp;", p_observacion =&gt; "&amp;IF(TRIM(O388&amp;"")="","NULL","'"&amp;SUBSTITUTE(TRIM(O388),"'","''")&amp;"'")&amp;", p_direccion =&gt; "&amp;IF(TRIM(J388&amp;"")="","NULL","'"&amp;SUBSTITUTE(TRIM(J388),"'","''")&amp;"'")&amp;", p_referencia =&gt; "&amp;IF(TRIM(K388&amp;"")="","NULL","'"&amp;SUBSTITUTE(TRIM(K388),"'","''")&amp;"'")&amp;") AS resultado_cliente_"&amp;343&amp;";")</f>
        <v/>
      </c>
    </row>
    <row r="389" ht="15.75" customHeight="1" s="64">
      <c r="A389" s="25">
        <f>IF(AND(D389="",E389="",C389=""),"",IF(AND(D389="",E389=""),"FALTA razón social o nombres",IF(AND(C389&lt;&gt;"",COUNTIF($C$5:$C$549,C389)&gt;1),"DOCUMENTO DUPLICADO",IF(AND(B389="DNI",C389&lt;&gt;"",LEN(C389)&lt;&gt;8),"DNI debe tener 8 dígitos",IF(AND(B389="RUC",C389&lt;&gt;"",LEN(C389)&lt;&gt;11),"RUC debe tener 11 dígitos",IF(AND(N389&lt;&gt;"",COUNTIF($N$5:$N$549,N389)&gt;1),"CÓDIGO INTERNO DUPLICADO","OK"))))))</f>
        <v/>
      </c>
      <c r="B389" s="17" t="n"/>
      <c r="C389" s="23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23" t="n"/>
      <c r="M389" s="17" t="n"/>
      <c r="N389" s="23" t="n"/>
      <c r="O389" s="17" t="n"/>
      <c r="P389" s="28">
        <f>IF(A389&lt;&gt;"OK","","SELECT cli_crear_clientes(p_codigo_interno =&gt; "&amp;IF(TRIM(N389&amp;"")="","NULL","'"&amp;SUBSTITUTE(TRIM(N389),"'","''")&amp;"'")&amp;", p_razon_social =&gt; "&amp;IF(TRIM(D389&amp;"")="","NULL","'"&amp;SUBSTITUTE(TRIM(D389),"'","''")&amp;"'")&amp;", p_id_tipo_cliente =&gt; "&amp;IF(TRIM(I389&amp;"")="","NULL","(SELECT lo.id FROM gen_lista_opciones lo JOIN gen_lista l ON l.id = lo.id_lista WHERE l.nombre = 'TipoCliente' AND upper(lo.nombre) = upper('"&amp;SUBSTITUTE(TRIM(I389),"'","''")&amp;"') AND lo.estado = 1 LIMIT 1)")&amp;", p_id_tipo_persona =&gt; "&amp;IF(TRIM(H389&amp;"")="","NULL","(SELECT lo.id FROM gen_lista_opciones lo JOIN gen_lista l ON l.id = lo.id_lista WHERE l.nombre = 'TipoPersona' AND upper(lo.nombre) = upper('"&amp;SUBSTITUTE(TRIM(H389),"'","''")&amp;"') AND lo.estado = 1 LIMIT 1)")&amp;", p_nombres =&gt; "&amp;IF(TRIM(E389&amp;"")="","NULL","'"&amp;SUBSTITUTE(TRIM(E389),"'","''")&amp;"'")&amp;", p_apellido_paterno =&gt; "&amp;IF(TRIM(F389&amp;"")="","NULL","'"&amp;SUBSTITUTE(TRIM(F389),"'","''")&amp;"'")&amp;", p_apellido_materno =&gt; "&amp;IF(TRIM(G389&amp;"")="","NULL","'"&amp;SUBSTITUTE(TRIM(G389),"'","''")&amp;"'")&amp;", p_id_tipo_documento =&gt; "&amp;IF(TRIM(B389&amp;"")="","NULL","(SELECT lo.id FROM gen_lista_opciones lo JOIN gen_lista l ON l.id = lo.id_lista WHERE l.nombre = 'TipoDocumento' AND upper(lo.nombre) = upper('"&amp;SUBSTITUTE(TRIM(B389),"'","''")&amp;"') AND lo.estado = 1 LIMIT 1)")&amp;", p_numero_documento =&gt; "&amp;IF(TRIM(C389&amp;"")="","NULL","'"&amp;SUBSTITUTE(TRIM(C389),"'","''")&amp;"'")&amp;", p_telefono =&gt; "&amp;IF(TRIM(L389&amp;"")="","NULL","'"&amp;SUBSTITUTE(TRIM(L389),"'","''")&amp;"'")&amp;", p_email =&gt; "&amp;IF(TRIM(M389&amp;"")="","NULL","'"&amp;SUBSTITUTE(TRIM(M389),"'","''")&amp;"'")&amp;", p_observacion =&gt; "&amp;IF(TRIM(O389&amp;"")="","NULL","'"&amp;SUBSTITUTE(TRIM(O389),"'","''")&amp;"'")&amp;", p_direccion =&gt; "&amp;IF(TRIM(J389&amp;"")="","NULL","'"&amp;SUBSTITUTE(TRIM(J389),"'","''")&amp;"'")&amp;", p_referencia =&gt; "&amp;IF(TRIM(K389&amp;"")="","NULL","'"&amp;SUBSTITUTE(TRIM(K389),"'","''")&amp;"'")&amp;") AS resultado_cliente_"&amp;344&amp;";")</f>
        <v/>
      </c>
    </row>
    <row r="390" ht="15.75" customHeight="1" s="64">
      <c r="A390" s="25">
        <f>IF(AND(D390="",E390="",C390=""),"",IF(AND(D390="",E390=""),"FALTA razón social o nombres",IF(AND(C390&lt;&gt;"",COUNTIF($C$5:$C$549,C390)&gt;1),"DOCUMENTO DUPLICADO",IF(AND(B390="DNI",C390&lt;&gt;"",LEN(C390)&lt;&gt;8),"DNI debe tener 8 dígitos",IF(AND(B390="RUC",C390&lt;&gt;"",LEN(C390)&lt;&gt;11),"RUC debe tener 11 dígitos",IF(AND(N390&lt;&gt;"",COUNTIF($N$5:$N$549,N390)&gt;1),"CÓDIGO INTERNO DUPLICADO","OK"))))))</f>
        <v/>
      </c>
      <c r="B390" s="17" t="n"/>
      <c r="C390" s="23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23" t="n"/>
      <c r="M390" s="17" t="n"/>
      <c r="N390" s="23" t="n"/>
      <c r="O390" s="17" t="n"/>
      <c r="P390" s="28">
        <f>IF(A390&lt;&gt;"OK","","SELECT cli_crear_clientes(p_codigo_interno =&gt; "&amp;IF(TRIM(N390&amp;"")="","NULL","'"&amp;SUBSTITUTE(TRIM(N390),"'","''")&amp;"'")&amp;", p_razon_social =&gt; "&amp;IF(TRIM(D390&amp;"")="","NULL","'"&amp;SUBSTITUTE(TRIM(D390),"'","''")&amp;"'")&amp;", p_id_tipo_cliente =&gt; "&amp;IF(TRIM(I390&amp;"")="","NULL","(SELECT lo.id FROM gen_lista_opciones lo JOIN gen_lista l ON l.id = lo.id_lista WHERE l.nombre = 'TipoCliente' AND upper(lo.nombre) = upper('"&amp;SUBSTITUTE(TRIM(I390),"'","''")&amp;"') AND lo.estado = 1 LIMIT 1)")&amp;", p_id_tipo_persona =&gt; "&amp;IF(TRIM(H390&amp;"")="","NULL","(SELECT lo.id FROM gen_lista_opciones lo JOIN gen_lista l ON l.id = lo.id_lista WHERE l.nombre = 'TipoPersona' AND upper(lo.nombre) = upper('"&amp;SUBSTITUTE(TRIM(H390),"'","''")&amp;"') AND lo.estado = 1 LIMIT 1)")&amp;", p_nombres =&gt; "&amp;IF(TRIM(E390&amp;"")="","NULL","'"&amp;SUBSTITUTE(TRIM(E390),"'","''")&amp;"'")&amp;", p_apellido_paterno =&gt; "&amp;IF(TRIM(F390&amp;"")="","NULL","'"&amp;SUBSTITUTE(TRIM(F390),"'","''")&amp;"'")&amp;", p_apellido_materno =&gt; "&amp;IF(TRIM(G390&amp;"")="","NULL","'"&amp;SUBSTITUTE(TRIM(G390),"'","''")&amp;"'")&amp;", p_id_tipo_documento =&gt; "&amp;IF(TRIM(B390&amp;"")="","NULL","(SELECT lo.id FROM gen_lista_opciones lo JOIN gen_lista l ON l.id = lo.id_lista WHERE l.nombre = 'TipoDocumento' AND upper(lo.nombre) = upper('"&amp;SUBSTITUTE(TRIM(B390),"'","''")&amp;"') AND lo.estado = 1 LIMIT 1)")&amp;", p_numero_documento =&gt; "&amp;IF(TRIM(C390&amp;"")="","NULL","'"&amp;SUBSTITUTE(TRIM(C390),"'","''")&amp;"'")&amp;", p_telefono =&gt; "&amp;IF(TRIM(L390&amp;"")="","NULL","'"&amp;SUBSTITUTE(TRIM(L390),"'","''")&amp;"'")&amp;", p_email =&gt; "&amp;IF(TRIM(M390&amp;"")="","NULL","'"&amp;SUBSTITUTE(TRIM(M390),"'","''")&amp;"'")&amp;", p_observacion =&gt; "&amp;IF(TRIM(O390&amp;"")="","NULL","'"&amp;SUBSTITUTE(TRIM(O390),"'","''")&amp;"'")&amp;", p_direccion =&gt; "&amp;IF(TRIM(J390&amp;"")="","NULL","'"&amp;SUBSTITUTE(TRIM(J390),"'","''")&amp;"'")&amp;", p_referencia =&gt; "&amp;IF(TRIM(K390&amp;"")="","NULL","'"&amp;SUBSTITUTE(TRIM(K390),"'","''")&amp;"'")&amp;") AS resultado_cliente_"&amp;345&amp;";")</f>
        <v/>
      </c>
    </row>
    <row r="391" ht="15.75" customHeight="1" s="64">
      <c r="A391" s="25">
        <f>IF(AND(D391="",E391="",C391=""),"",IF(AND(D391="",E391=""),"FALTA razón social o nombres",IF(AND(C391&lt;&gt;"",COUNTIF($C$5:$C$549,C391)&gt;1),"DOCUMENTO DUPLICADO",IF(AND(B391="DNI",C391&lt;&gt;"",LEN(C391)&lt;&gt;8),"DNI debe tener 8 dígitos",IF(AND(B391="RUC",C391&lt;&gt;"",LEN(C391)&lt;&gt;11),"RUC debe tener 11 dígitos",IF(AND(N391&lt;&gt;"",COUNTIF($N$5:$N$549,N391)&gt;1),"CÓDIGO INTERNO DUPLICADO","OK"))))))</f>
        <v/>
      </c>
      <c r="B391" s="17" t="n"/>
      <c r="C391" s="23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23" t="n"/>
      <c r="M391" s="17" t="n"/>
      <c r="N391" s="23" t="n"/>
      <c r="O391" s="17" t="n"/>
      <c r="P391" s="28">
        <f>IF(A391&lt;&gt;"OK","","SELECT cli_crear_clientes(p_codigo_interno =&gt; "&amp;IF(TRIM(N391&amp;"")="","NULL","'"&amp;SUBSTITUTE(TRIM(N391),"'","''")&amp;"'")&amp;", p_razon_social =&gt; "&amp;IF(TRIM(D391&amp;"")="","NULL","'"&amp;SUBSTITUTE(TRIM(D391),"'","''")&amp;"'")&amp;", p_id_tipo_cliente =&gt; "&amp;IF(TRIM(I391&amp;"")="","NULL","(SELECT lo.id FROM gen_lista_opciones lo JOIN gen_lista l ON l.id = lo.id_lista WHERE l.nombre = 'TipoCliente' AND upper(lo.nombre) = upper('"&amp;SUBSTITUTE(TRIM(I391),"'","''")&amp;"') AND lo.estado = 1 LIMIT 1)")&amp;", p_id_tipo_persona =&gt; "&amp;IF(TRIM(H391&amp;"")="","NULL","(SELECT lo.id FROM gen_lista_opciones lo JOIN gen_lista l ON l.id = lo.id_lista WHERE l.nombre = 'TipoPersona' AND upper(lo.nombre) = upper('"&amp;SUBSTITUTE(TRIM(H391),"'","''")&amp;"') AND lo.estado = 1 LIMIT 1)")&amp;", p_nombres =&gt; "&amp;IF(TRIM(E391&amp;"")="","NULL","'"&amp;SUBSTITUTE(TRIM(E391),"'","''")&amp;"'")&amp;", p_apellido_paterno =&gt; "&amp;IF(TRIM(F391&amp;"")="","NULL","'"&amp;SUBSTITUTE(TRIM(F391),"'","''")&amp;"'")&amp;", p_apellido_materno =&gt; "&amp;IF(TRIM(G391&amp;"")="","NULL","'"&amp;SUBSTITUTE(TRIM(G391),"'","''")&amp;"'")&amp;", p_id_tipo_documento =&gt; "&amp;IF(TRIM(B391&amp;"")="","NULL","(SELECT lo.id FROM gen_lista_opciones lo JOIN gen_lista l ON l.id = lo.id_lista WHERE l.nombre = 'TipoDocumento' AND upper(lo.nombre) = upper('"&amp;SUBSTITUTE(TRIM(B391),"'","''")&amp;"') AND lo.estado = 1 LIMIT 1)")&amp;", p_numero_documento =&gt; "&amp;IF(TRIM(C391&amp;"")="","NULL","'"&amp;SUBSTITUTE(TRIM(C391),"'","''")&amp;"'")&amp;", p_telefono =&gt; "&amp;IF(TRIM(L391&amp;"")="","NULL","'"&amp;SUBSTITUTE(TRIM(L391),"'","''")&amp;"'")&amp;", p_email =&gt; "&amp;IF(TRIM(M391&amp;"")="","NULL","'"&amp;SUBSTITUTE(TRIM(M391),"'","''")&amp;"'")&amp;", p_observacion =&gt; "&amp;IF(TRIM(O391&amp;"")="","NULL","'"&amp;SUBSTITUTE(TRIM(O391),"'","''")&amp;"'")&amp;", p_direccion =&gt; "&amp;IF(TRIM(J391&amp;"")="","NULL","'"&amp;SUBSTITUTE(TRIM(J391),"'","''")&amp;"'")&amp;", p_referencia =&gt; "&amp;IF(TRIM(K391&amp;"")="","NULL","'"&amp;SUBSTITUTE(TRIM(K391),"'","''")&amp;"'")&amp;") AS resultado_cliente_"&amp;346&amp;";")</f>
        <v/>
      </c>
    </row>
    <row r="392" ht="15.75" customHeight="1" s="64">
      <c r="A392" s="25">
        <f>IF(AND(D392="",E392="",C392=""),"",IF(AND(D392="",E392=""),"FALTA razón social o nombres",IF(AND(C392&lt;&gt;"",COUNTIF($C$5:$C$549,C392)&gt;1),"DOCUMENTO DUPLICADO",IF(AND(B392="DNI",C392&lt;&gt;"",LEN(C392)&lt;&gt;8),"DNI debe tener 8 dígitos",IF(AND(B392="RUC",C392&lt;&gt;"",LEN(C392)&lt;&gt;11),"RUC debe tener 11 dígitos",IF(AND(N392&lt;&gt;"",COUNTIF($N$5:$N$549,N392)&gt;1),"CÓDIGO INTERNO DUPLICADO","OK"))))))</f>
        <v/>
      </c>
      <c r="B392" s="17" t="n"/>
      <c r="C392" s="23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23" t="n"/>
      <c r="M392" s="17" t="n"/>
      <c r="N392" s="23" t="n"/>
      <c r="O392" s="17" t="n"/>
      <c r="P392" s="28">
        <f>IF(A392&lt;&gt;"OK","","SELECT cli_crear_clientes(p_codigo_interno =&gt; "&amp;IF(TRIM(N392&amp;"")="","NULL","'"&amp;SUBSTITUTE(TRIM(N392),"'","''")&amp;"'")&amp;", p_razon_social =&gt; "&amp;IF(TRIM(D392&amp;"")="","NULL","'"&amp;SUBSTITUTE(TRIM(D392),"'","''")&amp;"'")&amp;", p_id_tipo_cliente =&gt; "&amp;IF(TRIM(I392&amp;"")="","NULL","(SELECT lo.id FROM gen_lista_opciones lo JOIN gen_lista l ON l.id = lo.id_lista WHERE l.nombre = 'TipoCliente' AND upper(lo.nombre) = upper('"&amp;SUBSTITUTE(TRIM(I392),"'","''")&amp;"') AND lo.estado = 1 LIMIT 1)")&amp;", p_id_tipo_persona =&gt; "&amp;IF(TRIM(H392&amp;"")="","NULL","(SELECT lo.id FROM gen_lista_opciones lo JOIN gen_lista l ON l.id = lo.id_lista WHERE l.nombre = 'TipoPersona' AND upper(lo.nombre) = upper('"&amp;SUBSTITUTE(TRIM(H392),"'","''")&amp;"') AND lo.estado = 1 LIMIT 1)")&amp;", p_nombres =&gt; "&amp;IF(TRIM(E392&amp;"")="","NULL","'"&amp;SUBSTITUTE(TRIM(E392),"'","''")&amp;"'")&amp;", p_apellido_paterno =&gt; "&amp;IF(TRIM(F392&amp;"")="","NULL","'"&amp;SUBSTITUTE(TRIM(F392),"'","''")&amp;"'")&amp;", p_apellido_materno =&gt; "&amp;IF(TRIM(G392&amp;"")="","NULL","'"&amp;SUBSTITUTE(TRIM(G392),"'","''")&amp;"'")&amp;", p_id_tipo_documento =&gt; "&amp;IF(TRIM(B392&amp;"")="","NULL","(SELECT lo.id FROM gen_lista_opciones lo JOIN gen_lista l ON l.id = lo.id_lista WHERE l.nombre = 'TipoDocumento' AND upper(lo.nombre) = upper('"&amp;SUBSTITUTE(TRIM(B392),"'","''")&amp;"') AND lo.estado = 1 LIMIT 1)")&amp;", p_numero_documento =&gt; "&amp;IF(TRIM(C392&amp;"")="","NULL","'"&amp;SUBSTITUTE(TRIM(C392),"'","''")&amp;"'")&amp;", p_telefono =&gt; "&amp;IF(TRIM(L392&amp;"")="","NULL","'"&amp;SUBSTITUTE(TRIM(L392),"'","''")&amp;"'")&amp;", p_email =&gt; "&amp;IF(TRIM(M392&amp;"")="","NULL","'"&amp;SUBSTITUTE(TRIM(M392),"'","''")&amp;"'")&amp;", p_observacion =&gt; "&amp;IF(TRIM(O392&amp;"")="","NULL","'"&amp;SUBSTITUTE(TRIM(O392),"'","''")&amp;"'")&amp;", p_direccion =&gt; "&amp;IF(TRIM(J392&amp;"")="","NULL","'"&amp;SUBSTITUTE(TRIM(J392),"'","''")&amp;"'")&amp;", p_referencia =&gt; "&amp;IF(TRIM(K392&amp;"")="","NULL","'"&amp;SUBSTITUTE(TRIM(K392),"'","''")&amp;"'")&amp;") AS resultado_cliente_"&amp;347&amp;";")</f>
        <v/>
      </c>
    </row>
    <row r="393" ht="15.75" customHeight="1" s="64">
      <c r="A393" s="25">
        <f>IF(AND(D393="",E393="",C393=""),"",IF(AND(D393="",E393=""),"FALTA razón social o nombres",IF(AND(C393&lt;&gt;"",COUNTIF($C$5:$C$549,C393)&gt;1),"DOCUMENTO DUPLICADO",IF(AND(B393="DNI",C393&lt;&gt;"",LEN(C393)&lt;&gt;8),"DNI debe tener 8 dígitos",IF(AND(B393="RUC",C393&lt;&gt;"",LEN(C393)&lt;&gt;11),"RUC debe tener 11 dígitos",IF(AND(N393&lt;&gt;"",COUNTIF($N$5:$N$549,N393)&gt;1),"CÓDIGO INTERNO DUPLICADO","OK"))))))</f>
        <v/>
      </c>
      <c r="B393" s="17" t="n"/>
      <c r="C393" s="23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23" t="n"/>
      <c r="M393" s="17" t="n"/>
      <c r="N393" s="23" t="n"/>
      <c r="O393" s="17" t="n"/>
      <c r="P393" s="28">
        <f>IF(A393&lt;&gt;"OK","","SELECT cli_crear_clientes(p_codigo_interno =&gt; "&amp;IF(TRIM(N393&amp;"")="","NULL","'"&amp;SUBSTITUTE(TRIM(N393),"'","''")&amp;"'")&amp;", p_razon_social =&gt; "&amp;IF(TRIM(D393&amp;"")="","NULL","'"&amp;SUBSTITUTE(TRIM(D393),"'","''")&amp;"'")&amp;", p_id_tipo_cliente =&gt; "&amp;IF(TRIM(I393&amp;"")="","NULL","(SELECT lo.id FROM gen_lista_opciones lo JOIN gen_lista l ON l.id = lo.id_lista WHERE l.nombre = 'TipoCliente' AND upper(lo.nombre) = upper('"&amp;SUBSTITUTE(TRIM(I393),"'","''")&amp;"') AND lo.estado = 1 LIMIT 1)")&amp;", p_id_tipo_persona =&gt; "&amp;IF(TRIM(H393&amp;"")="","NULL","(SELECT lo.id FROM gen_lista_opciones lo JOIN gen_lista l ON l.id = lo.id_lista WHERE l.nombre = 'TipoPersona' AND upper(lo.nombre) = upper('"&amp;SUBSTITUTE(TRIM(H393),"'","''")&amp;"') AND lo.estado = 1 LIMIT 1)")&amp;", p_nombres =&gt; "&amp;IF(TRIM(E393&amp;"")="","NULL","'"&amp;SUBSTITUTE(TRIM(E393),"'","''")&amp;"'")&amp;", p_apellido_paterno =&gt; "&amp;IF(TRIM(F393&amp;"")="","NULL","'"&amp;SUBSTITUTE(TRIM(F393),"'","''")&amp;"'")&amp;", p_apellido_materno =&gt; "&amp;IF(TRIM(G393&amp;"")="","NULL","'"&amp;SUBSTITUTE(TRIM(G393),"'","''")&amp;"'")&amp;", p_id_tipo_documento =&gt; "&amp;IF(TRIM(B393&amp;"")="","NULL","(SELECT lo.id FROM gen_lista_opciones lo JOIN gen_lista l ON l.id = lo.id_lista WHERE l.nombre = 'TipoDocumento' AND upper(lo.nombre) = upper('"&amp;SUBSTITUTE(TRIM(B393),"'","''")&amp;"') AND lo.estado = 1 LIMIT 1)")&amp;", p_numero_documento =&gt; "&amp;IF(TRIM(C393&amp;"")="","NULL","'"&amp;SUBSTITUTE(TRIM(C393),"'","''")&amp;"'")&amp;", p_telefono =&gt; "&amp;IF(TRIM(L393&amp;"")="","NULL","'"&amp;SUBSTITUTE(TRIM(L393),"'","''")&amp;"'")&amp;", p_email =&gt; "&amp;IF(TRIM(M393&amp;"")="","NULL","'"&amp;SUBSTITUTE(TRIM(M393),"'","''")&amp;"'")&amp;", p_observacion =&gt; "&amp;IF(TRIM(O393&amp;"")="","NULL","'"&amp;SUBSTITUTE(TRIM(O393),"'","''")&amp;"'")&amp;", p_direccion =&gt; "&amp;IF(TRIM(J393&amp;"")="","NULL","'"&amp;SUBSTITUTE(TRIM(J393),"'","''")&amp;"'")&amp;", p_referencia =&gt; "&amp;IF(TRIM(K393&amp;"")="","NULL","'"&amp;SUBSTITUTE(TRIM(K393),"'","''")&amp;"'")&amp;") AS resultado_cliente_"&amp;348&amp;";")</f>
        <v/>
      </c>
    </row>
    <row r="394" ht="15.75" customHeight="1" s="64">
      <c r="A394" s="25">
        <f>IF(AND(D394="",E394="",C394=""),"",IF(AND(D394="",E394=""),"FALTA razón social o nombres",IF(AND(C394&lt;&gt;"",COUNTIF($C$5:$C$549,C394)&gt;1),"DOCUMENTO DUPLICADO",IF(AND(B394="DNI",C394&lt;&gt;"",LEN(C394)&lt;&gt;8),"DNI debe tener 8 dígitos",IF(AND(B394="RUC",C394&lt;&gt;"",LEN(C394)&lt;&gt;11),"RUC debe tener 11 dígitos",IF(AND(N394&lt;&gt;"",COUNTIF($N$5:$N$549,N394)&gt;1),"CÓDIGO INTERNO DUPLICADO","OK"))))))</f>
        <v/>
      </c>
      <c r="B394" s="17" t="n"/>
      <c r="C394" s="23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23" t="n"/>
      <c r="M394" s="17" t="n"/>
      <c r="N394" s="23" t="n"/>
      <c r="O394" s="17" t="n"/>
      <c r="P394" s="28">
        <f>IF(A394&lt;&gt;"OK","","SELECT cli_crear_clientes(p_codigo_interno =&gt; "&amp;IF(TRIM(N394&amp;"")="","NULL","'"&amp;SUBSTITUTE(TRIM(N394),"'","''")&amp;"'")&amp;", p_razon_social =&gt; "&amp;IF(TRIM(D394&amp;"")="","NULL","'"&amp;SUBSTITUTE(TRIM(D394),"'","''")&amp;"'")&amp;", p_id_tipo_cliente =&gt; "&amp;IF(TRIM(I394&amp;"")="","NULL","(SELECT lo.id FROM gen_lista_opciones lo JOIN gen_lista l ON l.id = lo.id_lista WHERE l.nombre = 'TipoCliente' AND upper(lo.nombre) = upper('"&amp;SUBSTITUTE(TRIM(I394),"'","''")&amp;"') AND lo.estado = 1 LIMIT 1)")&amp;", p_id_tipo_persona =&gt; "&amp;IF(TRIM(H394&amp;"")="","NULL","(SELECT lo.id FROM gen_lista_opciones lo JOIN gen_lista l ON l.id = lo.id_lista WHERE l.nombre = 'TipoPersona' AND upper(lo.nombre) = upper('"&amp;SUBSTITUTE(TRIM(H394),"'","''")&amp;"') AND lo.estado = 1 LIMIT 1)")&amp;", p_nombres =&gt; "&amp;IF(TRIM(E394&amp;"")="","NULL","'"&amp;SUBSTITUTE(TRIM(E394),"'","''")&amp;"'")&amp;", p_apellido_paterno =&gt; "&amp;IF(TRIM(F394&amp;"")="","NULL","'"&amp;SUBSTITUTE(TRIM(F394),"'","''")&amp;"'")&amp;", p_apellido_materno =&gt; "&amp;IF(TRIM(G394&amp;"")="","NULL","'"&amp;SUBSTITUTE(TRIM(G394),"'","''")&amp;"'")&amp;", p_id_tipo_documento =&gt; "&amp;IF(TRIM(B394&amp;"")="","NULL","(SELECT lo.id FROM gen_lista_opciones lo JOIN gen_lista l ON l.id = lo.id_lista WHERE l.nombre = 'TipoDocumento' AND upper(lo.nombre) = upper('"&amp;SUBSTITUTE(TRIM(B394),"'","''")&amp;"') AND lo.estado = 1 LIMIT 1)")&amp;", p_numero_documento =&gt; "&amp;IF(TRIM(C394&amp;"")="","NULL","'"&amp;SUBSTITUTE(TRIM(C394),"'","''")&amp;"'")&amp;", p_telefono =&gt; "&amp;IF(TRIM(L394&amp;"")="","NULL","'"&amp;SUBSTITUTE(TRIM(L394),"'","''")&amp;"'")&amp;", p_email =&gt; "&amp;IF(TRIM(M394&amp;"")="","NULL","'"&amp;SUBSTITUTE(TRIM(M394),"'","''")&amp;"'")&amp;", p_observacion =&gt; "&amp;IF(TRIM(O394&amp;"")="","NULL","'"&amp;SUBSTITUTE(TRIM(O394),"'","''")&amp;"'")&amp;", p_direccion =&gt; "&amp;IF(TRIM(J394&amp;"")="","NULL","'"&amp;SUBSTITUTE(TRIM(J394),"'","''")&amp;"'")&amp;", p_referencia =&gt; "&amp;IF(TRIM(K394&amp;"")="","NULL","'"&amp;SUBSTITUTE(TRIM(K394),"'","''")&amp;"'")&amp;") AS resultado_cliente_"&amp;349&amp;";")</f>
        <v/>
      </c>
    </row>
    <row r="395" ht="15.75" customHeight="1" s="64">
      <c r="A395" s="25">
        <f>IF(AND(D395="",E395="",C395=""),"",IF(AND(D395="",E395=""),"FALTA razón social o nombres",IF(AND(C395&lt;&gt;"",COUNTIF($C$5:$C$549,C395)&gt;1),"DOCUMENTO DUPLICADO",IF(AND(B395="DNI",C395&lt;&gt;"",LEN(C395)&lt;&gt;8),"DNI debe tener 8 dígitos",IF(AND(B395="RUC",C395&lt;&gt;"",LEN(C395)&lt;&gt;11),"RUC debe tener 11 dígitos",IF(AND(N395&lt;&gt;"",COUNTIF($N$5:$N$549,N395)&gt;1),"CÓDIGO INTERNO DUPLICADO","OK"))))))</f>
        <v/>
      </c>
      <c r="B395" s="17" t="n"/>
      <c r="C395" s="23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23" t="n"/>
      <c r="M395" s="17" t="n"/>
      <c r="N395" s="23" t="n"/>
      <c r="O395" s="17" t="n"/>
      <c r="P395" s="28">
        <f>IF(A395&lt;&gt;"OK","","SELECT cli_crear_clientes(p_codigo_interno =&gt; "&amp;IF(TRIM(N395&amp;"")="","NULL","'"&amp;SUBSTITUTE(TRIM(N395),"'","''")&amp;"'")&amp;", p_razon_social =&gt; "&amp;IF(TRIM(D395&amp;"")="","NULL","'"&amp;SUBSTITUTE(TRIM(D395),"'","''")&amp;"'")&amp;", p_id_tipo_cliente =&gt; "&amp;IF(TRIM(I395&amp;"")="","NULL","(SELECT lo.id FROM gen_lista_opciones lo JOIN gen_lista l ON l.id = lo.id_lista WHERE l.nombre = 'TipoCliente' AND upper(lo.nombre) = upper('"&amp;SUBSTITUTE(TRIM(I395),"'","''")&amp;"') AND lo.estado = 1 LIMIT 1)")&amp;", p_id_tipo_persona =&gt; "&amp;IF(TRIM(H395&amp;"")="","NULL","(SELECT lo.id FROM gen_lista_opciones lo JOIN gen_lista l ON l.id = lo.id_lista WHERE l.nombre = 'TipoPersona' AND upper(lo.nombre) = upper('"&amp;SUBSTITUTE(TRIM(H395),"'","''")&amp;"') AND lo.estado = 1 LIMIT 1)")&amp;", p_nombres =&gt; "&amp;IF(TRIM(E395&amp;"")="","NULL","'"&amp;SUBSTITUTE(TRIM(E395),"'","''")&amp;"'")&amp;", p_apellido_paterno =&gt; "&amp;IF(TRIM(F395&amp;"")="","NULL","'"&amp;SUBSTITUTE(TRIM(F395),"'","''")&amp;"'")&amp;", p_apellido_materno =&gt; "&amp;IF(TRIM(G395&amp;"")="","NULL","'"&amp;SUBSTITUTE(TRIM(G395),"'","''")&amp;"'")&amp;", p_id_tipo_documento =&gt; "&amp;IF(TRIM(B395&amp;"")="","NULL","(SELECT lo.id FROM gen_lista_opciones lo JOIN gen_lista l ON l.id = lo.id_lista WHERE l.nombre = 'TipoDocumento' AND upper(lo.nombre) = upper('"&amp;SUBSTITUTE(TRIM(B395),"'","''")&amp;"') AND lo.estado = 1 LIMIT 1)")&amp;", p_numero_documento =&gt; "&amp;IF(TRIM(C395&amp;"")="","NULL","'"&amp;SUBSTITUTE(TRIM(C395),"'","''")&amp;"'")&amp;", p_telefono =&gt; "&amp;IF(TRIM(L395&amp;"")="","NULL","'"&amp;SUBSTITUTE(TRIM(L395),"'","''")&amp;"'")&amp;", p_email =&gt; "&amp;IF(TRIM(M395&amp;"")="","NULL","'"&amp;SUBSTITUTE(TRIM(M395),"'","''")&amp;"'")&amp;", p_observacion =&gt; "&amp;IF(TRIM(O395&amp;"")="","NULL","'"&amp;SUBSTITUTE(TRIM(O395),"'","''")&amp;"'")&amp;", p_direccion =&gt; "&amp;IF(TRIM(J395&amp;"")="","NULL","'"&amp;SUBSTITUTE(TRIM(J395),"'","''")&amp;"'")&amp;", p_referencia =&gt; "&amp;IF(TRIM(K395&amp;"")="","NULL","'"&amp;SUBSTITUTE(TRIM(K395),"'","''")&amp;"'")&amp;") AS resultado_cliente_"&amp;350&amp;";")</f>
        <v/>
      </c>
    </row>
    <row r="396" ht="15.75" customHeight="1" s="64">
      <c r="A396" s="25">
        <f>IF(AND(D396="",E396="",C396=""),"",IF(AND(D396="",E396=""),"FALTA razón social o nombres",IF(AND(C396&lt;&gt;"",COUNTIF($C$5:$C$549,C396)&gt;1),"DOCUMENTO DUPLICADO",IF(AND(B396="DNI",C396&lt;&gt;"",LEN(C396)&lt;&gt;8),"DNI debe tener 8 dígitos",IF(AND(B396="RUC",C396&lt;&gt;"",LEN(C396)&lt;&gt;11),"RUC debe tener 11 dígitos",IF(AND(N396&lt;&gt;"",COUNTIF($N$5:$N$549,N396)&gt;1),"CÓDIGO INTERNO DUPLICADO","OK"))))))</f>
        <v/>
      </c>
      <c r="B396" s="17" t="n"/>
      <c r="C396" s="23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23" t="n"/>
      <c r="M396" s="17" t="n"/>
      <c r="N396" s="23" t="n"/>
      <c r="O396" s="17" t="n"/>
      <c r="P396" s="28">
        <f>IF(A396&lt;&gt;"OK","","SELECT cli_crear_clientes(p_codigo_interno =&gt; "&amp;IF(TRIM(N396&amp;"")="","NULL","'"&amp;SUBSTITUTE(TRIM(N396),"'","''")&amp;"'")&amp;", p_razon_social =&gt; "&amp;IF(TRIM(D396&amp;"")="","NULL","'"&amp;SUBSTITUTE(TRIM(D396),"'","''")&amp;"'")&amp;", p_id_tipo_cliente =&gt; "&amp;IF(TRIM(I396&amp;"")="","NULL","(SELECT lo.id FROM gen_lista_opciones lo JOIN gen_lista l ON l.id = lo.id_lista WHERE l.nombre = 'TipoCliente' AND upper(lo.nombre) = upper('"&amp;SUBSTITUTE(TRIM(I396),"'","''")&amp;"') AND lo.estado = 1 LIMIT 1)")&amp;", p_id_tipo_persona =&gt; "&amp;IF(TRIM(H396&amp;"")="","NULL","(SELECT lo.id FROM gen_lista_opciones lo JOIN gen_lista l ON l.id = lo.id_lista WHERE l.nombre = 'TipoPersona' AND upper(lo.nombre) = upper('"&amp;SUBSTITUTE(TRIM(H396),"'","''")&amp;"') AND lo.estado = 1 LIMIT 1)")&amp;", p_nombres =&gt; "&amp;IF(TRIM(E396&amp;"")="","NULL","'"&amp;SUBSTITUTE(TRIM(E396),"'","''")&amp;"'")&amp;", p_apellido_paterno =&gt; "&amp;IF(TRIM(F396&amp;"")="","NULL","'"&amp;SUBSTITUTE(TRIM(F396),"'","''")&amp;"'")&amp;", p_apellido_materno =&gt; "&amp;IF(TRIM(G396&amp;"")="","NULL","'"&amp;SUBSTITUTE(TRIM(G396),"'","''")&amp;"'")&amp;", p_id_tipo_documento =&gt; "&amp;IF(TRIM(B396&amp;"")="","NULL","(SELECT lo.id FROM gen_lista_opciones lo JOIN gen_lista l ON l.id = lo.id_lista WHERE l.nombre = 'TipoDocumento' AND upper(lo.nombre) = upper('"&amp;SUBSTITUTE(TRIM(B396),"'","''")&amp;"') AND lo.estado = 1 LIMIT 1)")&amp;", p_numero_documento =&gt; "&amp;IF(TRIM(C396&amp;"")="","NULL","'"&amp;SUBSTITUTE(TRIM(C396),"'","''")&amp;"'")&amp;", p_telefono =&gt; "&amp;IF(TRIM(L396&amp;"")="","NULL","'"&amp;SUBSTITUTE(TRIM(L396),"'","''")&amp;"'")&amp;", p_email =&gt; "&amp;IF(TRIM(M396&amp;"")="","NULL","'"&amp;SUBSTITUTE(TRIM(M396),"'","''")&amp;"'")&amp;", p_observacion =&gt; "&amp;IF(TRIM(O396&amp;"")="","NULL","'"&amp;SUBSTITUTE(TRIM(O396),"'","''")&amp;"'")&amp;", p_direccion =&gt; "&amp;IF(TRIM(J396&amp;"")="","NULL","'"&amp;SUBSTITUTE(TRIM(J396),"'","''")&amp;"'")&amp;", p_referencia =&gt; "&amp;IF(TRIM(K396&amp;"")="","NULL","'"&amp;SUBSTITUTE(TRIM(K396),"'","''")&amp;"'")&amp;") AS resultado_cliente_"&amp;351&amp;";")</f>
        <v/>
      </c>
    </row>
    <row r="397" ht="15.75" customHeight="1" s="64">
      <c r="A397" s="25">
        <f>IF(AND(D397="",E397="",C397=""),"",IF(AND(D397="",E397=""),"FALTA razón social o nombres",IF(AND(C397&lt;&gt;"",COUNTIF($C$5:$C$549,C397)&gt;1),"DOCUMENTO DUPLICADO",IF(AND(B397="DNI",C397&lt;&gt;"",LEN(C397)&lt;&gt;8),"DNI debe tener 8 dígitos",IF(AND(B397="RUC",C397&lt;&gt;"",LEN(C397)&lt;&gt;11),"RUC debe tener 11 dígitos",IF(AND(N397&lt;&gt;"",COUNTIF($N$5:$N$549,N397)&gt;1),"CÓDIGO INTERNO DUPLICADO","OK"))))))</f>
        <v/>
      </c>
      <c r="B397" s="17" t="n"/>
      <c r="C397" s="23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23" t="n"/>
      <c r="M397" s="17" t="n"/>
      <c r="N397" s="23" t="n"/>
      <c r="O397" s="17" t="n"/>
      <c r="P397" s="28">
        <f>IF(A397&lt;&gt;"OK","","SELECT cli_crear_clientes(p_codigo_interno =&gt; "&amp;IF(TRIM(N397&amp;"")="","NULL","'"&amp;SUBSTITUTE(TRIM(N397),"'","''")&amp;"'")&amp;", p_razon_social =&gt; "&amp;IF(TRIM(D397&amp;"")="","NULL","'"&amp;SUBSTITUTE(TRIM(D397),"'","''")&amp;"'")&amp;", p_id_tipo_cliente =&gt; "&amp;IF(TRIM(I397&amp;"")="","NULL","(SELECT lo.id FROM gen_lista_opciones lo JOIN gen_lista l ON l.id = lo.id_lista WHERE l.nombre = 'TipoCliente' AND upper(lo.nombre) = upper('"&amp;SUBSTITUTE(TRIM(I397),"'","''")&amp;"') AND lo.estado = 1 LIMIT 1)")&amp;", p_id_tipo_persona =&gt; "&amp;IF(TRIM(H397&amp;"")="","NULL","(SELECT lo.id FROM gen_lista_opciones lo JOIN gen_lista l ON l.id = lo.id_lista WHERE l.nombre = 'TipoPersona' AND upper(lo.nombre) = upper('"&amp;SUBSTITUTE(TRIM(H397),"'","''")&amp;"') AND lo.estado = 1 LIMIT 1)")&amp;", p_nombres =&gt; "&amp;IF(TRIM(E397&amp;"")="","NULL","'"&amp;SUBSTITUTE(TRIM(E397),"'","''")&amp;"'")&amp;", p_apellido_paterno =&gt; "&amp;IF(TRIM(F397&amp;"")="","NULL","'"&amp;SUBSTITUTE(TRIM(F397),"'","''")&amp;"'")&amp;", p_apellido_materno =&gt; "&amp;IF(TRIM(G397&amp;"")="","NULL","'"&amp;SUBSTITUTE(TRIM(G397),"'","''")&amp;"'")&amp;", p_id_tipo_documento =&gt; "&amp;IF(TRIM(B397&amp;"")="","NULL","(SELECT lo.id FROM gen_lista_opciones lo JOIN gen_lista l ON l.id = lo.id_lista WHERE l.nombre = 'TipoDocumento' AND upper(lo.nombre) = upper('"&amp;SUBSTITUTE(TRIM(B397),"'","''")&amp;"') AND lo.estado = 1 LIMIT 1)")&amp;", p_numero_documento =&gt; "&amp;IF(TRIM(C397&amp;"")="","NULL","'"&amp;SUBSTITUTE(TRIM(C397),"'","''")&amp;"'")&amp;", p_telefono =&gt; "&amp;IF(TRIM(L397&amp;"")="","NULL","'"&amp;SUBSTITUTE(TRIM(L397),"'","''")&amp;"'")&amp;", p_email =&gt; "&amp;IF(TRIM(M397&amp;"")="","NULL","'"&amp;SUBSTITUTE(TRIM(M397),"'","''")&amp;"'")&amp;", p_observacion =&gt; "&amp;IF(TRIM(O397&amp;"")="","NULL","'"&amp;SUBSTITUTE(TRIM(O397),"'","''")&amp;"'")&amp;", p_direccion =&gt; "&amp;IF(TRIM(J397&amp;"")="","NULL","'"&amp;SUBSTITUTE(TRIM(J397),"'","''")&amp;"'")&amp;", p_referencia =&gt; "&amp;IF(TRIM(K397&amp;"")="","NULL","'"&amp;SUBSTITUTE(TRIM(K397),"'","''")&amp;"'")&amp;") AS resultado_cliente_"&amp;352&amp;";")</f>
        <v/>
      </c>
    </row>
    <row r="398" ht="15.75" customHeight="1" s="64">
      <c r="A398" s="25">
        <f>IF(AND(D398="",E398="",C398=""),"",IF(AND(D398="",E398=""),"FALTA razón social o nombres",IF(AND(C398&lt;&gt;"",COUNTIF($C$5:$C$549,C398)&gt;1),"DOCUMENTO DUPLICADO",IF(AND(B398="DNI",C398&lt;&gt;"",LEN(C398)&lt;&gt;8),"DNI debe tener 8 dígitos",IF(AND(B398="RUC",C398&lt;&gt;"",LEN(C398)&lt;&gt;11),"RUC debe tener 11 dígitos",IF(AND(N398&lt;&gt;"",COUNTIF($N$5:$N$549,N398)&gt;1),"CÓDIGO INTERNO DUPLICADO","OK"))))))</f>
        <v/>
      </c>
      <c r="B398" s="17" t="n"/>
      <c r="C398" s="23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23" t="n"/>
      <c r="M398" s="17" t="n"/>
      <c r="N398" s="23" t="n"/>
      <c r="O398" s="17" t="n"/>
      <c r="P398" s="28">
        <f>IF(A398&lt;&gt;"OK","","SELECT cli_crear_clientes(p_codigo_interno =&gt; "&amp;IF(TRIM(N398&amp;"")="","NULL","'"&amp;SUBSTITUTE(TRIM(N398),"'","''")&amp;"'")&amp;", p_razon_social =&gt; "&amp;IF(TRIM(D398&amp;"")="","NULL","'"&amp;SUBSTITUTE(TRIM(D398),"'","''")&amp;"'")&amp;", p_id_tipo_cliente =&gt; "&amp;IF(TRIM(I398&amp;"")="","NULL","(SELECT lo.id FROM gen_lista_opciones lo JOIN gen_lista l ON l.id = lo.id_lista WHERE l.nombre = 'TipoCliente' AND upper(lo.nombre) = upper('"&amp;SUBSTITUTE(TRIM(I398),"'","''")&amp;"') AND lo.estado = 1 LIMIT 1)")&amp;", p_id_tipo_persona =&gt; "&amp;IF(TRIM(H398&amp;"")="","NULL","(SELECT lo.id FROM gen_lista_opciones lo JOIN gen_lista l ON l.id = lo.id_lista WHERE l.nombre = 'TipoPersona' AND upper(lo.nombre) = upper('"&amp;SUBSTITUTE(TRIM(H398),"'","''")&amp;"') AND lo.estado = 1 LIMIT 1)")&amp;", p_nombres =&gt; "&amp;IF(TRIM(E398&amp;"")="","NULL","'"&amp;SUBSTITUTE(TRIM(E398),"'","''")&amp;"'")&amp;", p_apellido_paterno =&gt; "&amp;IF(TRIM(F398&amp;"")="","NULL","'"&amp;SUBSTITUTE(TRIM(F398),"'","''")&amp;"'")&amp;", p_apellido_materno =&gt; "&amp;IF(TRIM(G398&amp;"")="","NULL","'"&amp;SUBSTITUTE(TRIM(G398),"'","''")&amp;"'")&amp;", p_id_tipo_documento =&gt; "&amp;IF(TRIM(B398&amp;"")="","NULL","(SELECT lo.id FROM gen_lista_opciones lo JOIN gen_lista l ON l.id = lo.id_lista WHERE l.nombre = 'TipoDocumento' AND upper(lo.nombre) = upper('"&amp;SUBSTITUTE(TRIM(B398),"'","''")&amp;"') AND lo.estado = 1 LIMIT 1)")&amp;", p_numero_documento =&gt; "&amp;IF(TRIM(C398&amp;"")="","NULL","'"&amp;SUBSTITUTE(TRIM(C398),"'","''")&amp;"'")&amp;", p_telefono =&gt; "&amp;IF(TRIM(L398&amp;"")="","NULL","'"&amp;SUBSTITUTE(TRIM(L398),"'","''")&amp;"'")&amp;", p_email =&gt; "&amp;IF(TRIM(M398&amp;"")="","NULL","'"&amp;SUBSTITUTE(TRIM(M398),"'","''")&amp;"'")&amp;", p_observacion =&gt; "&amp;IF(TRIM(O398&amp;"")="","NULL","'"&amp;SUBSTITUTE(TRIM(O398),"'","''")&amp;"'")&amp;", p_direccion =&gt; "&amp;IF(TRIM(J398&amp;"")="","NULL","'"&amp;SUBSTITUTE(TRIM(J398),"'","''")&amp;"'")&amp;", p_referencia =&gt; "&amp;IF(TRIM(K398&amp;"")="","NULL","'"&amp;SUBSTITUTE(TRIM(K398),"'","''")&amp;"'")&amp;") AS resultado_cliente_"&amp;353&amp;";")</f>
        <v/>
      </c>
    </row>
    <row r="399" ht="15.75" customHeight="1" s="64">
      <c r="A399" s="25">
        <f>IF(AND(D399="",E399="",C399=""),"",IF(AND(D399="",E399=""),"FALTA razón social o nombres",IF(AND(C399&lt;&gt;"",COUNTIF($C$5:$C$549,C399)&gt;1),"DOCUMENTO DUPLICADO",IF(AND(B399="DNI",C399&lt;&gt;"",LEN(C399)&lt;&gt;8),"DNI debe tener 8 dígitos",IF(AND(B399="RUC",C399&lt;&gt;"",LEN(C399)&lt;&gt;11),"RUC debe tener 11 dígitos",IF(AND(N399&lt;&gt;"",COUNTIF($N$5:$N$549,N399)&gt;1),"CÓDIGO INTERNO DUPLICADO","OK"))))))</f>
        <v/>
      </c>
      <c r="B399" s="17" t="n"/>
      <c r="C399" s="23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23" t="n"/>
      <c r="M399" s="17" t="n"/>
      <c r="N399" s="23" t="n"/>
      <c r="O399" s="17" t="n"/>
      <c r="P399" s="28">
        <f>IF(A399&lt;&gt;"OK","","SELECT cli_crear_clientes(p_codigo_interno =&gt; "&amp;IF(TRIM(N399&amp;"")="","NULL","'"&amp;SUBSTITUTE(TRIM(N399),"'","''")&amp;"'")&amp;", p_razon_social =&gt; "&amp;IF(TRIM(D399&amp;"")="","NULL","'"&amp;SUBSTITUTE(TRIM(D399),"'","''")&amp;"'")&amp;", p_id_tipo_cliente =&gt; "&amp;IF(TRIM(I399&amp;"")="","NULL","(SELECT lo.id FROM gen_lista_opciones lo JOIN gen_lista l ON l.id = lo.id_lista WHERE l.nombre = 'TipoCliente' AND upper(lo.nombre) = upper('"&amp;SUBSTITUTE(TRIM(I399),"'","''")&amp;"') AND lo.estado = 1 LIMIT 1)")&amp;", p_id_tipo_persona =&gt; "&amp;IF(TRIM(H399&amp;"")="","NULL","(SELECT lo.id FROM gen_lista_opciones lo JOIN gen_lista l ON l.id = lo.id_lista WHERE l.nombre = 'TipoPersona' AND upper(lo.nombre) = upper('"&amp;SUBSTITUTE(TRIM(H399),"'","''")&amp;"') AND lo.estado = 1 LIMIT 1)")&amp;", p_nombres =&gt; "&amp;IF(TRIM(E399&amp;"")="","NULL","'"&amp;SUBSTITUTE(TRIM(E399),"'","''")&amp;"'")&amp;", p_apellido_paterno =&gt; "&amp;IF(TRIM(F399&amp;"")="","NULL","'"&amp;SUBSTITUTE(TRIM(F399),"'","''")&amp;"'")&amp;", p_apellido_materno =&gt; "&amp;IF(TRIM(G399&amp;"")="","NULL","'"&amp;SUBSTITUTE(TRIM(G399),"'","''")&amp;"'")&amp;", p_id_tipo_documento =&gt; "&amp;IF(TRIM(B399&amp;"")="","NULL","(SELECT lo.id FROM gen_lista_opciones lo JOIN gen_lista l ON l.id = lo.id_lista WHERE l.nombre = 'TipoDocumento' AND upper(lo.nombre) = upper('"&amp;SUBSTITUTE(TRIM(B399),"'","''")&amp;"') AND lo.estado = 1 LIMIT 1)")&amp;", p_numero_documento =&gt; "&amp;IF(TRIM(C399&amp;"")="","NULL","'"&amp;SUBSTITUTE(TRIM(C399),"'","''")&amp;"'")&amp;", p_telefono =&gt; "&amp;IF(TRIM(L399&amp;"")="","NULL","'"&amp;SUBSTITUTE(TRIM(L399),"'","''")&amp;"'")&amp;", p_email =&gt; "&amp;IF(TRIM(M399&amp;"")="","NULL","'"&amp;SUBSTITUTE(TRIM(M399),"'","''")&amp;"'")&amp;", p_observacion =&gt; "&amp;IF(TRIM(O399&amp;"")="","NULL","'"&amp;SUBSTITUTE(TRIM(O399),"'","''")&amp;"'")&amp;", p_direccion =&gt; "&amp;IF(TRIM(J399&amp;"")="","NULL","'"&amp;SUBSTITUTE(TRIM(J399),"'","''")&amp;"'")&amp;", p_referencia =&gt; "&amp;IF(TRIM(K399&amp;"")="","NULL","'"&amp;SUBSTITUTE(TRIM(K399),"'","''")&amp;"'")&amp;") AS resultado_cliente_"&amp;354&amp;";")</f>
        <v/>
      </c>
    </row>
    <row r="400" ht="15.75" customHeight="1" s="64">
      <c r="A400" s="25">
        <f>IF(AND(D400="",E400="",C400=""),"",IF(AND(D400="",E400=""),"FALTA razón social o nombres",IF(AND(C400&lt;&gt;"",COUNTIF($C$5:$C$549,C400)&gt;1),"DOCUMENTO DUPLICADO",IF(AND(B400="DNI",C400&lt;&gt;"",LEN(C400)&lt;&gt;8),"DNI debe tener 8 dígitos",IF(AND(B400="RUC",C400&lt;&gt;"",LEN(C400)&lt;&gt;11),"RUC debe tener 11 dígitos",IF(AND(N400&lt;&gt;"",COUNTIF($N$5:$N$549,N400)&gt;1),"CÓDIGO INTERNO DUPLICADO","OK"))))))</f>
        <v/>
      </c>
      <c r="B400" s="17" t="n"/>
      <c r="C400" s="23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23" t="n"/>
      <c r="M400" s="17" t="n"/>
      <c r="N400" s="23" t="n"/>
      <c r="O400" s="17" t="n"/>
      <c r="P400" s="28">
        <f>IF(A400&lt;&gt;"OK","","SELECT cli_crear_clientes(p_codigo_interno =&gt; "&amp;IF(TRIM(N400&amp;"")="","NULL","'"&amp;SUBSTITUTE(TRIM(N400),"'","''")&amp;"'")&amp;", p_razon_social =&gt; "&amp;IF(TRIM(D400&amp;"")="","NULL","'"&amp;SUBSTITUTE(TRIM(D400),"'","''")&amp;"'")&amp;", p_id_tipo_cliente =&gt; "&amp;IF(TRIM(I400&amp;"")="","NULL","(SELECT lo.id FROM gen_lista_opciones lo JOIN gen_lista l ON l.id = lo.id_lista WHERE l.nombre = 'TipoCliente' AND upper(lo.nombre) = upper('"&amp;SUBSTITUTE(TRIM(I400),"'","''")&amp;"') AND lo.estado = 1 LIMIT 1)")&amp;", p_id_tipo_persona =&gt; "&amp;IF(TRIM(H400&amp;"")="","NULL","(SELECT lo.id FROM gen_lista_opciones lo JOIN gen_lista l ON l.id = lo.id_lista WHERE l.nombre = 'TipoPersona' AND upper(lo.nombre) = upper('"&amp;SUBSTITUTE(TRIM(H400),"'","''")&amp;"') AND lo.estado = 1 LIMIT 1)")&amp;", p_nombres =&gt; "&amp;IF(TRIM(E400&amp;"")="","NULL","'"&amp;SUBSTITUTE(TRIM(E400),"'","''")&amp;"'")&amp;", p_apellido_paterno =&gt; "&amp;IF(TRIM(F400&amp;"")="","NULL","'"&amp;SUBSTITUTE(TRIM(F400),"'","''")&amp;"'")&amp;", p_apellido_materno =&gt; "&amp;IF(TRIM(G400&amp;"")="","NULL","'"&amp;SUBSTITUTE(TRIM(G400),"'","''")&amp;"'")&amp;", p_id_tipo_documento =&gt; "&amp;IF(TRIM(B400&amp;"")="","NULL","(SELECT lo.id FROM gen_lista_opciones lo JOIN gen_lista l ON l.id = lo.id_lista WHERE l.nombre = 'TipoDocumento' AND upper(lo.nombre) = upper('"&amp;SUBSTITUTE(TRIM(B400),"'","''")&amp;"') AND lo.estado = 1 LIMIT 1)")&amp;", p_numero_documento =&gt; "&amp;IF(TRIM(C400&amp;"")="","NULL","'"&amp;SUBSTITUTE(TRIM(C400),"'","''")&amp;"'")&amp;", p_telefono =&gt; "&amp;IF(TRIM(L400&amp;"")="","NULL","'"&amp;SUBSTITUTE(TRIM(L400),"'","''")&amp;"'")&amp;", p_email =&gt; "&amp;IF(TRIM(M400&amp;"")="","NULL","'"&amp;SUBSTITUTE(TRIM(M400),"'","''")&amp;"'")&amp;", p_observacion =&gt; "&amp;IF(TRIM(O400&amp;"")="","NULL","'"&amp;SUBSTITUTE(TRIM(O400),"'","''")&amp;"'")&amp;", p_direccion =&gt; "&amp;IF(TRIM(J400&amp;"")="","NULL","'"&amp;SUBSTITUTE(TRIM(J400),"'","''")&amp;"'")&amp;", p_referencia =&gt; "&amp;IF(TRIM(K400&amp;"")="","NULL","'"&amp;SUBSTITUTE(TRIM(K400),"'","''")&amp;"'")&amp;") AS resultado_cliente_"&amp;355&amp;";")</f>
        <v/>
      </c>
    </row>
    <row r="401" ht="15.75" customHeight="1" s="64">
      <c r="A401" s="25">
        <f>IF(AND(D401="",E401="",C401=""),"",IF(AND(D401="",E401=""),"FALTA razón social o nombres",IF(AND(C401&lt;&gt;"",COUNTIF($C$5:$C$549,C401)&gt;1),"DOCUMENTO DUPLICADO",IF(AND(B401="DNI",C401&lt;&gt;"",LEN(C401)&lt;&gt;8),"DNI debe tener 8 dígitos",IF(AND(B401="RUC",C401&lt;&gt;"",LEN(C401)&lt;&gt;11),"RUC debe tener 11 dígitos",IF(AND(N401&lt;&gt;"",COUNTIF($N$5:$N$549,N401)&gt;1),"CÓDIGO INTERNO DUPLICADO","OK"))))))</f>
        <v/>
      </c>
      <c r="B401" s="17" t="n"/>
      <c r="C401" s="23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23" t="n"/>
      <c r="M401" s="17" t="n"/>
      <c r="N401" s="23" t="n"/>
      <c r="O401" s="17" t="n"/>
      <c r="P401" s="28">
        <f>IF(A401&lt;&gt;"OK","","SELECT cli_crear_clientes(p_codigo_interno =&gt; "&amp;IF(TRIM(N401&amp;"")="","NULL","'"&amp;SUBSTITUTE(TRIM(N401),"'","''")&amp;"'")&amp;", p_razon_social =&gt; "&amp;IF(TRIM(D401&amp;"")="","NULL","'"&amp;SUBSTITUTE(TRIM(D401),"'","''")&amp;"'")&amp;", p_id_tipo_cliente =&gt; "&amp;IF(TRIM(I401&amp;"")="","NULL","(SELECT lo.id FROM gen_lista_opciones lo JOIN gen_lista l ON l.id = lo.id_lista WHERE l.nombre = 'TipoCliente' AND upper(lo.nombre) = upper('"&amp;SUBSTITUTE(TRIM(I401),"'","''")&amp;"') AND lo.estado = 1 LIMIT 1)")&amp;", p_id_tipo_persona =&gt; "&amp;IF(TRIM(H401&amp;"")="","NULL","(SELECT lo.id FROM gen_lista_opciones lo JOIN gen_lista l ON l.id = lo.id_lista WHERE l.nombre = 'TipoPersona' AND upper(lo.nombre) = upper('"&amp;SUBSTITUTE(TRIM(H401),"'","''")&amp;"') AND lo.estado = 1 LIMIT 1)")&amp;", p_nombres =&gt; "&amp;IF(TRIM(E401&amp;"")="","NULL","'"&amp;SUBSTITUTE(TRIM(E401),"'","''")&amp;"'")&amp;", p_apellido_paterno =&gt; "&amp;IF(TRIM(F401&amp;"")="","NULL","'"&amp;SUBSTITUTE(TRIM(F401),"'","''")&amp;"'")&amp;", p_apellido_materno =&gt; "&amp;IF(TRIM(G401&amp;"")="","NULL","'"&amp;SUBSTITUTE(TRIM(G401),"'","''")&amp;"'")&amp;", p_id_tipo_documento =&gt; "&amp;IF(TRIM(B401&amp;"")="","NULL","(SELECT lo.id FROM gen_lista_opciones lo JOIN gen_lista l ON l.id = lo.id_lista WHERE l.nombre = 'TipoDocumento' AND upper(lo.nombre) = upper('"&amp;SUBSTITUTE(TRIM(B401),"'","''")&amp;"') AND lo.estado = 1 LIMIT 1)")&amp;", p_numero_documento =&gt; "&amp;IF(TRIM(C401&amp;"")="","NULL","'"&amp;SUBSTITUTE(TRIM(C401),"'","''")&amp;"'")&amp;", p_telefono =&gt; "&amp;IF(TRIM(L401&amp;"")="","NULL","'"&amp;SUBSTITUTE(TRIM(L401),"'","''")&amp;"'")&amp;", p_email =&gt; "&amp;IF(TRIM(M401&amp;"")="","NULL","'"&amp;SUBSTITUTE(TRIM(M401),"'","''")&amp;"'")&amp;", p_observacion =&gt; "&amp;IF(TRIM(O401&amp;"")="","NULL","'"&amp;SUBSTITUTE(TRIM(O401),"'","''")&amp;"'")&amp;", p_direccion =&gt; "&amp;IF(TRIM(J401&amp;"")="","NULL","'"&amp;SUBSTITUTE(TRIM(J401),"'","''")&amp;"'")&amp;", p_referencia =&gt; "&amp;IF(TRIM(K401&amp;"")="","NULL","'"&amp;SUBSTITUTE(TRIM(K401),"'","''")&amp;"'")&amp;") AS resultado_cliente_"&amp;356&amp;";")</f>
        <v/>
      </c>
    </row>
    <row r="402" ht="15.75" customHeight="1" s="64">
      <c r="A402" s="25">
        <f>IF(AND(D402="",E402="",C402=""),"",IF(AND(D402="",E402=""),"FALTA razón social o nombres",IF(AND(C402&lt;&gt;"",COUNTIF($C$5:$C$549,C402)&gt;1),"DOCUMENTO DUPLICADO",IF(AND(B402="DNI",C402&lt;&gt;"",LEN(C402)&lt;&gt;8),"DNI debe tener 8 dígitos",IF(AND(B402="RUC",C402&lt;&gt;"",LEN(C402)&lt;&gt;11),"RUC debe tener 11 dígitos",IF(AND(N402&lt;&gt;"",COUNTIF($N$5:$N$549,N402)&gt;1),"CÓDIGO INTERNO DUPLICADO","OK"))))))</f>
        <v/>
      </c>
      <c r="B402" s="17" t="n"/>
      <c r="C402" s="23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23" t="n"/>
      <c r="M402" s="17" t="n"/>
      <c r="N402" s="23" t="n"/>
      <c r="O402" s="17" t="n"/>
      <c r="P402" s="28">
        <f>IF(A402&lt;&gt;"OK","","SELECT cli_crear_clientes(p_codigo_interno =&gt; "&amp;IF(TRIM(N402&amp;"")="","NULL","'"&amp;SUBSTITUTE(TRIM(N402),"'","''")&amp;"'")&amp;", p_razon_social =&gt; "&amp;IF(TRIM(D402&amp;"")="","NULL","'"&amp;SUBSTITUTE(TRIM(D402),"'","''")&amp;"'")&amp;", p_id_tipo_cliente =&gt; "&amp;IF(TRIM(I402&amp;"")="","NULL","(SELECT lo.id FROM gen_lista_opciones lo JOIN gen_lista l ON l.id = lo.id_lista WHERE l.nombre = 'TipoCliente' AND upper(lo.nombre) = upper('"&amp;SUBSTITUTE(TRIM(I402),"'","''")&amp;"') AND lo.estado = 1 LIMIT 1)")&amp;", p_id_tipo_persona =&gt; "&amp;IF(TRIM(H402&amp;"")="","NULL","(SELECT lo.id FROM gen_lista_opciones lo JOIN gen_lista l ON l.id = lo.id_lista WHERE l.nombre = 'TipoPersona' AND upper(lo.nombre) = upper('"&amp;SUBSTITUTE(TRIM(H402),"'","''")&amp;"') AND lo.estado = 1 LIMIT 1)")&amp;", p_nombres =&gt; "&amp;IF(TRIM(E402&amp;"")="","NULL","'"&amp;SUBSTITUTE(TRIM(E402),"'","''")&amp;"'")&amp;", p_apellido_paterno =&gt; "&amp;IF(TRIM(F402&amp;"")="","NULL","'"&amp;SUBSTITUTE(TRIM(F402),"'","''")&amp;"'")&amp;", p_apellido_materno =&gt; "&amp;IF(TRIM(G402&amp;"")="","NULL","'"&amp;SUBSTITUTE(TRIM(G402),"'","''")&amp;"'")&amp;", p_id_tipo_documento =&gt; "&amp;IF(TRIM(B402&amp;"")="","NULL","(SELECT lo.id FROM gen_lista_opciones lo JOIN gen_lista l ON l.id = lo.id_lista WHERE l.nombre = 'TipoDocumento' AND upper(lo.nombre) = upper('"&amp;SUBSTITUTE(TRIM(B402),"'","''")&amp;"') AND lo.estado = 1 LIMIT 1)")&amp;", p_numero_documento =&gt; "&amp;IF(TRIM(C402&amp;"")="","NULL","'"&amp;SUBSTITUTE(TRIM(C402),"'","''")&amp;"'")&amp;", p_telefono =&gt; "&amp;IF(TRIM(L402&amp;"")="","NULL","'"&amp;SUBSTITUTE(TRIM(L402),"'","''")&amp;"'")&amp;", p_email =&gt; "&amp;IF(TRIM(M402&amp;"")="","NULL","'"&amp;SUBSTITUTE(TRIM(M402),"'","''")&amp;"'")&amp;", p_observacion =&gt; "&amp;IF(TRIM(O402&amp;"")="","NULL","'"&amp;SUBSTITUTE(TRIM(O402),"'","''")&amp;"'")&amp;", p_direccion =&gt; "&amp;IF(TRIM(J402&amp;"")="","NULL","'"&amp;SUBSTITUTE(TRIM(J402),"'","''")&amp;"'")&amp;", p_referencia =&gt; "&amp;IF(TRIM(K402&amp;"")="","NULL","'"&amp;SUBSTITUTE(TRIM(K402),"'","''")&amp;"'")&amp;") AS resultado_cliente_"&amp;357&amp;";")</f>
        <v/>
      </c>
    </row>
    <row r="403" ht="15.75" customHeight="1" s="64">
      <c r="A403" s="25">
        <f>IF(AND(D403="",E403="",C403=""),"",IF(AND(D403="",E403=""),"FALTA razón social o nombres",IF(AND(C403&lt;&gt;"",COUNTIF($C$5:$C$549,C403)&gt;1),"DOCUMENTO DUPLICADO",IF(AND(B403="DNI",C403&lt;&gt;"",LEN(C403)&lt;&gt;8),"DNI debe tener 8 dígitos",IF(AND(B403="RUC",C403&lt;&gt;"",LEN(C403)&lt;&gt;11),"RUC debe tener 11 dígitos",IF(AND(N403&lt;&gt;"",COUNTIF($N$5:$N$549,N403)&gt;1),"CÓDIGO INTERNO DUPLICADO","OK"))))))</f>
        <v/>
      </c>
      <c r="B403" s="17" t="n"/>
      <c r="C403" s="23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23" t="n"/>
      <c r="M403" s="17" t="n"/>
      <c r="N403" s="23" t="n"/>
      <c r="O403" s="17" t="n"/>
      <c r="P403" s="28">
        <f>IF(A403&lt;&gt;"OK","","SELECT cli_crear_clientes(p_codigo_interno =&gt; "&amp;IF(TRIM(N403&amp;"")="","NULL","'"&amp;SUBSTITUTE(TRIM(N403),"'","''")&amp;"'")&amp;", p_razon_social =&gt; "&amp;IF(TRIM(D403&amp;"")="","NULL","'"&amp;SUBSTITUTE(TRIM(D403),"'","''")&amp;"'")&amp;", p_id_tipo_cliente =&gt; "&amp;IF(TRIM(I403&amp;"")="","NULL","(SELECT lo.id FROM gen_lista_opciones lo JOIN gen_lista l ON l.id = lo.id_lista WHERE l.nombre = 'TipoCliente' AND upper(lo.nombre) = upper('"&amp;SUBSTITUTE(TRIM(I403),"'","''")&amp;"') AND lo.estado = 1 LIMIT 1)")&amp;", p_id_tipo_persona =&gt; "&amp;IF(TRIM(H403&amp;"")="","NULL","(SELECT lo.id FROM gen_lista_opciones lo JOIN gen_lista l ON l.id = lo.id_lista WHERE l.nombre = 'TipoPersona' AND upper(lo.nombre) = upper('"&amp;SUBSTITUTE(TRIM(H403),"'","''")&amp;"') AND lo.estado = 1 LIMIT 1)")&amp;", p_nombres =&gt; "&amp;IF(TRIM(E403&amp;"")="","NULL","'"&amp;SUBSTITUTE(TRIM(E403),"'","''")&amp;"'")&amp;", p_apellido_paterno =&gt; "&amp;IF(TRIM(F403&amp;"")="","NULL","'"&amp;SUBSTITUTE(TRIM(F403),"'","''")&amp;"'")&amp;", p_apellido_materno =&gt; "&amp;IF(TRIM(G403&amp;"")="","NULL","'"&amp;SUBSTITUTE(TRIM(G403),"'","''")&amp;"'")&amp;", p_id_tipo_documento =&gt; "&amp;IF(TRIM(B403&amp;"")="","NULL","(SELECT lo.id FROM gen_lista_opciones lo JOIN gen_lista l ON l.id = lo.id_lista WHERE l.nombre = 'TipoDocumento' AND upper(lo.nombre) = upper('"&amp;SUBSTITUTE(TRIM(B403),"'","''")&amp;"') AND lo.estado = 1 LIMIT 1)")&amp;", p_numero_documento =&gt; "&amp;IF(TRIM(C403&amp;"")="","NULL","'"&amp;SUBSTITUTE(TRIM(C403),"'","''")&amp;"'")&amp;", p_telefono =&gt; "&amp;IF(TRIM(L403&amp;"")="","NULL","'"&amp;SUBSTITUTE(TRIM(L403),"'","''")&amp;"'")&amp;", p_email =&gt; "&amp;IF(TRIM(M403&amp;"")="","NULL","'"&amp;SUBSTITUTE(TRIM(M403),"'","''")&amp;"'")&amp;", p_observacion =&gt; "&amp;IF(TRIM(O403&amp;"")="","NULL","'"&amp;SUBSTITUTE(TRIM(O403),"'","''")&amp;"'")&amp;", p_direccion =&gt; "&amp;IF(TRIM(J403&amp;"")="","NULL","'"&amp;SUBSTITUTE(TRIM(J403),"'","''")&amp;"'")&amp;", p_referencia =&gt; "&amp;IF(TRIM(K403&amp;"")="","NULL","'"&amp;SUBSTITUTE(TRIM(K403),"'","''")&amp;"'")&amp;") AS resultado_cliente_"&amp;358&amp;";")</f>
        <v/>
      </c>
    </row>
    <row r="404" ht="15.75" customHeight="1" s="64">
      <c r="A404" s="25">
        <f>IF(AND(D404="",E404="",C404=""),"",IF(AND(D404="",E404=""),"FALTA razón social o nombres",IF(AND(C404&lt;&gt;"",COUNTIF($C$5:$C$549,C404)&gt;1),"DOCUMENTO DUPLICADO",IF(AND(B404="DNI",C404&lt;&gt;"",LEN(C404)&lt;&gt;8),"DNI debe tener 8 dígitos",IF(AND(B404="RUC",C404&lt;&gt;"",LEN(C404)&lt;&gt;11),"RUC debe tener 11 dígitos",IF(AND(N404&lt;&gt;"",COUNTIF($N$5:$N$549,N404)&gt;1),"CÓDIGO INTERNO DUPLICADO","OK"))))))</f>
        <v/>
      </c>
      <c r="B404" s="17" t="n"/>
      <c r="C404" s="23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23" t="n"/>
      <c r="M404" s="17" t="n"/>
      <c r="N404" s="23" t="n"/>
      <c r="O404" s="17" t="n"/>
      <c r="P404" s="28">
        <f>IF(A404&lt;&gt;"OK","","SELECT cli_crear_clientes(p_codigo_interno =&gt; "&amp;IF(TRIM(N404&amp;"")="","NULL","'"&amp;SUBSTITUTE(TRIM(N404),"'","''")&amp;"'")&amp;", p_razon_social =&gt; "&amp;IF(TRIM(D404&amp;"")="","NULL","'"&amp;SUBSTITUTE(TRIM(D404),"'","''")&amp;"'")&amp;", p_id_tipo_cliente =&gt; "&amp;IF(TRIM(I404&amp;"")="","NULL","(SELECT lo.id FROM gen_lista_opciones lo JOIN gen_lista l ON l.id = lo.id_lista WHERE l.nombre = 'TipoCliente' AND upper(lo.nombre) = upper('"&amp;SUBSTITUTE(TRIM(I404),"'","''")&amp;"') AND lo.estado = 1 LIMIT 1)")&amp;", p_id_tipo_persona =&gt; "&amp;IF(TRIM(H404&amp;"")="","NULL","(SELECT lo.id FROM gen_lista_opciones lo JOIN gen_lista l ON l.id = lo.id_lista WHERE l.nombre = 'TipoPersona' AND upper(lo.nombre) = upper('"&amp;SUBSTITUTE(TRIM(H404),"'","''")&amp;"') AND lo.estado = 1 LIMIT 1)")&amp;", p_nombres =&gt; "&amp;IF(TRIM(E404&amp;"")="","NULL","'"&amp;SUBSTITUTE(TRIM(E404),"'","''")&amp;"'")&amp;", p_apellido_paterno =&gt; "&amp;IF(TRIM(F404&amp;"")="","NULL","'"&amp;SUBSTITUTE(TRIM(F404),"'","''")&amp;"'")&amp;", p_apellido_materno =&gt; "&amp;IF(TRIM(G404&amp;"")="","NULL","'"&amp;SUBSTITUTE(TRIM(G404),"'","''")&amp;"'")&amp;", p_id_tipo_documento =&gt; "&amp;IF(TRIM(B404&amp;"")="","NULL","(SELECT lo.id FROM gen_lista_opciones lo JOIN gen_lista l ON l.id = lo.id_lista WHERE l.nombre = 'TipoDocumento' AND upper(lo.nombre) = upper('"&amp;SUBSTITUTE(TRIM(B404),"'","''")&amp;"') AND lo.estado = 1 LIMIT 1)")&amp;", p_numero_documento =&gt; "&amp;IF(TRIM(C404&amp;"")="","NULL","'"&amp;SUBSTITUTE(TRIM(C404),"'","''")&amp;"'")&amp;", p_telefono =&gt; "&amp;IF(TRIM(L404&amp;"")="","NULL","'"&amp;SUBSTITUTE(TRIM(L404),"'","''")&amp;"'")&amp;", p_email =&gt; "&amp;IF(TRIM(M404&amp;"")="","NULL","'"&amp;SUBSTITUTE(TRIM(M404),"'","''")&amp;"'")&amp;", p_observacion =&gt; "&amp;IF(TRIM(O404&amp;"")="","NULL","'"&amp;SUBSTITUTE(TRIM(O404),"'","''")&amp;"'")&amp;", p_direccion =&gt; "&amp;IF(TRIM(J404&amp;"")="","NULL","'"&amp;SUBSTITUTE(TRIM(J404),"'","''")&amp;"'")&amp;", p_referencia =&gt; "&amp;IF(TRIM(K404&amp;"")="","NULL","'"&amp;SUBSTITUTE(TRIM(K404),"'","''")&amp;"'")&amp;") AS resultado_cliente_"&amp;359&amp;";")</f>
        <v/>
      </c>
    </row>
    <row r="405" ht="15.75" customHeight="1" s="64">
      <c r="A405" s="25">
        <f>IF(AND(D405="",E405="",C405=""),"",IF(AND(D405="",E405=""),"FALTA razón social o nombres",IF(AND(C405&lt;&gt;"",COUNTIF($C$5:$C$549,C405)&gt;1),"DOCUMENTO DUPLICADO",IF(AND(B405="DNI",C405&lt;&gt;"",LEN(C405)&lt;&gt;8),"DNI debe tener 8 dígitos",IF(AND(B405="RUC",C405&lt;&gt;"",LEN(C405)&lt;&gt;11),"RUC debe tener 11 dígitos",IF(AND(N405&lt;&gt;"",COUNTIF($N$5:$N$549,N405)&gt;1),"CÓDIGO INTERNO DUPLICADO","OK"))))))</f>
        <v/>
      </c>
      <c r="B405" s="17" t="n"/>
      <c r="C405" s="23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23" t="n"/>
      <c r="M405" s="17" t="n"/>
      <c r="N405" s="23" t="n"/>
      <c r="O405" s="17" t="n"/>
      <c r="P405" s="28">
        <f>IF(A405&lt;&gt;"OK","","SELECT cli_crear_clientes(p_codigo_interno =&gt; "&amp;IF(TRIM(N405&amp;"")="","NULL","'"&amp;SUBSTITUTE(TRIM(N405),"'","''")&amp;"'")&amp;", p_razon_social =&gt; "&amp;IF(TRIM(D405&amp;"")="","NULL","'"&amp;SUBSTITUTE(TRIM(D405),"'","''")&amp;"'")&amp;", p_id_tipo_cliente =&gt; "&amp;IF(TRIM(I405&amp;"")="","NULL","(SELECT lo.id FROM gen_lista_opciones lo JOIN gen_lista l ON l.id = lo.id_lista WHERE l.nombre = 'TipoCliente' AND upper(lo.nombre) = upper('"&amp;SUBSTITUTE(TRIM(I405),"'","''")&amp;"') AND lo.estado = 1 LIMIT 1)")&amp;", p_id_tipo_persona =&gt; "&amp;IF(TRIM(H405&amp;"")="","NULL","(SELECT lo.id FROM gen_lista_opciones lo JOIN gen_lista l ON l.id = lo.id_lista WHERE l.nombre = 'TipoPersona' AND upper(lo.nombre) = upper('"&amp;SUBSTITUTE(TRIM(H405),"'","''")&amp;"') AND lo.estado = 1 LIMIT 1)")&amp;", p_nombres =&gt; "&amp;IF(TRIM(E405&amp;"")="","NULL","'"&amp;SUBSTITUTE(TRIM(E405),"'","''")&amp;"'")&amp;", p_apellido_paterno =&gt; "&amp;IF(TRIM(F405&amp;"")="","NULL","'"&amp;SUBSTITUTE(TRIM(F405),"'","''")&amp;"'")&amp;", p_apellido_materno =&gt; "&amp;IF(TRIM(G405&amp;"")="","NULL","'"&amp;SUBSTITUTE(TRIM(G405),"'","''")&amp;"'")&amp;", p_id_tipo_documento =&gt; "&amp;IF(TRIM(B405&amp;"")="","NULL","(SELECT lo.id FROM gen_lista_opciones lo JOIN gen_lista l ON l.id = lo.id_lista WHERE l.nombre = 'TipoDocumento' AND upper(lo.nombre) = upper('"&amp;SUBSTITUTE(TRIM(B405),"'","''")&amp;"') AND lo.estado = 1 LIMIT 1)")&amp;", p_numero_documento =&gt; "&amp;IF(TRIM(C405&amp;"")="","NULL","'"&amp;SUBSTITUTE(TRIM(C405),"'","''")&amp;"'")&amp;", p_telefono =&gt; "&amp;IF(TRIM(L405&amp;"")="","NULL","'"&amp;SUBSTITUTE(TRIM(L405),"'","''")&amp;"'")&amp;", p_email =&gt; "&amp;IF(TRIM(M405&amp;"")="","NULL","'"&amp;SUBSTITUTE(TRIM(M405),"'","''")&amp;"'")&amp;", p_observacion =&gt; "&amp;IF(TRIM(O405&amp;"")="","NULL","'"&amp;SUBSTITUTE(TRIM(O405),"'","''")&amp;"'")&amp;", p_direccion =&gt; "&amp;IF(TRIM(J405&amp;"")="","NULL","'"&amp;SUBSTITUTE(TRIM(J405),"'","''")&amp;"'")&amp;", p_referencia =&gt; "&amp;IF(TRIM(K405&amp;"")="","NULL","'"&amp;SUBSTITUTE(TRIM(K405),"'","''")&amp;"'")&amp;") AS resultado_cliente_"&amp;360&amp;";")</f>
        <v/>
      </c>
    </row>
    <row r="406" ht="15.75" customHeight="1" s="64">
      <c r="A406" s="25">
        <f>IF(AND(D406="",E406="",C406=""),"",IF(AND(D406="",E406=""),"FALTA razón social o nombres",IF(AND(C406&lt;&gt;"",COUNTIF($C$5:$C$549,C406)&gt;1),"DOCUMENTO DUPLICADO",IF(AND(B406="DNI",C406&lt;&gt;"",LEN(C406)&lt;&gt;8),"DNI debe tener 8 dígitos",IF(AND(B406="RUC",C406&lt;&gt;"",LEN(C406)&lt;&gt;11),"RUC debe tener 11 dígitos",IF(AND(N406&lt;&gt;"",COUNTIF($N$5:$N$549,N406)&gt;1),"CÓDIGO INTERNO DUPLICADO","OK"))))))</f>
        <v/>
      </c>
      <c r="B406" s="17" t="n"/>
      <c r="C406" s="23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23" t="n"/>
      <c r="M406" s="17" t="n"/>
      <c r="N406" s="23" t="n"/>
      <c r="O406" s="17" t="n"/>
      <c r="P406" s="28">
        <f>IF(A406&lt;&gt;"OK","","SELECT cli_crear_clientes(p_codigo_interno =&gt; "&amp;IF(TRIM(N406&amp;"")="","NULL","'"&amp;SUBSTITUTE(TRIM(N406),"'","''")&amp;"'")&amp;", p_razon_social =&gt; "&amp;IF(TRIM(D406&amp;"")="","NULL","'"&amp;SUBSTITUTE(TRIM(D406),"'","''")&amp;"'")&amp;", p_id_tipo_cliente =&gt; "&amp;IF(TRIM(I406&amp;"")="","NULL","(SELECT lo.id FROM gen_lista_opciones lo JOIN gen_lista l ON l.id = lo.id_lista WHERE l.nombre = 'TipoCliente' AND upper(lo.nombre) = upper('"&amp;SUBSTITUTE(TRIM(I406),"'","''")&amp;"') AND lo.estado = 1 LIMIT 1)")&amp;", p_id_tipo_persona =&gt; "&amp;IF(TRIM(H406&amp;"")="","NULL","(SELECT lo.id FROM gen_lista_opciones lo JOIN gen_lista l ON l.id = lo.id_lista WHERE l.nombre = 'TipoPersona' AND upper(lo.nombre) = upper('"&amp;SUBSTITUTE(TRIM(H406),"'","''")&amp;"') AND lo.estado = 1 LIMIT 1)")&amp;", p_nombres =&gt; "&amp;IF(TRIM(E406&amp;"")="","NULL","'"&amp;SUBSTITUTE(TRIM(E406),"'","''")&amp;"'")&amp;", p_apellido_paterno =&gt; "&amp;IF(TRIM(F406&amp;"")="","NULL","'"&amp;SUBSTITUTE(TRIM(F406),"'","''")&amp;"'")&amp;", p_apellido_materno =&gt; "&amp;IF(TRIM(G406&amp;"")="","NULL","'"&amp;SUBSTITUTE(TRIM(G406),"'","''")&amp;"'")&amp;", p_id_tipo_documento =&gt; "&amp;IF(TRIM(B406&amp;"")="","NULL","(SELECT lo.id FROM gen_lista_opciones lo JOIN gen_lista l ON l.id = lo.id_lista WHERE l.nombre = 'TipoDocumento' AND upper(lo.nombre) = upper('"&amp;SUBSTITUTE(TRIM(B406),"'","''")&amp;"') AND lo.estado = 1 LIMIT 1)")&amp;", p_numero_documento =&gt; "&amp;IF(TRIM(C406&amp;"")="","NULL","'"&amp;SUBSTITUTE(TRIM(C406),"'","''")&amp;"'")&amp;", p_telefono =&gt; "&amp;IF(TRIM(L406&amp;"")="","NULL","'"&amp;SUBSTITUTE(TRIM(L406),"'","''")&amp;"'")&amp;", p_email =&gt; "&amp;IF(TRIM(M406&amp;"")="","NULL","'"&amp;SUBSTITUTE(TRIM(M406),"'","''")&amp;"'")&amp;", p_observacion =&gt; "&amp;IF(TRIM(O406&amp;"")="","NULL","'"&amp;SUBSTITUTE(TRIM(O406),"'","''")&amp;"'")&amp;", p_direccion =&gt; "&amp;IF(TRIM(J406&amp;"")="","NULL","'"&amp;SUBSTITUTE(TRIM(J406),"'","''")&amp;"'")&amp;", p_referencia =&gt; "&amp;IF(TRIM(K406&amp;"")="","NULL","'"&amp;SUBSTITUTE(TRIM(K406),"'","''")&amp;"'")&amp;") AS resultado_cliente_"&amp;361&amp;";")</f>
        <v/>
      </c>
    </row>
    <row r="407" ht="15.75" customHeight="1" s="64">
      <c r="A407" s="25">
        <f>IF(AND(D407="",E407="",C407=""),"",IF(AND(D407="",E407=""),"FALTA razón social o nombres",IF(AND(C407&lt;&gt;"",COUNTIF($C$5:$C$549,C407)&gt;1),"DOCUMENTO DUPLICADO",IF(AND(B407="DNI",C407&lt;&gt;"",LEN(C407)&lt;&gt;8),"DNI debe tener 8 dígitos",IF(AND(B407="RUC",C407&lt;&gt;"",LEN(C407)&lt;&gt;11),"RUC debe tener 11 dígitos",IF(AND(N407&lt;&gt;"",COUNTIF($N$5:$N$549,N407)&gt;1),"CÓDIGO INTERNO DUPLICADO","OK"))))))</f>
        <v/>
      </c>
      <c r="B407" s="17" t="n"/>
      <c r="C407" s="23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23" t="n"/>
      <c r="M407" s="17" t="n"/>
      <c r="N407" s="23" t="n"/>
      <c r="O407" s="17" t="n"/>
      <c r="P407" s="28">
        <f>IF(A407&lt;&gt;"OK","","SELECT cli_crear_clientes(p_codigo_interno =&gt; "&amp;IF(TRIM(N407&amp;"")="","NULL","'"&amp;SUBSTITUTE(TRIM(N407),"'","''")&amp;"'")&amp;", p_razon_social =&gt; "&amp;IF(TRIM(D407&amp;"")="","NULL","'"&amp;SUBSTITUTE(TRIM(D407),"'","''")&amp;"'")&amp;", p_id_tipo_cliente =&gt; "&amp;IF(TRIM(I407&amp;"")="","NULL","(SELECT lo.id FROM gen_lista_opciones lo JOIN gen_lista l ON l.id = lo.id_lista WHERE l.nombre = 'TipoCliente' AND upper(lo.nombre) = upper('"&amp;SUBSTITUTE(TRIM(I407),"'","''")&amp;"') AND lo.estado = 1 LIMIT 1)")&amp;", p_id_tipo_persona =&gt; "&amp;IF(TRIM(H407&amp;"")="","NULL","(SELECT lo.id FROM gen_lista_opciones lo JOIN gen_lista l ON l.id = lo.id_lista WHERE l.nombre = 'TipoPersona' AND upper(lo.nombre) = upper('"&amp;SUBSTITUTE(TRIM(H407),"'","''")&amp;"') AND lo.estado = 1 LIMIT 1)")&amp;", p_nombres =&gt; "&amp;IF(TRIM(E407&amp;"")="","NULL","'"&amp;SUBSTITUTE(TRIM(E407),"'","''")&amp;"'")&amp;", p_apellido_paterno =&gt; "&amp;IF(TRIM(F407&amp;"")="","NULL","'"&amp;SUBSTITUTE(TRIM(F407),"'","''")&amp;"'")&amp;", p_apellido_materno =&gt; "&amp;IF(TRIM(G407&amp;"")="","NULL","'"&amp;SUBSTITUTE(TRIM(G407),"'","''")&amp;"'")&amp;", p_id_tipo_documento =&gt; "&amp;IF(TRIM(B407&amp;"")="","NULL","(SELECT lo.id FROM gen_lista_opciones lo JOIN gen_lista l ON l.id = lo.id_lista WHERE l.nombre = 'TipoDocumento' AND upper(lo.nombre) = upper('"&amp;SUBSTITUTE(TRIM(B407),"'","''")&amp;"') AND lo.estado = 1 LIMIT 1)")&amp;", p_numero_documento =&gt; "&amp;IF(TRIM(C407&amp;"")="","NULL","'"&amp;SUBSTITUTE(TRIM(C407),"'","''")&amp;"'")&amp;", p_telefono =&gt; "&amp;IF(TRIM(L407&amp;"")="","NULL","'"&amp;SUBSTITUTE(TRIM(L407),"'","''")&amp;"'")&amp;", p_email =&gt; "&amp;IF(TRIM(M407&amp;"")="","NULL","'"&amp;SUBSTITUTE(TRIM(M407),"'","''")&amp;"'")&amp;", p_observacion =&gt; "&amp;IF(TRIM(O407&amp;"")="","NULL","'"&amp;SUBSTITUTE(TRIM(O407),"'","''")&amp;"'")&amp;", p_direccion =&gt; "&amp;IF(TRIM(J407&amp;"")="","NULL","'"&amp;SUBSTITUTE(TRIM(J407),"'","''")&amp;"'")&amp;", p_referencia =&gt; "&amp;IF(TRIM(K407&amp;"")="","NULL","'"&amp;SUBSTITUTE(TRIM(K407),"'","''")&amp;"'")&amp;") AS resultado_cliente_"&amp;362&amp;";")</f>
        <v/>
      </c>
    </row>
    <row r="408" ht="15.75" customHeight="1" s="64">
      <c r="A408" s="25">
        <f>IF(AND(D408="",E408="",C408=""),"",IF(AND(D408="",E408=""),"FALTA razón social o nombres",IF(AND(C408&lt;&gt;"",COUNTIF($C$5:$C$549,C408)&gt;1),"DOCUMENTO DUPLICADO",IF(AND(B408="DNI",C408&lt;&gt;"",LEN(C408)&lt;&gt;8),"DNI debe tener 8 dígitos",IF(AND(B408="RUC",C408&lt;&gt;"",LEN(C408)&lt;&gt;11),"RUC debe tener 11 dígitos",IF(AND(N408&lt;&gt;"",COUNTIF($N$5:$N$549,N408)&gt;1),"CÓDIGO INTERNO DUPLICADO","OK"))))))</f>
        <v/>
      </c>
      <c r="B408" s="17" t="n"/>
      <c r="C408" s="23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23" t="n"/>
      <c r="M408" s="17" t="n"/>
      <c r="N408" s="23" t="n"/>
      <c r="O408" s="17" t="n"/>
      <c r="P408" s="28">
        <f>IF(A408&lt;&gt;"OK","","SELECT cli_crear_clientes(p_codigo_interno =&gt; "&amp;IF(TRIM(N408&amp;"")="","NULL","'"&amp;SUBSTITUTE(TRIM(N408),"'","''")&amp;"'")&amp;", p_razon_social =&gt; "&amp;IF(TRIM(D408&amp;"")="","NULL","'"&amp;SUBSTITUTE(TRIM(D408),"'","''")&amp;"'")&amp;", p_id_tipo_cliente =&gt; "&amp;IF(TRIM(I408&amp;"")="","NULL","(SELECT lo.id FROM gen_lista_opciones lo JOIN gen_lista l ON l.id = lo.id_lista WHERE l.nombre = 'TipoCliente' AND upper(lo.nombre) = upper('"&amp;SUBSTITUTE(TRIM(I408),"'","''")&amp;"') AND lo.estado = 1 LIMIT 1)")&amp;", p_id_tipo_persona =&gt; "&amp;IF(TRIM(H408&amp;"")="","NULL","(SELECT lo.id FROM gen_lista_opciones lo JOIN gen_lista l ON l.id = lo.id_lista WHERE l.nombre = 'TipoPersona' AND upper(lo.nombre) = upper('"&amp;SUBSTITUTE(TRIM(H408),"'","''")&amp;"') AND lo.estado = 1 LIMIT 1)")&amp;", p_nombres =&gt; "&amp;IF(TRIM(E408&amp;"")="","NULL","'"&amp;SUBSTITUTE(TRIM(E408),"'","''")&amp;"'")&amp;", p_apellido_paterno =&gt; "&amp;IF(TRIM(F408&amp;"")="","NULL","'"&amp;SUBSTITUTE(TRIM(F408),"'","''")&amp;"'")&amp;", p_apellido_materno =&gt; "&amp;IF(TRIM(G408&amp;"")="","NULL","'"&amp;SUBSTITUTE(TRIM(G408),"'","''")&amp;"'")&amp;", p_id_tipo_documento =&gt; "&amp;IF(TRIM(B408&amp;"")="","NULL","(SELECT lo.id FROM gen_lista_opciones lo JOIN gen_lista l ON l.id = lo.id_lista WHERE l.nombre = 'TipoDocumento' AND upper(lo.nombre) = upper('"&amp;SUBSTITUTE(TRIM(B408),"'","''")&amp;"') AND lo.estado = 1 LIMIT 1)")&amp;", p_numero_documento =&gt; "&amp;IF(TRIM(C408&amp;"")="","NULL","'"&amp;SUBSTITUTE(TRIM(C408),"'","''")&amp;"'")&amp;", p_telefono =&gt; "&amp;IF(TRIM(L408&amp;"")="","NULL","'"&amp;SUBSTITUTE(TRIM(L408),"'","''")&amp;"'")&amp;", p_email =&gt; "&amp;IF(TRIM(M408&amp;"")="","NULL","'"&amp;SUBSTITUTE(TRIM(M408),"'","''")&amp;"'")&amp;", p_observacion =&gt; "&amp;IF(TRIM(O408&amp;"")="","NULL","'"&amp;SUBSTITUTE(TRIM(O408),"'","''")&amp;"'")&amp;", p_direccion =&gt; "&amp;IF(TRIM(J408&amp;"")="","NULL","'"&amp;SUBSTITUTE(TRIM(J408),"'","''")&amp;"'")&amp;", p_referencia =&gt; "&amp;IF(TRIM(K408&amp;"")="","NULL","'"&amp;SUBSTITUTE(TRIM(K408),"'","''")&amp;"'")&amp;") AS resultado_cliente_"&amp;363&amp;";")</f>
        <v/>
      </c>
    </row>
    <row r="409" ht="15.75" customHeight="1" s="64">
      <c r="A409" s="25">
        <f>IF(AND(D409="",E409="",C409=""),"",IF(AND(D409="",E409=""),"FALTA razón social o nombres",IF(AND(C409&lt;&gt;"",COUNTIF($C$5:$C$549,C409)&gt;1),"DOCUMENTO DUPLICADO",IF(AND(B409="DNI",C409&lt;&gt;"",LEN(C409)&lt;&gt;8),"DNI debe tener 8 dígitos",IF(AND(B409="RUC",C409&lt;&gt;"",LEN(C409)&lt;&gt;11),"RUC debe tener 11 dígitos",IF(AND(N409&lt;&gt;"",COUNTIF($N$5:$N$549,N409)&gt;1),"CÓDIGO INTERNO DUPLICADO","OK"))))))</f>
        <v/>
      </c>
      <c r="B409" s="17" t="n"/>
      <c r="C409" s="23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23" t="n"/>
      <c r="M409" s="17" t="n"/>
      <c r="N409" s="23" t="n"/>
      <c r="O409" s="17" t="n"/>
      <c r="P409" s="28">
        <f>IF(A409&lt;&gt;"OK","","SELECT cli_crear_clientes(p_codigo_interno =&gt; "&amp;IF(TRIM(N409&amp;"")="","NULL","'"&amp;SUBSTITUTE(TRIM(N409),"'","''")&amp;"'")&amp;", p_razon_social =&gt; "&amp;IF(TRIM(D409&amp;"")="","NULL","'"&amp;SUBSTITUTE(TRIM(D409),"'","''")&amp;"'")&amp;", p_id_tipo_cliente =&gt; "&amp;IF(TRIM(I409&amp;"")="","NULL","(SELECT lo.id FROM gen_lista_opciones lo JOIN gen_lista l ON l.id = lo.id_lista WHERE l.nombre = 'TipoCliente' AND upper(lo.nombre) = upper('"&amp;SUBSTITUTE(TRIM(I409),"'","''")&amp;"') AND lo.estado = 1 LIMIT 1)")&amp;", p_id_tipo_persona =&gt; "&amp;IF(TRIM(H409&amp;"")="","NULL","(SELECT lo.id FROM gen_lista_opciones lo JOIN gen_lista l ON l.id = lo.id_lista WHERE l.nombre = 'TipoPersona' AND upper(lo.nombre) = upper('"&amp;SUBSTITUTE(TRIM(H409),"'","''")&amp;"') AND lo.estado = 1 LIMIT 1)")&amp;", p_nombres =&gt; "&amp;IF(TRIM(E409&amp;"")="","NULL","'"&amp;SUBSTITUTE(TRIM(E409),"'","''")&amp;"'")&amp;", p_apellido_paterno =&gt; "&amp;IF(TRIM(F409&amp;"")="","NULL","'"&amp;SUBSTITUTE(TRIM(F409),"'","''")&amp;"'")&amp;", p_apellido_materno =&gt; "&amp;IF(TRIM(G409&amp;"")="","NULL","'"&amp;SUBSTITUTE(TRIM(G409),"'","''")&amp;"'")&amp;", p_id_tipo_documento =&gt; "&amp;IF(TRIM(B409&amp;"")="","NULL","(SELECT lo.id FROM gen_lista_opciones lo JOIN gen_lista l ON l.id = lo.id_lista WHERE l.nombre = 'TipoDocumento' AND upper(lo.nombre) = upper('"&amp;SUBSTITUTE(TRIM(B409),"'","''")&amp;"') AND lo.estado = 1 LIMIT 1)")&amp;", p_numero_documento =&gt; "&amp;IF(TRIM(C409&amp;"")="","NULL","'"&amp;SUBSTITUTE(TRIM(C409),"'","''")&amp;"'")&amp;", p_telefono =&gt; "&amp;IF(TRIM(L409&amp;"")="","NULL","'"&amp;SUBSTITUTE(TRIM(L409),"'","''")&amp;"'")&amp;", p_email =&gt; "&amp;IF(TRIM(M409&amp;"")="","NULL","'"&amp;SUBSTITUTE(TRIM(M409),"'","''")&amp;"'")&amp;", p_observacion =&gt; "&amp;IF(TRIM(O409&amp;"")="","NULL","'"&amp;SUBSTITUTE(TRIM(O409),"'","''")&amp;"'")&amp;", p_direccion =&gt; "&amp;IF(TRIM(J409&amp;"")="","NULL","'"&amp;SUBSTITUTE(TRIM(J409),"'","''")&amp;"'")&amp;", p_referencia =&gt; "&amp;IF(TRIM(K409&amp;"")="","NULL","'"&amp;SUBSTITUTE(TRIM(K409),"'","''")&amp;"'")&amp;") AS resultado_cliente_"&amp;364&amp;";")</f>
        <v/>
      </c>
    </row>
    <row r="410" ht="15.75" customHeight="1" s="64">
      <c r="A410" s="25">
        <f>IF(AND(D410="",E410="",C410=""),"",IF(AND(D410="",E410=""),"FALTA razón social o nombres",IF(AND(C410&lt;&gt;"",COUNTIF($C$5:$C$549,C410)&gt;1),"DOCUMENTO DUPLICADO",IF(AND(B410="DNI",C410&lt;&gt;"",LEN(C410)&lt;&gt;8),"DNI debe tener 8 dígitos",IF(AND(B410="RUC",C410&lt;&gt;"",LEN(C410)&lt;&gt;11),"RUC debe tener 11 dígitos",IF(AND(N410&lt;&gt;"",COUNTIF($N$5:$N$549,N410)&gt;1),"CÓDIGO INTERNO DUPLICADO","OK"))))))</f>
        <v/>
      </c>
      <c r="B410" s="17" t="n"/>
      <c r="C410" s="23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23" t="n"/>
      <c r="M410" s="17" t="n"/>
      <c r="N410" s="23" t="n"/>
      <c r="O410" s="17" t="n"/>
      <c r="P410" s="28">
        <f>IF(A410&lt;&gt;"OK","","SELECT cli_crear_clientes(p_codigo_interno =&gt; "&amp;IF(TRIM(N410&amp;"")="","NULL","'"&amp;SUBSTITUTE(TRIM(N410),"'","''")&amp;"'")&amp;", p_razon_social =&gt; "&amp;IF(TRIM(D410&amp;"")="","NULL","'"&amp;SUBSTITUTE(TRIM(D410),"'","''")&amp;"'")&amp;", p_id_tipo_cliente =&gt; "&amp;IF(TRIM(I410&amp;"")="","NULL","(SELECT lo.id FROM gen_lista_opciones lo JOIN gen_lista l ON l.id = lo.id_lista WHERE l.nombre = 'TipoCliente' AND upper(lo.nombre) = upper('"&amp;SUBSTITUTE(TRIM(I410),"'","''")&amp;"') AND lo.estado = 1 LIMIT 1)")&amp;", p_id_tipo_persona =&gt; "&amp;IF(TRIM(H410&amp;"")="","NULL","(SELECT lo.id FROM gen_lista_opciones lo JOIN gen_lista l ON l.id = lo.id_lista WHERE l.nombre = 'TipoPersona' AND upper(lo.nombre) = upper('"&amp;SUBSTITUTE(TRIM(H410),"'","''")&amp;"') AND lo.estado = 1 LIMIT 1)")&amp;", p_nombres =&gt; "&amp;IF(TRIM(E410&amp;"")="","NULL","'"&amp;SUBSTITUTE(TRIM(E410),"'","''")&amp;"'")&amp;", p_apellido_paterno =&gt; "&amp;IF(TRIM(F410&amp;"")="","NULL","'"&amp;SUBSTITUTE(TRIM(F410),"'","''")&amp;"'")&amp;", p_apellido_materno =&gt; "&amp;IF(TRIM(G410&amp;"")="","NULL","'"&amp;SUBSTITUTE(TRIM(G410),"'","''")&amp;"'")&amp;", p_id_tipo_documento =&gt; "&amp;IF(TRIM(B410&amp;"")="","NULL","(SELECT lo.id FROM gen_lista_opciones lo JOIN gen_lista l ON l.id = lo.id_lista WHERE l.nombre = 'TipoDocumento' AND upper(lo.nombre) = upper('"&amp;SUBSTITUTE(TRIM(B410),"'","''")&amp;"') AND lo.estado = 1 LIMIT 1)")&amp;", p_numero_documento =&gt; "&amp;IF(TRIM(C410&amp;"")="","NULL","'"&amp;SUBSTITUTE(TRIM(C410),"'","''")&amp;"'")&amp;", p_telefono =&gt; "&amp;IF(TRIM(L410&amp;"")="","NULL","'"&amp;SUBSTITUTE(TRIM(L410),"'","''")&amp;"'")&amp;", p_email =&gt; "&amp;IF(TRIM(M410&amp;"")="","NULL","'"&amp;SUBSTITUTE(TRIM(M410),"'","''")&amp;"'")&amp;", p_observacion =&gt; "&amp;IF(TRIM(O410&amp;"")="","NULL","'"&amp;SUBSTITUTE(TRIM(O410),"'","''")&amp;"'")&amp;", p_direccion =&gt; "&amp;IF(TRIM(J410&amp;"")="","NULL","'"&amp;SUBSTITUTE(TRIM(J410),"'","''")&amp;"'")&amp;", p_referencia =&gt; "&amp;IF(TRIM(K410&amp;"")="","NULL","'"&amp;SUBSTITUTE(TRIM(K410),"'","''")&amp;"'")&amp;") AS resultado_cliente_"&amp;365&amp;";")</f>
        <v/>
      </c>
    </row>
    <row r="411" ht="15.75" customHeight="1" s="64">
      <c r="A411" s="25">
        <f>IF(AND(D411="",E411="",C411=""),"",IF(AND(D411="",E411=""),"FALTA razón social o nombres",IF(AND(C411&lt;&gt;"",COUNTIF($C$5:$C$549,C411)&gt;1),"DOCUMENTO DUPLICADO",IF(AND(B411="DNI",C411&lt;&gt;"",LEN(C411)&lt;&gt;8),"DNI debe tener 8 dígitos",IF(AND(B411="RUC",C411&lt;&gt;"",LEN(C411)&lt;&gt;11),"RUC debe tener 11 dígitos",IF(AND(N411&lt;&gt;"",COUNTIF($N$5:$N$549,N411)&gt;1),"CÓDIGO INTERNO DUPLICADO","OK"))))))</f>
        <v/>
      </c>
      <c r="B411" s="17" t="n"/>
      <c r="C411" s="23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23" t="n"/>
      <c r="M411" s="17" t="n"/>
      <c r="N411" s="23" t="n"/>
      <c r="O411" s="17" t="n"/>
      <c r="P411" s="28">
        <f>IF(A411&lt;&gt;"OK","","SELECT cli_crear_clientes(p_codigo_interno =&gt; "&amp;IF(TRIM(N411&amp;"")="","NULL","'"&amp;SUBSTITUTE(TRIM(N411),"'","''")&amp;"'")&amp;", p_razon_social =&gt; "&amp;IF(TRIM(D411&amp;"")="","NULL","'"&amp;SUBSTITUTE(TRIM(D411),"'","''")&amp;"'")&amp;", p_id_tipo_cliente =&gt; "&amp;IF(TRIM(I411&amp;"")="","NULL","(SELECT lo.id FROM gen_lista_opciones lo JOIN gen_lista l ON l.id = lo.id_lista WHERE l.nombre = 'TipoCliente' AND upper(lo.nombre) = upper('"&amp;SUBSTITUTE(TRIM(I411),"'","''")&amp;"') AND lo.estado = 1 LIMIT 1)")&amp;", p_id_tipo_persona =&gt; "&amp;IF(TRIM(H411&amp;"")="","NULL","(SELECT lo.id FROM gen_lista_opciones lo JOIN gen_lista l ON l.id = lo.id_lista WHERE l.nombre = 'TipoPersona' AND upper(lo.nombre) = upper('"&amp;SUBSTITUTE(TRIM(H411),"'","''")&amp;"') AND lo.estado = 1 LIMIT 1)")&amp;", p_nombres =&gt; "&amp;IF(TRIM(E411&amp;"")="","NULL","'"&amp;SUBSTITUTE(TRIM(E411),"'","''")&amp;"'")&amp;", p_apellido_paterno =&gt; "&amp;IF(TRIM(F411&amp;"")="","NULL","'"&amp;SUBSTITUTE(TRIM(F411),"'","''")&amp;"'")&amp;", p_apellido_materno =&gt; "&amp;IF(TRIM(G411&amp;"")="","NULL","'"&amp;SUBSTITUTE(TRIM(G411),"'","''")&amp;"'")&amp;", p_id_tipo_documento =&gt; "&amp;IF(TRIM(B411&amp;"")="","NULL","(SELECT lo.id FROM gen_lista_opciones lo JOIN gen_lista l ON l.id = lo.id_lista WHERE l.nombre = 'TipoDocumento' AND upper(lo.nombre) = upper('"&amp;SUBSTITUTE(TRIM(B411),"'","''")&amp;"') AND lo.estado = 1 LIMIT 1)")&amp;", p_numero_documento =&gt; "&amp;IF(TRIM(C411&amp;"")="","NULL","'"&amp;SUBSTITUTE(TRIM(C411),"'","''")&amp;"'")&amp;", p_telefono =&gt; "&amp;IF(TRIM(L411&amp;"")="","NULL","'"&amp;SUBSTITUTE(TRIM(L411),"'","''")&amp;"'")&amp;", p_email =&gt; "&amp;IF(TRIM(M411&amp;"")="","NULL","'"&amp;SUBSTITUTE(TRIM(M411),"'","''")&amp;"'")&amp;", p_observacion =&gt; "&amp;IF(TRIM(O411&amp;"")="","NULL","'"&amp;SUBSTITUTE(TRIM(O411),"'","''")&amp;"'")&amp;", p_direccion =&gt; "&amp;IF(TRIM(J411&amp;"")="","NULL","'"&amp;SUBSTITUTE(TRIM(J411),"'","''")&amp;"'")&amp;", p_referencia =&gt; "&amp;IF(TRIM(K411&amp;"")="","NULL","'"&amp;SUBSTITUTE(TRIM(K411),"'","''")&amp;"'")&amp;") AS resultado_cliente_"&amp;366&amp;";")</f>
        <v/>
      </c>
    </row>
    <row r="412" ht="15.75" customHeight="1" s="64">
      <c r="A412" s="25">
        <f>IF(AND(D412="",E412="",C412=""),"",IF(AND(D412="",E412=""),"FALTA razón social o nombres",IF(AND(C412&lt;&gt;"",COUNTIF($C$5:$C$549,C412)&gt;1),"DOCUMENTO DUPLICADO",IF(AND(B412="DNI",C412&lt;&gt;"",LEN(C412)&lt;&gt;8),"DNI debe tener 8 dígitos",IF(AND(B412="RUC",C412&lt;&gt;"",LEN(C412)&lt;&gt;11),"RUC debe tener 11 dígitos",IF(AND(N412&lt;&gt;"",COUNTIF($N$5:$N$549,N412)&gt;1),"CÓDIGO INTERNO DUPLICADO","OK"))))))</f>
        <v/>
      </c>
      <c r="B412" s="17" t="n"/>
      <c r="C412" s="23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23" t="n"/>
      <c r="M412" s="17" t="n"/>
      <c r="N412" s="23" t="n"/>
      <c r="O412" s="17" t="n"/>
      <c r="P412" s="28">
        <f>IF(A412&lt;&gt;"OK","","SELECT cli_crear_clientes(p_codigo_interno =&gt; "&amp;IF(TRIM(N412&amp;"")="","NULL","'"&amp;SUBSTITUTE(TRIM(N412),"'","''")&amp;"'")&amp;", p_razon_social =&gt; "&amp;IF(TRIM(D412&amp;"")="","NULL","'"&amp;SUBSTITUTE(TRIM(D412),"'","''")&amp;"'")&amp;", p_id_tipo_cliente =&gt; "&amp;IF(TRIM(I412&amp;"")="","NULL","(SELECT lo.id FROM gen_lista_opciones lo JOIN gen_lista l ON l.id = lo.id_lista WHERE l.nombre = 'TipoCliente' AND upper(lo.nombre) = upper('"&amp;SUBSTITUTE(TRIM(I412),"'","''")&amp;"') AND lo.estado = 1 LIMIT 1)")&amp;", p_id_tipo_persona =&gt; "&amp;IF(TRIM(H412&amp;"")="","NULL","(SELECT lo.id FROM gen_lista_opciones lo JOIN gen_lista l ON l.id = lo.id_lista WHERE l.nombre = 'TipoPersona' AND upper(lo.nombre) = upper('"&amp;SUBSTITUTE(TRIM(H412),"'","''")&amp;"') AND lo.estado = 1 LIMIT 1)")&amp;", p_nombres =&gt; "&amp;IF(TRIM(E412&amp;"")="","NULL","'"&amp;SUBSTITUTE(TRIM(E412),"'","''")&amp;"'")&amp;", p_apellido_paterno =&gt; "&amp;IF(TRIM(F412&amp;"")="","NULL","'"&amp;SUBSTITUTE(TRIM(F412),"'","''")&amp;"'")&amp;", p_apellido_materno =&gt; "&amp;IF(TRIM(G412&amp;"")="","NULL","'"&amp;SUBSTITUTE(TRIM(G412),"'","''")&amp;"'")&amp;", p_id_tipo_documento =&gt; "&amp;IF(TRIM(B412&amp;"")="","NULL","(SELECT lo.id FROM gen_lista_opciones lo JOIN gen_lista l ON l.id = lo.id_lista WHERE l.nombre = 'TipoDocumento' AND upper(lo.nombre) = upper('"&amp;SUBSTITUTE(TRIM(B412),"'","''")&amp;"') AND lo.estado = 1 LIMIT 1)")&amp;", p_numero_documento =&gt; "&amp;IF(TRIM(C412&amp;"")="","NULL","'"&amp;SUBSTITUTE(TRIM(C412),"'","''")&amp;"'")&amp;", p_telefono =&gt; "&amp;IF(TRIM(L412&amp;"")="","NULL","'"&amp;SUBSTITUTE(TRIM(L412),"'","''")&amp;"'")&amp;", p_email =&gt; "&amp;IF(TRIM(M412&amp;"")="","NULL","'"&amp;SUBSTITUTE(TRIM(M412),"'","''")&amp;"'")&amp;", p_observacion =&gt; "&amp;IF(TRIM(O412&amp;"")="","NULL","'"&amp;SUBSTITUTE(TRIM(O412),"'","''")&amp;"'")&amp;", p_direccion =&gt; "&amp;IF(TRIM(J412&amp;"")="","NULL","'"&amp;SUBSTITUTE(TRIM(J412),"'","''")&amp;"'")&amp;", p_referencia =&gt; "&amp;IF(TRIM(K412&amp;"")="","NULL","'"&amp;SUBSTITUTE(TRIM(K412),"'","''")&amp;"'")&amp;") AS resultado_cliente_"&amp;367&amp;";")</f>
        <v/>
      </c>
    </row>
    <row r="413" ht="15.75" customHeight="1" s="64">
      <c r="A413" s="25">
        <f>IF(AND(D413="",E413="",C413=""),"",IF(AND(D413="",E413=""),"FALTA razón social o nombres",IF(AND(C413&lt;&gt;"",COUNTIF($C$5:$C$549,C413)&gt;1),"DOCUMENTO DUPLICADO",IF(AND(B413="DNI",C413&lt;&gt;"",LEN(C413)&lt;&gt;8),"DNI debe tener 8 dígitos",IF(AND(B413="RUC",C413&lt;&gt;"",LEN(C413)&lt;&gt;11),"RUC debe tener 11 dígitos",IF(AND(N413&lt;&gt;"",COUNTIF($N$5:$N$549,N413)&gt;1),"CÓDIGO INTERNO DUPLICADO","OK"))))))</f>
        <v/>
      </c>
      <c r="B413" s="17" t="n"/>
      <c r="C413" s="23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23" t="n"/>
      <c r="M413" s="17" t="n"/>
      <c r="N413" s="23" t="n"/>
      <c r="O413" s="17" t="n"/>
      <c r="P413" s="28">
        <f>IF(A413&lt;&gt;"OK","","SELECT cli_crear_clientes(p_codigo_interno =&gt; "&amp;IF(TRIM(N413&amp;"")="","NULL","'"&amp;SUBSTITUTE(TRIM(N413),"'","''")&amp;"'")&amp;", p_razon_social =&gt; "&amp;IF(TRIM(D413&amp;"")="","NULL","'"&amp;SUBSTITUTE(TRIM(D413),"'","''")&amp;"'")&amp;", p_id_tipo_cliente =&gt; "&amp;IF(TRIM(I413&amp;"")="","NULL","(SELECT lo.id FROM gen_lista_opciones lo JOIN gen_lista l ON l.id = lo.id_lista WHERE l.nombre = 'TipoCliente' AND upper(lo.nombre) = upper('"&amp;SUBSTITUTE(TRIM(I413),"'","''")&amp;"') AND lo.estado = 1 LIMIT 1)")&amp;", p_id_tipo_persona =&gt; "&amp;IF(TRIM(H413&amp;"")="","NULL","(SELECT lo.id FROM gen_lista_opciones lo JOIN gen_lista l ON l.id = lo.id_lista WHERE l.nombre = 'TipoPersona' AND upper(lo.nombre) = upper('"&amp;SUBSTITUTE(TRIM(H413),"'","''")&amp;"') AND lo.estado = 1 LIMIT 1)")&amp;", p_nombres =&gt; "&amp;IF(TRIM(E413&amp;"")="","NULL","'"&amp;SUBSTITUTE(TRIM(E413),"'","''")&amp;"'")&amp;", p_apellido_paterno =&gt; "&amp;IF(TRIM(F413&amp;"")="","NULL","'"&amp;SUBSTITUTE(TRIM(F413),"'","''")&amp;"'")&amp;", p_apellido_materno =&gt; "&amp;IF(TRIM(G413&amp;"")="","NULL","'"&amp;SUBSTITUTE(TRIM(G413),"'","''")&amp;"'")&amp;", p_id_tipo_documento =&gt; "&amp;IF(TRIM(B413&amp;"")="","NULL","(SELECT lo.id FROM gen_lista_opciones lo JOIN gen_lista l ON l.id = lo.id_lista WHERE l.nombre = 'TipoDocumento' AND upper(lo.nombre) = upper('"&amp;SUBSTITUTE(TRIM(B413),"'","''")&amp;"') AND lo.estado = 1 LIMIT 1)")&amp;", p_numero_documento =&gt; "&amp;IF(TRIM(C413&amp;"")="","NULL","'"&amp;SUBSTITUTE(TRIM(C413),"'","''")&amp;"'")&amp;", p_telefono =&gt; "&amp;IF(TRIM(L413&amp;"")="","NULL","'"&amp;SUBSTITUTE(TRIM(L413),"'","''")&amp;"'")&amp;", p_email =&gt; "&amp;IF(TRIM(M413&amp;"")="","NULL","'"&amp;SUBSTITUTE(TRIM(M413),"'","''")&amp;"'")&amp;", p_observacion =&gt; "&amp;IF(TRIM(O413&amp;"")="","NULL","'"&amp;SUBSTITUTE(TRIM(O413),"'","''")&amp;"'")&amp;", p_direccion =&gt; "&amp;IF(TRIM(J413&amp;"")="","NULL","'"&amp;SUBSTITUTE(TRIM(J413),"'","''")&amp;"'")&amp;", p_referencia =&gt; "&amp;IF(TRIM(K413&amp;"")="","NULL","'"&amp;SUBSTITUTE(TRIM(K413),"'","''")&amp;"'")&amp;") AS resultado_cliente_"&amp;368&amp;";")</f>
        <v/>
      </c>
    </row>
    <row r="414" ht="15.75" customHeight="1" s="64">
      <c r="A414" s="25">
        <f>IF(AND(D414="",E414="",C414=""),"",IF(AND(D414="",E414=""),"FALTA razón social o nombres",IF(AND(C414&lt;&gt;"",COUNTIF($C$5:$C$549,C414)&gt;1),"DOCUMENTO DUPLICADO",IF(AND(B414="DNI",C414&lt;&gt;"",LEN(C414)&lt;&gt;8),"DNI debe tener 8 dígitos",IF(AND(B414="RUC",C414&lt;&gt;"",LEN(C414)&lt;&gt;11),"RUC debe tener 11 dígitos",IF(AND(N414&lt;&gt;"",COUNTIF($N$5:$N$549,N414)&gt;1),"CÓDIGO INTERNO DUPLICADO","OK"))))))</f>
        <v/>
      </c>
      <c r="B414" s="17" t="n"/>
      <c r="C414" s="23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23" t="n"/>
      <c r="M414" s="17" t="n"/>
      <c r="N414" s="23" t="n"/>
      <c r="O414" s="17" t="n"/>
      <c r="P414" s="28">
        <f>IF(A414&lt;&gt;"OK","","SELECT cli_crear_clientes(p_codigo_interno =&gt; "&amp;IF(TRIM(N414&amp;"")="","NULL","'"&amp;SUBSTITUTE(TRIM(N414),"'","''")&amp;"'")&amp;", p_razon_social =&gt; "&amp;IF(TRIM(D414&amp;"")="","NULL","'"&amp;SUBSTITUTE(TRIM(D414),"'","''")&amp;"'")&amp;", p_id_tipo_cliente =&gt; "&amp;IF(TRIM(I414&amp;"")="","NULL","(SELECT lo.id FROM gen_lista_opciones lo JOIN gen_lista l ON l.id = lo.id_lista WHERE l.nombre = 'TipoCliente' AND upper(lo.nombre) = upper('"&amp;SUBSTITUTE(TRIM(I414),"'","''")&amp;"') AND lo.estado = 1 LIMIT 1)")&amp;", p_id_tipo_persona =&gt; "&amp;IF(TRIM(H414&amp;"")="","NULL","(SELECT lo.id FROM gen_lista_opciones lo JOIN gen_lista l ON l.id = lo.id_lista WHERE l.nombre = 'TipoPersona' AND upper(lo.nombre) = upper('"&amp;SUBSTITUTE(TRIM(H414),"'","''")&amp;"') AND lo.estado = 1 LIMIT 1)")&amp;", p_nombres =&gt; "&amp;IF(TRIM(E414&amp;"")="","NULL","'"&amp;SUBSTITUTE(TRIM(E414),"'","''")&amp;"'")&amp;", p_apellido_paterno =&gt; "&amp;IF(TRIM(F414&amp;"")="","NULL","'"&amp;SUBSTITUTE(TRIM(F414),"'","''")&amp;"'")&amp;", p_apellido_materno =&gt; "&amp;IF(TRIM(G414&amp;"")="","NULL","'"&amp;SUBSTITUTE(TRIM(G414),"'","''")&amp;"'")&amp;", p_id_tipo_documento =&gt; "&amp;IF(TRIM(B414&amp;"")="","NULL","(SELECT lo.id FROM gen_lista_opciones lo JOIN gen_lista l ON l.id = lo.id_lista WHERE l.nombre = 'TipoDocumento' AND upper(lo.nombre) = upper('"&amp;SUBSTITUTE(TRIM(B414),"'","''")&amp;"') AND lo.estado = 1 LIMIT 1)")&amp;", p_numero_documento =&gt; "&amp;IF(TRIM(C414&amp;"")="","NULL","'"&amp;SUBSTITUTE(TRIM(C414),"'","''")&amp;"'")&amp;", p_telefono =&gt; "&amp;IF(TRIM(L414&amp;"")="","NULL","'"&amp;SUBSTITUTE(TRIM(L414),"'","''")&amp;"'")&amp;", p_email =&gt; "&amp;IF(TRIM(M414&amp;"")="","NULL","'"&amp;SUBSTITUTE(TRIM(M414),"'","''")&amp;"'")&amp;", p_observacion =&gt; "&amp;IF(TRIM(O414&amp;"")="","NULL","'"&amp;SUBSTITUTE(TRIM(O414),"'","''")&amp;"'")&amp;", p_direccion =&gt; "&amp;IF(TRIM(J414&amp;"")="","NULL","'"&amp;SUBSTITUTE(TRIM(J414),"'","''")&amp;"'")&amp;", p_referencia =&gt; "&amp;IF(TRIM(K414&amp;"")="","NULL","'"&amp;SUBSTITUTE(TRIM(K414),"'","''")&amp;"'")&amp;") AS resultado_cliente_"&amp;369&amp;";")</f>
        <v/>
      </c>
    </row>
    <row r="415" ht="15.75" customHeight="1" s="64">
      <c r="A415" s="25">
        <f>IF(AND(D415="",E415="",C415=""),"",IF(AND(D415="",E415=""),"FALTA razón social o nombres",IF(AND(C415&lt;&gt;"",COUNTIF($C$5:$C$549,C415)&gt;1),"DOCUMENTO DUPLICADO",IF(AND(B415="DNI",C415&lt;&gt;"",LEN(C415)&lt;&gt;8),"DNI debe tener 8 dígitos",IF(AND(B415="RUC",C415&lt;&gt;"",LEN(C415)&lt;&gt;11),"RUC debe tener 11 dígitos",IF(AND(N415&lt;&gt;"",COUNTIF($N$5:$N$549,N415)&gt;1),"CÓDIGO INTERNO DUPLICADO","OK"))))))</f>
        <v/>
      </c>
      <c r="B415" s="17" t="n"/>
      <c r="C415" s="23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23" t="n"/>
      <c r="M415" s="17" t="n"/>
      <c r="N415" s="23" t="n"/>
      <c r="O415" s="17" t="n"/>
      <c r="P415" s="28">
        <f>IF(A415&lt;&gt;"OK","","SELECT cli_crear_clientes(p_codigo_interno =&gt; "&amp;IF(TRIM(N415&amp;"")="","NULL","'"&amp;SUBSTITUTE(TRIM(N415),"'","''")&amp;"'")&amp;", p_razon_social =&gt; "&amp;IF(TRIM(D415&amp;"")="","NULL","'"&amp;SUBSTITUTE(TRIM(D415),"'","''")&amp;"'")&amp;", p_id_tipo_cliente =&gt; "&amp;IF(TRIM(I415&amp;"")="","NULL","(SELECT lo.id FROM gen_lista_opciones lo JOIN gen_lista l ON l.id = lo.id_lista WHERE l.nombre = 'TipoCliente' AND upper(lo.nombre) = upper('"&amp;SUBSTITUTE(TRIM(I415),"'","''")&amp;"') AND lo.estado = 1 LIMIT 1)")&amp;", p_id_tipo_persona =&gt; "&amp;IF(TRIM(H415&amp;"")="","NULL","(SELECT lo.id FROM gen_lista_opciones lo JOIN gen_lista l ON l.id = lo.id_lista WHERE l.nombre = 'TipoPersona' AND upper(lo.nombre) = upper('"&amp;SUBSTITUTE(TRIM(H415),"'","''")&amp;"') AND lo.estado = 1 LIMIT 1)")&amp;", p_nombres =&gt; "&amp;IF(TRIM(E415&amp;"")="","NULL","'"&amp;SUBSTITUTE(TRIM(E415),"'","''")&amp;"'")&amp;", p_apellido_paterno =&gt; "&amp;IF(TRIM(F415&amp;"")="","NULL","'"&amp;SUBSTITUTE(TRIM(F415),"'","''")&amp;"'")&amp;", p_apellido_materno =&gt; "&amp;IF(TRIM(G415&amp;"")="","NULL","'"&amp;SUBSTITUTE(TRIM(G415),"'","''")&amp;"'")&amp;", p_id_tipo_documento =&gt; "&amp;IF(TRIM(B415&amp;"")="","NULL","(SELECT lo.id FROM gen_lista_opciones lo JOIN gen_lista l ON l.id = lo.id_lista WHERE l.nombre = 'TipoDocumento' AND upper(lo.nombre) = upper('"&amp;SUBSTITUTE(TRIM(B415),"'","''")&amp;"') AND lo.estado = 1 LIMIT 1)")&amp;", p_numero_documento =&gt; "&amp;IF(TRIM(C415&amp;"")="","NULL","'"&amp;SUBSTITUTE(TRIM(C415),"'","''")&amp;"'")&amp;", p_telefono =&gt; "&amp;IF(TRIM(L415&amp;"")="","NULL","'"&amp;SUBSTITUTE(TRIM(L415),"'","''")&amp;"'")&amp;", p_email =&gt; "&amp;IF(TRIM(M415&amp;"")="","NULL","'"&amp;SUBSTITUTE(TRIM(M415),"'","''")&amp;"'")&amp;", p_observacion =&gt; "&amp;IF(TRIM(O415&amp;"")="","NULL","'"&amp;SUBSTITUTE(TRIM(O415),"'","''")&amp;"'")&amp;", p_direccion =&gt; "&amp;IF(TRIM(J415&amp;"")="","NULL","'"&amp;SUBSTITUTE(TRIM(J415),"'","''")&amp;"'")&amp;", p_referencia =&gt; "&amp;IF(TRIM(K415&amp;"")="","NULL","'"&amp;SUBSTITUTE(TRIM(K415),"'","''")&amp;"'")&amp;") AS resultado_cliente_"&amp;370&amp;";")</f>
        <v/>
      </c>
    </row>
    <row r="416" ht="15.75" customHeight="1" s="64">
      <c r="A416" s="25">
        <f>IF(AND(D416="",E416="",C416=""),"",IF(AND(D416="",E416=""),"FALTA razón social o nombres",IF(AND(C416&lt;&gt;"",COUNTIF($C$5:$C$549,C416)&gt;1),"DOCUMENTO DUPLICADO",IF(AND(B416="DNI",C416&lt;&gt;"",LEN(C416)&lt;&gt;8),"DNI debe tener 8 dígitos",IF(AND(B416="RUC",C416&lt;&gt;"",LEN(C416)&lt;&gt;11),"RUC debe tener 11 dígitos",IF(AND(N416&lt;&gt;"",COUNTIF($N$5:$N$549,N416)&gt;1),"CÓDIGO INTERNO DUPLICADO","OK"))))))</f>
        <v/>
      </c>
      <c r="B416" s="17" t="n"/>
      <c r="C416" s="23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23" t="n"/>
      <c r="M416" s="17" t="n"/>
      <c r="N416" s="23" t="n"/>
      <c r="O416" s="17" t="n"/>
      <c r="P416" s="28">
        <f>IF(A416&lt;&gt;"OK","","SELECT cli_crear_clientes(p_codigo_interno =&gt; "&amp;IF(TRIM(N416&amp;"")="","NULL","'"&amp;SUBSTITUTE(TRIM(N416),"'","''")&amp;"'")&amp;", p_razon_social =&gt; "&amp;IF(TRIM(D416&amp;"")="","NULL","'"&amp;SUBSTITUTE(TRIM(D416),"'","''")&amp;"'")&amp;", p_id_tipo_cliente =&gt; "&amp;IF(TRIM(I416&amp;"")="","NULL","(SELECT lo.id FROM gen_lista_opciones lo JOIN gen_lista l ON l.id = lo.id_lista WHERE l.nombre = 'TipoCliente' AND upper(lo.nombre) = upper('"&amp;SUBSTITUTE(TRIM(I416),"'","''")&amp;"') AND lo.estado = 1 LIMIT 1)")&amp;", p_id_tipo_persona =&gt; "&amp;IF(TRIM(H416&amp;"")="","NULL","(SELECT lo.id FROM gen_lista_opciones lo JOIN gen_lista l ON l.id = lo.id_lista WHERE l.nombre = 'TipoPersona' AND upper(lo.nombre) = upper('"&amp;SUBSTITUTE(TRIM(H416),"'","''")&amp;"') AND lo.estado = 1 LIMIT 1)")&amp;", p_nombres =&gt; "&amp;IF(TRIM(E416&amp;"")="","NULL","'"&amp;SUBSTITUTE(TRIM(E416),"'","''")&amp;"'")&amp;", p_apellido_paterno =&gt; "&amp;IF(TRIM(F416&amp;"")="","NULL","'"&amp;SUBSTITUTE(TRIM(F416),"'","''")&amp;"'")&amp;", p_apellido_materno =&gt; "&amp;IF(TRIM(G416&amp;"")="","NULL","'"&amp;SUBSTITUTE(TRIM(G416),"'","''")&amp;"'")&amp;", p_id_tipo_documento =&gt; "&amp;IF(TRIM(B416&amp;"")="","NULL","(SELECT lo.id FROM gen_lista_opciones lo JOIN gen_lista l ON l.id = lo.id_lista WHERE l.nombre = 'TipoDocumento' AND upper(lo.nombre) = upper('"&amp;SUBSTITUTE(TRIM(B416),"'","''")&amp;"') AND lo.estado = 1 LIMIT 1)")&amp;", p_numero_documento =&gt; "&amp;IF(TRIM(C416&amp;"")="","NULL","'"&amp;SUBSTITUTE(TRIM(C416),"'","''")&amp;"'")&amp;", p_telefono =&gt; "&amp;IF(TRIM(L416&amp;"")="","NULL","'"&amp;SUBSTITUTE(TRIM(L416),"'","''")&amp;"'")&amp;", p_email =&gt; "&amp;IF(TRIM(M416&amp;"")="","NULL","'"&amp;SUBSTITUTE(TRIM(M416),"'","''")&amp;"'")&amp;", p_observacion =&gt; "&amp;IF(TRIM(O416&amp;"")="","NULL","'"&amp;SUBSTITUTE(TRIM(O416),"'","''")&amp;"'")&amp;", p_direccion =&gt; "&amp;IF(TRIM(J416&amp;"")="","NULL","'"&amp;SUBSTITUTE(TRIM(J416),"'","''")&amp;"'")&amp;", p_referencia =&gt; "&amp;IF(TRIM(K416&amp;"")="","NULL","'"&amp;SUBSTITUTE(TRIM(K416),"'","''")&amp;"'")&amp;") AS resultado_cliente_"&amp;371&amp;";")</f>
        <v/>
      </c>
    </row>
    <row r="417" ht="15.75" customHeight="1" s="64">
      <c r="A417" s="25">
        <f>IF(AND(D417="",E417="",C417=""),"",IF(AND(D417="",E417=""),"FALTA razón social o nombres",IF(AND(C417&lt;&gt;"",COUNTIF($C$5:$C$549,C417)&gt;1),"DOCUMENTO DUPLICADO",IF(AND(B417="DNI",C417&lt;&gt;"",LEN(C417)&lt;&gt;8),"DNI debe tener 8 dígitos",IF(AND(B417="RUC",C417&lt;&gt;"",LEN(C417)&lt;&gt;11),"RUC debe tener 11 dígitos",IF(AND(N417&lt;&gt;"",COUNTIF($N$5:$N$549,N417)&gt;1),"CÓDIGO INTERNO DUPLICADO","OK"))))))</f>
        <v/>
      </c>
      <c r="B417" s="17" t="n"/>
      <c r="C417" s="23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23" t="n"/>
      <c r="M417" s="17" t="n"/>
      <c r="N417" s="23" t="n"/>
      <c r="O417" s="17" t="n"/>
      <c r="P417" s="28">
        <f>IF(A417&lt;&gt;"OK","","SELECT cli_crear_clientes(p_codigo_interno =&gt; "&amp;IF(TRIM(N417&amp;"")="","NULL","'"&amp;SUBSTITUTE(TRIM(N417),"'","''")&amp;"'")&amp;", p_razon_social =&gt; "&amp;IF(TRIM(D417&amp;"")="","NULL","'"&amp;SUBSTITUTE(TRIM(D417),"'","''")&amp;"'")&amp;", p_id_tipo_cliente =&gt; "&amp;IF(TRIM(I417&amp;"")="","NULL","(SELECT lo.id FROM gen_lista_opciones lo JOIN gen_lista l ON l.id = lo.id_lista WHERE l.nombre = 'TipoCliente' AND upper(lo.nombre) = upper('"&amp;SUBSTITUTE(TRIM(I417),"'","''")&amp;"') AND lo.estado = 1 LIMIT 1)")&amp;", p_id_tipo_persona =&gt; "&amp;IF(TRIM(H417&amp;"")="","NULL","(SELECT lo.id FROM gen_lista_opciones lo JOIN gen_lista l ON l.id = lo.id_lista WHERE l.nombre = 'TipoPersona' AND upper(lo.nombre) = upper('"&amp;SUBSTITUTE(TRIM(H417),"'","''")&amp;"') AND lo.estado = 1 LIMIT 1)")&amp;", p_nombres =&gt; "&amp;IF(TRIM(E417&amp;"")="","NULL","'"&amp;SUBSTITUTE(TRIM(E417),"'","''")&amp;"'")&amp;", p_apellido_paterno =&gt; "&amp;IF(TRIM(F417&amp;"")="","NULL","'"&amp;SUBSTITUTE(TRIM(F417),"'","''")&amp;"'")&amp;", p_apellido_materno =&gt; "&amp;IF(TRIM(G417&amp;"")="","NULL","'"&amp;SUBSTITUTE(TRIM(G417),"'","''")&amp;"'")&amp;", p_id_tipo_documento =&gt; "&amp;IF(TRIM(B417&amp;"")="","NULL","(SELECT lo.id FROM gen_lista_opciones lo JOIN gen_lista l ON l.id = lo.id_lista WHERE l.nombre = 'TipoDocumento' AND upper(lo.nombre) = upper('"&amp;SUBSTITUTE(TRIM(B417),"'","''")&amp;"') AND lo.estado = 1 LIMIT 1)")&amp;", p_numero_documento =&gt; "&amp;IF(TRIM(C417&amp;"")="","NULL","'"&amp;SUBSTITUTE(TRIM(C417),"'","''")&amp;"'")&amp;", p_telefono =&gt; "&amp;IF(TRIM(L417&amp;"")="","NULL","'"&amp;SUBSTITUTE(TRIM(L417),"'","''")&amp;"'")&amp;", p_email =&gt; "&amp;IF(TRIM(M417&amp;"")="","NULL","'"&amp;SUBSTITUTE(TRIM(M417),"'","''")&amp;"'")&amp;", p_observacion =&gt; "&amp;IF(TRIM(O417&amp;"")="","NULL","'"&amp;SUBSTITUTE(TRIM(O417),"'","''")&amp;"'")&amp;", p_direccion =&gt; "&amp;IF(TRIM(J417&amp;"")="","NULL","'"&amp;SUBSTITUTE(TRIM(J417),"'","''")&amp;"'")&amp;", p_referencia =&gt; "&amp;IF(TRIM(K417&amp;"")="","NULL","'"&amp;SUBSTITUTE(TRIM(K417),"'","''")&amp;"'")&amp;") AS resultado_cliente_"&amp;372&amp;";")</f>
        <v/>
      </c>
    </row>
    <row r="418" ht="15.75" customHeight="1" s="64">
      <c r="A418" s="25">
        <f>IF(AND(D418="",E418="",C418=""),"",IF(AND(D418="",E418=""),"FALTA razón social o nombres",IF(AND(C418&lt;&gt;"",COUNTIF($C$5:$C$549,C418)&gt;1),"DOCUMENTO DUPLICADO",IF(AND(B418="DNI",C418&lt;&gt;"",LEN(C418)&lt;&gt;8),"DNI debe tener 8 dígitos",IF(AND(B418="RUC",C418&lt;&gt;"",LEN(C418)&lt;&gt;11),"RUC debe tener 11 dígitos",IF(AND(N418&lt;&gt;"",COUNTIF($N$5:$N$549,N418)&gt;1),"CÓDIGO INTERNO DUPLICADO","OK"))))))</f>
        <v/>
      </c>
      <c r="B418" s="17" t="n"/>
      <c r="C418" s="23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23" t="n"/>
      <c r="M418" s="17" t="n"/>
      <c r="N418" s="23" t="n"/>
      <c r="O418" s="17" t="n"/>
      <c r="P418" s="28">
        <f>IF(A418&lt;&gt;"OK","","SELECT cli_crear_clientes(p_codigo_interno =&gt; "&amp;IF(TRIM(N418&amp;"")="","NULL","'"&amp;SUBSTITUTE(TRIM(N418),"'","''")&amp;"'")&amp;", p_razon_social =&gt; "&amp;IF(TRIM(D418&amp;"")="","NULL","'"&amp;SUBSTITUTE(TRIM(D418),"'","''")&amp;"'")&amp;", p_id_tipo_cliente =&gt; "&amp;IF(TRIM(I418&amp;"")="","NULL","(SELECT lo.id FROM gen_lista_opciones lo JOIN gen_lista l ON l.id = lo.id_lista WHERE l.nombre = 'TipoCliente' AND upper(lo.nombre) = upper('"&amp;SUBSTITUTE(TRIM(I418),"'","''")&amp;"') AND lo.estado = 1 LIMIT 1)")&amp;", p_id_tipo_persona =&gt; "&amp;IF(TRIM(H418&amp;"")="","NULL","(SELECT lo.id FROM gen_lista_opciones lo JOIN gen_lista l ON l.id = lo.id_lista WHERE l.nombre = 'TipoPersona' AND upper(lo.nombre) = upper('"&amp;SUBSTITUTE(TRIM(H418),"'","''")&amp;"') AND lo.estado = 1 LIMIT 1)")&amp;", p_nombres =&gt; "&amp;IF(TRIM(E418&amp;"")="","NULL","'"&amp;SUBSTITUTE(TRIM(E418),"'","''")&amp;"'")&amp;", p_apellido_paterno =&gt; "&amp;IF(TRIM(F418&amp;"")="","NULL","'"&amp;SUBSTITUTE(TRIM(F418),"'","''")&amp;"'")&amp;", p_apellido_materno =&gt; "&amp;IF(TRIM(G418&amp;"")="","NULL","'"&amp;SUBSTITUTE(TRIM(G418),"'","''")&amp;"'")&amp;", p_id_tipo_documento =&gt; "&amp;IF(TRIM(B418&amp;"")="","NULL","(SELECT lo.id FROM gen_lista_opciones lo JOIN gen_lista l ON l.id = lo.id_lista WHERE l.nombre = 'TipoDocumento' AND upper(lo.nombre) = upper('"&amp;SUBSTITUTE(TRIM(B418),"'","''")&amp;"') AND lo.estado = 1 LIMIT 1)")&amp;", p_numero_documento =&gt; "&amp;IF(TRIM(C418&amp;"")="","NULL","'"&amp;SUBSTITUTE(TRIM(C418),"'","''")&amp;"'")&amp;", p_telefono =&gt; "&amp;IF(TRIM(L418&amp;"")="","NULL","'"&amp;SUBSTITUTE(TRIM(L418),"'","''")&amp;"'")&amp;", p_email =&gt; "&amp;IF(TRIM(M418&amp;"")="","NULL","'"&amp;SUBSTITUTE(TRIM(M418),"'","''")&amp;"'")&amp;", p_observacion =&gt; "&amp;IF(TRIM(O418&amp;"")="","NULL","'"&amp;SUBSTITUTE(TRIM(O418),"'","''")&amp;"'")&amp;", p_direccion =&gt; "&amp;IF(TRIM(J418&amp;"")="","NULL","'"&amp;SUBSTITUTE(TRIM(J418),"'","''")&amp;"'")&amp;", p_referencia =&gt; "&amp;IF(TRIM(K418&amp;"")="","NULL","'"&amp;SUBSTITUTE(TRIM(K418),"'","''")&amp;"'")&amp;") AS resultado_cliente_"&amp;373&amp;";")</f>
        <v/>
      </c>
    </row>
    <row r="419" ht="15.75" customHeight="1" s="64">
      <c r="A419" s="25">
        <f>IF(AND(D419="",E419="",C419=""),"",IF(AND(D419="",E419=""),"FALTA razón social o nombres",IF(AND(C419&lt;&gt;"",COUNTIF($C$5:$C$549,C419)&gt;1),"DOCUMENTO DUPLICADO",IF(AND(B419="DNI",C419&lt;&gt;"",LEN(C419)&lt;&gt;8),"DNI debe tener 8 dígitos",IF(AND(B419="RUC",C419&lt;&gt;"",LEN(C419)&lt;&gt;11),"RUC debe tener 11 dígitos",IF(AND(N419&lt;&gt;"",COUNTIF($N$5:$N$549,N419)&gt;1),"CÓDIGO INTERNO DUPLICADO","OK"))))))</f>
        <v/>
      </c>
      <c r="B419" s="17" t="n"/>
      <c r="C419" s="23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23" t="n"/>
      <c r="M419" s="17" t="n"/>
      <c r="N419" s="23" t="n"/>
      <c r="O419" s="17" t="n"/>
      <c r="P419" s="28">
        <f>IF(A419&lt;&gt;"OK","","SELECT cli_crear_clientes(p_codigo_interno =&gt; "&amp;IF(TRIM(N419&amp;"")="","NULL","'"&amp;SUBSTITUTE(TRIM(N419),"'","''")&amp;"'")&amp;", p_razon_social =&gt; "&amp;IF(TRIM(D419&amp;"")="","NULL","'"&amp;SUBSTITUTE(TRIM(D419),"'","''")&amp;"'")&amp;", p_id_tipo_cliente =&gt; "&amp;IF(TRIM(I419&amp;"")="","NULL","(SELECT lo.id FROM gen_lista_opciones lo JOIN gen_lista l ON l.id = lo.id_lista WHERE l.nombre = 'TipoCliente' AND upper(lo.nombre) = upper('"&amp;SUBSTITUTE(TRIM(I419),"'","''")&amp;"') AND lo.estado = 1 LIMIT 1)")&amp;", p_id_tipo_persona =&gt; "&amp;IF(TRIM(H419&amp;"")="","NULL","(SELECT lo.id FROM gen_lista_opciones lo JOIN gen_lista l ON l.id = lo.id_lista WHERE l.nombre = 'TipoPersona' AND upper(lo.nombre) = upper('"&amp;SUBSTITUTE(TRIM(H419),"'","''")&amp;"') AND lo.estado = 1 LIMIT 1)")&amp;", p_nombres =&gt; "&amp;IF(TRIM(E419&amp;"")="","NULL","'"&amp;SUBSTITUTE(TRIM(E419),"'","''")&amp;"'")&amp;", p_apellido_paterno =&gt; "&amp;IF(TRIM(F419&amp;"")="","NULL","'"&amp;SUBSTITUTE(TRIM(F419),"'","''")&amp;"'")&amp;", p_apellido_materno =&gt; "&amp;IF(TRIM(G419&amp;"")="","NULL","'"&amp;SUBSTITUTE(TRIM(G419),"'","''")&amp;"'")&amp;", p_id_tipo_documento =&gt; "&amp;IF(TRIM(B419&amp;"")="","NULL","(SELECT lo.id FROM gen_lista_opciones lo JOIN gen_lista l ON l.id = lo.id_lista WHERE l.nombre = 'TipoDocumento' AND upper(lo.nombre) = upper('"&amp;SUBSTITUTE(TRIM(B419),"'","''")&amp;"') AND lo.estado = 1 LIMIT 1)")&amp;", p_numero_documento =&gt; "&amp;IF(TRIM(C419&amp;"")="","NULL","'"&amp;SUBSTITUTE(TRIM(C419),"'","''")&amp;"'")&amp;", p_telefono =&gt; "&amp;IF(TRIM(L419&amp;"")="","NULL","'"&amp;SUBSTITUTE(TRIM(L419),"'","''")&amp;"'")&amp;", p_email =&gt; "&amp;IF(TRIM(M419&amp;"")="","NULL","'"&amp;SUBSTITUTE(TRIM(M419),"'","''")&amp;"'")&amp;", p_observacion =&gt; "&amp;IF(TRIM(O419&amp;"")="","NULL","'"&amp;SUBSTITUTE(TRIM(O419),"'","''")&amp;"'")&amp;", p_direccion =&gt; "&amp;IF(TRIM(J419&amp;"")="","NULL","'"&amp;SUBSTITUTE(TRIM(J419),"'","''")&amp;"'")&amp;", p_referencia =&gt; "&amp;IF(TRIM(K419&amp;"")="","NULL","'"&amp;SUBSTITUTE(TRIM(K419),"'","''")&amp;"'")&amp;") AS resultado_cliente_"&amp;374&amp;";")</f>
        <v/>
      </c>
    </row>
    <row r="420" ht="15.75" customHeight="1" s="64">
      <c r="A420" s="25">
        <f>IF(AND(D420="",E420="",C420=""),"",IF(AND(D420="",E420=""),"FALTA razón social o nombres",IF(AND(C420&lt;&gt;"",COUNTIF($C$5:$C$549,C420)&gt;1),"DOCUMENTO DUPLICADO",IF(AND(B420="DNI",C420&lt;&gt;"",LEN(C420)&lt;&gt;8),"DNI debe tener 8 dígitos",IF(AND(B420="RUC",C420&lt;&gt;"",LEN(C420)&lt;&gt;11),"RUC debe tener 11 dígitos",IF(AND(N420&lt;&gt;"",COUNTIF($N$5:$N$549,N420)&gt;1),"CÓDIGO INTERNO DUPLICADO","OK"))))))</f>
        <v/>
      </c>
      <c r="B420" s="17" t="n"/>
      <c r="C420" s="23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23" t="n"/>
      <c r="M420" s="17" t="n"/>
      <c r="N420" s="23" t="n"/>
      <c r="O420" s="17" t="n"/>
      <c r="P420" s="28">
        <f>IF(A420&lt;&gt;"OK","","SELECT cli_crear_clientes(p_codigo_interno =&gt; "&amp;IF(TRIM(N420&amp;"")="","NULL","'"&amp;SUBSTITUTE(TRIM(N420),"'","''")&amp;"'")&amp;", p_razon_social =&gt; "&amp;IF(TRIM(D420&amp;"")="","NULL","'"&amp;SUBSTITUTE(TRIM(D420),"'","''")&amp;"'")&amp;", p_id_tipo_cliente =&gt; "&amp;IF(TRIM(I420&amp;"")="","NULL","(SELECT lo.id FROM gen_lista_opciones lo JOIN gen_lista l ON l.id = lo.id_lista WHERE l.nombre = 'TipoCliente' AND upper(lo.nombre) = upper('"&amp;SUBSTITUTE(TRIM(I420),"'","''")&amp;"') AND lo.estado = 1 LIMIT 1)")&amp;", p_id_tipo_persona =&gt; "&amp;IF(TRIM(H420&amp;"")="","NULL","(SELECT lo.id FROM gen_lista_opciones lo JOIN gen_lista l ON l.id = lo.id_lista WHERE l.nombre = 'TipoPersona' AND upper(lo.nombre) = upper('"&amp;SUBSTITUTE(TRIM(H420),"'","''")&amp;"') AND lo.estado = 1 LIMIT 1)")&amp;", p_nombres =&gt; "&amp;IF(TRIM(E420&amp;"")="","NULL","'"&amp;SUBSTITUTE(TRIM(E420),"'","''")&amp;"'")&amp;", p_apellido_paterno =&gt; "&amp;IF(TRIM(F420&amp;"")="","NULL","'"&amp;SUBSTITUTE(TRIM(F420),"'","''")&amp;"'")&amp;", p_apellido_materno =&gt; "&amp;IF(TRIM(G420&amp;"")="","NULL","'"&amp;SUBSTITUTE(TRIM(G420),"'","''")&amp;"'")&amp;", p_id_tipo_documento =&gt; "&amp;IF(TRIM(B420&amp;"")="","NULL","(SELECT lo.id FROM gen_lista_opciones lo JOIN gen_lista l ON l.id = lo.id_lista WHERE l.nombre = 'TipoDocumento' AND upper(lo.nombre) = upper('"&amp;SUBSTITUTE(TRIM(B420),"'","''")&amp;"') AND lo.estado = 1 LIMIT 1)")&amp;", p_numero_documento =&gt; "&amp;IF(TRIM(C420&amp;"")="","NULL","'"&amp;SUBSTITUTE(TRIM(C420),"'","''")&amp;"'")&amp;", p_telefono =&gt; "&amp;IF(TRIM(L420&amp;"")="","NULL","'"&amp;SUBSTITUTE(TRIM(L420),"'","''")&amp;"'")&amp;", p_email =&gt; "&amp;IF(TRIM(M420&amp;"")="","NULL","'"&amp;SUBSTITUTE(TRIM(M420),"'","''")&amp;"'")&amp;", p_observacion =&gt; "&amp;IF(TRIM(O420&amp;"")="","NULL","'"&amp;SUBSTITUTE(TRIM(O420),"'","''")&amp;"'")&amp;", p_direccion =&gt; "&amp;IF(TRIM(J420&amp;"")="","NULL","'"&amp;SUBSTITUTE(TRIM(J420),"'","''")&amp;"'")&amp;", p_referencia =&gt; "&amp;IF(TRIM(K420&amp;"")="","NULL","'"&amp;SUBSTITUTE(TRIM(K420),"'","''")&amp;"'")&amp;") AS resultado_cliente_"&amp;375&amp;";")</f>
        <v/>
      </c>
    </row>
    <row r="421" ht="15.75" customHeight="1" s="64">
      <c r="A421" s="25">
        <f>IF(AND(D421="",E421="",C421=""),"",IF(AND(D421="",E421=""),"FALTA razón social o nombres",IF(AND(C421&lt;&gt;"",COUNTIF($C$5:$C$549,C421)&gt;1),"DOCUMENTO DUPLICADO",IF(AND(B421="DNI",C421&lt;&gt;"",LEN(C421)&lt;&gt;8),"DNI debe tener 8 dígitos",IF(AND(B421="RUC",C421&lt;&gt;"",LEN(C421)&lt;&gt;11),"RUC debe tener 11 dígitos",IF(AND(N421&lt;&gt;"",COUNTIF($N$5:$N$549,N421)&gt;1),"CÓDIGO INTERNO DUPLICADO","OK"))))))</f>
        <v/>
      </c>
      <c r="B421" s="17" t="n"/>
      <c r="C421" s="23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23" t="n"/>
      <c r="M421" s="17" t="n"/>
      <c r="N421" s="23" t="n"/>
      <c r="O421" s="17" t="n"/>
      <c r="P421" s="28">
        <f>IF(A421&lt;&gt;"OK","","SELECT cli_crear_clientes(p_codigo_interno =&gt; "&amp;IF(TRIM(N421&amp;"")="","NULL","'"&amp;SUBSTITUTE(TRIM(N421),"'","''")&amp;"'")&amp;", p_razon_social =&gt; "&amp;IF(TRIM(D421&amp;"")="","NULL","'"&amp;SUBSTITUTE(TRIM(D421),"'","''")&amp;"'")&amp;", p_id_tipo_cliente =&gt; "&amp;IF(TRIM(I421&amp;"")="","NULL","(SELECT lo.id FROM gen_lista_opciones lo JOIN gen_lista l ON l.id = lo.id_lista WHERE l.nombre = 'TipoCliente' AND upper(lo.nombre) = upper('"&amp;SUBSTITUTE(TRIM(I421),"'","''")&amp;"') AND lo.estado = 1 LIMIT 1)")&amp;", p_id_tipo_persona =&gt; "&amp;IF(TRIM(H421&amp;"")="","NULL","(SELECT lo.id FROM gen_lista_opciones lo JOIN gen_lista l ON l.id = lo.id_lista WHERE l.nombre = 'TipoPersona' AND upper(lo.nombre) = upper('"&amp;SUBSTITUTE(TRIM(H421),"'","''")&amp;"') AND lo.estado = 1 LIMIT 1)")&amp;", p_nombres =&gt; "&amp;IF(TRIM(E421&amp;"")="","NULL","'"&amp;SUBSTITUTE(TRIM(E421),"'","''")&amp;"'")&amp;", p_apellido_paterno =&gt; "&amp;IF(TRIM(F421&amp;"")="","NULL","'"&amp;SUBSTITUTE(TRIM(F421),"'","''")&amp;"'")&amp;", p_apellido_materno =&gt; "&amp;IF(TRIM(G421&amp;"")="","NULL","'"&amp;SUBSTITUTE(TRIM(G421),"'","''")&amp;"'")&amp;", p_id_tipo_documento =&gt; "&amp;IF(TRIM(B421&amp;"")="","NULL","(SELECT lo.id FROM gen_lista_opciones lo JOIN gen_lista l ON l.id = lo.id_lista WHERE l.nombre = 'TipoDocumento' AND upper(lo.nombre) = upper('"&amp;SUBSTITUTE(TRIM(B421),"'","''")&amp;"') AND lo.estado = 1 LIMIT 1)")&amp;", p_numero_documento =&gt; "&amp;IF(TRIM(C421&amp;"")="","NULL","'"&amp;SUBSTITUTE(TRIM(C421),"'","''")&amp;"'")&amp;", p_telefono =&gt; "&amp;IF(TRIM(L421&amp;"")="","NULL","'"&amp;SUBSTITUTE(TRIM(L421),"'","''")&amp;"'")&amp;", p_email =&gt; "&amp;IF(TRIM(M421&amp;"")="","NULL","'"&amp;SUBSTITUTE(TRIM(M421),"'","''")&amp;"'")&amp;", p_observacion =&gt; "&amp;IF(TRIM(O421&amp;"")="","NULL","'"&amp;SUBSTITUTE(TRIM(O421),"'","''")&amp;"'")&amp;", p_direccion =&gt; "&amp;IF(TRIM(J421&amp;"")="","NULL","'"&amp;SUBSTITUTE(TRIM(J421),"'","''")&amp;"'")&amp;", p_referencia =&gt; "&amp;IF(TRIM(K421&amp;"")="","NULL","'"&amp;SUBSTITUTE(TRIM(K421),"'","''")&amp;"'")&amp;") AS resultado_cliente_"&amp;376&amp;";")</f>
        <v/>
      </c>
    </row>
    <row r="422" ht="15.75" customHeight="1" s="64">
      <c r="A422" s="25">
        <f>IF(AND(D422="",E422="",C422=""),"",IF(AND(D422="",E422=""),"FALTA razón social o nombres",IF(AND(C422&lt;&gt;"",COUNTIF($C$5:$C$549,C422)&gt;1),"DOCUMENTO DUPLICADO",IF(AND(B422="DNI",C422&lt;&gt;"",LEN(C422)&lt;&gt;8),"DNI debe tener 8 dígitos",IF(AND(B422="RUC",C422&lt;&gt;"",LEN(C422)&lt;&gt;11),"RUC debe tener 11 dígitos",IF(AND(N422&lt;&gt;"",COUNTIF($N$5:$N$549,N422)&gt;1),"CÓDIGO INTERNO DUPLICADO","OK"))))))</f>
        <v/>
      </c>
      <c r="B422" s="17" t="n"/>
      <c r="C422" s="23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23" t="n"/>
      <c r="M422" s="17" t="n"/>
      <c r="N422" s="23" t="n"/>
      <c r="O422" s="17" t="n"/>
      <c r="P422" s="28">
        <f>IF(A422&lt;&gt;"OK","","SELECT cli_crear_clientes(p_codigo_interno =&gt; "&amp;IF(TRIM(N422&amp;"")="","NULL","'"&amp;SUBSTITUTE(TRIM(N422),"'","''")&amp;"'")&amp;", p_razon_social =&gt; "&amp;IF(TRIM(D422&amp;"")="","NULL","'"&amp;SUBSTITUTE(TRIM(D422),"'","''")&amp;"'")&amp;", p_id_tipo_cliente =&gt; "&amp;IF(TRIM(I422&amp;"")="","NULL","(SELECT lo.id FROM gen_lista_opciones lo JOIN gen_lista l ON l.id = lo.id_lista WHERE l.nombre = 'TipoCliente' AND upper(lo.nombre) = upper('"&amp;SUBSTITUTE(TRIM(I422),"'","''")&amp;"') AND lo.estado = 1 LIMIT 1)")&amp;", p_id_tipo_persona =&gt; "&amp;IF(TRIM(H422&amp;"")="","NULL","(SELECT lo.id FROM gen_lista_opciones lo JOIN gen_lista l ON l.id = lo.id_lista WHERE l.nombre = 'TipoPersona' AND upper(lo.nombre) = upper('"&amp;SUBSTITUTE(TRIM(H422),"'","''")&amp;"') AND lo.estado = 1 LIMIT 1)")&amp;", p_nombres =&gt; "&amp;IF(TRIM(E422&amp;"")="","NULL","'"&amp;SUBSTITUTE(TRIM(E422),"'","''")&amp;"'")&amp;", p_apellido_paterno =&gt; "&amp;IF(TRIM(F422&amp;"")="","NULL","'"&amp;SUBSTITUTE(TRIM(F422),"'","''")&amp;"'")&amp;", p_apellido_materno =&gt; "&amp;IF(TRIM(G422&amp;"")="","NULL","'"&amp;SUBSTITUTE(TRIM(G422),"'","''")&amp;"'")&amp;", p_id_tipo_documento =&gt; "&amp;IF(TRIM(B422&amp;"")="","NULL","(SELECT lo.id FROM gen_lista_opciones lo JOIN gen_lista l ON l.id = lo.id_lista WHERE l.nombre = 'TipoDocumento' AND upper(lo.nombre) = upper('"&amp;SUBSTITUTE(TRIM(B422),"'","''")&amp;"') AND lo.estado = 1 LIMIT 1)")&amp;", p_numero_documento =&gt; "&amp;IF(TRIM(C422&amp;"")="","NULL","'"&amp;SUBSTITUTE(TRIM(C422),"'","''")&amp;"'")&amp;", p_telefono =&gt; "&amp;IF(TRIM(L422&amp;"")="","NULL","'"&amp;SUBSTITUTE(TRIM(L422),"'","''")&amp;"'")&amp;", p_email =&gt; "&amp;IF(TRIM(M422&amp;"")="","NULL","'"&amp;SUBSTITUTE(TRIM(M422),"'","''")&amp;"'")&amp;", p_observacion =&gt; "&amp;IF(TRIM(O422&amp;"")="","NULL","'"&amp;SUBSTITUTE(TRIM(O422),"'","''")&amp;"'")&amp;", p_direccion =&gt; "&amp;IF(TRIM(J422&amp;"")="","NULL","'"&amp;SUBSTITUTE(TRIM(J422),"'","''")&amp;"'")&amp;", p_referencia =&gt; "&amp;IF(TRIM(K422&amp;"")="","NULL","'"&amp;SUBSTITUTE(TRIM(K422),"'","''")&amp;"'")&amp;") AS resultado_cliente_"&amp;377&amp;";")</f>
        <v/>
      </c>
    </row>
    <row r="423" ht="15.75" customHeight="1" s="64">
      <c r="A423" s="25">
        <f>IF(AND(D423="",E423="",C423=""),"",IF(AND(D423="",E423=""),"FALTA razón social o nombres",IF(AND(C423&lt;&gt;"",COUNTIF($C$5:$C$549,C423)&gt;1),"DOCUMENTO DUPLICADO",IF(AND(B423="DNI",C423&lt;&gt;"",LEN(C423)&lt;&gt;8),"DNI debe tener 8 dígitos",IF(AND(B423="RUC",C423&lt;&gt;"",LEN(C423)&lt;&gt;11),"RUC debe tener 11 dígitos",IF(AND(N423&lt;&gt;"",COUNTIF($N$5:$N$549,N423)&gt;1),"CÓDIGO INTERNO DUPLICADO","OK"))))))</f>
        <v/>
      </c>
      <c r="B423" s="17" t="n"/>
      <c r="C423" s="23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23" t="n"/>
      <c r="M423" s="17" t="n"/>
      <c r="N423" s="23" t="n"/>
      <c r="O423" s="17" t="n"/>
      <c r="P423" s="28">
        <f>IF(A423&lt;&gt;"OK","","SELECT cli_crear_clientes(p_codigo_interno =&gt; "&amp;IF(TRIM(N423&amp;"")="","NULL","'"&amp;SUBSTITUTE(TRIM(N423),"'","''")&amp;"'")&amp;", p_razon_social =&gt; "&amp;IF(TRIM(D423&amp;"")="","NULL","'"&amp;SUBSTITUTE(TRIM(D423),"'","''")&amp;"'")&amp;", p_id_tipo_cliente =&gt; "&amp;IF(TRIM(I423&amp;"")="","NULL","(SELECT lo.id FROM gen_lista_opciones lo JOIN gen_lista l ON l.id = lo.id_lista WHERE l.nombre = 'TipoCliente' AND upper(lo.nombre) = upper('"&amp;SUBSTITUTE(TRIM(I423),"'","''")&amp;"') AND lo.estado = 1 LIMIT 1)")&amp;", p_id_tipo_persona =&gt; "&amp;IF(TRIM(H423&amp;"")="","NULL","(SELECT lo.id FROM gen_lista_opciones lo JOIN gen_lista l ON l.id = lo.id_lista WHERE l.nombre = 'TipoPersona' AND upper(lo.nombre) = upper('"&amp;SUBSTITUTE(TRIM(H423),"'","''")&amp;"') AND lo.estado = 1 LIMIT 1)")&amp;", p_nombres =&gt; "&amp;IF(TRIM(E423&amp;"")="","NULL","'"&amp;SUBSTITUTE(TRIM(E423),"'","''")&amp;"'")&amp;", p_apellido_paterno =&gt; "&amp;IF(TRIM(F423&amp;"")="","NULL","'"&amp;SUBSTITUTE(TRIM(F423),"'","''")&amp;"'")&amp;", p_apellido_materno =&gt; "&amp;IF(TRIM(G423&amp;"")="","NULL","'"&amp;SUBSTITUTE(TRIM(G423),"'","''")&amp;"'")&amp;", p_id_tipo_documento =&gt; "&amp;IF(TRIM(B423&amp;"")="","NULL","(SELECT lo.id FROM gen_lista_opciones lo JOIN gen_lista l ON l.id = lo.id_lista WHERE l.nombre = 'TipoDocumento' AND upper(lo.nombre) = upper('"&amp;SUBSTITUTE(TRIM(B423),"'","''")&amp;"') AND lo.estado = 1 LIMIT 1)")&amp;", p_numero_documento =&gt; "&amp;IF(TRIM(C423&amp;"")="","NULL","'"&amp;SUBSTITUTE(TRIM(C423),"'","''")&amp;"'")&amp;", p_telefono =&gt; "&amp;IF(TRIM(L423&amp;"")="","NULL","'"&amp;SUBSTITUTE(TRIM(L423),"'","''")&amp;"'")&amp;", p_email =&gt; "&amp;IF(TRIM(M423&amp;"")="","NULL","'"&amp;SUBSTITUTE(TRIM(M423),"'","''")&amp;"'")&amp;", p_observacion =&gt; "&amp;IF(TRIM(O423&amp;"")="","NULL","'"&amp;SUBSTITUTE(TRIM(O423),"'","''")&amp;"'")&amp;", p_direccion =&gt; "&amp;IF(TRIM(J423&amp;"")="","NULL","'"&amp;SUBSTITUTE(TRIM(J423),"'","''")&amp;"'")&amp;", p_referencia =&gt; "&amp;IF(TRIM(K423&amp;"")="","NULL","'"&amp;SUBSTITUTE(TRIM(K423),"'","''")&amp;"'")&amp;") AS resultado_cliente_"&amp;378&amp;";")</f>
        <v/>
      </c>
    </row>
    <row r="424" ht="15.75" customHeight="1" s="64">
      <c r="A424" s="25">
        <f>IF(AND(D424="",E424="",C424=""),"",IF(AND(D424="",E424=""),"FALTA razón social o nombres",IF(AND(C424&lt;&gt;"",COUNTIF($C$5:$C$549,C424)&gt;1),"DOCUMENTO DUPLICADO",IF(AND(B424="DNI",C424&lt;&gt;"",LEN(C424)&lt;&gt;8),"DNI debe tener 8 dígitos",IF(AND(B424="RUC",C424&lt;&gt;"",LEN(C424)&lt;&gt;11),"RUC debe tener 11 dígitos",IF(AND(N424&lt;&gt;"",COUNTIF($N$5:$N$549,N424)&gt;1),"CÓDIGO INTERNO DUPLICADO","OK"))))))</f>
        <v/>
      </c>
      <c r="B424" s="17" t="n"/>
      <c r="C424" s="23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23" t="n"/>
      <c r="M424" s="17" t="n"/>
      <c r="N424" s="23" t="n"/>
      <c r="O424" s="17" t="n"/>
      <c r="P424" s="28">
        <f>IF(A424&lt;&gt;"OK","","SELECT cli_crear_clientes(p_codigo_interno =&gt; "&amp;IF(TRIM(N424&amp;"")="","NULL","'"&amp;SUBSTITUTE(TRIM(N424),"'","''")&amp;"'")&amp;", p_razon_social =&gt; "&amp;IF(TRIM(D424&amp;"")="","NULL","'"&amp;SUBSTITUTE(TRIM(D424),"'","''")&amp;"'")&amp;", p_id_tipo_cliente =&gt; "&amp;IF(TRIM(I424&amp;"")="","NULL","(SELECT lo.id FROM gen_lista_opciones lo JOIN gen_lista l ON l.id = lo.id_lista WHERE l.nombre = 'TipoCliente' AND upper(lo.nombre) = upper('"&amp;SUBSTITUTE(TRIM(I424),"'","''")&amp;"') AND lo.estado = 1 LIMIT 1)")&amp;", p_id_tipo_persona =&gt; "&amp;IF(TRIM(H424&amp;"")="","NULL","(SELECT lo.id FROM gen_lista_opciones lo JOIN gen_lista l ON l.id = lo.id_lista WHERE l.nombre = 'TipoPersona' AND upper(lo.nombre) = upper('"&amp;SUBSTITUTE(TRIM(H424),"'","''")&amp;"') AND lo.estado = 1 LIMIT 1)")&amp;", p_nombres =&gt; "&amp;IF(TRIM(E424&amp;"")="","NULL","'"&amp;SUBSTITUTE(TRIM(E424),"'","''")&amp;"'")&amp;", p_apellido_paterno =&gt; "&amp;IF(TRIM(F424&amp;"")="","NULL","'"&amp;SUBSTITUTE(TRIM(F424),"'","''")&amp;"'")&amp;", p_apellido_materno =&gt; "&amp;IF(TRIM(G424&amp;"")="","NULL","'"&amp;SUBSTITUTE(TRIM(G424),"'","''")&amp;"'")&amp;", p_id_tipo_documento =&gt; "&amp;IF(TRIM(B424&amp;"")="","NULL","(SELECT lo.id FROM gen_lista_opciones lo JOIN gen_lista l ON l.id = lo.id_lista WHERE l.nombre = 'TipoDocumento' AND upper(lo.nombre) = upper('"&amp;SUBSTITUTE(TRIM(B424),"'","''")&amp;"') AND lo.estado = 1 LIMIT 1)")&amp;", p_numero_documento =&gt; "&amp;IF(TRIM(C424&amp;"")="","NULL","'"&amp;SUBSTITUTE(TRIM(C424),"'","''")&amp;"'")&amp;", p_telefono =&gt; "&amp;IF(TRIM(L424&amp;"")="","NULL","'"&amp;SUBSTITUTE(TRIM(L424),"'","''")&amp;"'")&amp;", p_email =&gt; "&amp;IF(TRIM(M424&amp;"")="","NULL","'"&amp;SUBSTITUTE(TRIM(M424),"'","''")&amp;"'")&amp;", p_observacion =&gt; "&amp;IF(TRIM(O424&amp;"")="","NULL","'"&amp;SUBSTITUTE(TRIM(O424),"'","''")&amp;"'")&amp;", p_direccion =&gt; "&amp;IF(TRIM(J424&amp;"")="","NULL","'"&amp;SUBSTITUTE(TRIM(J424),"'","''")&amp;"'")&amp;", p_referencia =&gt; "&amp;IF(TRIM(K424&amp;"")="","NULL","'"&amp;SUBSTITUTE(TRIM(K424),"'","''")&amp;"'")&amp;") AS resultado_cliente_"&amp;379&amp;";")</f>
        <v/>
      </c>
    </row>
    <row r="425" ht="15.75" customHeight="1" s="64">
      <c r="A425" s="25">
        <f>IF(AND(D425="",E425="",C425=""),"",IF(AND(D425="",E425=""),"FALTA razón social o nombres",IF(AND(C425&lt;&gt;"",COUNTIF($C$5:$C$549,C425)&gt;1),"DOCUMENTO DUPLICADO",IF(AND(B425="DNI",C425&lt;&gt;"",LEN(C425)&lt;&gt;8),"DNI debe tener 8 dígitos",IF(AND(B425="RUC",C425&lt;&gt;"",LEN(C425)&lt;&gt;11),"RUC debe tener 11 dígitos",IF(AND(N425&lt;&gt;"",COUNTIF($N$5:$N$549,N425)&gt;1),"CÓDIGO INTERNO DUPLICADO","OK"))))))</f>
        <v/>
      </c>
      <c r="B425" s="17" t="n"/>
      <c r="C425" s="23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23" t="n"/>
      <c r="M425" s="17" t="n"/>
      <c r="N425" s="23" t="n"/>
      <c r="O425" s="17" t="n"/>
      <c r="P425" s="28">
        <f>IF(A425&lt;&gt;"OK","","SELECT cli_crear_clientes(p_codigo_interno =&gt; "&amp;IF(TRIM(N425&amp;"")="","NULL","'"&amp;SUBSTITUTE(TRIM(N425),"'","''")&amp;"'")&amp;", p_razon_social =&gt; "&amp;IF(TRIM(D425&amp;"")="","NULL","'"&amp;SUBSTITUTE(TRIM(D425),"'","''")&amp;"'")&amp;", p_id_tipo_cliente =&gt; "&amp;IF(TRIM(I425&amp;"")="","NULL","(SELECT lo.id FROM gen_lista_opciones lo JOIN gen_lista l ON l.id = lo.id_lista WHERE l.nombre = 'TipoCliente' AND upper(lo.nombre) = upper('"&amp;SUBSTITUTE(TRIM(I425),"'","''")&amp;"') AND lo.estado = 1 LIMIT 1)")&amp;", p_id_tipo_persona =&gt; "&amp;IF(TRIM(H425&amp;"")="","NULL","(SELECT lo.id FROM gen_lista_opciones lo JOIN gen_lista l ON l.id = lo.id_lista WHERE l.nombre = 'TipoPersona' AND upper(lo.nombre) = upper('"&amp;SUBSTITUTE(TRIM(H425),"'","''")&amp;"') AND lo.estado = 1 LIMIT 1)")&amp;", p_nombres =&gt; "&amp;IF(TRIM(E425&amp;"")="","NULL","'"&amp;SUBSTITUTE(TRIM(E425),"'","''")&amp;"'")&amp;", p_apellido_paterno =&gt; "&amp;IF(TRIM(F425&amp;"")="","NULL","'"&amp;SUBSTITUTE(TRIM(F425),"'","''")&amp;"'")&amp;", p_apellido_materno =&gt; "&amp;IF(TRIM(G425&amp;"")="","NULL","'"&amp;SUBSTITUTE(TRIM(G425),"'","''")&amp;"'")&amp;", p_id_tipo_documento =&gt; "&amp;IF(TRIM(B425&amp;"")="","NULL","(SELECT lo.id FROM gen_lista_opciones lo JOIN gen_lista l ON l.id = lo.id_lista WHERE l.nombre = 'TipoDocumento' AND upper(lo.nombre) = upper('"&amp;SUBSTITUTE(TRIM(B425),"'","''")&amp;"') AND lo.estado = 1 LIMIT 1)")&amp;", p_numero_documento =&gt; "&amp;IF(TRIM(C425&amp;"")="","NULL","'"&amp;SUBSTITUTE(TRIM(C425),"'","''")&amp;"'")&amp;", p_telefono =&gt; "&amp;IF(TRIM(L425&amp;"")="","NULL","'"&amp;SUBSTITUTE(TRIM(L425),"'","''")&amp;"'")&amp;", p_email =&gt; "&amp;IF(TRIM(M425&amp;"")="","NULL","'"&amp;SUBSTITUTE(TRIM(M425),"'","''")&amp;"'")&amp;", p_observacion =&gt; "&amp;IF(TRIM(O425&amp;"")="","NULL","'"&amp;SUBSTITUTE(TRIM(O425),"'","''")&amp;"'")&amp;", p_direccion =&gt; "&amp;IF(TRIM(J425&amp;"")="","NULL","'"&amp;SUBSTITUTE(TRIM(J425),"'","''")&amp;"'")&amp;", p_referencia =&gt; "&amp;IF(TRIM(K425&amp;"")="","NULL","'"&amp;SUBSTITUTE(TRIM(K425),"'","''")&amp;"'")&amp;") AS resultado_cliente_"&amp;380&amp;";")</f>
        <v/>
      </c>
    </row>
    <row r="426" ht="15.75" customHeight="1" s="64">
      <c r="A426" s="25">
        <f>IF(AND(D426="",E426="",C426=""),"",IF(AND(D426="",E426=""),"FALTA razón social o nombres",IF(AND(C426&lt;&gt;"",COUNTIF($C$5:$C$549,C426)&gt;1),"DOCUMENTO DUPLICADO",IF(AND(B426="DNI",C426&lt;&gt;"",LEN(C426)&lt;&gt;8),"DNI debe tener 8 dígitos",IF(AND(B426="RUC",C426&lt;&gt;"",LEN(C426)&lt;&gt;11),"RUC debe tener 11 dígitos",IF(AND(N426&lt;&gt;"",COUNTIF($N$5:$N$549,N426)&gt;1),"CÓDIGO INTERNO DUPLICADO","OK"))))))</f>
        <v/>
      </c>
      <c r="B426" s="17" t="n"/>
      <c r="C426" s="23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23" t="n"/>
      <c r="M426" s="17" t="n"/>
      <c r="N426" s="23" t="n"/>
      <c r="O426" s="17" t="n"/>
      <c r="P426" s="28">
        <f>IF(A426&lt;&gt;"OK","","SELECT cli_crear_clientes(p_codigo_interno =&gt; "&amp;IF(TRIM(N426&amp;"")="","NULL","'"&amp;SUBSTITUTE(TRIM(N426),"'","''")&amp;"'")&amp;", p_razon_social =&gt; "&amp;IF(TRIM(D426&amp;"")="","NULL","'"&amp;SUBSTITUTE(TRIM(D426),"'","''")&amp;"'")&amp;", p_id_tipo_cliente =&gt; "&amp;IF(TRIM(I426&amp;"")="","NULL","(SELECT lo.id FROM gen_lista_opciones lo JOIN gen_lista l ON l.id = lo.id_lista WHERE l.nombre = 'TipoCliente' AND upper(lo.nombre) = upper('"&amp;SUBSTITUTE(TRIM(I426),"'","''")&amp;"') AND lo.estado = 1 LIMIT 1)")&amp;", p_id_tipo_persona =&gt; "&amp;IF(TRIM(H426&amp;"")="","NULL","(SELECT lo.id FROM gen_lista_opciones lo JOIN gen_lista l ON l.id = lo.id_lista WHERE l.nombre = 'TipoPersona' AND upper(lo.nombre) = upper('"&amp;SUBSTITUTE(TRIM(H426),"'","''")&amp;"') AND lo.estado = 1 LIMIT 1)")&amp;", p_nombres =&gt; "&amp;IF(TRIM(E426&amp;"")="","NULL","'"&amp;SUBSTITUTE(TRIM(E426),"'","''")&amp;"'")&amp;", p_apellido_paterno =&gt; "&amp;IF(TRIM(F426&amp;"")="","NULL","'"&amp;SUBSTITUTE(TRIM(F426),"'","''")&amp;"'")&amp;", p_apellido_materno =&gt; "&amp;IF(TRIM(G426&amp;"")="","NULL","'"&amp;SUBSTITUTE(TRIM(G426),"'","''")&amp;"'")&amp;", p_id_tipo_documento =&gt; "&amp;IF(TRIM(B426&amp;"")="","NULL","(SELECT lo.id FROM gen_lista_opciones lo JOIN gen_lista l ON l.id = lo.id_lista WHERE l.nombre = 'TipoDocumento' AND upper(lo.nombre) = upper('"&amp;SUBSTITUTE(TRIM(B426),"'","''")&amp;"') AND lo.estado = 1 LIMIT 1)")&amp;", p_numero_documento =&gt; "&amp;IF(TRIM(C426&amp;"")="","NULL","'"&amp;SUBSTITUTE(TRIM(C426),"'","''")&amp;"'")&amp;", p_telefono =&gt; "&amp;IF(TRIM(L426&amp;"")="","NULL","'"&amp;SUBSTITUTE(TRIM(L426),"'","''")&amp;"'")&amp;", p_email =&gt; "&amp;IF(TRIM(M426&amp;"")="","NULL","'"&amp;SUBSTITUTE(TRIM(M426),"'","''")&amp;"'")&amp;", p_observacion =&gt; "&amp;IF(TRIM(O426&amp;"")="","NULL","'"&amp;SUBSTITUTE(TRIM(O426),"'","''")&amp;"'")&amp;", p_direccion =&gt; "&amp;IF(TRIM(J426&amp;"")="","NULL","'"&amp;SUBSTITUTE(TRIM(J426),"'","''")&amp;"'")&amp;", p_referencia =&gt; "&amp;IF(TRIM(K426&amp;"")="","NULL","'"&amp;SUBSTITUTE(TRIM(K426),"'","''")&amp;"'")&amp;") AS resultado_cliente_"&amp;381&amp;";")</f>
        <v/>
      </c>
    </row>
    <row r="427" ht="15.75" customHeight="1" s="64">
      <c r="A427" s="25">
        <f>IF(AND(D427="",E427="",C427=""),"",IF(AND(D427="",E427=""),"FALTA razón social o nombres",IF(AND(C427&lt;&gt;"",COUNTIF($C$5:$C$549,C427)&gt;1),"DOCUMENTO DUPLICADO",IF(AND(B427="DNI",C427&lt;&gt;"",LEN(C427)&lt;&gt;8),"DNI debe tener 8 dígitos",IF(AND(B427="RUC",C427&lt;&gt;"",LEN(C427)&lt;&gt;11),"RUC debe tener 11 dígitos",IF(AND(N427&lt;&gt;"",COUNTIF($N$5:$N$549,N427)&gt;1),"CÓDIGO INTERNO DUPLICADO","OK"))))))</f>
        <v/>
      </c>
      <c r="B427" s="17" t="n"/>
      <c r="C427" s="23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23" t="n"/>
      <c r="M427" s="17" t="n"/>
      <c r="N427" s="23" t="n"/>
      <c r="O427" s="17" t="n"/>
      <c r="P427" s="28">
        <f>IF(A427&lt;&gt;"OK","","SELECT cli_crear_clientes(p_codigo_interno =&gt; "&amp;IF(TRIM(N427&amp;"")="","NULL","'"&amp;SUBSTITUTE(TRIM(N427),"'","''")&amp;"'")&amp;", p_razon_social =&gt; "&amp;IF(TRIM(D427&amp;"")="","NULL","'"&amp;SUBSTITUTE(TRIM(D427),"'","''")&amp;"'")&amp;", p_id_tipo_cliente =&gt; "&amp;IF(TRIM(I427&amp;"")="","NULL","(SELECT lo.id FROM gen_lista_opciones lo JOIN gen_lista l ON l.id = lo.id_lista WHERE l.nombre = 'TipoCliente' AND upper(lo.nombre) = upper('"&amp;SUBSTITUTE(TRIM(I427),"'","''")&amp;"') AND lo.estado = 1 LIMIT 1)")&amp;", p_id_tipo_persona =&gt; "&amp;IF(TRIM(H427&amp;"")="","NULL","(SELECT lo.id FROM gen_lista_opciones lo JOIN gen_lista l ON l.id = lo.id_lista WHERE l.nombre = 'TipoPersona' AND upper(lo.nombre) = upper('"&amp;SUBSTITUTE(TRIM(H427),"'","''")&amp;"') AND lo.estado = 1 LIMIT 1)")&amp;", p_nombres =&gt; "&amp;IF(TRIM(E427&amp;"")="","NULL","'"&amp;SUBSTITUTE(TRIM(E427),"'","''")&amp;"'")&amp;", p_apellido_paterno =&gt; "&amp;IF(TRIM(F427&amp;"")="","NULL","'"&amp;SUBSTITUTE(TRIM(F427),"'","''")&amp;"'")&amp;", p_apellido_materno =&gt; "&amp;IF(TRIM(G427&amp;"")="","NULL","'"&amp;SUBSTITUTE(TRIM(G427),"'","''")&amp;"'")&amp;", p_id_tipo_documento =&gt; "&amp;IF(TRIM(B427&amp;"")="","NULL","(SELECT lo.id FROM gen_lista_opciones lo JOIN gen_lista l ON l.id = lo.id_lista WHERE l.nombre = 'TipoDocumento' AND upper(lo.nombre) = upper('"&amp;SUBSTITUTE(TRIM(B427),"'","''")&amp;"') AND lo.estado = 1 LIMIT 1)")&amp;", p_numero_documento =&gt; "&amp;IF(TRIM(C427&amp;"")="","NULL","'"&amp;SUBSTITUTE(TRIM(C427),"'","''")&amp;"'")&amp;", p_telefono =&gt; "&amp;IF(TRIM(L427&amp;"")="","NULL","'"&amp;SUBSTITUTE(TRIM(L427),"'","''")&amp;"'")&amp;", p_email =&gt; "&amp;IF(TRIM(M427&amp;"")="","NULL","'"&amp;SUBSTITUTE(TRIM(M427),"'","''")&amp;"'")&amp;", p_observacion =&gt; "&amp;IF(TRIM(O427&amp;"")="","NULL","'"&amp;SUBSTITUTE(TRIM(O427),"'","''")&amp;"'")&amp;", p_direccion =&gt; "&amp;IF(TRIM(J427&amp;"")="","NULL","'"&amp;SUBSTITUTE(TRIM(J427),"'","''")&amp;"'")&amp;", p_referencia =&gt; "&amp;IF(TRIM(K427&amp;"")="","NULL","'"&amp;SUBSTITUTE(TRIM(K427),"'","''")&amp;"'")&amp;") AS resultado_cliente_"&amp;382&amp;";")</f>
        <v/>
      </c>
    </row>
    <row r="428" ht="15.75" customHeight="1" s="64">
      <c r="A428" s="25">
        <f>IF(AND(D428="",E428="",C428=""),"",IF(AND(D428="",E428=""),"FALTA razón social o nombres",IF(AND(C428&lt;&gt;"",COUNTIF($C$5:$C$549,C428)&gt;1),"DOCUMENTO DUPLICADO",IF(AND(B428="DNI",C428&lt;&gt;"",LEN(C428)&lt;&gt;8),"DNI debe tener 8 dígitos",IF(AND(B428="RUC",C428&lt;&gt;"",LEN(C428)&lt;&gt;11),"RUC debe tener 11 dígitos",IF(AND(N428&lt;&gt;"",COUNTIF($N$5:$N$549,N428)&gt;1),"CÓDIGO INTERNO DUPLICADO","OK"))))))</f>
        <v/>
      </c>
      <c r="B428" s="17" t="n"/>
      <c r="C428" s="23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23" t="n"/>
      <c r="M428" s="17" t="n"/>
      <c r="N428" s="23" t="n"/>
      <c r="O428" s="17" t="n"/>
      <c r="P428" s="28">
        <f>IF(A428&lt;&gt;"OK","","SELECT cli_crear_clientes(p_codigo_interno =&gt; "&amp;IF(TRIM(N428&amp;"")="","NULL","'"&amp;SUBSTITUTE(TRIM(N428),"'","''")&amp;"'")&amp;", p_razon_social =&gt; "&amp;IF(TRIM(D428&amp;"")="","NULL","'"&amp;SUBSTITUTE(TRIM(D428),"'","''")&amp;"'")&amp;", p_id_tipo_cliente =&gt; "&amp;IF(TRIM(I428&amp;"")="","NULL","(SELECT lo.id FROM gen_lista_opciones lo JOIN gen_lista l ON l.id = lo.id_lista WHERE l.nombre = 'TipoCliente' AND upper(lo.nombre) = upper('"&amp;SUBSTITUTE(TRIM(I428),"'","''")&amp;"') AND lo.estado = 1 LIMIT 1)")&amp;", p_id_tipo_persona =&gt; "&amp;IF(TRIM(H428&amp;"")="","NULL","(SELECT lo.id FROM gen_lista_opciones lo JOIN gen_lista l ON l.id = lo.id_lista WHERE l.nombre = 'TipoPersona' AND upper(lo.nombre) = upper('"&amp;SUBSTITUTE(TRIM(H428),"'","''")&amp;"') AND lo.estado = 1 LIMIT 1)")&amp;", p_nombres =&gt; "&amp;IF(TRIM(E428&amp;"")="","NULL","'"&amp;SUBSTITUTE(TRIM(E428),"'","''")&amp;"'")&amp;", p_apellido_paterno =&gt; "&amp;IF(TRIM(F428&amp;"")="","NULL","'"&amp;SUBSTITUTE(TRIM(F428),"'","''")&amp;"'")&amp;", p_apellido_materno =&gt; "&amp;IF(TRIM(G428&amp;"")="","NULL","'"&amp;SUBSTITUTE(TRIM(G428),"'","''")&amp;"'")&amp;", p_id_tipo_documento =&gt; "&amp;IF(TRIM(B428&amp;"")="","NULL","(SELECT lo.id FROM gen_lista_opciones lo JOIN gen_lista l ON l.id = lo.id_lista WHERE l.nombre = 'TipoDocumento' AND upper(lo.nombre) = upper('"&amp;SUBSTITUTE(TRIM(B428),"'","''")&amp;"') AND lo.estado = 1 LIMIT 1)")&amp;", p_numero_documento =&gt; "&amp;IF(TRIM(C428&amp;"")="","NULL","'"&amp;SUBSTITUTE(TRIM(C428),"'","''")&amp;"'")&amp;", p_telefono =&gt; "&amp;IF(TRIM(L428&amp;"")="","NULL","'"&amp;SUBSTITUTE(TRIM(L428),"'","''")&amp;"'")&amp;", p_email =&gt; "&amp;IF(TRIM(M428&amp;"")="","NULL","'"&amp;SUBSTITUTE(TRIM(M428),"'","''")&amp;"'")&amp;", p_observacion =&gt; "&amp;IF(TRIM(O428&amp;"")="","NULL","'"&amp;SUBSTITUTE(TRIM(O428),"'","''")&amp;"'")&amp;", p_direccion =&gt; "&amp;IF(TRIM(J428&amp;"")="","NULL","'"&amp;SUBSTITUTE(TRIM(J428),"'","''")&amp;"'")&amp;", p_referencia =&gt; "&amp;IF(TRIM(K428&amp;"")="","NULL","'"&amp;SUBSTITUTE(TRIM(K428),"'","''")&amp;"'")&amp;") AS resultado_cliente_"&amp;383&amp;";")</f>
        <v/>
      </c>
    </row>
    <row r="429" ht="15.75" customHeight="1" s="64">
      <c r="A429" s="25">
        <f>IF(AND(D429="",E429="",C429=""),"",IF(AND(D429="",E429=""),"FALTA razón social o nombres",IF(AND(C429&lt;&gt;"",COUNTIF($C$5:$C$549,C429)&gt;1),"DOCUMENTO DUPLICADO",IF(AND(B429="DNI",C429&lt;&gt;"",LEN(C429)&lt;&gt;8),"DNI debe tener 8 dígitos",IF(AND(B429="RUC",C429&lt;&gt;"",LEN(C429)&lt;&gt;11),"RUC debe tener 11 dígitos",IF(AND(N429&lt;&gt;"",COUNTIF($N$5:$N$549,N429)&gt;1),"CÓDIGO INTERNO DUPLICADO","OK"))))))</f>
        <v/>
      </c>
      <c r="B429" s="17" t="n"/>
      <c r="C429" s="23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23" t="n"/>
      <c r="M429" s="17" t="n"/>
      <c r="N429" s="23" t="n"/>
      <c r="O429" s="17" t="n"/>
      <c r="P429" s="28">
        <f>IF(A429&lt;&gt;"OK","","SELECT cli_crear_clientes(p_codigo_interno =&gt; "&amp;IF(TRIM(N429&amp;"")="","NULL","'"&amp;SUBSTITUTE(TRIM(N429),"'","''")&amp;"'")&amp;", p_razon_social =&gt; "&amp;IF(TRIM(D429&amp;"")="","NULL","'"&amp;SUBSTITUTE(TRIM(D429),"'","''")&amp;"'")&amp;", p_id_tipo_cliente =&gt; "&amp;IF(TRIM(I429&amp;"")="","NULL","(SELECT lo.id FROM gen_lista_opciones lo JOIN gen_lista l ON l.id = lo.id_lista WHERE l.nombre = 'TipoCliente' AND upper(lo.nombre) = upper('"&amp;SUBSTITUTE(TRIM(I429),"'","''")&amp;"') AND lo.estado = 1 LIMIT 1)")&amp;", p_id_tipo_persona =&gt; "&amp;IF(TRIM(H429&amp;"")="","NULL","(SELECT lo.id FROM gen_lista_opciones lo JOIN gen_lista l ON l.id = lo.id_lista WHERE l.nombre = 'TipoPersona' AND upper(lo.nombre) = upper('"&amp;SUBSTITUTE(TRIM(H429),"'","''")&amp;"') AND lo.estado = 1 LIMIT 1)")&amp;", p_nombres =&gt; "&amp;IF(TRIM(E429&amp;"")="","NULL","'"&amp;SUBSTITUTE(TRIM(E429),"'","''")&amp;"'")&amp;", p_apellido_paterno =&gt; "&amp;IF(TRIM(F429&amp;"")="","NULL","'"&amp;SUBSTITUTE(TRIM(F429),"'","''")&amp;"'")&amp;", p_apellido_materno =&gt; "&amp;IF(TRIM(G429&amp;"")="","NULL","'"&amp;SUBSTITUTE(TRIM(G429),"'","''")&amp;"'")&amp;", p_id_tipo_documento =&gt; "&amp;IF(TRIM(B429&amp;"")="","NULL","(SELECT lo.id FROM gen_lista_opciones lo JOIN gen_lista l ON l.id = lo.id_lista WHERE l.nombre = 'TipoDocumento' AND upper(lo.nombre) = upper('"&amp;SUBSTITUTE(TRIM(B429),"'","''")&amp;"') AND lo.estado = 1 LIMIT 1)")&amp;", p_numero_documento =&gt; "&amp;IF(TRIM(C429&amp;"")="","NULL","'"&amp;SUBSTITUTE(TRIM(C429),"'","''")&amp;"'")&amp;", p_telefono =&gt; "&amp;IF(TRIM(L429&amp;"")="","NULL","'"&amp;SUBSTITUTE(TRIM(L429),"'","''")&amp;"'")&amp;", p_email =&gt; "&amp;IF(TRIM(M429&amp;"")="","NULL","'"&amp;SUBSTITUTE(TRIM(M429),"'","''")&amp;"'")&amp;", p_observacion =&gt; "&amp;IF(TRIM(O429&amp;"")="","NULL","'"&amp;SUBSTITUTE(TRIM(O429),"'","''")&amp;"'")&amp;", p_direccion =&gt; "&amp;IF(TRIM(J429&amp;"")="","NULL","'"&amp;SUBSTITUTE(TRIM(J429),"'","''")&amp;"'")&amp;", p_referencia =&gt; "&amp;IF(TRIM(K429&amp;"")="","NULL","'"&amp;SUBSTITUTE(TRIM(K429),"'","''")&amp;"'")&amp;") AS resultado_cliente_"&amp;384&amp;";")</f>
        <v/>
      </c>
    </row>
    <row r="430" ht="15.75" customHeight="1" s="64">
      <c r="A430" s="25">
        <f>IF(AND(D430="",E430="",C430=""),"",IF(AND(D430="",E430=""),"FALTA razón social o nombres",IF(AND(C430&lt;&gt;"",COUNTIF($C$5:$C$549,C430)&gt;1),"DOCUMENTO DUPLICADO",IF(AND(B430="DNI",C430&lt;&gt;"",LEN(C430)&lt;&gt;8),"DNI debe tener 8 dígitos",IF(AND(B430="RUC",C430&lt;&gt;"",LEN(C430)&lt;&gt;11),"RUC debe tener 11 dígitos",IF(AND(N430&lt;&gt;"",COUNTIF($N$5:$N$549,N430)&gt;1),"CÓDIGO INTERNO DUPLICADO","OK"))))))</f>
        <v/>
      </c>
      <c r="B430" s="17" t="n"/>
      <c r="C430" s="23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23" t="n"/>
      <c r="M430" s="17" t="n"/>
      <c r="N430" s="23" t="n"/>
      <c r="O430" s="17" t="n"/>
      <c r="P430" s="28">
        <f>IF(A430&lt;&gt;"OK","","SELECT cli_crear_clientes(p_codigo_interno =&gt; "&amp;IF(TRIM(N430&amp;"")="","NULL","'"&amp;SUBSTITUTE(TRIM(N430),"'","''")&amp;"'")&amp;", p_razon_social =&gt; "&amp;IF(TRIM(D430&amp;"")="","NULL","'"&amp;SUBSTITUTE(TRIM(D430),"'","''")&amp;"'")&amp;", p_id_tipo_cliente =&gt; "&amp;IF(TRIM(I430&amp;"")="","NULL","(SELECT lo.id FROM gen_lista_opciones lo JOIN gen_lista l ON l.id = lo.id_lista WHERE l.nombre = 'TipoCliente' AND upper(lo.nombre) = upper('"&amp;SUBSTITUTE(TRIM(I430),"'","''")&amp;"') AND lo.estado = 1 LIMIT 1)")&amp;", p_id_tipo_persona =&gt; "&amp;IF(TRIM(H430&amp;"")="","NULL","(SELECT lo.id FROM gen_lista_opciones lo JOIN gen_lista l ON l.id = lo.id_lista WHERE l.nombre = 'TipoPersona' AND upper(lo.nombre) = upper('"&amp;SUBSTITUTE(TRIM(H430),"'","''")&amp;"') AND lo.estado = 1 LIMIT 1)")&amp;", p_nombres =&gt; "&amp;IF(TRIM(E430&amp;"")="","NULL","'"&amp;SUBSTITUTE(TRIM(E430),"'","''")&amp;"'")&amp;", p_apellido_paterno =&gt; "&amp;IF(TRIM(F430&amp;"")="","NULL","'"&amp;SUBSTITUTE(TRIM(F430),"'","''")&amp;"'")&amp;", p_apellido_materno =&gt; "&amp;IF(TRIM(G430&amp;"")="","NULL","'"&amp;SUBSTITUTE(TRIM(G430),"'","''")&amp;"'")&amp;", p_id_tipo_documento =&gt; "&amp;IF(TRIM(B430&amp;"")="","NULL","(SELECT lo.id FROM gen_lista_opciones lo JOIN gen_lista l ON l.id = lo.id_lista WHERE l.nombre = 'TipoDocumento' AND upper(lo.nombre) = upper('"&amp;SUBSTITUTE(TRIM(B430),"'","''")&amp;"') AND lo.estado = 1 LIMIT 1)")&amp;", p_numero_documento =&gt; "&amp;IF(TRIM(C430&amp;"")="","NULL","'"&amp;SUBSTITUTE(TRIM(C430),"'","''")&amp;"'")&amp;", p_telefono =&gt; "&amp;IF(TRIM(L430&amp;"")="","NULL","'"&amp;SUBSTITUTE(TRIM(L430),"'","''")&amp;"'")&amp;", p_email =&gt; "&amp;IF(TRIM(M430&amp;"")="","NULL","'"&amp;SUBSTITUTE(TRIM(M430),"'","''")&amp;"'")&amp;", p_observacion =&gt; "&amp;IF(TRIM(O430&amp;"")="","NULL","'"&amp;SUBSTITUTE(TRIM(O430),"'","''")&amp;"'")&amp;", p_direccion =&gt; "&amp;IF(TRIM(J430&amp;"")="","NULL","'"&amp;SUBSTITUTE(TRIM(J430),"'","''")&amp;"'")&amp;", p_referencia =&gt; "&amp;IF(TRIM(K430&amp;"")="","NULL","'"&amp;SUBSTITUTE(TRIM(K430),"'","''")&amp;"'")&amp;") AS resultado_cliente_"&amp;385&amp;";")</f>
        <v/>
      </c>
    </row>
    <row r="431" ht="15.75" customHeight="1" s="64">
      <c r="A431" s="25">
        <f>IF(AND(D431="",E431="",C431=""),"",IF(AND(D431="",E431=""),"FALTA razón social o nombres",IF(AND(C431&lt;&gt;"",COUNTIF($C$5:$C$549,C431)&gt;1),"DOCUMENTO DUPLICADO",IF(AND(B431="DNI",C431&lt;&gt;"",LEN(C431)&lt;&gt;8),"DNI debe tener 8 dígitos",IF(AND(B431="RUC",C431&lt;&gt;"",LEN(C431)&lt;&gt;11),"RUC debe tener 11 dígitos",IF(AND(N431&lt;&gt;"",COUNTIF($N$5:$N$549,N431)&gt;1),"CÓDIGO INTERNO DUPLICADO","OK"))))))</f>
        <v/>
      </c>
      <c r="B431" s="17" t="n"/>
      <c r="C431" s="23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23" t="n"/>
      <c r="M431" s="17" t="n"/>
      <c r="N431" s="23" t="n"/>
      <c r="O431" s="17" t="n"/>
      <c r="P431" s="28">
        <f>IF(A431&lt;&gt;"OK","","SELECT cli_crear_clientes(p_codigo_interno =&gt; "&amp;IF(TRIM(N431&amp;"")="","NULL","'"&amp;SUBSTITUTE(TRIM(N431),"'","''")&amp;"'")&amp;", p_razon_social =&gt; "&amp;IF(TRIM(D431&amp;"")="","NULL","'"&amp;SUBSTITUTE(TRIM(D431),"'","''")&amp;"'")&amp;", p_id_tipo_cliente =&gt; "&amp;IF(TRIM(I431&amp;"")="","NULL","(SELECT lo.id FROM gen_lista_opciones lo JOIN gen_lista l ON l.id = lo.id_lista WHERE l.nombre = 'TipoCliente' AND upper(lo.nombre) = upper('"&amp;SUBSTITUTE(TRIM(I431),"'","''")&amp;"') AND lo.estado = 1 LIMIT 1)")&amp;", p_id_tipo_persona =&gt; "&amp;IF(TRIM(H431&amp;"")="","NULL","(SELECT lo.id FROM gen_lista_opciones lo JOIN gen_lista l ON l.id = lo.id_lista WHERE l.nombre = 'TipoPersona' AND upper(lo.nombre) = upper('"&amp;SUBSTITUTE(TRIM(H431),"'","''")&amp;"') AND lo.estado = 1 LIMIT 1)")&amp;", p_nombres =&gt; "&amp;IF(TRIM(E431&amp;"")="","NULL","'"&amp;SUBSTITUTE(TRIM(E431),"'","''")&amp;"'")&amp;", p_apellido_paterno =&gt; "&amp;IF(TRIM(F431&amp;"")="","NULL","'"&amp;SUBSTITUTE(TRIM(F431),"'","''")&amp;"'")&amp;", p_apellido_materno =&gt; "&amp;IF(TRIM(G431&amp;"")="","NULL","'"&amp;SUBSTITUTE(TRIM(G431),"'","''")&amp;"'")&amp;", p_id_tipo_documento =&gt; "&amp;IF(TRIM(B431&amp;"")="","NULL","(SELECT lo.id FROM gen_lista_opciones lo JOIN gen_lista l ON l.id = lo.id_lista WHERE l.nombre = 'TipoDocumento' AND upper(lo.nombre) = upper('"&amp;SUBSTITUTE(TRIM(B431),"'","''")&amp;"') AND lo.estado = 1 LIMIT 1)")&amp;", p_numero_documento =&gt; "&amp;IF(TRIM(C431&amp;"")="","NULL","'"&amp;SUBSTITUTE(TRIM(C431),"'","''")&amp;"'")&amp;", p_telefono =&gt; "&amp;IF(TRIM(L431&amp;"")="","NULL","'"&amp;SUBSTITUTE(TRIM(L431),"'","''")&amp;"'")&amp;", p_email =&gt; "&amp;IF(TRIM(M431&amp;"")="","NULL","'"&amp;SUBSTITUTE(TRIM(M431),"'","''")&amp;"'")&amp;", p_observacion =&gt; "&amp;IF(TRIM(O431&amp;"")="","NULL","'"&amp;SUBSTITUTE(TRIM(O431),"'","''")&amp;"'")&amp;", p_direccion =&gt; "&amp;IF(TRIM(J431&amp;"")="","NULL","'"&amp;SUBSTITUTE(TRIM(J431),"'","''")&amp;"'")&amp;", p_referencia =&gt; "&amp;IF(TRIM(K431&amp;"")="","NULL","'"&amp;SUBSTITUTE(TRIM(K431),"'","''")&amp;"'")&amp;") AS resultado_cliente_"&amp;386&amp;";")</f>
        <v/>
      </c>
    </row>
    <row r="432" ht="15.75" customHeight="1" s="64">
      <c r="A432" s="25">
        <f>IF(AND(D432="",E432="",C432=""),"",IF(AND(D432="",E432=""),"FALTA razón social o nombres",IF(AND(C432&lt;&gt;"",COUNTIF($C$5:$C$549,C432)&gt;1),"DOCUMENTO DUPLICADO",IF(AND(B432="DNI",C432&lt;&gt;"",LEN(C432)&lt;&gt;8),"DNI debe tener 8 dígitos",IF(AND(B432="RUC",C432&lt;&gt;"",LEN(C432)&lt;&gt;11),"RUC debe tener 11 dígitos",IF(AND(N432&lt;&gt;"",COUNTIF($N$5:$N$549,N432)&gt;1),"CÓDIGO INTERNO DUPLICADO","OK"))))))</f>
        <v/>
      </c>
      <c r="B432" s="17" t="n"/>
      <c r="C432" s="23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23" t="n"/>
      <c r="M432" s="17" t="n"/>
      <c r="N432" s="23" t="n"/>
      <c r="O432" s="17" t="n"/>
      <c r="P432" s="28">
        <f>IF(A432&lt;&gt;"OK","","SELECT cli_crear_clientes(p_codigo_interno =&gt; "&amp;IF(TRIM(N432&amp;"")="","NULL","'"&amp;SUBSTITUTE(TRIM(N432),"'","''")&amp;"'")&amp;", p_razon_social =&gt; "&amp;IF(TRIM(D432&amp;"")="","NULL","'"&amp;SUBSTITUTE(TRIM(D432),"'","''")&amp;"'")&amp;", p_id_tipo_cliente =&gt; "&amp;IF(TRIM(I432&amp;"")="","NULL","(SELECT lo.id FROM gen_lista_opciones lo JOIN gen_lista l ON l.id = lo.id_lista WHERE l.nombre = 'TipoCliente' AND upper(lo.nombre) = upper('"&amp;SUBSTITUTE(TRIM(I432),"'","''")&amp;"') AND lo.estado = 1 LIMIT 1)")&amp;", p_id_tipo_persona =&gt; "&amp;IF(TRIM(H432&amp;"")="","NULL","(SELECT lo.id FROM gen_lista_opciones lo JOIN gen_lista l ON l.id = lo.id_lista WHERE l.nombre = 'TipoPersona' AND upper(lo.nombre) = upper('"&amp;SUBSTITUTE(TRIM(H432),"'","''")&amp;"') AND lo.estado = 1 LIMIT 1)")&amp;", p_nombres =&gt; "&amp;IF(TRIM(E432&amp;"")="","NULL","'"&amp;SUBSTITUTE(TRIM(E432),"'","''")&amp;"'")&amp;", p_apellido_paterno =&gt; "&amp;IF(TRIM(F432&amp;"")="","NULL","'"&amp;SUBSTITUTE(TRIM(F432),"'","''")&amp;"'")&amp;", p_apellido_materno =&gt; "&amp;IF(TRIM(G432&amp;"")="","NULL","'"&amp;SUBSTITUTE(TRIM(G432),"'","''")&amp;"'")&amp;", p_id_tipo_documento =&gt; "&amp;IF(TRIM(B432&amp;"")="","NULL","(SELECT lo.id FROM gen_lista_opciones lo JOIN gen_lista l ON l.id = lo.id_lista WHERE l.nombre = 'TipoDocumento' AND upper(lo.nombre) = upper('"&amp;SUBSTITUTE(TRIM(B432),"'","''")&amp;"') AND lo.estado = 1 LIMIT 1)")&amp;", p_numero_documento =&gt; "&amp;IF(TRIM(C432&amp;"")="","NULL","'"&amp;SUBSTITUTE(TRIM(C432),"'","''")&amp;"'")&amp;", p_telefono =&gt; "&amp;IF(TRIM(L432&amp;"")="","NULL","'"&amp;SUBSTITUTE(TRIM(L432),"'","''")&amp;"'")&amp;", p_email =&gt; "&amp;IF(TRIM(M432&amp;"")="","NULL","'"&amp;SUBSTITUTE(TRIM(M432),"'","''")&amp;"'")&amp;", p_observacion =&gt; "&amp;IF(TRIM(O432&amp;"")="","NULL","'"&amp;SUBSTITUTE(TRIM(O432),"'","''")&amp;"'")&amp;", p_direccion =&gt; "&amp;IF(TRIM(J432&amp;"")="","NULL","'"&amp;SUBSTITUTE(TRIM(J432),"'","''")&amp;"'")&amp;", p_referencia =&gt; "&amp;IF(TRIM(K432&amp;"")="","NULL","'"&amp;SUBSTITUTE(TRIM(K432),"'","''")&amp;"'")&amp;") AS resultado_cliente_"&amp;387&amp;";")</f>
        <v/>
      </c>
    </row>
    <row r="433" ht="15.75" customHeight="1" s="64">
      <c r="A433" s="25">
        <f>IF(AND(D433="",E433="",C433=""),"",IF(AND(D433="",E433=""),"FALTA razón social o nombres",IF(AND(C433&lt;&gt;"",COUNTIF($C$5:$C$549,C433)&gt;1),"DOCUMENTO DUPLICADO",IF(AND(B433="DNI",C433&lt;&gt;"",LEN(C433)&lt;&gt;8),"DNI debe tener 8 dígitos",IF(AND(B433="RUC",C433&lt;&gt;"",LEN(C433)&lt;&gt;11),"RUC debe tener 11 dígitos",IF(AND(N433&lt;&gt;"",COUNTIF($N$5:$N$549,N433)&gt;1),"CÓDIGO INTERNO DUPLICADO","OK"))))))</f>
        <v/>
      </c>
      <c r="B433" s="17" t="n"/>
      <c r="C433" s="23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23" t="n"/>
      <c r="M433" s="17" t="n"/>
      <c r="N433" s="23" t="n"/>
      <c r="O433" s="17" t="n"/>
      <c r="P433" s="28">
        <f>IF(A433&lt;&gt;"OK","","SELECT cli_crear_clientes(p_codigo_interno =&gt; "&amp;IF(TRIM(N433&amp;"")="","NULL","'"&amp;SUBSTITUTE(TRIM(N433),"'","''")&amp;"'")&amp;", p_razon_social =&gt; "&amp;IF(TRIM(D433&amp;"")="","NULL","'"&amp;SUBSTITUTE(TRIM(D433),"'","''")&amp;"'")&amp;", p_id_tipo_cliente =&gt; "&amp;IF(TRIM(I433&amp;"")="","NULL","(SELECT lo.id FROM gen_lista_opciones lo JOIN gen_lista l ON l.id = lo.id_lista WHERE l.nombre = 'TipoCliente' AND upper(lo.nombre) = upper('"&amp;SUBSTITUTE(TRIM(I433),"'","''")&amp;"') AND lo.estado = 1 LIMIT 1)")&amp;", p_id_tipo_persona =&gt; "&amp;IF(TRIM(H433&amp;"")="","NULL","(SELECT lo.id FROM gen_lista_opciones lo JOIN gen_lista l ON l.id = lo.id_lista WHERE l.nombre = 'TipoPersona' AND upper(lo.nombre) = upper('"&amp;SUBSTITUTE(TRIM(H433),"'","''")&amp;"') AND lo.estado = 1 LIMIT 1)")&amp;", p_nombres =&gt; "&amp;IF(TRIM(E433&amp;"")="","NULL","'"&amp;SUBSTITUTE(TRIM(E433),"'","''")&amp;"'")&amp;", p_apellido_paterno =&gt; "&amp;IF(TRIM(F433&amp;"")="","NULL","'"&amp;SUBSTITUTE(TRIM(F433),"'","''")&amp;"'")&amp;", p_apellido_materno =&gt; "&amp;IF(TRIM(G433&amp;"")="","NULL","'"&amp;SUBSTITUTE(TRIM(G433),"'","''")&amp;"'")&amp;", p_id_tipo_documento =&gt; "&amp;IF(TRIM(B433&amp;"")="","NULL","(SELECT lo.id FROM gen_lista_opciones lo JOIN gen_lista l ON l.id = lo.id_lista WHERE l.nombre = 'TipoDocumento' AND upper(lo.nombre) = upper('"&amp;SUBSTITUTE(TRIM(B433),"'","''")&amp;"') AND lo.estado = 1 LIMIT 1)")&amp;", p_numero_documento =&gt; "&amp;IF(TRIM(C433&amp;"")="","NULL","'"&amp;SUBSTITUTE(TRIM(C433),"'","''")&amp;"'")&amp;", p_telefono =&gt; "&amp;IF(TRIM(L433&amp;"")="","NULL","'"&amp;SUBSTITUTE(TRIM(L433),"'","''")&amp;"'")&amp;", p_email =&gt; "&amp;IF(TRIM(M433&amp;"")="","NULL","'"&amp;SUBSTITUTE(TRIM(M433),"'","''")&amp;"'")&amp;", p_observacion =&gt; "&amp;IF(TRIM(O433&amp;"")="","NULL","'"&amp;SUBSTITUTE(TRIM(O433),"'","''")&amp;"'")&amp;", p_direccion =&gt; "&amp;IF(TRIM(J433&amp;"")="","NULL","'"&amp;SUBSTITUTE(TRIM(J433),"'","''")&amp;"'")&amp;", p_referencia =&gt; "&amp;IF(TRIM(K433&amp;"")="","NULL","'"&amp;SUBSTITUTE(TRIM(K433),"'","''")&amp;"'")&amp;") AS resultado_cliente_"&amp;388&amp;";")</f>
        <v/>
      </c>
    </row>
    <row r="434" ht="15.75" customHeight="1" s="64">
      <c r="A434" s="25">
        <f>IF(AND(D434="",E434="",C434=""),"",IF(AND(D434="",E434=""),"FALTA razón social o nombres",IF(AND(C434&lt;&gt;"",COUNTIF($C$5:$C$549,C434)&gt;1),"DOCUMENTO DUPLICADO",IF(AND(B434="DNI",C434&lt;&gt;"",LEN(C434)&lt;&gt;8),"DNI debe tener 8 dígitos",IF(AND(B434="RUC",C434&lt;&gt;"",LEN(C434)&lt;&gt;11),"RUC debe tener 11 dígitos",IF(AND(N434&lt;&gt;"",COUNTIF($N$5:$N$549,N434)&gt;1),"CÓDIGO INTERNO DUPLICADO","OK"))))))</f>
        <v/>
      </c>
      <c r="B434" s="17" t="n"/>
      <c r="C434" s="23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23" t="n"/>
      <c r="M434" s="17" t="n"/>
      <c r="N434" s="23" t="n"/>
      <c r="O434" s="17" t="n"/>
      <c r="P434" s="28">
        <f>IF(A434&lt;&gt;"OK","","SELECT cli_crear_clientes(p_codigo_interno =&gt; "&amp;IF(TRIM(N434&amp;"")="","NULL","'"&amp;SUBSTITUTE(TRIM(N434),"'","''")&amp;"'")&amp;", p_razon_social =&gt; "&amp;IF(TRIM(D434&amp;"")="","NULL","'"&amp;SUBSTITUTE(TRIM(D434),"'","''")&amp;"'")&amp;", p_id_tipo_cliente =&gt; "&amp;IF(TRIM(I434&amp;"")="","NULL","(SELECT lo.id FROM gen_lista_opciones lo JOIN gen_lista l ON l.id = lo.id_lista WHERE l.nombre = 'TipoCliente' AND upper(lo.nombre) = upper('"&amp;SUBSTITUTE(TRIM(I434),"'","''")&amp;"') AND lo.estado = 1 LIMIT 1)")&amp;", p_id_tipo_persona =&gt; "&amp;IF(TRIM(H434&amp;"")="","NULL","(SELECT lo.id FROM gen_lista_opciones lo JOIN gen_lista l ON l.id = lo.id_lista WHERE l.nombre = 'TipoPersona' AND upper(lo.nombre) = upper('"&amp;SUBSTITUTE(TRIM(H434),"'","''")&amp;"') AND lo.estado = 1 LIMIT 1)")&amp;", p_nombres =&gt; "&amp;IF(TRIM(E434&amp;"")="","NULL","'"&amp;SUBSTITUTE(TRIM(E434),"'","''")&amp;"'")&amp;", p_apellido_paterno =&gt; "&amp;IF(TRIM(F434&amp;"")="","NULL","'"&amp;SUBSTITUTE(TRIM(F434),"'","''")&amp;"'")&amp;", p_apellido_materno =&gt; "&amp;IF(TRIM(G434&amp;"")="","NULL","'"&amp;SUBSTITUTE(TRIM(G434),"'","''")&amp;"'")&amp;", p_id_tipo_documento =&gt; "&amp;IF(TRIM(B434&amp;"")="","NULL","(SELECT lo.id FROM gen_lista_opciones lo JOIN gen_lista l ON l.id = lo.id_lista WHERE l.nombre = 'TipoDocumento' AND upper(lo.nombre) = upper('"&amp;SUBSTITUTE(TRIM(B434),"'","''")&amp;"') AND lo.estado = 1 LIMIT 1)")&amp;", p_numero_documento =&gt; "&amp;IF(TRIM(C434&amp;"")="","NULL","'"&amp;SUBSTITUTE(TRIM(C434),"'","''")&amp;"'")&amp;", p_telefono =&gt; "&amp;IF(TRIM(L434&amp;"")="","NULL","'"&amp;SUBSTITUTE(TRIM(L434),"'","''")&amp;"'")&amp;", p_email =&gt; "&amp;IF(TRIM(M434&amp;"")="","NULL","'"&amp;SUBSTITUTE(TRIM(M434),"'","''")&amp;"'")&amp;", p_observacion =&gt; "&amp;IF(TRIM(O434&amp;"")="","NULL","'"&amp;SUBSTITUTE(TRIM(O434),"'","''")&amp;"'")&amp;", p_direccion =&gt; "&amp;IF(TRIM(J434&amp;"")="","NULL","'"&amp;SUBSTITUTE(TRIM(J434),"'","''")&amp;"'")&amp;", p_referencia =&gt; "&amp;IF(TRIM(K434&amp;"")="","NULL","'"&amp;SUBSTITUTE(TRIM(K434),"'","''")&amp;"'")&amp;") AS resultado_cliente_"&amp;389&amp;";")</f>
        <v/>
      </c>
    </row>
    <row r="435" ht="15.75" customHeight="1" s="64">
      <c r="A435" s="25">
        <f>IF(AND(D435="",E435="",C435=""),"",IF(AND(D435="",E435=""),"FALTA razón social o nombres",IF(AND(C435&lt;&gt;"",COUNTIF($C$5:$C$549,C435)&gt;1),"DOCUMENTO DUPLICADO",IF(AND(B435="DNI",C435&lt;&gt;"",LEN(C435)&lt;&gt;8),"DNI debe tener 8 dígitos",IF(AND(B435="RUC",C435&lt;&gt;"",LEN(C435)&lt;&gt;11),"RUC debe tener 11 dígitos",IF(AND(N435&lt;&gt;"",COUNTIF($N$5:$N$549,N435)&gt;1),"CÓDIGO INTERNO DUPLICADO","OK"))))))</f>
        <v/>
      </c>
      <c r="B435" s="17" t="n"/>
      <c r="C435" s="23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23" t="n"/>
      <c r="M435" s="17" t="n"/>
      <c r="N435" s="23" t="n"/>
      <c r="O435" s="17" t="n"/>
      <c r="P435" s="28">
        <f>IF(A435&lt;&gt;"OK","","SELECT cli_crear_clientes(p_codigo_interno =&gt; "&amp;IF(TRIM(N435&amp;"")="","NULL","'"&amp;SUBSTITUTE(TRIM(N435),"'","''")&amp;"'")&amp;", p_razon_social =&gt; "&amp;IF(TRIM(D435&amp;"")="","NULL","'"&amp;SUBSTITUTE(TRIM(D435),"'","''")&amp;"'")&amp;", p_id_tipo_cliente =&gt; "&amp;IF(TRIM(I435&amp;"")="","NULL","(SELECT lo.id FROM gen_lista_opciones lo JOIN gen_lista l ON l.id = lo.id_lista WHERE l.nombre = 'TipoCliente' AND upper(lo.nombre) = upper('"&amp;SUBSTITUTE(TRIM(I435),"'","''")&amp;"') AND lo.estado = 1 LIMIT 1)")&amp;", p_id_tipo_persona =&gt; "&amp;IF(TRIM(H435&amp;"")="","NULL","(SELECT lo.id FROM gen_lista_opciones lo JOIN gen_lista l ON l.id = lo.id_lista WHERE l.nombre = 'TipoPersona' AND upper(lo.nombre) = upper('"&amp;SUBSTITUTE(TRIM(H435),"'","''")&amp;"') AND lo.estado = 1 LIMIT 1)")&amp;", p_nombres =&gt; "&amp;IF(TRIM(E435&amp;"")="","NULL","'"&amp;SUBSTITUTE(TRIM(E435),"'","''")&amp;"'")&amp;", p_apellido_paterno =&gt; "&amp;IF(TRIM(F435&amp;"")="","NULL","'"&amp;SUBSTITUTE(TRIM(F435),"'","''")&amp;"'")&amp;", p_apellido_materno =&gt; "&amp;IF(TRIM(G435&amp;"")="","NULL","'"&amp;SUBSTITUTE(TRIM(G435),"'","''")&amp;"'")&amp;", p_id_tipo_documento =&gt; "&amp;IF(TRIM(B435&amp;"")="","NULL","(SELECT lo.id FROM gen_lista_opciones lo JOIN gen_lista l ON l.id = lo.id_lista WHERE l.nombre = 'TipoDocumento' AND upper(lo.nombre) = upper('"&amp;SUBSTITUTE(TRIM(B435),"'","''")&amp;"') AND lo.estado = 1 LIMIT 1)")&amp;", p_numero_documento =&gt; "&amp;IF(TRIM(C435&amp;"")="","NULL","'"&amp;SUBSTITUTE(TRIM(C435),"'","''")&amp;"'")&amp;", p_telefono =&gt; "&amp;IF(TRIM(L435&amp;"")="","NULL","'"&amp;SUBSTITUTE(TRIM(L435),"'","''")&amp;"'")&amp;", p_email =&gt; "&amp;IF(TRIM(M435&amp;"")="","NULL","'"&amp;SUBSTITUTE(TRIM(M435),"'","''")&amp;"'")&amp;", p_observacion =&gt; "&amp;IF(TRIM(O435&amp;"")="","NULL","'"&amp;SUBSTITUTE(TRIM(O435),"'","''")&amp;"'")&amp;", p_direccion =&gt; "&amp;IF(TRIM(J435&amp;"")="","NULL","'"&amp;SUBSTITUTE(TRIM(J435),"'","''")&amp;"'")&amp;", p_referencia =&gt; "&amp;IF(TRIM(K435&amp;"")="","NULL","'"&amp;SUBSTITUTE(TRIM(K435),"'","''")&amp;"'")&amp;") AS resultado_cliente_"&amp;390&amp;";")</f>
        <v/>
      </c>
    </row>
    <row r="436" ht="15.75" customHeight="1" s="64">
      <c r="A436" s="25">
        <f>IF(AND(D436="",E436="",C436=""),"",IF(AND(D436="",E436=""),"FALTA razón social o nombres",IF(AND(C436&lt;&gt;"",COUNTIF($C$5:$C$549,C436)&gt;1),"DOCUMENTO DUPLICADO",IF(AND(B436="DNI",C436&lt;&gt;"",LEN(C436)&lt;&gt;8),"DNI debe tener 8 dígitos",IF(AND(B436="RUC",C436&lt;&gt;"",LEN(C436)&lt;&gt;11),"RUC debe tener 11 dígitos",IF(AND(N436&lt;&gt;"",COUNTIF($N$5:$N$549,N436)&gt;1),"CÓDIGO INTERNO DUPLICADO","OK"))))))</f>
        <v/>
      </c>
      <c r="B436" s="17" t="n"/>
      <c r="C436" s="23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23" t="n"/>
      <c r="M436" s="17" t="n"/>
      <c r="N436" s="23" t="n"/>
      <c r="O436" s="17" t="n"/>
      <c r="P436" s="28">
        <f>IF(A436&lt;&gt;"OK","","SELECT cli_crear_clientes(p_codigo_interno =&gt; "&amp;IF(TRIM(N436&amp;"")="","NULL","'"&amp;SUBSTITUTE(TRIM(N436),"'","''")&amp;"'")&amp;", p_razon_social =&gt; "&amp;IF(TRIM(D436&amp;"")="","NULL","'"&amp;SUBSTITUTE(TRIM(D436),"'","''")&amp;"'")&amp;", p_id_tipo_cliente =&gt; "&amp;IF(TRIM(I436&amp;"")="","NULL","(SELECT lo.id FROM gen_lista_opciones lo JOIN gen_lista l ON l.id = lo.id_lista WHERE l.nombre = 'TipoCliente' AND upper(lo.nombre) = upper('"&amp;SUBSTITUTE(TRIM(I436),"'","''")&amp;"') AND lo.estado = 1 LIMIT 1)")&amp;", p_id_tipo_persona =&gt; "&amp;IF(TRIM(H436&amp;"")="","NULL","(SELECT lo.id FROM gen_lista_opciones lo JOIN gen_lista l ON l.id = lo.id_lista WHERE l.nombre = 'TipoPersona' AND upper(lo.nombre) = upper('"&amp;SUBSTITUTE(TRIM(H436),"'","''")&amp;"') AND lo.estado = 1 LIMIT 1)")&amp;", p_nombres =&gt; "&amp;IF(TRIM(E436&amp;"")="","NULL","'"&amp;SUBSTITUTE(TRIM(E436),"'","''")&amp;"'")&amp;", p_apellido_paterno =&gt; "&amp;IF(TRIM(F436&amp;"")="","NULL","'"&amp;SUBSTITUTE(TRIM(F436),"'","''")&amp;"'")&amp;", p_apellido_materno =&gt; "&amp;IF(TRIM(G436&amp;"")="","NULL","'"&amp;SUBSTITUTE(TRIM(G436),"'","''")&amp;"'")&amp;", p_id_tipo_documento =&gt; "&amp;IF(TRIM(B436&amp;"")="","NULL","(SELECT lo.id FROM gen_lista_opciones lo JOIN gen_lista l ON l.id = lo.id_lista WHERE l.nombre = 'TipoDocumento' AND upper(lo.nombre) = upper('"&amp;SUBSTITUTE(TRIM(B436),"'","''")&amp;"') AND lo.estado = 1 LIMIT 1)")&amp;", p_numero_documento =&gt; "&amp;IF(TRIM(C436&amp;"")="","NULL","'"&amp;SUBSTITUTE(TRIM(C436),"'","''")&amp;"'")&amp;", p_telefono =&gt; "&amp;IF(TRIM(L436&amp;"")="","NULL","'"&amp;SUBSTITUTE(TRIM(L436),"'","''")&amp;"'")&amp;", p_email =&gt; "&amp;IF(TRIM(M436&amp;"")="","NULL","'"&amp;SUBSTITUTE(TRIM(M436),"'","''")&amp;"'")&amp;", p_observacion =&gt; "&amp;IF(TRIM(O436&amp;"")="","NULL","'"&amp;SUBSTITUTE(TRIM(O436),"'","''")&amp;"'")&amp;", p_direccion =&gt; "&amp;IF(TRIM(J436&amp;"")="","NULL","'"&amp;SUBSTITUTE(TRIM(J436),"'","''")&amp;"'")&amp;", p_referencia =&gt; "&amp;IF(TRIM(K436&amp;"")="","NULL","'"&amp;SUBSTITUTE(TRIM(K436),"'","''")&amp;"'")&amp;") AS resultado_cliente_"&amp;391&amp;";")</f>
        <v/>
      </c>
    </row>
    <row r="437" ht="15.75" customHeight="1" s="64">
      <c r="A437" s="25">
        <f>IF(AND(D437="",E437="",C437=""),"",IF(AND(D437="",E437=""),"FALTA razón social o nombres",IF(AND(C437&lt;&gt;"",COUNTIF($C$5:$C$549,C437)&gt;1),"DOCUMENTO DUPLICADO",IF(AND(B437="DNI",C437&lt;&gt;"",LEN(C437)&lt;&gt;8),"DNI debe tener 8 dígitos",IF(AND(B437="RUC",C437&lt;&gt;"",LEN(C437)&lt;&gt;11),"RUC debe tener 11 dígitos",IF(AND(N437&lt;&gt;"",COUNTIF($N$5:$N$549,N437)&gt;1),"CÓDIGO INTERNO DUPLICADO","OK"))))))</f>
        <v/>
      </c>
      <c r="B437" s="17" t="n"/>
      <c r="C437" s="23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23" t="n"/>
      <c r="M437" s="17" t="n"/>
      <c r="N437" s="23" t="n"/>
      <c r="O437" s="17" t="n"/>
      <c r="P437" s="28">
        <f>IF(A437&lt;&gt;"OK","","SELECT cli_crear_clientes(p_codigo_interno =&gt; "&amp;IF(TRIM(N437&amp;"")="","NULL","'"&amp;SUBSTITUTE(TRIM(N437),"'","''")&amp;"'")&amp;", p_razon_social =&gt; "&amp;IF(TRIM(D437&amp;"")="","NULL","'"&amp;SUBSTITUTE(TRIM(D437),"'","''")&amp;"'")&amp;", p_id_tipo_cliente =&gt; "&amp;IF(TRIM(I437&amp;"")="","NULL","(SELECT lo.id FROM gen_lista_opciones lo JOIN gen_lista l ON l.id = lo.id_lista WHERE l.nombre = 'TipoCliente' AND upper(lo.nombre) = upper('"&amp;SUBSTITUTE(TRIM(I437),"'","''")&amp;"') AND lo.estado = 1 LIMIT 1)")&amp;", p_id_tipo_persona =&gt; "&amp;IF(TRIM(H437&amp;"")="","NULL","(SELECT lo.id FROM gen_lista_opciones lo JOIN gen_lista l ON l.id = lo.id_lista WHERE l.nombre = 'TipoPersona' AND upper(lo.nombre) = upper('"&amp;SUBSTITUTE(TRIM(H437),"'","''")&amp;"') AND lo.estado = 1 LIMIT 1)")&amp;", p_nombres =&gt; "&amp;IF(TRIM(E437&amp;"")="","NULL","'"&amp;SUBSTITUTE(TRIM(E437),"'","''")&amp;"'")&amp;", p_apellido_paterno =&gt; "&amp;IF(TRIM(F437&amp;"")="","NULL","'"&amp;SUBSTITUTE(TRIM(F437),"'","''")&amp;"'")&amp;", p_apellido_materno =&gt; "&amp;IF(TRIM(G437&amp;"")="","NULL","'"&amp;SUBSTITUTE(TRIM(G437),"'","''")&amp;"'")&amp;", p_id_tipo_documento =&gt; "&amp;IF(TRIM(B437&amp;"")="","NULL","(SELECT lo.id FROM gen_lista_opciones lo JOIN gen_lista l ON l.id = lo.id_lista WHERE l.nombre = 'TipoDocumento' AND upper(lo.nombre) = upper('"&amp;SUBSTITUTE(TRIM(B437),"'","''")&amp;"') AND lo.estado = 1 LIMIT 1)")&amp;", p_numero_documento =&gt; "&amp;IF(TRIM(C437&amp;"")="","NULL","'"&amp;SUBSTITUTE(TRIM(C437),"'","''")&amp;"'")&amp;", p_telefono =&gt; "&amp;IF(TRIM(L437&amp;"")="","NULL","'"&amp;SUBSTITUTE(TRIM(L437),"'","''")&amp;"'")&amp;", p_email =&gt; "&amp;IF(TRIM(M437&amp;"")="","NULL","'"&amp;SUBSTITUTE(TRIM(M437),"'","''")&amp;"'")&amp;", p_observacion =&gt; "&amp;IF(TRIM(O437&amp;"")="","NULL","'"&amp;SUBSTITUTE(TRIM(O437),"'","''")&amp;"'")&amp;", p_direccion =&gt; "&amp;IF(TRIM(J437&amp;"")="","NULL","'"&amp;SUBSTITUTE(TRIM(J437),"'","''")&amp;"'")&amp;", p_referencia =&gt; "&amp;IF(TRIM(K437&amp;"")="","NULL","'"&amp;SUBSTITUTE(TRIM(K437),"'","''")&amp;"'")&amp;") AS resultado_cliente_"&amp;392&amp;";")</f>
        <v/>
      </c>
    </row>
    <row r="438" ht="15.75" customHeight="1" s="64">
      <c r="A438" s="25">
        <f>IF(AND(D438="",E438="",C438=""),"",IF(AND(D438="",E438=""),"FALTA razón social o nombres",IF(AND(C438&lt;&gt;"",COUNTIF($C$5:$C$549,C438)&gt;1),"DOCUMENTO DUPLICADO",IF(AND(B438="DNI",C438&lt;&gt;"",LEN(C438)&lt;&gt;8),"DNI debe tener 8 dígitos",IF(AND(B438="RUC",C438&lt;&gt;"",LEN(C438)&lt;&gt;11),"RUC debe tener 11 dígitos",IF(AND(N438&lt;&gt;"",COUNTIF($N$5:$N$549,N438)&gt;1),"CÓDIGO INTERNO DUPLICADO","OK"))))))</f>
        <v/>
      </c>
      <c r="B438" s="17" t="n"/>
      <c r="C438" s="23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23" t="n"/>
      <c r="M438" s="17" t="n"/>
      <c r="N438" s="23" t="n"/>
      <c r="O438" s="17" t="n"/>
      <c r="P438" s="28">
        <f>IF(A438&lt;&gt;"OK","","SELECT cli_crear_clientes(p_codigo_interno =&gt; "&amp;IF(TRIM(N438&amp;"")="","NULL","'"&amp;SUBSTITUTE(TRIM(N438),"'","''")&amp;"'")&amp;", p_razon_social =&gt; "&amp;IF(TRIM(D438&amp;"")="","NULL","'"&amp;SUBSTITUTE(TRIM(D438),"'","''")&amp;"'")&amp;", p_id_tipo_cliente =&gt; "&amp;IF(TRIM(I438&amp;"")="","NULL","(SELECT lo.id FROM gen_lista_opciones lo JOIN gen_lista l ON l.id = lo.id_lista WHERE l.nombre = 'TipoCliente' AND upper(lo.nombre) = upper('"&amp;SUBSTITUTE(TRIM(I438),"'","''")&amp;"') AND lo.estado = 1 LIMIT 1)")&amp;", p_id_tipo_persona =&gt; "&amp;IF(TRIM(H438&amp;"")="","NULL","(SELECT lo.id FROM gen_lista_opciones lo JOIN gen_lista l ON l.id = lo.id_lista WHERE l.nombre = 'TipoPersona' AND upper(lo.nombre) = upper('"&amp;SUBSTITUTE(TRIM(H438),"'","''")&amp;"') AND lo.estado = 1 LIMIT 1)")&amp;", p_nombres =&gt; "&amp;IF(TRIM(E438&amp;"")="","NULL","'"&amp;SUBSTITUTE(TRIM(E438),"'","''")&amp;"'")&amp;", p_apellido_paterno =&gt; "&amp;IF(TRIM(F438&amp;"")="","NULL","'"&amp;SUBSTITUTE(TRIM(F438),"'","''")&amp;"'")&amp;", p_apellido_materno =&gt; "&amp;IF(TRIM(G438&amp;"")="","NULL","'"&amp;SUBSTITUTE(TRIM(G438),"'","''")&amp;"'")&amp;", p_id_tipo_documento =&gt; "&amp;IF(TRIM(B438&amp;"")="","NULL","(SELECT lo.id FROM gen_lista_opciones lo JOIN gen_lista l ON l.id = lo.id_lista WHERE l.nombre = 'TipoDocumento' AND upper(lo.nombre) = upper('"&amp;SUBSTITUTE(TRIM(B438),"'","''")&amp;"') AND lo.estado = 1 LIMIT 1)")&amp;", p_numero_documento =&gt; "&amp;IF(TRIM(C438&amp;"")="","NULL","'"&amp;SUBSTITUTE(TRIM(C438),"'","''")&amp;"'")&amp;", p_telefono =&gt; "&amp;IF(TRIM(L438&amp;"")="","NULL","'"&amp;SUBSTITUTE(TRIM(L438),"'","''")&amp;"'")&amp;", p_email =&gt; "&amp;IF(TRIM(M438&amp;"")="","NULL","'"&amp;SUBSTITUTE(TRIM(M438),"'","''")&amp;"'")&amp;", p_observacion =&gt; "&amp;IF(TRIM(O438&amp;"")="","NULL","'"&amp;SUBSTITUTE(TRIM(O438),"'","''")&amp;"'")&amp;", p_direccion =&gt; "&amp;IF(TRIM(J438&amp;"")="","NULL","'"&amp;SUBSTITUTE(TRIM(J438),"'","''")&amp;"'")&amp;", p_referencia =&gt; "&amp;IF(TRIM(K438&amp;"")="","NULL","'"&amp;SUBSTITUTE(TRIM(K438),"'","''")&amp;"'")&amp;") AS resultado_cliente_"&amp;393&amp;";")</f>
        <v/>
      </c>
    </row>
    <row r="439" ht="15.75" customHeight="1" s="64">
      <c r="A439" s="25">
        <f>IF(AND(D439="",E439="",C439=""),"",IF(AND(D439="",E439=""),"FALTA razón social o nombres",IF(AND(C439&lt;&gt;"",COUNTIF($C$5:$C$549,C439)&gt;1),"DOCUMENTO DUPLICADO",IF(AND(B439="DNI",C439&lt;&gt;"",LEN(C439)&lt;&gt;8),"DNI debe tener 8 dígitos",IF(AND(B439="RUC",C439&lt;&gt;"",LEN(C439)&lt;&gt;11),"RUC debe tener 11 dígitos",IF(AND(N439&lt;&gt;"",COUNTIF($N$5:$N$549,N439)&gt;1),"CÓDIGO INTERNO DUPLICADO","OK"))))))</f>
        <v/>
      </c>
      <c r="B439" s="17" t="n"/>
      <c r="C439" s="23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23" t="n"/>
      <c r="M439" s="17" t="n"/>
      <c r="N439" s="23" t="n"/>
      <c r="O439" s="17" t="n"/>
      <c r="P439" s="28">
        <f>IF(A439&lt;&gt;"OK","","SELECT cli_crear_clientes(p_codigo_interno =&gt; "&amp;IF(TRIM(N439&amp;"")="","NULL","'"&amp;SUBSTITUTE(TRIM(N439),"'","''")&amp;"'")&amp;", p_razon_social =&gt; "&amp;IF(TRIM(D439&amp;"")="","NULL","'"&amp;SUBSTITUTE(TRIM(D439),"'","''")&amp;"'")&amp;", p_id_tipo_cliente =&gt; "&amp;IF(TRIM(I439&amp;"")="","NULL","(SELECT lo.id FROM gen_lista_opciones lo JOIN gen_lista l ON l.id = lo.id_lista WHERE l.nombre = 'TipoCliente' AND upper(lo.nombre) = upper('"&amp;SUBSTITUTE(TRIM(I439),"'","''")&amp;"') AND lo.estado = 1 LIMIT 1)")&amp;", p_id_tipo_persona =&gt; "&amp;IF(TRIM(H439&amp;"")="","NULL","(SELECT lo.id FROM gen_lista_opciones lo JOIN gen_lista l ON l.id = lo.id_lista WHERE l.nombre = 'TipoPersona' AND upper(lo.nombre) = upper('"&amp;SUBSTITUTE(TRIM(H439),"'","''")&amp;"') AND lo.estado = 1 LIMIT 1)")&amp;", p_nombres =&gt; "&amp;IF(TRIM(E439&amp;"")="","NULL","'"&amp;SUBSTITUTE(TRIM(E439),"'","''")&amp;"'")&amp;", p_apellido_paterno =&gt; "&amp;IF(TRIM(F439&amp;"")="","NULL","'"&amp;SUBSTITUTE(TRIM(F439),"'","''")&amp;"'")&amp;", p_apellido_materno =&gt; "&amp;IF(TRIM(G439&amp;"")="","NULL","'"&amp;SUBSTITUTE(TRIM(G439),"'","''")&amp;"'")&amp;", p_id_tipo_documento =&gt; "&amp;IF(TRIM(B439&amp;"")="","NULL","(SELECT lo.id FROM gen_lista_opciones lo JOIN gen_lista l ON l.id = lo.id_lista WHERE l.nombre = 'TipoDocumento' AND upper(lo.nombre) = upper('"&amp;SUBSTITUTE(TRIM(B439),"'","''")&amp;"') AND lo.estado = 1 LIMIT 1)")&amp;", p_numero_documento =&gt; "&amp;IF(TRIM(C439&amp;"")="","NULL","'"&amp;SUBSTITUTE(TRIM(C439),"'","''")&amp;"'")&amp;", p_telefono =&gt; "&amp;IF(TRIM(L439&amp;"")="","NULL","'"&amp;SUBSTITUTE(TRIM(L439),"'","''")&amp;"'")&amp;", p_email =&gt; "&amp;IF(TRIM(M439&amp;"")="","NULL","'"&amp;SUBSTITUTE(TRIM(M439),"'","''")&amp;"'")&amp;", p_observacion =&gt; "&amp;IF(TRIM(O439&amp;"")="","NULL","'"&amp;SUBSTITUTE(TRIM(O439),"'","''")&amp;"'")&amp;", p_direccion =&gt; "&amp;IF(TRIM(J439&amp;"")="","NULL","'"&amp;SUBSTITUTE(TRIM(J439),"'","''")&amp;"'")&amp;", p_referencia =&gt; "&amp;IF(TRIM(K439&amp;"")="","NULL","'"&amp;SUBSTITUTE(TRIM(K439),"'","''")&amp;"'")&amp;") AS resultado_cliente_"&amp;394&amp;";")</f>
        <v/>
      </c>
    </row>
    <row r="440" ht="15.75" customHeight="1" s="64">
      <c r="A440" s="25">
        <f>IF(AND(D440="",E440="",C440=""),"",IF(AND(D440="",E440=""),"FALTA razón social o nombres",IF(AND(C440&lt;&gt;"",COUNTIF($C$5:$C$549,C440)&gt;1),"DOCUMENTO DUPLICADO",IF(AND(B440="DNI",C440&lt;&gt;"",LEN(C440)&lt;&gt;8),"DNI debe tener 8 dígitos",IF(AND(B440="RUC",C440&lt;&gt;"",LEN(C440)&lt;&gt;11),"RUC debe tener 11 dígitos",IF(AND(N440&lt;&gt;"",COUNTIF($N$5:$N$549,N440)&gt;1),"CÓDIGO INTERNO DUPLICADO","OK"))))))</f>
        <v/>
      </c>
      <c r="B440" s="17" t="n"/>
      <c r="C440" s="23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23" t="n"/>
      <c r="M440" s="17" t="n"/>
      <c r="N440" s="23" t="n"/>
      <c r="O440" s="17" t="n"/>
      <c r="P440" s="28">
        <f>IF(A440&lt;&gt;"OK","","SELECT cli_crear_clientes(p_codigo_interno =&gt; "&amp;IF(TRIM(N440&amp;"")="","NULL","'"&amp;SUBSTITUTE(TRIM(N440),"'","''")&amp;"'")&amp;", p_razon_social =&gt; "&amp;IF(TRIM(D440&amp;"")="","NULL","'"&amp;SUBSTITUTE(TRIM(D440),"'","''")&amp;"'")&amp;", p_id_tipo_cliente =&gt; "&amp;IF(TRIM(I440&amp;"")="","NULL","(SELECT lo.id FROM gen_lista_opciones lo JOIN gen_lista l ON l.id = lo.id_lista WHERE l.nombre = 'TipoCliente' AND upper(lo.nombre) = upper('"&amp;SUBSTITUTE(TRIM(I440),"'","''")&amp;"') AND lo.estado = 1 LIMIT 1)")&amp;", p_id_tipo_persona =&gt; "&amp;IF(TRIM(H440&amp;"")="","NULL","(SELECT lo.id FROM gen_lista_opciones lo JOIN gen_lista l ON l.id = lo.id_lista WHERE l.nombre = 'TipoPersona' AND upper(lo.nombre) = upper('"&amp;SUBSTITUTE(TRIM(H440),"'","''")&amp;"') AND lo.estado = 1 LIMIT 1)")&amp;", p_nombres =&gt; "&amp;IF(TRIM(E440&amp;"")="","NULL","'"&amp;SUBSTITUTE(TRIM(E440),"'","''")&amp;"'")&amp;", p_apellido_paterno =&gt; "&amp;IF(TRIM(F440&amp;"")="","NULL","'"&amp;SUBSTITUTE(TRIM(F440),"'","''")&amp;"'")&amp;", p_apellido_materno =&gt; "&amp;IF(TRIM(G440&amp;"")="","NULL","'"&amp;SUBSTITUTE(TRIM(G440),"'","''")&amp;"'")&amp;", p_id_tipo_documento =&gt; "&amp;IF(TRIM(B440&amp;"")="","NULL","(SELECT lo.id FROM gen_lista_opciones lo JOIN gen_lista l ON l.id = lo.id_lista WHERE l.nombre = 'TipoDocumento' AND upper(lo.nombre) = upper('"&amp;SUBSTITUTE(TRIM(B440),"'","''")&amp;"') AND lo.estado = 1 LIMIT 1)")&amp;", p_numero_documento =&gt; "&amp;IF(TRIM(C440&amp;"")="","NULL","'"&amp;SUBSTITUTE(TRIM(C440),"'","''")&amp;"'")&amp;", p_telefono =&gt; "&amp;IF(TRIM(L440&amp;"")="","NULL","'"&amp;SUBSTITUTE(TRIM(L440),"'","''")&amp;"'")&amp;", p_email =&gt; "&amp;IF(TRIM(M440&amp;"")="","NULL","'"&amp;SUBSTITUTE(TRIM(M440),"'","''")&amp;"'")&amp;", p_observacion =&gt; "&amp;IF(TRIM(O440&amp;"")="","NULL","'"&amp;SUBSTITUTE(TRIM(O440),"'","''")&amp;"'")&amp;", p_direccion =&gt; "&amp;IF(TRIM(J440&amp;"")="","NULL","'"&amp;SUBSTITUTE(TRIM(J440),"'","''")&amp;"'")&amp;", p_referencia =&gt; "&amp;IF(TRIM(K440&amp;"")="","NULL","'"&amp;SUBSTITUTE(TRIM(K440),"'","''")&amp;"'")&amp;") AS resultado_cliente_"&amp;395&amp;";")</f>
        <v/>
      </c>
    </row>
    <row r="441" ht="15.75" customHeight="1" s="64">
      <c r="A441" s="25">
        <f>IF(AND(D441="",E441="",C441=""),"",IF(AND(D441="",E441=""),"FALTA razón social o nombres",IF(AND(C441&lt;&gt;"",COUNTIF($C$5:$C$549,C441)&gt;1),"DOCUMENTO DUPLICADO",IF(AND(B441="DNI",C441&lt;&gt;"",LEN(C441)&lt;&gt;8),"DNI debe tener 8 dígitos",IF(AND(B441="RUC",C441&lt;&gt;"",LEN(C441)&lt;&gt;11),"RUC debe tener 11 dígitos",IF(AND(N441&lt;&gt;"",COUNTIF($N$5:$N$549,N441)&gt;1),"CÓDIGO INTERNO DUPLICADO","OK"))))))</f>
        <v/>
      </c>
      <c r="B441" s="17" t="n"/>
      <c r="C441" s="23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23" t="n"/>
      <c r="M441" s="17" t="n"/>
      <c r="N441" s="23" t="n"/>
      <c r="O441" s="17" t="n"/>
      <c r="P441" s="28">
        <f>IF(A441&lt;&gt;"OK","","SELECT cli_crear_clientes(p_codigo_interno =&gt; "&amp;IF(TRIM(N441&amp;"")="","NULL","'"&amp;SUBSTITUTE(TRIM(N441),"'","''")&amp;"'")&amp;", p_razon_social =&gt; "&amp;IF(TRIM(D441&amp;"")="","NULL","'"&amp;SUBSTITUTE(TRIM(D441),"'","''")&amp;"'")&amp;", p_id_tipo_cliente =&gt; "&amp;IF(TRIM(I441&amp;"")="","NULL","(SELECT lo.id FROM gen_lista_opciones lo JOIN gen_lista l ON l.id = lo.id_lista WHERE l.nombre = 'TipoCliente' AND upper(lo.nombre) = upper('"&amp;SUBSTITUTE(TRIM(I441),"'","''")&amp;"') AND lo.estado = 1 LIMIT 1)")&amp;", p_id_tipo_persona =&gt; "&amp;IF(TRIM(H441&amp;"")="","NULL","(SELECT lo.id FROM gen_lista_opciones lo JOIN gen_lista l ON l.id = lo.id_lista WHERE l.nombre = 'TipoPersona' AND upper(lo.nombre) = upper('"&amp;SUBSTITUTE(TRIM(H441),"'","''")&amp;"') AND lo.estado = 1 LIMIT 1)")&amp;", p_nombres =&gt; "&amp;IF(TRIM(E441&amp;"")="","NULL","'"&amp;SUBSTITUTE(TRIM(E441),"'","''")&amp;"'")&amp;", p_apellido_paterno =&gt; "&amp;IF(TRIM(F441&amp;"")="","NULL","'"&amp;SUBSTITUTE(TRIM(F441),"'","''")&amp;"'")&amp;", p_apellido_materno =&gt; "&amp;IF(TRIM(G441&amp;"")="","NULL","'"&amp;SUBSTITUTE(TRIM(G441),"'","''")&amp;"'")&amp;", p_id_tipo_documento =&gt; "&amp;IF(TRIM(B441&amp;"")="","NULL","(SELECT lo.id FROM gen_lista_opciones lo JOIN gen_lista l ON l.id = lo.id_lista WHERE l.nombre = 'TipoDocumento' AND upper(lo.nombre) = upper('"&amp;SUBSTITUTE(TRIM(B441),"'","''")&amp;"') AND lo.estado = 1 LIMIT 1)")&amp;", p_numero_documento =&gt; "&amp;IF(TRIM(C441&amp;"")="","NULL","'"&amp;SUBSTITUTE(TRIM(C441),"'","''")&amp;"'")&amp;", p_telefono =&gt; "&amp;IF(TRIM(L441&amp;"")="","NULL","'"&amp;SUBSTITUTE(TRIM(L441),"'","''")&amp;"'")&amp;", p_email =&gt; "&amp;IF(TRIM(M441&amp;"")="","NULL","'"&amp;SUBSTITUTE(TRIM(M441),"'","''")&amp;"'")&amp;", p_observacion =&gt; "&amp;IF(TRIM(O441&amp;"")="","NULL","'"&amp;SUBSTITUTE(TRIM(O441),"'","''")&amp;"'")&amp;", p_direccion =&gt; "&amp;IF(TRIM(J441&amp;"")="","NULL","'"&amp;SUBSTITUTE(TRIM(J441),"'","''")&amp;"'")&amp;", p_referencia =&gt; "&amp;IF(TRIM(K441&amp;"")="","NULL","'"&amp;SUBSTITUTE(TRIM(K441),"'","''")&amp;"'")&amp;") AS resultado_cliente_"&amp;396&amp;";")</f>
        <v/>
      </c>
    </row>
    <row r="442" ht="15.75" customHeight="1" s="64">
      <c r="A442" s="25">
        <f>IF(AND(D442="",E442="",C442=""),"",IF(AND(D442="",E442=""),"FALTA razón social o nombres",IF(AND(C442&lt;&gt;"",COUNTIF($C$5:$C$549,C442)&gt;1),"DOCUMENTO DUPLICADO",IF(AND(B442="DNI",C442&lt;&gt;"",LEN(C442)&lt;&gt;8),"DNI debe tener 8 dígitos",IF(AND(B442="RUC",C442&lt;&gt;"",LEN(C442)&lt;&gt;11),"RUC debe tener 11 dígitos",IF(AND(N442&lt;&gt;"",COUNTIF($N$5:$N$549,N442)&gt;1),"CÓDIGO INTERNO DUPLICADO","OK"))))))</f>
        <v/>
      </c>
      <c r="B442" s="17" t="n"/>
      <c r="C442" s="23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23" t="n"/>
      <c r="M442" s="17" t="n"/>
      <c r="N442" s="23" t="n"/>
      <c r="O442" s="17" t="n"/>
      <c r="P442" s="28">
        <f>IF(A442&lt;&gt;"OK","","SELECT cli_crear_clientes(p_codigo_interno =&gt; "&amp;IF(TRIM(N442&amp;"")="","NULL","'"&amp;SUBSTITUTE(TRIM(N442),"'","''")&amp;"'")&amp;", p_razon_social =&gt; "&amp;IF(TRIM(D442&amp;"")="","NULL","'"&amp;SUBSTITUTE(TRIM(D442),"'","''")&amp;"'")&amp;", p_id_tipo_cliente =&gt; "&amp;IF(TRIM(I442&amp;"")="","NULL","(SELECT lo.id FROM gen_lista_opciones lo JOIN gen_lista l ON l.id = lo.id_lista WHERE l.nombre = 'TipoCliente' AND upper(lo.nombre) = upper('"&amp;SUBSTITUTE(TRIM(I442),"'","''")&amp;"') AND lo.estado = 1 LIMIT 1)")&amp;", p_id_tipo_persona =&gt; "&amp;IF(TRIM(H442&amp;"")="","NULL","(SELECT lo.id FROM gen_lista_opciones lo JOIN gen_lista l ON l.id = lo.id_lista WHERE l.nombre = 'TipoPersona' AND upper(lo.nombre) = upper('"&amp;SUBSTITUTE(TRIM(H442),"'","''")&amp;"') AND lo.estado = 1 LIMIT 1)")&amp;", p_nombres =&gt; "&amp;IF(TRIM(E442&amp;"")="","NULL","'"&amp;SUBSTITUTE(TRIM(E442),"'","''")&amp;"'")&amp;", p_apellido_paterno =&gt; "&amp;IF(TRIM(F442&amp;"")="","NULL","'"&amp;SUBSTITUTE(TRIM(F442),"'","''")&amp;"'")&amp;", p_apellido_materno =&gt; "&amp;IF(TRIM(G442&amp;"")="","NULL","'"&amp;SUBSTITUTE(TRIM(G442),"'","''")&amp;"'")&amp;", p_id_tipo_documento =&gt; "&amp;IF(TRIM(B442&amp;"")="","NULL","(SELECT lo.id FROM gen_lista_opciones lo JOIN gen_lista l ON l.id = lo.id_lista WHERE l.nombre = 'TipoDocumento' AND upper(lo.nombre) = upper('"&amp;SUBSTITUTE(TRIM(B442),"'","''")&amp;"') AND lo.estado = 1 LIMIT 1)")&amp;", p_numero_documento =&gt; "&amp;IF(TRIM(C442&amp;"")="","NULL","'"&amp;SUBSTITUTE(TRIM(C442),"'","''")&amp;"'")&amp;", p_telefono =&gt; "&amp;IF(TRIM(L442&amp;"")="","NULL","'"&amp;SUBSTITUTE(TRIM(L442),"'","''")&amp;"'")&amp;", p_email =&gt; "&amp;IF(TRIM(M442&amp;"")="","NULL","'"&amp;SUBSTITUTE(TRIM(M442),"'","''")&amp;"'")&amp;", p_observacion =&gt; "&amp;IF(TRIM(O442&amp;"")="","NULL","'"&amp;SUBSTITUTE(TRIM(O442),"'","''")&amp;"'")&amp;", p_direccion =&gt; "&amp;IF(TRIM(J442&amp;"")="","NULL","'"&amp;SUBSTITUTE(TRIM(J442),"'","''")&amp;"'")&amp;", p_referencia =&gt; "&amp;IF(TRIM(K442&amp;"")="","NULL","'"&amp;SUBSTITUTE(TRIM(K442),"'","''")&amp;"'")&amp;") AS resultado_cliente_"&amp;397&amp;";")</f>
        <v/>
      </c>
    </row>
    <row r="443" ht="15.75" customHeight="1" s="64">
      <c r="A443" s="25">
        <f>IF(AND(D443="",E443="",C443=""),"",IF(AND(D443="",E443=""),"FALTA razón social o nombres",IF(AND(C443&lt;&gt;"",COUNTIF($C$5:$C$549,C443)&gt;1),"DOCUMENTO DUPLICADO",IF(AND(B443="DNI",C443&lt;&gt;"",LEN(C443)&lt;&gt;8),"DNI debe tener 8 dígitos",IF(AND(B443="RUC",C443&lt;&gt;"",LEN(C443)&lt;&gt;11),"RUC debe tener 11 dígitos",IF(AND(N443&lt;&gt;"",COUNTIF($N$5:$N$549,N443)&gt;1),"CÓDIGO INTERNO DUPLICADO","OK"))))))</f>
        <v/>
      </c>
      <c r="B443" s="17" t="n"/>
      <c r="C443" s="23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23" t="n"/>
      <c r="M443" s="17" t="n"/>
      <c r="N443" s="23" t="n"/>
      <c r="O443" s="17" t="n"/>
      <c r="P443" s="28">
        <f>IF(A443&lt;&gt;"OK","","SELECT cli_crear_clientes(p_codigo_interno =&gt; "&amp;IF(TRIM(N443&amp;"")="","NULL","'"&amp;SUBSTITUTE(TRIM(N443),"'","''")&amp;"'")&amp;", p_razon_social =&gt; "&amp;IF(TRIM(D443&amp;"")="","NULL","'"&amp;SUBSTITUTE(TRIM(D443),"'","''")&amp;"'")&amp;", p_id_tipo_cliente =&gt; "&amp;IF(TRIM(I443&amp;"")="","NULL","(SELECT lo.id FROM gen_lista_opciones lo JOIN gen_lista l ON l.id = lo.id_lista WHERE l.nombre = 'TipoCliente' AND upper(lo.nombre) = upper('"&amp;SUBSTITUTE(TRIM(I443),"'","''")&amp;"') AND lo.estado = 1 LIMIT 1)")&amp;", p_id_tipo_persona =&gt; "&amp;IF(TRIM(H443&amp;"")="","NULL","(SELECT lo.id FROM gen_lista_opciones lo JOIN gen_lista l ON l.id = lo.id_lista WHERE l.nombre = 'TipoPersona' AND upper(lo.nombre) = upper('"&amp;SUBSTITUTE(TRIM(H443),"'","''")&amp;"') AND lo.estado = 1 LIMIT 1)")&amp;", p_nombres =&gt; "&amp;IF(TRIM(E443&amp;"")="","NULL","'"&amp;SUBSTITUTE(TRIM(E443),"'","''")&amp;"'")&amp;", p_apellido_paterno =&gt; "&amp;IF(TRIM(F443&amp;"")="","NULL","'"&amp;SUBSTITUTE(TRIM(F443),"'","''")&amp;"'")&amp;", p_apellido_materno =&gt; "&amp;IF(TRIM(G443&amp;"")="","NULL","'"&amp;SUBSTITUTE(TRIM(G443),"'","''")&amp;"'")&amp;", p_id_tipo_documento =&gt; "&amp;IF(TRIM(B443&amp;"")="","NULL","(SELECT lo.id FROM gen_lista_opciones lo JOIN gen_lista l ON l.id = lo.id_lista WHERE l.nombre = 'TipoDocumento' AND upper(lo.nombre) = upper('"&amp;SUBSTITUTE(TRIM(B443),"'","''")&amp;"') AND lo.estado = 1 LIMIT 1)")&amp;", p_numero_documento =&gt; "&amp;IF(TRIM(C443&amp;"")="","NULL","'"&amp;SUBSTITUTE(TRIM(C443),"'","''")&amp;"'")&amp;", p_telefono =&gt; "&amp;IF(TRIM(L443&amp;"")="","NULL","'"&amp;SUBSTITUTE(TRIM(L443),"'","''")&amp;"'")&amp;", p_email =&gt; "&amp;IF(TRIM(M443&amp;"")="","NULL","'"&amp;SUBSTITUTE(TRIM(M443),"'","''")&amp;"'")&amp;", p_observacion =&gt; "&amp;IF(TRIM(O443&amp;"")="","NULL","'"&amp;SUBSTITUTE(TRIM(O443),"'","''")&amp;"'")&amp;", p_direccion =&gt; "&amp;IF(TRIM(J443&amp;"")="","NULL","'"&amp;SUBSTITUTE(TRIM(J443),"'","''")&amp;"'")&amp;", p_referencia =&gt; "&amp;IF(TRIM(K443&amp;"")="","NULL","'"&amp;SUBSTITUTE(TRIM(K443),"'","''")&amp;"'")&amp;") AS resultado_cliente_"&amp;398&amp;";")</f>
        <v/>
      </c>
    </row>
    <row r="444" ht="15.75" customHeight="1" s="64">
      <c r="A444" s="25">
        <f>IF(AND(D444="",E444="",C444=""),"",IF(AND(D444="",E444=""),"FALTA razón social o nombres",IF(AND(C444&lt;&gt;"",COUNTIF($C$5:$C$549,C444)&gt;1),"DOCUMENTO DUPLICADO",IF(AND(B444="DNI",C444&lt;&gt;"",LEN(C444)&lt;&gt;8),"DNI debe tener 8 dígitos",IF(AND(B444="RUC",C444&lt;&gt;"",LEN(C444)&lt;&gt;11),"RUC debe tener 11 dígitos",IF(AND(N444&lt;&gt;"",COUNTIF($N$5:$N$549,N444)&gt;1),"CÓDIGO INTERNO DUPLICADO","OK"))))))</f>
        <v/>
      </c>
      <c r="B444" s="17" t="n"/>
      <c r="C444" s="23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23" t="n"/>
      <c r="M444" s="17" t="n"/>
      <c r="N444" s="23" t="n"/>
      <c r="O444" s="17" t="n"/>
      <c r="P444" s="28">
        <f>IF(A444&lt;&gt;"OK","","SELECT cli_crear_clientes(p_codigo_interno =&gt; "&amp;IF(TRIM(N444&amp;"")="","NULL","'"&amp;SUBSTITUTE(TRIM(N444),"'","''")&amp;"'")&amp;", p_razon_social =&gt; "&amp;IF(TRIM(D444&amp;"")="","NULL","'"&amp;SUBSTITUTE(TRIM(D444),"'","''")&amp;"'")&amp;", p_id_tipo_cliente =&gt; "&amp;IF(TRIM(I444&amp;"")="","NULL","(SELECT lo.id FROM gen_lista_opciones lo JOIN gen_lista l ON l.id = lo.id_lista WHERE l.nombre = 'TipoCliente' AND upper(lo.nombre) = upper('"&amp;SUBSTITUTE(TRIM(I444),"'","''")&amp;"') AND lo.estado = 1 LIMIT 1)")&amp;", p_id_tipo_persona =&gt; "&amp;IF(TRIM(H444&amp;"")="","NULL","(SELECT lo.id FROM gen_lista_opciones lo JOIN gen_lista l ON l.id = lo.id_lista WHERE l.nombre = 'TipoPersona' AND upper(lo.nombre) = upper('"&amp;SUBSTITUTE(TRIM(H444),"'","''")&amp;"') AND lo.estado = 1 LIMIT 1)")&amp;", p_nombres =&gt; "&amp;IF(TRIM(E444&amp;"")="","NULL","'"&amp;SUBSTITUTE(TRIM(E444),"'","''")&amp;"'")&amp;", p_apellido_paterno =&gt; "&amp;IF(TRIM(F444&amp;"")="","NULL","'"&amp;SUBSTITUTE(TRIM(F444),"'","''")&amp;"'")&amp;", p_apellido_materno =&gt; "&amp;IF(TRIM(G444&amp;"")="","NULL","'"&amp;SUBSTITUTE(TRIM(G444),"'","''")&amp;"'")&amp;", p_id_tipo_documento =&gt; "&amp;IF(TRIM(B444&amp;"")="","NULL","(SELECT lo.id FROM gen_lista_opciones lo JOIN gen_lista l ON l.id = lo.id_lista WHERE l.nombre = 'TipoDocumento' AND upper(lo.nombre) = upper('"&amp;SUBSTITUTE(TRIM(B444),"'","''")&amp;"') AND lo.estado = 1 LIMIT 1)")&amp;", p_numero_documento =&gt; "&amp;IF(TRIM(C444&amp;"")="","NULL","'"&amp;SUBSTITUTE(TRIM(C444),"'","''")&amp;"'")&amp;", p_telefono =&gt; "&amp;IF(TRIM(L444&amp;"")="","NULL","'"&amp;SUBSTITUTE(TRIM(L444),"'","''")&amp;"'")&amp;", p_email =&gt; "&amp;IF(TRIM(M444&amp;"")="","NULL","'"&amp;SUBSTITUTE(TRIM(M444),"'","''")&amp;"'")&amp;", p_observacion =&gt; "&amp;IF(TRIM(O444&amp;"")="","NULL","'"&amp;SUBSTITUTE(TRIM(O444),"'","''")&amp;"'")&amp;", p_direccion =&gt; "&amp;IF(TRIM(J444&amp;"")="","NULL","'"&amp;SUBSTITUTE(TRIM(J444),"'","''")&amp;"'")&amp;", p_referencia =&gt; "&amp;IF(TRIM(K444&amp;"")="","NULL","'"&amp;SUBSTITUTE(TRIM(K444),"'","''")&amp;"'")&amp;") AS resultado_cliente_"&amp;399&amp;";")</f>
        <v/>
      </c>
    </row>
    <row r="445" ht="15.75" customHeight="1" s="64">
      <c r="A445" s="25">
        <f>IF(AND(D445="",E445="",C445=""),"",IF(AND(D445="",E445=""),"FALTA razón social o nombres",IF(AND(C445&lt;&gt;"",COUNTIF($C$5:$C$549,C445)&gt;1),"DOCUMENTO DUPLICADO",IF(AND(B445="DNI",C445&lt;&gt;"",LEN(C445)&lt;&gt;8),"DNI debe tener 8 dígitos",IF(AND(B445="RUC",C445&lt;&gt;"",LEN(C445)&lt;&gt;11),"RUC debe tener 11 dígitos",IF(AND(N445&lt;&gt;"",COUNTIF($N$5:$N$549,N445)&gt;1),"CÓDIGO INTERNO DUPLICADO","OK"))))))</f>
        <v/>
      </c>
      <c r="B445" s="17" t="n"/>
      <c r="C445" s="23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23" t="n"/>
      <c r="M445" s="17" t="n"/>
      <c r="N445" s="23" t="n"/>
      <c r="O445" s="17" t="n"/>
      <c r="P445" s="28">
        <f>IF(A445&lt;&gt;"OK","","SELECT cli_crear_clientes(p_codigo_interno =&gt; "&amp;IF(TRIM(N445&amp;"")="","NULL","'"&amp;SUBSTITUTE(TRIM(N445),"'","''")&amp;"'")&amp;", p_razon_social =&gt; "&amp;IF(TRIM(D445&amp;"")="","NULL","'"&amp;SUBSTITUTE(TRIM(D445),"'","''")&amp;"'")&amp;", p_id_tipo_cliente =&gt; "&amp;IF(TRIM(I445&amp;"")="","NULL","(SELECT lo.id FROM gen_lista_opciones lo JOIN gen_lista l ON l.id = lo.id_lista WHERE l.nombre = 'TipoCliente' AND upper(lo.nombre) = upper('"&amp;SUBSTITUTE(TRIM(I445),"'","''")&amp;"') AND lo.estado = 1 LIMIT 1)")&amp;", p_id_tipo_persona =&gt; "&amp;IF(TRIM(H445&amp;"")="","NULL","(SELECT lo.id FROM gen_lista_opciones lo JOIN gen_lista l ON l.id = lo.id_lista WHERE l.nombre = 'TipoPersona' AND upper(lo.nombre) = upper('"&amp;SUBSTITUTE(TRIM(H445),"'","''")&amp;"') AND lo.estado = 1 LIMIT 1)")&amp;", p_nombres =&gt; "&amp;IF(TRIM(E445&amp;"")="","NULL","'"&amp;SUBSTITUTE(TRIM(E445),"'","''")&amp;"'")&amp;", p_apellido_paterno =&gt; "&amp;IF(TRIM(F445&amp;"")="","NULL","'"&amp;SUBSTITUTE(TRIM(F445),"'","''")&amp;"'")&amp;", p_apellido_materno =&gt; "&amp;IF(TRIM(G445&amp;"")="","NULL","'"&amp;SUBSTITUTE(TRIM(G445),"'","''")&amp;"'")&amp;", p_id_tipo_documento =&gt; "&amp;IF(TRIM(B445&amp;"")="","NULL","(SELECT lo.id FROM gen_lista_opciones lo JOIN gen_lista l ON l.id = lo.id_lista WHERE l.nombre = 'TipoDocumento' AND upper(lo.nombre) = upper('"&amp;SUBSTITUTE(TRIM(B445),"'","''")&amp;"') AND lo.estado = 1 LIMIT 1)")&amp;", p_numero_documento =&gt; "&amp;IF(TRIM(C445&amp;"")="","NULL","'"&amp;SUBSTITUTE(TRIM(C445),"'","''")&amp;"'")&amp;", p_telefono =&gt; "&amp;IF(TRIM(L445&amp;"")="","NULL","'"&amp;SUBSTITUTE(TRIM(L445),"'","''")&amp;"'")&amp;", p_email =&gt; "&amp;IF(TRIM(M445&amp;"")="","NULL","'"&amp;SUBSTITUTE(TRIM(M445),"'","''")&amp;"'")&amp;", p_observacion =&gt; "&amp;IF(TRIM(O445&amp;"")="","NULL","'"&amp;SUBSTITUTE(TRIM(O445),"'","''")&amp;"'")&amp;", p_direccion =&gt; "&amp;IF(TRIM(J445&amp;"")="","NULL","'"&amp;SUBSTITUTE(TRIM(J445),"'","''")&amp;"'")&amp;", p_referencia =&gt; "&amp;IF(TRIM(K445&amp;"")="","NULL","'"&amp;SUBSTITUTE(TRIM(K445),"'","''")&amp;"'")&amp;") AS resultado_cliente_"&amp;400&amp;";")</f>
        <v/>
      </c>
    </row>
    <row r="446" ht="15.75" customHeight="1" s="64">
      <c r="A446" s="25">
        <f>IF(AND(D446="",E446="",C446=""),"",IF(AND(D446="",E446=""),"FALTA razón social o nombres",IF(AND(C446&lt;&gt;"",COUNTIF($C$5:$C$549,C446)&gt;1),"DOCUMENTO DUPLICADO",IF(AND(B446="DNI",C446&lt;&gt;"",LEN(C446)&lt;&gt;8),"DNI debe tener 8 dígitos",IF(AND(B446="RUC",C446&lt;&gt;"",LEN(C446)&lt;&gt;11),"RUC debe tener 11 dígitos",IF(AND(N446&lt;&gt;"",COUNTIF($N$5:$N$549,N446)&gt;1),"CÓDIGO INTERNO DUPLICADO","OK"))))))</f>
        <v/>
      </c>
      <c r="B446" s="17" t="n"/>
      <c r="C446" s="23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23" t="n"/>
      <c r="M446" s="17" t="n"/>
      <c r="N446" s="23" t="n"/>
      <c r="O446" s="17" t="n"/>
      <c r="P446" s="28">
        <f>IF(A446&lt;&gt;"OK","","SELECT cli_crear_clientes(p_codigo_interno =&gt; "&amp;IF(TRIM(N446&amp;"")="","NULL","'"&amp;SUBSTITUTE(TRIM(N446),"'","''")&amp;"'")&amp;", p_razon_social =&gt; "&amp;IF(TRIM(D446&amp;"")="","NULL","'"&amp;SUBSTITUTE(TRIM(D446),"'","''")&amp;"'")&amp;", p_id_tipo_cliente =&gt; "&amp;IF(TRIM(I446&amp;"")="","NULL","(SELECT lo.id FROM gen_lista_opciones lo JOIN gen_lista l ON l.id = lo.id_lista WHERE l.nombre = 'TipoCliente' AND upper(lo.nombre) = upper('"&amp;SUBSTITUTE(TRIM(I446),"'","''")&amp;"') AND lo.estado = 1 LIMIT 1)")&amp;", p_id_tipo_persona =&gt; "&amp;IF(TRIM(H446&amp;"")="","NULL","(SELECT lo.id FROM gen_lista_opciones lo JOIN gen_lista l ON l.id = lo.id_lista WHERE l.nombre = 'TipoPersona' AND upper(lo.nombre) = upper('"&amp;SUBSTITUTE(TRIM(H446),"'","''")&amp;"') AND lo.estado = 1 LIMIT 1)")&amp;", p_nombres =&gt; "&amp;IF(TRIM(E446&amp;"")="","NULL","'"&amp;SUBSTITUTE(TRIM(E446),"'","''")&amp;"'")&amp;", p_apellido_paterno =&gt; "&amp;IF(TRIM(F446&amp;"")="","NULL","'"&amp;SUBSTITUTE(TRIM(F446),"'","''")&amp;"'")&amp;", p_apellido_materno =&gt; "&amp;IF(TRIM(G446&amp;"")="","NULL","'"&amp;SUBSTITUTE(TRIM(G446),"'","''")&amp;"'")&amp;", p_id_tipo_documento =&gt; "&amp;IF(TRIM(B446&amp;"")="","NULL","(SELECT lo.id FROM gen_lista_opciones lo JOIN gen_lista l ON l.id = lo.id_lista WHERE l.nombre = 'TipoDocumento' AND upper(lo.nombre) = upper('"&amp;SUBSTITUTE(TRIM(B446),"'","''")&amp;"') AND lo.estado = 1 LIMIT 1)")&amp;", p_numero_documento =&gt; "&amp;IF(TRIM(C446&amp;"")="","NULL","'"&amp;SUBSTITUTE(TRIM(C446),"'","''")&amp;"'")&amp;", p_telefono =&gt; "&amp;IF(TRIM(L446&amp;"")="","NULL","'"&amp;SUBSTITUTE(TRIM(L446),"'","''")&amp;"'")&amp;", p_email =&gt; "&amp;IF(TRIM(M446&amp;"")="","NULL","'"&amp;SUBSTITUTE(TRIM(M446),"'","''")&amp;"'")&amp;", p_observacion =&gt; "&amp;IF(TRIM(O446&amp;"")="","NULL","'"&amp;SUBSTITUTE(TRIM(O446),"'","''")&amp;"'")&amp;", p_direccion =&gt; "&amp;IF(TRIM(J446&amp;"")="","NULL","'"&amp;SUBSTITUTE(TRIM(J446),"'","''")&amp;"'")&amp;", p_referencia =&gt; "&amp;IF(TRIM(K446&amp;"")="","NULL","'"&amp;SUBSTITUTE(TRIM(K446),"'","''")&amp;"'")&amp;") AS resultado_cliente_"&amp;401&amp;";")</f>
        <v/>
      </c>
    </row>
    <row r="447" ht="15.75" customHeight="1" s="64">
      <c r="A447" s="25">
        <f>IF(AND(D447="",E447="",C447=""),"",IF(AND(D447="",E447=""),"FALTA razón social o nombres",IF(AND(C447&lt;&gt;"",COUNTIF($C$5:$C$549,C447)&gt;1),"DOCUMENTO DUPLICADO",IF(AND(B447="DNI",C447&lt;&gt;"",LEN(C447)&lt;&gt;8),"DNI debe tener 8 dígitos",IF(AND(B447="RUC",C447&lt;&gt;"",LEN(C447)&lt;&gt;11),"RUC debe tener 11 dígitos",IF(AND(N447&lt;&gt;"",COUNTIF($N$5:$N$549,N447)&gt;1),"CÓDIGO INTERNO DUPLICADO","OK"))))))</f>
        <v/>
      </c>
      <c r="B447" s="17" t="n"/>
      <c r="C447" s="23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23" t="n"/>
      <c r="M447" s="17" t="n"/>
      <c r="N447" s="23" t="n"/>
      <c r="O447" s="17" t="n"/>
      <c r="P447" s="28">
        <f>IF(A447&lt;&gt;"OK","","SELECT cli_crear_clientes(p_codigo_interno =&gt; "&amp;IF(TRIM(N447&amp;"")="","NULL","'"&amp;SUBSTITUTE(TRIM(N447),"'","''")&amp;"'")&amp;", p_razon_social =&gt; "&amp;IF(TRIM(D447&amp;"")="","NULL","'"&amp;SUBSTITUTE(TRIM(D447),"'","''")&amp;"'")&amp;", p_id_tipo_cliente =&gt; "&amp;IF(TRIM(I447&amp;"")="","NULL","(SELECT lo.id FROM gen_lista_opciones lo JOIN gen_lista l ON l.id = lo.id_lista WHERE l.nombre = 'TipoCliente' AND upper(lo.nombre) = upper('"&amp;SUBSTITUTE(TRIM(I447),"'","''")&amp;"') AND lo.estado = 1 LIMIT 1)")&amp;", p_id_tipo_persona =&gt; "&amp;IF(TRIM(H447&amp;"")="","NULL","(SELECT lo.id FROM gen_lista_opciones lo JOIN gen_lista l ON l.id = lo.id_lista WHERE l.nombre = 'TipoPersona' AND upper(lo.nombre) = upper('"&amp;SUBSTITUTE(TRIM(H447),"'","''")&amp;"') AND lo.estado = 1 LIMIT 1)")&amp;", p_nombres =&gt; "&amp;IF(TRIM(E447&amp;"")="","NULL","'"&amp;SUBSTITUTE(TRIM(E447),"'","''")&amp;"'")&amp;", p_apellido_paterno =&gt; "&amp;IF(TRIM(F447&amp;"")="","NULL","'"&amp;SUBSTITUTE(TRIM(F447),"'","''")&amp;"'")&amp;", p_apellido_materno =&gt; "&amp;IF(TRIM(G447&amp;"")="","NULL","'"&amp;SUBSTITUTE(TRIM(G447),"'","''")&amp;"'")&amp;", p_id_tipo_documento =&gt; "&amp;IF(TRIM(B447&amp;"")="","NULL","(SELECT lo.id FROM gen_lista_opciones lo JOIN gen_lista l ON l.id = lo.id_lista WHERE l.nombre = 'TipoDocumento' AND upper(lo.nombre) = upper('"&amp;SUBSTITUTE(TRIM(B447),"'","''")&amp;"') AND lo.estado = 1 LIMIT 1)")&amp;", p_numero_documento =&gt; "&amp;IF(TRIM(C447&amp;"")="","NULL","'"&amp;SUBSTITUTE(TRIM(C447),"'","''")&amp;"'")&amp;", p_telefono =&gt; "&amp;IF(TRIM(L447&amp;"")="","NULL","'"&amp;SUBSTITUTE(TRIM(L447),"'","''")&amp;"'")&amp;", p_email =&gt; "&amp;IF(TRIM(M447&amp;"")="","NULL","'"&amp;SUBSTITUTE(TRIM(M447),"'","''")&amp;"'")&amp;", p_observacion =&gt; "&amp;IF(TRIM(O447&amp;"")="","NULL","'"&amp;SUBSTITUTE(TRIM(O447),"'","''")&amp;"'")&amp;", p_direccion =&gt; "&amp;IF(TRIM(J447&amp;"")="","NULL","'"&amp;SUBSTITUTE(TRIM(J447),"'","''")&amp;"'")&amp;", p_referencia =&gt; "&amp;IF(TRIM(K447&amp;"")="","NULL","'"&amp;SUBSTITUTE(TRIM(K447),"'","''")&amp;"'")&amp;") AS resultado_cliente_"&amp;402&amp;";")</f>
        <v/>
      </c>
    </row>
    <row r="448" ht="15.75" customHeight="1" s="64">
      <c r="A448" s="25">
        <f>IF(AND(D448="",E448="",C448=""),"",IF(AND(D448="",E448=""),"FALTA razón social o nombres",IF(AND(C448&lt;&gt;"",COUNTIF($C$5:$C$549,C448)&gt;1),"DOCUMENTO DUPLICADO",IF(AND(B448="DNI",C448&lt;&gt;"",LEN(C448)&lt;&gt;8),"DNI debe tener 8 dígitos",IF(AND(B448="RUC",C448&lt;&gt;"",LEN(C448)&lt;&gt;11),"RUC debe tener 11 dígitos",IF(AND(N448&lt;&gt;"",COUNTIF($N$5:$N$549,N448)&gt;1),"CÓDIGO INTERNO DUPLICADO","OK"))))))</f>
        <v/>
      </c>
      <c r="B448" s="17" t="n"/>
      <c r="C448" s="23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23" t="n"/>
      <c r="M448" s="17" t="n"/>
      <c r="N448" s="23" t="n"/>
      <c r="O448" s="17" t="n"/>
      <c r="P448" s="28">
        <f>IF(A448&lt;&gt;"OK","","SELECT cli_crear_clientes(p_codigo_interno =&gt; "&amp;IF(TRIM(N448&amp;"")="","NULL","'"&amp;SUBSTITUTE(TRIM(N448),"'","''")&amp;"'")&amp;", p_razon_social =&gt; "&amp;IF(TRIM(D448&amp;"")="","NULL","'"&amp;SUBSTITUTE(TRIM(D448),"'","''")&amp;"'")&amp;", p_id_tipo_cliente =&gt; "&amp;IF(TRIM(I448&amp;"")="","NULL","(SELECT lo.id FROM gen_lista_opciones lo JOIN gen_lista l ON l.id = lo.id_lista WHERE l.nombre = 'TipoCliente' AND upper(lo.nombre) = upper('"&amp;SUBSTITUTE(TRIM(I448),"'","''")&amp;"') AND lo.estado = 1 LIMIT 1)")&amp;", p_id_tipo_persona =&gt; "&amp;IF(TRIM(H448&amp;"")="","NULL","(SELECT lo.id FROM gen_lista_opciones lo JOIN gen_lista l ON l.id = lo.id_lista WHERE l.nombre = 'TipoPersona' AND upper(lo.nombre) = upper('"&amp;SUBSTITUTE(TRIM(H448),"'","''")&amp;"') AND lo.estado = 1 LIMIT 1)")&amp;", p_nombres =&gt; "&amp;IF(TRIM(E448&amp;"")="","NULL","'"&amp;SUBSTITUTE(TRIM(E448),"'","''")&amp;"'")&amp;", p_apellido_paterno =&gt; "&amp;IF(TRIM(F448&amp;"")="","NULL","'"&amp;SUBSTITUTE(TRIM(F448),"'","''")&amp;"'")&amp;", p_apellido_materno =&gt; "&amp;IF(TRIM(G448&amp;"")="","NULL","'"&amp;SUBSTITUTE(TRIM(G448),"'","''")&amp;"'")&amp;", p_id_tipo_documento =&gt; "&amp;IF(TRIM(B448&amp;"")="","NULL","(SELECT lo.id FROM gen_lista_opciones lo JOIN gen_lista l ON l.id = lo.id_lista WHERE l.nombre = 'TipoDocumento' AND upper(lo.nombre) = upper('"&amp;SUBSTITUTE(TRIM(B448),"'","''")&amp;"') AND lo.estado = 1 LIMIT 1)")&amp;", p_numero_documento =&gt; "&amp;IF(TRIM(C448&amp;"")="","NULL","'"&amp;SUBSTITUTE(TRIM(C448),"'","''")&amp;"'")&amp;", p_telefono =&gt; "&amp;IF(TRIM(L448&amp;"")="","NULL","'"&amp;SUBSTITUTE(TRIM(L448),"'","''")&amp;"'")&amp;", p_email =&gt; "&amp;IF(TRIM(M448&amp;"")="","NULL","'"&amp;SUBSTITUTE(TRIM(M448),"'","''")&amp;"'")&amp;", p_observacion =&gt; "&amp;IF(TRIM(O448&amp;"")="","NULL","'"&amp;SUBSTITUTE(TRIM(O448),"'","''")&amp;"'")&amp;", p_direccion =&gt; "&amp;IF(TRIM(J448&amp;"")="","NULL","'"&amp;SUBSTITUTE(TRIM(J448),"'","''")&amp;"'")&amp;", p_referencia =&gt; "&amp;IF(TRIM(K448&amp;"")="","NULL","'"&amp;SUBSTITUTE(TRIM(K448),"'","''")&amp;"'")&amp;") AS resultado_cliente_"&amp;403&amp;";")</f>
        <v/>
      </c>
    </row>
    <row r="449" ht="15.75" customHeight="1" s="64">
      <c r="A449" s="25">
        <f>IF(AND(D449="",E449="",C449=""),"",IF(AND(D449="",E449=""),"FALTA razón social o nombres",IF(AND(C449&lt;&gt;"",COUNTIF($C$5:$C$549,C449)&gt;1),"DOCUMENTO DUPLICADO",IF(AND(B449="DNI",C449&lt;&gt;"",LEN(C449)&lt;&gt;8),"DNI debe tener 8 dígitos",IF(AND(B449="RUC",C449&lt;&gt;"",LEN(C449)&lt;&gt;11),"RUC debe tener 11 dígitos",IF(AND(N449&lt;&gt;"",COUNTIF($N$5:$N$549,N449)&gt;1),"CÓDIGO INTERNO DUPLICADO","OK"))))))</f>
        <v/>
      </c>
      <c r="B449" s="17" t="n"/>
      <c r="C449" s="23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23" t="n"/>
      <c r="M449" s="17" t="n"/>
      <c r="N449" s="23" t="n"/>
      <c r="O449" s="17" t="n"/>
      <c r="P449" s="28">
        <f>IF(A449&lt;&gt;"OK","","SELECT cli_crear_clientes(p_codigo_interno =&gt; "&amp;IF(TRIM(N449&amp;"")="","NULL","'"&amp;SUBSTITUTE(TRIM(N449),"'","''")&amp;"'")&amp;", p_razon_social =&gt; "&amp;IF(TRIM(D449&amp;"")="","NULL","'"&amp;SUBSTITUTE(TRIM(D449),"'","''")&amp;"'")&amp;", p_id_tipo_cliente =&gt; "&amp;IF(TRIM(I449&amp;"")="","NULL","(SELECT lo.id FROM gen_lista_opciones lo JOIN gen_lista l ON l.id = lo.id_lista WHERE l.nombre = 'TipoCliente' AND upper(lo.nombre) = upper('"&amp;SUBSTITUTE(TRIM(I449),"'","''")&amp;"') AND lo.estado = 1 LIMIT 1)")&amp;", p_id_tipo_persona =&gt; "&amp;IF(TRIM(H449&amp;"")="","NULL","(SELECT lo.id FROM gen_lista_opciones lo JOIN gen_lista l ON l.id = lo.id_lista WHERE l.nombre = 'TipoPersona' AND upper(lo.nombre) = upper('"&amp;SUBSTITUTE(TRIM(H449),"'","''")&amp;"') AND lo.estado = 1 LIMIT 1)")&amp;", p_nombres =&gt; "&amp;IF(TRIM(E449&amp;"")="","NULL","'"&amp;SUBSTITUTE(TRIM(E449),"'","''")&amp;"'")&amp;", p_apellido_paterno =&gt; "&amp;IF(TRIM(F449&amp;"")="","NULL","'"&amp;SUBSTITUTE(TRIM(F449),"'","''")&amp;"'")&amp;", p_apellido_materno =&gt; "&amp;IF(TRIM(G449&amp;"")="","NULL","'"&amp;SUBSTITUTE(TRIM(G449),"'","''")&amp;"'")&amp;", p_id_tipo_documento =&gt; "&amp;IF(TRIM(B449&amp;"")="","NULL","(SELECT lo.id FROM gen_lista_opciones lo JOIN gen_lista l ON l.id = lo.id_lista WHERE l.nombre = 'TipoDocumento' AND upper(lo.nombre) = upper('"&amp;SUBSTITUTE(TRIM(B449),"'","''")&amp;"') AND lo.estado = 1 LIMIT 1)")&amp;", p_numero_documento =&gt; "&amp;IF(TRIM(C449&amp;"")="","NULL","'"&amp;SUBSTITUTE(TRIM(C449),"'","''")&amp;"'")&amp;", p_telefono =&gt; "&amp;IF(TRIM(L449&amp;"")="","NULL","'"&amp;SUBSTITUTE(TRIM(L449),"'","''")&amp;"'")&amp;", p_email =&gt; "&amp;IF(TRIM(M449&amp;"")="","NULL","'"&amp;SUBSTITUTE(TRIM(M449),"'","''")&amp;"'")&amp;", p_observacion =&gt; "&amp;IF(TRIM(O449&amp;"")="","NULL","'"&amp;SUBSTITUTE(TRIM(O449),"'","''")&amp;"'")&amp;", p_direccion =&gt; "&amp;IF(TRIM(J449&amp;"")="","NULL","'"&amp;SUBSTITUTE(TRIM(J449),"'","''")&amp;"'")&amp;", p_referencia =&gt; "&amp;IF(TRIM(K449&amp;"")="","NULL","'"&amp;SUBSTITUTE(TRIM(K449),"'","''")&amp;"'")&amp;") AS resultado_cliente_"&amp;404&amp;";")</f>
        <v/>
      </c>
    </row>
    <row r="450" ht="15.75" customHeight="1" s="64">
      <c r="A450" s="25">
        <f>IF(AND(D450="",E450="",C450=""),"",IF(AND(D450="",E450=""),"FALTA razón social o nombres",IF(AND(C450&lt;&gt;"",COUNTIF($C$5:$C$549,C450)&gt;1),"DOCUMENTO DUPLICADO",IF(AND(B450="DNI",C450&lt;&gt;"",LEN(C450)&lt;&gt;8),"DNI debe tener 8 dígitos",IF(AND(B450="RUC",C450&lt;&gt;"",LEN(C450)&lt;&gt;11),"RUC debe tener 11 dígitos",IF(AND(N450&lt;&gt;"",COUNTIF($N$5:$N$549,N450)&gt;1),"CÓDIGO INTERNO DUPLICADO","OK"))))))</f>
        <v/>
      </c>
      <c r="B450" s="17" t="n"/>
      <c r="C450" s="23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23" t="n"/>
      <c r="M450" s="17" t="n"/>
      <c r="N450" s="23" t="n"/>
      <c r="O450" s="17" t="n"/>
      <c r="P450" s="28">
        <f>IF(A450&lt;&gt;"OK","","SELECT cli_crear_clientes(p_codigo_interno =&gt; "&amp;IF(TRIM(N450&amp;"")="","NULL","'"&amp;SUBSTITUTE(TRIM(N450),"'","''")&amp;"'")&amp;", p_razon_social =&gt; "&amp;IF(TRIM(D450&amp;"")="","NULL","'"&amp;SUBSTITUTE(TRIM(D450),"'","''")&amp;"'")&amp;", p_id_tipo_cliente =&gt; "&amp;IF(TRIM(I450&amp;"")="","NULL","(SELECT lo.id FROM gen_lista_opciones lo JOIN gen_lista l ON l.id = lo.id_lista WHERE l.nombre = 'TipoCliente' AND upper(lo.nombre) = upper('"&amp;SUBSTITUTE(TRIM(I450),"'","''")&amp;"') AND lo.estado = 1 LIMIT 1)")&amp;", p_id_tipo_persona =&gt; "&amp;IF(TRIM(H450&amp;"")="","NULL","(SELECT lo.id FROM gen_lista_opciones lo JOIN gen_lista l ON l.id = lo.id_lista WHERE l.nombre = 'TipoPersona' AND upper(lo.nombre) = upper('"&amp;SUBSTITUTE(TRIM(H450),"'","''")&amp;"') AND lo.estado = 1 LIMIT 1)")&amp;", p_nombres =&gt; "&amp;IF(TRIM(E450&amp;"")="","NULL","'"&amp;SUBSTITUTE(TRIM(E450),"'","''")&amp;"'")&amp;", p_apellido_paterno =&gt; "&amp;IF(TRIM(F450&amp;"")="","NULL","'"&amp;SUBSTITUTE(TRIM(F450),"'","''")&amp;"'")&amp;", p_apellido_materno =&gt; "&amp;IF(TRIM(G450&amp;"")="","NULL","'"&amp;SUBSTITUTE(TRIM(G450),"'","''")&amp;"'")&amp;", p_id_tipo_documento =&gt; "&amp;IF(TRIM(B450&amp;"")="","NULL","(SELECT lo.id FROM gen_lista_opciones lo JOIN gen_lista l ON l.id = lo.id_lista WHERE l.nombre = 'TipoDocumento' AND upper(lo.nombre) = upper('"&amp;SUBSTITUTE(TRIM(B450),"'","''")&amp;"') AND lo.estado = 1 LIMIT 1)")&amp;", p_numero_documento =&gt; "&amp;IF(TRIM(C450&amp;"")="","NULL","'"&amp;SUBSTITUTE(TRIM(C450),"'","''")&amp;"'")&amp;", p_telefono =&gt; "&amp;IF(TRIM(L450&amp;"")="","NULL","'"&amp;SUBSTITUTE(TRIM(L450),"'","''")&amp;"'")&amp;", p_email =&gt; "&amp;IF(TRIM(M450&amp;"")="","NULL","'"&amp;SUBSTITUTE(TRIM(M450),"'","''")&amp;"'")&amp;", p_observacion =&gt; "&amp;IF(TRIM(O450&amp;"")="","NULL","'"&amp;SUBSTITUTE(TRIM(O450),"'","''")&amp;"'")&amp;", p_direccion =&gt; "&amp;IF(TRIM(J450&amp;"")="","NULL","'"&amp;SUBSTITUTE(TRIM(J450),"'","''")&amp;"'")&amp;", p_referencia =&gt; "&amp;IF(TRIM(K450&amp;"")="","NULL","'"&amp;SUBSTITUTE(TRIM(K450),"'","''")&amp;"'")&amp;") AS resultado_cliente_"&amp;405&amp;";")</f>
        <v/>
      </c>
    </row>
    <row r="451" ht="15.75" customHeight="1" s="64">
      <c r="A451" s="25">
        <f>IF(AND(D451="",E451="",C451=""),"",IF(AND(D451="",E451=""),"FALTA razón social o nombres",IF(AND(C451&lt;&gt;"",COUNTIF($C$5:$C$549,C451)&gt;1),"DOCUMENTO DUPLICADO",IF(AND(B451="DNI",C451&lt;&gt;"",LEN(C451)&lt;&gt;8),"DNI debe tener 8 dígitos",IF(AND(B451="RUC",C451&lt;&gt;"",LEN(C451)&lt;&gt;11),"RUC debe tener 11 dígitos",IF(AND(N451&lt;&gt;"",COUNTIF($N$5:$N$549,N451)&gt;1),"CÓDIGO INTERNO DUPLICADO","OK"))))))</f>
        <v/>
      </c>
      <c r="B451" s="17" t="n"/>
      <c r="C451" s="23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23" t="n"/>
      <c r="M451" s="17" t="n"/>
      <c r="N451" s="23" t="n"/>
      <c r="O451" s="17" t="n"/>
      <c r="P451" s="28">
        <f>IF(A451&lt;&gt;"OK","","SELECT cli_crear_clientes(p_codigo_interno =&gt; "&amp;IF(TRIM(N451&amp;"")="","NULL","'"&amp;SUBSTITUTE(TRIM(N451),"'","''")&amp;"'")&amp;", p_razon_social =&gt; "&amp;IF(TRIM(D451&amp;"")="","NULL","'"&amp;SUBSTITUTE(TRIM(D451),"'","''")&amp;"'")&amp;", p_id_tipo_cliente =&gt; "&amp;IF(TRIM(I451&amp;"")="","NULL","(SELECT lo.id FROM gen_lista_opciones lo JOIN gen_lista l ON l.id = lo.id_lista WHERE l.nombre = 'TipoCliente' AND upper(lo.nombre) = upper('"&amp;SUBSTITUTE(TRIM(I451),"'","''")&amp;"') AND lo.estado = 1 LIMIT 1)")&amp;", p_id_tipo_persona =&gt; "&amp;IF(TRIM(H451&amp;"")="","NULL","(SELECT lo.id FROM gen_lista_opciones lo JOIN gen_lista l ON l.id = lo.id_lista WHERE l.nombre = 'TipoPersona' AND upper(lo.nombre) = upper('"&amp;SUBSTITUTE(TRIM(H451),"'","''")&amp;"') AND lo.estado = 1 LIMIT 1)")&amp;", p_nombres =&gt; "&amp;IF(TRIM(E451&amp;"")="","NULL","'"&amp;SUBSTITUTE(TRIM(E451),"'","''")&amp;"'")&amp;", p_apellido_paterno =&gt; "&amp;IF(TRIM(F451&amp;"")="","NULL","'"&amp;SUBSTITUTE(TRIM(F451),"'","''")&amp;"'")&amp;", p_apellido_materno =&gt; "&amp;IF(TRIM(G451&amp;"")="","NULL","'"&amp;SUBSTITUTE(TRIM(G451),"'","''")&amp;"'")&amp;", p_id_tipo_documento =&gt; "&amp;IF(TRIM(B451&amp;"")="","NULL","(SELECT lo.id FROM gen_lista_opciones lo JOIN gen_lista l ON l.id = lo.id_lista WHERE l.nombre = 'TipoDocumento' AND upper(lo.nombre) = upper('"&amp;SUBSTITUTE(TRIM(B451),"'","''")&amp;"') AND lo.estado = 1 LIMIT 1)")&amp;", p_numero_documento =&gt; "&amp;IF(TRIM(C451&amp;"")="","NULL","'"&amp;SUBSTITUTE(TRIM(C451),"'","''")&amp;"'")&amp;", p_telefono =&gt; "&amp;IF(TRIM(L451&amp;"")="","NULL","'"&amp;SUBSTITUTE(TRIM(L451),"'","''")&amp;"'")&amp;", p_email =&gt; "&amp;IF(TRIM(M451&amp;"")="","NULL","'"&amp;SUBSTITUTE(TRIM(M451),"'","''")&amp;"'")&amp;", p_observacion =&gt; "&amp;IF(TRIM(O451&amp;"")="","NULL","'"&amp;SUBSTITUTE(TRIM(O451),"'","''")&amp;"'")&amp;", p_direccion =&gt; "&amp;IF(TRIM(J451&amp;"")="","NULL","'"&amp;SUBSTITUTE(TRIM(J451),"'","''")&amp;"'")&amp;", p_referencia =&gt; "&amp;IF(TRIM(K451&amp;"")="","NULL","'"&amp;SUBSTITUTE(TRIM(K451),"'","''")&amp;"'")&amp;") AS resultado_cliente_"&amp;406&amp;";")</f>
        <v/>
      </c>
    </row>
    <row r="452" ht="15.75" customHeight="1" s="64">
      <c r="A452" s="25">
        <f>IF(AND(D452="",E452="",C452=""),"",IF(AND(D452="",E452=""),"FALTA razón social o nombres",IF(AND(C452&lt;&gt;"",COUNTIF($C$5:$C$549,C452)&gt;1),"DOCUMENTO DUPLICADO",IF(AND(B452="DNI",C452&lt;&gt;"",LEN(C452)&lt;&gt;8),"DNI debe tener 8 dígitos",IF(AND(B452="RUC",C452&lt;&gt;"",LEN(C452)&lt;&gt;11),"RUC debe tener 11 dígitos",IF(AND(N452&lt;&gt;"",COUNTIF($N$5:$N$549,N452)&gt;1),"CÓDIGO INTERNO DUPLICADO","OK"))))))</f>
        <v/>
      </c>
      <c r="B452" s="17" t="n"/>
      <c r="C452" s="23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23" t="n"/>
      <c r="M452" s="17" t="n"/>
      <c r="N452" s="23" t="n"/>
      <c r="O452" s="17" t="n"/>
      <c r="P452" s="28">
        <f>IF(A452&lt;&gt;"OK","","SELECT cli_crear_clientes(p_codigo_interno =&gt; "&amp;IF(TRIM(N452&amp;"")="","NULL","'"&amp;SUBSTITUTE(TRIM(N452),"'","''")&amp;"'")&amp;", p_razon_social =&gt; "&amp;IF(TRIM(D452&amp;"")="","NULL","'"&amp;SUBSTITUTE(TRIM(D452),"'","''")&amp;"'")&amp;", p_id_tipo_cliente =&gt; "&amp;IF(TRIM(I452&amp;"")="","NULL","(SELECT lo.id FROM gen_lista_opciones lo JOIN gen_lista l ON l.id = lo.id_lista WHERE l.nombre = 'TipoCliente' AND upper(lo.nombre) = upper('"&amp;SUBSTITUTE(TRIM(I452),"'","''")&amp;"') AND lo.estado = 1 LIMIT 1)")&amp;", p_id_tipo_persona =&gt; "&amp;IF(TRIM(H452&amp;"")="","NULL","(SELECT lo.id FROM gen_lista_opciones lo JOIN gen_lista l ON l.id = lo.id_lista WHERE l.nombre = 'TipoPersona' AND upper(lo.nombre) = upper('"&amp;SUBSTITUTE(TRIM(H452),"'","''")&amp;"') AND lo.estado = 1 LIMIT 1)")&amp;", p_nombres =&gt; "&amp;IF(TRIM(E452&amp;"")="","NULL","'"&amp;SUBSTITUTE(TRIM(E452),"'","''")&amp;"'")&amp;", p_apellido_paterno =&gt; "&amp;IF(TRIM(F452&amp;"")="","NULL","'"&amp;SUBSTITUTE(TRIM(F452),"'","''")&amp;"'")&amp;", p_apellido_materno =&gt; "&amp;IF(TRIM(G452&amp;"")="","NULL","'"&amp;SUBSTITUTE(TRIM(G452),"'","''")&amp;"'")&amp;", p_id_tipo_documento =&gt; "&amp;IF(TRIM(B452&amp;"")="","NULL","(SELECT lo.id FROM gen_lista_opciones lo JOIN gen_lista l ON l.id = lo.id_lista WHERE l.nombre = 'TipoDocumento' AND upper(lo.nombre) = upper('"&amp;SUBSTITUTE(TRIM(B452),"'","''")&amp;"') AND lo.estado = 1 LIMIT 1)")&amp;", p_numero_documento =&gt; "&amp;IF(TRIM(C452&amp;"")="","NULL","'"&amp;SUBSTITUTE(TRIM(C452),"'","''")&amp;"'")&amp;", p_telefono =&gt; "&amp;IF(TRIM(L452&amp;"")="","NULL","'"&amp;SUBSTITUTE(TRIM(L452),"'","''")&amp;"'")&amp;", p_email =&gt; "&amp;IF(TRIM(M452&amp;"")="","NULL","'"&amp;SUBSTITUTE(TRIM(M452),"'","''")&amp;"'")&amp;", p_observacion =&gt; "&amp;IF(TRIM(O452&amp;"")="","NULL","'"&amp;SUBSTITUTE(TRIM(O452),"'","''")&amp;"'")&amp;", p_direccion =&gt; "&amp;IF(TRIM(J452&amp;"")="","NULL","'"&amp;SUBSTITUTE(TRIM(J452),"'","''")&amp;"'")&amp;", p_referencia =&gt; "&amp;IF(TRIM(K452&amp;"")="","NULL","'"&amp;SUBSTITUTE(TRIM(K452),"'","''")&amp;"'")&amp;") AS resultado_cliente_"&amp;407&amp;";")</f>
        <v/>
      </c>
    </row>
    <row r="453" ht="15.75" customHeight="1" s="64">
      <c r="A453" s="25">
        <f>IF(AND(D453="",E453="",C453=""),"",IF(AND(D453="",E453=""),"FALTA razón social o nombres",IF(AND(C453&lt;&gt;"",COUNTIF($C$5:$C$549,C453)&gt;1),"DOCUMENTO DUPLICADO",IF(AND(B453="DNI",C453&lt;&gt;"",LEN(C453)&lt;&gt;8),"DNI debe tener 8 dígitos",IF(AND(B453="RUC",C453&lt;&gt;"",LEN(C453)&lt;&gt;11),"RUC debe tener 11 dígitos",IF(AND(N453&lt;&gt;"",COUNTIF($N$5:$N$549,N453)&gt;1),"CÓDIGO INTERNO DUPLICADO","OK"))))))</f>
        <v/>
      </c>
      <c r="B453" s="17" t="n"/>
      <c r="C453" s="23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23" t="n"/>
      <c r="M453" s="17" t="n"/>
      <c r="N453" s="23" t="n"/>
      <c r="O453" s="17" t="n"/>
      <c r="P453" s="28">
        <f>IF(A453&lt;&gt;"OK","","SELECT cli_crear_clientes(p_codigo_interno =&gt; "&amp;IF(TRIM(N453&amp;"")="","NULL","'"&amp;SUBSTITUTE(TRIM(N453),"'","''")&amp;"'")&amp;", p_razon_social =&gt; "&amp;IF(TRIM(D453&amp;"")="","NULL","'"&amp;SUBSTITUTE(TRIM(D453),"'","''")&amp;"'")&amp;", p_id_tipo_cliente =&gt; "&amp;IF(TRIM(I453&amp;"")="","NULL","(SELECT lo.id FROM gen_lista_opciones lo JOIN gen_lista l ON l.id = lo.id_lista WHERE l.nombre = 'TipoCliente' AND upper(lo.nombre) = upper('"&amp;SUBSTITUTE(TRIM(I453),"'","''")&amp;"') AND lo.estado = 1 LIMIT 1)")&amp;", p_id_tipo_persona =&gt; "&amp;IF(TRIM(H453&amp;"")="","NULL","(SELECT lo.id FROM gen_lista_opciones lo JOIN gen_lista l ON l.id = lo.id_lista WHERE l.nombre = 'TipoPersona' AND upper(lo.nombre) = upper('"&amp;SUBSTITUTE(TRIM(H453),"'","''")&amp;"') AND lo.estado = 1 LIMIT 1)")&amp;", p_nombres =&gt; "&amp;IF(TRIM(E453&amp;"")="","NULL","'"&amp;SUBSTITUTE(TRIM(E453),"'","''")&amp;"'")&amp;", p_apellido_paterno =&gt; "&amp;IF(TRIM(F453&amp;"")="","NULL","'"&amp;SUBSTITUTE(TRIM(F453),"'","''")&amp;"'")&amp;", p_apellido_materno =&gt; "&amp;IF(TRIM(G453&amp;"")="","NULL","'"&amp;SUBSTITUTE(TRIM(G453),"'","''")&amp;"'")&amp;", p_id_tipo_documento =&gt; "&amp;IF(TRIM(B453&amp;"")="","NULL","(SELECT lo.id FROM gen_lista_opciones lo JOIN gen_lista l ON l.id = lo.id_lista WHERE l.nombre = 'TipoDocumento' AND upper(lo.nombre) = upper('"&amp;SUBSTITUTE(TRIM(B453),"'","''")&amp;"') AND lo.estado = 1 LIMIT 1)")&amp;", p_numero_documento =&gt; "&amp;IF(TRIM(C453&amp;"")="","NULL","'"&amp;SUBSTITUTE(TRIM(C453),"'","''")&amp;"'")&amp;", p_telefono =&gt; "&amp;IF(TRIM(L453&amp;"")="","NULL","'"&amp;SUBSTITUTE(TRIM(L453),"'","''")&amp;"'")&amp;", p_email =&gt; "&amp;IF(TRIM(M453&amp;"")="","NULL","'"&amp;SUBSTITUTE(TRIM(M453),"'","''")&amp;"'")&amp;", p_observacion =&gt; "&amp;IF(TRIM(O453&amp;"")="","NULL","'"&amp;SUBSTITUTE(TRIM(O453),"'","''")&amp;"'")&amp;", p_direccion =&gt; "&amp;IF(TRIM(J453&amp;"")="","NULL","'"&amp;SUBSTITUTE(TRIM(J453),"'","''")&amp;"'")&amp;", p_referencia =&gt; "&amp;IF(TRIM(K453&amp;"")="","NULL","'"&amp;SUBSTITUTE(TRIM(K453),"'","''")&amp;"'")&amp;") AS resultado_cliente_"&amp;408&amp;";")</f>
        <v/>
      </c>
    </row>
    <row r="454" ht="15.75" customHeight="1" s="64">
      <c r="A454" s="25">
        <f>IF(AND(D454="",E454="",C454=""),"",IF(AND(D454="",E454=""),"FALTA razón social o nombres",IF(AND(C454&lt;&gt;"",COUNTIF($C$5:$C$549,C454)&gt;1),"DOCUMENTO DUPLICADO",IF(AND(B454="DNI",C454&lt;&gt;"",LEN(C454)&lt;&gt;8),"DNI debe tener 8 dígitos",IF(AND(B454="RUC",C454&lt;&gt;"",LEN(C454)&lt;&gt;11),"RUC debe tener 11 dígitos",IF(AND(N454&lt;&gt;"",COUNTIF($N$5:$N$549,N454)&gt;1),"CÓDIGO INTERNO DUPLICADO","OK"))))))</f>
        <v/>
      </c>
      <c r="B454" s="17" t="n"/>
      <c r="C454" s="23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23" t="n"/>
      <c r="M454" s="17" t="n"/>
      <c r="N454" s="23" t="n"/>
      <c r="O454" s="17" t="n"/>
      <c r="P454" s="28">
        <f>IF(A454&lt;&gt;"OK","","SELECT cli_crear_clientes(p_codigo_interno =&gt; "&amp;IF(TRIM(N454&amp;"")="","NULL","'"&amp;SUBSTITUTE(TRIM(N454),"'","''")&amp;"'")&amp;", p_razon_social =&gt; "&amp;IF(TRIM(D454&amp;"")="","NULL","'"&amp;SUBSTITUTE(TRIM(D454),"'","''")&amp;"'")&amp;", p_id_tipo_cliente =&gt; "&amp;IF(TRIM(I454&amp;"")="","NULL","(SELECT lo.id FROM gen_lista_opciones lo JOIN gen_lista l ON l.id = lo.id_lista WHERE l.nombre = 'TipoCliente' AND upper(lo.nombre) = upper('"&amp;SUBSTITUTE(TRIM(I454),"'","''")&amp;"') AND lo.estado = 1 LIMIT 1)")&amp;", p_id_tipo_persona =&gt; "&amp;IF(TRIM(H454&amp;"")="","NULL","(SELECT lo.id FROM gen_lista_opciones lo JOIN gen_lista l ON l.id = lo.id_lista WHERE l.nombre = 'TipoPersona' AND upper(lo.nombre) = upper('"&amp;SUBSTITUTE(TRIM(H454),"'","''")&amp;"') AND lo.estado = 1 LIMIT 1)")&amp;", p_nombres =&gt; "&amp;IF(TRIM(E454&amp;"")="","NULL","'"&amp;SUBSTITUTE(TRIM(E454),"'","''")&amp;"'")&amp;", p_apellido_paterno =&gt; "&amp;IF(TRIM(F454&amp;"")="","NULL","'"&amp;SUBSTITUTE(TRIM(F454),"'","''")&amp;"'")&amp;", p_apellido_materno =&gt; "&amp;IF(TRIM(G454&amp;"")="","NULL","'"&amp;SUBSTITUTE(TRIM(G454),"'","''")&amp;"'")&amp;", p_id_tipo_documento =&gt; "&amp;IF(TRIM(B454&amp;"")="","NULL","(SELECT lo.id FROM gen_lista_opciones lo JOIN gen_lista l ON l.id = lo.id_lista WHERE l.nombre = 'TipoDocumento' AND upper(lo.nombre) = upper('"&amp;SUBSTITUTE(TRIM(B454),"'","''")&amp;"') AND lo.estado = 1 LIMIT 1)")&amp;", p_numero_documento =&gt; "&amp;IF(TRIM(C454&amp;"")="","NULL","'"&amp;SUBSTITUTE(TRIM(C454),"'","''")&amp;"'")&amp;", p_telefono =&gt; "&amp;IF(TRIM(L454&amp;"")="","NULL","'"&amp;SUBSTITUTE(TRIM(L454),"'","''")&amp;"'")&amp;", p_email =&gt; "&amp;IF(TRIM(M454&amp;"")="","NULL","'"&amp;SUBSTITUTE(TRIM(M454),"'","''")&amp;"'")&amp;", p_observacion =&gt; "&amp;IF(TRIM(O454&amp;"")="","NULL","'"&amp;SUBSTITUTE(TRIM(O454),"'","''")&amp;"'")&amp;", p_direccion =&gt; "&amp;IF(TRIM(J454&amp;"")="","NULL","'"&amp;SUBSTITUTE(TRIM(J454),"'","''")&amp;"'")&amp;", p_referencia =&gt; "&amp;IF(TRIM(K454&amp;"")="","NULL","'"&amp;SUBSTITUTE(TRIM(K454),"'","''")&amp;"'")&amp;") AS resultado_cliente_"&amp;409&amp;";")</f>
        <v/>
      </c>
    </row>
    <row r="455" ht="15.75" customHeight="1" s="64">
      <c r="A455" s="25">
        <f>IF(AND(D455="",E455="",C455=""),"",IF(AND(D455="",E455=""),"FALTA razón social o nombres",IF(AND(C455&lt;&gt;"",COUNTIF($C$5:$C$549,C455)&gt;1),"DOCUMENTO DUPLICADO",IF(AND(B455="DNI",C455&lt;&gt;"",LEN(C455)&lt;&gt;8),"DNI debe tener 8 dígitos",IF(AND(B455="RUC",C455&lt;&gt;"",LEN(C455)&lt;&gt;11),"RUC debe tener 11 dígitos",IF(AND(N455&lt;&gt;"",COUNTIF($N$5:$N$549,N455)&gt;1),"CÓDIGO INTERNO DUPLICADO","OK"))))))</f>
        <v/>
      </c>
      <c r="B455" s="17" t="n"/>
      <c r="C455" s="23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23" t="n"/>
      <c r="M455" s="17" t="n"/>
      <c r="N455" s="23" t="n"/>
      <c r="O455" s="17" t="n"/>
      <c r="P455" s="28">
        <f>IF(A455&lt;&gt;"OK","","SELECT cli_crear_clientes(p_codigo_interno =&gt; "&amp;IF(TRIM(N455&amp;"")="","NULL","'"&amp;SUBSTITUTE(TRIM(N455),"'","''")&amp;"'")&amp;", p_razon_social =&gt; "&amp;IF(TRIM(D455&amp;"")="","NULL","'"&amp;SUBSTITUTE(TRIM(D455),"'","''")&amp;"'")&amp;", p_id_tipo_cliente =&gt; "&amp;IF(TRIM(I455&amp;"")="","NULL","(SELECT lo.id FROM gen_lista_opciones lo JOIN gen_lista l ON l.id = lo.id_lista WHERE l.nombre = 'TipoCliente' AND upper(lo.nombre) = upper('"&amp;SUBSTITUTE(TRIM(I455),"'","''")&amp;"') AND lo.estado = 1 LIMIT 1)")&amp;", p_id_tipo_persona =&gt; "&amp;IF(TRIM(H455&amp;"")="","NULL","(SELECT lo.id FROM gen_lista_opciones lo JOIN gen_lista l ON l.id = lo.id_lista WHERE l.nombre = 'TipoPersona' AND upper(lo.nombre) = upper('"&amp;SUBSTITUTE(TRIM(H455),"'","''")&amp;"') AND lo.estado = 1 LIMIT 1)")&amp;", p_nombres =&gt; "&amp;IF(TRIM(E455&amp;"")="","NULL","'"&amp;SUBSTITUTE(TRIM(E455),"'","''")&amp;"'")&amp;", p_apellido_paterno =&gt; "&amp;IF(TRIM(F455&amp;"")="","NULL","'"&amp;SUBSTITUTE(TRIM(F455),"'","''")&amp;"'")&amp;", p_apellido_materno =&gt; "&amp;IF(TRIM(G455&amp;"")="","NULL","'"&amp;SUBSTITUTE(TRIM(G455),"'","''")&amp;"'")&amp;", p_id_tipo_documento =&gt; "&amp;IF(TRIM(B455&amp;"")="","NULL","(SELECT lo.id FROM gen_lista_opciones lo JOIN gen_lista l ON l.id = lo.id_lista WHERE l.nombre = 'TipoDocumento' AND upper(lo.nombre) = upper('"&amp;SUBSTITUTE(TRIM(B455),"'","''")&amp;"') AND lo.estado = 1 LIMIT 1)")&amp;", p_numero_documento =&gt; "&amp;IF(TRIM(C455&amp;"")="","NULL","'"&amp;SUBSTITUTE(TRIM(C455),"'","''")&amp;"'")&amp;", p_telefono =&gt; "&amp;IF(TRIM(L455&amp;"")="","NULL","'"&amp;SUBSTITUTE(TRIM(L455),"'","''")&amp;"'")&amp;", p_email =&gt; "&amp;IF(TRIM(M455&amp;"")="","NULL","'"&amp;SUBSTITUTE(TRIM(M455),"'","''")&amp;"'")&amp;", p_observacion =&gt; "&amp;IF(TRIM(O455&amp;"")="","NULL","'"&amp;SUBSTITUTE(TRIM(O455),"'","''")&amp;"'")&amp;", p_direccion =&gt; "&amp;IF(TRIM(J455&amp;"")="","NULL","'"&amp;SUBSTITUTE(TRIM(J455),"'","''")&amp;"'")&amp;", p_referencia =&gt; "&amp;IF(TRIM(K455&amp;"")="","NULL","'"&amp;SUBSTITUTE(TRIM(K455),"'","''")&amp;"'")&amp;") AS resultado_cliente_"&amp;410&amp;";")</f>
        <v/>
      </c>
    </row>
    <row r="456" ht="15.75" customHeight="1" s="64">
      <c r="A456" s="25">
        <f>IF(AND(D456="",E456="",C456=""),"",IF(AND(D456="",E456=""),"FALTA razón social o nombres",IF(AND(C456&lt;&gt;"",COUNTIF($C$5:$C$549,C456)&gt;1),"DOCUMENTO DUPLICADO",IF(AND(B456="DNI",C456&lt;&gt;"",LEN(C456)&lt;&gt;8),"DNI debe tener 8 dígitos",IF(AND(B456="RUC",C456&lt;&gt;"",LEN(C456)&lt;&gt;11),"RUC debe tener 11 dígitos",IF(AND(N456&lt;&gt;"",COUNTIF($N$5:$N$549,N456)&gt;1),"CÓDIGO INTERNO DUPLICADO","OK"))))))</f>
        <v/>
      </c>
      <c r="B456" s="17" t="n"/>
      <c r="C456" s="23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23" t="n"/>
      <c r="M456" s="17" t="n"/>
      <c r="N456" s="23" t="n"/>
      <c r="O456" s="17" t="n"/>
      <c r="P456" s="28">
        <f>IF(A456&lt;&gt;"OK","","SELECT cli_crear_clientes(p_codigo_interno =&gt; "&amp;IF(TRIM(N456&amp;"")="","NULL","'"&amp;SUBSTITUTE(TRIM(N456),"'","''")&amp;"'")&amp;", p_razon_social =&gt; "&amp;IF(TRIM(D456&amp;"")="","NULL","'"&amp;SUBSTITUTE(TRIM(D456),"'","''")&amp;"'")&amp;", p_id_tipo_cliente =&gt; "&amp;IF(TRIM(I456&amp;"")="","NULL","(SELECT lo.id FROM gen_lista_opciones lo JOIN gen_lista l ON l.id = lo.id_lista WHERE l.nombre = 'TipoCliente' AND upper(lo.nombre) = upper('"&amp;SUBSTITUTE(TRIM(I456),"'","''")&amp;"') AND lo.estado = 1 LIMIT 1)")&amp;", p_id_tipo_persona =&gt; "&amp;IF(TRIM(H456&amp;"")="","NULL","(SELECT lo.id FROM gen_lista_opciones lo JOIN gen_lista l ON l.id = lo.id_lista WHERE l.nombre = 'TipoPersona' AND upper(lo.nombre) = upper('"&amp;SUBSTITUTE(TRIM(H456),"'","''")&amp;"') AND lo.estado = 1 LIMIT 1)")&amp;", p_nombres =&gt; "&amp;IF(TRIM(E456&amp;"")="","NULL","'"&amp;SUBSTITUTE(TRIM(E456),"'","''")&amp;"'")&amp;", p_apellido_paterno =&gt; "&amp;IF(TRIM(F456&amp;"")="","NULL","'"&amp;SUBSTITUTE(TRIM(F456),"'","''")&amp;"'")&amp;", p_apellido_materno =&gt; "&amp;IF(TRIM(G456&amp;"")="","NULL","'"&amp;SUBSTITUTE(TRIM(G456),"'","''")&amp;"'")&amp;", p_id_tipo_documento =&gt; "&amp;IF(TRIM(B456&amp;"")="","NULL","(SELECT lo.id FROM gen_lista_opciones lo JOIN gen_lista l ON l.id = lo.id_lista WHERE l.nombre = 'TipoDocumento' AND upper(lo.nombre) = upper('"&amp;SUBSTITUTE(TRIM(B456),"'","''")&amp;"') AND lo.estado = 1 LIMIT 1)")&amp;", p_numero_documento =&gt; "&amp;IF(TRIM(C456&amp;"")="","NULL","'"&amp;SUBSTITUTE(TRIM(C456),"'","''")&amp;"'")&amp;", p_telefono =&gt; "&amp;IF(TRIM(L456&amp;"")="","NULL","'"&amp;SUBSTITUTE(TRIM(L456),"'","''")&amp;"'")&amp;", p_email =&gt; "&amp;IF(TRIM(M456&amp;"")="","NULL","'"&amp;SUBSTITUTE(TRIM(M456),"'","''")&amp;"'")&amp;", p_observacion =&gt; "&amp;IF(TRIM(O456&amp;"")="","NULL","'"&amp;SUBSTITUTE(TRIM(O456),"'","''")&amp;"'")&amp;", p_direccion =&gt; "&amp;IF(TRIM(J456&amp;"")="","NULL","'"&amp;SUBSTITUTE(TRIM(J456),"'","''")&amp;"'")&amp;", p_referencia =&gt; "&amp;IF(TRIM(K456&amp;"")="","NULL","'"&amp;SUBSTITUTE(TRIM(K456),"'","''")&amp;"'")&amp;") AS resultado_cliente_"&amp;411&amp;";")</f>
        <v/>
      </c>
    </row>
    <row r="457" ht="15.75" customHeight="1" s="64">
      <c r="A457" s="25">
        <f>IF(AND(D457="",E457="",C457=""),"",IF(AND(D457="",E457=""),"FALTA razón social o nombres",IF(AND(C457&lt;&gt;"",COUNTIF($C$5:$C$549,C457)&gt;1),"DOCUMENTO DUPLICADO",IF(AND(B457="DNI",C457&lt;&gt;"",LEN(C457)&lt;&gt;8),"DNI debe tener 8 dígitos",IF(AND(B457="RUC",C457&lt;&gt;"",LEN(C457)&lt;&gt;11),"RUC debe tener 11 dígitos",IF(AND(N457&lt;&gt;"",COUNTIF($N$5:$N$549,N457)&gt;1),"CÓDIGO INTERNO DUPLICADO","OK"))))))</f>
        <v/>
      </c>
      <c r="B457" s="17" t="n"/>
      <c r="C457" s="23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23" t="n"/>
      <c r="M457" s="17" t="n"/>
      <c r="N457" s="23" t="n"/>
      <c r="O457" s="17" t="n"/>
      <c r="P457" s="28">
        <f>IF(A457&lt;&gt;"OK","","SELECT cli_crear_clientes(p_codigo_interno =&gt; "&amp;IF(TRIM(N457&amp;"")="","NULL","'"&amp;SUBSTITUTE(TRIM(N457),"'","''")&amp;"'")&amp;", p_razon_social =&gt; "&amp;IF(TRIM(D457&amp;"")="","NULL","'"&amp;SUBSTITUTE(TRIM(D457),"'","''")&amp;"'")&amp;", p_id_tipo_cliente =&gt; "&amp;IF(TRIM(I457&amp;"")="","NULL","(SELECT lo.id FROM gen_lista_opciones lo JOIN gen_lista l ON l.id = lo.id_lista WHERE l.nombre = 'TipoCliente' AND upper(lo.nombre) = upper('"&amp;SUBSTITUTE(TRIM(I457),"'","''")&amp;"') AND lo.estado = 1 LIMIT 1)")&amp;", p_id_tipo_persona =&gt; "&amp;IF(TRIM(H457&amp;"")="","NULL","(SELECT lo.id FROM gen_lista_opciones lo JOIN gen_lista l ON l.id = lo.id_lista WHERE l.nombre = 'TipoPersona' AND upper(lo.nombre) = upper('"&amp;SUBSTITUTE(TRIM(H457),"'","''")&amp;"') AND lo.estado = 1 LIMIT 1)")&amp;", p_nombres =&gt; "&amp;IF(TRIM(E457&amp;"")="","NULL","'"&amp;SUBSTITUTE(TRIM(E457),"'","''")&amp;"'")&amp;", p_apellido_paterno =&gt; "&amp;IF(TRIM(F457&amp;"")="","NULL","'"&amp;SUBSTITUTE(TRIM(F457),"'","''")&amp;"'")&amp;", p_apellido_materno =&gt; "&amp;IF(TRIM(G457&amp;"")="","NULL","'"&amp;SUBSTITUTE(TRIM(G457),"'","''")&amp;"'")&amp;", p_id_tipo_documento =&gt; "&amp;IF(TRIM(B457&amp;"")="","NULL","(SELECT lo.id FROM gen_lista_opciones lo JOIN gen_lista l ON l.id = lo.id_lista WHERE l.nombre = 'TipoDocumento' AND upper(lo.nombre) = upper('"&amp;SUBSTITUTE(TRIM(B457),"'","''")&amp;"') AND lo.estado = 1 LIMIT 1)")&amp;", p_numero_documento =&gt; "&amp;IF(TRIM(C457&amp;"")="","NULL","'"&amp;SUBSTITUTE(TRIM(C457),"'","''")&amp;"'")&amp;", p_telefono =&gt; "&amp;IF(TRIM(L457&amp;"")="","NULL","'"&amp;SUBSTITUTE(TRIM(L457),"'","''")&amp;"'")&amp;", p_email =&gt; "&amp;IF(TRIM(M457&amp;"")="","NULL","'"&amp;SUBSTITUTE(TRIM(M457),"'","''")&amp;"'")&amp;", p_observacion =&gt; "&amp;IF(TRIM(O457&amp;"")="","NULL","'"&amp;SUBSTITUTE(TRIM(O457),"'","''")&amp;"'")&amp;", p_direccion =&gt; "&amp;IF(TRIM(J457&amp;"")="","NULL","'"&amp;SUBSTITUTE(TRIM(J457),"'","''")&amp;"'")&amp;", p_referencia =&gt; "&amp;IF(TRIM(K457&amp;"")="","NULL","'"&amp;SUBSTITUTE(TRIM(K457),"'","''")&amp;"'")&amp;") AS resultado_cliente_"&amp;412&amp;";")</f>
        <v/>
      </c>
    </row>
    <row r="458" ht="15.75" customHeight="1" s="64">
      <c r="A458" s="25">
        <f>IF(AND(D458="",E458="",C458=""),"",IF(AND(D458="",E458=""),"FALTA razón social o nombres",IF(AND(C458&lt;&gt;"",COUNTIF($C$5:$C$549,C458)&gt;1),"DOCUMENTO DUPLICADO",IF(AND(B458="DNI",C458&lt;&gt;"",LEN(C458)&lt;&gt;8),"DNI debe tener 8 dígitos",IF(AND(B458="RUC",C458&lt;&gt;"",LEN(C458)&lt;&gt;11),"RUC debe tener 11 dígitos",IF(AND(N458&lt;&gt;"",COUNTIF($N$5:$N$549,N458)&gt;1),"CÓDIGO INTERNO DUPLICADO","OK"))))))</f>
        <v/>
      </c>
      <c r="B458" s="17" t="n"/>
      <c r="C458" s="23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23" t="n"/>
      <c r="M458" s="17" t="n"/>
      <c r="N458" s="23" t="n"/>
      <c r="O458" s="17" t="n"/>
      <c r="P458" s="28">
        <f>IF(A458&lt;&gt;"OK","","SELECT cli_crear_clientes(p_codigo_interno =&gt; "&amp;IF(TRIM(N458&amp;"")="","NULL","'"&amp;SUBSTITUTE(TRIM(N458),"'","''")&amp;"'")&amp;", p_razon_social =&gt; "&amp;IF(TRIM(D458&amp;"")="","NULL","'"&amp;SUBSTITUTE(TRIM(D458),"'","''")&amp;"'")&amp;", p_id_tipo_cliente =&gt; "&amp;IF(TRIM(I458&amp;"")="","NULL","(SELECT lo.id FROM gen_lista_opciones lo JOIN gen_lista l ON l.id = lo.id_lista WHERE l.nombre = 'TipoCliente' AND upper(lo.nombre) = upper('"&amp;SUBSTITUTE(TRIM(I458),"'","''")&amp;"') AND lo.estado = 1 LIMIT 1)")&amp;", p_id_tipo_persona =&gt; "&amp;IF(TRIM(H458&amp;"")="","NULL","(SELECT lo.id FROM gen_lista_opciones lo JOIN gen_lista l ON l.id = lo.id_lista WHERE l.nombre = 'TipoPersona' AND upper(lo.nombre) = upper('"&amp;SUBSTITUTE(TRIM(H458),"'","''")&amp;"') AND lo.estado = 1 LIMIT 1)")&amp;", p_nombres =&gt; "&amp;IF(TRIM(E458&amp;"")="","NULL","'"&amp;SUBSTITUTE(TRIM(E458),"'","''")&amp;"'")&amp;", p_apellido_paterno =&gt; "&amp;IF(TRIM(F458&amp;"")="","NULL","'"&amp;SUBSTITUTE(TRIM(F458),"'","''")&amp;"'")&amp;", p_apellido_materno =&gt; "&amp;IF(TRIM(G458&amp;"")="","NULL","'"&amp;SUBSTITUTE(TRIM(G458),"'","''")&amp;"'")&amp;", p_id_tipo_documento =&gt; "&amp;IF(TRIM(B458&amp;"")="","NULL","(SELECT lo.id FROM gen_lista_opciones lo JOIN gen_lista l ON l.id = lo.id_lista WHERE l.nombre = 'TipoDocumento' AND upper(lo.nombre) = upper('"&amp;SUBSTITUTE(TRIM(B458),"'","''")&amp;"') AND lo.estado = 1 LIMIT 1)")&amp;", p_numero_documento =&gt; "&amp;IF(TRIM(C458&amp;"")="","NULL","'"&amp;SUBSTITUTE(TRIM(C458),"'","''")&amp;"'")&amp;", p_telefono =&gt; "&amp;IF(TRIM(L458&amp;"")="","NULL","'"&amp;SUBSTITUTE(TRIM(L458),"'","''")&amp;"'")&amp;", p_email =&gt; "&amp;IF(TRIM(M458&amp;"")="","NULL","'"&amp;SUBSTITUTE(TRIM(M458),"'","''")&amp;"'")&amp;", p_observacion =&gt; "&amp;IF(TRIM(O458&amp;"")="","NULL","'"&amp;SUBSTITUTE(TRIM(O458),"'","''")&amp;"'")&amp;", p_direccion =&gt; "&amp;IF(TRIM(J458&amp;"")="","NULL","'"&amp;SUBSTITUTE(TRIM(J458),"'","''")&amp;"'")&amp;", p_referencia =&gt; "&amp;IF(TRIM(K458&amp;"")="","NULL","'"&amp;SUBSTITUTE(TRIM(K458),"'","''")&amp;"'")&amp;") AS resultado_cliente_"&amp;413&amp;";")</f>
        <v/>
      </c>
    </row>
    <row r="459" ht="15.75" customHeight="1" s="64">
      <c r="A459" s="25">
        <f>IF(AND(D459="",E459="",C459=""),"",IF(AND(D459="",E459=""),"FALTA razón social o nombres",IF(AND(C459&lt;&gt;"",COUNTIF($C$5:$C$549,C459)&gt;1),"DOCUMENTO DUPLICADO",IF(AND(B459="DNI",C459&lt;&gt;"",LEN(C459)&lt;&gt;8),"DNI debe tener 8 dígitos",IF(AND(B459="RUC",C459&lt;&gt;"",LEN(C459)&lt;&gt;11),"RUC debe tener 11 dígitos",IF(AND(N459&lt;&gt;"",COUNTIF($N$5:$N$549,N459)&gt;1),"CÓDIGO INTERNO DUPLICADO","OK"))))))</f>
        <v/>
      </c>
      <c r="B459" s="17" t="n"/>
      <c r="C459" s="23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23" t="n"/>
      <c r="M459" s="17" t="n"/>
      <c r="N459" s="23" t="n"/>
      <c r="O459" s="17" t="n"/>
      <c r="P459" s="28">
        <f>IF(A459&lt;&gt;"OK","","SELECT cli_crear_clientes(p_codigo_interno =&gt; "&amp;IF(TRIM(N459&amp;"")="","NULL","'"&amp;SUBSTITUTE(TRIM(N459),"'","''")&amp;"'")&amp;", p_razon_social =&gt; "&amp;IF(TRIM(D459&amp;"")="","NULL","'"&amp;SUBSTITUTE(TRIM(D459),"'","''")&amp;"'")&amp;", p_id_tipo_cliente =&gt; "&amp;IF(TRIM(I459&amp;"")="","NULL","(SELECT lo.id FROM gen_lista_opciones lo JOIN gen_lista l ON l.id = lo.id_lista WHERE l.nombre = 'TipoCliente' AND upper(lo.nombre) = upper('"&amp;SUBSTITUTE(TRIM(I459),"'","''")&amp;"') AND lo.estado = 1 LIMIT 1)")&amp;", p_id_tipo_persona =&gt; "&amp;IF(TRIM(H459&amp;"")="","NULL","(SELECT lo.id FROM gen_lista_opciones lo JOIN gen_lista l ON l.id = lo.id_lista WHERE l.nombre = 'TipoPersona' AND upper(lo.nombre) = upper('"&amp;SUBSTITUTE(TRIM(H459),"'","''")&amp;"') AND lo.estado = 1 LIMIT 1)")&amp;", p_nombres =&gt; "&amp;IF(TRIM(E459&amp;"")="","NULL","'"&amp;SUBSTITUTE(TRIM(E459),"'","''")&amp;"'")&amp;", p_apellido_paterno =&gt; "&amp;IF(TRIM(F459&amp;"")="","NULL","'"&amp;SUBSTITUTE(TRIM(F459),"'","''")&amp;"'")&amp;", p_apellido_materno =&gt; "&amp;IF(TRIM(G459&amp;"")="","NULL","'"&amp;SUBSTITUTE(TRIM(G459),"'","''")&amp;"'")&amp;", p_id_tipo_documento =&gt; "&amp;IF(TRIM(B459&amp;"")="","NULL","(SELECT lo.id FROM gen_lista_opciones lo JOIN gen_lista l ON l.id = lo.id_lista WHERE l.nombre = 'TipoDocumento' AND upper(lo.nombre) = upper('"&amp;SUBSTITUTE(TRIM(B459),"'","''")&amp;"') AND lo.estado = 1 LIMIT 1)")&amp;", p_numero_documento =&gt; "&amp;IF(TRIM(C459&amp;"")="","NULL","'"&amp;SUBSTITUTE(TRIM(C459),"'","''")&amp;"'")&amp;", p_telefono =&gt; "&amp;IF(TRIM(L459&amp;"")="","NULL","'"&amp;SUBSTITUTE(TRIM(L459),"'","''")&amp;"'")&amp;", p_email =&gt; "&amp;IF(TRIM(M459&amp;"")="","NULL","'"&amp;SUBSTITUTE(TRIM(M459),"'","''")&amp;"'")&amp;", p_observacion =&gt; "&amp;IF(TRIM(O459&amp;"")="","NULL","'"&amp;SUBSTITUTE(TRIM(O459),"'","''")&amp;"'")&amp;", p_direccion =&gt; "&amp;IF(TRIM(J459&amp;"")="","NULL","'"&amp;SUBSTITUTE(TRIM(J459),"'","''")&amp;"'")&amp;", p_referencia =&gt; "&amp;IF(TRIM(K459&amp;"")="","NULL","'"&amp;SUBSTITUTE(TRIM(K459),"'","''")&amp;"'")&amp;") AS resultado_cliente_"&amp;414&amp;";")</f>
        <v/>
      </c>
    </row>
    <row r="460" ht="15.75" customHeight="1" s="64">
      <c r="A460" s="25">
        <f>IF(AND(D460="",E460="",C460=""),"",IF(AND(D460="",E460=""),"FALTA razón social o nombres",IF(AND(C460&lt;&gt;"",COUNTIF($C$5:$C$549,C460)&gt;1),"DOCUMENTO DUPLICADO",IF(AND(B460="DNI",C460&lt;&gt;"",LEN(C460)&lt;&gt;8),"DNI debe tener 8 dígitos",IF(AND(B460="RUC",C460&lt;&gt;"",LEN(C460)&lt;&gt;11),"RUC debe tener 11 dígitos",IF(AND(N460&lt;&gt;"",COUNTIF($N$5:$N$549,N460)&gt;1),"CÓDIGO INTERNO DUPLICADO","OK"))))))</f>
        <v/>
      </c>
      <c r="B460" s="17" t="n"/>
      <c r="C460" s="23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23" t="n"/>
      <c r="M460" s="17" t="n"/>
      <c r="N460" s="23" t="n"/>
      <c r="O460" s="17" t="n"/>
      <c r="P460" s="28">
        <f>IF(A460&lt;&gt;"OK","","SELECT cli_crear_clientes(p_codigo_interno =&gt; "&amp;IF(TRIM(N460&amp;"")="","NULL","'"&amp;SUBSTITUTE(TRIM(N460),"'","''")&amp;"'")&amp;", p_razon_social =&gt; "&amp;IF(TRIM(D460&amp;"")="","NULL","'"&amp;SUBSTITUTE(TRIM(D460),"'","''")&amp;"'")&amp;", p_id_tipo_cliente =&gt; "&amp;IF(TRIM(I460&amp;"")="","NULL","(SELECT lo.id FROM gen_lista_opciones lo JOIN gen_lista l ON l.id = lo.id_lista WHERE l.nombre = 'TipoCliente' AND upper(lo.nombre) = upper('"&amp;SUBSTITUTE(TRIM(I460),"'","''")&amp;"') AND lo.estado = 1 LIMIT 1)")&amp;", p_id_tipo_persona =&gt; "&amp;IF(TRIM(H460&amp;"")="","NULL","(SELECT lo.id FROM gen_lista_opciones lo JOIN gen_lista l ON l.id = lo.id_lista WHERE l.nombre = 'TipoPersona' AND upper(lo.nombre) = upper('"&amp;SUBSTITUTE(TRIM(H460),"'","''")&amp;"') AND lo.estado = 1 LIMIT 1)")&amp;", p_nombres =&gt; "&amp;IF(TRIM(E460&amp;"")="","NULL","'"&amp;SUBSTITUTE(TRIM(E460),"'","''")&amp;"'")&amp;", p_apellido_paterno =&gt; "&amp;IF(TRIM(F460&amp;"")="","NULL","'"&amp;SUBSTITUTE(TRIM(F460),"'","''")&amp;"'")&amp;", p_apellido_materno =&gt; "&amp;IF(TRIM(G460&amp;"")="","NULL","'"&amp;SUBSTITUTE(TRIM(G460),"'","''")&amp;"'")&amp;", p_id_tipo_documento =&gt; "&amp;IF(TRIM(B460&amp;"")="","NULL","(SELECT lo.id FROM gen_lista_opciones lo JOIN gen_lista l ON l.id = lo.id_lista WHERE l.nombre = 'TipoDocumento' AND upper(lo.nombre) = upper('"&amp;SUBSTITUTE(TRIM(B460),"'","''")&amp;"') AND lo.estado = 1 LIMIT 1)")&amp;", p_numero_documento =&gt; "&amp;IF(TRIM(C460&amp;"")="","NULL","'"&amp;SUBSTITUTE(TRIM(C460),"'","''")&amp;"'")&amp;", p_telefono =&gt; "&amp;IF(TRIM(L460&amp;"")="","NULL","'"&amp;SUBSTITUTE(TRIM(L460),"'","''")&amp;"'")&amp;", p_email =&gt; "&amp;IF(TRIM(M460&amp;"")="","NULL","'"&amp;SUBSTITUTE(TRIM(M460),"'","''")&amp;"'")&amp;", p_observacion =&gt; "&amp;IF(TRIM(O460&amp;"")="","NULL","'"&amp;SUBSTITUTE(TRIM(O460),"'","''")&amp;"'")&amp;", p_direccion =&gt; "&amp;IF(TRIM(J460&amp;"")="","NULL","'"&amp;SUBSTITUTE(TRIM(J460),"'","''")&amp;"'")&amp;", p_referencia =&gt; "&amp;IF(TRIM(K460&amp;"")="","NULL","'"&amp;SUBSTITUTE(TRIM(K460),"'","''")&amp;"'")&amp;") AS resultado_cliente_"&amp;415&amp;";")</f>
        <v/>
      </c>
    </row>
    <row r="461" ht="15.75" customHeight="1" s="64">
      <c r="A461" s="25">
        <f>IF(AND(D461="",E461="",C461=""),"",IF(AND(D461="",E461=""),"FALTA razón social o nombres",IF(AND(C461&lt;&gt;"",COUNTIF($C$5:$C$549,C461)&gt;1),"DOCUMENTO DUPLICADO",IF(AND(B461="DNI",C461&lt;&gt;"",LEN(C461)&lt;&gt;8),"DNI debe tener 8 dígitos",IF(AND(B461="RUC",C461&lt;&gt;"",LEN(C461)&lt;&gt;11),"RUC debe tener 11 dígitos",IF(AND(N461&lt;&gt;"",COUNTIF($N$5:$N$549,N461)&gt;1),"CÓDIGO INTERNO DUPLICADO","OK"))))))</f>
        <v/>
      </c>
      <c r="B461" s="17" t="n"/>
      <c r="C461" s="23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23" t="n"/>
      <c r="M461" s="17" t="n"/>
      <c r="N461" s="23" t="n"/>
      <c r="O461" s="17" t="n"/>
      <c r="P461" s="28">
        <f>IF(A461&lt;&gt;"OK","","SELECT cli_crear_clientes(p_codigo_interno =&gt; "&amp;IF(TRIM(N461&amp;"")="","NULL","'"&amp;SUBSTITUTE(TRIM(N461),"'","''")&amp;"'")&amp;", p_razon_social =&gt; "&amp;IF(TRIM(D461&amp;"")="","NULL","'"&amp;SUBSTITUTE(TRIM(D461),"'","''")&amp;"'")&amp;", p_id_tipo_cliente =&gt; "&amp;IF(TRIM(I461&amp;"")="","NULL","(SELECT lo.id FROM gen_lista_opciones lo JOIN gen_lista l ON l.id = lo.id_lista WHERE l.nombre = 'TipoCliente' AND upper(lo.nombre) = upper('"&amp;SUBSTITUTE(TRIM(I461),"'","''")&amp;"') AND lo.estado = 1 LIMIT 1)")&amp;", p_id_tipo_persona =&gt; "&amp;IF(TRIM(H461&amp;"")="","NULL","(SELECT lo.id FROM gen_lista_opciones lo JOIN gen_lista l ON l.id = lo.id_lista WHERE l.nombre = 'TipoPersona' AND upper(lo.nombre) = upper('"&amp;SUBSTITUTE(TRIM(H461),"'","''")&amp;"') AND lo.estado = 1 LIMIT 1)")&amp;", p_nombres =&gt; "&amp;IF(TRIM(E461&amp;"")="","NULL","'"&amp;SUBSTITUTE(TRIM(E461),"'","''")&amp;"'")&amp;", p_apellido_paterno =&gt; "&amp;IF(TRIM(F461&amp;"")="","NULL","'"&amp;SUBSTITUTE(TRIM(F461),"'","''")&amp;"'")&amp;", p_apellido_materno =&gt; "&amp;IF(TRIM(G461&amp;"")="","NULL","'"&amp;SUBSTITUTE(TRIM(G461),"'","''")&amp;"'")&amp;", p_id_tipo_documento =&gt; "&amp;IF(TRIM(B461&amp;"")="","NULL","(SELECT lo.id FROM gen_lista_opciones lo JOIN gen_lista l ON l.id = lo.id_lista WHERE l.nombre = 'TipoDocumento' AND upper(lo.nombre) = upper('"&amp;SUBSTITUTE(TRIM(B461),"'","''")&amp;"') AND lo.estado = 1 LIMIT 1)")&amp;", p_numero_documento =&gt; "&amp;IF(TRIM(C461&amp;"")="","NULL","'"&amp;SUBSTITUTE(TRIM(C461),"'","''")&amp;"'")&amp;", p_telefono =&gt; "&amp;IF(TRIM(L461&amp;"")="","NULL","'"&amp;SUBSTITUTE(TRIM(L461),"'","''")&amp;"'")&amp;", p_email =&gt; "&amp;IF(TRIM(M461&amp;"")="","NULL","'"&amp;SUBSTITUTE(TRIM(M461),"'","''")&amp;"'")&amp;", p_observacion =&gt; "&amp;IF(TRIM(O461&amp;"")="","NULL","'"&amp;SUBSTITUTE(TRIM(O461),"'","''")&amp;"'")&amp;", p_direccion =&gt; "&amp;IF(TRIM(J461&amp;"")="","NULL","'"&amp;SUBSTITUTE(TRIM(J461),"'","''")&amp;"'")&amp;", p_referencia =&gt; "&amp;IF(TRIM(K461&amp;"")="","NULL","'"&amp;SUBSTITUTE(TRIM(K461),"'","''")&amp;"'")&amp;") AS resultado_cliente_"&amp;416&amp;";")</f>
        <v/>
      </c>
    </row>
    <row r="462" ht="15.75" customHeight="1" s="64">
      <c r="A462" s="25">
        <f>IF(AND(D462="",E462="",C462=""),"",IF(AND(D462="",E462=""),"FALTA razón social o nombres",IF(AND(C462&lt;&gt;"",COUNTIF($C$5:$C$549,C462)&gt;1),"DOCUMENTO DUPLICADO",IF(AND(B462="DNI",C462&lt;&gt;"",LEN(C462)&lt;&gt;8),"DNI debe tener 8 dígitos",IF(AND(B462="RUC",C462&lt;&gt;"",LEN(C462)&lt;&gt;11),"RUC debe tener 11 dígitos",IF(AND(N462&lt;&gt;"",COUNTIF($N$5:$N$549,N462)&gt;1),"CÓDIGO INTERNO DUPLICADO","OK"))))))</f>
        <v/>
      </c>
      <c r="B462" s="17" t="n"/>
      <c r="C462" s="23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23" t="n"/>
      <c r="M462" s="17" t="n"/>
      <c r="N462" s="23" t="n"/>
      <c r="O462" s="17" t="n"/>
      <c r="P462" s="28">
        <f>IF(A462&lt;&gt;"OK","","SELECT cli_crear_clientes(p_codigo_interno =&gt; "&amp;IF(TRIM(N462&amp;"")="","NULL","'"&amp;SUBSTITUTE(TRIM(N462),"'","''")&amp;"'")&amp;", p_razon_social =&gt; "&amp;IF(TRIM(D462&amp;"")="","NULL","'"&amp;SUBSTITUTE(TRIM(D462),"'","''")&amp;"'")&amp;", p_id_tipo_cliente =&gt; "&amp;IF(TRIM(I462&amp;"")="","NULL","(SELECT lo.id FROM gen_lista_opciones lo JOIN gen_lista l ON l.id = lo.id_lista WHERE l.nombre = 'TipoCliente' AND upper(lo.nombre) = upper('"&amp;SUBSTITUTE(TRIM(I462),"'","''")&amp;"') AND lo.estado = 1 LIMIT 1)")&amp;", p_id_tipo_persona =&gt; "&amp;IF(TRIM(H462&amp;"")="","NULL","(SELECT lo.id FROM gen_lista_opciones lo JOIN gen_lista l ON l.id = lo.id_lista WHERE l.nombre = 'TipoPersona' AND upper(lo.nombre) = upper('"&amp;SUBSTITUTE(TRIM(H462),"'","''")&amp;"') AND lo.estado = 1 LIMIT 1)")&amp;", p_nombres =&gt; "&amp;IF(TRIM(E462&amp;"")="","NULL","'"&amp;SUBSTITUTE(TRIM(E462),"'","''")&amp;"'")&amp;", p_apellido_paterno =&gt; "&amp;IF(TRIM(F462&amp;"")="","NULL","'"&amp;SUBSTITUTE(TRIM(F462),"'","''")&amp;"'")&amp;", p_apellido_materno =&gt; "&amp;IF(TRIM(G462&amp;"")="","NULL","'"&amp;SUBSTITUTE(TRIM(G462),"'","''")&amp;"'")&amp;", p_id_tipo_documento =&gt; "&amp;IF(TRIM(B462&amp;"")="","NULL","(SELECT lo.id FROM gen_lista_opciones lo JOIN gen_lista l ON l.id = lo.id_lista WHERE l.nombre = 'TipoDocumento' AND upper(lo.nombre) = upper('"&amp;SUBSTITUTE(TRIM(B462),"'","''")&amp;"') AND lo.estado = 1 LIMIT 1)")&amp;", p_numero_documento =&gt; "&amp;IF(TRIM(C462&amp;"")="","NULL","'"&amp;SUBSTITUTE(TRIM(C462),"'","''")&amp;"'")&amp;", p_telefono =&gt; "&amp;IF(TRIM(L462&amp;"")="","NULL","'"&amp;SUBSTITUTE(TRIM(L462),"'","''")&amp;"'")&amp;", p_email =&gt; "&amp;IF(TRIM(M462&amp;"")="","NULL","'"&amp;SUBSTITUTE(TRIM(M462),"'","''")&amp;"'")&amp;", p_observacion =&gt; "&amp;IF(TRIM(O462&amp;"")="","NULL","'"&amp;SUBSTITUTE(TRIM(O462),"'","''")&amp;"'")&amp;", p_direccion =&gt; "&amp;IF(TRIM(J462&amp;"")="","NULL","'"&amp;SUBSTITUTE(TRIM(J462),"'","''")&amp;"'")&amp;", p_referencia =&gt; "&amp;IF(TRIM(K462&amp;"")="","NULL","'"&amp;SUBSTITUTE(TRIM(K462),"'","''")&amp;"'")&amp;") AS resultado_cliente_"&amp;417&amp;";")</f>
        <v/>
      </c>
    </row>
    <row r="463" ht="15.75" customHeight="1" s="64">
      <c r="A463" s="25">
        <f>IF(AND(D463="",E463="",C463=""),"",IF(AND(D463="",E463=""),"FALTA razón social o nombres",IF(AND(C463&lt;&gt;"",COUNTIF($C$5:$C$549,C463)&gt;1),"DOCUMENTO DUPLICADO",IF(AND(B463="DNI",C463&lt;&gt;"",LEN(C463)&lt;&gt;8),"DNI debe tener 8 dígitos",IF(AND(B463="RUC",C463&lt;&gt;"",LEN(C463)&lt;&gt;11),"RUC debe tener 11 dígitos",IF(AND(N463&lt;&gt;"",COUNTIF($N$5:$N$549,N463)&gt;1),"CÓDIGO INTERNO DUPLICADO","OK"))))))</f>
        <v/>
      </c>
      <c r="B463" s="17" t="n"/>
      <c r="C463" s="23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23" t="n"/>
      <c r="M463" s="17" t="n"/>
      <c r="N463" s="23" t="n"/>
      <c r="O463" s="17" t="n"/>
      <c r="P463" s="28">
        <f>IF(A463&lt;&gt;"OK","","SELECT cli_crear_clientes(p_codigo_interno =&gt; "&amp;IF(TRIM(N463&amp;"")="","NULL","'"&amp;SUBSTITUTE(TRIM(N463),"'","''")&amp;"'")&amp;", p_razon_social =&gt; "&amp;IF(TRIM(D463&amp;"")="","NULL","'"&amp;SUBSTITUTE(TRIM(D463),"'","''")&amp;"'")&amp;", p_id_tipo_cliente =&gt; "&amp;IF(TRIM(I463&amp;"")="","NULL","(SELECT lo.id FROM gen_lista_opciones lo JOIN gen_lista l ON l.id = lo.id_lista WHERE l.nombre = 'TipoCliente' AND upper(lo.nombre) = upper('"&amp;SUBSTITUTE(TRIM(I463),"'","''")&amp;"') AND lo.estado = 1 LIMIT 1)")&amp;", p_id_tipo_persona =&gt; "&amp;IF(TRIM(H463&amp;"")="","NULL","(SELECT lo.id FROM gen_lista_opciones lo JOIN gen_lista l ON l.id = lo.id_lista WHERE l.nombre = 'TipoPersona' AND upper(lo.nombre) = upper('"&amp;SUBSTITUTE(TRIM(H463),"'","''")&amp;"') AND lo.estado = 1 LIMIT 1)")&amp;", p_nombres =&gt; "&amp;IF(TRIM(E463&amp;"")="","NULL","'"&amp;SUBSTITUTE(TRIM(E463),"'","''")&amp;"'")&amp;", p_apellido_paterno =&gt; "&amp;IF(TRIM(F463&amp;"")="","NULL","'"&amp;SUBSTITUTE(TRIM(F463),"'","''")&amp;"'")&amp;", p_apellido_materno =&gt; "&amp;IF(TRIM(G463&amp;"")="","NULL","'"&amp;SUBSTITUTE(TRIM(G463),"'","''")&amp;"'")&amp;", p_id_tipo_documento =&gt; "&amp;IF(TRIM(B463&amp;"")="","NULL","(SELECT lo.id FROM gen_lista_opciones lo JOIN gen_lista l ON l.id = lo.id_lista WHERE l.nombre = 'TipoDocumento' AND upper(lo.nombre) = upper('"&amp;SUBSTITUTE(TRIM(B463),"'","''")&amp;"') AND lo.estado = 1 LIMIT 1)")&amp;", p_numero_documento =&gt; "&amp;IF(TRIM(C463&amp;"")="","NULL","'"&amp;SUBSTITUTE(TRIM(C463),"'","''")&amp;"'")&amp;", p_telefono =&gt; "&amp;IF(TRIM(L463&amp;"")="","NULL","'"&amp;SUBSTITUTE(TRIM(L463),"'","''")&amp;"'")&amp;", p_email =&gt; "&amp;IF(TRIM(M463&amp;"")="","NULL","'"&amp;SUBSTITUTE(TRIM(M463),"'","''")&amp;"'")&amp;", p_observacion =&gt; "&amp;IF(TRIM(O463&amp;"")="","NULL","'"&amp;SUBSTITUTE(TRIM(O463),"'","''")&amp;"'")&amp;", p_direccion =&gt; "&amp;IF(TRIM(J463&amp;"")="","NULL","'"&amp;SUBSTITUTE(TRIM(J463),"'","''")&amp;"'")&amp;", p_referencia =&gt; "&amp;IF(TRIM(K463&amp;"")="","NULL","'"&amp;SUBSTITUTE(TRIM(K463),"'","''")&amp;"'")&amp;") AS resultado_cliente_"&amp;418&amp;";")</f>
        <v/>
      </c>
    </row>
    <row r="464" ht="15.75" customHeight="1" s="64">
      <c r="A464" s="25">
        <f>IF(AND(D464="",E464="",C464=""),"",IF(AND(D464="",E464=""),"FALTA razón social o nombres",IF(AND(C464&lt;&gt;"",COUNTIF($C$5:$C$549,C464)&gt;1),"DOCUMENTO DUPLICADO",IF(AND(B464="DNI",C464&lt;&gt;"",LEN(C464)&lt;&gt;8),"DNI debe tener 8 dígitos",IF(AND(B464="RUC",C464&lt;&gt;"",LEN(C464)&lt;&gt;11),"RUC debe tener 11 dígitos",IF(AND(N464&lt;&gt;"",COUNTIF($N$5:$N$549,N464)&gt;1),"CÓDIGO INTERNO DUPLICADO","OK"))))))</f>
        <v/>
      </c>
      <c r="B464" s="17" t="n"/>
      <c r="C464" s="23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23" t="n"/>
      <c r="M464" s="17" t="n"/>
      <c r="N464" s="23" t="n"/>
      <c r="O464" s="17" t="n"/>
      <c r="P464" s="28">
        <f>IF(A464&lt;&gt;"OK","","SELECT cli_crear_clientes(p_codigo_interno =&gt; "&amp;IF(TRIM(N464&amp;"")="","NULL","'"&amp;SUBSTITUTE(TRIM(N464),"'","''")&amp;"'")&amp;", p_razon_social =&gt; "&amp;IF(TRIM(D464&amp;"")="","NULL","'"&amp;SUBSTITUTE(TRIM(D464),"'","''")&amp;"'")&amp;", p_id_tipo_cliente =&gt; "&amp;IF(TRIM(I464&amp;"")="","NULL","(SELECT lo.id FROM gen_lista_opciones lo JOIN gen_lista l ON l.id = lo.id_lista WHERE l.nombre = 'TipoCliente' AND upper(lo.nombre) = upper('"&amp;SUBSTITUTE(TRIM(I464),"'","''")&amp;"') AND lo.estado = 1 LIMIT 1)")&amp;", p_id_tipo_persona =&gt; "&amp;IF(TRIM(H464&amp;"")="","NULL","(SELECT lo.id FROM gen_lista_opciones lo JOIN gen_lista l ON l.id = lo.id_lista WHERE l.nombre = 'TipoPersona' AND upper(lo.nombre) = upper('"&amp;SUBSTITUTE(TRIM(H464),"'","''")&amp;"') AND lo.estado = 1 LIMIT 1)")&amp;", p_nombres =&gt; "&amp;IF(TRIM(E464&amp;"")="","NULL","'"&amp;SUBSTITUTE(TRIM(E464),"'","''")&amp;"'")&amp;", p_apellido_paterno =&gt; "&amp;IF(TRIM(F464&amp;"")="","NULL","'"&amp;SUBSTITUTE(TRIM(F464),"'","''")&amp;"'")&amp;", p_apellido_materno =&gt; "&amp;IF(TRIM(G464&amp;"")="","NULL","'"&amp;SUBSTITUTE(TRIM(G464),"'","''")&amp;"'")&amp;", p_id_tipo_documento =&gt; "&amp;IF(TRIM(B464&amp;"")="","NULL","(SELECT lo.id FROM gen_lista_opciones lo JOIN gen_lista l ON l.id = lo.id_lista WHERE l.nombre = 'TipoDocumento' AND upper(lo.nombre) = upper('"&amp;SUBSTITUTE(TRIM(B464),"'","''")&amp;"') AND lo.estado = 1 LIMIT 1)")&amp;", p_numero_documento =&gt; "&amp;IF(TRIM(C464&amp;"")="","NULL","'"&amp;SUBSTITUTE(TRIM(C464),"'","''")&amp;"'")&amp;", p_telefono =&gt; "&amp;IF(TRIM(L464&amp;"")="","NULL","'"&amp;SUBSTITUTE(TRIM(L464),"'","''")&amp;"'")&amp;", p_email =&gt; "&amp;IF(TRIM(M464&amp;"")="","NULL","'"&amp;SUBSTITUTE(TRIM(M464),"'","''")&amp;"'")&amp;", p_observacion =&gt; "&amp;IF(TRIM(O464&amp;"")="","NULL","'"&amp;SUBSTITUTE(TRIM(O464),"'","''")&amp;"'")&amp;", p_direccion =&gt; "&amp;IF(TRIM(J464&amp;"")="","NULL","'"&amp;SUBSTITUTE(TRIM(J464),"'","''")&amp;"'")&amp;", p_referencia =&gt; "&amp;IF(TRIM(K464&amp;"")="","NULL","'"&amp;SUBSTITUTE(TRIM(K464),"'","''")&amp;"'")&amp;") AS resultado_cliente_"&amp;419&amp;";")</f>
        <v/>
      </c>
    </row>
    <row r="465" ht="15.75" customHeight="1" s="64">
      <c r="A465" s="25">
        <f>IF(AND(D465="",E465="",C465=""),"",IF(AND(D465="",E465=""),"FALTA razón social o nombres",IF(AND(C465&lt;&gt;"",COUNTIF($C$5:$C$549,C465)&gt;1),"DOCUMENTO DUPLICADO",IF(AND(B465="DNI",C465&lt;&gt;"",LEN(C465)&lt;&gt;8),"DNI debe tener 8 dígitos",IF(AND(B465="RUC",C465&lt;&gt;"",LEN(C465)&lt;&gt;11),"RUC debe tener 11 dígitos",IF(AND(N465&lt;&gt;"",COUNTIF($N$5:$N$549,N465)&gt;1),"CÓDIGO INTERNO DUPLICADO","OK"))))))</f>
        <v/>
      </c>
      <c r="B465" s="17" t="n"/>
      <c r="C465" s="23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23" t="n"/>
      <c r="M465" s="17" t="n"/>
      <c r="N465" s="23" t="n"/>
      <c r="O465" s="17" t="n"/>
      <c r="P465" s="28">
        <f>IF(A465&lt;&gt;"OK","","SELECT cli_crear_clientes(p_codigo_interno =&gt; "&amp;IF(TRIM(N465&amp;"")="","NULL","'"&amp;SUBSTITUTE(TRIM(N465),"'","''")&amp;"'")&amp;", p_razon_social =&gt; "&amp;IF(TRIM(D465&amp;"")="","NULL","'"&amp;SUBSTITUTE(TRIM(D465),"'","''")&amp;"'")&amp;", p_id_tipo_cliente =&gt; "&amp;IF(TRIM(I465&amp;"")="","NULL","(SELECT lo.id FROM gen_lista_opciones lo JOIN gen_lista l ON l.id = lo.id_lista WHERE l.nombre = 'TipoCliente' AND upper(lo.nombre) = upper('"&amp;SUBSTITUTE(TRIM(I465),"'","''")&amp;"') AND lo.estado = 1 LIMIT 1)")&amp;", p_id_tipo_persona =&gt; "&amp;IF(TRIM(H465&amp;"")="","NULL","(SELECT lo.id FROM gen_lista_opciones lo JOIN gen_lista l ON l.id = lo.id_lista WHERE l.nombre = 'TipoPersona' AND upper(lo.nombre) = upper('"&amp;SUBSTITUTE(TRIM(H465),"'","''")&amp;"') AND lo.estado = 1 LIMIT 1)")&amp;", p_nombres =&gt; "&amp;IF(TRIM(E465&amp;"")="","NULL","'"&amp;SUBSTITUTE(TRIM(E465),"'","''")&amp;"'")&amp;", p_apellido_paterno =&gt; "&amp;IF(TRIM(F465&amp;"")="","NULL","'"&amp;SUBSTITUTE(TRIM(F465),"'","''")&amp;"'")&amp;", p_apellido_materno =&gt; "&amp;IF(TRIM(G465&amp;"")="","NULL","'"&amp;SUBSTITUTE(TRIM(G465),"'","''")&amp;"'")&amp;", p_id_tipo_documento =&gt; "&amp;IF(TRIM(B465&amp;"")="","NULL","(SELECT lo.id FROM gen_lista_opciones lo JOIN gen_lista l ON l.id = lo.id_lista WHERE l.nombre = 'TipoDocumento' AND upper(lo.nombre) = upper('"&amp;SUBSTITUTE(TRIM(B465),"'","''")&amp;"') AND lo.estado = 1 LIMIT 1)")&amp;", p_numero_documento =&gt; "&amp;IF(TRIM(C465&amp;"")="","NULL","'"&amp;SUBSTITUTE(TRIM(C465),"'","''")&amp;"'")&amp;", p_telefono =&gt; "&amp;IF(TRIM(L465&amp;"")="","NULL","'"&amp;SUBSTITUTE(TRIM(L465),"'","''")&amp;"'")&amp;", p_email =&gt; "&amp;IF(TRIM(M465&amp;"")="","NULL","'"&amp;SUBSTITUTE(TRIM(M465),"'","''")&amp;"'")&amp;", p_observacion =&gt; "&amp;IF(TRIM(O465&amp;"")="","NULL","'"&amp;SUBSTITUTE(TRIM(O465),"'","''")&amp;"'")&amp;", p_direccion =&gt; "&amp;IF(TRIM(J465&amp;"")="","NULL","'"&amp;SUBSTITUTE(TRIM(J465),"'","''")&amp;"'")&amp;", p_referencia =&gt; "&amp;IF(TRIM(K465&amp;"")="","NULL","'"&amp;SUBSTITUTE(TRIM(K465),"'","''")&amp;"'")&amp;") AS resultado_cliente_"&amp;420&amp;";")</f>
        <v/>
      </c>
    </row>
    <row r="466" ht="15.75" customHeight="1" s="64">
      <c r="A466" s="25">
        <f>IF(AND(D466="",E466="",C466=""),"",IF(AND(D466="",E466=""),"FALTA razón social o nombres",IF(AND(C466&lt;&gt;"",COUNTIF($C$5:$C$549,C466)&gt;1),"DOCUMENTO DUPLICADO",IF(AND(B466="DNI",C466&lt;&gt;"",LEN(C466)&lt;&gt;8),"DNI debe tener 8 dígitos",IF(AND(B466="RUC",C466&lt;&gt;"",LEN(C466)&lt;&gt;11),"RUC debe tener 11 dígitos",IF(AND(N466&lt;&gt;"",COUNTIF($N$5:$N$549,N466)&gt;1),"CÓDIGO INTERNO DUPLICADO","OK"))))))</f>
        <v/>
      </c>
      <c r="B466" s="17" t="n"/>
      <c r="C466" s="23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23" t="n"/>
      <c r="M466" s="17" t="n"/>
      <c r="N466" s="23" t="n"/>
      <c r="O466" s="17" t="n"/>
      <c r="P466" s="28">
        <f>IF(A466&lt;&gt;"OK","","SELECT cli_crear_clientes(p_codigo_interno =&gt; "&amp;IF(TRIM(N466&amp;"")="","NULL","'"&amp;SUBSTITUTE(TRIM(N466),"'","''")&amp;"'")&amp;", p_razon_social =&gt; "&amp;IF(TRIM(D466&amp;"")="","NULL","'"&amp;SUBSTITUTE(TRIM(D466),"'","''")&amp;"'")&amp;", p_id_tipo_cliente =&gt; "&amp;IF(TRIM(I466&amp;"")="","NULL","(SELECT lo.id FROM gen_lista_opciones lo JOIN gen_lista l ON l.id = lo.id_lista WHERE l.nombre = 'TipoCliente' AND upper(lo.nombre) = upper('"&amp;SUBSTITUTE(TRIM(I466),"'","''")&amp;"') AND lo.estado = 1 LIMIT 1)")&amp;", p_id_tipo_persona =&gt; "&amp;IF(TRIM(H466&amp;"")="","NULL","(SELECT lo.id FROM gen_lista_opciones lo JOIN gen_lista l ON l.id = lo.id_lista WHERE l.nombre = 'TipoPersona' AND upper(lo.nombre) = upper('"&amp;SUBSTITUTE(TRIM(H466),"'","''")&amp;"') AND lo.estado = 1 LIMIT 1)")&amp;", p_nombres =&gt; "&amp;IF(TRIM(E466&amp;"")="","NULL","'"&amp;SUBSTITUTE(TRIM(E466),"'","''")&amp;"'")&amp;", p_apellido_paterno =&gt; "&amp;IF(TRIM(F466&amp;"")="","NULL","'"&amp;SUBSTITUTE(TRIM(F466),"'","''")&amp;"'")&amp;", p_apellido_materno =&gt; "&amp;IF(TRIM(G466&amp;"")="","NULL","'"&amp;SUBSTITUTE(TRIM(G466),"'","''")&amp;"'")&amp;", p_id_tipo_documento =&gt; "&amp;IF(TRIM(B466&amp;"")="","NULL","(SELECT lo.id FROM gen_lista_opciones lo JOIN gen_lista l ON l.id = lo.id_lista WHERE l.nombre = 'TipoDocumento' AND upper(lo.nombre) = upper('"&amp;SUBSTITUTE(TRIM(B466),"'","''")&amp;"') AND lo.estado = 1 LIMIT 1)")&amp;", p_numero_documento =&gt; "&amp;IF(TRIM(C466&amp;"")="","NULL","'"&amp;SUBSTITUTE(TRIM(C466),"'","''")&amp;"'")&amp;", p_telefono =&gt; "&amp;IF(TRIM(L466&amp;"")="","NULL","'"&amp;SUBSTITUTE(TRIM(L466),"'","''")&amp;"'")&amp;", p_email =&gt; "&amp;IF(TRIM(M466&amp;"")="","NULL","'"&amp;SUBSTITUTE(TRIM(M466),"'","''")&amp;"'")&amp;", p_observacion =&gt; "&amp;IF(TRIM(O466&amp;"")="","NULL","'"&amp;SUBSTITUTE(TRIM(O466),"'","''")&amp;"'")&amp;", p_direccion =&gt; "&amp;IF(TRIM(J466&amp;"")="","NULL","'"&amp;SUBSTITUTE(TRIM(J466),"'","''")&amp;"'")&amp;", p_referencia =&gt; "&amp;IF(TRIM(K466&amp;"")="","NULL","'"&amp;SUBSTITUTE(TRIM(K466),"'","''")&amp;"'")&amp;") AS resultado_cliente_"&amp;421&amp;";")</f>
        <v/>
      </c>
    </row>
    <row r="467" ht="15.75" customHeight="1" s="64">
      <c r="A467" s="25">
        <f>IF(AND(D467="",E467="",C467=""),"",IF(AND(D467="",E467=""),"FALTA razón social o nombres",IF(AND(C467&lt;&gt;"",COUNTIF($C$5:$C$549,C467)&gt;1),"DOCUMENTO DUPLICADO",IF(AND(B467="DNI",C467&lt;&gt;"",LEN(C467)&lt;&gt;8),"DNI debe tener 8 dígitos",IF(AND(B467="RUC",C467&lt;&gt;"",LEN(C467)&lt;&gt;11),"RUC debe tener 11 dígitos",IF(AND(N467&lt;&gt;"",COUNTIF($N$5:$N$549,N467)&gt;1),"CÓDIGO INTERNO DUPLICADO","OK"))))))</f>
        <v/>
      </c>
      <c r="B467" s="17" t="n"/>
      <c r="C467" s="23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23" t="n"/>
      <c r="M467" s="17" t="n"/>
      <c r="N467" s="23" t="n"/>
      <c r="O467" s="17" t="n"/>
      <c r="P467" s="28">
        <f>IF(A467&lt;&gt;"OK","","SELECT cli_crear_clientes(p_codigo_interno =&gt; "&amp;IF(TRIM(N467&amp;"")="","NULL","'"&amp;SUBSTITUTE(TRIM(N467),"'","''")&amp;"'")&amp;", p_razon_social =&gt; "&amp;IF(TRIM(D467&amp;"")="","NULL","'"&amp;SUBSTITUTE(TRIM(D467),"'","''")&amp;"'")&amp;", p_id_tipo_cliente =&gt; "&amp;IF(TRIM(I467&amp;"")="","NULL","(SELECT lo.id FROM gen_lista_opciones lo JOIN gen_lista l ON l.id = lo.id_lista WHERE l.nombre = 'TipoCliente' AND upper(lo.nombre) = upper('"&amp;SUBSTITUTE(TRIM(I467),"'","''")&amp;"') AND lo.estado = 1 LIMIT 1)")&amp;", p_id_tipo_persona =&gt; "&amp;IF(TRIM(H467&amp;"")="","NULL","(SELECT lo.id FROM gen_lista_opciones lo JOIN gen_lista l ON l.id = lo.id_lista WHERE l.nombre = 'TipoPersona' AND upper(lo.nombre) = upper('"&amp;SUBSTITUTE(TRIM(H467),"'","''")&amp;"') AND lo.estado = 1 LIMIT 1)")&amp;", p_nombres =&gt; "&amp;IF(TRIM(E467&amp;"")="","NULL","'"&amp;SUBSTITUTE(TRIM(E467),"'","''")&amp;"'")&amp;", p_apellido_paterno =&gt; "&amp;IF(TRIM(F467&amp;"")="","NULL","'"&amp;SUBSTITUTE(TRIM(F467),"'","''")&amp;"'")&amp;", p_apellido_materno =&gt; "&amp;IF(TRIM(G467&amp;"")="","NULL","'"&amp;SUBSTITUTE(TRIM(G467),"'","''")&amp;"'")&amp;", p_id_tipo_documento =&gt; "&amp;IF(TRIM(B467&amp;"")="","NULL","(SELECT lo.id FROM gen_lista_opciones lo JOIN gen_lista l ON l.id = lo.id_lista WHERE l.nombre = 'TipoDocumento' AND upper(lo.nombre) = upper('"&amp;SUBSTITUTE(TRIM(B467),"'","''")&amp;"') AND lo.estado = 1 LIMIT 1)")&amp;", p_numero_documento =&gt; "&amp;IF(TRIM(C467&amp;"")="","NULL","'"&amp;SUBSTITUTE(TRIM(C467),"'","''")&amp;"'")&amp;", p_telefono =&gt; "&amp;IF(TRIM(L467&amp;"")="","NULL","'"&amp;SUBSTITUTE(TRIM(L467),"'","''")&amp;"'")&amp;", p_email =&gt; "&amp;IF(TRIM(M467&amp;"")="","NULL","'"&amp;SUBSTITUTE(TRIM(M467),"'","''")&amp;"'")&amp;", p_observacion =&gt; "&amp;IF(TRIM(O467&amp;"")="","NULL","'"&amp;SUBSTITUTE(TRIM(O467),"'","''")&amp;"'")&amp;", p_direccion =&gt; "&amp;IF(TRIM(J467&amp;"")="","NULL","'"&amp;SUBSTITUTE(TRIM(J467),"'","''")&amp;"'")&amp;", p_referencia =&gt; "&amp;IF(TRIM(K467&amp;"")="","NULL","'"&amp;SUBSTITUTE(TRIM(K467),"'","''")&amp;"'")&amp;") AS resultado_cliente_"&amp;422&amp;";")</f>
        <v/>
      </c>
    </row>
    <row r="468" ht="15.75" customHeight="1" s="64">
      <c r="A468" s="25">
        <f>IF(AND(D468="",E468="",C468=""),"",IF(AND(D468="",E468=""),"FALTA razón social o nombres",IF(AND(C468&lt;&gt;"",COUNTIF($C$5:$C$549,C468)&gt;1),"DOCUMENTO DUPLICADO",IF(AND(B468="DNI",C468&lt;&gt;"",LEN(C468)&lt;&gt;8),"DNI debe tener 8 dígitos",IF(AND(B468="RUC",C468&lt;&gt;"",LEN(C468)&lt;&gt;11),"RUC debe tener 11 dígitos",IF(AND(N468&lt;&gt;"",COUNTIF($N$5:$N$549,N468)&gt;1),"CÓDIGO INTERNO DUPLICADO","OK"))))))</f>
        <v/>
      </c>
      <c r="B468" s="17" t="n"/>
      <c r="C468" s="23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23" t="n"/>
      <c r="M468" s="17" t="n"/>
      <c r="N468" s="23" t="n"/>
      <c r="O468" s="17" t="n"/>
      <c r="P468" s="28">
        <f>IF(A468&lt;&gt;"OK","","SELECT cli_crear_clientes(p_codigo_interno =&gt; "&amp;IF(TRIM(N468&amp;"")="","NULL","'"&amp;SUBSTITUTE(TRIM(N468),"'","''")&amp;"'")&amp;", p_razon_social =&gt; "&amp;IF(TRIM(D468&amp;"")="","NULL","'"&amp;SUBSTITUTE(TRIM(D468),"'","''")&amp;"'")&amp;", p_id_tipo_cliente =&gt; "&amp;IF(TRIM(I468&amp;"")="","NULL","(SELECT lo.id FROM gen_lista_opciones lo JOIN gen_lista l ON l.id = lo.id_lista WHERE l.nombre = 'TipoCliente' AND upper(lo.nombre) = upper('"&amp;SUBSTITUTE(TRIM(I468),"'","''")&amp;"') AND lo.estado = 1 LIMIT 1)")&amp;", p_id_tipo_persona =&gt; "&amp;IF(TRIM(H468&amp;"")="","NULL","(SELECT lo.id FROM gen_lista_opciones lo JOIN gen_lista l ON l.id = lo.id_lista WHERE l.nombre = 'TipoPersona' AND upper(lo.nombre) = upper('"&amp;SUBSTITUTE(TRIM(H468),"'","''")&amp;"') AND lo.estado = 1 LIMIT 1)")&amp;", p_nombres =&gt; "&amp;IF(TRIM(E468&amp;"")="","NULL","'"&amp;SUBSTITUTE(TRIM(E468),"'","''")&amp;"'")&amp;", p_apellido_paterno =&gt; "&amp;IF(TRIM(F468&amp;"")="","NULL","'"&amp;SUBSTITUTE(TRIM(F468),"'","''")&amp;"'")&amp;", p_apellido_materno =&gt; "&amp;IF(TRIM(G468&amp;"")="","NULL","'"&amp;SUBSTITUTE(TRIM(G468),"'","''")&amp;"'")&amp;", p_id_tipo_documento =&gt; "&amp;IF(TRIM(B468&amp;"")="","NULL","(SELECT lo.id FROM gen_lista_opciones lo JOIN gen_lista l ON l.id = lo.id_lista WHERE l.nombre = 'TipoDocumento' AND upper(lo.nombre) = upper('"&amp;SUBSTITUTE(TRIM(B468),"'","''")&amp;"') AND lo.estado = 1 LIMIT 1)")&amp;", p_numero_documento =&gt; "&amp;IF(TRIM(C468&amp;"")="","NULL","'"&amp;SUBSTITUTE(TRIM(C468),"'","''")&amp;"'")&amp;", p_telefono =&gt; "&amp;IF(TRIM(L468&amp;"")="","NULL","'"&amp;SUBSTITUTE(TRIM(L468),"'","''")&amp;"'")&amp;", p_email =&gt; "&amp;IF(TRIM(M468&amp;"")="","NULL","'"&amp;SUBSTITUTE(TRIM(M468),"'","''")&amp;"'")&amp;", p_observacion =&gt; "&amp;IF(TRIM(O468&amp;"")="","NULL","'"&amp;SUBSTITUTE(TRIM(O468),"'","''")&amp;"'")&amp;", p_direccion =&gt; "&amp;IF(TRIM(J468&amp;"")="","NULL","'"&amp;SUBSTITUTE(TRIM(J468),"'","''")&amp;"'")&amp;", p_referencia =&gt; "&amp;IF(TRIM(K468&amp;"")="","NULL","'"&amp;SUBSTITUTE(TRIM(K468),"'","''")&amp;"'")&amp;") AS resultado_cliente_"&amp;423&amp;";")</f>
        <v/>
      </c>
    </row>
    <row r="469" ht="15.75" customHeight="1" s="64">
      <c r="A469" s="25">
        <f>IF(AND(D469="",E469="",C469=""),"",IF(AND(D469="",E469=""),"FALTA razón social o nombres",IF(AND(C469&lt;&gt;"",COUNTIF($C$5:$C$549,C469)&gt;1),"DOCUMENTO DUPLICADO",IF(AND(B469="DNI",C469&lt;&gt;"",LEN(C469)&lt;&gt;8),"DNI debe tener 8 dígitos",IF(AND(B469="RUC",C469&lt;&gt;"",LEN(C469)&lt;&gt;11),"RUC debe tener 11 dígitos",IF(AND(N469&lt;&gt;"",COUNTIF($N$5:$N$549,N469)&gt;1),"CÓDIGO INTERNO DUPLICADO","OK"))))))</f>
        <v/>
      </c>
      <c r="B469" s="17" t="n"/>
      <c r="C469" s="23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23" t="n"/>
      <c r="M469" s="17" t="n"/>
      <c r="N469" s="23" t="n"/>
      <c r="O469" s="17" t="n"/>
      <c r="P469" s="28">
        <f>IF(A469&lt;&gt;"OK","","SELECT cli_crear_clientes(p_codigo_interno =&gt; "&amp;IF(TRIM(N469&amp;"")="","NULL","'"&amp;SUBSTITUTE(TRIM(N469),"'","''")&amp;"'")&amp;", p_razon_social =&gt; "&amp;IF(TRIM(D469&amp;"")="","NULL","'"&amp;SUBSTITUTE(TRIM(D469),"'","''")&amp;"'")&amp;", p_id_tipo_cliente =&gt; "&amp;IF(TRIM(I469&amp;"")="","NULL","(SELECT lo.id FROM gen_lista_opciones lo JOIN gen_lista l ON l.id = lo.id_lista WHERE l.nombre = 'TipoCliente' AND upper(lo.nombre) = upper('"&amp;SUBSTITUTE(TRIM(I469),"'","''")&amp;"') AND lo.estado = 1 LIMIT 1)")&amp;", p_id_tipo_persona =&gt; "&amp;IF(TRIM(H469&amp;"")="","NULL","(SELECT lo.id FROM gen_lista_opciones lo JOIN gen_lista l ON l.id = lo.id_lista WHERE l.nombre = 'TipoPersona' AND upper(lo.nombre) = upper('"&amp;SUBSTITUTE(TRIM(H469),"'","''")&amp;"') AND lo.estado = 1 LIMIT 1)")&amp;", p_nombres =&gt; "&amp;IF(TRIM(E469&amp;"")="","NULL","'"&amp;SUBSTITUTE(TRIM(E469),"'","''")&amp;"'")&amp;", p_apellido_paterno =&gt; "&amp;IF(TRIM(F469&amp;"")="","NULL","'"&amp;SUBSTITUTE(TRIM(F469),"'","''")&amp;"'")&amp;", p_apellido_materno =&gt; "&amp;IF(TRIM(G469&amp;"")="","NULL","'"&amp;SUBSTITUTE(TRIM(G469),"'","''")&amp;"'")&amp;", p_id_tipo_documento =&gt; "&amp;IF(TRIM(B469&amp;"")="","NULL","(SELECT lo.id FROM gen_lista_opciones lo JOIN gen_lista l ON l.id = lo.id_lista WHERE l.nombre = 'TipoDocumento' AND upper(lo.nombre) = upper('"&amp;SUBSTITUTE(TRIM(B469),"'","''")&amp;"') AND lo.estado = 1 LIMIT 1)")&amp;", p_numero_documento =&gt; "&amp;IF(TRIM(C469&amp;"")="","NULL","'"&amp;SUBSTITUTE(TRIM(C469),"'","''")&amp;"'")&amp;", p_telefono =&gt; "&amp;IF(TRIM(L469&amp;"")="","NULL","'"&amp;SUBSTITUTE(TRIM(L469),"'","''")&amp;"'")&amp;", p_email =&gt; "&amp;IF(TRIM(M469&amp;"")="","NULL","'"&amp;SUBSTITUTE(TRIM(M469),"'","''")&amp;"'")&amp;", p_observacion =&gt; "&amp;IF(TRIM(O469&amp;"")="","NULL","'"&amp;SUBSTITUTE(TRIM(O469),"'","''")&amp;"'")&amp;", p_direccion =&gt; "&amp;IF(TRIM(J469&amp;"")="","NULL","'"&amp;SUBSTITUTE(TRIM(J469),"'","''")&amp;"'")&amp;", p_referencia =&gt; "&amp;IF(TRIM(K469&amp;"")="","NULL","'"&amp;SUBSTITUTE(TRIM(K469),"'","''")&amp;"'")&amp;") AS resultado_cliente_"&amp;424&amp;";")</f>
        <v/>
      </c>
    </row>
    <row r="470" ht="15.75" customHeight="1" s="64">
      <c r="A470" s="25">
        <f>IF(AND(D470="",E470="",C470=""),"",IF(AND(D470="",E470=""),"FALTA razón social o nombres",IF(AND(C470&lt;&gt;"",COUNTIF($C$5:$C$549,C470)&gt;1),"DOCUMENTO DUPLICADO",IF(AND(B470="DNI",C470&lt;&gt;"",LEN(C470)&lt;&gt;8),"DNI debe tener 8 dígitos",IF(AND(B470="RUC",C470&lt;&gt;"",LEN(C470)&lt;&gt;11),"RUC debe tener 11 dígitos",IF(AND(N470&lt;&gt;"",COUNTIF($N$5:$N$549,N470)&gt;1),"CÓDIGO INTERNO DUPLICADO","OK"))))))</f>
        <v/>
      </c>
      <c r="B470" s="17" t="n"/>
      <c r="C470" s="23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23" t="n"/>
      <c r="M470" s="17" t="n"/>
      <c r="N470" s="23" t="n"/>
      <c r="O470" s="17" t="n"/>
      <c r="P470" s="28">
        <f>IF(A470&lt;&gt;"OK","","SELECT cli_crear_clientes(p_codigo_interno =&gt; "&amp;IF(TRIM(N470&amp;"")="","NULL","'"&amp;SUBSTITUTE(TRIM(N470),"'","''")&amp;"'")&amp;", p_razon_social =&gt; "&amp;IF(TRIM(D470&amp;"")="","NULL","'"&amp;SUBSTITUTE(TRIM(D470),"'","''")&amp;"'")&amp;", p_id_tipo_cliente =&gt; "&amp;IF(TRIM(I470&amp;"")="","NULL","(SELECT lo.id FROM gen_lista_opciones lo JOIN gen_lista l ON l.id = lo.id_lista WHERE l.nombre = 'TipoCliente' AND upper(lo.nombre) = upper('"&amp;SUBSTITUTE(TRIM(I470),"'","''")&amp;"') AND lo.estado = 1 LIMIT 1)")&amp;", p_id_tipo_persona =&gt; "&amp;IF(TRIM(H470&amp;"")="","NULL","(SELECT lo.id FROM gen_lista_opciones lo JOIN gen_lista l ON l.id = lo.id_lista WHERE l.nombre = 'TipoPersona' AND upper(lo.nombre) = upper('"&amp;SUBSTITUTE(TRIM(H470),"'","''")&amp;"') AND lo.estado = 1 LIMIT 1)")&amp;", p_nombres =&gt; "&amp;IF(TRIM(E470&amp;"")="","NULL","'"&amp;SUBSTITUTE(TRIM(E470),"'","''")&amp;"'")&amp;", p_apellido_paterno =&gt; "&amp;IF(TRIM(F470&amp;"")="","NULL","'"&amp;SUBSTITUTE(TRIM(F470),"'","''")&amp;"'")&amp;", p_apellido_materno =&gt; "&amp;IF(TRIM(G470&amp;"")="","NULL","'"&amp;SUBSTITUTE(TRIM(G470),"'","''")&amp;"'")&amp;", p_id_tipo_documento =&gt; "&amp;IF(TRIM(B470&amp;"")="","NULL","(SELECT lo.id FROM gen_lista_opciones lo JOIN gen_lista l ON l.id = lo.id_lista WHERE l.nombre = 'TipoDocumento' AND upper(lo.nombre) = upper('"&amp;SUBSTITUTE(TRIM(B470),"'","''")&amp;"') AND lo.estado = 1 LIMIT 1)")&amp;", p_numero_documento =&gt; "&amp;IF(TRIM(C470&amp;"")="","NULL","'"&amp;SUBSTITUTE(TRIM(C470),"'","''")&amp;"'")&amp;", p_telefono =&gt; "&amp;IF(TRIM(L470&amp;"")="","NULL","'"&amp;SUBSTITUTE(TRIM(L470),"'","''")&amp;"'")&amp;", p_email =&gt; "&amp;IF(TRIM(M470&amp;"")="","NULL","'"&amp;SUBSTITUTE(TRIM(M470),"'","''")&amp;"'")&amp;", p_observacion =&gt; "&amp;IF(TRIM(O470&amp;"")="","NULL","'"&amp;SUBSTITUTE(TRIM(O470),"'","''")&amp;"'")&amp;", p_direccion =&gt; "&amp;IF(TRIM(J470&amp;"")="","NULL","'"&amp;SUBSTITUTE(TRIM(J470),"'","''")&amp;"'")&amp;", p_referencia =&gt; "&amp;IF(TRIM(K470&amp;"")="","NULL","'"&amp;SUBSTITUTE(TRIM(K470),"'","''")&amp;"'")&amp;") AS resultado_cliente_"&amp;425&amp;";")</f>
        <v/>
      </c>
    </row>
    <row r="471" ht="15.75" customHeight="1" s="64">
      <c r="A471" s="25">
        <f>IF(AND(D471="",E471="",C471=""),"",IF(AND(D471="",E471=""),"FALTA razón social o nombres",IF(AND(C471&lt;&gt;"",COUNTIF($C$5:$C$549,C471)&gt;1),"DOCUMENTO DUPLICADO",IF(AND(B471="DNI",C471&lt;&gt;"",LEN(C471)&lt;&gt;8),"DNI debe tener 8 dígitos",IF(AND(B471="RUC",C471&lt;&gt;"",LEN(C471)&lt;&gt;11),"RUC debe tener 11 dígitos",IF(AND(N471&lt;&gt;"",COUNTIF($N$5:$N$549,N471)&gt;1),"CÓDIGO INTERNO DUPLICADO","OK"))))))</f>
        <v/>
      </c>
      <c r="B471" s="17" t="n"/>
      <c r="C471" s="23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23" t="n"/>
      <c r="M471" s="17" t="n"/>
      <c r="N471" s="23" t="n"/>
      <c r="O471" s="17" t="n"/>
      <c r="P471" s="28">
        <f>IF(A471&lt;&gt;"OK","","SELECT cli_crear_clientes(p_codigo_interno =&gt; "&amp;IF(TRIM(N471&amp;"")="","NULL","'"&amp;SUBSTITUTE(TRIM(N471),"'","''")&amp;"'")&amp;", p_razon_social =&gt; "&amp;IF(TRIM(D471&amp;"")="","NULL","'"&amp;SUBSTITUTE(TRIM(D471),"'","''")&amp;"'")&amp;", p_id_tipo_cliente =&gt; "&amp;IF(TRIM(I471&amp;"")="","NULL","(SELECT lo.id FROM gen_lista_opciones lo JOIN gen_lista l ON l.id = lo.id_lista WHERE l.nombre = 'TipoCliente' AND upper(lo.nombre) = upper('"&amp;SUBSTITUTE(TRIM(I471),"'","''")&amp;"') AND lo.estado = 1 LIMIT 1)")&amp;", p_id_tipo_persona =&gt; "&amp;IF(TRIM(H471&amp;"")="","NULL","(SELECT lo.id FROM gen_lista_opciones lo JOIN gen_lista l ON l.id = lo.id_lista WHERE l.nombre = 'TipoPersona' AND upper(lo.nombre) = upper('"&amp;SUBSTITUTE(TRIM(H471),"'","''")&amp;"') AND lo.estado = 1 LIMIT 1)")&amp;", p_nombres =&gt; "&amp;IF(TRIM(E471&amp;"")="","NULL","'"&amp;SUBSTITUTE(TRIM(E471),"'","''")&amp;"'")&amp;", p_apellido_paterno =&gt; "&amp;IF(TRIM(F471&amp;"")="","NULL","'"&amp;SUBSTITUTE(TRIM(F471),"'","''")&amp;"'")&amp;", p_apellido_materno =&gt; "&amp;IF(TRIM(G471&amp;"")="","NULL","'"&amp;SUBSTITUTE(TRIM(G471),"'","''")&amp;"'")&amp;", p_id_tipo_documento =&gt; "&amp;IF(TRIM(B471&amp;"")="","NULL","(SELECT lo.id FROM gen_lista_opciones lo JOIN gen_lista l ON l.id = lo.id_lista WHERE l.nombre = 'TipoDocumento' AND upper(lo.nombre) = upper('"&amp;SUBSTITUTE(TRIM(B471),"'","''")&amp;"') AND lo.estado = 1 LIMIT 1)")&amp;", p_numero_documento =&gt; "&amp;IF(TRIM(C471&amp;"")="","NULL","'"&amp;SUBSTITUTE(TRIM(C471),"'","''")&amp;"'")&amp;", p_telefono =&gt; "&amp;IF(TRIM(L471&amp;"")="","NULL","'"&amp;SUBSTITUTE(TRIM(L471),"'","''")&amp;"'")&amp;", p_email =&gt; "&amp;IF(TRIM(M471&amp;"")="","NULL","'"&amp;SUBSTITUTE(TRIM(M471),"'","''")&amp;"'")&amp;", p_observacion =&gt; "&amp;IF(TRIM(O471&amp;"")="","NULL","'"&amp;SUBSTITUTE(TRIM(O471),"'","''")&amp;"'")&amp;", p_direccion =&gt; "&amp;IF(TRIM(J471&amp;"")="","NULL","'"&amp;SUBSTITUTE(TRIM(J471),"'","''")&amp;"'")&amp;", p_referencia =&gt; "&amp;IF(TRIM(K471&amp;"")="","NULL","'"&amp;SUBSTITUTE(TRIM(K471),"'","''")&amp;"'")&amp;") AS resultado_cliente_"&amp;426&amp;";")</f>
        <v/>
      </c>
    </row>
    <row r="472" ht="15.75" customHeight="1" s="64">
      <c r="A472" s="25">
        <f>IF(AND(D472="",E472="",C472=""),"",IF(AND(D472="",E472=""),"FALTA razón social o nombres",IF(AND(C472&lt;&gt;"",COUNTIF($C$5:$C$549,C472)&gt;1),"DOCUMENTO DUPLICADO",IF(AND(B472="DNI",C472&lt;&gt;"",LEN(C472)&lt;&gt;8),"DNI debe tener 8 dígitos",IF(AND(B472="RUC",C472&lt;&gt;"",LEN(C472)&lt;&gt;11),"RUC debe tener 11 dígitos",IF(AND(N472&lt;&gt;"",COUNTIF($N$5:$N$549,N472)&gt;1),"CÓDIGO INTERNO DUPLICADO","OK"))))))</f>
        <v/>
      </c>
      <c r="B472" s="17" t="n"/>
      <c r="C472" s="23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23" t="n"/>
      <c r="M472" s="17" t="n"/>
      <c r="N472" s="23" t="n"/>
      <c r="O472" s="17" t="n"/>
      <c r="P472" s="28">
        <f>IF(A472&lt;&gt;"OK","","SELECT cli_crear_clientes(p_codigo_interno =&gt; "&amp;IF(TRIM(N472&amp;"")="","NULL","'"&amp;SUBSTITUTE(TRIM(N472),"'","''")&amp;"'")&amp;", p_razon_social =&gt; "&amp;IF(TRIM(D472&amp;"")="","NULL","'"&amp;SUBSTITUTE(TRIM(D472),"'","''")&amp;"'")&amp;", p_id_tipo_cliente =&gt; "&amp;IF(TRIM(I472&amp;"")="","NULL","(SELECT lo.id FROM gen_lista_opciones lo JOIN gen_lista l ON l.id = lo.id_lista WHERE l.nombre = 'TipoCliente' AND upper(lo.nombre) = upper('"&amp;SUBSTITUTE(TRIM(I472),"'","''")&amp;"') AND lo.estado = 1 LIMIT 1)")&amp;", p_id_tipo_persona =&gt; "&amp;IF(TRIM(H472&amp;"")="","NULL","(SELECT lo.id FROM gen_lista_opciones lo JOIN gen_lista l ON l.id = lo.id_lista WHERE l.nombre = 'TipoPersona' AND upper(lo.nombre) = upper('"&amp;SUBSTITUTE(TRIM(H472),"'","''")&amp;"') AND lo.estado = 1 LIMIT 1)")&amp;", p_nombres =&gt; "&amp;IF(TRIM(E472&amp;"")="","NULL","'"&amp;SUBSTITUTE(TRIM(E472),"'","''")&amp;"'")&amp;", p_apellido_paterno =&gt; "&amp;IF(TRIM(F472&amp;"")="","NULL","'"&amp;SUBSTITUTE(TRIM(F472),"'","''")&amp;"'")&amp;", p_apellido_materno =&gt; "&amp;IF(TRIM(G472&amp;"")="","NULL","'"&amp;SUBSTITUTE(TRIM(G472),"'","''")&amp;"'")&amp;", p_id_tipo_documento =&gt; "&amp;IF(TRIM(B472&amp;"")="","NULL","(SELECT lo.id FROM gen_lista_opciones lo JOIN gen_lista l ON l.id = lo.id_lista WHERE l.nombre = 'TipoDocumento' AND upper(lo.nombre) = upper('"&amp;SUBSTITUTE(TRIM(B472),"'","''")&amp;"') AND lo.estado = 1 LIMIT 1)")&amp;", p_numero_documento =&gt; "&amp;IF(TRIM(C472&amp;"")="","NULL","'"&amp;SUBSTITUTE(TRIM(C472),"'","''")&amp;"'")&amp;", p_telefono =&gt; "&amp;IF(TRIM(L472&amp;"")="","NULL","'"&amp;SUBSTITUTE(TRIM(L472),"'","''")&amp;"'")&amp;", p_email =&gt; "&amp;IF(TRIM(M472&amp;"")="","NULL","'"&amp;SUBSTITUTE(TRIM(M472),"'","''")&amp;"'")&amp;", p_observacion =&gt; "&amp;IF(TRIM(O472&amp;"")="","NULL","'"&amp;SUBSTITUTE(TRIM(O472),"'","''")&amp;"'")&amp;", p_direccion =&gt; "&amp;IF(TRIM(J472&amp;"")="","NULL","'"&amp;SUBSTITUTE(TRIM(J472),"'","''")&amp;"'")&amp;", p_referencia =&gt; "&amp;IF(TRIM(K472&amp;"")="","NULL","'"&amp;SUBSTITUTE(TRIM(K472),"'","''")&amp;"'")&amp;") AS resultado_cliente_"&amp;427&amp;";")</f>
        <v/>
      </c>
    </row>
    <row r="473" ht="15.75" customHeight="1" s="64">
      <c r="A473" s="25">
        <f>IF(AND(D473="",E473="",C473=""),"",IF(AND(D473="",E473=""),"FALTA razón social o nombres",IF(AND(C473&lt;&gt;"",COUNTIF($C$5:$C$549,C473)&gt;1),"DOCUMENTO DUPLICADO",IF(AND(B473="DNI",C473&lt;&gt;"",LEN(C473)&lt;&gt;8),"DNI debe tener 8 dígitos",IF(AND(B473="RUC",C473&lt;&gt;"",LEN(C473)&lt;&gt;11),"RUC debe tener 11 dígitos",IF(AND(N473&lt;&gt;"",COUNTIF($N$5:$N$549,N473)&gt;1),"CÓDIGO INTERNO DUPLICADO","OK"))))))</f>
        <v/>
      </c>
      <c r="B473" s="17" t="n"/>
      <c r="C473" s="23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23" t="n"/>
      <c r="M473" s="17" t="n"/>
      <c r="N473" s="23" t="n"/>
      <c r="O473" s="17" t="n"/>
      <c r="P473" s="28">
        <f>IF(A473&lt;&gt;"OK","","SELECT cli_crear_clientes(p_codigo_interno =&gt; "&amp;IF(TRIM(N473&amp;"")="","NULL","'"&amp;SUBSTITUTE(TRIM(N473),"'","''")&amp;"'")&amp;", p_razon_social =&gt; "&amp;IF(TRIM(D473&amp;"")="","NULL","'"&amp;SUBSTITUTE(TRIM(D473),"'","''")&amp;"'")&amp;", p_id_tipo_cliente =&gt; "&amp;IF(TRIM(I473&amp;"")="","NULL","(SELECT lo.id FROM gen_lista_opciones lo JOIN gen_lista l ON l.id = lo.id_lista WHERE l.nombre = 'TipoCliente' AND upper(lo.nombre) = upper('"&amp;SUBSTITUTE(TRIM(I473),"'","''")&amp;"') AND lo.estado = 1 LIMIT 1)")&amp;", p_id_tipo_persona =&gt; "&amp;IF(TRIM(H473&amp;"")="","NULL","(SELECT lo.id FROM gen_lista_opciones lo JOIN gen_lista l ON l.id = lo.id_lista WHERE l.nombre = 'TipoPersona' AND upper(lo.nombre) = upper('"&amp;SUBSTITUTE(TRIM(H473),"'","''")&amp;"') AND lo.estado = 1 LIMIT 1)")&amp;", p_nombres =&gt; "&amp;IF(TRIM(E473&amp;"")="","NULL","'"&amp;SUBSTITUTE(TRIM(E473),"'","''")&amp;"'")&amp;", p_apellido_paterno =&gt; "&amp;IF(TRIM(F473&amp;"")="","NULL","'"&amp;SUBSTITUTE(TRIM(F473),"'","''")&amp;"'")&amp;", p_apellido_materno =&gt; "&amp;IF(TRIM(G473&amp;"")="","NULL","'"&amp;SUBSTITUTE(TRIM(G473),"'","''")&amp;"'")&amp;", p_id_tipo_documento =&gt; "&amp;IF(TRIM(B473&amp;"")="","NULL","(SELECT lo.id FROM gen_lista_opciones lo JOIN gen_lista l ON l.id = lo.id_lista WHERE l.nombre = 'TipoDocumento' AND upper(lo.nombre) = upper('"&amp;SUBSTITUTE(TRIM(B473),"'","''")&amp;"') AND lo.estado = 1 LIMIT 1)")&amp;", p_numero_documento =&gt; "&amp;IF(TRIM(C473&amp;"")="","NULL","'"&amp;SUBSTITUTE(TRIM(C473),"'","''")&amp;"'")&amp;", p_telefono =&gt; "&amp;IF(TRIM(L473&amp;"")="","NULL","'"&amp;SUBSTITUTE(TRIM(L473),"'","''")&amp;"'")&amp;", p_email =&gt; "&amp;IF(TRIM(M473&amp;"")="","NULL","'"&amp;SUBSTITUTE(TRIM(M473),"'","''")&amp;"'")&amp;", p_observacion =&gt; "&amp;IF(TRIM(O473&amp;"")="","NULL","'"&amp;SUBSTITUTE(TRIM(O473),"'","''")&amp;"'")&amp;", p_direccion =&gt; "&amp;IF(TRIM(J473&amp;"")="","NULL","'"&amp;SUBSTITUTE(TRIM(J473),"'","''")&amp;"'")&amp;", p_referencia =&gt; "&amp;IF(TRIM(K473&amp;"")="","NULL","'"&amp;SUBSTITUTE(TRIM(K473),"'","''")&amp;"'")&amp;") AS resultado_cliente_"&amp;428&amp;";")</f>
        <v/>
      </c>
    </row>
    <row r="474" ht="15.75" customHeight="1" s="64">
      <c r="A474" s="25">
        <f>IF(AND(D474="",E474="",C474=""),"",IF(AND(D474="",E474=""),"FALTA razón social o nombres",IF(AND(C474&lt;&gt;"",COUNTIF($C$5:$C$549,C474)&gt;1),"DOCUMENTO DUPLICADO",IF(AND(B474="DNI",C474&lt;&gt;"",LEN(C474)&lt;&gt;8),"DNI debe tener 8 dígitos",IF(AND(B474="RUC",C474&lt;&gt;"",LEN(C474)&lt;&gt;11),"RUC debe tener 11 dígitos",IF(AND(N474&lt;&gt;"",COUNTIF($N$5:$N$549,N474)&gt;1),"CÓDIGO INTERNO DUPLICADO","OK"))))))</f>
        <v/>
      </c>
      <c r="B474" s="17" t="n"/>
      <c r="C474" s="23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23" t="n"/>
      <c r="M474" s="17" t="n"/>
      <c r="N474" s="23" t="n"/>
      <c r="O474" s="17" t="n"/>
      <c r="P474" s="28">
        <f>IF(A474&lt;&gt;"OK","","SELECT cli_crear_clientes(p_codigo_interno =&gt; "&amp;IF(TRIM(N474&amp;"")="","NULL","'"&amp;SUBSTITUTE(TRIM(N474),"'","''")&amp;"'")&amp;", p_razon_social =&gt; "&amp;IF(TRIM(D474&amp;"")="","NULL","'"&amp;SUBSTITUTE(TRIM(D474),"'","''")&amp;"'")&amp;", p_id_tipo_cliente =&gt; "&amp;IF(TRIM(I474&amp;"")="","NULL","(SELECT lo.id FROM gen_lista_opciones lo JOIN gen_lista l ON l.id = lo.id_lista WHERE l.nombre = 'TipoCliente' AND upper(lo.nombre) = upper('"&amp;SUBSTITUTE(TRIM(I474),"'","''")&amp;"') AND lo.estado = 1 LIMIT 1)")&amp;", p_id_tipo_persona =&gt; "&amp;IF(TRIM(H474&amp;"")="","NULL","(SELECT lo.id FROM gen_lista_opciones lo JOIN gen_lista l ON l.id = lo.id_lista WHERE l.nombre = 'TipoPersona' AND upper(lo.nombre) = upper('"&amp;SUBSTITUTE(TRIM(H474),"'","''")&amp;"') AND lo.estado = 1 LIMIT 1)")&amp;", p_nombres =&gt; "&amp;IF(TRIM(E474&amp;"")="","NULL","'"&amp;SUBSTITUTE(TRIM(E474),"'","''")&amp;"'")&amp;", p_apellido_paterno =&gt; "&amp;IF(TRIM(F474&amp;"")="","NULL","'"&amp;SUBSTITUTE(TRIM(F474),"'","''")&amp;"'")&amp;", p_apellido_materno =&gt; "&amp;IF(TRIM(G474&amp;"")="","NULL","'"&amp;SUBSTITUTE(TRIM(G474),"'","''")&amp;"'")&amp;", p_id_tipo_documento =&gt; "&amp;IF(TRIM(B474&amp;"")="","NULL","(SELECT lo.id FROM gen_lista_opciones lo JOIN gen_lista l ON l.id = lo.id_lista WHERE l.nombre = 'TipoDocumento' AND upper(lo.nombre) = upper('"&amp;SUBSTITUTE(TRIM(B474),"'","''")&amp;"') AND lo.estado = 1 LIMIT 1)")&amp;", p_numero_documento =&gt; "&amp;IF(TRIM(C474&amp;"")="","NULL","'"&amp;SUBSTITUTE(TRIM(C474),"'","''")&amp;"'")&amp;", p_telefono =&gt; "&amp;IF(TRIM(L474&amp;"")="","NULL","'"&amp;SUBSTITUTE(TRIM(L474),"'","''")&amp;"'")&amp;", p_email =&gt; "&amp;IF(TRIM(M474&amp;"")="","NULL","'"&amp;SUBSTITUTE(TRIM(M474),"'","''")&amp;"'")&amp;", p_observacion =&gt; "&amp;IF(TRIM(O474&amp;"")="","NULL","'"&amp;SUBSTITUTE(TRIM(O474),"'","''")&amp;"'")&amp;", p_direccion =&gt; "&amp;IF(TRIM(J474&amp;"")="","NULL","'"&amp;SUBSTITUTE(TRIM(J474),"'","''")&amp;"'")&amp;", p_referencia =&gt; "&amp;IF(TRIM(K474&amp;"")="","NULL","'"&amp;SUBSTITUTE(TRIM(K474),"'","''")&amp;"'")&amp;") AS resultado_cliente_"&amp;429&amp;";")</f>
        <v/>
      </c>
    </row>
    <row r="475" ht="15.75" customHeight="1" s="64">
      <c r="A475" s="25">
        <f>IF(AND(D475="",E475="",C475=""),"",IF(AND(D475="",E475=""),"FALTA razón social o nombres",IF(AND(C475&lt;&gt;"",COUNTIF($C$5:$C$549,C475)&gt;1),"DOCUMENTO DUPLICADO",IF(AND(B475="DNI",C475&lt;&gt;"",LEN(C475)&lt;&gt;8),"DNI debe tener 8 dígitos",IF(AND(B475="RUC",C475&lt;&gt;"",LEN(C475)&lt;&gt;11),"RUC debe tener 11 dígitos",IF(AND(N475&lt;&gt;"",COUNTIF($N$5:$N$549,N475)&gt;1),"CÓDIGO INTERNO DUPLICADO","OK"))))))</f>
        <v/>
      </c>
      <c r="B475" s="17" t="n"/>
      <c r="C475" s="23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23" t="n"/>
      <c r="M475" s="17" t="n"/>
      <c r="N475" s="23" t="n"/>
      <c r="O475" s="17" t="n"/>
      <c r="P475" s="28">
        <f>IF(A475&lt;&gt;"OK","","SELECT cli_crear_clientes(p_codigo_interno =&gt; "&amp;IF(TRIM(N475&amp;"")="","NULL","'"&amp;SUBSTITUTE(TRIM(N475),"'","''")&amp;"'")&amp;", p_razon_social =&gt; "&amp;IF(TRIM(D475&amp;"")="","NULL","'"&amp;SUBSTITUTE(TRIM(D475),"'","''")&amp;"'")&amp;", p_id_tipo_cliente =&gt; "&amp;IF(TRIM(I475&amp;"")="","NULL","(SELECT lo.id FROM gen_lista_opciones lo JOIN gen_lista l ON l.id = lo.id_lista WHERE l.nombre = 'TipoCliente' AND upper(lo.nombre) = upper('"&amp;SUBSTITUTE(TRIM(I475),"'","''")&amp;"') AND lo.estado = 1 LIMIT 1)")&amp;", p_id_tipo_persona =&gt; "&amp;IF(TRIM(H475&amp;"")="","NULL","(SELECT lo.id FROM gen_lista_opciones lo JOIN gen_lista l ON l.id = lo.id_lista WHERE l.nombre = 'TipoPersona' AND upper(lo.nombre) = upper('"&amp;SUBSTITUTE(TRIM(H475),"'","''")&amp;"') AND lo.estado = 1 LIMIT 1)")&amp;", p_nombres =&gt; "&amp;IF(TRIM(E475&amp;"")="","NULL","'"&amp;SUBSTITUTE(TRIM(E475),"'","''")&amp;"'")&amp;", p_apellido_paterno =&gt; "&amp;IF(TRIM(F475&amp;"")="","NULL","'"&amp;SUBSTITUTE(TRIM(F475),"'","''")&amp;"'")&amp;", p_apellido_materno =&gt; "&amp;IF(TRIM(G475&amp;"")="","NULL","'"&amp;SUBSTITUTE(TRIM(G475),"'","''")&amp;"'")&amp;", p_id_tipo_documento =&gt; "&amp;IF(TRIM(B475&amp;"")="","NULL","(SELECT lo.id FROM gen_lista_opciones lo JOIN gen_lista l ON l.id = lo.id_lista WHERE l.nombre = 'TipoDocumento' AND upper(lo.nombre) = upper('"&amp;SUBSTITUTE(TRIM(B475),"'","''")&amp;"') AND lo.estado = 1 LIMIT 1)")&amp;", p_numero_documento =&gt; "&amp;IF(TRIM(C475&amp;"")="","NULL","'"&amp;SUBSTITUTE(TRIM(C475),"'","''")&amp;"'")&amp;", p_telefono =&gt; "&amp;IF(TRIM(L475&amp;"")="","NULL","'"&amp;SUBSTITUTE(TRIM(L475),"'","''")&amp;"'")&amp;", p_email =&gt; "&amp;IF(TRIM(M475&amp;"")="","NULL","'"&amp;SUBSTITUTE(TRIM(M475),"'","''")&amp;"'")&amp;", p_observacion =&gt; "&amp;IF(TRIM(O475&amp;"")="","NULL","'"&amp;SUBSTITUTE(TRIM(O475),"'","''")&amp;"'")&amp;", p_direccion =&gt; "&amp;IF(TRIM(J475&amp;"")="","NULL","'"&amp;SUBSTITUTE(TRIM(J475),"'","''")&amp;"'")&amp;", p_referencia =&gt; "&amp;IF(TRIM(K475&amp;"")="","NULL","'"&amp;SUBSTITUTE(TRIM(K475),"'","''")&amp;"'")&amp;") AS resultado_cliente_"&amp;430&amp;";")</f>
        <v/>
      </c>
    </row>
    <row r="476" ht="15.75" customHeight="1" s="64">
      <c r="A476" s="25">
        <f>IF(AND(D476="",E476="",C476=""),"",IF(AND(D476="",E476=""),"FALTA razón social o nombres",IF(AND(C476&lt;&gt;"",COUNTIF($C$5:$C$549,C476)&gt;1),"DOCUMENTO DUPLICADO",IF(AND(B476="DNI",C476&lt;&gt;"",LEN(C476)&lt;&gt;8),"DNI debe tener 8 dígitos",IF(AND(B476="RUC",C476&lt;&gt;"",LEN(C476)&lt;&gt;11),"RUC debe tener 11 dígitos",IF(AND(N476&lt;&gt;"",COUNTIF($N$5:$N$549,N476)&gt;1),"CÓDIGO INTERNO DUPLICADO","OK"))))))</f>
        <v/>
      </c>
      <c r="B476" s="17" t="n"/>
      <c r="C476" s="23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23" t="n"/>
      <c r="M476" s="17" t="n"/>
      <c r="N476" s="23" t="n"/>
      <c r="O476" s="17" t="n"/>
      <c r="P476" s="28">
        <f>IF(A476&lt;&gt;"OK","","SELECT cli_crear_clientes(p_codigo_interno =&gt; "&amp;IF(TRIM(N476&amp;"")="","NULL","'"&amp;SUBSTITUTE(TRIM(N476),"'","''")&amp;"'")&amp;", p_razon_social =&gt; "&amp;IF(TRIM(D476&amp;"")="","NULL","'"&amp;SUBSTITUTE(TRIM(D476),"'","''")&amp;"'")&amp;", p_id_tipo_cliente =&gt; "&amp;IF(TRIM(I476&amp;"")="","NULL","(SELECT lo.id FROM gen_lista_opciones lo JOIN gen_lista l ON l.id = lo.id_lista WHERE l.nombre = 'TipoCliente' AND upper(lo.nombre) = upper('"&amp;SUBSTITUTE(TRIM(I476),"'","''")&amp;"') AND lo.estado = 1 LIMIT 1)")&amp;", p_id_tipo_persona =&gt; "&amp;IF(TRIM(H476&amp;"")="","NULL","(SELECT lo.id FROM gen_lista_opciones lo JOIN gen_lista l ON l.id = lo.id_lista WHERE l.nombre = 'TipoPersona' AND upper(lo.nombre) = upper('"&amp;SUBSTITUTE(TRIM(H476),"'","''")&amp;"') AND lo.estado = 1 LIMIT 1)")&amp;", p_nombres =&gt; "&amp;IF(TRIM(E476&amp;"")="","NULL","'"&amp;SUBSTITUTE(TRIM(E476),"'","''")&amp;"'")&amp;", p_apellido_paterno =&gt; "&amp;IF(TRIM(F476&amp;"")="","NULL","'"&amp;SUBSTITUTE(TRIM(F476),"'","''")&amp;"'")&amp;", p_apellido_materno =&gt; "&amp;IF(TRIM(G476&amp;"")="","NULL","'"&amp;SUBSTITUTE(TRIM(G476),"'","''")&amp;"'")&amp;", p_id_tipo_documento =&gt; "&amp;IF(TRIM(B476&amp;"")="","NULL","(SELECT lo.id FROM gen_lista_opciones lo JOIN gen_lista l ON l.id = lo.id_lista WHERE l.nombre = 'TipoDocumento' AND upper(lo.nombre) = upper('"&amp;SUBSTITUTE(TRIM(B476),"'","''")&amp;"') AND lo.estado = 1 LIMIT 1)")&amp;", p_numero_documento =&gt; "&amp;IF(TRIM(C476&amp;"")="","NULL","'"&amp;SUBSTITUTE(TRIM(C476),"'","''")&amp;"'")&amp;", p_telefono =&gt; "&amp;IF(TRIM(L476&amp;"")="","NULL","'"&amp;SUBSTITUTE(TRIM(L476),"'","''")&amp;"'")&amp;", p_email =&gt; "&amp;IF(TRIM(M476&amp;"")="","NULL","'"&amp;SUBSTITUTE(TRIM(M476),"'","''")&amp;"'")&amp;", p_observacion =&gt; "&amp;IF(TRIM(O476&amp;"")="","NULL","'"&amp;SUBSTITUTE(TRIM(O476),"'","''")&amp;"'")&amp;", p_direccion =&gt; "&amp;IF(TRIM(J476&amp;"")="","NULL","'"&amp;SUBSTITUTE(TRIM(J476),"'","''")&amp;"'")&amp;", p_referencia =&gt; "&amp;IF(TRIM(K476&amp;"")="","NULL","'"&amp;SUBSTITUTE(TRIM(K476),"'","''")&amp;"'")&amp;") AS resultado_cliente_"&amp;431&amp;";")</f>
        <v/>
      </c>
    </row>
    <row r="477" ht="15.75" customHeight="1" s="64">
      <c r="A477" s="25">
        <f>IF(AND(D477="",E477="",C477=""),"",IF(AND(D477="",E477=""),"FALTA razón social o nombres",IF(AND(C477&lt;&gt;"",COUNTIF($C$5:$C$549,C477)&gt;1),"DOCUMENTO DUPLICADO",IF(AND(B477="DNI",C477&lt;&gt;"",LEN(C477)&lt;&gt;8),"DNI debe tener 8 dígitos",IF(AND(B477="RUC",C477&lt;&gt;"",LEN(C477)&lt;&gt;11),"RUC debe tener 11 dígitos",IF(AND(N477&lt;&gt;"",COUNTIF($N$5:$N$549,N477)&gt;1),"CÓDIGO INTERNO DUPLICADO","OK"))))))</f>
        <v/>
      </c>
      <c r="B477" s="17" t="n"/>
      <c r="C477" s="23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23" t="n"/>
      <c r="M477" s="17" t="n"/>
      <c r="N477" s="23" t="n"/>
      <c r="O477" s="17" t="n"/>
      <c r="P477" s="28">
        <f>IF(A477&lt;&gt;"OK","","SELECT cli_crear_clientes(p_codigo_interno =&gt; "&amp;IF(TRIM(N477&amp;"")="","NULL","'"&amp;SUBSTITUTE(TRIM(N477),"'","''")&amp;"'")&amp;", p_razon_social =&gt; "&amp;IF(TRIM(D477&amp;"")="","NULL","'"&amp;SUBSTITUTE(TRIM(D477),"'","''")&amp;"'")&amp;", p_id_tipo_cliente =&gt; "&amp;IF(TRIM(I477&amp;"")="","NULL","(SELECT lo.id FROM gen_lista_opciones lo JOIN gen_lista l ON l.id = lo.id_lista WHERE l.nombre = 'TipoCliente' AND upper(lo.nombre) = upper('"&amp;SUBSTITUTE(TRIM(I477),"'","''")&amp;"') AND lo.estado = 1 LIMIT 1)")&amp;", p_id_tipo_persona =&gt; "&amp;IF(TRIM(H477&amp;"")="","NULL","(SELECT lo.id FROM gen_lista_opciones lo JOIN gen_lista l ON l.id = lo.id_lista WHERE l.nombre = 'TipoPersona' AND upper(lo.nombre) = upper('"&amp;SUBSTITUTE(TRIM(H477),"'","''")&amp;"') AND lo.estado = 1 LIMIT 1)")&amp;", p_nombres =&gt; "&amp;IF(TRIM(E477&amp;"")="","NULL","'"&amp;SUBSTITUTE(TRIM(E477),"'","''")&amp;"'")&amp;", p_apellido_paterno =&gt; "&amp;IF(TRIM(F477&amp;"")="","NULL","'"&amp;SUBSTITUTE(TRIM(F477),"'","''")&amp;"'")&amp;", p_apellido_materno =&gt; "&amp;IF(TRIM(G477&amp;"")="","NULL","'"&amp;SUBSTITUTE(TRIM(G477),"'","''")&amp;"'")&amp;", p_id_tipo_documento =&gt; "&amp;IF(TRIM(B477&amp;"")="","NULL","(SELECT lo.id FROM gen_lista_opciones lo JOIN gen_lista l ON l.id = lo.id_lista WHERE l.nombre = 'TipoDocumento' AND upper(lo.nombre) = upper('"&amp;SUBSTITUTE(TRIM(B477),"'","''")&amp;"') AND lo.estado = 1 LIMIT 1)")&amp;", p_numero_documento =&gt; "&amp;IF(TRIM(C477&amp;"")="","NULL","'"&amp;SUBSTITUTE(TRIM(C477),"'","''")&amp;"'")&amp;", p_telefono =&gt; "&amp;IF(TRIM(L477&amp;"")="","NULL","'"&amp;SUBSTITUTE(TRIM(L477),"'","''")&amp;"'")&amp;", p_email =&gt; "&amp;IF(TRIM(M477&amp;"")="","NULL","'"&amp;SUBSTITUTE(TRIM(M477),"'","''")&amp;"'")&amp;", p_observacion =&gt; "&amp;IF(TRIM(O477&amp;"")="","NULL","'"&amp;SUBSTITUTE(TRIM(O477),"'","''")&amp;"'")&amp;", p_direccion =&gt; "&amp;IF(TRIM(J477&amp;"")="","NULL","'"&amp;SUBSTITUTE(TRIM(J477),"'","''")&amp;"'")&amp;", p_referencia =&gt; "&amp;IF(TRIM(K477&amp;"")="","NULL","'"&amp;SUBSTITUTE(TRIM(K477),"'","''")&amp;"'")&amp;") AS resultado_cliente_"&amp;432&amp;";")</f>
        <v/>
      </c>
    </row>
    <row r="478" ht="15.75" customHeight="1" s="64">
      <c r="A478" s="25">
        <f>IF(AND(D478="",E478="",C478=""),"",IF(AND(D478="",E478=""),"FALTA razón social o nombres",IF(AND(C478&lt;&gt;"",COUNTIF($C$5:$C$549,C478)&gt;1),"DOCUMENTO DUPLICADO",IF(AND(B478="DNI",C478&lt;&gt;"",LEN(C478)&lt;&gt;8),"DNI debe tener 8 dígitos",IF(AND(B478="RUC",C478&lt;&gt;"",LEN(C478)&lt;&gt;11),"RUC debe tener 11 dígitos",IF(AND(N478&lt;&gt;"",COUNTIF($N$5:$N$549,N478)&gt;1),"CÓDIGO INTERNO DUPLICADO","OK"))))))</f>
        <v/>
      </c>
      <c r="B478" s="17" t="n"/>
      <c r="C478" s="23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23" t="n"/>
      <c r="M478" s="17" t="n"/>
      <c r="N478" s="23" t="n"/>
      <c r="O478" s="17" t="n"/>
      <c r="P478" s="28">
        <f>IF(A478&lt;&gt;"OK","","SELECT cli_crear_clientes(p_codigo_interno =&gt; "&amp;IF(TRIM(N478&amp;"")="","NULL","'"&amp;SUBSTITUTE(TRIM(N478),"'","''")&amp;"'")&amp;", p_razon_social =&gt; "&amp;IF(TRIM(D478&amp;"")="","NULL","'"&amp;SUBSTITUTE(TRIM(D478),"'","''")&amp;"'")&amp;", p_id_tipo_cliente =&gt; "&amp;IF(TRIM(I478&amp;"")="","NULL","(SELECT lo.id FROM gen_lista_opciones lo JOIN gen_lista l ON l.id = lo.id_lista WHERE l.nombre = 'TipoCliente' AND upper(lo.nombre) = upper('"&amp;SUBSTITUTE(TRIM(I478),"'","''")&amp;"') AND lo.estado = 1 LIMIT 1)")&amp;", p_id_tipo_persona =&gt; "&amp;IF(TRIM(H478&amp;"")="","NULL","(SELECT lo.id FROM gen_lista_opciones lo JOIN gen_lista l ON l.id = lo.id_lista WHERE l.nombre = 'TipoPersona' AND upper(lo.nombre) = upper('"&amp;SUBSTITUTE(TRIM(H478),"'","''")&amp;"') AND lo.estado = 1 LIMIT 1)")&amp;", p_nombres =&gt; "&amp;IF(TRIM(E478&amp;"")="","NULL","'"&amp;SUBSTITUTE(TRIM(E478),"'","''")&amp;"'")&amp;", p_apellido_paterno =&gt; "&amp;IF(TRIM(F478&amp;"")="","NULL","'"&amp;SUBSTITUTE(TRIM(F478),"'","''")&amp;"'")&amp;", p_apellido_materno =&gt; "&amp;IF(TRIM(G478&amp;"")="","NULL","'"&amp;SUBSTITUTE(TRIM(G478),"'","''")&amp;"'")&amp;", p_id_tipo_documento =&gt; "&amp;IF(TRIM(B478&amp;"")="","NULL","(SELECT lo.id FROM gen_lista_opciones lo JOIN gen_lista l ON l.id = lo.id_lista WHERE l.nombre = 'TipoDocumento' AND upper(lo.nombre) = upper('"&amp;SUBSTITUTE(TRIM(B478),"'","''")&amp;"') AND lo.estado = 1 LIMIT 1)")&amp;", p_numero_documento =&gt; "&amp;IF(TRIM(C478&amp;"")="","NULL","'"&amp;SUBSTITUTE(TRIM(C478),"'","''")&amp;"'")&amp;", p_telefono =&gt; "&amp;IF(TRIM(L478&amp;"")="","NULL","'"&amp;SUBSTITUTE(TRIM(L478),"'","''")&amp;"'")&amp;", p_email =&gt; "&amp;IF(TRIM(M478&amp;"")="","NULL","'"&amp;SUBSTITUTE(TRIM(M478),"'","''")&amp;"'")&amp;", p_observacion =&gt; "&amp;IF(TRIM(O478&amp;"")="","NULL","'"&amp;SUBSTITUTE(TRIM(O478),"'","''")&amp;"'")&amp;", p_direccion =&gt; "&amp;IF(TRIM(J478&amp;"")="","NULL","'"&amp;SUBSTITUTE(TRIM(J478),"'","''")&amp;"'")&amp;", p_referencia =&gt; "&amp;IF(TRIM(K478&amp;"")="","NULL","'"&amp;SUBSTITUTE(TRIM(K478),"'","''")&amp;"'")&amp;") AS resultado_cliente_"&amp;433&amp;";")</f>
        <v/>
      </c>
    </row>
    <row r="479" ht="15.75" customHeight="1" s="64">
      <c r="A479" s="25">
        <f>IF(AND(D479="",E479="",C479=""),"",IF(AND(D479="",E479=""),"FALTA razón social o nombres",IF(AND(C479&lt;&gt;"",COUNTIF($C$5:$C$549,C479)&gt;1),"DOCUMENTO DUPLICADO",IF(AND(B479="DNI",C479&lt;&gt;"",LEN(C479)&lt;&gt;8),"DNI debe tener 8 dígitos",IF(AND(B479="RUC",C479&lt;&gt;"",LEN(C479)&lt;&gt;11),"RUC debe tener 11 dígitos",IF(AND(N479&lt;&gt;"",COUNTIF($N$5:$N$549,N479)&gt;1),"CÓDIGO INTERNO DUPLICADO","OK"))))))</f>
        <v/>
      </c>
      <c r="B479" s="17" t="n"/>
      <c r="C479" s="23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23" t="n"/>
      <c r="M479" s="17" t="n"/>
      <c r="N479" s="23" t="n"/>
      <c r="O479" s="17" t="n"/>
      <c r="P479" s="28">
        <f>IF(A479&lt;&gt;"OK","","SELECT cli_crear_clientes(p_codigo_interno =&gt; "&amp;IF(TRIM(N479&amp;"")="","NULL","'"&amp;SUBSTITUTE(TRIM(N479),"'","''")&amp;"'")&amp;", p_razon_social =&gt; "&amp;IF(TRIM(D479&amp;"")="","NULL","'"&amp;SUBSTITUTE(TRIM(D479),"'","''")&amp;"'")&amp;", p_id_tipo_cliente =&gt; "&amp;IF(TRIM(I479&amp;"")="","NULL","(SELECT lo.id FROM gen_lista_opciones lo JOIN gen_lista l ON l.id = lo.id_lista WHERE l.nombre = 'TipoCliente' AND upper(lo.nombre) = upper('"&amp;SUBSTITUTE(TRIM(I479),"'","''")&amp;"') AND lo.estado = 1 LIMIT 1)")&amp;", p_id_tipo_persona =&gt; "&amp;IF(TRIM(H479&amp;"")="","NULL","(SELECT lo.id FROM gen_lista_opciones lo JOIN gen_lista l ON l.id = lo.id_lista WHERE l.nombre = 'TipoPersona' AND upper(lo.nombre) = upper('"&amp;SUBSTITUTE(TRIM(H479),"'","''")&amp;"') AND lo.estado = 1 LIMIT 1)")&amp;", p_nombres =&gt; "&amp;IF(TRIM(E479&amp;"")="","NULL","'"&amp;SUBSTITUTE(TRIM(E479),"'","''")&amp;"'")&amp;", p_apellido_paterno =&gt; "&amp;IF(TRIM(F479&amp;"")="","NULL","'"&amp;SUBSTITUTE(TRIM(F479),"'","''")&amp;"'")&amp;", p_apellido_materno =&gt; "&amp;IF(TRIM(G479&amp;"")="","NULL","'"&amp;SUBSTITUTE(TRIM(G479),"'","''")&amp;"'")&amp;", p_id_tipo_documento =&gt; "&amp;IF(TRIM(B479&amp;"")="","NULL","(SELECT lo.id FROM gen_lista_opciones lo JOIN gen_lista l ON l.id = lo.id_lista WHERE l.nombre = 'TipoDocumento' AND upper(lo.nombre) = upper('"&amp;SUBSTITUTE(TRIM(B479),"'","''")&amp;"') AND lo.estado = 1 LIMIT 1)")&amp;", p_numero_documento =&gt; "&amp;IF(TRIM(C479&amp;"")="","NULL","'"&amp;SUBSTITUTE(TRIM(C479),"'","''")&amp;"'")&amp;", p_telefono =&gt; "&amp;IF(TRIM(L479&amp;"")="","NULL","'"&amp;SUBSTITUTE(TRIM(L479),"'","''")&amp;"'")&amp;", p_email =&gt; "&amp;IF(TRIM(M479&amp;"")="","NULL","'"&amp;SUBSTITUTE(TRIM(M479),"'","''")&amp;"'")&amp;", p_observacion =&gt; "&amp;IF(TRIM(O479&amp;"")="","NULL","'"&amp;SUBSTITUTE(TRIM(O479),"'","''")&amp;"'")&amp;", p_direccion =&gt; "&amp;IF(TRIM(J479&amp;"")="","NULL","'"&amp;SUBSTITUTE(TRIM(J479),"'","''")&amp;"'")&amp;", p_referencia =&gt; "&amp;IF(TRIM(K479&amp;"")="","NULL","'"&amp;SUBSTITUTE(TRIM(K479),"'","''")&amp;"'")&amp;") AS resultado_cliente_"&amp;434&amp;";")</f>
        <v/>
      </c>
    </row>
    <row r="480" ht="15.75" customHeight="1" s="64">
      <c r="A480" s="25">
        <f>IF(AND(D480="",E480="",C480=""),"",IF(AND(D480="",E480=""),"FALTA razón social o nombres",IF(AND(C480&lt;&gt;"",COUNTIF($C$5:$C$549,C480)&gt;1),"DOCUMENTO DUPLICADO",IF(AND(B480="DNI",C480&lt;&gt;"",LEN(C480)&lt;&gt;8),"DNI debe tener 8 dígitos",IF(AND(B480="RUC",C480&lt;&gt;"",LEN(C480)&lt;&gt;11),"RUC debe tener 11 dígitos",IF(AND(N480&lt;&gt;"",COUNTIF($N$5:$N$549,N480)&gt;1),"CÓDIGO INTERNO DUPLICADO","OK"))))))</f>
        <v/>
      </c>
      <c r="B480" s="17" t="n"/>
      <c r="C480" s="23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23" t="n"/>
      <c r="M480" s="17" t="n"/>
      <c r="N480" s="23" t="n"/>
      <c r="O480" s="17" t="n"/>
      <c r="P480" s="28">
        <f>IF(A480&lt;&gt;"OK","","SELECT cli_crear_clientes(p_codigo_interno =&gt; "&amp;IF(TRIM(N480&amp;"")="","NULL","'"&amp;SUBSTITUTE(TRIM(N480),"'","''")&amp;"'")&amp;", p_razon_social =&gt; "&amp;IF(TRIM(D480&amp;"")="","NULL","'"&amp;SUBSTITUTE(TRIM(D480),"'","''")&amp;"'")&amp;", p_id_tipo_cliente =&gt; "&amp;IF(TRIM(I480&amp;"")="","NULL","(SELECT lo.id FROM gen_lista_opciones lo JOIN gen_lista l ON l.id = lo.id_lista WHERE l.nombre = 'TipoCliente' AND upper(lo.nombre) = upper('"&amp;SUBSTITUTE(TRIM(I480),"'","''")&amp;"') AND lo.estado = 1 LIMIT 1)")&amp;", p_id_tipo_persona =&gt; "&amp;IF(TRIM(H480&amp;"")="","NULL","(SELECT lo.id FROM gen_lista_opciones lo JOIN gen_lista l ON l.id = lo.id_lista WHERE l.nombre = 'TipoPersona' AND upper(lo.nombre) = upper('"&amp;SUBSTITUTE(TRIM(H480),"'","''")&amp;"') AND lo.estado = 1 LIMIT 1)")&amp;", p_nombres =&gt; "&amp;IF(TRIM(E480&amp;"")="","NULL","'"&amp;SUBSTITUTE(TRIM(E480),"'","''")&amp;"'")&amp;", p_apellido_paterno =&gt; "&amp;IF(TRIM(F480&amp;"")="","NULL","'"&amp;SUBSTITUTE(TRIM(F480),"'","''")&amp;"'")&amp;", p_apellido_materno =&gt; "&amp;IF(TRIM(G480&amp;"")="","NULL","'"&amp;SUBSTITUTE(TRIM(G480),"'","''")&amp;"'")&amp;", p_id_tipo_documento =&gt; "&amp;IF(TRIM(B480&amp;"")="","NULL","(SELECT lo.id FROM gen_lista_opciones lo JOIN gen_lista l ON l.id = lo.id_lista WHERE l.nombre = 'TipoDocumento' AND upper(lo.nombre) = upper('"&amp;SUBSTITUTE(TRIM(B480),"'","''")&amp;"') AND lo.estado = 1 LIMIT 1)")&amp;", p_numero_documento =&gt; "&amp;IF(TRIM(C480&amp;"")="","NULL","'"&amp;SUBSTITUTE(TRIM(C480),"'","''")&amp;"'")&amp;", p_telefono =&gt; "&amp;IF(TRIM(L480&amp;"")="","NULL","'"&amp;SUBSTITUTE(TRIM(L480),"'","''")&amp;"'")&amp;", p_email =&gt; "&amp;IF(TRIM(M480&amp;"")="","NULL","'"&amp;SUBSTITUTE(TRIM(M480),"'","''")&amp;"'")&amp;", p_observacion =&gt; "&amp;IF(TRIM(O480&amp;"")="","NULL","'"&amp;SUBSTITUTE(TRIM(O480),"'","''")&amp;"'")&amp;", p_direccion =&gt; "&amp;IF(TRIM(J480&amp;"")="","NULL","'"&amp;SUBSTITUTE(TRIM(J480),"'","''")&amp;"'")&amp;", p_referencia =&gt; "&amp;IF(TRIM(K480&amp;"")="","NULL","'"&amp;SUBSTITUTE(TRIM(K480),"'","''")&amp;"'")&amp;") AS resultado_cliente_"&amp;435&amp;";")</f>
        <v/>
      </c>
    </row>
    <row r="481" ht="15.75" customHeight="1" s="64">
      <c r="A481" s="25">
        <f>IF(AND(D481="",E481="",C481=""),"",IF(AND(D481="",E481=""),"FALTA razón social o nombres",IF(AND(C481&lt;&gt;"",COUNTIF($C$5:$C$549,C481)&gt;1),"DOCUMENTO DUPLICADO",IF(AND(B481="DNI",C481&lt;&gt;"",LEN(C481)&lt;&gt;8),"DNI debe tener 8 dígitos",IF(AND(B481="RUC",C481&lt;&gt;"",LEN(C481)&lt;&gt;11),"RUC debe tener 11 dígitos",IF(AND(N481&lt;&gt;"",COUNTIF($N$5:$N$549,N481)&gt;1),"CÓDIGO INTERNO DUPLICADO","OK"))))))</f>
        <v/>
      </c>
      <c r="B481" s="17" t="n"/>
      <c r="C481" s="23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23" t="n"/>
      <c r="M481" s="17" t="n"/>
      <c r="N481" s="23" t="n"/>
      <c r="O481" s="17" t="n"/>
      <c r="P481" s="28">
        <f>IF(A481&lt;&gt;"OK","","SELECT cli_crear_clientes(p_codigo_interno =&gt; "&amp;IF(TRIM(N481&amp;"")="","NULL","'"&amp;SUBSTITUTE(TRIM(N481),"'","''")&amp;"'")&amp;", p_razon_social =&gt; "&amp;IF(TRIM(D481&amp;"")="","NULL","'"&amp;SUBSTITUTE(TRIM(D481),"'","''")&amp;"'")&amp;", p_id_tipo_cliente =&gt; "&amp;IF(TRIM(I481&amp;"")="","NULL","(SELECT lo.id FROM gen_lista_opciones lo JOIN gen_lista l ON l.id = lo.id_lista WHERE l.nombre = 'TipoCliente' AND upper(lo.nombre) = upper('"&amp;SUBSTITUTE(TRIM(I481),"'","''")&amp;"') AND lo.estado = 1 LIMIT 1)")&amp;", p_id_tipo_persona =&gt; "&amp;IF(TRIM(H481&amp;"")="","NULL","(SELECT lo.id FROM gen_lista_opciones lo JOIN gen_lista l ON l.id = lo.id_lista WHERE l.nombre = 'TipoPersona' AND upper(lo.nombre) = upper('"&amp;SUBSTITUTE(TRIM(H481),"'","''")&amp;"') AND lo.estado = 1 LIMIT 1)")&amp;", p_nombres =&gt; "&amp;IF(TRIM(E481&amp;"")="","NULL","'"&amp;SUBSTITUTE(TRIM(E481),"'","''")&amp;"'")&amp;", p_apellido_paterno =&gt; "&amp;IF(TRIM(F481&amp;"")="","NULL","'"&amp;SUBSTITUTE(TRIM(F481),"'","''")&amp;"'")&amp;", p_apellido_materno =&gt; "&amp;IF(TRIM(G481&amp;"")="","NULL","'"&amp;SUBSTITUTE(TRIM(G481),"'","''")&amp;"'")&amp;", p_id_tipo_documento =&gt; "&amp;IF(TRIM(B481&amp;"")="","NULL","(SELECT lo.id FROM gen_lista_opciones lo JOIN gen_lista l ON l.id = lo.id_lista WHERE l.nombre = 'TipoDocumento' AND upper(lo.nombre) = upper('"&amp;SUBSTITUTE(TRIM(B481),"'","''")&amp;"') AND lo.estado = 1 LIMIT 1)")&amp;", p_numero_documento =&gt; "&amp;IF(TRIM(C481&amp;"")="","NULL","'"&amp;SUBSTITUTE(TRIM(C481),"'","''")&amp;"'")&amp;", p_telefono =&gt; "&amp;IF(TRIM(L481&amp;"")="","NULL","'"&amp;SUBSTITUTE(TRIM(L481),"'","''")&amp;"'")&amp;", p_email =&gt; "&amp;IF(TRIM(M481&amp;"")="","NULL","'"&amp;SUBSTITUTE(TRIM(M481),"'","''")&amp;"'")&amp;", p_observacion =&gt; "&amp;IF(TRIM(O481&amp;"")="","NULL","'"&amp;SUBSTITUTE(TRIM(O481),"'","''")&amp;"'")&amp;", p_direccion =&gt; "&amp;IF(TRIM(J481&amp;"")="","NULL","'"&amp;SUBSTITUTE(TRIM(J481),"'","''")&amp;"'")&amp;", p_referencia =&gt; "&amp;IF(TRIM(K481&amp;"")="","NULL","'"&amp;SUBSTITUTE(TRIM(K481),"'","''")&amp;"'")&amp;") AS resultado_cliente_"&amp;436&amp;";")</f>
        <v/>
      </c>
    </row>
    <row r="482" ht="15.75" customHeight="1" s="64">
      <c r="A482" s="25">
        <f>IF(AND(D482="",E482="",C482=""),"",IF(AND(D482="",E482=""),"FALTA razón social o nombres",IF(AND(C482&lt;&gt;"",COUNTIF($C$5:$C$549,C482)&gt;1),"DOCUMENTO DUPLICADO",IF(AND(B482="DNI",C482&lt;&gt;"",LEN(C482)&lt;&gt;8),"DNI debe tener 8 dígitos",IF(AND(B482="RUC",C482&lt;&gt;"",LEN(C482)&lt;&gt;11),"RUC debe tener 11 dígitos",IF(AND(N482&lt;&gt;"",COUNTIF($N$5:$N$549,N482)&gt;1),"CÓDIGO INTERNO DUPLICADO","OK"))))))</f>
        <v/>
      </c>
      <c r="B482" s="17" t="n"/>
      <c r="C482" s="23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23" t="n"/>
      <c r="M482" s="17" t="n"/>
      <c r="N482" s="23" t="n"/>
      <c r="O482" s="17" t="n"/>
      <c r="P482" s="28">
        <f>IF(A482&lt;&gt;"OK","","SELECT cli_crear_clientes(p_codigo_interno =&gt; "&amp;IF(TRIM(N482&amp;"")="","NULL","'"&amp;SUBSTITUTE(TRIM(N482),"'","''")&amp;"'")&amp;", p_razon_social =&gt; "&amp;IF(TRIM(D482&amp;"")="","NULL","'"&amp;SUBSTITUTE(TRIM(D482),"'","''")&amp;"'")&amp;", p_id_tipo_cliente =&gt; "&amp;IF(TRIM(I482&amp;"")="","NULL","(SELECT lo.id FROM gen_lista_opciones lo JOIN gen_lista l ON l.id = lo.id_lista WHERE l.nombre = 'TipoCliente' AND upper(lo.nombre) = upper('"&amp;SUBSTITUTE(TRIM(I482),"'","''")&amp;"') AND lo.estado = 1 LIMIT 1)")&amp;", p_id_tipo_persona =&gt; "&amp;IF(TRIM(H482&amp;"")="","NULL","(SELECT lo.id FROM gen_lista_opciones lo JOIN gen_lista l ON l.id = lo.id_lista WHERE l.nombre = 'TipoPersona' AND upper(lo.nombre) = upper('"&amp;SUBSTITUTE(TRIM(H482),"'","''")&amp;"') AND lo.estado = 1 LIMIT 1)")&amp;", p_nombres =&gt; "&amp;IF(TRIM(E482&amp;"")="","NULL","'"&amp;SUBSTITUTE(TRIM(E482),"'","''")&amp;"'")&amp;", p_apellido_paterno =&gt; "&amp;IF(TRIM(F482&amp;"")="","NULL","'"&amp;SUBSTITUTE(TRIM(F482),"'","''")&amp;"'")&amp;", p_apellido_materno =&gt; "&amp;IF(TRIM(G482&amp;"")="","NULL","'"&amp;SUBSTITUTE(TRIM(G482),"'","''")&amp;"'")&amp;", p_id_tipo_documento =&gt; "&amp;IF(TRIM(B482&amp;"")="","NULL","(SELECT lo.id FROM gen_lista_opciones lo JOIN gen_lista l ON l.id = lo.id_lista WHERE l.nombre = 'TipoDocumento' AND upper(lo.nombre) = upper('"&amp;SUBSTITUTE(TRIM(B482),"'","''")&amp;"') AND lo.estado = 1 LIMIT 1)")&amp;", p_numero_documento =&gt; "&amp;IF(TRIM(C482&amp;"")="","NULL","'"&amp;SUBSTITUTE(TRIM(C482),"'","''")&amp;"'")&amp;", p_telefono =&gt; "&amp;IF(TRIM(L482&amp;"")="","NULL","'"&amp;SUBSTITUTE(TRIM(L482),"'","''")&amp;"'")&amp;", p_email =&gt; "&amp;IF(TRIM(M482&amp;"")="","NULL","'"&amp;SUBSTITUTE(TRIM(M482),"'","''")&amp;"'")&amp;", p_observacion =&gt; "&amp;IF(TRIM(O482&amp;"")="","NULL","'"&amp;SUBSTITUTE(TRIM(O482),"'","''")&amp;"'")&amp;", p_direccion =&gt; "&amp;IF(TRIM(J482&amp;"")="","NULL","'"&amp;SUBSTITUTE(TRIM(J482),"'","''")&amp;"'")&amp;", p_referencia =&gt; "&amp;IF(TRIM(K482&amp;"")="","NULL","'"&amp;SUBSTITUTE(TRIM(K482),"'","''")&amp;"'")&amp;") AS resultado_cliente_"&amp;437&amp;";")</f>
        <v/>
      </c>
    </row>
    <row r="483" ht="15.75" customHeight="1" s="64">
      <c r="A483" s="25">
        <f>IF(AND(D483="",E483="",C483=""),"",IF(AND(D483="",E483=""),"FALTA razón social o nombres",IF(AND(C483&lt;&gt;"",COUNTIF($C$5:$C$549,C483)&gt;1),"DOCUMENTO DUPLICADO",IF(AND(B483="DNI",C483&lt;&gt;"",LEN(C483)&lt;&gt;8),"DNI debe tener 8 dígitos",IF(AND(B483="RUC",C483&lt;&gt;"",LEN(C483)&lt;&gt;11),"RUC debe tener 11 dígitos",IF(AND(N483&lt;&gt;"",COUNTIF($N$5:$N$549,N483)&gt;1),"CÓDIGO INTERNO DUPLICADO","OK"))))))</f>
        <v/>
      </c>
      <c r="B483" s="17" t="n"/>
      <c r="C483" s="23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23" t="n"/>
      <c r="M483" s="17" t="n"/>
      <c r="N483" s="23" t="n"/>
      <c r="O483" s="17" t="n"/>
      <c r="P483" s="28">
        <f>IF(A483&lt;&gt;"OK","","SELECT cli_crear_clientes(p_codigo_interno =&gt; "&amp;IF(TRIM(N483&amp;"")="","NULL","'"&amp;SUBSTITUTE(TRIM(N483),"'","''")&amp;"'")&amp;", p_razon_social =&gt; "&amp;IF(TRIM(D483&amp;"")="","NULL","'"&amp;SUBSTITUTE(TRIM(D483),"'","''")&amp;"'")&amp;", p_id_tipo_cliente =&gt; "&amp;IF(TRIM(I483&amp;"")="","NULL","(SELECT lo.id FROM gen_lista_opciones lo JOIN gen_lista l ON l.id = lo.id_lista WHERE l.nombre = 'TipoCliente' AND upper(lo.nombre) = upper('"&amp;SUBSTITUTE(TRIM(I483),"'","''")&amp;"') AND lo.estado = 1 LIMIT 1)")&amp;", p_id_tipo_persona =&gt; "&amp;IF(TRIM(H483&amp;"")="","NULL","(SELECT lo.id FROM gen_lista_opciones lo JOIN gen_lista l ON l.id = lo.id_lista WHERE l.nombre = 'TipoPersona' AND upper(lo.nombre) = upper('"&amp;SUBSTITUTE(TRIM(H483),"'","''")&amp;"') AND lo.estado = 1 LIMIT 1)")&amp;", p_nombres =&gt; "&amp;IF(TRIM(E483&amp;"")="","NULL","'"&amp;SUBSTITUTE(TRIM(E483),"'","''")&amp;"'")&amp;", p_apellido_paterno =&gt; "&amp;IF(TRIM(F483&amp;"")="","NULL","'"&amp;SUBSTITUTE(TRIM(F483),"'","''")&amp;"'")&amp;", p_apellido_materno =&gt; "&amp;IF(TRIM(G483&amp;"")="","NULL","'"&amp;SUBSTITUTE(TRIM(G483),"'","''")&amp;"'")&amp;", p_id_tipo_documento =&gt; "&amp;IF(TRIM(B483&amp;"")="","NULL","(SELECT lo.id FROM gen_lista_opciones lo JOIN gen_lista l ON l.id = lo.id_lista WHERE l.nombre = 'TipoDocumento' AND upper(lo.nombre) = upper('"&amp;SUBSTITUTE(TRIM(B483),"'","''")&amp;"') AND lo.estado = 1 LIMIT 1)")&amp;", p_numero_documento =&gt; "&amp;IF(TRIM(C483&amp;"")="","NULL","'"&amp;SUBSTITUTE(TRIM(C483),"'","''")&amp;"'")&amp;", p_telefono =&gt; "&amp;IF(TRIM(L483&amp;"")="","NULL","'"&amp;SUBSTITUTE(TRIM(L483),"'","''")&amp;"'")&amp;", p_email =&gt; "&amp;IF(TRIM(M483&amp;"")="","NULL","'"&amp;SUBSTITUTE(TRIM(M483),"'","''")&amp;"'")&amp;", p_observacion =&gt; "&amp;IF(TRIM(O483&amp;"")="","NULL","'"&amp;SUBSTITUTE(TRIM(O483),"'","''")&amp;"'")&amp;", p_direccion =&gt; "&amp;IF(TRIM(J483&amp;"")="","NULL","'"&amp;SUBSTITUTE(TRIM(J483),"'","''")&amp;"'")&amp;", p_referencia =&gt; "&amp;IF(TRIM(K483&amp;"")="","NULL","'"&amp;SUBSTITUTE(TRIM(K483),"'","''")&amp;"'")&amp;") AS resultado_cliente_"&amp;438&amp;";")</f>
        <v/>
      </c>
    </row>
    <row r="484" ht="15.75" customHeight="1" s="64">
      <c r="A484" s="25">
        <f>IF(AND(D484="",E484="",C484=""),"",IF(AND(D484="",E484=""),"FALTA razón social o nombres",IF(AND(C484&lt;&gt;"",COUNTIF($C$5:$C$549,C484)&gt;1),"DOCUMENTO DUPLICADO",IF(AND(B484="DNI",C484&lt;&gt;"",LEN(C484)&lt;&gt;8),"DNI debe tener 8 dígitos",IF(AND(B484="RUC",C484&lt;&gt;"",LEN(C484)&lt;&gt;11),"RUC debe tener 11 dígitos",IF(AND(N484&lt;&gt;"",COUNTIF($N$5:$N$549,N484)&gt;1),"CÓDIGO INTERNO DUPLICADO","OK"))))))</f>
        <v/>
      </c>
      <c r="B484" s="17" t="n"/>
      <c r="C484" s="23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23" t="n"/>
      <c r="M484" s="17" t="n"/>
      <c r="N484" s="23" t="n"/>
      <c r="O484" s="17" t="n"/>
      <c r="P484" s="28">
        <f>IF(A484&lt;&gt;"OK","","SELECT cli_crear_clientes(p_codigo_interno =&gt; "&amp;IF(TRIM(N484&amp;"")="","NULL","'"&amp;SUBSTITUTE(TRIM(N484),"'","''")&amp;"'")&amp;", p_razon_social =&gt; "&amp;IF(TRIM(D484&amp;"")="","NULL","'"&amp;SUBSTITUTE(TRIM(D484),"'","''")&amp;"'")&amp;", p_id_tipo_cliente =&gt; "&amp;IF(TRIM(I484&amp;"")="","NULL","(SELECT lo.id FROM gen_lista_opciones lo JOIN gen_lista l ON l.id = lo.id_lista WHERE l.nombre = 'TipoCliente' AND upper(lo.nombre) = upper('"&amp;SUBSTITUTE(TRIM(I484),"'","''")&amp;"') AND lo.estado = 1 LIMIT 1)")&amp;", p_id_tipo_persona =&gt; "&amp;IF(TRIM(H484&amp;"")="","NULL","(SELECT lo.id FROM gen_lista_opciones lo JOIN gen_lista l ON l.id = lo.id_lista WHERE l.nombre = 'TipoPersona' AND upper(lo.nombre) = upper('"&amp;SUBSTITUTE(TRIM(H484),"'","''")&amp;"') AND lo.estado = 1 LIMIT 1)")&amp;", p_nombres =&gt; "&amp;IF(TRIM(E484&amp;"")="","NULL","'"&amp;SUBSTITUTE(TRIM(E484),"'","''")&amp;"'")&amp;", p_apellido_paterno =&gt; "&amp;IF(TRIM(F484&amp;"")="","NULL","'"&amp;SUBSTITUTE(TRIM(F484),"'","''")&amp;"'")&amp;", p_apellido_materno =&gt; "&amp;IF(TRIM(G484&amp;"")="","NULL","'"&amp;SUBSTITUTE(TRIM(G484),"'","''")&amp;"'")&amp;", p_id_tipo_documento =&gt; "&amp;IF(TRIM(B484&amp;"")="","NULL","(SELECT lo.id FROM gen_lista_opciones lo JOIN gen_lista l ON l.id = lo.id_lista WHERE l.nombre = 'TipoDocumento' AND upper(lo.nombre) = upper('"&amp;SUBSTITUTE(TRIM(B484),"'","''")&amp;"') AND lo.estado = 1 LIMIT 1)")&amp;", p_numero_documento =&gt; "&amp;IF(TRIM(C484&amp;"")="","NULL","'"&amp;SUBSTITUTE(TRIM(C484),"'","''")&amp;"'")&amp;", p_telefono =&gt; "&amp;IF(TRIM(L484&amp;"")="","NULL","'"&amp;SUBSTITUTE(TRIM(L484),"'","''")&amp;"'")&amp;", p_email =&gt; "&amp;IF(TRIM(M484&amp;"")="","NULL","'"&amp;SUBSTITUTE(TRIM(M484),"'","''")&amp;"'")&amp;", p_observacion =&gt; "&amp;IF(TRIM(O484&amp;"")="","NULL","'"&amp;SUBSTITUTE(TRIM(O484),"'","''")&amp;"'")&amp;", p_direccion =&gt; "&amp;IF(TRIM(J484&amp;"")="","NULL","'"&amp;SUBSTITUTE(TRIM(J484),"'","''")&amp;"'")&amp;", p_referencia =&gt; "&amp;IF(TRIM(K484&amp;"")="","NULL","'"&amp;SUBSTITUTE(TRIM(K484),"'","''")&amp;"'")&amp;") AS resultado_cliente_"&amp;439&amp;";")</f>
        <v/>
      </c>
    </row>
    <row r="485" ht="15.75" customHeight="1" s="64">
      <c r="A485" s="25">
        <f>IF(AND(D485="",E485="",C485=""),"",IF(AND(D485="",E485=""),"FALTA razón social o nombres",IF(AND(C485&lt;&gt;"",COUNTIF($C$5:$C$549,C485)&gt;1),"DOCUMENTO DUPLICADO",IF(AND(B485="DNI",C485&lt;&gt;"",LEN(C485)&lt;&gt;8),"DNI debe tener 8 dígitos",IF(AND(B485="RUC",C485&lt;&gt;"",LEN(C485)&lt;&gt;11),"RUC debe tener 11 dígitos",IF(AND(N485&lt;&gt;"",COUNTIF($N$5:$N$549,N485)&gt;1),"CÓDIGO INTERNO DUPLICADO","OK"))))))</f>
        <v/>
      </c>
      <c r="B485" s="17" t="n"/>
      <c r="C485" s="23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23" t="n"/>
      <c r="M485" s="17" t="n"/>
      <c r="N485" s="23" t="n"/>
      <c r="O485" s="17" t="n"/>
      <c r="P485" s="28">
        <f>IF(A485&lt;&gt;"OK","","SELECT cli_crear_clientes(p_codigo_interno =&gt; "&amp;IF(TRIM(N485&amp;"")="","NULL","'"&amp;SUBSTITUTE(TRIM(N485),"'","''")&amp;"'")&amp;", p_razon_social =&gt; "&amp;IF(TRIM(D485&amp;"")="","NULL","'"&amp;SUBSTITUTE(TRIM(D485),"'","''")&amp;"'")&amp;", p_id_tipo_cliente =&gt; "&amp;IF(TRIM(I485&amp;"")="","NULL","(SELECT lo.id FROM gen_lista_opciones lo JOIN gen_lista l ON l.id = lo.id_lista WHERE l.nombre = 'TipoCliente' AND upper(lo.nombre) = upper('"&amp;SUBSTITUTE(TRIM(I485),"'","''")&amp;"') AND lo.estado = 1 LIMIT 1)")&amp;", p_id_tipo_persona =&gt; "&amp;IF(TRIM(H485&amp;"")="","NULL","(SELECT lo.id FROM gen_lista_opciones lo JOIN gen_lista l ON l.id = lo.id_lista WHERE l.nombre = 'TipoPersona' AND upper(lo.nombre) = upper('"&amp;SUBSTITUTE(TRIM(H485),"'","''")&amp;"') AND lo.estado = 1 LIMIT 1)")&amp;", p_nombres =&gt; "&amp;IF(TRIM(E485&amp;"")="","NULL","'"&amp;SUBSTITUTE(TRIM(E485),"'","''")&amp;"'")&amp;", p_apellido_paterno =&gt; "&amp;IF(TRIM(F485&amp;"")="","NULL","'"&amp;SUBSTITUTE(TRIM(F485),"'","''")&amp;"'")&amp;", p_apellido_materno =&gt; "&amp;IF(TRIM(G485&amp;"")="","NULL","'"&amp;SUBSTITUTE(TRIM(G485),"'","''")&amp;"'")&amp;", p_id_tipo_documento =&gt; "&amp;IF(TRIM(B485&amp;"")="","NULL","(SELECT lo.id FROM gen_lista_opciones lo JOIN gen_lista l ON l.id = lo.id_lista WHERE l.nombre = 'TipoDocumento' AND upper(lo.nombre) = upper('"&amp;SUBSTITUTE(TRIM(B485),"'","''")&amp;"') AND lo.estado = 1 LIMIT 1)")&amp;", p_numero_documento =&gt; "&amp;IF(TRIM(C485&amp;"")="","NULL","'"&amp;SUBSTITUTE(TRIM(C485),"'","''")&amp;"'")&amp;", p_telefono =&gt; "&amp;IF(TRIM(L485&amp;"")="","NULL","'"&amp;SUBSTITUTE(TRIM(L485),"'","''")&amp;"'")&amp;", p_email =&gt; "&amp;IF(TRIM(M485&amp;"")="","NULL","'"&amp;SUBSTITUTE(TRIM(M485),"'","''")&amp;"'")&amp;", p_observacion =&gt; "&amp;IF(TRIM(O485&amp;"")="","NULL","'"&amp;SUBSTITUTE(TRIM(O485),"'","''")&amp;"'")&amp;", p_direccion =&gt; "&amp;IF(TRIM(J485&amp;"")="","NULL","'"&amp;SUBSTITUTE(TRIM(J485),"'","''")&amp;"'")&amp;", p_referencia =&gt; "&amp;IF(TRIM(K485&amp;"")="","NULL","'"&amp;SUBSTITUTE(TRIM(K485),"'","''")&amp;"'")&amp;") AS resultado_cliente_"&amp;440&amp;";")</f>
        <v/>
      </c>
    </row>
    <row r="486" ht="15.75" customHeight="1" s="64">
      <c r="A486" s="25">
        <f>IF(AND(D486="",E486="",C486=""),"",IF(AND(D486="",E486=""),"FALTA razón social o nombres",IF(AND(C486&lt;&gt;"",COUNTIF($C$5:$C$549,C486)&gt;1),"DOCUMENTO DUPLICADO",IF(AND(B486="DNI",C486&lt;&gt;"",LEN(C486)&lt;&gt;8),"DNI debe tener 8 dígitos",IF(AND(B486="RUC",C486&lt;&gt;"",LEN(C486)&lt;&gt;11),"RUC debe tener 11 dígitos",IF(AND(N486&lt;&gt;"",COUNTIF($N$5:$N$549,N486)&gt;1),"CÓDIGO INTERNO DUPLICADO","OK"))))))</f>
        <v/>
      </c>
      <c r="B486" s="17" t="n"/>
      <c r="C486" s="23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23" t="n"/>
      <c r="M486" s="17" t="n"/>
      <c r="N486" s="23" t="n"/>
      <c r="O486" s="17" t="n"/>
      <c r="P486" s="28">
        <f>IF(A486&lt;&gt;"OK","","SELECT cli_crear_clientes(p_codigo_interno =&gt; "&amp;IF(TRIM(N486&amp;"")="","NULL","'"&amp;SUBSTITUTE(TRIM(N486),"'","''")&amp;"'")&amp;", p_razon_social =&gt; "&amp;IF(TRIM(D486&amp;"")="","NULL","'"&amp;SUBSTITUTE(TRIM(D486),"'","''")&amp;"'")&amp;", p_id_tipo_cliente =&gt; "&amp;IF(TRIM(I486&amp;"")="","NULL","(SELECT lo.id FROM gen_lista_opciones lo JOIN gen_lista l ON l.id = lo.id_lista WHERE l.nombre = 'TipoCliente' AND upper(lo.nombre) = upper('"&amp;SUBSTITUTE(TRIM(I486),"'","''")&amp;"') AND lo.estado = 1 LIMIT 1)")&amp;", p_id_tipo_persona =&gt; "&amp;IF(TRIM(H486&amp;"")="","NULL","(SELECT lo.id FROM gen_lista_opciones lo JOIN gen_lista l ON l.id = lo.id_lista WHERE l.nombre = 'TipoPersona' AND upper(lo.nombre) = upper('"&amp;SUBSTITUTE(TRIM(H486),"'","''")&amp;"') AND lo.estado = 1 LIMIT 1)")&amp;", p_nombres =&gt; "&amp;IF(TRIM(E486&amp;"")="","NULL","'"&amp;SUBSTITUTE(TRIM(E486),"'","''")&amp;"'")&amp;", p_apellido_paterno =&gt; "&amp;IF(TRIM(F486&amp;"")="","NULL","'"&amp;SUBSTITUTE(TRIM(F486),"'","''")&amp;"'")&amp;", p_apellido_materno =&gt; "&amp;IF(TRIM(G486&amp;"")="","NULL","'"&amp;SUBSTITUTE(TRIM(G486),"'","''")&amp;"'")&amp;", p_id_tipo_documento =&gt; "&amp;IF(TRIM(B486&amp;"")="","NULL","(SELECT lo.id FROM gen_lista_opciones lo JOIN gen_lista l ON l.id = lo.id_lista WHERE l.nombre = 'TipoDocumento' AND upper(lo.nombre) = upper('"&amp;SUBSTITUTE(TRIM(B486),"'","''")&amp;"') AND lo.estado = 1 LIMIT 1)")&amp;", p_numero_documento =&gt; "&amp;IF(TRIM(C486&amp;"")="","NULL","'"&amp;SUBSTITUTE(TRIM(C486),"'","''")&amp;"'")&amp;", p_telefono =&gt; "&amp;IF(TRIM(L486&amp;"")="","NULL","'"&amp;SUBSTITUTE(TRIM(L486),"'","''")&amp;"'")&amp;", p_email =&gt; "&amp;IF(TRIM(M486&amp;"")="","NULL","'"&amp;SUBSTITUTE(TRIM(M486),"'","''")&amp;"'")&amp;", p_observacion =&gt; "&amp;IF(TRIM(O486&amp;"")="","NULL","'"&amp;SUBSTITUTE(TRIM(O486),"'","''")&amp;"'")&amp;", p_direccion =&gt; "&amp;IF(TRIM(J486&amp;"")="","NULL","'"&amp;SUBSTITUTE(TRIM(J486),"'","''")&amp;"'")&amp;", p_referencia =&gt; "&amp;IF(TRIM(K486&amp;"")="","NULL","'"&amp;SUBSTITUTE(TRIM(K486),"'","''")&amp;"'")&amp;") AS resultado_cliente_"&amp;441&amp;";")</f>
        <v/>
      </c>
    </row>
    <row r="487" ht="15.75" customHeight="1" s="64">
      <c r="A487" s="25">
        <f>IF(AND(D487="",E487="",C487=""),"",IF(AND(D487="",E487=""),"FALTA razón social o nombres",IF(AND(C487&lt;&gt;"",COUNTIF($C$5:$C$549,C487)&gt;1),"DOCUMENTO DUPLICADO",IF(AND(B487="DNI",C487&lt;&gt;"",LEN(C487)&lt;&gt;8),"DNI debe tener 8 dígitos",IF(AND(B487="RUC",C487&lt;&gt;"",LEN(C487)&lt;&gt;11),"RUC debe tener 11 dígitos",IF(AND(N487&lt;&gt;"",COUNTIF($N$5:$N$549,N487)&gt;1),"CÓDIGO INTERNO DUPLICADO","OK"))))))</f>
        <v/>
      </c>
      <c r="B487" s="17" t="n"/>
      <c r="C487" s="23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23" t="n"/>
      <c r="M487" s="17" t="n"/>
      <c r="N487" s="23" t="n"/>
      <c r="O487" s="17" t="n"/>
      <c r="P487" s="28">
        <f>IF(A487&lt;&gt;"OK","","SELECT cli_crear_clientes(p_codigo_interno =&gt; "&amp;IF(TRIM(N487&amp;"")="","NULL","'"&amp;SUBSTITUTE(TRIM(N487),"'","''")&amp;"'")&amp;", p_razon_social =&gt; "&amp;IF(TRIM(D487&amp;"")="","NULL","'"&amp;SUBSTITUTE(TRIM(D487),"'","''")&amp;"'")&amp;", p_id_tipo_cliente =&gt; "&amp;IF(TRIM(I487&amp;"")="","NULL","(SELECT lo.id FROM gen_lista_opciones lo JOIN gen_lista l ON l.id = lo.id_lista WHERE l.nombre = 'TipoCliente' AND upper(lo.nombre) = upper('"&amp;SUBSTITUTE(TRIM(I487),"'","''")&amp;"') AND lo.estado = 1 LIMIT 1)")&amp;", p_id_tipo_persona =&gt; "&amp;IF(TRIM(H487&amp;"")="","NULL","(SELECT lo.id FROM gen_lista_opciones lo JOIN gen_lista l ON l.id = lo.id_lista WHERE l.nombre = 'TipoPersona' AND upper(lo.nombre) = upper('"&amp;SUBSTITUTE(TRIM(H487),"'","''")&amp;"') AND lo.estado = 1 LIMIT 1)")&amp;", p_nombres =&gt; "&amp;IF(TRIM(E487&amp;"")="","NULL","'"&amp;SUBSTITUTE(TRIM(E487),"'","''")&amp;"'")&amp;", p_apellido_paterno =&gt; "&amp;IF(TRIM(F487&amp;"")="","NULL","'"&amp;SUBSTITUTE(TRIM(F487),"'","''")&amp;"'")&amp;", p_apellido_materno =&gt; "&amp;IF(TRIM(G487&amp;"")="","NULL","'"&amp;SUBSTITUTE(TRIM(G487),"'","''")&amp;"'")&amp;", p_id_tipo_documento =&gt; "&amp;IF(TRIM(B487&amp;"")="","NULL","(SELECT lo.id FROM gen_lista_opciones lo JOIN gen_lista l ON l.id = lo.id_lista WHERE l.nombre = 'TipoDocumento' AND upper(lo.nombre) = upper('"&amp;SUBSTITUTE(TRIM(B487),"'","''")&amp;"') AND lo.estado = 1 LIMIT 1)")&amp;", p_numero_documento =&gt; "&amp;IF(TRIM(C487&amp;"")="","NULL","'"&amp;SUBSTITUTE(TRIM(C487),"'","''")&amp;"'")&amp;", p_telefono =&gt; "&amp;IF(TRIM(L487&amp;"")="","NULL","'"&amp;SUBSTITUTE(TRIM(L487),"'","''")&amp;"'")&amp;", p_email =&gt; "&amp;IF(TRIM(M487&amp;"")="","NULL","'"&amp;SUBSTITUTE(TRIM(M487),"'","''")&amp;"'")&amp;", p_observacion =&gt; "&amp;IF(TRIM(O487&amp;"")="","NULL","'"&amp;SUBSTITUTE(TRIM(O487),"'","''")&amp;"'")&amp;", p_direccion =&gt; "&amp;IF(TRIM(J487&amp;"")="","NULL","'"&amp;SUBSTITUTE(TRIM(J487),"'","''")&amp;"'")&amp;", p_referencia =&gt; "&amp;IF(TRIM(K487&amp;"")="","NULL","'"&amp;SUBSTITUTE(TRIM(K487),"'","''")&amp;"'")&amp;") AS resultado_cliente_"&amp;442&amp;";")</f>
        <v/>
      </c>
    </row>
    <row r="488" ht="15.75" customHeight="1" s="64">
      <c r="A488" s="25">
        <f>IF(AND(D488="",E488="",C488=""),"",IF(AND(D488="",E488=""),"FALTA razón social o nombres",IF(AND(C488&lt;&gt;"",COUNTIF($C$5:$C$549,C488)&gt;1),"DOCUMENTO DUPLICADO",IF(AND(B488="DNI",C488&lt;&gt;"",LEN(C488)&lt;&gt;8),"DNI debe tener 8 dígitos",IF(AND(B488="RUC",C488&lt;&gt;"",LEN(C488)&lt;&gt;11),"RUC debe tener 11 dígitos",IF(AND(N488&lt;&gt;"",COUNTIF($N$5:$N$549,N488)&gt;1),"CÓDIGO INTERNO DUPLICADO","OK"))))))</f>
        <v/>
      </c>
      <c r="B488" s="17" t="n"/>
      <c r="C488" s="23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23" t="n"/>
      <c r="M488" s="17" t="n"/>
      <c r="N488" s="23" t="n"/>
      <c r="O488" s="17" t="n"/>
      <c r="P488" s="28">
        <f>IF(A488&lt;&gt;"OK","","SELECT cli_crear_clientes(p_codigo_interno =&gt; "&amp;IF(TRIM(N488&amp;"")="","NULL","'"&amp;SUBSTITUTE(TRIM(N488),"'","''")&amp;"'")&amp;", p_razon_social =&gt; "&amp;IF(TRIM(D488&amp;"")="","NULL","'"&amp;SUBSTITUTE(TRIM(D488),"'","''")&amp;"'")&amp;", p_id_tipo_cliente =&gt; "&amp;IF(TRIM(I488&amp;"")="","NULL","(SELECT lo.id FROM gen_lista_opciones lo JOIN gen_lista l ON l.id = lo.id_lista WHERE l.nombre = 'TipoCliente' AND upper(lo.nombre) = upper('"&amp;SUBSTITUTE(TRIM(I488),"'","''")&amp;"') AND lo.estado = 1 LIMIT 1)")&amp;", p_id_tipo_persona =&gt; "&amp;IF(TRIM(H488&amp;"")="","NULL","(SELECT lo.id FROM gen_lista_opciones lo JOIN gen_lista l ON l.id = lo.id_lista WHERE l.nombre = 'TipoPersona' AND upper(lo.nombre) = upper('"&amp;SUBSTITUTE(TRIM(H488),"'","''")&amp;"') AND lo.estado = 1 LIMIT 1)")&amp;", p_nombres =&gt; "&amp;IF(TRIM(E488&amp;"")="","NULL","'"&amp;SUBSTITUTE(TRIM(E488),"'","''")&amp;"'")&amp;", p_apellido_paterno =&gt; "&amp;IF(TRIM(F488&amp;"")="","NULL","'"&amp;SUBSTITUTE(TRIM(F488),"'","''")&amp;"'")&amp;", p_apellido_materno =&gt; "&amp;IF(TRIM(G488&amp;"")="","NULL","'"&amp;SUBSTITUTE(TRIM(G488),"'","''")&amp;"'")&amp;", p_id_tipo_documento =&gt; "&amp;IF(TRIM(B488&amp;"")="","NULL","(SELECT lo.id FROM gen_lista_opciones lo JOIN gen_lista l ON l.id = lo.id_lista WHERE l.nombre = 'TipoDocumento' AND upper(lo.nombre) = upper('"&amp;SUBSTITUTE(TRIM(B488),"'","''")&amp;"') AND lo.estado = 1 LIMIT 1)")&amp;", p_numero_documento =&gt; "&amp;IF(TRIM(C488&amp;"")="","NULL","'"&amp;SUBSTITUTE(TRIM(C488),"'","''")&amp;"'")&amp;", p_telefono =&gt; "&amp;IF(TRIM(L488&amp;"")="","NULL","'"&amp;SUBSTITUTE(TRIM(L488),"'","''")&amp;"'")&amp;", p_email =&gt; "&amp;IF(TRIM(M488&amp;"")="","NULL","'"&amp;SUBSTITUTE(TRIM(M488),"'","''")&amp;"'")&amp;", p_observacion =&gt; "&amp;IF(TRIM(O488&amp;"")="","NULL","'"&amp;SUBSTITUTE(TRIM(O488),"'","''")&amp;"'")&amp;", p_direccion =&gt; "&amp;IF(TRIM(J488&amp;"")="","NULL","'"&amp;SUBSTITUTE(TRIM(J488),"'","''")&amp;"'")&amp;", p_referencia =&gt; "&amp;IF(TRIM(K488&amp;"")="","NULL","'"&amp;SUBSTITUTE(TRIM(K488),"'","''")&amp;"'")&amp;") AS resultado_cliente_"&amp;443&amp;";")</f>
        <v/>
      </c>
    </row>
    <row r="489" ht="15.75" customHeight="1" s="64">
      <c r="A489" s="25">
        <f>IF(AND(D489="",E489="",C489=""),"",IF(AND(D489="",E489=""),"FALTA razón social o nombres",IF(AND(C489&lt;&gt;"",COUNTIF($C$5:$C$549,C489)&gt;1),"DOCUMENTO DUPLICADO",IF(AND(B489="DNI",C489&lt;&gt;"",LEN(C489)&lt;&gt;8),"DNI debe tener 8 dígitos",IF(AND(B489="RUC",C489&lt;&gt;"",LEN(C489)&lt;&gt;11),"RUC debe tener 11 dígitos",IF(AND(N489&lt;&gt;"",COUNTIF($N$5:$N$549,N489)&gt;1),"CÓDIGO INTERNO DUPLICADO","OK"))))))</f>
        <v/>
      </c>
      <c r="B489" s="17" t="n"/>
      <c r="C489" s="23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23" t="n"/>
      <c r="M489" s="17" t="n"/>
      <c r="N489" s="23" t="n"/>
      <c r="O489" s="17" t="n"/>
      <c r="P489" s="28">
        <f>IF(A489&lt;&gt;"OK","","SELECT cli_crear_clientes(p_codigo_interno =&gt; "&amp;IF(TRIM(N489&amp;"")="","NULL","'"&amp;SUBSTITUTE(TRIM(N489),"'","''")&amp;"'")&amp;", p_razon_social =&gt; "&amp;IF(TRIM(D489&amp;"")="","NULL","'"&amp;SUBSTITUTE(TRIM(D489),"'","''")&amp;"'")&amp;", p_id_tipo_cliente =&gt; "&amp;IF(TRIM(I489&amp;"")="","NULL","(SELECT lo.id FROM gen_lista_opciones lo JOIN gen_lista l ON l.id = lo.id_lista WHERE l.nombre = 'TipoCliente' AND upper(lo.nombre) = upper('"&amp;SUBSTITUTE(TRIM(I489),"'","''")&amp;"') AND lo.estado = 1 LIMIT 1)")&amp;", p_id_tipo_persona =&gt; "&amp;IF(TRIM(H489&amp;"")="","NULL","(SELECT lo.id FROM gen_lista_opciones lo JOIN gen_lista l ON l.id = lo.id_lista WHERE l.nombre = 'TipoPersona' AND upper(lo.nombre) = upper('"&amp;SUBSTITUTE(TRIM(H489),"'","''")&amp;"') AND lo.estado = 1 LIMIT 1)")&amp;", p_nombres =&gt; "&amp;IF(TRIM(E489&amp;"")="","NULL","'"&amp;SUBSTITUTE(TRIM(E489),"'","''")&amp;"'")&amp;", p_apellido_paterno =&gt; "&amp;IF(TRIM(F489&amp;"")="","NULL","'"&amp;SUBSTITUTE(TRIM(F489),"'","''")&amp;"'")&amp;", p_apellido_materno =&gt; "&amp;IF(TRIM(G489&amp;"")="","NULL","'"&amp;SUBSTITUTE(TRIM(G489),"'","''")&amp;"'")&amp;", p_id_tipo_documento =&gt; "&amp;IF(TRIM(B489&amp;"")="","NULL","(SELECT lo.id FROM gen_lista_opciones lo JOIN gen_lista l ON l.id = lo.id_lista WHERE l.nombre = 'TipoDocumento' AND upper(lo.nombre) = upper('"&amp;SUBSTITUTE(TRIM(B489),"'","''")&amp;"') AND lo.estado = 1 LIMIT 1)")&amp;", p_numero_documento =&gt; "&amp;IF(TRIM(C489&amp;"")="","NULL","'"&amp;SUBSTITUTE(TRIM(C489),"'","''")&amp;"'")&amp;", p_telefono =&gt; "&amp;IF(TRIM(L489&amp;"")="","NULL","'"&amp;SUBSTITUTE(TRIM(L489),"'","''")&amp;"'")&amp;", p_email =&gt; "&amp;IF(TRIM(M489&amp;"")="","NULL","'"&amp;SUBSTITUTE(TRIM(M489),"'","''")&amp;"'")&amp;", p_observacion =&gt; "&amp;IF(TRIM(O489&amp;"")="","NULL","'"&amp;SUBSTITUTE(TRIM(O489),"'","''")&amp;"'")&amp;", p_direccion =&gt; "&amp;IF(TRIM(J489&amp;"")="","NULL","'"&amp;SUBSTITUTE(TRIM(J489),"'","''")&amp;"'")&amp;", p_referencia =&gt; "&amp;IF(TRIM(K489&amp;"")="","NULL","'"&amp;SUBSTITUTE(TRIM(K489),"'","''")&amp;"'")&amp;") AS resultado_cliente_"&amp;444&amp;";")</f>
        <v/>
      </c>
    </row>
    <row r="490" ht="15.75" customHeight="1" s="64">
      <c r="A490" s="25">
        <f>IF(AND(D490="",E490="",C490=""),"",IF(AND(D490="",E490=""),"FALTA razón social o nombres",IF(AND(C490&lt;&gt;"",COUNTIF($C$5:$C$549,C490)&gt;1),"DOCUMENTO DUPLICADO",IF(AND(B490="DNI",C490&lt;&gt;"",LEN(C490)&lt;&gt;8),"DNI debe tener 8 dígitos",IF(AND(B490="RUC",C490&lt;&gt;"",LEN(C490)&lt;&gt;11),"RUC debe tener 11 dígitos",IF(AND(N490&lt;&gt;"",COUNTIF($N$5:$N$549,N490)&gt;1),"CÓDIGO INTERNO DUPLICADO","OK"))))))</f>
        <v/>
      </c>
      <c r="B490" s="17" t="n"/>
      <c r="C490" s="23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23" t="n"/>
      <c r="M490" s="17" t="n"/>
      <c r="N490" s="23" t="n"/>
      <c r="O490" s="17" t="n"/>
      <c r="P490" s="28">
        <f>IF(A490&lt;&gt;"OK","","SELECT cli_crear_clientes(p_codigo_interno =&gt; "&amp;IF(TRIM(N490&amp;"")="","NULL","'"&amp;SUBSTITUTE(TRIM(N490),"'","''")&amp;"'")&amp;", p_razon_social =&gt; "&amp;IF(TRIM(D490&amp;"")="","NULL","'"&amp;SUBSTITUTE(TRIM(D490),"'","''")&amp;"'")&amp;", p_id_tipo_cliente =&gt; "&amp;IF(TRIM(I490&amp;"")="","NULL","(SELECT lo.id FROM gen_lista_opciones lo JOIN gen_lista l ON l.id = lo.id_lista WHERE l.nombre = 'TipoCliente' AND upper(lo.nombre) = upper('"&amp;SUBSTITUTE(TRIM(I490),"'","''")&amp;"') AND lo.estado = 1 LIMIT 1)")&amp;", p_id_tipo_persona =&gt; "&amp;IF(TRIM(H490&amp;"")="","NULL","(SELECT lo.id FROM gen_lista_opciones lo JOIN gen_lista l ON l.id = lo.id_lista WHERE l.nombre = 'TipoPersona' AND upper(lo.nombre) = upper('"&amp;SUBSTITUTE(TRIM(H490),"'","''")&amp;"') AND lo.estado = 1 LIMIT 1)")&amp;", p_nombres =&gt; "&amp;IF(TRIM(E490&amp;"")="","NULL","'"&amp;SUBSTITUTE(TRIM(E490),"'","''")&amp;"'")&amp;", p_apellido_paterno =&gt; "&amp;IF(TRIM(F490&amp;"")="","NULL","'"&amp;SUBSTITUTE(TRIM(F490),"'","''")&amp;"'")&amp;", p_apellido_materno =&gt; "&amp;IF(TRIM(G490&amp;"")="","NULL","'"&amp;SUBSTITUTE(TRIM(G490),"'","''")&amp;"'")&amp;", p_id_tipo_documento =&gt; "&amp;IF(TRIM(B490&amp;"")="","NULL","(SELECT lo.id FROM gen_lista_opciones lo JOIN gen_lista l ON l.id = lo.id_lista WHERE l.nombre = 'TipoDocumento' AND upper(lo.nombre) = upper('"&amp;SUBSTITUTE(TRIM(B490),"'","''")&amp;"') AND lo.estado = 1 LIMIT 1)")&amp;", p_numero_documento =&gt; "&amp;IF(TRIM(C490&amp;"")="","NULL","'"&amp;SUBSTITUTE(TRIM(C490),"'","''")&amp;"'")&amp;", p_telefono =&gt; "&amp;IF(TRIM(L490&amp;"")="","NULL","'"&amp;SUBSTITUTE(TRIM(L490),"'","''")&amp;"'")&amp;", p_email =&gt; "&amp;IF(TRIM(M490&amp;"")="","NULL","'"&amp;SUBSTITUTE(TRIM(M490),"'","''")&amp;"'")&amp;", p_observacion =&gt; "&amp;IF(TRIM(O490&amp;"")="","NULL","'"&amp;SUBSTITUTE(TRIM(O490),"'","''")&amp;"'")&amp;", p_direccion =&gt; "&amp;IF(TRIM(J490&amp;"")="","NULL","'"&amp;SUBSTITUTE(TRIM(J490),"'","''")&amp;"'")&amp;", p_referencia =&gt; "&amp;IF(TRIM(K490&amp;"")="","NULL","'"&amp;SUBSTITUTE(TRIM(K490),"'","''")&amp;"'")&amp;") AS resultado_cliente_"&amp;445&amp;";")</f>
        <v/>
      </c>
    </row>
    <row r="491" ht="15.75" customHeight="1" s="64">
      <c r="A491" s="25">
        <f>IF(AND(D491="",E491="",C491=""),"",IF(AND(D491="",E491=""),"FALTA razón social o nombres",IF(AND(C491&lt;&gt;"",COUNTIF($C$5:$C$549,C491)&gt;1),"DOCUMENTO DUPLICADO",IF(AND(B491="DNI",C491&lt;&gt;"",LEN(C491)&lt;&gt;8),"DNI debe tener 8 dígitos",IF(AND(B491="RUC",C491&lt;&gt;"",LEN(C491)&lt;&gt;11),"RUC debe tener 11 dígitos",IF(AND(N491&lt;&gt;"",COUNTIF($N$5:$N$549,N491)&gt;1),"CÓDIGO INTERNO DUPLICADO","OK"))))))</f>
        <v/>
      </c>
      <c r="B491" s="17" t="n"/>
      <c r="C491" s="23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23" t="n"/>
      <c r="M491" s="17" t="n"/>
      <c r="N491" s="23" t="n"/>
      <c r="O491" s="17" t="n"/>
      <c r="P491" s="28">
        <f>IF(A491&lt;&gt;"OK","","SELECT cli_crear_clientes(p_codigo_interno =&gt; "&amp;IF(TRIM(N491&amp;"")="","NULL","'"&amp;SUBSTITUTE(TRIM(N491),"'","''")&amp;"'")&amp;", p_razon_social =&gt; "&amp;IF(TRIM(D491&amp;"")="","NULL","'"&amp;SUBSTITUTE(TRIM(D491),"'","''")&amp;"'")&amp;", p_id_tipo_cliente =&gt; "&amp;IF(TRIM(I491&amp;"")="","NULL","(SELECT lo.id FROM gen_lista_opciones lo JOIN gen_lista l ON l.id = lo.id_lista WHERE l.nombre = 'TipoCliente' AND upper(lo.nombre) = upper('"&amp;SUBSTITUTE(TRIM(I491),"'","''")&amp;"') AND lo.estado = 1 LIMIT 1)")&amp;", p_id_tipo_persona =&gt; "&amp;IF(TRIM(H491&amp;"")="","NULL","(SELECT lo.id FROM gen_lista_opciones lo JOIN gen_lista l ON l.id = lo.id_lista WHERE l.nombre = 'TipoPersona' AND upper(lo.nombre) = upper('"&amp;SUBSTITUTE(TRIM(H491),"'","''")&amp;"') AND lo.estado = 1 LIMIT 1)")&amp;", p_nombres =&gt; "&amp;IF(TRIM(E491&amp;"")="","NULL","'"&amp;SUBSTITUTE(TRIM(E491),"'","''")&amp;"'")&amp;", p_apellido_paterno =&gt; "&amp;IF(TRIM(F491&amp;"")="","NULL","'"&amp;SUBSTITUTE(TRIM(F491),"'","''")&amp;"'")&amp;", p_apellido_materno =&gt; "&amp;IF(TRIM(G491&amp;"")="","NULL","'"&amp;SUBSTITUTE(TRIM(G491),"'","''")&amp;"'")&amp;", p_id_tipo_documento =&gt; "&amp;IF(TRIM(B491&amp;"")="","NULL","(SELECT lo.id FROM gen_lista_opciones lo JOIN gen_lista l ON l.id = lo.id_lista WHERE l.nombre = 'TipoDocumento' AND upper(lo.nombre) = upper('"&amp;SUBSTITUTE(TRIM(B491),"'","''")&amp;"') AND lo.estado = 1 LIMIT 1)")&amp;", p_numero_documento =&gt; "&amp;IF(TRIM(C491&amp;"")="","NULL","'"&amp;SUBSTITUTE(TRIM(C491),"'","''")&amp;"'")&amp;", p_telefono =&gt; "&amp;IF(TRIM(L491&amp;"")="","NULL","'"&amp;SUBSTITUTE(TRIM(L491),"'","''")&amp;"'")&amp;", p_email =&gt; "&amp;IF(TRIM(M491&amp;"")="","NULL","'"&amp;SUBSTITUTE(TRIM(M491),"'","''")&amp;"'")&amp;", p_observacion =&gt; "&amp;IF(TRIM(O491&amp;"")="","NULL","'"&amp;SUBSTITUTE(TRIM(O491),"'","''")&amp;"'")&amp;", p_direccion =&gt; "&amp;IF(TRIM(J491&amp;"")="","NULL","'"&amp;SUBSTITUTE(TRIM(J491),"'","''")&amp;"'")&amp;", p_referencia =&gt; "&amp;IF(TRIM(K491&amp;"")="","NULL","'"&amp;SUBSTITUTE(TRIM(K491),"'","''")&amp;"'")&amp;") AS resultado_cliente_"&amp;446&amp;";")</f>
        <v/>
      </c>
    </row>
    <row r="492" ht="15.75" customHeight="1" s="64">
      <c r="A492" s="25">
        <f>IF(AND(D492="",E492="",C492=""),"",IF(AND(D492="",E492=""),"FALTA razón social o nombres",IF(AND(C492&lt;&gt;"",COUNTIF($C$5:$C$549,C492)&gt;1),"DOCUMENTO DUPLICADO",IF(AND(B492="DNI",C492&lt;&gt;"",LEN(C492)&lt;&gt;8),"DNI debe tener 8 dígitos",IF(AND(B492="RUC",C492&lt;&gt;"",LEN(C492)&lt;&gt;11),"RUC debe tener 11 dígitos",IF(AND(N492&lt;&gt;"",COUNTIF($N$5:$N$549,N492)&gt;1),"CÓDIGO INTERNO DUPLICADO","OK"))))))</f>
        <v/>
      </c>
      <c r="B492" s="17" t="n"/>
      <c r="C492" s="23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23" t="n"/>
      <c r="M492" s="17" t="n"/>
      <c r="N492" s="23" t="n"/>
      <c r="O492" s="17" t="n"/>
      <c r="P492" s="28">
        <f>IF(A492&lt;&gt;"OK","","SELECT cli_crear_clientes(p_codigo_interno =&gt; "&amp;IF(TRIM(N492&amp;"")="","NULL","'"&amp;SUBSTITUTE(TRIM(N492),"'","''")&amp;"'")&amp;", p_razon_social =&gt; "&amp;IF(TRIM(D492&amp;"")="","NULL","'"&amp;SUBSTITUTE(TRIM(D492),"'","''")&amp;"'")&amp;", p_id_tipo_cliente =&gt; "&amp;IF(TRIM(I492&amp;"")="","NULL","(SELECT lo.id FROM gen_lista_opciones lo JOIN gen_lista l ON l.id = lo.id_lista WHERE l.nombre = 'TipoCliente' AND upper(lo.nombre) = upper('"&amp;SUBSTITUTE(TRIM(I492),"'","''")&amp;"') AND lo.estado = 1 LIMIT 1)")&amp;", p_id_tipo_persona =&gt; "&amp;IF(TRIM(H492&amp;"")="","NULL","(SELECT lo.id FROM gen_lista_opciones lo JOIN gen_lista l ON l.id = lo.id_lista WHERE l.nombre = 'TipoPersona' AND upper(lo.nombre) = upper('"&amp;SUBSTITUTE(TRIM(H492),"'","''")&amp;"') AND lo.estado = 1 LIMIT 1)")&amp;", p_nombres =&gt; "&amp;IF(TRIM(E492&amp;"")="","NULL","'"&amp;SUBSTITUTE(TRIM(E492),"'","''")&amp;"'")&amp;", p_apellido_paterno =&gt; "&amp;IF(TRIM(F492&amp;"")="","NULL","'"&amp;SUBSTITUTE(TRIM(F492),"'","''")&amp;"'")&amp;", p_apellido_materno =&gt; "&amp;IF(TRIM(G492&amp;"")="","NULL","'"&amp;SUBSTITUTE(TRIM(G492),"'","''")&amp;"'")&amp;", p_id_tipo_documento =&gt; "&amp;IF(TRIM(B492&amp;"")="","NULL","(SELECT lo.id FROM gen_lista_opciones lo JOIN gen_lista l ON l.id = lo.id_lista WHERE l.nombre = 'TipoDocumento' AND upper(lo.nombre) = upper('"&amp;SUBSTITUTE(TRIM(B492),"'","''")&amp;"') AND lo.estado = 1 LIMIT 1)")&amp;", p_numero_documento =&gt; "&amp;IF(TRIM(C492&amp;"")="","NULL","'"&amp;SUBSTITUTE(TRIM(C492),"'","''")&amp;"'")&amp;", p_telefono =&gt; "&amp;IF(TRIM(L492&amp;"")="","NULL","'"&amp;SUBSTITUTE(TRIM(L492),"'","''")&amp;"'")&amp;", p_email =&gt; "&amp;IF(TRIM(M492&amp;"")="","NULL","'"&amp;SUBSTITUTE(TRIM(M492),"'","''")&amp;"'")&amp;", p_observacion =&gt; "&amp;IF(TRIM(O492&amp;"")="","NULL","'"&amp;SUBSTITUTE(TRIM(O492),"'","''")&amp;"'")&amp;", p_direccion =&gt; "&amp;IF(TRIM(J492&amp;"")="","NULL","'"&amp;SUBSTITUTE(TRIM(J492),"'","''")&amp;"'")&amp;", p_referencia =&gt; "&amp;IF(TRIM(K492&amp;"")="","NULL","'"&amp;SUBSTITUTE(TRIM(K492),"'","''")&amp;"'")&amp;") AS resultado_cliente_"&amp;447&amp;";")</f>
        <v/>
      </c>
    </row>
    <row r="493" ht="15.75" customHeight="1" s="64">
      <c r="A493" s="25">
        <f>IF(AND(D493="",E493="",C493=""),"",IF(AND(D493="",E493=""),"FALTA razón social o nombres",IF(AND(C493&lt;&gt;"",COUNTIF($C$5:$C$549,C493)&gt;1),"DOCUMENTO DUPLICADO",IF(AND(B493="DNI",C493&lt;&gt;"",LEN(C493)&lt;&gt;8),"DNI debe tener 8 dígitos",IF(AND(B493="RUC",C493&lt;&gt;"",LEN(C493)&lt;&gt;11),"RUC debe tener 11 dígitos",IF(AND(N493&lt;&gt;"",COUNTIF($N$5:$N$549,N493)&gt;1),"CÓDIGO INTERNO DUPLICADO","OK"))))))</f>
        <v/>
      </c>
      <c r="B493" s="17" t="n"/>
      <c r="C493" s="23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23" t="n"/>
      <c r="M493" s="17" t="n"/>
      <c r="N493" s="23" t="n"/>
      <c r="O493" s="17" t="n"/>
      <c r="P493" s="28">
        <f>IF(A493&lt;&gt;"OK","","SELECT cli_crear_clientes(p_codigo_interno =&gt; "&amp;IF(TRIM(N493&amp;"")="","NULL","'"&amp;SUBSTITUTE(TRIM(N493),"'","''")&amp;"'")&amp;", p_razon_social =&gt; "&amp;IF(TRIM(D493&amp;"")="","NULL","'"&amp;SUBSTITUTE(TRIM(D493),"'","''")&amp;"'")&amp;", p_id_tipo_cliente =&gt; "&amp;IF(TRIM(I493&amp;"")="","NULL","(SELECT lo.id FROM gen_lista_opciones lo JOIN gen_lista l ON l.id = lo.id_lista WHERE l.nombre = 'TipoCliente' AND upper(lo.nombre) = upper('"&amp;SUBSTITUTE(TRIM(I493),"'","''")&amp;"') AND lo.estado = 1 LIMIT 1)")&amp;", p_id_tipo_persona =&gt; "&amp;IF(TRIM(H493&amp;"")="","NULL","(SELECT lo.id FROM gen_lista_opciones lo JOIN gen_lista l ON l.id = lo.id_lista WHERE l.nombre = 'TipoPersona' AND upper(lo.nombre) = upper('"&amp;SUBSTITUTE(TRIM(H493),"'","''")&amp;"') AND lo.estado = 1 LIMIT 1)")&amp;", p_nombres =&gt; "&amp;IF(TRIM(E493&amp;"")="","NULL","'"&amp;SUBSTITUTE(TRIM(E493),"'","''")&amp;"'")&amp;", p_apellido_paterno =&gt; "&amp;IF(TRIM(F493&amp;"")="","NULL","'"&amp;SUBSTITUTE(TRIM(F493),"'","''")&amp;"'")&amp;", p_apellido_materno =&gt; "&amp;IF(TRIM(G493&amp;"")="","NULL","'"&amp;SUBSTITUTE(TRIM(G493),"'","''")&amp;"'")&amp;", p_id_tipo_documento =&gt; "&amp;IF(TRIM(B493&amp;"")="","NULL","(SELECT lo.id FROM gen_lista_opciones lo JOIN gen_lista l ON l.id = lo.id_lista WHERE l.nombre = 'TipoDocumento' AND upper(lo.nombre) = upper('"&amp;SUBSTITUTE(TRIM(B493),"'","''")&amp;"') AND lo.estado = 1 LIMIT 1)")&amp;", p_numero_documento =&gt; "&amp;IF(TRIM(C493&amp;"")="","NULL","'"&amp;SUBSTITUTE(TRIM(C493),"'","''")&amp;"'")&amp;", p_telefono =&gt; "&amp;IF(TRIM(L493&amp;"")="","NULL","'"&amp;SUBSTITUTE(TRIM(L493),"'","''")&amp;"'")&amp;", p_email =&gt; "&amp;IF(TRIM(M493&amp;"")="","NULL","'"&amp;SUBSTITUTE(TRIM(M493),"'","''")&amp;"'")&amp;", p_observacion =&gt; "&amp;IF(TRIM(O493&amp;"")="","NULL","'"&amp;SUBSTITUTE(TRIM(O493),"'","''")&amp;"'")&amp;", p_direccion =&gt; "&amp;IF(TRIM(J493&amp;"")="","NULL","'"&amp;SUBSTITUTE(TRIM(J493),"'","''")&amp;"'")&amp;", p_referencia =&gt; "&amp;IF(TRIM(K493&amp;"")="","NULL","'"&amp;SUBSTITUTE(TRIM(K493),"'","''")&amp;"'")&amp;") AS resultado_cliente_"&amp;448&amp;";")</f>
        <v/>
      </c>
    </row>
    <row r="494" ht="15.75" customHeight="1" s="64">
      <c r="A494" s="25">
        <f>IF(AND(D494="",E494="",C494=""),"",IF(AND(D494="",E494=""),"FALTA razón social o nombres",IF(AND(C494&lt;&gt;"",COUNTIF($C$5:$C$549,C494)&gt;1),"DOCUMENTO DUPLICADO",IF(AND(B494="DNI",C494&lt;&gt;"",LEN(C494)&lt;&gt;8),"DNI debe tener 8 dígitos",IF(AND(B494="RUC",C494&lt;&gt;"",LEN(C494)&lt;&gt;11),"RUC debe tener 11 dígitos",IF(AND(N494&lt;&gt;"",COUNTIF($N$5:$N$549,N494)&gt;1),"CÓDIGO INTERNO DUPLICADO","OK"))))))</f>
        <v/>
      </c>
      <c r="B494" s="17" t="n"/>
      <c r="C494" s="23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23" t="n"/>
      <c r="M494" s="17" t="n"/>
      <c r="N494" s="23" t="n"/>
      <c r="O494" s="17" t="n"/>
      <c r="P494" s="28">
        <f>IF(A494&lt;&gt;"OK","","SELECT cli_crear_clientes(p_codigo_interno =&gt; "&amp;IF(TRIM(N494&amp;"")="","NULL","'"&amp;SUBSTITUTE(TRIM(N494),"'","''")&amp;"'")&amp;", p_razon_social =&gt; "&amp;IF(TRIM(D494&amp;"")="","NULL","'"&amp;SUBSTITUTE(TRIM(D494),"'","''")&amp;"'")&amp;", p_id_tipo_cliente =&gt; "&amp;IF(TRIM(I494&amp;"")="","NULL","(SELECT lo.id FROM gen_lista_opciones lo JOIN gen_lista l ON l.id = lo.id_lista WHERE l.nombre = 'TipoCliente' AND upper(lo.nombre) = upper('"&amp;SUBSTITUTE(TRIM(I494),"'","''")&amp;"') AND lo.estado = 1 LIMIT 1)")&amp;", p_id_tipo_persona =&gt; "&amp;IF(TRIM(H494&amp;"")="","NULL","(SELECT lo.id FROM gen_lista_opciones lo JOIN gen_lista l ON l.id = lo.id_lista WHERE l.nombre = 'TipoPersona' AND upper(lo.nombre) = upper('"&amp;SUBSTITUTE(TRIM(H494),"'","''")&amp;"') AND lo.estado = 1 LIMIT 1)")&amp;", p_nombres =&gt; "&amp;IF(TRIM(E494&amp;"")="","NULL","'"&amp;SUBSTITUTE(TRIM(E494),"'","''")&amp;"'")&amp;", p_apellido_paterno =&gt; "&amp;IF(TRIM(F494&amp;"")="","NULL","'"&amp;SUBSTITUTE(TRIM(F494),"'","''")&amp;"'")&amp;", p_apellido_materno =&gt; "&amp;IF(TRIM(G494&amp;"")="","NULL","'"&amp;SUBSTITUTE(TRIM(G494),"'","''")&amp;"'")&amp;", p_id_tipo_documento =&gt; "&amp;IF(TRIM(B494&amp;"")="","NULL","(SELECT lo.id FROM gen_lista_opciones lo JOIN gen_lista l ON l.id = lo.id_lista WHERE l.nombre = 'TipoDocumento' AND upper(lo.nombre) = upper('"&amp;SUBSTITUTE(TRIM(B494),"'","''")&amp;"') AND lo.estado = 1 LIMIT 1)")&amp;", p_numero_documento =&gt; "&amp;IF(TRIM(C494&amp;"")="","NULL","'"&amp;SUBSTITUTE(TRIM(C494),"'","''")&amp;"'")&amp;", p_telefono =&gt; "&amp;IF(TRIM(L494&amp;"")="","NULL","'"&amp;SUBSTITUTE(TRIM(L494),"'","''")&amp;"'")&amp;", p_email =&gt; "&amp;IF(TRIM(M494&amp;"")="","NULL","'"&amp;SUBSTITUTE(TRIM(M494),"'","''")&amp;"'")&amp;", p_observacion =&gt; "&amp;IF(TRIM(O494&amp;"")="","NULL","'"&amp;SUBSTITUTE(TRIM(O494),"'","''")&amp;"'")&amp;", p_direccion =&gt; "&amp;IF(TRIM(J494&amp;"")="","NULL","'"&amp;SUBSTITUTE(TRIM(J494),"'","''")&amp;"'")&amp;", p_referencia =&gt; "&amp;IF(TRIM(K494&amp;"")="","NULL","'"&amp;SUBSTITUTE(TRIM(K494),"'","''")&amp;"'")&amp;") AS resultado_cliente_"&amp;449&amp;";")</f>
        <v/>
      </c>
    </row>
    <row r="495" ht="15.75" customHeight="1" s="64">
      <c r="A495" s="25">
        <f>IF(AND(D495="",E495="",C495=""),"",IF(AND(D495="",E495=""),"FALTA razón social o nombres",IF(AND(C495&lt;&gt;"",COUNTIF($C$5:$C$549,C495)&gt;1),"DOCUMENTO DUPLICADO",IF(AND(B495="DNI",C495&lt;&gt;"",LEN(C495)&lt;&gt;8),"DNI debe tener 8 dígitos",IF(AND(B495="RUC",C495&lt;&gt;"",LEN(C495)&lt;&gt;11),"RUC debe tener 11 dígitos",IF(AND(N495&lt;&gt;"",COUNTIF($N$5:$N$549,N495)&gt;1),"CÓDIGO INTERNO DUPLICADO","OK"))))))</f>
        <v/>
      </c>
      <c r="B495" s="17" t="n"/>
      <c r="C495" s="23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23" t="n"/>
      <c r="M495" s="17" t="n"/>
      <c r="N495" s="23" t="n"/>
      <c r="O495" s="17" t="n"/>
      <c r="P495" s="28">
        <f>IF(A495&lt;&gt;"OK","","SELECT cli_crear_clientes(p_codigo_interno =&gt; "&amp;IF(TRIM(N495&amp;"")="","NULL","'"&amp;SUBSTITUTE(TRIM(N495),"'","''")&amp;"'")&amp;", p_razon_social =&gt; "&amp;IF(TRIM(D495&amp;"")="","NULL","'"&amp;SUBSTITUTE(TRIM(D495),"'","''")&amp;"'")&amp;", p_id_tipo_cliente =&gt; "&amp;IF(TRIM(I495&amp;"")="","NULL","(SELECT lo.id FROM gen_lista_opciones lo JOIN gen_lista l ON l.id = lo.id_lista WHERE l.nombre = 'TipoCliente' AND upper(lo.nombre) = upper('"&amp;SUBSTITUTE(TRIM(I495),"'","''")&amp;"') AND lo.estado = 1 LIMIT 1)")&amp;", p_id_tipo_persona =&gt; "&amp;IF(TRIM(H495&amp;"")="","NULL","(SELECT lo.id FROM gen_lista_opciones lo JOIN gen_lista l ON l.id = lo.id_lista WHERE l.nombre = 'TipoPersona' AND upper(lo.nombre) = upper('"&amp;SUBSTITUTE(TRIM(H495),"'","''")&amp;"') AND lo.estado = 1 LIMIT 1)")&amp;", p_nombres =&gt; "&amp;IF(TRIM(E495&amp;"")="","NULL","'"&amp;SUBSTITUTE(TRIM(E495),"'","''")&amp;"'")&amp;", p_apellido_paterno =&gt; "&amp;IF(TRIM(F495&amp;"")="","NULL","'"&amp;SUBSTITUTE(TRIM(F495),"'","''")&amp;"'")&amp;", p_apellido_materno =&gt; "&amp;IF(TRIM(G495&amp;"")="","NULL","'"&amp;SUBSTITUTE(TRIM(G495),"'","''")&amp;"'")&amp;", p_id_tipo_documento =&gt; "&amp;IF(TRIM(B495&amp;"")="","NULL","(SELECT lo.id FROM gen_lista_opciones lo JOIN gen_lista l ON l.id = lo.id_lista WHERE l.nombre = 'TipoDocumento' AND upper(lo.nombre) = upper('"&amp;SUBSTITUTE(TRIM(B495),"'","''")&amp;"') AND lo.estado = 1 LIMIT 1)")&amp;", p_numero_documento =&gt; "&amp;IF(TRIM(C495&amp;"")="","NULL","'"&amp;SUBSTITUTE(TRIM(C495),"'","''")&amp;"'")&amp;", p_telefono =&gt; "&amp;IF(TRIM(L495&amp;"")="","NULL","'"&amp;SUBSTITUTE(TRIM(L495),"'","''")&amp;"'")&amp;", p_email =&gt; "&amp;IF(TRIM(M495&amp;"")="","NULL","'"&amp;SUBSTITUTE(TRIM(M495),"'","''")&amp;"'")&amp;", p_observacion =&gt; "&amp;IF(TRIM(O495&amp;"")="","NULL","'"&amp;SUBSTITUTE(TRIM(O495),"'","''")&amp;"'")&amp;", p_direccion =&gt; "&amp;IF(TRIM(J495&amp;"")="","NULL","'"&amp;SUBSTITUTE(TRIM(J495),"'","''")&amp;"'")&amp;", p_referencia =&gt; "&amp;IF(TRIM(K495&amp;"")="","NULL","'"&amp;SUBSTITUTE(TRIM(K495),"'","''")&amp;"'")&amp;") AS resultado_cliente_"&amp;450&amp;";")</f>
        <v/>
      </c>
    </row>
    <row r="496" ht="15.75" customHeight="1" s="64">
      <c r="A496" s="25">
        <f>IF(AND(D496="",E496="",C496=""),"",IF(AND(D496="",E496=""),"FALTA razón social o nombres",IF(AND(C496&lt;&gt;"",COUNTIF($C$5:$C$549,C496)&gt;1),"DOCUMENTO DUPLICADO",IF(AND(B496="DNI",C496&lt;&gt;"",LEN(C496)&lt;&gt;8),"DNI debe tener 8 dígitos",IF(AND(B496="RUC",C496&lt;&gt;"",LEN(C496)&lt;&gt;11),"RUC debe tener 11 dígitos",IF(AND(N496&lt;&gt;"",COUNTIF($N$5:$N$549,N496)&gt;1),"CÓDIGO INTERNO DUPLICADO","OK"))))))</f>
        <v/>
      </c>
      <c r="B496" s="17" t="n"/>
      <c r="C496" s="23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23" t="n"/>
      <c r="M496" s="17" t="n"/>
      <c r="N496" s="23" t="n"/>
      <c r="O496" s="17" t="n"/>
      <c r="P496" s="28">
        <f>IF(A496&lt;&gt;"OK","","SELECT cli_crear_clientes(p_codigo_interno =&gt; "&amp;IF(TRIM(N496&amp;"")="","NULL","'"&amp;SUBSTITUTE(TRIM(N496),"'","''")&amp;"'")&amp;", p_razon_social =&gt; "&amp;IF(TRIM(D496&amp;"")="","NULL","'"&amp;SUBSTITUTE(TRIM(D496),"'","''")&amp;"'")&amp;", p_id_tipo_cliente =&gt; "&amp;IF(TRIM(I496&amp;"")="","NULL","(SELECT lo.id FROM gen_lista_opciones lo JOIN gen_lista l ON l.id = lo.id_lista WHERE l.nombre = 'TipoCliente' AND upper(lo.nombre) = upper('"&amp;SUBSTITUTE(TRIM(I496),"'","''")&amp;"') AND lo.estado = 1 LIMIT 1)")&amp;", p_id_tipo_persona =&gt; "&amp;IF(TRIM(H496&amp;"")="","NULL","(SELECT lo.id FROM gen_lista_opciones lo JOIN gen_lista l ON l.id = lo.id_lista WHERE l.nombre = 'TipoPersona' AND upper(lo.nombre) = upper('"&amp;SUBSTITUTE(TRIM(H496),"'","''")&amp;"') AND lo.estado = 1 LIMIT 1)")&amp;", p_nombres =&gt; "&amp;IF(TRIM(E496&amp;"")="","NULL","'"&amp;SUBSTITUTE(TRIM(E496),"'","''")&amp;"'")&amp;", p_apellido_paterno =&gt; "&amp;IF(TRIM(F496&amp;"")="","NULL","'"&amp;SUBSTITUTE(TRIM(F496),"'","''")&amp;"'")&amp;", p_apellido_materno =&gt; "&amp;IF(TRIM(G496&amp;"")="","NULL","'"&amp;SUBSTITUTE(TRIM(G496),"'","''")&amp;"'")&amp;", p_id_tipo_documento =&gt; "&amp;IF(TRIM(B496&amp;"")="","NULL","(SELECT lo.id FROM gen_lista_opciones lo JOIN gen_lista l ON l.id = lo.id_lista WHERE l.nombre = 'TipoDocumento' AND upper(lo.nombre) = upper('"&amp;SUBSTITUTE(TRIM(B496),"'","''")&amp;"') AND lo.estado = 1 LIMIT 1)")&amp;", p_numero_documento =&gt; "&amp;IF(TRIM(C496&amp;"")="","NULL","'"&amp;SUBSTITUTE(TRIM(C496),"'","''")&amp;"'")&amp;", p_telefono =&gt; "&amp;IF(TRIM(L496&amp;"")="","NULL","'"&amp;SUBSTITUTE(TRIM(L496),"'","''")&amp;"'")&amp;", p_email =&gt; "&amp;IF(TRIM(M496&amp;"")="","NULL","'"&amp;SUBSTITUTE(TRIM(M496),"'","''")&amp;"'")&amp;", p_observacion =&gt; "&amp;IF(TRIM(O496&amp;"")="","NULL","'"&amp;SUBSTITUTE(TRIM(O496),"'","''")&amp;"'")&amp;", p_direccion =&gt; "&amp;IF(TRIM(J496&amp;"")="","NULL","'"&amp;SUBSTITUTE(TRIM(J496),"'","''")&amp;"'")&amp;", p_referencia =&gt; "&amp;IF(TRIM(K496&amp;"")="","NULL","'"&amp;SUBSTITUTE(TRIM(K496),"'","''")&amp;"'")&amp;") AS resultado_cliente_"&amp;451&amp;";")</f>
        <v/>
      </c>
    </row>
    <row r="497" ht="15.75" customHeight="1" s="64">
      <c r="A497" s="25">
        <f>IF(AND(D497="",E497="",C497=""),"",IF(AND(D497="",E497=""),"FALTA razón social o nombres",IF(AND(C497&lt;&gt;"",COUNTIF($C$5:$C$549,C497)&gt;1),"DOCUMENTO DUPLICADO",IF(AND(B497="DNI",C497&lt;&gt;"",LEN(C497)&lt;&gt;8),"DNI debe tener 8 dígitos",IF(AND(B497="RUC",C497&lt;&gt;"",LEN(C497)&lt;&gt;11),"RUC debe tener 11 dígitos",IF(AND(N497&lt;&gt;"",COUNTIF($N$5:$N$549,N497)&gt;1),"CÓDIGO INTERNO DUPLICADO","OK"))))))</f>
        <v/>
      </c>
      <c r="B497" s="17" t="n"/>
      <c r="C497" s="23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23" t="n"/>
      <c r="M497" s="17" t="n"/>
      <c r="N497" s="23" t="n"/>
      <c r="O497" s="17" t="n"/>
      <c r="P497" s="28">
        <f>IF(A497&lt;&gt;"OK","","SELECT cli_crear_clientes(p_codigo_interno =&gt; "&amp;IF(TRIM(N497&amp;"")="","NULL","'"&amp;SUBSTITUTE(TRIM(N497),"'","''")&amp;"'")&amp;", p_razon_social =&gt; "&amp;IF(TRIM(D497&amp;"")="","NULL","'"&amp;SUBSTITUTE(TRIM(D497),"'","''")&amp;"'")&amp;", p_id_tipo_cliente =&gt; "&amp;IF(TRIM(I497&amp;"")="","NULL","(SELECT lo.id FROM gen_lista_opciones lo JOIN gen_lista l ON l.id = lo.id_lista WHERE l.nombre = 'TipoCliente' AND upper(lo.nombre) = upper('"&amp;SUBSTITUTE(TRIM(I497),"'","''")&amp;"') AND lo.estado = 1 LIMIT 1)")&amp;", p_id_tipo_persona =&gt; "&amp;IF(TRIM(H497&amp;"")="","NULL","(SELECT lo.id FROM gen_lista_opciones lo JOIN gen_lista l ON l.id = lo.id_lista WHERE l.nombre = 'TipoPersona' AND upper(lo.nombre) = upper('"&amp;SUBSTITUTE(TRIM(H497),"'","''")&amp;"') AND lo.estado = 1 LIMIT 1)")&amp;", p_nombres =&gt; "&amp;IF(TRIM(E497&amp;"")="","NULL","'"&amp;SUBSTITUTE(TRIM(E497),"'","''")&amp;"'")&amp;", p_apellido_paterno =&gt; "&amp;IF(TRIM(F497&amp;"")="","NULL","'"&amp;SUBSTITUTE(TRIM(F497),"'","''")&amp;"'")&amp;", p_apellido_materno =&gt; "&amp;IF(TRIM(G497&amp;"")="","NULL","'"&amp;SUBSTITUTE(TRIM(G497),"'","''")&amp;"'")&amp;", p_id_tipo_documento =&gt; "&amp;IF(TRIM(B497&amp;"")="","NULL","(SELECT lo.id FROM gen_lista_opciones lo JOIN gen_lista l ON l.id = lo.id_lista WHERE l.nombre = 'TipoDocumento' AND upper(lo.nombre) = upper('"&amp;SUBSTITUTE(TRIM(B497),"'","''")&amp;"') AND lo.estado = 1 LIMIT 1)")&amp;", p_numero_documento =&gt; "&amp;IF(TRIM(C497&amp;"")="","NULL","'"&amp;SUBSTITUTE(TRIM(C497),"'","''")&amp;"'")&amp;", p_telefono =&gt; "&amp;IF(TRIM(L497&amp;"")="","NULL","'"&amp;SUBSTITUTE(TRIM(L497),"'","''")&amp;"'")&amp;", p_email =&gt; "&amp;IF(TRIM(M497&amp;"")="","NULL","'"&amp;SUBSTITUTE(TRIM(M497),"'","''")&amp;"'")&amp;", p_observacion =&gt; "&amp;IF(TRIM(O497&amp;"")="","NULL","'"&amp;SUBSTITUTE(TRIM(O497),"'","''")&amp;"'")&amp;", p_direccion =&gt; "&amp;IF(TRIM(J497&amp;"")="","NULL","'"&amp;SUBSTITUTE(TRIM(J497),"'","''")&amp;"'")&amp;", p_referencia =&gt; "&amp;IF(TRIM(K497&amp;"")="","NULL","'"&amp;SUBSTITUTE(TRIM(K497),"'","''")&amp;"'")&amp;") AS resultado_cliente_"&amp;452&amp;";")</f>
        <v/>
      </c>
    </row>
    <row r="498" ht="15.75" customHeight="1" s="64">
      <c r="A498" s="25">
        <f>IF(AND(D498="",E498="",C498=""),"",IF(AND(D498="",E498=""),"FALTA razón social o nombres",IF(AND(C498&lt;&gt;"",COUNTIF($C$5:$C$549,C498)&gt;1),"DOCUMENTO DUPLICADO",IF(AND(B498="DNI",C498&lt;&gt;"",LEN(C498)&lt;&gt;8),"DNI debe tener 8 dígitos",IF(AND(B498="RUC",C498&lt;&gt;"",LEN(C498)&lt;&gt;11),"RUC debe tener 11 dígitos",IF(AND(N498&lt;&gt;"",COUNTIF($N$5:$N$549,N498)&gt;1),"CÓDIGO INTERNO DUPLICADO","OK"))))))</f>
        <v/>
      </c>
      <c r="B498" s="17" t="n"/>
      <c r="C498" s="23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23" t="n"/>
      <c r="M498" s="17" t="n"/>
      <c r="N498" s="23" t="n"/>
      <c r="O498" s="17" t="n"/>
      <c r="P498" s="28">
        <f>IF(A498&lt;&gt;"OK","","SELECT cli_crear_clientes(p_codigo_interno =&gt; "&amp;IF(TRIM(N498&amp;"")="","NULL","'"&amp;SUBSTITUTE(TRIM(N498),"'","''")&amp;"'")&amp;", p_razon_social =&gt; "&amp;IF(TRIM(D498&amp;"")="","NULL","'"&amp;SUBSTITUTE(TRIM(D498),"'","''")&amp;"'")&amp;", p_id_tipo_cliente =&gt; "&amp;IF(TRIM(I498&amp;"")="","NULL","(SELECT lo.id FROM gen_lista_opciones lo JOIN gen_lista l ON l.id = lo.id_lista WHERE l.nombre = 'TipoCliente' AND upper(lo.nombre) = upper('"&amp;SUBSTITUTE(TRIM(I498),"'","''")&amp;"') AND lo.estado = 1 LIMIT 1)")&amp;", p_id_tipo_persona =&gt; "&amp;IF(TRIM(H498&amp;"")="","NULL","(SELECT lo.id FROM gen_lista_opciones lo JOIN gen_lista l ON l.id = lo.id_lista WHERE l.nombre = 'TipoPersona' AND upper(lo.nombre) = upper('"&amp;SUBSTITUTE(TRIM(H498),"'","''")&amp;"') AND lo.estado = 1 LIMIT 1)")&amp;", p_nombres =&gt; "&amp;IF(TRIM(E498&amp;"")="","NULL","'"&amp;SUBSTITUTE(TRIM(E498),"'","''")&amp;"'")&amp;", p_apellido_paterno =&gt; "&amp;IF(TRIM(F498&amp;"")="","NULL","'"&amp;SUBSTITUTE(TRIM(F498),"'","''")&amp;"'")&amp;", p_apellido_materno =&gt; "&amp;IF(TRIM(G498&amp;"")="","NULL","'"&amp;SUBSTITUTE(TRIM(G498),"'","''")&amp;"'")&amp;", p_id_tipo_documento =&gt; "&amp;IF(TRIM(B498&amp;"")="","NULL","(SELECT lo.id FROM gen_lista_opciones lo JOIN gen_lista l ON l.id = lo.id_lista WHERE l.nombre = 'TipoDocumento' AND upper(lo.nombre) = upper('"&amp;SUBSTITUTE(TRIM(B498),"'","''")&amp;"') AND lo.estado = 1 LIMIT 1)")&amp;", p_numero_documento =&gt; "&amp;IF(TRIM(C498&amp;"")="","NULL","'"&amp;SUBSTITUTE(TRIM(C498),"'","''")&amp;"'")&amp;", p_telefono =&gt; "&amp;IF(TRIM(L498&amp;"")="","NULL","'"&amp;SUBSTITUTE(TRIM(L498),"'","''")&amp;"'")&amp;", p_email =&gt; "&amp;IF(TRIM(M498&amp;"")="","NULL","'"&amp;SUBSTITUTE(TRIM(M498),"'","''")&amp;"'")&amp;", p_observacion =&gt; "&amp;IF(TRIM(O498&amp;"")="","NULL","'"&amp;SUBSTITUTE(TRIM(O498),"'","''")&amp;"'")&amp;", p_direccion =&gt; "&amp;IF(TRIM(J498&amp;"")="","NULL","'"&amp;SUBSTITUTE(TRIM(J498),"'","''")&amp;"'")&amp;", p_referencia =&gt; "&amp;IF(TRIM(K498&amp;"")="","NULL","'"&amp;SUBSTITUTE(TRIM(K498),"'","''")&amp;"'")&amp;") AS resultado_cliente_"&amp;453&amp;";")</f>
        <v/>
      </c>
    </row>
    <row r="499" ht="15.75" customHeight="1" s="64">
      <c r="A499" s="25">
        <f>IF(AND(D499="",E499="",C499=""),"",IF(AND(D499="",E499=""),"FALTA razón social o nombres",IF(AND(C499&lt;&gt;"",COUNTIF($C$5:$C$549,C499)&gt;1),"DOCUMENTO DUPLICADO",IF(AND(B499="DNI",C499&lt;&gt;"",LEN(C499)&lt;&gt;8),"DNI debe tener 8 dígitos",IF(AND(B499="RUC",C499&lt;&gt;"",LEN(C499)&lt;&gt;11),"RUC debe tener 11 dígitos",IF(AND(N499&lt;&gt;"",COUNTIF($N$5:$N$549,N499)&gt;1),"CÓDIGO INTERNO DUPLICADO","OK"))))))</f>
        <v/>
      </c>
      <c r="B499" s="17" t="n"/>
      <c r="C499" s="23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23" t="n"/>
      <c r="M499" s="17" t="n"/>
      <c r="N499" s="23" t="n"/>
      <c r="O499" s="17" t="n"/>
      <c r="P499" s="28">
        <f>IF(A499&lt;&gt;"OK","","SELECT cli_crear_clientes(p_codigo_interno =&gt; "&amp;IF(TRIM(N499&amp;"")="","NULL","'"&amp;SUBSTITUTE(TRIM(N499),"'","''")&amp;"'")&amp;", p_razon_social =&gt; "&amp;IF(TRIM(D499&amp;"")="","NULL","'"&amp;SUBSTITUTE(TRIM(D499),"'","''")&amp;"'")&amp;", p_id_tipo_cliente =&gt; "&amp;IF(TRIM(I499&amp;"")="","NULL","(SELECT lo.id FROM gen_lista_opciones lo JOIN gen_lista l ON l.id = lo.id_lista WHERE l.nombre = 'TipoCliente' AND upper(lo.nombre) = upper('"&amp;SUBSTITUTE(TRIM(I499),"'","''")&amp;"') AND lo.estado = 1 LIMIT 1)")&amp;", p_id_tipo_persona =&gt; "&amp;IF(TRIM(H499&amp;"")="","NULL","(SELECT lo.id FROM gen_lista_opciones lo JOIN gen_lista l ON l.id = lo.id_lista WHERE l.nombre = 'TipoPersona' AND upper(lo.nombre) = upper('"&amp;SUBSTITUTE(TRIM(H499),"'","''")&amp;"') AND lo.estado = 1 LIMIT 1)")&amp;", p_nombres =&gt; "&amp;IF(TRIM(E499&amp;"")="","NULL","'"&amp;SUBSTITUTE(TRIM(E499),"'","''")&amp;"'")&amp;", p_apellido_paterno =&gt; "&amp;IF(TRIM(F499&amp;"")="","NULL","'"&amp;SUBSTITUTE(TRIM(F499),"'","''")&amp;"'")&amp;", p_apellido_materno =&gt; "&amp;IF(TRIM(G499&amp;"")="","NULL","'"&amp;SUBSTITUTE(TRIM(G499),"'","''")&amp;"'")&amp;", p_id_tipo_documento =&gt; "&amp;IF(TRIM(B499&amp;"")="","NULL","(SELECT lo.id FROM gen_lista_opciones lo JOIN gen_lista l ON l.id = lo.id_lista WHERE l.nombre = 'TipoDocumento' AND upper(lo.nombre) = upper('"&amp;SUBSTITUTE(TRIM(B499),"'","''")&amp;"') AND lo.estado = 1 LIMIT 1)")&amp;", p_numero_documento =&gt; "&amp;IF(TRIM(C499&amp;"")="","NULL","'"&amp;SUBSTITUTE(TRIM(C499),"'","''")&amp;"'")&amp;", p_telefono =&gt; "&amp;IF(TRIM(L499&amp;"")="","NULL","'"&amp;SUBSTITUTE(TRIM(L499),"'","''")&amp;"'")&amp;", p_email =&gt; "&amp;IF(TRIM(M499&amp;"")="","NULL","'"&amp;SUBSTITUTE(TRIM(M499),"'","''")&amp;"'")&amp;", p_observacion =&gt; "&amp;IF(TRIM(O499&amp;"")="","NULL","'"&amp;SUBSTITUTE(TRIM(O499),"'","''")&amp;"'")&amp;", p_direccion =&gt; "&amp;IF(TRIM(J499&amp;"")="","NULL","'"&amp;SUBSTITUTE(TRIM(J499),"'","''")&amp;"'")&amp;", p_referencia =&gt; "&amp;IF(TRIM(K499&amp;"")="","NULL","'"&amp;SUBSTITUTE(TRIM(K499),"'","''")&amp;"'")&amp;") AS resultado_cliente_"&amp;454&amp;";")</f>
        <v/>
      </c>
    </row>
    <row r="500" ht="15.75" customHeight="1" s="64">
      <c r="A500" s="25">
        <f>IF(AND(D500="",E500="",C500=""),"",IF(AND(D500="",E500=""),"FALTA razón social o nombres",IF(AND(C500&lt;&gt;"",COUNTIF($C$5:$C$549,C500)&gt;1),"DOCUMENTO DUPLICADO",IF(AND(B500="DNI",C500&lt;&gt;"",LEN(C500)&lt;&gt;8),"DNI debe tener 8 dígitos",IF(AND(B500="RUC",C500&lt;&gt;"",LEN(C500)&lt;&gt;11),"RUC debe tener 11 dígitos",IF(AND(N500&lt;&gt;"",COUNTIF($N$5:$N$549,N500)&gt;1),"CÓDIGO INTERNO DUPLICADO","OK"))))))</f>
        <v/>
      </c>
      <c r="B500" s="17" t="n"/>
      <c r="C500" s="23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23" t="n"/>
      <c r="M500" s="17" t="n"/>
      <c r="N500" s="23" t="n"/>
      <c r="O500" s="17" t="n"/>
      <c r="P500" s="28">
        <f>IF(A500&lt;&gt;"OK","","SELECT cli_crear_clientes(p_codigo_interno =&gt; "&amp;IF(TRIM(N500&amp;"")="","NULL","'"&amp;SUBSTITUTE(TRIM(N500),"'","''")&amp;"'")&amp;", p_razon_social =&gt; "&amp;IF(TRIM(D500&amp;"")="","NULL","'"&amp;SUBSTITUTE(TRIM(D500),"'","''")&amp;"'")&amp;", p_id_tipo_cliente =&gt; "&amp;IF(TRIM(I500&amp;"")="","NULL","(SELECT lo.id FROM gen_lista_opciones lo JOIN gen_lista l ON l.id = lo.id_lista WHERE l.nombre = 'TipoCliente' AND upper(lo.nombre) = upper('"&amp;SUBSTITUTE(TRIM(I500),"'","''")&amp;"') AND lo.estado = 1 LIMIT 1)")&amp;", p_id_tipo_persona =&gt; "&amp;IF(TRIM(H500&amp;"")="","NULL","(SELECT lo.id FROM gen_lista_opciones lo JOIN gen_lista l ON l.id = lo.id_lista WHERE l.nombre = 'TipoPersona' AND upper(lo.nombre) = upper('"&amp;SUBSTITUTE(TRIM(H500),"'","''")&amp;"') AND lo.estado = 1 LIMIT 1)")&amp;", p_nombres =&gt; "&amp;IF(TRIM(E500&amp;"")="","NULL","'"&amp;SUBSTITUTE(TRIM(E500),"'","''")&amp;"'")&amp;", p_apellido_paterno =&gt; "&amp;IF(TRIM(F500&amp;"")="","NULL","'"&amp;SUBSTITUTE(TRIM(F500),"'","''")&amp;"'")&amp;", p_apellido_materno =&gt; "&amp;IF(TRIM(G500&amp;"")="","NULL","'"&amp;SUBSTITUTE(TRIM(G500),"'","''")&amp;"'")&amp;", p_id_tipo_documento =&gt; "&amp;IF(TRIM(B500&amp;"")="","NULL","(SELECT lo.id FROM gen_lista_opciones lo JOIN gen_lista l ON l.id = lo.id_lista WHERE l.nombre = 'TipoDocumento' AND upper(lo.nombre) = upper('"&amp;SUBSTITUTE(TRIM(B500),"'","''")&amp;"') AND lo.estado = 1 LIMIT 1)")&amp;", p_numero_documento =&gt; "&amp;IF(TRIM(C500&amp;"")="","NULL","'"&amp;SUBSTITUTE(TRIM(C500),"'","''")&amp;"'")&amp;", p_telefono =&gt; "&amp;IF(TRIM(L500&amp;"")="","NULL","'"&amp;SUBSTITUTE(TRIM(L500),"'","''")&amp;"'")&amp;", p_email =&gt; "&amp;IF(TRIM(M500&amp;"")="","NULL","'"&amp;SUBSTITUTE(TRIM(M500),"'","''")&amp;"'")&amp;", p_observacion =&gt; "&amp;IF(TRIM(O500&amp;"")="","NULL","'"&amp;SUBSTITUTE(TRIM(O500),"'","''")&amp;"'")&amp;", p_direccion =&gt; "&amp;IF(TRIM(J500&amp;"")="","NULL","'"&amp;SUBSTITUTE(TRIM(J500),"'","''")&amp;"'")&amp;", p_referencia =&gt; "&amp;IF(TRIM(K500&amp;"")="","NULL","'"&amp;SUBSTITUTE(TRIM(K500),"'","''")&amp;"'")&amp;") AS resultado_cliente_"&amp;455&amp;";")</f>
        <v/>
      </c>
    </row>
    <row r="501" ht="15.75" customHeight="1" s="64">
      <c r="A501" s="25">
        <f>IF(AND(D501="",E501="",C501=""),"",IF(AND(D501="",E501=""),"FALTA razón social o nombres",IF(AND(C501&lt;&gt;"",COUNTIF($C$5:$C$549,C501)&gt;1),"DOCUMENTO DUPLICADO",IF(AND(B501="DNI",C501&lt;&gt;"",LEN(C501)&lt;&gt;8),"DNI debe tener 8 dígitos",IF(AND(B501="RUC",C501&lt;&gt;"",LEN(C501)&lt;&gt;11),"RUC debe tener 11 dígitos",IF(AND(N501&lt;&gt;"",COUNTIF($N$5:$N$549,N501)&gt;1),"CÓDIGO INTERNO DUPLICADO","OK"))))))</f>
        <v/>
      </c>
      <c r="B501" s="17" t="n"/>
      <c r="C501" s="23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23" t="n"/>
      <c r="M501" s="17" t="n"/>
      <c r="N501" s="23" t="n"/>
      <c r="O501" s="17" t="n"/>
      <c r="P501" s="28">
        <f>IF(A501&lt;&gt;"OK","","SELECT cli_crear_clientes(p_codigo_interno =&gt; "&amp;IF(TRIM(N501&amp;"")="","NULL","'"&amp;SUBSTITUTE(TRIM(N501),"'","''")&amp;"'")&amp;", p_razon_social =&gt; "&amp;IF(TRIM(D501&amp;"")="","NULL","'"&amp;SUBSTITUTE(TRIM(D501),"'","''")&amp;"'")&amp;", p_id_tipo_cliente =&gt; "&amp;IF(TRIM(I501&amp;"")="","NULL","(SELECT lo.id FROM gen_lista_opciones lo JOIN gen_lista l ON l.id = lo.id_lista WHERE l.nombre = 'TipoCliente' AND upper(lo.nombre) = upper('"&amp;SUBSTITUTE(TRIM(I501),"'","''")&amp;"') AND lo.estado = 1 LIMIT 1)")&amp;", p_id_tipo_persona =&gt; "&amp;IF(TRIM(H501&amp;"")="","NULL","(SELECT lo.id FROM gen_lista_opciones lo JOIN gen_lista l ON l.id = lo.id_lista WHERE l.nombre = 'TipoPersona' AND upper(lo.nombre) = upper('"&amp;SUBSTITUTE(TRIM(H501),"'","''")&amp;"') AND lo.estado = 1 LIMIT 1)")&amp;", p_nombres =&gt; "&amp;IF(TRIM(E501&amp;"")="","NULL","'"&amp;SUBSTITUTE(TRIM(E501),"'","''")&amp;"'")&amp;", p_apellido_paterno =&gt; "&amp;IF(TRIM(F501&amp;"")="","NULL","'"&amp;SUBSTITUTE(TRIM(F501),"'","''")&amp;"'")&amp;", p_apellido_materno =&gt; "&amp;IF(TRIM(G501&amp;"")="","NULL","'"&amp;SUBSTITUTE(TRIM(G501),"'","''")&amp;"'")&amp;", p_id_tipo_documento =&gt; "&amp;IF(TRIM(B501&amp;"")="","NULL","(SELECT lo.id FROM gen_lista_opciones lo JOIN gen_lista l ON l.id = lo.id_lista WHERE l.nombre = 'TipoDocumento' AND upper(lo.nombre) = upper('"&amp;SUBSTITUTE(TRIM(B501),"'","''")&amp;"') AND lo.estado = 1 LIMIT 1)")&amp;", p_numero_documento =&gt; "&amp;IF(TRIM(C501&amp;"")="","NULL","'"&amp;SUBSTITUTE(TRIM(C501),"'","''")&amp;"'")&amp;", p_telefono =&gt; "&amp;IF(TRIM(L501&amp;"")="","NULL","'"&amp;SUBSTITUTE(TRIM(L501),"'","''")&amp;"'")&amp;", p_email =&gt; "&amp;IF(TRIM(M501&amp;"")="","NULL","'"&amp;SUBSTITUTE(TRIM(M501),"'","''")&amp;"'")&amp;", p_observacion =&gt; "&amp;IF(TRIM(O501&amp;"")="","NULL","'"&amp;SUBSTITUTE(TRIM(O501),"'","''")&amp;"'")&amp;", p_direccion =&gt; "&amp;IF(TRIM(J501&amp;"")="","NULL","'"&amp;SUBSTITUTE(TRIM(J501),"'","''")&amp;"'")&amp;", p_referencia =&gt; "&amp;IF(TRIM(K501&amp;"")="","NULL","'"&amp;SUBSTITUTE(TRIM(K501),"'","''")&amp;"'")&amp;") AS resultado_cliente_"&amp;456&amp;";")</f>
        <v/>
      </c>
    </row>
    <row r="502" ht="15.75" customHeight="1" s="64">
      <c r="A502" s="25">
        <f>IF(AND(D502="",E502="",C502=""),"",IF(AND(D502="",E502=""),"FALTA razón social o nombres",IF(AND(C502&lt;&gt;"",COUNTIF($C$5:$C$549,C502)&gt;1),"DOCUMENTO DUPLICADO",IF(AND(B502="DNI",C502&lt;&gt;"",LEN(C502)&lt;&gt;8),"DNI debe tener 8 dígitos",IF(AND(B502="RUC",C502&lt;&gt;"",LEN(C502)&lt;&gt;11),"RUC debe tener 11 dígitos",IF(AND(N502&lt;&gt;"",COUNTIF($N$5:$N$549,N502)&gt;1),"CÓDIGO INTERNO DUPLICADO","OK"))))))</f>
        <v/>
      </c>
      <c r="B502" s="17" t="n"/>
      <c r="C502" s="23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23" t="n"/>
      <c r="M502" s="17" t="n"/>
      <c r="N502" s="23" t="n"/>
      <c r="O502" s="17" t="n"/>
      <c r="P502" s="28">
        <f>IF(A502&lt;&gt;"OK","","SELECT cli_crear_clientes(p_codigo_interno =&gt; "&amp;IF(TRIM(N502&amp;"")="","NULL","'"&amp;SUBSTITUTE(TRIM(N502),"'","''")&amp;"'")&amp;", p_razon_social =&gt; "&amp;IF(TRIM(D502&amp;"")="","NULL","'"&amp;SUBSTITUTE(TRIM(D502),"'","''")&amp;"'")&amp;", p_id_tipo_cliente =&gt; "&amp;IF(TRIM(I502&amp;"")="","NULL","(SELECT lo.id FROM gen_lista_opciones lo JOIN gen_lista l ON l.id = lo.id_lista WHERE l.nombre = 'TipoCliente' AND upper(lo.nombre) = upper('"&amp;SUBSTITUTE(TRIM(I502),"'","''")&amp;"') AND lo.estado = 1 LIMIT 1)")&amp;", p_id_tipo_persona =&gt; "&amp;IF(TRIM(H502&amp;"")="","NULL","(SELECT lo.id FROM gen_lista_opciones lo JOIN gen_lista l ON l.id = lo.id_lista WHERE l.nombre = 'TipoPersona' AND upper(lo.nombre) = upper('"&amp;SUBSTITUTE(TRIM(H502),"'","''")&amp;"') AND lo.estado = 1 LIMIT 1)")&amp;", p_nombres =&gt; "&amp;IF(TRIM(E502&amp;"")="","NULL","'"&amp;SUBSTITUTE(TRIM(E502),"'","''")&amp;"'")&amp;", p_apellido_paterno =&gt; "&amp;IF(TRIM(F502&amp;"")="","NULL","'"&amp;SUBSTITUTE(TRIM(F502),"'","''")&amp;"'")&amp;", p_apellido_materno =&gt; "&amp;IF(TRIM(G502&amp;"")="","NULL","'"&amp;SUBSTITUTE(TRIM(G502),"'","''")&amp;"'")&amp;", p_id_tipo_documento =&gt; "&amp;IF(TRIM(B502&amp;"")="","NULL","(SELECT lo.id FROM gen_lista_opciones lo JOIN gen_lista l ON l.id = lo.id_lista WHERE l.nombre = 'TipoDocumento' AND upper(lo.nombre) = upper('"&amp;SUBSTITUTE(TRIM(B502),"'","''")&amp;"') AND lo.estado = 1 LIMIT 1)")&amp;", p_numero_documento =&gt; "&amp;IF(TRIM(C502&amp;"")="","NULL","'"&amp;SUBSTITUTE(TRIM(C502),"'","''")&amp;"'")&amp;", p_telefono =&gt; "&amp;IF(TRIM(L502&amp;"")="","NULL","'"&amp;SUBSTITUTE(TRIM(L502),"'","''")&amp;"'")&amp;", p_email =&gt; "&amp;IF(TRIM(M502&amp;"")="","NULL","'"&amp;SUBSTITUTE(TRIM(M502),"'","''")&amp;"'")&amp;", p_observacion =&gt; "&amp;IF(TRIM(O502&amp;"")="","NULL","'"&amp;SUBSTITUTE(TRIM(O502),"'","''")&amp;"'")&amp;", p_direccion =&gt; "&amp;IF(TRIM(J502&amp;"")="","NULL","'"&amp;SUBSTITUTE(TRIM(J502),"'","''")&amp;"'")&amp;", p_referencia =&gt; "&amp;IF(TRIM(K502&amp;"")="","NULL","'"&amp;SUBSTITUTE(TRIM(K502),"'","''")&amp;"'")&amp;") AS resultado_cliente_"&amp;457&amp;";")</f>
        <v/>
      </c>
    </row>
    <row r="503" ht="15.75" customHeight="1" s="64">
      <c r="A503" s="25">
        <f>IF(AND(D503="",E503="",C503=""),"",IF(AND(D503="",E503=""),"FALTA razón social o nombres",IF(AND(C503&lt;&gt;"",COUNTIF($C$5:$C$549,C503)&gt;1),"DOCUMENTO DUPLICADO",IF(AND(B503="DNI",C503&lt;&gt;"",LEN(C503)&lt;&gt;8),"DNI debe tener 8 dígitos",IF(AND(B503="RUC",C503&lt;&gt;"",LEN(C503)&lt;&gt;11),"RUC debe tener 11 dígitos",IF(AND(N503&lt;&gt;"",COUNTIF($N$5:$N$549,N503)&gt;1),"CÓDIGO INTERNO DUPLICADO","OK"))))))</f>
        <v/>
      </c>
      <c r="B503" s="17" t="n"/>
      <c r="C503" s="23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23" t="n"/>
      <c r="M503" s="17" t="n"/>
      <c r="N503" s="23" t="n"/>
      <c r="O503" s="17" t="n"/>
      <c r="P503" s="28">
        <f>IF(A503&lt;&gt;"OK","","SELECT cli_crear_clientes(p_codigo_interno =&gt; "&amp;IF(TRIM(N503&amp;"")="","NULL","'"&amp;SUBSTITUTE(TRIM(N503),"'","''")&amp;"'")&amp;", p_razon_social =&gt; "&amp;IF(TRIM(D503&amp;"")="","NULL","'"&amp;SUBSTITUTE(TRIM(D503),"'","''")&amp;"'")&amp;", p_id_tipo_cliente =&gt; "&amp;IF(TRIM(I503&amp;"")="","NULL","(SELECT lo.id FROM gen_lista_opciones lo JOIN gen_lista l ON l.id = lo.id_lista WHERE l.nombre = 'TipoCliente' AND upper(lo.nombre) = upper('"&amp;SUBSTITUTE(TRIM(I503),"'","''")&amp;"') AND lo.estado = 1 LIMIT 1)")&amp;", p_id_tipo_persona =&gt; "&amp;IF(TRIM(H503&amp;"")="","NULL","(SELECT lo.id FROM gen_lista_opciones lo JOIN gen_lista l ON l.id = lo.id_lista WHERE l.nombre = 'TipoPersona' AND upper(lo.nombre) = upper('"&amp;SUBSTITUTE(TRIM(H503),"'","''")&amp;"') AND lo.estado = 1 LIMIT 1)")&amp;", p_nombres =&gt; "&amp;IF(TRIM(E503&amp;"")="","NULL","'"&amp;SUBSTITUTE(TRIM(E503),"'","''")&amp;"'")&amp;", p_apellido_paterno =&gt; "&amp;IF(TRIM(F503&amp;"")="","NULL","'"&amp;SUBSTITUTE(TRIM(F503),"'","''")&amp;"'")&amp;", p_apellido_materno =&gt; "&amp;IF(TRIM(G503&amp;"")="","NULL","'"&amp;SUBSTITUTE(TRIM(G503),"'","''")&amp;"'")&amp;", p_id_tipo_documento =&gt; "&amp;IF(TRIM(B503&amp;"")="","NULL","(SELECT lo.id FROM gen_lista_opciones lo JOIN gen_lista l ON l.id = lo.id_lista WHERE l.nombre = 'TipoDocumento' AND upper(lo.nombre) = upper('"&amp;SUBSTITUTE(TRIM(B503),"'","''")&amp;"') AND lo.estado = 1 LIMIT 1)")&amp;", p_numero_documento =&gt; "&amp;IF(TRIM(C503&amp;"")="","NULL","'"&amp;SUBSTITUTE(TRIM(C503),"'","''")&amp;"'")&amp;", p_telefono =&gt; "&amp;IF(TRIM(L503&amp;"")="","NULL","'"&amp;SUBSTITUTE(TRIM(L503),"'","''")&amp;"'")&amp;", p_email =&gt; "&amp;IF(TRIM(M503&amp;"")="","NULL","'"&amp;SUBSTITUTE(TRIM(M503),"'","''")&amp;"'")&amp;", p_observacion =&gt; "&amp;IF(TRIM(O503&amp;"")="","NULL","'"&amp;SUBSTITUTE(TRIM(O503),"'","''")&amp;"'")&amp;", p_direccion =&gt; "&amp;IF(TRIM(J503&amp;"")="","NULL","'"&amp;SUBSTITUTE(TRIM(J503),"'","''")&amp;"'")&amp;", p_referencia =&gt; "&amp;IF(TRIM(K503&amp;"")="","NULL","'"&amp;SUBSTITUTE(TRIM(K503),"'","''")&amp;"'")&amp;") AS resultado_cliente_"&amp;458&amp;";")</f>
        <v/>
      </c>
    </row>
    <row r="504" ht="15.75" customHeight="1" s="64">
      <c r="A504" s="25">
        <f>IF(AND(D504="",E504="",C504=""),"",IF(AND(D504="",E504=""),"FALTA razón social o nombres",IF(AND(C504&lt;&gt;"",COUNTIF($C$5:$C$549,C504)&gt;1),"DOCUMENTO DUPLICADO",IF(AND(B504="DNI",C504&lt;&gt;"",LEN(C504)&lt;&gt;8),"DNI debe tener 8 dígitos",IF(AND(B504="RUC",C504&lt;&gt;"",LEN(C504)&lt;&gt;11),"RUC debe tener 11 dígitos",IF(AND(N504&lt;&gt;"",COUNTIF($N$5:$N$549,N504)&gt;1),"CÓDIGO INTERNO DUPLICADO","OK"))))))</f>
        <v/>
      </c>
      <c r="B504" s="17" t="n"/>
      <c r="C504" s="23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23" t="n"/>
      <c r="M504" s="17" t="n"/>
      <c r="N504" s="23" t="n"/>
      <c r="O504" s="17" t="n"/>
      <c r="P504" s="28">
        <f>IF(A504&lt;&gt;"OK","","SELECT cli_crear_clientes(p_codigo_interno =&gt; "&amp;IF(TRIM(N504&amp;"")="","NULL","'"&amp;SUBSTITUTE(TRIM(N504),"'","''")&amp;"'")&amp;", p_razon_social =&gt; "&amp;IF(TRIM(D504&amp;"")="","NULL","'"&amp;SUBSTITUTE(TRIM(D504),"'","''")&amp;"'")&amp;", p_id_tipo_cliente =&gt; "&amp;IF(TRIM(I504&amp;"")="","NULL","(SELECT lo.id FROM gen_lista_opciones lo JOIN gen_lista l ON l.id = lo.id_lista WHERE l.nombre = 'TipoCliente' AND upper(lo.nombre) = upper('"&amp;SUBSTITUTE(TRIM(I504),"'","''")&amp;"') AND lo.estado = 1 LIMIT 1)")&amp;", p_id_tipo_persona =&gt; "&amp;IF(TRIM(H504&amp;"")="","NULL","(SELECT lo.id FROM gen_lista_opciones lo JOIN gen_lista l ON l.id = lo.id_lista WHERE l.nombre = 'TipoPersona' AND upper(lo.nombre) = upper('"&amp;SUBSTITUTE(TRIM(H504),"'","''")&amp;"') AND lo.estado = 1 LIMIT 1)")&amp;", p_nombres =&gt; "&amp;IF(TRIM(E504&amp;"")="","NULL","'"&amp;SUBSTITUTE(TRIM(E504),"'","''")&amp;"'")&amp;", p_apellido_paterno =&gt; "&amp;IF(TRIM(F504&amp;"")="","NULL","'"&amp;SUBSTITUTE(TRIM(F504),"'","''")&amp;"'")&amp;", p_apellido_materno =&gt; "&amp;IF(TRIM(G504&amp;"")="","NULL","'"&amp;SUBSTITUTE(TRIM(G504),"'","''")&amp;"'")&amp;", p_id_tipo_documento =&gt; "&amp;IF(TRIM(B504&amp;"")="","NULL","(SELECT lo.id FROM gen_lista_opciones lo JOIN gen_lista l ON l.id = lo.id_lista WHERE l.nombre = 'TipoDocumento' AND upper(lo.nombre) = upper('"&amp;SUBSTITUTE(TRIM(B504),"'","''")&amp;"') AND lo.estado = 1 LIMIT 1)")&amp;", p_numero_documento =&gt; "&amp;IF(TRIM(C504&amp;"")="","NULL","'"&amp;SUBSTITUTE(TRIM(C504),"'","''")&amp;"'")&amp;", p_telefono =&gt; "&amp;IF(TRIM(L504&amp;"")="","NULL","'"&amp;SUBSTITUTE(TRIM(L504),"'","''")&amp;"'")&amp;", p_email =&gt; "&amp;IF(TRIM(M504&amp;"")="","NULL","'"&amp;SUBSTITUTE(TRIM(M504),"'","''")&amp;"'")&amp;", p_observacion =&gt; "&amp;IF(TRIM(O504&amp;"")="","NULL","'"&amp;SUBSTITUTE(TRIM(O504),"'","''")&amp;"'")&amp;", p_direccion =&gt; "&amp;IF(TRIM(J504&amp;"")="","NULL","'"&amp;SUBSTITUTE(TRIM(J504),"'","''")&amp;"'")&amp;", p_referencia =&gt; "&amp;IF(TRIM(K504&amp;"")="","NULL","'"&amp;SUBSTITUTE(TRIM(K504),"'","''")&amp;"'")&amp;") AS resultado_cliente_"&amp;459&amp;";")</f>
        <v/>
      </c>
    </row>
    <row r="505" ht="15.75" customHeight="1" s="64">
      <c r="A505" s="25">
        <f>IF(AND(D505="",E505="",C505=""),"",IF(AND(D505="",E505=""),"FALTA razón social o nombres",IF(AND(C505&lt;&gt;"",COUNTIF($C$5:$C$549,C505)&gt;1),"DOCUMENTO DUPLICADO",IF(AND(B505="DNI",C505&lt;&gt;"",LEN(C505)&lt;&gt;8),"DNI debe tener 8 dígitos",IF(AND(B505="RUC",C505&lt;&gt;"",LEN(C505)&lt;&gt;11),"RUC debe tener 11 dígitos",IF(AND(N505&lt;&gt;"",COUNTIF($N$5:$N$549,N505)&gt;1),"CÓDIGO INTERNO DUPLICADO","OK"))))))</f>
        <v/>
      </c>
      <c r="B505" s="17" t="n"/>
      <c r="C505" s="23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23" t="n"/>
      <c r="M505" s="17" t="n"/>
      <c r="N505" s="23" t="n"/>
      <c r="O505" s="17" t="n"/>
      <c r="P505" s="28">
        <f>IF(A505&lt;&gt;"OK","","SELECT cli_crear_clientes(p_codigo_interno =&gt; "&amp;IF(TRIM(N505&amp;"")="","NULL","'"&amp;SUBSTITUTE(TRIM(N505),"'","''")&amp;"'")&amp;", p_razon_social =&gt; "&amp;IF(TRIM(D505&amp;"")="","NULL","'"&amp;SUBSTITUTE(TRIM(D505),"'","''")&amp;"'")&amp;", p_id_tipo_cliente =&gt; "&amp;IF(TRIM(I505&amp;"")="","NULL","(SELECT lo.id FROM gen_lista_opciones lo JOIN gen_lista l ON l.id = lo.id_lista WHERE l.nombre = 'TipoCliente' AND upper(lo.nombre) = upper('"&amp;SUBSTITUTE(TRIM(I505),"'","''")&amp;"') AND lo.estado = 1 LIMIT 1)")&amp;", p_id_tipo_persona =&gt; "&amp;IF(TRIM(H505&amp;"")="","NULL","(SELECT lo.id FROM gen_lista_opciones lo JOIN gen_lista l ON l.id = lo.id_lista WHERE l.nombre = 'TipoPersona' AND upper(lo.nombre) = upper('"&amp;SUBSTITUTE(TRIM(H505),"'","''")&amp;"') AND lo.estado = 1 LIMIT 1)")&amp;", p_nombres =&gt; "&amp;IF(TRIM(E505&amp;"")="","NULL","'"&amp;SUBSTITUTE(TRIM(E505),"'","''")&amp;"'")&amp;", p_apellido_paterno =&gt; "&amp;IF(TRIM(F505&amp;"")="","NULL","'"&amp;SUBSTITUTE(TRIM(F505),"'","''")&amp;"'")&amp;", p_apellido_materno =&gt; "&amp;IF(TRIM(G505&amp;"")="","NULL","'"&amp;SUBSTITUTE(TRIM(G505),"'","''")&amp;"'")&amp;", p_id_tipo_documento =&gt; "&amp;IF(TRIM(B505&amp;"")="","NULL","(SELECT lo.id FROM gen_lista_opciones lo JOIN gen_lista l ON l.id = lo.id_lista WHERE l.nombre = 'TipoDocumento' AND upper(lo.nombre) = upper('"&amp;SUBSTITUTE(TRIM(B505),"'","''")&amp;"') AND lo.estado = 1 LIMIT 1)")&amp;", p_numero_documento =&gt; "&amp;IF(TRIM(C505&amp;"")="","NULL","'"&amp;SUBSTITUTE(TRIM(C505),"'","''")&amp;"'")&amp;", p_telefono =&gt; "&amp;IF(TRIM(L505&amp;"")="","NULL","'"&amp;SUBSTITUTE(TRIM(L505),"'","''")&amp;"'")&amp;", p_email =&gt; "&amp;IF(TRIM(M505&amp;"")="","NULL","'"&amp;SUBSTITUTE(TRIM(M505),"'","''")&amp;"'")&amp;", p_observacion =&gt; "&amp;IF(TRIM(O505&amp;"")="","NULL","'"&amp;SUBSTITUTE(TRIM(O505),"'","''")&amp;"'")&amp;", p_direccion =&gt; "&amp;IF(TRIM(J505&amp;"")="","NULL","'"&amp;SUBSTITUTE(TRIM(J505),"'","''")&amp;"'")&amp;", p_referencia =&gt; "&amp;IF(TRIM(K505&amp;"")="","NULL","'"&amp;SUBSTITUTE(TRIM(K505),"'","''")&amp;"'")&amp;") AS resultado_cliente_"&amp;460&amp;";")</f>
        <v/>
      </c>
    </row>
    <row r="506" ht="15.75" customHeight="1" s="64">
      <c r="A506" s="25">
        <f>IF(AND(D506="",E506="",C506=""),"",IF(AND(D506="",E506=""),"FALTA razón social o nombres",IF(AND(C506&lt;&gt;"",COUNTIF($C$5:$C$549,C506)&gt;1),"DOCUMENTO DUPLICADO",IF(AND(B506="DNI",C506&lt;&gt;"",LEN(C506)&lt;&gt;8),"DNI debe tener 8 dígitos",IF(AND(B506="RUC",C506&lt;&gt;"",LEN(C506)&lt;&gt;11),"RUC debe tener 11 dígitos",IF(AND(N506&lt;&gt;"",COUNTIF($N$5:$N$549,N506)&gt;1),"CÓDIGO INTERNO DUPLICADO","OK"))))))</f>
        <v/>
      </c>
      <c r="B506" s="17" t="n"/>
      <c r="C506" s="23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23" t="n"/>
      <c r="M506" s="17" t="n"/>
      <c r="N506" s="23" t="n"/>
      <c r="O506" s="17" t="n"/>
      <c r="P506" s="28">
        <f>IF(A506&lt;&gt;"OK","","SELECT cli_crear_clientes(p_codigo_interno =&gt; "&amp;IF(TRIM(N506&amp;"")="","NULL","'"&amp;SUBSTITUTE(TRIM(N506),"'","''")&amp;"'")&amp;", p_razon_social =&gt; "&amp;IF(TRIM(D506&amp;"")="","NULL","'"&amp;SUBSTITUTE(TRIM(D506),"'","''")&amp;"'")&amp;", p_id_tipo_cliente =&gt; "&amp;IF(TRIM(I506&amp;"")="","NULL","(SELECT lo.id FROM gen_lista_opciones lo JOIN gen_lista l ON l.id = lo.id_lista WHERE l.nombre = 'TipoCliente' AND upper(lo.nombre) = upper('"&amp;SUBSTITUTE(TRIM(I506),"'","''")&amp;"') AND lo.estado = 1 LIMIT 1)")&amp;", p_id_tipo_persona =&gt; "&amp;IF(TRIM(H506&amp;"")="","NULL","(SELECT lo.id FROM gen_lista_opciones lo JOIN gen_lista l ON l.id = lo.id_lista WHERE l.nombre = 'TipoPersona' AND upper(lo.nombre) = upper('"&amp;SUBSTITUTE(TRIM(H506),"'","''")&amp;"') AND lo.estado = 1 LIMIT 1)")&amp;", p_nombres =&gt; "&amp;IF(TRIM(E506&amp;"")="","NULL","'"&amp;SUBSTITUTE(TRIM(E506),"'","''")&amp;"'")&amp;", p_apellido_paterno =&gt; "&amp;IF(TRIM(F506&amp;"")="","NULL","'"&amp;SUBSTITUTE(TRIM(F506),"'","''")&amp;"'")&amp;", p_apellido_materno =&gt; "&amp;IF(TRIM(G506&amp;"")="","NULL","'"&amp;SUBSTITUTE(TRIM(G506),"'","''")&amp;"'")&amp;", p_id_tipo_documento =&gt; "&amp;IF(TRIM(B506&amp;"")="","NULL","(SELECT lo.id FROM gen_lista_opciones lo JOIN gen_lista l ON l.id = lo.id_lista WHERE l.nombre = 'TipoDocumento' AND upper(lo.nombre) = upper('"&amp;SUBSTITUTE(TRIM(B506),"'","''")&amp;"') AND lo.estado = 1 LIMIT 1)")&amp;", p_numero_documento =&gt; "&amp;IF(TRIM(C506&amp;"")="","NULL","'"&amp;SUBSTITUTE(TRIM(C506),"'","''")&amp;"'")&amp;", p_telefono =&gt; "&amp;IF(TRIM(L506&amp;"")="","NULL","'"&amp;SUBSTITUTE(TRIM(L506),"'","''")&amp;"'")&amp;", p_email =&gt; "&amp;IF(TRIM(M506&amp;"")="","NULL","'"&amp;SUBSTITUTE(TRIM(M506),"'","''")&amp;"'")&amp;", p_observacion =&gt; "&amp;IF(TRIM(O506&amp;"")="","NULL","'"&amp;SUBSTITUTE(TRIM(O506),"'","''")&amp;"'")&amp;", p_direccion =&gt; "&amp;IF(TRIM(J506&amp;"")="","NULL","'"&amp;SUBSTITUTE(TRIM(J506),"'","''")&amp;"'")&amp;", p_referencia =&gt; "&amp;IF(TRIM(K506&amp;"")="","NULL","'"&amp;SUBSTITUTE(TRIM(K506),"'","''")&amp;"'")&amp;") AS resultado_cliente_"&amp;461&amp;";")</f>
        <v/>
      </c>
    </row>
    <row r="507" ht="15.75" customHeight="1" s="64">
      <c r="A507" s="25">
        <f>IF(AND(D507="",E507="",C507=""),"",IF(AND(D507="",E507=""),"FALTA razón social o nombres",IF(AND(C507&lt;&gt;"",COUNTIF($C$5:$C$549,C507)&gt;1),"DOCUMENTO DUPLICADO",IF(AND(B507="DNI",C507&lt;&gt;"",LEN(C507)&lt;&gt;8),"DNI debe tener 8 dígitos",IF(AND(B507="RUC",C507&lt;&gt;"",LEN(C507)&lt;&gt;11),"RUC debe tener 11 dígitos",IF(AND(N507&lt;&gt;"",COUNTIF($N$5:$N$549,N507)&gt;1),"CÓDIGO INTERNO DUPLICADO","OK"))))))</f>
        <v/>
      </c>
      <c r="B507" s="17" t="n"/>
      <c r="C507" s="23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23" t="n"/>
      <c r="M507" s="17" t="n"/>
      <c r="N507" s="23" t="n"/>
      <c r="O507" s="17" t="n"/>
      <c r="P507" s="28">
        <f>IF(A507&lt;&gt;"OK","","SELECT cli_crear_clientes(p_codigo_interno =&gt; "&amp;IF(TRIM(N507&amp;"")="","NULL","'"&amp;SUBSTITUTE(TRIM(N507),"'","''")&amp;"'")&amp;", p_razon_social =&gt; "&amp;IF(TRIM(D507&amp;"")="","NULL","'"&amp;SUBSTITUTE(TRIM(D507),"'","''")&amp;"'")&amp;", p_id_tipo_cliente =&gt; "&amp;IF(TRIM(I507&amp;"")="","NULL","(SELECT lo.id FROM gen_lista_opciones lo JOIN gen_lista l ON l.id = lo.id_lista WHERE l.nombre = 'TipoCliente' AND upper(lo.nombre) = upper('"&amp;SUBSTITUTE(TRIM(I507),"'","''")&amp;"') AND lo.estado = 1 LIMIT 1)")&amp;", p_id_tipo_persona =&gt; "&amp;IF(TRIM(H507&amp;"")="","NULL","(SELECT lo.id FROM gen_lista_opciones lo JOIN gen_lista l ON l.id = lo.id_lista WHERE l.nombre = 'TipoPersona' AND upper(lo.nombre) = upper('"&amp;SUBSTITUTE(TRIM(H507),"'","''")&amp;"') AND lo.estado = 1 LIMIT 1)")&amp;", p_nombres =&gt; "&amp;IF(TRIM(E507&amp;"")="","NULL","'"&amp;SUBSTITUTE(TRIM(E507),"'","''")&amp;"'")&amp;", p_apellido_paterno =&gt; "&amp;IF(TRIM(F507&amp;"")="","NULL","'"&amp;SUBSTITUTE(TRIM(F507),"'","''")&amp;"'")&amp;", p_apellido_materno =&gt; "&amp;IF(TRIM(G507&amp;"")="","NULL","'"&amp;SUBSTITUTE(TRIM(G507),"'","''")&amp;"'")&amp;", p_id_tipo_documento =&gt; "&amp;IF(TRIM(B507&amp;"")="","NULL","(SELECT lo.id FROM gen_lista_opciones lo JOIN gen_lista l ON l.id = lo.id_lista WHERE l.nombre = 'TipoDocumento' AND upper(lo.nombre) = upper('"&amp;SUBSTITUTE(TRIM(B507),"'","''")&amp;"') AND lo.estado = 1 LIMIT 1)")&amp;", p_numero_documento =&gt; "&amp;IF(TRIM(C507&amp;"")="","NULL","'"&amp;SUBSTITUTE(TRIM(C507),"'","''")&amp;"'")&amp;", p_telefono =&gt; "&amp;IF(TRIM(L507&amp;"")="","NULL","'"&amp;SUBSTITUTE(TRIM(L507),"'","''")&amp;"'")&amp;", p_email =&gt; "&amp;IF(TRIM(M507&amp;"")="","NULL","'"&amp;SUBSTITUTE(TRIM(M507),"'","''")&amp;"'")&amp;", p_observacion =&gt; "&amp;IF(TRIM(O507&amp;"")="","NULL","'"&amp;SUBSTITUTE(TRIM(O507),"'","''")&amp;"'")&amp;", p_direccion =&gt; "&amp;IF(TRIM(J507&amp;"")="","NULL","'"&amp;SUBSTITUTE(TRIM(J507),"'","''")&amp;"'")&amp;", p_referencia =&gt; "&amp;IF(TRIM(K507&amp;"")="","NULL","'"&amp;SUBSTITUTE(TRIM(K507),"'","''")&amp;"'")&amp;") AS resultado_cliente_"&amp;462&amp;";")</f>
        <v/>
      </c>
    </row>
    <row r="508" ht="15.75" customHeight="1" s="64">
      <c r="A508" s="25">
        <f>IF(AND(D508="",E508="",C508=""),"",IF(AND(D508="",E508=""),"FALTA razón social o nombres",IF(AND(C508&lt;&gt;"",COUNTIF($C$5:$C$549,C508)&gt;1),"DOCUMENTO DUPLICADO",IF(AND(B508="DNI",C508&lt;&gt;"",LEN(C508)&lt;&gt;8),"DNI debe tener 8 dígitos",IF(AND(B508="RUC",C508&lt;&gt;"",LEN(C508)&lt;&gt;11),"RUC debe tener 11 dígitos",IF(AND(N508&lt;&gt;"",COUNTIF($N$5:$N$549,N508)&gt;1),"CÓDIGO INTERNO DUPLICADO","OK"))))))</f>
        <v/>
      </c>
      <c r="B508" s="17" t="n"/>
      <c r="C508" s="23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23" t="n"/>
      <c r="M508" s="17" t="n"/>
      <c r="N508" s="23" t="n"/>
      <c r="O508" s="17" t="n"/>
      <c r="P508" s="28">
        <f>IF(A508&lt;&gt;"OK","","SELECT cli_crear_clientes(p_codigo_interno =&gt; "&amp;IF(TRIM(N508&amp;"")="","NULL","'"&amp;SUBSTITUTE(TRIM(N508),"'","''")&amp;"'")&amp;", p_razon_social =&gt; "&amp;IF(TRIM(D508&amp;"")="","NULL","'"&amp;SUBSTITUTE(TRIM(D508),"'","''")&amp;"'")&amp;", p_id_tipo_cliente =&gt; "&amp;IF(TRIM(I508&amp;"")="","NULL","(SELECT lo.id FROM gen_lista_opciones lo JOIN gen_lista l ON l.id = lo.id_lista WHERE l.nombre = 'TipoCliente' AND upper(lo.nombre) = upper('"&amp;SUBSTITUTE(TRIM(I508),"'","''")&amp;"') AND lo.estado = 1 LIMIT 1)")&amp;", p_id_tipo_persona =&gt; "&amp;IF(TRIM(H508&amp;"")="","NULL","(SELECT lo.id FROM gen_lista_opciones lo JOIN gen_lista l ON l.id = lo.id_lista WHERE l.nombre = 'TipoPersona' AND upper(lo.nombre) = upper('"&amp;SUBSTITUTE(TRIM(H508),"'","''")&amp;"') AND lo.estado = 1 LIMIT 1)")&amp;", p_nombres =&gt; "&amp;IF(TRIM(E508&amp;"")="","NULL","'"&amp;SUBSTITUTE(TRIM(E508),"'","''")&amp;"'")&amp;", p_apellido_paterno =&gt; "&amp;IF(TRIM(F508&amp;"")="","NULL","'"&amp;SUBSTITUTE(TRIM(F508),"'","''")&amp;"'")&amp;", p_apellido_materno =&gt; "&amp;IF(TRIM(G508&amp;"")="","NULL","'"&amp;SUBSTITUTE(TRIM(G508),"'","''")&amp;"'")&amp;", p_id_tipo_documento =&gt; "&amp;IF(TRIM(B508&amp;"")="","NULL","(SELECT lo.id FROM gen_lista_opciones lo JOIN gen_lista l ON l.id = lo.id_lista WHERE l.nombre = 'TipoDocumento' AND upper(lo.nombre) = upper('"&amp;SUBSTITUTE(TRIM(B508),"'","''")&amp;"') AND lo.estado = 1 LIMIT 1)")&amp;", p_numero_documento =&gt; "&amp;IF(TRIM(C508&amp;"")="","NULL","'"&amp;SUBSTITUTE(TRIM(C508),"'","''")&amp;"'")&amp;", p_telefono =&gt; "&amp;IF(TRIM(L508&amp;"")="","NULL","'"&amp;SUBSTITUTE(TRIM(L508),"'","''")&amp;"'")&amp;", p_email =&gt; "&amp;IF(TRIM(M508&amp;"")="","NULL","'"&amp;SUBSTITUTE(TRIM(M508),"'","''")&amp;"'")&amp;", p_observacion =&gt; "&amp;IF(TRIM(O508&amp;"")="","NULL","'"&amp;SUBSTITUTE(TRIM(O508),"'","''")&amp;"'")&amp;", p_direccion =&gt; "&amp;IF(TRIM(J508&amp;"")="","NULL","'"&amp;SUBSTITUTE(TRIM(J508),"'","''")&amp;"'")&amp;", p_referencia =&gt; "&amp;IF(TRIM(K508&amp;"")="","NULL","'"&amp;SUBSTITUTE(TRIM(K508),"'","''")&amp;"'")&amp;") AS resultado_cliente_"&amp;463&amp;";")</f>
        <v/>
      </c>
    </row>
    <row r="509" ht="15.75" customHeight="1" s="64">
      <c r="A509" s="25">
        <f>IF(AND(D509="",E509="",C509=""),"",IF(AND(D509="",E509=""),"FALTA razón social o nombres",IF(AND(C509&lt;&gt;"",COUNTIF($C$5:$C$549,C509)&gt;1),"DOCUMENTO DUPLICADO",IF(AND(B509="DNI",C509&lt;&gt;"",LEN(C509)&lt;&gt;8),"DNI debe tener 8 dígitos",IF(AND(B509="RUC",C509&lt;&gt;"",LEN(C509)&lt;&gt;11),"RUC debe tener 11 dígitos",IF(AND(N509&lt;&gt;"",COUNTIF($N$5:$N$549,N509)&gt;1),"CÓDIGO INTERNO DUPLICADO","OK"))))))</f>
        <v/>
      </c>
      <c r="B509" s="17" t="n"/>
      <c r="C509" s="23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23" t="n"/>
      <c r="M509" s="17" t="n"/>
      <c r="N509" s="23" t="n"/>
      <c r="O509" s="17" t="n"/>
      <c r="P509" s="28">
        <f>IF(A509&lt;&gt;"OK","","SELECT cli_crear_clientes(p_codigo_interno =&gt; "&amp;IF(TRIM(N509&amp;"")="","NULL","'"&amp;SUBSTITUTE(TRIM(N509),"'","''")&amp;"'")&amp;", p_razon_social =&gt; "&amp;IF(TRIM(D509&amp;"")="","NULL","'"&amp;SUBSTITUTE(TRIM(D509),"'","''")&amp;"'")&amp;", p_id_tipo_cliente =&gt; "&amp;IF(TRIM(I509&amp;"")="","NULL","(SELECT lo.id FROM gen_lista_opciones lo JOIN gen_lista l ON l.id = lo.id_lista WHERE l.nombre = 'TipoCliente' AND upper(lo.nombre) = upper('"&amp;SUBSTITUTE(TRIM(I509),"'","''")&amp;"') AND lo.estado = 1 LIMIT 1)")&amp;", p_id_tipo_persona =&gt; "&amp;IF(TRIM(H509&amp;"")="","NULL","(SELECT lo.id FROM gen_lista_opciones lo JOIN gen_lista l ON l.id = lo.id_lista WHERE l.nombre = 'TipoPersona' AND upper(lo.nombre) = upper('"&amp;SUBSTITUTE(TRIM(H509),"'","''")&amp;"') AND lo.estado = 1 LIMIT 1)")&amp;", p_nombres =&gt; "&amp;IF(TRIM(E509&amp;"")="","NULL","'"&amp;SUBSTITUTE(TRIM(E509),"'","''")&amp;"'")&amp;", p_apellido_paterno =&gt; "&amp;IF(TRIM(F509&amp;"")="","NULL","'"&amp;SUBSTITUTE(TRIM(F509),"'","''")&amp;"'")&amp;", p_apellido_materno =&gt; "&amp;IF(TRIM(G509&amp;"")="","NULL","'"&amp;SUBSTITUTE(TRIM(G509),"'","''")&amp;"'")&amp;", p_id_tipo_documento =&gt; "&amp;IF(TRIM(B509&amp;"")="","NULL","(SELECT lo.id FROM gen_lista_opciones lo JOIN gen_lista l ON l.id = lo.id_lista WHERE l.nombre = 'TipoDocumento' AND upper(lo.nombre) = upper('"&amp;SUBSTITUTE(TRIM(B509),"'","''")&amp;"') AND lo.estado = 1 LIMIT 1)")&amp;", p_numero_documento =&gt; "&amp;IF(TRIM(C509&amp;"")="","NULL","'"&amp;SUBSTITUTE(TRIM(C509),"'","''")&amp;"'")&amp;", p_telefono =&gt; "&amp;IF(TRIM(L509&amp;"")="","NULL","'"&amp;SUBSTITUTE(TRIM(L509),"'","''")&amp;"'")&amp;", p_email =&gt; "&amp;IF(TRIM(M509&amp;"")="","NULL","'"&amp;SUBSTITUTE(TRIM(M509),"'","''")&amp;"'")&amp;", p_observacion =&gt; "&amp;IF(TRIM(O509&amp;"")="","NULL","'"&amp;SUBSTITUTE(TRIM(O509),"'","''")&amp;"'")&amp;", p_direccion =&gt; "&amp;IF(TRIM(J509&amp;"")="","NULL","'"&amp;SUBSTITUTE(TRIM(J509),"'","''")&amp;"'")&amp;", p_referencia =&gt; "&amp;IF(TRIM(K509&amp;"")="","NULL","'"&amp;SUBSTITUTE(TRIM(K509),"'","''")&amp;"'")&amp;") AS resultado_cliente_"&amp;464&amp;";")</f>
        <v/>
      </c>
    </row>
    <row r="510" ht="15.75" customHeight="1" s="64">
      <c r="A510" s="25">
        <f>IF(AND(D510="",E510="",C510=""),"",IF(AND(D510="",E510=""),"FALTA razón social o nombres",IF(AND(C510&lt;&gt;"",COUNTIF($C$5:$C$549,C510)&gt;1),"DOCUMENTO DUPLICADO",IF(AND(B510="DNI",C510&lt;&gt;"",LEN(C510)&lt;&gt;8),"DNI debe tener 8 dígitos",IF(AND(B510="RUC",C510&lt;&gt;"",LEN(C510)&lt;&gt;11),"RUC debe tener 11 dígitos",IF(AND(N510&lt;&gt;"",COUNTIF($N$5:$N$549,N510)&gt;1),"CÓDIGO INTERNO DUPLICADO","OK"))))))</f>
        <v/>
      </c>
      <c r="B510" s="17" t="n"/>
      <c r="C510" s="23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23" t="n"/>
      <c r="M510" s="17" t="n"/>
      <c r="N510" s="23" t="n"/>
      <c r="O510" s="17" t="n"/>
      <c r="P510" s="28">
        <f>IF(A510&lt;&gt;"OK","","SELECT cli_crear_clientes(p_codigo_interno =&gt; "&amp;IF(TRIM(N510&amp;"")="","NULL","'"&amp;SUBSTITUTE(TRIM(N510),"'","''")&amp;"'")&amp;", p_razon_social =&gt; "&amp;IF(TRIM(D510&amp;"")="","NULL","'"&amp;SUBSTITUTE(TRIM(D510),"'","''")&amp;"'")&amp;", p_id_tipo_cliente =&gt; "&amp;IF(TRIM(I510&amp;"")="","NULL","(SELECT lo.id FROM gen_lista_opciones lo JOIN gen_lista l ON l.id = lo.id_lista WHERE l.nombre = 'TipoCliente' AND upper(lo.nombre) = upper('"&amp;SUBSTITUTE(TRIM(I510),"'","''")&amp;"') AND lo.estado = 1 LIMIT 1)")&amp;", p_id_tipo_persona =&gt; "&amp;IF(TRIM(H510&amp;"")="","NULL","(SELECT lo.id FROM gen_lista_opciones lo JOIN gen_lista l ON l.id = lo.id_lista WHERE l.nombre = 'TipoPersona' AND upper(lo.nombre) = upper('"&amp;SUBSTITUTE(TRIM(H510),"'","''")&amp;"') AND lo.estado = 1 LIMIT 1)")&amp;", p_nombres =&gt; "&amp;IF(TRIM(E510&amp;"")="","NULL","'"&amp;SUBSTITUTE(TRIM(E510),"'","''")&amp;"'")&amp;", p_apellido_paterno =&gt; "&amp;IF(TRIM(F510&amp;"")="","NULL","'"&amp;SUBSTITUTE(TRIM(F510),"'","''")&amp;"'")&amp;", p_apellido_materno =&gt; "&amp;IF(TRIM(G510&amp;"")="","NULL","'"&amp;SUBSTITUTE(TRIM(G510),"'","''")&amp;"'")&amp;", p_id_tipo_documento =&gt; "&amp;IF(TRIM(B510&amp;"")="","NULL","(SELECT lo.id FROM gen_lista_opciones lo JOIN gen_lista l ON l.id = lo.id_lista WHERE l.nombre = 'TipoDocumento' AND upper(lo.nombre) = upper('"&amp;SUBSTITUTE(TRIM(B510),"'","''")&amp;"') AND lo.estado = 1 LIMIT 1)")&amp;", p_numero_documento =&gt; "&amp;IF(TRIM(C510&amp;"")="","NULL","'"&amp;SUBSTITUTE(TRIM(C510),"'","''")&amp;"'")&amp;", p_telefono =&gt; "&amp;IF(TRIM(L510&amp;"")="","NULL","'"&amp;SUBSTITUTE(TRIM(L510),"'","''")&amp;"'")&amp;", p_email =&gt; "&amp;IF(TRIM(M510&amp;"")="","NULL","'"&amp;SUBSTITUTE(TRIM(M510),"'","''")&amp;"'")&amp;", p_observacion =&gt; "&amp;IF(TRIM(O510&amp;"")="","NULL","'"&amp;SUBSTITUTE(TRIM(O510),"'","''")&amp;"'")&amp;", p_direccion =&gt; "&amp;IF(TRIM(J510&amp;"")="","NULL","'"&amp;SUBSTITUTE(TRIM(J510),"'","''")&amp;"'")&amp;", p_referencia =&gt; "&amp;IF(TRIM(K510&amp;"")="","NULL","'"&amp;SUBSTITUTE(TRIM(K510),"'","''")&amp;"'")&amp;") AS resultado_cliente_"&amp;465&amp;";")</f>
        <v/>
      </c>
    </row>
    <row r="511" ht="15.75" customHeight="1" s="64">
      <c r="A511" s="25">
        <f>IF(AND(D511="",E511="",C511=""),"",IF(AND(D511="",E511=""),"FALTA razón social o nombres",IF(AND(C511&lt;&gt;"",COUNTIF($C$5:$C$549,C511)&gt;1),"DOCUMENTO DUPLICADO",IF(AND(B511="DNI",C511&lt;&gt;"",LEN(C511)&lt;&gt;8),"DNI debe tener 8 dígitos",IF(AND(B511="RUC",C511&lt;&gt;"",LEN(C511)&lt;&gt;11),"RUC debe tener 11 dígitos",IF(AND(N511&lt;&gt;"",COUNTIF($N$5:$N$549,N511)&gt;1),"CÓDIGO INTERNO DUPLICADO","OK"))))))</f>
        <v/>
      </c>
      <c r="B511" s="17" t="n"/>
      <c r="C511" s="23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23" t="n"/>
      <c r="M511" s="17" t="n"/>
      <c r="N511" s="23" t="n"/>
      <c r="O511" s="17" t="n"/>
      <c r="P511" s="28">
        <f>IF(A511&lt;&gt;"OK","","SELECT cli_crear_clientes(p_codigo_interno =&gt; "&amp;IF(TRIM(N511&amp;"")="","NULL","'"&amp;SUBSTITUTE(TRIM(N511),"'","''")&amp;"'")&amp;", p_razon_social =&gt; "&amp;IF(TRIM(D511&amp;"")="","NULL","'"&amp;SUBSTITUTE(TRIM(D511),"'","''")&amp;"'")&amp;", p_id_tipo_cliente =&gt; "&amp;IF(TRIM(I511&amp;"")="","NULL","(SELECT lo.id FROM gen_lista_opciones lo JOIN gen_lista l ON l.id = lo.id_lista WHERE l.nombre = 'TipoCliente' AND upper(lo.nombre) = upper('"&amp;SUBSTITUTE(TRIM(I511),"'","''")&amp;"') AND lo.estado = 1 LIMIT 1)")&amp;", p_id_tipo_persona =&gt; "&amp;IF(TRIM(H511&amp;"")="","NULL","(SELECT lo.id FROM gen_lista_opciones lo JOIN gen_lista l ON l.id = lo.id_lista WHERE l.nombre = 'TipoPersona' AND upper(lo.nombre) = upper('"&amp;SUBSTITUTE(TRIM(H511),"'","''")&amp;"') AND lo.estado = 1 LIMIT 1)")&amp;", p_nombres =&gt; "&amp;IF(TRIM(E511&amp;"")="","NULL","'"&amp;SUBSTITUTE(TRIM(E511),"'","''")&amp;"'")&amp;", p_apellido_paterno =&gt; "&amp;IF(TRIM(F511&amp;"")="","NULL","'"&amp;SUBSTITUTE(TRIM(F511),"'","''")&amp;"'")&amp;", p_apellido_materno =&gt; "&amp;IF(TRIM(G511&amp;"")="","NULL","'"&amp;SUBSTITUTE(TRIM(G511),"'","''")&amp;"'")&amp;", p_id_tipo_documento =&gt; "&amp;IF(TRIM(B511&amp;"")="","NULL","(SELECT lo.id FROM gen_lista_opciones lo JOIN gen_lista l ON l.id = lo.id_lista WHERE l.nombre = 'TipoDocumento' AND upper(lo.nombre) = upper('"&amp;SUBSTITUTE(TRIM(B511),"'","''")&amp;"') AND lo.estado = 1 LIMIT 1)")&amp;", p_numero_documento =&gt; "&amp;IF(TRIM(C511&amp;"")="","NULL","'"&amp;SUBSTITUTE(TRIM(C511),"'","''")&amp;"'")&amp;", p_telefono =&gt; "&amp;IF(TRIM(L511&amp;"")="","NULL","'"&amp;SUBSTITUTE(TRIM(L511),"'","''")&amp;"'")&amp;", p_email =&gt; "&amp;IF(TRIM(M511&amp;"")="","NULL","'"&amp;SUBSTITUTE(TRIM(M511),"'","''")&amp;"'")&amp;", p_observacion =&gt; "&amp;IF(TRIM(O511&amp;"")="","NULL","'"&amp;SUBSTITUTE(TRIM(O511),"'","''")&amp;"'")&amp;", p_direccion =&gt; "&amp;IF(TRIM(J511&amp;"")="","NULL","'"&amp;SUBSTITUTE(TRIM(J511),"'","''")&amp;"'")&amp;", p_referencia =&gt; "&amp;IF(TRIM(K511&amp;"")="","NULL","'"&amp;SUBSTITUTE(TRIM(K511),"'","''")&amp;"'")&amp;") AS resultado_cliente_"&amp;466&amp;";")</f>
        <v/>
      </c>
    </row>
    <row r="512" ht="15.75" customHeight="1" s="64">
      <c r="A512" s="25">
        <f>IF(AND(D512="",E512="",C512=""),"",IF(AND(D512="",E512=""),"FALTA razón social o nombres",IF(AND(C512&lt;&gt;"",COUNTIF($C$5:$C$549,C512)&gt;1),"DOCUMENTO DUPLICADO",IF(AND(B512="DNI",C512&lt;&gt;"",LEN(C512)&lt;&gt;8),"DNI debe tener 8 dígitos",IF(AND(B512="RUC",C512&lt;&gt;"",LEN(C512)&lt;&gt;11),"RUC debe tener 11 dígitos",IF(AND(N512&lt;&gt;"",COUNTIF($N$5:$N$549,N512)&gt;1),"CÓDIGO INTERNO DUPLICADO","OK"))))))</f>
        <v/>
      </c>
      <c r="B512" s="17" t="n"/>
      <c r="C512" s="23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23" t="n"/>
      <c r="M512" s="17" t="n"/>
      <c r="N512" s="23" t="n"/>
      <c r="O512" s="17" t="n"/>
      <c r="P512" s="28">
        <f>IF(A512&lt;&gt;"OK","","SELECT cli_crear_clientes(p_codigo_interno =&gt; "&amp;IF(TRIM(N512&amp;"")="","NULL","'"&amp;SUBSTITUTE(TRIM(N512),"'","''")&amp;"'")&amp;", p_razon_social =&gt; "&amp;IF(TRIM(D512&amp;"")="","NULL","'"&amp;SUBSTITUTE(TRIM(D512),"'","''")&amp;"'")&amp;", p_id_tipo_cliente =&gt; "&amp;IF(TRIM(I512&amp;"")="","NULL","(SELECT lo.id FROM gen_lista_opciones lo JOIN gen_lista l ON l.id = lo.id_lista WHERE l.nombre = 'TipoCliente' AND upper(lo.nombre) = upper('"&amp;SUBSTITUTE(TRIM(I512),"'","''")&amp;"') AND lo.estado = 1 LIMIT 1)")&amp;", p_id_tipo_persona =&gt; "&amp;IF(TRIM(H512&amp;"")="","NULL","(SELECT lo.id FROM gen_lista_opciones lo JOIN gen_lista l ON l.id = lo.id_lista WHERE l.nombre = 'TipoPersona' AND upper(lo.nombre) = upper('"&amp;SUBSTITUTE(TRIM(H512),"'","''")&amp;"') AND lo.estado = 1 LIMIT 1)")&amp;", p_nombres =&gt; "&amp;IF(TRIM(E512&amp;"")="","NULL","'"&amp;SUBSTITUTE(TRIM(E512),"'","''")&amp;"'")&amp;", p_apellido_paterno =&gt; "&amp;IF(TRIM(F512&amp;"")="","NULL","'"&amp;SUBSTITUTE(TRIM(F512),"'","''")&amp;"'")&amp;", p_apellido_materno =&gt; "&amp;IF(TRIM(G512&amp;"")="","NULL","'"&amp;SUBSTITUTE(TRIM(G512),"'","''")&amp;"'")&amp;", p_id_tipo_documento =&gt; "&amp;IF(TRIM(B512&amp;"")="","NULL","(SELECT lo.id FROM gen_lista_opciones lo JOIN gen_lista l ON l.id = lo.id_lista WHERE l.nombre = 'TipoDocumento' AND upper(lo.nombre) = upper('"&amp;SUBSTITUTE(TRIM(B512),"'","''")&amp;"') AND lo.estado = 1 LIMIT 1)")&amp;", p_numero_documento =&gt; "&amp;IF(TRIM(C512&amp;"")="","NULL","'"&amp;SUBSTITUTE(TRIM(C512),"'","''")&amp;"'")&amp;", p_telefono =&gt; "&amp;IF(TRIM(L512&amp;"")="","NULL","'"&amp;SUBSTITUTE(TRIM(L512),"'","''")&amp;"'")&amp;", p_email =&gt; "&amp;IF(TRIM(M512&amp;"")="","NULL","'"&amp;SUBSTITUTE(TRIM(M512),"'","''")&amp;"'")&amp;", p_observacion =&gt; "&amp;IF(TRIM(O512&amp;"")="","NULL","'"&amp;SUBSTITUTE(TRIM(O512),"'","''")&amp;"'")&amp;", p_direccion =&gt; "&amp;IF(TRIM(J512&amp;"")="","NULL","'"&amp;SUBSTITUTE(TRIM(J512),"'","''")&amp;"'")&amp;", p_referencia =&gt; "&amp;IF(TRIM(K512&amp;"")="","NULL","'"&amp;SUBSTITUTE(TRIM(K512),"'","''")&amp;"'")&amp;") AS resultado_cliente_"&amp;467&amp;";")</f>
        <v/>
      </c>
    </row>
    <row r="513" ht="15.75" customHeight="1" s="64">
      <c r="A513" s="25">
        <f>IF(AND(D513="",E513="",C513=""),"",IF(AND(D513="",E513=""),"FALTA razón social o nombres",IF(AND(C513&lt;&gt;"",COUNTIF($C$5:$C$549,C513)&gt;1),"DOCUMENTO DUPLICADO",IF(AND(B513="DNI",C513&lt;&gt;"",LEN(C513)&lt;&gt;8),"DNI debe tener 8 dígitos",IF(AND(B513="RUC",C513&lt;&gt;"",LEN(C513)&lt;&gt;11),"RUC debe tener 11 dígitos",IF(AND(N513&lt;&gt;"",COUNTIF($N$5:$N$549,N513)&gt;1),"CÓDIGO INTERNO DUPLICADO","OK"))))))</f>
        <v/>
      </c>
      <c r="B513" s="17" t="n"/>
      <c r="C513" s="23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23" t="n"/>
      <c r="M513" s="17" t="n"/>
      <c r="N513" s="23" t="n"/>
      <c r="O513" s="17" t="n"/>
      <c r="P513" s="28">
        <f>IF(A513&lt;&gt;"OK","","SELECT cli_crear_clientes(p_codigo_interno =&gt; "&amp;IF(TRIM(N513&amp;"")="","NULL","'"&amp;SUBSTITUTE(TRIM(N513),"'","''")&amp;"'")&amp;", p_razon_social =&gt; "&amp;IF(TRIM(D513&amp;"")="","NULL","'"&amp;SUBSTITUTE(TRIM(D513),"'","''")&amp;"'")&amp;", p_id_tipo_cliente =&gt; "&amp;IF(TRIM(I513&amp;"")="","NULL","(SELECT lo.id FROM gen_lista_opciones lo JOIN gen_lista l ON l.id = lo.id_lista WHERE l.nombre = 'TipoCliente' AND upper(lo.nombre) = upper('"&amp;SUBSTITUTE(TRIM(I513),"'","''")&amp;"') AND lo.estado = 1 LIMIT 1)")&amp;", p_id_tipo_persona =&gt; "&amp;IF(TRIM(H513&amp;"")="","NULL","(SELECT lo.id FROM gen_lista_opciones lo JOIN gen_lista l ON l.id = lo.id_lista WHERE l.nombre = 'TipoPersona' AND upper(lo.nombre) = upper('"&amp;SUBSTITUTE(TRIM(H513),"'","''")&amp;"') AND lo.estado = 1 LIMIT 1)")&amp;", p_nombres =&gt; "&amp;IF(TRIM(E513&amp;"")="","NULL","'"&amp;SUBSTITUTE(TRIM(E513),"'","''")&amp;"'")&amp;", p_apellido_paterno =&gt; "&amp;IF(TRIM(F513&amp;"")="","NULL","'"&amp;SUBSTITUTE(TRIM(F513),"'","''")&amp;"'")&amp;", p_apellido_materno =&gt; "&amp;IF(TRIM(G513&amp;"")="","NULL","'"&amp;SUBSTITUTE(TRIM(G513),"'","''")&amp;"'")&amp;", p_id_tipo_documento =&gt; "&amp;IF(TRIM(B513&amp;"")="","NULL","(SELECT lo.id FROM gen_lista_opciones lo JOIN gen_lista l ON l.id = lo.id_lista WHERE l.nombre = 'TipoDocumento' AND upper(lo.nombre) = upper('"&amp;SUBSTITUTE(TRIM(B513),"'","''")&amp;"') AND lo.estado = 1 LIMIT 1)")&amp;", p_numero_documento =&gt; "&amp;IF(TRIM(C513&amp;"")="","NULL","'"&amp;SUBSTITUTE(TRIM(C513),"'","''")&amp;"'")&amp;", p_telefono =&gt; "&amp;IF(TRIM(L513&amp;"")="","NULL","'"&amp;SUBSTITUTE(TRIM(L513),"'","''")&amp;"'")&amp;", p_email =&gt; "&amp;IF(TRIM(M513&amp;"")="","NULL","'"&amp;SUBSTITUTE(TRIM(M513),"'","''")&amp;"'")&amp;", p_observacion =&gt; "&amp;IF(TRIM(O513&amp;"")="","NULL","'"&amp;SUBSTITUTE(TRIM(O513),"'","''")&amp;"'")&amp;", p_direccion =&gt; "&amp;IF(TRIM(J513&amp;"")="","NULL","'"&amp;SUBSTITUTE(TRIM(J513),"'","''")&amp;"'")&amp;", p_referencia =&gt; "&amp;IF(TRIM(K513&amp;"")="","NULL","'"&amp;SUBSTITUTE(TRIM(K513),"'","''")&amp;"'")&amp;") AS resultado_cliente_"&amp;468&amp;";")</f>
        <v/>
      </c>
    </row>
    <row r="514" ht="15.75" customHeight="1" s="64">
      <c r="A514" s="25">
        <f>IF(AND(D514="",E514="",C514=""),"",IF(AND(D514="",E514=""),"FALTA razón social o nombres",IF(AND(C514&lt;&gt;"",COUNTIF($C$5:$C$549,C514)&gt;1),"DOCUMENTO DUPLICADO",IF(AND(B514="DNI",C514&lt;&gt;"",LEN(C514)&lt;&gt;8),"DNI debe tener 8 dígitos",IF(AND(B514="RUC",C514&lt;&gt;"",LEN(C514)&lt;&gt;11),"RUC debe tener 11 dígitos",IF(AND(N514&lt;&gt;"",COUNTIF($N$5:$N$549,N514)&gt;1),"CÓDIGO INTERNO DUPLICADO","OK"))))))</f>
        <v/>
      </c>
      <c r="B514" s="17" t="n"/>
      <c r="C514" s="23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23" t="n"/>
      <c r="M514" s="17" t="n"/>
      <c r="N514" s="23" t="n"/>
      <c r="O514" s="17" t="n"/>
      <c r="P514" s="28">
        <f>IF(A514&lt;&gt;"OK","","SELECT cli_crear_clientes(p_codigo_interno =&gt; "&amp;IF(TRIM(N514&amp;"")="","NULL","'"&amp;SUBSTITUTE(TRIM(N514),"'","''")&amp;"'")&amp;", p_razon_social =&gt; "&amp;IF(TRIM(D514&amp;"")="","NULL","'"&amp;SUBSTITUTE(TRIM(D514),"'","''")&amp;"'")&amp;", p_id_tipo_cliente =&gt; "&amp;IF(TRIM(I514&amp;"")="","NULL","(SELECT lo.id FROM gen_lista_opciones lo JOIN gen_lista l ON l.id = lo.id_lista WHERE l.nombre = 'TipoCliente' AND upper(lo.nombre) = upper('"&amp;SUBSTITUTE(TRIM(I514),"'","''")&amp;"') AND lo.estado = 1 LIMIT 1)")&amp;", p_id_tipo_persona =&gt; "&amp;IF(TRIM(H514&amp;"")="","NULL","(SELECT lo.id FROM gen_lista_opciones lo JOIN gen_lista l ON l.id = lo.id_lista WHERE l.nombre = 'TipoPersona' AND upper(lo.nombre) = upper('"&amp;SUBSTITUTE(TRIM(H514),"'","''")&amp;"') AND lo.estado = 1 LIMIT 1)")&amp;", p_nombres =&gt; "&amp;IF(TRIM(E514&amp;"")="","NULL","'"&amp;SUBSTITUTE(TRIM(E514),"'","''")&amp;"'")&amp;", p_apellido_paterno =&gt; "&amp;IF(TRIM(F514&amp;"")="","NULL","'"&amp;SUBSTITUTE(TRIM(F514),"'","''")&amp;"'")&amp;", p_apellido_materno =&gt; "&amp;IF(TRIM(G514&amp;"")="","NULL","'"&amp;SUBSTITUTE(TRIM(G514),"'","''")&amp;"'")&amp;", p_id_tipo_documento =&gt; "&amp;IF(TRIM(B514&amp;"")="","NULL","(SELECT lo.id FROM gen_lista_opciones lo JOIN gen_lista l ON l.id = lo.id_lista WHERE l.nombre = 'TipoDocumento' AND upper(lo.nombre) = upper('"&amp;SUBSTITUTE(TRIM(B514),"'","''")&amp;"') AND lo.estado = 1 LIMIT 1)")&amp;", p_numero_documento =&gt; "&amp;IF(TRIM(C514&amp;"")="","NULL","'"&amp;SUBSTITUTE(TRIM(C514),"'","''")&amp;"'")&amp;", p_telefono =&gt; "&amp;IF(TRIM(L514&amp;"")="","NULL","'"&amp;SUBSTITUTE(TRIM(L514),"'","''")&amp;"'")&amp;", p_email =&gt; "&amp;IF(TRIM(M514&amp;"")="","NULL","'"&amp;SUBSTITUTE(TRIM(M514),"'","''")&amp;"'")&amp;", p_observacion =&gt; "&amp;IF(TRIM(O514&amp;"")="","NULL","'"&amp;SUBSTITUTE(TRIM(O514),"'","''")&amp;"'")&amp;", p_direccion =&gt; "&amp;IF(TRIM(J514&amp;"")="","NULL","'"&amp;SUBSTITUTE(TRIM(J514),"'","''")&amp;"'")&amp;", p_referencia =&gt; "&amp;IF(TRIM(K514&amp;"")="","NULL","'"&amp;SUBSTITUTE(TRIM(K514),"'","''")&amp;"'")&amp;") AS resultado_cliente_"&amp;469&amp;";")</f>
        <v/>
      </c>
    </row>
    <row r="515" ht="15.75" customHeight="1" s="64">
      <c r="A515" s="25">
        <f>IF(AND(D515="",E515="",C515=""),"",IF(AND(D515="",E515=""),"FALTA razón social o nombres",IF(AND(C515&lt;&gt;"",COUNTIF($C$5:$C$549,C515)&gt;1),"DOCUMENTO DUPLICADO",IF(AND(B515="DNI",C515&lt;&gt;"",LEN(C515)&lt;&gt;8),"DNI debe tener 8 dígitos",IF(AND(B515="RUC",C515&lt;&gt;"",LEN(C515)&lt;&gt;11),"RUC debe tener 11 dígitos",IF(AND(N515&lt;&gt;"",COUNTIF($N$5:$N$549,N515)&gt;1),"CÓDIGO INTERNO DUPLICADO","OK"))))))</f>
        <v/>
      </c>
      <c r="B515" s="17" t="n"/>
      <c r="C515" s="23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23" t="n"/>
      <c r="M515" s="17" t="n"/>
      <c r="N515" s="23" t="n"/>
      <c r="O515" s="17" t="n"/>
      <c r="P515" s="28">
        <f>IF(A515&lt;&gt;"OK","","SELECT cli_crear_clientes(p_codigo_interno =&gt; "&amp;IF(TRIM(N515&amp;"")="","NULL","'"&amp;SUBSTITUTE(TRIM(N515),"'","''")&amp;"'")&amp;", p_razon_social =&gt; "&amp;IF(TRIM(D515&amp;"")="","NULL","'"&amp;SUBSTITUTE(TRIM(D515),"'","''")&amp;"'")&amp;", p_id_tipo_cliente =&gt; "&amp;IF(TRIM(I515&amp;"")="","NULL","(SELECT lo.id FROM gen_lista_opciones lo JOIN gen_lista l ON l.id = lo.id_lista WHERE l.nombre = 'TipoCliente' AND upper(lo.nombre) = upper('"&amp;SUBSTITUTE(TRIM(I515),"'","''")&amp;"') AND lo.estado = 1 LIMIT 1)")&amp;", p_id_tipo_persona =&gt; "&amp;IF(TRIM(H515&amp;"")="","NULL","(SELECT lo.id FROM gen_lista_opciones lo JOIN gen_lista l ON l.id = lo.id_lista WHERE l.nombre = 'TipoPersona' AND upper(lo.nombre) = upper('"&amp;SUBSTITUTE(TRIM(H515),"'","''")&amp;"') AND lo.estado = 1 LIMIT 1)")&amp;", p_nombres =&gt; "&amp;IF(TRIM(E515&amp;"")="","NULL","'"&amp;SUBSTITUTE(TRIM(E515),"'","''")&amp;"'")&amp;", p_apellido_paterno =&gt; "&amp;IF(TRIM(F515&amp;"")="","NULL","'"&amp;SUBSTITUTE(TRIM(F515),"'","''")&amp;"'")&amp;", p_apellido_materno =&gt; "&amp;IF(TRIM(G515&amp;"")="","NULL","'"&amp;SUBSTITUTE(TRIM(G515),"'","''")&amp;"'")&amp;", p_id_tipo_documento =&gt; "&amp;IF(TRIM(B515&amp;"")="","NULL","(SELECT lo.id FROM gen_lista_opciones lo JOIN gen_lista l ON l.id = lo.id_lista WHERE l.nombre = 'TipoDocumento' AND upper(lo.nombre) = upper('"&amp;SUBSTITUTE(TRIM(B515),"'","''")&amp;"') AND lo.estado = 1 LIMIT 1)")&amp;", p_numero_documento =&gt; "&amp;IF(TRIM(C515&amp;"")="","NULL","'"&amp;SUBSTITUTE(TRIM(C515),"'","''")&amp;"'")&amp;", p_telefono =&gt; "&amp;IF(TRIM(L515&amp;"")="","NULL","'"&amp;SUBSTITUTE(TRIM(L515),"'","''")&amp;"'")&amp;", p_email =&gt; "&amp;IF(TRIM(M515&amp;"")="","NULL","'"&amp;SUBSTITUTE(TRIM(M515),"'","''")&amp;"'")&amp;", p_observacion =&gt; "&amp;IF(TRIM(O515&amp;"")="","NULL","'"&amp;SUBSTITUTE(TRIM(O515),"'","''")&amp;"'")&amp;", p_direccion =&gt; "&amp;IF(TRIM(J515&amp;"")="","NULL","'"&amp;SUBSTITUTE(TRIM(J515),"'","''")&amp;"'")&amp;", p_referencia =&gt; "&amp;IF(TRIM(K515&amp;"")="","NULL","'"&amp;SUBSTITUTE(TRIM(K515),"'","''")&amp;"'")&amp;") AS resultado_cliente_"&amp;470&amp;";")</f>
        <v/>
      </c>
    </row>
    <row r="516" ht="15.75" customHeight="1" s="64">
      <c r="A516" s="25">
        <f>IF(AND(D516="",E516="",C516=""),"",IF(AND(D516="",E516=""),"FALTA razón social o nombres",IF(AND(C516&lt;&gt;"",COUNTIF($C$5:$C$549,C516)&gt;1),"DOCUMENTO DUPLICADO",IF(AND(B516="DNI",C516&lt;&gt;"",LEN(C516)&lt;&gt;8),"DNI debe tener 8 dígitos",IF(AND(B516="RUC",C516&lt;&gt;"",LEN(C516)&lt;&gt;11),"RUC debe tener 11 dígitos",IF(AND(N516&lt;&gt;"",COUNTIF($N$5:$N$549,N516)&gt;1),"CÓDIGO INTERNO DUPLICADO","OK"))))))</f>
        <v/>
      </c>
      <c r="B516" s="17" t="n"/>
      <c r="C516" s="23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23" t="n"/>
      <c r="M516" s="17" t="n"/>
      <c r="N516" s="23" t="n"/>
      <c r="O516" s="17" t="n"/>
      <c r="P516" s="28">
        <f>IF(A516&lt;&gt;"OK","","SELECT cli_crear_clientes(p_codigo_interno =&gt; "&amp;IF(TRIM(N516&amp;"")="","NULL","'"&amp;SUBSTITUTE(TRIM(N516),"'","''")&amp;"'")&amp;", p_razon_social =&gt; "&amp;IF(TRIM(D516&amp;"")="","NULL","'"&amp;SUBSTITUTE(TRIM(D516),"'","''")&amp;"'")&amp;", p_id_tipo_cliente =&gt; "&amp;IF(TRIM(I516&amp;"")="","NULL","(SELECT lo.id FROM gen_lista_opciones lo JOIN gen_lista l ON l.id = lo.id_lista WHERE l.nombre = 'TipoCliente' AND upper(lo.nombre) = upper('"&amp;SUBSTITUTE(TRIM(I516),"'","''")&amp;"') AND lo.estado = 1 LIMIT 1)")&amp;", p_id_tipo_persona =&gt; "&amp;IF(TRIM(H516&amp;"")="","NULL","(SELECT lo.id FROM gen_lista_opciones lo JOIN gen_lista l ON l.id = lo.id_lista WHERE l.nombre = 'TipoPersona' AND upper(lo.nombre) = upper('"&amp;SUBSTITUTE(TRIM(H516),"'","''")&amp;"') AND lo.estado = 1 LIMIT 1)")&amp;", p_nombres =&gt; "&amp;IF(TRIM(E516&amp;"")="","NULL","'"&amp;SUBSTITUTE(TRIM(E516),"'","''")&amp;"'")&amp;", p_apellido_paterno =&gt; "&amp;IF(TRIM(F516&amp;"")="","NULL","'"&amp;SUBSTITUTE(TRIM(F516),"'","''")&amp;"'")&amp;", p_apellido_materno =&gt; "&amp;IF(TRIM(G516&amp;"")="","NULL","'"&amp;SUBSTITUTE(TRIM(G516),"'","''")&amp;"'")&amp;", p_id_tipo_documento =&gt; "&amp;IF(TRIM(B516&amp;"")="","NULL","(SELECT lo.id FROM gen_lista_opciones lo JOIN gen_lista l ON l.id = lo.id_lista WHERE l.nombre = 'TipoDocumento' AND upper(lo.nombre) = upper('"&amp;SUBSTITUTE(TRIM(B516),"'","''")&amp;"') AND lo.estado = 1 LIMIT 1)")&amp;", p_numero_documento =&gt; "&amp;IF(TRIM(C516&amp;"")="","NULL","'"&amp;SUBSTITUTE(TRIM(C516),"'","''")&amp;"'")&amp;", p_telefono =&gt; "&amp;IF(TRIM(L516&amp;"")="","NULL","'"&amp;SUBSTITUTE(TRIM(L516),"'","''")&amp;"'")&amp;", p_email =&gt; "&amp;IF(TRIM(M516&amp;"")="","NULL","'"&amp;SUBSTITUTE(TRIM(M516),"'","''")&amp;"'")&amp;", p_observacion =&gt; "&amp;IF(TRIM(O516&amp;"")="","NULL","'"&amp;SUBSTITUTE(TRIM(O516),"'","''")&amp;"'")&amp;", p_direccion =&gt; "&amp;IF(TRIM(J516&amp;"")="","NULL","'"&amp;SUBSTITUTE(TRIM(J516),"'","''")&amp;"'")&amp;", p_referencia =&gt; "&amp;IF(TRIM(K516&amp;"")="","NULL","'"&amp;SUBSTITUTE(TRIM(K516),"'","''")&amp;"'")&amp;") AS resultado_cliente_"&amp;471&amp;";")</f>
        <v/>
      </c>
    </row>
    <row r="517" ht="15.75" customHeight="1" s="64">
      <c r="A517" s="25">
        <f>IF(AND(D517="",E517="",C517=""),"",IF(AND(D517="",E517=""),"FALTA razón social o nombres",IF(AND(C517&lt;&gt;"",COUNTIF($C$5:$C$549,C517)&gt;1),"DOCUMENTO DUPLICADO",IF(AND(B517="DNI",C517&lt;&gt;"",LEN(C517)&lt;&gt;8),"DNI debe tener 8 dígitos",IF(AND(B517="RUC",C517&lt;&gt;"",LEN(C517)&lt;&gt;11),"RUC debe tener 11 dígitos",IF(AND(N517&lt;&gt;"",COUNTIF($N$5:$N$549,N517)&gt;1),"CÓDIGO INTERNO DUPLICADO","OK"))))))</f>
        <v/>
      </c>
      <c r="B517" s="17" t="n"/>
      <c r="C517" s="23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23" t="n"/>
      <c r="M517" s="17" t="n"/>
      <c r="N517" s="23" t="n"/>
      <c r="O517" s="17" t="n"/>
      <c r="P517" s="28">
        <f>IF(A517&lt;&gt;"OK","","SELECT cli_crear_clientes(p_codigo_interno =&gt; "&amp;IF(TRIM(N517&amp;"")="","NULL","'"&amp;SUBSTITUTE(TRIM(N517),"'","''")&amp;"'")&amp;", p_razon_social =&gt; "&amp;IF(TRIM(D517&amp;"")="","NULL","'"&amp;SUBSTITUTE(TRIM(D517),"'","''")&amp;"'")&amp;", p_id_tipo_cliente =&gt; "&amp;IF(TRIM(I517&amp;"")="","NULL","(SELECT lo.id FROM gen_lista_opciones lo JOIN gen_lista l ON l.id = lo.id_lista WHERE l.nombre = 'TipoCliente' AND upper(lo.nombre) = upper('"&amp;SUBSTITUTE(TRIM(I517),"'","''")&amp;"') AND lo.estado = 1 LIMIT 1)")&amp;", p_id_tipo_persona =&gt; "&amp;IF(TRIM(H517&amp;"")="","NULL","(SELECT lo.id FROM gen_lista_opciones lo JOIN gen_lista l ON l.id = lo.id_lista WHERE l.nombre = 'TipoPersona' AND upper(lo.nombre) = upper('"&amp;SUBSTITUTE(TRIM(H517),"'","''")&amp;"') AND lo.estado = 1 LIMIT 1)")&amp;", p_nombres =&gt; "&amp;IF(TRIM(E517&amp;"")="","NULL","'"&amp;SUBSTITUTE(TRIM(E517),"'","''")&amp;"'")&amp;", p_apellido_paterno =&gt; "&amp;IF(TRIM(F517&amp;"")="","NULL","'"&amp;SUBSTITUTE(TRIM(F517),"'","''")&amp;"'")&amp;", p_apellido_materno =&gt; "&amp;IF(TRIM(G517&amp;"")="","NULL","'"&amp;SUBSTITUTE(TRIM(G517),"'","''")&amp;"'")&amp;", p_id_tipo_documento =&gt; "&amp;IF(TRIM(B517&amp;"")="","NULL","(SELECT lo.id FROM gen_lista_opciones lo JOIN gen_lista l ON l.id = lo.id_lista WHERE l.nombre = 'TipoDocumento' AND upper(lo.nombre) = upper('"&amp;SUBSTITUTE(TRIM(B517),"'","''")&amp;"') AND lo.estado = 1 LIMIT 1)")&amp;", p_numero_documento =&gt; "&amp;IF(TRIM(C517&amp;"")="","NULL","'"&amp;SUBSTITUTE(TRIM(C517),"'","''")&amp;"'")&amp;", p_telefono =&gt; "&amp;IF(TRIM(L517&amp;"")="","NULL","'"&amp;SUBSTITUTE(TRIM(L517),"'","''")&amp;"'")&amp;", p_email =&gt; "&amp;IF(TRIM(M517&amp;"")="","NULL","'"&amp;SUBSTITUTE(TRIM(M517),"'","''")&amp;"'")&amp;", p_observacion =&gt; "&amp;IF(TRIM(O517&amp;"")="","NULL","'"&amp;SUBSTITUTE(TRIM(O517),"'","''")&amp;"'")&amp;", p_direccion =&gt; "&amp;IF(TRIM(J517&amp;"")="","NULL","'"&amp;SUBSTITUTE(TRIM(J517),"'","''")&amp;"'")&amp;", p_referencia =&gt; "&amp;IF(TRIM(K517&amp;"")="","NULL","'"&amp;SUBSTITUTE(TRIM(K517),"'","''")&amp;"'")&amp;") AS resultado_cliente_"&amp;472&amp;";")</f>
        <v/>
      </c>
    </row>
    <row r="518" ht="15.75" customHeight="1" s="64">
      <c r="A518" s="25">
        <f>IF(AND(D518="",E518="",C518=""),"",IF(AND(D518="",E518=""),"FALTA razón social o nombres",IF(AND(C518&lt;&gt;"",COUNTIF($C$5:$C$549,C518)&gt;1),"DOCUMENTO DUPLICADO",IF(AND(B518="DNI",C518&lt;&gt;"",LEN(C518)&lt;&gt;8),"DNI debe tener 8 dígitos",IF(AND(B518="RUC",C518&lt;&gt;"",LEN(C518)&lt;&gt;11),"RUC debe tener 11 dígitos",IF(AND(N518&lt;&gt;"",COUNTIF($N$5:$N$549,N518)&gt;1),"CÓDIGO INTERNO DUPLICADO","OK"))))))</f>
        <v/>
      </c>
      <c r="B518" s="17" t="n"/>
      <c r="C518" s="23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23" t="n"/>
      <c r="M518" s="17" t="n"/>
      <c r="N518" s="23" t="n"/>
      <c r="O518" s="17" t="n"/>
      <c r="P518" s="28">
        <f>IF(A518&lt;&gt;"OK","","SELECT cli_crear_clientes(p_codigo_interno =&gt; "&amp;IF(TRIM(N518&amp;"")="","NULL","'"&amp;SUBSTITUTE(TRIM(N518),"'","''")&amp;"'")&amp;", p_razon_social =&gt; "&amp;IF(TRIM(D518&amp;"")="","NULL","'"&amp;SUBSTITUTE(TRIM(D518),"'","''")&amp;"'")&amp;", p_id_tipo_cliente =&gt; "&amp;IF(TRIM(I518&amp;"")="","NULL","(SELECT lo.id FROM gen_lista_opciones lo JOIN gen_lista l ON l.id = lo.id_lista WHERE l.nombre = 'TipoCliente' AND upper(lo.nombre) = upper('"&amp;SUBSTITUTE(TRIM(I518),"'","''")&amp;"') AND lo.estado = 1 LIMIT 1)")&amp;", p_id_tipo_persona =&gt; "&amp;IF(TRIM(H518&amp;"")="","NULL","(SELECT lo.id FROM gen_lista_opciones lo JOIN gen_lista l ON l.id = lo.id_lista WHERE l.nombre = 'TipoPersona' AND upper(lo.nombre) = upper('"&amp;SUBSTITUTE(TRIM(H518),"'","''")&amp;"') AND lo.estado = 1 LIMIT 1)")&amp;", p_nombres =&gt; "&amp;IF(TRIM(E518&amp;"")="","NULL","'"&amp;SUBSTITUTE(TRIM(E518),"'","''")&amp;"'")&amp;", p_apellido_paterno =&gt; "&amp;IF(TRIM(F518&amp;"")="","NULL","'"&amp;SUBSTITUTE(TRIM(F518),"'","''")&amp;"'")&amp;", p_apellido_materno =&gt; "&amp;IF(TRIM(G518&amp;"")="","NULL","'"&amp;SUBSTITUTE(TRIM(G518),"'","''")&amp;"'")&amp;", p_id_tipo_documento =&gt; "&amp;IF(TRIM(B518&amp;"")="","NULL","(SELECT lo.id FROM gen_lista_opciones lo JOIN gen_lista l ON l.id = lo.id_lista WHERE l.nombre = 'TipoDocumento' AND upper(lo.nombre) = upper('"&amp;SUBSTITUTE(TRIM(B518),"'","''")&amp;"') AND lo.estado = 1 LIMIT 1)")&amp;", p_numero_documento =&gt; "&amp;IF(TRIM(C518&amp;"")="","NULL","'"&amp;SUBSTITUTE(TRIM(C518),"'","''")&amp;"'")&amp;", p_telefono =&gt; "&amp;IF(TRIM(L518&amp;"")="","NULL","'"&amp;SUBSTITUTE(TRIM(L518),"'","''")&amp;"'")&amp;", p_email =&gt; "&amp;IF(TRIM(M518&amp;"")="","NULL","'"&amp;SUBSTITUTE(TRIM(M518),"'","''")&amp;"'")&amp;", p_observacion =&gt; "&amp;IF(TRIM(O518&amp;"")="","NULL","'"&amp;SUBSTITUTE(TRIM(O518),"'","''")&amp;"'")&amp;", p_direccion =&gt; "&amp;IF(TRIM(J518&amp;"")="","NULL","'"&amp;SUBSTITUTE(TRIM(J518),"'","''")&amp;"'")&amp;", p_referencia =&gt; "&amp;IF(TRIM(K518&amp;"")="","NULL","'"&amp;SUBSTITUTE(TRIM(K518),"'","''")&amp;"'")&amp;") AS resultado_cliente_"&amp;473&amp;";")</f>
        <v/>
      </c>
    </row>
    <row r="519" ht="15.75" customHeight="1" s="64">
      <c r="A519" s="25">
        <f>IF(AND(D519="",E519="",C519=""),"",IF(AND(D519="",E519=""),"FALTA razón social o nombres",IF(AND(C519&lt;&gt;"",COUNTIF($C$5:$C$549,C519)&gt;1),"DOCUMENTO DUPLICADO",IF(AND(B519="DNI",C519&lt;&gt;"",LEN(C519)&lt;&gt;8),"DNI debe tener 8 dígitos",IF(AND(B519="RUC",C519&lt;&gt;"",LEN(C519)&lt;&gt;11),"RUC debe tener 11 dígitos",IF(AND(N519&lt;&gt;"",COUNTIF($N$5:$N$549,N519)&gt;1),"CÓDIGO INTERNO DUPLICADO","OK"))))))</f>
        <v/>
      </c>
      <c r="B519" s="17" t="n"/>
      <c r="C519" s="23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23" t="n"/>
      <c r="M519" s="17" t="n"/>
      <c r="N519" s="23" t="n"/>
      <c r="O519" s="17" t="n"/>
      <c r="P519" s="28">
        <f>IF(A519&lt;&gt;"OK","","SELECT cli_crear_clientes(p_codigo_interno =&gt; "&amp;IF(TRIM(N519&amp;"")="","NULL","'"&amp;SUBSTITUTE(TRIM(N519),"'","''")&amp;"'")&amp;", p_razon_social =&gt; "&amp;IF(TRIM(D519&amp;"")="","NULL","'"&amp;SUBSTITUTE(TRIM(D519),"'","''")&amp;"'")&amp;", p_id_tipo_cliente =&gt; "&amp;IF(TRIM(I519&amp;"")="","NULL","(SELECT lo.id FROM gen_lista_opciones lo JOIN gen_lista l ON l.id = lo.id_lista WHERE l.nombre = 'TipoCliente' AND upper(lo.nombre) = upper('"&amp;SUBSTITUTE(TRIM(I519),"'","''")&amp;"') AND lo.estado = 1 LIMIT 1)")&amp;", p_id_tipo_persona =&gt; "&amp;IF(TRIM(H519&amp;"")="","NULL","(SELECT lo.id FROM gen_lista_opciones lo JOIN gen_lista l ON l.id = lo.id_lista WHERE l.nombre = 'TipoPersona' AND upper(lo.nombre) = upper('"&amp;SUBSTITUTE(TRIM(H519),"'","''")&amp;"') AND lo.estado = 1 LIMIT 1)")&amp;", p_nombres =&gt; "&amp;IF(TRIM(E519&amp;"")="","NULL","'"&amp;SUBSTITUTE(TRIM(E519),"'","''")&amp;"'")&amp;", p_apellido_paterno =&gt; "&amp;IF(TRIM(F519&amp;"")="","NULL","'"&amp;SUBSTITUTE(TRIM(F519),"'","''")&amp;"'")&amp;", p_apellido_materno =&gt; "&amp;IF(TRIM(G519&amp;"")="","NULL","'"&amp;SUBSTITUTE(TRIM(G519),"'","''")&amp;"'")&amp;", p_id_tipo_documento =&gt; "&amp;IF(TRIM(B519&amp;"")="","NULL","(SELECT lo.id FROM gen_lista_opciones lo JOIN gen_lista l ON l.id = lo.id_lista WHERE l.nombre = 'TipoDocumento' AND upper(lo.nombre) = upper('"&amp;SUBSTITUTE(TRIM(B519),"'","''")&amp;"') AND lo.estado = 1 LIMIT 1)")&amp;", p_numero_documento =&gt; "&amp;IF(TRIM(C519&amp;"")="","NULL","'"&amp;SUBSTITUTE(TRIM(C519),"'","''")&amp;"'")&amp;", p_telefono =&gt; "&amp;IF(TRIM(L519&amp;"")="","NULL","'"&amp;SUBSTITUTE(TRIM(L519),"'","''")&amp;"'")&amp;", p_email =&gt; "&amp;IF(TRIM(M519&amp;"")="","NULL","'"&amp;SUBSTITUTE(TRIM(M519),"'","''")&amp;"'")&amp;", p_observacion =&gt; "&amp;IF(TRIM(O519&amp;"")="","NULL","'"&amp;SUBSTITUTE(TRIM(O519),"'","''")&amp;"'")&amp;", p_direccion =&gt; "&amp;IF(TRIM(J519&amp;"")="","NULL","'"&amp;SUBSTITUTE(TRIM(J519),"'","''")&amp;"'")&amp;", p_referencia =&gt; "&amp;IF(TRIM(K519&amp;"")="","NULL","'"&amp;SUBSTITUTE(TRIM(K519),"'","''")&amp;"'")&amp;") AS resultado_cliente_"&amp;474&amp;";")</f>
        <v/>
      </c>
    </row>
    <row r="520" ht="15.75" customHeight="1" s="64">
      <c r="A520" s="25">
        <f>IF(AND(D520="",E520="",C520=""),"",IF(AND(D520="",E520=""),"FALTA razón social o nombres",IF(AND(C520&lt;&gt;"",COUNTIF($C$5:$C$549,C520)&gt;1),"DOCUMENTO DUPLICADO",IF(AND(B520="DNI",C520&lt;&gt;"",LEN(C520)&lt;&gt;8),"DNI debe tener 8 dígitos",IF(AND(B520="RUC",C520&lt;&gt;"",LEN(C520)&lt;&gt;11),"RUC debe tener 11 dígitos",IF(AND(N520&lt;&gt;"",COUNTIF($N$5:$N$549,N520)&gt;1),"CÓDIGO INTERNO DUPLICADO","OK"))))))</f>
        <v/>
      </c>
      <c r="B520" s="17" t="n"/>
      <c r="C520" s="23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23" t="n"/>
      <c r="M520" s="17" t="n"/>
      <c r="N520" s="23" t="n"/>
      <c r="O520" s="17" t="n"/>
      <c r="P520" s="28">
        <f>IF(A520&lt;&gt;"OK","","SELECT cli_crear_clientes(p_codigo_interno =&gt; "&amp;IF(TRIM(N520&amp;"")="","NULL","'"&amp;SUBSTITUTE(TRIM(N520),"'","''")&amp;"'")&amp;", p_razon_social =&gt; "&amp;IF(TRIM(D520&amp;"")="","NULL","'"&amp;SUBSTITUTE(TRIM(D520),"'","''")&amp;"'")&amp;", p_id_tipo_cliente =&gt; "&amp;IF(TRIM(I520&amp;"")="","NULL","(SELECT lo.id FROM gen_lista_opciones lo JOIN gen_lista l ON l.id = lo.id_lista WHERE l.nombre = 'TipoCliente' AND upper(lo.nombre) = upper('"&amp;SUBSTITUTE(TRIM(I520),"'","''")&amp;"') AND lo.estado = 1 LIMIT 1)")&amp;", p_id_tipo_persona =&gt; "&amp;IF(TRIM(H520&amp;"")="","NULL","(SELECT lo.id FROM gen_lista_opciones lo JOIN gen_lista l ON l.id = lo.id_lista WHERE l.nombre = 'TipoPersona' AND upper(lo.nombre) = upper('"&amp;SUBSTITUTE(TRIM(H520),"'","''")&amp;"') AND lo.estado = 1 LIMIT 1)")&amp;", p_nombres =&gt; "&amp;IF(TRIM(E520&amp;"")="","NULL","'"&amp;SUBSTITUTE(TRIM(E520),"'","''")&amp;"'")&amp;", p_apellido_paterno =&gt; "&amp;IF(TRIM(F520&amp;"")="","NULL","'"&amp;SUBSTITUTE(TRIM(F520),"'","''")&amp;"'")&amp;", p_apellido_materno =&gt; "&amp;IF(TRIM(G520&amp;"")="","NULL","'"&amp;SUBSTITUTE(TRIM(G520),"'","''")&amp;"'")&amp;", p_id_tipo_documento =&gt; "&amp;IF(TRIM(B520&amp;"")="","NULL","(SELECT lo.id FROM gen_lista_opciones lo JOIN gen_lista l ON l.id = lo.id_lista WHERE l.nombre = 'TipoDocumento' AND upper(lo.nombre) = upper('"&amp;SUBSTITUTE(TRIM(B520),"'","''")&amp;"') AND lo.estado = 1 LIMIT 1)")&amp;", p_numero_documento =&gt; "&amp;IF(TRIM(C520&amp;"")="","NULL","'"&amp;SUBSTITUTE(TRIM(C520),"'","''")&amp;"'")&amp;", p_telefono =&gt; "&amp;IF(TRIM(L520&amp;"")="","NULL","'"&amp;SUBSTITUTE(TRIM(L520),"'","''")&amp;"'")&amp;", p_email =&gt; "&amp;IF(TRIM(M520&amp;"")="","NULL","'"&amp;SUBSTITUTE(TRIM(M520),"'","''")&amp;"'")&amp;", p_observacion =&gt; "&amp;IF(TRIM(O520&amp;"")="","NULL","'"&amp;SUBSTITUTE(TRIM(O520),"'","''")&amp;"'")&amp;", p_direccion =&gt; "&amp;IF(TRIM(J520&amp;"")="","NULL","'"&amp;SUBSTITUTE(TRIM(J520),"'","''")&amp;"'")&amp;", p_referencia =&gt; "&amp;IF(TRIM(K520&amp;"")="","NULL","'"&amp;SUBSTITUTE(TRIM(K520),"'","''")&amp;"'")&amp;") AS resultado_cliente_"&amp;475&amp;";")</f>
        <v/>
      </c>
    </row>
    <row r="521" ht="15.75" customHeight="1" s="64">
      <c r="A521" s="25">
        <f>IF(AND(D521="",E521="",C521=""),"",IF(AND(D521="",E521=""),"FALTA razón social o nombres",IF(AND(C521&lt;&gt;"",COUNTIF($C$5:$C$549,C521)&gt;1),"DOCUMENTO DUPLICADO",IF(AND(B521="DNI",C521&lt;&gt;"",LEN(C521)&lt;&gt;8),"DNI debe tener 8 dígitos",IF(AND(B521="RUC",C521&lt;&gt;"",LEN(C521)&lt;&gt;11),"RUC debe tener 11 dígitos",IF(AND(N521&lt;&gt;"",COUNTIF($N$5:$N$549,N521)&gt;1),"CÓDIGO INTERNO DUPLICADO","OK"))))))</f>
        <v/>
      </c>
      <c r="B521" s="17" t="n"/>
      <c r="C521" s="23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23" t="n"/>
      <c r="M521" s="17" t="n"/>
      <c r="N521" s="23" t="n"/>
      <c r="O521" s="17" t="n"/>
      <c r="P521" s="28">
        <f>IF(A521&lt;&gt;"OK","","SELECT cli_crear_clientes(p_codigo_interno =&gt; "&amp;IF(TRIM(N521&amp;"")="","NULL","'"&amp;SUBSTITUTE(TRIM(N521),"'","''")&amp;"'")&amp;", p_razon_social =&gt; "&amp;IF(TRIM(D521&amp;"")="","NULL","'"&amp;SUBSTITUTE(TRIM(D521),"'","''")&amp;"'")&amp;", p_id_tipo_cliente =&gt; "&amp;IF(TRIM(I521&amp;"")="","NULL","(SELECT lo.id FROM gen_lista_opciones lo JOIN gen_lista l ON l.id = lo.id_lista WHERE l.nombre = 'TipoCliente' AND upper(lo.nombre) = upper('"&amp;SUBSTITUTE(TRIM(I521),"'","''")&amp;"') AND lo.estado = 1 LIMIT 1)")&amp;", p_id_tipo_persona =&gt; "&amp;IF(TRIM(H521&amp;"")="","NULL","(SELECT lo.id FROM gen_lista_opciones lo JOIN gen_lista l ON l.id = lo.id_lista WHERE l.nombre = 'TipoPersona' AND upper(lo.nombre) = upper('"&amp;SUBSTITUTE(TRIM(H521),"'","''")&amp;"') AND lo.estado = 1 LIMIT 1)")&amp;", p_nombres =&gt; "&amp;IF(TRIM(E521&amp;"")="","NULL","'"&amp;SUBSTITUTE(TRIM(E521),"'","''")&amp;"'")&amp;", p_apellido_paterno =&gt; "&amp;IF(TRIM(F521&amp;"")="","NULL","'"&amp;SUBSTITUTE(TRIM(F521),"'","''")&amp;"'")&amp;", p_apellido_materno =&gt; "&amp;IF(TRIM(G521&amp;"")="","NULL","'"&amp;SUBSTITUTE(TRIM(G521),"'","''")&amp;"'")&amp;", p_id_tipo_documento =&gt; "&amp;IF(TRIM(B521&amp;"")="","NULL","(SELECT lo.id FROM gen_lista_opciones lo JOIN gen_lista l ON l.id = lo.id_lista WHERE l.nombre = 'TipoDocumento' AND upper(lo.nombre) = upper('"&amp;SUBSTITUTE(TRIM(B521),"'","''")&amp;"') AND lo.estado = 1 LIMIT 1)")&amp;", p_numero_documento =&gt; "&amp;IF(TRIM(C521&amp;"")="","NULL","'"&amp;SUBSTITUTE(TRIM(C521),"'","''")&amp;"'")&amp;", p_telefono =&gt; "&amp;IF(TRIM(L521&amp;"")="","NULL","'"&amp;SUBSTITUTE(TRIM(L521),"'","''")&amp;"'")&amp;", p_email =&gt; "&amp;IF(TRIM(M521&amp;"")="","NULL","'"&amp;SUBSTITUTE(TRIM(M521),"'","''")&amp;"'")&amp;", p_observacion =&gt; "&amp;IF(TRIM(O521&amp;"")="","NULL","'"&amp;SUBSTITUTE(TRIM(O521),"'","''")&amp;"'")&amp;", p_direccion =&gt; "&amp;IF(TRIM(J521&amp;"")="","NULL","'"&amp;SUBSTITUTE(TRIM(J521),"'","''")&amp;"'")&amp;", p_referencia =&gt; "&amp;IF(TRIM(K521&amp;"")="","NULL","'"&amp;SUBSTITUTE(TRIM(K521),"'","''")&amp;"'")&amp;") AS resultado_cliente_"&amp;476&amp;";")</f>
        <v/>
      </c>
    </row>
    <row r="522" ht="15.75" customHeight="1" s="64">
      <c r="A522" s="25">
        <f>IF(AND(D522="",E522="",C522=""),"",IF(AND(D522="",E522=""),"FALTA razón social o nombres",IF(AND(C522&lt;&gt;"",COUNTIF($C$5:$C$549,C522)&gt;1),"DOCUMENTO DUPLICADO",IF(AND(B522="DNI",C522&lt;&gt;"",LEN(C522)&lt;&gt;8),"DNI debe tener 8 dígitos",IF(AND(B522="RUC",C522&lt;&gt;"",LEN(C522)&lt;&gt;11),"RUC debe tener 11 dígitos",IF(AND(N522&lt;&gt;"",COUNTIF($N$5:$N$549,N522)&gt;1),"CÓDIGO INTERNO DUPLICADO","OK"))))))</f>
        <v/>
      </c>
      <c r="B522" s="17" t="n"/>
      <c r="C522" s="23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23" t="n"/>
      <c r="M522" s="17" t="n"/>
      <c r="N522" s="23" t="n"/>
      <c r="O522" s="17" t="n"/>
      <c r="P522" s="28">
        <f>IF(A522&lt;&gt;"OK","","SELECT cli_crear_clientes(p_codigo_interno =&gt; "&amp;IF(TRIM(N522&amp;"")="","NULL","'"&amp;SUBSTITUTE(TRIM(N522),"'","''")&amp;"'")&amp;", p_razon_social =&gt; "&amp;IF(TRIM(D522&amp;"")="","NULL","'"&amp;SUBSTITUTE(TRIM(D522),"'","''")&amp;"'")&amp;", p_id_tipo_cliente =&gt; "&amp;IF(TRIM(I522&amp;"")="","NULL","(SELECT lo.id FROM gen_lista_opciones lo JOIN gen_lista l ON l.id = lo.id_lista WHERE l.nombre = 'TipoCliente' AND upper(lo.nombre) = upper('"&amp;SUBSTITUTE(TRIM(I522),"'","''")&amp;"') AND lo.estado = 1 LIMIT 1)")&amp;", p_id_tipo_persona =&gt; "&amp;IF(TRIM(H522&amp;"")="","NULL","(SELECT lo.id FROM gen_lista_opciones lo JOIN gen_lista l ON l.id = lo.id_lista WHERE l.nombre = 'TipoPersona' AND upper(lo.nombre) = upper('"&amp;SUBSTITUTE(TRIM(H522),"'","''")&amp;"') AND lo.estado = 1 LIMIT 1)")&amp;", p_nombres =&gt; "&amp;IF(TRIM(E522&amp;"")="","NULL","'"&amp;SUBSTITUTE(TRIM(E522),"'","''")&amp;"'")&amp;", p_apellido_paterno =&gt; "&amp;IF(TRIM(F522&amp;"")="","NULL","'"&amp;SUBSTITUTE(TRIM(F522),"'","''")&amp;"'")&amp;", p_apellido_materno =&gt; "&amp;IF(TRIM(G522&amp;"")="","NULL","'"&amp;SUBSTITUTE(TRIM(G522),"'","''")&amp;"'")&amp;", p_id_tipo_documento =&gt; "&amp;IF(TRIM(B522&amp;"")="","NULL","(SELECT lo.id FROM gen_lista_opciones lo JOIN gen_lista l ON l.id = lo.id_lista WHERE l.nombre = 'TipoDocumento' AND upper(lo.nombre) = upper('"&amp;SUBSTITUTE(TRIM(B522),"'","''")&amp;"') AND lo.estado = 1 LIMIT 1)")&amp;", p_numero_documento =&gt; "&amp;IF(TRIM(C522&amp;"")="","NULL","'"&amp;SUBSTITUTE(TRIM(C522),"'","''")&amp;"'")&amp;", p_telefono =&gt; "&amp;IF(TRIM(L522&amp;"")="","NULL","'"&amp;SUBSTITUTE(TRIM(L522),"'","''")&amp;"'")&amp;", p_email =&gt; "&amp;IF(TRIM(M522&amp;"")="","NULL","'"&amp;SUBSTITUTE(TRIM(M522),"'","''")&amp;"'")&amp;", p_observacion =&gt; "&amp;IF(TRIM(O522&amp;"")="","NULL","'"&amp;SUBSTITUTE(TRIM(O522),"'","''")&amp;"'")&amp;", p_direccion =&gt; "&amp;IF(TRIM(J522&amp;"")="","NULL","'"&amp;SUBSTITUTE(TRIM(J522),"'","''")&amp;"'")&amp;", p_referencia =&gt; "&amp;IF(TRIM(K522&amp;"")="","NULL","'"&amp;SUBSTITUTE(TRIM(K522),"'","''")&amp;"'")&amp;") AS resultado_cliente_"&amp;477&amp;";")</f>
        <v/>
      </c>
    </row>
    <row r="523" ht="15.75" customHeight="1" s="64">
      <c r="A523" s="25">
        <f>IF(AND(D523="",E523="",C523=""),"",IF(AND(D523="",E523=""),"FALTA razón social o nombres",IF(AND(C523&lt;&gt;"",COUNTIF($C$5:$C$549,C523)&gt;1),"DOCUMENTO DUPLICADO",IF(AND(B523="DNI",C523&lt;&gt;"",LEN(C523)&lt;&gt;8),"DNI debe tener 8 dígitos",IF(AND(B523="RUC",C523&lt;&gt;"",LEN(C523)&lt;&gt;11),"RUC debe tener 11 dígitos",IF(AND(N523&lt;&gt;"",COUNTIF($N$5:$N$549,N523)&gt;1),"CÓDIGO INTERNO DUPLICADO","OK"))))))</f>
        <v/>
      </c>
      <c r="B523" s="17" t="n"/>
      <c r="C523" s="23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23" t="n"/>
      <c r="M523" s="17" t="n"/>
      <c r="N523" s="23" t="n"/>
      <c r="O523" s="17" t="n"/>
      <c r="P523" s="28">
        <f>IF(A523&lt;&gt;"OK","","SELECT cli_crear_clientes(p_codigo_interno =&gt; "&amp;IF(TRIM(N523&amp;"")="","NULL","'"&amp;SUBSTITUTE(TRIM(N523),"'","''")&amp;"'")&amp;", p_razon_social =&gt; "&amp;IF(TRIM(D523&amp;"")="","NULL","'"&amp;SUBSTITUTE(TRIM(D523),"'","''")&amp;"'")&amp;", p_id_tipo_cliente =&gt; "&amp;IF(TRIM(I523&amp;"")="","NULL","(SELECT lo.id FROM gen_lista_opciones lo JOIN gen_lista l ON l.id = lo.id_lista WHERE l.nombre = 'TipoCliente' AND upper(lo.nombre) = upper('"&amp;SUBSTITUTE(TRIM(I523),"'","''")&amp;"') AND lo.estado = 1 LIMIT 1)")&amp;", p_id_tipo_persona =&gt; "&amp;IF(TRIM(H523&amp;"")="","NULL","(SELECT lo.id FROM gen_lista_opciones lo JOIN gen_lista l ON l.id = lo.id_lista WHERE l.nombre = 'TipoPersona' AND upper(lo.nombre) = upper('"&amp;SUBSTITUTE(TRIM(H523),"'","''")&amp;"') AND lo.estado = 1 LIMIT 1)")&amp;", p_nombres =&gt; "&amp;IF(TRIM(E523&amp;"")="","NULL","'"&amp;SUBSTITUTE(TRIM(E523),"'","''")&amp;"'")&amp;", p_apellido_paterno =&gt; "&amp;IF(TRIM(F523&amp;"")="","NULL","'"&amp;SUBSTITUTE(TRIM(F523),"'","''")&amp;"'")&amp;", p_apellido_materno =&gt; "&amp;IF(TRIM(G523&amp;"")="","NULL","'"&amp;SUBSTITUTE(TRIM(G523),"'","''")&amp;"'")&amp;", p_id_tipo_documento =&gt; "&amp;IF(TRIM(B523&amp;"")="","NULL","(SELECT lo.id FROM gen_lista_opciones lo JOIN gen_lista l ON l.id = lo.id_lista WHERE l.nombre = 'TipoDocumento' AND upper(lo.nombre) = upper('"&amp;SUBSTITUTE(TRIM(B523),"'","''")&amp;"') AND lo.estado = 1 LIMIT 1)")&amp;", p_numero_documento =&gt; "&amp;IF(TRIM(C523&amp;"")="","NULL","'"&amp;SUBSTITUTE(TRIM(C523),"'","''")&amp;"'")&amp;", p_telefono =&gt; "&amp;IF(TRIM(L523&amp;"")="","NULL","'"&amp;SUBSTITUTE(TRIM(L523),"'","''")&amp;"'")&amp;", p_email =&gt; "&amp;IF(TRIM(M523&amp;"")="","NULL","'"&amp;SUBSTITUTE(TRIM(M523),"'","''")&amp;"'")&amp;", p_observacion =&gt; "&amp;IF(TRIM(O523&amp;"")="","NULL","'"&amp;SUBSTITUTE(TRIM(O523),"'","''")&amp;"'")&amp;", p_direccion =&gt; "&amp;IF(TRIM(J523&amp;"")="","NULL","'"&amp;SUBSTITUTE(TRIM(J523),"'","''")&amp;"'")&amp;", p_referencia =&gt; "&amp;IF(TRIM(K523&amp;"")="","NULL","'"&amp;SUBSTITUTE(TRIM(K523),"'","''")&amp;"'")&amp;") AS resultado_cliente_"&amp;478&amp;";")</f>
        <v/>
      </c>
    </row>
    <row r="524" ht="15.75" customHeight="1" s="64">
      <c r="A524" s="25">
        <f>IF(AND(D524="",E524="",C524=""),"",IF(AND(D524="",E524=""),"FALTA razón social o nombres",IF(AND(C524&lt;&gt;"",COUNTIF($C$5:$C$549,C524)&gt;1),"DOCUMENTO DUPLICADO",IF(AND(B524="DNI",C524&lt;&gt;"",LEN(C524)&lt;&gt;8),"DNI debe tener 8 dígitos",IF(AND(B524="RUC",C524&lt;&gt;"",LEN(C524)&lt;&gt;11),"RUC debe tener 11 dígitos",IF(AND(N524&lt;&gt;"",COUNTIF($N$5:$N$549,N524)&gt;1),"CÓDIGO INTERNO DUPLICADO","OK"))))))</f>
        <v/>
      </c>
      <c r="B524" s="17" t="n"/>
      <c r="C524" s="23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23" t="n"/>
      <c r="M524" s="17" t="n"/>
      <c r="N524" s="23" t="n"/>
      <c r="O524" s="17" t="n"/>
      <c r="P524" s="28">
        <f>IF(A524&lt;&gt;"OK","","SELECT cli_crear_clientes(p_codigo_interno =&gt; "&amp;IF(TRIM(N524&amp;"")="","NULL","'"&amp;SUBSTITUTE(TRIM(N524),"'","''")&amp;"'")&amp;", p_razon_social =&gt; "&amp;IF(TRIM(D524&amp;"")="","NULL","'"&amp;SUBSTITUTE(TRIM(D524),"'","''")&amp;"'")&amp;", p_id_tipo_cliente =&gt; "&amp;IF(TRIM(I524&amp;"")="","NULL","(SELECT lo.id FROM gen_lista_opciones lo JOIN gen_lista l ON l.id = lo.id_lista WHERE l.nombre = 'TipoCliente' AND upper(lo.nombre) = upper('"&amp;SUBSTITUTE(TRIM(I524),"'","''")&amp;"') AND lo.estado = 1 LIMIT 1)")&amp;", p_id_tipo_persona =&gt; "&amp;IF(TRIM(H524&amp;"")="","NULL","(SELECT lo.id FROM gen_lista_opciones lo JOIN gen_lista l ON l.id = lo.id_lista WHERE l.nombre = 'TipoPersona' AND upper(lo.nombre) = upper('"&amp;SUBSTITUTE(TRIM(H524),"'","''")&amp;"') AND lo.estado = 1 LIMIT 1)")&amp;", p_nombres =&gt; "&amp;IF(TRIM(E524&amp;"")="","NULL","'"&amp;SUBSTITUTE(TRIM(E524),"'","''")&amp;"'")&amp;", p_apellido_paterno =&gt; "&amp;IF(TRIM(F524&amp;"")="","NULL","'"&amp;SUBSTITUTE(TRIM(F524),"'","''")&amp;"'")&amp;", p_apellido_materno =&gt; "&amp;IF(TRIM(G524&amp;"")="","NULL","'"&amp;SUBSTITUTE(TRIM(G524),"'","''")&amp;"'")&amp;", p_id_tipo_documento =&gt; "&amp;IF(TRIM(B524&amp;"")="","NULL","(SELECT lo.id FROM gen_lista_opciones lo JOIN gen_lista l ON l.id = lo.id_lista WHERE l.nombre = 'TipoDocumento' AND upper(lo.nombre) = upper('"&amp;SUBSTITUTE(TRIM(B524),"'","''")&amp;"') AND lo.estado = 1 LIMIT 1)")&amp;", p_numero_documento =&gt; "&amp;IF(TRIM(C524&amp;"")="","NULL","'"&amp;SUBSTITUTE(TRIM(C524),"'","''")&amp;"'")&amp;", p_telefono =&gt; "&amp;IF(TRIM(L524&amp;"")="","NULL","'"&amp;SUBSTITUTE(TRIM(L524),"'","''")&amp;"'")&amp;", p_email =&gt; "&amp;IF(TRIM(M524&amp;"")="","NULL","'"&amp;SUBSTITUTE(TRIM(M524),"'","''")&amp;"'")&amp;", p_observacion =&gt; "&amp;IF(TRIM(O524&amp;"")="","NULL","'"&amp;SUBSTITUTE(TRIM(O524),"'","''")&amp;"'")&amp;", p_direccion =&gt; "&amp;IF(TRIM(J524&amp;"")="","NULL","'"&amp;SUBSTITUTE(TRIM(J524),"'","''")&amp;"'")&amp;", p_referencia =&gt; "&amp;IF(TRIM(K524&amp;"")="","NULL","'"&amp;SUBSTITUTE(TRIM(K524),"'","''")&amp;"'")&amp;") AS resultado_cliente_"&amp;479&amp;";")</f>
        <v/>
      </c>
    </row>
    <row r="525" ht="15.75" customHeight="1" s="64">
      <c r="A525" s="25">
        <f>IF(AND(D525="",E525="",C525=""),"",IF(AND(D525="",E525=""),"FALTA razón social o nombres",IF(AND(C525&lt;&gt;"",COUNTIF($C$5:$C$549,C525)&gt;1),"DOCUMENTO DUPLICADO",IF(AND(B525="DNI",C525&lt;&gt;"",LEN(C525)&lt;&gt;8),"DNI debe tener 8 dígitos",IF(AND(B525="RUC",C525&lt;&gt;"",LEN(C525)&lt;&gt;11),"RUC debe tener 11 dígitos",IF(AND(N525&lt;&gt;"",COUNTIF($N$5:$N$549,N525)&gt;1),"CÓDIGO INTERNO DUPLICADO","OK"))))))</f>
        <v/>
      </c>
      <c r="B525" s="17" t="n"/>
      <c r="C525" s="23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23" t="n"/>
      <c r="M525" s="17" t="n"/>
      <c r="N525" s="23" t="n"/>
      <c r="O525" s="17" t="n"/>
      <c r="P525" s="28">
        <f>IF(A525&lt;&gt;"OK","","SELECT cli_crear_clientes(p_codigo_interno =&gt; "&amp;IF(TRIM(N525&amp;"")="","NULL","'"&amp;SUBSTITUTE(TRIM(N525),"'","''")&amp;"'")&amp;", p_razon_social =&gt; "&amp;IF(TRIM(D525&amp;"")="","NULL","'"&amp;SUBSTITUTE(TRIM(D525),"'","''")&amp;"'")&amp;", p_id_tipo_cliente =&gt; "&amp;IF(TRIM(I525&amp;"")="","NULL","(SELECT lo.id FROM gen_lista_opciones lo JOIN gen_lista l ON l.id = lo.id_lista WHERE l.nombre = 'TipoCliente' AND upper(lo.nombre) = upper('"&amp;SUBSTITUTE(TRIM(I525),"'","''")&amp;"') AND lo.estado = 1 LIMIT 1)")&amp;", p_id_tipo_persona =&gt; "&amp;IF(TRIM(H525&amp;"")="","NULL","(SELECT lo.id FROM gen_lista_opciones lo JOIN gen_lista l ON l.id = lo.id_lista WHERE l.nombre = 'TipoPersona' AND upper(lo.nombre) = upper('"&amp;SUBSTITUTE(TRIM(H525),"'","''")&amp;"') AND lo.estado = 1 LIMIT 1)")&amp;", p_nombres =&gt; "&amp;IF(TRIM(E525&amp;"")="","NULL","'"&amp;SUBSTITUTE(TRIM(E525),"'","''")&amp;"'")&amp;", p_apellido_paterno =&gt; "&amp;IF(TRIM(F525&amp;"")="","NULL","'"&amp;SUBSTITUTE(TRIM(F525),"'","''")&amp;"'")&amp;", p_apellido_materno =&gt; "&amp;IF(TRIM(G525&amp;"")="","NULL","'"&amp;SUBSTITUTE(TRIM(G525),"'","''")&amp;"'")&amp;", p_id_tipo_documento =&gt; "&amp;IF(TRIM(B525&amp;"")="","NULL","(SELECT lo.id FROM gen_lista_opciones lo JOIN gen_lista l ON l.id = lo.id_lista WHERE l.nombre = 'TipoDocumento' AND upper(lo.nombre) = upper('"&amp;SUBSTITUTE(TRIM(B525),"'","''")&amp;"') AND lo.estado = 1 LIMIT 1)")&amp;", p_numero_documento =&gt; "&amp;IF(TRIM(C525&amp;"")="","NULL","'"&amp;SUBSTITUTE(TRIM(C525),"'","''")&amp;"'")&amp;", p_telefono =&gt; "&amp;IF(TRIM(L525&amp;"")="","NULL","'"&amp;SUBSTITUTE(TRIM(L525),"'","''")&amp;"'")&amp;", p_email =&gt; "&amp;IF(TRIM(M525&amp;"")="","NULL","'"&amp;SUBSTITUTE(TRIM(M525),"'","''")&amp;"'")&amp;", p_observacion =&gt; "&amp;IF(TRIM(O525&amp;"")="","NULL","'"&amp;SUBSTITUTE(TRIM(O525),"'","''")&amp;"'")&amp;", p_direccion =&gt; "&amp;IF(TRIM(J525&amp;"")="","NULL","'"&amp;SUBSTITUTE(TRIM(J525),"'","''")&amp;"'")&amp;", p_referencia =&gt; "&amp;IF(TRIM(K525&amp;"")="","NULL","'"&amp;SUBSTITUTE(TRIM(K525),"'","''")&amp;"'")&amp;") AS resultado_cliente_"&amp;480&amp;";")</f>
        <v/>
      </c>
    </row>
    <row r="526" ht="15.75" customHeight="1" s="64">
      <c r="A526" s="25">
        <f>IF(AND(D526="",E526="",C526=""),"",IF(AND(D526="",E526=""),"FALTA razón social o nombres",IF(AND(C526&lt;&gt;"",COUNTIF($C$5:$C$549,C526)&gt;1),"DOCUMENTO DUPLICADO",IF(AND(B526="DNI",C526&lt;&gt;"",LEN(C526)&lt;&gt;8),"DNI debe tener 8 dígitos",IF(AND(B526="RUC",C526&lt;&gt;"",LEN(C526)&lt;&gt;11),"RUC debe tener 11 dígitos",IF(AND(N526&lt;&gt;"",COUNTIF($N$5:$N$549,N526)&gt;1),"CÓDIGO INTERNO DUPLICADO","OK"))))))</f>
        <v/>
      </c>
      <c r="B526" s="17" t="n"/>
      <c r="C526" s="23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23" t="n"/>
      <c r="M526" s="17" t="n"/>
      <c r="N526" s="23" t="n"/>
      <c r="O526" s="17" t="n"/>
      <c r="P526" s="28">
        <f>IF(A526&lt;&gt;"OK","","SELECT cli_crear_clientes(p_codigo_interno =&gt; "&amp;IF(TRIM(N526&amp;"")="","NULL","'"&amp;SUBSTITUTE(TRIM(N526),"'","''")&amp;"'")&amp;", p_razon_social =&gt; "&amp;IF(TRIM(D526&amp;"")="","NULL","'"&amp;SUBSTITUTE(TRIM(D526),"'","''")&amp;"'")&amp;", p_id_tipo_cliente =&gt; "&amp;IF(TRIM(I526&amp;"")="","NULL","(SELECT lo.id FROM gen_lista_opciones lo JOIN gen_lista l ON l.id = lo.id_lista WHERE l.nombre = 'TipoCliente' AND upper(lo.nombre) = upper('"&amp;SUBSTITUTE(TRIM(I526),"'","''")&amp;"') AND lo.estado = 1 LIMIT 1)")&amp;", p_id_tipo_persona =&gt; "&amp;IF(TRIM(H526&amp;"")="","NULL","(SELECT lo.id FROM gen_lista_opciones lo JOIN gen_lista l ON l.id = lo.id_lista WHERE l.nombre = 'TipoPersona' AND upper(lo.nombre) = upper('"&amp;SUBSTITUTE(TRIM(H526),"'","''")&amp;"') AND lo.estado = 1 LIMIT 1)")&amp;", p_nombres =&gt; "&amp;IF(TRIM(E526&amp;"")="","NULL","'"&amp;SUBSTITUTE(TRIM(E526),"'","''")&amp;"'")&amp;", p_apellido_paterno =&gt; "&amp;IF(TRIM(F526&amp;"")="","NULL","'"&amp;SUBSTITUTE(TRIM(F526),"'","''")&amp;"'")&amp;", p_apellido_materno =&gt; "&amp;IF(TRIM(G526&amp;"")="","NULL","'"&amp;SUBSTITUTE(TRIM(G526),"'","''")&amp;"'")&amp;", p_id_tipo_documento =&gt; "&amp;IF(TRIM(B526&amp;"")="","NULL","(SELECT lo.id FROM gen_lista_opciones lo JOIN gen_lista l ON l.id = lo.id_lista WHERE l.nombre = 'TipoDocumento' AND upper(lo.nombre) = upper('"&amp;SUBSTITUTE(TRIM(B526),"'","''")&amp;"') AND lo.estado = 1 LIMIT 1)")&amp;", p_numero_documento =&gt; "&amp;IF(TRIM(C526&amp;"")="","NULL","'"&amp;SUBSTITUTE(TRIM(C526),"'","''")&amp;"'")&amp;", p_telefono =&gt; "&amp;IF(TRIM(L526&amp;"")="","NULL","'"&amp;SUBSTITUTE(TRIM(L526),"'","''")&amp;"'")&amp;", p_email =&gt; "&amp;IF(TRIM(M526&amp;"")="","NULL","'"&amp;SUBSTITUTE(TRIM(M526),"'","''")&amp;"'")&amp;", p_observacion =&gt; "&amp;IF(TRIM(O526&amp;"")="","NULL","'"&amp;SUBSTITUTE(TRIM(O526),"'","''")&amp;"'")&amp;", p_direccion =&gt; "&amp;IF(TRIM(J526&amp;"")="","NULL","'"&amp;SUBSTITUTE(TRIM(J526),"'","''")&amp;"'")&amp;", p_referencia =&gt; "&amp;IF(TRIM(K526&amp;"")="","NULL","'"&amp;SUBSTITUTE(TRIM(K526),"'","''")&amp;"'")&amp;") AS resultado_cliente_"&amp;481&amp;";")</f>
        <v/>
      </c>
    </row>
    <row r="527" ht="15.75" customHeight="1" s="64">
      <c r="A527" s="25">
        <f>IF(AND(D527="",E527="",C527=""),"",IF(AND(D527="",E527=""),"FALTA razón social o nombres",IF(AND(C527&lt;&gt;"",COUNTIF($C$5:$C$549,C527)&gt;1),"DOCUMENTO DUPLICADO",IF(AND(B527="DNI",C527&lt;&gt;"",LEN(C527)&lt;&gt;8),"DNI debe tener 8 dígitos",IF(AND(B527="RUC",C527&lt;&gt;"",LEN(C527)&lt;&gt;11),"RUC debe tener 11 dígitos",IF(AND(N527&lt;&gt;"",COUNTIF($N$5:$N$549,N527)&gt;1),"CÓDIGO INTERNO DUPLICADO","OK"))))))</f>
        <v/>
      </c>
      <c r="B527" s="17" t="n"/>
      <c r="C527" s="23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23" t="n"/>
      <c r="M527" s="17" t="n"/>
      <c r="N527" s="23" t="n"/>
      <c r="O527" s="17" t="n"/>
      <c r="P527" s="28">
        <f>IF(A527&lt;&gt;"OK","","SELECT cli_crear_clientes(p_codigo_interno =&gt; "&amp;IF(TRIM(N527&amp;"")="","NULL","'"&amp;SUBSTITUTE(TRIM(N527),"'","''")&amp;"'")&amp;", p_razon_social =&gt; "&amp;IF(TRIM(D527&amp;"")="","NULL","'"&amp;SUBSTITUTE(TRIM(D527),"'","''")&amp;"'")&amp;", p_id_tipo_cliente =&gt; "&amp;IF(TRIM(I527&amp;"")="","NULL","(SELECT lo.id FROM gen_lista_opciones lo JOIN gen_lista l ON l.id = lo.id_lista WHERE l.nombre = 'TipoCliente' AND upper(lo.nombre) = upper('"&amp;SUBSTITUTE(TRIM(I527),"'","''")&amp;"') AND lo.estado = 1 LIMIT 1)")&amp;", p_id_tipo_persona =&gt; "&amp;IF(TRIM(H527&amp;"")="","NULL","(SELECT lo.id FROM gen_lista_opciones lo JOIN gen_lista l ON l.id = lo.id_lista WHERE l.nombre = 'TipoPersona' AND upper(lo.nombre) = upper('"&amp;SUBSTITUTE(TRIM(H527),"'","''")&amp;"') AND lo.estado = 1 LIMIT 1)")&amp;", p_nombres =&gt; "&amp;IF(TRIM(E527&amp;"")="","NULL","'"&amp;SUBSTITUTE(TRIM(E527),"'","''")&amp;"'")&amp;", p_apellido_paterno =&gt; "&amp;IF(TRIM(F527&amp;"")="","NULL","'"&amp;SUBSTITUTE(TRIM(F527),"'","''")&amp;"'")&amp;", p_apellido_materno =&gt; "&amp;IF(TRIM(G527&amp;"")="","NULL","'"&amp;SUBSTITUTE(TRIM(G527),"'","''")&amp;"'")&amp;", p_id_tipo_documento =&gt; "&amp;IF(TRIM(B527&amp;"")="","NULL","(SELECT lo.id FROM gen_lista_opciones lo JOIN gen_lista l ON l.id = lo.id_lista WHERE l.nombre = 'TipoDocumento' AND upper(lo.nombre) = upper('"&amp;SUBSTITUTE(TRIM(B527),"'","''")&amp;"') AND lo.estado = 1 LIMIT 1)")&amp;", p_numero_documento =&gt; "&amp;IF(TRIM(C527&amp;"")="","NULL","'"&amp;SUBSTITUTE(TRIM(C527),"'","''")&amp;"'")&amp;", p_telefono =&gt; "&amp;IF(TRIM(L527&amp;"")="","NULL","'"&amp;SUBSTITUTE(TRIM(L527),"'","''")&amp;"'")&amp;", p_email =&gt; "&amp;IF(TRIM(M527&amp;"")="","NULL","'"&amp;SUBSTITUTE(TRIM(M527),"'","''")&amp;"'")&amp;", p_observacion =&gt; "&amp;IF(TRIM(O527&amp;"")="","NULL","'"&amp;SUBSTITUTE(TRIM(O527),"'","''")&amp;"'")&amp;", p_direccion =&gt; "&amp;IF(TRIM(J527&amp;"")="","NULL","'"&amp;SUBSTITUTE(TRIM(J527),"'","''")&amp;"'")&amp;", p_referencia =&gt; "&amp;IF(TRIM(K527&amp;"")="","NULL","'"&amp;SUBSTITUTE(TRIM(K527),"'","''")&amp;"'")&amp;") AS resultado_cliente_"&amp;482&amp;";")</f>
        <v/>
      </c>
    </row>
    <row r="528" ht="15.75" customHeight="1" s="64">
      <c r="A528" s="25">
        <f>IF(AND(D528="",E528="",C528=""),"",IF(AND(D528="",E528=""),"FALTA razón social o nombres",IF(AND(C528&lt;&gt;"",COUNTIF($C$5:$C$549,C528)&gt;1),"DOCUMENTO DUPLICADO",IF(AND(B528="DNI",C528&lt;&gt;"",LEN(C528)&lt;&gt;8),"DNI debe tener 8 dígitos",IF(AND(B528="RUC",C528&lt;&gt;"",LEN(C528)&lt;&gt;11),"RUC debe tener 11 dígitos",IF(AND(N528&lt;&gt;"",COUNTIF($N$5:$N$549,N528)&gt;1),"CÓDIGO INTERNO DUPLICADO","OK"))))))</f>
        <v/>
      </c>
      <c r="B528" s="17" t="n"/>
      <c r="C528" s="23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23" t="n"/>
      <c r="M528" s="17" t="n"/>
      <c r="N528" s="23" t="n"/>
      <c r="O528" s="17" t="n"/>
      <c r="P528" s="28">
        <f>IF(A528&lt;&gt;"OK","","SELECT cli_crear_clientes(p_codigo_interno =&gt; "&amp;IF(TRIM(N528&amp;"")="","NULL","'"&amp;SUBSTITUTE(TRIM(N528),"'","''")&amp;"'")&amp;", p_razon_social =&gt; "&amp;IF(TRIM(D528&amp;"")="","NULL","'"&amp;SUBSTITUTE(TRIM(D528),"'","''")&amp;"'")&amp;", p_id_tipo_cliente =&gt; "&amp;IF(TRIM(I528&amp;"")="","NULL","(SELECT lo.id FROM gen_lista_opciones lo JOIN gen_lista l ON l.id = lo.id_lista WHERE l.nombre = 'TipoCliente' AND upper(lo.nombre) = upper('"&amp;SUBSTITUTE(TRIM(I528),"'","''")&amp;"') AND lo.estado = 1 LIMIT 1)")&amp;", p_id_tipo_persona =&gt; "&amp;IF(TRIM(H528&amp;"")="","NULL","(SELECT lo.id FROM gen_lista_opciones lo JOIN gen_lista l ON l.id = lo.id_lista WHERE l.nombre = 'TipoPersona' AND upper(lo.nombre) = upper('"&amp;SUBSTITUTE(TRIM(H528),"'","''")&amp;"') AND lo.estado = 1 LIMIT 1)")&amp;", p_nombres =&gt; "&amp;IF(TRIM(E528&amp;"")="","NULL","'"&amp;SUBSTITUTE(TRIM(E528),"'","''")&amp;"'")&amp;", p_apellido_paterno =&gt; "&amp;IF(TRIM(F528&amp;"")="","NULL","'"&amp;SUBSTITUTE(TRIM(F528),"'","''")&amp;"'")&amp;", p_apellido_materno =&gt; "&amp;IF(TRIM(G528&amp;"")="","NULL","'"&amp;SUBSTITUTE(TRIM(G528),"'","''")&amp;"'")&amp;", p_id_tipo_documento =&gt; "&amp;IF(TRIM(B528&amp;"")="","NULL","(SELECT lo.id FROM gen_lista_opciones lo JOIN gen_lista l ON l.id = lo.id_lista WHERE l.nombre = 'TipoDocumento' AND upper(lo.nombre) = upper('"&amp;SUBSTITUTE(TRIM(B528),"'","''")&amp;"') AND lo.estado = 1 LIMIT 1)")&amp;", p_numero_documento =&gt; "&amp;IF(TRIM(C528&amp;"")="","NULL","'"&amp;SUBSTITUTE(TRIM(C528),"'","''")&amp;"'")&amp;", p_telefono =&gt; "&amp;IF(TRIM(L528&amp;"")="","NULL","'"&amp;SUBSTITUTE(TRIM(L528),"'","''")&amp;"'")&amp;", p_email =&gt; "&amp;IF(TRIM(M528&amp;"")="","NULL","'"&amp;SUBSTITUTE(TRIM(M528),"'","''")&amp;"'")&amp;", p_observacion =&gt; "&amp;IF(TRIM(O528&amp;"")="","NULL","'"&amp;SUBSTITUTE(TRIM(O528),"'","''")&amp;"'")&amp;", p_direccion =&gt; "&amp;IF(TRIM(J528&amp;"")="","NULL","'"&amp;SUBSTITUTE(TRIM(J528),"'","''")&amp;"'")&amp;", p_referencia =&gt; "&amp;IF(TRIM(K528&amp;"")="","NULL","'"&amp;SUBSTITUTE(TRIM(K528),"'","''")&amp;"'")&amp;") AS resultado_cliente_"&amp;483&amp;";")</f>
        <v/>
      </c>
    </row>
    <row r="529" ht="15.75" customHeight="1" s="64">
      <c r="A529" s="25">
        <f>IF(AND(D529="",E529="",C529=""),"",IF(AND(D529="",E529=""),"FALTA razón social o nombres",IF(AND(C529&lt;&gt;"",COUNTIF($C$5:$C$549,C529)&gt;1),"DOCUMENTO DUPLICADO",IF(AND(B529="DNI",C529&lt;&gt;"",LEN(C529)&lt;&gt;8),"DNI debe tener 8 dígitos",IF(AND(B529="RUC",C529&lt;&gt;"",LEN(C529)&lt;&gt;11),"RUC debe tener 11 dígitos",IF(AND(N529&lt;&gt;"",COUNTIF($N$5:$N$549,N529)&gt;1),"CÓDIGO INTERNO DUPLICADO","OK"))))))</f>
        <v/>
      </c>
      <c r="B529" s="17" t="n"/>
      <c r="C529" s="23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23" t="n"/>
      <c r="M529" s="17" t="n"/>
      <c r="N529" s="23" t="n"/>
      <c r="O529" s="17" t="n"/>
      <c r="P529" s="28">
        <f>IF(A529&lt;&gt;"OK","","SELECT cli_crear_clientes(p_codigo_interno =&gt; "&amp;IF(TRIM(N529&amp;"")="","NULL","'"&amp;SUBSTITUTE(TRIM(N529),"'","''")&amp;"'")&amp;", p_razon_social =&gt; "&amp;IF(TRIM(D529&amp;"")="","NULL","'"&amp;SUBSTITUTE(TRIM(D529),"'","''")&amp;"'")&amp;", p_id_tipo_cliente =&gt; "&amp;IF(TRIM(I529&amp;"")="","NULL","(SELECT lo.id FROM gen_lista_opciones lo JOIN gen_lista l ON l.id = lo.id_lista WHERE l.nombre = 'TipoCliente' AND upper(lo.nombre) = upper('"&amp;SUBSTITUTE(TRIM(I529),"'","''")&amp;"') AND lo.estado = 1 LIMIT 1)")&amp;", p_id_tipo_persona =&gt; "&amp;IF(TRIM(H529&amp;"")="","NULL","(SELECT lo.id FROM gen_lista_opciones lo JOIN gen_lista l ON l.id = lo.id_lista WHERE l.nombre = 'TipoPersona' AND upper(lo.nombre) = upper('"&amp;SUBSTITUTE(TRIM(H529),"'","''")&amp;"') AND lo.estado = 1 LIMIT 1)")&amp;", p_nombres =&gt; "&amp;IF(TRIM(E529&amp;"")="","NULL","'"&amp;SUBSTITUTE(TRIM(E529),"'","''")&amp;"'")&amp;", p_apellido_paterno =&gt; "&amp;IF(TRIM(F529&amp;"")="","NULL","'"&amp;SUBSTITUTE(TRIM(F529),"'","''")&amp;"'")&amp;", p_apellido_materno =&gt; "&amp;IF(TRIM(G529&amp;"")="","NULL","'"&amp;SUBSTITUTE(TRIM(G529),"'","''")&amp;"'")&amp;", p_id_tipo_documento =&gt; "&amp;IF(TRIM(B529&amp;"")="","NULL","(SELECT lo.id FROM gen_lista_opciones lo JOIN gen_lista l ON l.id = lo.id_lista WHERE l.nombre = 'TipoDocumento' AND upper(lo.nombre) = upper('"&amp;SUBSTITUTE(TRIM(B529),"'","''")&amp;"') AND lo.estado = 1 LIMIT 1)")&amp;", p_numero_documento =&gt; "&amp;IF(TRIM(C529&amp;"")="","NULL","'"&amp;SUBSTITUTE(TRIM(C529),"'","''")&amp;"'")&amp;", p_telefono =&gt; "&amp;IF(TRIM(L529&amp;"")="","NULL","'"&amp;SUBSTITUTE(TRIM(L529),"'","''")&amp;"'")&amp;", p_email =&gt; "&amp;IF(TRIM(M529&amp;"")="","NULL","'"&amp;SUBSTITUTE(TRIM(M529),"'","''")&amp;"'")&amp;", p_observacion =&gt; "&amp;IF(TRIM(O529&amp;"")="","NULL","'"&amp;SUBSTITUTE(TRIM(O529),"'","''")&amp;"'")&amp;", p_direccion =&gt; "&amp;IF(TRIM(J529&amp;"")="","NULL","'"&amp;SUBSTITUTE(TRIM(J529),"'","''")&amp;"'")&amp;", p_referencia =&gt; "&amp;IF(TRIM(K529&amp;"")="","NULL","'"&amp;SUBSTITUTE(TRIM(K529),"'","''")&amp;"'")&amp;") AS resultado_cliente_"&amp;484&amp;";")</f>
        <v/>
      </c>
    </row>
    <row r="530" ht="15.75" customHeight="1" s="64">
      <c r="A530" s="25">
        <f>IF(AND(D530="",E530="",C530=""),"",IF(AND(D530="",E530=""),"FALTA razón social o nombres",IF(AND(C530&lt;&gt;"",COUNTIF($C$5:$C$549,C530)&gt;1),"DOCUMENTO DUPLICADO",IF(AND(B530="DNI",C530&lt;&gt;"",LEN(C530)&lt;&gt;8),"DNI debe tener 8 dígitos",IF(AND(B530="RUC",C530&lt;&gt;"",LEN(C530)&lt;&gt;11),"RUC debe tener 11 dígitos",IF(AND(N530&lt;&gt;"",COUNTIF($N$5:$N$549,N530)&gt;1),"CÓDIGO INTERNO DUPLICADO","OK"))))))</f>
        <v/>
      </c>
      <c r="B530" s="17" t="n"/>
      <c r="C530" s="23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23" t="n"/>
      <c r="M530" s="17" t="n"/>
      <c r="N530" s="23" t="n"/>
      <c r="O530" s="17" t="n"/>
      <c r="P530" s="28">
        <f>IF(A530&lt;&gt;"OK","","SELECT cli_crear_clientes(p_codigo_interno =&gt; "&amp;IF(TRIM(N530&amp;"")="","NULL","'"&amp;SUBSTITUTE(TRIM(N530),"'","''")&amp;"'")&amp;", p_razon_social =&gt; "&amp;IF(TRIM(D530&amp;"")="","NULL","'"&amp;SUBSTITUTE(TRIM(D530),"'","''")&amp;"'")&amp;", p_id_tipo_cliente =&gt; "&amp;IF(TRIM(I530&amp;"")="","NULL","(SELECT lo.id FROM gen_lista_opciones lo JOIN gen_lista l ON l.id = lo.id_lista WHERE l.nombre = 'TipoCliente' AND upper(lo.nombre) = upper('"&amp;SUBSTITUTE(TRIM(I530),"'","''")&amp;"') AND lo.estado = 1 LIMIT 1)")&amp;", p_id_tipo_persona =&gt; "&amp;IF(TRIM(H530&amp;"")="","NULL","(SELECT lo.id FROM gen_lista_opciones lo JOIN gen_lista l ON l.id = lo.id_lista WHERE l.nombre = 'TipoPersona' AND upper(lo.nombre) = upper('"&amp;SUBSTITUTE(TRIM(H530),"'","''")&amp;"') AND lo.estado = 1 LIMIT 1)")&amp;", p_nombres =&gt; "&amp;IF(TRIM(E530&amp;"")="","NULL","'"&amp;SUBSTITUTE(TRIM(E530),"'","''")&amp;"'")&amp;", p_apellido_paterno =&gt; "&amp;IF(TRIM(F530&amp;"")="","NULL","'"&amp;SUBSTITUTE(TRIM(F530),"'","''")&amp;"'")&amp;", p_apellido_materno =&gt; "&amp;IF(TRIM(G530&amp;"")="","NULL","'"&amp;SUBSTITUTE(TRIM(G530),"'","''")&amp;"'")&amp;", p_id_tipo_documento =&gt; "&amp;IF(TRIM(B530&amp;"")="","NULL","(SELECT lo.id FROM gen_lista_opciones lo JOIN gen_lista l ON l.id = lo.id_lista WHERE l.nombre = 'TipoDocumento' AND upper(lo.nombre) = upper('"&amp;SUBSTITUTE(TRIM(B530),"'","''")&amp;"') AND lo.estado = 1 LIMIT 1)")&amp;", p_numero_documento =&gt; "&amp;IF(TRIM(C530&amp;"")="","NULL","'"&amp;SUBSTITUTE(TRIM(C530),"'","''")&amp;"'")&amp;", p_telefono =&gt; "&amp;IF(TRIM(L530&amp;"")="","NULL","'"&amp;SUBSTITUTE(TRIM(L530),"'","''")&amp;"'")&amp;", p_email =&gt; "&amp;IF(TRIM(M530&amp;"")="","NULL","'"&amp;SUBSTITUTE(TRIM(M530),"'","''")&amp;"'")&amp;", p_observacion =&gt; "&amp;IF(TRIM(O530&amp;"")="","NULL","'"&amp;SUBSTITUTE(TRIM(O530),"'","''")&amp;"'")&amp;", p_direccion =&gt; "&amp;IF(TRIM(J530&amp;"")="","NULL","'"&amp;SUBSTITUTE(TRIM(J530),"'","''")&amp;"'")&amp;", p_referencia =&gt; "&amp;IF(TRIM(K530&amp;"")="","NULL","'"&amp;SUBSTITUTE(TRIM(K530),"'","''")&amp;"'")&amp;") AS resultado_cliente_"&amp;485&amp;";")</f>
        <v/>
      </c>
    </row>
    <row r="531" ht="15.75" customHeight="1" s="64">
      <c r="A531" s="25">
        <f>IF(AND(D531="",E531="",C531=""),"",IF(AND(D531="",E531=""),"FALTA razón social o nombres",IF(AND(C531&lt;&gt;"",COUNTIF($C$5:$C$549,C531)&gt;1),"DOCUMENTO DUPLICADO",IF(AND(B531="DNI",C531&lt;&gt;"",LEN(C531)&lt;&gt;8),"DNI debe tener 8 dígitos",IF(AND(B531="RUC",C531&lt;&gt;"",LEN(C531)&lt;&gt;11),"RUC debe tener 11 dígitos",IF(AND(N531&lt;&gt;"",COUNTIF($N$5:$N$549,N531)&gt;1),"CÓDIGO INTERNO DUPLICADO","OK"))))))</f>
        <v/>
      </c>
      <c r="B531" s="17" t="n"/>
      <c r="C531" s="23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23" t="n"/>
      <c r="M531" s="17" t="n"/>
      <c r="N531" s="23" t="n"/>
      <c r="O531" s="17" t="n"/>
      <c r="P531" s="28">
        <f>IF(A531&lt;&gt;"OK","","SELECT cli_crear_clientes(p_codigo_interno =&gt; "&amp;IF(TRIM(N531&amp;"")="","NULL","'"&amp;SUBSTITUTE(TRIM(N531),"'","''")&amp;"'")&amp;", p_razon_social =&gt; "&amp;IF(TRIM(D531&amp;"")="","NULL","'"&amp;SUBSTITUTE(TRIM(D531),"'","''")&amp;"'")&amp;", p_id_tipo_cliente =&gt; "&amp;IF(TRIM(I531&amp;"")="","NULL","(SELECT lo.id FROM gen_lista_opciones lo JOIN gen_lista l ON l.id = lo.id_lista WHERE l.nombre = 'TipoCliente' AND upper(lo.nombre) = upper('"&amp;SUBSTITUTE(TRIM(I531),"'","''")&amp;"') AND lo.estado = 1 LIMIT 1)")&amp;", p_id_tipo_persona =&gt; "&amp;IF(TRIM(H531&amp;"")="","NULL","(SELECT lo.id FROM gen_lista_opciones lo JOIN gen_lista l ON l.id = lo.id_lista WHERE l.nombre = 'TipoPersona' AND upper(lo.nombre) = upper('"&amp;SUBSTITUTE(TRIM(H531),"'","''")&amp;"') AND lo.estado = 1 LIMIT 1)")&amp;", p_nombres =&gt; "&amp;IF(TRIM(E531&amp;"")="","NULL","'"&amp;SUBSTITUTE(TRIM(E531),"'","''")&amp;"'")&amp;", p_apellido_paterno =&gt; "&amp;IF(TRIM(F531&amp;"")="","NULL","'"&amp;SUBSTITUTE(TRIM(F531),"'","''")&amp;"'")&amp;", p_apellido_materno =&gt; "&amp;IF(TRIM(G531&amp;"")="","NULL","'"&amp;SUBSTITUTE(TRIM(G531),"'","''")&amp;"'")&amp;", p_id_tipo_documento =&gt; "&amp;IF(TRIM(B531&amp;"")="","NULL","(SELECT lo.id FROM gen_lista_opciones lo JOIN gen_lista l ON l.id = lo.id_lista WHERE l.nombre = 'TipoDocumento' AND upper(lo.nombre) = upper('"&amp;SUBSTITUTE(TRIM(B531),"'","''")&amp;"') AND lo.estado = 1 LIMIT 1)")&amp;", p_numero_documento =&gt; "&amp;IF(TRIM(C531&amp;"")="","NULL","'"&amp;SUBSTITUTE(TRIM(C531),"'","''")&amp;"'")&amp;", p_telefono =&gt; "&amp;IF(TRIM(L531&amp;"")="","NULL","'"&amp;SUBSTITUTE(TRIM(L531),"'","''")&amp;"'")&amp;", p_email =&gt; "&amp;IF(TRIM(M531&amp;"")="","NULL","'"&amp;SUBSTITUTE(TRIM(M531),"'","''")&amp;"'")&amp;", p_observacion =&gt; "&amp;IF(TRIM(O531&amp;"")="","NULL","'"&amp;SUBSTITUTE(TRIM(O531),"'","''")&amp;"'")&amp;", p_direccion =&gt; "&amp;IF(TRIM(J531&amp;"")="","NULL","'"&amp;SUBSTITUTE(TRIM(J531),"'","''")&amp;"'")&amp;", p_referencia =&gt; "&amp;IF(TRIM(K531&amp;"")="","NULL","'"&amp;SUBSTITUTE(TRIM(K531),"'","''")&amp;"'")&amp;") AS resultado_cliente_"&amp;486&amp;";")</f>
        <v/>
      </c>
    </row>
    <row r="532" ht="15.75" customHeight="1" s="64">
      <c r="A532" s="25">
        <f>IF(AND(D532="",E532="",C532=""),"",IF(AND(D532="",E532=""),"FALTA razón social o nombres",IF(AND(C532&lt;&gt;"",COUNTIF($C$5:$C$549,C532)&gt;1),"DOCUMENTO DUPLICADO",IF(AND(B532="DNI",C532&lt;&gt;"",LEN(C532)&lt;&gt;8),"DNI debe tener 8 dígitos",IF(AND(B532="RUC",C532&lt;&gt;"",LEN(C532)&lt;&gt;11),"RUC debe tener 11 dígitos",IF(AND(N532&lt;&gt;"",COUNTIF($N$5:$N$549,N532)&gt;1),"CÓDIGO INTERNO DUPLICADO","OK"))))))</f>
        <v/>
      </c>
      <c r="B532" s="17" t="n"/>
      <c r="C532" s="23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23" t="n"/>
      <c r="M532" s="17" t="n"/>
      <c r="N532" s="23" t="n"/>
      <c r="O532" s="17" t="n"/>
      <c r="P532" s="28">
        <f>IF(A532&lt;&gt;"OK","","SELECT cli_crear_clientes(p_codigo_interno =&gt; "&amp;IF(TRIM(N532&amp;"")="","NULL","'"&amp;SUBSTITUTE(TRIM(N532),"'","''")&amp;"'")&amp;", p_razon_social =&gt; "&amp;IF(TRIM(D532&amp;"")="","NULL","'"&amp;SUBSTITUTE(TRIM(D532),"'","''")&amp;"'")&amp;", p_id_tipo_cliente =&gt; "&amp;IF(TRIM(I532&amp;"")="","NULL","(SELECT lo.id FROM gen_lista_opciones lo JOIN gen_lista l ON l.id = lo.id_lista WHERE l.nombre = 'TipoCliente' AND upper(lo.nombre) = upper('"&amp;SUBSTITUTE(TRIM(I532),"'","''")&amp;"') AND lo.estado = 1 LIMIT 1)")&amp;", p_id_tipo_persona =&gt; "&amp;IF(TRIM(H532&amp;"")="","NULL","(SELECT lo.id FROM gen_lista_opciones lo JOIN gen_lista l ON l.id = lo.id_lista WHERE l.nombre = 'TipoPersona' AND upper(lo.nombre) = upper('"&amp;SUBSTITUTE(TRIM(H532),"'","''")&amp;"') AND lo.estado = 1 LIMIT 1)")&amp;", p_nombres =&gt; "&amp;IF(TRIM(E532&amp;"")="","NULL","'"&amp;SUBSTITUTE(TRIM(E532),"'","''")&amp;"'")&amp;", p_apellido_paterno =&gt; "&amp;IF(TRIM(F532&amp;"")="","NULL","'"&amp;SUBSTITUTE(TRIM(F532),"'","''")&amp;"'")&amp;", p_apellido_materno =&gt; "&amp;IF(TRIM(G532&amp;"")="","NULL","'"&amp;SUBSTITUTE(TRIM(G532),"'","''")&amp;"'")&amp;", p_id_tipo_documento =&gt; "&amp;IF(TRIM(B532&amp;"")="","NULL","(SELECT lo.id FROM gen_lista_opciones lo JOIN gen_lista l ON l.id = lo.id_lista WHERE l.nombre = 'TipoDocumento' AND upper(lo.nombre) = upper('"&amp;SUBSTITUTE(TRIM(B532),"'","''")&amp;"') AND lo.estado = 1 LIMIT 1)")&amp;", p_numero_documento =&gt; "&amp;IF(TRIM(C532&amp;"")="","NULL","'"&amp;SUBSTITUTE(TRIM(C532),"'","''")&amp;"'")&amp;", p_telefono =&gt; "&amp;IF(TRIM(L532&amp;"")="","NULL","'"&amp;SUBSTITUTE(TRIM(L532),"'","''")&amp;"'")&amp;", p_email =&gt; "&amp;IF(TRIM(M532&amp;"")="","NULL","'"&amp;SUBSTITUTE(TRIM(M532),"'","''")&amp;"'")&amp;", p_observacion =&gt; "&amp;IF(TRIM(O532&amp;"")="","NULL","'"&amp;SUBSTITUTE(TRIM(O532),"'","''")&amp;"'")&amp;", p_direccion =&gt; "&amp;IF(TRIM(J532&amp;"")="","NULL","'"&amp;SUBSTITUTE(TRIM(J532),"'","''")&amp;"'")&amp;", p_referencia =&gt; "&amp;IF(TRIM(K532&amp;"")="","NULL","'"&amp;SUBSTITUTE(TRIM(K532),"'","''")&amp;"'")&amp;") AS resultado_cliente_"&amp;487&amp;";")</f>
        <v/>
      </c>
    </row>
    <row r="533" ht="15.75" customHeight="1" s="64">
      <c r="A533" s="25">
        <f>IF(AND(D533="",E533="",C533=""),"",IF(AND(D533="",E533=""),"FALTA razón social o nombres",IF(AND(C533&lt;&gt;"",COUNTIF($C$5:$C$549,C533)&gt;1),"DOCUMENTO DUPLICADO",IF(AND(B533="DNI",C533&lt;&gt;"",LEN(C533)&lt;&gt;8),"DNI debe tener 8 dígitos",IF(AND(B533="RUC",C533&lt;&gt;"",LEN(C533)&lt;&gt;11),"RUC debe tener 11 dígitos",IF(AND(N533&lt;&gt;"",COUNTIF($N$5:$N$549,N533)&gt;1),"CÓDIGO INTERNO DUPLICADO","OK"))))))</f>
        <v/>
      </c>
      <c r="B533" s="17" t="n"/>
      <c r="C533" s="23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23" t="n"/>
      <c r="M533" s="17" t="n"/>
      <c r="N533" s="23" t="n"/>
      <c r="O533" s="17" t="n"/>
      <c r="P533" s="28">
        <f>IF(A533&lt;&gt;"OK","","SELECT cli_crear_clientes(p_codigo_interno =&gt; "&amp;IF(TRIM(N533&amp;"")="","NULL","'"&amp;SUBSTITUTE(TRIM(N533),"'","''")&amp;"'")&amp;", p_razon_social =&gt; "&amp;IF(TRIM(D533&amp;"")="","NULL","'"&amp;SUBSTITUTE(TRIM(D533),"'","''")&amp;"'")&amp;", p_id_tipo_cliente =&gt; "&amp;IF(TRIM(I533&amp;"")="","NULL","(SELECT lo.id FROM gen_lista_opciones lo JOIN gen_lista l ON l.id = lo.id_lista WHERE l.nombre = 'TipoCliente' AND upper(lo.nombre) = upper('"&amp;SUBSTITUTE(TRIM(I533),"'","''")&amp;"') AND lo.estado = 1 LIMIT 1)")&amp;", p_id_tipo_persona =&gt; "&amp;IF(TRIM(H533&amp;"")="","NULL","(SELECT lo.id FROM gen_lista_opciones lo JOIN gen_lista l ON l.id = lo.id_lista WHERE l.nombre = 'TipoPersona' AND upper(lo.nombre) = upper('"&amp;SUBSTITUTE(TRIM(H533),"'","''")&amp;"') AND lo.estado = 1 LIMIT 1)")&amp;", p_nombres =&gt; "&amp;IF(TRIM(E533&amp;"")="","NULL","'"&amp;SUBSTITUTE(TRIM(E533),"'","''")&amp;"'")&amp;", p_apellido_paterno =&gt; "&amp;IF(TRIM(F533&amp;"")="","NULL","'"&amp;SUBSTITUTE(TRIM(F533),"'","''")&amp;"'")&amp;", p_apellido_materno =&gt; "&amp;IF(TRIM(G533&amp;"")="","NULL","'"&amp;SUBSTITUTE(TRIM(G533),"'","''")&amp;"'")&amp;", p_id_tipo_documento =&gt; "&amp;IF(TRIM(B533&amp;"")="","NULL","(SELECT lo.id FROM gen_lista_opciones lo JOIN gen_lista l ON l.id = lo.id_lista WHERE l.nombre = 'TipoDocumento' AND upper(lo.nombre) = upper('"&amp;SUBSTITUTE(TRIM(B533),"'","''")&amp;"') AND lo.estado = 1 LIMIT 1)")&amp;", p_numero_documento =&gt; "&amp;IF(TRIM(C533&amp;"")="","NULL","'"&amp;SUBSTITUTE(TRIM(C533),"'","''")&amp;"'")&amp;", p_telefono =&gt; "&amp;IF(TRIM(L533&amp;"")="","NULL","'"&amp;SUBSTITUTE(TRIM(L533),"'","''")&amp;"'")&amp;", p_email =&gt; "&amp;IF(TRIM(M533&amp;"")="","NULL","'"&amp;SUBSTITUTE(TRIM(M533),"'","''")&amp;"'")&amp;", p_observacion =&gt; "&amp;IF(TRIM(O533&amp;"")="","NULL","'"&amp;SUBSTITUTE(TRIM(O533),"'","''")&amp;"'")&amp;", p_direccion =&gt; "&amp;IF(TRIM(J533&amp;"")="","NULL","'"&amp;SUBSTITUTE(TRIM(J533),"'","''")&amp;"'")&amp;", p_referencia =&gt; "&amp;IF(TRIM(K533&amp;"")="","NULL","'"&amp;SUBSTITUTE(TRIM(K533),"'","''")&amp;"'")&amp;") AS resultado_cliente_"&amp;488&amp;";")</f>
        <v/>
      </c>
    </row>
    <row r="534" ht="15.75" customHeight="1" s="64">
      <c r="A534" s="25">
        <f>IF(AND(D534="",E534="",C534=""),"",IF(AND(D534="",E534=""),"FALTA razón social o nombres",IF(AND(C534&lt;&gt;"",COUNTIF($C$5:$C$549,C534)&gt;1),"DOCUMENTO DUPLICADO",IF(AND(B534="DNI",C534&lt;&gt;"",LEN(C534)&lt;&gt;8),"DNI debe tener 8 dígitos",IF(AND(B534="RUC",C534&lt;&gt;"",LEN(C534)&lt;&gt;11),"RUC debe tener 11 dígitos",IF(AND(N534&lt;&gt;"",COUNTIF($N$5:$N$549,N534)&gt;1),"CÓDIGO INTERNO DUPLICADO","OK"))))))</f>
        <v/>
      </c>
      <c r="B534" s="17" t="n"/>
      <c r="C534" s="23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23" t="n"/>
      <c r="M534" s="17" t="n"/>
      <c r="N534" s="23" t="n"/>
      <c r="O534" s="17" t="n"/>
      <c r="P534" s="28">
        <f>IF(A534&lt;&gt;"OK","","SELECT cli_crear_clientes(p_codigo_interno =&gt; "&amp;IF(TRIM(N534&amp;"")="","NULL","'"&amp;SUBSTITUTE(TRIM(N534),"'","''")&amp;"'")&amp;", p_razon_social =&gt; "&amp;IF(TRIM(D534&amp;"")="","NULL","'"&amp;SUBSTITUTE(TRIM(D534),"'","''")&amp;"'")&amp;", p_id_tipo_cliente =&gt; "&amp;IF(TRIM(I534&amp;"")="","NULL","(SELECT lo.id FROM gen_lista_opciones lo JOIN gen_lista l ON l.id = lo.id_lista WHERE l.nombre = 'TipoCliente' AND upper(lo.nombre) = upper('"&amp;SUBSTITUTE(TRIM(I534),"'","''")&amp;"') AND lo.estado = 1 LIMIT 1)")&amp;", p_id_tipo_persona =&gt; "&amp;IF(TRIM(H534&amp;"")="","NULL","(SELECT lo.id FROM gen_lista_opciones lo JOIN gen_lista l ON l.id = lo.id_lista WHERE l.nombre = 'TipoPersona' AND upper(lo.nombre) = upper('"&amp;SUBSTITUTE(TRIM(H534),"'","''")&amp;"') AND lo.estado = 1 LIMIT 1)")&amp;", p_nombres =&gt; "&amp;IF(TRIM(E534&amp;"")="","NULL","'"&amp;SUBSTITUTE(TRIM(E534),"'","''")&amp;"'")&amp;", p_apellido_paterno =&gt; "&amp;IF(TRIM(F534&amp;"")="","NULL","'"&amp;SUBSTITUTE(TRIM(F534),"'","''")&amp;"'")&amp;", p_apellido_materno =&gt; "&amp;IF(TRIM(G534&amp;"")="","NULL","'"&amp;SUBSTITUTE(TRIM(G534),"'","''")&amp;"'")&amp;", p_id_tipo_documento =&gt; "&amp;IF(TRIM(B534&amp;"")="","NULL","(SELECT lo.id FROM gen_lista_opciones lo JOIN gen_lista l ON l.id = lo.id_lista WHERE l.nombre = 'TipoDocumento' AND upper(lo.nombre) = upper('"&amp;SUBSTITUTE(TRIM(B534),"'","''")&amp;"') AND lo.estado = 1 LIMIT 1)")&amp;", p_numero_documento =&gt; "&amp;IF(TRIM(C534&amp;"")="","NULL","'"&amp;SUBSTITUTE(TRIM(C534),"'","''")&amp;"'")&amp;", p_telefono =&gt; "&amp;IF(TRIM(L534&amp;"")="","NULL","'"&amp;SUBSTITUTE(TRIM(L534),"'","''")&amp;"'")&amp;", p_email =&gt; "&amp;IF(TRIM(M534&amp;"")="","NULL","'"&amp;SUBSTITUTE(TRIM(M534),"'","''")&amp;"'")&amp;", p_observacion =&gt; "&amp;IF(TRIM(O534&amp;"")="","NULL","'"&amp;SUBSTITUTE(TRIM(O534),"'","''")&amp;"'")&amp;", p_direccion =&gt; "&amp;IF(TRIM(J534&amp;"")="","NULL","'"&amp;SUBSTITUTE(TRIM(J534),"'","''")&amp;"'")&amp;", p_referencia =&gt; "&amp;IF(TRIM(K534&amp;"")="","NULL","'"&amp;SUBSTITUTE(TRIM(K534),"'","''")&amp;"'")&amp;") AS resultado_cliente_"&amp;489&amp;";")</f>
        <v/>
      </c>
    </row>
    <row r="535" ht="15.75" customHeight="1" s="64">
      <c r="A535" s="25">
        <f>IF(AND(D535="",E535="",C535=""),"",IF(AND(D535="",E535=""),"FALTA razón social o nombres",IF(AND(C535&lt;&gt;"",COUNTIF($C$5:$C$549,C535)&gt;1),"DOCUMENTO DUPLICADO",IF(AND(B535="DNI",C535&lt;&gt;"",LEN(C535)&lt;&gt;8),"DNI debe tener 8 dígitos",IF(AND(B535="RUC",C535&lt;&gt;"",LEN(C535)&lt;&gt;11),"RUC debe tener 11 dígitos",IF(AND(N535&lt;&gt;"",COUNTIF($N$5:$N$549,N535)&gt;1),"CÓDIGO INTERNO DUPLICADO","OK"))))))</f>
        <v/>
      </c>
      <c r="B535" s="17" t="n"/>
      <c r="C535" s="23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23" t="n"/>
      <c r="M535" s="17" t="n"/>
      <c r="N535" s="23" t="n"/>
      <c r="O535" s="17" t="n"/>
      <c r="P535" s="28">
        <f>IF(A535&lt;&gt;"OK","","SELECT cli_crear_clientes(p_codigo_interno =&gt; "&amp;IF(TRIM(N535&amp;"")="","NULL","'"&amp;SUBSTITUTE(TRIM(N535),"'","''")&amp;"'")&amp;", p_razon_social =&gt; "&amp;IF(TRIM(D535&amp;"")="","NULL","'"&amp;SUBSTITUTE(TRIM(D535),"'","''")&amp;"'")&amp;", p_id_tipo_cliente =&gt; "&amp;IF(TRIM(I535&amp;"")="","NULL","(SELECT lo.id FROM gen_lista_opciones lo JOIN gen_lista l ON l.id = lo.id_lista WHERE l.nombre = 'TipoCliente' AND upper(lo.nombre) = upper('"&amp;SUBSTITUTE(TRIM(I535),"'","''")&amp;"') AND lo.estado = 1 LIMIT 1)")&amp;", p_id_tipo_persona =&gt; "&amp;IF(TRIM(H535&amp;"")="","NULL","(SELECT lo.id FROM gen_lista_opciones lo JOIN gen_lista l ON l.id = lo.id_lista WHERE l.nombre = 'TipoPersona' AND upper(lo.nombre) = upper('"&amp;SUBSTITUTE(TRIM(H535),"'","''")&amp;"') AND lo.estado = 1 LIMIT 1)")&amp;", p_nombres =&gt; "&amp;IF(TRIM(E535&amp;"")="","NULL","'"&amp;SUBSTITUTE(TRIM(E535),"'","''")&amp;"'")&amp;", p_apellido_paterno =&gt; "&amp;IF(TRIM(F535&amp;"")="","NULL","'"&amp;SUBSTITUTE(TRIM(F535),"'","''")&amp;"'")&amp;", p_apellido_materno =&gt; "&amp;IF(TRIM(G535&amp;"")="","NULL","'"&amp;SUBSTITUTE(TRIM(G535),"'","''")&amp;"'")&amp;", p_id_tipo_documento =&gt; "&amp;IF(TRIM(B535&amp;"")="","NULL","(SELECT lo.id FROM gen_lista_opciones lo JOIN gen_lista l ON l.id = lo.id_lista WHERE l.nombre = 'TipoDocumento' AND upper(lo.nombre) = upper('"&amp;SUBSTITUTE(TRIM(B535),"'","''")&amp;"') AND lo.estado = 1 LIMIT 1)")&amp;", p_numero_documento =&gt; "&amp;IF(TRIM(C535&amp;"")="","NULL","'"&amp;SUBSTITUTE(TRIM(C535),"'","''")&amp;"'")&amp;", p_telefono =&gt; "&amp;IF(TRIM(L535&amp;"")="","NULL","'"&amp;SUBSTITUTE(TRIM(L535),"'","''")&amp;"'")&amp;", p_email =&gt; "&amp;IF(TRIM(M535&amp;"")="","NULL","'"&amp;SUBSTITUTE(TRIM(M535),"'","''")&amp;"'")&amp;", p_observacion =&gt; "&amp;IF(TRIM(O535&amp;"")="","NULL","'"&amp;SUBSTITUTE(TRIM(O535),"'","''")&amp;"'")&amp;", p_direccion =&gt; "&amp;IF(TRIM(J535&amp;"")="","NULL","'"&amp;SUBSTITUTE(TRIM(J535),"'","''")&amp;"'")&amp;", p_referencia =&gt; "&amp;IF(TRIM(K535&amp;"")="","NULL","'"&amp;SUBSTITUTE(TRIM(K535),"'","''")&amp;"'")&amp;") AS resultado_cliente_"&amp;490&amp;";")</f>
        <v/>
      </c>
    </row>
    <row r="536" ht="15.75" customHeight="1" s="64">
      <c r="A536" s="25">
        <f>IF(AND(D536="",E536="",C536=""),"",IF(AND(D536="",E536=""),"FALTA razón social o nombres",IF(AND(C536&lt;&gt;"",COUNTIF($C$5:$C$549,C536)&gt;1),"DOCUMENTO DUPLICADO",IF(AND(B536="DNI",C536&lt;&gt;"",LEN(C536)&lt;&gt;8),"DNI debe tener 8 dígitos",IF(AND(B536="RUC",C536&lt;&gt;"",LEN(C536)&lt;&gt;11),"RUC debe tener 11 dígitos",IF(AND(N536&lt;&gt;"",COUNTIF($N$5:$N$549,N536)&gt;1),"CÓDIGO INTERNO DUPLICADO","OK"))))))</f>
        <v/>
      </c>
      <c r="B536" s="17" t="n"/>
      <c r="C536" s="23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23" t="n"/>
      <c r="M536" s="17" t="n"/>
      <c r="N536" s="23" t="n"/>
      <c r="O536" s="17" t="n"/>
      <c r="P536" s="28">
        <f>IF(A536&lt;&gt;"OK","","SELECT cli_crear_clientes(p_codigo_interno =&gt; "&amp;IF(TRIM(N536&amp;"")="","NULL","'"&amp;SUBSTITUTE(TRIM(N536),"'","''")&amp;"'")&amp;", p_razon_social =&gt; "&amp;IF(TRIM(D536&amp;"")="","NULL","'"&amp;SUBSTITUTE(TRIM(D536),"'","''")&amp;"'")&amp;", p_id_tipo_cliente =&gt; "&amp;IF(TRIM(I536&amp;"")="","NULL","(SELECT lo.id FROM gen_lista_opciones lo JOIN gen_lista l ON l.id = lo.id_lista WHERE l.nombre = 'TipoCliente' AND upper(lo.nombre) = upper('"&amp;SUBSTITUTE(TRIM(I536),"'","''")&amp;"') AND lo.estado = 1 LIMIT 1)")&amp;", p_id_tipo_persona =&gt; "&amp;IF(TRIM(H536&amp;"")="","NULL","(SELECT lo.id FROM gen_lista_opciones lo JOIN gen_lista l ON l.id = lo.id_lista WHERE l.nombre = 'TipoPersona' AND upper(lo.nombre) = upper('"&amp;SUBSTITUTE(TRIM(H536),"'","''")&amp;"') AND lo.estado = 1 LIMIT 1)")&amp;", p_nombres =&gt; "&amp;IF(TRIM(E536&amp;"")="","NULL","'"&amp;SUBSTITUTE(TRIM(E536),"'","''")&amp;"'")&amp;", p_apellido_paterno =&gt; "&amp;IF(TRIM(F536&amp;"")="","NULL","'"&amp;SUBSTITUTE(TRIM(F536),"'","''")&amp;"'")&amp;", p_apellido_materno =&gt; "&amp;IF(TRIM(G536&amp;"")="","NULL","'"&amp;SUBSTITUTE(TRIM(G536),"'","''")&amp;"'")&amp;", p_id_tipo_documento =&gt; "&amp;IF(TRIM(B536&amp;"")="","NULL","(SELECT lo.id FROM gen_lista_opciones lo JOIN gen_lista l ON l.id = lo.id_lista WHERE l.nombre = 'TipoDocumento' AND upper(lo.nombre) = upper('"&amp;SUBSTITUTE(TRIM(B536),"'","''")&amp;"') AND lo.estado = 1 LIMIT 1)")&amp;", p_numero_documento =&gt; "&amp;IF(TRIM(C536&amp;"")="","NULL","'"&amp;SUBSTITUTE(TRIM(C536),"'","''")&amp;"'")&amp;", p_telefono =&gt; "&amp;IF(TRIM(L536&amp;"")="","NULL","'"&amp;SUBSTITUTE(TRIM(L536),"'","''")&amp;"'")&amp;", p_email =&gt; "&amp;IF(TRIM(M536&amp;"")="","NULL","'"&amp;SUBSTITUTE(TRIM(M536),"'","''")&amp;"'")&amp;", p_observacion =&gt; "&amp;IF(TRIM(O536&amp;"")="","NULL","'"&amp;SUBSTITUTE(TRIM(O536),"'","''")&amp;"'")&amp;", p_direccion =&gt; "&amp;IF(TRIM(J536&amp;"")="","NULL","'"&amp;SUBSTITUTE(TRIM(J536),"'","''")&amp;"'")&amp;", p_referencia =&gt; "&amp;IF(TRIM(K536&amp;"")="","NULL","'"&amp;SUBSTITUTE(TRIM(K536),"'","''")&amp;"'")&amp;") AS resultado_cliente_"&amp;491&amp;";")</f>
        <v/>
      </c>
    </row>
    <row r="537" ht="15.75" customHeight="1" s="64">
      <c r="A537" s="25">
        <f>IF(AND(D537="",E537="",C537=""),"",IF(AND(D537="",E537=""),"FALTA razón social o nombres",IF(AND(C537&lt;&gt;"",COUNTIF($C$5:$C$549,C537)&gt;1),"DOCUMENTO DUPLICADO",IF(AND(B537="DNI",C537&lt;&gt;"",LEN(C537)&lt;&gt;8),"DNI debe tener 8 dígitos",IF(AND(B537="RUC",C537&lt;&gt;"",LEN(C537)&lt;&gt;11),"RUC debe tener 11 dígitos",IF(AND(N537&lt;&gt;"",COUNTIF($N$5:$N$549,N537)&gt;1),"CÓDIGO INTERNO DUPLICADO","OK"))))))</f>
        <v/>
      </c>
      <c r="B537" s="17" t="n"/>
      <c r="C537" s="23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23" t="n"/>
      <c r="M537" s="17" t="n"/>
      <c r="N537" s="23" t="n"/>
      <c r="O537" s="17" t="n"/>
      <c r="P537" s="28">
        <f>IF(A537&lt;&gt;"OK","","SELECT cli_crear_clientes(p_codigo_interno =&gt; "&amp;IF(TRIM(N537&amp;"")="","NULL","'"&amp;SUBSTITUTE(TRIM(N537),"'","''")&amp;"'")&amp;", p_razon_social =&gt; "&amp;IF(TRIM(D537&amp;"")="","NULL","'"&amp;SUBSTITUTE(TRIM(D537),"'","''")&amp;"'")&amp;", p_id_tipo_cliente =&gt; "&amp;IF(TRIM(I537&amp;"")="","NULL","(SELECT lo.id FROM gen_lista_opciones lo JOIN gen_lista l ON l.id = lo.id_lista WHERE l.nombre = 'TipoCliente' AND upper(lo.nombre) = upper('"&amp;SUBSTITUTE(TRIM(I537),"'","''")&amp;"') AND lo.estado = 1 LIMIT 1)")&amp;", p_id_tipo_persona =&gt; "&amp;IF(TRIM(H537&amp;"")="","NULL","(SELECT lo.id FROM gen_lista_opciones lo JOIN gen_lista l ON l.id = lo.id_lista WHERE l.nombre = 'TipoPersona' AND upper(lo.nombre) = upper('"&amp;SUBSTITUTE(TRIM(H537),"'","''")&amp;"') AND lo.estado = 1 LIMIT 1)")&amp;", p_nombres =&gt; "&amp;IF(TRIM(E537&amp;"")="","NULL","'"&amp;SUBSTITUTE(TRIM(E537),"'","''")&amp;"'")&amp;", p_apellido_paterno =&gt; "&amp;IF(TRIM(F537&amp;"")="","NULL","'"&amp;SUBSTITUTE(TRIM(F537),"'","''")&amp;"'")&amp;", p_apellido_materno =&gt; "&amp;IF(TRIM(G537&amp;"")="","NULL","'"&amp;SUBSTITUTE(TRIM(G537),"'","''")&amp;"'")&amp;", p_id_tipo_documento =&gt; "&amp;IF(TRIM(B537&amp;"")="","NULL","(SELECT lo.id FROM gen_lista_opciones lo JOIN gen_lista l ON l.id = lo.id_lista WHERE l.nombre = 'TipoDocumento' AND upper(lo.nombre) = upper('"&amp;SUBSTITUTE(TRIM(B537),"'","''")&amp;"') AND lo.estado = 1 LIMIT 1)")&amp;", p_numero_documento =&gt; "&amp;IF(TRIM(C537&amp;"")="","NULL","'"&amp;SUBSTITUTE(TRIM(C537),"'","''")&amp;"'")&amp;", p_telefono =&gt; "&amp;IF(TRIM(L537&amp;"")="","NULL","'"&amp;SUBSTITUTE(TRIM(L537),"'","''")&amp;"'")&amp;", p_email =&gt; "&amp;IF(TRIM(M537&amp;"")="","NULL","'"&amp;SUBSTITUTE(TRIM(M537),"'","''")&amp;"'")&amp;", p_observacion =&gt; "&amp;IF(TRIM(O537&amp;"")="","NULL","'"&amp;SUBSTITUTE(TRIM(O537),"'","''")&amp;"'")&amp;", p_direccion =&gt; "&amp;IF(TRIM(J537&amp;"")="","NULL","'"&amp;SUBSTITUTE(TRIM(J537),"'","''")&amp;"'")&amp;", p_referencia =&gt; "&amp;IF(TRIM(K537&amp;"")="","NULL","'"&amp;SUBSTITUTE(TRIM(K537),"'","''")&amp;"'")&amp;") AS resultado_cliente_"&amp;492&amp;";")</f>
        <v/>
      </c>
    </row>
    <row r="538" ht="15.75" customHeight="1" s="64">
      <c r="A538" s="25">
        <f>IF(AND(D538="",E538="",C538=""),"",IF(AND(D538="",E538=""),"FALTA razón social o nombres",IF(AND(C538&lt;&gt;"",COUNTIF($C$5:$C$549,C538)&gt;1),"DOCUMENTO DUPLICADO",IF(AND(B538="DNI",C538&lt;&gt;"",LEN(C538)&lt;&gt;8),"DNI debe tener 8 dígitos",IF(AND(B538="RUC",C538&lt;&gt;"",LEN(C538)&lt;&gt;11),"RUC debe tener 11 dígitos",IF(AND(N538&lt;&gt;"",COUNTIF($N$5:$N$549,N538)&gt;1),"CÓDIGO INTERNO DUPLICADO","OK"))))))</f>
        <v/>
      </c>
      <c r="B538" s="17" t="n"/>
      <c r="C538" s="23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23" t="n"/>
      <c r="M538" s="17" t="n"/>
      <c r="N538" s="23" t="n"/>
      <c r="O538" s="17" t="n"/>
      <c r="P538" s="28">
        <f>IF(A538&lt;&gt;"OK","","SELECT cli_crear_clientes(p_codigo_interno =&gt; "&amp;IF(TRIM(N538&amp;"")="","NULL","'"&amp;SUBSTITUTE(TRIM(N538),"'","''")&amp;"'")&amp;", p_razon_social =&gt; "&amp;IF(TRIM(D538&amp;"")="","NULL","'"&amp;SUBSTITUTE(TRIM(D538),"'","''")&amp;"'")&amp;", p_id_tipo_cliente =&gt; "&amp;IF(TRIM(I538&amp;"")="","NULL","(SELECT lo.id FROM gen_lista_opciones lo JOIN gen_lista l ON l.id = lo.id_lista WHERE l.nombre = 'TipoCliente' AND upper(lo.nombre) = upper('"&amp;SUBSTITUTE(TRIM(I538),"'","''")&amp;"') AND lo.estado = 1 LIMIT 1)")&amp;", p_id_tipo_persona =&gt; "&amp;IF(TRIM(H538&amp;"")="","NULL","(SELECT lo.id FROM gen_lista_opciones lo JOIN gen_lista l ON l.id = lo.id_lista WHERE l.nombre = 'TipoPersona' AND upper(lo.nombre) = upper('"&amp;SUBSTITUTE(TRIM(H538),"'","''")&amp;"') AND lo.estado = 1 LIMIT 1)")&amp;", p_nombres =&gt; "&amp;IF(TRIM(E538&amp;"")="","NULL","'"&amp;SUBSTITUTE(TRIM(E538),"'","''")&amp;"'")&amp;", p_apellido_paterno =&gt; "&amp;IF(TRIM(F538&amp;"")="","NULL","'"&amp;SUBSTITUTE(TRIM(F538),"'","''")&amp;"'")&amp;", p_apellido_materno =&gt; "&amp;IF(TRIM(G538&amp;"")="","NULL","'"&amp;SUBSTITUTE(TRIM(G538),"'","''")&amp;"'")&amp;", p_id_tipo_documento =&gt; "&amp;IF(TRIM(B538&amp;"")="","NULL","(SELECT lo.id FROM gen_lista_opciones lo JOIN gen_lista l ON l.id = lo.id_lista WHERE l.nombre = 'TipoDocumento' AND upper(lo.nombre) = upper('"&amp;SUBSTITUTE(TRIM(B538),"'","''")&amp;"') AND lo.estado = 1 LIMIT 1)")&amp;", p_numero_documento =&gt; "&amp;IF(TRIM(C538&amp;"")="","NULL","'"&amp;SUBSTITUTE(TRIM(C538),"'","''")&amp;"'")&amp;", p_telefono =&gt; "&amp;IF(TRIM(L538&amp;"")="","NULL","'"&amp;SUBSTITUTE(TRIM(L538),"'","''")&amp;"'")&amp;", p_email =&gt; "&amp;IF(TRIM(M538&amp;"")="","NULL","'"&amp;SUBSTITUTE(TRIM(M538),"'","''")&amp;"'")&amp;", p_observacion =&gt; "&amp;IF(TRIM(O538&amp;"")="","NULL","'"&amp;SUBSTITUTE(TRIM(O538),"'","''")&amp;"'")&amp;", p_direccion =&gt; "&amp;IF(TRIM(J538&amp;"")="","NULL","'"&amp;SUBSTITUTE(TRIM(J538),"'","''")&amp;"'")&amp;", p_referencia =&gt; "&amp;IF(TRIM(K538&amp;"")="","NULL","'"&amp;SUBSTITUTE(TRIM(K538),"'","''")&amp;"'")&amp;") AS resultado_cliente_"&amp;493&amp;";")</f>
        <v/>
      </c>
    </row>
    <row r="539" ht="15.75" customHeight="1" s="64">
      <c r="A539" s="25">
        <f>IF(AND(D539="",E539="",C539=""),"",IF(AND(D539="",E539=""),"FALTA razón social o nombres",IF(AND(C539&lt;&gt;"",COUNTIF($C$5:$C$549,C539)&gt;1),"DOCUMENTO DUPLICADO",IF(AND(B539="DNI",C539&lt;&gt;"",LEN(C539)&lt;&gt;8),"DNI debe tener 8 dígitos",IF(AND(B539="RUC",C539&lt;&gt;"",LEN(C539)&lt;&gt;11),"RUC debe tener 11 dígitos",IF(AND(N539&lt;&gt;"",COUNTIF($N$5:$N$549,N539)&gt;1),"CÓDIGO INTERNO DUPLICADO","OK"))))))</f>
        <v/>
      </c>
      <c r="B539" s="17" t="n"/>
      <c r="C539" s="23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23" t="n"/>
      <c r="M539" s="17" t="n"/>
      <c r="N539" s="23" t="n"/>
      <c r="O539" s="17" t="n"/>
      <c r="P539" s="28">
        <f>IF(A539&lt;&gt;"OK","","SELECT cli_crear_clientes(p_codigo_interno =&gt; "&amp;IF(TRIM(N539&amp;"")="","NULL","'"&amp;SUBSTITUTE(TRIM(N539),"'","''")&amp;"'")&amp;", p_razon_social =&gt; "&amp;IF(TRIM(D539&amp;"")="","NULL","'"&amp;SUBSTITUTE(TRIM(D539),"'","''")&amp;"'")&amp;", p_id_tipo_cliente =&gt; "&amp;IF(TRIM(I539&amp;"")="","NULL","(SELECT lo.id FROM gen_lista_opciones lo JOIN gen_lista l ON l.id = lo.id_lista WHERE l.nombre = 'TipoCliente' AND upper(lo.nombre) = upper('"&amp;SUBSTITUTE(TRIM(I539),"'","''")&amp;"') AND lo.estado = 1 LIMIT 1)")&amp;", p_id_tipo_persona =&gt; "&amp;IF(TRIM(H539&amp;"")="","NULL","(SELECT lo.id FROM gen_lista_opciones lo JOIN gen_lista l ON l.id = lo.id_lista WHERE l.nombre = 'TipoPersona' AND upper(lo.nombre) = upper('"&amp;SUBSTITUTE(TRIM(H539),"'","''")&amp;"') AND lo.estado = 1 LIMIT 1)")&amp;", p_nombres =&gt; "&amp;IF(TRIM(E539&amp;"")="","NULL","'"&amp;SUBSTITUTE(TRIM(E539),"'","''")&amp;"'")&amp;", p_apellido_paterno =&gt; "&amp;IF(TRIM(F539&amp;"")="","NULL","'"&amp;SUBSTITUTE(TRIM(F539),"'","''")&amp;"'")&amp;", p_apellido_materno =&gt; "&amp;IF(TRIM(G539&amp;"")="","NULL","'"&amp;SUBSTITUTE(TRIM(G539),"'","''")&amp;"'")&amp;", p_id_tipo_documento =&gt; "&amp;IF(TRIM(B539&amp;"")="","NULL","(SELECT lo.id FROM gen_lista_opciones lo JOIN gen_lista l ON l.id = lo.id_lista WHERE l.nombre = 'TipoDocumento' AND upper(lo.nombre) = upper('"&amp;SUBSTITUTE(TRIM(B539),"'","''")&amp;"') AND lo.estado = 1 LIMIT 1)")&amp;", p_numero_documento =&gt; "&amp;IF(TRIM(C539&amp;"")="","NULL","'"&amp;SUBSTITUTE(TRIM(C539),"'","''")&amp;"'")&amp;", p_telefono =&gt; "&amp;IF(TRIM(L539&amp;"")="","NULL","'"&amp;SUBSTITUTE(TRIM(L539),"'","''")&amp;"'")&amp;", p_email =&gt; "&amp;IF(TRIM(M539&amp;"")="","NULL","'"&amp;SUBSTITUTE(TRIM(M539),"'","''")&amp;"'")&amp;", p_observacion =&gt; "&amp;IF(TRIM(O539&amp;"")="","NULL","'"&amp;SUBSTITUTE(TRIM(O539),"'","''")&amp;"'")&amp;", p_direccion =&gt; "&amp;IF(TRIM(J539&amp;"")="","NULL","'"&amp;SUBSTITUTE(TRIM(J539),"'","''")&amp;"'")&amp;", p_referencia =&gt; "&amp;IF(TRIM(K539&amp;"")="","NULL","'"&amp;SUBSTITUTE(TRIM(K539),"'","''")&amp;"'")&amp;") AS resultado_cliente_"&amp;494&amp;";")</f>
        <v/>
      </c>
    </row>
    <row r="540" ht="15.75" customHeight="1" s="64">
      <c r="A540" s="25">
        <f>IF(AND(D540="",E540="",C540=""),"",IF(AND(D540="",E540=""),"FALTA razón social o nombres",IF(AND(C540&lt;&gt;"",COUNTIF($C$5:$C$549,C540)&gt;1),"DOCUMENTO DUPLICADO",IF(AND(B540="DNI",C540&lt;&gt;"",LEN(C540)&lt;&gt;8),"DNI debe tener 8 dígitos",IF(AND(B540="RUC",C540&lt;&gt;"",LEN(C540)&lt;&gt;11),"RUC debe tener 11 dígitos",IF(AND(N540&lt;&gt;"",COUNTIF($N$5:$N$549,N540)&gt;1),"CÓDIGO INTERNO DUPLICADO","OK"))))))</f>
        <v/>
      </c>
      <c r="B540" s="17" t="n"/>
      <c r="C540" s="23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23" t="n"/>
      <c r="M540" s="17" t="n"/>
      <c r="N540" s="23" t="n"/>
      <c r="O540" s="17" t="n"/>
      <c r="P540" s="28">
        <f>IF(A540&lt;&gt;"OK","","SELECT cli_crear_clientes(p_codigo_interno =&gt; "&amp;IF(TRIM(N540&amp;"")="","NULL","'"&amp;SUBSTITUTE(TRIM(N540),"'","''")&amp;"'")&amp;", p_razon_social =&gt; "&amp;IF(TRIM(D540&amp;"")="","NULL","'"&amp;SUBSTITUTE(TRIM(D540),"'","''")&amp;"'")&amp;", p_id_tipo_cliente =&gt; "&amp;IF(TRIM(I540&amp;"")="","NULL","(SELECT lo.id FROM gen_lista_opciones lo JOIN gen_lista l ON l.id = lo.id_lista WHERE l.nombre = 'TipoCliente' AND upper(lo.nombre) = upper('"&amp;SUBSTITUTE(TRIM(I540),"'","''")&amp;"') AND lo.estado = 1 LIMIT 1)")&amp;", p_id_tipo_persona =&gt; "&amp;IF(TRIM(H540&amp;"")="","NULL","(SELECT lo.id FROM gen_lista_opciones lo JOIN gen_lista l ON l.id = lo.id_lista WHERE l.nombre = 'TipoPersona' AND upper(lo.nombre) = upper('"&amp;SUBSTITUTE(TRIM(H540),"'","''")&amp;"') AND lo.estado = 1 LIMIT 1)")&amp;", p_nombres =&gt; "&amp;IF(TRIM(E540&amp;"")="","NULL","'"&amp;SUBSTITUTE(TRIM(E540),"'","''")&amp;"'")&amp;", p_apellido_paterno =&gt; "&amp;IF(TRIM(F540&amp;"")="","NULL","'"&amp;SUBSTITUTE(TRIM(F540),"'","''")&amp;"'")&amp;", p_apellido_materno =&gt; "&amp;IF(TRIM(G540&amp;"")="","NULL","'"&amp;SUBSTITUTE(TRIM(G540),"'","''")&amp;"'")&amp;", p_id_tipo_documento =&gt; "&amp;IF(TRIM(B540&amp;"")="","NULL","(SELECT lo.id FROM gen_lista_opciones lo JOIN gen_lista l ON l.id = lo.id_lista WHERE l.nombre = 'TipoDocumento' AND upper(lo.nombre) = upper('"&amp;SUBSTITUTE(TRIM(B540),"'","''")&amp;"') AND lo.estado = 1 LIMIT 1)")&amp;", p_numero_documento =&gt; "&amp;IF(TRIM(C540&amp;"")="","NULL","'"&amp;SUBSTITUTE(TRIM(C540),"'","''")&amp;"'")&amp;", p_telefono =&gt; "&amp;IF(TRIM(L540&amp;"")="","NULL","'"&amp;SUBSTITUTE(TRIM(L540),"'","''")&amp;"'")&amp;", p_email =&gt; "&amp;IF(TRIM(M540&amp;"")="","NULL","'"&amp;SUBSTITUTE(TRIM(M540),"'","''")&amp;"'")&amp;", p_observacion =&gt; "&amp;IF(TRIM(O540&amp;"")="","NULL","'"&amp;SUBSTITUTE(TRIM(O540),"'","''")&amp;"'")&amp;", p_direccion =&gt; "&amp;IF(TRIM(J540&amp;"")="","NULL","'"&amp;SUBSTITUTE(TRIM(J540),"'","''")&amp;"'")&amp;", p_referencia =&gt; "&amp;IF(TRIM(K540&amp;"")="","NULL","'"&amp;SUBSTITUTE(TRIM(K540),"'","''")&amp;"'")&amp;") AS resultado_cliente_"&amp;495&amp;";")</f>
        <v/>
      </c>
    </row>
    <row r="541" ht="15.75" customHeight="1" s="64">
      <c r="A541" s="25">
        <f>IF(AND(D541="",E541="",C541=""),"",IF(AND(D541="",E541=""),"FALTA razón social o nombres",IF(AND(C541&lt;&gt;"",COUNTIF($C$5:$C$549,C541)&gt;1),"DOCUMENTO DUPLICADO",IF(AND(B541="DNI",C541&lt;&gt;"",LEN(C541)&lt;&gt;8),"DNI debe tener 8 dígitos",IF(AND(B541="RUC",C541&lt;&gt;"",LEN(C541)&lt;&gt;11),"RUC debe tener 11 dígitos",IF(AND(N541&lt;&gt;"",COUNTIF($N$5:$N$549,N541)&gt;1),"CÓDIGO INTERNO DUPLICADO","OK"))))))</f>
        <v/>
      </c>
      <c r="B541" s="17" t="n"/>
      <c r="C541" s="23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23" t="n"/>
      <c r="M541" s="17" t="n"/>
      <c r="N541" s="23" t="n"/>
      <c r="O541" s="17" t="n"/>
      <c r="P541" s="28">
        <f>IF(A541&lt;&gt;"OK","","SELECT cli_crear_clientes(p_codigo_interno =&gt; "&amp;IF(TRIM(N541&amp;"")="","NULL","'"&amp;SUBSTITUTE(TRIM(N541),"'","''")&amp;"'")&amp;", p_razon_social =&gt; "&amp;IF(TRIM(D541&amp;"")="","NULL","'"&amp;SUBSTITUTE(TRIM(D541),"'","''")&amp;"'")&amp;", p_id_tipo_cliente =&gt; "&amp;IF(TRIM(I541&amp;"")="","NULL","(SELECT lo.id FROM gen_lista_opciones lo JOIN gen_lista l ON l.id = lo.id_lista WHERE l.nombre = 'TipoCliente' AND upper(lo.nombre) = upper('"&amp;SUBSTITUTE(TRIM(I541),"'","''")&amp;"') AND lo.estado = 1 LIMIT 1)")&amp;", p_id_tipo_persona =&gt; "&amp;IF(TRIM(H541&amp;"")="","NULL","(SELECT lo.id FROM gen_lista_opciones lo JOIN gen_lista l ON l.id = lo.id_lista WHERE l.nombre = 'TipoPersona' AND upper(lo.nombre) = upper('"&amp;SUBSTITUTE(TRIM(H541),"'","''")&amp;"') AND lo.estado = 1 LIMIT 1)")&amp;", p_nombres =&gt; "&amp;IF(TRIM(E541&amp;"")="","NULL","'"&amp;SUBSTITUTE(TRIM(E541),"'","''")&amp;"'")&amp;", p_apellido_paterno =&gt; "&amp;IF(TRIM(F541&amp;"")="","NULL","'"&amp;SUBSTITUTE(TRIM(F541),"'","''")&amp;"'")&amp;", p_apellido_materno =&gt; "&amp;IF(TRIM(G541&amp;"")="","NULL","'"&amp;SUBSTITUTE(TRIM(G541),"'","''")&amp;"'")&amp;", p_id_tipo_documento =&gt; "&amp;IF(TRIM(B541&amp;"")="","NULL","(SELECT lo.id FROM gen_lista_opciones lo JOIN gen_lista l ON l.id = lo.id_lista WHERE l.nombre = 'TipoDocumento' AND upper(lo.nombre) = upper('"&amp;SUBSTITUTE(TRIM(B541),"'","''")&amp;"') AND lo.estado = 1 LIMIT 1)")&amp;", p_numero_documento =&gt; "&amp;IF(TRIM(C541&amp;"")="","NULL","'"&amp;SUBSTITUTE(TRIM(C541),"'","''")&amp;"'")&amp;", p_telefono =&gt; "&amp;IF(TRIM(L541&amp;"")="","NULL","'"&amp;SUBSTITUTE(TRIM(L541),"'","''")&amp;"'")&amp;", p_email =&gt; "&amp;IF(TRIM(M541&amp;"")="","NULL","'"&amp;SUBSTITUTE(TRIM(M541),"'","''")&amp;"'")&amp;", p_observacion =&gt; "&amp;IF(TRIM(O541&amp;"")="","NULL","'"&amp;SUBSTITUTE(TRIM(O541),"'","''")&amp;"'")&amp;", p_direccion =&gt; "&amp;IF(TRIM(J541&amp;"")="","NULL","'"&amp;SUBSTITUTE(TRIM(J541),"'","''")&amp;"'")&amp;", p_referencia =&gt; "&amp;IF(TRIM(K541&amp;"")="","NULL","'"&amp;SUBSTITUTE(TRIM(K541),"'","''")&amp;"'")&amp;") AS resultado_cliente_"&amp;496&amp;";")</f>
        <v/>
      </c>
    </row>
    <row r="542" ht="15.75" customHeight="1" s="64">
      <c r="A542" s="25">
        <f>IF(AND(D542="",E542="",C542=""),"",IF(AND(D542="",E542=""),"FALTA razón social o nombres",IF(AND(C542&lt;&gt;"",COUNTIF($C$5:$C$549,C542)&gt;1),"DOCUMENTO DUPLICADO",IF(AND(B542="DNI",C542&lt;&gt;"",LEN(C542)&lt;&gt;8),"DNI debe tener 8 dígitos",IF(AND(B542="RUC",C542&lt;&gt;"",LEN(C542)&lt;&gt;11),"RUC debe tener 11 dígitos",IF(AND(N542&lt;&gt;"",COUNTIF($N$5:$N$549,N542)&gt;1),"CÓDIGO INTERNO DUPLICADO","OK"))))))</f>
        <v/>
      </c>
      <c r="B542" s="17" t="n"/>
      <c r="C542" s="23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23" t="n"/>
      <c r="M542" s="17" t="n"/>
      <c r="N542" s="23" t="n"/>
      <c r="O542" s="17" t="n"/>
      <c r="P542" s="28">
        <f>IF(A542&lt;&gt;"OK","","SELECT cli_crear_clientes(p_codigo_interno =&gt; "&amp;IF(TRIM(N542&amp;"")="","NULL","'"&amp;SUBSTITUTE(TRIM(N542),"'","''")&amp;"'")&amp;", p_razon_social =&gt; "&amp;IF(TRIM(D542&amp;"")="","NULL","'"&amp;SUBSTITUTE(TRIM(D542),"'","''")&amp;"'")&amp;", p_id_tipo_cliente =&gt; "&amp;IF(TRIM(I542&amp;"")="","NULL","(SELECT lo.id FROM gen_lista_opciones lo JOIN gen_lista l ON l.id = lo.id_lista WHERE l.nombre = 'TipoCliente' AND upper(lo.nombre) = upper('"&amp;SUBSTITUTE(TRIM(I542),"'","''")&amp;"') AND lo.estado = 1 LIMIT 1)")&amp;", p_id_tipo_persona =&gt; "&amp;IF(TRIM(H542&amp;"")="","NULL","(SELECT lo.id FROM gen_lista_opciones lo JOIN gen_lista l ON l.id = lo.id_lista WHERE l.nombre = 'TipoPersona' AND upper(lo.nombre) = upper('"&amp;SUBSTITUTE(TRIM(H542),"'","''")&amp;"') AND lo.estado = 1 LIMIT 1)")&amp;", p_nombres =&gt; "&amp;IF(TRIM(E542&amp;"")="","NULL","'"&amp;SUBSTITUTE(TRIM(E542),"'","''")&amp;"'")&amp;", p_apellido_paterno =&gt; "&amp;IF(TRIM(F542&amp;"")="","NULL","'"&amp;SUBSTITUTE(TRIM(F542),"'","''")&amp;"'")&amp;", p_apellido_materno =&gt; "&amp;IF(TRIM(G542&amp;"")="","NULL","'"&amp;SUBSTITUTE(TRIM(G542),"'","''")&amp;"'")&amp;", p_id_tipo_documento =&gt; "&amp;IF(TRIM(B542&amp;"")="","NULL","(SELECT lo.id FROM gen_lista_opciones lo JOIN gen_lista l ON l.id = lo.id_lista WHERE l.nombre = 'TipoDocumento' AND upper(lo.nombre) = upper('"&amp;SUBSTITUTE(TRIM(B542),"'","''")&amp;"') AND lo.estado = 1 LIMIT 1)")&amp;", p_numero_documento =&gt; "&amp;IF(TRIM(C542&amp;"")="","NULL","'"&amp;SUBSTITUTE(TRIM(C542),"'","''")&amp;"'")&amp;", p_telefono =&gt; "&amp;IF(TRIM(L542&amp;"")="","NULL","'"&amp;SUBSTITUTE(TRIM(L542),"'","''")&amp;"'")&amp;", p_email =&gt; "&amp;IF(TRIM(M542&amp;"")="","NULL","'"&amp;SUBSTITUTE(TRIM(M542),"'","''")&amp;"'")&amp;", p_observacion =&gt; "&amp;IF(TRIM(O542&amp;"")="","NULL","'"&amp;SUBSTITUTE(TRIM(O542),"'","''")&amp;"'")&amp;", p_direccion =&gt; "&amp;IF(TRIM(J542&amp;"")="","NULL","'"&amp;SUBSTITUTE(TRIM(J542),"'","''")&amp;"'")&amp;", p_referencia =&gt; "&amp;IF(TRIM(K542&amp;"")="","NULL","'"&amp;SUBSTITUTE(TRIM(K542),"'","''")&amp;"'")&amp;") AS resultado_cliente_"&amp;497&amp;";")</f>
        <v/>
      </c>
    </row>
    <row r="543" ht="15.75" customHeight="1" s="64">
      <c r="A543" s="25">
        <f>IF(AND(D543="",E543="",C543=""),"",IF(AND(D543="",E543=""),"FALTA razón social o nombres",IF(AND(C543&lt;&gt;"",COUNTIF($C$5:$C$549,C543)&gt;1),"DOCUMENTO DUPLICADO",IF(AND(B543="DNI",C543&lt;&gt;"",LEN(C543)&lt;&gt;8),"DNI debe tener 8 dígitos",IF(AND(B543="RUC",C543&lt;&gt;"",LEN(C543)&lt;&gt;11),"RUC debe tener 11 dígitos",IF(AND(N543&lt;&gt;"",COUNTIF($N$5:$N$549,N543)&gt;1),"CÓDIGO INTERNO DUPLICADO","OK"))))))</f>
        <v/>
      </c>
      <c r="B543" s="17" t="n"/>
      <c r="C543" s="23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23" t="n"/>
      <c r="M543" s="17" t="n"/>
      <c r="N543" s="23" t="n"/>
      <c r="O543" s="17" t="n"/>
      <c r="P543" s="28">
        <f>IF(A543&lt;&gt;"OK","","SELECT cli_crear_clientes(p_codigo_interno =&gt; "&amp;IF(TRIM(N543&amp;"")="","NULL","'"&amp;SUBSTITUTE(TRIM(N543),"'","''")&amp;"'")&amp;", p_razon_social =&gt; "&amp;IF(TRIM(D543&amp;"")="","NULL","'"&amp;SUBSTITUTE(TRIM(D543),"'","''")&amp;"'")&amp;", p_id_tipo_cliente =&gt; "&amp;IF(TRIM(I543&amp;"")="","NULL","(SELECT lo.id FROM gen_lista_opciones lo JOIN gen_lista l ON l.id = lo.id_lista WHERE l.nombre = 'TipoCliente' AND upper(lo.nombre) = upper('"&amp;SUBSTITUTE(TRIM(I543),"'","''")&amp;"') AND lo.estado = 1 LIMIT 1)")&amp;", p_id_tipo_persona =&gt; "&amp;IF(TRIM(H543&amp;"")="","NULL","(SELECT lo.id FROM gen_lista_opciones lo JOIN gen_lista l ON l.id = lo.id_lista WHERE l.nombre = 'TipoPersona' AND upper(lo.nombre) = upper('"&amp;SUBSTITUTE(TRIM(H543),"'","''")&amp;"') AND lo.estado = 1 LIMIT 1)")&amp;", p_nombres =&gt; "&amp;IF(TRIM(E543&amp;"")="","NULL","'"&amp;SUBSTITUTE(TRIM(E543),"'","''")&amp;"'")&amp;", p_apellido_paterno =&gt; "&amp;IF(TRIM(F543&amp;"")="","NULL","'"&amp;SUBSTITUTE(TRIM(F543),"'","''")&amp;"'")&amp;", p_apellido_materno =&gt; "&amp;IF(TRIM(G543&amp;"")="","NULL","'"&amp;SUBSTITUTE(TRIM(G543),"'","''")&amp;"'")&amp;", p_id_tipo_documento =&gt; "&amp;IF(TRIM(B543&amp;"")="","NULL","(SELECT lo.id FROM gen_lista_opciones lo JOIN gen_lista l ON l.id = lo.id_lista WHERE l.nombre = 'TipoDocumento' AND upper(lo.nombre) = upper('"&amp;SUBSTITUTE(TRIM(B543),"'","''")&amp;"') AND lo.estado = 1 LIMIT 1)")&amp;", p_numero_documento =&gt; "&amp;IF(TRIM(C543&amp;"")="","NULL","'"&amp;SUBSTITUTE(TRIM(C543),"'","''")&amp;"'")&amp;", p_telefono =&gt; "&amp;IF(TRIM(L543&amp;"")="","NULL","'"&amp;SUBSTITUTE(TRIM(L543),"'","''")&amp;"'")&amp;", p_email =&gt; "&amp;IF(TRIM(M543&amp;"")="","NULL","'"&amp;SUBSTITUTE(TRIM(M543),"'","''")&amp;"'")&amp;", p_observacion =&gt; "&amp;IF(TRIM(O543&amp;"")="","NULL","'"&amp;SUBSTITUTE(TRIM(O543),"'","''")&amp;"'")&amp;", p_direccion =&gt; "&amp;IF(TRIM(J543&amp;"")="","NULL","'"&amp;SUBSTITUTE(TRIM(J543),"'","''")&amp;"'")&amp;", p_referencia =&gt; "&amp;IF(TRIM(K543&amp;"")="","NULL","'"&amp;SUBSTITUTE(TRIM(K543),"'","''")&amp;"'")&amp;") AS resultado_cliente_"&amp;498&amp;";")</f>
        <v/>
      </c>
    </row>
    <row r="544" ht="15.75" customHeight="1" s="64">
      <c r="A544" s="25">
        <f>IF(AND(D544="",E544="",C544=""),"",IF(AND(D544="",E544=""),"FALTA razón social o nombres",IF(AND(C544&lt;&gt;"",COUNTIF($C$5:$C$549,C544)&gt;1),"DOCUMENTO DUPLICADO",IF(AND(B544="DNI",C544&lt;&gt;"",LEN(C544)&lt;&gt;8),"DNI debe tener 8 dígitos",IF(AND(B544="RUC",C544&lt;&gt;"",LEN(C544)&lt;&gt;11),"RUC debe tener 11 dígitos",IF(AND(N544&lt;&gt;"",COUNTIF($N$5:$N$549,N544)&gt;1),"CÓDIGO INTERNO DUPLICADO","OK"))))))</f>
        <v/>
      </c>
      <c r="B544" s="17" t="n"/>
      <c r="C544" s="23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23" t="n"/>
      <c r="M544" s="17" t="n"/>
      <c r="N544" s="23" t="n"/>
      <c r="O544" s="17" t="n"/>
      <c r="P544" s="28">
        <f>IF(A544&lt;&gt;"OK","","SELECT cli_crear_clientes(p_codigo_interno =&gt; "&amp;IF(TRIM(N544&amp;"")="","NULL","'"&amp;SUBSTITUTE(TRIM(N544),"'","''")&amp;"'")&amp;", p_razon_social =&gt; "&amp;IF(TRIM(D544&amp;"")="","NULL","'"&amp;SUBSTITUTE(TRIM(D544),"'","''")&amp;"'")&amp;", p_id_tipo_cliente =&gt; "&amp;IF(TRIM(I544&amp;"")="","NULL","(SELECT lo.id FROM gen_lista_opciones lo JOIN gen_lista l ON l.id = lo.id_lista WHERE l.nombre = 'TipoCliente' AND upper(lo.nombre) = upper('"&amp;SUBSTITUTE(TRIM(I544),"'","''")&amp;"') AND lo.estado = 1 LIMIT 1)")&amp;", p_id_tipo_persona =&gt; "&amp;IF(TRIM(H544&amp;"")="","NULL","(SELECT lo.id FROM gen_lista_opciones lo JOIN gen_lista l ON l.id = lo.id_lista WHERE l.nombre = 'TipoPersona' AND upper(lo.nombre) = upper('"&amp;SUBSTITUTE(TRIM(H544),"'","''")&amp;"') AND lo.estado = 1 LIMIT 1)")&amp;", p_nombres =&gt; "&amp;IF(TRIM(E544&amp;"")="","NULL","'"&amp;SUBSTITUTE(TRIM(E544),"'","''")&amp;"'")&amp;", p_apellido_paterno =&gt; "&amp;IF(TRIM(F544&amp;"")="","NULL","'"&amp;SUBSTITUTE(TRIM(F544),"'","''")&amp;"'")&amp;", p_apellido_materno =&gt; "&amp;IF(TRIM(G544&amp;"")="","NULL","'"&amp;SUBSTITUTE(TRIM(G544),"'","''")&amp;"'")&amp;", p_id_tipo_documento =&gt; "&amp;IF(TRIM(B544&amp;"")="","NULL","(SELECT lo.id FROM gen_lista_opciones lo JOIN gen_lista l ON l.id = lo.id_lista WHERE l.nombre = 'TipoDocumento' AND upper(lo.nombre) = upper('"&amp;SUBSTITUTE(TRIM(B544),"'","''")&amp;"') AND lo.estado = 1 LIMIT 1)")&amp;", p_numero_documento =&gt; "&amp;IF(TRIM(C544&amp;"")="","NULL","'"&amp;SUBSTITUTE(TRIM(C544),"'","''")&amp;"'")&amp;", p_telefono =&gt; "&amp;IF(TRIM(L544&amp;"")="","NULL","'"&amp;SUBSTITUTE(TRIM(L544),"'","''")&amp;"'")&amp;", p_email =&gt; "&amp;IF(TRIM(M544&amp;"")="","NULL","'"&amp;SUBSTITUTE(TRIM(M544),"'","''")&amp;"'")&amp;", p_observacion =&gt; "&amp;IF(TRIM(O544&amp;"")="","NULL","'"&amp;SUBSTITUTE(TRIM(O544),"'","''")&amp;"'")&amp;", p_direccion =&gt; "&amp;IF(TRIM(J544&amp;"")="","NULL","'"&amp;SUBSTITUTE(TRIM(J544),"'","''")&amp;"'")&amp;", p_referencia =&gt; "&amp;IF(TRIM(K544&amp;"")="","NULL","'"&amp;SUBSTITUTE(TRIM(K544),"'","''")&amp;"'")&amp;") AS resultado_cliente_"&amp;499&amp;";")</f>
        <v/>
      </c>
    </row>
    <row r="545" ht="15.75" customHeight="1" s="64">
      <c r="A545" s="25">
        <f>IF(AND(D545="",E545="",C545=""),"",IF(AND(D545="",E545=""),"FALTA razón social o nombres",IF(AND(C545&lt;&gt;"",COUNTIF($C$5:$C$549,C545)&gt;1),"DOCUMENTO DUPLICADO",IF(AND(B545="DNI",C545&lt;&gt;"",LEN(C545)&lt;&gt;8),"DNI debe tener 8 dígitos",IF(AND(B545="RUC",C545&lt;&gt;"",LEN(C545)&lt;&gt;11),"RUC debe tener 11 dígitos",IF(AND(N545&lt;&gt;"",COUNTIF($N$5:$N$549,N545)&gt;1),"CÓDIGO INTERNO DUPLICADO","OK"))))))</f>
        <v/>
      </c>
      <c r="B545" s="17" t="n"/>
      <c r="C545" s="23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23" t="n"/>
      <c r="M545" s="17" t="n"/>
      <c r="N545" s="23" t="n"/>
      <c r="O545" s="17" t="n"/>
      <c r="P545" s="28">
        <f>IF(A545&lt;&gt;"OK","","SELECT cli_crear_clientes(p_codigo_interno =&gt; "&amp;IF(TRIM(N545&amp;"")="","NULL","'"&amp;SUBSTITUTE(TRIM(N545),"'","''")&amp;"'")&amp;", p_razon_social =&gt; "&amp;IF(TRIM(D545&amp;"")="","NULL","'"&amp;SUBSTITUTE(TRIM(D545),"'","''")&amp;"'")&amp;", p_id_tipo_cliente =&gt; "&amp;IF(TRIM(I545&amp;"")="","NULL","(SELECT lo.id FROM gen_lista_opciones lo JOIN gen_lista l ON l.id = lo.id_lista WHERE l.nombre = 'TipoCliente' AND upper(lo.nombre) = upper('"&amp;SUBSTITUTE(TRIM(I545),"'","''")&amp;"') AND lo.estado = 1 LIMIT 1)")&amp;", p_id_tipo_persona =&gt; "&amp;IF(TRIM(H545&amp;"")="","NULL","(SELECT lo.id FROM gen_lista_opciones lo JOIN gen_lista l ON l.id = lo.id_lista WHERE l.nombre = 'TipoPersona' AND upper(lo.nombre) = upper('"&amp;SUBSTITUTE(TRIM(H545),"'","''")&amp;"') AND lo.estado = 1 LIMIT 1)")&amp;", p_nombres =&gt; "&amp;IF(TRIM(E545&amp;"")="","NULL","'"&amp;SUBSTITUTE(TRIM(E545),"'","''")&amp;"'")&amp;", p_apellido_paterno =&gt; "&amp;IF(TRIM(F545&amp;"")="","NULL","'"&amp;SUBSTITUTE(TRIM(F545),"'","''")&amp;"'")&amp;", p_apellido_materno =&gt; "&amp;IF(TRIM(G545&amp;"")="","NULL","'"&amp;SUBSTITUTE(TRIM(G545),"'","''")&amp;"'")&amp;", p_id_tipo_documento =&gt; "&amp;IF(TRIM(B545&amp;"")="","NULL","(SELECT lo.id FROM gen_lista_opciones lo JOIN gen_lista l ON l.id = lo.id_lista WHERE l.nombre = 'TipoDocumento' AND upper(lo.nombre) = upper('"&amp;SUBSTITUTE(TRIM(B545),"'","''")&amp;"') AND lo.estado = 1 LIMIT 1)")&amp;", p_numero_documento =&gt; "&amp;IF(TRIM(C545&amp;"")="","NULL","'"&amp;SUBSTITUTE(TRIM(C545),"'","''")&amp;"'")&amp;", p_telefono =&gt; "&amp;IF(TRIM(L545&amp;"")="","NULL","'"&amp;SUBSTITUTE(TRIM(L545),"'","''")&amp;"'")&amp;", p_email =&gt; "&amp;IF(TRIM(M545&amp;"")="","NULL","'"&amp;SUBSTITUTE(TRIM(M545),"'","''")&amp;"'")&amp;", p_observacion =&gt; "&amp;IF(TRIM(O545&amp;"")="","NULL","'"&amp;SUBSTITUTE(TRIM(O545),"'","''")&amp;"'")&amp;", p_direccion =&gt; "&amp;IF(TRIM(J545&amp;"")="","NULL","'"&amp;SUBSTITUTE(TRIM(J545),"'","''")&amp;"'")&amp;", p_referencia =&gt; "&amp;IF(TRIM(K545&amp;"")="","NULL","'"&amp;SUBSTITUTE(TRIM(K545),"'","''")&amp;"'")&amp;") AS resultado_cliente_"&amp;500&amp;";")</f>
        <v/>
      </c>
    </row>
    <row r="546" ht="15.75" customHeight="1" s="64">
      <c r="A546" s="25">
        <f>IF(AND(D546="",E546="",C546=""),"",IF(AND(D546="",E546=""),"FALTA razón social o nombres",IF(AND(C546&lt;&gt;"",COUNTIF($C$5:$C$549,C546)&gt;1),"DOCUMENTO DUPLICADO",IF(AND(B546="DNI",C546&lt;&gt;"",LEN(C546)&lt;&gt;8),"DNI debe tener 8 dígitos",IF(AND(B546="RUC",C546&lt;&gt;"",LEN(C546)&lt;&gt;11),"RUC debe tener 11 dígitos",IF(AND(N546&lt;&gt;"",COUNTIF($N$5:$N$549,N546)&gt;1),"CÓDIGO INTERNO DUPLICADO","OK"))))))</f>
        <v/>
      </c>
      <c r="B546" s="17" t="n"/>
      <c r="C546" s="23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23" t="n"/>
      <c r="M546" s="17" t="n"/>
      <c r="N546" s="23" t="n"/>
      <c r="O546" s="17" t="n"/>
      <c r="P546" s="28">
        <f>IF(A546&lt;&gt;"OK","","SELECT cli_crear_clientes(p_codigo_interno =&gt; "&amp;IF(TRIM(N546&amp;"")="","NULL","'"&amp;SUBSTITUTE(TRIM(N546),"'","''")&amp;"'")&amp;", p_razon_social =&gt; "&amp;IF(TRIM(D546&amp;"")="","NULL","'"&amp;SUBSTITUTE(TRIM(D546),"'","''")&amp;"'")&amp;", p_id_tipo_cliente =&gt; "&amp;IF(TRIM(I546&amp;"")="","NULL","(SELECT lo.id FROM gen_lista_opciones lo JOIN gen_lista l ON l.id = lo.id_lista WHERE l.nombre = 'TipoCliente' AND upper(lo.nombre) = upper('"&amp;SUBSTITUTE(TRIM(I546),"'","''")&amp;"') AND lo.estado = 1 LIMIT 1)")&amp;", p_id_tipo_persona =&gt; "&amp;IF(TRIM(H546&amp;"")="","NULL","(SELECT lo.id FROM gen_lista_opciones lo JOIN gen_lista l ON l.id = lo.id_lista WHERE l.nombre = 'TipoPersona' AND upper(lo.nombre) = upper('"&amp;SUBSTITUTE(TRIM(H546),"'","''")&amp;"') AND lo.estado = 1 LIMIT 1)")&amp;", p_nombres =&gt; "&amp;IF(TRIM(E546&amp;"")="","NULL","'"&amp;SUBSTITUTE(TRIM(E546),"'","''")&amp;"'")&amp;", p_apellido_paterno =&gt; "&amp;IF(TRIM(F546&amp;"")="","NULL","'"&amp;SUBSTITUTE(TRIM(F546),"'","''")&amp;"'")&amp;", p_apellido_materno =&gt; "&amp;IF(TRIM(G546&amp;"")="","NULL","'"&amp;SUBSTITUTE(TRIM(G546),"'","''")&amp;"'")&amp;", p_id_tipo_documento =&gt; "&amp;IF(TRIM(B546&amp;"")="","NULL","(SELECT lo.id FROM gen_lista_opciones lo JOIN gen_lista l ON l.id = lo.id_lista WHERE l.nombre = 'TipoDocumento' AND upper(lo.nombre) = upper('"&amp;SUBSTITUTE(TRIM(B546),"'","''")&amp;"') AND lo.estado = 1 LIMIT 1)")&amp;", p_numero_documento =&gt; "&amp;IF(TRIM(C546&amp;"")="","NULL","'"&amp;SUBSTITUTE(TRIM(C546),"'","''")&amp;"'")&amp;", p_telefono =&gt; "&amp;IF(TRIM(L546&amp;"")="","NULL","'"&amp;SUBSTITUTE(TRIM(L546),"'","''")&amp;"'")&amp;", p_email =&gt; "&amp;IF(TRIM(M546&amp;"")="","NULL","'"&amp;SUBSTITUTE(TRIM(M546),"'","''")&amp;"'")&amp;", p_observacion =&gt; "&amp;IF(TRIM(O546&amp;"")="","NULL","'"&amp;SUBSTITUTE(TRIM(O546),"'","''")&amp;"'")&amp;", p_direccion =&gt; "&amp;IF(TRIM(J546&amp;"")="","NULL","'"&amp;SUBSTITUTE(TRIM(J546),"'","''")&amp;"'")&amp;", p_referencia =&gt; "&amp;IF(TRIM(K546&amp;"")="","NULL","'"&amp;SUBSTITUTE(TRIM(K546),"'","''")&amp;"'")&amp;") AS resultado_cliente_"&amp;501&amp;";")</f>
        <v/>
      </c>
    </row>
    <row r="547" ht="15.75" customHeight="1" s="64">
      <c r="A547" s="25">
        <f>IF(AND(D547="",E547="",C547=""),"",IF(AND(D547="",E547=""),"FALTA razón social o nombres",IF(AND(C547&lt;&gt;"",COUNTIF($C$5:$C$549,C547)&gt;1),"DOCUMENTO DUPLICADO",IF(AND(B547="DNI",C547&lt;&gt;"",LEN(C547)&lt;&gt;8),"DNI debe tener 8 dígitos",IF(AND(B547="RUC",C547&lt;&gt;"",LEN(C547)&lt;&gt;11),"RUC debe tener 11 dígitos",IF(AND(N547&lt;&gt;"",COUNTIF($N$5:$N$549,N547)&gt;1),"CÓDIGO INTERNO DUPLICADO","OK"))))))</f>
        <v/>
      </c>
      <c r="B547" s="17" t="n"/>
      <c r="C547" s="23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23" t="n"/>
      <c r="M547" s="17" t="n"/>
      <c r="N547" s="23" t="n"/>
      <c r="O547" s="17" t="n"/>
      <c r="P547" s="28">
        <f>IF(A547&lt;&gt;"OK","","SELECT cli_crear_clientes(p_codigo_interno =&gt; "&amp;IF(TRIM(N547&amp;"")="","NULL","'"&amp;SUBSTITUTE(TRIM(N547),"'","''")&amp;"'")&amp;", p_razon_social =&gt; "&amp;IF(TRIM(D547&amp;"")="","NULL","'"&amp;SUBSTITUTE(TRIM(D547),"'","''")&amp;"'")&amp;", p_id_tipo_cliente =&gt; "&amp;IF(TRIM(I547&amp;"")="","NULL","(SELECT lo.id FROM gen_lista_opciones lo JOIN gen_lista l ON l.id = lo.id_lista WHERE l.nombre = 'TipoCliente' AND upper(lo.nombre) = upper('"&amp;SUBSTITUTE(TRIM(I547),"'","''")&amp;"') AND lo.estado = 1 LIMIT 1)")&amp;", p_id_tipo_persona =&gt; "&amp;IF(TRIM(H547&amp;"")="","NULL","(SELECT lo.id FROM gen_lista_opciones lo JOIN gen_lista l ON l.id = lo.id_lista WHERE l.nombre = 'TipoPersona' AND upper(lo.nombre) = upper('"&amp;SUBSTITUTE(TRIM(H547),"'","''")&amp;"') AND lo.estado = 1 LIMIT 1)")&amp;", p_nombres =&gt; "&amp;IF(TRIM(E547&amp;"")="","NULL","'"&amp;SUBSTITUTE(TRIM(E547),"'","''")&amp;"'")&amp;", p_apellido_paterno =&gt; "&amp;IF(TRIM(F547&amp;"")="","NULL","'"&amp;SUBSTITUTE(TRIM(F547),"'","''")&amp;"'")&amp;", p_apellido_materno =&gt; "&amp;IF(TRIM(G547&amp;"")="","NULL","'"&amp;SUBSTITUTE(TRIM(G547),"'","''")&amp;"'")&amp;", p_id_tipo_documento =&gt; "&amp;IF(TRIM(B547&amp;"")="","NULL","(SELECT lo.id FROM gen_lista_opciones lo JOIN gen_lista l ON l.id = lo.id_lista WHERE l.nombre = 'TipoDocumento' AND upper(lo.nombre) = upper('"&amp;SUBSTITUTE(TRIM(B547),"'","''")&amp;"') AND lo.estado = 1 LIMIT 1)")&amp;", p_numero_documento =&gt; "&amp;IF(TRIM(C547&amp;"")="","NULL","'"&amp;SUBSTITUTE(TRIM(C547),"'","''")&amp;"'")&amp;", p_telefono =&gt; "&amp;IF(TRIM(L547&amp;"")="","NULL","'"&amp;SUBSTITUTE(TRIM(L547),"'","''")&amp;"'")&amp;", p_email =&gt; "&amp;IF(TRIM(M547&amp;"")="","NULL","'"&amp;SUBSTITUTE(TRIM(M547),"'","''")&amp;"'")&amp;", p_observacion =&gt; "&amp;IF(TRIM(O547&amp;"")="","NULL","'"&amp;SUBSTITUTE(TRIM(O547),"'","''")&amp;"'")&amp;", p_direccion =&gt; "&amp;IF(TRIM(J547&amp;"")="","NULL","'"&amp;SUBSTITUTE(TRIM(J547),"'","''")&amp;"'")&amp;", p_referencia =&gt; "&amp;IF(TRIM(K547&amp;"")="","NULL","'"&amp;SUBSTITUTE(TRIM(K547),"'","''")&amp;"'")&amp;") AS resultado_cliente_"&amp;502&amp;";")</f>
        <v/>
      </c>
    </row>
    <row r="548" ht="15.75" customHeight="1" s="64">
      <c r="A548" s="25">
        <f>IF(AND(D548="",E548="",C548=""),"",IF(AND(D548="",E548=""),"FALTA razón social o nombres",IF(AND(C548&lt;&gt;"",COUNTIF($C$5:$C$549,C548)&gt;1),"DOCUMENTO DUPLICADO",IF(AND(B548="DNI",C548&lt;&gt;"",LEN(C548)&lt;&gt;8),"DNI debe tener 8 dígitos",IF(AND(B548="RUC",C548&lt;&gt;"",LEN(C548)&lt;&gt;11),"RUC debe tener 11 dígitos",IF(AND(N548&lt;&gt;"",COUNTIF($N$5:$N$549,N548)&gt;1),"CÓDIGO INTERNO DUPLICADO","OK"))))))</f>
        <v/>
      </c>
      <c r="B548" s="17" t="n"/>
      <c r="C548" s="23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23" t="n"/>
      <c r="M548" s="17" t="n"/>
      <c r="N548" s="23" t="n"/>
      <c r="O548" s="17" t="n"/>
      <c r="P548" s="28">
        <f>IF(A548&lt;&gt;"OK","","SELECT cli_crear_clientes(p_codigo_interno =&gt; "&amp;IF(TRIM(N548&amp;"")="","NULL","'"&amp;SUBSTITUTE(TRIM(N548),"'","''")&amp;"'")&amp;", p_razon_social =&gt; "&amp;IF(TRIM(D548&amp;"")="","NULL","'"&amp;SUBSTITUTE(TRIM(D548),"'","''")&amp;"'")&amp;", p_id_tipo_cliente =&gt; "&amp;IF(TRIM(I548&amp;"")="","NULL","(SELECT lo.id FROM gen_lista_opciones lo JOIN gen_lista l ON l.id = lo.id_lista WHERE l.nombre = 'TipoCliente' AND upper(lo.nombre) = upper('"&amp;SUBSTITUTE(TRIM(I548),"'","''")&amp;"') AND lo.estado = 1 LIMIT 1)")&amp;", p_id_tipo_persona =&gt; "&amp;IF(TRIM(H548&amp;"")="","NULL","(SELECT lo.id FROM gen_lista_opciones lo JOIN gen_lista l ON l.id = lo.id_lista WHERE l.nombre = 'TipoPersona' AND upper(lo.nombre) = upper('"&amp;SUBSTITUTE(TRIM(H548),"'","''")&amp;"') AND lo.estado = 1 LIMIT 1)")&amp;", p_nombres =&gt; "&amp;IF(TRIM(E548&amp;"")="","NULL","'"&amp;SUBSTITUTE(TRIM(E548),"'","''")&amp;"'")&amp;", p_apellido_paterno =&gt; "&amp;IF(TRIM(F548&amp;"")="","NULL","'"&amp;SUBSTITUTE(TRIM(F548),"'","''")&amp;"'")&amp;", p_apellido_materno =&gt; "&amp;IF(TRIM(G548&amp;"")="","NULL","'"&amp;SUBSTITUTE(TRIM(G548),"'","''")&amp;"'")&amp;", p_id_tipo_documento =&gt; "&amp;IF(TRIM(B548&amp;"")="","NULL","(SELECT lo.id FROM gen_lista_opciones lo JOIN gen_lista l ON l.id = lo.id_lista WHERE l.nombre = 'TipoDocumento' AND upper(lo.nombre) = upper('"&amp;SUBSTITUTE(TRIM(B548),"'","''")&amp;"') AND lo.estado = 1 LIMIT 1)")&amp;", p_numero_documento =&gt; "&amp;IF(TRIM(C548&amp;"")="","NULL","'"&amp;SUBSTITUTE(TRIM(C548),"'","''")&amp;"'")&amp;", p_telefono =&gt; "&amp;IF(TRIM(L548&amp;"")="","NULL","'"&amp;SUBSTITUTE(TRIM(L548),"'","''")&amp;"'")&amp;", p_email =&gt; "&amp;IF(TRIM(M548&amp;"")="","NULL","'"&amp;SUBSTITUTE(TRIM(M548),"'","''")&amp;"'")&amp;", p_observacion =&gt; "&amp;IF(TRIM(O548&amp;"")="","NULL","'"&amp;SUBSTITUTE(TRIM(O548),"'","''")&amp;"'")&amp;", p_direccion =&gt; "&amp;IF(TRIM(J548&amp;"")="","NULL","'"&amp;SUBSTITUTE(TRIM(J548),"'","''")&amp;"'")&amp;", p_referencia =&gt; "&amp;IF(TRIM(K548&amp;"")="","NULL","'"&amp;SUBSTITUTE(TRIM(K548),"'","''")&amp;"'")&amp;") AS resultado_cliente_"&amp;503&amp;";")</f>
        <v/>
      </c>
    </row>
    <row r="549" ht="15.75" customHeight="1" s="64">
      <c r="A549" s="25">
        <f>IF(AND(D549="",E549="",C549=""),"",IF(AND(D549="",E549=""),"FALTA razón social o nombres",IF(AND(C549&lt;&gt;"",COUNTIF($C$5:$C$549,C549)&gt;1),"DOCUMENTO DUPLICADO",IF(AND(B549="DNI",C549&lt;&gt;"",LEN(C549)&lt;&gt;8),"DNI debe tener 8 dígitos",IF(AND(B549="RUC",C549&lt;&gt;"",LEN(C549)&lt;&gt;11),"RUC debe tener 11 dígitos",IF(AND(N549&lt;&gt;"",COUNTIF($N$5:$N$549,N549)&gt;1),"CÓDIGO INTERNO DUPLICADO","OK"))))))</f>
        <v/>
      </c>
      <c r="B549" s="17" t="n"/>
      <c r="C549" s="23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23" t="n"/>
      <c r="M549" s="17" t="n"/>
      <c r="N549" s="23" t="n"/>
      <c r="O549" s="17" t="n"/>
      <c r="P549" s="28">
        <f>IF(A549&lt;&gt;"OK","","SELECT cli_crear_clientes(p_codigo_interno =&gt; "&amp;IF(TRIM(N549&amp;"")="","NULL","'"&amp;SUBSTITUTE(TRIM(N549),"'","''")&amp;"'")&amp;", p_razon_social =&gt; "&amp;IF(TRIM(D549&amp;"")="","NULL","'"&amp;SUBSTITUTE(TRIM(D549),"'","''")&amp;"'")&amp;", p_id_tipo_cliente =&gt; "&amp;IF(TRIM(I549&amp;"")="","NULL","(SELECT lo.id FROM gen_lista_opciones lo JOIN gen_lista l ON l.id = lo.id_lista WHERE l.nombre = 'TipoCliente' AND upper(lo.nombre) = upper('"&amp;SUBSTITUTE(TRIM(I549),"'","''")&amp;"') AND lo.estado = 1 LIMIT 1)")&amp;", p_id_tipo_persona =&gt; "&amp;IF(TRIM(H549&amp;"")="","NULL","(SELECT lo.id FROM gen_lista_opciones lo JOIN gen_lista l ON l.id = lo.id_lista WHERE l.nombre = 'TipoPersona' AND upper(lo.nombre) = upper('"&amp;SUBSTITUTE(TRIM(H549),"'","''")&amp;"') AND lo.estado = 1 LIMIT 1)")&amp;", p_nombres =&gt; "&amp;IF(TRIM(E549&amp;"")="","NULL","'"&amp;SUBSTITUTE(TRIM(E549),"'","''")&amp;"'")&amp;", p_apellido_paterno =&gt; "&amp;IF(TRIM(F549&amp;"")="","NULL","'"&amp;SUBSTITUTE(TRIM(F549),"'","''")&amp;"'")&amp;", p_apellido_materno =&gt; "&amp;IF(TRIM(G549&amp;"")="","NULL","'"&amp;SUBSTITUTE(TRIM(G549),"'","''")&amp;"'")&amp;", p_id_tipo_documento =&gt; "&amp;IF(TRIM(B549&amp;"")="","NULL","(SELECT lo.id FROM gen_lista_opciones lo JOIN gen_lista l ON l.id = lo.id_lista WHERE l.nombre = 'TipoDocumento' AND upper(lo.nombre) = upper('"&amp;SUBSTITUTE(TRIM(B549),"'","''")&amp;"') AND lo.estado = 1 LIMIT 1)")&amp;", p_numero_documento =&gt; "&amp;IF(TRIM(C549&amp;"")="","NULL","'"&amp;SUBSTITUTE(TRIM(C549),"'","''")&amp;"'")&amp;", p_telefono =&gt; "&amp;IF(TRIM(L549&amp;"")="","NULL","'"&amp;SUBSTITUTE(TRIM(L549),"'","''")&amp;"'")&amp;", p_email =&gt; "&amp;IF(TRIM(M549&amp;"")="","NULL","'"&amp;SUBSTITUTE(TRIM(M549),"'","''")&amp;"'")&amp;", p_observacion =&gt; "&amp;IF(TRIM(O549&amp;"")="","NULL","'"&amp;SUBSTITUTE(TRIM(O549),"'","''")&amp;"'")&amp;", p_direccion =&gt; "&amp;IF(TRIM(J549&amp;"")="","NULL","'"&amp;SUBSTITUTE(TRIM(J549),"'","''")&amp;"'")&amp;", p_referencia =&gt; "&amp;IF(TRIM(K549&amp;"")="","NULL","'"&amp;SUBSTITUTE(TRIM(K549),"'","''")&amp;"'")&amp;") AS resultado_cliente_"&amp;504&amp;";")</f>
        <v/>
      </c>
    </row>
    <row r="550" ht="15.75" customHeight="1" s="64">
      <c r="A550" s="1" t="n"/>
      <c r="B550" s="17" t="n"/>
      <c r="C550" s="23" t="n"/>
      <c r="D550" s="17" t="n"/>
      <c r="E550" s="1" t="n"/>
      <c r="F550" s="1" t="n"/>
      <c r="G550" s="1" t="n"/>
      <c r="H550" s="17" t="n"/>
      <c r="I550" s="17" t="n"/>
      <c r="J550" s="1" t="n"/>
      <c r="K550" s="1" t="n"/>
      <c r="L550" s="1" t="n"/>
      <c r="M550" s="1" t="n"/>
      <c r="N550" s="1" t="n"/>
      <c r="O550" s="1" t="n"/>
      <c r="P550" s="1" t="n"/>
    </row>
    <row r="551" ht="15.75" customHeight="1" s="64">
      <c r="A551" s="25" t="n"/>
      <c r="B551" s="17" t="n"/>
      <c r="C551" s="23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23" t="n"/>
      <c r="M551" s="17" t="n"/>
      <c r="N551" s="23" t="n"/>
      <c r="O551" s="17" t="n"/>
      <c r="P551" s="28" t="n"/>
    </row>
    <row r="552" ht="15.75" customHeight="1" s="6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</row>
    <row r="553" ht="15.75" customHeight="1" s="6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</row>
    <row r="554" ht="15.75" customHeight="1" s="6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</row>
    <row r="555" ht="15.75" customHeight="1" s="6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</row>
    <row r="556" ht="15.75" customHeight="1" s="6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</row>
    <row r="557" ht="15.75" customHeight="1" s="6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</row>
    <row r="558" ht="15.75" customHeight="1" s="6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</row>
    <row r="559" ht="15.75" customHeight="1" s="6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</row>
    <row r="560" ht="15.75" customHeight="1" s="6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</row>
    <row r="561" ht="15.75" customHeight="1" s="6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</row>
    <row r="562" ht="15.75" customHeight="1" s="6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</row>
    <row r="563" ht="15.75" customHeight="1" s="6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</row>
    <row r="564" ht="15.75" customHeight="1" s="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</row>
    <row r="565" ht="15.75" customHeight="1" s="6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</row>
    <row r="566" ht="15.75" customHeight="1" s="6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</row>
    <row r="567" ht="15.75" customHeight="1" s="6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</row>
    <row r="568" ht="15.75" customHeight="1" s="6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</row>
    <row r="569" ht="15.75" customHeight="1" s="6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</row>
    <row r="570" ht="15.75" customHeight="1" s="6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</row>
    <row r="571" ht="15.75" customHeight="1" s="6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</row>
    <row r="572" ht="15.75" customHeight="1" s="6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</row>
    <row r="573" ht="15.75" customHeight="1" s="6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</row>
    <row r="574" ht="15.75" customHeight="1" s="6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</row>
    <row r="575" ht="15.75" customHeight="1" s="6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</row>
    <row r="576" ht="15.75" customHeight="1" s="6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</row>
    <row r="577" ht="15.75" customHeight="1" s="6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</row>
    <row r="578" ht="15.75" customHeight="1" s="6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</row>
    <row r="579" ht="15.75" customHeight="1" s="6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</row>
    <row r="580" ht="15.75" customHeight="1" s="6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</row>
    <row r="581" ht="15.75" customHeight="1" s="6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</row>
    <row r="582" ht="15.75" customHeight="1" s="6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</row>
    <row r="583" ht="15.75" customHeight="1" s="6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</row>
    <row r="584" ht="15.75" customHeight="1" s="6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</row>
    <row r="585" ht="15.75" customHeight="1" s="6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</row>
    <row r="586" ht="15.75" customHeight="1" s="6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</row>
    <row r="587" ht="15.75" customHeight="1" s="6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</row>
    <row r="588" ht="15.75" customHeight="1" s="6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</row>
    <row r="589" ht="15.75" customHeight="1" s="6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</row>
    <row r="590" ht="15.75" customHeight="1" s="6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</row>
    <row r="591" ht="15.75" customHeight="1" s="6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</row>
    <row r="592" ht="15.75" customHeight="1" s="6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</row>
    <row r="593" ht="15.75" customHeight="1" s="6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</row>
    <row r="594" ht="15.75" customHeight="1" s="6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</row>
    <row r="595" ht="15.75" customHeight="1" s="6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</row>
    <row r="596" ht="15.75" customHeight="1" s="6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</row>
    <row r="597" ht="15.75" customHeight="1" s="6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</row>
    <row r="598" ht="15.75" customHeight="1" s="6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</row>
    <row r="599" ht="15.75" customHeight="1" s="6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</row>
    <row r="600" ht="15.75" customHeight="1" s="6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</row>
    <row r="601" ht="15.75" customHeight="1" s="6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</row>
    <row r="602" ht="15.75" customHeight="1" s="6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</row>
    <row r="603" ht="15.75" customHeight="1" s="6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</row>
    <row r="604" ht="15.75" customHeight="1" s="6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</row>
    <row r="605" ht="15.75" customHeight="1" s="6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</row>
    <row r="606" ht="15.75" customHeight="1" s="6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</row>
    <row r="607" ht="15.75" customHeight="1" s="6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</row>
    <row r="608" ht="15.75" customHeight="1" s="6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</row>
    <row r="609" ht="15.75" customHeight="1" s="6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</row>
    <row r="610" ht="15.75" customHeight="1" s="6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</row>
    <row r="611" ht="15.75" customHeight="1" s="6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</row>
    <row r="612" ht="15.75" customHeight="1" s="6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</row>
    <row r="613" ht="15.75" customHeight="1" s="6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</row>
    <row r="614" ht="15.75" customHeight="1" s="6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</row>
    <row r="615" ht="15.75" customHeight="1" s="6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</row>
    <row r="616" ht="15.75" customHeight="1" s="6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</row>
    <row r="617" ht="15.75" customHeight="1" s="6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</row>
    <row r="618" ht="15.75" customHeight="1" s="6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</row>
    <row r="619" ht="15.75" customHeight="1" s="6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</row>
    <row r="620" ht="15.75" customHeight="1" s="6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</row>
    <row r="621" ht="15.75" customHeight="1" s="6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</row>
    <row r="622" ht="15.75" customHeight="1" s="6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</row>
    <row r="623" ht="15.75" customHeight="1" s="6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</row>
    <row r="624" ht="15.75" customHeight="1" s="6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</row>
    <row r="625" ht="15.75" customHeight="1" s="6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</row>
    <row r="626" ht="15.75" customHeight="1" s="6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</row>
    <row r="627" ht="15.75" customHeight="1" s="6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</row>
    <row r="628" ht="15.75" customHeight="1" s="6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</row>
    <row r="629" ht="15.75" customHeight="1" s="6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</row>
    <row r="630" ht="15.75" customHeight="1" s="6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</row>
    <row r="631" ht="15.75" customHeight="1" s="6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</row>
    <row r="632" ht="15.75" customHeight="1" s="6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</row>
    <row r="633" ht="15.75" customHeight="1" s="6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</row>
    <row r="634" ht="15.75" customHeight="1" s="6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</row>
    <row r="635" ht="15.75" customHeight="1" s="6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</row>
    <row r="636" ht="15.75" customHeight="1" s="6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</row>
    <row r="637" ht="15.75" customHeight="1" s="6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</row>
    <row r="638" ht="15.75" customHeight="1" s="6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</row>
    <row r="639" ht="15.75" customHeight="1" s="6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</row>
    <row r="640" ht="15.75" customHeight="1" s="6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</row>
    <row r="641" ht="15.75" customHeight="1" s="6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</row>
    <row r="642" ht="15.75" customHeight="1" s="6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</row>
    <row r="643" ht="15.75" customHeight="1" s="6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</row>
    <row r="644" ht="15.75" customHeight="1" s="6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</row>
    <row r="645" ht="15.75" customHeight="1" s="6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</row>
    <row r="646" ht="15.75" customHeight="1" s="6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</row>
    <row r="647" ht="15.75" customHeight="1" s="6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</row>
    <row r="648" ht="15.75" customHeight="1" s="6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</row>
    <row r="649" ht="15.75" customHeight="1" s="6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</row>
    <row r="650" ht="15.75" customHeight="1" s="6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</row>
    <row r="651" ht="15.75" customHeight="1" s="6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</row>
    <row r="652" ht="15.75" customHeight="1" s="6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</row>
    <row r="653" ht="15.75" customHeight="1" s="6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</row>
    <row r="654" ht="15.75" customHeight="1" s="6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</row>
    <row r="655" ht="15.75" customHeight="1" s="6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</row>
    <row r="656" ht="15.75" customHeight="1" s="6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</row>
    <row r="657" ht="15.75" customHeight="1" s="6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</row>
    <row r="658" ht="15.75" customHeight="1" s="6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</row>
    <row r="659" ht="15.75" customHeight="1" s="6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</row>
    <row r="660" ht="15.75" customHeight="1" s="6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</row>
    <row r="661" ht="15.75" customHeight="1" s="6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</row>
    <row r="662" ht="15.75" customHeight="1" s="6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</row>
    <row r="663" ht="15.75" customHeight="1" s="6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</row>
    <row r="664" ht="15.75" customHeight="1" s="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</row>
    <row r="665" ht="15.75" customHeight="1" s="6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</row>
    <row r="666" ht="15.75" customHeight="1" s="6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</row>
    <row r="667" ht="15.75" customHeight="1" s="6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</row>
    <row r="668" ht="15.75" customHeight="1" s="6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</row>
    <row r="669" ht="15.75" customHeight="1" s="6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</row>
    <row r="670" ht="15.75" customHeight="1" s="6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</row>
    <row r="671" ht="15.75" customHeight="1" s="6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</row>
    <row r="672" ht="15.75" customHeight="1" s="6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</row>
    <row r="673" ht="15.75" customHeight="1" s="6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</row>
    <row r="674" ht="15.75" customHeight="1" s="6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</row>
    <row r="675" ht="15.75" customHeight="1" s="6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</row>
    <row r="676" ht="15.75" customHeight="1" s="6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</row>
    <row r="677" ht="15.75" customHeight="1" s="6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</row>
    <row r="678" ht="15.75" customHeight="1" s="6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</row>
    <row r="679" ht="15.75" customHeight="1" s="6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</row>
    <row r="680" ht="15.75" customHeight="1" s="6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</row>
    <row r="681" ht="15.75" customHeight="1" s="6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</row>
    <row r="682" ht="15.75" customHeight="1" s="6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</row>
    <row r="683" ht="15.75" customHeight="1" s="6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</row>
    <row r="684" ht="15.75" customHeight="1" s="6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</row>
    <row r="685" ht="15.75" customHeight="1" s="6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</row>
    <row r="686" ht="15.75" customHeight="1" s="6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</row>
    <row r="687" ht="15.75" customHeight="1" s="6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</row>
    <row r="688" ht="15.75" customHeight="1" s="6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</row>
    <row r="689" ht="15.75" customHeight="1" s="6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</row>
    <row r="690" ht="15.75" customHeight="1" s="6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</row>
    <row r="691" ht="15.75" customHeight="1" s="6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</row>
    <row r="692" ht="15.75" customHeight="1" s="6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</row>
    <row r="693" ht="15.75" customHeight="1" s="6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</row>
    <row r="694" ht="15.75" customHeight="1" s="6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</row>
    <row r="695" ht="15.75" customHeight="1" s="6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</row>
    <row r="696" ht="15.75" customHeight="1" s="6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</row>
    <row r="697" ht="15.75" customHeight="1" s="6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</row>
    <row r="698" ht="15.75" customHeight="1" s="6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</row>
    <row r="699" ht="15.75" customHeight="1" s="6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</row>
    <row r="700" ht="15.75" customHeight="1" s="6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</row>
    <row r="701" ht="15.75" customHeight="1" s="6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</row>
    <row r="702" ht="15.75" customHeight="1" s="6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</row>
    <row r="703" ht="15.75" customHeight="1" s="6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</row>
    <row r="704" ht="15.75" customHeight="1" s="6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</row>
    <row r="705" ht="15.75" customHeight="1" s="6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</row>
    <row r="706" ht="15.75" customHeight="1" s="6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</row>
    <row r="707" ht="15.75" customHeight="1" s="6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</row>
    <row r="708" ht="15.75" customHeight="1" s="6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</row>
    <row r="709" ht="15.75" customHeight="1" s="6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</row>
    <row r="710" ht="15.75" customHeight="1" s="6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</row>
    <row r="711" ht="15.75" customHeight="1" s="6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</row>
    <row r="712" ht="15.75" customHeight="1" s="6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</row>
    <row r="713" ht="15.75" customHeight="1" s="6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</row>
    <row r="714" ht="15.75" customHeight="1" s="6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</row>
    <row r="715" ht="15.75" customHeight="1" s="6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</row>
    <row r="716" ht="15.75" customHeight="1" s="6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</row>
    <row r="717" ht="15.75" customHeight="1" s="6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</row>
    <row r="718" ht="15.75" customHeight="1" s="6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</row>
    <row r="719" ht="15.75" customHeight="1" s="6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</row>
    <row r="720" ht="15.75" customHeight="1" s="6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</row>
    <row r="721" ht="15.75" customHeight="1" s="6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</row>
    <row r="722" ht="15.75" customHeight="1" s="6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</row>
    <row r="723" ht="15.75" customHeight="1" s="6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</row>
    <row r="724" ht="15.75" customHeight="1" s="6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</row>
    <row r="725" ht="15.75" customHeight="1" s="6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</row>
    <row r="726" ht="15.75" customHeight="1" s="6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</row>
    <row r="727" ht="15.75" customHeight="1" s="6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</row>
    <row r="728" ht="15.75" customHeight="1" s="6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</row>
    <row r="729" ht="15.75" customHeight="1" s="6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</row>
    <row r="730" ht="15.75" customHeight="1" s="6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</row>
    <row r="731" ht="15.75" customHeight="1" s="6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</row>
    <row r="732" ht="15.75" customHeight="1" s="6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</row>
    <row r="733" ht="15.75" customHeight="1" s="6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</row>
    <row r="734" ht="15.75" customHeight="1" s="6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</row>
    <row r="735" ht="15.75" customHeight="1" s="6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</row>
    <row r="736" ht="15.75" customHeight="1" s="6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</row>
    <row r="737" ht="15.75" customHeight="1" s="6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</row>
    <row r="738" ht="15.75" customHeight="1" s="6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</row>
    <row r="739" ht="15.75" customHeight="1" s="6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</row>
    <row r="740" ht="15.75" customHeight="1" s="6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</row>
    <row r="741" ht="15.75" customHeight="1" s="6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</row>
    <row r="742" ht="15.75" customHeight="1" s="6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</row>
    <row r="743" ht="15.75" customHeight="1" s="6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</row>
    <row r="744" ht="15.75" customHeight="1" s="6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</row>
    <row r="745" ht="15.75" customHeight="1" s="6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</row>
    <row r="746" ht="15.75" customHeight="1" s="6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</row>
    <row r="747" ht="15.75" customHeight="1" s="6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</row>
    <row r="748" ht="15.75" customHeight="1" s="6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</row>
    <row r="749" ht="15.75" customHeight="1" s="6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</row>
    <row r="750" ht="15.75" customHeight="1" s="6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</row>
    <row r="751" ht="15.75" customHeight="1" s="6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</row>
    <row r="752" ht="15.75" customHeight="1" s="6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</row>
    <row r="753" ht="15.75" customHeight="1" s="6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</row>
    <row r="754" ht="15.75" customHeight="1" s="6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</row>
    <row r="755" ht="15.75" customHeight="1" s="6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</row>
    <row r="756" ht="15.75" customHeight="1" s="6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</row>
    <row r="757" ht="15.75" customHeight="1" s="6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</row>
    <row r="758" ht="15.75" customHeight="1" s="6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</row>
    <row r="759" ht="15.75" customHeight="1" s="6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</row>
    <row r="760" ht="15.75" customHeight="1" s="6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</row>
    <row r="761" ht="15.75" customHeight="1" s="6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</row>
    <row r="762" ht="15.75" customHeight="1" s="6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</row>
    <row r="763" ht="15.75" customHeight="1" s="6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</row>
    <row r="764" ht="15.75" customHeight="1" s="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</row>
    <row r="765" ht="15.75" customHeight="1" s="6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</row>
    <row r="766" ht="15.75" customHeight="1" s="6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</row>
    <row r="767" ht="15.75" customHeight="1" s="6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</row>
    <row r="768" ht="15.75" customHeight="1" s="6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</row>
    <row r="769" ht="15.75" customHeight="1" s="6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</row>
    <row r="770" ht="15.75" customHeight="1" s="6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</row>
    <row r="771" ht="15.75" customHeight="1" s="6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</row>
    <row r="772" ht="15.75" customHeight="1" s="6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</row>
    <row r="773" ht="15.75" customHeight="1" s="6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</row>
    <row r="774" ht="15.75" customHeight="1" s="6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</row>
    <row r="775" ht="15.75" customHeight="1" s="6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</row>
    <row r="776" ht="15.75" customHeight="1" s="6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</row>
    <row r="777" ht="15.75" customHeight="1" s="6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</row>
    <row r="778" ht="15.75" customHeight="1" s="6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</row>
    <row r="779" ht="15.75" customHeight="1" s="6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</row>
    <row r="780" ht="15.75" customHeight="1" s="6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</row>
    <row r="781" ht="15.75" customHeight="1" s="6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</row>
    <row r="782" ht="15.75" customHeight="1" s="6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</row>
    <row r="783" ht="15.75" customHeight="1" s="6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</row>
    <row r="784" ht="15.75" customHeight="1" s="6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</row>
    <row r="785" ht="15.75" customHeight="1" s="6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</row>
    <row r="786" ht="15.75" customHeight="1" s="6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</row>
    <row r="787" ht="15.75" customHeight="1" s="6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</row>
    <row r="788" ht="15.75" customHeight="1" s="6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</row>
    <row r="789" ht="15.75" customHeight="1" s="6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</row>
    <row r="790" ht="15.75" customHeight="1" s="6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</row>
    <row r="791" ht="15.75" customHeight="1" s="6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</row>
    <row r="792" ht="15.75" customHeight="1" s="6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</row>
    <row r="793" ht="15.75" customHeight="1" s="6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</row>
    <row r="794" ht="15.75" customHeight="1" s="6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</row>
    <row r="795" ht="15.75" customHeight="1" s="6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</row>
    <row r="796" ht="15.75" customHeight="1" s="6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</row>
    <row r="797" ht="15.75" customHeight="1" s="6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</row>
    <row r="798" ht="15.75" customHeight="1" s="6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</row>
    <row r="799" ht="15.75" customHeight="1" s="6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</row>
    <row r="800" ht="15.75" customHeight="1" s="6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</row>
    <row r="801" ht="15.75" customHeight="1" s="6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</row>
    <row r="802" ht="15.75" customHeight="1" s="6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</row>
    <row r="803" ht="15.75" customHeight="1" s="6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</row>
    <row r="804" ht="15.75" customHeight="1" s="6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</row>
    <row r="805" ht="15.75" customHeight="1" s="6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</row>
    <row r="806" ht="15.75" customHeight="1" s="6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</row>
    <row r="807" ht="15.75" customHeight="1" s="6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</row>
    <row r="808" ht="15.75" customHeight="1" s="6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</row>
    <row r="809" ht="15.75" customHeight="1" s="6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</row>
    <row r="810" ht="15.75" customHeight="1" s="6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</row>
    <row r="811" ht="15.75" customHeight="1" s="6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</row>
    <row r="812" ht="15.75" customHeight="1" s="6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</row>
    <row r="813" ht="15.75" customHeight="1" s="6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</row>
    <row r="814" ht="15.75" customHeight="1" s="6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</row>
    <row r="815" ht="15.75" customHeight="1" s="6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</row>
    <row r="816" ht="15.75" customHeight="1" s="6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</row>
    <row r="817" ht="15.75" customHeight="1" s="6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</row>
    <row r="818" ht="15.75" customHeight="1" s="6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</row>
    <row r="819" ht="15.75" customHeight="1" s="6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</row>
    <row r="820" ht="15.75" customHeight="1" s="6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</row>
    <row r="821" ht="15.75" customHeight="1" s="6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</row>
    <row r="822" ht="15.75" customHeight="1" s="6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</row>
    <row r="823" ht="15.75" customHeight="1" s="6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</row>
    <row r="824" ht="15.75" customHeight="1" s="6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</row>
    <row r="825" ht="15.75" customHeight="1" s="6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</row>
    <row r="826" ht="15.75" customHeight="1" s="6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</row>
    <row r="827" ht="15.75" customHeight="1" s="6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</row>
    <row r="828" ht="15.75" customHeight="1" s="6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</row>
    <row r="829" ht="15.75" customHeight="1" s="6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</row>
    <row r="830" ht="15.75" customHeight="1" s="6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</row>
    <row r="831" ht="15.75" customHeight="1" s="6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</row>
    <row r="832" ht="15.75" customHeight="1" s="6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</row>
    <row r="833" ht="15.75" customHeight="1" s="6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</row>
    <row r="834" ht="15.75" customHeight="1" s="6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</row>
    <row r="835" ht="15.75" customHeight="1" s="6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</row>
    <row r="836" ht="15.75" customHeight="1" s="6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</row>
    <row r="837" ht="15.75" customHeight="1" s="6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</row>
    <row r="838" ht="15.75" customHeight="1" s="6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</row>
    <row r="839" ht="15.75" customHeight="1" s="6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</row>
    <row r="840" ht="15.75" customHeight="1" s="6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</row>
    <row r="841" ht="15.75" customHeight="1" s="6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</row>
    <row r="842" ht="15.75" customHeight="1" s="6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</row>
    <row r="843" ht="15.75" customHeight="1" s="6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</row>
    <row r="844" ht="15.75" customHeight="1" s="6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</row>
    <row r="845" ht="15.75" customHeight="1" s="6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</row>
    <row r="846" ht="15.75" customHeight="1" s="6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</row>
    <row r="847" ht="15.75" customHeight="1" s="6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</row>
    <row r="848" ht="15.75" customHeight="1" s="6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</row>
    <row r="849" ht="15.75" customHeight="1" s="6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</row>
    <row r="850" ht="15.75" customHeight="1" s="6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</row>
    <row r="851" ht="15.75" customHeight="1" s="6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</row>
    <row r="852" ht="15.75" customHeight="1" s="6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</row>
    <row r="853" ht="15.75" customHeight="1" s="6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</row>
    <row r="854" ht="15.75" customHeight="1" s="6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</row>
    <row r="855" ht="15.75" customHeight="1" s="6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</row>
    <row r="856" ht="15.75" customHeight="1" s="6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</row>
    <row r="857" ht="15.75" customHeight="1" s="6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</row>
    <row r="858" ht="15.75" customHeight="1" s="6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</row>
    <row r="859" ht="15.75" customHeight="1" s="6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</row>
    <row r="860" ht="15.75" customHeight="1" s="6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</row>
    <row r="861" ht="15.75" customHeight="1" s="6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</row>
    <row r="862" ht="15.75" customHeight="1" s="6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</row>
    <row r="863" ht="15.75" customHeight="1" s="6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</row>
    <row r="864" ht="15.75" customHeight="1" s="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</row>
    <row r="865" ht="15.75" customHeight="1" s="6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</row>
    <row r="866" ht="15.75" customHeight="1" s="6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</row>
    <row r="867" ht="15.75" customHeight="1" s="6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</row>
    <row r="868" ht="15.75" customHeight="1" s="6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</row>
    <row r="869" ht="15.75" customHeight="1" s="6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</row>
    <row r="870" ht="15.75" customHeight="1" s="6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</row>
    <row r="871" ht="15.75" customHeight="1" s="6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</row>
    <row r="872" ht="15.75" customHeight="1" s="6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</row>
    <row r="873" ht="15.75" customHeight="1" s="6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</row>
    <row r="874" ht="15.75" customHeight="1" s="6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</row>
    <row r="875" ht="15.75" customHeight="1" s="6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</row>
    <row r="876" ht="15.75" customHeight="1" s="6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</row>
    <row r="877" ht="15.75" customHeight="1" s="6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</row>
    <row r="878" ht="15.75" customHeight="1" s="6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</row>
    <row r="879" ht="15.75" customHeight="1" s="6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</row>
    <row r="880" ht="15.75" customHeight="1" s="6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</row>
    <row r="881" ht="15.75" customHeight="1" s="6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</row>
    <row r="882" ht="15.75" customHeight="1" s="6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</row>
    <row r="883" ht="15.75" customHeight="1" s="6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</row>
    <row r="884" ht="15.75" customHeight="1" s="6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</row>
    <row r="885" ht="15.75" customHeight="1" s="6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</row>
    <row r="886" ht="15.75" customHeight="1" s="6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</row>
    <row r="887" ht="15.75" customHeight="1" s="6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</row>
    <row r="888" ht="15.75" customHeight="1" s="6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</row>
    <row r="889" ht="15.75" customHeight="1" s="6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</row>
    <row r="890" ht="15.75" customHeight="1" s="6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</row>
    <row r="891" ht="15.75" customHeight="1" s="6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</row>
    <row r="892" ht="15.75" customHeight="1" s="6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</row>
    <row r="893" ht="15.75" customHeight="1" s="6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</row>
    <row r="894" ht="15.75" customHeight="1" s="6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</row>
    <row r="895" ht="15.75" customHeight="1" s="6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</row>
    <row r="896" ht="15.75" customHeight="1" s="6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</row>
    <row r="897" ht="15.75" customHeight="1" s="6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</row>
    <row r="898" ht="15.75" customHeight="1" s="6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</row>
    <row r="899" ht="15.75" customHeight="1" s="6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</row>
    <row r="900" ht="15.75" customHeight="1" s="6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</row>
    <row r="901" ht="15.75" customHeight="1" s="6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</row>
    <row r="902" ht="15.75" customHeight="1" s="6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</row>
    <row r="903" ht="15.75" customHeight="1" s="6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</row>
    <row r="904" ht="15.75" customHeight="1" s="6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</row>
    <row r="905" ht="15.75" customHeight="1" s="6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</row>
    <row r="906" ht="15.75" customHeight="1" s="6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</row>
    <row r="907" ht="15.75" customHeight="1" s="6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</row>
    <row r="908" ht="15.75" customHeight="1" s="6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</row>
    <row r="909" ht="15.75" customHeight="1" s="6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</row>
    <row r="910" ht="15.75" customHeight="1" s="6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</row>
    <row r="911" ht="15.75" customHeight="1" s="6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</row>
    <row r="912" ht="15.75" customHeight="1" s="6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</row>
    <row r="913" ht="15.75" customHeight="1" s="6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</row>
    <row r="914" ht="15.75" customHeight="1" s="6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</row>
    <row r="915" ht="15.75" customHeight="1" s="6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</row>
    <row r="916" ht="15.75" customHeight="1" s="6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</row>
    <row r="917" ht="15.75" customHeight="1" s="6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</row>
    <row r="918" ht="15.75" customHeight="1" s="6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</row>
    <row r="919" ht="15.75" customHeight="1" s="6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</row>
    <row r="920" ht="15.75" customHeight="1" s="6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</row>
    <row r="921" ht="15.75" customHeight="1" s="6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</row>
    <row r="922" ht="15.75" customHeight="1" s="6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</row>
    <row r="923" ht="15.75" customHeight="1" s="6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</row>
    <row r="924" ht="15.75" customHeight="1" s="6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</row>
    <row r="925" ht="15.75" customHeight="1" s="6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</row>
    <row r="926" ht="15.75" customHeight="1" s="6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</row>
    <row r="927" ht="15.75" customHeight="1" s="6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</row>
    <row r="928" ht="15.75" customHeight="1" s="6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</row>
    <row r="929" ht="15.75" customHeight="1" s="6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</row>
    <row r="930" ht="15.75" customHeight="1" s="6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</row>
    <row r="931" ht="15.75" customHeight="1" s="6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</row>
    <row r="932" ht="15.75" customHeight="1" s="6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</row>
    <row r="933" ht="15.75" customHeight="1" s="6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</row>
    <row r="934" ht="15.75" customHeight="1" s="6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</row>
    <row r="935" ht="15.75" customHeight="1" s="6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</row>
    <row r="936" ht="15.75" customHeight="1" s="6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</row>
    <row r="937" ht="15.75" customHeight="1" s="6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</row>
    <row r="938" ht="15.75" customHeight="1" s="6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</row>
    <row r="939" ht="15.75" customHeight="1" s="6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</row>
    <row r="940" ht="15.75" customHeight="1" s="6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</row>
    <row r="941" ht="15.75" customHeight="1" s="6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</row>
    <row r="942" ht="15.75" customHeight="1" s="6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</row>
    <row r="943" ht="15.75" customHeight="1" s="6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</row>
    <row r="944" ht="15.75" customHeight="1" s="6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</row>
    <row r="945" ht="15.75" customHeight="1" s="6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</row>
    <row r="946" ht="15.75" customHeight="1" s="6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</row>
    <row r="947" ht="15.75" customHeight="1" s="6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</row>
    <row r="948" ht="15.75" customHeight="1" s="6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</row>
    <row r="949" ht="15.75" customHeight="1" s="6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</row>
    <row r="950" ht="15.75" customHeight="1" s="6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</row>
    <row r="951" ht="15.75" customHeight="1" s="6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</row>
    <row r="952" ht="15.75" customHeight="1" s="6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</row>
    <row r="953" ht="15.75" customHeight="1" s="6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</row>
    <row r="954" ht="15.75" customHeight="1" s="6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</row>
    <row r="955" ht="15.75" customHeight="1" s="6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</row>
    <row r="956" ht="15.75" customHeight="1" s="6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</row>
    <row r="957" ht="15.75" customHeight="1" s="6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</row>
    <row r="958" ht="15.75" customHeight="1" s="6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</row>
    <row r="959" ht="15.75" customHeight="1" s="6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</row>
    <row r="960" ht="15.75" customHeight="1" s="6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</row>
    <row r="961" ht="15.75" customHeight="1" s="6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</row>
    <row r="962" ht="15.75" customHeight="1" s="6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</row>
    <row r="963" ht="15.75" customHeight="1" s="6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</row>
    <row r="964" ht="15.75" customHeight="1" s="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</row>
    <row r="965" ht="15.75" customHeight="1" s="6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</row>
    <row r="966" ht="15.75" customHeight="1" s="6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</row>
    <row r="967" ht="15.75" customHeight="1" s="6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</row>
    <row r="968" ht="15.75" customHeight="1" s="6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</row>
    <row r="969" ht="15.75" customHeight="1" s="6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</row>
    <row r="970" ht="15.75" customHeight="1" s="6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</row>
    <row r="971" ht="15.75" customHeight="1" s="6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</row>
    <row r="972" ht="15.75" customHeight="1" s="6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</row>
    <row r="973" ht="15.75" customHeight="1" s="6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</row>
    <row r="974" ht="15.75" customHeight="1" s="6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</row>
    <row r="975" ht="15.75" customHeight="1" s="6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</row>
    <row r="976" ht="15.75" customHeight="1" s="6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</row>
    <row r="977" ht="15.75" customHeight="1" s="6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</row>
    <row r="978" ht="15.75" customHeight="1" s="6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</row>
    <row r="979" ht="15.75" customHeight="1" s="6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</row>
    <row r="980" ht="15.75" customHeight="1" s="6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</row>
    <row r="981" ht="15.75" customHeight="1" s="6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</row>
    <row r="982" ht="15.75" customHeight="1" s="6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</row>
    <row r="983" ht="15.75" customHeight="1" s="6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</row>
    <row r="984" ht="15.75" customHeight="1" s="6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</row>
    <row r="985" ht="15.75" customHeight="1" s="6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</row>
    <row r="986" ht="15.75" customHeight="1" s="6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</row>
    <row r="987" ht="15.75" customHeight="1" s="6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</row>
    <row r="988" ht="15.75" customHeight="1" s="6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</row>
    <row r="989" ht="15.75" customHeight="1" s="6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</row>
    <row r="990" ht="15.75" customHeight="1" s="6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</row>
    <row r="991" ht="15.75" customHeight="1" s="6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</row>
    <row r="992" ht="15.75" customHeight="1" s="6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</row>
    <row r="993" ht="15.75" customHeight="1" s="6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</row>
    <row r="994" ht="15.75" customHeight="1" s="6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</row>
    <row r="995" ht="15.75" customHeight="1" s="6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</row>
    <row r="996" ht="15.75" customHeight="1" s="6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</row>
    <row r="997" ht="15.75" customHeight="1" s="6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</row>
    <row r="998" ht="15.75" customHeight="1" s="6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</row>
    <row r="999" ht="15.75" customHeight="1" s="6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</row>
    <row r="1000" ht="15.75" customHeight="1" s="6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</row>
    <row r="1001" ht="15.75" customHeight="1" s="64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</row>
    <row r="1002" ht="15.75" customHeight="1" s="64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</row>
    <row r="1003" ht="15.75" customHeight="1" s="64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</row>
    <row r="1004" ht="15.75" customHeight="1" s="6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</row>
    <row r="1005" ht="15.75" customHeight="1" s="64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</row>
    <row r="1006" ht="15.75" customHeight="1" s="64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</row>
    <row r="1007" ht="15.75" customHeight="1" s="64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</row>
    <row r="1008" ht="15.75" customHeight="1" s="64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</row>
    <row r="1009" ht="15.75" customHeight="1" s="64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</row>
    <row r="1010" ht="15.75" customHeight="1" s="64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</row>
    <row r="1011" ht="15.75" customHeight="1" s="64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</row>
    <row r="1012" ht="15.75" customHeight="1" s="64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</row>
    <row r="1013" ht="15.75" customHeight="1" s="64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</row>
    <row r="1014" ht="15.75" customHeight="1" s="6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</row>
    <row r="1015" ht="15.75" customHeight="1" s="64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</row>
    <row r="1016" ht="15.75" customHeight="1" s="64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</row>
    <row r="1017" ht="15.75" customHeight="1" s="64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</row>
    <row r="1018" ht="15.75" customHeight="1" s="64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</row>
    <row r="1019" ht="15.75" customHeight="1" s="64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</row>
    <row r="1020" ht="15.75" customHeight="1" s="64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</row>
    <row r="1021" ht="15.75" customHeight="1" s="64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</row>
    <row r="1022" ht="15.75" customHeight="1" s="64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</row>
    <row r="1023" ht="15.75" customHeight="1" s="64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</row>
    <row r="1024" ht="15.75" customHeight="1" s="6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1" t="n"/>
    </row>
    <row r="1025" ht="15.75" customHeight="1" s="64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1" t="n"/>
    </row>
    <row r="1026" ht="15.75" customHeight="1" s="64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1" t="n"/>
    </row>
    <row r="1027" ht="15.75" customHeight="1" s="64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1" t="n"/>
    </row>
    <row r="1028" ht="15.75" customHeight="1" s="64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1" t="n"/>
    </row>
    <row r="1029" ht="15.75" customHeight="1" s="64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1" t="n"/>
    </row>
    <row r="1030" ht="15.75" customHeight="1" s="64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1" t="n"/>
    </row>
    <row r="1031" ht="15.75" customHeight="1" s="64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1" t="n"/>
    </row>
    <row r="1032" ht="15.75" customHeight="1" s="64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1" t="n"/>
    </row>
    <row r="1033" ht="15.75" customHeight="1" s="64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1" t="n"/>
    </row>
    <row r="1034" ht="15.75" customHeight="1" s="6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1" t="n"/>
    </row>
    <row r="1035" ht="15.75" customHeight="1" s="64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1" t="n"/>
    </row>
    <row r="1036" ht="15.75" customHeight="1" s="64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1" t="n"/>
    </row>
    <row r="1037" ht="15.75" customHeight="1" s="64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1" t="n"/>
    </row>
    <row r="1038" ht="15.75" customHeight="1" s="64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1" t="n"/>
    </row>
    <row r="1039" ht="15.75" customHeight="1" s="64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1" t="n"/>
    </row>
    <row r="1040" ht="15.75" customHeight="1" s="64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1" t="n"/>
    </row>
    <row r="1041" ht="15.75" customHeight="1" s="64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1" t="n"/>
    </row>
    <row r="1042" ht="15.75" customHeight="1" s="64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1" t="n"/>
    </row>
    <row r="1043" ht="15.75" customHeight="1" s="64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1" t="n"/>
    </row>
    <row r="1044" ht="15.75" customHeight="1" s="6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1" t="n"/>
    </row>
    <row r="1045" ht="15.75" customHeight="1" s="64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1" t="n"/>
    </row>
    <row r="1046" ht="15.75" customHeight="1" s="64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1" t="n"/>
    </row>
    <row r="1047" ht="15.75" customHeight="1" s="64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1" t="n"/>
    </row>
    <row r="1048" ht="15.75" customHeight="1" s="64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1" t="n"/>
    </row>
    <row r="1049" ht="15.75" customHeight="1" s="64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1" t="n"/>
    </row>
    <row r="1050" ht="15.75" customHeight="1" s="64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1" t="n"/>
    </row>
  </sheetData>
  <autoFilter ref="B4:O261"/>
  <mergeCells count="1">
    <mergeCell ref="B2:M2"/>
  </mergeCells>
  <conditionalFormatting sqref="A5:A549 A551">
    <cfRule type="expression" priority="1" dxfId="0">
      <formula>AND(#REF!&lt;&gt;"",#REF!&lt;&gt;"OK")</formula>
    </cfRule>
    <cfRule type="expression" priority="2" dxfId="1">
      <formula>#REF!="OK"</formula>
    </cfRule>
  </conditionalFormatting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42" customWidth="1" style="64" min="2" max="2"/>
    <col width="42" customWidth="1" style="64" min="3" max="3"/>
    <col width="13" customWidth="1" style="64" min="4" max="4"/>
    <col width="12" customWidth="1" style="64" min="5" max="5"/>
    <col width="42" customWidth="1" style="64" min="6" max="6"/>
    <col width="12" customWidth="1" style="64" min="7" max="7"/>
  </cols>
  <sheetData>
    <row r="1">
      <c r="B1" s="77" t="inlineStr">
        <is>
          <t>0e) PLANTAS / PROVEEDORES  →  cli_clientes (Cliente / Proveedor)</t>
        </is>
      </c>
    </row>
    <row r="2">
      <c r="B2" s="78" t="inlineStr">
        <is>
          <t>Docs usados como Propietario=PLANTA en Balones. Si solo son Cliente → upgrade a Cliente/Proveedor (id=175). Si ya son Proveedor o Cliente/Proveedor → no cambiar. Si no existen → alta nueva.</t>
        </is>
      </c>
    </row>
    <row r="3">
      <c r="A3" s="79" t="inlineStr">
        <is>
          <t>(validación)</t>
        </is>
      </c>
      <c r="B3" s="79" t="inlineStr">
        <is>
          <t>numero_documento</t>
        </is>
      </c>
      <c r="C3" s="79" t="inlineStr">
        <is>
          <t>nombre</t>
        </is>
      </c>
      <c r="D3" s="79" t="inlineStr">
        <is>
          <t>tipo_actual</t>
        </is>
      </c>
      <c r="E3" s="79" t="inlineStr">
        <is>
          <t>accion</t>
        </is>
      </c>
      <c r="F3" s="79" t="inlineStr">
        <is>
          <t>(sentencia SQL)</t>
        </is>
      </c>
    </row>
    <row r="4">
      <c r="A4" s="83" t="inlineStr">
        <is>
          <t>Chequeo</t>
        </is>
      </c>
      <c r="B4" s="81" t="inlineStr">
        <is>
          <t>N° documento</t>
        </is>
      </c>
      <c r="C4" s="82" t="inlineStr">
        <is>
          <t>Nombre</t>
        </is>
      </c>
      <c r="D4" s="80" t="inlineStr">
        <is>
          <t>Tipo actual</t>
        </is>
      </c>
      <c r="E4" s="82" t="inlineStr">
        <is>
          <t>Acción</t>
        </is>
      </c>
      <c r="F4" s="83" t="inlineStr">
        <is>
          <t>SQL</t>
        </is>
      </c>
    </row>
    <row r="5">
      <c r="A5" s="84" t="inlineStr">
        <is>
          <t>OK</t>
        </is>
      </c>
      <c r="B5" s="84" t="inlineStr">
        <is>
          <t>20536698834</t>
        </is>
      </c>
      <c r="C5" s="84" t="inlineStr">
        <is>
          <t>&lt;openpyxl.worksheet.formula.ArrayFormula object at 0x000001CFEF5010D0&gt;</t>
        </is>
      </c>
      <c r="D5" s="84" t="inlineStr">
        <is>
          <t>Proveedor</t>
        </is>
      </c>
      <c r="E5" s="84" t="inlineStr">
        <is>
          <t>KEEP</t>
        </is>
      </c>
      <c r="F5" s="84" t="inlineStr">
        <is>
          <t>-- Sin cambios: 20536698834 ya es Proveedor</t>
        </is>
      </c>
    </row>
    <row r="6">
      <c r="A6" s="84" t="inlineStr">
        <is>
          <t>OK</t>
        </is>
      </c>
      <c r="B6" s="84" t="inlineStr">
        <is>
          <t>20607948675</t>
        </is>
      </c>
      <c r="C6" s="84" t="inlineStr">
        <is>
          <t>&lt;openpyxl.worksheet.formula.ArrayFormula object at 0x000001CFEF502450&gt;</t>
        </is>
      </c>
      <c r="D6" s="84" t="inlineStr">
        <is>
          <t>Proveedor</t>
        </is>
      </c>
      <c r="E6" s="84" t="inlineStr">
        <is>
          <t>KEEP</t>
        </is>
      </c>
      <c r="F6" s="84" t="inlineStr">
        <is>
          <t>-- Sin cambios: 20607948675 ya es Proveedor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2578125" defaultRowHeight="15" customHeight="1"/>
  <cols>
    <col width="16" customWidth="1" style="64" min="1" max="1"/>
    <col width="30" customWidth="1" style="64" min="2" max="2"/>
    <col width="22" customWidth="1" style="64" min="3" max="3"/>
    <col width="18" customWidth="1" style="64" min="4" max="5"/>
    <col width="16" customWidth="1" style="64" min="6" max="8"/>
    <col width="26" customWidth="1" style="64" min="9" max="9"/>
    <col width="30" customWidth="1" style="64" min="10" max="10"/>
    <col width="12" customWidth="1" style="64" min="11" max="11"/>
    <col width="30" customWidth="1" style="64" min="12" max="12"/>
    <col hidden="1" width="60" customWidth="1" style="64" min="13" max="13"/>
    <col width="8.5703125" customWidth="1" style="64" min="14" max="26"/>
  </cols>
  <sheetData>
    <row r="1" ht="18" customHeight="1" s="64">
      <c r="A1" s="65" t="inlineStr">
        <is>
          <t>2) CONTACTOS DE CLIENTES  →  tabla cli_contacto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66" t="inlineStr">
        <is>
          <t>Opcional. Personas de contacto de cada cliente (comprador, encargado de almacén, familiar del paciente…). Varios contactos = varias filas con el mismo N° de documento del cliente.</t>
        </is>
      </c>
      <c r="M2" s="1" t="n"/>
    </row>
    <row r="3" ht="25.5" customHeight="1" s="64">
      <c r="A3" s="14" t="inlineStr">
        <is>
          <t>id_cliente (por numero_documento)</t>
        </is>
      </c>
      <c r="B3" s="14" t="inlineStr">
        <is>
          <t>(lookup)</t>
        </is>
      </c>
      <c r="C3" s="14" t="inlineStr">
        <is>
          <t>nombre</t>
        </is>
      </c>
      <c r="D3" s="14" t="inlineStr">
        <is>
          <t>apellido_paterno</t>
        </is>
      </c>
      <c r="E3" s="14" t="inlineStr">
        <is>
          <t>apellido_materno</t>
        </is>
      </c>
      <c r="F3" s="14" t="inlineStr">
        <is>
          <t>telefono1</t>
        </is>
      </c>
      <c r="G3" s="14" t="inlineStr">
        <is>
          <t>telefono2</t>
        </is>
      </c>
      <c r="H3" s="14" t="inlineStr">
        <is>
          <t>telefono3</t>
        </is>
      </c>
      <c r="I3" s="14" t="inlineStr">
        <is>
          <t>email</t>
        </is>
      </c>
      <c r="J3" s="14" t="inlineStr">
        <is>
          <t>direccion</t>
        </is>
      </c>
      <c r="K3" s="14" t="inlineStr">
        <is>
          <t>es_principal</t>
        </is>
      </c>
      <c r="L3" s="14" t="inlineStr">
        <is>
          <t>(validación)</t>
        </is>
      </c>
      <c r="M3" s="14" t="inlineStr">
        <is>
          <t>(sentencia SQL)</t>
        </is>
      </c>
    </row>
    <row r="4" ht="42" customHeight="1" s="64">
      <c r="A4" s="18" t="inlineStr">
        <is>
          <t>Doc. cliente</t>
        </is>
      </c>
      <c r="B4" s="15" t="inlineStr">
        <is>
          <t>Cliente (auto)</t>
        </is>
      </c>
      <c r="C4" s="18" t="inlineStr">
        <is>
          <t>Nombre</t>
        </is>
      </c>
      <c r="D4" s="16" t="inlineStr">
        <is>
          <t>Apellido paterno</t>
        </is>
      </c>
      <c r="E4" s="19" t="inlineStr">
        <is>
          <t>Apellido materno</t>
        </is>
      </c>
      <c r="F4" s="16" t="inlineStr">
        <is>
          <t>Teléfono 1</t>
        </is>
      </c>
      <c r="G4" s="19" t="inlineStr">
        <is>
          <t>Teléfono 2</t>
        </is>
      </c>
      <c r="H4" s="19" t="inlineStr">
        <is>
          <t>Teléfono 3</t>
        </is>
      </c>
      <c r="I4" s="19" t="inlineStr">
        <is>
          <t>Email</t>
        </is>
      </c>
      <c r="J4" s="19" t="inlineStr">
        <is>
          <t>Dirección</t>
        </is>
      </c>
      <c r="K4" s="16" t="inlineStr">
        <is>
          <t>Es principal</t>
        </is>
      </c>
      <c r="L4" s="15" t="inlineStr">
        <is>
          <t>Chequeo</t>
        </is>
      </c>
      <c r="M4" s="20" t="inlineStr">
        <is>
          <t>SQL</t>
        </is>
      </c>
    </row>
    <row r="5">
      <c r="A5" s="23" t="n"/>
      <c r="B5" s="25">
        <f t="array" ref="B5">IF(A5="","",IFERROR(IF(INDEX(Clientes!$D$5:$D$549,MATCH(A5,Clientes!$C$5:$C$549,0))&lt;&gt;"",INDEX(Clientes!$D$5:$D$549,MATCH(A5,Clientes!$C$5:$C$549,0)),TRIM(INDEX(Clientes!$E$5:$E$549,MATCH(A5,Clientes!$C$5:$C$549,0))&amp;" "&amp;INDEX(Clientes!$F$5:$F$549,MATCH(A5,Clientes!$C$5:$C$549,0)))),"NO EXISTE en Clientes"))</f>
        <v/>
      </c>
      <c r="C5" s="17" t="n"/>
      <c r="D5" s="17" t="n"/>
      <c r="E5" s="17" t="n"/>
      <c r="F5" s="23" t="n"/>
      <c r="G5" s="23" t="n"/>
      <c r="H5" s="23" t="n"/>
      <c r="I5" s="17" t="n"/>
      <c r="J5" s="17" t="n"/>
      <c r="K5" s="17" t="n"/>
      <c r="L5" s="17">
        <f>IF(AND(A5="",C5=""),"",IF(A5="","FALTA doc. cliente",IF(B5="NO EXISTE en Clientes","CLIENTE no está en hoja Clientes",IF(C5="","FALTA nombre",IF(AND(K5="SI",COUNTIFS($A$5:$A$499,A5,$K$5:$K$499,"SI")&gt;1),"Más de un contacto principal para este cliente","OK")))))</f>
        <v/>
      </c>
      <c r="M5" s="28">
        <f>IF(L5&lt;&gt;"OK","","INSERT INTO cli_contacto (id_cliente, nombre, apellido_paterno, apellido_materno, telefono1, telefono2, telefono3, email, direccion, es_principal, estado) SELECT "&amp;"(SELECT id FROM cli_clientes WHERE numero_documento = '"&amp;SUBSTITUTE(TRIM(A5),"'","''")&amp;"' AND estado = 1 LIMIT 1)"&amp;", "&amp;IF(TRIM(C5&amp;"")="","NULL","'"&amp;SUBSTITUTE(TRIM(C5),"'","''")&amp;"'")&amp;", "&amp;IF(TRIM(D5&amp;"")="","NULL","'"&amp;SUBSTITUTE(TRIM(D5),"'","''")&amp;"'")&amp;", "&amp;IF(TRIM(E5&amp;"")="","NULL","'"&amp;SUBSTITUTE(TRIM(E5),"'","''")&amp;"'")&amp;", "&amp;IF(TRIM(F5&amp;"")="","NULL","'"&amp;SUBSTITUTE(TRIM(F5),"'","''")&amp;"'")&amp;", "&amp;IF(TRIM(G5&amp;"")="","NULL","'"&amp;SUBSTITUTE(TRIM(G5),"'","''")&amp;"'")&amp;", "&amp;IF(TRIM(H5&amp;"")="","NULL","'"&amp;SUBSTITUTE(TRIM(H5),"'","''")&amp;"'")&amp;", "&amp;IF(TRIM(I5&amp;"")="","NULL","'"&amp;SUBSTITUTE(TRIM(I5),"'","''")&amp;"'")&amp;", "&amp;IF(TRIM(J5&amp;"")="","NULL","'"&amp;SUBSTITUTE(TRIM(J5),"'","''")&amp;"'")&amp;", "&amp;IF(UPPER(TRIM(K5&amp;""))="SI","TRUE","FALSE")&amp;", 1"&amp;" WHERE NOT EXISTS (SELECT 1 FROM cli_contacto c WHERE c.id_cliente = "&amp;"(SELECT id FROM cli_clientes WHERE numero_documento = '"&amp;SUBSTITUTE(TRIM(A5),"'","''")&amp;"' AND estado = 1 LIMIT 1)"&amp;" AND upper(c.nombre) = upper("&amp;IF(TRIM(C5&amp;"")="","NULL","'"&amp;SUBSTITUTE(TRIM(C5),"'","''")&amp;"'")&amp;") AND coalesce(c.telefono1,'') = coalesce("&amp;IF(TRIM(F5&amp;"")="","NULL","'"&amp;SUBSTITUTE(TRIM(F5),"'","''")&amp;"'")&amp;",''));")</f>
        <v/>
      </c>
    </row>
    <row r="6">
      <c r="A6" s="23" t="n"/>
      <c r="B6" s="25">
        <f t="array" ref="B6">IF(A6="","",IFERROR(IF(INDEX(Clientes!$D$5:$D$549,MATCH(A6,Clientes!$C$5:$C$549,0))&lt;&gt;"",INDEX(Clientes!$D$5:$D$549,MATCH(A6,Clientes!$C$5:$C$549,0)),TRIM(INDEX(Clientes!$E$5:$E$549,MATCH(A6,Clientes!$C$5:$C$549,0))&amp;" "&amp;INDEX(Clientes!$F$5:$F$549,MATCH(A6,Clientes!$C$5:$C$549,0)))),"NO EXISTE en Clientes"))</f>
        <v/>
      </c>
      <c r="C6" s="17" t="n"/>
      <c r="D6" s="17" t="n"/>
      <c r="E6" s="17" t="n"/>
      <c r="F6" s="23" t="n"/>
      <c r="G6" s="23" t="n"/>
      <c r="H6" s="23" t="n"/>
      <c r="I6" s="17" t="n"/>
      <c r="J6" s="17" t="n"/>
      <c r="K6" s="17" t="n"/>
      <c r="L6" s="17">
        <f>IF(AND(A6="",C6=""),"",IF(A6="","FALTA doc. cliente",IF(B6="NO EXISTE en Clientes","CLIENTE no está en hoja Clientes",IF(C6="","FALTA nombre",IF(AND(K6="SI",COUNTIFS($A$5:$A$499,A6,$K$5:$K$499,"SI")&gt;1),"Más de un contacto principal para este cliente","OK")))))</f>
        <v/>
      </c>
      <c r="M6" s="28">
        <f>IF(L6&lt;&gt;"OK","","INSERT INTO cli_contacto (id_cliente, nombre, apellido_paterno, apellido_materno, telefono1, telefono2, telefono3, email, direccion, es_principal, estado) SELECT "&amp;"(SELECT id FROM cli_clientes WHERE numero_documento = '"&amp;SUBSTITUTE(TRIM(A6),"'","''")&amp;"' AND estado = 1 LIMIT 1)"&amp;", "&amp;IF(TRIM(C6&amp;"")="","NULL","'"&amp;SUBSTITUTE(TRIM(C6),"'","''")&amp;"'")&amp;", "&amp;IF(TRIM(D6&amp;"")="","NULL","'"&amp;SUBSTITUTE(TRIM(D6),"'","''")&amp;"'")&amp;", "&amp;IF(TRIM(E6&amp;"")="","NULL","'"&amp;SUBSTITUTE(TRIM(E6),"'","''")&amp;"'")&amp;", "&amp;IF(TRIM(F6&amp;"")="","NULL","'"&amp;SUBSTITUTE(TRIM(F6),"'","''")&amp;"'")&amp;", "&amp;IF(TRIM(G6&amp;"")="","NULL","'"&amp;SUBSTITUTE(TRIM(G6),"'","''")&amp;"'")&amp;", "&amp;IF(TRIM(H6&amp;"")="","NULL","'"&amp;SUBSTITUTE(TRIM(H6),"'","''")&amp;"'")&amp;", "&amp;IF(TRIM(I6&amp;"")="","NULL","'"&amp;SUBSTITUTE(TRIM(I6),"'","''")&amp;"'")&amp;", "&amp;IF(TRIM(J6&amp;"")="","NULL","'"&amp;SUBSTITUTE(TRIM(J6),"'","''")&amp;"'")&amp;", "&amp;IF(UPPER(TRIM(K6&amp;""))="SI","TRUE","FALSE")&amp;", 1"&amp;" WHERE NOT EXISTS (SELECT 1 FROM cli_contacto c WHERE c.id_cliente = "&amp;"(SELECT id FROM cli_clientes WHERE numero_documento = '"&amp;SUBSTITUTE(TRIM(A6),"'","''")&amp;"' AND estado = 1 LIMIT 1)"&amp;" AND upper(c.nombre) = upper("&amp;IF(TRIM(C6&amp;"")="","NULL","'"&amp;SUBSTITUTE(TRIM(C6),"'","''")&amp;"'")&amp;") AND coalesce(c.telefono1,'') = coalesce("&amp;IF(TRIM(F6&amp;"")="","NULL","'"&amp;SUBSTITUTE(TRIM(F6),"'","''")&amp;"'")&amp;",''));")</f>
        <v/>
      </c>
    </row>
    <row r="7">
      <c r="A7" s="23" t="n"/>
      <c r="B7" s="25">
        <f t="array" ref="B7">IF(A7="","",IFERROR(IF(INDEX(Clientes!$D$5:$D$549,MATCH(A7,Clientes!$C$5:$C$549,0))&lt;&gt;"",INDEX(Clientes!$D$5:$D$549,MATCH(A7,Clientes!$C$5:$C$549,0)),TRIM(INDEX(Clientes!$E$5:$E$549,MATCH(A7,Clientes!$C$5:$C$549,0))&amp;" "&amp;INDEX(Clientes!$F$5:$F$549,MATCH(A7,Clientes!$C$5:$C$549,0)))),"NO EXISTE en Clientes"))</f>
        <v/>
      </c>
      <c r="C7" s="17" t="n"/>
      <c r="D7" s="17" t="n"/>
      <c r="E7" s="17" t="n"/>
      <c r="F7" s="23" t="n"/>
      <c r="G7" s="23" t="n"/>
      <c r="H7" s="23" t="n"/>
      <c r="I7" s="17" t="n"/>
      <c r="J7" s="17" t="n"/>
      <c r="K7" s="17" t="n"/>
      <c r="L7" s="17">
        <f>IF(AND(A7="",C7=""),"",IF(A7="","FALTA doc. cliente",IF(B7="NO EXISTE en Clientes","CLIENTE no está en hoja Clientes",IF(C7="","FALTA nombre",IF(AND(K7="SI",COUNTIFS($A$5:$A$499,A7,$K$5:$K$499,"SI")&gt;1),"Más de un contacto principal para este cliente","OK")))))</f>
        <v/>
      </c>
      <c r="M7" s="28">
        <f>IF(L7&lt;&gt;"OK","","INSERT INTO cli_contacto (id_cliente, nombre, apellido_paterno, apellido_materno, telefono1, telefono2, telefono3, email, direccion, es_principal, estado) SELECT "&amp;"(SELECT id FROM cli_clientes WHERE numero_documento = '"&amp;SUBSTITUTE(TRIM(A7),"'","''")&amp;"' AND estado = 1 LIMIT 1)"&amp;", "&amp;IF(TRIM(C7&amp;"")="","NULL","'"&amp;SUBSTITUTE(TRIM(C7),"'","''")&amp;"'")&amp;", "&amp;IF(TRIM(D7&amp;"")="","NULL","'"&amp;SUBSTITUTE(TRIM(D7),"'","''")&amp;"'")&amp;", "&amp;IF(TRIM(E7&amp;"")="","NULL","'"&amp;SUBSTITUTE(TRIM(E7),"'","''")&amp;"'")&amp;", "&amp;IF(TRIM(F7&amp;"")="","NULL","'"&amp;SUBSTITUTE(TRIM(F7),"'","''")&amp;"'")&amp;", "&amp;IF(TRIM(G7&amp;"")="","NULL","'"&amp;SUBSTITUTE(TRIM(G7),"'","''")&amp;"'")&amp;", "&amp;IF(TRIM(H7&amp;"")="","NULL","'"&amp;SUBSTITUTE(TRIM(H7),"'","''")&amp;"'")&amp;", "&amp;IF(TRIM(I7&amp;"")="","NULL","'"&amp;SUBSTITUTE(TRIM(I7),"'","''")&amp;"'")&amp;", "&amp;IF(TRIM(J7&amp;"")="","NULL","'"&amp;SUBSTITUTE(TRIM(J7),"'","''")&amp;"'")&amp;", "&amp;IF(UPPER(TRIM(K7&amp;""))="SI","TRUE","FALSE")&amp;", 1"&amp;" WHERE NOT EXISTS (SELECT 1 FROM cli_contacto c WHERE c.id_cliente = "&amp;"(SELECT id FROM cli_clientes WHERE numero_documento = '"&amp;SUBSTITUTE(TRIM(A7),"'","''")&amp;"' AND estado = 1 LIMIT 1)"&amp;" AND upper(c.nombre) = upper("&amp;IF(TRIM(C7&amp;"")="","NULL","'"&amp;SUBSTITUTE(TRIM(C7),"'","''")&amp;"'")&amp;") AND coalesce(c.telefono1,'') = coalesce("&amp;IF(TRIM(F7&amp;"")="","NULL","'"&amp;SUBSTITUTE(TRIM(F7),"'","''")&amp;"'")&amp;",''));")</f>
        <v/>
      </c>
    </row>
    <row r="8">
      <c r="A8" s="23" t="n"/>
      <c r="B8" s="25">
        <f t="array" ref="B8">IF(A8="","",IFERROR(IF(INDEX(Clientes!$D$5:$D$549,MATCH(A8,Clientes!$C$5:$C$549,0))&lt;&gt;"",INDEX(Clientes!$D$5:$D$549,MATCH(A8,Clientes!$C$5:$C$549,0)),TRIM(INDEX(Clientes!$E$5:$E$549,MATCH(A8,Clientes!$C$5:$C$549,0))&amp;" "&amp;INDEX(Clientes!$F$5:$F$549,MATCH(A8,Clientes!$C$5:$C$549,0)))),"NO EXISTE en Clientes"))</f>
        <v/>
      </c>
      <c r="C8" s="17" t="n"/>
      <c r="D8" s="17" t="n"/>
      <c r="E8" s="17" t="n"/>
      <c r="F8" s="23" t="n"/>
      <c r="G8" s="23" t="n"/>
      <c r="H8" s="23" t="n"/>
      <c r="I8" s="17" t="n"/>
      <c r="J8" s="17" t="n"/>
      <c r="K8" s="17" t="n"/>
      <c r="L8" s="17">
        <f>IF(AND(A8="",C8=""),"",IF(A8="","FALTA doc. cliente",IF(B8="NO EXISTE en Clientes","CLIENTE no está en hoja Clientes",IF(C8="","FALTA nombre",IF(AND(K8="SI",COUNTIFS($A$5:$A$499,A8,$K$5:$K$499,"SI")&gt;1),"Más de un contacto principal para este cliente","OK")))))</f>
        <v/>
      </c>
      <c r="M8" s="28">
        <f>IF(L8&lt;&gt;"OK","","INSERT INTO cli_contacto (id_cliente, nombre, apellido_paterno, apellido_materno, telefono1, telefono2, telefono3, email, direccion, es_principal, estado) SELECT "&amp;"(SELECT id FROM cli_clientes WHERE numero_documento = '"&amp;SUBSTITUTE(TRIM(A8),"'","''")&amp;"' AND estado = 1 LIMIT 1)"&amp;", "&amp;IF(TRIM(C8&amp;"")="","NULL","'"&amp;SUBSTITUTE(TRIM(C8),"'","''")&amp;"'")&amp;", "&amp;IF(TRIM(D8&amp;"")="","NULL","'"&amp;SUBSTITUTE(TRIM(D8),"'","''")&amp;"'")&amp;", "&amp;IF(TRIM(E8&amp;"")="","NULL","'"&amp;SUBSTITUTE(TRIM(E8),"'","''")&amp;"'")&amp;", "&amp;IF(TRIM(F8&amp;"")="","NULL","'"&amp;SUBSTITUTE(TRIM(F8),"'","''")&amp;"'")&amp;", "&amp;IF(TRIM(G8&amp;"")="","NULL","'"&amp;SUBSTITUTE(TRIM(G8),"'","''")&amp;"'")&amp;", "&amp;IF(TRIM(H8&amp;"")="","NULL","'"&amp;SUBSTITUTE(TRIM(H8),"'","''")&amp;"'")&amp;", "&amp;IF(TRIM(I8&amp;"")="","NULL","'"&amp;SUBSTITUTE(TRIM(I8),"'","''")&amp;"'")&amp;", "&amp;IF(TRIM(J8&amp;"")="","NULL","'"&amp;SUBSTITUTE(TRIM(J8),"'","''")&amp;"'")&amp;", "&amp;IF(UPPER(TRIM(K8&amp;""))="SI","TRUE","FALSE")&amp;", 1"&amp;" WHERE NOT EXISTS (SELECT 1 FROM cli_contacto c WHERE c.id_cliente = "&amp;"(SELECT id FROM cli_clientes WHERE numero_documento = '"&amp;SUBSTITUTE(TRIM(A8),"'","''")&amp;"' AND estado = 1 LIMIT 1)"&amp;" AND upper(c.nombre) = upper("&amp;IF(TRIM(C8&amp;"")="","NULL","'"&amp;SUBSTITUTE(TRIM(C8),"'","''")&amp;"'")&amp;") AND coalesce(c.telefono1,'') = coalesce("&amp;IF(TRIM(F8&amp;"")="","NULL","'"&amp;SUBSTITUTE(TRIM(F8),"'","''")&amp;"'")&amp;",''));")</f>
        <v/>
      </c>
    </row>
    <row r="9">
      <c r="A9" s="23" t="n"/>
      <c r="B9" s="25">
        <f t="array" ref="B9">IF(A9="","",IFERROR(IF(INDEX(Clientes!$D$5:$D$549,MATCH(A9,Clientes!$C$5:$C$549,0))&lt;&gt;"",INDEX(Clientes!$D$5:$D$549,MATCH(A9,Clientes!$C$5:$C$549,0)),TRIM(INDEX(Clientes!$E$5:$E$549,MATCH(A9,Clientes!$C$5:$C$549,0))&amp;" "&amp;INDEX(Clientes!$F$5:$F$549,MATCH(A9,Clientes!$C$5:$C$549,0)))),"NO EXISTE en Clientes"))</f>
        <v/>
      </c>
      <c r="C9" s="17" t="n"/>
      <c r="D9" s="17" t="n"/>
      <c r="E9" s="17" t="n"/>
      <c r="F9" s="23" t="n"/>
      <c r="G9" s="23" t="n"/>
      <c r="H9" s="23" t="n"/>
      <c r="I9" s="17" t="n"/>
      <c r="J9" s="17" t="n"/>
      <c r="K9" s="17" t="n"/>
      <c r="L9" s="17">
        <f>IF(AND(A9="",C9=""),"",IF(A9="","FALTA doc. cliente",IF(B9="NO EXISTE en Clientes","CLIENTE no está en hoja Clientes",IF(C9="","FALTA nombre",IF(AND(K9="SI",COUNTIFS($A$5:$A$499,A9,$K$5:$K$499,"SI")&gt;1),"Más de un contacto principal para este cliente","OK")))))</f>
        <v/>
      </c>
      <c r="M9" s="28">
        <f>IF(L9&lt;&gt;"OK","","INSERT INTO cli_contacto (id_cliente, nombre, apellido_paterno, apellido_materno, telefono1, telefono2, telefono3, email, direccion, es_principal, estado) SELECT "&amp;"(SELECT id FROM cli_clientes WHERE numero_documento = '"&amp;SUBSTITUTE(TRIM(A9),"'","''")&amp;"' AND estado = 1 LIMIT 1)"&amp;", "&amp;IF(TRIM(C9&amp;"")="","NULL","'"&amp;SUBSTITUTE(TRIM(C9),"'","''")&amp;"'")&amp;", "&amp;IF(TRIM(D9&amp;"")="","NULL","'"&amp;SUBSTITUTE(TRIM(D9),"'","''")&amp;"'")&amp;", "&amp;IF(TRIM(E9&amp;"")="","NULL","'"&amp;SUBSTITUTE(TRIM(E9),"'","''")&amp;"'")&amp;", "&amp;IF(TRIM(F9&amp;"")="","NULL","'"&amp;SUBSTITUTE(TRIM(F9),"'","''")&amp;"'")&amp;", "&amp;IF(TRIM(G9&amp;"")="","NULL","'"&amp;SUBSTITUTE(TRIM(G9),"'","''")&amp;"'")&amp;", "&amp;IF(TRIM(H9&amp;"")="","NULL","'"&amp;SUBSTITUTE(TRIM(H9),"'","''")&amp;"'")&amp;", "&amp;IF(TRIM(I9&amp;"")="","NULL","'"&amp;SUBSTITUTE(TRIM(I9),"'","''")&amp;"'")&amp;", "&amp;IF(TRIM(J9&amp;"")="","NULL","'"&amp;SUBSTITUTE(TRIM(J9),"'","''")&amp;"'")&amp;", "&amp;IF(UPPER(TRIM(K9&amp;""))="SI","TRUE","FALSE")&amp;", 1"&amp;" WHERE NOT EXISTS (SELECT 1 FROM cli_contacto c WHERE c.id_cliente = "&amp;"(SELECT id FROM cli_clientes WHERE numero_documento = '"&amp;SUBSTITUTE(TRIM(A9),"'","''")&amp;"' AND estado = 1 LIMIT 1)"&amp;" AND upper(c.nombre) = upper("&amp;IF(TRIM(C9&amp;"")="","NULL","'"&amp;SUBSTITUTE(TRIM(C9),"'","''")&amp;"'")&amp;") AND coalesce(c.telefono1,'') = coalesce("&amp;IF(TRIM(F9&amp;"")="","NULL","'"&amp;SUBSTITUTE(TRIM(F9),"'","''")&amp;"'")&amp;",''));")</f>
        <v/>
      </c>
    </row>
    <row r="10">
      <c r="A10" s="23" t="n"/>
      <c r="B10" s="25">
        <f t="array" ref="B10">IF(A10="","",IFERROR(IF(INDEX(Clientes!$D$5:$D$549,MATCH(A10,Clientes!$C$5:$C$549,0))&lt;&gt;"",INDEX(Clientes!$D$5:$D$549,MATCH(A10,Clientes!$C$5:$C$549,0)),TRIM(INDEX(Clientes!$E$5:$E$549,MATCH(A10,Clientes!$C$5:$C$549,0))&amp;" "&amp;INDEX(Clientes!$F$5:$F$549,MATCH(A10,Clientes!$C$5:$C$549,0)))),"NO EXISTE en Clientes"))</f>
        <v/>
      </c>
      <c r="C10" s="17" t="n"/>
      <c r="D10" s="17" t="n"/>
      <c r="E10" s="17" t="n"/>
      <c r="F10" s="23" t="n"/>
      <c r="G10" s="23" t="n"/>
      <c r="H10" s="23" t="n"/>
      <c r="I10" s="17" t="n"/>
      <c r="J10" s="17" t="n"/>
      <c r="K10" s="17" t="n"/>
      <c r="L10" s="17">
        <f>IF(AND(A10="",C10=""),"",IF(A10="","FALTA doc. cliente",IF(B10="NO EXISTE en Clientes","CLIENTE no está en hoja Clientes",IF(C10="","FALTA nombre",IF(AND(K10="SI",COUNTIFS($A$5:$A$499,A10,$K$5:$K$499,"SI")&gt;1),"Más de un contacto principal para este cliente","OK")))))</f>
        <v/>
      </c>
      <c r="M10" s="28">
        <f>IF(L10&lt;&gt;"OK","","INSERT INTO cli_contacto (id_cliente, nombre, apellido_paterno, apellido_materno, telefono1, telefono2, telefono3, email, direccion, es_principal, estado) SELECT "&amp;"(SELECT id FROM cli_clientes WHERE numero_documento = '"&amp;SUBSTITUTE(TRIM(A10),"'","''")&amp;"' AND estado = 1 LIMIT 1)"&amp;", "&amp;IF(TRIM(C10&amp;"")="","NULL","'"&amp;SUBSTITUTE(TRIM(C10),"'","''")&amp;"'")&amp;", "&amp;IF(TRIM(D10&amp;"")="","NULL","'"&amp;SUBSTITUTE(TRIM(D10),"'","''")&amp;"'")&amp;", "&amp;IF(TRIM(E10&amp;"")="","NULL","'"&amp;SUBSTITUTE(TRIM(E10),"'","''")&amp;"'")&amp;", "&amp;IF(TRIM(F10&amp;"")="","NULL","'"&amp;SUBSTITUTE(TRIM(F10),"'","''")&amp;"'")&amp;", "&amp;IF(TRIM(G10&amp;"")="","NULL","'"&amp;SUBSTITUTE(TRIM(G10),"'","''")&amp;"'")&amp;", "&amp;IF(TRIM(H10&amp;"")="","NULL","'"&amp;SUBSTITUTE(TRIM(H10),"'","''")&amp;"'")&amp;", "&amp;IF(TRIM(I10&amp;"")="","NULL","'"&amp;SUBSTITUTE(TRIM(I10),"'","''")&amp;"'")&amp;", "&amp;IF(TRIM(J10&amp;"")="","NULL","'"&amp;SUBSTITUTE(TRIM(J10),"'","''")&amp;"'")&amp;", "&amp;IF(UPPER(TRIM(K10&amp;""))="SI","TRUE","FALSE")&amp;", 1"&amp;" WHERE NOT EXISTS (SELECT 1 FROM cli_contacto c WHERE c.id_cliente = "&amp;"(SELECT id FROM cli_clientes WHERE numero_documento = '"&amp;SUBSTITUTE(TRIM(A10),"'","''")&amp;"' AND estado = 1 LIMIT 1)"&amp;" AND upper(c.nombre) = upper("&amp;IF(TRIM(C10&amp;"")="","NULL","'"&amp;SUBSTITUTE(TRIM(C10),"'","''")&amp;"'")&amp;") AND coalesce(c.telefono1,'') = coalesce("&amp;IF(TRIM(F10&amp;"")="","NULL","'"&amp;SUBSTITUTE(TRIM(F10),"'","''")&amp;"'")&amp;",''));")</f>
        <v/>
      </c>
    </row>
    <row r="11">
      <c r="A11" s="23" t="n"/>
      <c r="B11" s="25">
        <f t="array" ref="B11">IF(A11="","",IFERROR(IF(INDEX(Clientes!$D$5:$D$549,MATCH(A11,Clientes!$C$5:$C$549,0))&lt;&gt;"",INDEX(Clientes!$D$5:$D$549,MATCH(A11,Clientes!$C$5:$C$549,0)),TRIM(INDEX(Clientes!$E$5:$E$549,MATCH(A11,Clientes!$C$5:$C$549,0))&amp;" "&amp;INDEX(Clientes!$F$5:$F$549,MATCH(A11,Clientes!$C$5:$C$549,0)))),"NO EXISTE en Clientes"))</f>
        <v/>
      </c>
      <c r="C11" s="17" t="n"/>
      <c r="D11" s="17" t="n"/>
      <c r="E11" s="17" t="n"/>
      <c r="F11" s="23" t="n"/>
      <c r="G11" s="23" t="n"/>
      <c r="H11" s="23" t="n"/>
      <c r="I11" s="17" t="n"/>
      <c r="J11" s="17" t="n"/>
      <c r="K11" s="17" t="n"/>
      <c r="L11" s="17">
        <f>IF(AND(A11="",C11=""),"",IF(A11="","FALTA doc. cliente",IF(B11="NO EXISTE en Clientes","CLIENTE no está en hoja Clientes",IF(C11="","FALTA nombre",IF(AND(K11="SI",COUNTIFS($A$5:$A$499,A11,$K$5:$K$499,"SI")&gt;1),"Más de un contacto principal para este cliente","OK")))))</f>
        <v/>
      </c>
      <c r="M11" s="28">
        <f>IF(L11&lt;&gt;"OK","","INSERT INTO cli_contacto (id_cliente, nombre, apellido_paterno, apellido_materno, telefono1, telefono2, telefono3, email, direccion, es_principal, estado) SELECT "&amp;"(SELECT id FROM cli_clientes WHERE numero_documento = '"&amp;SUBSTITUTE(TRIM(A11),"'","''")&amp;"' AND estado = 1 LIMIT 1)"&amp;", "&amp;IF(TRIM(C11&amp;"")="","NULL","'"&amp;SUBSTITUTE(TRIM(C11),"'","''")&amp;"'")&amp;", "&amp;IF(TRIM(D11&amp;"")="","NULL","'"&amp;SUBSTITUTE(TRIM(D11),"'","''")&amp;"'")&amp;", "&amp;IF(TRIM(E11&amp;"")="","NULL","'"&amp;SUBSTITUTE(TRIM(E11),"'","''")&amp;"'")&amp;", "&amp;IF(TRIM(F11&amp;"")="","NULL","'"&amp;SUBSTITUTE(TRIM(F11),"'","''")&amp;"'")&amp;", "&amp;IF(TRIM(G11&amp;"")="","NULL","'"&amp;SUBSTITUTE(TRIM(G11),"'","''")&amp;"'")&amp;", "&amp;IF(TRIM(H11&amp;"")="","NULL","'"&amp;SUBSTITUTE(TRIM(H11),"'","''")&amp;"'")&amp;", "&amp;IF(TRIM(I11&amp;"")="","NULL","'"&amp;SUBSTITUTE(TRIM(I11),"'","''")&amp;"'")&amp;", "&amp;IF(TRIM(J11&amp;"")="","NULL","'"&amp;SUBSTITUTE(TRIM(J11),"'","''")&amp;"'")&amp;", "&amp;IF(UPPER(TRIM(K11&amp;""))="SI","TRUE","FALSE")&amp;", 1"&amp;" WHERE NOT EXISTS (SELECT 1 FROM cli_contacto c WHERE c.id_cliente = "&amp;"(SELECT id FROM cli_clientes WHERE numero_documento = '"&amp;SUBSTITUTE(TRIM(A11),"'","''")&amp;"' AND estado = 1 LIMIT 1)"&amp;" AND upper(c.nombre) = upper("&amp;IF(TRIM(C11&amp;"")="","NULL","'"&amp;SUBSTITUTE(TRIM(C11),"'","''")&amp;"'")&amp;") AND coalesce(c.telefono1,'') = coalesce("&amp;IF(TRIM(F11&amp;"")="","NULL","'"&amp;SUBSTITUTE(TRIM(F11),"'","''")&amp;"'")&amp;",''));")</f>
        <v/>
      </c>
    </row>
    <row r="12">
      <c r="A12" s="23" t="n"/>
      <c r="B12" s="25">
        <f t="array" ref="B12">IF(A12="","",IFERROR(IF(INDEX(Clientes!$D$5:$D$549,MATCH(A12,Clientes!$C$5:$C$549,0))&lt;&gt;"",INDEX(Clientes!$D$5:$D$549,MATCH(A12,Clientes!$C$5:$C$549,0)),TRIM(INDEX(Clientes!$E$5:$E$549,MATCH(A12,Clientes!$C$5:$C$549,0))&amp;" "&amp;INDEX(Clientes!$F$5:$F$549,MATCH(A12,Clientes!$C$5:$C$549,0)))),"NO EXISTE en Clientes"))</f>
        <v/>
      </c>
      <c r="C12" s="17" t="n"/>
      <c r="D12" s="17" t="n"/>
      <c r="E12" s="17" t="n"/>
      <c r="F12" s="23" t="n"/>
      <c r="G12" s="23" t="n"/>
      <c r="H12" s="23" t="n"/>
      <c r="I12" s="17" t="n"/>
      <c r="J12" s="17" t="n"/>
      <c r="K12" s="17" t="n"/>
      <c r="L12" s="17">
        <f>IF(AND(A12="",C12=""),"",IF(A12="","FALTA doc. cliente",IF(B12="NO EXISTE en Clientes","CLIENTE no está en hoja Clientes",IF(C12="","FALTA nombre",IF(AND(K12="SI",COUNTIFS($A$5:$A$499,A12,$K$5:$K$499,"SI")&gt;1),"Más de un contacto principal para este cliente","OK")))))</f>
        <v/>
      </c>
      <c r="M12" s="28">
        <f>IF(L12&lt;&gt;"OK","","INSERT INTO cli_contacto (id_cliente, nombre, apellido_paterno, apellido_materno, telefono1, telefono2, telefono3, email, direccion, es_principal, estado) SELECT "&amp;"(SELECT id FROM cli_clientes WHERE numero_documento = '"&amp;SUBSTITUTE(TRIM(A12),"'","''")&amp;"' AND estado = 1 LIMIT 1)"&amp;", "&amp;IF(TRIM(C12&amp;"")="","NULL","'"&amp;SUBSTITUTE(TRIM(C12),"'","''")&amp;"'")&amp;", "&amp;IF(TRIM(D12&amp;"")="","NULL","'"&amp;SUBSTITUTE(TRIM(D12),"'","''")&amp;"'")&amp;", "&amp;IF(TRIM(E12&amp;"")="","NULL","'"&amp;SUBSTITUTE(TRIM(E12),"'","''")&amp;"'")&amp;", "&amp;IF(TRIM(F12&amp;"")="","NULL","'"&amp;SUBSTITUTE(TRIM(F12),"'","''")&amp;"'")&amp;", "&amp;IF(TRIM(G12&amp;"")="","NULL","'"&amp;SUBSTITUTE(TRIM(G12),"'","''")&amp;"'")&amp;", "&amp;IF(TRIM(H12&amp;"")="","NULL","'"&amp;SUBSTITUTE(TRIM(H12),"'","''")&amp;"'")&amp;", "&amp;IF(TRIM(I12&amp;"")="","NULL","'"&amp;SUBSTITUTE(TRIM(I12),"'","''")&amp;"'")&amp;", "&amp;IF(TRIM(J12&amp;"")="","NULL","'"&amp;SUBSTITUTE(TRIM(J12),"'","''")&amp;"'")&amp;", "&amp;IF(UPPER(TRIM(K12&amp;""))="SI","TRUE","FALSE")&amp;", 1"&amp;" WHERE NOT EXISTS (SELECT 1 FROM cli_contacto c WHERE c.id_cliente = "&amp;"(SELECT id FROM cli_clientes WHERE numero_documento = '"&amp;SUBSTITUTE(TRIM(A12),"'","''")&amp;"' AND estado = 1 LIMIT 1)"&amp;" AND upper(c.nombre) = upper("&amp;IF(TRIM(C12&amp;"")="","NULL","'"&amp;SUBSTITUTE(TRIM(C12),"'","''")&amp;"'")&amp;") AND coalesce(c.telefono1,'') = coalesce("&amp;IF(TRIM(F12&amp;"")="","NULL","'"&amp;SUBSTITUTE(TRIM(F12),"'","''")&amp;"'")&amp;",''));")</f>
        <v/>
      </c>
    </row>
    <row r="13">
      <c r="A13" s="23" t="n"/>
      <c r="B13" s="25">
        <f t="array" ref="B13">IF(A13="","",IFERROR(IF(INDEX(Clientes!$D$5:$D$549,MATCH(A13,Clientes!$C$5:$C$549,0))&lt;&gt;"",INDEX(Clientes!$D$5:$D$549,MATCH(A13,Clientes!$C$5:$C$549,0)),TRIM(INDEX(Clientes!$E$5:$E$549,MATCH(A13,Clientes!$C$5:$C$549,0))&amp;" "&amp;INDEX(Clientes!$F$5:$F$549,MATCH(A13,Clientes!$C$5:$C$549,0)))),"NO EXISTE en Clientes"))</f>
        <v/>
      </c>
      <c r="C13" s="17" t="n"/>
      <c r="D13" s="17" t="n"/>
      <c r="E13" s="17" t="n"/>
      <c r="F13" s="23" t="n"/>
      <c r="G13" s="23" t="n"/>
      <c r="H13" s="23" t="n"/>
      <c r="I13" s="17" t="n"/>
      <c r="J13" s="17" t="n"/>
      <c r="K13" s="17" t="n"/>
      <c r="L13" s="17">
        <f>IF(AND(A13="",C13=""),"",IF(A13="","FALTA doc. cliente",IF(B13="NO EXISTE en Clientes","CLIENTE no está en hoja Clientes",IF(C13="","FALTA nombre",IF(AND(K13="SI",COUNTIFS($A$5:$A$499,A13,$K$5:$K$499,"SI")&gt;1),"Más de un contacto principal para este cliente","OK")))))</f>
        <v/>
      </c>
      <c r="M13" s="28">
        <f>IF(L13&lt;&gt;"OK","","INSERT INTO cli_contacto (id_cliente, nombre, apellido_paterno, apellido_materno, telefono1, telefono2, telefono3, email, direccion, es_principal, estado) SELECT "&amp;"(SELECT id FROM cli_clientes WHERE numero_documento = '"&amp;SUBSTITUTE(TRIM(A13),"'","''")&amp;"' AND estado = 1 LIMIT 1)"&amp;", "&amp;IF(TRIM(C13&amp;"")="","NULL","'"&amp;SUBSTITUTE(TRIM(C13),"'","''")&amp;"'")&amp;", "&amp;IF(TRIM(D13&amp;"")="","NULL","'"&amp;SUBSTITUTE(TRIM(D13),"'","''")&amp;"'")&amp;", "&amp;IF(TRIM(E13&amp;"")="","NULL","'"&amp;SUBSTITUTE(TRIM(E13),"'","''")&amp;"'")&amp;", "&amp;IF(TRIM(F13&amp;"")="","NULL","'"&amp;SUBSTITUTE(TRIM(F13),"'","''")&amp;"'")&amp;", "&amp;IF(TRIM(G13&amp;"")="","NULL","'"&amp;SUBSTITUTE(TRIM(G13),"'","''")&amp;"'")&amp;", "&amp;IF(TRIM(H13&amp;"")="","NULL","'"&amp;SUBSTITUTE(TRIM(H13),"'","''")&amp;"'")&amp;", "&amp;IF(TRIM(I13&amp;"")="","NULL","'"&amp;SUBSTITUTE(TRIM(I13),"'","''")&amp;"'")&amp;", "&amp;IF(TRIM(J13&amp;"")="","NULL","'"&amp;SUBSTITUTE(TRIM(J13),"'","''")&amp;"'")&amp;", "&amp;IF(UPPER(TRIM(K13&amp;""))="SI","TRUE","FALSE")&amp;", 1"&amp;" WHERE NOT EXISTS (SELECT 1 FROM cli_contacto c WHERE c.id_cliente = "&amp;"(SELECT id FROM cli_clientes WHERE numero_documento = '"&amp;SUBSTITUTE(TRIM(A13),"'","''")&amp;"' AND estado = 1 LIMIT 1)"&amp;" AND upper(c.nombre) = upper("&amp;IF(TRIM(C13&amp;"")="","NULL","'"&amp;SUBSTITUTE(TRIM(C13),"'","''")&amp;"'")&amp;") AND coalesce(c.telefono1,'') = coalesce("&amp;IF(TRIM(F13&amp;"")="","NULL","'"&amp;SUBSTITUTE(TRIM(F13),"'","''")&amp;"'")&amp;",''));")</f>
        <v/>
      </c>
    </row>
    <row r="14">
      <c r="A14" s="23" t="n"/>
      <c r="B14" s="25">
        <f t="array" ref="B14">IF(A14="","",IFERROR(IF(INDEX(Clientes!$D$5:$D$549,MATCH(A14,Clientes!$C$5:$C$549,0))&lt;&gt;"",INDEX(Clientes!$D$5:$D$549,MATCH(A14,Clientes!$C$5:$C$549,0)),TRIM(INDEX(Clientes!$E$5:$E$549,MATCH(A14,Clientes!$C$5:$C$549,0))&amp;" "&amp;INDEX(Clientes!$F$5:$F$549,MATCH(A14,Clientes!$C$5:$C$549,0)))),"NO EXISTE en Clientes"))</f>
        <v/>
      </c>
      <c r="C14" s="17" t="n"/>
      <c r="D14" s="17" t="n"/>
      <c r="E14" s="17" t="n"/>
      <c r="F14" s="23" t="n"/>
      <c r="G14" s="23" t="n"/>
      <c r="H14" s="23" t="n"/>
      <c r="I14" s="17" t="n"/>
      <c r="J14" s="17" t="n"/>
      <c r="K14" s="17" t="n"/>
      <c r="L14" s="17">
        <f>IF(AND(A14="",C14=""),"",IF(A14="","FALTA doc. cliente",IF(B14="NO EXISTE en Clientes","CLIENTE no está en hoja Clientes",IF(C14="","FALTA nombre",IF(AND(K14="SI",COUNTIFS($A$5:$A$499,A14,$K$5:$K$499,"SI")&gt;1),"Más de un contacto principal para este cliente","OK")))))</f>
        <v/>
      </c>
      <c r="M14" s="28">
        <f>IF(L14&lt;&gt;"OK","","INSERT INTO cli_contacto (id_cliente, nombre, apellido_paterno, apellido_materno, telefono1, telefono2, telefono3, email, direccion, es_principal, estado) SELECT "&amp;"(SELECT id FROM cli_clientes WHERE numero_documento = '"&amp;SUBSTITUTE(TRIM(A14),"'","''")&amp;"' AND estado = 1 LIMIT 1)"&amp;", "&amp;IF(TRIM(C14&amp;"")="","NULL","'"&amp;SUBSTITUTE(TRIM(C14),"'","''")&amp;"'")&amp;", "&amp;IF(TRIM(D14&amp;"")="","NULL","'"&amp;SUBSTITUTE(TRIM(D14),"'","''")&amp;"'")&amp;", "&amp;IF(TRIM(E14&amp;"")="","NULL","'"&amp;SUBSTITUTE(TRIM(E14),"'","''")&amp;"'")&amp;", "&amp;IF(TRIM(F14&amp;"")="","NULL","'"&amp;SUBSTITUTE(TRIM(F14),"'","''")&amp;"'")&amp;", "&amp;IF(TRIM(G14&amp;"")="","NULL","'"&amp;SUBSTITUTE(TRIM(G14),"'","''")&amp;"'")&amp;", "&amp;IF(TRIM(H14&amp;"")="","NULL","'"&amp;SUBSTITUTE(TRIM(H14),"'","''")&amp;"'")&amp;", "&amp;IF(TRIM(I14&amp;"")="","NULL","'"&amp;SUBSTITUTE(TRIM(I14),"'","''")&amp;"'")&amp;", "&amp;IF(TRIM(J14&amp;"")="","NULL","'"&amp;SUBSTITUTE(TRIM(J14),"'","''")&amp;"'")&amp;", "&amp;IF(UPPER(TRIM(K14&amp;""))="SI","TRUE","FALSE")&amp;", 1"&amp;" WHERE NOT EXISTS (SELECT 1 FROM cli_contacto c WHERE c.id_cliente = "&amp;"(SELECT id FROM cli_clientes WHERE numero_documento = '"&amp;SUBSTITUTE(TRIM(A14),"'","''")&amp;"' AND estado = 1 LIMIT 1)"&amp;" AND upper(c.nombre) = upper("&amp;IF(TRIM(C14&amp;"")="","NULL","'"&amp;SUBSTITUTE(TRIM(C14),"'","''")&amp;"'")&amp;") AND coalesce(c.telefono1,'') = coalesce("&amp;IF(TRIM(F14&amp;"")="","NULL","'"&amp;SUBSTITUTE(TRIM(F14),"'","''")&amp;"'")&amp;",''));")</f>
        <v/>
      </c>
    </row>
    <row r="15">
      <c r="A15" s="23" t="n"/>
      <c r="B15" s="25">
        <f t="array" ref="B15">IF(A15="","",IFERROR(IF(INDEX(Clientes!$D$5:$D$549,MATCH(A15,Clientes!$C$5:$C$549,0))&lt;&gt;"",INDEX(Clientes!$D$5:$D$549,MATCH(A15,Clientes!$C$5:$C$549,0)),TRIM(INDEX(Clientes!$E$5:$E$549,MATCH(A15,Clientes!$C$5:$C$549,0))&amp;" "&amp;INDEX(Clientes!$F$5:$F$549,MATCH(A15,Clientes!$C$5:$C$549,0)))),"NO EXISTE en Clientes"))</f>
        <v/>
      </c>
      <c r="C15" s="17" t="n"/>
      <c r="D15" s="17" t="n"/>
      <c r="E15" s="17" t="n"/>
      <c r="F15" s="23" t="n"/>
      <c r="G15" s="23" t="n"/>
      <c r="H15" s="23" t="n"/>
      <c r="I15" s="17" t="n"/>
      <c r="J15" s="17" t="n"/>
      <c r="K15" s="17" t="n"/>
      <c r="L15" s="17">
        <f>IF(AND(A15="",C15=""),"",IF(A15="","FALTA doc. cliente",IF(B15="NO EXISTE en Clientes","CLIENTE no está en hoja Clientes",IF(C15="","FALTA nombre",IF(AND(K15="SI",COUNTIFS($A$5:$A$499,A15,$K$5:$K$499,"SI")&gt;1),"Más de un contacto principal para este cliente","OK")))))</f>
        <v/>
      </c>
      <c r="M15" s="28">
        <f>IF(L15&lt;&gt;"OK","","INSERT INTO cli_contacto (id_cliente, nombre, apellido_paterno, apellido_materno, telefono1, telefono2, telefono3, email, direccion, es_principal, estado) SELECT "&amp;"(SELECT id FROM cli_clientes WHERE numero_documento = '"&amp;SUBSTITUTE(TRIM(A15),"'","''")&amp;"' AND estado = 1 LIMIT 1)"&amp;", "&amp;IF(TRIM(C15&amp;"")="","NULL","'"&amp;SUBSTITUTE(TRIM(C15),"'","''")&amp;"'")&amp;", "&amp;IF(TRIM(D15&amp;"")="","NULL","'"&amp;SUBSTITUTE(TRIM(D15),"'","''")&amp;"'")&amp;", "&amp;IF(TRIM(E15&amp;"")="","NULL","'"&amp;SUBSTITUTE(TRIM(E15),"'","''")&amp;"'")&amp;", "&amp;IF(TRIM(F15&amp;"")="","NULL","'"&amp;SUBSTITUTE(TRIM(F15),"'","''")&amp;"'")&amp;", "&amp;IF(TRIM(G15&amp;"")="","NULL","'"&amp;SUBSTITUTE(TRIM(G15),"'","''")&amp;"'")&amp;", "&amp;IF(TRIM(H15&amp;"")="","NULL","'"&amp;SUBSTITUTE(TRIM(H15),"'","''")&amp;"'")&amp;", "&amp;IF(TRIM(I15&amp;"")="","NULL","'"&amp;SUBSTITUTE(TRIM(I15),"'","''")&amp;"'")&amp;", "&amp;IF(TRIM(J15&amp;"")="","NULL","'"&amp;SUBSTITUTE(TRIM(J15),"'","''")&amp;"'")&amp;", "&amp;IF(UPPER(TRIM(K15&amp;""))="SI","TRUE","FALSE")&amp;", 1"&amp;" WHERE NOT EXISTS (SELECT 1 FROM cli_contacto c WHERE c.id_cliente = "&amp;"(SELECT id FROM cli_clientes WHERE numero_documento = '"&amp;SUBSTITUTE(TRIM(A15),"'","''")&amp;"' AND estado = 1 LIMIT 1)"&amp;" AND upper(c.nombre) = upper("&amp;IF(TRIM(C15&amp;"")="","NULL","'"&amp;SUBSTITUTE(TRIM(C15),"'","''")&amp;"'")&amp;") AND coalesce(c.telefono1,'') = coalesce("&amp;IF(TRIM(F15&amp;"")="","NULL","'"&amp;SUBSTITUTE(TRIM(F15),"'","''")&amp;"'")&amp;",''));")</f>
        <v/>
      </c>
    </row>
    <row r="16">
      <c r="A16" s="23" t="n"/>
      <c r="B16" s="25">
        <f t="array" ref="B16">IF(A16="","",IFERROR(IF(INDEX(Clientes!$D$5:$D$549,MATCH(A16,Clientes!$C$5:$C$549,0))&lt;&gt;"",INDEX(Clientes!$D$5:$D$549,MATCH(A16,Clientes!$C$5:$C$549,0)),TRIM(INDEX(Clientes!$E$5:$E$549,MATCH(A16,Clientes!$C$5:$C$549,0))&amp;" "&amp;INDEX(Clientes!$F$5:$F$549,MATCH(A16,Clientes!$C$5:$C$549,0)))),"NO EXISTE en Clientes"))</f>
        <v/>
      </c>
      <c r="C16" s="17" t="n"/>
      <c r="D16" s="17" t="n"/>
      <c r="E16" s="17" t="n"/>
      <c r="F16" s="23" t="n"/>
      <c r="G16" s="23" t="n"/>
      <c r="H16" s="23" t="n"/>
      <c r="I16" s="17" t="n"/>
      <c r="J16" s="17" t="n"/>
      <c r="K16" s="17" t="n"/>
      <c r="L16" s="17">
        <f>IF(AND(A16="",C16=""),"",IF(A16="","FALTA doc. cliente",IF(B16="NO EXISTE en Clientes","CLIENTE no está en hoja Clientes",IF(C16="","FALTA nombre",IF(AND(K16="SI",COUNTIFS($A$5:$A$499,A16,$K$5:$K$499,"SI")&gt;1),"Más de un contacto principal para este cliente","OK")))))</f>
        <v/>
      </c>
      <c r="M16" s="28">
        <f>IF(L16&lt;&gt;"OK","","INSERT INTO cli_contacto (id_cliente, nombre, apellido_paterno, apellido_materno, telefono1, telefono2, telefono3, email, direccion, es_principal, estado) SELECT "&amp;"(SELECT id FROM cli_clientes WHERE numero_documento = '"&amp;SUBSTITUTE(TRIM(A16),"'","''")&amp;"' AND estado = 1 LIMIT 1)"&amp;", "&amp;IF(TRIM(C16&amp;"")="","NULL","'"&amp;SUBSTITUTE(TRIM(C16),"'","''")&amp;"'")&amp;", "&amp;IF(TRIM(D16&amp;"")="","NULL","'"&amp;SUBSTITUTE(TRIM(D16),"'","''")&amp;"'")&amp;", "&amp;IF(TRIM(E16&amp;"")="","NULL","'"&amp;SUBSTITUTE(TRIM(E16),"'","''")&amp;"'")&amp;", "&amp;IF(TRIM(F16&amp;"")="","NULL","'"&amp;SUBSTITUTE(TRIM(F16),"'","''")&amp;"'")&amp;", "&amp;IF(TRIM(G16&amp;"")="","NULL","'"&amp;SUBSTITUTE(TRIM(G16),"'","''")&amp;"'")&amp;", "&amp;IF(TRIM(H16&amp;"")="","NULL","'"&amp;SUBSTITUTE(TRIM(H16),"'","''")&amp;"'")&amp;", "&amp;IF(TRIM(I16&amp;"")="","NULL","'"&amp;SUBSTITUTE(TRIM(I16),"'","''")&amp;"'")&amp;", "&amp;IF(TRIM(J16&amp;"")="","NULL","'"&amp;SUBSTITUTE(TRIM(J16),"'","''")&amp;"'")&amp;", "&amp;IF(UPPER(TRIM(K16&amp;""))="SI","TRUE","FALSE")&amp;", 1"&amp;" WHERE NOT EXISTS (SELECT 1 FROM cli_contacto c WHERE c.id_cliente = "&amp;"(SELECT id FROM cli_clientes WHERE numero_documento = '"&amp;SUBSTITUTE(TRIM(A16),"'","''")&amp;"' AND estado = 1 LIMIT 1)"&amp;" AND upper(c.nombre) = upper("&amp;IF(TRIM(C16&amp;"")="","NULL","'"&amp;SUBSTITUTE(TRIM(C16),"'","''")&amp;"'")&amp;") AND coalesce(c.telefono1,'') = coalesce("&amp;IF(TRIM(F16&amp;"")="","NULL","'"&amp;SUBSTITUTE(TRIM(F16),"'","''")&amp;"'")&amp;",''));")</f>
        <v/>
      </c>
    </row>
    <row r="17">
      <c r="A17" s="23" t="n"/>
      <c r="B17" s="25">
        <f t="array" ref="B17">IF(A17="","",IFERROR(IF(INDEX(Clientes!$D$5:$D$549,MATCH(A17,Clientes!$C$5:$C$549,0))&lt;&gt;"",INDEX(Clientes!$D$5:$D$549,MATCH(A17,Clientes!$C$5:$C$549,0)),TRIM(INDEX(Clientes!$E$5:$E$549,MATCH(A17,Clientes!$C$5:$C$549,0))&amp;" "&amp;INDEX(Clientes!$F$5:$F$549,MATCH(A17,Clientes!$C$5:$C$549,0)))),"NO EXISTE en Clientes"))</f>
        <v/>
      </c>
      <c r="C17" s="17" t="n"/>
      <c r="D17" s="17" t="n"/>
      <c r="E17" s="17" t="n"/>
      <c r="F17" s="23" t="n"/>
      <c r="G17" s="23" t="n"/>
      <c r="H17" s="23" t="n"/>
      <c r="I17" s="17" t="n"/>
      <c r="J17" s="17" t="n"/>
      <c r="K17" s="17" t="n"/>
      <c r="L17" s="17">
        <f>IF(AND(A17="",C17=""),"",IF(A17="","FALTA doc. cliente",IF(B17="NO EXISTE en Clientes","CLIENTE no está en hoja Clientes",IF(C17="","FALTA nombre",IF(AND(K17="SI",COUNTIFS($A$5:$A$499,A17,$K$5:$K$499,"SI")&gt;1),"Más de un contacto principal para este cliente","OK")))))</f>
        <v/>
      </c>
      <c r="M17" s="28">
        <f>IF(L17&lt;&gt;"OK","","INSERT INTO cli_contacto (id_cliente, nombre, apellido_paterno, apellido_materno, telefono1, telefono2, telefono3, email, direccion, es_principal, estado) SELECT "&amp;"(SELECT id FROM cli_clientes WHERE numero_documento = '"&amp;SUBSTITUTE(TRIM(A17),"'","''")&amp;"' AND estado = 1 LIMIT 1)"&amp;", "&amp;IF(TRIM(C17&amp;"")="","NULL","'"&amp;SUBSTITUTE(TRIM(C17),"'","''")&amp;"'")&amp;", "&amp;IF(TRIM(D17&amp;"")="","NULL","'"&amp;SUBSTITUTE(TRIM(D17),"'","''")&amp;"'")&amp;", "&amp;IF(TRIM(E17&amp;"")="","NULL","'"&amp;SUBSTITUTE(TRIM(E17),"'","''")&amp;"'")&amp;", "&amp;IF(TRIM(F17&amp;"")="","NULL","'"&amp;SUBSTITUTE(TRIM(F17),"'","''")&amp;"'")&amp;", "&amp;IF(TRIM(G17&amp;"")="","NULL","'"&amp;SUBSTITUTE(TRIM(G17),"'","''")&amp;"'")&amp;", "&amp;IF(TRIM(H17&amp;"")="","NULL","'"&amp;SUBSTITUTE(TRIM(H17),"'","''")&amp;"'")&amp;", "&amp;IF(TRIM(I17&amp;"")="","NULL","'"&amp;SUBSTITUTE(TRIM(I17),"'","''")&amp;"'")&amp;", "&amp;IF(TRIM(J17&amp;"")="","NULL","'"&amp;SUBSTITUTE(TRIM(J17),"'","''")&amp;"'")&amp;", "&amp;IF(UPPER(TRIM(K17&amp;""))="SI","TRUE","FALSE")&amp;", 1"&amp;" WHERE NOT EXISTS (SELECT 1 FROM cli_contacto c WHERE c.id_cliente = "&amp;"(SELECT id FROM cli_clientes WHERE numero_documento = '"&amp;SUBSTITUTE(TRIM(A17),"'","''")&amp;"' AND estado = 1 LIMIT 1)"&amp;" AND upper(c.nombre) = upper("&amp;IF(TRIM(C17&amp;"")="","NULL","'"&amp;SUBSTITUTE(TRIM(C17),"'","''")&amp;"'")&amp;") AND coalesce(c.telefono1,'') = coalesce("&amp;IF(TRIM(F17&amp;"")="","NULL","'"&amp;SUBSTITUTE(TRIM(F17),"'","''")&amp;"'")&amp;",''));")</f>
        <v/>
      </c>
    </row>
    <row r="18">
      <c r="A18" s="23" t="n"/>
      <c r="B18" s="25">
        <f t="array" ref="B18">IF(A18="","",IFERROR(IF(INDEX(Clientes!$D$5:$D$549,MATCH(A18,Clientes!$C$5:$C$549,0))&lt;&gt;"",INDEX(Clientes!$D$5:$D$549,MATCH(A18,Clientes!$C$5:$C$549,0)),TRIM(INDEX(Clientes!$E$5:$E$549,MATCH(A18,Clientes!$C$5:$C$549,0))&amp;" "&amp;INDEX(Clientes!$F$5:$F$549,MATCH(A18,Clientes!$C$5:$C$549,0)))),"NO EXISTE en Clientes"))</f>
        <v/>
      </c>
      <c r="C18" s="17" t="n"/>
      <c r="D18" s="17" t="n"/>
      <c r="E18" s="17" t="n"/>
      <c r="F18" s="23" t="n"/>
      <c r="G18" s="23" t="n"/>
      <c r="H18" s="23" t="n"/>
      <c r="I18" s="17" t="n"/>
      <c r="J18" s="17" t="n"/>
      <c r="K18" s="17" t="n"/>
      <c r="L18" s="17">
        <f>IF(AND(A18="",C18=""),"",IF(A18="","FALTA doc. cliente",IF(B18="NO EXISTE en Clientes","CLIENTE no está en hoja Clientes",IF(C18="","FALTA nombre",IF(AND(K18="SI",COUNTIFS($A$5:$A$499,A18,$K$5:$K$499,"SI")&gt;1),"Más de un contacto principal para este cliente","OK")))))</f>
        <v/>
      </c>
      <c r="M18" s="28">
        <f>IF(L18&lt;&gt;"OK","","INSERT INTO cli_contacto (id_cliente, nombre, apellido_paterno, apellido_materno, telefono1, telefono2, telefono3, email, direccion, es_principal, estado) SELECT "&amp;"(SELECT id FROM cli_clientes WHERE numero_documento = '"&amp;SUBSTITUTE(TRIM(A18),"'","''")&amp;"' AND estado = 1 LIMIT 1)"&amp;", "&amp;IF(TRIM(C18&amp;"")="","NULL","'"&amp;SUBSTITUTE(TRIM(C18),"'","''")&amp;"'")&amp;", "&amp;IF(TRIM(D18&amp;"")="","NULL","'"&amp;SUBSTITUTE(TRIM(D18),"'","''")&amp;"'")&amp;", "&amp;IF(TRIM(E18&amp;"")="","NULL","'"&amp;SUBSTITUTE(TRIM(E18),"'","''")&amp;"'")&amp;", "&amp;IF(TRIM(F18&amp;"")="","NULL","'"&amp;SUBSTITUTE(TRIM(F18),"'","''")&amp;"'")&amp;", "&amp;IF(TRIM(G18&amp;"")="","NULL","'"&amp;SUBSTITUTE(TRIM(G18),"'","''")&amp;"'")&amp;", "&amp;IF(TRIM(H18&amp;"")="","NULL","'"&amp;SUBSTITUTE(TRIM(H18),"'","''")&amp;"'")&amp;", "&amp;IF(TRIM(I18&amp;"")="","NULL","'"&amp;SUBSTITUTE(TRIM(I18),"'","''")&amp;"'")&amp;", "&amp;IF(TRIM(J18&amp;"")="","NULL","'"&amp;SUBSTITUTE(TRIM(J18),"'","''")&amp;"'")&amp;", "&amp;IF(UPPER(TRIM(K18&amp;""))="SI","TRUE","FALSE")&amp;", 1"&amp;" WHERE NOT EXISTS (SELECT 1 FROM cli_contacto c WHERE c.id_cliente = "&amp;"(SELECT id FROM cli_clientes WHERE numero_documento = '"&amp;SUBSTITUTE(TRIM(A18),"'","''")&amp;"' AND estado = 1 LIMIT 1)"&amp;" AND upper(c.nombre) = upper("&amp;IF(TRIM(C18&amp;"")="","NULL","'"&amp;SUBSTITUTE(TRIM(C18),"'","''")&amp;"'")&amp;") AND coalesce(c.telefono1,'') = coalesce("&amp;IF(TRIM(F18&amp;"")="","NULL","'"&amp;SUBSTITUTE(TRIM(F18),"'","''")&amp;"'")&amp;",''));")</f>
        <v/>
      </c>
    </row>
    <row r="19">
      <c r="A19" s="23" t="n"/>
      <c r="B19" s="25">
        <f t="array" ref="B19">IF(A19="","",IFERROR(IF(INDEX(Clientes!$D$5:$D$549,MATCH(A19,Clientes!$C$5:$C$549,0))&lt;&gt;"",INDEX(Clientes!$D$5:$D$549,MATCH(A19,Clientes!$C$5:$C$549,0)),TRIM(INDEX(Clientes!$E$5:$E$549,MATCH(A19,Clientes!$C$5:$C$549,0))&amp;" "&amp;INDEX(Clientes!$F$5:$F$549,MATCH(A19,Clientes!$C$5:$C$549,0)))),"NO EXISTE en Clientes"))</f>
        <v/>
      </c>
      <c r="C19" s="17" t="n"/>
      <c r="D19" s="17" t="n"/>
      <c r="E19" s="17" t="n"/>
      <c r="F19" s="23" t="n"/>
      <c r="G19" s="23" t="n"/>
      <c r="H19" s="23" t="n"/>
      <c r="I19" s="17" t="n"/>
      <c r="J19" s="17" t="n"/>
      <c r="K19" s="17" t="n"/>
      <c r="L19" s="17">
        <f>IF(AND(A19="",C19=""),"",IF(A19="","FALTA doc. cliente",IF(B19="NO EXISTE en Clientes","CLIENTE no está en hoja Clientes",IF(C19="","FALTA nombre",IF(AND(K19="SI",COUNTIFS($A$5:$A$499,A19,$K$5:$K$499,"SI")&gt;1),"Más de un contacto principal para este cliente","OK")))))</f>
        <v/>
      </c>
      <c r="M19" s="28">
        <f>IF(L19&lt;&gt;"OK","","INSERT INTO cli_contacto (id_cliente, nombre, apellido_paterno, apellido_materno, telefono1, telefono2, telefono3, email, direccion, es_principal, estado) SELECT "&amp;"(SELECT id FROM cli_clientes WHERE numero_documento = '"&amp;SUBSTITUTE(TRIM(A19),"'","''")&amp;"' AND estado = 1 LIMIT 1)"&amp;", "&amp;IF(TRIM(C19&amp;"")="","NULL","'"&amp;SUBSTITUTE(TRIM(C19),"'","''")&amp;"'")&amp;", "&amp;IF(TRIM(D19&amp;"")="","NULL","'"&amp;SUBSTITUTE(TRIM(D19),"'","''")&amp;"'")&amp;", "&amp;IF(TRIM(E19&amp;"")="","NULL","'"&amp;SUBSTITUTE(TRIM(E19),"'","''")&amp;"'")&amp;", "&amp;IF(TRIM(F19&amp;"")="","NULL","'"&amp;SUBSTITUTE(TRIM(F19),"'","''")&amp;"'")&amp;", "&amp;IF(TRIM(G19&amp;"")="","NULL","'"&amp;SUBSTITUTE(TRIM(G19),"'","''")&amp;"'")&amp;", "&amp;IF(TRIM(H19&amp;"")="","NULL","'"&amp;SUBSTITUTE(TRIM(H19),"'","''")&amp;"'")&amp;", "&amp;IF(TRIM(I19&amp;"")="","NULL","'"&amp;SUBSTITUTE(TRIM(I19),"'","''")&amp;"'")&amp;", "&amp;IF(TRIM(J19&amp;"")="","NULL","'"&amp;SUBSTITUTE(TRIM(J19),"'","''")&amp;"'")&amp;", "&amp;IF(UPPER(TRIM(K19&amp;""))="SI","TRUE","FALSE")&amp;", 1"&amp;" WHERE NOT EXISTS (SELECT 1 FROM cli_contacto c WHERE c.id_cliente = "&amp;"(SELECT id FROM cli_clientes WHERE numero_documento = '"&amp;SUBSTITUTE(TRIM(A19),"'","''")&amp;"' AND estado = 1 LIMIT 1)"&amp;" AND upper(c.nombre) = upper("&amp;IF(TRIM(C19&amp;"")="","NULL","'"&amp;SUBSTITUTE(TRIM(C19),"'","''")&amp;"'")&amp;") AND coalesce(c.telefono1,'') = coalesce("&amp;IF(TRIM(F19&amp;"")="","NULL","'"&amp;SUBSTITUTE(TRIM(F19),"'","''")&amp;"'")&amp;",''));")</f>
        <v/>
      </c>
    </row>
    <row r="20">
      <c r="A20" s="23" t="n"/>
      <c r="B20" s="25">
        <f t="array" ref="B20">IF(A20="","",IFERROR(IF(INDEX(Clientes!$D$5:$D$549,MATCH(A20,Clientes!$C$5:$C$549,0))&lt;&gt;"",INDEX(Clientes!$D$5:$D$549,MATCH(A20,Clientes!$C$5:$C$549,0)),TRIM(INDEX(Clientes!$E$5:$E$549,MATCH(A20,Clientes!$C$5:$C$549,0))&amp;" "&amp;INDEX(Clientes!$F$5:$F$549,MATCH(A20,Clientes!$C$5:$C$549,0)))),"NO EXISTE en Clientes"))</f>
        <v/>
      </c>
      <c r="C20" s="17" t="n"/>
      <c r="D20" s="17" t="n"/>
      <c r="E20" s="17" t="n"/>
      <c r="F20" s="23" t="n"/>
      <c r="G20" s="23" t="n"/>
      <c r="H20" s="23" t="n"/>
      <c r="I20" s="17" t="n"/>
      <c r="J20" s="17" t="n"/>
      <c r="K20" s="17" t="n"/>
      <c r="L20" s="17">
        <f>IF(AND(A20="",C20=""),"",IF(A20="","FALTA doc. cliente",IF(B20="NO EXISTE en Clientes","CLIENTE no está en hoja Clientes",IF(C20="","FALTA nombre",IF(AND(K20="SI",COUNTIFS($A$5:$A$499,A20,$K$5:$K$499,"SI")&gt;1),"Más de un contacto principal para este cliente","OK")))))</f>
        <v/>
      </c>
      <c r="M20" s="28">
        <f>IF(L20&lt;&gt;"OK","","INSERT INTO cli_contacto (id_cliente, nombre, apellido_paterno, apellido_materno, telefono1, telefono2, telefono3, email, direccion, es_principal, estado) SELECT "&amp;"(SELECT id FROM cli_clientes WHERE numero_documento = '"&amp;SUBSTITUTE(TRIM(A20),"'","''")&amp;"' AND estado = 1 LIMIT 1)"&amp;", "&amp;IF(TRIM(C20&amp;"")="","NULL","'"&amp;SUBSTITUTE(TRIM(C20),"'","''")&amp;"'")&amp;", "&amp;IF(TRIM(D20&amp;"")="","NULL","'"&amp;SUBSTITUTE(TRIM(D20),"'","''")&amp;"'")&amp;", "&amp;IF(TRIM(E20&amp;"")="","NULL","'"&amp;SUBSTITUTE(TRIM(E20),"'","''")&amp;"'")&amp;", "&amp;IF(TRIM(F20&amp;"")="","NULL","'"&amp;SUBSTITUTE(TRIM(F20),"'","''")&amp;"'")&amp;", "&amp;IF(TRIM(G20&amp;"")="","NULL","'"&amp;SUBSTITUTE(TRIM(G20),"'","''")&amp;"'")&amp;", "&amp;IF(TRIM(H20&amp;"")="","NULL","'"&amp;SUBSTITUTE(TRIM(H20),"'","''")&amp;"'")&amp;", "&amp;IF(TRIM(I20&amp;"")="","NULL","'"&amp;SUBSTITUTE(TRIM(I20),"'","''")&amp;"'")&amp;", "&amp;IF(TRIM(J20&amp;"")="","NULL","'"&amp;SUBSTITUTE(TRIM(J20),"'","''")&amp;"'")&amp;", "&amp;IF(UPPER(TRIM(K20&amp;""))="SI","TRUE","FALSE")&amp;", 1"&amp;" WHERE NOT EXISTS (SELECT 1 FROM cli_contacto c WHERE c.id_cliente = "&amp;"(SELECT id FROM cli_clientes WHERE numero_documento = '"&amp;SUBSTITUTE(TRIM(A20),"'","''")&amp;"' AND estado = 1 LIMIT 1)"&amp;" AND upper(c.nombre) = upper("&amp;IF(TRIM(C20&amp;"")="","NULL","'"&amp;SUBSTITUTE(TRIM(C20),"'","''")&amp;"'")&amp;") AND coalesce(c.telefono1,'') = coalesce("&amp;IF(TRIM(F20&amp;"")="","NULL","'"&amp;SUBSTITUTE(TRIM(F20),"'","''")&amp;"'")&amp;",''));")</f>
        <v/>
      </c>
    </row>
    <row r="21" ht="15.75" customHeight="1" s="64">
      <c r="A21" s="23" t="n"/>
      <c r="B21" s="25">
        <f t="array" ref="B21">IF(A21="","",IFERROR(IF(INDEX(Clientes!$D$5:$D$549,MATCH(A21,Clientes!$C$5:$C$549,0))&lt;&gt;"",INDEX(Clientes!$D$5:$D$549,MATCH(A21,Clientes!$C$5:$C$549,0)),TRIM(INDEX(Clientes!$E$5:$E$549,MATCH(A21,Clientes!$C$5:$C$549,0))&amp;" "&amp;INDEX(Clientes!$F$5:$F$549,MATCH(A21,Clientes!$C$5:$C$549,0)))),"NO EXISTE en Clientes"))</f>
        <v/>
      </c>
      <c r="C21" s="17" t="n"/>
      <c r="D21" s="17" t="n"/>
      <c r="E21" s="17" t="n"/>
      <c r="F21" s="23" t="n"/>
      <c r="G21" s="23" t="n"/>
      <c r="H21" s="23" t="n"/>
      <c r="I21" s="17" t="n"/>
      <c r="J21" s="17" t="n"/>
      <c r="K21" s="17" t="n"/>
      <c r="L21" s="17">
        <f>IF(AND(A21="",C21=""),"",IF(A21="","FALTA doc. cliente",IF(B21="NO EXISTE en Clientes","CLIENTE no está en hoja Clientes",IF(C21="","FALTA nombre",IF(AND(K21="SI",COUNTIFS($A$5:$A$499,A21,$K$5:$K$499,"SI")&gt;1),"Más de un contacto principal para este cliente","OK")))))</f>
        <v/>
      </c>
      <c r="M21" s="28">
        <f>IF(L21&lt;&gt;"OK","","INSERT INTO cli_contacto (id_cliente, nombre, apellido_paterno, apellido_materno, telefono1, telefono2, telefono3, email, direccion, es_principal, estado) SELECT "&amp;"(SELECT id FROM cli_clientes WHERE numero_documento = '"&amp;SUBSTITUTE(TRIM(A21),"'","''")&amp;"' AND estado = 1 LIMIT 1)"&amp;", "&amp;IF(TRIM(C21&amp;"")="","NULL","'"&amp;SUBSTITUTE(TRIM(C21),"'","''")&amp;"'")&amp;", "&amp;IF(TRIM(D21&amp;"")="","NULL","'"&amp;SUBSTITUTE(TRIM(D21),"'","''")&amp;"'")&amp;", "&amp;IF(TRIM(E21&amp;"")="","NULL","'"&amp;SUBSTITUTE(TRIM(E21),"'","''")&amp;"'")&amp;", "&amp;IF(TRIM(F21&amp;"")="","NULL","'"&amp;SUBSTITUTE(TRIM(F21),"'","''")&amp;"'")&amp;", "&amp;IF(TRIM(G21&amp;"")="","NULL","'"&amp;SUBSTITUTE(TRIM(G21),"'","''")&amp;"'")&amp;", "&amp;IF(TRIM(H21&amp;"")="","NULL","'"&amp;SUBSTITUTE(TRIM(H21),"'","''")&amp;"'")&amp;", "&amp;IF(TRIM(I21&amp;"")="","NULL","'"&amp;SUBSTITUTE(TRIM(I21),"'","''")&amp;"'")&amp;", "&amp;IF(TRIM(J21&amp;"")="","NULL","'"&amp;SUBSTITUTE(TRIM(J21),"'","''")&amp;"'")&amp;", "&amp;IF(UPPER(TRIM(K21&amp;""))="SI","TRUE","FALSE")&amp;", 1"&amp;" WHERE NOT EXISTS (SELECT 1 FROM cli_contacto c WHERE c.id_cliente = "&amp;"(SELECT id FROM cli_clientes WHERE numero_documento = '"&amp;SUBSTITUTE(TRIM(A21),"'","''")&amp;"' AND estado = 1 LIMIT 1)"&amp;" AND upper(c.nombre) = upper("&amp;IF(TRIM(C21&amp;"")="","NULL","'"&amp;SUBSTITUTE(TRIM(C21),"'","''")&amp;"'")&amp;") AND coalesce(c.telefono1,'') = coalesce("&amp;IF(TRIM(F21&amp;"")="","NULL","'"&amp;SUBSTITUTE(TRIM(F21),"'","''")&amp;"'")&amp;",''));")</f>
        <v/>
      </c>
    </row>
    <row r="22" ht="15.75" customHeight="1" s="64">
      <c r="A22" s="23" t="n"/>
      <c r="B22" s="25">
        <f t="array" ref="B22">IF(A22="","",IFERROR(IF(INDEX(Clientes!$D$5:$D$549,MATCH(A22,Clientes!$C$5:$C$549,0))&lt;&gt;"",INDEX(Clientes!$D$5:$D$549,MATCH(A22,Clientes!$C$5:$C$549,0)),TRIM(INDEX(Clientes!$E$5:$E$549,MATCH(A22,Clientes!$C$5:$C$549,0))&amp;" "&amp;INDEX(Clientes!$F$5:$F$549,MATCH(A22,Clientes!$C$5:$C$549,0)))),"NO EXISTE en Clientes"))</f>
        <v/>
      </c>
      <c r="C22" s="17" t="n"/>
      <c r="D22" s="17" t="n"/>
      <c r="E22" s="17" t="n"/>
      <c r="F22" s="23" t="n"/>
      <c r="G22" s="23" t="n"/>
      <c r="H22" s="23" t="n"/>
      <c r="I22" s="17" t="n"/>
      <c r="J22" s="17" t="n"/>
      <c r="K22" s="17" t="n"/>
      <c r="L22" s="17">
        <f>IF(AND(A22="",C22=""),"",IF(A22="","FALTA doc. cliente",IF(B22="NO EXISTE en Clientes","CLIENTE no está en hoja Clientes",IF(C22="","FALTA nombre",IF(AND(K22="SI",COUNTIFS($A$5:$A$499,A22,$K$5:$K$499,"SI")&gt;1),"Más de un contacto principal para este cliente","OK")))))</f>
        <v/>
      </c>
      <c r="M22" s="28">
        <f>IF(L22&lt;&gt;"OK","","INSERT INTO cli_contacto (id_cliente, nombre, apellido_paterno, apellido_materno, telefono1, telefono2, telefono3, email, direccion, es_principal, estado) SELECT "&amp;"(SELECT id FROM cli_clientes WHERE numero_documento = '"&amp;SUBSTITUTE(TRIM(A22),"'","''")&amp;"' AND estado = 1 LIMIT 1)"&amp;", "&amp;IF(TRIM(C22&amp;"")="","NULL","'"&amp;SUBSTITUTE(TRIM(C22),"'","''")&amp;"'")&amp;", "&amp;IF(TRIM(D22&amp;"")="","NULL","'"&amp;SUBSTITUTE(TRIM(D22),"'","''")&amp;"'")&amp;", "&amp;IF(TRIM(E22&amp;"")="","NULL","'"&amp;SUBSTITUTE(TRIM(E22),"'","''")&amp;"'")&amp;", "&amp;IF(TRIM(F22&amp;"")="","NULL","'"&amp;SUBSTITUTE(TRIM(F22),"'","''")&amp;"'")&amp;", "&amp;IF(TRIM(G22&amp;"")="","NULL","'"&amp;SUBSTITUTE(TRIM(G22),"'","''")&amp;"'")&amp;", "&amp;IF(TRIM(H22&amp;"")="","NULL","'"&amp;SUBSTITUTE(TRIM(H22),"'","''")&amp;"'")&amp;", "&amp;IF(TRIM(I22&amp;"")="","NULL","'"&amp;SUBSTITUTE(TRIM(I22),"'","''")&amp;"'")&amp;", "&amp;IF(TRIM(J22&amp;"")="","NULL","'"&amp;SUBSTITUTE(TRIM(J22),"'","''")&amp;"'")&amp;", "&amp;IF(UPPER(TRIM(K22&amp;""))="SI","TRUE","FALSE")&amp;", 1"&amp;" WHERE NOT EXISTS (SELECT 1 FROM cli_contacto c WHERE c.id_cliente = "&amp;"(SELECT id FROM cli_clientes WHERE numero_documento = '"&amp;SUBSTITUTE(TRIM(A22),"'","''")&amp;"' AND estado = 1 LIMIT 1)"&amp;" AND upper(c.nombre) = upper("&amp;IF(TRIM(C22&amp;"")="","NULL","'"&amp;SUBSTITUTE(TRIM(C22),"'","''")&amp;"'")&amp;") AND coalesce(c.telefono1,'') = coalesce("&amp;IF(TRIM(F22&amp;"")="","NULL","'"&amp;SUBSTITUTE(TRIM(F22),"'","''")&amp;"'")&amp;",''));")</f>
        <v/>
      </c>
    </row>
    <row r="23" ht="15.75" customHeight="1" s="64">
      <c r="A23" s="23" t="n"/>
      <c r="B23" s="25">
        <f t="array" ref="B23">IF(A23="","",IFERROR(IF(INDEX(Clientes!$D$5:$D$549,MATCH(A23,Clientes!$C$5:$C$549,0))&lt;&gt;"",INDEX(Clientes!$D$5:$D$549,MATCH(A23,Clientes!$C$5:$C$549,0)),TRIM(INDEX(Clientes!$E$5:$E$549,MATCH(A23,Clientes!$C$5:$C$549,0))&amp;" "&amp;INDEX(Clientes!$F$5:$F$549,MATCH(A23,Clientes!$C$5:$C$549,0)))),"NO EXISTE en Clientes"))</f>
        <v/>
      </c>
      <c r="C23" s="17" t="n"/>
      <c r="D23" s="17" t="n"/>
      <c r="E23" s="17" t="n"/>
      <c r="F23" s="23" t="n"/>
      <c r="G23" s="23" t="n"/>
      <c r="H23" s="23" t="n"/>
      <c r="I23" s="17" t="n"/>
      <c r="J23" s="17" t="n"/>
      <c r="K23" s="17" t="n"/>
      <c r="L23" s="17">
        <f>IF(AND(A23="",C23=""),"",IF(A23="","FALTA doc. cliente",IF(B23="NO EXISTE en Clientes","CLIENTE no está en hoja Clientes",IF(C23="","FALTA nombre",IF(AND(K23="SI",COUNTIFS($A$5:$A$499,A23,$K$5:$K$499,"SI")&gt;1),"Más de un contacto principal para este cliente","OK")))))</f>
        <v/>
      </c>
      <c r="M23" s="28">
        <f>IF(L23&lt;&gt;"OK","","INSERT INTO cli_contacto (id_cliente, nombre, apellido_paterno, apellido_materno, telefono1, telefono2, telefono3, email, direccion, es_principal, estado) SELECT "&amp;"(SELECT id FROM cli_clientes WHERE numero_documento = '"&amp;SUBSTITUTE(TRIM(A23),"'","''")&amp;"' AND estado = 1 LIMIT 1)"&amp;", "&amp;IF(TRIM(C23&amp;"")="","NULL","'"&amp;SUBSTITUTE(TRIM(C23),"'","''")&amp;"'")&amp;", "&amp;IF(TRIM(D23&amp;"")="","NULL","'"&amp;SUBSTITUTE(TRIM(D23),"'","''")&amp;"'")&amp;", "&amp;IF(TRIM(E23&amp;"")="","NULL","'"&amp;SUBSTITUTE(TRIM(E23),"'","''")&amp;"'")&amp;", "&amp;IF(TRIM(F23&amp;"")="","NULL","'"&amp;SUBSTITUTE(TRIM(F23),"'","''")&amp;"'")&amp;", "&amp;IF(TRIM(G23&amp;"")="","NULL","'"&amp;SUBSTITUTE(TRIM(G23),"'","''")&amp;"'")&amp;", "&amp;IF(TRIM(H23&amp;"")="","NULL","'"&amp;SUBSTITUTE(TRIM(H23),"'","''")&amp;"'")&amp;", "&amp;IF(TRIM(I23&amp;"")="","NULL","'"&amp;SUBSTITUTE(TRIM(I23),"'","''")&amp;"'")&amp;", "&amp;IF(TRIM(J23&amp;"")="","NULL","'"&amp;SUBSTITUTE(TRIM(J23),"'","''")&amp;"'")&amp;", "&amp;IF(UPPER(TRIM(K23&amp;""))="SI","TRUE","FALSE")&amp;", 1"&amp;" WHERE NOT EXISTS (SELECT 1 FROM cli_contacto c WHERE c.id_cliente = "&amp;"(SELECT id FROM cli_clientes WHERE numero_documento = '"&amp;SUBSTITUTE(TRIM(A23),"'","''")&amp;"' AND estado = 1 LIMIT 1)"&amp;" AND upper(c.nombre) = upper("&amp;IF(TRIM(C23&amp;"")="","NULL","'"&amp;SUBSTITUTE(TRIM(C23),"'","''")&amp;"'")&amp;") AND coalesce(c.telefono1,'') = coalesce("&amp;IF(TRIM(F23&amp;"")="","NULL","'"&amp;SUBSTITUTE(TRIM(F23),"'","''")&amp;"'")&amp;",''));")</f>
        <v/>
      </c>
    </row>
    <row r="24" ht="15.75" customHeight="1" s="64">
      <c r="A24" s="23" t="n"/>
      <c r="B24" s="25">
        <f t="array" ref="B24">IF(A24="","",IFERROR(IF(INDEX(Clientes!$D$5:$D$549,MATCH(A24,Clientes!$C$5:$C$549,0))&lt;&gt;"",INDEX(Clientes!$D$5:$D$549,MATCH(A24,Clientes!$C$5:$C$549,0)),TRIM(INDEX(Clientes!$E$5:$E$549,MATCH(A24,Clientes!$C$5:$C$549,0))&amp;" "&amp;INDEX(Clientes!$F$5:$F$549,MATCH(A24,Clientes!$C$5:$C$549,0)))),"NO EXISTE en Clientes"))</f>
        <v/>
      </c>
      <c r="C24" s="17" t="n"/>
      <c r="D24" s="17" t="n"/>
      <c r="E24" s="17" t="n"/>
      <c r="F24" s="23" t="n"/>
      <c r="G24" s="23" t="n"/>
      <c r="H24" s="23" t="n"/>
      <c r="I24" s="17" t="n"/>
      <c r="J24" s="17" t="n"/>
      <c r="K24" s="17" t="n"/>
      <c r="L24" s="17">
        <f>IF(AND(A24="",C24=""),"",IF(A24="","FALTA doc. cliente",IF(B24="NO EXISTE en Clientes","CLIENTE no está en hoja Clientes",IF(C24="","FALTA nombre",IF(AND(K24="SI",COUNTIFS($A$5:$A$499,A24,$K$5:$K$499,"SI")&gt;1),"Más de un contacto principal para este cliente","OK")))))</f>
        <v/>
      </c>
      <c r="M24" s="28">
        <f>IF(L24&lt;&gt;"OK","","INSERT INTO cli_contacto (id_cliente, nombre, apellido_paterno, apellido_materno, telefono1, telefono2, telefono3, email, direccion, es_principal, estado) SELECT "&amp;"(SELECT id FROM cli_clientes WHERE numero_documento = '"&amp;SUBSTITUTE(TRIM(A24),"'","''")&amp;"' AND estado = 1 LIMIT 1)"&amp;", "&amp;IF(TRIM(C24&amp;"")="","NULL","'"&amp;SUBSTITUTE(TRIM(C24),"'","''")&amp;"'")&amp;", "&amp;IF(TRIM(D24&amp;"")="","NULL","'"&amp;SUBSTITUTE(TRIM(D24),"'","''")&amp;"'")&amp;", "&amp;IF(TRIM(E24&amp;"")="","NULL","'"&amp;SUBSTITUTE(TRIM(E24),"'","''")&amp;"'")&amp;", "&amp;IF(TRIM(F24&amp;"")="","NULL","'"&amp;SUBSTITUTE(TRIM(F24),"'","''")&amp;"'")&amp;", "&amp;IF(TRIM(G24&amp;"")="","NULL","'"&amp;SUBSTITUTE(TRIM(G24),"'","''")&amp;"'")&amp;", "&amp;IF(TRIM(H24&amp;"")="","NULL","'"&amp;SUBSTITUTE(TRIM(H24),"'","''")&amp;"'")&amp;", "&amp;IF(TRIM(I24&amp;"")="","NULL","'"&amp;SUBSTITUTE(TRIM(I24),"'","''")&amp;"'")&amp;", "&amp;IF(TRIM(J24&amp;"")="","NULL","'"&amp;SUBSTITUTE(TRIM(J24),"'","''")&amp;"'")&amp;", "&amp;IF(UPPER(TRIM(K24&amp;""))="SI","TRUE","FALSE")&amp;", 1"&amp;" WHERE NOT EXISTS (SELECT 1 FROM cli_contacto c WHERE c.id_cliente = "&amp;"(SELECT id FROM cli_clientes WHERE numero_documento = '"&amp;SUBSTITUTE(TRIM(A24),"'","''")&amp;"' AND estado = 1 LIMIT 1)"&amp;" AND upper(c.nombre) = upper("&amp;IF(TRIM(C24&amp;"")="","NULL","'"&amp;SUBSTITUTE(TRIM(C24),"'","''")&amp;"'")&amp;") AND coalesce(c.telefono1,'') = coalesce("&amp;IF(TRIM(F24&amp;"")="","NULL","'"&amp;SUBSTITUTE(TRIM(F24),"'","''")&amp;"'")&amp;",''));")</f>
        <v/>
      </c>
    </row>
    <row r="25" ht="15.75" customHeight="1" s="64">
      <c r="A25" s="23" t="n"/>
      <c r="B25" s="25">
        <f t="array" ref="B25">IF(A25="","",IFERROR(IF(INDEX(Clientes!$D$5:$D$549,MATCH(A25,Clientes!$C$5:$C$549,0))&lt;&gt;"",INDEX(Clientes!$D$5:$D$549,MATCH(A25,Clientes!$C$5:$C$549,0)),TRIM(INDEX(Clientes!$E$5:$E$549,MATCH(A25,Clientes!$C$5:$C$549,0))&amp;" "&amp;INDEX(Clientes!$F$5:$F$549,MATCH(A25,Clientes!$C$5:$C$549,0)))),"NO EXISTE en Clientes"))</f>
        <v/>
      </c>
      <c r="C25" s="17" t="n"/>
      <c r="D25" s="17" t="n"/>
      <c r="E25" s="17" t="n"/>
      <c r="F25" s="23" t="n"/>
      <c r="G25" s="23" t="n"/>
      <c r="H25" s="23" t="n"/>
      <c r="I25" s="17" t="n"/>
      <c r="J25" s="17" t="n"/>
      <c r="K25" s="17" t="n"/>
      <c r="L25" s="17">
        <f>IF(AND(A25="",C25=""),"",IF(A25="","FALTA doc. cliente",IF(B25="NO EXISTE en Clientes","CLIENTE no está en hoja Clientes",IF(C25="","FALTA nombre",IF(AND(K25="SI",COUNTIFS($A$5:$A$499,A25,$K$5:$K$499,"SI")&gt;1),"Más de un contacto principal para este cliente","OK")))))</f>
        <v/>
      </c>
      <c r="M25" s="28">
        <f>IF(L25&lt;&gt;"OK","","INSERT INTO cli_contacto (id_cliente, nombre, apellido_paterno, apellido_materno, telefono1, telefono2, telefono3, email, direccion, es_principal, estado) SELECT "&amp;"(SELECT id FROM cli_clientes WHERE numero_documento = '"&amp;SUBSTITUTE(TRIM(A25),"'","''")&amp;"' AND estado = 1 LIMIT 1)"&amp;", "&amp;IF(TRIM(C25&amp;"")="","NULL","'"&amp;SUBSTITUTE(TRIM(C25),"'","''")&amp;"'")&amp;", "&amp;IF(TRIM(D25&amp;"")="","NULL","'"&amp;SUBSTITUTE(TRIM(D25),"'","''")&amp;"'")&amp;", "&amp;IF(TRIM(E25&amp;"")="","NULL","'"&amp;SUBSTITUTE(TRIM(E25),"'","''")&amp;"'")&amp;", "&amp;IF(TRIM(F25&amp;"")="","NULL","'"&amp;SUBSTITUTE(TRIM(F25),"'","''")&amp;"'")&amp;", "&amp;IF(TRIM(G25&amp;"")="","NULL","'"&amp;SUBSTITUTE(TRIM(G25),"'","''")&amp;"'")&amp;", "&amp;IF(TRIM(H25&amp;"")="","NULL","'"&amp;SUBSTITUTE(TRIM(H25),"'","''")&amp;"'")&amp;", "&amp;IF(TRIM(I25&amp;"")="","NULL","'"&amp;SUBSTITUTE(TRIM(I25),"'","''")&amp;"'")&amp;", "&amp;IF(TRIM(J25&amp;"")="","NULL","'"&amp;SUBSTITUTE(TRIM(J25),"'","''")&amp;"'")&amp;", "&amp;IF(UPPER(TRIM(K25&amp;""))="SI","TRUE","FALSE")&amp;", 1"&amp;" WHERE NOT EXISTS (SELECT 1 FROM cli_contacto c WHERE c.id_cliente = "&amp;"(SELECT id FROM cli_clientes WHERE numero_documento = '"&amp;SUBSTITUTE(TRIM(A25),"'","''")&amp;"' AND estado = 1 LIMIT 1)"&amp;" AND upper(c.nombre) = upper("&amp;IF(TRIM(C25&amp;"")="","NULL","'"&amp;SUBSTITUTE(TRIM(C25),"'","''")&amp;"'")&amp;") AND coalesce(c.telefono1,'') = coalesce("&amp;IF(TRIM(F25&amp;"")="","NULL","'"&amp;SUBSTITUTE(TRIM(F25),"'","''")&amp;"'")&amp;",''));")</f>
        <v/>
      </c>
    </row>
    <row r="26" ht="15.75" customHeight="1" s="64">
      <c r="A26" s="23" t="n"/>
      <c r="B26" s="25">
        <f t="array" ref="B26">IF(A26="","",IFERROR(IF(INDEX(Clientes!$D$5:$D$549,MATCH(A26,Clientes!$C$5:$C$549,0))&lt;&gt;"",INDEX(Clientes!$D$5:$D$549,MATCH(A26,Clientes!$C$5:$C$549,0)),TRIM(INDEX(Clientes!$E$5:$E$549,MATCH(A26,Clientes!$C$5:$C$549,0))&amp;" "&amp;INDEX(Clientes!$F$5:$F$549,MATCH(A26,Clientes!$C$5:$C$549,0)))),"NO EXISTE en Clientes"))</f>
        <v/>
      </c>
      <c r="C26" s="17" t="n"/>
      <c r="D26" s="17" t="n"/>
      <c r="E26" s="17" t="n"/>
      <c r="F26" s="23" t="n"/>
      <c r="G26" s="23" t="n"/>
      <c r="H26" s="23" t="n"/>
      <c r="I26" s="17" t="n"/>
      <c r="J26" s="17" t="n"/>
      <c r="K26" s="17" t="n"/>
      <c r="L26" s="17">
        <f>IF(AND(A26="",C26=""),"",IF(A26="","FALTA doc. cliente",IF(B26="NO EXISTE en Clientes","CLIENTE no está en hoja Clientes",IF(C26="","FALTA nombre",IF(AND(K26="SI",COUNTIFS($A$5:$A$499,A26,$K$5:$K$499,"SI")&gt;1),"Más de un contacto principal para este cliente","OK")))))</f>
        <v/>
      </c>
      <c r="M26" s="28">
        <f>IF(L26&lt;&gt;"OK","","INSERT INTO cli_contacto (id_cliente, nombre, apellido_paterno, apellido_materno, telefono1, telefono2, telefono3, email, direccion, es_principal, estado) SELECT "&amp;"(SELECT id FROM cli_clientes WHERE numero_documento = '"&amp;SUBSTITUTE(TRIM(A26),"'","''")&amp;"' AND estado = 1 LIMIT 1)"&amp;", "&amp;IF(TRIM(C26&amp;"")="","NULL","'"&amp;SUBSTITUTE(TRIM(C26),"'","''")&amp;"'")&amp;", "&amp;IF(TRIM(D26&amp;"")="","NULL","'"&amp;SUBSTITUTE(TRIM(D26),"'","''")&amp;"'")&amp;", "&amp;IF(TRIM(E26&amp;"")="","NULL","'"&amp;SUBSTITUTE(TRIM(E26),"'","''")&amp;"'")&amp;", "&amp;IF(TRIM(F26&amp;"")="","NULL","'"&amp;SUBSTITUTE(TRIM(F26),"'","''")&amp;"'")&amp;", "&amp;IF(TRIM(G26&amp;"")="","NULL","'"&amp;SUBSTITUTE(TRIM(G26),"'","''")&amp;"'")&amp;", "&amp;IF(TRIM(H26&amp;"")="","NULL","'"&amp;SUBSTITUTE(TRIM(H26),"'","''")&amp;"'")&amp;", "&amp;IF(TRIM(I26&amp;"")="","NULL","'"&amp;SUBSTITUTE(TRIM(I26),"'","''")&amp;"'")&amp;", "&amp;IF(TRIM(J26&amp;"")="","NULL","'"&amp;SUBSTITUTE(TRIM(J26),"'","''")&amp;"'")&amp;", "&amp;IF(UPPER(TRIM(K26&amp;""))="SI","TRUE","FALSE")&amp;", 1"&amp;" WHERE NOT EXISTS (SELECT 1 FROM cli_contacto c WHERE c.id_cliente = "&amp;"(SELECT id FROM cli_clientes WHERE numero_documento = '"&amp;SUBSTITUTE(TRIM(A26),"'","''")&amp;"' AND estado = 1 LIMIT 1)"&amp;" AND upper(c.nombre) = upper("&amp;IF(TRIM(C26&amp;"")="","NULL","'"&amp;SUBSTITUTE(TRIM(C26),"'","''")&amp;"'")&amp;") AND coalesce(c.telefono1,'') = coalesce("&amp;IF(TRIM(F26&amp;"")="","NULL","'"&amp;SUBSTITUTE(TRIM(F26),"'","''")&amp;"'")&amp;",''));")</f>
        <v/>
      </c>
    </row>
    <row r="27" ht="15.75" customHeight="1" s="64">
      <c r="A27" s="23" t="n"/>
      <c r="B27" s="25">
        <f t="array" ref="B27">IF(A27="","",IFERROR(IF(INDEX(Clientes!$D$5:$D$549,MATCH(A27,Clientes!$C$5:$C$549,0))&lt;&gt;"",INDEX(Clientes!$D$5:$D$549,MATCH(A27,Clientes!$C$5:$C$549,0)),TRIM(INDEX(Clientes!$E$5:$E$549,MATCH(A27,Clientes!$C$5:$C$549,0))&amp;" "&amp;INDEX(Clientes!$F$5:$F$549,MATCH(A27,Clientes!$C$5:$C$549,0)))),"NO EXISTE en Clientes"))</f>
        <v/>
      </c>
      <c r="C27" s="17" t="n"/>
      <c r="D27" s="17" t="n"/>
      <c r="E27" s="17" t="n"/>
      <c r="F27" s="23" t="n"/>
      <c r="G27" s="23" t="n"/>
      <c r="H27" s="23" t="n"/>
      <c r="I27" s="17" t="n"/>
      <c r="J27" s="17" t="n"/>
      <c r="K27" s="17" t="n"/>
      <c r="L27" s="17">
        <f>IF(AND(A27="",C27=""),"",IF(A27="","FALTA doc. cliente",IF(B27="NO EXISTE en Clientes","CLIENTE no está en hoja Clientes",IF(C27="","FALTA nombre",IF(AND(K27="SI",COUNTIFS($A$5:$A$499,A27,$K$5:$K$499,"SI")&gt;1),"Más de un contacto principal para este cliente","OK")))))</f>
        <v/>
      </c>
      <c r="M27" s="28">
        <f>IF(L27&lt;&gt;"OK","","INSERT INTO cli_contacto (id_cliente, nombre, apellido_paterno, apellido_materno, telefono1, telefono2, telefono3, email, direccion, es_principal, estado) SELECT "&amp;"(SELECT id FROM cli_clientes WHERE numero_documento = '"&amp;SUBSTITUTE(TRIM(A27),"'","''")&amp;"' AND estado = 1 LIMIT 1)"&amp;", "&amp;IF(TRIM(C27&amp;"")="","NULL","'"&amp;SUBSTITUTE(TRIM(C27),"'","''")&amp;"'")&amp;", "&amp;IF(TRIM(D27&amp;"")="","NULL","'"&amp;SUBSTITUTE(TRIM(D27),"'","''")&amp;"'")&amp;", "&amp;IF(TRIM(E27&amp;"")="","NULL","'"&amp;SUBSTITUTE(TRIM(E27),"'","''")&amp;"'")&amp;", "&amp;IF(TRIM(F27&amp;"")="","NULL","'"&amp;SUBSTITUTE(TRIM(F27),"'","''")&amp;"'")&amp;", "&amp;IF(TRIM(G27&amp;"")="","NULL","'"&amp;SUBSTITUTE(TRIM(G27),"'","''")&amp;"'")&amp;", "&amp;IF(TRIM(H27&amp;"")="","NULL","'"&amp;SUBSTITUTE(TRIM(H27),"'","''")&amp;"'")&amp;", "&amp;IF(TRIM(I27&amp;"")="","NULL","'"&amp;SUBSTITUTE(TRIM(I27),"'","''")&amp;"'")&amp;", "&amp;IF(TRIM(J27&amp;"")="","NULL","'"&amp;SUBSTITUTE(TRIM(J27),"'","''")&amp;"'")&amp;", "&amp;IF(UPPER(TRIM(K27&amp;""))="SI","TRUE","FALSE")&amp;", 1"&amp;" WHERE NOT EXISTS (SELECT 1 FROM cli_contacto c WHERE c.id_cliente = "&amp;"(SELECT id FROM cli_clientes WHERE numero_documento = '"&amp;SUBSTITUTE(TRIM(A27),"'","''")&amp;"' AND estado = 1 LIMIT 1)"&amp;" AND upper(c.nombre) = upper("&amp;IF(TRIM(C27&amp;"")="","NULL","'"&amp;SUBSTITUTE(TRIM(C27),"'","''")&amp;"'")&amp;") AND coalesce(c.telefono1,'') = coalesce("&amp;IF(TRIM(F27&amp;"")="","NULL","'"&amp;SUBSTITUTE(TRIM(F27),"'","''")&amp;"'")&amp;",''));")</f>
        <v/>
      </c>
    </row>
    <row r="28" ht="15.75" customHeight="1" s="64">
      <c r="A28" s="23" t="n"/>
      <c r="B28" s="25">
        <f t="array" ref="B28">IF(A28="","",IFERROR(IF(INDEX(Clientes!$D$5:$D$549,MATCH(A28,Clientes!$C$5:$C$549,0))&lt;&gt;"",INDEX(Clientes!$D$5:$D$549,MATCH(A28,Clientes!$C$5:$C$549,0)),TRIM(INDEX(Clientes!$E$5:$E$549,MATCH(A28,Clientes!$C$5:$C$549,0))&amp;" "&amp;INDEX(Clientes!$F$5:$F$549,MATCH(A28,Clientes!$C$5:$C$549,0)))),"NO EXISTE en Clientes"))</f>
        <v/>
      </c>
      <c r="C28" s="17" t="n"/>
      <c r="D28" s="17" t="n"/>
      <c r="E28" s="17" t="n"/>
      <c r="F28" s="23" t="n"/>
      <c r="G28" s="23" t="n"/>
      <c r="H28" s="23" t="n"/>
      <c r="I28" s="17" t="n"/>
      <c r="J28" s="17" t="n"/>
      <c r="K28" s="17" t="n"/>
      <c r="L28" s="17">
        <f>IF(AND(A28="",C28=""),"",IF(A28="","FALTA doc. cliente",IF(B28="NO EXISTE en Clientes","CLIENTE no está en hoja Clientes",IF(C28="","FALTA nombre",IF(AND(K28="SI",COUNTIFS($A$5:$A$499,A28,$K$5:$K$499,"SI")&gt;1),"Más de un contacto principal para este cliente","OK")))))</f>
        <v/>
      </c>
      <c r="M28" s="28">
        <f>IF(L28&lt;&gt;"OK","","INSERT INTO cli_contacto (id_cliente, nombre, apellido_paterno, apellido_materno, telefono1, telefono2, telefono3, email, direccion, es_principal, estado) SELECT "&amp;"(SELECT id FROM cli_clientes WHERE numero_documento = '"&amp;SUBSTITUTE(TRIM(A28),"'","''")&amp;"' AND estado = 1 LIMIT 1)"&amp;", "&amp;IF(TRIM(C28&amp;"")="","NULL","'"&amp;SUBSTITUTE(TRIM(C28),"'","''")&amp;"'")&amp;", "&amp;IF(TRIM(D28&amp;"")="","NULL","'"&amp;SUBSTITUTE(TRIM(D28),"'","''")&amp;"'")&amp;", "&amp;IF(TRIM(E28&amp;"")="","NULL","'"&amp;SUBSTITUTE(TRIM(E28),"'","''")&amp;"'")&amp;", "&amp;IF(TRIM(F28&amp;"")="","NULL","'"&amp;SUBSTITUTE(TRIM(F28),"'","''")&amp;"'")&amp;", "&amp;IF(TRIM(G28&amp;"")="","NULL","'"&amp;SUBSTITUTE(TRIM(G28),"'","''")&amp;"'")&amp;", "&amp;IF(TRIM(H28&amp;"")="","NULL","'"&amp;SUBSTITUTE(TRIM(H28),"'","''")&amp;"'")&amp;", "&amp;IF(TRIM(I28&amp;"")="","NULL","'"&amp;SUBSTITUTE(TRIM(I28),"'","''")&amp;"'")&amp;", "&amp;IF(TRIM(J28&amp;"")="","NULL","'"&amp;SUBSTITUTE(TRIM(J28),"'","''")&amp;"'")&amp;", "&amp;IF(UPPER(TRIM(K28&amp;""))="SI","TRUE","FALSE")&amp;", 1"&amp;" WHERE NOT EXISTS (SELECT 1 FROM cli_contacto c WHERE c.id_cliente = "&amp;"(SELECT id FROM cli_clientes WHERE numero_documento = '"&amp;SUBSTITUTE(TRIM(A28),"'","''")&amp;"' AND estado = 1 LIMIT 1)"&amp;" AND upper(c.nombre) = upper("&amp;IF(TRIM(C28&amp;"")="","NULL","'"&amp;SUBSTITUTE(TRIM(C28),"'","''")&amp;"'")&amp;") AND coalesce(c.telefono1,'') = coalesce("&amp;IF(TRIM(F28&amp;"")="","NULL","'"&amp;SUBSTITUTE(TRIM(F28),"'","''")&amp;"'")&amp;",''));")</f>
        <v/>
      </c>
    </row>
    <row r="29" ht="15.75" customHeight="1" s="64">
      <c r="A29" s="23" t="n"/>
      <c r="B29" s="25">
        <f t="array" ref="B29">IF(A29="","",IFERROR(IF(INDEX(Clientes!$D$5:$D$549,MATCH(A29,Clientes!$C$5:$C$549,0))&lt;&gt;"",INDEX(Clientes!$D$5:$D$549,MATCH(A29,Clientes!$C$5:$C$549,0)),TRIM(INDEX(Clientes!$E$5:$E$549,MATCH(A29,Clientes!$C$5:$C$549,0))&amp;" "&amp;INDEX(Clientes!$F$5:$F$549,MATCH(A29,Clientes!$C$5:$C$549,0)))),"NO EXISTE en Clientes"))</f>
        <v/>
      </c>
      <c r="C29" s="17" t="n"/>
      <c r="D29" s="17" t="n"/>
      <c r="E29" s="17" t="n"/>
      <c r="F29" s="23" t="n"/>
      <c r="G29" s="23" t="n"/>
      <c r="H29" s="23" t="n"/>
      <c r="I29" s="17" t="n"/>
      <c r="J29" s="17" t="n"/>
      <c r="K29" s="17" t="n"/>
      <c r="L29" s="17">
        <f>IF(AND(A29="",C29=""),"",IF(A29="","FALTA doc. cliente",IF(B29="NO EXISTE en Clientes","CLIENTE no está en hoja Clientes",IF(C29="","FALTA nombre",IF(AND(K29="SI",COUNTIFS($A$5:$A$499,A29,$K$5:$K$499,"SI")&gt;1),"Más de un contacto principal para este cliente","OK")))))</f>
        <v/>
      </c>
      <c r="M29" s="28">
        <f>IF(L29&lt;&gt;"OK","","INSERT INTO cli_contacto (id_cliente, nombre, apellido_paterno, apellido_materno, telefono1, telefono2, telefono3, email, direccion, es_principal, estado) SELECT "&amp;"(SELECT id FROM cli_clientes WHERE numero_documento = '"&amp;SUBSTITUTE(TRIM(A29),"'","''")&amp;"' AND estado = 1 LIMIT 1)"&amp;", "&amp;IF(TRIM(C29&amp;"")="","NULL","'"&amp;SUBSTITUTE(TRIM(C29),"'","''")&amp;"'")&amp;", "&amp;IF(TRIM(D29&amp;"")="","NULL","'"&amp;SUBSTITUTE(TRIM(D29),"'","''")&amp;"'")&amp;", "&amp;IF(TRIM(E29&amp;"")="","NULL","'"&amp;SUBSTITUTE(TRIM(E29),"'","''")&amp;"'")&amp;", "&amp;IF(TRIM(F29&amp;"")="","NULL","'"&amp;SUBSTITUTE(TRIM(F29),"'","''")&amp;"'")&amp;", "&amp;IF(TRIM(G29&amp;"")="","NULL","'"&amp;SUBSTITUTE(TRIM(G29),"'","''")&amp;"'")&amp;", "&amp;IF(TRIM(H29&amp;"")="","NULL","'"&amp;SUBSTITUTE(TRIM(H29),"'","''")&amp;"'")&amp;", "&amp;IF(TRIM(I29&amp;"")="","NULL","'"&amp;SUBSTITUTE(TRIM(I29),"'","''")&amp;"'")&amp;", "&amp;IF(TRIM(J29&amp;"")="","NULL","'"&amp;SUBSTITUTE(TRIM(J29),"'","''")&amp;"'")&amp;", "&amp;IF(UPPER(TRIM(K29&amp;""))="SI","TRUE","FALSE")&amp;", 1"&amp;" WHERE NOT EXISTS (SELECT 1 FROM cli_contacto c WHERE c.id_cliente = "&amp;"(SELECT id FROM cli_clientes WHERE numero_documento = '"&amp;SUBSTITUTE(TRIM(A29),"'","''")&amp;"' AND estado = 1 LIMIT 1)"&amp;" AND upper(c.nombre) = upper("&amp;IF(TRIM(C29&amp;"")="","NULL","'"&amp;SUBSTITUTE(TRIM(C29),"'","''")&amp;"'")&amp;") AND coalesce(c.telefono1,'') = coalesce("&amp;IF(TRIM(F29&amp;"")="","NULL","'"&amp;SUBSTITUTE(TRIM(F29),"'","''")&amp;"'")&amp;",''));")</f>
        <v/>
      </c>
    </row>
    <row r="30" ht="15.75" customHeight="1" s="64">
      <c r="A30" s="23" t="n"/>
      <c r="B30" s="25">
        <f t="array" ref="B30">IF(A30="","",IFERROR(IF(INDEX(Clientes!$D$5:$D$549,MATCH(A30,Clientes!$C$5:$C$549,0))&lt;&gt;"",INDEX(Clientes!$D$5:$D$549,MATCH(A30,Clientes!$C$5:$C$549,0)),TRIM(INDEX(Clientes!$E$5:$E$549,MATCH(A30,Clientes!$C$5:$C$549,0))&amp;" "&amp;INDEX(Clientes!$F$5:$F$549,MATCH(A30,Clientes!$C$5:$C$549,0)))),"NO EXISTE en Clientes"))</f>
        <v/>
      </c>
      <c r="C30" s="17" t="n"/>
      <c r="D30" s="17" t="n"/>
      <c r="E30" s="17" t="n"/>
      <c r="F30" s="23" t="n"/>
      <c r="G30" s="23" t="n"/>
      <c r="H30" s="23" t="n"/>
      <c r="I30" s="17" t="n"/>
      <c r="J30" s="17" t="n"/>
      <c r="K30" s="17" t="n"/>
      <c r="L30" s="17">
        <f>IF(AND(A30="",C30=""),"",IF(A30="","FALTA doc. cliente",IF(B30="NO EXISTE en Clientes","CLIENTE no está en hoja Clientes",IF(C30="","FALTA nombre",IF(AND(K30="SI",COUNTIFS($A$5:$A$499,A30,$K$5:$K$499,"SI")&gt;1),"Más de un contacto principal para este cliente","OK")))))</f>
        <v/>
      </c>
      <c r="M30" s="28">
        <f>IF(L30&lt;&gt;"OK","","INSERT INTO cli_contacto (id_cliente, nombre, apellido_paterno, apellido_materno, telefono1, telefono2, telefono3, email, direccion, es_principal, estado) SELECT "&amp;"(SELECT id FROM cli_clientes WHERE numero_documento = '"&amp;SUBSTITUTE(TRIM(A30),"'","''")&amp;"' AND estado = 1 LIMIT 1)"&amp;", "&amp;IF(TRIM(C30&amp;"")="","NULL","'"&amp;SUBSTITUTE(TRIM(C30),"'","''")&amp;"'")&amp;", "&amp;IF(TRIM(D30&amp;"")="","NULL","'"&amp;SUBSTITUTE(TRIM(D30),"'","''")&amp;"'")&amp;", "&amp;IF(TRIM(E30&amp;"")="","NULL","'"&amp;SUBSTITUTE(TRIM(E30),"'","''")&amp;"'")&amp;", "&amp;IF(TRIM(F30&amp;"")="","NULL","'"&amp;SUBSTITUTE(TRIM(F30),"'","''")&amp;"'")&amp;", "&amp;IF(TRIM(G30&amp;"")="","NULL","'"&amp;SUBSTITUTE(TRIM(G30),"'","''")&amp;"'")&amp;", "&amp;IF(TRIM(H30&amp;"")="","NULL","'"&amp;SUBSTITUTE(TRIM(H30),"'","''")&amp;"'")&amp;", "&amp;IF(TRIM(I30&amp;"")="","NULL","'"&amp;SUBSTITUTE(TRIM(I30),"'","''")&amp;"'")&amp;", "&amp;IF(TRIM(J30&amp;"")="","NULL","'"&amp;SUBSTITUTE(TRIM(J30),"'","''")&amp;"'")&amp;", "&amp;IF(UPPER(TRIM(K30&amp;""))="SI","TRUE","FALSE")&amp;", 1"&amp;" WHERE NOT EXISTS (SELECT 1 FROM cli_contacto c WHERE c.id_cliente = "&amp;"(SELECT id FROM cli_clientes WHERE numero_documento = '"&amp;SUBSTITUTE(TRIM(A30),"'","''")&amp;"' AND estado = 1 LIMIT 1)"&amp;" AND upper(c.nombre) = upper("&amp;IF(TRIM(C30&amp;"")="","NULL","'"&amp;SUBSTITUTE(TRIM(C30),"'","''")&amp;"'")&amp;") AND coalesce(c.telefono1,'') = coalesce("&amp;IF(TRIM(F30&amp;"")="","NULL","'"&amp;SUBSTITUTE(TRIM(F30),"'","''")&amp;"'")&amp;",''));")</f>
        <v/>
      </c>
    </row>
    <row r="31" ht="15.75" customHeight="1" s="64">
      <c r="A31" s="23" t="n"/>
      <c r="B31" s="25">
        <f t="array" ref="B31">IF(A31="","",IFERROR(IF(INDEX(Clientes!$D$5:$D$549,MATCH(A31,Clientes!$C$5:$C$549,0))&lt;&gt;"",INDEX(Clientes!$D$5:$D$549,MATCH(A31,Clientes!$C$5:$C$549,0)),TRIM(INDEX(Clientes!$E$5:$E$549,MATCH(A31,Clientes!$C$5:$C$549,0))&amp;" "&amp;INDEX(Clientes!$F$5:$F$549,MATCH(A31,Clientes!$C$5:$C$549,0)))),"NO EXISTE en Clientes"))</f>
        <v/>
      </c>
      <c r="C31" s="17" t="n"/>
      <c r="D31" s="17" t="n"/>
      <c r="E31" s="17" t="n"/>
      <c r="F31" s="23" t="n"/>
      <c r="G31" s="23" t="n"/>
      <c r="H31" s="23" t="n"/>
      <c r="I31" s="17" t="n"/>
      <c r="J31" s="17" t="n"/>
      <c r="K31" s="17" t="n"/>
      <c r="L31" s="17">
        <f>IF(AND(A31="",C31=""),"",IF(A31="","FALTA doc. cliente",IF(B31="NO EXISTE en Clientes","CLIENTE no está en hoja Clientes",IF(C31="","FALTA nombre",IF(AND(K31="SI",COUNTIFS($A$5:$A$499,A31,$K$5:$K$499,"SI")&gt;1),"Más de un contacto principal para este cliente","OK")))))</f>
        <v/>
      </c>
      <c r="M31" s="28">
        <f>IF(L31&lt;&gt;"OK","","INSERT INTO cli_contacto (id_cliente, nombre, apellido_paterno, apellido_materno, telefono1, telefono2, telefono3, email, direccion, es_principal, estado) SELECT "&amp;"(SELECT id FROM cli_clientes WHERE numero_documento = '"&amp;SUBSTITUTE(TRIM(A31),"'","''")&amp;"' AND estado = 1 LIMIT 1)"&amp;", "&amp;IF(TRIM(C31&amp;"")="","NULL","'"&amp;SUBSTITUTE(TRIM(C31),"'","''")&amp;"'")&amp;", "&amp;IF(TRIM(D31&amp;"")="","NULL","'"&amp;SUBSTITUTE(TRIM(D31),"'","''")&amp;"'")&amp;", "&amp;IF(TRIM(E31&amp;"")="","NULL","'"&amp;SUBSTITUTE(TRIM(E31),"'","''")&amp;"'")&amp;", "&amp;IF(TRIM(F31&amp;"")="","NULL","'"&amp;SUBSTITUTE(TRIM(F31),"'","''")&amp;"'")&amp;", "&amp;IF(TRIM(G31&amp;"")="","NULL","'"&amp;SUBSTITUTE(TRIM(G31),"'","''")&amp;"'")&amp;", "&amp;IF(TRIM(H31&amp;"")="","NULL","'"&amp;SUBSTITUTE(TRIM(H31),"'","''")&amp;"'")&amp;", "&amp;IF(TRIM(I31&amp;"")="","NULL","'"&amp;SUBSTITUTE(TRIM(I31),"'","''")&amp;"'")&amp;", "&amp;IF(TRIM(J31&amp;"")="","NULL","'"&amp;SUBSTITUTE(TRIM(J31),"'","''")&amp;"'")&amp;", "&amp;IF(UPPER(TRIM(K31&amp;""))="SI","TRUE","FALSE")&amp;", 1"&amp;" WHERE NOT EXISTS (SELECT 1 FROM cli_contacto c WHERE c.id_cliente = "&amp;"(SELECT id FROM cli_clientes WHERE numero_documento = '"&amp;SUBSTITUTE(TRIM(A31),"'","''")&amp;"' AND estado = 1 LIMIT 1)"&amp;" AND upper(c.nombre) = upper("&amp;IF(TRIM(C31&amp;"")="","NULL","'"&amp;SUBSTITUTE(TRIM(C31),"'","''")&amp;"'")&amp;") AND coalesce(c.telefono1,'') = coalesce("&amp;IF(TRIM(F31&amp;"")="","NULL","'"&amp;SUBSTITUTE(TRIM(F31),"'","''")&amp;"'")&amp;",''));")</f>
        <v/>
      </c>
    </row>
    <row r="32" ht="15.75" customHeight="1" s="64">
      <c r="A32" s="23" t="n"/>
      <c r="B32" s="25">
        <f t="array" ref="B32">IF(A32="","",IFERROR(IF(INDEX(Clientes!$D$5:$D$549,MATCH(A32,Clientes!$C$5:$C$549,0))&lt;&gt;"",INDEX(Clientes!$D$5:$D$549,MATCH(A32,Clientes!$C$5:$C$549,0)),TRIM(INDEX(Clientes!$E$5:$E$549,MATCH(A32,Clientes!$C$5:$C$549,0))&amp;" "&amp;INDEX(Clientes!$F$5:$F$549,MATCH(A32,Clientes!$C$5:$C$549,0)))),"NO EXISTE en Clientes"))</f>
        <v/>
      </c>
      <c r="C32" s="17" t="n"/>
      <c r="D32" s="17" t="n"/>
      <c r="E32" s="17" t="n"/>
      <c r="F32" s="23" t="n"/>
      <c r="G32" s="23" t="n"/>
      <c r="H32" s="23" t="n"/>
      <c r="I32" s="17" t="n"/>
      <c r="J32" s="17" t="n"/>
      <c r="K32" s="17" t="n"/>
      <c r="L32" s="17">
        <f>IF(AND(A32="",C32=""),"",IF(A32="","FALTA doc. cliente",IF(B32="NO EXISTE en Clientes","CLIENTE no está en hoja Clientes",IF(C32="","FALTA nombre",IF(AND(K32="SI",COUNTIFS($A$5:$A$499,A32,$K$5:$K$499,"SI")&gt;1),"Más de un contacto principal para este cliente","OK")))))</f>
        <v/>
      </c>
      <c r="M32" s="28">
        <f>IF(L32&lt;&gt;"OK","","INSERT INTO cli_contacto (id_cliente, nombre, apellido_paterno, apellido_materno, telefono1, telefono2, telefono3, email, direccion, es_principal, estado) SELECT "&amp;"(SELECT id FROM cli_clientes WHERE numero_documento = '"&amp;SUBSTITUTE(TRIM(A32),"'","''")&amp;"' AND estado = 1 LIMIT 1)"&amp;", "&amp;IF(TRIM(C32&amp;"")="","NULL","'"&amp;SUBSTITUTE(TRIM(C32),"'","''")&amp;"'")&amp;", "&amp;IF(TRIM(D32&amp;"")="","NULL","'"&amp;SUBSTITUTE(TRIM(D32),"'","''")&amp;"'")&amp;", "&amp;IF(TRIM(E32&amp;"")="","NULL","'"&amp;SUBSTITUTE(TRIM(E32),"'","''")&amp;"'")&amp;", "&amp;IF(TRIM(F32&amp;"")="","NULL","'"&amp;SUBSTITUTE(TRIM(F32),"'","''")&amp;"'")&amp;", "&amp;IF(TRIM(G32&amp;"")="","NULL","'"&amp;SUBSTITUTE(TRIM(G32),"'","''")&amp;"'")&amp;", "&amp;IF(TRIM(H32&amp;"")="","NULL","'"&amp;SUBSTITUTE(TRIM(H32),"'","''")&amp;"'")&amp;", "&amp;IF(TRIM(I32&amp;"")="","NULL","'"&amp;SUBSTITUTE(TRIM(I32),"'","''")&amp;"'")&amp;", "&amp;IF(TRIM(J32&amp;"")="","NULL","'"&amp;SUBSTITUTE(TRIM(J32),"'","''")&amp;"'")&amp;", "&amp;IF(UPPER(TRIM(K32&amp;""))="SI","TRUE","FALSE")&amp;", 1"&amp;" WHERE NOT EXISTS (SELECT 1 FROM cli_contacto c WHERE c.id_cliente = "&amp;"(SELECT id FROM cli_clientes WHERE numero_documento = '"&amp;SUBSTITUTE(TRIM(A32),"'","''")&amp;"' AND estado = 1 LIMIT 1)"&amp;" AND upper(c.nombre) = upper("&amp;IF(TRIM(C32&amp;"")="","NULL","'"&amp;SUBSTITUTE(TRIM(C32),"'","''")&amp;"'")&amp;") AND coalesce(c.telefono1,'') = coalesce("&amp;IF(TRIM(F32&amp;"")="","NULL","'"&amp;SUBSTITUTE(TRIM(F32),"'","''")&amp;"'")&amp;",''));")</f>
        <v/>
      </c>
    </row>
    <row r="33" ht="15.75" customHeight="1" s="64">
      <c r="A33" s="23" t="n"/>
      <c r="B33" s="25">
        <f t="array" ref="B33">IF(A33="","",IFERROR(IF(INDEX(Clientes!$D$5:$D$549,MATCH(A33,Clientes!$C$5:$C$549,0))&lt;&gt;"",INDEX(Clientes!$D$5:$D$549,MATCH(A33,Clientes!$C$5:$C$549,0)),TRIM(INDEX(Clientes!$E$5:$E$549,MATCH(A33,Clientes!$C$5:$C$549,0))&amp;" "&amp;INDEX(Clientes!$F$5:$F$549,MATCH(A33,Clientes!$C$5:$C$549,0)))),"NO EXISTE en Clientes"))</f>
        <v/>
      </c>
      <c r="C33" s="17" t="n"/>
      <c r="D33" s="17" t="n"/>
      <c r="E33" s="17" t="n"/>
      <c r="F33" s="23" t="n"/>
      <c r="G33" s="23" t="n"/>
      <c r="H33" s="23" t="n"/>
      <c r="I33" s="17" t="n"/>
      <c r="J33" s="17" t="n"/>
      <c r="K33" s="17" t="n"/>
      <c r="L33" s="17">
        <f>IF(AND(A33="",C33=""),"",IF(A33="","FALTA doc. cliente",IF(B33="NO EXISTE en Clientes","CLIENTE no está en hoja Clientes",IF(C33="","FALTA nombre",IF(AND(K33="SI",COUNTIFS($A$5:$A$499,A33,$K$5:$K$499,"SI")&gt;1),"Más de un contacto principal para este cliente","OK")))))</f>
        <v/>
      </c>
      <c r="M33" s="28">
        <f>IF(L33&lt;&gt;"OK","","INSERT INTO cli_contacto (id_cliente, nombre, apellido_paterno, apellido_materno, telefono1, telefono2, telefono3, email, direccion, es_principal, estado) SELECT "&amp;"(SELECT id FROM cli_clientes WHERE numero_documento = '"&amp;SUBSTITUTE(TRIM(A33),"'","''")&amp;"' AND estado = 1 LIMIT 1)"&amp;", "&amp;IF(TRIM(C33&amp;"")="","NULL","'"&amp;SUBSTITUTE(TRIM(C33),"'","''")&amp;"'")&amp;", "&amp;IF(TRIM(D33&amp;"")="","NULL","'"&amp;SUBSTITUTE(TRIM(D33),"'","''")&amp;"'")&amp;", "&amp;IF(TRIM(E33&amp;"")="","NULL","'"&amp;SUBSTITUTE(TRIM(E33),"'","''")&amp;"'")&amp;", "&amp;IF(TRIM(F33&amp;"")="","NULL","'"&amp;SUBSTITUTE(TRIM(F33),"'","''")&amp;"'")&amp;", "&amp;IF(TRIM(G33&amp;"")="","NULL","'"&amp;SUBSTITUTE(TRIM(G33),"'","''")&amp;"'")&amp;", "&amp;IF(TRIM(H33&amp;"")="","NULL","'"&amp;SUBSTITUTE(TRIM(H33),"'","''")&amp;"'")&amp;", "&amp;IF(TRIM(I33&amp;"")="","NULL","'"&amp;SUBSTITUTE(TRIM(I33),"'","''")&amp;"'")&amp;", "&amp;IF(TRIM(J33&amp;"")="","NULL","'"&amp;SUBSTITUTE(TRIM(J33),"'","''")&amp;"'")&amp;", "&amp;IF(UPPER(TRIM(K33&amp;""))="SI","TRUE","FALSE")&amp;", 1"&amp;" WHERE NOT EXISTS (SELECT 1 FROM cli_contacto c WHERE c.id_cliente = "&amp;"(SELECT id FROM cli_clientes WHERE numero_documento = '"&amp;SUBSTITUTE(TRIM(A33),"'","''")&amp;"' AND estado = 1 LIMIT 1)"&amp;" AND upper(c.nombre) = upper("&amp;IF(TRIM(C33&amp;"")="","NULL","'"&amp;SUBSTITUTE(TRIM(C33),"'","''")&amp;"'")&amp;") AND coalesce(c.telefono1,'') = coalesce("&amp;IF(TRIM(F33&amp;"")="","NULL","'"&amp;SUBSTITUTE(TRIM(F33),"'","''")&amp;"'")&amp;",''));")</f>
        <v/>
      </c>
    </row>
    <row r="34" ht="15.75" customHeight="1" s="64">
      <c r="A34" s="23" t="n"/>
      <c r="B34" s="25">
        <f t="array" ref="B34">IF(A34="","",IFERROR(IF(INDEX(Clientes!$D$5:$D$549,MATCH(A34,Clientes!$C$5:$C$549,0))&lt;&gt;"",INDEX(Clientes!$D$5:$D$549,MATCH(A34,Clientes!$C$5:$C$549,0)),TRIM(INDEX(Clientes!$E$5:$E$549,MATCH(A34,Clientes!$C$5:$C$549,0))&amp;" "&amp;INDEX(Clientes!$F$5:$F$549,MATCH(A34,Clientes!$C$5:$C$549,0)))),"NO EXISTE en Clientes"))</f>
        <v/>
      </c>
      <c r="C34" s="17" t="n"/>
      <c r="D34" s="17" t="n"/>
      <c r="E34" s="17" t="n"/>
      <c r="F34" s="23" t="n"/>
      <c r="G34" s="23" t="n"/>
      <c r="H34" s="23" t="n"/>
      <c r="I34" s="17" t="n"/>
      <c r="J34" s="17" t="n"/>
      <c r="K34" s="17" t="n"/>
      <c r="L34" s="17">
        <f>IF(AND(A34="",C34=""),"",IF(A34="","FALTA doc. cliente",IF(B34="NO EXISTE en Clientes","CLIENTE no está en hoja Clientes",IF(C34="","FALTA nombre",IF(AND(K34="SI",COUNTIFS($A$5:$A$499,A34,$K$5:$K$499,"SI")&gt;1),"Más de un contacto principal para este cliente","OK")))))</f>
        <v/>
      </c>
      <c r="M34" s="28">
        <f>IF(L34&lt;&gt;"OK","","INSERT INTO cli_contacto (id_cliente, nombre, apellido_paterno, apellido_materno, telefono1, telefono2, telefono3, email, direccion, es_principal, estado) SELECT "&amp;"(SELECT id FROM cli_clientes WHERE numero_documento = '"&amp;SUBSTITUTE(TRIM(A34),"'","''")&amp;"' AND estado = 1 LIMIT 1)"&amp;", "&amp;IF(TRIM(C34&amp;"")="","NULL","'"&amp;SUBSTITUTE(TRIM(C34),"'","''")&amp;"'")&amp;", "&amp;IF(TRIM(D34&amp;"")="","NULL","'"&amp;SUBSTITUTE(TRIM(D34),"'","''")&amp;"'")&amp;", "&amp;IF(TRIM(E34&amp;"")="","NULL","'"&amp;SUBSTITUTE(TRIM(E34),"'","''")&amp;"'")&amp;", "&amp;IF(TRIM(F34&amp;"")="","NULL","'"&amp;SUBSTITUTE(TRIM(F34),"'","''")&amp;"'")&amp;", "&amp;IF(TRIM(G34&amp;"")="","NULL","'"&amp;SUBSTITUTE(TRIM(G34),"'","''")&amp;"'")&amp;", "&amp;IF(TRIM(H34&amp;"")="","NULL","'"&amp;SUBSTITUTE(TRIM(H34),"'","''")&amp;"'")&amp;", "&amp;IF(TRIM(I34&amp;"")="","NULL","'"&amp;SUBSTITUTE(TRIM(I34),"'","''")&amp;"'")&amp;", "&amp;IF(TRIM(J34&amp;"")="","NULL","'"&amp;SUBSTITUTE(TRIM(J34),"'","''")&amp;"'")&amp;", "&amp;IF(UPPER(TRIM(K34&amp;""))="SI","TRUE","FALSE")&amp;", 1"&amp;" WHERE NOT EXISTS (SELECT 1 FROM cli_contacto c WHERE c.id_cliente = "&amp;"(SELECT id FROM cli_clientes WHERE numero_documento = '"&amp;SUBSTITUTE(TRIM(A34),"'","''")&amp;"' AND estado = 1 LIMIT 1)"&amp;" AND upper(c.nombre) = upper("&amp;IF(TRIM(C34&amp;"")="","NULL","'"&amp;SUBSTITUTE(TRIM(C34),"'","''")&amp;"'")&amp;") AND coalesce(c.telefono1,'') = coalesce("&amp;IF(TRIM(F34&amp;"")="","NULL","'"&amp;SUBSTITUTE(TRIM(F34),"'","''")&amp;"'")&amp;",''));")</f>
        <v/>
      </c>
    </row>
    <row r="35" ht="15.75" customHeight="1" s="64">
      <c r="A35" s="23" t="n"/>
      <c r="B35" s="25">
        <f t="array" ref="B35">IF(A35="","",IFERROR(IF(INDEX(Clientes!$D$5:$D$549,MATCH(A35,Clientes!$C$5:$C$549,0))&lt;&gt;"",INDEX(Clientes!$D$5:$D$549,MATCH(A35,Clientes!$C$5:$C$549,0)),TRIM(INDEX(Clientes!$E$5:$E$549,MATCH(A35,Clientes!$C$5:$C$549,0))&amp;" "&amp;INDEX(Clientes!$F$5:$F$549,MATCH(A35,Clientes!$C$5:$C$549,0)))),"NO EXISTE en Clientes"))</f>
        <v/>
      </c>
      <c r="C35" s="17" t="n"/>
      <c r="D35" s="17" t="n"/>
      <c r="E35" s="17" t="n"/>
      <c r="F35" s="23" t="n"/>
      <c r="G35" s="23" t="n"/>
      <c r="H35" s="23" t="n"/>
      <c r="I35" s="17" t="n"/>
      <c r="J35" s="17" t="n"/>
      <c r="K35" s="17" t="n"/>
      <c r="L35" s="17">
        <f>IF(AND(A35="",C35=""),"",IF(A35="","FALTA doc. cliente",IF(B35="NO EXISTE en Clientes","CLIENTE no está en hoja Clientes",IF(C35="","FALTA nombre",IF(AND(K35="SI",COUNTIFS($A$5:$A$499,A35,$K$5:$K$499,"SI")&gt;1),"Más de un contacto principal para este cliente","OK")))))</f>
        <v/>
      </c>
      <c r="M35" s="28">
        <f>IF(L35&lt;&gt;"OK","","INSERT INTO cli_contacto (id_cliente, nombre, apellido_paterno, apellido_materno, telefono1, telefono2, telefono3, email, direccion, es_principal, estado) SELECT "&amp;"(SELECT id FROM cli_clientes WHERE numero_documento = '"&amp;SUBSTITUTE(TRIM(A35),"'","''")&amp;"' AND estado = 1 LIMIT 1)"&amp;", "&amp;IF(TRIM(C35&amp;"")="","NULL","'"&amp;SUBSTITUTE(TRIM(C35),"'","''")&amp;"'")&amp;", "&amp;IF(TRIM(D35&amp;"")="","NULL","'"&amp;SUBSTITUTE(TRIM(D35),"'","''")&amp;"'")&amp;", "&amp;IF(TRIM(E35&amp;"")="","NULL","'"&amp;SUBSTITUTE(TRIM(E35),"'","''")&amp;"'")&amp;", "&amp;IF(TRIM(F35&amp;"")="","NULL","'"&amp;SUBSTITUTE(TRIM(F35),"'","''")&amp;"'")&amp;", "&amp;IF(TRIM(G35&amp;"")="","NULL","'"&amp;SUBSTITUTE(TRIM(G35),"'","''")&amp;"'")&amp;", "&amp;IF(TRIM(H35&amp;"")="","NULL","'"&amp;SUBSTITUTE(TRIM(H35),"'","''")&amp;"'")&amp;", "&amp;IF(TRIM(I35&amp;"")="","NULL","'"&amp;SUBSTITUTE(TRIM(I35),"'","''")&amp;"'")&amp;", "&amp;IF(TRIM(J35&amp;"")="","NULL","'"&amp;SUBSTITUTE(TRIM(J35),"'","''")&amp;"'")&amp;", "&amp;IF(UPPER(TRIM(K35&amp;""))="SI","TRUE","FALSE")&amp;", 1"&amp;" WHERE NOT EXISTS (SELECT 1 FROM cli_contacto c WHERE c.id_cliente = "&amp;"(SELECT id FROM cli_clientes WHERE numero_documento = '"&amp;SUBSTITUTE(TRIM(A35),"'","''")&amp;"' AND estado = 1 LIMIT 1)"&amp;" AND upper(c.nombre) = upper("&amp;IF(TRIM(C35&amp;"")="","NULL","'"&amp;SUBSTITUTE(TRIM(C35),"'","''")&amp;"'")&amp;") AND coalesce(c.telefono1,'') = coalesce("&amp;IF(TRIM(F35&amp;"")="","NULL","'"&amp;SUBSTITUTE(TRIM(F35),"'","''")&amp;"'")&amp;",''));")</f>
        <v/>
      </c>
    </row>
    <row r="36" ht="15.75" customHeight="1" s="64">
      <c r="A36" s="23" t="n"/>
      <c r="B36" s="25">
        <f t="array" ref="B36">IF(A36="","",IFERROR(IF(INDEX(Clientes!$D$5:$D$549,MATCH(A36,Clientes!$C$5:$C$549,0))&lt;&gt;"",INDEX(Clientes!$D$5:$D$549,MATCH(A36,Clientes!$C$5:$C$549,0)),TRIM(INDEX(Clientes!$E$5:$E$549,MATCH(A36,Clientes!$C$5:$C$549,0))&amp;" "&amp;INDEX(Clientes!$F$5:$F$549,MATCH(A36,Clientes!$C$5:$C$549,0)))),"NO EXISTE en Clientes"))</f>
        <v/>
      </c>
      <c r="C36" s="17" t="n"/>
      <c r="D36" s="17" t="n"/>
      <c r="E36" s="17" t="n"/>
      <c r="F36" s="23" t="n"/>
      <c r="G36" s="23" t="n"/>
      <c r="H36" s="23" t="n"/>
      <c r="I36" s="17" t="n"/>
      <c r="J36" s="17" t="n"/>
      <c r="K36" s="17" t="n"/>
      <c r="L36" s="17">
        <f>IF(AND(A36="",C36=""),"",IF(A36="","FALTA doc. cliente",IF(B36="NO EXISTE en Clientes","CLIENTE no está en hoja Clientes",IF(C36="","FALTA nombre",IF(AND(K36="SI",COUNTIFS($A$5:$A$499,A36,$K$5:$K$499,"SI")&gt;1),"Más de un contacto principal para este cliente","OK")))))</f>
        <v/>
      </c>
      <c r="M36" s="28">
        <f>IF(L36&lt;&gt;"OK","","INSERT INTO cli_contacto (id_cliente, nombre, apellido_paterno, apellido_materno, telefono1, telefono2, telefono3, email, direccion, es_principal, estado) SELECT "&amp;"(SELECT id FROM cli_clientes WHERE numero_documento = '"&amp;SUBSTITUTE(TRIM(A36),"'","''")&amp;"' AND estado = 1 LIMIT 1)"&amp;", "&amp;IF(TRIM(C36&amp;"")="","NULL","'"&amp;SUBSTITUTE(TRIM(C36),"'","''")&amp;"'")&amp;", "&amp;IF(TRIM(D36&amp;"")="","NULL","'"&amp;SUBSTITUTE(TRIM(D36),"'","''")&amp;"'")&amp;", "&amp;IF(TRIM(E36&amp;"")="","NULL","'"&amp;SUBSTITUTE(TRIM(E36),"'","''")&amp;"'")&amp;", "&amp;IF(TRIM(F36&amp;"")="","NULL","'"&amp;SUBSTITUTE(TRIM(F36),"'","''")&amp;"'")&amp;", "&amp;IF(TRIM(G36&amp;"")="","NULL","'"&amp;SUBSTITUTE(TRIM(G36),"'","''")&amp;"'")&amp;", "&amp;IF(TRIM(H36&amp;"")="","NULL","'"&amp;SUBSTITUTE(TRIM(H36),"'","''")&amp;"'")&amp;", "&amp;IF(TRIM(I36&amp;"")="","NULL","'"&amp;SUBSTITUTE(TRIM(I36),"'","''")&amp;"'")&amp;", "&amp;IF(TRIM(J36&amp;"")="","NULL","'"&amp;SUBSTITUTE(TRIM(J36),"'","''")&amp;"'")&amp;", "&amp;IF(UPPER(TRIM(K36&amp;""))="SI","TRUE","FALSE")&amp;", 1"&amp;" WHERE NOT EXISTS (SELECT 1 FROM cli_contacto c WHERE c.id_cliente = "&amp;"(SELECT id FROM cli_clientes WHERE numero_documento = '"&amp;SUBSTITUTE(TRIM(A36),"'","''")&amp;"' AND estado = 1 LIMIT 1)"&amp;" AND upper(c.nombre) = upper("&amp;IF(TRIM(C36&amp;"")="","NULL","'"&amp;SUBSTITUTE(TRIM(C36),"'","''")&amp;"'")&amp;") AND coalesce(c.telefono1,'') = coalesce("&amp;IF(TRIM(F36&amp;"")="","NULL","'"&amp;SUBSTITUTE(TRIM(F36),"'","''")&amp;"'")&amp;",''));")</f>
        <v/>
      </c>
    </row>
    <row r="37" ht="15.75" customHeight="1" s="64">
      <c r="A37" s="23" t="n"/>
      <c r="B37" s="25">
        <f t="array" ref="B37">IF(A37="","",IFERROR(IF(INDEX(Clientes!$D$5:$D$549,MATCH(A37,Clientes!$C$5:$C$549,0))&lt;&gt;"",INDEX(Clientes!$D$5:$D$549,MATCH(A37,Clientes!$C$5:$C$549,0)),TRIM(INDEX(Clientes!$E$5:$E$549,MATCH(A37,Clientes!$C$5:$C$549,0))&amp;" "&amp;INDEX(Clientes!$F$5:$F$549,MATCH(A37,Clientes!$C$5:$C$549,0)))),"NO EXISTE en Clientes"))</f>
        <v/>
      </c>
      <c r="C37" s="17" t="n"/>
      <c r="D37" s="17" t="n"/>
      <c r="E37" s="17" t="n"/>
      <c r="F37" s="23" t="n"/>
      <c r="G37" s="23" t="n"/>
      <c r="H37" s="23" t="n"/>
      <c r="I37" s="17" t="n"/>
      <c r="J37" s="17" t="n"/>
      <c r="K37" s="17" t="n"/>
      <c r="L37" s="17">
        <f>IF(AND(A37="",C37=""),"",IF(A37="","FALTA doc. cliente",IF(B37="NO EXISTE en Clientes","CLIENTE no está en hoja Clientes",IF(C37="","FALTA nombre",IF(AND(K37="SI",COUNTIFS($A$5:$A$499,A37,$K$5:$K$499,"SI")&gt;1),"Más de un contacto principal para este cliente","OK")))))</f>
        <v/>
      </c>
      <c r="M37" s="28">
        <f>IF(L37&lt;&gt;"OK","","INSERT INTO cli_contacto (id_cliente, nombre, apellido_paterno, apellido_materno, telefono1, telefono2, telefono3, email, direccion, es_principal, estado) SELECT "&amp;"(SELECT id FROM cli_clientes WHERE numero_documento = '"&amp;SUBSTITUTE(TRIM(A37),"'","''")&amp;"' AND estado = 1 LIMIT 1)"&amp;", "&amp;IF(TRIM(C37&amp;"")="","NULL","'"&amp;SUBSTITUTE(TRIM(C37),"'","''")&amp;"'")&amp;", "&amp;IF(TRIM(D37&amp;"")="","NULL","'"&amp;SUBSTITUTE(TRIM(D37),"'","''")&amp;"'")&amp;", "&amp;IF(TRIM(E37&amp;"")="","NULL","'"&amp;SUBSTITUTE(TRIM(E37),"'","''")&amp;"'")&amp;", "&amp;IF(TRIM(F37&amp;"")="","NULL","'"&amp;SUBSTITUTE(TRIM(F37),"'","''")&amp;"'")&amp;", "&amp;IF(TRIM(G37&amp;"")="","NULL","'"&amp;SUBSTITUTE(TRIM(G37),"'","''")&amp;"'")&amp;", "&amp;IF(TRIM(H37&amp;"")="","NULL","'"&amp;SUBSTITUTE(TRIM(H37),"'","''")&amp;"'")&amp;", "&amp;IF(TRIM(I37&amp;"")="","NULL","'"&amp;SUBSTITUTE(TRIM(I37),"'","''")&amp;"'")&amp;", "&amp;IF(TRIM(J37&amp;"")="","NULL","'"&amp;SUBSTITUTE(TRIM(J37),"'","''")&amp;"'")&amp;", "&amp;IF(UPPER(TRIM(K37&amp;""))="SI","TRUE","FALSE")&amp;", 1"&amp;" WHERE NOT EXISTS (SELECT 1 FROM cli_contacto c WHERE c.id_cliente = "&amp;"(SELECT id FROM cli_clientes WHERE numero_documento = '"&amp;SUBSTITUTE(TRIM(A37),"'","''")&amp;"' AND estado = 1 LIMIT 1)"&amp;" AND upper(c.nombre) = upper("&amp;IF(TRIM(C37&amp;"")="","NULL","'"&amp;SUBSTITUTE(TRIM(C37),"'","''")&amp;"'")&amp;") AND coalesce(c.telefono1,'') = coalesce("&amp;IF(TRIM(F37&amp;"")="","NULL","'"&amp;SUBSTITUTE(TRIM(F37),"'","''")&amp;"'")&amp;",''));")</f>
        <v/>
      </c>
    </row>
    <row r="38" ht="15.75" customHeight="1" s="64">
      <c r="A38" s="23" t="n"/>
      <c r="B38" s="25">
        <f t="array" ref="B38">IF(A38="","",IFERROR(IF(INDEX(Clientes!$D$5:$D$549,MATCH(A38,Clientes!$C$5:$C$549,0))&lt;&gt;"",INDEX(Clientes!$D$5:$D$549,MATCH(A38,Clientes!$C$5:$C$549,0)),TRIM(INDEX(Clientes!$E$5:$E$549,MATCH(A38,Clientes!$C$5:$C$549,0))&amp;" "&amp;INDEX(Clientes!$F$5:$F$549,MATCH(A38,Clientes!$C$5:$C$549,0)))),"NO EXISTE en Clientes"))</f>
        <v/>
      </c>
      <c r="C38" s="17" t="n"/>
      <c r="D38" s="17" t="n"/>
      <c r="E38" s="17" t="n"/>
      <c r="F38" s="23" t="n"/>
      <c r="G38" s="23" t="n"/>
      <c r="H38" s="23" t="n"/>
      <c r="I38" s="17" t="n"/>
      <c r="J38" s="17" t="n"/>
      <c r="K38" s="17" t="n"/>
      <c r="L38" s="17">
        <f>IF(AND(A38="",C38=""),"",IF(A38="","FALTA doc. cliente",IF(B38="NO EXISTE en Clientes","CLIENTE no está en hoja Clientes",IF(C38="","FALTA nombre",IF(AND(K38="SI",COUNTIFS($A$5:$A$499,A38,$K$5:$K$499,"SI")&gt;1),"Más de un contacto principal para este cliente","OK")))))</f>
        <v/>
      </c>
      <c r="M38" s="28">
        <f>IF(L38&lt;&gt;"OK","","INSERT INTO cli_contacto (id_cliente, nombre, apellido_paterno, apellido_materno, telefono1, telefono2, telefono3, email, direccion, es_principal, estado) SELECT "&amp;"(SELECT id FROM cli_clientes WHERE numero_documento = '"&amp;SUBSTITUTE(TRIM(A38),"'","''")&amp;"' AND estado = 1 LIMIT 1)"&amp;", "&amp;IF(TRIM(C38&amp;"")="","NULL","'"&amp;SUBSTITUTE(TRIM(C38),"'","''")&amp;"'")&amp;", "&amp;IF(TRIM(D38&amp;"")="","NULL","'"&amp;SUBSTITUTE(TRIM(D38),"'","''")&amp;"'")&amp;", "&amp;IF(TRIM(E38&amp;"")="","NULL","'"&amp;SUBSTITUTE(TRIM(E38),"'","''")&amp;"'")&amp;", "&amp;IF(TRIM(F38&amp;"")="","NULL","'"&amp;SUBSTITUTE(TRIM(F38),"'","''")&amp;"'")&amp;", "&amp;IF(TRIM(G38&amp;"")="","NULL","'"&amp;SUBSTITUTE(TRIM(G38),"'","''")&amp;"'")&amp;", "&amp;IF(TRIM(H38&amp;"")="","NULL","'"&amp;SUBSTITUTE(TRIM(H38),"'","''")&amp;"'")&amp;", "&amp;IF(TRIM(I38&amp;"")="","NULL","'"&amp;SUBSTITUTE(TRIM(I38),"'","''")&amp;"'")&amp;", "&amp;IF(TRIM(J38&amp;"")="","NULL","'"&amp;SUBSTITUTE(TRIM(J38),"'","''")&amp;"'")&amp;", "&amp;IF(UPPER(TRIM(K38&amp;""))="SI","TRUE","FALSE")&amp;", 1"&amp;" WHERE NOT EXISTS (SELECT 1 FROM cli_contacto c WHERE c.id_cliente = "&amp;"(SELECT id FROM cli_clientes WHERE numero_documento = '"&amp;SUBSTITUTE(TRIM(A38),"'","''")&amp;"' AND estado = 1 LIMIT 1)"&amp;" AND upper(c.nombre) = upper("&amp;IF(TRIM(C38&amp;"")="","NULL","'"&amp;SUBSTITUTE(TRIM(C38),"'","''")&amp;"'")&amp;") AND coalesce(c.telefono1,'') = coalesce("&amp;IF(TRIM(F38&amp;"")="","NULL","'"&amp;SUBSTITUTE(TRIM(F38),"'","''")&amp;"'")&amp;",''));")</f>
        <v/>
      </c>
    </row>
    <row r="39" ht="15.75" customHeight="1" s="64">
      <c r="A39" s="23" t="n"/>
      <c r="B39" s="25">
        <f t="array" ref="B39">IF(A39="","",IFERROR(IF(INDEX(Clientes!$D$5:$D$549,MATCH(A39,Clientes!$C$5:$C$549,0))&lt;&gt;"",INDEX(Clientes!$D$5:$D$549,MATCH(A39,Clientes!$C$5:$C$549,0)),TRIM(INDEX(Clientes!$E$5:$E$549,MATCH(A39,Clientes!$C$5:$C$549,0))&amp;" "&amp;INDEX(Clientes!$F$5:$F$549,MATCH(A39,Clientes!$C$5:$C$549,0)))),"NO EXISTE en Clientes"))</f>
        <v/>
      </c>
      <c r="C39" s="17" t="n"/>
      <c r="D39" s="17" t="n"/>
      <c r="E39" s="17" t="n"/>
      <c r="F39" s="23" t="n"/>
      <c r="G39" s="23" t="n"/>
      <c r="H39" s="23" t="n"/>
      <c r="I39" s="17" t="n"/>
      <c r="J39" s="17" t="n"/>
      <c r="K39" s="17" t="n"/>
      <c r="L39" s="17">
        <f>IF(AND(A39="",C39=""),"",IF(A39="","FALTA doc. cliente",IF(B39="NO EXISTE en Clientes","CLIENTE no está en hoja Clientes",IF(C39="","FALTA nombre",IF(AND(K39="SI",COUNTIFS($A$5:$A$499,A39,$K$5:$K$499,"SI")&gt;1),"Más de un contacto principal para este cliente","OK")))))</f>
        <v/>
      </c>
      <c r="M39" s="28">
        <f>IF(L39&lt;&gt;"OK","","INSERT INTO cli_contacto (id_cliente, nombre, apellido_paterno, apellido_materno, telefono1, telefono2, telefono3, email, direccion, es_principal, estado) SELECT "&amp;"(SELECT id FROM cli_clientes WHERE numero_documento = '"&amp;SUBSTITUTE(TRIM(A39),"'","''")&amp;"' AND estado = 1 LIMIT 1)"&amp;", "&amp;IF(TRIM(C39&amp;"")="","NULL","'"&amp;SUBSTITUTE(TRIM(C39),"'","''")&amp;"'")&amp;", "&amp;IF(TRIM(D39&amp;"")="","NULL","'"&amp;SUBSTITUTE(TRIM(D39),"'","''")&amp;"'")&amp;", "&amp;IF(TRIM(E39&amp;"")="","NULL","'"&amp;SUBSTITUTE(TRIM(E39),"'","''")&amp;"'")&amp;", "&amp;IF(TRIM(F39&amp;"")="","NULL","'"&amp;SUBSTITUTE(TRIM(F39),"'","''")&amp;"'")&amp;", "&amp;IF(TRIM(G39&amp;"")="","NULL","'"&amp;SUBSTITUTE(TRIM(G39),"'","''")&amp;"'")&amp;", "&amp;IF(TRIM(H39&amp;"")="","NULL","'"&amp;SUBSTITUTE(TRIM(H39),"'","''")&amp;"'")&amp;", "&amp;IF(TRIM(I39&amp;"")="","NULL","'"&amp;SUBSTITUTE(TRIM(I39),"'","''")&amp;"'")&amp;", "&amp;IF(TRIM(J39&amp;"")="","NULL","'"&amp;SUBSTITUTE(TRIM(J39),"'","''")&amp;"'")&amp;", "&amp;IF(UPPER(TRIM(K39&amp;""))="SI","TRUE","FALSE")&amp;", 1"&amp;" WHERE NOT EXISTS (SELECT 1 FROM cli_contacto c WHERE c.id_cliente = "&amp;"(SELECT id FROM cli_clientes WHERE numero_documento = '"&amp;SUBSTITUTE(TRIM(A39),"'","''")&amp;"' AND estado = 1 LIMIT 1)"&amp;" AND upper(c.nombre) = upper("&amp;IF(TRIM(C39&amp;"")="","NULL","'"&amp;SUBSTITUTE(TRIM(C39),"'","''")&amp;"'")&amp;") AND coalesce(c.telefono1,'') = coalesce("&amp;IF(TRIM(F39&amp;"")="","NULL","'"&amp;SUBSTITUTE(TRIM(F39),"'","''")&amp;"'")&amp;",''));")</f>
        <v/>
      </c>
    </row>
    <row r="40" ht="15.75" customHeight="1" s="64">
      <c r="A40" s="23" t="n"/>
      <c r="B40" s="25">
        <f t="array" ref="B40">IF(A40="","",IFERROR(IF(INDEX(Clientes!$D$5:$D$549,MATCH(A40,Clientes!$C$5:$C$549,0))&lt;&gt;"",INDEX(Clientes!$D$5:$D$549,MATCH(A40,Clientes!$C$5:$C$549,0)),TRIM(INDEX(Clientes!$E$5:$E$549,MATCH(A40,Clientes!$C$5:$C$549,0))&amp;" "&amp;INDEX(Clientes!$F$5:$F$549,MATCH(A40,Clientes!$C$5:$C$549,0)))),"NO EXISTE en Clientes"))</f>
        <v/>
      </c>
      <c r="C40" s="17" t="n"/>
      <c r="D40" s="17" t="n"/>
      <c r="E40" s="17" t="n"/>
      <c r="F40" s="23" t="n"/>
      <c r="G40" s="23" t="n"/>
      <c r="H40" s="23" t="n"/>
      <c r="I40" s="17" t="n"/>
      <c r="J40" s="17" t="n"/>
      <c r="K40" s="17" t="n"/>
      <c r="L40" s="17">
        <f>IF(AND(A40="",C40=""),"",IF(A40="","FALTA doc. cliente",IF(B40="NO EXISTE en Clientes","CLIENTE no está en hoja Clientes",IF(C40="","FALTA nombre",IF(AND(K40="SI",COUNTIFS($A$5:$A$499,A40,$K$5:$K$499,"SI")&gt;1),"Más de un contacto principal para este cliente","OK")))))</f>
        <v/>
      </c>
      <c r="M40" s="28">
        <f>IF(L40&lt;&gt;"OK","","INSERT INTO cli_contacto (id_cliente, nombre, apellido_paterno, apellido_materno, telefono1, telefono2, telefono3, email, direccion, es_principal, estado) SELECT "&amp;"(SELECT id FROM cli_clientes WHERE numero_documento = '"&amp;SUBSTITUTE(TRIM(A40),"'","''")&amp;"' AND estado = 1 LIMIT 1)"&amp;", "&amp;IF(TRIM(C40&amp;"")="","NULL","'"&amp;SUBSTITUTE(TRIM(C40),"'","''")&amp;"'")&amp;", "&amp;IF(TRIM(D40&amp;"")="","NULL","'"&amp;SUBSTITUTE(TRIM(D40),"'","''")&amp;"'")&amp;", "&amp;IF(TRIM(E40&amp;"")="","NULL","'"&amp;SUBSTITUTE(TRIM(E40),"'","''")&amp;"'")&amp;", "&amp;IF(TRIM(F40&amp;"")="","NULL","'"&amp;SUBSTITUTE(TRIM(F40),"'","''")&amp;"'")&amp;", "&amp;IF(TRIM(G40&amp;"")="","NULL","'"&amp;SUBSTITUTE(TRIM(G40),"'","''")&amp;"'")&amp;", "&amp;IF(TRIM(H40&amp;"")="","NULL","'"&amp;SUBSTITUTE(TRIM(H40),"'","''")&amp;"'")&amp;", "&amp;IF(TRIM(I40&amp;"")="","NULL","'"&amp;SUBSTITUTE(TRIM(I40),"'","''")&amp;"'")&amp;", "&amp;IF(TRIM(J40&amp;"")="","NULL","'"&amp;SUBSTITUTE(TRIM(J40),"'","''")&amp;"'")&amp;", "&amp;IF(UPPER(TRIM(K40&amp;""))="SI","TRUE","FALSE")&amp;", 1"&amp;" WHERE NOT EXISTS (SELECT 1 FROM cli_contacto c WHERE c.id_cliente = "&amp;"(SELECT id FROM cli_clientes WHERE numero_documento = '"&amp;SUBSTITUTE(TRIM(A40),"'","''")&amp;"' AND estado = 1 LIMIT 1)"&amp;" AND upper(c.nombre) = upper("&amp;IF(TRIM(C40&amp;"")="","NULL","'"&amp;SUBSTITUTE(TRIM(C40),"'","''")&amp;"'")&amp;") AND coalesce(c.telefono1,'') = coalesce("&amp;IF(TRIM(F40&amp;"")="","NULL","'"&amp;SUBSTITUTE(TRIM(F40),"'","''")&amp;"'")&amp;",''));")</f>
        <v/>
      </c>
    </row>
    <row r="41" ht="15.75" customHeight="1" s="64">
      <c r="A41" s="23" t="n"/>
      <c r="B41" s="25">
        <f t="array" ref="B41">IF(A41="","",IFERROR(IF(INDEX(Clientes!$D$5:$D$549,MATCH(A41,Clientes!$C$5:$C$549,0))&lt;&gt;"",INDEX(Clientes!$D$5:$D$549,MATCH(A41,Clientes!$C$5:$C$549,0)),TRIM(INDEX(Clientes!$E$5:$E$549,MATCH(A41,Clientes!$C$5:$C$549,0))&amp;" "&amp;INDEX(Clientes!$F$5:$F$549,MATCH(A41,Clientes!$C$5:$C$549,0)))),"NO EXISTE en Clientes"))</f>
        <v/>
      </c>
      <c r="C41" s="17" t="n"/>
      <c r="D41" s="17" t="n"/>
      <c r="E41" s="17" t="n"/>
      <c r="F41" s="23" t="n"/>
      <c r="G41" s="23" t="n"/>
      <c r="H41" s="23" t="n"/>
      <c r="I41" s="17" t="n"/>
      <c r="J41" s="17" t="n"/>
      <c r="K41" s="17" t="n"/>
      <c r="L41" s="17">
        <f>IF(AND(A41="",C41=""),"",IF(A41="","FALTA doc. cliente",IF(B41="NO EXISTE en Clientes","CLIENTE no está en hoja Clientes",IF(C41="","FALTA nombre",IF(AND(K41="SI",COUNTIFS($A$5:$A$499,A41,$K$5:$K$499,"SI")&gt;1),"Más de un contacto principal para este cliente","OK")))))</f>
        <v/>
      </c>
      <c r="M41" s="28">
        <f>IF(L41&lt;&gt;"OK","","INSERT INTO cli_contacto (id_cliente, nombre, apellido_paterno, apellido_materno, telefono1, telefono2, telefono3, email, direccion, es_principal, estado) SELECT "&amp;"(SELECT id FROM cli_clientes WHERE numero_documento = '"&amp;SUBSTITUTE(TRIM(A41),"'","''")&amp;"' AND estado = 1 LIMIT 1)"&amp;", "&amp;IF(TRIM(C41&amp;"")="","NULL","'"&amp;SUBSTITUTE(TRIM(C41),"'","''")&amp;"'")&amp;", "&amp;IF(TRIM(D41&amp;"")="","NULL","'"&amp;SUBSTITUTE(TRIM(D41),"'","''")&amp;"'")&amp;", "&amp;IF(TRIM(E41&amp;"")="","NULL","'"&amp;SUBSTITUTE(TRIM(E41),"'","''")&amp;"'")&amp;", "&amp;IF(TRIM(F41&amp;"")="","NULL","'"&amp;SUBSTITUTE(TRIM(F41),"'","''")&amp;"'")&amp;", "&amp;IF(TRIM(G41&amp;"")="","NULL","'"&amp;SUBSTITUTE(TRIM(G41),"'","''")&amp;"'")&amp;", "&amp;IF(TRIM(H41&amp;"")="","NULL","'"&amp;SUBSTITUTE(TRIM(H41),"'","''")&amp;"'")&amp;", "&amp;IF(TRIM(I41&amp;"")="","NULL","'"&amp;SUBSTITUTE(TRIM(I41),"'","''")&amp;"'")&amp;", "&amp;IF(TRIM(J41&amp;"")="","NULL","'"&amp;SUBSTITUTE(TRIM(J41),"'","''")&amp;"'")&amp;", "&amp;IF(UPPER(TRIM(K41&amp;""))="SI","TRUE","FALSE")&amp;", 1"&amp;" WHERE NOT EXISTS (SELECT 1 FROM cli_contacto c WHERE c.id_cliente = "&amp;"(SELECT id FROM cli_clientes WHERE numero_documento = '"&amp;SUBSTITUTE(TRIM(A41),"'","''")&amp;"' AND estado = 1 LIMIT 1)"&amp;" AND upper(c.nombre) = upper("&amp;IF(TRIM(C41&amp;"")="","NULL","'"&amp;SUBSTITUTE(TRIM(C41),"'","''")&amp;"'")&amp;") AND coalesce(c.telefono1,'') = coalesce("&amp;IF(TRIM(F41&amp;"")="","NULL","'"&amp;SUBSTITUTE(TRIM(F41),"'","''")&amp;"'")&amp;",''));")</f>
        <v/>
      </c>
    </row>
    <row r="42" ht="15.75" customHeight="1" s="64">
      <c r="A42" s="23" t="n"/>
      <c r="B42" s="25">
        <f t="array" ref="B42">IF(A42="","",IFERROR(IF(INDEX(Clientes!$D$5:$D$549,MATCH(A42,Clientes!$C$5:$C$549,0))&lt;&gt;"",INDEX(Clientes!$D$5:$D$549,MATCH(A42,Clientes!$C$5:$C$549,0)),TRIM(INDEX(Clientes!$E$5:$E$549,MATCH(A42,Clientes!$C$5:$C$549,0))&amp;" "&amp;INDEX(Clientes!$F$5:$F$549,MATCH(A42,Clientes!$C$5:$C$549,0)))),"NO EXISTE en Clientes"))</f>
        <v/>
      </c>
      <c r="C42" s="17" t="n"/>
      <c r="D42" s="17" t="n"/>
      <c r="E42" s="17" t="n"/>
      <c r="F42" s="23" t="n"/>
      <c r="G42" s="23" t="n"/>
      <c r="H42" s="23" t="n"/>
      <c r="I42" s="17" t="n"/>
      <c r="J42" s="17" t="n"/>
      <c r="K42" s="17" t="n"/>
      <c r="L42" s="17">
        <f>IF(AND(A42="",C42=""),"",IF(A42="","FALTA doc. cliente",IF(B42="NO EXISTE en Clientes","CLIENTE no está en hoja Clientes",IF(C42="","FALTA nombre",IF(AND(K42="SI",COUNTIFS($A$5:$A$499,A42,$K$5:$K$499,"SI")&gt;1),"Más de un contacto principal para este cliente","OK")))))</f>
        <v/>
      </c>
      <c r="M42" s="28">
        <f>IF(L42&lt;&gt;"OK","","INSERT INTO cli_contacto (id_cliente, nombre, apellido_paterno, apellido_materno, telefono1, telefono2, telefono3, email, direccion, es_principal, estado) SELECT "&amp;"(SELECT id FROM cli_clientes WHERE numero_documento = '"&amp;SUBSTITUTE(TRIM(A42),"'","''")&amp;"' AND estado = 1 LIMIT 1)"&amp;", "&amp;IF(TRIM(C42&amp;"")="","NULL","'"&amp;SUBSTITUTE(TRIM(C42),"'","''")&amp;"'")&amp;", "&amp;IF(TRIM(D42&amp;"")="","NULL","'"&amp;SUBSTITUTE(TRIM(D42),"'","''")&amp;"'")&amp;", "&amp;IF(TRIM(E42&amp;"")="","NULL","'"&amp;SUBSTITUTE(TRIM(E42),"'","''")&amp;"'")&amp;", "&amp;IF(TRIM(F42&amp;"")="","NULL","'"&amp;SUBSTITUTE(TRIM(F42),"'","''")&amp;"'")&amp;", "&amp;IF(TRIM(G42&amp;"")="","NULL","'"&amp;SUBSTITUTE(TRIM(G42),"'","''")&amp;"'")&amp;", "&amp;IF(TRIM(H42&amp;"")="","NULL","'"&amp;SUBSTITUTE(TRIM(H42),"'","''")&amp;"'")&amp;", "&amp;IF(TRIM(I42&amp;"")="","NULL","'"&amp;SUBSTITUTE(TRIM(I42),"'","''")&amp;"'")&amp;", "&amp;IF(TRIM(J42&amp;"")="","NULL","'"&amp;SUBSTITUTE(TRIM(J42),"'","''")&amp;"'")&amp;", "&amp;IF(UPPER(TRIM(K42&amp;""))="SI","TRUE","FALSE")&amp;", 1"&amp;" WHERE NOT EXISTS (SELECT 1 FROM cli_contacto c WHERE c.id_cliente = "&amp;"(SELECT id FROM cli_clientes WHERE numero_documento = '"&amp;SUBSTITUTE(TRIM(A42),"'","''")&amp;"' AND estado = 1 LIMIT 1)"&amp;" AND upper(c.nombre) = upper("&amp;IF(TRIM(C42&amp;"")="","NULL","'"&amp;SUBSTITUTE(TRIM(C42),"'","''")&amp;"'")&amp;") AND coalesce(c.telefono1,'') = coalesce("&amp;IF(TRIM(F42&amp;"")="","NULL","'"&amp;SUBSTITUTE(TRIM(F42),"'","''")&amp;"'")&amp;",''));")</f>
        <v/>
      </c>
    </row>
    <row r="43" ht="15.75" customHeight="1" s="64">
      <c r="A43" s="23" t="n"/>
      <c r="B43" s="25">
        <f t="array" ref="B43">IF(A43="","",IFERROR(IF(INDEX(Clientes!$D$5:$D$549,MATCH(A43,Clientes!$C$5:$C$549,0))&lt;&gt;"",INDEX(Clientes!$D$5:$D$549,MATCH(A43,Clientes!$C$5:$C$549,0)),TRIM(INDEX(Clientes!$E$5:$E$549,MATCH(A43,Clientes!$C$5:$C$549,0))&amp;" "&amp;INDEX(Clientes!$F$5:$F$549,MATCH(A43,Clientes!$C$5:$C$549,0)))),"NO EXISTE en Clientes"))</f>
        <v/>
      </c>
      <c r="C43" s="17" t="n"/>
      <c r="D43" s="17" t="n"/>
      <c r="E43" s="17" t="n"/>
      <c r="F43" s="23" t="n"/>
      <c r="G43" s="23" t="n"/>
      <c r="H43" s="23" t="n"/>
      <c r="I43" s="17" t="n"/>
      <c r="J43" s="17" t="n"/>
      <c r="K43" s="17" t="n"/>
      <c r="L43" s="17">
        <f>IF(AND(A43="",C43=""),"",IF(A43="","FALTA doc. cliente",IF(B43="NO EXISTE en Clientes","CLIENTE no está en hoja Clientes",IF(C43="","FALTA nombre",IF(AND(K43="SI",COUNTIFS($A$5:$A$499,A43,$K$5:$K$499,"SI")&gt;1),"Más de un contacto principal para este cliente","OK")))))</f>
        <v/>
      </c>
      <c r="M43" s="28">
        <f>IF(L43&lt;&gt;"OK","","INSERT INTO cli_contacto (id_cliente, nombre, apellido_paterno, apellido_materno, telefono1, telefono2, telefono3, email, direccion, es_principal, estado) SELECT "&amp;"(SELECT id FROM cli_clientes WHERE numero_documento = '"&amp;SUBSTITUTE(TRIM(A43),"'","''")&amp;"' AND estado = 1 LIMIT 1)"&amp;", "&amp;IF(TRIM(C43&amp;"")="","NULL","'"&amp;SUBSTITUTE(TRIM(C43),"'","''")&amp;"'")&amp;", "&amp;IF(TRIM(D43&amp;"")="","NULL","'"&amp;SUBSTITUTE(TRIM(D43),"'","''")&amp;"'")&amp;", "&amp;IF(TRIM(E43&amp;"")="","NULL","'"&amp;SUBSTITUTE(TRIM(E43),"'","''")&amp;"'")&amp;", "&amp;IF(TRIM(F43&amp;"")="","NULL","'"&amp;SUBSTITUTE(TRIM(F43),"'","''")&amp;"'")&amp;", "&amp;IF(TRIM(G43&amp;"")="","NULL","'"&amp;SUBSTITUTE(TRIM(G43),"'","''")&amp;"'")&amp;", "&amp;IF(TRIM(H43&amp;"")="","NULL","'"&amp;SUBSTITUTE(TRIM(H43),"'","''")&amp;"'")&amp;", "&amp;IF(TRIM(I43&amp;"")="","NULL","'"&amp;SUBSTITUTE(TRIM(I43),"'","''")&amp;"'")&amp;", "&amp;IF(TRIM(J43&amp;"")="","NULL","'"&amp;SUBSTITUTE(TRIM(J43),"'","''")&amp;"'")&amp;", "&amp;IF(UPPER(TRIM(K43&amp;""))="SI","TRUE","FALSE")&amp;", 1"&amp;" WHERE NOT EXISTS (SELECT 1 FROM cli_contacto c WHERE c.id_cliente = "&amp;"(SELECT id FROM cli_clientes WHERE numero_documento = '"&amp;SUBSTITUTE(TRIM(A43),"'","''")&amp;"' AND estado = 1 LIMIT 1)"&amp;" AND upper(c.nombre) = upper("&amp;IF(TRIM(C43&amp;"")="","NULL","'"&amp;SUBSTITUTE(TRIM(C43),"'","''")&amp;"'")&amp;") AND coalesce(c.telefono1,'') = coalesce("&amp;IF(TRIM(F43&amp;"")="","NULL","'"&amp;SUBSTITUTE(TRIM(F43),"'","''")&amp;"'")&amp;",''));")</f>
        <v/>
      </c>
    </row>
    <row r="44" ht="15.75" customHeight="1" s="64">
      <c r="A44" s="23" t="n"/>
      <c r="B44" s="25">
        <f t="array" ref="B44">IF(A44="","",IFERROR(IF(INDEX(Clientes!$D$5:$D$549,MATCH(A44,Clientes!$C$5:$C$549,0))&lt;&gt;"",INDEX(Clientes!$D$5:$D$549,MATCH(A44,Clientes!$C$5:$C$549,0)),TRIM(INDEX(Clientes!$E$5:$E$549,MATCH(A44,Clientes!$C$5:$C$549,0))&amp;" "&amp;INDEX(Clientes!$F$5:$F$549,MATCH(A44,Clientes!$C$5:$C$549,0)))),"NO EXISTE en Clientes"))</f>
        <v/>
      </c>
      <c r="C44" s="17" t="n"/>
      <c r="D44" s="17" t="n"/>
      <c r="E44" s="17" t="n"/>
      <c r="F44" s="23" t="n"/>
      <c r="G44" s="23" t="n"/>
      <c r="H44" s="23" t="n"/>
      <c r="I44" s="17" t="n"/>
      <c r="J44" s="17" t="n"/>
      <c r="K44" s="17" t="n"/>
      <c r="L44" s="17">
        <f>IF(AND(A44="",C44=""),"",IF(A44="","FALTA doc. cliente",IF(B44="NO EXISTE en Clientes","CLIENTE no está en hoja Clientes",IF(C44="","FALTA nombre",IF(AND(K44="SI",COUNTIFS($A$5:$A$499,A44,$K$5:$K$499,"SI")&gt;1),"Más de un contacto principal para este cliente","OK")))))</f>
        <v/>
      </c>
      <c r="M44" s="28">
        <f>IF(L44&lt;&gt;"OK","","INSERT INTO cli_contacto (id_cliente, nombre, apellido_paterno, apellido_materno, telefono1, telefono2, telefono3, email, direccion, es_principal, estado) SELECT "&amp;"(SELECT id FROM cli_clientes WHERE numero_documento = '"&amp;SUBSTITUTE(TRIM(A44),"'","''")&amp;"' AND estado = 1 LIMIT 1)"&amp;", "&amp;IF(TRIM(C44&amp;"")="","NULL","'"&amp;SUBSTITUTE(TRIM(C44),"'","''")&amp;"'")&amp;", "&amp;IF(TRIM(D44&amp;"")="","NULL","'"&amp;SUBSTITUTE(TRIM(D44),"'","''")&amp;"'")&amp;", "&amp;IF(TRIM(E44&amp;"")="","NULL","'"&amp;SUBSTITUTE(TRIM(E44),"'","''")&amp;"'")&amp;", "&amp;IF(TRIM(F44&amp;"")="","NULL","'"&amp;SUBSTITUTE(TRIM(F44),"'","''")&amp;"'")&amp;", "&amp;IF(TRIM(G44&amp;"")="","NULL","'"&amp;SUBSTITUTE(TRIM(G44),"'","''")&amp;"'")&amp;", "&amp;IF(TRIM(H44&amp;"")="","NULL","'"&amp;SUBSTITUTE(TRIM(H44),"'","''")&amp;"'")&amp;", "&amp;IF(TRIM(I44&amp;"")="","NULL","'"&amp;SUBSTITUTE(TRIM(I44),"'","''")&amp;"'")&amp;", "&amp;IF(TRIM(J44&amp;"")="","NULL","'"&amp;SUBSTITUTE(TRIM(J44),"'","''")&amp;"'")&amp;", "&amp;IF(UPPER(TRIM(K44&amp;""))="SI","TRUE","FALSE")&amp;", 1"&amp;" WHERE NOT EXISTS (SELECT 1 FROM cli_contacto c WHERE c.id_cliente = "&amp;"(SELECT id FROM cli_clientes WHERE numero_documento = '"&amp;SUBSTITUTE(TRIM(A44),"'","''")&amp;"' AND estado = 1 LIMIT 1)"&amp;" AND upper(c.nombre) = upper("&amp;IF(TRIM(C44&amp;"")="","NULL","'"&amp;SUBSTITUTE(TRIM(C44),"'","''")&amp;"'")&amp;") AND coalesce(c.telefono1,'') = coalesce("&amp;IF(TRIM(F44&amp;"")="","NULL","'"&amp;SUBSTITUTE(TRIM(F44),"'","''")&amp;"'")&amp;",''));")</f>
        <v/>
      </c>
    </row>
    <row r="45" ht="15.75" customHeight="1" s="64">
      <c r="A45" s="23" t="n"/>
      <c r="B45" s="25">
        <f t="array" ref="B45">IF(A45="","",IFERROR(IF(INDEX(Clientes!$D$5:$D$549,MATCH(A45,Clientes!$C$5:$C$549,0))&lt;&gt;"",INDEX(Clientes!$D$5:$D$549,MATCH(A45,Clientes!$C$5:$C$549,0)),TRIM(INDEX(Clientes!$E$5:$E$549,MATCH(A45,Clientes!$C$5:$C$549,0))&amp;" "&amp;INDEX(Clientes!$F$5:$F$549,MATCH(A45,Clientes!$C$5:$C$549,0)))),"NO EXISTE en Clientes"))</f>
        <v/>
      </c>
      <c r="C45" s="17" t="n"/>
      <c r="D45" s="17" t="n"/>
      <c r="E45" s="17" t="n"/>
      <c r="F45" s="23" t="n"/>
      <c r="G45" s="23" t="n"/>
      <c r="H45" s="23" t="n"/>
      <c r="I45" s="17" t="n"/>
      <c r="J45" s="17" t="n"/>
      <c r="K45" s="17" t="n"/>
      <c r="L45" s="17">
        <f>IF(AND(A45="",C45=""),"",IF(A45="","FALTA doc. cliente",IF(B45="NO EXISTE en Clientes","CLIENTE no está en hoja Clientes",IF(C45="","FALTA nombre",IF(AND(K45="SI",COUNTIFS($A$5:$A$499,A45,$K$5:$K$499,"SI")&gt;1),"Más de un contacto principal para este cliente","OK")))))</f>
        <v/>
      </c>
      <c r="M45" s="28">
        <f>IF(L45&lt;&gt;"OK","","INSERT INTO cli_contacto (id_cliente, nombre, apellido_paterno, apellido_materno, telefono1, telefono2, telefono3, email, direccion, es_principal, estado) SELECT "&amp;"(SELECT id FROM cli_clientes WHERE numero_documento = '"&amp;SUBSTITUTE(TRIM(A45),"'","''")&amp;"' AND estado = 1 LIMIT 1)"&amp;", "&amp;IF(TRIM(C45&amp;"")="","NULL","'"&amp;SUBSTITUTE(TRIM(C45),"'","''")&amp;"'")&amp;", "&amp;IF(TRIM(D45&amp;"")="","NULL","'"&amp;SUBSTITUTE(TRIM(D45),"'","''")&amp;"'")&amp;", "&amp;IF(TRIM(E45&amp;"")="","NULL","'"&amp;SUBSTITUTE(TRIM(E45),"'","''")&amp;"'")&amp;", "&amp;IF(TRIM(F45&amp;"")="","NULL","'"&amp;SUBSTITUTE(TRIM(F45),"'","''")&amp;"'")&amp;", "&amp;IF(TRIM(G45&amp;"")="","NULL","'"&amp;SUBSTITUTE(TRIM(G45),"'","''")&amp;"'")&amp;", "&amp;IF(TRIM(H45&amp;"")="","NULL","'"&amp;SUBSTITUTE(TRIM(H45),"'","''")&amp;"'")&amp;", "&amp;IF(TRIM(I45&amp;"")="","NULL","'"&amp;SUBSTITUTE(TRIM(I45),"'","''")&amp;"'")&amp;", "&amp;IF(TRIM(J45&amp;"")="","NULL","'"&amp;SUBSTITUTE(TRIM(J45),"'","''")&amp;"'")&amp;", "&amp;IF(UPPER(TRIM(K45&amp;""))="SI","TRUE","FALSE")&amp;", 1"&amp;" WHERE NOT EXISTS (SELECT 1 FROM cli_contacto c WHERE c.id_cliente = "&amp;"(SELECT id FROM cli_clientes WHERE numero_documento = '"&amp;SUBSTITUTE(TRIM(A45),"'","''")&amp;"' AND estado = 1 LIMIT 1)"&amp;" AND upper(c.nombre) = upper("&amp;IF(TRIM(C45&amp;"")="","NULL","'"&amp;SUBSTITUTE(TRIM(C45),"'","''")&amp;"'")&amp;") AND coalesce(c.telefono1,'') = coalesce("&amp;IF(TRIM(F45&amp;"")="","NULL","'"&amp;SUBSTITUTE(TRIM(F45),"'","''")&amp;"'")&amp;",''));")</f>
        <v/>
      </c>
    </row>
    <row r="46" ht="15.75" customHeight="1" s="64">
      <c r="A46" s="23" t="n"/>
      <c r="B46" s="25">
        <f t="array" ref="B46">IF(A46="","",IFERROR(IF(INDEX(Clientes!$D$5:$D$549,MATCH(A46,Clientes!$C$5:$C$549,0))&lt;&gt;"",INDEX(Clientes!$D$5:$D$549,MATCH(A46,Clientes!$C$5:$C$549,0)),TRIM(INDEX(Clientes!$E$5:$E$549,MATCH(A46,Clientes!$C$5:$C$549,0))&amp;" "&amp;INDEX(Clientes!$F$5:$F$549,MATCH(A46,Clientes!$C$5:$C$549,0)))),"NO EXISTE en Clientes"))</f>
        <v/>
      </c>
      <c r="C46" s="17" t="n"/>
      <c r="D46" s="17" t="n"/>
      <c r="E46" s="17" t="n"/>
      <c r="F46" s="23" t="n"/>
      <c r="G46" s="23" t="n"/>
      <c r="H46" s="23" t="n"/>
      <c r="I46" s="17" t="n"/>
      <c r="J46" s="17" t="n"/>
      <c r="K46" s="17" t="n"/>
      <c r="L46" s="17">
        <f>IF(AND(A46="",C46=""),"",IF(A46="","FALTA doc. cliente",IF(B46="NO EXISTE en Clientes","CLIENTE no está en hoja Clientes",IF(C46="","FALTA nombre",IF(AND(K46="SI",COUNTIFS($A$5:$A$499,A46,$K$5:$K$499,"SI")&gt;1),"Más de un contacto principal para este cliente","OK")))))</f>
        <v/>
      </c>
      <c r="M46" s="28">
        <f>IF(L46&lt;&gt;"OK","","INSERT INTO cli_contacto (id_cliente, nombre, apellido_paterno, apellido_materno, telefono1, telefono2, telefono3, email, direccion, es_principal, estado) SELECT "&amp;"(SELECT id FROM cli_clientes WHERE numero_documento = '"&amp;SUBSTITUTE(TRIM(A46),"'","''")&amp;"' AND estado = 1 LIMIT 1)"&amp;", "&amp;IF(TRIM(C46&amp;"")="","NULL","'"&amp;SUBSTITUTE(TRIM(C46),"'","''")&amp;"'")&amp;", "&amp;IF(TRIM(D46&amp;"")="","NULL","'"&amp;SUBSTITUTE(TRIM(D46),"'","''")&amp;"'")&amp;", "&amp;IF(TRIM(E46&amp;"")="","NULL","'"&amp;SUBSTITUTE(TRIM(E46),"'","''")&amp;"'")&amp;", "&amp;IF(TRIM(F46&amp;"")="","NULL","'"&amp;SUBSTITUTE(TRIM(F46),"'","''")&amp;"'")&amp;", "&amp;IF(TRIM(G46&amp;"")="","NULL","'"&amp;SUBSTITUTE(TRIM(G46),"'","''")&amp;"'")&amp;", "&amp;IF(TRIM(H46&amp;"")="","NULL","'"&amp;SUBSTITUTE(TRIM(H46),"'","''")&amp;"'")&amp;", "&amp;IF(TRIM(I46&amp;"")="","NULL","'"&amp;SUBSTITUTE(TRIM(I46),"'","''")&amp;"'")&amp;", "&amp;IF(TRIM(J46&amp;"")="","NULL","'"&amp;SUBSTITUTE(TRIM(J46),"'","''")&amp;"'")&amp;", "&amp;IF(UPPER(TRIM(K46&amp;""))="SI","TRUE","FALSE")&amp;", 1"&amp;" WHERE NOT EXISTS (SELECT 1 FROM cli_contacto c WHERE c.id_cliente = "&amp;"(SELECT id FROM cli_clientes WHERE numero_documento = '"&amp;SUBSTITUTE(TRIM(A46),"'","''")&amp;"' AND estado = 1 LIMIT 1)"&amp;" AND upper(c.nombre) = upper("&amp;IF(TRIM(C46&amp;"")="","NULL","'"&amp;SUBSTITUTE(TRIM(C46),"'","''")&amp;"'")&amp;") AND coalesce(c.telefono1,'') = coalesce("&amp;IF(TRIM(F46&amp;"")="","NULL","'"&amp;SUBSTITUTE(TRIM(F46),"'","''")&amp;"'")&amp;",''));")</f>
        <v/>
      </c>
    </row>
    <row r="47" ht="15.75" customHeight="1" s="64">
      <c r="A47" s="23" t="n"/>
      <c r="B47" s="25">
        <f t="array" ref="B47">IF(A47="","",IFERROR(IF(INDEX(Clientes!$D$5:$D$549,MATCH(A47,Clientes!$C$5:$C$549,0))&lt;&gt;"",INDEX(Clientes!$D$5:$D$549,MATCH(A47,Clientes!$C$5:$C$549,0)),TRIM(INDEX(Clientes!$E$5:$E$549,MATCH(A47,Clientes!$C$5:$C$549,0))&amp;" "&amp;INDEX(Clientes!$F$5:$F$549,MATCH(A47,Clientes!$C$5:$C$549,0)))),"NO EXISTE en Clientes"))</f>
        <v/>
      </c>
      <c r="C47" s="17" t="n"/>
      <c r="D47" s="17" t="n"/>
      <c r="E47" s="17" t="n"/>
      <c r="F47" s="23" t="n"/>
      <c r="G47" s="23" t="n"/>
      <c r="H47" s="23" t="n"/>
      <c r="I47" s="17" t="n"/>
      <c r="J47" s="17" t="n"/>
      <c r="K47" s="17" t="n"/>
      <c r="L47" s="17">
        <f>IF(AND(A47="",C47=""),"",IF(A47="","FALTA doc. cliente",IF(B47="NO EXISTE en Clientes","CLIENTE no está en hoja Clientes",IF(C47="","FALTA nombre",IF(AND(K47="SI",COUNTIFS($A$5:$A$499,A47,$K$5:$K$499,"SI")&gt;1),"Más de un contacto principal para este cliente","OK")))))</f>
        <v/>
      </c>
      <c r="M47" s="28">
        <f>IF(L47&lt;&gt;"OK","","INSERT INTO cli_contacto (id_cliente, nombre, apellido_paterno, apellido_materno, telefono1, telefono2, telefono3, email, direccion, es_principal, estado) SELECT "&amp;"(SELECT id FROM cli_clientes WHERE numero_documento = '"&amp;SUBSTITUTE(TRIM(A47),"'","''")&amp;"' AND estado = 1 LIMIT 1)"&amp;", "&amp;IF(TRIM(C47&amp;"")="","NULL","'"&amp;SUBSTITUTE(TRIM(C47),"'","''")&amp;"'")&amp;", "&amp;IF(TRIM(D47&amp;"")="","NULL","'"&amp;SUBSTITUTE(TRIM(D47),"'","''")&amp;"'")&amp;", "&amp;IF(TRIM(E47&amp;"")="","NULL","'"&amp;SUBSTITUTE(TRIM(E47),"'","''")&amp;"'")&amp;", "&amp;IF(TRIM(F47&amp;"")="","NULL","'"&amp;SUBSTITUTE(TRIM(F47),"'","''")&amp;"'")&amp;", "&amp;IF(TRIM(G47&amp;"")="","NULL","'"&amp;SUBSTITUTE(TRIM(G47),"'","''")&amp;"'")&amp;", "&amp;IF(TRIM(H47&amp;"")="","NULL","'"&amp;SUBSTITUTE(TRIM(H47),"'","''")&amp;"'")&amp;", "&amp;IF(TRIM(I47&amp;"")="","NULL","'"&amp;SUBSTITUTE(TRIM(I47),"'","''")&amp;"'")&amp;", "&amp;IF(TRIM(J47&amp;"")="","NULL","'"&amp;SUBSTITUTE(TRIM(J47),"'","''")&amp;"'")&amp;", "&amp;IF(UPPER(TRIM(K47&amp;""))="SI","TRUE","FALSE")&amp;", 1"&amp;" WHERE NOT EXISTS (SELECT 1 FROM cli_contacto c WHERE c.id_cliente = "&amp;"(SELECT id FROM cli_clientes WHERE numero_documento = '"&amp;SUBSTITUTE(TRIM(A47),"'","''")&amp;"' AND estado = 1 LIMIT 1)"&amp;" AND upper(c.nombre) = upper("&amp;IF(TRIM(C47&amp;"")="","NULL","'"&amp;SUBSTITUTE(TRIM(C47),"'","''")&amp;"'")&amp;") AND coalesce(c.telefono1,'') = coalesce("&amp;IF(TRIM(F47&amp;"")="","NULL","'"&amp;SUBSTITUTE(TRIM(F47),"'","''")&amp;"'")&amp;",''));")</f>
        <v/>
      </c>
    </row>
    <row r="48" ht="15.75" customHeight="1" s="64">
      <c r="A48" s="23" t="n"/>
      <c r="B48" s="25">
        <f t="array" ref="B48">IF(A48="","",IFERROR(IF(INDEX(Clientes!$D$5:$D$549,MATCH(A48,Clientes!$C$5:$C$549,0))&lt;&gt;"",INDEX(Clientes!$D$5:$D$549,MATCH(A48,Clientes!$C$5:$C$549,0)),TRIM(INDEX(Clientes!$E$5:$E$549,MATCH(A48,Clientes!$C$5:$C$549,0))&amp;" "&amp;INDEX(Clientes!$F$5:$F$549,MATCH(A48,Clientes!$C$5:$C$549,0)))),"NO EXISTE en Clientes"))</f>
        <v/>
      </c>
      <c r="C48" s="17" t="n"/>
      <c r="D48" s="17" t="n"/>
      <c r="E48" s="17" t="n"/>
      <c r="F48" s="23" t="n"/>
      <c r="G48" s="23" t="n"/>
      <c r="H48" s="23" t="n"/>
      <c r="I48" s="17" t="n"/>
      <c r="J48" s="17" t="n"/>
      <c r="K48" s="17" t="n"/>
      <c r="L48" s="17">
        <f>IF(AND(A48="",C48=""),"",IF(A48="","FALTA doc. cliente",IF(B48="NO EXISTE en Clientes","CLIENTE no está en hoja Clientes",IF(C48="","FALTA nombre",IF(AND(K48="SI",COUNTIFS($A$5:$A$499,A48,$K$5:$K$499,"SI")&gt;1),"Más de un contacto principal para este cliente","OK")))))</f>
        <v/>
      </c>
      <c r="M48" s="28">
        <f>IF(L48&lt;&gt;"OK","","INSERT INTO cli_contacto (id_cliente, nombre, apellido_paterno, apellido_materno, telefono1, telefono2, telefono3, email, direccion, es_principal, estado) SELECT "&amp;"(SELECT id FROM cli_clientes WHERE numero_documento = '"&amp;SUBSTITUTE(TRIM(A48),"'","''")&amp;"' AND estado = 1 LIMIT 1)"&amp;", "&amp;IF(TRIM(C48&amp;"")="","NULL","'"&amp;SUBSTITUTE(TRIM(C48),"'","''")&amp;"'")&amp;", "&amp;IF(TRIM(D48&amp;"")="","NULL","'"&amp;SUBSTITUTE(TRIM(D48),"'","''")&amp;"'")&amp;", "&amp;IF(TRIM(E48&amp;"")="","NULL","'"&amp;SUBSTITUTE(TRIM(E48),"'","''")&amp;"'")&amp;", "&amp;IF(TRIM(F48&amp;"")="","NULL","'"&amp;SUBSTITUTE(TRIM(F48),"'","''")&amp;"'")&amp;", "&amp;IF(TRIM(G48&amp;"")="","NULL","'"&amp;SUBSTITUTE(TRIM(G48),"'","''")&amp;"'")&amp;", "&amp;IF(TRIM(H48&amp;"")="","NULL","'"&amp;SUBSTITUTE(TRIM(H48),"'","''")&amp;"'")&amp;", "&amp;IF(TRIM(I48&amp;"")="","NULL","'"&amp;SUBSTITUTE(TRIM(I48),"'","''")&amp;"'")&amp;", "&amp;IF(TRIM(J48&amp;"")="","NULL","'"&amp;SUBSTITUTE(TRIM(J48),"'","''")&amp;"'")&amp;", "&amp;IF(UPPER(TRIM(K48&amp;""))="SI","TRUE","FALSE")&amp;", 1"&amp;" WHERE NOT EXISTS (SELECT 1 FROM cli_contacto c WHERE c.id_cliente = "&amp;"(SELECT id FROM cli_clientes WHERE numero_documento = '"&amp;SUBSTITUTE(TRIM(A48),"'","''")&amp;"' AND estado = 1 LIMIT 1)"&amp;" AND upper(c.nombre) = upper("&amp;IF(TRIM(C48&amp;"")="","NULL","'"&amp;SUBSTITUTE(TRIM(C48),"'","''")&amp;"'")&amp;") AND coalesce(c.telefono1,'') = coalesce("&amp;IF(TRIM(F48&amp;"")="","NULL","'"&amp;SUBSTITUTE(TRIM(F48),"'","''")&amp;"'")&amp;",''));")</f>
        <v/>
      </c>
    </row>
    <row r="49" ht="15.75" customHeight="1" s="64">
      <c r="A49" s="23" t="n"/>
      <c r="B49" s="25">
        <f t="array" ref="B49">IF(A49="","",IFERROR(IF(INDEX(Clientes!$D$5:$D$549,MATCH(A49,Clientes!$C$5:$C$549,0))&lt;&gt;"",INDEX(Clientes!$D$5:$D$549,MATCH(A49,Clientes!$C$5:$C$549,0)),TRIM(INDEX(Clientes!$E$5:$E$549,MATCH(A49,Clientes!$C$5:$C$549,0))&amp;" "&amp;INDEX(Clientes!$F$5:$F$549,MATCH(A49,Clientes!$C$5:$C$549,0)))),"NO EXISTE en Clientes"))</f>
        <v/>
      </c>
      <c r="C49" s="17" t="n"/>
      <c r="D49" s="17" t="n"/>
      <c r="E49" s="17" t="n"/>
      <c r="F49" s="23" t="n"/>
      <c r="G49" s="23" t="n"/>
      <c r="H49" s="23" t="n"/>
      <c r="I49" s="17" t="n"/>
      <c r="J49" s="17" t="n"/>
      <c r="K49" s="17" t="n"/>
      <c r="L49" s="17">
        <f>IF(AND(A49="",C49=""),"",IF(A49="","FALTA doc. cliente",IF(B49="NO EXISTE en Clientes","CLIENTE no está en hoja Clientes",IF(C49="","FALTA nombre",IF(AND(K49="SI",COUNTIFS($A$5:$A$499,A49,$K$5:$K$499,"SI")&gt;1),"Más de un contacto principal para este cliente","OK")))))</f>
        <v/>
      </c>
      <c r="M49" s="28">
        <f>IF(L49&lt;&gt;"OK","","INSERT INTO cli_contacto (id_cliente, nombre, apellido_paterno, apellido_materno, telefono1, telefono2, telefono3, email, direccion, es_principal, estado) SELECT "&amp;"(SELECT id FROM cli_clientes WHERE numero_documento = '"&amp;SUBSTITUTE(TRIM(A49),"'","''")&amp;"' AND estado = 1 LIMIT 1)"&amp;", "&amp;IF(TRIM(C49&amp;"")="","NULL","'"&amp;SUBSTITUTE(TRIM(C49),"'","''")&amp;"'")&amp;", "&amp;IF(TRIM(D49&amp;"")="","NULL","'"&amp;SUBSTITUTE(TRIM(D49),"'","''")&amp;"'")&amp;", "&amp;IF(TRIM(E49&amp;"")="","NULL","'"&amp;SUBSTITUTE(TRIM(E49),"'","''")&amp;"'")&amp;", "&amp;IF(TRIM(F49&amp;"")="","NULL","'"&amp;SUBSTITUTE(TRIM(F49),"'","''")&amp;"'")&amp;", "&amp;IF(TRIM(G49&amp;"")="","NULL","'"&amp;SUBSTITUTE(TRIM(G49),"'","''")&amp;"'")&amp;", "&amp;IF(TRIM(H49&amp;"")="","NULL","'"&amp;SUBSTITUTE(TRIM(H49),"'","''")&amp;"'")&amp;", "&amp;IF(TRIM(I49&amp;"")="","NULL","'"&amp;SUBSTITUTE(TRIM(I49),"'","''")&amp;"'")&amp;", "&amp;IF(TRIM(J49&amp;"")="","NULL","'"&amp;SUBSTITUTE(TRIM(J49),"'","''")&amp;"'")&amp;", "&amp;IF(UPPER(TRIM(K49&amp;""))="SI","TRUE","FALSE")&amp;", 1"&amp;" WHERE NOT EXISTS (SELECT 1 FROM cli_contacto c WHERE c.id_cliente = "&amp;"(SELECT id FROM cli_clientes WHERE numero_documento = '"&amp;SUBSTITUTE(TRIM(A49),"'","''")&amp;"' AND estado = 1 LIMIT 1)"&amp;" AND upper(c.nombre) = upper("&amp;IF(TRIM(C49&amp;"")="","NULL","'"&amp;SUBSTITUTE(TRIM(C49),"'","''")&amp;"'")&amp;") AND coalesce(c.telefono1,'') = coalesce("&amp;IF(TRIM(F49&amp;"")="","NULL","'"&amp;SUBSTITUTE(TRIM(F49),"'","''")&amp;"'")&amp;",''));")</f>
        <v/>
      </c>
    </row>
    <row r="50" ht="15.75" customHeight="1" s="64">
      <c r="A50" s="23" t="n"/>
      <c r="B50" s="25">
        <f t="array" ref="B50">IF(A50="","",IFERROR(IF(INDEX(Clientes!$D$5:$D$549,MATCH(A50,Clientes!$C$5:$C$549,0))&lt;&gt;"",INDEX(Clientes!$D$5:$D$549,MATCH(A50,Clientes!$C$5:$C$549,0)),TRIM(INDEX(Clientes!$E$5:$E$549,MATCH(A50,Clientes!$C$5:$C$549,0))&amp;" "&amp;INDEX(Clientes!$F$5:$F$549,MATCH(A50,Clientes!$C$5:$C$549,0)))),"NO EXISTE en Clientes"))</f>
        <v/>
      </c>
      <c r="C50" s="17" t="n"/>
      <c r="D50" s="17" t="n"/>
      <c r="E50" s="17" t="n"/>
      <c r="F50" s="23" t="n"/>
      <c r="G50" s="23" t="n"/>
      <c r="H50" s="23" t="n"/>
      <c r="I50" s="17" t="n"/>
      <c r="J50" s="17" t="n"/>
      <c r="K50" s="17" t="n"/>
      <c r="L50" s="17">
        <f>IF(AND(A50="",C50=""),"",IF(A50="","FALTA doc. cliente",IF(B50="NO EXISTE en Clientes","CLIENTE no está en hoja Clientes",IF(C50="","FALTA nombre",IF(AND(K50="SI",COUNTIFS($A$5:$A$499,A50,$K$5:$K$499,"SI")&gt;1),"Más de un contacto principal para este cliente","OK")))))</f>
        <v/>
      </c>
      <c r="M50" s="28">
        <f>IF(L50&lt;&gt;"OK","","INSERT INTO cli_contacto (id_cliente, nombre, apellido_paterno, apellido_materno, telefono1, telefono2, telefono3, email, direccion, es_principal, estado) SELECT "&amp;"(SELECT id FROM cli_clientes WHERE numero_documento = '"&amp;SUBSTITUTE(TRIM(A50),"'","''")&amp;"' AND estado = 1 LIMIT 1)"&amp;", "&amp;IF(TRIM(C50&amp;"")="","NULL","'"&amp;SUBSTITUTE(TRIM(C50),"'","''")&amp;"'")&amp;", "&amp;IF(TRIM(D50&amp;"")="","NULL","'"&amp;SUBSTITUTE(TRIM(D50),"'","''")&amp;"'")&amp;", "&amp;IF(TRIM(E50&amp;"")="","NULL","'"&amp;SUBSTITUTE(TRIM(E50),"'","''")&amp;"'")&amp;", "&amp;IF(TRIM(F50&amp;"")="","NULL","'"&amp;SUBSTITUTE(TRIM(F50),"'","''")&amp;"'")&amp;", "&amp;IF(TRIM(G50&amp;"")="","NULL","'"&amp;SUBSTITUTE(TRIM(G50),"'","''")&amp;"'")&amp;", "&amp;IF(TRIM(H50&amp;"")="","NULL","'"&amp;SUBSTITUTE(TRIM(H50),"'","''")&amp;"'")&amp;", "&amp;IF(TRIM(I50&amp;"")="","NULL","'"&amp;SUBSTITUTE(TRIM(I50),"'","''")&amp;"'")&amp;", "&amp;IF(TRIM(J50&amp;"")="","NULL","'"&amp;SUBSTITUTE(TRIM(J50),"'","''")&amp;"'")&amp;", "&amp;IF(UPPER(TRIM(K50&amp;""))="SI","TRUE","FALSE")&amp;", 1"&amp;" WHERE NOT EXISTS (SELECT 1 FROM cli_contacto c WHERE c.id_cliente = "&amp;"(SELECT id FROM cli_clientes WHERE numero_documento = '"&amp;SUBSTITUTE(TRIM(A50),"'","''")&amp;"' AND estado = 1 LIMIT 1)"&amp;" AND upper(c.nombre) = upper("&amp;IF(TRIM(C50&amp;"")="","NULL","'"&amp;SUBSTITUTE(TRIM(C50),"'","''")&amp;"'")&amp;") AND coalesce(c.telefono1,'') = coalesce("&amp;IF(TRIM(F50&amp;"")="","NULL","'"&amp;SUBSTITUTE(TRIM(F50),"'","''")&amp;"'")&amp;",''));")</f>
        <v/>
      </c>
    </row>
    <row r="51" ht="15.75" customHeight="1" s="64">
      <c r="A51" s="23" t="n"/>
      <c r="B51" s="25">
        <f t="array" ref="B51">IF(A51="","",IFERROR(IF(INDEX(Clientes!$D$5:$D$549,MATCH(A51,Clientes!$C$5:$C$549,0))&lt;&gt;"",INDEX(Clientes!$D$5:$D$549,MATCH(A51,Clientes!$C$5:$C$549,0)),TRIM(INDEX(Clientes!$E$5:$E$549,MATCH(A51,Clientes!$C$5:$C$549,0))&amp;" "&amp;INDEX(Clientes!$F$5:$F$549,MATCH(A51,Clientes!$C$5:$C$549,0)))),"NO EXISTE en Clientes"))</f>
        <v/>
      </c>
      <c r="C51" s="17" t="n"/>
      <c r="D51" s="17" t="n"/>
      <c r="E51" s="17" t="n"/>
      <c r="F51" s="23" t="n"/>
      <c r="G51" s="23" t="n"/>
      <c r="H51" s="23" t="n"/>
      <c r="I51" s="17" t="n"/>
      <c r="J51" s="17" t="n"/>
      <c r="K51" s="17" t="n"/>
      <c r="L51" s="17">
        <f>IF(AND(A51="",C51=""),"",IF(A51="","FALTA doc. cliente",IF(B51="NO EXISTE en Clientes","CLIENTE no está en hoja Clientes",IF(C51="","FALTA nombre",IF(AND(K51="SI",COUNTIFS($A$5:$A$499,A51,$K$5:$K$499,"SI")&gt;1),"Más de un contacto principal para este cliente","OK")))))</f>
        <v/>
      </c>
      <c r="M51" s="28">
        <f>IF(L51&lt;&gt;"OK","","INSERT INTO cli_contacto (id_cliente, nombre, apellido_paterno, apellido_materno, telefono1, telefono2, telefono3, email, direccion, es_principal, estado) SELECT "&amp;"(SELECT id FROM cli_clientes WHERE numero_documento = '"&amp;SUBSTITUTE(TRIM(A51),"'","''")&amp;"' AND estado = 1 LIMIT 1)"&amp;", "&amp;IF(TRIM(C51&amp;"")="","NULL","'"&amp;SUBSTITUTE(TRIM(C51),"'","''")&amp;"'")&amp;", "&amp;IF(TRIM(D51&amp;"")="","NULL","'"&amp;SUBSTITUTE(TRIM(D51),"'","''")&amp;"'")&amp;", "&amp;IF(TRIM(E51&amp;"")="","NULL","'"&amp;SUBSTITUTE(TRIM(E51),"'","''")&amp;"'")&amp;", "&amp;IF(TRIM(F51&amp;"")="","NULL","'"&amp;SUBSTITUTE(TRIM(F51),"'","''")&amp;"'")&amp;", "&amp;IF(TRIM(G51&amp;"")="","NULL","'"&amp;SUBSTITUTE(TRIM(G51),"'","''")&amp;"'")&amp;", "&amp;IF(TRIM(H51&amp;"")="","NULL","'"&amp;SUBSTITUTE(TRIM(H51),"'","''")&amp;"'")&amp;", "&amp;IF(TRIM(I51&amp;"")="","NULL","'"&amp;SUBSTITUTE(TRIM(I51),"'","''")&amp;"'")&amp;", "&amp;IF(TRIM(J51&amp;"")="","NULL","'"&amp;SUBSTITUTE(TRIM(J51),"'","''")&amp;"'")&amp;", "&amp;IF(UPPER(TRIM(K51&amp;""))="SI","TRUE","FALSE")&amp;", 1"&amp;" WHERE NOT EXISTS (SELECT 1 FROM cli_contacto c WHERE c.id_cliente = "&amp;"(SELECT id FROM cli_clientes WHERE numero_documento = '"&amp;SUBSTITUTE(TRIM(A51),"'","''")&amp;"' AND estado = 1 LIMIT 1)"&amp;" AND upper(c.nombre) = upper("&amp;IF(TRIM(C51&amp;"")="","NULL","'"&amp;SUBSTITUTE(TRIM(C51),"'","''")&amp;"'")&amp;") AND coalesce(c.telefono1,'') = coalesce("&amp;IF(TRIM(F51&amp;"")="","NULL","'"&amp;SUBSTITUTE(TRIM(F51),"'","''")&amp;"'")&amp;",''));")</f>
        <v/>
      </c>
    </row>
    <row r="52" ht="15.75" customHeight="1" s="64">
      <c r="A52" s="23" t="n"/>
      <c r="B52" s="25">
        <f t="array" ref="B52">IF(A52="","",IFERROR(IF(INDEX(Clientes!$D$5:$D$549,MATCH(A52,Clientes!$C$5:$C$549,0))&lt;&gt;"",INDEX(Clientes!$D$5:$D$549,MATCH(A52,Clientes!$C$5:$C$549,0)),TRIM(INDEX(Clientes!$E$5:$E$549,MATCH(A52,Clientes!$C$5:$C$549,0))&amp;" "&amp;INDEX(Clientes!$F$5:$F$549,MATCH(A52,Clientes!$C$5:$C$549,0)))),"NO EXISTE en Clientes"))</f>
        <v/>
      </c>
      <c r="C52" s="17" t="n"/>
      <c r="D52" s="17" t="n"/>
      <c r="E52" s="17" t="n"/>
      <c r="F52" s="23" t="n"/>
      <c r="G52" s="23" t="n"/>
      <c r="H52" s="23" t="n"/>
      <c r="I52" s="17" t="n"/>
      <c r="J52" s="17" t="n"/>
      <c r="K52" s="17" t="n"/>
      <c r="L52" s="17">
        <f>IF(AND(A52="",C52=""),"",IF(A52="","FALTA doc. cliente",IF(B52="NO EXISTE en Clientes","CLIENTE no está en hoja Clientes",IF(C52="","FALTA nombre",IF(AND(K52="SI",COUNTIFS($A$5:$A$499,A52,$K$5:$K$499,"SI")&gt;1),"Más de un contacto principal para este cliente","OK")))))</f>
        <v/>
      </c>
      <c r="M52" s="28">
        <f>IF(L52&lt;&gt;"OK","","INSERT INTO cli_contacto (id_cliente, nombre, apellido_paterno, apellido_materno, telefono1, telefono2, telefono3, email, direccion, es_principal, estado) SELECT "&amp;"(SELECT id FROM cli_clientes WHERE numero_documento = '"&amp;SUBSTITUTE(TRIM(A52),"'","''")&amp;"' AND estado = 1 LIMIT 1)"&amp;", "&amp;IF(TRIM(C52&amp;"")="","NULL","'"&amp;SUBSTITUTE(TRIM(C52),"'","''")&amp;"'")&amp;", "&amp;IF(TRIM(D52&amp;"")="","NULL","'"&amp;SUBSTITUTE(TRIM(D52),"'","''")&amp;"'")&amp;", "&amp;IF(TRIM(E52&amp;"")="","NULL","'"&amp;SUBSTITUTE(TRIM(E52),"'","''")&amp;"'")&amp;", "&amp;IF(TRIM(F52&amp;"")="","NULL","'"&amp;SUBSTITUTE(TRIM(F52),"'","''")&amp;"'")&amp;", "&amp;IF(TRIM(G52&amp;"")="","NULL","'"&amp;SUBSTITUTE(TRIM(G52),"'","''")&amp;"'")&amp;", "&amp;IF(TRIM(H52&amp;"")="","NULL","'"&amp;SUBSTITUTE(TRIM(H52),"'","''")&amp;"'")&amp;", "&amp;IF(TRIM(I52&amp;"")="","NULL","'"&amp;SUBSTITUTE(TRIM(I52),"'","''")&amp;"'")&amp;", "&amp;IF(TRIM(J52&amp;"")="","NULL","'"&amp;SUBSTITUTE(TRIM(J52),"'","''")&amp;"'")&amp;", "&amp;IF(UPPER(TRIM(K52&amp;""))="SI","TRUE","FALSE")&amp;", 1"&amp;" WHERE NOT EXISTS (SELECT 1 FROM cli_contacto c WHERE c.id_cliente = "&amp;"(SELECT id FROM cli_clientes WHERE numero_documento = '"&amp;SUBSTITUTE(TRIM(A52),"'","''")&amp;"' AND estado = 1 LIMIT 1)"&amp;" AND upper(c.nombre) = upper("&amp;IF(TRIM(C52&amp;"")="","NULL","'"&amp;SUBSTITUTE(TRIM(C52),"'","''")&amp;"'")&amp;") AND coalesce(c.telefono1,'') = coalesce("&amp;IF(TRIM(F52&amp;"")="","NULL","'"&amp;SUBSTITUTE(TRIM(F52),"'","''")&amp;"'")&amp;",''));")</f>
        <v/>
      </c>
    </row>
    <row r="53" ht="15.75" customHeight="1" s="64">
      <c r="A53" s="23" t="n"/>
      <c r="B53" s="25">
        <f t="array" ref="B53">IF(A53="","",IFERROR(IF(INDEX(Clientes!$D$5:$D$549,MATCH(A53,Clientes!$C$5:$C$549,0))&lt;&gt;"",INDEX(Clientes!$D$5:$D$549,MATCH(A53,Clientes!$C$5:$C$549,0)),TRIM(INDEX(Clientes!$E$5:$E$549,MATCH(A53,Clientes!$C$5:$C$549,0))&amp;" "&amp;INDEX(Clientes!$F$5:$F$549,MATCH(A53,Clientes!$C$5:$C$549,0)))),"NO EXISTE en Clientes"))</f>
        <v/>
      </c>
      <c r="C53" s="17" t="n"/>
      <c r="D53" s="17" t="n"/>
      <c r="E53" s="17" t="n"/>
      <c r="F53" s="23" t="n"/>
      <c r="G53" s="23" t="n"/>
      <c r="H53" s="23" t="n"/>
      <c r="I53" s="17" t="n"/>
      <c r="J53" s="17" t="n"/>
      <c r="K53" s="17" t="n"/>
      <c r="L53" s="17">
        <f>IF(AND(A53="",C53=""),"",IF(A53="","FALTA doc. cliente",IF(B53="NO EXISTE en Clientes","CLIENTE no está en hoja Clientes",IF(C53="","FALTA nombre",IF(AND(K53="SI",COUNTIFS($A$5:$A$499,A53,$K$5:$K$499,"SI")&gt;1),"Más de un contacto principal para este cliente","OK")))))</f>
        <v/>
      </c>
      <c r="M53" s="28">
        <f>IF(L53&lt;&gt;"OK","","INSERT INTO cli_contacto (id_cliente, nombre, apellido_paterno, apellido_materno, telefono1, telefono2, telefono3, email, direccion, es_principal, estado) SELECT "&amp;"(SELECT id FROM cli_clientes WHERE numero_documento = '"&amp;SUBSTITUTE(TRIM(A53),"'","''")&amp;"' AND estado = 1 LIMIT 1)"&amp;", "&amp;IF(TRIM(C53&amp;"")="","NULL","'"&amp;SUBSTITUTE(TRIM(C53),"'","''")&amp;"'")&amp;", "&amp;IF(TRIM(D53&amp;"")="","NULL","'"&amp;SUBSTITUTE(TRIM(D53),"'","''")&amp;"'")&amp;", "&amp;IF(TRIM(E53&amp;"")="","NULL","'"&amp;SUBSTITUTE(TRIM(E53),"'","''")&amp;"'")&amp;", "&amp;IF(TRIM(F53&amp;"")="","NULL","'"&amp;SUBSTITUTE(TRIM(F53),"'","''")&amp;"'")&amp;", "&amp;IF(TRIM(G53&amp;"")="","NULL","'"&amp;SUBSTITUTE(TRIM(G53),"'","''")&amp;"'")&amp;", "&amp;IF(TRIM(H53&amp;"")="","NULL","'"&amp;SUBSTITUTE(TRIM(H53),"'","''")&amp;"'")&amp;", "&amp;IF(TRIM(I53&amp;"")="","NULL","'"&amp;SUBSTITUTE(TRIM(I53),"'","''")&amp;"'")&amp;", "&amp;IF(TRIM(J53&amp;"")="","NULL","'"&amp;SUBSTITUTE(TRIM(J53),"'","''")&amp;"'")&amp;", "&amp;IF(UPPER(TRIM(K53&amp;""))="SI","TRUE","FALSE")&amp;", 1"&amp;" WHERE NOT EXISTS (SELECT 1 FROM cli_contacto c WHERE c.id_cliente = "&amp;"(SELECT id FROM cli_clientes WHERE numero_documento = '"&amp;SUBSTITUTE(TRIM(A53),"'","''")&amp;"' AND estado = 1 LIMIT 1)"&amp;" AND upper(c.nombre) = upper("&amp;IF(TRIM(C53&amp;"")="","NULL","'"&amp;SUBSTITUTE(TRIM(C53),"'","''")&amp;"'")&amp;") AND coalesce(c.telefono1,'') = coalesce("&amp;IF(TRIM(F53&amp;"")="","NULL","'"&amp;SUBSTITUTE(TRIM(F53),"'","''")&amp;"'")&amp;",''));")</f>
        <v/>
      </c>
    </row>
    <row r="54" ht="15.75" customHeight="1" s="64">
      <c r="A54" s="23" t="n"/>
      <c r="B54" s="25">
        <f t="array" ref="B54">IF(A54="","",IFERROR(IF(INDEX(Clientes!$D$5:$D$549,MATCH(A54,Clientes!$C$5:$C$549,0))&lt;&gt;"",INDEX(Clientes!$D$5:$D$549,MATCH(A54,Clientes!$C$5:$C$549,0)),TRIM(INDEX(Clientes!$E$5:$E$549,MATCH(A54,Clientes!$C$5:$C$549,0))&amp;" "&amp;INDEX(Clientes!$F$5:$F$549,MATCH(A54,Clientes!$C$5:$C$549,0)))),"NO EXISTE en Clientes"))</f>
        <v/>
      </c>
      <c r="C54" s="17" t="n"/>
      <c r="D54" s="17" t="n"/>
      <c r="E54" s="17" t="n"/>
      <c r="F54" s="23" t="n"/>
      <c r="G54" s="23" t="n"/>
      <c r="H54" s="23" t="n"/>
      <c r="I54" s="17" t="n"/>
      <c r="J54" s="17" t="n"/>
      <c r="K54" s="17" t="n"/>
      <c r="L54" s="17">
        <f>IF(AND(A54="",C54=""),"",IF(A54="","FALTA doc. cliente",IF(B54="NO EXISTE en Clientes","CLIENTE no está en hoja Clientes",IF(C54="","FALTA nombre",IF(AND(K54="SI",COUNTIFS($A$5:$A$499,A54,$K$5:$K$499,"SI")&gt;1),"Más de un contacto principal para este cliente","OK")))))</f>
        <v/>
      </c>
      <c r="M54" s="28">
        <f>IF(L54&lt;&gt;"OK","","INSERT INTO cli_contacto (id_cliente, nombre, apellido_paterno, apellido_materno, telefono1, telefono2, telefono3, email, direccion, es_principal, estado) SELECT "&amp;"(SELECT id FROM cli_clientes WHERE numero_documento = '"&amp;SUBSTITUTE(TRIM(A54),"'","''")&amp;"' AND estado = 1 LIMIT 1)"&amp;", "&amp;IF(TRIM(C54&amp;"")="","NULL","'"&amp;SUBSTITUTE(TRIM(C54),"'","''")&amp;"'")&amp;", "&amp;IF(TRIM(D54&amp;"")="","NULL","'"&amp;SUBSTITUTE(TRIM(D54),"'","''")&amp;"'")&amp;", "&amp;IF(TRIM(E54&amp;"")="","NULL","'"&amp;SUBSTITUTE(TRIM(E54),"'","''")&amp;"'")&amp;", "&amp;IF(TRIM(F54&amp;"")="","NULL","'"&amp;SUBSTITUTE(TRIM(F54),"'","''")&amp;"'")&amp;", "&amp;IF(TRIM(G54&amp;"")="","NULL","'"&amp;SUBSTITUTE(TRIM(G54),"'","''")&amp;"'")&amp;", "&amp;IF(TRIM(H54&amp;"")="","NULL","'"&amp;SUBSTITUTE(TRIM(H54),"'","''")&amp;"'")&amp;", "&amp;IF(TRIM(I54&amp;"")="","NULL","'"&amp;SUBSTITUTE(TRIM(I54),"'","''")&amp;"'")&amp;", "&amp;IF(TRIM(J54&amp;"")="","NULL","'"&amp;SUBSTITUTE(TRIM(J54),"'","''")&amp;"'")&amp;", "&amp;IF(UPPER(TRIM(K54&amp;""))="SI","TRUE","FALSE")&amp;", 1"&amp;" WHERE NOT EXISTS (SELECT 1 FROM cli_contacto c WHERE c.id_cliente = "&amp;"(SELECT id FROM cli_clientes WHERE numero_documento = '"&amp;SUBSTITUTE(TRIM(A54),"'","''")&amp;"' AND estado = 1 LIMIT 1)"&amp;" AND upper(c.nombre) = upper("&amp;IF(TRIM(C54&amp;"")="","NULL","'"&amp;SUBSTITUTE(TRIM(C54),"'","''")&amp;"'")&amp;") AND coalesce(c.telefono1,'') = coalesce("&amp;IF(TRIM(F54&amp;"")="","NULL","'"&amp;SUBSTITUTE(TRIM(F54),"'","''")&amp;"'")&amp;",''));")</f>
        <v/>
      </c>
    </row>
    <row r="55" ht="15.75" customHeight="1" s="64">
      <c r="A55" s="23" t="n"/>
      <c r="B55" s="25">
        <f t="array" ref="B55">IF(A55="","",IFERROR(IF(INDEX(Clientes!$D$5:$D$549,MATCH(A55,Clientes!$C$5:$C$549,0))&lt;&gt;"",INDEX(Clientes!$D$5:$D$549,MATCH(A55,Clientes!$C$5:$C$549,0)),TRIM(INDEX(Clientes!$E$5:$E$549,MATCH(A55,Clientes!$C$5:$C$549,0))&amp;" "&amp;INDEX(Clientes!$F$5:$F$549,MATCH(A55,Clientes!$C$5:$C$549,0)))),"NO EXISTE en Clientes"))</f>
        <v/>
      </c>
      <c r="C55" s="17" t="n"/>
      <c r="D55" s="17" t="n"/>
      <c r="E55" s="17" t="n"/>
      <c r="F55" s="23" t="n"/>
      <c r="G55" s="23" t="n"/>
      <c r="H55" s="23" t="n"/>
      <c r="I55" s="17" t="n"/>
      <c r="J55" s="17" t="n"/>
      <c r="K55" s="17" t="n"/>
      <c r="L55" s="17">
        <f>IF(AND(A55="",C55=""),"",IF(A55="","FALTA doc. cliente",IF(B55="NO EXISTE en Clientes","CLIENTE no está en hoja Clientes",IF(C55="","FALTA nombre",IF(AND(K55="SI",COUNTIFS($A$5:$A$499,A55,$K$5:$K$499,"SI")&gt;1),"Más de un contacto principal para este cliente","OK")))))</f>
        <v/>
      </c>
      <c r="M55" s="28">
        <f>IF(L55&lt;&gt;"OK","","INSERT INTO cli_contacto (id_cliente, nombre, apellido_paterno, apellido_materno, telefono1, telefono2, telefono3, email, direccion, es_principal, estado) SELECT "&amp;"(SELECT id FROM cli_clientes WHERE numero_documento = '"&amp;SUBSTITUTE(TRIM(A55),"'","''")&amp;"' AND estado = 1 LIMIT 1)"&amp;", "&amp;IF(TRIM(C55&amp;"")="","NULL","'"&amp;SUBSTITUTE(TRIM(C55),"'","''")&amp;"'")&amp;", "&amp;IF(TRIM(D55&amp;"")="","NULL","'"&amp;SUBSTITUTE(TRIM(D55),"'","''")&amp;"'")&amp;", "&amp;IF(TRIM(E55&amp;"")="","NULL","'"&amp;SUBSTITUTE(TRIM(E55),"'","''")&amp;"'")&amp;", "&amp;IF(TRIM(F55&amp;"")="","NULL","'"&amp;SUBSTITUTE(TRIM(F55),"'","''")&amp;"'")&amp;", "&amp;IF(TRIM(G55&amp;"")="","NULL","'"&amp;SUBSTITUTE(TRIM(G55),"'","''")&amp;"'")&amp;", "&amp;IF(TRIM(H55&amp;"")="","NULL","'"&amp;SUBSTITUTE(TRIM(H55),"'","''")&amp;"'")&amp;", "&amp;IF(TRIM(I55&amp;"")="","NULL","'"&amp;SUBSTITUTE(TRIM(I55),"'","''")&amp;"'")&amp;", "&amp;IF(TRIM(J55&amp;"")="","NULL","'"&amp;SUBSTITUTE(TRIM(J55),"'","''")&amp;"'")&amp;", "&amp;IF(UPPER(TRIM(K55&amp;""))="SI","TRUE","FALSE")&amp;", 1"&amp;" WHERE NOT EXISTS (SELECT 1 FROM cli_contacto c WHERE c.id_cliente = "&amp;"(SELECT id FROM cli_clientes WHERE numero_documento = '"&amp;SUBSTITUTE(TRIM(A55),"'","''")&amp;"' AND estado = 1 LIMIT 1)"&amp;" AND upper(c.nombre) = upper("&amp;IF(TRIM(C55&amp;"")="","NULL","'"&amp;SUBSTITUTE(TRIM(C55),"'","''")&amp;"'")&amp;") AND coalesce(c.telefono1,'') = coalesce("&amp;IF(TRIM(F55&amp;"")="","NULL","'"&amp;SUBSTITUTE(TRIM(F55),"'","''")&amp;"'")&amp;",''));")</f>
        <v/>
      </c>
    </row>
    <row r="56" ht="15.75" customHeight="1" s="64">
      <c r="A56" s="23" t="n"/>
      <c r="B56" s="25">
        <f t="array" ref="B56">IF(A56="","",IFERROR(IF(INDEX(Clientes!$D$5:$D$549,MATCH(A56,Clientes!$C$5:$C$549,0))&lt;&gt;"",INDEX(Clientes!$D$5:$D$549,MATCH(A56,Clientes!$C$5:$C$549,0)),TRIM(INDEX(Clientes!$E$5:$E$549,MATCH(A56,Clientes!$C$5:$C$549,0))&amp;" "&amp;INDEX(Clientes!$F$5:$F$549,MATCH(A56,Clientes!$C$5:$C$549,0)))),"NO EXISTE en Clientes"))</f>
        <v/>
      </c>
      <c r="C56" s="17" t="n"/>
      <c r="D56" s="17" t="n"/>
      <c r="E56" s="17" t="n"/>
      <c r="F56" s="23" t="n"/>
      <c r="G56" s="23" t="n"/>
      <c r="H56" s="23" t="n"/>
      <c r="I56" s="17" t="n"/>
      <c r="J56" s="17" t="n"/>
      <c r="K56" s="17" t="n"/>
      <c r="L56" s="17">
        <f>IF(AND(A56="",C56=""),"",IF(A56="","FALTA doc. cliente",IF(B56="NO EXISTE en Clientes","CLIENTE no está en hoja Clientes",IF(C56="","FALTA nombre",IF(AND(K56="SI",COUNTIFS($A$5:$A$499,A56,$K$5:$K$499,"SI")&gt;1),"Más de un contacto principal para este cliente","OK")))))</f>
        <v/>
      </c>
      <c r="M56" s="28">
        <f>IF(L56&lt;&gt;"OK","","INSERT INTO cli_contacto (id_cliente, nombre, apellido_paterno, apellido_materno, telefono1, telefono2, telefono3, email, direccion, es_principal, estado) SELECT "&amp;"(SELECT id FROM cli_clientes WHERE numero_documento = '"&amp;SUBSTITUTE(TRIM(A56),"'","''")&amp;"' AND estado = 1 LIMIT 1)"&amp;", "&amp;IF(TRIM(C56&amp;"")="","NULL","'"&amp;SUBSTITUTE(TRIM(C56),"'","''")&amp;"'")&amp;", "&amp;IF(TRIM(D56&amp;"")="","NULL","'"&amp;SUBSTITUTE(TRIM(D56),"'","''")&amp;"'")&amp;", "&amp;IF(TRIM(E56&amp;"")="","NULL","'"&amp;SUBSTITUTE(TRIM(E56),"'","''")&amp;"'")&amp;", "&amp;IF(TRIM(F56&amp;"")="","NULL","'"&amp;SUBSTITUTE(TRIM(F56),"'","''")&amp;"'")&amp;", "&amp;IF(TRIM(G56&amp;"")="","NULL","'"&amp;SUBSTITUTE(TRIM(G56),"'","''")&amp;"'")&amp;", "&amp;IF(TRIM(H56&amp;"")="","NULL","'"&amp;SUBSTITUTE(TRIM(H56),"'","''")&amp;"'")&amp;", "&amp;IF(TRIM(I56&amp;"")="","NULL","'"&amp;SUBSTITUTE(TRIM(I56),"'","''")&amp;"'")&amp;", "&amp;IF(TRIM(J56&amp;"")="","NULL","'"&amp;SUBSTITUTE(TRIM(J56),"'","''")&amp;"'")&amp;", "&amp;IF(UPPER(TRIM(K56&amp;""))="SI","TRUE","FALSE")&amp;", 1"&amp;" WHERE NOT EXISTS (SELECT 1 FROM cli_contacto c WHERE c.id_cliente = "&amp;"(SELECT id FROM cli_clientes WHERE numero_documento = '"&amp;SUBSTITUTE(TRIM(A56),"'","''")&amp;"' AND estado = 1 LIMIT 1)"&amp;" AND upper(c.nombre) = upper("&amp;IF(TRIM(C56&amp;"")="","NULL","'"&amp;SUBSTITUTE(TRIM(C56),"'","''")&amp;"'")&amp;") AND coalesce(c.telefono1,'') = coalesce("&amp;IF(TRIM(F56&amp;"")="","NULL","'"&amp;SUBSTITUTE(TRIM(F56),"'","''")&amp;"'")&amp;",''));")</f>
        <v/>
      </c>
    </row>
    <row r="57" ht="15.75" customHeight="1" s="64">
      <c r="A57" s="23" t="n"/>
      <c r="B57" s="25">
        <f t="array" ref="B57">IF(A57="","",IFERROR(IF(INDEX(Clientes!$D$5:$D$549,MATCH(A57,Clientes!$C$5:$C$549,0))&lt;&gt;"",INDEX(Clientes!$D$5:$D$549,MATCH(A57,Clientes!$C$5:$C$549,0)),TRIM(INDEX(Clientes!$E$5:$E$549,MATCH(A57,Clientes!$C$5:$C$549,0))&amp;" "&amp;INDEX(Clientes!$F$5:$F$549,MATCH(A57,Clientes!$C$5:$C$549,0)))),"NO EXISTE en Clientes"))</f>
        <v/>
      </c>
      <c r="C57" s="17" t="n"/>
      <c r="D57" s="17" t="n"/>
      <c r="E57" s="17" t="n"/>
      <c r="F57" s="23" t="n"/>
      <c r="G57" s="23" t="n"/>
      <c r="H57" s="23" t="n"/>
      <c r="I57" s="17" t="n"/>
      <c r="J57" s="17" t="n"/>
      <c r="K57" s="17" t="n"/>
      <c r="L57" s="17">
        <f>IF(AND(A57="",C57=""),"",IF(A57="","FALTA doc. cliente",IF(B57="NO EXISTE en Clientes","CLIENTE no está en hoja Clientes",IF(C57="","FALTA nombre",IF(AND(K57="SI",COUNTIFS($A$5:$A$499,A57,$K$5:$K$499,"SI")&gt;1),"Más de un contacto principal para este cliente","OK")))))</f>
        <v/>
      </c>
      <c r="M57" s="28">
        <f>IF(L57&lt;&gt;"OK","","INSERT INTO cli_contacto (id_cliente, nombre, apellido_paterno, apellido_materno, telefono1, telefono2, telefono3, email, direccion, es_principal, estado) SELECT "&amp;"(SELECT id FROM cli_clientes WHERE numero_documento = '"&amp;SUBSTITUTE(TRIM(A57),"'","''")&amp;"' AND estado = 1 LIMIT 1)"&amp;", "&amp;IF(TRIM(C57&amp;"")="","NULL","'"&amp;SUBSTITUTE(TRIM(C57),"'","''")&amp;"'")&amp;", "&amp;IF(TRIM(D57&amp;"")="","NULL","'"&amp;SUBSTITUTE(TRIM(D57),"'","''")&amp;"'")&amp;", "&amp;IF(TRIM(E57&amp;"")="","NULL","'"&amp;SUBSTITUTE(TRIM(E57),"'","''")&amp;"'")&amp;", "&amp;IF(TRIM(F57&amp;"")="","NULL","'"&amp;SUBSTITUTE(TRIM(F57),"'","''")&amp;"'")&amp;", "&amp;IF(TRIM(G57&amp;"")="","NULL","'"&amp;SUBSTITUTE(TRIM(G57),"'","''")&amp;"'")&amp;", "&amp;IF(TRIM(H57&amp;"")="","NULL","'"&amp;SUBSTITUTE(TRIM(H57),"'","''")&amp;"'")&amp;", "&amp;IF(TRIM(I57&amp;"")="","NULL","'"&amp;SUBSTITUTE(TRIM(I57),"'","''")&amp;"'")&amp;", "&amp;IF(TRIM(J57&amp;"")="","NULL","'"&amp;SUBSTITUTE(TRIM(J57),"'","''")&amp;"'")&amp;", "&amp;IF(UPPER(TRIM(K57&amp;""))="SI","TRUE","FALSE")&amp;", 1"&amp;" WHERE NOT EXISTS (SELECT 1 FROM cli_contacto c WHERE c.id_cliente = "&amp;"(SELECT id FROM cli_clientes WHERE numero_documento = '"&amp;SUBSTITUTE(TRIM(A57),"'","''")&amp;"' AND estado = 1 LIMIT 1)"&amp;" AND upper(c.nombre) = upper("&amp;IF(TRIM(C57&amp;"")="","NULL","'"&amp;SUBSTITUTE(TRIM(C57),"'","''")&amp;"'")&amp;") AND coalesce(c.telefono1,'') = coalesce("&amp;IF(TRIM(F57&amp;"")="","NULL","'"&amp;SUBSTITUTE(TRIM(F57),"'","''")&amp;"'")&amp;",''));")</f>
        <v/>
      </c>
    </row>
    <row r="58" ht="15.75" customHeight="1" s="64">
      <c r="A58" s="23" t="n"/>
      <c r="B58" s="25">
        <f t="array" ref="B58">IF(A58="","",IFERROR(IF(INDEX(Clientes!$D$5:$D$549,MATCH(A58,Clientes!$C$5:$C$549,0))&lt;&gt;"",INDEX(Clientes!$D$5:$D$549,MATCH(A58,Clientes!$C$5:$C$549,0)),TRIM(INDEX(Clientes!$E$5:$E$549,MATCH(A58,Clientes!$C$5:$C$549,0))&amp;" "&amp;INDEX(Clientes!$F$5:$F$549,MATCH(A58,Clientes!$C$5:$C$549,0)))),"NO EXISTE en Clientes"))</f>
        <v/>
      </c>
      <c r="C58" s="17" t="n"/>
      <c r="D58" s="17" t="n"/>
      <c r="E58" s="17" t="n"/>
      <c r="F58" s="23" t="n"/>
      <c r="G58" s="23" t="n"/>
      <c r="H58" s="23" t="n"/>
      <c r="I58" s="17" t="n"/>
      <c r="J58" s="17" t="n"/>
      <c r="K58" s="17" t="n"/>
      <c r="L58" s="17">
        <f>IF(AND(A58="",C58=""),"",IF(A58="","FALTA doc. cliente",IF(B58="NO EXISTE en Clientes","CLIENTE no está en hoja Clientes",IF(C58="","FALTA nombre",IF(AND(K58="SI",COUNTIFS($A$5:$A$499,A58,$K$5:$K$499,"SI")&gt;1),"Más de un contacto principal para este cliente","OK")))))</f>
        <v/>
      </c>
      <c r="M58" s="28">
        <f>IF(L58&lt;&gt;"OK","","INSERT INTO cli_contacto (id_cliente, nombre, apellido_paterno, apellido_materno, telefono1, telefono2, telefono3, email, direccion, es_principal, estado) SELECT "&amp;"(SELECT id FROM cli_clientes WHERE numero_documento = '"&amp;SUBSTITUTE(TRIM(A58),"'","''")&amp;"' AND estado = 1 LIMIT 1)"&amp;", "&amp;IF(TRIM(C58&amp;"")="","NULL","'"&amp;SUBSTITUTE(TRIM(C58),"'","''")&amp;"'")&amp;", "&amp;IF(TRIM(D58&amp;"")="","NULL","'"&amp;SUBSTITUTE(TRIM(D58),"'","''")&amp;"'")&amp;", "&amp;IF(TRIM(E58&amp;"")="","NULL","'"&amp;SUBSTITUTE(TRIM(E58),"'","''")&amp;"'")&amp;", "&amp;IF(TRIM(F58&amp;"")="","NULL","'"&amp;SUBSTITUTE(TRIM(F58),"'","''")&amp;"'")&amp;", "&amp;IF(TRIM(G58&amp;"")="","NULL","'"&amp;SUBSTITUTE(TRIM(G58),"'","''")&amp;"'")&amp;", "&amp;IF(TRIM(H58&amp;"")="","NULL","'"&amp;SUBSTITUTE(TRIM(H58),"'","''")&amp;"'")&amp;", "&amp;IF(TRIM(I58&amp;"")="","NULL","'"&amp;SUBSTITUTE(TRIM(I58),"'","''")&amp;"'")&amp;", "&amp;IF(TRIM(J58&amp;"")="","NULL","'"&amp;SUBSTITUTE(TRIM(J58),"'","''")&amp;"'")&amp;", "&amp;IF(UPPER(TRIM(K58&amp;""))="SI","TRUE","FALSE")&amp;", 1"&amp;" WHERE NOT EXISTS (SELECT 1 FROM cli_contacto c WHERE c.id_cliente = "&amp;"(SELECT id FROM cli_clientes WHERE numero_documento = '"&amp;SUBSTITUTE(TRIM(A58),"'","''")&amp;"' AND estado = 1 LIMIT 1)"&amp;" AND upper(c.nombre) = upper("&amp;IF(TRIM(C58&amp;"")="","NULL","'"&amp;SUBSTITUTE(TRIM(C58),"'","''")&amp;"'")&amp;") AND coalesce(c.telefono1,'') = coalesce("&amp;IF(TRIM(F58&amp;"")="","NULL","'"&amp;SUBSTITUTE(TRIM(F58),"'","''")&amp;"'")&amp;",''));")</f>
        <v/>
      </c>
    </row>
    <row r="59" ht="15.75" customHeight="1" s="64">
      <c r="A59" s="23" t="n"/>
      <c r="B59" s="25">
        <f t="array" ref="B59">IF(A59="","",IFERROR(IF(INDEX(Clientes!$D$5:$D$549,MATCH(A59,Clientes!$C$5:$C$549,0))&lt;&gt;"",INDEX(Clientes!$D$5:$D$549,MATCH(A59,Clientes!$C$5:$C$549,0)),TRIM(INDEX(Clientes!$E$5:$E$549,MATCH(A59,Clientes!$C$5:$C$549,0))&amp;" "&amp;INDEX(Clientes!$F$5:$F$549,MATCH(A59,Clientes!$C$5:$C$549,0)))),"NO EXISTE en Clientes"))</f>
        <v/>
      </c>
      <c r="C59" s="17" t="n"/>
      <c r="D59" s="17" t="n"/>
      <c r="E59" s="17" t="n"/>
      <c r="F59" s="23" t="n"/>
      <c r="G59" s="23" t="n"/>
      <c r="H59" s="23" t="n"/>
      <c r="I59" s="17" t="n"/>
      <c r="J59" s="17" t="n"/>
      <c r="K59" s="17" t="n"/>
      <c r="L59" s="17">
        <f>IF(AND(A59="",C59=""),"",IF(A59="","FALTA doc. cliente",IF(B59="NO EXISTE en Clientes","CLIENTE no está en hoja Clientes",IF(C59="","FALTA nombre",IF(AND(K59="SI",COUNTIFS($A$5:$A$499,A59,$K$5:$K$499,"SI")&gt;1),"Más de un contacto principal para este cliente","OK")))))</f>
        <v/>
      </c>
      <c r="M59" s="28">
        <f>IF(L59&lt;&gt;"OK","","INSERT INTO cli_contacto (id_cliente, nombre, apellido_paterno, apellido_materno, telefono1, telefono2, telefono3, email, direccion, es_principal, estado) SELECT "&amp;"(SELECT id FROM cli_clientes WHERE numero_documento = '"&amp;SUBSTITUTE(TRIM(A59),"'","''")&amp;"' AND estado = 1 LIMIT 1)"&amp;", "&amp;IF(TRIM(C59&amp;"")="","NULL","'"&amp;SUBSTITUTE(TRIM(C59),"'","''")&amp;"'")&amp;", "&amp;IF(TRIM(D59&amp;"")="","NULL","'"&amp;SUBSTITUTE(TRIM(D59),"'","''")&amp;"'")&amp;", "&amp;IF(TRIM(E59&amp;"")="","NULL","'"&amp;SUBSTITUTE(TRIM(E59),"'","''")&amp;"'")&amp;", "&amp;IF(TRIM(F59&amp;"")="","NULL","'"&amp;SUBSTITUTE(TRIM(F59),"'","''")&amp;"'")&amp;", "&amp;IF(TRIM(G59&amp;"")="","NULL","'"&amp;SUBSTITUTE(TRIM(G59),"'","''")&amp;"'")&amp;", "&amp;IF(TRIM(H59&amp;"")="","NULL","'"&amp;SUBSTITUTE(TRIM(H59),"'","''")&amp;"'")&amp;", "&amp;IF(TRIM(I59&amp;"")="","NULL","'"&amp;SUBSTITUTE(TRIM(I59),"'","''")&amp;"'")&amp;", "&amp;IF(TRIM(J59&amp;"")="","NULL","'"&amp;SUBSTITUTE(TRIM(J59),"'","''")&amp;"'")&amp;", "&amp;IF(UPPER(TRIM(K59&amp;""))="SI","TRUE","FALSE")&amp;", 1"&amp;" WHERE NOT EXISTS (SELECT 1 FROM cli_contacto c WHERE c.id_cliente = "&amp;"(SELECT id FROM cli_clientes WHERE numero_documento = '"&amp;SUBSTITUTE(TRIM(A59),"'","''")&amp;"' AND estado = 1 LIMIT 1)"&amp;" AND upper(c.nombre) = upper("&amp;IF(TRIM(C59&amp;"")="","NULL","'"&amp;SUBSTITUTE(TRIM(C59),"'","''")&amp;"'")&amp;") AND coalesce(c.telefono1,'') = coalesce("&amp;IF(TRIM(F59&amp;"")="","NULL","'"&amp;SUBSTITUTE(TRIM(F59),"'","''")&amp;"'")&amp;",''));")</f>
        <v/>
      </c>
    </row>
    <row r="60" ht="15.75" customHeight="1" s="64">
      <c r="A60" s="23" t="n"/>
      <c r="B60" s="25">
        <f t="array" ref="B60">IF(A60="","",IFERROR(IF(INDEX(Clientes!$D$5:$D$549,MATCH(A60,Clientes!$C$5:$C$549,0))&lt;&gt;"",INDEX(Clientes!$D$5:$D$549,MATCH(A60,Clientes!$C$5:$C$549,0)),TRIM(INDEX(Clientes!$E$5:$E$549,MATCH(A60,Clientes!$C$5:$C$549,0))&amp;" "&amp;INDEX(Clientes!$F$5:$F$549,MATCH(A60,Clientes!$C$5:$C$549,0)))),"NO EXISTE en Clientes"))</f>
        <v/>
      </c>
      <c r="C60" s="17" t="n"/>
      <c r="D60" s="17" t="n"/>
      <c r="E60" s="17" t="n"/>
      <c r="F60" s="23" t="n"/>
      <c r="G60" s="23" t="n"/>
      <c r="H60" s="23" t="n"/>
      <c r="I60" s="17" t="n"/>
      <c r="J60" s="17" t="n"/>
      <c r="K60" s="17" t="n"/>
      <c r="L60" s="17">
        <f>IF(AND(A60="",C60=""),"",IF(A60="","FALTA doc. cliente",IF(B60="NO EXISTE en Clientes","CLIENTE no está en hoja Clientes",IF(C60="","FALTA nombre",IF(AND(K60="SI",COUNTIFS($A$5:$A$499,A60,$K$5:$K$499,"SI")&gt;1),"Más de un contacto principal para este cliente","OK")))))</f>
        <v/>
      </c>
      <c r="M60" s="28">
        <f>IF(L60&lt;&gt;"OK","","INSERT INTO cli_contacto (id_cliente, nombre, apellido_paterno, apellido_materno, telefono1, telefono2, telefono3, email, direccion, es_principal, estado) SELECT "&amp;"(SELECT id FROM cli_clientes WHERE numero_documento = '"&amp;SUBSTITUTE(TRIM(A60),"'","''")&amp;"' AND estado = 1 LIMIT 1)"&amp;", "&amp;IF(TRIM(C60&amp;"")="","NULL","'"&amp;SUBSTITUTE(TRIM(C60),"'","''")&amp;"'")&amp;", "&amp;IF(TRIM(D60&amp;"")="","NULL","'"&amp;SUBSTITUTE(TRIM(D60),"'","''")&amp;"'")&amp;", "&amp;IF(TRIM(E60&amp;"")="","NULL","'"&amp;SUBSTITUTE(TRIM(E60),"'","''")&amp;"'")&amp;", "&amp;IF(TRIM(F60&amp;"")="","NULL","'"&amp;SUBSTITUTE(TRIM(F60),"'","''")&amp;"'")&amp;", "&amp;IF(TRIM(G60&amp;"")="","NULL","'"&amp;SUBSTITUTE(TRIM(G60),"'","''")&amp;"'")&amp;", "&amp;IF(TRIM(H60&amp;"")="","NULL","'"&amp;SUBSTITUTE(TRIM(H60),"'","''")&amp;"'")&amp;", "&amp;IF(TRIM(I60&amp;"")="","NULL","'"&amp;SUBSTITUTE(TRIM(I60),"'","''")&amp;"'")&amp;", "&amp;IF(TRIM(J60&amp;"")="","NULL","'"&amp;SUBSTITUTE(TRIM(J60),"'","''")&amp;"'")&amp;", "&amp;IF(UPPER(TRIM(K60&amp;""))="SI","TRUE","FALSE")&amp;", 1"&amp;" WHERE NOT EXISTS (SELECT 1 FROM cli_contacto c WHERE c.id_cliente = "&amp;"(SELECT id FROM cli_clientes WHERE numero_documento = '"&amp;SUBSTITUTE(TRIM(A60),"'","''")&amp;"' AND estado = 1 LIMIT 1)"&amp;" AND upper(c.nombre) = upper("&amp;IF(TRIM(C60&amp;"")="","NULL","'"&amp;SUBSTITUTE(TRIM(C60),"'","''")&amp;"'")&amp;") AND coalesce(c.telefono1,'') = coalesce("&amp;IF(TRIM(F60&amp;"")="","NULL","'"&amp;SUBSTITUTE(TRIM(F60),"'","''")&amp;"'")&amp;",''));")</f>
        <v/>
      </c>
    </row>
    <row r="61" ht="15.75" customHeight="1" s="64">
      <c r="A61" s="23" t="n"/>
      <c r="B61" s="25">
        <f t="array" ref="B61">IF(A61="","",IFERROR(IF(INDEX(Clientes!$D$5:$D$549,MATCH(A61,Clientes!$C$5:$C$549,0))&lt;&gt;"",INDEX(Clientes!$D$5:$D$549,MATCH(A61,Clientes!$C$5:$C$549,0)),TRIM(INDEX(Clientes!$E$5:$E$549,MATCH(A61,Clientes!$C$5:$C$549,0))&amp;" "&amp;INDEX(Clientes!$F$5:$F$549,MATCH(A61,Clientes!$C$5:$C$549,0)))),"NO EXISTE en Clientes"))</f>
        <v/>
      </c>
      <c r="C61" s="17" t="n"/>
      <c r="D61" s="17" t="n"/>
      <c r="E61" s="17" t="n"/>
      <c r="F61" s="23" t="n"/>
      <c r="G61" s="23" t="n"/>
      <c r="H61" s="23" t="n"/>
      <c r="I61" s="17" t="n"/>
      <c r="J61" s="17" t="n"/>
      <c r="K61" s="17" t="n"/>
      <c r="L61" s="17">
        <f>IF(AND(A61="",C61=""),"",IF(A61="","FALTA doc. cliente",IF(B61="NO EXISTE en Clientes","CLIENTE no está en hoja Clientes",IF(C61="","FALTA nombre",IF(AND(K61="SI",COUNTIFS($A$5:$A$499,A61,$K$5:$K$499,"SI")&gt;1),"Más de un contacto principal para este cliente","OK")))))</f>
        <v/>
      </c>
      <c r="M61" s="28">
        <f>IF(L61&lt;&gt;"OK","","INSERT INTO cli_contacto (id_cliente, nombre, apellido_paterno, apellido_materno, telefono1, telefono2, telefono3, email, direccion, es_principal, estado) SELECT "&amp;"(SELECT id FROM cli_clientes WHERE numero_documento = '"&amp;SUBSTITUTE(TRIM(A61),"'","''")&amp;"' AND estado = 1 LIMIT 1)"&amp;", "&amp;IF(TRIM(C61&amp;"")="","NULL","'"&amp;SUBSTITUTE(TRIM(C61),"'","''")&amp;"'")&amp;", "&amp;IF(TRIM(D61&amp;"")="","NULL","'"&amp;SUBSTITUTE(TRIM(D61),"'","''")&amp;"'")&amp;", "&amp;IF(TRIM(E61&amp;"")="","NULL","'"&amp;SUBSTITUTE(TRIM(E61),"'","''")&amp;"'")&amp;", "&amp;IF(TRIM(F61&amp;"")="","NULL","'"&amp;SUBSTITUTE(TRIM(F61),"'","''")&amp;"'")&amp;", "&amp;IF(TRIM(G61&amp;"")="","NULL","'"&amp;SUBSTITUTE(TRIM(G61),"'","''")&amp;"'")&amp;", "&amp;IF(TRIM(H61&amp;"")="","NULL","'"&amp;SUBSTITUTE(TRIM(H61),"'","''")&amp;"'")&amp;", "&amp;IF(TRIM(I61&amp;"")="","NULL","'"&amp;SUBSTITUTE(TRIM(I61),"'","''")&amp;"'")&amp;", "&amp;IF(TRIM(J61&amp;"")="","NULL","'"&amp;SUBSTITUTE(TRIM(J61),"'","''")&amp;"'")&amp;", "&amp;IF(UPPER(TRIM(K61&amp;""))="SI","TRUE","FALSE")&amp;", 1"&amp;" WHERE NOT EXISTS (SELECT 1 FROM cli_contacto c WHERE c.id_cliente = "&amp;"(SELECT id FROM cli_clientes WHERE numero_documento = '"&amp;SUBSTITUTE(TRIM(A61),"'","''")&amp;"' AND estado = 1 LIMIT 1)"&amp;" AND upper(c.nombre) = upper("&amp;IF(TRIM(C61&amp;"")="","NULL","'"&amp;SUBSTITUTE(TRIM(C61),"'","''")&amp;"'")&amp;") AND coalesce(c.telefono1,'') = coalesce("&amp;IF(TRIM(F61&amp;"")="","NULL","'"&amp;SUBSTITUTE(TRIM(F61),"'","''")&amp;"'")&amp;",''));")</f>
        <v/>
      </c>
    </row>
    <row r="62" ht="15.75" customHeight="1" s="64">
      <c r="A62" s="23" t="n"/>
      <c r="B62" s="25">
        <f t="array" ref="B62">IF(A62="","",IFERROR(IF(INDEX(Clientes!$D$5:$D$549,MATCH(A62,Clientes!$C$5:$C$549,0))&lt;&gt;"",INDEX(Clientes!$D$5:$D$549,MATCH(A62,Clientes!$C$5:$C$549,0)),TRIM(INDEX(Clientes!$E$5:$E$549,MATCH(A62,Clientes!$C$5:$C$549,0))&amp;" "&amp;INDEX(Clientes!$F$5:$F$549,MATCH(A62,Clientes!$C$5:$C$549,0)))),"NO EXISTE en Clientes"))</f>
        <v/>
      </c>
      <c r="C62" s="17" t="n"/>
      <c r="D62" s="17" t="n"/>
      <c r="E62" s="17" t="n"/>
      <c r="F62" s="23" t="n"/>
      <c r="G62" s="23" t="n"/>
      <c r="H62" s="23" t="n"/>
      <c r="I62" s="17" t="n"/>
      <c r="J62" s="17" t="n"/>
      <c r="K62" s="17" t="n"/>
      <c r="L62" s="17">
        <f>IF(AND(A62="",C62=""),"",IF(A62="","FALTA doc. cliente",IF(B62="NO EXISTE en Clientes","CLIENTE no está en hoja Clientes",IF(C62="","FALTA nombre",IF(AND(K62="SI",COUNTIFS($A$5:$A$499,A62,$K$5:$K$499,"SI")&gt;1),"Más de un contacto principal para este cliente","OK")))))</f>
        <v/>
      </c>
      <c r="M62" s="28">
        <f>IF(L62&lt;&gt;"OK","","INSERT INTO cli_contacto (id_cliente, nombre, apellido_paterno, apellido_materno, telefono1, telefono2, telefono3, email, direccion, es_principal, estado) SELECT "&amp;"(SELECT id FROM cli_clientes WHERE numero_documento = '"&amp;SUBSTITUTE(TRIM(A62),"'","''")&amp;"' AND estado = 1 LIMIT 1)"&amp;", "&amp;IF(TRIM(C62&amp;"")="","NULL","'"&amp;SUBSTITUTE(TRIM(C62),"'","''")&amp;"'")&amp;", "&amp;IF(TRIM(D62&amp;"")="","NULL","'"&amp;SUBSTITUTE(TRIM(D62),"'","''")&amp;"'")&amp;", "&amp;IF(TRIM(E62&amp;"")="","NULL","'"&amp;SUBSTITUTE(TRIM(E62),"'","''")&amp;"'")&amp;", "&amp;IF(TRIM(F62&amp;"")="","NULL","'"&amp;SUBSTITUTE(TRIM(F62),"'","''")&amp;"'")&amp;", "&amp;IF(TRIM(G62&amp;"")="","NULL","'"&amp;SUBSTITUTE(TRIM(G62),"'","''")&amp;"'")&amp;", "&amp;IF(TRIM(H62&amp;"")="","NULL","'"&amp;SUBSTITUTE(TRIM(H62),"'","''")&amp;"'")&amp;", "&amp;IF(TRIM(I62&amp;"")="","NULL","'"&amp;SUBSTITUTE(TRIM(I62),"'","''")&amp;"'")&amp;", "&amp;IF(TRIM(J62&amp;"")="","NULL","'"&amp;SUBSTITUTE(TRIM(J62),"'","''")&amp;"'")&amp;", "&amp;IF(UPPER(TRIM(K62&amp;""))="SI","TRUE","FALSE")&amp;", 1"&amp;" WHERE NOT EXISTS (SELECT 1 FROM cli_contacto c WHERE c.id_cliente = "&amp;"(SELECT id FROM cli_clientes WHERE numero_documento = '"&amp;SUBSTITUTE(TRIM(A62),"'","''")&amp;"' AND estado = 1 LIMIT 1)"&amp;" AND upper(c.nombre) = upper("&amp;IF(TRIM(C62&amp;"")="","NULL","'"&amp;SUBSTITUTE(TRIM(C62),"'","''")&amp;"'")&amp;") AND coalesce(c.telefono1,'') = coalesce("&amp;IF(TRIM(F62&amp;"")="","NULL","'"&amp;SUBSTITUTE(TRIM(F62),"'","''")&amp;"'")&amp;",''));")</f>
        <v/>
      </c>
    </row>
    <row r="63" ht="15.75" customHeight="1" s="64">
      <c r="A63" s="23" t="n"/>
      <c r="B63" s="25">
        <f t="array" ref="B63">IF(A63="","",IFERROR(IF(INDEX(Clientes!$D$5:$D$549,MATCH(A63,Clientes!$C$5:$C$549,0))&lt;&gt;"",INDEX(Clientes!$D$5:$D$549,MATCH(A63,Clientes!$C$5:$C$549,0)),TRIM(INDEX(Clientes!$E$5:$E$549,MATCH(A63,Clientes!$C$5:$C$549,0))&amp;" "&amp;INDEX(Clientes!$F$5:$F$549,MATCH(A63,Clientes!$C$5:$C$549,0)))),"NO EXISTE en Clientes"))</f>
        <v/>
      </c>
      <c r="C63" s="17" t="n"/>
      <c r="D63" s="17" t="n"/>
      <c r="E63" s="17" t="n"/>
      <c r="F63" s="23" t="n"/>
      <c r="G63" s="23" t="n"/>
      <c r="H63" s="23" t="n"/>
      <c r="I63" s="17" t="n"/>
      <c r="J63" s="17" t="n"/>
      <c r="K63" s="17" t="n"/>
      <c r="L63" s="17">
        <f>IF(AND(A63="",C63=""),"",IF(A63="","FALTA doc. cliente",IF(B63="NO EXISTE en Clientes","CLIENTE no está en hoja Clientes",IF(C63="","FALTA nombre",IF(AND(K63="SI",COUNTIFS($A$5:$A$499,A63,$K$5:$K$499,"SI")&gt;1),"Más de un contacto principal para este cliente","OK")))))</f>
        <v/>
      </c>
      <c r="M63" s="28">
        <f>IF(L63&lt;&gt;"OK","","INSERT INTO cli_contacto (id_cliente, nombre, apellido_paterno, apellido_materno, telefono1, telefono2, telefono3, email, direccion, es_principal, estado) SELECT "&amp;"(SELECT id FROM cli_clientes WHERE numero_documento = '"&amp;SUBSTITUTE(TRIM(A63),"'","''")&amp;"' AND estado = 1 LIMIT 1)"&amp;", "&amp;IF(TRIM(C63&amp;"")="","NULL","'"&amp;SUBSTITUTE(TRIM(C63),"'","''")&amp;"'")&amp;", "&amp;IF(TRIM(D63&amp;"")="","NULL","'"&amp;SUBSTITUTE(TRIM(D63),"'","''")&amp;"'")&amp;", "&amp;IF(TRIM(E63&amp;"")="","NULL","'"&amp;SUBSTITUTE(TRIM(E63),"'","''")&amp;"'")&amp;", "&amp;IF(TRIM(F63&amp;"")="","NULL","'"&amp;SUBSTITUTE(TRIM(F63),"'","''")&amp;"'")&amp;", "&amp;IF(TRIM(G63&amp;"")="","NULL","'"&amp;SUBSTITUTE(TRIM(G63),"'","''")&amp;"'")&amp;", "&amp;IF(TRIM(H63&amp;"")="","NULL","'"&amp;SUBSTITUTE(TRIM(H63),"'","''")&amp;"'")&amp;", "&amp;IF(TRIM(I63&amp;"")="","NULL","'"&amp;SUBSTITUTE(TRIM(I63),"'","''")&amp;"'")&amp;", "&amp;IF(TRIM(J63&amp;"")="","NULL","'"&amp;SUBSTITUTE(TRIM(J63),"'","''")&amp;"'")&amp;", "&amp;IF(UPPER(TRIM(K63&amp;""))="SI","TRUE","FALSE")&amp;", 1"&amp;" WHERE NOT EXISTS (SELECT 1 FROM cli_contacto c WHERE c.id_cliente = "&amp;"(SELECT id FROM cli_clientes WHERE numero_documento = '"&amp;SUBSTITUTE(TRIM(A63),"'","''")&amp;"' AND estado = 1 LIMIT 1)"&amp;" AND upper(c.nombre) = upper("&amp;IF(TRIM(C63&amp;"")="","NULL","'"&amp;SUBSTITUTE(TRIM(C63),"'","''")&amp;"'")&amp;") AND coalesce(c.telefono1,'') = coalesce("&amp;IF(TRIM(F63&amp;"")="","NULL","'"&amp;SUBSTITUTE(TRIM(F63),"'","''")&amp;"'")&amp;",''));")</f>
        <v/>
      </c>
    </row>
    <row r="64" ht="15.75" customHeight="1" s="64">
      <c r="A64" s="23" t="n"/>
      <c r="B64" s="25">
        <f t="array" ref="B64">IF(A64="","",IFERROR(IF(INDEX(Clientes!$D$5:$D$549,MATCH(A64,Clientes!$C$5:$C$549,0))&lt;&gt;"",INDEX(Clientes!$D$5:$D$549,MATCH(A64,Clientes!$C$5:$C$549,0)),TRIM(INDEX(Clientes!$E$5:$E$549,MATCH(A64,Clientes!$C$5:$C$549,0))&amp;" "&amp;INDEX(Clientes!$F$5:$F$549,MATCH(A64,Clientes!$C$5:$C$549,0)))),"NO EXISTE en Clientes"))</f>
        <v/>
      </c>
      <c r="C64" s="17" t="n"/>
      <c r="D64" s="17" t="n"/>
      <c r="E64" s="17" t="n"/>
      <c r="F64" s="23" t="n"/>
      <c r="G64" s="23" t="n"/>
      <c r="H64" s="23" t="n"/>
      <c r="I64" s="17" t="n"/>
      <c r="J64" s="17" t="n"/>
      <c r="K64" s="17" t="n"/>
      <c r="L64" s="17">
        <f>IF(AND(A64="",C64=""),"",IF(A64="","FALTA doc. cliente",IF(B64="NO EXISTE en Clientes","CLIENTE no está en hoja Clientes",IF(C64="","FALTA nombre",IF(AND(K64="SI",COUNTIFS($A$5:$A$499,A64,$K$5:$K$499,"SI")&gt;1),"Más de un contacto principal para este cliente","OK")))))</f>
        <v/>
      </c>
      <c r="M64" s="28">
        <f>IF(L64&lt;&gt;"OK","","INSERT INTO cli_contacto (id_cliente, nombre, apellido_paterno, apellido_materno, telefono1, telefono2, telefono3, email, direccion, es_principal, estado) SELECT "&amp;"(SELECT id FROM cli_clientes WHERE numero_documento = '"&amp;SUBSTITUTE(TRIM(A64),"'","''")&amp;"' AND estado = 1 LIMIT 1)"&amp;", "&amp;IF(TRIM(C64&amp;"")="","NULL","'"&amp;SUBSTITUTE(TRIM(C64),"'","''")&amp;"'")&amp;", "&amp;IF(TRIM(D64&amp;"")="","NULL","'"&amp;SUBSTITUTE(TRIM(D64),"'","''")&amp;"'")&amp;", "&amp;IF(TRIM(E64&amp;"")="","NULL","'"&amp;SUBSTITUTE(TRIM(E64),"'","''")&amp;"'")&amp;", "&amp;IF(TRIM(F64&amp;"")="","NULL","'"&amp;SUBSTITUTE(TRIM(F64),"'","''")&amp;"'")&amp;", "&amp;IF(TRIM(G64&amp;"")="","NULL","'"&amp;SUBSTITUTE(TRIM(G64),"'","''")&amp;"'")&amp;", "&amp;IF(TRIM(H64&amp;"")="","NULL","'"&amp;SUBSTITUTE(TRIM(H64),"'","''")&amp;"'")&amp;", "&amp;IF(TRIM(I64&amp;"")="","NULL","'"&amp;SUBSTITUTE(TRIM(I64),"'","''")&amp;"'")&amp;", "&amp;IF(TRIM(J64&amp;"")="","NULL","'"&amp;SUBSTITUTE(TRIM(J64),"'","''")&amp;"'")&amp;", "&amp;IF(UPPER(TRIM(K64&amp;""))="SI","TRUE","FALSE")&amp;", 1"&amp;" WHERE NOT EXISTS (SELECT 1 FROM cli_contacto c WHERE c.id_cliente = "&amp;"(SELECT id FROM cli_clientes WHERE numero_documento = '"&amp;SUBSTITUTE(TRIM(A64),"'","''")&amp;"' AND estado = 1 LIMIT 1)"&amp;" AND upper(c.nombre) = upper("&amp;IF(TRIM(C64&amp;"")="","NULL","'"&amp;SUBSTITUTE(TRIM(C64),"'","''")&amp;"'")&amp;") AND coalesce(c.telefono1,'') = coalesce("&amp;IF(TRIM(F64&amp;"")="","NULL","'"&amp;SUBSTITUTE(TRIM(F64),"'","''")&amp;"'")&amp;",''));")</f>
        <v/>
      </c>
    </row>
    <row r="65" ht="15.75" customHeight="1" s="64">
      <c r="A65" s="23" t="n"/>
      <c r="B65" s="25">
        <f t="array" ref="B65">IF(A65="","",IFERROR(IF(INDEX(Clientes!$D$5:$D$549,MATCH(A65,Clientes!$C$5:$C$549,0))&lt;&gt;"",INDEX(Clientes!$D$5:$D$549,MATCH(A65,Clientes!$C$5:$C$549,0)),TRIM(INDEX(Clientes!$E$5:$E$549,MATCH(A65,Clientes!$C$5:$C$549,0))&amp;" "&amp;INDEX(Clientes!$F$5:$F$549,MATCH(A65,Clientes!$C$5:$C$549,0)))),"NO EXISTE en Clientes"))</f>
        <v/>
      </c>
      <c r="C65" s="17" t="n"/>
      <c r="D65" s="17" t="n"/>
      <c r="E65" s="17" t="n"/>
      <c r="F65" s="23" t="n"/>
      <c r="G65" s="23" t="n"/>
      <c r="H65" s="23" t="n"/>
      <c r="I65" s="17" t="n"/>
      <c r="J65" s="17" t="n"/>
      <c r="K65" s="17" t="n"/>
      <c r="L65" s="17">
        <f>IF(AND(A65="",C65=""),"",IF(A65="","FALTA doc. cliente",IF(B65="NO EXISTE en Clientes","CLIENTE no está en hoja Clientes",IF(C65="","FALTA nombre",IF(AND(K65="SI",COUNTIFS($A$5:$A$499,A65,$K$5:$K$499,"SI")&gt;1),"Más de un contacto principal para este cliente","OK")))))</f>
        <v/>
      </c>
      <c r="M65" s="28">
        <f>IF(L65&lt;&gt;"OK","","INSERT INTO cli_contacto (id_cliente, nombre, apellido_paterno, apellido_materno, telefono1, telefono2, telefono3, email, direccion, es_principal, estado) SELECT "&amp;"(SELECT id FROM cli_clientes WHERE numero_documento = '"&amp;SUBSTITUTE(TRIM(A65),"'","''")&amp;"' AND estado = 1 LIMIT 1)"&amp;", "&amp;IF(TRIM(C65&amp;"")="","NULL","'"&amp;SUBSTITUTE(TRIM(C65),"'","''")&amp;"'")&amp;", "&amp;IF(TRIM(D65&amp;"")="","NULL","'"&amp;SUBSTITUTE(TRIM(D65),"'","''")&amp;"'")&amp;", "&amp;IF(TRIM(E65&amp;"")="","NULL","'"&amp;SUBSTITUTE(TRIM(E65),"'","''")&amp;"'")&amp;", "&amp;IF(TRIM(F65&amp;"")="","NULL","'"&amp;SUBSTITUTE(TRIM(F65),"'","''")&amp;"'")&amp;", "&amp;IF(TRIM(G65&amp;"")="","NULL","'"&amp;SUBSTITUTE(TRIM(G65),"'","''")&amp;"'")&amp;", "&amp;IF(TRIM(H65&amp;"")="","NULL","'"&amp;SUBSTITUTE(TRIM(H65),"'","''")&amp;"'")&amp;", "&amp;IF(TRIM(I65&amp;"")="","NULL","'"&amp;SUBSTITUTE(TRIM(I65),"'","''")&amp;"'")&amp;", "&amp;IF(TRIM(J65&amp;"")="","NULL","'"&amp;SUBSTITUTE(TRIM(J65),"'","''")&amp;"'")&amp;", "&amp;IF(UPPER(TRIM(K65&amp;""))="SI","TRUE","FALSE")&amp;", 1"&amp;" WHERE NOT EXISTS (SELECT 1 FROM cli_contacto c WHERE c.id_cliente = "&amp;"(SELECT id FROM cli_clientes WHERE numero_documento = '"&amp;SUBSTITUTE(TRIM(A65),"'","''")&amp;"' AND estado = 1 LIMIT 1)"&amp;" AND upper(c.nombre) = upper("&amp;IF(TRIM(C65&amp;"")="","NULL","'"&amp;SUBSTITUTE(TRIM(C65),"'","''")&amp;"'")&amp;") AND coalesce(c.telefono1,'') = coalesce("&amp;IF(TRIM(F65&amp;"")="","NULL","'"&amp;SUBSTITUTE(TRIM(F65),"'","''")&amp;"'")&amp;",''));")</f>
        <v/>
      </c>
    </row>
    <row r="66" ht="15.75" customHeight="1" s="64">
      <c r="A66" s="23" t="n"/>
      <c r="B66" s="25">
        <f t="array" ref="B66">IF(A66="","",IFERROR(IF(INDEX(Clientes!$D$5:$D$549,MATCH(A66,Clientes!$C$5:$C$549,0))&lt;&gt;"",INDEX(Clientes!$D$5:$D$549,MATCH(A66,Clientes!$C$5:$C$549,0)),TRIM(INDEX(Clientes!$E$5:$E$549,MATCH(A66,Clientes!$C$5:$C$549,0))&amp;" "&amp;INDEX(Clientes!$F$5:$F$549,MATCH(A66,Clientes!$C$5:$C$549,0)))),"NO EXISTE en Clientes"))</f>
        <v/>
      </c>
      <c r="C66" s="17" t="n"/>
      <c r="D66" s="17" t="n"/>
      <c r="E66" s="17" t="n"/>
      <c r="F66" s="23" t="n"/>
      <c r="G66" s="23" t="n"/>
      <c r="H66" s="23" t="n"/>
      <c r="I66" s="17" t="n"/>
      <c r="J66" s="17" t="n"/>
      <c r="K66" s="17" t="n"/>
      <c r="L66" s="17">
        <f>IF(AND(A66="",C66=""),"",IF(A66="","FALTA doc. cliente",IF(B66="NO EXISTE en Clientes","CLIENTE no está en hoja Clientes",IF(C66="","FALTA nombre",IF(AND(K66="SI",COUNTIFS($A$5:$A$499,A66,$K$5:$K$499,"SI")&gt;1),"Más de un contacto principal para este cliente","OK")))))</f>
        <v/>
      </c>
      <c r="M66" s="28">
        <f>IF(L66&lt;&gt;"OK","","INSERT INTO cli_contacto (id_cliente, nombre, apellido_paterno, apellido_materno, telefono1, telefono2, telefono3, email, direccion, es_principal, estado) SELECT "&amp;"(SELECT id FROM cli_clientes WHERE numero_documento = '"&amp;SUBSTITUTE(TRIM(A66),"'","''")&amp;"' AND estado = 1 LIMIT 1)"&amp;", "&amp;IF(TRIM(C66&amp;"")="","NULL","'"&amp;SUBSTITUTE(TRIM(C66),"'","''")&amp;"'")&amp;", "&amp;IF(TRIM(D66&amp;"")="","NULL","'"&amp;SUBSTITUTE(TRIM(D66),"'","''")&amp;"'")&amp;", "&amp;IF(TRIM(E66&amp;"")="","NULL","'"&amp;SUBSTITUTE(TRIM(E66),"'","''")&amp;"'")&amp;", "&amp;IF(TRIM(F66&amp;"")="","NULL","'"&amp;SUBSTITUTE(TRIM(F66),"'","''")&amp;"'")&amp;", "&amp;IF(TRIM(G66&amp;"")="","NULL","'"&amp;SUBSTITUTE(TRIM(G66),"'","''")&amp;"'")&amp;", "&amp;IF(TRIM(H66&amp;"")="","NULL","'"&amp;SUBSTITUTE(TRIM(H66),"'","''")&amp;"'")&amp;", "&amp;IF(TRIM(I66&amp;"")="","NULL","'"&amp;SUBSTITUTE(TRIM(I66),"'","''")&amp;"'")&amp;", "&amp;IF(TRIM(J66&amp;"")="","NULL","'"&amp;SUBSTITUTE(TRIM(J66),"'","''")&amp;"'")&amp;", "&amp;IF(UPPER(TRIM(K66&amp;""))="SI","TRUE","FALSE")&amp;", 1"&amp;" WHERE NOT EXISTS (SELECT 1 FROM cli_contacto c WHERE c.id_cliente = "&amp;"(SELECT id FROM cli_clientes WHERE numero_documento = '"&amp;SUBSTITUTE(TRIM(A66),"'","''")&amp;"' AND estado = 1 LIMIT 1)"&amp;" AND upper(c.nombre) = upper("&amp;IF(TRIM(C66&amp;"")="","NULL","'"&amp;SUBSTITUTE(TRIM(C66),"'","''")&amp;"'")&amp;") AND coalesce(c.telefono1,'') = coalesce("&amp;IF(TRIM(F66&amp;"")="","NULL","'"&amp;SUBSTITUTE(TRIM(F66),"'","''")&amp;"'")&amp;",''));")</f>
        <v/>
      </c>
    </row>
    <row r="67" ht="15.75" customHeight="1" s="64">
      <c r="A67" s="23" t="n"/>
      <c r="B67" s="25">
        <f t="array" ref="B67">IF(A67="","",IFERROR(IF(INDEX(Clientes!$D$5:$D$549,MATCH(A67,Clientes!$C$5:$C$549,0))&lt;&gt;"",INDEX(Clientes!$D$5:$D$549,MATCH(A67,Clientes!$C$5:$C$549,0)),TRIM(INDEX(Clientes!$E$5:$E$549,MATCH(A67,Clientes!$C$5:$C$549,0))&amp;" "&amp;INDEX(Clientes!$F$5:$F$549,MATCH(A67,Clientes!$C$5:$C$549,0)))),"NO EXISTE en Clientes"))</f>
        <v/>
      </c>
      <c r="C67" s="17" t="n"/>
      <c r="D67" s="17" t="n"/>
      <c r="E67" s="17" t="n"/>
      <c r="F67" s="23" t="n"/>
      <c r="G67" s="23" t="n"/>
      <c r="H67" s="23" t="n"/>
      <c r="I67" s="17" t="n"/>
      <c r="J67" s="17" t="n"/>
      <c r="K67" s="17" t="n"/>
      <c r="L67" s="17">
        <f>IF(AND(A67="",C67=""),"",IF(A67="","FALTA doc. cliente",IF(B67="NO EXISTE en Clientes","CLIENTE no está en hoja Clientes",IF(C67="","FALTA nombre",IF(AND(K67="SI",COUNTIFS($A$5:$A$499,A67,$K$5:$K$499,"SI")&gt;1),"Más de un contacto principal para este cliente","OK")))))</f>
        <v/>
      </c>
      <c r="M67" s="28">
        <f>IF(L67&lt;&gt;"OK","","INSERT INTO cli_contacto (id_cliente, nombre, apellido_paterno, apellido_materno, telefono1, telefono2, telefono3, email, direccion, es_principal, estado) SELECT "&amp;"(SELECT id FROM cli_clientes WHERE numero_documento = '"&amp;SUBSTITUTE(TRIM(A67),"'","''")&amp;"' AND estado = 1 LIMIT 1)"&amp;", "&amp;IF(TRIM(C67&amp;"")="","NULL","'"&amp;SUBSTITUTE(TRIM(C67),"'","''")&amp;"'")&amp;", "&amp;IF(TRIM(D67&amp;"")="","NULL","'"&amp;SUBSTITUTE(TRIM(D67),"'","''")&amp;"'")&amp;", "&amp;IF(TRIM(E67&amp;"")="","NULL","'"&amp;SUBSTITUTE(TRIM(E67),"'","''")&amp;"'")&amp;", "&amp;IF(TRIM(F67&amp;"")="","NULL","'"&amp;SUBSTITUTE(TRIM(F67),"'","''")&amp;"'")&amp;", "&amp;IF(TRIM(G67&amp;"")="","NULL","'"&amp;SUBSTITUTE(TRIM(G67),"'","''")&amp;"'")&amp;", "&amp;IF(TRIM(H67&amp;"")="","NULL","'"&amp;SUBSTITUTE(TRIM(H67),"'","''")&amp;"'")&amp;", "&amp;IF(TRIM(I67&amp;"")="","NULL","'"&amp;SUBSTITUTE(TRIM(I67),"'","''")&amp;"'")&amp;", "&amp;IF(TRIM(J67&amp;"")="","NULL","'"&amp;SUBSTITUTE(TRIM(J67),"'","''")&amp;"'")&amp;", "&amp;IF(UPPER(TRIM(K67&amp;""))="SI","TRUE","FALSE")&amp;", 1"&amp;" WHERE NOT EXISTS (SELECT 1 FROM cli_contacto c WHERE c.id_cliente = "&amp;"(SELECT id FROM cli_clientes WHERE numero_documento = '"&amp;SUBSTITUTE(TRIM(A67),"'","''")&amp;"' AND estado = 1 LIMIT 1)"&amp;" AND upper(c.nombre) = upper("&amp;IF(TRIM(C67&amp;"")="","NULL","'"&amp;SUBSTITUTE(TRIM(C67),"'","''")&amp;"'")&amp;") AND coalesce(c.telefono1,'') = coalesce("&amp;IF(TRIM(F67&amp;"")="","NULL","'"&amp;SUBSTITUTE(TRIM(F67),"'","''")&amp;"'")&amp;",''));")</f>
        <v/>
      </c>
    </row>
    <row r="68" ht="15.75" customHeight="1" s="64">
      <c r="A68" s="23" t="n"/>
      <c r="B68" s="25">
        <f t="array" ref="B68">IF(A68="","",IFERROR(IF(INDEX(Clientes!$D$5:$D$549,MATCH(A68,Clientes!$C$5:$C$549,0))&lt;&gt;"",INDEX(Clientes!$D$5:$D$549,MATCH(A68,Clientes!$C$5:$C$549,0)),TRIM(INDEX(Clientes!$E$5:$E$549,MATCH(A68,Clientes!$C$5:$C$549,0))&amp;" "&amp;INDEX(Clientes!$F$5:$F$549,MATCH(A68,Clientes!$C$5:$C$549,0)))),"NO EXISTE en Clientes"))</f>
        <v/>
      </c>
      <c r="C68" s="17" t="n"/>
      <c r="D68" s="17" t="n"/>
      <c r="E68" s="17" t="n"/>
      <c r="F68" s="23" t="n"/>
      <c r="G68" s="23" t="n"/>
      <c r="H68" s="23" t="n"/>
      <c r="I68" s="17" t="n"/>
      <c r="J68" s="17" t="n"/>
      <c r="K68" s="17" t="n"/>
      <c r="L68" s="17">
        <f>IF(AND(A68="",C68=""),"",IF(A68="","FALTA doc. cliente",IF(B68="NO EXISTE en Clientes","CLIENTE no está en hoja Clientes",IF(C68="","FALTA nombre",IF(AND(K68="SI",COUNTIFS($A$5:$A$499,A68,$K$5:$K$499,"SI")&gt;1),"Más de un contacto principal para este cliente","OK")))))</f>
        <v/>
      </c>
      <c r="M68" s="28">
        <f>IF(L68&lt;&gt;"OK","","INSERT INTO cli_contacto (id_cliente, nombre, apellido_paterno, apellido_materno, telefono1, telefono2, telefono3, email, direccion, es_principal, estado) SELECT "&amp;"(SELECT id FROM cli_clientes WHERE numero_documento = '"&amp;SUBSTITUTE(TRIM(A68),"'","''")&amp;"' AND estado = 1 LIMIT 1)"&amp;", "&amp;IF(TRIM(C68&amp;"")="","NULL","'"&amp;SUBSTITUTE(TRIM(C68),"'","''")&amp;"'")&amp;", "&amp;IF(TRIM(D68&amp;"")="","NULL","'"&amp;SUBSTITUTE(TRIM(D68),"'","''")&amp;"'")&amp;", "&amp;IF(TRIM(E68&amp;"")="","NULL","'"&amp;SUBSTITUTE(TRIM(E68),"'","''")&amp;"'")&amp;", "&amp;IF(TRIM(F68&amp;"")="","NULL","'"&amp;SUBSTITUTE(TRIM(F68),"'","''")&amp;"'")&amp;", "&amp;IF(TRIM(G68&amp;"")="","NULL","'"&amp;SUBSTITUTE(TRIM(G68),"'","''")&amp;"'")&amp;", "&amp;IF(TRIM(H68&amp;"")="","NULL","'"&amp;SUBSTITUTE(TRIM(H68),"'","''")&amp;"'")&amp;", "&amp;IF(TRIM(I68&amp;"")="","NULL","'"&amp;SUBSTITUTE(TRIM(I68),"'","''")&amp;"'")&amp;", "&amp;IF(TRIM(J68&amp;"")="","NULL","'"&amp;SUBSTITUTE(TRIM(J68),"'","''")&amp;"'")&amp;", "&amp;IF(UPPER(TRIM(K68&amp;""))="SI","TRUE","FALSE")&amp;", 1"&amp;" WHERE NOT EXISTS (SELECT 1 FROM cli_contacto c WHERE c.id_cliente = "&amp;"(SELECT id FROM cli_clientes WHERE numero_documento = '"&amp;SUBSTITUTE(TRIM(A68),"'","''")&amp;"' AND estado = 1 LIMIT 1)"&amp;" AND upper(c.nombre) = upper("&amp;IF(TRIM(C68&amp;"")="","NULL","'"&amp;SUBSTITUTE(TRIM(C68),"'","''")&amp;"'")&amp;") AND coalesce(c.telefono1,'') = coalesce("&amp;IF(TRIM(F68&amp;"")="","NULL","'"&amp;SUBSTITUTE(TRIM(F68),"'","''")&amp;"'")&amp;",''));")</f>
        <v/>
      </c>
    </row>
    <row r="69" ht="15.75" customHeight="1" s="64">
      <c r="A69" s="23" t="n"/>
      <c r="B69" s="25">
        <f t="array" ref="B69">IF(A69="","",IFERROR(IF(INDEX(Clientes!$D$5:$D$549,MATCH(A69,Clientes!$C$5:$C$549,0))&lt;&gt;"",INDEX(Clientes!$D$5:$D$549,MATCH(A69,Clientes!$C$5:$C$549,0)),TRIM(INDEX(Clientes!$E$5:$E$549,MATCH(A69,Clientes!$C$5:$C$549,0))&amp;" "&amp;INDEX(Clientes!$F$5:$F$549,MATCH(A69,Clientes!$C$5:$C$549,0)))),"NO EXISTE en Clientes"))</f>
        <v/>
      </c>
      <c r="C69" s="17" t="n"/>
      <c r="D69" s="17" t="n"/>
      <c r="E69" s="17" t="n"/>
      <c r="F69" s="23" t="n"/>
      <c r="G69" s="23" t="n"/>
      <c r="H69" s="23" t="n"/>
      <c r="I69" s="17" t="n"/>
      <c r="J69" s="17" t="n"/>
      <c r="K69" s="17" t="n"/>
      <c r="L69" s="17">
        <f>IF(AND(A69="",C69=""),"",IF(A69="","FALTA doc. cliente",IF(B69="NO EXISTE en Clientes","CLIENTE no está en hoja Clientes",IF(C69="","FALTA nombre",IF(AND(K69="SI",COUNTIFS($A$5:$A$499,A69,$K$5:$K$499,"SI")&gt;1),"Más de un contacto principal para este cliente","OK")))))</f>
        <v/>
      </c>
      <c r="M69" s="28">
        <f>IF(L69&lt;&gt;"OK","","INSERT INTO cli_contacto (id_cliente, nombre, apellido_paterno, apellido_materno, telefono1, telefono2, telefono3, email, direccion, es_principal, estado) SELECT "&amp;"(SELECT id FROM cli_clientes WHERE numero_documento = '"&amp;SUBSTITUTE(TRIM(A69),"'","''")&amp;"' AND estado = 1 LIMIT 1)"&amp;", "&amp;IF(TRIM(C69&amp;"")="","NULL","'"&amp;SUBSTITUTE(TRIM(C69),"'","''")&amp;"'")&amp;", "&amp;IF(TRIM(D69&amp;"")="","NULL","'"&amp;SUBSTITUTE(TRIM(D69),"'","''")&amp;"'")&amp;", "&amp;IF(TRIM(E69&amp;"")="","NULL","'"&amp;SUBSTITUTE(TRIM(E69),"'","''")&amp;"'")&amp;", "&amp;IF(TRIM(F69&amp;"")="","NULL","'"&amp;SUBSTITUTE(TRIM(F69),"'","''")&amp;"'")&amp;", "&amp;IF(TRIM(G69&amp;"")="","NULL","'"&amp;SUBSTITUTE(TRIM(G69),"'","''")&amp;"'")&amp;", "&amp;IF(TRIM(H69&amp;"")="","NULL","'"&amp;SUBSTITUTE(TRIM(H69),"'","''")&amp;"'")&amp;", "&amp;IF(TRIM(I69&amp;"")="","NULL","'"&amp;SUBSTITUTE(TRIM(I69),"'","''")&amp;"'")&amp;", "&amp;IF(TRIM(J69&amp;"")="","NULL","'"&amp;SUBSTITUTE(TRIM(J69),"'","''")&amp;"'")&amp;", "&amp;IF(UPPER(TRIM(K69&amp;""))="SI","TRUE","FALSE")&amp;", 1"&amp;" WHERE NOT EXISTS (SELECT 1 FROM cli_contacto c WHERE c.id_cliente = "&amp;"(SELECT id FROM cli_clientes WHERE numero_documento = '"&amp;SUBSTITUTE(TRIM(A69),"'","''")&amp;"' AND estado = 1 LIMIT 1)"&amp;" AND upper(c.nombre) = upper("&amp;IF(TRIM(C69&amp;"")="","NULL","'"&amp;SUBSTITUTE(TRIM(C69),"'","''")&amp;"'")&amp;") AND coalesce(c.telefono1,'') = coalesce("&amp;IF(TRIM(F69&amp;"")="","NULL","'"&amp;SUBSTITUTE(TRIM(F69),"'","''")&amp;"'")&amp;",''));")</f>
        <v/>
      </c>
    </row>
    <row r="70" ht="15.75" customHeight="1" s="64">
      <c r="A70" s="23" t="n"/>
      <c r="B70" s="25">
        <f t="array" ref="B70">IF(A70="","",IFERROR(IF(INDEX(Clientes!$D$5:$D$549,MATCH(A70,Clientes!$C$5:$C$549,0))&lt;&gt;"",INDEX(Clientes!$D$5:$D$549,MATCH(A70,Clientes!$C$5:$C$549,0)),TRIM(INDEX(Clientes!$E$5:$E$549,MATCH(A70,Clientes!$C$5:$C$549,0))&amp;" "&amp;INDEX(Clientes!$F$5:$F$549,MATCH(A70,Clientes!$C$5:$C$549,0)))),"NO EXISTE en Clientes"))</f>
        <v/>
      </c>
      <c r="C70" s="17" t="n"/>
      <c r="D70" s="17" t="n"/>
      <c r="E70" s="17" t="n"/>
      <c r="F70" s="23" t="n"/>
      <c r="G70" s="23" t="n"/>
      <c r="H70" s="23" t="n"/>
      <c r="I70" s="17" t="n"/>
      <c r="J70" s="17" t="n"/>
      <c r="K70" s="17" t="n"/>
      <c r="L70" s="17">
        <f>IF(AND(A70="",C70=""),"",IF(A70="","FALTA doc. cliente",IF(B70="NO EXISTE en Clientes","CLIENTE no está en hoja Clientes",IF(C70="","FALTA nombre",IF(AND(K70="SI",COUNTIFS($A$5:$A$499,A70,$K$5:$K$499,"SI")&gt;1),"Más de un contacto principal para este cliente","OK")))))</f>
        <v/>
      </c>
      <c r="M70" s="28">
        <f>IF(L70&lt;&gt;"OK","","INSERT INTO cli_contacto (id_cliente, nombre, apellido_paterno, apellido_materno, telefono1, telefono2, telefono3, email, direccion, es_principal, estado) SELECT "&amp;"(SELECT id FROM cli_clientes WHERE numero_documento = '"&amp;SUBSTITUTE(TRIM(A70),"'","''")&amp;"' AND estado = 1 LIMIT 1)"&amp;", "&amp;IF(TRIM(C70&amp;"")="","NULL","'"&amp;SUBSTITUTE(TRIM(C70),"'","''")&amp;"'")&amp;", "&amp;IF(TRIM(D70&amp;"")="","NULL","'"&amp;SUBSTITUTE(TRIM(D70),"'","''")&amp;"'")&amp;", "&amp;IF(TRIM(E70&amp;"")="","NULL","'"&amp;SUBSTITUTE(TRIM(E70),"'","''")&amp;"'")&amp;", "&amp;IF(TRIM(F70&amp;"")="","NULL","'"&amp;SUBSTITUTE(TRIM(F70),"'","''")&amp;"'")&amp;", "&amp;IF(TRIM(G70&amp;"")="","NULL","'"&amp;SUBSTITUTE(TRIM(G70),"'","''")&amp;"'")&amp;", "&amp;IF(TRIM(H70&amp;"")="","NULL","'"&amp;SUBSTITUTE(TRIM(H70),"'","''")&amp;"'")&amp;", "&amp;IF(TRIM(I70&amp;"")="","NULL","'"&amp;SUBSTITUTE(TRIM(I70),"'","''")&amp;"'")&amp;", "&amp;IF(TRIM(J70&amp;"")="","NULL","'"&amp;SUBSTITUTE(TRIM(J70),"'","''")&amp;"'")&amp;", "&amp;IF(UPPER(TRIM(K70&amp;""))="SI","TRUE","FALSE")&amp;", 1"&amp;" WHERE NOT EXISTS (SELECT 1 FROM cli_contacto c WHERE c.id_cliente = "&amp;"(SELECT id FROM cli_clientes WHERE numero_documento = '"&amp;SUBSTITUTE(TRIM(A70),"'","''")&amp;"' AND estado = 1 LIMIT 1)"&amp;" AND upper(c.nombre) = upper("&amp;IF(TRIM(C70&amp;"")="","NULL","'"&amp;SUBSTITUTE(TRIM(C70),"'","''")&amp;"'")&amp;") AND coalesce(c.telefono1,'') = coalesce("&amp;IF(TRIM(F70&amp;"")="","NULL","'"&amp;SUBSTITUTE(TRIM(F70),"'","''")&amp;"'")&amp;",''));")</f>
        <v/>
      </c>
    </row>
    <row r="71" ht="15.75" customHeight="1" s="64">
      <c r="A71" s="23" t="n"/>
      <c r="B71" s="25">
        <f t="array" ref="B71">IF(A71="","",IFERROR(IF(INDEX(Clientes!$D$5:$D$549,MATCH(A71,Clientes!$C$5:$C$549,0))&lt;&gt;"",INDEX(Clientes!$D$5:$D$549,MATCH(A71,Clientes!$C$5:$C$549,0)),TRIM(INDEX(Clientes!$E$5:$E$549,MATCH(A71,Clientes!$C$5:$C$549,0))&amp;" "&amp;INDEX(Clientes!$F$5:$F$549,MATCH(A71,Clientes!$C$5:$C$549,0)))),"NO EXISTE en Clientes"))</f>
        <v/>
      </c>
      <c r="C71" s="17" t="n"/>
      <c r="D71" s="17" t="n"/>
      <c r="E71" s="17" t="n"/>
      <c r="F71" s="23" t="n"/>
      <c r="G71" s="23" t="n"/>
      <c r="H71" s="23" t="n"/>
      <c r="I71" s="17" t="n"/>
      <c r="J71" s="17" t="n"/>
      <c r="K71" s="17" t="n"/>
      <c r="L71" s="17">
        <f>IF(AND(A71="",C71=""),"",IF(A71="","FALTA doc. cliente",IF(B71="NO EXISTE en Clientes","CLIENTE no está en hoja Clientes",IF(C71="","FALTA nombre",IF(AND(K71="SI",COUNTIFS($A$5:$A$499,A71,$K$5:$K$499,"SI")&gt;1),"Más de un contacto principal para este cliente","OK")))))</f>
        <v/>
      </c>
      <c r="M71" s="28">
        <f>IF(L71&lt;&gt;"OK","","INSERT INTO cli_contacto (id_cliente, nombre, apellido_paterno, apellido_materno, telefono1, telefono2, telefono3, email, direccion, es_principal, estado) SELECT "&amp;"(SELECT id FROM cli_clientes WHERE numero_documento = '"&amp;SUBSTITUTE(TRIM(A71),"'","''")&amp;"' AND estado = 1 LIMIT 1)"&amp;", "&amp;IF(TRIM(C71&amp;"")="","NULL","'"&amp;SUBSTITUTE(TRIM(C71),"'","''")&amp;"'")&amp;", "&amp;IF(TRIM(D71&amp;"")="","NULL","'"&amp;SUBSTITUTE(TRIM(D71),"'","''")&amp;"'")&amp;", "&amp;IF(TRIM(E71&amp;"")="","NULL","'"&amp;SUBSTITUTE(TRIM(E71),"'","''")&amp;"'")&amp;", "&amp;IF(TRIM(F71&amp;"")="","NULL","'"&amp;SUBSTITUTE(TRIM(F71),"'","''")&amp;"'")&amp;", "&amp;IF(TRIM(G71&amp;"")="","NULL","'"&amp;SUBSTITUTE(TRIM(G71),"'","''")&amp;"'")&amp;", "&amp;IF(TRIM(H71&amp;"")="","NULL","'"&amp;SUBSTITUTE(TRIM(H71),"'","''")&amp;"'")&amp;", "&amp;IF(TRIM(I71&amp;"")="","NULL","'"&amp;SUBSTITUTE(TRIM(I71),"'","''")&amp;"'")&amp;", "&amp;IF(TRIM(J71&amp;"")="","NULL","'"&amp;SUBSTITUTE(TRIM(J71),"'","''")&amp;"'")&amp;", "&amp;IF(UPPER(TRIM(K71&amp;""))="SI","TRUE","FALSE")&amp;", 1"&amp;" WHERE NOT EXISTS (SELECT 1 FROM cli_contacto c WHERE c.id_cliente = "&amp;"(SELECT id FROM cli_clientes WHERE numero_documento = '"&amp;SUBSTITUTE(TRIM(A71),"'","''")&amp;"' AND estado = 1 LIMIT 1)"&amp;" AND upper(c.nombre) = upper("&amp;IF(TRIM(C71&amp;"")="","NULL","'"&amp;SUBSTITUTE(TRIM(C71),"'","''")&amp;"'")&amp;") AND coalesce(c.telefono1,'') = coalesce("&amp;IF(TRIM(F71&amp;"")="","NULL","'"&amp;SUBSTITUTE(TRIM(F71),"'","''")&amp;"'")&amp;",''));")</f>
        <v/>
      </c>
    </row>
    <row r="72" ht="15.75" customHeight="1" s="64">
      <c r="A72" s="23" t="n"/>
      <c r="B72" s="25">
        <f t="array" ref="B72">IF(A72="","",IFERROR(IF(INDEX(Clientes!$D$5:$D$549,MATCH(A72,Clientes!$C$5:$C$549,0))&lt;&gt;"",INDEX(Clientes!$D$5:$D$549,MATCH(A72,Clientes!$C$5:$C$549,0)),TRIM(INDEX(Clientes!$E$5:$E$549,MATCH(A72,Clientes!$C$5:$C$549,0))&amp;" "&amp;INDEX(Clientes!$F$5:$F$549,MATCH(A72,Clientes!$C$5:$C$549,0)))),"NO EXISTE en Clientes"))</f>
        <v/>
      </c>
      <c r="C72" s="17" t="n"/>
      <c r="D72" s="17" t="n"/>
      <c r="E72" s="17" t="n"/>
      <c r="F72" s="23" t="n"/>
      <c r="G72" s="23" t="n"/>
      <c r="H72" s="23" t="n"/>
      <c r="I72" s="17" t="n"/>
      <c r="J72" s="17" t="n"/>
      <c r="K72" s="17" t="n"/>
      <c r="L72" s="17">
        <f>IF(AND(A72="",C72=""),"",IF(A72="","FALTA doc. cliente",IF(B72="NO EXISTE en Clientes","CLIENTE no está en hoja Clientes",IF(C72="","FALTA nombre",IF(AND(K72="SI",COUNTIFS($A$5:$A$499,A72,$K$5:$K$499,"SI")&gt;1),"Más de un contacto principal para este cliente","OK")))))</f>
        <v/>
      </c>
      <c r="M72" s="28">
        <f>IF(L72&lt;&gt;"OK","","INSERT INTO cli_contacto (id_cliente, nombre, apellido_paterno, apellido_materno, telefono1, telefono2, telefono3, email, direccion, es_principal, estado) SELECT "&amp;"(SELECT id FROM cli_clientes WHERE numero_documento = '"&amp;SUBSTITUTE(TRIM(A72),"'","''")&amp;"' AND estado = 1 LIMIT 1)"&amp;", "&amp;IF(TRIM(C72&amp;"")="","NULL","'"&amp;SUBSTITUTE(TRIM(C72),"'","''")&amp;"'")&amp;", "&amp;IF(TRIM(D72&amp;"")="","NULL","'"&amp;SUBSTITUTE(TRIM(D72),"'","''")&amp;"'")&amp;", "&amp;IF(TRIM(E72&amp;"")="","NULL","'"&amp;SUBSTITUTE(TRIM(E72),"'","''")&amp;"'")&amp;", "&amp;IF(TRIM(F72&amp;"")="","NULL","'"&amp;SUBSTITUTE(TRIM(F72),"'","''")&amp;"'")&amp;", "&amp;IF(TRIM(G72&amp;"")="","NULL","'"&amp;SUBSTITUTE(TRIM(G72),"'","''")&amp;"'")&amp;", "&amp;IF(TRIM(H72&amp;"")="","NULL","'"&amp;SUBSTITUTE(TRIM(H72),"'","''")&amp;"'")&amp;", "&amp;IF(TRIM(I72&amp;"")="","NULL","'"&amp;SUBSTITUTE(TRIM(I72),"'","''")&amp;"'")&amp;", "&amp;IF(TRIM(J72&amp;"")="","NULL","'"&amp;SUBSTITUTE(TRIM(J72),"'","''")&amp;"'")&amp;", "&amp;IF(UPPER(TRIM(K72&amp;""))="SI","TRUE","FALSE")&amp;", 1"&amp;" WHERE NOT EXISTS (SELECT 1 FROM cli_contacto c WHERE c.id_cliente = "&amp;"(SELECT id FROM cli_clientes WHERE numero_documento = '"&amp;SUBSTITUTE(TRIM(A72),"'","''")&amp;"' AND estado = 1 LIMIT 1)"&amp;" AND upper(c.nombre) = upper("&amp;IF(TRIM(C72&amp;"")="","NULL","'"&amp;SUBSTITUTE(TRIM(C72),"'","''")&amp;"'")&amp;") AND coalesce(c.telefono1,'') = coalesce("&amp;IF(TRIM(F72&amp;"")="","NULL","'"&amp;SUBSTITUTE(TRIM(F72),"'","''")&amp;"'")&amp;",''));")</f>
        <v/>
      </c>
    </row>
    <row r="73" ht="15.75" customHeight="1" s="64">
      <c r="A73" s="23" t="n"/>
      <c r="B73" s="25">
        <f t="array" ref="B73">IF(A73="","",IFERROR(IF(INDEX(Clientes!$D$5:$D$549,MATCH(A73,Clientes!$C$5:$C$549,0))&lt;&gt;"",INDEX(Clientes!$D$5:$D$549,MATCH(A73,Clientes!$C$5:$C$549,0)),TRIM(INDEX(Clientes!$E$5:$E$549,MATCH(A73,Clientes!$C$5:$C$549,0))&amp;" "&amp;INDEX(Clientes!$F$5:$F$549,MATCH(A73,Clientes!$C$5:$C$549,0)))),"NO EXISTE en Clientes"))</f>
        <v/>
      </c>
      <c r="C73" s="17" t="n"/>
      <c r="D73" s="17" t="n"/>
      <c r="E73" s="17" t="n"/>
      <c r="F73" s="23" t="n"/>
      <c r="G73" s="23" t="n"/>
      <c r="H73" s="23" t="n"/>
      <c r="I73" s="17" t="n"/>
      <c r="J73" s="17" t="n"/>
      <c r="K73" s="17" t="n"/>
      <c r="L73" s="17">
        <f>IF(AND(A73="",C73=""),"",IF(A73="","FALTA doc. cliente",IF(B73="NO EXISTE en Clientes","CLIENTE no está en hoja Clientes",IF(C73="","FALTA nombre",IF(AND(K73="SI",COUNTIFS($A$5:$A$499,A73,$K$5:$K$499,"SI")&gt;1),"Más de un contacto principal para este cliente","OK")))))</f>
        <v/>
      </c>
      <c r="M73" s="28">
        <f>IF(L73&lt;&gt;"OK","","INSERT INTO cli_contacto (id_cliente, nombre, apellido_paterno, apellido_materno, telefono1, telefono2, telefono3, email, direccion, es_principal, estado) SELECT "&amp;"(SELECT id FROM cli_clientes WHERE numero_documento = '"&amp;SUBSTITUTE(TRIM(A73),"'","''")&amp;"' AND estado = 1 LIMIT 1)"&amp;", "&amp;IF(TRIM(C73&amp;"")="","NULL","'"&amp;SUBSTITUTE(TRIM(C73),"'","''")&amp;"'")&amp;", "&amp;IF(TRIM(D73&amp;"")="","NULL","'"&amp;SUBSTITUTE(TRIM(D73),"'","''")&amp;"'")&amp;", "&amp;IF(TRIM(E73&amp;"")="","NULL","'"&amp;SUBSTITUTE(TRIM(E73),"'","''")&amp;"'")&amp;", "&amp;IF(TRIM(F73&amp;"")="","NULL","'"&amp;SUBSTITUTE(TRIM(F73),"'","''")&amp;"'")&amp;", "&amp;IF(TRIM(G73&amp;"")="","NULL","'"&amp;SUBSTITUTE(TRIM(G73),"'","''")&amp;"'")&amp;", "&amp;IF(TRIM(H73&amp;"")="","NULL","'"&amp;SUBSTITUTE(TRIM(H73),"'","''")&amp;"'")&amp;", "&amp;IF(TRIM(I73&amp;"")="","NULL","'"&amp;SUBSTITUTE(TRIM(I73),"'","''")&amp;"'")&amp;", "&amp;IF(TRIM(J73&amp;"")="","NULL","'"&amp;SUBSTITUTE(TRIM(J73),"'","''")&amp;"'")&amp;", "&amp;IF(UPPER(TRIM(K73&amp;""))="SI","TRUE","FALSE")&amp;", 1"&amp;" WHERE NOT EXISTS (SELECT 1 FROM cli_contacto c WHERE c.id_cliente = "&amp;"(SELECT id FROM cli_clientes WHERE numero_documento = '"&amp;SUBSTITUTE(TRIM(A73),"'","''")&amp;"' AND estado = 1 LIMIT 1)"&amp;" AND upper(c.nombre) = upper("&amp;IF(TRIM(C73&amp;"")="","NULL","'"&amp;SUBSTITUTE(TRIM(C73),"'","''")&amp;"'")&amp;") AND coalesce(c.telefono1,'') = coalesce("&amp;IF(TRIM(F73&amp;"")="","NULL","'"&amp;SUBSTITUTE(TRIM(F73),"'","''")&amp;"'")&amp;",''));")</f>
        <v/>
      </c>
    </row>
    <row r="74" ht="15.75" customHeight="1" s="64">
      <c r="A74" s="23" t="n"/>
      <c r="B74" s="25">
        <f t="array" ref="B74">IF(A74="","",IFERROR(IF(INDEX(Clientes!$D$5:$D$549,MATCH(A74,Clientes!$C$5:$C$549,0))&lt;&gt;"",INDEX(Clientes!$D$5:$D$549,MATCH(A74,Clientes!$C$5:$C$549,0)),TRIM(INDEX(Clientes!$E$5:$E$549,MATCH(A74,Clientes!$C$5:$C$549,0))&amp;" "&amp;INDEX(Clientes!$F$5:$F$549,MATCH(A74,Clientes!$C$5:$C$549,0)))),"NO EXISTE en Clientes"))</f>
        <v/>
      </c>
      <c r="C74" s="17" t="n"/>
      <c r="D74" s="17" t="n"/>
      <c r="E74" s="17" t="n"/>
      <c r="F74" s="23" t="n"/>
      <c r="G74" s="23" t="n"/>
      <c r="H74" s="23" t="n"/>
      <c r="I74" s="17" t="n"/>
      <c r="J74" s="17" t="n"/>
      <c r="K74" s="17" t="n"/>
      <c r="L74" s="17">
        <f>IF(AND(A74="",C74=""),"",IF(A74="","FALTA doc. cliente",IF(B74="NO EXISTE en Clientes","CLIENTE no está en hoja Clientes",IF(C74="","FALTA nombre",IF(AND(K74="SI",COUNTIFS($A$5:$A$499,A74,$K$5:$K$499,"SI")&gt;1),"Más de un contacto principal para este cliente","OK")))))</f>
        <v/>
      </c>
      <c r="M74" s="28">
        <f>IF(L74&lt;&gt;"OK","","INSERT INTO cli_contacto (id_cliente, nombre, apellido_paterno, apellido_materno, telefono1, telefono2, telefono3, email, direccion, es_principal, estado) SELECT "&amp;"(SELECT id FROM cli_clientes WHERE numero_documento = '"&amp;SUBSTITUTE(TRIM(A74),"'","''")&amp;"' AND estado = 1 LIMIT 1)"&amp;", "&amp;IF(TRIM(C74&amp;"")="","NULL","'"&amp;SUBSTITUTE(TRIM(C74),"'","''")&amp;"'")&amp;", "&amp;IF(TRIM(D74&amp;"")="","NULL","'"&amp;SUBSTITUTE(TRIM(D74),"'","''")&amp;"'")&amp;", "&amp;IF(TRIM(E74&amp;"")="","NULL","'"&amp;SUBSTITUTE(TRIM(E74),"'","''")&amp;"'")&amp;", "&amp;IF(TRIM(F74&amp;"")="","NULL","'"&amp;SUBSTITUTE(TRIM(F74),"'","''")&amp;"'")&amp;", "&amp;IF(TRIM(G74&amp;"")="","NULL","'"&amp;SUBSTITUTE(TRIM(G74),"'","''")&amp;"'")&amp;", "&amp;IF(TRIM(H74&amp;"")="","NULL","'"&amp;SUBSTITUTE(TRIM(H74),"'","''")&amp;"'")&amp;", "&amp;IF(TRIM(I74&amp;"")="","NULL","'"&amp;SUBSTITUTE(TRIM(I74),"'","''")&amp;"'")&amp;", "&amp;IF(TRIM(J74&amp;"")="","NULL","'"&amp;SUBSTITUTE(TRIM(J74),"'","''")&amp;"'")&amp;", "&amp;IF(UPPER(TRIM(K74&amp;""))="SI","TRUE","FALSE")&amp;", 1"&amp;" WHERE NOT EXISTS (SELECT 1 FROM cli_contacto c WHERE c.id_cliente = "&amp;"(SELECT id FROM cli_clientes WHERE numero_documento = '"&amp;SUBSTITUTE(TRIM(A74),"'","''")&amp;"' AND estado = 1 LIMIT 1)"&amp;" AND upper(c.nombre) = upper("&amp;IF(TRIM(C74&amp;"")="","NULL","'"&amp;SUBSTITUTE(TRIM(C74),"'","''")&amp;"'")&amp;") AND coalesce(c.telefono1,'') = coalesce("&amp;IF(TRIM(F74&amp;"")="","NULL","'"&amp;SUBSTITUTE(TRIM(F74),"'","''")&amp;"'")&amp;",''));")</f>
        <v/>
      </c>
    </row>
    <row r="75" ht="15.75" customHeight="1" s="64">
      <c r="A75" s="23" t="n"/>
      <c r="B75" s="25">
        <f t="array" ref="B75">IF(A75="","",IFERROR(IF(INDEX(Clientes!$D$5:$D$549,MATCH(A75,Clientes!$C$5:$C$549,0))&lt;&gt;"",INDEX(Clientes!$D$5:$D$549,MATCH(A75,Clientes!$C$5:$C$549,0)),TRIM(INDEX(Clientes!$E$5:$E$549,MATCH(A75,Clientes!$C$5:$C$549,0))&amp;" "&amp;INDEX(Clientes!$F$5:$F$549,MATCH(A75,Clientes!$C$5:$C$549,0)))),"NO EXISTE en Clientes"))</f>
        <v/>
      </c>
      <c r="C75" s="17" t="n"/>
      <c r="D75" s="17" t="n"/>
      <c r="E75" s="17" t="n"/>
      <c r="F75" s="23" t="n"/>
      <c r="G75" s="23" t="n"/>
      <c r="H75" s="23" t="n"/>
      <c r="I75" s="17" t="n"/>
      <c r="J75" s="17" t="n"/>
      <c r="K75" s="17" t="n"/>
      <c r="L75" s="17">
        <f>IF(AND(A75="",C75=""),"",IF(A75="","FALTA doc. cliente",IF(B75="NO EXISTE en Clientes","CLIENTE no está en hoja Clientes",IF(C75="","FALTA nombre",IF(AND(K75="SI",COUNTIFS($A$5:$A$499,A75,$K$5:$K$499,"SI")&gt;1),"Más de un contacto principal para este cliente","OK")))))</f>
        <v/>
      </c>
      <c r="M75" s="28">
        <f>IF(L75&lt;&gt;"OK","","INSERT INTO cli_contacto (id_cliente, nombre, apellido_paterno, apellido_materno, telefono1, telefono2, telefono3, email, direccion, es_principal, estado) SELECT "&amp;"(SELECT id FROM cli_clientes WHERE numero_documento = '"&amp;SUBSTITUTE(TRIM(A75),"'","''")&amp;"' AND estado = 1 LIMIT 1)"&amp;", "&amp;IF(TRIM(C75&amp;"")="","NULL","'"&amp;SUBSTITUTE(TRIM(C75),"'","''")&amp;"'")&amp;", "&amp;IF(TRIM(D75&amp;"")="","NULL","'"&amp;SUBSTITUTE(TRIM(D75),"'","''")&amp;"'")&amp;", "&amp;IF(TRIM(E75&amp;"")="","NULL","'"&amp;SUBSTITUTE(TRIM(E75),"'","''")&amp;"'")&amp;", "&amp;IF(TRIM(F75&amp;"")="","NULL","'"&amp;SUBSTITUTE(TRIM(F75),"'","''")&amp;"'")&amp;", "&amp;IF(TRIM(G75&amp;"")="","NULL","'"&amp;SUBSTITUTE(TRIM(G75),"'","''")&amp;"'")&amp;", "&amp;IF(TRIM(H75&amp;"")="","NULL","'"&amp;SUBSTITUTE(TRIM(H75),"'","''")&amp;"'")&amp;", "&amp;IF(TRIM(I75&amp;"")="","NULL","'"&amp;SUBSTITUTE(TRIM(I75),"'","''")&amp;"'")&amp;", "&amp;IF(TRIM(J75&amp;"")="","NULL","'"&amp;SUBSTITUTE(TRIM(J75),"'","''")&amp;"'")&amp;", "&amp;IF(UPPER(TRIM(K75&amp;""))="SI","TRUE","FALSE")&amp;", 1"&amp;" WHERE NOT EXISTS (SELECT 1 FROM cli_contacto c WHERE c.id_cliente = "&amp;"(SELECT id FROM cli_clientes WHERE numero_documento = '"&amp;SUBSTITUTE(TRIM(A75),"'","''")&amp;"' AND estado = 1 LIMIT 1)"&amp;" AND upper(c.nombre) = upper("&amp;IF(TRIM(C75&amp;"")="","NULL","'"&amp;SUBSTITUTE(TRIM(C75),"'","''")&amp;"'")&amp;") AND coalesce(c.telefono1,'') = coalesce("&amp;IF(TRIM(F75&amp;"")="","NULL","'"&amp;SUBSTITUTE(TRIM(F75),"'","''")&amp;"'")&amp;",''));")</f>
        <v/>
      </c>
    </row>
    <row r="76" ht="15.75" customHeight="1" s="64">
      <c r="A76" s="23" t="n"/>
      <c r="B76" s="25">
        <f t="array" ref="B76">IF(A76="","",IFERROR(IF(INDEX(Clientes!$D$5:$D$549,MATCH(A76,Clientes!$C$5:$C$549,0))&lt;&gt;"",INDEX(Clientes!$D$5:$D$549,MATCH(A76,Clientes!$C$5:$C$549,0)),TRIM(INDEX(Clientes!$E$5:$E$549,MATCH(A76,Clientes!$C$5:$C$549,0))&amp;" "&amp;INDEX(Clientes!$F$5:$F$549,MATCH(A76,Clientes!$C$5:$C$549,0)))),"NO EXISTE en Clientes"))</f>
        <v/>
      </c>
      <c r="C76" s="17" t="n"/>
      <c r="D76" s="17" t="n"/>
      <c r="E76" s="17" t="n"/>
      <c r="F76" s="23" t="n"/>
      <c r="G76" s="23" t="n"/>
      <c r="H76" s="23" t="n"/>
      <c r="I76" s="17" t="n"/>
      <c r="J76" s="17" t="n"/>
      <c r="K76" s="17" t="n"/>
      <c r="L76" s="17">
        <f>IF(AND(A76="",C76=""),"",IF(A76="","FALTA doc. cliente",IF(B76="NO EXISTE en Clientes","CLIENTE no está en hoja Clientes",IF(C76="","FALTA nombre",IF(AND(K76="SI",COUNTIFS($A$5:$A$499,A76,$K$5:$K$499,"SI")&gt;1),"Más de un contacto principal para este cliente","OK")))))</f>
        <v/>
      </c>
      <c r="M76" s="28">
        <f>IF(L76&lt;&gt;"OK","","INSERT INTO cli_contacto (id_cliente, nombre, apellido_paterno, apellido_materno, telefono1, telefono2, telefono3, email, direccion, es_principal, estado) SELECT "&amp;"(SELECT id FROM cli_clientes WHERE numero_documento = '"&amp;SUBSTITUTE(TRIM(A76),"'","''")&amp;"' AND estado = 1 LIMIT 1)"&amp;", "&amp;IF(TRIM(C76&amp;"")="","NULL","'"&amp;SUBSTITUTE(TRIM(C76),"'","''")&amp;"'")&amp;", "&amp;IF(TRIM(D76&amp;"")="","NULL","'"&amp;SUBSTITUTE(TRIM(D76),"'","''")&amp;"'")&amp;", "&amp;IF(TRIM(E76&amp;"")="","NULL","'"&amp;SUBSTITUTE(TRIM(E76),"'","''")&amp;"'")&amp;", "&amp;IF(TRIM(F76&amp;"")="","NULL","'"&amp;SUBSTITUTE(TRIM(F76),"'","''")&amp;"'")&amp;", "&amp;IF(TRIM(G76&amp;"")="","NULL","'"&amp;SUBSTITUTE(TRIM(G76),"'","''")&amp;"'")&amp;", "&amp;IF(TRIM(H76&amp;"")="","NULL","'"&amp;SUBSTITUTE(TRIM(H76),"'","''")&amp;"'")&amp;", "&amp;IF(TRIM(I76&amp;"")="","NULL","'"&amp;SUBSTITUTE(TRIM(I76),"'","''")&amp;"'")&amp;", "&amp;IF(TRIM(J76&amp;"")="","NULL","'"&amp;SUBSTITUTE(TRIM(J76),"'","''")&amp;"'")&amp;", "&amp;IF(UPPER(TRIM(K76&amp;""))="SI","TRUE","FALSE")&amp;", 1"&amp;" WHERE NOT EXISTS (SELECT 1 FROM cli_contacto c WHERE c.id_cliente = "&amp;"(SELECT id FROM cli_clientes WHERE numero_documento = '"&amp;SUBSTITUTE(TRIM(A76),"'","''")&amp;"' AND estado = 1 LIMIT 1)"&amp;" AND upper(c.nombre) = upper("&amp;IF(TRIM(C76&amp;"")="","NULL","'"&amp;SUBSTITUTE(TRIM(C76),"'","''")&amp;"'")&amp;") AND coalesce(c.telefono1,'') = coalesce("&amp;IF(TRIM(F76&amp;"")="","NULL","'"&amp;SUBSTITUTE(TRIM(F76),"'","''")&amp;"'")&amp;",''));")</f>
        <v/>
      </c>
    </row>
    <row r="77" ht="15.75" customHeight="1" s="64">
      <c r="A77" s="23" t="n"/>
      <c r="B77" s="25">
        <f t="array" ref="B77">IF(A77="","",IFERROR(IF(INDEX(Clientes!$D$5:$D$549,MATCH(A77,Clientes!$C$5:$C$549,0))&lt;&gt;"",INDEX(Clientes!$D$5:$D$549,MATCH(A77,Clientes!$C$5:$C$549,0)),TRIM(INDEX(Clientes!$E$5:$E$549,MATCH(A77,Clientes!$C$5:$C$549,0))&amp;" "&amp;INDEX(Clientes!$F$5:$F$549,MATCH(A77,Clientes!$C$5:$C$549,0)))),"NO EXISTE en Clientes"))</f>
        <v/>
      </c>
      <c r="C77" s="17" t="n"/>
      <c r="D77" s="17" t="n"/>
      <c r="E77" s="17" t="n"/>
      <c r="F77" s="23" t="n"/>
      <c r="G77" s="23" t="n"/>
      <c r="H77" s="23" t="n"/>
      <c r="I77" s="17" t="n"/>
      <c r="J77" s="17" t="n"/>
      <c r="K77" s="17" t="n"/>
      <c r="L77" s="17">
        <f>IF(AND(A77="",C77=""),"",IF(A77="","FALTA doc. cliente",IF(B77="NO EXISTE en Clientes","CLIENTE no está en hoja Clientes",IF(C77="","FALTA nombre",IF(AND(K77="SI",COUNTIFS($A$5:$A$499,A77,$K$5:$K$499,"SI")&gt;1),"Más de un contacto principal para este cliente","OK")))))</f>
        <v/>
      </c>
      <c r="M77" s="28">
        <f>IF(L77&lt;&gt;"OK","","INSERT INTO cli_contacto (id_cliente, nombre, apellido_paterno, apellido_materno, telefono1, telefono2, telefono3, email, direccion, es_principal, estado) SELECT "&amp;"(SELECT id FROM cli_clientes WHERE numero_documento = '"&amp;SUBSTITUTE(TRIM(A77),"'","''")&amp;"' AND estado = 1 LIMIT 1)"&amp;", "&amp;IF(TRIM(C77&amp;"")="","NULL","'"&amp;SUBSTITUTE(TRIM(C77),"'","''")&amp;"'")&amp;", "&amp;IF(TRIM(D77&amp;"")="","NULL","'"&amp;SUBSTITUTE(TRIM(D77),"'","''")&amp;"'")&amp;", "&amp;IF(TRIM(E77&amp;"")="","NULL","'"&amp;SUBSTITUTE(TRIM(E77),"'","''")&amp;"'")&amp;", "&amp;IF(TRIM(F77&amp;"")="","NULL","'"&amp;SUBSTITUTE(TRIM(F77),"'","''")&amp;"'")&amp;", "&amp;IF(TRIM(G77&amp;"")="","NULL","'"&amp;SUBSTITUTE(TRIM(G77),"'","''")&amp;"'")&amp;", "&amp;IF(TRIM(H77&amp;"")="","NULL","'"&amp;SUBSTITUTE(TRIM(H77),"'","''")&amp;"'")&amp;", "&amp;IF(TRIM(I77&amp;"")="","NULL","'"&amp;SUBSTITUTE(TRIM(I77),"'","''")&amp;"'")&amp;", "&amp;IF(TRIM(J77&amp;"")="","NULL","'"&amp;SUBSTITUTE(TRIM(J77),"'","''")&amp;"'")&amp;", "&amp;IF(UPPER(TRIM(K77&amp;""))="SI","TRUE","FALSE")&amp;", 1"&amp;" WHERE NOT EXISTS (SELECT 1 FROM cli_contacto c WHERE c.id_cliente = "&amp;"(SELECT id FROM cli_clientes WHERE numero_documento = '"&amp;SUBSTITUTE(TRIM(A77),"'","''")&amp;"' AND estado = 1 LIMIT 1)"&amp;" AND upper(c.nombre) = upper("&amp;IF(TRIM(C77&amp;"")="","NULL","'"&amp;SUBSTITUTE(TRIM(C77),"'","''")&amp;"'")&amp;") AND coalesce(c.telefono1,'') = coalesce("&amp;IF(TRIM(F77&amp;"")="","NULL","'"&amp;SUBSTITUTE(TRIM(F77),"'","''")&amp;"'")&amp;",''));")</f>
        <v/>
      </c>
    </row>
    <row r="78" ht="15.75" customHeight="1" s="64">
      <c r="A78" s="23" t="n"/>
      <c r="B78" s="25">
        <f t="array" ref="B78">IF(A78="","",IFERROR(IF(INDEX(Clientes!$D$5:$D$549,MATCH(A78,Clientes!$C$5:$C$549,0))&lt;&gt;"",INDEX(Clientes!$D$5:$D$549,MATCH(A78,Clientes!$C$5:$C$549,0)),TRIM(INDEX(Clientes!$E$5:$E$549,MATCH(A78,Clientes!$C$5:$C$549,0))&amp;" "&amp;INDEX(Clientes!$F$5:$F$549,MATCH(A78,Clientes!$C$5:$C$549,0)))),"NO EXISTE en Clientes"))</f>
        <v/>
      </c>
      <c r="C78" s="17" t="n"/>
      <c r="D78" s="17" t="n"/>
      <c r="E78" s="17" t="n"/>
      <c r="F78" s="23" t="n"/>
      <c r="G78" s="23" t="n"/>
      <c r="H78" s="23" t="n"/>
      <c r="I78" s="17" t="n"/>
      <c r="J78" s="17" t="n"/>
      <c r="K78" s="17" t="n"/>
      <c r="L78" s="17">
        <f>IF(AND(A78="",C78=""),"",IF(A78="","FALTA doc. cliente",IF(B78="NO EXISTE en Clientes","CLIENTE no está en hoja Clientes",IF(C78="","FALTA nombre",IF(AND(K78="SI",COUNTIFS($A$5:$A$499,A78,$K$5:$K$499,"SI")&gt;1),"Más de un contacto principal para este cliente","OK")))))</f>
        <v/>
      </c>
      <c r="M78" s="28">
        <f>IF(L78&lt;&gt;"OK","","INSERT INTO cli_contacto (id_cliente, nombre, apellido_paterno, apellido_materno, telefono1, telefono2, telefono3, email, direccion, es_principal, estado) SELECT "&amp;"(SELECT id FROM cli_clientes WHERE numero_documento = '"&amp;SUBSTITUTE(TRIM(A78),"'","''")&amp;"' AND estado = 1 LIMIT 1)"&amp;", "&amp;IF(TRIM(C78&amp;"")="","NULL","'"&amp;SUBSTITUTE(TRIM(C78),"'","''")&amp;"'")&amp;", "&amp;IF(TRIM(D78&amp;"")="","NULL","'"&amp;SUBSTITUTE(TRIM(D78),"'","''")&amp;"'")&amp;", "&amp;IF(TRIM(E78&amp;"")="","NULL","'"&amp;SUBSTITUTE(TRIM(E78),"'","''")&amp;"'")&amp;", "&amp;IF(TRIM(F78&amp;"")="","NULL","'"&amp;SUBSTITUTE(TRIM(F78),"'","''")&amp;"'")&amp;", "&amp;IF(TRIM(G78&amp;"")="","NULL","'"&amp;SUBSTITUTE(TRIM(G78),"'","''")&amp;"'")&amp;", "&amp;IF(TRIM(H78&amp;"")="","NULL","'"&amp;SUBSTITUTE(TRIM(H78),"'","''")&amp;"'")&amp;", "&amp;IF(TRIM(I78&amp;"")="","NULL","'"&amp;SUBSTITUTE(TRIM(I78),"'","''")&amp;"'")&amp;", "&amp;IF(TRIM(J78&amp;"")="","NULL","'"&amp;SUBSTITUTE(TRIM(J78),"'","''")&amp;"'")&amp;", "&amp;IF(UPPER(TRIM(K78&amp;""))="SI","TRUE","FALSE")&amp;", 1"&amp;" WHERE NOT EXISTS (SELECT 1 FROM cli_contacto c WHERE c.id_cliente = "&amp;"(SELECT id FROM cli_clientes WHERE numero_documento = '"&amp;SUBSTITUTE(TRIM(A78),"'","''")&amp;"' AND estado = 1 LIMIT 1)"&amp;" AND upper(c.nombre) = upper("&amp;IF(TRIM(C78&amp;"")="","NULL","'"&amp;SUBSTITUTE(TRIM(C78),"'","''")&amp;"'")&amp;") AND coalesce(c.telefono1,'') = coalesce("&amp;IF(TRIM(F78&amp;"")="","NULL","'"&amp;SUBSTITUTE(TRIM(F78),"'","''")&amp;"'")&amp;",''));")</f>
        <v/>
      </c>
    </row>
    <row r="79" ht="15.75" customHeight="1" s="64">
      <c r="A79" s="23" t="n"/>
      <c r="B79" s="25">
        <f t="array" ref="B79">IF(A79="","",IFERROR(IF(INDEX(Clientes!$D$5:$D$549,MATCH(A79,Clientes!$C$5:$C$549,0))&lt;&gt;"",INDEX(Clientes!$D$5:$D$549,MATCH(A79,Clientes!$C$5:$C$549,0)),TRIM(INDEX(Clientes!$E$5:$E$549,MATCH(A79,Clientes!$C$5:$C$549,0))&amp;" "&amp;INDEX(Clientes!$F$5:$F$549,MATCH(A79,Clientes!$C$5:$C$549,0)))),"NO EXISTE en Clientes"))</f>
        <v/>
      </c>
      <c r="C79" s="17" t="n"/>
      <c r="D79" s="17" t="n"/>
      <c r="E79" s="17" t="n"/>
      <c r="F79" s="23" t="n"/>
      <c r="G79" s="23" t="n"/>
      <c r="H79" s="23" t="n"/>
      <c r="I79" s="17" t="n"/>
      <c r="J79" s="17" t="n"/>
      <c r="K79" s="17" t="n"/>
      <c r="L79" s="17">
        <f>IF(AND(A79="",C79=""),"",IF(A79="","FALTA doc. cliente",IF(B79="NO EXISTE en Clientes","CLIENTE no está en hoja Clientes",IF(C79="","FALTA nombre",IF(AND(K79="SI",COUNTIFS($A$5:$A$499,A79,$K$5:$K$499,"SI")&gt;1),"Más de un contacto principal para este cliente","OK")))))</f>
        <v/>
      </c>
      <c r="M79" s="28">
        <f>IF(L79&lt;&gt;"OK","","INSERT INTO cli_contacto (id_cliente, nombre, apellido_paterno, apellido_materno, telefono1, telefono2, telefono3, email, direccion, es_principal, estado) SELECT "&amp;"(SELECT id FROM cli_clientes WHERE numero_documento = '"&amp;SUBSTITUTE(TRIM(A79),"'","''")&amp;"' AND estado = 1 LIMIT 1)"&amp;", "&amp;IF(TRIM(C79&amp;"")="","NULL","'"&amp;SUBSTITUTE(TRIM(C79),"'","''")&amp;"'")&amp;", "&amp;IF(TRIM(D79&amp;"")="","NULL","'"&amp;SUBSTITUTE(TRIM(D79),"'","''")&amp;"'")&amp;", "&amp;IF(TRIM(E79&amp;"")="","NULL","'"&amp;SUBSTITUTE(TRIM(E79),"'","''")&amp;"'")&amp;", "&amp;IF(TRIM(F79&amp;"")="","NULL","'"&amp;SUBSTITUTE(TRIM(F79),"'","''")&amp;"'")&amp;", "&amp;IF(TRIM(G79&amp;"")="","NULL","'"&amp;SUBSTITUTE(TRIM(G79),"'","''")&amp;"'")&amp;", "&amp;IF(TRIM(H79&amp;"")="","NULL","'"&amp;SUBSTITUTE(TRIM(H79),"'","''")&amp;"'")&amp;", "&amp;IF(TRIM(I79&amp;"")="","NULL","'"&amp;SUBSTITUTE(TRIM(I79),"'","''")&amp;"'")&amp;", "&amp;IF(TRIM(J79&amp;"")="","NULL","'"&amp;SUBSTITUTE(TRIM(J79),"'","''")&amp;"'")&amp;", "&amp;IF(UPPER(TRIM(K79&amp;""))="SI","TRUE","FALSE")&amp;", 1"&amp;" WHERE NOT EXISTS (SELECT 1 FROM cli_contacto c WHERE c.id_cliente = "&amp;"(SELECT id FROM cli_clientes WHERE numero_documento = '"&amp;SUBSTITUTE(TRIM(A79),"'","''")&amp;"' AND estado = 1 LIMIT 1)"&amp;" AND upper(c.nombre) = upper("&amp;IF(TRIM(C79&amp;"")="","NULL","'"&amp;SUBSTITUTE(TRIM(C79),"'","''")&amp;"'")&amp;") AND coalesce(c.telefono1,'') = coalesce("&amp;IF(TRIM(F79&amp;"")="","NULL","'"&amp;SUBSTITUTE(TRIM(F79),"'","''")&amp;"'")&amp;",''));")</f>
        <v/>
      </c>
    </row>
    <row r="80" ht="15.75" customHeight="1" s="64">
      <c r="A80" s="23" t="n"/>
      <c r="B80" s="25">
        <f t="array" ref="B80">IF(A80="","",IFERROR(IF(INDEX(Clientes!$D$5:$D$549,MATCH(A80,Clientes!$C$5:$C$549,0))&lt;&gt;"",INDEX(Clientes!$D$5:$D$549,MATCH(A80,Clientes!$C$5:$C$549,0)),TRIM(INDEX(Clientes!$E$5:$E$549,MATCH(A80,Clientes!$C$5:$C$549,0))&amp;" "&amp;INDEX(Clientes!$F$5:$F$549,MATCH(A80,Clientes!$C$5:$C$549,0)))),"NO EXISTE en Clientes"))</f>
        <v/>
      </c>
      <c r="C80" s="17" t="n"/>
      <c r="D80" s="17" t="n"/>
      <c r="E80" s="17" t="n"/>
      <c r="F80" s="23" t="n"/>
      <c r="G80" s="23" t="n"/>
      <c r="H80" s="23" t="n"/>
      <c r="I80" s="17" t="n"/>
      <c r="J80" s="17" t="n"/>
      <c r="K80" s="17" t="n"/>
      <c r="L80" s="17">
        <f>IF(AND(A80="",C80=""),"",IF(A80="","FALTA doc. cliente",IF(B80="NO EXISTE en Clientes","CLIENTE no está en hoja Clientes",IF(C80="","FALTA nombre",IF(AND(K80="SI",COUNTIFS($A$5:$A$499,A80,$K$5:$K$499,"SI")&gt;1),"Más de un contacto principal para este cliente","OK")))))</f>
        <v/>
      </c>
      <c r="M80" s="28">
        <f>IF(L80&lt;&gt;"OK","","INSERT INTO cli_contacto (id_cliente, nombre, apellido_paterno, apellido_materno, telefono1, telefono2, telefono3, email, direccion, es_principal, estado) SELECT "&amp;"(SELECT id FROM cli_clientes WHERE numero_documento = '"&amp;SUBSTITUTE(TRIM(A80),"'","''")&amp;"' AND estado = 1 LIMIT 1)"&amp;", "&amp;IF(TRIM(C80&amp;"")="","NULL","'"&amp;SUBSTITUTE(TRIM(C80),"'","''")&amp;"'")&amp;", "&amp;IF(TRIM(D80&amp;"")="","NULL","'"&amp;SUBSTITUTE(TRIM(D80),"'","''")&amp;"'")&amp;", "&amp;IF(TRIM(E80&amp;"")="","NULL","'"&amp;SUBSTITUTE(TRIM(E80),"'","''")&amp;"'")&amp;", "&amp;IF(TRIM(F80&amp;"")="","NULL","'"&amp;SUBSTITUTE(TRIM(F80),"'","''")&amp;"'")&amp;", "&amp;IF(TRIM(G80&amp;"")="","NULL","'"&amp;SUBSTITUTE(TRIM(G80),"'","''")&amp;"'")&amp;", "&amp;IF(TRIM(H80&amp;"")="","NULL","'"&amp;SUBSTITUTE(TRIM(H80),"'","''")&amp;"'")&amp;", "&amp;IF(TRIM(I80&amp;"")="","NULL","'"&amp;SUBSTITUTE(TRIM(I80),"'","''")&amp;"'")&amp;", "&amp;IF(TRIM(J80&amp;"")="","NULL","'"&amp;SUBSTITUTE(TRIM(J80),"'","''")&amp;"'")&amp;", "&amp;IF(UPPER(TRIM(K80&amp;""))="SI","TRUE","FALSE")&amp;", 1"&amp;" WHERE NOT EXISTS (SELECT 1 FROM cli_contacto c WHERE c.id_cliente = "&amp;"(SELECT id FROM cli_clientes WHERE numero_documento = '"&amp;SUBSTITUTE(TRIM(A80),"'","''")&amp;"' AND estado = 1 LIMIT 1)"&amp;" AND upper(c.nombre) = upper("&amp;IF(TRIM(C80&amp;"")="","NULL","'"&amp;SUBSTITUTE(TRIM(C80),"'","''")&amp;"'")&amp;") AND coalesce(c.telefono1,'') = coalesce("&amp;IF(TRIM(F80&amp;"")="","NULL","'"&amp;SUBSTITUTE(TRIM(F80),"'","''")&amp;"'")&amp;",''));")</f>
        <v/>
      </c>
    </row>
    <row r="81" ht="15.75" customHeight="1" s="64">
      <c r="A81" s="23" t="n"/>
      <c r="B81" s="25">
        <f t="array" ref="B81">IF(A81="","",IFERROR(IF(INDEX(Clientes!$D$5:$D$549,MATCH(A81,Clientes!$C$5:$C$549,0))&lt;&gt;"",INDEX(Clientes!$D$5:$D$549,MATCH(A81,Clientes!$C$5:$C$549,0)),TRIM(INDEX(Clientes!$E$5:$E$549,MATCH(A81,Clientes!$C$5:$C$549,0))&amp;" "&amp;INDEX(Clientes!$F$5:$F$549,MATCH(A81,Clientes!$C$5:$C$549,0)))),"NO EXISTE en Clientes"))</f>
        <v/>
      </c>
      <c r="C81" s="17" t="n"/>
      <c r="D81" s="17" t="n"/>
      <c r="E81" s="17" t="n"/>
      <c r="F81" s="23" t="n"/>
      <c r="G81" s="23" t="n"/>
      <c r="H81" s="23" t="n"/>
      <c r="I81" s="17" t="n"/>
      <c r="J81" s="17" t="n"/>
      <c r="K81" s="17" t="n"/>
      <c r="L81" s="17">
        <f>IF(AND(A81="",C81=""),"",IF(A81="","FALTA doc. cliente",IF(B81="NO EXISTE en Clientes","CLIENTE no está en hoja Clientes",IF(C81="","FALTA nombre",IF(AND(K81="SI",COUNTIFS($A$5:$A$499,A81,$K$5:$K$499,"SI")&gt;1),"Más de un contacto principal para este cliente","OK")))))</f>
        <v/>
      </c>
      <c r="M81" s="28">
        <f>IF(L81&lt;&gt;"OK","","INSERT INTO cli_contacto (id_cliente, nombre, apellido_paterno, apellido_materno, telefono1, telefono2, telefono3, email, direccion, es_principal, estado) SELECT "&amp;"(SELECT id FROM cli_clientes WHERE numero_documento = '"&amp;SUBSTITUTE(TRIM(A81),"'","''")&amp;"' AND estado = 1 LIMIT 1)"&amp;", "&amp;IF(TRIM(C81&amp;"")="","NULL","'"&amp;SUBSTITUTE(TRIM(C81),"'","''")&amp;"'")&amp;", "&amp;IF(TRIM(D81&amp;"")="","NULL","'"&amp;SUBSTITUTE(TRIM(D81),"'","''")&amp;"'")&amp;", "&amp;IF(TRIM(E81&amp;"")="","NULL","'"&amp;SUBSTITUTE(TRIM(E81),"'","''")&amp;"'")&amp;", "&amp;IF(TRIM(F81&amp;"")="","NULL","'"&amp;SUBSTITUTE(TRIM(F81),"'","''")&amp;"'")&amp;", "&amp;IF(TRIM(G81&amp;"")="","NULL","'"&amp;SUBSTITUTE(TRIM(G81),"'","''")&amp;"'")&amp;", "&amp;IF(TRIM(H81&amp;"")="","NULL","'"&amp;SUBSTITUTE(TRIM(H81),"'","''")&amp;"'")&amp;", "&amp;IF(TRIM(I81&amp;"")="","NULL","'"&amp;SUBSTITUTE(TRIM(I81),"'","''")&amp;"'")&amp;", "&amp;IF(TRIM(J81&amp;"")="","NULL","'"&amp;SUBSTITUTE(TRIM(J81),"'","''")&amp;"'")&amp;", "&amp;IF(UPPER(TRIM(K81&amp;""))="SI","TRUE","FALSE")&amp;", 1"&amp;" WHERE NOT EXISTS (SELECT 1 FROM cli_contacto c WHERE c.id_cliente = "&amp;"(SELECT id FROM cli_clientes WHERE numero_documento = '"&amp;SUBSTITUTE(TRIM(A81),"'","''")&amp;"' AND estado = 1 LIMIT 1)"&amp;" AND upper(c.nombre) = upper("&amp;IF(TRIM(C81&amp;"")="","NULL","'"&amp;SUBSTITUTE(TRIM(C81),"'","''")&amp;"'")&amp;") AND coalesce(c.telefono1,'') = coalesce("&amp;IF(TRIM(F81&amp;"")="","NULL","'"&amp;SUBSTITUTE(TRIM(F81),"'","''")&amp;"'")&amp;",''));")</f>
        <v/>
      </c>
    </row>
    <row r="82" ht="15.75" customHeight="1" s="64">
      <c r="A82" s="23" t="n"/>
      <c r="B82" s="25">
        <f t="array" ref="B82">IF(A82="","",IFERROR(IF(INDEX(Clientes!$D$5:$D$549,MATCH(A82,Clientes!$C$5:$C$549,0))&lt;&gt;"",INDEX(Clientes!$D$5:$D$549,MATCH(A82,Clientes!$C$5:$C$549,0)),TRIM(INDEX(Clientes!$E$5:$E$549,MATCH(A82,Clientes!$C$5:$C$549,0))&amp;" "&amp;INDEX(Clientes!$F$5:$F$549,MATCH(A82,Clientes!$C$5:$C$549,0)))),"NO EXISTE en Clientes"))</f>
        <v/>
      </c>
      <c r="C82" s="17" t="n"/>
      <c r="D82" s="17" t="n"/>
      <c r="E82" s="17" t="n"/>
      <c r="F82" s="23" t="n"/>
      <c r="G82" s="23" t="n"/>
      <c r="H82" s="23" t="n"/>
      <c r="I82" s="17" t="n"/>
      <c r="J82" s="17" t="n"/>
      <c r="K82" s="17" t="n"/>
      <c r="L82" s="17">
        <f>IF(AND(A82="",C82=""),"",IF(A82="","FALTA doc. cliente",IF(B82="NO EXISTE en Clientes","CLIENTE no está en hoja Clientes",IF(C82="","FALTA nombre",IF(AND(K82="SI",COUNTIFS($A$5:$A$499,A82,$K$5:$K$499,"SI")&gt;1),"Más de un contacto principal para este cliente","OK")))))</f>
        <v/>
      </c>
      <c r="M82" s="28">
        <f>IF(L82&lt;&gt;"OK","","INSERT INTO cli_contacto (id_cliente, nombre, apellido_paterno, apellido_materno, telefono1, telefono2, telefono3, email, direccion, es_principal, estado) SELECT "&amp;"(SELECT id FROM cli_clientes WHERE numero_documento = '"&amp;SUBSTITUTE(TRIM(A82),"'","''")&amp;"' AND estado = 1 LIMIT 1)"&amp;", "&amp;IF(TRIM(C82&amp;"")="","NULL","'"&amp;SUBSTITUTE(TRIM(C82),"'","''")&amp;"'")&amp;", "&amp;IF(TRIM(D82&amp;"")="","NULL","'"&amp;SUBSTITUTE(TRIM(D82),"'","''")&amp;"'")&amp;", "&amp;IF(TRIM(E82&amp;"")="","NULL","'"&amp;SUBSTITUTE(TRIM(E82),"'","''")&amp;"'")&amp;", "&amp;IF(TRIM(F82&amp;"")="","NULL","'"&amp;SUBSTITUTE(TRIM(F82),"'","''")&amp;"'")&amp;", "&amp;IF(TRIM(G82&amp;"")="","NULL","'"&amp;SUBSTITUTE(TRIM(G82),"'","''")&amp;"'")&amp;", "&amp;IF(TRIM(H82&amp;"")="","NULL","'"&amp;SUBSTITUTE(TRIM(H82),"'","''")&amp;"'")&amp;", "&amp;IF(TRIM(I82&amp;"")="","NULL","'"&amp;SUBSTITUTE(TRIM(I82),"'","''")&amp;"'")&amp;", "&amp;IF(TRIM(J82&amp;"")="","NULL","'"&amp;SUBSTITUTE(TRIM(J82),"'","''")&amp;"'")&amp;", "&amp;IF(UPPER(TRIM(K82&amp;""))="SI","TRUE","FALSE")&amp;", 1"&amp;" WHERE NOT EXISTS (SELECT 1 FROM cli_contacto c WHERE c.id_cliente = "&amp;"(SELECT id FROM cli_clientes WHERE numero_documento = '"&amp;SUBSTITUTE(TRIM(A82),"'","''")&amp;"' AND estado = 1 LIMIT 1)"&amp;" AND upper(c.nombre) = upper("&amp;IF(TRIM(C82&amp;"")="","NULL","'"&amp;SUBSTITUTE(TRIM(C82),"'","''")&amp;"'")&amp;") AND coalesce(c.telefono1,'') = coalesce("&amp;IF(TRIM(F82&amp;"")="","NULL","'"&amp;SUBSTITUTE(TRIM(F82),"'","''")&amp;"'")&amp;",''));")</f>
        <v/>
      </c>
    </row>
    <row r="83" ht="15.75" customHeight="1" s="64">
      <c r="A83" s="23" t="n"/>
      <c r="B83" s="25">
        <f t="array" ref="B83">IF(A83="","",IFERROR(IF(INDEX(Clientes!$D$5:$D$549,MATCH(A83,Clientes!$C$5:$C$549,0))&lt;&gt;"",INDEX(Clientes!$D$5:$D$549,MATCH(A83,Clientes!$C$5:$C$549,0)),TRIM(INDEX(Clientes!$E$5:$E$549,MATCH(A83,Clientes!$C$5:$C$549,0))&amp;" "&amp;INDEX(Clientes!$F$5:$F$549,MATCH(A83,Clientes!$C$5:$C$549,0)))),"NO EXISTE en Clientes"))</f>
        <v/>
      </c>
      <c r="C83" s="17" t="n"/>
      <c r="D83" s="17" t="n"/>
      <c r="E83" s="17" t="n"/>
      <c r="F83" s="23" t="n"/>
      <c r="G83" s="23" t="n"/>
      <c r="H83" s="23" t="n"/>
      <c r="I83" s="17" t="n"/>
      <c r="J83" s="17" t="n"/>
      <c r="K83" s="17" t="n"/>
      <c r="L83" s="17">
        <f>IF(AND(A83="",C83=""),"",IF(A83="","FALTA doc. cliente",IF(B83="NO EXISTE en Clientes","CLIENTE no está en hoja Clientes",IF(C83="","FALTA nombre",IF(AND(K83="SI",COUNTIFS($A$5:$A$499,A83,$K$5:$K$499,"SI")&gt;1),"Más de un contacto principal para este cliente","OK")))))</f>
        <v/>
      </c>
      <c r="M83" s="28">
        <f>IF(L83&lt;&gt;"OK","","INSERT INTO cli_contacto (id_cliente, nombre, apellido_paterno, apellido_materno, telefono1, telefono2, telefono3, email, direccion, es_principal, estado) SELECT "&amp;"(SELECT id FROM cli_clientes WHERE numero_documento = '"&amp;SUBSTITUTE(TRIM(A83),"'","''")&amp;"' AND estado = 1 LIMIT 1)"&amp;", "&amp;IF(TRIM(C83&amp;"")="","NULL","'"&amp;SUBSTITUTE(TRIM(C83),"'","''")&amp;"'")&amp;", "&amp;IF(TRIM(D83&amp;"")="","NULL","'"&amp;SUBSTITUTE(TRIM(D83),"'","''")&amp;"'")&amp;", "&amp;IF(TRIM(E83&amp;"")="","NULL","'"&amp;SUBSTITUTE(TRIM(E83),"'","''")&amp;"'")&amp;", "&amp;IF(TRIM(F83&amp;"")="","NULL","'"&amp;SUBSTITUTE(TRIM(F83),"'","''")&amp;"'")&amp;", "&amp;IF(TRIM(G83&amp;"")="","NULL","'"&amp;SUBSTITUTE(TRIM(G83),"'","''")&amp;"'")&amp;", "&amp;IF(TRIM(H83&amp;"")="","NULL","'"&amp;SUBSTITUTE(TRIM(H83),"'","''")&amp;"'")&amp;", "&amp;IF(TRIM(I83&amp;"")="","NULL","'"&amp;SUBSTITUTE(TRIM(I83),"'","''")&amp;"'")&amp;", "&amp;IF(TRIM(J83&amp;"")="","NULL","'"&amp;SUBSTITUTE(TRIM(J83),"'","''")&amp;"'")&amp;", "&amp;IF(UPPER(TRIM(K83&amp;""))="SI","TRUE","FALSE")&amp;", 1"&amp;" WHERE NOT EXISTS (SELECT 1 FROM cli_contacto c WHERE c.id_cliente = "&amp;"(SELECT id FROM cli_clientes WHERE numero_documento = '"&amp;SUBSTITUTE(TRIM(A83),"'","''")&amp;"' AND estado = 1 LIMIT 1)"&amp;" AND upper(c.nombre) = upper("&amp;IF(TRIM(C83&amp;"")="","NULL","'"&amp;SUBSTITUTE(TRIM(C83),"'","''")&amp;"'")&amp;") AND coalesce(c.telefono1,'') = coalesce("&amp;IF(TRIM(F83&amp;"")="","NULL","'"&amp;SUBSTITUTE(TRIM(F83),"'","''")&amp;"'")&amp;",''));")</f>
        <v/>
      </c>
    </row>
    <row r="84" ht="15.75" customHeight="1" s="64">
      <c r="A84" s="23" t="n"/>
      <c r="B84" s="25">
        <f t="array" ref="B84">IF(A84="","",IFERROR(IF(INDEX(Clientes!$D$5:$D$549,MATCH(A84,Clientes!$C$5:$C$549,0))&lt;&gt;"",INDEX(Clientes!$D$5:$D$549,MATCH(A84,Clientes!$C$5:$C$549,0)),TRIM(INDEX(Clientes!$E$5:$E$549,MATCH(A84,Clientes!$C$5:$C$549,0))&amp;" "&amp;INDEX(Clientes!$F$5:$F$549,MATCH(A84,Clientes!$C$5:$C$549,0)))),"NO EXISTE en Clientes"))</f>
        <v/>
      </c>
      <c r="C84" s="17" t="n"/>
      <c r="D84" s="17" t="n"/>
      <c r="E84" s="17" t="n"/>
      <c r="F84" s="23" t="n"/>
      <c r="G84" s="23" t="n"/>
      <c r="H84" s="23" t="n"/>
      <c r="I84" s="17" t="n"/>
      <c r="J84" s="17" t="n"/>
      <c r="K84" s="17" t="n"/>
      <c r="L84" s="17">
        <f>IF(AND(A84="",C84=""),"",IF(A84="","FALTA doc. cliente",IF(B84="NO EXISTE en Clientes","CLIENTE no está en hoja Clientes",IF(C84="","FALTA nombre",IF(AND(K84="SI",COUNTIFS($A$5:$A$499,A84,$K$5:$K$499,"SI")&gt;1),"Más de un contacto principal para este cliente","OK")))))</f>
        <v/>
      </c>
      <c r="M84" s="28">
        <f>IF(L84&lt;&gt;"OK","","INSERT INTO cli_contacto (id_cliente, nombre, apellido_paterno, apellido_materno, telefono1, telefono2, telefono3, email, direccion, es_principal, estado) SELECT "&amp;"(SELECT id FROM cli_clientes WHERE numero_documento = '"&amp;SUBSTITUTE(TRIM(A84),"'","''")&amp;"' AND estado = 1 LIMIT 1)"&amp;", "&amp;IF(TRIM(C84&amp;"")="","NULL","'"&amp;SUBSTITUTE(TRIM(C84),"'","''")&amp;"'")&amp;", "&amp;IF(TRIM(D84&amp;"")="","NULL","'"&amp;SUBSTITUTE(TRIM(D84),"'","''")&amp;"'")&amp;", "&amp;IF(TRIM(E84&amp;"")="","NULL","'"&amp;SUBSTITUTE(TRIM(E84),"'","''")&amp;"'")&amp;", "&amp;IF(TRIM(F84&amp;"")="","NULL","'"&amp;SUBSTITUTE(TRIM(F84),"'","''")&amp;"'")&amp;", "&amp;IF(TRIM(G84&amp;"")="","NULL","'"&amp;SUBSTITUTE(TRIM(G84),"'","''")&amp;"'")&amp;", "&amp;IF(TRIM(H84&amp;"")="","NULL","'"&amp;SUBSTITUTE(TRIM(H84),"'","''")&amp;"'")&amp;", "&amp;IF(TRIM(I84&amp;"")="","NULL","'"&amp;SUBSTITUTE(TRIM(I84),"'","''")&amp;"'")&amp;", "&amp;IF(TRIM(J84&amp;"")="","NULL","'"&amp;SUBSTITUTE(TRIM(J84),"'","''")&amp;"'")&amp;", "&amp;IF(UPPER(TRIM(K84&amp;""))="SI","TRUE","FALSE")&amp;", 1"&amp;" WHERE NOT EXISTS (SELECT 1 FROM cli_contacto c WHERE c.id_cliente = "&amp;"(SELECT id FROM cli_clientes WHERE numero_documento = '"&amp;SUBSTITUTE(TRIM(A84),"'","''")&amp;"' AND estado = 1 LIMIT 1)"&amp;" AND upper(c.nombre) = upper("&amp;IF(TRIM(C84&amp;"")="","NULL","'"&amp;SUBSTITUTE(TRIM(C84),"'","''")&amp;"'")&amp;") AND coalesce(c.telefono1,'') = coalesce("&amp;IF(TRIM(F84&amp;"")="","NULL","'"&amp;SUBSTITUTE(TRIM(F84),"'","''")&amp;"'")&amp;",''));")</f>
        <v/>
      </c>
    </row>
    <row r="85" ht="15.75" customHeight="1" s="64">
      <c r="A85" s="23" t="n"/>
      <c r="B85" s="25">
        <f t="array" ref="B85">IF(A85="","",IFERROR(IF(INDEX(Clientes!$D$5:$D$549,MATCH(A85,Clientes!$C$5:$C$549,0))&lt;&gt;"",INDEX(Clientes!$D$5:$D$549,MATCH(A85,Clientes!$C$5:$C$549,0)),TRIM(INDEX(Clientes!$E$5:$E$549,MATCH(A85,Clientes!$C$5:$C$549,0))&amp;" "&amp;INDEX(Clientes!$F$5:$F$549,MATCH(A85,Clientes!$C$5:$C$549,0)))),"NO EXISTE en Clientes"))</f>
        <v/>
      </c>
      <c r="C85" s="17" t="n"/>
      <c r="D85" s="17" t="n"/>
      <c r="E85" s="17" t="n"/>
      <c r="F85" s="23" t="n"/>
      <c r="G85" s="23" t="n"/>
      <c r="H85" s="23" t="n"/>
      <c r="I85" s="17" t="n"/>
      <c r="J85" s="17" t="n"/>
      <c r="K85" s="17" t="n"/>
      <c r="L85" s="17">
        <f>IF(AND(A85="",C85=""),"",IF(A85="","FALTA doc. cliente",IF(B85="NO EXISTE en Clientes","CLIENTE no está en hoja Clientes",IF(C85="","FALTA nombre",IF(AND(K85="SI",COUNTIFS($A$5:$A$499,A85,$K$5:$K$499,"SI")&gt;1),"Más de un contacto principal para este cliente","OK")))))</f>
        <v/>
      </c>
      <c r="M85" s="28">
        <f>IF(L85&lt;&gt;"OK","","INSERT INTO cli_contacto (id_cliente, nombre, apellido_paterno, apellido_materno, telefono1, telefono2, telefono3, email, direccion, es_principal, estado) SELECT "&amp;"(SELECT id FROM cli_clientes WHERE numero_documento = '"&amp;SUBSTITUTE(TRIM(A85),"'","''")&amp;"' AND estado = 1 LIMIT 1)"&amp;", "&amp;IF(TRIM(C85&amp;"")="","NULL","'"&amp;SUBSTITUTE(TRIM(C85),"'","''")&amp;"'")&amp;", "&amp;IF(TRIM(D85&amp;"")="","NULL","'"&amp;SUBSTITUTE(TRIM(D85),"'","''")&amp;"'")&amp;", "&amp;IF(TRIM(E85&amp;"")="","NULL","'"&amp;SUBSTITUTE(TRIM(E85),"'","''")&amp;"'")&amp;", "&amp;IF(TRIM(F85&amp;"")="","NULL","'"&amp;SUBSTITUTE(TRIM(F85),"'","''")&amp;"'")&amp;", "&amp;IF(TRIM(G85&amp;"")="","NULL","'"&amp;SUBSTITUTE(TRIM(G85),"'","''")&amp;"'")&amp;", "&amp;IF(TRIM(H85&amp;"")="","NULL","'"&amp;SUBSTITUTE(TRIM(H85),"'","''")&amp;"'")&amp;", "&amp;IF(TRIM(I85&amp;"")="","NULL","'"&amp;SUBSTITUTE(TRIM(I85),"'","''")&amp;"'")&amp;", "&amp;IF(TRIM(J85&amp;"")="","NULL","'"&amp;SUBSTITUTE(TRIM(J85),"'","''")&amp;"'")&amp;", "&amp;IF(UPPER(TRIM(K85&amp;""))="SI","TRUE","FALSE")&amp;", 1"&amp;" WHERE NOT EXISTS (SELECT 1 FROM cli_contacto c WHERE c.id_cliente = "&amp;"(SELECT id FROM cli_clientes WHERE numero_documento = '"&amp;SUBSTITUTE(TRIM(A85),"'","''")&amp;"' AND estado = 1 LIMIT 1)"&amp;" AND upper(c.nombre) = upper("&amp;IF(TRIM(C85&amp;"")="","NULL","'"&amp;SUBSTITUTE(TRIM(C85),"'","''")&amp;"'")&amp;") AND coalesce(c.telefono1,'') = coalesce("&amp;IF(TRIM(F85&amp;"")="","NULL","'"&amp;SUBSTITUTE(TRIM(F85),"'","''")&amp;"'")&amp;",''));")</f>
        <v/>
      </c>
    </row>
    <row r="86" ht="15.75" customHeight="1" s="64">
      <c r="A86" s="23" t="n"/>
      <c r="B86" s="25">
        <f t="array" ref="B86">IF(A86="","",IFERROR(IF(INDEX(Clientes!$D$5:$D$549,MATCH(A86,Clientes!$C$5:$C$549,0))&lt;&gt;"",INDEX(Clientes!$D$5:$D$549,MATCH(A86,Clientes!$C$5:$C$549,0)),TRIM(INDEX(Clientes!$E$5:$E$549,MATCH(A86,Clientes!$C$5:$C$549,0))&amp;" "&amp;INDEX(Clientes!$F$5:$F$549,MATCH(A86,Clientes!$C$5:$C$549,0)))),"NO EXISTE en Clientes"))</f>
        <v/>
      </c>
      <c r="C86" s="17" t="n"/>
      <c r="D86" s="17" t="n"/>
      <c r="E86" s="17" t="n"/>
      <c r="F86" s="23" t="n"/>
      <c r="G86" s="23" t="n"/>
      <c r="H86" s="23" t="n"/>
      <c r="I86" s="17" t="n"/>
      <c r="J86" s="17" t="n"/>
      <c r="K86" s="17" t="n"/>
      <c r="L86" s="17">
        <f>IF(AND(A86="",C86=""),"",IF(A86="","FALTA doc. cliente",IF(B86="NO EXISTE en Clientes","CLIENTE no está en hoja Clientes",IF(C86="","FALTA nombre",IF(AND(K86="SI",COUNTIFS($A$5:$A$499,A86,$K$5:$K$499,"SI")&gt;1),"Más de un contacto principal para este cliente","OK")))))</f>
        <v/>
      </c>
      <c r="M86" s="28">
        <f>IF(L86&lt;&gt;"OK","","INSERT INTO cli_contacto (id_cliente, nombre, apellido_paterno, apellido_materno, telefono1, telefono2, telefono3, email, direccion, es_principal, estado) SELECT "&amp;"(SELECT id FROM cli_clientes WHERE numero_documento = '"&amp;SUBSTITUTE(TRIM(A86),"'","''")&amp;"' AND estado = 1 LIMIT 1)"&amp;", "&amp;IF(TRIM(C86&amp;"")="","NULL","'"&amp;SUBSTITUTE(TRIM(C86),"'","''")&amp;"'")&amp;", "&amp;IF(TRIM(D86&amp;"")="","NULL","'"&amp;SUBSTITUTE(TRIM(D86),"'","''")&amp;"'")&amp;", "&amp;IF(TRIM(E86&amp;"")="","NULL","'"&amp;SUBSTITUTE(TRIM(E86),"'","''")&amp;"'")&amp;", "&amp;IF(TRIM(F86&amp;"")="","NULL","'"&amp;SUBSTITUTE(TRIM(F86),"'","''")&amp;"'")&amp;", "&amp;IF(TRIM(G86&amp;"")="","NULL","'"&amp;SUBSTITUTE(TRIM(G86),"'","''")&amp;"'")&amp;", "&amp;IF(TRIM(H86&amp;"")="","NULL","'"&amp;SUBSTITUTE(TRIM(H86),"'","''")&amp;"'")&amp;", "&amp;IF(TRIM(I86&amp;"")="","NULL","'"&amp;SUBSTITUTE(TRIM(I86),"'","''")&amp;"'")&amp;", "&amp;IF(TRIM(J86&amp;"")="","NULL","'"&amp;SUBSTITUTE(TRIM(J86),"'","''")&amp;"'")&amp;", "&amp;IF(UPPER(TRIM(K86&amp;""))="SI","TRUE","FALSE")&amp;", 1"&amp;" WHERE NOT EXISTS (SELECT 1 FROM cli_contacto c WHERE c.id_cliente = "&amp;"(SELECT id FROM cli_clientes WHERE numero_documento = '"&amp;SUBSTITUTE(TRIM(A86),"'","''")&amp;"' AND estado = 1 LIMIT 1)"&amp;" AND upper(c.nombre) = upper("&amp;IF(TRIM(C86&amp;"")="","NULL","'"&amp;SUBSTITUTE(TRIM(C86),"'","''")&amp;"'")&amp;") AND coalesce(c.telefono1,'') = coalesce("&amp;IF(TRIM(F86&amp;"")="","NULL","'"&amp;SUBSTITUTE(TRIM(F86),"'","''")&amp;"'")&amp;",''));")</f>
        <v/>
      </c>
    </row>
    <row r="87" ht="15.75" customHeight="1" s="64">
      <c r="A87" s="23" t="n"/>
      <c r="B87" s="25">
        <f t="array" ref="B87">IF(A87="","",IFERROR(IF(INDEX(Clientes!$D$5:$D$549,MATCH(A87,Clientes!$C$5:$C$549,0))&lt;&gt;"",INDEX(Clientes!$D$5:$D$549,MATCH(A87,Clientes!$C$5:$C$549,0)),TRIM(INDEX(Clientes!$E$5:$E$549,MATCH(A87,Clientes!$C$5:$C$549,0))&amp;" "&amp;INDEX(Clientes!$F$5:$F$549,MATCH(A87,Clientes!$C$5:$C$549,0)))),"NO EXISTE en Clientes"))</f>
        <v/>
      </c>
      <c r="C87" s="17" t="n"/>
      <c r="D87" s="17" t="n"/>
      <c r="E87" s="17" t="n"/>
      <c r="F87" s="23" t="n"/>
      <c r="G87" s="23" t="n"/>
      <c r="H87" s="23" t="n"/>
      <c r="I87" s="17" t="n"/>
      <c r="J87" s="17" t="n"/>
      <c r="K87" s="17" t="n"/>
      <c r="L87" s="17">
        <f>IF(AND(A87="",C87=""),"",IF(A87="","FALTA doc. cliente",IF(B87="NO EXISTE en Clientes","CLIENTE no está en hoja Clientes",IF(C87="","FALTA nombre",IF(AND(K87="SI",COUNTIFS($A$5:$A$499,A87,$K$5:$K$499,"SI")&gt;1),"Más de un contacto principal para este cliente","OK")))))</f>
        <v/>
      </c>
      <c r="M87" s="28">
        <f>IF(L87&lt;&gt;"OK","","INSERT INTO cli_contacto (id_cliente, nombre, apellido_paterno, apellido_materno, telefono1, telefono2, telefono3, email, direccion, es_principal, estado) SELECT "&amp;"(SELECT id FROM cli_clientes WHERE numero_documento = '"&amp;SUBSTITUTE(TRIM(A87),"'","''")&amp;"' AND estado = 1 LIMIT 1)"&amp;", "&amp;IF(TRIM(C87&amp;"")="","NULL","'"&amp;SUBSTITUTE(TRIM(C87),"'","''")&amp;"'")&amp;", "&amp;IF(TRIM(D87&amp;"")="","NULL","'"&amp;SUBSTITUTE(TRIM(D87),"'","''")&amp;"'")&amp;", "&amp;IF(TRIM(E87&amp;"")="","NULL","'"&amp;SUBSTITUTE(TRIM(E87),"'","''")&amp;"'")&amp;", "&amp;IF(TRIM(F87&amp;"")="","NULL","'"&amp;SUBSTITUTE(TRIM(F87),"'","''")&amp;"'")&amp;", "&amp;IF(TRIM(G87&amp;"")="","NULL","'"&amp;SUBSTITUTE(TRIM(G87),"'","''")&amp;"'")&amp;", "&amp;IF(TRIM(H87&amp;"")="","NULL","'"&amp;SUBSTITUTE(TRIM(H87),"'","''")&amp;"'")&amp;", "&amp;IF(TRIM(I87&amp;"")="","NULL","'"&amp;SUBSTITUTE(TRIM(I87),"'","''")&amp;"'")&amp;", "&amp;IF(TRIM(J87&amp;"")="","NULL","'"&amp;SUBSTITUTE(TRIM(J87),"'","''")&amp;"'")&amp;", "&amp;IF(UPPER(TRIM(K87&amp;""))="SI","TRUE","FALSE")&amp;", 1"&amp;" WHERE NOT EXISTS (SELECT 1 FROM cli_contacto c WHERE c.id_cliente = "&amp;"(SELECT id FROM cli_clientes WHERE numero_documento = '"&amp;SUBSTITUTE(TRIM(A87),"'","''")&amp;"' AND estado = 1 LIMIT 1)"&amp;" AND upper(c.nombre) = upper("&amp;IF(TRIM(C87&amp;"")="","NULL","'"&amp;SUBSTITUTE(TRIM(C87),"'","''")&amp;"'")&amp;") AND coalesce(c.telefono1,'') = coalesce("&amp;IF(TRIM(F87&amp;"")="","NULL","'"&amp;SUBSTITUTE(TRIM(F87),"'","''")&amp;"'")&amp;",''));")</f>
        <v/>
      </c>
    </row>
    <row r="88" ht="15.75" customHeight="1" s="64">
      <c r="A88" s="23" t="n"/>
      <c r="B88" s="25">
        <f t="array" ref="B88">IF(A88="","",IFERROR(IF(INDEX(Clientes!$D$5:$D$549,MATCH(A88,Clientes!$C$5:$C$549,0))&lt;&gt;"",INDEX(Clientes!$D$5:$D$549,MATCH(A88,Clientes!$C$5:$C$549,0)),TRIM(INDEX(Clientes!$E$5:$E$549,MATCH(A88,Clientes!$C$5:$C$549,0))&amp;" "&amp;INDEX(Clientes!$F$5:$F$549,MATCH(A88,Clientes!$C$5:$C$549,0)))),"NO EXISTE en Clientes"))</f>
        <v/>
      </c>
      <c r="C88" s="17" t="n"/>
      <c r="D88" s="17" t="n"/>
      <c r="E88" s="17" t="n"/>
      <c r="F88" s="23" t="n"/>
      <c r="G88" s="23" t="n"/>
      <c r="H88" s="23" t="n"/>
      <c r="I88" s="17" t="n"/>
      <c r="J88" s="17" t="n"/>
      <c r="K88" s="17" t="n"/>
      <c r="L88" s="17">
        <f>IF(AND(A88="",C88=""),"",IF(A88="","FALTA doc. cliente",IF(B88="NO EXISTE en Clientes","CLIENTE no está en hoja Clientes",IF(C88="","FALTA nombre",IF(AND(K88="SI",COUNTIFS($A$5:$A$499,A88,$K$5:$K$499,"SI")&gt;1),"Más de un contacto principal para este cliente","OK")))))</f>
        <v/>
      </c>
      <c r="M88" s="28">
        <f>IF(L88&lt;&gt;"OK","","INSERT INTO cli_contacto (id_cliente, nombre, apellido_paterno, apellido_materno, telefono1, telefono2, telefono3, email, direccion, es_principal, estado) SELECT "&amp;"(SELECT id FROM cli_clientes WHERE numero_documento = '"&amp;SUBSTITUTE(TRIM(A88),"'","''")&amp;"' AND estado = 1 LIMIT 1)"&amp;", "&amp;IF(TRIM(C88&amp;"")="","NULL","'"&amp;SUBSTITUTE(TRIM(C88),"'","''")&amp;"'")&amp;", "&amp;IF(TRIM(D88&amp;"")="","NULL","'"&amp;SUBSTITUTE(TRIM(D88),"'","''")&amp;"'")&amp;", "&amp;IF(TRIM(E88&amp;"")="","NULL","'"&amp;SUBSTITUTE(TRIM(E88),"'","''")&amp;"'")&amp;", "&amp;IF(TRIM(F88&amp;"")="","NULL","'"&amp;SUBSTITUTE(TRIM(F88),"'","''")&amp;"'")&amp;", "&amp;IF(TRIM(G88&amp;"")="","NULL","'"&amp;SUBSTITUTE(TRIM(G88),"'","''")&amp;"'")&amp;", "&amp;IF(TRIM(H88&amp;"")="","NULL","'"&amp;SUBSTITUTE(TRIM(H88),"'","''")&amp;"'")&amp;", "&amp;IF(TRIM(I88&amp;"")="","NULL","'"&amp;SUBSTITUTE(TRIM(I88),"'","''")&amp;"'")&amp;", "&amp;IF(TRIM(J88&amp;"")="","NULL","'"&amp;SUBSTITUTE(TRIM(J88),"'","''")&amp;"'")&amp;", "&amp;IF(UPPER(TRIM(K88&amp;""))="SI","TRUE","FALSE")&amp;", 1"&amp;" WHERE NOT EXISTS (SELECT 1 FROM cli_contacto c WHERE c.id_cliente = "&amp;"(SELECT id FROM cli_clientes WHERE numero_documento = '"&amp;SUBSTITUTE(TRIM(A88),"'","''")&amp;"' AND estado = 1 LIMIT 1)"&amp;" AND upper(c.nombre) = upper("&amp;IF(TRIM(C88&amp;"")="","NULL","'"&amp;SUBSTITUTE(TRIM(C88),"'","''")&amp;"'")&amp;") AND coalesce(c.telefono1,'') = coalesce("&amp;IF(TRIM(F88&amp;"")="","NULL","'"&amp;SUBSTITUTE(TRIM(F88),"'","''")&amp;"'")&amp;",''));")</f>
        <v/>
      </c>
    </row>
    <row r="89" ht="15.75" customHeight="1" s="64">
      <c r="A89" s="23" t="n"/>
      <c r="B89" s="25">
        <f t="array" ref="B89">IF(A89="","",IFERROR(IF(INDEX(Clientes!$D$5:$D$549,MATCH(A89,Clientes!$C$5:$C$549,0))&lt;&gt;"",INDEX(Clientes!$D$5:$D$549,MATCH(A89,Clientes!$C$5:$C$549,0)),TRIM(INDEX(Clientes!$E$5:$E$549,MATCH(A89,Clientes!$C$5:$C$549,0))&amp;" "&amp;INDEX(Clientes!$F$5:$F$549,MATCH(A89,Clientes!$C$5:$C$549,0)))),"NO EXISTE en Clientes"))</f>
        <v/>
      </c>
      <c r="C89" s="17" t="n"/>
      <c r="D89" s="17" t="n"/>
      <c r="E89" s="17" t="n"/>
      <c r="F89" s="23" t="n"/>
      <c r="G89" s="23" t="n"/>
      <c r="H89" s="23" t="n"/>
      <c r="I89" s="17" t="n"/>
      <c r="J89" s="17" t="n"/>
      <c r="K89" s="17" t="n"/>
      <c r="L89" s="17">
        <f>IF(AND(A89="",C89=""),"",IF(A89="","FALTA doc. cliente",IF(B89="NO EXISTE en Clientes","CLIENTE no está en hoja Clientes",IF(C89="","FALTA nombre",IF(AND(K89="SI",COUNTIFS($A$5:$A$499,A89,$K$5:$K$499,"SI")&gt;1),"Más de un contacto principal para este cliente","OK")))))</f>
        <v/>
      </c>
      <c r="M89" s="28">
        <f>IF(L89&lt;&gt;"OK","","INSERT INTO cli_contacto (id_cliente, nombre, apellido_paterno, apellido_materno, telefono1, telefono2, telefono3, email, direccion, es_principal, estado) SELECT "&amp;"(SELECT id FROM cli_clientes WHERE numero_documento = '"&amp;SUBSTITUTE(TRIM(A89),"'","''")&amp;"' AND estado = 1 LIMIT 1)"&amp;", "&amp;IF(TRIM(C89&amp;"")="","NULL","'"&amp;SUBSTITUTE(TRIM(C89),"'","''")&amp;"'")&amp;", "&amp;IF(TRIM(D89&amp;"")="","NULL","'"&amp;SUBSTITUTE(TRIM(D89),"'","''")&amp;"'")&amp;", "&amp;IF(TRIM(E89&amp;"")="","NULL","'"&amp;SUBSTITUTE(TRIM(E89),"'","''")&amp;"'")&amp;", "&amp;IF(TRIM(F89&amp;"")="","NULL","'"&amp;SUBSTITUTE(TRIM(F89),"'","''")&amp;"'")&amp;", "&amp;IF(TRIM(G89&amp;"")="","NULL","'"&amp;SUBSTITUTE(TRIM(G89),"'","''")&amp;"'")&amp;", "&amp;IF(TRIM(H89&amp;"")="","NULL","'"&amp;SUBSTITUTE(TRIM(H89),"'","''")&amp;"'")&amp;", "&amp;IF(TRIM(I89&amp;"")="","NULL","'"&amp;SUBSTITUTE(TRIM(I89),"'","''")&amp;"'")&amp;", "&amp;IF(TRIM(J89&amp;"")="","NULL","'"&amp;SUBSTITUTE(TRIM(J89),"'","''")&amp;"'")&amp;", "&amp;IF(UPPER(TRIM(K89&amp;""))="SI","TRUE","FALSE")&amp;", 1"&amp;" WHERE NOT EXISTS (SELECT 1 FROM cli_contacto c WHERE c.id_cliente = "&amp;"(SELECT id FROM cli_clientes WHERE numero_documento = '"&amp;SUBSTITUTE(TRIM(A89),"'","''")&amp;"' AND estado = 1 LIMIT 1)"&amp;" AND upper(c.nombre) = upper("&amp;IF(TRIM(C89&amp;"")="","NULL","'"&amp;SUBSTITUTE(TRIM(C89),"'","''")&amp;"'")&amp;") AND coalesce(c.telefono1,'') = coalesce("&amp;IF(TRIM(F89&amp;"")="","NULL","'"&amp;SUBSTITUTE(TRIM(F89),"'","''")&amp;"'")&amp;",''));")</f>
        <v/>
      </c>
    </row>
    <row r="90" ht="15.75" customHeight="1" s="64">
      <c r="A90" s="23" t="n"/>
      <c r="B90" s="25">
        <f t="array" ref="B90">IF(A90="","",IFERROR(IF(INDEX(Clientes!$D$5:$D$549,MATCH(A90,Clientes!$C$5:$C$549,0))&lt;&gt;"",INDEX(Clientes!$D$5:$D$549,MATCH(A90,Clientes!$C$5:$C$549,0)),TRIM(INDEX(Clientes!$E$5:$E$549,MATCH(A90,Clientes!$C$5:$C$549,0))&amp;" "&amp;INDEX(Clientes!$F$5:$F$549,MATCH(A90,Clientes!$C$5:$C$549,0)))),"NO EXISTE en Clientes"))</f>
        <v/>
      </c>
      <c r="C90" s="17" t="n"/>
      <c r="D90" s="17" t="n"/>
      <c r="E90" s="17" t="n"/>
      <c r="F90" s="23" t="n"/>
      <c r="G90" s="23" t="n"/>
      <c r="H90" s="23" t="n"/>
      <c r="I90" s="17" t="n"/>
      <c r="J90" s="17" t="n"/>
      <c r="K90" s="17" t="n"/>
      <c r="L90" s="17">
        <f>IF(AND(A90="",C90=""),"",IF(A90="","FALTA doc. cliente",IF(B90="NO EXISTE en Clientes","CLIENTE no está en hoja Clientes",IF(C90="","FALTA nombre",IF(AND(K90="SI",COUNTIFS($A$5:$A$499,A90,$K$5:$K$499,"SI")&gt;1),"Más de un contacto principal para este cliente","OK")))))</f>
        <v/>
      </c>
      <c r="M90" s="28">
        <f>IF(L90&lt;&gt;"OK","","INSERT INTO cli_contacto (id_cliente, nombre, apellido_paterno, apellido_materno, telefono1, telefono2, telefono3, email, direccion, es_principal, estado) SELECT "&amp;"(SELECT id FROM cli_clientes WHERE numero_documento = '"&amp;SUBSTITUTE(TRIM(A90),"'","''")&amp;"' AND estado = 1 LIMIT 1)"&amp;", "&amp;IF(TRIM(C90&amp;"")="","NULL","'"&amp;SUBSTITUTE(TRIM(C90),"'","''")&amp;"'")&amp;", "&amp;IF(TRIM(D90&amp;"")="","NULL","'"&amp;SUBSTITUTE(TRIM(D90),"'","''")&amp;"'")&amp;", "&amp;IF(TRIM(E90&amp;"")="","NULL","'"&amp;SUBSTITUTE(TRIM(E90),"'","''")&amp;"'")&amp;", "&amp;IF(TRIM(F90&amp;"")="","NULL","'"&amp;SUBSTITUTE(TRIM(F90),"'","''")&amp;"'")&amp;", "&amp;IF(TRIM(G90&amp;"")="","NULL","'"&amp;SUBSTITUTE(TRIM(G90),"'","''")&amp;"'")&amp;", "&amp;IF(TRIM(H90&amp;"")="","NULL","'"&amp;SUBSTITUTE(TRIM(H90),"'","''")&amp;"'")&amp;", "&amp;IF(TRIM(I90&amp;"")="","NULL","'"&amp;SUBSTITUTE(TRIM(I90),"'","''")&amp;"'")&amp;", "&amp;IF(TRIM(J90&amp;"")="","NULL","'"&amp;SUBSTITUTE(TRIM(J90),"'","''")&amp;"'")&amp;", "&amp;IF(UPPER(TRIM(K90&amp;""))="SI","TRUE","FALSE")&amp;", 1"&amp;" WHERE NOT EXISTS (SELECT 1 FROM cli_contacto c WHERE c.id_cliente = "&amp;"(SELECT id FROM cli_clientes WHERE numero_documento = '"&amp;SUBSTITUTE(TRIM(A90),"'","''")&amp;"' AND estado = 1 LIMIT 1)"&amp;" AND upper(c.nombre) = upper("&amp;IF(TRIM(C90&amp;"")="","NULL","'"&amp;SUBSTITUTE(TRIM(C90),"'","''")&amp;"'")&amp;") AND coalesce(c.telefono1,'') = coalesce("&amp;IF(TRIM(F90&amp;"")="","NULL","'"&amp;SUBSTITUTE(TRIM(F90),"'","''")&amp;"'")&amp;",''));")</f>
        <v/>
      </c>
    </row>
    <row r="91" ht="15.75" customHeight="1" s="64">
      <c r="A91" s="23" t="n"/>
      <c r="B91" s="25">
        <f t="array" ref="B91">IF(A91="","",IFERROR(IF(INDEX(Clientes!$D$5:$D$549,MATCH(A91,Clientes!$C$5:$C$549,0))&lt;&gt;"",INDEX(Clientes!$D$5:$D$549,MATCH(A91,Clientes!$C$5:$C$549,0)),TRIM(INDEX(Clientes!$E$5:$E$549,MATCH(A91,Clientes!$C$5:$C$549,0))&amp;" "&amp;INDEX(Clientes!$F$5:$F$549,MATCH(A91,Clientes!$C$5:$C$549,0)))),"NO EXISTE en Clientes"))</f>
        <v/>
      </c>
      <c r="C91" s="17" t="n"/>
      <c r="D91" s="17" t="n"/>
      <c r="E91" s="17" t="n"/>
      <c r="F91" s="23" t="n"/>
      <c r="G91" s="23" t="n"/>
      <c r="H91" s="23" t="n"/>
      <c r="I91" s="17" t="n"/>
      <c r="J91" s="17" t="n"/>
      <c r="K91" s="17" t="n"/>
      <c r="L91" s="17">
        <f>IF(AND(A91="",C91=""),"",IF(A91="","FALTA doc. cliente",IF(B91="NO EXISTE en Clientes","CLIENTE no está en hoja Clientes",IF(C91="","FALTA nombre",IF(AND(K91="SI",COUNTIFS($A$5:$A$499,A91,$K$5:$K$499,"SI")&gt;1),"Más de un contacto principal para este cliente","OK")))))</f>
        <v/>
      </c>
      <c r="M91" s="28">
        <f>IF(L91&lt;&gt;"OK","","INSERT INTO cli_contacto (id_cliente, nombre, apellido_paterno, apellido_materno, telefono1, telefono2, telefono3, email, direccion, es_principal, estado) SELECT "&amp;"(SELECT id FROM cli_clientes WHERE numero_documento = '"&amp;SUBSTITUTE(TRIM(A91),"'","''")&amp;"' AND estado = 1 LIMIT 1)"&amp;", "&amp;IF(TRIM(C91&amp;"")="","NULL","'"&amp;SUBSTITUTE(TRIM(C91),"'","''")&amp;"'")&amp;", "&amp;IF(TRIM(D91&amp;"")="","NULL","'"&amp;SUBSTITUTE(TRIM(D91),"'","''")&amp;"'")&amp;", "&amp;IF(TRIM(E91&amp;"")="","NULL","'"&amp;SUBSTITUTE(TRIM(E91),"'","''")&amp;"'")&amp;", "&amp;IF(TRIM(F91&amp;"")="","NULL","'"&amp;SUBSTITUTE(TRIM(F91),"'","''")&amp;"'")&amp;", "&amp;IF(TRIM(G91&amp;"")="","NULL","'"&amp;SUBSTITUTE(TRIM(G91),"'","''")&amp;"'")&amp;", "&amp;IF(TRIM(H91&amp;"")="","NULL","'"&amp;SUBSTITUTE(TRIM(H91),"'","''")&amp;"'")&amp;", "&amp;IF(TRIM(I91&amp;"")="","NULL","'"&amp;SUBSTITUTE(TRIM(I91),"'","''")&amp;"'")&amp;", "&amp;IF(TRIM(J91&amp;"")="","NULL","'"&amp;SUBSTITUTE(TRIM(J91),"'","''")&amp;"'")&amp;", "&amp;IF(UPPER(TRIM(K91&amp;""))="SI","TRUE","FALSE")&amp;", 1"&amp;" WHERE NOT EXISTS (SELECT 1 FROM cli_contacto c WHERE c.id_cliente = "&amp;"(SELECT id FROM cli_clientes WHERE numero_documento = '"&amp;SUBSTITUTE(TRIM(A91),"'","''")&amp;"' AND estado = 1 LIMIT 1)"&amp;" AND upper(c.nombre) = upper("&amp;IF(TRIM(C91&amp;"")="","NULL","'"&amp;SUBSTITUTE(TRIM(C91),"'","''")&amp;"'")&amp;") AND coalesce(c.telefono1,'') = coalesce("&amp;IF(TRIM(F91&amp;"")="","NULL","'"&amp;SUBSTITUTE(TRIM(F91),"'","''")&amp;"'")&amp;",''));")</f>
        <v/>
      </c>
    </row>
    <row r="92" ht="15.75" customHeight="1" s="64">
      <c r="A92" s="23" t="n"/>
      <c r="B92" s="25">
        <f t="array" ref="B92">IF(A92="","",IFERROR(IF(INDEX(Clientes!$D$5:$D$549,MATCH(A92,Clientes!$C$5:$C$549,0))&lt;&gt;"",INDEX(Clientes!$D$5:$D$549,MATCH(A92,Clientes!$C$5:$C$549,0)),TRIM(INDEX(Clientes!$E$5:$E$549,MATCH(A92,Clientes!$C$5:$C$549,0))&amp;" "&amp;INDEX(Clientes!$F$5:$F$549,MATCH(A92,Clientes!$C$5:$C$549,0)))),"NO EXISTE en Clientes"))</f>
        <v/>
      </c>
      <c r="C92" s="17" t="n"/>
      <c r="D92" s="17" t="n"/>
      <c r="E92" s="17" t="n"/>
      <c r="F92" s="23" t="n"/>
      <c r="G92" s="23" t="n"/>
      <c r="H92" s="23" t="n"/>
      <c r="I92" s="17" t="n"/>
      <c r="J92" s="17" t="n"/>
      <c r="K92" s="17" t="n"/>
      <c r="L92" s="17">
        <f>IF(AND(A92="",C92=""),"",IF(A92="","FALTA doc. cliente",IF(B92="NO EXISTE en Clientes","CLIENTE no está en hoja Clientes",IF(C92="","FALTA nombre",IF(AND(K92="SI",COUNTIFS($A$5:$A$499,A92,$K$5:$K$499,"SI")&gt;1),"Más de un contacto principal para este cliente","OK")))))</f>
        <v/>
      </c>
      <c r="M92" s="28">
        <f>IF(L92&lt;&gt;"OK","","INSERT INTO cli_contacto (id_cliente, nombre, apellido_paterno, apellido_materno, telefono1, telefono2, telefono3, email, direccion, es_principal, estado) SELECT "&amp;"(SELECT id FROM cli_clientes WHERE numero_documento = '"&amp;SUBSTITUTE(TRIM(A92),"'","''")&amp;"' AND estado = 1 LIMIT 1)"&amp;", "&amp;IF(TRIM(C92&amp;"")="","NULL","'"&amp;SUBSTITUTE(TRIM(C92),"'","''")&amp;"'")&amp;", "&amp;IF(TRIM(D92&amp;"")="","NULL","'"&amp;SUBSTITUTE(TRIM(D92),"'","''")&amp;"'")&amp;", "&amp;IF(TRIM(E92&amp;"")="","NULL","'"&amp;SUBSTITUTE(TRIM(E92),"'","''")&amp;"'")&amp;", "&amp;IF(TRIM(F92&amp;"")="","NULL","'"&amp;SUBSTITUTE(TRIM(F92),"'","''")&amp;"'")&amp;", "&amp;IF(TRIM(G92&amp;"")="","NULL","'"&amp;SUBSTITUTE(TRIM(G92),"'","''")&amp;"'")&amp;", "&amp;IF(TRIM(H92&amp;"")="","NULL","'"&amp;SUBSTITUTE(TRIM(H92),"'","''")&amp;"'")&amp;", "&amp;IF(TRIM(I92&amp;"")="","NULL","'"&amp;SUBSTITUTE(TRIM(I92),"'","''")&amp;"'")&amp;", "&amp;IF(TRIM(J92&amp;"")="","NULL","'"&amp;SUBSTITUTE(TRIM(J92),"'","''")&amp;"'")&amp;", "&amp;IF(UPPER(TRIM(K92&amp;""))="SI","TRUE","FALSE")&amp;", 1"&amp;" WHERE NOT EXISTS (SELECT 1 FROM cli_contacto c WHERE c.id_cliente = "&amp;"(SELECT id FROM cli_clientes WHERE numero_documento = '"&amp;SUBSTITUTE(TRIM(A92),"'","''")&amp;"' AND estado = 1 LIMIT 1)"&amp;" AND upper(c.nombre) = upper("&amp;IF(TRIM(C92&amp;"")="","NULL","'"&amp;SUBSTITUTE(TRIM(C92),"'","''")&amp;"'")&amp;") AND coalesce(c.telefono1,'') = coalesce("&amp;IF(TRIM(F92&amp;"")="","NULL","'"&amp;SUBSTITUTE(TRIM(F92),"'","''")&amp;"'")&amp;",''));")</f>
        <v/>
      </c>
    </row>
    <row r="93" ht="15.75" customHeight="1" s="64">
      <c r="A93" s="23" t="n"/>
      <c r="B93" s="25">
        <f t="array" ref="B93">IF(A93="","",IFERROR(IF(INDEX(Clientes!$D$5:$D$549,MATCH(A93,Clientes!$C$5:$C$549,0))&lt;&gt;"",INDEX(Clientes!$D$5:$D$549,MATCH(A93,Clientes!$C$5:$C$549,0)),TRIM(INDEX(Clientes!$E$5:$E$549,MATCH(A93,Clientes!$C$5:$C$549,0))&amp;" "&amp;INDEX(Clientes!$F$5:$F$549,MATCH(A93,Clientes!$C$5:$C$549,0)))),"NO EXISTE en Clientes"))</f>
        <v/>
      </c>
      <c r="C93" s="17" t="n"/>
      <c r="D93" s="17" t="n"/>
      <c r="E93" s="17" t="n"/>
      <c r="F93" s="23" t="n"/>
      <c r="G93" s="23" t="n"/>
      <c r="H93" s="23" t="n"/>
      <c r="I93" s="17" t="n"/>
      <c r="J93" s="17" t="n"/>
      <c r="K93" s="17" t="n"/>
      <c r="L93" s="17">
        <f>IF(AND(A93="",C93=""),"",IF(A93="","FALTA doc. cliente",IF(B93="NO EXISTE en Clientes","CLIENTE no está en hoja Clientes",IF(C93="","FALTA nombre",IF(AND(K93="SI",COUNTIFS($A$5:$A$499,A93,$K$5:$K$499,"SI")&gt;1),"Más de un contacto principal para este cliente","OK")))))</f>
        <v/>
      </c>
      <c r="M93" s="28">
        <f>IF(L93&lt;&gt;"OK","","INSERT INTO cli_contacto (id_cliente, nombre, apellido_paterno, apellido_materno, telefono1, telefono2, telefono3, email, direccion, es_principal, estado) SELECT "&amp;"(SELECT id FROM cli_clientes WHERE numero_documento = '"&amp;SUBSTITUTE(TRIM(A93),"'","''")&amp;"' AND estado = 1 LIMIT 1)"&amp;", "&amp;IF(TRIM(C93&amp;"")="","NULL","'"&amp;SUBSTITUTE(TRIM(C93),"'","''")&amp;"'")&amp;", "&amp;IF(TRIM(D93&amp;"")="","NULL","'"&amp;SUBSTITUTE(TRIM(D93),"'","''")&amp;"'")&amp;", "&amp;IF(TRIM(E93&amp;"")="","NULL","'"&amp;SUBSTITUTE(TRIM(E93),"'","''")&amp;"'")&amp;", "&amp;IF(TRIM(F93&amp;"")="","NULL","'"&amp;SUBSTITUTE(TRIM(F93),"'","''")&amp;"'")&amp;", "&amp;IF(TRIM(G93&amp;"")="","NULL","'"&amp;SUBSTITUTE(TRIM(G93),"'","''")&amp;"'")&amp;", "&amp;IF(TRIM(H93&amp;"")="","NULL","'"&amp;SUBSTITUTE(TRIM(H93),"'","''")&amp;"'")&amp;", "&amp;IF(TRIM(I93&amp;"")="","NULL","'"&amp;SUBSTITUTE(TRIM(I93),"'","''")&amp;"'")&amp;", "&amp;IF(TRIM(J93&amp;"")="","NULL","'"&amp;SUBSTITUTE(TRIM(J93),"'","''")&amp;"'")&amp;", "&amp;IF(UPPER(TRIM(K93&amp;""))="SI","TRUE","FALSE")&amp;", 1"&amp;" WHERE NOT EXISTS (SELECT 1 FROM cli_contacto c WHERE c.id_cliente = "&amp;"(SELECT id FROM cli_clientes WHERE numero_documento = '"&amp;SUBSTITUTE(TRIM(A93),"'","''")&amp;"' AND estado = 1 LIMIT 1)"&amp;" AND upper(c.nombre) = upper("&amp;IF(TRIM(C93&amp;"")="","NULL","'"&amp;SUBSTITUTE(TRIM(C93),"'","''")&amp;"'")&amp;") AND coalesce(c.telefono1,'') = coalesce("&amp;IF(TRIM(F93&amp;"")="","NULL","'"&amp;SUBSTITUTE(TRIM(F93),"'","''")&amp;"'")&amp;",''));")</f>
        <v/>
      </c>
    </row>
    <row r="94" ht="15.75" customHeight="1" s="64">
      <c r="A94" s="23" t="n"/>
      <c r="B94" s="25">
        <f t="array" ref="B94">IF(A94="","",IFERROR(IF(INDEX(Clientes!$D$5:$D$549,MATCH(A94,Clientes!$C$5:$C$549,0))&lt;&gt;"",INDEX(Clientes!$D$5:$D$549,MATCH(A94,Clientes!$C$5:$C$549,0)),TRIM(INDEX(Clientes!$E$5:$E$549,MATCH(A94,Clientes!$C$5:$C$549,0))&amp;" "&amp;INDEX(Clientes!$F$5:$F$549,MATCH(A94,Clientes!$C$5:$C$549,0)))),"NO EXISTE en Clientes"))</f>
        <v/>
      </c>
      <c r="C94" s="17" t="n"/>
      <c r="D94" s="17" t="n"/>
      <c r="E94" s="17" t="n"/>
      <c r="F94" s="23" t="n"/>
      <c r="G94" s="23" t="n"/>
      <c r="H94" s="23" t="n"/>
      <c r="I94" s="17" t="n"/>
      <c r="J94" s="17" t="n"/>
      <c r="K94" s="17" t="n"/>
      <c r="L94" s="17">
        <f>IF(AND(A94="",C94=""),"",IF(A94="","FALTA doc. cliente",IF(B94="NO EXISTE en Clientes","CLIENTE no está en hoja Clientes",IF(C94="","FALTA nombre",IF(AND(K94="SI",COUNTIFS($A$5:$A$499,A94,$K$5:$K$499,"SI")&gt;1),"Más de un contacto principal para este cliente","OK")))))</f>
        <v/>
      </c>
      <c r="M94" s="28">
        <f>IF(L94&lt;&gt;"OK","","INSERT INTO cli_contacto (id_cliente, nombre, apellido_paterno, apellido_materno, telefono1, telefono2, telefono3, email, direccion, es_principal, estado) SELECT "&amp;"(SELECT id FROM cli_clientes WHERE numero_documento = '"&amp;SUBSTITUTE(TRIM(A94),"'","''")&amp;"' AND estado = 1 LIMIT 1)"&amp;", "&amp;IF(TRIM(C94&amp;"")="","NULL","'"&amp;SUBSTITUTE(TRIM(C94),"'","''")&amp;"'")&amp;", "&amp;IF(TRIM(D94&amp;"")="","NULL","'"&amp;SUBSTITUTE(TRIM(D94),"'","''")&amp;"'")&amp;", "&amp;IF(TRIM(E94&amp;"")="","NULL","'"&amp;SUBSTITUTE(TRIM(E94),"'","''")&amp;"'")&amp;", "&amp;IF(TRIM(F94&amp;"")="","NULL","'"&amp;SUBSTITUTE(TRIM(F94),"'","''")&amp;"'")&amp;", "&amp;IF(TRIM(G94&amp;"")="","NULL","'"&amp;SUBSTITUTE(TRIM(G94),"'","''")&amp;"'")&amp;", "&amp;IF(TRIM(H94&amp;"")="","NULL","'"&amp;SUBSTITUTE(TRIM(H94),"'","''")&amp;"'")&amp;", "&amp;IF(TRIM(I94&amp;"")="","NULL","'"&amp;SUBSTITUTE(TRIM(I94),"'","''")&amp;"'")&amp;", "&amp;IF(TRIM(J94&amp;"")="","NULL","'"&amp;SUBSTITUTE(TRIM(J94),"'","''")&amp;"'")&amp;", "&amp;IF(UPPER(TRIM(K94&amp;""))="SI","TRUE","FALSE")&amp;", 1"&amp;" WHERE NOT EXISTS (SELECT 1 FROM cli_contacto c WHERE c.id_cliente = "&amp;"(SELECT id FROM cli_clientes WHERE numero_documento = '"&amp;SUBSTITUTE(TRIM(A94),"'","''")&amp;"' AND estado = 1 LIMIT 1)"&amp;" AND upper(c.nombre) = upper("&amp;IF(TRIM(C94&amp;"")="","NULL","'"&amp;SUBSTITUTE(TRIM(C94),"'","''")&amp;"'")&amp;") AND coalesce(c.telefono1,'') = coalesce("&amp;IF(TRIM(F94&amp;"")="","NULL","'"&amp;SUBSTITUTE(TRIM(F94),"'","''")&amp;"'")&amp;",''));")</f>
        <v/>
      </c>
    </row>
    <row r="95" ht="15.75" customHeight="1" s="64">
      <c r="A95" s="23" t="n"/>
      <c r="B95" s="25">
        <f t="array" ref="B95">IF(A95="","",IFERROR(IF(INDEX(Clientes!$D$5:$D$549,MATCH(A95,Clientes!$C$5:$C$549,0))&lt;&gt;"",INDEX(Clientes!$D$5:$D$549,MATCH(A95,Clientes!$C$5:$C$549,0)),TRIM(INDEX(Clientes!$E$5:$E$549,MATCH(A95,Clientes!$C$5:$C$549,0))&amp;" "&amp;INDEX(Clientes!$F$5:$F$549,MATCH(A95,Clientes!$C$5:$C$549,0)))),"NO EXISTE en Clientes"))</f>
        <v/>
      </c>
      <c r="C95" s="17" t="n"/>
      <c r="D95" s="17" t="n"/>
      <c r="E95" s="17" t="n"/>
      <c r="F95" s="23" t="n"/>
      <c r="G95" s="23" t="n"/>
      <c r="H95" s="23" t="n"/>
      <c r="I95" s="17" t="n"/>
      <c r="J95" s="17" t="n"/>
      <c r="K95" s="17" t="n"/>
      <c r="L95" s="17">
        <f>IF(AND(A95="",C95=""),"",IF(A95="","FALTA doc. cliente",IF(B95="NO EXISTE en Clientes","CLIENTE no está en hoja Clientes",IF(C95="","FALTA nombre",IF(AND(K95="SI",COUNTIFS($A$5:$A$499,A95,$K$5:$K$499,"SI")&gt;1),"Más de un contacto principal para este cliente","OK")))))</f>
        <v/>
      </c>
      <c r="M95" s="28">
        <f>IF(L95&lt;&gt;"OK","","INSERT INTO cli_contacto (id_cliente, nombre, apellido_paterno, apellido_materno, telefono1, telefono2, telefono3, email, direccion, es_principal, estado) SELECT "&amp;"(SELECT id FROM cli_clientes WHERE numero_documento = '"&amp;SUBSTITUTE(TRIM(A95),"'","''")&amp;"' AND estado = 1 LIMIT 1)"&amp;", "&amp;IF(TRIM(C95&amp;"")="","NULL","'"&amp;SUBSTITUTE(TRIM(C95),"'","''")&amp;"'")&amp;", "&amp;IF(TRIM(D95&amp;"")="","NULL","'"&amp;SUBSTITUTE(TRIM(D95),"'","''")&amp;"'")&amp;", "&amp;IF(TRIM(E95&amp;"")="","NULL","'"&amp;SUBSTITUTE(TRIM(E95),"'","''")&amp;"'")&amp;", "&amp;IF(TRIM(F95&amp;"")="","NULL","'"&amp;SUBSTITUTE(TRIM(F95),"'","''")&amp;"'")&amp;", "&amp;IF(TRIM(G95&amp;"")="","NULL","'"&amp;SUBSTITUTE(TRIM(G95),"'","''")&amp;"'")&amp;", "&amp;IF(TRIM(H95&amp;"")="","NULL","'"&amp;SUBSTITUTE(TRIM(H95),"'","''")&amp;"'")&amp;", "&amp;IF(TRIM(I95&amp;"")="","NULL","'"&amp;SUBSTITUTE(TRIM(I95),"'","''")&amp;"'")&amp;", "&amp;IF(TRIM(J95&amp;"")="","NULL","'"&amp;SUBSTITUTE(TRIM(J95),"'","''")&amp;"'")&amp;", "&amp;IF(UPPER(TRIM(K95&amp;""))="SI","TRUE","FALSE")&amp;", 1"&amp;" WHERE NOT EXISTS (SELECT 1 FROM cli_contacto c WHERE c.id_cliente = "&amp;"(SELECT id FROM cli_clientes WHERE numero_documento = '"&amp;SUBSTITUTE(TRIM(A95),"'","''")&amp;"' AND estado = 1 LIMIT 1)"&amp;" AND upper(c.nombre) = upper("&amp;IF(TRIM(C95&amp;"")="","NULL","'"&amp;SUBSTITUTE(TRIM(C95),"'","''")&amp;"'")&amp;") AND coalesce(c.telefono1,'') = coalesce("&amp;IF(TRIM(F95&amp;"")="","NULL","'"&amp;SUBSTITUTE(TRIM(F95),"'","''")&amp;"'")&amp;",''));")</f>
        <v/>
      </c>
    </row>
    <row r="96" ht="15.75" customHeight="1" s="64">
      <c r="A96" s="23" t="n"/>
      <c r="B96" s="25">
        <f t="array" ref="B96">IF(A96="","",IFERROR(IF(INDEX(Clientes!$D$5:$D$549,MATCH(A96,Clientes!$C$5:$C$549,0))&lt;&gt;"",INDEX(Clientes!$D$5:$D$549,MATCH(A96,Clientes!$C$5:$C$549,0)),TRIM(INDEX(Clientes!$E$5:$E$549,MATCH(A96,Clientes!$C$5:$C$549,0))&amp;" "&amp;INDEX(Clientes!$F$5:$F$549,MATCH(A96,Clientes!$C$5:$C$549,0)))),"NO EXISTE en Clientes"))</f>
        <v/>
      </c>
      <c r="C96" s="17" t="n"/>
      <c r="D96" s="17" t="n"/>
      <c r="E96" s="17" t="n"/>
      <c r="F96" s="23" t="n"/>
      <c r="G96" s="23" t="n"/>
      <c r="H96" s="23" t="n"/>
      <c r="I96" s="17" t="n"/>
      <c r="J96" s="17" t="n"/>
      <c r="K96" s="17" t="n"/>
      <c r="L96" s="17">
        <f>IF(AND(A96="",C96=""),"",IF(A96="","FALTA doc. cliente",IF(B96="NO EXISTE en Clientes","CLIENTE no está en hoja Clientes",IF(C96="","FALTA nombre",IF(AND(K96="SI",COUNTIFS($A$5:$A$499,A96,$K$5:$K$499,"SI")&gt;1),"Más de un contacto principal para este cliente","OK")))))</f>
        <v/>
      </c>
      <c r="M96" s="28">
        <f>IF(L96&lt;&gt;"OK","","INSERT INTO cli_contacto (id_cliente, nombre, apellido_paterno, apellido_materno, telefono1, telefono2, telefono3, email, direccion, es_principal, estado) SELECT "&amp;"(SELECT id FROM cli_clientes WHERE numero_documento = '"&amp;SUBSTITUTE(TRIM(A96),"'","''")&amp;"' AND estado = 1 LIMIT 1)"&amp;", "&amp;IF(TRIM(C96&amp;"")="","NULL","'"&amp;SUBSTITUTE(TRIM(C96),"'","''")&amp;"'")&amp;", "&amp;IF(TRIM(D96&amp;"")="","NULL","'"&amp;SUBSTITUTE(TRIM(D96),"'","''")&amp;"'")&amp;", "&amp;IF(TRIM(E96&amp;"")="","NULL","'"&amp;SUBSTITUTE(TRIM(E96),"'","''")&amp;"'")&amp;", "&amp;IF(TRIM(F96&amp;"")="","NULL","'"&amp;SUBSTITUTE(TRIM(F96),"'","''")&amp;"'")&amp;", "&amp;IF(TRIM(G96&amp;"")="","NULL","'"&amp;SUBSTITUTE(TRIM(G96),"'","''")&amp;"'")&amp;", "&amp;IF(TRIM(H96&amp;"")="","NULL","'"&amp;SUBSTITUTE(TRIM(H96),"'","''")&amp;"'")&amp;", "&amp;IF(TRIM(I96&amp;"")="","NULL","'"&amp;SUBSTITUTE(TRIM(I96),"'","''")&amp;"'")&amp;", "&amp;IF(TRIM(J96&amp;"")="","NULL","'"&amp;SUBSTITUTE(TRIM(J96),"'","''")&amp;"'")&amp;", "&amp;IF(UPPER(TRIM(K96&amp;""))="SI","TRUE","FALSE")&amp;", 1"&amp;" WHERE NOT EXISTS (SELECT 1 FROM cli_contacto c WHERE c.id_cliente = "&amp;"(SELECT id FROM cli_clientes WHERE numero_documento = '"&amp;SUBSTITUTE(TRIM(A96),"'","''")&amp;"' AND estado = 1 LIMIT 1)"&amp;" AND upper(c.nombre) = upper("&amp;IF(TRIM(C96&amp;"")="","NULL","'"&amp;SUBSTITUTE(TRIM(C96),"'","''")&amp;"'")&amp;") AND coalesce(c.telefono1,'') = coalesce("&amp;IF(TRIM(F96&amp;"")="","NULL","'"&amp;SUBSTITUTE(TRIM(F96),"'","''")&amp;"'")&amp;",''));")</f>
        <v/>
      </c>
    </row>
    <row r="97" ht="15.75" customHeight="1" s="64">
      <c r="A97" s="23" t="n"/>
      <c r="B97" s="25">
        <f t="array" ref="B97">IF(A97="","",IFERROR(IF(INDEX(Clientes!$D$5:$D$549,MATCH(A97,Clientes!$C$5:$C$549,0))&lt;&gt;"",INDEX(Clientes!$D$5:$D$549,MATCH(A97,Clientes!$C$5:$C$549,0)),TRIM(INDEX(Clientes!$E$5:$E$549,MATCH(A97,Clientes!$C$5:$C$549,0))&amp;" "&amp;INDEX(Clientes!$F$5:$F$549,MATCH(A97,Clientes!$C$5:$C$549,0)))),"NO EXISTE en Clientes"))</f>
        <v/>
      </c>
      <c r="C97" s="17" t="n"/>
      <c r="D97" s="17" t="n"/>
      <c r="E97" s="17" t="n"/>
      <c r="F97" s="23" t="n"/>
      <c r="G97" s="23" t="n"/>
      <c r="H97" s="23" t="n"/>
      <c r="I97" s="17" t="n"/>
      <c r="J97" s="17" t="n"/>
      <c r="K97" s="17" t="n"/>
      <c r="L97" s="17">
        <f>IF(AND(A97="",C97=""),"",IF(A97="","FALTA doc. cliente",IF(B97="NO EXISTE en Clientes","CLIENTE no está en hoja Clientes",IF(C97="","FALTA nombre",IF(AND(K97="SI",COUNTIFS($A$5:$A$499,A97,$K$5:$K$499,"SI")&gt;1),"Más de un contacto principal para este cliente","OK")))))</f>
        <v/>
      </c>
      <c r="M97" s="28">
        <f>IF(L97&lt;&gt;"OK","","INSERT INTO cli_contacto (id_cliente, nombre, apellido_paterno, apellido_materno, telefono1, telefono2, telefono3, email, direccion, es_principal, estado) SELECT "&amp;"(SELECT id FROM cli_clientes WHERE numero_documento = '"&amp;SUBSTITUTE(TRIM(A97),"'","''")&amp;"' AND estado = 1 LIMIT 1)"&amp;", "&amp;IF(TRIM(C97&amp;"")="","NULL","'"&amp;SUBSTITUTE(TRIM(C97),"'","''")&amp;"'")&amp;", "&amp;IF(TRIM(D97&amp;"")="","NULL","'"&amp;SUBSTITUTE(TRIM(D97),"'","''")&amp;"'")&amp;", "&amp;IF(TRIM(E97&amp;"")="","NULL","'"&amp;SUBSTITUTE(TRIM(E97),"'","''")&amp;"'")&amp;", "&amp;IF(TRIM(F97&amp;"")="","NULL","'"&amp;SUBSTITUTE(TRIM(F97),"'","''")&amp;"'")&amp;", "&amp;IF(TRIM(G97&amp;"")="","NULL","'"&amp;SUBSTITUTE(TRIM(G97),"'","''")&amp;"'")&amp;", "&amp;IF(TRIM(H97&amp;"")="","NULL","'"&amp;SUBSTITUTE(TRIM(H97),"'","''")&amp;"'")&amp;", "&amp;IF(TRIM(I97&amp;"")="","NULL","'"&amp;SUBSTITUTE(TRIM(I97),"'","''")&amp;"'")&amp;", "&amp;IF(TRIM(J97&amp;"")="","NULL","'"&amp;SUBSTITUTE(TRIM(J97),"'","''")&amp;"'")&amp;", "&amp;IF(UPPER(TRIM(K97&amp;""))="SI","TRUE","FALSE")&amp;", 1"&amp;" WHERE NOT EXISTS (SELECT 1 FROM cli_contacto c WHERE c.id_cliente = "&amp;"(SELECT id FROM cli_clientes WHERE numero_documento = '"&amp;SUBSTITUTE(TRIM(A97),"'","''")&amp;"' AND estado = 1 LIMIT 1)"&amp;" AND upper(c.nombre) = upper("&amp;IF(TRIM(C97&amp;"")="","NULL","'"&amp;SUBSTITUTE(TRIM(C97),"'","''")&amp;"'")&amp;") AND coalesce(c.telefono1,'') = coalesce("&amp;IF(TRIM(F97&amp;"")="","NULL","'"&amp;SUBSTITUTE(TRIM(F97),"'","''")&amp;"'")&amp;",''));")</f>
        <v/>
      </c>
    </row>
    <row r="98" ht="15.75" customHeight="1" s="64">
      <c r="A98" s="23" t="n"/>
      <c r="B98" s="25">
        <f t="array" ref="B98">IF(A98="","",IFERROR(IF(INDEX(Clientes!$D$5:$D$549,MATCH(A98,Clientes!$C$5:$C$549,0))&lt;&gt;"",INDEX(Clientes!$D$5:$D$549,MATCH(A98,Clientes!$C$5:$C$549,0)),TRIM(INDEX(Clientes!$E$5:$E$549,MATCH(A98,Clientes!$C$5:$C$549,0))&amp;" "&amp;INDEX(Clientes!$F$5:$F$549,MATCH(A98,Clientes!$C$5:$C$549,0)))),"NO EXISTE en Clientes"))</f>
        <v/>
      </c>
      <c r="C98" s="17" t="n"/>
      <c r="D98" s="17" t="n"/>
      <c r="E98" s="17" t="n"/>
      <c r="F98" s="23" t="n"/>
      <c r="G98" s="23" t="n"/>
      <c r="H98" s="23" t="n"/>
      <c r="I98" s="17" t="n"/>
      <c r="J98" s="17" t="n"/>
      <c r="K98" s="17" t="n"/>
      <c r="L98" s="17">
        <f>IF(AND(A98="",C98=""),"",IF(A98="","FALTA doc. cliente",IF(B98="NO EXISTE en Clientes","CLIENTE no está en hoja Clientes",IF(C98="","FALTA nombre",IF(AND(K98="SI",COUNTIFS($A$5:$A$499,A98,$K$5:$K$499,"SI")&gt;1),"Más de un contacto principal para este cliente","OK")))))</f>
        <v/>
      </c>
      <c r="M98" s="28">
        <f>IF(L98&lt;&gt;"OK","","INSERT INTO cli_contacto (id_cliente, nombre, apellido_paterno, apellido_materno, telefono1, telefono2, telefono3, email, direccion, es_principal, estado) SELECT "&amp;"(SELECT id FROM cli_clientes WHERE numero_documento = '"&amp;SUBSTITUTE(TRIM(A98),"'","''")&amp;"' AND estado = 1 LIMIT 1)"&amp;", "&amp;IF(TRIM(C98&amp;"")="","NULL","'"&amp;SUBSTITUTE(TRIM(C98),"'","''")&amp;"'")&amp;", "&amp;IF(TRIM(D98&amp;"")="","NULL","'"&amp;SUBSTITUTE(TRIM(D98),"'","''")&amp;"'")&amp;", "&amp;IF(TRIM(E98&amp;"")="","NULL","'"&amp;SUBSTITUTE(TRIM(E98),"'","''")&amp;"'")&amp;", "&amp;IF(TRIM(F98&amp;"")="","NULL","'"&amp;SUBSTITUTE(TRIM(F98),"'","''")&amp;"'")&amp;", "&amp;IF(TRIM(G98&amp;"")="","NULL","'"&amp;SUBSTITUTE(TRIM(G98),"'","''")&amp;"'")&amp;", "&amp;IF(TRIM(H98&amp;"")="","NULL","'"&amp;SUBSTITUTE(TRIM(H98),"'","''")&amp;"'")&amp;", "&amp;IF(TRIM(I98&amp;"")="","NULL","'"&amp;SUBSTITUTE(TRIM(I98),"'","''")&amp;"'")&amp;", "&amp;IF(TRIM(J98&amp;"")="","NULL","'"&amp;SUBSTITUTE(TRIM(J98),"'","''")&amp;"'")&amp;", "&amp;IF(UPPER(TRIM(K98&amp;""))="SI","TRUE","FALSE")&amp;", 1"&amp;" WHERE NOT EXISTS (SELECT 1 FROM cli_contacto c WHERE c.id_cliente = "&amp;"(SELECT id FROM cli_clientes WHERE numero_documento = '"&amp;SUBSTITUTE(TRIM(A98),"'","''")&amp;"' AND estado = 1 LIMIT 1)"&amp;" AND upper(c.nombre) = upper("&amp;IF(TRIM(C98&amp;"")="","NULL","'"&amp;SUBSTITUTE(TRIM(C98),"'","''")&amp;"'")&amp;") AND coalesce(c.telefono1,'') = coalesce("&amp;IF(TRIM(F98&amp;"")="","NULL","'"&amp;SUBSTITUTE(TRIM(F98),"'","''")&amp;"'")&amp;",''));")</f>
        <v/>
      </c>
    </row>
    <row r="99" ht="15.75" customHeight="1" s="64">
      <c r="A99" s="23" t="n"/>
      <c r="B99" s="25">
        <f t="array" ref="B99">IF(A99="","",IFERROR(IF(INDEX(Clientes!$D$5:$D$549,MATCH(A99,Clientes!$C$5:$C$549,0))&lt;&gt;"",INDEX(Clientes!$D$5:$D$549,MATCH(A99,Clientes!$C$5:$C$549,0)),TRIM(INDEX(Clientes!$E$5:$E$549,MATCH(A99,Clientes!$C$5:$C$549,0))&amp;" "&amp;INDEX(Clientes!$F$5:$F$549,MATCH(A99,Clientes!$C$5:$C$549,0)))),"NO EXISTE en Clientes"))</f>
        <v/>
      </c>
      <c r="C99" s="17" t="n"/>
      <c r="D99" s="17" t="n"/>
      <c r="E99" s="17" t="n"/>
      <c r="F99" s="23" t="n"/>
      <c r="G99" s="23" t="n"/>
      <c r="H99" s="23" t="n"/>
      <c r="I99" s="17" t="n"/>
      <c r="J99" s="17" t="n"/>
      <c r="K99" s="17" t="n"/>
      <c r="L99" s="17">
        <f>IF(AND(A99="",C99=""),"",IF(A99="","FALTA doc. cliente",IF(B99="NO EXISTE en Clientes","CLIENTE no está en hoja Clientes",IF(C99="","FALTA nombre",IF(AND(K99="SI",COUNTIFS($A$5:$A$499,A99,$K$5:$K$499,"SI")&gt;1),"Más de un contacto principal para este cliente","OK")))))</f>
        <v/>
      </c>
      <c r="M99" s="28">
        <f>IF(L99&lt;&gt;"OK","","INSERT INTO cli_contacto (id_cliente, nombre, apellido_paterno, apellido_materno, telefono1, telefono2, telefono3, email, direccion, es_principal, estado) SELECT "&amp;"(SELECT id FROM cli_clientes WHERE numero_documento = '"&amp;SUBSTITUTE(TRIM(A99),"'","''")&amp;"' AND estado = 1 LIMIT 1)"&amp;", "&amp;IF(TRIM(C99&amp;"")="","NULL","'"&amp;SUBSTITUTE(TRIM(C99),"'","''")&amp;"'")&amp;", "&amp;IF(TRIM(D99&amp;"")="","NULL","'"&amp;SUBSTITUTE(TRIM(D99),"'","''")&amp;"'")&amp;", "&amp;IF(TRIM(E99&amp;"")="","NULL","'"&amp;SUBSTITUTE(TRIM(E99),"'","''")&amp;"'")&amp;", "&amp;IF(TRIM(F99&amp;"")="","NULL","'"&amp;SUBSTITUTE(TRIM(F99),"'","''")&amp;"'")&amp;", "&amp;IF(TRIM(G99&amp;"")="","NULL","'"&amp;SUBSTITUTE(TRIM(G99),"'","''")&amp;"'")&amp;", "&amp;IF(TRIM(H99&amp;"")="","NULL","'"&amp;SUBSTITUTE(TRIM(H99),"'","''")&amp;"'")&amp;", "&amp;IF(TRIM(I99&amp;"")="","NULL","'"&amp;SUBSTITUTE(TRIM(I99),"'","''")&amp;"'")&amp;", "&amp;IF(TRIM(J99&amp;"")="","NULL","'"&amp;SUBSTITUTE(TRIM(J99),"'","''")&amp;"'")&amp;", "&amp;IF(UPPER(TRIM(K99&amp;""))="SI","TRUE","FALSE")&amp;", 1"&amp;" WHERE NOT EXISTS (SELECT 1 FROM cli_contacto c WHERE c.id_cliente = "&amp;"(SELECT id FROM cli_clientes WHERE numero_documento = '"&amp;SUBSTITUTE(TRIM(A99),"'","''")&amp;"' AND estado = 1 LIMIT 1)"&amp;" AND upper(c.nombre) = upper("&amp;IF(TRIM(C99&amp;"")="","NULL","'"&amp;SUBSTITUTE(TRIM(C99),"'","''")&amp;"'")&amp;") AND coalesce(c.telefono1,'') = coalesce("&amp;IF(TRIM(F99&amp;"")="","NULL","'"&amp;SUBSTITUTE(TRIM(F99),"'","''")&amp;"'")&amp;",''));")</f>
        <v/>
      </c>
    </row>
    <row r="100" ht="15.75" customHeight="1" s="64">
      <c r="A100" s="23" t="n"/>
      <c r="B100" s="25">
        <f t="array" ref="B100">IF(A100="","",IFERROR(IF(INDEX(Clientes!$D$5:$D$549,MATCH(A100,Clientes!$C$5:$C$549,0))&lt;&gt;"",INDEX(Clientes!$D$5:$D$549,MATCH(A100,Clientes!$C$5:$C$549,0)),TRIM(INDEX(Clientes!$E$5:$E$549,MATCH(A100,Clientes!$C$5:$C$549,0))&amp;" "&amp;INDEX(Clientes!$F$5:$F$549,MATCH(A100,Clientes!$C$5:$C$549,0)))),"NO EXISTE en Clientes"))</f>
        <v/>
      </c>
      <c r="C100" s="17" t="n"/>
      <c r="D100" s="17" t="n"/>
      <c r="E100" s="17" t="n"/>
      <c r="F100" s="23" t="n"/>
      <c r="G100" s="23" t="n"/>
      <c r="H100" s="23" t="n"/>
      <c r="I100" s="17" t="n"/>
      <c r="J100" s="17" t="n"/>
      <c r="K100" s="17" t="n"/>
      <c r="L100" s="17">
        <f>IF(AND(A100="",C100=""),"",IF(A100="","FALTA doc. cliente",IF(B100="NO EXISTE en Clientes","CLIENTE no está en hoja Clientes",IF(C100="","FALTA nombre",IF(AND(K100="SI",COUNTIFS($A$5:$A$499,A100,$K$5:$K$499,"SI")&gt;1),"Más de un contacto principal para este cliente","OK")))))</f>
        <v/>
      </c>
      <c r="M100" s="28">
        <f>IF(L100&lt;&gt;"OK","","INSERT INTO cli_contacto (id_cliente, nombre, apellido_paterno, apellido_materno, telefono1, telefono2, telefono3, email, direccion, es_principal, estado) SELECT "&amp;"(SELECT id FROM cli_clientes WHERE numero_documento = '"&amp;SUBSTITUTE(TRIM(A100),"'","''")&amp;"' AND estado = 1 LIMIT 1)"&amp;", "&amp;IF(TRIM(C100&amp;"")="","NULL","'"&amp;SUBSTITUTE(TRIM(C100),"'","''")&amp;"'")&amp;", "&amp;IF(TRIM(D100&amp;"")="","NULL","'"&amp;SUBSTITUTE(TRIM(D100),"'","''")&amp;"'")&amp;", "&amp;IF(TRIM(E100&amp;"")="","NULL","'"&amp;SUBSTITUTE(TRIM(E100),"'","''")&amp;"'")&amp;", "&amp;IF(TRIM(F100&amp;"")="","NULL","'"&amp;SUBSTITUTE(TRIM(F100),"'","''")&amp;"'")&amp;", "&amp;IF(TRIM(G100&amp;"")="","NULL","'"&amp;SUBSTITUTE(TRIM(G100),"'","''")&amp;"'")&amp;", "&amp;IF(TRIM(H100&amp;"")="","NULL","'"&amp;SUBSTITUTE(TRIM(H100),"'","''")&amp;"'")&amp;", "&amp;IF(TRIM(I100&amp;"")="","NULL","'"&amp;SUBSTITUTE(TRIM(I100),"'","''")&amp;"'")&amp;", "&amp;IF(TRIM(J100&amp;"")="","NULL","'"&amp;SUBSTITUTE(TRIM(J100),"'","''")&amp;"'")&amp;", "&amp;IF(UPPER(TRIM(K100&amp;""))="SI","TRUE","FALSE")&amp;", 1"&amp;" WHERE NOT EXISTS (SELECT 1 FROM cli_contacto c WHERE c.id_cliente = "&amp;"(SELECT id FROM cli_clientes WHERE numero_documento = '"&amp;SUBSTITUTE(TRIM(A100),"'","''")&amp;"' AND estado = 1 LIMIT 1)"&amp;" AND upper(c.nombre) = upper("&amp;IF(TRIM(C100&amp;"")="","NULL","'"&amp;SUBSTITUTE(TRIM(C100),"'","''")&amp;"'")&amp;") AND coalesce(c.telefono1,'') = coalesce("&amp;IF(TRIM(F100&amp;"")="","NULL","'"&amp;SUBSTITUTE(TRIM(F100),"'","''")&amp;"'")&amp;",''));")</f>
        <v/>
      </c>
    </row>
    <row r="101" ht="15.75" customHeight="1" s="64">
      <c r="A101" s="23" t="n"/>
      <c r="B101" s="25">
        <f t="array" ref="B101">IF(A101="","",IFERROR(IF(INDEX(Clientes!$D$5:$D$549,MATCH(A101,Clientes!$C$5:$C$549,0))&lt;&gt;"",INDEX(Clientes!$D$5:$D$549,MATCH(A101,Clientes!$C$5:$C$549,0)),TRIM(INDEX(Clientes!$E$5:$E$549,MATCH(A101,Clientes!$C$5:$C$549,0))&amp;" "&amp;INDEX(Clientes!$F$5:$F$549,MATCH(A101,Clientes!$C$5:$C$549,0)))),"NO EXISTE en Clientes"))</f>
        <v/>
      </c>
      <c r="C101" s="17" t="n"/>
      <c r="D101" s="17" t="n"/>
      <c r="E101" s="17" t="n"/>
      <c r="F101" s="23" t="n"/>
      <c r="G101" s="23" t="n"/>
      <c r="H101" s="23" t="n"/>
      <c r="I101" s="17" t="n"/>
      <c r="J101" s="17" t="n"/>
      <c r="K101" s="17" t="n"/>
      <c r="L101" s="17">
        <f>IF(AND(A101="",C101=""),"",IF(A101="","FALTA doc. cliente",IF(B101="NO EXISTE en Clientes","CLIENTE no está en hoja Clientes",IF(C101="","FALTA nombre",IF(AND(K101="SI",COUNTIFS($A$5:$A$499,A101,$K$5:$K$499,"SI")&gt;1),"Más de un contacto principal para este cliente","OK")))))</f>
        <v/>
      </c>
      <c r="M101" s="28">
        <f>IF(L101&lt;&gt;"OK","","INSERT INTO cli_contacto (id_cliente, nombre, apellido_paterno, apellido_materno, telefono1, telefono2, telefono3, email, direccion, es_principal, estado) SELECT "&amp;"(SELECT id FROM cli_clientes WHERE numero_documento = '"&amp;SUBSTITUTE(TRIM(A101),"'","''")&amp;"' AND estado = 1 LIMIT 1)"&amp;", "&amp;IF(TRIM(C101&amp;"")="","NULL","'"&amp;SUBSTITUTE(TRIM(C101),"'","''")&amp;"'")&amp;", "&amp;IF(TRIM(D101&amp;"")="","NULL","'"&amp;SUBSTITUTE(TRIM(D101),"'","''")&amp;"'")&amp;", "&amp;IF(TRIM(E101&amp;"")="","NULL","'"&amp;SUBSTITUTE(TRIM(E101),"'","''")&amp;"'")&amp;", "&amp;IF(TRIM(F101&amp;"")="","NULL","'"&amp;SUBSTITUTE(TRIM(F101),"'","''")&amp;"'")&amp;", "&amp;IF(TRIM(G101&amp;"")="","NULL","'"&amp;SUBSTITUTE(TRIM(G101),"'","''")&amp;"'")&amp;", "&amp;IF(TRIM(H101&amp;"")="","NULL","'"&amp;SUBSTITUTE(TRIM(H101),"'","''")&amp;"'")&amp;", "&amp;IF(TRIM(I101&amp;"")="","NULL","'"&amp;SUBSTITUTE(TRIM(I101),"'","''")&amp;"'")&amp;", "&amp;IF(TRIM(J101&amp;"")="","NULL","'"&amp;SUBSTITUTE(TRIM(J101),"'","''")&amp;"'")&amp;", "&amp;IF(UPPER(TRIM(K101&amp;""))="SI","TRUE","FALSE")&amp;", 1"&amp;" WHERE NOT EXISTS (SELECT 1 FROM cli_contacto c WHERE c.id_cliente = "&amp;"(SELECT id FROM cli_clientes WHERE numero_documento = '"&amp;SUBSTITUTE(TRIM(A101),"'","''")&amp;"' AND estado = 1 LIMIT 1)"&amp;" AND upper(c.nombre) = upper("&amp;IF(TRIM(C101&amp;"")="","NULL","'"&amp;SUBSTITUTE(TRIM(C101),"'","''")&amp;"'")&amp;") AND coalesce(c.telefono1,'') = coalesce("&amp;IF(TRIM(F101&amp;"")="","NULL","'"&amp;SUBSTITUTE(TRIM(F101),"'","''")&amp;"'")&amp;",''));")</f>
        <v/>
      </c>
    </row>
    <row r="102" ht="15.75" customHeight="1" s="64">
      <c r="A102" s="23" t="n"/>
      <c r="B102" s="25">
        <f t="array" ref="B102">IF(A102="","",IFERROR(IF(INDEX(Clientes!$D$5:$D$549,MATCH(A102,Clientes!$C$5:$C$549,0))&lt;&gt;"",INDEX(Clientes!$D$5:$D$549,MATCH(A102,Clientes!$C$5:$C$549,0)),TRIM(INDEX(Clientes!$E$5:$E$549,MATCH(A102,Clientes!$C$5:$C$549,0))&amp;" "&amp;INDEX(Clientes!$F$5:$F$549,MATCH(A102,Clientes!$C$5:$C$549,0)))),"NO EXISTE en Clientes"))</f>
        <v/>
      </c>
      <c r="C102" s="17" t="n"/>
      <c r="D102" s="17" t="n"/>
      <c r="E102" s="17" t="n"/>
      <c r="F102" s="23" t="n"/>
      <c r="G102" s="23" t="n"/>
      <c r="H102" s="23" t="n"/>
      <c r="I102" s="17" t="n"/>
      <c r="J102" s="17" t="n"/>
      <c r="K102" s="17" t="n"/>
      <c r="L102" s="17">
        <f>IF(AND(A102="",C102=""),"",IF(A102="","FALTA doc. cliente",IF(B102="NO EXISTE en Clientes","CLIENTE no está en hoja Clientes",IF(C102="","FALTA nombre",IF(AND(K102="SI",COUNTIFS($A$5:$A$499,A102,$K$5:$K$499,"SI")&gt;1),"Más de un contacto principal para este cliente","OK")))))</f>
        <v/>
      </c>
      <c r="M102" s="28">
        <f>IF(L102&lt;&gt;"OK","","INSERT INTO cli_contacto (id_cliente, nombre, apellido_paterno, apellido_materno, telefono1, telefono2, telefono3, email, direccion, es_principal, estado) SELECT "&amp;"(SELECT id FROM cli_clientes WHERE numero_documento = '"&amp;SUBSTITUTE(TRIM(A102),"'","''")&amp;"' AND estado = 1 LIMIT 1)"&amp;", "&amp;IF(TRIM(C102&amp;"")="","NULL","'"&amp;SUBSTITUTE(TRIM(C102),"'","''")&amp;"'")&amp;", "&amp;IF(TRIM(D102&amp;"")="","NULL","'"&amp;SUBSTITUTE(TRIM(D102),"'","''")&amp;"'")&amp;", "&amp;IF(TRIM(E102&amp;"")="","NULL","'"&amp;SUBSTITUTE(TRIM(E102),"'","''")&amp;"'")&amp;", "&amp;IF(TRIM(F102&amp;"")="","NULL","'"&amp;SUBSTITUTE(TRIM(F102),"'","''")&amp;"'")&amp;", "&amp;IF(TRIM(G102&amp;"")="","NULL","'"&amp;SUBSTITUTE(TRIM(G102),"'","''")&amp;"'")&amp;", "&amp;IF(TRIM(H102&amp;"")="","NULL","'"&amp;SUBSTITUTE(TRIM(H102),"'","''")&amp;"'")&amp;", "&amp;IF(TRIM(I102&amp;"")="","NULL","'"&amp;SUBSTITUTE(TRIM(I102),"'","''")&amp;"'")&amp;", "&amp;IF(TRIM(J102&amp;"")="","NULL","'"&amp;SUBSTITUTE(TRIM(J102),"'","''")&amp;"'")&amp;", "&amp;IF(UPPER(TRIM(K102&amp;""))="SI","TRUE","FALSE")&amp;", 1"&amp;" WHERE NOT EXISTS (SELECT 1 FROM cli_contacto c WHERE c.id_cliente = "&amp;"(SELECT id FROM cli_clientes WHERE numero_documento = '"&amp;SUBSTITUTE(TRIM(A102),"'","''")&amp;"' AND estado = 1 LIMIT 1)"&amp;" AND upper(c.nombre) = upper("&amp;IF(TRIM(C102&amp;"")="","NULL","'"&amp;SUBSTITUTE(TRIM(C102),"'","''")&amp;"'")&amp;") AND coalesce(c.telefono1,'') = coalesce("&amp;IF(TRIM(F102&amp;"")="","NULL","'"&amp;SUBSTITUTE(TRIM(F102),"'","''")&amp;"'")&amp;",''));")</f>
        <v/>
      </c>
    </row>
    <row r="103" ht="15.75" customHeight="1" s="64">
      <c r="A103" s="23" t="n"/>
      <c r="B103" s="25">
        <f t="array" ref="B103">IF(A103="","",IFERROR(IF(INDEX(Clientes!$D$5:$D$549,MATCH(A103,Clientes!$C$5:$C$549,0))&lt;&gt;"",INDEX(Clientes!$D$5:$D$549,MATCH(A103,Clientes!$C$5:$C$549,0)),TRIM(INDEX(Clientes!$E$5:$E$549,MATCH(A103,Clientes!$C$5:$C$549,0))&amp;" "&amp;INDEX(Clientes!$F$5:$F$549,MATCH(A103,Clientes!$C$5:$C$549,0)))),"NO EXISTE en Clientes"))</f>
        <v/>
      </c>
      <c r="C103" s="17" t="n"/>
      <c r="D103" s="17" t="n"/>
      <c r="E103" s="17" t="n"/>
      <c r="F103" s="23" t="n"/>
      <c r="G103" s="23" t="n"/>
      <c r="H103" s="23" t="n"/>
      <c r="I103" s="17" t="n"/>
      <c r="J103" s="17" t="n"/>
      <c r="K103" s="17" t="n"/>
      <c r="L103" s="17">
        <f>IF(AND(A103="",C103=""),"",IF(A103="","FALTA doc. cliente",IF(B103="NO EXISTE en Clientes","CLIENTE no está en hoja Clientes",IF(C103="","FALTA nombre",IF(AND(K103="SI",COUNTIFS($A$5:$A$499,A103,$K$5:$K$499,"SI")&gt;1),"Más de un contacto principal para este cliente","OK")))))</f>
        <v/>
      </c>
      <c r="M103" s="28">
        <f>IF(L103&lt;&gt;"OK","","INSERT INTO cli_contacto (id_cliente, nombre, apellido_paterno, apellido_materno, telefono1, telefono2, telefono3, email, direccion, es_principal, estado) SELECT "&amp;"(SELECT id FROM cli_clientes WHERE numero_documento = '"&amp;SUBSTITUTE(TRIM(A103),"'","''")&amp;"' AND estado = 1 LIMIT 1)"&amp;", "&amp;IF(TRIM(C103&amp;"")="","NULL","'"&amp;SUBSTITUTE(TRIM(C103),"'","''")&amp;"'")&amp;", "&amp;IF(TRIM(D103&amp;"")="","NULL","'"&amp;SUBSTITUTE(TRIM(D103),"'","''")&amp;"'")&amp;", "&amp;IF(TRIM(E103&amp;"")="","NULL","'"&amp;SUBSTITUTE(TRIM(E103),"'","''")&amp;"'")&amp;", "&amp;IF(TRIM(F103&amp;"")="","NULL","'"&amp;SUBSTITUTE(TRIM(F103),"'","''")&amp;"'")&amp;", "&amp;IF(TRIM(G103&amp;"")="","NULL","'"&amp;SUBSTITUTE(TRIM(G103),"'","''")&amp;"'")&amp;", "&amp;IF(TRIM(H103&amp;"")="","NULL","'"&amp;SUBSTITUTE(TRIM(H103),"'","''")&amp;"'")&amp;", "&amp;IF(TRIM(I103&amp;"")="","NULL","'"&amp;SUBSTITUTE(TRIM(I103),"'","''")&amp;"'")&amp;", "&amp;IF(TRIM(J103&amp;"")="","NULL","'"&amp;SUBSTITUTE(TRIM(J103),"'","''")&amp;"'")&amp;", "&amp;IF(UPPER(TRIM(K103&amp;""))="SI","TRUE","FALSE")&amp;", 1"&amp;" WHERE NOT EXISTS (SELECT 1 FROM cli_contacto c WHERE c.id_cliente = "&amp;"(SELECT id FROM cli_clientes WHERE numero_documento = '"&amp;SUBSTITUTE(TRIM(A103),"'","''")&amp;"' AND estado = 1 LIMIT 1)"&amp;" AND upper(c.nombre) = upper("&amp;IF(TRIM(C103&amp;"")="","NULL","'"&amp;SUBSTITUTE(TRIM(C103),"'","''")&amp;"'")&amp;") AND coalesce(c.telefono1,'') = coalesce("&amp;IF(TRIM(F103&amp;"")="","NULL","'"&amp;SUBSTITUTE(TRIM(F103),"'","''")&amp;"'")&amp;",''));")</f>
        <v/>
      </c>
    </row>
    <row r="104" ht="15.75" customHeight="1" s="64">
      <c r="A104" s="23" t="n"/>
      <c r="B104" s="25">
        <f t="array" ref="B104">IF(A104="","",IFERROR(IF(INDEX(Clientes!$D$5:$D$549,MATCH(A104,Clientes!$C$5:$C$549,0))&lt;&gt;"",INDEX(Clientes!$D$5:$D$549,MATCH(A104,Clientes!$C$5:$C$549,0)),TRIM(INDEX(Clientes!$E$5:$E$549,MATCH(A104,Clientes!$C$5:$C$549,0))&amp;" "&amp;INDEX(Clientes!$F$5:$F$549,MATCH(A104,Clientes!$C$5:$C$549,0)))),"NO EXISTE en Clientes"))</f>
        <v/>
      </c>
      <c r="C104" s="17" t="n"/>
      <c r="D104" s="17" t="n"/>
      <c r="E104" s="17" t="n"/>
      <c r="F104" s="23" t="n"/>
      <c r="G104" s="23" t="n"/>
      <c r="H104" s="23" t="n"/>
      <c r="I104" s="17" t="n"/>
      <c r="J104" s="17" t="n"/>
      <c r="K104" s="17" t="n"/>
      <c r="L104" s="17">
        <f>IF(AND(A104="",C104=""),"",IF(A104="","FALTA doc. cliente",IF(B104="NO EXISTE en Clientes","CLIENTE no está en hoja Clientes",IF(C104="","FALTA nombre",IF(AND(K104="SI",COUNTIFS($A$5:$A$499,A104,$K$5:$K$499,"SI")&gt;1),"Más de un contacto principal para este cliente","OK")))))</f>
        <v/>
      </c>
      <c r="M104" s="28">
        <f>IF(L104&lt;&gt;"OK","","INSERT INTO cli_contacto (id_cliente, nombre, apellido_paterno, apellido_materno, telefono1, telefono2, telefono3, email, direccion, es_principal, estado) SELECT "&amp;"(SELECT id FROM cli_clientes WHERE numero_documento = '"&amp;SUBSTITUTE(TRIM(A104),"'","''")&amp;"' AND estado = 1 LIMIT 1)"&amp;", "&amp;IF(TRIM(C104&amp;"")="","NULL","'"&amp;SUBSTITUTE(TRIM(C104),"'","''")&amp;"'")&amp;", "&amp;IF(TRIM(D104&amp;"")="","NULL","'"&amp;SUBSTITUTE(TRIM(D104),"'","''")&amp;"'")&amp;", "&amp;IF(TRIM(E104&amp;"")="","NULL","'"&amp;SUBSTITUTE(TRIM(E104),"'","''")&amp;"'")&amp;", "&amp;IF(TRIM(F104&amp;"")="","NULL","'"&amp;SUBSTITUTE(TRIM(F104),"'","''")&amp;"'")&amp;", "&amp;IF(TRIM(G104&amp;"")="","NULL","'"&amp;SUBSTITUTE(TRIM(G104),"'","''")&amp;"'")&amp;", "&amp;IF(TRIM(H104&amp;"")="","NULL","'"&amp;SUBSTITUTE(TRIM(H104),"'","''")&amp;"'")&amp;", "&amp;IF(TRIM(I104&amp;"")="","NULL","'"&amp;SUBSTITUTE(TRIM(I104),"'","''")&amp;"'")&amp;", "&amp;IF(TRIM(J104&amp;"")="","NULL","'"&amp;SUBSTITUTE(TRIM(J104),"'","''")&amp;"'")&amp;", "&amp;IF(UPPER(TRIM(K104&amp;""))="SI","TRUE","FALSE")&amp;", 1"&amp;" WHERE NOT EXISTS (SELECT 1 FROM cli_contacto c WHERE c.id_cliente = "&amp;"(SELECT id FROM cli_clientes WHERE numero_documento = '"&amp;SUBSTITUTE(TRIM(A104),"'","''")&amp;"' AND estado = 1 LIMIT 1)"&amp;" AND upper(c.nombre) = upper("&amp;IF(TRIM(C104&amp;"")="","NULL","'"&amp;SUBSTITUTE(TRIM(C104),"'","''")&amp;"'")&amp;") AND coalesce(c.telefono1,'') = coalesce("&amp;IF(TRIM(F104&amp;"")="","NULL","'"&amp;SUBSTITUTE(TRIM(F104),"'","''")&amp;"'")&amp;",''));")</f>
        <v/>
      </c>
    </row>
    <row r="105" ht="15.75" customHeight="1" s="64">
      <c r="A105" s="23" t="n"/>
      <c r="B105" s="25">
        <f t="array" ref="B105">IF(A105="","",IFERROR(IF(INDEX(Clientes!$D$5:$D$549,MATCH(A105,Clientes!$C$5:$C$549,0))&lt;&gt;"",INDEX(Clientes!$D$5:$D$549,MATCH(A105,Clientes!$C$5:$C$549,0)),TRIM(INDEX(Clientes!$E$5:$E$549,MATCH(A105,Clientes!$C$5:$C$549,0))&amp;" "&amp;INDEX(Clientes!$F$5:$F$549,MATCH(A105,Clientes!$C$5:$C$549,0)))),"NO EXISTE en Clientes"))</f>
        <v/>
      </c>
      <c r="C105" s="17" t="n"/>
      <c r="D105" s="17" t="n"/>
      <c r="E105" s="17" t="n"/>
      <c r="F105" s="23" t="n"/>
      <c r="G105" s="23" t="n"/>
      <c r="H105" s="23" t="n"/>
      <c r="I105" s="17" t="n"/>
      <c r="J105" s="17" t="n"/>
      <c r="K105" s="17" t="n"/>
      <c r="L105" s="17">
        <f>IF(AND(A105="",C105=""),"",IF(A105="","FALTA doc. cliente",IF(B105="NO EXISTE en Clientes","CLIENTE no está en hoja Clientes",IF(C105="","FALTA nombre",IF(AND(K105="SI",COUNTIFS($A$5:$A$499,A105,$K$5:$K$499,"SI")&gt;1),"Más de un contacto principal para este cliente","OK")))))</f>
        <v/>
      </c>
      <c r="M105" s="28">
        <f>IF(L105&lt;&gt;"OK","","INSERT INTO cli_contacto (id_cliente, nombre, apellido_paterno, apellido_materno, telefono1, telefono2, telefono3, email, direccion, es_principal, estado) SELECT "&amp;"(SELECT id FROM cli_clientes WHERE numero_documento = '"&amp;SUBSTITUTE(TRIM(A105),"'","''")&amp;"' AND estado = 1 LIMIT 1)"&amp;", "&amp;IF(TRIM(C105&amp;"")="","NULL","'"&amp;SUBSTITUTE(TRIM(C105),"'","''")&amp;"'")&amp;", "&amp;IF(TRIM(D105&amp;"")="","NULL","'"&amp;SUBSTITUTE(TRIM(D105),"'","''")&amp;"'")&amp;", "&amp;IF(TRIM(E105&amp;"")="","NULL","'"&amp;SUBSTITUTE(TRIM(E105),"'","''")&amp;"'")&amp;", "&amp;IF(TRIM(F105&amp;"")="","NULL","'"&amp;SUBSTITUTE(TRIM(F105),"'","''")&amp;"'")&amp;", "&amp;IF(TRIM(G105&amp;"")="","NULL","'"&amp;SUBSTITUTE(TRIM(G105),"'","''")&amp;"'")&amp;", "&amp;IF(TRIM(H105&amp;"")="","NULL","'"&amp;SUBSTITUTE(TRIM(H105),"'","''")&amp;"'")&amp;", "&amp;IF(TRIM(I105&amp;"")="","NULL","'"&amp;SUBSTITUTE(TRIM(I105),"'","''")&amp;"'")&amp;", "&amp;IF(TRIM(J105&amp;"")="","NULL","'"&amp;SUBSTITUTE(TRIM(J105),"'","''")&amp;"'")&amp;", "&amp;IF(UPPER(TRIM(K105&amp;""))="SI","TRUE","FALSE")&amp;", 1"&amp;" WHERE NOT EXISTS (SELECT 1 FROM cli_contacto c WHERE c.id_cliente = "&amp;"(SELECT id FROM cli_clientes WHERE numero_documento = '"&amp;SUBSTITUTE(TRIM(A105),"'","''")&amp;"' AND estado = 1 LIMIT 1)"&amp;" AND upper(c.nombre) = upper("&amp;IF(TRIM(C105&amp;"")="","NULL","'"&amp;SUBSTITUTE(TRIM(C105),"'","''")&amp;"'")&amp;") AND coalesce(c.telefono1,'') = coalesce("&amp;IF(TRIM(F105&amp;"")="","NULL","'"&amp;SUBSTITUTE(TRIM(F105),"'","''")&amp;"'")&amp;",''));")</f>
        <v/>
      </c>
    </row>
    <row r="106" ht="15.75" customHeight="1" s="64">
      <c r="A106" s="23" t="n"/>
      <c r="B106" s="25">
        <f t="array" ref="B106">IF(A106="","",IFERROR(IF(INDEX(Clientes!$D$5:$D$549,MATCH(A106,Clientes!$C$5:$C$549,0))&lt;&gt;"",INDEX(Clientes!$D$5:$D$549,MATCH(A106,Clientes!$C$5:$C$549,0)),TRIM(INDEX(Clientes!$E$5:$E$549,MATCH(A106,Clientes!$C$5:$C$549,0))&amp;" "&amp;INDEX(Clientes!$F$5:$F$549,MATCH(A106,Clientes!$C$5:$C$549,0)))),"NO EXISTE en Clientes"))</f>
        <v/>
      </c>
      <c r="C106" s="17" t="n"/>
      <c r="D106" s="17" t="n"/>
      <c r="E106" s="17" t="n"/>
      <c r="F106" s="23" t="n"/>
      <c r="G106" s="23" t="n"/>
      <c r="H106" s="23" t="n"/>
      <c r="I106" s="17" t="n"/>
      <c r="J106" s="17" t="n"/>
      <c r="K106" s="17" t="n"/>
      <c r="L106" s="17">
        <f>IF(AND(A106="",C106=""),"",IF(A106="","FALTA doc. cliente",IF(B106="NO EXISTE en Clientes","CLIENTE no está en hoja Clientes",IF(C106="","FALTA nombre",IF(AND(K106="SI",COUNTIFS($A$5:$A$499,A106,$K$5:$K$499,"SI")&gt;1),"Más de un contacto principal para este cliente","OK")))))</f>
        <v/>
      </c>
      <c r="M106" s="28">
        <f>IF(L106&lt;&gt;"OK","","INSERT INTO cli_contacto (id_cliente, nombre, apellido_paterno, apellido_materno, telefono1, telefono2, telefono3, email, direccion, es_principal, estado) SELECT "&amp;"(SELECT id FROM cli_clientes WHERE numero_documento = '"&amp;SUBSTITUTE(TRIM(A106),"'","''")&amp;"' AND estado = 1 LIMIT 1)"&amp;", "&amp;IF(TRIM(C106&amp;"")="","NULL","'"&amp;SUBSTITUTE(TRIM(C106),"'","''")&amp;"'")&amp;", "&amp;IF(TRIM(D106&amp;"")="","NULL","'"&amp;SUBSTITUTE(TRIM(D106),"'","''")&amp;"'")&amp;", "&amp;IF(TRIM(E106&amp;"")="","NULL","'"&amp;SUBSTITUTE(TRIM(E106),"'","''")&amp;"'")&amp;", "&amp;IF(TRIM(F106&amp;"")="","NULL","'"&amp;SUBSTITUTE(TRIM(F106),"'","''")&amp;"'")&amp;", "&amp;IF(TRIM(G106&amp;"")="","NULL","'"&amp;SUBSTITUTE(TRIM(G106),"'","''")&amp;"'")&amp;", "&amp;IF(TRIM(H106&amp;"")="","NULL","'"&amp;SUBSTITUTE(TRIM(H106),"'","''")&amp;"'")&amp;", "&amp;IF(TRIM(I106&amp;"")="","NULL","'"&amp;SUBSTITUTE(TRIM(I106),"'","''")&amp;"'")&amp;", "&amp;IF(TRIM(J106&amp;"")="","NULL","'"&amp;SUBSTITUTE(TRIM(J106),"'","''")&amp;"'")&amp;", "&amp;IF(UPPER(TRIM(K106&amp;""))="SI","TRUE","FALSE")&amp;", 1"&amp;" WHERE NOT EXISTS (SELECT 1 FROM cli_contacto c WHERE c.id_cliente = "&amp;"(SELECT id FROM cli_clientes WHERE numero_documento = '"&amp;SUBSTITUTE(TRIM(A106),"'","''")&amp;"' AND estado = 1 LIMIT 1)"&amp;" AND upper(c.nombre) = upper("&amp;IF(TRIM(C106&amp;"")="","NULL","'"&amp;SUBSTITUTE(TRIM(C106),"'","''")&amp;"'")&amp;") AND coalesce(c.telefono1,'') = coalesce("&amp;IF(TRIM(F106&amp;"")="","NULL","'"&amp;SUBSTITUTE(TRIM(F106),"'","''")&amp;"'")&amp;",''));")</f>
        <v/>
      </c>
    </row>
    <row r="107" ht="15.75" customHeight="1" s="64">
      <c r="A107" s="23" t="n"/>
      <c r="B107" s="25">
        <f t="array" ref="B107">IF(A107="","",IFERROR(IF(INDEX(Clientes!$D$5:$D$549,MATCH(A107,Clientes!$C$5:$C$549,0))&lt;&gt;"",INDEX(Clientes!$D$5:$D$549,MATCH(A107,Clientes!$C$5:$C$549,0)),TRIM(INDEX(Clientes!$E$5:$E$549,MATCH(A107,Clientes!$C$5:$C$549,0))&amp;" "&amp;INDEX(Clientes!$F$5:$F$549,MATCH(A107,Clientes!$C$5:$C$549,0)))),"NO EXISTE en Clientes"))</f>
        <v/>
      </c>
      <c r="C107" s="17" t="n"/>
      <c r="D107" s="17" t="n"/>
      <c r="E107" s="17" t="n"/>
      <c r="F107" s="23" t="n"/>
      <c r="G107" s="23" t="n"/>
      <c r="H107" s="23" t="n"/>
      <c r="I107" s="17" t="n"/>
      <c r="J107" s="17" t="n"/>
      <c r="K107" s="17" t="n"/>
      <c r="L107" s="17">
        <f>IF(AND(A107="",C107=""),"",IF(A107="","FALTA doc. cliente",IF(B107="NO EXISTE en Clientes","CLIENTE no está en hoja Clientes",IF(C107="","FALTA nombre",IF(AND(K107="SI",COUNTIFS($A$5:$A$499,A107,$K$5:$K$499,"SI")&gt;1),"Más de un contacto principal para este cliente","OK")))))</f>
        <v/>
      </c>
      <c r="M107" s="28">
        <f>IF(L107&lt;&gt;"OK","","INSERT INTO cli_contacto (id_cliente, nombre, apellido_paterno, apellido_materno, telefono1, telefono2, telefono3, email, direccion, es_principal, estado) SELECT "&amp;"(SELECT id FROM cli_clientes WHERE numero_documento = '"&amp;SUBSTITUTE(TRIM(A107),"'","''")&amp;"' AND estado = 1 LIMIT 1)"&amp;", "&amp;IF(TRIM(C107&amp;"")="","NULL","'"&amp;SUBSTITUTE(TRIM(C107),"'","''")&amp;"'")&amp;", "&amp;IF(TRIM(D107&amp;"")="","NULL","'"&amp;SUBSTITUTE(TRIM(D107),"'","''")&amp;"'")&amp;", "&amp;IF(TRIM(E107&amp;"")="","NULL","'"&amp;SUBSTITUTE(TRIM(E107),"'","''")&amp;"'")&amp;", "&amp;IF(TRIM(F107&amp;"")="","NULL","'"&amp;SUBSTITUTE(TRIM(F107),"'","''")&amp;"'")&amp;", "&amp;IF(TRIM(G107&amp;"")="","NULL","'"&amp;SUBSTITUTE(TRIM(G107),"'","''")&amp;"'")&amp;", "&amp;IF(TRIM(H107&amp;"")="","NULL","'"&amp;SUBSTITUTE(TRIM(H107),"'","''")&amp;"'")&amp;", "&amp;IF(TRIM(I107&amp;"")="","NULL","'"&amp;SUBSTITUTE(TRIM(I107),"'","''")&amp;"'")&amp;", "&amp;IF(TRIM(J107&amp;"")="","NULL","'"&amp;SUBSTITUTE(TRIM(J107),"'","''")&amp;"'")&amp;", "&amp;IF(UPPER(TRIM(K107&amp;""))="SI","TRUE","FALSE")&amp;", 1"&amp;" WHERE NOT EXISTS (SELECT 1 FROM cli_contacto c WHERE c.id_cliente = "&amp;"(SELECT id FROM cli_clientes WHERE numero_documento = '"&amp;SUBSTITUTE(TRIM(A107),"'","''")&amp;"' AND estado = 1 LIMIT 1)"&amp;" AND upper(c.nombre) = upper("&amp;IF(TRIM(C107&amp;"")="","NULL","'"&amp;SUBSTITUTE(TRIM(C107),"'","''")&amp;"'")&amp;") AND coalesce(c.telefono1,'') = coalesce("&amp;IF(TRIM(F107&amp;"")="","NULL","'"&amp;SUBSTITUTE(TRIM(F107),"'","''")&amp;"'")&amp;",''));")</f>
        <v/>
      </c>
    </row>
    <row r="108" ht="15.75" customHeight="1" s="64">
      <c r="A108" s="23" t="n"/>
      <c r="B108" s="25">
        <f t="array" ref="B108">IF(A108="","",IFERROR(IF(INDEX(Clientes!$D$5:$D$549,MATCH(A108,Clientes!$C$5:$C$549,0))&lt;&gt;"",INDEX(Clientes!$D$5:$D$549,MATCH(A108,Clientes!$C$5:$C$549,0)),TRIM(INDEX(Clientes!$E$5:$E$549,MATCH(A108,Clientes!$C$5:$C$549,0))&amp;" "&amp;INDEX(Clientes!$F$5:$F$549,MATCH(A108,Clientes!$C$5:$C$549,0)))),"NO EXISTE en Clientes"))</f>
        <v/>
      </c>
      <c r="C108" s="17" t="n"/>
      <c r="D108" s="17" t="n"/>
      <c r="E108" s="17" t="n"/>
      <c r="F108" s="23" t="n"/>
      <c r="G108" s="23" t="n"/>
      <c r="H108" s="23" t="n"/>
      <c r="I108" s="17" t="n"/>
      <c r="J108" s="17" t="n"/>
      <c r="K108" s="17" t="n"/>
      <c r="L108" s="17">
        <f>IF(AND(A108="",C108=""),"",IF(A108="","FALTA doc. cliente",IF(B108="NO EXISTE en Clientes","CLIENTE no está en hoja Clientes",IF(C108="","FALTA nombre",IF(AND(K108="SI",COUNTIFS($A$5:$A$499,A108,$K$5:$K$499,"SI")&gt;1),"Más de un contacto principal para este cliente","OK")))))</f>
        <v/>
      </c>
      <c r="M108" s="28">
        <f>IF(L108&lt;&gt;"OK","","INSERT INTO cli_contacto (id_cliente, nombre, apellido_paterno, apellido_materno, telefono1, telefono2, telefono3, email, direccion, es_principal, estado) SELECT "&amp;"(SELECT id FROM cli_clientes WHERE numero_documento = '"&amp;SUBSTITUTE(TRIM(A108),"'","''")&amp;"' AND estado = 1 LIMIT 1)"&amp;", "&amp;IF(TRIM(C108&amp;"")="","NULL","'"&amp;SUBSTITUTE(TRIM(C108),"'","''")&amp;"'")&amp;", "&amp;IF(TRIM(D108&amp;"")="","NULL","'"&amp;SUBSTITUTE(TRIM(D108),"'","''")&amp;"'")&amp;", "&amp;IF(TRIM(E108&amp;"")="","NULL","'"&amp;SUBSTITUTE(TRIM(E108),"'","''")&amp;"'")&amp;", "&amp;IF(TRIM(F108&amp;"")="","NULL","'"&amp;SUBSTITUTE(TRIM(F108),"'","''")&amp;"'")&amp;", "&amp;IF(TRIM(G108&amp;"")="","NULL","'"&amp;SUBSTITUTE(TRIM(G108),"'","''")&amp;"'")&amp;", "&amp;IF(TRIM(H108&amp;"")="","NULL","'"&amp;SUBSTITUTE(TRIM(H108),"'","''")&amp;"'")&amp;", "&amp;IF(TRIM(I108&amp;"")="","NULL","'"&amp;SUBSTITUTE(TRIM(I108),"'","''")&amp;"'")&amp;", "&amp;IF(TRIM(J108&amp;"")="","NULL","'"&amp;SUBSTITUTE(TRIM(J108),"'","''")&amp;"'")&amp;", "&amp;IF(UPPER(TRIM(K108&amp;""))="SI","TRUE","FALSE")&amp;", 1"&amp;" WHERE NOT EXISTS (SELECT 1 FROM cli_contacto c WHERE c.id_cliente = "&amp;"(SELECT id FROM cli_clientes WHERE numero_documento = '"&amp;SUBSTITUTE(TRIM(A108),"'","''")&amp;"' AND estado = 1 LIMIT 1)"&amp;" AND upper(c.nombre) = upper("&amp;IF(TRIM(C108&amp;"")="","NULL","'"&amp;SUBSTITUTE(TRIM(C108),"'","''")&amp;"'")&amp;") AND coalesce(c.telefono1,'') = coalesce("&amp;IF(TRIM(F108&amp;"")="","NULL","'"&amp;SUBSTITUTE(TRIM(F108),"'","''")&amp;"'")&amp;",''));")</f>
        <v/>
      </c>
    </row>
    <row r="109" ht="15.75" customHeight="1" s="64">
      <c r="A109" s="23" t="n"/>
      <c r="B109" s="25">
        <f t="array" ref="B109">IF(A109="","",IFERROR(IF(INDEX(Clientes!$D$5:$D$549,MATCH(A109,Clientes!$C$5:$C$549,0))&lt;&gt;"",INDEX(Clientes!$D$5:$D$549,MATCH(A109,Clientes!$C$5:$C$549,0)),TRIM(INDEX(Clientes!$E$5:$E$549,MATCH(A109,Clientes!$C$5:$C$549,0))&amp;" "&amp;INDEX(Clientes!$F$5:$F$549,MATCH(A109,Clientes!$C$5:$C$549,0)))),"NO EXISTE en Clientes"))</f>
        <v/>
      </c>
      <c r="C109" s="17" t="n"/>
      <c r="D109" s="17" t="n"/>
      <c r="E109" s="17" t="n"/>
      <c r="F109" s="23" t="n"/>
      <c r="G109" s="23" t="n"/>
      <c r="H109" s="23" t="n"/>
      <c r="I109" s="17" t="n"/>
      <c r="J109" s="17" t="n"/>
      <c r="K109" s="17" t="n"/>
      <c r="L109" s="17">
        <f>IF(AND(A109="",C109=""),"",IF(A109="","FALTA doc. cliente",IF(B109="NO EXISTE en Clientes","CLIENTE no está en hoja Clientes",IF(C109="","FALTA nombre",IF(AND(K109="SI",COUNTIFS($A$5:$A$499,A109,$K$5:$K$499,"SI")&gt;1),"Más de un contacto principal para este cliente","OK")))))</f>
        <v/>
      </c>
      <c r="M109" s="28">
        <f>IF(L109&lt;&gt;"OK","","INSERT INTO cli_contacto (id_cliente, nombre, apellido_paterno, apellido_materno, telefono1, telefono2, telefono3, email, direccion, es_principal, estado) SELECT "&amp;"(SELECT id FROM cli_clientes WHERE numero_documento = '"&amp;SUBSTITUTE(TRIM(A109),"'","''")&amp;"' AND estado = 1 LIMIT 1)"&amp;", "&amp;IF(TRIM(C109&amp;"")="","NULL","'"&amp;SUBSTITUTE(TRIM(C109),"'","''")&amp;"'")&amp;", "&amp;IF(TRIM(D109&amp;"")="","NULL","'"&amp;SUBSTITUTE(TRIM(D109),"'","''")&amp;"'")&amp;", "&amp;IF(TRIM(E109&amp;"")="","NULL","'"&amp;SUBSTITUTE(TRIM(E109),"'","''")&amp;"'")&amp;", "&amp;IF(TRIM(F109&amp;"")="","NULL","'"&amp;SUBSTITUTE(TRIM(F109),"'","''")&amp;"'")&amp;", "&amp;IF(TRIM(G109&amp;"")="","NULL","'"&amp;SUBSTITUTE(TRIM(G109),"'","''")&amp;"'")&amp;", "&amp;IF(TRIM(H109&amp;"")="","NULL","'"&amp;SUBSTITUTE(TRIM(H109),"'","''")&amp;"'")&amp;", "&amp;IF(TRIM(I109&amp;"")="","NULL","'"&amp;SUBSTITUTE(TRIM(I109),"'","''")&amp;"'")&amp;", "&amp;IF(TRIM(J109&amp;"")="","NULL","'"&amp;SUBSTITUTE(TRIM(J109),"'","''")&amp;"'")&amp;", "&amp;IF(UPPER(TRIM(K109&amp;""))="SI","TRUE","FALSE")&amp;", 1"&amp;" WHERE NOT EXISTS (SELECT 1 FROM cli_contacto c WHERE c.id_cliente = "&amp;"(SELECT id FROM cli_clientes WHERE numero_documento = '"&amp;SUBSTITUTE(TRIM(A109),"'","''")&amp;"' AND estado = 1 LIMIT 1)"&amp;" AND upper(c.nombre) = upper("&amp;IF(TRIM(C109&amp;"")="","NULL","'"&amp;SUBSTITUTE(TRIM(C109),"'","''")&amp;"'")&amp;") AND coalesce(c.telefono1,'') = coalesce("&amp;IF(TRIM(F109&amp;"")="","NULL","'"&amp;SUBSTITUTE(TRIM(F109),"'","''")&amp;"'")&amp;",''));")</f>
        <v/>
      </c>
    </row>
    <row r="110" ht="15.75" customHeight="1" s="64">
      <c r="A110" s="23" t="n"/>
      <c r="B110" s="25">
        <f t="array" ref="B110">IF(A110="","",IFERROR(IF(INDEX(Clientes!$D$5:$D$549,MATCH(A110,Clientes!$C$5:$C$549,0))&lt;&gt;"",INDEX(Clientes!$D$5:$D$549,MATCH(A110,Clientes!$C$5:$C$549,0)),TRIM(INDEX(Clientes!$E$5:$E$549,MATCH(A110,Clientes!$C$5:$C$549,0))&amp;" "&amp;INDEX(Clientes!$F$5:$F$549,MATCH(A110,Clientes!$C$5:$C$549,0)))),"NO EXISTE en Clientes"))</f>
        <v/>
      </c>
      <c r="C110" s="17" t="n"/>
      <c r="D110" s="17" t="n"/>
      <c r="E110" s="17" t="n"/>
      <c r="F110" s="23" t="n"/>
      <c r="G110" s="23" t="n"/>
      <c r="H110" s="23" t="n"/>
      <c r="I110" s="17" t="n"/>
      <c r="J110" s="17" t="n"/>
      <c r="K110" s="17" t="n"/>
      <c r="L110" s="17">
        <f>IF(AND(A110="",C110=""),"",IF(A110="","FALTA doc. cliente",IF(B110="NO EXISTE en Clientes","CLIENTE no está en hoja Clientes",IF(C110="","FALTA nombre",IF(AND(K110="SI",COUNTIFS($A$5:$A$499,A110,$K$5:$K$499,"SI")&gt;1),"Más de un contacto principal para este cliente","OK")))))</f>
        <v/>
      </c>
      <c r="M110" s="28">
        <f>IF(L110&lt;&gt;"OK","","INSERT INTO cli_contacto (id_cliente, nombre, apellido_paterno, apellido_materno, telefono1, telefono2, telefono3, email, direccion, es_principal, estado) SELECT "&amp;"(SELECT id FROM cli_clientes WHERE numero_documento = '"&amp;SUBSTITUTE(TRIM(A110),"'","''")&amp;"' AND estado = 1 LIMIT 1)"&amp;", "&amp;IF(TRIM(C110&amp;"")="","NULL","'"&amp;SUBSTITUTE(TRIM(C110),"'","''")&amp;"'")&amp;", "&amp;IF(TRIM(D110&amp;"")="","NULL","'"&amp;SUBSTITUTE(TRIM(D110),"'","''")&amp;"'")&amp;", "&amp;IF(TRIM(E110&amp;"")="","NULL","'"&amp;SUBSTITUTE(TRIM(E110),"'","''")&amp;"'")&amp;", "&amp;IF(TRIM(F110&amp;"")="","NULL","'"&amp;SUBSTITUTE(TRIM(F110),"'","''")&amp;"'")&amp;", "&amp;IF(TRIM(G110&amp;"")="","NULL","'"&amp;SUBSTITUTE(TRIM(G110),"'","''")&amp;"'")&amp;", "&amp;IF(TRIM(H110&amp;"")="","NULL","'"&amp;SUBSTITUTE(TRIM(H110),"'","''")&amp;"'")&amp;", "&amp;IF(TRIM(I110&amp;"")="","NULL","'"&amp;SUBSTITUTE(TRIM(I110),"'","''")&amp;"'")&amp;", "&amp;IF(TRIM(J110&amp;"")="","NULL","'"&amp;SUBSTITUTE(TRIM(J110),"'","''")&amp;"'")&amp;", "&amp;IF(UPPER(TRIM(K110&amp;""))="SI","TRUE","FALSE")&amp;", 1"&amp;" WHERE NOT EXISTS (SELECT 1 FROM cli_contacto c WHERE c.id_cliente = "&amp;"(SELECT id FROM cli_clientes WHERE numero_documento = '"&amp;SUBSTITUTE(TRIM(A110),"'","''")&amp;"' AND estado = 1 LIMIT 1)"&amp;" AND upper(c.nombre) = upper("&amp;IF(TRIM(C110&amp;"")="","NULL","'"&amp;SUBSTITUTE(TRIM(C110),"'","''")&amp;"'")&amp;") AND coalesce(c.telefono1,'') = coalesce("&amp;IF(TRIM(F110&amp;"")="","NULL","'"&amp;SUBSTITUTE(TRIM(F110),"'","''")&amp;"'")&amp;",''));")</f>
        <v/>
      </c>
    </row>
    <row r="111" ht="15.75" customHeight="1" s="64">
      <c r="A111" s="23" t="n"/>
      <c r="B111" s="25">
        <f t="array" ref="B111">IF(A111="","",IFERROR(IF(INDEX(Clientes!$D$5:$D$549,MATCH(A111,Clientes!$C$5:$C$549,0))&lt;&gt;"",INDEX(Clientes!$D$5:$D$549,MATCH(A111,Clientes!$C$5:$C$549,0)),TRIM(INDEX(Clientes!$E$5:$E$549,MATCH(A111,Clientes!$C$5:$C$549,0))&amp;" "&amp;INDEX(Clientes!$F$5:$F$549,MATCH(A111,Clientes!$C$5:$C$549,0)))),"NO EXISTE en Clientes"))</f>
        <v/>
      </c>
      <c r="C111" s="17" t="n"/>
      <c r="D111" s="17" t="n"/>
      <c r="E111" s="17" t="n"/>
      <c r="F111" s="23" t="n"/>
      <c r="G111" s="23" t="n"/>
      <c r="H111" s="23" t="n"/>
      <c r="I111" s="17" t="n"/>
      <c r="J111" s="17" t="n"/>
      <c r="K111" s="17" t="n"/>
      <c r="L111" s="17">
        <f>IF(AND(A111="",C111=""),"",IF(A111="","FALTA doc. cliente",IF(B111="NO EXISTE en Clientes","CLIENTE no está en hoja Clientes",IF(C111="","FALTA nombre",IF(AND(K111="SI",COUNTIFS($A$5:$A$499,A111,$K$5:$K$499,"SI")&gt;1),"Más de un contacto principal para este cliente","OK")))))</f>
        <v/>
      </c>
      <c r="M111" s="28">
        <f>IF(L111&lt;&gt;"OK","","INSERT INTO cli_contacto (id_cliente, nombre, apellido_paterno, apellido_materno, telefono1, telefono2, telefono3, email, direccion, es_principal, estado) SELECT "&amp;"(SELECT id FROM cli_clientes WHERE numero_documento = '"&amp;SUBSTITUTE(TRIM(A111),"'","''")&amp;"' AND estado = 1 LIMIT 1)"&amp;", "&amp;IF(TRIM(C111&amp;"")="","NULL","'"&amp;SUBSTITUTE(TRIM(C111),"'","''")&amp;"'")&amp;", "&amp;IF(TRIM(D111&amp;"")="","NULL","'"&amp;SUBSTITUTE(TRIM(D111),"'","''")&amp;"'")&amp;", "&amp;IF(TRIM(E111&amp;"")="","NULL","'"&amp;SUBSTITUTE(TRIM(E111),"'","''")&amp;"'")&amp;", "&amp;IF(TRIM(F111&amp;"")="","NULL","'"&amp;SUBSTITUTE(TRIM(F111),"'","''")&amp;"'")&amp;", "&amp;IF(TRIM(G111&amp;"")="","NULL","'"&amp;SUBSTITUTE(TRIM(G111),"'","''")&amp;"'")&amp;", "&amp;IF(TRIM(H111&amp;"")="","NULL","'"&amp;SUBSTITUTE(TRIM(H111),"'","''")&amp;"'")&amp;", "&amp;IF(TRIM(I111&amp;"")="","NULL","'"&amp;SUBSTITUTE(TRIM(I111),"'","''")&amp;"'")&amp;", "&amp;IF(TRIM(J111&amp;"")="","NULL","'"&amp;SUBSTITUTE(TRIM(J111),"'","''")&amp;"'")&amp;", "&amp;IF(UPPER(TRIM(K111&amp;""))="SI","TRUE","FALSE")&amp;", 1"&amp;" WHERE NOT EXISTS (SELECT 1 FROM cli_contacto c WHERE c.id_cliente = "&amp;"(SELECT id FROM cli_clientes WHERE numero_documento = '"&amp;SUBSTITUTE(TRIM(A111),"'","''")&amp;"' AND estado = 1 LIMIT 1)"&amp;" AND upper(c.nombre) = upper("&amp;IF(TRIM(C111&amp;"")="","NULL","'"&amp;SUBSTITUTE(TRIM(C111),"'","''")&amp;"'")&amp;") AND coalesce(c.telefono1,'') = coalesce("&amp;IF(TRIM(F111&amp;"")="","NULL","'"&amp;SUBSTITUTE(TRIM(F111),"'","''")&amp;"'")&amp;",''));")</f>
        <v/>
      </c>
    </row>
    <row r="112" ht="15.75" customHeight="1" s="64">
      <c r="A112" s="23" t="n"/>
      <c r="B112" s="25">
        <f t="array" ref="B112">IF(A112="","",IFERROR(IF(INDEX(Clientes!$D$5:$D$549,MATCH(A112,Clientes!$C$5:$C$549,0))&lt;&gt;"",INDEX(Clientes!$D$5:$D$549,MATCH(A112,Clientes!$C$5:$C$549,0)),TRIM(INDEX(Clientes!$E$5:$E$549,MATCH(A112,Clientes!$C$5:$C$549,0))&amp;" "&amp;INDEX(Clientes!$F$5:$F$549,MATCH(A112,Clientes!$C$5:$C$549,0)))),"NO EXISTE en Clientes"))</f>
        <v/>
      </c>
      <c r="C112" s="17" t="n"/>
      <c r="D112" s="17" t="n"/>
      <c r="E112" s="17" t="n"/>
      <c r="F112" s="23" t="n"/>
      <c r="G112" s="23" t="n"/>
      <c r="H112" s="23" t="n"/>
      <c r="I112" s="17" t="n"/>
      <c r="J112" s="17" t="n"/>
      <c r="K112" s="17" t="n"/>
      <c r="L112" s="17">
        <f>IF(AND(A112="",C112=""),"",IF(A112="","FALTA doc. cliente",IF(B112="NO EXISTE en Clientes","CLIENTE no está en hoja Clientes",IF(C112="","FALTA nombre",IF(AND(K112="SI",COUNTIFS($A$5:$A$499,A112,$K$5:$K$499,"SI")&gt;1),"Más de un contacto principal para este cliente","OK")))))</f>
        <v/>
      </c>
      <c r="M112" s="28">
        <f>IF(L112&lt;&gt;"OK","","INSERT INTO cli_contacto (id_cliente, nombre, apellido_paterno, apellido_materno, telefono1, telefono2, telefono3, email, direccion, es_principal, estado) SELECT "&amp;"(SELECT id FROM cli_clientes WHERE numero_documento = '"&amp;SUBSTITUTE(TRIM(A112),"'","''")&amp;"' AND estado = 1 LIMIT 1)"&amp;", "&amp;IF(TRIM(C112&amp;"")="","NULL","'"&amp;SUBSTITUTE(TRIM(C112),"'","''")&amp;"'")&amp;", "&amp;IF(TRIM(D112&amp;"")="","NULL","'"&amp;SUBSTITUTE(TRIM(D112),"'","''")&amp;"'")&amp;", "&amp;IF(TRIM(E112&amp;"")="","NULL","'"&amp;SUBSTITUTE(TRIM(E112),"'","''")&amp;"'")&amp;", "&amp;IF(TRIM(F112&amp;"")="","NULL","'"&amp;SUBSTITUTE(TRIM(F112),"'","''")&amp;"'")&amp;", "&amp;IF(TRIM(G112&amp;"")="","NULL","'"&amp;SUBSTITUTE(TRIM(G112),"'","''")&amp;"'")&amp;", "&amp;IF(TRIM(H112&amp;"")="","NULL","'"&amp;SUBSTITUTE(TRIM(H112),"'","''")&amp;"'")&amp;", "&amp;IF(TRIM(I112&amp;"")="","NULL","'"&amp;SUBSTITUTE(TRIM(I112),"'","''")&amp;"'")&amp;", "&amp;IF(TRIM(J112&amp;"")="","NULL","'"&amp;SUBSTITUTE(TRIM(J112),"'","''")&amp;"'")&amp;", "&amp;IF(UPPER(TRIM(K112&amp;""))="SI","TRUE","FALSE")&amp;", 1"&amp;" WHERE NOT EXISTS (SELECT 1 FROM cli_contacto c WHERE c.id_cliente = "&amp;"(SELECT id FROM cli_clientes WHERE numero_documento = '"&amp;SUBSTITUTE(TRIM(A112),"'","''")&amp;"' AND estado = 1 LIMIT 1)"&amp;" AND upper(c.nombre) = upper("&amp;IF(TRIM(C112&amp;"")="","NULL","'"&amp;SUBSTITUTE(TRIM(C112),"'","''")&amp;"'")&amp;") AND coalesce(c.telefono1,'') = coalesce("&amp;IF(TRIM(F112&amp;"")="","NULL","'"&amp;SUBSTITUTE(TRIM(F112),"'","''")&amp;"'")&amp;",''));")</f>
        <v/>
      </c>
    </row>
    <row r="113" ht="15.75" customHeight="1" s="64">
      <c r="A113" s="23" t="n"/>
      <c r="B113" s="25">
        <f t="array" ref="B113">IF(A113="","",IFERROR(IF(INDEX(Clientes!$D$5:$D$549,MATCH(A113,Clientes!$C$5:$C$549,0))&lt;&gt;"",INDEX(Clientes!$D$5:$D$549,MATCH(A113,Clientes!$C$5:$C$549,0)),TRIM(INDEX(Clientes!$E$5:$E$549,MATCH(A113,Clientes!$C$5:$C$549,0))&amp;" "&amp;INDEX(Clientes!$F$5:$F$549,MATCH(A113,Clientes!$C$5:$C$549,0)))),"NO EXISTE en Clientes"))</f>
        <v/>
      </c>
      <c r="C113" s="17" t="n"/>
      <c r="D113" s="17" t="n"/>
      <c r="E113" s="17" t="n"/>
      <c r="F113" s="23" t="n"/>
      <c r="G113" s="23" t="n"/>
      <c r="H113" s="23" t="n"/>
      <c r="I113" s="17" t="n"/>
      <c r="J113" s="17" t="n"/>
      <c r="K113" s="17" t="n"/>
      <c r="L113" s="17">
        <f>IF(AND(A113="",C113=""),"",IF(A113="","FALTA doc. cliente",IF(B113="NO EXISTE en Clientes","CLIENTE no está en hoja Clientes",IF(C113="","FALTA nombre",IF(AND(K113="SI",COUNTIFS($A$5:$A$499,A113,$K$5:$K$499,"SI")&gt;1),"Más de un contacto principal para este cliente","OK")))))</f>
        <v/>
      </c>
      <c r="M113" s="28">
        <f>IF(L113&lt;&gt;"OK","","INSERT INTO cli_contacto (id_cliente, nombre, apellido_paterno, apellido_materno, telefono1, telefono2, telefono3, email, direccion, es_principal, estado) SELECT "&amp;"(SELECT id FROM cli_clientes WHERE numero_documento = '"&amp;SUBSTITUTE(TRIM(A113),"'","''")&amp;"' AND estado = 1 LIMIT 1)"&amp;", "&amp;IF(TRIM(C113&amp;"")="","NULL","'"&amp;SUBSTITUTE(TRIM(C113),"'","''")&amp;"'")&amp;", "&amp;IF(TRIM(D113&amp;"")="","NULL","'"&amp;SUBSTITUTE(TRIM(D113),"'","''")&amp;"'")&amp;", "&amp;IF(TRIM(E113&amp;"")="","NULL","'"&amp;SUBSTITUTE(TRIM(E113),"'","''")&amp;"'")&amp;", "&amp;IF(TRIM(F113&amp;"")="","NULL","'"&amp;SUBSTITUTE(TRIM(F113),"'","''")&amp;"'")&amp;", "&amp;IF(TRIM(G113&amp;"")="","NULL","'"&amp;SUBSTITUTE(TRIM(G113),"'","''")&amp;"'")&amp;", "&amp;IF(TRIM(H113&amp;"")="","NULL","'"&amp;SUBSTITUTE(TRIM(H113),"'","''")&amp;"'")&amp;", "&amp;IF(TRIM(I113&amp;"")="","NULL","'"&amp;SUBSTITUTE(TRIM(I113),"'","''")&amp;"'")&amp;", "&amp;IF(TRIM(J113&amp;"")="","NULL","'"&amp;SUBSTITUTE(TRIM(J113),"'","''")&amp;"'")&amp;", "&amp;IF(UPPER(TRIM(K113&amp;""))="SI","TRUE","FALSE")&amp;", 1"&amp;" WHERE NOT EXISTS (SELECT 1 FROM cli_contacto c WHERE c.id_cliente = "&amp;"(SELECT id FROM cli_clientes WHERE numero_documento = '"&amp;SUBSTITUTE(TRIM(A113),"'","''")&amp;"' AND estado = 1 LIMIT 1)"&amp;" AND upper(c.nombre) = upper("&amp;IF(TRIM(C113&amp;"")="","NULL","'"&amp;SUBSTITUTE(TRIM(C113),"'","''")&amp;"'")&amp;") AND coalesce(c.telefono1,'') = coalesce("&amp;IF(TRIM(F113&amp;"")="","NULL","'"&amp;SUBSTITUTE(TRIM(F113),"'","''")&amp;"'")&amp;",''));")</f>
        <v/>
      </c>
    </row>
    <row r="114" ht="15.75" customHeight="1" s="64">
      <c r="A114" s="23" t="n"/>
      <c r="B114" s="25">
        <f t="array" ref="B114">IF(A114="","",IFERROR(IF(INDEX(Clientes!$D$5:$D$549,MATCH(A114,Clientes!$C$5:$C$549,0))&lt;&gt;"",INDEX(Clientes!$D$5:$D$549,MATCH(A114,Clientes!$C$5:$C$549,0)),TRIM(INDEX(Clientes!$E$5:$E$549,MATCH(A114,Clientes!$C$5:$C$549,0))&amp;" "&amp;INDEX(Clientes!$F$5:$F$549,MATCH(A114,Clientes!$C$5:$C$549,0)))),"NO EXISTE en Clientes"))</f>
        <v/>
      </c>
      <c r="C114" s="17" t="n"/>
      <c r="D114" s="17" t="n"/>
      <c r="E114" s="17" t="n"/>
      <c r="F114" s="23" t="n"/>
      <c r="G114" s="23" t="n"/>
      <c r="H114" s="23" t="n"/>
      <c r="I114" s="17" t="n"/>
      <c r="J114" s="17" t="n"/>
      <c r="K114" s="17" t="n"/>
      <c r="L114" s="17">
        <f>IF(AND(A114="",C114=""),"",IF(A114="","FALTA doc. cliente",IF(B114="NO EXISTE en Clientes","CLIENTE no está en hoja Clientes",IF(C114="","FALTA nombre",IF(AND(K114="SI",COUNTIFS($A$5:$A$499,A114,$K$5:$K$499,"SI")&gt;1),"Más de un contacto principal para este cliente","OK")))))</f>
        <v/>
      </c>
      <c r="M114" s="28">
        <f>IF(L114&lt;&gt;"OK","","INSERT INTO cli_contacto (id_cliente, nombre, apellido_paterno, apellido_materno, telefono1, telefono2, telefono3, email, direccion, es_principal, estado) SELECT "&amp;"(SELECT id FROM cli_clientes WHERE numero_documento = '"&amp;SUBSTITUTE(TRIM(A114),"'","''")&amp;"' AND estado = 1 LIMIT 1)"&amp;", "&amp;IF(TRIM(C114&amp;"")="","NULL","'"&amp;SUBSTITUTE(TRIM(C114),"'","''")&amp;"'")&amp;", "&amp;IF(TRIM(D114&amp;"")="","NULL","'"&amp;SUBSTITUTE(TRIM(D114),"'","''")&amp;"'")&amp;", "&amp;IF(TRIM(E114&amp;"")="","NULL","'"&amp;SUBSTITUTE(TRIM(E114),"'","''")&amp;"'")&amp;", "&amp;IF(TRIM(F114&amp;"")="","NULL","'"&amp;SUBSTITUTE(TRIM(F114),"'","''")&amp;"'")&amp;", "&amp;IF(TRIM(G114&amp;"")="","NULL","'"&amp;SUBSTITUTE(TRIM(G114),"'","''")&amp;"'")&amp;", "&amp;IF(TRIM(H114&amp;"")="","NULL","'"&amp;SUBSTITUTE(TRIM(H114),"'","''")&amp;"'")&amp;", "&amp;IF(TRIM(I114&amp;"")="","NULL","'"&amp;SUBSTITUTE(TRIM(I114),"'","''")&amp;"'")&amp;", "&amp;IF(TRIM(J114&amp;"")="","NULL","'"&amp;SUBSTITUTE(TRIM(J114),"'","''")&amp;"'")&amp;", "&amp;IF(UPPER(TRIM(K114&amp;""))="SI","TRUE","FALSE")&amp;", 1"&amp;" WHERE NOT EXISTS (SELECT 1 FROM cli_contacto c WHERE c.id_cliente = "&amp;"(SELECT id FROM cli_clientes WHERE numero_documento = '"&amp;SUBSTITUTE(TRIM(A114),"'","''")&amp;"' AND estado = 1 LIMIT 1)"&amp;" AND upper(c.nombre) = upper("&amp;IF(TRIM(C114&amp;"")="","NULL","'"&amp;SUBSTITUTE(TRIM(C114),"'","''")&amp;"'")&amp;") AND coalesce(c.telefono1,'') = coalesce("&amp;IF(TRIM(F114&amp;"")="","NULL","'"&amp;SUBSTITUTE(TRIM(F114),"'","''")&amp;"'")&amp;",''));")</f>
        <v/>
      </c>
    </row>
    <row r="115" ht="15.75" customHeight="1" s="64">
      <c r="A115" s="23" t="n"/>
      <c r="B115" s="25">
        <f t="array" ref="B115">IF(A115="","",IFERROR(IF(INDEX(Clientes!$D$5:$D$549,MATCH(A115,Clientes!$C$5:$C$549,0))&lt;&gt;"",INDEX(Clientes!$D$5:$D$549,MATCH(A115,Clientes!$C$5:$C$549,0)),TRIM(INDEX(Clientes!$E$5:$E$549,MATCH(A115,Clientes!$C$5:$C$549,0))&amp;" "&amp;INDEX(Clientes!$F$5:$F$549,MATCH(A115,Clientes!$C$5:$C$549,0)))),"NO EXISTE en Clientes"))</f>
        <v/>
      </c>
      <c r="C115" s="17" t="n"/>
      <c r="D115" s="17" t="n"/>
      <c r="E115" s="17" t="n"/>
      <c r="F115" s="23" t="n"/>
      <c r="G115" s="23" t="n"/>
      <c r="H115" s="23" t="n"/>
      <c r="I115" s="17" t="n"/>
      <c r="J115" s="17" t="n"/>
      <c r="K115" s="17" t="n"/>
      <c r="L115" s="17">
        <f>IF(AND(A115="",C115=""),"",IF(A115="","FALTA doc. cliente",IF(B115="NO EXISTE en Clientes","CLIENTE no está en hoja Clientes",IF(C115="","FALTA nombre",IF(AND(K115="SI",COUNTIFS($A$5:$A$499,A115,$K$5:$K$499,"SI")&gt;1),"Más de un contacto principal para este cliente","OK")))))</f>
        <v/>
      </c>
      <c r="M115" s="28">
        <f>IF(L115&lt;&gt;"OK","","INSERT INTO cli_contacto (id_cliente, nombre, apellido_paterno, apellido_materno, telefono1, telefono2, telefono3, email, direccion, es_principal, estado) SELECT "&amp;"(SELECT id FROM cli_clientes WHERE numero_documento = '"&amp;SUBSTITUTE(TRIM(A115),"'","''")&amp;"' AND estado = 1 LIMIT 1)"&amp;", "&amp;IF(TRIM(C115&amp;"")="","NULL","'"&amp;SUBSTITUTE(TRIM(C115),"'","''")&amp;"'")&amp;", "&amp;IF(TRIM(D115&amp;"")="","NULL","'"&amp;SUBSTITUTE(TRIM(D115),"'","''")&amp;"'")&amp;", "&amp;IF(TRIM(E115&amp;"")="","NULL","'"&amp;SUBSTITUTE(TRIM(E115),"'","''")&amp;"'")&amp;", "&amp;IF(TRIM(F115&amp;"")="","NULL","'"&amp;SUBSTITUTE(TRIM(F115),"'","''")&amp;"'")&amp;", "&amp;IF(TRIM(G115&amp;"")="","NULL","'"&amp;SUBSTITUTE(TRIM(G115),"'","''")&amp;"'")&amp;", "&amp;IF(TRIM(H115&amp;"")="","NULL","'"&amp;SUBSTITUTE(TRIM(H115),"'","''")&amp;"'")&amp;", "&amp;IF(TRIM(I115&amp;"")="","NULL","'"&amp;SUBSTITUTE(TRIM(I115),"'","''")&amp;"'")&amp;", "&amp;IF(TRIM(J115&amp;"")="","NULL","'"&amp;SUBSTITUTE(TRIM(J115),"'","''")&amp;"'")&amp;", "&amp;IF(UPPER(TRIM(K115&amp;""))="SI","TRUE","FALSE")&amp;", 1"&amp;" WHERE NOT EXISTS (SELECT 1 FROM cli_contacto c WHERE c.id_cliente = "&amp;"(SELECT id FROM cli_clientes WHERE numero_documento = '"&amp;SUBSTITUTE(TRIM(A115),"'","''")&amp;"' AND estado = 1 LIMIT 1)"&amp;" AND upper(c.nombre) = upper("&amp;IF(TRIM(C115&amp;"")="","NULL","'"&amp;SUBSTITUTE(TRIM(C115),"'","''")&amp;"'")&amp;") AND coalesce(c.telefono1,'') = coalesce("&amp;IF(TRIM(F115&amp;"")="","NULL","'"&amp;SUBSTITUTE(TRIM(F115),"'","''")&amp;"'")&amp;",''));")</f>
        <v/>
      </c>
    </row>
    <row r="116" ht="15.75" customHeight="1" s="64">
      <c r="A116" s="23" t="n"/>
      <c r="B116" s="25">
        <f t="array" ref="B116">IF(A116="","",IFERROR(IF(INDEX(Clientes!$D$5:$D$549,MATCH(A116,Clientes!$C$5:$C$549,0))&lt;&gt;"",INDEX(Clientes!$D$5:$D$549,MATCH(A116,Clientes!$C$5:$C$549,0)),TRIM(INDEX(Clientes!$E$5:$E$549,MATCH(A116,Clientes!$C$5:$C$549,0))&amp;" "&amp;INDEX(Clientes!$F$5:$F$549,MATCH(A116,Clientes!$C$5:$C$549,0)))),"NO EXISTE en Clientes"))</f>
        <v/>
      </c>
      <c r="C116" s="17" t="n"/>
      <c r="D116" s="17" t="n"/>
      <c r="E116" s="17" t="n"/>
      <c r="F116" s="23" t="n"/>
      <c r="G116" s="23" t="n"/>
      <c r="H116" s="23" t="n"/>
      <c r="I116" s="17" t="n"/>
      <c r="J116" s="17" t="n"/>
      <c r="K116" s="17" t="n"/>
      <c r="L116" s="17">
        <f>IF(AND(A116="",C116=""),"",IF(A116="","FALTA doc. cliente",IF(B116="NO EXISTE en Clientes","CLIENTE no está en hoja Clientes",IF(C116="","FALTA nombre",IF(AND(K116="SI",COUNTIFS($A$5:$A$499,A116,$K$5:$K$499,"SI")&gt;1),"Más de un contacto principal para este cliente","OK")))))</f>
        <v/>
      </c>
      <c r="M116" s="28">
        <f>IF(L116&lt;&gt;"OK","","INSERT INTO cli_contacto (id_cliente, nombre, apellido_paterno, apellido_materno, telefono1, telefono2, telefono3, email, direccion, es_principal, estado) SELECT "&amp;"(SELECT id FROM cli_clientes WHERE numero_documento = '"&amp;SUBSTITUTE(TRIM(A116),"'","''")&amp;"' AND estado = 1 LIMIT 1)"&amp;", "&amp;IF(TRIM(C116&amp;"")="","NULL","'"&amp;SUBSTITUTE(TRIM(C116),"'","''")&amp;"'")&amp;", "&amp;IF(TRIM(D116&amp;"")="","NULL","'"&amp;SUBSTITUTE(TRIM(D116),"'","''")&amp;"'")&amp;", "&amp;IF(TRIM(E116&amp;"")="","NULL","'"&amp;SUBSTITUTE(TRIM(E116),"'","''")&amp;"'")&amp;", "&amp;IF(TRIM(F116&amp;"")="","NULL","'"&amp;SUBSTITUTE(TRIM(F116),"'","''")&amp;"'")&amp;", "&amp;IF(TRIM(G116&amp;"")="","NULL","'"&amp;SUBSTITUTE(TRIM(G116),"'","''")&amp;"'")&amp;", "&amp;IF(TRIM(H116&amp;"")="","NULL","'"&amp;SUBSTITUTE(TRIM(H116),"'","''")&amp;"'")&amp;", "&amp;IF(TRIM(I116&amp;"")="","NULL","'"&amp;SUBSTITUTE(TRIM(I116),"'","''")&amp;"'")&amp;", "&amp;IF(TRIM(J116&amp;"")="","NULL","'"&amp;SUBSTITUTE(TRIM(J116),"'","''")&amp;"'")&amp;", "&amp;IF(UPPER(TRIM(K116&amp;""))="SI","TRUE","FALSE")&amp;", 1"&amp;" WHERE NOT EXISTS (SELECT 1 FROM cli_contacto c WHERE c.id_cliente = "&amp;"(SELECT id FROM cli_clientes WHERE numero_documento = '"&amp;SUBSTITUTE(TRIM(A116),"'","''")&amp;"' AND estado = 1 LIMIT 1)"&amp;" AND upper(c.nombre) = upper("&amp;IF(TRIM(C116&amp;"")="","NULL","'"&amp;SUBSTITUTE(TRIM(C116),"'","''")&amp;"'")&amp;") AND coalesce(c.telefono1,'') = coalesce("&amp;IF(TRIM(F116&amp;"")="","NULL","'"&amp;SUBSTITUTE(TRIM(F116),"'","''")&amp;"'")&amp;",''));")</f>
        <v/>
      </c>
    </row>
    <row r="117" ht="15.75" customHeight="1" s="64">
      <c r="A117" s="23" t="n"/>
      <c r="B117" s="25">
        <f t="array" ref="B117">IF(A117="","",IFERROR(IF(INDEX(Clientes!$D$5:$D$549,MATCH(A117,Clientes!$C$5:$C$549,0))&lt;&gt;"",INDEX(Clientes!$D$5:$D$549,MATCH(A117,Clientes!$C$5:$C$549,0)),TRIM(INDEX(Clientes!$E$5:$E$549,MATCH(A117,Clientes!$C$5:$C$549,0))&amp;" "&amp;INDEX(Clientes!$F$5:$F$549,MATCH(A117,Clientes!$C$5:$C$549,0)))),"NO EXISTE en Clientes"))</f>
        <v/>
      </c>
      <c r="C117" s="17" t="n"/>
      <c r="D117" s="17" t="n"/>
      <c r="E117" s="17" t="n"/>
      <c r="F117" s="23" t="n"/>
      <c r="G117" s="23" t="n"/>
      <c r="H117" s="23" t="n"/>
      <c r="I117" s="17" t="n"/>
      <c r="J117" s="17" t="n"/>
      <c r="K117" s="17" t="n"/>
      <c r="L117" s="17">
        <f>IF(AND(A117="",C117=""),"",IF(A117="","FALTA doc. cliente",IF(B117="NO EXISTE en Clientes","CLIENTE no está en hoja Clientes",IF(C117="","FALTA nombre",IF(AND(K117="SI",COUNTIFS($A$5:$A$499,A117,$K$5:$K$499,"SI")&gt;1),"Más de un contacto principal para este cliente","OK")))))</f>
        <v/>
      </c>
      <c r="M117" s="28">
        <f>IF(L117&lt;&gt;"OK","","INSERT INTO cli_contacto (id_cliente, nombre, apellido_paterno, apellido_materno, telefono1, telefono2, telefono3, email, direccion, es_principal, estado) SELECT "&amp;"(SELECT id FROM cli_clientes WHERE numero_documento = '"&amp;SUBSTITUTE(TRIM(A117),"'","''")&amp;"' AND estado = 1 LIMIT 1)"&amp;", "&amp;IF(TRIM(C117&amp;"")="","NULL","'"&amp;SUBSTITUTE(TRIM(C117),"'","''")&amp;"'")&amp;", "&amp;IF(TRIM(D117&amp;"")="","NULL","'"&amp;SUBSTITUTE(TRIM(D117),"'","''")&amp;"'")&amp;", "&amp;IF(TRIM(E117&amp;"")="","NULL","'"&amp;SUBSTITUTE(TRIM(E117),"'","''")&amp;"'")&amp;", "&amp;IF(TRIM(F117&amp;"")="","NULL","'"&amp;SUBSTITUTE(TRIM(F117),"'","''")&amp;"'")&amp;", "&amp;IF(TRIM(G117&amp;"")="","NULL","'"&amp;SUBSTITUTE(TRIM(G117),"'","''")&amp;"'")&amp;", "&amp;IF(TRIM(H117&amp;"")="","NULL","'"&amp;SUBSTITUTE(TRIM(H117),"'","''")&amp;"'")&amp;", "&amp;IF(TRIM(I117&amp;"")="","NULL","'"&amp;SUBSTITUTE(TRIM(I117),"'","''")&amp;"'")&amp;", "&amp;IF(TRIM(J117&amp;"")="","NULL","'"&amp;SUBSTITUTE(TRIM(J117),"'","''")&amp;"'")&amp;", "&amp;IF(UPPER(TRIM(K117&amp;""))="SI","TRUE","FALSE")&amp;", 1"&amp;" WHERE NOT EXISTS (SELECT 1 FROM cli_contacto c WHERE c.id_cliente = "&amp;"(SELECT id FROM cli_clientes WHERE numero_documento = '"&amp;SUBSTITUTE(TRIM(A117),"'","''")&amp;"' AND estado = 1 LIMIT 1)"&amp;" AND upper(c.nombre) = upper("&amp;IF(TRIM(C117&amp;"")="","NULL","'"&amp;SUBSTITUTE(TRIM(C117),"'","''")&amp;"'")&amp;") AND coalesce(c.telefono1,'') = coalesce("&amp;IF(TRIM(F117&amp;"")="","NULL","'"&amp;SUBSTITUTE(TRIM(F117),"'","''")&amp;"'")&amp;",''));")</f>
        <v/>
      </c>
    </row>
    <row r="118" ht="15.75" customHeight="1" s="64">
      <c r="A118" s="23" t="n"/>
      <c r="B118" s="25">
        <f t="array" ref="B118">IF(A118="","",IFERROR(IF(INDEX(Clientes!$D$5:$D$549,MATCH(A118,Clientes!$C$5:$C$549,0))&lt;&gt;"",INDEX(Clientes!$D$5:$D$549,MATCH(A118,Clientes!$C$5:$C$549,0)),TRIM(INDEX(Clientes!$E$5:$E$549,MATCH(A118,Clientes!$C$5:$C$549,0))&amp;" "&amp;INDEX(Clientes!$F$5:$F$549,MATCH(A118,Clientes!$C$5:$C$549,0)))),"NO EXISTE en Clientes"))</f>
        <v/>
      </c>
      <c r="C118" s="17" t="n"/>
      <c r="D118" s="17" t="n"/>
      <c r="E118" s="17" t="n"/>
      <c r="F118" s="23" t="n"/>
      <c r="G118" s="23" t="n"/>
      <c r="H118" s="23" t="n"/>
      <c r="I118" s="17" t="n"/>
      <c r="J118" s="17" t="n"/>
      <c r="K118" s="17" t="n"/>
      <c r="L118" s="17">
        <f>IF(AND(A118="",C118=""),"",IF(A118="","FALTA doc. cliente",IF(B118="NO EXISTE en Clientes","CLIENTE no está en hoja Clientes",IF(C118="","FALTA nombre",IF(AND(K118="SI",COUNTIFS($A$5:$A$499,A118,$K$5:$K$499,"SI")&gt;1),"Más de un contacto principal para este cliente","OK")))))</f>
        <v/>
      </c>
      <c r="M118" s="28">
        <f>IF(L118&lt;&gt;"OK","","INSERT INTO cli_contacto (id_cliente, nombre, apellido_paterno, apellido_materno, telefono1, telefono2, telefono3, email, direccion, es_principal, estado) SELECT "&amp;"(SELECT id FROM cli_clientes WHERE numero_documento = '"&amp;SUBSTITUTE(TRIM(A118),"'","''")&amp;"' AND estado = 1 LIMIT 1)"&amp;", "&amp;IF(TRIM(C118&amp;"")="","NULL","'"&amp;SUBSTITUTE(TRIM(C118),"'","''")&amp;"'")&amp;", "&amp;IF(TRIM(D118&amp;"")="","NULL","'"&amp;SUBSTITUTE(TRIM(D118),"'","''")&amp;"'")&amp;", "&amp;IF(TRIM(E118&amp;"")="","NULL","'"&amp;SUBSTITUTE(TRIM(E118),"'","''")&amp;"'")&amp;", "&amp;IF(TRIM(F118&amp;"")="","NULL","'"&amp;SUBSTITUTE(TRIM(F118),"'","''")&amp;"'")&amp;", "&amp;IF(TRIM(G118&amp;"")="","NULL","'"&amp;SUBSTITUTE(TRIM(G118),"'","''")&amp;"'")&amp;", "&amp;IF(TRIM(H118&amp;"")="","NULL","'"&amp;SUBSTITUTE(TRIM(H118),"'","''")&amp;"'")&amp;", "&amp;IF(TRIM(I118&amp;"")="","NULL","'"&amp;SUBSTITUTE(TRIM(I118),"'","''")&amp;"'")&amp;", "&amp;IF(TRIM(J118&amp;"")="","NULL","'"&amp;SUBSTITUTE(TRIM(J118),"'","''")&amp;"'")&amp;", "&amp;IF(UPPER(TRIM(K118&amp;""))="SI","TRUE","FALSE")&amp;", 1"&amp;" WHERE NOT EXISTS (SELECT 1 FROM cli_contacto c WHERE c.id_cliente = "&amp;"(SELECT id FROM cli_clientes WHERE numero_documento = '"&amp;SUBSTITUTE(TRIM(A118),"'","''")&amp;"' AND estado = 1 LIMIT 1)"&amp;" AND upper(c.nombre) = upper("&amp;IF(TRIM(C118&amp;"")="","NULL","'"&amp;SUBSTITUTE(TRIM(C118),"'","''")&amp;"'")&amp;") AND coalesce(c.telefono1,'') = coalesce("&amp;IF(TRIM(F118&amp;"")="","NULL","'"&amp;SUBSTITUTE(TRIM(F118),"'","''")&amp;"'")&amp;",''));")</f>
        <v/>
      </c>
    </row>
    <row r="119" ht="15.75" customHeight="1" s="64">
      <c r="A119" s="23" t="n"/>
      <c r="B119" s="25">
        <f t="array" ref="B119">IF(A119="","",IFERROR(IF(INDEX(Clientes!$D$5:$D$549,MATCH(A119,Clientes!$C$5:$C$549,0))&lt;&gt;"",INDEX(Clientes!$D$5:$D$549,MATCH(A119,Clientes!$C$5:$C$549,0)),TRIM(INDEX(Clientes!$E$5:$E$549,MATCH(A119,Clientes!$C$5:$C$549,0))&amp;" "&amp;INDEX(Clientes!$F$5:$F$549,MATCH(A119,Clientes!$C$5:$C$549,0)))),"NO EXISTE en Clientes"))</f>
        <v/>
      </c>
      <c r="C119" s="17" t="n"/>
      <c r="D119" s="17" t="n"/>
      <c r="E119" s="17" t="n"/>
      <c r="F119" s="23" t="n"/>
      <c r="G119" s="23" t="n"/>
      <c r="H119" s="23" t="n"/>
      <c r="I119" s="17" t="n"/>
      <c r="J119" s="17" t="n"/>
      <c r="K119" s="17" t="n"/>
      <c r="L119" s="17">
        <f>IF(AND(A119="",C119=""),"",IF(A119="","FALTA doc. cliente",IF(B119="NO EXISTE en Clientes","CLIENTE no está en hoja Clientes",IF(C119="","FALTA nombre",IF(AND(K119="SI",COUNTIFS($A$5:$A$499,A119,$K$5:$K$499,"SI")&gt;1),"Más de un contacto principal para este cliente","OK")))))</f>
        <v/>
      </c>
      <c r="M119" s="28">
        <f>IF(L119&lt;&gt;"OK","","INSERT INTO cli_contacto (id_cliente, nombre, apellido_paterno, apellido_materno, telefono1, telefono2, telefono3, email, direccion, es_principal, estado) SELECT "&amp;"(SELECT id FROM cli_clientes WHERE numero_documento = '"&amp;SUBSTITUTE(TRIM(A119),"'","''")&amp;"' AND estado = 1 LIMIT 1)"&amp;", "&amp;IF(TRIM(C119&amp;"")="","NULL","'"&amp;SUBSTITUTE(TRIM(C119),"'","''")&amp;"'")&amp;", "&amp;IF(TRIM(D119&amp;"")="","NULL","'"&amp;SUBSTITUTE(TRIM(D119),"'","''")&amp;"'")&amp;", "&amp;IF(TRIM(E119&amp;"")="","NULL","'"&amp;SUBSTITUTE(TRIM(E119),"'","''")&amp;"'")&amp;", "&amp;IF(TRIM(F119&amp;"")="","NULL","'"&amp;SUBSTITUTE(TRIM(F119),"'","''")&amp;"'")&amp;", "&amp;IF(TRIM(G119&amp;"")="","NULL","'"&amp;SUBSTITUTE(TRIM(G119),"'","''")&amp;"'")&amp;", "&amp;IF(TRIM(H119&amp;"")="","NULL","'"&amp;SUBSTITUTE(TRIM(H119),"'","''")&amp;"'")&amp;", "&amp;IF(TRIM(I119&amp;"")="","NULL","'"&amp;SUBSTITUTE(TRIM(I119),"'","''")&amp;"'")&amp;", "&amp;IF(TRIM(J119&amp;"")="","NULL","'"&amp;SUBSTITUTE(TRIM(J119),"'","''")&amp;"'")&amp;", "&amp;IF(UPPER(TRIM(K119&amp;""))="SI","TRUE","FALSE")&amp;", 1"&amp;" WHERE NOT EXISTS (SELECT 1 FROM cli_contacto c WHERE c.id_cliente = "&amp;"(SELECT id FROM cli_clientes WHERE numero_documento = '"&amp;SUBSTITUTE(TRIM(A119),"'","''")&amp;"' AND estado = 1 LIMIT 1)"&amp;" AND upper(c.nombre) = upper("&amp;IF(TRIM(C119&amp;"")="","NULL","'"&amp;SUBSTITUTE(TRIM(C119),"'","''")&amp;"'")&amp;") AND coalesce(c.telefono1,'') = coalesce("&amp;IF(TRIM(F119&amp;"")="","NULL","'"&amp;SUBSTITUTE(TRIM(F119),"'","''")&amp;"'")&amp;",''));")</f>
        <v/>
      </c>
    </row>
    <row r="120" ht="15.75" customHeight="1" s="64">
      <c r="A120" s="23" t="n"/>
      <c r="B120" s="25">
        <f t="array" ref="B120">IF(A120="","",IFERROR(IF(INDEX(Clientes!$D$5:$D$549,MATCH(A120,Clientes!$C$5:$C$549,0))&lt;&gt;"",INDEX(Clientes!$D$5:$D$549,MATCH(A120,Clientes!$C$5:$C$549,0)),TRIM(INDEX(Clientes!$E$5:$E$549,MATCH(A120,Clientes!$C$5:$C$549,0))&amp;" "&amp;INDEX(Clientes!$F$5:$F$549,MATCH(A120,Clientes!$C$5:$C$549,0)))),"NO EXISTE en Clientes"))</f>
        <v/>
      </c>
      <c r="C120" s="17" t="n"/>
      <c r="D120" s="17" t="n"/>
      <c r="E120" s="17" t="n"/>
      <c r="F120" s="23" t="n"/>
      <c r="G120" s="23" t="n"/>
      <c r="H120" s="23" t="n"/>
      <c r="I120" s="17" t="n"/>
      <c r="J120" s="17" t="n"/>
      <c r="K120" s="17" t="n"/>
      <c r="L120" s="17">
        <f>IF(AND(A120="",C120=""),"",IF(A120="","FALTA doc. cliente",IF(B120="NO EXISTE en Clientes","CLIENTE no está en hoja Clientes",IF(C120="","FALTA nombre",IF(AND(K120="SI",COUNTIFS($A$5:$A$499,A120,$K$5:$K$499,"SI")&gt;1),"Más de un contacto principal para este cliente","OK")))))</f>
        <v/>
      </c>
      <c r="M120" s="28">
        <f>IF(L120&lt;&gt;"OK","","INSERT INTO cli_contacto (id_cliente, nombre, apellido_paterno, apellido_materno, telefono1, telefono2, telefono3, email, direccion, es_principal, estado) SELECT "&amp;"(SELECT id FROM cli_clientes WHERE numero_documento = '"&amp;SUBSTITUTE(TRIM(A120),"'","''")&amp;"' AND estado = 1 LIMIT 1)"&amp;", "&amp;IF(TRIM(C120&amp;"")="","NULL","'"&amp;SUBSTITUTE(TRIM(C120),"'","''")&amp;"'")&amp;", "&amp;IF(TRIM(D120&amp;"")="","NULL","'"&amp;SUBSTITUTE(TRIM(D120),"'","''")&amp;"'")&amp;", "&amp;IF(TRIM(E120&amp;"")="","NULL","'"&amp;SUBSTITUTE(TRIM(E120),"'","''")&amp;"'")&amp;", "&amp;IF(TRIM(F120&amp;"")="","NULL","'"&amp;SUBSTITUTE(TRIM(F120),"'","''")&amp;"'")&amp;", "&amp;IF(TRIM(G120&amp;"")="","NULL","'"&amp;SUBSTITUTE(TRIM(G120),"'","''")&amp;"'")&amp;", "&amp;IF(TRIM(H120&amp;"")="","NULL","'"&amp;SUBSTITUTE(TRIM(H120),"'","''")&amp;"'")&amp;", "&amp;IF(TRIM(I120&amp;"")="","NULL","'"&amp;SUBSTITUTE(TRIM(I120),"'","''")&amp;"'")&amp;", "&amp;IF(TRIM(J120&amp;"")="","NULL","'"&amp;SUBSTITUTE(TRIM(J120),"'","''")&amp;"'")&amp;", "&amp;IF(UPPER(TRIM(K120&amp;""))="SI","TRUE","FALSE")&amp;", 1"&amp;" WHERE NOT EXISTS (SELECT 1 FROM cli_contacto c WHERE c.id_cliente = "&amp;"(SELECT id FROM cli_clientes WHERE numero_documento = '"&amp;SUBSTITUTE(TRIM(A120),"'","''")&amp;"' AND estado = 1 LIMIT 1)"&amp;" AND upper(c.nombre) = upper("&amp;IF(TRIM(C120&amp;"")="","NULL","'"&amp;SUBSTITUTE(TRIM(C120),"'","''")&amp;"'")&amp;") AND coalesce(c.telefono1,'') = coalesce("&amp;IF(TRIM(F120&amp;"")="","NULL","'"&amp;SUBSTITUTE(TRIM(F120),"'","''")&amp;"'")&amp;",''));")</f>
        <v/>
      </c>
    </row>
    <row r="121" ht="15.75" customHeight="1" s="64">
      <c r="A121" s="23" t="n"/>
      <c r="B121" s="25">
        <f t="array" ref="B121">IF(A121="","",IFERROR(IF(INDEX(Clientes!$D$5:$D$549,MATCH(A121,Clientes!$C$5:$C$549,0))&lt;&gt;"",INDEX(Clientes!$D$5:$D$549,MATCH(A121,Clientes!$C$5:$C$549,0)),TRIM(INDEX(Clientes!$E$5:$E$549,MATCH(A121,Clientes!$C$5:$C$549,0))&amp;" "&amp;INDEX(Clientes!$F$5:$F$549,MATCH(A121,Clientes!$C$5:$C$549,0)))),"NO EXISTE en Clientes"))</f>
        <v/>
      </c>
      <c r="C121" s="17" t="n"/>
      <c r="D121" s="17" t="n"/>
      <c r="E121" s="17" t="n"/>
      <c r="F121" s="23" t="n"/>
      <c r="G121" s="23" t="n"/>
      <c r="H121" s="23" t="n"/>
      <c r="I121" s="17" t="n"/>
      <c r="J121" s="17" t="n"/>
      <c r="K121" s="17" t="n"/>
      <c r="L121" s="17">
        <f>IF(AND(A121="",C121=""),"",IF(A121="","FALTA doc. cliente",IF(B121="NO EXISTE en Clientes","CLIENTE no está en hoja Clientes",IF(C121="","FALTA nombre",IF(AND(K121="SI",COUNTIFS($A$5:$A$499,A121,$K$5:$K$499,"SI")&gt;1),"Más de un contacto principal para este cliente","OK")))))</f>
        <v/>
      </c>
      <c r="M121" s="28">
        <f>IF(L121&lt;&gt;"OK","","INSERT INTO cli_contacto (id_cliente, nombre, apellido_paterno, apellido_materno, telefono1, telefono2, telefono3, email, direccion, es_principal, estado) SELECT "&amp;"(SELECT id FROM cli_clientes WHERE numero_documento = '"&amp;SUBSTITUTE(TRIM(A121),"'","''")&amp;"' AND estado = 1 LIMIT 1)"&amp;", "&amp;IF(TRIM(C121&amp;"")="","NULL","'"&amp;SUBSTITUTE(TRIM(C121),"'","''")&amp;"'")&amp;", "&amp;IF(TRIM(D121&amp;"")="","NULL","'"&amp;SUBSTITUTE(TRIM(D121),"'","''")&amp;"'")&amp;", "&amp;IF(TRIM(E121&amp;"")="","NULL","'"&amp;SUBSTITUTE(TRIM(E121),"'","''")&amp;"'")&amp;", "&amp;IF(TRIM(F121&amp;"")="","NULL","'"&amp;SUBSTITUTE(TRIM(F121),"'","''")&amp;"'")&amp;", "&amp;IF(TRIM(G121&amp;"")="","NULL","'"&amp;SUBSTITUTE(TRIM(G121),"'","''")&amp;"'")&amp;", "&amp;IF(TRIM(H121&amp;"")="","NULL","'"&amp;SUBSTITUTE(TRIM(H121),"'","''")&amp;"'")&amp;", "&amp;IF(TRIM(I121&amp;"")="","NULL","'"&amp;SUBSTITUTE(TRIM(I121),"'","''")&amp;"'")&amp;", "&amp;IF(TRIM(J121&amp;"")="","NULL","'"&amp;SUBSTITUTE(TRIM(J121),"'","''")&amp;"'")&amp;", "&amp;IF(UPPER(TRIM(K121&amp;""))="SI","TRUE","FALSE")&amp;", 1"&amp;" WHERE NOT EXISTS (SELECT 1 FROM cli_contacto c WHERE c.id_cliente = "&amp;"(SELECT id FROM cli_clientes WHERE numero_documento = '"&amp;SUBSTITUTE(TRIM(A121),"'","''")&amp;"' AND estado = 1 LIMIT 1)"&amp;" AND upper(c.nombre) = upper("&amp;IF(TRIM(C121&amp;"")="","NULL","'"&amp;SUBSTITUTE(TRIM(C121),"'","''")&amp;"'")&amp;") AND coalesce(c.telefono1,'') = coalesce("&amp;IF(TRIM(F121&amp;"")="","NULL","'"&amp;SUBSTITUTE(TRIM(F121),"'","''")&amp;"'")&amp;",''));")</f>
        <v/>
      </c>
    </row>
    <row r="122" ht="15.75" customHeight="1" s="64">
      <c r="A122" s="23" t="n"/>
      <c r="B122" s="25">
        <f t="array" ref="B122">IF(A122="","",IFERROR(IF(INDEX(Clientes!$D$5:$D$549,MATCH(A122,Clientes!$C$5:$C$549,0))&lt;&gt;"",INDEX(Clientes!$D$5:$D$549,MATCH(A122,Clientes!$C$5:$C$549,0)),TRIM(INDEX(Clientes!$E$5:$E$549,MATCH(A122,Clientes!$C$5:$C$549,0))&amp;" "&amp;INDEX(Clientes!$F$5:$F$549,MATCH(A122,Clientes!$C$5:$C$549,0)))),"NO EXISTE en Clientes"))</f>
        <v/>
      </c>
      <c r="C122" s="17" t="n"/>
      <c r="D122" s="17" t="n"/>
      <c r="E122" s="17" t="n"/>
      <c r="F122" s="23" t="n"/>
      <c r="G122" s="23" t="n"/>
      <c r="H122" s="23" t="n"/>
      <c r="I122" s="17" t="n"/>
      <c r="J122" s="17" t="n"/>
      <c r="K122" s="17" t="n"/>
      <c r="L122" s="17">
        <f>IF(AND(A122="",C122=""),"",IF(A122="","FALTA doc. cliente",IF(B122="NO EXISTE en Clientes","CLIENTE no está en hoja Clientes",IF(C122="","FALTA nombre",IF(AND(K122="SI",COUNTIFS($A$5:$A$499,A122,$K$5:$K$499,"SI")&gt;1),"Más de un contacto principal para este cliente","OK")))))</f>
        <v/>
      </c>
      <c r="M122" s="28">
        <f>IF(L122&lt;&gt;"OK","","INSERT INTO cli_contacto (id_cliente, nombre, apellido_paterno, apellido_materno, telefono1, telefono2, telefono3, email, direccion, es_principal, estado) SELECT "&amp;"(SELECT id FROM cli_clientes WHERE numero_documento = '"&amp;SUBSTITUTE(TRIM(A122),"'","''")&amp;"' AND estado = 1 LIMIT 1)"&amp;", "&amp;IF(TRIM(C122&amp;"")="","NULL","'"&amp;SUBSTITUTE(TRIM(C122),"'","''")&amp;"'")&amp;", "&amp;IF(TRIM(D122&amp;"")="","NULL","'"&amp;SUBSTITUTE(TRIM(D122),"'","''")&amp;"'")&amp;", "&amp;IF(TRIM(E122&amp;"")="","NULL","'"&amp;SUBSTITUTE(TRIM(E122),"'","''")&amp;"'")&amp;", "&amp;IF(TRIM(F122&amp;"")="","NULL","'"&amp;SUBSTITUTE(TRIM(F122),"'","''")&amp;"'")&amp;", "&amp;IF(TRIM(G122&amp;"")="","NULL","'"&amp;SUBSTITUTE(TRIM(G122),"'","''")&amp;"'")&amp;", "&amp;IF(TRIM(H122&amp;"")="","NULL","'"&amp;SUBSTITUTE(TRIM(H122),"'","''")&amp;"'")&amp;", "&amp;IF(TRIM(I122&amp;"")="","NULL","'"&amp;SUBSTITUTE(TRIM(I122),"'","''")&amp;"'")&amp;", "&amp;IF(TRIM(J122&amp;"")="","NULL","'"&amp;SUBSTITUTE(TRIM(J122),"'","''")&amp;"'")&amp;", "&amp;IF(UPPER(TRIM(K122&amp;""))="SI","TRUE","FALSE")&amp;", 1"&amp;" WHERE NOT EXISTS (SELECT 1 FROM cli_contacto c WHERE c.id_cliente = "&amp;"(SELECT id FROM cli_clientes WHERE numero_documento = '"&amp;SUBSTITUTE(TRIM(A122),"'","''")&amp;"' AND estado = 1 LIMIT 1)"&amp;" AND upper(c.nombre) = upper("&amp;IF(TRIM(C122&amp;"")="","NULL","'"&amp;SUBSTITUTE(TRIM(C122),"'","''")&amp;"'")&amp;") AND coalesce(c.telefono1,'') = coalesce("&amp;IF(TRIM(F122&amp;"")="","NULL","'"&amp;SUBSTITUTE(TRIM(F122),"'","''")&amp;"'")&amp;",''));")</f>
        <v/>
      </c>
    </row>
    <row r="123" ht="15.75" customHeight="1" s="64">
      <c r="A123" s="23" t="n"/>
      <c r="B123" s="25">
        <f t="array" ref="B123">IF(A123="","",IFERROR(IF(INDEX(Clientes!$D$5:$D$549,MATCH(A123,Clientes!$C$5:$C$549,0))&lt;&gt;"",INDEX(Clientes!$D$5:$D$549,MATCH(A123,Clientes!$C$5:$C$549,0)),TRIM(INDEX(Clientes!$E$5:$E$549,MATCH(A123,Clientes!$C$5:$C$549,0))&amp;" "&amp;INDEX(Clientes!$F$5:$F$549,MATCH(A123,Clientes!$C$5:$C$549,0)))),"NO EXISTE en Clientes"))</f>
        <v/>
      </c>
      <c r="C123" s="17" t="n"/>
      <c r="D123" s="17" t="n"/>
      <c r="E123" s="17" t="n"/>
      <c r="F123" s="23" t="n"/>
      <c r="G123" s="23" t="n"/>
      <c r="H123" s="23" t="n"/>
      <c r="I123" s="17" t="n"/>
      <c r="J123" s="17" t="n"/>
      <c r="K123" s="17" t="n"/>
      <c r="L123" s="17">
        <f>IF(AND(A123="",C123=""),"",IF(A123="","FALTA doc. cliente",IF(B123="NO EXISTE en Clientes","CLIENTE no está en hoja Clientes",IF(C123="","FALTA nombre",IF(AND(K123="SI",COUNTIFS($A$5:$A$499,A123,$K$5:$K$499,"SI")&gt;1),"Más de un contacto principal para este cliente","OK")))))</f>
        <v/>
      </c>
      <c r="M123" s="28">
        <f>IF(L123&lt;&gt;"OK","","INSERT INTO cli_contacto (id_cliente, nombre, apellido_paterno, apellido_materno, telefono1, telefono2, telefono3, email, direccion, es_principal, estado) SELECT "&amp;"(SELECT id FROM cli_clientes WHERE numero_documento = '"&amp;SUBSTITUTE(TRIM(A123),"'","''")&amp;"' AND estado = 1 LIMIT 1)"&amp;", "&amp;IF(TRIM(C123&amp;"")="","NULL","'"&amp;SUBSTITUTE(TRIM(C123),"'","''")&amp;"'")&amp;", "&amp;IF(TRIM(D123&amp;"")="","NULL","'"&amp;SUBSTITUTE(TRIM(D123),"'","''")&amp;"'")&amp;", "&amp;IF(TRIM(E123&amp;"")="","NULL","'"&amp;SUBSTITUTE(TRIM(E123),"'","''")&amp;"'")&amp;", "&amp;IF(TRIM(F123&amp;"")="","NULL","'"&amp;SUBSTITUTE(TRIM(F123),"'","''")&amp;"'")&amp;", "&amp;IF(TRIM(G123&amp;"")="","NULL","'"&amp;SUBSTITUTE(TRIM(G123),"'","''")&amp;"'")&amp;", "&amp;IF(TRIM(H123&amp;"")="","NULL","'"&amp;SUBSTITUTE(TRIM(H123),"'","''")&amp;"'")&amp;", "&amp;IF(TRIM(I123&amp;"")="","NULL","'"&amp;SUBSTITUTE(TRIM(I123),"'","''")&amp;"'")&amp;", "&amp;IF(TRIM(J123&amp;"")="","NULL","'"&amp;SUBSTITUTE(TRIM(J123),"'","''")&amp;"'")&amp;", "&amp;IF(UPPER(TRIM(K123&amp;""))="SI","TRUE","FALSE")&amp;", 1"&amp;" WHERE NOT EXISTS (SELECT 1 FROM cli_contacto c WHERE c.id_cliente = "&amp;"(SELECT id FROM cli_clientes WHERE numero_documento = '"&amp;SUBSTITUTE(TRIM(A123),"'","''")&amp;"' AND estado = 1 LIMIT 1)"&amp;" AND upper(c.nombre) = upper("&amp;IF(TRIM(C123&amp;"")="","NULL","'"&amp;SUBSTITUTE(TRIM(C123),"'","''")&amp;"'")&amp;") AND coalesce(c.telefono1,'') = coalesce("&amp;IF(TRIM(F123&amp;"")="","NULL","'"&amp;SUBSTITUTE(TRIM(F123),"'","''")&amp;"'")&amp;",''));")</f>
        <v/>
      </c>
    </row>
    <row r="124" ht="15.75" customHeight="1" s="64">
      <c r="A124" s="23" t="n"/>
      <c r="B124" s="25">
        <f t="array" ref="B124">IF(A124="","",IFERROR(IF(INDEX(Clientes!$D$5:$D$549,MATCH(A124,Clientes!$C$5:$C$549,0))&lt;&gt;"",INDEX(Clientes!$D$5:$D$549,MATCH(A124,Clientes!$C$5:$C$549,0)),TRIM(INDEX(Clientes!$E$5:$E$549,MATCH(A124,Clientes!$C$5:$C$549,0))&amp;" "&amp;INDEX(Clientes!$F$5:$F$549,MATCH(A124,Clientes!$C$5:$C$549,0)))),"NO EXISTE en Clientes"))</f>
        <v/>
      </c>
      <c r="C124" s="17" t="n"/>
      <c r="D124" s="17" t="n"/>
      <c r="E124" s="17" t="n"/>
      <c r="F124" s="23" t="n"/>
      <c r="G124" s="23" t="n"/>
      <c r="H124" s="23" t="n"/>
      <c r="I124" s="17" t="n"/>
      <c r="J124" s="17" t="n"/>
      <c r="K124" s="17" t="n"/>
      <c r="L124" s="17">
        <f>IF(AND(A124="",C124=""),"",IF(A124="","FALTA doc. cliente",IF(B124="NO EXISTE en Clientes","CLIENTE no está en hoja Clientes",IF(C124="","FALTA nombre",IF(AND(K124="SI",COUNTIFS($A$5:$A$499,A124,$K$5:$K$499,"SI")&gt;1),"Más de un contacto principal para este cliente","OK")))))</f>
        <v/>
      </c>
      <c r="M124" s="28">
        <f>IF(L124&lt;&gt;"OK","","INSERT INTO cli_contacto (id_cliente, nombre, apellido_paterno, apellido_materno, telefono1, telefono2, telefono3, email, direccion, es_principal, estado) SELECT "&amp;"(SELECT id FROM cli_clientes WHERE numero_documento = '"&amp;SUBSTITUTE(TRIM(A124),"'","''")&amp;"' AND estado = 1 LIMIT 1)"&amp;", "&amp;IF(TRIM(C124&amp;"")="","NULL","'"&amp;SUBSTITUTE(TRIM(C124),"'","''")&amp;"'")&amp;", "&amp;IF(TRIM(D124&amp;"")="","NULL","'"&amp;SUBSTITUTE(TRIM(D124),"'","''")&amp;"'")&amp;", "&amp;IF(TRIM(E124&amp;"")="","NULL","'"&amp;SUBSTITUTE(TRIM(E124),"'","''")&amp;"'")&amp;", "&amp;IF(TRIM(F124&amp;"")="","NULL","'"&amp;SUBSTITUTE(TRIM(F124),"'","''")&amp;"'")&amp;", "&amp;IF(TRIM(G124&amp;"")="","NULL","'"&amp;SUBSTITUTE(TRIM(G124),"'","''")&amp;"'")&amp;", "&amp;IF(TRIM(H124&amp;"")="","NULL","'"&amp;SUBSTITUTE(TRIM(H124),"'","''")&amp;"'")&amp;", "&amp;IF(TRIM(I124&amp;"")="","NULL","'"&amp;SUBSTITUTE(TRIM(I124),"'","''")&amp;"'")&amp;", "&amp;IF(TRIM(J124&amp;"")="","NULL","'"&amp;SUBSTITUTE(TRIM(J124),"'","''")&amp;"'")&amp;", "&amp;IF(UPPER(TRIM(K124&amp;""))="SI","TRUE","FALSE")&amp;", 1"&amp;" WHERE NOT EXISTS (SELECT 1 FROM cli_contacto c WHERE c.id_cliente = "&amp;"(SELECT id FROM cli_clientes WHERE numero_documento = '"&amp;SUBSTITUTE(TRIM(A124),"'","''")&amp;"' AND estado = 1 LIMIT 1)"&amp;" AND upper(c.nombre) = upper("&amp;IF(TRIM(C124&amp;"")="","NULL","'"&amp;SUBSTITUTE(TRIM(C124),"'","''")&amp;"'")&amp;") AND coalesce(c.telefono1,'') = coalesce("&amp;IF(TRIM(F124&amp;"")="","NULL","'"&amp;SUBSTITUTE(TRIM(F124),"'","''")&amp;"'")&amp;",''));")</f>
        <v/>
      </c>
    </row>
    <row r="125" ht="15.75" customHeight="1" s="64">
      <c r="A125" s="23" t="n"/>
      <c r="B125" s="25">
        <f t="array" ref="B125">IF(A125="","",IFERROR(IF(INDEX(Clientes!$D$5:$D$549,MATCH(A125,Clientes!$C$5:$C$549,0))&lt;&gt;"",INDEX(Clientes!$D$5:$D$549,MATCH(A125,Clientes!$C$5:$C$549,0)),TRIM(INDEX(Clientes!$E$5:$E$549,MATCH(A125,Clientes!$C$5:$C$549,0))&amp;" "&amp;INDEX(Clientes!$F$5:$F$549,MATCH(A125,Clientes!$C$5:$C$549,0)))),"NO EXISTE en Clientes"))</f>
        <v/>
      </c>
      <c r="C125" s="17" t="n"/>
      <c r="D125" s="17" t="n"/>
      <c r="E125" s="17" t="n"/>
      <c r="F125" s="23" t="n"/>
      <c r="G125" s="23" t="n"/>
      <c r="H125" s="23" t="n"/>
      <c r="I125" s="17" t="n"/>
      <c r="J125" s="17" t="n"/>
      <c r="K125" s="17" t="n"/>
      <c r="L125" s="17">
        <f>IF(AND(A125="",C125=""),"",IF(A125="","FALTA doc. cliente",IF(B125="NO EXISTE en Clientes","CLIENTE no está en hoja Clientes",IF(C125="","FALTA nombre",IF(AND(K125="SI",COUNTIFS($A$5:$A$499,A125,$K$5:$K$499,"SI")&gt;1),"Más de un contacto principal para este cliente","OK")))))</f>
        <v/>
      </c>
      <c r="M125" s="28">
        <f>IF(L125&lt;&gt;"OK","","INSERT INTO cli_contacto (id_cliente, nombre, apellido_paterno, apellido_materno, telefono1, telefono2, telefono3, email, direccion, es_principal, estado) SELECT "&amp;"(SELECT id FROM cli_clientes WHERE numero_documento = '"&amp;SUBSTITUTE(TRIM(A125),"'","''")&amp;"' AND estado = 1 LIMIT 1)"&amp;", "&amp;IF(TRIM(C125&amp;"")="","NULL","'"&amp;SUBSTITUTE(TRIM(C125),"'","''")&amp;"'")&amp;", "&amp;IF(TRIM(D125&amp;"")="","NULL","'"&amp;SUBSTITUTE(TRIM(D125),"'","''")&amp;"'")&amp;", "&amp;IF(TRIM(E125&amp;"")="","NULL","'"&amp;SUBSTITUTE(TRIM(E125),"'","''")&amp;"'")&amp;", "&amp;IF(TRIM(F125&amp;"")="","NULL","'"&amp;SUBSTITUTE(TRIM(F125),"'","''")&amp;"'")&amp;", "&amp;IF(TRIM(G125&amp;"")="","NULL","'"&amp;SUBSTITUTE(TRIM(G125),"'","''")&amp;"'")&amp;", "&amp;IF(TRIM(H125&amp;"")="","NULL","'"&amp;SUBSTITUTE(TRIM(H125),"'","''")&amp;"'")&amp;", "&amp;IF(TRIM(I125&amp;"")="","NULL","'"&amp;SUBSTITUTE(TRIM(I125),"'","''")&amp;"'")&amp;", "&amp;IF(TRIM(J125&amp;"")="","NULL","'"&amp;SUBSTITUTE(TRIM(J125),"'","''")&amp;"'")&amp;", "&amp;IF(UPPER(TRIM(K125&amp;""))="SI","TRUE","FALSE")&amp;", 1"&amp;" WHERE NOT EXISTS (SELECT 1 FROM cli_contacto c WHERE c.id_cliente = "&amp;"(SELECT id FROM cli_clientes WHERE numero_documento = '"&amp;SUBSTITUTE(TRIM(A125),"'","''")&amp;"' AND estado = 1 LIMIT 1)"&amp;" AND upper(c.nombre) = upper("&amp;IF(TRIM(C125&amp;"")="","NULL","'"&amp;SUBSTITUTE(TRIM(C125),"'","''")&amp;"'")&amp;") AND coalesce(c.telefono1,'') = coalesce("&amp;IF(TRIM(F125&amp;"")="","NULL","'"&amp;SUBSTITUTE(TRIM(F125),"'","''")&amp;"'")&amp;",''));")</f>
        <v/>
      </c>
    </row>
    <row r="126" ht="15.75" customHeight="1" s="64">
      <c r="A126" s="23" t="n"/>
      <c r="B126" s="25">
        <f t="array" ref="B126">IF(A126="","",IFERROR(IF(INDEX(Clientes!$D$5:$D$549,MATCH(A126,Clientes!$C$5:$C$549,0))&lt;&gt;"",INDEX(Clientes!$D$5:$D$549,MATCH(A126,Clientes!$C$5:$C$549,0)),TRIM(INDEX(Clientes!$E$5:$E$549,MATCH(A126,Clientes!$C$5:$C$549,0))&amp;" "&amp;INDEX(Clientes!$F$5:$F$549,MATCH(A126,Clientes!$C$5:$C$549,0)))),"NO EXISTE en Clientes"))</f>
        <v/>
      </c>
      <c r="C126" s="17" t="n"/>
      <c r="D126" s="17" t="n"/>
      <c r="E126" s="17" t="n"/>
      <c r="F126" s="23" t="n"/>
      <c r="G126" s="23" t="n"/>
      <c r="H126" s="23" t="n"/>
      <c r="I126" s="17" t="n"/>
      <c r="J126" s="17" t="n"/>
      <c r="K126" s="17" t="n"/>
      <c r="L126" s="17">
        <f>IF(AND(A126="",C126=""),"",IF(A126="","FALTA doc. cliente",IF(B126="NO EXISTE en Clientes","CLIENTE no está en hoja Clientes",IF(C126="","FALTA nombre",IF(AND(K126="SI",COUNTIFS($A$5:$A$499,A126,$K$5:$K$499,"SI")&gt;1),"Más de un contacto principal para este cliente","OK")))))</f>
        <v/>
      </c>
      <c r="M126" s="28">
        <f>IF(L126&lt;&gt;"OK","","INSERT INTO cli_contacto (id_cliente, nombre, apellido_paterno, apellido_materno, telefono1, telefono2, telefono3, email, direccion, es_principal, estado) SELECT "&amp;"(SELECT id FROM cli_clientes WHERE numero_documento = '"&amp;SUBSTITUTE(TRIM(A126),"'","''")&amp;"' AND estado = 1 LIMIT 1)"&amp;", "&amp;IF(TRIM(C126&amp;"")="","NULL","'"&amp;SUBSTITUTE(TRIM(C126),"'","''")&amp;"'")&amp;", "&amp;IF(TRIM(D126&amp;"")="","NULL","'"&amp;SUBSTITUTE(TRIM(D126),"'","''")&amp;"'")&amp;", "&amp;IF(TRIM(E126&amp;"")="","NULL","'"&amp;SUBSTITUTE(TRIM(E126),"'","''")&amp;"'")&amp;", "&amp;IF(TRIM(F126&amp;"")="","NULL","'"&amp;SUBSTITUTE(TRIM(F126),"'","''")&amp;"'")&amp;", "&amp;IF(TRIM(G126&amp;"")="","NULL","'"&amp;SUBSTITUTE(TRIM(G126),"'","''")&amp;"'")&amp;", "&amp;IF(TRIM(H126&amp;"")="","NULL","'"&amp;SUBSTITUTE(TRIM(H126),"'","''")&amp;"'")&amp;", "&amp;IF(TRIM(I126&amp;"")="","NULL","'"&amp;SUBSTITUTE(TRIM(I126),"'","''")&amp;"'")&amp;", "&amp;IF(TRIM(J126&amp;"")="","NULL","'"&amp;SUBSTITUTE(TRIM(J126),"'","''")&amp;"'")&amp;", "&amp;IF(UPPER(TRIM(K126&amp;""))="SI","TRUE","FALSE")&amp;", 1"&amp;" WHERE NOT EXISTS (SELECT 1 FROM cli_contacto c WHERE c.id_cliente = "&amp;"(SELECT id FROM cli_clientes WHERE numero_documento = '"&amp;SUBSTITUTE(TRIM(A126),"'","''")&amp;"' AND estado = 1 LIMIT 1)"&amp;" AND upper(c.nombre) = upper("&amp;IF(TRIM(C126&amp;"")="","NULL","'"&amp;SUBSTITUTE(TRIM(C126),"'","''")&amp;"'")&amp;") AND coalesce(c.telefono1,'') = coalesce("&amp;IF(TRIM(F126&amp;"")="","NULL","'"&amp;SUBSTITUTE(TRIM(F126),"'","''")&amp;"'")&amp;",''));")</f>
        <v/>
      </c>
    </row>
    <row r="127" ht="15.75" customHeight="1" s="64">
      <c r="A127" s="23" t="n"/>
      <c r="B127" s="25">
        <f t="array" ref="B127">IF(A127="","",IFERROR(IF(INDEX(Clientes!$D$5:$D$549,MATCH(A127,Clientes!$C$5:$C$549,0))&lt;&gt;"",INDEX(Clientes!$D$5:$D$549,MATCH(A127,Clientes!$C$5:$C$549,0)),TRIM(INDEX(Clientes!$E$5:$E$549,MATCH(A127,Clientes!$C$5:$C$549,0))&amp;" "&amp;INDEX(Clientes!$F$5:$F$549,MATCH(A127,Clientes!$C$5:$C$549,0)))),"NO EXISTE en Clientes"))</f>
        <v/>
      </c>
      <c r="C127" s="17" t="n"/>
      <c r="D127" s="17" t="n"/>
      <c r="E127" s="17" t="n"/>
      <c r="F127" s="23" t="n"/>
      <c r="G127" s="23" t="n"/>
      <c r="H127" s="23" t="n"/>
      <c r="I127" s="17" t="n"/>
      <c r="J127" s="17" t="n"/>
      <c r="K127" s="17" t="n"/>
      <c r="L127" s="17">
        <f>IF(AND(A127="",C127=""),"",IF(A127="","FALTA doc. cliente",IF(B127="NO EXISTE en Clientes","CLIENTE no está en hoja Clientes",IF(C127="","FALTA nombre",IF(AND(K127="SI",COUNTIFS($A$5:$A$499,A127,$K$5:$K$499,"SI")&gt;1),"Más de un contacto principal para este cliente","OK")))))</f>
        <v/>
      </c>
      <c r="M127" s="28">
        <f>IF(L127&lt;&gt;"OK","","INSERT INTO cli_contacto (id_cliente, nombre, apellido_paterno, apellido_materno, telefono1, telefono2, telefono3, email, direccion, es_principal, estado) SELECT "&amp;"(SELECT id FROM cli_clientes WHERE numero_documento = '"&amp;SUBSTITUTE(TRIM(A127),"'","''")&amp;"' AND estado = 1 LIMIT 1)"&amp;", "&amp;IF(TRIM(C127&amp;"")="","NULL","'"&amp;SUBSTITUTE(TRIM(C127),"'","''")&amp;"'")&amp;", "&amp;IF(TRIM(D127&amp;"")="","NULL","'"&amp;SUBSTITUTE(TRIM(D127),"'","''")&amp;"'")&amp;", "&amp;IF(TRIM(E127&amp;"")="","NULL","'"&amp;SUBSTITUTE(TRIM(E127),"'","''")&amp;"'")&amp;", "&amp;IF(TRIM(F127&amp;"")="","NULL","'"&amp;SUBSTITUTE(TRIM(F127),"'","''")&amp;"'")&amp;", "&amp;IF(TRIM(G127&amp;"")="","NULL","'"&amp;SUBSTITUTE(TRIM(G127),"'","''")&amp;"'")&amp;", "&amp;IF(TRIM(H127&amp;"")="","NULL","'"&amp;SUBSTITUTE(TRIM(H127),"'","''")&amp;"'")&amp;", "&amp;IF(TRIM(I127&amp;"")="","NULL","'"&amp;SUBSTITUTE(TRIM(I127),"'","''")&amp;"'")&amp;", "&amp;IF(TRIM(J127&amp;"")="","NULL","'"&amp;SUBSTITUTE(TRIM(J127),"'","''")&amp;"'")&amp;", "&amp;IF(UPPER(TRIM(K127&amp;""))="SI","TRUE","FALSE")&amp;", 1"&amp;" WHERE NOT EXISTS (SELECT 1 FROM cli_contacto c WHERE c.id_cliente = "&amp;"(SELECT id FROM cli_clientes WHERE numero_documento = '"&amp;SUBSTITUTE(TRIM(A127),"'","''")&amp;"' AND estado = 1 LIMIT 1)"&amp;" AND upper(c.nombre) = upper("&amp;IF(TRIM(C127&amp;"")="","NULL","'"&amp;SUBSTITUTE(TRIM(C127),"'","''")&amp;"'")&amp;") AND coalesce(c.telefono1,'') = coalesce("&amp;IF(TRIM(F127&amp;"")="","NULL","'"&amp;SUBSTITUTE(TRIM(F127),"'","''")&amp;"'")&amp;",''));")</f>
        <v/>
      </c>
    </row>
    <row r="128" ht="15.75" customHeight="1" s="64">
      <c r="A128" s="23" t="n"/>
      <c r="B128" s="25">
        <f t="array" ref="B128">IF(A128="","",IFERROR(IF(INDEX(Clientes!$D$5:$D$549,MATCH(A128,Clientes!$C$5:$C$549,0))&lt;&gt;"",INDEX(Clientes!$D$5:$D$549,MATCH(A128,Clientes!$C$5:$C$549,0)),TRIM(INDEX(Clientes!$E$5:$E$549,MATCH(A128,Clientes!$C$5:$C$549,0))&amp;" "&amp;INDEX(Clientes!$F$5:$F$549,MATCH(A128,Clientes!$C$5:$C$549,0)))),"NO EXISTE en Clientes"))</f>
        <v/>
      </c>
      <c r="C128" s="17" t="n"/>
      <c r="D128" s="17" t="n"/>
      <c r="E128" s="17" t="n"/>
      <c r="F128" s="23" t="n"/>
      <c r="G128" s="23" t="n"/>
      <c r="H128" s="23" t="n"/>
      <c r="I128" s="17" t="n"/>
      <c r="J128" s="17" t="n"/>
      <c r="K128" s="17" t="n"/>
      <c r="L128" s="17">
        <f>IF(AND(A128="",C128=""),"",IF(A128="","FALTA doc. cliente",IF(B128="NO EXISTE en Clientes","CLIENTE no está en hoja Clientes",IF(C128="","FALTA nombre",IF(AND(K128="SI",COUNTIFS($A$5:$A$499,A128,$K$5:$K$499,"SI")&gt;1),"Más de un contacto principal para este cliente","OK")))))</f>
        <v/>
      </c>
      <c r="M128" s="28">
        <f>IF(L128&lt;&gt;"OK","","INSERT INTO cli_contacto (id_cliente, nombre, apellido_paterno, apellido_materno, telefono1, telefono2, telefono3, email, direccion, es_principal, estado) SELECT "&amp;"(SELECT id FROM cli_clientes WHERE numero_documento = '"&amp;SUBSTITUTE(TRIM(A128),"'","''")&amp;"' AND estado = 1 LIMIT 1)"&amp;", "&amp;IF(TRIM(C128&amp;"")="","NULL","'"&amp;SUBSTITUTE(TRIM(C128),"'","''")&amp;"'")&amp;", "&amp;IF(TRIM(D128&amp;"")="","NULL","'"&amp;SUBSTITUTE(TRIM(D128),"'","''")&amp;"'")&amp;", "&amp;IF(TRIM(E128&amp;"")="","NULL","'"&amp;SUBSTITUTE(TRIM(E128),"'","''")&amp;"'")&amp;", "&amp;IF(TRIM(F128&amp;"")="","NULL","'"&amp;SUBSTITUTE(TRIM(F128),"'","''")&amp;"'")&amp;", "&amp;IF(TRIM(G128&amp;"")="","NULL","'"&amp;SUBSTITUTE(TRIM(G128),"'","''")&amp;"'")&amp;", "&amp;IF(TRIM(H128&amp;"")="","NULL","'"&amp;SUBSTITUTE(TRIM(H128),"'","''")&amp;"'")&amp;", "&amp;IF(TRIM(I128&amp;"")="","NULL","'"&amp;SUBSTITUTE(TRIM(I128),"'","''")&amp;"'")&amp;", "&amp;IF(TRIM(J128&amp;"")="","NULL","'"&amp;SUBSTITUTE(TRIM(J128),"'","''")&amp;"'")&amp;", "&amp;IF(UPPER(TRIM(K128&amp;""))="SI","TRUE","FALSE")&amp;", 1"&amp;" WHERE NOT EXISTS (SELECT 1 FROM cli_contacto c WHERE c.id_cliente = "&amp;"(SELECT id FROM cli_clientes WHERE numero_documento = '"&amp;SUBSTITUTE(TRIM(A128),"'","''")&amp;"' AND estado = 1 LIMIT 1)"&amp;" AND upper(c.nombre) = upper("&amp;IF(TRIM(C128&amp;"")="","NULL","'"&amp;SUBSTITUTE(TRIM(C128),"'","''")&amp;"'")&amp;") AND coalesce(c.telefono1,'') = coalesce("&amp;IF(TRIM(F128&amp;"")="","NULL","'"&amp;SUBSTITUTE(TRIM(F128),"'","''")&amp;"'")&amp;",''));")</f>
        <v/>
      </c>
    </row>
    <row r="129" ht="15.75" customHeight="1" s="64">
      <c r="A129" s="23" t="n"/>
      <c r="B129" s="25">
        <f t="array" ref="B129">IF(A129="","",IFERROR(IF(INDEX(Clientes!$D$5:$D$549,MATCH(A129,Clientes!$C$5:$C$549,0))&lt;&gt;"",INDEX(Clientes!$D$5:$D$549,MATCH(A129,Clientes!$C$5:$C$549,0)),TRIM(INDEX(Clientes!$E$5:$E$549,MATCH(A129,Clientes!$C$5:$C$549,0))&amp;" "&amp;INDEX(Clientes!$F$5:$F$549,MATCH(A129,Clientes!$C$5:$C$549,0)))),"NO EXISTE en Clientes"))</f>
        <v/>
      </c>
      <c r="C129" s="17" t="n"/>
      <c r="D129" s="17" t="n"/>
      <c r="E129" s="17" t="n"/>
      <c r="F129" s="23" t="n"/>
      <c r="G129" s="23" t="n"/>
      <c r="H129" s="23" t="n"/>
      <c r="I129" s="17" t="n"/>
      <c r="J129" s="17" t="n"/>
      <c r="K129" s="17" t="n"/>
      <c r="L129" s="17">
        <f>IF(AND(A129="",C129=""),"",IF(A129="","FALTA doc. cliente",IF(B129="NO EXISTE en Clientes","CLIENTE no está en hoja Clientes",IF(C129="","FALTA nombre",IF(AND(K129="SI",COUNTIFS($A$5:$A$499,A129,$K$5:$K$499,"SI")&gt;1),"Más de un contacto principal para este cliente","OK")))))</f>
        <v/>
      </c>
      <c r="M129" s="28">
        <f>IF(L129&lt;&gt;"OK","","INSERT INTO cli_contacto (id_cliente, nombre, apellido_paterno, apellido_materno, telefono1, telefono2, telefono3, email, direccion, es_principal, estado) SELECT "&amp;"(SELECT id FROM cli_clientes WHERE numero_documento = '"&amp;SUBSTITUTE(TRIM(A129),"'","''")&amp;"' AND estado = 1 LIMIT 1)"&amp;", "&amp;IF(TRIM(C129&amp;"")="","NULL","'"&amp;SUBSTITUTE(TRIM(C129),"'","''")&amp;"'")&amp;", "&amp;IF(TRIM(D129&amp;"")="","NULL","'"&amp;SUBSTITUTE(TRIM(D129),"'","''")&amp;"'")&amp;", "&amp;IF(TRIM(E129&amp;"")="","NULL","'"&amp;SUBSTITUTE(TRIM(E129),"'","''")&amp;"'")&amp;", "&amp;IF(TRIM(F129&amp;"")="","NULL","'"&amp;SUBSTITUTE(TRIM(F129),"'","''")&amp;"'")&amp;", "&amp;IF(TRIM(G129&amp;"")="","NULL","'"&amp;SUBSTITUTE(TRIM(G129),"'","''")&amp;"'")&amp;", "&amp;IF(TRIM(H129&amp;"")="","NULL","'"&amp;SUBSTITUTE(TRIM(H129),"'","''")&amp;"'")&amp;", "&amp;IF(TRIM(I129&amp;"")="","NULL","'"&amp;SUBSTITUTE(TRIM(I129),"'","''")&amp;"'")&amp;", "&amp;IF(TRIM(J129&amp;"")="","NULL","'"&amp;SUBSTITUTE(TRIM(J129),"'","''")&amp;"'")&amp;", "&amp;IF(UPPER(TRIM(K129&amp;""))="SI","TRUE","FALSE")&amp;", 1"&amp;" WHERE NOT EXISTS (SELECT 1 FROM cli_contacto c WHERE c.id_cliente = "&amp;"(SELECT id FROM cli_clientes WHERE numero_documento = '"&amp;SUBSTITUTE(TRIM(A129),"'","''")&amp;"' AND estado = 1 LIMIT 1)"&amp;" AND upper(c.nombre) = upper("&amp;IF(TRIM(C129&amp;"")="","NULL","'"&amp;SUBSTITUTE(TRIM(C129),"'","''")&amp;"'")&amp;") AND coalesce(c.telefono1,'') = coalesce("&amp;IF(TRIM(F129&amp;"")="","NULL","'"&amp;SUBSTITUTE(TRIM(F129),"'","''")&amp;"'")&amp;",''));")</f>
        <v/>
      </c>
    </row>
    <row r="130" ht="15.75" customHeight="1" s="64">
      <c r="A130" s="23" t="n"/>
      <c r="B130" s="25">
        <f t="array" ref="B130">IF(A130="","",IFERROR(IF(INDEX(Clientes!$D$5:$D$549,MATCH(A130,Clientes!$C$5:$C$549,0))&lt;&gt;"",INDEX(Clientes!$D$5:$D$549,MATCH(A130,Clientes!$C$5:$C$549,0)),TRIM(INDEX(Clientes!$E$5:$E$549,MATCH(A130,Clientes!$C$5:$C$549,0))&amp;" "&amp;INDEX(Clientes!$F$5:$F$549,MATCH(A130,Clientes!$C$5:$C$549,0)))),"NO EXISTE en Clientes"))</f>
        <v/>
      </c>
      <c r="C130" s="17" t="n"/>
      <c r="D130" s="17" t="n"/>
      <c r="E130" s="17" t="n"/>
      <c r="F130" s="23" t="n"/>
      <c r="G130" s="23" t="n"/>
      <c r="H130" s="23" t="n"/>
      <c r="I130" s="17" t="n"/>
      <c r="J130" s="17" t="n"/>
      <c r="K130" s="17" t="n"/>
      <c r="L130" s="17">
        <f>IF(AND(A130="",C130=""),"",IF(A130="","FALTA doc. cliente",IF(B130="NO EXISTE en Clientes","CLIENTE no está en hoja Clientes",IF(C130="","FALTA nombre",IF(AND(K130="SI",COUNTIFS($A$5:$A$499,A130,$K$5:$K$499,"SI")&gt;1),"Más de un contacto principal para este cliente","OK")))))</f>
        <v/>
      </c>
      <c r="M130" s="28">
        <f>IF(L130&lt;&gt;"OK","","INSERT INTO cli_contacto (id_cliente, nombre, apellido_paterno, apellido_materno, telefono1, telefono2, telefono3, email, direccion, es_principal, estado) SELECT "&amp;"(SELECT id FROM cli_clientes WHERE numero_documento = '"&amp;SUBSTITUTE(TRIM(A130),"'","''")&amp;"' AND estado = 1 LIMIT 1)"&amp;", "&amp;IF(TRIM(C130&amp;"")="","NULL","'"&amp;SUBSTITUTE(TRIM(C130),"'","''")&amp;"'")&amp;", "&amp;IF(TRIM(D130&amp;"")="","NULL","'"&amp;SUBSTITUTE(TRIM(D130),"'","''")&amp;"'")&amp;", "&amp;IF(TRIM(E130&amp;"")="","NULL","'"&amp;SUBSTITUTE(TRIM(E130),"'","''")&amp;"'")&amp;", "&amp;IF(TRIM(F130&amp;"")="","NULL","'"&amp;SUBSTITUTE(TRIM(F130),"'","''")&amp;"'")&amp;", "&amp;IF(TRIM(G130&amp;"")="","NULL","'"&amp;SUBSTITUTE(TRIM(G130),"'","''")&amp;"'")&amp;", "&amp;IF(TRIM(H130&amp;"")="","NULL","'"&amp;SUBSTITUTE(TRIM(H130),"'","''")&amp;"'")&amp;", "&amp;IF(TRIM(I130&amp;"")="","NULL","'"&amp;SUBSTITUTE(TRIM(I130),"'","''")&amp;"'")&amp;", "&amp;IF(TRIM(J130&amp;"")="","NULL","'"&amp;SUBSTITUTE(TRIM(J130),"'","''")&amp;"'")&amp;", "&amp;IF(UPPER(TRIM(K130&amp;""))="SI","TRUE","FALSE")&amp;", 1"&amp;" WHERE NOT EXISTS (SELECT 1 FROM cli_contacto c WHERE c.id_cliente = "&amp;"(SELECT id FROM cli_clientes WHERE numero_documento = '"&amp;SUBSTITUTE(TRIM(A130),"'","''")&amp;"' AND estado = 1 LIMIT 1)"&amp;" AND upper(c.nombre) = upper("&amp;IF(TRIM(C130&amp;"")="","NULL","'"&amp;SUBSTITUTE(TRIM(C130),"'","''")&amp;"'")&amp;") AND coalesce(c.telefono1,'') = coalesce("&amp;IF(TRIM(F130&amp;"")="","NULL","'"&amp;SUBSTITUTE(TRIM(F130),"'","''")&amp;"'")&amp;",''));")</f>
        <v/>
      </c>
    </row>
    <row r="131" ht="15.75" customHeight="1" s="64">
      <c r="A131" s="23" t="n"/>
      <c r="B131" s="25">
        <f t="array" ref="B131">IF(A131="","",IFERROR(IF(INDEX(Clientes!$D$5:$D$549,MATCH(A131,Clientes!$C$5:$C$549,0))&lt;&gt;"",INDEX(Clientes!$D$5:$D$549,MATCH(A131,Clientes!$C$5:$C$549,0)),TRIM(INDEX(Clientes!$E$5:$E$549,MATCH(A131,Clientes!$C$5:$C$549,0))&amp;" "&amp;INDEX(Clientes!$F$5:$F$549,MATCH(A131,Clientes!$C$5:$C$549,0)))),"NO EXISTE en Clientes"))</f>
        <v/>
      </c>
      <c r="C131" s="17" t="n"/>
      <c r="D131" s="17" t="n"/>
      <c r="E131" s="17" t="n"/>
      <c r="F131" s="23" t="n"/>
      <c r="G131" s="23" t="n"/>
      <c r="H131" s="23" t="n"/>
      <c r="I131" s="17" t="n"/>
      <c r="J131" s="17" t="n"/>
      <c r="K131" s="17" t="n"/>
      <c r="L131" s="17">
        <f>IF(AND(A131="",C131=""),"",IF(A131="","FALTA doc. cliente",IF(B131="NO EXISTE en Clientes","CLIENTE no está en hoja Clientes",IF(C131="","FALTA nombre",IF(AND(K131="SI",COUNTIFS($A$5:$A$499,A131,$K$5:$K$499,"SI")&gt;1),"Más de un contacto principal para este cliente","OK")))))</f>
        <v/>
      </c>
      <c r="M131" s="28">
        <f>IF(L131&lt;&gt;"OK","","INSERT INTO cli_contacto (id_cliente, nombre, apellido_paterno, apellido_materno, telefono1, telefono2, telefono3, email, direccion, es_principal, estado) SELECT "&amp;"(SELECT id FROM cli_clientes WHERE numero_documento = '"&amp;SUBSTITUTE(TRIM(A131),"'","''")&amp;"' AND estado = 1 LIMIT 1)"&amp;", "&amp;IF(TRIM(C131&amp;"")="","NULL","'"&amp;SUBSTITUTE(TRIM(C131),"'","''")&amp;"'")&amp;", "&amp;IF(TRIM(D131&amp;"")="","NULL","'"&amp;SUBSTITUTE(TRIM(D131),"'","''")&amp;"'")&amp;", "&amp;IF(TRIM(E131&amp;"")="","NULL","'"&amp;SUBSTITUTE(TRIM(E131),"'","''")&amp;"'")&amp;", "&amp;IF(TRIM(F131&amp;"")="","NULL","'"&amp;SUBSTITUTE(TRIM(F131),"'","''")&amp;"'")&amp;", "&amp;IF(TRIM(G131&amp;"")="","NULL","'"&amp;SUBSTITUTE(TRIM(G131),"'","''")&amp;"'")&amp;", "&amp;IF(TRIM(H131&amp;"")="","NULL","'"&amp;SUBSTITUTE(TRIM(H131),"'","''")&amp;"'")&amp;", "&amp;IF(TRIM(I131&amp;"")="","NULL","'"&amp;SUBSTITUTE(TRIM(I131),"'","''")&amp;"'")&amp;", "&amp;IF(TRIM(J131&amp;"")="","NULL","'"&amp;SUBSTITUTE(TRIM(J131),"'","''")&amp;"'")&amp;", "&amp;IF(UPPER(TRIM(K131&amp;""))="SI","TRUE","FALSE")&amp;", 1"&amp;" WHERE NOT EXISTS (SELECT 1 FROM cli_contacto c WHERE c.id_cliente = "&amp;"(SELECT id FROM cli_clientes WHERE numero_documento = '"&amp;SUBSTITUTE(TRIM(A131),"'","''")&amp;"' AND estado = 1 LIMIT 1)"&amp;" AND upper(c.nombre) = upper("&amp;IF(TRIM(C131&amp;"")="","NULL","'"&amp;SUBSTITUTE(TRIM(C131),"'","''")&amp;"'")&amp;") AND coalesce(c.telefono1,'') = coalesce("&amp;IF(TRIM(F131&amp;"")="","NULL","'"&amp;SUBSTITUTE(TRIM(F131),"'","''")&amp;"'")&amp;",''));")</f>
        <v/>
      </c>
    </row>
    <row r="132" ht="15.75" customHeight="1" s="64">
      <c r="A132" s="23" t="n"/>
      <c r="B132" s="25">
        <f t="array" ref="B132">IF(A132="","",IFERROR(IF(INDEX(Clientes!$D$5:$D$549,MATCH(A132,Clientes!$C$5:$C$549,0))&lt;&gt;"",INDEX(Clientes!$D$5:$D$549,MATCH(A132,Clientes!$C$5:$C$549,0)),TRIM(INDEX(Clientes!$E$5:$E$549,MATCH(A132,Clientes!$C$5:$C$549,0))&amp;" "&amp;INDEX(Clientes!$F$5:$F$549,MATCH(A132,Clientes!$C$5:$C$549,0)))),"NO EXISTE en Clientes"))</f>
        <v/>
      </c>
      <c r="C132" s="17" t="n"/>
      <c r="D132" s="17" t="n"/>
      <c r="E132" s="17" t="n"/>
      <c r="F132" s="23" t="n"/>
      <c r="G132" s="23" t="n"/>
      <c r="H132" s="23" t="n"/>
      <c r="I132" s="17" t="n"/>
      <c r="J132" s="17" t="n"/>
      <c r="K132" s="17" t="n"/>
      <c r="L132" s="17">
        <f>IF(AND(A132="",C132=""),"",IF(A132="","FALTA doc. cliente",IF(B132="NO EXISTE en Clientes","CLIENTE no está en hoja Clientes",IF(C132="","FALTA nombre",IF(AND(K132="SI",COUNTIFS($A$5:$A$499,A132,$K$5:$K$499,"SI")&gt;1),"Más de un contacto principal para este cliente","OK")))))</f>
        <v/>
      </c>
      <c r="M132" s="28">
        <f>IF(L132&lt;&gt;"OK","","INSERT INTO cli_contacto (id_cliente, nombre, apellido_paterno, apellido_materno, telefono1, telefono2, telefono3, email, direccion, es_principal, estado) SELECT "&amp;"(SELECT id FROM cli_clientes WHERE numero_documento = '"&amp;SUBSTITUTE(TRIM(A132),"'","''")&amp;"' AND estado = 1 LIMIT 1)"&amp;", "&amp;IF(TRIM(C132&amp;"")="","NULL","'"&amp;SUBSTITUTE(TRIM(C132),"'","''")&amp;"'")&amp;", "&amp;IF(TRIM(D132&amp;"")="","NULL","'"&amp;SUBSTITUTE(TRIM(D132),"'","''")&amp;"'")&amp;", "&amp;IF(TRIM(E132&amp;"")="","NULL","'"&amp;SUBSTITUTE(TRIM(E132),"'","''")&amp;"'")&amp;", "&amp;IF(TRIM(F132&amp;"")="","NULL","'"&amp;SUBSTITUTE(TRIM(F132),"'","''")&amp;"'")&amp;", "&amp;IF(TRIM(G132&amp;"")="","NULL","'"&amp;SUBSTITUTE(TRIM(G132),"'","''")&amp;"'")&amp;", "&amp;IF(TRIM(H132&amp;"")="","NULL","'"&amp;SUBSTITUTE(TRIM(H132),"'","''")&amp;"'")&amp;", "&amp;IF(TRIM(I132&amp;"")="","NULL","'"&amp;SUBSTITUTE(TRIM(I132),"'","''")&amp;"'")&amp;", "&amp;IF(TRIM(J132&amp;"")="","NULL","'"&amp;SUBSTITUTE(TRIM(J132),"'","''")&amp;"'")&amp;", "&amp;IF(UPPER(TRIM(K132&amp;""))="SI","TRUE","FALSE")&amp;", 1"&amp;" WHERE NOT EXISTS (SELECT 1 FROM cli_contacto c WHERE c.id_cliente = "&amp;"(SELECT id FROM cli_clientes WHERE numero_documento = '"&amp;SUBSTITUTE(TRIM(A132),"'","''")&amp;"' AND estado = 1 LIMIT 1)"&amp;" AND upper(c.nombre) = upper("&amp;IF(TRIM(C132&amp;"")="","NULL","'"&amp;SUBSTITUTE(TRIM(C132),"'","''")&amp;"'")&amp;") AND coalesce(c.telefono1,'') = coalesce("&amp;IF(TRIM(F132&amp;"")="","NULL","'"&amp;SUBSTITUTE(TRIM(F132),"'","''")&amp;"'")&amp;",''));")</f>
        <v/>
      </c>
    </row>
    <row r="133" ht="15.75" customHeight="1" s="64">
      <c r="A133" s="23" t="n"/>
      <c r="B133" s="25">
        <f t="array" ref="B133">IF(A133="","",IFERROR(IF(INDEX(Clientes!$D$5:$D$549,MATCH(A133,Clientes!$C$5:$C$549,0))&lt;&gt;"",INDEX(Clientes!$D$5:$D$549,MATCH(A133,Clientes!$C$5:$C$549,0)),TRIM(INDEX(Clientes!$E$5:$E$549,MATCH(A133,Clientes!$C$5:$C$549,0))&amp;" "&amp;INDEX(Clientes!$F$5:$F$549,MATCH(A133,Clientes!$C$5:$C$549,0)))),"NO EXISTE en Clientes"))</f>
        <v/>
      </c>
      <c r="C133" s="17" t="n"/>
      <c r="D133" s="17" t="n"/>
      <c r="E133" s="17" t="n"/>
      <c r="F133" s="23" t="n"/>
      <c r="G133" s="23" t="n"/>
      <c r="H133" s="23" t="n"/>
      <c r="I133" s="17" t="n"/>
      <c r="J133" s="17" t="n"/>
      <c r="K133" s="17" t="n"/>
      <c r="L133" s="17">
        <f>IF(AND(A133="",C133=""),"",IF(A133="","FALTA doc. cliente",IF(B133="NO EXISTE en Clientes","CLIENTE no está en hoja Clientes",IF(C133="","FALTA nombre",IF(AND(K133="SI",COUNTIFS($A$5:$A$499,A133,$K$5:$K$499,"SI")&gt;1),"Más de un contacto principal para este cliente","OK")))))</f>
        <v/>
      </c>
      <c r="M133" s="28">
        <f>IF(L133&lt;&gt;"OK","","INSERT INTO cli_contacto (id_cliente, nombre, apellido_paterno, apellido_materno, telefono1, telefono2, telefono3, email, direccion, es_principal, estado) SELECT "&amp;"(SELECT id FROM cli_clientes WHERE numero_documento = '"&amp;SUBSTITUTE(TRIM(A133),"'","''")&amp;"' AND estado = 1 LIMIT 1)"&amp;", "&amp;IF(TRIM(C133&amp;"")="","NULL","'"&amp;SUBSTITUTE(TRIM(C133),"'","''")&amp;"'")&amp;", "&amp;IF(TRIM(D133&amp;"")="","NULL","'"&amp;SUBSTITUTE(TRIM(D133),"'","''")&amp;"'")&amp;", "&amp;IF(TRIM(E133&amp;"")="","NULL","'"&amp;SUBSTITUTE(TRIM(E133),"'","''")&amp;"'")&amp;", "&amp;IF(TRIM(F133&amp;"")="","NULL","'"&amp;SUBSTITUTE(TRIM(F133),"'","''")&amp;"'")&amp;", "&amp;IF(TRIM(G133&amp;"")="","NULL","'"&amp;SUBSTITUTE(TRIM(G133),"'","''")&amp;"'")&amp;", "&amp;IF(TRIM(H133&amp;"")="","NULL","'"&amp;SUBSTITUTE(TRIM(H133),"'","''")&amp;"'")&amp;", "&amp;IF(TRIM(I133&amp;"")="","NULL","'"&amp;SUBSTITUTE(TRIM(I133),"'","''")&amp;"'")&amp;", "&amp;IF(TRIM(J133&amp;"")="","NULL","'"&amp;SUBSTITUTE(TRIM(J133),"'","''")&amp;"'")&amp;", "&amp;IF(UPPER(TRIM(K133&amp;""))="SI","TRUE","FALSE")&amp;", 1"&amp;" WHERE NOT EXISTS (SELECT 1 FROM cli_contacto c WHERE c.id_cliente = "&amp;"(SELECT id FROM cli_clientes WHERE numero_documento = '"&amp;SUBSTITUTE(TRIM(A133),"'","''")&amp;"' AND estado = 1 LIMIT 1)"&amp;" AND upper(c.nombre) = upper("&amp;IF(TRIM(C133&amp;"")="","NULL","'"&amp;SUBSTITUTE(TRIM(C133),"'","''")&amp;"'")&amp;") AND coalesce(c.telefono1,'') = coalesce("&amp;IF(TRIM(F133&amp;"")="","NULL","'"&amp;SUBSTITUTE(TRIM(F133),"'","''")&amp;"'")&amp;",''));")</f>
        <v/>
      </c>
    </row>
    <row r="134" ht="15.75" customHeight="1" s="64">
      <c r="A134" s="23" t="n"/>
      <c r="B134" s="25">
        <f t="array" ref="B134">IF(A134="","",IFERROR(IF(INDEX(Clientes!$D$5:$D$549,MATCH(A134,Clientes!$C$5:$C$549,0))&lt;&gt;"",INDEX(Clientes!$D$5:$D$549,MATCH(A134,Clientes!$C$5:$C$549,0)),TRIM(INDEX(Clientes!$E$5:$E$549,MATCH(A134,Clientes!$C$5:$C$549,0))&amp;" "&amp;INDEX(Clientes!$F$5:$F$549,MATCH(A134,Clientes!$C$5:$C$549,0)))),"NO EXISTE en Clientes"))</f>
        <v/>
      </c>
      <c r="C134" s="17" t="n"/>
      <c r="D134" s="17" t="n"/>
      <c r="E134" s="17" t="n"/>
      <c r="F134" s="23" t="n"/>
      <c r="G134" s="23" t="n"/>
      <c r="H134" s="23" t="n"/>
      <c r="I134" s="17" t="n"/>
      <c r="J134" s="17" t="n"/>
      <c r="K134" s="17" t="n"/>
      <c r="L134" s="17">
        <f>IF(AND(A134="",C134=""),"",IF(A134="","FALTA doc. cliente",IF(B134="NO EXISTE en Clientes","CLIENTE no está en hoja Clientes",IF(C134="","FALTA nombre",IF(AND(K134="SI",COUNTIFS($A$5:$A$499,A134,$K$5:$K$499,"SI")&gt;1),"Más de un contacto principal para este cliente","OK")))))</f>
        <v/>
      </c>
      <c r="M134" s="28">
        <f>IF(L134&lt;&gt;"OK","","INSERT INTO cli_contacto (id_cliente, nombre, apellido_paterno, apellido_materno, telefono1, telefono2, telefono3, email, direccion, es_principal, estado) SELECT "&amp;"(SELECT id FROM cli_clientes WHERE numero_documento = '"&amp;SUBSTITUTE(TRIM(A134),"'","''")&amp;"' AND estado = 1 LIMIT 1)"&amp;", "&amp;IF(TRIM(C134&amp;"")="","NULL","'"&amp;SUBSTITUTE(TRIM(C134),"'","''")&amp;"'")&amp;", "&amp;IF(TRIM(D134&amp;"")="","NULL","'"&amp;SUBSTITUTE(TRIM(D134),"'","''")&amp;"'")&amp;", "&amp;IF(TRIM(E134&amp;"")="","NULL","'"&amp;SUBSTITUTE(TRIM(E134),"'","''")&amp;"'")&amp;", "&amp;IF(TRIM(F134&amp;"")="","NULL","'"&amp;SUBSTITUTE(TRIM(F134),"'","''")&amp;"'")&amp;", "&amp;IF(TRIM(G134&amp;"")="","NULL","'"&amp;SUBSTITUTE(TRIM(G134),"'","''")&amp;"'")&amp;", "&amp;IF(TRIM(H134&amp;"")="","NULL","'"&amp;SUBSTITUTE(TRIM(H134),"'","''")&amp;"'")&amp;", "&amp;IF(TRIM(I134&amp;"")="","NULL","'"&amp;SUBSTITUTE(TRIM(I134),"'","''")&amp;"'")&amp;", "&amp;IF(TRIM(J134&amp;"")="","NULL","'"&amp;SUBSTITUTE(TRIM(J134),"'","''")&amp;"'")&amp;", "&amp;IF(UPPER(TRIM(K134&amp;""))="SI","TRUE","FALSE")&amp;", 1"&amp;" WHERE NOT EXISTS (SELECT 1 FROM cli_contacto c WHERE c.id_cliente = "&amp;"(SELECT id FROM cli_clientes WHERE numero_documento = '"&amp;SUBSTITUTE(TRIM(A134),"'","''")&amp;"' AND estado = 1 LIMIT 1)"&amp;" AND upper(c.nombre) = upper("&amp;IF(TRIM(C134&amp;"")="","NULL","'"&amp;SUBSTITUTE(TRIM(C134),"'","''")&amp;"'")&amp;") AND coalesce(c.telefono1,'') = coalesce("&amp;IF(TRIM(F134&amp;"")="","NULL","'"&amp;SUBSTITUTE(TRIM(F134),"'","''")&amp;"'")&amp;",''));")</f>
        <v/>
      </c>
    </row>
    <row r="135" ht="15.75" customHeight="1" s="64">
      <c r="A135" s="23" t="n"/>
      <c r="B135" s="25">
        <f t="array" ref="B135">IF(A135="","",IFERROR(IF(INDEX(Clientes!$D$5:$D$549,MATCH(A135,Clientes!$C$5:$C$549,0))&lt;&gt;"",INDEX(Clientes!$D$5:$D$549,MATCH(A135,Clientes!$C$5:$C$549,0)),TRIM(INDEX(Clientes!$E$5:$E$549,MATCH(A135,Clientes!$C$5:$C$549,0))&amp;" "&amp;INDEX(Clientes!$F$5:$F$549,MATCH(A135,Clientes!$C$5:$C$549,0)))),"NO EXISTE en Clientes"))</f>
        <v/>
      </c>
      <c r="C135" s="17" t="n"/>
      <c r="D135" s="17" t="n"/>
      <c r="E135" s="17" t="n"/>
      <c r="F135" s="23" t="n"/>
      <c r="G135" s="23" t="n"/>
      <c r="H135" s="23" t="n"/>
      <c r="I135" s="17" t="n"/>
      <c r="J135" s="17" t="n"/>
      <c r="K135" s="17" t="n"/>
      <c r="L135" s="17">
        <f>IF(AND(A135="",C135=""),"",IF(A135="","FALTA doc. cliente",IF(B135="NO EXISTE en Clientes","CLIENTE no está en hoja Clientes",IF(C135="","FALTA nombre",IF(AND(K135="SI",COUNTIFS($A$5:$A$499,A135,$K$5:$K$499,"SI")&gt;1),"Más de un contacto principal para este cliente","OK")))))</f>
        <v/>
      </c>
      <c r="M135" s="28">
        <f>IF(L135&lt;&gt;"OK","","INSERT INTO cli_contacto (id_cliente, nombre, apellido_paterno, apellido_materno, telefono1, telefono2, telefono3, email, direccion, es_principal, estado) SELECT "&amp;"(SELECT id FROM cli_clientes WHERE numero_documento = '"&amp;SUBSTITUTE(TRIM(A135),"'","''")&amp;"' AND estado = 1 LIMIT 1)"&amp;", "&amp;IF(TRIM(C135&amp;"")="","NULL","'"&amp;SUBSTITUTE(TRIM(C135),"'","''")&amp;"'")&amp;", "&amp;IF(TRIM(D135&amp;"")="","NULL","'"&amp;SUBSTITUTE(TRIM(D135),"'","''")&amp;"'")&amp;", "&amp;IF(TRIM(E135&amp;"")="","NULL","'"&amp;SUBSTITUTE(TRIM(E135),"'","''")&amp;"'")&amp;", "&amp;IF(TRIM(F135&amp;"")="","NULL","'"&amp;SUBSTITUTE(TRIM(F135),"'","''")&amp;"'")&amp;", "&amp;IF(TRIM(G135&amp;"")="","NULL","'"&amp;SUBSTITUTE(TRIM(G135),"'","''")&amp;"'")&amp;", "&amp;IF(TRIM(H135&amp;"")="","NULL","'"&amp;SUBSTITUTE(TRIM(H135),"'","''")&amp;"'")&amp;", "&amp;IF(TRIM(I135&amp;"")="","NULL","'"&amp;SUBSTITUTE(TRIM(I135),"'","''")&amp;"'")&amp;", "&amp;IF(TRIM(J135&amp;"")="","NULL","'"&amp;SUBSTITUTE(TRIM(J135),"'","''")&amp;"'")&amp;", "&amp;IF(UPPER(TRIM(K135&amp;""))="SI","TRUE","FALSE")&amp;", 1"&amp;" WHERE NOT EXISTS (SELECT 1 FROM cli_contacto c WHERE c.id_cliente = "&amp;"(SELECT id FROM cli_clientes WHERE numero_documento = '"&amp;SUBSTITUTE(TRIM(A135),"'","''")&amp;"' AND estado = 1 LIMIT 1)"&amp;" AND upper(c.nombre) = upper("&amp;IF(TRIM(C135&amp;"")="","NULL","'"&amp;SUBSTITUTE(TRIM(C135),"'","''")&amp;"'")&amp;") AND coalesce(c.telefono1,'') = coalesce("&amp;IF(TRIM(F135&amp;"")="","NULL","'"&amp;SUBSTITUTE(TRIM(F135),"'","''")&amp;"'")&amp;",''));")</f>
        <v/>
      </c>
    </row>
    <row r="136" ht="15.75" customHeight="1" s="64">
      <c r="A136" s="23" t="n"/>
      <c r="B136" s="25">
        <f t="array" ref="B136">IF(A136="","",IFERROR(IF(INDEX(Clientes!$D$5:$D$549,MATCH(A136,Clientes!$C$5:$C$549,0))&lt;&gt;"",INDEX(Clientes!$D$5:$D$549,MATCH(A136,Clientes!$C$5:$C$549,0)),TRIM(INDEX(Clientes!$E$5:$E$549,MATCH(A136,Clientes!$C$5:$C$549,0))&amp;" "&amp;INDEX(Clientes!$F$5:$F$549,MATCH(A136,Clientes!$C$5:$C$549,0)))),"NO EXISTE en Clientes"))</f>
        <v/>
      </c>
      <c r="C136" s="17" t="n"/>
      <c r="D136" s="17" t="n"/>
      <c r="E136" s="17" t="n"/>
      <c r="F136" s="23" t="n"/>
      <c r="G136" s="23" t="n"/>
      <c r="H136" s="23" t="n"/>
      <c r="I136" s="17" t="n"/>
      <c r="J136" s="17" t="n"/>
      <c r="K136" s="17" t="n"/>
      <c r="L136" s="17">
        <f>IF(AND(A136="",C136=""),"",IF(A136="","FALTA doc. cliente",IF(B136="NO EXISTE en Clientes","CLIENTE no está en hoja Clientes",IF(C136="","FALTA nombre",IF(AND(K136="SI",COUNTIFS($A$5:$A$499,A136,$K$5:$K$499,"SI")&gt;1),"Más de un contacto principal para este cliente","OK")))))</f>
        <v/>
      </c>
      <c r="M136" s="28">
        <f>IF(L136&lt;&gt;"OK","","INSERT INTO cli_contacto (id_cliente, nombre, apellido_paterno, apellido_materno, telefono1, telefono2, telefono3, email, direccion, es_principal, estado) SELECT "&amp;"(SELECT id FROM cli_clientes WHERE numero_documento = '"&amp;SUBSTITUTE(TRIM(A136),"'","''")&amp;"' AND estado = 1 LIMIT 1)"&amp;", "&amp;IF(TRIM(C136&amp;"")="","NULL","'"&amp;SUBSTITUTE(TRIM(C136),"'","''")&amp;"'")&amp;", "&amp;IF(TRIM(D136&amp;"")="","NULL","'"&amp;SUBSTITUTE(TRIM(D136),"'","''")&amp;"'")&amp;", "&amp;IF(TRIM(E136&amp;"")="","NULL","'"&amp;SUBSTITUTE(TRIM(E136),"'","''")&amp;"'")&amp;", "&amp;IF(TRIM(F136&amp;"")="","NULL","'"&amp;SUBSTITUTE(TRIM(F136),"'","''")&amp;"'")&amp;", "&amp;IF(TRIM(G136&amp;"")="","NULL","'"&amp;SUBSTITUTE(TRIM(G136),"'","''")&amp;"'")&amp;", "&amp;IF(TRIM(H136&amp;"")="","NULL","'"&amp;SUBSTITUTE(TRIM(H136),"'","''")&amp;"'")&amp;", "&amp;IF(TRIM(I136&amp;"")="","NULL","'"&amp;SUBSTITUTE(TRIM(I136),"'","''")&amp;"'")&amp;", "&amp;IF(TRIM(J136&amp;"")="","NULL","'"&amp;SUBSTITUTE(TRIM(J136),"'","''")&amp;"'")&amp;", "&amp;IF(UPPER(TRIM(K136&amp;""))="SI","TRUE","FALSE")&amp;", 1"&amp;" WHERE NOT EXISTS (SELECT 1 FROM cli_contacto c WHERE c.id_cliente = "&amp;"(SELECT id FROM cli_clientes WHERE numero_documento = '"&amp;SUBSTITUTE(TRIM(A136),"'","''")&amp;"' AND estado = 1 LIMIT 1)"&amp;" AND upper(c.nombre) = upper("&amp;IF(TRIM(C136&amp;"")="","NULL","'"&amp;SUBSTITUTE(TRIM(C136),"'","''")&amp;"'")&amp;") AND coalesce(c.telefono1,'') = coalesce("&amp;IF(TRIM(F136&amp;"")="","NULL","'"&amp;SUBSTITUTE(TRIM(F136),"'","''")&amp;"'")&amp;",''));")</f>
        <v/>
      </c>
    </row>
    <row r="137" ht="15.75" customHeight="1" s="64">
      <c r="A137" s="23" t="n"/>
      <c r="B137" s="25">
        <f t="array" ref="B137">IF(A137="","",IFERROR(IF(INDEX(Clientes!$D$5:$D$549,MATCH(A137,Clientes!$C$5:$C$549,0))&lt;&gt;"",INDEX(Clientes!$D$5:$D$549,MATCH(A137,Clientes!$C$5:$C$549,0)),TRIM(INDEX(Clientes!$E$5:$E$549,MATCH(A137,Clientes!$C$5:$C$549,0))&amp;" "&amp;INDEX(Clientes!$F$5:$F$549,MATCH(A137,Clientes!$C$5:$C$549,0)))),"NO EXISTE en Clientes"))</f>
        <v/>
      </c>
      <c r="C137" s="17" t="n"/>
      <c r="D137" s="17" t="n"/>
      <c r="E137" s="17" t="n"/>
      <c r="F137" s="23" t="n"/>
      <c r="G137" s="23" t="n"/>
      <c r="H137" s="23" t="n"/>
      <c r="I137" s="17" t="n"/>
      <c r="J137" s="17" t="n"/>
      <c r="K137" s="17" t="n"/>
      <c r="L137" s="17">
        <f>IF(AND(A137="",C137=""),"",IF(A137="","FALTA doc. cliente",IF(B137="NO EXISTE en Clientes","CLIENTE no está en hoja Clientes",IF(C137="","FALTA nombre",IF(AND(K137="SI",COUNTIFS($A$5:$A$499,A137,$K$5:$K$499,"SI")&gt;1),"Más de un contacto principal para este cliente","OK")))))</f>
        <v/>
      </c>
      <c r="M137" s="28">
        <f>IF(L137&lt;&gt;"OK","","INSERT INTO cli_contacto (id_cliente, nombre, apellido_paterno, apellido_materno, telefono1, telefono2, telefono3, email, direccion, es_principal, estado) SELECT "&amp;"(SELECT id FROM cli_clientes WHERE numero_documento = '"&amp;SUBSTITUTE(TRIM(A137),"'","''")&amp;"' AND estado = 1 LIMIT 1)"&amp;", "&amp;IF(TRIM(C137&amp;"")="","NULL","'"&amp;SUBSTITUTE(TRIM(C137),"'","''")&amp;"'")&amp;", "&amp;IF(TRIM(D137&amp;"")="","NULL","'"&amp;SUBSTITUTE(TRIM(D137),"'","''")&amp;"'")&amp;", "&amp;IF(TRIM(E137&amp;"")="","NULL","'"&amp;SUBSTITUTE(TRIM(E137),"'","''")&amp;"'")&amp;", "&amp;IF(TRIM(F137&amp;"")="","NULL","'"&amp;SUBSTITUTE(TRIM(F137),"'","''")&amp;"'")&amp;", "&amp;IF(TRIM(G137&amp;"")="","NULL","'"&amp;SUBSTITUTE(TRIM(G137),"'","''")&amp;"'")&amp;", "&amp;IF(TRIM(H137&amp;"")="","NULL","'"&amp;SUBSTITUTE(TRIM(H137),"'","''")&amp;"'")&amp;", "&amp;IF(TRIM(I137&amp;"")="","NULL","'"&amp;SUBSTITUTE(TRIM(I137),"'","''")&amp;"'")&amp;", "&amp;IF(TRIM(J137&amp;"")="","NULL","'"&amp;SUBSTITUTE(TRIM(J137),"'","''")&amp;"'")&amp;", "&amp;IF(UPPER(TRIM(K137&amp;""))="SI","TRUE","FALSE")&amp;", 1"&amp;" WHERE NOT EXISTS (SELECT 1 FROM cli_contacto c WHERE c.id_cliente = "&amp;"(SELECT id FROM cli_clientes WHERE numero_documento = '"&amp;SUBSTITUTE(TRIM(A137),"'","''")&amp;"' AND estado = 1 LIMIT 1)"&amp;" AND upper(c.nombre) = upper("&amp;IF(TRIM(C137&amp;"")="","NULL","'"&amp;SUBSTITUTE(TRIM(C137),"'","''")&amp;"'")&amp;") AND coalesce(c.telefono1,'') = coalesce("&amp;IF(TRIM(F137&amp;"")="","NULL","'"&amp;SUBSTITUTE(TRIM(F137),"'","''")&amp;"'")&amp;",''));")</f>
        <v/>
      </c>
    </row>
    <row r="138" ht="15.75" customHeight="1" s="64">
      <c r="A138" s="23" t="n"/>
      <c r="B138" s="25">
        <f t="array" ref="B138">IF(A138="","",IFERROR(IF(INDEX(Clientes!$D$5:$D$549,MATCH(A138,Clientes!$C$5:$C$549,0))&lt;&gt;"",INDEX(Clientes!$D$5:$D$549,MATCH(A138,Clientes!$C$5:$C$549,0)),TRIM(INDEX(Clientes!$E$5:$E$549,MATCH(A138,Clientes!$C$5:$C$549,0))&amp;" "&amp;INDEX(Clientes!$F$5:$F$549,MATCH(A138,Clientes!$C$5:$C$549,0)))),"NO EXISTE en Clientes"))</f>
        <v/>
      </c>
      <c r="C138" s="17" t="n"/>
      <c r="D138" s="17" t="n"/>
      <c r="E138" s="17" t="n"/>
      <c r="F138" s="23" t="n"/>
      <c r="G138" s="23" t="n"/>
      <c r="H138" s="23" t="n"/>
      <c r="I138" s="17" t="n"/>
      <c r="J138" s="17" t="n"/>
      <c r="K138" s="17" t="n"/>
      <c r="L138" s="17">
        <f>IF(AND(A138="",C138=""),"",IF(A138="","FALTA doc. cliente",IF(B138="NO EXISTE en Clientes","CLIENTE no está en hoja Clientes",IF(C138="","FALTA nombre",IF(AND(K138="SI",COUNTIFS($A$5:$A$499,A138,$K$5:$K$499,"SI")&gt;1),"Más de un contacto principal para este cliente","OK")))))</f>
        <v/>
      </c>
      <c r="M138" s="28">
        <f>IF(L138&lt;&gt;"OK","","INSERT INTO cli_contacto (id_cliente, nombre, apellido_paterno, apellido_materno, telefono1, telefono2, telefono3, email, direccion, es_principal, estado) SELECT "&amp;"(SELECT id FROM cli_clientes WHERE numero_documento = '"&amp;SUBSTITUTE(TRIM(A138),"'","''")&amp;"' AND estado = 1 LIMIT 1)"&amp;", "&amp;IF(TRIM(C138&amp;"")="","NULL","'"&amp;SUBSTITUTE(TRIM(C138),"'","''")&amp;"'")&amp;", "&amp;IF(TRIM(D138&amp;"")="","NULL","'"&amp;SUBSTITUTE(TRIM(D138),"'","''")&amp;"'")&amp;", "&amp;IF(TRIM(E138&amp;"")="","NULL","'"&amp;SUBSTITUTE(TRIM(E138),"'","''")&amp;"'")&amp;", "&amp;IF(TRIM(F138&amp;"")="","NULL","'"&amp;SUBSTITUTE(TRIM(F138),"'","''")&amp;"'")&amp;", "&amp;IF(TRIM(G138&amp;"")="","NULL","'"&amp;SUBSTITUTE(TRIM(G138),"'","''")&amp;"'")&amp;", "&amp;IF(TRIM(H138&amp;"")="","NULL","'"&amp;SUBSTITUTE(TRIM(H138),"'","''")&amp;"'")&amp;", "&amp;IF(TRIM(I138&amp;"")="","NULL","'"&amp;SUBSTITUTE(TRIM(I138),"'","''")&amp;"'")&amp;", "&amp;IF(TRIM(J138&amp;"")="","NULL","'"&amp;SUBSTITUTE(TRIM(J138),"'","''")&amp;"'")&amp;", "&amp;IF(UPPER(TRIM(K138&amp;""))="SI","TRUE","FALSE")&amp;", 1"&amp;" WHERE NOT EXISTS (SELECT 1 FROM cli_contacto c WHERE c.id_cliente = "&amp;"(SELECT id FROM cli_clientes WHERE numero_documento = '"&amp;SUBSTITUTE(TRIM(A138),"'","''")&amp;"' AND estado = 1 LIMIT 1)"&amp;" AND upper(c.nombre) = upper("&amp;IF(TRIM(C138&amp;"")="","NULL","'"&amp;SUBSTITUTE(TRIM(C138),"'","''")&amp;"'")&amp;") AND coalesce(c.telefono1,'') = coalesce("&amp;IF(TRIM(F138&amp;"")="","NULL","'"&amp;SUBSTITUTE(TRIM(F138),"'","''")&amp;"'")&amp;",''));")</f>
        <v/>
      </c>
    </row>
    <row r="139" ht="15.75" customHeight="1" s="64">
      <c r="A139" s="23" t="n"/>
      <c r="B139" s="25">
        <f t="array" ref="B139">IF(A139="","",IFERROR(IF(INDEX(Clientes!$D$5:$D$549,MATCH(A139,Clientes!$C$5:$C$549,0))&lt;&gt;"",INDEX(Clientes!$D$5:$D$549,MATCH(A139,Clientes!$C$5:$C$549,0)),TRIM(INDEX(Clientes!$E$5:$E$549,MATCH(A139,Clientes!$C$5:$C$549,0))&amp;" "&amp;INDEX(Clientes!$F$5:$F$549,MATCH(A139,Clientes!$C$5:$C$549,0)))),"NO EXISTE en Clientes"))</f>
        <v/>
      </c>
      <c r="C139" s="17" t="n"/>
      <c r="D139" s="17" t="n"/>
      <c r="E139" s="17" t="n"/>
      <c r="F139" s="23" t="n"/>
      <c r="G139" s="23" t="n"/>
      <c r="H139" s="23" t="n"/>
      <c r="I139" s="17" t="n"/>
      <c r="J139" s="17" t="n"/>
      <c r="K139" s="17" t="n"/>
      <c r="L139" s="17">
        <f>IF(AND(A139="",C139=""),"",IF(A139="","FALTA doc. cliente",IF(B139="NO EXISTE en Clientes","CLIENTE no está en hoja Clientes",IF(C139="","FALTA nombre",IF(AND(K139="SI",COUNTIFS($A$5:$A$499,A139,$K$5:$K$499,"SI")&gt;1),"Más de un contacto principal para este cliente","OK")))))</f>
        <v/>
      </c>
      <c r="M139" s="28">
        <f>IF(L139&lt;&gt;"OK","","INSERT INTO cli_contacto (id_cliente, nombre, apellido_paterno, apellido_materno, telefono1, telefono2, telefono3, email, direccion, es_principal, estado) SELECT "&amp;"(SELECT id FROM cli_clientes WHERE numero_documento = '"&amp;SUBSTITUTE(TRIM(A139),"'","''")&amp;"' AND estado = 1 LIMIT 1)"&amp;", "&amp;IF(TRIM(C139&amp;"")="","NULL","'"&amp;SUBSTITUTE(TRIM(C139),"'","''")&amp;"'")&amp;", "&amp;IF(TRIM(D139&amp;"")="","NULL","'"&amp;SUBSTITUTE(TRIM(D139),"'","''")&amp;"'")&amp;", "&amp;IF(TRIM(E139&amp;"")="","NULL","'"&amp;SUBSTITUTE(TRIM(E139),"'","''")&amp;"'")&amp;", "&amp;IF(TRIM(F139&amp;"")="","NULL","'"&amp;SUBSTITUTE(TRIM(F139),"'","''")&amp;"'")&amp;", "&amp;IF(TRIM(G139&amp;"")="","NULL","'"&amp;SUBSTITUTE(TRIM(G139),"'","''")&amp;"'")&amp;", "&amp;IF(TRIM(H139&amp;"")="","NULL","'"&amp;SUBSTITUTE(TRIM(H139),"'","''")&amp;"'")&amp;", "&amp;IF(TRIM(I139&amp;"")="","NULL","'"&amp;SUBSTITUTE(TRIM(I139),"'","''")&amp;"'")&amp;", "&amp;IF(TRIM(J139&amp;"")="","NULL","'"&amp;SUBSTITUTE(TRIM(J139),"'","''")&amp;"'")&amp;", "&amp;IF(UPPER(TRIM(K139&amp;""))="SI","TRUE","FALSE")&amp;", 1"&amp;" WHERE NOT EXISTS (SELECT 1 FROM cli_contacto c WHERE c.id_cliente = "&amp;"(SELECT id FROM cli_clientes WHERE numero_documento = '"&amp;SUBSTITUTE(TRIM(A139),"'","''")&amp;"' AND estado = 1 LIMIT 1)"&amp;" AND upper(c.nombre) = upper("&amp;IF(TRIM(C139&amp;"")="","NULL","'"&amp;SUBSTITUTE(TRIM(C139),"'","''")&amp;"'")&amp;") AND coalesce(c.telefono1,'') = coalesce("&amp;IF(TRIM(F139&amp;"")="","NULL","'"&amp;SUBSTITUTE(TRIM(F139),"'","''")&amp;"'")&amp;",''));")</f>
        <v/>
      </c>
    </row>
    <row r="140" ht="15.75" customHeight="1" s="64">
      <c r="A140" s="23" t="n"/>
      <c r="B140" s="25">
        <f t="array" ref="B140">IF(A140="","",IFERROR(IF(INDEX(Clientes!$D$5:$D$549,MATCH(A140,Clientes!$C$5:$C$549,0))&lt;&gt;"",INDEX(Clientes!$D$5:$D$549,MATCH(A140,Clientes!$C$5:$C$549,0)),TRIM(INDEX(Clientes!$E$5:$E$549,MATCH(A140,Clientes!$C$5:$C$549,0))&amp;" "&amp;INDEX(Clientes!$F$5:$F$549,MATCH(A140,Clientes!$C$5:$C$549,0)))),"NO EXISTE en Clientes"))</f>
        <v/>
      </c>
      <c r="C140" s="17" t="n"/>
      <c r="D140" s="17" t="n"/>
      <c r="E140" s="17" t="n"/>
      <c r="F140" s="23" t="n"/>
      <c r="G140" s="23" t="n"/>
      <c r="H140" s="23" t="n"/>
      <c r="I140" s="17" t="n"/>
      <c r="J140" s="17" t="n"/>
      <c r="K140" s="17" t="n"/>
      <c r="L140" s="17">
        <f>IF(AND(A140="",C140=""),"",IF(A140="","FALTA doc. cliente",IF(B140="NO EXISTE en Clientes","CLIENTE no está en hoja Clientes",IF(C140="","FALTA nombre",IF(AND(K140="SI",COUNTIFS($A$5:$A$499,A140,$K$5:$K$499,"SI")&gt;1),"Más de un contacto principal para este cliente","OK")))))</f>
        <v/>
      </c>
      <c r="M140" s="28">
        <f>IF(L140&lt;&gt;"OK","","INSERT INTO cli_contacto (id_cliente, nombre, apellido_paterno, apellido_materno, telefono1, telefono2, telefono3, email, direccion, es_principal, estado) SELECT "&amp;"(SELECT id FROM cli_clientes WHERE numero_documento = '"&amp;SUBSTITUTE(TRIM(A140),"'","''")&amp;"' AND estado = 1 LIMIT 1)"&amp;", "&amp;IF(TRIM(C140&amp;"")="","NULL","'"&amp;SUBSTITUTE(TRIM(C140),"'","''")&amp;"'")&amp;", "&amp;IF(TRIM(D140&amp;"")="","NULL","'"&amp;SUBSTITUTE(TRIM(D140),"'","''")&amp;"'")&amp;", "&amp;IF(TRIM(E140&amp;"")="","NULL","'"&amp;SUBSTITUTE(TRIM(E140),"'","''")&amp;"'")&amp;", "&amp;IF(TRIM(F140&amp;"")="","NULL","'"&amp;SUBSTITUTE(TRIM(F140),"'","''")&amp;"'")&amp;", "&amp;IF(TRIM(G140&amp;"")="","NULL","'"&amp;SUBSTITUTE(TRIM(G140),"'","''")&amp;"'")&amp;", "&amp;IF(TRIM(H140&amp;"")="","NULL","'"&amp;SUBSTITUTE(TRIM(H140),"'","''")&amp;"'")&amp;", "&amp;IF(TRIM(I140&amp;"")="","NULL","'"&amp;SUBSTITUTE(TRIM(I140),"'","''")&amp;"'")&amp;", "&amp;IF(TRIM(J140&amp;"")="","NULL","'"&amp;SUBSTITUTE(TRIM(J140),"'","''")&amp;"'")&amp;", "&amp;IF(UPPER(TRIM(K140&amp;""))="SI","TRUE","FALSE")&amp;", 1"&amp;" WHERE NOT EXISTS (SELECT 1 FROM cli_contacto c WHERE c.id_cliente = "&amp;"(SELECT id FROM cli_clientes WHERE numero_documento = '"&amp;SUBSTITUTE(TRIM(A140),"'","''")&amp;"' AND estado = 1 LIMIT 1)"&amp;" AND upper(c.nombre) = upper("&amp;IF(TRIM(C140&amp;"")="","NULL","'"&amp;SUBSTITUTE(TRIM(C140),"'","''")&amp;"'")&amp;") AND coalesce(c.telefono1,'') = coalesce("&amp;IF(TRIM(F140&amp;"")="","NULL","'"&amp;SUBSTITUTE(TRIM(F140),"'","''")&amp;"'")&amp;",''));")</f>
        <v/>
      </c>
    </row>
    <row r="141" ht="15.75" customHeight="1" s="64">
      <c r="A141" s="23" t="n"/>
      <c r="B141" s="25">
        <f t="array" ref="B141">IF(A141="","",IFERROR(IF(INDEX(Clientes!$D$5:$D$549,MATCH(A141,Clientes!$C$5:$C$549,0))&lt;&gt;"",INDEX(Clientes!$D$5:$D$549,MATCH(A141,Clientes!$C$5:$C$549,0)),TRIM(INDEX(Clientes!$E$5:$E$549,MATCH(A141,Clientes!$C$5:$C$549,0))&amp;" "&amp;INDEX(Clientes!$F$5:$F$549,MATCH(A141,Clientes!$C$5:$C$549,0)))),"NO EXISTE en Clientes"))</f>
        <v/>
      </c>
      <c r="C141" s="17" t="n"/>
      <c r="D141" s="17" t="n"/>
      <c r="E141" s="17" t="n"/>
      <c r="F141" s="23" t="n"/>
      <c r="G141" s="23" t="n"/>
      <c r="H141" s="23" t="n"/>
      <c r="I141" s="17" t="n"/>
      <c r="J141" s="17" t="n"/>
      <c r="K141" s="17" t="n"/>
      <c r="L141" s="17">
        <f>IF(AND(A141="",C141=""),"",IF(A141="","FALTA doc. cliente",IF(B141="NO EXISTE en Clientes","CLIENTE no está en hoja Clientes",IF(C141="","FALTA nombre",IF(AND(K141="SI",COUNTIFS($A$5:$A$499,A141,$K$5:$K$499,"SI")&gt;1),"Más de un contacto principal para este cliente","OK")))))</f>
        <v/>
      </c>
      <c r="M141" s="28">
        <f>IF(L141&lt;&gt;"OK","","INSERT INTO cli_contacto (id_cliente, nombre, apellido_paterno, apellido_materno, telefono1, telefono2, telefono3, email, direccion, es_principal, estado) SELECT "&amp;"(SELECT id FROM cli_clientes WHERE numero_documento = '"&amp;SUBSTITUTE(TRIM(A141),"'","''")&amp;"' AND estado = 1 LIMIT 1)"&amp;", "&amp;IF(TRIM(C141&amp;"")="","NULL","'"&amp;SUBSTITUTE(TRIM(C141),"'","''")&amp;"'")&amp;", "&amp;IF(TRIM(D141&amp;"")="","NULL","'"&amp;SUBSTITUTE(TRIM(D141),"'","''")&amp;"'")&amp;", "&amp;IF(TRIM(E141&amp;"")="","NULL","'"&amp;SUBSTITUTE(TRIM(E141),"'","''")&amp;"'")&amp;", "&amp;IF(TRIM(F141&amp;"")="","NULL","'"&amp;SUBSTITUTE(TRIM(F141),"'","''")&amp;"'")&amp;", "&amp;IF(TRIM(G141&amp;"")="","NULL","'"&amp;SUBSTITUTE(TRIM(G141),"'","''")&amp;"'")&amp;", "&amp;IF(TRIM(H141&amp;"")="","NULL","'"&amp;SUBSTITUTE(TRIM(H141),"'","''")&amp;"'")&amp;", "&amp;IF(TRIM(I141&amp;"")="","NULL","'"&amp;SUBSTITUTE(TRIM(I141),"'","''")&amp;"'")&amp;", "&amp;IF(TRIM(J141&amp;"")="","NULL","'"&amp;SUBSTITUTE(TRIM(J141),"'","''")&amp;"'")&amp;", "&amp;IF(UPPER(TRIM(K141&amp;""))="SI","TRUE","FALSE")&amp;", 1"&amp;" WHERE NOT EXISTS (SELECT 1 FROM cli_contacto c WHERE c.id_cliente = "&amp;"(SELECT id FROM cli_clientes WHERE numero_documento = '"&amp;SUBSTITUTE(TRIM(A141),"'","''")&amp;"' AND estado = 1 LIMIT 1)"&amp;" AND upper(c.nombre) = upper("&amp;IF(TRIM(C141&amp;"")="","NULL","'"&amp;SUBSTITUTE(TRIM(C141),"'","''")&amp;"'")&amp;") AND coalesce(c.telefono1,'') = coalesce("&amp;IF(TRIM(F141&amp;"")="","NULL","'"&amp;SUBSTITUTE(TRIM(F141),"'","''")&amp;"'")&amp;",''));")</f>
        <v/>
      </c>
    </row>
    <row r="142" ht="15.75" customHeight="1" s="64">
      <c r="A142" s="23" t="n"/>
      <c r="B142" s="25">
        <f t="array" ref="B142">IF(A142="","",IFERROR(IF(INDEX(Clientes!$D$5:$D$549,MATCH(A142,Clientes!$C$5:$C$549,0))&lt;&gt;"",INDEX(Clientes!$D$5:$D$549,MATCH(A142,Clientes!$C$5:$C$549,0)),TRIM(INDEX(Clientes!$E$5:$E$549,MATCH(A142,Clientes!$C$5:$C$549,0))&amp;" "&amp;INDEX(Clientes!$F$5:$F$549,MATCH(A142,Clientes!$C$5:$C$549,0)))),"NO EXISTE en Clientes"))</f>
        <v/>
      </c>
      <c r="C142" s="17" t="n"/>
      <c r="D142" s="17" t="n"/>
      <c r="E142" s="17" t="n"/>
      <c r="F142" s="23" t="n"/>
      <c r="G142" s="23" t="n"/>
      <c r="H142" s="23" t="n"/>
      <c r="I142" s="17" t="n"/>
      <c r="J142" s="17" t="n"/>
      <c r="K142" s="17" t="n"/>
      <c r="L142" s="17">
        <f>IF(AND(A142="",C142=""),"",IF(A142="","FALTA doc. cliente",IF(B142="NO EXISTE en Clientes","CLIENTE no está en hoja Clientes",IF(C142="","FALTA nombre",IF(AND(K142="SI",COUNTIFS($A$5:$A$499,A142,$K$5:$K$499,"SI")&gt;1),"Más de un contacto principal para este cliente","OK")))))</f>
        <v/>
      </c>
      <c r="M142" s="28">
        <f>IF(L142&lt;&gt;"OK","","INSERT INTO cli_contacto (id_cliente, nombre, apellido_paterno, apellido_materno, telefono1, telefono2, telefono3, email, direccion, es_principal, estado) SELECT "&amp;"(SELECT id FROM cli_clientes WHERE numero_documento = '"&amp;SUBSTITUTE(TRIM(A142),"'","''")&amp;"' AND estado = 1 LIMIT 1)"&amp;", "&amp;IF(TRIM(C142&amp;"")="","NULL","'"&amp;SUBSTITUTE(TRIM(C142),"'","''")&amp;"'")&amp;", "&amp;IF(TRIM(D142&amp;"")="","NULL","'"&amp;SUBSTITUTE(TRIM(D142),"'","''")&amp;"'")&amp;", "&amp;IF(TRIM(E142&amp;"")="","NULL","'"&amp;SUBSTITUTE(TRIM(E142),"'","''")&amp;"'")&amp;", "&amp;IF(TRIM(F142&amp;"")="","NULL","'"&amp;SUBSTITUTE(TRIM(F142),"'","''")&amp;"'")&amp;", "&amp;IF(TRIM(G142&amp;"")="","NULL","'"&amp;SUBSTITUTE(TRIM(G142),"'","''")&amp;"'")&amp;", "&amp;IF(TRIM(H142&amp;"")="","NULL","'"&amp;SUBSTITUTE(TRIM(H142),"'","''")&amp;"'")&amp;", "&amp;IF(TRIM(I142&amp;"")="","NULL","'"&amp;SUBSTITUTE(TRIM(I142),"'","''")&amp;"'")&amp;", "&amp;IF(TRIM(J142&amp;"")="","NULL","'"&amp;SUBSTITUTE(TRIM(J142),"'","''")&amp;"'")&amp;", "&amp;IF(UPPER(TRIM(K142&amp;""))="SI","TRUE","FALSE")&amp;", 1"&amp;" WHERE NOT EXISTS (SELECT 1 FROM cli_contacto c WHERE c.id_cliente = "&amp;"(SELECT id FROM cli_clientes WHERE numero_documento = '"&amp;SUBSTITUTE(TRIM(A142),"'","''")&amp;"' AND estado = 1 LIMIT 1)"&amp;" AND upper(c.nombre) = upper("&amp;IF(TRIM(C142&amp;"")="","NULL","'"&amp;SUBSTITUTE(TRIM(C142),"'","''")&amp;"'")&amp;") AND coalesce(c.telefono1,'') = coalesce("&amp;IF(TRIM(F142&amp;"")="","NULL","'"&amp;SUBSTITUTE(TRIM(F142),"'","''")&amp;"'")&amp;",''));")</f>
        <v/>
      </c>
    </row>
    <row r="143" ht="15.75" customHeight="1" s="64">
      <c r="A143" s="23" t="n"/>
      <c r="B143" s="25">
        <f t="array" ref="B143">IF(A143="","",IFERROR(IF(INDEX(Clientes!$D$5:$D$549,MATCH(A143,Clientes!$C$5:$C$549,0))&lt;&gt;"",INDEX(Clientes!$D$5:$D$549,MATCH(A143,Clientes!$C$5:$C$549,0)),TRIM(INDEX(Clientes!$E$5:$E$549,MATCH(A143,Clientes!$C$5:$C$549,0))&amp;" "&amp;INDEX(Clientes!$F$5:$F$549,MATCH(A143,Clientes!$C$5:$C$549,0)))),"NO EXISTE en Clientes"))</f>
        <v/>
      </c>
      <c r="C143" s="17" t="n"/>
      <c r="D143" s="17" t="n"/>
      <c r="E143" s="17" t="n"/>
      <c r="F143" s="23" t="n"/>
      <c r="G143" s="23" t="n"/>
      <c r="H143" s="23" t="n"/>
      <c r="I143" s="17" t="n"/>
      <c r="J143" s="17" t="n"/>
      <c r="K143" s="17" t="n"/>
      <c r="L143" s="17">
        <f>IF(AND(A143="",C143=""),"",IF(A143="","FALTA doc. cliente",IF(B143="NO EXISTE en Clientes","CLIENTE no está en hoja Clientes",IF(C143="","FALTA nombre",IF(AND(K143="SI",COUNTIFS($A$5:$A$499,A143,$K$5:$K$499,"SI")&gt;1),"Más de un contacto principal para este cliente","OK")))))</f>
        <v/>
      </c>
      <c r="M143" s="28">
        <f>IF(L143&lt;&gt;"OK","","INSERT INTO cli_contacto (id_cliente, nombre, apellido_paterno, apellido_materno, telefono1, telefono2, telefono3, email, direccion, es_principal, estado) SELECT "&amp;"(SELECT id FROM cli_clientes WHERE numero_documento = '"&amp;SUBSTITUTE(TRIM(A143),"'","''")&amp;"' AND estado = 1 LIMIT 1)"&amp;", "&amp;IF(TRIM(C143&amp;"")="","NULL","'"&amp;SUBSTITUTE(TRIM(C143),"'","''")&amp;"'")&amp;", "&amp;IF(TRIM(D143&amp;"")="","NULL","'"&amp;SUBSTITUTE(TRIM(D143),"'","''")&amp;"'")&amp;", "&amp;IF(TRIM(E143&amp;"")="","NULL","'"&amp;SUBSTITUTE(TRIM(E143),"'","''")&amp;"'")&amp;", "&amp;IF(TRIM(F143&amp;"")="","NULL","'"&amp;SUBSTITUTE(TRIM(F143),"'","''")&amp;"'")&amp;", "&amp;IF(TRIM(G143&amp;"")="","NULL","'"&amp;SUBSTITUTE(TRIM(G143),"'","''")&amp;"'")&amp;", "&amp;IF(TRIM(H143&amp;"")="","NULL","'"&amp;SUBSTITUTE(TRIM(H143),"'","''")&amp;"'")&amp;", "&amp;IF(TRIM(I143&amp;"")="","NULL","'"&amp;SUBSTITUTE(TRIM(I143),"'","''")&amp;"'")&amp;", "&amp;IF(TRIM(J143&amp;"")="","NULL","'"&amp;SUBSTITUTE(TRIM(J143),"'","''")&amp;"'")&amp;", "&amp;IF(UPPER(TRIM(K143&amp;""))="SI","TRUE","FALSE")&amp;", 1"&amp;" WHERE NOT EXISTS (SELECT 1 FROM cli_contacto c WHERE c.id_cliente = "&amp;"(SELECT id FROM cli_clientes WHERE numero_documento = '"&amp;SUBSTITUTE(TRIM(A143),"'","''")&amp;"' AND estado = 1 LIMIT 1)"&amp;" AND upper(c.nombre) = upper("&amp;IF(TRIM(C143&amp;"")="","NULL","'"&amp;SUBSTITUTE(TRIM(C143),"'","''")&amp;"'")&amp;") AND coalesce(c.telefono1,'') = coalesce("&amp;IF(TRIM(F143&amp;"")="","NULL","'"&amp;SUBSTITUTE(TRIM(F143),"'","''")&amp;"'")&amp;",''));")</f>
        <v/>
      </c>
    </row>
    <row r="144" ht="15.75" customHeight="1" s="64">
      <c r="A144" s="23" t="n"/>
      <c r="B144" s="25">
        <f t="array" ref="B144">IF(A144="","",IFERROR(IF(INDEX(Clientes!$D$5:$D$549,MATCH(A144,Clientes!$C$5:$C$549,0))&lt;&gt;"",INDEX(Clientes!$D$5:$D$549,MATCH(A144,Clientes!$C$5:$C$549,0)),TRIM(INDEX(Clientes!$E$5:$E$549,MATCH(A144,Clientes!$C$5:$C$549,0))&amp;" "&amp;INDEX(Clientes!$F$5:$F$549,MATCH(A144,Clientes!$C$5:$C$549,0)))),"NO EXISTE en Clientes"))</f>
        <v/>
      </c>
      <c r="C144" s="17" t="n"/>
      <c r="D144" s="17" t="n"/>
      <c r="E144" s="17" t="n"/>
      <c r="F144" s="23" t="n"/>
      <c r="G144" s="23" t="n"/>
      <c r="H144" s="23" t="n"/>
      <c r="I144" s="17" t="n"/>
      <c r="J144" s="17" t="n"/>
      <c r="K144" s="17" t="n"/>
      <c r="L144" s="17">
        <f>IF(AND(A144="",C144=""),"",IF(A144="","FALTA doc. cliente",IF(B144="NO EXISTE en Clientes","CLIENTE no está en hoja Clientes",IF(C144="","FALTA nombre",IF(AND(K144="SI",COUNTIFS($A$5:$A$499,A144,$K$5:$K$499,"SI")&gt;1),"Más de un contacto principal para este cliente","OK")))))</f>
        <v/>
      </c>
      <c r="M144" s="28">
        <f>IF(L144&lt;&gt;"OK","","INSERT INTO cli_contacto (id_cliente, nombre, apellido_paterno, apellido_materno, telefono1, telefono2, telefono3, email, direccion, es_principal, estado) SELECT "&amp;"(SELECT id FROM cli_clientes WHERE numero_documento = '"&amp;SUBSTITUTE(TRIM(A144),"'","''")&amp;"' AND estado = 1 LIMIT 1)"&amp;", "&amp;IF(TRIM(C144&amp;"")="","NULL","'"&amp;SUBSTITUTE(TRIM(C144),"'","''")&amp;"'")&amp;", "&amp;IF(TRIM(D144&amp;"")="","NULL","'"&amp;SUBSTITUTE(TRIM(D144),"'","''")&amp;"'")&amp;", "&amp;IF(TRIM(E144&amp;"")="","NULL","'"&amp;SUBSTITUTE(TRIM(E144),"'","''")&amp;"'")&amp;", "&amp;IF(TRIM(F144&amp;"")="","NULL","'"&amp;SUBSTITUTE(TRIM(F144),"'","''")&amp;"'")&amp;", "&amp;IF(TRIM(G144&amp;"")="","NULL","'"&amp;SUBSTITUTE(TRIM(G144),"'","''")&amp;"'")&amp;", "&amp;IF(TRIM(H144&amp;"")="","NULL","'"&amp;SUBSTITUTE(TRIM(H144),"'","''")&amp;"'")&amp;", "&amp;IF(TRIM(I144&amp;"")="","NULL","'"&amp;SUBSTITUTE(TRIM(I144),"'","''")&amp;"'")&amp;", "&amp;IF(TRIM(J144&amp;"")="","NULL","'"&amp;SUBSTITUTE(TRIM(J144),"'","''")&amp;"'")&amp;", "&amp;IF(UPPER(TRIM(K144&amp;""))="SI","TRUE","FALSE")&amp;", 1"&amp;" WHERE NOT EXISTS (SELECT 1 FROM cli_contacto c WHERE c.id_cliente = "&amp;"(SELECT id FROM cli_clientes WHERE numero_documento = '"&amp;SUBSTITUTE(TRIM(A144),"'","''")&amp;"' AND estado = 1 LIMIT 1)"&amp;" AND upper(c.nombre) = upper("&amp;IF(TRIM(C144&amp;"")="","NULL","'"&amp;SUBSTITUTE(TRIM(C144),"'","''")&amp;"'")&amp;") AND coalesce(c.telefono1,'') = coalesce("&amp;IF(TRIM(F144&amp;"")="","NULL","'"&amp;SUBSTITUTE(TRIM(F144),"'","''")&amp;"'")&amp;",''));")</f>
        <v/>
      </c>
    </row>
    <row r="145" ht="15.75" customHeight="1" s="64">
      <c r="A145" s="23" t="n"/>
      <c r="B145" s="25">
        <f t="array" ref="B145">IF(A145="","",IFERROR(IF(INDEX(Clientes!$D$5:$D$549,MATCH(A145,Clientes!$C$5:$C$549,0))&lt;&gt;"",INDEX(Clientes!$D$5:$D$549,MATCH(A145,Clientes!$C$5:$C$549,0)),TRIM(INDEX(Clientes!$E$5:$E$549,MATCH(A145,Clientes!$C$5:$C$549,0))&amp;" "&amp;INDEX(Clientes!$F$5:$F$549,MATCH(A145,Clientes!$C$5:$C$549,0)))),"NO EXISTE en Clientes"))</f>
        <v/>
      </c>
      <c r="C145" s="17" t="n"/>
      <c r="D145" s="17" t="n"/>
      <c r="E145" s="17" t="n"/>
      <c r="F145" s="23" t="n"/>
      <c r="G145" s="23" t="n"/>
      <c r="H145" s="23" t="n"/>
      <c r="I145" s="17" t="n"/>
      <c r="J145" s="17" t="n"/>
      <c r="K145" s="17" t="n"/>
      <c r="L145" s="17">
        <f>IF(AND(A145="",C145=""),"",IF(A145="","FALTA doc. cliente",IF(B145="NO EXISTE en Clientes","CLIENTE no está en hoja Clientes",IF(C145="","FALTA nombre",IF(AND(K145="SI",COUNTIFS($A$5:$A$499,A145,$K$5:$K$499,"SI")&gt;1),"Más de un contacto principal para este cliente","OK")))))</f>
        <v/>
      </c>
      <c r="M145" s="28">
        <f>IF(L145&lt;&gt;"OK","","INSERT INTO cli_contacto (id_cliente, nombre, apellido_paterno, apellido_materno, telefono1, telefono2, telefono3, email, direccion, es_principal, estado) SELECT "&amp;"(SELECT id FROM cli_clientes WHERE numero_documento = '"&amp;SUBSTITUTE(TRIM(A145),"'","''")&amp;"' AND estado = 1 LIMIT 1)"&amp;", "&amp;IF(TRIM(C145&amp;"")="","NULL","'"&amp;SUBSTITUTE(TRIM(C145),"'","''")&amp;"'")&amp;", "&amp;IF(TRIM(D145&amp;"")="","NULL","'"&amp;SUBSTITUTE(TRIM(D145),"'","''")&amp;"'")&amp;", "&amp;IF(TRIM(E145&amp;"")="","NULL","'"&amp;SUBSTITUTE(TRIM(E145),"'","''")&amp;"'")&amp;", "&amp;IF(TRIM(F145&amp;"")="","NULL","'"&amp;SUBSTITUTE(TRIM(F145),"'","''")&amp;"'")&amp;", "&amp;IF(TRIM(G145&amp;"")="","NULL","'"&amp;SUBSTITUTE(TRIM(G145),"'","''")&amp;"'")&amp;", "&amp;IF(TRIM(H145&amp;"")="","NULL","'"&amp;SUBSTITUTE(TRIM(H145),"'","''")&amp;"'")&amp;", "&amp;IF(TRIM(I145&amp;"")="","NULL","'"&amp;SUBSTITUTE(TRIM(I145),"'","''")&amp;"'")&amp;", "&amp;IF(TRIM(J145&amp;"")="","NULL","'"&amp;SUBSTITUTE(TRIM(J145),"'","''")&amp;"'")&amp;", "&amp;IF(UPPER(TRIM(K145&amp;""))="SI","TRUE","FALSE")&amp;", 1"&amp;" WHERE NOT EXISTS (SELECT 1 FROM cli_contacto c WHERE c.id_cliente = "&amp;"(SELECT id FROM cli_clientes WHERE numero_documento = '"&amp;SUBSTITUTE(TRIM(A145),"'","''")&amp;"' AND estado = 1 LIMIT 1)"&amp;" AND upper(c.nombre) = upper("&amp;IF(TRIM(C145&amp;"")="","NULL","'"&amp;SUBSTITUTE(TRIM(C145),"'","''")&amp;"'")&amp;") AND coalesce(c.telefono1,'') = coalesce("&amp;IF(TRIM(F145&amp;"")="","NULL","'"&amp;SUBSTITUTE(TRIM(F145),"'","''")&amp;"'")&amp;",''));")</f>
        <v/>
      </c>
    </row>
    <row r="146" ht="15.75" customHeight="1" s="64">
      <c r="A146" s="23" t="n"/>
      <c r="B146" s="25">
        <f t="array" ref="B146">IF(A146="","",IFERROR(IF(INDEX(Clientes!$D$5:$D$549,MATCH(A146,Clientes!$C$5:$C$549,0))&lt;&gt;"",INDEX(Clientes!$D$5:$D$549,MATCH(A146,Clientes!$C$5:$C$549,0)),TRIM(INDEX(Clientes!$E$5:$E$549,MATCH(A146,Clientes!$C$5:$C$549,0))&amp;" "&amp;INDEX(Clientes!$F$5:$F$549,MATCH(A146,Clientes!$C$5:$C$549,0)))),"NO EXISTE en Clientes"))</f>
        <v/>
      </c>
      <c r="C146" s="17" t="n"/>
      <c r="D146" s="17" t="n"/>
      <c r="E146" s="17" t="n"/>
      <c r="F146" s="23" t="n"/>
      <c r="G146" s="23" t="n"/>
      <c r="H146" s="23" t="n"/>
      <c r="I146" s="17" t="n"/>
      <c r="J146" s="17" t="n"/>
      <c r="K146" s="17" t="n"/>
      <c r="L146" s="17">
        <f>IF(AND(A146="",C146=""),"",IF(A146="","FALTA doc. cliente",IF(B146="NO EXISTE en Clientes","CLIENTE no está en hoja Clientes",IF(C146="","FALTA nombre",IF(AND(K146="SI",COUNTIFS($A$5:$A$499,A146,$K$5:$K$499,"SI")&gt;1),"Más de un contacto principal para este cliente","OK")))))</f>
        <v/>
      </c>
      <c r="M146" s="28">
        <f>IF(L146&lt;&gt;"OK","","INSERT INTO cli_contacto (id_cliente, nombre, apellido_paterno, apellido_materno, telefono1, telefono2, telefono3, email, direccion, es_principal, estado) SELECT "&amp;"(SELECT id FROM cli_clientes WHERE numero_documento = '"&amp;SUBSTITUTE(TRIM(A146),"'","''")&amp;"' AND estado = 1 LIMIT 1)"&amp;", "&amp;IF(TRIM(C146&amp;"")="","NULL","'"&amp;SUBSTITUTE(TRIM(C146),"'","''")&amp;"'")&amp;", "&amp;IF(TRIM(D146&amp;"")="","NULL","'"&amp;SUBSTITUTE(TRIM(D146),"'","''")&amp;"'")&amp;", "&amp;IF(TRIM(E146&amp;"")="","NULL","'"&amp;SUBSTITUTE(TRIM(E146),"'","''")&amp;"'")&amp;", "&amp;IF(TRIM(F146&amp;"")="","NULL","'"&amp;SUBSTITUTE(TRIM(F146),"'","''")&amp;"'")&amp;", "&amp;IF(TRIM(G146&amp;"")="","NULL","'"&amp;SUBSTITUTE(TRIM(G146),"'","''")&amp;"'")&amp;", "&amp;IF(TRIM(H146&amp;"")="","NULL","'"&amp;SUBSTITUTE(TRIM(H146),"'","''")&amp;"'")&amp;", "&amp;IF(TRIM(I146&amp;"")="","NULL","'"&amp;SUBSTITUTE(TRIM(I146),"'","''")&amp;"'")&amp;", "&amp;IF(TRIM(J146&amp;"")="","NULL","'"&amp;SUBSTITUTE(TRIM(J146),"'","''")&amp;"'")&amp;", "&amp;IF(UPPER(TRIM(K146&amp;""))="SI","TRUE","FALSE")&amp;", 1"&amp;" WHERE NOT EXISTS (SELECT 1 FROM cli_contacto c WHERE c.id_cliente = "&amp;"(SELECT id FROM cli_clientes WHERE numero_documento = '"&amp;SUBSTITUTE(TRIM(A146),"'","''")&amp;"' AND estado = 1 LIMIT 1)"&amp;" AND upper(c.nombre) = upper("&amp;IF(TRIM(C146&amp;"")="","NULL","'"&amp;SUBSTITUTE(TRIM(C146),"'","''")&amp;"'")&amp;") AND coalesce(c.telefono1,'') = coalesce("&amp;IF(TRIM(F146&amp;"")="","NULL","'"&amp;SUBSTITUTE(TRIM(F146),"'","''")&amp;"'")&amp;",''));")</f>
        <v/>
      </c>
    </row>
    <row r="147" ht="15.75" customHeight="1" s="64">
      <c r="A147" s="23" t="n"/>
      <c r="B147" s="25">
        <f t="array" ref="B147">IF(A147="","",IFERROR(IF(INDEX(Clientes!$D$5:$D$549,MATCH(A147,Clientes!$C$5:$C$549,0))&lt;&gt;"",INDEX(Clientes!$D$5:$D$549,MATCH(A147,Clientes!$C$5:$C$549,0)),TRIM(INDEX(Clientes!$E$5:$E$549,MATCH(A147,Clientes!$C$5:$C$549,0))&amp;" "&amp;INDEX(Clientes!$F$5:$F$549,MATCH(A147,Clientes!$C$5:$C$549,0)))),"NO EXISTE en Clientes"))</f>
        <v/>
      </c>
      <c r="C147" s="17" t="n"/>
      <c r="D147" s="17" t="n"/>
      <c r="E147" s="17" t="n"/>
      <c r="F147" s="23" t="n"/>
      <c r="G147" s="23" t="n"/>
      <c r="H147" s="23" t="n"/>
      <c r="I147" s="17" t="n"/>
      <c r="J147" s="17" t="n"/>
      <c r="K147" s="17" t="n"/>
      <c r="L147" s="17">
        <f>IF(AND(A147="",C147=""),"",IF(A147="","FALTA doc. cliente",IF(B147="NO EXISTE en Clientes","CLIENTE no está en hoja Clientes",IF(C147="","FALTA nombre",IF(AND(K147="SI",COUNTIFS($A$5:$A$499,A147,$K$5:$K$499,"SI")&gt;1),"Más de un contacto principal para este cliente","OK")))))</f>
        <v/>
      </c>
      <c r="M147" s="28">
        <f>IF(L147&lt;&gt;"OK","","INSERT INTO cli_contacto (id_cliente, nombre, apellido_paterno, apellido_materno, telefono1, telefono2, telefono3, email, direccion, es_principal, estado) SELECT "&amp;"(SELECT id FROM cli_clientes WHERE numero_documento = '"&amp;SUBSTITUTE(TRIM(A147),"'","''")&amp;"' AND estado = 1 LIMIT 1)"&amp;", "&amp;IF(TRIM(C147&amp;"")="","NULL","'"&amp;SUBSTITUTE(TRIM(C147),"'","''")&amp;"'")&amp;", "&amp;IF(TRIM(D147&amp;"")="","NULL","'"&amp;SUBSTITUTE(TRIM(D147),"'","''")&amp;"'")&amp;", "&amp;IF(TRIM(E147&amp;"")="","NULL","'"&amp;SUBSTITUTE(TRIM(E147),"'","''")&amp;"'")&amp;", "&amp;IF(TRIM(F147&amp;"")="","NULL","'"&amp;SUBSTITUTE(TRIM(F147),"'","''")&amp;"'")&amp;", "&amp;IF(TRIM(G147&amp;"")="","NULL","'"&amp;SUBSTITUTE(TRIM(G147),"'","''")&amp;"'")&amp;", "&amp;IF(TRIM(H147&amp;"")="","NULL","'"&amp;SUBSTITUTE(TRIM(H147),"'","''")&amp;"'")&amp;", "&amp;IF(TRIM(I147&amp;"")="","NULL","'"&amp;SUBSTITUTE(TRIM(I147),"'","''")&amp;"'")&amp;", "&amp;IF(TRIM(J147&amp;"")="","NULL","'"&amp;SUBSTITUTE(TRIM(J147),"'","''")&amp;"'")&amp;", "&amp;IF(UPPER(TRIM(K147&amp;""))="SI","TRUE","FALSE")&amp;", 1"&amp;" WHERE NOT EXISTS (SELECT 1 FROM cli_contacto c WHERE c.id_cliente = "&amp;"(SELECT id FROM cli_clientes WHERE numero_documento = '"&amp;SUBSTITUTE(TRIM(A147),"'","''")&amp;"' AND estado = 1 LIMIT 1)"&amp;" AND upper(c.nombre) = upper("&amp;IF(TRIM(C147&amp;"")="","NULL","'"&amp;SUBSTITUTE(TRIM(C147),"'","''")&amp;"'")&amp;") AND coalesce(c.telefono1,'') = coalesce("&amp;IF(TRIM(F147&amp;"")="","NULL","'"&amp;SUBSTITUTE(TRIM(F147),"'","''")&amp;"'")&amp;",''));")</f>
        <v/>
      </c>
    </row>
    <row r="148" ht="15.75" customHeight="1" s="64">
      <c r="A148" s="23" t="n"/>
      <c r="B148" s="25">
        <f t="array" ref="B148">IF(A148="","",IFERROR(IF(INDEX(Clientes!$D$5:$D$549,MATCH(A148,Clientes!$C$5:$C$549,0))&lt;&gt;"",INDEX(Clientes!$D$5:$D$549,MATCH(A148,Clientes!$C$5:$C$549,0)),TRIM(INDEX(Clientes!$E$5:$E$549,MATCH(A148,Clientes!$C$5:$C$549,0))&amp;" "&amp;INDEX(Clientes!$F$5:$F$549,MATCH(A148,Clientes!$C$5:$C$549,0)))),"NO EXISTE en Clientes"))</f>
        <v/>
      </c>
      <c r="C148" s="17" t="n"/>
      <c r="D148" s="17" t="n"/>
      <c r="E148" s="17" t="n"/>
      <c r="F148" s="23" t="n"/>
      <c r="G148" s="23" t="n"/>
      <c r="H148" s="23" t="n"/>
      <c r="I148" s="17" t="n"/>
      <c r="J148" s="17" t="n"/>
      <c r="K148" s="17" t="n"/>
      <c r="L148" s="17">
        <f>IF(AND(A148="",C148=""),"",IF(A148="","FALTA doc. cliente",IF(B148="NO EXISTE en Clientes","CLIENTE no está en hoja Clientes",IF(C148="","FALTA nombre",IF(AND(K148="SI",COUNTIFS($A$5:$A$499,A148,$K$5:$K$499,"SI")&gt;1),"Más de un contacto principal para este cliente","OK")))))</f>
        <v/>
      </c>
      <c r="M148" s="28">
        <f>IF(L148&lt;&gt;"OK","","INSERT INTO cli_contacto (id_cliente, nombre, apellido_paterno, apellido_materno, telefono1, telefono2, telefono3, email, direccion, es_principal, estado) SELECT "&amp;"(SELECT id FROM cli_clientes WHERE numero_documento = '"&amp;SUBSTITUTE(TRIM(A148),"'","''")&amp;"' AND estado = 1 LIMIT 1)"&amp;", "&amp;IF(TRIM(C148&amp;"")="","NULL","'"&amp;SUBSTITUTE(TRIM(C148),"'","''")&amp;"'")&amp;", "&amp;IF(TRIM(D148&amp;"")="","NULL","'"&amp;SUBSTITUTE(TRIM(D148),"'","''")&amp;"'")&amp;", "&amp;IF(TRIM(E148&amp;"")="","NULL","'"&amp;SUBSTITUTE(TRIM(E148),"'","''")&amp;"'")&amp;", "&amp;IF(TRIM(F148&amp;"")="","NULL","'"&amp;SUBSTITUTE(TRIM(F148),"'","''")&amp;"'")&amp;", "&amp;IF(TRIM(G148&amp;"")="","NULL","'"&amp;SUBSTITUTE(TRIM(G148),"'","''")&amp;"'")&amp;", "&amp;IF(TRIM(H148&amp;"")="","NULL","'"&amp;SUBSTITUTE(TRIM(H148),"'","''")&amp;"'")&amp;", "&amp;IF(TRIM(I148&amp;"")="","NULL","'"&amp;SUBSTITUTE(TRIM(I148),"'","''")&amp;"'")&amp;", "&amp;IF(TRIM(J148&amp;"")="","NULL","'"&amp;SUBSTITUTE(TRIM(J148),"'","''")&amp;"'")&amp;", "&amp;IF(UPPER(TRIM(K148&amp;""))="SI","TRUE","FALSE")&amp;", 1"&amp;" WHERE NOT EXISTS (SELECT 1 FROM cli_contacto c WHERE c.id_cliente = "&amp;"(SELECT id FROM cli_clientes WHERE numero_documento = '"&amp;SUBSTITUTE(TRIM(A148),"'","''")&amp;"' AND estado = 1 LIMIT 1)"&amp;" AND upper(c.nombre) = upper("&amp;IF(TRIM(C148&amp;"")="","NULL","'"&amp;SUBSTITUTE(TRIM(C148),"'","''")&amp;"'")&amp;") AND coalesce(c.telefono1,'') = coalesce("&amp;IF(TRIM(F148&amp;"")="","NULL","'"&amp;SUBSTITUTE(TRIM(F148),"'","''")&amp;"'")&amp;",''));")</f>
        <v/>
      </c>
    </row>
    <row r="149" ht="15.75" customHeight="1" s="64">
      <c r="A149" s="23" t="n"/>
      <c r="B149" s="25">
        <f t="array" ref="B149">IF(A149="","",IFERROR(IF(INDEX(Clientes!$D$5:$D$549,MATCH(A149,Clientes!$C$5:$C$549,0))&lt;&gt;"",INDEX(Clientes!$D$5:$D$549,MATCH(A149,Clientes!$C$5:$C$549,0)),TRIM(INDEX(Clientes!$E$5:$E$549,MATCH(A149,Clientes!$C$5:$C$549,0))&amp;" "&amp;INDEX(Clientes!$F$5:$F$549,MATCH(A149,Clientes!$C$5:$C$549,0)))),"NO EXISTE en Clientes"))</f>
        <v/>
      </c>
      <c r="C149" s="17" t="n"/>
      <c r="D149" s="17" t="n"/>
      <c r="E149" s="17" t="n"/>
      <c r="F149" s="23" t="n"/>
      <c r="G149" s="23" t="n"/>
      <c r="H149" s="23" t="n"/>
      <c r="I149" s="17" t="n"/>
      <c r="J149" s="17" t="n"/>
      <c r="K149" s="17" t="n"/>
      <c r="L149" s="17">
        <f>IF(AND(A149="",C149=""),"",IF(A149="","FALTA doc. cliente",IF(B149="NO EXISTE en Clientes","CLIENTE no está en hoja Clientes",IF(C149="","FALTA nombre",IF(AND(K149="SI",COUNTIFS($A$5:$A$499,A149,$K$5:$K$499,"SI")&gt;1),"Más de un contacto principal para este cliente","OK")))))</f>
        <v/>
      </c>
      <c r="M149" s="28">
        <f>IF(L149&lt;&gt;"OK","","INSERT INTO cli_contacto (id_cliente, nombre, apellido_paterno, apellido_materno, telefono1, telefono2, telefono3, email, direccion, es_principal, estado) SELECT "&amp;"(SELECT id FROM cli_clientes WHERE numero_documento = '"&amp;SUBSTITUTE(TRIM(A149),"'","''")&amp;"' AND estado = 1 LIMIT 1)"&amp;", "&amp;IF(TRIM(C149&amp;"")="","NULL","'"&amp;SUBSTITUTE(TRIM(C149),"'","''")&amp;"'")&amp;", "&amp;IF(TRIM(D149&amp;"")="","NULL","'"&amp;SUBSTITUTE(TRIM(D149),"'","''")&amp;"'")&amp;", "&amp;IF(TRIM(E149&amp;"")="","NULL","'"&amp;SUBSTITUTE(TRIM(E149),"'","''")&amp;"'")&amp;", "&amp;IF(TRIM(F149&amp;"")="","NULL","'"&amp;SUBSTITUTE(TRIM(F149),"'","''")&amp;"'")&amp;", "&amp;IF(TRIM(G149&amp;"")="","NULL","'"&amp;SUBSTITUTE(TRIM(G149),"'","''")&amp;"'")&amp;", "&amp;IF(TRIM(H149&amp;"")="","NULL","'"&amp;SUBSTITUTE(TRIM(H149),"'","''")&amp;"'")&amp;", "&amp;IF(TRIM(I149&amp;"")="","NULL","'"&amp;SUBSTITUTE(TRIM(I149),"'","''")&amp;"'")&amp;", "&amp;IF(TRIM(J149&amp;"")="","NULL","'"&amp;SUBSTITUTE(TRIM(J149),"'","''")&amp;"'")&amp;", "&amp;IF(UPPER(TRIM(K149&amp;""))="SI","TRUE","FALSE")&amp;", 1"&amp;" WHERE NOT EXISTS (SELECT 1 FROM cli_contacto c WHERE c.id_cliente = "&amp;"(SELECT id FROM cli_clientes WHERE numero_documento = '"&amp;SUBSTITUTE(TRIM(A149),"'","''")&amp;"' AND estado = 1 LIMIT 1)"&amp;" AND upper(c.nombre) = upper("&amp;IF(TRIM(C149&amp;"")="","NULL","'"&amp;SUBSTITUTE(TRIM(C149),"'","''")&amp;"'")&amp;") AND coalesce(c.telefono1,'') = coalesce("&amp;IF(TRIM(F149&amp;"")="","NULL","'"&amp;SUBSTITUTE(TRIM(F149),"'","''")&amp;"'")&amp;",''));")</f>
        <v/>
      </c>
    </row>
    <row r="150" ht="15.75" customHeight="1" s="64">
      <c r="A150" s="23" t="n"/>
      <c r="B150" s="25">
        <f t="array" ref="B150">IF(A150="","",IFERROR(IF(INDEX(Clientes!$D$5:$D$549,MATCH(A150,Clientes!$C$5:$C$549,0))&lt;&gt;"",INDEX(Clientes!$D$5:$D$549,MATCH(A150,Clientes!$C$5:$C$549,0)),TRIM(INDEX(Clientes!$E$5:$E$549,MATCH(A150,Clientes!$C$5:$C$549,0))&amp;" "&amp;INDEX(Clientes!$F$5:$F$549,MATCH(A150,Clientes!$C$5:$C$549,0)))),"NO EXISTE en Clientes"))</f>
        <v/>
      </c>
      <c r="C150" s="17" t="n"/>
      <c r="D150" s="17" t="n"/>
      <c r="E150" s="17" t="n"/>
      <c r="F150" s="23" t="n"/>
      <c r="G150" s="23" t="n"/>
      <c r="H150" s="23" t="n"/>
      <c r="I150" s="17" t="n"/>
      <c r="J150" s="17" t="n"/>
      <c r="K150" s="17" t="n"/>
      <c r="L150" s="17">
        <f>IF(AND(A150="",C150=""),"",IF(A150="","FALTA doc. cliente",IF(B150="NO EXISTE en Clientes","CLIENTE no está en hoja Clientes",IF(C150="","FALTA nombre",IF(AND(K150="SI",COUNTIFS($A$5:$A$499,A150,$K$5:$K$499,"SI")&gt;1),"Más de un contacto principal para este cliente","OK")))))</f>
        <v/>
      </c>
      <c r="M150" s="28">
        <f>IF(L150&lt;&gt;"OK","","INSERT INTO cli_contacto (id_cliente, nombre, apellido_paterno, apellido_materno, telefono1, telefono2, telefono3, email, direccion, es_principal, estado) SELECT "&amp;"(SELECT id FROM cli_clientes WHERE numero_documento = '"&amp;SUBSTITUTE(TRIM(A150),"'","''")&amp;"' AND estado = 1 LIMIT 1)"&amp;", "&amp;IF(TRIM(C150&amp;"")="","NULL","'"&amp;SUBSTITUTE(TRIM(C150),"'","''")&amp;"'")&amp;", "&amp;IF(TRIM(D150&amp;"")="","NULL","'"&amp;SUBSTITUTE(TRIM(D150),"'","''")&amp;"'")&amp;", "&amp;IF(TRIM(E150&amp;"")="","NULL","'"&amp;SUBSTITUTE(TRIM(E150),"'","''")&amp;"'")&amp;", "&amp;IF(TRIM(F150&amp;"")="","NULL","'"&amp;SUBSTITUTE(TRIM(F150),"'","''")&amp;"'")&amp;", "&amp;IF(TRIM(G150&amp;"")="","NULL","'"&amp;SUBSTITUTE(TRIM(G150),"'","''")&amp;"'")&amp;", "&amp;IF(TRIM(H150&amp;"")="","NULL","'"&amp;SUBSTITUTE(TRIM(H150),"'","''")&amp;"'")&amp;", "&amp;IF(TRIM(I150&amp;"")="","NULL","'"&amp;SUBSTITUTE(TRIM(I150),"'","''")&amp;"'")&amp;", "&amp;IF(TRIM(J150&amp;"")="","NULL","'"&amp;SUBSTITUTE(TRIM(J150),"'","''")&amp;"'")&amp;", "&amp;IF(UPPER(TRIM(K150&amp;""))="SI","TRUE","FALSE")&amp;", 1"&amp;" WHERE NOT EXISTS (SELECT 1 FROM cli_contacto c WHERE c.id_cliente = "&amp;"(SELECT id FROM cli_clientes WHERE numero_documento = '"&amp;SUBSTITUTE(TRIM(A150),"'","''")&amp;"' AND estado = 1 LIMIT 1)"&amp;" AND upper(c.nombre) = upper("&amp;IF(TRIM(C150&amp;"")="","NULL","'"&amp;SUBSTITUTE(TRIM(C150),"'","''")&amp;"'")&amp;") AND coalesce(c.telefono1,'') = coalesce("&amp;IF(TRIM(F150&amp;"")="","NULL","'"&amp;SUBSTITUTE(TRIM(F150),"'","''")&amp;"'")&amp;",''));")</f>
        <v/>
      </c>
    </row>
    <row r="151" ht="15.75" customHeight="1" s="64">
      <c r="A151" s="23" t="n"/>
      <c r="B151" s="25">
        <f t="array" ref="B151">IF(A151="","",IFERROR(IF(INDEX(Clientes!$D$5:$D$549,MATCH(A151,Clientes!$C$5:$C$549,0))&lt;&gt;"",INDEX(Clientes!$D$5:$D$549,MATCH(A151,Clientes!$C$5:$C$549,0)),TRIM(INDEX(Clientes!$E$5:$E$549,MATCH(A151,Clientes!$C$5:$C$549,0))&amp;" "&amp;INDEX(Clientes!$F$5:$F$549,MATCH(A151,Clientes!$C$5:$C$549,0)))),"NO EXISTE en Clientes"))</f>
        <v/>
      </c>
      <c r="C151" s="17" t="n"/>
      <c r="D151" s="17" t="n"/>
      <c r="E151" s="17" t="n"/>
      <c r="F151" s="23" t="n"/>
      <c r="G151" s="23" t="n"/>
      <c r="H151" s="23" t="n"/>
      <c r="I151" s="17" t="n"/>
      <c r="J151" s="17" t="n"/>
      <c r="K151" s="17" t="n"/>
      <c r="L151" s="17">
        <f>IF(AND(A151="",C151=""),"",IF(A151="","FALTA doc. cliente",IF(B151="NO EXISTE en Clientes","CLIENTE no está en hoja Clientes",IF(C151="","FALTA nombre",IF(AND(K151="SI",COUNTIFS($A$5:$A$499,A151,$K$5:$K$499,"SI")&gt;1),"Más de un contacto principal para este cliente","OK")))))</f>
        <v/>
      </c>
      <c r="M151" s="28">
        <f>IF(L151&lt;&gt;"OK","","INSERT INTO cli_contacto (id_cliente, nombre, apellido_paterno, apellido_materno, telefono1, telefono2, telefono3, email, direccion, es_principal, estado) SELECT "&amp;"(SELECT id FROM cli_clientes WHERE numero_documento = '"&amp;SUBSTITUTE(TRIM(A151),"'","''")&amp;"' AND estado = 1 LIMIT 1)"&amp;", "&amp;IF(TRIM(C151&amp;"")="","NULL","'"&amp;SUBSTITUTE(TRIM(C151),"'","''")&amp;"'")&amp;", "&amp;IF(TRIM(D151&amp;"")="","NULL","'"&amp;SUBSTITUTE(TRIM(D151),"'","''")&amp;"'")&amp;", "&amp;IF(TRIM(E151&amp;"")="","NULL","'"&amp;SUBSTITUTE(TRIM(E151),"'","''")&amp;"'")&amp;", "&amp;IF(TRIM(F151&amp;"")="","NULL","'"&amp;SUBSTITUTE(TRIM(F151),"'","''")&amp;"'")&amp;", "&amp;IF(TRIM(G151&amp;"")="","NULL","'"&amp;SUBSTITUTE(TRIM(G151),"'","''")&amp;"'")&amp;", "&amp;IF(TRIM(H151&amp;"")="","NULL","'"&amp;SUBSTITUTE(TRIM(H151),"'","''")&amp;"'")&amp;", "&amp;IF(TRIM(I151&amp;"")="","NULL","'"&amp;SUBSTITUTE(TRIM(I151),"'","''")&amp;"'")&amp;", "&amp;IF(TRIM(J151&amp;"")="","NULL","'"&amp;SUBSTITUTE(TRIM(J151),"'","''")&amp;"'")&amp;", "&amp;IF(UPPER(TRIM(K151&amp;""))="SI","TRUE","FALSE")&amp;", 1"&amp;" WHERE NOT EXISTS (SELECT 1 FROM cli_contacto c WHERE c.id_cliente = "&amp;"(SELECT id FROM cli_clientes WHERE numero_documento = '"&amp;SUBSTITUTE(TRIM(A151),"'","''")&amp;"' AND estado = 1 LIMIT 1)"&amp;" AND upper(c.nombre) = upper("&amp;IF(TRIM(C151&amp;"")="","NULL","'"&amp;SUBSTITUTE(TRIM(C151),"'","''")&amp;"'")&amp;") AND coalesce(c.telefono1,'') = coalesce("&amp;IF(TRIM(F151&amp;"")="","NULL","'"&amp;SUBSTITUTE(TRIM(F151),"'","''")&amp;"'")&amp;",''));")</f>
        <v/>
      </c>
    </row>
    <row r="152" ht="15.75" customHeight="1" s="64">
      <c r="A152" s="23" t="n"/>
      <c r="B152" s="25">
        <f t="array" ref="B152">IF(A152="","",IFERROR(IF(INDEX(Clientes!$D$5:$D$549,MATCH(A152,Clientes!$C$5:$C$549,0))&lt;&gt;"",INDEX(Clientes!$D$5:$D$549,MATCH(A152,Clientes!$C$5:$C$549,0)),TRIM(INDEX(Clientes!$E$5:$E$549,MATCH(A152,Clientes!$C$5:$C$549,0))&amp;" "&amp;INDEX(Clientes!$F$5:$F$549,MATCH(A152,Clientes!$C$5:$C$549,0)))),"NO EXISTE en Clientes"))</f>
        <v/>
      </c>
      <c r="C152" s="17" t="n"/>
      <c r="D152" s="17" t="n"/>
      <c r="E152" s="17" t="n"/>
      <c r="F152" s="23" t="n"/>
      <c r="G152" s="23" t="n"/>
      <c r="H152" s="23" t="n"/>
      <c r="I152" s="17" t="n"/>
      <c r="J152" s="17" t="n"/>
      <c r="K152" s="17" t="n"/>
      <c r="L152" s="17">
        <f>IF(AND(A152="",C152=""),"",IF(A152="","FALTA doc. cliente",IF(B152="NO EXISTE en Clientes","CLIENTE no está en hoja Clientes",IF(C152="","FALTA nombre",IF(AND(K152="SI",COUNTIFS($A$5:$A$499,A152,$K$5:$K$499,"SI")&gt;1),"Más de un contacto principal para este cliente","OK")))))</f>
        <v/>
      </c>
      <c r="M152" s="28">
        <f>IF(L152&lt;&gt;"OK","","INSERT INTO cli_contacto (id_cliente, nombre, apellido_paterno, apellido_materno, telefono1, telefono2, telefono3, email, direccion, es_principal, estado) SELECT "&amp;"(SELECT id FROM cli_clientes WHERE numero_documento = '"&amp;SUBSTITUTE(TRIM(A152),"'","''")&amp;"' AND estado = 1 LIMIT 1)"&amp;", "&amp;IF(TRIM(C152&amp;"")="","NULL","'"&amp;SUBSTITUTE(TRIM(C152),"'","''")&amp;"'")&amp;", "&amp;IF(TRIM(D152&amp;"")="","NULL","'"&amp;SUBSTITUTE(TRIM(D152),"'","''")&amp;"'")&amp;", "&amp;IF(TRIM(E152&amp;"")="","NULL","'"&amp;SUBSTITUTE(TRIM(E152),"'","''")&amp;"'")&amp;", "&amp;IF(TRIM(F152&amp;"")="","NULL","'"&amp;SUBSTITUTE(TRIM(F152),"'","''")&amp;"'")&amp;", "&amp;IF(TRIM(G152&amp;"")="","NULL","'"&amp;SUBSTITUTE(TRIM(G152),"'","''")&amp;"'")&amp;", "&amp;IF(TRIM(H152&amp;"")="","NULL","'"&amp;SUBSTITUTE(TRIM(H152),"'","''")&amp;"'")&amp;", "&amp;IF(TRIM(I152&amp;"")="","NULL","'"&amp;SUBSTITUTE(TRIM(I152),"'","''")&amp;"'")&amp;", "&amp;IF(TRIM(J152&amp;"")="","NULL","'"&amp;SUBSTITUTE(TRIM(J152),"'","''")&amp;"'")&amp;", "&amp;IF(UPPER(TRIM(K152&amp;""))="SI","TRUE","FALSE")&amp;", 1"&amp;" WHERE NOT EXISTS (SELECT 1 FROM cli_contacto c WHERE c.id_cliente = "&amp;"(SELECT id FROM cli_clientes WHERE numero_documento = '"&amp;SUBSTITUTE(TRIM(A152),"'","''")&amp;"' AND estado = 1 LIMIT 1)"&amp;" AND upper(c.nombre) = upper("&amp;IF(TRIM(C152&amp;"")="","NULL","'"&amp;SUBSTITUTE(TRIM(C152),"'","''")&amp;"'")&amp;") AND coalesce(c.telefono1,'') = coalesce("&amp;IF(TRIM(F152&amp;"")="","NULL","'"&amp;SUBSTITUTE(TRIM(F152),"'","''")&amp;"'")&amp;",''));")</f>
        <v/>
      </c>
    </row>
    <row r="153" ht="15.75" customHeight="1" s="64">
      <c r="A153" s="23" t="n"/>
      <c r="B153" s="25">
        <f t="array" ref="B153">IF(A153="","",IFERROR(IF(INDEX(Clientes!$D$5:$D$549,MATCH(A153,Clientes!$C$5:$C$549,0))&lt;&gt;"",INDEX(Clientes!$D$5:$D$549,MATCH(A153,Clientes!$C$5:$C$549,0)),TRIM(INDEX(Clientes!$E$5:$E$549,MATCH(A153,Clientes!$C$5:$C$549,0))&amp;" "&amp;INDEX(Clientes!$F$5:$F$549,MATCH(A153,Clientes!$C$5:$C$549,0)))),"NO EXISTE en Clientes"))</f>
        <v/>
      </c>
      <c r="C153" s="17" t="n"/>
      <c r="D153" s="17" t="n"/>
      <c r="E153" s="17" t="n"/>
      <c r="F153" s="23" t="n"/>
      <c r="G153" s="23" t="n"/>
      <c r="H153" s="23" t="n"/>
      <c r="I153" s="17" t="n"/>
      <c r="J153" s="17" t="n"/>
      <c r="K153" s="17" t="n"/>
      <c r="L153" s="17">
        <f>IF(AND(A153="",C153=""),"",IF(A153="","FALTA doc. cliente",IF(B153="NO EXISTE en Clientes","CLIENTE no está en hoja Clientes",IF(C153="","FALTA nombre",IF(AND(K153="SI",COUNTIFS($A$5:$A$499,A153,$K$5:$K$499,"SI")&gt;1),"Más de un contacto principal para este cliente","OK")))))</f>
        <v/>
      </c>
      <c r="M153" s="28">
        <f>IF(L153&lt;&gt;"OK","","INSERT INTO cli_contacto (id_cliente, nombre, apellido_paterno, apellido_materno, telefono1, telefono2, telefono3, email, direccion, es_principal, estado) SELECT "&amp;"(SELECT id FROM cli_clientes WHERE numero_documento = '"&amp;SUBSTITUTE(TRIM(A153),"'","''")&amp;"' AND estado = 1 LIMIT 1)"&amp;", "&amp;IF(TRIM(C153&amp;"")="","NULL","'"&amp;SUBSTITUTE(TRIM(C153),"'","''")&amp;"'")&amp;", "&amp;IF(TRIM(D153&amp;"")="","NULL","'"&amp;SUBSTITUTE(TRIM(D153),"'","''")&amp;"'")&amp;", "&amp;IF(TRIM(E153&amp;"")="","NULL","'"&amp;SUBSTITUTE(TRIM(E153),"'","''")&amp;"'")&amp;", "&amp;IF(TRIM(F153&amp;"")="","NULL","'"&amp;SUBSTITUTE(TRIM(F153),"'","''")&amp;"'")&amp;", "&amp;IF(TRIM(G153&amp;"")="","NULL","'"&amp;SUBSTITUTE(TRIM(G153),"'","''")&amp;"'")&amp;", "&amp;IF(TRIM(H153&amp;"")="","NULL","'"&amp;SUBSTITUTE(TRIM(H153),"'","''")&amp;"'")&amp;", "&amp;IF(TRIM(I153&amp;"")="","NULL","'"&amp;SUBSTITUTE(TRIM(I153),"'","''")&amp;"'")&amp;", "&amp;IF(TRIM(J153&amp;"")="","NULL","'"&amp;SUBSTITUTE(TRIM(J153),"'","''")&amp;"'")&amp;", "&amp;IF(UPPER(TRIM(K153&amp;""))="SI","TRUE","FALSE")&amp;", 1"&amp;" WHERE NOT EXISTS (SELECT 1 FROM cli_contacto c WHERE c.id_cliente = "&amp;"(SELECT id FROM cli_clientes WHERE numero_documento = '"&amp;SUBSTITUTE(TRIM(A153),"'","''")&amp;"' AND estado = 1 LIMIT 1)"&amp;" AND upper(c.nombre) = upper("&amp;IF(TRIM(C153&amp;"")="","NULL","'"&amp;SUBSTITUTE(TRIM(C153),"'","''")&amp;"'")&amp;") AND coalesce(c.telefono1,'') = coalesce("&amp;IF(TRIM(F153&amp;"")="","NULL","'"&amp;SUBSTITUTE(TRIM(F153),"'","''")&amp;"'")&amp;",''));")</f>
        <v/>
      </c>
    </row>
    <row r="154" ht="15.75" customHeight="1" s="64">
      <c r="A154" s="23" t="n"/>
      <c r="B154" s="25">
        <f t="array" ref="B154">IF(A154="","",IFERROR(IF(INDEX(Clientes!$D$5:$D$549,MATCH(A154,Clientes!$C$5:$C$549,0))&lt;&gt;"",INDEX(Clientes!$D$5:$D$549,MATCH(A154,Clientes!$C$5:$C$549,0)),TRIM(INDEX(Clientes!$E$5:$E$549,MATCH(A154,Clientes!$C$5:$C$549,0))&amp;" "&amp;INDEX(Clientes!$F$5:$F$549,MATCH(A154,Clientes!$C$5:$C$549,0)))),"NO EXISTE en Clientes"))</f>
        <v/>
      </c>
      <c r="C154" s="17" t="n"/>
      <c r="D154" s="17" t="n"/>
      <c r="E154" s="17" t="n"/>
      <c r="F154" s="23" t="n"/>
      <c r="G154" s="23" t="n"/>
      <c r="H154" s="23" t="n"/>
      <c r="I154" s="17" t="n"/>
      <c r="J154" s="17" t="n"/>
      <c r="K154" s="17" t="n"/>
      <c r="L154" s="17">
        <f>IF(AND(A154="",C154=""),"",IF(A154="","FALTA doc. cliente",IF(B154="NO EXISTE en Clientes","CLIENTE no está en hoja Clientes",IF(C154="","FALTA nombre",IF(AND(K154="SI",COUNTIFS($A$5:$A$499,A154,$K$5:$K$499,"SI")&gt;1),"Más de un contacto principal para este cliente","OK")))))</f>
        <v/>
      </c>
      <c r="M154" s="28">
        <f>IF(L154&lt;&gt;"OK","","INSERT INTO cli_contacto (id_cliente, nombre, apellido_paterno, apellido_materno, telefono1, telefono2, telefono3, email, direccion, es_principal, estado) SELECT "&amp;"(SELECT id FROM cli_clientes WHERE numero_documento = '"&amp;SUBSTITUTE(TRIM(A154),"'","''")&amp;"' AND estado = 1 LIMIT 1)"&amp;", "&amp;IF(TRIM(C154&amp;"")="","NULL","'"&amp;SUBSTITUTE(TRIM(C154),"'","''")&amp;"'")&amp;", "&amp;IF(TRIM(D154&amp;"")="","NULL","'"&amp;SUBSTITUTE(TRIM(D154),"'","''")&amp;"'")&amp;", "&amp;IF(TRIM(E154&amp;"")="","NULL","'"&amp;SUBSTITUTE(TRIM(E154),"'","''")&amp;"'")&amp;", "&amp;IF(TRIM(F154&amp;"")="","NULL","'"&amp;SUBSTITUTE(TRIM(F154),"'","''")&amp;"'")&amp;", "&amp;IF(TRIM(G154&amp;"")="","NULL","'"&amp;SUBSTITUTE(TRIM(G154),"'","''")&amp;"'")&amp;", "&amp;IF(TRIM(H154&amp;"")="","NULL","'"&amp;SUBSTITUTE(TRIM(H154),"'","''")&amp;"'")&amp;", "&amp;IF(TRIM(I154&amp;"")="","NULL","'"&amp;SUBSTITUTE(TRIM(I154),"'","''")&amp;"'")&amp;", "&amp;IF(TRIM(J154&amp;"")="","NULL","'"&amp;SUBSTITUTE(TRIM(J154),"'","''")&amp;"'")&amp;", "&amp;IF(UPPER(TRIM(K154&amp;""))="SI","TRUE","FALSE")&amp;", 1"&amp;" WHERE NOT EXISTS (SELECT 1 FROM cli_contacto c WHERE c.id_cliente = "&amp;"(SELECT id FROM cli_clientes WHERE numero_documento = '"&amp;SUBSTITUTE(TRIM(A154),"'","''")&amp;"' AND estado = 1 LIMIT 1)"&amp;" AND upper(c.nombre) = upper("&amp;IF(TRIM(C154&amp;"")="","NULL","'"&amp;SUBSTITUTE(TRIM(C154),"'","''")&amp;"'")&amp;") AND coalesce(c.telefono1,'') = coalesce("&amp;IF(TRIM(F154&amp;"")="","NULL","'"&amp;SUBSTITUTE(TRIM(F154),"'","''")&amp;"'")&amp;",''));")</f>
        <v/>
      </c>
    </row>
    <row r="155" ht="15.75" customHeight="1" s="64">
      <c r="A155" s="23" t="n"/>
      <c r="B155" s="25">
        <f t="array" ref="B155">IF(A155="","",IFERROR(IF(INDEX(Clientes!$D$5:$D$549,MATCH(A155,Clientes!$C$5:$C$549,0))&lt;&gt;"",INDEX(Clientes!$D$5:$D$549,MATCH(A155,Clientes!$C$5:$C$549,0)),TRIM(INDEX(Clientes!$E$5:$E$549,MATCH(A155,Clientes!$C$5:$C$549,0))&amp;" "&amp;INDEX(Clientes!$F$5:$F$549,MATCH(A155,Clientes!$C$5:$C$549,0)))),"NO EXISTE en Clientes"))</f>
        <v/>
      </c>
      <c r="C155" s="17" t="n"/>
      <c r="D155" s="17" t="n"/>
      <c r="E155" s="17" t="n"/>
      <c r="F155" s="23" t="n"/>
      <c r="G155" s="23" t="n"/>
      <c r="H155" s="23" t="n"/>
      <c r="I155" s="17" t="n"/>
      <c r="J155" s="17" t="n"/>
      <c r="K155" s="17" t="n"/>
      <c r="L155" s="17">
        <f>IF(AND(A155="",C155=""),"",IF(A155="","FALTA doc. cliente",IF(B155="NO EXISTE en Clientes","CLIENTE no está en hoja Clientes",IF(C155="","FALTA nombre",IF(AND(K155="SI",COUNTIFS($A$5:$A$499,A155,$K$5:$K$499,"SI")&gt;1),"Más de un contacto principal para este cliente","OK")))))</f>
        <v/>
      </c>
      <c r="M155" s="28">
        <f>IF(L155&lt;&gt;"OK","","INSERT INTO cli_contacto (id_cliente, nombre, apellido_paterno, apellido_materno, telefono1, telefono2, telefono3, email, direccion, es_principal, estado) SELECT "&amp;"(SELECT id FROM cli_clientes WHERE numero_documento = '"&amp;SUBSTITUTE(TRIM(A155),"'","''")&amp;"' AND estado = 1 LIMIT 1)"&amp;", "&amp;IF(TRIM(C155&amp;"")="","NULL","'"&amp;SUBSTITUTE(TRIM(C155),"'","''")&amp;"'")&amp;", "&amp;IF(TRIM(D155&amp;"")="","NULL","'"&amp;SUBSTITUTE(TRIM(D155),"'","''")&amp;"'")&amp;", "&amp;IF(TRIM(E155&amp;"")="","NULL","'"&amp;SUBSTITUTE(TRIM(E155),"'","''")&amp;"'")&amp;", "&amp;IF(TRIM(F155&amp;"")="","NULL","'"&amp;SUBSTITUTE(TRIM(F155),"'","''")&amp;"'")&amp;", "&amp;IF(TRIM(G155&amp;"")="","NULL","'"&amp;SUBSTITUTE(TRIM(G155),"'","''")&amp;"'")&amp;", "&amp;IF(TRIM(H155&amp;"")="","NULL","'"&amp;SUBSTITUTE(TRIM(H155),"'","''")&amp;"'")&amp;", "&amp;IF(TRIM(I155&amp;"")="","NULL","'"&amp;SUBSTITUTE(TRIM(I155),"'","''")&amp;"'")&amp;", "&amp;IF(TRIM(J155&amp;"")="","NULL","'"&amp;SUBSTITUTE(TRIM(J155),"'","''")&amp;"'")&amp;", "&amp;IF(UPPER(TRIM(K155&amp;""))="SI","TRUE","FALSE")&amp;", 1"&amp;" WHERE NOT EXISTS (SELECT 1 FROM cli_contacto c WHERE c.id_cliente = "&amp;"(SELECT id FROM cli_clientes WHERE numero_documento = '"&amp;SUBSTITUTE(TRIM(A155),"'","''")&amp;"' AND estado = 1 LIMIT 1)"&amp;" AND upper(c.nombre) = upper("&amp;IF(TRIM(C155&amp;"")="","NULL","'"&amp;SUBSTITUTE(TRIM(C155),"'","''")&amp;"'")&amp;") AND coalesce(c.telefono1,'') = coalesce("&amp;IF(TRIM(F155&amp;"")="","NULL","'"&amp;SUBSTITUTE(TRIM(F155),"'","''")&amp;"'")&amp;",''));")</f>
        <v/>
      </c>
    </row>
    <row r="156" ht="15.75" customHeight="1" s="64">
      <c r="A156" s="23" t="n"/>
      <c r="B156" s="25">
        <f t="array" ref="B156">IF(A156="","",IFERROR(IF(INDEX(Clientes!$D$5:$D$549,MATCH(A156,Clientes!$C$5:$C$549,0))&lt;&gt;"",INDEX(Clientes!$D$5:$D$549,MATCH(A156,Clientes!$C$5:$C$549,0)),TRIM(INDEX(Clientes!$E$5:$E$549,MATCH(A156,Clientes!$C$5:$C$549,0))&amp;" "&amp;INDEX(Clientes!$F$5:$F$549,MATCH(A156,Clientes!$C$5:$C$549,0)))),"NO EXISTE en Clientes"))</f>
        <v/>
      </c>
      <c r="C156" s="17" t="n"/>
      <c r="D156" s="17" t="n"/>
      <c r="E156" s="17" t="n"/>
      <c r="F156" s="23" t="n"/>
      <c r="G156" s="23" t="n"/>
      <c r="H156" s="23" t="n"/>
      <c r="I156" s="17" t="n"/>
      <c r="J156" s="17" t="n"/>
      <c r="K156" s="17" t="n"/>
      <c r="L156" s="17">
        <f>IF(AND(A156="",C156=""),"",IF(A156="","FALTA doc. cliente",IF(B156="NO EXISTE en Clientes","CLIENTE no está en hoja Clientes",IF(C156="","FALTA nombre",IF(AND(K156="SI",COUNTIFS($A$5:$A$499,A156,$K$5:$K$499,"SI")&gt;1),"Más de un contacto principal para este cliente","OK")))))</f>
        <v/>
      </c>
      <c r="M156" s="28">
        <f>IF(L156&lt;&gt;"OK","","INSERT INTO cli_contacto (id_cliente, nombre, apellido_paterno, apellido_materno, telefono1, telefono2, telefono3, email, direccion, es_principal, estado) SELECT "&amp;"(SELECT id FROM cli_clientes WHERE numero_documento = '"&amp;SUBSTITUTE(TRIM(A156),"'","''")&amp;"' AND estado = 1 LIMIT 1)"&amp;", "&amp;IF(TRIM(C156&amp;"")="","NULL","'"&amp;SUBSTITUTE(TRIM(C156),"'","''")&amp;"'")&amp;", "&amp;IF(TRIM(D156&amp;"")="","NULL","'"&amp;SUBSTITUTE(TRIM(D156),"'","''")&amp;"'")&amp;", "&amp;IF(TRIM(E156&amp;"")="","NULL","'"&amp;SUBSTITUTE(TRIM(E156),"'","''")&amp;"'")&amp;", "&amp;IF(TRIM(F156&amp;"")="","NULL","'"&amp;SUBSTITUTE(TRIM(F156),"'","''")&amp;"'")&amp;", "&amp;IF(TRIM(G156&amp;"")="","NULL","'"&amp;SUBSTITUTE(TRIM(G156),"'","''")&amp;"'")&amp;", "&amp;IF(TRIM(H156&amp;"")="","NULL","'"&amp;SUBSTITUTE(TRIM(H156),"'","''")&amp;"'")&amp;", "&amp;IF(TRIM(I156&amp;"")="","NULL","'"&amp;SUBSTITUTE(TRIM(I156),"'","''")&amp;"'")&amp;", "&amp;IF(TRIM(J156&amp;"")="","NULL","'"&amp;SUBSTITUTE(TRIM(J156),"'","''")&amp;"'")&amp;", "&amp;IF(UPPER(TRIM(K156&amp;""))="SI","TRUE","FALSE")&amp;", 1"&amp;" WHERE NOT EXISTS (SELECT 1 FROM cli_contacto c WHERE c.id_cliente = "&amp;"(SELECT id FROM cli_clientes WHERE numero_documento = '"&amp;SUBSTITUTE(TRIM(A156),"'","''")&amp;"' AND estado = 1 LIMIT 1)"&amp;" AND upper(c.nombre) = upper("&amp;IF(TRIM(C156&amp;"")="","NULL","'"&amp;SUBSTITUTE(TRIM(C156),"'","''")&amp;"'")&amp;") AND coalesce(c.telefono1,'') = coalesce("&amp;IF(TRIM(F156&amp;"")="","NULL","'"&amp;SUBSTITUTE(TRIM(F156),"'","''")&amp;"'")&amp;",''));")</f>
        <v/>
      </c>
    </row>
    <row r="157" ht="15.75" customHeight="1" s="64">
      <c r="A157" s="23" t="n"/>
      <c r="B157" s="25">
        <f t="array" ref="B157">IF(A157="","",IFERROR(IF(INDEX(Clientes!$D$5:$D$549,MATCH(A157,Clientes!$C$5:$C$549,0))&lt;&gt;"",INDEX(Clientes!$D$5:$D$549,MATCH(A157,Clientes!$C$5:$C$549,0)),TRIM(INDEX(Clientes!$E$5:$E$549,MATCH(A157,Clientes!$C$5:$C$549,0))&amp;" "&amp;INDEX(Clientes!$F$5:$F$549,MATCH(A157,Clientes!$C$5:$C$549,0)))),"NO EXISTE en Clientes"))</f>
        <v/>
      </c>
      <c r="C157" s="17" t="n"/>
      <c r="D157" s="17" t="n"/>
      <c r="E157" s="17" t="n"/>
      <c r="F157" s="23" t="n"/>
      <c r="G157" s="23" t="n"/>
      <c r="H157" s="23" t="n"/>
      <c r="I157" s="17" t="n"/>
      <c r="J157" s="17" t="n"/>
      <c r="K157" s="17" t="n"/>
      <c r="L157" s="17">
        <f>IF(AND(A157="",C157=""),"",IF(A157="","FALTA doc. cliente",IF(B157="NO EXISTE en Clientes","CLIENTE no está en hoja Clientes",IF(C157="","FALTA nombre",IF(AND(K157="SI",COUNTIFS($A$5:$A$499,A157,$K$5:$K$499,"SI")&gt;1),"Más de un contacto principal para este cliente","OK")))))</f>
        <v/>
      </c>
      <c r="M157" s="28">
        <f>IF(L157&lt;&gt;"OK","","INSERT INTO cli_contacto (id_cliente, nombre, apellido_paterno, apellido_materno, telefono1, telefono2, telefono3, email, direccion, es_principal, estado) SELECT "&amp;"(SELECT id FROM cli_clientes WHERE numero_documento = '"&amp;SUBSTITUTE(TRIM(A157),"'","''")&amp;"' AND estado = 1 LIMIT 1)"&amp;", "&amp;IF(TRIM(C157&amp;"")="","NULL","'"&amp;SUBSTITUTE(TRIM(C157),"'","''")&amp;"'")&amp;", "&amp;IF(TRIM(D157&amp;"")="","NULL","'"&amp;SUBSTITUTE(TRIM(D157),"'","''")&amp;"'")&amp;", "&amp;IF(TRIM(E157&amp;"")="","NULL","'"&amp;SUBSTITUTE(TRIM(E157),"'","''")&amp;"'")&amp;", "&amp;IF(TRIM(F157&amp;"")="","NULL","'"&amp;SUBSTITUTE(TRIM(F157),"'","''")&amp;"'")&amp;", "&amp;IF(TRIM(G157&amp;"")="","NULL","'"&amp;SUBSTITUTE(TRIM(G157),"'","''")&amp;"'")&amp;", "&amp;IF(TRIM(H157&amp;"")="","NULL","'"&amp;SUBSTITUTE(TRIM(H157),"'","''")&amp;"'")&amp;", "&amp;IF(TRIM(I157&amp;"")="","NULL","'"&amp;SUBSTITUTE(TRIM(I157),"'","''")&amp;"'")&amp;", "&amp;IF(TRIM(J157&amp;"")="","NULL","'"&amp;SUBSTITUTE(TRIM(J157),"'","''")&amp;"'")&amp;", "&amp;IF(UPPER(TRIM(K157&amp;""))="SI","TRUE","FALSE")&amp;", 1"&amp;" WHERE NOT EXISTS (SELECT 1 FROM cli_contacto c WHERE c.id_cliente = "&amp;"(SELECT id FROM cli_clientes WHERE numero_documento = '"&amp;SUBSTITUTE(TRIM(A157),"'","''")&amp;"' AND estado = 1 LIMIT 1)"&amp;" AND upper(c.nombre) = upper("&amp;IF(TRIM(C157&amp;"")="","NULL","'"&amp;SUBSTITUTE(TRIM(C157),"'","''")&amp;"'")&amp;") AND coalesce(c.telefono1,'') = coalesce("&amp;IF(TRIM(F157&amp;"")="","NULL","'"&amp;SUBSTITUTE(TRIM(F157),"'","''")&amp;"'")&amp;",''));")</f>
        <v/>
      </c>
    </row>
    <row r="158" ht="15.75" customHeight="1" s="64">
      <c r="A158" s="23" t="n"/>
      <c r="B158" s="25">
        <f t="array" ref="B158">IF(A158="","",IFERROR(IF(INDEX(Clientes!$D$5:$D$549,MATCH(A158,Clientes!$C$5:$C$549,0))&lt;&gt;"",INDEX(Clientes!$D$5:$D$549,MATCH(A158,Clientes!$C$5:$C$549,0)),TRIM(INDEX(Clientes!$E$5:$E$549,MATCH(A158,Clientes!$C$5:$C$549,0))&amp;" "&amp;INDEX(Clientes!$F$5:$F$549,MATCH(A158,Clientes!$C$5:$C$549,0)))),"NO EXISTE en Clientes"))</f>
        <v/>
      </c>
      <c r="C158" s="17" t="n"/>
      <c r="D158" s="17" t="n"/>
      <c r="E158" s="17" t="n"/>
      <c r="F158" s="23" t="n"/>
      <c r="G158" s="23" t="n"/>
      <c r="H158" s="23" t="n"/>
      <c r="I158" s="17" t="n"/>
      <c r="J158" s="17" t="n"/>
      <c r="K158" s="17" t="n"/>
      <c r="L158" s="17">
        <f>IF(AND(A158="",C158=""),"",IF(A158="","FALTA doc. cliente",IF(B158="NO EXISTE en Clientes","CLIENTE no está en hoja Clientes",IF(C158="","FALTA nombre",IF(AND(K158="SI",COUNTIFS($A$5:$A$499,A158,$K$5:$K$499,"SI")&gt;1),"Más de un contacto principal para este cliente","OK")))))</f>
        <v/>
      </c>
      <c r="M158" s="28">
        <f>IF(L158&lt;&gt;"OK","","INSERT INTO cli_contacto (id_cliente, nombre, apellido_paterno, apellido_materno, telefono1, telefono2, telefono3, email, direccion, es_principal, estado) SELECT "&amp;"(SELECT id FROM cli_clientes WHERE numero_documento = '"&amp;SUBSTITUTE(TRIM(A158),"'","''")&amp;"' AND estado = 1 LIMIT 1)"&amp;", "&amp;IF(TRIM(C158&amp;"")="","NULL","'"&amp;SUBSTITUTE(TRIM(C158),"'","''")&amp;"'")&amp;", "&amp;IF(TRIM(D158&amp;"")="","NULL","'"&amp;SUBSTITUTE(TRIM(D158),"'","''")&amp;"'")&amp;", "&amp;IF(TRIM(E158&amp;"")="","NULL","'"&amp;SUBSTITUTE(TRIM(E158),"'","''")&amp;"'")&amp;", "&amp;IF(TRIM(F158&amp;"")="","NULL","'"&amp;SUBSTITUTE(TRIM(F158),"'","''")&amp;"'")&amp;", "&amp;IF(TRIM(G158&amp;"")="","NULL","'"&amp;SUBSTITUTE(TRIM(G158),"'","''")&amp;"'")&amp;", "&amp;IF(TRIM(H158&amp;"")="","NULL","'"&amp;SUBSTITUTE(TRIM(H158),"'","''")&amp;"'")&amp;", "&amp;IF(TRIM(I158&amp;"")="","NULL","'"&amp;SUBSTITUTE(TRIM(I158),"'","''")&amp;"'")&amp;", "&amp;IF(TRIM(J158&amp;"")="","NULL","'"&amp;SUBSTITUTE(TRIM(J158),"'","''")&amp;"'")&amp;", "&amp;IF(UPPER(TRIM(K158&amp;""))="SI","TRUE","FALSE")&amp;", 1"&amp;" WHERE NOT EXISTS (SELECT 1 FROM cli_contacto c WHERE c.id_cliente = "&amp;"(SELECT id FROM cli_clientes WHERE numero_documento = '"&amp;SUBSTITUTE(TRIM(A158),"'","''")&amp;"' AND estado = 1 LIMIT 1)"&amp;" AND upper(c.nombre) = upper("&amp;IF(TRIM(C158&amp;"")="","NULL","'"&amp;SUBSTITUTE(TRIM(C158),"'","''")&amp;"'")&amp;") AND coalesce(c.telefono1,'') = coalesce("&amp;IF(TRIM(F158&amp;"")="","NULL","'"&amp;SUBSTITUTE(TRIM(F158),"'","''")&amp;"'")&amp;",''));")</f>
        <v/>
      </c>
    </row>
    <row r="159" ht="15.75" customHeight="1" s="64">
      <c r="A159" s="23" t="n"/>
      <c r="B159" s="25">
        <f t="array" ref="B159">IF(A159="","",IFERROR(IF(INDEX(Clientes!$D$5:$D$549,MATCH(A159,Clientes!$C$5:$C$549,0))&lt;&gt;"",INDEX(Clientes!$D$5:$D$549,MATCH(A159,Clientes!$C$5:$C$549,0)),TRIM(INDEX(Clientes!$E$5:$E$549,MATCH(A159,Clientes!$C$5:$C$549,0))&amp;" "&amp;INDEX(Clientes!$F$5:$F$549,MATCH(A159,Clientes!$C$5:$C$549,0)))),"NO EXISTE en Clientes"))</f>
        <v/>
      </c>
      <c r="C159" s="17" t="n"/>
      <c r="D159" s="17" t="n"/>
      <c r="E159" s="17" t="n"/>
      <c r="F159" s="23" t="n"/>
      <c r="G159" s="23" t="n"/>
      <c r="H159" s="23" t="n"/>
      <c r="I159" s="17" t="n"/>
      <c r="J159" s="17" t="n"/>
      <c r="K159" s="17" t="n"/>
      <c r="L159" s="17">
        <f>IF(AND(A159="",C159=""),"",IF(A159="","FALTA doc. cliente",IF(B159="NO EXISTE en Clientes","CLIENTE no está en hoja Clientes",IF(C159="","FALTA nombre",IF(AND(K159="SI",COUNTIFS($A$5:$A$499,A159,$K$5:$K$499,"SI")&gt;1),"Más de un contacto principal para este cliente","OK")))))</f>
        <v/>
      </c>
      <c r="M159" s="28">
        <f>IF(L159&lt;&gt;"OK","","INSERT INTO cli_contacto (id_cliente, nombre, apellido_paterno, apellido_materno, telefono1, telefono2, telefono3, email, direccion, es_principal, estado) SELECT "&amp;"(SELECT id FROM cli_clientes WHERE numero_documento = '"&amp;SUBSTITUTE(TRIM(A159),"'","''")&amp;"' AND estado = 1 LIMIT 1)"&amp;", "&amp;IF(TRIM(C159&amp;"")="","NULL","'"&amp;SUBSTITUTE(TRIM(C159),"'","''")&amp;"'")&amp;", "&amp;IF(TRIM(D159&amp;"")="","NULL","'"&amp;SUBSTITUTE(TRIM(D159),"'","''")&amp;"'")&amp;", "&amp;IF(TRIM(E159&amp;"")="","NULL","'"&amp;SUBSTITUTE(TRIM(E159),"'","''")&amp;"'")&amp;", "&amp;IF(TRIM(F159&amp;"")="","NULL","'"&amp;SUBSTITUTE(TRIM(F159),"'","''")&amp;"'")&amp;", "&amp;IF(TRIM(G159&amp;"")="","NULL","'"&amp;SUBSTITUTE(TRIM(G159),"'","''")&amp;"'")&amp;", "&amp;IF(TRIM(H159&amp;"")="","NULL","'"&amp;SUBSTITUTE(TRIM(H159),"'","''")&amp;"'")&amp;", "&amp;IF(TRIM(I159&amp;"")="","NULL","'"&amp;SUBSTITUTE(TRIM(I159),"'","''")&amp;"'")&amp;", "&amp;IF(TRIM(J159&amp;"")="","NULL","'"&amp;SUBSTITUTE(TRIM(J159),"'","''")&amp;"'")&amp;", "&amp;IF(UPPER(TRIM(K159&amp;""))="SI","TRUE","FALSE")&amp;", 1"&amp;" WHERE NOT EXISTS (SELECT 1 FROM cli_contacto c WHERE c.id_cliente = "&amp;"(SELECT id FROM cli_clientes WHERE numero_documento = '"&amp;SUBSTITUTE(TRIM(A159),"'","''")&amp;"' AND estado = 1 LIMIT 1)"&amp;" AND upper(c.nombre) = upper("&amp;IF(TRIM(C159&amp;"")="","NULL","'"&amp;SUBSTITUTE(TRIM(C159),"'","''")&amp;"'")&amp;") AND coalesce(c.telefono1,'') = coalesce("&amp;IF(TRIM(F159&amp;"")="","NULL","'"&amp;SUBSTITUTE(TRIM(F159),"'","''")&amp;"'")&amp;",''));")</f>
        <v/>
      </c>
    </row>
    <row r="160" ht="15.75" customHeight="1" s="64">
      <c r="A160" s="23" t="n"/>
      <c r="B160" s="25">
        <f t="array" ref="B160">IF(A160="","",IFERROR(IF(INDEX(Clientes!$D$5:$D$549,MATCH(A160,Clientes!$C$5:$C$549,0))&lt;&gt;"",INDEX(Clientes!$D$5:$D$549,MATCH(A160,Clientes!$C$5:$C$549,0)),TRIM(INDEX(Clientes!$E$5:$E$549,MATCH(A160,Clientes!$C$5:$C$549,0))&amp;" "&amp;INDEX(Clientes!$F$5:$F$549,MATCH(A160,Clientes!$C$5:$C$549,0)))),"NO EXISTE en Clientes"))</f>
        <v/>
      </c>
      <c r="C160" s="17" t="n"/>
      <c r="D160" s="17" t="n"/>
      <c r="E160" s="17" t="n"/>
      <c r="F160" s="23" t="n"/>
      <c r="G160" s="23" t="n"/>
      <c r="H160" s="23" t="n"/>
      <c r="I160" s="17" t="n"/>
      <c r="J160" s="17" t="n"/>
      <c r="K160" s="17" t="n"/>
      <c r="L160" s="17">
        <f>IF(AND(A160="",C160=""),"",IF(A160="","FALTA doc. cliente",IF(B160="NO EXISTE en Clientes","CLIENTE no está en hoja Clientes",IF(C160="","FALTA nombre",IF(AND(K160="SI",COUNTIFS($A$5:$A$499,A160,$K$5:$K$499,"SI")&gt;1),"Más de un contacto principal para este cliente","OK")))))</f>
        <v/>
      </c>
      <c r="M160" s="28">
        <f>IF(L160&lt;&gt;"OK","","INSERT INTO cli_contacto (id_cliente, nombre, apellido_paterno, apellido_materno, telefono1, telefono2, telefono3, email, direccion, es_principal, estado) SELECT "&amp;"(SELECT id FROM cli_clientes WHERE numero_documento = '"&amp;SUBSTITUTE(TRIM(A160),"'","''")&amp;"' AND estado = 1 LIMIT 1)"&amp;", "&amp;IF(TRIM(C160&amp;"")="","NULL","'"&amp;SUBSTITUTE(TRIM(C160),"'","''")&amp;"'")&amp;", "&amp;IF(TRIM(D160&amp;"")="","NULL","'"&amp;SUBSTITUTE(TRIM(D160),"'","''")&amp;"'")&amp;", "&amp;IF(TRIM(E160&amp;"")="","NULL","'"&amp;SUBSTITUTE(TRIM(E160),"'","''")&amp;"'")&amp;", "&amp;IF(TRIM(F160&amp;"")="","NULL","'"&amp;SUBSTITUTE(TRIM(F160),"'","''")&amp;"'")&amp;", "&amp;IF(TRIM(G160&amp;"")="","NULL","'"&amp;SUBSTITUTE(TRIM(G160),"'","''")&amp;"'")&amp;", "&amp;IF(TRIM(H160&amp;"")="","NULL","'"&amp;SUBSTITUTE(TRIM(H160),"'","''")&amp;"'")&amp;", "&amp;IF(TRIM(I160&amp;"")="","NULL","'"&amp;SUBSTITUTE(TRIM(I160),"'","''")&amp;"'")&amp;", "&amp;IF(TRIM(J160&amp;"")="","NULL","'"&amp;SUBSTITUTE(TRIM(J160),"'","''")&amp;"'")&amp;", "&amp;IF(UPPER(TRIM(K160&amp;""))="SI","TRUE","FALSE")&amp;", 1"&amp;" WHERE NOT EXISTS (SELECT 1 FROM cli_contacto c WHERE c.id_cliente = "&amp;"(SELECT id FROM cli_clientes WHERE numero_documento = '"&amp;SUBSTITUTE(TRIM(A160),"'","''")&amp;"' AND estado = 1 LIMIT 1)"&amp;" AND upper(c.nombre) = upper("&amp;IF(TRIM(C160&amp;"")="","NULL","'"&amp;SUBSTITUTE(TRIM(C160),"'","''")&amp;"'")&amp;") AND coalesce(c.telefono1,'') = coalesce("&amp;IF(TRIM(F160&amp;"")="","NULL","'"&amp;SUBSTITUTE(TRIM(F160),"'","''")&amp;"'")&amp;",''));")</f>
        <v/>
      </c>
    </row>
    <row r="161" ht="15.75" customHeight="1" s="64">
      <c r="A161" s="23" t="n"/>
      <c r="B161" s="25">
        <f t="array" ref="B161">IF(A161="","",IFERROR(IF(INDEX(Clientes!$D$5:$D$549,MATCH(A161,Clientes!$C$5:$C$549,0))&lt;&gt;"",INDEX(Clientes!$D$5:$D$549,MATCH(A161,Clientes!$C$5:$C$549,0)),TRIM(INDEX(Clientes!$E$5:$E$549,MATCH(A161,Clientes!$C$5:$C$549,0))&amp;" "&amp;INDEX(Clientes!$F$5:$F$549,MATCH(A161,Clientes!$C$5:$C$549,0)))),"NO EXISTE en Clientes"))</f>
        <v/>
      </c>
      <c r="C161" s="17" t="n"/>
      <c r="D161" s="17" t="n"/>
      <c r="E161" s="17" t="n"/>
      <c r="F161" s="23" t="n"/>
      <c r="G161" s="23" t="n"/>
      <c r="H161" s="23" t="n"/>
      <c r="I161" s="17" t="n"/>
      <c r="J161" s="17" t="n"/>
      <c r="K161" s="17" t="n"/>
      <c r="L161" s="17">
        <f>IF(AND(A161="",C161=""),"",IF(A161="","FALTA doc. cliente",IF(B161="NO EXISTE en Clientes","CLIENTE no está en hoja Clientes",IF(C161="","FALTA nombre",IF(AND(K161="SI",COUNTIFS($A$5:$A$499,A161,$K$5:$K$499,"SI")&gt;1),"Más de un contacto principal para este cliente","OK")))))</f>
        <v/>
      </c>
      <c r="M161" s="28">
        <f>IF(L161&lt;&gt;"OK","","INSERT INTO cli_contacto (id_cliente, nombre, apellido_paterno, apellido_materno, telefono1, telefono2, telefono3, email, direccion, es_principal, estado) SELECT "&amp;"(SELECT id FROM cli_clientes WHERE numero_documento = '"&amp;SUBSTITUTE(TRIM(A161),"'","''")&amp;"' AND estado = 1 LIMIT 1)"&amp;", "&amp;IF(TRIM(C161&amp;"")="","NULL","'"&amp;SUBSTITUTE(TRIM(C161),"'","''")&amp;"'")&amp;", "&amp;IF(TRIM(D161&amp;"")="","NULL","'"&amp;SUBSTITUTE(TRIM(D161),"'","''")&amp;"'")&amp;", "&amp;IF(TRIM(E161&amp;"")="","NULL","'"&amp;SUBSTITUTE(TRIM(E161),"'","''")&amp;"'")&amp;", "&amp;IF(TRIM(F161&amp;"")="","NULL","'"&amp;SUBSTITUTE(TRIM(F161),"'","''")&amp;"'")&amp;", "&amp;IF(TRIM(G161&amp;"")="","NULL","'"&amp;SUBSTITUTE(TRIM(G161),"'","''")&amp;"'")&amp;", "&amp;IF(TRIM(H161&amp;"")="","NULL","'"&amp;SUBSTITUTE(TRIM(H161),"'","''")&amp;"'")&amp;", "&amp;IF(TRIM(I161&amp;"")="","NULL","'"&amp;SUBSTITUTE(TRIM(I161),"'","''")&amp;"'")&amp;", "&amp;IF(TRIM(J161&amp;"")="","NULL","'"&amp;SUBSTITUTE(TRIM(J161),"'","''")&amp;"'")&amp;", "&amp;IF(UPPER(TRIM(K161&amp;""))="SI","TRUE","FALSE")&amp;", 1"&amp;" WHERE NOT EXISTS (SELECT 1 FROM cli_contacto c WHERE c.id_cliente = "&amp;"(SELECT id FROM cli_clientes WHERE numero_documento = '"&amp;SUBSTITUTE(TRIM(A161),"'","''")&amp;"' AND estado = 1 LIMIT 1)"&amp;" AND upper(c.nombre) = upper("&amp;IF(TRIM(C161&amp;"")="","NULL","'"&amp;SUBSTITUTE(TRIM(C161),"'","''")&amp;"'")&amp;") AND coalesce(c.telefono1,'') = coalesce("&amp;IF(TRIM(F161&amp;"")="","NULL","'"&amp;SUBSTITUTE(TRIM(F161),"'","''")&amp;"'")&amp;",''));")</f>
        <v/>
      </c>
    </row>
    <row r="162" ht="15.75" customHeight="1" s="64">
      <c r="A162" s="23" t="n"/>
      <c r="B162" s="25">
        <f t="array" ref="B162">IF(A162="","",IFERROR(IF(INDEX(Clientes!$D$5:$D$549,MATCH(A162,Clientes!$C$5:$C$549,0))&lt;&gt;"",INDEX(Clientes!$D$5:$D$549,MATCH(A162,Clientes!$C$5:$C$549,0)),TRIM(INDEX(Clientes!$E$5:$E$549,MATCH(A162,Clientes!$C$5:$C$549,0))&amp;" "&amp;INDEX(Clientes!$F$5:$F$549,MATCH(A162,Clientes!$C$5:$C$549,0)))),"NO EXISTE en Clientes"))</f>
        <v/>
      </c>
      <c r="C162" s="17" t="n"/>
      <c r="D162" s="17" t="n"/>
      <c r="E162" s="17" t="n"/>
      <c r="F162" s="23" t="n"/>
      <c r="G162" s="23" t="n"/>
      <c r="H162" s="23" t="n"/>
      <c r="I162" s="17" t="n"/>
      <c r="J162" s="17" t="n"/>
      <c r="K162" s="17" t="n"/>
      <c r="L162" s="17">
        <f>IF(AND(A162="",C162=""),"",IF(A162="","FALTA doc. cliente",IF(B162="NO EXISTE en Clientes","CLIENTE no está en hoja Clientes",IF(C162="","FALTA nombre",IF(AND(K162="SI",COUNTIFS($A$5:$A$499,A162,$K$5:$K$499,"SI")&gt;1),"Más de un contacto principal para este cliente","OK")))))</f>
        <v/>
      </c>
      <c r="M162" s="28">
        <f>IF(L162&lt;&gt;"OK","","INSERT INTO cli_contacto (id_cliente, nombre, apellido_paterno, apellido_materno, telefono1, telefono2, telefono3, email, direccion, es_principal, estado) SELECT "&amp;"(SELECT id FROM cli_clientes WHERE numero_documento = '"&amp;SUBSTITUTE(TRIM(A162),"'","''")&amp;"' AND estado = 1 LIMIT 1)"&amp;", "&amp;IF(TRIM(C162&amp;"")="","NULL","'"&amp;SUBSTITUTE(TRIM(C162),"'","''")&amp;"'")&amp;", "&amp;IF(TRIM(D162&amp;"")="","NULL","'"&amp;SUBSTITUTE(TRIM(D162),"'","''")&amp;"'")&amp;", "&amp;IF(TRIM(E162&amp;"")="","NULL","'"&amp;SUBSTITUTE(TRIM(E162),"'","''")&amp;"'")&amp;", "&amp;IF(TRIM(F162&amp;"")="","NULL","'"&amp;SUBSTITUTE(TRIM(F162),"'","''")&amp;"'")&amp;", "&amp;IF(TRIM(G162&amp;"")="","NULL","'"&amp;SUBSTITUTE(TRIM(G162),"'","''")&amp;"'")&amp;", "&amp;IF(TRIM(H162&amp;"")="","NULL","'"&amp;SUBSTITUTE(TRIM(H162),"'","''")&amp;"'")&amp;", "&amp;IF(TRIM(I162&amp;"")="","NULL","'"&amp;SUBSTITUTE(TRIM(I162),"'","''")&amp;"'")&amp;", "&amp;IF(TRIM(J162&amp;"")="","NULL","'"&amp;SUBSTITUTE(TRIM(J162),"'","''")&amp;"'")&amp;", "&amp;IF(UPPER(TRIM(K162&amp;""))="SI","TRUE","FALSE")&amp;", 1"&amp;" WHERE NOT EXISTS (SELECT 1 FROM cli_contacto c WHERE c.id_cliente = "&amp;"(SELECT id FROM cli_clientes WHERE numero_documento = '"&amp;SUBSTITUTE(TRIM(A162),"'","''")&amp;"' AND estado = 1 LIMIT 1)"&amp;" AND upper(c.nombre) = upper("&amp;IF(TRIM(C162&amp;"")="","NULL","'"&amp;SUBSTITUTE(TRIM(C162),"'","''")&amp;"'")&amp;") AND coalesce(c.telefono1,'') = coalesce("&amp;IF(TRIM(F162&amp;"")="","NULL","'"&amp;SUBSTITUTE(TRIM(F162),"'","''")&amp;"'")&amp;",''));")</f>
        <v/>
      </c>
    </row>
    <row r="163" ht="15.75" customHeight="1" s="64">
      <c r="A163" s="23" t="n"/>
      <c r="B163" s="25">
        <f t="array" ref="B163">IF(A163="","",IFERROR(IF(INDEX(Clientes!$D$5:$D$549,MATCH(A163,Clientes!$C$5:$C$549,0))&lt;&gt;"",INDEX(Clientes!$D$5:$D$549,MATCH(A163,Clientes!$C$5:$C$549,0)),TRIM(INDEX(Clientes!$E$5:$E$549,MATCH(A163,Clientes!$C$5:$C$549,0))&amp;" "&amp;INDEX(Clientes!$F$5:$F$549,MATCH(A163,Clientes!$C$5:$C$549,0)))),"NO EXISTE en Clientes"))</f>
        <v/>
      </c>
      <c r="C163" s="17" t="n"/>
      <c r="D163" s="17" t="n"/>
      <c r="E163" s="17" t="n"/>
      <c r="F163" s="23" t="n"/>
      <c r="G163" s="23" t="n"/>
      <c r="H163" s="23" t="n"/>
      <c r="I163" s="17" t="n"/>
      <c r="J163" s="17" t="n"/>
      <c r="K163" s="17" t="n"/>
      <c r="L163" s="17">
        <f>IF(AND(A163="",C163=""),"",IF(A163="","FALTA doc. cliente",IF(B163="NO EXISTE en Clientes","CLIENTE no está en hoja Clientes",IF(C163="","FALTA nombre",IF(AND(K163="SI",COUNTIFS($A$5:$A$499,A163,$K$5:$K$499,"SI")&gt;1),"Más de un contacto principal para este cliente","OK")))))</f>
        <v/>
      </c>
      <c r="M163" s="28">
        <f>IF(L163&lt;&gt;"OK","","INSERT INTO cli_contacto (id_cliente, nombre, apellido_paterno, apellido_materno, telefono1, telefono2, telefono3, email, direccion, es_principal, estado) SELECT "&amp;"(SELECT id FROM cli_clientes WHERE numero_documento = '"&amp;SUBSTITUTE(TRIM(A163),"'","''")&amp;"' AND estado = 1 LIMIT 1)"&amp;", "&amp;IF(TRIM(C163&amp;"")="","NULL","'"&amp;SUBSTITUTE(TRIM(C163),"'","''")&amp;"'")&amp;", "&amp;IF(TRIM(D163&amp;"")="","NULL","'"&amp;SUBSTITUTE(TRIM(D163),"'","''")&amp;"'")&amp;", "&amp;IF(TRIM(E163&amp;"")="","NULL","'"&amp;SUBSTITUTE(TRIM(E163),"'","''")&amp;"'")&amp;", "&amp;IF(TRIM(F163&amp;"")="","NULL","'"&amp;SUBSTITUTE(TRIM(F163),"'","''")&amp;"'")&amp;", "&amp;IF(TRIM(G163&amp;"")="","NULL","'"&amp;SUBSTITUTE(TRIM(G163),"'","''")&amp;"'")&amp;", "&amp;IF(TRIM(H163&amp;"")="","NULL","'"&amp;SUBSTITUTE(TRIM(H163),"'","''")&amp;"'")&amp;", "&amp;IF(TRIM(I163&amp;"")="","NULL","'"&amp;SUBSTITUTE(TRIM(I163),"'","''")&amp;"'")&amp;", "&amp;IF(TRIM(J163&amp;"")="","NULL","'"&amp;SUBSTITUTE(TRIM(J163),"'","''")&amp;"'")&amp;", "&amp;IF(UPPER(TRIM(K163&amp;""))="SI","TRUE","FALSE")&amp;", 1"&amp;" WHERE NOT EXISTS (SELECT 1 FROM cli_contacto c WHERE c.id_cliente = "&amp;"(SELECT id FROM cli_clientes WHERE numero_documento = '"&amp;SUBSTITUTE(TRIM(A163),"'","''")&amp;"' AND estado = 1 LIMIT 1)"&amp;" AND upper(c.nombre) = upper("&amp;IF(TRIM(C163&amp;"")="","NULL","'"&amp;SUBSTITUTE(TRIM(C163),"'","''")&amp;"'")&amp;") AND coalesce(c.telefono1,'') = coalesce("&amp;IF(TRIM(F163&amp;"")="","NULL","'"&amp;SUBSTITUTE(TRIM(F163),"'","''")&amp;"'")&amp;",''));")</f>
        <v/>
      </c>
    </row>
    <row r="164" ht="15.75" customHeight="1" s="64">
      <c r="A164" s="23" t="n"/>
      <c r="B164" s="25">
        <f t="array" ref="B164">IF(A164="","",IFERROR(IF(INDEX(Clientes!$D$5:$D$549,MATCH(A164,Clientes!$C$5:$C$549,0))&lt;&gt;"",INDEX(Clientes!$D$5:$D$549,MATCH(A164,Clientes!$C$5:$C$549,0)),TRIM(INDEX(Clientes!$E$5:$E$549,MATCH(A164,Clientes!$C$5:$C$549,0))&amp;" "&amp;INDEX(Clientes!$F$5:$F$549,MATCH(A164,Clientes!$C$5:$C$549,0)))),"NO EXISTE en Clientes"))</f>
        <v/>
      </c>
      <c r="C164" s="17" t="n"/>
      <c r="D164" s="17" t="n"/>
      <c r="E164" s="17" t="n"/>
      <c r="F164" s="23" t="n"/>
      <c r="G164" s="23" t="n"/>
      <c r="H164" s="23" t="n"/>
      <c r="I164" s="17" t="n"/>
      <c r="J164" s="17" t="n"/>
      <c r="K164" s="17" t="n"/>
      <c r="L164" s="17">
        <f>IF(AND(A164="",C164=""),"",IF(A164="","FALTA doc. cliente",IF(B164="NO EXISTE en Clientes","CLIENTE no está en hoja Clientes",IF(C164="","FALTA nombre",IF(AND(K164="SI",COUNTIFS($A$5:$A$499,A164,$K$5:$K$499,"SI")&gt;1),"Más de un contacto principal para este cliente","OK")))))</f>
        <v/>
      </c>
      <c r="M164" s="28">
        <f>IF(L164&lt;&gt;"OK","","INSERT INTO cli_contacto (id_cliente, nombre, apellido_paterno, apellido_materno, telefono1, telefono2, telefono3, email, direccion, es_principal, estado) SELECT "&amp;"(SELECT id FROM cli_clientes WHERE numero_documento = '"&amp;SUBSTITUTE(TRIM(A164),"'","''")&amp;"' AND estado = 1 LIMIT 1)"&amp;", "&amp;IF(TRIM(C164&amp;"")="","NULL","'"&amp;SUBSTITUTE(TRIM(C164),"'","''")&amp;"'")&amp;", "&amp;IF(TRIM(D164&amp;"")="","NULL","'"&amp;SUBSTITUTE(TRIM(D164),"'","''")&amp;"'")&amp;", "&amp;IF(TRIM(E164&amp;"")="","NULL","'"&amp;SUBSTITUTE(TRIM(E164),"'","''")&amp;"'")&amp;", "&amp;IF(TRIM(F164&amp;"")="","NULL","'"&amp;SUBSTITUTE(TRIM(F164),"'","''")&amp;"'")&amp;", "&amp;IF(TRIM(G164&amp;"")="","NULL","'"&amp;SUBSTITUTE(TRIM(G164),"'","''")&amp;"'")&amp;", "&amp;IF(TRIM(H164&amp;"")="","NULL","'"&amp;SUBSTITUTE(TRIM(H164),"'","''")&amp;"'")&amp;", "&amp;IF(TRIM(I164&amp;"")="","NULL","'"&amp;SUBSTITUTE(TRIM(I164),"'","''")&amp;"'")&amp;", "&amp;IF(TRIM(J164&amp;"")="","NULL","'"&amp;SUBSTITUTE(TRIM(J164),"'","''")&amp;"'")&amp;", "&amp;IF(UPPER(TRIM(K164&amp;""))="SI","TRUE","FALSE")&amp;", 1"&amp;" WHERE NOT EXISTS (SELECT 1 FROM cli_contacto c WHERE c.id_cliente = "&amp;"(SELECT id FROM cli_clientes WHERE numero_documento = '"&amp;SUBSTITUTE(TRIM(A164),"'","''")&amp;"' AND estado = 1 LIMIT 1)"&amp;" AND upper(c.nombre) = upper("&amp;IF(TRIM(C164&amp;"")="","NULL","'"&amp;SUBSTITUTE(TRIM(C164),"'","''")&amp;"'")&amp;") AND coalesce(c.telefono1,'') = coalesce("&amp;IF(TRIM(F164&amp;"")="","NULL","'"&amp;SUBSTITUTE(TRIM(F164),"'","''")&amp;"'")&amp;",''));")</f>
        <v/>
      </c>
    </row>
    <row r="165" ht="15.75" customHeight="1" s="64">
      <c r="A165" s="23" t="n"/>
      <c r="B165" s="25">
        <f t="array" ref="B165">IF(A165="","",IFERROR(IF(INDEX(Clientes!$D$5:$D$549,MATCH(A165,Clientes!$C$5:$C$549,0))&lt;&gt;"",INDEX(Clientes!$D$5:$D$549,MATCH(A165,Clientes!$C$5:$C$549,0)),TRIM(INDEX(Clientes!$E$5:$E$549,MATCH(A165,Clientes!$C$5:$C$549,0))&amp;" "&amp;INDEX(Clientes!$F$5:$F$549,MATCH(A165,Clientes!$C$5:$C$549,0)))),"NO EXISTE en Clientes"))</f>
        <v/>
      </c>
      <c r="C165" s="17" t="n"/>
      <c r="D165" s="17" t="n"/>
      <c r="E165" s="17" t="n"/>
      <c r="F165" s="23" t="n"/>
      <c r="G165" s="23" t="n"/>
      <c r="H165" s="23" t="n"/>
      <c r="I165" s="17" t="n"/>
      <c r="J165" s="17" t="n"/>
      <c r="K165" s="17" t="n"/>
      <c r="L165" s="17">
        <f>IF(AND(A165="",C165=""),"",IF(A165="","FALTA doc. cliente",IF(B165="NO EXISTE en Clientes","CLIENTE no está en hoja Clientes",IF(C165="","FALTA nombre",IF(AND(K165="SI",COUNTIFS($A$5:$A$499,A165,$K$5:$K$499,"SI")&gt;1),"Más de un contacto principal para este cliente","OK")))))</f>
        <v/>
      </c>
      <c r="M165" s="28">
        <f>IF(L165&lt;&gt;"OK","","INSERT INTO cli_contacto (id_cliente, nombre, apellido_paterno, apellido_materno, telefono1, telefono2, telefono3, email, direccion, es_principal, estado) SELECT "&amp;"(SELECT id FROM cli_clientes WHERE numero_documento = '"&amp;SUBSTITUTE(TRIM(A165),"'","''")&amp;"' AND estado = 1 LIMIT 1)"&amp;", "&amp;IF(TRIM(C165&amp;"")="","NULL","'"&amp;SUBSTITUTE(TRIM(C165),"'","''")&amp;"'")&amp;", "&amp;IF(TRIM(D165&amp;"")="","NULL","'"&amp;SUBSTITUTE(TRIM(D165),"'","''")&amp;"'")&amp;", "&amp;IF(TRIM(E165&amp;"")="","NULL","'"&amp;SUBSTITUTE(TRIM(E165),"'","''")&amp;"'")&amp;", "&amp;IF(TRIM(F165&amp;"")="","NULL","'"&amp;SUBSTITUTE(TRIM(F165),"'","''")&amp;"'")&amp;", "&amp;IF(TRIM(G165&amp;"")="","NULL","'"&amp;SUBSTITUTE(TRIM(G165),"'","''")&amp;"'")&amp;", "&amp;IF(TRIM(H165&amp;"")="","NULL","'"&amp;SUBSTITUTE(TRIM(H165),"'","''")&amp;"'")&amp;", "&amp;IF(TRIM(I165&amp;"")="","NULL","'"&amp;SUBSTITUTE(TRIM(I165),"'","''")&amp;"'")&amp;", "&amp;IF(TRIM(J165&amp;"")="","NULL","'"&amp;SUBSTITUTE(TRIM(J165),"'","''")&amp;"'")&amp;", "&amp;IF(UPPER(TRIM(K165&amp;""))="SI","TRUE","FALSE")&amp;", 1"&amp;" WHERE NOT EXISTS (SELECT 1 FROM cli_contacto c WHERE c.id_cliente = "&amp;"(SELECT id FROM cli_clientes WHERE numero_documento = '"&amp;SUBSTITUTE(TRIM(A165),"'","''")&amp;"' AND estado = 1 LIMIT 1)"&amp;" AND upper(c.nombre) = upper("&amp;IF(TRIM(C165&amp;"")="","NULL","'"&amp;SUBSTITUTE(TRIM(C165),"'","''")&amp;"'")&amp;") AND coalesce(c.telefono1,'') = coalesce("&amp;IF(TRIM(F165&amp;"")="","NULL","'"&amp;SUBSTITUTE(TRIM(F165),"'","''")&amp;"'")&amp;",''));")</f>
        <v/>
      </c>
    </row>
    <row r="166" ht="15.75" customHeight="1" s="64">
      <c r="A166" s="23" t="n"/>
      <c r="B166" s="25">
        <f t="array" ref="B166">IF(A166="","",IFERROR(IF(INDEX(Clientes!$D$5:$D$549,MATCH(A166,Clientes!$C$5:$C$549,0))&lt;&gt;"",INDEX(Clientes!$D$5:$D$549,MATCH(A166,Clientes!$C$5:$C$549,0)),TRIM(INDEX(Clientes!$E$5:$E$549,MATCH(A166,Clientes!$C$5:$C$549,0))&amp;" "&amp;INDEX(Clientes!$F$5:$F$549,MATCH(A166,Clientes!$C$5:$C$549,0)))),"NO EXISTE en Clientes"))</f>
        <v/>
      </c>
      <c r="C166" s="17" t="n"/>
      <c r="D166" s="17" t="n"/>
      <c r="E166" s="17" t="n"/>
      <c r="F166" s="23" t="n"/>
      <c r="G166" s="23" t="n"/>
      <c r="H166" s="23" t="n"/>
      <c r="I166" s="17" t="n"/>
      <c r="J166" s="17" t="n"/>
      <c r="K166" s="17" t="n"/>
      <c r="L166" s="17">
        <f>IF(AND(A166="",C166=""),"",IF(A166="","FALTA doc. cliente",IF(B166="NO EXISTE en Clientes","CLIENTE no está en hoja Clientes",IF(C166="","FALTA nombre",IF(AND(K166="SI",COUNTIFS($A$5:$A$499,A166,$K$5:$K$499,"SI")&gt;1),"Más de un contacto principal para este cliente","OK")))))</f>
        <v/>
      </c>
      <c r="M166" s="28">
        <f>IF(L166&lt;&gt;"OK","","INSERT INTO cli_contacto (id_cliente, nombre, apellido_paterno, apellido_materno, telefono1, telefono2, telefono3, email, direccion, es_principal, estado) SELECT "&amp;"(SELECT id FROM cli_clientes WHERE numero_documento = '"&amp;SUBSTITUTE(TRIM(A166),"'","''")&amp;"' AND estado = 1 LIMIT 1)"&amp;", "&amp;IF(TRIM(C166&amp;"")="","NULL","'"&amp;SUBSTITUTE(TRIM(C166),"'","''")&amp;"'")&amp;", "&amp;IF(TRIM(D166&amp;"")="","NULL","'"&amp;SUBSTITUTE(TRIM(D166),"'","''")&amp;"'")&amp;", "&amp;IF(TRIM(E166&amp;"")="","NULL","'"&amp;SUBSTITUTE(TRIM(E166),"'","''")&amp;"'")&amp;", "&amp;IF(TRIM(F166&amp;"")="","NULL","'"&amp;SUBSTITUTE(TRIM(F166),"'","''")&amp;"'")&amp;", "&amp;IF(TRIM(G166&amp;"")="","NULL","'"&amp;SUBSTITUTE(TRIM(G166),"'","''")&amp;"'")&amp;", "&amp;IF(TRIM(H166&amp;"")="","NULL","'"&amp;SUBSTITUTE(TRIM(H166),"'","''")&amp;"'")&amp;", "&amp;IF(TRIM(I166&amp;"")="","NULL","'"&amp;SUBSTITUTE(TRIM(I166),"'","''")&amp;"'")&amp;", "&amp;IF(TRIM(J166&amp;"")="","NULL","'"&amp;SUBSTITUTE(TRIM(J166),"'","''")&amp;"'")&amp;", "&amp;IF(UPPER(TRIM(K166&amp;""))="SI","TRUE","FALSE")&amp;", 1"&amp;" WHERE NOT EXISTS (SELECT 1 FROM cli_contacto c WHERE c.id_cliente = "&amp;"(SELECT id FROM cli_clientes WHERE numero_documento = '"&amp;SUBSTITUTE(TRIM(A166),"'","''")&amp;"' AND estado = 1 LIMIT 1)"&amp;" AND upper(c.nombre) = upper("&amp;IF(TRIM(C166&amp;"")="","NULL","'"&amp;SUBSTITUTE(TRIM(C166),"'","''")&amp;"'")&amp;") AND coalesce(c.telefono1,'') = coalesce("&amp;IF(TRIM(F166&amp;"")="","NULL","'"&amp;SUBSTITUTE(TRIM(F166),"'","''")&amp;"'")&amp;",''));")</f>
        <v/>
      </c>
    </row>
    <row r="167" ht="15.75" customHeight="1" s="64">
      <c r="A167" s="23" t="n"/>
      <c r="B167" s="25">
        <f t="array" ref="B167">IF(A167="","",IFERROR(IF(INDEX(Clientes!$D$5:$D$549,MATCH(A167,Clientes!$C$5:$C$549,0))&lt;&gt;"",INDEX(Clientes!$D$5:$D$549,MATCH(A167,Clientes!$C$5:$C$549,0)),TRIM(INDEX(Clientes!$E$5:$E$549,MATCH(A167,Clientes!$C$5:$C$549,0))&amp;" "&amp;INDEX(Clientes!$F$5:$F$549,MATCH(A167,Clientes!$C$5:$C$549,0)))),"NO EXISTE en Clientes"))</f>
        <v/>
      </c>
      <c r="C167" s="17" t="n"/>
      <c r="D167" s="17" t="n"/>
      <c r="E167" s="17" t="n"/>
      <c r="F167" s="23" t="n"/>
      <c r="G167" s="23" t="n"/>
      <c r="H167" s="23" t="n"/>
      <c r="I167" s="17" t="n"/>
      <c r="J167" s="17" t="n"/>
      <c r="K167" s="17" t="n"/>
      <c r="L167" s="17">
        <f>IF(AND(A167="",C167=""),"",IF(A167="","FALTA doc. cliente",IF(B167="NO EXISTE en Clientes","CLIENTE no está en hoja Clientes",IF(C167="","FALTA nombre",IF(AND(K167="SI",COUNTIFS($A$5:$A$499,A167,$K$5:$K$499,"SI")&gt;1),"Más de un contacto principal para este cliente","OK")))))</f>
        <v/>
      </c>
      <c r="M167" s="28">
        <f>IF(L167&lt;&gt;"OK","","INSERT INTO cli_contacto (id_cliente, nombre, apellido_paterno, apellido_materno, telefono1, telefono2, telefono3, email, direccion, es_principal, estado) SELECT "&amp;"(SELECT id FROM cli_clientes WHERE numero_documento = '"&amp;SUBSTITUTE(TRIM(A167),"'","''")&amp;"' AND estado = 1 LIMIT 1)"&amp;", "&amp;IF(TRIM(C167&amp;"")="","NULL","'"&amp;SUBSTITUTE(TRIM(C167),"'","''")&amp;"'")&amp;", "&amp;IF(TRIM(D167&amp;"")="","NULL","'"&amp;SUBSTITUTE(TRIM(D167),"'","''")&amp;"'")&amp;", "&amp;IF(TRIM(E167&amp;"")="","NULL","'"&amp;SUBSTITUTE(TRIM(E167),"'","''")&amp;"'")&amp;", "&amp;IF(TRIM(F167&amp;"")="","NULL","'"&amp;SUBSTITUTE(TRIM(F167),"'","''")&amp;"'")&amp;", "&amp;IF(TRIM(G167&amp;"")="","NULL","'"&amp;SUBSTITUTE(TRIM(G167),"'","''")&amp;"'")&amp;", "&amp;IF(TRIM(H167&amp;"")="","NULL","'"&amp;SUBSTITUTE(TRIM(H167),"'","''")&amp;"'")&amp;", "&amp;IF(TRIM(I167&amp;"")="","NULL","'"&amp;SUBSTITUTE(TRIM(I167),"'","''")&amp;"'")&amp;", "&amp;IF(TRIM(J167&amp;"")="","NULL","'"&amp;SUBSTITUTE(TRIM(J167),"'","''")&amp;"'")&amp;", "&amp;IF(UPPER(TRIM(K167&amp;""))="SI","TRUE","FALSE")&amp;", 1"&amp;" WHERE NOT EXISTS (SELECT 1 FROM cli_contacto c WHERE c.id_cliente = "&amp;"(SELECT id FROM cli_clientes WHERE numero_documento = '"&amp;SUBSTITUTE(TRIM(A167),"'","''")&amp;"' AND estado = 1 LIMIT 1)"&amp;" AND upper(c.nombre) = upper("&amp;IF(TRIM(C167&amp;"")="","NULL","'"&amp;SUBSTITUTE(TRIM(C167),"'","''")&amp;"'")&amp;") AND coalesce(c.telefono1,'') = coalesce("&amp;IF(TRIM(F167&amp;"")="","NULL","'"&amp;SUBSTITUTE(TRIM(F167),"'","''")&amp;"'")&amp;",''));")</f>
        <v/>
      </c>
    </row>
    <row r="168" ht="15.75" customHeight="1" s="64">
      <c r="A168" s="23" t="n"/>
      <c r="B168" s="25">
        <f t="array" ref="B168">IF(A168="","",IFERROR(IF(INDEX(Clientes!$D$5:$D$549,MATCH(A168,Clientes!$C$5:$C$549,0))&lt;&gt;"",INDEX(Clientes!$D$5:$D$549,MATCH(A168,Clientes!$C$5:$C$549,0)),TRIM(INDEX(Clientes!$E$5:$E$549,MATCH(A168,Clientes!$C$5:$C$549,0))&amp;" "&amp;INDEX(Clientes!$F$5:$F$549,MATCH(A168,Clientes!$C$5:$C$549,0)))),"NO EXISTE en Clientes"))</f>
        <v/>
      </c>
      <c r="C168" s="17" t="n"/>
      <c r="D168" s="17" t="n"/>
      <c r="E168" s="17" t="n"/>
      <c r="F168" s="23" t="n"/>
      <c r="G168" s="23" t="n"/>
      <c r="H168" s="23" t="n"/>
      <c r="I168" s="17" t="n"/>
      <c r="J168" s="17" t="n"/>
      <c r="K168" s="17" t="n"/>
      <c r="L168" s="17">
        <f>IF(AND(A168="",C168=""),"",IF(A168="","FALTA doc. cliente",IF(B168="NO EXISTE en Clientes","CLIENTE no está en hoja Clientes",IF(C168="","FALTA nombre",IF(AND(K168="SI",COUNTIFS($A$5:$A$499,A168,$K$5:$K$499,"SI")&gt;1),"Más de un contacto principal para este cliente","OK")))))</f>
        <v/>
      </c>
      <c r="M168" s="28">
        <f>IF(L168&lt;&gt;"OK","","INSERT INTO cli_contacto (id_cliente, nombre, apellido_paterno, apellido_materno, telefono1, telefono2, telefono3, email, direccion, es_principal, estado) SELECT "&amp;"(SELECT id FROM cli_clientes WHERE numero_documento = '"&amp;SUBSTITUTE(TRIM(A168),"'","''")&amp;"' AND estado = 1 LIMIT 1)"&amp;", "&amp;IF(TRIM(C168&amp;"")="","NULL","'"&amp;SUBSTITUTE(TRIM(C168),"'","''")&amp;"'")&amp;", "&amp;IF(TRIM(D168&amp;"")="","NULL","'"&amp;SUBSTITUTE(TRIM(D168),"'","''")&amp;"'")&amp;", "&amp;IF(TRIM(E168&amp;"")="","NULL","'"&amp;SUBSTITUTE(TRIM(E168),"'","''")&amp;"'")&amp;", "&amp;IF(TRIM(F168&amp;"")="","NULL","'"&amp;SUBSTITUTE(TRIM(F168),"'","''")&amp;"'")&amp;", "&amp;IF(TRIM(G168&amp;"")="","NULL","'"&amp;SUBSTITUTE(TRIM(G168),"'","''")&amp;"'")&amp;", "&amp;IF(TRIM(H168&amp;"")="","NULL","'"&amp;SUBSTITUTE(TRIM(H168),"'","''")&amp;"'")&amp;", "&amp;IF(TRIM(I168&amp;"")="","NULL","'"&amp;SUBSTITUTE(TRIM(I168),"'","''")&amp;"'")&amp;", "&amp;IF(TRIM(J168&amp;"")="","NULL","'"&amp;SUBSTITUTE(TRIM(J168),"'","''")&amp;"'")&amp;", "&amp;IF(UPPER(TRIM(K168&amp;""))="SI","TRUE","FALSE")&amp;", 1"&amp;" WHERE NOT EXISTS (SELECT 1 FROM cli_contacto c WHERE c.id_cliente = "&amp;"(SELECT id FROM cli_clientes WHERE numero_documento = '"&amp;SUBSTITUTE(TRIM(A168),"'","''")&amp;"' AND estado = 1 LIMIT 1)"&amp;" AND upper(c.nombre) = upper("&amp;IF(TRIM(C168&amp;"")="","NULL","'"&amp;SUBSTITUTE(TRIM(C168),"'","''")&amp;"'")&amp;") AND coalesce(c.telefono1,'') = coalesce("&amp;IF(TRIM(F168&amp;"")="","NULL","'"&amp;SUBSTITUTE(TRIM(F168),"'","''")&amp;"'")&amp;",''));")</f>
        <v/>
      </c>
    </row>
    <row r="169" ht="15.75" customHeight="1" s="64">
      <c r="A169" s="23" t="n"/>
      <c r="B169" s="25">
        <f t="array" ref="B169">IF(A169="","",IFERROR(IF(INDEX(Clientes!$D$5:$D$549,MATCH(A169,Clientes!$C$5:$C$549,0))&lt;&gt;"",INDEX(Clientes!$D$5:$D$549,MATCH(A169,Clientes!$C$5:$C$549,0)),TRIM(INDEX(Clientes!$E$5:$E$549,MATCH(A169,Clientes!$C$5:$C$549,0))&amp;" "&amp;INDEX(Clientes!$F$5:$F$549,MATCH(A169,Clientes!$C$5:$C$549,0)))),"NO EXISTE en Clientes"))</f>
        <v/>
      </c>
      <c r="C169" s="17" t="n"/>
      <c r="D169" s="17" t="n"/>
      <c r="E169" s="17" t="n"/>
      <c r="F169" s="23" t="n"/>
      <c r="G169" s="23" t="n"/>
      <c r="H169" s="23" t="n"/>
      <c r="I169" s="17" t="n"/>
      <c r="J169" s="17" t="n"/>
      <c r="K169" s="17" t="n"/>
      <c r="L169" s="17">
        <f>IF(AND(A169="",C169=""),"",IF(A169="","FALTA doc. cliente",IF(B169="NO EXISTE en Clientes","CLIENTE no está en hoja Clientes",IF(C169="","FALTA nombre",IF(AND(K169="SI",COUNTIFS($A$5:$A$499,A169,$K$5:$K$499,"SI")&gt;1),"Más de un contacto principal para este cliente","OK")))))</f>
        <v/>
      </c>
      <c r="M169" s="28">
        <f>IF(L169&lt;&gt;"OK","","INSERT INTO cli_contacto (id_cliente, nombre, apellido_paterno, apellido_materno, telefono1, telefono2, telefono3, email, direccion, es_principal, estado) SELECT "&amp;"(SELECT id FROM cli_clientes WHERE numero_documento = '"&amp;SUBSTITUTE(TRIM(A169),"'","''")&amp;"' AND estado = 1 LIMIT 1)"&amp;", "&amp;IF(TRIM(C169&amp;"")="","NULL","'"&amp;SUBSTITUTE(TRIM(C169),"'","''")&amp;"'")&amp;", "&amp;IF(TRIM(D169&amp;"")="","NULL","'"&amp;SUBSTITUTE(TRIM(D169),"'","''")&amp;"'")&amp;", "&amp;IF(TRIM(E169&amp;"")="","NULL","'"&amp;SUBSTITUTE(TRIM(E169),"'","''")&amp;"'")&amp;", "&amp;IF(TRIM(F169&amp;"")="","NULL","'"&amp;SUBSTITUTE(TRIM(F169),"'","''")&amp;"'")&amp;", "&amp;IF(TRIM(G169&amp;"")="","NULL","'"&amp;SUBSTITUTE(TRIM(G169),"'","''")&amp;"'")&amp;", "&amp;IF(TRIM(H169&amp;"")="","NULL","'"&amp;SUBSTITUTE(TRIM(H169),"'","''")&amp;"'")&amp;", "&amp;IF(TRIM(I169&amp;"")="","NULL","'"&amp;SUBSTITUTE(TRIM(I169),"'","''")&amp;"'")&amp;", "&amp;IF(TRIM(J169&amp;"")="","NULL","'"&amp;SUBSTITUTE(TRIM(J169),"'","''")&amp;"'")&amp;", "&amp;IF(UPPER(TRIM(K169&amp;""))="SI","TRUE","FALSE")&amp;", 1"&amp;" WHERE NOT EXISTS (SELECT 1 FROM cli_contacto c WHERE c.id_cliente = "&amp;"(SELECT id FROM cli_clientes WHERE numero_documento = '"&amp;SUBSTITUTE(TRIM(A169),"'","''")&amp;"' AND estado = 1 LIMIT 1)"&amp;" AND upper(c.nombre) = upper("&amp;IF(TRIM(C169&amp;"")="","NULL","'"&amp;SUBSTITUTE(TRIM(C169),"'","''")&amp;"'")&amp;") AND coalesce(c.telefono1,'') = coalesce("&amp;IF(TRIM(F169&amp;"")="","NULL","'"&amp;SUBSTITUTE(TRIM(F169),"'","''")&amp;"'")&amp;",''));")</f>
        <v/>
      </c>
    </row>
    <row r="170" ht="15.75" customHeight="1" s="64">
      <c r="A170" s="23" t="n"/>
      <c r="B170" s="25">
        <f t="array" ref="B170">IF(A170="","",IFERROR(IF(INDEX(Clientes!$D$5:$D$549,MATCH(A170,Clientes!$C$5:$C$549,0))&lt;&gt;"",INDEX(Clientes!$D$5:$D$549,MATCH(A170,Clientes!$C$5:$C$549,0)),TRIM(INDEX(Clientes!$E$5:$E$549,MATCH(A170,Clientes!$C$5:$C$549,0))&amp;" "&amp;INDEX(Clientes!$F$5:$F$549,MATCH(A170,Clientes!$C$5:$C$549,0)))),"NO EXISTE en Clientes"))</f>
        <v/>
      </c>
      <c r="C170" s="17" t="n"/>
      <c r="D170" s="17" t="n"/>
      <c r="E170" s="17" t="n"/>
      <c r="F170" s="23" t="n"/>
      <c r="G170" s="23" t="n"/>
      <c r="H170" s="23" t="n"/>
      <c r="I170" s="17" t="n"/>
      <c r="J170" s="17" t="n"/>
      <c r="K170" s="17" t="n"/>
      <c r="L170" s="17">
        <f>IF(AND(A170="",C170=""),"",IF(A170="","FALTA doc. cliente",IF(B170="NO EXISTE en Clientes","CLIENTE no está en hoja Clientes",IF(C170="","FALTA nombre",IF(AND(K170="SI",COUNTIFS($A$5:$A$499,A170,$K$5:$K$499,"SI")&gt;1),"Más de un contacto principal para este cliente","OK")))))</f>
        <v/>
      </c>
      <c r="M170" s="28">
        <f>IF(L170&lt;&gt;"OK","","INSERT INTO cli_contacto (id_cliente, nombre, apellido_paterno, apellido_materno, telefono1, telefono2, telefono3, email, direccion, es_principal, estado) SELECT "&amp;"(SELECT id FROM cli_clientes WHERE numero_documento = '"&amp;SUBSTITUTE(TRIM(A170),"'","''")&amp;"' AND estado = 1 LIMIT 1)"&amp;", "&amp;IF(TRIM(C170&amp;"")="","NULL","'"&amp;SUBSTITUTE(TRIM(C170),"'","''")&amp;"'")&amp;", "&amp;IF(TRIM(D170&amp;"")="","NULL","'"&amp;SUBSTITUTE(TRIM(D170),"'","''")&amp;"'")&amp;", "&amp;IF(TRIM(E170&amp;"")="","NULL","'"&amp;SUBSTITUTE(TRIM(E170),"'","''")&amp;"'")&amp;", "&amp;IF(TRIM(F170&amp;"")="","NULL","'"&amp;SUBSTITUTE(TRIM(F170),"'","''")&amp;"'")&amp;", "&amp;IF(TRIM(G170&amp;"")="","NULL","'"&amp;SUBSTITUTE(TRIM(G170),"'","''")&amp;"'")&amp;", "&amp;IF(TRIM(H170&amp;"")="","NULL","'"&amp;SUBSTITUTE(TRIM(H170),"'","''")&amp;"'")&amp;", "&amp;IF(TRIM(I170&amp;"")="","NULL","'"&amp;SUBSTITUTE(TRIM(I170),"'","''")&amp;"'")&amp;", "&amp;IF(TRIM(J170&amp;"")="","NULL","'"&amp;SUBSTITUTE(TRIM(J170),"'","''")&amp;"'")&amp;", "&amp;IF(UPPER(TRIM(K170&amp;""))="SI","TRUE","FALSE")&amp;", 1"&amp;" WHERE NOT EXISTS (SELECT 1 FROM cli_contacto c WHERE c.id_cliente = "&amp;"(SELECT id FROM cli_clientes WHERE numero_documento = '"&amp;SUBSTITUTE(TRIM(A170),"'","''")&amp;"' AND estado = 1 LIMIT 1)"&amp;" AND upper(c.nombre) = upper("&amp;IF(TRIM(C170&amp;"")="","NULL","'"&amp;SUBSTITUTE(TRIM(C170),"'","''")&amp;"'")&amp;") AND coalesce(c.telefono1,'') = coalesce("&amp;IF(TRIM(F170&amp;"")="","NULL","'"&amp;SUBSTITUTE(TRIM(F170),"'","''")&amp;"'")&amp;",''));")</f>
        <v/>
      </c>
    </row>
    <row r="171" ht="15.75" customHeight="1" s="64">
      <c r="A171" s="23" t="n"/>
      <c r="B171" s="25">
        <f t="array" ref="B171">IF(A171="","",IFERROR(IF(INDEX(Clientes!$D$5:$D$549,MATCH(A171,Clientes!$C$5:$C$549,0))&lt;&gt;"",INDEX(Clientes!$D$5:$D$549,MATCH(A171,Clientes!$C$5:$C$549,0)),TRIM(INDEX(Clientes!$E$5:$E$549,MATCH(A171,Clientes!$C$5:$C$549,0))&amp;" "&amp;INDEX(Clientes!$F$5:$F$549,MATCH(A171,Clientes!$C$5:$C$549,0)))),"NO EXISTE en Clientes"))</f>
        <v/>
      </c>
      <c r="C171" s="17" t="n"/>
      <c r="D171" s="17" t="n"/>
      <c r="E171" s="17" t="n"/>
      <c r="F171" s="23" t="n"/>
      <c r="G171" s="23" t="n"/>
      <c r="H171" s="23" t="n"/>
      <c r="I171" s="17" t="n"/>
      <c r="J171" s="17" t="n"/>
      <c r="K171" s="17" t="n"/>
      <c r="L171" s="17">
        <f>IF(AND(A171="",C171=""),"",IF(A171="","FALTA doc. cliente",IF(B171="NO EXISTE en Clientes","CLIENTE no está en hoja Clientes",IF(C171="","FALTA nombre",IF(AND(K171="SI",COUNTIFS($A$5:$A$499,A171,$K$5:$K$499,"SI")&gt;1),"Más de un contacto principal para este cliente","OK")))))</f>
        <v/>
      </c>
      <c r="M171" s="28">
        <f>IF(L171&lt;&gt;"OK","","INSERT INTO cli_contacto (id_cliente, nombre, apellido_paterno, apellido_materno, telefono1, telefono2, telefono3, email, direccion, es_principal, estado) SELECT "&amp;"(SELECT id FROM cli_clientes WHERE numero_documento = '"&amp;SUBSTITUTE(TRIM(A171),"'","''")&amp;"' AND estado = 1 LIMIT 1)"&amp;", "&amp;IF(TRIM(C171&amp;"")="","NULL","'"&amp;SUBSTITUTE(TRIM(C171),"'","''")&amp;"'")&amp;", "&amp;IF(TRIM(D171&amp;"")="","NULL","'"&amp;SUBSTITUTE(TRIM(D171),"'","''")&amp;"'")&amp;", "&amp;IF(TRIM(E171&amp;"")="","NULL","'"&amp;SUBSTITUTE(TRIM(E171),"'","''")&amp;"'")&amp;", "&amp;IF(TRIM(F171&amp;"")="","NULL","'"&amp;SUBSTITUTE(TRIM(F171),"'","''")&amp;"'")&amp;", "&amp;IF(TRIM(G171&amp;"")="","NULL","'"&amp;SUBSTITUTE(TRIM(G171),"'","''")&amp;"'")&amp;", "&amp;IF(TRIM(H171&amp;"")="","NULL","'"&amp;SUBSTITUTE(TRIM(H171),"'","''")&amp;"'")&amp;", "&amp;IF(TRIM(I171&amp;"")="","NULL","'"&amp;SUBSTITUTE(TRIM(I171),"'","''")&amp;"'")&amp;", "&amp;IF(TRIM(J171&amp;"")="","NULL","'"&amp;SUBSTITUTE(TRIM(J171),"'","''")&amp;"'")&amp;", "&amp;IF(UPPER(TRIM(K171&amp;""))="SI","TRUE","FALSE")&amp;", 1"&amp;" WHERE NOT EXISTS (SELECT 1 FROM cli_contacto c WHERE c.id_cliente = "&amp;"(SELECT id FROM cli_clientes WHERE numero_documento = '"&amp;SUBSTITUTE(TRIM(A171),"'","''")&amp;"' AND estado = 1 LIMIT 1)"&amp;" AND upper(c.nombre) = upper("&amp;IF(TRIM(C171&amp;"")="","NULL","'"&amp;SUBSTITUTE(TRIM(C171),"'","''")&amp;"'")&amp;") AND coalesce(c.telefono1,'') = coalesce("&amp;IF(TRIM(F171&amp;"")="","NULL","'"&amp;SUBSTITUTE(TRIM(F171),"'","''")&amp;"'")&amp;",''));")</f>
        <v/>
      </c>
    </row>
    <row r="172" ht="15.75" customHeight="1" s="64">
      <c r="A172" s="23" t="n"/>
      <c r="B172" s="25">
        <f t="array" ref="B172">IF(A172="","",IFERROR(IF(INDEX(Clientes!$D$5:$D$549,MATCH(A172,Clientes!$C$5:$C$549,0))&lt;&gt;"",INDEX(Clientes!$D$5:$D$549,MATCH(A172,Clientes!$C$5:$C$549,0)),TRIM(INDEX(Clientes!$E$5:$E$549,MATCH(A172,Clientes!$C$5:$C$549,0))&amp;" "&amp;INDEX(Clientes!$F$5:$F$549,MATCH(A172,Clientes!$C$5:$C$549,0)))),"NO EXISTE en Clientes"))</f>
        <v/>
      </c>
      <c r="C172" s="17" t="n"/>
      <c r="D172" s="17" t="n"/>
      <c r="E172" s="17" t="n"/>
      <c r="F172" s="23" t="n"/>
      <c r="G172" s="23" t="n"/>
      <c r="H172" s="23" t="n"/>
      <c r="I172" s="17" t="n"/>
      <c r="J172" s="17" t="n"/>
      <c r="K172" s="17" t="n"/>
      <c r="L172" s="17">
        <f>IF(AND(A172="",C172=""),"",IF(A172="","FALTA doc. cliente",IF(B172="NO EXISTE en Clientes","CLIENTE no está en hoja Clientes",IF(C172="","FALTA nombre",IF(AND(K172="SI",COUNTIFS($A$5:$A$499,A172,$K$5:$K$499,"SI")&gt;1),"Más de un contacto principal para este cliente","OK")))))</f>
        <v/>
      </c>
      <c r="M172" s="28">
        <f>IF(L172&lt;&gt;"OK","","INSERT INTO cli_contacto (id_cliente, nombre, apellido_paterno, apellido_materno, telefono1, telefono2, telefono3, email, direccion, es_principal, estado) SELECT "&amp;"(SELECT id FROM cli_clientes WHERE numero_documento = '"&amp;SUBSTITUTE(TRIM(A172),"'","''")&amp;"' AND estado = 1 LIMIT 1)"&amp;", "&amp;IF(TRIM(C172&amp;"")="","NULL","'"&amp;SUBSTITUTE(TRIM(C172),"'","''")&amp;"'")&amp;", "&amp;IF(TRIM(D172&amp;"")="","NULL","'"&amp;SUBSTITUTE(TRIM(D172),"'","''")&amp;"'")&amp;", "&amp;IF(TRIM(E172&amp;"")="","NULL","'"&amp;SUBSTITUTE(TRIM(E172),"'","''")&amp;"'")&amp;", "&amp;IF(TRIM(F172&amp;"")="","NULL","'"&amp;SUBSTITUTE(TRIM(F172),"'","''")&amp;"'")&amp;", "&amp;IF(TRIM(G172&amp;"")="","NULL","'"&amp;SUBSTITUTE(TRIM(G172),"'","''")&amp;"'")&amp;", "&amp;IF(TRIM(H172&amp;"")="","NULL","'"&amp;SUBSTITUTE(TRIM(H172),"'","''")&amp;"'")&amp;", "&amp;IF(TRIM(I172&amp;"")="","NULL","'"&amp;SUBSTITUTE(TRIM(I172),"'","''")&amp;"'")&amp;", "&amp;IF(TRIM(J172&amp;"")="","NULL","'"&amp;SUBSTITUTE(TRIM(J172),"'","''")&amp;"'")&amp;", "&amp;IF(UPPER(TRIM(K172&amp;""))="SI","TRUE","FALSE")&amp;", 1"&amp;" WHERE NOT EXISTS (SELECT 1 FROM cli_contacto c WHERE c.id_cliente = "&amp;"(SELECT id FROM cli_clientes WHERE numero_documento = '"&amp;SUBSTITUTE(TRIM(A172),"'","''")&amp;"' AND estado = 1 LIMIT 1)"&amp;" AND upper(c.nombre) = upper("&amp;IF(TRIM(C172&amp;"")="","NULL","'"&amp;SUBSTITUTE(TRIM(C172),"'","''")&amp;"'")&amp;") AND coalesce(c.telefono1,'') = coalesce("&amp;IF(TRIM(F172&amp;"")="","NULL","'"&amp;SUBSTITUTE(TRIM(F172),"'","''")&amp;"'")&amp;",''));")</f>
        <v/>
      </c>
    </row>
    <row r="173" ht="15.75" customHeight="1" s="64">
      <c r="A173" s="23" t="n"/>
      <c r="B173" s="25">
        <f t="array" ref="B173">IF(A173="","",IFERROR(IF(INDEX(Clientes!$D$5:$D$549,MATCH(A173,Clientes!$C$5:$C$549,0))&lt;&gt;"",INDEX(Clientes!$D$5:$D$549,MATCH(A173,Clientes!$C$5:$C$549,0)),TRIM(INDEX(Clientes!$E$5:$E$549,MATCH(A173,Clientes!$C$5:$C$549,0))&amp;" "&amp;INDEX(Clientes!$F$5:$F$549,MATCH(A173,Clientes!$C$5:$C$549,0)))),"NO EXISTE en Clientes"))</f>
        <v/>
      </c>
      <c r="C173" s="17" t="n"/>
      <c r="D173" s="17" t="n"/>
      <c r="E173" s="17" t="n"/>
      <c r="F173" s="23" t="n"/>
      <c r="G173" s="23" t="n"/>
      <c r="H173" s="23" t="n"/>
      <c r="I173" s="17" t="n"/>
      <c r="J173" s="17" t="n"/>
      <c r="K173" s="17" t="n"/>
      <c r="L173" s="17">
        <f>IF(AND(A173="",C173=""),"",IF(A173="","FALTA doc. cliente",IF(B173="NO EXISTE en Clientes","CLIENTE no está en hoja Clientes",IF(C173="","FALTA nombre",IF(AND(K173="SI",COUNTIFS($A$5:$A$499,A173,$K$5:$K$499,"SI")&gt;1),"Más de un contacto principal para este cliente","OK")))))</f>
        <v/>
      </c>
      <c r="M173" s="28">
        <f>IF(L173&lt;&gt;"OK","","INSERT INTO cli_contacto (id_cliente, nombre, apellido_paterno, apellido_materno, telefono1, telefono2, telefono3, email, direccion, es_principal, estado) SELECT "&amp;"(SELECT id FROM cli_clientes WHERE numero_documento = '"&amp;SUBSTITUTE(TRIM(A173),"'","''")&amp;"' AND estado = 1 LIMIT 1)"&amp;", "&amp;IF(TRIM(C173&amp;"")="","NULL","'"&amp;SUBSTITUTE(TRIM(C173),"'","''")&amp;"'")&amp;", "&amp;IF(TRIM(D173&amp;"")="","NULL","'"&amp;SUBSTITUTE(TRIM(D173),"'","''")&amp;"'")&amp;", "&amp;IF(TRIM(E173&amp;"")="","NULL","'"&amp;SUBSTITUTE(TRIM(E173),"'","''")&amp;"'")&amp;", "&amp;IF(TRIM(F173&amp;"")="","NULL","'"&amp;SUBSTITUTE(TRIM(F173),"'","''")&amp;"'")&amp;", "&amp;IF(TRIM(G173&amp;"")="","NULL","'"&amp;SUBSTITUTE(TRIM(G173),"'","''")&amp;"'")&amp;", "&amp;IF(TRIM(H173&amp;"")="","NULL","'"&amp;SUBSTITUTE(TRIM(H173),"'","''")&amp;"'")&amp;", "&amp;IF(TRIM(I173&amp;"")="","NULL","'"&amp;SUBSTITUTE(TRIM(I173),"'","''")&amp;"'")&amp;", "&amp;IF(TRIM(J173&amp;"")="","NULL","'"&amp;SUBSTITUTE(TRIM(J173),"'","''")&amp;"'")&amp;", "&amp;IF(UPPER(TRIM(K173&amp;""))="SI","TRUE","FALSE")&amp;", 1"&amp;" WHERE NOT EXISTS (SELECT 1 FROM cli_contacto c WHERE c.id_cliente = "&amp;"(SELECT id FROM cli_clientes WHERE numero_documento = '"&amp;SUBSTITUTE(TRIM(A173),"'","''")&amp;"' AND estado = 1 LIMIT 1)"&amp;" AND upper(c.nombre) = upper("&amp;IF(TRIM(C173&amp;"")="","NULL","'"&amp;SUBSTITUTE(TRIM(C173),"'","''")&amp;"'")&amp;") AND coalesce(c.telefono1,'') = coalesce("&amp;IF(TRIM(F173&amp;"")="","NULL","'"&amp;SUBSTITUTE(TRIM(F173),"'","''")&amp;"'")&amp;",''));")</f>
        <v/>
      </c>
    </row>
    <row r="174" ht="15.75" customHeight="1" s="64">
      <c r="A174" s="23" t="n"/>
      <c r="B174" s="25">
        <f t="array" ref="B174">IF(A174="","",IFERROR(IF(INDEX(Clientes!$D$5:$D$549,MATCH(A174,Clientes!$C$5:$C$549,0))&lt;&gt;"",INDEX(Clientes!$D$5:$D$549,MATCH(A174,Clientes!$C$5:$C$549,0)),TRIM(INDEX(Clientes!$E$5:$E$549,MATCH(A174,Clientes!$C$5:$C$549,0))&amp;" "&amp;INDEX(Clientes!$F$5:$F$549,MATCH(A174,Clientes!$C$5:$C$549,0)))),"NO EXISTE en Clientes"))</f>
        <v/>
      </c>
      <c r="C174" s="17" t="n"/>
      <c r="D174" s="17" t="n"/>
      <c r="E174" s="17" t="n"/>
      <c r="F174" s="23" t="n"/>
      <c r="G174" s="23" t="n"/>
      <c r="H174" s="23" t="n"/>
      <c r="I174" s="17" t="n"/>
      <c r="J174" s="17" t="n"/>
      <c r="K174" s="17" t="n"/>
      <c r="L174" s="17">
        <f>IF(AND(A174="",C174=""),"",IF(A174="","FALTA doc. cliente",IF(B174="NO EXISTE en Clientes","CLIENTE no está en hoja Clientes",IF(C174="","FALTA nombre",IF(AND(K174="SI",COUNTIFS($A$5:$A$499,A174,$K$5:$K$499,"SI")&gt;1),"Más de un contacto principal para este cliente","OK")))))</f>
        <v/>
      </c>
      <c r="M174" s="28">
        <f>IF(L174&lt;&gt;"OK","","INSERT INTO cli_contacto (id_cliente, nombre, apellido_paterno, apellido_materno, telefono1, telefono2, telefono3, email, direccion, es_principal, estado) SELECT "&amp;"(SELECT id FROM cli_clientes WHERE numero_documento = '"&amp;SUBSTITUTE(TRIM(A174),"'","''")&amp;"' AND estado = 1 LIMIT 1)"&amp;", "&amp;IF(TRIM(C174&amp;"")="","NULL","'"&amp;SUBSTITUTE(TRIM(C174),"'","''")&amp;"'")&amp;", "&amp;IF(TRIM(D174&amp;"")="","NULL","'"&amp;SUBSTITUTE(TRIM(D174),"'","''")&amp;"'")&amp;", "&amp;IF(TRIM(E174&amp;"")="","NULL","'"&amp;SUBSTITUTE(TRIM(E174),"'","''")&amp;"'")&amp;", "&amp;IF(TRIM(F174&amp;"")="","NULL","'"&amp;SUBSTITUTE(TRIM(F174),"'","''")&amp;"'")&amp;", "&amp;IF(TRIM(G174&amp;"")="","NULL","'"&amp;SUBSTITUTE(TRIM(G174),"'","''")&amp;"'")&amp;", "&amp;IF(TRIM(H174&amp;"")="","NULL","'"&amp;SUBSTITUTE(TRIM(H174),"'","''")&amp;"'")&amp;", "&amp;IF(TRIM(I174&amp;"")="","NULL","'"&amp;SUBSTITUTE(TRIM(I174),"'","''")&amp;"'")&amp;", "&amp;IF(TRIM(J174&amp;"")="","NULL","'"&amp;SUBSTITUTE(TRIM(J174),"'","''")&amp;"'")&amp;", "&amp;IF(UPPER(TRIM(K174&amp;""))="SI","TRUE","FALSE")&amp;", 1"&amp;" WHERE NOT EXISTS (SELECT 1 FROM cli_contacto c WHERE c.id_cliente = "&amp;"(SELECT id FROM cli_clientes WHERE numero_documento = '"&amp;SUBSTITUTE(TRIM(A174),"'","''")&amp;"' AND estado = 1 LIMIT 1)"&amp;" AND upper(c.nombre) = upper("&amp;IF(TRIM(C174&amp;"")="","NULL","'"&amp;SUBSTITUTE(TRIM(C174),"'","''")&amp;"'")&amp;") AND coalesce(c.telefono1,'') = coalesce("&amp;IF(TRIM(F174&amp;"")="","NULL","'"&amp;SUBSTITUTE(TRIM(F174),"'","''")&amp;"'")&amp;",''));")</f>
        <v/>
      </c>
    </row>
    <row r="175" ht="15.75" customHeight="1" s="64">
      <c r="A175" s="23" t="n"/>
      <c r="B175" s="25">
        <f t="array" ref="B175">IF(A175="","",IFERROR(IF(INDEX(Clientes!$D$5:$D$549,MATCH(A175,Clientes!$C$5:$C$549,0))&lt;&gt;"",INDEX(Clientes!$D$5:$D$549,MATCH(A175,Clientes!$C$5:$C$549,0)),TRIM(INDEX(Clientes!$E$5:$E$549,MATCH(A175,Clientes!$C$5:$C$549,0))&amp;" "&amp;INDEX(Clientes!$F$5:$F$549,MATCH(A175,Clientes!$C$5:$C$549,0)))),"NO EXISTE en Clientes"))</f>
        <v/>
      </c>
      <c r="C175" s="17" t="n"/>
      <c r="D175" s="17" t="n"/>
      <c r="E175" s="17" t="n"/>
      <c r="F175" s="23" t="n"/>
      <c r="G175" s="23" t="n"/>
      <c r="H175" s="23" t="n"/>
      <c r="I175" s="17" t="n"/>
      <c r="J175" s="17" t="n"/>
      <c r="K175" s="17" t="n"/>
      <c r="L175" s="17">
        <f>IF(AND(A175="",C175=""),"",IF(A175="","FALTA doc. cliente",IF(B175="NO EXISTE en Clientes","CLIENTE no está en hoja Clientes",IF(C175="","FALTA nombre",IF(AND(K175="SI",COUNTIFS($A$5:$A$499,A175,$K$5:$K$499,"SI")&gt;1),"Más de un contacto principal para este cliente","OK")))))</f>
        <v/>
      </c>
      <c r="M175" s="28">
        <f>IF(L175&lt;&gt;"OK","","INSERT INTO cli_contacto (id_cliente, nombre, apellido_paterno, apellido_materno, telefono1, telefono2, telefono3, email, direccion, es_principal, estado) SELECT "&amp;"(SELECT id FROM cli_clientes WHERE numero_documento = '"&amp;SUBSTITUTE(TRIM(A175),"'","''")&amp;"' AND estado = 1 LIMIT 1)"&amp;", "&amp;IF(TRIM(C175&amp;"")="","NULL","'"&amp;SUBSTITUTE(TRIM(C175),"'","''")&amp;"'")&amp;", "&amp;IF(TRIM(D175&amp;"")="","NULL","'"&amp;SUBSTITUTE(TRIM(D175),"'","''")&amp;"'")&amp;", "&amp;IF(TRIM(E175&amp;"")="","NULL","'"&amp;SUBSTITUTE(TRIM(E175),"'","''")&amp;"'")&amp;", "&amp;IF(TRIM(F175&amp;"")="","NULL","'"&amp;SUBSTITUTE(TRIM(F175),"'","''")&amp;"'")&amp;", "&amp;IF(TRIM(G175&amp;"")="","NULL","'"&amp;SUBSTITUTE(TRIM(G175),"'","''")&amp;"'")&amp;", "&amp;IF(TRIM(H175&amp;"")="","NULL","'"&amp;SUBSTITUTE(TRIM(H175),"'","''")&amp;"'")&amp;", "&amp;IF(TRIM(I175&amp;"")="","NULL","'"&amp;SUBSTITUTE(TRIM(I175),"'","''")&amp;"'")&amp;", "&amp;IF(TRIM(J175&amp;"")="","NULL","'"&amp;SUBSTITUTE(TRIM(J175),"'","''")&amp;"'")&amp;", "&amp;IF(UPPER(TRIM(K175&amp;""))="SI","TRUE","FALSE")&amp;", 1"&amp;" WHERE NOT EXISTS (SELECT 1 FROM cli_contacto c WHERE c.id_cliente = "&amp;"(SELECT id FROM cli_clientes WHERE numero_documento = '"&amp;SUBSTITUTE(TRIM(A175),"'","''")&amp;"' AND estado = 1 LIMIT 1)"&amp;" AND upper(c.nombre) = upper("&amp;IF(TRIM(C175&amp;"")="","NULL","'"&amp;SUBSTITUTE(TRIM(C175),"'","''")&amp;"'")&amp;") AND coalesce(c.telefono1,'') = coalesce("&amp;IF(TRIM(F175&amp;"")="","NULL","'"&amp;SUBSTITUTE(TRIM(F175),"'","''")&amp;"'")&amp;",''));")</f>
        <v/>
      </c>
    </row>
    <row r="176" ht="15.75" customHeight="1" s="64">
      <c r="A176" s="23" t="n"/>
      <c r="B176" s="25">
        <f t="array" ref="B176">IF(A176="","",IFERROR(IF(INDEX(Clientes!$D$5:$D$549,MATCH(A176,Clientes!$C$5:$C$549,0))&lt;&gt;"",INDEX(Clientes!$D$5:$D$549,MATCH(A176,Clientes!$C$5:$C$549,0)),TRIM(INDEX(Clientes!$E$5:$E$549,MATCH(A176,Clientes!$C$5:$C$549,0))&amp;" "&amp;INDEX(Clientes!$F$5:$F$549,MATCH(A176,Clientes!$C$5:$C$549,0)))),"NO EXISTE en Clientes"))</f>
        <v/>
      </c>
      <c r="C176" s="17" t="n"/>
      <c r="D176" s="17" t="n"/>
      <c r="E176" s="17" t="n"/>
      <c r="F176" s="23" t="n"/>
      <c r="G176" s="23" t="n"/>
      <c r="H176" s="23" t="n"/>
      <c r="I176" s="17" t="n"/>
      <c r="J176" s="17" t="n"/>
      <c r="K176" s="17" t="n"/>
      <c r="L176" s="17">
        <f>IF(AND(A176="",C176=""),"",IF(A176="","FALTA doc. cliente",IF(B176="NO EXISTE en Clientes","CLIENTE no está en hoja Clientes",IF(C176="","FALTA nombre",IF(AND(K176="SI",COUNTIFS($A$5:$A$499,A176,$K$5:$K$499,"SI")&gt;1),"Más de un contacto principal para este cliente","OK")))))</f>
        <v/>
      </c>
      <c r="M176" s="28">
        <f>IF(L176&lt;&gt;"OK","","INSERT INTO cli_contacto (id_cliente, nombre, apellido_paterno, apellido_materno, telefono1, telefono2, telefono3, email, direccion, es_principal, estado) SELECT "&amp;"(SELECT id FROM cli_clientes WHERE numero_documento = '"&amp;SUBSTITUTE(TRIM(A176),"'","''")&amp;"' AND estado = 1 LIMIT 1)"&amp;", "&amp;IF(TRIM(C176&amp;"")="","NULL","'"&amp;SUBSTITUTE(TRIM(C176),"'","''")&amp;"'")&amp;", "&amp;IF(TRIM(D176&amp;"")="","NULL","'"&amp;SUBSTITUTE(TRIM(D176),"'","''")&amp;"'")&amp;", "&amp;IF(TRIM(E176&amp;"")="","NULL","'"&amp;SUBSTITUTE(TRIM(E176),"'","''")&amp;"'")&amp;", "&amp;IF(TRIM(F176&amp;"")="","NULL","'"&amp;SUBSTITUTE(TRIM(F176),"'","''")&amp;"'")&amp;", "&amp;IF(TRIM(G176&amp;"")="","NULL","'"&amp;SUBSTITUTE(TRIM(G176),"'","''")&amp;"'")&amp;", "&amp;IF(TRIM(H176&amp;"")="","NULL","'"&amp;SUBSTITUTE(TRIM(H176),"'","''")&amp;"'")&amp;", "&amp;IF(TRIM(I176&amp;"")="","NULL","'"&amp;SUBSTITUTE(TRIM(I176),"'","''")&amp;"'")&amp;", "&amp;IF(TRIM(J176&amp;"")="","NULL","'"&amp;SUBSTITUTE(TRIM(J176),"'","''")&amp;"'")&amp;", "&amp;IF(UPPER(TRIM(K176&amp;""))="SI","TRUE","FALSE")&amp;", 1"&amp;" WHERE NOT EXISTS (SELECT 1 FROM cli_contacto c WHERE c.id_cliente = "&amp;"(SELECT id FROM cli_clientes WHERE numero_documento = '"&amp;SUBSTITUTE(TRIM(A176),"'","''")&amp;"' AND estado = 1 LIMIT 1)"&amp;" AND upper(c.nombre) = upper("&amp;IF(TRIM(C176&amp;"")="","NULL","'"&amp;SUBSTITUTE(TRIM(C176),"'","''")&amp;"'")&amp;") AND coalesce(c.telefono1,'') = coalesce("&amp;IF(TRIM(F176&amp;"")="","NULL","'"&amp;SUBSTITUTE(TRIM(F176),"'","''")&amp;"'")&amp;",''));")</f>
        <v/>
      </c>
    </row>
    <row r="177" ht="15.75" customHeight="1" s="64">
      <c r="A177" s="23" t="n"/>
      <c r="B177" s="25">
        <f t="array" ref="B177">IF(A177="","",IFERROR(IF(INDEX(Clientes!$D$5:$D$549,MATCH(A177,Clientes!$C$5:$C$549,0))&lt;&gt;"",INDEX(Clientes!$D$5:$D$549,MATCH(A177,Clientes!$C$5:$C$549,0)),TRIM(INDEX(Clientes!$E$5:$E$549,MATCH(A177,Clientes!$C$5:$C$549,0))&amp;" "&amp;INDEX(Clientes!$F$5:$F$549,MATCH(A177,Clientes!$C$5:$C$549,0)))),"NO EXISTE en Clientes"))</f>
        <v/>
      </c>
      <c r="C177" s="17" t="n"/>
      <c r="D177" s="17" t="n"/>
      <c r="E177" s="17" t="n"/>
      <c r="F177" s="23" t="n"/>
      <c r="G177" s="23" t="n"/>
      <c r="H177" s="23" t="n"/>
      <c r="I177" s="17" t="n"/>
      <c r="J177" s="17" t="n"/>
      <c r="K177" s="17" t="n"/>
      <c r="L177" s="17">
        <f>IF(AND(A177="",C177=""),"",IF(A177="","FALTA doc. cliente",IF(B177="NO EXISTE en Clientes","CLIENTE no está en hoja Clientes",IF(C177="","FALTA nombre",IF(AND(K177="SI",COUNTIFS($A$5:$A$499,A177,$K$5:$K$499,"SI")&gt;1),"Más de un contacto principal para este cliente","OK")))))</f>
        <v/>
      </c>
      <c r="M177" s="28">
        <f>IF(L177&lt;&gt;"OK","","INSERT INTO cli_contacto (id_cliente, nombre, apellido_paterno, apellido_materno, telefono1, telefono2, telefono3, email, direccion, es_principal, estado) SELECT "&amp;"(SELECT id FROM cli_clientes WHERE numero_documento = '"&amp;SUBSTITUTE(TRIM(A177),"'","''")&amp;"' AND estado = 1 LIMIT 1)"&amp;", "&amp;IF(TRIM(C177&amp;"")="","NULL","'"&amp;SUBSTITUTE(TRIM(C177),"'","''")&amp;"'")&amp;", "&amp;IF(TRIM(D177&amp;"")="","NULL","'"&amp;SUBSTITUTE(TRIM(D177),"'","''")&amp;"'")&amp;", "&amp;IF(TRIM(E177&amp;"")="","NULL","'"&amp;SUBSTITUTE(TRIM(E177),"'","''")&amp;"'")&amp;", "&amp;IF(TRIM(F177&amp;"")="","NULL","'"&amp;SUBSTITUTE(TRIM(F177),"'","''")&amp;"'")&amp;", "&amp;IF(TRIM(G177&amp;"")="","NULL","'"&amp;SUBSTITUTE(TRIM(G177),"'","''")&amp;"'")&amp;", "&amp;IF(TRIM(H177&amp;"")="","NULL","'"&amp;SUBSTITUTE(TRIM(H177),"'","''")&amp;"'")&amp;", "&amp;IF(TRIM(I177&amp;"")="","NULL","'"&amp;SUBSTITUTE(TRIM(I177),"'","''")&amp;"'")&amp;", "&amp;IF(TRIM(J177&amp;"")="","NULL","'"&amp;SUBSTITUTE(TRIM(J177),"'","''")&amp;"'")&amp;", "&amp;IF(UPPER(TRIM(K177&amp;""))="SI","TRUE","FALSE")&amp;", 1"&amp;" WHERE NOT EXISTS (SELECT 1 FROM cli_contacto c WHERE c.id_cliente = "&amp;"(SELECT id FROM cli_clientes WHERE numero_documento = '"&amp;SUBSTITUTE(TRIM(A177),"'","''")&amp;"' AND estado = 1 LIMIT 1)"&amp;" AND upper(c.nombre) = upper("&amp;IF(TRIM(C177&amp;"")="","NULL","'"&amp;SUBSTITUTE(TRIM(C177),"'","''")&amp;"'")&amp;") AND coalesce(c.telefono1,'') = coalesce("&amp;IF(TRIM(F177&amp;"")="","NULL","'"&amp;SUBSTITUTE(TRIM(F177),"'","''")&amp;"'")&amp;",''));")</f>
        <v/>
      </c>
    </row>
    <row r="178" ht="15.75" customHeight="1" s="64">
      <c r="A178" s="23" t="n"/>
      <c r="B178" s="25">
        <f t="array" ref="B178">IF(A178="","",IFERROR(IF(INDEX(Clientes!$D$5:$D$549,MATCH(A178,Clientes!$C$5:$C$549,0))&lt;&gt;"",INDEX(Clientes!$D$5:$D$549,MATCH(A178,Clientes!$C$5:$C$549,0)),TRIM(INDEX(Clientes!$E$5:$E$549,MATCH(A178,Clientes!$C$5:$C$549,0))&amp;" "&amp;INDEX(Clientes!$F$5:$F$549,MATCH(A178,Clientes!$C$5:$C$549,0)))),"NO EXISTE en Clientes"))</f>
        <v/>
      </c>
      <c r="C178" s="17" t="n"/>
      <c r="D178" s="17" t="n"/>
      <c r="E178" s="17" t="n"/>
      <c r="F178" s="23" t="n"/>
      <c r="G178" s="23" t="n"/>
      <c r="H178" s="23" t="n"/>
      <c r="I178" s="17" t="n"/>
      <c r="J178" s="17" t="n"/>
      <c r="K178" s="17" t="n"/>
      <c r="L178" s="17">
        <f>IF(AND(A178="",C178=""),"",IF(A178="","FALTA doc. cliente",IF(B178="NO EXISTE en Clientes","CLIENTE no está en hoja Clientes",IF(C178="","FALTA nombre",IF(AND(K178="SI",COUNTIFS($A$5:$A$499,A178,$K$5:$K$499,"SI")&gt;1),"Más de un contacto principal para este cliente","OK")))))</f>
        <v/>
      </c>
      <c r="M178" s="28">
        <f>IF(L178&lt;&gt;"OK","","INSERT INTO cli_contacto (id_cliente, nombre, apellido_paterno, apellido_materno, telefono1, telefono2, telefono3, email, direccion, es_principal, estado) SELECT "&amp;"(SELECT id FROM cli_clientes WHERE numero_documento = '"&amp;SUBSTITUTE(TRIM(A178),"'","''")&amp;"' AND estado = 1 LIMIT 1)"&amp;", "&amp;IF(TRIM(C178&amp;"")="","NULL","'"&amp;SUBSTITUTE(TRIM(C178),"'","''")&amp;"'")&amp;", "&amp;IF(TRIM(D178&amp;"")="","NULL","'"&amp;SUBSTITUTE(TRIM(D178),"'","''")&amp;"'")&amp;", "&amp;IF(TRIM(E178&amp;"")="","NULL","'"&amp;SUBSTITUTE(TRIM(E178),"'","''")&amp;"'")&amp;", "&amp;IF(TRIM(F178&amp;"")="","NULL","'"&amp;SUBSTITUTE(TRIM(F178),"'","''")&amp;"'")&amp;", "&amp;IF(TRIM(G178&amp;"")="","NULL","'"&amp;SUBSTITUTE(TRIM(G178),"'","''")&amp;"'")&amp;", "&amp;IF(TRIM(H178&amp;"")="","NULL","'"&amp;SUBSTITUTE(TRIM(H178),"'","''")&amp;"'")&amp;", "&amp;IF(TRIM(I178&amp;"")="","NULL","'"&amp;SUBSTITUTE(TRIM(I178),"'","''")&amp;"'")&amp;", "&amp;IF(TRIM(J178&amp;"")="","NULL","'"&amp;SUBSTITUTE(TRIM(J178),"'","''")&amp;"'")&amp;", "&amp;IF(UPPER(TRIM(K178&amp;""))="SI","TRUE","FALSE")&amp;", 1"&amp;" WHERE NOT EXISTS (SELECT 1 FROM cli_contacto c WHERE c.id_cliente = "&amp;"(SELECT id FROM cli_clientes WHERE numero_documento = '"&amp;SUBSTITUTE(TRIM(A178),"'","''")&amp;"' AND estado = 1 LIMIT 1)"&amp;" AND upper(c.nombre) = upper("&amp;IF(TRIM(C178&amp;"")="","NULL","'"&amp;SUBSTITUTE(TRIM(C178),"'","''")&amp;"'")&amp;") AND coalesce(c.telefono1,'') = coalesce("&amp;IF(TRIM(F178&amp;"")="","NULL","'"&amp;SUBSTITUTE(TRIM(F178),"'","''")&amp;"'")&amp;",''));")</f>
        <v/>
      </c>
    </row>
    <row r="179" ht="15.75" customHeight="1" s="64">
      <c r="A179" s="23" t="n"/>
      <c r="B179" s="25">
        <f t="array" ref="B179">IF(A179="","",IFERROR(IF(INDEX(Clientes!$D$5:$D$549,MATCH(A179,Clientes!$C$5:$C$549,0))&lt;&gt;"",INDEX(Clientes!$D$5:$D$549,MATCH(A179,Clientes!$C$5:$C$549,0)),TRIM(INDEX(Clientes!$E$5:$E$549,MATCH(A179,Clientes!$C$5:$C$549,0))&amp;" "&amp;INDEX(Clientes!$F$5:$F$549,MATCH(A179,Clientes!$C$5:$C$549,0)))),"NO EXISTE en Clientes"))</f>
        <v/>
      </c>
      <c r="C179" s="17" t="n"/>
      <c r="D179" s="17" t="n"/>
      <c r="E179" s="17" t="n"/>
      <c r="F179" s="23" t="n"/>
      <c r="G179" s="23" t="n"/>
      <c r="H179" s="23" t="n"/>
      <c r="I179" s="17" t="n"/>
      <c r="J179" s="17" t="n"/>
      <c r="K179" s="17" t="n"/>
      <c r="L179" s="17">
        <f>IF(AND(A179="",C179=""),"",IF(A179="","FALTA doc. cliente",IF(B179="NO EXISTE en Clientes","CLIENTE no está en hoja Clientes",IF(C179="","FALTA nombre",IF(AND(K179="SI",COUNTIFS($A$5:$A$499,A179,$K$5:$K$499,"SI")&gt;1),"Más de un contacto principal para este cliente","OK")))))</f>
        <v/>
      </c>
      <c r="M179" s="28">
        <f>IF(L179&lt;&gt;"OK","","INSERT INTO cli_contacto (id_cliente, nombre, apellido_paterno, apellido_materno, telefono1, telefono2, telefono3, email, direccion, es_principal, estado) SELECT "&amp;"(SELECT id FROM cli_clientes WHERE numero_documento = '"&amp;SUBSTITUTE(TRIM(A179),"'","''")&amp;"' AND estado = 1 LIMIT 1)"&amp;", "&amp;IF(TRIM(C179&amp;"")="","NULL","'"&amp;SUBSTITUTE(TRIM(C179),"'","''")&amp;"'")&amp;", "&amp;IF(TRIM(D179&amp;"")="","NULL","'"&amp;SUBSTITUTE(TRIM(D179),"'","''")&amp;"'")&amp;", "&amp;IF(TRIM(E179&amp;"")="","NULL","'"&amp;SUBSTITUTE(TRIM(E179),"'","''")&amp;"'")&amp;", "&amp;IF(TRIM(F179&amp;"")="","NULL","'"&amp;SUBSTITUTE(TRIM(F179),"'","''")&amp;"'")&amp;", "&amp;IF(TRIM(G179&amp;"")="","NULL","'"&amp;SUBSTITUTE(TRIM(G179),"'","''")&amp;"'")&amp;", "&amp;IF(TRIM(H179&amp;"")="","NULL","'"&amp;SUBSTITUTE(TRIM(H179),"'","''")&amp;"'")&amp;", "&amp;IF(TRIM(I179&amp;"")="","NULL","'"&amp;SUBSTITUTE(TRIM(I179),"'","''")&amp;"'")&amp;", "&amp;IF(TRIM(J179&amp;"")="","NULL","'"&amp;SUBSTITUTE(TRIM(J179),"'","''")&amp;"'")&amp;", "&amp;IF(UPPER(TRIM(K179&amp;""))="SI","TRUE","FALSE")&amp;", 1"&amp;" WHERE NOT EXISTS (SELECT 1 FROM cli_contacto c WHERE c.id_cliente = "&amp;"(SELECT id FROM cli_clientes WHERE numero_documento = '"&amp;SUBSTITUTE(TRIM(A179),"'","''")&amp;"' AND estado = 1 LIMIT 1)"&amp;" AND upper(c.nombre) = upper("&amp;IF(TRIM(C179&amp;"")="","NULL","'"&amp;SUBSTITUTE(TRIM(C179),"'","''")&amp;"'")&amp;") AND coalesce(c.telefono1,'') = coalesce("&amp;IF(TRIM(F179&amp;"")="","NULL","'"&amp;SUBSTITUTE(TRIM(F179),"'","''")&amp;"'")&amp;",''));")</f>
        <v/>
      </c>
    </row>
    <row r="180" ht="15.75" customHeight="1" s="64">
      <c r="A180" s="23" t="n"/>
      <c r="B180" s="25">
        <f t="array" ref="B180">IF(A180="","",IFERROR(IF(INDEX(Clientes!$D$5:$D$549,MATCH(A180,Clientes!$C$5:$C$549,0))&lt;&gt;"",INDEX(Clientes!$D$5:$D$549,MATCH(A180,Clientes!$C$5:$C$549,0)),TRIM(INDEX(Clientes!$E$5:$E$549,MATCH(A180,Clientes!$C$5:$C$549,0))&amp;" "&amp;INDEX(Clientes!$F$5:$F$549,MATCH(A180,Clientes!$C$5:$C$549,0)))),"NO EXISTE en Clientes"))</f>
        <v/>
      </c>
      <c r="C180" s="17" t="n"/>
      <c r="D180" s="17" t="n"/>
      <c r="E180" s="17" t="n"/>
      <c r="F180" s="23" t="n"/>
      <c r="G180" s="23" t="n"/>
      <c r="H180" s="23" t="n"/>
      <c r="I180" s="17" t="n"/>
      <c r="J180" s="17" t="n"/>
      <c r="K180" s="17" t="n"/>
      <c r="L180" s="17">
        <f>IF(AND(A180="",C180=""),"",IF(A180="","FALTA doc. cliente",IF(B180="NO EXISTE en Clientes","CLIENTE no está en hoja Clientes",IF(C180="","FALTA nombre",IF(AND(K180="SI",COUNTIFS($A$5:$A$499,A180,$K$5:$K$499,"SI")&gt;1),"Más de un contacto principal para este cliente","OK")))))</f>
        <v/>
      </c>
      <c r="M180" s="28">
        <f>IF(L180&lt;&gt;"OK","","INSERT INTO cli_contacto (id_cliente, nombre, apellido_paterno, apellido_materno, telefono1, telefono2, telefono3, email, direccion, es_principal, estado) SELECT "&amp;"(SELECT id FROM cli_clientes WHERE numero_documento = '"&amp;SUBSTITUTE(TRIM(A180),"'","''")&amp;"' AND estado = 1 LIMIT 1)"&amp;", "&amp;IF(TRIM(C180&amp;"")="","NULL","'"&amp;SUBSTITUTE(TRIM(C180),"'","''")&amp;"'")&amp;", "&amp;IF(TRIM(D180&amp;"")="","NULL","'"&amp;SUBSTITUTE(TRIM(D180),"'","''")&amp;"'")&amp;", "&amp;IF(TRIM(E180&amp;"")="","NULL","'"&amp;SUBSTITUTE(TRIM(E180),"'","''")&amp;"'")&amp;", "&amp;IF(TRIM(F180&amp;"")="","NULL","'"&amp;SUBSTITUTE(TRIM(F180),"'","''")&amp;"'")&amp;", "&amp;IF(TRIM(G180&amp;"")="","NULL","'"&amp;SUBSTITUTE(TRIM(G180),"'","''")&amp;"'")&amp;", "&amp;IF(TRIM(H180&amp;"")="","NULL","'"&amp;SUBSTITUTE(TRIM(H180),"'","''")&amp;"'")&amp;", "&amp;IF(TRIM(I180&amp;"")="","NULL","'"&amp;SUBSTITUTE(TRIM(I180),"'","''")&amp;"'")&amp;", "&amp;IF(TRIM(J180&amp;"")="","NULL","'"&amp;SUBSTITUTE(TRIM(J180),"'","''")&amp;"'")&amp;", "&amp;IF(UPPER(TRIM(K180&amp;""))="SI","TRUE","FALSE")&amp;", 1"&amp;" WHERE NOT EXISTS (SELECT 1 FROM cli_contacto c WHERE c.id_cliente = "&amp;"(SELECT id FROM cli_clientes WHERE numero_documento = '"&amp;SUBSTITUTE(TRIM(A180),"'","''")&amp;"' AND estado = 1 LIMIT 1)"&amp;" AND upper(c.nombre) = upper("&amp;IF(TRIM(C180&amp;"")="","NULL","'"&amp;SUBSTITUTE(TRIM(C180),"'","''")&amp;"'")&amp;") AND coalesce(c.telefono1,'') = coalesce("&amp;IF(TRIM(F180&amp;"")="","NULL","'"&amp;SUBSTITUTE(TRIM(F180),"'","''")&amp;"'")&amp;",''));")</f>
        <v/>
      </c>
    </row>
    <row r="181" ht="15.75" customHeight="1" s="64">
      <c r="A181" s="23" t="n"/>
      <c r="B181" s="25">
        <f t="array" ref="B181">IF(A181="","",IFERROR(IF(INDEX(Clientes!$D$5:$D$549,MATCH(A181,Clientes!$C$5:$C$549,0))&lt;&gt;"",INDEX(Clientes!$D$5:$D$549,MATCH(A181,Clientes!$C$5:$C$549,0)),TRIM(INDEX(Clientes!$E$5:$E$549,MATCH(A181,Clientes!$C$5:$C$549,0))&amp;" "&amp;INDEX(Clientes!$F$5:$F$549,MATCH(A181,Clientes!$C$5:$C$549,0)))),"NO EXISTE en Clientes"))</f>
        <v/>
      </c>
      <c r="C181" s="17" t="n"/>
      <c r="D181" s="17" t="n"/>
      <c r="E181" s="17" t="n"/>
      <c r="F181" s="23" t="n"/>
      <c r="G181" s="23" t="n"/>
      <c r="H181" s="23" t="n"/>
      <c r="I181" s="17" t="n"/>
      <c r="J181" s="17" t="n"/>
      <c r="K181" s="17" t="n"/>
      <c r="L181" s="17">
        <f>IF(AND(A181="",C181=""),"",IF(A181="","FALTA doc. cliente",IF(B181="NO EXISTE en Clientes","CLIENTE no está en hoja Clientes",IF(C181="","FALTA nombre",IF(AND(K181="SI",COUNTIFS($A$5:$A$499,A181,$K$5:$K$499,"SI")&gt;1),"Más de un contacto principal para este cliente","OK")))))</f>
        <v/>
      </c>
      <c r="M181" s="28">
        <f>IF(L181&lt;&gt;"OK","","INSERT INTO cli_contacto (id_cliente, nombre, apellido_paterno, apellido_materno, telefono1, telefono2, telefono3, email, direccion, es_principal, estado) SELECT "&amp;"(SELECT id FROM cli_clientes WHERE numero_documento = '"&amp;SUBSTITUTE(TRIM(A181),"'","''")&amp;"' AND estado = 1 LIMIT 1)"&amp;", "&amp;IF(TRIM(C181&amp;"")="","NULL","'"&amp;SUBSTITUTE(TRIM(C181),"'","''")&amp;"'")&amp;", "&amp;IF(TRIM(D181&amp;"")="","NULL","'"&amp;SUBSTITUTE(TRIM(D181),"'","''")&amp;"'")&amp;", "&amp;IF(TRIM(E181&amp;"")="","NULL","'"&amp;SUBSTITUTE(TRIM(E181),"'","''")&amp;"'")&amp;", "&amp;IF(TRIM(F181&amp;"")="","NULL","'"&amp;SUBSTITUTE(TRIM(F181),"'","''")&amp;"'")&amp;", "&amp;IF(TRIM(G181&amp;"")="","NULL","'"&amp;SUBSTITUTE(TRIM(G181),"'","''")&amp;"'")&amp;", "&amp;IF(TRIM(H181&amp;"")="","NULL","'"&amp;SUBSTITUTE(TRIM(H181),"'","''")&amp;"'")&amp;", "&amp;IF(TRIM(I181&amp;"")="","NULL","'"&amp;SUBSTITUTE(TRIM(I181),"'","''")&amp;"'")&amp;", "&amp;IF(TRIM(J181&amp;"")="","NULL","'"&amp;SUBSTITUTE(TRIM(J181),"'","''")&amp;"'")&amp;", "&amp;IF(UPPER(TRIM(K181&amp;""))="SI","TRUE","FALSE")&amp;", 1"&amp;" WHERE NOT EXISTS (SELECT 1 FROM cli_contacto c WHERE c.id_cliente = "&amp;"(SELECT id FROM cli_clientes WHERE numero_documento = '"&amp;SUBSTITUTE(TRIM(A181),"'","''")&amp;"' AND estado = 1 LIMIT 1)"&amp;" AND upper(c.nombre) = upper("&amp;IF(TRIM(C181&amp;"")="","NULL","'"&amp;SUBSTITUTE(TRIM(C181),"'","''")&amp;"'")&amp;") AND coalesce(c.telefono1,'') = coalesce("&amp;IF(TRIM(F181&amp;"")="","NULL","'"&amp;SUBSTITUTE(TRIM(F181),"'","''")&amp;"'")&amp;",''));")</f>
        <v/>
      </c>
    </row>
    <row r="182" ht="15.75" customHeight="1" s="64">
      <c r="A182" s="23" t="n"/>
      <c r="B182" s="25">
        <f t="array" ref="B182">IF(A182="","",IFERROR(IF(INDEX(Clientes!$D$5:$D$549,MATCH(A182,Clientes!$C$5:$C$549,0))&lt;&gt;"",INDEX(Clientes!$D$5:$D$549,MATCH(A182,Clientes!$C$5:$C$549,0)),TRIM(INDEX(Clientes!$E$5:$E$549,MATCH(A182,Clientes!$C$5:$C$549,0))&amp;" "&amp;INDEX(Clientes!$F$5:$F$549,MATCH(A182,Clientes!$C$5:$C$549,0)))),"NO EXISTE en Clientes"))</f>
        <v/>
      </c>
      <c r="C182" s="17" t="n"/>
      <c r="D182" s="17" t="n"/>
      <c r="E182" s="17" t="n"/>
      <c r="F182" s="23" t="n"/>
      <c r="G182" s="23" t="n"/>
      <c r="H182" s="23" t="n"/>
      <c r="I182" s="17" t="n"/>
      <c r="J182" s="17" t="n"/>
      <c r="K182" s="17" t="n"/>
      <c r="L182" s="17">
        <f>IF(AND(A182="",C182=""),"",IF(A182="","FALTA doc. cliente",IF(B182="NO EXISTE en Clientes","CLIENTE no está en hoja Clientes",IF(C182="","FALTA nombre",IF(AND(K182="SI",COUNTIFS($A$5:$A$499,A182,$K$5:$K$499,"SI")&gt;1),"Más de un contacto principal para este cliente","OK")))))</f>
        <v/>
      </c>
      <c r="M182" s="28">
        <f>IF(L182&lt;&gt;"OK","","INSERT INTO cli_contacto (id_cliente, nombre, apellido_paterno, apellido_materno, telefono1, telefono2, telefono3, email, direccion, es_principal, estado) SELECT "&amp;"(SELECT id FROM cli_clientes WHERE numero_documento = '"&amp;SUBSTITUTE(TRIM(A182),"'","''")&amp;"' AND estado = 1 LIMIT 1)"&amp;", "&amp;IF(TRIM(C182&amp;"")="","NULL","'"&amp;SUBSTITUTE(TRIM(C182),"'","''")&amp;"'")&amp;", "&amp;IF(TRIM(D182&amp;"")="","NULL","'"&amp;SUBSTITUTE(TRIM(D182),"'","''")&amp;"'")&amp;", "&amp;IF(TRIM(E182&amp;"")="","NULL","'"&amp;SUBSTITUTE(TRIM(E182),"'","''")&amp;"'")&amp;", "&amp;IF(TRIM(F182&amp;"")="","NULL","'"&amp;SUBSTITUTE(TRIM(F182),"'","''")&amp;"'")&amp;", "&amp;IF(TRIM(G182&amp;"")="","NULL","'"&amp;SUBSTITUTE(TRIM(G182),"'","''")&amp;"'")&amp;", "&amp;IF(TRIM(H182&amp;"")="","NULL","'"&amp;SUBSTITUTE(TRIM(H182),"'","''")&amp;"'")&amp;", "&amp;IF(TRIM(I182&amp;"")="","NULL","'"&amp;SUBSTITUTE(TRIM(I182),"'","''")&amp;"'")&amp;", "&amp;IF(TRIM(J182&amp;"")="","NULL","'"&amp;SUBSTITUTE(TRIM(J182),"'","''")&amp;"'")&amp;", "&amp;IF(UPPER(TRIM(K182&amp;""))="SI","TRUE","FALSE")&amp;", 1"&amp;" WHERE NOT EXISTS (SELECT 1 FROM cli_contacto c WHERE c.id_cliente = "&amp;"(SELECT id FROM cli_clientes WHERE numero_documento = '"&amp;SUBSTITUTE(TRIM(A182),"'","''")&amp;"' AND estado = 1 LIMIT 1)"&amp;" AND upper(c.nombre) = upper("&amp;IF(TRIM(C182&amp;"")="","NULL","'"&amp;SUBSTITUTE(TRIM(C182),"'","''")&amp;"'")&amp;") AND coalesce(c.telefono1,'') = coalesce("&amp;IF(TRIM(F182&amp;"")="","NULL","'"&amp;SUBSTITUTE(TRIM(F182),"'","''")&amp;"'")&amp;",''));")</f>
        <v/>
      </c>
    </row>
    <row r="183" ht="15.75" customHeight="1" s="64">
      <c r="A183" s="23" t="n"/>
      <c r="B183" s="25">
        <f t="array" ref="B183">IF(A183="","",IFERROR(IF(INDEX(Clientes!$D$5:$D$549,MATCH(A183,Clientes!$C$5:$C$549,0))&lt;&gt;"",INDEX(Clientes!$D$5:$D$549,MATCH(A183,Clientes!$C$5:$C$549,0)),TRIM(INDEX(Clientes!$E$5:$E$549,MATCH(A183,Clientes!$C$5:$C$549,0))&amp;" "&amp;INDEX(Clientes!$F$5:$F$549,MATCH(A183,Clientes!$C$5:$C$549,0)))),"NO EXISTE en Clientes"))</f>
        <v/>
      </c>
      <c r="C183" s="17" t="n"/>
      <c r="D183" s="17" t="n"/>
      <c r="E183" s="17" t="n"/>
      <c r="F183" s="23" t="n"/>
      <c r="G183" s="23" t="n"/>
      <c r="H183" s="23" t="n"/>
      <c r="I183" s="17" t="n"/>
      <c r="J183" s="17" t="n"/>
      <c r="K183" s="17" t="n"/>
      <c r="L183" s="17">
        <f>IF(AND(A183="",C183=""),"",IF(A183="","FALTA doc. cliente",IF(B183="NO EXISTE en Clientes","CLIENTE no está en hoja Clientes",IF(C183="","FALTA nombre",IF(AND(K183="SI",COUNTIFS($A$5:$A$499,A183,$K$5:$K$499,"SI")&gt;1),"Más de un contacto principal para este cliente","OK")))))</f>
        <v/>
      </c>
      <c r="M183" s="28">
        <f>IF(L183&lt;&gt;"OK","","INSERT INTO cli_contacto (id_cliente, nombre, apellido_paterno, apellido_materno, telefono1, telefono2, telefono3, email, direccion, es_principal, estado) SELECT "&amp;"(SELECT id FROM cli_clientes WHERE numero_documento = '"&amp;SUBSTITUTE(TRIM(A183),"'","''")&amp;"' AND estado = 1 LIMIT 1)"&amp;", "&amp;IF(TRIM(C183&amp;"")="","NULL","'"&amp;SUBSTITUTE(TRIM(C183),"'","''")&amp;"'")&amp;", "&amp;IF(TRIM(D183&amp;"")="","NULL","'"&amp;SUBSTITUTE(TRIM(D183),"'","''")&amp;"'")&amp;", "&amp;IF(TRIM(E183&amp;"")="","NULL","'"&amp;SUBSTITUTE(TRIM(E183),"'","''")&amp;"'")&amp;", "&amp;IF(TRIM(F183&amp;"")="","NULL","'"&amp;SUBSTITUTE(TRIM(F183),"'","''")&amp;"'")&amp;", "&amp;IF(TRIM(G183&amp;"")="","NULL","'"&amp;SUBSTITUTE(TRIM(G183),"'","''")&amp;"'")&amp;", "&amp;IF(TRIM(H183&amp;"")="","NULL","'"&amp;SUBSTITUTE(TRIM(H183),"'","''")&amp;"'")&amp;", "&amp;IF(TRIM(I183&amp;"")="","NULL","'"&amp;SUBSTITUTE(TRIM(I183),"'","''")&amp;"'")&amp;", "&amp;IF(TRIM(J183&amp;"")="","NULL","'"&amp;SUBSTITUTE(TRIM(J183),"'","''")&amp;"'")&amp;", "&amp;IF(UPPER(TRIM(K183&amp;""))="SI","TRUE","FALSE")&amp;", 1"&amp;" WHERE NOT EXISTS (SELECT 1 FROM cli_contacto c WHERE c.id_cliente = "&amp;"(SELECT id FROM cli_clientes WHERE numero_documento = '"&amp;SUBSTITUTE(TRIM(A183),"'","''")&amp;"' AND estado = 1 LIMIT 1)"&amp;" AND upper(c.nombre) = upper("&amp;IF(TRIM(C183&amp;"")="","NULL","'"&amp;SUBSTITUTE(TRIM(C183),"'","''")&amp;"'")&amp;") AND coalesce(c.telefono1,'') = coalesce("&amp;IF(TRIM(F183&amp;"")="","NULL","'"&amp;SUBSTITUTE(TRIM(F183),"'","''")&amp;"'")&amp;",''));")</f>
        <v/>
      </c>
    </row>
    <row r="184" ht="15.75" customHeight="1" s="64">
      <c r="A184" s="23" t="n"/>
      <c r="B184" s="25">
        <f t="array" ref="B184">IF(A184="","",IFERROR(IF(INDEX(Clientes!$D$5:$D$549,MATCH(A184,Clientes!$C$5:$C$549,0))&lt;&gt;"",INDEX(Clientes!$D$5:$D$549,MATCH(A184,Clientes!$C$5:$C$549,0)),TRIM(INDEX(Clientes!$E$5:$E$549,MATCH(A184,Clientes!$C$5:$C$549,0))&amp;" "&amp;INDEX(Clientes!$F$5:$F$549,MATCH(A184,Clientes!$C$5:$C$549,0)))),"NO EXISTE en Clientes"))</f>
        <v/>
      </c>
      <c r="C184" s="17" t="n"/>
      <c r="D184" s="17" t="n"/>
      <c r="E184" s="17" t="n"/>
      <c r="F184" s="23" t="n"/>
      <c r="G184" s="23" t="n"/>
      <c r="H184" s="23" t="n"/>
      <c r="I184" s="17" t="n"/>
      <c r="J184" s="17" t="n"/>
      <c r="K184" s="17" t="n"/>
      <c r="L184" s="17">
        <f>IF(AND(A184="",C184=""),"",IF(A184="","FALTA doc. cliente",IF(B184="NO EXISTE en Clientes","CLIENTE no está en hoja Clientes",IF(C184="","FALTA nombre",IF(AND(K184="SI",COUNTIFS($A$5:$A$499,A184,$K$5:$K$499,"SI")&gt;1),"Más de un contacto principal para este cliente","OK")))))</f>
        <v/>
      </c>
      <c r="M184" s="28">
        <f>IF(L184&lt;&gt;"OK","","INSERT INTO cli_contacto (id_cliente, nombre, apellido_paterno, apellido_materno, telefono1, telefono2, telefono3, email, direccion, es_principal, estado) SELECT "&amp;"(SELECT id FROM cli_clientes WHERE numero_documento = '"&amp;SUBSTITUTE(TRIM(A184),"'","''")&amp;"' AND estado = 1 LIMIT 1)"&amp;", "&amp;IF(TRIM(C184&amp;"")="","NULL","'"&amp;SUBSTITUTE(TRIM(C184),"'","''")&amp;"'")&amp;", "&amp;IF(TRIM(D184&amp;"")="","NULL","'"&amp;SUBSTITUTE(TRIM(D184),"'","''")&amp;"'")&amp;", "&amp;IF(TRIM(E184&amp;"")="","NULL","'"&amp;SUBSTITUTE(TRIM(E184),"'","''")&amp;"'")&amp;", "&amp;IF(TRIM(F184&amp;"")="","NULL","'"&amp;SUBSTITUTE(TRIM(F184),"'","''")&amp;"'")&amp;", "&amp;IF(TRIM(G184&amp;"")="","NULL","'"&amp;SUBSTITUTE(TRIM(G184),"'","''")&amp;"'")&amp;", "&amp;IF(TRIM(H184&amp;"")="","NULL","'"&amp;SUBSTITUTE(TRIM(H184),"'","''")&amp;"'")&amp;", "&amp;IF(TRIM(I184&amp;"")="","NULL","'"&amp;SUBSTITUTE(TRIM(I184),"'","''")&amp;"'")&amp;", "&amp;IF(TRIM(J184&amp;"")="","NULL","'"&amp;SUBSTITUTE(TRIM(J184),"'","''")&amp;"'")&amp;", "&amp;IF(UPPER(TRIM(K184&amp;""))="SI","TRUE","FALSE")&amp;", 1"&amp;" WHERE NOT EXISTS (SELECT 1 FROM cli_contacto c WHERE c.id_cliente = "&amp;"(SELECT id FROM cli_clientes WHERE numero_documento = '"&amp;SUBSTITUTE(TRIM(A184),"'","''")&amp;"' AND estado = 1 LIMIT 1)"&amp;" AND upper(c.nombre) = upper("&amp;IF(TRIM(C184&amp;"")="","NULL","'"&amp;SUBSTITUTE(TRIM(C184),"'","''")&amp;"'")&amp;") AND coalesce(c.telefono1,'') = coalesce("&amp;IF(TRIM(F184&amp;"")="","NULL","'"&amp;SUBSTITUTE(TRIM(F184),"'","''")&amp;"'")&amp;",''));")</f>
        <v/>
      </c>
    </row>
    <row r="185" ht="15.75" customHeight="1" s="64">
      <c r="A185" s="23" t="n"/>
      <c r="B185" s="25">
        <f t="array" ref="B185">IF(A185="","",IFERROR(IF(INDEX(Clientes!$D$5:$D$549,MATCH(A185,Clientes!$C$5:$C$549,0))&lt;&gt;"",INDEX(Clientes!$D$5:$D$549,MATCH(A185,Clientes!$C$5:$C$549,0)),TRIM(INDEX(Clientes!$E$5:$E$549,MATCH(A185,Clientes!$C$5:$C$549,0))&amp;" "&amp;INDEX(Clientes!$F$5:$F$549,MATCH(A185,Clientes!$C$5:$C$549,0)))),"NO EXISTE en Clientes"))</f>
        <v/>
      </c>
      <c r="C185" s="17" t="n"/>
      <c r="D185" s="17" t="n"/>
      <c r="E185" s="17" t="n"/>
      <c r="F185" s="23" t="n"/>
      <c r="G185" s="23" t="n"/>
      <c r="H185" s="23" t="n"/>
      <c r="I185" s="17" t="n"/>
      <c r="J185" s="17" t="n"/>
      <c r="K185" s="17" t="n"/>
      <c r="L185" s="17">
        <f>IF(AND(A185="",C185=""),"",IF(A185="","FALTA doc. cliente",IF(B185="NO EXISTE en Clientes","CLIENTE no está en hoja Clientes",IF(C185="","FALTA nombre",IF(AND(K185="SI",COUNTIFS($A$5:$A$499,A185,$K$5:$K$499,"SI")&gt;1),"Más de un contacto principal para este cliente","OK")))))</f>
        <v/>
      </c>
      <c r="M185" s="28">
        <f>IF(L185&lt;&gt;"OK","","INSERT INTO cli_contacto (id_cliente, nombre, apellido_paterno, apellido_materno, telefono1, telefono2, telefono3, email, direccion, es_principal, estado) SELECT "&amp;"(SELECT id FROM cli_clientes WHERE numero_documento = '"&amp;SUBSTITUTE(TRIM(A185),"'","''")&amp;"' AND estado = 1 LIMIT 1)"&amp;", "&amp;IF(TRIM(C185&amp;"")="","NULL","'"&amp;SUBSTITUTE(TRIM(C185),"'","''")&amp;"'")&amp;", "&amp;IF(TRIM(D185&amp;"")="","NULL","'"&amp;SUBSTITUTE(TRIM(D185),"'","''")&amp;"'")&amp;", "&amp;IF(TRIM(E185&amp;"")="","NULL","'"&amp;SUBSTITUTE(TRIM(E185),"'","''")&amp;"'")&amp;", "&amp;IF(TRIM(F185&amp;"")="","NULL","'"&amp;SUBSTITUTE(TRIM(F185),"'","''")&amp;"'")&amp;", "&amp;IF(TRIM(G185&amp;"")="","NULL","'"&amp;SUBSTITUTE(TRIM(G185),"'","''")&amp;"'")&amp;", "&amp;IF(TRIM(H185&amp;"")="","NULL","'"&amp;SUBSTITUTE(TRIM(H185),"'","''")&amp;"'")&amp;", "&amp;IF(TRIM(I185&amp;"")="","NULL","'"&amp;SUBSTITUTE(TRIM(I185),"'","''")&amp;"'")&amp;", "&amp;IF(TRIM(J185&amp;"")="","NULL","'"&amp;SUBSTITUTE(TRIM(J185),"'","''")&amp;"'")&amp;", "&amp;IF(UPPER(TRIM(K185&amp;""))="SI","TRUE","FALSE")&amp;", 1"&amp;" WHERE NOT EXISTS (SELECT 1 FROM cli_contacto c WHERE c.id_cliente = "&amp;"(SELECT id FROM cli_clientes WHERE numero_documento = '"&amp;SUBSTITUTE(TRIM(A185),"'","''")&amp;"' AND estado = 1 LIMIT 1)"&amp;" AND upper(c.nombre) = upper("&amp;IF(TRIM(C185&amp;"")="","NULL","'"&amp;SUBSTITUTE(TRIM(C185),"'","''")&amp;"'")&amp;") AND coalesce(c.telefono1,'') = coalesce("&amp;IF(TRIM(F185&amp;"")="","NULL","'"&amp;SUBSTITUTE(TRIM(F185),"'","''")&amp;"'")&amp;",''));")</f>
        <v/>
      </c>
    </row>
    <row r="186" ht="15.75" customHeight="1" s="64">
      <c r="A186" s="23" t="n"/>
      <c r="B186" s="25">
        <f t="array" ref="B186">IF(A186="","",IFERROR(IF(INDEX(Clientes!$D$5:$D$549,MATCH(A186,Clientes!$C$5:$C$549,0))&lt;&gt;"",INDEX(Clientes!$D$5:$D$549,MATCH(A186,Clientes!$C$5:$C$549,0)),TRIM(INDEX(Clientes!$E$5:$E$549,MATCH(A186,Clientes!$C$5:$C$549,0))&amp;" "&amp;INDEX(Clientes!$F$5:$F$549,MATCH(A186,Clientes!$C$5:$C$549,0)))),"NO EXISTE en Clientes"))</f>
        <v/>
      </c>
      <c r="C186" s="17" t="n"/>
      <c r="D186" s="17" t="n"/>
      <c r="E186" s="17" t="n"/>
      <c r="F186" s="23" t="n"/>
      <c r="G186" s="23" t="n"/>
      <c r="H186" s="23" t="n"/>
      <c r="I186" s="17" t="n"/>
      <c r="J186" s="17" t="n"/>
      <c r="K186" s="17" t="n"/>
      <c r="L186" s="17">
        <f>IF(AND(A186="",C186=""),"",IF(A186="","FALTA doc. cliente",IF(B186="NO EXISTE en Clientes","CLIENTE no está en hoja Clientes",IF(C186="","FALTA nombre",IF(AND(K186="SI",COUNTIFS($A$5:$A$499,A186,$K$5:$K$499,"SI")&gt;1),"Más de un contacto principal para este cliente","OK")))))</f>
        <v/>
      </c>
      <c r="M186" s="28">
        <f>IF(L186&lt;&gt;"OK","","INSERT INTO cli_contacto (id_cliente, nombre, apellido_paterno, apellido_materno, telefono1, telefono2, telefono3, email, direccion, es_principal, estado) SELECT "&amp;"(SELECT id FROM cli_clientes WHERE numero_documento = '"&amp;SUBSTITUTE(TRIM(A186),"'","''")&amp;"' AND estado = 1 LIMIT 1)"&amp;", "&amp;IF(TRIM(C186&amp;"")="","NULL","'"&amp;SUBSTITUTE(TRIM(C186),"'","''")&amp;"'")&amp;", "&amp;IF(TRIM(D186&amp;"")="","NULL","'"&amp;SUBSTITUTE(TRIM(D186),"'","''")&amp;"'")&amp;", "&amp;IF(TRIM(E186&amp;"")="","NULL","'"&amp;SUBSTITUTE(TRIM(E186),"'","''")&amp;"'")&amp;", "&amp;IF(TRIM(F186&amp;"")="","NULL","'"&amp;SUBSTITUTE(TRIM(F186),"'","''")&amp;"'")&amp;", "&amp;IF(TRIM(G186&amp;"")="","NULL","'"&amp;SUBSTITUTE(TRIM(G186),"'","''")&amp;"'")&amp;", "&amp;IF(TRIM(H186&amp;"")="","NULL","'"&amp;SUBSTITUTE(TRIM(H186),"'","''")&amp;"'")&amp;", "&amp;IF(TRIM(I186&amp;"")="","NULL","'"&amp;SUBSTITUTE(TRIM(I186),"'","''")&amp;"'")&amp;", "&amp;IF(TRIM(J186&amp;"")="","NULL","'"&amp;SUBSTITUTE(TRIM(J186),"'","''")&amp;"'")&amp;", "&amp;IF(UPPER(TRIM(K186&amp;""))="SI","TRUE","FALSE")&amp;", 1"&amp;" WHERE NOT EXISTS (SELECT 1 FROM cli_contacto c WHERE c.id_cliente = "&amp;"(SELECT id FROM cli_clientes WHERE numero_documento = '"&amp;SUBSTITUTE(TRIM(A186),"'","''")&amp;"' AND estado = 1 LIMIT 1)"&amp;" AND upper(c.nombre) = upper("&amp;IF(TRIM(C186&amp;"")="","NULL","'"&amp;SUBSTITUTE(TRIM(C186),"'","''")&amp;"'")&amp;") AND coalesce(c.telefono1,'') = coalesce("&amp;IF(TRIM(F186&amp;"")="","NULL","'"&amp;SUBSTITUTE(TRIM(F186),"'","''")&amp;"'")&amp;",''));")</f>
        <v/>
      </c>
    </row>
    <row r="187" ht="15.75" customHeight="1" s="64">
      <c r="A187" s="23" t="n"/>
      <c r="B187" s="25">
        <f t="array" ref="B187">IF(A187="","",IFERROR(IF(INDEX(Clientes!$D$5:$D$549,MATCH(A187,Clientes!$C$5:$C$549,0))&lt;&gt;"",INDEX(Clientes!$D$5:$D$549,MATCH(A187,Clientes!$C$5:$C$549,0)),TRIM(INDEX(Clientes!$E$5:$E$549,MATCH(A187,Clientes!$C$5:$C$549,0))&amp;" "&amp;INDEX(Clientes!$F$5:$F$549,MATCH(A187,Clientes!$C$5:$C$549,0)))),"NO EXISTE en Clientes"))</f>
        <v/>
      </c>
      <c r="C187" s="17" t="n"/>
      <c r="D187" s="17" t="n"/>
      <c r="E187" s="17" t="n"/>
      <c r="F187" s="23" t="n"/>
      <c r="G187" s="23" t="n"/>
      <c r="H187" s="23" t="n"/>
      <c r="I187" s="17" t="n"/>
      <c r="J187" s="17" t="n"/>
      <c r="K187" s="17" t="n"/>
      <c r="L187" s="17">
        <f>IF(AND(A187="",C187=""),"",IF(A187="","FALTA doc. cliente",IF(B187="NO EXISTE en Clientes","CLIENTE no está en hoja Clientes",IF(C187="","FALTA nombre",IF(AND(K187="SI",COUNTIFS($A$5:$A$499,A187,$K$5:$K$499,"SI")&gt;1),"Más de un contacto principal para este cliente","OK")))))</f>
        <v/>
      </c>
      <c r="M187" s="28">
        <f>IF(L187&lt;&gt;"OK","","INSERT INTO cli_contacto (id_cliente, nombre, apellido_paterno, apellido_materno, telefono1, telefono2, telefono3, email, direccion, es_principal, estado) SELECT "&amp;"(SELECT id FROM cli_clientes WHERE numero_documento = '"&amp;SUBSTITUTE(TRIM(A187),"'","''")&amp;"' AND estado = 1 LIMIT 1)"&amp;", "&amp;IF(TRIM(C187&amp;"")="","NULL","'"&amp;SUBSTITUTE(TRIM(C187),"'","''")&amp;"'")&amp;", "&amp;IF(TRIM(D187&amp;"")="","NULL","'"&amp;SUBSTITUTE(TRIM(D187),"'","''")&amp;"'")&amp;", "&amp;IF(TRIM(E187&amp;"")="","NULL","'"&amp;SUBSTITUTE(TRIM(E187),"'","''")&amp;"'")&amp;", "&amp;IF(TRIM(F187&amp;"")="","NULL","'"&amp;SUBSTITUTE(TRIM(F187),"'","''")&amp;"'")&amp;", "&amp;IF(TRIM(G187&amp;"")="","NULL","'"&amp;SUBSTITUTE(TRIM(G187),"'","''")&amp;"'")&amp;", "&amp;IF(TRIM(H187&amp;"")="","NULL","'"&amp;SUBSTITUTE(TRIM(H187),"'","''")&amp;"'")&amp;", "&amp;IF(TRIM(I187&amp;"")="","NULL","'"&amp;SUBSTITUTE(TRIM(I187),"'","''")&amp;"'")&amp;", "&amp;IF(TRIM(J187&amp;"")="","NULL","'"&amp;SUBSTITUTE(TRIM(J187),"'","''")&amp;"'")&amp;", "&amp;IF(UPPER(TRIM(K187&amp;""))="SI","TRUE","FALSE")&amp;", 1"&amp;" WHERE NOT EXISTS (SELECT 1 FROM cli_contacto c WHERE c.id_cliente = "&amp;"(SELECT id FROM cli_clientes WHERE numero_documento = '"&amp;SUBSTITUTE(TRIM(A187),"'","''")&amp;"' AND estado = 1 LIMIT 1)"&amp;" AND upper(c.nombre) = upper("&amp;IF(TRIM(C187&amp;"")="","NULL","'"&amp;SUBSTITUTE(TRIM(C187),"'","''")&amp;"'")&amp;") AND coalesce(c.telefono1,'') = coalesce("&amp;IF(TRIM(F187&amp;"")="","NULL","'"&amp;SUBSTITUTE(TRIM(F187),"'","''")&amp;"'")&amp;",''));")</f>
        <v/>
      </c>
    </row>
    <row r="188" ht="15.75" customHeight="1" s="64">
      <c r="A188" s="23" t="n"/>
      <c r="B188" s="25">
        <f t="array" ref="B188">IF(A188="","",IFERROR(IF(INDEX(Clientes!$D$5:$D$549,MATCH(A188,Clientes!$C$5:$C$549,0))&lt;&gt;"",INDEX(Clientes!$D$5:$D$549,MATCH(A188,Clientes!$C$5:$C$549,0)),TRIM(INDEX(Clientes!$E$5:$E$549,MATCH(A188,Clientes!$C$5:$C$549,0))&amp;" "&amp;INDEX(Clientes!$F$5:$F$549,MATCH(A188,Clientes!$C$5:$C$549,0)))),"NO EXISTE en Clientes"))</f>
        <v/>
      </c>
      <c r="C188" s="17" t="n"/>
      <c r="D188" s="17" t="n"/>
      <c r="E188" s="17" t="n"/>
      <c r="F188" s="23" t="n"/>
      <c r="G188" s="23" t="n"/>
      <c r="H188" s="23" t="n"/>
      <c r="I188" s="17" t="n"/>
      <c r="J188" s="17" t="n"/>
      <c r="K188" s="17" t="n"/>
      <c r="L188" s="17">
        <f>IF(AND(A188="",C188=""),"",IF(A188="","FALTA doc. cliente",IF(B188="NO EXISTE en Clientes","CLIENTE no está en hoja Clientes",IF(C188="","FALTA nombre",IF(AND(K188="SI",COUNTIFS($A$5:$A$499,A188,$K$5:$K$499,"SI")&gt;1),"Más de un contacto principal para este cliente","OK")))))</f>
        <v/>
      </c>
      <c r="M188" s="28">
        <f>IF(L188&lt;&gt;"OK","","INSERT INTO cli_contacto (id_cliente, nombre, apellido_paterno, apellido_materno, telefono1, telefono2, telefono3, email, direccion, es_principal, estado) SELECT "&amp;"(SELECT id FROM cli_clientes WHERE numero_documento = '"&amp;SUBSTITUTE(TRIM(A188),"'","''")&amp;"' AND estado = 1 LIMIT 1)"&amp;", "&amp;IF(TRIM(C188&amp;"")="","NULL","'"&amp;SUBSTITUTE(TRIM(C188),"'","''")&amp;"'")&amp;", "&amp;IF(TRIM(D188&amp;"")="","NULL","'"&amp;SUBSTITUTE(TRIM(D188),"'","''")&amp;"'")&amp;", "&amp;IF(TRIM(E188&amp;"")="","NULL","'"&amp;SUBSTITUTE(TRIM(E188),"'","''")&amp;"'")&amp;", "&amp;IF(TRIM(F188&amp;"")="","NULL","'"&amp;SUBSTITUTE(TRIM(F188),"'","''")&amp;"'")&amp;", "&amp;IF(TRIM(G188&amp;"")="","NULL","'"&amp;SUBSTITUTE(TRIM(G188),"'","''")&amp;"'")&amp;", "&amp;IF(TRIM(H188&amp;"")="","NULL","'"&amp;SUBSTITUTE(TRIM(H188),"'","''")&amp;"'")&amp;", "&amp;IF(TRIM(I188&amp;"")="","NULL","'"&amp;SUBSTITUTE(TRIM(I188),"'","''")&amp;"'")&amp;", "&amp;IF(TRIM(J188&amp;"")="","NULL","'"&amp;SUBSTITUTE(TRIM(J188),"'","''")&amp;"'")&amp;", "&amp;IF(UPPER(TRIM(K188&amp;""))="SI","TRUE","FALSE")&amp;", 1"&amp;" WHERE NOT EXISTS (SELECT 1 FROM cli_contacto c WHERE c.id_cliente = "&amp;"(SELECT id FROM cli_clientes WHERE numero_documento = '"&amp;SUBSTITUTE(TRIM(A188),"'","''")&amp;"' AND estado = 1 LIMIT 1)"&amp;" AND upper(c.nombre) = upper("&amp;IF(TRIM(C188&amp;"")="","NULL","'"&amp;SUBSTITUTE(TRIM(C188),"'","''")&amp;"'")&amp;") AND coalesce(c.telefono1,'') = coalesce("&amp;IF(TRIM(F188&amp;"")="","NULL","'"&amp;SUBSTITUTE(TRIM(F188),"'","''")&amp;"'")&amp;",''));")</f>
        <v/>
      </c>
    </row>
    <row r="189" ht="15.75" customHeight="1" s="64">
      <c r="A189" s="23" t="n"/>
      <c r="B189" s="25">
        <f t="array" ref="B189">IF(A189="","",IFERROR(IF(INDEX(Clientes!$D$5:$D$549,MATCH(A189,Clientes!$C$5:$C$549,0))&lt;&gt;"",INDEX(Clientes!$D$5:$D$549,MATCH(A189,Clientes!$C$5:$C$549,0)),TRIM(INDEX(Clientes!$E$5:$E$549,MATCH(A189,Clientes!$C$5:$C$549,0))&amp;" "&amp;INDEX(Clientes!$F$5:$F$549,MATCH(A189,Clientes!$C$5:$C$549,0)))),"NO EXISTE en Clientes"))</f>
        <v/>
      </c>
      <c r="C189" s="17" t="n"/>
      <c r="D189" s="17" t="n"/>
      <c r="E189" s="17" t="n"/>
      <c r="F189" s="23" t="n"/>
      <c r="G189" s="23" t="n"/>
      <c r="H189" s="23" t="n"/>
      <c r="I189" s="17" t="n"/>
      <c r="J189" s="17" t="n"/>
      <c r="K189" s="17" t="n"/>
      <c r="L189" s="17">
        <f>IF(AND(A189="",C189=""),"",IF(A189="","FALTA doc. cliente",IF(B189="NO EXISTE en Clientes","CLIENTE no está en hoja Clientes",IF(C189="","FALTA nombre",IF(AND(K189="SI",COUNTIFS($A$5:$A$499,A189,$K$5:$K$499,"SI")&gt;1),"Más de un contacto principal para este cliente","OK")))))</f>
        <v/>
      </c>
      <c r="M189" s="28">
        <f>IF(L189&lt;&gt;"OK","","INSERT INTO cli_contacto (id_cliente, nombre, apellido_paterno, apellido_materno, telefono1, telefono2, telefono3, email, direccion, es_principal, estado) SELECT "&amp;"(SELECT id FROM cli_clientes WHERE numero_documento = '"&amp;SUBSTITUTE(TRIM(A189),"'","''")&amp;"' AND estado = 1 LIMIT 1)"&amp;", "&amp;IF(TRIM(C189&amp;"")="","NULL","'"&amp;SUBSTITUTE(TRIM(C189),"'","''")&amp;"'")&amp;", "&amp;IF(TRIM(D189&amp;"")="","NULL","'"&amp;SUBSTITUTE(TRIM(D189),"'","''")&amp;"'")&amp;", "&amp;IF(TRIM(E189&amp;"")="","NULL","'"&amp;SUBSTITUTE(TRIM(E189),"'","''")&amp;"'")&amp;", "&amp;IF(TRIM(F189&amp;"")="","NULL","'"&amp;SUBSTITUTE(TRIM(F189),"'","''")&amp;"'")&amp;", "&amp;IF(TRIM(G189&amp;"")="","NULL","'"&amp;SUBSTITUTE(TRIM(G189),"'","''")&amp;"'")&amp;", "&amp;IF(TRIM(H189&amp;"")="","NULL","'"&amp;SUBSTITUTE(TRIM(H189),"'","''")&amp;"'")&amp;", "&amp;IF(TRIM(I189&amp;"")="","NULL","'"&amp;SUBSTITUTE(TRIM(I189),"'","''")&amp;"'")&amp;", "&amp;IF(TRIM(J189&amp;"")="","NULL","'"&amp;SUBSTITUTE(TRIM(J189),"'","''")&amp;"'")&amp;", "&amp;IF(UPPER(TRIM(K189&amp;""))="SI","TRUE","FALSE")&amp;", 1"&amp;" WHERE NOT EXISTS (SELECT 1 FROM cli_contacto c WHERE c.id_cliente = "&amp;"(SELECT id FROM cli_clientes WHERE numero_documento = '"&amp;SUBSTITUTE(TRIM(A189),"'","''")&amp;"' AND estado = 1 LIMIT 1)"&amp;" AND upper(c.nombre) = upper("&amp;IF(TRIM(C189&amp;"")="","NULL","'"&amp;SUBSTITUTE(TRIM(C189),"'","''")&amp;"'")&amp;") AND coalesce(c.telefono1,'') = coalesce("&amp;IF(TRIM(F189&amp;"")="","NULL","'"&amp;SUBSTITUTE(TRIM(F189),"'","''")&amp;"'")&amp;",''));")</f>
        <v/>
      </c>
    </row>
    <row r="190" ht="15.75" customHeight="1" s="64">
      <c r="A190" s="23" t="n"/>
      <c r="B190" s="25">
        <f t="array" ref="B190">IF(A190="","",IFERROR(IF(INDEX(Clientes!$D$5:$D$549,MATCH(A190,Clientes!$C$5:$C$549,0))&lt;&gt;"",INDEX(Clientes!$D$5:$D$549,MATCH(A190,Clientes!$C$5:$C$549,0)),TRIM(INDEX(Clientes!$E$5:$E$549,MATCH(A190,Clientes!$C$5:$C$549,0))&amp;" "&amp;INDEX(Clientes!$F$5:$F$549,MATCH(A190,Clientes!$C$5:$C$549,0)))),"NO EXISTE en Clientes"))</f>
        <v/>
      </c>
      <c r="C190" s="17" t="n"/>
      <c r="D190" s="17" t="n"/>
      <c r="E190" s="17" t="n"/>
      <c r="F190" s="23" t="n"/>
      <c r="G190" s="23" t="n"/>
      <c r="H190" s="23" t="n"/>
      <c r="I190" s="17" t="n"/>
      <c r="J190" s="17" t="n"/>
      <c r="K190" s="17" t="n"/>
      <c r="L190" s="17">
        <f>IF(AND(A190="",C190=""),"",IF(A190="","FALTA doc. cliente",IF(B190="NO EXISTE en Clientes","CLIENTE no está en hoja Clientes",IF(C190="","FALTA nombre",IF(AND(K190="SI",COUNTIFS($A$5:$A$499,A190,$K$5:$K$499,"SI")&gt;1),"Más de un contacto principal para este cliente","OK")))))</f>
        <v/>
      </c>
      <c r="M190" s="28">
        <f>IF(L190&lt;&gt;"OK","","INSERT INTO cli_contacto (id_cliente, nombre, apellido_paterno, apellido_materno, telefono1, telefono2, telefono3, email, direccion, es_principal, estado) SELECT "&amp;"(SELECT id FROM cli_clientes WHERE numero_documento = '"&amp;SUBSTITUTE(TRIM(A190),"'","''")&amp;"' AND estado = 1 LIMIT 1)"&amp;", "&amp;IF(TRIM(C190&amp;"")="","NULL","'"&amp;SUBSTITUTE(TRIM(C190),"'","''")&amp;"'")&amp;", "&amp;IF(TRIM(D190&amp;"")="","NULL","'"&amp;SUBSTITUTE(TRIM(D190),"'","''")&amp;"'")&amp;", "&amp;IF(TRIM(E190&amp;"")="","NULL","'"&amp;SUBSTITUTE(TRIM(E190),"'","''")&amp;"'")&amp;", "&amp;IF(TRIM(F190&amp;"")="","NULL","'"&amp;SUBSTITUTE(TRIM(F190),"'","''")&amp;"'")&amp;", "&amp;IF(TRIM(G190&amp;"")="","NULL","'"&amp;SUBSTITUTE(TRIM(G190),"'","''")&amp;"'")&amp;", "&amp;IF(TRIM(H190&amp;"")="","NULL","'"&amp;SUBSTITUTE(TRIM(H190),"'","''")&amp;"'")&amp;", "&amp;IF(TRIM(I190&amp;"")="","NULL","'"&amp;SUBSTITUTE(TRIM(I190),"'","''")&amp;"'")&amp;", "&amp;IF(TRIM(J190&amp;"")="","NULL","'"&amp;SUBSTITUTE(TRIM(J190),"'","''")&amp;"'")&amp;", "&amp;IF(UPPER(TRIM(K190&amp;""))="SI","TRUE","FALSE")&amp;", 1"&amp;" WHERE NOT EXISTS (SELECT 1 FROM cli_contacto c WHERE c.id_cliente = "&amp;"(SELECT id FROM cli_clientes WHERE numero_documento = '"&amp;SUBSTITUTE(TRIM(A190),"'","''")&amp;"' AND estado = 1 LIMIT 1)"&amp;" AND upper(c.nombre) = upper("&amp;IF(TRIM(C190&amp;"")="","NULL","'"&amp;SUBSTITUTE(TRIM(C190),"'","''")&amp;"'")&amp;") AND coalesce(c.telefono1,'') = coalesce("&amp;IF(TRIM(F190&amp;"")="","NULL","'"&amp;SUBSTITUTE(TRIM(F190),"'","''")&amp;"'")&amp;",''));")</f>
        <v/>
      </c>
    </row>
    <row r="191" ht="15.75" customHeight="1" s="64">
      <c r="A191" s="23" t="n"/>
      <c r="B191" s="25">
        <f t="array" ref="B191">IF(A191="","",IFERROR(IF(INDEX(Clientes!$D$5:$D$549,MATCH(A191,Clientes!$C$5:$C$549,0))&lt;&gt;"",INDEX(Clientes!$D$5:$D$549,MATCH(A191,Clientes!$C$5:$C$549,0)),TRIM(INDEX(Clientes!$E$5:$E$549,MATCH(A191,Clientes!$C$5:$C$549,0))&amp;" "&amp;INDEX(Clientes!$F$5:$F$549,MATCH(A191,Clientes!$C$5:$C$549,0)))),"NO EXISTE en Clientes"))</f>
        <v/>
      </c>
      <c r="C191" s="17" t="n"/>
      <c r="D191" s="17" t="n"/>
      <c r="E191" s="17" t="n"/>
      <c r="F191" s="23" t="n"/>
      <c r="G191" s="23" t="n"/>
      <c r="H191" s="23" t="n"/>
      <c r="I191" s="17" t="n"/>
      <c r="J191" s="17" t="n"/>
      <c r="K191" s="17" t="n"/>
      <c r="L191" s="17">
        <f>IF(AND(A191="",C191=""),"",IF(A191="","FALTA doc. cliente",IF(B191="NO EXISTE en Clientes","CLIENTE no está en hoja Clientes",IF(C191="","FALTA nombre",IF(AND(K191="SI",COUNTIFS($A$5:$A$499,A191,$K$5:$K$499,"SI")&gt;1),"Más de un contacto principal para este cliente","OK")))))</f>
        <v/>
      </c>
      <c r="M191" s="28">
        <f>IF(L191&lt;&gt;"OK","","INSERT INTO cli_contacto (id_cliente, nombre, apellido_paterno, apellido_materno, telefono1, telefono2, telefono3, email, direccion, es_principal, estado) SELECT "&amp;"(SELECT id FROM cli_clientes WHERE numero_documento = '"&amp;SUBSTITUTE(TRIM(A191),"'","''")&amp;"' AND estado = 1 LIMIT 1)"&amp;", "&amp;IF(TRIM(C191&amp;"")="","NULL","'"&amp;SUBSTITUTE(TRIM(C191),"'","''")&amp;"'")&amp;", "&amp;IF(TRIM(D191&amp;"")="","NULL","'"&amp;SUBSTITUTE(TRIM(D191),"'","''")&amp;"'")&amp;", "&amp;IF(TRIM(E191&amp;"")="","NULL","'"&amp;SUBSTITUTE(TRIM(E191),"'","''")&amp;"'")&amp;", "&amp;IF(TRIM(F191&amp;"")="","NULL","'"&amp;SUBSTITUTE(TRIM(F191),"'","''")&amp;"'")&amp;", "&amp;IF(TRIM(G191&amp;"")="","NULL","'"&amp;SUBSTITUTE(TRIM(G191),"'","''")&amp;"'")&amp;", "&amp;IF(TRIM(H191&amp;"")="","NULL","'"&amp;SUBSTITUTE(TRIM(H191),"'","''")&amp;"'")&amp;", "&amp;IF(TRIM(I191&amp;"")="","NULL","'"&amp;SUBSTITUTE(TRIM(I191),"'","''")&amp;"'")&amp;", "&amp;IF(TRIM(J191&amp;"")="","NULL","'"&amp;SUBSTITUTE(TRIM(J191),"'","''")&amp;"'")&amp;", "&amp;IF(UPPER(TRIM(K191&amp;""))="SI","TRUE","FALSE")&amp;", 1"&amp;" WHERE NOT EXISTS (SELECT 1 FROM cli_contacto c WHERE c.id_cliente = "&amp;"(SELECT id FROM cli_clientes WHERE numero_documento = '"&amp;SUBSTITUTE(TRIM(A191),"'","''")&amp;"' AND estado = 1 LIMIT 1)"&amp;" AND upper(c.nombre) = upper("&amp;IF(TRIM(C191&amp;"")="","NULL","'"&amp;SUBSTITUTE(TRIM(C191),"'","''")&amp;"'")&amp;") AND coalesce(c.telefono1,'') = coalesce("&amp;IF(TRIM(F191&amp;"")="","NULL","'"&amp;SUBSTITUTE(TRIM(F191),"'","''")&amp;"'")&amp;",''));")</f>
        <v/>
      </c>
    </row>
    <row r="192" ht="15.75" customHeight="1" s="64">
      <c r="A192" s="23" t="n"/>
      <c r="B192" s="25">
        <f t="array" ref="B192">IF(A192="","",IFERROR(IF(INDEX(Clientes!$D$5:$D$549,MATCH(A192,Clientes!$C$5:$C$549,0))&lt;&gt;"",INDEX(Clientes!$D$5:$D$549,MATCH(A192,Clientes!$C$5:$C$549,0)),TRIM(INDEX(Clientes!$E$5:$E$549,MATCH(A192,Clientes!$C$5:$C$549,0))&amp;" "&amp;INDEX(Clientes!$F$5:$F$549,MATCH(A192,Clientes!$C$5:$C$549,0)))),"NO EXISTE en Clientes"))</f>
        <v/>
      </c>
      <c r="C192" s="17" t="n"/>
      <c r="D192" s="17" t="n"/>
      <c r="E192" s="17" t="n"/>
      <c r="F192" s="23" t="n"/>
      <c r="G192" s="23" t="n"/>
      <c r="H192" s="23" t="n"/>
      <c r="I192" s="17" t="n"/>
      <c r="J192" s="17" t="n"/>
      <c r="K192" s="17" t="n"/>
      <c r="L192" s="17">
        <f>IF(AND(A192="",C192=""),"",IF(A192="","FALTA doc. cliente",IF(B192="NO EXISTE en Clientes","CLIENTE no está en hoja Clientes",IF(C192="","FALTA nombre",IF(AND(K192="SI",COUNTIFS($A$5:$A$499,A192,$K$5:$K$499,"SI")&gt;1),"Más de un contacto principal para este cliente","OK")))))</f>
        <v/>
      </c>
      <c r="M192" s="28">
        <f>IF(L192&lt;&gt;"OK","","INSERT INTO cli_contacto (id_cliente, nombre, apellido_paterno, apellido_materno, telefono1, telefono2, telefono3, email, direccion, es_principal, estado) SELECT "&amp;"(SELECT id FROM cli_clientes WHERE numero_documento = '"&amp;SUBSTITUTE(TRIM(A192),"'","''")&amp;"' AND estado = 1 LIMIT 1)"&amp;", "&amp;IF(TRIM(C192&amp;"")="","NULL","'"&amp;SUBSTITUTE(TRIM(C192),"'","''")&amp;"'")&amp;", "&amp;IF(TRIM(D192&amp;"")="","NULL","'"&amp;SUBSTITUTE(TRIM(D192),"'","''")&amp;"'")&amp;", "&amp;IF(TRIM(E192&amp;"")="","NULL","'"&amp;SUBSTITUTE(TRIM(E192),"'","''")&amp;"'")&amp;", "&amp;IF(TRIM(F192&amp;"")="","NULL","'"&amp;SUBSTITUTE(TRIM(F192),"'","''")&amp;"'")&amp;", "&amp;IF(TRIM(G192&amp;"")="","NULL","'"&amp;SUBSTITUTE(TRIM(G192),"'","''")&amp;"'")&amp;", "&amp;IF(TRIM(H192&amp;"")="","NULL","'"&amp;SUBSTITUTE(TRIM(H192),"'","''")&amp;"'")&amp;", "&amp;IF(TRIM(I192&amp;"")="","NULL","'"&amp;SUBSTITUTE(TRIM(I192),"'","''")&amp;"'")&amp;", "&amp;IF(TRIM(J192&amp;"")="","NULL","'"&amp;SUBSTITUTE(TRIM(J192),"'","''")&amp;"'")&amp;", "&amp;IF(UPPER(TRIM(K192&amp;""))="SI","TRUE","FALSE")&amp;", 1"&amp;" WHERE NOT EXISTS (SELECT 1 FROM cli_contacto c WHERE c.id_cliente = "&amp;"(SELECT id FROM cli_clientes WHERE numero_documento = '"&amp;SUBSTITUTE(TRIM(A192),"'","''")&amp;"' AND estado = 1 LIMIT 1)"&amp;" AND upper(c.nombre) = upper("&amp;IF(TRIM(C192&amp;"")="","NULL","'"&amp;SUBSTITUTE(TRIM(C192),"'","''")&amp;"'")&amp;") AND coalesce(c.telefono1,'') = coalesce("&amp;IF(TRIM(F192&amp;"")="","NULL","'"&amp;SUBSTITUTE(TRIM(F192),"'","''")&amp;"'")&amp;",''));")</f>
        <v/>
      </c>
    </row>
    <row r="193" ht="15.75" customHeight="1" s="64">
      <c r="A193" s="23" t="n"/>
      <c r="B193" s="25">
        <f t="array" ref="B193">IF(A193="","",IFERROR(IF(INDEX(Clientes!$D$5:$D$549,MATCH(A193,Clientes!$C$5:$C$549,0))&lt;&gt;"",INDEX(Clientes!$D$5:$D$549,MATCH(A193,Clientes!$C$5:$C$549,0)),TRIM(INDEX(Clientes!$E$5:$E$549,MATCH(A193,Clientes!$C$5:$C$549,0))&amp;" "&amp;INDEX(Clientes!$F$5:$F$549,MATCH(A193,Clientes!$C$5:$C$549,0)))),"NO EXISTE en Clientes"))</f>
        <v/>
      </c>
      <c r="C193" s="17" t="n"/>
      <c r="D193" s="17" t="n"/>
      <c r="E193" s="17" t="n"/>
      <c r="F193" s="23" t="n"/>
      <c r="G193" s="23" t="n"/>
      <c r="H193" s="23" t="n"/>
      <c r="I193" s="17" t="n"/>
      <c r="J193" s="17" t="n"/>
      <c r="K193" s="17" t="n"/>
      <c r="L193" s="17">
        <f>IF(AND(A193="",C193=""),"",IF(A193="","FALTA doc. cliente",IF(B193="NO EXISTE en Clientes","CLIENTE no está en hoja Clientes",IF(C193="","FALTA nombre",IF(AND(K193="SI",COUNTIFS($A$5:$A$499,A193,$K$5:$K$499,"SI")&gt;1),"Más de un contacto principal para este cliente","OK")))))</f>
        <v/>
      </c>
      <c r="M193" s="28">
        <f>IF(L193&lt;&gt;"OK","","INSERT INTO cli_contacto (id_cliente, nombre, apellido_paterno, apellido_materno, telefono1, telefono2, telefono3, email, direccion, es_principal, estado) SELECT "&amp;"(SELECT id FROM cli_clientes WHERE numero_documento = '"&amp;SUBSTITUTE(TRIM(A193),"'","''")&amp;"' AND estado = 1 LIMIT 1)"&amp;", "&amp;IF(TRIM(C193&amp;"")="","NULL","'"&amp;SUBSTITUTE(TRIM(C193),"'","''")&amp;"'")&amp;", "&amp;IF(TRIM(D193&amp;"")="","NULL","'"&amp;SUBSTITUTE(TRIM(D193),"'","''")&amp;"'")&amp;", "&amp;IF(TRIM(E193&amp;"")="","NULL","'"&amp;SUBSTITUTE(TRIM(E193),"'","''")&amp;"'")&amp;", "&amp;IF(TRIM(F193&amp;"")="","NULL","'"&amp;SUBSTITUTE(TRIM(F193),"'","''")&amp;"'")&amp;", "&amp;IF(TRIM(G193&amp;"")="","NULL","'"&amp;SUBSTITUTE(TRIM(G193),"'","''")&amp;"'")&amp;", "&amp;IF(TRIM(H193&amp;"")="","NULL","'"&amp;SUBSTITUTE(TRIM(H193),"'","''")&amp;"'")&amp;", "&amp;IF(TRIM(I193&amp;"")="","NULL","'"&amp;SUBSTITUTE(TRIM(I193),"'","''")&amp;"'")&amp;", "&amp;IF(TRIM(J193&amp;"")="","NULL","'"&amp;SUBSTITUTE(TRIM(J193),"'","''")&amp;"'")&amp;", "&amp;IF(UPPER(TRIM(K193&amp;""))="SI","TRUE","FALSE")&amp;", 1"&amp;" WHERE NOT EXISTS (SELECT 1 FROM cli_contacto c WHERE c.id_cliente = "&amp;"(SELECT id FROM cli_clientes WHERE numero_documento = '"&amp;SUBSTITUTE(TRIM(A193),"'","''")&amp;"' AND estado = 1 LIMIT 1)"&amp;" AND upper(c.nombre) = upper("&amp;IF(TRIM(C193&amp;"")="","NULL","'"&amp;SUBSTITUTE(TRIM(C193),"'","''")&amp;"'")&amp;") AND coalesce(c.telefono1,'') = coalesce("&amp;IF(TRIM(F193&amp;"")="","NULL","'"&amp;SUBSTITUTE(TRIM(F193),"'","''")&amp;"'")&amp;",''));")</f>
        <v/>
      </c>
    </row>
    <row r="194" ht="15.75" customHeight="1" s="64">
      <c r="A194" s="23" t="n"/>
      <c r="B194" s="25">
        <f t="array" ref="B194">IF(A194="","",IFERROR(IF(INDEX(Clientes!$D$5:$D$549,MATCH(A194,Clientes!$C$5:$C$549,0))&lt;&gt;"",INDEX(Clientes!$D$5:$D$549,MATCH(A194,Clientes!$C$5:$C$549,0)),TRIM(INDEX(Clientes!$E$5:$E$549,MATCH(A194,Clientes!$C$5:$C$549,0))&amp;" "&amp;INDEX(Clientes!$F$5:$F$549,MATCH(A194,Clientes!$C$5:$C$549,0)))),"NO EXISTE en Clientes"))</f>
        <v/>
      </c>
      <c r="C194" s="17" t="n"/>
      <c r="D194" s="17" t="n"/>
      <c r="E194" s="17" t="n"/>
      <c r="F194" s="23" t="n"/>
      <c r="G194" s="23" t="n"/>
      <c r="H194" s="23" t="n"/>
      <c r="I194" s="17" t="n"/>
      <c r="J194" s="17" t="n"/>
      <c r="K194" s="17" t="n"/>
      <c r="L194" s="17">
        <f>IF(AND(A194="",C194=""),"",IF(A194="","FALTA doc. cliente",IF(B194="NO EXISTE en Clientes","CLIENTE no está en hoja Clientes",IF(C194="","FALTA nombre",IF(AND(K194="SI",COUNTIFS($A$5:$A$499,A194,$K$5:$K$499,"SI")&gt;1),"Más de un contacto principal para este cliente","OK")))))</f>
        <v/>
      </c>
      <c r="M194" s="28">
        <f>IF(L194&lt;&gt;"OK","","INSERT INTO cli_contacto (id_cliente, nombre, apellido_paterno, apellido_materno, telefono1, telefono2, telefono3, email, direccion, es_principal, estado) SELECT "&amp;"(SELECT id FROM cli_clientes WHERE numero_documento = '"&amp;SUBSTITUTE(TRIM(A194),"'","''")&amp;"' AND estado = 1 LIMIT 1)"&amp;", "&amp;IF(TRIM(C194&amp;"")="","NULL","'"&amp;SUBSTITUTE(TRIM(C194),"'","''")&amp;"'")&amp;", "&amp;IF(TRIM(D194&amp;"")="","NULL","'"&amp;SUBSTITUTE(TRIM(D194),"'","''")&amp;"'")&amp;", "&amp;IF(TRIM(E194&amp;"")="","NULL","'"&amp;SUBSTITUTE(TRIM(E194),"'","''")&amp;"'")&amp;", "&amp;IF(TRIM(F194&amp;"")="","NULL","'"&amp;SUBSTITUTE(TRIM(F194),"'","''")&amp;"'")&amp;", "&amp;IF(TRIM(G194&amp;"")="","NULL","'"&amp;SUBSTITUTE(TRIM(G194),"'","''")&amp;"'")&amp;", "&amp;IF(TRIM(H194&amp;"")="","NULL","'"&amp;SUBSTITUTE(TRIM(H194),"'","''")&amp;"'")&amp;", "&amp;IF(TRIM(I194&amp;"")="","NULL","'"&amp;SUBSTITUTE(TRIM(I194),"'","''")&amp;"'")&amp;", "&amp;IF(TRIM(J194&amp;"")="","NULL","'"&amp;SUBSTITUTE(TRIM(J194),"'","''")&amp;"'")&amp;", "&amp;IF(UPPER(TRIM(K194&amp;""))="SI","TRUE","FALSE")&amp;", 1"&amp;" WHERE NOT EXISTS (SELECT 1 FROM cli_contacto c WHERE c.id_cliente = "&amp;"(SELECT id FROM cli_clientes WHERE numero_documento = '"&amp;SUBSTITUTE(TRIM(A194),"'","''")&amp;"' AND estado = 1 LIMIT 1)"&amp;" AND upper(c.nombre) = upper("&amp;IF(TRIM(C194&amp;"")="","NULL","'"&amp;SUBSTITUTE(TRIM(C194),"'","''")&amp;"'")&amp;") AND coalesce(c.telefono1,'') = coalesce("&amp;IF(TRIM(F194&amp;"")="","NULL","'"&amp;SUBSTITUTE(TRIM(F194),"'","''")&amp;"'")&amp;",''));")</f>
        <v/>
      </c>
    </row>
    <row r="195" ht="15.75" customHeight="1" s="64">
      <c r="A195" s="23" t="n"/>
      <c r="B195" s="25">
        <f t="array" ref="B195">IF(A195="","",IFERROR(IF(INDEX(Clientes!$D$5:$D$549,MATCH(A195,Clientes!$C$5:$C$549,0))&lt;&gt;"",INDEX(Clientes!$D$5:$D$549,MATCH(A195,Clientes!$C$5:$C$549,0)),TRIM(INDEX(Clientes!$E$5:$E$549,MATCH(A195,Clientes!$C$5:$C$549,0))&amp;" "&amp;INDEX(Clientes!$F$5:$F$549,MATCH(A195,Clientes!$C$5:$C$549,0)))),"NO EXISTE en Clientes"))</f>
        <v/>
      </c>
      <c r="C195" s="17" t="n"/>
      <c r="D195" s="17" t="n"/>
      <c r="E195" s="17" t="n"/>
      <c r="F195" s="23" t="n"/>
      <c r="G195" s="23" t="n"/>
      <c r="H195" s="23" t="n"/>
      <c r="I195" s="17" t="n"/>
      <c r="J195" s="17" t="n"/>
      <c r="K195" s="17" t="n"/>
      <c r="L195" s="17">
        <f>IF(AND(A195="",C195=""),"",IF(A195="","FALTA doc. cliente",IF(B195="NO EXISTE en Clientes","CLIENTE no está en hoja Clientes",IF(C195="","FALTA nombre",IF(AND(K195="SI",COUNTIFS($A$5:$A$499,A195,$K$5:$K$499,"SI")&gt;1),"Más de un contacto principal para este cliente","OK")))))</f>
        <v/>
      </c>
      <c r="M195" s="28">
        <f>IF(L195&lt;&gt;"OK","","INSERT INTO cli_contacto (id_cliente, nombre, apellido_paterno, apellido_materno, telefono1, telefono2, telefono3, email, direccion, es_principal, estado) SELECT "&amp;"(SELECT id FROM cli_clientes WHERE numero_documento = '"&amp;SUBSTITUTE(TRIM(A195),"'","''")&amp;"' AND estado = 1 LIMIT 1)"&amp;", "&amp;IF(TRIM(C195&amp;"")="","NULL","'"&amp;SUBSTITUTE(TRIM(C195),"'","''")&amp;"'")&amp;", "&amp;IF(TRIM(D195&amp;"")="","NULL","'"&amp;SUBSTITUTE(TRIM(D195),"'","''")&amp;"'")&amp;", "&amp;IF(TRIM(E195&amp;"")="","NULL","'"&amp;SUBSTITUTE(TRIM(E195),"'","''")&amp;"'")&amp;", "&amp;IF(TRIM(F195&amp;"")="","NULL","'"&amp;SUBSTITUTE(TRIM(F195),"'","''")&amp;"'")&amp;", "&amp;IF(TRIM(G195&amp;"")="","NULL","'"&amp;SUBSTITUTE(TRIM(G195),"'","''")&amp;"'")&amp;", "&amp;IF(TRIM(H195&amp;"")="","NULL","'"&amp;SUBSTITUTE(TRIM(H195),"'","''")&amp;"'")&amp;", "&amp;IF(TRIM(I195&amp;"")="","NULL","'"&amp;SUBSTITUTE(TRIM(I195),"'","''")&amp;"'")&amp;", "&amp;IF(TRIM(J195&amp;"")="","NULL","'"&amp;SUBSTITUTE(TRIM(J195),"'","''")&amp;"'")&amp;", "&amp;IF(UPPER(TRIM(K195&amp;""))="SI","TRUE","FALSE")&amp;", 1"&amp;" WHERE NOT EXISTS (SELECT 1 FROM cli_contacto c WHERE c.id_cliente = "&amp;"(SELECT id FROM cli_clientes WHERE numero_documento = '"&amp;SUBSTITUTE(TRIM(A195),"'","''")&amp;"' AND estado = 1 LIMIT 1)"&amp;" AND upper(c.nombre) = upper("&amp;IF(TRIM(C195&amp;"")="","NULL","'"&amp;SUBSTITUTE(TRIM(C195),"'","''")&amp;"'")&amp;") AND coalesce(c.telefono1,'') = coalesce("&amp;IF(TRIM(F195&amp;"")="","NULL","'"&amp;SUBSTITUTE(TRIM(F195),"'","''")&amp;"'")&amp;",''));")</f>
        <v/>
      </c>
    </row>
    <row r="196" ht="15.75" customHeight="1" s="64">
      <c r="A196" s="23" t="n"/>
      <c r="B196" s="25">
        <f t="array" ref="B196">IF(A196="","",IFERROR(IF(INDEX(Clientes!$D$5:$D$549,MATCH(A196,Clientes!$C$5:$C$549,0))&lt;&gt;"",INDEX(Clientes!$D$5:$D$549,MATCH(A196,Clientes!$C$5:$C$549,0)),TRIM(INDEX(Clientes!$E$5:$E$549,MATCH(A196,Clientes!$C$5:$C$549,0))&amp;" "&amp;INDEX(Clientes!$F$5:$F$549,MATCH(A196,Clientes!$C$5:$C$549,0)))),"NO EXISTE en Clientes"))</f>
        <v/>
      </c>
      <c r="C196" s="17" t="n"/>
      <c r="D196" s="17" t="n"/>
      <c r="E196" s="17" t="n"/>
      <c r="F196" s="23" t="n"/>
      <c r="G196" s="23" t="n"/>
      <c r="H196" s="23" t="n"/>
      <c r="I196" s="17" t="n"/>
      <c r="J196" s="17" t="n"/>
      <c r="K196" s="17" t="n"/>
      <c r="L196" s="17">
        <f>IF(AND(A196="",C196=""),"",IF(A196="","FALTA doc. cliente",IF(B196="NO EXISTE en Clientes","CLIENTE no está en hoja Clientes",IF(C196="","FALTA nombre",IF(AND(K196="SI",COUNTIFS($A$5:$A$499,A196,$K$5:$K$499,"SI")&gt;1),"Más de un contacto principal para este cliente","OK")))))</f>
        <v/>
      </c>
      <c r="M196" s="28">
        <f>IF(L196&lt;&gt;"OK","","INSERT INTO cli_contacto (id_cliente, nombre, apellido_paterno, apellido_materno, telefono1, telefono2, telefono3, email, direccion, es_principal, estado) SELECT "&amp;"(SELECT id FROM cli_clientes WHERE numero_documento = '"&amp;SUBSTITUTE(TRIM(A196),"'","''")&amp;"' AND estado = 1 LIMIT 1)"&amp;", "&amp;IF(TRIM(C196&amp;"")="","NULL","'"&amp;SUBSTITUTE(TRIM(C196),"'","''")&amp;"'")&amp;", "&amp;IF(TRIM(D196&amp;"")="","NULL","'"&amp;SUBSTITUTE(TRIM(D196),"'","''")&amp;"'")&amp;", "&amp;IF(TRIM(E196&amp;"")="","NULL","'"&amp;SUBSTITUTE(TRIM(E196),"'","''")&amp;"'")&amp;", "&amp;IF(TRIM(F196&amp;"")="","NULL","'"&amp;SUBSTITUTE(TRIM(F196),"'","''")&amp;"'")&amp;", "&amp;IF(TRIM(G196&amp;"")="","NULL","'"&amp;SUBSTITUTE(TRIM(G196),"'","''")&amp;"'")&amp;", "&amp;IF(TRIM(H196&amp;"")="","NULL","'"&amp;SUBSTITUTE(TRIM(H196),"'","''")&amp;"'")&amp;", "&amp;IF(TRIM(I196&amp;"")="","NULL","'"&amp;SUBSTITUTE(TRIM(I196),"'","''")&amp;"'")&amp;", "&amp;IF(TRIM(J196&amp;"")="","NULL","'"&amp;SUBSTITUTE(TRIM(J196),"'","''")&amp;"'")&amp;", "&amp;IF(UPPER(TRIM(K196&amp;""))="SI","TRUE","FALSE")&amp;", 1"&amp;" WHERE NOT EXISTS (SELECT 1 FROM cli_contacto c WHERE c.id_cliente = "&amp;"(SELECT id FROM cli_clientes WHERE numero_documento = '"&amp;SUBSTITUTE(TRIM(A196),"'","''")&amp;"' AND estado = 1 LIMIT 1)"&amp;" AND upper(c.nombre) = upper("&amp;IF(TRIM(C196&amp;"")="","NULL","'"&amp;SUBSTITUTE(TRIM(C196),"'","''")&amp;"'")&amp;") AND coalesce(c.telefono1,'') = coalesce("&amp;IF(TRIM(F196&amp;"")="","NULL","'"&amp;SUBSTITUTE(TRIM(F196),"'","''")&amp;"'")&amp;",''));")</f>
        <v/>
      </c>
    </row>
    <row r="197" ht="15.75" customHeight="1" s="64">
      <c r="A197" s="23" t="n"/>
      <c r="B197" s="25">
        <f t="array" ref="B197">IF(A197="","",IFERROR(IF(INDEX(Clientes!$D$5:$D$549,MATCH(A197,Clientes!$C$5:$C$549,0))&lt;&gt;"",INDEX(Clientes!$D$5:$D$549,MATCH(A197,Clientes!$C$5:$C$549,0)),TRIM(INDEX(Clientes!$E$5:$E$549,MATCH(A197,Clientes!$C$5:$C$549,0))&amp;" "&amp;INDEX(Clientes!$F$5:$F$549,MATCH(A197,Clientes!$C$5:$C$549,0)))),"NO EXISTE en Clientes"))</f>
        <v/>
      </c>
      <c r="C197" s="17" t="n"/>
      <c r="D197" s="17" t="n"/>
      <c r="E197" s="17" t="n"/>
      <c r="F197" s="23" t="n"/>
      <c r="G197" s="23" t="n"/>
      <c r="H197" s="23" t="n"/>
      <c r="I197" s="17" t="n"/>
      <c r="J197" s="17" t="n"/>
      <c r="K197" s="17" t="n"/>
      <c r="L197" s="17">
        <f>IF(AND(A197="",C197=""),"",IF(A197="","FALTA doc. cliente",IF(B197="NO EXISTE en Clientes","CLIENTE no está en hoja Clientes",IF(C197="","FALTA nombre",IF(AND(K197="SI",COUNTIFS($A$5:$A$499,A197,$K$5:$K$499,"SI")&gt;1),"Más de un contacto principal para este cliente","OK")))))</f>
        <v/>
      </c>
      <c r="M197" s="28">
        <f>IF(L197&lt;&gt;"OK","","INSERT INTO cli_contacto (id_cliente, nombre, apellido_paterno, apellido_materno, telefono1, telefono2, telefono3, email, direccion, es_principal, estado) SELECT "&amp;"(SELECT id FROM cli_clientes WHERE numero_documento = '"&amp;SUBSTITUTE(TRIM(A197),"'","''")&amp;"' AND estado = 1 LIMIT 1)"&amp;", "&amp;IF(TRIM(C197&amp;"")="","NULL","'"&amp;SUBSTITUTE(TRIM(C197),"'","''")&amp;"'")&amp;", "&amp;IF(TRIM(D197&amp;"")="","NULL","'"&amp;SUBSTITUTE(TRIM(D197),"'","''")&amp;"'")&amp;", "&amp;IF(TRIM(E197&amp;"")="","NULL","'"&amp;SUBSTITUTE(TRIM(E197),"'","''")&amp;"'")&amp;", "&amp;IF(TRIM(F197&amp;"")="","NULL","'"&amp;SUBSTITUTE(TRIM(F197),"'","''")&amp;"'")&amp;", "&amp;IF(TRIM(G197&amp;"")="","NULL","'"&amp;SUBSTITUTE(TRIM(G197),"'","''")&amp;"'")&amp;", "&amp;IF(TRIM(H197&amp;"")="","NULL","'"&amp;SUBSTITUTE(TRIM(H197),"'","''")&amp;"'")&amp;", "&amp;IF(TRIM(I197&amp;"")="","NULL","'"&amp;SUBSTITUTE(TRIM(I197),"'","''")&amp;"'")&amp;", "&amp;IF(TRIM(J197&amp;"")="","NULL","'"&amp;SUBSTITUTE(TRIM(J197),"'","''")&amp;"'")&amp;", "&amp;IF(UPPER(TRIM(K197&amp;""))="SI","TRUE","FALSE")&amp;", 1"&amp;" WHERE NOT EXISTS (SELECT 1 FROM cli_contacto c WHERE c.id_cliente = "&amp;"(SELECT id FROM cli_clientes WHERE numero_documento = '"&amp;SUBSTITUTE(TRIM(A197),"'","''")&amp;"' AND estado = 1 LIMIT 1)"&amp;" AND upper(c.nombre) = upper("&amp;IF(TRIM(C197&amp;"")="","NULL","'"&amp;SUBSTITUTE(TRIM(C197),"'","''")&amp;"'")&amp;") AND coalesce(c.telefono1,'') = coalesce("&amp;IF(TRIM(F197&amp;"")="","NULL","'"&amp;SUBSTITUTE(TRIM(F197),"'","''")&amp;"'")&amp;",''));")</f>
        <v/>
      </c>
    </row>
    <row r="198" ht="15.75" customHeight="1" s="64">
      <c r="A198" s="23" t="n"/>
      <c r="B198" s="25">
        <f t="array" ref="B198">IF(A198="","",IFERROR(IF(INDEX(Clientes!$D$5:$D$549,MATCH(A198,Clientes!$C$5:$C$549,0))&lt;&gt;"",INDEX(Clientes!$D$5:$D$549,MATCH(A198,Clientes!$C$5:$C$549,0)),TRIM(INDEX(Clientes!$E$5:$E$549,MATCH(A198,Clientes!$C$5:$C$549,0))&amp;" "&amp;INDEX(Clientes!$F$5:$F$549,MATCH(A198,Clientes!$C$5:$C$549,0)))),"NO EXISTE en Clientes"))</f>
        <v/>
      </c>
      <c r="C198" s="17" t="n"/>
      <c r="D198" s="17" t="n"/>
      <c r="E198" s="17" t="n"/>
      <c r="F198" s="23" t="n"/>
      <c r="G198" s="23" t="n"/>
      <c r="H198" s="23" t="n"/>
      <c r="I198" s="17" t="n"/>
      <c r="J198" s="17" t="n"/>
      <c r="K198" s="17" t="n"/>
      <c r="L198" s="17">
        <f>IF(AND(A198="",C198=""),"",IF(A198="","FALTA doc. cliente",IF(B198="NO EXISTE en Clientes","CLIENTE no está en hoja Clientes",IF(C198="","FALTA nombre",IF(AND(K198="SI",COUNTIFS($A$5:$A$499,A198,$K$5:$K$499,"SI")&gt;1),"Más de un contacto principal para este cliente","OK")))))</f>
        <v/>
      </c>
      <c r="M198" s="28">
        <f>IF(L198&lt;&gt;"OK","","INSERT INTO cli_contacto (id_cliente, nombre, apellido_paterno, apellido_materno, telefono1, telefono2, telefono3, email, direccion, es_principal, estado) SELECT "&amp;"(SELECT id FROM cli_clientes WHERE numero_documento = '"&amp;SUBSTITUTE(TRIM(A198),"'","''")&amp;"' AND estado = 1 LIMIT 1)"&amp;", "&amp;IF(TRIM(C198&amp;"")="","NULL","'"&amp;SUBSTITUTE(TRIM(C198),"'","''")&amp;"'")&amp;", "&amp;IF(TRIM(D198&amp;"")="","NULL","'"&amp;SUBSTITUTE(TRIM(D198),"'","''")&amp;"'")&amp;", "&amp;IF(TRIM(E198&amp;"")="","NULL","'"&amp;SUBSTITUTE(TRIM(E198),"'","''")&amp;"'")&amp;", "&amp;IF(TRIM(F198&amp;"")="","NULL","'"&amp;SUBSTITUTE(TRIM(F198),"'","''")&amp;"'")&amp;", "&amp;IF(TRIM(G198&amp;"")="","NULL","'"&amp;SUBSTITUTE(TRIM(G198),"'","''")&amp;"'")&amp;", "&amp;IF(TRIM(H198&amp;"")="","NULL","'"&amp;SUBSTITUTE(TRIM(H198),"'","''")&amp;"'")&amp;", "&amp;IF(TRIM(I198&amp;"")="","NULL","'"&amp;SUBSTITUTE(TRIM(I198),"'","''")&amp;"'")&amp;", "&amp;IF(TRIM(J198&amp;"")="","NULL","'"&amp;SUBSTITUTE(TRIM(J198),"'","''")&amp;"'")&amp;", "&amp;IF(UPPER(TRIM(K198&amp;""))="SI","TRUE","FALSE")&amp;", 1"&amp;" WHERE NOT EXISTS (SELECT 1 FROM cli_contacto c WHERE c.id_cliente = "&amp;"(SELECT id FROM cli_clientes WHERE numero_documento = '"&amp;SUBSTITUTE(TRIM(A198),"'","''")&amp;"' AND estado = 1 LIMIT 1)"&amp;" AND upper(c.nombre) = upper("&amp;IF(TRIM(C198&amp;"")="","NULL","'"&amp;SUBSTITUTE(TRIM(C198),"'","''")&amp;"'")&amp;") AND coalesce(c.telefono1,'') = coalesce("&amp;IF(TRIM(F198&amp;"")="","NULL","'"&amp;SUBSTITUTE(TRIM(F198),"'","''")&amp;"'")&amp;",''));")</f>
        <v/>
      </c>
    </row>
    <row r="199" ht="15.75" customHeight="1" s="64">
      <c r="A199" s="23" t="n"/>
      <c r="B199" s="25">
        <f t="array" ref="B199">IF(A199="","",IFERROR(IF(INDEX(Clientes!$D$5:$D$549,MATCH(A199,Clientes!$C$5:$C$549,0))&lt;&gt;"",INDEX(Clientes!$D$5:$D$549,MATCH(A199,Clientes!$C$5:$C$549,0)),TRIM(INDEX(Clientes!$E$5:$E$549,MATCH(A199,Clientes!$C$5:$C$549,0))&amp;" "&amp;INDEX(Clientes!$F$5:$F$549,MATCH(A199,Clientes!$C$5:$C$549,0)))),"NO EXISTE en Clientes"))</f>
        <v/>
      </c>
      <c r="C199" s="17" t="n"/>
      <c r="D199" s="17" t="n"/>
      <c r="E199" s="17" t="n"/>
      <c r="F199" s="23" t="n"/>
      <c r="G199" s="23" t="n"/>
      <c r="H199" s="23" t="n"/>
      <c r="I199" s="17" t="n"/>
      <c r="J199" s="17" t="n"/>
      <c r="K199" s="17" t="n"/>
      <c r="L199" s="17">
        <f>IF(AND(A199="",C199=""),"",IF(A199="","FALTA doc. cliente",IF(B199="NO EXISTE en Clientes","CLIENTE no está en hoja Clientes",IF(C199="","FALTA nombre",IF(AND(K199="SI",COUNTIFS($A$5:$A$499,A199,$K$5:$K$499,"SI")&gt;1),"Más de un contacto principal para este cliente","OK")))))</f>
        <v/>
      </c>
      <c r="M199" s="28">
        <f>IF(L199&lt;&gt;"OK","","INSERT INTO cli_contacto (id_cliente, nombre, apellido_paterno, apellido_materno, telefono1, telefono2, telefono3, email, direccion, es_principal, estado) SELECT "&amp;"(SELECT id FROM cli_clientes WHERE numero_documento = '"&amp;SUBSTITUTE(TRIM(A199),"'","''")&amp;"' AND estado = 1 LIMIT 1)"&amp;", "&amp;IF(TRIM(C199&amp;"")="","NULL","'"&amp;SUBSTITUTE(TRIM(C199),"'","''")&amp;"'")&amp;", "&amp;IF(TRIM(D199&amp;"")="","NULL","'"&amp;SUBSTITUTE(TRIM(D199),"'","''")&amp;"'")&amp;", "&amp;IF(TRIM(E199&amp;"")="","NULL","'"&amp;SUBSTITUTE(TRIM(E199),"'","''")&amp;"'")&amp;", "&amp;IF(TRIM(F199&amp;"")="","NULL","'"&amp;SUBSTITUTE(TRIM(F199),"'","''")&amp;"'")&amp;", "&amp;IF(TRIM(G199&amp;"")="","NULL","'"&amp;SUBSTITUTE(TRIM(G199),"'","''")&amp;"'")&amp;", "&amp;IF(TRIM(H199&amp;"")="","NULL","'"&amp;SUBSTITUTE(TRIM(H199),"'","''")&amp;"'")&amp;", "&amp;IF(TRIM(I199&amp;"")="","NULL","'"&amp;SUBSTITUTE(TRIM(I199),"'","''")&amp;"'")&amp;", "&amp;IF(TRIM(J199&amp;"")="","NULL","'"&amp;SUBSTITUTE(TRIM(J199),"'","''")&amp;"'")&amp;", "&amp;IF(UPPER(TRIM(K199&amp;""))="SI","TRUE","FALSE")&amp;", 1"&amp;" WHERE NOT EXISTS (SELECT 1 FROM cli_contacto c WHERE c.id_cliente = "&amp;"(SELECT id FROM cli_clientes WHERE numero_documento = '"&amp;SUBSTITUTE(TRIM(A199),"'","''")&amp;"' AND estado = 1 LIMIT 1)"&amp;" AND upper(c.nombre) = upper("&amp;IF(TRIM(C199&amp;"")="","NULL","'"&amp;SUBSTITUTE(TRIM(C199),"'","''")&amp;"'")&amp;") AND coalesce(c.telefono1,'') = coalesce("&amp;IF(TRIM(F199&amp;"")="","NULL","'"&amp;SUBSTITUTE(TRIM(F199),"'","''")&amp;"'")&amp;",''));")</f>
        <v/>
      </c>
    </row>
    <row r="200" ht="15.75" customHeight="1" s="64">
      <c r="A200" s="23" t="n"/>
      <c r="B200" s="25">
        <f t="array" ref="B200">IF(A200="","",IFERROR(IF(INDEX(Clientes!$D$5:$D$549,MATCH(A200,Clientes!$C$5:$C$549,0))&lt;&gt;"",INDEX(Clientes!$D$5:$D$549,MATCH(A200,Clientes!$C$5:$C$549,0)),TRIM(INDEX(Clientes!$E$5:$E$549,MATCH(A200,Clientes!$C$5:$C$549,0))&amp;" "&amp;INDEX(Clientes!$F$5:$F$549,MATCH(A200,Clientes!$C$5:$C$549,0)))),"NO EXISTE en Clientes"))</f>
        <v/>
      </c>
      <c r="C200" s="17" t="n"/>
      <c r="D200" s="17" t="n"/>
      <c r="E200" s="17" t="n"/>
      <c r="F200" s="23" t="n"/>
      <c r="G200" s="23" t="n"/>
      <c r="H200" s="23" t="n"/>
      <c r="I200" s="17" t="n"/>
      <c r="J200" s="17" t="n"/>
      <c r="K200" s="17" t="n"/>
      <c r="L200" s="17">
        <f>IF(AND(A200="",C200=""),"",IF(A200="","FALTA doc. cliente",IF(B200="NO EXISTE en Clientes","CLIENTE no está en hoja Clientes",IF(C200="","FALTA nombre",IF(AND(K200="SI",COUNTIFS($A$5:$A$499,A200,$K$5:$K$499,"SI")&gt;1),"Más de un contacto principal para este cliente","OK")))))</f>
        <v/>
      </c>
      <c r="M200" s="28">
        <f>IF(L200&lt;&gt;"OK","","INSERT INTO cli_contacto (id_cliente, nombre, apellido_paterno, apellido_materno, telefono1, telefono2, telefono3, email, direccion, es_principal, estado) SELECT "&amp;"(SELECT id FROM cli_clientes WHERE numero_documento = '"&amp;SUBSTITUTE(TRIM(A200),"'","''")&amp;"' AND estado = 1 LIMIT 1)"&amp;", "&amp;IF(TRIM(C200&amp;"")="","NULL","'"&amp;SUBSTITUTE(TRIM(C200),"'","''")&amp;"'")&amp;", "&amp;IF(TRIM(D200&amp;"")="","NULL","'"&amp;SUBSTITUTE(TRIM(D200),"'","''")&amp;"'")&amp;", "&amp;IF(TRIM(E200&amp;"")="","NULL","'"&amp;SUBSTITUTE(TRIM(E200),"'","''")&amp;"'")&amp;", "&amp;IF(TRIM(F200&amp;"")="","NULL","'"&amp;SUBSTITUTE(TRIM(F200),"'","''")&amp;"'")&amp;", "&amp;IF(TRIM(G200&amp;"")="","NULL","'"&amp;SUBSTITUTE(TRIM(G200),"'","''")&amp;"'")&amp;", "&amp;IF(TRIM(H200&amp;"")="","NULL","'"&amp;SUBSTITUTE(TRIM(H200),"'","''")&amp;"'")&amp;", "&amp;IF(TRIM(I200&amp;"")="","NULL","'"&amp;SUBSTITUTE(TRIM(I200),"'","''")&amp;"'")&amp;", "&amp;IF(TRIM(J200&amp;"")="","NULL","'"&amp;SUBSTITUTE(TRIM(J200),"'","''")&amp;"'")&amp;", "&amp;IF(UPPER(TRIM(K200&amp;""))="SI","TRUE","FALSE")&amp;", 1"&amp;" WHERE NOT EXISTS (SELECT 1 FROM cli_contacto c WHERE c.id_cliente = "&amp;"(SELECT id FROM cli_clientes WHERE numero_documento = '"&amp;SUBSTITUTE(TRIM(A200),"'","''")&amp;"' AND estado = 1 LIMIT 1)"&amp;" AND upper(c.nombre) = upper("&amp;IF(TRIM(C200&amp;"")="","NULL","'"&amp;SUBSTITUTE(TRIM(C200),"'","''")&amp;"'")&amp;") AND coalesce(c.telefono1,'') = coalesce("&amp;IF(TRIM(F200&amp;"")="","NULL","'"&amp;SUBSTITUTE(TRIM(F200),"'","''")&amp;"'")&amp;",''));")</f>
        <v/>
      </c>
    </row>
    <row r="201" ht="15.75" customHeight="1" s="64">
      <c r="A201" s="23" t="n"/>
      <c r="B201" s="25">
        <f t="array" ref="B201">IF(A201="","",IFERROR(IF(INDEX(Clientes!$D$5:$D$549,MATCH(A201,Clientes!$C$5:$C$549,0))&lt;&gt;"",INDEX(Clientes!$D$5:$D$549,MATCH(A201,Clientes!$C$5:$C$549,0)),TRIM(INDEX(Clientes!$E$5:$E$549,MATCH(A201,Clientes!$C$5:$C$549,0))&amp;" "&amp;INDEX(Clientes!$F$5:$F$549,MATCH(A201,Clientes!$C$5:$C$549,0)))),"NO EXISTE en Clientes"))</f>
        <v/>
      </c>
      <c r="C201" s="17" t="n"/>
      <c r="D201" s="17" t="n"/>
      <c r="E201" s="17" t="n"/>
      <c r="F201" s="23" t="n"/>
      <c r="G201" s="23" t="n"/>
      <c r="H201" s="23" t="n"/>
      <c r="I201" s="17" t="n"/>
      <c r="J201" s="17" t="n"/>
      <c r="K201" s="17" t="n"/>
      <c r="L201" s="17">
        <f>IF(AND(A201="",C201=""),"",IF(A201="","FALTA doc. cliente",IF(B201="NO EXISTE en Clientes","CLIENTE no está en hoja Clientes",IF(C201="","FALTA nombre",IF(AND(K201="SI",COUNTIFS($A$5:$A$499,A201,$K$5:$K$499,"SI")&gt;1),"Más de un contacto principal para este cliente","OK")))))</f>
        <v/>
      </c>
      <c r="M201" s="28">
        <f>IF(L201&lt;&gt;"OK","","INSERT INTO cli_contacto (id_cliente, nombre, apellido_paterno, apellido_materno, telefono1, telefono2, telefono3, email, direccion, es_principal, estado) SELECT "&amp;"(SELECT id FROM cli_clientes WHERE numero_documento = '"&amp;SUBSTITUTE(TRIM(A201),"'","''")&amp;"' AND estado = 1 LIMIT 1)"&amp;", "&amp;IF(TRIM(C201&amp;"")="","NULL","'"&amp;SUBSTITUTE(TRIM(C201),"'","''")&amp;"'")&amp;", "&amp;IF(TRIM(D201&amp;"")="","NULL","'"&amp;SUBSTITUTE(TRIM(D201),"'","''")&amp;"'")&amp;", "&amp;IF(TRIM(E201&amp;"")="","NULL","'"&amp;SUBSTITUTE(TRIM(E201),"'","''")&amp;"'")&amp;", "&amp;IF(TRIM(F201&amp;"")="","NULL","'"&amp;SUBSTITUTE(TRIM(F201),"'","''")&amp;"'")&amp;", "&amp;IF(TRIM(G201&amp;"")="","NULL","'"&amp;SUBSTITUTE(TRIM(G201),"'","''")&amp;"'")&amp;", "&amp;IF(TRIM(H201&amp;"")="","NULL","'"&amp;SUBSTITUTE(TRIM(H201),"'","''")&amp;"'")&amp;", "&amp;IF(TRIM(I201&amp;"")="","NULL","'"&amp;SUBSTITUTE(TRIM(I201),"'","''")&amp;"'")&amp;", "&amp;IF(TRIM(J201&amp;"")="","NULL","'"&amp;SUBSTITUTE(TRIM(J201),"'","''")&amp;"'")&amp;", "&amp;IF(UPPER(TRIM(K201&amp;""))="SI","TRUE","FALSE")&amp;", 1"&amp;" WHERE NOT EXISTS (SELECT 1 FROM cli_contacto c WHERE c.id_cliente = "&amp;"(SELECT id FROM cli_clientes WHERE numero_documento = '"&amp;SUBSTITUTE(TRIM(A201),"'","''")&amp;"' AND estado = 1 LIMIT 1)"&amp;" AND upper(c.nombre) = upper("&amp;IF(TRIM(C201&amp;"")="","NULL","'"&amp;SUBSTITUTE(TRIM(C201),"'","''")&amp;"'")&amp;") AND coalesce(c.telefono1,'') = coalesce("&amp;IF(TRIM(F201&amp;"")="","NULL","'"&amp;SUBSTITUTE(TRIM(F201),"'","''")&amp;"'")&amp;",''));")</f>
        <v/>
      </c>
    </row>
    <row r="202" ht="15.75" customHeight="1" s="64">
      <c r="A202" s="23" t="n"/>
      <c r="B202" s="25">
        <f t="array" ref="B202">IF(A202="","",IFERROR(IF(INDEX(Clientes!$D$5:$D$549,MATCH(A202,Clientes!$C$5:$C$549,0))&lt;&gt;"",INDEX(Clientes!$D$5:$D$549,MATCH(A202,Clientes!$C$5:$C$549,0)),TRIM(INDEX(Clientes!$E$5:$E$549,MATCH(A202,Clientes!$C$5:$C$549,0))&amp;" "&amp;INDEX(Clientes!$F$5:$F$549,MATCH(A202,Clientes!$C$5:$C$549,0)))),"NO EXISTE en Clientes"))</f>
        <v/>
      </c>
      <c r="C202" s="17" t="n"/>
      <c r="D202" s="17" t="n"/>
      <c r="E202" s="17" t="n"/>
      <c r="F202" s="23" t="n"/>
      <c r="G202" s="23" t="n"/>
      <c r="H202" s="23" t="n"/>
      <c r="I202" s="17" t="n"/>
      <c r="J202" s="17" t="n"/>
      <c r="K202" s="17" t="n"/>
      <c r="L202" s="17">
        <f>IF(AND(A202="",C202=""),"",IF(A202="","FALTA doc. cliente",IF(B202="NO EXISTE en Clientes","CLIENTE no está en hoja Clientes",IF(C202="","FALTA nombre",IF(AND(K202="SI",COUNTIFS($A$5:$A$499,A202,$K$5:$K$499,"SI")&gt;1),"Más de un contacto principal para este cliente","OK")))))</f>
        <v/>
      </c>
      <c r="M202" s="28">
        <f>IF(L202&lt;&gt;"OK","","INSERT INTO cli_contacto (id_cliente, nombre, apellido_paterno, apellido_materno, telefono1, telefono2, telefono3, email, direccion, es_principal, estado) SELECT "&amp;"(SELECT id FROM cli_clientes WHERE numero_documento = '"&amp;SUBSTITUTE(TRIM(A202),"'","''")&amp;"' AND estado = 1 LIMIT 1)"&amp;", "&amp;IF(TRIM(C202&amp;"")="","NULL","'"&amp;SUBSTITUTE(TRIM(C202),"'","''")&amp;"'")&amp;", "&amp;IF(TRIM(D202&amp;"")="","NULL","'"&amp;SUBSTITUTE(TRIM(D202),"'","''")&amp;"'")&amp;", "&amp;IF(TRIM(E202&amp;"")="","NULL","'"&amp;SUBSTITUTE(TRIM(E202),"'","''")&amp;"'")&amp;", "&amp;IF(TRIM(F202&amp;"")="","NULL","'"&amp;SUBSTITUTE(TRIM(F202),"'","''")&amp;"'")&amp;", "&amp;IF(TRIM(G202&amp;"")="","NULL","'"&amp;SUBSTITUTE(TRIM(G202),"'","''")&amp;"'")&amp;", "&amp;IF(TRIM(H202&amp;"")="","NULL","'"&amp;SUBSTITUTE(TRIM(H202),"'","''")&amp;"'")&amp;", "&amp;IF(TRIM(I202&amp;"")="","NULL","'"&amp;SUBSTITUTE(TRIM(I202),"'","''")&amp;"'")&amp;", "&amp;IF(TRIM(J202&amp;"")="","NULL","'"&amp;SUBSTITUTE(TRIM(J202),"'","''")&amp;"'")&amp;", "&amp;IF(UPPER(TRIM(K202&amp;""))="SI","TRUE","FALSE")&amp;", 1"&amp;" WHERE NOT EXISTS (SELECT 1 FROM cli_contacto c WHERE c.id_cliente = "&amp;"(SELECT id FROM cli_clientes WHERE numero_documento = '"&amp;SUBSTITUTE(TRIM(A202),"'","''")&amp;"' AND estado = 1 LIMIT 1)"&amp;" AND upper(c.nombre) = upper("&amp;IF(TRIM(C202&amp;"")="","NULL","'"&amp;SUBSTITUTE(TRIM(C202),"'","''")&amp;"'")&amp;") AND coalesce(c.telefono1,'') = coalesce("&amp;IF(TRIM(F202&amp;"")="","NULL","'"&amp;SUBSTITUTE(TRIM(F202),"'","''")&amp;"'")&amp;",''));")</f>
        <v/>
      </c>
    </row>
    <row r="203" ht="15.75" customHeight="1" s="64">
      <c r="A203" s="23" t="n"/>
      <c r="B203" s="25">
        <f t="array" ref="B203">IF(A203="","",IFERROR(IF(INDEX(Clientes!$D$5:$D$549,MATCH(A203,Clientes!$C$5:$C$549,0))&lt;&gt;"",INDEX(Clientes!$D$5:$D$549,MATCH(A203,Clientes!$C$5:$C$549,0)),TRIM(INDEX(Clientes!$E$5:$E$549,MATCH(A203,Clientes!$C$5:$C$549,0))&amp;" "&amp;INDEX(Clientes!$F$5:$F$549,MATCH(A203,Clientes!$C$5:$C$549,0)))),"NO EXISTE en Clientes"))</f>
        <v/>
      </c>
      <c r="C203" s="17" t="n"/>
      <c r="D203" s="17" t="n"/>
      <c r="E203" s="17" t="n"/>
      <c r="F203" s="23" t="n"/>
      <c r="G203" s="23" t="n"/>
      <c r="H203" s="23" t="n"/>
      <c r="I203" s="17" t="n"/>
      <c r="J203" s="17" t="n"/>
      <c r="K203" s="17" t="n"/>
      <c r="L203" s="17">
        <f>IF(AND(A203="",C203=""),"",IF(A203="","FALTA doc. cliente",IF(B203="NO EXISTE en Clientes","CLIENTE no está en hoja Clientes",IF(C203="","FALTA nombre",IF(AND(K203="SI",COUNTIFS($A$5:$A$499,A203,$K$5:$K$499,"SI")&gt;1),"Más de un contacto principal para este cliente","OK")))))</f>
        <v/>
      </c>
      <c r="M203" s="28">
        <f>IF(L203&lt;&gt;"OK","","INSERT INTO cli_contacto (id_cliente, nombre, apellido_paterno, apellido_materno, telefono1, telefono2, telefono3, email, direccion, es_principal, estado) SELECT "&amp;"(SELECT id FROM cli_clientes WHERE numero_documento = '"&amp;SUBSTITUTE(TRIM(A203),"'","''")&amp;"' AND estado = 1 LIMIT 1)"&amp;", "&amp;IF(TRIM(C203&amp;"")="","NULL","'"&amp;SUBSTITUTE(TRIM(C203),"'","''")&amp;"'")&amp;", "&amp;IF(TRIM(D203&amp;"")="","NULL","'"&amp;SUBSTITUTE(TRIM(D203),"'","''")&amp;"'")&amp;", "&amp;IF(TRIM(E203&amp;"")="","NULL","'"&amp;SUBSTITUTE(TRIM(E203),"'","''")&amp;"'")&amp;", "&amp;IF(TRIM(F203&amp;"")="","NULL","'"&amp;SUBSTITUTE(TRIM(F203),"'","''")&amp;"'")&amp;", "&amp;IF(TRIM(G203&amp;"")="","NULL","'"&amp;SUBSTITUTE(TRIM(G203),"'","''")&amp;"'")&amp;", "&amp;IF(TRIM(H203&amp;"")="","NULL","'"&amp;SUBSTITUTE(TRIM(H203),"'","''")&amp;"'")&amp;", "&amp;IF(TRIM(I203&amp;"")="","NULL","'"&amp;SUBSTITUTE(TRIM(I203),"'","''")&amp;"'")&amp;", "&amp;IF(TRIM(J203&amp;"")="","NULL","'"&amp;SUBSTITUTE(TRIM(J203),"'","''")&amp;"'")&amp;", "&amp;IF(UPPER(TRIM(K203&amp;""))="SI","TRUE","FALSE")&amp;", 1"&amp;" WHERE NOT EXISTS (SELECT 1 FROM cli_contacto c WHERE c.id_cliente = "&amp;"(SELECT id FROM cli_clientes WHERE numero_documento = '"&amp;SUBSTITUTE(TRIM(A203),"'","''")&amp;"' AND estado = 1 LIMIT 1)"&amp;" AND upper(c.nombre) = upper("&amp;IF(TRIM(C203&amp;"")="","NULL","'"&amp;SUBSTITUTE(TRIM(C203),"'","''")&amp;"'")&amp;") AND coalesce(c.telefono1,'') = coalesce("&amp;IF(TRIM(F203&amp;"")="","NULL","'"&amp;SUBSTITUTE(TRIM(F203),"'","''")&amp;"'")&amp;",''));")</f>
        <v/>
      </c>
    </row>
    <row r="204" ht="15.75" customHeight="1" s="64">
      <c r="A204" s="23" t="n"/>
      <c r="B204" s="25">
        <f t="array" ref="B204">IF(A204="","",IFERROR(IF(INDEX(Clientes!$D$5:$D$549,MATCH(A204,Clientes!$C$5:$C$549,0))&lt;&gt;"",INDEX(Clientes!$D$5:$D$549,MATCH(A204,Clientes!$C$5:$C$549,0)),TRIM(INDEX(Clientes!$E$5:$E$549,MATCH(A204,Clientes!$C$5:$C$549,0))&amp;" "&amp;INDEX(Clientes!$F$5:$F$549,MATCH(A204,Clientes!$C$5:$C$549,0)))),"NO EXISTE en Clientes"))</f>
        <v/>
      </c>
      <c r="C204" s="17" t="n"/>
      <c r="D204" s="17" t="n"/>
      <c r="E204" s="17" t="n"/>
      <c r="F204" s="23" t="n"/>
      <c r="G204" s="23" t="n"/>
      <c r="H204" s="23" t="n"/>
      <c r="I204" s="17" t="n"/>
      <c r="J204" s="17" t="n"/>
      <c r="K204" s="17" t="n"/>
      <c r="L204" s="17">
        <f>IF(AND(A204="",C204=""),"",IF(A204="","FALTA doc. cliente",IF(B204="NO EXISTE en Clientes","CLIENTE no está en hoja Clientes",IF(C204="","FALTA nombre",IF(AND(K204="SI",COUNTIFS($A$5:$A$499,A204,$K$5:$K$499,"SI")&gt;1),"Más de un contacto principal para este cliente","OK")))))</f>
        <v/>
      </c>
      <c r="M204" s="28">
        <f>IF(L204&lt;&gt;"OK","","INSERT INTO cli_contacto (id_cliente, nombre, apellido_paterno, apellido_materno, telefono1, telefono2, telefono3, email, direccion, es_principal, estado) SELECT "&amp;"(SELECT id FROM cli_clientes WHERE numero_documento = '"&amp;SUBSTITUTE(TRIM(A204),"'","''")&amp;"' AND estado = 1 LIMIT 1)"&amp;", "&amp;IF(TRIM(C204&amp;"")="","NULL","'"&amp;SUBSTITUTE(TRIM(C204),"'","''")&amp;"'")&amp;", "&amp;IF(TRIM(D204&amp;"")="","NULL","'"&amp;SUBSTITUTE(TRIM(D204),"'","''")&amp;"'")&amp;", "&amp;IF(TRIM(E204&amp;"")="","NULL","'"&amp;SUBSTITUTE(TRIM(E204),"'","''")&amp;"'")&amp;", "&amp;IF(TRIM(F204&amp;"")="","NULL","'"&amp;SUBSTITUTE(TRIM(F204),"'","''")&amp;"'")&amp;", "&amp;IF(TRIM(G204&amp;"")="","NULL","'"&amp;SUBSTITUTE(TRIM(G204),"'","''")&amp;"'")&amp;", "&amp;IF(TRIM(H204&amp;"")="","NULL","'"&amp;SUBSTITUTE(TRIM(H204),"'","''")&amp;"'")&amp;", "&amp;IF(TRIM(I204&amp;"")="","NULL","'"&amp;SUBSTITUTE(TRIM(I204),"'","''")&amp;"'")&amp;", "&amp;IF(TRIM(J204&amp;"")="","NULL","'"&amp;SUBSTITUTE(TRIM(J204),"'","''")&amp;"'")&amp;", "&amp;IF(UPPER(TRIM(K204&amp;""))="SI","TRUE","FALSE")&amp;", 1"&amp;" WHERE NOT EXISTS (SELECT 1 FROM cli_contacto c WHERE c.id_cliente = "&amp;"(SELECT id FROM cli_clientes WHERE numero_documento = '"&amp;SUBSTITUTE(TRIM(A204),"'","''")&amp;"' AND estado = 1 LIMIT 1)"&amp;" AND upper(c.nombre) = upper("&amp;IF(TRIM(C204&amp;"")="","NULL","'"&amp;SUBSTITUTE(TRIM(C204),"'","''")&amp;"'")&amp;") AND coalesce(c.telefono1,'') = coalesce("&amp;IF(TRIM(F204&amp;"")="","NULL","'"&amp;SUBSTITUTE(TRIM(F204),"'","''")&amp;"'")&amp;",''));")</f>
        <v/>
      </c>
    </row>
    <row r="205" ht="15.75" customHeight="1" s="64">
      <c r="A205" s="23" t="n"/>
      <c r="B205" s="25">
        <f t="array" ref="B205">IF(A205="","",IFERROR(IF(INDEX(Clientes!$D$5:$D$549,MATCH(A205,Clientes!$C$5:$C$549,0))&lt;&gt;"",INDEX(Clientes!$D$5:$D$549,MATCH(A205,Clientes!$C$5:$C$549,0)),TRIM(INDEX(Clientes!$E$5:$E$549,MATCH(A205,Clientes!$C$5:$C$549,0))&amp;" "&amp;INDEX(Clientes!$F$5:$F$549,MATCH(A205,Clientes!$C$5:$C$549,0)))),"NO EXISTE en Clientes"))</f>
        <v/>
      </c>
      <c r="C205" s="17" t="n"/>
      <c r="D205" s="17" t="n"/>
      <c r="E205" s="17" t="n"/>
      <c r="F205" s="23" t="n"/>
      <c r="G205" s="23" t="n"/>
      <c r="H205" s="23" t="n"/>
      <c r="I205" s="17" t="n"/>
      <c r="J205" s="17" t="n"/>
      <c r="K205" s="17" t="n"/>
      <c r="L205" s="17">
        <f>IF(AND(A205="",C205=""),"",IF(A205="","FALTA doc. cliente",IF(B205="NO EXISTE en Clientes","CLIENTE no está en hoja Clientes",IF(C205="","FALTA nombre",IF(AND(K205="SI",COUNTIFS($A$5:$A$499,A205,$K$5:$K$499,"SI")&gt;1),"Más de un contacto principal para este cliente","OK")))))</f>
        <v/>
      </c>
      <c r="M205" s="28">
        <f>IF(L205&lt;&gt;"OK","","INSERT INTO cli_contacto (id_cliente, nombre, apellido_paterno, apellido_materno, telefono1, telefono2, telefono3, email, direccion, es_principal, estado) SELECT "&amp;"(SELECT id FROM cli_clientes WHERE numero_documento = '"&amp;SUBSTITUTE(TRIM(A205),"'","''")&amp;"' AND estado = 1 LIMIT 1)"&amp;", "&amp;IF(TRIM(C205&amp;"")="","NULL","'"&amp;SUBSTITUTE(TRIM(C205),"'","''")&amp;"'")&amp;", "&amp;IF(TRIM(D205&amp;"")="","NULL","'"&amp;SUBSTITUTE(TRIM(D205),"'","''")&amp;"'")&amp;", "&amp;IF(TRIM(E205&amp;"")="","NULL","'"&amp;SUBSTITUTE(TRIM(E205),"'","''")&amp;"'")&amp;", "&amp;IF(TRIM(F205&amp;"")="","NULL","'"&amp;SUBSTITUTE(TRIM(F205),"'","''")&amp;"'")&amp;", "&amp;IF(TRIM(G205&amp;"")="","NULL","'"&amp;SUBSTITUTE(TRIM(G205),"'","''")&amp;"'")&amp;", "&amp;IF(TRIM(H205&amp;"")="","NULL","'"&amp;SUBSTITUTE(TRIM(H205),"'","''")&amp;"'")&amp;", "&amp;IF(TRIM(I205&amp;"")="","NULL","'"&amp;SUBSTITUTE(TRIM(I205),"'","''")&amp;"'")&amp;", "&amp;IF(TRIM(J205&amp;"")="","NULL","'"&amp;SUBSTITUTE(TRIM(J205),"'","''")&amp;"'")&amp;", "&amp;IF(UPPER(TRIM(K205&amp;""))="SI","TRUE","FALSE")&amp;", 1"&amp;" WHERE NOT EXISTS (SELECT 1 FROM cli_contacto c WHERE c.id_cliente = "&amp;"(SELECT id FROM cli_clientes WHERE numero_documento = '"&amp;SUBSTITUTE(TRIM(A205),"'","''")&amp;"' AND estado = 1 LIMIT 1)"&amp;" AND upper(c.nombre) = upper("&amp;IF(TRIM(C205&amp;"")="","NULL","'"&amp;SUBSTITUTE(TRIM(C205),"'","''")&amp;"'")&amp;") AND coalesce(c.telefono1,'') = coalesce("&amp;IF(TRIM(F205&amp;"")="","NULL","'"&amp;SUBSTITUTE(TRIM(F205),"'","''")&amp;"'")&amp;",''));")</f>
        <v/>
      </c>
    </row>
    <row r="206" ht="15.75" customHeight="1" s="64">
      <c r="A206" s="23" t="n"/>
      <c r="B206" s="25">
        <f t="array" ref="B206">IF(A206="","",IFERROR(IF(INDEX(Clientes!$D$5:$D$549,MATCH(A206,Clientes!$C$5:$C$549,0))&lt;&gt;"",INDEX(Clientes!$D$5:$D$549,MATCH(A206,Clientes!$C$5:$C$549,0)),TRIM(INDEX(Clientes!$E$5:$E$549,MATCH(A206,Clientes!$C$5:$C$549,0))&amp;" "&amp;INDEX(Clientes!$F$5:$F$549,MATCH(A206,Clientes!$C$5:$C$549,0)))),"NO EXISTE en Clientes"))</f>
        <v/>
      </c>
      <c r="C206" s="17" t="n"/>
      <c r="D206" s="17" t="n"/>
      <c r="E206" s="17" t="n"/>
      <c r="F206" s="23" t="n"/>
      <c r="G206" s="23" t="n"/>
      <c r="H206" s="23" t="n"/>
      <c r="I206" s="17" t="n"/>
      <c r="J206" s="17" t="n"/>
      <c r="K206" s="17" t="n"/>
      <c r="L206" s="17">
        <f>IF(AND(A206="",C206=""),"",IF(A206="","FALTA doc. cliente",IF(B206="NO EXISTE en Clientes","CLIENTE no está en hoja Clientes",IF(C206="","FALTA nombre",IF(AND(K206="SI",COUNTIFS($A$5:$A$499,A206,$K$5:$K$499,"SI")&gt;1),"Más de un contacto principal para este cliente","OK")))))</f>
        <v/>
      </c>
      <c r="M206" s="28">
        <f>IF(L206&lt;&gt;"OK","","INSERT INTO cli_contacto (id_cliente, nombre, apellido_paterno, apellido_materno, telefono1, telefono2, telefono3, email, direccion, es_principal, estado) SELECT "&amp;"(SELECT id FROM cli_clientes WHERE numero_documento = '"&amp;SUBSTITUTE(TRIM(A206),"'","''")&amp;"' AND estado = 1 LIMIT 1)"&amp;", "&amp;IF(TRIM(C206&amp;"")="","NULL","'"&amp;SUBSTITUTE(TRIM(C206),"'","''")&amp;"'")&amp;", "&amp;IF(TRIM(D206&amp;"")="","NULL","'"&amp;SUBSTITUTE(TRIM(D206),"'","''")&amp;"'")&amp;", "&amp;IF(TRIM(E206&amp;"")="","NULL","'"&amp;SUBSTITUTE(TRIM(E206),"'","''")&amp;"'")&amp;", "&amp;IF(TRIM(F206&amp;"")="","NULL","'"&amp;SUBSTITUTE(TRIM(F206),"'","''")&amp;"'")&amp;", "&amp;IF(TRIM(G206&amp;"")="","NULL","'"&amp;SUBSTITUTE(TRIM(G206),"'","''")&amp;"'")&amp;", "&amp;IF(TRIM(H206&amp;"")="","NULL","'"&amp;SUBSTITUTE(TRIM(H206),"'","''")&amp;"'")&amp;", "&amp;IF(TRIM(I206&amp;"")="","NULL","'"&amp;SUBSTITUTE(TRIM(I206),"'","''")&amp;"'")&amp;", "&amp;IF(TRIM(J206&amp;"")="","NULL","'"&amp;SUBSTITUTE(TRIM(J206),"'","''")&amp;"'")&amp;", "&amp;IF(UPPER(TRIM(K206&amp;""))="SI","TRUE","FALSE")&amp;", 1"&amp;" WHERE NOT EXISTS (SELECT 1 FROM cli_contacto c WHERE c.id_cliente = "&amp;"(SELECT id FROM cli_clientes WHERE numero_documento = '"&amp;SUBSTITUTE(TRIM(A206),"'","''")&amp;"' AND estado = 1 LIMIT 1)"&amp;" AND upper(c.nombre) = upper("&amp;IF(TRIM(C206&amp;"")="","NULL","'"&amp;SUBSTITUTE(TRIM(C206),"'","''")&amp;"'")&amp;") AND coalesce(c.telefono1,'') = coalesce("&amp;IF(TRIM(F206&amp;"")="","NULL","'"&amp;SUBSTITUTE(TRIM(F206),"'","''")&amp;"'")&amp;",''));")</f>
        <v/>
      </c>
    </row>
    <row r="207" ht="15.75" customHeight="1" s="64">
      <c r="A207" s="23" t="n"/>
      <c r="B207" s="25">
        <f t="array" ref="B207">IF(A207="","",IFERROR(IF(INDEX(Clientes!$D$5:$D$549,MATCH(A207,Clientes!$C$5:$C$549,0))&lt;&gt;"",INDEX(Clientes!$D$5:$D$549,MATCH(A207,Clientes!$C$5:$C$549,0)),TRIM(INDEX(Clientes!$E$5:$E$549,MATCH(A207,Clientes!$C$5:$C$549,0))&amp;" "&amp;INDEX(Clientes!$F$5:$F$549,MATCH(A207,Clientes!$C$5:$C$549,0)))),"NO EXISTE en Clientes"))</f>
        <v/>
      </c>
      <c r="C207" s="17" t="n"/>
      <c r="D207" s="17" t="n"/>
      <c r="E207" s="17" t="n"/>
      <c r="F207" s="23" t="n"/>
      <c r="G207" s="23" t="n"/>
      <c r="H207" s="23" t="n"/>
      <c r="I207" s="17" t="n"/>
      <c r="J207" s="17" t="n"/>
      <c r="K207" s="17" t="n"/>
      <c r="L207" s="17">
        <f>IF(AND(A207="",C207=""),"",IF(A207="","FALTA doc. cliente",IF(B207="NO EXISTE en Clientes","CLIENTE no está en hoja Clientes",IF(C207="","FALTA nombre",IF(AND(K207="SI",COUNTIFS($A$5:$A$499,A207,$K$5:$K$499,"SI")&gt;1),"Más de un contacto principal para este cliente","OK")))))</f>
        <v/>
      </c>
      <c r="M207" s="28">
        <f>IF(L207&lt;&gt;"OK","","INSERT INTO cli_contacto (id_cliente, nombre, apellido_paterno, apellido_materno, telefono1, telefono2, telefono3, email, direccion, es_principal, estado) SELECT "&amp;"(SELECT id FROM cli_clientes WHERE numero_documento = '"&amp;SUBSTITUTE(TRIM(A207),"'","''")&amp;"' AND estado = 1 LIMIT 1)"&amp;", "&amp;IF(TRIM(C207&amp;"")="","NULL","'"&amp;SUBSTITUTE(TRIM(C207),"'","''")&amp;"'")&amp;", "&amp;IF(TRIM(D207&amp;"")="","NULL","'"&amp;SUBSTITUTE(TRIM(D207),"'","''")&amp;"'")&amp;", "&amp;IF(TRIM(E207&amp;"")="","NULL","'"&amp;SUBSTITUTE(TRIM(E207),"'","''")&amp;"'")&amp;", "&amp;IF(TRIM(F207&amp;"")="","NULL","'"&amp;SUBSTITUTE(TRIM(F207),"'","''")&amp;"'")&amp;", "&amp;IF(TRIM(G207&amp;"")="","NULL","'"&amp;SUBSTITUTE(TRIM(G207),"'","''")&amp;"'")&amp;", "&amp;IF(TRIM(H207&amp;"")="","NULL","'"&amp;SUBSTITUTE(TRIM(H207),"'","''")&amp;"'")&amp;", "&amp;IF(TRIM(I207&amp;"")="","NULL","'"&amp;SUBSTITUTE(TRIM(I207),"'","''")&amp;"'")&amp;", "&amp;IF(TRIM(J207&amp;"")="","NULL","'"&amp;SUBSTITUTE(TRIM(J207),"'","''")&amp;"'")&amp;", "&amp;IF(UPPER(TRIM(K207&amp;""))="SI","TRUE","FALSE")&amp;", 1"&amp;" WHERE NOT EXISTS (SELECT 1 FROM cli_contacto c WHERE c.id_cliente = "&amp;"(SELECT id FROM cli_clientes WHERE numero_documento = '"&amp;SUBSTITUTE(TRIM(A207),"'","''")&amp;"' AND estado = 1 LIMIT 1)"&amp;" AND upper(c.nombre) = upper("&amp;IF(TRIM(C207&amp;"")="","NULL","'"&amp;SUBSTITUTE(TRIM(C207),"'","''")&amp;"'")&amp;") AND coalesce(c.telefono1,'') = coalesce("&amp;IF(TRIM(F207&amp;"")="","NULL","'"&amp;SUBSTITUTE(TRIM(F207),"'","''")&amp;"'")&amp;",''));")</f>
        <v/>
      </c>
    </row>
    <row r="208" ht="15.75" customHeight="1" s="64">
      <c r="A208" s="23" t="n"/>
      <c r="B208" s="25">
        <f t="array" ref="B208">IF(A208="","",IFERROR(IF(INDEX(Clientes!$D$5:$D$549,MATCH(A208,Clientes!$C$5:$C$549,0))&lt;&gt;"",INDEX(Clientes!$D$5:$D$549,MATCH(A208,Clientes!$C$5:$C$549,0)),TRIM(INDEX(Clientes!$E$5:$E$549,MATCH(A208,Clientes!$C$5:$C$549,0))&amp;" "&amp;INDEX(Clientes!$F$5:$F$549,MATCH(A208,Clientes!$C$5:$C$549,0)))),"NO EXISTE en Clientes"))</f>
        <v/>
      </c>
      <c r="C208" s="17" t="n"/>
      <c r="D208" s="17" t="n"/>
      <c r="E208" s="17" t="n"/>
      <c r="F208" s="23" t="n"/>
      <c r="G208" s="23" t="n"/>
      <c r="H208" s="23" t="n"/>
      <c r="I208" s="17" t="n"/>
      <c r="J208" s="17" t="n"/>
      <c r="K208" s="17" t="n"/>
      <c r="L208" s="17">
        <f>IF(AND(A208="",C208=""),"",IF(A208="","FALTA doc. cliente",IF(B208="NO EXISTE en Clientes","CLIENTE no está en hoja Clientes",IF(C208="","FALTA nombre",IF(AND(K208="SI",COUNTIFS($A$5:$A$499,A208,$K$5:$K$499,"SI")&gt;1),"Más de un contacto principal para este cliente","OK")))))</f>
        <v/>
      </c>
      <c r="M208" s="28">
        <f>IF(L208&lt;&gt;"OK","","INSERT INTO cli_contacto (id_cliente, nombre, apellido_paterno, apellido_materno, telefono1, telefono2, telefono3, email, direccion, es_principal, estado) SELECT "&amp;"(SELECT id FROM cli_clientes WHERE numero_documento = '"&amp;SUBSTITUTE(TRIM(A208),"'","''")&amp;"' AND estado = 1 LIMIT 1)"&amp;", "&amp;IF(TRIM(C208&amp;"")="","NULL","'"&amp;SUBSTITUTE(TRIM(C208),"'","''")&amp;"'")&amp;", "&amp;IF(TRIM(D208&amp;"")="","NULL","'"&amp;SUBSTITUTE(TRIM(D208),"'","''")&amp;"'")&amp;", "&amp;IF(TRIM(E208&amp;"")="","NULL","'"&amp;SUBSTITUTE(TRIM(E208),"'","''")&amp;"'")&amp;", "&amp;IF(TRIM(F208&amp;"")="","NULL","'"&amp;SUBSTITUTE(TRIM(F208),"'","''")&amp;"'")&amp;", "&amp;IF(TRIM(G208&amp;"")="","NULL","'"&amp;SUBSTITUTE(TRIM(G208),"'","''")&amp;"'")&amp;", "&amp;IF(TRIM(H208&amp;"")="","NULL","'"&amp;SUBSTITUTE(TRIM(H208),"'","''")&amp;"'")&amp;", "&amp;IF(TRIM(I208&amp;"")="","NULL","'"&amp;SUBSTITUTE(TRIM(I208),"'","''")&amp;"'")&amp;", "&amp;IF(TRIM(J208&amp;"")="","NULL","'"&amp;SUBSTITUTE(TRIM(J208),"'","''")&amp;"'")&amp;", "&amp;IF(UPPER(TRIM(K208&amp;""))="SI","TRUE","FALSE")&amp;", 1"&amp;" WHERE NOT EXISTS (SELECT 1 FROM cli_contacto c WHERE c.id_cliente = "&amp;"(SELECT id FROM cli_clientes WHERE numero_documento = '"&amp;SUBSTITUTE(TRIM(A208),"'","''")&amp;"' AND estado = 1 LIMIT 1)"&amp;" AND upper(c.nombre) = upper("&amp;IF(TRIM(C208&amp;"")="","NULL","'"&amp;SUBSTITUTE(TRIM(C208),"'","''")&amp;"'")&amp;") AND coalesce(c.telefono1,'') = coalesce("&amp;IF(TRIM(F208&amp;"")="","NULL","'"&amp;SUBSTITUTE(TRIM(F208),"'","''")&amp;"'")&amp;",''));")</f>
        <v/>
      </c>
    </row>
    <row r="209" ht="15.75" customHeight="1" s="64">
      <c r="A209" s="23" t="n"/>
      <c r="B209" s="25">
        <f t="array" ref="B209">IF(A209="","",IFERROR(IF(INDEX(Clientes!$D$5:$D$549,MATCH(A209,Clientes!$C$5:$C$549,0))&lt;&gt;"",INDEX(Clientes!$D$5:$D$549,MATCH(A209,Clientes!$C$5:$C$549,0)),TRIM(INDEX(Clientes!$E$5:$E$549,MATCH(A209,Clientes!$C$5:$C$549,0))&amp;" "&amp;INDEX(Clientes!$F$5:$F$549,MATCH(A209,Clientes!$C$5:$C$549,0)))),"NO EXISTE en Clientes"))</f>
        <v/>
      </c>
      <c r="C209" s="17" t="n"/>
      <c r="D209" s="17" t="n"/>
      <c r="E209" s="17" t="n"/>
      <c r="F209" s="23" t="n"/>
      <c r="G209" s="23" t="n"/>
      <c r="H209" s="23" t="n"/>
      <c r="I209" s="17" t="n"/>
      <c r="J209" s="17" t="n"/>
      <c r="K209" s="17" t="n"/>
      <c r="L209" s="17">
        <f>IF(AND(A209="",C209=""),"",IF(A209="","FALTA doc. cliente",IF(B209="NO EXISTE en Clientes","CLIENTE no está en hoja Clientes",IF(C209="","FALTA nombre",IF(AND(K209="SI",COUNTIFS($A$5:$A$499,A209,$K$5:$K$499,"SI")&gt;1),"Más de un contacto principal para este cliente","OK")))))</f>
        <v/>
      </c>
      <c r="M209" s="28">
        <f>IF(L209&lt;&gt;"OK","","INSERT INTO cli_contacto (id_cliente, nombre, apellido_paterno, apellido_materno, telefono1, telefono2, telefono3, email, direccion, es_principal, estado) SELECT "&amp;"(SELECT id FROM cli_clientes WHERE numero_documento = '"&amp;SUBSTITUTE(TRIM(A209),"'","''")&amp;"' AND estado = 1 LIMIT 1)"&amp;", "&amp;IF(TRIM(C209&amp;"")="","NULL","'"&amp;SUBSTITUTE(TRIM(C209),"'","''")&amp;"'")&amp;", "&amp;IF(TRIM(D209&amp;"")="","NULL","'"&amp;SUBSTITUTE(TRIM(D209),"'","''")&amp;"'")&amp;", "&amp;IF(TRIM(E209&amp;"")="","NULL","'"&amp;SUBSTITUTE(TRIM(E209),"'","''")&amp;"'")&amp;", "&amp;IF(TRIM(F209&amp;"")="","NULL","'"&amp;SUBSTITUTE(TRIM(F209),"'","''")&amp;"'")&amp;", "&amp;IF(TRIM(G209&amp;"")="","NULL","'"&amp;SUBSTITUTE(TRIM(G209),"'","''")&amp;"'")&amp;", "&amp;IF(TRIM(H209&amp;"")="","NULL","'"&amp;SUBSTITUTE(TRIM(H209),"'","''")&amp;"'")&amp;", "&amp;IF(TRIM(I209&amp;"")="","NULL","'"&amp;SUBSTITUTE(TRIM(I209),"'","''")&amp;"'")&amp;", "&amp;IF(TRIM(J209&amp;"")="","NULL","'"&amp;SUBSTITUTE(TRIM(J209),"'","''")&amp;"'")&amp;", "&amp;IF(UPPER(TRIM(K209&amp;""))="SI","TRUE","FALSE")&amp;", 1"&amp;" WHERE NOT EXISTS (SELECT 1 FROM cli_contacto c WHERE c.id_cliente = "&amp;"(SELECT id FROM cli_clientes WHERE numero_documento = '"&amp;SUBSTITUTE(TRIM(A209),"'","''")&amp;"' AND estado = 1 LIMIT 1)"&amp;" AND upper(c.nombre) = upper("&amp;IF(TRIM(C209&amp;"")="","NULL","'"&amp;SUBSTITUTE(TRIM(C209),"'","''")&amp;"'")&amp;") AND coalesce(c.telefono1,'') = coalesce("&amp;IF(TRIM(F209&amp;"")="","NULL","'"&amp;SUBSTITUTE(TRIM(F209),"'","''")&amp;"'")&amp;",''));")</f>
        <v/>
      </c>
    </row>
    <row r="210" ht="15.75" customHeight="1" s="64">
      <c r="A210" s="23" t="n"/>
      <c r="B210" s="25">
        <f t="array" ref="B210">IF(A210="","",IFERROR(IF(INDEX(Clientes!$D$5:$D$549,MATCH(A210,Clientes!$C$5:$C$549,0))&lt;&gt;"",INDEX(Clientes!$D$5:$D$549,MATCH(A210,Clientes!$C$5:$C$549,0)),TRIM(INDEX(Clientes!$E$5:$E$549,MATCH(A210,Clientes!$C$5:$C$549,0))&amp;" "&amp;INDEX(Clientes!$F$5:$F$549,MATCH(A210,Clientes!$C$5:$C$549,0)))),"NO EXISTE en Clientes"))</f>
        <v/>
      </c>
      <c r="C210" s="17" t="n"/>
      <c r="D210" s="17" t="n"/>
      <c r="E210" s="17" t="n"/>
      <c r="F210" s="23" t="n"/>
      <c r="G210" s="23" t="n"/>
      <c r="H210" s="23" t="n"/>
      <c r="I210" s="17" t="n"/>
      <c r="J210" s="17" t="n"/>
      <c r="K210" s="17" t="n"/>
      <c r="L210" s="17">
        <f>IF(AND(A210="",C210=""),"",IF(A210="","FALTA doc. cliente",IF(B210="NO EXISTE en Clientes","CLIENTE no está en hoja Clientes",IF(C210="","FALTA nombre",IF(AND(K210="SI",COUNTIFS($A$5:$A$499,A210,$K$5:$K$499,"SI")&gt;1),"Más de un contacto principal para este cliente","OK")))))</f>
        <v/>
      </c>
      <c r="M210" s="28">
        <f>IF(L210&lt;&gt;"OK","","INSERT INTO cli_contacto (id_cliente, nombre, apellido_paterno, apellido_materno, telefono1, telefono2, telefono3, email, direccion, es_principal, estado) SELECT "&amp;"(SELECT id FROM cli_clientes WHERE numero_documento = '"&amp;SUBSTITUTE(TRIM(A210),"'","''")&amp;"' AND estado = 1 LIMIT 1)"&amp;", "&amp;IF(TRIM(C210&amp;"")="","NULL","'"&amp;SUBSTITUTE(TRIM(C210),"'","''")&amp;"'")&amp;", "&amp;IF(TRIM(D210&amp;"")="","NULL","'"&amp;SUBSTITUTE(TRIM(D210),"'","''")&amp;"'")&amp;", "&amp;IF(TRIM(E210&amp;"")="","NULL","'"&amp;SUBSTITUTE(TRIM(E210),"'","''")&amp;"'")&amp;", "&amp;IF(TRIM(F210&amp;"")="","NULL","'"&amp;SUBSTITUTE(TRIM(F210),"'","''")&amp;"'")&amp;", "&amp;IF(TRIM(G210&amp;"")="","NULL","'"&amp;SUBSTITUTE(TRIM(G210),"'","''")&amp;"'")&amp;", "&amp;IF(TRIM(H210&amp;"")="","NULL","'"&amp;SUBSTITUTE(TRIM(H210),"'","''")&amp;"'")&amp;", "&amp;IF(TRIM(I210&amp;"")="","NULL","'"&amp;SUBSTITUTE(TRIM(I210),"'","''")&amp;"'")&amp;", "&amp;IF(TRIM(J210&amp;"")="","NULL","'"&amp;SUBSTITUTE(TRIM(J210),"'","''")&amp;"'")&amp;", "&amp;IF(UPPER(TRIM(K210&amp;""))="SI","TRUE","FALSE")&amp;", 1"&amp;" WHERE NOT EXISTS (SELECT 1 FROM cli_contacto c WHERE c.id_cliente = "&amp;"(SELECT id FROM cli_clientes WHERE numero_documento = '"&amp;SUBSTITUTE(TRIM(A210),"'","''")&amp;"' AND estado = 1 LIMIT 1)"&amp;" AND upper(c.nombre) = upper("&amp;IF(TRIM(C210&amp;"")="","NULL","'"&amp;SUBSTITUTE(TRIM(C210),"'","''")&amp;"'")&amp;") AND coalesce(c.telefono1,'') = coalesce("&amp;IF(TRIM(F210&amp;"")="","NULL","'"&amp;SUBSTITUTE(TRIM(F210),"'","''")&amp;"'")&amp;",''));")</f>
        <v/>
      </c>
    </row>
    <row r="211" ht="15.75" customHeight="1" s="64">
      <c r="A211" s="23" t="n"/>
      <c r="B211" s="25">
        <f t="array" ref="B211">IF(A211="","",IFERROR(IF(INDEX(Clientes!$D$5:$D$549,MATCH(A211,Clientes!$C$5:$C$549,0))&lt;&gt;"",INDEX(Clientes!$D$5:$D$549,MATCH(A211,Clientes!$C$5:$C$549,0)),TRIM(INDEX(Clientes!$E$5:$E$549,MATCH(A211,Clientes!$C$5:$C$549,0))&amp;" "&amp;INDEX(Clientes!$F$5:$F$549,MATCH(A211,Clientes!$C$5:$C$549,0)))),"NO EXISTE en Clientes"))</f>
        <v/>
      </c>
      <c r="C211" s="17" t="n"/>
      <c r="D211" s="17" t="n"/>
      <c r="E211" s="17" t="n"/>
      <c r="F211" s="23" t="n"/>
      <c r="G211" s="23" t="n"/>
      <c r="H211" s="23" t="n"/>
      <c r="I211" s="17" t="n"/>
      <c r="J211" s="17" t="n"/>
      <c r="K211" s="17" t="n"/>
      <c r="L211" s="17">
        <f>IF(AND(A211="",C211=""),"",IF(A211="","FALTA doc. cliente",IF(B211="NO EXISTE en Clientes","CLIENTE no está en hoja Clientes",IF(C211="","FALTA nombre",IF(AND(K211="SI",COUNTIFS($A$5:$A$499,A211,$K$5:$K$499,"SI")&gt;1),"Más de un contacto principal para este cliente","OK")))))</f>
        <v/>
      </c>
      <c r="M211" s="28">
        <f>IF(L211&lt;&gt;"OK","","INSERT INTO cli_contacto (id_cliente, nombre, apellido_paterno, apellido_materno, telefono1, telefono2, telefono3, email, direccion, es_principal, estado) SELECT "&amp;"(SELECT id FROM cli_clientes WHERE numero_documento = '"&amp;SUBSTITUTE(TRIM(A211),"'","''")&amp;"' AND estado = 1 LIMIT 1)"&amp;", "&amp;IF(TRIM(C211&amp;"")="","NULL","'"&amp;SUBSTITUTE(TRIM(C211),"'","''")&amp;"'")&amp;", "&amp;IF(TRIM(D211&amp;"")="","NULL","'"&amp;SUBSTITUTE(TRIM(D211),"'","''")&amp;"'")&amp;", "&amp;IF(TRIM(E211&amp;"")="","NULL","'"&amp;SUBSTITUTE(TRIM(E211),"'","''")&amp;"'")&amp;", "&amp;IF(TRIM(F211&amp;"")="","NULL","'"&amp;SUBSTITUTE(TRIM(F211),"'","''")&amp;"'")&amp;", "&amp;IF(TRIM(G211&amp;"")="","NULL","'"&amp;SUBSTITUTE(TRIM(G211),"'","''")&amp;"'")&amp;", "&amp;IF(TRIM(H211&amp;"")="","NULL","'"&amp;SUBSTITUTE(TRIM(H211),"'","''")&amp;"'")&amp;", "&amp;IF(TRIM(I211&amp;"")="","NULL","'"&amp;SUBSTITUTE(TRIM(I211),"'","''")&amp;"'")&amp;", "&amp;IF(TRIM(J211&amp;"")="","NULL","'"&amp;SUBSTITUTE(TRIM(J211),"'","''")&amp;"'")&amp;", "&amp;IF(UPPER(TRIM(K211&amp;""))="SI","TRUE","FALSE")&amp;", 1"&amp;" WHERE NOT EXISTS (SELECT 1 FROM cli_contacto c WHERE c.id_cliente = "&amp;"(SELECT id FROM cli_clientes WHERE numero_documento = '"&amp;SUBSTITUTE(TRIM(A211),"'","''")&amp;"' AND estado = 1 LIMIT 1)"&amp;" AND upper(c.nombre) = upper("&amp;IF(TRIM(C211&amp;"")="","NULL","'"&amp;SUBSTITUTE(TRIM(C211),"'","''")&amp;"'")&amp;") AND coalesce(c.telefono1,'') = coalesce("&amp;IF(TRIM(F211&amp;"")="","NULL","'"&amp;SUBSTITUTE(TRIM(F211),"'","''")&amp;"'")&amp;",''));")</f>
        <v/>
      </c>
    </row>
    <row r="212" ht="15.75" customHeight="1" s="64">
      <c r="A212" s="23" t="n"/>
      <c r="B212" s="25">
        <f t="array" ref="B212">IF(A212="","",IFERROR(IF(INDEX(Clientes!$D$5:$D$549,MATCH(A212,Clientes!$C$5:$C$549,0))&lt;&gt;"",INDEX(Clientes!$D$5:$D$549,MATCH(A212,Clientes!$C$5:$C$549,0)),TRIM(INDEX(Clientes!$E$5:$E$549,MATCH(A212,Clientes!$C$5:$C$549,0))&amp;" "&amp;INDEX(Clientes!$F$5:$F$549,MATCH(A212,Clientes!$C$5:$C$549,0)))),"NO EXISTE en Clientes"))</f>
        <v/>
      </c>
      <c r="C212" s="17" t="n"/>
      <c r="D212" s="17" t="n"/>
      <c r="E212" s="17" t="n"/>
      <c r="F212" s="23" t="n"/>
      <c r="G212" s="23" t="n"/>
      <c r="H212" s="23" t="n"/>
      <c r="I212" s="17" t="n"/>
      <c r="J212" s="17" t="n"/>
      <c r="K212" s="17" t="n"/>
      <c r="L212" s="17">
        <f>IF(AND(A212="",C212=""),"",IF(A212="","FALTA doc. cliente",IF(B212="NO EXISTE en Clientes","CLIENTE no está en hoja Clientes",IF(C212="","FALTA nombre",IF(AND(K212="SI",COUNTIFS($A$5:$A$499,A212,$K$5:$K$499,"SI")&gt;1),"Más de un contacto principal para este cliente","OK")))))</f>
        <v/>
      </c>
      <c r="M212" s="28">
        <f>IF(L212&lt;&gt;"OK","","INSERT INTO cli_contacto (id_cliente, nombre, apellido_paterno, apellido_materno, telefono1, telefono2, telefono3, email, direccion, es_principal, estado) SELECT "&amp;"(SELECT id FROM cli_clientes WHERE numero_documento = '"&amp;SUBSTITUTE(TRIM(A212),"'","''")&amp;"' AND estado = 1 LIMIT 1)"&amp;", "&amp;IF(TRIM(C212&amp;"")="","NULL","'"&amp;SUBSTITUTE(TRIM(C212),"'","''")&amp;"'")&amp;", "&amp;IF(TRIM(D212&amp;"")="","NULL","'"&amp;SUBSTITUTE(TRIM(D212),"'","''")&amp;"'")&amp;", "&amp;IF(TRIM(E212&amp;"")="","NULL","'"&amp;SUBSTITUTE(TRIM(E212),"'","''")&amp;"'")&amp;", "&amp;IF(TRIM(F212&amp;"")="","NULL","'"&amp;SUBSTITUTE(TRIM(F212),"'","''")&amp;"'")&amp;", "&amp;IF(TRIM(G212&amp;"")="","NULL","'"&amp;SUBSTITUTE(TRIM(G212),"'","''")&amp;"'")&amp;", "&amp;IF(TRIM(H212&amp;"")="","NULL","'"&amp;SUBSTITUTE(TRIM(H212),"'","''")&amp;"'")&amp;", "&amp;IF(TRIM(I212&amp;"")="","NULL","'"&amp;SUBSTITUTE(TRIM(I212),"'","''")&amp;"'")&amp;", "&amp;IF(TRIM(J212&amp;"")="","NULL","'"&amp;SUBSTITUTE(TRIM(J212),"'","''")&amp;"'")&amp;", "&amp;IF(UPPER(TRIM(K212&amp;""))="SI","TRUE","FALSE")&amp;", 1"&amp;" WHERE NOT EXISTS (SELECT 1 FROM cli_contacto c WHERE c.id_cliente = "&amp;"(SELECT id FROM cli_clientes WHERE numero_documento = '"&amp;SUBSTITUTE(TRIM(A212),"'","''")&amp;"' AND estado = 1 LIMIT 1)"&amp;" AND upper(c.nombre) = upper("&amp;IF(TRIM(C212&amp;"")="","NULL","'"&amp;SUBSTITUTE(TRIM(C212),"'","''")&amp;"'")&amp;") AND coalesce(c.telefono1,'') = coalesce("&amp;IF(TRIM(F212&amp;"")="","NULL","'"&amp;SUBSTITUTE(TRIM(F212),"'","''")&amp;"'")&amp;",''));")</f>
        <v/>
      </c>
    </row>
    <row r="213" ht="15.75" customHeight="1" s="64">
      <c r="A213" s="23" t="n"/>
      <c r="B213" s="25">
        <f t="array" ref="B213">IF(A213="","",IFERROR(IF(INDEX(Clientes!$D$5:$D$549,MATCH(A213,Clientes!$C$5:$C$549,0))&lt;&gt;"",INDEX(Clientes!$D$5:$D$549,MATCH(A213,Clientes!$C$5:$C$549,0)),TRIM(INDEX(Clientes!$E$5:$E$549,MATCH(A213,Clientes!$C$5:$C$549,0))&amp;" "&amp;INDEX(Clientes!$F$5:$F$549,MATCH(A213,Clientes!$C$5:$C$549,0)))),"NO EXISTE en Clientes"))</f>
        <v/>
      </c>
      <c r="C213" s="17" t="n"/>
      <c r="D213" s="17" t="n"/>
      <c r="E213" s="17" t="n"/>
      <c r="F213" s="23" t="n"/>
      <c r="G213" s="23" t="n"/>
      <c r="H213" s="23" t="n"/>
      <c r="I213" s="17" t="n"/>
      <c r="J213" s="17" t="n"/>
      <c r="K213" s="17" t="n"/>
      <c r="L213" s="17">
        <f>IF(AND(A213="",C213=""),"",IF(A213="","FALTA doc. cliente",IF(B213="NO EXISTE en Clientes","CLIENTE no está en hoja Clientes",IF(C213="","FALTA nombre",IF(AND(K213="SI",COUNTIFS($A$5:$A$499,A213,$K$5:$K$499,"SI")&gt;1),"Más de un contacto principal para este cliente","OK")))))</f>
        <v/>
      </c>
      <c r="M213" s="28">
        <f>IF(L213&lt;&gt;"OK","","INSERT INTO cli_contacto (id_cliente, nombre, apellido_paterno, apellido_materno, telefono1, telefono2, telefono3, email, direccion, es_principal, estado) SELECT "&amp;"(SELECT id FROM cli_clientes WHERE numero_documento = '"&amp;SUBSTITUTE(TRIM(A213),"'","''")&amp;"' AND estado = 1 LIMIT 1)"&amp;", "&amp;IF(TRIM(C213&amp;"")="","NULL","'"&amp;SUBSTITUTE(TRIM(C213),"'","''")&amp;"'")&amp;", "&amp;IF(TRIM(D213&amp;"")="","NULL","'"&amp;SUBSTITUTE(TRIM(D213),"'","''")&amp;"'")&amp;", "&amp;IF(TRIM(E213&amp;"")="","NULL","'"&amp;SUBSTITUTE(TRIM(E213),"'","''")&amp;"'")&amp;", "&amp;IF(TRIM(F213&amp;"")="","NULL","'"&amp;SUBSTITUTE(TRIM(F213),"'","''")&amp;"'")&amp;", "&amp;IF(TRIM(G213&amp;"")="","NULL","'"&amp;SUBSTITUTE(TRIM(G213),"'","''")&amp;"'")&amp;", "&amp;IF(TRIM(H213&amp;"")="","NULL","'"&amp;SUBSTITUTE(TRIM(H213),"'","''")&amp;"'")&amp;", "&amp;IF(TRIM(I213&amp;"")="","NULL","'"&amp;SUBSTITUTE(TRIM(I213),"'","''")&amp;"'")&amp;", "&amp;IF(TRIM(J213&amp;"")="","NULL","'"&amp;SUBSTITUTE(TRIM(J213),"'","''")&amp;"'")&amp;", "&amp;IF(UPPER(TRIM(K213&amp;""))="SI","TRUE","FALSE")&amp;", 1"&amp;" WHERE NOT EXISTS (SELECT 1 FROM cli_contacto c WHERE c.id_cliente = "&amp;"(SELECT id FROM cli_clientes WHERE numero_documento = '"&amp;SUBSTITUTE(TRIM(A213),"'","''")&amp;"' AND estado = 1 LIMIT 1)"&amp;" AND upper(c.nombre) = upper("&amp;IF(TRIM(C213&amp;"")="","NULL","'"&amp;SUBSTITUTE(TRIM(C213),"'","''")&amp;"'")&amp;") AND coalesce(c.telefono1,'') = coalesce("&amp;IF(TRIM(F213&amp;"")="","NULL","'"&amp;SUBSTITUTE(TRIM(F213),"'","''")&amp;"'")&amp;",''));")</f>
        <v/>
      </c>
    </row>
    <row r="214" ht="15.75" customHeight="1" s="64">
      <c r="A214" s="23" t="n"/>
      <c r="B214" s="25">
        <f t="array" ref="B214">IF(A214="","",IFERROR(IF(INDEX(Clientes!$D$5:$D$549,MATCH(A214,Clientes!$C$5:$C$549,0))&lt;&gt;"",INDEX(Clientes!$D$5:$D$549,MATCH(A214,Clientes!$C$5:$C$549,0)),TRIM(INDEX(Clientes!$E$5:$E$549,MATCH(A214,Clientes!$C$5:$C$549,0))&amp;" "&amp;INDEX(Clientes!$F$5:$F$549,MATCH(A214,Clientes!$C$5:$C$549,0)))),"NO EXISTE en Clientes"))</f>
        <v/>
      </c>
      <c r="C214" s="17" t="n"/>
      <c r="D214" s="17" t="n"/>
      <c r="E214" s="17" t="n"/>
      <c r="F214" s="23" t="n"/>
      <c r="G214" s="23" t="n"/>
      <c r="H214" s="23" t="n"/>
      <c r="I214" s="17" t="n"/>
      <c r="J214" s="17" t="n"/>
      <c r="K214" s="17" t="n"/>
      <c r="L214" s="17">
        <f>IF(AND(A214="",C214=""),"",IF(A214="","FALTA doc. cliente",IF(B214="NO EXISTE en Clientes","CLIENTE no está en hoja Clientes",IF(C214="","FALTA nombre",IF(AND(K214="SI",COUNTIFS($A$5:$A$499,A214,$K$5:$K$499,"SI")&gt;1),"Más de un contacto principal para este cliente","OK")))))</f>
        <v/>
      </c>
      <c r="M214" s="28">
        <f>IF(L214&lt;&gt;"OK","","INSERT INTO cli_contacto (id_cliente, nombre, apellido_paterno, apellido_materno, telefono1, telefono2, telefono3, email, direccion, es_principal, estado) SELECT "&amp;"(SELECT id FROM cli_clientes WHERE numero_documento = '"&amp;SUBSTITUTE(TRIM(A214),"'","''")&amp;"' AND estado = 1 LIMIT 1)"&amp;", "&amp;IF(TRIM(C214&amp;"")="","NULL","'"&amp;SUBSTITUTE(TRIM(C214),"'","''")&amp;"'")&amp;", "&amp;IF(TRIM(D214&amp;"")="","NULL","'"&amp;SUBSTITUTE(TRIM(D214),"'","''")&amp;"'")&amp;", "&amp;IF(TRIM(E214&amp;"")="","NULL","'"&amp;SUBSTITUTE(TRIM(E214),"'","''")&amp;"'")&amp;", "&amp;IF(TRIM(F214&amp;"")="","NULL","'"&amp;SUBSTITUTE(TRIM(F214),"'","''")&amp;"'")&amp;", "&amp;IF(TRIM(G214&amp;"")="","NULL","'"&amp;SUBSTITUTE(TRIM(G214),"'","''")&amp;"'")&amp;", "&amp;IF(TRIM(H214&amp;"")="","NULL","'"&amp;SUBSTITUTE(TRIM(H214),"'","''")&amp;"'")&amp;", "&amp;IF(TRIM(I214&amp;"")="","NULL","'"&amp;SUBSTITUTE(TRIM(I214),"'","''")&amp;"'")&amp;", "&amp;IF(TRIM(J214&amp;"")="","NULL","'"&amp;SUBSTITUTE(TRIM(J214),"'","''")&amp;"'")&amp;", "&amp;IF(UPPER(TRIM(K214&amp;""))="SI","TRUE","FALSE")&amp;", 1"&amp;" WHERE NOT EXISTS (SELECT 1 FROM cli_contacto c WHERE c.id_cliente = "&amp;"(SELECT id FROM cli_clientes WHERE numero_documento = '"&amp;SUBSTITUTE(TRIM(A214),"'","''")&amp;"' AND estado = 1 LIMIT 1)"&amp;" AND upper(c.nombre) = upper("&amp;IF(TRIM(C214&amp;"")="","NULL","'"&amp;SUBSTITUTE(TRIM(C214),"'","''")&amp;"'")&amp;") AND coalesce(c.telefono1,'') = coalesce("&amp;IF(TRIM(F214&amp;"")="","NULL","'"&amp;SUBSTITUTE(TRIM(F214),"'","''")&amp;"'")&amp;",''));")</f>
        <v/>
      </c>
    </row>
    <row r="215" ht="15.75" customHeight="1" s="64">
      <c r="A215" s="23" t="n"/>
      <c r="B215" s="25">
        <f t="array" ref="B215">IF(A215="","",IFERROR(IF(INDEX(Clientes!$D$5:$D$549,MATCH(A215,Clientes!$C$5:$C$549,0))&lt;&gt;"",INDEX(Clientes!$D$5:$D$549,MATCH(A215,Clientes!$C$5:$C$549,0)),TRIM(INDEX(Clientes!$E$5:$E$549,MATCH(A215,Clientes!$C$5:$C$549,0))&amp;" "&amp;INDEX(Clientes!$F$5:$F$549,MATCH(A215,Clientes!$C$5:$C$549,0)))),"NO EXISTE en Clientes"))</f>
        <v/>
      </c>
      <c r="C215" s="17" t="n"/>
      <c r="D215" s="17" t="n"/>
      <c r="E215" s="17" t="n"/>
      <c r="F215" s="23" t="n"/>
      <c r="G215" s="23" t="n"/>
      <c r="H215" s="23" t="n"/>
      <c r="I215" s="17" t="n"/>
      <c r="J215" s="17" t="n"/>
      <c r="K215" s="17" t="n"/>
      <c r="L215" s="17">
        <f>IF(AND(A215="",C215=""),"",IF(A215="","FALTA doc. cliente",IF(B215="NO EXISTE en Clientes","CLIENTE no está en hoja Clientes",IF(C215="","FALTA nombre",IF(AND(K215="SI",COUNTIFS($A$5:$A$499,A215,$K$5:$K$499,"SI")&gt;1),"Más de un contacto principal para este cliente","OK")))))</f>
        <v/>
      </c>
      <c r="M215" s="28">
        <f>IF(L215&lt;&gt;"OK","","INSERT INTO cli_contacto (id_cliente, nombre, apellido_paterno, apellido_materno, telefono1, telefono2, telefono3, email, direccion, es_principal, estado) SELECT "&amp;"(SELECT id FROM cli_clientes WHERE numero_documento = '"&amp;SUBSTITUTE(TRIM(A215),"'","''")&amp;"' AND estado = 1 LIMIT 1)"&amp;", "&amp;IF(TRIM(C215&amp;"")="","NULL","'"&amp;SUBSTITUTE(TRIM(C215),"'","''")&amp;"'")&amp;", "&amp;IF(TRIM(D215&amp;"")="","NULL","'"&amp;SUBSTITUTE(TRIM(D215),"'","''")&amp;"'")&amp;", "&amp;IF(TRIM(E215&amp;"")="","NULL","'"&amp;SUBSTITUTE(TRIM(E215),"'","''")&amp;"'")&amp;", "&amp;IF(TRIM(F215&amp;"")="","NULL","'"&amp;SUBSTITUTE(TRIM(F215),"'","''")&amp;"'")&amp;", "&amp;IF(TRIM(G215&amp;"")="","NULL","'"&amp;SUBSTITUTE(TRIM(G215),"'","''")&amp;"'")&amp;", "&amp;IF(TRIM(H215&amp;"")="","NULL","'"&amp;SUBSTITUTE(TRIM(H215),"'","''")&amp;"'")&amp;", "&amp;IF(TRIM(I215&amp;"")="","NULL","'"&amp;SUBSTITUTE(TRIM(I215),"'","''")&amp;"'")&amp;", "&amp;IF(TRIM(J215&amp;"")="","NULL","'"&amp;SUBSTITUTE(TRIM(J215),"'","''")&amp;"'")&amp;", "&amp;IF(UPPER(TRIM(K215&amp;""))="SI","TRUE","FALSE")&amp;", 1"&amp;" WHERE NOT EXISTS (SELECT 1 FROM cli_contacto c WHERE c.id_cliente = "&amp;"(SELECT id FROM cli_clientes WHERE numero_documento = '"&amp;SUBSTITUTE(TRIM(A215),"'","''")&amp;"' AND estado = 1 LIMIT 1)"&amp;" AND upper(c.nombre) = upper("&amp;IF(TRIM(C215&amp;"")="","NULL","'"&amp;SUBSTITUTE(TRIM(C215),"'","''")&amp;"'")&amp;") AND coalesce(c.telefono1,'') = coalesce("&amp;IF(TRIM(F215&amp;"")="","NULL","'"&amp;SUBSTITUTE(TRIM(F215),"'","''")&amp;"'")&amp;",''));")</f>
        <v/>
      </c>
    </row>
    <row r="216" ht="15.75" customHeight="1" s="64">
      <c r="A216" s="23" t="n"/>
      <c r="B216" s="25">
        <f t="array" ref="B216">IF(A216="","",IFERROR(IF(INDEX(Clientes!$D$5:$D$549,MATCH(A216,Clientes!$C$5:$C$549,0))&lt;&gt;"",INDEX(Clientes!$D$5:$D$549,MATCH(A216,Clientes!$C$5:$C$549,0)),TRIM(INDEX(Clientes!$E$5:$E$549,MATCH(A216,Clientes!$C$5:$C$549,0))&amp;" "&amp;INDEX(Clientes!$F$5:$F$549,MATCH(A216,Clientes!$C$5:$C$549,0)))),"NO EXISTE en Clientes"))</f>
        <v/>
      </c>
      <c r="C216" s="17" t="n"/>
      <c r="D216" s="17" t="n"/>
      <c r="E216" s="17" t="n"/>
      <c r="F216" s="23" t="n"/>
      <c r="G216" s="23" t="n"/>
      <c r="H216" s="23" t="n"/>
      <c r="I216" s="17" t="n"/>
      <c r="J216" s="17" t="n"/>
      <c r="K216" s="17" t="n"/>
      <c r="L216" s="17">
        <f>IF(AND(A216="",C216=""),"",IF(A216="","FALTA doc. cliente",IF(B216="NO EXISTE en Clientes","CLIENTE no está en hoja Clientes",IF(C216="","FALTA nombre",IF(AND(K216="SI",COUNTIFS($A$5:$A$499,A216,$K$5:$K$499,"SI")&gt;1),"Más de un contacto principal para este cliente","OK")))))</f>
        <v/>
      </c>
      <c r="M216" s="28">
        <f>IF(L216&lt;&gt;"OK","","INSERT INTO cli_contacto (id_cliente, nombre, apellido_paterno, apellido_materno, telefono1, telefono2, telefono3, email, direccion, es_principal, estado) SELECT "&amp;"(SELECT id FROM cli_clientes WHERE numero_documento = '"&amp;SUBSTITUTE(TRIM(A216),"'","''")&amp;"' AND estado = 1 LIMIT 1)"&amp;", "&amp;IF(TRIM(C216&amp;"")="","NULL","'"&amp;SUBSTITUTE(TRIM(C216),"'","''")&amp;"'")&amp;", "&amp;IF(TRIM(D216&amp;"")="","NULL","'"&amp;SUBSTITUTE(TRIM(D216),"'","''")&amp;"'")&amp;", "&amp;IF(TRIM(E216&amp;"")="","NULL","'"&amp;SUBSTITUTE(TRIM(E216),"'","''")&amp;"'")&amp;", "&amp;IF(TRIM(F216&amp;"")="","NULL","'"&amp;SUBSTITUTE(TRIM(F216),"'","''")&amp;"'")&amp;", "&amp;IF(TRIM(G216&amp;"")="","NULL","'"&amp;SUBSTITUTE(TRIM(G216),"'","''")&amp;"'")&amp;", "&amp;IF(TRIM(H216&amp;"")="","NULL","'"&amp;SUBSTITUTE(TRIM(H216),"'","''")&amp;"'")&amp;", "&amp;IF(TRIM(I216&amp;"")="","NULL","'"&amp;SUBSTITUTE(TRIM(I216),"'","''")&amp;"'")&amp;", "&amp;IF(TRIM(J216&amp;"")="","NULL","'"&amp;SUBSTITUTE(TRIM(J216),"'","''")&amp;"'")&amp;", "&amp;IF(UPPER(TRIM(K216&amp;""))="SI","TRUE","FALSE")&amp;", 1"&amp;" WHERE NOT EXISTS (SELECT 1 FROM cli_contacto c WHERE c.id_cliente = "&amp;"(SELECT id FROM cli_clientes WHERE numero_documento = '"&amp;SUBSTITUTE(TRIM(A216),"'","''")&amp;"' AND estado = 1 LIMIT 1)"&amp;" AND upper(c.nombre) = upper("&amp;IF(TRIM(C216&amp;"")="","NULL","'"&amp;SUBSTITUTE(TRIM(C216),"'","''")&amp;"'")&amp;") AND coalesce(c.telefono1,'') = coalesce("&amp;IF(TRIM(F216&amp;"")="","NULL","'"&amp;SUBSTITUTE(TRIM(F216),"'","''")&amp;"'")&amp;",''));")</f>
        <v/>
      </c>
    </row>
    <row r="217" ht="15.75" customHeight="1" s="64">
      <c r="A217" s="23" t="n"/>
      <c r="B217" s="25">
        <f t="array" ref="B217">IF(A217="","",IFERROR(IF(INDEX(Clientes!$D$5:$D$549,MATCH(A217,Clientes!$C$5:$C$549,0))&lt;&gt;"",INDEX(Clientes!$D$5:$D$549,MATCH(A217,Clientes!$C$5:$C$549,0)),TRIM(INDEX(Clientes!$E$5:$E$549,MATCH(A217,Clientes!$C$5:$C$549,0))&amp;" "&amp;INDEX(Clientes!$F$5:$F$549,MATCH(A217,Clientes!$C$5:$C$549,0)))),"NO EXISTE en Clientes"))</f>
        <v/>
      </c>
      <c r="C217" s="17" t="n"/>
      <c r="D217" s="17" t="n"/>
      <c r="E217" s="17" t="n"/>
      <c r="F217" s="23" t="n"/>
      <c r="G217" s="23" t="n"/>
      <c r="H217" s="23" t="n"/>
      <c r="I217" s="17" t="n"/>
      <c r="J217" s="17" t="n"/>
      <c r="K217" s="17" t="n"/>
      <c r="L217" s="17">
        <f>IF(AND(A217="",C217=""),"",IF(A217="","FALTA doc. cliente",IF(B217="NO EXISTE en Clientes","CLIENTE no está en hoja Clientes",IF(C217="","FALTA nombre",IF(AND(K217="SI",COUNTIFS($A$5:$A$499,A217,$K$5:$K$499,"SI")&gt;1),"Más de un contacto principal para este cliente","OK")))))</f>
        <v/>
      </c>
      <c r="M217" s="28">
        <f>IF(L217&lt;&gt;"OK","","INSERT INTO cli_contacto (id_cliente, nombre, apellido_paterno, apellido_materno, telefono1, telefono2, telefono3, email, direccion, es_principal, estado) SELECT "&amp;"(SELECT id FROM cli_clientes WHERE numero_documento = '"&amp;SUBSTITUTE(TRIM(A217),"'","''")&amp;"' AND estado = 1 LIMIT 1)"&amp;", "&amp;IF(TRIM(C217&amp;"")="","NULL","'"&amp;SUBSTITUTE(TRIM(C217),"'","''")&amp;"'")&amp;", "&amp;IF(TRIM(D217&amp;"")="","NULL","'"&amp;SUBSTITUTE(TRIM(D217),"'","''")&amp;"'")&amp;", "&amp;IF(TRIM(E217&amp;"")="","NULL","'"&amp;SUBSTITUTE(TRIM(E217),"'","''")&amp;"'")&amp;", "&amp;IF(TRIM(F217&amp;"")="","NULL","'"&amp;SUBSTITUTE(TRIM(F217),"'","''")&amp;"'")&amp;", "&amp;IF(TRIM(G217&amp;"")="","NULL","'"&amp;SUBSTITUTE(TRIM(G217),"'","''")&amp;"'")&amp;", "&amp;IF(TRIM(H217&amp;"")="","NULL","'"&amp;SUBSTITUTE(TRIM(H217),"'","''")&amp;"'")&amp;", "&amp;IF(TRIM(I217&amp;"")="","NULL","'"&amp;SUBSTITUTE(TRIM(I217),"'","''")&amp;"'")&amp;", "&amp;IF(TRIM(J217&amp;"")="","NULL","'"&amp;SUBSTITUTE(TRIM(J217),"'","''")&amp;"'")&amp;", "&amp;IF(UPPER(TRIM(K217&amp;""))="SI","TRUE","FALSE")&amp;", 1"&amp;" WHERE NOT EXISTS (SELECT 1 FROM cli_contacto c WHERE c.id_cliente = "&amp;"(SELECT id FROM cli_clientes WHERE numero_documento = '"&amp;SUBSTITUTE(TRIM(A217),"'","''")&amp;"' AND estado = 1 LIMIT 1)"&amp;" AND upper(c.nombre) = upper("&amp;IF(TRIM(C217&amp;"")="","NULL","'"&amp;SUBSTITUTE(TRIM(C217),"'","''")&amp;"'")&amp;") AND coalesce(c.telefono1,'') = coalesce("&amp;IF(TRIM(F217&amp;"")="","NULL","'"&amp;SUBSTITUTE(TRIM(F217),"'","''")&amp;"'")&amp;",''));")</f>
        <v/>
      </c>
    </row>
    <row r="218" ht="15.75" customHeight="1" s="64">
      <c r="A218" s="23" t="n"/>
      <c r="B218" s="25">
        <f t="array" ref="B218">IF(A218="","",IFERROR(IF(INDEX(Clientes!$D$5:$D$549,MATCH(A218,Clientes!$C$5:$C$549,0))&lt;&gt;"",INDEX(Clientes!$D$5:$D$549,MATCH(A218,Clientes!$C$5:$C$549,0)),TRIM(INDEX(Clientes!$E$5:$E$549,MATCH(A218,Clientes!$C$5:$C$549,0))&amp;" "&amp;INDEX(Clientes!$F$5:$F$549,MATCH(A218,Clientes!$C$5:$C$549,0)))),"NO EXISTE en Clientes"))</f>
        <v/>
      </c>
      <c r="C218" s="17" t="n"/>
      <c r="D218" s="17" t="n"/>
      <c r="E218" s="17" t="n"/>
      <c r="F218" s="23" t="n"/>
      <c r="G218" s="23" t="n"/>
      <c r="H218" s="23" t="n"/>
      <c r="I218" s="17" t="n"/>
      <c r="J218" s="17" t="n"/>
      <c r="K218" s="17" t="n"/>
      <c r="L218" s="17">
        <f>IF(AND(A218="",C218=""),"",IF(A218="","FALTA doc. cliente",IF(B218="NO EXISTE en Clientes","CLIENTE no está en hoja Clientes",IF(C218="","FALTA nombre",IF(AND(K218="SI",COUNTIFS($A$5:$A$499,A218,$K$5:$K$499,"SI")&gt;1),"Más de un contacto principal para este cliente","OK")))))</f>
        <v/>
      </c>
      <c r="M218" s="28">
        <f>IF(L218&lt;&gt;"OK","","INSERT INTO cli_contacto (id_cliente, nombre, apellido_paterno, apellido_materno, telefono1, telefono2, telefono3, email, direccion, es_principal, estado) SELECT "&amp;"(SELECT id FROM cli_clientes WHERE numero_documento = '"&amp;SUBSTITUTE(TRIM(A218),"'","''")&amp;"' AND estado = 1 LIMIT 1)"&amp;", "&amp;IF(TRIM(C218&amp;"")="","NULL","'"&amp;SUBSTITUTE(TRIM(C218),"'","''")&amp;"'")&amp;", "&amp;IF(TRIM(D218&amp;"")="","NULL","'"&amp;SUBSTITUTE(TRIM(D218),"'","''")&amp;"'")&amp;", "&amp;IF(TRIM(E218&amp;"")="","NULL","'"&amp;SUBSTITUTE(TRIM(E218),"'","''")&amp;"'")&amp;", "&amp;IF(TRIM(F218&amp;"")="","NULL","'"&amp;SUBSTITUTE(TRIM(F218),"'","''")&amp;"'")&amp;", "&amp;IF(TRIM(G218&amp;"")="","NULL","'"&amp;SUBSTITUTE(TRIM(G218),"'","''")&amp;"'")&amp;", "&amp;IF(TRIM(H218&amp;"")="","NULL","'"&amp;SUBSTITUTE(TRIM(H218),"'","''")&amp;"'")&amp;", "&amp;IF(TRIM(I218&amp;"")="","NULL","'"&amp;SUBSTITUTE(TRIM(I218),"'","''")&amp;"'")&amp;", "&amp;IF(TRIM(J218&amp;"")="","NULL","'"&amp;SUBSTITUTE(TRIM(J218),"'","''")&amp;"'")&amp;", "&amp;IF(UPPER(TRIM(K218&amp;""))="SI","TRUE","FALSE")&amp;", 1"&amp;" WHERE NOT EXISTS (SELECT 1 FROM cli_contacto c WHERE c.id_cliente = "&amp;"(SELECT id FROM cli_clientes WHERE numero_documento = '"&amp;SUBSTITUTE(TRIM(A218),"'","''")&amp;"' AND estado = 1 LIMIT 1)"&amp;" AND upper(c.nombre) = upper("&amp;IF(TRIM(C218&amp;"")="","NULL","'"&amp;SUBSTITUTE(TRIM(C218),"'","''")&amp;"'")&amp;") AND coalesce(c.telefono1,'') = coalesce("&amp;IF(TRIM(F218&amp;"")="","NULL","'"&amp;SUBSTITUTE(TRIM(F218),"'","''")&amp;"'")&amp;",''));")</f>
        <v/>
      </c>
    </row>
    <row r="219" ht="15.75" customHeight="1" s="64">
      <c r="A219" s="23" t="n"/>
      <c r="B219" s="25">
        <f t="array" ref="B219">IF(A219="","",IFERROR(IF(INDEX(Clientes!$D$5:$D$549,MATCH(A219,Clientes!$C$5:$C$549,0))&lt;&gt;"",INDEX(Clientes!$D$5:$D$549,MATCH(A219,Clientes!$C$5:$C$549,0)),TRIM(INDEX(Clientes!$E$5:$E$549,MATCH(A219,Clientes!$C$5:$C$549,0))&amp;" "&amp;INDEX(Clientes!$F$5:$F$549,MATCH(A219,Clientes!$C$5:$C$549,0)))),"NO EXISTE en Clientes"))</f>
        <v/>
      </c>
      <c r="C219" s="17" t="n"/>
      <c r="D219" s="17" t="n"/>
      <c r="E219" s="17" t="n"/>
      <c r="F219" s="23" t="n"/>
      <c r="G219" s="23" t="n"/>
      <c r="H219" s="23" t="n"/>
      <c r="I219" s="17" t="n"/>
      <c r="J219" s="17" t="n"/>
      <c r="K219" s="17" t="n"/>
      <c r="L219" s="17">
        <f>IF(AND(A219="",C219=""),"",IF(A219="","FALTA doc. cliente",IF(B219="NO EXISTE en Clientes","CLIENTE no está en hoja Clientes",IF(C219="","FALTA nombre",IF(AND(K219="SI",COUNTIFS($A$5:$A$499,A219,$K$5:$K$499,"SI")&gt;1),"Más de un contacto principal para este cliente","OK")))))</f>
        <v/>
      </c>
      <c r="M219" s="28">
        <f>IF(L219&lt;&gt;"OK","","INSERT INTO cli_contacto (id_cliente, nombre, apellido_paterno, apellido_materno, telefono1, telefono2, telefono3, email, direccion, es_principal, estado) SELECT "&amp;"(SELECT id FROM cli_clientes WHERE numero_documento = '"&amp;SUBSTITUTE(TRIM(A219),"'","''")&amp;"' AND estado = 1 LIMIT 1)"&amp;", "&amp;IF(TRIM(C219&amp;"")="","NULL","'"&amp;SUBSTITUTE(TRIM(C219),"'","''")&amp;"'")&amp;", "&amp;IF(TRIM(D219&amp;"")="","NULL","'"&amp;SUBSTITUTE(TRIM(D219),"'","''")&amp;"'")&amp;", "&amp;IF(TRIM(E219&amp;"")="","NULL","'"&amp;SUBSTITUTE(TRIM(E219),"'","''")&amp;"'")&amp;", "&amp;IF(TRIM(F219&amp;"")="","NULL","'"&amp;SUBSTITUTE(TRIM(F219),"'","''")&amp;"'")&amp;", "&amp;IF(TRIM(G219&amp;"")="","NULL","'"&amp;SUBSTITUTE(TRIM(G219),"'","''")&amp;"'")&amp;", "&amp;IF(TRIM(H219&amp;"")="","NULL","'"&amp;SUBSTITUTE(TRIM(H219),"'","''")&amp;"'")&amp;", "&amp;IF(TRIM(I219&amp;"")="","NULL","'"&amp;SUBSTITUTE(TRIM(I219),"'","''")&amp;"'")&amp;", "&amp;IF(TRIM(J219&amp;"")="","NULL","'"&amp;SUBSTITUTE(TRIM(J219),"'","''")&amp;"'")&amp;", "&amp;IF(UPPER(TRIM(K219&amp;""))="SI","TRUE","FALSE")&amp;", 1"&amp;" WHERE NOT EXISTS (SELECT 1 FROM cli_contacto c WHERE c.id_cliente = "&amp;"(SELECT id FROM cli_clientes WHERE numero_documento = '"&amp;SUBSTITUTE(TRIM(A219),"'","''")&amp;"' AND estado = 1 LIMIT 1)"&amp;" AND upper(c.nombre) = upper("&amp;IF(TRIM(C219&amp;"")="","NULL","'"&amp;SUBSTITUTE(TRIM(C219),"'","''")&amp;"'")&amp;") AND coalesce(c.telefono1,'') = coalesce("&amp;IF(TRIM(F219&amp;"")="","NULL","'"&amp;SUBSTITUTE(TRIM(F219),"'","''")&amp;"'")&amp;",''));")</f>
        <v/>
      </c>
    </row>
    <row r="220" ht="15.75" customHeight="1" s="64">
      <c r="A220" s="23" t="n"/>
      <c r="B220" s="25">
        <f t="array" ref="B220">IF(A220="","",IFERROR(IF(INDEX(Clientes!$D$5:$D$549,MATCH(A220,Clientes!$C$5:$C$549,0))&lt;&gt;"",INDEX(Clientes!$D$5:$D$549,MATCH(A220,Clientes!$C$5:$C$549,0)),TRIM(INDEX(Clientes!$E$5:$E$549,MATCH(A220,Clientes!$C$5:$C$549,0))&amp;" "&amp;INDEX(Clientes!$F$5:$F$549,MATCH(A220,Clientes!$C$5:$C$549,0)))),"NO EXISTE en Clientes"))</f>
        <v/>
      </c>
      <c r="C220" s="17" t="n"/>
      <c r="D220" s="17" t="n"/>
      <c r="E220" s="17" t="n"/>
      <c r="F220" s="23" t="n"/>
      <c r="G220" s="23" t="n"/>
      <c r="H220" s="23" t="n"/>
      <c r="I220" s="17" t="n"/>
      <c r="J220" s="17" t="n"/>
      <c r="K220" s="17" t="n"/>
      <c r="L220" s="17">
        <f>IF(AND(A220="",C220=""),"",IF(A220="","FALTA doc. cliente",IF(B220="NO EXISTE en Clientes","CLIENTE no está en hoja Clientes",IF(C220="","FALTA nombre",IF(AND(K220="SI",COUNTIFS($A$5:$A$499,A220,$K$5:$K$499,"SI")&gt;1),"Más de un contacto principal para este cliente","OK")))))</f>
        <v/>
      </c>
      <c r="M220" s="28">
        <f>IF(L220&lt;&gt;"OK","","INSERT INTO cli_contacto (id_cliente, nombre, apellido_paterno, apellido_materno, telefono1, telefono2, telefono3, email, direccion, es_principal, estado) SELECT "&amp;"(SELECT id FROM cli_clientes WHERE numero_documento = '"&amp;SUBSTITUTE(TRIM(A220),"'","''")&amp;"' AND estado = 1 LIMIT 1)"&amp;", "&amp;IF(TRIM(C220&amp;"")="","NULL","'"&amp;SUBSTITUTE(TRIM(C220),"'","''")&amp;"'")&amp;", "&amp;IF(TRIM(D220&amp;"")="","NULL","'"&amp;SUBSTITUTE(TRIM(D220),"'","''")&amp;"'")&amp;", "&amp;IF(TRIM(E220&amp;"")="","NULL","'"&amp;SUBSTITUTE(TRIM(E220),"'","''")&amp;"'")&amp;", "&amp;IF(TRIM(F220&amp;"")="","NULL","'"&amp;SUBSTITUTE(TRIM(F220),"'","''")&amp;"'")&amp;", "&amp;IF(TRIM(G220&amp;"")="","NULL","'"&amp;SUBSTITUTE(TRIM(G220),"'","''")&amp;"'")&amp;", "&amp;IF(TRIM(H220&amp;"")="","NULL","'"&amp;SUBSTITUTE(TRIM(H220),"'","''")&amp;"'")&amp;", "&amp;IF(TRIM(I220&amp;"")="","NULL","'"&amp;SUBSTITUTE(TRIM(I220),"'","''")&amp;"'")&amp;", "&amp;IF(TRIM(J220&amp;"")="","NULL","'"&amp;SUBSTITUTE(TRIM(J220),"'","''")&amp;"'")&amp;", "&amp;IF(UPPER(TRIM(K220&amp;""))="SI","TRUE","FALSE")&amp;", 1"&amp;" WHERE NOT EXISTS (SELECT 1 FROM cli_contacto c WHERE c.id_cliente = "&amp;"(SELECT id FROM cli_clientes WHERE numero_documento = '"&amp;SUBSTITUTE(TRIM(A220),"'","''")&amp;"' AND estado = 1 LIMIT 1)"&amp;" AND upper(c.nombre) = upper("&amp;IF(TRIM(C220&amp;"")="","NULL","'"&amp;SUBSTITUTE(TRIM(C220),"'","''")&amp;"'")&amp;") AND coalesce(c.telefono1,'') = coalesce("&amp;IF(TRIM(F220&amp;"")="","NULL","'"&amp;SUBSTITUTE(TRIM(F220),"'","''")&amp;"'")&amp;",''));")</f>
        <v/>
      </c>
    </row>
    <row r="221" ht="15.75" customHeight="1" s="64">
      <c r="A221" s="23" t="n"/>
      <c r="B221" s="25">
        <f t="array" ref="B221">IF(A221="","",IFERROR(IF(INDEX(Clientes!$D$5:$D$549,MATCH(A221,Clientes!$C$5:$C$549,0))&lt;&gt;"",INDEX(Clientes!$D$5:$D$549,MATCH(A221,Clientes!$C$5:$C$549,0)),TRIM(INDEX(Clientes!$E$5:$E$549,MATCH(A221,Clientes!$C$5:$C$549,0))&amp;" "&amp;INDEX(Clientes!$F$5:$F$549,MATCH(A221,Clientes!$C$5:$C$549,0)))),"NO EXISTE en Clientes"))</f>
        <v/>
      </c>
      <c r="C221" s="17" t="n"/>
      <c r="D221" s="17" t="n"/>
      <c r="E221" s="17" t="n"/>
      <c r="F221" s="23" t="n"/>
      <c r="G221" s="23" t="n"/>
      <c r="H221" s="23" t="n"/>
      <c r="I221" s="17" t="n"/>
      <c r="J221" s="17" t="n"/>
      <c r="K221" s="17" t="n"/>
      <c r="L221" s="17">
        <f>IF(AND(A221="",C221=""),"",IF(A221="","FALTA doc. cliente",IF(B221="NO EXISTE en Clientes","CLIENTE no está en hoja Clientes",IF(C221="","FALTA nombre",IF(AND(K221="SI",COUNTIFS($A$5:$A$499,A221,$K$5:$K$499,"SI")&gt;1),"Más de un contacto principal para este cliente","OK")))))</f>
        <v/>
      </c>
      <c r="M221" s="28">
        <f>IF(L221&lt;&gt;"OK","","INSERT INTO cli_contacto (id_cliente, nombre, apellido_paterno, apellido_materno, telefono1, telefono2, telefono3, email, direccion, es_principal, estado) SELECT "&amp;"(SELECT id FROM cli_clientes WHERE numero_documento = '"&amp;SUBSTITUTE(TRIM(A221),"'","''")&amp;"' AND estado = 1 LIMIT 1)"&amp;", "&amp;IF(TRIM(C221&amp;"")="","NULL","'"&amp;SUBSTITUTE(TRIM(C221),"'","''")&amp;"'")&amp;", "&amp;IF(TRIM(D221&amp;"")="","NULL","'"&amp;SUBSTITUTE(TRIM(D221),"'","''")&amp;"'")&amp;", "&amp;IF(TRIM(E221&amp;"")="","NULL","'"&amp;SUBSTITUTE(TRIM(E221),"'","''")&amp;"'")&amp;", "&amp;IF(TRIM(F221&amp;"")="","NULL","'"&amp;SUBSTITUTE(TRIM(F221),"'","''")&amp;"'")&amp;", "&amp;IF(TRIM(G221&amp;"")="","NULL","'"&amp;SUBSTITUTE(TRIM(G221),"'","''")&amp;"'")&amp;", "&amp;IF(TRIM(H221&amp;"")="","NULL","'"&amp;SUBSTITUTE(TRIM(H221),"'","''")&amp;"'")&amp;", "&amp;IF(TRIM(I221&amp;"")="","NULL","'"&amp;SUBSTITUTE(TRIM(I221),"'","''")&amp;"'")&amp;", "&amp;IF(TRIM(J221&amp;"")="","NULL","'"&amp;SUBSTITUTE(TRIM(J221),"'","''")&amp;"'")&amp;", "&amp;IF(UPPER(TRIM(K221&amp;""))="SI","TRUE","FALSE")&amp;", 1"&amp;" WHERE NOT EXISTS (SELECT 1 FROM cli_contacto c WHERE c.id_cliente = "&amp;"(SELECT id FROM cli_clientes WHERE numero_documento = '"&amp;SUBSTITUTE(TRIM(A221),"'","''")&amp;"' AND estado = 1 LIMIT 1)"&amp;" AND upper(c.nombre) = upper("&amp;IF(TRIM(C221&amp;"")="","NULL","'"&amp;SUBSTITUTE(TRIM(C221),"'","''")&amp;"'")&amp;") AND coalesce(c.telefono1,'') = coalesce("&amp;IF(TRIM(F221&amp;"")="","NULL","'"&amp;SUBSTITUTE(TRIM(F221),"'","''")&amp;"'")&amp;",''));")</f>
        <v/>
      </c>
    </row>
    <row r="222" ht="15.75" customHeight="1" s="64">
      <c r="A222" s="23" t="n"/>
      <c r="B222" s="25">
        <f t="array" ref="B222">IF(A222="","",IFERROR(IF(INDEX(Clientes!$D$5:$D$549,MATCH(A222,Clientes!$C$5:$C$549,0))&lt;&gt;"",INDEX(Clientes!$D$5:$D$549,MATCH(A222,Clientes!$C$5:$C$549,0)),TRIM(INDEX(Clientes!$E$5:$E$549,MATCH(A222,Clientes!$C$5:$C$549,0))&amp;" "&amp;INDEX(Clientes!$F$5:$F$549,MATCH(A222,Clientes!$C$5:$C$549,0)))),"NO EXISTE en Clientes"))</f>
        <v/>
      </c>
      <c r="C222" s="17" t="n"/>
      <c r="D222" s="17" t="n"/>
      <c r="E222" s="17" t="n"/>
      <c r="F222" s="23" t="n"/>
      <c r="G222" s="23" t="n"/>
      <c r="H222" s="23" t="n"/>
      <c r="I222" s="17" t="n"/>
      <c r="J222" s="17" t="n"/>
      <c r="K222" s="17" t="n"/>
      <c r="L222" s="17">
        <f>IF(AND(A222="",C222=""),"",IF(A222="","FALTA doc. cliente",IF(B222="NO EXISTE en Clientes","CLIENTE no está en hoja Clientes",IF(C222="","FALTA nombre",IF(AND(K222="SI",COUNTIFS($A$5:$A$499,A222,$K$5:$K$499,"SI")&gt;1),"Más de un contacto principal para este cliente","OK")))))</f>
        <v/>
      </c>
      <c r="M222" s="28">
        <f>IF(L222&lt;&gt;"OK","","INSERT INTO cli_contacto (id_cliente, nombre, apellido_paterno, apellido_materno, telefono1, telefono2, telefono3, email, direccion, es_principal, estado) SELECT "&amp;"(SELECT id FROM cli_clientes WHERE numero_documento = '"&amp;SUBSTITUTE(TRIM(A222),"'","''")&amp;"' AND estado = 1 LIMIT 1)"&amp;", "&amp;IF(TRIM(C222&amp;"")="","NULL","'"&amp;SUBSTITUTE(TRIM(C222),"'","''")&amp;"'")&amp;", "&amp;IF(TRIM(D222&amp;"")="","NULL","'"&amp;SUBSTITUTE(TRIM(D222),"'","''")&amp;"'")&amp;", "&amp;IF(TRIM(E222&amp;"")="","NULL","'"&amp;SUBSTITUTE(TRIM(E222),"'","''")&amp;"'")&amp;", "&amp;IF(TRIM(F222&amp;"")="","NULL","'"&amp;SUBSTITUTE(TRIM(F222),"'","''")&amp;"'")&amp;", "&amp;IF(TRIM(G222&amp;"")="","NULL","'"&amp;SUBSTITUTE(TRIM(G222),"'","''")&amp;"'")&amp;", "&amp;IF(TRIM(H222&amp;"")="","NULL","'"&amp;SUBSTITUTE(TRIM(H222),"'","''")&amp;"'")&amp;", "&amp;IF(TRIM(I222&amp;"")="","NULL","'"&amp;SUBSTITUTE(TRIM(I222),"'","''")&amp;"'")&amp;", "&amp;IF(TRIM(J222&amp;"")="","NULL","'"&amp;SUBSTITUTE(TRIM(J222),"'","''")&amp;"'")&amp;", "&amp;IF(UPPER(TRIM(K222&amp;""))="SI","TRUE","FALSE")&amp;", 1"&amp;" WHERE NOT EXISTS (SELECT 1 FROM cli_contacto c WHERE c.id_cliente = "&amp;"(SELECT id FROM cli_clientes WHERE numero_documento = '"&amp;SUBSTITUTE(TRIM(A222),"'","''")&amp;"' AND estado = 1 LIMIT 1)"&amp;" AND upper(c.nombre) = upper("&amp;IF(TRIM(C222&amp;"")="","NULL","'"&amp;SUBSTITUTE(TRIM(C222),"'","''")&amp;"'")&amp;") AND coalesce(c.telefono1,'') = coalesce("&amp;IF(TRIM(F222&amp;"")="","NULL","'"&amp;SUBSTITUTE(TRIM(F222),"'","''")&amp;"'")&amp;",''));")</f>
        <v/>
      </c>
    </row>
    <row r="223" ht="15.75" customHeight="1" s="64">
      <c r="A223" s="23" t="n"/>
      <c r="B223" s="25">
        <f t="array" ref="B223">IF(A223="","",IFERROR(IF(INDEX(Clientes!$D$5:$D$549,MATCH(A223,Clientes!$C$5:$C$549,0))&lt;&gt;"",INDEX(Clientes!$D$5:$D$549,MATCH(A223,Clientes!$C$5:$C$549,0)),TRIM(INDEX(Clientes!$E$5:$E$549,MATCH(A223,Clientes!$C$5:$C$549,0))&amp;" "&amp;INDEX(Clientes!$F$5:$F$549,MATCH(A223,Clientes!$C$5:$C$549,0)))),"NO EXISTE en Clientes"))</f>
        <v/>
      </c>
      <c r="C223" s="17" t="n"/>
      <c r="D223" s="17" t="n"/>
      <c r="E223" s="17" t="n"/>
      <c r="F223" s="23" t="n"/>
      <c r="G223" s="23" t="n"/>
      <c r="H223" s="23" t="n"/>
      <c r="I223" s="17" t="n"/>
      <c r="J223" s="17" t="n"/>
      <c r="K223" s="17" t="n"/>
      <c r="L223" s="17">
        <f>IF(AND(A223="",C223=""),"",IF(A223="","FALTA doc. cliente",IF(B223="NO EXISTE en Clientes","CLIENTE no está en hoja Clientes",IF(C223="","FALTA nombre",IF(AND(K223="SI",COUNTIFS($A$5:$A$499,A223,$K$5:$K$499,"SI")&gt;1),"Más de un contacto principal para este cliente","OK")))))</f>
        <v/>
      </c>
      <c r="M223" s="28">
        <f>IF(L223&lt;&gt;"OK","","INSERT INTO cli_contacto (id_cliente, nombre, apellido_paterno, apellido_materno, telefono1, telefono2, telefono3, email, direccion, es_principal, estado) SELECT "&amp;"(SELECT id FROM cli_clientes WHERE numero_documento = '"&amp;SUBSTITUTE(TRIM(A223),"'","''")&amp;"' AND estado = 1 LIMIT 1)"&amp;", "&amp;IF(TRIM(C223&amp;"")="","NULL","'"&amp;SUBSTITUTE(TRIM(C223),"'","''")&amp;"'")&amp;", "&amp;IF(TRIM(D223&amp;"")="","NULL","'"&amp;SUBSTITUTE(TRIM(D223),"'","''")&amp;"'")&amp;", "&amp;IF(TRIM(E223&amp;"")="","NULL","'"&amp;SUBSTITUTE(TRIM(E223),"'","''")&amp;"'")&amp;", "&amp;IF(TRIM(F223&amp;"")="","NULL","'"&amp;SUBSTITUTE(TRIM(F223),"'","''")&amp;"'")&amp;", "&amp;IF(TRIM(G223&amp;"")="","NULL","'"&amp;SUBSTITUTE(TRIM(G223),"'","''")&amp;"'")&amp;", "&amp;IF(TRIM(H223&amp;"")="","NULL","'"&amp;SUBSTITUTE(TRIM(H223),"'","''")&amp;"'")&amp;", "&amp;IF(TRIM(I223&amp;"")="","NULL","'"&amp;SUBSTITUTE(TRIM(I223),"'","''")&amp;"'")&amp;", "&amp;IF(TRIM(J223&amp;"")="","NULL","'"&amp;SUBSTITUTE(TRIM(J223),"'","''")&amp;"'")&amp;", "&amp;IF(UPPER(TRIM(K223&amp;""))="SI","TRUE","FALSE")&amp;", 1"&amp;" WHERE NOT EXISTS (SELECT 1 FROM cli_contacto c WHERE c.id_cliente = "&amp;"(SELECT id FROM cli_clientes WHERE numero_documento = '"&amp;SUBSTITUTE(TRIM(A223),"'","''")&amp;"' AND estado = 1 LIMIT 1)"&amp;" AND upper(c.nombre) = upper("&amp;IF(TRIM(C223&amp;"")="","NULL","'"&amp;SUBSTITUTE(TRIM(C223),"'","''")&amp;"'")&amp;") AND coalesce(c.telefono1,'') = coalesce("&amp;IF(TRIM(F223&amp;"")="","NULL","'"&amp;SUBSTITUTE(TRIM(F223),"'","''")&amp;"'")&amp;",''));")</f>
        <v/>
      </c>
    </row>
    <row r="224" ht="15.75" customHeight="1" s="64">
      <c r="A224" s="23" t="n"/>
      <c r="B224" s="25">
        <f t="array" ref="B224">IF(A224="","",IFERROR(IF(INDEX(Clientes!$D$5:$D$549,MATCH(A224,Clientes!$C$5:$C$549,0))&lt;&gt;"",INDEX(Clientes!$D$5:$D$549,MATCH(A224,Clientes!$C$5:$C$549,0)),TRIM(INDEX(Clientes!$E$5:$E$549,MATCH(A224,Clientes!$C$5:$C$549,0))&amp;" "&amp;INDEX(Clientes!$F$5:$F$549,MATCH(A224,Clientes!$C$5:$C$549,0)))),"NO EXISTE en Clientes"))</f>
        <v/>
      </c>
      <c r="C224" s="17" t="n"/>
      <c r="D224" s="17" t="n"/>
      <c r="E224" s="17" t="n"/>
      <c r="F224" s="23" t="n"/>
      <c r="G224" s="23" t="n"/>
      <c r="H224" s="23" t="n"/>
      <c r="I224" s="17" t="n"/>
      <c r="J224" s="17" t="n"/>
      <c r="K224" s="17" t="n"/>
      <c r="L224" s="17">
        <f>IF(AND(A224="",C224=""),"",IF(A224="","FALTA doc. cliente",IF(B224="NO EXISTE en Clientes","CLIENTE no está en hoja Clientes",IF(C224="","FALTA nombre",IF(AND(K224="SI",COUNTIFS($A$5:$A$499,A224,$K$5:$K$499,"SI")&gt;1),"Más de un contacto principal para este cliente","OK")))))</f>
        <v/>
      </c>
      <c r="M224" s="28">
        <f>IF(L224&lt;&gt;"OK","","INSERT INTO cli_contacto (id_cliente, nombre, apellido_paterno, apellido_materno, telefono1, telefono2, telefono3, email, direccion, es_principal, estado) SELECT "&amp;"(SELECT id FROM cli_clientes WHERE numero_documento = '"&amp;SUBSTITUTE(TRIM(A224),"'","''")&amp;"' AND estado = 1 LIMIT 1)"&amp;", "&amp;IF(TRIM(C224&amp;"")="","NULL","'"&amp;SUBSTITUTE(TRIM(C224),"'","''")&amp;"'")&amp;", "&amp;IF(TRIM(D224&amp;"")="","NULL","'"&amp;SUBSTITUTE(TRIM(D224),"'","''")&amp;"'")&amp;", "&amp;IF(TRIM(E224&amp;"")="","NULL","'"&amp;SUBSTITUTE(TRIM(E224),"'","''")&amp;"'")&amp;", "&amp;IF(TRIM(F224&amp;"")="","NULL","'"&amp;SUBSTITUTE(TRIM(F224),"'","''")&amp;"'")&amp;", "&amp;IF(TRIM(G224&amp;"")="","NULL","'"&amp;SUBSTITUTE(TRIM(G224),"'","''")&amp;"'")&amp;", "&amp;IF(TRIM(H224&amp;"")="","NULL","'"&amp;SUBSTITUTE(TRIM(H224),"'","''")&amp;"'")&amp;", "&amp;IF(TRIM(I224&amp;"")="","NULL","'"&amp;SUBSTITUTE(TRIM(I224),"'","''")&amp;"'")&amp;", "&amp;IF(TRIM(J224&amp;"")="","NULL","'"&amp;SUBSTITUTE(TRIM(J224),"'","''")&amp;"'")&amp;", "&amp;IF(UPPER(TRIM(K224&amp;""))="SI","TRUE","FALSE")&amp;", 1"&amp;" WHERE NOT EXISTS (SELECT 1 FROM cli_contacto c WHERE c.id_cliente = "&amp;"(SELECT id FROM cli_clientes WHERE numero_documento = '"&amp;SUBSTITUTE(TRIM(A224),"'","''")&amp;"' AND estado = 1 LIMIT 1)"&amp;" AND upper(c.nombre) = upper("&amp;IF(TRIM(C224&amp;"")="","NULL","'"&amp;SUBSTITUTE(TRIM(C224),"'","''")&amp;"'")&amp;") AND coalesce(c.telefono1,'') = coalesce("&amp;IF(TRIM(F224&amp;"")="","NULL","'"&amp;SUBSTITUTE(TRIM(F224),"'","''")&amp;"'")&amp;",''));")</f>
        <v/>
      </c>
    </row>
    <row r="225" ht="15.75" customHeight="1" s="64">
      <c r="A225" s="23" t="n"/>
      <c r="B225" s="25">
        <f t="array" ref="B225">IF(A225="","",IFERROR(IF(INDEX(Clientes!$D$5:$D$549,MATCH(A225,Clientes!$C$5:$C$549,0))&lt;&gt;"",INDEX(Clientes!$D$5:$D$549,MATCH(A225,Clientes!$C$5:$C$549,0)),TRIM(INDEX(Clientes!$E$5:$E$549,MATCH(A225,Clientes!$C$5:$C$549,0))&amp;" "&amp;INDEX(Clientes!$F$5:$F$549,MATCH(A225,Clientes!$C$5:$C$549,0)))),"NO EXISTE en Clientes"))</f>
        <v/>
      </c>
      <c r="C225" s="17" t="n"/>
      <c r="D225" s="17" t="n"/>
      <c r="E225" s="17" t="n"/>
      <c r="F225" s="23" t="n"/>
      <c r="G225" s="23" t="n"/>
      <c r="H225" s="23" t="n"/>
      <c r="I225" s="17" t="n"/>
      <c r="J225" s="17" t="n"/>
      <c r="K225" s="17" t="n"/>
      <c r="L225" s="17">
        <f>IF(AND(A225="",C225=""),"",IF(A225="","FALTA doc. cliente",IF(B225="NO EXISTE en Clientes","CLIENTE no está en hoja Clientes",IF(C225="","FALTA nombre",IF(AND(K225="SI",COUNTIFS($A$5:$A$499,A225,$K$5:$K$499,"SI")&gt;1),"Más de un contacto principal para este cliente","OK")))))</f>
        <v/>
      </c>
      <c r="M225" s="28">
        <f>IF(L225&lt;&gt;"OK","","INSERT INTO cli_contacto (id_cliente, nombre, apellido_paterno, apellido_materno, telefono1, telefono2, telefono3, email, direccion, es_principal, estado) SELECT "&amp;"(SELECT id FROM cli_clientes WHERE numero_documento = '"&amp;SUBSTITUTE(TRIM(A225),"'","''")&amp;"' AND estado = 1 LIMIT 1)"&amp;", "&amp;IF(TRIM(C225&amp;"")="","NULL","'"&amp;SUBSTITUTE(TRIM(C225),"'","''")&amp;"'")&amp;", "&amp;IF(TRIM(D225&amp;"")="","NULL","'"&amp;SUBSTITUTE(TRIM(D225),"'","''")&amp;"'")&amp;", "&amp;IF(TRIM(E225&amp;"")="","NULL","'"&amp;SUBSTITUTE(TRIM(E225),"'","''")&amp;"'")&amp;", "&amp;IF(TRIM(F225&amp;"")="","NULL","'"&amp;SUBSTITUTE(TRIM(F225),"'","''")&amp;"'")&amp;", "&amp;IF(TRIM(G225&amp;"")="","NULL","'"&amp;SUBSTITUTE(TRIM(G225),"'","''")&amp;"'")&amp;", "&amp;IF(TRIM(H225&amp;"")="","NULL","'"&amp;SUBSTITUTE(TRIM(H225),"'","''")&amp;"'")&amp;", "&amp;IF(TRIM(I225&amp;"")="","NULL","'"&amp;SUBSTITUTE(TRIM(I225),"'","''")&amp;"'")&amp;", "&amp;IF(TRIM(J225&amp;"")="","NULL","'"&amp;SUBSTITUTE(TRIM(J225),"'","''")&amp;"'")&amp;", "&amp;IF(UPPER(TRIM(K225&amp;""))="SI","TRUE","FALSE")&amp;", 1"&amp;" WHERE NOT EXISTS (SELECT 1 FROM cli_contacto c WHERE c.id_cliente = "&amp;"(SELECT id FROM cli_clientes WHERE numero_documento = '"&amp;SUBSTITUTE(TRIM(A225),"'","''")&amp;"' AND estado = 1 LIMIT 1)"&amp;" AND upper(c.nombre) = upper("&amp;IF(TRIM(C225&amp;"")="","NULL","'"&amp;SUBSTITUTE(TRIM(C225),"'","''")&amp;"'")&amp;") AND coalesce(c.telefono1,'') = coalesce("&amp;IF(TRIM(F225&amp;"")="","NULL","'"&amp;SUBSTITUTE(TRIM(F225),"'","''")&amp;"'")&amp;",''));")</f>
        <v/>
      </c>
    </row>
    <row r="226" ht="15.75" customHeight="1" s="64">
      <c r="A226" s="23" t="n"/>
      <c r="B226" s="25">
        <f t="array" ref="B226">IF(A226="","",IFERROR(IF(INDEX(Clientes!$D$5:$D$549,MATCH(A226,Clientes!$C$5:$C$549,0))&lt;&gt;"",INDEX(Clientes!$D$5:$D$549,MATCH(A226,Clientes!$C$5:$C$549,0)),TRIM(INDEX(Clientes!$E$5:$E$549,MATCH(A226,Clientes!$C$5:$C$549,0))&amp;" "&amp;INDEX(Clientes!$F$5:$F$549,MATCH(A226,Clientes!$C$5:$C$549,0)))),"NO EXISTE en Clientes"))</f>
        <v/>
      </c>
      <c r="C226" s="17" t="n"/>
      <c r="D226" s="17" t="n"/>
      <c r="E226" s="17" t="n"/>
      <c r="F226" s="23" t="n"/>
      <c r="G226" s="23" t="n"/>
      <c r="H226" s="23" t="n"/>
      <c r="I226" s="17" t="n"/>
      <c r="J226" s="17" t="n"/>
      <c r="K226" s="17" t="n"/>
      <c r="L226" s="17">
        <f>IF(AND(A226="",C226=""),"",IF(A226="","FALTA doc. cliente",IF(B226="NO EXISTE en Clientes","CLIENTE no está en hoja Clientes",IF(C226="","FALTA nombre",IF(AND(K226="SI",COUNTIFS($A$5:$A$499,A226,$K$5:$K$499,"SI")&gt;1),"Más de un contacto principal para este cliente","OK")))))</f>
        <v/>
      </c>
      <c r="M226" s="28">
        <f>IF(L226&lt;&gt;"OK","","INSERT INTO cli_contacto (id_cliente, nombre, apellido_paterno, apellido_materno, telefono1, telefono2, telefono3, email, direccion, es_principal, estado) SELECT "&amp;"(SELECT id FROM cli_clientes WHERE numero_documento = '"&amp;SUBSTITUTE(TRIM(A226),"'","''")&amp;"' AND estado = 1 LIMIT 1)"&amp;", "&amp;IF(TRIM(C226&amp;"")="","NULL","'"&amp;SUBSTITUTE(TRIM(C226),"'","''")&amp;"'")&amp;", "&amp;IF(TRIM(D226&amp;"")="","NULL","'"&amp;SUBSTITUTE(TRIM(D226),"'","''")&amp;"'")&amp;", "&amp;IF(TRIM(E226&amp;"")="","NULL","'"&amp;SUBSTITUTE(TRIM(E226),"'","''")&amp;"'")&amp;", "&amp;IF(TRIM(F226&amp;"")="","NULL","'"&amp;SUBSTITUTE(TRIM(F226),"'","''")&amp;"'")&amp;", "&amp;IF(TRIM(G226&amp;"")="","NULL","'"&amp;SUBSTITUTE(TRIM(G226),"'","''")&amp;"'")&amp;", "&amp;IF(TRIM(H226&amp;"")="","NULL","'"&amp;SUBSTITUTE(TRIM(H226),"'","''")&amp;"'")&amp;", "&amp;IF(TRIM(I226&amp;"")="","NULL","'"&amp;SUBSTITUTE(TRIM(I226),"'","''")&amp;"'")&amp;", "&amp;IF(TRIM(J226&amp;"")="","NULL","'"&amp;SUBSTITUTE(TRIM(J226),"'","''")&amp;"'")&amp;", "&amp;IF(UPPER(TRIM(K226&amp;""))="SI","TRUE","FALSE")&amp;", 1"&amp;" WHERE NOT EXISTS (SELECT 1 FROM cli_contacto c WHERE c.id_cliente = "&amp;"(SELECT id FROM cli_clientes WHERE numero_documento = '"&amp;SUBSTITUTE(TRIM(A226),"'","''")&amp;"' AND estado = 1 LIMIT 1)"&amp;" AND upper(c.nombre) = upper("&amp;IF(TRIM(C226&amp;"")="","NULL","'"&amp;SUBSTITUTE(TRIM(C226),"'","''")&amp;"'")&amp;") AND coalesce(c.telefono1,'') = coalesce("&amp;IF(TRIM(F226&amp;"")="","NULL","'"&amp;SUBSTITUTE(TRIM(F226),"'","''")&amp;"'")&amp;",''));")</f>
        <v/>
      </c>
    </row>
    <row r="227" ht="15.75" customHeight="1" s="64">
      <c r="A227" s="23" t="n"/>
      <c r="B227" s="25">
        <f t="array" ref="B227">IF(A227="","",IFERROR(IF(INDEX(Clientes!$D$5:$D$549,MATCH(A227,Clientes!$C$5:$C$549,0))&lt;&gt;"",INDEX(Clientes!$D$5:$D$549,MATCH(A227,Clientes!$C$5:$C$549,0)),TRIM(INDEX(Clientes!$E$5:$E$549,MATCH(A227,Clientes!$C$5:$C$549,0))&amp;" "&amp;INDEX(Clientes!$F$5:$F$549,MATCH(A227,Clientes!$C$5:$C$549,0)))),"NO EXISTE en Clientes"))</f>
        <v/>
      </c>
      <c r="C227" s="17" t="n"/>
      <c r="D227" s="17" t="n"/>
      <c r="E227" s="17" t="n"/>
      <c r="F227" s="23" t="n"/>
      <c r="G227" s="23" t="n"/>
      <c r="H227" s="23" t="n"/>
      <c r="I227" s="17" t="n"/>
      <c r="J227" s="17" t="n"/>
      <c r="K227" s="17" t="n"/>
      <c r="L227" s="17">
        <f>IF(AND(A227="",C227=""),"",IF(A227="","FALTA doc. cliente",IF(B227="NO EXISTE en Clientes","CLIENTE no está en hoja Clientes",IF(C227="","FALTA nombre",IF(AND(K227="SI",COUNTIFS($A$5:$A$499,A227,$K$5:$K$499,"SI")&gt;1),"Más de un contacto principal para este cliente","OK")))))</f>
        <v/>
      </c>
      <c r="M227" s="28">
        <f>IF(L227&lt;&gt;"OK","","INSERT INTO cli_contacto (id_cliente, nombre, apellido_paterno, apellido_materno, telefono1, telefono2, telefono3, email, direccion, es_principal, estado) SELECT "&amp;"(SELECT id FROM cli_clientes WHERE numero_documento = '"&amp;SUBSTITUTE(TRIM(A227),"'","''")&amp;"' AND estado = 1 LIMIT 1)"&amp;", "&amp;IF(TRIM(C227&amp;"")="","NULL","'"&amp;SUBSTITUTE(TRIM(C227),"'","''")&amp;"'")&amp;", "&amp;IF(TRIM(D227&amp;"")="","NULL","'"&amp;SUBSTITUTE(TRIM(D227),"'","''")&amp;"'")&amp;", "&amp;IF(TRIM(E227&amp;"")="","NULL","'"&amp;SUBSTITUTE(TRIM(E227),"'","''")&amp;"'")&amp;", "&amp;IF(TRIM(F227&amp;"")="","NULL","'"&amp;SUBSTITUTE(TRIM(F227),"'","''")&amp;"'")&amp;", "&amp;IF(TRIM(G227&amp;"")="","NULL","'"&amp;SUBSTITUTE(TRIM(G227),"'","''")&amp;"'")&amp;", "&amp;IF(TRIM(H227&amp;"")="","NULL","'"&amp;SUBSTITUTE(TRIM(H227),"'","''")&amp;"'")&amp;", "&amp;IF(TRIM(I227&amp;"")="","NULL","'"&amp;SUBSTITUTE(TRIM(I227),"'","''")&amp;"'")&amp;", "&amp;IF(TRIM(J227&amp;"")="","NULL","'"&amp;SUBSTITUTE(TRIM(J227),"'","''")&amp;"'")&amp;", "&amp;IF(UPPER(TRIM(K227&amp;""))="SI","TRUE","FALSE")&amp;", 1"&amp;" WHERE NOT EXISTS (SELECT 1 FROM cli_contacto c WHERE c.id_cliente = "&amp;"(SELECT id FROM cli_clientes WHERE numero_documento = '"&amp;SUBSTITUTE(TRIM(A227),"'","''")&amp;"' AND estado = 1 LIMIT 1)"&amp;" AND upper(c.nombre) = upper("&amp;IF(TRIM(C227&amp;"")="","NULL","'"&amp;SUBSTITUTE(TRIM(C227),"'","''")&amp;"'")&amp;") AND coalesce(c.telefono1,'') = coalesce("&amp;IF(TRIM(F227&amp;"")="","NULL","'"&amp;SUBSTITUTE(TRIM(F227),"'","''")&amp;"'")&amp;",''));")</f>
        <v/>
      </c>
    </row>
    <row r="228" ht="15.75" customHeight="1" s="64">
      <c r="A228" s="23" t="n"/>
      <c r="B228" s="25">
        <f t="array" ref="B228">IF(A228="","",IFERROR(IF(INDEX(Clientes!$D$5:$D$549,MATCH(A228,Clientes!$C$5:$C$549,0))&lt;&gt;"",INDEX(Clientes!$D$5:$D$549,MATCH(A228,Clientes!$C$5:$C$549,0)),TRIM(INDEX(Clientes!$E$5:$E$549,MATCH(A228,Clientes!$C$5:$C$549,0))&amp;" "&amp;INDEX(Clientes!$F$5:$F$549,MATCH(A228,Clientes!$C$5:$C$549,0)))),"NO EXISTE en Clientes"))</f>
        <v/>
      </c>
      <c r="C228" s="17" t="n"/>
      <c r="D228" s="17" t="n"/>
      <c r="E228" s="17" t="n"/>
      <c r="F228" s="23" t="n"/>
      <c r="G228" s="23" t="n"/>
      <c r="H228" s="23" t="n"/>
      <c r="I228" s="17" t="n"/>
      <c r="J228" s="17" t="n"/>
      <c r="K228" s="17" t="n"/>
      <c r="L228" s="17">
        <f>IF(AND(A228="",C228=""),"",IF(A228="","FALTA doc. cliente",IF(B228="NO EXISTE en Clientes","CLIENTE no está en hoja Clientes",IF(C228="","FALTA nombre",IF(AND(K228="SI",COUNTIFS($A$5:$A$499,A228,$K$5:$K$499,"SI")&gt;1),"Más de un contacto principal para este cliente","OK")))))</f>
        <v/>
      </c>
      <c r="M228" s="28">
        <f>IF(L228&lt;&gt;"OK","","INSERT INTO cli_contacto (id_cliente, nombre, apellido_paterno, apellido_materno, telefono1, telefono2, telefono3, email, direccion, es_principal, estado) SELECT "&amp;"(SELECT id FROM cli_clientes WHERE numero_documento = '"&amp;SUBSTITUTE(TRIM(A228),"'","''")&amp;"' AND estado = 1 LIMIT 1)"&amp;", "&amp;IF(TRIM(C228&amp;"")="","NULL","'"&amp;SUBSTITUTE(TRIM(C228),"'","''")&amp;"'")&amp;", "&amp;IF(TRIM(D228&amp;"")="","NULL","'"&amp;SUBSTITUTE(TRIM(D228),"'","''")&amp;"'")&amp;", "&amp;IF(TRIM(E228&amp;"")="","NULL","'"&amp;SUBSTITUTE(TRIM(E228),"'","''")&amp;"'")&amp;", "&amp;IF(TRIM(F228&amp;"")="","NULL","'"&amp;SUBSTITUTE(TRIM(F228),"'","''")&amp;"'")&amp;", "&amp;IF(TRIM(G228&amp;"")="","NULL","'"&amp;SUBSTITUTE(TRIM(G228),"'","''")&amp;"'")&amp;", "&amp;IF(TRIM(H228&amp;"")="","NULL","'"&amp;SUBSTITUTE(TRIM(H228),"'","''")&amp;"'")&amp;", "&amp;IF(TRIM(I228&amp;"")="","NULL","'"&amp;SUBSTITUTE(TRIM(I228),"'","''")&amp;"'")&amp;", "&amp;IF(TRIM(J228&amp;"")="","NULL","'"&amp;SUBSTITUTE(TRIM(J228),"'","''")&amp;"'")&amp;", "&amp;IF(UPPER(TRIM(K228&amp;""))="SI","TRUE","FALSE")&amp;", 1"&amp;" WHERE NOT EXISTS (SELECT 1 FROM cli_contacto c WHERE c.id_cliente = "&amp;"(SELECT id FROM cli_clientes WHERE numero_documento = '"&amp;SUBSTITUTE(TRIM(A228),"'","''")&amp;"' AND estado = 1 LIMIT 1)"&amp;" AND upper(c.nombre) = upper("&amp;IF(TRIM(C228&amp;"")="","NULL","'"&amp;SUBSTITUTE(TRIM(C228),"'","''")&amp;"'")&amp;") AND coalesce(c.telefono1,'') = coalesce("&amp;IF(TRIM(F228&amp;"")="","NULL","'"&amp;SUBSTITUTE(TRIM(F228),"'","''")&amp;"'")&amp;",''));")</f>
        <v/>
      </c>
    </row>
    <row r="229" ht="15.75" customHeight="1" s="64">
      <c r="A229" s="23" t="n"/>
      <c r="B229" s="25">
        <f t="array" ref="B229">IF(A229="","",IFERROR(IF(INDEX(Clientes!$D$5:$D$549,MATCH(A229,Clientes!$C$5:$C$549,0))&lt;&gt;"",INDEX(Clientes!$D$5:$D$549,MATCH(A229,Clientes!$C$5:$C$549,0)),TRIM(INDEX(Clientes!$E$5:$E$549,MATCH(A229,Clientes!$C$5:$C$549,0))&amp;" "&amp;INDEX(Clientes!$F$5:$F$549,MATCH(A229,Clientes!$C$5:$C$549,0)))),"NO EXISTE en Clientes"))</f>
        <v/>
      </c>
      <c r="C229" s="17" t="n"/>
      <c r="D229" s="17" t="n"/>
      <c r="E229" s="17" t="n"/>
      <c r="F229" s="23" t="n"/>
      <c r="G229" s="23" t="n"/>
      <c r="H229" s="23" t="n"/>
      <c r="I229" s="17" t="n"/>
      <c r="J229" s="17" t="n"/>
      <c r="K229" s="17" t="n"/>
      <c r="L229" s="17">
        <f>IF(AND(A229="",C229=""),"",IF(A229="","FALTA doc. cliente",IF(B229="NO EXISTE en Clientes","CLIENTE no está en hoja Clientes",IF(C229="","FALTA nombre",IF(AND(K229="SI",COUNTIFS($A$5:$A$499,A229,$K$5:$K$499,"SI")&gt;1),"Más de un contacto principal para este cliente","OK")))))</f>
        <v/>
      </c>
      <c r="M229" s="28">
        <f>IF(L229&lt;&gt;"OK","","INSERT INTO cli_contacto (id_cliente, nombre, apellido_paterno, apellido_materno, telefono1, telefono2, telefono3, email, direccion, es_principal, estado) SELECT "&amp;"(SELECT id FROM cli_clientes WHERE numero_documento = '"&amp;SUBSTITUTE(TRIM(A229),"'","''")&amp;"' AND estado = 1 LIMIT 1)"&amp;", "&amp;IF(TRIM(C229&amp;"")="","NULL","'"&amp;SUBSTITUTE(TRIM(C229),"'","''")&amp;"'")&amp;", "&amp;IF(TRIM(D229&amp;"")="","NULL","'"&amp;SUBSTITUTE(TRIM(D229),"'","''")&amp;"'")&amp;", "&amp;IF(TRIM(E229&amp;"")="","NULL","'"&amp;SUBSTITUTE(TRIM(E229),"'","''")&amp;"'")&amp;", "&amp;IF(TRIM(F229&amp;"")="","NULL","'"&amp;SUBSTITUTE(TRIM(F229),"'","''")&amp;"'")&amp;", "&amp;IF(TRIM(G229&amp;"")="","NULL","'"&amp;SUBSTITUTE(TRIM(G229),"'","''")&amp;"'")&amp;", "&amp;IF(TRIM(H229&amp;"")="","NULL","'"&amp;SUBSTITUTE(TRIM(H229),"'","''")&amp;"'")&amp;", "&amp;IF(TRIM(I229&amp;"")="","NULL","'"&amp;SUBSTITUTE(TRIM(I229),"'","''")&amp;"'")&amp;", "&amp;IF(TRIM(J229&amp;"")="","NULL","'"&amp;SUBSTITUTE(TRIM(J229),"'","''")&amp;"'")&amp;", "&amp;IF(UPPER(TRIM(K229&amp;""))="SI","TRUE","FALSE")&amp;", 1"&amp;" WHERE NOT EXISTS (SELECT 1 FROM cli_contacto c WHERE c.id_cliente = "&amp;"(SELECT id FROM cli_clientes WHERE numero_documento = '"&amp;SUBSTITUTE(TRIM(A229),"'","''")&amp;"' AND estado = 1 LIMIT 1)"&amp;" AND upper(c.nombre) = upper("&amp;IF(TRIM(C229&amp;"")="","NULL","'"&amp;SUBSTITUTE(TRIM(C229),"'","''")&amp;"'")&amp;") AND coalesce(c.telefono1,'') = coalesce("&amp;IF(TRIM(F229&amp;"")="","NULL","'"&amp;SUBSTITUTE(TRIM(F229),"'","''")&amp;"'")&amp;",''));")</f>
        <v/>
      </c>
    </row>
    <row r="230" ht="15.75" customHeight="1" s="64">
      <c r="A230" s="23" t="n"/>
      <c r="B230" s="25">
        <f t="array" ref="B230">IF(A230="","",IFERROR(IF(INDEX(Clientes!$D$5:$D$549,MATCH(A230,Clientes!$C$5:$C$549,0))&lt;&gt;"",INDEX(Clientes!$D$5:$D$549,MATCH(A230,Clientes!$C$5:$C$549,0)),TRIM(INDEX(Clientes!$E$5:$E$549,MATCH(A230,Clientes!$C$5:$C$549,0))&amp;" "&amp;INDEX(Clientes!$F$5:$F$549,MATCH(A230,Clientes!$C$5:$C$549,0)))),"NO EXISTE en Clientes"))</f>
        <v/>
      </c>
      <c r="C230" s="17" t="n"/>
      <c r="D230" s="17" t="n"/>
      <c r="E230" s="17" t="n"/>
      <c r="F230" s="23" t="n"/>
      <c r="G230" s="23" t="n"/>
      <c r="H230" s="23" t="n"/>
      <c r="I230" s="17" t="n"/>
      <c r="J230" s="17" t="n"/>
      <c r="K230" s="17" t="n"/>
      <c r="L230" s="17">
        <f>IF(AND(A230="",C230=""),"",IF(A230="","FALTA doc. cliente",IF(B230="NO EXISTE en Clientes","CLIENTE no está en hoja Clientes",IF(C230="","FALTA nombre",IF(AND(K230="SI",COUNTIFS($A$5:$A$499,A230,$K$5:$K$499,"SI")&gt;1),"Más de un contacto principal para este cliente","OK")))))</f>
        <v/>
      </c>
      <c r="M230" s="28">
        <f>IF(L230&lt;&gt;"OK","","INSERT INTO cli_contacto (id_cliente, nombre, apellido_paterno, apellido_materno, telefono1, telefono2, telefono3, email, direccion, es_principal, estado) SELECT "&amp;"(SELECT id FROM cli_clientes WHERE numero_documento = '"&amp;SUBSTITUTE(TRIM(A230),"'","''")&amp;"' AND estado = 1 LIMIT 1)"&amp;", "&amp;IF(TRIM(C230&amp;"")="","NULL","'"&amp;SUBSTITUTE(TRIM(C230),"'","''")&amp;"'")&amp;", "&amp;IF(TRIM(D230&amp;"")="","NULL","'"&amp;SUBSTITUTE(TRIM(D230),"'","''")&amp;"'")&amp;", "&amp;IF(TRIM(E230&amp;"")="","NULL","'"&amp;SUBSTITUTE(TRIM(E230),"'","''")&amp;"'")&amp;", "&amp;IF(TRIM(F230&amp;"")="","NULL","'"&amp;SUBSTITUTE(TRIM(F230),"'","''")&amp;"'")&amp;", "&amp;IF(TRIM(G230&amp;"")="","NULL","'"&amp;SUBSTITUTE(TRIM(G230),"'","''")&amp;"'")&amp;", "&amp;IF(TRIM(H230&amp;"")="","NULL","'"&amp;SUBSTITUTE(TRIM(H230),"'","''")&amp;"'")&amp;", "&amp;IF(TRIM(I230&amp;"")="","NULL","'"&amp;SUBSTITUTE(TRIM(I230),"'","''")&amp;"'")&amp;", "&amp;IF(TRIM(J230&amp;"")="","NULL","'"&amp;SUBSTITUTE(TRIM(J230),"'","''")&amp;"'")&amp;", "&amp;IF(UPPER(TRIM(K230&amp;""))="SI","TRUE","FALSE")&amp;", 1"&amp;" WHERE NOT EXISTS (SELECT 1 FROM cli_contacto c WHERE c.id_cliente = "&amp;"(SELECT id FROM cli_clientes WHERE numero_documento = '"&amp;SUBSTITUTE(TRIM(A230),"'","''")&amp;"' AND estado = 1 LIMIT 1)"&amp;" AND upper(c.nombre) = upper("&amp;IF(TRIM(C230&amp;"")="","NULL","'"&amp;SUBSTITUTE(TRIM(C230),"'","''")&amp;"'")&amp;") AND coalesce(c.telefono1,'') = coalesce("&amp;IF(TRIM(F230&amp;"")="","NULL","'"&amp;SUBSTITUTE(TRIM(F230),"'","''")&amp;"'")&amp;",''));")</f>
        <v/>
      </c>
    </row>
    <row r="231" ht="15.75" customHeight="1" s="64">
      <c r="A231" s="23" t="n"/>
      <c r="B231" s="25">
        <f t="array" ref="B231">IF(A231="","",IFERROR(IF(INDEX(Clientes!$D$5:$D$549,MATCH(A231,Clientes!$C$5:$C$549,0))&lt;&gt;"",INDEX(Clientes!$D$5:$D$549,MATCH(A231,Clientes!$C$5:$C$549,0)),TRIM(INDEX(Clientes!$E$5:$E$549,MATCH(A231,Clientes!$C$5:$C$549,0))&amp;" "&amp;INDEX(Clientes!$F$5:$F$549,MATCH(A231,Clientes!$C$5:$C$549,0)))),"NO EXISTE en Clientes"))</f>
        <v/>
      </c>
      <c r="C231" s="17" t="n"/>
      <c r="D231" s="17" t="n"/>
      <c r="E231" s="17" t="n"/>
      <c r="F231" s="23" t="n"/>
      <c r="G231" s="23" t="n"/>
      <c r="H231" s="23" t="n"/>
      <c r="I231" s="17" t="n"/>
      <c r="J231" s="17" t="n"/>
      <c r="K231" s="17" t="n"/>
      <c r="L231" s="17">
        <f>IF(AND(A231="",C231=""),"",IF(A231="","FALTA doc. cliente",IF(B231="NO EXISTE en Clientes","CLIENTE no está en hoja Clientes",IF(C231="","FALTA nombre",IF(AND(K231="SI",COUNTIFS($A$5:$A$499,A231,$K$5:$K$499,"SI")&gt;1),"Más de un contacto principal para este cliente","OK")))))</f>
        <v/>
      </c>
      <c r="M231" s="28">
        <f>IF(L231&lt;&gt;"OK","","INSERT INTO cli_contacto (id_cliente, nombre, apellido_paterno, apellido_materno, telefono1, telefono2, telefono3, email, direccion, es_principal, estado) SELECT "&amp;"(SELECT id FROM cli_clientes WHERE numero_documento = '"&amp;SUBSTITUTE(TRIM(A231),"'","''")&amp;"' AND estado = 1 LIMIT 1)"&amp;", "&amp;IF(TRIM(C231&amp;"")="","NULL","'"&amp;SUBSTITUTE(TRIM(C231),"'","''")&amp;"'")&amp;", "&amp;IF(TRIM(D231&amp;"")="","NULL","'"&amp;SUBSTITUTE(TRIM(D231),"'","''")&amp;"'")&amp;", "&amp;IF(TRIM(E231&amp;"")="","NULL","'"&amp;SUBSTITUTE(TRIM(E231),"'","''")&amp;"'")&amp;", "&amp;IF(TRIM(F231&amp;"")="","NULL","'"&amp;SUBSTITUTE(TRIM(F231),"'","''")&amp;"'")&amp;", "&amp;IF(TRIM(G231&amp;"")="","NULL","'"&amp;SUBSTITUTE(TRIM(G231),"'","''")&amp;"'")&amp;", "&amp;IF(TRIM(H231&amp;"")="","NULL","'"&amp;SUBSTITUTE(TRIM(H231),"'","''")&amp;"'")&amp;", "&amp;IF(TRIM(I231&amp;"")="","NULL","'"&amp;SUBSTITUTE(TRIM(I231),"'","''")&amp;"'")&amp;", "&amp;IF(TRIM(J231&amp;"")="","NULL","'"&amp;SUBSTITUTE(TRIM(J231),"'","''")&amp;"'")&amp;", "&amp;IF(UPPER(TRIM(K231&amp;""))="SI","TRUE","FALSE")&amp;", 1"&amp;" WHERE NOT EXISTS (SELECT 1 FROM cli_contacto c WHERE c.id_cliente = "&amp;"(SELECT id FROM cli_clientes WHERE numero_documento = '"&amp;SUBSTITUTE(TRIM(A231),"'","''")&amp;"' AND estado = 1 LIMIT 1)"&amp;" AND upper(c.nombre) = upper("&amp;IF(TRIM(C231&amp;"")="","NULL","'"&amp;SUBSTITUTE(TRIM(C231),"'","''")&amp;"'")&amp;") AND coalesce(c.telefono1,'') = coalesce("&amp;IF(TRIM(F231&amp;"")="","NULL","'"&amp;SUBSTITUTE(TRIM(F231),"'","''")&amp;"'")&amp;",''));")</f>
        <v/>
      </c>
    </row>
    <row r="232" ht="15.75" customHeight="1" s="64">
      <c r="A232" s="23" t="n"/>
      <c r="B232" s="25">
        <f t="array" ref="B232">IF(A232="","",IFERROR(IF(INDEX(Clientes!$D$5:$D$549,MATCH(A232,Clientes!$C$5:$C$549,0))&lt;&gt;"",INDEX(Clientes!$D$5:$D$549,MATCH(A232,Clientes!$C$5:$C$549,0)),TRIM(INDEX(Clientes!$E$5:$E$549,MATCH(A232,Clientes!$C$5:$C$549,0))&amp;" "&amp;INDEX(Clientes!$F$5:$F$549,MATCH(A232,Clientes!$C$5:$C$549,0)))),"NO EXISTE en Clientes"))</f>
        <v/>
      </c>
      <c r="C232" s="17" t="n"/>
      <c r="D232" s="17" t="n"/>
      <c r="E232" s="17" t="n"/>
      <c r="F232" s="23" t="n"/>
      <c r="G232" s="23" t="n"/>
      <c r="H232" s="23" t="n"/>
      <c r="I232" s="17" t="n"/>
      <c r="J232" s="17" t="n"/>
      <c r="K232" s="17" t="n"/>
      <c r="L232" s="17">
        <f>IF(AND(A232="",C232=""),"",IF(A232="","FALTA doc. cliente",IF(B232="NO EXISTE en Clientes","CLIENTE no está en hoja Clientes",IF(C232="","FALTA nombre",IF(AND(K232="SI",COUNTIFS($A$5:$A$499,A232,$K$5:$K$499,"SI")&gt;1),"Más de un contacto principal para este cliente","OK")))))</f>
        <v/>
      </c>
      <c r="M232" s="28">
        <f>IF(L232&lt;&gt;"OK","","INSERT INTO cli_contacto (id_cliente, nombre, apellido_paterno, apellido_materno, telefono1, telefono2, telefono3, email, direccion, es_principal, estado) SELECT "&amp;"(SELECT id FROM cli_clientes WHERE numero_documento = '"&amp;SUBSTITUTE(TRIM(A232),"'","''")&amp;"' AND estado = 1 LIMIT 1)"&amp;", "&amp;IF(TRIM(C232&amp;"")="","NULL","'"&amp;SUBSTITUTE(TRIM(C232),"'","''")&amp;"'")&amp;", "&amp;IF(TRIM(D232&amp;"")="","NULL","'"&amp;SUBSTITUTE(TRIM(D232),"'","''")&amp;"'")&amp;", "&amp;IF(TRIM(E232&amp;"")="","NULL","'"&amp;SUBSTITUTE(TRIM(E232),"'","''")&amp;"'")&amp;", "&amp;IF(TRIM(F232&amp;"")="","NULL","'"&amp;SUBSTITUTE(TRIM(F232),"'","''")&amp;"'")&amp;", "&amp;IF(TRIM(G232&amp;"")="","NULL","'"&amp;SUBSTITUTE(TRIM(G232),"'","''")&amp;"'")&amp;", "&amp;IF(TRIM(H232&amp;"")="","NULL","'"&amp;SUBSTITUTE(TRIM(H232),"'","''")&amp;"'")&amp;", "&amp;IF(TRIM(I232&amp;"")="","NULL","'"&amp;SUBSTITUTE(TRIM(I232),"'","''")&amp;"'")&amp;", "&amp;IF(TRIM(J232&amp;"")="","NULL","'"&amp;SUBSTITUTE(TRIM(J232),"'","''")&amp;"'")&amp;", "&amp;IF(UPPER(TRIM(K232&amp;""))="SI","TRUE","FALSE")&amp;", 1"&amp;" WHERE NOT EXISTS (SELECT 1 FROM cli_contacto c WHERE c.id_cliente = "&amp;"(SELECT id FROM cli_clientes WHERE numero_documento = '"&amp;SUBSTITUTE(TRIM(A232),"'","''")&amp;"' AND estado = 1 LIMIT 1)"&amp;" AND upper(c.nombre) = upper("&amp;IF(TRIM(C232&amp;"")="","NULL","'"&amp;SUBSTITUTE(TRIM(C232),"'","''")&amp;"'")&amp;") AND coalesce(c.telefono1,'') = coalesce("&amp;IF(TRIM(F232&amp;"")="","NULL","'"&amp;SUBSTITUTE(TRIM(F232),"'","''")&amp;"'")&amp;",''));")</f>
        <v/>
      </c>
    </row>
    <row r="233" ht="15.75" customHeight="1" s="64">
      <c r="A233" s="23" t="n"/>
      <c r="B233" s="25">
        <f t="array" ref="B233">IF(A233="","",IFERROR(IF(INDEX(Clientes!$D$5:$D$549,MATCH(A233,Clientes!$C$5:$C$549,0))&lt;&gt;"",INDEX(Clientes!$D$5:$D$549,MATCH(A233,Clientes!$C$5:$C$549,0)),TRIM(INDEX(Clientes!$E$5:$E$549,MATCH(A233,Clientes!$C$5:$C$549,0))&amp;" "&amp;INDEX(Clientes!$F$5:$F$549,MATCH(A233,Clientes!$C$5:$C$549,0)))),"NO EXISTE en Clientes"))</f>
        <v/>
      </c>
      <c r="C233" s="17" t="n"/>
      <c r="D233" s="17" t="n"/>
      <c r="E233" s="17" t="n"/>
      <c r="F233" s="23" t="n"/>
      <c r="G233" s="23" t="n"/>
      <c r="H233" s="23" t="n"/>
      <c r="I233" s="17" t="n"/>
      <c r="J233" s="17" t="n"/>
      <c r="K233" s="17" t="n"/>
      <c r="L233" s="17">
        <f>IF(AND(A233="",C233=""),"",IF(A233="","FALTA doc. cliente",IF(B233="NO EXISTE en Clientes","CLIENTE no está en hoja Clientes",IF(C233="","FALTA nombre",IF(AND(K233="SI",COUNTIFS($A$5:$A$499,A233,$K$5:$K$499,"SI")&gt;1),"Más de un contacto principal para este cliente","OK")))))</f>
        <v/>
      </c>
      <c r="M233" s="28">
        <f>IF(L233&lt;&gt;"OK","","INSERT INTO cli_contacto (id_cliente, nombre, apellido_paterno, apellido_materno, telefono1, telefono2, telefono3, email, direccion, es_principal, estado) SELECT "&amp;"(SELECT id FROM cli_clientes WHERE numero_documento = '"&amp;SUBSTITUTE(TRIM(A233),"'","''")&amp;"' AND estado = 1 LIMIT 1)"&amp;", "&amp;IF(TRIM(C233&amp;"")="","NULL","'"&amp;SUBSTITUTE(TRIM(C233),"'","''")&amp;"'")&amp;", "&amp;IF(TRIM(D233&amp;"")="","NULL","'"&amp;SUBSTITUTE(TRIM(D233),"'","''")&amp;"'")&amp;", "&amp;IF(TRIM(E233&amp;"")="","NULL","'"&amp;SUBSTITUTE(TRIM(E233),"'","''")&amp;"'")&amp;", "&amp;IF(TRIM(F233&amp;"")="","NULL","'"&amp;SUBSTITUTE(TRIM(F233),"'","''")&amp;"'")&amp;", "&amp;IF(TRIM(G233&amp;"")="","NULL","'"&amp;SUBSTITUTE(TRIM(G233),"'","''")&amp;"'")&amp;", "&amp;IF(TRIM(H233&amp;"")="","NULL","'"&amp;SUBSTITUTE(TRIM(H233),"'","''")&amp;"'")&amp;", "&amp;IF(TRIM(I233&amp;"")="","NULL","'"&amp;SUBSTITUTE(TRIM(I233),"'","''")&amp;"'")&amp;", "&amp;IF(TRIM(J233&amp;"")="","NULL","'"&amp;SUBSTITUTE(TRIM(J233),"'","''")&amp;"'")&amp;", "&amp;IF(UPPER(TRIM(K233&amp;""))="SI","TRUE","FALSE")&amp;", 1"&amp;" WHERE NOT EXISTS (SELECT 1 FROM cli_contacto c WHERE c.id_cliente = "&amp;"(SELECT id FROM cli_clientes WHERE numero_documento = '"&amp;SUBSTITUTE(TRIM(A233),"'","''")&amp;"' AND estado = 1 LIMIT 1)"&amp;" AND upper(c.nombre) = upper("&amp;IF(TRIM(C233&amp;"")="","NULL","'"&amp;SUBSTITUTE(TRIM(C233),"'","''")&amp;"'")&amp;") AND coalesce(c.telefono1,'') = coalesce("&amp;IF(TRIM(F233&amp;"")="","NULL","'"&amp;SUBSTITUTE(TRIM(F233),"'","''")&amp;"'")&amp;",''));")</f>
        <v/>
      </c>
    </row>
    <row r="234" ht="15.75" customHeight="1" s="64">
      <c r="A234" s="23" t="n"/>
      <c r="B234" s="25">
        <f t="array" ref="B234">IF(A234="","",IFERROR(IF(INDEX(Clientes!$D$5:$D$549,MATCH(A234,Clientes!$C$5:$C$549,0))&lt;&gt;"",INDEX(Clientes!$D$5:$D$549,MATCH(A234,Clientes!$C$5:$C$549,0)),TRIM(INDEX(Clientes!$E$5:$E$549,MATCH(A234,Clientes!$C$5:$C$549,0))&amp;" "&amp;INDEX(Clientes!$F$5:$F$549,MATCH(A234,Clientes!$C$5:$C$549,0)))),"NO EXISTE en Clientes"))</f>
        <v/>
      </c>
      <c r="C234" s="17" t="n"/>
      <c r="D234" s="17" t="n"/>
      <c r="E234" s="17" t="n"/>
      <c r="F234" s="23" t="n"/>
      <c r="G234" s="23" t="n"/>
      <c r="H234" s="23" t="n"/>
      <c r="I234" s="17" t="n"/>
      <c r="J234" s="17" t="n"/>
      <c r="K234" s="17" t="n"/>
      <c r="L234" s="17">
        <f>IF(AND(A234="",C234=""),"",IF(A234="","FALTA doc. cliente",IF(B234="NO EXISTE en Clientes","CLIENTE no está en hoja Clientes",IF(C234="","FALTA nombre",IF(AND(K234="SI",COUNTIFS($A$5:$A$499,A234,$K$5:$K$499,"SI")&gt;1),"Más de un contacto principal para este cliente","OK")))))</f>
        <v/>
      </c>
      <c r="M234" s="28">
        <f>IF(L234&lt;&gt;"OK","","INSERT INTO cli_contacto (id_cliente, nombre, apellido_paterno, apellido_materno, telefono1, telefono2, telefono3, email, direccion, es_principal, estado) SELECT "&amp;"(SELECT id FROM cli_clientes WHERE numero_documento = '"&amp;SUBSTITUTE(TRIM(A234),"'","''")&amp;"' AND estado = 1 LIMIT 1)"&amp;", "&amp;IF(TRIM(C234&amp;"")="","NULL","'"&amp;SUBSTITUTE(TRIM(C234),"'","''")&amp;"'")&amp;", "&amp;IF(TRIM(D234&amp;"")="","NULL","'"&amp;SUBSTITUTE(TRIM(D234),"'","''")&amp;"'")&amp;", "&amp;IF(TRIM(E234&amp;"")="","NULL","'"&amp;SUBSTITUTE(TRIM(E234),"'","''")&amp;"'")&amp;", "&amp;IF(TRIM(F234&amp;"")="","NULL","'"&amp;SUBSTITUTE(TRIM(F234),"'","''")&amp;"'")&amp;", "&amp;IF(TRIM(G234&amp;"")="","NULL","'"&amp;SUBSTITUTE(TRIM(G234),"'","''")&amp;"'")&amp;", "&amp;IF(TRIM(H234&amp;"")="","NULL","'"&amp;SUBSTITUTE(TRIM(H234),"'","''")&amp;"'")&amp;", "&amp;IF(TRIM(I234&amp;"")="","NULL","'"&amp;SUBSTITUTE(TRIM(I234),"'","''")&amp;"'")&amp;", "&amp;IF(TRIM(J234&amp;"")="","NULL","'"&amp;SUBSTITUTE(TRIM(J234),"'","''")&amp;"'")&amp;", "&amp;IF(UPPER(TRIM(K234&amp;""))="SI","TRUE","FALSE")&amp;", 1"&amp;" WHERE NOT EXISTS (SELECT 1 FROM cli_contacto c WHERE c.id_cliente = "&amp;"(SELECT id FROM cli_clientes WHERE numero_documento = '"&amp;SUBSTITUTE(TRIM(A234),"'","''")&amp;"' AND estado = 1 LIMIT 1)"&amp;" AND upper(c.nombre) = upper("&amp;IF(TRIM(C234&amp;"")="","NULL","'"&amp;SUBSTITUTE(TRIM(C234),"'","''")&amp;"'")&amp;") AND coalesce(c.telefono1,'') = coalesce("&amp;IF(TRIM(F234&amp;"")="","NULL","'"&amp;SUBSTITUTE(TRIM(F234),"'","''")&amp;"'")&amp;",''));")</f>
        <v/>
      </c>
    </row>
    <row r="235" ht="15.75" customHeight="1" s="64">
      <c r="A235" s="23" t="n"/>
      <c r="B235" s="25">
        <f t="array" ref="B235">IF(A235="","",IFERROR(IF(INDEX(Clientes!$D$5:$D$549,MATCH(A235,Clientes!$C$5:$C$549,0))&lt;&gt;"",INDEX(Clientes!$D$5:$D$549,MATCH(A235,Clientes!$C$5:$C$549,0)),TRIM(INDEX(Clientes!$E$5:$E$549,MATCH(A235,Clientes!$C$5:$C$549,0))&amp;" "&amp;INDEX(Clientes!$F$5:$F$549,MATCH(A235,Clientes!$C$5:$C$549,0)))),"NO EXISTE en Clientes"))</f>
        <v/>
      </c>
      <c r="C235" s="17" t="n"/>
      <c r="D235" s="17" t="n"/>
      <c r="E235" s="17" t="n"/>
      <c r="F235" s="23" t="n"/>
      <c r="G235" s="23" t="n"/>
      <c r="H235" s="23" t="n"/>
      <c r="I235" s="17" t="n"/>
      <c r="J235" s="17" t="n"/>
      <c r="K235" s="17" t="n"/>
      <c r="L235" s="17">
        <f>IF(AND(A235="",C235=""),"",IF(A235="","FALTA doc. cliente",IF(B235="NO EXISTE en Clientes","CLIENTE no está en hoja Clientes",IF(C235="","FALTA nombre",IF(AND(K235="SI",COUNTIFS($A$5:$A$499,A235,$K$5:$K$499,"SI")&gt;1),"Más de un contacto principal para este cliente","OK")))))</f>
        <v/>
      </c>
      <c r="M235" s="28">
        <f>IF(L235&lt;&gt;"OK","","INSERT INTO cli_contacto (id_cliente, nombre, apellido_paterno, apellido_materno, telefono1, telefono2, telefono3, email, direccion, es_principal, estado) SELECT "&amp;"(SELECT id FROM cli_clientes WHERE numero_documento = '"&amp;SUBSTITUTE(TRIM(A235),"'","''")&amp;"' AND estado = 1 LIMIT 1)"&amp;", "&amp;IF(TRIM(C235&amp;"")="","NULL","'"&amp;SUBSTITUTE(TRIM(C235),"'","''")&amp;"'")&amp;", "&amp;IF(TRIM(D235&amp;"")="","NULL","'"&amp;SUBSTITUTE(TRIM(D235),"'","''")&amp;"'")&amp;", "&amp;IF(TRIM(E235&amp;"")="","NULL","'"&amp;SUBSTITUTE(TRIM(E235),"'","''")&amp;"'")&amp;", "&amp;IF(TRIM(F235&amp;"")="","NULL","'"&amp;SUBSTITUTE(TRIM(F235),"'","''")&amp;"'")&amp;", "&amp;IF(TRIM(G235&amp;"")="","NULL","'"&amp;SUBSTITUTE(TRIM(G235),"'","''")&amp;"'")&amp;", "&amp;IF(TRIM(H235&amp;"")="","NULL","'"&amp;SUBSTITUTE(TRIM(H235),"'","''")&amp;"'")&amp;", "&amp;IF(TRIM(I235&amp;"")="","NULL","'"&amp;SUBSTITUTE(TRIM(I235),"'","''")&amp;"'")&amp;", "&amp;IF(TRIM(J235&amp;"")="","NULL","'"&amp;SUBSTITUTE(TRIM(J235),"'","''")&amp;"'")&amp;", "&amp;IF(UPPER(TRIM(K235&amp;""))="SI","TRUE","FALSE")&amp;", 1"&amp;" WHERE NOT EXISTS (SELECT 1 FROM cli_contacto c WHERE c.id_cliente = "&amp;"(SELECT id FROM cli_clientes WHERE numero_documento = '"&amp;SUBSTITUTE(TRIM(A235),"'","''")&amp;"' AND estado = 1 LIMIT 1)"&amp;" AND upper(c.nombre) = upper("&amp;IF(TRIM(C235&amp;"")="","NULL","'"&amp;SUBSTITUTE(TRIM(C235),"'","''")&amp;"'")&amp;") AND coalesce(c.telefono1,'') = coalesce("&amp;IF(TRIM(F235&amp;"")="","NULL","'"&amp;SUBSTITUTE(TRIM(F235),"'","''")&amp;"'")&amp;",''));")</f>
        <v/>
      </c>
    </row>
    <row r="236" ht="15.75" customHeight="1" s="64">
      <c r="A236" s="23" t="n"/>
      <c r="B236" s="25">
        <f t="array" ref="B236">IF(A236="","",IFERROR(IF(INDEX(Clientes!$D$5:$D$549,MATCH(A236,Clientes!$C$5:$C$549,0))&lt;&gt;"",INDEX(Clientes!$D$5:$D$549,MATCH(A236,Clientes!$C$5:$C$549,0)),TRIM(INDEX(Clientes!$E$5:$E$549,MATCH(A236,Clientes!$C$5:$C$549,0))&amp;" "&amp;INDEX(Clientes!$F$5:$F$549,MATCH(A236,Clientes!$C$5:$C$549,0)))),"NO EXISTE en Clientes"))</f>
        <v/>
      </c>
      <c r="C236" s="17" t="n"/>
      <c r="D236" s="17" t="n"/>
      <c r="E236" s="17" t="n"/>
      <c r="F236" s="23" t="n"/>
      <c r="G236" s="23" t="n"/>
      <c r="H236" s="23" t="n"/>
      <c r="I236" s="17" t="n"/>
      <c r="J236" s="17" t="n"/>
      <c r="K236" s="17" t="n"/>
      <c r="L236" s="17">
        <f>IF(AND(A236="",C236=""),"",IF(A236="","FALTA doc. cliente",IF(B236="NO EXISTE en Clientes","CLIENTE no está en hoja Clientes",IF(C236="","FALTA nombre",IF(AND(K236="SI",COUNTIFS($A$5:$A$499,A236,$K$5:$K$499,"SI")&gt;1),"Más de un contacto principal para este cliente","OK")))))</f>
        <v/>
      </c>
      <c r="M236" s="28">
        <f>IF(L236&lt;&gt;"OK","","INSERT INTO cli_contacto (id_cliente, nombre, apellido_paterno, apellido_materno, telefono1, telefono2, telefono3, email, direccion, es_principal, estado) SELECT "&amp;"(SELECT id FROM cli_clientes WHERE numero_documento = '"&amp;SUBSTITUTE(TRIM(A236),"'","''")&amp;"' AND estado = 1 LIMIT 1)"&amp;", "&amp;IF(TRIM(C236&amp;"")="","NULL","'"&amp;SUBSTITUTE(TRIM(C236),"'","''")&amp;"'")&amp;", "&amp;IF(TRIM(D236&amp;"")="","NULL","'"&amp;SUBSTITUTE(TRIM(D236),"'","''")&amp;"'")&amp;", "&amp;IF(TRIM(E236&amp;"")="","NULL","'"&amp;SUBSTITUTE(TRIM(E236),"'","''")&amp;"'")&amp;", "&amp;IF(TRIM(F236&amp;"")="","NULL","'"&amp;SUBSTITUTE(TRIM(F236),"'","''")&amp;"'")&amp;", "&amp;IF(TRIM(G236&amp;"")="","NULL","'"&amp;SUBSTITUTE(TRIM(G236),"'","''")&amp;"'")&amp;", "&amp;IF(TRIM(H236&amp;"")="","NULL","'"&amp;SUBSTITUTE(TRIM(H236),"'","''")&amp;"'")&amp;", "&amp;IF(TRIM(I236&amp;"")="","NULL","'"&amp;SUBSTITUTE(TRIM(I236),"'","''")&amp;"'")&amp;", "&amp;IF(TRIM(J236&amp;"")="","NULL","'"&amp;SUBSTITUTE(TRIM(J236),"'","''")&amp;"'")&amp;", "&amp;IF(UPPER(TRIM(K236&amp;""))="SI","TRUE","FALSE")&amp;", 1"&amp;" WHERE NOT EXISTS (SELECT 1 FROM cli_contacto c WHERE c.id_cliente = "&amp;"(SELECT id FROM cli_clientes WHERE numero_documento = '"&amp;SUBSTITUTE(TRIM(A236),"'","''")&amp;"' AND estado = 1 LIMIT 1)"&amp;" AND upper(c.nombre) = upper("&amp;IF(TRIM(C236&amp;"")="","NULL","'"&amp;SUBSTITUTE(TRIM(C236),"'","''")&amp;"'")&amp;") AND coalesce(c.telefono1,'') = coalesce("&amp;IF(TRIM(F236&amp;"")="","NULL","'"&amp;SUBSTITUTE(TRIM(F236),"'","''")&amp;"'")&amp;",''));")</f>
        <v/>
      </c>
    </row>
    <row r="237" ht="15.75" customHeight="1" s="64">
      <c r="A237" s="23" t="n"/>
      <c r="B237" s="25">
        <f t="array" ref="B237">IF(A237="","",IFERROR(IF(INDEX(Clientes!$D$5:$D$549,MATCH(A237,Clientes!$C$5:$C$549,0))&lt;&gt;"",INDEX(Clientes!$D$5:$D$549,MATCH(A237,Clientes!$C$5:$C$549,0)),TRIM(INDEX(Clientes!$E$5:$E$549,MATCH(A237,Clientes!$C$5:$C$549,0))&amp;" "&amp;INDEX(Clientes!$F$5:$F$549,MATCH(A237,Clientes!$C$5:$C$549,0)))),"NO EXISTE en Clientes"))</f>
        <v/>
      </c>
      <c r="C237" s="17" t="n"/>
      <c r="D237" s="17" t="n"/>
      <c r="E237" s="17" t="n"/>
      <c r="F237" s="23" t="n"/>
      <c r="G237" s="23" t="n"/>
      <c r="H237" s="23" t="n"/>
      <c r="I237" s="17" t="n"/>
      <c r="J237" s="17" t="n"/>
      <c r="K237" s="17" t="n"/>
      <c r="L237" s="17">
        <f>IF(AND(A237="",C237=""),"",IF(A237="","FALTA doc. cliente",IF(B237="NO EXISTE en Clientes","CLIENTE no está en hoja Clientes",IF(C237="","FALTA nombre",IF(AND(K237="SI",COUNTIFS($A$5:$A$499,A237,$K$5:$K$499,"SI")&gt;1),"Más de un contacto principal para este cliente","OK")))))</f>
        <v/>
      </c>
      <c r="M237" s="28">
        <f>IF(L237&lt;&gt;"OK","","INSERT INTO cli_contacto (id_cliente, nombre, apellido_paterno, apellido_materno, telefono1, telefono2, telefono3, email, direccion, es_principal, estado) SELECT "&amp;"(SELECT id FROM cli_clientes WHERE numero_documento = '"&amp;SUBSTITUTE(TRIM(A237),"'","''")&amp;"' AND estado = 1 LIMIT 1)"&amp;", "&amp;IF(TRIM(C237&amp;"")="","NULL","'"&amp;SUBSTITUTE(TRIM(C237),"'","''")&amp;"'")&amp;", "&amp;IF(TRIM(D237&amp;"")="","NULL","'"&amp;SUBSTITUTE(TRIM(D237),"'","''")&amp;"'")&amp;", "&amp;IF(TRIM(E237&amp;"")="","NULL","'"&amp;SUBSTITUTE(TRIM(E237),"'","''")&amp;"'")&amp;", "&amp;IF(TRIM(F237&amp;"")="","NULL","'"&amp;SUBSTITUTE(TRIM(F237),"'","''")&amp;"'")&amp;", "&amp;IF(TRIM(G237&amp;"")="","NULL","'"&amp;SUBSTITUTE(TRIM(G237),"'","''")&amp;"'")&amp;", "&amp;IF(TRIM(H237&amp;"")="","NULL","'"&amp;SUBSTITUTE(TRIM(H237),"'","''")&amp;"'")&amp;", "&amp;IF(TRIM(I237&amp;"")="","NULL","'"&amp;SUBSTITUTE(TRIM(I237),"'","''")&amp;"'")&amp;", "&amp;IF(TRIM(J237&amp;"")="","NULL","'"&amp;SUBSTITUTE(TRIM(J237),"'","''")&amp;"'")&amp;", "&amp;IF(UPPER(TRIM(K237&amp;""))="SI","TRUE","FALSE")&amp;", 1"&amp;" WHERE NOT EXISTS (SELECT 1 FROM cli_contacto c WHERE c.id_cliente = "&amp;"(SELECT id FROM cli_clientes WHERE numero_documento = '"&amp;SUBSTITUTE(TRIM(A237),"'","''")&amp;"' AND estado = 1 LIMIT 1)"&amp;" AND upper(c.nombre) = upper("&amp;IF(TRIM(C237&amp;"")="","NULL","'"&amp;SUBSTITUTE(TRIM(C237),"'","''")&amp;"'")&amp;") AND coalesce(c.telefono1,'') = coalesce("&amp;IF(TRIM(F237&amp;"")="","NULL","'"&amp;SUBSTITUTE(TRIM(F237),"'","''")&amp;"'")&amp;",''));")</f>
        <v/>
      </c>
    </row>
    <row r="238" ht="15.75" customHeight="1" s="64">
      <c r="A238" s="23" t="n"/>
      <c r="B238" s="25">
        <f t="array" ref="B238">IF(A238="","",IFERROR(IF(INDEX(Clientes!$D$5:$D$549,MATCH(A238,Clientes!$C$5:$C$549,0))&lt;&gt;"",INDEX(Clientes!$D$5:$D$549,MATCH(A238,Clientes!$C$5:$C$549,0)),TRIM(INDEX(Clientes!$E$5:$E$549,MATCH(A238,Clientes!$C$5:$C$549,0))&amp;" "&amp;INDEX(Clientes!$F$5:$F$549,MATCH(A238,Clientes!$C$5:$C$549,0)))),"NO EXISTE en Clientes"))</f>
        <v/>
      </c>
      <c r="C238" s="17" t="n"/>
      <c r="D238" s="17" t="n"/>
      <c r="E238" s="17" t="n"/>
      <c r="F238" s="23" t="n"/>
      <c r="G238" s="23" t="n"/>
      <c r="H238" s="23" t="n"/>
      <c r="I238" s="17" t="n"/>
      <c r="J238" s="17" t="n"/>
      <c r="K238" s="17" t="n"/>
      <c r="L238" s="17">
        <f>IF(AND(A238="",C238=""),"",IF(A238="","FALTA doc. cliente",IF(B238="NO EXISTE en Clientes","CLIENTE no está en hoja Clientes",IF(C238="","FALTA nombre",IF(AND(K238="SI",COUNTIFS($A$5:$A$499,A238,$K$5:$K$499,"SI")&gt;1),"Más de un contacto principal para este cliente","OK")))))</f>
        <v/>
      </c>
      <c r="M238" s="28">
        <f>IF(L238&lt;&gt;"OK","","INSERT INTO cli_contacto (id_cliente, nombre, apellido_paterno, apellido_materno, telefono1, telefono2, telefono3, email, direccion, es_principal, estado) SELECT "&amp;"(SELECT id FROM cli_clientes WHERE numero_documento = '"&amp;SUBSTITUTE(TRIM(A238),"'","''")&amp;"' AND estado = 1 LIMIT 1)"&amp;", "&amp;IF(TRIM(C238&amp;"")="","NULL","'"&amp;SUBSTITUTE(TRIM(C238),"'","''")&amp;"'")&amp;", "&amp;IF(TRIM(D238&amp;"")="","NULL","'"&amp;SUBSTITUTE(TRIM(D238),"'","''")&amp;"'")&amp;", "&amp;IF(TRIM(E238&amp;"")="","NULL","'"&amp;SUBSTITUTE(TRIM(E238),"'","''")&amp;"'")&amp;", "&amp;IF(TRIM(F238&amp;"")="","NULL","'"&amp;SUBSTITUTE(TRIM(F238),"'","''")&amp;"'")&amp;", "&amp;IF(TRIM(G238&amp;"")="","NULL","'"&amp;SUBSTITUTE(TRIM(G238),"'","''")&amp;"'")&amp;", "&amp;IF(TRIM(H238&amp;"")="","NULL","'"&amp;SUBSTITUTE(TRIM(H238),"'","''")&amp;"'")&amp;", "&amp;IF(TRIM(I238&amp;"")="","NULL","'"&amp;SUBSTITUTE(TRIM(I238),"'","''")&amp;"'")&amp;", "&amp;IF(TRIM(J238&amp;"")="","NULL","'"&amp;SUBSTITUTE(TRIM(J238),"'","''")&amp;"'")&amp;", "&amp;IF(UPPER(TRIM(K238&amp;""))="SI","TRUE","FALSE")&amp;", 1"&amp;" WHERE NOT EXISTS (SELECT 1 FROM cli_contacto c WHERE c.id_cliente = "&amp;"(SELECT id FROM cli_clientes WHERE numero_documento = '"&amp;SUBSTITUTE(TRIM(A238),"'","''")&amp;"' AND estado = 1 LIMIT 1)"&amp;" AND upper(c.nombre) = upper("&amp;IF(TRIM(C238&amp;"")="","NULL","'"&amp;SUBSTITUTE(TRIM(C238),"'","''")&amp;"'")&amp;") AND coalesce(c.telefono1,'') = coalesce("&amp;IF(TRIM(F238&amp;"")="","NULL","'"&amp;SUBSTITUTE(TRIM(F238),"'","''")&amp;"'")&amp;",''));")</f>
        <v/>
      </c>
    </row>
    <row r="239" ht="15.75" customHeight="1" s="64">
      <c r="A239" s="23" t="n"/>
      <c r="B239" s="25">
        <f t="array" ref="B239">IF(A239="","",IFERROR(IF(INDEX(Clientes!$D$5:$D$549,MATCH(A239,Clientes!$C$5:$C$549,0))&lt;&gt;"",INDEX(Clientes!$D$5:$D$549,MATCH(A239,Clientes!$C$5:$C$549,0)),TRIM(INDEX(Clientes!$E$5:$E$549,MATCH(A239,Clientes!$C$5:$C$549,0))&amp;" "&amp;INDEX(Clientes!$F$5:$F$549,MATCH(A239,Clientes!$C$5:$C$549,0)))),"NO EXISTE en Clientes"))</f>
        <v/>
      </c>
      <c r="C239" s="17" t="n"/>
      <c r="D239" s="17" t="n"/>
      <c r="E239" s="17" t="n"/>
      <c r="F239" s="23" t="n"/>
      <c r="G239" s="23" t="n"/>
      <c r="H239" s="23" t="n"/>
      <c r="I239" s="17" t="n"/>
      <c r="J239" s="17" t="n"/>
      <c r="K239" s="17" t="n"/>
      <c r="L239" s="17">
        <f>IF(AND(A239="",C239=""),"",IF(A239="","FALTA doc. cliente",IF(B239="NO EXISTE en Clientes","CLIENTE no está en hoja Clientes",IF(C239="","FALTA nombre",IF(AND(K239="SI",COUNTIFS($A$5:$A$499,A239,$K$5:$K$499,"SI")&gt;1),"Más de un contacto principal para este cliente","OK")))))</f>
        <v/>
      </c>
      <c r="M239" s="28">
        <f>IF(L239&lt;&gt;"OK","","INSERT INTO cli_contacto (id_cliente, nombre, apellido_paterno, apellido_materno, telefono1, telefono2, telefono3, email, direccion, es_principal, estado) SELECT "&amp;"(SELECT id FROM cli_clientes WHERE numero_documento = '"&amp;SUBSTITUTE(TRIM(A239),"'","''")&amp;"' AND estado = 1 LIMIT 1)"&amp;", "&amp;IF(TRIM(C239&amp;"")="","NULL","'"&amp;SUBSTITUTE(TRIM(C239),"'","''")&amp;"'")&amp;", "&amp;IF(TRIM(D239&amp;"")="","NULL","'"&amp;SUBSTITUTE(TRIM(D239),"'","''")&amp;"'")&amp;", "&amp;IF(TRIM(E239&amp;"")="","NULL","'"&amp;SUBSTITUTE(TRIM(E239),"'","''")&amp;"'")&amp;", "&amp;IF(TRIM(F239&amp;"")="","NULL","'"&amp;SUBSTITUTE(TRIM(F239),"'","''")&amp;"'")&amp;", "&amp;IF(TRIM(G239&amp;"")="","NULL","'"&amp;SUBSTITUTE(TRIM(G239),"'","''")&amp;"'")&amp;", "&amp;IF(TRIM(H239&amp;"")="","NULL","'"&amp;SUBSTITUTE(TRIM(H239),"'","''")&amp;"'")&amp;", "&amp;IF(TRIM(I239&amp;"")="","NULL","'"&amp;SUBSTITUTE(TRIM(I239),"'","''")&amp;"'")&amp;", "&amp;IF(TRIM(J239&amp;"")="","NULL","'"&amp;SUBSTITUTE(TRIM(J239),"'","''")&amp;"'")&amp;", "&amp;IF(UPPER(TRIM(K239&amp;""))="SI","TRUE","FALSE")&amp;", 1"&amp;" WHERE NOT EXISTS (SELECT 1 FROM cli_contacto c WHERE c.id_cliente = "&amp;"(SELECT id FROM cli_clientes WHERE numero_documento = '"&amp;SUBSTITUTE(TRIM(A239),"'","''")&amp;"' AND estado = 1 LIMIT 1)"&amp;" AND upper(c.nombre) = upper("&amp;IF(TRIM(C239&amp;"")="","NULL","'"&amp;SUBSTITUTE(TRIM(C239),"'","''")&amp;"'")&amp;") AND coalesce(c.telefono1,'') = coalesce("&amp;IF(TRIM(F239&amp;"")="","NULL","'"&amp;SUBSTITUTE(TRIM(F239),"'","''")&amp;"'")&amp;",''));")</f>
        <v/>
      </c>
    </row>
    <row r="240" ht="15.75" customHeight="1" s="64">
      <c r="A240" s="23" t="n"/>
      <c r="B240" s="25">
        <f t="array" ref="B240">IF(A240="","",IFERROR(IF(INDEX(Clientes!$D$5:$D$549,MATCH(A240,Clientes!$C$5:$C$549,0))&lt;&gt;"",INDEX(Clientes!$D$5:$D$549,MATCH(A240,Clientes!$C$5:$C$549,0)),TRIM(INDEX(Clientes!$E$5:$E$549,MATCH(A240,Clientes!$C$5:$C$549,0))&amp;" "&amp;INDEX(Clientes!$F$5:$F$549,MATCH(A240,Clientes!$C$5:$C$549,0)))),"NO EXISTE en Clientes"))</f>
        <v/>
      </c>
      <c r="C240" s="17" t="n"/>
      <c r="D240" s="17" t="n"/>
      <c r="E240" s="17" t="n"/>
      <c r="F240" s="23" t="n"/>
      <c r="G240" s="23" t="n"/>
      <c r="H240" s="23" t="n"/>
      <c r="I240" s="17" t="n"/>
      <c r="J240" s="17" t="n"/>
      <c r="K240" s="17" t="n"/>
      <c r="L240" s="17">
        <f>IF(AND(A240="",C240=""),"",IF(A240="","FALTA doc. cliente",IF(B240="NO EXISTE en Clientes","CLIENTE no está en hoja Clientes",IF(C240="","FALTA nombre",IF(AND(K240="SI",COUNTIFS($A$5:$A$499,A240,$K$5:$K$499,"SI")&gt;1),"Más de un contacto principal para este cliente","OK")))))</f>
        <v/>
      </c>
      <c r="M240" s="28">
        <f>IF(L240&lt;&gt;"OK","","INSERT INTO cli_contacto (id_cliente, nombre, apellido_paterno, apellido_materno, telefono1, telefono2, telefono3, email, direccion, es_principal, estado) SELECT "&amp;"(SELECT id FROM cli_clientes WHERE numero_documento = '"&amp;SUBSTITUTE(TRIM(A240),"'","''")&amp;"' AND estado = 1 LIMIT 1)"&amp;", "&amp;IF(TRIM(C240&amp;"")="","NULL","'"&amp;SUBSTITUTE(TRIM(C240),"'","''")&amp;"'")&amp;", "&amp;IF(TRIM(D240&amp;"")="","NULL","'"&amp;SUBSTITUTE(TRIM(D240),"'","''")&amp;"'")&amp;", "&amp;IF(TRIM(E240&amp;"")="","NULL","'"&amp;SUBSTITUTE(TRIM(E240),"'","''")&amp;"'")&amp;", "&amp;IF(TRIM(F240&amp;"")="","NULL","'"&amp;SUBSTITUTE(TRIM(F240),"'","''")&amp;"'")&amp;", "&amp;IF(TRIM(G240&amp;"")="","NULL","'"&amp;SUBSTITUTE(TRIM(G240),"'","''")&amp;"'")&amp;", "&amp;IF(TRIM(H240&amp;"")="","NULL","'"&amp;SUBSTITUTE(TRIM(H240),"'","''")&amp;"'")&amp;", "&amp;IF(TRIM(I240&amp;"")="","NULL","'"&amp;SUBSTITUTE(TRIM(I240),"'","''")&amp;"'")&amp;", "&amp;IF(TRIM(J240&amp;"")="","NULL","'"&amp;SUBSTITUTE(TRIM(J240),"'","''")&amp;"'")&amp;", "&amp;IF(UPPER(TRIM(K240&amp;""))="SI","TRUE","FALSE")&amp;", 1"&amp;" WHERE NOT EXISTS (SELECT 1 FROM cli_contacto c WHERE c.id_cliente = "&amp;"(SELECT id FROM cli_clientes WHERE numero_documento = '"&amp;SUBSTITUTE(TRIM(A240),"'","''")&amp;"' AND estado = 1 LIMIT 1)"&amp;" AND upper(c.nombre) = upper("&amp;IF(TRIM(C240&amp;"")="","NULL","'"&amp;SUBSTITUTE(TRIM(C240),"'","''")&amp;"'")&amp;") AND coalesce(c.telefono1,'') = coalesce("&amp;IF(TRIM(F240&amp;"")="","NULL","'"&amp;SUBSTITUTE(TRIM(F240),"'","''")&amp;"'")&amp;",''));")</f>
        <v/>
      </c>
    </row>
    <row r="241" ht="15.75" customHeight="1" s="64">
      <c r="A241" s="23" t="n"/>
      <c r="B241" s="25">
        <f t="array" ref="B241">IF(A241="","",IFERROR(IF(INDEX(Clientes!$D$5:$D$549,MATCH(A241,Clientes!$C$5:$C$549,0))&lt;&gt;"",INDEX(Clientes!$D$5:$D$549,MATCH(A241,Clientes!$C$5:$C$549,0)),TRIM(INDEX(Clientes!$E$5:$E$549,MATCH(A241,Clientes!$C$5:$C$549,0))&amp;" "&amp;INDEX(Clientes!$F$5:$F$549,MATCH(A241,Clientes!$C$5:$C$549,0)))),"NO EXISTE en Clientes"))</f>
        <v/>
      </c>
      <c r="C241" s="17" t="n"/>
      <c r="D241" s="17" t="n"/>
      <c r="E241" s="17" t="n"/>
      <c r="F241" s="23" t="n"/>
      <c r="G241" s="23" t="n"/>
      <c r="H241" s="23" t="n"/>
      <c r="I241" s="17" t="n"/>
      <c r="J241" s="17" t="n"/>
      <c r="K241" s="17" t="n"/>
      <c r="L241" s="17">
        <f>IF(AND(A241="",C241=""),"",IF(A241="","FALTA doc. cliente",IF(B241="NO EXISTE en Clientes","CLIENTE no está en hoja Clientes",IF(C241="","FALTA nombre",IF(AND(K241="SI",COUNTIFS($A$5:$A$499,A241,$K$5:$K$499,"SI")&gt;1),"Más de un contacto principal para este cliente","OK")))))</f>
        <v/>
      </c>
      <c r="M241" s="28">
        <f>IF(L241&lt;&gt;"OK","","INSERT INTO cli_contacto (id_cliente, nombre, apellido_paterno, apellido_materno, telefono1, telefono2, telefono3, email, direccion, es_principal, estado) SELECT "&amp;"(SELECT id FROM cli_clientes WHERE numero_documento = '"&amp;SUBSTITUTE(TRIM(A241),"'","''")&amp;"' AND estado = 1 LIMIT 1)"&amp;", "&amp;IF(TRIM(C241&amp;"")="","NULL","'"&amp;SUBSTITUTE(TRIM(C241),"'","''")&amp;"'")&amp;", "&amp;IF(TRIM(D241&amp;"")="","NULL","'"&amp;SUBSTITUTE(TRIM(D241),"'","''")&amp;"'")&amp;", "&amp;IF(TRIM(E241&amp;"")="","NULL","'"&amp;SUBSTITUTE(TRIM(E241),"'","''")&amp;"'")&amp;", "&amp;IF(TRIM(F241&amp;"")="","NULL","'"&amp;SUBSTITUTE(TRIM(F241),"'","''")&amp;"'")&amp;", "&amp;IF(TRIM(G241&amp;"")="","NULL","'"&amp;SUBSTITUTE(TRIM(G241),"'","''")&amp;"'")&amp;", "&amp;IF(TRIM(H241&amp;"")="","NULL","'"&amp;SUBSTITUTE(TRIM(H241),"'","''")&amp;"'")&amp;", "&amp;IF(TRIM(I241&amp;"")="","NULL","'"&amp;SUBSTITUTE(TRIM(I241),"'","''")&amp;"'")&amp;", "&amp;IF(TRIM(J241&amp;"")="","NULL","'"&amp;SUBSTITUTE(TRIM(J241),"'","''")&amp;"'")&amp;", "&amp;IF(UPPER(TRIM(K241&amp;""))="SI","TRUE","FALSE")&amp;", 1"&amp;" WHERE NOT EXISTS (SELECT 1 FROM cli_contacto c WHERE c.id_cliente = "&amp;"(SELECT id FROM cli_clientes WHERE numero_documento = '"&amp;SUBSTITUTE(TRIM(A241),"'","''")&amp;"' AND estado = 1 LIMIT 1)"&amp;" AND upper(c.nombre) = upper("&amp;IF(TRIM(C241&amp;"")="","NULL","'"&amp;SUBSTITUTE(TRIM(C241),"'","''")&amp;"'")&amp;") AND coalesce(c.telefono1,'') = coalesce("&amp;IF(TRIM(F241&amp;"")="","NULL","'"&amp;SUBSTITUTE(TRIM(F241),"'","''")&amp;"'")&amp;",''));")</f>
        <v/>
      </c>
    </row>
    <row r="242" ht="15.75" customHeight="1" s="64">
      <c r="A242" s="23" t="n"/>
      <c r="B242" s="25">
        <f t="array" ref="B242">IF(A242="","",IFERROR(IF(INDEX(Clientes!$D$5:$D$549,MATCH(A242,Clientes!$C$5:$C$549,0))&lt;&gt;"",INDEX(Clientes!$D$5:$D$549,MATCH(A242,Clientes!$C$5:$C$549,0)),TRIM(INDEX(Clientes!$E$5:$E$549,MATCH(A242,Clientes!$C$5:$C$549,0))&amp;" "&amp;INDEX(Clientes!$F$5:$F$549,MATCH(A242,Clientes!$C$5:$C$549,0)))),"NO EXISTE en Clientes"))</f>
        <v/>
      </c>
      <c r="C242" s="17" t="n"/>
      <c r="D242" s="17" t="n"/>
      <c r="E242" s="17" t="n"/>
      <c r="F242" s="23" t="n"/>
      <c r="G242" s="23" t="n"/>
      <c r="H242" s="23" t="n"/>
      <c r="I242" s="17" t="n"/>
      <c r="J242" s="17" t="n"/>
      <c r="K242" s="17" t="n"/>
      <c r="L242" s="17">
        <f>IF(AND(A242="",C242=""),"",IF(A242="","FALTA doc. cliente",IF(B242="NO EXISTE en Clientes","CLIENTE no está en hoja Clientes",IF(C242="","FALTA nombre",IF(AND(K242="SI",COUNTIFS($A$5:$A$499,A242,$K$5:$K$499,"SI")&gt;1),"Más de un contacto principal para este cliente","OK")))))</f>
        <v/>
      </c>
      <c r="M242" s="28">
        <f>IF(L242&lt;&gt;"OK","","INSERT INTO cli_contacto (id_cliente, nombre, apellido_paterno, apellido_materno, telefono1, telefono2, telefono3, email, direccion, es_principal, estado) SELECT "&amp;"(SELECT id FROM cli_clientes WHERE numero_documento = '"&amp;SUBSTITUTE(TRIM(A242),"'","''")&amp;"' AND estado = 1 LIMIT 1)"&amp;", "&amp;IF(TRIM(C242&amp;"")="","NULL","'"&amp;SUBSTITUTE(TRIM(C242),"'","''")&amp;"'")&amp;", "&amp;IF(TRIM(D242&amp;"")="","NULL","'"&amp;SUBSTITUTE(TRIM(D242),"'","''")&amp;"'")&amp;", "&amp;IF(TRIM(E242&amp;"")="","NULL","'"&amp;SUBSTITUTE(TRIM(E242),"'","''")&amp;"'")&amp;", "&amp;IF(TRIM(F242&amp;"")="","NULL","'"&amp;SUBSTITUTE(TRIM(F242),"'","''")&amp;"'")&amp;", "&amp;IF(TRIM(G242&amp;"")="","NULL","'"&amp;SUBSTITUTE(TRIM(G242),"'","''")&amp;"'")&amp;", "&amp;IF(TRIM(H242&amp;"")="","NULL","'"&amp;SUBSTITUTE(TRIM(H242),"'","''")&amp;"'")&amp;", "&amp;IF(TRIM(I242&amp;"")="","NULL","'"&amp;SUBSTITUTE(TRIM(I242),"'","''")&amp;"'")&amp;", "&amp;IF(TRIM(J242&amp;"")="","NULL","'"&amp;SUBSTITUTE(TRIM(J242),"'","''")&amp;"'")&amp;", "&amp;IF(UPPER(TRIM(K242&amp;""))="SI","TRUE","FALSE")&amp;", 1"&amp;" WHERE NOT EXISTS (SELECT 1 FROM cli_contacto c WHERE c.id_cliente = "&amp;"(SELECT id FROM cli_clientes WHERE numero_documento = '"&amp;SUBSTITUTE(TRIM(A242),"'","''")&amp;"' AND estado = 1 LIMIT 1)"&amp;" AND upper(c.nombre) = upper("&amp;IF(TRIM(C242&amp;"")="","NULL","'"&amp;SUBSTITUTE(TRIM(C242),"'","''")&amp;"'")&amp;") AND coalesce(c.telefono1,'') = coalesce("&amp;IF(TRIM(F242&amp;"")="","NULL","'"&amp;SUBSTITUTE(TRIM(F242),"'","''")&amp;"'")&amp;",''));")</f>
        <v/>
      </c>
    </row>
    <row r="243" ht="15.75" customHeight="1" s="64">
      <c r="A243" s="23" t="n"/>
      <c r="B243" s="25">
        <f t="array" ref="B243">IF(A243="","",IFERROR(IF(INDEX(Clientes!$D$5:$D$549,MATCH(A243,Clientes!$C$5:$C$549,0))&lt;&gt;"",INDEX(Clientes!$D$5:$D$549,MATCH(A243,Clientes!$C$5:$C$549,0)),TRIM(INDEX(Clientes!$E$5:$E$549,MATCH(A243,Clientes!$C$5:$C$549,0))&amp;" "&amp;INDEX(Clientes!$F$5:$F$549,MATCH(A243,Clientes!$C$5:$C$549,0)))),"NO EXISTE en Clientes"))</f>
        <v/>
      </c>
      <c r="C243" s="17" t="n"/>
      <c r="D243" s="17" t="n"/>
      <c r="E243" s="17" t="n"/>
      <c r="F243" s="23" t="n"/>
      <c r="G243" s="23" t="n"/>
      <c r="H243" s="23" t="n"/>
      <c r="I243" s="17" t="n"/>
      <c r="J243" s="17" t="n"/>
      <c r="K243" s="17" t="n"/>
      <c r="L243" s="17">
        <f>IF(AND(A243="",C243=""),"",IF(A243="","FALTA doc. cliente",IF(B243="NO EXISTE en Clientes","CLIENTE no está en hoja Clientes",IF(C243="","FALTA nombre",IF(AND(K243="SI",COUNTIFS($A$5:$A$499,A243,$K$5:$K$499,"SI")&gt;1),"Más de un contacto principal para este cliente","OK")))))</f>
        <v/>
      </c>
      <c r="M243" s="28">
        <f>IF(L243&lt;&gt;"OK","","INSERT INTO cli_contacto (id_cliente, nombre, apellido_paterno, apellido_materno, telefono1, telefono2, telefono3, email, direccion, es_principal, estado) SELECT "&amp;"(SELECT id FROM cli_clientes WHERE numero_documento = '"&amp;SUBSTITUTE(TRIM(A243),"'","''")&amp;"' AND estado = 1 LIMIT 1)"&amp;", "&amp;IF(TRIM(C243&amp;"")="","NULL","'"&amp;SUBSTITUTE(TRIM(C243),"'","''")&amp;"'")&amp;", "&amp;IF(TRIM(D243&amp;"")="","NULL","'"&amp;SUBSTITUTE(TRIM(D243),"'","''")&amp;"'")&amp;", "&amp;IF(TRIM(E243&amp;"")="","NULL","'"&amp;SUBSTITUTE(TRIM(E243),"'","''")&amp;"'")&amp;", "&amp;IF(TRIM(F243&amp;"")="","NULL","'"&amp;SUBSTITUTE(TRIM(F243),"'","''")&amp;"'")&amp;", "&amp;IF(TRIM(G243&amp;"")="","NULL","'"&amp;SUBSTITUTE(TRIM(G243),"'","''")&amp;"'")&amp;", "&amp;IF(TRIM(H243&amp;"")="","NULL","'"&amp;SUBSTITUTE(TRIM(H243),"'","''")&amp;"'")&amp;", "&amp;IF(TRIM(I243&amp;"")="","NULL","'"&amp;SUBSTITUTE(TRIM(I243),"'","''")&amp;"'")&amp;", "&amp;IF(TRIM(J243&amp;"")="","NULL","'"&amp;SUBSTITUTE(TRIM(J243),"'","''")&amp;"'")&amp;", "&amp;IF(UPPER(TRIM(K243&amp;""))="SI","TRUE","FALSE")&amp;", 1"&amp;" WHERE NOT EXISTS (SELECT 1 FROM cli_contacto c WHERE c.id_cliente = "&amp;"(SELECT id FROM cli_clientes WHERE numero_documento = '"&amp;SUBSTITUTE(TRIM(A243),"'","''")&amp;"' AND estado = 1 LIMIT 1)"&amp;" AND upper(c.nombre) = upper("&amp;IF(TRIM(C243&amp;"")="","NULL","'"&amp;SUBSTITUTE(TRIM(C243),"'","''")&amp;"'")&amp;") AND coalesce(c.telefono1,'') = coalesce("&amp;IF(TRIM(F243&amp;"")="","NULL","'"&amp;SUBSTITUTE(TRIM(F243),"'","''")&amp;"'")&amp;",''));")</f>
        <v/>
      </c>
    </row>
    <row r="244" ht="15.75" customHeight="1" s="64">
      <c r="A244" s="23" t="n"/>
      <c r="B244" s="25">
        <f t="array" ref="B244">IF(A244="","",IFERROR(IF(INDEX(Clientes!$D$5:$D$549,MATCH(A244,Clientes!$C$5:$C$549,0))&lt;&gt;"",INDEX(Clientes!$D$5:$D$549,MATCH(A244,Clientes!$C$5:$C$549,0)),TRIM(INDEX(Clientes!$E$5:$E$549,MATCH(A244,Clientes!$C$5:$C$549,0))&amp;" "&amp;INDEX(Clientes!$F$5:$F$549,MATCH(A244,Clientes!$C$5:$C$549,0)))),"NO EXISTE en Clientes"))</f>
        <v/>
      </c>
      <c r="C244" s="17" t="n"/>
      <c r="D244" s="17" t="n"/>
      <c r="E244" s="17" t="n"/>
      <c r="F244" s="23" t="n"/>
      <c r="G244" s="23" t="n"/>
      <c r="H244" s="23" t="n"/>
      <c r="I244" s="17" t="n"/>
      <c r="J244" s="17" t="n"/>
      <c r="K244" s="17" t="n"/>
      <c r="L244" s="17">
        <f>IF(AND(A244="",C244=""),"",IF(A244="","FALTA doc. cliente",IF(B244="NO EXISTE en Clientes","CLIENTE no está en hoja Clientes",IF(C244="","FALTA nombre",IF(AND(K244="SI",COUNTIFS($A$5:$A$499,A244,$K$5:$K$499,"SI")&gt;1),"Más de un contacto principal para este cliente","OK")))))</f>
        <v/>
      </c>
      <c r="M244" s="28">
        <f>IF(L244&lt;&gt;"OK","","INSERT INTO cli_contacto (id_cliente, nombre, apellido_paterno, apellido_materno, telefono1, telefono2, telefono3, email, direccion, es_principal, estado) SELECT "&amp;"(SELECT id FROM cli_clientes WHERE numero_documento = '"&amp;SUBSTITUTE(TRIM(A244),"'","''")&amp;"' AND estado = 1 LIMIT 1)"&amp;", "&amp;IF(TRIM(C244&amp;"")="","NULL","'"&amp;SUBSTITUTE(TRIM(C244),"'","''")&amp;"'")&amp;", "&amp;IF(TRIM(D244&amp;"")="","NULL","'"&amp;SUBSTITUTE(TRIM(D244),"'","''")&amp;"'")&amp;", "&amp;IF(TRIM(E244&amp;"")="","NULL","'"&amp;SUBSTITUTE(TRIM(E244),"'","''")&amp;"'")&amp;", "&amp;IF(TRIM(F244&amp;"")="","NULL","'"&amp;SUBSTITUTE(TRIM(F244),"'","''")&amp;"'")&amp;", "&amp;IF(TRIM(G244&amp;"")="","NULL","'"&amp;SUBSTITUTE(TRIM(G244),"'","''")&amp;"'")&amp;", "&amp;IF(TRIM(H244&amp;"")="","NULL","'"&amp;SUBSTITUTE(TRIM(H244),"'","''")&amp;"'")&amp;", "&amp;IF(TRIM(I244&amp;"")="","NULL","'"&amp;SUBSTITUTE(TRIM(I244),"'","''")&amp;"'")&amp;", "&amp;IF(TRIM(J244&amp;"")="","NULL","'"&amp;SUBSTITUTE(TRIM(J244),"'","''")&amp;"'")&amp;", "&amp;IF(UPPER(TRIM(K244&amp;""))="SI","TRUE","FALSE")&amp;", 1"&amp;" WHERE NOT EXISTS (SELECT 1 FROM cli_contacto c WHERE c.id_cliente = "&amp;"(SELECT id FROM cli_clientes WHERE numero_documento = '"&amp;SUBSTITUTE(TRIM(A244),"'","''")&amp;"' AND estado = 1 LIMIT 1)"&amp;" AND upper(c.nombre) = upper("&amp;IF(TRIM(C244&amp;"")="","NULL","'"&amp;SUBSTITUTE(TRIM(C244),"'","''")&amp;"'")&amp;") AND coalesce(c.telefono1,'') = coalesce("&amp;IF(TRIM(F244&amp;"")="","NULL","'"&amp;SUBSTITUTE(TRIM(F244),"'","''")&amp;"'")&amp;",''));")</f>
        <v/>
      </c>
    </row>
    <row r="245" ht="15.75" customHeight="1" s="64">
      <c r="A245" s="23" t="n"/>
      <c r="B245" s="25">
        <f t="array" ref="B245">IF(A245="","",IFERROR(IF(INDEX(Clientes!$D$5:$D$549,MATCH(A245,Clientes!$C$5:$C$549,0))&lt;&gt;"",INDEX(Clientes!$D$5:$D$549,MATCH(A245,Clientes!$C$5:$C$549,0)),TRIM(INDEX(Clientes!$E$5:$E$549,MATCH(A245,Clientes!$C$5:$C$549,0))&amp;" "&amp;INDEX(Clientes!$F$5:$F$549,MATCH(A245,Clientes!$C$5:$C$549,0)))),"NO EXISTE en Clientes"))</f>
        <v/>
      </c>
      <c r="C245" s="17" t="n"/>
      <c r="D245" s="17" t="n"/>
      <c r="E245" s="17" t="n"/>
      <c r="F245" s="23" t="n"/>
      <c r="G245" s="23" t="n"/>
      <c r="H245" s="23" t="n"/>
      <c r="I245" s="17" t="n"/>
      <c r="J245" s="17" t="n"/>
      <c r="K245" s="17" t="n"/>
      <c r="L245" s="17">
        <f>IF(AND(A245="",C245=""),"",IF(A245="","FALTA doc. cliente",IF(B245="NO EXISTE en Clientes","CLIENTE no está en hoja Clientes",IF(C245="","FALTA nombre",IF(AND(K245="SI",COUNTIFS($A$5:$A$499,A245,$K$5:$K$499,"SI")&gt;1),"Más de un contacto principal para este cliente","OK")))))</f>
        <v/>
      </c>
      <c r="M245" s="28">
        <f>IF(L245&lt;&gt;"OK","","INSERT INTO cli_contacto (id_cliente, nombre, apellido_paterno, apellido_materno, telefono1, telefono2, telefono3, email, direccion, es_principal, estado) SELECT "&amp;"(SELECT id FROM cli_clientes WHERE numero_documento = '"&amp;SUBSTITUTE(TRIM(A245),"'","''")&amp;"' AND estado = 1 LIMIT 1)"&amp;", "&amp;IF(TRIM(C245&amp;"")="","NULL","'"&amp;SUBSTITUTE(TRIM(C245),"'","''")&amp;"'")&amp;", "&amp;IF(TRIM(D245&amp;"")="","NULL","'"&amp;SUBSTITUTE(TRIM(D245),"'","''")&amp;"'")&amp;", "&amp;IF(TRIM(E245&amp;"")="","NULL","'"&amp;SUBSTITUTE(TRIM(E245),"'","''")&amp;"'")&amp;", "&amp;IF(TRIM(F245&amp;"")="","NULL","'"&amp;SUBSTITUTE(TRIM(F245),"'","''")&amp;"'")&amp;", "&amp;IF(TRIM(G245&amp;"")="","NULL","'"&amp;SUBSTITUTE(TRIM(G245),"'","''")&amp;"'")&amp;", "&amp;IF(TRIM(H245&amp;"")="","NULL","'"&amp;SUBSTITUTE(TRIM(H245),"'","''")&amp;"'")&amp;", "&amp;IF(TRIM(I245&amp;"")="","NULL","'"&amp;SUBSTITUTE(TRIM(I245),"'","''")&amp;"'")&amp;", "&amp;IF(TRIM(J245&amp;"")="","NULL","'"&amp;SUBSTITUTE(TRIM(J245),"'","''")&amp;"'")&amp;", "&amp;IF(UPPER(TRIM(K245&amp;""))="SI","TRUE","FALSE")&amp;", 1"&amp;" WHERE NOT EXISTS (SELECT 1 FROM cli_contacto c WHERE c.id_cliente = "&amp;"(SELECT id FROM cli_clientes WHERE numero_documento = '"&amp;SUBSTITUTE(TRIM(A245),"'","''")&amp;"' AND estado = 1 LIMIT 1)"&amp;" AND upper(c.nombre) = upper("&amp;IF(TRIM(C245&amp;"")="","NULL","'"&amp;SUBSTITUTE(TRIM(C245),"'","''")&amp;"'")&amp;") AND coalesce(c.telefono1,'') = coalesce("&amp;IF(TRIM(F245&amp;"")="","NULL","'"&amp;SUBSTITUTE(TRIM(F245),"'","''")&amp;"'")&amp;",''));")</f>
        <v/>
      </c>
    </row>
    <row r="246" ht="15.75" customHeight="1" s="64">
      <c r="A246" s="23" t="n"/>
      <c r="B246" s="25">
        <f t="array" ref="B246">IF(A246="","",IFERROR(IF(INDEX(Clientes!$D$5:$D$549,MATCH(A246,Clientes!$C$5:$C$549,0))&lt;&gt;"",INDEX(Clientes!$D$5:$D$549,MATCH(A246,Clientes!$C$5:$C$549,0)),TRIM(INDEX(Clientes!$E$5:$E$549,MATCH(A246,Clientes!$C$5:$C$549,0))&amp;" "&amp;INDEX(Clientes!$F$5:$F$549,MATCH(A246,Clientes!$C$5:$C$549,0)))),"NO EXISTE en Clientes"))</f>
        <v/>
      </c>
      <c r="C246" s="17" t="n"/>
      <c r="D246" s="17" t="n"/>
      <c r="E246" s="17" t="n"/>
      <c r="F246" s="23" t="n"/>
      <c r="G246" s="23" t="n"/>
      <c r="H246" s="23" t="n"/>
      <c r="I246" s="17" t="n"/>
      <c r="J246" s="17" t="n"/>
      <c r="K246" s="17" t="n"/>
      <c r="L246" s="17">
        <f>IF(AND(A246="",C246=""),"",IF(A246="","FALTA doc. cliente",IF(B246="NO EXISTE en Clientes","CLIENTE no está en hoja Clientes",IF(C246="","FALTA nombre",IF(AND(K246="SI",COUNTIFS($A$5:$A$499,A246,$K$5:$K$499,"SI")&gt;1),"Más de un contacto principal para este cliente","OK")))))</f>
        <v/>
      </c>
      <c r="M246" s="28">
        <f>IF(L246&lt;&gt;"OK","","INSERT INTO cli_contacto (id_cliente, nombre, apellido_paterno, apellido_materno, telefono1, telefono2, telefono3, email, direccion, es_principal, estado) SELECT "&amp;"(SELECT id FROM cli_clientes WHERE numero_documento = '"&amp;SUBSTITUTE(TRIM(A246),"'","''")&amp;"' AND estado = 1 LIMIT 1)"&amp;", "&amp;IF(TRIM(C246&amp;"")="","NULL","'"&amp;SUBSTITUTE(TRIM(C246),"'","''")&amp;"'")&amp;", "&amp;IF(TRIM(D246&amp;"")="","NULL","'"&amp;SUBSTITUTE(TRIM(D246),"'","''")&amp;"'")&amp;", "&amp;IF(TRIM(E246&amp;"")="","NULL","'"&amp;SUBSTITUTE(TRIM(E246),"'","''")&amp;"'")&amp;", "&amp;IF(TRIM(F246&amp;"")="","NULL","'"&amp;SUBSTITUTE(TRIM(F246),"'","''")&amp;"'")&amp;", "&amp;IF(TRIM(G246&amp;"")="","NULL","'"&amp;SUBSTITUTE(TRIM(G246),"'","''")&amp;"'")&amp;", "&amp;IF(TRIM(H246&amp;"")="","NULL","'"&amp;SUBSTITUTE(TRIM(H246),"'","''")&amp;"'")&amp;", "&amp;IF(TRIM(I246&amp;"")="","NULL","'"&amp;SUBSTITUTE(TRIM(I246),"'","''")&amp;"'")&amp;", "&amp;IF(TRIM(J246&amp;"")="","NULL","'"&amp;SUBSTITUTE(TRIM(J246),"'","''")&amp;"'")&amp;", "&amp;IF(UPPER(TRIM(K246&amp;""))="SI","TRUE","FALSE")&amp;", 1"&amp;" WHERE NOT EXISTS (SELECT 1 FROM cli_contacto c WHERE c.id_cliente = "&amp;"(SELECT id FROM cli_clientes WHERE numero_documento = '"&amp;SUBSTITUTE(TRIM(A246),"'","''")&amp;"' AND estado = 1 LIMIT 1)"&amp;" AND upper(c.nombre) = upper("&amp;IF(TRIM(C246&amp;"")="","NULL","'"&amp;SUBSTITUTE(TRIM(C246),"'","''")&amp;"'")&amp;") AND coalesce(c.telefono1,'') = coalesce("&amp;IF(TRIM(F246&amp;"")="","NULL","'"&amp;SUBSTITUTE(TRIM(F246),"'","''")&amp;"'")&amp;",''));")</f>
        <v/>
      </c>
    </row>
    <row r="247" ht="15.75" customHeight="1" s="64">
      <c r="A247" s="23" t="n"/>
      <c r="B247" s="25">
        <f t="array" ref="B247">IF(A247="","",IFERROR(IF(INDEX(Clientes!$D$5:$D$549,MATCH(A247,Clientes!$C$5:$C$549,0))&lt;&gt;"",INDEX(Clientes!$D$5:$D$549,MATCH(A247,Clientes!$C$5:$C$549,0)),TRIM(INDEX(Clientes!$E$5:$E$549,MATCH(A247,Clientes!$C$5:$C$549,0))&amp;" "&amp;INDEX(Clientes!$F$5:$F$549,MATCH(A247,Clientes!$C$5:$C$549,0)))),"NO EXISTE en Clientes"))</f>
        <v/>
      </c>
      <c r="C247" s="17" t="n"/>
      <c r="D247" s="17" t="n"/>
      <c r="E247" s="17" t="n"/>
      <c r="F247" s="23" t="n"/>
      <c r="G247" s="23" t="n"/>
      <c r="H247" s="23" t="n"/>
      <c r="I247" s="17" t="n"/>
      <c r="J247" s="17" t="n"/>
      <c r="K247" s="17" t="n"/>
      <c r="L247" s="17">
        <f>IF(AND(A247="",C247=""),"",IF(A247="","FALTA doc. cliente",IF(B247="NO EXISTE en Clientes","CLIENTE no está en hoja Clientes",IF(C247="","FALTA nombre",IF(AND(K247="SI",COUNTIFS($A$5:$A$499,A247,$K$5:$K$499,"SI")&gt;1),"Más de un contacto principal para este cliente","OK")))))</f>
        <v/>
      </c>
      <c r="M247" s="28">
        <f>IF(L247&lt;&gt;"OK","","INSERT INTO cli_contacto (id_cliente, nombre, apellido_paterno, apellido_materno, telefono1, telefono2, telefono3, email, direccion, es_principal, estado) SELECT "&amp;"(SELECT id FROM cli_clientes WHERE numero_documento = '"&amp;SUBSTITUTE(TRIM(A247),"'","''")&amp;"' AND estado = 1 LIMIT 1)"&amp;", "&amp;IF(TRIM(C247&amp;"")="","NULL","'"&amp;SUBSTITUTE(TRIM(C247),"'","''")&amp;"'")&amp;", "&amp;IF(TRIM(D247&amp;"")="","NULL","'"&amp;SUBSTITUTE(TRIM(D247),"'","''")&amp;"'")&amp;", "&amp;IF(TRIM(E247&amp;"")="","NULL","'"&amp;SUBSTITUTE(TRIM(E247),"'","''")&amp;"'")&amp;", "&amp;IF(TRIM(F247&amp;"")="","NULL","'"&amp;SUBSTITUTE(TRIM(F247),"'","''")&amp;"'")&amp;", "&amp;IF(TRIM(G247&amp;"")="","NULL","'"&amp;SUBSTITUTE(TRIM(G247),"'","''")&amp;"'")&amp;", "&amp;IF(TRIM(H247&amp;"")="","NULL","'"&amp;SUBSTITUTE(TRIM(H247),"'","''")&amp;"'")&amp;", "&amp;IF(TRIM(I247&amp;"")="","NULL","'"&amp;SUBSTITUTE(TRIM(I247),"'","''")&amp;"'")&amp;", "&amp;IF(TRIM(J247&amp;"")="","NULL","'"&amp;SUBSTITUTE(TRIM(J247),"'","''")&amp;"'")&amp;", "&amp;IF(UPPER(TRIM(K247&amp;""))="SI","TRUE","FALSE")&amp;", 1"&amp;" WHERE NOT EXISTS (SELECT 1 FROM cli_contacto c WHERE c.id_cliente = "&amp;"(SELECT id FROM cli_clientes WHERE numero_documento = '"&amp;SUBSTITUTE(TRIM(A247),"'","''")&amp;"' AND estado = 1 LIMIT 1)"&amp;" AND upper(c.nombre) = upper("&amp;IF(TRIM(C247&amp;"")="","NULL","'"&amp;SUBSTITUTE(TRIM(C247),"'","''")&amp;"'")&amp;") AND coalesce(c.telefono1,'') = coalesce("&amp;IF(TRIM(F247&amp;"")="","NULL","'"&amp;SUBSTITUTE(TRIM(F247),"'","''")&amp;"'")&amp;",''));")</f>
        <v/>
      </c>
    </row>
    <row r="248" ht="15.75" customHeight="1" s="64">
      <c r="A248" s="23" t="n"/>
      <c r="B248" s="25">
        <f t="array" ref="B248">IF(A248="","",IFERROR(IF(INDEX(Clientes!$D$5:$D$549,MATCH(A248,Clientes!$C$5:$C$549,0))&lt;&gt;"",INDEX(Clientes!$D$5:$D$549,MATCH(A248,Clientes!$C$5:$C$549,0)),TRIM(INDEX(Clientes!$E$5:$E$549,MATCH(A248,Clientes!$C$5:$C$549,0))&amp;" "&amp;INDEX(Clientes!$F$5:$F$549,MATCH(A248,Clientes!$C$5:$C$549,0)))),"NO EXISTE en Clientes"))</f>
        <v/>
      </c>
      <c r="C248" s="17" t="n"/>
      <c r="D248" s="17" t="n"/>
      <c r="E248" s="17" t="n"/>
      <c r="F248" s="23" t="n"/>
      <c r="G248" s="23" t="n"/>
      <c r="H248" s="23" t="n"/>
      <c r="I248" s="17" t="n"/>
      <c r="J248" s="17" t="n"/>
      <c r="K248" s="17" t="n"/>
      <c r="L248" s="17">
        <f>IF(AND(A248="",C248=""),"",IF(A248="","FALTA doc. cliente",IF(B248="NO EXISTE en Clientes","CLIENTE no está en hoja Clientes",IF(C248="","FALTA nombre",IF(AND(K248="SI",COUNTIFS($A$5:$A$499,A248,$K$5:$K$499,"SI")&gt;1),"Más de un contacto principal para este cliente","OK")))))</f>
        <v/>
      </c>
      <c r="M248" s="28">
        <f>IF(L248&lt;&gt;"OK","","INSERT INTO cli_contacto (id_cliente, nombre, apellido_paterno, apellido_materno, telefono1, telefono2, telefono3, email, direccion, es_principal, estado) SELECT "&amp;"(SELECT id FROM cli_clientes WHERE numero_documento = '"&amp;SUBSTITUTE(TRIM(A248),"'","''")&amp;"' AND estado = 1 LIMIT 1)"&amp;", "&amp;IF(TRIM(C248&amp;"")="","NULL","'"&amp;SUBSTITUTE(TRIM(C248),"'","''")&amp;"'")&amp;", "&amp;IF(TRIM(D248&amp;"")="","NULL","'"&amp;SUBSTITUTE(TRIM(D248),"'","''")&amp;"'")&amp;", "&amp;IF(TRIM(E248&amp;"")="","NULL","'"&amp;SUBSTITUTE(TRIM(E248),"'","''")&amp;"'")&amp;", "&amp;IF(TRIM(F248&amp;"")="","NULL","'"&amp;SUBSTITUTE(TRIM(F248),"'","''")&amp;"'")&amp;", "&amp;IF(TRIM(G248&amp;"")="","NULL","'"&amp;SUBSTITUTE(TRIM(G248),"'","''")&amp;"'")&amp;", "&amp;IF(TRIM(H248&amp;"")="","NULL","'"&amp;SUBSTITUTE(TRIM(H248),"'","''")&amp;"'")&amp;", "&amp;IF(TRIM(I248&amp;"")="","NULL","'"&amp;SUBSTITUTE(TRIM(I248),"'","''")&amp;"'")&amp;", "&amp;IF(TRIM(J248&amp;"")="","NULL","'"&amp;SUBSTITUTE(TRIM(J248),"'","''")&amp;"'")&amp;", "&amp;IF(UPPER(TRIM(K248&amp;""))="SI","TRUE","FALSE")&amp;", 1"&amp;" WHERE NOT EXISTS (SELECT 1 FROM cli_contacto c WHERE c.id_cliente = "&amp;"(SELECT id FROM cli_clientes WHERE numero_documento = '"&amp;SUBSTITUTE(TRIM(A248),"'","''")&amp;"' AND estado = 1 LIMIT 1)"&amp;" AND upper(c.nombre) = upper("&amp;IF(TRIM(C248&amp;"")="","NULL","'"&amp;SUBSTITUTE(TRIM(C248),"'","''")&amp;"'")&amp;") AND coalesce(c.telefono1,'') = coalesce("&amp;IF(TRIM(F248&amp;"")="","NULL","'"&amp;SUBSTITUTE(TRIM(F248),"'","''")&amp;"'")&amp;",''));")</f>
        <v/>
      </c>
    </row>
    <row r="249" ht="15.75" customHeight="1" s="64">
      <c r="A249" s="23" t="n"/>
      <c r="B249" s="25">
        <f t="array" ref="B249">IF(A249="","",IFERROR(IF(INDEX(Clientes!$D$5:$D$549,MATCH(A249,Clientes!$C$5:$C$549,0))&lt;&gt;"",INDEX(Clientes!$D$5:$D$549,MATCH(A249,Clientes!$C$5:$C$549,0)),TRIM(INDEX(Clientes!$E$5:$E$549,MATCH(A249,Clientes!$C$5:$C$549,0))&amp;" "&amp;INDEX(Clientes!$F$5:$F$549,MATCH(A249,Clientes!$C$5:$C$549,0)))),"NO EXISTE en Clientes"))</f>
        <v/>
      </c>
      <c r="C249" s="17" t="n"/>
      <c r="D249" s="17" t="n"/>
      <c r="E249" s="17" t="n"/>
      <c r="F249" s="23" t="n"/>
      <c r="G249" s="23" t="n"/>
      <c r="H249" s="23" t="n"/>
      <c r="I249" s="17" t="n"/>
      <c r="J249" s="17" t="n"/>
      <c r="K249" s="17" t="n"/>
      <c r="L249" s="17">
        <f>IF(AND(A249="",C249=""),"",IF(A249="","FALTA doc. cliente",IF(B249="NO EXISTE en Clientes","CLIENTE no está en hoja Clientes",IF(C249="","FALTA nombre",IF(AND(K249="SI",COUNTIFS($A$5:$A$499,A249,$K$5:$K$499,"SI")&gt;1),"Más de un contacto principal para este cliente","OK")))))</f>
        <v/>
      </c>
      <c r="M249" s="28">
        <f>IF(L249&lt;&gt;"OK","","INSERT INTO cli_contacto (id_cliente, nombre, apellido_paterno, apellido_materno, telefono1, telefono2, telefono3, email, direccion, es_principal, estado) SELECT "&amp;"(SELECT id FROM cli_clientes WHERE numero_documento = '"&amp;SUBSTITUTE(TRIM(A249),"'","''")&amp;"' AND estado = 1 LIMIT 1)"&amp;", "&amp;IF(TRIM(C249&amp;"")="","NULL","'"&amp;SUBSTITUTE(TRIM(C249),"'","''")&amp;"'")&amp;", "&amp;IF(TRIM(D249&amp;"")="","NULL","'"&amp;SUBSTITUTE(TRIM(D249),"'","''")&amp;"'")&amp;", "&amp;IF(TRIM(E249&amp;"")="","NULL","'"&amp;SUBSTITUTE(TRIM(E249),"'","''")&amp;"'")&amp;", "&amp;IF(TRIM(F249&amp;"")="","NULL","'"&amp;SUBSTITUTE(TRIM(F249),"'","''")&amp;"'")&amp;", "&amp;IF(TRIM(G249&amp;"")="","NULL","'"&amp;SUBSTITUTE(TRIM(G249),"'","''")&amp;"'")&amp;", "&amp;IF(TRIM(H249&amp;"")="","NULL","'"&amp;SUBSTITUTE(TRIM(H249),"'","''")&amp;"'")&amp;", "&amp;IF(TRIM(I249&amp;"")="","NULL","'"&amp;SUBSTITUTE(TRIM(I249),"'","''")&amp;"'")&amp;", "&amp;IF(TRIM(J249&amp;"")="","NULL","'"&amp;SUBSTITUTE(TRIM(J249),"'","''")&amp;"'")&amp;", "&amp;IF(UPPER(TRIM(K249&amp;""))="SI","TRUE","FALSE")&amp;", 1"&amp;" WHERE NOT EXISTS (SELECT 1 FROM cli_contacto c WHERE c.id_cliente = "&amp;"(SELECT id FROM cli_clientes WHERE numero_documento = '"&amp;SUBSTITUTE(TRIM(A249),"'","''")&amp;"' AND estado = 1 LIMIT 1)"&amp;" AND upper(c.nombre) = upper("&amp;IF(TRIM(C249&amp;"")="","NULL","'"&amp;SUBSTITUTE(TRIM(C249),"'","''")&amp;"'")&amp;") AND coalesce(c.telefono1,'') = coalesce("&amp;IF(TRIM(F249&amp;"")="","NULL","'"&amp;SUBSTITUTE(TRIM(F249),"'","''")&amp;"'")&amp;",''));")</f>
        <v/>
      </c>
    </row>
    <row r="250" ht="15.75" customHeight="1" s="64">
      <c r="A250" s="23" t="n"/>
      <c r="B250" s="25">
        <f t="array" ref="B250">IF(A250="","",IFERROR(IF(INDEX(Clientes!$D$5:$D$549,MATCH(A250,Clientes!$C$5:$C$549,0))&lt;&gt;"",INDEX(Clientes!$D$5:$D$549,MATCH(A250,Clientes!$C$5:$C$549,0)),TRIM(INDEX(Clientes!$E$5:$E$549,MATCH(A250,Clientes!$C$5:$C$549,0))&amp;" "&amp;INDEX(Clientes!$F$5:$F$549,MATCH(A250,Clientes!$C$5:$C$549,0)))),"NO EXISTE en Clientes"))</f>
        <v/>
      </c>
      <c r="C250" s="17" t="n"/>
      <c r="D250" s="17" t="n"/>
      <c r="E250" s="17" t="n"/>
      <c r="F250" s="23" t="n"/>
      <c r="G250" s="23" t="n"/>
      <c r="H250" s="23" t="n"/>
      <c r="I250" s="17" t="n"/>
      <c r="J250" s="17" t="n"/>
      <c r="K250" s="17" t="n"/>
      <c r="L250" s="17">
        <f>IF(AND(A250="",C250=""),"",IF(A250="","FALTA doc. cliente",IF(B250="NO EXISTE en Clientes","CLIENTE no está en hoja Clientes",IF(C250="","FALTA nombre",IF(AND(K250="SI",COUNTIFS($A$5:$A$499,A250,$K$5:$K$499,"SI")&gt;1),"Más de un contacto principal para este cliente","OK")))))</f>
        <v/>
      </c>
      <c r="M250" s="28">
        <f>IF(L250&lt;&gt;"OK","","INSERT INTO cli_contacto (id_cliente, nombre, apellido_paterno, apellido_materno, telefono1, telefono2, telefono3, email, direccion, es_principal, estado) SELECT "&amp;"(SELECT id FROM cli_clientes WHERE numero_documento = '"&amp;SUBSTITUTE(TRIM(A250),"'","''")&amp;"' AND estado = 1 LIMIT 1)"&amp;", "&amp;IF(TRIM(C250&amp;"")="","NULL","'"&amp;SUBSTITUTE(TRIM(C250),"'","''")&amp;"'")&amp;", "&amp;IF(TRIM(D250&amp;"")="","NULL","'"&amp;SUBSTITUTE(TRIM(D250),"'","''")&amp;"'")&amp;", "&amp;IF(TRIM(E250&amp;"")="","NULL","'"&amp;SUBSTITUTE(TRIM(E250),"'","''")&amp;"'")&amp;", "&amp;IF(TRIM(F250&amp;"")="","NULL","'"&amp;SUBSTITUTE(TRIM(F250),"'","''")&amp;"'")&amp;", "&amp;IF(TRIM(G250&amp;"")="","NULL","'"&amp;SUBSTITUTE(TRIM(G250),"'","''")&amp;"'")&amp;", "&amp;IF(TRIM(H250&amp;"")="","NULL","'"&amp;SUBSTITUTE(TRIM(H250),"'","''")&amp;"'")&amp;", "&amp;IF(TRIM(I250&amp;"")="","NULL","'"&amp;SUBSTITUTE(TRIM(I250),"'","''")&amp;"'")&amp;", "&amp;IF(TRIM(J250&amp;"")="","NULL","'"&amp;SUBSTITUTE(TRIM(J250),"'","''")&amp;"'")&amp;", "&amp;IF(UPPER(TRIM(K250&amp;""))="SI","TRUE","FALSE")&amp;", 1"&amp;" WHERE NOT EXISTS (SELECT 1 FROM cli_contacto c WHERE c.id_cliente = "&amp;"(SELECT id FROM cli_clientes WHERE numero_documento = '"&amp;SUBSTITUTE(TRIM(A250),"'","''")&amp;"' AND estado = 1 LIMIT 1)"&amp;" AND upper(c.nombre) = upper("&amp;IF(TRIM(C250&amp;"")="","NULL","'"&amp;SUBSTITUTE(TRIM(C250),"'","''")&amp;"'")&amp;") AND coalesce(c.telefono1,'') = coalesce("&amp;IF(TRIM(F250&amp;"")="","NULL","'"&amp;SUBSTITUTE(TRIM(F250),"'","''")&amp;"'")&amp;",''));")</f>
        <v/>
      </c>
    </row>
    <row r="251" ht="15.75" customHeight="1" s="64">
      <c r="A251" s="23" t="n"/>
      <c r="B251" s="25">
        <f t="array" ref="B251">IF(A251="","",IFERROR(IF(INDEX(Clientes!$D$5:$D$549,MATCH(A251,Clientes!$C$5:$C$549,0))&lt;&gt;"",INDEX(Clientes!$D$5:$D$549,MATCH(A251,Clientes!$C$5:$C$549,0)),TRIM(INDEX(Clientes!$E$5:$E$549,MATCH(A251,Clientes!$C$5:$C$549,0))&amp;" "&amp;INDEX(Clientes!$F$5:$F$549,MATCH(A251,Clientes!$C$5:$C$549,0)))),"NO EXISTE en Clientes"))</f>
        <v/>
      </c>
      <c r="C251" s="17" t="n"/>
      <c r="D251" s="17" t="n"/>
      <c r="E251" s="17" t="n"/>
      <c r="F251" s="23" t="n"/>
      <c r="G251" s="23" t="n"/>
      <c r="H251" s="23" t="n"/>
      <c r="I251" s="17" t="n"/>
      <c r="J251" s="17" t="n"/>
      <c r="K251" s="17" t="n"/>
      <c r="L251" s="17">
        <f>IF(AND(A251="",C251=""),"",IF(A251="","FALTA doc. cliente",IF(B251="NO EXISTE en Clientes","CLIENTE no está en hoja Clientes",IF(C251="","FALTA nombre",IF(AND(K251="SI",COUNTIFS($A$5:$A$499,A251,$K$5:$K$499,"SI")&gt;1),"Más de un contacto principal para este cliente","OK")))))</f>
        <v/>
      </c>
      <c r="M251" s="28">
        <f>IF(L251&lt;&gt;"OK","","INSERT INTO cli_contacto (id_cliente, nombre, apellido_paterno, apellido_materno, telefono1, telefono2, telefono3, email, direccion, es_principal, estado) SELECT "&amp;"(SELECT id FROM cli_clientes WHERE numero_documento = '"&amp;SUBSTITUTE(TRIM(A251),"'","''")&amp;"' AND estado = 1 LIMIT 1)"&amp;", "&amp;IF(TRIM(C251&amp;"")="","NULL","'"&amp;SUBSTITUTE(TRIM(C251),"'","''")&amp;"'")&amp;", "&amp;IF(TRIM(D251&amp;"")="","NULL","'"&amp;SUBSTITUTE(TRIM(D251),"'","''")&amp;"'")&amp;", "&amp;IF(TRIM(E251&amp;"")="","NULL","'"&amp;SUBSTITUTE(TRIM(E251),"'","''")&amp;"'")&amp;", "&amp;IF(TRIM(F251&amp;"")="","NULL","'"&amp;SUBSTITUTE(TRIM(F251),"'","''")&amp;"'")&amp;", "&amp;IF(TRIM(G251&amp;"")="","NULL","'"&amp;SUBSTITUTE(TRIM(G251),"'","''")&amp;"'")&amp;", "&amp;IF(TRIM(H251&amp;"")="","NULL","'"&amp;SUBSTITUTE(TRIM(H251),"'","''")&amp;"'")&amp;", "&amp;IF(TRIM(I251&amp;"")="","NULL","'"&amp;SUBSTITUTE(TRIM(I251),"'","''")&amp;"'")&amp;", "&amp;IF(TRIM(J251&amp;"")="","NULL","'"&amp;SUBSTITUTE(TRIM(J251),"'","''")&amp;"'")&amp;", "&amp;IF(UPPER(TRIM(K251&amp;""))="SI","TRUE","FALSE")&amp;", 1"&amp;" WHERE NOT EXISTS (SELECT 1 FROM cli_contacto c WHERE c.id_cliente = "&amp;"(SELECT id FROM cli_clientes WHERE numero_documento = '"&amp;SUBSTITUTE(TRIM(A251),"'","''")&amp;"' AND estado = 1 LIMIT 1)"&amp;" AND upper(c.nombre) = upper("&amp;IF(TRIM(C251&amp;"")="","NULL","'"&amp;SUBSTITUTE(TRIM(C251),"'","''")&amp;"'")&amp;") AND coalesce(c.telefono1,'') = coalesce("&amp;IF(TRIM(F251&amp;"")="","NULL","'"&amp;SUBSTITUTE(TRIM(F251),"'","''")&amp;"'")&amp;",''));")</f>
        <v/>
      </c>
    </row>
    <row r="252" ht="15.75" customHeight="1" s="64">
      <c r="A252" s="23" t="n"/>
      <c r="B252" s="25">
        <f t="array" ref="B252">IF(A252="","",IFERROR(IF(INDEX(Clientes!$D$5:$D$549,MATCH(A252,Clientes!$C$5:$C$549,0))&lt;&gt;"",INDEX(Clientes!$D$5:$D$549,MATCH(A252,Clientes!$C$5:$C$549,0)),TRIM(INDEX(Clientes!$E$5:$E$549,MATCH(A252,Clientes!$C$5:$C$549,0))&amp;" "&amp;INDEX(Clientes!$F$5:$F$549,MATCH(A252,Clientes!$C$5:$C$549,0)))),"NO EXISTE en Clientes"))</f>
        <v/>
      </c>
      <c r="C252" s="17" t="n"/>
      <c r="D252" s="17" t="n"/>
      <c r="E252" s="17" t="n"/>
      <c r="F252" s="23" t="n"/>
      <c r="G252" s="23" t="n"/>
      <c r="H252" s="23" t="n"/>
      <c r="I252" s="17" t="n"/>
      <c r="J252" s="17" t="n"/>
      <c r="K252" s="17" t="n"/>
      <c r="L252" s="17">
        <f>IF(AND(A252="",C252=""),"",IF(A252="","FALTA doc. cliente",IF(B252="NO EXISTE en Clientes","CLIENTE no está en hoja Clientes",IF(C252="","FALTA nombre",IF(AND(K252="SI",COUNTIFS($A$5:$A$499,A252,$K$5:$K$499,"SI")&gt;1),"Más de un contacto principal para este cliente","OK")))))</f>
        <v/>
      </c>
      <c r="M252" s="28">
        <f>IF(L252&lt;&gt;"OK","","INSERT INTO cli_contacto (id_cliente, nombre, apellido_paterno, apellido_materno, telefono1, telefono2, telefono3, email, direccion, es_principal, estado) SELECT "&amp;"(SELECT id FROM cli_clientes WHERE numero_documento = '"&amp;SUBSTITUTE(TRIM(A252),"'","''")&amp;"' AND estado = 1 LIMIT 1)"&amp;", "&amp;IF(TRIM(C252&amp;"")="","NULL","'"&amp;SUBSTITUTE(TRIM(C252),"'","''")&amp;"'")&amp;", "&amp;IF(TRIM(D252&amp;"")="","NULL","'"&amp;SUBSTITUTE(TRIM(D252),"'","''")&amp;"'")&amp;", "&amp;IF(TRIM(E252&amp;"")="","NULL","'"&amp;SUBSTITUTE(TRIM(E252),"'","''")&amp;"'")&amp;", "&amp;IF(TRIM(F252&amp;"")="","NULL","'"&amp;SUBSTITUTE(TRIM(F252),"'","''")&amp;"'")&amp;", "&amp;IF(TRIM(G252&amp;"")="","NULL","'"&amp;SUBSTITUTE(TRIM(G252),"'","''")&amp;"'")&amp;", "&amp;IF(TRIM(H252&amp;"")="","NULL","'"&amp;SUBSTITUTE(TRIM(H252),"'","''")&amp;"'")&amp;", "&amp;IF(TRIM(I252&amp;"")="","NULL","'"&amp;SUBSTITUTE(TRIM(I252),"'","''")&amp;"'")&amp;", "&amp;IF(TRIM(J252&amp;"")="","NULL","'"&amp;SUBSTITUTE(TRIM(J252),"'","''")&amp;"'")&amp;", "&amp;IF(UPPER(TRIM(K252&amp;""))="SI","TRUE","FALSE")&amp;", 1"&amp;" WHERE NOT EXISTS (SELECT 1 FROM cli_contacto c WHERE c.id_cliente = "&amp;"(SELECT id FROM cli_clientes WHERE numero_documento = '"&amp;SUBSTITUTE(TRIM(A252),"'","''")&amp;"' AND estado = 1 LIMIT 1)"&amp;" AND upper(c.nombre) = upper("&amp;IF(TRIM(C252&amp;"")="","NULL","'"&amp;SUBSTITUTE(TRIM(C252),"'","''")&amp;"'")&amp;") AND coalesce(c.telefono1,'') = coalesce("&amp;IF(TRIM(F252&amp;"")="","NULL","'"&amp;SUBSTITUTE(TRIM(F252),"'","''")&amp;"'")&amp;",''));")</f>
        <v/>
      </c>
    </row>
    <row r="253" ht="15.75" customHeight="1" s="64">
      <c r="A253" s="23" t="n"/>
      <c r="B253" s="25">
        <f t="array" ref="B253">IF(A253="","",IFERROR(IF(INDEX(Clientes!$D$5:$D$549,MATCH(A253,Clientes!$C$5:$C$549,0))&lt;&gt;"",INDEX(Clientes!$D$5:$D$549,MATCH(A253,Clientes!$C$5:$C$549,0)),TRIM(INDEX(Clientes!$E$5:$E$549,MATCH(A253,Clientes!$C$5:$C$549,0))&amp;" "&amp;INDEX(Clientes!$F$5:$F$549,MATCH(A253,Clientes!$C$5:$C$549,0)))),"NO EXISTE en Clientes"))</f>
        <v/>
      </c>
      <c r="C253" s="17" t="n"/>
      <c r="D253" s="17" t="n"/>
      <c r="E253" s="17" t="n"/>
      <c r="F253" s="23" t="n"/>
      <c r="G253" s="23" t="n"/>
      <c r="H253" s="23" t="n"/>
      <c r="I253" s="17" t="n"/>
      <c r="J253" s="17" t="n"/>
      <c r="K253" s="17" t="n"/>
      <c r="L253" s="17">
        <f>IF(AND(A253="",C253=""),"",IF(A253="","FALTA doc. cliente",IF(B253="NO EXISTE en Clientes","CLIENTE no está en hoja Clientes",IF(C253="","FALTA nombre",IF(AND(K253="SI",COUNTIFS($A$5:$A$499,A253,$K$5:$K$499,"SI")&gt;1),"Más de un contacto principal para este cliente","OK")))))</f>
        <v/>
      </c>
      <c r="M253" s="28">
        <f>IF(L253&lt;&gt;"OK","","INSERT INTO cli_contacto (id_cliente, nombre, apellido_paterno, apellido_materno, telefono1, telefono2, telefono3, email, direccion, es_principal, estado) SELECT "&amp;"(SELECT id FROM cli_clientes WHERE numero_documento = '"&amp;SUBSTITUTE(TRIM(A253),"'","''")&amp;"' AND estado = 1 LIMIT 1)"&amp;", "&amp;IF(TRIM(C253&amp;"")="","NULL","'"&amp;SUBSTITUTE(TRIM(C253),"'","''")&amp;"'")&amp;", "&amp;IF(TRIM(D253&amp;"")="","NULL","'"&amp;SUBSTITUTE(TRIM(D253),"'","''")&amp;"'")&amp;", "&amp;IF(TRIM(E253&amp;"")="","NULL","'"&amp;SUBSTITUTE(TRIM(E253),"'","''")&amp;"'")&amp;", "&amp;IF(TRIM(F253&amp;"")="","NULL","'"&amp;SUBSTITUTE(TRIM(F253),"'","''")&amp;"'")&amp;", "&amp;IF(TRIM(G253&amp;"")="","NULL","'"&amp;SUBSTITUTE(TRIM(G253),"'","''")&amp;"'")&amp;", "&amp;IF(TRIM(H253&amp;"")="","NULL","'"&amp;SUBSTITUTE(TRIM(H253),"'","''")&amp;"'")&amp;", "&amp;IF(TRIM(I253&amp;"")="","NULL","'"&amp;SUBSTITUTE(TRIM(I253),"'","''")&amp;"'")&amp;", "&amp;IF(TRIM(J253&amp;"")="","NULL","'"&amp;SUBSTITUTE(TRIM(J253),"'","''")&amp;"'")&amp;", "&amp;IF(UPPER(TRIM(K253&amp;""))="SI","TRUE","FALSE")&amp;", 1"&amp;" WHERE NOT EXISTS (SELECT 1 FROM cli_contacto c WHERE c.id_cliente = "&amp;"(SELECT id FROM cli_clientes WHERE numero_documento = '"&amp;SUBSTITUTE(TRIM(A253),"'","''")&amp;"' AND estado = 1 LIMIT 1)"&amp;" AND upper(c.nombre) = upper("&amp;IF(TRIM(C253&amp;"")="","NULL","'"&amp;SUBSTITUTE(TRIM(C253),"'","''")&amp;"'")&amp;") AND coalesce(c.telefono1,'') = coalesce("&amp;IF(TRIM(F253&amp;"")="","NULL","'"&amp;SUBSTITUTE(TRIM(F253),"'","''")&amp;"'")&amp;",''));")</f>
        <v/>
      </c>
    </row>
    <row r="254" ht="15.75" customHeight="1" s="64">
      <c r="A254" s="23" t="n"/>
      <c r="B254" s="25">
        <f t="array" ref="B254">IF(A254="","",IFERROR(IF(INDEX(Clientes!$D$5:$D$549,MATCH(A254,Clientes!$C$5:$C$549,0))&lt;&gt;"",INDEX(Clientes!$D$5:$D$549,MATCH(A254,Clientes!$C$5:$C$549,0)),TRIM(INDEX(Clientes!$E$5:$E$549,MATCH(A254,Clientes!$C$5:$C$549,0))&amp;" "&amp;INDEX(Clientes!$F$5:$F$549,MATCH(A254,Clientes!$C$5:$C$549,0)))),"NO EXISTE en Clientes"))</f>
        <v/>
      </c>
      <c r="C254" s="17" t="n"/>
      <c r="D254" s="17" t="n"/>
      <c r="E254" s="17" t="n"/>
      <c r="F254" s="23" t="n"/>
      <c r="G254" s="23" t="n"/>
      <c r="H254" s="23" t="n"/>
      <c r="I254" s="17" t="n"/>
      <c r="J254" s="17" t="n"/>
      <c r="K254" s="17" t="n"/>
      <c r="L254" s="17">
        <f>IF(AND(A254="",C254=""),"",IF(A254="","FALTA doc. cliente",IF(B254="NO EXISTE en Clientes","CLIENTE no está en hoja Clientes",IF(C254="","FALTA nombre",IF(AND(K254="SI",COUNTIFS($A$5:$A$499,A254,$K$5:$K$499,"SI")&gt;1),"Más de un contacto principal para este cliente","OK")))))</f>
        <v/>
      </c>
      <c r="M254" s="28">
        <f>IF(L254&lt;&gt;"OK","","INSERT INTO cli_contacto (id_cliente, nombre, apellido_paterno, apellido_materno, telefono1, telefono2, telefono3, email, direccion, es_principal, estado) SELECT "&amp;"(SELECT id FROM cli_clientes WHERE numero_documento = '"&amp;SUBSTITUTE(TRIM(A254),"'","''")&amp;"' AND estado = 1 LIMIT 1)"&amp;", "&amp;IF(TRIM(C254&amp;"")="","NULL","'"&amp;SUBSTITUTE(TRIM(C254),"'","''")&amp;"'")&amp;", "&amp;IF(TRIM(D254&amp;"")="","NULL","'"&amp;SUBSTITUTE(TRIM(D254),"'","''")&amp;"'")&amp;", "&amp;IF(TRIM(E254&amp;"")="","NULL","'"&amp;SUBSTITUTE(TRIM(E254),"'","''")&amp;"'")&amp;", "&amp;IF(TRIM(F254&amp;"")="","NULL","'"&amp;SUBSTITUTE(TRIM(F254),"'","''")&amp;"'")&amp;", "&amp;IF(TRIM(G254&amp;"")="","NULL","'"&amp;SUBSTITUTE(TRIM(G254),"'","''")&amp;"'")&amp;", "&amp;IF(TRIM(H254&amp;"")="","NULL","'"&amp;SUBSTITUTE(TRIM(H254),"'","''")&amp;"'")&amp;", "&amp;IF(TRIM(I254&amp;"")="","NULL","'"&amp;SUBSTITUTE(TRIM(I254),"'","''")&amp;"'")&amp;", "&amp;IF(TRIM(J254&amp;"")="","NULL","'"&amp;SUBSTITUTE(TRIM(J254),"'","''")&amp;"'")&amp;", "&amp;IF(UPPER(TRIM(K254&amp;""))="SI","TRUE","FALSE")&amp;", 1"&amp;" WHERE NOT EXISTS (SELECT 1 FROM cli_contacto c WHERE c.id_cliente = "&amp;"(SELECT id FROM cli_clientes WHERE numero_documento = '"&amp;SUBSTITUTE(TRIM(A254),"'","''")&amp;"' AND estado = 1 LIMIT 1)"&amp;" AND upper(c.nombre) = upper("&amp;IF(TRIM(C254&amp;"")="","NULL","'"&amp;SUBSTITUTE(TRIM(C254),"'","''")&amp;"'")&amp;") AND coalesce(c.telefono1,'') = coalesce("&amp;IF(TRIM(F254&amp;"")="","NULL","'"&amp;SUBSTITUTE(TRIM(F254),"'","''")&amp;"'")&amp;",''));")</f>
        <v/>
      </c>
    </row>
    <row r="255" ht="15.75" customHeight="1" s="64">
      <c r="A255" s="23" t="n"/>
      <c r="B255" s="25">
        <f t="array" ref="B255">IF(A255="","",IFERROR(IF(INDEX(Clientes!$D$5:$D$549,MATCH(A255,Clientes!$C$5:$C$549,0))&lt;&gt;"",INDEX(Clientes!$D$5:$D$549,MATCH(A255,Clientes!$C$5:$C$549,0)),TRIM(INDEX(Clientes!$E$5:$E$549,MATCH(A255,Clientes!$C$5:$C$549,0))&amp;" "&amp;INDEX(Clientes!$F$5:$F$549,MATCH(A255,Clientes!$C$5:$C$549,0)))),"NO EXISTE en Clientes"))</f>
        <v/>
      </c>
      <c r="C255" s="17" t="n"/>
      <c r="D255" s="17" t="n"/>
      <c r="E255" s="17" t="n"/>
      <c r="F255" s="23" t="n"/>
      <c r="G255" s="23" t="n"/>
      <c r="H255" s="23" t="n"/>
      <c r="I255" s="17" t="n"/>
      <c r="J255" s="17" t="n"/>
      <c r="K255" s="17" t="n"/>
      <c r="L255" s="17">
        <f>IF(AND(A255="",C255=""),"",IF(A255="","FALTA doc. cliente",IF(B255="NO EXISTE en Clientes","CLIENTE no está en hoja Clientes",IF(C255="","FALTA nombre",IF(AND(K255="SI",COUNTIFS($A$5:$A$499,A255,$K$5:$K$499,"SI")&gt;1),"Más de un contacto principal para este cliente","OK")))))</f>
        <v/>
      </c>
      <c r="M255" s="28">
        <f>IF(L255&lt;&gt;"OK","","INSERT INTO cli_contacto (id_cliente, nombre, apellido_paterno, apellido_materno, telefono1, telefono2, telefono3, email, direccion, es_principal, estado) SELECT "&amp;"(SELECT id FROM cli_clientes WHERE numero_documento = '"&amp;SUBSTITUTE(TRIM(A255),"'","''")&amp;"' AND estado = 1 LIMIT 1)"&amp;", "&amp;IF(TRIM(C255&amp;"")="","NULL","'"&amp;SUBSTITUTE(TRIM(C255),"'","''")&amp;"'")&amp;", "&amp;IF(TRIM(D255&amp;"")="","NULL","'"&amp;SUBSTITUTE(TRIM(D255),"'","''")&amp;"'")&amp;", "&amp;IF(TRIM(E255&amp;"")="","NULL","'"&amp;SUBSTITUTE(TRIM(E255),"'","''")&amp;"'")&amp;", "&amp;IF(TRIM(F255&amp;"")="","NULL","'"&amp;SUBSTITUTE(TRIM(F255),"'","''")&amp;"'")&amp;", "&amp;IF(TRIM(G255&amp;"")="","NULL","'"&amp;SUBSTITUTE(TRIM(G255),"'","''")&amp;"'")&amp;", "&amp;IF(TRIM(H255&amp;"")="","NULL","'"&amp;SUBSTITUTE(TRIM(H255),"'","''")&amp;"'")&amp;", "&amp;IF(TRIM(I255&amp;"")="","NULL","'"&amp;SUBSTITUTE(TRIM(I255),"'","''")&amp;"'")&amp;", "&amp;IF(TRIM(J255&amp;"")="","NULL","'"&amp;SUBSTITUTE(TRIM(J255),"'","''")&amp;"'")&amp;", "&amp;IF(UPPER(TRIM(K255&amp;""))="SI","TRUE","FALSE")&amp;", 1"&amp;" WHERE NOT EXISTS (SELECT 1 FROM cli_contacto c WHERE c.id_cliente = "&amp;"(SELECT id FROM cli_clientes WHERE numero_documento = '"&amp;SUBSTITUTE(TRIM(A255),"'","''")&amp;"' AND estado = 1 LIMIT 1)"&amp;" AND upper(c.nombre) = upper("&amp;IF(TRIM(C255&amp;"")="","NULL","'"&amp;SUBSTITUTE(TRIM(C255),"'","''")&amp;"'")&amp;") AND coalesce(c.telefono1,'') = coalesce("&amp;IF(TRIM(F255&amp;"")="","NULL","'"&amp;SUBSTITUTE(TRIM(F255),"'","''")&amp;"'")&amp;",''));")</f>
        <v/>
      </c>
    </row>
    <row r="256" ht="15.75" customHeight="1" s="64">
      <c r="A256" s="23" t="n"/>
      <c r="B256" s="25">
        <f t="array" ref="B256">IF(A256="","",IFERROR(IF(INDEX(Clientes!$D$5:$D$549,MATCH(A256,Clientes!$C$5:$C$549,0))&lt;&gt;"",INDEX(Clientes!$D$5:$D$549,MATCH(A256,Clientes!$C$5:$C$549,0)),TRIM(INDEX(Clientes!$E$5:$E$549,MATCH(A256,Clientes!$C$5:$C$549,0))&amp;" "&amp;INDEX(Clientes!$F$5:$F$549,MATCH(A256,Clientes!$C$5:$C$549,0)))),"NO EXISTE en Clientes"))</f>
        <v/>
      </c>
      <c r="C256" s="17" t="n"/>
      <c r="D256" s="17" t="n"/>
      <c r="E256" s="17" t="n"/>
      <c r="F256" s="23" t="n"/>
      <c r="G256" s="23" t="n"/>
      <c r="H256" s="23" t="n"/>
      <c r="I256" s="17" t="n"/>
      <c r="J256" s="17" t="n"/>
      <c r="K256" s="17" t="n"/>
      <c r="L256" s="17">
        <f>IF(AND(A256="",C256=""),"",IF(A256="","FALTA doc. cliente",IF(B256="NO EXISTE en Clientes","CLIENTE no está en hoja Clientes",IF(C256="","FALTA nombre",IF(AND(K256="SI",COUNTIFS($A$5:$A$499,A256,$K$5:$K$499,"SI")&gt;1),"Más de un contacto principal para este cliente","OK")))))</f>
        <v/>
      </c>
      <c r="M256" s="28">
        <f>IF(L256&lt;&gt;"OK","","INSERT INTO cli_contacto (id_cliente, nombre, apellido_paterno, apellido_materno, telefono1, telefono2, telefono3, email, direccion, es_principal, estado) SELECT "&amp;"(SELECT id FROM cli_clientes WHERE numero_documento = '"&amp;SUBSTITUTE(TRIM(A256),"'","''")&amp;"' AND estado = 1 LIMIT 1)"&amp;", "&amp;IF(TRIM(C256&amp;"")="","NULL","'"&amp;SUBSTITUTE(TRIM(C256),"'","''")&amp;"'")&amp;", "&amp;IF(TRIM(D256&amp;"")="","NULL","'"&amp;SUBSTITUTE(TRIM(D256),"'","''")&amp;"'")&amp;", "&amp;IF(TRIM(E256&amp;"")="","NULL","'"&amp;SUBSTITUTE(TRIM(E256),"'","''")&amp;"'")&amp;", "&amp;IF(TRIM(F256&amp;"")="","NULL","'"&amp;SUBSTITUTE(TRIM(F256),"'","''")&amp;"'")&amp;", "&amp;IF(TRIM(G256&amp;"")="","NULL","'"&amp;SUBSTITUTE(TRIM(G256),"'","''")&amp;"'")&amp;", "&amp;IF(TRIM(H256&amp;"")="","NULL","'"&amp;SUBSTITUTE(TRIM(H256),"'","''")&amp;"'")&amp;", "&amp;IF(TRIM(I256&amp;"")="","NULL","'"&amp;SUBSTITUTE(TRIM(I256),"'","''")&amp;"'")&amp;", "&amp;IF(TRIM(J256&amp;"")="","NULL","'"&amp;SUBSTITUTE(TRIM(J256),"'","''")&amp;"'")&amp;", "&amp;IF(UPPER(TRIM(K256&amp;""))="SI","TRUE","FALSE")&amp;", 1"&amp;" WHERE NOT EXISTS (SELECT 1 FROM cli_contacto c WHERE c.id_cliente = "&amp;"(SELECT id FROM cli_clientes WHERE numero_documento = '"&amp;SUBSTITUTE(TRIM(A256),"'","''")&amp;"' AND estado = 1 LIMIT 1)"&amp;" AND upper(c.nombre) = upper("&amp;IF(TRIM(C256&amp;"")="","NULL","'"&amp;SUBSTITUTE(TRIM(C256),"'","''")&amp;"'")&amp;") AND coalesce(c.telefono1,'') = coalesce("&amp;IF(TRIM(F256&amp;"")="","NULL","'"&amp;SUBSTITUTE(TRIM(F256),"'","''")&amp;"'")&amp;",''));")</f>
        <v/>
      </c>
    </row>
    <row r="257" ht="15.75" customHeight="1" s="64">
      <c r="A257" s="23" t="n"/>
      <c r="B257" s="25">
        <f t="array" ref="B257">IF(A257="","",IFERROR(IF(INDEX(Clientes!$D$5:$D$549,MATCH(A257,Clientes!$C$5:$C$549,0))&lt;&gt;"",INDEX(Clientes!$D$5:$D$549,MATCH(A257,Clientes!$C$5:$C$549,0)),TRIM(INDEX(Clientes!$E$5:$E$549,MATCH(A257,Clientes!$C$5:$C$549,0))&amp;" "&amp;INDEX(Clientes!$F$5:$F$549,MATCH(A257,Clientes!$C$5:$C$549,0)))),"NO EXISTE en Clientes"))</f>
        <v/>
      </c>
      <c r="C257" s="17" t="n"/>
      <c r="D257" s="17" t="n"/>
      <c r="E257" s="17" t="n"/>
      <c r="F257" s="23" t="n"/>
      <c r="G257" s="23" t="n"/>
      <c r="H257" s="23" t="n"/>
      <c r="I257" s="17" t="n"/>
      <c r="J257" s="17" t="n"/>
      <c r="K257" s="17" t="n"/>
      <c r="L257" s="17">
        <f>IF(AND(A257="",C257=""),"",IF(A257="","FALTA doc. cliente",IF(B257="NO EXISTE en Clientes","CLIENTE no está en hoja Clientes",IF(C257="","FALTA nombre",IF(AND(K257="SI",COUNTIFS($A$5:$A$499,A257,$K$5:$K$499,"SI")&gt;1),"Más de un contacto principal para este cliente","OK")))))</f>
        <v/>
      </c>
      <c r="M257" s="28">
        <f>IF(L257&lt;&gt;"OK","","INSERT INTO cli_contacto (id_cliente, nombre, apellido_paterno, apellido_materno, telefono1, telefono2, telefono3, email, direccion, es_principal, estado) SELECT "&amp;"(SELECT id FROM cli_clientes WHERE numero_documento = '"&amp;SUBSTITUTE(TRIM(A257),"'","''")&amp;"' AND estado = 1 LIMIT 1)"&amp;", "&amp;IF(TRIM(C257&amp;"")="","NULL","'"&amp;SUBSTITUTE(TRIM(C257),"'","''")&amp;"'")&amp;", "&amp;IF(TRIM(D257&amp;"")="","NULL","'"&amp;SUBSTITUTE(TRIM(D257),"'","''")&amp;"'")&amp;", "&amp;IF(TRIM(E257&amp;"")="","NULL","'"&amp;SUBSTITUTE(TRIM(E257),"'","''")&amp;"'")&amp;", "&amp;IF(TRIM(F257&amp;"")="","NULL","'"&amp;SUBSTITUTE(TRIM(F257),"'","''")&amp;"'")&amp;", "&amp;IF(TRIM(G257&amp;"")="","NULL","'"&amp;SUBSTITUTE(TRIM(G257),"'","''")&amp;"'")&amp;", "&amp;IF(TRIM(H257&amp;"")="","NULL","'"&amp;SUBSTITUTE(TRIM(H257),"'","''")&amp;"'")&amp;", "&amp;IF(TRIM(I257&amp;"")="","NULL","'"&amp;SUBSTITUTE(TRIM(I257),"'","''")&amp;"'")&amp;", "&amp;IF(TRIM(J257&amp;"")="","NULL","'"&amp;SUBSTITUTE(TRIM(J257),"'","''")&amp;"'")&amp;", "&amp;IF(UPPER(TRIM(K257&amp;""))="SI","TRUE","FALSE")&amp;", 1"&amp;" WHERE NOT EXISTS (SELECT 1 FROM cli_contacto c WHERE c.id_cliente = "&amp;"(SELECT id FROM cli_clientes WHERE numero_documento = '"&amp;SUBSTITUTE(TRIM(A257),"'","''")&amp;"' AND estado = 1 LIMIT 1)"&amp;" AND upper(c.nombre) = upper("&amp;IF(TRIM(C257&amp;"")="","NULL","'"&amp;SUBSTITUTE(TRIM(C257),"'","''")&amp;"'")&amp;") AND coalesce(c.telefono1,'') = coalesce("&amp;IF(TRIM(F257&amp;"")="","NULL","'"&amp;SUBSTITUTE(TRIM(F257),"'","''")&amp;"'")&amp;",''));")</f>
        <v/>
      </c>
    </row>
    <row r="258" ht="15.75" customHeight="1" s="64">
      <c r="A258" s="23" t="n"/>
      <c r="B258" s="25">
        <f t="array" ref="B258">IF(A258="","",IFERROR(IF(INDEX(Clientes!$D$5:$D$549,MATCH(A258,Clientes!$C$5:$C$549,0))&lt;&gt;"",INDEX(Clientes!$D$5:$D$549,MATCH(A258,Clientes!$C$5:$C$549,0)),TRIM(INDEX(Clientes!$E$5:$E$549,MATCH(A258,Clientes!$C$5:$C$549,0))&amp;" "&amp;INDEX(Clientes!$F$5:$F$549,MATCH(A258,Clientes!$C$5:$C$549,0)))),"NO EXISTE en Clientes"))</f>
        <v/>
      </c>
      <c r="C258" s="17" t="n"/>
      <c r="D258" s="17" t="n"/>
      <c r="E258" s="17" t="n"/>
      <c r="F258" s="23" t="n"/>
      <c r="G258" s="23" t="n"/>
      <c r="H258" s="23" t="n"/>
      <c r="I258" s="17" t="n"/>
      <c r="J258" s="17" t="n"/>
      <c r="K258" s="17" t="n"/>
      <c r="L258" s="17">
        <f>IF(AND(A258="",C258=""),"",IF(A258="","FALTA doc. cliente",IF(B258="NO EXISTE en Clientes","CLIENTE no está en hoja Clientes",IF(C258="","FALTA nombre",IF(AND(K258="SI",COUNTIFS($A$5:$A$499,A258,$K$5:$K$499,"SI")&gt;1),"Más de un contacto principal para este cliente","OK")))))</f>
        <v/>
      </c>
      <c r="M258" s="28">
        <f>IF(L258&lt;&gt;"OK","","INSERT INTO cli_contacto (id_cliente, nombre, apellido_paterno, apellido_materno, telefono1, telefono2, telefono3, email, direccion, es_principal, estado) SELECT "&amp;"(SELECT id FROM cli_clientes WHERE numero_documento = '"&amp;SUBSTITUTE(TRIM(A258),"'","''")&amp;"' AND estado = 1 LIMIT 1)"&amp;", "&amp;IF(TRIM(C258&amp;"")="","NULL","'"&amp;SUBSTITUTE(TRIM(C258),"'","''")&amp;"'")&amp;", "&amp;IF(TRIM(D258&amp;"")="","NULL","'"&amp;SUBSTITUTE(TRIM(D258),"'","''")&amp;"'")&amp;", "&amp;IF(TRIM(E258&amp;"")="","NULL","'"&amp;SUBSTITUTE(TRIM(E258),"'","''")&amp;"'")&amp;", "&amp;IF(TRIM(F258&amp;"")="","NULL","'"&amp;SUBSTITUTE(TRIM(F258),"'","''")&amp;"'")&amp;", "&amp;IF(TRIM(G258&amp;"")="","NULL","'"&amp;SUBSTITUTE(TRIM(G258),"'","''")&amp;"'")&amp;", "&amp;IF(TRIM(H258&amp;"")="","NULL","'"&amp;SUBSTITUTE(TRIM(H258),"'","''")&amp;"'")&amp;", "&amp;IF(TRIM(I258&amp;"")="","NULL","'"&amp;SUBSTITUTE(TRIM(I258),"'","''")&amp;"'")&amp;", "&amp;IF(TRIM(J258&amp;"")="","NULL","'"&amp;SUBSTITUTE(TRIM(J258),"'","''")&amp;"'")&amp;", "&amp;IF(UPPER(TRIM(K258&amp;""))="SI","TRUE","FALSE")&amp;", 1"&amp;" WHERE NOT EXISTS (SELECT 1 FROM cli_contacto c WHERE c.id_cliente = "&amp;"(SELECT id FROM cli_clientes WHERE numero_documento = '"&amp;SUBSTITUTE(TRIM(A258),"'","''")&amp;"' AND estado = 1 LIMIT 1)"&amp;" AND upper(c.nombre) = upper("&amp;IF(TRIM(C258&amp;"")="","NULL","'"&amp;SUBSTITUTE(TRIM(C258),"'","''")&amp;"'")&amp;") AND coalesce(c.telefono1,'') = coalesce("&amp;IF(TRIM(F258&amp;"")="","NULL","'"&amp;SUBSTITUTE(TRIM(F258),"'","''")&amp;"'")&amp;",''));")</f>
        <v/>
      </c>
    </row>
    <row r="259" ht="15.75" customHeight="1" s="64">
      <c r="A259" s="23" t="n"/>
      <c r="B259" s="25">
        <f t="array" ref="B259">IF(A259="","",IFERROR(IF(INDEX(Clientes!$D$5:$D$549,MATCH(A259,Clientes!$C$5:$C$549,0))&lt;&gt;"",INDEX(Clientes!$D$5:$D$549,MATCH(A259,Clientes!$C$5:$C$549,0)),TRIM(INDEX(Clientes!$E$5:$E$549,MATCH(A259,Clientes!$C$5:$C$549,0))&amp;" "&amp;INDEX(Clientes!$F$5:$F$549,MATCH(A259,Clientes!$C$5:$C$549,0)))),"NO EXISTE en Clientes"))</f>
        <v/>
      </c>
      <c r="C259" s="17" t="n"/>
      <c r="D259" s="17" t="n"/>
      <c r="E259" s="17" t="n"/>
      <c r="F259" s="23" t="n"/>
      <c r="G259" s="23" t="n"/>
      <c r="H259" s="23" t="n"/>
      <c r="I259" s="17" t="n"/>
      <c r="J259" s="17" t="n"/>
      <c r="K259" s="17" t="n"/>
      <c r="L259" s="17">
        <f>IF(AND(A259="",C259=""),"",IF(A259="","FALTA doc. cliente",IF(B259="NO EXISTE en Clientes","CLIENTE no está en hoja Clientes",IF(C259="","FALTA nombre",IF(AND(K259="SI",COUNTIFS($A$5:$A$499,A259,$K$5:$K$499,"SI")&gt;1),"Más de un contacto principal para este cliente","OK")))))</f>
        <v/>
      </c>
      <c r="M259" s="28">
        <f>IF(L259&lt;&gt;"OK","","INSERT INTO cli_contacto (id_cliente, nombre, apellido_paterno, apellido_materno, telefono1, telefono2, telefono3, email, direccion, es_principal, estado) SELECT "&amp;"(SELECT id FROM cli_clientes WHERE numero_documento = '"&amp;SUBSTITUTE(TRIM(A259),"'","''")&amp;"' AND estado = 1 LIMIT 1)"&amp;", "&amp;IF(TRIM(C259&amp;"")="","NULL","'"&amp;SUBSTITUTE(TRIM(C259),"'","''")&amp;"'")&amp;", "&amp;IF(TRIM(D259&amp;"")="","NULL","'"&amp;SUBSTITUTE(TRIM(D259),"'","''")&amp;"'")&amp;", "&amp;IF(TRIM(E259&amp;"")="","NULL","'"&amp;SUBSTITUTE(TRIM(E259),"'","''")&amp;"'")&amp;", "&amp;IF(TRIM(F259&amp;"")="","NULL","'"&amp;SUBSTITUTE(TRIM(F259),"'","''")&amp;"'")&amp;", "&amp;IF(TRIM(G259&amp;"")="","NULL","'"&amp;SUBSTITUTE(TRIM(G259),"'","''")&amp;"'")&amp;", "&amp;IF(TRIM(H259&amp;"")="","NULL","'"&amp;SUBSTITUTE(TRIM(H259),"'","''")&amp;"'")&amp;", "&amp;IF(TRIM(I259&amp;"")="","NULL","'"&amp;SUBSTITUTE(TRIM(I259),"'","''")&amp;"'")&amp;", "&amp;IF(TRIM(J259&amp;"")="","NULL","'"&amp;SUBSTITUTE(TRIM(J259),"'","''")&amp;"'")&amp;", "&amp;IF(UPPER(TRIM(K259&amp;""))="SI","TRUE","FALSE")&amp;", 1"&amp;" WHERE NOT EXISTS (SELECT 1 FROM cli_contacto c WHERE c.id_cliente = "&amp;"(SELECT id FROM cli_clientes WHERE numero_documento = '"&amp;SUBSTITUTE(TRIM(A259),"'","''")&amp;"' AND estado = 1 LIMIT 1)"&amp;" AND upper(c.nombre) = upper("&amp;IF(TRIM(C259&amp;"")="","NULL","'"&amp;SUBSTITUTE(TRIM(C259),"'","''")&amp;"'")&amp;") AND coalesce(c.telefono1,'') = coalesce("&amp;IF(TRIM(F259&amp;"")="","NULL","'"&amp;SUBSTITUTE(TRIM(F259),"'","''")&amp;"'")&amp;",''));")</f>
        <v/>
      </c>
    </row>
    <row r="260" ht="15.75" customHeight="1" s="64">
      <c r="A260" s="23" t="n"/>
      <c r="B260" s="25">
        <f t="array" ref="B260">IF(A260="","",IFERROR(IF(INDEX(Clientes!$D$5:$D$549,MATCH(A260,Clientes!$C$5:$C$549,0))&lt;&gt;"",INDEX(Clientes!$D$5:$D$549,MATCH(A260,Clientes!$C$5:$C$549,0)),TRIM(INDEX(Clientes!$E$5:$E$549,MATCH(A260,Clientes!$C$5:$C$549,0))&amp;" "&amp;INDEX(Clientes!$F$5:$F$549,MATCH(A260,Clientes!$C$5:$C$549,0)))),"NO EXISTE en Clientes"))</f>
        <v/>
      </c>
      <c r="C260" s="17" t="n"/>
      <c r="D260" s="17" t="n"/>
      <c r="E260" s="17" t="n"/>
      <c r="F260" s="23" t="n"/>
      <c r="G260" s="23" t="n"/>
      <c r="H260" s="23" t="n"/>
      <c r="I260" s="17" t="n"/>
      <c r="J260" s="17" t="n"/>
      <c r="K260" s="17" t="n"/>
      <c r="L260" s="17">
        <f>IF(AND(A260="",C260=""),"",IF(A260="","FALTA doc. cliente",IF(B260="NO EXISTE en Clientes","CLIENTE no está en hoja Clientes",IF(C260="","FALTA nombre",IF(AND(K260="SI",COUNTIFS($A$5:$A$499,A260,$K$5:$K$499,"SI")&gt;1),"Más de un contacto principal para este cliente","OK")))))</f>
        <v/>
      </c>
      <c r="M260" s="28">
        <f>IF(L260&lt;&gt;"OK","","INSERT INTO cli_contacto (id_cliente, nombre, apellido_paterno, apellido_materno, telefono1, telefono2, telefono3, email, direccion, es_principal, estado) SELECT "&amp;"(SELECT id FROM cli_clientes WHERE numero_documento = '"&amp;SUBSTITUTE(TRIM(A260),"'","''")&amp;"' AND estado = 1 LIMIT 1)"&amp;", "&amp;IF(TRIM(C260&amp;"")="","NULL","'"&amp;SUBSTITUTE(TRIM(C260),"'","''")&amp;"'")&amp;", "&amp;IF(TRIM(D260&amp;"")="","NULL","'"&amp;SUBSTITUTE(TRIM(D260),"'","''")&amp;"'")&amp;", "&amp;IF(TRIM(E260&amp;"")="","NULL","'"&amp;SUBSTITUTE(TRIM(E260),"'","''")&amp;"'")&amp;", "&amp;IF(TRIM(F260&amp;"")="","NULL","'"&amp;SUBSTITUTE(TRIM(F260),"'","''")&amp;"'")&amp;", "&amp;IF(TRIM(G260&amp;"")="","NULL","'"&amp;SUBSTITUTE(TRIM(G260),"'","''")&amp;"'")&amp;", "&amp;IF(TRIM(H260&amp;"")="","NULL","'"&amp;SUBSTITUTE(TRIM(H260),"'","''")&amp;"'")&amp;", "&amp;IF(TRIM(I260&amp;"")="","NULL","'"&amp;SUBSTITUTE(TRIM(I260),"'","''")&amp;"'")&amp;", "&amp;IF(TRIM(J260&amp;"")="","NULL","'"&amp;SUBSTITUTE(TRIM(J260),"'","''")&amp;"'")&amp;", "&amp;IF(UPPER(TRIM(K260&amp;""))="SI","TRUE","FALSE")&amp;", 1"&amp;" WHERE NOT EXISTS (SELECT 1 FROM cli_contacto c WHERE c.id_cliente = "&amp;"(SELECT id FROM cli_clientes WHERE numero_documento = '"&amp;SUBSTITUTE(TRIM(A260),"'","''")&amp;"' AND estado = 1 LIMIT 1)"&amp;" AND upper(c.nombre) = upper("&amp;IF(TRIM(C260&amp;"")="","NULL","'"&amp;SUBSTITUTE(TRIM(C260),"'","''")&amp;"'")&amp;") AND coalesce(c.telefono1,'') = coalesce("&amp;IF(TRIM(F260&amp;"")="","NULL","'"&amp;SUBSTITUTE(TRIM(F260),"'","''")&amp;"'")&amp;",''));")</f>
        <v/>
      </c>
    </row>
    <row r="261" ht="15.75" customHeight="1" s="64">
      <c r="A261" s="23" t="n"/>
      <c r="B261" s="25">
        <f t="array" ref="B261">IF(A261="","",IFERROR(IF(INDEX(Clientes!$D$5:$D$549,MATCH(A261,Clientes!$C$5:$C$549,0))&lt;&gt;"",INDEX(Clientes!$D$5:$D$549,MATCH(A261,Clientes!$C$5:$C$549,0)),TRIM(INDEX(Clientes!$E$5:$E$549,MATCH(A261,Clientes!$C$5:$C$549,0))&amp;" "&amp;INDEX(Clientes!$F$5:$F$549,MATCH(A261,Clientes!$C$5:$C$549,0)))),"NO EXISTE en Clientes"))</f>
        <v/>
      </c>
      <c r="C261" s="17" t="n"/>
      <c r="D261" s="17" t="n"/>
      <c r="E261" s="17" t="n"/>
      <c r="F261" s="23" t="n"/>
      <c r="G261" s="23" t="n"/>
      <c r="H261" s="23" t="n"/>
      <c r="I261" s="17" t="n"/>
      <c r="J261" s="17" t="n"/>
      <c r="K261" s="17" t="n"/>
      <c r="L261" s="17">
        <f>IF(AND(A261="",C261=""),"",IF(A261="","FALTA doc. cliente",IF(B261="NO EXISTE en Clientes","CLIENTE no está en hoja Clientes",IF(C261="","FALTA nombre",IF(AND(K261="SI",COUNTIFS($A$5:$A$499,A261,$K$5:$K$499,"SI")&gt;1),"Más de un contacto principal para este cliente","OK")))))</f>
        <v/>
      </c>
      <c r="M261" s="28">
        <f>IF(L261&lt;&gt;"OK","","INSERT INTO cli_contacto (id_cliente, nombre, apellido_paterno, apellido_materno, telefono1, telefono2, telefono3, email, direccion, es_principal, estado) SELECT "&amp;"(SELECT id FROM cli_clientes WHERE numero_documento = '"&amp;SUBSTITUTE(TRIM(A261),"'","''")&amp;"' AND estado = 1 LIMIT 1)"&amp;", "&amp;IF(TRIM(C261&amp;"")="","NULL","'"&amp;SUBSTITUTE(TRIM(C261),"'","''")&amp;"'")&amp;", "&amp;IF(TRIM(D261&amp;"")="","NULL","'"&amp;SUBSTITUTE(TRIM(D261),"'","''")&amp;"'")&amp;", "&amp;IF(TRIM(E261&amp;"")="","NULL","'"&amp;SUBSTITUTE(TRIM(E261),"'","''")&amp;"'")&amp;", "&amp;IF(TRIM(F261&amp;"")="","NULL","'"&amp;SUBSTITUTE(TRIM(F261),"'","''")&amp;"'")&amp;", "&amp;IF(TRIM(G261&amp;"")="","NULL","'"&amp;SUBSTITUTE(TRIM(G261),"'","''")&amp;"'")&amp;", "&amp;IF(TRIM(H261&amp;"")="","NULL","'"&amp;SUBSTITUTE(TRIM(H261),"'","''")&amp;"'")&amp;", "&amp;IF(TRIM(I261&amp;"")="","NULL","'"&amp;SUBSTITUTE(TRIM(I261),"'","''")&amp;"'")&amp;", "&amp;IF(TRIM(J261&amp;"")="","NULL","'"&amp;SUBSTITUTE(TRIM(J261),"'","''")&amp;"'")&amp;", "&amp;IF(UPPER(TRIM(K261&amp;""))="SI","TRUE","FALSE")&amp;", 1"&amp;" WHERE NOT EXISTS (SELECT 1 FROM cli_contacto c WHERE c.id_cliente = "&amp;"(SELECT id FROM cli_clientes WHERE numero_documento = '"&amp;SUBSTITUTE(TRIM(A261),"'","''")&amp;"' AND estado = 1 LIMIT 1)"&amp;" AND upper(c.nombre) = upper("&amp;IF(TRIM(C261&amp;"")="","NULL","'"&amp;SUBSTITUTE(TRIM(C261),"'","''")&amp;"'")&amp;") AND coalesce(c.telefono1,'') = coalesce("&amp;IF(TRIM(F261&amp;"")="","NULL","'"&amp;SUBSTITUTE(TRIM(F261),"'","''")&amp;"'")&amp;",''));")</f>
        <v/>
      </c>
    </row>
    <row r="262" ht="15.75" customHeight="1" s="64">
      <c r="A262" s="23" t="n"/>
      <c r="B262" s="25">
        <f t="array" ref="B262">IF(A262="","",IFERROR(IF(INDEX(Clientes!$D$5:$D$549,MATCH(A262,Clientes!$C$5:$C$549,0))&lt;&gt;"",INDEX(Clientes!$D$5:$D$549,MATCH(A262,Clientes!$C$5:$C$549,0)),TRIM(INDEX(Clientes!$E$5:$E$549,MATCH(A262,Clientes!$C$5:$C$549,0))&amp;" "&amp;INDEX(Clientes!$F$5:$F$549,MATCH(A262,Clientes!$C$5:$C$549,0)))),"NO EXISTE en Clientes"))</f>
        <v/>
      </c>
      <c r="C262" s="17" t="n"/>
      <c r="D262" s="17" t="n"/>
      <c r="E262" s="17" t="n"/>
      <c r="F262" s="23" t="n"/>
      <c r="G262" s="23" t="n"/>
      <c r="H262" s="23" t="n"/>
      <c r="I262" s="17" t="n"/>
      <c r="J262" s="17" t="n"/>
      <c r="K262" s="17" t="n"/>
      <c r="L262" s="17">
        <f>IF(AND(A262="",C262=""),"",IF(A262="","FALTA doc. cliente",IF(B262="NO EXISTE en Clientes","CLIENTE no está en hoja Clientes",IF(C262="","FALTA nombre",IF(AND(K262="SI",COUNTIFS($A$5:$A$499,A262,$K$5:$K$499,"SI")&gt;1),"Más de un contacto principal para este cliente","OK")))))</f>
        <v/>
      </c>
      <c r="M262" s="28">
        <f>IF(L262&lt;&gt;"OK","","INSERT INTO cli_contacto (id_cliente, nombre, apellido_paterno, apellido_materno, telefono1, telefono2, telefono3, email, direccion, es_principal, estado) SELECT "&amp;"(SELECT id FROM cli_clientes WHERE numero_documento = '"&amp;SUBSTITUTE(TRIM(A262),"'","''")&amp;"' AND estado = 1 LIMIT 1)"&amp;", "&amp;IF(TRIM(C262&amp;"")="","NULL","'"&amp;SUBSTITUTE(TRIM(C262),"'","''")&amp;"'")&amp;", "&amp;IF(TRIM(D262&amp;"")="","NULL","'"&amp;SUBSTITUTE(TRIM(D262),"'","''")&amp;"'")&amp;", "&amp;IF(TRIM(E262&amp;"")="","NULL","'"&amp;SUBSTITUTE(TRIM(E262),"'","''")&amp;"'")&amp;", "&amp;IF(TRIM(F262&amp;"")="","NULL","'"&amp;SUBSTITUTE(TRIM(F262),"'","''")&amp;"'")&amp;", "&amp;IF(TRIM(G262&amp;"")="","NULL","'"&amp;SUBSTITUTE(TRIM(G262),"'","''")&amp;"'")&amp;", "&amp;IF(TRIM(H262&amp;"")="","NULL","'"&amp;SUBSTITUTE(TRIM(H262),"'","''")&amp;"'")&amp;", "&amp;IF(TRIM(I262&amp;"")="","NULL","'"&amp;SUBSTITUTE(TRIM(I262),"'","''")&amp;"'")&amp;", "&amp;IF(TRIM(J262&amp;"")="","NULL","'"&amp;SUBSTITUTE(TRIM(J262),"'","''")&amp;"'")&amp;", "&amp;IF(UPPER(TRIM(K262&amp;""))="SI","TRUE","FALSE")&amp;", 1"&amp;" WHERE NOT EXISTS (SELECT 1 FROM cli_contacto c WHERE c.id_cliente = "&amp;"(SELECT id FROM cli_clientes WHERE numero_documento = '"&amp;SUBSTITUTE(TRIM(A262),"'","''")&amp;"' AND estado = 1 LIMIT 1)"&amp;" AND upper(c.nombre) = upper("&amp;IF(TRIM(C262&amp;"")="","NULL","'"&amp;SUBSTITUTE(TRIM(C262),"'","''")&amp;"'")&amp;") AND coalesce(c.telefono1,'') = coalesce("&amp;IF(TRIM(F262&amp;"")="","NULL","'"&amp;SUBSTITUTE(TRIM(F262),"'","''")&amp;"'")&amp;",''));")</f>
        <v/>
      </c>
    </row>
    <row r="263" ht="15.75" customHeight="1" s="64">
      <c r="A263" s="23" t="n"/>
      <c r="B263" s="25">
        <f t="array" ref="B263">IF(A263="","",IFERROR(IF(INDEX(Clientes!$D$5:$D$549,MATCH(A263,Clientes!$C$5:$C$549,0))&lt;&gt;"",INDEX(Clientes!$D$5:$D$549,MATCH(A263,Clientes!$C$5:$C$549,0)),TRIM(INDEX(Clientes!$E$5:$E$549,MATCH(A263,Clientes!$C$5:$C$549,0))&amp;" "&amp;INDEX(Clientes!$F$5:$F$549,MATCH(A263,Clientes!$C$5:$C$549,0)))),"NO EXISTE en Clientes"))</f>
        <v/>
      </c>
      <c r="C263" s="17" t="n"/>
      <c r="D263" s="17" t="n"/>
      <c r="E263" s="17" t="n"/>
      <c r="F263" s="23" t="n"/>
      <c r="G263" s="23" t="n"/>
      <c r="H263" s="23" t="n"/>
      <c r="I263" s="17" t="n"/>
      <c r="J263" s="17" t="n"/>
      <c r="K263" s="17" t="n"/>
      <c r="L263" s="17">
        <f>IF(AND(A263="",C263=""),"",IF(A263="","FALTA doc. cliente",IF(B263="NO EXISTE en Clientes","CLIENTE no está en hoja Clientes",IF(C263="","FALTA nombre",IF(AND(K263="SI",COUNTIFS($A$5:$A$499,A263,$K$5:$K$499,"SI")&gt;1),"Más de un contacto principal para este cliente","OK")))))</f>
        <v/>
      </c>
      <c r="M263" s="28">
        <f>IF(L263&lt;&gt;"OK","","INSERT INTO cli_contacto (id_cliente, nombre, apellido_paterno, apellido_materno, telefono1, telefono2, telefono3, email, direccion, es_principal, estado) SELECT "&amp;"(SELECT id FROM cli_clientes WHERE numero_documento = '"&amp;SUBSTITUTE(TRIM(A263),"'","''")&amp;"' AND estado = 1 LIMIT 1)"&amp;", "&amp;IF(TRIM(C263&amp;"")="","NULL","'"&amp;SUBSTITUTE(TRIM(C263),"'","''")&amp;"'")&amp;", "&amp;IF(TRIM(D263&amp;"")="","NULL","'"&amp;SUBSTITUTE(TRIM(D263),"'","''")&amp;"'")&amp;", "&amp;IF(TRIM(E263&amp;"")="","NULL","'"&amp;SUBSTITUTE(TRIM(E263),"'","''")&amp;"'")&amp;", "&amp;IF(TRIM(F263&amp;"")="","NULL","'"&amp;SUBSTITUTE(TRIM(F263),"'","''")&amp;"'")&amp;", "&amp;IF(TRIM(G263&amp;"")="","NULL","'"&amp;SUBSTITUTE(TRIM(G263),"'","''")&amp;"'")&amp;", "&amp;IF(TRIM(H263&amp;"")="","NULL","'"&amp;SUBSTITUTE(TRIM(H263),"'","''")&amp;"'")&amp;", "&amp;IF(TRIM(I263&amp;"")="","NULL","'"&amp;SUBSTITUTE(TRIM(I263),"'","''")&amp;"'")&amp;", "&amp;IF(TRIM(J263&amp;"")="","NULL","'"&amp;SUBSTITUTE(TRIM(J263),"'","''")&amp;"'")&amp;", "&amp;IF(UPPER(TRIM(K263&amp;""))="SI","TRUE","FALSE")&amp;", 1"&amp;" WHERE NOT EXISTS (SELECT 1 FROM cli_contacto c WHERE c.id_cliente = "&amp;"(SELECT id FROM cli_clientes WHERE numero_documento = '"&amp;SUBSTITUTE(TRIM(A263),"'","''")&amp;"' AND estado = 1 LIMIT 1)"&amp;" AND upper(c.nombre) = upper("&amp;IF(TRIM(C263&amp;"")="","NULL","'"&amp;SUBSTITUTE(TRIM(C263),"'","''")&amp;"'")&amp;") AND coalesce(c.telefono1,'') = coalesce("&amp;IF(TRIM(F263&amp;"")="","NULL","'"&amp;SUBSTITUTE(TRIM(F263),"'","''")&amp;"'")&amp;",''));")</f>
        <v/>
      </c>
    </row>
    <row r="264" ht="15.75" customHeight="1" s="64">
      <c r="A264" s="23" t="n"/>
      <c r="B264" s="25">
        <f t="array" ref="B264">IF(A264="","",IFERROR(IF(INDEX(Clientes!$D$5:$D$549,MATCH(A264,Clientes!$C$5:$C$549,0))&lt;&gt;"",INDEX(Clientes!$D$5:$D$549,MATCH(A264,Clientes!$C$5:$C$549,0)),TRIM(INDEX(Clientes!$E$5:$E$549,MATCH(A264,Clientes!$C$5:$C$549,0))&amp;" "&amp;INDEX(Clientes!$F$5:$F$549,MATCH(A264,Clientes!$C$5:$C$549,0)))),"NO EXISTE en Clientes"))</f>
        <v/>
      </c>
      <c r="C264" s="17" t="n"/>
      <c r="D264" s="17" t="n"/>
      <c r="E264" s="17" t="n"/>
      <c r="F264" s="23" t="n"/>
      <c r="G264" s="23" t="n"/>
      <c r="H264" s="23" t="n"/>
      <c r="I264" s="17" t="n"/>
      <c r="J264" s="17" t="n"/>
      <c r="K264" s="17" t="n"/>
      <c r="L264" s="17">
        <f>IF(AND(A264="",C264=""),"",IF(A264="","FALTA doc. cliente",IF(B264="NO EXISTE en Clientes","CLIENTE no está en hoja Clientes",IF(C264="","FALTA nombre",IF(AND(K264="SI",COUNTIFS($A$5:$A$499,A264,$K$5:$K$499,"SI")&gt;1),"Más de un contacto principal para este cliente","OK")))))</f>
        <v/>
      </c>
      <c r="M264" s="28">
        <f>IF(L264&lt;&gt;"OK","","INSERT INTO cli_contacto (id_cliente, nombre, apellido_paterno, apellido_materno, telefono1, telefono2, telefono3, email, direccion, es_principal, estado) SELECT "&amp;"(SELECT id FROM cli_clientes WHERE numero_documento = '"&amp;SUBSTITUTE(TRIM(A264),"'","''")&amp;"' AND estado = 1 LIMIT 1)"&amp;", "&amp;IF(TRIM(C264&amp;"")="","NULL","'"&amp;SUBSTITUTE(TRIM(C264),"'","''")&amp;"'")&amp;", "&amp;IF(TRIM(D264&amp;"")="","NULL","'"&amp;SUBSTITUTE(TRIM(D264),"'","''")&amp;"'")&amp;", "&amp;IF(TRIM(E264&amp;"")="","NULL","'"&amp;SUBSTITUTE(TRIM(E264),"'","''")&amp;"'")&amp;", "&amp;IF(TRIM(F264&amp;"")="","NULL","'"&amp;SUBSTITUTE(TRIM(F264),"'","''")&amp;"'")&amp;", "&amp;IF(TRIM(G264&amp;"")="","NULL","'"&amp;SUBSTITUTE(TRIM(G264),"'","''")&amp;"'")&amp;", "&amp;IF(TRIM(H264&amp;"")="","NULL","'"&amp;SUBSTITUTE(TRIM(H264),"'","''")&amp;"'")&amp;", "&amp;IF(TRIM(I264&amp;"")="","NULL","'"&amp;SUBSTITUTE(TRIM(I264),"'","''")&amp;"'")&amp;", "&amp;IF(TRIM(J264&amp;"")="","NULL","'"&amp;SUBSTITUTE(TRIM(J264),"'","''")&amp;"'")&amp;", "&amp;IF(UPPER(TRIM(K264&amp;""))="SI","TRUE","FALSE")&amp;", 1"&amp;" WHERE NOT EXISTS (SELECT 1 FROM cli_contacto c WHERE c.id_cliente = "&amp;"(SELECT id FROM cli_clientes WHERE numero_documento = '"&amp;SUBSTITUTE(TRIM(A264),"'","''")&amp;"' AND estado = 1 LIMIT 1)"&amp;" AND upper(c.nombre) = upper("&amp;IF(TRIM(C264&amp;"")="","NULL","'"&amp;SUBSTITUTE(TRIM(C264),"'","''")&amp;"'")&amp;") AND coalesce(c.telefono1,'') = coalesce("&amp;IF(TRIM(F264&amp;"")="","NULL","'"&amp;SUBSTITUTE(TRIM(F264),"'","''")&amp;"'")&amp;",''));")</f>
        <v/>
      </c>
    </row>
    <row r="265" ht="15.75" customHeight="1" s="64">
      <c r="A265" s="23" t="n"/>
      <c r="B265" s="25">
        <f t="array" ref="B265">IF(A265="","",IFERROR(IF(INDEX(Clientes!$D$5:$D$549,MATCH(A265,Clientes!$C$5:$C$549,0))&lt;&gt;"",INDEX(Clientes!$D$5:$D$549,MATCH(A265,Clientes!$C$5:$C$549,0)),TRIM(INDEX(Clientes!$E$5:$E$549,MATCH(A265,Clientes!$C$5:$C$549,0))&amp;" "&amp;INDEX(Clientes!$F$5:$F$549,MATCH(A265,Clientes!$C$5:$C$549,0)))),"NO EXISTE en Clientes"))</f>
        <v/>
      </c>
      <c r="C265" s="17" t="n"/>
      <c r="D265" s="17" t="n"/>
      <c r="E265" s="17" t="n"/>
      <c r="F265" s="23" t="n"/>
      <c r="G265" s="23" t="n"/>
      <c r="H265" s="23" t="n"/>
      <c r="I265" s="17" t="n"/>
      <c r="J265" s="17" t="n"/>
      <c r="K265" s="17" t="n"/>
      <c r="L265" s="17">
        <f>IF(AND(A265="",C265=""),"",IF(A265="","FALTA doc. cliente",IF(B265="NO EXISTE en Clientes","CLIENTE no está en hoja Clientes",IF(C265="","FALTA nombre",IF(AND(K265="SI",COUNTIFS($A$5:$A$499,A265,$K$5:$K$499,"SI")&gt;1),"Más de un contacto principal para este cliente","OK")))))</f>
        <v/>
      </c>
      <c r="M265" s="28">
        <f>IF(L265&lt;&gt;"OK","","INSERT INTO cli_contacto (id_cliente, nombre, apellido_paterno, apellido_materno, telefono1, telefono2, telefono3, email, direccion, es_principal, estado) SELECT "&amp;"(SELECT id FROM cli_clientes WHERE numero_documento = '"&amp;SUBSTITUTE(TRIM(A265),"'","''")&amp;"' AND estado = 1 LIMIT 1)"&amp;", "&amp;IF(TRIM(C265&amp;"")="","NULL","'"&amp;SUBSTITUTE(TRIM(C265),"'","''")&amp;"'")&amp;", "&amp;IF(TRIM(D265&amp;"")="","NULL","'"&amp;SUBSTITUTE(TRIM(D265),"'","''")&amp;"'")&amp;", "&amp;IF(TRIM(E265&amp;"")="","NULL","'"&amp;SUBSTITUTE(TRIM(E265),"'","''")&amp;"'")&amp;", "&amp;IF(TRIM(F265&amp;"")="","NULL","'"&amp;SUBSTITUTE(TRIM(F265),"'","''")&amp;"'")&amp;", "&amp;IF(TRIM(G265&amp;"")="","NULL","'"&amp;SUBSTITUTE(TRIM(G265),"'","''")&amp;"'")&amp;", "&amp;IF(TRIM(H265&amp;"")="","NULL","'"&amp;SUBSTITUTE(TRIM(H265),"'","''")&amp;"'")&amp;", "&amp;IF(TRIM(I265&amp;"")="","NULL","'"&amp;SUBSTITUTE(TRIM(I265),"'","''")&amp;"'")&amp;", "&amp;IF(TRIM(J265&amp;"")="","NULL","'"&amp;SUBSTITUTE(TRIM(J265),"'","''")&amp;"'")&amp;", "&amp;IF(UPPER(TRIM(K265&amp;""))="SI","TRUE","FALSE")&amp;", 1"&amp;" WHERE NOT EXISTS (SELECT 1 FROM cli_contacto c WHERE c.id_cliente = "&amp;"(SELECT id FROM cli_clientes WHERE numero_documento = '"&amp;SUBSTITUTE(TRIM(A265),"'","''")&amp;"' AND estado = 1 LIMIT 1)"&amp;" AND upper(c.nombre) = upper("&amp;IF(TRIM(C265&amp;"")="","NULL","'"&amp;SUBSTITUTE(TRIM(C265),"'","''")&amp;"'")&amp;") AND coalesce(c.telefono1,'') = coalesce("&amp;IF(TRIM(F265&amp;"")="","NULL","'"&amp;SUBSTITUTE(TRIM(F265),"'","''")&amp;"'")&amp;",''));")</f>
        <v/>
      </c>
    </row>
    <row r="266" ht="15.75" customHeight="1" s="64">
      <c r="A266" s="23" t="n"/>
      <c r="B266" s="25">
        <f t="array" ref="B266">IF(A266="","",IFERROR(IF(INDEX(Clientes!$D$5:$D$549,MATCH(A266,Clientes!$C$5:$C$549,0))&lt;&gt;"",INDEX(Clientes!$D$5:$D$549,MATCH(A266,Clientes!$C$5:$C$549,0)),TRIM(INDEX(Clientes!$E$5:$E$549,MATCH(A266,Clientes!$C$5:$C$549,0))&amp;" "&amp;INDEX(Clientes!$F$5:$F$549,MATCH(A266,Clientes!$C$5:$C$549,0)))),"NO EXISTE en Clientes"))</f>
        <v/>
      </c>
      <c r="C266" s="17" t="n"/>
      <c r="D266" s="17" t="n"/>
      <c r="E266" s="17" t="n"/>
      <c r="F266" s="23" t="n"/>
      <c r="G266" s="23" t="n"/>
      <c r="H266" s="23" t="n"/>
      <c r="I266" s="17" t="n"/>
      <c r="J266" s="17" t="n"/>
      <c r="K266" s="17" t="n"/>
      <c r="L266" s="17">
        <f>IF(AND(A266="",C266=""),"",IF(A266="","FALTA doc. cliente",IF(B266="NO EXISTE en Clientes","CLIENTE no está en hoja Clientes",IF(C266="","FALTA nombre",IF(AND(K266="SI",COUNTIFS($A$5:$A$499,A266,$K$5:$K$499,"SI")&gt;1),"Más de un contacto principal para este cliente","OK")))))</f>
        <v/>
      </c>
      <c r="M266" s="28">
        <f>IF(L266&lt;&gt;"OK","","INSERT INTO cli_contacto (id_cliente, nombre, apellido_paterno, apellido_materno, telefono1, telefono2, telefono3, email, direccion, es_principal, estado) SELECT "&amp;"(SELECT id FROM cli_clientes WHERE numero_documento = '"&amp;SUBSTITUTE(TRIM(A266),"'","''")&amp;"' AND estado = 1 LIMIT 1)"&amp;", "&amp;IF(TRIM(C266&amp;"")="","NULL","'"&amp;SUBSTITUTE(TRIM(C266),"'","''")&amp;"'")&amp;", "&amp;IF(TRIM(D266&amp;"")="","NULL","'"&amp;SUBSTITUTE(TRIM(D266),"'","''")&amp;"'")&amp;", "&amp;IF(TRIM(E266&amp;"")="","NULL","'"&amp;SUBSTITUTE(TRIM(E266),"'","''")&amp;"'")&amp;", "&amp;IF(TRIM(F266&amp;"")="","NULL","'"&amp;SUBSTITUTE(TRIM(F266),"'","''")&amp;"'")&amp;", "&amp;IF(TRIM(G266&amp;"")="","NULL","'"&amp;SUBSTITUTE(TRIM(G266),"'","''")&amp;"'")&amp;", "&amp;IF(TRIM(H266&amp;"")="","NULL","'"&amp;SUBSTITUTE(TRIM(H266),"'","''")&amp;"'")&amp;", "&amp;IF(TRIM(I266&amp;"")="","NULL","'"&amp;SUBSTITUTE(TRIM(I266),"'","''")&amp;"'")&amp;", "&amp;IF(TRIM(J266&amp;"")="","NULL","'"&amp;SUBSTITUTE(TRIM(J266),"'","''")&amp;"'")&amp;", "&amp;IF(UPPER(TRIM(K266&amp;""))="SI","TRUE","FALSE")&amp;", 1"&amp;" WHERE NOT EXISTS (SELECT 1 FROM cli_contacto c WHERE c.id_cliente = "&amp;"(SELECT id FROM cli_clientes WHERE numero_documento = '"&amp;SUBSTITUTE(TRIM(A266),"'","''")&amp;"' AND estado = 1 LIMIT 1)"&amp;" AND upper(c.nombre) = upper("&amp;IF(TRIM(C266&amp;"")="","NULL","'"&amp;SUBSTITUTE(TRIM(C266),"'","''")&amp;"'")&amp;") AND coalesce(c.telefono1,'') = coalesce("&amp;IF(TRIM(F266&amp;"")="","NULL","'"&amp;SUBSTITUTE(TRIM(F266),"'","''")&amp;"'")&amp;",''));")</f>
        <v/>
      </c>
    </row>
    <row r="267" ht="15.75" customHeight="1" s="64">
      <c r="A267" s="23" t="n"/>
      <c r="B267" s="25">
        <f t="array" ref="B267">IF(A267="","",IFERROR(IF(INDEX(Clientes!$D$5:$D$549,MATCH(A267,Clientes!$C$5:$C$549,0))&lt;&gt;"",INDEX(Clientes!$D$5:$D$549,MATCH(A267,Clientes!$C$5:$C$549,0)),TRIM(INDEX(Clientes!$E$5:$E$549,MATCH(A267,Clientes!$C$5:$C$549,0))&amp;" "&amp;INDEX(Clientes!$F$5:$F$549,MATCH(A267,Clientes!$C$5:$C$549,0)))),"NO EXISTE en Clientes"))</f>
        <v/>
      </c>
      <c r="C267" s="17" t="n"/>
      <c r="D267" s="17" t="n"/>
      <c r="E267" s="17" t="n"/>
      <c r="F267" s="23" t="n"/>
      <c r="G267" s="23" t="n"/>
      <c r="H267" s="23" t="n"/>
      <c r="I267" s="17" t="n"/>
      <c r="J267" s="17" t="n"/>
      <c r="K267" s="17" t="n"/>
      <c r="L267" s="17">
        <f>IF(AND(A267="",C267=""),"",IF(A267="","FALTA doc. cliente",IF(B267="NO EXISTE en Clientes","CLIENTE no está en hoja Clientes",IF(C267="","FALTA nombre",IF(AND(K267="SI",COUNTIFS($A$5:$A$499,A267,$K$5:$K$499,"SI")&gt;1),"Más de un contacto principal para este cliente","OK")))))</f>
        <v/>
      </c>
      <c r="M267" s="28">
        <f>IF(L267&lt;&gt;"OK","","INSERT INTO cli_contacto (id_cliente, nombre, apellido_paterno, apellido_materno, telefono1, telefono2, telefono3, email, direccion, es_principal, estado) SELECT "&amp;"(SELECT id FROM cli_clientes WHERE numero_documento = '"&amp;SUBSTITUTE(TRIM(A267),"'","''")&amp;"' AND estado = 1 LIMIT 1)"&amp;", "&amp;IF(TRIM(C267&amp;"")="","NULL","'"&amp;SUBSTITUTE(TRIM(C267),"'","''")&amp;"'")&amp;", "&amp;IF(TRIM(D267&amp;"")="","NULL","'"&amp;SUBSTITUTE(TRIM(D267),"'","''")&amp;"'")&amp;", "&amp;IF(TRIM(E267&amp;"")="","NULL","'"&amp;SUBSTITUTE(TRIM(E267),"'","''")&amp;"'")&amp;", "&amp;IF(TRIM(F267&amp;"")="","NULL","'"&amp;SUBSTITUTE(TRIM(F267),"'","''")&amp;"'")&amp;", "&amp;IF(TRIM(G267&amp;"")="","NULL","'"&amp;SUBSTITUTE(TRIM(G267),"'","''")&amp;"'")&amp;", "&amp;IF(TRIM(H267&amp;"")="","NULL","'"&amp;SUBSTITUTE(TRIM(H267),"'","''")&amp;"'")&amp;", "&amp;IF(TRIM(I267&amp;"")="","NULL","'"&amp;SUBSTITUTE(TRIM(I267),"'","''")&amp;"'")&amp;", "&amp;IF(TRIM(J267&amp;"")="","NULL","'"&amp;SUBSTITUTE(TRIM(J267),"'","''")&amp;"'")&amp;", "&amp;IF(UPPER(TRIM(K267&amp;""))="SI","TRUE","FALSE")&amp;", 1"&amp;" WHERE NOT EXISTS (SELECT 1 FROM cli_contacto c WHERE c.id_cliente = "&amp;"(SELECT id FROM cli_clientes WHERE numero_documento = '"&amp;SUBSTITUTE(TRIM(A267),"'","''")&amp;"' AND estado = 1 LIMIT 1)"&amp;" AND upper(c.nombre) = upper("&amp;IF(TRIM(C267&amp;"")="","NULL","'"&amp;SUBSTITUTE(TRIM(C267),"'","''")&amp;"'")&amp;") AND coalesce(c.telefono1,'') = coalesce("&amp;IF(TRIM(F267&amp;"")="","NULL","'"&amp;SUBSTITUTE(TRIM(F267),"'","''")&amp;"'")&amp;",''));")</f>
        <v/>
      </c>
    </row>
    <row r="268" ht="15.75" customHeight="1" s="64">
      <c r="A268" s="23" t="n"/>
      <c r="B268" s="25">
        <f t="array" ref="B268">IF(A268="","",IFERROR(IF(INDEX(Clientes!$D$5:$D$549,MATCH(A268,Clientes!$C$5:$C$549,0))&lt;&gt;"",INDEX(Clientes!$D$5:$D$549,MATCH(A268,Clientes!$C$5:$C$549,0)),TRIM(INDEX(Clientes!$E$5:$E$549,MATCH(A268,Clientes!$C$5:$C$549,0))&amp;" "&amp;INDEX(Clientes!$F$5:$F$549,MATCH(A268,Clientes!$C$5:$C$549,0)))),"NO EXISTE en Clientes"))</f>
        <v/>
      </c>
      <c r="C268" s="17" t="n"/>
      <c r="D268" s="17" t="n"/>
      <c r="E268" s="17" t="n"/>
      <c r="F268" s="23" t="n"/>
      <c r="G268" s="23" t="n"/>
      <c r="H268" s="23" t="n"/>
      <c r="I268" s="17" t="n"/>
      <c r="J268" s="17" t="n"/>
      <c r="K268" s="17" t="n"/>
      <c r="L268" s="17">
        <f>IF(AND(A268="",C268=""),"",IF(A268="","FALTA doc. cliente",IF(B268="NO EXISTE en Clientes","CLIENTE no está en hoja Clientes",IF(C268="","FALTA nombre",IF(AND(K268="SI",COUNTIFS($A$5:$A$499,A268,$K$5:$K$499,"SI")&gt;1),"Más de un contacto principal para este cliente","OK")))))</f>
        <v/>
      </c>
      <c r="M268" s="28">
        <f>IF(L268&lt;&gt;"OK","","INSERT INTO cli_contacto (id_cliente, nombre, apellido_paterno, apellido_materno, telefono1, telefono2, telefono3, email, direccion, es_principal, estado) SELECT "&amp;"(SELECT id FROM cli_clientes WHERE numero_documento = '"&amp;SUBSTITUTE(TRIM(A268),"'","''")&amp;"' AND estado = 1 LIMIT 1)"&amp;", "&amp;IF(TRIM(C268&amp;"")="","NULL","'"&amp;SUBSTITUTE(TRIM(C268),"'","''")&amp;"'")&amp;", "&amp;IF(TRIM(D268&amp;"")="","NULL","'"&amp;SUBSTITUTE(TRIM(D268),"'","''")&amp;"'")&amp;", "&amp;IF(TRIM(E268&amp;"")="","NULL","'"&amp;SUBSTITUTE(TRIM(E268),"'","''")&amp;"'")&amp;", "&amp;IF(TRIM(F268&amp;"")="","NULL","'"&amp;SUBSTITUTE(TRIM(F268),"'","''")&amp;"'")&amp;", "&amp;IF(TRIM(G268&amp;"")="","NULL","'"&amp;SUBSTITUTE(TRIM(G268),"'","''")&amp;"'")&amp;", "&amp;IF(TRIM(H268&amp;"")="","NULL","'"&amp;SUBSTITUTE(TRIM(H268),"'","''")&amp;"'")&amp;", "&amp;IF(TRIM(I268&amp;"")="","NULL","'"&amp;SUBSTITUTE(TRIM(I268),"'","''")&amp;"'")&amp;", "&amp;IF(TRIM(J268&amp;"")="","NULL","'"&amp;SUBSTITUTE(TRIM(J268),"'","''")&amp;"'")&amp;", "&amp;IF(UPPER(TRIM(K268&amp;""))="SI","TRUE","FALSE")&amp;", 1"&amp;" WHERE NOT EXISTS (SELECT 1 FROM cli_contacto c WHERE c.id_cliente = "&amp;"(SELECT id FROM cli_clientes WHERE numero_documento = '"&amp;SUBSTITUTE(TRIM(A268),"'","''")&amp;"' AND estado = 1 LIMIT 1)"&amp;" AND upper(c.nombre) = upper("&amp;IF(TRIM(C268&amp;"")="","NULL","'"&amp;SUBSTITUTE(TRIM(C268),"'","''")&amp;"'")&amp;") AND coalesce(c.telefono1,'') = coalesce("&amp;IF(TRIM(F268&amp;"")="","NULL","'"&amp;SUBSTITUTE(TRIM(F268),"'","''")&amp;"'")&amp;",''));")</f>
        <v/>
      </c>
    </row>
    <row r="269" ht="15.75" customHeight="1" s="64">
      <c r="A269" s="23" t="n"/>
      <c r="B269" s="25">
        <f t="array" ref="B269">IF(A269="","",IFERROR(IF(INDEX(Clientes!$D$5:$D$549,MATCH(A269,Clientes!$C$5:$C$549,0))&lt;&gt;"",INDEX(Clientes!$D$5:$D$549,MATCH(A269,Clientes!$C$5:$C$549,0)),TRIM(INDEX(Clientes!$E$5:$E$549,MATCH(A269,Clientes!$C$5:$C$549,0))&amp;" "&amp;INDEX(Clientes!$F$5:$F$549,MATCH(A269,Clientes!$C$5:$C$549,0)))),"NO EXISTE en Clientes"))</f>
        <v/>
      </c>
      <c r="C269" s="17" t="n"/>
      <c r="D269" s="17" t="n"/>
      <c r="E269" s="17" t="n"/>
      <c r="F269" s="23" t="n"/>
      <c r="G269" s="23" t="n"/>
      <c r="H269" s="23" t="n"/>
      <c r="I269" s="17" t="n"/>
      <c r="J269" s="17" t="n"/>
      <c r="K269" s="17" t="n"/>
      <c r="L269" s="17">
        <f>IF(AND(A269="",C269=""),"",IF(A269="","FALTA doc. cliente",IF(B269="NO EXISTE en Clientes","CLIENTE no está en hoja Clientes",IF(C269="","FALTA nombre",IF(AND(K269="SI",COUNTIFS($A$5:$A$499,A269,$K$5:$K$499,"SI")&gt;1),"Más de un contacto principal para este cliente","OK")))))</f>
        <v/>
      </c>
      <c r="M269" s="28">
        <f>IF(L269&lt;&gt;"OK","","INSERT INTO cli_contacto (id_cliente, nombre, apellido_paterno, apellido_materno, telefono1, telefono2, telefono3, email, direccion, es_principal, estado) SELECT "&amp;"(SELECT id FROM cli_clientes WHERE numero_documento = '"&amp;SUBSTITUTE(TRIM(A269),"'","''")&amp;"' AND estado = 1 LIMIT 1)"&amp;", "&amp;IF(TRIM(C269&amp;"")="","NULL","'"&amp;SUBSTITUTE(TRIM(C269),"'","''")&amp;"'")&amp;", "&amp;IF(TRIM(D269&amp;"")="","NULL","'"&amp;SUBSTITUTE(TRIM(D269),"'","''")&amp;"'")&amp;", "&amp;IF(TRIM(E269&amp;"")="","NULL","'"&amp;SUBSTITUTE(TRIM(E269),"'","''")&amp;"'")&amp;", "&amp;IF(TRIM(F269&amp;"")="","NULL","'"&amp;SUBSTITUTE(TRIM(F269),"'","''")&amp;"'")&amp;", "&amp;IF(TRIM(G269&amp;"")="","NULL","'"&amp;SUBSTITUTE(TRIM(G269),"'","''")&amp;"'")&amp;", "&amp;IF(TRIM(H269&amp;"")="","NULL","'"&amp;SUBSTITUTE(TRIM(H269),"'","''")&amp;"'")&amp;", "&amp;IF(TRIM(I269&amp;"")="","NULL","'"&amp;SUBSTITUTE(TRIM(I269),"'","''")&amp;"'")&amp;", "&amp;IF(TRIM(J269&amp;"")="","NULL","'"&amp;SUBSTITUTE(TRIM(J269),"'","''")&amp;"'")&amp;", "&amp;IF(UPPER(TRIM(K269&amp;""))="SI","TRUE","FALSE")&amp;", 1"&amp;" WHERE NOT EXISTS (SELECT 1 FROM cli_contacto c WHERE c.id_cliente = "&amp;"(SELECT id FROM cli_clientes WHERE numero_documento = '"&amp;SUBSTITUTE(TRIM(A269),"'","''")&amp;"' AND estado = 1 LIMIT 1)"&amp;" AND upper(c.nombre) = upper("&amp;IF(TRIM(C269&amp;"")="","NULL","'"&amp;SUBSTITUTE(TRIM(C269),"'","''")&amp;"'")&amp;") AND coalesce(c.telefono1,'') = coalesce("&amp;IF(TRIM(F269&amp;"")="","NULL","'"&amp;SUBSTITUTE(TRIM(F269),"'","''")&amp;"'")&amp;",''));")</f>
        <v/>
      </c>
    </row>
    <row r="270" ht="15.75" customHeight="1" s="64">
      <c r="A270" s="23" t="n"/>
      <c r="B270" s="25">
        <f t="array" ref="B270">IF(A270="","",IFERROR(IF(INDEX(Clientes!$D$5:$D$549,MATCH(A270,Clientes!$C$5:$C$549,0))&lt;&gt;"",INDEX(Clientes!$D$5:$D$549,MATCH(A270,Clientes!$C$5:$C$549,0)),TRIM(INDEX(Clientes!$E$5:$E$549,MATCH(A270,Clientes!$C$5:$C$549,0))&amp;" "&amp;INDEX(Clientes!$F$5:$F$549,MATCH(A270,Clientes!$C$5:$C$549,0)))),"NO EXISTE en Clientes"))</f>
        <v/>
      </c>
      <c r="C270" s="17" t="n"/>
      <c r="D270" s="17" t="n"/>
      <c r="E270" s="17" t="n"/>
      <c r="F270" s="23" t="n"/>
      <c r="G270" s="23" t="n"/>
      <c r="H270" s="23" t="n"/>
      <c r="I270" s="17" t="n"/>
      <c r="J270" s="17" t="n"/>
      <c r="K270" s="17" t="n"/>
      <c r="L270" s="17">
        <f>IF(AND(A270="",C270=""),"",IF(A270="","FALTA doc. cliente",IF(B270="NO EXISTE en Clientes","CLIENTE no está en hoja Clientes",IF(C270="","FALTA nombre",IF(AND(K270="SI",COUNTIFS($A$5:$A$499,A270,$K$5:$K$499,"SI")&gt;1),"Más de un contacto principal para este cliente","OK")))))</f>
        <v/>
      </c>
      <c r="M270" s="28">
        <f>IF(L270&lt;&gt;"OK","","INSERT INTO cli_contacto (id_cliente, nombre, apellido_paterno, apellido_materno, telefono1, telefono2, telefono3, email, direccion, es_principal, estado) SELECT "&amp;"(SELECT id FROM cli_clientes WHERE numero_documento = '"&amp;SUBSTITUTE(TRIM(A270),"'","''")&amp;"' AND estado = 1 LIMIT 1)"&amp;", "&amp;IF(TRIM(C270&amp;"")="","NULL","'"&amp;SUBSTITUTE(TRIM(C270),"'","''")&amp;"'")&amp;", "&amp;IF(TRIM(D270&amp;"")="","NULL","'"&amp;SUBSTITUTE(TRIM(D270),"'","''")&amp;"'")&amp;", "&amp;IF(TRIM(E270&amp;"")="","NULL","'"&amp;SUBSTITUTE(TRIM(E270),"'","''")&amp;"'")&amp;", "&amp;IF(TRIM(F270&amp;"")="","NULL","'"&amp;SUBSTITUTE(TRIM(F270),"'","''")&amp;"'")&amp;", "&amp;IF(TRIM(G270&amp;"")="","NULL","'"&amp;SUBSTITUTE(TRIM(G270),"'","''")&amp;"'")&amp;", "&amp;IF(TRIM(H270&amp;"")="","NULL","'"&amp;SUBSTITUTE(TRIM(H270),"'","''")&amp;"'")&amp;", "&amp;IF(TRIM(I270&amp;"")="","NULL","'"&amp;SUBSTITUTE(TRIM(I270),"'","''")&amp;"'")&amp;", "&amp;IF(TRIM(J270&amp;"")="","NULL","'"&amp;SUBSTITUTE(TRIM(J270),"'","''")&amp;"'")&amp;", "&amp;IF(UPPER(TRIM(K270&amp;""))="SI","TRUE","FALSE")&amp;", 1"&amp;" WHERE NOT EXISTS (SELECT 1 FROM cli_contacto c WHERE c.id_cliente = "&amp;"(SELECT id FROM cli_clientes WHERE numero_documento = '"&amp;SUBSTITUTE(TRIM(A270),"'","''")&amp;"' AND estado = 1 LIMIT 1)"&amp;" AND upper(c.nombre) = upper("&amp;IF(TRIM(C270&amp;"")="","NULL","'"&amp;SUBSTITUTE(TRIM(C270),"'","''")&amp;"'")&amp;") AND coalesce(c.telefono1,'') = coalesce("&amp;IF(TRIM(F270&amp;"")="","NULL","'"&amp;SUBSTITUTE(TRIM(F270),"'","''")&amp;"'")&amp;",''));")</f>
        <v/>
      </c>
    </row>
    <row r="271" ht="15.75" customHeight="1" s="64">
      <c r="A271" s="23" t="n"/>
      <c r="B271" s="25">
        <f t="array" ref="B271">IF(A271="","",IFERROR(IF(INDEX(Clientes!$D$5:$D$549,MATCH(A271,Clientes!$C$5:$C$549,0))&lt;&gt;"",INDEX(Clientes!$D$5:$D$549,MATCH(A271,Clientes!$C$5:$C$549,0)),TRIM(INDEX(Clientes!$E$5:$E$549,MATCH(A271,Clientes!$C$5:$C$549,0))&amp;" "&amp;INDEX(Clientes!$F$5:$F$549,MATCH(A271,Clientes!$C$5:$C$549,0)))),"NO EXISTE en Clientes"))</f>
        <v/>
      </c>
      <c r="C271" s="17" t="n"/>
      <c r="D271" s="17" t="n"/>
      <c r="E271" s="17" t="n"/>
      <c r="F271" s="23" t="n"/>
      <c r="G271" s="23" t="n"/>
      <c r="H271" s="23" t="n"/>
      <c r="I271" s="17" t="n"/>
      <c r="J271" s="17" t="n"/>
      <c r="K271" s="17" t="n"/>
      <c r="L271" s="17">
        <f>IF(AND(A271="",C271=""),"",IF(A271="","FALTA doc. cliente",IF(B271="NO EXISTE en Clientes","CLIENTE no está en hoja Clientes",IF(C271="","FALTA nombre",IF(AND(K271="SI",COUNTIFS($A$5:$A$499,A271,$K$5:$K$499,"SI")&gt;1),"Más de un contacto principal para este cliente","OK")))))</f>
        <v/>
      </c>
      <c r="M271" s="28">
        <f>IF(L271&lt;&gt;"OK","","INSERT INTO cli_contacto (id_cliente, nombre, apellido_paterno, apellido_materno, telefono1, telefono2, telefono3, email, direccion, es_principal, estado) SELECT "&amp;"(SELECT id FROM cli_clientes WHERE numero_documento = '"&amp;SUBSTITUTE(TRIM(A271),"'","''")&amp;"' AND estado = 1 LIMIT 1)"&amp;", "&amp;IF(TRIM(C271&amp;"")="","NULL","'"&amp;SUBSTITUTE(TRIM(C271),"'","''")&amp;"'")&amp;", "&amp;IF(TRIM(D271&amp;"")="","NULL","'"&amp;SUBSTITUTE(TRIM(D271),"'","''")&amp;"'")&amp;", "&amp;IF(TRIM(E271&amp;"")="","NULL","'"&amp;SUBSTITUTE(TRIM(E271),"'","''")&amp;"'")&amp;", "&amp;IF(TRIM(F271&amp;"")="","NULL","'"&amp;SUBSTITUTE(TRIM(F271),"'","''")&amp;"'")&amp;", "&amp;IF(TRIM(G271&amp;"")="","NULL","'"&amp;SUBSTITUTE(TRIM(G271),"'","''")&amp;"'")&amp;", "&amp;IF(TRIM(H271&amp;"")="","NULL","'"&amp;SUBSTITUTE(TRIM(H271),"'","''")&amp;"'")&amp;", "&amp;IF(TRIM(I271&amp;"")="","NULL","'"&amp;SUBSTITUTE(TRIM(I271),"'","''")&amp;"'")&amp;", "&amp;IF(TRIM(J271&amp;"")="","NULL","'"&amp;SUBSTITUTE(TRIM(J271),"'","''")&amp;"'")&amp;", "&amp;IF(UPPER(TRIM(K271&amp;""))="SI","TRUE","FALSE")&amp;", 1"&amp;" WHERE NOT EXISTS (SELECT 1 FROM cli_contacto c WHERE c.id_cliente = "&amp;"(SELECT id FROM cli_clientes WHERE numero_documento = '"&amp;SUBSTITUTE(TRIM(A271),"'","''")&amp;"' AND estado = 1 LIMIT 1)"&amp;" AND upper(c.nombre) = upper("&amp;IF(TRIM(C271&amp;"")="","NULL","'"&amp;SUBSTITUTE(TRIM(C271),"'","''")&amp;"'")&amp;") AND coalesce(c.telefono1,'') = coalesce("&amp;IF(TRIM(F271&amp;"")="","NULL","'"&amp;SUBSTITUTE(TRIM(F271),"'","''")&amp;"'")&amp;",''));")</f>
        <v/>
      </c>
    </row>
    <row r="272" ht="15.75" customHeight="1" s="64">
      <c r="A272" s="23" t="n"/>
      <c r="B272" s="25">
        <f t="array" ref="B272">IF(A272="","",IFERROR(IF(INDEX(Clientes!$D$5:$D$549,MATCH(A272,Clientes!$C$5:$C$549,0))&lt;&gt;"",INDEX(Clientes!$D$5:$D$549,MATCH(A272,Clientes!$C$5:$C$549,0)),TRIM(INDEX(Clientes!$E$5:$E$549,MATCH(A272,Clientes!$C$5:$C$549,0))&amp;" "&amp;INDEX(Clientes!$F$5:$F$549,MATCH(A272,Clientes!$C$5:$C$549,0)))),"NO EXISTE en Clientes"))</f>
        <v/>
      </c>
      <c r="C272" s="17" t="n"/>
      <c r="D272" s="17" t="n"/>
      <c r="E272" s="17" t="n"/>
      <c r="F272" s="23" t="n"/>
      <c r="G272" s="23" t="n"/>
      <c r="H272" s="23" t="n"/>
      <c r="I272" s="17" t="n"/>
      <c r="J272" s="17" t="n"/>
      <c r="K272" s="17" t="n"/>
      <c r="L272" s="17">
        <f>IF(AND(A272="",C272=""),"",IF(A272="","FALTA doc. cliente",IF(B272="NO EXISTE en Clientes","CLIENTE no está en hoja Clientes",IF(C272="","FALTA nombre",IF(AND(K272="SI",COUNTIFS($A$5:$A$499,A272,$K$5:$K$499,"SI")&gt;1),"Más de un contacto principal para este cliente","OK")))))</f>
        <v/>
      </c>
      <c r="M272" s="28">
        <f>IF(L272&lt;&gt;"OK","","INSERT INTO cli_contacto (id_cliente, nombre, apellido_paterno, apellido_materno, telefono1, telefono2, telefono3, email, direccion, es_principal, estado) SELECT "&amp;"(SELECT id FROM cli_clientes WHERE numero_documento = '"&amp;SUBSTITUTE(TRIM(A272),"'","''")&amp;"' AND estado = 1 LIMIT 1)"&amp;", "&amp;IF(TRIM(C272&amp;"")="","NULL","'"&amp;SUBSTITUTE(TRIM(C272),"'","''")&amp;"'")&amp;", "&amp;IF(TRIM(D272&amp;"")="","NULL","'"&amp;SUBSTITUTE(TRIM(D272),"'","''")&amp;"'")&amp;", "&amp;IF(TRIM(E272&amp;"")="","NULL","'"&amp;SUBSTITUTE(TRIM(E272),"'","''")&amp;"'")&amp;", "&amp;IF(TRIM(F272&amp;"")="","NULL","'"&amp;SUBSTITUTE(TRIM(F272),"'","''")&amp;"'")&amp;", "&amp;IF(TRIM(G272&amp;"")="","NULL","'"&amp;SUBSTITUTE(TRIM(G272),"'","''")&amp;"'")&amp;", "&amp;IF(TRIM(H272&amp;"")="","NULL","'"&amp;SUBSTITUTE(TRIM(H272),"'","''")&amp;"'")&amp;", "&amp;IF(TRIM(I272&amp;"")="","NULL","'"&amp;SUBSTITUTE(TRIM(I272),"'","''")&amp;"'")&amp;", "&amp;IF(TRIM(J272&amp;"")="","NULL","'"&amp;SUBSTITUTE(TRIM(J272),"'","''")&amp;"'")&amp;", "&amp;IF(UPPER(TRIM(K272&amp;""))="SI","TRUE","FALSE")&amp;", 1"&amp;" WHERE NOT EXISTS (SELECT 1 FROM cli_contacto c WHERE c.id_cliente = "&amp;"(SELECT id FROM cli_clientes WHERE numero_documento = '"&amp;SUBSTITUTE(TRIM(A272),"'","''")&amp;"' AND estado = 1 LIMIT 1)"&amp;" AND upper(c.nombre) = upper("&amp;IF(TRIM(C272&amp;"")="","NULL","'"&amp;SUBSTITUTE(TRIM(C272),"'","''")&amp;"'")&amp;") AND coalesce(c.telefono1,'') = coalesce("&amp;IF(TRIM(F272&amp;"")="","NULL","'"&amp;SUBSTITUTE(TRIM(F272),"'","''")&amp;"'")&amp;",''));")</f>
        <v/>
      </c>
    </row>
    <row r="273" ht="15.75" customHeight="1" s="64">
      <c r="A273" s="23" t="n"/>
      <c r="B273" s="25">
        <f t="array" ref="B273">IF(A273="","",IFERROR(IF(INDEX(Clientes!$D$5:$D$549,MATCH(A273,Clientes!$C$5:$C$549,0))&lt;&gt;"",INDEX(Clientes!$D$5:$D$549,MATCH(A273,Clientes!$C$5:$C$549,0)),TRIM(INDEX(Clientes!$E$5:$E$549,MATCH(A273,Clientes!$C$5:$C$549,0))&amp;" "&amp;INDEX(Clientes!$F$5:$F$549,MATCH(A273,Clientes!$C$5:$C$549,0)))),"NO EXISTE en Clientes"))</f>
        <v/>
      </c>
      <c r="C273" s="17" t="n"/>
      <c r="D273" s="17" t="n"/>
      <c r="E273" s="17" t="n"/>
      <c r="F273" s="23" t="n"/>
      <c r="G273" s="23" t="n"/>
      <c r="H273" s="23" t="n"/>
      <c r="I273" s="17" t="n"/>
      <c r="J273" s="17" t="n"/>
      <c r="K273" s="17" t="n"/>
      <c r="L273" s="17">
        <f>IF(AND(A273="",C273=""),"",IF(A273="","FALTA doc. cliente",IF(B273="NO EXISTE en Clientes","CLIENTE no está en hoja Clientes",IF(C273="","FALTA nombre",IF(AND(K273="SI",COUNTIFS($A$5:$A$499,A273,$K$5:$K$499,"SI")&gt;1),"Más de un contacto principal para este cliente","OK")))))</f>
        <v/>
      </c>
      <c r="M273" s="28">
        <f>IF(L273&lt;&gt;"OK","","INSERT INTO cli_contacto (id_cliente, nombre, apellido_paterno, apellido_materno, telefono1, telefono2, telefono3, email, direccion, es_principal, estado) SELECT "&amp;"(SELECT id FROM cli_clientes WHERE numero_documento = '"&amp;SUBSTITUTE(TRIM(A273),"'","''")&amp;"' AND estado = 1 LIMIT 1)"&amp;", "&amp;IF(TRIM(C273&amp;"")="","NULL","'"&amp;SUBSTITUTE(TRIM(C273),"'","''")&amp;"'")&amp;", "&amp;IF(TRIM(D273&amp;"")="","NULL","'"&amp;SUBSTITUTE(TRIM(D273),"'","''")&amp;"'")&amp;", "&amp;IF(TRIM(E273&amp;"")="","NULL","'"&amp;SUBSTITUTE(TRIM(E273),"'","''")&amp;"'")&amp;", "&amp;IF(TRIM(F273&amp;"")="","NULL","'"&amp;SUBSTITUTE(TRIM(F273),"'","''")&amp;"'")&amp;", "&amp;IF(TRIM(G273&amp;"")="","NULL","'"&amp;SUBSTITUTE(TRIM(G273),"'","''")&amp;"'")&amp;", "&amp;IF(TRIM(H273&amp;"")="","NULL","'"&amp;SUBSTITUTE(TRIM(H273),"'","''")&amp;"'")&amp;", "&amp;IF(TRIM(I273&amp;"")="","NULL","'"&amp;SUBSTITUTE(TRIM(I273),"'","''")&amp;"'")&amp;", "&amp;IF(TRIM(J273&amp;"")="","NULL","'"&amp;SUBSTITUTE(TRIM(J273),"'","''")&amp;"'")&amp;", "&amp;IF(UPPER(TRIM(K273&amp;""))="SI","TRUE","FALSE")&amp;", 1"&amp;" WHERE NOT EXISTS (SELECT 1 FROM cli_contacto c WHERE c.id_cliente = "&amp;"(SELECT id FROM cli_clientes WHERE numero_documento = '"&amp;SUBSTITUTE(TRIM(A273),"'","''")&amp;"' AND estado = 1 LIMIT 1)"&amp;" AND upper(c.nombre) = upper("&amp;IF(TRIM(C273&amp;"")="","NULL","'"&amp;SUBSTITUTE(TRIM(C273),"'","''")&amp;"'")&amp;") AND coalesce(c.telefono1,'') = coalesce("&amp;IF(TRIM(F273&amp;"")="","NULL","'"&amp;SUBSTITUTE(TRIM(F273),"'","''")&amp;"'")&amp;",''));")</f>
        <v/>
      </c>
    </row>
    <row r="274" ht="15.75" customHeight="1" s="64">
      <c r="A274" s="23" t="n"/>
      <c r="B274" s="25">
        <f t="array" ref="B274">IF(A274="","",IFERROR(IF(INDEX(Clientes!$D$5:$D$549,MATCH(A274,Clientes!$C$5:$C$549,0))&lt;&gt;"",INDEX(Clientes!$D$5:$D$549,MATCH(A274,Clientes!$C$5:$C$549,0)),TRIM(INDEX(Clientes!$E$5:$E$549,MATCH(A274,Clientes!$C$5:$C$549,0))&amp;" "&amp;INDEX(Clientes!$F$5:$F$549,MATCH(A274,Clientes!$C$5:$C$549,0)))),"NO EXISTE en Clientes"))</f>
        <v/>
      </c>
      <c r="C274" s="17" t="n"/>
      <c r="D274" s="17" t="n"/>
      <c r="E274" s="17" t="n"/>
      <c r="F274" s="23" t="n"/>
      <c r="G274" s="23" t="n"/>
      <c r="H274" s="23" t="n"/>
      <c r="I274" s="17" t="n"/>
      <c r="J274" s="17" t="n"/>
      <c r="K274" s="17" t="n"/>
      <c r="L274" s="17">
        <f>IF(AND(A274="",C274=""),"",IF(A274="","FALTA doc. cliente",IF(B274="NO EXISTE en Clientes","CLIENTE no está en hoja Clientes",IF(C274="","FALTA nombre",IF(AND(K274="SI",COUNTIFS($A$5:$A$499,A274,$K$5:$K$499,"SI")&gt;1),"Más de un contacto principal para este cliente","OK")))))</f>
        <v/>
      </c>
      <c r="M274" s="28">
        <f>IF(L274&lt;&gt;"OK","","INSERT INTO cli_contacto (id_cliente, nombre, apellido_paterno, apellido_materno, telefono1, telefono2, telefono3, email, direccion, es_principal, estado) SELECT "&amp;"(SELECT id FROM cli_clientes WHERE numero_documento = '"&amp;SUBSTITUTE(TRIM(A274),"'","''")&amp;"' AND estado = 1 LIMIT 1)"&amp;", "&amp;IF(TRIM(C274&amp;"")="","NULL","'"&amp;SUBSTITUTE(TRIM(C274),"'","''")&amp;"'")&amp;", "&amp;IF(TRIM(D274&amp;"")="","NULL","'"&amp;SUBSTITUTE(TRIM(D274),"'","''")&amp;"'")&amp;", "&amp;IF(TRIM(E274&amp;"")="","NULL","'"&amp;SUBSTITUTE(TRIM(E274),"'","''")&amp;"'")&amp;", "&amp;IF(TRIM(F274&amp;"")="","NULL","'"&amp;SUBSTITUTE(TRIM(F274),"'","''")&amp;"'")&amp;", "&amp;IF(TRIM(G274&amp;"")="","NULL","'"&amp;SUBSTITUTE(TRIM(G274),"'","''")&amp;"'")&amp;", "&amp;IF(TRIM(H274&amp;"")="","NULL","'"&amp;SUBSTITUTE(TRIM(H274),"'","''")&amp;"'")&amp;", "&amp;IF(TRIM(I274&amp;"")="","NULL","'"&amp;SUBSTITUTE(TRIM(I274),"'","''")&amp;"'")&amp;", "&amp;IF(TRIM(J274&amp;"")="","NULL","'"&amp;SUBSTITUTE(TRIM(J274),"'","''")&amp;"'")&amp;", "&amp;IF(UPPER(TRIM(K274&amp;""))="SI","TRUE","FALSE")&amp;", 1"&amp;" WHERE NOT EXISTS (SELECT 1 FROM cli_contacto c WHERE c.id_cliente = "&amp;"(SELECT id FROM cli_clientes WHERE numero_documento = '"&amp;SUBSTITUTE(TRIM(A274),"'","''")&amp;"' AND estado = 1 LIMIT 1)"&amp;" AND upper(c.nombre) = upper("&amp;IF(TRIM(C274&amp;"")="","NULL","'"&amp;SUBSTITUTE(TRIM(C274),"'","''")&amp;"'")&amp;") AND coalesce(c.telefono1,'') = coalesce("&amp;IF(TRIM(F274&amp;"")="","NULL","'"&amp;SUBSTITUTE(TRIM(F274),"'","''")&amp;"'")&amp;",''));")</f>
        <v/>
      </c>
    </row>
    <row r="275" ht="15.75" customHeight="1" s="64">
      <c r="A275" s="23" t="n"/>
      <c r="B275" s="25">
        <f t="array" ref="B275">IF(A275="","",IFERROR(IF(INDEX(Clientes!$D$5:$D$549,MATCH(A275,Clientes!$C$5:$C$549,0))&lt;&gt;"",INDEX(Clientes!$D$5:$D$549,MATCH(A275,Clientes!$C$5:$C$549,0)),TRIM(INDEX(Clientes!$E$5:$E$549,MATCH(A275,Clientes!$C$5:$C$549,0))&amp;" "&amp;INDEX(Clientes!$F$5:$F$549,MATCH(A275,Clientes!$C$5:$C$549,0)))),"NO EXISTE en Clientes"))</f>
        <v/>
      </c>
      <c r="C275" s="17" t="n"/>
      <c r="D275" s="17" t="n"/>
      <c r="E275" s="17" t="n"/>
      <c r="F275" s="23" t="n"/>
      <c r="G275" s="23" t="n"/>
      <c r="H275" s="23" t="n"/>
      <c r="I275" s="17" t="n"/>
      <c r="J275" s="17" t="n"/>
      <c r="K275" s="17" t="n"/>
      <c r="L275" s="17">
        <f>IF(AND(A275="",C275=""),"",IF(A275="","FALTA doc. cliente",IF(B275="NO EXISTE en Clientes","CLIENTE no está en hoja Clientes",IF(C275="","FALTA nombre",IF(AND(K275="SI",COUNTIFS($A$5:$A$499,A275,$K$5:$K$499,"SI")&gt;1),"Más de un contacto principal para este cliente","OK")))))</f>
        <v/>
      </c>
      <c r="M275" s="28">
        <f>IF(L275&lt;&gt;"OK","","INSERT INTO cli_contacto (id_cliente, nombre, apellido_paterno, apellido_materno, telefono1, telefono2, telefono3, email, direccion, es_principal, estado) SELECT "&amp;"(SELECT id FROM cli_clientes WHERE numero_documento = '"&amp;SUBSTITUTE(TRIM(A275),"'","''")&amp;"' AND estado = 1 LIMIT 1)"&amp;", "&amp;IF(TRIM(C275&amp;"")="","NULL","'"&amp;SUBSTITUTE(TRIM(C275),"'","''")&amp;"'")&amp;", "&amp;IF(TRIM(D275&amp;"")="","NULL","'"&amp;SUBSTITUTE(TRIM(D275),"'","''")&amp;"'")&amp;", "&amp;IF(TRIM(E275&amp;"")="","NULL","'"&amp;SUBSTITUTE(TRIM(E275),"'","''")&amp;"'")&amp;", "&amp;IF(TRIM(F275&amp;"")="","NULL","'"&amp;SUBSTITUTE(TRIM(F275),"'","''")&amp;"'")&amp;", "&amp;IF(TRIM(G275&amp;"")="","NULL","'"&amp;SUBSTITUTE(TRIM(G275),"'","''")&amp;"'")&amp;", "&amp;IF(TRIM(H275&amp;"")="","NULL","'"&amp;SUBSTITUTE(TRIM(H275),"'","''")&amp;"'")&amp;", "&amp;IF(TRIM(I275&amp;"")="","NULL","'"&amp;SUBSTITUTE(TRIM(I275),"'","''")&amp;"'")&amp;", "&amp;IF(TRIM(J275&amp;"")="","NULL","'"&amp;SUBSTITUTE(TRIM(J275),"'","''")&amp;"'")&amp;", "&amp;IF(UPPER(TRIM(K275&amp;""))="SI","TRUE","FALSE")&amp;", 1"&amp;" WHERE NOT EXISTS (SELECT 1 FROM cli_contacto c WHERE c.id_cliente = "&amp;"(SELECT id FROM cli_clientes WHERE numero_documento = '"&amp;SUBSTITUTE(TRIM(A275),"'","''")&amp;"' AND estado = 1 LIMIT 1)"&amp;" AND upper(c.nombre) = upper("&amp;IF(TRIM(C275&amp;"")="","NULL","'"&amp;SUBSTITUTE(TRIM(C275),"'","''")&amp;"'")&amp;") AND coalesce(c.telefono1,'') = coalesce("&amp;IF(TRIM(F275&amp;"")="","NULL","'"&amp;SUBSTITUTE(TRIM(F275),"'","''")&amp;"'")&amp;",''));")</f>
        <v/>
      </c>
    </row>
    <row r="276" ht="15.75" customHeight="1" s="64">
      <c r="A276" s="23" t="n"/>
      <c r="B276" s="25">
        <f t="array" ref="B276">IF(A276="","",IFERROR(IF(INDEX(Clientes!$D$5:$D$549,MATCH(A276,Clientes!$C$5:$C$549,0))&lt;&gt;"",INDEX(Clientes!$D$5:$D$549,MATCH(A276,Clientes!$C$5:$C$549,0)),TRIM(INDEX(Clientes!$E$5:$E$549,MATCH(A276,Clientes!$C$5:$C$549,0))&amp;" "&amp;INDEX(Clientes!$F$5:$F$549,MATCH(A276,Clientes!$C$5:$C$549,0)))),"NO EXISTE en Clientes"))</f>
        <v/>
      </c>
      <c r="C276" s="17" t="n"/>
      <c r="D276" s="17" t="n"/>
      <c r="E276" s="17" t="n"/>
      <c r="F276" s="23" t="n"/>
      <c r="G276" s="23" t="n"/>
      <c r="H276" s="23" t="n"/>
      <c r="I276" s="17" t="n"/>
      <c r="J276" s="17" t="n"/>
      <c r="K276" s="17" t="n"/>
      <c r="L276" s="17">
        <f>IF(AND(A276="",C276=""),"",IF(A276="","FALTA doc. cliente",IF(B276="NO EXISTE en Clientes","CLIENTE no está en hoja Clientes",IF(C276="","FALTA nombre",IF(AND(K276="SI",COUNTIFS($A$5:$A$499,A276,$K$5:$K$499,"SI")&gt;1),"Más de un contacto principal para este cliente","OK")))))</f>
        <v/>
      </c>
      <c r="M276" s="28">
        <f>IF(L276&lt;&gt;"OK","","INSERT INTO cli_contacto (id_cliente, nombre, apellido_paterno, apellido_materno, telefono1, telefono2, telefono3, email, direccion, es_principal, estado) SELECT "&amp;"(SELECT id FROM cli_clientes WHERE numero_documento = '"&amp;SUBSTITUTE(TRIM(A276),"'","''")&amp;"' AND estado = 1 LIMIT 1)"&amp;", "&amp;IF(TRIM(C276&amp;"")="","NULL","'"&amp;SUBSTITUTE(TRIM(C276),"'","''")&amp;"'")&amp;", "&amp;IF(TRIM(D276&amp;"")="","NULL","'"&amp;SUBSTITUTE(TRIM(D276),"'","''")&amp;"'")&amp;", "&amp;IF(TRIM(E276&amp;"")="","NULL","'"&amp;SUBSTITUTE(TRIM(E276),"'","''")&amp;"'")&amp;", "&amp;IF(TRIM(F276&amp;"")="","NULL","'"&amp;SUBSTITUTE(TRIM(F276),"'","''")&amp;"'")&amp;", "&amp;IF(TRIM(G276&amp;"")="","NULL","'"&amp;SUBSTITUTE(TRIM(G276),"'","''")&amp;"'")&amp;", "&amp;IF(TRIM(H276&amp;"")="","NULL","'"&amp;SUBSTITUTE(TRIM(H276),"'","''")&amp;"'")&amp;", "&amp;IF(TRIM(I276&amp;"")="","NULL","'"&amp;SUBSTITUTE(TRIM(I276),"'","''")&amp;"'")&amp;", "&amp;IF(TRIM(J276&amp;"")="","NULL","'"&amp;SUBSTITUTE(TRIM(J276),"'","''")&amp;"'")&amp;", "&amp;IF(UPPER(TRIM(K276&amp;""))="SI","TRUE","FALSE")&amp;", 1"&amp;" WHERE NOT EXISTS (SELECT 1 FROM cli_contacto c WHERE c.id_cliente = "&amp;"(SELECT id FROM cli_clientes WHERE numero_documento = '"&amp;SUBSTITUTE(TRIM(A276),"'","''")&amp;"' AND estado = 1 LIMIT 1)"&amp;" AND upper(c.nombre) = upper("&amp;IF(TRIM(C276&amp;"")="","NULL","'"&amp;SUBSTITUTE(TRIM(C276),"'","''")&amp;"'")&amp;") AND coalesce(c.telefono1,'') = coalesce("&amp;IF(TRIM(F276&amp;"")="","NULL","'"&amp;SUBSTITUTE(TRIM(F276),"'","''")&amp;"'")&amp;",''));")</f>
        <v/>
      </c>
    </row>
    <row r="277" ht="15.75" customHeight="1" s="64">
      <c r="A277" s="23" t="n"/>
      <c r="B277" s="25">
        <f t="array" ref="B277">IF(A277="","",IFERROR(IF(INDEX(Clientes!$D$5:$D$549,MATCH(A277,Clientes!$C$5:$C$549,0))&lt;&gt;"",INDEX(Clientes!$D$5:$D$549,MATCH(A277,Clientes!$C$5:$C$549,0)),TRIM(INDEX(Clientes!$E$5:$E$549,MATCH(A277,Clientes!$C$5:$C$549,0))&amp;" "&amp;INDEX(Clientes!$F$5:$F$549,MATCH(A277,Clientes!$C$5:$C$549,0)))),"NO EXISTE en Clientes"))</f>
        <v/>
      </c>
      <c r="C277" s="17" t="n"/>
      <c r="D277" s="17" t="n"/>
      <c r="E277" s="17" t="n"/>
      <c r="F277" s="23" t="n"/>
      <c r="G277" s="23" t="n"/>
      <c r="H277" s="23" t="n"/>
      <c r="I277" s="17" t="n"/>
      <c r="J277" s="17" t="n"/>
      <c r="K277" s="17" t="n"/>
      <c r="L277" s="17">
        <f>IF(AND(A277="",C277=""),"",IF(A277="","FALTA doc. cliente",IF(B277="NO EXISTE en Clientes","CLIENTE no está en hoja Clientes",IF(C277="","FALTA nombre",IF(AND(K277="SI",COUNTIFS($A$5:$A$499,A277,$K$5:$K$499,"SI")&gt;1),"Más de un contacto principal para este cliente","OK")))))</f>
        <v/>
      </c>
      <c r="M277" s="28">
        <f>IF(L277&lt;&gt;"OK","","INSERT INTO cli_contacto (id_cliente, nombre, apellido_paterno, apellido_materno, telefono1, telefono2, telefono3, email, direccion, es_principal, estado) SELECT "&amp;"(SELECT id FROM cli_clientes WHERE numero_documento = '"&amp;SUBSTITUTE(TRIM(A277),"'","''")&amp;"' AND estado = 1 LIMIT 1)"&amp;", "&amp;IF(TRIM(C277&amp;"")="","NULL","'"&amp;SUBSTITUTE(TRIM(C277),"'","''")&amp;"'")&amp;", "&amp;IF(TRIM(D277&amp;"")="","NULL","'"&amp;SUBSTITUTE(TRIM(D277),"'","''")&amp;"'")&amp;", "&amp;IF(TRIM(E277&amp;"")="","NULL","'"&amp;SUBSTITUTE(TRIM(E277),"'","''")&amp;"'")&amp;", "&amp;IF(TRIM(F277&amp;"")="","NULL","'"&amp;SUBSTITUTE(TRIM(F277),"'","''")&amp;"'")&amp;", "&amp;IF(TRIM(G277&amp;"")="","NULL","'"&amp;SUBSTITUTE(TRIM(G277),"'","''")&amp;"'")&amp;", "&amp;IF(TRIM(H277&amp;"")="","NULL","'"&amp;SUBSTITUTE(TRIM(H277),"'","''")&amp;"'")&amp;", "&amp;IF(TRIM(I277&amp;"")="","NULL","'"&amp;SUBSTITUTE(TRIM(I277),"'","''")&amp;"'")&amp;", "&amp;IF(TRIM(J277&amp;"")="","NULL","'"&amp;SUBSTITUTE(TRIM(J277),"'","''")&amp;"'")&amp;", "&amp;IF(UPPER(TRIM(K277&amp;""))="SI","TRUE","FALSE")&amp;", 1"&amp;" WHERE NOT EXISTS (SELECT 1 FROM cli_contacto c WHERE c.id_cliente = "&amp;"(SELECT id FROM cli_clientes WHERE numero_documento = '"&amp;SUBSTITUTE(TRIM(A277),"'","''")&amp;"' AND estado = 1 LIMIT 1)"&amp;" AND upper(c.nombre) = upper("&amp;IF(TRIM(C277&amp;"")="","NULL","'"&amp;SUBSTITUTE(TRIM(C277),"'","''")&amp;"'")&amp;") AND coalesce(c.telefono1,'') = coalesce("&amp;IF(TRIM(F277&amp;"")="","NULL","'"&amp;SUBSTITUTE(TRIM(F277),"'","''")&amp;"'")&amp;",''));")</f>
        <v/>
      </c>
    </row>
    <row r="278" ht="15.75" customHeight="1" s="64">
      <c r="A278" s="23" t="n"/>
      <c r="B278" s="25">
        <f t="array" ref="B278">IF(A278="","",IFERROR(IF(INDEX(Clientes!$D$5:$D$549,MATCH(A278,Clientes!$C$5:$C$549,0))&lt;&gt;"",INDEX(Clientes!$D$5:$D$549,MATCH(A278,Clientes!$C$5:$C$549,0)),TRIM(INDEX(Clientes!$E$5:$E$549,MATCH(A278,Clientes!$C$5:$C$549,0))&amp;" "&amp;INDEX(Clientes!$F$5:$F$549,MATCH(A278,Clientes!$C$5:$C$549,0)))),"NO EXISTE en Clientes"))</f>
        <v/>
      </c>
      <c r="C278" s="17" t="n"/>
      <c r="D278" s="17" t="n"/>
      <c r="E278" s="17" t="n"/>
      <c r="F278" s="23" t="n"/>
      <c r="G278" s="23" t="n"/>
      <c r="H278" s="23" t="n"/>
      <c r="I278" s="17" t="n"/>
      <c r="J278" s="17" t="n"/>
      <c r="K278" s="17" t="n"/>
      <c r="L278" s="17">
        <f>IF(AND(A278="",C278=""),"",IF(A278="","FALTA doc. cliente",IF(B278="NO EXISTE en Clientes","CLIENTE no está en hoja Clientes",IF(C278="","FALTA nombre",IF(AND(K278="SI",COUNTIFS($A$5:$A$499,A278,$K$5:$K$499,"SI")&gt;1),"Más de un contacto principal para este cliente","OK")))))</f>
        <v/>
      </c>
      <c r="M278" s="28">
        <f>IF(L278&lt;&gt;"OK","","INSERT INTO cli_contacto (id_cliente, nombre, apellido_paterno, apellido_materno, telefono1, telefono2, telefono3, email, direccion, es_principal, estado) SELECT "&amp;"(SELECT id FROM cli_clientes WHERE numero_documento = '"&amp;SUBSTITUTE(TRIM(A278),"'","''")&amp;"' AND estado = 1 LIMIT 1)"&amp;", "&amp;IF(TRIM(C278&amp;"")="","NULL","'"&amp;SUBSTITUTE(TRIM(C278),"'","''")&amp;"'")&amp;", "&amp;IF(TRIM(D278&amp;"")="","NULL","'"&amp;SUBSTITUTE(TRIM(D278),"'","''")&amp;"'")&amp;", "&amp;IF(TRIM(E278&amp;"")="","NULL","'"&amp;SUBSTITUTE(TRIM(E278),"'","''")&amp;"'")&amp;", "&amp;IF(TRIM(F278&amp;"")="","NULL","'"&amp;SUBSTITUTE(TRIM(F278),"'","''")&amp;"'")&amp;", "&amp;IF(TRIM(G278&amp;"")="","NULL","'"&amp;SUBSTITUTE(TRIM(G278),"'","''")&amp;"'")&amp;", "&amp;IF(TRIM(H278&amp;"")="","NULL","'"&amp;SUBSTITUTE(TRIM(H278),"'","''")&amp;"'")&amp;", "&amp;IF(TRIM(I278&amp;"")="","NULL","'"&amp;SUBSTITUTE(TRIM(I278),"'","''")&amp;"'")&amp;", "&amp;IF(TRIM(J278&amp;"")="","NULL","'"&amp;SUBSTITUTE(TRIM(J278),"'","''")&amp;"'")&amp;", "&amp;IF(UPPER(TRIM(K278&amp;""))="SI","TRUE","FALSE")&amp;", 1"&amp;" WHERE NOT EXISTS (SELECT 1 FROM cli_contacto c WHERE c.id_cliente = "&amp;"(SELECT id FROM cli_clientes WHERE numero_documento = '"&amp;SUBSTITUTE(TRIM(A278),"'","''")&amp;"' AND estado = 1 LIMIT 1)"&amp;" AND upper(c.nombre) = upper("&amp;IF(TRIM(C278&amp;"")="","NULL","'"&amp;SUBSTITUTE(TRIM(C278),"'","''")&amp;"'")&amp;") AND coalesce(c.telefono1,'') = coalesce("&amp;IF(TRIM(F278&amp;"")="","NULL","'"&amp;SUBSTITUTE(TRIM(F278),"'","''")&amp;"'")&amp;",''));")</f>
        <v/>
      </c>
    </row>
    <row r="279" ht="15.75" customHeight="1" s="64">
      <c r="A279" s="23" t="n"/>
      <c r="B279" s="25">
        <f t="array" ref="B279">IF(A279="","",IFERROR(IF(INDEX(Clientes!$D$5:$D$549,MATCH(A279,Clientes!$C$5:$C$549,0))&lt;&gt;"",INDEX(Clientes!$D$5:$D$549,MATCH(A279,Clientes!$C$5:$C$549,0)),TRIM(INDEX(Clientes!$E$5:$E$549,MATCH(A279,Clientes!$C$5:$C$549,0))&amp;" "&amp;INDEX(Clientes!$F$5:$F$549,MATCH(A279,Clientes!$C$5:$C$549,0)))),"NO EXISTE en Clientes"))</f>
        <v/>
      </c>
      <c r="C279" s="17" t="n"/>
      <c r="D279" s="17" t="n"/>
      <c r="E279" s="17" t="n"/>
      <c r="F279" s="23" t="n"/>
      <c r="G279" s="23" t="n"/>
      <c r="H279" s="23" t="n"/>
      <c r="I279" s="17" t="n"/>
      <c r="J279" s="17" t="n"/>
      <c r="K279" s="17" t="n"/>
      <c r="L279" s="17">
        <f>IF(AND(A279="",C279=""),"",IF(A279="","FALTA doc. cliente",IF(B279="NO EXISTE en Clientes","CLIENTE no está en hoja Clientes",IF(C279="","FALTA nombre",IF(AND(K279="SI",COUNTIFS($A$5:$A$499,A279,$K$5:$K$499,"SI")&gt;1),"Más de un contacto principal para este cliente","OK")))))</f>
        <v/>
      </c>
      <c r="M279" s="28">
        <f>IF(L279&lt;&gt;"OK","","INSERT INTO cli_contacto (id_cliente, nombre, apellido_paterno, apellido_materno, telefono1, telefono2, telefono3, email, direccion, es_principal, estado) SELECT "&amp;"(SELECT id FROM cli_clientes WHERE numero_documento = '"&amp;SUBSTITUTE(TRIM(A279),"'","''")&amp;"' AND estado = 1 LIMIT 1)"&amp;", "&amp;IF(TRIM(C279&amp;"")="","NULL","'"&amp;SUBSTITUTE(TRIM(C279),"'","''")&amp;"'")&amp;", "&amp;IF(TRIM(D279&amp;"")="","NULL","'"&amp;SUBSTITUTE(TRIM(D279),"'","''")&amp;"'")&amp;", "&amp;IF(TRIM(E279&amp;"")="","NULL","'"&amp;SUBSTITUTE(TRIM(E279),"'","''")&amp;"'")&amp;", "&amp;IF(TRIM(F279&amp;"")="","NULL","'"&amp;SUBSTITUTE(TRIM(F279),"'","''")&amp;"'")&amp;", "&amp;IF(TRIM(G279&amp;"")="","NULL","'"&amp;SUBSTITUTE(TRIM(G279),"'","''")&amp;"'")&amp;", "&amp;IF(TRIM(H279&amp;"")="","NULL","'"&amp;SUBSTITUTE(TRIM(H279),"'","''")&amp;"'")&amp;", "&amp;IF(TRIM(I279&amp;"")="","NULL","'"&amp;SUBSTITUTE(TRIM(I279),"'","''")&amp;"'")&amp;", "&amp;IF(TRIM(J279&amp;"")="","NULL","'"&amp;SUBSTITUTE(TRIM(J279),"'","''")&amp;"'")&amp;", "&amp;IF(UPPER(TRIM(K279&amp;""))="SI","TRUE","FALSE")&amp;", 1"&amp;" WHERE NOT EXISTS (SELECT 1 FROM cli_contacto c WHERE c.id_cliente = "&amp;"(SELECT id FROM cli_clientes WHERE numero_documento = '"&amp;SUBSTITUTE(TRIM(A279),"'","''")&amp;"' AND estado = 1 LIMIT 1)"&amp;" AND upper(c.nombre) = upper("&amp;IF(TRIM(C279&amp;"")="","NULL","'"&amp;SUBSTITUTE(TRIM(C279),"'","''")&amp;"'")&amp;") AND coalesce(c.telefono1,'') = coalesce("&amp;IF(TRIM(F279&amp;"")="","NULL","'"&amp;SUBSTITUTE(TRIM(F279),"'","''")&amp;"'")&amp;",''));")</f>
        <v/>
      </c>
    </row>
    <row r="280" ht="15.75" customHeight="1" s="64">
      <c r="A280" s="23" t="n"/>
      <c r="B280" s="25">
        <f t="array" ref="B280">IF(A280="","",IFERROR(IF(INDEX(Clientes!$D$5:$D$549,MATCH(A280,Clientes!$C$5:$C$549,0))&lt;&gt;"",INDEX(Clientes!$D$5:$D$549,MATCH(A280,Clientes!$C$5:$C$549,0)),TRIM(INDEX(Clientes!$E$5:$E$549,MATCH(A280,Clientes!$C$5:$C$549,0))&amp;" "&amp;INDEX(Clientes!$F$5:$F$549,MATCH(A280,Clientes!$C$5:$C$549,0)))),"NO EXISTE en Clientes"))</f>
        <v/>
      </c>
      <c r="C280" s="17" t="n"/>
      <c r="D280" s="17" t="n"/>
      <c r="E280" s="17" t="n"/>
      <c r="F280" s="23" t="n"/>
      <c r="G280" s="23" t="n"/>
      <c r="H280" s="23" t="n"/>
      <c r="I280" s="17" t="n"/>
      <c r="J280" s="17" t="n"/>
      <c r="K280" s="17" t="n"/>
      <c r="L280" s="17">
        <f>IF(AND(A280="",C280=""),"",IF(A280="","FALTA doc. cliente",IF(B280="NO EXISTE en Clientes","CLIENTE no está en hoja Clientes",IF(C280="","FALTA nombre",IF(AND(K280="SI",COUNTIFS($A$5:$A$499,A280,$K$5:$K$499,"SI")&gt;1),"Más de un contacto principal para este cliente","OK")))))</f>
        <v/>
      </c>
      <c r="M280" s="28">
        <f>IF(L280&lt;&gt;"OK","","INSERT INTO cli_contacto (id_cliente, nombre, apellido_paterno, apellido_materno, telefono1, telefono2, telefono3, email, direccion, es_principal, estado) SELECT "&amp;"(SELECT id FROM cli_clientes WHERE numero_documento = '"&amp;SUBSTITUTE(TRIM(A280),"'","''")&amp;"' AND estado = 1 LIMIT 1)"&amp;", "&amp;IF(TRIM(C280&amp;"")="","NULL","'"&amp;SUBSTITUTE(TRIM(C280),"'","''")&amp;"'")&amp;", "&amp;IF(TRIM(D280&amp;"")="","NULL","'"&amp;SUBSTITUTE(TRIM(D280),"'","''")&amp;"'")&amp;", "&amp;IF(TRIM(E280&amp;"")="","NULL","'"&amp;SUBSTITUTE(TRIM(E280),"'","''")&amp;"'")&amp;", "&amp;IF(TRIM(F280&amp;"")="","NULL","'"&amp;SUBSTITUTE(TRIM(F280),"'","''")&amp;"'")&amp;", "&amp;IF(TRIM(G280&amp;"")="","NULL","'"&amp;SUBSTITUTE(TRIM(G280),"'","''")&amp;"'")&amp;", "&amp;IF(TRIM(H280&amp;"")="","NULL","'"&amp;SUBSTITUTE(TRIM(H280),"'","''")&amp;"'")&amp;", "&amp;IF(TRIM(I280&amp;"")="","NULL","'"&amp;SUBSTITUTE(TRIM(I280),"'","''")&amp;"'")&amp;", "&amp;IF(TRIM(J280&amp;"")="","NULL","'"&amp;SUBSTITUTE(TRIM(J280),"'","''")&amp;"'")&amp;", "&amp;IF(UPPER(TRIM(K280&amp;""))="SI","TRUE","FALSE")&amp;", 1"&amp;" WHERE NOT EXISTS (SELECT 1 FROM cli_contacto c WHERE c.id_cliente = "&amp;"(SELECT id FROM cli_clientes WHERE numero_documento = '"&amp;SUBSTITUTE(TRIM(A280),"'","''")&amp;"' AND estado = 1 LIMIT 1)"&amp;" AND upper(c.nombre) = upper("&amp;IF(TRIM(C280&amp;"")="","NULL","'"&amp;SUBSTITUTE(TRIM(C280),"'","''")&amp;"'")&amp;") AND coalesce(c.telefono1,'') = coalesce("&amp;IF(TRIM(F280&amp;"")="","NULL","'"&amp;SUBSTITUTE(TRIM(F280),"'","''")&amp;"'")&amp;",''));")</f>
        <v/>
      </c>
    </row>
    <row r="281" ht="15.75" customHeight="1" s="64">
      <c r="A281" s="23" t="n"/>
      <c r="B281" s="25">
        <f t="array" ref="B281">IF(A281="","",IFERROR(IF(INDEX(Clientes!$D$5:$D$549,MATCH(A281,Clientes!$C$5:$C$549,0))&lt;&gt;"",INDEX(Clientes!$D$5:$D$549,MATCH(A281,Clientes!$C$5:$C$549,0)),TRIM(INDEX(Clientes!$E$5:$E$549,MATCH(A281,Clientes!$C$5:$C$549,0))&amp;" "&amp;INDEX(Clientes!$F$5:$F$549,MATCH(A281,Clientes!$C$5:$C$549,0)))),"NO EXISTE en Clientes"))</f>
        <v/>
      </c>
      <c r="C281" s="17" t="n"/>
      <c r="D281" s="17" t="n"/>
      <c r="E281" s="17" t="n"/>
      <c r="F281" s="23" t="n"/>
      <c r="G281" s="23" t="n"/>
      <c r="H281" s="23" t="n"/>
      <c r="I281" s="17" t="n"/>
      <c r="J281" s="17" t="n"/>
      <c r="K281" s="17" t="n"/>
      <c r="L281" s="17">
        <f>IF(AND(A281="",C281=""),"",IF(A281="","FALTA doc. cliente",IF(B281="NO EXISTE en Clientes","CLIENTE no está en hoja Clientes",IF(C281="","FALTA nombre",IF(AND(K281="SI",COUNTIFS($A$5:$A$499,A281,$K$5:$K$499,"SI")&gt;1),"Más de un contacto principal para este cliente","OK")))))</f>
        <v/>
      </c>
      <c r="M281" s="28">
        <f>IF(L281&lt;&gt;"OK","","INSERT INTO cli_contacto (id_cliente, nombre, apellido_paterno, apellido_materno, telefono1, telefono2, telefono3, email, direccion, es_principal, estado) SELECT "&amp;"(SELECT id FROM cli_clientes WHERE numero_documento = '"&amp;SUBSTITUTE(TRIM(A281),"'","''")&amp;"' AND estado = 1 LIMIT 1)"&amp;", "&amp;IF(TRIM(C281&amp;"")="","NULL","'"&amp;SUBSTITUTE(TRIM(C281),"'","''")&amp;"'")&amp;", "&amp;IF(TRIM(D281&amp;"")="","NULL","'"&amp;SUBSTITUTE(TRIM(D281),"'","''")&amp;"'")&amp;", "&amp;IF(TRIM(E281&amp;"")="","NULL","'"&amp;SUBSTITUTE(TRIM(E281),"'","''")&amp;"'")&amp;", "&amp;IF(TRIM(F281&amp;"")="","NULL","'"&amp;SUBSTITUTE(TRIM(F281),"'","''")&amp;"'")&amp;", "&amp;IF(TRIM(G281&amp;"")="","NULL","'"&amp;SUBSTITUTE(TRIM(G281),"'","''")&amp;"'")&amp;", "&amp;IF(TRIM(H281&amp;"")="","NULL","'"&amp;SUBSTITUTE(TRIM(H281),"'","''")&amp;"'")&amp;", "&amp;IF(TRIM(I281&amp;"")="","NULL","'"&amp;SUBSTITUTE(TRIM(I281),"'","''")&amp;"'")&amp;", "&amp;IF(TRIM(J281&amp;"")="","NULL","'"&amp;SUBSTITUTE(TRIM(J281),"'","''")&amp;"'")&amp;", "&amp;IF(UPPER(TRIM(K281&amp;""))="SI","TRUE","FALSE")&amp;", 1"&amp;" WHERE NOT EXISTS (SELECT 1 FROM cli_contacto c WHERE c.id_cliente = "&amp;"(SELECT id FROM cli_clientes WHERE numero_documento = '"&amp;SUBSTITUTE(TRIM(A281),"'","''")&amp;"' AND estado = 1 LIMIT 1)"&amp;" AND upper(c.nombre) = upper("&amp;IF(TRIM(C281&amp;"")="","NULL","'"&amp;SUBSTITUTE(TRIM(C281),"'","''")&amp;"'")&amp;") AND coalesce(c.telefono1,'') = coalesce("&amp;IF(TRIM(F281&amp;"")="","NULL","'"&amp;SUBSTITUTE(TRIM(F281),"'","''")&amp;"'")&amp;",''));")</f>
        <v/>
      </c>
    </row>
    <row r="282" ht="15.75" customHeight="1" s="64">
      <c r="A282" s="23" t="n"/>
      <c r="B282" s="25">
        <f t="array" ref="B282">IF(A282="","",IFERROR(IF(INDEX(Clientes!$D$5:$D$549,MATCH(A282,Clientes!$C$5:$C$549,0))&lt;&gt;"",INDEX(Clientes!$D$5:$D$549,MATCH(A282,Clientes!$C$5:$C$549,0)),TRIM(INDEX(Clientes!$E$5:$E$549,MATCH(A282,Clientes!$C$5:$C$549,0))&amp;" "&amp;INDEX(Clientes!$F$5:$F$549,MATCH(A282,Clientes!$C$5:$C$549,0)))),"NO EXISTE en Clientes"))</f>
        <v/>
      </c>
      <c r="C282" s="17" t="n"/>
      <c r="D282" s="17" t="n"/>
      <c r="E282" s="17" t="n"/>
      <c r="F282" s="23" t="n"/>
      <c r="G282" s="23" t="n"/>
      <c r="H282" s="23" t="n"/>
      <c r="I282" s="17" t="n"/>
      <c r="J282" s="17" t="n"/>
      <c r="K282" s="17" t="n"/>
      <c r="L282" s="17">
        <f>IF(AND(A282="",C282=""),"",IF(A282="","FALTA doc. cliente",IF(B282="NO EXISTE en Clientes","CLIENTE no está en hoja Clientes",IF(C282="","FALTA nombre",IF(AND(K282="SI",COUNTIFS($A$5:$A$499,A282,$K$5:$K$499,"SI")&gt;1),"Más de un contacto principal para este cliente","OK")))))</f>
        <v/>
      </c>
      <c r="M282" s="28">
        <f>IF(L282&lt;&gt;"OK","","INSERT INTO cli_contacto (id_cliente, nombre, apellido_paterno, apellido_materno, telefono1, telefono2, telefono3, email, direccion, es_principal, estado) SELECT "&amp;"(SELECT id FROM cli_clientes WHERE numero_documento = '"&amp;SUBSTITUTE(TRIM(A282),"'","''")&amp;"' AND estado = 1 LIMIT 1)"&amp;", "&amp;IF(TRIM(C282&amp;"")="","NULL","'"&amp;SUBSTITUTE(TRIM(C282),"'","''")&amp;"'")&amp;", "&amp;IF(TRIM(D282&amp;"")="","NULL","'"&amp;SUBSTITUTE(TRIM(D282),"'","''")&amp;"'")&amp;", "&amp;IF(TRIM(E282&amp;"")="","NULL","'"&amp;SUBSTITUTE(TRIM(E282),"'","''")&amp;"'")&amp;", "&amp;IF(TRIM(F282&amp;"")="","NULL","'"&amp;SUBSTITUTE(TRIM(F282),"'","''")&amp;"'")&amp;", "&amp;IF(TRIM(G282&amp;"")="","NULL","'"&amp;SUBSTITUTE(TRIM(G282),"'","''")&amp;"'")&amp;", "&amp;IF(TRIM(H282&amp;"")="","NULL","'"&amp;SUBSTITUTE(TRIM(H282),"'","''")&amp;"'")&amp;", "&amp;IF(TRIM(I282&amp;"")="","NULL","'"&amp;SUBSTITUTE(TRIM(I282),"'","''")&amp;"'")&amp;", "&amp;IF(TRIM(J282&amp;"")="","NULL","'"&amp;SUBSTITUTE(TRIM(J282),"'","''")&amp;"'")&amp;", "&amp;IF(UPPER(TRIM(K282&amp;""))="SI","TRUE","FALSE")&amp;", 1"&amp;" WHERE NOT EXISTS (SELECT 1 FROM cli_contacto c WHERE c.id_cliente = "&amp;"(SELECT id FROM cli_clientes WHERE numero_documento = '"&amp;SUBSTITUTE(TRIM(A282),"'","''")&amp;"' AND estado = 1 LIMIT 1)"&amp;" AND upper(c.nombre) = upper("&amp;IF(TRIM(C282&amp;"")="","NULL","'"&amp;SUBSTITUTE(TRIM(C282),"'","''")&amp;"'")&amp;") AND coalesce(c.telefono1,'') = coalesce("&amp;IF(TRIM(F282&amp;"")="","NULL","'"&amp;SUBSTITUTE(TRIM(F282),"'","''")&amp;"'")&amp;",''));")</f>
        <v/>
      </c>
    </row>
    <row r="283" ht="15.75" customHeight="1" s="64">
      <c r="A283" s="23" t="n"/>
      <c r="B283" s="25">
        <f t="array" ref="B283">IF(A283="","",IFERROR(IF(INDEX(Clientes!$D$5:$D$549,MATCH(A283,Clientes!$C$5:$C$549,0))&lt;&gt;"",INDEX(Clientes!$D$5:$D$549,MATCH(A283,Clientes!$C$5:$C$549,0)),TRIM(INDEX(Clientes!$E$5:$E$549,MATCH(A283,Clientes!$C$5:$C$549,0))&amp;" "&amp;INDEX(Clientes!$F$5:$F$549,MATCH(A283,Clientes!$C$5:$C$549,0)))),"NO EXISTE en Clientes"))</f>
        <v/>
      </c>
      <c r="C283" s="17" t="n"/>
      <c r="D283" s="17" t="n"/>
      <c r="E283" s="17" t="n"/>
      <c r="F283" s="23" t="n"/>
      <c r="G283" s="23" t="n"/>
      <c r="H283" s="23" t="n"/>
      <c r="I283" s="17" t="n"/>
      <c r="J283" s="17" t="n"/>
      <c r="K283" s="17" t="n"/>
      <c r="L283" s="17">
        <f>IF(AND(A283="",C283=""),"",IF(A283="","FALTA doc. cliente",IF(B283="NO EXISTE en Clientes","CLIENTE no está en hoja Clientes",IF(C283="","FALTA nombre",IF(AND(K283="SI",COUNTIFS($A$5:$A$499,A283,$K$5:$K$499,"SI")&gt;1),"Más de un contacto principal para este cliente","OK")))))</f>
        <v/>
      </c>
      <c r="M283" s="28">
        <f>IF(L283&lt;&gt;"OK","","INSERT INTO cli_contacto (id_cliente, nombre, apellido_paterno, apellido_materno, telefono1, telefono2, telefono3, email, direccion, es_principal, estado) SELECT "&amp;"(SELECT id FROM cli_clientes WHERE numero_documento = '"&amp;SUBSTITUTE(TRIM(A283),"'","''")&amp;"' AND estado = 1 LIMIT 1)"&amp;", "&amp;IF(TRIM(C283&amp;"")="","NULL","'"&amp;SUBSTITUTE(TRIM(C283),"'","''")&amp;"'")&amp;", "&amp;IF(TRIM(D283&amp;"")="","NULL","'"&amp;SUBSTITUTE(TRIM(D283),"'","''")&amp;"'")&amp;", "&amp;IF(TRIM(E283&amp;"")="","NULL","'"&amp;SUBSTITUTE(TRIM(E283),"'","''")&amp;"'")&amp;", "&amp;IF(TRIM(F283&amp;"")="","NULL","'"&amp;SUBSTITUTE(TRIM(F283),"'","''")&amp;"'")&amp;", "&amp;IF(TRIM(G283&amp;"")="","NULL","'"&amp;SUBSTITUTE(TRIM(G283),"'","''")&amp;"'")&amp;", "&amp;IF(TRIM(H283&amp;"")="","NULL","'"&amp;SUBSTITUTE(TRIM(H283),"'","''")&amp;"'")&amp;", "&amp;IF(TRIM(I283&amp;"")="","NULL","'"&amp;SUBSTITUTE(TRIM(I283),"'","''")&amp;"'")&amp;", "&amp;IF(TRIM(J283&amp;"")="","NULL","'"&amp;SUBSTITUTE(TRIM(J283),"'","''")&amp;"'")&amp;", "&amp;IF(UPPER(TRIM(K283&amp;""))="SI","TRUE","FALSE")&amp;", 1"&amp;" WHERE NOT EXISTS (SELECT 1 FROM cli_contacto c WHERE c.id_cliente = "&amp;"(SELECT id FROM cli_clientes WHERE numero_documento = '"&amp;SUBSTITUTE(TRIM(A283),"'","''")&amp;"' AND estado = 1 LIMIT 1)"&amp;" AND upper(c.nombre) = upper("&amp;IF(TRIM(C283&amp;"")="","NULL","'"&amp;SUBSTITUTE(TRIM(C283),"'","''")&amp;"'")&amp;") AND coalesce(c.telefono1,'') = coalesce("&amp;IF(TRIM(F283&amp;"")="","NULL","'"&amp;SUBSTITUTE(TRIM(F283),"'","''")&amp;"'")&amp;",''));")</f>
        <v/>
      </c>
    </row>
    <row r="284" ht="15.75" customHeight="1" s="64">
      <c r="A284" s="23" t="n"/>
      <c r="B284" s="25">
        <f t="array" ref="B284">IF(A284="","",IFERROR(IF(INDEX(Clientes!$D$5:$D$549,MATCH(A284,Clientes!$C$5:$C$549,0))&lt;&gt;"",INDEX(Clientes!$D$5:$D$549,MATCH(A284,Clientes!$C$5:$C$549,0)),TRIM(INDEX(Clientes!$E$5:$E$549,MATCH(A284,Clientes!$C$5:$C$549,0))&amp;" "&amp;INDEX(Clientes!$F$5:$F$549,MATCH(A284,Clientes!$C$5:$C$549,0)))),"NO EXISTE en Clientes"))</f>
        <v/>
      </c>
      <c r="C284" s="17" t="n"/>
      <c r="D284" s="17" t="n"/>
      <c r="E284" s="17" t="n"/>
      <c r="F284" s="23" t="n"/>
      <c r="G284" s="23" t="n"/>
      <c r="H284" s="23" t="n"/>
      <c r="I284" s="17" t="n"/>
      <c r="J284" s="17" t="n"/>
      <c r="K284" s="17" t="n"/>
      <c r="L284" s="17">
        <f>IF(AND(A284="",C284=""),"",IF(A284="","FALTA doc. cliente",IF(B284="NO EXISTE en Clientes","CLIENTE no está en hoja Clientes",IF(C284="","FALTA nombre",IF(AND(K284="SI",COUNTIFS($A$5:$A$499,A284,$K$5:$K$499,"SI")&gt;1),"Más de un contacto principal para este cliente","OK")))))</f>
        <v/>
      </c>
      <c r="M284" s="28">
        <f>IF(L284&lt;&gt;"OK","","INSERT INTO cli_contacto (id_cliente, nombre, apellido_paterno, apellido_materno, telefono1, telefono2, telefono3, email, direccion, es_principal, estado) SELECT "&amp;"(SELECT id FROM cli_clientes WHERE numero_documento = '"&amp;SUBSTITUTE(TRIM(A284),"'","''")&amp;"' AND estado = 1 LIMIT 1)"&amp;", "&amp;IF(TRIM(C284&amp;"")="","NULL","'"&amp;SUBSTITUTE(TRIM(C284),"'","''")&amp;"'")&amp;", "&amp;IF(TRIM(D284&amp;"")="","NULL","'"&amp;SUBSTITUTE(TRIM(D284),"'","''")&amp;"'")&amp;", "&amp;IF(TRIM(E284&amp;"")="","NULL","'"&amp;SUBSTITUTE(TRIM(E284),"'","''")&amp;"'")&amp;", "&amp;IF(TRIM(F284&amp;"")="","NULL","'"&amp;SUBSTITUTE(TRIM(F284),"'","''")&amp;"'")&amp;", "&amp;IF(TRIM(G284&amp;"")="","NULL","'"&amp;SUBSTITUTE(TRIM(G284),"'","''")&amp;"'")&amp;", "&amp;IF(TRIM(H284&amp;"")="","NULL","'"&amp;SUBSTITUTE(TRIM(H284),"'","''")&amp;"'")&amp;", "&amp;IF(TRIM(I284&amp;"")="","NULL","'"&amp;SUBSTITUTE(TRIM(I284),"'","''")&amp;"'")&amp;", "&amp;IF(TRIM(J284&amp;"")="","NULL","'"&amp;SUBSTITUTE(TRIM(J284),"'","''")&amp;"'")&amp;", "&amp;IF(UPPER(TRIM(K284&amp;""))="SI","TRUE","FALSE")&amp;", 1"&amp;" WHERE NOT EXISTS (SELECT 1 FROM cli_contacto c WHERE c.id_cliente = "&amp;"(SELECT id FROM cli_clientes WHERE numero_documento = '"&amp;SUBSTITUTE(TRIM(A284),"'","''")&amp;"' AND estado = 1 LIMIT 1)"&amp;" AND upper(c.nombre) = upper("&amp;IF(TRIM(C284&amp;"")="","NULL","'"&amp;SUBSTITUTE(TRIM(C284),"'","''")&amp;"'")&amp;") AND coalesce(c.telefono1,'') = coalesce("&amp;IF(TRIM(F284&amp;"")="","NULL","'"&amp;SUBSTITUTE(TRIM(F284),"'","''")&amp;"'")&amp;",''));")</f>
        <v/>
      </c>
    </row>
    <row r="285" ht="15.75" customHeight="1" s="64">
      <c r="A285" s="23" t="n"/>
      <c r="B285" s="25">
        <f t="array" ref="B285">IF(A285="","",IFERROR(IF(INDEX(Clientes!$D$5:$D$549,MATCH(A285,Clientes!$C$5:$C$549,0))&lt;&gt;"",INDEX(Clientes!$D$5:$D$549,MATCH(A285,Clientes!$C$5:$C$549,0)),TRIM(INDEX(Clientes!$E$5:$E$549,MATCH(A285,Clientes!$C$5:$C$549,0))&amp;" "&amp;INDEX(Clientes!$F$5:$F$549,MATCH(A285,Clientes!$C$5:$C$549,0)))),"NO EXISTE en Clientes"))</f>
        <v/>
      </c>
      <c r="C285" s="17" t="n"/>
      <c r="D285" s="17" t="n"/>
      <c r="E285" s="17" t="n"/>
      <c r="F285" s="23" t="n"/>
      <c r="G285" s="23" t="n"/>
      <c r="H285" s="23" t="n"/>
      <c r="I285" s="17" t="n"/>
      <c r="J285" s="17" t="n"/>
      <c r="K285" s="17" t="n"/>
      <c r="L285" s="17">
        <f>IF(AND(A285="",C285=""),"",IF(A285="","FALTA doc. cliente",IF(B285="NO EXISTE en Clientes","CLIENTE no está en hoja Clientes",IF(C285="","FALTA nombre",IF(AND(K285="SI",COUNTIFS($A$5:$A$499,A285,$K$5:$K$499,"SI")&gt;1),"Más de un contacto principal para este cliente","OK")))))</f>
        <v/>
      </c>
      <c r="M285" s="28">
        <f>IF(L285&lt;&gt;"OK","","INSERT INTO cli_contacto (id_cliente, nombre, apellido_paterno, apellido_materno, telefono1, telefono2, telefono3, email, direccion, es_principal, estado) SELECT "&amp;"(SELECT id FROM cli_clientes WHERE numero_documento = '"&amp;SUBSTITUTE(TRIM(A285),"'","''")&amp;"' AND estado = 1 LIMIT 1)"&amp;", "&amp;IF(TRIM(C285&amp;"")="","NULL","'"&amp;SUBSTITUTE(TRIM(C285),"'","''")&amp;"'")&amp;", "&amp;IF(TRIM(D285&amp;"")="","NULL","'"&amp;SUBSTITUTE(TRIM(D285),"'","''")&amp;"'")&amp;", "&amp;IF(TRIM(E285&amp;"")="","NULL","'"&amp;SUBSTITUTE(TRIM(E285),"'","''")&amp;"'")&amp;", "&amp;IF(TRIM(F285&amp;"")="","NULL","'"&amp;SUBSTITUTE(TRIM(F285),"'","''")&amp;"'")&amp;", "&amp;IF(TRIM(G285&amp;"")="","NULL","'"&amp;SUBSTITUTE(TRIM(G285),"'","''")&amp;"'")&amp;", "&amp;IF(TRIM(H285&amp;"")="","NULL","'"&amp;SUBSTITUTE(TRIM(H285),"'","''")&amp;"'")&amp;", "&amp;IF(TRIM(I285&amp;"")="","NULL","'"&amp;SUBSTITUTE(TRIM(I285),"'","''")&amp;"'")&amp;", "&amp;IF(TRIM(J285&amp;"")="","NULL","'"&amp;SUBSTITUTE(TRIM(J285),"'","''")&amp;"'")&amp;", "&amp;IF(UPPER(TRIM(K285&amp;""))="SI","TRUE","FALSE")&amp;", 1"&amp;" WHERE NOT EXISTS (SELECT 1 FROM cli_contacto c WHERE c.id_cliente = "&amp;"(SELECT id FROM cli_clientes WHERE numero_documento = '"&amp;SUBSTITUTE(TRIM(A285),"'","''")&amp;"' AND estado = 1 LIMIT 1)"&amp;" AND upper(c.nombre) = upper("&amp;IF(TRIM(C285&amp;"")="","NULL","'"&amp;SUBSTITUTE(TRIM(C285),"'","''")&amp;"'")&amp;") AND coalesce(c.telefono1,'') = coalesce("&amp;IF(TRIM(F285&amp;"")="","NULL","'"&amp;SUBSTITUTE(TRIM(F285),"'","''")&amp;"'")&amp;",''));")</f>
        <v/>
      </c>
    </row>
    <row r="286" ht="15.75" customHeight="1" s="64">
      <c r="A286" s="23" t="n"/>
      <c r="B286" s="25">
        <f t="array" ref="B286">IF(A286="","",IFERROR(IF(INDEX(Clientes!$D$5:$D$549,MATCH(A286,Clientes!$C$5:$C$549,0))&lt;&gt;"",INDEX(Clientes!$D$5:$D$549,MATCH(A286,Clientes!$C$5:$C$549,0)),TRIM(INDEX(Clientes!$E$5:$E$549,MATCH(A286,Clientes!$C$5:$C$549,0))&amp;" "&amp;INDEX(Clientes!$F$5:$F$549,MATCH(A286,Clientes!$C$5:$C$549,0)))),"NO EXISTE en Clientes"))</f>
        <v/>
      </c>
      <c r="C286" s="17" t="n"/>
      <c r="D286" s="17" t="n"/>
      <c r="E286" s="17" t="n"/>
      <c r="F286" s="23" t="n"/>
      <c r="G286" s="23" t="n"/>
      <c r="H286" s="23" t="n"/>
      <c r="I286" s="17" t="n"/>
      <c r="J286" s="17" t="n"/>
      <c r="K286" s="17" t="n"/>
      <c r="L286" s="17">
        <f>IF(AND(A286="",C286=""),"",IF(A286="","FALTA doc. cliente",IF(B286="NO EXISTE en Clientes","CLIENTE no está en hoja Clientes",IF(C286="","FALTA nombre",IF(AND(K286="SI",COUNTIFS($A$5:$A$499,A286,$K$5:$K$499,"SI")&gt;1),"Más de un contacto principal para este cliente","OK")))))</f>
        <v/>
      </c>
      <c r="M286" s="28">
        <f>IF(L286&lt;&gt;"OK","","INSERT INTO cli_contacto (id_cliente, nombre, apellido_paterno, apellido_materno, telefono1, telefono2, telefono3, email, direccion, es_principal, estado) SELECT "&amp;"(SELECT id FROM cli_clientes WHERE numero_documento = '"&amp;SUBSTITUTE(TRIM(A286),"'","''")&amp;"' AND estado = 1 LIMIT 1)"&amp;", "&amp;IF(TRIM(C286&amp;"")="","NULL","'"&amp;SUBSTITUTE(TRIM(C286),"'","''")&amp;"'")&amp;", "&amp;IF(TRIM(D286&amp;"")="","NULL","'"&amp;SUBSTITUTE(TRIM(D286),"'","''")&amp;"'")&amp;", "&amp;IF(TRIM(E286&amp;"")="","NULL","'"&amp;SUBSTITUTE(TRIM(E286),"'","''")&amp;"'")&amp;", "&amp;IF(TRIM(F286&amp;"")="","NULL","'"&amp;SUBSTITUTE(TRIM(F286),"'","''")&amp;"'")&amp;", "&amp;IF(TRIM(G286&amp;"")="","NULL","'"&amp;SUBSTITUTE(TRIM(G286),"'","''")&amp;"'")&amp;", "&amp;IF(TRIM(H286&amp;"")="","NULL","'"&amp;SUBSTITUTE(TRIM(H286),"'","''")&amp;"'")&amp;", "&amp;IF(TRIM(I286&amp;"")="","NULL","'"&amp;SUBSTITUTE(TRIM(I286),"'","''")&amp;"'")&amp;", "&amp;IF(TRIM(J286&amp;"")="","NULL","'"&amp;SUBSTITUTE(TRIM(J286),"'","''")&amp;"'")&amp;", "&amp;IF(UPPER(TRIM(K286&amp;""))="SI","TRUE","FALSE")&amp;", 1"&amp;" WHERE NOT EXISTS (SELECT 1 FROM cli_contacto c WHERE c.id_cliente = "&amp;"(SELECT id FROM cli_clientes WHERE numero_documento = '"&amp;SUBSTITUTE(TRIM(A286),"'","''")&amp;"' AND estado = 1 LIMIT 1)"&amp;" AND upper(c.nombre) = upper("&amp;IF(TRIM(C286&amp;"")="","NULL","'"&amp;SUBSTITUTE(TRIM(C286),"'","''")&amp;"'")&amp;") AND coalesce(c.telefono1,'') = coalesce("&amp;IF(TRIM(F286&amp;"")="","NULL","'"&amp;SUBSTITUTE(TRIM(F286),"'","''")&amp;"'")&amp;",''));")</f>
        <v/>
      </c>
    </row>
    <row r="287" ht="15.75" customHeight="1" s="64">
      <c r="A287" s="23" t="n"/>
      <c r="B287" s="25">
        <f t="array" ref="B287">IF(A287="","",IFERROR(IF(INDEX(Clientes!$D$5:$D$549,MATCH(A287,Clientes!$C$5:$C$549,0))&lt;&gt;"",INDEX(Clientes!$D$5:$D$549,MATCH(A287,Clientes!$C$5:$C$549,0)),TRIM(INDEX(Clientes!$E$5:$E$549,MATCH(A287,Clientes!$C$5:$C$549,0))&amp;" "&amp;INDEX(Clientes!$F$5:$F$549,MATCH(A287,Clientes!$C$5:$C$549,0)))),"NO EXISTE en Clientes"))</f>
        <v/>
      </c>
      <c r="C287" s="17" t="n"/>
      <c r="D287" s="17" t="n"/>
      <c r="E287" s="17" t="n"/>
      <c r="F287" s="23" t="n"/>
      <c r="G287" s="23" t="n"/>
      <c r="H287" s="23" t="n"/>
      <c r="I287" s="17" t="n"/>
      <c r="J287" s="17" t="n"/>
      <c r="K287" s="17" t="n"/>
      <c r="L287" s="17">
        <f>IF(AND(A287="",C287=""),"",IF(A287="","FALTA doc. cliente",IF(B287="NO EXISTE en Clientes","CLIENTE no está en hoja Clientes",IF(C287="","FALTA nombre",IF(AND(K287="SI",COUNTIFS($A$5:$A$499,A287,$K$5:$K$499,"SI")&gt;1),"Más de un contacto principal para este cliente","OK")))))</f>
        <v/>
      </c>
      <c r="M287" s="28">
        <f>IF(L287&lt;&gt;"OK","","INSERT INTO cli_contacto (id_cliente, nombre, apellido_paterno, apellido_materno, telefono1, telefono2, telefono3, email, direccion, es_principal, estado) SELECT "&amp;"(SELECT id FROM cli_clientes WHERE numero_documento = '"&amp;SUBSTITUTE(TRIM(A287),"'","''")&amp;"' AND estado = 1 LIMIT 1)"&amp;", "&amp;IF(TRIM(C287&amp;"")="","NULL","'"&amp;SUBSTITUTE(TRIM(C287),"'","''")&amp;"'")&amp;", "&amp;IF(TRIM(D287&amp;"")="","NULL","'"&amp;SUBSTITUTE(TRIM(D287),"'","''")&amp;"'")&amp;", "&amp;IF(TRIM(E287&amp;"")="","NULL","'"&amp;SUBSTITUTE(TRIM(E287),"'","''")&amp;"'")&amp;", "&amp;IF(TRIM(F287&amp;"")="","NULL","'"&amp;SUBSTITUTE(TRIM(F287),"'","''")&amp;"'")&amp;", "&amp;IF(TRIM(G287&amp;"")="","NULL","'"&amp;SUBSTITUTE(TRIM(G287),"'","''")&amp;"'")&amp;", "&amp;IF(TRIM(H287&amp;"")="","NULL","'"&amp;SUBSTITUTE(TRIM(H287),"'","''")&amp;"'")&amp;", "&amp;IF(TRIM(I287&amp;"")="","NULL","'"&amp;SUBSTITUTE(TRIM(I287),"'","''")&amp;"'")&amp;", "&amp;IF(TRIM(J287&amp;"")="","NULL","'"&amp;SUBSTITUTE(TRIM(J287),"'","''")&amp;"'")&amp;", "&amp;IF(UPPER(TRIM(K287&amp;""))="SI","TRUE","FALSE")&amp;", 1"&amp;" WHERE NOT EXISTS (SELECT 1 FROM cli_contacto c WHERE c.id_cliente = "&amp;"(SELECT id FROM cli_clientes WHERE numero_documento = '"&amp;SUBSTITUTE(TRIM(A287),"'","''")&amp;"' AND estado = 1 LIMIT 1)"&amp;" AND upper(c.nombre) = upper("&amp;IF(TRIM(C287&amp;"")="","NULL","'"&amp;SUBSTITUTE(TRIM(C287),"'","''")&amp;"'")&amp;") AND coalesce(c.telefono1,'') = coalesce("&amp;IF(TRIM(F287&amp;"")="","NULL","'"&amp;SUBSTITUTE(TRIM(F287),"'","''")&amp;"'")&amp;",''));")</f>
        <v/>
      </c>
    </row>
    <row r="288" ht="15.75" customHeight="1" s="64">
      <c r="A288" s="23" t="n"/>
      <c r="B288" s="25">
        <f t="array" ref="B288">IF(A288="","",IFERROR(IF(INDEX(Clientes!$D$5:$D$549,MATCH(A288,Clientes!$C$5:$C$549,0))&lt;&gt;"",INDEX(Clientes!$D$5:$D$549,MATCH(A288,Clientes!$C$5:$C$549,0)),TRIM(INDEX(Clientes!$E$5:$E$549,MATCH(A288,Clientes!$C$5:$C$549,0))&amp;" "&amp;INDEX(Clientes!$F$5:$F$549,MATCH(A288,Clientes!$C$5:$C$549,0)))),"NO EXISTE en Clientes"))</f>
        <v/>
      </c>
      <c r="C288" s="17" t="n"/>
      <c r="D288" s="17" t="n"/>
      <c r="E288" s="17" t="n"/>
      <c r="F288" s="23" t="n"/>
      <c r="G288" s="23" t="n"/>
      <c r="H288" s="23" t="n"/>
      <c r="I288" s="17" t="n"/>
      <c r="J288" s="17" t="n"/>
      <c r="K288" s="17" t="n"/>
      <c r="L288" s="17">
        <f>IF(AND(A288="",C288=""),"",IF(A288="","FALTA doc. cliente",IF(B288="NO EXISTE en Clientes","CLIENTE no está en hoja Clientes",IF(C288="","FALTA nombre",IF(AND(K288="SI",COUNTIFS($A$5:$A$499,A288,$K$5:$K$499,"SI")&gt;1),"Más de un contacto principal para este cliente","OK")))))</f>
        <v/>
      </c>
      <c r="M288" s="28">
        <f>IF(L288&lt;&gt;"OK","","INSERT INTO cli_contacto (id_cliente, nombre, apellido_paterno, apellido_materno, telefono1, telefono2, telefono3, email, direccion, es_principal, estado) SELECT "&amp;"(SELECT id FROM cli_clientes WHERE numero_documento = '"&amp;SUBSTITUTE(TRIM(A288),"'","''")&amp;"' AND estado = 1 LIMIT 1)"&amp;", "&amp;IF(TRIM(C288&amp;"")="","NULL","'"&amp;SUBSTITUTE(TRIM(C288),"'","''")&amp;"'")&amp;", "&amp;IF(TRIM(D288&amp;"")="","NULL","'"&amp;SUBSTITUTE(TRIM(D288),"'","''")&amp;"'")&amp;", "&amp;IF(TRIM(E288&amp;"")="","NULL","'"&amp;SUBSTITUTE(TRIM(E288),"'","''")&amp;"'")&amp;", "&amp;IF(TRIM(F288&amp;"")="","NULL","'"&amp;SUBSTITUTE(TRIM(F288),"'","''")&amp;"'")&amp;", "&amp;IF(TRIM(G288&amp;"")="","NULL","'"&amp;SUBSTITUTE(TRIM(G288),"'","''")&amp;"'")&amp;", "&amp;IF(TRIM(H288&amp;"")="","NULL","'"&amp;SUBSTITUTE(TRIM(H288),"'","''")&amp;"'")&amp;", "&amp;IF(TRIM(I288&amp;"")="","NULL","'"&amp;SUBSTITUTE(TRIM(I288),"'","''")&amp;"'")&amp;", "&amp;IF(TRIM(J288&amp;"")="","NULL","'"&amp;SUBSTITUTE(TRIM(J288),"'","''")&amp;"'")&amp;", "&amp;IF(UPPER(TRIM(K288&amp;""))="SI","TRUE","FALSE")&amp;", 1"&amp;" WHERE NOT EXISTS (SELECT 1 FROM cli_contacto c WHERE c.id_cliente = "&amp;"(SELECT id FROM cli_clientes WHERE numero_documento = '"&amp;SUBSTITUTE(TRIM(A288),"'","''")&amp;"' AND estado = 1 LIMIT 1)"&amp;" AND upper(c.nombre) = upper("&amp;IF(TRIM(C288&amp;"")="","NULL","'"&amp;SUBSTITUTE(TRIM(C288),"'","''")&amp;"'")&amp;") AND coalesce(c.telefono1,'') = coalesce("&amp;IF(TRIM(F288&amp;"")="","NULL","'"&amp;SUBSTITUTE(TRIM(F288),"'","''")&amp;"'")&amp;",''));")</f>
        <v/>
      </c>
    </row>
    <row r="289" ht="15.75" customHeight="1" s="64">
      <c r="A289" s="23" t="n"/>
      <c r="B289" s="25">
        <f t="array" ref="B289">IF(A289="","",IFERROR(IF(INDEX(Clientes!$D$5:$D$549,MATCH(A289,Clientes!$C$5:$C$549,0))&lt;&gt;"",INDEX(Clientes!$D$5:$D$549,MATCH(A289,Clientes!$C$5:$C$549,0)),TRIM(INDEX(Clientes!$E$5:$E$549,MATCH(A289,Clientes!$C$5:$C$549,0))&amp;" "&amp;INDEX(Clientes!$F$5:$F$549,MATCH(A289,Clientes!$C$5:$C$549,0)))),"NO EXISTE en Clientes"))</f>
        <v/>
      </c>
      <c r="C289" s="17" t="n"/>
      <c r="D289" s="17" t="n"/>
      <c r="E289" s="17" t="n"/>
      <c r="F289" s="23" t="n"/>
      <c r="G289" s="23" t="n"/>
      <c r="H289" s="23" t="n"/>
      <c r="I289" s="17" t="n"/>
      <c r="J289" s="17" t="n"/>
      <c r="K289" s="17" t="n"/>
      <c r="L289" s="17">
        <f>IF(AND(A289="",C289=""),"",IF(A289="","FALTA doc. cliente",IF(B289="NO EXISTE en Clientes","CLIENTE no está en hoja Clientes",IF(C289="","FALTA nombre",IF(AND(K289="SI",COUNTIFS($A$5:$A$499,A289,$K$5:$K$499,"SI")&gt;1),"Más de un contacto principal para este cliente","OK")))))</f>
        <v/>
      </c>
      <c r="M289" s="28">
        <f>IF(L289&lt;&gt;"OK","","INSERT INTO cli_contacto (id_cliente, nombre, apellido_paterno, apellido_materno, telefono1, telefono2, telefono3, email, direccion, es_principal, estado) SELECT "&amp;"(SELECT id FROM cli_clientes WHERE numero_documento = '"&amp;SUBSTITUTE(TRIM(A289),"'","''")&amp;"' AND estado = 1 LIMIT 1)"&amp;", "&amp;IF(TRIM(C289&amp;"")="","NULL","'"&amp;SUBSTITUTE(TRIM(C289),"'","''")&amp;"'")&amp;", "&amp;IF(TRIM(D289&amp;"")="","NULL","'"&amp;SUBSTITUTE(TRIM(D289),"'","''")&amp;"'")&amp;", "&amp;IF(TRIM(E289&amp;"")="","NULL","'"&amp;SUBSTITUTE(TRIM(E289),"'","''")&amp;"'")&amp;", "&amp;IF(TRIM(F289&amp;"")="","NULL","'"&amp;SUBSTITUTE(TRIM(F289),"'","''")&amp;"'")&amp;", "&amp;IF(TRIM(G289&amp;"")="","NULL","'"&amp;SUBSTITUTE(TRIM(G289),"'","''")&amp;"'")&amp;", "&amp;IF(TRIM(H289&amp;"")="","NULL","'"&amp;SUBSTITUTE(TRIM(H289),"'","''")&amp;"'")&amp;", "&amp;IF(TRIM(I289&amp;"")="","NULL","'"&amp;SUBSTITUTE(TRIM(I289),"'","''")&amp;"'")&amp;", "&amp;IF(TRIM(J289&amp;"")="","NULL","'"&amp;SUBSTITUTE(TRIM(J289),"'","''")&amp;"'")&amp;", "&amp;IF(UPPER(TRIM(K289&amp;""))="SI","TRUE","FALSE")&amp;", 1"&amp;" WHERE NOT EXISTS (SELECT 1 FROM cli_contacto c WHERE c.id_cliente = "&amp;"(SELECT id FROM cli_clientes WHERE numero_documento = '"&amp;SUBSTITUTE(TRIM(A289),"'","''")&amp;"' AND estado = 1 LIMIT 1)"&amp;" AND upper(c.nombre) = upper("&amp;IF(TRIM(C289&amp;"")="","NULL","'"&amp;SUBSTITUTE(TRIM(C289),"'","''")&amp;"'")&amp;") AND coalesce(c.telefono1,'') = coalesce("&amp;IF(TRIM(F289&amp;"")="","NULL","'"&amp;SUBSTITUTE(TRIM(F289),"'","''")&amp;"'")&amp;",''));")</f>
        <v/>
      </c>
    </row>
    <row r="290" ht="15.75" customHeight="1" s="64">
      <c r="A290" s="23" t="n"/>
      <c r="B290" s="25">
        <f t="array" ref="B290">IF(A290="","",IFERROR(IF(INDEX(Clientes!$D$5:$D$549,MATCH(A290,Clientes!$C$5:$C$549,0))&lt;&gt;"",INDEX(Clientes!$D$5:$D$549,MATCH(A290,Clientes!$C$5:$C$549,0)),TRIM(INDEX(Clientes!$E$5:$E$549,MATCH(A290,Clientes!$C$5:$C$549,0))&amp;" "&amp;INDEX(Clientes!$F$5:$F$549,MATCH(A290,Clientes!$C$5:$C$549,0)))),"NO EXISTE en Clientes"))</f>
        <v/>
      </c>
      <c r="C290" s="17" t="n"/>
      <c r="D290" s="17" t="n"/>
      <c r="E290" s="17" t="n"/>
      <c r="F290" s="23" t="n"/>
      <c r="G290" s="23" t="n"/>
      <c r="H290" s="23" t="n"/>
      <c r="I290" s="17" t="n"/>
      <c r="J290" s="17" t="n"/>
      <c r="K290" s="17" t="n"/>
      <c r="L290" s="17">
        <f>IF(AND(A290="",C290=""),"",IF(A290="","FALTA doc. cliente",IF(B290="NO EXISTE en Clientes","CLIENTE no está en hoja Clientes",IF(C290="","FALTA nombre",IF(AND(K290="SI",COUNTIFS($A$5:$A$499,A290,$K$5:$K$499,"SI")&gt;1),"Más de un contacto principal para este cliente","OK")))))</f>
        <v/>
      </c>
      <c r="M290" s="28">
        <f>IF(L290&lt;&gt;"OK","","INSERT INTO cli_contacto (id_cliente, nombre, apellido_paterno, apellido_materno, telefono1, telefono2, telefono3, email, direccion, es_principal, estado) SELECT "&amp;"(SELECT id FROM cli_clientes WHERE numero_documento = '"&amp;SUBSTITUTE(TRIM(A290),"'","''")&amp;"' AND estado = 1 LIMIT 1)"&amp;", "&amp;IF(TRIM(C290&amp;"")="","NULL","'"&amp;SUBSTITUTE(TRIM(C290),"'","''")&amp;"'")&amp;", "&amp;IF(TRIM(D290&amp;"")="","NULL","'"&amp;SUBSTITUTE(TRIM(D290),"'","''")&amp;"'")&amp;", "&amp;IF(TRIM(E290&amp;"")="","NULL","'"&amp;SUBSTITUTE(TRIM(E290),"'","''")&amp;"'")&amp;", "&amp;IF(TRIM(F290&amp;"")="","NULL","'"&amp;SUBSTITUTE(TRIM(F290),"'","''")&amp;"'")&amp;", "&amp;IF(TRIM(G290&amp;"")="","NULL","'"&amp;SUBSTITUTE(TRIM(G290),"'","''")&amp;"'")&amp;", "&amp;IF(TRIM(H290&amp;"")="","NULL","'"&amp;SUBSTITUTE(TRIM(H290),"'","''")&amp;"'")&amp;", "&amp;IF(TRIM(I290&amp;"")="","NULL","'"&amp;SUBSTITUTE(TRIM(I290),"'","''")&amp;"'")&amp;", "&amp;IF(TRIM(J290&amp;"")="","NULL","'"&amp;SUBSTITUTE(TRIM(J290),"'","''")&amp;"'")&amp;", "&amp;IF(UPPER(TRIM(K290&amp;""))="SI","TRUE","FALSE")&amp;", 1"&amp;" WHERE NOT EXISTS (SELECT 1 FROM cli_contacto c WHERE c.id_cliente = "&amp;"(SELECT id FROM cli_clientes WHERE numero_documento = '"&amp;SUBSTITUTE(TRIM(A290),"'","''")&amp;"' AND estado = 1 LIMIT 1)"&amp;" AND upper(c.nombre) = upper("&amp;IF(TRIM(C290&amp;"")="","NULL","'"&amp;SUBSTITUTE(TRIM(C290),"'","''")&amp;"'")&amp;") AND coalesce(c.telefono1,'') = coalesce("&amp;IF(TRIM(F290&amp;"")="","NULL","'"&amp;SUBSTITUTE(TRIM(F290),"'","''")&amp;"'")&amp;",''));")</f>
        <v/>
      </c>
    </row>
    <row r="291" ht="15.75" customHeight="1" s="64">
      <c r="A291" s="23" t="n"/>
      <c r="B291" s="25">
        <f t="array" ref="B291">IF(A291="","",IFERROR(IF(INDEX(Clientes!$D$5:$D$549,MATCH(A291,Clientes!$C$5:$C$549,0))&lt;&gt;"",INDEX(Clientes!$D$5:$D$549,MATCH(A291,Clientes!$C$5:$C$549,0)),TRIM(INDEX(Clientes!$E$5:$E$549,MATCH(A291,Clientes!$C$5:$C$549,0))&amp;" "&amp;INDEX(Clientes!$F$5:$F$549,MATCH(A291,Clientes!$C$5:$C$549,0)))),"NO EXISTE en Clientes"))</f>
        <v/>
      </c>
      <c r="C291" s="17" t="n"/>
      <c r="D291" s="17" t="n"/>
      <c r="E291" s="17" t="n"/>
      <c r="F291" s="23" t="n"/>
      <c r="G291" s="23" t="n"/>
      <c r="H291" s="23" t="n"/>
      <c r="I291" s="17" t="n"/>
      <c r="J291" s="17" t="n"/>
      <c r="K291" s="17" t="n"/>
      <c r="L291" s="17">
        <f>IF(AND(A291="",C291=""),"",IF(A291="","FALTA doc. cliente",IF(B291="NO EXISTE en Clientes","CLIENTE no está en hoja Clientes",IF(C291="","FALTA nombre",IF(AND(K291="SI",COUNTIFS($A$5:$A$499,A291,$K$5:$K$499,"SI")&gt;1),"Más de un contacto principal para este cliente","OK")))))</f>
        <v/>
      </c>
      <c r="M291" s="28">
        <f>IF(L291&lt;&gt;"OK","","INSERT INTO cli_contacto (id_cliente, nombre, apellido_paterno, apellido_materno, telefono1, telefono2, telefono3, email, direccion, es_principal, estado) SELECT "&amp;"(SELECT id FROM cli_clientes WHERE numero_documento = '"&amp;SUBSTITUTE(TRIM(A291),"'","''")&amp;"' AND estado = 1 LIMIT 1)"&amp;", "&amp;IF(TRIM(C291&amp;"")="","NULL","'"&amp;SUBSTITUTE(TRIM(C291),"'","''")&amp;"'")&amp;", "&amp;IF(TRIM(D291&amp;"")="","NULL","'"&amp;SUBSTITUTE(TRIM(D291),"'","''")&amp;"'")&amp;", "&amp;IF(TRIM(E291&amp;"")="","NULL","'"&amp;SUBSTITUTE(TRIM(E291),"'","''")&amp;"'")&amp;", "&amp;IF(TRIM(F291&amp;"")="","NULL","'"&amp;SUBSTITUTE(TRIM(F291),"'","''")&amp;"'")&amp;", "&amp;IF(TRIM(G291&amp;"")="","NULL","'"&amp;SUBSTITUTE(TRIM(G291),"'","''")&amp;"'")&amp;", "&amp;IF(TRIM(H291&amp;"")="","NULL","'"&amp;SUBSTITUTE(TRIM(H291),"'","''")&amp;"'")&amp;", "&amp;IF(TRIM(I291&amp;"")="","NULL","'"&amp;SUBSTITUTE(TRIM(I291),"'","''")&amp;"'")&amp;", "&amp;IF(TRIM(J291&amp;"")="","NULL","'"&amp;SUBSTITUTE(TRIM(J291),"'","''")&amp;"'")&amp;", "&amp;IF(UPPER(TRIM(K291&amp;""))="SI","TRUE","FALSE")&amp;", 1"&amp;" WHERE NOT EXISTS (SELECT 1 FROM cli_contacto c WHERE c.id_cliente = "&amp;"(SELECT id FROM cli_clientes WHERE numero_documento = '"&amp;SUBSTITUTE(TRIM(A291),"'","''")&amp;"' AND estado = 1 LIMIT 1)"&amp;" AND upper(c.nombre) = upper("&amp;IF(TRIM(C291&amp;"")="","NULL","'"&amp;SUBSTITUTE(TRIM(C291),"'","''")&amp;"'")&amp;") AND coalesce(c.telefono1,'') = coalesce("&amp;IF(TRIM(F291&amp;"")="","NULL","'"&amp;SUBSTITUTE(TRIM(F291),"'","''")&amp;"'")&amp;",''));")</f>
        <v/>
      </c>
    </row>
    <row r="292" ht="15.75" customHeight="1" s="64">
      <c r="A292" s="23" t="n"/>
      <c r="B292" s="25">
        <f t="array" ref="B292">IF(A292="","",IFERROR(IF(INDEX(Clientes!$D$5:$D$549,MATCH(A292,Clientes!$C$5:$C$549,0))&lt;&gt;"",INDEX(Clientes!$D$5:$D$549,MATCH(A292,Clientes!$C$5:$C$549,0)),TRIM(INDEX(Clientes!$E$5:$E$549,MATCH(A292,Clientes!$C$5:$C$549,0))&amp;" "&amp;INDEX(Clientes!$F$5:$F$549,MATCH(A292,Clientes!$C$5:$C$549,0)))),"NO EXISTE en Clientes"))</f>
        <v/>
      </c>
      <c r="C292" s="17" t="n"/>
      <c r="D292" s="17" t="n"/>
      <c r="E292" s="17" t="n"/>
      <c r="F292" s="23" t="n"/>
      <c r="G292" s="23" t="n"/>
      <c r="H292" s="23" t="n"/>
      <c r="I292" s="17" t="n"/>
      <c r="J292" s="17" t="n"/>
      <c r="K292" s="17" t="n"/>
      <c r="L292" s="17">
        <f>IF(AND(A292="",C292=""),"",IF(A292="","FALTA doc. cliente",IF(B292="NO EXISTE en Clientes","CLIENTE no está en hoja Clientes",IF(C292="","FALTA nombre",IF(AND(K292="SI",COUNTIFS($A$5:$A$499,A292,$K$5:$K$499,"SI")&gt;1),"Más de un contacto principal para este cliente","OK")))))</f>
        <v/>
      </c>
      <c r="M292" s="28">
        <f>IF(L292&lt;&gt;"OK","","INSERT INTO cli_contacto (id_cliente, nombre, apellido_paterno, apellido_materno, telefono1, telefono2, telefono3, email, direccion, es_principal, estado) SELECT "&amp;"(SELECT id FROM cli_clientes WHERE numero_documento = '"&amp;SUBSTITUTE(TRIM(A292),"'","''")&amp;"' AND estado = 1 LIMIT 1)"&amp;", "&amp;IF(TRIM(C292&amp;"")="","NULL","'"&amp;SUBSTITUTE(TRIM(C292),"'","''")&amp;"'")&amp;", "&amp;IF(TRIM(D292&amp;"")="","NULL","'"&amp;SUBSTITUTE(TRIM(D292),"'","''")&amp;"'")&amp;", "&amp;IF(TRIM(E292&amp;"")="","NULL","'"&amp;SUBSTITUTE(TRIM(E292),"'","''")&amp;"'")&amp;", "&amp;IF(TRIM(F292&amp;"")="","NULL","'"&amp;SUBSTITUTE(TRIM(F292),"'","''")&amp;"'")&amp;", "&amp;IF(TRIM(G292&amp;"")="","NULL","'"&amp;SUBSTITUTE(TRIM(G292),"'","''")&amp;"'")&amp;", "&amp;IF(TRIM(H292&amp;"")="","NULL","'"&amp;SUBSTITUTE(TRIM(H292),"'","''")&amp;"'")&amp;", "&amp;IF(TRIM(I292&amp;"")="","NULL","'"&amp;SUBSTITUTE(TRIM(I292),"'","''")&amp;"'")&amp;", "&amp;IF(TRIM(J292&amp;"")="","NULL","'"&amp;SUBSTITUTE(TRIM(J292),"'","''")&amp;"'")&amp;", "&amp;IF(UPPER(TRIM(K292&amp;""))="SI","TRUE","FALSE")&amp;", 1"&amp;" WHERE NOT EXISTS (SELECT 1 FROM cli_contacto c WHERE c.id_cliente = "&amp;"(SELECT id FROM cli_clientes WHERE numero_documento = '"&amp;SUBSTITUTE(TRIM(A292),"'","''")&amp;"' AND estado = 1 LIMIT 1)"&amp;" AND upper(c.nombre) = upper("&amp;IF(TRIM(C292&amp;"")="","NULL","'"&amp;SUBSTITUTE(TRIM(C292),"'","''")&amp;"'")&amp;") AND coalesce(c.telefono1,'') = coalesce("&amp;IF(TRIM(F292&amp;"")="","NULL","'"&amp;SUBSTITUTE(TRIM(F292),"'","''")&amp;"'")&amp;",''));")</f>
        <v/>
      </c>
    </row>
    <row r="293" ht="15.75" customHeight="1" s="64">
      <c r="A293" s="23" t="n"/>
      <c r="B293" s="25">
        <f t="array" ref="B293">IF(A293="","",IFERROR(IF(INDEX(Clientes!$D$5:$D$549,MATCH(A293,Clientes!$C$5:$C$549,0))&lt;&gt;"",INDEX(Clientes!$D$5:$D$549,MATCH(A293,Clientes!$C$5:$C$549,0)),TRIM(INDEX(Clientes!$E$5:$E$549,MATCH(A293,Clientes!$C$5:$C$549,0))&amp;" "&amp;INDEX(Clientes!$F$5:$F$549,MATCH(A293,Clientes!$C$5:$C$549,0)))),"NO EXISTE en Clientes"))</f>
        <v/>
      </c>
      <c r="C293" s="17" t="n"/>
      <c r="D293" s="17" t="n"/>
      <c r="E293" s="17" t="n"/>
      <c r="F293" s="23" t="n"/>
      <c r="G293" s="23" t="n"/>
      <c r="H293" s="23" t="n"/>
      <c r="I293" s="17" t="n"/>
      <c r="J293" s="17" t="n"/>
      <c r="K293" s="17" t="n"/>
      <c r="L293" s="17">
        <f>IF(AND(A293="",C293=""),"",IF(A293="","FALTA doc. cliente",IF(B293="NO EXISTE en Clientes","CLIENTE no está en hoja Clientes",IF(C293="","FALTA nombre",IF(AND(K293="SI",COUNTIFS($A$5:$A$499,A293,$K$5:$K$499,"SI")&gt;1),"Más de un contacto principal para este cliente","OK")))))</f>
        <v/>
      </c>
      <c r="M293" s="28">
        <f>IF(L293&lt;&gt;"OK","","INSERT INTO cli_contacto (id_cliente, nombre, apellido_paterno, apellido_materno, telefono1, telefono2, telefono3, email, direccion, es_principal, estado) SELECT "&amp;"(SELECT id FROM cli_clientes WHERE numero_documento = '"&amp;SUBSTITUTE(TRIM(A293),"'","''")&amp;"' AND estado = 1 LIMIT 1)"&amp;", "&amp;IF(TRIM(C293&amp;"")="","NULL","'"&amp;SUBSTITUTE(TRIM(C293),"'","''")&amp;"'")&amp;", "&amp;IF(TRIM(D293&amp;"")="","NULL","'"&amp;SUBSTITUTE(TRIM(D293),"'","''")&amp;"'")&amp;", "&amp;IF(TRIM(E293&amp;"")="","NULL","'"&amp;SUBSTITUTE(TRIM(E293),"'","''")&amp;"'")&amp;", "&amp;IF(TRIM(F293&amp;"")="","NULL","'"&amp;SUBSTITUTE(TRIM(F293),"'","''")&amp;"'")&amp;", "&amp;IF(TRIM(G293&amp;"")="","NULL","'"&amp;SUBSTITUTE(TRIM(G293),"'","''")&amp;"'")&amp;", "&amp;IF(TRIM(H293&amp;"")="","NULL","'"&amp;SUBSTITUTE(TRIM(H293),"'","''")&amp;"'")&amp;", "&amp;IF(TRIM(I293&amp;"")="","NULL","'"&amp;SUBSTITUTE(TRIM(I293),"'","''")&amp;"'")&amp;", "&amp;IF(TRIM(J293&amp;"")="","NULL","'"&amp;SUBSTITUTE(TRIM(J293),"'","''")&amp;"'")&amp;", "&amp;IF(UPPER(TRIM(K293&amp;""))="SI","TRUE","FALSE")&amp;", 1"&amp;" WHERE NOT EXISTS (SELECT 1 FROM cli_contacto c WHERE c.id_cliente = "&amp;"(SELECT id FROM cli_clientes WHERE numero_documento = '"&amp;SUBSTITUTE(TRIM(A293),"'","''")&amp;"' AND estado = 1 LIMIT 1)"&amp;" AND upper(c.nombre) = upper("&amp;IF(TRIM(C293&amp;"")="","NULL","'"&amp;SUBSTITUTE(TRIM(C293),"'","''")&amp;"'")&amp;") AND coalesce(c.telefono1,'') = coalesce("&amp;IF(TRIM(F293&amp;"")="","NULL","'"&amp;SUBSTITUTE(TRIM(F293),"'","''")&amp;"'")&amp;",''));")</f>
        <v/>
      </c>
    </row>
    <row r="294" ht="15.75" customHeight="1" s="64">
      <c r="A294" s="23" t="n"/>
      <c r="B294" s="25">
        <f t="array" ref="B294">IF(A294="","",IFERROR(IF(INDEX(Clientes!$D$5:$D$549,MATCH(A294,Clientes!$C$5:$C$549,0))&lt;&gt;"",INDEX(Clientes!$D$5:$D$549,MATCH(A294,Clientes!$C$5:$C$549,0)),TRIM(INDEX(Clientes!$E$5:$E$549,MATCH(A294,Clientes!$C$5:$C$549,0))&amp;" "&amp;INDEX(Clientes!$F$5:$F$549,MATCH(A294,Clientes!$C$5:$C$549,0)))),"NO EXISTE en Clientes"))</f>
        <v/>
      </c>
      <c r="C294" s="17" t="n"/>
      <c r="D294" s="17" t="n"/>
      <c r="E294" s="17" t="n"/>
      <c r="F294" s="23" t="n"/>
      <c r="G294" s="23" t="n"/>
      <c r="H294" s="23" t="n"/>
      <c r="I294" s="17" t="n"/>
      <c r="J294" s="17" t="n"/>
      <c r="K294" s="17" t="n"/>
      <c r="L294" s="17">
        <f>IF(AND(A294="",C294=""),"",IF(A294="","FALTA doc. cliente",IF(B294="NO EXISTE en Clientes","CLIENTE no está en hoja Clientes",IF(C294="","FALTA nombre",IF(AND(K294="SI",COUNTIFS($A$5:$A$499,A294,$K$5:$K$499,"SI")&gt;1),"Más de un contacto principal para este cliente","OK")))))</f>
        <v/>
      </c>
      <c r="M294" s="28">
        <f>IF(L294&lt;&gt;"OK","","INSERT INTO cli_contacto (id_cliente, nombre, apellido_paterno, apellido_materno, telefono1, telefono2, telefono3, email, direccion, es_principal, estado) SELECT "&amp;"(SELECT id FROM cli_clientes WHERE numero_documento = '"&amp;SUBSTITUTE(TRIM(A294),"'","''")&amp;"' AND estado = 1 LIMIT 1)"&amp;", "&amp;IF(TRIM(C294&amp;"")="","NULL","'"&amp;SUBSTITUTE(TRIM(C294),"'","''")&amp;"'")&amp;", "&amp;IF(TRIM(D294&amp;"")="","NULL","'"&amp;SUBSTITUTE(TRIM(D294),"'","''")&amp;"'")&amp;", "&amp;IF(TRIM(E294&amp;"")="","NULL","'"&amp;SUBSTITUTE(TRIM(E294),"'","''")&amp;"'")&amp;", "&amp;IF(TRIM(F294&amp;"")="","NULL","'"&amp;SUBSTITUTE(TRIM(F294),"'","''")&amp;"'")&amp;", "&amp;IF(TRIM(G294&amp;"")="","NULL","'"&amp;SUBSTITUTE(TRIM(G294),"'","''")&amp;"'")&amp;", "&amp;IF(TRIM(H294&amp;"")="","NULL","'"&amp;SUBSTITUTE(TRIM(H294),"'","''")&amp;"'")&amp;", "&amp;IF(TRIM(I294&amp;"")="","NULL","'"&amp;SUBSTITUTE(TRIM(I294),"'","''")&amp;"'")&amp;", "&amp;IF(TRIM(J294&amp;"")="","NULL","'"&amp;SUBSTITUTE(TRIM(J294),"'","''")&amp;"'")&amp;", "&amp;IF(UPPER(TRIM(K294&amp;""))="SI","TRUE","FALSE")&amp;", 1"&amp;" WHERE NOT EXISTS (SELECT 1 FROM cli_contacto c WHERE c.id_cliente = "&amp;"(SELECT id FROM cli_clientes WHERE numero_documento = '"&amp;SUBSTITUTE(TRIM(A294),"'","''")&amp;"' AND estado = 1 LIMIT 1)"&amp;" AND upper(c.nombre) = upper("&amp;IF(TRIM(C294&amp;"")="","NULL","'"&amp;SUBSTITUTE(TRIM(C294),"'","''")&amp;"'")&amp;") AND coalesce(c.telefono1,'') = coalesce("&amp;IF(TRIM(F294&amp;"")="","NULL","'"&amp;SUBSTITUTE(TRIM(F294),"'","''")&amp;"'")&amp;",''));")</f>
        <v/>
      </c>
    </row>
    <row r="295" ht="15.75" customHeight="1" s="64">
      <c r="A295" s="23" t="n"/>
      <c r="B295" s="25">
        <f t="array" ref="B295">IF(A295="","",IFERROR(IF(INDEX(Clientes!$D$5:$D$549,MATCH(A295,Clientes!$C$5:$C$549,0))&lt;&gt;"",INDEX(Clientes!$D$5:$D$549,MATCH(A295,Clientes!$C$5:$C$549,0)),TRIM(INDEX(Clientes!$E$5:$E$549,MATCH(A295,Clientes!$C$5:$C$549,0))&amp;" "&amp;INDEX(Clientes!$F$5:$F$549,MATCH(A295,Clientes!$C$5:$C$549,0)))),"NO EXISTE en Clientes"))</f>
        <v/>
      </c>
      <c r="C295" s="17" t="n"/>
      <c r="D295" s="17" t="n"/>
      <c r="E295" s="17" t="n"/>
      <c r="F295" s="23" t="n"/>
      <c r="G295" s="23" t="n"/>
      <c r="H295" s="23" t="n"/>
      <c r="I295" s="17" t="n"/>
      <c r="J295" s="17" t="n"/>
      <c r="K295" s="17" t="n"/>
      <c r="L295" s="17">
        <f>IF(AND(A295="",C295=""),"",IF(A295="","FALTA doc. cliente",IF(B295="NO EXISTE en Clientes","CLIENTE no está en hoja Clientes",IF(C295="","FALTA nombre",IF(AND(K295="SI",COUNTIFS($A$5:$A$499,A295,$K$5:$K$499,"SI")&gt;1),"Más de un contacto principal para este cliente","OK")))))</f>
        <v/>
      </c>
      <c r="M295" s="28">
        <f>IF(L295&lt;&gt;"OK","","INSERT INTO cli_contacto (id_cliente, nombre, apellido_paterno, apellido_materno, telefono1, telefono2, telefono3, email, direccion, es_principal, estado) SELECT "&amp;"(SELECT id FROM cli_clientes WHERE numero_documento = '"&amp;SUBSTITUTE(TRIM(A295),"'","''")&amp;"' AND estado = 1 LIMIT 1)"&amp;", "&amp;IF(TRIM(C295&amp;"")="","NULL","'"&amp;SUBSTITUTE(TRIM(C295),"'","''")&amp;"'")&amp;", "&amp;IF(TRIM(D295&amp;"")="","NULL","'"&amp;SUBSTITUTE(TRIM(D295),"'","''")&amp;"'")&amp;", "&amp;IF(TRIM(E295&amp;"")="","NULL","'"&amp;SUBSTITUTE(TRIM(E295),"'","''")&amp;"'")&amp;", "&amp;IF(TRIM(F295&amp;"")="","NULL","'"&amp;SUBSTITUTE(TRIM(F295),"'","''")&amp;"'")&amp;", "&amp;IF(TRIM(G295&amp;"")="","NULL","'"&amp;SUBSTITUTE(TRIM(G295),"'","''")&amp;"'")&amp;", "&amp;IF(TRIM(H295&amp;"")="","NULL","'"&amp;SUBSTITUTE(TRIM(H295),"'","''")&amp;"'")&amp;", "&amp;IF(TRIM(I295&amp;"")="","NULL","'"&amp;SUBSTITUTE(TRIM(I295),"'","''")&amp;"'")&amp;", "&amp;IF(TRIM(J295&amp;"")="","NULL","'"&amp;SUBSTITUTE(TRIM(J295),"'","''")&amp;"'")&amp;", "&amp;IF(UPPER(TRIM(K295&amp;""))="SI","TRUE","FALSE")&amp;", 1"&amp;" WHERE NOT EXISTS (SELECT 1 FROM cli_contacto c WHERE c.id_cliente = "&amp;"(SELECT id FROM cli_clientes WHERE numero_documento = '"&amp;SUBSTITUTE(TRIM(A295),"'","''")&amp;"' AND estado = 1 LIMIT 1)"&amp;" AND upper(c.nombre) = upper("&amp;IF(TRIM(C295&amp;"")="","NULL","'"&amp;SUBSTITUTE(TRIM(C295),"'","''")&amp;"'")&amp;") AND coalesce(c.telefono1,'') = coalesce("&amp;IF(TRIM(F295&amp;"")="","NULL","'"&amp;SUBSTITUTE(TRIM(F295),"'","''")&amp;"'")&amp;",''));")</f>
        <v/>
      </c>
    </row>
    <row r="296" ht="15.75" customHeight="1" s="64">
      <c r="A296" s="23" t="n"/>
      <c r="B296" s="25">
        <f t="array" ref="B296">IF(A296="","",IFERROR(IF(INDEX(Clientes!$D$5:$D$549,MATCH(A296,Clientes!$C$5:$C$549,0))&lt;&gt;"",INDEX(Clientes!$D$5:$D$549,MATCH(A296,Clientes!$C$5:$C$549,0)),TRIM(INDEX(Clientes!$E$5:$E$549,MATCH(A296,Clientes!$C$5:$C$549,0))&amp;" "&amp;INDEX(Clientes!$F$5:$F$549,MATCH(A296,Clientes!$C$5:$C$549,0)))),"NO EXISTE en Clientes"))</f>
        <v/>
      </c>
      <c r="C296" s="17" t="n"/>
      <c r="D296" s="17" t="n"/>
      <c r="E296" s="17" t="n"/>
      <c r="F296" s="23" t="n"/>
      <c r="G296" s="23" t="n"/>
      <c r="H296" s="23" t="n"/>
      <c r="I296" s="17" t="n"/>
      <c r="J296" s="17" t="n"/>
      <c r="K296" s="17" t="n"/>
      <c r="L296" s="17">
        <f>IF(AND(A296="",C296=""),"",IF(A296="","FALTA doc. cliente",IF(B296="NO EXISTE en Clientes","CLIENTE no está en hoja Clientes",IF(C296="","FALTA nombre",IF(AND(K296="SI",COUNTIFS($A$5:$A$499,A296,$K$5:$K$499,"SI")&gt;1),"Más de un contacto principal para este cliente","OK")))))</f>
        <v/>
      </c>
      <c r="M296" s="28">
        <f>IF(L296&lt;&gt;"OK","","INSERT INTO cli_contacto (id_cliente, nombre, apellido_paterno, apellido_materno, telefono1, telefono2, telefono3, email, direccion, es_principal, estado) SELECT "&amp;"(SELECT id FROM cli_clientes WHERE numero_documento = '"&amp;SUBSTITUTE(TRIM(A296),"'","''")&amp;"' AND estado = 1 LIMIT 1)"&amp;", "&amp;IF(TRIM(C296&amp;"")="","NULL","'"&amp;SUBSTITUTE(TRIM(C296),"'","''")&amp;"'")&amp;", "&amp;IF(TRIM(D296&amp;"")="","NULL","'"&amp;SUBSTITUTE(TRIM(D296),"'","''")&amp;"'")&amp;", "&amp;IF(TRIM(E296&amp;"")="","NULL","'"&amp;SUBSTITUTE(TRIM(E296),"'","''")&amp;"'")&amp;", "&amp;IF(TRIM(F296&amp;"")="","NULL","'"&amp;SUBSTITUTE(TRIM(F296),"'","''")&amp;"'")&amp;", "&amp;IF(TRIM(G296&amp;"")="","NULL","'"&amp;SUBSTITUTE(TRIM(G296),"'","''")&amp;"'")&amp;", "&amp;IF(TRIM(H296&amp;"")="","NULL","'"&amp;SUBSTITUTE(TRIM(H296),"'","''")&amp;"'")&amp;", "&amp;IF(TRIM(I296&amp;"")="","NULL","'"&amp;SUBSTITUTE(TRIM(I296),"'","''")&amp;"'")&amp;", "&amp;IF(TRIM(J296&amp;"")="","NULL","'"&amp;SUBSTITUTE(TRIM(J296),"'","''")&amp;"'")&amp;", "&amp;IF(UPPER(TRIM(K296&amp;""))="SI","TRUE","FALSE")&amp;", 1"&amp;" WHERE NOT EXISTS (SELECT 1 FROM cli_contacto c WHERE c.id_cliente = "&amp;"(SELECT id FROM cli_clientes WHERE numero_documento = '"&amp;SUBSTITUTE(TRIM(A296),"'","''")&amp;"' AND estado = 1 LIMIT 1)"&amp;" AND upper(c.nombre) = upper("&amp;IF(TRIM(C296&amp;"")="","NULL","'"&amp;SUBSTITUTE(TRIM(C296),"'","''")&amp;"'")&amp;") AND coalesce(c.telefono1,'') = coalesce("&amp;IF(TRIM(F296&amp;"")="","NULL","'"&amp;SUBSTITUTE(TRIM(F296),"'","''")&amp;"'")&amp;",''));")</f>
        <v/>
      </c>
    </row>
    <row r="297" ht="15.75" customHeight="1" s="64">
      <c r="A297" s="23" t="n"/>
      <c r="B297" s="25">
        <f t="array" ref="B297">IF(A297="","",IFERROR(IF(INDEX(Clientes!$D$5:$D$549,MATCH(A297,Clientes!$C$5:$C$549,0))&lt;&gt;"",INDEX(Clientes!$D$5:$D$549,MATCH(A297,Clientes!$C$5:$C$549,0)),TRIM(INDEX(Clientes!$E$5:$E$549,MATCH(A297,Clientes!$C$5:$C$549,0))&amp;" "&amp;INDEX(Clientes!$F$5:$F$549,MATCH(A297,Clientes!$C$5:$C$549,0)))),"NO EXISTE en Clientes"))</f>
        <v/>
      </c>
      <c r="C297" s="17" t="n"/>
      <c r="D297" s="17" t="n"/>
      <c r="E297" s="17" t="n"/>
      <c r="F297" s="23" t="n"/>
      <c r="G297" s="23" t="n"/>
      <c r="H297" s="23" t="n"/>
      <c r="I297" s="17" t="n"/>
      <c r="J297" s="17" t="n"/>
      <c r="K297" s="17" t="n"/>
      <c r="L297" s="17">
        <f>IF(AND(A297="",C297=""),"",IF(A297="","FALTA doc. cliente",IF(B297="NO EXISTE en Clientes","CLIENTE no está en hoja Clientes",IF(C297="","FALTA nombre",IF(AND(K297="SI",COUNTIFS($A$5:$A$499,A297,$K$5:$K$499,"SI")&gt;1),"Más de un contacto principal para este cliente","OK")))))</f>
        <v/>
      </c>
      <c r="M297" s="28">
        <f>IF(L297&lt;&gt;"OK","","INSERT INTO cli_contacto (id_cliente, nombre, apellido_paterno, apellido_materno, telefono1, telefono2, telefono3, email, direccion, es_principal, estado) SELECT "&amp;"(SELECT id FROM cli_clientes WHERE numero_documento = '"&amp;SUBSTITUTE(TRIM(A297),"'","''")&amp;"' AND estado = 1 LIMIT 1)"&amp;", "&amp;IF(TRIM(C297&amp;"")="","NULL","'"&amp;SUBSTITUTE(TRIM(C297),"'","''")&amp;"'")&amp;", "&amp;IF(TRIM(D297&amp;"")="","NULL","'"&amp;SUBSTITUTE(TRIM(D297),"'","''")&amp;"'")&amp;", "&amp;IF(TRIM(E297&amp;"")="","NULL","'"&amp;SUBSTITUTE(TRIM(E297),"'","''")&amp;"'")&amp;", "&amp;IF(TRIM(F297&amp;"")="","NULL","'"&amp;SUBSTITUTE(TRIM(F297),"'","''")&amp;"'")&amp;", "&amp;IF(TRIM(G297&amp;"")="","NULL","'"&amp;SUBSTITUTE(TRIM(G297),"'","''")&amp;"'")&amp;", "&amp;IF(TRIM(H297&amp;"")="","NULL","'"&amp;SUBSTITUTE(TRIM(H297),"'","''")&amp;"'")&amp;", "&amp;IF(TRIM(I297&amp;"")="","NULL","'"&amp;SUBSTITUTE(TRIM(I297),"'","''")&amp;"'")&amp;", "&amp;IF(TRIM(J297&amp;"")="","NULL","'"&amp;SUBSTITUTE(TRIM(J297),"'","''")&amp;"'")&amp;", "&amp;IF(UPPER(TRIM(K297&amp;""))="SI","TRUE","FALSE")&amp;", 1"&amp;" WHERE NOT EXISTS (SELECT 1 FROM cli_contacto c WHERE c.id_cliente = "&amp;"(SELECT id FROM cli_clientes WHERE numero_documento = '"&amp;SUBSTITUTE(TRIM(A297),"'","''")&amp;"' AND estado = 1 LIMIT 1)"&amp;" AND upper(c.nombre) = upper("&amp;IF(TRIM(C297&amp;"")="","NULL","'"&amp;SUBSTITUTE(TRIM(C297),"'","''")&amp;"'")&amp;") AND coalesce(c.telefono1,'') = coalesce("&amp;IF(TRIM(F297&amp;"")="","NULL","'"&amp;SUBSTITUTE(TRIM(F297),"'","''")&amp;"'")&amp;",''));")</f>
        <v/>
      </c>
    </row>
    <row r="298" ht="15.75" customHeight="1" s="64">
      <c r="A298" s="23" t="n"/>
      <c r="B298" s="25">
        <f t="array" ref="B298">IF(A298="","",IFERROR(IF(INDEX(Clientes!$D$5:$D$549,MATCH(A298,Clientes!$C$5:$C$549,0))&lt;&gt;"",INDEX(Clientes!$D$5:$D$549,MATCH(A298,Clientes!$C$5:$C$549,0)),TRIM(INDEX(Clientes!$E$5:$E$549,MATCH(A298,Clientes!$C$5:$C$549,0))&amp;" "&amp;INDEX(Clientes!$F$5:$F$549,MATCH(A298,Clientes!$C$5:$C$549,0)))),"NO EXISTE en Clientes"))</f>
        <v/>
      </c>
      <c r="C298" s="17" t="n"/>
      <c r="D298" s="17" t="n"/>
      <c r="E298" s="17" t="n"/>
      <c r="F298" s="23" t="n"/>
      <c r="G298" s="23" t="n"/>
      <c r="H298" s="23" t="n"/>
      <c r="I298" s="17" t="n"/>
      <c r="J298" s="17" t="n"/>
      <c r="K298" s="17" t="n"/>
      <c r="L298" s="17">
        <f>IF(AND(A298="",C298=""),"",IF(A298="","FALTA doc. cliente",IF(B298="NO EXISTE en Clientes","CLIENTE no está en hoja Clientes",IF(C298="","FALTA nombre",IF(AND(K298="SI",COUNTIFS($A$5:$A$499,A298,$K$5:$K$499,"SI")&gt;1),"Más de un contacto principal para este cliente","OK")))))</f>
        <v/>
      </c>
      <c r="M298" s="28">
        <f>IF(L298&lt;&gt;"OK","","INSERT INTO cli_contacto (id_cliente, nombre, apellido_paterno, apellido_materno, telefono1, telefono2, telefono3, email, direccion, es_principal, estado) SELECT "&amp;"(SELECT id FROM cli_clientes WHERE numero_documento = '"&amp;SUBSTITUTE(TRIM(A298),"'","''")&amp;"' AND estado = 1 LIMIT 1)"&amp;", "&amp;IF(TRIM(C298&amp;"")="","NULL","'"&amp;SUBSTITUTE(TRIM(C298),"'","''")&amp;"'")&amp;", "&amp;IF(TRIM(D298&amp;"")="","NULL","'"&amp;SUBSTITUTE(TRIM(D298),"'","''")&amp;"'")&amp;", "&amp;IF(TRIM(E298&amp;"")="","NULL","'"&amp;SUBSTITUTE(TRIM(E298),"'","''")&amp;"'")&amp;", "&amp;IF(TRIM(F298&amp;"")="","NULL","'"&amp;SUBSTITUTE(TRIM(F298),"'","''")&amp;"'")&amp;", "&amp;IF(TRIM(G298&amp;"")="","NULL","'"&amp;SUBSTITUTE(TRIM(G298),"'","''")&amp;"'")&amp;", "&amp;IF(TRIM(H298&amp;"")="","NULL","'"&amp;SUBSTITUTE(TRIM(H298),"'","''")&amp;"'")&amp;", "&amp;IF(TRIM(I298&amp;"")="","NULL","'"&amp;SUBSTITUTE(TRIM(I298),"'","''")&amp;"'")&amp;", "&amp;IF(TRIM(J298&amp;"")="","NULL","'"&amp;SUBSTITUTE(TRIM(J298),"'","''")&amp;"'")&amp;", "&amp;IF(UPPER(TRIM(K298&amp;""))="SI","TRUE","FALSE")&amp;", 1"&amp;" WHERE NOT EXISTS (SELECT 1 FROM cli_contacto c WHERE c.id_cliente = "&amp;"(SELECT id FROM cli_clientes WHERE numero_documento = '"&amp;SUBSTITUTE(TRIM(A298),"'","''")&amp;"' AND estado = 1 LIMIT 1)"&amp;" AND upper(c.nombre) = upper("&amp;IF(TRIM(C298&amp;"")="","NULL","'"&amp;SUBSTITUTE(TRIM(C298),"'","''")&amp;"'")&amp;") AND coalesce(c.telefono1,'') = coalesce("&amp;IF(TRIM(F298&amp;"")="","NULL","'"&amp;SUBSTITUTE(TRIM(F298),"'","''")&amp;"'")&amp;",''));")</f>
        <v/>
      </c>
    </row>
    <row r="299" ht="15.75" customHeight="1" s="64">
      <c r="A299" s="23" t="n"/>
      <c r="B299" s="25">
        <f t="array" ref="B299">IF(A299="","",IFERROR(IF(INDEX(Clientes!$D$5:$D$549,MATCH(A299,Clientes!$C$5:$C$549,0))&lt;&gt;"",INDEX(Clientes!$D$5:$D$549,MATCH(A299,Clientes!$C$5:$C$549,0)),TRIM(INDEX(Clientes!$E$5:$E$549,MATCH(A299,Clientes!$C$5:$C$549,0))&amp;" "&amp;INDEX(Clientes!$F$5:$F$549,MATCH(A299,Clientes!$C$5:$C$549,0)))),"NO EXISTE en Clientes"))</f>
        <v/>
      </c>
      <c r="C299" s="17" t="n"/>
      <c r="D299" s="17" t="n"/>
      <c r="E299" s="17" t="n"/>
      <c r="F299" s="23" t="n"/>
      <c r="G299" s="23" t="n"/>
      <c r="H299" s="23" t="n"/>
      <c r="I299" s="17" t="n"/>
      <c r="J299" s="17" t="n"/>
      <c r="K299" s="17" t="n"/>
      <c r="L299" s="17">
        <f>IF(AND(A299="",C299=""),"",IF(A299="","FALTA doc. cliente",IF(B299="NO EXISTE en Clientes","CLIENTE no está en hoja Clientes",IF(C299="","FALTA nombre",IF(AND(K299="SI",COUNTIFS($A$5:$A$499,A299,$K$5:$K$499,"SI")&gt;1),"Más de un contacto principal para este cliente","OK")))))</f>
        <v/>
      </c>
      <c r="M299" s="28">
        <f>IF(L299&lt;&gt;"OK","","INSERT INTO cli_contacto (id_cliente, nombre, apellido_paterno, apellido_materno, telefono1, telefono2, telefono3, email, direccion, es_principal, estado) SELECT "&amp;"(SELECT id FROM cli_clientes WHERE numero_documento = '"&amp;SUBSTITUTE(TRIM(A299),"'","''")&amp;"' AND estado = 1 LIMIT 1)"&amp;", "&amp;IF(TRIM(C299&amp;"")="","NULL","'"&amp;SUBSTITUTE(TRIM(C299),"'","''")&amp;"'")&amp;", "&amp;IF(TRIM(D299&amp;"")="","NULL","'"&amp;SUBSTITUTE(TRIM(D299),"'","''")&amp;"'")&amp;", "&amp;IF(TRIM(E299&amp;"")="","NULL","'"&amp;SUBSTITUTE(TRIM(E299),"'","''")&amp;"'")&amp;", "&amp;IF(TRIM(F299&amp;"")="","NULL","'"&amp;SUBSTITUTE(TRIM(F299),"'","''")&amp;"'")&amp;", "&amp;IF(TRIM(G299&amp;"")="","NULL","'"&amp;SUBSTITUTE(TRIM(G299),"'","''")&amp;"'")&amp;", "&amp;IF(TRIM(H299&amp;"")="","NULL","'"&amp;SUBSTITUTE(TRIM(H299),"'","''")&amp;"'")&amp;", "&amp;IF(TRIM(I299&amp;"")="","NULL","'"&amp;SUBSTITUTE(TRIM(I299),"'","''")&amp;"'")&amp;", "&amp;IF(TRIM(J299&amp;"")="","NULL","'"&amp;SUBSTITUTE(TRIM(J299),"'","''")&amp;"'")&amp;", "&amp;IF(UPPER(TRIM(K299&amp;""))="SI","TRUE","FALSE")&amp;", 1"&amp;" WHERE NOT EXISTS (SELECT 1 FROM cli_contacto c WHERE c.id_cliente = "&amp;"(SELECT id FROM cli_clientes WHERE numero_documento = '"&amp;SUBSTITUTE(TRIM(A299),"'","''")&amp;"' AND estado = 1 LIMIT 1)"&amp;" AND upper(c.nombre) = upper("&amp;IF(TRIM(C299&amp;"")="","NULL","'"&amp;SUBSTITUTE(TRIM(C299),"'","''")&amp;"'")&amp;") AND coalesce(c.telefono1,'') = coalesce("&amp;IF(TRIM(F299&amp;"")="","NULL","'"&amp;SUBSTITUTE(TRIM(F299),"'","''")&amp;"'")&amp;",''));")</f>
        <v/>
      </c>
    </row>
    <row r="300" ht="15.75" customHeight="1" s="64">
      <c r="A300" s="23" t="n"/>
      <c r="B300" s="25">
        <f t="array" ref="B300">IF(A300="","",IFERROR(IF(INDEX(Clientes!$D$5:$D$549,MATCH(A300,Clientes!$C$5:$C$549,0))&lt;&gt;"",INDEX(Clientes!$D$5:$D$549,MATCH(A300,Clientes!$C$5:$C$549,0)),TRIM(INDEX(Clientes!$E$5:$E$549,MATCH(A300,Clientes!$C$5:$C$549,0))&amp;" "&amp;INDEX(Clientes!$F$5:$F$549,MATCH(A300,Clientes!$C$5:$C$549,0)))),"NO EXISTE en Clientes"))</f>
        <v/>
      </c>
      <c r="C300" s="17" t="n"/>
      <c r="D300" s="17" t="n"/>
      <c r="E300" s="17" t="n"/>
      <c r="F300" s="23" t="n"/>
      <c r="G300" s="23" t="n"/>
      <c r="H300" s="23" t="n"/>
      <c r="I300" s="17" t="n"/>
      <c r="J300" s="17" t="n"/>
      <c r="K300" s="17" t="n"/>
      <c r="L300" s="17">
        <f>IF(AND(A300="",C300=""),"",IF(A300="","FALTA doc. cliente",IF(B300="NO EXISTE en Clientes","CLIENTE no está en hoja Clientes",IF(C300="","FALTA nombre",IF(AND(K300="SI",COUNTIFS($A$5:$A$499,A300,$K$5:$K$499,"SI")&gt;1),"Más de un contacto principal para este cliente","OK")))))</f>
        <v/>
      </c>
      <c r="M300" s="28">
        <f>IF(L300&lt;&gt;"OK","","INSERT INTO cli_contacto (id_cliente, nombre, apellido_paterno, apellido_materno, telefono1, telefono2, telefono3, email, direccion, es_principal, estado) SELECT "&amp;"(SELECT id FROM cli_clientes WHERE numero_documento = '"&amp;SUBSTITUTE(TRIM(A300),"'","''")&amp;"' AND estado = 1 LIMIT 1)"&amp;", "&amp;IF(TRIM(C300&amp;"")="","NULL","'"&amp;SUBSTITUTE(TRIM(C300),"'","''")&amp;"'")&amp;", "&amp;IF(TRIM(D300&amp;"")="","NULL","'"&amp;SUBSTITUTE(TRIM(D300),"'","''")&amp;"'")&amp;", "&amp;IF(TRIM(E300&amp;"")="","NULL","'"&amp;SUBSTITUTE(TRIM(E300),"'","''")&amp;"'")&amp;", "&amp;IF(TRIM(F300&amp;"")="","NULL","'"&amp;SUBSTITUTE(TRIM(F300),"'","''")&amp;"'")&amp;", "&amp;IF(TRIM(G300&amp;"")="","NULL","'"&amp;SUBSTITUTE(TRIM(G300),"'","''")&amp;"'")&amp;", "&amp;IF(TRIM(H300&amp;"")="","NULL","'"&amp;SUBSTITUTE(TRIM(H300),"'","''")&amp;"'")&amp;", "&amp;IF(TRIM(I300&amp;"")="","NULL","'"&amp;SUBSTITUTE(TRIM(I300),"'","''")&amp;"'")&amp;", "&amp;IF(TRIM(J300&amp;"")="","NULL","'"&amp;SUBSTITUTE(TRIM(J300),"'","''")&amp;"'")&amp;", "&amp;IF(UPPER(TRIM(K300&amp;""))="SI","TRUE","FALSE")&amp;", 1"&amp;" WHERE NOT EXISTS (SELECT 1 FROM cli_contacto c WHERE c.id_cliente = "&amp;"(SELECT id FROM cli_clientes WHERE numero_documento = '"&amp;SUBSTITUTE(TRIM(A300),"'","''")&amp;"' AND estado = 1 LIMIT 1)"&amp;" AND upper(c.nombre) = upper("&amp;IF(TRIM(C300&amp;"")="","NULL","'"&amp;SUBSTITUTE(TRIM(C300),"'","''")&amp;"'")&amp;") AND coalesce(c.telefono1,'') = coalesce("&amp;IF(TRIM(F300&amp;"")="","NULL","'"&amp;SUBSTITUTE(TRIM(F300),"'","''")&amp;"'")&amp;",''));")</f>
        <v/>
      </c>
    </row>
    <row r="301" ht="15.75" customHeight="1" s="64">
      <c r="A301" s="23" t="n"/>
      <c r="B301" s="25">
        <f t="array" ref="B301">IF(A301="","",IFERROR(IF(INDEX(Clientes!$D$5:$D$549,MATCH(A301,Clientes!$C$5:$C$549,0))&lt;&gt;"",INDEX(Clientes!$D$5:$D$549,MATCH(A301,Clientes!$C$5:$C$549,0)),TRIM(INDEX(Clientes!$E$5:$E$549,MATCH(A301,Clientes!$C$5:$C$549,0))&amp;" "&amp;INDEX(Clientes!$F$5:$F$549,MATCH(A301,Clientes!$C$5:$C$549,0)))),"NO EXISTE en Clientes"))</f>
        <v/>
      </c>
      <c r="C301" s="17" t="n"/>
      <c r="D301" s="17" t="n"/>
      <c r="E301" s="17" t="n"/>
      <c r="F301" s="23" t="n"/>
      <c r="G301" s="23" t="n"/>
      <c r="H301" s="23" t="n"/>
      <c r="I301" s="17" t="n"/>
      <c r="J301" s="17" t="n"/>
      <c r="K301" s="17" t="n"/>
      <c r="L301" s="17">
        <f>IF(AND(A301="",C301=""),"",IF(A301="","FALTA doc. cliente",IF(B301="NO EXISTE en Clientes","CLIENTE no está en hoja Clientes",IF(C301="","FALTA nombre",IF(AND(K301="SI",COUNTIFS($A$5:$A$499,A301,$K$5:$K$499,"SI")&gt;1),"Más de un contacto principal para este cliente","OK")))))</f>
        <v/>
      </c>
      <c r="M301" s="28">
        <f>IF(L301&lt;&gt;"OK","","INSERT INTO cli_contacto (id_cliente, nombre, apellido_paterno, apellido_materno, telefono1, telefono2, telefono3, email, direccion, es_principal, estado) SELECT "&amp;"(SELECT id FROM cli_clientes WHERE numero_documento = '"&amp;SUBSTITUTE(TRIM(A301),"'","''")&amp;"' AND estado = 1 LIMIT 1)"&amp;", "&amp;IF(TRIM(C301&amp;"")="","NULL","'"&amp;SUBSTITUTE(TRIM(C301),"'","''")&amp;"'")&amp;", "&amp;IF(TRIM(D301&amp;"")="","NULL","'"&amp;SUBSTITUTE(TRIM(D301),"'","''")&amp;"'")&amp;", "&amp;IF(TRIM(E301&amp;"")="","NULL","'"&amp;SUBSTITUTE(TRIM(E301),"'","''")&amp;"'")&amp;", "&amp;IF(TRIM(F301&amp;"")="","NULL","'"&amp;SUBSTITUTE(TRIM(F301),"'","''")&amp;"'")&amp;", "&amp;IF(TRIM(G301&amp;"")="","NULL","'"&amp;SUBSTITUTE(TRIM(G301),"'","''")&amp;"'")&amp;", "&amp;IF(TRIM(H301&amp;"")="","NULL","'"&amp;SUBSTITUTE(TRIM(H301),"'","''")&amp;"'")&amp;", "&amp;IF(TRIM(I301&amp;"")="","NULL","'"&amp;SUBSTITUTE(TRIM(I301),"'","''")&amp;"'")&amp;", "&amp;IF(TRIM(J301&amp;"")="","NULL","'"&amp;SUBSTITUTE(TRIM(J301),"'","''")&amp;"'")&amp;", "&amp;IF(UPPER(TRIM(K301&amp;""))="SI","TRUE","FALSE")&amp;", 1"&amp;" WHERE NOT EXISTS (SELECT 1 FROM cli_contacto c WHERE c.id_cliente = "&amp;"(SELECT id FROM cli_clientes WHERE numero_documento = '"&amp;SUBSTITUTE(TRIM(A301),"'","''")&amp;"' AND estado = 1 LIMIT 1)"&amp;" AND upper(c.nombre) = upper("&amp;IF(TRIM(C301&amp;"")="","NULL","'"&amp;SUBSTITUTE(TRIM(C301),"'","''")&amp;"'")&amp;") AND coalesce(c.telefono1,'') = coalesce("&amp;IF(TRIM(F301&amp;"")="","NULL","'"&amp;SUBSTITUTE(TRIM(F301),"'","''")&amp;"'")&amp;",''));")</f>
        <v/>
      </c>
    </row>
    <row r="302" ht="15.75" customHeight="1" s="64">
      <c r="A302" s="23" t="n"/>
      <c r="B302" s="25">
        <f t="array" ref="B302">IF(A302="","",IFERROR(IF(INDEX(Clientes!$D$5:$D$549,MATCH(A302,Clientes!$C$5:$C$549,0))&lt;&gt;"",INDEX(Clientes!$D$5:$D$549,MATCH(A302,Clientes!$C$5:$C$549,0)),TRIM(INDEX(Clientes!$E$5:$E$549,MATCH(A302,Clientes!$C$5:$C$549,0))&amp;" "&amp;INDEX(Clientes!$F$5:$F$549,MATCH(A302,Clientes!$C$5:$C$549,0)))),"NO EXISTE en Clientes"))</f>
        <v/>
      </c>
      <c r="C302" s="17" t="n"/>
      <c r="D302" s="17" t="n"/>
      <c r="E302" s="17" t="n"/>
      <c r="F302" s="23" t="n"/>
      <c r="G302" s="23" t="n"/>
      <c r="H302" s="23" t="n"/>
      <c r="I302" s="17" t="n"/>
      <c r="J302" s="17" t="n"/>
      <c r="K302" s="17" t="n"/>
      <c r="L302" s="17">
        <f>IF(AND(A302="",C302=""),"",IF(A302="","FALTA doc. cliente",IF(B302="NO EXISTE en Clientes","CLIENTE no está en hoja Clientes",IF(C302="","FALTA nombre",IF(AND(K302="SI",COUNTIFS($A$5:$A$499,A302,$K$5:$K$499,"SI")&gt;1),"Más de un contacto principal para este cliente","OK")))))</f>
        <v/>
      </c>
      <c r="M302" s="28">
        <f>IF(L302&lt;&gt;"OK","","INSERT INTO cli_contacto (id_cliente, nombre, apellido_paterno, apellido_materno, telefono1, telefono2, telefono3, email, direccion, es_principal, estado) SELECT "&amp;"(SELECT id FROM cli_clientes WHERE numero_documento = '"&amp;SUBSTITUTE(TRIM(A302),"'","''")&amp;"' AND estado = 1 LIMIT 1)"&amp;", "&amp;IF(TRIM(C302&amp;"")="","NULL","'"&amp;SUBSTITUTE(TRIM(C302),"'","''")&amp;"'")&amp;", "&amp;IF(TRIM(D302&amp;"")="","NULL","'"&amp;SUBSTITUTE(TRIM(D302),"'","''")&amp;"'")&amp;", "&amp;IF(TRIM(E302&amp;"")="","NULL","'"&amp;SUBSTITUTE(TRIM(E302),"'","''")&amp;"'")&amp;", "&amp;IF(TRIM(F302&amp;"")="","NULL","'"&amp;SUBSTITUTE(TRIM(F302),"'","''")&amp;"'")&amp;", "&amp;IF(TRIM(G302&amp;"")="","NULL","'"&amp;SUBSTITUTE(TRIM(G302),"'","''")&amp;"'")&amp;", "&amp;IF(TRIM(H302&amp;"")="","NULL","'"&amp;SUBSTITUTE(TRIM(H302),"'","''")&amp;"'")&amp;", "&amp;IF(TRIM(I302&amp;"")="","NULL","'"&amp;SUBSTITUTE(TRIM(I302),"'","''")&amp;"'")&amp;", "&amp;IF(TRIM(J302&amp;"")="","NULL","'"&amp;SUBSTITUTE(TRIM(J302),"'","''")&amp;"'")&amp;", "&amp;IF(UPPER(TRIM(K302&amp;""))="SI","TRUE","FALSE")&amp;", 1"&amp;" WHERE NOT EXISTS (SELECT 1 FROM cli_contacto c WHERE c.id_cliente = "&amp;"(SELECT id FROM cli_clientes WHERE numero_documento = '"&amp;SUBSTITUTE(TRIM(A302),"'","''")&amp;"' AND estado = 1 LIMIT 1)"&amp;" AND upper(c.nombre) = upper("&amp;IF(TRIM(C302&amp;"")="","NULL","'"&amp;SUBSTITUTE(TRIM(C302),"'","''")&amp;"'")&amp;") AND coalesce(c.telefono1,'') = coalesce("&amp;IF(TRIM(F302&amp;"")="","NULL","'"&amp;SUBSTITUTE(TRIM(F302),"'","''")&amp;"'")&amp;",''));")</f>
        <v/>
      </c>
    </row>
    <row r="303" ht="15.75" customHeight="1" s="64">
      <c r="A303" s="23" t="n"/>
      <c r="B303" s="25">
        <f t="array" ref="B303">IF(A303="","",IFERROR(IF(INDEX(Clientes!$D$5:$D$549,MATCH(A303,Clientes!$C$5:$C$549,0))&lt;&gt;"",INDEX(Clientes!$D$5:$D$549,MATCH(A303,Clientes!$C$5:$C$549,0)),TRIM(INDEX(Clientes!$E$5:$E$549,MATCH(A303,Clientes!$C$5:$C$549,0))&amp;" "&amp;INDEX(Clientes!$F$5:$F$549,MATCH(A303,Clientes!$C$5:$C$549,0)))),"NO EXISTE en Clientes"))</f>
        <v/>
      </c>
      <c r="C303" s="17" t="n"/>
      <c r="D303" s="17" t="n"/>
      <c r="E303" s="17" t="n"/>
      <c r="F303" s="23" t="n"/>
      <c r="G303" s="23" t="n"/>
      <c r="H303" s="23" t="n"/>
      <c r="I303" s="17" t="n"/>
      <c r="J303" s="17" t="n"/>
      <c r="K303" s="17" t="n"/>
      <c r="L303" s="17">
        <f>IF(AND(A303="",C303=""),"",IF(A303="","FALTA doc. cliente",IF(B303="NO EXISTE en Clientes","CLIENTE no está en hoja Clientes",IF(C303="","FALTA nombre",IF(AND(K303="SI",COUNTIFS($A$5:$A$499,A303,$K$5:$K$499,"SI")&gt;1),"Más de un contacto principal para este cliente","OK")))))</f>
        <v/>
      </c>
      <c r="M303" s="28">
        <f>IF(L303&lt;&gt;"OK","","INSERT INTO cli_contacto (id_cliente, nombre, apellido_paterno, apellido_materno, telefono1, telefono2, telefono3, email, direccion, es_principal, estado) SELECT "&amp;"(SELECT id FROM cli_clientes WHERE numero_documento = '"&amp;SUBSTITUTE(TRIM(A303),"'","''")&amp;"' AND estado = 1 LIMIT 1)"&amp;", "&amp;IF(TRIM(C303&amp;"")="","NULL","'"&amp;SUBSTITUTE(TRIM(C303),"'","''")&amp;"'")&amp;", "&amp;IF(TRIM(D303&amp;"")="","NULL","'"&amp;SUBSTITUTE(TRIM(D303),"'","''")&amp;"'")&amp;", "&amp;IF(TRIM(E303&amp;"")="","NULL","'"&amp;SUBSTITUTE(TRIM(E303),"'","''")&amp;"'")&amp;", "&amp;IF(TRIM(F303&amp;"")="","NULL","'"&amp;SUBSTITUTE(TRIM(F303),"'","''")&amp;"'")&amp;", "&amp;IF(TRIM(G303&amp;"")="","NULL","'"&amp;SUBSTITUTE(TRIM(G303),"'","''")&amp;"'")&amp;", "&amp;IF(TRIM(H303&amp;"")="","NULL","'"&amp;SUBSTITUTE(TRIM(H303),"'","''")&amp;"'")&amp;", "&amp;IF(TRIM(I303&amp;"")="","NULL","'"&amp;SUBSTITUTE(TRIM(I303),"'","''")&amp;"'")&amp;", "&amp;IF(TRIM(J303&amp;"")="","NULL","'"&amp;SUBSTITUTE(TRIM(J303),"'","''")&amp;"'")&amp;", "&amp;IF(UPPER(TRIM(K303&amp;""))="SI","TRUE","FALSE")&amp;", 1"&amp;" WHERE NOT EXISTS (SELECT 1 FROM cli_contacto c WHERE c.id_cliente = "&amp;"(SELECT id FROM cli_clientes WHERE numero_documento = '"&amp;SUBSTITUTE(TRIM(A303),"'","''")&amp;"' AND estado = 1 LIMIT 1)"&amp;" AND upper(c.nombre) = upper("&amp;IF(TRIM(C303&amp;"")="","NULL","'"&amp;SUBSTITUTE(TRIM(C303),"'","''")&amp;"'")&amp;") AND coalesce(c.telefono1,'') = coalesce("&amp;IF(TRIM(F303&amp;"")="","NULL","'"&amp;SUBSTITUTE(TRIM(F303),"'","''")&amp;"'")&amp;",''));")</f>
        <v/>
      </c>
    </row>
    <row r="304" ht="15.75" customHeight="1" s="64">
      <c r="A304" s="23" t="n"/>
      <c r="B304" s="25">
        <f t="array" ref="B304">IF(A304="","",IFERROR(IF(INDEX(Clientes!$D$5:$D$549,MATCH(A304,Clientes!$C$5:$C$549,0))&lt;&gt;"",INDEX(Clientes!$D$5:$D$549,MATCH(A304,Clientes!$C$5:$C$549,0)),TRIM(INDEX(Clientes!$E$5:$E$549,MATCH(A304,Clientes!$C$5:$C$549,0))&amp;" "&amp;INDEX(Clientes!$F$5:$F$549,MATCH(A304,Clientes!$C$5:$C$549,0)))),"NO EXISTE en Clientes"))</f>
        <v/>
      </c>
      <c r="C304" s="17" t="n"/>
      <c r="D304" s="17" t="n"/>
      <c r="E304" s="17" t="n"/>
      <c r="F304" s="23" t="n"/>
      <c r="G304" s="23" t="n"/>
      <c r="H304" s="23" t="n"/>
      <c r="I304" s="17" t="n"/>
      <c r="J304" s="17" t="n"/>
      <c r="K304" s="17" t="n"/>
      <c r="L304" s="17">
        <f>IF(AND(A304="",C304=""),"",IF(A304="","FALTA doc. cliente",IF(B304="NO EXISTE en Clientes","CLIENTE no está en hoja Clientes",IF(C304="","FALTA nombre",IF(AND(K304="SI",COUNTIFS($A$5:$A$499,A304,$K$5:$K$499,"SI")&gt;1),"Más de un contacto principal para este cliente","OK")))))</f>
        <v/>
      </c>
      <c r="M304" s="28">
        <f>IF(L304&lt;&gt;"OK","","INSERT INTO cli_contacto (id_cliente, nombre, apellido_paterno, apellido_materno, telefono1, telefono2, telefono3, email, direccion, es_principal, estado) SELECT "&amp;"(SELECT id FROM cli_clientes WHERE numero_documento = '"&amp;SUBSTITUTE(TRIM(A304),"'","''")&amp;"' AND estado = 1 LIMIT 1)"&amp;", "&amp;IF(TRIM(C304&amp;"")="","NULL","'"&amp;SUBSTITUTE(TRIM(C304),"'","''")&amp;"'")&amp;", "&amp;IF(TRIM(D304&amp;"")="","NULL","'"&amp;SUBSTITUTE(TRIM(D304),"'","''")&amp;"'")&amp;", "&amp;IF(TRIM(E304&amp;"")="","NULL","'"&amp;SUBSTITUTE(TRIM(E304),"'","''")&amp;"'")&amp;", "&amp;IF(TRIM(F304&amp;"")="","NULL","'"&amp;SUBSTITUTE(TRIM(F304),"'","''")&amp;"'")&amp;", "&amp;IF(TRIM(G304&amp;"")="","NULL","'"&amp;SUBSTITUTE(TRIM(G304),"'","''")&amp;"'")&amp;", "&amp;IF(TRIM(H304&amp;"")="","NULL","'"&amp;SUBSTITUTE(TRIM(H304),"'","''")&amp;"'")&amp;", "&amp;IF(TRIM(I304&amp;"")="","NULL","'"&amp;SUBSTITUTE(TRIM(I304),"'","''")&amp;"'")&amp;", "&amp;IF(TRIM(J304&amp;"")="","NULL","'"&amp;SUBSTITUTE(TRIM(J304),"'","''")&amp;"'")&amp;", "&amp;IF(UPPER(TRIM(K304&amp;""))="SI","TRUE","FALSE")&amp;", 1"&amp;" WHERE NOT EXISTS (SELECT 1 FROM cli_contacto c WHERE c.id_cliente = "&amp;"(SELECT id FROM cli_clientes WHERE numero_documento = '"&amp;SUBSTITUTE(TRIM(A304),"'","''")&amp;"' AND estado = 1 LIMIT 1)"&amp;" AND upper(c.nombre) = upper("&amp;IF(TRIM(C304&amp;"")="","NULL","'"&amp;SUBSTITUTE(TRIM(C304),"'","''")&amp;"'")&amp;") AND coalesce(c.telefono1,'') = coalesce("&amp;IF(TRIM(F304&amp;"")="","NULL","'"&amp;SUBSTITUTE(TRIM(F304),"'","''")&amp;"'")&amp;",''));")</f>
        <v/>
      </c>
    </row>
    <row r="305" ht="15.75" customHeight="1" s="64">
      <c r="A305" s="23" t="n"/>
      <c r="B305" s="25">
        <f t="array" ref="B305">IF(A305="","",IFERROR(IF(INDEX(Clientes!$D$5:$D$549,MATCH(A305,Clientes!$C$5:$C$549,0))&lt;&gt;"",INDEX(Clientes!$D$5:$D$549,MATCH(A305,Clientes!$C$5:$C$549,0)),TRIM(INDEX(Clientes!$E$5:$E$549,MATCH(A305,Clientes!$C$5:$C$549,0))&amp;" "&amp;INDEX(Clientes!$F$5:$F$549,MATCH(A305,Clientes!$C$5:$C$549,0)))),"NO EXISTE en Clientes"))</f>
        <v/>
      </c>
      <c r="C305" s="17" t="n"/>
      <c r="D305" s="17" t="n"/>
      <c r="E305" s="17" t="n"/>
      <c r="F305" s="23" t="n"/>
      <c r="G305" s="23" t="n"/>
      <c r="H305" s="23" t="n"/>
      <c r="I305" s="17" t="n"/>
      <c r="J305" s="17" t="n"/>
      <c r="K305" s="17" t="n"/>
      <c r="L305" s="17">
        <f>IF(AND(A305="",C305=""),"",IF(A305="","FALTA doc. cliente",IF(B305="NO EXISTE en Clientes","CLIENTE no está en hoja Clientes",IF(C305="","FALTA nombre",IF(AND(K305="SI",COUNTIFS($A$5:$A$499,A305,$K$5:$K$499,"SI")&gt;1),"Más de un contacto principal para este cliente","OK")))))</f>
        <v/>
      </c>
      <c r="M305" s="28">
        <f>IF(L305&lt;&gt;"OK","","INSERT INTO cli_contacto (id_cliente, nombre, apellido_paterno, apellido_materno, telefono1, telefono2, telefono3, email, direccion, es_principal, estado) SELECT "&amp;"(SELECT id FROM cli_clientes WHERE numero_documento = '"&amp;SUBSTITUTE(TRIM(A305),"'","''")&amp;"' AND estado = 1 LIMIT 1)"&amp;", "&amp;IF(TRIM(C305&amp;"")="","NULL","'"&amp;SUBSTITUTE(TRIM(C305),"'","''")&amp;"'")&amp;", "&amp;IF(TRIM(D305&amp;"")="","NULL","'"&amp;SUBSTITUTE(TRIM(D305),"'","''")&amp;"'")&amp;", "&amp;IF(TRIM(E305&amp;"")="","NULL","'"&amp;SUBSTITUTE(TRIM(E305),"'","''")&amp;"'")&amp;", "&amp;IF(TRIM(F305&amp;"")="","NULL","'"&amp;SUBSTITUTE(TRIM(F305),"'","''")&amp;"'")&amp;", "&amp;IF(TRIM(G305&amp;"")="","NULL","'"&amp;SUBSTITUTE(TRIM(G305),"'","''")&amp;"'")&amp;", "&amp;IF(TRIM(H305&amp;"")="","NULL","'"&amp;SUBSTITUTE(TRIM(H305),"'","''")&amp;"'")&amp;", "&amp;IF(TRIM(I305&amp;"")="","NULL","'"&amp;SUBSTITUTE(TRIM(I305),"'","''")&amp;"'")&amp;", "&amp;IF(TRIM(J305&amp;"")="","NULL","'"&amp;SUBSTITUTE(TRIM(J305),"'","''")&amp;"'")&amp;", "&amp;IF(UPPER(TRIM(K305&amp;""))="SI","TRUE","FALSE")&amp;", 1"&amp;" WHERE NOT EXISTS (SELECT 1 FROM cli_contacto c WHERE c.id_cliente = "&amp;"(SELECT id FROM cli_clientes WHERE numero_documento = '"&amp;SUBSTITUTE(TRIM(A305),"'","''")&amp;"' AND estado = 1 LIMIT 1)"&amp;" AND upper(c.nombre) = upper("&amp;IF(TRIM(C305&amp;"")="","NULL","'"&amp;SUBSTITUTE(TRIM(C305),"'","''")&amp;"'")&amp;") AND coalesce(c.telefono1,'') = coalesce("&amp;IF(TRIM(F305&amp;"")="","NULL","'"&amp;SUBSTITUTE(TRIM(F305),"'","''")&amp;"'")&amp;",''));")</f>
        <v/>
      </c>
    </row>
    <row r="306" ht="15.75" customHeight="1" s="64">
      <c r="A306" s="23" t="n"/>
      <c r="B306" s="25">
        <f t="array" ref="B306">IF(A306="","",IFERROR(IF(INDEX(Clientes!$D$5:$D$549,MATCH(A306,Clientes!$C$5:$C$549,0))&lt;&gt;"",INDEX(Clientes!$D$5:$D$549,MATCH(A306,Clientes!$C$5:$C$549,0)),TRIM(INDEX(Clientes!$E$5:$E$549,MATCH(A306,Clientes!$C$5:$C$549,0))&amp;" "&amp;INDEX(Clientes!$F$5:$F$549,MATCH(A306,Clientes!$C$5:$C$549,0)))),"NO EXISTE en Clientes"))</f>
        <v/>
      </c>
      <c r="C306" s="17" t="n"/>
      <c r="D306" s="17" t="n"/>
      <c r="E306" s="17" t="n"/>
      <c r="F306" s="23" t="n"/>
      <c r="G306" s="23" t="n"/>
      <c r="H306" s="23" t="n"/>
      <c r="I306" s="17" t="n"/>
      <c r="J306" s="17" t="n"/>
      <c r="K306" s="17" t="n"/>
      <c r="L306" s="17">
        <f>IF(AND(A306="",C306=""),"",IF(A306="","FALTA doc. cliente",IF(B306="NO EXISTE en Clientes","CLIENTE no está en hoja Clientes",IF(C306="","FALTA nombre",IF(AND(K306="SI",COUNTIFS($A$5:$A$499,A306,$K$5:$K$499,"SI")&gt;1),"Más de un contacto principal para este cliente","OK")))))</f>
        <v/>
      </c>
      <c r="M306" s="28">
        <f>IF(L306&lt;&gt;"OK","","INSERT INTO cli_contacto (id_cliente, nombre, apellido_paterno, apellido_materno, telefono1, telefono2, telefono3, email, direccion, es_principal, estado) SELECT "&amp;"(SELECT id FROM cli_clientes WHERE numero_documento = '"&amp;SUBSTITUTE(TRIM(A306),"'","''")&amp;"' AND estado = 1 LIMIT 1)"&amp;", "&amp;IF(TRIM(C306&amp;"")="","NULL","'"&amp;SUBSTITUTE(TRIM(C306),"'","''")&amp;"'")&amp;", "&amp;IF(TRIM(D306&amp;"")="","NULL","'"&amp;SUBSTITUTE(TRIM(D306),"'","''")&amp;"'")&amp;", "&amp;IF(TRIM(E306&amp;"")="","NULL","'"&amp;SUBSTITUTE(TRIM(E306),"'","''")&amp;"'")&amp;", "&amp;IF(TRIM(F306&amp;"")="","NULL","'"&amp;SUBSTITUTE(TRIM(F306),"'","''")&amp;"'")&amp;", "&amp;IF(TRIM(G306&amp;"")="","NULL","'"&amp;SUBSTITUTE(TRIM(G306),"'","''")&amp;"'")&amp;", "&amp;IF(TRIM(H306&amp;"")="","NULL","'"&amp;SUBSTITUTE(TRIM(H306),"'","''")&amp;"'")&amp;", "&amp;IF(TRIM(I306&amp;"")="","NULL","'"&amp;SUBSTITUTE(TRIM(I306),"'","''")&amp;"'")&amp;", "&amp;IF(TRIM(J306&amp;"")="","NULL","'"&amp;SUBSTITUTE(TRIM(J306),"'","''")&amp;"'")&amp;", "&amp;IF(UPPER(TRIM(K306&amp;""))="SI","TRUE","FALSE")&amp;", 1"&amp;" WHERE NOT EXISTS (SELECT 1 FROM cli_contacto c WHERE c.id_cliente = "&amp;"(SELECT id FROM cli_clientes WHERE numero_documento = '"&amp;SUBSTITUTE(TRIM(A306),"'","''")&amp;"' AND estado = 1 LIMIT 1)"&amp;" AND upper(c.nombre) = upper("&amp;IF(TRIM(C306&amp;"")="","NULL","'"&amp;SUBSTITUTE(TRIM(C306),"'","''")&amp;"'")&amp;") AND coalesce(c.telefono1,'') = coalesce("&amp;IF(TRIM(F306&amp;"")="","NULL","'"&amp;SUBSTITUTE(TRIM(F306),"'","''")&amp;"'")&amp;",''));")</f>
        <v/>
      </c>
    </row>
    <row r="307" ht="15.75" customHeight="1" s="64">
      <c r="A307" s="23" t="n"/>
      <c r="B307" s="25">
        <f t="array" ref="B307">IF(A307="","",IFERROR(IF(INDEX(Clientes!$D$5:$D$549,MATCH(A307,Clientes!$C$5:$C$549,0))&lt;&gt;"",INDEX(Clientes!$D$5:$D$549,MATCH(A307,Clientes!$C$5:$C$549,0)),TRIM(INDEX(Clientes!$E$5:$E$549,MATCH(A307,Clientes!$C$5:$C$549,0))&amp;" "&amp;INDEX(Clientes!$F$5:$F$549,MATCH(A307,Clientes!$C$5:$C$549,0)))),"NO EXISTE en Clientes"))</f>
        <v/>
      </c>
      <c r="C307" s="17" t="n"/>
      <c r="D307" s="17" t="n"/>
      <c r="E307" s="17" t="n"/>
      <c r="F307" s="23" t="n"/>
      <c r="G307" s="23" t="n"/>
      <c r="H307" s="23" t="n"/>
      <c r="I307" s="17" t="n"/>
      <c r="J307" s="17" t="n"/>
      <c r="K307" s="17" t="n"/>
      <c r="L307" s="17">
        <f>IF(AND(A307="",C307=""),"",IF(A307="","FALTA doc. cliente",IF(B307="NO EXISTE en Clientes","CLIENTE no está en hoja Clientes",IF(C307="","FALTA nombre",IF(AND(K307="SI",COUNTIFS($A$5:$A$499,A307,$K$5:$K$499,"SI")&gt;1),"Más de un contacto principal para este cliente","OK")))))</f>
        <v/>
      </c>
      <c r="M307" s="28">
        <f>IF(L307&lt;&gt;"OK","","INSERT INTO cli_contacto (id_cliente, nombre, apellido_paterno, apellido_materno, telefono1, telefono2, telefono3, email, direccion, es_principal, estado) SELECT "&amp;"(SELECT id FROM cli_clientes WHERE numero_documento = '"&amp;SUBSTITUTE(TRIM(A307),"'","''")&amp;"' AND estado = 1 LIMIT 1)"&amp;", "&amp;IF(TRIM(C307&amp;"")="","NULL","'"&amp;SUBSTITUTE(TRIM(C307),"'","''")&amp;"'")&amp;", "&amp;IF(TRIM(D307&amp;"")="","NULL","'"&amp;SUBSTITUTE(TRIM(D307),"'","''")&amp;"'")&amp;", "&amp;IF(TRIM(E307&amp;"")="","NULL","'"&amp;SUBSTITUTE(TRIM(E307),"'","''")&amp;"'")&amp;", "&amp;IF(TRIM(F307&amp;"")="","NULL","'"&amp;SUBSTITUTE(TRIM(F307),"'","''")&amp;"'")&amp;", "&amp;IF(TRIM(G307&amp;"")="","NULL","'"&amp;SUBSTITUTE(TRIM(G307),"'","''")&amp;"'")&amp;", "&amp;IF(TRIM(H307&amp;"")="","NULL","'"&amp;SUBSTITUTE(TRIM(H307),"'","''")&amp;"'")&amp;", "&amp;IF(TRIM(I307&amp;"")="","NULL","'"&amp;SUBSTITUTE(TRIM(I307),"'","''")&amp;"'")&amp;", "&amp;IF(TRIM(J307&amp;"")="","NULL","'"&amp;SUBSTITUTE(TRIM(J307),"'","''")&amp;"'")&amp;", "&amp;IF(UPPER(TRIM(K307&amp;""))="SI","TRUE","FALSE")&amp;", 1"&amp;" WHERE NOT EXISTS (SELECT 1 FROM cli_contacto c WHERE c.id_cliente = "&amp;"(SELECT id FROM cli_clientes WHERE numero_documento = '"&amp;SUBSTITUTE(TRIM(A307),"'","''")&amp;"' AND estado = 1 LIMIT 1)"&amp;" AND upper(c.nombre) = upper("&amp;IF(TRIM(C307&amp;"")="","NULL","'"&amp;SUBSTITUTE(TRIM(C307),"'","''")&amp;"'")&amp;") AND coalesce(c.telefono1,'') = coalesce("&amp;IF(TRIM(F307&amp;"")="","NULL","'"&amp;SUBSTITUTE(TRIM(F307),"'","''")&amp;"'")&amp;",''));")</f>
        <v/>
      </c>
    </row>
    <row r="308" ht="15.75" customHeight="1" s="64">
      <c r="A308" s="23" t="n"/>
      <c r="B308" s="25">
        <f t="array" ref="B308">IF(A308="","",IFERROR(IF(INDEX(Clientes!$D$5:$D$549,MATCH(A308,Clientes!$C$5:$C$549,0))&lt;&gt;"",INDEX(Clientes!$D$5:$D$549,MATCH(A308,Clientes!$C$5:$C$549,0)),TRIM(INDEX(Clientes!$E$5:$E$549,MATCH(A308,Clientes!$C$5:$C$549,0))&amp;" "&amp;INDEX(Clientes!$F$5:$F$549,MATCH(A308,Clientes!$C$5:$C$549,0)))),"NO EXISTE en Clientes"))</f>
        <v/>
      </c>
      <c r="C308" s="17" t="n"/>
      <c r="D308" s="17" t="n"/>
      <c r="E308" s="17" t="n"/>
      <c r="F308" s="23" t="n"/>
      <c r="G308" s="23" t="n"/>
      <c r="H308" s="23" t="n"/>
      <c r="I308" s="17" t="n"/>
      <c r="J308" s="17" t="n"/>
      <c r="K308" s="17" t="n"/>
      <c r="L308" s="17">
        <f>IF(AND(A308="",C308=""),"",IF(A308="","FALTA doc. cliente",IF(B308="NO EXISTE en Clientes","CLIENTE no está en hoja Clientes",IF(C308="","FALTA nombre",IF(AND(K308="SI",COUNTIFS($A$5:$A$499,A308,$K$5:$K$499,"SI")&gt;1),"Más de un contacto principal para este cliente","OK")))))</f>
        <v/>
      </c>
      <c r="M308" s="28">
        <f>IF(L308&lt;&gt;"OK","","INSERT INTO cli_contacto (id_cliente, nombre, apellido_paterno, apellido_materno, telefono1, telefono2, telefono3, email, direccion, es_principal, estado) SELECT "&amp;"(SELECT id FROM cli_clientes WHERE numero_documento = '"&amp;SUBSTITUTE(TRIM(A308),"'","''")&amp;"' AND estado = 1 LIMIT 1)"&amp;", "&amp;IF(TRIM(C308&amp;"")="","NULL","'"&amp;SUBSTITUTE(TRIM(C308),"'","''")&amp;"'")&amp;", "&amp;IF(TRIM(D308&amp;"")="","NULL","'"&amp;SUBSTITUTE(TRIM(D308),"'","''")&amp;"'")&amp;", "&amp;IF(TRIM(E308&amp;"")="","NULL","'"&amp;SUBSTITUTE(TRIM(E308),"'","''")&amp;"'")&amp;", "&amp;IF(TRIM(F308&amp;"")="","NULL","'"&amp;SUBSTITUTE(TRIM(F308),"'","''")&amp;"'")&amp;", "&amp;IF(TRIM(G308&amp;"")="","NULL","'"&amp;SUBSTITUTE(TRIM(G308),"'","''")&amp;"'")&amp;", "&amp;IF(TRIM(H308&amp;"")="","NULL","'"&amp;SUBSTITUTE(TRIM(H308),"'","''")&amp;"'")&amp;", "&amp;IF(TRIM(I308&amp;"")="","NULL","'"&amp;SUBSTITUTE(TRIM(I308),"'","''")&amp;"'")&amp;", "&amp;IF(TRIM(J308&amp;"")="","NULL","'"&amp;SUBSTITUTE(TRIM(J308),"'","''")&amp;"'")&amp;", "&amp;IF(UPPER(TRIM(K308&amp;""))="SI","TRUE","FALSE")&amp;", 1"&amp;" WHERE NOT EXISTS (SELECT 1 FROM cli_contacto c WHERE c.id_cliente = "&amp;"(SELECT id FROM cli_clientes WHERE numero_documento = '"&amp;SUBSTITUTE(TRIM(A308),"'","''")&amp;"' AND estado = 1 LIMIT 1)"&amp;" AND upper(c.nombre) = upper("&amp;IF(TRIM(C308&amp;"")="","NULL","'"&amp;SUBSTITUTE(TRIM(C308),"'","''")&amp;"'")&amp;") AND coalesce(c.telefono1,'') = coalesce("&amp;IF(TRIM(F308&amp;"")="","NULL","'"&amp;SUBSTITUTE(TRIM(F308),"'","''")&amp;"'")&amp;",''));")</f>
        <v/>
      </c>
    </row>
    <row r="309" ht="15.75" customHeight="1" s="64">
      <c r="A309" s="23" t="n"/>
      <c r="B309" s="25">
        <f t="array" ref="B309">IF(A309="","",IFERROR(IF(INDEX(Clientes!$D$5:$D$549,MATCH(A309,Clientes!$C$5:$C$549,0))&lt;&gt;"",INDEX(Clientes!$D$5:$D$549,MATCH(A309,Clientes!$C$5:$C$549,0)),TRIM(INDEX(Clientes!$E$5:$E$549,MATCH(A309,Clientes!$C$5:$C$549,0))&amp;" "&amp;INDEX(Clientes!$F$5:$F$549,MATCH(A309,Clientes!$C$5:$C$549,0)))),"NO EXISTE en Clientes"))</f>
        <v/>
      </c>
      <c r="C309" s="17" t="n"/>
      <c r="D309" s="17" t="n"/>
      <c r="E309" s="17" t="n"/>
      <c r="F309" s="23" t="n"/>
      <c r="G309" s="23" t="n"/>
      <c r="H309" s="23" t="n"/>
      <c r="I309" s="17" t="n"/>
      <c r="J309" s="17" t="n"/>
      <c r="K309" s="17" t="n"/>
      <c r="L309" s="17">
        <f>IF(AND(A309="",C309=""),"",IF(A309="","FALTA doc. cliente",IF(B309="NO EXISTE en Clientes","CLIENTE no está en hoja Clientes",IF(C309="","FALTA nombre",IF(AND(K309="SI",COUNTIFS($A$5:$A$499,A309,$K$5:$K$499,"SI")&gt;1),"Más de un contacto principal para este cliente","OK")))))</f>
        <v/>
      </c>
      <c r="M309" s="28">
        <f>IF(L309&lt;&gt;"OK","","INSERT INTO cli_contacto (id_cliente, nombre, apellido_paterno, apellido_materno, telefono1, telefono2, telefono3, email, direccion, es_principal, estado) SELECT "&amp;"(SELECT id FROM cli_clientes WHERE numero_documento = '"&amp;SUBSTITUTE(TRIM(A309),"'","''")&amp;"' AND estado = 1 LIMIT 1)"&amp;", "&amp;IF(TRIM(C309&amp;"")="","NULL","'"&amp;SUBSTITUTE(TRIM(C309),"'","''")&amp;"'")&amp;", "&amp;IF(TRIM(D309&amp;"")="","NULL","'"&amp;SUBSTITUTE(TRIM(D309),"'","''")&amp;"'")&amp;", "&amp;IF(TRIM(E309&amp;"")="","NULL","'"&amp;SUBSTITUTE(TRIM(E309),"'","''")&amp;"'")&amp;", "&amp;IF(TRIM(F309&amp;"")="","NULL","'"&amp;SUBSTITUTE(TRIM(F309),"'","''")&amp;"'")&amp;", "&amp;IF(TRIM(G309&amp;"")="","NULL","'"&amp;SUBSTITUTE(TRIM(G309),"'","''")&amp;"'")&amp;", "&amp;IF(TRIM(H309&amp;"")="","NULL","'"&amp;SUBSTITUTE(TRIM(H309),"'","''")&amp;"'")&amp;", "&amp;IF(TRIM(I309&amp;"")="","NULL","'"&amp;SUBSTITUTE(TRIM(I309),"'","''")&amp;"'")&amp;", "&amp;IF(TRIM(J309&amp;"")="","NULL","'"&amp;SUBSTITUTE(TRIM(J309),"'","''")&amp;"'")&amp;", "&amp;IF(UPPER(TRIM(K309&amp;""))="SI","TRUE","FALSE")&amp;", 1"&amp;" WHERE NOT EXISTS (SELECT 1 FROM cli_contacto c WHERE c.id_cliente = "&amp;"(SELECT id FROM cli_clientes WHERE numero_documento = '"&amp;SUBSTITUTE(TRIM(A309),"'","''")&amp;"' AND estado = 1 LIMIT 1)"&amp;" AND upper(c.nombre) = upper("&amp;IF(TRIM(C309&amp;"")="","NULL","'"&amp;SUBSTITUTE(TRIM(C309),"'","''")&amp;"'")&amp;") AND coalesce(c.telefono1,'') = coalesce("&amp;IF(TRIM(F309&amp;"")="","NULL","'"&amp;SUBSTITUTE(TRIM(F309),"'","''")&amp;"'")&amp;",''));")</f>
        <v/>
      </c>
    </row>
    <row r="310" ht="15.75" customHeight="1" s="64">
      <c r="A310" s="23" t="n"/>
      <c r="B310" s="25">
        <f t="array" ref="B310">IF(A310="","",IFERROR(IF(INDEX(Clientes!$D$5:$D$549,MATCH(A310,Clientes!$C$5:$C$549,0))&lt;&gt;"",INDEX(Clientes!$D$5:$D$549,MATCH(A310,Clientes!$C$5:$C$549,0)),TRIM(INDEX(Clientes!$E$5:$E$549,MATCH(A310,Clientes!$C$5:$C$549,0))&amp;" "&amp;INDEX(Clientes!$F$5:$F$549,MATCH(A310,Clientes!$C$5:$C$549,0)))),"NO EXISTE en Clientes"))</f>
        <v/>
      </c>
      <c r="C310" s="17" t="n"/>
      <c r="D310" s="17" t="n"/>
      <c r="E310" s="17" t="n"/>
      <c r="F310" s="23" t="n"/>
      <c r="G310" s="23" t="n"/>
      <c r="H310" s="23" t="n"/>
      <c r="I310" s="17" t="n"/>
      <c r="J310" s="17" t="n"/>
      <c r="K310" s="17" t="n"/>
      <c r="L310" s="17">
        <f>IF(AND(A310="",C310=""),"",IF(A310="","FALTA doc. cliente",IF(B310="NO EXISTE en Clientes","CLIENTE no está en hoja Clientes",IF(C310="","FALTA nombre",IF(AND(K310="SI",COUNTIFS($A$5:$A$499,A310,$K$5:$K$499,"SI")&gt;1),"Más de un contacto principal para este cliente","OK")))))</f>
        <v/>
      </c>
      <c r="M310" s="28">
        <f>IF(L310&lt;&gt;"OK","","INSERT INTO cli_contacto (id_cliente, nombre, apellido_paterno, apellido_materno, telefono1, telefono2, telefono3, email, direccion, es_principal, estado) SELECT "&amp;"(SELECT id FROM cli_clientes WHERE numero_documento = '"&amp;SUBSTITUTE(TRIM(A310),"'","''")&amp;"' AND estado = 1 LIMIT 1)"&amp;", "&amp;IF(TRIM(C310&amp;"")="","NULL","'"&amp;SUBSTITUTE(TRIM(C310),"'","''")&amp;"'")&amp;", "&amp;IF(TRIM(D310&amp;"")="","NULL","'"&amp;SUBSTITUTE(TRIM(D310),"'","''")&amp;"'")&amp;", "&amp;IF(TRIM(E310&amp;"")="","NULL","'"&amp;SUBSTITUTE(TRIM(E310),"'","''")&amp;"'")&amp;", "&amp;IF(TRIM(F310&amp;"")="","NULL","'"&amp;SUBSTITUTE(TRIM(F310),"'","''")&amp;"'")&amp;", "&amp;IF(TRIM(G310&amp;"")="","NULL","'"&amp;SUBSTITUTE(TRIM(G310),"'","''")&amp;"'")&amp;", "&amp;IF(TRIM(H310&amp;"")="","NULL","'"&amp;SUBSTITUTE(TRIM(H310),"'","''")&amp;"'")&amp;", "&amp;IF(TRIM(I310&amp;"")="","NULL","'"&amp;SUBSTITUTE(TRIM(I310),"'","''")&amp;"'")&amp;", "&amp;IF(TRIM(J310&amp;"")="","NULL","'"&amp;SUBSTITUTE(TRIM(J310),"'","''")&amp;"'")&amp;", "&amp;IF(UPPER(TRIM(K310&amp;""))="SI","TRUE","FALSE")&amp;", 1"&amp;" WHERE NOT EXISTS (SELECT 1 FROM cli_contacto c WHERE c.id_cliente = "&amp;"(SELECT id FROM cli_clientes WHERE numero_documento = '"&amp;SUBSTITUTE(TRIM(A310),"'","''")&amp;"' AND estado = 1 LIMIT 1)"&amp;" AND upper(c.nombre) = upper("&amp;IF(TRIM(C310&amp;"")="","NULL","'"&amp;SUBSTITUTE(TRIM(C310),"'","''")&amp;"'")&amp;") AND coalesce(c.telefono1,'') = coalesce("&amp;IF(TRIM(F310&amp;"")="","NULL","'"&amp;SUBSTITUTE(TRIM(F310),"'","''")&amp;"'")&amp;",''));")</f>
        <v/>
      </c>
    </row>
    <row r="311" ht="15.75" customHeight="1" s="64">
      <c r="A311" s="23" t="n"/>
      <c r="B311" s="25">
        <f t="array" ref="B311">IF(A311="","",IFERROR(IF(INDEX(Clientes!$D$5:$D$549,MATCH(A311,Clientes!$C$5:$C$549,0))&lt;&gt;"",INDEX(Clientes!$D$5:$D$549,MATCH(A311,Clientes!$C$5:$C$549,0)),TRIM(INDEX(Clientes!$E$5:$E$549,MATCH(A311,Clientes!$C$5:$C$549,0))&amp;" "&amp;INDEX(Clientes!$F$5:$F$549,MATCH(A311,Clientes!$C$5:$C$549,0)))),"NO EXISTE en Clientes"))</f>
        <v/>
      </c>
      <c r="C311" s="17" t="n"/>
      <c r="D311" s="17" t="n"/>
      <c r="E311" s="17" t="n"/>
      <c r="F311" s="23" t="n"/>
      <c r="G311" s="23" t="n"/>
      <c r="H311" s="23" t="n"/>
      <c r="I311" s="17" t="n"/>
      <c r="J311" s="17" t="n"/>
      <c r="K311" s="17" t="n"/>
      <c r="L311" s="17">
        <f>IF(AND(A311="",C311=""),"",IF(A311="","FALTA doc. cliente",IF(B311="NO EXISTE en Clientes","CLIENTE no está en hoja Clientes",IF(C311="","FALTA nombre",IF(AND(K311="SI",COUNTIFS($A$5:$A$499,A311,$K$5:$K$499,"SI")&gt;1),"Más de un contacto principal para este cliente","OK")))))</f>
        <v/>
      </c>
      <c r="M311" s="28">
        <f>IF(L311&lt;&gt;"OK","","INSERT INTO cli_contacto (id_cliente, nombre, apellido_paterno, apellido_materno, telefono1, telefono2, telefono3, email, direccion, es_principal, estado) SELECT "&amp;"(SELECT id FROM cli_clientes WHERE numero_documento = '"&amp;SUBSTITUTE(TRIM(A311),"'","''")&amp;"' AND estado = 1 LIMIT 1)"&amp;", "&amp;IF(TRIM(C311&amp;"")="","NULL","'"&amp;SUBSTITUTE(TRIM(C311),"'","''")&amp;"'")&amp;", "&amp;IF(TRIM(D311&amp;"")="","NULL","'"&amp;SUBSTITUTE(TRIM(D311),"'","''")&amp;"'")&amp;", "&amp;IF(TRIM(E311&amp;"")="","NULL","'"&amp;SUBSTITUTE(TRIM(E311),"'","''")&amp;"'")&amp;", "&amp;IF(TRIM(F311&amp;"")="","NULL","'"&amp;SUBSTITUTE(TRIM(F311),"'","''")&amp;"'")&amp;", "&amp;IF(TRIM(G311&amp;"")="","NULL","'"&amp;SUBSTITUTE(TRIM(G311),"'","''")&amp;"'")&amp;", "&amp;IF(TRIM(H311&amp;"")="","NULL","'"&amp;SUBSTITUTE(TRIM(H311),"'","''")&amp;"'")&amp;", "&amp;IF(TRIM(I311&amp;"")="","NULL","'"&amp;SUBSTITUTE(TRIM(I311),"'","''")&amp;"'")&amp;", "&amp;IF(TRIM(J311&amp;"")="","NULL","'"&amp;SUBSTITUTE(TRIM(J311),"'","''")&amp;"'")&amp;", "&amp;IF(UPPER(TRIM(K311&amp;""))="SI","TRUE","FALSE")&amp;", 1"&amp;" WHERE NOT EXISTS (SELECT 1 FROM cli_contacto c WHERE c.id_cliente = "&amp;"(SELECT id FROM cli_clientes WHERE numero_documento = '"&amp;SUBSTITUTE(TRIM(A311),"'","''")&amp;"' AND estado = 1 LIMIT 1)"&amp;" AND upper(c.nombre) = upper("&amp;IF(TRIM(C311&amp;"")="","NULL","'"&amp;SUBSTITUTE(TRIM(C311),"'","''")&amp;"'")&amp;") AND coalesce(c.telefono1,'') = coalesce("&amp;IF(TRIM(F311&amp;"")="","NULL","'"&amp;SUBSTITUTE(TRIM(F311),"'","''")&amp;"'")&amp;",''));")</f>
        <v/>
      </c>
    </row>
    <row r="312" ht="15.75" customHeight="1" s="64">
      <c r="A312" s="23" t="n"/>
      <c r="B312" s="25">
        <f t="array" ref="B312">IF(A312="","",IFERROR(IF(INDEX(Clientes!$D$5:$D$549,MATCH(A312,Clientes!$C$5:$C$549,0))&lt;&gt;"",INDEX(Clientes!$D$5:$D$549,MATCH(A312,Clientes!$C$5:$C$549,0)),TRIM(INDEX(Clientes!$E$5:$E$549,MATCH(A312,Clientes!$C$5:$C$549,0))&amp;" "&amp;INDEX(Clientes!$F$5:$F$549,MATCH(A312,Clientes!$C$5:$C$549,0)))),"NO EXISTE en Clientes"))</f>
        <v/>
      </c>
      <c r="C312" s="17" t="n"/>
      <c r="D312" s="17" t="n"/>
      <c r="E312" s="17" t="n"/>
      <c r="F312" s="23" t="n"/>
      <c r="G312" s="23" t="n"/>
      <c r="H312" s="23" t="n"/>
      <c r="I312" s="17" t="n"/>
      <c r="J312" s="17" t="n"/>
      <c r="K312" s="17" t="n"/>
      <c r="L312" s="17">
        <f>IF(AND(A312="",C312=""),"",IF(A312="","FALTA doc. cliente",IF(B312="NO EXISTE en Clientes","CLIENTE no está en hoja Clientes",IF(C312="","FALTA nombre",IF(AND(K312="SI",COUNTIFS($A$5:$A$499,A312,$K$5:$K$499,"SI")&gt;1),"Más de un contacto principal para este cliente","OK")))))</f>
        <v/>
      </c>
      <c r="M312" s="28">
        <f>IF(L312&lt;&gt;"OK","","INSERT INTO cli_contacto (id_cliente, nombre, apellido_paterno, apellido_materno, telefono1, telefono2, telefono3, email, direccion, es_principal, estado) SELECT "&amp;"(SELECT id FROM cli_clientes WHERE numero_documento = '"&amp;SUBSTITUTE(TRIM(A312),"'","''")&amp;"' AND estado = 1 LIMIT 1)"&amp;", "&amp;IF(TRIM(C312&amp;"")="","NULL","'"&amp;SUBSTITUTE(TRIM(C312),"'","''")&amp;"'")&amp;", "&amp;IF(TRIM(D312&amp;"")="","NULL","'"&amp;SUBSTITUTE(TRIM(D312),"'","''")&amp;"'")&amp;", "&amp;IF(TRIM(E312&amp;"")="","NULL","'"&amp;SUBSTITUTE(TRIM(E312),"'","''")&amp;"'")&amp;", "&amp;IF(TRIM(F312&amp;"")="","NULL","'"&amp;SUBSTITUTE(TRIM(F312),"'","''")&amp;"'")&amp;", "&amp;IF(TRIM(G312&amp;"")="","NULL","'"&amp;SUBSTITUTE(TRIM(G312),"'","''")&amp;"'")&amp;", "&amp;IF(TRIM(H312&amp;"")="","NULL","'"&amp;SUBSTITUTE(TRIM(H312),"'","''")&amp;"'")&amp;", "&amp;IF(TRIM(I312&amp;"")="","NULL","'"&amp;SUBSTITUTE(TRIM(I312),"'","''")&amp;"'")&amp;", "&amp;IF(TRIM(J312&amp;"")="","NULL","'"&amp;SUBSTITUTE(TRIM(J312),"'","''")&amp;"'")&amp;", "&amp;IF(UPPER(TRIM(K312&amp;""))="SI","TRUE","FALSE")&amp;", 1"&amp;" WHERE NOT EXISTS (SELECT 1 FROM cli_contacto c WHERE c.id_cliente = "&amp;"(SELECT id FROM cli_clientes WHERE numero_documento = '"&amp;SUBSTITUTE(TRIM(A312),"'","''")&amp;"' AND estado = 1 LIMIT 1)"&amp;" AND upper(c.nombre) = upper("&amp;IF(TRIM(C312&amp;"")="","NULL","'"&amp;SUBSTITUTE(TRIM(C312),"'","''")&amp;"'")&amp;") AND coalesce(c.telefono1,'') = coalesce("&amp;IF(TRIM(F312&amp;"")="","NULL","'"&amp;SUBSTITUTE(TRIM(F312),"'","''")&amp;"'")&amp;",''));")</f>
        <v/>
      </c>
    </row>
    <row r="313" ht="15.75" customHeight="1" s="64">
      <c r="A313" s="23" t="n"/>
      <c r="B313" s="25">
        <f t="array" ref="B313">IF(A313="","",IFERROR(IF(INDEX(Clientes!$D$5:$D$549,MATCH(A313,Clientes!$C$5:$C$549,0))&lt;&gt;"",INDEX(Clientes!$D$5:$D$549,MATCH(A313,Clientes!$C$5:$C$549,0)),TRIM(INDEX(Clientes!$E$5:$E$549,MATCH(A313,Clientes!$C$5:$C$549,0))&amp;" "&amp;INDEX(Clientes!$F$5:$F$549,MATCH(A313,Clientes!$C$5:$C$549,0)))),"NO EXISTE en Clientes"))</f>
        <v/>
      </c>
      <c r="C313" s="17" t="n"/>
      <c r="D313" s="17" t="n"/>
      <c r="E313" s="17" t="n"/>
      <c r="F313" s="23" t="n"/>
      <c r="G313" s="23" t="n"/>
      <c r="H313" s="23" t="n"/>
      <c r="I313" s="17" t="n"/>
      <c r="J313" s="17" t="n"/>
      <c r="K313" s="17" t="n"/>
      <c r="L313" s="17">
        <f>IF(AND(A313="",C313=""),"",IF(A313="","FALTA doc. cliente",IF(B313="NO EXISTE en Clientes","CLIENTE no está en hoja Clientes",IF(C313="","FALTA nombre",IF(AND(K313="SI",COUNTIFS($A$5:$A$499,A313,$K$5:$K$499,"SI")&gt;1),"Más de un contacto principal para este cliente","OK")))))</f>
        <v/>
      </c>
      <c r="M313" s="28">
        <f>IF(L313&lt;&gt;"OK","","INSERT INTO cli_contacto (id_cliente, nombre, apellido_paterno, apellido_materno, telefono1, telefono2, telefono3, email, direccion, es_principal, estado) SELECT "&amp;"(SELECT id FROM cli_clientes WHERE numero_documento = '"&amp;SUBSTITUTE(TRIM(A313),"'","''")&amp;"' AND estado = 1 LIMIT 1)"&amp;", "&amp;IF(TRIM(C313&amp;"")="","NULL","'"&amp;SUBSTITUTE(TRIM(C313),"'","''")&amp;"'")&amp;", "&amp;IF(TRIM(D313&amp;"")="","NULL","'"&amp;SUBSTITUTE(TRIM(D313),"'","''")&amp;"'")&amp;", "&amp;IF(TRIM(E313&amp;"")="","NULL","'"&amp;SUBSTITUTE(TRIM(E313),"'","''")&amp;"'")&amp;", "&amp;IF(TRIM(F313&amp;"")="","NULL","'"&amp;SUBSTITUTE(TRIM(F313),"'","''")&amp;"'")&amp;", "&amp;IF(TRIM(G313&amp;"")="","NULL","'"&amp;SUBSTITUTE(TRIM(G313),"'","''")&amp;"'")&amp;", "&amp;IF(TRIM(H313&amp;"")="","NULL","'"&amp;SUBSTITUTE(TRIM(H313),"'","''")&amp;"'")&amp;", "&amp;IF(TRIM(I313&amp;"")="","NULL","'"&amp;SUBSTITUTE(TRIM(I313),"'","''")&amp;"'")&amp;", "&amp;IF(TRIM(J313&amp;"")="","NULL","'"&amp;SUBSTITUTE(TRIM(J313),"'","''")&amp;"'")&amp;", "&amp;IF(UPPER(TRIM(K313&amp;""))="SI","TRUE","FALSE")&amp;", 1"&amp;" WHERE NOT EXISTS (SELECT 1 FROM cli_contacto c WHERE c.id_cliente = "&amp;"(SELECT id FROM cli_clientes WHERE numero_documento = '"&amp;SUBSTITUTE(TRIM(A313),"'","''")&amp;"' AND estado = 1 LIMIT 1)"&amp;" AND upper(c.nombre) = upper("&amp;IF(TRIM(C313&amp;"")="","NULL","'"&amp;SUBSTITUTE(TRIM(C313),"'","''")&amp;"'")&amp;") AND coalesce(c.telefono1,'') = coalesce("&amp;IF(TRIM(F313&amp;"")="","NULL","'"&amp;SUBSTITUTE(TRIM(F313),"'","''")&amp;"'")&amp;",''));")</f>
        <v/>
      </c>
    </row>
    <row r="314" ht="15.75" customHeight="1" s="64">
      <c r="A314" s="23" t="n"/>
      <c r="B314" s="25">
        <f t="array" ref="B314">IF(A314="","",IFERROR(IF(INDEX(Clientes!$D$5:$D$549,MATCH(A314,Clientes!$C$5:$C$549,0))&lt;&gt;"",INDEX(Clientes!$D$5:$D$549,MATCH(A314,Clientes!$C$5:$C$549,0)),TRIM(INDEX(Clientes!$E$5:$E$549,MATCH(A314,Clientes!$C$5:$C$549,0))&amp;" "&amp;INDEX(Clientes!$F$5:$F$549,MATCH(A314,Clientes!$C$5:$C$549,0)))),"NO EXISTE en Clientes"))</f>
        <v/>
      </c>
      <c r="C314" s="17" t="n"/>
      <c r="D314" s="17" t="n"/>
      <c r="E314" s="17" t="n"/>
      <c r="F314" s="23" t="n"/>
      <c r="G314" s="23" t="n"/>
      <c r="H314" s="23" t="n"/>
      <c r="I314" s="17" t="n"/>
      <c r="J314" s="17" t="n"/>
      <c r="K314" s="17" t="n"/>
      <c r="L314" s="17">
        <f>IF(AND(A314="",C314=""),"",IF(A314="","FALTA doc. cliente",IF(B314="NO EXISTE en Clientes","CLIENTE no está en hoja Clientes",IF(C314="","FALTA nombre",IF(AND(K314="SI",COUNTIFS($A$5:$A$499,A314,$K$5:$K$499,"SI")&gt;1),"Más de un contacto principal para este cliente","OK")))))</f>
        <v/>
      </c>
      <c r="M314" s="28">
        <f>IF(L314&lt;&gt;"OK","","INSERT INTO cli_contacto (id_cliente, nombre, apellido_paterno, apellido_materno, telefono1, telefono2, telefono3, email, direccion, es_principal, estado) SELECT "&amp;"(SELECT id FROM cli_clientes WHERE numero_documento = '"&amp;SUBSTITUTE(TRIM(A314),"'","''")&amp;"' AND estado = 1 LIMIT 1)"&amp;", "&amp;IF(TRIM(C314&amp;"")="","NULL","'"&amp;SUBSTITUTE(TRIM(C314),"'","''")&amp;"'")&amp;", "&amp;IF(TRIM(D314&amp;"")="","NULL","'"&amp;SUBSTITUTE(TRIM(D314),"'","''")&amp;"'")&amp;", "&amp;IF(TRIM(E314&amp;"")="","NULL","'"&amp;SUBSTITUTE(TRIM(E314),"'","''")&amp;"'")&amp;", "&amp;IF(TRIM(F314&amp;"")="","NULL","'"&amp;SUBSTITUTE(TRIM(F314),"'","''")&amp;"'")&amp;", "&amp;IF(TRIM(G314&amp;"")="","NULL","'"&amp;SUBSTITUTE(TRIM(G314),"'","''")&amp;"'")&amp;", "&amp;IF(TRIM(H314&amp;"")="","NULL","'"&amp;SUBSTITUTE(TRIM(H314),"'","''")&amp;"'")&amp;", "&amp;IF(TRIM(I314&amp;"")="","NULL","'"&amp;SUBSTITUTE(TRIM(I314),"'","''")&amp;"'")&amp;", "&amp;IF(TRIM(J314&amp;"")="","NULL","'"&amp;SUBSTITUTE(TRIM(J314),"'","''")&amp;"'")&amp;", "&amp;IF(UPPER(TRIM(K314&amp;""))="SI","TRUE","FALSE")&amp;", 1"&amp;" WHERE NOT EXISTS (SELECT 1 FROM cli_contacto c WHERE c.id_cliente = "&amp;"(SELECT id FROM cli_clientes WHERE numero_documento = '"&amp;SUBSTITUTE(TRIM(A314),"'","''")&amp;"' AND estado = 1 LIMIT 1)"&amp;" AND upper(c.nombre) = upper("&amp;IF(TRIM(C314&amp;"")="","NULL","'"&amp;SUBSTITUTE(TRIM(C314),"'","''")&amp;"'")&amp;") AND coalesce(c.telefono1,'') = coalesce("&amp;IF(TRIM(F314&amp;"")="","NULL","'"&amp;SUBSTITUTE(TRIM(F314),"'","''")&amp;"'")&amp;",''));")</f>
        <v/>
      </c>
    </row>
    <row r="315" ht="15.75" customHeight="1" s="64">
      <c r="A315" s="23" t="n"/>
      <c r="B315" s="25">
        <f t="array" ref="B315">IF(A315="","",IFERROR(IF(INDEX(Clientes!$D$5:$D$549,MATCH(A315,Clientes!$C$5:$C$549,0))&lt;&gt;"",INDEX(Clientes!$D$5:$D$549,MATCH(A315,Clientes!$C$5:$C$549,0)),TRIM(INDEX(Clientes!$E$5:$E$549,MATCH(A315,Clientes!$C$5:$C$549,0))&amp;" "&amp;INDEX(Clientes!$F$5:$F$549,MATCH(A315,Clientes!$C$5:$C$549,0)))),"NO EXISTE en Clientes"))</f>
        <v/>
      </c>
      <c r="C315" s="17" t="n"/>
      <c r="D315" s="17" t="n"/>
      <c r="E315" s="17" t="n"/>
      <c r="F315" s="23" t="n"/>
      <c r="G315" s="23" t="n"/>
      <c r="H315" s="23" t="n"/>
      <c r="I315" s="17" t="n"/>
      <c r="J315" s="17" t="n"/>
      <c r="K315" s="17" t="n"/>
      <c r="L315" s="17">
        <f>IF(AND(A315="",C315=""),"",IF(A315="","FALTA doc. cliente",IF(B315="NO EXISTE en Clientes","CLIENTE no está en hoja Clientes",IF(C315="","FALTA nombre",IF(AND(K315="SI",COUNTIFS($A$5:$A$499,A315,$K$5:$K$499,"SI")&gt;1),"Más de un contacto principal para este cliente","OK")))))</f>
        <v/>
      </c>
      <c r="M315" s="28">
        <f>IF(L315&lt;&gt;"OK","","INSERT INTO cli_contacto (id_cliente, nombre, apellido_paterno, apellido_materno, telefono1, telefono2, telefono3, email, direccion, es_principal, estado) SELECT "&amp;"(SELECT id FROM cli_clientes WHERE numero_documento = '"&amp;SUBSTITUTE(TRIM(A315),"'","''")&amp;"' AND estado = 1 LIMIT 1)"&amp;", "&amp;IF(TRIM(C315&amp;"")="","NULL","'"&amp;SUBSTITUTE(TRIM(C315),"'","''")&amp;"'")&amp;", "&amp;IF(TRIM(D315&amp;"")="","NULL","'"&amp;SUBSTITUTE(TRIM(D315),"'","''")&amp;"'")&amp;", "&amp;IF(TRIM(E315&amp;"")="","NULL","'"&amp;SUBSTITUTE(TRIM(E315),"'","''")&amp;"'")&amp;", "&amp;IF(TRIM(F315&amp;"")="","NULL","'"&amp;SUBSTITUTE(TRIM(F315),"'","''")&amp;"'")&amp;", "&amp;IF(TRIM(G315&amp;"")="","NULL","'"&amp;SUBSTITUTE(TRIM(G315),"'","''")&amp;"'")&amp;", "&amp;IF(TRIM(H315&amp;"")="","NULL","'"&amp;SUBSTITUTE(TRIM(H315),"'","''")&amp;"'")&amp;", "&amp;IF(TRIM(I315&amp;"")="","NULL","'"&amp;SUBSTITUTE(TRIM(I315),"'","''")&amp;"'")&amp;", "&amp;IF(TRIM(J315&amp;"")="","NULL","'"&amp;SUBSTITUTE(TRIM(J315),"'","''")&amp;"'")&amp;", "&amp;IF(UPPER(TRIM(K315&amp;""))="SI","TRUE","FALSE")&amp;", 1"&amp;" WHERE NOT EXISTS (SELECT 1 FROM cli_contacto c WHERE c.id_cliente = "&amp;"(SELECT id FROM cli_clientes WHERE numero_documento = '"&amp;SUBSTITUTE(TRIM(A315),"'","''")&amp;"' AND estado = 1 LIMIT 1)"&amp;" AND upper(c.nombre) = upper("&amp;IF(TRIM(C315&amp;"")="","NULL","'"&amp;SUBSTITUTE(TRIM(C315),"'","''")&amp;"'")&amp;") AND coalesce(c.telefono1,'') = coalesce("&amp;IF(TRIM(F315&amp;"")="","NULL","'"&amp;SUBSTITUTE(TRIM(F315),"'","''")&amp;"'")&amp;",''));")</f>
        <v/>
      </c>
    </row>
    <row r="316" ht="15.75" customHeight="1" s="64">
      <c r="A316" s="23" t="n"/>
      <c r="B316" s="25">
        <f t="array" ref="B316">IF(A316="","",IFERROR(IF(INDEX(Clientes!$D$5:$D$549,MATCH(A316,Clientes!$C$5:$C$549,0))&lt;&gt;"",INDEX(Clientes!$D$5:$D$549,MATCH(A316,Clientes!$C$5:$C$549,0)),TRIM(INDEX(Clientes!$E$5:$E$549,MATCH(A316,Clientes!$C$5:$C$549,0))&amp;" "&amp;INDEX(Clientes!$F$5:$F$549,MATCH(A316,Clientes!$C$5:$C$549,0)))),"NO EXISTE en Clientes"))</f>
        <v/>
      </c>
      <c r="C316" s="17" t="n"/>
      <c r="D316" s="17" t="n"/>
      <c r="E316" s="17" t="n"/>
      <c r="F316" s="23" t="n"/>
      <c r="G316" s="23" t="n"/>
      <c r="H316" s="23" t="n"/>
      <c r="I316" s="17" t="n"/>
      <c r="J316" s="17" t="n"/>
      <c r="K316" s="17" t="n"/>
      <c r="L316" s="17">
        <f>IF(AND(A316="",C316=""),"",IF(A316="","FALTA doc. cliente",IF(B316="NO EXISTE en Clientes","CLIENTE no está en hoja Clientes",IF(C316="","FALTA nombre",IF(AND(K316="SI",COUNTIFS($A$5:$A$499,A316,$K$5:$K$499,"SI")&gt;1),"Más de un contacto principal para este cliente","OK")))))</f>
        <v/>
      </c>
      <c r="M316" s="28">
        <f>IF(L316&lt;&gt;"OK","","INSERT INTO cli_contacto (id_cliente, nombre, apellido_paterno, apellido_materno, telefono1, telefono2, telefono3, email, direccion, es_principal, estado) SELECT "&amp;"(SELECT id FROM cli_clientes WHERE numero_documento = '"&amp;SUBSTITUTE(TRIM(A316),"'","''")&amp;"' AND estado = 1 LIMIT 1)"&amp;", "&amp;IF(TRIM(C316&amp;"")="","NULL","'"&amp;SUBSTITUTE(TRIM(C316),"'","''")&amp;"'")&amp;", "&amp;IF(TRIM(D316&amp;"")="","NULL","'"&amp;SUBSTITUTE(TRIM(D316),"'","''")&amp;"'")&amp;", "&amp;IF(TRIM(E316&amp;"")="","NULL","'"&amp;SUBSTITUTE(TRIM(E316),"'","''")&amp;"'")&amp;", "&amp;IF(TRIM(F316&amp;"")="","NULL","'"&amp;SUBSTITUTE(TRIM(F316),"'","''")&amp;"'")&amp;", "&amp;IF(TRIM(G316&amp;"")="","NULL","'"&amp;SUBSTITUTE(TRIM(G316),"'","''")&amp;"'")&amp;", "&amp;IF(TRIM(H316&amp;"")="","NULL","'"&amp;SUBSTITUTE(TRIM(H316),"'","''")&amp;"'")&amp;", "&amp;IF(TRIM(I316&amp;"")="","NULL","'"&amp;SUBSTITUTE(TRIM(I316),"'","''")&amp;"'")&amp;", "&amp;IF(TRIM(J316&amp;"")="","NULL","'"&amp;SUBSTITUTE(TRIM(J316),"'","''")&amp;"'")&amp;", "&amp;IF(UPPER(TRIM(K316&amp;""))="SI","TRUE","FALSE")&amp;", 1"&amp;" WHERE NOT EXISTS (SELECT 1 FROM cli_contacto c WHERE c.id_cliente = "&amp;"(SELECT id FROM cli_clientes WHERE numero_documento = '"&amp;SUBSTITUTE(TRIM(A316),"'","''")&amp;"' AND estado = 1 LIMIT 1)"&amp;" AND upper(c.nombre) = upper("&amp;IF(TRIM(C316&amp;"")="","NULL","'"&amp;SUBSTITUTE(TRIM(C316),"'","''")&amp;"'")&amp;") AND coalesce(c.telefono1,'') = coalesce("&amp;IF(TRIM(F316&amp;"")="","NULL","'"&amp;SUBSTITUTE(TRIM(F316),"'","''")&amp;"'")&amp;",''));")</f>
        <v/>
      </c>
    </row>
    <row r="317" ht="15.75" customHeight="1" s="64">
      <c r="A317" s="23" t="n"/>
      <c r="B317" s="25">
        <f t="array" ref="B317">IF(A317="","",IFERROR(IF(INDEX(Clientes!$D$5:$D$549,MATCH(A317,Clientes!$C$5:$C$549,0))&lt;&gt;"",INDEX(Clientes!$D$5:$D$549,MATCH(A317,Clientes!$C$5:$C$549,0)),TRIM(INDEX(Clientes!$E$5:$E$549,MATCH(A317,Clientes!$C$5:$C$549,0))&amp;" "&amp;INDEX(Clientes!$F$5:$F$549,MATCH(A317,Clientes!$C$5:$C$549,0)))),"NO EXISTE en Clientes"))</f>
        <v/>
      </c>
      <c r="C317" s="17" t="n"/>
      <c r="D317" s="17" t="n"/>
      <c r="E317" s="17" t="n"/>
      <c r="F317" s="23" t="n"/>
      <c r="G317" s="23" t="n"/>
      <c r="H317" s="23" t="n"/>
      <c r="I317" s="17" t="n"/>
      <c r="J317" s="17" t="n"/>
      <c r="K317" s="17" t="n"/>
      <c r="L317" s="17">
        <f>IF(AND(A317="",C317=""),"",IF(A317="","FALTA doc. cliente",IF(B317="NO EXISTE en Clientes","CLIENTE no está en hoja Clientes",IF(C317="","FALTA nombre",IF(AND(K317="SI",COUNTIFS($A$5:$A$499,A317,$K$5:$K$499,"SI")&gt;1),"Más de un contacto principal para este cliente","OK")))))</f>
        <v/>
      </c>
      <c r="M317" s="28">
        <f>IF(L317&lt;&gt;"OK","","INSERT INTO cli_contacto (id_cliente, nombre, apellido_paterno, apellido_materno, telefono1, telefono2, telefono3, email, direccion, es_principal, estado) SELECT "&amp;"(SELECT id FROM cli_clientes WHERE numero_documento = '"&amp;SUBSTITUTE(TRIM(A317),"'","''")&amp;"' AND estado = 1 LIMIT 1)"&amp;", "&amp;IF(TRIM(C317&amp;"")="","NULL","'"&amp;SUBSTITUTE(TRIM(C317),"'","''")&amp;"'")&amp;", "&amp;IF(TRIM(D317&amp;"")="","NULL","'"&amp;SUBSTITUTE(TRIM(D317),"'","''")&amp;"'")&amp;", "&amp;IF(TRIM(E317&amp;"")="","NULL","'"&amp;SUBSTITUTE(TRIM(E317),"'","''")&amp;"'")&amp;", "&amp;IF(TRIM(F317&amp;"")="","NULL","'"&amp;SUBSTITUTE(TRIM(F317),"'","''")&amp;"'")&amp;", "&amp;IF(TRIM(G317&amp;"")="","NULL","'"&amp;SUBSTITUTE(TRIM(G317),"'","''")&amp;"'")&amp;", "&amp;IF(TRIM(H317&amp;"")="","NULL","'"&amp;SUBSTITUTE(TRIM(H317),"'","''")&amp;"'")&amp;", "&amp;IF(TRIM(I317&amp;"")="","NULL","'"&amp;SUBSTITUTE(TRIM(I317),"'","''")&amp;"'")&amp;", "&amp;IF(TRIM(J317&amp;"")="","NULL","'"&amp;SUBSTITUTE(TRIM(J317),"'","''")&amp;"'")&amp;", "&amp;IF(UPPER(TRIM(K317&amp;""))="SI","TRUE","FALSE")&amp;", 1"&amp;" WHERE NOT EXISTS (SELECT 1 FROM cli_contacto c WHERE c.id_cliente = "&amp;"(SELECT id FROM cli_clientes WHERE numero_documento = '"&amp;SUBSTITUTE(TRIM(A317),"'","''")&amp;"' AND estado = 1 LIMIT 1)"&amp;" AND upper(c.nombre) = upper("&amp;IF(TRIM(C317&amp;"")="","NULL","'"&amp;SUBSTITUTE(TRIM(C317),"'","''")&amp;"'")&amp;") AND coalesce(c.telefono1,'') = coalesce("&amp;IF(TRIM(F317&amp;"")="","NULL","'"&amp;SUBSTITUTE(TRIM(F317),"'","''")&amp;"'")&amp;",''));")</f>
        <v/>
      </c>
    </row>
    <row r="318" ht="15.75" customHeight="1" s="64">
      <c r="A318" s="23" t="n"/>
      <c r="B318" s="25">
        <f t="array" ref="B318">IF(A318="","",IFERROR(IF(INDEX(Clientes!$D$5:$D$549,MATCH(A318,Clientes!$C$5:$C$549,0))&lt;&gt;"",INDEX(Clientes!$D$5:$D$549,MATCH(A318,Clientes!$C$5:$C$549,0)),TRIM(INDEX(Clientes!$E$5:$E$549,MATCH(A318,Clientes!$C$5:$C$549,0))&amp;" "&amp;INDEX(Clientes!$F$5:$F$549,MATCH(A318,Clientes!$C$5:$C$549,0)))),"NO EXISTE en Clientes"))</f>
        <v/>
      </c>
      <c r="C318" s="17" t="n"/>
      <c r="D318" s="17" t="n"/>
      <c r="E318" s="17" t="n"/>
      <c r="F318" s="23" t="n"/>
      <c r="G318" s="23" t="n"/>
      <c r="H318" s="23" t="n"/>
      <c r="I318" s="17" t="n"/>
      <c r="J318" s="17" t="n"/>
      <c r="K318" s="17" t="n"/>
      <c r="L318" s="17">
        <f>IF(AND(A318="",C318=""),"",IF(A318="","FALTA doc. cliente",IF(B318="NO EXISTE en Clientes","CLIENTE no está en hoja Clientes",IF(C318="","FALTA nombre",IF(AND(K318="SI",COUNTIFS($A$5:$A$499,A318,$K$5:$K$499,"SI")&gt;1),"Más de un contacto principal para este cliente","OK")))))</f>
        <v/>
      </c>
      <c r="M318" s="28">
        <f>IF(L318&lt;&gt;"OK","","INSERT INTO cli_contacto (id_cliente, nombre, apellido_paterno, apellido_materno, telefono1, telefono2, telefono3, email, direccion, es_principal, estado) SELECT "&amp;"(SELECT id FROM cli_clientes WHERE numero_documento = '"&amp;SUBSTITUTE(TRIM(A318),"'","''")&amp;"' AND estado = 1 LIMIT 1)"&amp;", "&amp;IF(TRIM(C318&amp;"")="","NULL","'"&amp;SUBSTITUTE(TRIM(C318),"'","''")&amp;"'")&amp;", "&amp;IF(TRIM(D318&amp;"")="","NULL","'"&amp;SUBSTITUTE(TRIM(D318),"'","''")&amp;"'")&amp;", "&amp;IF(TRIM(E318&amp;"")="","NULL","'"&amp;SUBSTITUTE(TRIM(E318),"'","''")&amp;"'")&amp;", "&amp;IF(TRIM(F318&amp;"")="","NULL","'"&amp;SUBSTITUTE(TRIM(F318),"'","''")&amp;"'")&amp;", "&amp;IF(TRIM(G318&amp;"")="","NULL","'"&amp;SUBSTITUTE(TRIM(G318),"'","''")&amp;"'")&amp;", "&amp;IF(TRIM(H318&amp;"")="","NULL","'"&amp;SUBSTITUTE(TRIM(H318),"'","''")&amp;"'")&amp;", "&amp;IF(TRIM(I318&amp;"")="","NULL","'"&amp;SUBSTITUTE(TRIM(I318),"'","''")&amp;"'")&amp;", "&amp;IF(TRIM(J318&amp;"")="","NULL","'"&amp;SUBSTITUTE(TRIM(J318),"'","''")&amp;"'")&amp;", "&amp;IF(UPPER(TRIM(K318&amp;""))="SI","TRUE","FALSE")&amp;", 1"&amp;" WHERE NOT EXISTS (SELECT 1 FROM cli_contacto c WHERE c.id_cliente = "&amp;"(SELECT id FROM cli_clientes WHERE numero_documento = '"&amp;SUBSTITUTE(TRIM(A318),"'","''")&amp;"' AND estado = 1 LIMIT 1)"&amp;" AND upper(c.nombre) = upper("&amp;IF(TRIM(C318&amp;"")="","NULL","'"&amp;SUBSTITUTE(TRIM(C318),"'","''")&amp;"'")&amp;") AND coalesce(c.telefono1,'') = coalesce("&amp;IF(TRIM(F318&amp;"")="","NULL","'"&amp;SUBSTITUTE(TRIM(F318),"'","''")&amp;"'")&amp;",''));")</f>
        <v/>
      </c>
    </row>
    <row r="319" ht="15.75" customHeight="1" s="64">
      <c r="A319" s="23" t="n"/>
      <c r="B319" s="25">
        <f t="array" ref="B319">IF(A319="","",IFERROR(IF(INDEX(Clientes!$D$5:$D$549,MATCH(A319,Clientes!$C$5:$C$549,0))&lt;&gt;"",INDEX(Clientes!$D$5:$D$549,MATCH(A319,Clientes!$C$5:$C$549,0)),TRIM(INDEX(Clientes!$E$5:$E$549,MATCH(A319,Clientes!$C$5:$C$549,0))&amp;" "&amp;INDEX(Clientes!$F$5:$F$549,MATCH(A319,Clientes!$C$5:$C$549,0)))),"NO EXISTE en Clientes"))</f>
        <v/>
      </c>
      <c r="C319" s="17" t="n"/>
      <c r="D319" s="17" t="n"/>
      <c r="E319" s="17" t="n"/>
      <c r="F319" s="23" t="n"/>
      <c r="G319" s="23" t="n"/>
      <c r="H319" s="23" t="n"/>
      <c r="I319" s="17" t="n"/>
      <c r="J319" s="17" t="n"/>
      <c r="K319" s="17" t="n"/>
      <c r="L319" s="17">
        <f>IF(AND(A319="",C319=""),"",IF(A319="","FALTA doc. cliente",IF(B319="NO EXISTE en Clientes","CLIENTE no está en hoja Clientes",IF(C319="","FALTA nombre",IF(AND(K319="SI",COUNTIFS($A$5:$A$499,A319,$K$5:$K$499,"SI")&gt;1),"Más de un contacto principal para este cliente","OK")))))</f>
        <v/>
      </c>
      <c r="M319" s="28">
        <f>IF(L319&lt;&gt;"OK","","INSERT INTO cli_contacto (id_cliente, nombre, apellido_paterno, apellido_materno, telefono1, telefono2, telefono3, email, direccion, es_principal, estado) SELECT "&amp;"(SELECT id FROM cli_clientes WHERE numero_documento = '"&amp;SUBSTITUTE(TRIM(A319),"'","''")&amp;"' AND estado = 1 LIMIT 1)"&amp;", "&amp;IF(TRIM(C319&amp;"")="","NULL","'"&amp;SUBSTITUTE(TRIM(C319),"'","''")&amp;"'")&amp;", "&amp;IF(TRIM(D319&amp;"")="","NULL","'"&amp;SUBSTITUTE(TRIM(D319),"'","''")&amp;"'")&amp;", "&amp;IF(TRIM(E319&amp;"")="","NULL","'"&amp;SUBSTITUTE(TRIM(E319),"'","''")&amp;"'")&amp;", "&amp;IF(TRIM(F319&amp;"")="","NULL","'"&amp;SUBSTITUTE(TRIM(F319),"'","''")&amp;"'")&amp;", "&amp;IF(TRIM(G319&amp;"")="","NULL","'"&amp;SUBSTITUTE(TRIM(G319),"'","''")&amp;"'")&amp;", "&amp;IF(TRIM(H319&amp;"")="","NULL","'"&amp;SUBSTITUTE(TRIM(H319),"'","''")&amp;"'")&amp;", "&amp;IF(TRIM(I319&amp;"")="","NULL","'"&amp;SUBSTITUTE(TRIM(I319),"'","''")&amp;"'")&amp;", "&amp;IF(TRIM(J319&amp;"")="","NULL","'"&amp;SUBSTITUTE(TRIM(J319),"'","''")&amp;"'")&amp;", "&amp;IF(UPPER(TRIM(K319&amp;""))="SI","TRUE","FALSE")&amp;", 1"&amp;" WHERE NOT EXISTS (SELECT 1 FROM cli_contacto c WHERE c.id_cliente = "&amp;"(SELECT id FROM cli_clientes WHERE numero_documento = '"&amp;SUBSTITUTE(TRIM(A319),"'","''")&amp;"' AND estado = 1 LIMIT 1)"&amp;" AND upper(c.nombre) = upper("&amp;IF(TRIM(C319&amp;"")="","NULL","'"&amp;SUBSTITUTE(TRIM(C319),"'","''")&amp;"'")&amp;") AND coalesce(c.telefono1,'') = coalesce("&amp;IF(TRIM(F319&amp;"")="","NULL","'"&amp;SUBSTITUTE(TRIM(F319),"'","''")&amp;"'")&amp;",''));")</f>
        <v/>
      </c>
    </row>
    <row r="320" ht="15.75" customHeight="1" s="64">
      <c r="A320" s="23" t="n"/>
      <c r="B320" s="25">
        <f t="array" ref="B320">IF(A320="","",IFERROR(IF(INDEX(Clientes!$D$5:$D$549,MATCH(A320,Clientes!$C$5:$C$549,0))&lt;&gt;"",INDEX(Clientes!$D$5:$D$549,MATCH(A320,Clientes!$C$5:$C$549,0)),TRIM(INDEX(Clientes!$E$5:$E$549,MATCH(A320,Clientes!$C$5:$C$549,0))&amp;" "&amp;INDEX(Clientes!$F$5:$F$549,MATCH(A320,Clientes!$C$5:$C$549,0)))),"NO EXISTE en Clientes"))</f>
        <v/>
      </c>
      <c r="C320" s="17" t="n"/>
      <c r="D320" s="17" t="n"/>
      <c r="E320" s="17" t="n"/>
      <c r="F320" s="23" t="n"/>
      <c r="G320" s="23" t="n"/>
      <c r="H320" s="23" t="n"/>
      <c r="I320" s="17" t="n"/>
      <c r="J320" s="17" t="n"/>
      <c r="K320" s="17" t="n"/>
      <c r="L320" s="17">
        <f>IF(AND(A320="",C320=""),"",IF(A320="","FALTA doc. cliente",IF(B320="NO EXISTE en Clientes","CLIENTE no está en hoja Clientes",IF(C320="","FALTA nombre",IF(AND(K320="SI",COUNTIFS($A$5:$A$499,A320,$K$5:$K$499,"SI")&gt;1),"Más de un contacto principal para este cliente","OK")))))</f>
        <v/>
      </c>
      <c r="M320" s="28">
        <f>IF(L320&lt;&gt;"OK","","INSERT INTO cli_contacto (id_cliente, nombre, apellido_paterno, apellido_materno, telefono1, telefono2, telefono3, email, direccion, es_principal, estado) SELECT "&amp;"(SELECT id FROM cli_clientes WHERE numero_documento = '"&amp;SUBSTITUTE(TRIM(A320),"'","''")&amp;"' AND estado = 1 LIMIT 1)"&amp;", "&amp;IF(TRIM(C320&amp;"")="","NULL","'"&amp;SUBSTITUTE(TRIM(C320),"'","''")&amp;"'")&amp;", "&amp;IF(TRIM(D320&amp;"")="","NULL","'"&amp;SUBSTITUTE(TRIM(D320),"'","''")&amp;"'")&amp;", "&amp;IF(TRIM(E320&amp;"")="","NULL","'"&amp;SUBSTITUTE(TRIM(E320),"'","''")&amp;"'")&amp;", "&amp;IF(TRIM(F320&amp;"")="","NULL","'"&amp;SUBSTITUTE(TRIM(F320),"'","''")&amp;"'")&amp;", "&amp;IF(TRIM(G320&amp;"")="","NULL","'"&amp;SUBSTITUTE(TRIM(G320),"'","''")&amp;"'")&amp;", "&amp;IF(TRIM(H320&amp;"")="","NULL","'"&amp;SUBSTITUTE(TRIM(H320),"'","''")&amp;"'")&amp;", "&amp;IF(TRIM(I320&amp;"")="","NULL","'"&amp;SUBSTITUTE(TRIM(I320),"'","''")&amp;"'")&amp;", "&amp;IF(TRIM(J320&amp;"")="","NULL","'"&amp;SUBSTITUTE(TRIM(J320),"'","''")&amp;"'")&amp;", "&amp;IF(UPPER(TRIM(K320&amp;""))="SI","TRUE","FALSE")&amp;", 1"&amp;" WHERE NOT EXISTS (SELECT 1 FROM cli_contacto c WHERE c.id_cliente = "&amp;"(SELECT id FROM cli_clientes WHERE numero_documento = '"&amp;SUBSTITUTE(TRIM(A320),"'","''")&amp;"' AND estado = 1 LIMIT 1)"&amp;" AND upper(c.nombre) = upper("&amp;IF(TRIM(C320&amp;"")="","NULL","'"&amp;SUBSTITUTE(TRIM(C320),"'","''")&amp;"'")&amp;") AND coalesce(c.telefono1,'') = coalesce("&amp;IF(TRIM(F320&amp;"")="","NULL","'"&amp;SUBSTITUTE(TRIM(F320),"'","''")&amp;"'")&amp;",''));")</f>
        <v/>
      </c>
    </row>
    <row r="321" ht="15.75" customHeight="1" s="64">
      <c r="A321" s="23" t="n"/>
      <c r="B321" s="25">
        <f t="array" ref="B321">IF(A321="","",IFERROR(IF(INDEX(Clientes!$D$5:$D$549,MATCH(A321,Clientes!$C$5:$C$549,0))&lt;&gt;"",INDEX(Clientes!$D$5:$D$549,MATCH(A321,Clientes!$C$5:$C$549,0)),TRIM(INDEX(Clientes!$E$5:$E$549,MATCH(A321,Clientes!$C$5:$C$549,0))&amp;" "&amp;INDEX(Clientes!$F$5:$F$549,MATCH(A321,Clientes!$C$5:$C$549,0)))),"NO EXISTE en Clientes"))</f>
        <v/>
      </c>
      <c r="C321" s="17" t="n"/>
      <c r="D321" s="17" t="n"/>
      <c r="E321" s="17" t="n"/>
      <c r="F321" s="23" t="n"/>
      <c r="G321" s="23" t="n"/>
      <c r="H321" s="23" t="n"/>
      <c r="I321" s="17" t="n"/>
      <c r="J321" s="17" t="n"/>
      <c r="K321" s="17" t="n"/>
      <c r="L321" s="17">
        <f>IF(AND(A321="",C321=""),"",IF(A321="","FALTA doc. cliente",IF(B321="NO EXISTE en Clientes","CLIENTE no está en hoja Clientes",IF(C321="","FALTA nombre",IF(AND(K321="SI",COUNTIFS($A$5:$A$499,A321,$K$5:$K$499,"SI")&gt;1),"Más de un contacto principal para este cliente","OK")))))</f>
        <v/>
      </c>
      <c r="M321" s="28">
        <f>IF(L321&lt;&gt;"OK","","INSERT INTO cli_contacto (id_cliente, nombre, apellido_paterno, apellido_materno, telefono1, telefono2, telefono3, email, direccion, es_principal, estado) SELECT "&amp;"(SELECT id FROM cli_clientes WHERE numero_documento = '"&amp;SUBSTITUTE(TRIM(A321),"'","''")&amp;"' AND estado = 1 LIMIT 1)"&amp;", "&amp;IF(TRIM(C321&amp;"")="","NULL","'"&amp;SUBSTITUTE(TRIM(C321),"'","''")&amp;"'")&amp;", "&amp;IF(TRIM(D321&amp;"")="","NULL","'"&amp;SUBSTITUTE(TRIM(D321),"'","''")&amp;"'")&amp;", "&amp;IF(TRIM(E321&amp;"")="","NULL","'"&amp;SUBSTITUTE(TRIM(E321),"'","''")&amp;"'")&amp;", "&amp;IF(TRIM(F321&amp;"")="","NULL","'"&amp;SUBSTITUTE(TRIM(F321),"'","''")&amp;"'")&amp;", "&amp;IF(TRIM(G321&amp;"")="","NULL","'"&amp;SUBSTITUTE(TRIM(G321),"'","''")&amp;"'")&amp;", "&amp;IF(TRIM(H321&amp;"")="","NULL","'"&amp;SUBSTITUTE(TRIM(H321),"'","''")&amp;"'")&amp;", "&amp;IF(TRIM(I321&amp;"")="","NULL","'"&amp;SUBSTITUTE(TRIM(I321),"'","''")&amp;"'")&amp;", "&amp;IF(TRIM(J321&amp;"")="","NULL","'"&amp;SUBSTITUTE(TRIM(J321),"'","''")&amp;"'")&amp;", "&amp;IF(UPPER(TRIM(K321&amp;""))="SI","TRUE","FALSE")&amp;", 1"&amp;" WHERE NOT EXISTS (SELECT 1 FROM cli_contacto c WHERE c.id_cliente = "&amp;"(SELECT id FROM cli_clientes WHERE numero_documento = '"&amp;SUBSTITUTE(TRIM(A321),"'","''")&amp;"' AND estado = 1 LIMIT 1)"&amp;" AND upper(c.nombre) = upper("&amp;IF(TRIM(C321&amp;"")="","NULL","'"&amp;SUBSTITUTE(TRIM(C321),"'","''")&amp;"'")&amp;") AND coalesce(c.telefono1,'') = coalesce("&amp;IF(TRIM(F321&amp;"")="","NULL","'"&amp;SUBSTITUTE(TRIM(F321),"'","''")&amp;"'")&amp;",''));")</f>
        <v/>
      </c>
    </row>
    <row r="322" ht="15.75" customHeight="1" s="64">
      <c r="A322" s="23" t="n"/>
      <c r="B322" s="25">
        <f t="array" ref="B322">IF(A322="","",IFERROR(IF(INDEX(Clientes!$D$5:$D$549,MATCH(A322,Clientes!$C$5:$C$549,0))&lt;&gt;"",INDEX(Clientes!$D$5:$D$549,MATCH(A322,Clientes!$C$5:$C$549,0)),TRIM(INDEX(Clientes!$E$5:$E$549,MATCH(A322,Clientes!$C$5:$C$549,0))&amp;" "&amp;INDEX(Clientes!$F$5:$F$549,MATCH(A322,Clientes!$C$5:$C$549,0)))),"NO EXISTE en Clientes"))</f>
        <v/>
      </c>
      <c r="C322" s="17" t="n"/>
      <c r="D322" s="17" t="n"/>
      <c r="E322" s="17" t="n"/>
      <c r="F322" s="23" t="n"/>
      <c r="G322" s="23" t="n"/>
      <c r="H322" s="23" t="n"/>
      <c r="I322" s="17" t="n"/>
      <c r="J322" s="17" t="n"/>
      <c r="K322" s="17" t="n"/>
      <c r="L322" s="17">
        <f>IF(AND(A322="",C322=""),"",IF(A322="","FALTA doc. cliente",IF(B322="NO EXISTE en Clientes","CLIENTE no está en hoja Clientes",IF(C322="","FALTA nombre",IF(AND(K322="SI",COUNTIFS($A$5:$A$499,A322,$K$5:$K$499,"SI")&gt;1),"Más de un contacto principal para este cliente","OK")))))</f>
        <v/>
      </c>
      <c r="M322" s="28">
        <f>IF(L322&lt;&gt;"OK","","INSERT INTO cli_contacto (id_cliente, nombre, apellido_paterno, apellido_materno, telefono1, telefono2, telefono3, email, direccion, es_principal, estado) SELECT "&amp;"(SELECT id FROM cli_clientes WHERE numero_documento = '"&amp;SUBSTITUTE(TRIM(A322),"'","''")&amp;"' AND estado = 1 LIMIT 1)"&amp;", "&amp;IF(TRIM(C322&amp;"")="","NULL","'"&amp;SUBSTITUTE(TRIM(C322),"'","''")&amp;"'")&amp;", "&amp;IF(TRIM(D322&amp;"")="","NULL","'"&amp;SUBSTITUTE(TRIM(D322),"'","''")&amp;"'")&amp;", "&amp;IF(TRIM(E322&amp;"")="","NULL","'"&amp;SUBSTITUTE(TRIM(E322),"'","''")&amp;"'")&amp;", "&amp;IF(TRIM(F322&amp;"")="","NULL","'"&amp;SUBSTITUTE(TRIM(F322),"'","''")&amp;"'")&amp;", "&amp;IF(TRIM(G322&amp;"")="","NULL","'"&amp;SUBSTITUTE(TRIM(G322),"'","''")&amp;"'")&amp;", "&amp;IF(TRIM(H322&amp;"")="","NULL","'"&amp;SUBSTITUTE(TRIM(H322),"'","''")&amp;"'")&amp;", "&amp;IF(TRIM(I322&amp;"")="","NULL","'"&amp;SUBSTITUTE(TRIM(I322),"'","''")&amp;"'")&amp;", "&amp;IF(TRIM(J322&amp;"")="","NULL","'"&amp;SUBSTITUTE(TRIM(J322),"'","''")&amp;"'")&amp;", "&amp;IF(UPPER(TRIM(K322&amp;""))="SI","TRUE","FALSE")&amp;", 1"&amp;" WHERE NOT EXISTS (SELECT 1 FROM cli_contacto c WHERE c.id_cliente = "&amp;"(SELECT id FROM cli_clientes WHERE numero_documento = '"&amp;SUBSTITUTE(TRIM(A322),"'","''")&amp;"' AND estado = 1 LIMIT 1)"&amp;" AND upper(c.nombre) = upper("&amp;IF(TRIM(C322&amp;"")="","NULL","'"&amp;SUBSTITUTE(TRIM(C322),"'","''")&amp;"'")&amp;") AND coalesce(c.telefono1,'') = coalesce("&amp;IF(TRIM(F322&amp;"")="","NULL","'"&amp;SUBSTITUTE(TRIM(F322),"'","''")&amp;"'")&amp;",''));")</f>
        <v/>
      </c>
    </row>
    <row r="323" ht="15.75" customHeight="1" s="64">
      <c r="A323" s="23" t="n"/>
      <c r="B323" s="25">
        <f t="array" ref="B323">IF(A323="","",IFERROR(IF(INDEX(Clientes!$D$5:$D$549,MATCH(A323,Clientes!$C$5:$C$549,0))&lt;&gt;"",INDEX(Clientes!$D$5:$D$549,MATCH(A323,Clientes!$C$5:$C$549,0)),TRIM(INDEX(Clientes!$E$5:$E$549,MATCH(A323,Clientes!$C$5:$C$549,0))&amp;" "&amp;INDEX(Clientes!$F$5:$F$549,MATCH(A323,Clientes!$C$5:$C$549,0)))),"NO EXISTE en Clientes"))</f>
        <v/>
      </c>
      <c r="C323" s="17" t="n"/>
      <c r="D323" s="17" t="n"/>
      <c r="E323" s="17" t="n"/>
      <c r="F323" s="23" t="n"/>
      <c r="G323" s="23" t="n"/>
      <c r="H323" s="23" t="n"/>
      <c r="I323" s="17" t="n"/>
      <c r="J323" s="17" t="n"/>
      <c r="K323" s="17" t="n"/>
      <c r="L323" s="17">
        <f>IF(AND(A323="",C323=""),"",IF(A323="","FALTA doc. cliente",IF(B323="NO EXISTE en Clientes","CLIENTE no está en hoja Clientes",IF(C323="","FALTA nombre",IF(AND(K323="SI",COUNTIFS($A$5:$A$499,A323,$K$5:$K$499,"SI")&gt;1),"Más de un contacto principal para este cliente","OK")))))</f>
        <v/>
      </c>
      <c r="M323" s="28">
        <f>IF(L323&lt;&gt;"OK","","INSERT INTO cli_contacto (id_cliente, nombre, apellido_paterno, apellido_materno, telefono1, telefono2, telefono3, email, direccion, es_principal, estado) SELECT "&amp;"(SELECT id FROM cli_clientes WHERE numero_documento = '"&amp;SUBSTITUTE(TRIM(A323),"'","''")&amp;"' AND estado = 1 LIMIT 1)"&amp;", "&amp;IF(TRIM(C323&amp;"")="","NULL","'"&amp;SUBSTITUTE(TRIM(C323),"'","''")&amp;"'")&amp;", "&amp;IF(TRIM(D323&amp;"")="","NULL","'"&amp;SUBSTITUTE(TRIM(D323),"'","''")&amp;"'")&amp;", "&amp;IF(TRIM(E323&amp;"")="","NULL","'"&amp;SUBSTITUTE(TRIM(E323),"'","''")&amp;"'")&amp;", "&amp;IF(TRIM(F323&amp;"")="","NULL","'"&amp;SUBSTITUTE(TRIM(F323),"'","''")&amp;"'")&amp;", "&amp;IF(TRIM(G323&amp;"")="","NULL","'"&amp;SUBSTITUTE(TRIM(G323),"'","''")&amp;"'")&amp;", "&amp;IF(TRIM(H323&amp;"")="","NULL","'"&amp;SUBSTITUTE(TRIM(H323),"'","''")&amp;"'")&amp;", "&amp;IF(TRIM(I323&amp;"")="","NULL","'"&amp;SUBSTITUTE(TRIM(I323),"'","''")&amp;"'")&amp;", "&amp;IF(TRIM(J323&amp;"")="","NULL","'"&amp;SUBSTITUTE(TRIM(J323),"'","''")&amp;"'")&amp;", "&amp;IF(UPPER(TRIM(K323&amp;""))="SI","TRUE","FALSE")&amp;", 1"&amp;" WHERE NOT EXISTS (SELECT 1 FROM cli_contacto c WHERE c.id_cliente = "&amp;"(SELECT id FROM cli_clientes WHERE numero_documento = '"&amp;SUBSTITUTE(TRIM(A323),"'","''")&amp;"' AND estado = 1 LIMIT 1)"&amp;" AND upper(c.nombre) = upper("&amp;IF(TRIM(C323&amp;"")="","NULL","'"&amp;SUBSTITUTE(TRIM(C323),"'","''")&amp;"'")&amp;") AND coalesce(c.telefono1,'') = coalesce("&amp;IF(TRIM(F323&amp;"")="","NULL","'"&amp;SUBSTITUTE(TRIM(F323),"'","''")&amp;"'")&amp;",''));")</f>
        <v/>
      </c>
    </row>
    <row r="324" ht="15.75" customHeight="1" s="64">
      <c r="A324" s="23" t="n"/>
      <c r="B324" s="25">
        <f t="array" ref="B324">IF(A324="","",IFERROR(IF(INDEX(Clientes!$D$5:$D$549,MATCH(A324,Clientes!$C$5:$C$549,0))&lt;&gt;"",INDEX(Clientes!$D$5:$D$549,MATCH(A324,Clientes!$C$5:$C$549,0)),TRIM(INDEX(Clientes!$E$5:$E$549,MATCH(A324,Clientes!$C$5:$C$549,0))&amp;" "&amp;INDEX(Clientes!$F$5:$F$549,MATCH(A324,Clientes!$C$5:$C$549,0)))),"NO EXISTE en Clientes"))</f>
        <v/>
      </c>
      <c r="C324" s="17" t="n"/>
      <c r="D324" s="17" t="n"/>
      <c r="E324" s="17" t="n"/>
      <c r="F324" s="23" t="n"/>
      <c r="G324" s="23" t="n"/>
      <c r="H324" s="23" t="n"/>
      <c r="I324" s="17" t="n"/>
      <c r="J324" s="17" t="n"/>
      <c r="K324" s="17" t="n"/>
      <c r="L324" s="17">
        <f>IF(AND(A324="",C324=""),"",IF(A324="","FALTA doc. cliente",IF(B324="NO EXISTE en Clientes","CLIENTE no está en hoja Clientes",IF(C324="","FALTA nombre",IF(AND(K324="SI",COUNTIFS($A$5:$A$499,A324,$K$5:$K$499,"SI")&gt;1),"Más de un contacto principal para este cliente","OK")))))</f>
        <v/>
      </c>
      <c r="M324" s="28">
        <f>IF(L324&lt;&gt;"OK","","INSERT INTO cli_contacto (id_cliente, nombre, apellido_paterno, apellido_materno, telefono1, telefono2, telefono3, email, direccion, es_principal, estado) SELECT "&amp;"(SELECT id FROM cli_clientes WHERE numero_documento = '"&amp;SUBSTITUTE(TRIM(A324),"'","''")&amp;"' AND estado = 1 LIMIT 1)"&amp;", "&amp;IF(TRIM(C324&amp;"")="","NULL","'"&amp;SUBSTITUTE(TRIM(C324),"'","''")&amp;"'")&amp;", "&amp;IF(TRIM(D324&amp;"")="","NULL","'"&amp;SUBSTITUTE(TRIM(D324),"'","''")&amp;"'")&amp;", "&amp;IF(TRIM(E324&amp;"")="","NULL","'"&amp;SUBSTITUTE(TRIM(E324),"'","''")&amp;"'")&amp;", "&amp;IF(TRIM(F324&amp;"")="","NULL","'"&amp;SUBSTITUTE(TRIM(F324),"'","''")&amp;"'")&amp;", "&amp;IF(TRIM(G324&amp;"")="","NULL","'"&amp;SUBSTITUTE(TRIM(G324),"'","''")&amp;"'")&amp;", "&amp;IF(TRIM(H324&amp;"")="","NULL","'"&amp;SUBSTITUTE(TRIM(H324),"'","''")&amp;"'")&amp;", "&amp;IF(TRIM(I324&amp;"")="","NULL","'"&amp;SUBSTITUTE(TRIM(I324),"'","''")&amp;"'")&amp;", "&amp;IF(TRIM(J324&amp;"")="","NULL","'"&amp;SUBSTITUTE(TRIM(J324),"'","''")&amp;"'")&amp;", "&amp;IF(UPPER(TRIM(K324&amp;""))="SI","TRUE","FALSE")&amp;", 1"&amp;" WHERE NOT EXISTS (SELECT 1 FROM cli_contacto c WHERE c.id_cliente = "&amp;"(SELECT id FROM cli_clientes WHERE numero_documento = '"&amp;SUBSTITUTE(TRIM(A324),"'","''")&amp;"' AND estado = 1 LIMIT 1)"&amp;" AND upper(c.nombre) = upper("&amp;IF(TRIM(C324&amp;"")="","NULL","'"&amp;SUBSTITUTE(TRIM(C324),"'","''")&amp;"'")&amp;") AND coalesce(c.telefono1,'') = coalesce("&amp;IF(TRIM(F324&amp;"")="","NULL","'"&amp;SUBSTITUTE(TRIM(F324),"'","''")&amp;"'")&amp;",''));")</f>
        <v/>
      </c>
    </row>
    <row r="325" ht="15.75" customHeight="1" s="64">
      <c r="A325" s="23" t="n"/>
      <c r="B325" s="25">
        <f t="array" ref="B325">IF(A325="","",IFERROR(IF(INDEX(Clientes!$D$5:$D$549,MATCH(A325,Clientes!$C$5:$C$549,0))&lt;&gt;"",INDEX(Clientes!$D$5:$D$549,MATCH(A325,Clientes!$C$5:$C$549,0)),TRIM(INDEX(Clientes!$E$5:$E$549,MATCH(A325,Clientes!$C$5:$C$549,0))&amp;" "&amp;INDEX(Clientes!$F$5:$F$549,MATCH(A325,Clientes!$C$5:$C$549,0)))),"NO EXISTE en Clientes"))</f>
        <v/>
      </c>
      <c r="C325" s="17" t="n"/>
      <c r="D325" s="17" t="n"/>
      <c r="E325" s="17" t="n"/>
      <c r="F325" s="23" t="n"/>
      <c r="G325" s="23" t="n"/>
      <c r="H325" s="23" t="n"/>
      <c r="I325" s="17" t="n"/>
      <c r="J325" s="17" t="n"/>
      <c r="K325" s="17" t="n"/>
      <c r="L325" s="17">
        <f>IF(AND(A325="",C325=""),"",IF(A325="","FALTA doc. cliente",IF(B325="NO EXISTE en Clientes","CLIENTE no está en hoja Clientes",IF(C325="","FALTA nombre",IF(AND(K325="SI",COUNTIFS($A$5:$A$499,A325,$K$5:$K$499,"SI")&gt;1),"Más de un contacto principal para este cliente","OK")))))</f>
        <v/>
      </c>
      <c r="M325" s="28">
        <f>IF(L325&lt;&gt;"OK","","INSERT INTO cli_contacto (id_cliente, nombre, apellido_paterno, apellido_materno, telefono1, telefono2, telefono3, email, direccion, es_principal, estado) SELECT "&amp;"(SELECT id FROM cli_clientes WHERE numero_documento = '"&amp;SUBSTITUTE(TRIM(A325),"'","''")&amp;"' AND estado = 1 LIMIT 1)"&amp;", "&amp;IF(TRIM(C325&amp;"")="","NULL","'"&amp;SUBSTITUTE(TRIM(C325),"'","''")&amp;"'")&amp;", "&amp;IF(TRIM(D325&amp;"")="","NULL","'"&amp;SUBSTITUTE(TRIM(D325),"'","''")&amp;"'")&amp;", "&amp;IF(TRIM(E325&amp;"")="","NULL","'"&amp;SUBSTITUTE(TRIM(E325),"'","''")&amp;"'")&amp;", "&amp;IF(TRIM(F325&amp;"")="","NULL","'"&amp;SUBSTITUTE(TRIM(F325),"'","''")&amp;"'")&amp;", "&amp;IF(TRIM(G325&amp;"")="","NULL","'"&amp;SUBSTITUTE(TRIM(G325),"'","''")&amp;"'")&amp;", "&amp;IF(TRIM(H325&amp;"")="","NULL","'"&amp;SUBSTITUTE(TRIM(H325),"'","''")&amp;"'")&amp;", "&amp;IF(TRIM(I325&amp;"")="","NULL","'"&amp;SUBSTITUTE(TRIM(I325),"'","''")&amp;"'")&amp;", "&amp;IF(TRIM(J325&amp;"")="","NULL","'"&amp;SUBSTITUTE(TRIM(J325),"'","''")&amp;"'")&amp;", "&amp;IF(UPPER(TRIM(K325&amp;""))="SI","TRUE","FALSE")&amp;", 1"&amp;" WHERE NOT EXISTS (SELECT 1 FROM cli_contacto c WHERE c.id_cliente = "&amp;"(SELECT id FROM cli_clientes WHERE numero_documento = '"&amp;SUBSTITUTE(TRIM(A325),"'","''")&amp;"' AND estado = 1 LIMIT 1)"&amp;" AND upper(c.nombre) = upper("&amp;IF(TRIM(C325&amp;"")="","NULL","'"&amp;SUBSTITUTE(TRIM(C325),"'","''")&amp;"'")&amp;") AND coalesce(c.telefono1,'') = coalesce("&amp;IF(TRIM(F325&amp;"")="","NULL","'"&amp;SUBSTITUTE(TRIM(F325),"'","''")&amp;"'")&amp;",''));")</f>
        <v/>
      </c>
    </row>
    <row r="326" ht="15.75" customHeight="1" s="64">
      <c r="A326" s="23" t="n"/>
      <c r="B326" s="25">
        <f t="array" ref="B326">IF(A326="","",IFERROR(IF(INDEX(Clientes!$D$5:$D$549,MATCH(A326,Clientes!$C$5:$C$549,0))&lt;&gt;"",INDEX(Clientes!$D$5:$D$549,MATCH(A326,Clientes!$C$5:$C$549,0)),TRIM(INDEX(Clientes!$E$5:$E$549,MATCH(A326,Clientes!$C$5:$C$549,0))&amp;" "&amp;INDEX(Clientes!$F$5:$F$549,MATCH(A326,Clientes!$C$5:$C$549,0)))),"NO EXISTE en Clientes"))</f>
        <v/>
      </c>
      <c r="C326" s="17" t="n"/>
      <c r="D326" s="17" t="n"/>
      <c r="E326" s="17" t="n"/>
      <c r="F326" s="23" t="n"/>
      <c r="G326" s="23" t="n"/>
      <c r="H326" s="23" t="n"/>
      <c r="I326" s="17" t="n"/>
      <c r="J326" s="17" t="n"/>
      <c r="K326" s="17" t="n"/>
      <c r="L326" s="17">
        <f>IF(AND(A326="",C326=""),"",IF(A326="","FALTA doc. cliente",IF(B326="NO EXISTE en Clientes","CLIENTE no está en hoja Clientes",IF(C326="","FALTA nombre",IF(AND(K326="SI",COUNTIFS($A$5:$A$499,A326,$K$5:$K$499,"SI")&gt;1),"Más de un contacto principal para este cliente","OK")))))</f>
        <v/>
      </c>
      <c r="M326" s="28">
        <f>IF(L326&lt;&gt;"OK","","INSERT INTO cli_contacto (id_cliente, nombre, apellido_paterno, apellido_materno, telefono1, telefono2, telefono3, email, direccion, es_principal, estado) SELECT "&amp;"(SELECT id FROM cli_clientes WHERE numero_documento = '"&amp;SUBSTITUTE(TRIM(A326),"'","''")&amp;"' AND estado = 1 LIMIT 1)"&amp;", "&amp;IF(TRIM(C326&amp;"")="","NULL","'"&amp;SUBSTITUTE(TRIM(C326),"'","''")&amp;"'")&amp;", "&amp;IF(TRIM(D326&amp;"")="","NULL","'"&amp;SUBSTITUTE(TRIM(D326),"'","''")&amp;"'")&amp;", "&amp;IF(TRIM(E326&amp;"")="","NULL","'"&amp;SUBSTITUTE(TRIM(E326),"'","''")&amp;"'")&amp;", "&amp;IF(TRIM(F326&amp;"")="","NULL","'"&amp;SUBSTITUTE(TRIM(F326),"'","''")&amp;"'")&amp;", "&amp;IF(TRIM(G326&amp;"")="","NULL","'"&amp;SUBSTITUTE(TRIM(G326),"'","''")&amp;"'")&amp;", "&amp;IF(TRIM(H326&amp;"")="","NULL","'"&amp;SUBSTITUTE(TRIM(H326),"'","''")&amp;"'")&amp;", "&amp;IF(TRIM(I326&amp;"")="","NULL","'"&amp;SUBSTITUTE(TRIM(I326),"'","''")&amp;"'")&amp;", "&amp;IF(TRIM(J326&amp;"")="","NULL","'"&amp;SUBSTITUTE(TRIM(J326),"'","''")&amp;"'")&amp;", "&amp;IF(UPPER(TRIM(K326&amp;""))="SI","TRUE","FALSE")&amp;", 1"&amp;" WHERE NOT EXISTS (SELECT 1 FROM cli_contacto c WHERE c.id_cliente = "&amp;"(SELECT id FROM cli_clientes WHERE numero_documento = '"&amp;SUBSTITUTE(TRIM(A326),"'","''")&amp;"' AND estado = 1 LIMIT 1)"&amp;" AND upper(c.nombre) = upper("&amp;IF(TRIM(C326&amp;"")="","NULL","'"&amp;SUBSTITUTE(TRIM(C326),"'","''")&amp;"'")&amp;") AND coalesce(c.telefono1,'') = coalesce("&amp;IF(TRIM(F326&amp;"")="","NULL","'"&amp;SUBSTITUTE(TRIM(F326),"'","''")&amp;"'")&amp;",''));")</f>
        <v/>
      </c>
    </row>
    <row r="327" ht="15.75" customHeight="1" s="64">
      <c r="A327" s="23" t="n"/>
      <c r="B327" s="25">
        <f t="array" ref="B327">IF(A327="","",IFERROR(IF(INDEX(Clientes!$D$5:$D$549,MATCH(A327,Clientes!$C$5:$C$549,0))&lt;&gt;"",INDEX(Clientes!$D$5:$D$549,MATCH(A327,Clientes!$C$5:$C$549,0)),TRIM(INDEX(Clientes!$E$5:$E$549,MATCH(A327,Clientes!$C$5:$C$549,0))&amp;" "&amp;INDEX(Clientes!$F$5:$F$549,MATCH(A327,Clientes!$C$5:$C$549,0)))),"NO EXISTE en Clientes"))</f>
        <v/>
      </c>
      <c r="C327" s="17" t="n"/>
      <c r="D327" s="17" t="n"/>
      <c r="E327" s="17" t="n"/>
      <c r="F327" s="23" t="n"/>
      <c r="G327" s="23" t="n"/>
      <c r="H327" s="23" t="n"/>
      <c r="I327" s="17" t="n"/>
      <c r="J327" s="17" t="n"/>
      <c r="K327" s="17" t="n"/>
      <c r="L327" s="17">
        <f>IF(AND(A327="",C327=""),"",IF(A327="","FALTA doc. cliente",IF(B327="NO EXISTE en Clientes","CLIENTE no está en hoja Clientes",IF(C327="","FALTA nombre",IF(AND(K327="SI",COUNTIFS($A$5:$A$499,A327,$K$5:$K$499,"SI")&gt;1),"Más de un contacto principal para este cliente","OK")))))</f>
        <v/>
      </c>
      <c r="M327" s="28">
        <f>IF(L327&lt;&gt;"OK","","INSERT INTO cli_contacto (id_cliente, nombre, apellido_paterno, apellido_materno, telefono1, telefono2, telefono3, email, direccion, es_principal, estado) SELECT "&amp;"(SELECT id FROM cli_clientes WHERE numero_documento = '"&amp;SUBSTITUTE(TRIM(A327),"'","''")&amp;"' AND estado = 1 LIMIT 1)"&amp;", "&amp;IF(TRIM(C327&amp;"")="","NULL","'"&amp;SUBSTITUTE(TRIM(C327),"'","''")&amp;"'")&amp;", "&amp;IF(TRIM(D327&amp;"")="","NULL","'"&amp;SUBSTITUTE(TRIM(D327),"'","''")&amp;"'")&amp;", "&amp;IF(TRIM(E327&amp;"")="","NULL","'"&amp;SUBSTITUTE(TRIM(E327),"'","''")&amp;"'")&amp;", "&amp;IF(TRIM(F327&amp;"")="","NULL","'"&amp;SUBSTITUTE(TRIM(F327),"'","''")&amp;"'")&amp;", "&amp;IF(TRIM(G327&amp;"")="","NULL","'"&amp;SUBSTITUTE(TRIM(G327),"'","''")&amp;"'")&amp;", "&amp;IF(TRIM(H327&amp;"")="","NULL","'"&amp;SUBSTITUTE(TRIM(H327),"'","''")&amp;"'")&amp;", "&amp;IF(TRIM(I327&amp;"")="","NULL","'"&amp;SUBSTITUTE(TRIM(I327),"'","''")&amp;"'")&amp;", "&amp;IF(TRIM(J327&amp;"")="","NULL","'"&amp;SUBSTITUTE(TRIM(J327),"'","''")&amp;"'")&amp;", "&amp;IF(UPPER(TRIM(K327&amp;""))="SI","TRUE","FALSE")&amp;", 1"&amp;" WHERE NOT EXISTS (SELECT 1 FROM cli_contacto c WHERE c.id_cliente = "&amp;"(SELECT id FROM cli_clientes WHERE numero_documento = '"&amp;SUBSTITUTE(TRIM(A327),"'","''")&amp;"' AND estado = 1 LIMIT 1)"&amp;" AND upper(c.nombre) = upper("&amp;IF(TRIM(C327&amp;"")="","NULL","'"&amp;SUBSTITUTE(TRIM(C327),"'","''")&amp;"'")&amp;") AND coalesce(c.telefono1,'') = coalesce("&amp;IF(TRIM(F327&amp;"")="","NULL","'"&amp;SUBSTITUTE(TRIM(F327),"'","''")&amp;"'")&amp;",''));")</f>
        <v/>
      </c>
    </row>
    <row r="328" ht="15.75" customHeight="1" s="64">
      <c r="A328" s="23" t="n"/>
      <c r="B328" s="25">
        <f t="array" ref="B328">IF(A328="","",IFERROR(IF(INDEX(Clientes!$D$5:$D$549,MATCH(A328,Clientes!$C$5:$C$549,0))&lt;&gt;"",INDEX(Clientes!$D$5:$D$549,MATCH(A328,Clientes!$C$5:$C$549,0)),TRIM(INDEX(Clientes!$E$5:$E$549,MATCH(A328,Clientes!$C$5:$C$549,0))&amp;" "&amp;INDEX(Clientes!$F$5:$F$549,MATCH(A328,Clientes!$C$5:$C$549,0)))),"NO EXISTE en Clientes"))</f>
        <v/>
      </c>
      <c r="C328" s="17" t="n"/>
      <c r="D328" s="17" t="n"/>
      <c r="E328" s="17" t="n"/>
      <c r="F328" s="23" t="n"/>
      <c r="G328" s="23" t="n"/>
      <c r="H328" s="23" t="n"/>
      <c r="I328" s="17" t="n"/>
      <c r="J328" s="17" t="n"/>
      <c r="K328" s="17" t="n"/>
      <c r="L328" s="17">
        <f>IF(AND(A328="",C328=""),"",IF(A328="","FALTA doc. cliente",IF(B328="NO EXISTE en Clientes","CLIENTE no está en hoja Clientes",IF(C328="","FALTA nombre",IF(AND(K328="SI",COUNTIFS($A$5:$A$499,A328,$K$5:$K$499,"SI")&gt;1),"Más de un contacto principal para este cliente","OK")))))</f>
        <v/>
      </c>
      <c r="M328" s="28">
        <f>IF(L328&lt;&gt;"OK","","INSERT INTO cli_contacto (id_cliente, nombre, apellido_paterno, apellido_materno, telefono1, telefono2, telefono3, email, direccion, es_principal, estado) SELECT "&amp;"(SELECT id FROM cli_clientes WHERE numero_documento = '"&amp;SUBSTITUTE(TRIM(A328),"'","''")&amp;"' AND estado = 1 LIMIT 1)"&amp;", "&amp;IF(TRIM(C328&amp;"")="","NULL","'"&amp;SUBSTITUTE(TRIM(C328),"'","''")&amp;"'")&amp;", "&amp;IF(TRIM(D328&amp;"")="","NULL","'"&amp;SUBSTITUTE(TRIM(D328),"'","''")&amp;"'")&amp;", "&amp;IF(TRIM(E328&amp;"")="","NULL","'"&amp;SUBSTITUTE(TRIM(E328),"'","''")&amp;"'")&amp;", "&amp;IF(TRIM(F328&amp;"")="","NULL","'"&amp;SUBSTITUTE(TRIM(F328),"'","''")&amp;"'")&amp;", "&amp;IF(TRIM(G328&amp;"")="","NULL","'"&amp;SUBSTITUTE(TRIM(G328),"'","''")&amp;"'")&amp;", "&amp;IF(TRIM(H328&amp;"")="","NULL","'"&amp;SUBSTITUTE(TRIM(H328),"'","''")&amp;"'")&amp;", "&amp;IF(TRIM(I328&amp;"")="","NULL","'"&amp;SUBSTITUTE(TRIM(I328),"'","''")&amp;"'")&amp;", "&amp;IF(TRIM(J328&amp;"")="","NULL","'"&amp;SUBSTITUTE(TRIM(J328),"'","''")&amp;"'")&amp;", "&amp;IF(UPPER(TRIM(K328&amp;""))="SI","TRUE","FALSE")&amp;", 1"&amp;" WHERE NOT EXISTS (SELECT 1 FROM cli_contacto c WHERE c.id_cliente = "&amp;"(SELECT id FROM cli_clientes WHERE numero_documento = '"&amp;SUBSTITUTE(TRIM(A328),"'","''")&amp;"' AND estado = 1 LIMIT 1)"&amp;" AND upper(c.nombre) = upper("&amp;IF(TRIM(C328&amp;"")="","NULL","'"&amp;SUBSTITUTE(TRIM(C328),"'","''")&amp;"'")&amp;") AND coalesce(c.telefono1,'') = coalesce("&amp;IF(TRIM(F328&amp;"")="","NULL","'"&amp;SUBSTITUTE(TRIM(F328),"'","''")&amp;"'")&amp;",''));")</f>
        <v/>
      </c>
    </row>
    <row r="329" ht="15.75" customHeight="1" s="64">
      <c r="A329" s="23" t="n"/>
      <c r="B329" s="25">
        <f t="array" ref="B329">IF(A329="","",IFERROR(IF(INDEX(Clientes!$D$5:$D$549,MATCH(A329,Clientes!$C$5:$C$549,0))&lt;&gt;"",INDEX(Clientes!$D$5:$D$549,MATCH(A329,Clientes!$C$5:$C$549,0)),TRIM(INDEX(Clientes!$E$5:$E$549,MATCH(A329,Clientes!$C$5:$C$549,0))&amp;" "&amp;INDEX(Clientes!$F$5:$F$549,MATCH(A329,Clientes!$C$5:$C$549,0)))),"NO EXISTE en Clientes"))</f>
        <v/>
      </c>
      <c r="C329" s="17" t="n"/>
      <c r="D329" s="17" t="n"/>
      <c r="E329" s="17" t="n"/>
      <c r="F329" s="23" t="n"/>
      <c r="G329" s="23" t="n"/>
      <c r="H329" s="23" t="n"/>
      <c r="I329" s="17" t="n"/>
      <c r="J329" s="17" t="n"/>
      <c r="K329" s="17" t="n"/>
      <c r="L329" s="17">
        <f>IF(AND(A329="",C329=""),"",IF(A329="","FALTA doc. cliente",IF(B329="NO EXISTE en Clientes","CLIENTE no está en hoja Clientes",IF(C329="","FALTA nombre",IF(AND(K329="SI",COUNTIFS($A$5:$A$499,A329,$K$5:$K$499,"SI")&gt;1),"Más de un contacto principal para este cliente","OK")))))</f>
        <v/>
      </c>
      <c r="M329" s="28">
        <f>IF(L329&lt;&gt;"OK","","INSERT INTO cli_contacto (id_cliente, nombre, apellido_paterno, apellido_materno, telefono1, telefono2, telefono3, email, direccion, es_principal, estado) SELECT "&amp;"(SELECT id FROM cli_clientes WHERE numero_documento = '"&amp;SUBSTITUTE(TRIM(A329),"'","''")&amp;"' AND estado = 1 LIMIT 1)"&amp;", "&amp;IF(TRIM(C329&amp;"")="","NULL","'"&amp;SUBSTITUTE(TRIM(C329),"'","''")&amp;"'")&amp;", "&amp;IF(TRIM(D329&amp;"")="","NULL","'"&amp;SUBSTITUTE(TRIM(D329),"'","''")&amp;"'")&amp;", "&amp;IF(TRIM(E329&amp;"")="","NULL","'"&amp;SUBSTITUTE(TRIM(E329),"'","''")&amp;"'")&amp;", "&amp;IF(TRIM(F329&amp;"")="","NULL","'"&amp;SUBSTITUTE(TRIM(F329),"'","''")&amp;"'")&amp;", "&amp;IF(TRIM(G329&amp;"")="","NULL","'"&amp;SUBSTITUTE(TRIM(G329),"'","''")&amp;"'")&amp;", "&amp;IF(TRIM(H329&amp;"")="","NULL","'"&amp;SUBSTITUTE(TRIM(H329),"'","''")&amp;"'")&amp;", "&amp;IF(TRIM(I329&amp;"")="","NULL","'"&amp;SUBSTITUTE(TRIM(I329),"'","''")&amp;"'")&amp;", "&amp;IF(TRIM(J329&amp;"")="","NULL","'"&amp;SUBSTITUTE(TRIM(J329),"'","''")&amp;"'")&amp;", "&amp;IF(UPPER(TRIM(K329&amp;""))="SI","TRUE","FALSE")&amp;", 1"&amp;" WHERE NOT EXISTS (SELECT 1 FROM cli_contacto c WHERE c.id_cliente = "&amp;"(SELECT id FROM cli_clientes WHERE numero_documento = '"&amp;SUBSTITUTE(TRIM(A329),"'","''")&amp;"' AND estado = 1 LIMIT 1)"&amp;" AND upper(c.nombre) = upper("&amp;IF(TRIM(C329&amp;"")="","NULL","'"&amp;SUBSTITUTE(TRIM(C329),"'","''")&amp;"'")&amp;") AND coalesce(c.telefono1,'') = coalesce("&amp;IF(TRIM(F329&amp;"")="","NULL","'"&amp;SUBSTITUTE(TRIM(F329),"'","''")&amp;"'")&amp;",''));")</f>
        <v/>
      </c>
    </row>
    <row r="330" ht="15.75" customHeight="1" s="64">
      <c r="A330" s="23" t="n"/>
      <c r="B330" s="25">
        <f t="array" ref="B330">IF(A330="","",IFERROR(IF(INDEX(Clientes!$D$5:$D$549,MATCH(A330,Clientes!$C$5:$C$549,0))&lt;&gt;"",INDEX(Clientes!$D$5:$D$549,MATCH(A330,Clientes!$C$5:$C$549,0)),TRIM(INDEX(Clientes!$E$5:$E$549,MATCH(A330,Clientes!$C$5:$C$549,0))&amp;" "&amp;INDEX(Clientes!$F$5:$F$549,MATCH(A330,Clientes!$C$5:$C$549,0)))),"NO EXISTE en Clientes"))</f>
        <v/>
      </c>
      <c r="C330" s="17" t="n"/>
      <c r="D330" s="17" t="n"/>
      <c r="E330" s="17" t="n"/>
      <c r="F330" s="23" t="n"/>
      <c r="G330" s="23" t="n"/>
      <c r="H330" s="23" t="n"/>
      <c r="I330" s="17" t="n"/>
      <c r="J330" s="17" t="n"/>
      <c r="K330" s="17" t="n"/>
      <c r="L330" s="17">
        <f>IF(AND(A330="",C330=""),"",IF(A330="","FALTA doc. cliente",IF(B330="NO EXISTE en Clientes","CLIENTE no está en hoja Clientes",IF(C330="","FALTA nombre",IF(AND(K330="SI",COUNTIFS($A$5:$A$499,A330,$K$5:$K$499,"SI")&gt;1),"Más de un contacto principal para este cliente","OK")))))</f>
        <v/>
      </c>
      <c r="M330" s="28">
        <f>IF(L330&lt;&gt;"OK","","INSERT INTO cli_contacto (id_cliente, nombre, apellido_paterno, apellido_materno, telefono1, telefono2, telefono3, email, direccion, es_principal, estado) SELECT "&amp;"(SELECT id FROM cli_clientes WHERE numero_documento = '"&amp;SUBSTITUTE(TRIM(A330),"'","''")&amp;"' AND estado = 1 LIMIT 1)"&amp;", "&amp;IF(TRIM(C330&amp;"")="","NULL","'"&amp;SUBSTITUTE(TRIM(C330),"'","''")&amp;"'")&amp;", "&amp;IF(TRIM(D330&amp;"")="","NULL","'"&amp;SUBSTITUTE(TRIM(D330),"'","''")&amp;"'")&amp;", "&amp;IF(TRIM(E330&amp;"")="","NULL","'"&amp;SUBSTITUTE(TRIM(E330),"'","''")&amp;"'")&amp;", "&amp;IF(TRIM(F330&amp;"")="","NULL","'"&amp;SUBSTITUTE(TRIM(F330),"'","''")&amp;"'")&amp;", "&amp;IF(TRIM(G330&amp;"")="","NULL","'"&amp;SUBSTITUTE(TRIM(G330),"'","''")&amp;"'")&amp;", "&amp;IF(TRIM(H330&amp;"")="","NULL","'"&amp;SUBSTITUTE(TRIM(H330),"'","''")&amp;"'")&amp;", "&amp;IF(TRIM(I330&amp;"")="","NULL","'"&amp;SUBSTITUTE(TRIM(I330),"'","''")&amp;"'")&amp;", "&amp;IF(TRIM(J330&amp;"")="","NULL","'"&amp;SUBSTITUTE(TRIM(J330),"'","''")&amp;"'")&amp;", "&amp;IF(UPPER(TRIM(K330&amp;""))="SI","TRUE","FALSE")&amp;", 1"&amp;" WHERE NOT EXISTS (SELECT 1 FROM cli_contacto c WHERE c.id_cliente = "&amp;"(SELECT id FROM cli_clientes WHERE numero_documento = '"&amp;SUBSTITUTE(TRIM(A330),"'","''")&amp;"' AND estado = 1 LIMIT 1)"&amp;" AND upper(c.nombre) = upper("&amp;IF(TRIM(C330&amp;"")="","NULL","'"&amp;SUBSTITUTE(TRIM(C330),"'","''")&amp;"'")&amp;") AND coalesce(c.telefono1,'') = coalesce("&amp;IF(TRIM(F330&amp;"")="","NULL","'"&amp;SUBSTITUTE(TRIM(F330),"'","''")&amp;"'")&amp;",''));")</f>
        <v/>
      </c>
    </row>
    <row r="331" ht="15.75" customHeight="1" s="64">
      <c r="A331" s="23" t="n"/>
      <c r="B331" s="25">
        <f t="array" ref="B331">IF(A331="","",IFERROR(IF(INDEX(Clientes!$D$5:$D$549,MATCH(A331,Clientes!$C$5:$C$549,0))&lt;&gt;"",INDEX(Clientes!$D$5:$D$549,MATCH(A331,Clientes!$C$5:$C$549,0)),TRIM(INDEX(Clientes!$E$5:$E$549,MATCH(A331,Clientes!$C$5:$C$549,0))&amp;" "&amp;INDEX(Clientes!$F$5:$F$549,MATCH(A331,Clientes!$C$5:$C$549,0)))),"NO EXISTE en Clientes"))</f>
        <v/>
      </c>
      <c r="C331" s="17" t="n"/>
      <c r="D331" s="17" t="n"/>
      <c r="E331" s="17" t="n"/>
      <c r="F331" s="23" t="n"/>
      <c r="G331" s="23" t="n"/>
      <c r="H331" s="23" t="n"/>
      <c r="I331" s="17" t="n"/>
      <c r="J331" s="17" t="n"/>
      <c r="K331" s="17" t="n"/>
      <c r="L331" s="17">
        <f>IF(AND(A331="",C331=""),"",IF(A331="","FALTA doc. cliente",IF(B331="NO EXISTE en Clientes","CLIENTE no está en hoja Clientes",IF(C331="","FALTA nombre",IF(AND(K331="SI",COUNTIFS($A$5:$A$499,A331,$K$5:$K$499,"SI")&gt;1),"Más de un contacto principal para este cliente","OK")))))</f>
        <v/>
      </c>
      <c r="M331" s="28">
        <f>IF(L331&lt;&gt;"OK","","INSERT INTO cli_contacto (id_cliente, nombre, apellido_paterno, apellido_materno, telefono1, telefono2, telefono3, email, direccion, es_principal, estado) SELECT "&amp;"(SELECT id FROM cli_clientes WHERE numero_documento = '"&amp;SUBSTITUTE(TRIM(A331),"'","''")&amp;"' AND estado = 1 LIMIT 1)"&amp;", "&amp;IF(TRIM(C331&amp;"")="","NULL","'"&amp;SUBSTITUTE(TRIM(C331),"'","''")&amp;"'")&amp;", "&amp;IF(TRIM(D331&amp;"")="","NULL","'"&amp;SUBSTITUTE(TRIM(D331),"'","''")&amp;"'")&amp;", "&amp;IF(TRIM(E331&amp;"")="","NULL","'"&amp;SUBSTITUTE(TRIM(E331),"'","''")&amp;"'")&amp;", "&amp;IF(TRIM(F331&amp;"")="","NULL","'"&amp;SUBSTITUTE(TRIM(F331),"'","''")&amp;"'")&amp;", "&amp;IF(TRIM(G331&amp;"")="","NULL","'"&amp;SUBSTITUTE(TRIM(G331),"'","''")&amp;"'")&amp;", "&amp;IF(TRIM(H331&amp;"")="","NULL","'"&amp;SUBSTITUTE(TRIM(H331),"'","''")&amp;"'")&amp;", "&amp;IF(TRIM(I331&amp;"")="","NULL","'"&amp;SUBSTITUTE(TRIM(I331),"'","''")&amp;"'")&amp;", "&amp;IF(TRIM(J331&amp;"")="","NULL","'"&amp;SUBSTITUTE(TRIM(J331),"'","''")&amp;"'")&amp;", "&amp;IF(UPPER(TRIM(K331&amp;""))="SI","TRUE","FALSE")&amp;", 1"&amp;" WHERE NOT EXISTS (SELECT 1 FROM cli_contacto c WHERE c.id_cliente = "&amp;"(SELECT id FROM cli_clientes WHERE numero_documento = '"&amp;SUBSTITUTE(TRIM(A331),"'","''")&amp;"' AND estado = 1 LIMIT 1)"&amp;" AND upper(c.nombre) = upper("&amp;IF(TRIM(C331&amp;"")="","NULL","'"&amp;SUBSTITUTE(TRIM(C331),"'","''")&amp;"'")&amp;") AND coalesce(c.telefono1,'') = coalesce("&amp;IF(TRIM(F331&amp;"")="","NULL","'"&amp;SUBSTITUTE(TRIM(F331),"'","''")&amp;"'")&amp;",''));")</f>
        <v/>
      </c>
    </row>
    <row r="332" ht="15.75" customHeight="1" s="64">
      <c r="A332" s="23" t="n"/>
      <c r="B332" s="25">
        <f t="array" ref="B332">IF(A332="","",IFERROR(IF(INDEX(Clientes!$D$5:$D$549,MATCH(A332,Clientes!$C$5:$C$549,0))&lt;&gt;"",INDEX(Clientes!$D$5:$D$549,MATCH(A332,Clientes!$C$5:$C$549,0)),TRIM(INDEX(Clientes!$E$5:$E$549,MATCH(A332,Clientes!$C$5:$C$549,0))&amp;" "&amp;INDEX(Clientes!$F$5:$F$549,MATCH(A332,Clientes!$C$5:$C$549,0)))),"NO EXISTE en Clientes"))</f>
        <v/>
      </c>
      <c r="C332" s="17" t="n"/>
      <c r="D332" s="17" t="n"/>
      <c r="E332" s="17" t="n"/>
      <c r="F332" s="23" t="n"/>
      <c r="G332" s="23" t="n"/>
      <c r="H332" s="23" t="n"/>
      <c r="I332" s="17" t="n"/>
      <c r="J332" s="17" t="n"/>
      <c r="K332" s="17" t="n"/>
      <c r="L332" s="17">
        <f>IF(AND(A332="",C332=""),"",IF(A332="","FALTA doc. cliente",IF(B332="NO EXISTE en Clientes","CLIENTE no está en hoja Clientes",IF(C332="","FALTA nombre",IF(AND(K332="SI",COUNTIFS($A$5:$A$499,A332,$K$5:$K$499,"SI")&gt;1),"Más de un contacto principal para este cliente","OK")))))</f>
        <v/>
      </c>
      <c r="M332" s="28">
        <f>IF(L332&lt;&gt;"OK","","INSERT INTO cli_contacto (id_cliente, nombre, apellido_paterno, apellido_materno, telefono1, telefono2, telefono3, email, direccion, es_principal, estado) SELECT "&amp;"(SELECT id FROM cli_clientes WHERE numero_documento = '"&amp;SUBSTITUTE(TRIM(A332),"'","''")&amp;"' AND estado = 1 LIMIT 1)"&amp;", "&amp;IF(TRIM(C332&amp;"")="","NULL","'"&amp;SUBSTITUTE(TRIM(C332),"'","''")&amp;"'")&amp;", "&amp;IF(TRIM(D332&amp;"")="","NULL","'"&amp;SUBSTITUTE(TRIM(D332),"'","''")&amp;"'")&amp;", "&amp;IF(TRIM(E332&amp;"")="","NULL","'"&amp;SUBSTITUTE(TRIM(E332),"'","''")&amp;"'")&amp;", "&amp;IF(TRIM(F332&amp;"")="","NULL","'"&amp;SUBSTITUTE(TRIM(F332),"'","''")&amp;"'")&amp;", "&amp;IF(TRIM(G332&amp;"")="","NULL","'"&amp;SUBSTITUTE(TRIM(G332),"'","''")&amp;"'")&amp;", "&amp;IF(TRIM(H332&amp;"")="","NULL","'"&amp;SUBSTITUTE(TRIM(H332),"'","''")&amp;"'")&amp;", "&amp;IF(TRIM(I332&amp;"")="","NULL","'"&amp;SUBSTITUTE(TRIM(I332),"'","''")&amp;"'")&amp;", "&amp;IF(TRIM(J332&amp;"")="","NULL","'"&amp;SUBSTITUTE(TRIM(J332),"'","''")&amp;"'")&amp;", "&amp;IF(UPPER(TRIM(K332&amp;""))="SI","TRUE","FALSE")&amp;", 1"&amp;" WHERE NOT EXISTS (SELECT 1 FROM cli_contacto c WHERE c.id_cliente = "&amp;"(SELECT id FROM cli_clientes WHERE numero_documento = '"&amp;SUBSTITUTE(TRIM(A332),"'","''")&amp;"' AND estado = 1 LIMIT 1)"&amp;" AND upper(c.nombre) = upper("&amp;IF(TRIM(C332&amp;"")="","NULL","'"&amp;SUBSTITUTE(TRIM(C332),"'","''")&amp;"'")&amp;") AND coalesce(c.telefono1,'') = coalesce("&amp;IF(TRIM(F332&amp;"")="","NULL","'"&amp;SUBSTITUTE(TRIM(F332),"'","''")&amp;"'")&amp;",''));")</f>
        <v/>
      </c>
    </row>
    <row r="333" ht="15.75" customHeight="1" s="64">
      <c r="A333" s="23" t="n"/>
      <c r="B333" s="25">
        <f t="array" ref="B333">IF(A333="","",IFERROR(IF(INDEX(Clientes!$D$5:$D$549,MATCH(A333,Clientes!$C$5:$C$549,0))&lt;&gt;"",INDEX(Clientes!$D$5:$D$549,MATCH(A333,Clientes!$C$5:$C$549,0)),TRIM(INDEX(Clientes!$E$5:$E$549,MATCH(A333,Clientes!$C$5:$C$549,0))&amp;" "&amp;INDEX(Clientes!$F$5:$F$549,MATCH(A333,Clientes!$C$5:$C$549,0)))),"NO EXISTE en Clientes"))</f>
        <v/>
      </c>
      <c r="C333" s="17" t="n"/>
      <c r="D333" s="17" t="n"/>
      <c r="E333" s="17" t="n"/>
      <c r="F333" s="23" t="n"/>
      <c r="G333" s="23" t="n"/>
      <c r="H333" s="23" t="n"/>
      <c r="I333" s="17" t="n"/>
      <c r="J333" s="17" t="n"/>
      <c r="K333" s="17" t="n"/>
      <c r="L333" s="17">
        <f>IF(AND(A333="",C333=""),"",IF(A333="","FALTA doc. cliente",IF(B333="NO EXISTE en Clientes","CLIENTE no está en hoja Clientes",IF(C333="","FALTA nombre",IF(AND(K333="SI",COUNTIFS($A$5:$A$499,A333,$K$5:$K$499,"SI")&gt;1),"Más de un contacto principal para este cliente","OK")))))</f>
        <v/>
      </c>
      <c r="M333" s="28">
        <f>IF(L333&lt;&gt;"OK","","INSERT INTO cli_contacto (id_cliente, nombre, apellido_paterno, apellido_materno, telefono1, telefono2, telefono3, email, direccion, es_principal, estado) SELECT "&amp;"(SELECT id FROM cli_clientes WHERE numero_documento = '"&amp;SUBSTITUTE(TRIM(A333),"'","''")&amp;"' AND estado = 1 LIMIT 1)"&amp;", "&amp;IF(TRIM(C333&amp;"")="","NULL","'"&amp;SUBSTITUTE(TRIM(C333),"'","''")&amp;"'")&amp;", "&amp;IF(TRIM(D333&amp;"")="","NULL","'"&amp;SUBSTITUTE(TRIM(D333),"'","''")&amp;"'")&amp;", "&amp;IF(TRIM(E333&amp;"")="","NULL","'"&amp;SUBSTITUTE(TRIM(E333),"'","''")&amp;"'")&amp;", "&amp;IF(TRIM(F333&amp;"")="","NULL","'"&amp;SUBSTITUTE(TRIM(F333),"'","''")&amp;"'")&amp;", "&amp;IF(TRIM(G333&amp;"")="","NULL","'"&amp;SUBSTITUTE(TRIM(G333),"'","''")&amp;"'")&amp;", "&amp;IF(TRIM(H333&amp;"")="","NULL","'"&amp;SUBSTITUTE(TRIM(H333),"'","''")&amp;"'")&amp;", "&amp;IF(TRIM(I333&amp;"")="","NULL","'"&amp;SUBSTITUTE(TRIM(I333),"'","''")&amp;"'")&amp;", "&amp;IF(TRIM(J333&amp;"")="","NULL","'"&amp;SUBSTITUTE(TRIM(J333),"'","''")&amp;"'")&amp;", "&amp;IF(UPPER(TRIM(K333&amp;""))="SI","TRUE","FALSE")&amp;", 1"&amp;" WHERE NOT EXISTS (SELECT 1 FROM cli_contacto c WHERE c.id_cliente = "&amp;"(SELECT id FROM cli_clientes WHERE numero_documento = '"&amp;SUBSTITUTE(TRIM(A333),"'","''")&amp;"' AND estado = 1 LIMIT 1)"&amp;" AND upper(c.nombre) = upper("&amp;IF(TRIM(C333&amp;"")="","NULL","'"&amp;SUBSTITUTE(TRIM(C333),"'","''")&amp;"'")&amp;") AND coalesce(c.telefono1,'') = coalesce("&amp;IF(TRIM(F333&amp;"")="","NULL","'"&amp;SUBSTITUTE(TRIM(F333),"'","''")&amp;"'")&amp;",''));")</f>
        <v/>
      </c>
    </row>
    <row r="334" ht="15.75" customHeight="1" s="64">
      <c r="A334" s="23" t="n"/>
      <c r="B334" s="25">
        <f t="array" ref="B334">IF(A334="","",IFERROR(IF(INDEX(Clientes!$D$5:$D$549,MATCH(A334,Clientes!$C$5:$C$549,0))&lt;&gt;"",INDEX(Clientes!$D$5:$D$549,MATCH(A334,Clientes!$C$5:$C$549,0)),TRIM(INDEX(Clientes!$E$5:$E$549,MATCH(A334,Clientes!$C$5:$C$549,0))&amp;" "&amp;INDEX(Clientes!$F$5:$F$549,MATCH(A334,Clientes!$C$5:$C$549,0)))),"NO EXISTE en Clientes"))</f>
        <v/>
      </c>
      <c r="C334" s="17" t="n"/>
      <c r="D334" s="17" t="n"/>
      <c r="E334" s="17" t="n"/>
      <c r="F334" s="23" t="n"/>
      <c r="G334" s="23" t="n"/>
      <c r="H334" s="23" t="n"/>
      <c r="I334" s="17" t="n"/>
      <c r="J334" s="17" t="n"/>
      <c r="K334" s="17" t="n"/>
      <c r="L334" s="17">
        <f>IF(AND(A334="",C334=""),"",IF(A334="","FALTA doc. cliente",IF(B334="NO EXISTE en Clientes","CLIENTE no está en hoja Clientes",IF(C334="","FALTA nombre",IF(AND(K334="SI",COUNTIFS($A$5:$A$499,A334,$K$5:$K$499,"SI")&gt;1),"Más de un contacto principal para este cliente","OK")))))</f>
        <v/>
      </c>
      <c r="M334" s="28">
        <f>IF(L334&lt;&gt;"OK","","INSERT INTO cli_contacto (id_cliente, nombre, apellido_paterno, apellido_materno, telefono1, telefono2, telefono3, email, direccion, es_principal, estado) SELECT "&amp;"(SELECT id FROM cli_clientes WHERE numero_documento = '"&amp;SUBSTITUTE(TRIM(A334),"'","''")&amp;"' AND estado = 1 LIMIT 1)"&amp;", "&amp;IF(TRIM(C334&amp;"")="","NULL","'"&amp;SUBSTITUTE(TRIM(C334),"'","''")&amp;"'")&amp;", "&amp;IF(TRIM(D334&amp;"")="","NULL","'"&amp;SUBSTITUTE(TRIM(D334),"'","''")&amp;"'")&amp;", "&amp;IF(TRIM(E334&amp;"")="","NULL","'"&amp;SUBSTITUTE(TRIM(E334),"'","''")&amp;"'")&amp;", "&amp;IF(TRIM(F334&amp;"")="","NULL","'"&amp;SUBSTITUTE(TRIM(F334),"'","''")&amp;"'")&amp;", "&amp;IF(TRIM(G334&amp;"")="","NULL","'"&amp;SUBSTITUTE(TRIM(G334),"'","''")&amp;"'")&amp;", "&amp;IF(TRIM(H334&amp;"")="","NULL","'"&amp;SUBSTITUTE(TRIM(H334),"'","''")&amp;"'")&amp;", "&amp;IF(TRIM(I334&amp;"")="","NULL","'"&amp;SUBSTITUTE(TRIM(I334),"'","''")&amp;"'")&amp;", "&amp;IF(TRIM(J334&amp;"")="","NULL","'"&amp;SUBSTITUTE(TRIM(J334),"'","''")&amp;"'")&amp;", "&amp;IF(UPPER(TRIM(K334&amp;""))="SI","TRUE","FALSE")&amp;", 1"&amp;" WHERE NOT EXISTS (SELECT 1 FROM cli_contacto c WHERE c.id_cliente = "&amp;"(SELECT id FROM cli_clientes WHERE numero_documento = '"&amp;SUBSTITUTE(TRIM(A334),"'","''")&amp;"' AND estado = 1 LIMIT 1)"&amp;" AND upper(c.nombre) = upper("&amp;IF(TRIM(C334&amp;"")="","NULL","'"&amp;SUBSTITUTE(TRIM(C334),"'","''")&amp;"'")&amp;") AND coalesce(c.telefono1,'') = coalesce("&amp;IF(TRIM(F334&amp;"")="","NULL","'"&amp;SUBSTITUTE(TRIM(F334),"'","''")&amp;"'")&amp;",''));")</f>
        <v/>
      </c>
    </row>
    <row r="335" ht="15.75" customHeight="1" s="64">
      <c r="A335" s="23" t="n"/>
      <c r="B335" s="25">
        <f t="array" ref="B335">IF(A335="","",IFERROR(IF(INDEX(Clientes!$D$5:$D$549,MATCH(A335,Clientes!$C$5:$C$549,0))&lt;&gt;"",INDEX(Clientes!$D$5:$D$549,MATCH(A335,Clientes!$C$5:$C$549,0)),TRIM(INDEX(Clientes!$E$5:$E$549,MATCH(A335,Clientes!$C$5:$C$549,0))&amp;" "&amp;INDEX(Clientes!$F$5:$F$549,MATCH(A335,Clientes!$C$5:$C$549,0)))),"NO EXISTE en Clientes"))</f>
        <v/>
      </c>
      <c r="C335" s="17" t="n"/>
      <c r="D335" s="17" t="n"/>
      <c r="E335" s="17" t="n"/>
      <c r="F335" s="23" t="n"/>
      <c r="G335" s="23" t="n"/>
      <c r="H335" s="23" t="n"/>
      <c r="I335" s="17" t="n"/>
      <c r="J335" s="17" t="n"/>
      <c r="K335" s="17" t="n"/>
      <c r="L335" s="17">
        <f>IF(AND(A335="",C335=""),"",IF(A335="","FALTA doc. cliente",IF(B335="NO EXISTE en Clientes","CLIENTE no está en hoja Clientes",IF(C335="","FALTA nombre",IF(AND(K335="SI",COUNTIFS($A$5:$A$499,A335,$K$5:$K$499,"SI")&gt;1),"Más de un contacto principal para este cliente","OK")))))</f>
        <v/>
      </c>
      <c r="M335" s="28">
        <f>IF(L335&lt;&gt;"OK","","INSERT INTO cli_contacto (id_cliente, nombre, apellido_paterno, apellido_materno, telefono1, telefono2, telefono3, email, direccion, es_principal, estado) SELECT "&amp;"(SELECT id FROM cli_clientes WHERE numero_documento = '"&amp;SUBSTITUTE(TRIM(A335),"'","''")&amp;"' AND estado = 1 LIMIT 1)"&amp;", "&amp;IF(TRIM(C335&amp;"")="","NULL","'"&amp;SUBSTITUTE(TRIM(C335),"'","''")&amp;"'")&amp;", "&amp;IF(TRIM(D335&amp;"")="","NULL","'"&amp;SUBSTITUTE(TRIM(D335),"'","''")&amp;"'")&amp;", "&amp;IF(TRIM(E335&amp;"")="","NULL","'"&amp;SUBSTITUTE(TRIM(E335),"'","''")&amp;"'")&amp;", "&amp;IF(TRIM(F335&amp;"")="","NULL","'"&amp;SUBSTITUTE(TRIM(F335),"'","''")&amp;"'")&amp;", "&amp;IF(TRIM(G335&amp;"")="","NULL","'"&amp;SUBSTITUTE(TRIM(G335),"'","''")&amp;"'")&amp;", "&amp;IF(TRIM(H335&amp;"")="","NULL","'"&amp;SUBSTITUTE(TRIM(H335),"'","''")&amp;"'")&amp;", "&amp;IF(TRIM(I335&amp;"")="","NULL","'"&amp;SUBSTITUTE(TRIM(I335),"'","''")&amp;"'")&amp;", "&amp;IF(TRIM(J335&amp;"")="","NULL","'"&amp;SUBSTITUTE(TRIM(J335),"'","''")&amp;"'")&amp;", "&amp;IF(UPPER(TRIM(K335&amp;""))="SI","TRUE","FALSE")&amp;", 1"&amp;" WHERE NOT EXISTS (SELECT 1 FROM cli_contacto c WHERE c.id_cliente = "&amp;"(SELECT id FROM cli_clientes WHERE numero_documento = '"&amp;SUBSTITUTE(TRIM(A335),"'","''")&amp;"' AND estado = 1 LIMIT 1)"&amp;" AND upper(c.nombre) = upper("&amp;IF(TRIM(C335&amp;"")="","NULL","'"&amp;SUBSTITUTE(TRIM(C335),"'","''")&amp;"'")&amp;") AND coalesce(c.telefono1,'') = coalesce("&amp;IF(TRIM(F335&amp;"")="","NULL","'"&amp;SUBSTITUTE(TRIM(F335),"'","''")&amp;"'")&amp;",''));")</f>
        <v/>
      </c>
    </row>
    <row r="336" ht="15.75" customHeight="1" s="64">
      <c r="A336" s="23" t="n"/>
      <c r="B336" s="25">
        <f t="array" ref="B336">IF(A336="","",IFERROR(IF(INDEX(Clientes!$D$5:$D$549,MATCH(A336,Clientes!$C$5:$C$549,0))&lt;&gt;"",INDEX(Clientes!$D$5:$D$549,MATCH(A336,Clientes!$C$5:$C$549,0)),TRIM(INDEX(Clientes!$E$5:$E$549,MATCH(A336,Clientes!$C$5:$C$549,0))&amp;" "&amp;INDEX(Clientes!$F$5:$F$549,MATCH(A336,Clientes!$C$5:$C$549,0)))),"NO EXISTE en Clientes"))</f>
        <v/>
      </c>
      <c r="C336" s="17" t="n"/>
      <c r="D336" s="17" t="n"/>
      <c r="E336" s="17" t="n"/>
      <c r="F336" s="23" t="n"/>
      <c r="G336" s="23" t="n"/>
      <c r="H336" s="23" t="n"/>
      <c r="I336" s="17" t="n"/>
      <c r="J336" s="17" t="n"/>
      <c r="K336" s="17" t="n"/>
      <c r="L336" s="17">
        <f>IF(AND(A336="",C336=""),"",IF(A336="","FALTA doc. cliente",IF(B336="NO EXISTE en Clientes","CLIENTE no está en hoja Clientes",IF(C336="","FALTA nombre",IF(AND(K336="SI",COUNTIFS($A$5:$A$499,A336,$K$5:$K$499,"SI")&gt;1),"Más de un contacto principal para este cliente","OK")))))</f>
        <v/>
      </c>
      <c r="M336" s="28">
        <f>IF(L336&lt;&gt;"OK","","INSERT INTO cli_contacto (id_cliente, nombre, apellido_paterno, apellido_materno, telefono1, telefono2, telefono3, email, direccion, es_principal, estado) SELECT "&amp;"(SELECT id FROM cli_clientes WHERE numero_documento = '"&amp;SUBSTITUTE(TRIM(A336),"'","''")&amp;"' AND estado = 1 LIMIT 1)"&amp;", "&amp;IF(TRIM(C336&amp;"")="","NULL","'"&amp;SUBSTITUTE(TRIM(C336),"'","''")&amp;"'")&amp;", "&amp;IF(TRIM(D336&amp;"")="","NULL","'"&amp;SUBSTITUTE(TRIM(D336),"'","''")&amp;"'")&amp;", "&amp;IF(TRIM(E336&amp;"")="","NULL","'"&amp;SUBSTITUTE(TRIM(E336),"'","''")&amp;"'")&amp;", "&amp;IF(TRIM(F336&amp;"")="","NULL","'"&amp;SUBSTITUTE(TRIM(F336),"'","''")&amp;"'")&amp;", "&amp;IF(TRIM(G336&amp;"")="","NULL","'"&amp;SUBSTITUTE(TRIM(G336),"'","''")&amp;"'")&amp;", "&amp;IF(TRIM(H336&amp;"")="","NULL","'"&amp;SUBSTITUTE(TRIM(H336),"'","''")&amp;"'")&amp;", "&amp;IF(TRIM(I336&amp;"")="","NULL","'"&amp;SUBSTITUTE(TRIM(I336),"'","''")&amp;"'")&amp;", "&amp;IF(TRIM(J336&amp;"")="","NULL","'"&amp;SUBSTITUTE(TRIM(J336),"'","''")&amp;"'")&amp;", "&amp;IF(UPPER(TRIM(K336&amp;""))="SI","TRUE","FALSE")&amp;", 1"&amp;" WHERE NOT EXISTS (SELECT 1 FROM cli_contacto c WHERE c.id_cliente = "&amp;"(SELECT id FROM cli_clientes WHERE numero_documento = '"&amp;SUBSTITUTE(TRIM(A336),"'","''")&amp;"' AND estado = 1 LIMIT 1)"&amp;" AND upper(c.nombre) = upper("&amp;IF(TRIM(C336&amp;"")="","NULL","'"&amp;SUBSTITUTE(TRIM(C336),"'","''")&amp;"'")&amp;") AND coalesce(c.telefono1,'') = coalesce("&amp;IF(TRIM(F336&amp;"")="","NULL","'"&amp;SUBSTITUTE(TRIM(F336),"'","''")&amp;"'")&amp;",''));")</f>
        <v/>
      </c>
    </row>
    <row r="337" ht="15.75" customHeight="1" s="64">
      <c r="A337" s="23" t="n"/>
      <c r="B337" s="25">
        <f t="array" ref="B337">IF(A337="","",IFERROR(IF(INDEX(Clientes!$D$5:$D$549,MATCH(A337,Clientes!$C$5:$C$549,0))&lt;&gt;"",INDEX(Clientes!$D$5:$D$549,MATCH(A337,Clientes!$C$5:$C$549,0)),TRIM(INDEX(Clientes!$E$5:$E$549,MATCH(A337,Clientes!$C$5:$C$549,0))&amp;" "&amp;INDEX(Clientes!$F$5:$F$549,MATCH(A337,Clientes!$C$5:$C$549,0)))),"NO EXISTE en Clientes"))</f>
        <v/>
      </c>
      <c r="C337" s="17" t="n"/>
      <c r="D337" s="17" t="n"/>
      <c r="E337" s="17" t="n"/>
      <c r="F337" s="23" t="n"/>
      <c r="G337" s="23" t="n"/>
      <c r="H337" s="23" t="n"/>
      <c r="I337" s="17" t="n"/>
      <c r="J337" s="17" t="n"/>
      <c r="K337" s="17" t="n"/>
      <c r="L337" s="17">
        <f>IF(AND(A337="",C337=""),"",IF(A337="","FALTA doc. cliente",IF(B337="NO EXISTE en Clientes","CLIENTE no está en hoja Clientes",IF(C337="","FALTA nombre",IF(AND(K337="SI",COUNTIFS($A$5:$A$499,A337,$K$5:$K$499,"SI")&gt;1),"Más de un contacto principal para este cliente","OK")))))</f>
        <v/>
      </c>
      <c r="M337" s="28">
        <f>IF(L337&lt;&gt;"OK","","INSERT INTO cli_contacto (id_cliente, nombre, apellido_paterno, apellido_materno, telefono1, telefono2, telefono3, email, direccion, es_principal, estado) SELECT "&amp;"(SELECT id FROM cli_clientes WHERE numero_documento = '"&amp;SUBSTITUTE(TRIM(A337),"'","''")&amp;"' AND estado = 1 LIMIT 1)"&amp;", "&amp;IF(TRIM(C337&amp;"")="","NULL","'"&amp;SUBSTITUTE(TRIM(C337),"'","''")&amp;"'")&amp;", "&amp;IF(TRIM(D337&amp;"")="","NULL","'"&amp;SUBSTITUTE(TRIM(D337),"'","''")&amp;"'")&amp;", "&amp;IF(TRIM(E337&amp;"")="","NULL","'"&amp;SUBSTITUTE(TRIM(E337),"'","''")&amp;"'")&amp;", "&amp;IF(TRIM(F337&amp;"")="","NULL","'"&amp;SUBSTITUTE(TRIM(F337),"'","''")&amp;"'")&amp;", "&amp;IF(TRIM(G337&amp;"")="","NULL","'"&amp;SUBSTITUTE(TRIM(G337),"'","''")&amp;"'")&amp;", "&amp;IF(TRIM(H337&amp;"")="","NULL","'"&amp;SUBSTITUTE(TRIM(H337),"'","''")&amp;"'")&amp;", "&amp;IF(TRIM(I337&amp;"")="","NULL","'"&amp;SUBSTITUTE(TRIM(I337),"'","''")&amp;"'")&amp;", "&amp;IF(TRIM(J337&amp;"")="","NULL","'"&amp;SUBSTITUTE(TRIM(J337),"'","''")&amp;"'")&amp;", "&amp;IF(UPPER(TRIM(K337&amp;""))="SI","TRUE","FALSE")&amp;", 1"&amp;" WHERE NOT EXISTS (SELECT 1 FROM cli_contacto c WHERE c.id_cliente = "&amp;"(SELECT id FROM cli_clientes WHERE numero_documento = '"&amp;SUBSTITUTE(TRIM(A337),"'","''")&amp;"' AND estado = 1 LIMIT 1)"&amp;" AND upper(c.nombre) = upper("&amp;IF(TRIM(C337&amp;"")="","NULL","'"&amp;SUBSTITUTE(TRIM(C337),"'","''")&amp;"'")&amp;") AND coalesce(c.telefono1,'') = coalesce("&amp;IF(TRIM(F337&amp;"")="","NULL","'"&amp;SUBSTITUTE(TRIM(F337),"'","''")&amp;"'")&amp;",''));")</f>
        <v/>
      </c>
    </row>
    <row r="338" ht="15.75" customHeight="1" s="64">
      <c r="A338" s="23" t="n"/>
      <c r="B338" s="25">
        <f t="array" ref="B338">IF(A338="","",IFERROR(IF(INDEX(Clientes!$D$5:$D$549,MATCH(A338,Clientes!$C$5:$C$549,0))&lt;&gt;"",INDEX(Clientes!$D$5:$D$549,MATCH(A338,Clientes!$C$5:$C$549,0)),TRIM(INDEX(Clientes!$E$5:$E$549,MATCH(A338,Clientes!$C$5:$C$549,0))&amp;" "&amp;INDEX(Clientes!$F$5:$F$549,MATCH(A338,Clientes!$C$5:$C$549,0)))),"NO EXISTE en Clientes"))</f>
        <v/>
      </c>
      <c r="C338" s="17" t="n"/>
      <c r="D338" s="17" t="n"/>
      <c r="E338" s="17" t="n"/>
      <c r="F338" s="23" t="n"/>
      <c r="G338" s="23" t="n"/>
      <c r="H338" s="23" t="n"/>
      <c r="I338" s="17" t="n"/>
      <c r="J338" s="17" t="n"/>
      <c r="K338" s="17" t="n"/>
      <c r="L338" s="17">
        <f>IF(AND(A338="",C338=""),"",IF(A338="","FALTA doc. cliente",IF(B338="NO EXISTE en Clientes","CLIENTE no está en hoja Clientes",IF(C338="","FALTA nombre",IF(AND(K338="SI",COUNTIFS($A$5:$A$499,A338,$K$5:$K$499,"SI")&gt;1),"Más de un contacto principal para este cliente","OK")))))</f>
        <v/>
      </c>
      <c r="M338" s="28">
        <f>IF(L338&lt;&gt;"OK","","INSERT INTO cli_contacto (id_cliente, nombre, apellido_paterno, apellido_materno, telefono1, telefono2, telefono3, email, direccion, es_principal, estado) SELECT "&amp;"(SELECT id FROM cli_clientes WHERE numero_documento = '"&amp;SUBSTITUTE(TRIM(A338),"'","''")&amp;"' AND estado = 1 LIMIT 1)"&amp;", "&amp;IF(TRIM(C338&amp;"")="","NULL","'"&amp;SUBSTITUTE(TRIM(C338),"'","''")&amp;"'")&amp;", "&amp;IF(TRIM(D338&amp;"")="","NULL","'"&amp;SUBSTITUTE(TRIM(D338),"'","''")&amp;"'")&amp;", "&amp;IF(TRIM(E338&amp;"")="","NULL","'"&amp;SUBSTITUTE(TRIM(E338),"'","''")&amp;"'")&amp;", "&amp;IF(TRIM(F338&amp;"")="","NULL","'"&amp;SUBSTITUTE(TRIM(F338),"'","''")&amp;"'")&amp;", "&amp;IF(TRIM(G338&amp;"")="","NULL","'"&amp;SUBSTITUTE(TRIM(G338),"'","''")&amp;"'")&amp;", "&amp;IF(TRIM(H338&amp;"")="","NULL","'"&amp;SUBSTITUTE(TRIM(H338),"'","''")&amp;"'")&amp;", "&amp;IF(TRIM(I338&amp;"")="","NULL","'"&amp;SUBSTITUTE(TRIM(I338),"'","''")&amp;"'")&amp;", "&amp;IF(TRIM(J338&amp;"")="","NULL","'"&amp;SUBSTITUTE(TRIM(J338),"'","''")&amp;"'")&amp;", "&amp;IF(UPPER(TRIM(K338&amp;""))="SI","TRUE","FALSE")&amp;", 1"&amp;" WHERE NOT EXISTS (SELECT 1 FROM cli_contacto c WHERE c.id_cliente = "&amp;"(SELECT id FROM cli_clientes WHERE numero_documento = '"&amp;SUBSTITUTE(TRIM(A338),"'","''")&amp;"' AND estado = 1 LIMIT 1)"&amp;" AND upper(c.nombre) = upper("&amp;IF(TRIM(C338&amp;"")="","NULL","'"&amp;SUBSTITUTE(TRIM(C338),"'","''")&amp;"'")&amp;") AND coalesce(c.telefono1,'') = coalesce("&amp;IF(TRIM(F338&amp;"")="","NULL","'"&amp;SUBSTITUTE(TRIM(F338),"'","''")&amp;"'")&amp;",''));")</f>
        <v/>
      </c>
    </row>
    <row r="339" ht="15.75" customHeight="1" s="64">
      <c r="A339" s="23" t="n"/>
      <c r="B339" s="25">
        <f t="array" ref="B339">IF(A339="","",IFERROR(IF(INDEX(Clientes!$D$5:$D$549,MATCH(A339,Clientes!$C$5:$C$549,0))&lt;&gt;"",INDEX(Clientes!$D$5:$D$549,MATCH(A339,Clientes!$C$5:$C$549,0)),TRIM(INDEX(Clientes!$E$5:$E$549,MATCH(A339,Clientes!$C$5:$C$549,0))&amp;" "&amp;INDEX(Clientes!$F$5:$F$549,MATCH(A339,Clientes!$C$5:$C$549,0)))),"NO EXISTE en Clientes"))</f>
        <v/>
      </c>
      <c r="C339" s="17" t="n"/>
      <c r="D339" s="17" t="n"/>
      <c r="E339" s="17" t="n"/>
      <c r="F339" s="23" t="n"/>
      <c r="G339" s="23" t="n"/>
      <c r="H339" s="23" t="n"/>
      <c r="I339" s="17" t="n"/>
      <c r="J339" s="17" t="n"/>
      <c r="K339" s="17" t="n"/>
      <c r="L339" s="17">
        <f>IF(AND(A339="",C339=""),"",IF(A339="","FALTA doc. cliente",IF(B339="NO EXISTE en Clientes","CLIENTE no está en hoja Clientes",IF(C339="","FALTA nombre",IF(AND(K339="SI",COUNTIFS($A$5:$A$499,A339,$K$5:$K$499,"SI")&gt;1),"Más de un contacto principal para este cliente","OK")))))</f>
        <v/>
      </c>
      <c r="M339" s="28">
        <f>IF(L339&lt;&gt;"OK","","INSERT INTO cli_contacto (id_cliente, nombre, apellido_paterno, apellido_materno, telefono1, telefono2, telefono3, email, direccion, es_principal, estado) SELECT "&amp;"(SELECT id FROM cli_clientes WHERE numero_documento = '"&amp;SUBSTITUTE(TRIM(A339),"'","''")&amp;"' AND estado = 1 LIMIT 1)"&amp;", "&amp;IF(TRIM(C339&amp;"")="","NULL","'"&amp;SUBSTITUTE(TRIM(C339),"'","''")&amp;"'")&amp;", "&amp;IF(TRIM(D339&amp;"")="","NULL","'"&amp;SUBSTITUTE(TRIM(D339),"'","''")&amp;"'")&amp;", "&amp;IF(TRIM(E339&amp;"")="","NULL","'"&amp;SUBSTITUTE(TRIM(E339),"'","''")&amp;"'")&amp;", "&amp;IF(TRIM(F339&amp;"")="","NULL","'"&amp;SUBSTITUTE(TRIM(F339),"'","''")&amp;"'")&amp;", "&amp;IF(TRIM(G339&amp;"")="","NULL","'"&amp;SUBSTITUTE(TRIM(G339),"'","''")&amp;"'")&amp;", "&amp;IF(TRIM(H339&amp;"")="","NULL","'"&amp;SUBSTITUTE(TRIM(H339),"'","''")&amp;"'")&amp;", "&amp;IF(TRIM(I339&amp;"")="","NULL","'"&amp;SUBSTITUTE(TRIM(I339),"'","''")&amp;"'")&amp;", "&amp;IF(TRIM(J339&amp;"")="","NULL","'"&amp;SUBSTITUTE(TRIM(J339),"'","''")&amp;"'")&amp;", "&amp;IF(UPPER(TRIM(K339&amp;""))="SI","TRUE","FALSE")&amp;", 1"&amp;" WHERE NOT EXISTS (SELECT 1 FROM cli_contacto c WHERE c.id_cliente = "&amp;"(SELECT id FROM cli_clientes WHERE numero_documento = '"&amp;SUBSTITUTE(TRIM(A339),"'","''")&amp;"' AND estado = 1 LIMIT 1)"&amp;" AND upper(c.nombre) = upper("&amp;IF(TRIM(C339&amp;"")="","NULL","'"&amp;SUBSTITUTE(TRIM(C339),"'","''")&amp;"'")&amp;") AND coalesce(c.telefono1,'') = coalesce("&amp;IF(TRIM(F339&amp;"")="","NULL","'"&amp;SUBSTITUTE(TRIM(F339),"'","''")&amp;"'")&amp;",''));")</f>
        <v/>
      </c>
    </row>
    <row r="340" ht="15.75" customHeight="1" s="64">
      <c r="A340" s="23" t="n"/>
      <c r="B340" s="25">
        <f t="array" ref="B340">IF(A340="","",IFERROR(IF(INDEX(Clientes!$D$5:$D$549,MATCH(A340,Clientes!$C$5:$C$549,0))&lt;&gt;"",INDEX(Clientes!$D$5:$D$549,MATCH(A340,Clientes!$C$5:$C$549,0)),TRIM(INDEX(Clientes!$E$5:$E$549,MATCH(A340,Clientes!$C$5:$C$549,0))&amp;" "&amp;INDEX(Clientes!$F$5:$F$549,MATCH(A340,Clientes!$C$5:$C$549,0)))),"NO EXISTE en Clientes"))</f>
        <v/>
      </c>
      <c r="C340" s="17" t="n"/>
      <c r="D340" s="17" t="n"/>
      <c r="E340" s="17" t="n"/>
      <c r="F340" s="23" t="n"/>
      <c r="G340" s="23" t="n"/>
      <c r="H340" s="23" t="n"/>
      <c r="I340" s="17" t="n"/>
      <c r="J340" s="17" t="n"/>
      <c r="K340" s="17" t="n"/>
      <c r="L340" s="17">
        <f>IF(AND(A340="",C340=""),"",IF(A340="","FALTA doc. cliente",IF(B340="NO EXISTE en Clientes","CLIENTE no está en hoja Clientes",IF(C340="","FALTA nombre",IF(AND(K340="SI",COUNTIFS($A$5:$A$499,A340,$K$5:$K$499,"SI")&gt;1),"Más de un contacto principal para este cliente","OK")))))</f>
        <v/>
      </c>
      <c r="M340" s="28">
        <f>IF(L340&lt;&gt;"OK","","INSERT INTO cli_contacto (id_cliente, nombre, apellido_paterno, apellido_materno, telefono1, telefono2, telefono3, email, direccion, es_principal, estado) SELECT "&amp;"(SELECT id FROM cli_clientes WHERE numero_documento = '"&amp;SUBSTITUTE(TRIM(A340),"'","''")&amp;"' AND estado = 1 LIMIT 1)"&amp;", "&amp;IF(TRIM(C340&amp;"")="","NULL","'"&amp;SUBSTITUTE(TRIM(C340),"'","''")&amp;"'")&amp;", "&amp;IF(TRIM(D340&amp;"")="","NULL","'"&amp;SUBSTITUTE(TRIM(D340),"'","''")&amp;"'")&amp;", "&amp;IF(TRIM(E340&amp;"")="","NULL","'"&amp;SUBSTITUTE(TRIM(E340),"'","''")&amp;"'")&amp;", "&amp;IF(TRIM(F340&amp;"")="","NULL","'"&amp;SUBSTITUTE(TRIM(F340),"'","''")&amp;"'")&amp;", "&amp;IF(TRIM(G340&amp;"")="","NULL","'"&amp;SUBSTITUTE(TRIM(G340),"'","''")&amp;"'")&amp;", "&amp;IF(TRIM(H340&amp;"")="","NULL","'"&amp;SUBSTITUTE(TRIM(H340),"'","''")&amp;"'")&amp;", "&amp;IF(TRIM(I340&amp;"")="","NULL","'"&amp;SUBSTITUTE(TRIM(I340),"'","''")&amp;"'")&amp;", "&amp;IF(TRIM(J340&amp;"")="","NULL","'"&amp;SUBSTITUTE(TRIM(J340),"'","''")&amp;"'")&amp;", "&amp;IF(UPPER(TRIM(K340&amp;""))="SI","TRUE","FALSE")&amp;", 1"&amp;" WHERE NOT EXISTS (SELECT 1 FROM cli_contacto c WHERE c.id_cliente = "&amp;"(SELECT id FROM cli_clientes WHERE numero_documento = '"&amp;SUBSTITUTE(TRIM(A340),"'","''")&amp;"' AND estado = 1 LIMIT 1)"&amp;" AND upper(c.nombre) = upper("&amp;IF(TRIM(C340&amp;"")="","NULL","'"&amp;SUBSTITUTE(TRIM(C340),"'","''")&amp;"'")&amp;") AND coalesce(c.telefono1,'') = coalesce("&amp;IF(TRIM(F340&amp;"")="","NULL","'"&amp;SUBSTITUTE(TRIM(F340),"'","''")&amp;"'")&amp;",''));")</f>
        <v/>
      </c>
    </row>
    <row r="341" ht="15.75" customHeight="1" s="64">
      <c r="A341" s="23" t="n"/>
      <c r="B341" s="25">
        <f t="array" ref="B341">IF(A341="","",IFERROR(IF(INDEX(Clientes!$D$5:$D$549,MATCH(A341,Clientes!$C$5:$C$549,0))&lt;&gt;"",INDEX(Clientes!$D$5:$D$549,MATCH(A341,Clientes!$C$5:$C$549,0)),TRIM(INDEX(Clientes!$E$5:$E$549,MATCH(A341,Clientes!$C$5:$C$549,0))&amp;" "&amp;INDEX(Clientes!$F$5:$F$549,MATCH(A341,Clientes!$C$5:$C$549,0)))),"NO EXISTE en Clientes"))</f>
        <v/>
      </c>
      <c r="C341" s="17" t="n"/>
      <c r="D341" s="17" t="n"/>
      <c r="E341" s="17" t="n"/>
      <c r="F341" s="23" t="n"/>
      <c r="G341" s="23" t="n"/>
      <c r="H341" s="23" t="n"/>
      <c r="I341" s="17" t="n"/>
      <c r="J341" s="17" t="n"/>
      <c r="K341" s="17" t="n"/>
      <c r="L341" s="17">
        <f>IF(AND(A341="",C341=""),"",IF(A341="","FALTA doc. cliente",IF(B341="NO EXISTE en Clientes","CLIENTE no está en hoja Clientes",IF(C341="","FALTA nombre",IF(AND(K341="SI",COUNTIFS($A$5:$A$499,A341,$K$5:$K$499,"SI")&gt;1),"Más de un contacto principal para este cliente","OK")))))</f>
        <v/>
      </c>
      <c r="M341" s="28">
        <f>IF(L341&lt;&gt;"OK","","INSERT INTO cli_contacto (id_cliente, nombre, apellido_paterno, apellido_materno, telefono1, telefono2, telefono3, email, direccion, es_principal, estado) SELECT "&amp;"(SELECT id FROM cli_clientes WHERE numero_documento = '"&amp;SUBSTITUTE(TRIM(A341),"'","''")&amp;"' AND estado = 1 LIMIT 1)"&amp;", "&amp;IF(TRIM(C341&amp;"")="","NULL","'"&amp;SUBSTITUTE(TRIM(C341),"'","''")&amp;"'")&amp;", "&amp;IF(TRIM(D341&amp;"")="","NULL","'"&amp;SUBSTITUTE(TRIM(D341),"'","''")&amp;"'")&amp;", "&amp;IF(TRIM(E341&amp;"")="","NULL","'"&amp;SUBSTITUTE(TRIM(E341),"'","''")&amp;"'")&amp;", "&amp;IF(TRIM(F341&amp;"")="","NULL","'"&amp;SUBSTITUTE(TRIM(F341),"'","''")&amp;"'")&amp;", "&amp;IF(TRIM(G341&amp;"")="","NULL","'"&amp;SUBSTITUTE(TRIM(G341),"'","''")&amp;"'")&amp;", "&amp;IF(TRIM(H341&amp;"")="","NULL","'"&amp;SUBSTITUTE(TRIM(H341),"'","''")&amp;"'")&amp;", "&amp;IF(TRIM(I341&amp;"")="","NULL","'"&amp;SUBSTITUTE(TRIM(I341),"'","''")&amp;"'")&amp;", "&amp;IF(TRIM(J341&amp;"")="","NULL","'"&amp;SUBSTITUTE(TRIM(J341),"'","''")&amp;"'")&amp;", "&amp;IF(UPPER(TRIM(K341&amp;""))="SI","TRUE","FALSE")&amp;", 1"&amp;" WHERE NOT EXISTS (SELECT 1 FROM cli_contacto c WHERE c.id_cliente = "&amp;"(SELECT id FROM cli_clientes WHERE numero_documento = '"&amp;SUBSTITUTE(TRIM(A341),"'","''")&amp;"' AND estado = 1 LIMIT 1)"&amp;" AND upper(c.nombre) = upper("&amp;IF(TRIM(C341&amp;"")="","NULL","'"&amp;SUBSTITUTE(TRIM(C341),"'","''")&amp;"'")&amp;") AND coalesce(c.telefono1,'') = coalesce("&amp;IF(TRIM(F341&amp;"")="","NULL","'"&amp;SUBSTITUTE(TRIM(F341),"'","''")&amp;"'")&amp;",''));")</f>
        <v/>
      </c>
    </row>
    <row r="342" ht="15.75" customHeight="1" s="64">
      <c r="A342" s="23" t="n"/>
      <c r="B342" s="25">
        <f t="array" ref="B342">IF(A342="","",IFERROR(IF(INDEX(Clientes!$D$5:$D$549,MATCH(A342,Clientes!$C$5:$C$549,0))&lt;&gt;"",INDEX(Clientes!$D$5:$D$549,MATCH(A342,Clientes!$C$5:$C$549,0)),TRIM(INDEX(Clientes!$E$5:$E$549,MATCH(A342,Clientes!$C$5:$C$549,0))&amp;" "&amp;INDEX(Clientes!$F$5:$F$549,MATCH(A342,Clientes!$C$5:$C$549,0)))),"NO EXISTE en Clientes"))</f>
        <v/>
      </c>
      <c r="C342" s="17" t="n"/>
      <c r="D342" s="17" t="n"/>
      <c r="E342" s="17" t="n"/>
      <c r="F342" s="23" t="n"/>
      <c r="G342" s="23" t="n"/>
      <c r="H342" s="23" t="n"/>
      <c r="I342" s="17" t="n"/>
      <c r="J342" s="17" t="n"/>
      <c r="K342" s="17" t="n"/>
      <c r="L342" s="17">
        <f>IF(AND(A342="",C342=""),"",IF(A342="","FALTA doc. cliente",IF(B342="NO EXISTE en Clientes","CLIENTE no está en hoja Clientes",IF(C342="","FALTA nombre",IF(AND(K342="SI",COUNTIFS($A$5:$A$499,A342,$K$5:$K$499,"SI")&gt;1),"Más de un contacto principal para este cliente","OK")))))</f>
        <v/>
      </c>
      <c r="M342" s="28">
        <f>IF(L342&lt;&gt;"OK","","INSERT INTO cli_contacto (id_cliente, nombre, apellido_paterno, apellido_materno, telefono1, telefono2, telefono3, email, direccion, es_principal, estado) SELECT "&amp;"(SELECT id FROM cli_clientes WHERE numero_documento = '"&amp;SUBSTITUTE(TRIM(A342),"'","''")&amp;"' AND estado = 1 LIMIT 1)"&amp;", "&amp;IF(TRIM(C342&amp;"")="","NULL","'"&amp;SUBSTITUTE(TRIM(C342),"'","''")&amp;"'")&amp;", "&amp;IF(TRIM(D342&amp;"")="","NULL","'"&amp;SUBSTITUTE(TRIM(D342),"'","''")&amp;"'")&amp;", "&amp;IF(TRIM(E342&amp;"")="","NULL","'"&amp;SUBSTITUTE(TRIM(E342),"'","''")&amp;"'")&amp;", "&amp;IF(TRIM(F342&amp;"")="","NULL","'"&amp;SUBSTITUTE(TRIM(F342),"'","''")&amp;"'")&amp;", "&amp;IF(TRIM(G342&amp;"")="","NULL","'"&amp;SUBSTITUTE(TRIM(G342),"'","''")&amp;"'")&amp;", "&amp;IF(TRIM(H342&amp;"")="","NULL","'"&amp;SUBSTITUTE(TRIM(H342),"'","''")&amp;"'")&amp;", "&amp;IF(TRIM(I342&amp;"")="","NULL","'"&amp;SUBSTITUTE(TRIM(I342),"'","''")&amp;"'")&amp;", "&amp;IF(TRIM(J342&amp;"")="","NULL","'"&amp;SUBSTITUTE(TRIM(J342),"'","''")&amp;"'")&amp;", "&amp;IF(UPPER(TRIM(K342&amp;""))="SI","TRUE","FALSE")&amp;", 1"&amp;" WHERE NOT EXISTS (SELECT 1 FROM cli_contacto c WHERE c.id_cliente = "&amp;"(SELECT id FROM cli_clientes WHERE numero_documento = '"&amp;SUBSTITUTE(TRIM(A342),"'","''")&amp;"' AND estado = 1 LIMIT 1)"&amp;" AND upper(c.nombre) = upper("&amp;IF(TRIM(C342&amp;"")="","NULL","'"&amp;SUBSTITUTE(TRIM(C342),"'","''")&amp;"'")&amp;") AND coalesce(c.telefono1,'') = coalesce("&amp;IF(TRIM(F342&amp;"")="","NULL","'"&amp;SUBSTITUTE(TRIM(F342),"'","''")&amp;"'")&amp;",''));")</f>
        <v/>
      </c>
    </row>
    <row r="343" ht="15.75" customHeight="1" s="64">
      <c r="A343" s="23" t="n"/>
      <c r="B343" s="25">
        <f t="array" ref="B343">IF(A343="","",IFERROR(IF(INDEX(Clientes!$D$5:$D$549,MATCH(A343,Clientes!$C$5:$C$549,0))&lt;&gt;"",INDEX(Clientes!$D$5:$D$549,MATCH(A343,Clientes!$C$5:$C$549,0)),TRIM(INDEX(Clientes!$E$5:$E$549,MATCH(A343,Clientes!$C$5:$C$549,0))&amp;" "&amp;INDEX(Clientes!$F$5:$F$549,MATCH(A343,Clientes!$C$5:$C$549,0)))),"NO EXISTE en Clientes"))</f>
        <v/>
      </c>
      <c r="C343" s="17" t="n"/>
      <c r="D343" s="17" t="n"/>
      <c r="E343" s="17" t="n"/>
      <c r="F343" s="23" t="n"/>
      <c r="G343" s="23" t="n"/>
      <c r="H343" s="23" t="n"/>
      <c r="I343" s="17" t="n"/>
      <c r="J343" s="17" t="n"/>
      <c r="K343" s="17" t="n"/>
      <c r="L343" s="17">
        <f>IF(AND(A343="",C343=""),"",IF(A343="","FALTA doc. cliente",IF(B343="NO EXISTE en Clientes","CLIENTE no está en hoja Clientes",IF(C343="","FALTA nombre",IF(AND(K343="SI",COUNTIFS($A$5:$A$499,A343,$K$5:$K$499,"SI")&gt;1),"Más de un contacto principal para este cliente","OK")))))</f>
        <v/>
      </c>
      <c r="M343" s="28">
        <f>IF(L343&lt;&gt;"OK","","INSERT INTO cli_contacto (id_cliente, nombre, apellido_paterno, apellido_materno, telefono1, telefono2, telefono3, email, direccion, es_principal, estado) SELECT "&amp;"(SELECT id FROM cli_clientes WHERE numero_documento = '"&amp;SUBSTITUTE(TRIM(A343),"'","''")&amp;"' AND estado = 1 LIMIT 1)"&amp;", "&amp;IF(TRIM(C343&amp;"")="","NULL","'"&amp;SUBSTITUTE(TRIM(C343),"'","''")&amp;"'")&amp;", "&amp;IF(TRIM(D343&amp;"")="","NULL","'"&amp;SUBSTITUTE(TRIM(D343),"'","''")&amp;"'")&amp;", "&amp;IF(TRIM(E343&amp;"")="","NULL","'"&amp;SUBSTITUTE(TRIM(E343),"'","''")&amp;"'")&amp;", "&amp;IF(TRIM(F343&amp;"")="","NULL","'"&amp;SUBSTITUTE(TRIM(F343),"'","''")&amp;"'")&amp;", "&amp;IF(TRIM(G343&amp;"")="","NULL","'"&amp;SUBSTITUTE(TRIM(G343),"'","''")&amp;"'")&amp;", "&amp;IF(TRIM(H343&amp;"")="","NULL","'"&amp;SUBSTITUTE(TRIM(H343),"'","''")&amp;"'")&amp;", "&amp;IF(TRIM(I343&amp;"")="","NULL","'"&amp;SUBSTITUTE(TRIM(I343),"'","''")&amp;"'")&amp;", "&amp;IF(TRIM(J343&amp;"")="","NULL","'"&amp;SUBSTITUTE(TRIM(J343),"'","''")&amp;"'")&amp;", "&amp;IF(UPPER(TRIM(K343&amp;""))="SI","TRUE","FALSE")&amp;", 1"&amp;" WHERE NOT EXISTS (SELECT 1 FROM cli_contacto c WHERE c.id_cliente = "&amp;"(SELECT id FROM cli_clientes WHERE numero_documento = '"&amp;SUBSTITUTE(TRIM(A343),"'","''")&amp;"' AND estado = 1 LIMIT 1)"&amp;" AND upper(c.nombre) = upper("&amp;IF(TRIM(C343&amp;"")="","NULL","'"&amp;SUBSTITUTE(TRIM(C343),"'","''")&amp;"'")&amp;") AND coalesce(c.telefono1,'') = coalesce("&amp;IF(TRIM(F343&amp;"")="","NULL","'"&amp;SUBSTITUTE(TRIM(F343),"'","''")&amp;"'")&amp;",''));")</f>
        <v/>
      </c>
    </row>
    <row r="344" ht="15.75" customHeight="1" s="64">
      <c r="A344" s="23" t="n"/>
      <c r="B344" s="25">
        <f t="array" ref="B344">IF(A344="","",IFERROR(IF(INDEX(Clientes!$D$5:$D$549,MATCH(A344,Clientes!$C$5:$C$549,0))&lt;&gt;"",INDEX(Clientes!$D$5:$D$549,MATCH(A344,Clientes!$C$5:$C$549,0)),TRIM(INDEX(Clientes!$E$5:$E$549,MATCH(A344,Clientes!$C$5:$C$549,0))&amp;" "&amp;INDEX(Clientes!$F$5:$F$549,MATCH(A344,Clientes!$C$5:$C$549,0)))),"NO EXISTE en Clientes"))</f>
        <v/>
      </c>
      <c r="C344" s="17" t="n"/>
      <c r="D344" s="17" t="n"/>
      <c r="E344" s="17" t="n"/>
      <c r="F344" s="23" t="n"/>
      <c r="G344" s="23" t="n"/>
      <c r="H344" s="23" t="n"/>
      <c r="I344" s="17" t="n"/>
      <c r="J344" s="17" t="n"/>
      <c r="K344" s="17" t="n"/>
      <c r="L344" s="17">
        <f>IF(AND(A344="",C344=""),"",IF(A344="","FALTA doc. cliente",IF(B344="NO EXISTE en Clientes","CLIENTE no está en hoja Clientes",IF(C344="","FALTA nombre",IF(AND(K344="SI",COUNTIFS($A$5:$A$499,A344,$K$5:$K$499,"SI")&gt;1),"Más de un contacto principal para este cliente","OK")))))</f>
        <v/>
      </c>
      <c r="M344" s="28">
        <f>IF(L344&lt;&gt;"OK","","INSERT INTO cli_contacto (id_cliente, nombre, apellido_paterno, apellido_materno, telefono1, telefono2, telefono3, email, direccion, es_principal, estado) SELECT "&amp;"(SELECT id FROM cli_clientes WHERE numero_documento = '"&amp;SUBSTITUTE(TRIM(A344),"'","''")&amp;"' AND estado = 1 LIMIT 1)"&amp;", "&amp;IF(TRIM(C344&amp;"")="","NULL","'"&amp;SUBSTITUTE(TRIM(C344),"'","''")&amp;"'")&amp;", "&amp;IF(TRIM(D344&amp;"")="","NULL","'"&amp;SUBSTITUTE(TRIM(D344),"'","''")&amp;"'")&amp;", "&amp;IF(TRIM(E344&amp;"")="","NULL","'"&amp;SUBSTITUTE(TRIM(E344),"'","''")&amp;"'")&amp;", "&amp;IF(TRIM(F344&amp;"")="","NULL","'"&amp;SUBSTITUTE(TRIM(F344),"'","''")&amp;"'")&amp;", "&amp;IF(TRIM(G344&amp;"")="","NULL","'"&amp;SUBSTITUTE(TRIM(G344),"'","''")&amp;"'")&amp;", "&amp;IF(TRIM(H344&amp;"")="","NULL","'"&amp;SUBSTITUTE(TRIM(H344),"'","''")&amp;"'")&amp;", "&amp;IF(TRIM(I344&amp;"")="","NULL","'"&amp;SUBSTITUTE(TRIM(I344),"'","''")&amp;"'")&amp;", "&amp;IF(TRIM(J344&amp;"")="","NULL","'"&amp;SUBSTITUTE(TRIM(J344),"'","''")&amp;"'")&amp;", "&amp;IF(UPPER(TRIM(K344&amp;""))="SI","TRUE","FALSE")&amp;", 1"&amp;" WHERE NOT EXISTS (SELECT 1 FROM cli_contacto c WHERE c.id_cliente = "&amp;"(SELECT id FROM cli_clientes WHERE numero_documento = '"&amp;SUBSTITUTE(TRIM(A344),"'","''")&amp;"' AND estado = 1 LIMIT 1)"&amp;" AND upper(c.nombre) = upper("&amp;IF(TRIM(C344&amp;"")="","NULL","'"&amp;SUBSTITUTE(TRIM(C344),"'","''")&amp;"'")&amp;") AND coalesce(c.telefono1,'') = coalesce("&amp;IF(TRIM(F344&amp;"")="","NULL","'"&amp;SUBSTITUTE(TRIM(F344),"'","''")&amp;"'")&amp;",''));")</f>
        <v/>
      </c>
    </row>
    <row r="345" ht="15.75" customHeight="1" s="64">
      <c r="A345" s="23" t="n"/>
      <c r="B345" s="25">
        <f t="array" ref="B345">IF(A345="","",IFERROR(IF(INDEX(Clientes!$D$5:$D$549,MATCH(A345,Clientes!$C$5:$C$549,0))&lt;&gt;"",INDEX(Clientes!$D$5:$D$549,MATCH(A345,Clientes!$C$5:$C$549,0)),TRIM(INDEX(Clientes!$E$5:$E$549,MATCH(A345,Clientes!$C$5:$C$549,0))&amp;" "&amp;INDEX(Clientes!$F$5:$F$549,MATCH(A345,Clientes!$C$5:$C$549,0)))),"NO EXISTE en Clientes"))</f>
        <v/>
      </c>
      <c r="C345" s="17" t="n"/>
      <c r="D345" s="17" t="n"/>
      <c r="E345" s="17" t="n"/>
      <c r="F345" s="23" t="n"/>
      <c r="G345" s="23" t="n"/>
      <c r="H345" s="23" t="n"/>
      <c r="I345" s="17" t="n"/>
      <c r="J345" s="17" t="n"/>
      <c r="K345" s="17" t="n"/>
      <c r="L345" s="17">
        <f>IF(AND(A345="",C345=""),"",IF(A345="","FALTA doc. cliente",IF(B345="NO EXISTE en Clientes","CLIENTE no está en hoja Clientes",IF(C345="","FALTA nombre",IF(AND(K345="SI",COUNTIFS($A$5:$A$499,A345,$K$5:$K$499,"SI")&gt;1),"Más de un contacto principal para este cliente","OK")))))</f>
        <v/>
      </c>
      <c r="M345" s="28">
        <f>IF(L345&lt;&gt;"OK","","INSERT INTO cli_contacto (id_cliente, nombre, apellido_paterno, apellido_materno, telefono1, telefono2, telefono3, email, direccion, es_principal, estado) SELECT "&amp;"(SELECT id FROM cli_clientes WHERE numero_documento = '"&amp;SUBSTITUTE(TRIM(A345),"'","''")&amp;"' AND estado = 1 LIMIT 1)"&amp;", "&amp;IF(TRIM(C345&amp;"")="","NULL","'"&amp;SUBSTITUTE(TRIM(C345),"'","''")&amp;"'")&amp;", "&amp;IF(TRIM(D345&amp;"")="","NULL","'"&amp;SUBSTITUTE(TRIM(D345),"'","''")&amp;"'")&amp;", "&amp;IF(TRIM(E345&amp;"")="","NULL","'"&amp;SUBSTITUTE(TRIM(E345),"'","''")&amp;"'")&amp;", "&amp;IF(TRIM(F345&amp;"")="","NULL","'"&amp;SUBSTITUTE(TRIM(F345),"'","''")&amp;"'")&amp;", "&amp;IF(TRIM(G345&amp;"")="","NULL","'"&amp;SUBSTITUTE(TRIM(G345),"'","''")&amp;"'")&amp;", "&amp;IF(TRIM(H345&amp;"")="","NULL","'"&amp;SUBSTITUTE(TRIM(H345),"'","''")&amp;"'")&amp;", "&amp;IF(TRIM(I345&amp;"")="","NULL","'"&amp;SUBSTITUTE(TRIM(I345),"'","''")&amp;"'")&amp;", "&amp;IF(TRIM(J345&amp;"")="","NULL","'"&amp;SUBSTITUTE(TRIM(J345),"'","''")&amp;"'")&amp;", "&amp;IF(UPPER(TRIM(K345&amp;""))="SI","TRUE","FALSE")&amp;", 1"&amp;" WHERE NOT EXISTS (SELECT 1 FROM cli_contacto c WHERE c.id_cliente = "&amp;"(SELECT id FROM cli_clientes WHERE numero_documento = '"&amp;SUBSTITUTE(TRIM(A345),"'","''")&amp;"' AND estado = 1 LIMIT 1)"&amp;" AND upper(c.nombre) = upper("&amp;IF(TRIM(C345&amp;"")="","NULL","'"&amp;SUBSTITUTE(TRIM(C345),"'","''")&amp;"'")&amp;") AND coalesce(c.telefono1,'') = coalesce("&amp;IF(TRIM(F345&amp;"")="","NULL","'"&amp;SUBSTITUTE(TRIM(F345),"'","''")&amp;"'")&amp;",''));")</f>
        <v/>
      </c>
    </row>
    <row r="346" ht="15.75" customHeight="1" s="64">
      <c r="A346" s="23" t="n"/>
      <c r="B346" s="25">
        <f t="array" ref="B346">IF(A346="","",IFERROR(IF(INDEX(Clientes!$D$5:$D$549,MATCH(A346,Clientes!$C$5:$C$549,0))&lt;&gt;"",INDEX(Clientes!$D$5:$D$549,MATCH(A346,Clientes!$C$5:$C$549,0)),TRIM(INDEX(Clientes!$E$5:$E$549,MATCH(A346,Clientes!$C$5:$C$549,0))&amp;" "&amp;INDEX(Clientes!$F$5:$F$549,MATCH(A346,Clientes!$C$5:$C$549,0)))),"NO EXISTE en Clientes"))</f>
        <v/>
      </c>
      <c r="C346" s="17" t="n"/>
      <c r="D346" s="17" t="n"/>
      <c r="E346" s="17" t="n"/>
      <c r="F346" s="23" t="n"/>
      <c r="G346" s="23" t="n"/>
      <c r="H346" s="23" t="n"/>
      <c r="I346" s="17" t="n"/>
      <c r="J346" s="17" t="n"/>
      <c r="K346" s="17" t="n"/>
      <c r="L346" s="17">
        <f>IF(AND(A346="",C346=""),"",IF(A346="","FALTA doc. cliente",IF(B346="NO EXISTE en Clientes","CLIENTE no está en hoja Clientes",IF(C346="","FALTA nombre",IF(AND(K346="SI",COUNTIFS($A$5:$A$499,A346,$K$5:$K$499,"SI")&gt;1),"Más de un contacto principal para este cliente","OK")))))</f>
        <v/>
      </c>
      <c r="M346" s="28">
        <f>IF(L346&lt;&gt;"OK","","INSERT INTO cli_contacto (id_cliente, nombre, apellido_paterno, apellido_materno, telefono1, telefono2, telefono3, email, direccion, es_principal, estado) SELECT "&amp;"(SELECT id FROM cli_clientes WHERE numero_documento = '"&amp;SUBSTITUTE(TRIM(A346),"'","''")&amp;"' AND estado = 1 LIMIT 1)"&amp;", "&amp;IF(TRIM(C346&amp;"")="","NULL","'"&amp;SUBSTITUTE(TRIM(C346),"'","''")&amp;"'")&amp;", "&amp;IF(TRIM(D346&amp;"")="","NULL","'"&amp;SUBSTITUTE(TRIM(D346),"'","''")&amp;"'")&amp;", "&amp;IF(TRIM(E346&amp;"")="","NULL","'"&amp;SUBSTITUTE(TRIM(E346),"'","''")&amp;"'")&amp;", "&amp;IF(TRIM(F346&amp;"")="","NULL","'"&amp;SUBSTITUTE(TRIM(F346),"'","''")&amp;"'")&amp;", "&amp;IF(TRIM(G346&amp;"")="","NULL","'"&amp;SUBSTITUTE(TRIM(G346),"'","''")&amp;"'")&amp;", "&amp;IF(TRIM(H346&amp;"")="","NULL","'"&amp;SUBSTITUTE(TRIM(H346),"'","''")&amp;"'")&amp;", "&amp;IF(TRIM(I346&amp;"")="","NULL","'"&amp;SUBSTITUTE(TRIM(I346),"'","''")&amp;"'")&amp;", "&amp;IF(TRIM(J346&amp;"")="","NULL","'"&amp;SUBSTITUTE(TRIM(J346),"'","''")&amp;"'")&amp;", "&amp;IF(UPPER(TRIM(K346&amp;""))="SI","TRUE","FALSE")&amp;", 1"&amp;" WHERE NOT EXISTS (SELECT 1 FROM cli_contacto c WHERE c.id_cliente = "&amp;"(SELECT id FROM cli_clientes WHERE numero_documento = '"&amp;SUBSTITUTE(TRIM(A346),"'","''")&amp;"' AND estado = 1 LIMIT 1)"&amp;" AND upper(c.nombre) = upper("&amp;IF(TRIM(C346&amp;"")="","NULL","'"&amp;SUBSTITUTE(TRIM(C346),"'","''")&amp;"'")&amp;") AND coalesce(c.telefono1,'') = coalesce("&amp;IF(TRIM(F346&amp;"")="","NULL","'"&amp;SUBSTITUTE(TRIM(F346),"'","''")&amp;"'")&amp;",''));")</f>
        <v/>
      </c>
    </row>
    <row r="347" ht="15.75" customHeight="1" s="64">
      <c r="A347" s="23" t="n"/>
      <c r="B347" s="25">
        <f t="array" ref="B347">IF(A347="","",IFERROR(IF(INDEX(Clientes!$D$5:$D$549,MATCH(A347,Clientes!$C$5:$C$549,0))&lt;&gt;"",INDEX(Clientes!$D$5:$D$549,MATCH(A347,Clientes!$C$5:$C$549,0)),TRIM(INDEX(Clientes!$E$5:$E$549,MATCH(A347,Clientes!$C$5:$C$549,0))&amp;" "&amp;INDEX(Clientes!$F$5:$F$549,MATCH(A347,Clientes!$C$5:$C$549,0)))),"NO EXISTE en Clientes"))</f>
        <v/>
      </c>
      <c r="C347" s="17" t="n"/>
      <c r="D347" s="17" t="n"/>
      <c r="E347" s="17" t="n"/>
      <c r="F347" s="23" t="n"/>
      <c r="G347" s="23" t="n"/>
      <c r="H347" s="23" t="n"/>
      <c r="I347" s="17" t="n"/>
      <c r="J347" s="17" t="n"/>
      <c r="K347" s="17" t="n"/>
      <c r="L347" s="17">
        <f>IF(AND(A347="",C347=""),"",IF(A347="","FALTA doc. cliente",IF(B347="NO EXISTE en Clientes","CLIENTE no está en hoja Clientes",IF(C347="","FALTA nombre",IF(AND(K347="SI",COUNTIFS($A$5:$A$499,A347,$K$5:$K$499,"SI")&gt;1),"Más de un contacto principal para este cliente","OK")))))</f>
        <v/>
      </c>
      <c r="M347" s="28">
        <f>IF(L347&lt;&gt;"OK","","INSERT INTO cli_contacto (id_cliente, nombre, apellido_paterno, apellido_materno, telefono1, telefono2, telefono3, email, direccion, es_principal, estado) SELECT "&amp;"(SELECT id FROM cli_clientes WHERE numero_documento = '"&amp;SUBSTITUTE(TRIM(A347),"'","''")&amp;"' AND estado = 1 LIMIT 1)"&amp;", "&amp;IF(TRIM(C347&amp;"")="","NULL","'"&amp;SUBSTITUTE(TRIM(C347),"'","''")&amp;"'")&amp;", "&amp;IF(TRIM(D347&amp;"")="","NULL","'"&amp;SUBSTITUTE(TRIM(D347),"'","''")&amp;"'")&amp;", "&amp;IF(TRIM(E347&amp;"")="","NULL","'"&amp;SUBSTITUTE(TRIM(E347),"'","''")&amp;"'")&amp;", "&amp;IF(TRIM(F347&amp;"")="","NULL","'"&amp;SUBSTITUTE(TRIM(F347),"'","''")&amp;"'")&amp;", "&amp;IF(TRIM(G347&amp;"")="","NULL","'"&amp;SUBSTITUTE(TRIM(G347),"'","''")&amp;"'")&amp;", "&amp;IF(TRIM(H347&amp;"")="","NULL","'"&amp;SUBSTITUTE(TRIM(H347),"'","''")&amp;"'")&amp;", "&amp;IF(TRIM(I347&amp;"")="","NULL","'"&amp;SUBSTITUTE(TRIM(I347),"'","''")&amp;"'")&amp;", "&amp;IF(TRIM(J347&amp;"")="","NULL","'"&amp;SUBSTITUTE(TRIM(J347),"'","''")&amp;"'")&amp;", "&amp;IF(UPPER(TRIM(K347&amp;""))="SI","TRUE","FALSE")&amp;", 1"&amp;" WHERE NOT EXISTS (SELECT 1 FROM cli_contacto c WHERE c.id_cliente = "&amp;"(SELECT id FROM cli_clientes WHERE numero_documento = '"&amp;SUBSTITUTE(TRIM(A347),"'","''")&amp;"' AND estado = 1 LIMIT 1)"&amp;" AND upper(c.nombre) = upper("&amp;IF(TRIM(C347&amp;"")="","NULL","'"&amp;SUBSTITUTE(TRIM(C347),"'","''")&amp;"'")&amp;") AND coalesce(c.telefono1,'') = coalesce("&amp;IF(TRIM(F347&amp;"")="","NULL","'"&amp;SUBSTITUTE(TRIM(F347),"'","''")&amp;"'")&amp;",''));")</f>
        <v/>
      </c>
    </row>
    <row r="348" ht="15.75" customHeight="1" s="64">
      <c r="A348" s="23" t="n"/>
      <c r="B348" s="25">
        <f t="array" ref="B348">IF(A348="","",IFERROR(IF(INDEX(Clientes!$D$5:$D$549,MATCH(A348,Clientes!$C$5:$C$549,0))&lt;&gt;"",INDEX(Clientes!$D$5:$D$549,MATCH(A348,Clientes!$C$5:$C$549,0)),TRIM(INDEX(Clientes!$E$5:$E$549,MATCH(A348,Clientes!$C$5:$C$549,0))&amp;" "&amp;INDEX(Clientes!$F$5:$F$549,MATCH(A348,Clientes!$C$5:$C$549,0)))),"NO EXISTE en Clientes"))</f>
        <v/>
      </c>
      <c r="C348" s="17" t="n"/>
      <c r="D348" s="17" t="n"/>
      <c r="E348" s="17" t="n"/>
      <c r="F348" s="23" t="n"/>
      <c r="G348" s="23" t="n"/>
      <c r="H348" s="23" t="n"/>
      <c r="I348" s="17" t="n"/>
      <c r="J348" s="17" t="n"/>
      <c r="K348" s="17" t="n"/>
      <c r="L348" s="17">
        <f>IF(AND(A348="",C348=""),"",IF(A348="","FALTA doc. cliente",IF(B348="NO EXISTE en Clientes","CLIENTE no está en hoja Clientes",IF(C348="","FALTA nombre",IF(AND(K348="SI",COUNTIFS($A$5:$A$499,A348,$K$5:$K$499,"SI")&gt;1),"Más de un contacto principal para este cliente","OK")))))</f>
        <v/>
      </c>
      <c r="M348" s="28">
        <f>IF(L348&lt;&gt;"OK","","INSERT INTO cli_contacto (id_cliente, nombre, apellido_paterno, apellido_materno, telefono1, telefono2, telefono3, email, direccion, es_principal, estado) SELECT "&amp;"(SELECT id FROM cli_clientes WHERE numero_documento = '"&amp;SUBSTITUTE(TRIM(A348),"'","''")&amp;"' AND estado = 1 LIMIT 1)"&amp;", "&amp;IF(TRIM(C348&amp;"")="","NULL","'"&amp;SUBSTITUTE(TRIM(C348),"'","''")&amp;"'")&amp;", "&amp;IF(TRIM(D348&amp;"")="","NULL","'"&amp;SUBSTITUTE(TRIM(D348),"'","''")&amp;"'")&amp;", "&amp;IF(TRIM(E348&amp;"")="","NULL","'"&amp;SUBSTITUTE(TRIM(E348),"'","''")&amp;"'")&amp;", "&amp;IF(TRIM(F348&amp;"")="","NULL","'"&amp;SUBSTITUTE(TRIM(F348),"'","''")&amp;"'")&amp;", "&amp;IF(TRIM(G348&amp;"")="","NULL","'"&amp;SUBSTITUTE(TRIM(G348),"'","''")&amp;"'")&amp;", "&amp;IF(TRIM(H348&amp;"")="","NULL","'"&amp;SUBSTITUTE(TRIM(H348),"'","''")&amp;"'")&amp;", "&amp;IF(TRIM(I348&amp;"")="","NULL","'"&amp;SUBSTITUTE(TRIM(I348),"'","''")&amp;"'")&amp;", "&amp;IF(TRIM(J348&amp;"")="","NULL","'"&amp;SUBSTITUTE(TRIM(J348),"'","''")&amp;"'")&amp;", "&amp;IF(UPPER(TRIM(K348&amp;""))="SI","TRUE","FALSE")&amp;", 1"&amp;" WHERE NOT EXISTS (SELECT 1 FROM cli_contacto c WHERE c.id_cliente = "&amp;"(SELECT id FROM cli_clientes WHERE numero_documento = '"&amp;SUBSTITUTE(TRIM(A348),"'","''")&amp;"' AND estado = 1 LIMIT 1)"&amp;" AND upper(c.nombre) = upper("&amp;IF(TRIM(C348&amp;"")="","NULL","'"&amp;SUBSTITUTE(TRIM(C348),"'","''")&amp;"'")&amp;") AND coalesce(c.telefono1,'') = coalesce("&amp;IF(TRIM(F348&amp;"")="","NULL","'"&amp;SUBSTITUTE(TRIM(F348),"'","''")&amp;"'")&amp;",''));")</f>
        <v/>
      </c>
    </row>
    <row r="349" ht="15.75" customHeight="1" s="64">
      <c r="A349" s="23" t="n"/>
      <c r="B349" s="25">
        <f t="array" ref="B349">IF(A349="","",IFERROR(IF(INDEX(Clientes!$D$5:$D$549,MATCH(A349,Clientes!$C$5:$C$549,0))&lt;&gt;"",INDEX(Clientes!$D$5:$D$549,MATCH(A349,Clientes!$C$5:$C$549,0)),TRIM(INDEX(Clientes!$E$5:$E$549,MATCH(A349,Clientes!$C$5:$C$549,0))&amp;" "&amp;INDEX(Clientes!$F$5:$F$549,MATCH(A349,Clientes!$C$5:$C$549,0)))),"NO EXISTE en Clientes"))</f>
        <v/>
      </c>
      <c r="C349" s="17" t="n"/>
      <c r="D349" s="17" t="n"/>
      <c r="E349" s="17" t="n"/>
      <c r="F349" s="23" t="n"/>
      <c r="G349" s="23" t="n"/>
      <c r="H349" s="23" t="n"/>
      <c r="I349" s="17" t="n"/>
      <c r="J349" s="17" t="n"/>
      <c r="K349" s="17" t="n"/>
      <c r="L349" s="17">
        <f>IF(AND(A349="",C349=""),"",IF(A349="","FALTA doc. cliente",IF(B349="NO EXISTE en Clientes","CLIENTE no está en hoja Clientes",IF(C349="","FALTA nombre",IF(AND(K349="SI",COUNTIFS($A$5:$A$499,A349,$K$5:$K$499,"SI")&gt;1),"Más de un contacto principal para este cliente","OK")))))</f>
        <v/>
      </c>
      <c r="M349" s="28">
        <f>IF(L349&lt;&gt;"OK","","INSERT INTO cli_contacto (id_cliente, nombre, apellido_paterno, apellido_materno, telefono1, telefono2, telefono3, email, direccion, es_principal, estado) SELECT "&amp;"(SELECT id FROM cli_clientes WHERE numero_documento = '"&amp;SUBSTITUTE(TRIM(A349),"'","''")&amp;"' AND estado = 1 LIMIT 1)"&amp;", "&amp;IF(TRIM(C349&amp;"")="","NULL","'"&amp;SUBSTITUTE(TRIM(C349),"'","''")&amp;"'")&amp;", "&amp;IF(TRIM(D349&amp;"")="","NULL","'"&amp;SUBSTITUTE(TRIM(D349),"'","''")&amp;"'")&amp;", "&amp;IF(TRIM(E349&amp;"")="","NULL","'"&amp;SUBSTITUTE(TRIM(E349),"'","''")&amp;"'")&amp;", "&amp;IF(TRIM(F349&amp;"")="","NULL","'"&amp;SUBSTITUTE(TRIM(F349),"'","''")&amp;"'")&amp;", "&amp;IF(TRIM(G349&amp;"")="","NULL","'"&amp;SUBSTITUTE(TRIM(G349),"'","''")&amp;"'")&amp;", "&amp;IF(TRIM(H349&amp;"")="","NULL","'"&amp;SUBSTITUTE(TRIM(H349),"'","''")&amp;"'")&amp;", "&amp;IF(TRIM(I349&amp;"")="","NULL","'"&amp;SUBSTITUTE(TRIM(I349),"'","''")&amp;"'")&amp;", "&amp;IF(TRIM(J349&amp;"")="","NULL","'"&amp;SUBSTITUTE(TRIM(J349),"'","''")&amp;"'")&amp;", "&amp;IF(UPPER(TRIM(K349&amp;""))="SI","TRUE","FALSE")&amp;", 1"&amp;" WHERE NOT EXISTS (SELECT 1 FROM cli_contacto c WHERE c.id_cliente = "&amp;"(SELECT id FROM cli_clientes WHERE numero_documento = '"&amp;SUBSTITUTE(TRIM(A349),"'","''")&amp;"' AND estado = 1 LIMIT 1)"&amp;" AND upper(c.nombre) = upper("&amp;IF(TRIM(C349&amp;"")="","NULL","'"&amp;SUBSTITUTE(TRIM(C349),"'","''")&amp;"'")&amp;") AND coalesce(c.telefono1,'') = coalesce("&amp;IF(TRIM(F349&amp;"")="","NULL","'"&amp;SUBSTITUTE(TRIM(F349),"'","''")&amp;"'")&amp;",''));")</f>
        <v/>
      </c>
    </row>
    <row r="350" ht="15.75" customHeight="1" s="64">
      <c r="A350" s="23" t="n"/>
      <c r="B350" s="25">
        <f t="array" ref="B350">IF(A350="","",IFERROR(IF(INDEX(Clientes!$D$5:$D$549,MATCH(A350,Clientes!$C$5:$C$549,0))&lt;&gt;"",INDEX(Clientes!$D$5:$D$549,MATCH(A350,Clientes!$C$5:$C$549,0)),TRIM(INDEX(Clientes!$E$5:$E$549,MATCH(A350,Clientes!$C$5:$C$549,0))&amp;" "&amp;INDEX(Clientes!$F$5:$F$549,MATCH(A350,Clientes!$C$5:$C$549,0)))),"NO EXISTE en Clientes"))</f>
        <v/>
      </c>
      <c r="C350" s="17" t="n"/>
      <c r="D350" s="17" t="n"/>
      <c r="E350" s="17" t="n"/>
      <c r="F350" s="23" t="n"/>
      <c r="G350" s="23" t="n"/>
      <c r="H350" s="23" t="n"/>
      <c r="I350" s="17" t="n"/>
      <c r="J350" s="17" t="n"/>
      <c r="K350" s="17" t="n"/>
      <c r="L350" s="17">
        <f>IF(AND(A350="",C350=""),"",IF(A350="","FALTA doc. cliente",IF(B350="NO EXISTE en Clientes","CLIENTE no está en hoja Clientes",IF(C350="","FALTA nombre",IF(AND(K350="SI",COUNTIFS($A$5:$A$499,A350,$K$5:$K$499,"SI")&gt;1),"Más de un contacto principal para este cliente","OK")))))</f>
        <v/>
      </c>
      <c r="M350" s="28">
        <f>IF(L350&lt;&gt;"OK","","INSERT INTO cli_contacto (id_cliente, nombre, apellido_paterno, apellido_materno, telefono1, telefono2, telefono3, email, direccion, es_principal, estado) SELECT "&amp;"(SELECT id FROM cli_clientes WHERE numero_documento = '"&amp;SUBSTITUTE(TRIM(A350),"'","''")&amp;"' AND estado = 1 LIMIT 1)"&amp;", "&amp;IF(TRIM(C350&amp;"")="","NULL","'"&amp;SUBSTITUTE(TRIM(C350),"'","''")&amp;"'")&amp;", "&amp;IF(TRIM(D350&amp;"")="","NULL","'"&amp;SUBSTITUTE(TRIM(D350),"'","''")&amp;"'")&amp;", "&amp;IF(TRIM(E350&amp;"")="","NULL","'"&amp;SUBSTITUTE(TRIM(E350),"'","''")&amp;"'")&amp;", "&amp;IF(TRIM(F350&amp;"")="","NULL","'"&amp;SUBSTITUTE(TRIM(F350),"'","''")&amp;"'")&amp;", "&amp;IF(TRIM(G350&amp;"")="","NULL","'"&amp;SUBSTITUTE(TRIM(G350),"'","''")&amp;"'")&amp;", "&amp;IF(TRIM(H350&amp;"")="","NULL","'"&amp;SUBSTITUTE(TRIM(H350),"'","''")&amp;"'")&amp;", "&amp;IF(TRIM(I350&amp;"")="","NULL","'"&amp;SUBSTITUTE(TRIM(I350),"'","''")&amp;"'")&amp;", "&amp;IF(TRIM(J350&amp;"")="","NULL","'"&amp;SUBSTITUTE(TRIM(J350),"'","''")&amp;"'")&amp;", "&amp;IF(UPPER(TRIM(K350&amp;""))="SI","TRUE","FALSE")&amp;", 1"&amp;" WHERE NOT EXISTS (SELECT 1 FROM cli_contacto c WHERE c.id_cliente = "&amp;"(SELECT id FROM cli_clientes WHERE numero_documento = '"&amp;SUBSTITUTE(TRIM(A350),"'","''")&amp;"' AND estado = 1 LIMIT 1)"&amp;" AND upper(c.nombre) = upper("&amp;IF(TRIM(C350&amp;"")="","NULL","'"&amp;SUBSTITUTE(TRIM(C350),"'","''")&amp;"'")&amp;") AND coalesce(c.telefono1,'') = coalesce("&amp;IF(TRIM(F350&amp;"")="","NULL","'"&amp;SUBSTITUTE(TRIM(F350),"'","''")&amp;"'")&amp;",''));")</f>
        <v/>
      </c>
    </row>
    <row r="351" ht="15.75" customHeight="1" s="64">
      <c r="A351" s="23" t="n"/>
      <c r="B351" s="25">
        <f t="array" ref="B351">IF(A351="","",IFERROR(IF(INDEX(Clientes!$D$5:$D$549,MATCH(A351,Clientes!$C$5:$C$549,0))&lt;&gt;"",INDEX(Clientes!$D$5:$D$549,MATCH(A351,Clientes!$C$5:$C$549,0)),TRIM(INDEX(Clientes!$E$5:$E$549,MATCH(A351,Clientes!$C$5:$C$549,0))&amp;" "&amp;INDEX(Clientes!$F$5:$F$549,MATCH(A351,Clientes!$C$5:$C$549,0)))),"NO EXISTE en Clientes"))</f>
        <v/>
      </c>
      <c r="C351" s="17" t="n"/>
      <c r="D351" s="17" t="n"/>
      <c r="E351" s="17" t="n"/>
      <c r="F351" s="23" t="n"/>
      <c r="G351" s="23" t="n"/>
      <c r="H351" s="23" t="n"/>
      <c r="I351" s="17" t="n"/>
      <c r="J351" s="17" t="n"/>
      <c r="K351" s="17" t="n"/>
      <c r="L351" s="17">
        <f>IF(AND(A351="",C351=""),"",IF(A351="","FALTA doc. cliente",IF(B351="NO EXISTE en Clientes","CLIENTE no está en hoja Clientes",IF(C351="","FALTA nombre",IF(AND(K351="SI",COUNTIFS($A$5:$A$499,A351,$K$5:$K$499,"SI")&gt;1),"Más de un contacto principal para este cliente","OK")))))</f>
        <v/>
      </c>
      <c r="M351" s="28">
        <f>IF(L351&lt;&gt;"OK","","INSERT INTO cli_contacto (id_cliente, nombre, apellido_paterno, apellido_materno, telefono1, telefono2, telefono3, email, direccion, es_principal, estado) SELECT "&amp;"(SELECT id FROM cli_clientes WHERE numero_documento = '"&amp;SUBSTITUTE(TRIM(A351),"'","''")&amp;"' AND estado = 1 LIMIT 1)"&amp;", "&amp;IF(TRIM(C351&amp;"")="","NULL","'"&amp;SUBSTITUTE(TRIM(C351),"'","''")&amp;"'")&amp;", "&amp;IF(TRIM(D351&amp;"")="","NULL","'"&amp;SUBSTITUTE(TRIM(D351),"'","''")&amp;"'")&amp;", "&amp;IF(TRIM(E351&amp;"")="","NULL","'"&amp;SUBSTITUTE(TRIM(E351),"'","''")&amp;"'")&amp;", "&amp;IF(TRIM(F351&amp;"")="","NULL","'"&amp;SUBSTITUTE(TRIM(F351),"'","''")&amp;"'")&amp;", "&amp;IF(TRIM(G351&amp;"")="","NULL","'"&amp;SUBSTITUTE(TRIM(G351),"'","''")&amp;"'")&amp;", "&amp;IF(TRIM(H351&amp;"")="","NULL","'"&amp;SUBSTITUTE(TRIM(H351),"'","''")&amp;"'")&amp;", "&amp;IF(TRIM(I351&amp;"")="","NULL","'"&amp;SUBSTITUTE(TRIM(I351),"'","''")&amp;"'")&amp;", "&amp;IF(TRIM(J351&amp;"")="","NULL","'"&amp;SUBSTITUTE(TRIM(J351),"'","''")&amp;"'")&amp;", "&amp;IF(UPPER(TRIM(K351&amp;""))="SI","TRUE","FALSE")&amp;", 1"&amp;" WHERE NOT EXISTS (SELECT 1 FROM cli_contacto c WHERE c.id_cliente = "&amp;"(SELECT id FROM cli_clientes WHERE numero_documento = '"&amp;SUBSTITUTE(TRIM(A351),"'","''")&amp;"' AND estado = 1 LIMIT 1)"&amp;" AND upper(c.nombre) = upper("&amp;IF(TRIM(C351&amp;"")="","NULL","'"&amp;SUBSTITUTE(TRIM(C351),"'","''")&amp;"'")&amp;") AND coalesce(c.telefono1,'') = coalesce("&amp;IF(TRIM(F351&amp;"")="","NULL","'"&amp;SUBSTITUTE(TRIM(F351),"'","''")&amp;"'")&amp;",''));")</f>
        <v/>
      </c>
    </row>
    <row r="352" ht="15.75" customHeight="1" s="64">
      <c r="A352" s="23" t="n"/>
      <c r="B352" s="25">
        <f t="array" ref="B352">IF(A352="","",IFERROR(IF(INDEX(Clientes!$D$5:$D$549,MATCH(A352,Clientes!$C$5:$C$549,0))&lt;&gt;"",INDEX(Clientes!$D$5:$D$549,MATCH(A352,Clientes!$C$5:$C$549,0)),TRIM(INDEX(Clientes!$E$5:$E$549,MATCH(A352,Clientes!$C$5:$C$549,0))&amp;" "&amp;INDEX(Clientes!$F$5:$F$549,MATCH(A352,Clientes!$C$5:$C$549,0)))),"NO EXISTE en Clientes"))</f>
        <v/>
      </c>
      <c r="C352" s="17" t="n"/>
      <c r="D352" s="17" t="n"/>
      <c r="E352" s="17" t="n"/>
      <c r="F352" s="23" t="n"/>
      <c r="G352" s="23" t="n"/>
      <c r="H352" s="23" t="n"/>
      <c r="I352" s="17" t="n"/>
      <c r="J352" s="17" t="n"/>
      <c r="K352" s="17" t="n"/>
      <c r="L352" s="17">
        <f>IF(AND(A352="",C352=""),"",IF(A352="","FALTA doc. cliente",IF(B352="NO EXISTE en Clientes","CLIENTE no está en hoja Clientes",IF(C352="","FALTA nombre",IF(AND(K352="SI",COUNTIFS($A$5:$A$499,A352,$K$5:$K$499,"SI")&gt;1),"Más de un contacto principal para este cliente","OK")))))</f>
        <v/>
      </c>
      <c r="M352" s="28">
        <f>IF(L352&lt;&gt;"OK","","INSERT INTO cli_contacto (id_cliente, nombre, apellido_paterno, apellido_materno, telefono1, telefono2, telefono3, email, direccion, es_principal, estado) SELECT "&amp;"(SELECT id FROM cli_clientes WHERE numero_documento = '"&amp;SUBSTITUTE(TRIM(A352),"'","''")&amp;"' AND estado = 1 LIMIT 1)"&amp;", "&amp;IF(TRIM(C352&amp;"")="","NULL","'"&amp;SUBSTITUTE(TRIM(C352),"'","''")&amp;"'")&amp;", "&amp;IF(TRIM(D352&amp;"")="","NULL","'"&amp;SUBSTITUTE(TRIM(D352),"'","''")&amp;"'")&amp;", "&amp;IF(TRIM(E352&amp;"")="","NULL","'"&amp;SUBSTITUTE(TRIM(E352),"'","''")&amp;"'")&amp;", "&amp;IF(TRIM(F352&amp;"")="","NULL","'"&amp;SUBSTITUTE(TRIM(F352),"'","''")&amp;"'")&amp;", "&amp;IF(TRIM(G352&amp;"")="","NULL","'"&amp;SUBSTITUTE(TRIM(G352),"'","''")&amp;"'")&amp;", "&amp;IF(TRIM(H352&amp;"")="","NULL","'"&amp;SUBSTITUTE(TRIM(H352),"'","''")&amp;"'")&amp;", "&amp;IF(TRIM(I352&amp;"")="","NULL","'"&amp;SUBSTITUTE(TRIM(I352),"'","''")&amp;"'")&amp;", "&amp;IF(TRIM(J352&amp;"")="","NULL","'"&amp;SUBSTITUTE(TRIM(J352),"'","''")&amp;"'")&amp;", "&amp;IF(UPPER(TRIM(K352&amp;""))="SI","TRUE","FALSE")&amp;", 1"&amp;" WHERE NOT EXISTS (SELECT 1 FROM cli_contacto c WHERE c.id_cliente = "&amp;"(SELECT id FROM cli_clientes WHERE numero_documento = '"&amp;SUBSTITUTE(TRIM(A352),"'","''")&amp;"' AND estado = 1 LIMIT 1)"&amp;" AND upper(c.nombre) = upper("&amp;IF(TRIM(C352&amp;"")="","NULL","'"&amp;SUBSTITUTE(TRIM(C352),"'","''")&amp;"'")&amp;") AND coalesce(c.telefono1,'') = coalesce("&amp;IF(TRIM(F352&amp;"")="","NULL","'"&amp;SUBSTITUTE(TRIM(F352),"'","''")&amp;"'")&amp;",''));")</f>
        <v/>
      </c>
    </row>
    <row r="353" ht="15.75" customHeight="1" s="64">
      <c r="A353" s="23" t="n"/>
      <c r="B353" s="25">
        <f t="array" ref="B353">IF(A353="","",IFERROR(IF(INDEX(Clientes!$D$5:$D$549,MATCH(A353,Clientes!$C$5:$C$549,0))&lt;&gt;"",INDEX(Clientes!$D$5:$D$549,MATCH(A353,Clientes!$C$5:$C$549,0)),TRIM(INDEX(Clientes!$E$5:$E$549,MATCH(A353,Clientes!$C$5:$C$549,0))&amp;" "&amp;INDEX(Clientes!$F$5:$F$549,MATCH(A353,Clientes!$C$5:$C$549,0)))),"NO EXISTE en Clientes"))</f>
        <v/>
      </c>
      <c r="C353" s="17" t="n"/>
      <c r="D353" s="17" t="n"/>
      <c r="E353" s="17" t="n"/>
      <c r="F353" s="23" t="n"/>
      <c r="G353" s="23" t="n"/>
      <c r="H353" s="23" t="n"/>
      <c r="I353" s="17" t="n"/>
      <c r="J353" s="17" t="n"/>
      <c r="K353" s="17" t="n"/>
      <c r="L353" s="17">
        <f>IF(AND(A353="",C353=""),"",IF(A353="","FALTA doc. cliente",IF(B353="NO EXISTE en Clientes","CLIENTE no está en hoja Clientes",IF(C353="","FALTA nombre",IF(AND(K353="SI",COUNTIFS($A$5:$A$499,A353,$K$5:$K$499,"SI")&gt;1),"Más de un contacto principal para este cliente","OK")))))</f>
        <v/>
      </c>
      <c r="M353" s="28">
        <f>IF(L353&lt;&gt;"OK","","INSERT INTO cli_contacto (id_cliente, nombre, apellido_paterno, apellido_materno, telefono1, telefono2, telefono3, email, direccion, es_principal, estado) SELECT "&amp;"(SELECT id FROM cli_clientes WHERE numero_documento = '"&amp;SUBSTITUTE(TRIM(A353),"'","''")&amp;"' AND estado = 1 LIMIT 1)"&amp;", "&amp;IF(TRIM(C353&amp;"")="","NULL","'"&amp;SUBSTITUTE(TRIM(C353),"'","''")&amp;"'")&amp;", "&amp;IF(TRIM(D353&amp;"")="","NULL","'"&amp;SUBSTITUTE(TRIM(D353),"'","''")&amp;"'")&amp;", "&amp;IF(TRIM(E353&amp;"")="","NULL","'"&amp;SUBSTITUTE(TRIM(E353),"'","''")&amp;"'")&amp;", "&amp;IF(TRIM(F353&amp;"")="","NULL","'"&amp;SUBSTITUTE(TRIM(F353),"'","''")&amp;"'")&amp;", "&amp;IF(TRIM(G353&amp;"")="","NULL","'"&amp;SUBSTITUTE(TRIM(G353),"'","''")&amp;"'")&amp;", "&amp;IF(TRIM(H353&amp;"")="","NULL","'"&amp;SUBSTITUTE(TRIM(H353),"'","''")&amp;"'")&amp;", "&amp;IF(TRIM(I353&amp;"")="","NULL","'"&amp;SUBSTITUTE(TRIM(I353),"'","''")&amp;"'")&amp;", "&amp;IF(TRIM(J353&amp;"")="","NULL","'"&amp;SUBSTITUTE(TRIM(J353),"'","''")&amp;"'")&amp;", "&amp;IF(UPPER(TRIM(K353&amp;""))="SI","TRUE","FALSE")&amp;", 1"&amp;" WHERE NOT EXISTS (SELECT 1 FROM cli_contacto c WHERE c.id_cliente = "&amp;"(SELECT id FROM cli_clientes WHERE numero_documento = '"&amp;SUBSTITUTE(TRIM(A353),"'","''")&amp;"' AND estado = 1 LIMIT 1)"&amp;" AND upper(c.nombre) = upper("&amp;IF(TRIM(C353&amp;"")="","NULL","'"&amp;SUBSTITUTE(TRIM(C353),"'","''")&amp;"'")&amp;") AND coalesce(c.telefono1,'') = coalesce("&amp;IF(TRIM(F353&amp;"")="","NULL","'"&amp;SUBSTITUTE(TRIM(F353),"'","''")&amp;"'")&amp;",''));")</f>
        <v/>
      </c>
    </row>
    <row r="354" ht="15.75" customHeight="1" s="64">
      <c r="A354" s="23" t="n"/>
      <c r="B354" s="25">
        <f t="array" ref="B354">IF(A354="","",IFERROR(IF(INDEX(Clientes!$D$5:$D$549,MATCH(A354,Clientes!$C$5:$C$549,0))&lt;&gt;"",INDEX(Clientes!$D$5:$D$549,MATCH(A354,Clientes!$C$5:$C$549,0)),TRIM(INDEX(Clientes!$E$5:$E$549,MATCH(A354,Clientes!$C$5:$C$549,0))&amp;" "&amp;INDEX(Clientes!$F$5:$F$549,MATCH(A354,Clientes!$C$5:$C$549,0)))),"NO EXISTE en Clientes"))</f>
        <v/>
      </c>
      <c r="C354" s="17" t="n"/>
      <c r="D354" s="17" t="n"/>
      <c r="E354" s="17" t="n"/>
      <c r="F354" s="23" t="n"/>
      <c r="G354" s="23" t="n"/>
      <c r="H354" s="23" t="n"/>
      <c r="I354" s="17" t="n"/>
      <c r="J354" s="17" t="n"/>
      <c r="K354" s="17" t="n"/>
      <c r="L354" s="17">
        <f>IF(AND(A354="",C354=""),"",IF(A354="","FALTA doc. cliente",IF(B354="NO EXISTE en Clientes","CLIENTE no está en hoja Clientes",IF(C354="","FALTA nombre",IF(AND(K354="SI",COUNTIFS($A$5:$A$499,A354,$K$5:$K$499,"SI")&gt;1),"Más de un contacto principal para este cliente","OK")))))</f>
        <v/>
      </c>
      <c r="M354" s="28">
        <f>IF(L354&lt;&gt;"OK","","INSERT INTO cli_contacto (id_cliente, nombre, apellido_paterno, apellido_materno, telefono1, telefono2, telefono3, email, direccion, es_principal, estado) SELECT "&amp;"(SELECT id FROM cli_clientes WHERE numero_documento = '"&amp;SUBSTITUTE(TRIM(A354),"'","''")&amp;"' AND estado = 1 LIMIT 1)"&amp;", "&amp;IF(TRIM(C354&amp;"")="","NULL","'"&amp;SUBSTITUTE(TRIM(C354),"'","''")&amp;"'")&amp;", "&amp;IF(TRIM(D354&amp;"")="","NULL","'"&amp;SUBSTITUTE(TRIM(D354),"'","''")&amp;"'")&amp;", "&amp;IF(TRIM(E354&amp;"")="","NULL","'"&amp;SUBSTITUTE(TRIM(E354),"'","''")&amp;"'")&amp;", "&amp;IF(TRIM(F354&amp;"")="","NULL","'"&amp;SUBSTITUTE(TRIM(F354),"'","''")&amp;"'")&amp;", "&amp;IF(TRIM(G354&amp;"")="","NULL","'"&amp;SUBSTITUTE(TRIM(G354),"'","''")&amp;"'")&amp;", "&amp;IF(TRIM(H354&amp;"")="","NULL","'"&amp;SUBSTITUTE(TRIM(H354),"'","''")&amp;"'")&amp;", "&amp;IF(TRIM(I354&amp;"")="","NULL","'"&amp;SUBSTITUTE(TRIM(I354),"'","''")&amp;"'")&amp;", "&amp;IF(TRIM(J354&amp;"")="","NULL","'"&amp;SUBSTITUTE(TRIM(J354),"'","''")&amp;"'")&amp;", "&amp;IF(UPPER(TRIM(K354&amp;""))="SI","TRUE","FALSE")&amp;", 1"&amp;" WHERE NOT EXISTS (SELECT 1 FROM cli_contacto c WHERE c.id_cliente = "&amp;"(SELECT id FROM cli_clientes WHERE numero_documento = '"&amp;SUBSTITUTE(TRIM(A354),"'","''")&amp;"' AND estado = 1 LIMIT 1)"&amp;" AND upper(c.nombre) = upper("&amp;IF(TRIM(C354&amp;"")="","NULL","'"&amp;SUBSTITUTE(TRIM(C354),"'","''")&amp;"'")&amp;") AND coalesce(c.telefono1,'') = coalesce("&amp;IF(TRIM(F354&amp;"")="","NULL","'"&amp;SUBSTITUTE(TRIM(F354),"'","''")&amp;"'")&amp;",''));")</f>
        <v/>
      </c>
    </row>
    <row r="355" ht="15.75" customHeight="1" s="64">
      <c r="A355" s="23" t="n"/>
      <c r="B355" s="25">
        <f t="array" ref="B355">IF(A355="","",IFERROR(IF(INDEX(Clientes!$D$5:$D$549,MATCH(A355,Clientes!$C$5:$C$549,0))&lt;&gt;"",INDEX(Clientes!$D$5:$D$549,MATCH(A355,Clientes!$C$5:$C$549,0)),TRIM(INDEX(Clientes!$E$5:$E$549,MATCH(A355,Clientes!$C$5:$C$549,0))&amp;" "&amp;INDEX(Clientes!$F$5:$F$549,MATCH(A355,Clientes!$C$5:$C$549,0)))),"NO EXISTE en Clientes"))</f>
        <v/>
      </c>
      <c r="C355" s="17" t="n"/>
      <c r="D355" s="17" t="n"/>
      <c r="E355" s="17" t="n"/>
      <c r="F355" s="23" t="n"/>
      <c r="G355" s="23" t="n"/>
      <c r="H355" s="23" t="n"/>
      <c r="I355" s="17" t="n"/>
      <c r="J355" s="17" t="n"/>
      <c r="K355" s="17" t="n"/>
      <c r="L355" s="17">
        <f>IF(AND(A355="",C355=""),"",IF(A355="","FALTA doc. cliente",IF(B355="NO EXISTE en Clientes","CLIENTE no está en hoja Clientes",IF(C355="","FALTA nombre",IF(AND(K355="SI",COUNTIFS($A$5:$A$499,A355,$K$5:$K$499,"SI")&gt;1),"Más de un contacto principal para este cliente","OK")))))</f>
        <v/>
      </c>
      <c r="M355" s="28">
        <f>IF(L355&lt;&gt;"OK","","INSERT INTO cli_contacto (id_cliente, nombre, apellido_paterno, apellido_materno, telefono1, telefono2, telefono3, email, direccion, es_principal, estado) SELECT "&amp;"(SELECT id FROM cli_clientes WHERE numero_documento = '"&amp;SUBSTITUTE(TRIM(A355),"'","''")&amp;"' AND estado = 1 LIMIT 1)"&amp;", "&amp;IF(TRIM(C355&amp;"")="","NULL","'"&amp;SUBSTITUTE(TRIM(C355),"'","''")&amp;"'")&amp;", "&amp;IF(TRIM(D355&amp;"")="","NULL","'"&amp;SUBSTITUTE(TRIM(D355),"'","''")&amp;"'")&amp;", "&amp;IF(TRIM(E355&amp;"")="","NULL","'"&amp;SUBSTITUTE(TRIM(E355),"'","''")&amp;"'")&amp;", "&amp;IF(TRIM(F355&amp;"")="","NULL","'"&amp;SUBSTITUTE(TRIM(F355),"'","''")&amp;"'")&amp;", "&amp;IF(TRIM(G355&amp;"")="","NULL","'"&amp;SUBSTITUTE(TRIM(G355),"'","''")&amp;"'")&amp;", "&amp;IF(TRIM(H355&amp;"")="","NULL","'"&amp;SUBSTITUTE(TRIM(H355),"'","''")&amp;"'")&amp;", "&amp;IF(TRIM(I355&amp;"")="","NULL","'"&amp;SUBSTITUTE(TRIM(I355),"'","''")&amp;"'")&amp;", "&amp;IF(TRIM(J355&amp;"")="","NULL","'"&amp;SUBSTITUTE(TRIM(J355),"'","''")&amp;"'")&amp;", "&amp;IF(UPPER(TRIM(K355&amp;""))="SI","TRUE","FALSE")&amp;", 1"&amp;" WHERE NOT EXISTS (SELECT 1 FROM cli_contacto c WHERE c.id_cliente = "&amp;"(SELECT id FROM cli_clientes WHERE numero_documento = '"&amp;SUBSTITUTE(TRIM(A355),"'","''")&amp;"' AND estado = 1 LIMIT 1)"&amp;" AND upper(c.nombre) = upper("&amp;IF(TRIM(C355&amp;"")="","NULL","'"&amp;SUBSTITUTE(TRIM(C355),"'","''")&amp;"'")&amp;") AND coalesce(c.telefono1,'') = coalesce("&amp;IF(TRIM(F355&amp;"")="","NULL","'"&amp;SUBSTITUTE(TRIM(F355),"'","''")&amp;"'")&amp;",''));")</f>
        <v/>
      </c>
    </row>
    <row r="356" ht="15.75" customHeight="1" s="64">
      <c r="A356" s="23" t="n"/>
      <c r="B356" s="25">
        <f t="array" ref="B356">IF(A356="","",IFERROR(IF(INDEX(Clientes!$D$5:$D$549,MATCH(A356,Clientes!$C$5:$C$549,0))&lt;&gt;"",INDEX(Clientes!$D$5:$D$549,MATCH(A356,Clientes!$C$5:$C$549,0)),TRIM(INDEX(Clientes!$E$5:$E$549,MATCH(A356,Clientes!$C$5:$C$549,0))&amp;" "&amp;INDEX(Clientes!$F$5:$F$549,MATCH(A356,Clientes!$C$5:$C$549,0)))),"NO EXISTE en Clientes"))</f>
        <v/>
      </c>
      <c r="C356" s="17" t="n"/>
      <c r="D356" s="17" t="n"/>
      <c r="E356" s="17" t="n"/>
      <c r="F356" s="23" t="n"/>
      <c r="G356" s="23" t="n"/>
      <c r="H356" s="23" t="n"/>
      <c r="I356" s="17" t="n"/>
      <c r="J356" s="17" t="n"/>
      <c r="K356" s="17" t="n"/>
      <c r="L356" s="17">
        <f>IF(AND(A356="",C356=""),"",IF(A356="","FALTA doc. cliente",IF(B356="NO EXISTE en Clientes","CLIENTE no está en hoja Clientes",IF(C356="","FALTA nombre",IF(AND(K356="SI",COUNTIFS($A$5:$A$499,A356,$K$5:$K$499,"SI")&gt;1),"Más de un contacto principal para este cliente","OK")))))</f>
        <v/>
      </c>
      <c r="M356" s="28">
        <f>IF(L356&lt;&gt;"OK","","INSERT INTO cli_contacto (id_cliente, nombre, apellido_paterno, apellido_materno, telefono1, telefono2, telefono3, email, direccion, es_principal, estado) SELECT "&amp;"(SELECT id FROM cli_clientes WHERE numero_documento = '"&amp;SUBSTITUTE(TRIM(A356),"'","''")&amp;"' AND estado = 1 LIMIT 1)"&amp;", "&amp;IF(TRIM(C356&amp;"")="","NULL","'"&amp;SUBSTITUTE(TRIM(C356),"'","''")&amp;"'")&amp;", "&amp;IF(TRIM(D356&amp;"")="","NULL","'"&amp;SUBSTITUTE(TRIM(D356),"'","''")&amp;"'")&amp;", "&amp;IF(TRIM(E356&amp;"")="","NULL","'"&amp;SUBSTITUTE(TRIM(E356),"'","''")&amp;"'")&amp;", "&amp;IF(TRIM(F356&amp;"")="","NULL","'"&amp;SUBSTITUTE(TRIM(F356),"'","''")&amp;"'")&amp;", "&amp;IF(TRIM(G356&amp;"")="","NULL","'"&amp;SUBSTITUTE(TRIM(G356),"'","''")&amp;"'")&amp;", "&amp;IF(TRIM(H356&amp;"")="","NULL","'"&amp;SUBSTITUTE(TRIM(H356),"'","''")&amp;"'")&amp;", "&amp;IF(TRIM(I356&amp;"")="","NULL","'"&amp;SUBSTITUTE(TRIM(I356),"'","''")&amp;"'")&amp;", "&amp;IF(TRIM(J356&amp;"")="","NULL","'"&amp;SUBSTITUTE(TRIM(J356),"'","''")&amp;"'")&amp;", "&amp;IF(UPPER(TRIM(K356&amp;""))="SI","TRUE","FALSE")&amp;", 1"&amp;" WHERE NOT EXISTS (SELECT 1 FROM cli_contacto c WHERE c.id_cliente = "&amp;"(SELECT id FROM cli_clientes WHERE numero_documento = '"&amp;SUBSTITUTE(TRIM(A356),"'","''")&amp;"' AND estado = 1 LIMIT 1)"&amp;" AND upper(c.nombre) = upper("&amp;IF(TRIM(C356&amp;"")="","NULL","'"&amp;SUBSTITUTE(TRIM(C356),"'","''")&amp;"'")&amp;") AND coalesce(c.telefono1,'') = coalesce("&amp;IF(TRIM(F356&amp;"")="","NULL","'"&amp;SUBSTITUTE(TRIM(F356),"'","''")&amp;"'")&amp;",''));")</f>
        <v/>
      </c>
    </row>
    <row r="357" ht="15.75" customHeight="1" s="64">
      <c r="A357" s="23" t="n"/>
      <c r="B357" s="25">
        <f t="array" ref="B357">IF(A357="","",IFERROR(IF(INDEX(Clientes!$D$5:$D$549,MATCH(A357,Clientes!$C$5:$C$549,0))&lt;&gt;"",INDEX(Clientes!$D$5:$D$549,MATCH(A357,Clientes!$C$5:$C$549,0)),TRIM(INDEX(Clientes!$E$5:$E$549,MATCH(A357,Clientes!$C$5:$C$549,0))&amp;" "&amp;INDEX(Clientes!$F$5:$F$549,MATCH(A357,Clientes!$C$5:$C$549,0)))),"NO EXISTE en Clientes"))</f>
        <v/>
      </c>
      <c r="C357" s="17" t="n"/>
      <c r="D357" s="17" t="n"/>
      <c r="E357" s="17" t="n"/>
      <c r="F357" s="23" t="n"/>
      <c r="G357" s="23" t="n"/>
      <c r="H357" s="23" t="n"/>
      <c r="I357" s="17" t="n"/>
      <c r="J357" s="17" t="n"/>
      <c r="K357" s="17" t="n"/>
      <c r="L357" s="17">
        <f>IF(AND(A357="",C357=""),"",IF(A357="","FALTA doc. cliente",IF(B357="NO EXISTE en Clientes","CLIENTE no está en hoja Clientes",IF(C357="","FALTA nombre",IF(AND(K357="SI",COUNTIFS($A$5:$A$499,A357,$K$5:$K$499,"SI")&gt;1),"Más de un contacto principal para este cliente","OK")))))</f>
        <v/>
      </c>
      <c r="M357" s="28">
        <f>IF(L357&lt;&gt;"OK","","INSERT INTO cli_contacto (id_cliente, nombre, apellido_paterno, apellido_materno, telefono1, telefono2, telefono3, email, direccion, es_principal, estado) SELECT "&amp;"(SELECT id FROM cli_clientes WHERE numero_documento = '"&amp;SUBSTITUTE(TRIM(A357),"'","''")&amp;"' AND estado = 1 LIMIT 1)"&amp;", "&amp;IF(TRIM(C357&amp;"")="","NULL","'"&amp;SUBSTITUTE(TRIM(C357),"'","''")&amp;"'")&amp;", "&amp;IF(TRIM(D357&amp;"")="","NULL","'"&amp;SUBSTITUTE(TRIM(D357),"'","''")&amp;"'")&amp;", "&amp;IF(TRIM(E357&amp;"")="","NULL","'"&amp;SUBSTITUTE(TRIM(E357),"'","''")&amp;"'")&amp;", "&amp;IF(TRIM(F357&amp;"")="","NULL","'"&amp;SUBSTITUTE(TRIM(F357),"'","''")&amp;"'")&amp;", "&amp;IF(TRIM(G357&amp;"")="","NULL","'"&amp;SUBSTITUTE(TRIM(G357),"'","''")&amp;"'")&amp;", "&amp;IF(TRIM(H357&amp;"")="","NULL","'"&amp;SUBSTITUTE(TRIM(H357),"'","''")&amp;"'")&amp;", "&amp;IF(TRIM(I357&amp;"")="","NULL","'"&amp;SUBSTITUTE(TRIM(I357),"'","''")&amp;"'")&amp;", "&amp;IF(TRIM(J357&amp;"")="","NULL","'"&amp;SUBSTITUTE(TRIM(J357),"'","''")&amp;"'")&amp;", "&amp;IF(UPPER(TRIM(K357&amp;""))="SI","TRUE","FALSE")&amp;", 1"&amp;" WHERE NOT EXISTS (SELECT 1 FROM cli_contacto c WHERE c.id_cliente = "&amp;"(SELECT id FROM cli_clientes WHERE numero_documento = '"&amp;SUBSTITUTE(TRIM(A357),"'","''")&amp;"' AND estado = 1 LIMIT 1)"&amp;" AND upper(c.nombre) = upper("&amp;IF(TRIM(C357&amp;"")="","NULL","'"&amp;SUBSTITUTE(TRIM(C357),"'","''")&amp;"'")&amp;") AND coalesce(c.telefono1,'') = coalesce("&amp;IF(TRIM(F357&amp;"")="","NULL","'"&amp;SUBSTITUTE(TRIM(F357),"'","''")&amp;"'")&amp;",''));")</f>
        <v/>
      </c>
    </row>
    <row r="358" ht="15.75" customHeight="1" s="64">
      <c r="A358" s="23" t="n"/>
      <c r="B358" s="25">
        <f t="array" ref="B358">IF(A358="","",IFERROR(IF(INDEX(Clientes!$D$5:$D$549,MATCH(A358,Clientes!$C$5:$C$549,0))&lt;&gt;"",INDEX(Clientes!$D$5:$D$549,MATCH(A358,Clientes!$C$5:$C$549,0)),TRIM(INDEX(Clientes!$E$5:$E$549,MATCH(A358,Clientes!$C$5:$C$549,0))&amp;" "&amp;INDEX(Clientes!$F$5:$F$549,MATCH(A358,Clientes!$C$5:$C$549,0)))),"NO EXISTE en Clientes"))</f>
        <v/>
      </c>
      <c r="C358" s="17" t="n"/>
      <c r="D358" s="17" t="n"/>
      <c r="E358" s="17" t="n"/>
      <c r="F358" s="23" t="n"/>
      <c r="G358" s="23" t="n"/>
      <c r="H358" s="23" t="n"/>
      <c r="I358" s="17" t="n"/>
      <c r="J358" s="17" t="n"/>
      <c r="K358" s="17" t="n"/>
      <c r="L358" s="17">
        <f>IF(AND(A358="",C358=""),"",IF(A358="","FALTA doc. cliente",IF(B358="NO EXISTE en Clientes","CLIENTE no está en hoja Clientes",IF(C358="","FALTA nombre",IF(AND(K358="SI",COUNTIFS($A$5:$A$499,A358,$K$5:$K$499,"SI")&gt;1),"Más de un contacto principal para este cliente","OK")))))</f>
        <v/>
      </c>
      <c r="M358" s="28">
        <f>IF(L358&lt;&gt;"OK","","INSERT INTO cli_contacto (id_cliente, nombre, apellido_paterno, apellido_materno, telefono1, telefono2, telefono3, email, direccion, es_principal, estado) SELECT "&amp;"(SELECT id FROM cli_clientes WHERE numero_documento = '"&amp;SUBSTITUTE(TRIM(A358),"'","''")&amp;"' AND estado = 1 LIMIT 1)"&amp;", "&amp;IF(TRIM(C358&amp;"")="","NULL","'"&amp;SUBSTITUTE(TRIM(C358),"'","''")&amp;"'")&amp;", "&amp;IF(TRIM(D358&amp;"")="","NULL","'"&amp;SUBSTITUTE(TRIM(D358),"'","''")&amp;"'")&amp;", "&amp;IF(TRIM(E358&amp;"")="","NULL","'"&amp;SUBSTITUTE(TRIM(E358),"'","''")&amp;"'")&amp;", "&amp;IF(TRIM(F358&amp;"")="","NULL","'"&amp;SUBSTITUTE(TRIM(F358),"'","''")&amp;"'")&amp;", "&amp;IF(TRIM(G358&amp;"")="","NULL","'"&amp;SUBSTITUTE(TRIM(G358),"'","''")&amp;"'")&amp;", "&amp;IF(TRIM(H358&amp;"")="","NULL","'"&amp;SUBSTITUTE(TRIM(H358),"'","''")&amp;"'")&amp;", "&amp;IF(TRIM(I358&amp;"")="","NULL","'"&amp;SUBSTITUTE(TRIM(I358),"'","''")&amp;"'")&amp;", "&amp;IF(TRIM(J358&amp;"")="","NULL","'"&amp;SUBSTITUTE(TRIM(J358),"'","''")&amp;"'")&amp;", "&amp;IF(UPPER(TRIM(K358&amp;""))="SI","TRUE","FALSE")&amp;", 1"&amp;" WHERE NOT EXISTS (SELECT 1 FROM cli_contacto c WHERE c.id_cliente = "&amp;"(SELECT id FROM cli_clientes WHERE numero_documento = '"&amp;SUBSTITUTE(TRIM(A358),"'","''")&amp;"' AND estado = 1 LIMIT 1)"&amp;" AND upper(c.nombre) = upper("&amp;IF(TRIM(C358&amp;"")="","NULL","'"&amp;SUBSTITUTE(TRIM(C358),"'","''")&amp;"'")&amp;") AND coalesce(c.telefono1,'') = coalesce("&amp;IF(TRIM(F358&amp;"")="","NULL","'"&amp;SUBSTITUTE(TRIM(F358),"'","''")&amp;"'")&amp;",''));")</f>
        <v/>
      </c>
    </row>
    <row r="359" ht="15.75" customHeight="1" s="64">
      <c r="A359" s="23" t="n"/>
      <c r="B359" s="25">
        <f t="array" ref="B359">IF(A359="","",IFERROR(IF(INDEX(Clientes!$D$5:$D$549,MATCH(A359,Clientes!$C$5:$C$549,0))&lt;&gt;"",INDEX(Clientes!$D$5:$D$549,MATCH(A359,Clientes!$C$5:$C$549,0)),TRIM(INDEX(Clientes!$E$5:$E$549,MATCH(A359,Clientes!$C$5:$C$549,0))&amp;" "&amp;INDEX(Clientes!$F$5:$F$549,MATCH(A359,Clientes!$C$5:$C$549,0)))),"NO EXISTE en Clientes"))</f>
        <v/>
      </c>
      <c r="C359" s="17" t="n"/>
      <c r="D359" s="17" t="n"/>
      <c r="E359" s="17" t="n"/>
      <c r="F359" s="23" t="n"/>
      <c r="G359" s="23" t="n"/>
      <c r="H359" s="23" t="n"/>
      <c r="I359" s="17" t="n"/>
      <c r="J359" s="17" t="n"/>
      <c r="K359" s="17" t="n"/>
      <c r="L359" s="17">
        <f>IF(AND(A359="",C359=""),"",IF(A359="","FALTA doc. cliente",IF(B359="NO EXISTE en Clientes","CLIENTE no está en hoja Clientes",IF(C359="","FALTA nombre",IF(AND(K359="SI",COUNTIFS($A$5:$A$499,A359,$K$5:$K$499,"SI")&gt;1),"Más de un contacto principal para este cliente","OK")))))</f>
        <v/>
      </c>
      <c r="M359" s="28">
        <f>IF(L359&lt;&gt;"OK","","INSERT INTO cli_contacto (id_cliente, nombre, apellido_paterno, apellido_materno, telefono1, telefono2, telefono3, email, direccion, es_principal, estado) SELECT "&amp;"(SELECT id FROM cli_clientes WHERE numero_documento = '"&amp;SUBSTITUTE(TRIM(A359),"'","''")&amp;"' AND estado = 1 LIMIT 1)"&amp;", "&amp;IF(TRIM(C359&amp;"")="","NULL","'"&amp;SUBSTITUTE(TRIM(C359),"'","''")&amp;"'")&amp;", "&amp;IF(TRIM(D359&amp;"")="","NULL","'"&amp;SUBSTITUTE(TRIM(D359),"'","''")&amp;"'")&amp;", "&amp;IF(TRIM(E359&amp;"")="","NULL","'"&amp;SUBSTITUTE(TRIM(E359),"'","''")&amp;"'")&amp;", "&amp;IF(TRIM(F359&amp;"")="","NULL","'"&amp;SUBSTITUTE(TRIM(F359),"'","''")&amp;"'")&amp;", "&amp;IF(TRIM(G359&amp;"")="","NULL","'"&amp;SUBSTITUTE(TRIM(G359),"'","''")&amp;"'")&amp;", "&amp;IF(TRIM(H359&amp;"")="","NULL","'"&amp;SUBSTITUTE(TRIM(H359),"'","''")&amp;"'")&amp;", "&amp;IF(TRIM(I359&amp;"")="","NULL","'"&amp;SUBSTITUTE(TRIM(I359),"'","''")&amp;"'")&amp;", "&amp;IF(TRIM(J359&amp;"")="","NULL","'"&amp;SUBSTITUTE(TRIM(J359),"'","''")&amp;"'")&amp;", "&amp;IF(UPPER(TRIM(K359&amp;""))="SI","TRUE","FALSE")&amp;", 1"&amp;" WHERE NOT EXISTS (SELECT 1 FROM cli_contacto c WHERE c.id_cliente = "&amp;"(SELECT id FROM cli_clientes WHERE numero_documento = '"&amp;SUBSTITUTE(TRIM(A359),"'","''")&amp;"' AND estado = 1 LIMIT 1)"&amp;" AND upper(c.nombre) = upper("&amp;IF(TRIM(C359&amp;"")="","NULL","'"&amp;SUBSTITUTE(TRIM(C359),"'","''")&amp;"'")&amp;") AND coalesce(c.telefono1,'') = coalesce("&amp;IF(TRIM(F359&amp;"")="","NULL","'"&amp;SUBSTITUTE(TRIM(F359),"'","''")&amp;"'")&amp;",''));")</f>
        <v/>
      </c>
    </row>
    <row r="360" ht="15.75" customHeight="1" s="64">
      <c r="A360" s="23" t="n"/>
      <c r="B360" s="25">
        <f t="array" ref="B360">IF(A360="","",IFERROR(IF(INDEX(Clientes!$D$5:$D$549,MATCH(A360,Clientes!$C$5:$C$549,0))&lt;&gt;"",INDEX(Clientes!$D$5:$D$549,MATCH(A360,Clientes!$C$5:$C$549,0)),TRIM(INDEX(Clientes!$E$5:$E$549,MATCH(A360,Clientes!$C$5:$C$549,0))&amp;" "&amp;INDEX(Clientes!$F$5:$F$549,MATCH(A360,Clientes!$C$5:$C$549,0)))),"NO EXISTE en Clientes"))</f>
        <v/>
      </c>
      <c r="C360" s="17" t="n"/>
      <c r="D360" s="17" t="n"/>
      <c r="E360" s="17" t="n"/>
      <c r="F360" s="23" t="n"/>
      <c r="G360" s="23" t="n"/>
      <c r="H360" s="23" t="n"/>
      <c r="I360" s="17" t="n"/>
      <c r="J360" s="17" t="n"/>
      <c r="K360" s="17" t="n"/>
      <c r="L360" s="17">
        <f>IF(AND(A360="",C360=""),"",IF(A360="","FALTA doc. cliente",IF(B360="NO EXISTE en Clientes","CLIENTE no está en hoja Clientes",IF(C360="","FALTA nombre",IF(AND(K360="SI",COUNTIFS($A$5:$A$499,A360,$K$5:$K$499,"SI")&gt;1),"Más de un contacto principal para este cliente","OK")))))</f>
        <v/>
      </c>
      <c r="M360" s="28">
        <f>IF(L360&lt;&gt;"OK","","INSERT INTO cli_contacto (id_cliente, nombre, apellido_paterno, apellido_materno, telefono1, telefono2, telefono3, email, direccion, es_principal, estado) SELECT "&amp;"(SELECT id FROM cli_clientes WHERE numero_documento = '"&amp;SUBSTITUTE(TRIM(A360),"'","''")&amp;"' AND estado = 1 LIMIT 1)"&amp;", "&amp;IF(TRIM(C360&amp;"")="","NULL","'"&amp;SUBSTITUTE(TRIM(C360),"'","''")&amp;"'")&amp;", "&amp;IF(TRIM(D360&amp;"")="","NULL","'"&amp;SUBSTITUTE(TRIM(D360),"'","''")&amp;"'")&amp;", "&amp;IF(TRIM(E360&amp;"")="","NULL","'"&amp;SUBSTITUTE(TRIM(E360),"'","''")&amp;"'")&amp;", "&amp;IF(TRIM(F360&amp;"")="","NULL","'"&amp;SUBSTITUTE(TRIM(F360),"'","''")&amp;"'")&amp;", "&amp;IF(TRIM(G360&amp;"")="","NULL","'"&amp;SUBSTITUTE(TRIM(G360),"'","''")&amp;"'")&amp;", "&amp;IF(TRIM(H360&amp;"")="","NULL","'"&amp;SUBSTITUTE(TRIM(H360),"'","''")&amp;"'")&amp;", "&amp;IF(TRIM(I360&amp;"")="","NULL","'"&amp;SUBSTITUTE(TRIM(I360),"'","''")&amp;"'")&amp;", "&amp;IF(TRIM(J360&amp;"")="","NULL","'"&amp;SUBSTITUTE(TRIM(J360),"'","''")&amp;"'")&amp;", "&amp;IF(UPPER(TRIM(K360&amp;""))="SI","TRUE","FALSE")&amp;", 1"&amp;" WHERE NOT EXISTS (SELECT 1 FROM cli_contacto c WHERE c.id_cliente = "&amp;"(SELECT id FROM cli_clientes WHERE numero_documento = '"&amp;SUBSTITUTE(TRIM(A360),"'","''")&amp;"' AND estado = 1 LIMIT 1)"&amp;" AND upper(c.nombre) = upper("&amp;IF(TRIM(C360&amp;"")="","NULL","'"&amp;SUBSTITUTE(TRIM(C360),"'","''")&amp;"'")&amp;") AND coalesce(c.telefono1,'') = coalesce("&amp;IF(TRIM(F360&amp;"")="","NULL","'"&amp;SUBSTITUTE(TRIM(F360),"'","''")&amp;"'")&amp;",''));")</f>
        <v/>
      </c>
    </row>
    <row r="361" ht="15.75" customHeight="1" s="64">
      <c r="A361" s="23" t="n"/>
      <c r="B361" s="25">
        <f t="array" ref="B361">IF(A361="","",IFERROR(IF(INDEX(Clientes!$D$5:$D$549,MATCH(A361,Clientes!$C$5:$C$549,0))&lt;&gt;"",INDEX(Clientes!$D$5:$D$549,MATCH(A361,Clientes!$C$5:$C$549,0)),TRIM(INDEX(Clientes!$E$5:$E$549,MATCH(A361,Clientes!$C$5:$C$549,0))&amp;" "&amp;INDEX(Clientes!$F$5:$F$549,MATCH(A361,Clientes!$C$5:$C$549,0)))),"NO EXISTE en Clientes"))</f>
        <v/>
      </c>
      <c r="C361" s="17" t="n"/>
      <c r="D361" s="17" t="n"/>
      <c r="E361" s="17" t="n"/>
      <c r="F361" s="23" t="n"/>
      <c r="G361" s="23" t="n"/>
      <c r="H361" s="23" t="n"/>
      <c r="I361" s="17" t="n"/>
      <c r="J361" s="17" t="n"/>
      <c r="K361" s="17" t="n"/>
      <c r="L361" s="17">
        <f>IF(AND(A361="",C361=""),"",IF(A361="","FALTA doc. cliente",IF(B361="NO EXISTE en Clientes","CLIENTE no está en hoja Clientes",IF(C361="","FALTA nombre",IF(AND(K361="SI",COUNTIFS($A$5:$A$499,A361,$K$5:$K$499,"SI")&gt;1),"Más de un contacto principal para este cliente","OK")))))</f>
        <v/>
      </c>
      <c r="M361" s="28">
        <f>IF(L361&lt;&gt;"OK","","INSERT INTO cli_contacto (id_cliente, nombre, apellido_paterno, apellido_materno, telefono1, telefono2, telefono3, email, direccion, es_principal, estado) SELECT "&amp;"(SELECT id FROM cli_clientes WHERE numero_documento = '"&amp;SUBSTITUTE(TRIM(A361),"'","''")&amp;"' AND estado = 1 LIMIT 1)"&amp;", "&amp;IF(TRIM(C361&amp;"")="","NULL","'"&amp;SUBSTITUTE(TRIM(C361),"'","''")&amp;"'")&amp;", "&amp;IF(TRIM(D361&amp;"")="","NULL","'"&amp;SUBSTITUTE(TRIM(D361),"'","''")&amp;"'")&amp;", "&amp;IF(TRIM(E361&amp;"")="","NULL","'"&amp;SUBSTITUTE(TRIM(E361),"'","''")&amp;"'")&amp;", "&amp;IF(TRIM(F361&amp;"")="","NULL","'"&amp;SUBSTITUTE(TRIM(F361),"'","''")&amp;"'")&amp;", "&amp;IF(TRIM(G361&amp;"")="","NULL","'"&amp;SUBSTITUTE(TRIM(G361),"'","''")&amp;"'")&amp;", "&amp;IF(TRIM(H361&amp;"")="","NULL","'"&amp;SUBSTITUTE(TRIM(H361),"'","''")&amp;"'")&amp;", "&amp;IF(TRIM(I361&amp;"")="","NULL","'"&amp;SUBSTITUTE(TRIM(I361),"'","''")&amp;"'")&amp;", "&amp;IF(TRIM(J361&amp;"")="","NULL","'"&amp;SUBSTITUTE(TRIM(J361),"'","''")&amp;"'")&amp;", "&amp;IF(UPPER(TRIM(K361&amp;""))="SI","TRUE","FALSE")&amp;", 1"&amp;" WHERE NOT EXISTS (SELECT 1 FROM cli_contacto c WHERE c.id_cliente = "&amp;"(SELECT id FROM cli_clientes WHERE numero_documento = '"&amp;SUBSTITUTE(TRIM(A361),"'","''")&amp;"' AND estado = 1 LIMIT 1)"&amp;" AND upper(c.nombre) = upper("&amp;IF(TRIM(C361&amp;"")="","NULL","'"&amp;SUBSTITUTE(TRIM(C361),"'","''")&amp;"'")&amp;") AND coalesce(c.telefono1,'') = coalesce("&amp;IF(TRIM(F361&amp;"")="","NULL","'"&amp;SUBSTITUTE(TRIM(F361),"'","''")&amp;"'")&amp;",''));")</f>
        <v/>
      </c>
    </row>
    <row r="362" ht="15.75" customHeight="1" s="64">
      <c r="A362" s="23" t="n"/>
      <c r="B362" s="25">
        <f t="array" ref="B362">IF(A362="","",IFERROR(IF(INDEX(Clientes!$D$5:$D$549,MATCH(A362,Clientes!$C$5:$C$549,0))&lt;&gt;"",INDEX(Clientes!$D$5:$D$549,MATCH(A362,Clientes!$C$5:$C$549,0)),TRIM(INDEX(Clientes!$E$5:$E$549,MATCH(A362,Clientes!$C$5:$C$549,0))&amp;" "&amp;INDEX(Clientes!$F$5:$F$549,MATCH(A362,Clientes!$C$5:$C$549,0)))),"NO EXISTE en Clientes"))</f>
        <v/>
      </c>
      <c r="C362" s="17" t="n"/>
      <c r="D362" s="17" t="n"/>
      <c r="E362" s="17" t="n"/>
      <c r="F362" s="23" t="n"/>
      <c r="G362" s="23" t="n"/>
      <c r="H362" s="23" t="n"/>
      <c r="I362" s="17" t="n"/>
      <c r="J362" s="17" t="n"/>
      <c r="K362" s="17" t="n"/>
      <c r="L362" s="17">
        <f>IF(AND(A362="",C362=""),"",IF(A362="","FALTA doc. cliente",IF(B362="NO EXISTE en Clientes","CLIENTE no está en hoja Clientes",IF(C362="","FALTA nombre",IF(AND(K362="SI",COUNTIFS($A$5:$A$499,A362,$K$5:$K$499,"SI")&gt;1),"Más de un contacto principal para este cliente","OK")))))</f>
        <v/>
      </c>
      <c r="M362" s="28">
        <f>IF(L362&lt;&gt;"OK","","INSERT INTO cli_contacto (id_cliente, nombre, apellido_paterno, apellido_materno, telefono1, telefono2, telefono3, email, direccion, es_principal, estado) SELECT "&amp;"(SELECT id FROM cli_clientes WHERE numero_documento = '"&amp;SUBSTITUTE(TRIM(A362),"'","''")&amp;"' AND estado = 1 LIMIT 1)"&amp;", "&amp;IF(TRIM(C362&amp;"")="","NULL","'"&amp;SUBSTITUTE(TRIM(C362),"'","''")&amp;"'")&amp;", "&amp;IF(TRIM(D362&amp;"")="","NULL","'"&amp;SUBSTITUTE(TRIM(D362),"'","''")&amp;"'")&amp;", "&amp;IF(TRIM(E362&amp;"")="","NULL","'"&amp;SUBSTITUTE(TRIM(E362),"'","''")&amp;"'")&amp;", "&amp;IF(TRIM(F362&amp;"")="","NULL","'"&amp;SUBSTITUTE(TRIM(F362),"'","''")&amp;"'")&amp;", "&amp;IF(TRIM(G362&amp;"")="","NULL","'"&amp;SUBSTITUTE(TRIM(G362),"'","''")&amp;"'")&amp;", "&amp;IF(TRIM(H362&amp;"")="","NULL","'"&amp;SUBSTITUTE(TRIM(H362),"'","''")&amp;"'")&amp;", "&amp;IF(TRIM(I362&amp;"")="","NULL","'"&amp;SUBSTITUTE(TRIM(I362),"'","''")&amp;"'")&amp;", "&amp;IF(TRIM(J362&amp;"")="","NULL","'"&amp;SUBSTITUTE(TRIM(J362),"'","''")&amp;"'")&amp;", "&amp;IF(UPPER(TRIM(K362&amp;""))="SI","TRUE","FALSE")&amp;", 1"&amp;" WHERE NOT EXISTS (SELECT 1 FROM cli_contacto c WHERE c.id_cliente = "&amp;"(SELECT id FROM cli_clientes WHERE numero_documento = '"&amp;SUBSTITUTE(TRIM(A362),"'","''")&amp;"' AND estado = 1 LIMIT 1)"&amp;" AND upper(c.nombre) = upper("&amp;IF(TRIM(C362&amp;"")="","NULL","'"&amp;SUBSTITUTE(TRIM(C362),"'","''")&amp;"'")&amp;") AND coalesce(c.telefono1,'') = coalesce("&amp;IF(TRIM(F362&amp;"")="","NULL","'"&amp;SUBSTITUTE(TRIM(F362),"'","''")&amp;"'")&amp;",''));")</f>
        <v/>
      </c>
    </row>
    <row r="363" ht="15.75" customHeight="1" s="64">
      <c r="A363" s="23" t="n"/>
      <c r="B363" s="25">
        <f t="array" ref="B363">IF(A363="","",IFERROR(IF(INDEX(Clientes!$D$5:$D$549,MATCH(A363,Clientes!$C$5:$C$549,0))&lt;&gt;"",INDEX(Clientes!$D$5:$D$549,MATCH(A363,Clientes!$C$5:$C$549,0)),TRIM(INDEX(Clientes!$E$5:$E$549,MATCH(A363,Clientes!$C$5:$C$549,0))&amp;" "&amp;INDEX(Clientes!$F$5:$F$549,MATCH(A363,Clientes!$C$5:$C$549,0)))),"NO EXISTE en Clientes"))</f>
        <v/>
      </c>
      <c r="C363" s="17" t="n"/>
      <c r="D363" s="17" t="n"/>
      <c r="E363" s="17" t="n"/>
      <c r="F363" s="23" t="n"/>
      <c r="G363" s="23" t="n"/>
      <c r="H363" s="23" t="n"/>
      <c r="I363" s="17" t="n"/>
      <c r="J363" s="17" t="n"/>
      <c r="K363" s="17" t="n"/>
      <c r="L363" s="17">
        <f>IF(AND(A363="",C363=""),"",IF(A363="","FALTA doc. cliente",IF(B363="NO EXISTE en Clientes","CLIENTE no está en hoja Clientes",IF(C363="","FALTA nombre",IF(AND(K363="SI",COUNTIFS($A$5:$A$499,A363,$K$5:$K$499,"SI")&gt;1),"Más de un contacto principal para este cliente","OK")))))</f>
        <v/>
      </c>
      <c r="M363" s="28">
        <f>IF(L363&lt;&gt;"OK","","INSERT INTO cli_contacto (id_cliente, nombre, apellido_paterno, apellido_materno, telefono1, telefono2, telefono3, email, direccion, es_principal, estado) SELECT "&amp;"(SELECT id FROM cli_clientes WHERE numero_documento = '"&amp;SUBSTITUTE(TRIM(A363),"'","''")&amp;"' AND estado = 1 LIMIT 1)"&amp;", "&amp;IF(TRIM(C363&amp;"")="","NULL","'"&amp;SUBSTITUTE(TRIM(C363),"'","''")&amp;"'")&amp;", "&amp;IF(TRIM(D363&amp;"")="","NULL","'"&amp;SUBSTITUTE(TRIM(D363),"'","''")&amp;"'")&amp;", "&amp;IF(TRIM(E363&amp;"")="","NULL","'"&amp;SUBSTITUTE(TRIM(E363),"'","''")&amp;"'")&amp;", "&amp;IF(TRIM(F363&amp;"")="","NULL","'"&amp;SUBSTITUTE(TRIM(F363),"'","''")&amp;"'")&amp;", "&amp;IF(TRIM(G363&amp;"")="","NULL","'"&amp;SUBSTITUTE(TRIM(G363),"'","''")&amp;"'")&amp;", "&amp;IF(TRIM(H363&amp;"")="","NULL","'"&amp;SUBSTITUTE(TRIM(H363),"'","''")&amp;"'")&amp;", "&amp;IF(TRIM(I363&amp;"")="","NULL","'"&amp;SUBSTITUTE(TRIM(I363),"'","''")&amp;"'")&amp;", "&amp;IF(TRIM(J363&amp;"")="","NULL","'"&amp;SUBSTITUTE(TRIM(J363),"'","''")&amp;"'")&amp;", "&amp;IF(UPPER(TRIM(K363&amp;""))="SI","TRUE","FALSE")&amp;", 1"&amp;" WHERE NOT EXISTS (SELECT 1 FROM cli_contacto c WHERE c.id_cliente = "&amp;"(SELECT id FROM cli_clientes WHERE numero_documento = '"&amp;SUBSTITUTE(TRIM(A363),"'","''")&amp;"' AND estado = 1 LIMIT 1)"&amp;" AND upper(c.nombre) = upper("&amp;IF(TRIM(C363&amp;"")="","NULL","'"&amp;SUBSTITUTE(TRIM(C363),"'","''")&amp;"'")&amp;") AND coalesce(c.telefono1,'') = coalesce("&amp;IF(TRIM(F363&amp;"")="","NULL","'"&amp;SUBSTITUTE(TRIM(F363),"'","''")&amp;"'")&amp;",''));")</f>
        <v/>
      </c>
    </row>
    <row r="364" ht="15.75" customHeight="1" s="64">
      <c r="A364" s="23" t="n"/>
      <c r="B364" s="25">
        <f t="array" ref="B364">IF(A364="","",IFERROR(IF(INDEX(Clientes!$D$5:$D$549,MATCH(A364,Clientes!$C$5:$C$549,0))&lt;&gt;"",INDEX(Clientes!$D$5:$D$549,MATCH(A364,Clientes!$C$5:$C$549,0)),TRIM(INDEX(Clientes!$E$5:$E$549,MATCH(A364,Clientes!$C$5:$C$549,0))&amp;" "&amp;INDEX(Clientes!$F$5:$F$549,MATCH(A364,Clientes!$C$5:$C$549,0)))),"NO EXISTE en Clientes"))</f>
        <v/>
      </c>
      <c r="C364" s="17" t="n"/>
      <c r="D364" s="17" t="n"/>
      <c r="E364" s="17" t="n"/>
      <c r="F364" s="23" t="n"/>
      <c r="G364" s="23" t="n"/>
      <c r="H364" s="23" t="n"/>
      <c r="I364" s="17" t="n"/>
      <c r="J364" s="17" t="n"/>
      <c r="K364" s="17" t="n"/>
      <c r="L364" s="17">
        <f>IF(AND(A364="",C364=""),"",IF(A364="","FALTA doc. cliente",IF(B364="NO EXISTE en Clientes","CLIENTE no está en hoja Clientes",IF(C364="","FALTA nombre",IF(AND(K364="SI",COUNTIFS($A$5:$A$499,A364,$K$5:$K$499,"SI")&gt;1),"Más de un contacto principal para este cliente","OK")))))</f>
        <v/>
      </c>
      <c r="M364" s="28">
        <f>IF(L364&lt;&gt;"OK","","INSERT INTO cli_contacto (id_cliente, nombre, apellido_paterno, apellido_materno, telefono1, telefono2, telefono3, email, direccion, es_principal, estado) SELECT "&amp;"(SELECT id FROM cli_clientes WHERE numero_documento = '"&amp;SUBSTITUTE(TRIM(A364),"'","''")&amp;"' AND estado = 1 LIMIT 1)"&amp;", "&amp;IF(TRIM(C364&amp;"")="","NULL","'"&amp;SUBSTITUTE(TRIM(C364),"'","''")&amp;"'")&amp;", "&amp;IF(TRIM(D364&amp;"")="","NULL","'"&amp;SUBSTITUTE(TRIM(D364),"'","''")&amp;"'")&amp;", "&amp;IF(TRIM(E364&amp;"")="","NULL","'"&amp;SUBSTITUTE(TRIM(E364),"'","''")&amp;"'")&amp;", "&amp;IF(TRIM(F364&amp;"")="","NULL","'"&amp;SUBSTITUTE(TRIM(F364),"'","''")&amp;"'")&amp;", "&amp;IF(TRIM(G364&amp;"")="","NULL","'"&amp;SUBSTITUTE(TRIM(G364),"'","''")&amp;"'")&amp;", "&amp;IF(TRIM(H364&amp;"")="","NULL","'"&amp;SUBSTITUTE(TRIM(H364),"'","''")&amp;"'")&amp;", "&amp;IF(TRIM(I364&amp;"")="","NULL","'"&amp;SUBSTITUTE(TRIM(I364),"'","''")&amp;"'")&amp;", "&amp;IF(TRIM(J364&amp;"")="","NULL","'"&amp;SUBSTITUTE(TRIM(J364),"'","''")&amp;"'")&amp;", "&amp;IF(UPPER(TRIM(K364&amp;""))="SI","TRUE","FALSE")&amp;", 1"&amp;" WHERE NOT EXISTS (SELECT 1 FROM cli_contacto c WHERE c.id_cliente = "&amp;"(SELECT id FROM cli_clientes WHERE numero_documento = '"&amp;SUBSTITUTE(TRIM(A364),"'","''")&amp;"' AND estado = 1 LIMIT 1)"&amp;" AND upper(c.nombre) = upper("&amp;IF(TRIM(C364&amp;"")="","NULL","'"&amp;SUBSTITUTE(TRIM(C364),"'","''")&amp;"'")&amp;") AND coalesce(c.telefono1,'') = coalesce("&amp;IF(TRIM(F364&amp;"")="","NULL","'"&amp;SUBSTITUTE(TRIM(F364),"'","''")&amp;"'")&amp;",''));")</f>
        <v/>
      </c>
    </row>
    <row r="365" ht="15.75" customHeight="1" s="64">
      <c r="A365" s="23" t="n"/>
      <c r="B365" s="25">
        <f t="array" ref="B365">IF(A365="","",IFERROR(IF(INDEX(Clientes!$D$5:$D$549,MATCH(A365,Clientes!$C$5:$C$549,0))&lt;&gt;"",INDEX(Clientes!$D$5:$D$549,MATCH(A365,Clientes!$C$5:$C$549,0)),TRIM(INDEX(Clientes!$E$5:$E$549,MATCH(A365,Clientes!$C$5:$C$549,0))&amp;" "&amp;INDEX(Clientes!$F$5:$F$549,MATCH(A365,Clientes!$C$5:$C$549,0)))),"NO EXISTE en Clientes"))</f>
        <v/>
      </c>
      <c r="C365" s="17" t="n"/>
      <c r="D365" s="17" t="n"/>
      <c r="E365" s="17" t="n"/>
      <c r="F365" s="23" t="n"/>
      <c r="G365" s="23" t="n"/>
      <c r="H365" s="23" t="n"/>
      <c r="I365" s="17" t="n"/>
      <c r="J365" s="17" t="n"/>
      <c r="K365" s="17" t="n"/>
      <c r="L365" s="17">
        <f>IF(AND(A365="",C365=""),"",IF(A365="","FALTA doc. cliente",IF(B365="NO EXISTE en Clientes","CLIENTE no está en hoja Clientes",IF(C365="","FALTA nombre",IF(AND(K365="SI",COUNTIFS($A$5:$A$499,A365,$K$5:$K$499,"SI")&gt;1),"Más de un contacto principal para este cliente","OK")))))</f>
        <v/>
      </c>
      <c r="M365" s="28">
        <f>IF(L365&lt;&gt;"OK","","INSERT INTO cli_contacto (id_cliente, nombre, apellido_paterno, apellido_materno, telefono1, telefono2, telefono3, email, direccion, es_principal, estado) SELECT "&amp;"(SELECT id FROM cli_clientes WHERE numero_documento = '"&amp;SUBSTITUTE(TRIM(A365),"'","''")&amp;"' AND estado = 1 LIMIT 1)"&amp;", "&amp;IF(TRIM(C365&amp;"")="","NULL","'"&amp;SUBSTITUTE(TRIM(C365),"'","''")&amp;"'")&amp;", "&amp;IF(TRIM(D365&amp;"")="","NULL","'"&amp;SUBSTITUTE(TRIM(D365),"'","''")&amp;"'")&amp;", "&amp;IF(TRIM(E365&amp;"")="","NULL","'"&amp;SUBSTITUTE(TRIM(E365),"'","''")&amp;"'")&amp;", "&amp;IF(TRIM(F365&amp;"")="","NULL","'"&amp;SUBSTITUTE(TRIM(F365),"'","''")&amp;"'")&amp;", "&amp;IF(TRIM(G365&amp;"")="","NULL","'"&amp;SUBSTITUTE(TRIM(G365),"'","''")&amp;"'")&amp;", "&amp;IF(TRIM(H365&amp;"")="","NULL","'"&amp;SUBSTITUTE(TRIM(H365),"'","''")&amp;"'")&amp;", "&amp;IF(TRIM(I365&amp;"")="","NULL","'"&amp;SUBSTITUTE(TRIM(I365),"'","''")&amp;"'")&amp;", "&amp;IF(TRIM(J365&amp;"")="","NULL","'"&amp;SUBSTITUTE(TRIM(J365),"'","''")&amp;"'")&amp;", "&amp;IF(UPPER(TRIM(K365&amp;""))="SI","TRUE","FALSE")&amp;", 1"&amp;" WHERE NOT EXISTS (SELECT 1 FROM cli_contacto c WHERE c.id_cliente = "&amp;"(SELECT id FROM cli_clientes WHERE numero_documento = '"&amp;SUBSTITUTE(TRIM(A365),"'","''")&amp;"' AND estado = 1 LIMIT 1)"&amp;" AND upper(c.nombre) = upper("&amp;IF(TRIM(C365&amp;"")="","NULL","'"&amp;SUBSTITUTE(TRIM(C365),"'","''")&amp;"'")&amp;") AND coalesce(c.telefono1,'') = coalesce("&amp;IF(TRIM(F365&amp;"")="","NULL","'"&amp;SUBSTITUTE(TRIM(F365),"'","''")&amp;"'")&amp;",''));")</f>
        <v/>
      </c>
    </row>
    <row r="366" ht="15.75" customHeight="1" s="64">
      <c r="A366" s="23" t="n"/>
      <c r="B366" s="25">
        <f t="array" ref="B366">IF(A366="","",IFERROR(IF(INDEX(Clientes!$D$5:$D$549,MATCH(A366,Clientes!$C$5:$C$549,0))&lt;&gt;"",INDEX(Clientes!$D$5:$D$549,MATCH(A366,Clientes!$C$5:$C$549,0)),TRIM(INDEX(Clientes!$E$5:$E$549,MATCH(A366,Clientes!$C$5:$C$549,0))&amp;" "&amp;INDEX(Clientes!$F$5:$F$549,MATCH(A366,Clientes!$C$5:$C$549,0)))),"NO EXISTE en Clientes"))</f>
        <v/>
      </c>
      <c r="C366" s="17" t="n"/>
      <c r="D366" s="17" t="n"/>
      <c r="E366" s="17" t="n"/>
      <c r="F366" s="23" t="n"/>
      <c r="G366" s="23" t="n"/>
      <c r="H366" s="23" t="n"/>
      <c r="I366" s="17" t="n"/>
      <c r="J366" s="17" t="n"/>
      <c r="K366" s="17" t="n"/>
      <c r="L366" s="17">
        <f>IF(AND(A366="",C366=""),"",IF(A366="","FALTA doc. cliente",IF(B366="NO EXISTE en Clientes","CLIENTE no está en hoja Clientes",IF(C366="","FALTA nombre",IF(AND(K366="SI",COUNTIFS($A$5:$A$499,A366,$K$5:$K$499,"SI")&gt;1),"Más de un contacto principal para este cliente","OK")))))</f>
        <v/>
      </c>
      <c r="M366" s="28">
        <f>IF(L366&lt;&gt;"OK","","INSERT INTO cli_contacto (id_cliente, nombre, apellido_paterno, apellido_materno, telefono1, telefono2, telefono3, email, direccion, es_principal, estado) SELECT "&amp;"(SELECT id FROM cli_clientes WHERE numero_documento = '"&amp;SUBSTITUTE(TRIM(A366),"'","''")&amp;"' AND estado = 1 LIMIT 1)"&amp;", "&amp;IF(TRIM(C366&amp;"")="","NULL","'"&amp;SUBSTITUTE(TRIM(C366),"'","''")&amp;"'")&amp;", "&amp;IF(TRIM(D366&amp;"")="","NULL","'"&amp;SUBSTITUTE(TRIM(D366),"'","''")&amp;"'")&amp;", "&amp;IF(TRIM(E366&amp;"")="","NULL","'"&amp;SUBSTITUTE(TRIM(E366),"'","''")&amp;"'")&amp;", "&amp;IF(TRIM(F366&amp;"")="","NULL","'"&amp;SUBSTITUTE(TRIM(F366),"'","''")&amp;"'")&amp;", "&amp;IF(TRIM(G366&amp;"")="","NULL","'"&amp;SUBSTITUTE(TRIM(G366),"'","''")&amp;"'")&amp;", "&amp;IF(TRIM(H366&amp;"")="","NULL","'"&amp;SUBSTITUTE(TRIM(H366),"'","''")&amp;"'")&amp;", "&amp;IF(TRIM(I366&amp;"")="","NULL","'"&amp;SUBSTITUTE(TRIM(I366),"'","''")&amp;"'")&amp;", "&amp;IF(TRIM(J366&amp;"")="","NULL","'"&amp;SUBSTITUTE(TRIM(J366),"'","''")&amp;"'")&amp;", "&amp;IF(UPPER(TRIM(K366&amp;""))="SI","TRUE","FALSE")&amp;", 1"&amp;" WHERE NOT EXISTS (SELECT 1 FROM cli_contacto c WHERE c.id_cliente = "&amp;"(SELECT id FROM cli_clientes WHERE numero_documento = '"&amp;SUBSTITUTE(TRIM(A366),"'","''")&amp;"' AND estado = 1 LIMIT 1)"&amp;" AND upper(c.nombre) = upper("&amp;IF(TRIM(C366&amp;"")="","NULL","'"&amp;SUBSTITUTE(TRIM(C366),"'","''")&amp;"'")&amp;") AND coalesce(c.telefono1,'') = coalesce("&amp;IF(TRIM(F366&amp;"")="","NULL","'"&amp;SUBSTITUTE(TRIM(F366),"'","''")&amp;"'")&amp;",''));")</f>
        <v/>
      </c>
    </row>
    <row r="367" ht="15.75" customHeight="1" s="64">
      <c r="A367" s="23" t="n"/>
      <c r="B367" s="25">
        <f t="array" ref="B367">IF(A367="","",IFERROR(IF(INDEX(Clientes!$D$5:$D$549,MATCH(A367,Clientes!$C$5:$C$549,0))&lt;&gt;"",INDEX(Clientes!$D$5:$D$549,MATCH(A367,Clientes!$C$5:$C$549,0)),TRIM(INDEX(Clientes!$E$5:$E$549,MATCH(A367,Clientes!$C$5:$C$549,0))&amp;" "&amp;INDEX(Clientes!$F$5:$F$549,MATCH(A367,Clientes!$C$5:$C$549,0)))),"NO EXISTE en Clientes"))</f>
        <v/>
      </c>
      <c r="C367" s="17" t="n"/>
      <c r="D367" s="17" t="n"/>
      <c r="E367" s="17" t="n"/>
      <c r="F367" s="23" t="n"/>
      <c r="G367" s="23" t="n"/>
      <c r="H367" s="23" t="n"/>
      <c r="I367" s="17" t="n"/>
      <c r="J367" s="17" t="n"/>
      <c r="K367" s="17" t="n"/>
      <c r="L367" s="17">
        <f>IF(AND(A367="",C367=""),"",IF(A367="","FALTA doc. cliente",IF(B367="NO EXISTE en Clientes","CLIENTE no está en hoja Clientes",IF(C367="","FALTA nombre",IF(AND(K367="SI",COUNTIFS($A$5:$A$499,A367,$K$5:$K$499,"SI")&gt;1),"Más de un contacto principal para este cliente","OK")))))</f>
        <v/>
      </c>
      <c r="M367" s="28">
        <f>IF(L367&lt;&gt;"OK","","INSERT INTO cli_contacto (id_cliente, nombre, apellido_paterno, apellido_materno, telefono1, telefono2, telefono3, email, direccion, es_principal, estado) SELECT "&amp;"(SELECT id FROM cli_clientes WHERE numero_documento = '"&amp;SUBSTITUTE(TRIM(A367),"'","''")&amp;"' AND estado = 1 LIMIT 1)"&amp;", "&amp;IF(TRIM(C367&amp;"")="","NULL","'"&amp;SUBSTITUTE(TRIM(C367),"'","''")&amp;"'")&amp;", "&amp;IF(TRIM(D367&amp;"")="","NULL","'"&amp;SUBSTITUTE(TRIM(D367),"'","''")&amp;"'")&amp;", "&amp;IF(TRIM(E367&amp;"")="","NULL","'"&amp;SUBSTITUTE(TRIM(E367),"'","''")&amp;"'")&amp;", "&amp;IF(TRIM(F367&amp;"")="","NULL","'"&amp;SUBSTITUTE(TRIM(F367),"'","''")&amp;"'")&amp;", "&amp;IF(TRIM(G367&amp;"")="","NULL","'"&amp;SUBSTITUTE(TRIM(G367),"'","''")&amp;"'")&amp;", "&amp;IF(TRIM(H367&amp;"")="","NULL","'"&amp;SUBSTITUTE(TRIM(H367),"'","''")&amp;"'")&amp;", "&amp;IF(TRIM(I367&amp;"")="","NULL","'"&amp;SUBSTITUTE(TRIM(I367),"'","''")&amp;"'")&amp;", "&amp;IF(TRIM(J367&amp;"")="","NULL","'"&amp;SUBSTITUTE(TRIM(J367),"'","''")&amp;"'")&amp;", "&amp;IF(UPPER(TRIM(K367&amp;""))="SI","TRUE","FALSE")&amp;", 1"&amp;" WHERE NOT EXISTS (SELECT 1 FROM cli_contacto c WHERE c.id_cliente = "&amp;"(SELECT id FROM cli_clientes WHERE numero_documento = '"&amp;SUBSTITUTE(TRIM(A367),"'","''")&amp;"' AND estado = 1 LIMIT 1)"&amp;" AND upper(c.nombre) = upper("&amp;IF(TRIM(C367&amp;"")="","NULL","'"&amp;SUBSTITUTE(TRIM(C367),"'","''")&amp;"'")&amp;") AND coalesce(c.telefono1,'') = coalesce("&amp;IF(TRIM(F367&amp;"")="","NULL","'"&amp;SUBSTITUTE(TRIM(F367),"'","''")&amp;"'")&amp;",''));")</f>
        <v/>
      </c>
    </row>
    <row r="368" ht="15.75" customHeight="1" s="64">
      <c r="A368" s="23" t="n"/>
      <c r="B368" s="25">
        <f t="array" ref="B368">IF(A368="","",IFERROR(IF(INDEX(Clientes!$D$5:$D$549,MATCH(A368,Clientes!$C$5:$C$549,0))&lt;&gt;"",INDEX(Clientes!$D$5:$D$549,MATCH(A368,Clientes!$C$5:$C$549,0)),TRIM(INDEX(Clientes!$E$5:$E$549,MATCH(A368,Clientes!$C$5:$C$549,0))&amp;" "&amp;INDEX(Clientes!$F$5:$F$549,MATCH(A368,Clientes!$C$5:$C$549,0)))),"NO EXISTE en Clientes"))</f>
        <v/>
      </c>
      <c r="C368" s="17" t="n"/>
      <c r="D368" s="17" t="n"/>
      <c r="E368" s="17" t="n"/>
      <c r="F368" s="23" t="n"/>
      <c r="G368" s="23" t="n"/>
      <c r="H368" s="23" t="n"/>
      <c r="I368" s="17" t="n"/>
      <c r="J368" s="17" t="n"/>
      <c r="K368" s="17" t="n"/>
      <c r="L368" s="17">
        <f>IF(AND(A368="",C368=""),"",IF(A368="","FALTA doc. cliente",IF(B368="NO EXISTE en Clientes","CLIENTE no está en hoja Clientes",IF(C368="","FALTA nombre",IF(AND(K368="SI",COUNTIFS($A$5:$A$499,A368,$K$5:$K$499,"SI")&gt;1),"Más de un contacto principal para este cliente","OK")))))</f>
        <v/>
      </c>
      <c r="M368" s="28">
        <f>IF(L368&lt;&gt;"OK","","INSERT INTO cli_contacto (id_cliente, nombre, apellido_paterno, apellido_materno, telefono1, telefono2, telefono3, email, direccion, es_principal, estado) SELECT "&amp;"(SELECT id FROM cli_clientes WHERE numero_documento = '"&amp;SUBSTITUTE(TRIM(A368),"'","''")&amp;"' AND estado = 1 LIMIT 1)"&amp;", "&amp;IF(TRIM(C368&amp;"")="","NULL","'"&amp;SUBSTITUTE(TRIM(C368),"'","''")&amp;"'")&amp;", "&amp;IF(TRIM(D368&amp;"")="","NULL","'"&amp;SUBSTITUTE(TRIM(D368),"'","''")&amp;"'")&amp;", "&amp;IF(TRIM(E368&amp;"")="","NULL","'"&amp;SUBSTITUTE(TRIM(E368),"'","''")&amp;"'")&amp;", "&amp;IF(TRIM(F368&amp;"")="","NULL","'"&amp;SUBSTITUTE(TRIM(F368),"'","''")&amp;"'")&amp;", "&amp;IF(TRIM(G368&amp;"")="","NULL","'"&amp;SUBSTITUTE(TRIM(G368),"'","''")&amp;"'")&amp;", "&amp;IF(TRIM(H368&amp;"")="","NULL","'"&amp;SUBSTITUTE(TRIM(H368),"'","''")&amp;"'")&amp;", "&amp;IF(TRIM(I368&amp;"")="","NULL","'"&amp;SUBSTITUTE(TRIM(I368),"'","''")&amp;"'")&amp;", "&amp;IF(TRIM(J368&amp;"")="","NULL","'"&amp;SUBSTITUTE(TRIM(J368),"'","''")&amp;"'")&amp;", "&amp;IF(UPPER(TRIM(K368&amp;""))="SI","TRUE","FALSE")&amp;", 1"&amp;" WHERE NOT EXISTS (SELECT 1 FROM cli_contacto c WHERE c.id_cliente = "&amp;"(SELECT id FROM cli_clientes WHERE numero_documento = '"&amp;SUBSTITUTE(TRIM(A368),"'","''")&amp;"' AND estado = 1 LIMIT 1)"&amp;" AND upper(c.nombre) = upper("&amp;IF(TRIM(C368&amp;"")="","NULL","'"&amp;SUBSTITUTE(TRIM(C368),"'","''")&amp;"'")&amp;") AND coalesce(c.telefono1,'') = coalesce("&amp;IF(TRIM(F368&amp;"")="","NULL","'"&amp;SUBSTITUTE(TRIM(F368),"'","''")&amp;"'")&amp;",''));")</f>
        <v/>
      </c>
    </row>
    <row r="369" ht="15.75" customHeight="1" s="64">
      <c r="A369" s="23" t="n"/>
      <c r="B369" s="25">
        <f t="array" ref="B369">IF(A369="","",IFERROR(IF(INDEX(Clientes!$D$5:$D$549,MATCH(A369,Clientes!$C$5:$C$549,0))&lt;&gt;"",INDEX(Clientes!$D$5:$D$549,MATCH(A369,Clientes!$C$5:$C$549,0)),TRIM(INDEX(Clientes!$E$5:$E$549,MATCH(A369,Clientes!$C$5:$C$549,0))&amp;" "&amp;INDEX(Clientes!$F$5:$F$549,MATCH(A369,Clientes!$C$5:$C$549,0)))),"NO EXISTE en Clientes"))</f>
        <v/>
      </c>
      <c r="C369" s="17" t="n"/>
      <c r="D369" s="17" t="n"/>
      <c r="E369" s="17" t="n"/>
      <c r="F369" s="23" t="n"/>
      <c r="G369" s="23" t="n"/>
      <c r="H369" s="23" t="n"/>
      <c r="I369" s="17" t="n"/>
      <c r="J369" s="17" t="n"/>
      <c r="K369" s="17" t="n"/>
      <c r="L369" s="17">
        <f>IF(AND(A369="",C369=""),"",IF(A369="","FALTA doc. cliente",IF(B369="NO EXISTE en Clientes","CLIENTE no está en hoja Clientes",IF(C369="","FALTA nombre",IF(AND(K369="SI",COUNTIFS($A$5:$A$499,A369,$K$5:$K$499,"SI")&gt;1),"Más de un contacto principal para este cliente","OK")))))</f>
        <v/>
      </c>
      <c r="M369" s="28">
        <f>IF(L369&lt;&gt;"OK","","INSERT INTO cli_contacto (id_cliente, nombre, apellido_paterno, apellido_materno, telefono1, telefono2, telefono3, email, direccion, es_principal, estado) SELECT "&amp;"(SELECT id FROM cli_clientes WHERE numero_documento = '"&amp;SUBSTITUTE(TRIM(A369),"'","''")&amp;"' AND estado = 1 LIMIT 1)"&amp;", "&amp;IF(TRIM(C369&amp;"")="","NULL","'"&amp;SUBSTITUTE(TRIM(C369),"'","''")&amp;"'")&amp;", "&amp;IF(TRIM(D369&amp;"")="","NULL","'"&amp;SUBSTITUTE(TRIM(D369),"'","''")&amp;"'")&amp;", "&amp;IF(TRIM(E369&amp;"")="","NULL","'"&amp;SUBSTITUTE(TRIM(E369),"'","''")&amp;"'")&amp;", "&amp;IF(TRIM(F369&amp;"")="","NULL","'"&amp;SUBSTITUTE(TRIM(F369),"'","''")&amp;"'")&amp;", "&amp;IF(TRIM(G369&amp;"")="","NULL","'"&amp;SUBSTITUTE(TRIM(G369),"'","''")&amp;"'")&amp;", "&amp;IF(TRIM(H369&amp;"")="","NULL","'"&amp;SUBSTITUTE(TRIM(H369),"'","''")&amp;"'")&amp;", "&amp;IF(TRIM(I369&amp;"")="","NULL","'"&amp;SUBSTITUTE(TRIM(I369),"'","''")&amp;"'")&amp;", "&amp;IF(TRIM(J369&amp;"")="","NULL","'"&amp;SUBSTITUTE(TRIM(J369),"'","''")&amp;"'")&amp;", "&amp;IF(UPPER(TRIM(K369&amp;""))="SI","TRUE","FALSE")&amp;", 1"&amp;" WHERE NOT EXISTS (SELECT 1 FROM cli_contacto c WHERE c.id_cliente = "&amp;"(SELECT id FROM cli_clientes WHERE numero_documento = '"&amp;SUBSTITUTE(TRIM(A369),"'","''")&amp;"' AND estado = 1 LIMIT 1)"&amp;" AND upper(c.nombre) = upper("&amp;IF(TRIM(C369&amp;"")="","NULL","'"&amp;SUBSTITUTE(TRIM(C369),"'","''")&amp;"'")&amp;") AND coalesce(c.telefono1,'') = coalesce("&amp;IF(TRIM(F369&amp;"")="","NULL","'"&amp;SUBSTITUTE(TRIM(F369),"'","''")&amp;"'")&amp;",''));")</f>
        <v/>
      </c>
    </row>
    <row r="370" ht="15.75" customHeight="1" s="64">
      <c r="A370" s="23" t="n"/>
      <c r="B370" s="25">
        <f t="array" ref="B370">IF(A370="","",IFERROR(IF(INDEX(Clientes!$D$5:$D$549,MATCH(A370,Clientes!$C$5:$C$549,0))&lt;&gt;"",INDEX(Clientes!$D$5:$D$549,MATCH(A370,Clientes!$C$5:$C$549,0)),TRIM(INDEX(Clientes!$E$5:$E$549,MATCH(A370,Clientes!$C$5:$C$549,0))&amp;" "&amp;INDEX(Clientes!$F$5:$F$549,MATCH(A370,Clientes!$C$5:$C$549,0)))),"NO EXISTE en Clientes"))</f>
        <v/>
      </c>
      <c r="C370" s="17" t="n"/>
      <c r="D370" s="17" t="n"/>
      <c r="E370" s="17" t="n"/>
      <c r="F370" s="23" t="n"/>
      <c r="G370" s="23" t="n"/>
      <c r="H370" s="23" t="n"/>
      <c r="I370" s="17" t="n"/>
      <c r="J370" s="17" t="n"/>
      <c r="K370" s="17" t="n"/>
      <c r="L370" s="17">
        <f>IF(AND(A370="",C370=""),"",IF(A370="","FALTA doc. cliente",IF(B370="NO EXISTE en Clientes","CLIENTE no está en hoja Clientes",IF(C370="","FALTA nombre",IF(AND(K370="SI",COUNTIFS($A$5:$A$499,A370,$K$5:$K$499,"SI")&gt;1),"Más de un contacto principal para este cliente","OK")))))</f>
        <v/>
      </c>
      <c r="M370" s="28">
        <f>IF(L370&lt;&gt;"OK","","INSERT INTO cli_contacto (id_cliente, nombre, apellido_paterno, apellido_materno, telefono1, telefono2, telefono3, email, direccion, es_principal, estado) SELECT "&amp;"(SELECT id FROM cli_clientes WHERE numero_documento = '"&amp;SUBSTITUTE(TRIM(A370),"'","''")&amp;"' AND estado = 1 LIMIT 1)"&amp;", "&amp;IF(TRIM(C370&amp;"")="","NULL","'"&amp;SUBSTITUTE(TRIM(C370),"'","''")&amp;"'")&amp;", "&amp;IF(TRIM(D370&amp;"")="","NULL","'"&amp;SUBSTITUTE(TRIM(D370),"'","''")&amp;"'")&amp;", "&amp;IF(TRIM(E370&amp;"")="","NULL","'"&amp;SUBSTITUTE(TRIM(E370),"'","''")&amp;"'")&amp;", "&amp;IF(TRIM(F370&amp;"")="","NULL","'"&amp;SUBSTITUTE(TRIM(F370),"'","''")&amp;"'")&amp;", "&amp;IF(TRIM(G370&amp;"")="","NULL","'"&amp;SUBSTITUTE(TRIM(G370),"'","''")&amp;"'")&amp;", "&amp;IF(TRIM(H370&amp;"")="","NULL","'"&amp;SUBSTITUTE(TRIM(H370),"'","''")&amp;"'")&amp;", "&amp;IF(TRIM(I370&amp;"")="","NULL","'"&amp;SUBSTITUTE(TRIM(I370),"'","''")&amp;"'")&amp;", "&amp;IF(TRIM(J370&amp;"")="","NULL","'"&amp;SUBSTITUTE(TRIM(J370),"'","''")&amp;"'")&amp;", "&amp;IF(UPPER(TRIM(K370&amp;""))="SI","TRUE","FALSE")&amp;", 1"&amp;" WHERE NOT EXISTS (SELECT 1 FROM cli_contacto c WHERE c.id_cliente = "&amp;"(SELECT id FROM cli_clientes WHERE numero_documento = '"&amp;SUBSTITUTE(TRIM(A370),"'","''")&amp;"' AND estado = 1 LIMIT 1)"&amp;" AND upper(c.nombre) = upper("&amp;IF(TRIM(C370&amp;"")="","NULL","'"&amp;SUBSTITUTE(TRIM(C370),"'","''")&amp;"'")&amp;") AND coalesce(c.telefono1,'') = coalesce("&amp;IF(TRIM(F370&amp;"")="","NULL","'"&amp;SUBSTITUTE(TRIM(F370),"'","''")&amp;"'")&amp;",''));")</f>
        <v/>
      </c>
    </row>
    <row r="371" ht="15.75" customHeight="1" s="64">
      <c r="A371" s="23" t="n"/>
      <c r="B371" s="25">
        <f t="array" ref="B371">IF(A371="","",IFERROR(IF(INDEX(Clientes!$D$5:$D$549,MATCH(A371,Clientes!$C$5:$C$549,0))&lt;&gt;"",INDEX(Clientes!$D$5:$D$549,MATCH(A371,Clientes!$C$5:$C$549,0)),TRIM(INDEX(Clientes!$E$5:$E$549,MATCH(A371,Clientes!$C$5:$C$549,0))&amp;" "&amp;INDEX(Clientes!$F$5:$F$549,MATCH(A371,Clientes!$C$5:$C$549,0)))),"NO EXISTE en Clientes"))</f>
        <v/>
      </c>
      <c r="C371" s="17" t="n"/>
      <c r="D371" s="17" t="n"/>
      <c r="E371" s="17" t="n"/>
      <c r="F371" s="23" t="n"/>
      <c r="G371" s="23" t="n"/>
      <c r="H371" s="23" t="n"/>
      <c r="I371" s="17" t="n"/>
      <c r="J371" s="17" t="n"/>
      <c r="K371" s="17" t="n"/>
      <c r="L371" s="17">
        <f>IF(AND(A371="",C371=""),"",IF(A371="","FALTA doc. cliente",IF(B371="NO EXISTE en Clientes","CLIENTE no está en hoja Clientes",IF(C371="","FALTA nombre",IF(AND(K371="SI",COUNTIFS($A$5:$A$499,A371,$K$5:$K$499,"SI")&gt;1),"Más de un contacto principal para este cliente","OK")))))</f>
        <v/>
      </c>
      <c r="M371" s="28">
        <f>IF(L371&lt;&gt;"OK","","INSERT INTO cli_contacto (id_cliente, nombre, apellido_paterno, apellido_materno, telefono1, telefono2, telefono3, email, direccion, es_principal, estado) SELECT "&amp;"(SELECT id FROM cli_clientes WHERE numero_documento = '"&amp;SUBSTITUTE(TRIM(A371),"'","''")&amp;"' AND estado = 1 LIMIT 1)"&amp;", "&amp;IF(TRIM(C371&amp;"")="","NULL","'"&amp;SUBSTITUTE(TRIM(C371),"'","''")&amp;"'")&amp;", "&amp;IF(TRIM(D371&amp;"")="","NULL","'"&amp;SUBSTITUTE(TRIM(D371),"'","''")&amp;"'")&amp;", "&amp;IF(TRIM(E371&amp;"")="","NULL","'"&amp;SUBSTITUTE(TRIM(E371),"'","''")&amp;"'")&amp;", "&amp;IF(TRIM(F371&amp;"")="","NULL","'"&amp;SUBSTITUTE(TRIM(F371),"'","''")&amp;"'")&amp;", "&amp;IF(TRIM(G371&amp;"")="","NULL","'"&amp;SUBSTITUTE(TRIM(G371),"'","''")&amp;"'")&amp;", "&amp;IF(TRIM(H371&amp;"")="","NULL","'"&amp;SUBSTITUTE(TRIM(H371),"'","''")&amp;"'")&amp;", "&amp;IF(TRIM(I371&amp;"")="","NULL","'"&amp;SUBSTITUTE(TRIM(I371),"'","''")&amp;"'")&amp;", "&amp;IF(TRIM(J371&amp;"")="","NULL","'"&amp;SUBSTITUTE(TRIM(J371),"'","''")&amp;"'")&amp;", "&amp;IF(UPPER(TRIM(K371&amp;""))="SI","TRUE","FALSE")&amp;", 1"&amp;" WHERE NOT EXISTS (SELECT 1 FROM cli_contacto c WHERE c.id_cliente = "&amp;"(SELECT id FROM cli_clientes WHERE numero_documento = '"&amp;SUBSTITUTE(TRIM(A371),"'","''")&amp;"' AND estado = 1 LIMIT 1)"&amp;" AND upper(c.nombre) = upper("&amp;IF(TRIM(C371&amp;"")="","NULL","'"&amp;SUBSTITUTE(TRIM(C371),"'","''")&amp;"'")&amp;") AND coalesce(c.telefono1,'') = coalesce("&amp;IF(TRIM(F371&amp;"")="","NULL","'"&amp;SUBSTITUTE(TRIM(F371),"'","''")&amp;"'")&amp;",''));")</f>
        <v/>
      </c>
    </row>
    <row r="372" ht="15.75" customHeight="1" s="64">
      <c r="A372" s="23" t="n"/>
      <c r="B372" s="25">
        <f t="array" ref="B372">IF(A372="","",IFERROR(IF(INDEX(Clientes!$D$5:$D$549,MATCH(A372,Clientes!$C$5:$C$549,0))&lt;&gt;"",INDEX(Clientes!$D$5:$D$549,MATCH(A372,Clientes!$C$5:$C$549,0)),TRIM(INDEX(Clientes!$E$5:$E$549,MATCH(A372,Clientes!$C$5:$C$549,0))&amp;" "&amp;INDEX(Clientes!$F$5:$F$549,MATCH(A372,Clientes!$C$5:$C$549,0)))),"NO EXISTE en Clientes"))</f>
        <v/>
      </c>
      <c r="C372" s="17" t="n"/>
      <c r="D372" s="17" t="n"/>
      <c r="E372" s="17" t="n"/>
      <c r="F372" s="23" t="n"/>
      <c r="G372" s="23" t="n"/>
      <c r="H372" s="23" t="n"/>
      <c r="I372" s="17" t="n"/>
      <c r="J372" s="17" t="n"/>
      <c r="K372" s="17" t="n"/>
      <c r="L372" s="17">
        <f>IF(AND(A372="",C372=""),"",IF(A372="","FALTA doc. cliente",IF(B372="NO EXISTE en Clientes","CLIENTE no está en hoja Clientes",IF(C372="","FALTA nombre",IF(AND(K372="SI",COUNTIFS($A$5:$A$499,A372,$K$5:$K$499,"SI")&gt;1),"Más de un contacto principal para este cliente","OK")))))</f>
        <v/>
      </c>
      <c r="M372" s="28">
        <f>IF(L372&lt;&gt;"OK","","INSERT INTO cli_contacto (id_cliente, nombre, apellido_paterno, apellido_materno, telefono1, telefono2, telefono3, email, direccion, es_principal, estado) SELECT "&amp;"(SELECT id FROM cli_clientes WHERE numero_documento = '"&amp;SUBSTITUTE(TRIM(A372),"'","''")&amp;"' AND estado = 1 LIMIT 1)"&amp;", "&amp;IF(TRIM(C372&amp;"")="","NULL","'"&amp;SUBSTITUTE(TRIM(C372),"'","''")&amp;"'")&amp;", "&amp;IF(TRIM(D372&amp;"")="","NULL","'"&amp;SUBSTITUTE(TRIM(D372),"'","''")&amp;"'")&amp;", "&amp;IF(TRIM(E372&amp;"")="","NULL","'"&amp;SUBSTITUTE(TRIM(E372),"'","''")&amp;"'")&amp;", "&amp;IF(TRIM(F372&amp;"")="","NULL","'"&amp;SUBSTITUTE(TRIM(F372),"'","''")&amp;"'")&amp;", "&amp;IF(TRIM(G372&amp;"")="","NULL","'"&amp;SUBSTITUTE(TRIM(G372),"'","''")&amp;"'")&amp;", "&amp;IF(TRIM(H372&amp;"")="","NULL","'"&amp;SUBSTITUTE(TRIM(H372),"'","''")&amp;"'")&amp;", "&amp;IF(TRIM(I372&amp;"")="","NULL","'"&amp;SUBSTITUTE(TRIM(I372),"'","''")&amp;"'")&amp;", "&amp;IF(TRIM(J372&amp;"")="","NULL","'"&amp;SUBSTITUTE(TRIM(J372),"'","''")&amp;"'")&amp;", "&amp;IF(UPPER(TRIM(K372&amp;""))="SI","TRUE","FALSE")&amp;", 1"&amp;" WHERE NOT EXISTS (SELECT 1 FROM cli_contacto c WHERE c.id_cliente = "&amp;"(SELECT id FROM cli_clientes WHERE numero_documento = '"&amp;SUBSTITUTE(TRIM(A372),"'","''")&amp;"' AND estado = 1 LIMIT 1)"&amp;" AND upper(c.nombre) = upper("&amp;IF(TRIM(C372&amp;"")="","NULL","'"&amp;SUBSTITUTE(TRIM(C372),"'","''")&amp;"'")&amp;") AND coalesce(c.telefono1,'') = coalesce("&amp;IF(TRIM(F372&amp;"")="","NULL","'"&amp;SUBSTITUTE(TRIM(F372),"'","''")&amp;"'")&amp;",''));")</f>
        <v/>
      </c>
    </row>
    <row r="373" ht="15.75" customHeight="1" s="64">
      <c r="A373" s="23" t="n"/>
      <c r="B373" s="25">
        <f t="array" ref="B373">IF(A373="","",IFERROR(IF(INDEX(Clientes!$D$5:$D$549,MATCH(A373,Clientes!$C$5:$C$549,0))&lt;&gt;"",INDEX(Clientes!$D$5:$D$549,MATCH(A373,Clientes!$C$5:$C$549,0)),TRIM(INDEX(Clientes!$E$5:$E$549,MATCH(A373,Clientes!$C$5:$C$549,0))&amp;" "&amp;INDEX(Clientes!$F$5:$F$549,MATCH(A373,Clientes!$C$5:$C$549,0)))),"NO EXISTE en Clientes"))</f>
        <v/>
      </c>
      <c r="C373" s="17" t="n"/>
      <c r="D373" s="17" t="n"/>
      <c r="E373" s="17" t="n"/>
      <c r="F373" s="23" t="n"/>
      <c r="G373" s="23" t="n"/>
      <c r="H373" s="23" t="n"/>
      <c r="I373" s="17" t="n"/>
      <c r="J373" s="17" t="n"/>
      <c r="K373" s="17" t="n"/>
      <c r="L373" s="17">
        <f>IF(AND(A373="",C373=""),"",IF(A373="","FALTA doc. cliente",IF(B373="NO EXISTE en Clientes","CLIENTE no está en hoja Clientes",IF(C373="","FALTA nombre",IF(AND(K373="SI",COUNTIFS($A$5:$A$499,A373,$K$5:$K$499,"SI")&gt;1),"Más de un contacto principal para este cliente","OK")))))</f>
        <v/>
      </c>
      <c r="M373" s="28">
        <f>IF(L373&lt;&gt;"OK","","INSERT INTO cli_contacto (id_cliente, nombre, apellido_paterno, apellido_materno, telefono1, telefono2, telefono3, email, direccion, es_principal, estado) SELECT "&amp;"(SELECT id FROM cli_clientes WHERE numero_documento = '"&amp;SUBSTITUTE(TRIM(A373),"'","''")&amp;"' AND estado = 1 LIMIT 1)"&amp;", "&amp;IF(TRIM(C373&amp;"")="","NULL","'"&amp;SUBSTITUTE(TRIM(C373),"'","''")&amp;"'")&amp;", "&amp;IF(TRIM(D373&amp;"")="","NULL","'"&amp;SUBSTITUTE(TRIM(D373),"'","''")&amp;"'")&amp;", "&amp;IF(TRIM(E373&amp;"")="","NULL","'"&amp;SUBSTITUTE(TRIM(E373),"'","''")&amp;"'")&amp;", "&amp;IF(TRIM(F373&amp;"")="","NULL","'"&amp;SUBSTITUTE(TRIM(F373),"'","''")&amp;"'")&amp;", "&amp;IF(TRIM(G373&amp;"")="","NULL","'"&amp;SUBSTITUTE(TRIM(G373),"'","''")&amp;"'")&amp;", "&amp;IF(TRIM(H373&amp;"")="","NULL","'"&amp;SUBSTITUTE(TRIM(H373),"'","''")&amp;"'")&amp;", "&amp;IF(TRIM(I373&amp;"")="","NULL","'"&amp;SUBSTITUTE(TRIM(I373),"'","''")&amp;"'")&amp;", "&amp;IF(TRIM(J373&amp;"")="","NULL","'"&amp;SUBSTITUTE(TRIM(J373),"'","''")&amp;"'")&amp;", "&amp;IF(UPPER(TRIM(K373&amp;""))="SI","TRUE","FALSE")&amp;", 1"&amp;" WHERE NOT EXISTS (SELECT 1 FROM cli_contacto c WHERE c.id_cliente = "&amp;"(SELECT id FROM cli_clientes WHERE numero_documento = '"&amp;SUBSTITUTE(TRIM(A373),"'","''")&amp;"' AND estado = 1 LIMIT 1)"&amp;" AND upper(c.nombre) = upper("&amp;IF(TRIM(C373&amp;"")="","NULL","'"&amp;SUBSTITUTE(TRIM(C373),"'","''")&amp;"'")&amp;") AND coalesce(c.telefono1,'') = coalesce("&amp;IF(TRIM(F373&amp;"")="","NULL","'"&amp;SUBSTITUTE(TRIM(F373),"'","''")&amp;"'")&amp;",''));")</f>
        <v/>
      </c>
    </row>
    <row r="374" ht="15.75" customHeight="1" s="64">
      <c r="A374" s="23" t="n"/>
      <c r="B374" s="25">
        <f t="array" ref="B374">IF(A374="","",IFERROR(IF(INDEX(Clientes!$D$5:$D$549,MATCH(A374,Clientes!$C$5:$C$549,0))&lt;&gt;"",INDEX(Clientes!$D$5:$D$549,MATCH(A374,Clientes!$C$5:$C$549,0)),TRIM(INDEX(Clientes!$E$5:$E$549,MATCH(A374,Clientes!$C$5:$C$549,0))&amp;" "&amp;INDEX(Clientes!$F$5:$F$549,MATCH(A374,Clientes!$C$5:$C$549,0)))),"NO EXISTE en Clientes"))</f>
        <v/>
      </c>
      <c r="C374" s="17" t="n"/>
      <c r="D374" s="17" t="n"/>
      <c r="E374" s="17" t="n"/>
      <c r="F374" s="23" t="n"/>
      <c r="G374" s="23" t="n"/>
      <c r="H374" s="23" t="n"/>
      <c r="I374" s="17" t="n"/>
      <c r="J374" s="17" t="n"/>
      <c r="K374" s="17" t="n"/>
      <c r="L374" s="17">
        <f>IF(AND(A374="",C374=""),"",IF(A374="","FALTA doc. cliente",IF(B374="NO EXISTE en Clientes","CLIENTE no está en hoja Clientes",IF(C374="","FALTA nombre",IF(AND(K374="SI",COUNTIFS($A$5:$A$499,A374,$K$5:$K$499,"SI")&gt;1),"Más de un contacto principal para este cliente","OK")))))</f>
        <v/>
      </c>
      <c r="M374" s="28">
        <f>IF(L374&lt;&gt;"OK","","INSERT INTO cli_contacto (id_cliente, nombre, apellido_paterno, apellido_materno, telefono1, telefono2, telefono3, email, direccion, es_principal, estado) SELECT "&amp;"(SELECT id FROM cli_clientes WHERE numero_documento = '"&amp;SUBSTITUTE(TRIM(A374),"'","''")&amp;"' AND estado = 1 LIMIT 1)"&amp;", "&amp;IF(TRIM(C374&amp;"")="","NULL","'"&amp;SUBSTITUTE(TRIM(C374),"'","''")&amp;"'")&amp;", "&amp;IF(TRIM(D374&amp;"")="","NULL","'"&amp;SUBSTITUTE(TRIM(D374),"'","''")&amp;"'")&amp;", "&amp;IF(TRIM(E374&amp;"")="","NULL","'"&amp;SUBSTITUTE(TRIM(E374),"'","''")&amp;"'")&amp;", "&amp;IF(TRIM(F374&amp;"")="","NULL","'"&amp;SUBSTITUTE(TRIM(F374),"'","''")&amp;"'")&amp;", "&amp;IF(TRIM(G374&amp;"")="","NULL","'"&amp;SUBSTITUTE(TRIM(G374),"'","''")&amp;"'")&amp;", "&amp;IF(TRIM(H374&amp;"")="","NULL","'"&amp;SUBSTITUTE(TRIM(H374),"'","''")&amp;"'")&amp;", "&amp;IF(TRIM(I374&amp;"")="","NULL","'"&amp;SUBSTITUTE(TRIM(I374),"'","''")&amp;"'")&amp;", "&amp;IF(TRIM(J374&amp;"")="","NULL","'"&amp;SUBSTITUTE(TRIM(J374),"'","''")&amp;"'")&amp;", "&amp;IF(UPPER(TRIM(K374&amp;""))="SI","TRUE","FALSE")&amp;", 1"&amp;" WHERE NOT EXISTS (SELECT 1 FROM cli_contacto c WHERE c.id_cliente = "&amp;"(SELECT id FROM cli_clientes WHERE numero_documento = '"&amp;SUBSTITUTE(TRIM(A374),"'","''")&amp;"' AND estado = 1 LIMIT 1)"&amp;" AND upper(c.nombre) = upper("&amp;IF(TRIM(C374&amp;"")="","NULL","'"&amp;SUBSTITUTE(TRIM(C374),"'","''")&amp;"'")&amp;") AND coalesce(c.telefono1,'') = coalesce("&amp;IF(TRIM(F374&amp;"")="","NULL","'"&amp;SUBSTITUTE(TRIM(F374),"'","''")&amp;"'")&amp;",''));")</f>
        <v/>
      </c>
    </row>
    <row r="375" ht="15.75" customHeight="1" s="64">
      <c r="A375" s="23" t="n"/>
      <c r="B375" s="25">
        <f t="array" ref="B375">IF(A375="","",IFERROR(IF(INDEX(Clientes!$D$5:$D$549,MATCH(A375,Clientes!$C$5:$C$549,0))&lt;&gt;"",INDEX(Clientes!$D$5:$D$549,MATCH(A375,Clientes!$C$5:$C$549,0)),TRIM(INDEX(Clientes!$E$5:$E$549,MATCH(A375,Clientes!$C$5:$C$549,0))&amp;" "&amp;INDEX(Clientes!$F$5:$F$549,MATCH(A375,Clientes!$C$5:$C$549,0)))),"NO EXISTE en Clientes"))</f>
        <v/>
      </c>
      <c r="C375" s="17" t="n"/>
      <c r="D375" s="17" t="n"/>
      <c r="E375" s="17" t="n"/>
      <c r="F375" s="23" t="n"/>
      <c r="G375" s="23" t="n"/>
      <c r="H375" s="23" t="n"/>
      <c r="I375" s="17" t="n"/>
      <c r="J375" s="17" t="n"/>
      <c r="K375" s="17" t="n"/>
      <c r="L375" s="17">
        <f>IF(AND(A375="",C375=""),"",IF(A375="","FALTA doc. cliente",IF(B375="NO EXISTE en Clientes","CLIENTE no está en hoja Clientes",IF(C375="","FALTA nombre",IF(AND(K375="SI",COUNTIFS($A$5:$A$499,A375,$K$5:$K$499,"SI")&gt;1),"Más de un contacto principal para este cliente","OK")))))</f>
        <v/>
      </c>
      <c r="M375" s="28">
        <f>IF(L375&lt;&gt;"OK","","INSERT INTO cli_contacto (id_cliente, nombre, apellido_paterno, apellido_materno, telefono1, telefono2, telefono3, email, direccion, es_principal, estado) SELECT "&amp;"(SELECT id FROM cli_clientes WHERE numero_documento = '"&amp;SUBSTITUTE(TRIM(A375),"'","''")&amp;"' AND estado = 1 LIMIT 1)"&amp;", "&amp;IF(TRIM(C375&amp;"")="","NULL","'"&amp;SUBSTITUTE(TRIM(C375),"'","''")&amp;"'")&amp;", "&amp;IF(TRIM(D375&amp;"")="","NULL","'"&amp;SUBSTITUTE(TRIM(D375),"'","''")&amp;"'")&amp;", "&amp;IF(TRIM(E375&amp;"")="","NULL","'"&amp;SUBSTITUTE(TRIM(E375),"'","''")&amp;"'")&amp;", "&amp;IF(TRIM(F375&amp;"")="","NULL","'"&amp;SUBSTITUTE(TRIM(F375),"'","''")&amp;"'")&amp;", "&amp;IF(TRIM(G375&amp;"")="","NULL","'"&amp;SUBSTITUTE(TRIM(G375),"'","''")&amp;"'")&amp;", "&amp;IF(TRIM(H375&amp;"")="","NULL","'"&amp;SUBSTITUTE(TRIM(H375),"'","''")&amp;"'")&amp;", "&amp;IF(TRIM(I375&amp;"")="","NULL","'"&amp;SUBSTITUTE(TRIM(I375),"'","''")&amp;"'")&amp;", "&amp;IF(TRIM(J375&amp;"")="","NULL","'"&amp;SUBSTITUTE(TRIM(J375),"'","''")&amp;"'")&amp;", "&amp;IF(UPPER(TRIM(K375&amp;""))="SI","TRUE","FALSE")&amp;", 1"&amp;" WHERE NOT EXISTS (SELECT 1 FROM cli_contacto c WHERE c.id_cliente = "&amp;"(SELECT id FROM cli_clientes WHERE numero_documento = '"&amp;SUBSTITUTE(TRIM(A375),"'","''")&amp;"' AND estado = 1 LIMIT 1)"&amp;" AND upper(c.nombre) = upper("&amp;IF(TRIM(C375&amp;"")="","NULL","'"&amp;SUBSTITUTE(TRIM(C375),"'","''")&amp;"'")&amp;") AND coalesce(c.telefono1,'') = coalesce("&amp;IF(TRIM(F375&amp;"")="","NULL","'"&amp;SUBSTITUTE(TRIM(F375),"'","''")&amp;"'")&amp;",''));")</f>
        <v/>
      </c>
    </row>
    <row r="376" ht="15.75" customHeight="1" s="64">
      <c r="A376" s="23" t="n"/>
      <c r="B376" s="25">
        <f t="array" ref="B376">IF(A376="","",IFERROR(IF(INDEX(Clientes!$D$5:$D$549,MATCH(A376,Clientes!$C$5:$C$549,0))&lt;&gt;"",INDEX(Clientes!$D$5:$D$549,MATCH(A376,Clientes!$C$5:$C$549,0)),TRIM(INDEX(Clientes!$E$5:$E$549,MATCH(A376,Clientes!$C$5:$C$549,0))&amp;" "&amp;INDEX(Clientes!$F$5:$F$549,MATCH(A376,Clientes!$C$5:$C$549,0)))),"NO EXISTE en Clientes"))</f>
        <v/>
      </c>
      <c r="C376" s="17" t="n"/>
      <c r="D376" s="17" t="n"/>
      <c r="E376" s="17" t="n"/>
      <c r="F376" s="23" t="n"/>
      <c r="G376" s="23" t="n"/>
      <c r="H376" s="23" t="n"/>
      <c r="I376" s="17" t="n"/>
      <c r="J376" s="17" t="n"/>
      <c r="K376" s="17" t="n"/>
      <c r="L376" s="17">
        <f>IF(AND(A376="",C376=""),"",IF(A376="","FALTA doc. cliente",IF(B376="NO EXISTE en Clientes","CLIENTE no está en hoja Clientes",IF(C376="","FALTA nombre",IF(AND(K376="SI",COUNTIFS($A$5:$A$499,A376,$K$5:$K$499,"SI")&gt;1),"Más de un contacto principal para este cliente","OK")))))</f>
        <v/>
      </c>
      <c r="M376" s="28">
        <f>IF(L376&lt;&gt;"OK","","INSERT INTO cli_contacto (id_cliente, nombre, apellido_paterno, apellido_materno, telefono1, telefono2, telefono3, email, direccion, es_principal, estado) SELECT "&amp;"(SELECT id FROM cli_clientes WHERE numero_documento = '"&amp;SUBSTITUTE(TRIM(A376),"'","''")&amp;"' AND estado = 1 LIMIT 1)"&amp;", "&amp;IF(TRIM(C376&amp;"")="","NULL","'"&amp;SUBSTITUTE(TRIM(C376),"'","''")&amp;"'")&amp;", "&amp;IF(TRIM(D376&amp;"")="","NULL","'"&amp;SUBSTITUTE(TRIM(D376),"'","''")&amp;"'")&amp;", "&amp;IF(TRIM(E376&amp;"")="","NULL","'"&amp;SUBSTITUTE(TRIM(E376),"'","''")&amp;"'")&amp;", "&amp;IF(TRIM(F376&amp;"")="","NULL","'"&amp;SUBSTITUTE(TRIM(F376),"'","''")&amp;"'")&amp;", "&amp;IF(TRIM(G376&amp;"")="","NULL","'"&amp;SUBSTITUTE(TRIM(G376),"'","''")&amp;"'")&amp;", "&amp;IF(TRIM(H376&amp;"")="","NULL","'"&amp;SUBSTITUTE(TRIM(H376),"'","''")&amp;"'")&amp;", "&amp;IF(TRIM(I376&amp;"")="","NULL","'"&amp;SUBSTITUTE(TRIM(I376),"'","''")&amp;"'")&amp;", "&amp;IF(TRIM(J376&amp;"")="","NULL","'"&amp;SUBSTITUTE(TRIM(J376),"'","''")&amp;"'")&amp;", "&amp;IF(UPPER(TRIM(K376&amp;""))="SI","TRUE","FALSE")&amp;", 1"&amp;" WHERE NOT EXISTS (SELECT 1 FROM cli_contacto c WHERE c.id_cliente = "&amp;"(SELECT id FROM cli_clientes WHERE numero_documento = '"&amp;SUBSTITUTE(TRIM(A376),"'","''")&amp;"' AND estado = 1 LIMIT 1)"&amp;" AND upper(c.nombre) = upper("&amp;IF(TRIM(C376&amp;"")="","NULL","'"&amp;SUBSTITUTE(TRIM(C376),"'","''")&amp;"'")&amp;") AND coalesce(c.telefono1,'') = coalesce("&amp;IF(TRIM(F376&amp;"")="","NULL","'"&amp;SUBSTITUTE(TRIM(F376),"'","''")&amp;"'")&amp;",''));")</f>
        <v/>
      </c>
    </row>
    <row r="377" ht="15.75" customHeight="1" s="64">
      <c r="A377" s="23" t="n"/>
      <c r="B377" s="25">
        <f t="array" ref="B377">IF(A377="","",IFERROR(IF(INDEX(Clientes!$D$5:$D$549,MATCH(A377,Clientes!$C$5:$C$549,0))&lt;&gt;"",INDEX(Clientes!$D$5:$D$549,MATCH(A377,Clientes!$C$5:$C$549,0)),TRIM(INDEX(Clientes!$E$5:$E$549,MATCH(A377,Clientes!$C$5:$C$549,0))&amp;" "&amp;INDEX(Clientes!$F$5:$F$549,MATCH(A377,Clientes!$C$5:$C$549,0)))),"NO EXISTE en Clientes"))</f>
        <v/>
      </c>
      <c r="C377" s="17" t="n"/>
      <c r="D377" s="17" t="n"/>
      <c r="E377" s="17" t="n"/>
      <c r="F377" s="23" t="n"/>
      <c r="G377" s="23" t="n"/>
      <c r="H377" s="23" t="n"/>
      <c r="I377" s="17" t="n"/>
      <c r="J377" s="17" t="n"/>
      <c r="K377" s="17" t="n"/>
      <c r="L377" s="17">
        <f>IF(AND(A377="",C377=""),"",IF(A377="","FALTA doc. cliente",IF(B377="NO EXISTE en Clientes","CLIENTE no está en hoja Clientes",IF(C377="","FALTA nombre",IF(AND(K377="SI",COUNTIFS($A$5:$A$499,A377,$K$5:$K$499,"SI")&gt;1),"Más de un contacto principal para este cliente","OK")))))</f>
        <v/>
      </c>
      <c r="M377" s="28">
        <f>IF(L377&lt;&gt;"OK","","INSERT INTO cli_contacto (id_cliente, nombre, apellido_paterno, apellido_materno, telefono1, telefono2, telefono3, email, direccion, es_principal, estado) SELECT "&amp;"(SELECT id FROM cli_clientes WHERE numero_documento = '"&amp;SUBSTITUTE(TRIM(A377),"'","''")&amp;"' AND estado = 1 LIMIT 1)"&amp;", "&amp;IF(TRIM(C377&amp;"")="","NULL","'"&amp;SUBSTITUTE(TRIM(C377),"'","''")&amp;"'")&amp;", "&amp;IF(TRIM(D377&amp;"")="","NULL","'"&amp;SUBSTITUTE(TRIM(D377),"'","''")&amp;"'")&amp;", "&amp;IF(TRIM(E377&amp;"")="","NULL","'"&amp;SUBSTITUTE(TRIM(E377),"'","''")&amp;"'")&amp;", "&amp;IF(TRIM(F377&amp;"")="","NULL","'"&amp;SUBSTITUTE(TRIM(F377),"'","''")&amp;"'")&amp;", "&amp;IF(TRIM(G377&amp;"")="","NULL","'"&amp;SUBSTITUTE(TRIM(G377),"'","''")&amp;"'")&amp;", "&amp;IF(TRIM(H377&amp;"")="","NULL","'"&amp;SUBSTITUTE(TRIM(H377),"'","''")&amp;"'")&amp;", "&amp;IF(TRIM(I377&amp;"")="","NULL","'"&amp;SUBSTITUTE(TRIM(I377),"'","''")&amp;"'")&amp;", "&amp;IF(TRIM(J377&amp;"")="","NULL","'"&amp;SUBSTITUTE(TRIM(J377),"'","''")&amp;"'")&amp;", "&amp;IF(UPPER(TRIM(K377&amp;""))="SI","TRUE","FALSE")&amp;", 1"&amp;" WHERE NOT EXISTS (SELECT 1 FROM cli_contacto c WHERE c.id_cliente = "&amp;"(SELECT id FROM cli_clientes WHERE numero_documento = '"&amp;SUBSTITUTE(TRIM(A377),"'","''")&amp;"' AND estado = 1 LIMIT 1)"&amp;" AND upper(c.nombre) = upper("&amp;IF(TRIM(C377&amp;"")="","NULL","'"&amp;SUBSTITUTE(TRIM(C377),"'","''")&amp;"'")&amp;") AND coalesce(c.telefono1,'') = coalesce("&amp;IF(TRIM(F377&amp;"")="","NULL","'"&amp;SUBSTITUTE(TRIM(F377),"'","''")&amp;"'")&amp;",''));")</f>
        <v/>
      </c>
    </row>
    <row r="378" ht="15.75" customHeight="1" s="64">
      <c r="A378" s="23" t="n"/>
      <c r="B378" s="25">
        <f t="array" ref="B378">IF(A378="","",IFERROR(IF(INDEX(Clientes!$D$5:$D$549,MATCH(A378,Clientes!$C$5:$C$549,0))&lt;&gt;"",INDEX(Clientes!$D$5:$D$549,MATCH(A378,Clientes!$C$5:$C$549,0)),TRIM(INDEX(Clientes!$E$5:$E$549,MATCH(A378,Clientes!$C$5:$C$549,0))&amp;" "&amp;INDEX(Clientes!$F$5:$F$549,MATCH(A378,Clientes!$C$5:$C$549,0)))),"NO EXISTE en Clientes"))</f>
        <v/>
      </c>
      <c r="C378" s="17" t="n"/>
      <c r="D378" s="17" t="n"/>
      <c r="E378" s="17" t="n"/>
      <c r="F378" s="23" t="n"/>
      <c r="G378" s="23" t="n"/>
      <c r="H378" s="23" t="n"/>
      <c r="I378" s="17" t="n"/>
      <c r="J378" s="17" t="n"/>
      <c r="K378" s="17" t="n"/>
      <c r="L378" s="17">
        <f>IF(AND(A378="",C378=""),"",IF(A378="","FALTA doc. cliente",IF(B378="NO EXISTE en Clientes","CLIENTE no está en hoja Clientes",IF(C378="","FALTA nombre",IF(AND(K378="SI",COUNTIFS($A$5:$A$499,A378,$K$5:$K$499,"SI")&gt;1),"Más de un contacto principal para este cliente","OK")))))</f>
        <v/>
      </c>
      <c r="M378" s="28">
        <f>IF(L378&lt;&gt;"OK","","INSERT INTO cli_contacto (id_cliente, nombre, apellido_paterno, apellido_materno, telefono1, telefono2, telefono3, email, direccion, es_principal, estado) SELECT "&amp;"(SELECT id FROM cli_clientes WHERE numero_documento = '"&amp;SUBSTITUTE(TRIM(A378),"'","''")&amp;"' AND estado = 1 LIMIT 1)"&amp;", "&amp;IF(TRIM(C378&amp;"")="","NULL","'"&amp;SUBSTITUTE(TRIM(C378),"'","''")&amp;"'")&amp;", "&amp;IF(TRIM(D378&amp;"")="","NULL","'"&amp;SUBSTITUTE(TRIM(D378),"'","''")&amp;"'")&amp;", "&amp;IF(TRIM(E378&amp;"")="","NULL","'"&amp;SUBSTITUTE(TRIM(E378),"'","''")&amp;"'")&amp;", "&amp;IF(TRIM(F378&amp;"")="","NULL","'"&amp;SUBSTITUTE(TRIM(F378),"'","''")&amp;"'")&amp;", "&amp;IF(TRIM(G378&amp;"")="","NULL","'"&amp;SUBSTITUTE(TRIM(G378),"'","''")&amp;"'")&amp;", "&amp;IF(TRIM(H378&amp;"")="","NULL","'"&amp;SUBSTITUTE(TRIM(H378),"'","''")&amp;"'")&amp;", "&amp;IF(TRIM(I378&amp;"")="","NULL","'"&amp;SUBSTITUTE(TRIM(I378),"'","''")&amp;"'")&amp;", "&amp;IF(TRIM(J378&amp;"")="","NULL","'"&amp;SUBSTITUTE(TRIM(J378),"'","''")&amp;"'")&amp;", "&amp;IF(UPPER(TRIM(K378&amp;""))="SI","TRUE","FALSE")&amp;", 1"&amp;" WHERE NOT EXISTS (SELECT 1 FROM cli_contacto c WHERE c.id_cliente = "&amp;"(SELECT id FROM cli_clientes WHERE numero_documento = '"&amp;SUBSTITUTE(TRIM(A378),"'","''")&amp;"' AND estado = 1 LIMIT 1)"&amp;" AND upper(c.nombre) = upper("&amp;IF(TRIM(C378&amp;"")="","NULL","'"&amp;SUBSTITUTE(TRIM(C378),"'","''")&amp;"'")&amp;") AND coalesce(c.telefono1,'') = coalesce("&amp;IF(TRIM(F378&amp;"")="","NULL","'"&amp;SUBSTITUTE(TRIM(F378),"'","''")&amp;"'")&amp;",''));")</f>
        <v/>
      </c>
    </row>
    <row r="379" ht="15.75" customHeight="1" s="64">
      <c r="A379" s="23" t="n"/>
      <c r="B379" s="25">
        <f t="array" ref="B379">IF(A379="","",IFERROR(IF(INDEX(Clientes!$D$5:$D$549,MATCH(A379,Clientes!$C$5:$C$549,0))&lt;&gt;"",INDEX(Clientes!$D$5:$D$549,MATCH(A379,Clientes!$C$5:$C$549,0)),TRIM(INDEX(Clientes!$E$5:$E$549,MATCH(A379,Clientes!$C$5:$C$549,0))&amp;" "&amp;INDEX(Clientes!$F$5:$F$549,MATCH(A379,Clientes!$C$5:$C$549,0)))),"NO EXISTE en Clientes"))</f>
        <v/>
      </c>
      <c r="C379" s="17" t="n"/>
      <c r="D379" s="17" t="n"/>
      <c r="E379" s="17" t="n"/>
      <c r="F379" s="23" t="n"/>
      <c r="G379" s="23" t="n"/>
      <c r="H379" s="23" t="n"/>
      <c r="I379" s="17" t="n"/>
      <c r="J379" s="17" t="n"/>
      <c r="K379" s="17" t="n"/>
      <c r="L379" s="17">
        <f>IF(AND(A379="",C379=""),"",IF(A379="","FALTA doc. cliente",IF(B379="NO EXISTE en Clientes","CLIENTE no está en hoja Clientes",IF(C379="","FALTA nombre",IF(AND(K379="SI",COUNTIFS($A$5:$A$499,A379,$K$5:$K$499,"SI")&gt;1),"Más de un contacto principal para este cliente","OK")))))</f>
        <v/>
      </c>
      <c r="M379" s="28">
        <f>IF(L379&lt;&gt;"OK","","INSERT INTO cli_contacto (id_cliente, nombre, apellido_paterno, apellido_materno, telefono1, telefono2, telefono3, email, direccion, es_principal, estado) SELECT "&amp;"(SELECT id FROM cli_clientes WHERE numero_documento = '"&amp;SUBSTITUTE(TRIM(A379),"'","''")&amp;"' AND estado = 1 LIMIT 1)"&amp;", "&amp;IF(TRIM(C379&amp;"")="","NULL","'"&amp;SUBSTITUTE(TRIM(C379),"'","''")&amp;"'")&amp;", "&amp;IF(TRIM(D379&amp;"")="","NULL","'"&amp;SUBSTITUTE(TRIM(D379),"'","''")&amp;"'")&amp;", "&amp;IF(TRIM(E379&amp;"")="","NULL","'"&amp;SUBSTITUTE(TRIM(E379),"'","''")&amp;"'")&amp;", "&amp;IF(TRIM(F379&amp;"")="","NULL","'"&amp;SUBSTITUTE(TRIM(F379),"'","''")&amp;"'")&amp;", "&amp;IF(TRIM(G379&amp;"")="","NULL","'"&amp;SUBSTITUTE(TRIM(G379),"'","''")&amp;"'")&amp;", "&amp;IF(TRIM(H379&amp;"")="","NULL","'"&amp;SUBSTITUTE(TRIM(H379),"'","''")&amp;"'")&amp;", "&amp;IF(TRIM(I379&amp;"")="","NULL","'"&amp;SUBSTITUTE(TRIM(I379),"'","''")&amp;"'")&amp;", "&amp;IF(TRIM(J379&amp;"")="","NULL","'"&amp;SUBSTITUTE(TRIM(J379),"'","''")&amp;"'")&amp;", "&amp;IF(UPPER(TRIM(K379&amp;""))="SI","TRUE","FALSE")&amp;", 1"&amp;" WHERE NOT EXISTS (SELECT 1 FROM cli_contacto c WHERE c.id_cliente = "&amp;"(SELECT id FROM cli_clientes WHERE numero_documento = '"&amp;SUBSTITUTE(TRIM(A379),"'","''")&amp;"' AND estado = 1 LIMIT 1)"&amp;" AND upper(c.nombre) = upper("&amp;IF(TRIM(C379&amp;"")="","NULL","'"&amp;SUBSTITUTE(TRIM(C379),"'","''")&amp;"'")&amp;") AND coalesce(c.telefono1,'') = coalesce("&amp;IF(TRIM(F379&amp;"")="","NULL","'"&amp;SUBSTITUTE(TRIM(F379),"'","''")&amp;"'")&amp;",''));")</f>
        <v/>
      </c>
    </row>
    <row r="380" ht="15.75" customHeight="1" s="64">
      <c r="A380" s="23" t="n"/>
      <c r="B380" s="25">
        <f t="array" ref="B380">IF(A380="","",IFERROR(IF(INDEX(Clientes!$D$5:$D$549,MATCH(A380,Clientes!$C$5:$C$549,0))&lt;&gt;"",INDEX(Clientes!$D$5:$D$549,MATCH(A380,Clientes!$C$5:$C$549,0)),TRIM(INDEX(Clientes!$E$5:$E$549,MATCH(A380,Clientes!$C$5:$C$549,0))&amp;" "&amp;INDEX(Clientes!$F$5:$F$549,MATCH(A380,Clientes!$C$5:$C$549,0)))),"NO EXISTE en Clientes"))</f>
        <v/>
      </c>
      <c r="C380" s="17" t="n"/>
      <c r="D380" s="17" t="n"/>
      <c r="E380" s="17" t="n"/>
      <c r="F380" s="23" t="n"/>
      <c r="G380" s="23" t="n"/>
      <c r="H380" s="23" t="n"/>
      <c r="I380" s="17" t="n"/>
      <c r="J380" s="17" t="n"/>
      <c r="K380" s="17" t="n"/>
      <c r="L380" s="17">
        <f>IF(AND(A380="",C380=""),"",IF(A380="","FALTA doc. cliente",IF(B380="NO EXISTE en Clientes","CLIENTE no está en hoja Clientes",IF(C380="","FALTA nombre",IF(AND(K380="SI",COUNTIFS($A$5:$A$499,A380,$K$5:$K$499,"SI")&gt;1),"Más de un contacto principal para este cliente","OK")))))</f>
        <v/>
      </c>
      <c r="M380" s="28">
        <f>IF(L380&lt;&gt;"OK","","INSERT INTO cli_contacto (id_cliente, nombre, apellido_paterno, apellido_materno, telefono1, telefono2, telefono3, email, direccion, es_principal, estado) SELECT "&amp;"(SELECT id FROM cli_clientes WHERE numero_documento = '"&amp;SUBSTITUTE(TRIM(A380),"'","''")&amp;"' AND estado = 1 LIMIT 1)"&amp;", "&amp;IF(TRIM(C380&amp;"")="","NULL","'"&amp;SUBSTITUTE(TRIM(C380),"'","''")&amp;"'")&amp;", "&amp;IF(TRIM(D380&amp;"")="","NULL","'"&amp;SUBSTITUTE(TRIM(D380),"'","''")&amp;"'")&amp;", "&amp;IF(TRIM(E380&amp;"")="","NULL","'"&amp;SUBSTITUTE(TRIM(E380),"'","''")&amp;"'")&amp;", "&amp;IF(TRIM(F380&amp;"")="","NULL","'"&amp;SUBSTITUTE(TRIM(F380),"'","''")&amp;"'")&amp;", "&amp;IF(TRIM(G380&amp;"")="","NULL","'"&amp;SUBSTITUTE(TRIM(G380),"'","''")&amp;"'")&amp;", "&amp;IF(TRIM(H380&amp;"")="","NULL","'"&amp;SUBSTITUTE(TRIM(H380),"'","''")&amp;"'")&amp;", "&amp;IF(TRIM(I380&amp;"")="","NULL","'"&amp;SUBSTITUTE(TRIM(I380),"'","''")&amp;"'")&amp;", "&amp;IF(TRIM(J380&amp;"")="","NULL","'"&amp;SUBSTITUTE(TRIM(J380),"'","''")&amp;"'")&amp;", "&amp;IF(UPPER(TRIM(K380&amp;""))="SI","TRUE","FALSE")&amp;", 1"&amp;" WHERE NOT EXISTS (SELECT 1 FROM cli_contacto c WHERE c.id_cliente = "&amp;"(SELECT id FROM cli_clientes WHERE numero_documento = '"&amp;SUBSTITUTE(TRIM(A380),"'","''")&amp;"' AND estado = 1 LIMIT 1)"&amp;" AND upper(c.nombre) = upper("&amp;IF(TRIM(C380&amp;"")="","NULL","'"&amp;SUBSTITUTE(TRIM(C380),"'","''")&amp;"'")&amp;") AND coalesce(c.telefono1,'') = coalesce("&amp;IF(TRIM(F380&amp;"")="","NULL","'"&amp;SUBSTITUTE(TRIM(F380),"'","''")&amp;"'")&amp;",''));")</f>
        <v/>
      </c>
    </row>
    <row r="381" ht="15.75" customHeight="1" s="64">
      <c r="A381" s="23" t="n"/>
      <c r="B381" s="25">
        <f t="array" ref="B381">IF(A381="","",IFERROR(IF(INDEX(Clientes!$D$5:$D$549,MATCH(A381,Clientes!$C$5:$C$549,0))&lt;&gt;"",INDEX(Clientes!$D$5:$D$549,MATCH(A381,Clientes!$C$5:$C$549,0)),TRIM(INDEX(Clientes!$E$5:$E$549,MATCH(A381,Clientes!$C$5:$C$549,0))&amp;" "&amp;INDEX(Clientes!$F$5:$F$549,MATCH(A381,Clientes!$C$5:$C$549,0)))),"NO EXISTE en Clientes"))</f>
        <v/>
      </c>
      <c r="C381" s="17" t="n"/>
      <c r="D381" s="17" t="n"/>
      <c r="E381" s="17" t="n"/>
      <c r="F381" s="23" t="n"/>
      <c r="G381" s="23" t="n"/>
      <c r="H381" s="23" t="n"/>
      <c r="I381" s="17" t="n"/>
      <c r="J381" s="17" t="n"/>
      <c r="K381" s="17" t="n"/>
      <c r="L381" s="17">
        <f>IF(AND(A381="",C381=""),"",IF(A381="","FALTA doc. cliente",IF(B381="NO EXISTE en Clientes","CLIENTE no está en hoja Clientes",IF(C381="","FALTA nombre",IF(AND(K381="SI",COUNTIFS($A$5:$A$499,A381,$K$5:$K$499,"SI")&gt;1),"Más de un contacto principal para este cliente","OK")))))</f>
        <v/>
      </c>
      <c r="M381" s="28">
        <f>IF(L381&lt;&gt;"OK","","INSERT INTO cli_contacto (id_cliente, nombre, apellido_paterno, apellido_materno, telefono1, telefono2, telefono3, email, direccion, es_principal, estado) SELECT "&amp;"(SELECT id FROM cli_clientes WHERE numero_documento = '"&amp;SUBSTITUTE(TRIM(A381),"'","''")&amp;"' AND estado = 1 LIMIT 1)"&amp;", "&amp;IF(TRIM(C381&amp;"")="","NULL","'"&amp;SUBSTITUTE(TRIM(C381),"'","''")&amp;"'")&amp;", "&amp;IF(TRIM(D381&amp;"")="","NULL","'"&amp;SUBSTITUTE(TRIM(D381),"'","''")&amp;"'")&amp;", "&amp;IF(TRIM(E381&amp;"")="","NULL","'"&amp;SUBSTITUTE(TRIM(E381),"'","''")&amp;"'")&amp;", "&amp;IF(TRIM(F381&amp;"")="","NULL","'"&amp;SUBSTITUTE(TRIM(F381),"'","''")&amp;"'")&amp;", "&amp;IF(TRIM(G381&amp;"")="","NULL","'"&amp;SUBSTITUTE(TRIM(G381),"'","''")&amp;"'")&amp;", "&amp;IF(TRIM(H381&amp;"")="","NULL","'"&amp;SUBSTITUTE(TRIM(H381),"'","''")&amp;"'")&amp;", "&amp;IF(TRIM(I381&amp;"")="","NULL","'"&amp;SUBSTITUTE(TRIM(I381),"'","''")&amp;"'")&amp;", "&amp;IF(TRIM(J381&amp;"")="","NULL","'"&amp;SUBSTITUTE(TRIM(J381),"'","''")&amp;"'")&amp;", "&amp;IF(UPPER(TRIM(K381&amp;""))="SI","TRUE","FALSE")&amp;", 1"&amp;" WHERE NOT EXISTS (SELECT 1 FROM cli_contacto c WHERE c.id_cliente = "&amp;"(SELECT id FROM cli_clientes WHERE numero_documento = '"&amp;SUBSTITUTE(TRIM(A381),"'","''")&amp;"' AND estado = 1 LIMIT 1)"&amp;" AND upper(c.nombre) = upper("&amp;IF(TRIM(C381&amp;"")="","NULL","'"&amp;SUBSTITUTE(TRIM(C381),"'","''")&amp;"'")&amp;") AND coalesce(c.telefono1,'') = coalesce("&amp;IF(TRIM(F381&amp;"")="","NULL","'"&amp;SUBSTITUTE(TRIM(F381),"'","''")&amp;"'")&amp;",''));")</f>
        <v/>
      </c>
    </row>
    <row r="382" ht="15.75" customHeight="1" s="64">
      <c r="A382" s="23" t="n"/>
      <c r="B382" s="25">
        <f t="array" ref="B382">IF(A382="","",IFERROR(IF(INDEX(Clientes!$D$5:$D$549,MATCH(A382,Clientes!$C$5:$C$549,0))&lt;&gt;"",INDEX(Clientes!$D$5:$D$549,MATCH(A382,Clientes!$C$5:$C$549,0)),TRIM(INDEX(Clientes!$E$5:$E$549,MATCH(A382,Clientes!$C$5:$C$549,0))&amp;" "&amp;INDEX(Clientes!$F$5:$F$549,MATCH(A382,Clientes!$C$5:$C$549,0)))),"NO EXISTE en Clientes"))</f>
        <v/>
      </c>
      <c r="C382" s="17" t="n"/>
      <c r="D382" s="17" t="n"/>
      <c r="E382" s="17" t="n"/>
      <c r="F382" s="23" t="n"/>
      <c r="G382" s="23" t="n"/>
      <c r="H382" s="23" t="n"/>
      <c r="I382" s="17" t="n"/>
      <c r="J382" s="17" t="n"/>
      <c r="K382" s="17" t="n"/>
      <c r="L382" s="17">
        <f>IF(AND(A382="",C382=""),"",IF(A382="","FALTA doc. cliente",IF(B382="NO EXISTE en Clientes","CLIENTE no está en hoja Clientes",IF(C382="","FALTA nombre",IF(AND(K382="SI",COUNTIFS($A$5:$A$499,A382,$K$5:$K$499,"SI")&gt;1),"Más de un contacto principal para este cliente","OK")))))</f>
        <v/>
      </c>
      <c r="M382" s="28">
        <f>IF(L382&lt;&gt;"OK","","INSERT INTO cli_contacto (id_cliente, nombre, apellido_paterno, apellido_materno, telefono1, telefono2, telefono3, email, direccion, es_principal, estado) SELECT "&amp;"(SELECT id FROM cli_clientes WHERE numero_documento = '"&amp;SUBSTITUTE(TRIM(A382),"'","''")&amp;"' AND estado = 1 LIMIT 1)"&amp;", "&amp;IF(TRIM(C382&amp;"")="","NULL","'"&amp;SUBSTITUTE(TRIM(C382),"'","''")&amp;"'")&amp;", "&amp;IF(TRIM(D382&amp;"")="","NULL","'"&amp;SUBSTITUTE(TRIM(D382),"'","''")&amp;"'")&amp;", "&amp;IF(TRIM(E382&amp;"")="","NULL","'"&amp;SUBSTITUTE(TRIM(E382),"'","''")&amp;"'")&amp;", "&amp;IF(TRIM(F382&amp;"")="","NULL","'"&amp;SUBSTITUTE(TRIM(F382),"'","''")&amp;"'")&amp;", "&amp;IF(TRIM(G382&amp;"")="","NULL","'"&amp;SUBSTITUTE(TRIM(G382),"'","''")&amp;"'")&amp;", "&amp;IF(TRIM(H382&amp;"")="","NULL","'"&amp;SUBSTITUTE(TRIM(H382),"'","''")&amp;"'")&amp;", "&amp;IF(TRIM(I382&amp;"")="","NULL","'"&amp;SUBSTITUTE(TRIM(I382),"'","''")&amp;"'")&amp;", "&amp;IF(TRIM(J382&amp;"")="","NULL","'"&amp;SUBSTITUTE(TRIM(J382),"'","''")&amp;"'")&amp;", "&amp;IF(UPPER(TRIM(K382&amp;""))="SI","TRUE","FALSE")&amp;", 1"&amp;" WHERE NOT EXISTS (SELECT 1 FROM cli_contacto c WHERE c.id_cliente = "&amp;"(SELECT id FROM cli_clientes WHERE numero_documento = '"&amp;SUBSTITUTE(TRIM(A382),"'","''")&amp;"' AND estado = 1 LIMIT 1)"&amp;" AND upper(c.nombre) = upper("&amp;IF(TRIM(C382&amp;"")="","NULL","'"&amp;SUBSTITUTE(TRIM(C382),"'","''")&amp;"'")&amp;") AND coalesce(c.telefono1,'') = coalesce("&amp;IF(TRIM(F382&amp;"")="","NULL","'"&amp;SUBSTITUTE(TRIM(F382),"'","''")&amp;"'")&amp;",''));")</f>
        <v/>
      </c>
    </row>
    <row r="383" ht="15.75" customHeight="1" s="64">
      <c r="A383" s="23" t="n"/>
      <c r="B383" s="25">
        <f t="array" ref="B383">IF(A383="","",IFERROR(IF(INDEX(Clientes!$D$5:$D$549,MATCH(A383,Clientes!$C$5:$C$549,0))&lt;&gt;"",INDEX(Clientes!$D$5:$D$549,MATCH(A383,Clientes!$C$5:$C$549,0)),TRIM(INDEX(Clientes!$E$5:$E$549,MATCH(A383,Clientes!$C$5:$C$549,0))&amp;" "&amp;INDEX(Clientes!$F$5:$F$549,MATCH(A383,Clientes!$C$5:$C$549,0)))),"NO EXISTE en Clientes"))</f>
        <v/>
      </c>
      <c r="C383" s="17" t="n"/>
      <c r="D383" s="17" t="n"/>
      <c r="E383" s="17" t="n"/>
      <c r="F383" s="23" t="n"/>
      <c r="G383" s="23" t="n"/>
      <c r="H383" s="23" t="n"/>
      <c r="I383" s="17" t="n"/>
      <c r="J383" s="17" t="n"/>
      <c r="K383" s="17" t="n"/>
      <c r="L383" s="17">
        <f>IF(AND(A383="",C383=""),"",IF(A383="","FALTA doc. cliente",IF(B383="NO EXISTE en Clientes","CLIENTE no está en hoja Clientes",IF(C383="","FALTA nombre",IF(AND(K383="SI",COUNTIFS($A$5:$A$499,A383,$K$5:$K$499,"SI")&gt;1),"Más de un contacto principal para este cliente","OK")))))</f>
        <v/>
      </c>
      <c r="M383" s="28">
        <f>IF(L383&lt;&gt;"OK","","INSERT INTO cli_contacto (id_cliente, nombre, apellido_paterno, apellido_materno, telefono1, telefono2, telefono3, email, direccion, es_principal, estado) SELECT "&amp;"(SELECT id FROM cli_clientes WHERE numero_documento = '"&amp;SUBSTITUTE(TRIM(A383),"'","''")&amp;"' AND estado = 1 LIMIT 1)"&amp;", "&amp;IF(TRIM(C383&amp;"")="","NULL","'"&amp;SUBSTITUTE(TRIM(C383),"'","''")&amp;"'")&amp;", "&amp;IF(TRIM(D383&amp;"")="","NULL","'"&amp;SUBSTITUTE(TRIM(D383),"'","''")&amp;"'")&amp;", "&amp;IF(TRIM(E383&amp;"")="","NULL","'"&amp;SUBSTITUTE(TRIM(E383),"'","''")&amp;"'")&amp;", "&amp;IF(TRIM(F383&amp;"")="","NULL","'"&amp;SUBSTITUTE(TRIM(F383),"'","''")&amp;"'")&amp;", "&amp;IF(TRIM(G383&amp;"")="","NULL","'"&amp;SUBSTITUTE(TRIM(G383),"'","''")&amp;"'")&amp;", "&amp;IF(TRIM(H383&amp;"")="","NULL","'"&amp;SUBSTITUTE(TRIM(H383),"'","''")&amp;"'")&amp;", "&amp;IF(TRIM(I383&amp;"")="","NULL","'"&amp;SUBSTITUTE(TRIM(I383),"'","''")&amp;"'")&amp;", "&amp;IF(TRIM(J383&amp;"")="","NULL","'"&amp;SUBSTITUTE(TRIM(J383),"'","''")&amp;"'")&amp;", "&amp;IF(UPPER(TRIM(K383&amp;""))="SI","TRUE","FALSE")&amp;", 1"&amp;" WHERE NOT EXISTS (SELECT 1 FROM cli_contacto c WHERE c.id_cliente = "&amp;"(SELECT id FROM cli_clientes WHERE numero_documento = '"&amp;SUBSTITUTE(TRIM(A383),"'","''")&amp;"' AND estado = 1 LIMIT 1)"&amp;" AND upper(c.nombre) = upper("&amp;IF(TRIM(C383&amp;"")="","NULL","'"&amp;SUBSTITUTE(TRIM(C383),"'","''")&amp;"'")&amp;") AND coalesce(c.telefono1,'') = coalesce("&amp;IF(TRIM(F383&amp;"")="","NULL","'"&amp;SUBSTITUTE(TRIM(F383),"'","''")&amp;"'")&amp;",''));")</f>
        <v/>
      </c>
    </row>
    <row r="384" ht="15.75" customHeight="1" s="64">
      <c r="A384" s="23" t="n"/>
      <c r="B384" s="25">
        <f t="array" ref="B384">IF(A384="","",IFERROR(IF(INDEX(Clientes!$D$5:$D$549,MATCH(A384,Clientes!$C$5:$C$549,0))&lt;&gt;"",INDEX(Clientes!$D$5:$D$549,MATCH(A384,Clientes!$C$5:$C$549,0)),TRIM(INDEX(Clientes!$E$5:$E$549,MATCH(A384,Clientes!$C$5:$C$549,0))&amp;" "&amp;INDEX(Clientes!$F$5:$F$549,MATCH(A384,Clientes!$C$5:$C$549,0)))),"NO EXISTE en Clientes"))</f>
        <v/>
      </c>
      <c r="C384" s="17" t="n"/>
      <c r="D384" s="17" t="n"/>
      <c r="E384" s="17" t="n"/>
      <c r="F384" s="23" t="n"/>
      <c r="G384" s="23" t="n"/>
      <c r="H384" s="23" t="n"/>
      <c r="I384" s="17" t="n"/>
      <c r="J384" s="17" t="n"/>
      <c r="K384" s="17" t="n"/>
      <c r="L384" s="17">
        <f>IF(AND(A384="",C384=""),"",IF(A384="","FALTA doc. cliente",IF(B384="NO EXISTE en Clientes","CLIENTE no está en hoja Clientes",IF(C384="","FALTA nombre",IF(AND(K384="SI",COUNTIFS($A$5:$A$499,A384,$K$5:$K$499,"SI")&gt;1),"Más de un contacto principal para este cliente","OK")))))</f>
        <v/>
      </c>
      <c r="M384" s="28">
        <f>IF(L384&lt;&gt;"OK","","INSERT INTO cli_contacto (id_cliente, nombre, apellido_paterno, apellido_materno, telefono1, telefono2, telefono3, email, direccion, es_principal, estado) SELECT "&amp;"(SELECT id FROM cli_clientes WHERE numero_documento = '"&amp;SUBSTITUTE(TRIM(A384),"'","''")&amp;"' AND estado = 1 LIMIT 1)"&amp;", "&amp;IF(TRIM(C384&amp;"")="","NULL","'"&amp;SUBSTITUTE(TRIM(C384),"'","''")&amp;"'")&amp;", "&amp;IF(TRIM(D384&amp;"")="","NULL","'"&amp;SUBSTITUTE(TRIM(D384),"'","''")&amp;"'")&amp;", "&amp;IF(TRIM(E384&amp;"")="","NULL","'"&amp;SUBSTITUTE(TRIM(E384),"'","''")&amp;"'")&amp;", "&amp;IF(TRIM(F384&amp;"")="","NULL","'"&amp;SUBSTITUTE(TRIM(F384),"'","''")&amp;"'")&amp;", "&amp;IF(TRIM(G384&amp;"")="","NULL","'"&amp;SUBSTITUTE(TRIM(G384),"'","''")&amp;"'")&amp;", "&amp;IF(TRIM(H384&amp;"")="","NULL","'"&amp;SUBSTITUTE(TRIM(H384),"'","''")&amp;"'")&amp;", "&amp;IF(TRIM(I384&amp;"")="","NULL","'"&amp;SUBSTITUTE(TRIM(I384),"'","''")&amp;"'")&amp;", "&amp;IF(TRIM(J384&amp;"")="","NULL","'"&amp;SUBSTITUTE(TRIM(J384),"'","''")&amp;"'")&amp;", "&amp;IF(UPPER(TRIM(K384&amp;""))="SI","TRUE","FALSE")&amp;", 1"&amp;" WHERE NOT EXISTS (SELECT 1 FROM cli_contacto c WHERE c.id_cliente = "&amp;"(SELECT id FROM cli_clientes WHERE numero_documento = '"&amp;SUBSTITUTE(TRIM(A384),"'","''")&amp;"' AND estado = 1 LIMIT 1)"&amp;" AND upper(c.nombre) = upper("&amp;IF(TRIM(C384&amp;"")="","NULL","'"&amp;SUBSTITUTE(TRIM(C384),"'","''")&amp;"'")&amp;") AND coalesce(c.telefono1,'') = coalesce("&amp;IF(TRIM(F384&amp;"")="","NULL","'"&amp;SUBSTITUTE(TRIM(F384),"'","''")&amp;"'")&amp;",''));")</f>
        <v/>
      </c>
    </row>
    <row r="385" ht="15.75" customHeight="1" s="64">
      <c r="A385" s="23" t="n"/>
      <c r="B385" s="25">
        <f t="array" ref="B385">IF(A385="","",IFERROR(IF(INDEX(Clientes!$D$5:$D$549,MATCH(A385,Clientes!$C$5:$C$549,0))&lt;&gt;"",INDEX(Clientes!$D$5:$D$549,MATCH(A385,Clientes!$C$5:$C$549,0)),TRIM(INDEX(Clientes!$E$5:$E$549,MATCH(A385,Clientes!$C$5:$C$549,0))&amp;" "&amp;INDEX(Clientes!$F$5:$F$549,MATCH(A385,Clientes!$C$5:$C$549,0)))),"NO EXISTE en Clientes"))</f>
        <v/>
      </c>
      <c r="C385" s="17" t="n"/>
      <c r="D385" s="17" t="n"/>
      <c r="E385" s="17" t="n"/>
      <c r="F385" s="23" t="n"/>
      <c r="G385" s="23" t="n"/>
      <c r="H385" s="23" t="n"/>
      <c r="I385" s="17" t="n"/>
      <c r="J385" s="17" t="n"/>
      <c r="K385" s="17" t="n"/>
      <c r="L385" s="17">
        <f>IF(AND(A385="",C385=""),"",IF(A385="","FALTA doc. cliente",IF(B385="NO EXISTE en Clientes","CLIENTE no está en hoja Clientes",IF(C385="","FALTA nombre",IF(AND(K385="SI",COUNTIFS($A$5:$A$499,A385,$K$5:$K$499,"SI")&gt;1),"Más de un contacto principal para este cliente","OK")))))</f>
        <v/>
      </c>
      <c r="M385" s="28">
        <f>IF(L385&lt;&gt;"OK","","INSERT INTO cli_contacto (id_cliente, nombre, apellido_paterno, apellido_materno, telefono1, telefono2, telefono3, email, direccion, es_principal, estado) SELECT "&amp;"(SELECT id FROM cli_clientes WHERE numero_documento = '"&amp;SUBSTITUTE(TRIM(A385),"'","''")&amp;"' AND estado = 1 LIMIT 1)"&amp;", "&amp;IF(TRIM(C385&amp;"")="","NULL","'"&amp;SUBSTITUTE(TRIM(C385),"'","''")&amp;"'")&amp;", "&amp;IF(TRIM(D385&amp;"")="","NULL","'"&amp;SUBSTITUTE(TRIM(D385),"'","''")&amp;"'")&amp;", "&amp;IF(TRIM(E385&amp;"")="","NULL","'"&amp;SUBSTITUTE(TRIM(E385),"'","''")&amp;"'")&amp;", "&amp;IF(TRIM(F385&amp;"")="","NULL","'"&amp;SUBSTITUTE(TRIM(F385),"'","''")&amp;"'")&amp;", "&amp;IF(TRIM(G385&amp;"")="","NULL","'"&amp;SUBSTITUTE(TRIM(G385),"'","''")&amp;"'")&amp;", "&amp;IF(TRIM(H385&amp;"")="","NULL","'"&amp;SUBSTITUTE(TRIM(H385),"'","''")&amp;"'")&amp;", "&amp;IF(TRIM(I385&amp;"")="","NULL","'"&amp;SUBSTITUTE(TRIM(I385),"'","''")&amp;"'")&amp;", "&amp;IF(TRIM(J385&amp;"")="","NULL","'"&amp;SUBSTITUTE(TRIM(J385),"'","''")&amp;"'")&amp;", "&amp;IF(UPPER(TRIM(K385&amp;""))="SI","TRUE","FALSE")&amp;", 1"&amp;" WHERE NOT EXISTS (SELECT 1 FROM cli_contacto c WHERE c.id_cliente = "&amp;"(SELECT id FROM cli_clientes WHERE numero_documento = '"&amp;SUBSTITUTE(TRIM(A385),"'","''")&amp;"' AND estado = 1 LIMIT 1)"&amp;" AND upper(c.nombre) = upper("&amp;IF(TRIM(C385&amp;"")="","NULL","'"&amp;SUBSTITUTE(TRIM(C385),"'","''")&amp;"'")&amp;") AND coalesce(c.telefono1,'') = coalesce("&amp;IF(TRIM(F385&amp;"")="","NULL","'"&amp;SUBSTITUTE(TRIM(F385),"'","''")&amp;"'")&amp;",''));")</f>
        <v/>
      </c>
    </row>
    <row r="386" ht="15.75" customHeight="1" s="64">
      <c r="A386" s="23" t="n"/>
      <c r="B386" s="25">
        <f t="array" ref="B386">IF(A386="","",IFERROR(IF(INDEX(Clientes!$D$5:$D$549,MATCH(A386,Clientes!$C$5:$C$549,0))&lt;&gt;"",INDEX(Clientes!$D$5:$D$549,MATCH(A386,Clientes!$C$5:$C$549,0)),TRIM(INDEX(Clientes!$E$5:$E$549,MATCH(A386,Clientes!$C$5:$C$549,0))&amp;" "&amp;INDEX(Clientes!$F$5:$F$549,MATCH(A386,Clientes!$C$5:$C$549,0)))),"NO EXISTE en Clientes"))</f>
        <v/>
      </c>
      <c r="C386" s="17" t="n"/>
      <c r="D386" s="17" t="n"/>
      <c r="E386" s="17" t="n"/>
      <c r="F386" s="23" t="n"/>
      <c r="G386" s="23" t="n"/>
      <c r="H386" s="23" t="n"/>
      <c r="I386" s="17" t="n"/>
      <c r="J386" s="17" t="n"/>
      <c r="K386" s="17" t="n"/>
      <c r="L386" s="17">
        <f>IF(AND(A386="",C386=""),"",IF(A386="","FALTA doc. cliente",IF(B386="NO EXISTE en Clientes","CLIENTE no está en hoja Clientes",IF(C386="","FALTA nombre",IF(AND(K386="SI",COUNTIFS($A$5:$A$499,A386,$K$5:$K$499,"SI")&gt;1),"Más de un contacto principal para este cliente","OK")))))</f>
        <v/>
      </c>
      <c r="M386" s="28">
        <f>IF(L386&lt;&gt;"OK","","INSERT INTO cli_contacto (id_cliente, nombre, apellido_paterno, apellido_materno, telefono1, telefono2, telefono3, email, direccion, es_principal, estado) SELECT "&amp;"(SELECT id FROM cli_clientes WHERE numero_documento = '"&amp;SUBSTITUTE(TRIM(A386),"'","''")&amp;"' AND estado = 1 LIMIT 1)"&amp;", "&amp;IF(TRIM(C386&amp;"")="","NULL","'"&amp;SUBSTITUTE(TRIM(C386),"'","''")&amp;"'")&amp;", "&amp;IF(TRIM(D386&amp;"")="","NULL","'"&amp;SUBSTITUTE(TRIM(D386),"'","''")&amp;"'")&amp;", "&amp;IF(TRIM(E386&amp;"")="","NULL","'"&amp;SUBSTITUTE(TRIM(E386),"'","''")&amp;"'")&amp;", "&amp;IF(TRIM(F386&amp;"")="","NULL","'"&amp;SUBSTITUTE(TRIM(F386),"'","''")&amp;"'")&amp;", "&amp;IF(TRIM(G386&amp;"")="","NULL","'"&amp;SUBSTITUTE(TRIM(G386),"'","''")&amp;"'")&amp;", "&amp;IF(TRIM(H386&amp;"")="","NULL","'"&amp;SUBSTITUTE(TRIM(H386),"'","''")&amp;"'")&amp;", "&amp;IF(TRIM(I386&amp;"")="","NULL","'"&amp;SUBSTITUTE(TRIM(I386),"'","''")&amp;"'")&amp;", "&amp;IF(TRIM(J386&amp;"")="","NULL","'"&amp;SUBSTITUTE(TRIM(J386),"'","''")&amp;"'")&amp;", "&amp;IF(UPPER(TRIM(K386&amp;""))="SI","TRUE","FALSE")&amp;", 1"&amp;" WHERE NOT EXISTS (SELECT 1 FROM cli_contacto c WHERE c.id_cliente = "&amp;"(SELECT id FROM cli_clientes WHERE numero_documento = '"&amp;SUBSTITUTE(TRIM(A386),"'","''")&amp;"' AND estado = 1 LIMIT 1)"&amp;" AND upper(c.nombre) = upper("&amp;IF(TRIM(C386&amp;"")="","NULL","'"&amp;SUBSTITUTE(TRIM(C386),"'","''")&amp;"'")&amp;") AND coalesce(c.telefono1,'') = coalesce("&amp;IF(TRIM(F386&amp;"")="","NULL","'"&amp;SUBSTITUTE(TRIM(F386),"'","''")&amp;"'")&amp;",''));")</f>
        <v/>
      </c>
    </row>
    <row r="387" ht="15.75" customHeight="1" s="64">
      <c r="A387" s="23" t="n"/>
      <c r="B387" s="25">
        <f t="array" ref="B387">IF(A387="","",IFERROR(IF(INDEX(Clientes!$D$5:$D$549,MATCH(A387,Clientes!$C$5:$C$549,0))&lt;&gt;"",INDEX(Clientes!$D$5:$D$549,MATCH(A387,Clientes!$C$5:$C$549,0)),TRIM(INDEX(Clientes!$E$5:$E$549,MATCH(A387,Clientes!$C$5:$C$549,0))&amp;" "&amp;INDEX(Clientes!$F$5:$F$549,MATCH(A387,Clientes!$C$5:$C$549,0)))),"NO EXISTE en Clientes"))</f>
        <v/>
      </c>
      <c r="C387" s="17" t="n"/>
      <c r="D387" s="17" t="n"/>
      <c r="E387" s="17" t="n"/>
      <c r="F387" s="23" t="n"/>
      <c r="G387" s="23" t="n"/>
      <c r="H387" s="23" t="n"/>
      <c r="I387" s="17" t="n"/>
      <c r="J387" s="17" t="n"/>
      <c r="K387" s="17" t="n"/>
      <c r="L387" s="17">
        <f>IF(AND(A387="",C387=""),"",IF(A387="","FALTA doc. cliente",IF(B387="NO EXISTE en Clientes","CLIENTE no está en hoja Clientes",IF(C387="","FALTA nombre",IF(AND(K387="SI",COUNTIFS($A$5:$A$499,A387,$K$5:$K$499,"SI")&gt;1),"Más de un contacto principal para este cliente","OK")))))</f>
        <v/>
      </c>
      <c r="M387" s="28">
        <f>IF(L387&lt;&gt;"OK","","INSERT INTO cli_contacto (id_cliente, nombre, apellido_paterno, apellido_materno, telefono1, telefono2, telefono3, email, direccion, es_principal, estado) SELECT "&amp;"(SELECT id FROM cli_clientes WHERE numero_documento = '"&amp;SUBSTITUTE(TRIM(A387),"'","''")&amp;"' AND estado = 1 LIMIT 1)"&amp;", "&amp;IF(TRIM(C387&amp;"")="","NULL","'"&amp;SUBSTITUTE(TRIM(C387),"'","''")&amp;"'")&amp;", "&amp;IF(TRIM(D387&amp;"")="","NULL","'"&amp;SUBSTITUTE(TRIM(D387),"'","''")&amp;"'")&amp;", "&amp;IF(TRIM(E387&amp;"")="","NULL","'"&amp;SUBSTITUTE(TRIM(E387),"'","''")&amp;"'")&amp;", "&amp;IF(TRIM(F387&amp;"")="","NULL","'"&amp;SUBSTITUTE(TRIM(F387),"'","''")&amp;"'")&amp;", "&amp;IF(TRIM(G387&amp;"")="","NULL","'"&amp;SUBSTITUTE(TRIM(G387),"'","''")&amp;"'")&amp;", "&amp;IF(TRIM(H387&amp;"")="","NULL","'"&amp;SUBSTITUTE(TRIM(H387),"'","''")&amp;"'")&amp;", "&amp;IF(TRIM(I387&amp;"")="","NULL","'"&amp;SUBSTITUTE(TRIM(I387),"'","''")&amp;"'")&amp;", "&amp;IF(TRIM(J387&amp;"")="","NULL","'"&amp;SUBSTITUTE(TRIM(J387),"'","''")&amp;"'")&amp;", "&amp;IF(UPPER(TRIM(K387&amp;""))="SI","TRUE","FALSE")&amp;", 1"&amp;" WHERE NOT EXISTS (SELECT 1 FROM cli_contacto c WHERE c.id_cliente = "&amp;"(SELECT id FROM cli_clientes WHERE numero_documento = '"&amp;SUBSTITUTE(TRIM(A387),"'","''")&amp;"' AND estado = 1 LIMIT 1)"&amp;" AND upper(c.nombre) = upper("&amp;IF(TRIM(C387&amp;"")="","NULL","'"&amp;SUBSTITUTE(TRIM(C387),"'","''")&amp;"'")&amp;") AND coalesce(c.telefono1,'') = coalesce("&amp;IF(TRIM(F387&amp;"")="","NULL","'"&amp;SUBSTITUTE(TRIM(F387),"'","''")&amp;"'")&amp;",''));")</f>
        <v/>
      </c>
    </row>
    <row r="388" ht="15.75" customHeight="1" s="64">
      <c r="A388" s="23" t="n"/>
      <c r="B388" s="25">
        <f t="array" ref="B388">IF(A388="","",IFERROR(IF(INDEX(Clientes!$D$5:$D$549,MATCH(A388,Clientes!$C$5:$C$549,0))&lt;&gt;"",INDEX(Clientes!$D$5:$D$549,MATCH(A388,Clientes!$C$5:$C$549,0)),TRIM(INDEX(Clientes!$E$5:$E$549,MATCH(A388,Clientes!$C$5:$C$549,0))&amp;" "&amp;INDEX(Clientes!$F$5:$F$549,MATCH(A388,Clientes!$C$5:$C$549,0)))),"NO EXISTE en Clientes"))</f>
        <v/>
      </c>
      <c r="C388" s="17" t="n"/>
      <c r="D388" s="17" t="n"/>
      <c r="E388" s="17" t="n"/>
      <c r="F388" s="23" t="n"/>
      <c r="G388" s="23" t="n"/>
      <c r="H388" s="23" t="n"/>
      <c r="I388" s="17" t="n"/>
      <c r="J388" s="17" t="n"/>
      <c r="K388" s="17" t="n"/>
      <c r="L388" s="17">
        <f>IF(AND(A388="",C388=""),"",IF(A388="","FALTA doc. cliente",IF(B388="NO EXISTE en Clientes","CLIENTE no está en hoja Clientes",IF(C388="","FALTA nombre",IF(AND(K388="SI",COUNTIFS($A$5:$A$499,A388,$K$5:$K$499,"SI")&gt;1),"Más de un contacto principal para este cliente","OK")))))</f>
        <v/>
      </c>
      <c r="M388" s="28">
        <f>IF(L388&lt;&gt;"OK","","INSERT INTO cli_contacto (id_cliente, nombre, apellido_paterno, apellido_materno, telefono1, telefono2, telefono3, email, direccion, es_principal, estado) SELECT "&amp;"(SELECT id FROM cli_clientes WHERE numero_documento = '"&amp;SUBSTITUTE(TRIM(A388),"'","''")&amp;"' AND estado = 1 LIMIT 1)"&amp;", "&amp;IF(TRIM(C388&amp;"")="","NULL","'"&amp;SUBSTITUTE(TRIM(C388),"'","''")&amp;"'")&amp;", "&amp;IF(TRIM(D388&amp;"")="","NULL","'"&amp;SUBSTITUTE(TRIM(D388),"'","''")&amp;"'")&amp;", "&amp;IF(TRIM(E388&amp;"")="","NULL","'"&amp;SUBSTITUTE(TRIM(E388),"'","''")&amp;"'")&amp;", "&amp;IF(TRIM(F388&amp;"")="","NULL","'"&amp;SUBSTITUTE(TRIM(F388),"'","''")&amp;"'")&amp;", "&amp;IF(TRIM(G388&amp;"")="","NULL","'"&amp;SUBSTITUTE(TRIM(G388),"'","''")&amp;"'")&amp;", "&amp;IF(TRIM(H388&amp;"")="","NULL","'"&amp;SUBSTITUTE(TRIM(H388),"'","''")&amp;"'")&amp;", "&amp;IF(TRIM(I388&amp;"")="","NULL","'"&amp;SUBSTITUTE(TRIM(I388),"'","''")&amp;"'")&amp;", "&amp;IF(TRIM(J388&amp;"")="","NULL","'"&amp;SUBSTITUTE(TRIM(J388),"'","''")&amp;"'")&amp;", "&amp;IF(UPPER(TRIM(K388&amp;""))="SI","TRUE","FALSE")&amp;", 1"&amp;" WHERE NOT EXISTS (SELECT 1 FROM cli_contacto c WHERE c.id_cliente = "&amp;"(SELECT id FROM cli_clientes WHERE numero_documento = '"&amp;SUBSTITUTE(TRIM(A388),"'","''")&amp;"' AND estado = 1 LIMIT 1)"&amp;" AND upper(c.nombre) = upper("&amp;IF(TRIM(C388&amp;"")="","NULL","'"&amp;SUBSTITUTE(TRIM(C388),"'","''")&amp;"'")&amp;") AND coalesce(c.telefono1,'') = coalesce("&amp;IF(TRIM(F388&amp;"")="","NULL","'"&amp;SUBSTITUTE(TRIM(F388),"'","''")&amp;"'")&amp;",''));")</f>
        <v/>
      </c>
    </row>
    <row r="389" ht="15.75" customHeight="1" s="64">
      <c r="A389" s="23" t="n"/>
      <c r="B389" s="25">
        <f t="array" ref="B389">IF(A389="","",IFERROR(IF(INDEX(Clientes!$D$5:$D$549,MATCH(A389,Clientes!$C$5:$C$549,0))&lt;&gt;"",INDEX(Clientes!$D$5:$D$549,MATCH(A389,Clientes!$C$5:$C$549,0)),TRIM(INDEX(Clientes!$E$5:$E$549,MATCH(A389,Clientes!$C$5:$C$549,0))&amp;" "&amp;INDEX(Clientes!$F$5:$F$549,MATCH(A389,Clientes!$C$5:$C$549,0)))),"NO EXISTE en Clientes"))</f>
        <v/>
      </c>
      <c r="C389" s="17" t="n"/>
      <c r="D389" s="17" t="n"/>
      <c r="E389" s="17" t="n"/>
      <c r="F389" s="23" t="n"/>
      <c r="G389" s="23" t="n"/>
      <c r="H389" s="23" t="n"/>
      <c r="I389" s="17" t="n"/>
      <c r="J389" s="17" t="n"/>
      <c r="K389" s="17" t="n"/>
      <c r="L389" s="17">
        <f>IF(AND(A389="",C389=""),"",IF(A389="","FALTA doc. cliente",IF(B389="NO EXISTE en Clientes","CLIENTE no está en hoja Clientes",IF(C389="","FALTA nombre",IF(AND(K389="SI",COUNTIFS($A$5:$A$499,A389,$K$5:$K$499,"SI")&gt;1),"Más de un contacto principal para este cliente","OK")))))</f>
        <v/>
      </c>
      <c r="M389" s="28">
        <f>IF(L389&lt;&gt;"OK","","INSERT INTO cli_contacto (id_cliente, nombre, apellido_paterno, apellido_materno, telefono1, telefono2, telefono3, email, direccion, es_principal, estado) SELECT "&amp;"(SELECT id FROM cli_clientes WHERE numero_documento = '"&amp;SUBSTITUTE(TRIM(A389),"'","''")&amp;"' AND estado = 1 LIMIT 1)"&amp;", "&amp;IF(TRIM(C389&amp;"")="","NULL","'"&amp;SUBSTITUTE(TRIM(C389),"'","''")&amp;"'")&amp;", "&amp;IF(TRIM(D389&amp;"")="","NULL","'"&amp;SUBSTITUTE(TRIM(D389),"'","''")&amp;"'")&amp;", "&amp;IF(TRIM(E389&amp;"")="","NULL","'"&amp;SUBSTITUTE(TRIM(E389),"'","''")&amp;"'")&amp;", "&amp;IF(TRIM(F389&amp;"")="","NULL","'"&amp;SUBSTITUTE(TRIM(F389),"'","''")&amp;"'")&amp;", "&amp;IF(TRIM(G389&amp;"")="","NULL","'"&amp;SUBSTITUTE(TRIM(G389),"'","''")&amp;"'")&amp;", "&amp;IF(TRIM(H389&amp;"")="","NULL","'"&amp;SUBSTITUTE(TRIM(H389),"'","''")&amp;"'")&amp;", "&amp;IF(TRIM(I389&amp;"")="","NULL","'"&amp;SUBSTITUTE(TRIM(I389),"'","''")&amp;"'")&amp;", "&amp;IF(TRIM(J389&amp;"")="","NULL","'"&amp;SUBSTITUTE(TRIM(J389),"'","''")&amp;"'")&amp;", "&amp;IF(UPPER(TRIM(K389&amp;""))="SI","TRUE","FALSE")&amp;", 1"&amp;" WHERE NOT EXISTS (SELECT 1 FROM cli_contacto c WHERE c.id_cliente = "&amp;"(SELECT id FROM cli_clientes WHERE numero_documento = '"&amp;SUBSTITUTE(TRIM(A389),"'","''")&amp;"' AND estado = 1 LIMIT 1)"&amp;" AND upper(c.nombre) = upper("&amp;IF(TRIM(C389&amp;"")="","NULL","'"&amp;SUBSTITUTE(TRIM(C389),"'","''")&amp;"'")&amp;") AND coalesce(c.telefono1,'') = coalesce("&amp;IF(TRIM(F389&amp;"")="","NULL","'"&amp;SUBSTITUTE(TRIM(F389),"'","''")&amp;"'")&amp;",''));")</f>
        <v/>
      </c>
    </row>
    <row r="390" ht="15.75" customHeight="1" s="64">
      <c r="A390" s="23" t="n"/>
      <c r="B390" s="25">
        <f t="array" ref="B390">IF(A390="","",IFERROR(IF(INDEX(Clientes!$D$5:$D$549,MATCH(A390,Clientes!$C$5:$C$549,0))&lt;&gt;"",INDEX(Clientes!$D$5:$D$549,MATCH(A390,Clientes!$C$5:$C$549,0)),TRIM(INDEX(Clientes!$E$5:$E$549,MATCH(A390,Clientes!$C$5:$C$549,0))&amp;" "&amp;INDEX(Clientes!$F$5:$F$549,MATCH(A390,Clientes!$C$5:$C$549,0)))),"NO EXISTE en Clientes"))</f>
        <v/>
      </c>
      <c r="C390" s="17" t="n"/>
      <c r="D390" s="17" t="n"/>
      <c r="E390" s="17" t="n"/>
      <c r="F390" s="23" t="n"/>
      <c r="G390" s="23" t="n"/>
      <c r="H390" s="23" t="n"/>
      <c r="I390" s="17" t="n"/>
      <c r="J390" s="17" t="n"/>
      <c r="K390" s="17" t="n"/>
      <c r="L390" s="17">
        <f>IF(AND(A390="",C390=""),"",IF(A390="","FALTA doc. cliente",IF(B390="NO EXISTE en Clientes","CLIENTE no está en hoja Clientes",IF(C390="","FALTA nombre",IF(AND(K390="SI",COUNTIFS($A$5:$A$499,A390,$K$5:$K$499,"SI")&gt;1),"Más de un contacto principal para este cliente","OK")))))</f>
        <v/>
      </c>
      <c r="M390" s="28">
        <f>IF(L390&lt;&gt;"OK","","INSERT INTO cli_contacto (id_cliente, nombre, apellido_paterno, apellido_materno, telefono1, telefono2, telefono3, email, direccion, es_principal, estado) SELECT "&amp;"(SELECT id FROM cli_clientes WHERE numero_documento = '"&amp;SUBSTITUTE(TRIM(A390),"'","''")&amp;"' AND estado = 1 LIMIT 1)"&amp;", "&amp;IF(TRIM(C390&amp;"")="","NULL","'"&amp;SUBSTITUTE(TRIM(C390),"'","''")&amp;"'")&amp;", "&amp;IF(TRIM(D390&amp;"")="","NULL","'"&amp;SUBSTITUTE(TRIM(D390),"'","''")&amp;"'")&amp;", "&amp;IF(TRIM(E390&amp;"")="","NULL","'"&amp;SUBSTITUTE(TRIM(E390),"'","''")&amp;"'")&amp;", "&amp;IF(TRIM(F390&amp;"")="","NULL","'"&amp;SUBSTITUTE(TRIM(F390),"'","''")&amp;"'")&amp;", "&amp;IF(TRIM(G390&amp;"")="","NULL","'"&amp;SUBSTITUTE(TRIM(G390),"'","''")&amp;"'")&amp;", "&amp;IF(TRIM(H390&amp;"")="","NULL","'"&amp;SUBSTITUTE(TRIM(H390),"'","''")&amp;"'")&amp;", "&amp;IF(TRIM(I390&amp;"")="","NULL","'"&amp;SUBSTITUTE(TRIM(I390),"'","''")&amp;"'")&amp;", "&amp;IF(TRIM(J390&amp;"")="","NULL","'"&amp;SUBSTITUTE(TRIM(J390),"'","''")&amp;"'")&amp;", "&amp;IF(UPPER(TRIM(K390&amp;""))="SI","TRUE","FALSE")&amp;", 1"&amp;" WHERE NOT EXISTS (SELECT 1 FROM cli_contacto c WHERE c.id_cliente = "&amp;"(SELECT id FROM cli_clientes WHERE numero_documento = '"&amp;SUBSTITUTE(TRIM(A390),"'","''")&amp;"' AND estado = 1 LIMIT 1)"&amp;" AND upper(c.nombre) = upper("&amp;IF(TRIM(C390&amp;"")="","NULL","'"&amp;SUBSTITUTE(TRIM(C390),"'","''")&amp;"'")&amp;") AND coalesce(c.telefono1,'') = coalesce("&amp;IF(TRIM(F390&amp;"")="","NULL","'"&amp;SUBSTITUTE(TRIM(F390),"'","''")&amp;"'")&amp;",''));")</f>
        <v/>
      </c>
    </row>
    <row r="391" ht="15.75" customHeight="1" s="64">
      <c r="A391" s="23" t="n"/>
      <c r="B391" s="25">
        <f t="array" ref="B391">IF(A391="","",IFERROR(IF(INDEX(Clientes!$D$5:$D$549,MATCH(A391,Clientes!$C$5:$C$549,0))&lt;&gt;"",INDEX(Clientes!$D$5:$D$549,MATCH(A391,Clientes!$C$5:$C$549,0)),TRIM(INDEX(Clientes!$E$5:$E$549,MATCH(A391,Clientes!$C$5:$C$549,0))&amp;" "&amp;INDEX(Clientes!$F$5:$F$549,MATCH(A391,Clientes!$C$5:$C$549,0)))),"NO EXISTE en Clientes"))</f>
        <v/>
      </c>
      <c r="C391" s="17" t="n"/>
      <c r="D391" s="17" t="n"/>
      <c r="E391" s="17" t="n"/>
      <c r="F391" s="23" t="n"/>
      <c r="G391" s="23" t="n"/>
      <c r="H391" s="23" t="n"/>
      <c r="I391" s="17" t="n"/>
      <c r="J391" s="17" t="n"/>
      <c r="K391" s="17" t="n"/>
      <c r="L391" s="17">
        <f>IF(AND(A391="",C391=""),"",IF(A391="","FALTA doc. cliente",IF(B391="NO EXISTE en Clientes","CLIENTE no está en hoja Clientes",IF(C391="","FALTA nombre",IF(AND(K391="SI",COUNTIFS($A$5:$A$499,A391,$K$5:$K$499,"SI")&gt;1),"Más de un contacto principal para este cliente","OK")))))</f>
        <v/>
      </c>
      <c r="M391" s="28">
        <f>IF(L391&lt;&gt;"OK","","INSERT INTO cli_contacto (id_cliente, nombre, apellido_paterno, apellido_materno, telefono1, telefono2, telefono3, email, direccion, es_principal, estado) SELECT "&amp;"(SELECT id FROM cli_clientes WHERE numero_documento = '"&amp;SUBSTITUTE(TRIM(A391),"'","''")&amp;"' AND estado = 1 LIMIT 1)"&amp;", "&amp;IF(TRIM(C391&amp;"")="","NULL","'"&amp;SUBSTITUTE(TRIM(C391),"'","''")&amp;"'")&amp;", "&amp;IF(TRIM(D391&amp;"")="","NULL","'"&amp;SUBSTITUTE(TRIM(D391),"'","''")&amp;"'")&amp;", "&amp;IF(TRIM(E391&amp;"")="","NULL","'"&amp;SUBSTITUTE(TRIM(E391),"'","''")&amp;"'")&amp;", "&amp;IF(TRIM(F391&amp;"")="","NULL","'"&amp;SUBSTITUTE(TRIM(F391),"'","''")&amp;"'")&amp;", "&amp;IF(TRIM(G391&amp;"")="","NULL","'"&amp;SUBSTITUTE(TRIM(G391),"'","''")&amp;"'")&amp;", "&amp;IF(TRIM(H391&amp;"")="","NULL","'"&amp;SUBSTITUTE(TRIM(H391),"'","''")&amp;"'")&amp;", "&amp;IF(TRIM(I391&amp;"")="","NULL","'"&amp;SUBSTITUTE(TRIM(I391),"'","''")&amp;"'")&amp;", "&amp;IF(TRIM(J391&amp;"")="","NULL","'"&amp;SUBSTITUTE(TRIM(J391),"'","''")&amp;"'")&amp;", "&amp;IF(UPPER(TRIM(K391&amp;""))="SI","TRUE","FALSE")&amp;", 1"&amp;" WHERE NOT EXISTS (SELECT 1 FROM cli_contacto c WHERE c.id_cliente = "&amp;"(SELECT id FROM cli_clientes WHERE numero_documento = '"&amp;SUBSTITUTE(TRIM(A391),"'","''")&amp;"' AND estado = 1 LIMIT 1)"&amp;" AND upper(c.nombre) = upper("&amp;IF(TRIM(C391&amp;"")="","NULL","'"&amp;SUBSTITUTE(TRIM(C391),"'","''")&amp;"'")&amp;") AND coalesce(c.telefono1,'') = coalesce("&amp;IF(TRIM(F391&amp;"")="","NULL","'"&amp;SUBSTITUTE(TRIM(F391),"'","''")&amp;"'")&amp;",''));")</f>
        <v/>
      </c>
    </row>
    <row r="392" ht="15.75" customHeight="1" s="64">
      <c r="A392" s="23" t="n"/>
      <c r="B392" s="25">
        <f t="array" ref="B392">IF(A392="","",IFERROR(IF(INDEX(Clientes!$D$5:$D$549,MATCH(A392,Clientes!$C$5:$C$549,0))&lt;&gt;"",INDEX(Clientes!$D$5:$D$549,MATCH(A392,Clientes!$C$5:$C$549,0)),TRIM(INDEX(Clientes!$E$5:$E$549,MATCH(A392,Clientes!$C$5:$C$549,0))&amp;" "&amp;INDEX(Clientes!$F$5:$F$549,MATCH(A392,Clientes!$C$5:$C$549,0)))),"NO EXISTE en Clientes"))</f>
        <v/>
      </c>
      <c r="C392" s="17" t="n"/>
      <c r="D392" s="17" t="n"/>
      <c r="E392" s="17" t="n"/>
      <c r="F392" s="23" t="n"/>
      <c r="G392" s="23" t="n"/>
      <c r="H392" s="23" t="n"/>
      <c r="I392" s="17" t="n"/>
      <c r="J392" s="17" t="n"/>
      <c r="K392" s="17" t="n"/>
      <c r="L392" s="17">
        <f>IF(AND(A392="",C392=""),"",IF(A392="","FALTA doc. cliente",IF(B392="NO EXISTE en Clientes","CLIENTE no está en hoja Clientes",IF(C392="","FALTA nombre",IF(AND(K392="SI",COUNTIFS($A$5:$A$499,A392,$K$5:$K$499,"SI")&gt;1),"Más de un contacto principal para este cliente","OK")))))</f>
        <v/>
      </c>
      <c r="M392" s="28">
        <f>IF(L392&lt;&gt;"OK","","INSERT INTO cli_contacto (id_cliente, nombre, apellido_paterno, apellido_materno, telefono1, telefono2, telefono3, email, direccion, es_principal, estado) SELECT "&amp;"(SELECT id FROM cli_clientes WHERE numero_documento = '"&amp;SUBSTITUTE(TRIM(A392),"'","''")&amp;"' AND estado = 1 LIMIT 1)"&amp;", "&amp;IF(TRIM(C392&amp;"")="","NULL","'"&amp;SUBSTITUTE(TRIM(C392),"'","''")&amp;"'")&amp;", "&amp;IF(TRIM(D392&amp;"")="","NULL","'"&amp;SUBSTITUTE(TRIM(D392),"'","''")&amp;"'")&amp;", "&amp;IF(TRIM(E392&amp;"")="","NULL","'"&amp;SUBSTITUTE(TRIM(E392),"'","''")&amp;"'")&amp;", "&amp;IF(TRIM(F392&amp;"")="","NULL","'"&amp;SUBSTITUTE(TRIM(F392),"'","''")&amp;"'")&amp;", "&amp;IF(TRIM(G392&amp;"")="","NULL","'"&amp;SUBSTITUTE(TRIM(G392),"'","''")&amp;"'")&amp;", "&amp;IF(TRIM(H392&amp;"")="","NULL","'"&amp;SUBSTITUTE(TRIM(H392),"'","''")&amp;"'")&amp;", "&amp;IF(TRIM(I392&amp;"")="","NULL","'"&amp;SUBSTITUTE(TRIM(I392),"'","''")&amp;"'")&amp;", "&amp;IF(TRIM(J392&amp;"")="","NULL","'"&amp;SUBSTITUTE(TRIM(J392),"'","''")&amp;"'")&amp;", "&amp;IF(UPPER(TRIM(K392&amp;""))="SI","TRUE","FALSE")&amp;", 1"&amp;" WHERE NOT EXISTS (SELECT 1 FROM cli_contacto c WHERE c.id_cliente = "&amp;"(SELECT id FROM cli_clientes WHERE numero_documento = '"&amp;SUBSTITUTE(TRIM(A392),"'","''")&amp;"' AND estado = 1 LIMIT 1)"&amp;" AND upper(c.nombre) = upper("&amp;IF(TRIM(C392&amp;"")="","NULL","'"&amp;SUBSTITUTE(TRIM(C392),"'","''")&amp;"'")&amp;") AND coalesce(c.telefono1,'') = coalesce("&amp;IF(TRIM(F392&amp;"")="","NULL","'"&amp;SUBSTITUTE(TRIM(F392),"'","''")&amp;"'")&amp;",''));")</f>
        <v/>
      </c>
    </row>
    <row r="393" ht="15.75" customHeight="1" s="64">
      <c r="A393" s="23" t="n"/>
      <c r="B393" s="25">
        <f t="array" ref="B393">IF(A393="","",IFERROR(IF(INDEX(Clientes!$D$5:$D$549,MATCH(A393,Clientes!$C$5:$C$549,0))&lt;&gt;"",INDEX(Clientes!$D$5:$D$549,MATCH(A393,Clientes!$C$5:$C$549,0)),TRIM(INDEX(Clientes!$E$5:$E$549,MATCH(A393,Clientes!$C$5:$C$549,0))&amp;" "&amp;INDEX(Clientes!$F$5:$F$549,MATCH(A393,Clientes!$C$5:$C$549,0)))),"NO EXISTE en Clientes"))</f>
        <v/>
      </c>
      <c r="C393" s="17" t="n"/>
      <c r="D393" s="17" t="n"/>
      <c r="E393" s="17" t="n"/>
      <c r="F393" s="23" t="n"/>
      <c r="G393" s="23" t="n"/>
      <c r="H393" s="23" t="n"/>
      <c r="I393" s="17" t="n"/>
      <c r="J393" s="17" t="n"/>
      <c r="K393" s="17" t="n"/>
      <c r="L393" s="17">
        <f>IF(AND(A393="",C393=""),"",IF(A393="","FALTA doc. cliente",IF(B393="NO EXISTE en Clientes","CLIENTE no está en hoja Clientes",IF(C393="","FALTA nombre",IF(AND(K393="SI",COUNTIFS($A$5:$A$499,A393,$K$5:$K$499,"SI")&gt;1),"Más de un contacto principal para este cliente","OK")))))</f>
        <v/>
      </c>
      <c r="M393" s="28">
        <f>IF(L393&lt;&gt;"OK","","INSERT INTO cli_contacto (id_cliente, nombre, apellido_paterno, apellido_materno, telefono1, telefono2, telefono3, email, direccion, es_principal, estado) SELECT "&amp;"(SELECT id FROM cli_clientes WHERE numero_documento = '"&amp;SUBSTITUTE(TRIM(A393),"'","''")&amp;"' AND estado = 1 LIMIT 1)"&amp;", "&amp;IF(TRIM(C393&amp;"")="","NULL","'"&amp;SUBSTITUTE(TRIM(C393),"'","''")&amp;"'")&amp;", "&amp;IF(TRIM(D393&amp;"")="","NULL","'"&amp;SUBSTITUTE(TRIM(D393),"'","''")&amp;"'")&amp;", "&amp;IF(TRIM(E393&amp;"")="","NULL","'"&amp;SUBSTITUTE(TRIM(E393),"'","''")&amp;"'")&amp;", "&amp;IF(TRIM(F393&amp;"")="","NULL","'"&amp;SUBSTITUTE(TRIM(F393),"'","''")&amp;"'")&amp;", "&amp;IF(TRIM(G393&amp;"")="","NULL","'"&amp;SUBSTITUTE(TRIM(G393),"'","''")&amp;"'")&amp;", "&amp;IF(TRIM(H393&amp;"")="","NULL","'"&amp;SUBSTITUTE(TRIM(H393),"'","''")&amp;"'")&amp;", "&amp;IF(TRIM(I393&amp;"")="","NULL","'"&amp;SUBSTITUTE(TRIM(I393),"'","''")&amp;"'")&amp;", "&amp;IF(TRIM(J393&amp;"")="","NULL","'"&amp;SUBSTITUTE(TRIM(J393),"'","''")&amp;"'")&amp;", "&amp;IF(UPPER(TRIM(K393&amp;""))="SI","TRUE","FALSE")&amp;", 1"&amp;" WHERE NOT EXISTS (SELECT 1 FROM cli_contacto c WHERE c.id_cliente = "&amp;"(SELECT id FROM cli_clientes WHERE numero_documento = '"&amp;SUBSTITUTE(TRIM(A393),"'","''")&amp;"' AND estado = 1 LIMIT 1)"&amp;" AND upper(c.nombre) = upper("&amp;IF(TRIM(C393&amp;"")="","NULL","'"&amp;SUBSTITUTE(TRIM(C393),"'","''")&amp;"'")&amp;") AND coalesce(c.telefono1,'') = coalesce("&amp;IF(TRIM(F393&amp;"")="","NULL","'"&amp;SUBSTITUTE(TRIM(F393),"'","''")&amp;"'")&amp;",''));")</f>
        <v/>
      </c>
    </row>
    <row r="394" ht="15.75" customHeight="1" s="64">
      <c r="A394" s="23" t="n"/>
      <c r="B394" s="25">
        <f t="array" ref="B394">IF(A394="","",IFERROR(IF(INDEX(Clientes!$D$5:$D$549,MATCH(A394,Clientes!$C$5:$C$549,0))&lt;&gt;"",INDEX(Clientes!$D$5:$D$549,MATCH(A394,Clientes!$C$5:$C$549,0)),TRIM(INDEX(Clientes!$E$5:$E$549,MATCH(A394,Clientes!$C$5:$C$549,0))&amp;" "&amp;INDEX(Clientes!$F$5:$F$549,MATCH(A394,Clientes!$C$5:$C$549,0)))),"NO EXISTE en Clientes"))</f>
        <v/>
      </c>
      <c r="C394" s="17" t="n"/>
      <c r="D394" s="17" t="n"/>
      <c r="E394" s="17" t="n"/>
      <c r="F394" s="23" t="n"/>
      <c r="G394" s="23" t="n"/>
      <c r="H394" s="23" t="n"/>
      <c r="I394" s="17" t="n"/>
      <c r="J394" s="17" t="n"/>
      <c r="K394" s="17" t="n"/>
      <c r="L394" s="17">
        <f>IF(AND(A394="",C394=""),"",IF(A394="","FALTA doc. cliente",IF(B394="NO EXISTE en Clientes","CLIENTE no está en hoja Clientes",IF(C394="","FALTA nombre",IF(AND(K394="SI",COUNTIFS($A$5:$A$499,A394,$K$5:$K$499,"SI")&gt;1),"Más de un contacto principal para este cliente","OK")))))</f>
        <v/>
      </c>
      <c r="M394" s="28">
        <f>IF(L394&lt;&gt;"OK","","INSERT INTO cli_contacto (id_cliente, nombre, apellido_paterno, apellido_materno, telefono1, telefono2, telefono3, email, direccion, es_principal, estado) SELECT "&amp;"(SELECT id FROM cli_clientes WHERE numero_documento = '"&amp;SUBSTITUTE(TRIM(A394),"'","''")&amp;"' AND estado = 1 LIMIT 1)"&amp;", "&amp;IF(TRIM(C394&amp;"")="","NULL","'"&amp;SUBSTITUTE(TRIM(C394),"'","''")&amp;"'")&amp;", "&amp;IF(TRIM(D394&amp;"")="","NULL","'"&amp;SUBSTITUTE(TRIM(D394),"'","''")&amp;"'")&amp;", "&amp;IF(TRIM(E394&amp;"")="","NULL","'"&amp;SUBSTITUTE(TRIM(E394),"'","''")&amp;"'")&amp;", "&amp;IF(TRIM(F394&amp;"")="","NULL","'"&amp;SUBSTITUTE(TRIM(F394),"'","''")&amp;"'")&amp;", "&amp;IF(TRIM(G394&amp;"")="","NULL","'"&amp;SUBSTITUTE(TRIM(G394),"'","''")&amp;"'")&amp;", "&amp;IF(TRIM(H394&amp;"")="","NULL","'"&amp;SUBSTITUTE(TRIM(H394),"'","''")&amp;"'")&amp;", "&amp;IF(TRIM(I394&amp;"")="","NULL","'"&amp;SUBSTITUTE(TRIM(I394),"'","''")&amp;"'")&amp;", "&amp;IF(TRIM(J394&amp;"")="","NULL","'"&amp;SUBSTITUTE(TRIM(J394),"'","''")&amp;"'")&amp;", "&amp;IF(UPPER(TRIM(K394&amp;""))="SI","TRUE","FALSE")&amp;", 1"&amp;" WHERE NOT EXISTS (SELECT 1 FROM cli_contacto c WHERE c.id_cliente = "&amp;"(SELECT id FROM cli_clientes WHERE numero_documento = '"&amp;SUBSTITUTE(TRIM(A394),"'","''")&amp;"' AND estado = 1 LIMIT 1)"&amp;" AND upper(c.nombre) = upper("&amp;IF(TRIM(C394&amp;"")="","NULL","'"&amp;SUBSTITUTE(TRIM(C394),"'","''")&amp;"'")&amp;") AND coalesce(c.telefono1,'') = coalesce("&amp;IF(TRIM(F394&amp;"")="","NULL","'"&amp;SUBSTITUTE(TRIM(F394),"'","''")&amp;"'")&amp;",''));")</f>
        <v/>
      </c>
    </row>
    <row r="395" ht="15.75" customHeight="1" s="64">
      <c r="A395" s="23" t="n"/>
      <c r="B395" s="25">
        <f t="array" ref="B395">IF(A395="","",IFERROR(IF(INDEX(Clientes!$D$5:$D$549,MATCH(A395,Clientes!$C$5:$C$549,0))&lt;&gt;"",INDEX(Clientes!$D$5:$D$549,MATCH(A395,Clientes!$C$5:$C$549,0)),TRIM(INDEX(Clientes!$E$5:$E$549,MATCH(A395,Clientes!$C$5:$C$549,0))&amp;" "&amp;INDEX(Clientes!$F$5:$F$549,MATCH(A395,Clientes!$C$5:$C$549,0)))),"NO EXISTE en Clientes"))</f>
        <v/>
      </c>
      <c r="C395" s="17" t="n"/>
      <c r="D395" s="17" t="n"/>
      <c r="E395" s="17" t="n"/>
      <c r="F395" s="23" t="n"/>
      <c r="G395" s="23" t="n"/>
      <c r="H395" s="23" t="n"/>
      <c r="I395" s="17" t="n"/>
      <c r="J395" s="17" t="n"/>
      <c r="K395" s="17" t="n"/>
      <c r="L395" s="17">
        <f>IF(AND(A395="",C395=""),"",IF(A395="","FALTA doc. cliente",IF(B395="NO EXISTE en Clientes","CLIENTE no está en hoja Clientes",IF(C395="","FALTA nombre",IF(AND(K395="SI",COUNTIFS($A$5:$A$499,A395,$K$5:$K$499,"SI")&gt;1),"Más de un contacto principal para este cliente","OK")))))</f>
        <v/>
      </c>
      <c r="M395" s="28">
        <f>IF(L395&lt;&gt;"OK","","INSERT INTO cli_contacto (id_cliente, nombre, apellido_paterno, apellido_materno, telefono1, telefono2, telefono3, email, direccion, es_principal, estado) SELECT "&amp;"(SELECT id FROM cli_clientes WHERE numero_documento = '"&amp;SUBSTITUTE(TRIM(A395),"'","''")&amp;"' AND estado = 1 LIMIT 1)"&amp;", "&amp;IF(TRIM(C395&amp;"")="","NULL","'"&amp;SUBSTITUTE(TRIM(C395),"'","''")&amp;"'")&amp;", "&amp;IF(TRIM(D395&amp;"")="","NULL","'"&amp;SUBSTITUTE(TRIM(D395),"'","''")&amp;"'")&amp;", "&amp;IF(TRIM(E395&amp;"")="","NULL","'"&amp;SUBSTITUTE(TRIM(E395),"'","''")&amp;"'")&amp;", "&amp;IF(TRIM(F395&amp;"")="","NULL","'"&amp;SUBSTITUTE(TRIM(F395),"'","''")&amp;"'")&amp;", "&amp;IF(TRIM(G395&amp;"")="","NULL","'"&amp;SUBSTITUTE(TRIM(G395),"'","''")&amp;"'")&amp;", "&amp;IF(TRIM(H395&amp;"")="","NULL","'"&amp;SUBSTITUTE(TRIM(H395),"'","''")&amp;"'")&amp;", "&amp;IF(TRIM(I395&amp;"")="","NULL","'"&amp;SUBSTITUTE(TRIM(I395),"'","''")&amp;"'")&amp;", "&amp;IF(TRIM(J395&amp;"")="","NULL","'"&amp;SUBSTITUTE(TRIM(J395),"'","''")&amp;"'")&amp;", "&amp;IF(UPPER(TRIM(K395&amp;""))="SI","TRUE","FALSE")&amp;", 1"&amp;" WHERE NOT EXISTS (SELECT 1 FROM cli_contacto c WHERE c.id_cliente = "&amp;"(SELECT id FROM cli_clientes WHERE numero_documento = '"&amp;SUBSTITUTE(TRIM(A395),"'","''")&amp;"' AND estado = 1 LIMIT 1)"&amp;" AND upper(c.nombre) = upper("&amp;IF(TRIM(C395&amp;"")="","NULL","'"&amp;SUBSTITUTE(TRIM(C395),"'","''")&amp;"'")&amp;") AND coalesce(c.telefono1,'') = coalesce("&amp;IF(TRIM(F395&amp;"")="","NULL","'"&amp;SUBSTITUTE(TRIM(F395),"'","''")&amp;"'")&amp;",''));")</f>
        <v/>
      </c>
    </row>
    <row r="396" ht="15.75" customHeight="1" s="64">
      <c r="A396" s="23" t="n"/>
      <c r="B396" s="25">
        <f t="array" ref="B396">IF(A396="","",IFERROR(IF(INDEX(Clientes!$D$5:$D$549,MATCH(A396,Clientes!$C$5:$C$549,0))&lt;&gt;"",INDEX(Clientes!$D$5:$D$549,MATCH(A396,Clientes!$C$5:$C$549,0)),TRIM(INDEX(Clientes!$E$5:$E$549,MATCH(A396,Clientes!$C$5:$C$549,0))&amp;" "&amp;INDEX(Clientes!$F$5:$F$549,MATCH(A396,Clientes!$C$5:$C$549,0)))),"NO EXISTE en Clientes"))</f>
        <v/>
      </c>
      <c r="C396" s="17" t="n"/>
      <c r="D396" s="17" t="n"/>
      <c r="E396" s="17" t="n"/>
      <c r="F396" s="23" t="n"/>
      <c r="G396" s="23" t="n"/>
      <c r="H396" s="23" t="n"/>
      <c r="I396" s="17" t="n"/>
      <c r="J396" s="17" t="n"/>
      <c r="K396" s="17" t="n"/>
      <c r="L396" s="17">
        <f>IF(AND(A396="",C396=""),"",IF(A396="","FALTA doc. cliente",IF(B396="NO EXISTE en Clientes","CLIENTE no está en hoja Clientes",IF(C396="","FALTA nombre",IF(AND(K396="SI",COUNTIFS($A$5:$A$499,A396,$K$5:$K$499,"SI")&gt;1),"Más de un contacto principal para este cliente","OK")))))</f>
        <v/>
      </c>
      <c r="M396" s="28">
        <f>IF(L396&lt;&gt;"OK","","INSERT INTO cli_contacto (id_cliente, nombre, apellido_paterno, apellido_materno, telefono1, telefono2, telefono3, email, direccion, es_principal, estado) SELECT "&amp;"(SELECT id FROM cli_clientes WHERE numero_documento = '"&amp;SUBSTITUTE(TRIM(A396),"'","''")&amp;"' AND estado = 1 LIMIT 1)"&amp;", "&amp;IF(TRIM(C396&amp;"")="","NULL","'"&amp;SUBSTITUTE(TRIM(C396),"'","''")&amp;"'")&amp;", "&amp;IF(TRIM(D396&amp;"")="","NULL","'"&amp;SUBSTITUTE(TRIM(D396),"'","''")&amp;"'")&amp;", "&amp;IF(TRIM(E396&amp;"")="","NULL","'"&amp;SUBSTITUTE(TRIM(E396),"'","''")&amp;"'")&amp;", "&amp;IF(TRIM(F396&amp;"")="","NULL","'"&amp;SUBSTITUTE(TRIM(F396),"'","''")&amp;"'")&amp;", "&amp;IF(TRIM(G396&amp;"")="","NULL","'"&amp;SUBSTITUTE(TRIM(G396),"'","''")&amp;"'")&amp;", "&amp;IF(TRIM(H396&amp;"")="","NULL","'"&amp;SUBSTITUTE(TRIM(H396),"'","''")&amp;"'")&amp;", "&amp;IF(TRIM(I396&amp;"")="","NULL","'"&amp;SUBSTITUTE(TRIM(I396),"'","''")&amp;"'")&amp;", "&amp;IF(TRIM(J396&amp;"")="","NULL","'"&amp;SUBSTITUTE(TRIM(J396),"'","''")&amp;"'")&amp;", "&amp;IF(UPPER(TRIM(K396&amp;""))="SI","TRUE","FALSE")&amp;", 1"&amp;" WHERE NOT EXISTS (SELECT 1 FROM cli_contacto c WHERE c.id_cliente = "&amp;"(SELECT id FROM cli_clientes WHERE numero_documento = '"&amp;SUBSTITUTE(TRIM(A396),"'","''")&amp;"' AND estado = 1 LIMIT 1)"&amp;" AND upper(c.nombre) = upper("&amp;IF(TRIM(C396&amp;"")="","NULL","'"&amp;SUBSTITUTE(TRIM(C396),"'","''")&amp;"'")&amp;") AND coalesce(c.telefono1,'') = coalesce("&amp;IF(TRIM(F396&amp;"")="","NULL","'"&amp;SUBSTITUTE(TRIM(F396),"'","''")&amp;"'")&amp;",''));")</f>
        <v/>
      </c>
    </row>
    <row r="397" ht="15.75" customHeight="1" s="64">
      <c r="A397" s="23" t="n"/>
      <c r="B397" s="25">
        <f t="array" ref="B397">IF(A397="","",IFERROR(IF(INDEX(Clientes!$D$5:$D$549,MATCH(A397,Clientes!$C$5:$C$549,0))&lt;&gt;"",INDEX(Clientes!$D$5:$D$549,MATCH(A397,Clientes!$C$5:$C$549,0)),TRIM(INDEX(Clientes!$E$5:$E$549,MATCH(A397,Clientes!$C$5:$C$549,0))&amp;" "&amp;INDEX(Clientes!$F$5:$F$549,MATCH(A397,Clientes!$C$5:$C$549,0)))),"NO EXISTE en Clientes"))</f>
        <v/>
      </c>
      <c r="C397" s="17" t="n"/>
      <c r="D397" s="17" t="n"/>
      <c r="E397" s="17" t="n"/>
      <c r="F397" s="23" t="n"/>
      <c r="G397" s="23" t="n"/>
      <c r="H397" s="23" t="n"/>
      <c r="I397" s="17" t="n"/>
      <c r="J397" s="17" t="n"/>
      <c r="K397" s="17" t="n"/>
      <c r="L397" s="17">
        <f>IF(AND(A397="",C397=""),"",IF(A397="","FALTA doc. cliente",IF(B397="NO EXISTE en Clientes","CLIENTE no está en hoja Clientes",IF(C397="","FALTA nombre",IF(AND(K397="SI",COUNTIFS($A$5:$A$499,A397,$K$5:$K$499,"SI")&gt;1),"Más de un contacto principal para este cliente","OK")))))</f>
        <v/>
      </c>
      <c r="M397" s="28">
        <f>IF(L397&lt;&gt;"OK","","INSERT INTO cli_contacto (id_cliente, nombre, apellido_paterno, apellido_materno, telefono1, telefono2, telefono3, email, direccion, es_principal, estado) SELECT "&amp;"(SELECT id FROM cli_clientes WHERE numero_documento = '"&amp;SUBSTITUTE(TRIM(A397),"'","''")&amp;"' AND estado = 1 LIMIT 1)"&amp;", "&amp;IF(TRIM(C397&amp;"")="","NULL","'"&amp;SUBSTITUTE(TRIM(C397),"'","''")&amp;"'")&amp;", "&amp;IF(TRIM(D397&amp;"")="","NULL","'"&amp;SUBSTITUTE(TRIM(D397),"'","''")&amp;"'")&amp;", "&amp;IF(TRIM(E397&amp;"")="","NULL","'"&amp;SUBSTITUTE(TRIM(E397),"'","''")&amp;"'")&amp;", "&amp;IF(TRIM(F397&amp;"")="","NULL","'"&amp;SUBSTITUTE(TRIM(F397),"'","''")&amp;"'")&amp;", "&amp;IF(TRIM(G397&amp;"")="","NULL","'"&amp;SUBSTITUTE(TRIM(G397),"'","''")&amp;"'")&amp;", "&amp;IF(TRIM(H397&amp;"")="","NULL","'"&amp;SUBSTITUTE(TRIM(H397),"'","''")&amp;"'")&amp;", "&amp;IF(TRIM(I397&amp;"")="","NULL","'"&amp;SUBSTITUTE(TRIM(I397),"'","''")&amp;"'")&amp;", "&amp;IF(TRIM(J397&amp;"")="","NULL","'"&amp;SUBSTITUTE(TRIM(J397),"'","''")&amp;"'")&amp;", "&amp;IF(UPPER(TRIM(K397&amp;""))="SI","TRUE","FALSE")&amp;", 1"&amp;" WHERE NOT EXISTS (SELECT 1 FROM cli_contacto c WHERE c.id_cliente = "&amp;"(SELECT id FROM cli_clientes WHERE numero_documento = '"&amp;SUBSTITUTE(TRIM(A397),"'","''")&amp;"' AND estado = 1 LIMIT 1)"&amp;" AND upper(c.nombre) = upper("&amp;IF(TRIM(C397&amp;"")="","NULL","'"&amp;SUBSTITUTE(TRIM(C397),"'","''")&amp;"'")&amp;") AND coalesce(c.telefono1,'') = coalesce("&amp;IF(TRIM(F397&amp;"")="","NULL","'"&amp;SUBSTITUTE(TRIM(F397),"'","''")&amp;"'")&amp;",''));")</f>
        <v/>
      </c>
    </row>
    <row r="398" ht="15.75" customHeight="1" s="64">
      <c r="A398" s="23" t="n"/>
      <c r="B398" s="25">
        <f t="array" ref="B398">IF(A398="","",IFERROR(IF(INDEX(Clientes!$D$5:$D$549,MATCH(A398,Clientes!$C$5:$C$549,0))&lt;&gt;"",INDEX(Clientes!$D$5:$D$549,MATCH(A398,Clientes!$C$5:$C$549,0)),TRIM(INDEX(Clientes!$E$5:$E$549,MATCH(A398,Clientes!$C$5:$C$549,0))&amp;" "&amp;INDEX(Clientes!$F$5:$F$549,MATCH(A398,Clientes!$C$5:$C$549,0)))),"NO EXISTE en Clientes"))</f>
        <v/>
      </c>
      <c r="C398" s="17" t="n"/>
      <c r="D398" s="17" t="n"/>
      <c r="E398" s="17" t="n"/>
      <c r="F398" s="23" t="n"/>
      <c r="G398" s="23" t="n"/>
      <c r="H398" s="23" t="n"/>
      <c r="I398" s="17" t="n"/>
      <c r="J398" s="17" t="n"/>
      <c r="K398" s="17" t="n"/>
      <c r="L398" s="17">
        <f>IF(AND(A398="",C398=""),"",IF(A398="","FALTA doc. cliente",IF(B398="NO EXISTE en Clientes","CLIENTE no está en hoja Clientes",IF(C398="","FALTA nombre",IF(AND(K398="SI",COUNTIFS($A$5:$A$499,A398,$K$5:$K$499,"SI")&gt;1),"Más de un contacto principal para este cliente","OK")))))</f>
        <v/>
      </c>
      <c r="M398" s="28">
        <f>IF(L398&lt;&gt;"OK","","INSERT INTO cli_contacto (id_cliente, nombre, apellido_paterno, apellido_materno, telefono1, telefono2, telefono3, email, direccion, es_principal, estado) SELECT "&amp;"(SELECT id FROM cli_clientes WHERE numero_documento = '"&amp;SUBSTITUTE(TRIM(A398),"'","''")&amp;"' AND estado = 1 LIMIT 1)"&amp;", "&amp;IF(TRIM(C398&amp;"")="","NULL","'"&amp;SUBSTITUTE(TRIM(C398),"'","''")&amp;"'")&amp;", "&amp;IF(TRIM(D398&amp;"")="","NULL","'"&amp;SUBSTITUTE(TRIM(D398),"'","''")&amp;"'")&amp;", "&amp;IF(TRIM(E398&amp;"")="","NULL","'"&amp;SUBSTITUTE(TRIM(E398),"'","''")&amp;"'")&amp;", "&amp;IF(TRIM(F398&amp;"")="","NULL","'"&amp;SUBSTITUTE(TRIM(F398),"'","''")&amp;"'")&amp;", "&amp;IF(TRIM(G398&amp;"")="","NULL","'"&amp;SUBSTITUTE(TRIM(G398),"'","''")&amp;"'")&amp;", "&amp;IF(TRIM(H398&amp;"")="","NULL","'"&amp;SUBSTITUTE(TRIM(H398),"'","''")&amp;"'")&amp;", "&amp;IF(TRIM(I398&amp;"")="","NULL","'"&amp;SUBSTITUTE(TRIM(I398),"'","''")&amp;"'")&amp;", "&amp;IF(TRIM(J398&amp;"")="","NULL","'"&amp;SUBSTITUTE(TRIM(J398),"'","''")&amp;"'")&amp;", "&amp;IF(UPPER(TRIM(K398&amp;""))="SI","TRUE","FALSE")&amp;", 1"&amp;" WHERE NOT EXISTS (SELECT 1 FROM cli_contacto c WHERE c.id_cliente = "&amp;"(SELECT id FROM cli_clientes WHERE numero_documento = '"&amp;SUBSTITUTE(TRIM(A398),"'","''")&amp;"' AND estado = 1 LIMIT 1)"&amp;" AND upper(c.nombre) = upper("&amp;IF(TRIM(C398&amp;"")="","NULL","'"&amp;SUBSTITUTE(TRIM(C398),"'","''")&amp;"'")&amp;") AND coalesce(c.telefono1,'') = coalesce("&amp;IF(TRIM(F398&amp;"")="","NULL","'"&amp;SUBSTITUTE(TRIM(F398),"'","''")&amp;"'")&amp;",''));")</f>
        <v/>
      </c>
    </row>
    <row r="399" ht="15.75" customHeight="1" s="64">
      <c r="A399" s="23" t="n"/>
      <c r="B399" s="25">
        <f t="array" ref="B399">IF(A399="","",IFERROR(IF(INDEX(Clientes!$D$5:$D$549,MATCH(A399,Clientes!$C$5:$C$549,0))&lt;&gt;"",INDEX(Clientes!$D$5:$D$549,MATCH(A399,Clientes!$C$5:$C$549,0)),TRIM(INDEX(Clientes!$E$5:$E$549,MATCH(A399,Clientes!$C$5:$C$549,0))&amp;" "&amp;INDEX(Clientes!$F$5:$F$549,MATCH(A399,Clientes!$C$5:$C$549,0)))),"NO EXISTE en Clientes"))</f>
        <v/>
      </c>
      <c r="C399" s="17" t="n"/>
      <c r="D399" s="17" t="n"/>
      <c r="E399" s="17" t="n"/>
      <c r="F399" s="23" t="n"/>
      <c r="G399" s="23" t="n"/>
      <c r="H399" s="23" t="n"/>
      <c r="I399" s="17" t="n"/>
      <c r="J399" s="17" t="n"/>
      <c r="K399" s="17" t="n"/>
      <c r="L399" s="17">
        <f>IF(AND(A399="",C399=""),"",IF(A399="","FALTA doc. cliente",IF(B399="NO EXISTE en Clientes","CLIENTE no está en hoja Clientes",IF(C399="","FALTA nombre",IF(AND(K399="SI",COUNTIFS($A$5:$A$499,A399,$K$5:$K$499,"SI")&gt;1),"Más de un contacto principal para este cliente","OK")))))</f>
        <v/>
      </c>
      <c r="M399" s="28">
        <f>IF(L399&lt;&gt;"OK","","INSERT INTO cli_contacto (id_cliente, nombre, apellido_paterno, apellido_materno, telefono1, telefono2, telefono3, email, direccion, es_principal, estado) SELECT "&amp;"(SELECT id FROM cli_clientes WHERE numero_documento = '"&amp;SUBSTITUTE(TRIM(A399),"'","''")&amp;"' AND estado = 1 LIMIT 1)"&amp;", "&amp;IF(TRIM(C399&amp;"")="","NULL","'"&amp;SUBSTITUTE(TRIM(C399),"'","''")&amp;"'")&amp;", "&amp;IF(TRIM(D399&amp;"")="","NULL","'"&amp;SUBSTITUTE(TRIM(D399),"'","''")&amp;"'")&amp;", "&amp;IF(TRIM(E399&amp;"")="","NULL","'"&amp;SUBSTITUTE(TRIM(E399),"'","''")&amp;"'")&amp;", "&amp;IF(TRIM(F399&amp;"")="","NULL","'"&amp;SUBSTITUTE(TRIM(F399),"'","''")&amp;"'")&amp;", "&amp;IF(TRIM(G399&amp;"")="","NULL","'"&amp;SUBSTITUTE(TRIM(G399),"'","''")&amp;"'")&amp;", "&amp;IF(TRIM(H399&amp;"")="","NULL","'"&amp;SUBSTITUTE(TRIM(H399),"'","''")&amp;"'")&amp;", "&amp;IF(TRIM(I399&amp;"")="","NULL","'"&amp;SUBSTITUTE(TRIM(I399),"'","''")&amp;"'")&amp;", "&amp;IF(TRIM(J399&amp;"")="","NULL","'"&amp;SUBSTITUTE(TRIM(J399),"'","''")&amp;"'")&amp;", "&amp;IF(UPPER(TRIM(K399&amp;""))="SI","TRUE","FALSE")&amp;", 1"&amp;" WHERE NOT EXISTS (SELECT 1 FROM cli_contacto c WHERE c.id_cliente = "&amp;"(SELECT id FROM cli_clientes WHERE numero_documento = '"&amp;SUBSTITUTE(TRIM(A399),"'","''")&amp;"' AND estado = 1 LIMIT 1)"&amp;" AND upper(c.nombre) = upper("&amp;IF(TRIM(C399&amp;"")="","NULL","'"&amp;SUBSTITUTE(TRIM(C399),"'","''")&amp;"'")&amp;") AND coalesce(c.telefono1,'') = coalesce("&amp;IF(TRIM(F399&amp;"")="","NULL","'"&amp;SUBSTITUTE(TRIM(F399),"'","''")&amp;"'")&amp;",''));")</f>
        <v/>
      </c>
    </row>
    <row r="400" ht="15.75" customHeight="1" s="64">
      <c r="A400" s="23" t="n"/>
      <c r="B400" s="25">
        <f t="array" ref="B400">IF(A400="","",IFERROR(IF(INDEX(Clientes!$D$5:$D$549,MATCH(A400,Clientes!$C$5:$C$549,0))&lt;&gt;"",INDEX(Clientes!$D$5:$D$549,MATCH(A400,Clientes!$C$5:$C$549,0)),TRIM(INDEX(Clientes!$E$5:$E$549,MATCH(A400,Clientes!$C$5:$C$549,0))&amp;" "&amp;INDEX(Clientes!$F$5:$F$549,MATCH(A400,Clientes!$C$5:$C$549,0)))),"NO EXISTE en Clientes"))</f>
        <v/>
      </c>
      <c r="C400" s="17" t="n"/>
      <c r="D400" s="17" t="n"/>
      <c r="E400" s="17" t="n"/>
      <c r="F400" s="23" t="n"/>
      <c r="G400" s="23" t="n"/>
      <c r="H400" s="23" t="n"/>
      <c r="I400" s="17" t="n"/>
      <c r="J400" s="17" t="n"/>
      <c r="K400" s="17" t="n"/>
      <c r="L400" s="17">
        <f>IF(AND(A400="",C400=""),"",IF(A400="","FALTA doc. cliente",IF(B400="NO EXISTE en Clientes","CLIENTE no está en hoja Clientes",IF(C400="","FALTA nombre",IF(AND(K400="SI",COUNTIFS($A$5:$A$499,A400,$K$5:$K$499,"SI")&gt;1),"Más de un contacto principal para este cliente","OK")))))</f>
        <v/>
      </c>
      <c r="M400" s="28">
        <f>IF(L400&lt;&gt;"OK","","INSERT INTO cli_contacto (id_cliente, nombre, apellido_paterno, apellido_materno, telefono1, telefono2, telefono3, email, direccion, es_principal, estado) SELECT "&amp;"(SELECT id FROM cli_clientes WHERE numero_documento = '"&amp;SUBSTITUTE(TRIM(A400),"'","''")&amp;"' AND estado = 1 LIMIT 1)"&amp;", "&amp;IF(TRIM(C400&amp;"")="","NULL","'"&amp;SUBSTITUTE(TRIM(C400),"'","''")&amp;"'")&amp;", "&amp;IF(TRIM(D400&amp;"")="","NULL","'"&amp;SUBSTITUTE(TRIM(D400),"'","''")&amp;"'")&amp;", "&amp;IF(TRIM(E400&amp;"")="","NULL","'"&amp;SUBSTITUTE(TRIM(E400),"'","''")&amp;"'")&amp;", "&amp;IF(TRIM(F400&amp;"")="","NULL","'"&amp;SUBSTITUTE(TRIM(F400),"'","''")&amp;"'")&amp;", "&amp;IF(TRIM(G400&amp;"")="","NULL","'"&amp;SUBSTITUTE(TRIM(G400),"'","''")&amp;"'")&amp;", "&amp;IF(TRIM(H400&amp;"")="","NULL","'"&amp;SUBSTITUTE(TRIM(H400),"'","''")&amp;"'")&amp;", "&amp;IF(TRIM(I400&amp;"")="","NULL","'"&amp;SUBSTITUTE(TRIM(I400),"'","''")&amp;"'")&amp;", "&amp;IF(TRIM(J400&amp;"")="","NULL","'"&amp;SUBSTITUTE(TRIM(J400),"'","''")&amp;"'")&amp;", "&amp;IF(UPPER(TRIM(K400&amp;""))="SI","TRUE","FALSE")&amp;", 1"&amp;" WHERE NOT EXISTS (SELECT 1 FROM cli_contacto c WHERE c.id_cliente = "&amp;"(SELECT id FROM cli_clientes WHERE numero_documento = '"&amp;SUBSTITUTE(TRIM(A400),"'","''")&amp;"' AND estado = 1 LIMIT 1)"&amp;" AND upper(c.nombre) = upper("&amp;IF(TRIM(C400&amp;"")="","NULL","'"&amp;SUBSTITUTE(TRIM(C400),"'","''")&amp;"'")&amp;") AND coalesce(c.telefono1,'') = coalesce("&amp;IF(TRIM(F400&amp;"")="","NULL","'"&amp;SUBSTITUTE(TRIM(F400),"'","''")&amp;"'")&amp;",''));")</f>
        <v/>
      </c>
    </row>
    <row r="401" ht="15.75" customHeight="1" s="64">
      <c r="A401" s="23" t="n"/>
      <c r="B401" s="25">
        <f t="array" ref="B401">IF(A401="","",IFERROR(IF(INDEX(Clientes!$D$5:$D$549,MATCH(A401,Clientes!$C$5:$C$549,0))&lt;&gt;"",INDEX(Clientes!$D$5:$D$549,MATCH(A401,Clientes!$C$5:$C$549,0)),TRIM(INDEX(Clientes!$E$5:$E$549,MATCH(A401,Clientes!$C$5:$C$549,0))&amp;" "&amp;INDEX(Clientes!$F$5:$F$549,MATCH(A401,Clientes!$C$5:$C$549,0)))),"NO EXISTE en Clientes"))</f>
        <v/>
      </c>
      <c r="C401" s="17" t="n"/>
      <c r="D401" s="17" t="n"/>
      <c r="E401" s="17" t="n"/>
      <c r="F401" s="23" t="n"/>
      <c r="G401" s="23" t="n"/>
      <c r="H401" s="23" t="n"/>
      <c r="I401" s="17" t="n"/>
      <c r="J401" s="17" t="n"/>
      <c r="K401" s="17" t="n"/>
      <c r="L401" s="17">
        <f>IF(AND(A401="",C401=""),"",IF(A401="","FALTA doc. cliente",IF(B401="NO EXISTE en Clientes","CLIENTE no está en hoja Clientes",IF(C401="","FALTA nombre",IF(AND(K401="SI",COUNTIFS($A$5:$A$499,A401,$K$5:$K$499,"SI")&gt;1),"Más de un contacto principal para este cliente","OK")))))</f>
        <v/>
      </c>
      <c r="M401" s="28">
        <f>IF(L401&lt;&gt;"OK","","INSERT INTO cli_contacto (id_cliente, nombre, apellido_paterno, apellido_materno, telefono1, telefono2, telefono3, email, direccion, es_principal, estado) SELECT "&amp;"(SELECT id FROM cli_clientes WHERE numero_documento = '"&amp;SUBSTITUTE(TRIM(A401),"'","''")&amp;"' AND estado = 1 LIMIT 1)"&amp;", "&amp;IF(TRIM(C401&amp;"")="","NULL","'"&amp;SUBSTITUTE(TRIM(C401),"'","''")&amp;"'")&amp;", "&amp;IF(TRIM(D401&amp;"")="","NULL","'"&amp;SUBSTITUTE(TRIM(D401),"'","''")&amp;"'")&amp;", "&amp;IF(TRIM(E401&amp;"")="","NULL","'"&amp;SUBSTITUTE(TRIM(E401),"'","''")&amp;"'")&amp;", "&amp;IF(TRIM(F401&amp;"")="","NULL","'"&amp;SUBSTITUTE(TRIM(F401),"'","''")&amp;"'")&amp;", "&amp;IF(TRIM(G401&amp;"")="","NULL","'"&amp;SUBSTITUTE(TRIM(G401),"'","''")&amp;"'")&amp;", "&amp;IF(TRIM(H401&amp;"")="","NULL","'"&amp;SUBSTITUTE(TRIM(H401),"'","''")&amp;"'")&amp;", "&amp;IF(TRIM(I401&amp;"")="","NULL","'"&amp;SUBSTITUTE(TRIM(I401),"'","''")&amp;"'")&amp;", "&amp;IF(TRIM(J401&amp;"")="","NULL","'"&amp;SUBSTITUTE(TRIM(J401),"'","''")&amp;"'")&amp;", "&amp;IF(UPPER(TRIM(K401&amp;""))="SI","TRUE","FALSE")&amp;", 1"&amp;" WHERE NOT EXISTS (SELECT 1 FROM cli_contacto c WHERE c.id_cliente = "&amp;"(SELECT id FROM cli_clientes WHERE numero_documento = '"&amp;SUBSTITUTE(TRIM(A401),"'","''")&amp;"' AND estado = 1 LIMIT 1)"&amp;" AND upper(c.nombre) = upper("&amp;IF(TRIM(C401&amp;"")="","NULL","'"&amp;SUBSTITUTE(TRIM(C401),"'","''")&amp;"'")&amp;") AND coalesce(c.telefono1,'') = coalesce("&amp;IF(TRIM(F401&amp;"")="","NULL","'"&amp;SUBSTITUTE(TRIM(F401),"'","''")&amp;"'")&amp;",''));")</f>
        <v/>
      </c>
    </row>
    <row r="402" ht="15.75" customHeight="1" s="64">
      <c r="A402" s="23" t="n"/>
      <c r="B402" s="25">
        <f t="array" ref="B402">IF(A402="","",IFERROR(IF(INDEX(Clientes!$D$5:$D$549,MATCH(A402,Clientes!$C$5:$C$549,0))&lt;&gt;"",INDEX(Clientes!$D$5:$D$549,MATCH(A402,Clientes!$C$5:$C$549,0)),TRIM(INDEX(Clientes!$E$5:$E$549,MATCH(A402,Clientes!$C$5:$C$549,0))&amp;" "&amp;INDEX(Clientes!$F$5:$F$549,MATCH(A402,Clientes!$C$5:$C$549,0)))),"NO EXISTE en Clientes"))</f>
        <v/>
      </c>
      <c r="C402" s="17" t="n"/>
      <c r="D402" s="17" t="n"/>
      <c r="E402" s="17" t="n"/>
      <c r="F402" s="23" t="n"/>
      <c r="G402" s="23" t="n"/>
      <c r="H402" s="23" t="n"/>
      <c r="I402" s="17" t="n"/>
      <c r="J402" s="17" t="n"/>
      <c r="K402" s="17" t="n"/>
      <c r="L402" s="17">
        <f>IF(AND(A402="",C402=""),"",IF(A402="","FALTA doc. cliente",IF(B402="NO EXISTE en Clientes","CLIENTE no está en hoja Clientes",IF(C402="","FALTA nombre",IF(AND(K402="SI",COUNTIFS($A$5:$A$499,A402,$K$5:$K$499,"SI")&gt;1),"Más de un contacto principal para este cliente","OK")))))</f>
        <v/>
      </c>
      <c r="M402" s="28">
        <f>IF(L402&lt;&gt;"OK","","INSERT INTO cli_contacto (id_cliente, nombre, apellido_paterno, apellido_materno, telefono1, telefono2, telefono3, email, direccion, es_principal, estado) SELECT "&amp;"(SELECT id FROM cli_clientes WHERE numero_documento = '"&amp;SUBSTITUTE(TRIM(A402),"'","''")&amp;"' AND estado = 1 LIMIT 1)"&amp;", "&amp;IF(TRIM(C402&amp;"")="","NULL","'"&amp;SUBSTITUTE(TRIM(C402),"'","''")&amp;"'")&amp;", "&amp;IF(TRIM(D402&amp;"")="","NULL","'"&amp;SUBSTITUTE(TRIM(D402),"'","''")&amp;"'")&amp;", "&amp;IF(TRIM(E402&amp;"")="","NULL","'"&amp;SUBSTITUTE(TRIM(E402),"'","''")&amp;"'")&amp;", "&amp;IF(TRIM(F402&amp;"")="","NULL","'"&amp;SUBSTITUTE(TRIM(F402),"'","''")&amp;"'")&amp;", "&amp;IF(TRIM(G402&amp;"")="","NULL","'"&amp;SUBSTITUTE(TRIM(G402),"'","''")&amp;"'")&amp;", "&amp;IF(TRIM(H402&amp;"")="","NULL","'"&amp;SUBSTITUTE(TRIM(H402),"'","''")&amp;"'")&amp;", "&amp;IF(TRIM(I402&amp;"")="","NULL","'"&amp;SUBSTITUTE(TRIM(I402),"'","''")&amp;"'")&amp;", "&amp;IF(TRIM(J402&amp;"")="","NULL","'"&amp;SUBSTITUTE(TRIM(J402),"'","''")&amp;"'")&amp;", "&amp;IF(UPPER(TRIM(K402&amp;""))="SI","TRUE","FALSE")&amp;", 1"&amp;" WHERE NOT EXISTS (SELECT 1 FROM cli_contacto c WHERE c.id_cliente = "&amp;"(SELECT id FROM cli_clientes WHERE numero_documento = '"&amp;SUBSTITUTE(TRIM(A402),"'","''")&amp;"' AND estado = 1 LIMIT 1)"&amp;" AND upper(c.nombre) = upper("&amp;IF(TRIM(C402&amp;"")="","NULL","'"&amp;SUBSTITUTE(TRIM(C402),"'","''")&amp;"'")&amp;") AND coalesce(c.telefono1,'') = coalesce("&amp;IF(TRIM(F402&amp;"")="","NULL","'"&amp;SUBSTITUTE(TRIM(F402),"'","''")&amp;"'")&amp;",''));")</f>
        <v/>
      </c>
    </row>
    <row r="403" ht="15.75" customHeight="1" s="64">
      <c r="A403" s="23" t="n"/>
      <c r="B403" s="25">
        <f t="array" ref="B403">IF(A403="","",IFERROR(IF(INDEX(Clientes!$D$5:$D$549,MATCH(A403,Clientes!$C$5:$C$549,0))&lt;&gt;"",INDEX(Clientes!$D$5:$D$549,MATCH(A403,Clientes!$C$5:$C$549,0)),TRIM(INDEX(Clientes!$E$5:$E$549,MATCH(A403,Clientes!$C$5:$C$549,0))&amp;" "&amp;INDEX(Clientes!$F$5:$F$549,MATCH(A403,Clientes!$C$5:$C$549,0)))),"NO EXISTE en Clientes"))</f>
        <v/>
      </c>
      <c r="C403" s="17" t="n"/>
      <c r="D403" s="17" t="n"/>
      <c r="E403" s="17" t="n"/>
      <c r="F403" s="23" t="n"/>
      <c r="G403" s="23" t="n"/>
      <c r="H403" s="23" t="n"/>
      <c r="I403" s="17" t="n"/>
      <c r="J403" s="17" t="n"/>
      <c r="K403" s="17" t="n"/>
      <c r="L403" s="17">
        <f>IF(AND(A403="",C403=""),"",IF(A403="","FALTA doc. cliente",IF(B403="NO EXISTE en Clientes","CLIENTE no está en hoja Clientes",IF(C403="","FALTA nombre",IF(AND(K403="SI",COUNTIFS($A$5:$A$499,A403,$K$5:$K$499,"SI")&gt;1),"Más de un contacto principal para este cliente","OK")))))</f>
        <v/>
      </c>
      <c r="M403" s="28">
        <f>IF(L403&lt;&gt;"OK","","INSERT INTO cli_contacto (id_cliente, nombre, apellido_paterno, apellido_materno, telefono1, telefono2, telefono3, email, direccion, es_principal, estado) SELECT "&amp;"(SELECT id FROM cli_clientes WHERE numero_documento = '"&amp;SUBSTITUTE(TRIM(A403),"'","''")&amp;"' AND estado = 1 LIMIT 1)"&amp;", "&amp;IF(TRIM(C403&amp;"")="","NULL","'"&amp;SUBSTITUTE(TRIM(C403),"'","''")&amp;"'")&amp;", "&amp;IF(TRIM(D403&amp;"")="","NULL","'"&amp;SUBSTITUTE(TRIM(D403),"'","''")&amp;"'")&amp;", "&amp;IF(TRIM(E403&amp;"")="","NULL","'"&amp;SUBSTITUTE(TRIM(E403),"'","''")&amp;"'")&amp;", "&amp;IF(TRIM(F403&amp;"")="","NULL","'"&amp;SUBSTITUTE(TRIM(F403),"'","''")&amp;"'")&amp;", "&amp;IF(TRIM(G403&amp;"")="","NULL","'"&amp;SUBSTITUTE(TRIM(G403),"'","''")&amp;"'")&amp;", "&amp;IF(TRIM(H403&amp;"")="","NULL","'"&amp;SUBSTITUTE(TRIM(H403),"'","''")&amp;"'")&amp;", "&amp;IF(TRIM(I403&amp;"")="","NULL","'"&amp;SUBSTITUTE(TRIM(I403),"'","''")&amp;"'")&amp;", "&amp;IF(TRIM(J403&amp;"")="","NULL","'"&amp;SUBSTITUTE(TRIM(J403),"'","''")&amp;"'")&amp;", "&amp;IF(UPPER(TRIM(K403&amp;""))="SI","TRUE","FALSE")&amp;", 1"&amp;" WHERE NOT EXISTS (SELECT 1 FROM cli_contacto c WHERE c.id_cliente = "&amp;"(SELECT id FROM cli_clientes WHERE numero_documento = '"&amp;SUBSTITUTE(TRIM(A403),"'","''")&amp;"' AND estado = 1 LIMIT 1)"&amp;" AND upper(c.nombre) = upper("&amp;IF(TRIM(C403&amp;"")="","NULL","'"&amp;SUBSTITUTE(TRIM(C403),"'","''")&amp;"'")&amp;") AND coalesce(c.telefono1,'') = coalesce("&amp;IF(TRIM(F403&amp;"")="","NULL","'"&amp;SUBSTITUTE(TRIM(F403),"'","''")&amp;"'")&amp;",''));")</f>
        <v/>
      </c>
    </row>
    <row r="404" ht="15.75" customHeight="1" s="64">
      <c r="A404" s="23" t="n"/>
      <c r="B404" s="25">
        <f t="array" ref="B404">IF(A404="","",IFERROR(IF(INDEX(Clientes!$D$5:$D$549,MATCH(A404,Clientes!$C$5:$C$549,0))&lt;&gt;"",INDEX(Clientes!$D$5:$D$549,MATCH(A404,Clientes!$C$5:$C$549,0)),TRIM(INDEX(Clientes!$E$5:$E$549,MATCH(A404,Clientes!$C$5:$C$549,0))&amp;" "&amp;INDEX(Clientes!$F$5:$F$549,MATCH(A404,Clientes!$C$5:$C$549,0)))),"NO EXISTE en Clientes"))</f>
        <v/>
      </c>
      <c r="C404" s="17" t="n"/>
      <c r="D404" s="17" t="n"/>
      <c r="E404" s="17" t="n"/>
      <c r="F404" s="23" t="n"/>
      <c r="G404" s="23" t="n"/>
      <c r="H404" s="23" t="n"/>
      <c r="I404" s="17" t="n"/>
      <c r="J404" s="17" t="n"/>
      <c r="K404" s="17" t="n"/>
      <c r="L404" s="17">
        <f>IF(AND(A404="",C404=""),"",IF(A404="","FALTA doc. cliente",IF(B404="NO EXISTE en Clientes","CLIENTE no está en hoja Clientes",IF(C404="","FALTA nombre",IF(AND(K404="SI",COUNTIFS($A$5:$A$499,A404,$K$5:$K$499,"SI")&gt;1),"Más de un contacto principal para este cliente","OK")))))</f>
        <v/>
      </c>
      <c r="M404" s="28">
        <f>IF(L404&lt;&gt;"OK","","INSERT INTO cli_contacto (id_cliente, nombre, apellido_paterno, apellido_materno, telefono1, telefono2, telefono3, email, direccion, es_principal, estado) SELECT "&amp;"(SELECT id FROM cli_clientes WHERE numero_documento = '"&amp;SUBSTITUTE(TRIM(A404),"'","''")&amp;"' AND estado = 1 LIMIT 1)"&amp;", "&amp;IF(TRIM(C404&amp;"")="","NULL","'"&amp;SUBSTITUTE(TRIM(C404),"'","''")&amp;"'")&amp;", "&amp;IF(TRIM(D404&amp;"")="","NULL","'"&amp;SUBSTITUTE(TRIM(D404),"'","''")&amp;"'")&amp;", "&amp;IF(TRIM(E404&amp;"")="","NULL","'"&amp;SUBSTITUTE(TRIM(E404),"'","''")&amp;"'")&amp;", "&amp;IF(TRIM(F404&amp;"")="","NULL","'"&amp;SUBSTITUTE(TRIM(F404),"'","''")&amp;"'")&amp;", "&amp;IF(TRIM(G404&amp;"")="","NULL","'"&amp;SUBSTITUTE(TRIM(G404),"'","''")&amp;"'")&amp;", "&amp;IF(TRIM(H404&amp;"")="","NULL","'"&amp;SUBSTITUTE(TRIM(H404),"'","''")&amp;"'")&amp;", "&amp;IF(TRIM(I404&amp;"")="","NULL","'"&amp;SUBSTITUTE(TRIM(I404),"'","''")&amp;"'")&amp;", "&amp;IF(TRIM(J404&amp;"")="","NULL","'"&amp;SUBSTITUTE(TRIM(J404),"'","''")&amp;"'")&amp;", "&amp;IF(UPPER(TRIM(K404&amp;""))="SI","TRUE","FALSE")&amp;", 1"&amp;" WHERE NOT EXISTS (SELECT 1 FROM cli_contacto c WHERE c.id_cliente = "&amp;"(SELECT id FROM cli_clientes WHERE numero_documento = '"&amp;SUBSTITUTE(TRIM(A404),"'","''")&amp;"' AND estado = 1 LIMIT 1)"&amp;" AND upper(c.nombre) = upper("&amp;IF(TRIM(C404&amp;"")="","NULL","'"&amp;SUBSTITUTE(TRIM(C404),"'","''")&amp;"'")&amp;") AND coalesce(c.telefono1,'') = coalesce("&amp;IF(TRIM(F404&amp;"")="","NULL","'"&amp;SUBSTITUTE(TRIM(F404),"'","''")&amp;"'")&amp;",''));")</f>
        <v/>
      </c>
    </row>
    <row r="405" ht="15.75" customHeight="1" s="64">
      <c r="A405" s="23" t="n"/>
      <c r="B405" s="25">
        <f t="array" ref="B405">IF(A405="","",IFERROR(IF(INDEX(Clientes!$D$5:$D$549,MATCH(A405,Clientes!$C$5:$C$549,0))&lt;&gt;"",INDEX(Clientes!$D$5:$D$549,MATCH(A405,Clientes!$C$5:$C$549,0)),TRIM(INDEX(Clientes!$E$5:$E$549,MATCH(A405,Clientes!$C$5:$C$549,0))&amp;" "&amp;INDEX(Clientes!$F$5:$F$549,MATCH(A405,Clientes!$C$5:$C$549,0)))),"NO EXISTE en Clientes"))</f>
        <v/>
      </c>
      <c r="C405" s="17" t="n"/>
      <c r="D405" s="17" t="n"/>
      <c r="E405" s="17" t="n"/>
      <c r="F405" s="23" t="n"/>
      <c r="G405" s="23" t="n"/>
      <c r="H405" s="23" t="n"/>
      <c r="I405" s="17" t="n"/>
      <c r="J405" s="17" t="n"/>
      <c r="K405" s="17" t="n"/>
      <c r="L405" s="17">
        <f>IF(AND(A405="",C405=""),"",IF(A405="","FALTA doc. cliente",IF(B405="NO EXISTE en Clientes","CLIENTE no está en hoja Clientes",IF(C405="","FALTA nombre",IF(AND(K405="SI",COUNTIFS($A$5:$A$499,A405,$K$5:$K$499,"SI")&gt;1),"Más de un contacto principal para este cliente","OK")))))</f>
        <v/>
      </c>
      <c r="M405" s="28">
        <f>IF(L405&lt;&gt;"OK","","INSERT INTO cli_contacto (id_cliente, nombre, apellido_paterno, apellido_materno, telefono1, telefono2, telefono3, email, direccion, es_principal, estado) SELECT "&amp;"(SELECT id FROM cli_clientes WHERE numero_documento = '"&amp;SUBSTITUTE(TRIM(A405),"'","''")&amp;"' AND estado = 1 LIMIT 1)"&amp;", "&amp;IF(TRIM(C405&amp;"")="","NULL","'"&amp;SUBSTITUTE(TRIM(C405),"'","''")&amp;"'")&amp;", "&amp;IF(TRIM(D405&amp;"")="","NULL","'"&amp;SUBSTITUTE(TRIM(D405),"'","''")&amp;"'")&amp;", "&amp;IF(TRIM(E405&amp;"")="","NULL","'"&amp;SUBSTITUTE(TRIM(E405),"'","''")&amp;"'")&amp;", "&amp;IF(TRIM(F405&amp;"")="","NULL","'"&amp;SUBSTITUTE(TRIM(F405),"'","''")&amp;"'")&amp;", "&amp;IF(TRIM(G405&amp;"")="","NULL","'"&amp;SUBSTITUTE(TRIM(G405),"'","''")&amp;"'")&amp;", "&amp;IF(TRIM(H405&amp;"")="","NULL","'"&amp;SUBSTITUTE(TRIM(H405),"'","''")&amp;"'")&amp;", "&amp;IF(TRIM(I405&amp;"")="","NULL","'"&amp;SUBSTITUTE(TRIM(I405),"'","''")&amp;"'")&amp;", "&amp;IF(TRIM(J405&amp;"")="","NULL","'"&amp;SUBSTITUTE(TRIM(J405),"'","''")&amp;"'")&amp;", "&amp;IF(UPPER(TRIM(K405&amp;""))="SI","TRUE","FALSE")&amp;", 1"&amp;" WHERE NOT EXISTS (SELECT 1 FROM cli_contacto c WHERE c.id_cliente = "&amp;"(SELECT id FROM cli_clientes WHERE numero_documento = '"&amp;SUBSTITUTE(TRIM(A405),"'","''")&amp;"' AND estado = 1 LIMIT 1)"&amp;" AND upper(c.nombre) = upper("&amp;IF(TRIM(C405&amp;"")="","NULL","'"&amp;SUBSTITUTE(TRIM(C405),"'","''")&amp;"'")&amp;") AND coalesce(c.telefono1,'') = coalesce("&amp;IF(TRIM(F405&amp;"")="","NULL","'"&amp;SUBSTITUTE(TRIM(F405),"'","''")&amp;"'")&amp;",''));")</f>
        <v/>
      </c>
    </row>
    <row r="406" ht="15.75" customHeight="1" s="64">
      <c r="A406" s="23" t="n"/>
      <c r="B406" s="25">
        <f t="array" ref="B406">IF(A406="","",IFERROR(IF(INDEX(Clientes!$D$5:$D$549,MATCH(A406,Clientes!$C$5:$C$549,0))&lt;&gt;"",INDEX(Clientes!$D$5:$D$549,MATCH(A406,Clientes!$C$5:$C$549,0)),TRIM(INDEX(Clientes!$E$5:$E$549,MATCH(A406,Clientes!$C$5:$C$549,0))&amp;" "&amp;INDEX(Clientes!$F$5:$F$549,MATCH(A406,Clientes!$C$5:$C$549,0)))),"NO EXISTE en Clientes"))</f>
        <v/>
      </c>
      <c r="C406" s="17" t="n"/>
      <c r="D406" s="17" t="n"/>
      <c r="E406" s="17" t="n"/>
      <c r="F406" s="23" t="n"/>
      <c r="G406" s="23" t="n"/>
      <c r="H406" s="23" t="n"/>
      <c r="I406" s="17" t="n"/>
      <c r="J406" s="17" t="n"/>
      <c r="K406" s="17" t="n"/>
      <c r="L406" s="17">
        <f>IF(AND(A406="",C406=""),"",IF(A406="","FALTA doc. cliente",IF(B406="NO EXISTE en Clientes","CLIENTE no está en hoja Clientes",IF(C406="","FALTA nombre",IF(AND(K406="SI",COUNTIFS($A$5:$A$499,A406,$K$5:$K$499,"SI")&gt;1),"Más de un contacto principal para este cliente","OK")))))</f>
        <v/>
      </c>
      <c r="M406" s="28">
        <f>IF(L406&lt;&gt;"OK","","INSERT INTO cli_contacto (id_cliente, nombre, apellido_paterno, apellido_materno, telefono1, telefono2, telefono3, email, direccion, es_principal, estado) SELECT "&amp;"(SELECT id FROM cli_clientes WHERE numero_documento = '"&amp;SUBSTITUTE(TRIM(A406),"'","''")&amp;"' AND estado = 1 LIMIT 1)"&amp;", "&amp;IF(TRIM(C406&amp;"")="","NULL","'"&amp;SUBSTITUTE(TRIM(C406),"'","''")&amp;"'")&amp;", "&amp;IF(TRIM(D406&amp;"")="","NULL","'"&amp;SUBSTITUTE(TRIM(D406),"'","''")&amp;"'")&amp;", "&amp;IF(TRIM(E406&amp;"")="","NULL","'"&amp;SUBSTITUTE(TRIM(E406),"'","''")&amp;"'")&amp;", "&amp;IF(TRIM(F406&amp;"")="","NULL","'"&amp;SUBSTITUTE(TRIM(F406),"'","''")&amp;"'")&amp;", "&amp;IF(TRIM(G406&amp;"")="","NULL","'"&amp;SUBSTITUTE(TRIM(G406),"'","''")&amp;"'")&amp;", "&amp;IF(TRIM(H406&amp;"")="","NULL","'"&amp;SUBSTITUTE(TRIM(H406),"'","''")&amp;"'")&amp;", "&amp;IF(TRIM(I406&amp;"")="","NULL","'"&amp;SUBSTITUTE(TRIM(I406),"'","''")&amp;"'")&amp;", "&amp;IF(TRIM(J406&amp;"")="","NULL","'"&amp;SUBSTITUTE(TRIM(J406),"'","''")&amp;"'")&amp;", "&amp;IF(UPPER(TRIM(K406&amp;""))="SI","TRUE","FALSE")&amp;", 1"&amp;" WHERE NOT EXISTS (SELECT 1 FROM cli_contacto c WHERE c.id_cliente = "&amp;"(SELECT id FROM cli_clientes WHERE numero_documento = '"&amp;SUBSTITUTE(TRIM(A406),"'","''")&amp;"' AND estado = 1 LIMIT 1)"&amp;" AND upper(c.nombre) = upper("&amp;IF(TRIM(C406&amp;"")="","NULL","'"&amp;SUBSTITUTE(TRIM(C406),"'","''")&amp;"'")&amp;") AND coalesce(c.telefono1,'') = coalesce("&amp;IF(TRIM(F406&amp;"")="","NULL","'"&amp;SUBSTITUTE(TRIM(F406),"'","''")&amp;"'")&amp;",''));")</f>
        <v/>
      </c>
    </row>
    <row r="407" ht="15.75" customHeight="1" s="64">
      <c r="A407" s="23" t="n"/>
      <c r="B407" s="25">
        <f t="array" ref="B407">IF(A407="","",IFERROR(IF(INDEX(Clientes!$D$5:$D$549,MATCH(A407,Clientes!$C$5:$C$549,0))&lt;&gt;"",INDEX(Clientes!$D$5:$D$549,MATCH(A407,Clientes!$C$5:$C$549,0)),TRIM(INDEX(Clientes!$E$5:$E$549,MATCH(A407,Clientes!$C$5:$C$549,0))&amp;" "&amp;INDEX(Clientes!$F$5:$F$549,MATCH(A407,Clientes!$C$5:$C$549,0)))),"NO EXISTE en Clientes"))</f>
        <v/>
      </c>
      <c r="C407" s="17" t="n"/>
      <c r="D407" s="17" t="n"/>
      <c r="E407" s="17" t="n"/>
      <c r="F407" s="23" t="n"/>
      <c r="G407" s="23" t="n"/>
      <c r="H407" s="23" t="n"/>
      <c r="I407" s="17" t="n"/>
      <c r="J407" s="17" t="n"/>
      <c r="K407" s="17" t="n"/>
      <c r="L407" s="17">
        <f>IF(AND(A407="",C407=""),"",IF(A407="","FALTA doc. cliente",IF(B407="NO EXISTE en Clientes","CLIENTE no está en hoja Clientes",IF(C407="","FALTA nombre",IF(AND(K407="SI",COUNTIFS($A$5:$A$499,A407,$K$5:$K$499,"SI")&gt;1),"Más de un contacto principal para este cliente","OK")))))</f>
        <v/>
      </c>
      <c r="M407" s="28">
        <f>IF(L407&lt;&gt;"OK","","INSERT INTO cli_contacto (id_cliente, nombre, apellido_paterno, apellido_materno, telefono1, telefono2, telefono3, email, direccion, es_principal, estado) SELECT "&amp;"(SELECT id FROM cli_clientes WHERE numero_documento = '"&amp;SUBSTITUTE(TRIM(A407),"'","''")&amp;"' AND estado = 1 LIMIT 1)"&amp;", "&amp;IF(TRIM(C407&amp;"")="","NULL","'"&amp;SUBSTITUTE(TRIM(C407),"'","''")&amp;"'")&amp;", "&amp;IF(TRIM(D407&amp;"")="","NULL","'"&amp;SUBSTITUTE(TRIM(D407),"'","''")&amp;"'")&amp;", "&amp;IF(TRIM(E407&amp;"")="","NULL","'"&amp;SUBSTITUTE(TRIM(E407),"'","''")&amp;"'")&amp;", "&amp;IF(TRIM(F407&amp;"")="","NULL","'"&amp;SUBSTITUTE(TRIM(F407),"'","''")&amp;"'")&amp;", "&amp;IF(TRIM(G407&amp;"")="","NULL","'"&amp;SUBSTITUTE(TRIM(G407),"'","''")&amp;"'")&amp;", "&amp;IF(TRIM(H407&amp;"")="","NULL","'"&amp;SUBSTITUTE(TRIM(H407),"'","''")&amp;"'")&amp;", "&amp;IF(TRIM(I407&amp;"")="","NULL","'"&amp;SUBSTITUTE(TRIM(I407),"'","''")&amp;"'")&amp;", "&amp;IF(TRIM(J407&amp;"")="","NULL","'"&amp;SUBSTITUTE(TRIM(J407),"'","''")&amp;"'")&amp;", "&amp;IF(UPPER(TRIM(K407&amp;""))="SI","TRUE","FALSE")&amp;", 1"&amp;" WHERE NOT EXISTS (SELECT 1 FROM cli_contacto c WHERE c.id_cliente = "&amp;"(SELECT id FROM cli_clientes WHERE numero_documento = '"&amp;SUBSTITUTE(TRIM(A407),"'","''")&amp;"' AND estado = 1 LIMIT 1)"&amp;" AND upper(c.nombre) = upper("&amp;IF(TRIM(C407&amp;"")="","NULL","'"&amp;SUBSTITUTE(TRIM(C407),"'","''")&amp;"'")&amp;") AND coalesce(c.telefono1,'') = coalesce("&amp;IF(TRIM(F407&amp;"")="","NULL","'"&amp;SUBSTITUTE(TRIM(F407),"'","''")&amp;"'")&amp;",''));")</f>
        <v/>
      </c>
    </row>
    <row r="408" ht="15.75" customHeight="1" s="64">
      <c r="A408" s="23" t="n"/>
      <c r="B408" s="25">
        <f t="array" ref="B408">IF(A408="","",IFERROR(IF(INDEX(Clientes!$D$5:$D$549,MATCH(A408,Clientes!$C$5:$C$549,0))&lt;&gt;"",INDEX(Clientes!$D$5:$D$549,MATCH(A408,Clientes!$C$5:$C$549,0)),TRIM(INDEX(Clientes!$E$5:$E$549,MATCH(A408,Clientes!$C$5:$C$549,0))&amp;" "&amp;INDEX(Clientes!$F$5:$F$549,MATCH(A408,Clientes!$C$5:$C$549,0)))),"NO EXISTE en Clientes"))</f>
        <v/>
      </c>
      <c r="C408" s="17" t="n"/>
      <c r="D408" s="17" t="n"/>
      <c r="E408" s="17" t="n"/>
      <c r="F408" s="23" t="n"/>
      <c r="G408" s="23" t="n"/>
      <c r="H408" s="23" t="n"/>
      <c r="I408" s="17" t="n"/>
      <c r="J408" s="17" t="n"/>
      <c r="K408" s="17" t="n"/>
      <c r="L408" s="17">
        <f>IF(AND(A408="",C408=""),"",IF(A408="","FALTA doc. cliente",IF(B408="NO EXISTE en Clientes","CLIENTE no está en hoja Clientes",IF(C408="","FALTA nombre",IF(AND(K408="SI",COUNTIFS($A$5:$A$499,A408,$K$5:$K$499,"SI")&gt;1),"Más de un contacto principal para este cliente","OK")))))</f>
        <v/>
      </c>
      <c r="M408" s="28">
        <f>IF(L408&lt;&gt;"OK","","INSERT INTO cli_contacto (id_cliente, nombre, apellido_paterno, apellido_materno, telefono1, telefono2, telefono3, email, direccion, es_principal, estado) SELECT "&amp;"(SELECT id FROM cli_clientes WHERE numero_documento = '"&amp;SUBSTITUTE(TRIM(A408),"'","''")&amp;"' AND estado = 1 LIMIT 1)"&amp;", "&amp;IF(TRIM(C408&amp;"")="","NULL","'"&amp;SUBSTITUTE(TRIM(C408),"'","''")&amp;"'")&amp;", "&amp;IF(TRIM(D408&amp;"")="","NULL","'"&amp;SUBSTITUTE(TRIM(D408),"'","''")&amp;"'")&amp;", "&amp;IF(TRIM(E408&amp;"")="","NULL","'"&amp;SUBSTITUTE(TRIM(E408),"'","''")&amp;"'")&amp;", "&amp;IF(TRIM(F408&amp;"")="","NULL","'"&amp;SUBSTITUTE(TRIM(F408),"'","''")&amp;"'")&amp;", "&amp;IF(TRIM(G408&amp;"")="","NULL","'"&amp;SUBSTITUTE(TRIM(G408),"'","''")&amp;"'")&amp;", "&amp;IF(TRIM(H408&amp;"")="","NULL","'"&amp;SUBSTITUTE(TRIM(H408),"'","''")&amp;"'")&amp;", "&amp;IF(TRIM(I408&amp;"")="","NULL","'"&amp;SUBSTITUTE(TRIM(I408),"'","''")&amp;"'")&amp;", "&amp;IF(TRIM(J408&amp;"")="","NULL","'"&amp;SUBSTITUTE(TRIM(J408),"'","''")&amp;"'")&amp;", "&amp;IF(UPPER(TRIM(K408&amp;""))="SI","TRUE","FALSE")&amp;", 1"&amp;" WHERE NOT EXISTS (SELECT 1 FROM cli_contacto c WHERE c.id_cliente = "&amp;"(SELECT id FROM cli_clientes WHERE numero_documento = '"&amp;SUBSTITUTE(TRIM(A408),"'","''")&amp;"' AND estado = 1 LIMIT 1)"&amp;" AND upper(c.nombre) = upper("&amp;IF(TRIM(C408&amp;"")="","NULL","'"&amp;SUBSTITUTE(TRIM(C408),"'","''")&amp;"'")&amp;") AND coalesce(c.telefono1,'') = coalesce("&amp;IF(TRIM(F408&amp;"")="","NULL","'"&amp;SUBSTITUTE(TRIM(F408),"'","''")&amp;"'")&amp;",''));")</f>
        <v/>
      </c>
    </row>
    <row r="409" ht="15.75" customHeight="1" s="64">
      <c r="A409" s="23" t="n"/>
      <c r="B409" s="25">
        <f t="array" ref="B409">IF(A409="","",IFERROR(IF(INDEX(Clientes!$D$5:$D$549,MATCH(A409,Clientes!$C$5:$C$549,0))&lt;&gt;"",INDEX(Clientes!$D$5:$D$549,MATCH(A409,Clientes!$C$5:$C$549,0)),TRIM(INDEX(Clientes!$E$5:$E$549,MATCH(A409,Clientes!$C$5:$C$549,0))&amp;" "&amp;INDEX(Clientes!$F$5:$F$549,MATCH(A409,Clientes!$C$5:$C$549,0)))),"NO EXISTE en Clientes"))</f>
        <v/>
      </c>
      <c r="C409" s="17" t="n"/>
      <c r="D409" s="17" t="n"/>
      <c r="E409" s="17" t="n"/>
      <c r="F409" s="23" t="n"/>
      <c r="G409" s="23" t="n"/>
      <c r="H409" s="23" t="n"/>
      <c r="I409" s="17" t="n"/>
      <c r="J409" s="17" t="n"/>
      <c r="K409" s="17" t="n"/>
      <c r="L409" s="17">
        <f>IF(AND(A409="",C409=""),"",IF(A409="","FALTA doc. cliente",IF(B409="NO EXISTE en Clientes","CLIENTE no está en hoja Clientes",IF(C409="","FALTA nombre",IF(AND(K409="SI",COUNTIFS($A$5:$A$499,A409,$K$5:$K$499,"SI")&gt;1),"Más de un contacto principal para este cliente","OK")))))</f>
        <v/>
      </c>
      <c r="M409" s="28">
        <f>IF(L409&lt;&gt;"OK","","INSERT INTO cli_contacto (id_cliente, nombre, apellido_paterno, apellido_materno, telefono1, telefono2, telefono3, email, direccion, es_principal, estado) SELECT "&amp;"(SELECT id FROM cli_clientes WHERE numero_documento = '"&amp;SUBSTITUTE(TRIM(A409),"'","''")&amp;"' AND estado = 1 LIMIT 1)"&amp;", "&amp;IF(TRIM(C409&amp;"")="","NULL","'"&amp;SUBSTITUTE(TRIM(C409),"'","''")&amp;"'")&amp;", "&amp;IF(TRIM(D409&amp;"")="","NULL","'"&amp;SUBSTITUTE(TRIM(D409),"'","''")&amp;"'")&amp;", "&amp;IF(TRIM(E409&amp;"")="","NULL","'"&amp;SUBSTITUTE(TRIM(E409),"'","''")&amp;"'")&amp;", "&amp;IF(TRIM(F409&amp;"")="","NULL","'"&amp;SUBSTITUTE(TRIM(F409),"'","''")&amp;"'")&amp;", "&amp;IF(TRIM(G409&amp;"")="","NULL","'"&amp;SUBSTITUTE(TRIM(G409),"'","''")&amp;"'")&amp;", "&amp;IF(TRIM(H409&amp;"")="","NULL","'"&amp;SUBSTITUTE(TRIM(H409),"'","''")&amp;"'")&amp;", "&amp;IF(TRIM(I409&amp;"")="","NULL","'"&amp;SUBSTITUTE(TRIM(I409),"'","''")&amp;"'")&amp;", "&amp;IF(TRIM(J409&amp;"")="","NULL","'"&amp;SUBSTITUTE(TRIM(J409),"'","''")&amp;"'")&amp;", "&amp;IF(UPPER(TRIM(K409&amp;""))="SI","TRUE","FALSE")&amp;", 1"&amp;" WHERE NOT EXISTS (SELECT 1 FROM cli_contacto c WHERE c.id_cliente = "&amp;"(SELECT id FROM cli_clientes WHERE numero_documento = '"&amp;SUBSTITUTE(TRIM(A409),"'","''")&amp;"' AND estado = 1 LIMIT 1)"&amp;" AND upper(c.nombre) = upper("&amp;IF(TRIM(C409&amp;"")="","NULL","'"&amp;SUBSTITUTE(TRIM(C409),"'","''")&amp;"'")&amp;") AND coalesce(c.telefono1,'') = coalesce("&amp;IF(TRIM(F409&amp;"")="","NULL","'"&amp;SUBSTITUTE(TRIM(F409),"'","''")&amp;"'")&amp;",''));")</f>
        <v/>
      </c>
    </row>
    <row r="410" ht="15.75" customHeight="1" s="64">
      <c r="A410" s="23" t="n"/>
      <c r="B410" s="25">
        <f t="array" ref="B410">IF(A410="","",IFERROR(IF(INDEX(Clientes!$D$5:$D$549,MATCH(A410,Clientes!$C$5:$C$549,0))&lt;&gt;"",INDEX(Clientes!$D$5:$D$549,MATCH(A410,Clientes!$C$5:$C$549,0)),TRIM(INDEX(Clientes!$E$5:$E$549,MATCH(A410,Clientes!$C$5:$C$549,0))&amp;" "&amp;INDEX(Clientes!$F$5:$F$549,MATCH(A410,Clientes!$C$5:$C$549,0)))),"NO EXISTE en Clientes"))</f>
        <v/>
      </c>
      <c r="C410" s="17" t="n"/>
      <c r="D410" s="17" t="n"/>
      <c r="E410" s="17" t="n"/>
      <c r="F410" s="23" t="n"/>
      <c r="G410" s="23" t="n"/>
      <c r="H410" s="23" t="n"/>
      <c r="I410" s="17" t="n"/>
      <c r="J410" s="17" t="n"/>
      <c r="K410" s="17" t="n"/>
      <c r="L410" s="17">
        <f>IF(AND(A410="",C410=""),"",IF(A410="","FALTA doc. cliente",IF(B410="NO EXISTE en Clientes","CLIENTE no está en hoja Clientes",IF(C410="","FALTA nombre",IF(AND(K410="SI",COUNTIFS($A$5:$A$499,A410,$K$5:$K$499,"SI")&gt;1),"Más de un contacto principal para este cliente","OK")))))</f>
        <v/>
      </c>
      <c r="M410" s="28">
        <f>IF(L410&lt;&gt;"OK","","INSERT INTO cli_contacto (id_cliente, nombre, apellido_paterno, apellido_materno, telefono1, telefono2, telefono3, email, direccion, es_principal, estado) SELECT "&amp;"(SELECT id FROM cli_clientes WHERE numero_documento = '"&amp;SUBSTITUTE(TRIM(A410),"'","''")&amp;"' AND estado = 1 LIMIT 1)"&amp;", "&amp;IF(TRIM(C410&amp;"")="","NULL","'"&amp;SUBSTITUTE(TRIM(C410),"'","''")&amp;"'")&amp;", "&amp;IF(TRIM(D410&amp;"")="","NULL","'"&amp;SUBSTITUTE(TRIM(D410),"'","''")&amp;"'")&amp;", "&amp;IF(TRIM(E410&amp;"")="","NULL","'"&amp;SUBSTITUTE(TRIM(E410),"'","''")&amp;"'")&amp;", "&amp;IF(TRIM(F410&amp;"")="","NULL","'"&amp;SUBSTITUTE(TRIM(F410),"'","''")&amp;"'")&amp;", "&amp;IF(TRIM(G410&amp;"")="","NULL","'"&amp;SUBSTITUTE(TRIM(G410),"'","''")&amp;"'")&amp;", "&amp;IF(TRIM(H410&amp;"")="","NULL","'"&amp;SUBSTITUTE(TRIM(H410),"'","''")&amp;"'")&amp;", "&amp;IF(TRIM(I410&amp;"")="","NULL","'"&amp;SUBSTITUTE(TRIM(I410),"'","''")&amp;"'")&amp;", "&amp;IF(TRIM(J410&amp;"")="","NULL","'"&amp;SUBSTITUTE(TRIM(J410),"'","''")&amp;"'")&amp;", "&amp;IF(UPPER(TRIM(K410&amp;""))="SI","TRUE","FALSE")&amp;", 1"&amp;" WHERE NOT EXISTS (SELECT 1 FROM cli_contacto c WHERE c.id_cliente = "&amp;"(SELECT id FROM cli_clientes WHERE numero_documento = '"&amp;SUBSTITUTE(TRIM(A410),"'","''")&amp;"' AND estado = 1 LIMIT 1)"&amp;" AND upper(c.nombre) = upper("&amp;IF(TRIM(C410&amp;"")="","NULL","'"&amp;SUBSTITUTE(TRIM(C410),"'","''")&amp;"'")&amp;") AND coalesce(c.telefono1,'') = coalesce("&amp;IF(TRIM(F410&amp;"")="","NULL","'"&amp;SUBSTITUTE(TRIM(F410),"'","''")&amp;"'")&amp;",''));")</f>
        <v/>
      </c>
    </row>
    <row r="411" ht="15.75" customHeight="1" s="64">
      <c r="A411" s="23" t="n"/>
      <c r="B411" s="25">
        <f t="array" ref="B411">IF(A411="","",IFERROR(IF(INDEX(Clientes!$D$5:$D$549,MATCH(A411,Clientes!$C$5:$C$549,0))&lt;&gt;"",INDEX(Clientes!$D$5:$D$549,MATCH(A411,Clientes!$C$5:$C$549,0)),TRIM(INDEX(Clientes!$E$5:$E$549,MATCH(A411,Clientes!$C$5:$C$549,0))&amp;" "&amp;INDEX(Clientes!$F$5:$F$549,MATCH(A411,Clientes!$C$5:$C$549,0)))),"NO EXISTE en Clientes"))</f>
        <v/>
      </c>
      <c r="C411" s="17" t="n"/>
      <c r="D411" s="17" t="n"/>
      <c r="E411" s="17" t="n"/>
      <c r="F411" s="23" t="n"/>
      <c r="G411" s="23" t="n"/>
      <c r="H411" s="23" t="n"/>
      <c r="I411" s="17" t="n"/>
      <c r="J411" s="17" t="n"/>
      <c r="K411" s="17" t="n"/>
      <c r="L411" s="17">
        <f>IF(AND(A411="",C411=""),"",IF(A411="","FALTA doc. cliente",IF(B411="NO EXISTE en Clientes","CLIENTE no está en hoja Clientes",IF(C411="","FALTA nombre",IF(AND(K411="SI",COUNTIFS($A$5:$A$499,A411,$K$5:$K$499,"SI")&gt;1),"Más de un contacto principal para este cliente","OK")))))</f>
        <v/>
      </c>
      <c r="M411" s="28">
        <f>IF(L411&lt;&gt;"OK","","INSERT INTO cli_contacto (id_cliente, nombre, apellido_paterno, apellido_materno, telefono1, telefono2, telefono3, email, direccion, es_principal, estado) SELECT "&amp;"(SELECT id FROM cli_clientes WHERE numero_documento = '"&amp;SUBSTITUTE(TRIM(A411),"'","''")&amp;"' AND estado = 1 LIMIT 1)"&amp;", "&amp;IF(TRIM(C411&amp;"")="","NULL","'"&amp;SUBSTITUTE(TRIM(C411),"'","''")&amp;"'")&amp;", "&amp;IF(TRIM(D411&amp;"")="","NULL","'"&amp;SUBSTITUTE(TRIM(D411),"'","''")&amp;"'")&amp;", "&amp;IF(TRIM(E411&amp;"")="","NULL","'"&amp;SUBSTITUTE(TRIM(E411),"'","''")&amp;"'")&amp;", "&amp;IF(TRIM(F411&amp;"")="","NULL","'"&amp;SUBSTITUTE(TRIM(F411),"'","''")&amp;"'")&amp;", "&amp;IF(TRIM(G411&amp;"")="","NULL","'"&amp;SUBSTITUTE(TRIM(G411),"'","''")&amp;"'")&amp;", "&amp;IF(TRIM(H411&amp;"")="","NULL","'"&amp;SUBSTITUTE(TRIM(H411),"'","''")&amp;"'")&amp;", "&amp;IF(TRIM(I411&amp;"")="","NULL","'"&amp;SUBSTITUTE(TRIM(I411),"'","''")&amp;"'")&amp;", "&amp;IF(TRIM(J411&amp;"")="","NULL","'"&amp;SUBSTITUTE(TRIM(J411),"'","''")&amp;"'")&amp;", "&amp;IF(UPPER(TRIM(K411&amp;""))="SI","TRUE","FALSE")&amp;", 1"&amp;" WHERE NOT EXISTS (SELECT 1 FROM cli_contacto c WHERE c.id_cliente = "&amp;"(SELECT id FROM cli_clientes WHERE numero_documento = '"&amp;SUBSTITUTE(TRIM(A411),"'","''")&amp;"' AND estado = 1 LIMIT 1)"&amp;" AND upper(c.nombre) = upper("&amp;IF(TRIM(C411&amp;"")="","NULL","'"&amp;SUBSTITUTE(TRIM(C411),"'","''")&amp;"'")&amp;") AND coalesce(c.telefono1,'') = coalesce("&amp;IF(TRIM(F411&amp;"")="","NULL","'"&amp;SUBSTITUTE(TRIM(F411),"'","''")&amp;"'")&amp;",''));")</f>
        <v/>
      </c>
    </row>
    <row r="412" ht="15.75" customHeight="1" s="64">
      <c r="A412" s="23" t="n"/>
      <c r="B412" s="25">
        <f t="array" ref="B412">IF(A412="","",IFERROR(IF(INDEX(Clientes!$D$5:$D$549,MATCH(A412,Clientes!$C$5:$C$549,0))&lt;&gt;"",INDEX(Clientes!$D$5:$D$549,MATCH(A412,Clientes!$C$5:$C$549,0)),TRIM(INDEX(Clientes!$E$5:$E$549,MATCH(A412,Clientes!$C$5:$C$549,0))&amp;" "&amp;INDEX(Clientes!$F$5:$F$549,MATCH(A412,Clientes!$C$5:$C$549,0)))),"NO EXISTE en Clientes"))</f>
        <v/>
      </c>
      <c r="C412" s="17" t="n"/>
      <c r="D412" s="17" t="n"/>
      <c r="E412" s="17" t="n"/>
      <c r="F412" s="23" t="n"/>
      <c r="G412" s="23" t="n"/>
      <c r="H412" s="23" t="n"/>
      <c r="I412" s="17" t="n"/>
      <c r="J412" s="17" t="n"/>
      <c r="K412" s="17" t="n"/>
      <c r="L412" s="17">
        <f>IF(AND(A412="",C412=""),"",IF(A412="","FALTA doc. cliente",IF(B412="NO EXISTE en Clientes","CLIENTE no está en hoja Clientes",IF(C412="","FALTA nombre",IF(AND(K412="SI",COUNTIFS($A$5:$A$499,A412,$K$5:$K$499,"SI")&gt;1),"Más de un contacto principal para este cliente","OK")))))</f>
        <v/>
      </c>
      <c r="M412" s="28">
        <f>IF(L412&lt;&gt;"OK","","INSERT INTO cli_contacto (id_cliente, nombre, apellido_paterno, apellido_materno, telefono1, telefono2, telefono3, email, direccion, es_principal, estado) SELECT "&amp;"(SELECT id FROM cli_clientes WHERE numero_documento = '"&amp;SUBSTITUTE(TRIM(A412),"'","''")&amp;"' AND estado = 1 LIMIT 1)"&amp;", "&amp;IF(TRIM(C412&amp;"")="","NULL","'"&amp;SUBSTITUTE(TRIM(C412),"'","''")&amp;"'")&amp;", "&amp;IF(TRIM(D412&amp;"")="","NULL","'"&amp;SUBSTITUTE(TRIM(D412),"'","''")&amp;"'")&amp;", "&amp;IF(TRIM(E412&amp;"")="","NULL","'"&amp;SUBSTITUTE(TRIM(E412),"'","''")&amp;"'")&amp;", "&amp;IF(TRIM(F412&amp;"")="","NULL","'"&amp;SUBSTITUTE(TRIM(F412),"'","''")&amp;"'")&amp;", "&amp;IF(TRIM(G412&amp;"")="","NULL","'"&amp;SUBSTITUTE(TRIM(G412),"'","''")&amp;"'")&amp;", "&amp;IF(TRIM(H412&amp;"")="","NULL","'"&amp;SUBSTITUTE(TRIM(H412),"'","''")&amp;"'")&amp;", "&amp;IF(TRIM(I412&amp;"")="","NULL","'"&amp;SUBSTITUTE(TRIM(I412),"'","''")&amp;"'")&amp;", "&amp;IF(TRIM(J412&amp;"")="","NULL","'"&amp;SUBSTITUTE(TRIM(J412),"'","''")&amp;"'")&amp;", "&amp;IF(UPPER(TRIM(K412&amp;""))="SI","TRUE","FALSE")&amp;", 1"&amp;" WHERE NOT EXISTS (SELECT 1 FROM cli_contacto c WHERE c.id_cliente = "&amp;"(SELECT id FROM cli_clientes WHERE numero_documento = '"&amp;SUBSTITUTE(TRIM(A412),"'","''")&amp;"' AND estado = 1 LIMIT 1)"&amp;" AND upper(c.nombre) = upper("&amp;IF(TRIM(C412&amp;"")="","NULL","'"&amp;SUBSTITUTE(TRIM(C412),"'","''")&amp;"'")&amp;") AND coalesce(c.telefono1,'') = coalesce("&amp;IF(TRIM(F412&amp;"")="","NULL","'"&amp;SUBSTITUTE(TRIM(F412),"'","''")&amp;"'")&amp;",''));")</f>
        <v/>
      </c>
    </row>
    <row r="413" ht="15.75" customHeight="1" s="64">
      <c r="A413" s="23" t="n"/>
      <c r="B413" s="25">
        <f t="array" ref="B413">IF(A413="","",IFERROR(IF(INDEX(Clientes!$D$5:$D$549,MATCH(A413,Clientes!$C$5:$C$549,0))&lt;&gt;"",INDEX(Clientes!$D$5:$D$549,MATCH(A413,Clientes!$C$5:$C$549,0)),TRIM(INDEX(Clientes!$E$5:$E$549,MATCH(A413,Clientes!$C$5:$C$549,0))&amp;" "&amp;INDEX(Clientes!$F$5:$F$549,MATCH(A413,Clientes!$C$5:$C$549,0)))),"NO EXISTE en Clientes"))</f>
        <v/>
      </c>
      <c r="C413" s="17" t="n"/>
      <c r="D413" s="17" t="n"/>
      <c r="E413" s="17" t="n"/>
      <c r="F413" s="23" t="n"/>
      <c r="G413" s="23" t="n"/>
      <c r="H413" s="23" t="n"/>
      <c r="I413" s="17" t="n"/>
      <c r="J413" s="17" t="n"/>
      <c r="K413" s="17" t="n"/>
      <c r="L413" s="17">
        <f>IF(AND(A413="",C413=""),"",IF(A413="","FALTA doc. cliente",IF(B413="NO EXISTE en Clientes","CLIENTE no está en hoja Clientes",IF(C413="","FALTA nombre",IF(AND(K413="SI",COUNTIFS($A$5:$A$499,A413,$K$5:$K$499,"SI")&gt;1),"Más de un contacto principal para este cliente","OK")))))</f>
        <v/>
      </c>
      <c r="M413" s="28">
        <f>IF(L413&lt;&gt;"OK","","INSERT INTO cli_contacto (id_cliente, nombre, apellido_paterno, apellido_materno, telefono1, telefono2, telefono3, email, direccion, es_principal, estado) SELECT "&amp;"(SELECT id FROM cli_clientes WHERE numero_documento = '"&amp;SUBSTITUTE(TRIM(A413),"'","''")&amp;"' AND estado = 1 LIMIT 1)"&amp;", "&amp;IF(TRIM(C413&amp;"")="","NULL","'"&amp;SUBSTITUTE(TRIM(C413),"'","''")&amp;"'")&amp;", "&amp;IF(TRIM(D413&amp;"")="","NULL","'"&amp;SUBSTITUTE(TRIM(D413),"'","''")&amp;"'")&amp;", "&amp;IF(TRIM(E413&amp;"")="","NULL","'"&amp;SUBSTITUTE(TRIM(E413),"'","''")&amp;"'")&amp;", "&amp;IF(TRIM(F413&amp;"")="","NULL","'"&amp;SUBSTITUTE(TRIM(F413),"'","''")&amp;"'")&amp;", "&amp;IF(TRIM(G413&amp;"")="","NULL","'"&amp;SUBSTITUTE(TRIM(G413),"'","''")&amp;"'")&amp;", "&amp;IF(TRIM(H413&amp;"")="","NULL","'"&amp;SUBSTITUTE(TRIM(H413),"'","''")&amp;"'")&amp;", "&amp;IF(TRIM(I413&amp;"")="","NULL","'"&amp;SUBSTITUTE(TRIM(I413),"'","''")&amp;"'")&amp;", "&amp;IF(TRIM(J413&amp;"")="","NULL","'"&amp;SUBSTITUTE(TRIM(J413),"'","''")&amp;"'")&amp;", "&amp;IF(UPPER(TRIM(K413&amp;""))="SI","TRUE","FALSE")&amp;", 1"&amp;" WHERE NOT EXISTS (SELECT 1 FROM cli_contacto c WHERE c.id_cliente = "&amp;"(SELECT id FROM cli_clientes WHERE numero_documento = '"&amp;SUBSTITUTE(TRIM(A413),"'","''")&amp;"' AND estado = 1 LIMIT 1)"&amp;" AND upper(c.nombre) = upper("&amp;IF(TRIM(C413&amp;"")="","NULL","'"&amp;SUBSTITUTE(TRIM(C413),"'","''")&amp;"'")&amp;") AND coalesce(c.telefono1,'') = coalesce("&amp;IF(TRIM(F413&amp;"")="","NULL","'"&amp;SUBSTITUTE(TRIM(F413),"'","''")&amp;"'")&amp;",''));")</f>
        <v/>
      </c>
    </row>
    <row r="414" ht="15.75" customHeight="1" s="64">
      <c r="A414" s="23" t="n"/>
      <c r="B414" s="25">
        <f t="array" ref="B414">IF(A414="","",IFERROR(IF(INDEX(Clientes!$D$5:$D$549,MATCH(A414,Clientes!$C$5:$C$549,0))&lt;&gt;"",INDEX(Clientes!$D$5:$D$549,MATCH(A414,Clientes!$C$5:$C$549,0)),TRIM(INDEX(Clientes!$E$5:$E$549,MATCH(A414,Clientes!$C$5:$C$549,0))&amp;" "&amp;INDEX(Clientes!$F$5:$F$549,MATCH(A414,Clientes!$C$5:$C$549,0)))),"NO EXISTE en Clientes"))</f>
        <v/>
      </c>
      <c r="C414" s="17" t="n"/>
      <c r="D414" s="17" t="n"/>
      <c r="E414" s="17" t="n"/>
      <c r="F414" s="23" t="n"/>
      <c r="G414" s="23" t="n"/>
      <c r="H414" s="23" t="n"/>
      <c r="I414" s="17" t="n"/>
      <c r="J414" s="17" t="n"/>
      <c r="K414" s="17" t="n"/>
      <c r="L414" s="17">
        <f>IF(AND(A414="",C414=""),"",IF(A414="","FALTA doc. cliente",IF(B414="NO EXISTE en Clientes","CLIENTE no está en hoja Clientes",IF(C414="","FALTA nombre",IF(AND(K414="SI",COUNTIFS($A$5:$A$499,A414,$K$5:$K$499,"SI")&gt;1),"Más de un contacto principal para este cliente","OK")))))</f>
        <v/>
      </c>
      <c r="M414" s="28">
        <f>IF(L414&lt;&gt;"OK","","INSERT INTO cli_contacto (id_cliente, nombre, apellido_paterno, apellido_materno, telefono1, telefono2, telefono3, email, direccion, es_principal, estado) SELECT "&amp;"(SELECT id FROM cli_clientes WHERE numero_documento = '"&amp;SUBSTITUTE(TRIM(A414),"'","''")&amp;"' AND estado = 1 LIMIT 1)"&amp;", "&amp;IF(TRIM(C414&amp;"")="","NULL","'"&amp;SUBSTITUTE(TRIM(C414),"'","''")&amp;"'")&amp;", "&amp;IF(TRIM(D414&amp;"")="","NULL","'"&amp;SUBSTITUTE(TRIM(D414),"'","''")&amp;"'")&amp;", "&amp;IF(TRIM(E414&amp;"")="","NULL","'"&amp;SUBSTITUTE(TRIM(E414),"'","''")&amp;"'")&amp;", "&amp;IF(TRIM(F414&amp;"")="","NULL","'"&amp;SUBSTITUTE(TRIM(F414),"'","''")&amp;"'")&amp;", "&amp;IF(TRIM(G414&amp;"")="","NULL","'"&amp;SUBSTITUTE(TRIM(G414),"'","''")&amp;"'")&amp;", "&amp;IF(TRIM(H414&amp;"")="","NULL","'"&amp;SUBSTITUTE(TRIM(H414),"'","''")&amp;"'")&amp;", "&amp;IF(TRIM(I414&amp;"")="","NULL","'"&amp;SUBSTITUTE(TRIM(I414),"'","''")&amp;"'")&amp;", "&amp;IF(TRIM(J414&amp;"")="","NULL","'"&amp;SUBSTITUTE(TRIM(J414),"'","''")&amp;"'")&amp;", "&amp;IF(UPPER(TRIM(K414&amp;""))="SI","TRUE","FALSE")&amp;", 1"&amp;" WHERE NOT EXISTS (SELECT 1 FROM cli_contacto c WHERE c.id_cliente = "&amp;"(SELECT id FROM cli_clientes WHERE numero_documento = '"&amp;SUBSTITUTE(TRIM(A414),"'","''")&amp;"' AND estado = 1 LIMIT 1)"&amp;" AND upper(c.nombre) = upper("&amp;IF(TRIM(C414&amp;"")="","NULL","'"&amp;SUBSTITUTE(TRIM(C414),"'","''")&amp;"'")&amp;") AND coalesce(c.telefono1,'') = coalesce("&amp;IF(TRIM(F414&amp;"")="","NULL","'"&amp;SUBSTITUTE(TRIM(F414),"'","''")&amp;"'")&amp;",''));")</f>
        <v/>
      </c>
    </row>
    <row r="415" ht="15.75" customHeight="1" s="64">
      <c r="A415" s="23" t="n"/>
      <c r="B415" s="25">
        <f t="array" ref="B415">IF(A415="","",IFERROR(IF(INDEX(Clientes!$D$5:$D$549,MATCH(A415,Clientes!$C$5:$C$549,0))&lt;&gt;"",INDEX(Clientes!$D$5:$D$549,MATCH(A415,Clientes!$C$5:$C$549,0)),TRIM(INDEX(Clientes!$E$5:$E$549,MATCH(A415,Clientes!$C$5:$C$549,0))&amp;" "&amp;INDEX(Clientes!$F$5:$F$549,MATCH(A415,Clientes!$C$5:$C$549,0)))),"NO EXISTE en Clientes"))</f>
        <v/>
      </c>
      <c r="C415" s="17" t="n"/>
      <c r="D415" s="17" t="n"/>
      <c r="E415" s="17" t="n"/>
      <c r="F415" s="23" t="n"/>
      <c r="G415" s="23" t="n"/>
      <c r="H415" s="23" t="n"/>
      <c r="I415" s="17" t="n"/>
      <c r="J415" s="17" t="n"/>
      <c r="K415" s="17" t="n"/>
      <c r="L415" s="17">
        <f>IF(AND(A415="",C415=""),"",IF(A415="","FALTA doc. cliente",IF(B415="NO EXISTE en Clientes","CLIENTE no está en hoja Clientes",IF(C415="","FALTA nombre",IF(AND(K415="SI",COUNTIFS($A$5:$A$499,A415,$K$5:$K$499,"SI")&gt;1),"Más de un contacto principal para este cliente","OK")))))</f>
        <v/>
      </c>
      <c r="M415" s="28">
        <f>IF(L415&lt;&gt;"OK","","INSERT INTO cli_contacto (id_cliente, nombre, apellido_paterno, apellido_materno, telefono1, telefono2, telefono3, email, direccion, es_principal, estado) SELECT "&amp;"(SELECT id FROM cli_clientes WHERE numero_documento = '"&amp;SUBSTITUTE(TRIM(A415),"'","''")&amp;"' AND estado = 1 LIMIT 1)"&amp;", "&amp;IF(TRIM(C415&amp;"")="","NULL","'"&amp;SUBSTITUTE(TRIM(C415),"'","''")&amp;"'")&amp;", "&amp;IF(TRIM(D415&amp;"")="","NULL","'"&amp;SUBSTITUTE(TRIM(D415),"'","''")&amp;"'")&amp;", "&amp;IF(TRIM(E415&amp;"")="","NULL","'"&amp;SUBSTITUTE(TRIM(E415),"'","''")&amp;"'")&amp;", "&amp;IF(TRIM(F415&amp;"")="","NULL","'"&amp;SUBSTITUTE(TRIM(F415),"'","''")&amp;"'")&amp;", "&amp;IF(TRIM(G415&amp;"")="","NULL","'"&amp;SUBSTITUTE(TRIM(G415),"'","''")&amp;"'")&amp;", "&amp;IF(TRIM(H415&amp;"")="","NULL","'"&amp;SUBSTITUTE(TRIM(H415),"'","''")&amp;"'")&amp;", "&amp;IF(TRIM(I415&amp;"")="","NULL","'"&amp;SUBSTITUTE(TRIM(I415),"'","''")&amp;"'")&amp;", "&amp;IF(TRIM(J415&amp;"")="","NULL","'"&amp;SUBSTITUTE(TRIM(J415),"'","''")&amp;"'")&amp;", "&amp;IF(UPPER(TRIM(K415&amp;""))="SI","TRUE","FALSE")&amp;", 1"&amp;" WHERE NOT EXISTS (SELECT 1 FROM cli_contacto c WHERE c.id_cliente = "&amp;"(SELECT id FROM cli_clientes WHERE numero_documento = '"&amp;SUBSTITUTE(TRIM(A415),"'","''")&amp;"' AND estado = 1 LIMIT 1)"&amp;" AND upper(c.nombre) = upper("&amp;IF(TRIM(C415&amp;"")="","NULL","'"&amp;SUBSTITUTE(TRIM(C415),"'","''")&amp;"'")&amp;") AND coalesce(c.telefono1,'') = coalesce("&amp;IF(TRIM(F415&amp;"")="","NULL","'"&amp;SUBSTITUTE(TRIM(F415),"'","''")&amp;"'")&amp;",''));")</f>
        <v/>
      </c>
    </row>
    <row r="416" ht="15.75" customHeight="1" s="64">
      <c r="A416" s="23" t="n"/>
      <c r="B416" s="25">
        <f t="array" ref="B416">IF(A416="","",IFERROR(IF(INDEX(Clientes!$D$5:$D$549,MATCH(A416,Clientes!$C$5:$C$549,0))&lt;&gt;"",INDEX(Clientes!$D$5:$D$549,MATCH(A416,Clientes!$C$5:$C$549,0)),TRIM(INDEX(Clientes!$E$5:$E$549,MATCH(A416,Clientes!$C$5:$C$549,0))&amp;" "&amp;INDEX(Clientes!$F$5:$F$549,MATCH(A416,Clientes!$C$5:$C$549,0)))),"NO EXISTE en Clientes"))</f>
        <v/>
      </c>
      <c r="C416" s="17" t="n"/>
      <c r="D416" s="17" t="n"/>
      <c r="E416" s="17" t="n"/>
      <c r="F416" s="23" t="n"/>
      <c r="G416" s="23" t="n"/>
      <c r="H416" s="23" t="n"/>
      <c r="I416" s="17" t="n"/>
      <c r="J416" s="17" t="n"/>
      <c r="K416" s="17" t="n"/>
      <c r="L416" s="17">
        <f>IF(AND(A416="",C416=""),"",IF(A416="","FALTA doc. cliente",IF(B416="NO EXISTE en Clientes","CLIENTE no está en hoja Clientes",IF(C416="","FALTA nombre",IF(AND(K416="SI",COUNTIFS($A$5:$A$499,A416,$K$5:$K$499,"SI")&gt;1),"Más de un contacto principal para este cliente","OK")))))</f>
        <v/>
      </c>
      <c r="M416" s="28">
        <f>IF(L416&lt;&gt;"OK","","INSERT INTO cli_contacto (id_cliente, nombre, apellido_paterno, apellido_materno, telefono1, telefono2, telefono3, email, direccion, es_principal, estado) SELECT "&amp;"(SELECT id FROM cli_clientes WHERE numero_documento = '"&amp;SUBSTITUTE(TRIM(A416),"'","''")&amp;"' AND estado = 1 LIMIT 1)"&amp;", "&amp;IF(TRIM(C416&amp;"")="","NULL","'"&amp;SUBSTITUTE(TRIM(C416),"'","''")&amp;"'")&amp;", "&amp;IF(TRIM(D416&amp;"")="","NULL","'"&amp;SUBSTITUTE(TRIM(D416),"'","''")&amp;"'")&amp;", "&amp;IF(TRIM(E416&amp;"")="","NULL","'"&amp;SUBSTITUTE(TRIM(E416),"'","''")&amp;"'")&amp;", "&amp;IF(TRIM(F416&amp;"")="","NULL","'"&amp;SUBSTITUTE(TRIM(F416),"'","''")&amp;"'")&amp;", "&amp;IF(TRIM(G416&amp;"")="","NULL","'"&amp;SUBSTITUTE(TRIM(G416),"'","''")&amp;"'")&amp;", "&amp;IF(TRIM(H416&amp;"")="","NULL","'"&amp;SUBSTITUTE(TRIM(H416),"'","''")&amp;"'")&amp;", "&amp;IF(TRIM(I416&amp;"")="","NULL","'"&amp;SUBSTITUTE(TRIM(I416),"'","''")&amp;"'")&amp;", "&amp;IF(TRIM(J416&amp;"")="","NULL","'"&amp;SUBSTITUTE(TRIM(J416),"'","''")&amp;"'")&amp;", "&amp;IF(UPPER(TRIM(K416&amp;""))="SI","TRUE","FALSE")&amp;", 1"&amp;" WHERE NOT EXISTS (SELECT 1 FROM cli_contacto c WHERE c.id_cliente = "&amp;"(SELECT id FROM cli_clientes WHERE numero_documento = '"&amp;SUBSTITUTE(TRIM(A416),"'","''")&amp;"' AND estado = 1 LIMIT 1)"&amp;" AND upper(c.nombre) = upper("&amp;IF(TRIM(C416&amp;"")="","NULL","'"&amp;SUBSTITUTE(TRIM(C416),"'","''")&amp;"'")&amp;") AND coalesce(c.telefono1,'') = coalesce("&amp;IF(TRIM(F416&amp;"")="","NULL","'"&amp;SUBSTITUTE(TRIM(F416),"'","''")&amp;"'")&amp;",''));")</f>
        <v/>
      </c>
    </row>
    <row r="417" ht="15.75" customHeight="1" s="64">
      <c r="A417" s="23" t="n"/>
      <c r="B417" s="25">
        <f t="array" ref="B417">IF(A417="","",IFERROR(IF(INDEX(Clientes!$D$5:$D$549,MATCH(A417,Clientes!$C$5:$C$549,0))&lt;&gt;"",INDEX(Clientes!$D$5:$D$549,MATCH(A417,Clientes!$C$5:$C$549,0)),TRIM(INDEX(Clientes!$E$5:$E$549,MATCH(A417,Clientes!$C$5:$C$549,0))&amp;" "&amp;INDEX(Clientes!$F$5:$F$549,MATCH(A417,Clientes!$C$5:$C$549,0)))),"NO EXISTE en Clientes"))</f>
        <v/>
      </c>
      <c r="C417" s="17" t="n"/>
      <c r="D417" s="17" t="n"/>
      <c r="E417" s="17" t="n"/>
      <c r="F417" s="23" t="n"/>
      <c r="G417" s="23" t="n"/>
      <c r="H417" s="23" t="n"/>
      <c r="I417" s="17" t="n"/>
      <c r="J417" s="17" t="n"/>
      <c r="K417" s="17" t="n"/>
      <c r="L417" s="17">
        <f>IF(AND(A417="",C417=""),"",IF(A417="","FALTA doc. cliente",IF(B417="NO EXISTE en Clientes","CLIENTE no está en hoja Clientes",IF(C417="","FALTA nombre",IF(AND(K417="SI",COUNTIFS($A$5:$A$499,A417,$K$5:$K$499,"SI")&gt;1),"Más de un contacto principal para este cliente","OK")))))</f>
        <v/>
      </c>
      <c r="M417" s="28">
        <f>IF(L417&lt;&gt;"OK","","INSERT INTO cli_contacto (id_cliente, nombre, apellido_paterno, apellido_materno, telefono1, telefono2, telefono3, email, direccion, es_principal, estado) SELECT "&amp;"(SELECT id FROM cli_clientes WHERE numero_documento = '"&amp;SUBSTITUTE(TRIM(A417),"'","''")&amp;"' AND estado = 1 LIMIT 1)"&amp;", "&amp;IF(TRIM(C417&amp;"")="","NULL","'"&amp;SUBSTITUTE(TRIM(C417),"'","''")&amp;"'")&amp;", "&amp;IF(TRIM(D417&amp;"")="","NULL","'"&amp;SUBSTITUTE(TRIM(D417),"'","''")&amp;"'")&amp;", "&amp;IF(TRIM(E417&amp;"")="","NULL","'"&amp;SUBSTITUTE(TRIM(E417),"'","''")&amp;"'")&amp;", "&amp;IF(TRIM(F417&amp;"")="","NULL","'"&amp;SUBSTITUTE(TRIM(F417),"'","''")&amp;"'")&amp;", "&amp;IF(TRIM(G417&amp;"")="","NULL","'"&amp;SUBSTITUTE(TRIM(G417),"'","''")&amp;"'")&amp;", "&amp;IF(TRIM(H417&amp;"")="","NULL","'"&amp;SUBSTITUTE(TRIM(H417),"'","''")&amp;"'")&amp;", "&amp;IF(TRIM(I417&amp;"")="","NULL","'"&amp;SUBSTITUTE(TRIM(I417),"'","''")&amp;"'")&amp;", "&amp;IF(TRIM(J417&amp;"")="","NULL","'"&amp;SUBSTITUTE(TRIM(J417),"'","''")&amp;"'")&amp;", "&amp;IF(UPPER(TRIM(K417&amp;""))="SI","TRUE","FALSE")&amp;", 1"&amp;" WHERE NOT EXISTS (SELECT 1 FROM cli_contacto c WHERE c.id_cliente = "&amp;"(SELECT id FROM cli_clientes WHERE numero_documento = '"&amp;SUBSTITUTE(TRIM(A417),"'","''")&amp;"' AND estado = 1 LIMIT 1)"&amp;" AND upper(c.nombre) = upper("&amp;IF(TRIM(C417&amp;"")="","NULL","'"&amp;SUBSTITUTE(TRIM(C417),"'","''")&amp;"'")&amp;") AND coalesce(c.telefono1,'') = coalesce("&amp;IF(TRIM(F417&amp;"")="","NULL","'"&amp;SUBSTITUTE(TRIM(F417),"'","''")&amp;"'")&amp;",''));")</f>
        <v/>
      </c>
    </row>
    <row r="418" ht="15.75" customHeight="1" s="64">
      <c r="A418" s="23" t="n"/>
      <c r="B418" s="25">
        <f t="array" ref="B418">IF(A418="","",IFERROR(IF(INDEX(Clientes!$D$5:$D$549,MATCH(A418,Clientes!$C$5:$C$549,0))&lt;&gt;"",INDEX(Clientes!$D$5:$D$549,MATCH(A418,Clientes!$C$5:$C$549,0)),TRIM(INDEX(Clientes!$E$5:$E$549,MATCH(A418,Clientes!$C$5:$C$549,0))&amp;" "&amp;INDEX(Clientes!$F$5:$F$549,MATCH(A418,Clientes!$C$5:$C$549,0)))),"NO EXISTE en Clientes"))</f>
        <v/>
      </c>
      <c r="C418" s="17" t="n"/>
      <c r="D418" s="17" t="n"/>
      <c r="E418" s="17" t="n"/>
      <c r="F418" s="23" t="n"/>
      <c r="G418" s="23" t="n"/>
      <c r="H418" s="23" t="n"/>
      <c r="I418" s="17" t="n"/>
      <c r="J418" s="17" t="n"/>
      <c r="K418" s="17" t="n"/>
      <c r="L418" s="17">
        <f>IF(AND(A418="",C418=""),"",IF(A418="","FALTA doc. cliente",IF(B418="NO EXISTE en Clientes","CLIENTE no está en hoja Clientes",IF(C418="","FALTA nombre",IF(AND(K418="SI",COUNTIFS($A$5:$A$499,A418,$K$5:$K$499,"SI")&gt;1),"Más de un contacto principal para este cliente","OK")))))</f>
        <v/>
      </c>
      <c r="M418" s="28">
        <f>IF(L418&lt;&gt;"OK","","INSERT INTO cli_contacto (id_cliente, nombre, apellido_paterno, apellido_materno, telefono1, telefono2, telefono3, email, direccion, es_principal, estado) SELECT "&amp;"(SELECT id FROM cli_clientes WHERE numero_documento = '"&amp;SUBSTITUTE(TRIM(A418),"'","''")&amp;"' AND estado = 1 LIMIT 1)"&amp;", "&amp;IF(TRIM(C418&amp;"")="","NULL","'"&amp;SUBSTITUTE(TRIM(C418),"'","''")&amp;"'")&amp;", "&amp;IF(TRIM(D418&amp;"")="","NULL","'"&amp;SUBSTITUTE(TRIM(D418),"'","''")&amp;"'")&amp;", "&amp;IF(TRIM(E418&amp;"")="","NULL","'"&amp;SUBSTITUTE(TRIM(E418),"'","''")&amp;"'")&amp;", "&amp;IF(TRIM(F418&amp;"")="","NULL","'"&amp;SUBSTITUTE(TRIM(F418),"'","''")&amp;"'")&amp;", "&amp;IF(TRIM(G418&amp;"")="","NULL","'"&amp;SUBSTITUTE(TRIM(G418),"'","''")&amp;"'")&amp;", "&amp;IF(TRIM(H418&amp;"")="","NULL","'"&amp;SUBSTITUTE(TRIM(H418),"'","''")&amp;"'")&amp;", "&amp;IF(TRIM(I418&amp;"")="","NULL","'"&amp;SUBSTITUTE(TRIM(I418),"'","''")&amp;"'")&amp;", "&amp;IF(TRIM(J418&amp;"")="","NULL","'"&amp;SUBSTITUTE(TRIM(J418),"'","''")&amp;"'")&amp;", "&amp;IF(UPPER(TRIM(K418&amp;""))="SI","TRUE","FALSE")&amp;", 1"&amp;" WHERE NOT EXISTS (SELECT 1 FROM cli_contacto c WHERE c.id_cliente = "&amp;"(SELECT id FROM cli_clientes WHERE numero_documento = '"&amp;SUBSTITUTE(TRIM(A418),"'","''")&amp;"' AND estado = 1 LIMIT 1)"&amp;" AND upper(c.nombre) = upper("&amp;IF(TRIM(C418&amp;"")="","NULL","'"&amp;SUBSTITUTE(TRIM(C418),"'","''")&amp;"'")&amp;") AND coalesce(c.telefono1,'') = coalesce("&amp;IF(TRIM(F418&amp;"")="","NULL","'"&amp;SUBSTITUTE(TRIM(F418),"'","''")&amp;"'")&amp;",''));")</f>
        <v/>
      </c>
    </row>
    <row r="419" ht="15.75" customHeight="1" s="64">
      <c r="A419" s="23" t="n"/>
      <c r="B419" s="25">
        <f t="array" ref="B419">IF(A419="","",IFERROR(IF(INDEX(Clientes!$D$5:$D$549,MATCH(A419,Clientes!$C$5:$C$549,0))&lt;&gt;"",INDEX(Clientes!$D$5:$D$549,MATCH(A419,Clientes!$C$5:$C$549,0)),TRIM(INDEX(Clientes!$E$5:$E$549,MATCH(A419,Clientes!$C$5:$C$549,0))&amp;" "&amp;INDEX(Clientes!$F$5:$F$549,MATCH(A419,Clientes!$C$5:$C$549,0)))),"NO EXISTE en Clientes"))</f>
        <v/>
      </c>
      <c r="C419" s="17" t="n"/>
      <c r="D419" s="17" t="n"/>
      <c r="E419" s="17" t="n"/>
      <c r="F419" s="23" t="n"/>
      <c r="G419" s="23" t="n"/>
      <c r="H419" s="23" t="n"/>
      <c r="I419" s="17" t="n"/>
      <c r="J419" s="17" t="n"/>
      <c r="K419" s="17" t="n"/>
      <c r="L419" s="17">
        <f>IF(AND(A419="",C419=""),"",IF(A419="","FALTA doc. cliente",IF(B419="NO EXISTE en Clientes","CLIENTE no está en hoja Clientes",IF(C419="","FALTA nombre",IF(AND(K419="SI",COUNTIFS($A$5:$A$499,A419,$K$5:$K$499,"SI")&gt;1),"Más de un contacto principal para este cliente","OK")))))</f>
        <v/>
      </c>
      <c r="M419" s="28">
        <f>IF(L419&lt;&gt;"OK","","INSERT INTO cli_contacto (id_cliente, nombre, apellido_paterno, apellido_materno, telefono1, telefono2, telefono3, email, direccion, es_principal, estado) SELECT "&amp;"(SELECT id FROM cli_clientes WHERE numero_documento = '"&amp;SUBSTITUTE(TRIM(A419),"'","''")&amp;"' AND estado = 1 LIMIT 1)"&amp;", "&amp;IF(TRIM(C419&amp;"")="","NULL","'"&amp;SUBSTITUTE(TRIM(C419),"'","''")&amp;"'")&amp;", "&amp;IF(TRIM(D419&amp;"")="","NULL","'"&amp;SUBSTITUTE(TRIM(D419),"'","''")&amp;"'")&amp;", "&amp;IF(TRIM(E419&amp;"")="","NULL","'"&amp;SUBSTITUTE(TRIM(E419),"'","''")&amp;"'")&amp;", "&amp;IF(TRIM(F419&amp;"")="","NULL","'"&amp;SUBSTITUTE(TRIM(F419),"'","''")&amp;"'")&amp;", "&amp;IF(TRIM(G419&amp;"")="","NULL","'"&amp;SUBSTITUTE(TRIM(G419),"'","''")&amp;"'")&amp;", "&amp;IF(TRIM(H419&amp;"")="","NULL","'"&amp;SUBSTITUTE(TRIM(H419),"'","''")&amp;"'")&amp;", "&amp;IF(TRIM(I419&amp;"")="","NULL","'"&amp;SUBSTITUTE(TRIM(I419),"'","''")&amp;"'")&amp;", "&amp;IF(TRIM(J419&amp;"")="","NULL","'"&amp;SUBSTITUTE(TRIM(J419),"'","''")&amp;"'")&amp;", "&amp;IF(UPPER(TRIM(K419&amp;""))="SI","TRUE","FALSE")&amp;", 1"&amp;" WHERE NOT EXISTS (SELECT 1 FROM cli_contacto c WHERE c.id_cliente = "&amp;"(SELECT id FROM cli_clientes WHERE numero_documento = '"&amp;SUBSTITUTE(TRIM(A419),"'","''")&amp;"' AND estado = 1 LIMIT 1)"&amp;" AND upper(c.nombre) = upper("&amp;IF(TRIM(C419&amp;"")="","NULL","'"&amp;SUBSTITUTE(TRIM(C419),"'","''")&amp;"'")&amp;") AND coalesce(c.telefono1,'') = coalesce("&amp;IF(TRIM(F419&amp;"")="","NULL","'"&amp;SUBSTITUTE(TRIM(F419),"'","''")&amp;"'")&amp;",''));")</f>
        <v/>
      </c>
    </row>
    <row r="420" ht="15.75" customHeight="1" s="64">
      <c r="A420" s="23" t="n"/>
      <c r="B420" s="25">
        <f t="array" ref="B420">IF(A420="","",IFERROR(IF(INDEX(Clientes!$D$5:$D$549,MATCH(A420,Clientes!$C$5:$C$549,0))&lt;&gt;"",INDEX(Clientes!$D$5:$D$549,MATCH(A420,Clientes!$C$5:$C$549,0)),TRIM(INDEX(Clientes!$E$5:$E$549,MATCH(A420,Clientes!$C$5:$C$549,0))&amp;" "&amp;INDEX(Clientes!$F$5:$F$549,MATCH(A420,Clientes!$C$5:$C$549,0)))),"NO EXISTE en Clientes"))</f>
        <v/>
      </c>
      <c r="C420" s="17" t="n"/>
      <c r="D420" s="17" t="n"/>
      <c r="E420" s="17" t="n"/>
      <c r="F420" s="23" t="n"/>
      <c r="G420" s="23" t="n"/>
      <c r="H420" s="23" t="n"/>
      <c r="I420" s="17" t="n"/>
      <c r="J420" s="17" t="n"/>
      <c r="K420" s="17" t="n"/>
      <c r="L420" s="17">
        <f>IF(AND(A420="",C420=""),"",IF(A420="","FALTA doc. cliente",IF(B420="NO EXISTE en Clientes","CLIENTE no está en hoja Clientes",IF(C420="","FALTA nombre",IF(AND(K420="SI",COUNTIFS($A$5:$A$499,A420,$K$5:$K$499,"SI")&gt;1),"Más de un contacto principal para este cliente","OK")))))</f>
        <v/>
      </c>
      <c r="M420" s="28">
        <f>IF(L420&lt;&gt;"OK","","INSERT INTO cli_contacto (id_cliente, nombre, apellido_paterno, apellido_materno, telefono1, telefono2, telefono3, email, direccion, es_principal, estado) SELECT "&amp;"(SELECT id FROM cli_clientes WHERE numero_documento = '"&amp;SUBSTITUTE(TRIM(A420),"'","''")&amp;"' AND estado = 1 LIMIT 1)"&amp;", "&amp;IF(TRIM(C420&amp;"")="","NULL","'"&amp;SUBSTITUTE(TRIM(C420),"'","''")&amp;"'")&amp;", "&amp;IF(TRIM(D420&amp;"")="","NULL","'"&amp;SUBSTITUTE(TRIM(D420),"'","''")&amp;"'")&amp;", "&amp;IF(TRIM(E420&amp;"")="","NULL","'"&amp;SUBSTITUTE(TRIM(E420),"'","''")&amp;"'")&amp;", "&amp;IF(TRIM(F420&amp;"")="","NULL","'"&amp;SUBSTITUTE(TRIM(F420),"'","''")&amp;"'")&amp;", "&amp;IF(TRIM(G420&amp;"")="","NULL","'"&amp;SUBSTITUTE(TRIM(G420),"'","''")&amp;"'")&amp;", "&amp;IF(TRIM(H420&amp;"")="","NULL","'"&amp;SUBSTITUTE(TRIM(H420),"'","''")&amp;"'")&amp;", "&amp;IF(TRIM(I420&amp;"")="","NULL","'"&amp;SUBSTITUTE(TRIM(I420),"'","''")&amp;"'")&amp;", "&amp;IF(TRIM(J420&amp;"")="","NULL","'"&amp;SUBSTITUTE(TRIM(J420),"'","''")&amp;"'")&amp;", "&amp;IF(UPPER(TRIM(K420&amp;""))="SI","TRUE","FALSE")&amp;", 1"&amp;" WHERE NOT EXISTS (SELECT 1 FROM cli_contacto c WHERE c.id_cliente = "&amp;"(SELECT id FROM cli_clientes WHERE numero_documento = '"&amp;SUBSTITUTE(TRIM(A420),"'","''")&amp;"' AND estado = 1 LIMIT 1)"&amp;" AND upper(c.nombre) = upper("&amp;IF(TRIM(C420&amp;"")="","NULL","'"&amp;SUBSTITUTE(TRIM(C420),"'","''")&amp;"'")&amp;") AND coalesce(c.telefono1,'') = coalesce("&amp;IF(TRIM(F420&amp;"")="","NULL","'"&amp;SUBSTITUTE(TRIM(F420),"'","''")&amp;"'")&amp;",''));")</f>
        <v/>
      </c>
    </row>
    <row r="421" ht="15.75" customHeight="1" s="64">
      <c r="A421" s="23" t="n"/>
      <c r="B421" s="25">
        <f t="array" ref="B421">IF(A421="","",IFERROR(IF(INDEX(Clientes!$D$5:$D$549,MATCH(A421,Clientes!$C$5:$C$549,0))&lt;&gt;"",INDEX(Clientes!$D$5:$D$549,MATCH(A421,Clientes!$C$5:$C$549,0)),TRIM(INDEX(Clientes!$E$5:$E$549,MATCH(A421,Clientes!$C$5:$C$549,0))&amp;" "&amp;INDEX(Clientes!$F$5:$F$549,MATCH(A421,Clientes!$C$5:$C$549,0)))),"NO EXISTE en Clientes"))</f>
        <v/>
      </c>
      <c r="C421" s="17" t="n"/>
      <c r="D421" s="17" t="n"/>
      <c r="E421" s="17" t="n"/>
      <c r="F421" s="23" t="n"/>
      <c r="G421" s="23" t="n"/>
      <c r="H421" s="23" t="n"/>
      <c r="I421" s="17" t="n"/>
      <c r="J421" s="17" t="n"/>
      <c r="K421" s="17" t="n"/>
      <c r="L421" s="17">
        <f>IF(AND(A421="",C421=""),"",IF(A421="","FALTA doc. cliente",IF(B421="NO EXISTE en Clientes","CLIENTE no está en hoja Clientes",IF(C421="","FALTA nombre",IF(AND(K421="SI",COUNTIFS($A$5:$A$499,A421,$K$5:$K$499,"SI")&gt;1),"Más de un contacto principal para este cliente","OK")))))</f>
        <v/>
      </c>
      <c r="M421" s="28">
        <f>IF(L421&lt;&gt;"OK","","INSERT INTO cli_contacto (id_cliente, nombre, apellido_paterno, apellido_materno, telefono1, telefono2, telefono3, email, direccion, es_principal, estado) SELECT "&amp;"(SELECT id FROM cli_clientes WHERE numero_documento = '"&amp;SUBSTITUTE(TRIM(A421),"'","''")&amp;"' AND estado = 1 LIMIT 1)"&amp;", "&amp;IF(TRIM(C421&amp;"")="","NULL","'"&amp;SUBSTITUTE(TRIM(C421),"'","''")&amp;"'")&amp;", "&amp;IF(TRIM(D421&amp;"")="","NULL","'"&amp;SUBSTITUTE(TRIM(D421),"'","''")&amp;"'")&amp;", "&amp;IF(TRIM(E421&amp;"")="","NULL","'"&amp;SUBSTITUTE(TRIM(E421),"'","''")&amp;"'")&amp;", "&amp;IF(TRIM(F421&amp;"")="","NULL","'"&amp;SUBSTITUTE(TRIM(F421),"'","''")&amp;"'")&amp;", "&amp;IF(TRIM(G421&amp;"")="","NULL","'"&amp;SUBSTITUTE(TRIM(G421),"'","''")&amp;"'")&amp;", "&amp;IF(TRIM(H421&amp;"")="","NULL","'"&amp;SUBSTITUTE(TRIM(H421),"'","''")&amp;"'")&amp;", "&amp;IF(TRIM(I421&amp;"")="","NULL","'"&amp;SUBSTITUTE(TRIM(I421),"'","''")&amp;"'")&amp;", "&amp;IF(TRIM(J421&amp;"")="","NULL","'"&amp;SUBSTITUTE(TRIM(J421),"'","''")&amp;"'")&amp;", "&amp;IF(UPPER(TRIM(K421&amp;""))="SI","TRUE","FALSE")&amp;", 1"&amp;" WHERE NOT EXISTS (SELECT 1 FROM cli_contacto c WHERE c.id_cliente = "&amp;"(SELECT id FROM cli_clientes WHERE numero_documento = '"&amp;SUBSTITUTE(TRIM(A421),"'","''")&amp;"' AND estado = 1 LIMIT 1)"&amp;" AND upper(c.nombre) = upper("&amp;IF(TRIM(C421&amp;"")="","NULL","'"&amp;SUBSTITUTE(TRIM(C421),"'","''")&amp;"'")&amp;") AND coalesce(c.telefono1,'') = coalesce("&amp;IF(TRIM(F421&amp;"")="","NULL","'"&amp;SUBSTITUTE(TRIM(F421),"'","''")&amp;"'")&amp;",''));")</f>
        <v/>
      </c>
    </row>
    <row r="422" ht="15.75" customHeight="1" s="64">
      <c r="A422" s="23" t="n"/>
      <c r="B422" s="25">
        <f t="array" ref="B422">IF(A422="","",IFERROR(IF(INDEX(Clientes!$D$5:$D$549,MATCH(A422,Clientes!$C$5:$C$549,0))&lt;&gt;"",INDEX(Clientes!$D$5:$D$549,MATCH(A422,Clientes!$C$5:$C$549,0)),TRIM(INDEX(Clientes!$E$5:$E$549,MATCH(A422,Clientes!$C$5:$C$549,0))&amp;" "&amp;INDEX(Clientes!$F$5:$F$549,MATCH(A422,Clientes!$C$5:$C$549,0)))),"NO EXISTE en Clientes"))</f>
        <v/>
      </c>
      <c r="C422" s="17" t="n"/>
      <c r="D422" s="17" t="n"/>
      <c r="E422" s="17" t="n"/>
      <c r="F422" s="23" t="n"/>
      <c r="G422" s="23" t="n"/>
      <c r="H422" s="23" t="n"/>
      <c r="I422" s="17" t="n"/>
      <c r="J422" s="17" t="n"/>
      <c r="K422" s="17" t="n"/>
      <c r="L422" s="17">
        <f>IF(AND(A422="",C422=""),"",IF(A422="","FALTA doc. cliente",IF(B422="NO EXISTE en Clientes","CLIENTE no está en hoja Clientes",IF(C422="","FALTA nombre",IF(AND(K422="SI",COUNTIFS($A$5:$A$499,A422,$K$5:$K$499,"SI")&gt;1),"Más de un contacto principal para este cliente","OK")))))</f>
        <v/>
      </c>
      <c r="M422" s="28">
        <f>IF(L422&lt;&gt;"OK","","INSERT INTO cli_contacto (id_cliente, nombre, apellido_paterno, apellido_materno, telefono1, telefono2, telefono3, email, direccion, es_principal, estado) SELECT "&amp;"(SELECT id FROM cli_clientes WHERE numero_documento = '"&amp;SUBSTITUTE(TRIM(A422),"'","''")&amp;"' AND estado = 1 LIMIT 1)"&amp;", "&amp;IF(TRIM(C422&amp;"")="","NULL","'"&amp;SUBSTITUTE(TRIM(C422),"'","''")&amp;"'")&amp;", "&amp;IF(TRIM(D422&amp;"")="","NULL","'"&amp;SUBSTITUTE(TRIM(D422),"'","''")&amp;"'")&amp;", "&amp;IF(TRIM(E422&amp;"")="","NULL","'"&amp;SUBSTITUTE(TRIM(E422),"'","''")&amp;"'")&amp;", "&amp;IF(TRIM(F422&amp;"")="","NULL","'"&amp;SUBSTITUTE(TRIM(F422),"'","''")&amp;"'")&amp;", "&amp;IF(TRIM(G422&amp;"")="","NULL","'"&amp;SUBSTITUTE(TRIM(G422),"'","''")&amp;"'")&amp;", "&amp;IF(TRIM(H422&amp;"")="","NULL","'"&amp;SUBSTITUTE(TRIM(H422),"'","''")&amp;"'")&amp;", "&amp;IF(TRIM(I422&amp;"")="","NULL","'"&amp;SUBSTITUTE(TRIM(I422),"'","''")&amp;"'")&amp;", "&amp;IF(TRIM(J422&amp;"")="","NULL","'"&amp;SUBSTITUTE(TRIM(J422),"'","''")&amp;"'")&amp;", "&amp;IF(UPPER(TRIM(K422&amp;""))="SI","TRUE","FALSE")&amp;", 1"&amp;" WHERE NOT EXISTS (SELECT 1 FROM cli_contacto c WHERE c.id_cliente = "&amp;"(SELECT id FROM cli_clientes WHERE numero_documento = '"&amp;SUBSTITUTE(TRIM(A422),"'","''")&amp;"' AND estado = 1 LIMIT 1)"&amp;" AND upper(c.nombre) = upper("&amp;IF(TRIM(C422&amp;"")="","NULL","'"&amp;SUBSTITUTE(TRIM(C422),"'","''")&amp;"'")&amp;") AND coalesce(c.telefono1,'') = coalesce("&amp;IF(TRIM(F422&amp;"")="","NULL","'"&amp;SUBSTITUTE(TRIM(F422),"'","''")&amp;"'")&amp;",''));")</f>
        <v/>
      </c>
    </row>
    <row r="423" ht="15.75" customHeight="1" s="64">
      <c r="A423" s="23" t="n"/>
      <c r="B423" s="25">
        <f t="array" ref="B423">IF(A423="","",IFERROR(IF(INDEX(Clientes!$D$5:$D$549,MATCH(A423,Clientes!$C$5:$C$549,0))&lt;&gt;"",INDEX(Clientes!$D$5:$D$549,MATCH(A423,Clientes!$C$5:$C$549,0)),TRIM(INDEX(Clientes!$E$5:$E$549,MATCH(A423,Clientes!$C$5:$C$549,0))&amp;" "&amp;INDEX(Clientes!$F$5:$F$549,MATCH(A423,Clientes!$C$5:$C$549,0)))),"NO EXISTE en Clientes"))</f>
        <v/>
      </c>
      <c r="C423" s="17" t="n"/>
      <c r="D423" s="17" t="n"/>
      <c r="E423" s="17" t="n"/>
      <c r="F423" s="23" t="n"/>
      <c r="G423" s="23" t="n"/>
      <c r="H423" s="23" t="n"/>
      <c r="I423" s="17" t="n"/>
      <c r="J423" s="17" t="n"/>
      <c r="K423" s="17" t="n"/>
      <c r="L423" s="17">
        <f>IF(AND(A423="",C423=""),"",IF(A423="","FALTA doc. cliente",IF(B423="NO EXISTE en Clientes","CLIENTE no está en hoja Clientes",IF(C423="","FALTA nombre",IF(AND(K423="SI",COUNTIFS($A$5:$A$499,A423,$K$5:$K$499,"SI")&gt;1),"Más de un contacto principal para este cliente","OK")))))</f>
        <v/>
      </c>
      <c r="M423" s="28">
        <f>IF(L423&lt;&gt;"OK","","INSERT INTO cli_contacto (id_cliente, nombre, apellido_paterno, apellido_materno, telefono1, telefono2, telefono3, email, direccion, es_principal, estado) SELECT "&amp;"(SELECT id FROM cli_clientes WHERE numero_documento = '"&amp;SUBSTITUTE(TRIM(A423),"'","''")&amp;"' AND estado = 1 LIMIT 1)"&amp;", "&amp;IF(TRIM(C423&amp;"")="","NULL","'"&amp;SUBSTITUTE(TRIM(C423),"'","''")&amp;"'")&amp;", "&amp;IF(TRIM(D423&amp;"")="","NULL","'"&amp;SUBSTITUTE(TRIM(D423),"'","''")&amp;"'")&amp;", "&amp;IF(TRIM(E423&amp;"")="","NULL","'"&amp;SUBSTITUTE(TRIM(E423),"'","''")&amp;"'")&amp;", "&amp;IF(TRIM(F423&amp;"")="","NULL","'"&amp;SUBSTITUTE(TRIM(F423),"'","''")&amp;"'")&amp;", "&amp;IF(TRIM(G423&amp;"")="","NULL","'"&amp;SUBSTITUTE(TRIM(G423),"'","''")&amp;"'")&amp;", "&amp;IF(TRIM(H423&amp;"")="","NULL","'"&amp;SUBSTITUTE(TRIM(H423),"'","''")&amp;"'")&amp;", "&amp;IF(TRIM(I423&amp;"")="","NULL","'"&amp;SUBSTITUTE(TRIM(I423),"'","''")&amp;"'")&amp;", "&amp;IF(TRIM(J423&amp;"")="","NULL","'"&amp;SUBSTITUTE(TRIM(J423),"'","''")&amp;"'")&amp;", "&amp;IF(UPPER(TRIM(K423&amp;""))="SI","TRUE","FALSE")&amp;", 1"&amp;" WHERE NOT EXISTS (SELECT 1 FROM cli_contacto c WHERE c.id_cliente = "&amp;"(SELECT id FROM cli_clientes WHERE numero_documento = '"&amp;SUBSTITUTE(TRIM(A423),"'","''")&amp;"' AND estado = 1 LIMIT 1)"&amp;" AND upper(c.nombre) = upper("&amp;IF(TRIM(C423&amp;"")="","NULL","'"&amp;SUBSTITUTE(TRIM(C423),"'","''")&amp;"'")&amp;") AND coalesce(c.telefono1,'') = coalesce("&amp;IF(TRIM(F423&amp;"")="","NULL","'"&amp;SUBSTITUTE(TRIM(F423),"'","''")&amp;"'")&amp;",''));")</f>
        <v/>
      </c>
    </row>
    <row r="424" ht="15.75" customHeight="1" s="64">
      <c r="A424" s="23" t="n"/>
      <c r="B424" s="25">
        <f t="array" ref="B424">IF(A424="","",IFERROR(IF(INDEX(Clientes!$D$5:$D$549,MATCH(A424,Clientes!$C$5:$C$549,0))&lt;&gt;"",INDEX(Clientes!$D$5:$D$549,MATCH(A424,Clientes!$C$5:$C$549,0)),TRIM(INDEX(Clientes!$E$5:$E$549,MATCH(A424,Clientes!$C$5:$C$549,0))&amp;" "&amp;INDEX(Clientes!$F$5:$F$549,MATCH(A424,Clientes!$C$5:$C$549,0)))),"NO EXISTE en Clientes"))</f>
        <v/>
      </c>
      <c r="C424" s="17" t="n"/>
      <c r="D424" s="17" t="n"/>
      <c r="E424" s="17" t="n"/>
      <c r="F424" s="23" t="n"/>
      <c r="G424" s="23" t="n"/>
      <c r="H424" s="23" t="n"/>
      <c r="I424" s="17" t="n"/>
      <c r="J424" s="17" t="n"/>
      <c r="K424" s="17" t="n"/>
      <c r="L424" s="17">
        <f>IF(AND(A424="",C424=""),"",IF(A424="","FALTA doc. cliente",IF(B424="NO EXISTE en Clientes","CLIENTE no está en hoja Clientes",IF(C424="","FALTA nombre",IF(AND(K424="SI",COUNTIFS($A$5:$A$499,A424,$K$5:$K$499,"SI")&gt;1),"Más de un contacto principal para este cliente","OK")))))</f>
        <v/>
      </c>
      <c r="M424" s="28">
        <f>IF(L424&lt;&gt;"OK","","INSERT INTO cli_contacto (id_cliente, nombre, apellido_paterno, apellido_materno, telefono1, telefono2, telefono3, email, direccion, es_principal, estado) SELECT "&amp;"(SELECT id FROM cli_clientes WHERE numero_documento = '"&amp;SUBSTITUTE(TRIM(A424),"'","''")&amp;"' AND estado = 1 LIMIT 1)"&amp;", "&amp;IF(TRIM(C424&amp;"")="","NULL","'"&amp;SUBSTITUTE(TRIM(C424),"'","''")&amp;"'")&amp;", "&amp;IF(TRIM(D424&amp;"")="","NULL","'"&amp;SUBSTITUTE(TRIM(D424),"'","''")&amp;"'")&amp;", "&amp;IF(TRIM(E424&amp;"")="","NULL","'"&amp;SUBSTITUTE(TRIM(E424),"'","''")&amp;"'")&amp;", "&amp;IF(TRIM(F424&amp;"")="","NULL","'"&amp;SUBSTITUTE(TRIM(F424),"'","''")&amp;"'")&amp;", "&amp;IF(TRIM(G424&amp;"")="","NULL","'"&amp;SUBSTITUTE(TRIM(G424),"'","''")&amp;"'")&amp;", "&amp;IF(TRIM(H424&amp;"")="","NULL","'"&amp;SUBSTITUTE(TRIM(H424),"'","''")&amp;"'")&amp;", "&amp;IF(TRIM(I424&amp;"")="","NULL","'"&amp;SUBSTITUTE(TRIM(I424),"'","''")&amp;"'")&amp;", "&amp;IF(TRIM(J424&amp;"")="","NULL","'"&amp;SUBSTITUTE(TRIM(J424),"'","''")&amp;"'")&amp;", "&amp;IF(UPPER(TRIM(K424&amp;""))="SI","TRUE","FALSE")&amp;", 1"&amp;" WHERE NOT EXISTS (SELECT 1 FROM cli_contacto c WHERE c.id_cliente = "&amp;"(SELECT id FROM cli_clientes WHERE numero_documento = '"&amp;SUBSTITUTE(TRIM(A424),"'","''")&amp;"' AND estado = 1 LIMIT 1)"&amp;" AND upper(c.nombre) = upper("&amp;IF(TRIM(C424&amp;"")="","NULL","'"&amp;SUBSTITUTE(TRIM(C424),"'","''")&amp;"'")&amp;") AND coalesce(c.telefono1,'') = coalesce("&amp;IF(TRIM(F424&amp;"")="","NULL","'"&amp;SUBSTITUTE(TRIM(F424),"'","''")&amp;"'")&amp;",''));")</f>
        <v/>
      </c>
    </row>
    <row r="425" ht="15.75" customHeight="1" s="64">
      <c r="A425" s="23" t="n"/>
      <c r="B425" s="25">
        <f t="array" ref="B425">IF(A425="","",IFERROR(IF(INDEX(Clientes!$D$5:$D$549,MATCH(A425,Clientes!$C$5:$C$549,0))&lt;&gt;"",INDEX(Clientes!$D$5:$D$549,MATCH(A425,Clientes!$C$5:$C$549,0)),TRIM(INDEX(Clientes!$E$5:$E$549,MATCH(A425,Clientes!$C$5:$C$549,0))&amp;" "&amp;INDEX(Clientes!$F$5:$F$549,MATCH(A425,Clientes!$C$5:$C$549,0)))),"NO EXISTE en Clientes"))</f>
        <v/>
      </c>
      <c r="C425" s="17" t="n"/>
      <c r="D425" s="17" t="n"/>
      <c r="E425" s="17" t="n"/>
      <c r="F425" s="23" t="n"/>
      <c r="G425" s="23" t="n"/>
      <c r="H425" s="23" t="n"/>
      <c r="I425" s="17" t="n"/>
      <c r="J425" s="17" t="n"/>
      <c r="K425" s="17" t="n"/>
      <c r="L425" s="17">
        <f>IF(AND(A425="",C425=""),"",IF(A425="","FALTA doc. cliente",IF(B425="NO EXISTE en Clientes","CLIENTE no está en hoja Clientes",IF(C425="","FALTA nombre",IF(AND(K425="SI",COUNTIFS($A$5:$A$499,A425,$K$5:$K$499,"SI")&gt;1),"Más de un contacto principal para este cliente","OK")))))</f>
        <v/>
      </c>
      <c r="M425" s="28">
        <f>IF(L425&lt;&gt;"OK","","INSERT INTO cli_contacto (id_cliente, nombre, apellido_paterno, apellido_materno, telefono1, telefono2, telefono3, email, direccion, es_principal, estado) SELECT "&amp;"(SELECT id FROM cli_clientes WHERE numero_documento = '"&amp;SUBSTITUTE(TRIM(A425),"'","''")&amp;"' AND estado = 1 LIMIT 1)"&amp;", "&amp;IF(TRIM(C425&amp;"")="","NULL","'"&amp;SUBSTITUTE(TRIM(C425),"'","''")&amp;"'")&amp;", "&amp;IF(TRIM(D425&amp;"")="","NULL","'"&amp;SUBSTITUTE(TRIM(D425),"'","''")&amp;"'")&amp;", "&amp;IF(TRIM(E425&amp;"")="","NULL","'"&amp;SUBSTITUTE(TRIM(E425),"'","''")&amp;"'")&amp;", "&amp;IF(TRIM(F425&amp;"")="","NULL","'"&amp;SUBSTITUTE(TRIM(F425),"'","''")&amp;"'")&amp;", "&amp;IF(TRIM(G425&amp;"")="","NULL","'"&amp;SUBSTITUTE(TRIM(G425),"'","''")&amp;"'")&amp;", "&amp;IF(TRIM(H425&amp;"")="","NULL","'"&amp;SUBSTITUTE(TRIM(H425),"'","''")&amp;"'")&amp;", "&amp;IF(TRIM(I425&amp;"")="","NULL","'"&amp;SUBSTITUTE(TRIM(I425),"'","''")&amp;"'")&amp;", "&amp;IF(TRIM(J425&amp;"")="","NULL","'"&amp;SUBSTITUTE(TRIM(J425),"'","''")&amp;"'")&amp;", "&amp;IF(UPPER(TRIM(K425&amp;""))="SI","TRUE","FALSE")&amp;", 1"&amp;" WHERE NOT EXISTS (SELECT 1 FROM cli_contacto c WHERE c.id_cliente = "&amp;"(SELECT id FROM cli_clientes WHERE numero_documento = '"&amp;SUBSTITUTE(TRIM(A425),"'","''")&amp;"' AND estado = 1 LIMIT 1)"&amp;" AND upper(c.nombre) = upper("&amp;IF(TRIM(C425&amp;"")="","NULL","'"&amp;SUBSTITUTE(TRIM(C425),"'","''")&amp;"'")&amp;") AND coalesce(c.telefono1,'') = coalesce("&amp;IF(TRIM(F425&amp;"")="","NULL","'"&amp;SUBSTITUTE(TRIM(F425),"'","''")&amp;"'")&amp;",''));")</f>
        <v/>
      </c>
    </row>
    <row r="426" ht="15.75" customHeight="1" s="64">
      <c r="A426" s="23" t="n"/>
      <c r="B426" s="25">
        <f t="array" ref="B426">IF(A426="","",IFERROR(IF(INDEX(Clientes!$D$5:$D$549,MATCH(A426,Clientes!$C$5:$C$549,0))&lt;&gt;"",INDEX(Clientes!$D$5:$D$549,MATCH(A426,Clientes!$C$5:$C$549,0)),TRIM(INDEX(Clientes!$E$5:$E$549,MATCH(A426,Clientes!$C$5:$C$549,0))&amp;" "&amp;INDEX(Clientes!$F$5:$F$549,MATCH(A426,Clientes!$C$5:$C$549,0)))),"NO EXISTE en Clientes"))</f>
        <v/>
      </c>
      <c r="C426" s="17" t="n"/>
      <c r="D426" s="17" t="n"/>
      <c r="E426" s="17" t="n"/>
      <c r="F426" s="23" t="n"/>
      <c r="G426" s="23" t="n"/>
      <c r="H426" s="23" t="n"/>
      <c r="I426" s="17" t="n"/>
      <c r="J426" s="17" t="n"/>
      <c r="K426" s="17" t="n"/>
      <c r="L426" s="17">
        <f>IF(AND(A426="",C426=""),"",IF(A426="","FALTA doc. cliente",IF(B426="NO EXISTE en Clientes","CLIENTE no está en hoja Clientes",IF(C426="","FALTA nombre",IF(AND(K426="SI",COUNTIFS($A$5:$A$499,A426,$K$5:$K$499,"SI")&gt;1),"Más de un contacto principal para este cliente","OK")))))</f>
        <v/>
      </c>
      <c r="M426" s="28">
        <f>IF(L426&lt;&gt;"OK","","INSERT INTO cli_contacto (id_cliente, nombre, apellido_paterno, apellido_materno, telefono1, telefono2, telefono3, email, direccion, es_principal, estado) SELECT "&amp;"(SELECT id FROM cli_clientes WHERE numero_documento = '"&amp;SUBSTITUTE(TRIM(A426),"'","''")&amp;"' AND estado = 1 LIMIT 1)"&amp;", "&amp;IF(TRIM(C426&amp;"")="","NULL","'"&amp;SUBSTITUTE(TRIM(C426),"'","''")&amp;"'")&amp;", "&amp;IF(TRIM(D426&amp;"")="","NULL","'"&amp;SUBSTITUTE(TRIM(D426),"'","''")&amp;"'")&amp;", "&amp;IF(TRIM(E426&amp;"")="","NULL","'"&amp;SUBSTITUTE(TRIM(E426),"'","''")&amp;"'")&amp;", "&amp;IF(TRIM(F426&amp;"")="","NULL","'"&amp;SUBSTITUTE(TRIM(F426),"'","''")&amp;"'")&amp;", "&amp;IF(TRIM(G426&amp;"")="","NULL","'"&amp;SUBSTITUTE(TRIM(G426),"'","''")&amp;"'")&amp;", "&amp;IF(TRIM(H426&amp;"")="","NULL","'"&amp;SUBSTITUTE(TRIM(H426),"'","''")&amp;"'")&amp;", "&amp;IF(TRIM(I426&amp;"")="","NULL","'"&amp;SUBSTITUTE(TRIM(I426),"'","''")&amp;"'")&amp;", "&amp;IF(TRIM(J426&amp;"")="","NULL","'"&amp;SUBSTITUTE(TRIM(J426),"'","''")&amp;"'")&amp;", "&amp;IF(UPPER(TRIM(K426&amp;""))="SI","TRUE","FALSE")&amp;", 1"&amp;" WHERE NOT EXISTS (SELECT 1 FROM cli_contacto c WHERE c.id_cliente = "&amp;"(SELECT id FROM cli_clientes WHERE numero_documento = '"&amp;SUBSTITUTE(TRIM(A426),"'","''")&amp;"' AND estado = 1 LIMIT 1)"&amp;" AND upper(c.nombre) = upper("&amp;IF(TRIM(C426&amp;"")="","NULL","'"&amp;SUBSTITUTE(TRIM(C426),"'","''")&amp;"'")&amp;") AND coalesce(c.telefono1,'') = coalesce("&amp;IF(TRIM(F426&amp;"")="","NULL","'"&amp;SUBSTITUTE(TRIM(F426),"'","''")&amp;"'")&amp;",''));")</f>
        <v/>
      </c>
    </row>
    <row r="427" ht="15.75" customHeight="1" s="64">
      <c r="A427" s="23" t="n"/>
      <c r="B427" s="25">
        <f t="array" ref="B427">IF(A427="","",IFERROR(IF(INDEX(Clientes!$D$5:$D$549,MATCH(A427,Clientes!$C$5:$C$549,0))&lt;&gt;"",INDEX(Clientes!$D$5:$D$549,MATCH(A427,Clientes!$C$5:$C$549,0)),TRIM(INDEX(Clientes!$E$5:$E$549,MATCH(A427,Clientes!$C$5:$C$549,0))&amp;" "&amp;INDEX(Clientes!$F$5:$F$549,MATCH(A427,Clientes!$C$5:$C$549,0)))),"NO EXISTE en Clientes"))</f>
        <v/>
      </c>
      <c r="C427" s="17" t="n"/>
      <c r="D427" s="17" t="n"/>
      <c r="E427" s="17" t="n"/>
      <c r="F427" s="23" t="n"/>
      <c r="G427" s="23" t="n"/>
      <c r="H427" s="23" t="n"/>
      <c r="I427" s="17" t="n"/>
      <c r="J427" s="17" t="n"/>
      <c r="K427" s="17" t="n"/>
      <c r="L427" s="17">
        <f>IF(AND(A427="",C427=""),"",IF(A427="","FALTA doc. cliente",IF(B427="NO EXISTE en Clientes","CLIENTE no está en hoja Clientes",IF(C427="","FALTA nombre",IF(AND(K427="SI",COUNTIFS($A$5:$A$499,A427,$K$5:$K$499,"SI")&gt;1),"Más de un contacto principal para este cliente","OK")))))</f>
        <v/>
      </c>
      <c r="M427" s="28">
        <f>IF(L427&lt;&gt;"OK","","INSERT INTO cli_contacto (id_cliente, nombre, apellido_paterno, apellido_materno, telefono1, telefono2, telefono3, email, direccion, es_principal, estado) SELECT "&amp;"(SELECT id FROM cli_clientes WHERE numero_documento = '"&amp;SUBSTITUTE(TRIM(A427),"'","''")&amp;"' AND estado = 1 LIMIT 1)"&amp;", "&amp;IF(TRIM(C427&amp;"")="","NULL","'"&amp;SUBSTITUTE(TRIM(C427),"'","''")&amp;"'")&amp;", "&amp;IF(TRIM(D427&amp;"")="","NULL","'"&amp;SUBSTITUTE(TRIM(D427),"'","''")&amp;"'")&amp;", "&amp;IF(TRIM(E427&amp;"")="","NULL","'"&amp;SUBSTITUTE(TRIM(E427),"'","''")&amp;"'")&amp;", "&amp;IF(TRIM(F427&amp;"")="","NULL","'"&amp;SUBSTITUTE(TRIM(F427),"'","''")&amp;"'")&amp;", "&amp;IF(TRIM(G427&amp;"")="","NULL","'"&amp;SUBSTITUTE(TRIM(G427),"'","''")&amp;"'")&amp;", "&amp;IF(TRIM(H427&amp;"")="","NULL","'"&amp;SUBSTITUTE(TRIM(H427),"'","''")&amp;"'")&amp;", "&amp;IF(TRIM(I427&amp;"")="","NULL","'"&amp;SUBSTITUTE(TRIM(I427),"'","''")&amp;"'")&amp;", "&amp;IF(TRIM(J427&amp;"")="","NULL","'"&amp;SUBSTITUTE(TRIM(J427),"'","''")&amp;"'")&amp;", "&amp;IF(UPPER(TRIM(K427&amp;""))="SI","TRUE","FALSE")&amp;", 1"&amp;" WHERE NOT EXISTS (SELECT 1 FROM cli_contacto c WHERE c.id_cliente = "&amp;"(SELECT id FROM cli_clientes WHERE numero_documento = '"&amp;SUBSTITUTE(TRIM(A427),"'","''")&amp;"' AND estado = 1 LIMIT 1)"&amp;" AND upper(c.nombre) = upper("&amp;IF(TRIM(C427&amp;"")="","NULL","'"&amp;SUBSTITUTE(TRIM(C427),"'","''")&amp;"'")&amp;") AND coalesce(c.telefono1,'') = coalesce("&amp;IF(TRIM(F427&amp;"")="","NULL","'"&amp;SUBSTITUTE(TRIM(F427),"'","''")&amp;"'")&amp;",''));")</f>
        <v/>
      </c>
    </row>
    <row r="428" ht="15.75" customHeight="1" s="64">
      <c r="A428" s="23" t="n"/>
      <c r="B428" s="25">
        <f t="array" ref="B428">IF(A428="","",IFERROR(IF(INDEX(Clientes!$D$5:$D$549,MATCH(A428,Clientes!$C$5:$C$549,0))&lt;&gt;"",INDEX(Clientes!$D$5:$D$549,MATCH(A428,Clientes!$C$5:$C$549,0)),TRIM(INDEX(Clientes!$E$5:$E$549,MATCH(A428,Clientes!$C$5:$C$549,0))&amp;" "&amp;INDEX(Clientes!$F$5:$F$549,MATCH(A428,Clientes!$C$5:$C$549,0)))),"NO EXISTE en Clientes"))</f>
        <v/>
      </c>
      <c r="C428" s="17" t="n"/>
      <c r="D428" s="17" t="n"/>
      <c r="E428" s="17" t="n"/>
      <c r="F428" s="23" t="n"/>
      <c r="G428" s="23" t="n"/>
      <c r="H428" s="23" t="n"/>
      <c r="I428" s="17" t="n"/>
      <c r="J428" s="17" t="n"/>
      <c r="K428" s="17" t="n"/>
      <c r="L428" s="17">
        <f>IF(AND(A428="",C428=""),"",IF(A428="","FALTA doc. cliente",IF(B428="NO EXISTE en Clientes","CLIENTE no está en hoja Clientes",IF(C428="","FALTA nombre",IF(AND(K428="SI",COUNTIFS($A$5:$A$499,A428,$K$5:$K$499,"SI")&gt;1),"Más de un contacto principal para este cliente","OK")))))</f>
        <v/>
      </c>
      <c r="M428" s="28">
        <f>IF(L428&lt;&gt;"OK","","INSERT INTO cli_contacto (id_cliente, nombre, apellido_paterno, apellido_materno, telefono1, telefono2, telefono3, email, direccion, es_principal, estado) SELECT "&amp;"(SELECT id FROM cli_clientes WHERE numero_documento = '"&amp;SUBSTITUTE(TRIM(A428),"'","''")&amp;"' AND estado = 1 LIMIT 1)"&amp;", "&amp;IF(TRIM(C428&amp;"")="","NULL","'"&amp;SUBSTITUTE(TRIM(C428),"'","''")&amp;"'")&amp;", "&amp;IF(TRIM(D428&amp;"")="","NULL","'"&amp;SUBSTITUTE(TRIM(D428),"'","''")&amp;"'")&amp;", "&amp;IF(TRIM(E428&amp;"")="","NULL","'"&amp;SUBSTITUTE(TRIM(E428),"'","''")&amp;"'")&amp;", "&amp;IF(TRIM(F428&amp;"")="","NULL","'"&amp;SUBSTITUTE(TRIM(F428),"'","''")&amp;"'")&amp;", "&amp;IF(TRIM(G428&amp;"")="","NULL","'"&amp;SUBSTITUTE(TRIM(G428),"'","''")&amp;"'")&amp;", "&amp;IF(TRIM(H428&amp;"")="","NULL","'"&amp;SUBSTITUTE(TRIM(H428),"'","''")&amp;"'")&amp;", "&amp;IF(TRIM(I428&amp;"")="","NULL","'"&amp;SUBSTITUTE(TRIM(I428),"'","''")&amp;"'")&amp;", "&amp;IF(TRIM(J428&amp;"")="","NULL","'"&amp;SUBSTITUTE(TRIM(J428),"'","''")&amp;"'")&amp;", "&amp;IF(UPPER(TRIM(K428&amp;""))="SI","TRUE","FALSE")&amp;", 1"&amp;" WHERE NOT EXISTS (SELECT 1 FROM cli_contacto c WHERE c.id_cliente = "&amp;"(SELECT id FROM cli_clientes WHERE numero_documento = '"&amp;SUBSTITUTE(TRIM(A428),"'","''")&amp;"' AND estado = 1 LIMIT 1)"&amp;" AND upper(c.nombre) = upper("&amp;IF(TRIM(C428&amp;"")="","NULL","'"&amp;SUBSTITUTE(TRIM(C428),"'","''")&amp;"'")&amp;") AND coalesce(c.telefono1,'') = coalesce("&amp;IF(TRIM(F428&amp;"")="","NULL","'"&amp;SUBSTITUTE(TRIM(F428),"'","''")&amp;"'")&amp;",''));")</f>
        <v/>
      </c>
    </row>
    <row r="429" ht="15.75" customHeight="1" s="64">
      <c r="A429" s="23" t="n"/>
      <c r="B429" s="25">
        <f t="array" ref="B429">IF(A429="","",IFERROR(IF(INDEX(Clientes!$D$5:$D$549,MATCH(A429,Clientes!$C$5:$C$549,0))&lt;&gt;"",INDEX(Clientes!$D$5:$D$549,MATCH(A429,Clientes!$C$5:$C$549,0)),TRIM(INDEX(Clientes!$E$5:$E$549,MATCH(A429,Clientes!$C$5:$C$549,0))&amp;" "&amp;INDEX(Clientes!$F$5:$F$549,MATCH(A429,Clientes!$C$5:$C$549,0)))),"NO EXISTE en Clientes"))</f>
        <v/>
      </c>
      <c r="C429" s="17" t="n"/>
      <c r="D429" s="17" t="n"/>
      <c r="E429" s="17" t="n"/>
      <c r="F429" s="23" t="n"/>
      <c r="G429" s="23" t="n"/>
      <c r="H429" s="23" t="n"/>
      <c r="I429" s="17" t="n"/>
      <c r="J429" s="17" t="n"/>
      <c r="K429" s="17" t="n"/>
      <c r="L429" s="17">
        <f>IF(AND(A429="",C429=""),"",IF(A429="","FALTA doc. cliente",IF(B429="NO EXISTE en Clientes","CLIENTE no está en hoja Clientes",IF(C429="","FALTA nombre",IF(AND(K429="SI",COUNTIFS($A$5:$A$499,A429,$K$5:$K$499,"SI")&gt;1),"Más de un contacto principal para este cliente","OK")))))</f>
        <v/>
      </c>
      <c r="M429" s="28">
        <f>IF(L429&lt;&gt;"OK","","INSERT INTO cli_contacto (id_cliente, nombre, apellido_paterno, apellido_materno, telefono1, telefono2, telefono3, email, direccion, es_principal, estado) SELECT "&amp;"(SELECT id FROM cli_clientes WHERE numero_documento = '"&amp;SUBSTITUTE(TRIM(A429),"'","''")&amp;"' AND estado = 1 LIMIT 1)"&amp;", "&amp;IF(TRIM(C429&amp;"")="","NULL","'"&amp;SUBSTITUTE(TRIM(C429),"'","''")&amp;"'")&amp;", "&amp;IF(TRIM(D429&amp;"")="","NULL","'"&amp;SUBSTITUTE(TRIM(D429),"'","''")&amp;"'")&amp;", "&amp;IF(TRIM(E429&amp;"")="","NULL","'"&amp;SUBSTITUTE(TRIM(E429),"'","''")&amp;"'")&amp;", "&amp;IF(TRIM(F429&amp;"")="","NULL","'"&amp;SUBSTITUTE(TRIM(F429),"'","''")&amp;"'")&amp;", "&amp;IF(TRIM(G429&amp;"")="","NULL","'"&amp;SUBSTITUTE(TRIM(G429),"'","''")&amp;"'")&amp;", "&amp;IF(TRIM(H429&amp;"")="","NULL","'"&amp;SUBSTITUTE(TRIM(H429),"'","''")&amp;"'")&amp;", "&amp;IF(TRIM(I429&amp;"")="","NULL","'"&amp;SUBSTITUTE(TRIM(I429),"'","''")&amp;"'")&amp;", "&amp;IF(TRIM(J429&amp;"")="","NULL","'"&amp;SUBSTITUTE(TRIM(J429),"'","''")&amp;"'")&amp;", "&amp;IF(UPPER(TRIM(K429&amp;""))="SI","TRUE","FALSE")&amp;", 1"&amp;" WHERE NOT EXISTS (SELECT 1 FROM cli_contacto c WHERE c.id_cliente = "&amp;"(SELECT id FROM cli_clientes WHERE numero_documento = '"&amp;SUBSTITUTE(TRIM(A429),"'","''")&amp;"' AND estado = 1 LIMIT 1)"&amp;" AND upper(c.nombre) = upper("&amp;IF(TRIM(C429&amp;"")="","NULL","'"&amp;SUBSTITUTE(TRIM(C429),"'","''")&amp;"'")&amp;") AND coalesce(c.telefono1,'') = coalesce("&amp;IF(TRIM(F429&amp;"")="","NULL","'"&amp;SUBSTITUTE(TRIM(F429),"'","''")&amp;"'")&amp;",''));")</f>
        <v/>
      </c>
    </row>
    <row r="430" ht="15.75" customHeight="1" s="64">
      <c r="A430" s="23" t="n"/>
      <c r="B430" s="25">
        <f t="array" ref="B430">IF(A430="","",IFERROR(IF(INDEX(Clientes!$D$5:$D$549,MATCH(A430,Clientes!$C$5:$C$549,0))&lt;&gt;"",INDEX(Clientes!$D$5:$D$549,MATCH(A430,Clientes!$C$5:$C$549,0)),TRIM(INDEX(Clientes!$E$5:$E$549,MATCH(A430,Clientes!$C$5:$C$549,0))&amp;" "&amp;INDEX(Clientes!$F$5:$F$549,MATCH(A430,Clientes!$C$5:$C$549,0)))),"NO EXISTE en Clientes"))</f>
        <v/>
      </c>
      <c r="C430" s="17" t="n"/>
      <c r="D430" s="17" t="n"/>
      <c r="E430" s="17" t="n"/>
      <c r="F430" s="23" t="n"/>
      <c r="G430" s="23" t="n"/>
      <c r="H430" s="23" t="n"/>
      <c r="I430" s="17" t="n"/>
      <c r="J430" s="17" t="n"/>
      <c r="K430" s="17" t="n"/>
      <c r="L430" s="17">
        <f>IF(AND(A430="",C430=""),"",IF(A430="","FALTA doc. cliente",IF(B430="NO EXISTE en Clientes","CLIENTE no está en hoja Clientes",IF(C430="","FALTA nombre",IF(AND(K430="SI",COUNTIFS($A$5:$A$499,A430,$K$5:$K$499,"SI")&gt;1),"Más de un contacto principal para este cliente","OK")))))</f>
        <v/>
      </c>
      <c r="M430" s="28">
        <f>IF(L430&lt;&gt;"OK","","INSERT INTO cli_contacto (id_cliente, nombre, apellido_paterno, apellido_materno, telefono1, telefono2, telefono3, email, direccion, es_principal, estado) SELECT "&amp;"(SELECT id FROM cli_clientes WHERE numero_documento = '"&amp;SUBSTITUTE(TRIM(A430),"'","''")&amp;"' AND estado = 1 LIMIT 1)"&amp;", "&amp;IF(TRIM(C430&amp;"")="","NULL","'"&amp;SUBSTITUTE(TRIM(C430),"'","''")&amp;"'")&amp;", "&amp;IF(TRIM(D430&amp;"")="","NULL","'"&amp;SUBSTITUTE(TRIM(D430),"'","''")&amp;"'")&amp;", "&amp;IF(TRIM(E430&amp;"")="","NULL","'"&amp;SUBSTITUTE(TRIM(E430),"'","''")&amp;"'")&amp;", "&amp;IF(TRIM(F430&amp;"")="","NULL","'"&amp;SUBSTITUTE(TRIM(F430),"'","''")&amp;"'")&amp;", "&amp;IF(TRIM(G430&amp;"")="","NULL","'"&amp;SUBSTITUTE(TRIM(G430),"'","''")&amp;"'")&amp;", "&amp;IF(TRIM(H430&amp;"")="","NULL","'"&amp;SUBSTITUTE(TRIM(H430),"'","''")&amp;"'")&amp;", "&amp;IF(TRIM(I430&amp;"")="","NULL","'"&amp;SUBSTITUTE(TRIM(I430),"'","''")&amp;"'")&amp;", "&amp;IF(TRIM(J430&amp;"")="","NULL","'"&amp;SUBSTITUTE(TRIM(J430),"'","''")&amp;"'")&amp;", "&amp;IF(UPPER(TRIM(K430&amp;""))="SI","TRUE","FALSE")&amp;", 1"&amp;" WHERE NOT EXISTS (SELECT 1 FROM cli_contacto c WHERE c.id_cliente = "&amp;"(SELECT id FROM cli_clientes WHERE numero_documento = '"&amp;SUBSTITUTE(TRIM(A430),"'","''")&amp;"' AND estado = 1 LIMIT 1)"&amp;" AND upper(c.nombre) = upper("&amp;IF(TRIM(C430&amp;"")="","NULL","'"&amp;SUBSTITUTE(TRIM(C430),"'","''")&amp;"'")&amp;") AND coalesce(c.telefono1,'') = coalesce("&amp;IF(TRIM(F430&amp;"")="","NULL","'"&amp;SUBSTITUTE(TRIM(F430),"'","''")&amp;"'")&amp;",''));")</f>
        <v/>
      </c>
    </row>
    <row r="431" ht="15.75" customHeight="1" s="64">
      <c r="A431" s="23" t="n"/>
      <c r="B431" s="25">
        <f t="array" ref="B431">IF(A431="","",IFERROR(IF(INDEX(Clientes!$D$5:$D$549,MATCH(A431,Clientes!$C$5:$C$549,0))&lt;&gt;"",INDEX(Clientes!$D$5:$D$549,MATCH(A431,Clientes!$C$5:$C$549,0)),TRIM(INDEX(Clientes!$E$5:$E$549,MATCH(A431,Clientes!$C$5:$C$549,0))&amp;" "&amp;INDEX(Clientes!$F$5:$F$549,MATCH(A431,Clientes!$C$5:$C$549,0)))),"NO EXISTE en Clientes"))</f>
        <v/>
      </c>
      <c r="C431" s="17" t="n"/>
      <c r="D431" s="17" t="n"/>
      <c r="E431" s="17" t="n"/>
      <c r="F431" s="23" t="n"/>
      <c r="G431" s="23" t="n"/>
      <c r="H431" s="23" t="n"/>
      <c r="I431" s="17" t="n"/>
      <c r="J431" s="17" t="n"/>
      <c r="K431" s="17" t="n"/>
      <c r="L431" s="17">
        <f>IF(AND(A431="",C431=""),"",IF(A431="","FALTA doc. cliente",IF(B431="NO EXISTE en Clientes","CLIENTE no está en hoja Clientes",IF(C431="","FALTA nombre",IF(AND(K431="SI",COUNTIFS($A$5:$A$499,A431,$K$5:$K$499,"SI")&gt;1),"Más de un contacto principal para este cliente","OK")))))</f>
        <v/>
      </c>
      <c r="M431" s="28">
        <f>IF(L431&lt;&gt;"OK","","INSERT INTO cli_contacto (id_cliente, nombre, apellido_paterno, apellido_materno, telefono1, telefono2, telefono3, email, direccion, es_principal, estado) SELECT "&amp;"(SELECT id FROM cli_clientes WHERE numero_documento = '"&amp;SUBSTITUTE(TRIM(A431),"'","''")&amp;"' AND estado = 1 LIMIT 1)"&amp;", "&amp;IF(TRIM(C431&amp;"")="","NULL","'"&amp;SUBSTITUTE(TRIM(C431),"'","''")&amp;"'")&amp;", "&amp;IF(TRIM(D431&amp;"")="","NULL","'"&amp;SUBSTITUTE(TRIM(D431),"'","''")&amp;"'")&amp;", "&amp;IF(TRIM(E431&amp;"")="","NULL","'"&amp;SUBSTITUTE(TRIM(E431),"'","''")&amp;"'")&amp;", "&amp;IF(TRIM(F431&amp;"")="","NULL","'"&amp;SUBSTITUTE(TRIM(F431),"'","''")&amp;"'")&amp;", "&amp;IF(TRIM(G431&amp;"")="","NULL","'"&amp;SUBSTITUTE(TRIM(G431),"'","''")&amp;"'")&amp;", "&amp;IF(TRIM(H431&amp;"")="","NULL","'"&amp;SUBSTITUTE(TRIM(H431),"'","''")&amp;"'")&amp;", "&amp;IF(TRIM(I431&amp;"")="","NULL","'"&amp;SUBSTITUTE(TRIM(I431),"'","''")&amp;"'")&amp;", "&amp;IF(TRIM(J431&amp;"")="","NULL","'"&amp;SUBSTITUTE(TRIM(J431),"'","''")&amp;"'")&amp;", "&amp;IF(UPPER(TRIM(K431&amp;""))="SI","TRUE","FALSE")&amp;", 1"&amp;" WHERE NOT EXISTS (SELECT 1 FROM cli_contacto c WHERE c.id_cliente = "&amp;"(SELECT id FROM cli_clientes WHERE numero_documento = '"&amp;SUBSTITUTE(TRIM(A431),"'","''")&amp;"' AND estado = 1 LIMIT 1)"&amp;" AND upper(c.nombre) = upper("&amp;IF(TRIM(C431&amp;"")="","NULL","'"&amp;SUBSTITUTE(TRIM(C431),"'","''")&amp;"'")&amp;") AND coalesce(c.telefono1,'') = coalesce("&amp;IF(TRIM(F431&amp;"")="","NULL","'"&amp;SUBSTITUTE(TRIM(F431),"'","''")&amp;"'")&amp;",''));")</f>
        <v/>
      </c>
    </row>
    <row r="432" ht="15.75" customHeight="1" s="64">
      <c r="A432" s="23" t="n"/>
      <c r="B432" s="25">
        <f t="array" ref="B432">IF(A432="","",IFERROR(IF(INDEX(Clientes!$D$5:$D$549,MATCH(A432,Clientes!$C$5:$C$549,0))&lt;&gt;"",INDEX(Clientes!$D$5:$D$549,MATCH(A432,Clientes!$C$5:$C$549,0)),TRIM(INDEX(Clientes!$E$5:$E$549,MATCH(A432,Clientes!$C$5:$C$549,0))&amp;" "&amp;INDEX(Clientes!$F$5:$F$549,MATCH(A432,Clientes!$C$5:$C$549,0)))),"NO EXISTE en Clientes"))</f>
        <v/>
      </c>
      <c r="C432" s="17" t="n"/>
      <c r="D432" s="17" t="n"/>
      <c r="E432" s="17" t="n"/>
      <c r="F432" s="23" t="n"/>
      <c r="G432" s="23" t="n"/>
      <c r="H432" s="23" t="n"/>
      <c r="I432" s="17" t="n"/>
      <c r="J432" s="17" t="n"/>
      <c r="K432" s="17" t="n"/>
      <c r="L432" s="17">
        <f>IF(AND(A432="",C432=""),"",IF(A432="","FALTA doc. cliente",IF(B432="NO EXISTE en Clientes","CLIENTE no está en hoja Clientes",IF(C432="","FALTA nombre",IF(AND(K432="SI",COUNTIFS($A$5:$A$499,A432,$K$5:$K$499,"SI")&gt;1),"Más de un contacto principal para este cliente","OK")))))</f>
        <v/>
      </c>
      <c r="M432" s="28">
        <f>IF(L432&lt;&gt;"OK","","INSERT INTO cli_contacto (id_cliente, nombre, apellido_paterno, apellido_materno, telefono1, telefono2, telefono3, email, direccion, es_principal, estado) SELECT "&amp;"(SELECT id FROM cli_clientes WHERE numero_documento = '"&amp;SUBSTITUTE(TRIM(A432),"'","''")&amp;"' AND estado = 1 LIMIT 1)"&amp;", "&amp;IF(TRIM(C432&amp;"")="","NULL","'"&amp;SUBSTITUTE(TRIM(C432),"'","''")&amp;"'")&amp;", "&amp;IF(TRIM(D432&amp;"")="","NULL","'"&amp;SUBSTITUTE(TRIM(D432),"'","''")&amp;"'")&amp;", "&amp;IF(TRIM(E432&amp;"")="","NULL","'"&amp;SUBSTITUTE(TRIM(E432),"'","''")&amp;"'")&amp;", "&amp;IF(TRIM(F432&amp;"")="","NULL","'"&amp;SUBSTITUTE(TRIM(F432),"'","''")&amp;"'")&amp;", "&amp;IF(TRIM(G432&amp;"")="","NULL","'"&amp;SUBSTITUTE(TRIM(G432),"'","''")&amp;"'")&amp;", "&amp;IF(TRIM(H432&amp;"")="","NULL","'"&amp;SUBSTITUTE(TRIM(H432),"'","''")&amp;"'")&amp;", "&amp;IF(TRIM(I432&amp;"")="","NULL","'"&amp;SUBSTITUTE(TRIM(I432),"'","''")&amp;"'")&amp;", "&amp;IF(TRIM(J432&amp;"")="","NULL","'"&amp;SUBSTITUTE(TRIM(J432),"'","''")&amp;"'")&amp;", "&amp;IF(UPPER(TRIM(K432&amp;""))="SI","TRUE","FALSE")&amp;", 1"&amp;" WHERE NOT EXISTS (SELECT 1 FROM cli_contacto c WHERE c.id_cliente = "&amp;"(SELECT id FROM cli_clientes WHERE numero_documento = '"&amp;SUBSTITUTE(TRIM(A432),"'","''")&amp;"' AND estado = 1 LIMIT 1)"&amp;" AND upper(c.nombre) = upper("&amp;IF(TRIM(C432&amp;"")="","NULL","'"&amp;SUBSTITUTE(TRIM(C432),"'","''")&amp;"'")&amp;") AND coalesce(c.telefono1,'') = coalesce("&amp;IF(TRIM(F432&amp;"")="","NULL","'"&amp;SUBSTITUTE(TRIM(F432),"'","''")&amp;"'")&amp;",''));")</f>
        <v/>
      </c>
    </row>
    <row r="433" ht="15.75" customHeight="1" s="64">
      <c r="A433" s="23" t="n"/>
      <c r="B433" s="25">
        <f t="array" ref="B433">IF(A433="","",IFERROR(IF(INDEX(Clientes!$D$5:$D$549,MATCH(A433,Clientes!$C$5:$C$549,0))&lt;&gt;"",INDEX(Clientes!$D$5:$D$549,MATCH(A433,Clientes!$C$5:$C$549,0)),TRIM(INDEX(Clientes!$E$5:$E$549,MATCH(A433,Clientes!$C$5:$C$549,0))&amp;" "&amp;INDEX(Clientes!$F$5:$F$549,MATCH(A433,Clientes!$C$5:$C$549,0)))),"NO EXISTE en Clientes"))</f>
        <v/>
      </c>
      <c r="C433" s="17" t="n"/>
      <c r="D433" s="17" t="n"/>
      <c r="E433" s="17" t="n"/>
      <c r="F433" s="23" t="n"/>
      <c r="G433" s="23" t="n"/>
      <c r="H433" s="23" t="n"/>
      <c r="I433" s="17" t="n"/>
      <c r="J433" s="17" t="n"/>
      <c r="K433" s="17" t="n"/>
      <c r="L433" s="17">
        <f>IF(AND(A433="",C433=""),"",IF(A433="","FALTA doc. cliente",IF(B433="NO EXISTE en Clientes","CLIENTE no está en hoja Clientes",IF(C433="","FALTA nombre",IF(AND(K433="SI",COUNTIFS($A$5:$A$499,A433,$K$5:$K$499,"SI")&gt;1),"Más de un contacto principal para este cliente","OK")))))</f>
        <v/>
      </c>
      <c r="M433" s="28">
        <f>IF(L433&lt;&gt;"OK","","INSERT INTO cli_contacto (id_cliente, nombre, apellido_paterno, apellido_materno, telefono1, telefono2, telefono3, email, direccion, es_principal, estado) SELECT "&amp;"(SELECT id FROM cli_clientes WHERE numero_documento = '"&amp;SUBSTITUTE(TRIM(A433),"'","''")&amp;"' AND estado = 1 LIMIT 1)"&amp;", "&amp;IF(TRIM(C433&amp;"")="","NULL","'"&amp;SUBSTITUTE(TRIM(C433),"'","''")&amp;"'")&amp;", "&amp;IF(TRIM(D433&amp;"")="","NULL","'"&amp;SUBSTITUTE(TRIM(D433),"'","''")&amp;"'")&amp;", "&amp;IF(TRIM(E433&amp;"")="","NULL","'"&amp;SUBSTITUTE(TRIM(E433),"'","''")&amp;"'")&amp;", "&amp;IF(TRIM(F433&amp;"")="","NULL","'"&amp;SUBSTITUTE(TRIM(F433),"'","''")&amp;"'")&amp;", "&amp;IF(TRIM(G433&amp;"")="","NULL","'"&amp;SUBSTITUTE(TRIM(G433),"'","''")&amp;"'")&amp;", "&amp;IF(TRIM(H433&amp;"")="","NULL","'"&amp;SUBSTITUTE(TRIM(H433),"'","''")&amp;"'")&amp;", "&amp;IF(TRIM(I433&amp;"")="","NULL","'"&amp;SUBSTITUTE(TRIM(I433),"'","''")&amp;"'")&amp;", "&amp;IF(TRIM(J433&amp;"")="","NULL","'"&amp;SUBSTITUTE(TRIM(J433),"'","''")&amp;"'")&amp;", "&amp;IF(UPPER(TRIM(K433&amp;""))="SI","TRUE","FALSE")&amp;", 1"&amp;" WHERE NOT EXISTS (SELECT 1 FROM cli_contacto c WHERE c.id_cliente = "&amp;"(SELECT id FROM cli_clientes WHERE numero_documento = '"&amp;SUBSTITUTE(TRIM(A433),"'","''")&amp;"' AND estado = 1 LIMIT 1)"&amp;" AND upper(c.nombre) = upper("&amp;IF(TRIM(C433&amp;"")="","NULL","'"&amp;SUBSTITUTE(TRIM(C433),"'","''")&amp;"'")&amp;") AND coalesce(c.telefono1,'') = coalesce("&amp;IF(TRIM(F433&amp;"")="","NULL","'"&amp;SUBSTITUTE(TRIM(F433),"'","''")&amp;"'")&amp;",''));")</f>
        <v/>
      </c>
    </row>
    <row r="434" ht="15.75" customHeight="1" s="64">
      <c r="A434" s="23" t="n"/>
      <c r="B434" s="25">
        <f t="array" ref="B434">IF(A434="","",IFERROR(IF(INDEX(Clientes!$D$5:$D$549,MATCH(A434,Clientes!$C$5:$C$549,0))&lt;&gt;"",INDEX(Clientes!$D$5:$D$549,MATCH(A434,Clientes!$C$5:$C$549,0)),TRIM(INDEX(Clientes!$E$5:$E$549,MATCH(A434,Clientes!$C$5:$C$549,0))&amp;" "&amp;INDEX(Clientes!$F$5:$F$549,MATCH(A434,Clientes!$C$5:$C$549,0)))),"NO EXISTE en Clientes"))</f>
        <v/>
      </c>
      <c r="C434" s="17" t="n"/>
      <c r="D434" s="17" t="n"/>
      <c r="E434" s="17" t="n"/>
      <c r="F434" s="23" t="n"/>
      <c r="G434" s="23" t="n"/>
      <c r="H434" s="23" t="n"/>
      <c r="I434" s="17" t="n"/>
      <c r="J434" s="17" t="n"/>
      <c r="K434" s="17" t="n"/>
      <c r="L434" s="17">
        <f>IF(AND(A434="",C434=""),"",IF(A434="","FALTA doc. cliente",IF(B434="NO EXISTE en Clientes","CLIENTE no está en hoja Clientes",IF(C434="","FALTA nombre",IF(AND(K434="SI",COUNTIFS($A$5:$A$499,A434,$K$5:$K$499,"SI")&gt;1),"Más de un contacto principal para este cliente","OK")))))</f>
        <v/>
      </c>
      <c r="M434" s="28">
        <f>IF(L434&lt;&gt;"OK","","INSERT INTO cli_contacto (id_cliente, nombre, apellido_paterno, apellido_materno, telefono1, telefono2, telefono3, email, direccion, es_principal, estado) SELECT "&amp;"(SELECT id FROM cli_clientes WHERE numero_documento = '"&amp;SUBSTITUTE(TRIM(A434),"'","''")&amp;"' AND estado = 1 LIMIT 1)"&amp;", "&amp;IF(TRIM(C434&amp;"")="","NULL","'"&amp;SUBSTITUTE(TRIM(C434),"'","''")&amp;"'")&amp;", "&amp;IF(TRIM(D434&amp;"")="","NULL","'"&amp;SUBSTITUTE(TRIM(D434),"'","''")&amp;"'")&amp;", "&amp;IF(TRIM(E434&amp;"")="","NULL","'"&amp;SUBSTITUTE(TRIM(E434),"'","''")&amp;"'")&amp;", "&amp;IF(TRIM(F434&amp;"")="","NULL","'"&amp;SUBSTITUTE(TRIM(F434),"'","''")&amp;"'")&amp;", "&amp;IF(TRIM(G434&amp;"")="","NULL","'"&amp;SUBSTITUTE(TRIM(G434),"'","''")&amp;"'")&amp;", "&amp;IF(TRIM(H434&amp;"")="","NULL","'"&amp;SUBSTITUTE(TRIM(H434),"'","''")&amp;"'")&amp;", "&amp;IF(TRIM(I434&amp;"")="","NULL","'"&amp;SUBSTITUTE(TRIM(I434),"'","''")&amp;"'")&amp;", "&amp;IF(TRIM(J434&amp;"")="","NULL","'"&amp;SUBSTITUTE(TRIM(J434),"'","''")&amp;"'")&amp;", "&amp;IF(UPPER(TRIM(K434&amp;""))="SI","TRUE","FALSE")&amp;", 1"&amp;" WHERE NOT EXISTS (SELECT 1 FROM cli_contacto c WHERE c.id_cliente = "&amp;"(SELECT id FROM cli_clientes WHERE numero_documento = '"&amp;SUBSTITUTE(TRIM(A434),"'","''")&amp;"' AND estado = 1 LIMIT 1)"&amp;" AND upper(c.nombre) = upper("&amp;IF(TRIM(C434&amp;"")="","NULL","'"&amp;SUBSTITUTE(TRIM(C434),"'","''")&amp;"'")&amp;") AND coalesce(c.telefono1,'') = coalesce("&amp;IF(TRIM(F434&amp;"")="","NULL","'"&amp;SUBSTITUTE(TRIM(F434),"'","''")&amp;"'")&amp;",''));")</f>
        <v/>
      </c>
    </row>
    <row r="435" ht="15.75" customHeight="1" s="64">
      <c r="A435" s="23" t="n"/>
      <c r="B435" s="25">
        <f t="array" ref="B435">IF(A435="","",IFERROR(IF(INDEX(Clientes!$D$5:$D$549,MATCH(A435,Clientes!$C$5:$C$549,0))&lt;&gt;"",INDEX(Clientes!$D$5:$D$549,MATCH(A435,Clientes!$C$5:$C$549,0)),TRIM(INDEX(Clientes!$E$5:$E$549,MATCH(A435,Clientes!$C$5:$C$549,0))&amp;" "&amp;INDEX(Clientes!$F$5:$F$549,MATCH(A435,Clientes!$C$5:$C$549,0)))),"NO EXISTE en Clientes"))</f>
        <v/>
      </c>
      <c r="C435" s="17" t="n"/>
      <c r="D435" s="17" t="n"/>
      <c r="E435" s="17" t="n"/>
      <c r="F435" s="23" t="n"/>
      <c r="G435" s="23" t="n"/>
      <c r="H435" s="23" t="n"/>
      <c r="I435" s="17" t="n"/>
      <c r="J435" s="17" t="n"/>
      <c r="K435" s="17" t="n"/>
      <c r="L435" s="17">
        <f>IF(AND(A435="",C435=""),"",IF(A435="","FALTA doc. cliente",IF(B435="NO EXISTE en Clientes","CLIENTE no está en hoja Clientes",IF(C435="","FALTA nombre",IF(AND(K435="SI",COUNTIFS($A$5:$A$499,A435,$K$5:$K$499,"SI")&gt;1),"Más de un contacto principal para este cliente","OK")))))</f>
        <v/>
      </c>
      <c r="M435" s="28">
        <f>IF(L435&lt;&gt;"OK","","INSERT INTO cli_contacto (id_cliente, nombre, apellido_paterno, apellido_materno, telefono1, telefono2, telefono3, email, direccion, es_principal, estado) SELECT "&amp;"(SELECT id FROM cli_clientes WHERE numero_documento = '"&amp;SUBSTITUTE(TRIM(A435),"'","''")&amp;"' AND estado = 1 LIMIT 1)"&amp;", "&amp;IF(TRIM(C435&amp;"")="","NULL","'"&amp;SUBSTITUTE(TRIM(C435),"'","''")&amp;"'")&amp;", "&amp;IF(TRIM(D435&amp;"")="","NULL","'"&amp;SUBSTITUTE(TRIM(D435),"'","''")&amp;"'")&amp;", "&amp;IF(TRIM(E435&amp;"")="","NULL","'"&amp;SUBSTITUTE(TRIM(E435),"'","''")&amp;"'")&amp;", "&amp;IF(TRIM(F435&amp;"")="","NULL","'"&amp;SUBSTITUTE(TRIM(F435),"'","''")&amp;"'")&amp;", "&amp;IF(TRIM(G435&amp;"")="","NULL","'"&amp;SUBSTITUTE(TRIM(G435),"'","''")&amp;"'")&amp;", "&amp;IF(TRIM(H435&amp;"")="","NULL","'"&amp;SUBSTITUTE(TRIM(H435),"'","''")&amp;"'")&amp;", "&amp;IF(TRIM(I435&amp;"")="","NULL","'"&amp;SUBSTITUTE(TRIM(I435),"'","''")&amp;"'")&amp;", "&amp;IF(TRIM(J435&amp;"")="","NULL","'"&amp;SUBSTITUTE(TRIM(J435),"'","''")&amp;"'")&amp;", "&amp;IF(UPPER(TRIM(K435&amp;""))="SI","TRUE","FALSE")&amp;", 1"&amp;" WHERE NOT EXISTS (SELECT 1 FROM cli_contacto c WHERE c.id_cliente = "&amp;"(SELECT id FROM cli_clientes WHERE numero_documento = '"&amp;SUBSTITUTE(TRIM(A435),"'","''")&amp;"' AND estado = 1 LIMIT 1)"&amp;" AND upper(c.nombre) = upper("&amp;IF(TRIM(C435&amp;"")="","NULL","'"&amp;SUBSTITUTE(TRIM(C435),"'","''")&amp;"'")&amp;") AND coalesce(c.telefono1,'') = coalesce("&amp;IF(TRIM(F435&amp;"")="","NULL","'"&amp;SUBSTITUTE(TRIM(F435),"'","''")&amp;"'")&amp;",''));")</f>
        <v/>
      </c>
    </row>
    <row r="436" ht="15.75" customHeight="1" s="64">
      <c r="A436" s="23" t="n"/>
      <c r="B436" s="25">
        <f t="array" ref="B436">IF(A436="","",IFERROR(IF(INDEX(Clientes!$D$5:$D$549,MATCH(A436,Clientes!$C$5:$C$549,0))&lt;&gt;"",INDEX(Clientes!$D$5:$D$549,MATCH(A436,Clientes!$C$5:$C$549,0)),TRIM(INDEX(Clientes!$E$5:$E$549,MATCH(A436,Clientes!$C$5:$C$549,0))&amp;" "&amp;INDEX(Clientes!$F$5:$F$549,MATCH(A436,Clientes!$C$5:$C$549,0)))),"NO EXISTE en Clientes"))</f>
        <v/>
      </c>
      <c r="C436" s="17" t="n"/>
      <c r="D436" s="17" t="n"/>
      <c r="E436" s="17" t="n"/>
      <c r="F436" s="23" t="n"/>
      <c r="G436" s="23" t="n"/>
      <c r="H436" s="23" t="n"/>
      <c r="I436" s="17" t="n"/>
      <c r="J436" s="17" t="n"/>
      <c r="K436" s="17" t="n"/>
      <c r="L436" s="17">
        <f>IF(AND(A436="",C436=""),"",IF(A436="","FALTA doc. cliente",IF(B436="NO EXISTE en Clientes","CLIENTE no está en hoja Clientes",IF(C436="","FALTA nombre",IF(AND(K436="SI",COUNTIFS($A$5:$A$499,A436,$K$5:$K$499,"SI")&gt;1),"Más de un contacto principal para este cliente","OK")))))</f>
        <v/>
      </c>
      <c r="M436" s="28">
        <f>IF(L436&lt;&gt;"OK","","INSERT INTO cli_contacto (id_cliente, nombre, apellido_paterno, apellido_materno, telefono1, telefono2, telefono3, email, direccion, es_principal, estado) SELECT "&amp;"(SELECT id FROM cli_clientes WHERE numero_documento = '"&amp;SUBSTITUTE(TRIM(A436),"'","''")&amp;"' AND estado = 1 LIMIT 1)"&amp;", "&amp;IF(TRIM(C436&amp;"")="","NULL","'"&amp;SUBSTITUTE(TRIM(C436),"'","''")&amp;"'")&amp;", "&amp;IF(TRIM(D436&amp;"")="","NULL","'"&amp;SUBSTITUTE(TRIM(D436),"'","''")&amp;"'")&amp;", "&amp;IF(TRIM(E436&amp;"")="","NULL","'"&amp;SUBSTITUTE(TRIM(E436),"'","''")&amp;"'")&amp;", "&amp;IF(TRIM(F436&amp;"")="","NULL","'"&amp;SUBSTITUTE(TRIM(F436),"'","''")&amp;"'")&amp;", "&amp;IF(TRIM(G436&amp;"")="","NULL","'"&amp;SUBSTITUTE(TRIM(G436),"'","''")&amp;"'")&amp;", "&amp;IF(TRIM(H436&amp;"")="","NULL","'"&amp;SUBSTITUTE(TRIM(H436),"'","''")&amp;"'")&amp;", "&amp;IF(TRIM(I436&amp;"")="","NULL","'"&amp;SUBSTITUTE(TRIM(I436),"'","''")&amp;"'")&amp;", "&amp;IF(TRIM(J436&amp;"")="","NULL","'"&amp;SUBSTITUTE(TRIM(J436),"'","''")&amp;"'")&amp;", "&amp;IF(UPPER(TRIM(K436&amp;""))="SI","TRUE","FALSE")&amp;", 1"&amp;" WHERE NOT EXISTS (SELECT 1 FROM cli_contacto c WHERE c.id_cliente = "&amp;"(SELECT id FROM cli_clientes WHERE numero_documento = '"&amp;SUBSTITUTE(TRIM(A436),"'","''")&amp;"' AND estado = 1 LIMIT 1)"&amp;" AND upper(c.nombre) = upper("&amp;IF(TRIM(C436&amp;"")="","NULL","'"&amp;SUBSTITUTE(TRIM(C436),"'","''")&amp;"'")&amp;") AND coalesce(c.telefono1,'') = coalesce("&amp;IF(TRIM(F436&amp;"")="","NULL","'"&amp;SUBSTITUTE(TRIM(F436),"'","''")&amp;"'")&amp;",''));")</f>
        <v/>
      </c>
    </row>
    <row r="437" ht="15.75" customHeight="1" s="64">
      <c r="A437" s="23" t="n"/>
      <c r="B437" s="25">
        <f t="array" ref="B437">IF(A437="","",IFERROR(IF(INDEX(Clientes!$D$5:$D$549,MATCH(A437,Clientes!$C$5:$C$549,0))&lt;&gt;"",INDEX(Clientes!$D$5:$D$549,MATCH(A437,Clientes!$C$5:$C$549,0)),TRIM(INDEX(Clientes!$E$5:$E$549,MATCH(A437,Clientes!$C$5:$C$549,0))&amp;" "&amp;INDEX(Clientes!$F$5:$F$549,MATCH(A437,Clientes!$C$5:$C$549,0)))),"NO EXISTE en Clientes"))</f>
        <v/>
      </c>
      <c r="C437" s="17" t="n"/>
      <c r="D437" s="17" t="n"/>
      <c r="E437" s="17" t="n"/>
      <c r="F437" s="23" t="n"/>
      <c r="G437" s="23" t="n"/>
      <c r="H437" s="23" t="n"/>
      <c r="I437" s="17" t="n"/>
      <c r="J437" s="17" t="n"/>
      <c r="K437" s="17" t="n"/>
      <c r="L437" s="17">
        <f>IF(AND(A437="",C437=""),"",IF(A437="","FALTA doc. cliente",IF(B437="NO EXISTE en Clientes","CLIENTE no está en hoja Clientes",IF(C437="","FALTA nombre",IF(AND(K437="SI",COUNTIFS($A$5:$A$499,A437,$K$5:$K$499,"SI")&gt;1),"Más de un contacto principal para este cliente","OK")))))</f>
        <v/>
      </c>
      <c r="M437" s="28">
        <f>IF(L437&lt;&gt;"OK","","INSERT INTO cli_contacto (id_cliente, nombre, apellido_paterno, apellido_materno, telefono1, telefono2, telefono3, email, direccion, es_principal, estado) SELECT "&amp;"(SELECT id FROM cli_clientes WHERE numero_documento = '"&amp;SUBSTITUTE(TRIM(A437),"'","''")&amp;"' AND estado = 1 LIMIT 1)"&amp;", "&amp;IF(TRIM(C437&amp;"")="","NULL","'"&amp;SUBSTITUTE(TRIM(C437),"'","''")&amp;"'")&amp;", "&amp;IF(TRIM(D437&amp;"")="","NULL","'"&amp;SUBSTITUTE(TRIM(D437),"'","''")&amp;"'")&amp;", "&amp;IF(TRIM(E437&amp;"")="","NULL","'"&amp;SUBSTITUTE(TRIM(E437),"'","''")&amp;"'")&amp;", "&amp;IF(TRIM(F437&amp;"")="","NULL","'"&amp;SUBSTITUTE(TRIM(F437),"'","''")&amp;"'")&amp;", "&amp;IF(TRIM(G437&amp;"")="","NULL","'"&amp;SUBSTITUTE(TRIM(G437),"'","''")&amp;"'")&amp;", "&amp;IF(TRIM(H437&amp;"")="","NULL","'"&amp;SUBSTITUTE(TRIM(H437),"'","''")&amp;"'")&amp;", "&amp;IF(TRIM(I437&amp;"")="","NULL","'"&amp;SUBSTITUTE(TRIM(I437),"'","''")&amp;"'")&amp;", "&amp;IF(TRIM(J437&amp;"")="","NULL","'"&amp;SUBSTITUTE(TRIM(J437),"'","''")&amp;"'")&amp;", "&amp;IF(UPPER(TRIM(K437&amp;""))="SI","TRUE","FALSE")&amp;", 1"&amp;" WHERE NOT EXISTS (SELECT 1 FROM cli_contacto c WHERE c.id_cliente = "&amp;"(SELECT id FROM cli_clientes WHERE numero_documento = '"&amp;SUBSTITUTE(TRIM(A437),"'","''")&amp;"' AND estado = 1 LIMIT 1)"&amp;" AND upper(c.nombre) = upper("&amp;IF(TRIM(C437&amp;"")="","NULL","'"&amp;SUBSTITUTE(TRIM(C437),"'","''")&amp;"'")&amp;") AND coalesce(c.telefono1,'') = coalesce("&amp;IF(TRIM(F437&amp;"")="","NULL","'"&amp;SUBSTITUTE(TRIM(F437),"'","''")&amp;"'")&amp;",''));")</f>
        <v/>
      </c>
    </row>
    <row r="438" ht="15.75" customHeight="1" s="64">
      <c r="A438" s="23" t="n"/>
      <c r="B438" s="25">
        <f t="array" ref="B438">IF(A438="","",IFERROR(IF(INDEX(Clientes!$D$5:$D$549,MATCH(A438,Clientes!$C$5:$C$549,0))&lt;&gt;"",INDEX(Clientes!$D$5:$D$549,MATCH(A438,Clientes!$C$5:$C$549,0)),TRIM(INDEX(Clientes!$E$5:$E$549,MATCH(A438,Clientes!$C$5:$C$549,0))&amp;" "&amp;INDEX(Clientes!$F$5:$F$549,MATCH(A438,Clientes!$C$5:$C$549,0)))),"NO EXISTE en Clientes"))</f>
        <v/>
      </c>
      <c r="C438" s="17" t="n"/>
      <c r="D438" s="17" t="n"/>
      <c r="E438" s="17" t="n"/>
      <c r="F438" s="23" t="n"/>
      <c r="G438" s="23" t="n"/>
      <c r="H438" s="23" t="n"/>
      <c r="I438" s="17" t="n"/>
      <c r="J438" s="17" t="n"/>
      <c r="K438" s="17" t="n"/>
      <c r="L438" s="17">
        <f>IF(AND(A438="",C438=""),"",IF(A438="","FALTA doc. cliente",IF(B438="NO EXISTE en Clientes","CLIENTE no está en hoja Clientes",IF(C438="","FALTA nombre",IF(AND(K438="SI",COUNTIFS($A$5:$A$499,A438,$K$5:$K$499,"SI")&gt;1),"Más de un contacto principal para este cliente","OK")))))</f>
        <v/>
      </c>
      <c r="M438" s="28">
        <f>IF(L438&lt;&gt;"OK","","INSERT INTO cli_contacto (id_cliente, nombre, apellido_paterno, apellido_materno, telefono1, telefono2, telefono3, email, direccion, es_principal, estado) SELECT "&amp;"(SELECT id FROM cli_clientes WHERE numero_documento = '"&amp;SUBSTITUTE(TRIM(A438),"'","''")&amp;"' AND estado = 1 LIMIT 1)"&amp;", "&amp;IF(TRIM(C438&amp;"")="","NULL","'"&amp;SUBSTITUTE(TRIM(C438),"'","''")&amp;"'")&amp;", "&amp;IF(TRIM(D438&amp;"")="","NULL","'"&amp;SUBSTITUTE(TRIM(D438),"'","''")&amp;"'")&amp;", "&amp;IF(TRIM(E438&amp;"")="","NULL","'"&amp;SUBSTITUTE(TRIM(E438),"'","''")&amp;"'")&amp;", "&amp;IF(TRIM(F438&amp;"")="","NULL","'"&amp;SUBSTITUTE(TRIM(F438),"'","''")&amp;"'")&amp;", "&amp;IF(TRIM(G438&amp;"")="","NULL","'"&amp;SUBSTITUTE(TRIM(G438),"'","''")&amp;"'")&amp;", "&amp;IF(TRIM(H438&amp;"")="","NULL","'"&amp;SUBSTITUTE(TRIM(H438),"'","''")&amp;"'")&amp;", "&amp;IF(TRIM(I438&amp;"")="","NULL","'"&amp;SUBSTITUTE(TRIM(I438),"'","''")&amp;"'")&amp;", "&amp;IF(TRIM(J438&amp;"")="","NULL","'"&amp;SUBSTITUTE(TRIM(J438),"'","''")&amp;"'")&amp;", "&amp;IF(UPPER(TRIM(K438&amp;""))="SI","TRUE","FALSE")&amp;", 1"&amp;" WHERE NOT EXISTS (SELECT 1 FROM cli_contacto c WHERE c.id_cliente = "&amp;"(SELECT id FROM cli_clientes WHERE numero_documento = '"&amp;SUBSTITUTE(TRIM(A438),"'","''")&amp;"' AND estado = 1 LIMIT 1)"&amp;" AND upper(c.nombre) = upper("&amp;IF(TRIM(C438&amp;"")="","NULL","'"&amp;SUBSTITUTE(TRIM(C438),"'","''")&amp;"'")&amp;") AND coalesce(c.telefono1,'') = coalesce("&amp;IF(TRIM(F438&amp;"")="","NULL","'"&amp;SUBSTITUTE(TRIM(F438),"'","''")&amp;"'")&amp;",''));")</f>
        <v/>
      </c>
    </row>
    <row r="439" ht="15.75" customHeight="1" s="64">
      <c r="A439" s="23" t="n"/>
      <c r="B439" s="25">
        <f t="array" ref="B439">IF(A439="","",IFERROR(IF(INDEX(Clientes!$D$5:$D$549,MATCH(A439,Clientes!$C$5:$C$549,0))&lt;&gt;"",INDEX(Clientes!$D$5:$D$549,MATCH(A439,Clientes!$C$5:$C$549,0)),TRIM(INDEX(Clientes!$E$5:$E$549,MATCH(A439,Clientes!$C$5:$C$549,0))&amp;" "&amp;INDEX(Clientes!$F$5:$F$549,MATCH(A439,Clientes!$C$5:$C$549,0)))),"NO EXISTE en Clientes"))</f>
        <v/>
      </c>
      <c r="C439" s="17" t="n"/>
      <c r="D439" s="17" t="n"/>
      <c r="E439" s="17" t="n"/>
      <c r="F439" s="23" t="n"/>
      <c r="G439" s="23" t="n"/>
      <c r="H439" s="23" t="n"/>
      <c r="I439" s="17" t="n"/>
      <c r="J439" s="17" t="n"/>
      <c r="K439" s="17" t="n"/>
      <c r="L439" s="17">
        <f>IF(AND(A439="",C439=""),"",IF(A439="","FALTA doc. cliente",IF(B439="NO EXISTE en Clientes","CLIENTE no está en hoja Clientes",IF(C439="","FALTA nombre",IF(AND(K439="SI",COUNTIFS($A$5:$A$499,A439,$K$5:$K$499,"SI")&gt;1),"Más de un contacto principal para este cliente","OK")))))</f>
        <v/>
      </c>
      <c r="M439" s="28">
        <f>IF(L439&lt;&gt;"OK","","INSERT INTO cli_contacto (id_cliente, nombre, apellido_paterno, apellido_materno, telefono1, telefono2, telefono3, email, direccion, es_principal, estado) SELECT "&amp;"(SELECT id FROM cli_clientes WHERE numero_documento = '"&amp;SUBSTITUTE(TRIM(A439),"'","''")&amp;"' AND estado = 1 LIMIT 1)"&amp;", "&amp;IF(TRIM(C439&amp;"")="","NULL","'"&amp;SUBSTITUTE(TRIM(C439),"'","''")&amp;"'")&amp;", "&amp;IF(TRIM(D439&amp;"")="","NULL","'"&amp;SUBSTITUTE(TRIM(D439),"'","''")&amp;"'")&amp;", "&amp;IF(TRIM(E439&amp;"")="","NULL","'"&amp;SUBSTITUTE(TRIM(E439),"'","''")&amp;"'")&amp;", "&amp;IF(TRIM(F439&amp;"")="","NULL","'"&amp;SUBSTITUTE(TRIM(F439),"'","''")&amp;"'")&amp;", "&amp;IF(TRIM(G439&amp;"")="","NULL","'"&amp;SUBSTITUTE(TRIM(G439),"'","''")&amp;"'")&amp;", "&amp;IF(TRIM(H439&amp;"")="","NULL","'"&amp;SUBSTITUTE(TRIM(H439),"'","''")&amp;"'")&amp;", "&amp;IF(TRIM(I439&amp;"")="","NULL","'"&amp;SUBSTITUTE(TRIM(I439),"'","''")&amp;"'")&amp;", "&amp;IF(TRIM(J439&amp;"")="","NULL","'"&amp;SUBSTITUTE(TRIM(J439),"'","''")&amp;"'")&amp;", "&amp;IF(UPPER(TRIM(K439&amp;""))="SI","TRUE","FALSE")&amp;", 1"&amp;" WHERE NOT EXISTS (SELECT 1 FROM cli_contacto c WHERE c.id_cliente = "&amp;"(SELECT id FROM cli_clientes WHERE numero_documento = '"&amp;SUBSTITUTE(TRIM(A439),"'","''")&amp;"' AND estado = 1 LIMIT 1)"&amp;" AND upper(c.nombre) = upper("&amp;IF(TRIM(C439&amp;"")="","NULL","'"&amp;SUBSTITUTE(TRIM(C439),"'","''")&amp;"'")&amp;") AND coalesce(c.telefono1,'') = coalesce("&amp;IF(TRIM(F439&amp;"")="","NULL","'"&amp;SUBSTITUTE(TRIM(F439),"'","''")&amp;"'")&amp;",''));")</f>
        <v/>
      </c>
    </row>
    <row r="440" ht="15.75" customHeight="1" s="64">
      <c r="A440" s="23" t="n"/>
      <c r="B440" s="25">
        <f t="array" ref="B440">IF(A440="","",IFERROR(IF(INDEX(Clientes!$D$5:$D$549,MATCH(A440,Clientes!$C$5:$C$549,0))&lt;&gt;"",INDEX(Clientes!$D$5:$D$549,MATCH(A440,Clientes!$C$5:$C$549,0)),TRIM(INDEX(Clientes!$E$5:$E$549,MATCH(A440,Clientes!$C$5:$C$549,0))&amp;" "&amp;INDEX(Clientes!$F$5:$F$549,MATCH(A440,Clientes!$C$5:$C$549,0)))),"NO EXISTE en Clientes"))</f>
        <v/>
      </c>
      <c r="C440" s="17" t="n"/>
      <c r="D440" s="17" t="n"/>
      <c r="E440" s="17" t="n"/>
      <c r="F440" s="23" t="n"/>
      <c r="G440" s="23" t="n"/>
      <c r="H440" s="23" t="n"/>
      <c r="I440" s="17" t="n"/>
      <c r="J440" s="17" t="n"/>
      <c r="K440" s="17" t="n"/>
      <c r="L440" s="17">
        <f>IF(AND(A440="",C440=""),"",IF(A440="","FALTA doc. cliente",IF(B440="NO EXISTE en Clientes","CLIENTE no está en hoja Clientes",IF(C440="","FALTA nombre",IF(AND(K440="SI",COUNTIFS($A$5:$A$499,A440,$K$5:$K$499,"SI")&gt;1),"Más de un contacto principal para este cliente","OK")))))</f>
        <v/>
      </c>
      <c r="M440" s="28">
        <f>IF(L440&lt;&gt;"OK","","INSERT INTO cli_contacto (id_cliente, nombre, apellido_paterno, apellido_materno, telefono1, telefono2, telefono3, email, direccion, es_principal, estado) SELECT "&amp;"(SELECT id FROM cli_clientes WHERE numero_documento = '"&amp;SUBSTITUTE(TRIM(A440),"'","''")&amp;"' AND estado = 1 LIMIT 1)"&amp;", "&amp;IF(TRIM(C440&amp;"")="","NULL","'"&amp;SUBSTITUTE(TRIM(C440),"'","''")&amp;"'")&amp;", "&amp;IF(TRIM(D440&amp;"")="","NULL","'"&amp;SUBSTITUTE(TRIM(D440),"'","''")&amp;"'")&amp;", "&amp;IF(TRIM(E440&amp;"")="","NULL","'"&amp;SUBSTITUTE(TRIM(E440),"'","''")&amp;"'")&amp;", "&amp;IF(TRIM(F440&amp;"")="","NULL","'"&amp;SUBSTITUTE(TRIM(F440),"'","''")&amp;"'")&amp;", "&amp;IF(TRIM(G440&amp;"")="","NULL","'"&amp;SUBSTITUTE(TRIM(G440),"'","''")&amp;"'")&amp;", "&amp;IF(TRIM(H440&amp;"")="","NULL","'"&amp;SUBSTITUTE(TRIM(H440),"'","''")&amp;"'")&amp;", "&amp;IF(TRIM(I440&amp;"")="","NULL","'"&amp;SUBSTITUTE(TRIM(I440),"'","''")&amp;"'")&amp;", "&amp;IF(TRIM(J440&amp;"")="","NULL","'"&amp;SUBSTITUTE(TRIM(J440),"'","''")&amp;"'")&amp;", "&amp;IF(UPPER(TRIM(K440&amp;""))="SI","TRUE","FALSE")&amp;", 1"&amp;" WHERE NOT EXISTS (SELECT 1 FROM cli_contacto c WHERE c.id_cliente = "&amp;"(SELECT id FROM cli_clientes WHERE numero_documento = '"&amp;SUBSTITUTE(TRIM(A440),"'","''")&amp;"' AND estado = 1 LIMIT 1)"&amp;" AND upper(c.nombre) = upper("&amp;IF(TRIM(C440&amp;"")="","NULL","'"&amp;SUBSTITUTE(TRIM(C440),"'","''")&amp;"'")&amp;") AND coalesce(c.telefono1,'') = coalesce("&amp;IF(TRIM(F440&amp;"")="","NULL","'"&amp;SUBSTITUTE(TRIM(F440),"'","''")&amp;"'")&amp;",''));")</f>
        <v/>
      </c>
    </row>
    <row r="441" ht="15.75" customHeight="1" s="64">
      <c r="A441" s="23" t="n"/>
      <c r="B441" s="25">
        <f t="array" ref="B441">IF(A441="","",IFERROR(IF(INDEX(Clientes!$D$5:$D$549,MATCH(A441,Clientes!$C$5:$C$549,0))&lt;&gt;"",INDEX(Clientes!$D$5:$D$549,MATCH(A441,Clientes!$C$5:$C$549,0)),TRIM(INDEX(Clientes!$E$5:$E$549,MATCH(A441,Clientes!$C$5:$C$549,0))&amp;" "&amp;INDEX(Clientes!$F$5:$F$549,MATCH(A441,Clientes!$C$5:$C$549,0)))),"NO EXISTE en Clientes"))</f>
        <v/>
      </c>
      <c r="C441" s="17" t="n"/>
      <c r="D441" s="17" t="n"/>
      <c r="E441" s="17" t="n"/>
      <c r="F441" s="23" t="n"/>
      <c r="G441" s="23" t="n"/>
      <c r="H441" s="23" t="n"/>
      <c r="I441" s="17" t="n"/>
      <c r="J441" s="17" t="n"/>
      <c r="K441" s="17" t="n"/>
      <c r="L441" s="17">
        <f>IF(AND(A441="",C441=""),"",IF(A441="","FALTA doc. cliente",IF(B441="NO EXISTE en Clientes","CLIENTE no está en hoja Clientes",IF(C441="","FALTA nombre",IF(AND(K441="SI",COUNTIFS($A$5:$A$499,A441,$K$5:$K$499,"SI")&gt;1),"Más de un contacto principal para este cliente","OK")))))</f>
        <v/>
      </c>
      <c r="M441" s="28">
        <f>IF(L441&lt;&gt;"OK","","INSERT INTO cli_contacto (id_cliente, nombre, apellido_paterno, apellido_materno, telefono1, telefono2, telefono3, email, direccion, es_principal, estado) SELECT "&amp;"(SELECT id FROM cli_clientes WHERE numero_documento = '"&amp;SUBSTITUTE(TRIM(A441),"'","''")&amp;"' AND estado = 1 LIMIT 1)"&amp;", "&amp;IF(TRIM(C441&amp;"")="","NULL","'"&amp;SUBSTITUTE(TRIM(C441),"'","''")&amp;"'")&amp;", "&amp;IF(TRIM(D441&amp;"")="","NULL","'"&amp;SUBSTITUTE(TRIM(D441),"'","''")&amp;"'")&amp;", "&amp;IF(TRIM(E441&amp;"")="","NULL","'"&amp;SUBSTITUTE(TRIM(E441),"'","''")&amp;"'")&amp;", "&amp;IF(TRIM(F441&amp;"")="","NULL","'"&amp;SUBSTITUTE(TRIM(F441),"'","''")&amp;"'")&amp;", "&amp;IF(TRIM(G441&amp;"")="","NULL","'"&amp;SUBSTITUTE(TRIM(G441),"'","''")&amp;"'")&amp;", "&amp;IF(TRIM(H441&amp;"")="","NULL","'"&amp;SUBSTITUTE(TRIM(H441),"'","''")&amp;"'")&amp;", "&amp;IF(TRIM(I441&amp;"")="","NULL","'"&amp;SUBSTITUTE(TRIM(I441),"'","''")&amp;"'")&amp;", "&amp;IF(TRIM(J441&amp;"")="","NULL","'"&amp;SUBSTITUTE(TRIM(J441),"'","''")&amp;"'")&amp;", "&amp;IF(UPPER(TRIM(K441&amp;""))="SI","TRUE","FALSE")&amp;", 1"&amp;" WHERE NOT EXISTS (SELECT 1 FROM cli_contacto c WHERE c.id_cliente = "&amp;"(SELECT id FROM cli_clientes WHERE numero_documento = '"&amp;SUBSTITUTE(TRIM(A441),"'","''")&amp;"' AND estado = 1 LIMIT 1)"&amp;" AND upper(c.nombre) = upper("&amp;IF(TRIM(C441&amp;"")="","NULL","'"&amp;SUBSTITUTE(TRIM(C441),"'","''")&amp;"'")&amp;") AND coalesce(c.telefono1,'') = coalesce("&amp;IF(TRIM(F441&amp;"")="","NULL","'"&amp;SUBSTITUTE(TRIM(F441),"'","''")&amp;"'")&amp;",''));")</f>
        <v/>
      </c>
    </row>
    <row r="442" ht="15.75" customHeight="1" s="64">
      <c r="A442" s="23" t="n"/>
      <c r="B442" s="25">
        <f t="array" ref="B442">IF(A442="","",IFERROR(IF(INDEX(Clientes!$D$5:$D$549,MATCH(A442,Clientes!$C$5:$C$549,0))&lt;&gt;"",INDEX(Clientes!$D$5:$D$549,MATCH(A442,Clientes!$C$5:$C$549,0)),TRIM(INDEX(Clientes!$E$5:$E$549,MATCH(A442,Clientes!$C$5:$C$549,0))&amp;" "&amp;INDEX(Clientes!$F$5:$F$549,MATCH(A442,Clientes!$C$5:$C$549,0)))),"NO EXISTE en Clientes"))</f>
        <v/>
      </c>
      <c r="C442" s="17" t="n"/>
      <c r="D442" s="17" t="n"/>
      <c r="E442" s="17" t="n"/>
      <c r="F442" s="23" t="n"/>
      <c r="G442" s="23" t="n"/>
      <c r="H442" s="23" t="n"/>
      <c r="I442" s="17" t="n"/>
      <c r="J442" s="17" t="n"/>
      <c r="K442" s="17" t="n"/>
      <c r="L442" s="17">
        <f>IF(AND(A442="",C442=""),"",IF(A442="","FALTA doc. cliente",IF(B442="NO EXISTE en Clientes","CLIENTE no está en hoja Clientes",IF(C442="","FALTA nombre",IF(AND(K442="SI",COUNTIFS($A$5:$A$499,A442,$K$5:$K$499,"SI")&gt;1),"Más de un contacto principal para este cliente","OK")))))</f>
        <v/>
      </c>
      <c r="M442" s="28">
        <f>IF(L442&lt;&gt;"OK","","INSERT INTO cli_contacto (id_cliente, nombre, apellido_paterno, apellido_materno, telefono1, telefono2, telefono3, email, direccion, es_principal, estado) SELECT "&amp;"(SELECT id FROM cli_clientes WHERE numero_documento = '"&amp;SUBSTITUTE(TRIM(A442),"'","''")&amp;"' AND estado = 1 LIMIT 1)"&amp;", "&amp;IF(TRIM(C442&amp;"")="","NULL","'"&amp;SUBSTITUTE(TRIM(C442),"'","''")&amp;"'")&amp;", "&amp;IF(TRIM(D442&amp;"")="","NULL","'"&amp;SUBSTITUTE(TRIM(D442),"'","''")&amp;"'")&amp;", "&amp;IF(TRIM(E442&amp;"")="","NULL","'"&amp;SUBSTITUTE(TRIM(E442),"'","''")&amp;"'")&amp;", "&amp;IF(TRIM(F442&amp;"")="","NULL","'"&amp;SUBSTITUTE(TRIM(F442),"'","''")&amp;"'")&amp;", "&amp;IF(TRIM(G442&amp;"")="","NULL","'"&amp;SUBSTITUTE(TRIM(G442),"'","''")&amp;"'")&amp;", "&amp;IF(TRIM(H442&amp;"")="","NULL","'"&amp;SUBSTITUTE(TRIM(H442),"'","''")&amp;"'")&amp;", "&amp;IF(TRIM(I442&amp;"")="","NULL","'"&amp;SUBSTITUTE(TRIM(I442),"'","''")&amp;"'")&amp;", "&amp;IF(TRIM(J442&amp;"")="","NULL","'"&amp;SUBSTITUTE(TRIM(J442),"'","''")&amp;"'")&amp;", "&amp;IF(UPPER(TRIM(K442&amp;""))="SI","TRUE","FALSE")&amp;", 1"&amp;" WHERE NOT EXISTS (SELECT 1 FROM cli_contacto c WHERE c.id_cliente = "&amp;"(SELECT id FROM cli_clientes WHERE numero_documento = '"&amp;SUBSTITUTE(TRIM(A442),"'","''")&amp;"' AND estado = 1 LIMIT 1)"&amp;" AND upper(c.nombre) = upper("&amp;IF(TRIM(C442&amp;"")="","NULL","'"&amp;SUBSTITUTE(TRIM(C442),"'","''")&amp;"'")&amp;") AND coalesce(c.telefono1,'') = coalesce("&amp;IF(TRIM(F442&amp;"")="","NULL","'"&amp;SUBSTITUTE(TRIM(F442),"'","''")&amp;"'")&amp;",''));")</f>
        <v/>
      </c>
    </row>
    <row r="443" ht="15.75" customHeight="1" s="64">
      <c r="A443" s="23" t="n"/>
      <c r="B443" s="25">
        <f t="array" ref="B443">IF(A443="","",IFERROR(IF(INDEX(Clientes!$D$5:$D$549,MATCH(A443,Clientes!$C$5:$C$549,0))&lt;&gt;"",INDEX(Clientes!$D$5:$D$549,MATCH(A443,Clientes!$C$5:$C$549,0)),TRIM(INDEX(Clientes!$E$5:$E$549,MATCH(A443,Clientes!$C$5:$C$549,0))&amp;" "&amp;INDEX(Clientes!$F$5:$F$549,MATCH(A443,Clientes!$C$5:$C$549,0)))),"NO EXISTE en Clientes"))</f>
        <v/>
      </c>
      <c r="C443" s="17" t="n"/>
      <c r="D443" s="17" t="n"/>
      <c r="E443" s="17" t="n"/>
      <c r="F443" s="23" t="n"/>
      <c r="G443" s="23" t="n"/>
      <c r="H443" s="23" t="n"/>
      <c r="I443" s="17" t="n"/>
      <c r="J443" s="17" t="n"/>
      <c r="K443" s="17" t="n"/>
      <c r="L443" s="17">
        <f>IF(AND(A443="",C443=""),"",IF(A443="","FALTA doc. cliente",IF(B443="NO EXISTE en Clientes","CLIENTE no está en hoja Clientes",IF(C443="","FALTA nombre",IF(AND(K443="SI",COUNTIFS($A$5:$A$499,A443,$K$5:$K$499,"SI")&gt;1),"Más de un contacto principal para este cliente","OK")))))</f>
        <v/>
      </c>
      <c r="M443" s="28">
        <f>IF(L443&lt;&gt;"OK","","INSERT INTO cli_contacto (id_cliente, nombre, apellido_paterno, apellido_materno, telefono1, telefono2, telefono3, email, direccion, es_principal, estado) SELECT "&amp;"(SELECT id FROM cli_clientes WHERE numero_documento = '"&amp;SUBSTITUTE(TRIM(A443),"'","''")&amp;"' AND estado = 1 LIMIT 1)"&amp;", "&amp;IF(TRIM(C443&amp;"")="","NULL","'"&amp;SUBSTITUTE(TRIM(C443),"'","''")&amp;"'")&amp;", "&amp;IF(TRIM(D443&amp;"")="","NULL","'"&amp;SUBSTITUTE(TRIM(D443),"'","''")&amp;"'")&amp;", "&amp;IF(TRIM(E443&amp;"")="","NULL","'"&amp;SUBSTITUTE(TRIM(E443),"'","''")&amp;"'")&amp;", "&amp;IF(TRIM(F443&amp;"")="","NULL","'"&amp;SUBSTITUTE(TRIM(F443),"'","''")&amp;"'")&amp;", "&amp;IF(TRIM(G443&amp;"")="","NULL","'"&amp;SUBSTITUTE(TRIM(G443),"'","''")&amp;"'")&amp;", "&amp;IF(TRIM(H443&amp;"")="","NULL","'"&amp;SUBSTITUTE(TRIM(H443),"'","''")&amp;"'")&amp;", "&amp;IF(TRIM(I443&amp;"")="","NULL","'"&amp;SUBSTITUTE(TRIM(I443),"'","''")&amp;"'")&amp;", "&amp;IF(TRIM(J443&amp;"")="","NULL","'"&amp;SUBSTITUTE(TRIM(J443),"'","''")&amp;"'")&amp;", "&amp;IF(UPPER(TRIM(K443&amp;""))="SI","TRUE","FALSE")&amp;", 1"&amp;" WHERE NOT EXISTS (SELECT 1 FROM cli_contacto c WHERE c.id_cliente = "&amp;"(SELECT id FROM cli_clientes WHERE numero_documento = '"&amp;SUBSTITUTE(TRIM(A443),"'","''")&amp;"' AND estado = 1 LIMIT 1)"&amp;" AND upper(c.nombre) = upper("&amp;IF(TRIM(C443&amp;"")="","NULL","'"&amp;SUBSTITUTE(TRIM(C443),"'","''")&amp;"'")&amp;") AND coalesce(c.telefono1,'') = coalesce("&amp;IF(TRIM(F443&amp;"")="","NULL","'"&amp;SUBSTITUTE(TRIM(F443),"'","''")&amp;"'")&amp;",''));")</f>
        <v/>
      </c>
    </row>
    <row r="444" ht="15.75" customHeight="1" s="64">
      <c r="A444" s="23" t="n"/>
      <c r="B444" s="25">
        <f t="array" ref="B444">IF(A444="","",IFERROR(IF(INDEX(Clientes!$D$5:$D$549,MATCH(A444,Clientes!$C$5:$C$549,0))&lt;&gt;"",INDEX(Clientes!$D$5:$D$549,MATCH(A444,Clientes!$C$5:$C$549,0)),TRIM(INDEX(Clientes!$E$5:$E$549,MATCH(A444,Clientes!$C$5:$C$549,0))&amp;" "&amp;INDEX(Clientes!$F$5:$F$549,MATCH(A444,Clientes!$C$5:$C$549,0)))),"NO EXISTE en Clientes"))</f>
        <v/>
      </c>
      <c r="C444" s="17" t="n"/>
      <c r="D444" s="17" t="n"/>
      <c r="E444" s="17" t="n"/>
      <c r="F444" s="23" t="n"/>
      <c r="G444" s="23" t="n"/>
      <c r="H444" s="23" t="n"/>
      <c r="I444" s="17" t="n"/>
      <c r="J444" s="17" t="n"/>
      <c r="K444" s="17" t="n"/>
      <c r="L444" s="17">
        <f>IF(AND(A444="",C444=""),"",IF(A444="","FALTA doc. cliente",IF(B444="NO EXISTE en Clientes","CLIENTE no está en hoja Clientes",IF(C444="","FALTA nombre",IF(AND(K444="SI",COUNTIFS($A$5:$A$499,A444,$K$5:$K$499,"SI")&gt;1),"Más de un contacto principal para este cliente","OK")))))</f>
        <v/>
      </c>
      <c r="M444" s="28">
        <f>IF(L444&lt;&gt;"OK","","INSERT INTO cli_contacto (id_cliente, nombre, apellido_paterno, apellido_materno, telefono1, telefono2, telefono3, email, direccion, es_principal, estado) SELECT "&amp;"(SELECT id FROM cli_clientes WHERE numero_documento = '"&amp;SUBSTITUTE(TRIM(A444),"'","''")&amp;"' AND estado = 1 LIMIT 1)"&amp;", "&amp;IF(TRIM(C444&amp;"")="","NULL","'"&amp;SUBSTITUTE(TRIM(C444),"'","''")&amp;"'")&amp;", "&amp;IF(TRIM(D444&amp;"")="","NULL","'"&amp;SUBSTITUTE(TRIM(D444),"'","''")&amp;"'")&amp;", "&amp;IF(TRIM(E444&amp;"")="","NULL","'"&amp;SUBSTITUTE(TRIM(E444),"'","''")&amp;"'")&amp;", "&amp;IF(TRIM(F444&amp;"")="","NULL","'"&amp;SUBSTITUTE(TRIM(F444),"'","''")&amp;"'")&amp;", "&amp;IF(TRIM(G444&amp;"")="","NULL","'"&amp;SUBSTITUTE(TRIM(G444),"'","''")&amp;"'")&amp;", "&amp;IF(TRIM(H444&amp;"")="","NULL","'"&amp;SUBSTITUTE(TRIM(H444),"'","''")&amp;"'")&amp;", "&amp;IF(TRIM(I444&amp;"")="","NULL","'"&amp;SUBSTITUTE(TRIM(I444),"'","''")&amp;"'")&amp;", "&amp;IF(TRIM(J444&amp;"")="","NULL","'"&amp;SUBSTITUTE(TRIM(J444),"'","''")&amp;"'")&amp;", "&amp;IF(UPPER(TRIM(K444&amp;""))="SI","TRUE","FALSE")&amp;", 1"&amp;" WHERE NOT EXISTS (SELECT 1 FROM cli_contacto c WHERE c.id_cliente = "&amp;"(SELECT id FROM cli_clientes WHERE numero_documento = '"&amp;SUBSTITUTE(TRIM(A444),"'","''")&amp;"' AND estado = 1 LIMIT 1)"&amp;" AND upper(c.nombre) = upper("&amp;IF(TRIM(C444&amp;"")="","NULL","'"&amp;SUBSTITUTE(TRIM(C444),"'","''")&amp;"'")&amp;") AND coalesce(c.telefono1,'') = coalesce("&amp;IF(TRIM(F444&amp;"")="","NULL","'"&amp;SUBSTITUTE(TRIM(F444),"'","''")&amp;"'")&amp;",''));")</f>
        <v/>
      </c>
    </row>
    <row r="445" ht="15.75" customHeight="1" s="64">
      <c r="A445" s="23" t="n"/>
      <c r="B445" s="25">
        <f t="array" ref="B445">IF(A445="","",IFERROR(IF(INDEX(Clientes!$D$5:$D$549,MATCH(A445,Clientes!$C$5:$C$549,0))&lt;&gt;"",INDEX(Clientes!$D$5:$D$549,MATCH(A445,Clientes!$C$5:$C$549,0)),TRIM(INDEX(Clientes!$E$5:$E$549,MATCH(A445,Clientes!$C$5:$C$549,0))&amp;" "&amp;INDEX(Clientes!$F$5:$F$549,MATCH(A445,Clientes!$C$5:$C$549,0)))),"NO EXISTE en Clientes"))</f>
        <v/>
      </c>
      <c r="C445" s="17" t="n"/>
      <c r="D445" s="17" t="n"/>
      <c r="E445" s="17" t="n"/>
      <c r="F445" s="23" t="n"/>
      <c r="G445" s="23" t="n"/>
      <c r="H445" s="23" t="n"/>
      <c r="I445" s="17" t="n"/>
      <c r="J445" s="17" t="n"/>
      <c r="K445" s="17" t="n"/>
      <c r="L445" s="17">
        <f>IF(AND(A445="",C445=""),"",IF(A445="","FALTA doc. cliente",IF(B445="NO EXISTE en Clientes","CLIENTE no está en hoja Clientes",IF(C445="","FALTA nombre",IF(AND(K445="SI",COUNTIFS($A$5:$A$499,A445,$K$5:$K$499,"SI")&gt;1),"Más de un contacto principal para este cliente","OK")))))</f>
        <v/>
      </c>
      <c r="M445" s="28">
        <f>IF(L445&lt;&gt;"OK","","INSERT INTO cli_contacto (id_cliente, nombre, apellido_paterno, apellido_materno, telefono1, telefono2, telefono3, email, direccion, es_principal, estado) SELECT "&amp;"(SELECT id FROM cli_clientes WHERE numero_documento = '"&amp;SUBSTITUTE(TRIM(A445),"'","''")&amp;"' AND estado = 1 LIMIT 1)"&amp;", "&amp;IF(TRIM(C445&amp;"")="","NULL","'"&amp;SUBSTITUTE(TRIM(C445),"'","''")&amp;"'")&amp;", "&amp;IF(TRIM(D445&amp;"")="","NULL","'"&amp;SUBSTITUTE(TRIM(D445),"'","''")&amp;"'")&amp;", "&amp;IF(TRIM(E445&amp;"")="","NULL","'"&amp;SUBSTITUTE(TRIM(E445),"'","''")&amp;"'")&amp;", "&amp;IF(TRIM(F445&amp;"")="","NULL","'"&amp;SUBSTITUTE(TRIM(F445),"'","''")&amp;"'")&amp;", "&amp;IF(TRIM(G445&amp;"")="","NULL","'"&amp;SUBSTITUTE(TRIM(G445),"'","''")&amp;"'")&amp;", "&amp;IF(TRIM(H445&amp;"")="","NULL","'"&amp;SUBSTITUTE(TRIM(H445),"'","''")&amp;"'")&amp;", "&amp;IF(TRIM(I445&amp;"")="","NULL","'"&amp;SUBSTITUTE(TRIM(I445),"'","''")&amp;"'")&amp;", "&amp;IF(TRIM(J445&amp;"")="","NULL","'"&amp;SUBSTITUTE(TRIM(J445),"'","''")&amp;"'")&amp;", "&amp;IF(UPPER(TRIM(K445&amp;""))="SI","TRUE","FALSE")&amp;", 1"&amp;" WHERE NOT EXISTS (SELECT 1 FROM cli_contacto c WHERE c.id_cliente = "&amp;"(SELECT id FROM cli_clientes WHERE numero_documento = '"&amp;SUBSTITUTE(TRIM(A445),"'","''")&amp;"' AND estado = 1 LIMIT 1)"&amp;" AND upper(c.nombre) = upper("&amp;IF(TRIM(C445&amp;"")="","NULL","'"&amp;SUBSTITUTE(TRIM(C445),"'","''")&amp;"'")&amp;") AND coalesce(c.telefono1,'') = coalesce("&amp;IF(TRIM(F445&amp;"")="","NULL","'"&amp;SUBSTITUTE(TRIM(F445),"'","''")&amp;"'")&amp;",''));")</f>
        <v/>
      </c>
    </row>
    <row r="446" ht="15.75" customHeight="1" s="64">
      <c r="A446" s="23" t="n"/>
      <c r="B446" s="25">
        <f t="array" ref="B446">IF(A446="","",IFERROR(IF(INDEX(Clientes!$D$5:$D$549,MATCH(A446,Clientes!$C$5:$C$549,0))&lt;&gt;"",INDEX(Clientes!$D$5:$D$549,MATCH(A446,Clientes!$C$5:$C$549,0)),TRIM(INDEX(Clientes!$E$5:$E$549,MATCH(A446,Clientes!$C$5:$C$549,0))&amp;" "&amp;INDEX(Clientes!$F$5:$F$549,MATCH(A446,Clientes!$C$5:$C$549,0)))),"NO EXISTE en Clientes"))</f>
        <v/>
      </c>
      <c r="C446" s="17" t="n"/>
      <c r="D446" s="17" t="n"/>
      <c r="E446" s="17" t="n"/>
      <c r="F446" s="23" t="n"/>
      <c r="G446" s="23" t="n"/>
      <c r="H446" s="23" t="n"/>
      <c r="I446" s="17" t="n"/>
      <c r="J446" s="17" t="n"/>
      <c r="K446" s="17" t="n"/>
      <c r="L446" s="17">
        <f>IF(AND(A446="",C446=""),"",IF(A446="","FALTA doc. cliente",IF(B446="NO EXISTE en Clientes","CLIENTE no está en hoja Clientes",IF(C446="","FALTA nombre",IF(AND(K446="SI",COUNTIFS($A$5:$A$499,A446,$K$5:$K$499,"SI")&gt;1),"Más de un contacto principal para este cliente","OK")))))</f>
        <v/>
      </c>
      <c r="M446" s="28">
        <f>IF(L446&lt;&gt;"OK","","INSERT INTO cli_contacto (id_cliente, nombre, apellido_paterno, apellido_materno, telefono1, telefono2, telefono3, email, direccion, es_principal, estado) SELECT "&amp;"(SELECT id FROM cli_clientes WHERE numero_documento = '"&amp;SUBSTITUTE(TRIM(A446),"'","''")&amp;"' AND estado = 1 LIMIT 1)"&amp;", "&amp;IF(TRIM(C446&amp;"")="","NULL","'"&amp;SUBSTITUTE(TRIM(C446),"'","''")&amp;"'")&amp;", "&amp;IF(TRIM(D446&amp;"")="","NULL","'"&amp;SUBSTITUTE(TRIM(D446),"'","''")&amp;"'")&amp;", "&amp;IF(TRIM(E446&amp;"")="","NULL","'"&amp;SUBSTITUTE(TRIM(E446),"'","''")&amp;"'")&amp;", "&amp;IF(TRIM(F446&amp;"")="","NULL","'"&amp;SUBSTITUTE(TRIM(F446),"'","''")&amp;"'")&amp;", "&amp;IF(TRIM(G446&amp;"")="","NULL","'"&amp;SUBSTITUTE(TRIM(G446),"'","''")&amp;"'")&amp;", "&amp;IF(TRIM(H446&amp;"")="","NULL","'"&amp;SUBSTITUTE(TRIM(H446),"'","''")&amp;"'")&amp;", "&amp;IF(TRIM(I446&amp;"")="","NULL","'"&amp;SUBSTITUTE(TRIM(I446),"'","''")&amp;"'")&amp;", "&amp;IF(TRIM(J446&amp;"")="","NULL","'"&amp;SUBSTITUTE(TRIM(J446),"'","''")&amp;"'")&amp;", "&amp;IF(UPPER(TRIM(K446&amp;""))="SI","TRUE","FALSE")&amp;", 1"&amp;" WHERE NOT EXISTS (SELECT 1 FROM cli_contacto c WHERE c.id_cliente = "&amp;"(SELECT id FROM cli_clientes WHERE numero_documento = '"&amp;SUBSTITUTE(TRIM(A446),"'","''")&amp;"' AND estado = 1 LIMIT 1)"&amp;" AND upper(c.nombre) = upper("&amp;IF(TRIM(C446&amp;"")="","NULL","'"&amp;SUBSTITUTE(TRIM(C446),"'","''")&amp;"'")&amp;") AND coalesce(c.telefono1,'') = coalesce("&amp;IF(TRIM(F446&amp;"")="","NULL","'"&amp;SUBSTITUTE(TRIM(F446),"'","''")&amp;"'")&amp;",''));")</f>
        <v/>
      </c>
    </row>
    <row r="447" ht="15.75" customHeight="1" s="64">
      <c r="A447" s="23" t="n"/>
      <c r="B447" s="25">
        <f t="array" ref="B447">IF(A447="","",IFERROR(IF(INDEX(Clientes!$D$5:$D$549,MATCH(A447,Clientes!$C$5:$C$549,0))&lt;&gt;"",INDEX(Clientes!$D$5:$D$549,MATCH(A447,Clientes!$C$5:$C$549,0)),TRIM(INDEX(Clientes!$E$5:$E$549,MATCH(A447,Clientes!$C$5:$C$549,0))&amp;" "&amp;INDEX(Clientes!$F$5:$F$549,MATCH(A447,Clientes!$C$5:$C$549,0)))),"NO EXISTE en Clientes"))</f>
        <v/>
      </c>
      <c r="C447" s="17" t="n"/>
      <c r="D447" s="17" t="n"/>
      <c r="E447" s="17" t="n"/>
      <c r="F447" s="23" t="n"/>
      <c r="G447" s="23" t="n"/>
      <c r="H447" s="23" t="n"/>
      <c r="I447" s="17" t="n"/>
      <c r="J447" s="17" t="n"/>
      <c r="K447" s="17" t="n"/>
      <c r="L447" s="17">
        <f>IF(AND(A447="",C447=""),"",IF(A447="","FALTA doc. cliente",IF(B447="NO EXISTE en Clientes","CLIENTE no está en hoja Clientes",IF(C447="","FALTA nombre",IF(AND(K447="SI",COUNTIFS($A$5:$A$499,A447,$K$5:$K$499,"SI")&gt;1),"Más de un contacto principal para este cliente","OK")))))</f>
        <v/>
      </c>
      <c r="M447" s="28">
        <f>IF(L447&lt;&gt;"OK","","INSERT INTO cli_contacto (id_cliente, nombre, apellido_paterno, apellido_materno, telefono1, telefono2, telefono3, email, direccion, es_principal, estado) SELECT "&amp;"(SELECT id FROM cli_clientes WHERE numero_documento = '"&amp;SUBSTITUTE(TRIM(A447),"'","''")&amp;"' AND estado = 1 LIMIT 1)"&amp;", "&amp;IF(TRIM(C447&amp;"")="","NULL","'"&amp;SUBSTITUTE(TRIM(C447),"'","''")&amp;"'")&amp;", "&amp;IF(TRIM(D447&amp;"")="","NULL","'"&amp;SUBSTITUTE(TRIM(D447),"'","''")&amp;"'")&amp;", "&amp;IF(TRIM(E447&amp;"")="","NULL","'"&amp;SUBSTITUTE(TRIM(E447),"'","''")&amp;"'")&amp;", "&amp;IF(TRIM(F447&amp;"")="","NULL","'"&amp;SUBSTITUTE(TRIM(F447),"'","''")&amp;"'")&amp;", "&amp;IF(TRIM(G447&amp;"")="","NULL","'"&amp;SUBSTITUTE(TRIM(G447),"'","''")&amp;"'")&amp;", "&amp;IF(TRIM(H447&amp;"")="","NULL","'"&amp;SUBSTITUTE(TRIM(H447),"'","''")&amp;"'")&amp;", "&amp;IF(TRIM(I447&amp;"")="","NULL","'"&amp;SUBSTITUTE(TRIM(I447),"'","''")&amp;"'")&amp;", "&amp;IF(TRIM(J447&amp;"")="","NULL","'"&amp;SUBSTITUTE(TRIM(J447),"'","''")&amp;"'")&amp;", "&amp;IF(UPPER(TRIM(K447&amp;""))="SI","TRUE","FALSE")&amp;", 1"&amp;" WHERE NOT EXISTS (SELECT 1 FROM cli_contacto c WHERE c.id_cliente = "&amp;"(SELECT id FROM cli_clientes WHERE numero_documento = '"&amp;SUBSTITUTE(TRIM(A447),"'","''")&amp;"' AND estado = 1 LIMIT 1)"&amp;" AND upper(c.nombre) = upper("&amp;IF(TRIM(C447&amp;"")="","NULL","'"&amp;SUBSTITUTE(TRIM(C447),"'","''")&amp;"'")&amp;") AND coalesce(c.telefono1,'') = coalesce("&amp;IF(TRIM(F447&amp;"")="","NULL","'"&amp;SUBSTITUTE(TRIM(F447),"'","''")&amp;"'")&amp;",''));")</f>
        <v/>
      </c>
    </row>
    <row r="448" ht="15.75" customHeight="1" s="64">
      <c r="A448" s="23" t="n"/>
      <c r="B448" s="25">
        <f t="array" ref="B448">IF(A448="","",IFERROR(IF(INDEX(Clientes!$D$5:$D$549,MATCH(A448,Clientes!$C$5:$C$549,0))&lt;&gt;"",INDEX(Clientes!$D$5:$D$549,MATCH(A448,Clientes!$C$5:$C$549,0)),TRIM(INDEX(Clientes!$E$5:$E$549,MATCH(A448,Clientes!$C$5:$C$549,0))&amp;" "&amp;INDEX(Clientes!$F$5:$F$549,MATCH(A448,Clientes!$C$5:$C$549,0)))),"NO EXISTE en Clientes"))</f>
        <v/>
      </c>
      <c r="C448" s="17" t="n"/>
      <c r="D448" s="17" t="n"/>
      <c r="E448" s="17" t="n"/>
      <c r="F448" s="23" t="n"/>
      <c r="G448" s="23" t="n"/>
      <c r="H448" s="23" t="n"/>
      <c r="I448" s="17" t="n"/>
      <c r="J448" s="17" t="n"/>
      <c r="K448" s="17" t="n"/>
      <c r="L448" s="17">
        <f>IF(AND(A448="",C448=""),"",IF(A448="","FALTA doc. cliente",IF(B448="NO EXISTE en Clientes","CLIENTE no está en hoja Clientes",IF(C448="","FALTA nombre",IF(AND(K448="SI",COUNTIFS($A$5:$A$499,A448,$K$5:$K$499,"SI")&gt;1),"Más de un contacto principal para este cliente","OK")))))</f>
        <v/>
      </c>
      <c r="M448" s="28">
        <f>IF(L448&lt;&gt;"OK","","INSERT INTO cli_contacto (id_cliente, nombre, apellido_paterno, apellido_materno, telefono1, telefono2, telefono3, email, direccion, es_principal, estado) SELECT "&amp;"(SELECT id FROM cli_clientes WHERE numero_documento = '"&amp;SUBSTITUTE(TRIM(A448),"'","''")&amp;"' AND estado = 1 LIMIT 1)"&amp;", "&amp;IF(TRIM(C448&amp;"")="","NULL","'"&amp;SUBSTITUTE(TRIM(C448),"'","''")&amp;"'")&amp;", "&amp;IF(TRIM(D448&amp;"")="","NULL","'"&amp;SUBSTITUTE(TRIM(D448),"'","''")&amp;"'")&amp;", "&amp;IF(TRIM(E448&amp;"")="","NULL","'"&amp;SUBSTITUTE(TRIM(E448),"'","''")&amp;"'")&amp;", "&amp;IF(TRIM(F448&amp;"")="","NULL","'"&amp;SUBSTITUTE(TRIM(F448),"'","''")&amp;"'")&amp;", "&amp;IF(TRIM(G448&amp;"")="","NULL","'"&amp;SUBSTITUTE(TRIM(G448),"'","''")&amp;"'")&amp;", "&amp;IF(TRIM(H448&amp;"")="","NULL","'"&amp;SUBSTITUTE(TRIM(H448),"'","''")&amp;"'")&amp;", "&amp;IF(TRIM(I448&amp;"")="","NULL","'"&amp;SUBSTITUTE(TRIM(I448),"'","''")&amp;"'")&amp;", "&amp;IF(TRIM(J448&amp;"")="","NULL","'"&amp;SUBSTITUTE(TRIM(J448),"'","''")&amp;"'")&amp;", "&amp;IF(UPPER(TRIM(K448&amp;""))="SI","TRUE","FALSE")&amp;", 1"&amp;" WHERE NOT EXISTS (SELECT 1 FROM cli_contacto c WHERE c.id_cliente = "&amp;"(SELECT id FROM cli_clientes WHERE numero_documento = '"&amp;SUBSTITUTE(TRIM(A448),"'","''")&amp;"' AND estado = 1 LIMIT 1)"&amp;" AND upper(c.nombre) = upper("&amp;IF(TRIM(C448&amp;"")="","NULL","'"&amp;SUBSTITUTE(TRIM(C448),"'","''")&amp;"'")&amp;") AND coalesce(c.telefono1,'') = coalesce("&amp;IF(TRIM(F448&amp;"")="","NULL","'"&amp;SUBSTITUTE(TRIM(F448),"'","''")&amp;"'")&amp;",''));")</f>
        <v/>
      </c>
    </row>
    <row r="449" ht="15.75" customHeight="1" s="64">
      <c r="A449" s="23" t="n"/>
      <c r="B449" s="25">
        <f t="array" ref="B449">IF(A449="","",IFERROR(IF(INDEX(Clientes!$D$5:$D$549,MATCH(A449,Clientes!$C$5:$C$549,0))&lt;&gt;"",INDEX(Clientes!$D$5:$D$549,MATCH(A449,Clientes!$C$5:$C$549,0)),TRIM(INDEX(Clientes!$E$5:$E$549,MATCH(A449,Clientes!$C$5:$C$549,0))&amp;" "&amp;INDEX(Clientes!$F$5:$F$549,MATCH(A449,Clientes!$C$5:$C$549,0)))),"NO EXISTE en Clientes"))</f>
        <v/>
      </c>
      <c r="C449" s="17" t="n"/>
      <c r="D449" s="17" t="n"/>
      <c r="E449" s="17" t="n"/>
      <c r="F449" s="23" t="n"/>
      <c r="G449" s="23" t="n"/>
      <c r="H449" s="23" t="n"/>
      <c r="I449" s="17" t="n"/>
      <c r="J449" s="17" t="n"/>
      <c r="K449" s="17" t="n"/>
      <c r="L449" s="17">
        <f>IF(AND(A449="",C449=""),"",IF(A449="","FALTA doc. cliente",IF(B449="NO EXISTE en Clientes","CLIENTE no está en hoja Clientes",IF(C449="","FALTA nombre",IF(AND(K449="SI",COUNTIFS($A$5:$A$499,A449,$K$5:$K$499,"SI")&gt;1),"Más de un contacto principal para este cliente","OK")))))</f>
        <v/>
      </c>
      <c r="M449" s="28">
        <f>IF(L449&lt;&gt;"OK","","INSERT INTO cli_contacto (id_cliente, nombre, apellido_paterno, apellido_materno, telefono1, telefono2, telefono3, email, direccion, es_principal, estado) SELECT "&amp;"(SELECT id FROM cli_clientes WHERE numero_documento = '"&amp;SUBSTITUTE(TRIM(A449),"'","''")&amp;"' AND estado = 1 LIMIT 1)"&amp;", "&amp;IF(TRIM(C449&amp;"")="","NULL","'"&amp;SUBSTITUTE(TRIM(C449),"'","''")&amp;"'")&amp;", "&amp;IF(TRIM(D449&amp;"")="","NULL","'"&amp;SUBSTITUTE(TRIM(D449),"'","''")&amp;"'")&amp;", "&amp;IF(TRIM(E449&amp;"")="","NULL","'"&amp;SUBSTITUTE(TRIM(E449),"'","''")&amp;"'")&amp;", "&amp;IF(TRIM(F449&amp;"")="","NULL","'"&amp;SUBSTITUTE(TRIM(F449),"'","''")&amp;"'")&amp;", "&amp;IF(TRIM(G449&amp;"")="","NULL","'"&amp;SUBSTITUTE(TRIM(G449),"'","''")&amp;"'")&amp;", "&amp;IF(TRIM(H449&amp;"")="","NULL","'"&amp;SUBSTITUTE(TRIM(H449),"'","''")&amp;"'")&amp;", "&amp;IF(TRIM(I449&amp;"")="","NULL","'"&amp;SUBSTITUTE(TRIM(I449),"'","''")&amp;"'")&amp;", "&amp;IF(TRIM(J449&amp;"")="","NULL","'"&amp;SUBSTITUTE(TRIM(J449),"'","''")&amp;"'")&amp;", "&amp;IF(UPPER(TRIM(K449&amp;""))="SI","TRUE","FALSE")&amp;", 1"&amp;" WHERE NOT EXISTS (SELECT 1 FROM cli_contacto c WHERE c.id_cliente = "&amp;"(SELECT id FROM cli_clientes WHERE numero_documento = '"&amp;SUBSTITUTE(TRIM(A449),"'","''")&amp;"' AND estado = 1 LIMIT 1)"&amp;" AND upper(c.nombre) = upper("&amp;IF(TRIM(C449&amp;"")="","NULL","'"&amp;SUBSTITUTE(TRIM(C449),"'","''")&amp;"'")&amp;") AND coalesce(c.telefono1,'') = coalesce("&amp;IF(TRIM(F449&amp;"")="","NULL","'"&amp;SUBSTITUTE(TRIM(F449),"'","''")&amp;"'")&amp;",''));")</f>
        <v/>
      </c>
    </row>
    <row r="450" ht="15.75" customHeight="1" s="64">
      <c r="A450" s="23" t="n"/>
      <c r="B450" s="25">
        <f t="array" ref="B450">IF(A450="","",IFERROR(IF(INDEX(Clientes!$D$5:$D$549,MATCH(A450,Clientes!$C$5:$C$549,0))&lt;&gt;"",INDEX(Clientes!$D$5:$D$549,MATCH(A450,Clientes!$C$5:$C$549,0)),TRIM(INDEX(Clientes!$E$5:$E$549,MATCH(A450,Clientes!$C$5:$C$549,0))&amp;" "&amp;INDEX(Clientes!$F$5:$F$549,MATCH(A450,Clientes!$C$5:$C$549,0)))),"NO EXISTE en Clientes"))</f>
        <v/>
      </c>
      <c r="C450" s="17" t="n"/>
      <c r="D450" s="17" t="n"/>
      <c r="E450" s="17" t="n"/>
      <c r="F450" s="23" t="n"/>
      <c r="G450" s="23" t="n"/>
      <c r="H450" s="23" t="n"/>
      <c r="I450" s="17" t="n"/>
      <c r="J450" s="17" t="n"/>
      <c r="K450" s="17" t="n"/>
      <c r="L450" s="17">
        <f>IF(AND(A450="",C450=""),"",IF(A450="","FALTA doc. cliente",IF(B450="NO EXISTE en Clientes","CLIENTE no está en hoja Clientes",IF(C450="","FALTA nombre",IF(AND(K450="SI",COUNTIFS($A$5:$A$499,A450,$K$5:$K$499,"SI")&gt;1),"Más de un contacto principal para este cliente","OK")))))</f>
        <v/>
      </c>
      <c r="M450" s="28">
        <f>IF(L450&lt;&gt;"OK","","INSERT INTO cli_contacto (id_cliente, nombre, apellido_paterno, apellido_materno, telefono1, telefono2, telefono3, email, direccion, es_principal, estado) SELECT "&amp;"(SELECT id FROM cli_clientes WHERE numero_documento = '"&amp;SUBSTITUTE(TRIM(A450),"'","''")&amp;"' AND estado = 1 LIMIT 1)"&amp;", "&amp;IF(TRIM(C450&amp;"")="","NULL","'"&amp;SUBSTITUTE(TRIM(C450),"'","''")&amp;"'")&amp;", "&amp;IF(TRIM(D450&amp;"")="","NULL","'"&amp;SUBSTITUTE(TRIM(D450),"'","''")&amp;"'")&amp;", "&amp;IF(TRIM(E450&amp;"")="","NULL","'"&amp;SUBSTITUTE(TRIM(E450),"'","''")&amp;"'")&amp;", "&amp;IF(TRIM(F450&amp;"")="","NULL","'"&amp;SUBSTITUTE(TRIM(F450),"'","''")&amp;"'")&amp;", "&amp;IF(TRIM(G450&amp;"")="","NULL","'"&amp;SUBSTITUTE(TRIM(G450),"'","''")&amp;"'")&amp;", "&amp;IF(TRIM(H450&amp;"")="","NULL","'"&amp;SUBSTITUTE(TRIM(H450),"'","''")&amp;"'")&amp;", "&amp;IF(TRIM(I450&amp;"")="","NULL","'"&amp;SUBSTITUTE(TRIM(I450),"'","''")&amp;"'")&amp;", "&amp;IF(TRIM(J450&amp;"")="","NULL","'"&amp;SUBSTITUTE(TRIM(J450),"'","''")&amp;"'")&amp;", "&amp;IF(UPPER(TRIM(K450&amp;""))="SI","TRUE","FALSE")&amp;", 1"&amp;" WHERE NOT EXISTS (SELECT 1 FROM cli_contacto c WHERE c.id_cliente = "&amp;"(SELECT id FROM cli_clientes WHERE numero_documento = '"&amp;SUBSTITUTE(TRIM(A450),"'","''")&amp;"' AND estado = 1 LIMIT 1)"&amp;" AND upper(c.nombre) = upper("&amp;IF(TRIM(C450&amp;"")="","NULL","'"&amp;SUBSTITUTE(TRIM(C450),"'","''")&amp;"'")&amp;") AND coalesce(c.telefono1,'') = coalesce("&amp;IF(TRIM(F450&amp;"")="","NULL","'"&amp;SUBSTITUTE(TRIM(F450),"'","''")&amp;"'")&amp;",''));")</f>
        <v/>
      </c>
    </row>
    <row r="451" ht="15.75" customHeight="1" s="64">
      <c r="A451" s="23" t="n"/>
      <c r="B451" s="25">
        <f t="array" ref="B451">IF(A451="","",IFERROR(IF(INDEX(Clientes!$D$5:$D$549,MATCH(A451,Clientes!$C$5:$C$549,0))&lt;&gt;"",INDEX(Clientes!$D$5:$D$549,MATCH(A451,Clientes!$C$5:$C$549,0)),TRIM(INDEX(Clientes!$E$5:$E$549,MATCH(A451,Clientes!$C$5:$C$549,0))&amp;" "&amp;INDEX(Clientes!$F$5:$F$549,MATCH(A451,Clientes!$C$5:$C$549,0)))),"NO EXISTE en Clientes"))</f>
        <v/>
      </c>
      <c r="C451" s="17" t="n"/>
      <c r="D451" s="17" t="n"/>
      <c r="E451" s="17" t="n"/>
      <c r="F451" s="23" t="n"/>
      <c r="G451" s="23" t="n"/>
      <c r="H451" s="23" t="n"/>
      <c r="I451" s="17" t="n"/>
      <c r="J451" s="17" t="n"/>
      <c r="K451" s="17" t="n"/>
      <c r="L451" s="17">
        <f>IF(AND(A451="",C451=""),"",IF(A451="","FALTA doc. cliente",IF(B451="NO EXISTE en Clientes","CLIENTE no está en hoja Clientes",IF(C451="","FALTA nombre",IF(AND(K451="SI",COUNTIFS($A$5:$A$499,A451,$K$5:$K$499,"SI")&gt;1),"Más de un contacto principal para este cliente","OK")))))</f>
        <v/>
      </c>
      <c r="M451" s="28">
        <f>IF(L451&lt;&gt;"OK","","INSERT INTO cli_contacto (id_cliente, nombre, apellido_paterno, apellido_materno, telefono1, telefono2, telefono3, email, direccion, es_principal, estado) SELECT "&amp;"(SELECT id FROM cli_clientes WHERE numero_documento = '"&amp;SUBSTITUTE(TRIM(A451),"'","''")&amp;"' AND estado = 1 LIMIT 1)"&amp;", "&amp;IF(TRIM(C451&amp;"")="","NULL","'"&amp;SUBSTITUTE(TRIM(C451),"'","''")&amp;"'")&amp;", "&amp;IF(TRIM(D451&amp;"")="","NULL","'"&amp;SUBSTITUTE(TRIM(D451),"'","''")&amp;"'")&amp;", "&amp;IF(TRIM(E451&amp;"")="","NULL","'"&amp;SUBSTITUTE(TRIM(E451),"'","''")&amp;"'")&amp;", "&amp;IF(TRIM(F451&amp;"")="","NULL","'"&amp;SUBSTITUTE(TRIM(F451),"'","''")&amp;"'")&amp;", "&amp;IF(TRIM(G451&amp;"")="","NULL","'"&amp;SUBSTITUTE(TRIM(G451),"'","''")&amp;"'")&amp;", "&amp;IF(TRIM(H451&amp;"")="","NULL","'"&amp;SUBSTITUTE(TRIM(H451),"'","''")&amp;"'")&amp;", "&amp;IF(TRIM(I451&amp;"")="","NULL","'"&amp;SUBSTITUTE(TRIM(I451),"'","''")&amp;"'")&amp;", "&amp;IF(TRIM(J451&amp;"")="","NULL","'"&amp;SUBSTITUTE(TRIM(J451),"'","''")&amp;"'")&amp;", "&amp;IF(UPPER(TRIM(K451&amp;""))="SI","TRUE","FALSE")&amp;", 1"&amp;" WHERE NOT EXISTS (SELECT 1 FROM cli_contacto c WHERE c.id_cliente = "&amp;"(SELECT id FROM cli_clientes WHERE numero_documento = '"&amp;SUBSTITUTE(TRIM(A451),"'","''")&amp;"' AND estado = 1 LIMIT 1)"&amp;" AND upper(c.nombre) = upper("&amp;IF(TRIM(C451&amp;"")="","NULL","'"&amp;SUBSTITUTE(TRIM(C451),"'","''")&amp;"'")&amp;") AND coalesce(c.telefono1,'') = coalesce("&amp;IF(TRIM(F451&amp;"")="","NULL","'"&amp;SUBSTITUTE(TRIM(F451),"'","''")&amp;"'")&amp;",''));")</f>
        <v/>
      </c>
    </row>
    <row r="452" ht="15.75" customHeight="1" s="64">
      <c r="A452" s="23" t="n"/>
      <c r="B452" s="25">
        <f t="array" ref="B452">IF(A452="","",IFERROR(IF(INDEX(Clientes!$D$5:$D$549,MATCH(A452,Clientes!$C$5:$C$549,0))&lt;&gt;"",INDEX(Clientes!$D$5:$D$549,MATCH(A452,Clientes!$C$5:$C$549,0)),TRIM(INDEX(Clientes!$E$5:$E$549,MATCH(A452,Clientes!$C$5:$C$549,0))&amp;" "&amp;INDEX(Clientes!$F$5:$F$549,MATCH(A452,Clientes!$C$5:$C$549,0)))),"NO EXISTE en Clientes"))</f>
        <v/>
      </c>
      <c r="C452" s="17" t="n"/>
      <c r="D452" s="17" t="n"/>
      <c r="E452" s="17" t="n"/>
      <c r="F452" s="23" t="n"/>
      <c r="G452" s="23" t="n"/>
      <c r="H452" s="23" t="n"/>
      <c r="I452" s="17" t="n"/>
      <c r="J452" s="17" t="n"/>
      <c r="K452" s="17" t="n"/>
      <c r="L452" s="17">
        <f>IF(AND(A452="",C452=""),"",IF(A452="","FALTA doc. cliente",IF(B452="NO EXISTE en Clientes","CLIENTE no está en hoja Clientes",IF(C452="","FALTA nombre",IF(AND(K452="SI",COUNTIFS($A$5:$A$499,A452,$K$5:$K$499,"SI")&gt;1),"Más de un contacto principal para este cliente","OK")))))</f>
        <v/>
      </c>
      <c r="M452" s="28">
        <f>IF(L452&lt;&gt;"OK","","INSERT INTO cli_contacto (id_cliente, nombre, apellido_paterno, apellido_materno, telefono1, telefono2, telefono3, email, direccion, es_principal, estado) SELECT "&amp;"(SELECT id FROM cli_clientes WHERE numero_documento = '"&amp;SUBSTITUTE(TRIM(A452),"'","''")&amp;"' AND estado = 1 LIMIT 1)"&amp;", "&amp;IF(TRIM(C452&amp;"")="","NULL","'"&amp;SUBSTITUTE(TRIM(C452),"'","''")&amp;"'")&amp;", "&amp;IF(TRIM(D452&amp;"")="","NULL","'"&amp;SUBSTITUTE(TRIM(D452),"'","''")&amp;"'")&amp;", "&amp;IF(TRIM(E452&amp;"")="","NULL","'"&amp;SUBSTITUTE(TRIM(E452),"'","''")&amp;"'")&amp;", "&amp;IF(TRIM(F452&amp;"")="","NULL","'"&amp;SUBSTITUTE(TRIM(F452),"'","''")&amp;"'")&amp;", "&amp;IF(TRIM(G452&amp;"")="","NULL","'"&amp;SUBSTITUTE(TRIM(G452),"'","''")&amp;"'")&amp;", "&amp;IF(TRIM(H452&amp;"")="","NULL","'"&amp;SUBSTITUTE(TRIM(H452),"'","''")&amp;"'")&amp;", "&amp;IF(TRIM(I452&amp;"")="","NULL","'"&amp;SUBSTITUTE(TRIM(I452),"'","''")&amp;"'")&amp;", "&amp;IF(TRIM(J452&amp;"")="","NULL","'"&amp;SUBSTITUTE(TRIM(J452),"'","''")&amp;"'")&amp;", "&amp;IF(UPPER(TRIM(K452&amp;""))="SI","TRUE","FALSE")&amp;", 1"&amp;" WHERE NOT EXISTS (SELECT 1 FROM cli_contacto c WHERE c.id_cliente = "&amp;"(SELECT id FROM cli_clientes WHERE numero_documento = '"&amp;SUBSTITUTE(TRIM(A452),"'","''")&amp;"' AND estado = 1 LIMIT 1)"&amp;" AND upper(c.nombre) = upper("&amp;IF(TRIM(C452&amp;"")="","NULL","'"&amp;SUBSTITUTE(TRIM(C452),"'","''")&amp;"'")&amp;") AND coalesce(c.telefono1,'') = coalesce("&amp;IF(TRIM(F452&amp;"")="","NULL","'"&amp;SUBSTITUTE(TRIM(F452),"'","''")&amp;"'")&amp;",''));")</f>
        <v/>
      </c>
    </row>
    <row r="453" ht="15.75" customHeight="1" s="64">
      <c r="A453" s="23" t="n"/>
      <c r="B453" s="25">
        <f t="array" ref="B453">IF(A453="","",IFERROR(IF(INDEX(Clientes!$D$5:$D$549,MATCH(A453,Clientes!$C$5:$C$549,0))&lt;&gt;"",INDEX(Clientes!$D$5:$D$549,MATCH(A453,Clientes!$C$5:$C$549,0)),TRIM(INDEX(Clientes!$E$5:$E$549,MATCH(A453,Clientes!$C$5:$C$549,0))&amp;" "&amp;INDEX(Clientes!$F$5:$F$549,MATCH(A453,Clientes!$C$5:$C$549,0)))),"NO EXISTE en Clientes"))</f>
        <v/>
      </c>
      <c r="C453" s="17" t="n"/>
      <c r="D453" s="17" t="n"/>
      <c r="E453" s="17" t="n"/>
      <c r="F453" s="23" t="n"/>
      <c r="G453" s="23" t="n"/>
      <c r="H453" s="23" t="n"/>
      <c r="I453" s="17" t="n"/>
      <c r="J453" s="17" t="n"/>
      <c r="K453" s="17" t="n"/>
      <c r="L453" s="17">
        <f>IF(AND(A453="",C453=""),"",IF(A453="","FALTA doc. cliente",IF(B453="NO EXISTE en Clientes","CLIENTE no está en hoja Clientes",IF(C453="","FALTA nombre",IF(AND(K453="SI",COUNTIFS($A$5:$A$499,A453,$K$5:$K$499,"SI")&gt;1),"Más de un contacto principal para este cliente","OK")))))</f>
        <v/>
      </c>
      <c r="M453" s="28">
        <f>IF(L453&lt;&gt;"OK","","INSERT INTO cli_contacto (id_cliente, nombre, apellido_paterno, apellido_materno, telefono1, telefono2, telefono3, email, direccion, es_principal, estado) SELECT "&amp;"(SELECT id FROM cli_clientes WHERE numero_documento = '"&amp;SUBSTITUTE(TRIM(A453),"'","''")&amp;"' AND estado = 1 LIMIT 1)"&amp;", "&amp;IF(TRIM(C453&amp;"")="","NULL","'"&amp;SUBSTITUTE(TRIM(C453),"'","''")&amp;"'")&amp;", "&amp;IF(TRIM(D453&amp;"")="","NULL","'"&amp;SUBSTITUTE(TRIM(D453),"'","''")&amp;"'")&amp;", "&amp;IF(TRIM(E453&amp;"")="","NULL","'"&amp;SUBSTITUTE(TRIM(E453),"'","''")&amp;"'")&amp;", "&amp;IF(TRIM(F453&amp;"")="","NULL","'"&amp;SUBSTITUTE(TRIM(F453),"'","''")&amp;"'")&amp;", "&amp;IF(TRIM(G453&amp;"")="","NULL","'"&amp;SUBSTITUTE(TRIM(G453),"'","''")&amp;"'")&amp;", "&amp;IF(TRIM(H453&amp;"")="","NULL","'"&amp;SUBSTITUTE(TRIM(H453),"'","''")&amp;"'")&amp;", "&amp;IF(TRIM(I453&amp;"")="","NULL","'"&amp;SUBSTITUTE(TRIM(I453),"'","''")&amp;"'")&amp;", "&amp;IF(TRIM(J453&amp;"")="","NULL","'"&amp;SUBSTITUTE(TRIM(J453),"'","''")&amp;"'")&amp;", "&amp;IF(UPPER(TRIM(K453&amp;""))="SI","TRUE","FALSE")&amp;", 1"&amp;" WHERE NOT EXISTS (SELECT 1 FROM cli_contacto c WHERE c.id_cliente = "&amp;"(SELECT id FROM cli_clientes WHERE numero_documento = '"&amp;SUBSTITUTE(TRIM(A453),"'","''")&amp;"' AND estado = 1 LIMIT 1)"&amp;" AND upper(c.nombre) = upper("&amp;IF(TRIM(C453&amp;"")="","NULL","'"&amp;SUBSTITUTE(TRIM(C453),"'","''")&amp;"'")&amp;") AND coalesce(c.telefono1,'') = coalesce("&amp;IF(TRIM(F453&amp;"")="","NULL","'"&amp;SUBSTITUTE(TRIM(F453),"'","''")&amp;"'")&amp;",''));")</f>
        <v/>
      </c>
    </row>
    <row r="454" ht="15.75" customHeight="1" s="64">
      <c r="A454" s="23" t="n"/>
      <c r="B454" s="25">
        <f t="array" ref="B454">IF(A454="","",IFERROR(IF(INDEX(Clientes!$D$5:$D$549,MATCH(A454,Clientes!$C$5:$C$549,0))&lt;&gt;"",INDEX(Clientes!$D$5:$D$549,MATCH(A454,Clientes!$C$5:$C$549,0)),TRIM(INDEX(Clientes!$E$5:$E$549,MATCH(A454,Clientes!$C$5:$C$549,0))&amp;" "&amp;INDEX(Clientes!$F$5:$F$549,MATCH(A454,Clientes!$C$5:$C$549,0)))),"NO EXISTE en Clientes"))</f>
        <v/>
      </c>
      <c r="C454" s="17" t="n"/>
      <c r="D454" s="17" t="n"/>
      <c r="E454" s="17" t="n"/>
      <c r="F454" s="23" t="n"/>
      <c r="G454" s="23" t="n"/>
      <c r="H454" s="23" t="n"/>
      <c r="I454" s="17" t="n"/>
      <c r="J454" s="17" t="n"/>
      <c r="K454" s="17" t="n"/>
      <c r="L454" s="17">
        <f>IF(AND(A454="",C454=""),"",IF(A454="","FALTA doc. cliente",IF(B454="NO EXISTE en Clientes","CLIENTE no está en hoja Clientes",IF(C454="","FALTA nombre",IF(AND(K454="SI",COUNTIFS($A$5:$A$499,A454,$K$5:$K$499,"SI")&gt;1),"Más de un contacto principal para este cliente","OK")))))</f>
        <v/>
      </c>
      <c r="M454" s="28">
        <f>IF(L454&lt;&gt;"OK","","INSERT INTO cli_contacto (id_cliente, nombre, apellido_paterno, apellido_materno, telefono1, telefono2, telefono3, email, direccion, es_principal, estado) SELECT "&amp;"(SELECT id FROM cli_clientes WHERE numero_documento = '"&amp;SUBSTITUTE(TRIM(A454),"'","''")&amp;"' AND estado = 1 LIMIT 1)"&amp;", "&amp;IF(TRIM(C454&amp;"")="","NULL","'"&amp;SUBSTITUTE(TRIM(C454),"'","''")&amp;"'")&amp;", "&amp;IF(TRIM(D454&amp;"")="","NULL","'"&amp;SUBSTITUTE(TRIM(D454),"'","''")&amp;"'")&amp;", "&amp;IF(TRIM(E454&amp;"")="","NULL","'"&amp;SUBSTITUTE(TRIM(E454),"'","''")&amp;"'")&amp;", "&amp;IF(TRIM(F454&amp;"")="","NULL","'"&amp;SUBSTITUTE(TRIM(F454),"'","''")&amp;"'")&amp;", "&amp;IF(TRIM(G454&amp;"")="","NULL","'"&amp;SUBSTITUTE(TRIM(G454),"'","''")&amp;"'")&amp;", "&amp;IF(TRIM(H454&amp;"")="","NULL","'"&amp;SUBSTITUTE(TRIM(H454),"'","''")&amp;"'")&amp;", "&amp;IF(TRIM(I454&amp;"")="","NULL","'"&amp;SUBSTITUTE(TRIM(I454),"'","''")&amp;"'")&amp;", "&amp;IF(TRIM(J454&amp;"")="","NULL","'"&amp;SUBSTITUTE(TRIM(J454),"'","''")&amp;"'")&amp;", "&amp;IF(UPPER(TRIM(K454&amp;""))="SI","TRUE","FALSE")&amp;", 1"&amp;" WHERE NOT EXISTS (SELECT 1 FROM cli_contacto c WHERE c.id_cliente = "&amp;"(SELECT id FROM cli_clientes WHERE numero_documento = '"&amp;SUBSTITUTE(TRIM(A454),"'","''")&amp;"' AND estado = 1 LIMIT 1)"&amp;" AND upper(c.nombre) = upper("&amp;IF(TRIM(C454&amp;"")="","NULL","'"&amp;SUBSTITUTE(TRIM(C454),"'","''")&amp;"'")&amp;") AND coalesce(c.telefono1,'') = coalesce("&amp;IF(TRIM(F454&amp;"")="","NULL","'"&amp;SUBSTITUTE(TRIM(F454),"'","''")&amp;"'")&amp;",''));")</f>
        <v/>
      </c>
    </row>
    <row r="455" ht="15.75" customHeight="1" s="64">
      <c r="A455" s="23" t="n"/>
      <c r="B455" s="25">
        <f t="array" ref="B455">IF(A455="","",IFERROR(IF(INDEX(Clientes!$D$5:$D$549,MATCH(A455,Clientes!$C$5:$C$549,0))&lt;&gt;"",INDEX(Clientes!$D$5:$D$549,MATCH(A455,Clientes!$C$5:$C$549,0)),TRIM(INDEX(Clientes!$E$5:$E$549,MATCH(A455,Clientes!$C$5:$C$549,0))&amp;" "&amp;INDEX(Clientes!$F$5:$F$549,MATCH(A455,Clientes!$C$5:$C$549,0)))),"NO EXISTE en Clientes"))</f>
        <v/>
      </c>
      <c r="C455" s="17" t="n"/>
      <c r="D455" s="17" t="n"/>
      <c r="E455" s="17" t="n"/>
      <c r="F455" s="23" t="n"/>
      <c r="G455" s="23" t="n"/>
      <c r="H455" s="23" t="n"/>
      <c r="I455" s="17" t="n"/>
      <c r="J455" s="17" t="n"/>
      <c r="K455" s="17" t="n"/>
      <c r="L455" s="17">
        <f>IF(AND(A455="",C455=""),"",IF(A455="","FALTA doc. cliente",IF(B455="NO EXISTE en Clientes","CLIENTE no está en hoja Clientes",IF(C455="","FALTA nombre",IF(AND(K455="SI",COUNTIFS($A$5:$A$499,A455,$K$5:$K$499,"SI")&gt;1),"Más de un contacto principal para este cliente","OK")))))</f>
        <v/>
      </c>
      <c r="M455" s="28">
        <f>IF(L455&lt;&gt;"OK","","INSERT INTO cli_contacto (id_cliente, nombre, apellido_paterno, apellido_materno, telefono1, telefono2, telefono3, email, direccion, es_principal, estado) SELECT "&amp;"(SELECT id FROM cli_clientes WHERE numero_documento = '"&amp;SUBSTITUTE(TRIM(A455),"'","''")&amp;"' AND estado = 1 LIMIT 1)"&amp;", "&amp;IF(TRIM(C455&amp;"")="","NULL","'"&amp;SUBSTITUTE(TRIM(C455),"'","''")&amp;"'")&amp;", "&amp;IF(TRIM(D455&amp;"")="","NULL","'"&amp;SUBSTITUTE(TRIM(D455),"'","''")&amp;"'")&amp;", "&amp;IF(TRIM(E455&amp;"")="","NULL","'"&amp;SUBSTITUTE(TRIM(E455),"'","''")&amp;"'")&amp;", "&amp;IF(TRIM(F455&amp;"")="","NULL","'"&amp;SUBSTITUTE(TRIM(F455),"'","''")&amp;"'")&amp;", "&amp;IF(TRIM(G455&amp;"")="","NULL","'"&amp;SUBSTITUTE(TRIM(G455),"'","''")&amp;"'")&amp;", "&amp;IF(TRIM(H455&amp;"")="","NULL","'"&amp;SUBSTITUTE(TRIM(H455),"'","''")&amp;"'")&amp;", "&amp;IF(TRIM(I455&amp;"")="","NULL","'"&amp;SUBSTITUTE(TRIM(I455),"'","''")&amp;"'")&amp;", "&amp;IF(TRIM(J455&amp;"")="","NULL","'"&amp;SUBSTITUTE(TRIM(J455),"'","''")&amp;"'")&amp;", "&amp;IF(UPPER(TRIM(K455&amp;""))="SI","TRUE","FALSE")&amp;", 1"&amp;" WHERE NOT EXISTS (SELECT 1 FROM cli_contacto c WHERE c.id_cliente = "&amp;"(SELECT id FROM cli_clientes WHERE numero_documento = '"&amp;SUBSTITUTE(TRIM(A455),"'","''")&amp;"' AND estado = 1 LIMIT 1)"&amp;" AND upper(c.nombre) = upper("&amp;IF(TRIM(C455&amp;"")="","NULL","'"&amp;SUBSTITUTE(TRIM(C455),"'","''")&amp;"'")&amp;") AND coalesce(c.telefono1,'') = coalesce("&amp;IF(TRIM(F455&amp;"")="","NULL","'"&amp;SUBSTITUTE(TRIM(F455),"'","''")&amp;"'")&amp;",''));")</f>
        <v/>
      </c>
    </row>
    <row r="456" ht="15.75" customHeight="1" s="64">
      <c r="A456" s="23" t="n"/>
      <c r="B456" s="25">
        <f t="array" ref="B456">IF(A456="","",IFERROR(IF(INDEX(Clientes!$D$5:$D$549,MATCH(A456,Clientes!$C$5:$C$549,0))&lt;&gt;"",INDEX(Clientes!$D$5:$D$549,MATCH(A456,Clientes!$C$5:$C$549,0)),TRIM(INDEX(Clientes!$E$5:$E$549,MATCH(A456,Clientes!$C$5:$C$549,0))&amp;" "&amp;INDEX(Clientes!$F$5:$F$549,MATCH(A456,Clientes!$C$5:$C$549,0)))),"NO EXISTE en Clientes"))</f>
        <v/>
      </c>
      <c r="C456" s="17" t="n"/>
      <c r="D456" s="17" t="n"/>
      <c r="E456" s="17" t="n"/>
      <c r="F456" s="23" t="n"/>
      <c r="G456" s="23" t="n"/>
      <c r="H456" s="23" t="n"/>
      <c r="I456" s="17" t="n"/>
      <c r="J456" s="17" t="n"/>
      <c r="K456" s="17" t="n"/>
      <c r="L456" s="17">
        <f>IF(AND(A456="",C456=""),"",IF(A456="","FALTA doc. cliente",IF(B456="NO EXISTE en Clientes","CLIENTE no está en hoja Clientes",IF(C456="","FALTA nombre",IF(AND(K456="SI",COUNTIFS($A$5:$A$499,A456,$K$5:$K$499,"SI")&gt;1),"Más de un contacto principal para este cliente","OK")))))</f>
        <v/>
      </c>
      <c r="M456" s="28">
        <f>IF(L456&lt;&gt;"OK","","INSERT INTO cli_contacto (id_cliente, nombre, apellido_paterno, apellido_materno, telefono1, telefono2, telefono3, email, direccion, es_principal, estado) SELECT "&amp;"(SELECT id FROM cli_clientes WHERE numero_documento = '"&amp;SUBSTITUTE(TRIM(A456),"'","''")&amp;"' AND estado = 1 LIMIT 1)"&amp;", "&amp;IF(TRIM(C456&amp;"")="","NULL","'"&amp;SUBSTITUTE(TRIM(C456),"'","''")&amp;"'")&amp;", "&amp;IF(TRIM(D456&amp;"")="","NULL","'"&amp;SUBSTITUTE(TRIM(D456),"'","''")&amp;"'")&amp;", "&amp;IF(TRIM(E456&amp;"")="","NULL","'"&amp;SUBSTITUTE(TRIM(E456),"'","''")&amp;"'")&amp;", "&amp;IF(TRIM(F456&amp;"")="","NULL","'"&amp;SUBSTITUTE(TRIM(F456),"'","''")&amp;"'")&amp;", "&amp;IF(TRIM(G456&amp;"")="","NULL","'"&amp;SUBSTITUTE(TRIM(G456),"'","''")&amp;"'")&amp;", "&amp;IF(TRIM(H456&amp;"")="","NULL","'"&amp;SUBSTITUTE(TRIM(H456),"'","''")&amp;"'")&amp;", "&amp;IF(TRIM(I456&amp;"")="","NULL","'"&amp;SUBSTITUTE(TRIM(I456),"'","''")&amp;"'")&amp;", "&amp;IF(TRIM(J456&amp;"")="","NULL","'"&amp;SUBSTITUTE(TRIM(J456),"'","''")&amp;"'")&amp;", "&amp;IF(UPPER(TRIM(K456&amp;""))="SI","TRUE","FALSE")&amp;", 1"&amp;" WHERE NOT EXISTS (SELECT 1 FROM cli_contacto c WHERE c.id_cliente = "&amp;"(SELECT id FROM cli_clientes WHERE numero_documento = '"&amp;SUBSTITUTE(TRIM(A456),"'","''")&amp;"' AND estado = 1 LIMIT 1)"&amp;" AND upper(c.nombre) = upper("&amp;IF(TRIM(C456&amp;"")="","NULL","'"&amp;SUBSTITUTE(TRIM(C456),"'","''")&amp;"'")&amp;") AND coalesce(c.telefono1,'') = coalesce("&amp;IF(TRIM(F456&amp;"")="","NULL","'"&amp;SUBSTITUTE(TRIM(F456),"'","''")&amp;"'")&amp;",''));")</f>
        <v/>
      </c>
    </row>
    <row r="457" ht="15.75" customHeight="1" s="64">
      <c r="A457" s="23" t="n"/>
      <c r="B457" s="25">
        <f t="array" ref="B457">IF(A457="","",IFERROR(IF(INDEX(Clientes!$D$5:$D$549,MATCH(A457,Clientes!$C$5:$C$549,0))&lt;&gt;"",INDEX(Clientes!$D$5:$D$549,MATCH(A457,Clientes!$C$5:$C$549,0)),TRIM(INDEX(Clientes!$E$5:$E$549,MATCH(A457,Clientes!$C$5:$C$549,0))&amp;" "&amp;INDEX(Clientes!$F$5:$F$549,MATCH(A457,Clientes!$C$5:$C$549,0)))),"NO EXISTE en Clientes"))</f>
        <v/>
      </c>
      <c r="C457" s="17" t="n"/>
      <c r="D457" s="17" t="n"/>
      <c r="E457" s="17" t="n"/>
      <c r="F457" s="23" t="n"/>
      <c r="G457" s="23" t="n"/>
      <c r="H457" s="23" t="n"/>
      <c r="I457" s="17" t="n"/>
      <c r="J457" s="17" t="n"/>
      <c r="K457" s="17" t="n"/>
      <c r="L457" s="17">
        <f>IF(AND(A457="",C457=""),"",IF(A457="","FALTA doc. cliente",IF(B457="NO EXISTE en Clientes","CLIENTE no está en hoja Clientes",IF(C457="","FALTA nombre",IF(AND(K457="SI",COUNTIFS($A$5:$A$499,A457,$K$5:$K$499,"SI")&gt;1),"Más de un contacto principal para este cliente","OK")))))</f>
        <v/>
      </c>
      <c r="M457" s="28">
        <f>IF(L457&lt;&gt;"OK","","INSERT INTO cli_contacto (id_cliente, nombre, apellido_paterno, apellido_materno, telefono1, telefono2, telefono3, email, direccion, es_principal, estado) SELECT "&amp;"(SELECT id FROM cli_clientes WHERE numero_documento = '"&amp;SUBSTITUTE(TRIM(A457),"'","''")&amp;"' AND estado = 1 LIMIT 1)"&amp;", "&amp;IF(TRIM(C457&amp;"")="","NULL","'"&amp;SUBSTITUTE(TRIM(C457),"'","''")&amp;"'")&amp;", "&amp;IF(TRIM(D457&amp;"")="","NULL","'"&amp;SUBSTITUTE(TRIM(D457),"'","''")&amp;"'")&amp;", "&amp;IF(TRIM(E457&amp;"")="","NULL","'"&amp;SUBSTITUTE(TRIM(E457),"'","''")&amp;"'")&amp;", "&amp;IF(TRIM(F457&amp;"")="","NULL","'"&amp;SUBSTITUTE(TRIM(F457),"'","''")&amp;"'")&amp;", "&amp;IF(TRIM(G457&amp;"")="","NULL","'"&amp;SUBSTITUTE(TRIM(G457),"'","''")&amp;"'")&amp;", "&amp;IF(TRIM(H457&amp;"")="","NULL","'"&amp;SUBSTITUTE(TRIM(H457),"'","''")&amp;"'")&amp;", "&amp;IF(TRIM(I457&amp;"")="","NULL","'"&amp;SUBSTITUTE(TRIM(I457),"'","''")&amp;"'")&amp;", "&amp;IF(TRIM(J457&amp;"")="","NULL","'"&amp;SUBSTITUTE(TRIM(J457),"'","''")&amp;"'")&amp;", "&amp;IF(UPPER(TRIM(K457&amp;""))="SI","TRUE","FALSE")&amp;", 1"&amp;" WHERE NOT EXISTS (SELECT 1 FROM cli_contacto c WHERE c.id_cliente = "&amp;"(SELECT id FROM cli_clientes WHERE numero_documento = '"&amp;SUBSTITUTE(TRIM(A457),"'","''")&amp;"' AND estado = 1 LIMIT 1)"&amp;" AND upper(c.nombre) = upper("&amp;IF(TRIM(C457&amp;"")="","NULL","'"&amp;SUBSTITUTE(TRIM(C457),"'","''")&amp;"'")&amp;") AND coalesce(c.telefono1,'') = coalesce("&amp;IF(TRIM(F457&amp;"")="","NULL","'"&amp;SUBSTITUTE(TRIM(F457),"'","''")&amp;"'")&amp;",''));")</f>
        <v/>
      </c>
    </row>
    <row r="458" ht="15.75" customHeight="1" s="64">
      <c r="A458" s="23" t="n"/>
      <c r="B458" s="25">
        <f t="array" ref="B458">IF(A458="","",IFERROR(IF(INDEX(Clientes!$D$5:$D$549,MATCH(A458,Clientes!$C$5:$C$549,0))&lt;&gt;"",INDEX(Clientes!$D$5:$D$549,MATCH(A458,Clientes!$C$5:$C$549,0)),TRIM(INDEX(Clientes!$E$5:$E$549,MATCH(A458,Clientes!$C$5:$C$549,0))&amp;" "&amp;INDEX(Clientes!$F$5:$F$549,MATCH(A458,Clientes!$C$5:$C$549,0)))),"NO EXISTE en Clientes"))</f>
        <v/>
      </c>
      <c r="C458" s="17" t="n"/>
      <c r="D458" s="17" t="n"/>
      <c r="E458" s="17" t="n"/>
      <c r="F458" s="23" t="n"/>
      <c r="G458" s="23" t="n"/>
      <c r="H458" s="23" t="n"/>
      <c r="I458" s="17" t="n"/>
      <c r="J458" s="17" t="n"/>
      <c r="K458" s="17" t="n"/>
      <c r="L458" s="17">
        <f>IF(AND(A458="",C458=""),"",IF(A458="","FALTA doc. cliente",IF(B458="NO EXISTE en Clientes","CLIENTE no está en hoja Clientes",IF(C458="","FALTA nombre",IF(AND(K458="SI",COUNTIFS($A$5:$A$499,A458,$K$5:$K$499,"SI")&gt;1),"Más de un contacto principal para este cliente","OK")))))</f>
        <v/>
      </c>
      <c r="M458" s="28">
        <f>IF(L458&lt;&gt;"OK","","INSERT INTO cli_contacto (id_cliente, nombre, apellido_paterno, apellido_materno, telefono1, telefono2, telefono3, email, direccion, es_principal, estado) SELECT "&amp;"(SELECT id FROM cli_clientes WHERE numero_documento = '"&amp;SUBSTITUTE(TRIM(A458),"'","''")&amp;"' AND estado = 1 LIMIT 1)"&amp;", "&amp;IF(TRIM(C458&amp;"")="","NULL","'"&amp;SUBSTITUTE(TRIM(C458),"'","''")&amp;"'")&amp;", "&amp;IF(TRIM(D458&amp;"")="","NULL","'"&amp;SUBSTITUTE(TRIM(D458),"'","''")&amp;"'")&amp;", "&amp;IF(TRIM(E458&amp;"")="","NULL","'"&amp;SUBSTITUTE(TRIM(E458),"'","''")&amp;"'")&amp;", "&amp;IF(TRIM(F458&amp;"")="","NULL","'"&amp;SUBSTITUTE(TRIM(F458),"'","''")&amp;"'")&amp;", "&amp;IF(TRIM(G458&amp;"")="","NULL","'"&amp;SUBSTITUTE(TRIM(G458),"'","''")&amp;"'")&amp;", "&amp;IF(TRIM(H458&amp;"")="","NULL","'"&amp;SUBSTITUTE(TRIM(H458),"'","''")&amp;"'")&amp;", "&amp;IF(TRIM(I458&amp;"")="","NULL","'"&amp;SUBSTITUTE(TRIM(I458),"'","''")&amp;"'")&amp;", "&amp;IF(TRIM(J458&amp;"")="","NULL","'"&amp;SUBSTITUTE(TRIM(J458),"'","''")&amp;"'")&amp;", "&amp;IF(UPPER(TRIM(K458&amp;""))="SI","TRUE","FALSE")&amp;", 1"&amp;" WHERE NOT EXISTS (SELECT 1 FROM cli_contacto c WHERE c.id_cliente = "&amp;"(SELECT id FROM cli_clientes WHERE numero_documento = '"&amp;SUBSTITUTE(TRIM(A458),"'","''")&amp;"' AND estado = 1 LIMIT 1)"&amp;" AND upper(c.nombre) = upper("&amp;IF(TRIM(C458&amp;"")="","NULL","'"&amp;SUBSTITUTE(TRIM(C458),"'","''")&amp;"'")&amp;") AND coalesce(c.telefono1,'') = coalesce("&amp;IF(TRIM(F458&amp;"")="","NULL","'"&amp;SUBSTITUTE(TRIM(F458),"'","''")&amp;"'")&amp;",''));")</f>
        <v/>
      </c>
    </row>
    <row r="459" ht="15.75" customHeight="1" s="64">
      <c r="A459" s="23" t="n"/>
      <c r="B459" s="25">
        <f t="array" ref="B459">IF(A459="","",IFERROR(IF(INDEX(Clientes!$D$5:$D$549,MATCH(A459,Clientes!$C$5:$C$549,0))&lt;&gt;"",INDEX(Clientes!$D$5:$D$549,MATCH(A459,Clientes!$C$5:$C$549,0)),TRIM(INDEX(Clientes!$E$5:$E$549,MATCH(A459,Clientes!$C$5:$C$549,0))&amp;" "&amp;INDEX(Clientes!$F$5:$F$549,MATCH(A459,Clientes!$C$5:$C$549,0)))),"NO EXISTE en Clientes"))</f>
        <v/>
      </c>
      <c r="C459" s="17" t="n"/>
      <c r="D459" s="17" t="n"/>
      <c r="E459" s="17" t="n"/>
      <c r="F459" s="23" t="n"/>
      <c r="G459" s="23" t="n"/>
      <c r="H459" s="23" t="n"/>
      <c r="I459" s="17" t="n"/>
      <c r="J459" s="17" t="n"/>
      <c r="K459" s="17" t="n"/>
      <c r="L459" s="17">
        <f>IF(AND(A459="",C459=""),"",IF(A459="","FALTA doc. cliente",IF(B459="NO EXISTE en Clientes","CLIENTE no está en hoja Clientes",IF(C459="","FALTA nombre",IF(AND(K459="SI",COUNTIFS($A$5:$A$499,A459,$K$5:$K$499,"SI")&gt;1),"Más de un contacto principal para este cliente","OK")))))</f>
        <v/>
      </c>
      <c r="M459" s="28">
        <f>IF(L459&lt;&gt;"OK","","INSERT INTO cli_contacto (id_cliente, nombre, apellido_paterno, apellido_materno, telefono1, telefono2, telefono3, email, direccion, es_principal, estado) SELECT "&amp;"(SELECT id FROM cli_clientes WHERE numero_documento = '"&amp;SUBSTITUTE(TRIM(A459),"'","''")&amp;"' AND estado = 1 LIMIT 1)"&amp;", "&amp;IF(TRIM(C459&amp;"")="","NULL","'"&amp;SUBSTITUTE(TRIM(C459),"'","''")&amp;"'")&amp;", "&amp;IF(TRIM(D459&amp;"")="","NULL","'"&amp;SUBSTITUTE(TRIM(D459),"'","''")&amp;"'")&amp;", "&amp;IF(TRIM(E459&amp;"")="","NULL","'"&amp;SUBSTITUTE(TRIM(E459),"'","''")&amp;"'")&amp;", "&amp;IF(TRIM(F459&amp;"")="","NULL","'"&amp;SUBSTITUTE(TRIM(F459),"'","''")&amp;"'")&amp;", "&amp;IF(TRIM(G459&amp;"")="","NULL","'"&amp;SUBSTITUTE(TRIM(G459),"'","''")&amp;"'")&amp;", "&amp;IF(TRIM(H459&amp;"")="","NULL","'"&amp;SUBSTITUTE(TRIM(H459),"'","''")&amp;"'")&amp;", "&amp;IF(TRIM(I459&amp;"")="","NULL","'"&amp;SUBSTITUTE(TRIM(I459),"'","''")&amp;"'")&amp;", "&amp;IF(TRIM(J459&amp;"")="","NULL","'"&amp;SUBSTITUTE(TRIM(J459),"'","''")&amp;"'")&amp;", "&amp;IF(UPPER(TRIM(K459&amp;""))="SI","TRUE","FALSE")&amp;", 1"&amp;" WHERE NOT EXISTS (SELECT 1 FROM cli_contacto c WHERE c.id_cliente = "&amp;"(SELECT id FROM cli_clientes WHERE numero_documento = '"&amp;SUBSTITUTE(TRIM(A459),"'","''")&amp;"' AND estado = 1 LIMIT 1)"&amp;" AND upper(c.nombre) = upper("&amp;IF(TRIM(C459&amp;"")="","NULL","'"&amp;SUBSTITUTE(TRIM(C459),"'","''")&amp;"'")&amp;") AND coalesce(c.telefono1,'') = coalesce("&amp;IF(TRIM(F459&amp;"")="","NULL","'"&amp;SUBSTITUTE(TRIM(F459),"'","''")&amp;"'")&amp;",''));")</f>
        <v/>
      </c>
    </row>
    <row r="460" ht="15.75" customHeight="1" s="64">
      <c r="A460" s="23" t="n"/>
      <c r="B460" s="25">
        <f t="array" ref="B460">IF(A460="","",IFERROR(IF(INDEX(Clientes!$D$5:$D$549,MATCH(A460,Clientes!$C$5:$C$549,0))&lt;&gt;"",INDEX(Clientes!$D$5:$D$549,MATCH(A460,Clientes!$C$5:$C$549,0)),TRIM(INDEX(Clientes!$E$5:$E$549,MATCH(A460,Clientes!$C$5:$C$549,0))&amp;" "&amp;INDEX(Clientes!$F$5:$F$549,MATCH(A460,Clientes!$C$5:$C$549,0)))),"NO EXISTE en Clientes"))</f>
        <v/>
      </c>
      <c r="C460" s="17" t="n"/>
      <c r="D460" s="17" t="n"/>
      <c r="E460" s="17" t="n"/>
      <c r="F460" s="23" t="n"/>
      <c r="G460" s="23" t="n"/>
      <c r="H460" s="23" t="n"/>
      <c r="I460" s="17" t="n"/>
      <c r="J460" s="17" t="n"/>
      <c r="K460" s="17" t="n"/>
      <c r="L460" s="17">
        <f>IF(AND(A460="",C460=""),"",IF(A460="","FALTA doc. cliente",IF(B460="NO EXISTE en Clientes","CLIENTE no está en hoja Clientes",IF(C460="","FALTA nombre",IF(AND(K460="SI",COUNTIFS($A$5:$A$499,A460,$K$5:$K$499,"SI")&gt;1),"Más de un contacto principal para este cliente","OK")))))</f>
        <v/>
      </c>
      <c r="M460" s="28">
        <f>IF(L460&lt;&gt;"OK","","INSERT INTO cli_contacto (id_cliente, nombre, apellido_paterno, apellido_materno, telefono1, telefono2, telefono3, email, direccion, es_principal, estado) SELECT "&amp;"(SELECT id FROM cli_clientes WHERE numero_documento = '"&amp;SUBSTITUTE(TRIM(A460),"'","''")&amp;"' AND estado = 1 LIMIT 1)"&amp;", "&amp;IF(TRIM(C460&amp;"")="","NULL","'"&amp;SUBSTITUTE(TRIM(C460),"'","''")&amp;"'")&amp;", "&amp;IF(TRIM(D460&amp;"")="","NULL","'"&amp;SUBSTITUTE(TRIM(D460),"'","''")&amp;"'")&amp;", "&amp;IF(TRIM(E460&amp;"")="","NULL","'"&amp;SUBSTITUTE(TRIM(E460),"'","''")&amp;"'")&amp;", "&amp;IF(TRIM(F460&amp;"")="","NULL","'"&amp;SUBSTITUTE(TRIM(F460),"'","''")&amp;"'")&amp;", "&amp;IF(TRIM(G460&amp;"")="","NULL","'"&amp;SUBSTITUTE(TRIM(G460),"'","''")&amp;"'")&amp;", "&amp;IF(TRIM(H460&amp;"")="","NULL","'"&amp;SUBSTITUTE(TRIM(H460),"'","''")&amp;"'")&amp;", "&amp;IF(TRIM(I460&amp;"")="","NULL","'"&amp;SUBSTITUTE(TRIM(I460),"'","''")&amp;"'")&amp;", "&amp;IF(TRIM(J460&amp;"")="","NULL","'"&amp;SUBSTITUTE(TRIM(J460),"'","''")&amp;"'")&amp;", "&amp;IF(UPPER(TRIM(K460&amp;""))="SI","TRUE","FALSE")&amp;", 1"&amp;" WHERE NOT EXISTS (SELECT 1 FROM cli_contacto c WHERE c.id_cliente = "&amp;"(SELECT id FROM cli_clientes WHERE numero_documento = '"&amp;SUBSTITUTE(TRIM(A460),"'","''")&amp;"' AND estado = 1 LIMIT 1)"&amp;" AND upper(c.nombre) = upper("&amp;IF(TRIM(C460&amp;"")="","NULL","'"&amp;SUBSTITUTE(TRIM(C460),"'","''")&amp;"'")&amp;") AND coalesce(c.telefono1,'') = coalesce("&amp;IF(TRIM(F460&amp;"")="","NULL","'"&amp;SUBSTITUTE(TRIM(F460),"'","''")&amp;"'")&amp;",''));")</f>
        <v/>
      </c>
    </row>
    <row r="461" ht="15.75" customHeight="1" s="64">
      <c r="A461" s="23" t="n"/>
      <c r="B461" s="25">
        <f t="array" ref="B461">IF(A461="","",IFERROR(IF(INDEX(Clientes!$D$5:$D$549,MATCH(A461,Clientes!$C$5:$C$549,0))&lt;&gt;"",INDEX(Clientes!$D$5:$D$549,MATCH(A461,Clientes!$C$5:$C$549,0)),TRIM(INDEX(Clientes!$E$5:$E$549,MATCH(A461,Clientes!$C$5:$C$549,0))&amp;" "&amp;INDEX(Clientes!$F$5:$F$549,MATCH(A461,Clientes!$C$5:$C$549,0)))),"NO EXISTE en Clientes"))</f>
        <v/>
      </c>
      <c r="C461" s="17" t="n"/>
      <c r="D461" s="17" t="n"/>
      <c r="E461" s="17" t="n"/>
      <c r="F461" s="23" t="n"/>
      <c r="G461" s="23" t="n"/>
      <c r="H461" s="23" t="n"/>
      <c r="I461" s="17" t="n"/>
      <c r="J461" s="17" t="n"/>
      <c r="K461" s="17" t="n"/>
      <c r="L461" s="17">
        <f>IF(AND(A461="",C461=""),"",IF(A461="","FALTA doc. cliente",IF(B461="NO EXISTE en Clientes","CLIENTE no está en hoja Clientes",IF(C461="","FALTA nombre",IF(AND(K461="SI",COUNTIFS($A$5:$A$499,A461,$K$5:$K$499,"SI")&gt;1),"Más de un contacto principal para este cliente","OK")))))</f>
        <v/>
      </c>
      <c r="M461" s="28">
        <f>IF(L461&lt;&gt;"OK","","INSERT INTO cli_contacto (id_cliente, nombre, apellido_paterno, apellido_materno, telefono1, telefono2, telefono3, email, direccion, es_principal, estado) SELECT "&amp;"(SELECT id FROM cli_clientes WHERE numero_documento = '"&amp;SUBSTITUTE(TRIM(A461),"'","''")&amp;"' AND estado = 1 LIMIT 1)"&amp;", "&amp;IF(TRIM(C461&amp;"")="","NULL","'"&amp;SUBSTITUTE(TRIM(C461),"'","''")&amp;"'")&amp;", "&amp;IF(TRIM(D461&amp;"")="","NULL","'"&amp;SUBSTITUTE(TRIM(D461),"'","''")&amp;"'")&amp;", "&amp;IF(TRIM(E461&amp;"")="","NULL","'"&amp;SUBSTITUTE(TRIM(E461),"'","''")&amp;"'")&amp;", "&amp;IF(TRIM(F461&amp;"")="","NULL","'"&amp;SUBSTITUTE(TRIM(F461),"'","''")&amp;"'")&amp;", "&amp;IF(TRIM(G461&amp;"")="","NULL","'"&amp;SUBSTITUTE(TRIM(G461),"'","''")&amp;"'")&amp;", "&amp;IF(TRIM(H461&amp;"")="","NULL","'"&amp;SUBSTITUTE(TRIM(H461),"'","''")&amp;"'")&amp;", "&amp;IF(TRIM(I461&amp;"")="","NULL","'"&amp;SUBSTITUTE(TRIM(I461),"'","''")&amp;"'")&amp;", "&amp;IF(TRIM(J461&amp;"")="","NULL","'"&amp;SUBSTITUTE(TRIM(J461),"'","''")&amp;"'")&amp;", "&amp;IF(UPPER(TRIM(K461&amp;""))="SI","TRUE","FALSE")&amp;", 1"&amp;" WHERE NOT EXISTS (SELECT 1 FROM cli_contacto c WHERE c.id_cliente = "&amp;"(SELECT id FROM cli_clientes WHERE numero_documento = '"&amp;SUBSTITUTE(TRIM(A461),"'","''")&amp;"' AND estado = 1 LIMIT 1)"&amp;" AND upper(c.nombre) = upper("&amp;IF(TRIM(C461&amp;"")="","NULL","'"&amp;SUBSTITUTE(TRIM(C461),"'","''")&amp;"'")&amp;") AND coalesce(c.telefono1,'') = coalesce("&amp;IF(TRIM(F461&amp;"")="","NULL","'"&amp;SUBSTITUTE(TRIM(F461),"'","''")&amp;"'")&amp;",''));")</f>
        <v/>
      </c>
    </row>
    <row r="462" ht="15.75" customHeight="1" s="64">
      <c r="A462" s="23" t="n"/>
      <c r="B462" s="25">
        <f t="array" ref="B462">IF(A462="","",IFERROR(IF(INDEX(Clientes!$D$5:$D$549,MATCH(A462,Clientes!$C$5:$C$549,0))&lt;&gt;"",INDEX(Clientes!$D$5:$D$549,MATCH(A462,Clientes!$C$5:$C$549,0)),TRIM(INDEX(Clientes!$E$5:$E$549,MATCH(A462,Clientes!$C$5:$C$549,0))&amp;" "&amp;INDEX(Clientes!$F$5:$F$549,MATCH(A462,Clientes!$C$5:$C$549,0)))),"NO EXISTE en Clientes"))</f>
        <v/>
      </c>
      <c r="C462" s="17" t="n"/>
      <c r="D462" s="17" t="n"/>
      <c r="E462" s="17" t="n"/>
      <c r="F462" s="23" t="n"/>
      <c r="G462" s="23" t="n"/>
      <c r="H462" s="23" t="n"/>
      <c r="I462" s="17" t="n"/>
      <c r="J462" s="17" t="n"/>
      <c r="K462" s="17" t="n"/>
      <c r="L462" s="17">
        <f>IF(AND(A462="",C462=""),"",IF(A462="","FALTA doc. cliente",IF(B462="NO EXISTE en Clientes","CLIENTE no está en hoja Clientes",IF(C462="","FALTA nombre",IF(AND(K462="SI",COUNTIFS($A$5:$A$499,A462,$K$5:$K$499,"SI")&gt;1),"Más de un contacto principal para este cliente","OK")))))</f>
        <v/>
      </c>
      <c r="M462" s="28">
        <f>IF(L462&lt;&gt;"OK","","INSERT INTO cli_contacto (id_cliente, nombre, apellido_paterno, apellido_materno, telefono1, telefono2, telefono3, email, direccion, es_principal, estado) SELECT "&amp;"(SELECT id FROM cli_clientes WHERE numero_documento = '"&amp;SUBSTITUTE(TRIM(A462),"'","''")&amp;"' AND estado = 1 LIMIT 1)"&amp;", "&amp;IF(TRIM(C462&amp;"")="","NULL","'"&amp;SUBSTITUTE(TRIM(C462),"'","''")&amp;"'")&amp;", "&amp;IF(TRIM(D462&amp;"")="","NULL","'"&amp;SUBSTITUTE(TRIM(D462),"'","''")&amp;"'")&amp;", "&amp;IF(TRIM(E462&amp;"")="","NULL","'"&amp;SUBSTITUTE(TRIM(E462),"'","''")&amp;"'")&amp;", "&amp;IF(TRIM(F462&amp;"")="","NULL","'"&amp;SUBSTITUTE(TRIM(F462),"'","''")&amp;"'")&amp;", "&amp;IF(TRIM(G462&amp;"")="","NULL","'"&amp;SUBSTITUTE(TRIM(G462),"'","''")&amp;"'")&amp;", "&amp;IF(TRIM(H462&amp;"")="","NULL","'"&amp;SUBSTITUTE(TRIM(H462),"'","''")&amp;"'")&amp;", "&amp;IF(TRIM(I462&amp;"")="","NULL","'"&amp;SUBSTITUTE(TRIM(I462),"'","''")&amp;"'")&amp;", "&amp;IF(TRIM(J462&amp;"")="","NULL","'"&amp;SUBSTITUTE(TRIM(J462),"'","''")&amp;"'")&amp;", "&amp;IF(UPPER(TRIM(K462&amp;""))="SI","TRUE","FALSE")&amp;", 1"&amp;" WHERE NOT EXISTS (SELECT 1 FROM cli_contacto c WHERE c.id_cliente = "&amp;"(SELECT id FROM cli_clientes WHERE numero_documento = '"&amp;SUBSTITUTE(TRIM(A462),"'","''")&amp;"' AND estado = 1 LIMIT 1)"&amp;" AND upper(c.nombre) = upper("&amp;IF(TRIM(C462&amp;"")="","NULL","'"&amp;SUBSTITUTE(TRIM(C462),"'","''")&amp;"'")&amp;") AND coalesce(c.telefono1,'') = coalesce("&amp;IF(TRIM(F462&amp;"")="","NULL","'"&amp;SUBSTITUTE(TRIM(F462),"'","''")&amp;"'")&amp;",''));")</f>
        <v/>
      </c>
    </row>
    <row r="463" ht="15.75" customHeight="1" s="64">
      <c r="A463" s="23" t="n"/>
      <c r="B463" s="25">
        <f t="array" ref="B463">IF(A463="","",IFERROR(IF(INDEX(Clientes!$D$5:$D$549,MATCH(A463,Clientes!$C$5:$C$549,0))&lt;&gt;"",INDEX(Clientes!$D$5:$D$549,MATCH(A463,Clientes!$C$5:$C$549,0)),TRIM(INDEX(Clientes!$E$5:$E$549,MATCH(A463,Clientes!$C$5:$C$549,0))&amp;" "&amp;INDEX(Clientes!$F$5:$F$549,MATCH(A463,Clientes!$C$5:$C$549,0)))),"NO EXISTE en Clientes"))</f>
        <v/>
      </c>
      <c r="C463" s="17" t="n"/>
      <c r="D463" s="17" t="n"/>
      <c r="E463" s="17" t="n"/>
      <c r="F463" s="23" t="n"/>
      <c r="G463" s="23" t="n"/>
      <c r="H463" s="23" t="n"/>
      <c r="I463" s="17" t="n"/>
      <c r="J463" s="17" t="n"/>
      <c r="K463" s="17" t="n"/>
      <c r="L463" s="17">
        <f>IF(AND(A463="",C463=""),"",IF(A463="","FALTA doc. cliente",IF(B463="NO EXISTE en Clientes","CLIENTE no está en hoja Clientes",IF(C463="","FALTA nombre",IF(AND(K463="SI",COUNTIFS($A$5:$A$499,A463,$K$5:$K$499,"SI")&gt;1),"Más de un contacto principal para este cliente","OK")))))</f>
        <v/>
      </c>
      <c r="M463" s="28">
        <f>IF(L463&lt;&gt;"OK","","INSERT INTO cli_contacto (id_cliente, nombre, apellido_paterno, apellido_materno, telefono1, telefono2, telefono3, email, direccion, es_principal, estado) SELECT "&amp;"(SELECT id FROM cli_clientes WHERE numero_documento = '"&amp;SUBSTITUTE(TRIM(A463),"'","''")&amp;"' AND estado = 1 LIMIT 1)"&amp;", "&amp;IF(TRIM(C463&amp;"")="","NULL","'"&amp;SUBSTITUTE(TRIM(C463),"'","''")&amp;"'")&amp;", "&amp;IF(TRIM(D463&amp;"")="","NULL","'"&amp;SUBSTITUTE(TRIM(D463),"'","''")&amp;"'")&amp;", "&amp;IF(TRIM(E463&amp;"")="","NULL","'"&amp;SUBSTITUTE(TRIM(E463),"'","''")&amp;"'")&amp;", "&amp;IF(TRIM(F463&amp;"")="","NULL","'"&amp;SUBSTITUTE(TRIM(F463),"'","''")&amp;"'")&amp;", "&amp;IF(TRIM(G463&amp;"")="","NULL","'"&amp;SUBSTITUTE(TRIM(G463),"'","''")&amp;"'")&amp;", "&amp;IF(TRIM(H463&amp;"")="","NULL","'"&amp;SUBSTITUTE(TRIM(H463),"'","''")&amp;"'")&amp;", "&amp;IF(TRIM(I463&amp;"")="","NULL","'"&amp;SUBSTITUTE(TRIM(I463),"'","''")&amp;"'")&amp;", "&amp;IF(TRIM(J463&amp;"")="","NULL","'"&amp;SUBSTITUTE(TRIM(J463),"'","''")&amp;"'")&amp;", "&amp;IF(UPPER(TRIM(K463&amp;""))="SI","TRUE","FALSE")&amp;", 1"&amp;" WHERE NOT EXISTS (SELECT 1 FROM cli_contacto c WHERE c.id_cliente = "&amp;"(SELECT id FROM cli_clientes WHERE numero_documento = '"&amp;SUBSTITUTE(TRIM(A463),"'","''")&amp;"' AND estado = 1 LIMIT 1)"&amp;" AND upper(c.nombre) = upper("&amp;IF(TRIM(C463&amp;"")="","NULL","'"&amp;SUBSTITUTE(TRIM(C463),"'","''")&amp;"'")&amp;") AND coalesce(c.telefono1,'') = coalesce("&amp;IF(TRIM(F463&amp;"")="","NULL","'"&amp;SUBSTITUTE(TRIM(F463),"'","''")&amp;"'")&amp;",''));")</f>
        <v/>
      </c>
    </row>
    <row r="464" ht="15.75" customHeight="1" s="64">
      <c r="A464" s="23" t="n"/>
      <c r="B464" s="25">
        <f t="array" ref="B464">IF(A464="","",IFERROR(IF(INDEX(Clientes!$D$5:$D$549,MATCH(A464,Clientes!$C$5:$C$549,0))&lt;&gt;"",INDEX(Clientes!$D$5:$D$549,MATCH(A464,Clientes!$C$5:$C$549,0)),TRIM(INDEX(Clientes!$E$5:$E$549,MATCH(A464,Clientes!$C$5:$C$549,0))&amp;" "&amp;INDEX(Clientes!$F$5:$F$549,MATCH(A464,Clientes!$C$5:$C$549,0)))),"NO EXISTE en Clientes"))</f>
        <v/>
      </c>
      <c r="C464" s="17" t="n"/>
      <c r="D464" s="17" t="n"/>
      <c r="E464" s="17" t="n"/>
      <c r="F464" s="23" t="n"/>
      <c r="G464" s="23" t="n"/>
      <c r="H464" s="23" t="n"/>
      <c r="I464" s="17" t="n"/>
      <c r="J464" s="17" t="n"/>
      <c r="K464" s="17" t="n"/>
      <c r="L464" s="17">
        <f>IF(AND(A464="",C464=""),"",IF(A464="","FALTA doc. cliente",IF(B464="NO EXISTE en Clientes","CLIENTE no está en hoja Clientes",IF(C464="","FALTA nombre",IF(AND(K464="SI",COUNTIFS($A$5:$A$499,A464,$K$5:$K$499,"SI")&gt;1),"Más de un contacto principal para este cliente","OK")))))</f>
        <v/>
      </c>
      <c r="M464" s="28">
        <f>IF(L464&lt;&gt;"OK","","INSERT INTO cli_contacto (id_cliente, nombre, apellido_paterno, apellido_materno, telefono1, telefono2, telefono3, email, direccion, es_principal, estado) SELECT "&amp;"(SELECT id FROM cli_clientes WHERE numero_documento = '"&amp;SUBSTITUTE(TRIM(A464),"'","''")&amp;"' AND estado = 1 LIMIT 1)"&amp;", "&amp;IF(TRIM(C464&amp;"")="","NULL","'"&amp;SUBSTITUTE(TRIM(C464),"'","''")&amp;"'")&amp;", "&amp;IF(TRIM(D464&amp;"")="","NULL","'"&amp;SUBSTITUTE(TRIM(D464),"'","''")&amp;"'")&amp;", "&amp;IF(TRIM(E464&amp;"")="","NULL","'"&amp;SUBSTITUTE(TRIM(E464),"'","''")&amp;"'")&amp;", "&amp;IF(TRIM(F464&amp;"")="","NULL","'"&amp;SUBSTITUTE(TRIM(F464),"'","''")&amp;"'")&amp;", "&amp;IF(TRIM(G464&amp;"")="","NULL","'"&amp;SUBSTITUTE(TRIM(G464),"'","''")&amp;"'")&amp;", "&amp;IF(TRIM(H464&amp;"")="","NULL","'"&amp;SUBSTITUTE(TRIM(H464),"'","''")&amp;"'")&amp;", "&amp;IF(TRIM(I464&amp;"")="","NULL","'"&amp;SUBSTITUTE(TRIM(I464),"'","''")&amp;"'")&amp;", "&amp;IF(TRIM(J464&amp;"")="","NULL","'"&amp;SUBSTITUTE(TRIM(J464),"'","''")&amp;"'")&amp;", "&amp;IF(UPPER(TRIM(K464&amp;""))="SI","TRUE","FALSE")&amp;", 1"&amp;" WHERE NOT EXISTS (SELECT 1 FROM cli_contacto c WHERE c.id_cliente = "&amp;"(SELECT id FROM cli_clientes WHERE numero_documento = '"&amp;SUBSTITUTE(TRIM(A464),"'","''")&amp;"' AND estado = 1 LIMIT 1)"&amp;" AND upper(c.nombre) = upper("&amp;IF(TRIM(C464&amp;"")="","NULL","'"&amp;SUBSTITUTE(TRIM(C464),"'","''")&amp;"'")&amp;") AND coalesce(c.telefono1,'') = coalesce("&amp;IF(TRIM(F464&amp;"")="","NULL","'"&amp;SUBSTITUTE(TRIM(F464),"'","''")&amp;"'")&amp;",''));")</f>
        <v/>
      </c>
    </row>
    <row r="465" ht="15.75" customHeight="1" s="64">
      <c r="A465" s="23" t="n"/>
      <c r="B465" s="25">
        <f t="array" ref="B465">IF(A465="","",IFERROR(IF(INDEX(Clientes!$D$5:$D$549,MATCH(A465,Clientes!$C$5:$C$549,0))&lt;&gt;"",INDEX(Clientes!$D$5:$D$549,MATCH(A465,Clientes!$C$5:$C$549,0)),TRIM(INDEX(Clientes!$E$5:$E$549,MATCH(A465,Clientes!$C$5:$C$549,0))&amp;" "&amp;INDEX(Clientes!$F$5:$F$549,MATCH(A465,Clientes!$C$5:$C$549,0)))),"NO EXISTE en Clientes"))</f>
        <v/>
      </c>
      <c r="C465" s="17" t="n"/>
      <c r="D465" s="17" t="n"/>
      <c r="E465" s="17" t="n"/>
      <c r="F465" s="23" t="n"/>
      <c r="G465" s="23" t="n"/>
      <c r="H465" s="23" t="n"/>
      <c r="I465" s="17" t="n"/>
      <c r="J465" s="17" t="n"/>
      <c r="K465" s="17" t="n"/>
      <c r="L465" s="17">
        <f>IF(AND(A465="",C465=""),"",IF(A465="","FALTA doc. cliente",IF(B465="NO EXISTE en Clientes","CLIENTE no está en hoja Clientes",IF(C465="","FALTA nombre",IF(AND(K465="SI",COUNTIFS($A$5:$A$499,A465,$K$5:$K$499,"SI")&gt;1),"Más de un contacto principal para este cliente","OK")))))</f>
        <v/>
      </c>
      <c r="M465" s="28">
        <f>IF(L465&lt;&gt;"OK","","INSERT INTO cli_contacto (id_cliente, nombre, apellido_paterno, apellido_materno, telefono1, telefono2, telefono3, email, direccion, es_principal, estado) SELECT "&amp;"(SELECT id FROM cli_clientes WHERE numero_documento = '"&amp;SUBSTITUTE(TRIM(A465),"'","''")&amp;"' AND estado = 1 LIMIT 1)"&amp;", "&amp;IF(TRIM(C465&amp;"")="","NULL","'"&amp;SUBSTITUTE(TRIM(C465),"'","''")&amp;"'")&amp;", "&amp;IF(TRIM(D465&amp;"")="","NULL","'"&amp;SUBSTITUTE(TRIM(D465),"'","''")&amp;"'")&amp;", "&amp;IF(TRIM(E465&amp;"")="","NULL","'"&amp;SUBSTITUTE(TRIM(E465),"'","''")&amp;"'")&amp;", "&amp;IF(TRIM(F465&amp;"")="","NULL","'"&amp;SUBSTITUTE(TRIM(F465),"'","''")&amp;"'")&amp;", "&amp;IF(TRIM(G465&amp;"")="","NULL","'"&amp;SUBSTITUTE(TRIM(G465),"'","''")&amp;"'")&amp;", "&amp;IF(TRIM(H465&amp;"")="","NULL","'"&amp;SUBSTITUTE(TRIM(H465),"'","''")&amp;"'")&amp;", "&amp;IF(TRIM(I465&amp;"")="","NULL","'"&amp;SUBSTITUTE(TRIM(I465),"'","''")&amp;"'")&amp;", "&amp;IF(TRIM(J465&amp;"")="","NULL","'"&amp;SUBSTITUTE(TRIM(J465),"'","''")&amp;"'")&amp;", "&amp;IF(UPPER(TRIM(K465&amp;""))="SI","TRUE","FALSE")&amp;", 1"&amp;" WHERE NOT EXISTS (SELECT 1 FROM cli_contacto c WHERE c.id_cliente = "&amp;"(SELECT id FROM cli_clientes WHERE numero_documento = '"&amp;SUBSTITUTE(TRIM(A465),"'","''")&amp;"' AND estado = 1 LIMIT 1)"&amp;" AND upper(c.nombre) = upper("&amp;IF(TRIM(C465&amp;"")="","NULL","'"&amp;SUBSTITUTE(TRIM(C465),"'","''")&amp;"'")&amp;") AND coalesce(c.telefono1,'') = coalesce("&amp;IF(TRIM(F465&amp;"")="","NULL","'"&amp;SUBSTITUTE(TRIM(F465),"'","''")&amp;"'")&amp;",''));")</f>
        <v/>
      </c>
    </row>
    <row r="466" ht="15.75" customHeight="1" s="64">
      <c r="A466" s="23" t="n"/>
      <c r="B466" s="25">
        <f t="array" ref="B466">IF(A466="","",IFERROR(IF(INDEX(Clientes!$D$5:$D$549,MATCH(A466,Clientes!$C$5:$C$549,0))&lt;&gt;"",INDEX(Clientes!$D$5:$D$549,MATCH(A466,Clientes!$C$5:$C$549,0)),TRIM(INDEX(Clientes!$E$5:$E$549,MATCH(A466,Clientes!$C$5:$C$549,0))&amp;" "&amp;INDEX(Clientes!$F$5:$F$549,MATCH(A466,Clientes!$C$5:$C$549,0)))),"NO EXISTE en Clientes"))</f>
        <v/>
      </c>
      <c r="C466" s="17" t="n"/>
      <c r="D466" s="17" t="n"/>
      <c r="E466" s="17" t="n"/>
      <c r="F466" s="23" t="n"/>
      <c r="G466" s="23" t="n"/>
      <c r="H466" s="23" t="n"/>
      <c r="I466" s="17" t="n"/>
      <c r="J466" s="17" t="n"/>
      <c r="K466" s="17" t="n"/>
      <c r="L466" s="17">
        <f>IF(AND(A466="",C466=""),"",IF(A466="","FALTA doc. cliente",IF(B466="NO EXISTE en Clientes","CLIENTE no está en hoja Clientes",IF(C466="","FALTA nombre",IF(AND(K466="SI",COUNTIFS($A$5:$A$499,A466,$K$5:$K$499,"SI")&gt;1),"Más de un contacto principal para este cliente","OK")))))</f>
        <v/>
      </c>
      <c r="M466" s="28">
        <f>IF(L466&lt;&gt;"OK","","INSERT INTO cli_contacto (id_cliente, nombre, apellido_paterno, apellido_materno, telefono1, telefono2, telefono3, email, direccion, es_principal, estado) SELECT "&amp;"(SELECT id FROM cli_clientes WHERE numero_documento = '"&amp;SUBSTITUTE(TRIM(A466),"'","''")&amp;"' AND estado = 1 LIMIT 1)"&amp;", "&amp;IF(TRIM(C466&amp;"")="","NULL","'"&amp;SUBSTITUTE(TRIM(C466),"'","''")&amp;"'")&amp;", "&amp;IF(TRIM(D466&amp;"")="","NULL","'"&amp;SUBSTITUTE(TRIM(D466),"'","''")&amp;"'")&amp;", "&amp;IF(TRIM(E466&amp;"")="","NULL","'"&amp;SUBSTITUTE(TRIM(E466),"'","''")&amp;"'")&amp;", "&amp;IF(TRIM(F466&amp;"")="","NULL","'"&amp;SUBSTITUTE(TRIM(F466),"'","''")&amp;"'")&amp;", "&amp;IF(TRIM(G466&amp;"")="","NULL","'"&amp;SUBSTITUTE(TRIM(G466),"'","''")&amp;"'")&amp;", "&amp;IF(TRIM(H466&amp;"")="","NULL","'"&amp;SUBSTITUTE(TRIM(H466),"'","''")&amp;"'")&amp;", "&amp;IF(TRIM(I466&amp;"")="","NULL","'"&amp;SUBSTITUTE(TRIM(I466),"'","''")&amp;"'")&amp;", "&amp;IF(TRIM(J466&amp;"")="","NULL","'"&amp;SUBSTITUTE(TRIM(J466),"'","''")&amp;"'")&amp;", "&amp;IF(UPPER(TRIM(K466&amp;""))="SI","TRUE","FALSE")&amp;", 1"&amp;" WHERE NOT EXISTS (SELECT 1 FROM cli_contacto c WHERE c.id_cliente = "&amp;"(SELECT id FROM cli_clientes WHERE numero_documento = '"&amp;SUBSTITUTE(TRIM(A466),"'","''")&amp;"' AND estado = 1 LIMIT 1)"&amp;" AND upper(c.nombre) = upper("&amp;IF(TRIM(C466&amp;"")="","NULL","'"&amp;SUBSTITUTE(TRIM(C466),"'","''")&amp;"'")&amp;") AND coalesce(c.telefono1,'') = coalesce("&amp;IF(TRIM(F466&amp;"")="","NULL","'"&amp;SUBSTITUTE(TRIM(F466),"'","''")&amp;"'")&amp;",''));")</f>
        <v/>
      </c>
    </row>
    <row r="467" ht="15.75" customHeight="1" s="64">
      <c r="A467" s="23" t="n"/>
      <c r="B467" s="25">
        <f t="array" ref="B467">IF(A467="","",IFERROR(IF(INDEX(Clientes!$D$5:$D$549,MATCH(A467,Clientes!$C$5:$C$549,0))&lt;&gt;"",INDEX(Clientes!$D$5:$D$549,MATCH(A467,Clientes!$C$5:$C$549,0)),TRIM(INDEX(Clientes!$E$5:$E$549,MATCH(A467,Clientes!$C$5:$C$549,0))&amp;" "&amp;INDEX(Clientes!$F$5:$F$549,MATCH(A467,Clientes!$C$5:$C$549,0)))),"NO EXISTE en Clientes"))</f>
        <v/>
      </c>
      <c r="C467" s="17" t="n"/>
      <c r="D467" s="17" t="n"/>
      <c r="E467" s="17" t="n"/>
      <c r="F467" s="23" t="n"/>
      <c r="G467" s="23" t="n"/>
      <c r="H467" s="23" t="n"/>
      <c r="I467" s="17" t="n"/>
      <c r="J467" s="17" t="n"/>
      <c r="K467" s="17" t="n"/>
      <c r="L467" s="17">
        <f>IF(AND(A467="",C467=""),"",IF(A467="","FALTA doc. cliente",IF(B467="NO EXISTE en Clientes","CLIENTE no está en hoja Clientes",IF(C467="","FALTA nombre",IF(AND(K467="SI",COUNTIFS($A$5:$A$499,A467,$K$5:$K$499,"SI")&gt;1),"Más de un contacto principal para este cliente","OK")))))</f>
        <v/>
      </c>
      <c r="M467" s="28">
        <f>IF(L467&lt;&gt;"OK","","INSERT INTO cli_contacto (id_cliente, nombre, apellido_paterno, apellido_materno, telefono1, telefono2, telefono3, email, direccion, es_principal, estado) SELECT "&amp;"(SELECT id FROM cli_clientes WHERE numero_documento = '"&amp;SUBSTITUTE(TRIM(A467),"'","''")&amp;"' AND estado = 1 LIMIT 1)"&amp;", "&amp;IF(TRIM(C467&amp;"")="","NULL","'"&amp;SUBSTITUTE(TRIM(C467),"'","''")&amp;"'")&amp;", "&amp;IF(TRIM(D467&amp;"")="","NULL","'"&amp;SUBSTITUTE(TRIM(D467),"'","''")&amp;"'")&amp;", "&amp;IF(TRIM(E467&amp;"")="","NULL","'"&amp;SUBSTITUTE(TRIM(E467),"'","''")&amp;"'")&amp;", "&amp;IF(TRIM(F467&amp;"")="","NULL","'"&amp;SUBSTITUTE(TRIM(F467),"'","''")&amp;"'")&amp;", "&amp;IF(TRIM(G467&amp;"")="","NULL","'"&amp;SUBSTITUTE(TRIM(G467),"'","''")&amp;"'")&amp;", "&amp;IF(TRIM(H467&amp;"")="","NULL","'"&amp;SUBSTITUTE(TRIM(H467),"'","''")&amp;"'")&amp;", "&amp;IF(TRIM(I467&amp;"")="","NULL","'"&amp;SUBSTITUTE(TRIM(I467),"'","''")&amp;"'")&amp;", "&amp;IF(TRIM(J467&amp;"")="","NULL","'"&amp;SUBSTITUTE(TRIM(J467),"'","''")&amp;"'")&amp;", "&amp;IF(UPPER(TRIM(K467&amp;""))="SI","TRUE","FALSE")&amp;", 1"&amp;" WHERE NOT EXISTS (SELECT 1 FROM cli_contacto c WHERE c.id_cliente = "&amp;"(SELECT id FROM cli_clientes WHERE numero_documento = '"&amp;SUBSTITUTE(TRIM(A467),"'","''")&amp;"' AND estado = 1 LIMIT 1)"&amp;" AND upper(c.nombre) = upper("&amp;IF(TRIM(C467&amp;"")="","NULL","'"&amp;SUBSTITUTE(TRIM(C467),"'","''")&amp;"'")&amp;") AND coalesce(c.telefono1,'') = coalesce("&amp;IF(TRIM(F467&amp;"")="","NULL","'"&amp;SUBSTITUTE(TRIM(F467),"'","''")&amp;"'")&amp;",''));")</f>
        <v/>
      </c>
    </row>
    <row r="468" ht="15.75" customHeight="1" s="64">
      <c r="A468" s="23" t="n"/>
      <c r="B468" s="25">
        <f t="array" ref="B468">IF(A468="","",IFERROR(IF(INDEX(Clientes!$D$5:$D$549,MATCH(A468,Clientes!$C$5:$C$549,0))&lt;&gt;"",INDEX(Clientes!$D$5:$D$549,MATCH(A468,Clientes!$C$5:$C$549,0)),TRIM(INDEX(Clientes!$E$5:$E$549,MATCH(A468,Clientes!$C$5:$C$549,0))&amp;" "&amp;INDEX(Clientes!$F$5:$F$549,MATCH(A468,Clientes!$C$5:$C$549,0)))),"NO EXISTE en Clientes"))</f>
        <v/>
      </c>
      <c r="C468" s="17" t="n"/>
      <c r="D468" s="17" t="n"/>
      <c r="E468" s="17" t="n"/>
      <c r="F468" s="23" t="n"/>
      <c r="G468" s="23" t="n"/>
      <c r="H468" s="23" t="n"/>
      <c r="I468" s="17" t="n"/>
      <c r="J468" s="17" t="n"/>
      <c r="K468" s="17" t="n"/>
      <c r="L468" s="17">
        <f>IF(AND(A468="",C468=""),"",IF(A468="","FALTA doc. cliente",IF(B468="NO EXISTE en Clientes","CLIENTE no está en hoja Clientes",IF(C468="","FALTA nombre",IF(AND(K468="SI",COUNTIFS($A$5:$A$499,A468,$K$5:$K$499,"SI")&gt;1),"Más de un contacto principal para este cliente","OK")))))</f>
        <v/>
      </c>
      <c r="M468" s="28">
        <f>IF(L468&lt;&gt;"OK","","INSERT INTO cli_contacto (id_cliente, nombre, apellido_paterno, apellido_materno, telefono1, telefono2, telefono3, email, direccion, es_principal, estado) SELECT "&amp;"(SELECT id FROM cli_clientes WHERE numero_documento = '"&amp;SUBSTITUTE(TRIM(A468),"'","''")&amp;"' AND estado = 1 LIMIT 1)"&amp;", "&amp;IF(TRIM(C468&amp;"")="","NULL","'"&amp;SUBSTITUTE(TRIM(C468),"'","''")&amp;"'")&amp;", "&amp;IF(TRIM(D468&amp;"")="","NULL","'"&amp;SUBSTITUTE(TRIM(D468),"'","''")&amp;"'")&amp;", "&amp;IF(TRIM(E468&amp;"")="","NULL","'"&amp;SUBSTITUTE(TRIM(E468),"'","''")&amp;"'")&amp;", "&amp;IF(TRIM(F468&amp;"")="","NULL","'"&amp;SUBSTITUTE(TRIM(F468),"'","''")&amp;"'")&amp;", "&amp;IF(TRIM(G468&amp;"")="","NULL","'"&amp;SUBSTITUTE(TRIM(G468),"'","''")&amp;"'")&amp;", "&amp;IF(TRIM(H468&amp;"")="","NULL","'"&amp;SUBSTITUTE(TRIM(H468),"'","''")&amp;"'")&amp;", "&amp;IF(TRIM(I468&amp;"")="","NULL","'"&amp;SUBSTITUTE(TRIM(I468),"'","''")&amp;"'")&amp;", "&amp;IF(TRIM(J468&amp;"")="","NULL","'"&amp;SUBSTITUTE(TRIM(J468),"'","''")&amp;"'")&amp;", "&amp;IF(UPPER(TRIM(K468&amp;""))="SI","TRUE","FALSE")&amp;", 1"&amp;" WHERE NOT EXISTS (SELECT 1 FROM cli_contacto c WHERE c.id_cliente = "&amp;"(SELECT id FROM cli_clientes WHERE numero_documento = '"&amp;SUBSTITUTE(TRIM(A468),"'","''")&amp;"' AND estado = 1 LIMIT 1)"&amp;" AND upper(c.nombre) = upper("&amp;IF(TRIM(C468&amp;"")="","NULL","'"&amp;SUBSTITUTE(TRIM(C468),"'","''")&amp;"'")&amp;") AND coalesce(c.telefono1,'') = coalesce("&amp;IF(TRIM(F468&amp;"")="","NULL","'"&amp;SUBSTITUTE(TRIM(F468),"'","''")&amp;"'")&amp;",''));")</f>
        <v/>
      </c>
    </row>
    <row r="469" ht="15.75" customHeight="1" s="64">
      <c r="A469" s="23" t="n"/>
      <c r="B469" s="25">
        <f t="array" ref="B469">IF(A469="","",IFERROR(IF(INDEX(Clientes!$D$5:$D$549,MATCH(A469,Clientes!$C$5:$C$549,0))&lt;&gt;"",INDEX(Clientes!$D$5:$D$549,MATCH(A469,Clientes!$C$5:$C$549,0)),TRIM(INDEX(Clientes!$E$5:$E$549,MATCH(A469,Clientes!$C$5:$C$549,0))&amp;" "&amp;INDEX(Clientes!$F$5:$F$549,MATCH(A469,Clientes!$C$5:$C$549,0)))),"NO EXISTE en Clientes"))</f>
        <v/>
      </c>
      <c r="C469" s="17" t="n"/>
      <c r="D469" s="17" t="n"/>
      <c r="E469" s="17" t="n"/>
      <c r="F469" s="23" t="n"/>
      <c r="G469" s="23" t="n"/>
      <c r="H469" s="23" t="n"/>
      <c r="I469" s="17" t="n"/>
      <c r="J469" s="17" t="n"/>
      <c r="K469" s="17" t="n"/>
      <c r="L469" s="17">
        <f>IF(AND(A469="",C469=""),"",IF(A469="","FALTA doc. cliente",IF(B469="NO EXISTE en Clientes","CLIENTE no está en hoja Clientes",IF(C469="","FALTA nombre",IF(AND(K469="SI",COUNTIFS($A$5:$A$499,A469,$K$5:$K$499,"SI")&gt;1),"Más de un contacto principal para este cliente","OK")))))</f>
        <v/>
      </c>
      <c r="M469" s="28">
        <f>IF(L469&lt;&gt;"OK","","INSERT INTO cli_contacto (id_cliente, nombre, apellido_paterno, apellido_materno, telefono1, telefono2, telefono3, email, direccion, es_principal, estado) SELECT "&amp;"(SELECT id FROM cli_clientes WHERE numero_documento = '"&amp;SUBSTITUTE(TRIM(A469),"'","''")&amp;"' AND estado = 1 LIMIT 1)"&amp;", "&amp;IF(TRIM(C469&amp;"")="","NULL","'"&amp;SUBSTITUTE(TRIM(C469),"'","''")&amp;"'")&amp;", "&amp;IF(TRIM(D469&amp;"")="","NULL","'"&amp;SUBSTITUTE(TRIM(D469),"'","''")&amp;"'")&amp;", "&amp;IF(TRIM(E469&amp;"")="","NULL","'"&amp;SUBSTITUTE(TRIM(E469),"'","''")&amp;"'")&amp;", "&amp;IF(TRIM(F469&amp;"")="","NULL","'"&amp;SUBSTITUTE(TRIM(F469),"'","''")&amp;"'")&amp;", "&amp;IF(TRIM(G469&amp;"")="","NULL","'"&amp;SUBSTITUTE(TRIM(G469),"'","''")&amp;"'")&amp;", "&amp;IF(TRIM(H469&amp;"")="","NULL","'"&amp;SUBSTITUTE(TRIM(H469),"'","''")&amp;"'")&amp;", "&amp;IF(TRIM(I469&amp;"")="","NULL","'"&amp;SUBSTITUTE(TRIM(I469),"'","''")&amp;"'")&amp;", "&amp;IF(TRIM(J469&amp;"")="","NULL","'"&amp;SUBSTITUTE(TRIM(J469),"'","''")&amp;"'")&amp;", "&amp;IF(UPPER(TRIM(K469&amp;""))="SI","TRUE","FALSE")&amp;", 1"&amp;" WHERE NOT EXISTS (SELECT 1 FROM cli_contacto c WHERE c.id_cliente = "&amp;"(SELECT id FROM cli_clientes WHERE numero_documento = '"&amp;SUBSTITUTE(TRIM(A469),"'","''")&amp;"' AND estado = 1 LIMIT 1)"&amp;" AND upper(c.nombre) = upper("&amp;IF(TRIM(C469&amp;"")="","NULL","'"&amp;SUBSTITUTE(TRIM(C469),"'","''")&amp;"'")&amp;") AND coalesce(c.telefono1,'') = coalesce("&amp;IF(TRIM(F469&amp;"")="","NULL","'"&amp;SUBSTITUTE(TRIM(F469),"'","''")&amp;"'")&amp;",''));")</f>
        <v/>
      </c>
    </row>
    <row r="470" ht="15.75" customHeight="1" s="64">
      <c r="A470" s="23" t="n"/>
      <c r="B470" s="25">
        <f t="array" ref="B470">IF(A470="","",IFERROR(IF(INDEX(Clientes!$D$5:$D$549,MATCH(A470,Clientes!$C$5:$C$549,0))&lt;&gt;"",INDEX(Clientes!$D$5:$D$549,MATCH(A470,Clientes!$C$5:$C$549,0)),TRIM(INDEX(Clientes!$E$5:$E$549,MATCH(A470,Clientes!$C$5:$C$549,0))&amp;" "&amp;INDEX(Clientes!$F$5:$F$549,MATCH(A470,Clientes!$C$5:$C$549,0)))),"NO EXISTE en Clientes"))</f>
        <v/>
      </c>
      <c r="C470" s="17" t="n"/>
      <c r="D470" s="17" t="n"/>
      <c r="E470" s="17" t="n"/>
      <c r="F470" s="23" t="n"/>
      <c r="G470" s="23" t="n"/>
      <c r="H470" s="23" t="n"/>
      <c r="I470" s="17" t="n"/>
      <c r="J470" s="17" t="n"/>
      <c r="K470" s="17" t="n"/>
      <c r="L470" s="17">
        <f>IF(AND(A470="",C470=""),"",IF(A470="","FALTA doc. cliente",IF(B470="NO EXISTE en Clientes","CLIENTE no está en hoja Clientes",IF(C470="","FALTA nombre",IF(AND(K470="SI",COUNTIFS($A$5:$A$499,A470,$K$5:$K$499,"SI")&gt;1),"Más de un contacto principal para este cliente","OK")))))</f>
        <v/>
      </c>
      <c r="M470" s="28">
        <f>IF(L470&lt;&gt;"OK","","INSERT INTO cli_contacto (id_cliente, nombre, apellido_paterno, apellido_materno, telefono1, telefono2, telefono3, email, direccion, es_principal, estado) SELECT "&amp;"(SELECT id FROM cli_clientes WHERE numero_documento = '"&amp;SUBSTITUTE(TRIM(A470),"'","''")&amp;"' AND estado = 1 LIMIT 1)"&amp;", "&amp;IF(TRIM(C470&amp;"")="","NULL","'"&amp;SUBSTITUTE(TRIM(C470),"'","''")&amp;"'")&amp;", "&amp;IF(TRIM(D470&amp;"")="","NULL","'"&amp;SUBSTITUTE(TRIM(D470),"'","''")&amp;"'")&amp;", "&amp;IF(TRIM(E470&amp;"")="","NULL","'"&amp;SUBSTITUTE(TRIM(E470),"'","''")&amp;"'")&amp;", "&amp;IF(TRIM(F470&amp;"")="","NULL","'"&amp;SUBSTITUTE(TRIM(F470),"'","''")&amp;"'")&amp;", "&amp;IF(TRIM(G470&amp;"")="","NULL","'"&amp;SUBSTITUTE(TRIM(G470),"'","''")&amp;"'")&amp;", "&amp;IF(TRIM(H470&amp;"")="","NULL","'"&amp;SUBSTITUTE(TRIM(H470),"'","''")&amp;"'")&amp;", "&amp;IF(TRIM(I470&amp;"")="","NULL","'"&amp;SUBSTITUTE(TRIM(I470),"'","''")&amp;"'")&amp;", "&amp;IF(TRIM(J470&amp;"")="","NULL","'"&amp;SUBSTITUTE(TRIM(J470),"'","''")&amp;"'")&amp;", "&amp;IF(UPPER(TRIM(K470&amp;""))="SI","TRUE","FALSE")&amp;", 1"&amp;" WHERE NOT EXISTS (SELECT 1 FROM cli_contacto c WHERE c.id_cliente = "&amp;"(SELECT id FROM cli_clientes WHERE numero_documento = '"&amp;SUBSTITUTE(TRIM(A470),"'","''")&amp;"' AND estado = 1 LIMIT 1)"&amp;" AND upper(c.nombre) = upper("&amp;IF(TRIM(C470&amp;"")="","NULL","'"&amp;SUBSTITUTE(TRIM(C470),"'","''")&amp;"'")&amp;") AND coalesce(c.telefono1,'') = coalesce("&amp;IF(TRIM(F470&amp;"")="","NULL","'"&amp;SUBSTITUTE(TRIM(F470),"'","''")&amp;"'")&amp;",''));")</f>
        <v/>
      </c>
    </row>
    <row r="471" ht="15.75" customHeight="1" s="64">
      <c r="A471" s="23" t="n"/>
      <c r="B471" s="25">
        <f t="array" ref="B471">IF(A471="","",IFERROR(IF(INDEX(Clientes!$D$5:$D$549,MATCH(A471,Clientes!$C$5:$C$549,0))&lt;&gt;"",INDEX(Clientes!$D$5:$D$549,MATCH(A471,Clientes!$C$5:$C$549,0)),TRIM(INDEX(Clientes!$E$5:$E$549,MATCH(A471,Clientes!$C$5:$C$549,0))&amp;" "&amp;INDEX(Clientes!$F$5:$F$549,MATCH(A471,Clientes!$C$5:$C$549,0)))),"NO EXISTE en Clientes"))</f>
        <v/>
      </c>
      <c r="C471" s="17" t="n"/>
      <c r="D471" s="17" t="n"/>
      <c r="E471" s="17" t="n"/>
      <c r="F471" s="23" t="n"/>
      <c r="G471" s="23" t="n"/>
      <c r="H471" s="23" t="n"/>
      <c r="I471" s="17" t="n"/>
      <c r="J471" s="17" t="n"/>
      <c r="K471" s="17" t="n"/>
      <c r="L471" s="17">
        <f>IF(AND(A471="",C471=""),"",IF(A471="","FALTA doc. cliente",IF(B471="NO EXISTE en Clientes","CLIENTE no está en hoja Clientes",IF(C471="","FALTA nombre",IF(AND(K471="SI",COUNTIFS($A$5:$A$499,A471,$K$5:$K$499,"SI")&gt;1),"Más de un contacto principal para este cliente","OK")))))</f>
        <v/>
      </c>
      <c r="M471" s="28">
        <f>IF(L471&lt;&gt;"OK","","INSERT INTO cli_contacto (id_cliente, nombre, apellido_paterno, apellido_materno, telefono1, telefono2, telefono3, email, direccion, es_principal, estado) SELECT "&amp;"(SELECT id FROM cli_clientes WHERE numero_documento = '"&amp;SUBSTITUTE(TRIM(A471),"'","''")&amp;"' AND estado = 1 LIMIT 1)"&amp;", "&amp;IF(TRIM(C471&amp;"")="","NULL","'"&amp;SUBSTITUTE(TRIM(C471),"'","''")&amp;"'")&amp;", "&amp;IF(TRIM(D471&amp;"")="","NULL","'"&amp;SUBSTITUTE(TRIM(D471),"'","''")&amp;"'")&amp;", "&amp;IF(TRIM(E471&amp;"")="","NULL","'"&amp;SUBSTITUTE(TRIM(E471),"'","''")&amp;"'")&amp;", "&amp;IF(TRIM(F471&amp;"")="","NULL","'"&amp;SUBSTITUTE(TRIM(F471),"'","''")&amp;"'")&amp;", "&amp;IF(TRIM(G471&amp;"")="","NULL","'"&amp;SUBSTITUTE(TRIM(G471),"'","''")&amp;"'")&amp;", "&amp;IF(TRIM(H471&amp;"")="","NULL","'"&amp;SUBSTITUTE(TRIM(H471),"'","''")&amp;"'")&amp;", "&amp;IF(TRIM(I471&amp;"")="","NULL","'"&amp;SUBSTITUTE(TRIM(I471),"'","''")&amp;"'")&amp;", "&amp;IF(TRIM(J471&amp;"")="","NULL","'"&amp;SUBSTITUTE(TRIM(J471),"'","''")&amp;"'")&amp;", "&amp;IF(UPPER(TRIM(K471&amp;""))="SI","TRUE","FALSE")&amp;", 1"&amp;" WHERE NOT EXISTS (SELECT 1 FROM cli_contacto c WHERE c.id_cliente = "&amp;"(SELECT id FROM cli_clientes WHERE numero_documento = '"&amp;SUBSTITUTE(TRIM(A471),"'","''")&amp;"' AND estado = 1 LIMIT 1)"&amp;" AND upper(c.nombre) = upper("&amp;IF(TRIM(C471&amp;"")="","NULL","'"&amp;SUBSTITUTE(TRIM(C471),"'","''")&amp;"'")&amp;") AND coalesce(c.telefono1,'') = coalesce("&amp;IF(TRIM(F471&amp;"")="","NULL","'"&amp;SUBSTITUTE(TRIM(F471),"'","''")&amp;"'")&amp;",''));")</f>
        <v/>
      </c>
    </row>
    <row r="472" ht="15.75" customHeight="1" s="64">
      <c r="A472" s="23" t="n"/>
      <c r="B472" s="25">
        <f t="array" ref="B472">IF(A472="","",IFERROR(IF(INDEX(Clientes!$D$5:$D$549,MATCH(A472,Clientes!$C$5:$C$549,0))&lt;&gt;"",INDEX(Clientes!$D$5:$D$549,MATCH(A472,Clientes!$C$5:$C$549,0)),TRIM(INDEX(Clientes!$E$5:$E$549,MATCH(A472,Clientes!$C$5:$C$549,0))&amp;" "&amp;INDEX(Clientes!$F$5:$F$549,MATCH(A472,Clientes!$C$5:$C$549,0)))),"NO EXISTE en Clientes"))</f>
        <v/>
      </c>
      <c r="C472" s="17" t="n"/>
      <c r="D472" s="17" t="n"/>
      <c r="E472" s="17" t="n"/>
      <c r="F472" s="23" t="n"/>
      <c r="G472" s="23" t="n"/>
      <c r="H472" s="23" t="n"/>
      <c r="I472" s="17" t="n"/>
      <c r="J472" s="17" t="n"/>
      <c r="K472" s="17" t="n"/>
      <c r="L472" s="17">
        <f>IF(AND(A472="",C472=""),"",IF(A472="","FALTA doc. cliente",IF(B472="NO EXISTE en Clientes","CLIENTE no está en hoja Clientes",IF(C472="","FALTA nombre",IF(AND(K472="SI",COUNTIFS($A$5:$A$499,A472,$K$5:$K$499,"SI")&gt;1),"Más de un contacto principal para este cliente","OK")))))</f>
        <v/>
      </c>
      <c r="M472" s="28">
        <f>IF(L472&lt;&gt;"OK","","INSERT INTO cli_contacto (id_cliente, nombre, apellido_paterno, apellido_materno, telefono1, telefono2, telefono3, email, direccion, es_principal, estado) SELECT "&amp;"(SELECT id FROM cli_clientes WHERE numero_documento = '"&amp;SUBSTITUTE(TRIM(A472),"'","''")&amp;"' AND estado = 1 LIMIT 1)"&amp;", "&amp;IF(TRIM(C472&amp;"")="","NULL","'"&amp;SUBSTITUTE(TRIM(C472),"'","''")&amp;"'")&amp;", "&amp;IF(TRIM(D472&amp;"")="","NULL","'"&amp;SUBSTITUTE(TRIM(D472),"'","''")&amp;"'")&amp;", "&amp;IF(TRIM(E472&amp;"")="","NULL","'"&amp;SUBSTITUTE(TRIM(E472),"'","''")&amp;"'")&amp;", "&amp;IF(TRIM(F472&amp;"")="","NULL","'"&amp;SUBSTITUTE(TRIM(F472),"'","''")&amp;"'")&amp;", "&amp;IF(TRIM(G472&amp;"")="","NULL","'"&amp;SUBSTITUTE(TRIM(G472),"'","''")&amp;"'")&amp;", "&amp;IF(TRIM(H472&amp;"")="","NULL","'"&amp;SUBSTITUTE(TRIM(H472),"'","''")&amp;"'")&amp;", "&amp;IF(TRIM(I472&amp;"")="","NULL","'"&amp;SUBSTITUTE(TRIM(I472),"'","''")&amp;"'")&amp;", "&amp;IF(TRIM(J472&amp;"")="","NULL","'"&amp;SUBSTITUTE(TRIM(J472),"'","''")&amp;"'")&amp;", "&amp;IF(UPPER(TRIM(K472&amp;""))="SI","TRUE","FALSE")&amp;", 1"&amp;" WHERE NOT EXISTS (SELECT 1 FROM cli_contacto c WHERE c.id_cliente = "&amp;"(SELECT id FROM cli_clientes WHERE numero_documento = '"&amp;SUBSTITUTE(TRIM(A472),"'","''")&amp;"' AND estado = 1 LIMIT 1)"&amp;" AND upper(c.nombre) = upper("&amp;IF(TRIM(C472&amp;"")="","NULL","'"&amp;SUBSTITUTE(TRIM(C472),"'","''")&amp;"'")&amp;") AND coalesce(c.telefono1,'') = coalesce("&amp;IF(TRIM(F472&amp;"")="","NULL","'"&amp;SUBSTITUTE(TRIM(F472),"'","''")&amp;"'")&amp;",''));")</f>
        <v/>
      </c>
    </row>
    <row r="473" ht="15.75" customHeight="1" s="64">
      <c r="A473" s="23" t="n"/>
      <c r="B473" s="25">
        <f t="array" ref="B473">IF(A473="","",IFERROR(IF(INDEX(Clientes!$D$5:$D$549,MATCH(A473,Clientes!$C$5:$C$549,0))&lt;&gt;"",INDEX(Clientes!$D$5:$D$549,MATCH(A473,Clientes!$C$5:$C$549,0)),TRIM(INDEX(Clientes!$E$5:$E$549,MATCH(A473,Clientes!$C$5:$C$549,0))&amp;" "&amp;INDEX(Clientes!$F$5:$F$549,MATCH(A473,Clientes!$C$5:$C$549,0)))),"NO EXISTE en Clientes"))</f>
        <v/>
      </c>
      <c r="C473" s="17" t="n"/>
      <c r="D473" s="17" t="n"/>
      <c r="E473" s="17" t="n"/>
      <c r="F473" s="23" t="n"/>
      <c r="G473" s="23" t="n"/>
      <c r="H473" s="23" t="n"/>
      <c r="I473" s="17" t="n"/>
      <c r="J473" s="17" t="n"/>
      <c r="K473" s="17" t="n"/>
      <c r="L473" s="17">
        <f>IF(AND(A473="",C473=""),"",IF(A473="","FALTA doc. cliente",IF(B473="NO EXISTE en Clientes","CLIENTE no está en hoja Clientes",IF(C473="","FALTA nombre",IF(AND(K473="SI",COUNTIFS($A$5:$A$499,A473,$K$5:$K$499,"SI")&gt;1),"Más de un contacto principal para este cliente","OK")))))</f>
        <v/>
      </c>
      <c r="M473" s="28">
        <f>IF(L473&lt;&gt;"OK","","INSERT INTO cli_contacto (id_cliente, nombre, apellido_paterno, apellido_materno, telefono1, telefono2, telefono3, email, direccion, es_principal, estado) SELECT "&amp;"(SELECT id FROM cli_clientes WHERE numero_documento = '"&amp;SUBSTITUTE(TRIM(A473),"'","''")&amp;"' AND estado = 1 LIMIT 1)"&amp;", "&amp;IF(TRIM(C473&amp;"")="","NULL","'"&amp;SUBSTITUTE(TRIM(C473),"'","''")&amp;"'")&amp;", "&amp;IF(TRIM(D473&amp;"")="","NULL","'"&amp;SUBSTITUTE(TRIM(D473),"'","''")&amp;"'")&amp;", "&amp;IF(TRIM(E473&amp;"")="","NULL","'"&amp;SUBSTITUTE(TRIM(E473),"'","''")&amp;"'")&amp;", "&amp;IF(TRIM(F473&amp;"")="","NULL","'"&amp;SUBSTITUTE(TRIM(F473),"'","''")&amp;"'")&amp;", "&amp;IF(TRIM(G473&amp;"")="","NULL","'"&amp;SUBSTITUTE(TRIM(G473),"'","''")&amp;"'")&amp;", "&amp;IF(TRIM(H473&amp;"")="","NULL","'"&amp;SUBSTITUTE(TRIM(H473),"'","''")&amp;"'")&amp;", "&amp;IF(TRIM(I473&amp;"")="","NULL","'"&amp;SUBSTITUTE(TRIM(I473),"'","''")&amp;"'")&amp;", "&amp;IF(TRIM(J473&amp;"")="","NULL","'"&amp;SUBSTITUTE(TRIM(J473),"'","''")&amp;"'")&amp;", "&amp;IF(UPPER(TRIM(K473&amp;""))="SI","TRUE","FALSE")&amp;", 1"&amp;" WHERE NOT EXISTS (SELECT 1 FROM cli_contacto c WHERE c.id_cliente = "&amp;"(SELECT id FROM cli_clientes WHERE numero_documento = '"&amp;SUBSTITUTE(TRIM(A473),"'","''")&amp;"' AND estado = 1 LIMIT 1)"&amp;" AND upper(c.nombre) = upper("&amp;IF(TRIM(C473&amp;"")="","NULL","'"&amp;SUBSTITUTE(TRIM(C473),"'","''")&amp;"'")&amp;") AND coalesce(c.telefono1,'') = coalesce("&amp;IF(TRIM(F473&amp;"")="","NULL","'"&amp;SUBSTITUTE(TRIM(F473),"'","''")&amp;"'")&amp;",''));")</f>
        <v/>
      </c>
    </row>
    <row r="474" ht="15.75" customHeight="1" s="64">
      <c r="A474" s="23" t="n"/>
      <c r="B474" s="25">
        <f t="array" ref="B474">IF(A474="","",IFERROR(IF(INDEX(Clientes!$D$5:$D$549,MATCH(A474,Clientes!$C$5:$C$549,0))&lt;&gt;"",INDEX(Clientes!$D$5:$D$549,MATCH(A474,Clientes!$C$5:$C$549,0)),TRIM(INDEX(Clientes!$E$5:$E$549,MATCH(A474,Clientes!$C$5:$C$549,0))&amp;" "&amp;INDEX(Clientes!$F$5:$F$549,MATCH(A474,Clientes!$C$5:$C$549,0)))),"NO EXISTE en Clientes"))</f>
        <v/>
      </c>
      <c r="C474" s="17" t="n"/>
      <c r="D474" s="17" t="n"/>
      <c r="E474" s="17" t="n"/>
      <c r="F474" s="23" t="n"/>
      <c r="G474" s="23" t="n"/>
      <c r="H474" s="23" t="n"/>
      <c r="I474" s="17" t="n"/>
      <c r="J474" s="17" t="n"/>
      <c r="K474" s="17" t="n"/>
      <c r="L474" s="17">
        <f>IF(AND(A474="",C474=""),"",IF(A474="","FALTA doc. cliente",IF(B474="NO EXISTE en Clientes","CLIENTE no está en hoja Clientes",IF(C474="","FALTA nombre",IF(AND(K474="SI",COUNTIFS($A$5:$A$499,A474,$K$5:$K$499,"SI")&gt;1),"Más de un contacto principal para este cliente","OK")))))</f>
        <v/>
      </c>
      <c r="M474" s="28">
        <f>IF(L474&lt;&gt;"OK","","INSERT INTO cli_contacto (id_cliente, nombre, apellido_paterno, apellido_materno, telefono1, telefono2, telefono3, email, direccion, es_principal, estado) SELECT "&amp;"(SELECT id FROM cli_clientes WHERE numero_documento = '"&amp;SUBSTITUTE(TRIM(A474),"'","''")&amp;"' AND estado = 1 LIMIT 1)"&amp;", "&amp;IF(TRIM(C474&amp;"")="","NULL","'"&amp;SUBSTITUTE(TRIM(C474),"'","''")&amp;"'")&amp;", "&amp;IF(TRIM(D474&amp;"")="","NULL","'"&amp;SUBSTITUTE(TRIM(D474),"'","''")&amp;"'")&amp;", "&amp;IF(TRIM(E474&amp;"")="","NULL","'"&amp;SUBSTITUTE(TRIM(E474),"'","''")&amp;"'")&amp;", "&amp;IF(TRIM(F474&amp;"")="","NULL","'"&amp;SUBSTITUTE(TRIM(F474),"'","''")&amp;"'")&amp;", "&amp;IF(TRIM(G474&amp;"")="","NULL","'"&amp;SUBSTITUTE(TRIM(G474),"'","''")&amp;"'")&amp;", "&amp;IF(TRIM(H474&amp;"")="","NULL","'"&amp;SUBSTITUTE(TRIM(H474),"'","''")&amp;"'")&amp;", "&amp;IF(TRIM(I474&amp;"")="","NULL","'"&amp;SUBSTITUTE(TRIM(I474),"'","''")&amp;"'")&amp;", "&amp;IF(TRIM(J474&amp;"")="","NULL","'"&amp;SUBSTITUTE(TRIM(J474),"'","''")&amp;"'")&amp;", "&amp;IF(UPPER(TRIM(K474&amp;""))="SI","TRUE","FALSE")&amp;", 1"&amp;" WHERE NOT EXISTS (SELECT 1 FROM cli_contacto c WHERE c.id_cliente = "&amp;"(SELECT id FROM cli_clientes WHERE numero_documento = '"&amp;SUBSTITUTE(TRIM(A474),"'","''")&amp;"' AND estado = 1 LIMIT 1)"&amp;" AND upper(c.nombre) = upper("&amp;IF(TRIM(C474&amp;"")="","NULL","'"&amp;SUBSTITUTE(TRIM(C474),"'","''")&amp;"'")&amp;") AND coalesce(c.telefono1,'') = coalesce("&amp;IF(TRIM(F474&amp;"")="","NULL","'"&amp;SUBSTITUTE(TRIM(F474),"'","''")&amp;"'")&amp;",''));")</f>
        <v/>
      </c>
    </row>
    <row r="475" ht="15.75" customHeight="1" s="64">
      <c r="A475" s="23" t="n"/>
      <c r="B475" s="25">
        <f t="array" ref="B475">IF(A475="","",IFERROR(IF(INDEX(Clientes!$D$5:$D$549,MATCH(A475,Clientes!$C$5:$C$549,0))&lt;&gt;"",INDEX(Clientes!$D$5:$D$549,MATCH(A475,Clientes!$C$5:$C$549,0)),TRIM(INDEX(Clientes!$E$5:$E$549,MATCH(A475,Clientes!$C$5:$C$549,0))&amp;" "&amp;INDEX(Clientes!$F$5:$F$549,MATCH(A475,Clientes!$C$5:$C$549,0)))),"NO EXISTE en Clientes"))</f>
        <v/>
      </c>
      <c r="C475" s="17" t="n"/>
      <c r="D475" s="17" t="n"/>
      <c r="E475" s="17" t="n"/>
      <c r="F475" s="23" t="n"/>
      <c r="G475" s="23" t="n"/>
      <c r="H475" s="23" t="n"/>
      <c r="I475" s="17" t="n"/>
      <c r="J475" s="17" t="n"/>
      <c r="K475" s="17" t="n"/>
      <c r="L475" s="17">
        <f>IF(AND(A475="",C475=""),"",IF(A475="","FALTA doc. cliente",IF(B475="NO EXISTE en Clientes","CLIENTE no está en hoja Clientes",IF(C475="","FALTA nombre",IF(AND(K475="SI",COUNTIFS($A$5:$A$499,A475,$K$5:$K$499,"SI")&gt;1),"Más de un contacto principal para este cliente","OK")))))</f>
        <v/>
      </c>
      <c r="M475" s="28">
        <f>IF(L475&lt;&gt;"OK","","INSERT INTO cli_contacto (id_cliente, nombre, apellido_paterno, apellido_materno, telefono1, telefono2, telefono3, email, direccion, es_principal, estado) SELECT "&amp;"(SELECT id FROM cli_clientes WHERE numero_documento = '"&amp;SUBSTITUTE(TRIM(A475),"'","''")&amp;"' AND estado = 1 LIMIT 1)"&amp;", "&amp;IF(TRIM(C475&amp;"")="","NULL","'"&amp;SUBSTITUTE(TRIM(C475),"'","''")&amp;"'")&amp;", "&amp;IF(TRIM(D475&amp;"")="","NULL","'"&amp;SUBSTITUTE(TRIM(D475),"'","''")&amp;"'")&amp;", "&amp;IF(TRIM(E475&amp;"")="","NULL","'"&amp;SUBSTITUTE(TRIM(E475),"'","''")&amp;"'")&amp;", "&amp;IF(TRIM(F475&amp;"")="","NULL","'"&amp;SUBSTITUTE(TRIM(F475),"'","''")&amp;"'")&amp;", "&amp;IF(TRIM(G475&amp;"")="","NULL","'"&amp;SUBSTITUTE(TRIM(G475),"'","''")&amp;"'")&amp;", "&amp;IF(TRIM(H475&amp;"")="","NULL","'"&amp;SUBSTITUTE(TRIM(H475),"'","''")&amp;"'")&amp;", "&amp;IF(TRIM(I475&amp;"")="","NULL","'"&amp;SUBSTITUTE(TRIM(I475),"'","''")&amp;"'")&amp;", "&amp;IF(TRIM(J475&amp;"")="","NULL","'"&amp;SUBSTITUTE(TRIM(J475),"'","''")&amp;"'")&amp;", "&amp;IF(UPPER(TRIM(K475&amp;""))="SI","TRUE","FALSE")&amp;", 1"&amp;" WHERE NOT EXISTS (SELECT 1 FROM cli_contacto c WHERE c.id_cliente = "&amp;"(SELECT id FROM cli_clientes WHERE numero_documento = '"&amp;SUBSTITUTE(TRIM(A475),"'","''")&amp;"' AND estado = 1 LIMIT 1)"&amp;" AND upper(c.nombre) = upper("&amp;IF(TRIM(C475&amp;"")="","NULL","'"&amp;SUBSTITUTE(TRIM(C475),"'","''")&amp;"'")&amp;") AND coalesce(c.telefono1,'') = coalesce("&amp;IF(TRIM(F475&amp;"")="","NULL","'"&amp;SUBSTITUTE(TRIM(F475),"'","''")&amp;"'")&amp;",''));")</f>
        <v/>
      </c>
    </row>
    <row r="476" ht="15.75" customHeight="1" s="64">
      <c r="A476" s="23" t="n"/>
      <c r="B476" s="25">
        <f t="array" ref="B476">IF(A476="","",IFERROR(IF(INDEX(Clientes!$D$5:$D$549,MATCH(A476,Clientes!$C$5:$C$549,0))&lt;&gt;"",INDEX(Clientes!$D$5:$D$549,MATCH(A476,Clientes!$C$5:$C$549,0)),TRIM(INDEX(Clientes!$E$5:$E$549,MATCH(A476,Clientes!$C$5:$C$549,0))&amp;" "&amp;INDEX(Clientes!$F$5:$F$549,MATCH(A476,Clientes!$C$5:$C$549,0)))),"NO EXISTE en Clientes"))</f>
        <v/>
      </c>
      <c r="C476" s="17" t="n"/>
      <c r="D476" s="17" t="n"/>
      <c r="E476" s="17" t="n"/>
      <c r="F476" s="23" t="n"/>
      <c r="G476" s="23" t="n"/>
      <c r="H476" s="23" t="n"/>
      <c r="I476" s="17" t="n"/>
      <c r="J476" s="17" t="n"/>
      <c r="K476" s="17" t="n"/>
      <c r="L476" s="17">
        <f>IF(AND(A476="",C476=""),"",IF(A476="","FALTA doc. cliente",IF(B476="NO EXISTE en Clientes","CLIENTE no está en hoja Clientes",IF(C476="","FALTA nombre",IF(AND(K476="SI",COUNTIFS($A$5:$A$499,A476,$K$5:$K$499,"SI")&gt;1),"Más de un contacto principal para este cliente","OK")))))</f>
        <v/>
      </c>
      <c r="M476" s="28">
        <f>IF(L476&lt;&gt;"OK","","INSERT INTO cli_contacto (id_cliente, nombre, apellido_paterno, apellido_materno, telefono1, telefono2, telefono3, email, direccion, es_principal, estado) SELECT "&amp;"(SELECT id FROM cli_clientes WHERE numero_documento = '"&amp;SUBSTITUTE(TRIM(A476),"'","''")&amp;"' AND estado = 1 LIMIT 1)"&amp;", "&amp;IF(TRIM(C476&amp;"")="","NULL","'"&amp;SUBSTITUTE(TRIM(C476),"'","''")&amp;"'")&amp;", "&amp;IF(TRIM(D476&amp;"")="","NULL","'"&amp;SUBSTITUTE(TRIM(D476),"'","''")&amp;"'")&amp;", "&amp;IF(TRIM(E476&amp;"")="","NULL","'"&amp;SUBSTITUTE(TRIM(E476),"'","''")&amp;"'")&amp;", "&amp;IF(TRIM(F476&amp;"")="","NULL","'"&amp;SUBSTITUTE(TRIM(F476),"'","''")&amp;"'")&amp;", "&amp;IF(TRIM(G476&amp;"")="","NULL","'"&amp;SUBSTITUTE(TRIM(G476),"'","''")&amp;"'")&amp;", "&amp;IF(TRIM(H476&amp;"")="","NULL","'"&amp;SUBSTITUTE(TRIM(H476),"'","''")&amp;"'")&amp;", "&amp;IF(TRIM(I476&amp;"")="","NULL","'"&amp;SUBSTITUTE(TRIM(I476),"'","''")&amp;"'")&amp;", "&amp;IF(TRIM(J476&amp;"")="","NULL","'"&amp;SUBSTITUTE(TRIM(J476),"'","''")&amp;"'")&amp;", "&amp;IF(UPPER(TRIM(K476&amp;""))="SI","TRUE","FALSE")&amp;", 1"&amp;" WHERE NOT EXISTS (SELECT 1 FROM cli_contacto c WHERE c.id_cliente = "&amp;"(SELECT id FROM cli_clientes WHERE numero_documento = '"&amp;SUBSTITUTE(TRIM(A476),"'","''")&amp;"' AND estado = 1 LIMIT 1)"&amp;" AND upper(c.nombre) = upper("&amp;IF(TRIM(C476&amp;"")="","NULL","'"&amp;SUBSTITUTE(TRIM(C476),"'","''")&amp;"'")&amp;") AND coalesce(c.telefono1,'') = coalesce("&amp;IF(TRIM(F476&amp;"")="","NULL","'"&amp;SUBSTITUTE(TRIM(F476),"'","''")&amp;"'")&amp;",''));")</f>
        <v/>
      </c>
    </row>
    <row r="477" ht="15.75" customHeight="1" s="64">
      <c r="A477" s="23" t="n"/>
      <c r="B477" s="25">
        <f t="array" ref="B477">IF(A477="","",IFERROR(IF(INDEX(Clientes!$D$5:$D$549,MATCH(A477,Clientes!$C$5:$C$549,0))&lt;&gt;"",INDEX(Clientes!$D$5:$D$549,MATCH(A477,Clientes!$C$5:$C$549,0)),TRIM(INDEX(Clientes!$E$5:$E$549,MATCH(A477,Clientes!$C$5:$C$549,0))&amp;" "&amp;INDEX(Clientes!$F$5:$F$549,MATCH(A477,Clientes!$C$5:$C$549,0)))),"NO EXISTE en Clientes"))</f>
        <v/>
      </c>
      <c r="C477" s="17" t="n"/>
      <c r="D477" s="17" t="n"/>
      <c r="E477" s="17" t="n"/>
      <c r="F477" s="23" t="n"/>
      <c r="G477" s="23" t="n"/>
      <c r="H477" s="23" t="n"/>
      <c r="I477" s="17" t="n"/>
      <c r="J477" s="17" t="n"/>
      <c r="K477" s="17" t="n"/>
      <c r="L477" s="17">
        <f>IF(AND(A477="",C477=""),"",IF(A477="","FALTA doc. cliente",IF(B477="NO EXISTE en Clientes","CLIENTE no está en hoja Clientes",IF(C477="","FALTA nombre",IF(AND(K477="SI",COUNTIFS($A$5:$A$499,A477,$K$5:$K$499,"SI")&gt;1),"Más de un contacto principal para este cliente","OK")))))</f>
        <v/>
      </c>
      <c r="M477" s="28">
        <f>IF(L477&lt;&gt;"OK","","INSERT INTO cli_contacto (id_cliente, nombre, apellido_paterno, apellido_materno, telefono1, telefono2, telefono3, email, direccion, es_principal, estado) SELECT "&amp;"(SELECT id FROM cli_clientes WHERE numero_documento = '"&amp;SUBSTITUTE(TRIM(A477),"'","''")&amp;"' AND estado = 1 LIMIT 1)"&amp;", "&amp;IF(TRIM(C477&amp;"")="","NULL","'"&amp;SUBSTITUTE(TRIM(C477),"'","''")&amp;"'")&amp;", "&amp;IF(TRIM(D477&amp;"")="","NULL","'"&amp;SUBSTITUTE(TRIM(D477),"'","''")&amp;"'")&amp;", "&amp;IF(TRIM(E477&amp;"")="","NULL","'"&amp;SUBSTITUTE(TRIM(E477),"'","''")&amp;"'")&amp;", "&amp;IF(TRIM(F477&amp;"")="","NULL","'"&amp;SUBSTITUTE(TRIM(F477),"'","''")&amp;"'")&amp;", "&amp;IF(TRIM(G477&amp;"")="","NULL","'"&amp;SUBSTITUTE(TRIM(G477),"'","''")&amp;"'")&amp;", "&amp;IF(TRIM(H477&amp;"")="","NULL","'"&amp;SUBSTITUTE(TRIM(H477),"'","''")&amp;"'")&amp;", "&amp;IF(TRIM(I477&amp;"")="","NULL","'"&amp;SUBSTITUTE(TRIM(I477),"'","''")&amp;"'")&amp;", "&amp;IF(TRIM(J477&amp;"")="","NULL","'"&amp;SUBSTITUTE(TRIM(J477),"'","''")&amp;"'")&amp;", "&amp;IF(UPPER(TRIM(K477&amp;""))="SI","TRUE","FALSE")&amp;", 1"&amp;" WHERE NOT EXISTS (SELECT 1 FROM cli_contacto c WHERE c.id_cliente = "&amp;"(SELECT id FROM cli_clientes WHERE numero_documento = '"&amp;SUBSTITUTE(TRIM(A477),"'","''")&amp;"' AND estado = 1 LIMIT 1)"&amp;" AND upper(c.nombre) = upper("&amp;IF(TRIM(C477&amp;"")="","NULL","'"&amp;SUBSTITUTE(TRIM(C477),"'","''")&amp;"'")&amp;") AND coalesce(c.telefono1,'') = coalesce("&amp;IF(TRIM(F477&amp;"")="","NULL","'"&amp;SUBSTITUTE(TRIM(F477),"'","''")&amp;"'")&amp;",''));")</f>
        <v/>
      </c>
    </row>
    <row r="478" ht="15.75" customHeight="1" s="64">
      <c r="A478" s="23" t="n"/>
      <c r="B478" s="25">
        <f t="array" ref="B478">IF(A478="","",IFERROR(IF(INDEX(Clientes!$D$5:$D$549,MATCH(A478,Clientes!$C$5:$C$549,0))&lt;&gt;"",INDEX(Clientes!$D$5:$D$549,MATCH(A478,Clientes!$C$5:$C$549,0)),TRIM(INDEX(Clientes!$E$5:$E$549,MATCH(A478,Clientes!$C$5:$C$549,0))&amp;" "&amp;INDEX(Clientes!$F$5:$F$549,MATCH(A478,Clientes!$C$5:$C$549,0)))),"NO EXISTE en Clientes"))</f>
        <v/>
      </c>
      <c r="C478" s="17" t="n"/>
      <c r="D478" s="17" t="n"/>
      <c r="E478" s="17" t="n"/>
      <c r="F478" s="23" t="n"/>
      <c r="G478" s="23" t="n"/>
      <c r="H478" s="23" t="n"/>
      <c r="I478" s="17" t="n"/>
      <c r="J478" s="17" t="n"/>
      <c r="K478" s="17" t="n"/>
      <c r="L478" s="17">
        <f>IF(AND(A478="",C478=""),"",IF(A478="","FALTA doc. cliente",IF(B478="NO EXISTE en Clientes","CLIENTE no está en hoja Clientes",IF(C478="","FALTA nombre",IF(AND(K478="SI",COUNTIFS($A$5:$A$499,A478,$K$5:$K$499,"SI")&gt;1),"Más de un contacto principal para este cliente","OK")))))</f>
        <v/>
      </c>
      <c r="M478" s="28">
        <f>IF(L478&lt;&gt;"OK","","INSERT INTO cli_contacto (id_cliente, nombre, apellido_paterno, apellido_materno, telefono1, telefono2, telefono3, email, direccion, es_principal, estado) SELECT "&amp;"(SELECT id FROM cli_clientes WHERE numero_documento = '"&amp;SUBSTITUTE(TRIM(A478),"'","''")&amp;"' AND estado = 1 LIMIT 1)"&amp;", "&amp;IF(TRIM(C478&amp;"")="","NULL","'"&amp;SUBSTITUTE(TRIM(C478),"'","''")&amp;"'")&amp;", "&amp;IF(TRIM(D478&amp;"")="","NULL","'"&amp;SUBSTITUTE(TRIM(D478),"'","''")&amp;"'")&amp;", "&amp;IF(TRIM(E478&amp;"")="","NULL","'"&amp;SUBSTITUTE(TRIM(E478),"'","''")&amp;"'")&amp;", "&amp;IF(TRIM(F478&amp;"")="","NULL","'"&amp;SUBSTITUTE(TRIM(F478),"'","''")&amp;"'")&amp;", "&amp;IF(TRIM(G478&amp;"")="","NULL","'"&amp;SUBSTITUTE(TRIM(G478),"'","''")&amp;"'")&amp;", "&amp;IF(TRIM(H478&amp;"")="","NULL","'"&amp;SUBSTITUTE(TRIM(H478),"'","''")&amp;"'")&amp;", "&amp;IF(TRIM(I478&amp;"")="","NULL","'"&amp;SUBSTITUTE(TRIM(I478),"'","''")&amp;"'")&amp;", "&amp;IF(TRIM(J478&amp;"")="","NULL","'"&amp;SUBSTITUTE(TRIM(J478),"'","''")&amp;"'")&amp;", "&amp;IF(UPPER(TRIM(K478&amp;""))="SI","TRUE","FALSE")&amp;", 1"&amp;" WHERE NOT EXISTS (SELECT 1 FROM cli_contacto c WHERE c.id_cliente = "&amp;"(SELECT id FROM cli_clientes WHERE numero_documento = '"&amp;SUBSTITUTE(TRIM(A478),"'","''")&amp;"' AND estado = 1 LIMIT 1)"&amp;" AND upper(c.nombre) = upper("&amp;IF(TRIM(C478&amp;"")="","NULL","'"&amp;SUBSTITUTE(TRIM(C478),"'","''")&amp;"'")&amp;") AND coalesce(c.telefono1,'') = coalesce("&amp;IF(TRIM(F478&amp;"")="","NULL","'"&amp;SUBSTITUTE(TRIM(F478),"'","''")&amp;"'")&amp;",''));")</f>
        <v/>
      </c>
    </row>
    <row r="479" ht="15.75" customHeight="1" s="64">
      <c r="A479" s="23" t="n"/>
      <c r="B479" s="25">
        <f t="array" ref="B479">IF(A479="","",IFERROR(IF(INDEX(Clientes!$D$5:$D$549,MATCH(A479,Clientes!$C$5:$C$549,0))&lt;&gt;"",INDEX(Clientes!$D$5:$D$549,MATCH(A479,Clientes!$C$5:$C$549,0)),TRIM(INDEX(Clientes!$E$5:$E$549,MATCH(A479,Clientes!$C$5:$C$549,0))&amp;" "&amp;INDEX(Clientes!$F$5:$F$549,MATCH(A479,Clientes!$C$5:$C$549,0)))),"NO EXISTE en Clientes"))</f>
        <v/>
      </c>
      <c r="C479" s="17" t="n"/>
      <c r="D479" s="17" t="n"/>
      <c r="E479" s="17" t="n"/>
      <c r="F479" s="23" t="n"/>
      <c r="G479" s="23" t="n"/>
      <c r="H479" s="23" t="n"/>
      <c r="I479" s="17" t="n"/>
      <c r="J479" s="17" t="n"/>
      <c r="K479" s="17" t="n"/>
      <c r="L479" s="17">
        <f>IF(AND(A479="",C479=""),"",IF(A479="","FALTA doc. cliente",IF(B479="NO EXISTE en Clientes","CLIENTE no está en hoja Clientes",IF(C479="","FALTA nombre",IF(AND(K479="SI",COUNTIFS($A$5:$A$499,A479,$K$5:$K$499,"SI")&gt;1),"Más de un contacto principal para este cliente","OK")))))</f>
        <v/>
      </c>
      <c r="M479" s="28">
        <f>IF(L479&lt;&gt;"OK","","INSERT INTO cli_contacto (id_cliente, nombre, apellido_paterno, apellido_materno, telefono1, telefono2, telefono3, email, direccion, es_principal, estado) SELECT "&amp;"(SELECT id FROM cli_clientes WHERE numero_documento = '"&amp;SUBSTITUTE(TRIM(A479),"'","''")&amp;"' AND estado = 1 LIMIT 1)"&amp;", "&amp;IF(TRIM(C479&amp;"")="","NULL","'"&amp;SUBSTITUTE(TRIM(C479),"'","''")&amp;"'")&amp;", "&amp;IF(TRIM(D479&amp;"")="","NULL","'"&amp;SUBSTITUTE(TRIM(D479),"'","''")&amp;"'")&amp;", "&amp;IF(TRIM(E479&amp;"")="","NULL","'"&amp;SUBSTITUTE(TRIM(E479),"'","''")&amp;"'")&amp;", "&amp;IF(TRIM(F479&amp;"")="","NULL","'"&amp;SUBSTITUTE(TRIM(F479),"'","''")&amp;"'")&amp;", "&amp;IF(TRIM(G479&amp;"")="","NULL","'"&amp;SUBSTITUTE(TRIM(G479),"'","''")&amp;"'")&amp;", "&amp;IF(TRIM(H479&amp;"")="","NULL","'"&amp;SUBSTITUTE(TRIM(H479),"'","''")&amp;"'")&amp;", "&amp;IF(TRIM(I479&amp;"")="","NULL","'"&amp;SUBSTITUTE(TRIM(I479),"'","''")&amp;"'")&amp;", "&amp;IF(TRIM(J479&amp;"")="","NULL","'"&amp;SUBSTITUTE(TRIM(J479),"'","''")&amp;"'")&amp;", "&amp;IF(UPPER(TRIM(K479&amp;""))="SI","TRUE","FALSE")&amp;", 1"&amp;" WHERE NOT EXISTS (SELECT 1 FROM cli_contacto c WHERE c.id_cliente = "&amp;"(SELECT id FROM cli_clientes WHERE numero_documento = '"&amp;SUBSTITUTE(TRIM(A479),"'","''")&amp;"' AND estado = 1 LIMIT 1)"&amp;" AND upper(c.nombre) = upper("&amp;IF(TRIM(C479&amp;"")="","NULL","'"&amp;SUBSTITUTE(TRIM(C479),"'","''")&amp;"'")&amp;") AND coalesce(c.telefono1,'') = coalesce("&amp;IF(TRIM(F479&amp;"")="","NULL","'"&amp;SUBSTITUTE(TRIM(F479),"'","''")&amp;"'")&amp;",''));")</f>
        <v/>
      </c>
    </row>
    <row r="480" ht="15.75" customHeight="1" s="64">
      <c r="A480" s="23" t="n"/>
      <c r="B480" s="25">
        <f t="array" ref="B480">IF(A480="","",IFERROR(IF(INDEX(Clientes!$D$5:$D$549,MATCH(A480,Clientes!$C$5:$C$549,0))&lt;&gt;"",INDEX(Clientes!$D$5:$D$549,MATCH(A480,Clientes!$C$5:$C$549,0)),TRIM(INDEX(Clientes!$E$5:$E$549,MATCH(A480,Clientes!$C$5:$C$549,0))&amp;" "&amp;INDEX(Clientes!$F$5:$F$549,MATCH(A480,Clientes!$C$5:$C$549,0)))),"NO EXISTE en Clientes"))</f>
        <v/>
      </c>
      <c r="C480" s="17" t="n"/>
      <c r="D480" s="17" t="n"/>
      <c r="E480" s="17" t="n"/>
      <c r="F480" s="23" t="n"/>
      <c r="G480" s="23" t="n"/>
      <c r="H480" s="23" t="n"/>
      <c r="I480" s="17" t="n"/>
      <c r="J480" s="17" t="n"/>
      <c r="K480" s="17" t="n"/>
      <c r="L480" s="17">
        <f>IF(AND(A480="",C480=""),"",IF(A480="","FALTA doc. cliente",IF(B480="NO EXISTE en Clientes","CLIENTE no está en hoja Clientes",IF(C480="","FALTA nombre",IF(AND(K480="SI",COUNTIFS($A$5:$A$499,A480,$K$5:$K$499,"SI")&gt;1),"Más de un contacto principal para este cliente","OK")))))</f>
        <v/>
      </c>
      <c r="M480" s="28">
        <f>IF(L480&lt;&gt;"OK","","INSERT INTO cli_contacto (id_cliente, nombre, apellido_paterno, apellido_materno, telefono1, telefono2, telefono3, email, direccion, es_principal, estado) SELECT "&amp;"(SELECT id FROM cli_clientes WHERE numero_documento = '"&amp;SUBSTITUTE(TRIM(A480),"'","''")&amp;"' AND estado = 1 LIMIT 1)"&amp;", "&amp;IF(TRIM(C480&amp;"")="","NULL","'"&amp;SUBSTITUTE(TRIM(C480),"'","''")&amp;"'")&amp;", "&amp;IF(TRIM(D480&amp;"")="","NULL","'"&amp;SUBSTITUTE(TRIM(D480),"'","''")&amp;"'")&amp;", "&amp;IF(TRIM(E480&amp;"")="","NULL","'"&amp;SUBSTITUTE(TRIM(E480),"'","''")&amp;"'")&amp;", "&amp;IF(TRIM(F480&amp;"")="","NULL","'"&amp;SUBSTITUTE(TRIM(F480),"'","''")&amp;"'")&amp;", "&amp;IF(TRIM(G480&amp;"")="","NULL","'"&amp;SUBSTITUTE(TRIM(G480),"'","''")&amp;"'")&amp;", "&amp;IF(TRIM(H480&amp;"")="","NULL","'"&amp;SUBSTITUTE(TRIM(H480),"'","''")&amp;"'")&amp;", "&amp;IF(TRIM(I480&amp;"")="","NULL","'"&amp;SUBSTITUTE(TRIM(I480),"'","''")&amp;"'")&amp;", "&amp;IF(TRIM(J480&amp;"")="","NULL","'"&amp;SUBSTITUTE(TRIM(J480),"'","''")&amp;"'")&amp;", "&amp;IF(UPPER(TRIM(K480&amp;""))="SI","TRUE","FALSE")&amp;", 1"&amp;" WHERE NOT EXISTS (SELECT 1 FROM cli_contacto c WHERE c.id_cliente = "&amp;"(SELECT id FROM cli_clientes WHERE numero_documento = '"&amp;SUBSTITUTE(TRIM(A480),"'","''")&amp;"' AND estado = 1 LIMIT 1)"&amp;" AND upper(c.nombre) = upper("&amp;IF(TRIM(C480&amp;"")="","NULL","'"&amp;SUBSTITUTE(TRIM(C480),"'","''")&amp;"'")&amp;") AND coalesce(c.telefono1,'') = coalesce("&amp;IF(TRIM(F480&amp;"")="","NULL","'"&amp;SUBSTITUTE(TRIM(F480),"'","''")&amp;"'")&amp;",''));")</f>
        <v/>
      </c>
    </row>
    <row r="481" ht="15.75" customHeight="1" s="64">
      <c r="A481" s="23" t="n"/>
      <c r="B481" s="25">
        <f t="array" ref="B481">IF(A481="","",IFERROR(IF(INDEX(Clientes!$D$5:$D$549,MATCH(A481,Clientes!$C$5:$C$549,0))&lt;&gt;"",INDEX(Clientes!$D$5:$D$549,MATCH(A481,Clientes!$C$5:$C$549,0)),TRIM(INDEX(Clientes!$E$5:$E$549,MATCH(A481,Clientes!$C$5:$C$549,0))&amp;" "&amp;INDEX(Clientes!$F$5:$F$549,MATCH(A481,Clientes!$C$5:$C$549,0)))),"NO EXISTE en Clientes"))</f>
        <v/>
      </c>
      <c r="C481" s="17" t="n"/>
      <c r="D481" s="17" t="n"/>
      <c r="E481" s="17" t="n"/>
      <c r="F481" s="23" t="n"/>
      <c r="G481" s="23" t="n"/>
      <c r="H481" s="23" t="n"/>
      <c r="I481" s="17" t="n"/>
      <c r="J481" s="17" t="n"/>
      <c r="K481" s="17" t="n"/>
      <c r="L481" s="17">
        <f>IF(AND(A481="",C481=""),"",IF(A481="","FALTA doc. cliente",IF(B481="NO EXISTE en Clientes","CLIENTE no está en hoja Clientes",IF(C481="","FALTA nombre",IF(AND(K481="SI",COUNTIFS($A$5:$A$499,A481,$K$5:$K$499,"SI")&gt;1),"Más de un contacto principal para este cliente","OK")))))</f>
        <v/>
      </c>
      <c r="M481" s="28">
        <f>IF(L481&lt;&gt;"OK","","INSERT INTO cli_contacto (id_cliente, nombre, apellido_paterno, apellido_materno, telefono1, telefono2, telefono3, email, direccion, es_principal, estado) SELECT "&amp;"(SELECT id FROM cli_clientes WHERE numero_documento = '"&amp;SUBSTITUTE(TRIM(A481),"'","''")&amp;"' AND estado = 1 LIMIT 1)"&amp;", "&amp;IF(TRIM(C481&amp;"")="","NULL","'"&amp;SUBSTITUTE(TRIM(C481),"'","''")&amp;"'")&amp;", "&amp;IF(TRIM(D481&amp;"")="","NULL","'"&amp;SUBSTITUTE(TRIM(D481),"'","''")&amp;"'")&amp;", "&amp;IF(TRIM(E481&amp;"")="","NULL","'"&amp;SUBSTITUTE(TRIM(E481),"'","''")&amp;"'")&amp;", "&amp;IF(TRIM(F481&amp;"")="","NULL","'"&amp;SUBSTITUTE(TRIM(F481),"'","''")&amp;"'")&amp;", "&amp;IF(TRIM(G481&amp;"")="","NULL","'"&amp;SUBSTITUTE(TRIM(G481),"'","''")&amp;"'")&amp;", "&amp;IF(TRIM(H481&amp;"")="","NULL","'"&amp;SUBSTITUTE(TRIM(H481),"'","''")&amp;"'")&amp;", "&amp;IF(TRIM(I481&amp;"")="","NULL","'"&amp;SUBSTITUTE(TRIM(I481),"'","''")&amp;"'")&amp;", "&amp;IF(TRIM(J481&amp;"")="","NULL","'"&amp;SUBSTITUTE(TRIM(J481),"'","''")&amp;"'")&amp;", "&amp;IF(UPPER(TRIM(K481&amp;""))="SI","TRUE","FALSE")&amp;", 1"&amp;" WHERE NOT EXISTS (SELECT 1 FROM cli_contacto c WHERE c.id_cliente = "&amp;"(SELECT id FROM cli_clientes WHERE numero_documento = '"&amp;SUBSTITUTE(TRIM(A481),"'","''")&amp;"' AND estado = 1 LIMIT 1)"&amp;" AND upper(c.nombre) = upper("&amp;IF(TRIM(C481&amp;"")="","NULL","'"&amp;SUBSTITUTE(TRIM(C481),"'","''")&amp;"'")&amp;") AND coalesce(c.telefono1,'') = coalesce("&amp;IF(TRIM(F481&amp;"")="","NULL","'"&amp;SUBSTITUTE(TRIM(F481),"'","''")&amp;"'")&amp;",''));")</f>
        <v/>
      </c>
    </row>
    <row r="482" ht="15.75" customHeight="1" s="64">
      <c r="A482" s="23" t="n"/>
      <c r="B482" s="25">
        <f t="array" ref="B482">IF(A482="","",IFERROR(IF(INDEX(Clientes!$D$5:$D$549,MATCH(A482,Clientes!$C$5:$C$549,0))&lt;&gt;"",INDEX(Clientes!$D$5:$D$549,MATCH(A482,Clientes!$C$5:$C$549,0)),TRIM(INDEX(Clientes!$E$5:$E$549,MATCH(A482,Clientes!$C$5:$C$549,0))&amp;" "&amp;INDEX(Clientes!$F$5:$F$549,MATCH(A482,Clientes!$C$5:$C$549,0)))),"NO EXISTE en Clientes"))</f>
        <v/>
      </c>
      <c r="C482" s="17" t="n"/>
      <c r="D482" s="17" t="n"/>
      <c r="E482" s="17" t="n"/>
      <c r="F482" s="23" t="n"/>
      <c r="G482" s="23" t="n"/>
      <c r="H482" s="23" t="n"/>
      <c r="I482" s="17" t="n"/>
      <c r="J482" s="17" t="n"/>
      <c r="K482" s="17" t="n"/>
      <c r="L482" s="17">
        <f>IF(AND(A482="",C482=""),"",IF(A482="","FALTA doc. cliente",IF(B482="NO EXISTE en Clientes","CLIENTE no está en hoja Clientes",IF(C482="","FALTA nombre",IF(AND(K482="SI",COUNTIFS($A$5:$A$499,A482,$K$5:$K$499,"SI")&gt;1),"Más de un contacto principal para este cliente","OK")))))</f>
        <v/>
      </c>
      <c r="M482" s="28">
        <f>IF(L482&lt;&gt;"OK","","INSERT INTO cli_contacto (id_cliente, nombre, apellido_paterno, apellido_materno, telefono1, telefono2, telefono3, email, direccion, es_principal, estado) SELECT "&amp;"(SELECT id FROM cli_clientes WHERE numero_documento = '"&amp;SUBSTITUTE(TRIM(A482),"'","''")&amp;"' AND estado = 1 LIMIT 1)"&amp;", "&amp;IF(TRIM(C482&amp;"")="","NULL","'"&amp;SUBSTITUTE(TRIM(C482),"'","''")&amp;"'")&amp;", "&amp;IF(TRIM(D482&amp;"")="","NULL","'"&amp;SUBSTITUTE(TRIM(D482),"'","''")&amp;"'")&amp;", "&amp;IF(TRIM(E482&amp;"")="","NULL","'"&amp;SUBSTITUTE(TRIM(E482),"'","''")&amp;"'")&amp;", "&amp;IF(TRIM(F482&amp;"")="","NULL","'"&amp;SUBSTITUTE(TRIM(F482),"'","''")&amp;"'")&amp;", "&amp;IF(TRIM(G482&amp;"")="","NULL","'"&amp;SUBSTITUTE(TRIM(G482),"'","''")&amp;"'")&amp;", "&amp;IF(TRIM(H482&amp;"")="","NULL","'"&amp;SUBSTITUTE(TRIM(H482),"'","''")&amp;"'")&amp;", "&amp;IF(TRIM(I482&amp;"")="","NULL","'"&amp;SUBSTITUTE(TRIM(I482),"'","''")&amp;"'")&amp;", "&amp;IF(TRIM(J482&amp;"")="","NULL","'"&amp;SUBSTITUTE(TRIM(J482),"'","''")&amp;"'")&amp;", "&amp;IF(UPPER(TRIM(K482&amp;""))="SI","TRUE","FALSE")&amp;", 1"&amp;" WHERE NOT EXISTS (SELECT 1 FROM cli_contacto c WHERE c.id_cliente = "&amp;"(SELECT id FROM cli_clientes WHERE numero_documento = '"&amp;SUBSTITUTE(TRIM(A482),"'","''")&amp;"' AND estado = 1 LIMIT 1)"&amp;" AND upper(c.nombre) = upper("&amp;IF(TRIM(C482&amp;"")="","NULL","'"&amp;SUBSTITUTE(TRIM(C482),"'","''")&amp;"'")&amp;") AND coalesce(c.telefono1,'') = coalesce("&amp;IF(TRIM(F482&amp;"")="","NULL","'"&amp;SUBSTITUTE(TRIM(F482),"'","''")&amp;"'")&amp;",''));")</f>
        <v/>
      </c>
    </row>
    <row r="483" ht="15.75" customHeight="1" s="64">
      <c r="A483" s="23" t="n"/>
      <c r="B483" s="25">
        <f t="array" ref="B483">IF(A483="","",IFERROR(IF(INDEX(Clientes!$D$5:$D$549,MATCH(A483,Clientes!$C$5:$C$549,0))&lt;&gt;"",INDEX(Clientes!$D$5:$D$549,MATCH(A483,Clientes!$C$5:$C$549,0)),TRIM(INDEX(Clientes!$E$5:$E$549,MATCH(A483,Clientes!$C$5:$C$549,0))&amp;" "&amp;INDEX(Clientes!$F$5:$F$549,MATCH(A483,Clientes!$C$5:$C$549,0)))),"NO EXISTE en Clientes"))</f>
        <v/>
      </c>
      <c r="C483" s="17" t="n"/>
      <c r="D483" s="17" t="n"/>
      <c r="E483" s="17" t="n"/>
      <c r="F483" s="23" t="n"/>
      <c r="G483" s="23" t="n"/>
      <c r="H483" s="23" t="n"/>
      <c r="I483" s="17" t="n"/>
      <c r="J483" s="17" t="n"/>
      <c r="K483" s="17" t="n"/>
      <c r="L483" s="17">
        <f>IF(AND(A483="",C483=""),"",IF(A483="","FALTA doc. cliente",IF(B483="NO EXISTE en Clientes","CLIENTE no está en hoja Clientes",IF(C483="","FALTA nombre",IF(AND(K483="SI",COUNTIFS($A$5:$A$499,A483,$K$5:$K$499,"SI")&gt;1),"Más de un contacto principal para este cliente","OK")))))</f>
        <v/>
      </c>
      <c r="M483" s="28">
        <f>IF(L483&lt;&gt;"OK","","INSERT INTO cli_contacto (id_cliente, nombre, apellido_paterno, apellido_materno, telefono1, telefono2, telefono3, email, direccion, es_principal, estado) SELECT "&amp;"(SELECT id FROM cli_clientes WHERE numero_documento = '"&amp;SUBSTITUTE(TRIM(A483),"'","''")&amp;"' AND estado = 1 LIMIT 1)"&amp;", "&amp;IF(TRIM(C483&amp;"")="","NULL","'"&amp;SUBSTITUTE(TRIM(C483),"'","''")&amp;"'")&amp;", "&amp;IF(TRIM(D483&amp;"")="","NULL","'"&amp;SUBSTITUTE(TRIM(D483),"'","''")&amp;"'")&amp;", "&amp;IF(TRIM(E483&amp;"")="","NULL","'"&amp;SUBSTITUTE(TRIM(E483),"'","''")&amp;"'")&amp;", "&amp;IF(TRIM(F483&amp;"")="","NULL","'"&amp;SUBSTITUTE(TRIM(F483),"'","''")&amp;"'")&amp;", "&amp;IF(TRIM(G483&amp;"")="","NULL","'"&amp;SUBSTITUTE(TRIM(G483),"'","''")&amp;"'")&amp;", "&amp;IF(TRIM(H483&amp;"")="","NULL","'"&amp;SUBSTITUTE(TRIM(H483),"'","''")&amp;"'")&amp;", "&amp;IF(TRIM(I483&amp;"")="","NULL","'"&amp;SUBSTITUTE(TRIM(I483),"'","''")&amp;"'")&amp;", "&amp;IF(TRIM(J483&amp;"")="","NULL","'"&amp;SUBSTITUTE(TRIM(J483),"'","''")&amp;"'")&amp;", "&amp;IF(UPPER(TRIM(K483&amp;""))="SI","TRUE","FALSE")&amp;", 1"&amp;" WHERE NOT EXISTS (SELECT 1 FROM cli_contacto c WHERE c.id_cliente = "&amp;"(SELECT id FROM cli_clientes WHERE numero_documento = '"&amp;SUBSTITUTE(TRIM(A483),"'","''")&amp;"' AND estado = 1 LIMIT 1)"&amp;" AND upper(c.nombre) = upper("&amp;IF(TRIM(C483&amp;"")="","NULL","'"&amp;SUBSTITUTE(TRIM(C483),"'","''")&amp;"'")&amp;") AND coalesce(c.telefono1,'') = coalesce("&amp;IF(TRIM(F483&amp;"")="","NULL","'"&amp;SUBSTITUTE(TRIM(F483),"'","''")&amp;"'")&amp;",''));")</f>
        <v/>
      </c>
    </row>
    <row r="484" ht="15.75" customHeight="1" s="64">
      <c r="A484" s="23" t="n"/>
      <c r="B484" s="25">
        <f t="array" ref="B484">IF(A484="","",IFERROR(IF(INDEX(Clientes!$D$5:$D$549,MATCH(A484,Clientes!$C$5:$C$549,0))&lt;&gt;"",INDEX(Clientes!$D$5:$D$549,MATCH(A484,Clientes!$C$5:$C$549,0)),TRIM(INDEX(Clientes!$E$5:$E$549,MATCH(A484,Clientes!$C$5:$C$549,0))&amp;" "&amp;INDEX(Clientes!$F$5:$F$549,MATCH(A484,Clientes!$C$5:$C$549,0)))),"NO EXISTE en Clientes"))</f>
        <v/>
      </c>
      <c r="C484" s="17" t="n"/>
      <c r="D484" s="17" t="n"/>
      <c r="E484" s="17" t="n"/>
      <c r="F484" s="23" t="n"/>
      <c r="G484" s="23" t="n"/>
      <c r="H484" s="23" t="n"/>
      <c r="I484" s="17" t="n"/>
      <c r="J484" s="17" t="n"/>
      <c r="K484" s="17" t="n"/>
      <c r="L484" s="17">
        <f>IF(AND(A484="",C484=""),"",IF(A484="","FALTA doc. cliente",IF(B484="NO EXISTE en Clientes","CLIENTE no está en hoja Clientes",IF(C484="","FALTA nombre",IF(AND(K484="SI",COUNTIFS($A$5:$A$499,A484,$K$5:$K$499,"SI")&gt;1),"Más de un contacto principal para este cliente","OK")))))</f>
        <v/>
      </c>
      <c r="M484" s="28">
        <f>IF(L484&lt;&gt;"OK","","INSERT INTO cli_contacto (id_cliente, nombre, apellido_paterno, apellido_materno, telefono1, telefono2, telefono3, email, direccion, es_principal, estado) SELECT "&amp;"(SELECT id FROM cli_clientes WHERE numero_documento = '"&amp;SUBSTITUTE(TRIM(A484),"'","''")&amp;"' AND estado = 1 LIMIT 1)"&amp;", "&amp;IF(TRIM(C484&amp;"")="","NULL","'"&amp;SUBSTITUTE(TRIM(C484),"'","''")&amp;"'")&amp;", "&amp;IF(TRIM(D484&amp;"")="","NULL","'"&amp;SUBSTITUTE(TRIM(D484),"'","''")&amp;"'")&amp;", "&amp;IF(TRIM(E484&amp;"")="","NULL","'"&amp;SUBSTITUTE(TRIM(E484),"'","''")&amp;"'")&amp;", "&amp;IF(TRIM(F484&amp;"")="","NULL","'"&amp;SUBSTITUTE(TRIM(F484),"'","''")&amp;"'")&amp;", "&amp;IF(TRIM(G484&amp;"")="","NULL","'"&amp;SUBSTITUTE(TRIM(G484),"'","''")&amp;"'")&amp;", "&amp;IF(TRIM(H484&amp;"")="","NULL","'"&amp;SUBSTITUTE(TRIM(H484),"'","''")&amp;"'")&amp;", "&amp;IF(TRIM(I484&amp;"")="","NULL","'"&amp;SUBSTITUTE(TRIM(I484),"'","''")&amp;"'")&amp;", "&amp;IF(TRIM(J484&amp;"")="","NULL","'"&amp;SUBSTITUTE(TRIM(J484),"'","''")&amp;"'")&amp;", "&amp;IF(UPPER(TRIM(K484&amp;""))="SI","TRUE","FALSE")&amp;", 1"&amp;" WHERE NOT EXISTS (SELECT 1 FROM cli_contacto c WHERE c.id_cliente = "&amp;"(SELECT id FROM cli_clientes WHERE numero_documento = '"&amp;SUBSTITUTE(TRIM(A484),"'","''")&amp;"' AND estado = 1 LIMIT 1)"&amp;" AND upper(c.nombre) = upper("&amp;IF(TRIM(C484&amp;"")="","NULL","'"&amp;SUBSTITUTE(TRIM(C484),"'","''")&amp;"'")&amp;") AND coalesce(c.telefono1,'') = coalesce("&amp;IF(TRIM(F484&amp;"")="","NULL","'"&amp;SUBSTITUTE(TRIM(F484),"'","''")&amp;"'")&amp;",''));")</f>
        <v/>
      </c>
    </row>
    <row r="485" ht="15.75" customHeight="1" s="64">
      <c r="A485" s="23" t="n"/>
      <c r="B485" s="25">
        <f t="array" ref="B485">IF(A485="","",IFERROR(IF(INDEX(Clientes!$D$5:$D$549,MATCH(A485,Clientes!$C$5:$C$549,0))&lt;&gt;"",INDEX(Clientes!$D$5:$D$549,MATCH(A485,Clientes!$C$5:$C$549,0)),TRIM(INDEX(Clientes!$E$5:$E$549,MATCH(A485,Clientes!$C$5:$C$549,0))&amp;" "&amp;INDEX(Clientes!$F$5:$F$549,MATCH(A485,Clientes!$C$5:$C$549,0)))),"NO EXISTE en Clientes"))</f>
        <v/>
      </c>
      <c r="C485" s="17" t="n"/>
      <c r="D485" s="17" t="n"/>
      <c r="E485" s="17" t="n"/>
      <c r="F485" s="23" t="n"/>
      <c r="G485" s="23" t="n"/>
      <c r="H485" s="23" t="n"/>
      <c r="I485" s="17" t="n"/>
      <c r="J485" s="17" t="n"/>
      <c r="K485" s="17" t="n"/>
      <c r="L485" s="17">
        <f>IF(AND(A485="",C485=""),"",IF(A485="","FALTA doc. cliente",IF(B485="NO EXISTE en Clientes","CLIENTE no está en hoja Clientes",IF(C485="","FALTA nombre",IF(AND(K485="SI",COUNTIFS($A$5:$A$499,A485,$K$5:$K$499,"SI")&gt;1),"Más de un contacto principal para este cliente","OK")))))</f>
        <v/>
      </c>
      <c r="M485" s="28">
        <f>IF(L485&lt;&gt;"OK","","INSERT INTO cli_contacto (id_cliente, nombre, apellido_paterno, apellido_materno, telefono1, telefono2, telefono3, email, direccion, es_principal, estado) SELECT "&amp;"(SELECT id FROM cli_clientes WHERE numero_documento = '"&amp;SUBSTITUTE(TRIM(A485),"'","''")&amp;"' AND estado = 1 LIMIT 1)"&amp;", "&amp;IF(TRIM(C485&amp;"")="","NULL","'"&amp;SUBSTITUTE(TRIM(C485),"'","''")&amp;"'")&amp;", "&amp;IF(TRIM(D485&amp;"")="","NULL","'"&amp;SUBSTITUTE(TRIM(D485),"'","''")&amp;"'")&amp;", "&amp;IF(TRIM(E485&amp;"")="","NULL","'"&amp;SUBSTITUTE(TRIM(E485),"'","''")&amp;"'")&amp;", "&amp;IF(TRIM(F485&amp;"")="","NULL","'"&amp;SUBSTITUTE(TRIM(F485),"'","''")&amp;"'")&amp;", "&amp;IF(TRIM(G485&amp;"")="","NULL","'"&amp;SUBSTITUTE(TRIM(G485),"'","''")&amp;"'")&amp;", "&amp;IF(TRIM(H485&amp;"")="","NULL","'"&amp;SUBSTITUTE(TRIM(H485),"'","''")&amp;"'")&amp;", "&amp;IF(TRIM(I485&amp;"")="","NULL","'"&amp;SUBSTITUTE(TRIM(I485),"'","''")&amp;"'")&amp;", "&amp;IF(TRIM(J485&amp;"")="","NULL","'"&amp;SUBSTITUTE(TRIM(J485),"'","''")&amp;"'")&amp;", "&amp;IF(UPPER(TRIM(K485&amp;""))="SI","TRUE","FALSE")&amp;", 1"&amp;" WHERE NOT EXISTS (SELECT 1 FROM cli_contacto c WHERE c.id_cliente = "&amp;"(SELECT id FROM cli_clientes WHERE numero_documento = '"&amp;SUBSTITUTE(TRIM(A485),"'","''")&amp;"' AND estado = 1 LIMIT 1)"&amp;" AND upper(c.nombre) = upper("&amp;IF(TRIM(C485&amp;"")="","NULL","'"&amp;SUBSTITUTE(TRIM(C485),"'","''")&amp;"'")&amp;") AND coalesce(c.telefono1,'') = coalesce("&amp;IF(TRIM(F485&amp;"")="","NULL","'"&amp;SUBSTITUTE(TRIM(F485),"'","''")&amp;"'")&amp;",''));")</f>
        <v/>
      </c>
    </row>
    <row r="486" ht="15.75" customHeight="1" s="64">
      <c r="A486" s="23" t="n"/>
      <c r="B486" s="25">
        <f t="array" ref="B486">IF(A486="","",IFERROR(IF(INDEX(Clientes!$D$5:$D$549,MATCH(A486,Clientes!$C$5:$C$549,0))&lt;&gt;"",INDEX(Clientes!$D$5:$D$549,MATCH(A486,Clientes!$C$5:$C$549,0)),TRIM(INDEX(Clientes!$E$5:$E$549,MATCH(A486,Clientes!$C$5:$C$549,0))&amp;" "&amp;INDEX(Clientes!$F$5:$F$549,MATCH(A486,Clientes!$C$5:$C$549,0)))),"NO EXISTE en Clientes"))</f>
        <v/>
      </c>
      <c r="C486" s="17" t="n"/>
      <c r="D486" s="17" t="n"/>
      <c r="E486" s="17" t="n"/>
      <c r="F486" s="23" t="n"/>
      <c r="G486" s="23" t="n"/>
      <c r="H486" s="23" t="n"/>
      <c r="I486" s="17" t="n"/>
      <c r="J486" s="17" t="n"/>
      <c r="K486" s="17" t="n"/>
      <c r="L486" s="17">
        <f>IF(AND(A486="",C486=""),"",IF(A486="","FALTA doc. cliente",IF(B486="NO EXISTE en Clientes","CLIENTE no está en hoja Clientes",IF(C486="","FALTA nombre",IF(AND(K486="SI",COUNTIFS($A$5:$A$499,A486,$K$5:$K$499,"SI")&gt;1),"Más de un contacto principal para este cliente","OK")))))</f>
        <v/>
      </c>
      <c r="M486" s="28">
        <f>IF(L486&lt;&gt;"OK","","INSERT INTO cli_contacto (id_cliente, nombre, apellido_paterno, apellido_materno, telefono1, telefono2, telefono3, email, direccion, es_principal, estado) SELECT "&amp;"(SELECT id FROM cli_clientes WHERE numero_documento = '"&amp;SUBSTITUTE(TRIM(A486),"'","''")&amp;"' AND estado = 1 LIMIT 1)"&amp;", "&amp;IF(TRIM(C486&amp;"")="","NULL","'"&amp;SUBSTITUTE(TRIM(C486),"'","''")&amp;"'")&amp;", "&amp;IF(TRIM(D486&amp;"")="","NULL","'"&amp;SUBSTITUTE(TRIM(D486),"'","''")&amp;"'")&amp;", "&amp;IF(TRIM(E486&amp;"")="","NULL","'"&amp;SUBSTITUTE(TRIM(E486),"'","''")&amp;"'")&amp;", "&amp;IF(TRIM(F486&amp;"")="","NULL","'"&amp;SUBSTITUTE(TRIM(F486),"'","''")&amp;"'")&amp;", "&amp;IF(TRIM(G486&amp;"")="","NULL","'"&amp;SUBSTITUTE(TRIM(G486),"'","''")&amp;"'")&amp;", "&amp;IF(TRIM(H486&amp;"")="","NULL","'"&amp;SUBSTITUTE(TRIM(H486),"'","''")&amp;"'")&amp;", "&amp;IF(TRIM(I486&amp;"")="","NULL","'"&amp;SUBSTITUTE(TRIM(I486),"'","''")&amp;"'")&amp;", "&amp;IF(TRIM(J486&amp;"")="","NULL","'"&amp;SUBSTITUTE(TRIM(J486),"'","''")&amp;"'")&amp;", "&amp;IF(UPPER(TRIM(K486&amp;""))="SI","TRUE","FALSE")&amp;", 1"&amp;" WHERE NOT EXISTS (SELECT 1 FROM cli_contacto c WHERE c.id_cliente = "&amp;"(SELECT id FROM cli_clientes WHERE numero_documento = '"&amp;SUBSTITUTE(TRIM(A486),"'","''")&amp;"' AND estado = 1 LIMIT 1)"&amp;" AND upper(c.nombre) = upper("&amp;IF(TRIM(C486&amp;"")="","NULL","'"&amp;SUBSTITUTE(TRIM(C486),"'","''")&amp;"'")&amp;") AND coalesce(c.telefono1,'') = coalesce("&amp;IF(TRIM(F486&amp;"")="","NULL","'"&amp;SUBSTITUTE(TRIM(F486),"'","''")&amp;"'")&amp;",''));")</f>
        <v/>
      </c>
    </row>
    <row r="487" ht="15.75" customHeight="1" s="64">
      <c r="A487" s="23" t="n"/>
      <c r="B487" s="25">
        <f t="array" ref="B487">IF(A487="","",IFERROR(IF(INDEX(Clientes!$D$5:$D$549,MATCH(A487,Clientes!$C$5:$C$549,0))&lt;&gt;"",INDEX(Clientes!$D$5:$D$549,MATCH(A487,Clientes!$C$5:$C$549,0)),TRIM(INDEX(Clientes!$E$5:$E$549,MATCH(A487,Clientes!$C$5:$C$549,0))&amp;" "&amp;INDEX(Clientes!$F$5:$F$549,MATCH(A487,Clientes!$C$5:$C$549,0)))),"NO EXISTE en Clientes"))</f>
        <v/>
      </c>
      <c r="C487" s="17" t="n"/>
      <c r="D487" s="17" t="n"/>
      <c r="E487" s="17" t="n"/>
      <c r="F487" s="23" t="n"/>
      <c r="G487" s="23" t="n"/>
      <c r="H487" s="23" t="n"/>
      <c r="I487" s="17" t="n"/>
      <c r="J487" s="17" t="n"/>
      <c r="K487" s="17" t="n"/>
      <c r="L487" s="17">
        <f>IF(AND(A487="",C487=""),"",IF(A487="","FALTA doc. cliente",IF(B487="NO EXISTE en Clientes","CLIENTE no está en hoja Clientes",IF(C487="","FALTA nombre",IF(AND(K487="SI",COUNTIFS($A$5:$A$499,A487,$K$5:$K$499,"SI")&gt;1),"Más de un contacto principal para este cliente","OK")))))</f>
        <v/>
      </c>
      <c r="M487" s="28">
        <f>IF(L487&lt;&gt;"OK","","INSERT INTO cli_contacto (id_cliente, nombre, apellido_paterno, apellido_materno, telefono1, telefono2, telefono3, email, direccion, es_principal, estado) SELECT "&amp;"(SELECT id FROM cli_clientes WHERE numero_documento = '"&amp;SUBSTITUTE(TRIM(A487),"'","''")&amp;"' AND estado = 1 LIMIT 1)"&amp;", "&amp;IF(TRIM(C487&amp;"")="","NULL","'"&amp;SUBSTITUTE(TRIM(C487),"'","''")&amp;"'")&amp;", "&amp;IF(TRIM(D487&amp;"")="","NULL","'"&amp;SUBSTITUTE(TRIM(D487),"'","''")&amp;"'")&amp;", "&amp;IF(TRIM(E487&amp;"")="","NULL","'"&amp;SUBSTITUTE(TRIM(E487),"'","''")&amp;"'")&amp;", "&amp;IF(TRIM(F487&amp;"")="","NULL","'"&amp;SUBSTITUTE(TRIM(F487),"'","''")&amp;"'")&amp;", "&amp;IF(TRIM(G487&amp;"")="","NULL","'"&amp;SUBSTITUTE(TRIM(G487),"'","''")&amp;"'")&amp;", "&amp;IF(TRIM(H487&amp;"")="","NULL","'"&amp;SUBSTITUTE(TRIM(H487),"'","''")&amp;"'")&amp;", "&amp;IF(TRIM(I487&amp;"")="","NULL","'"&amp;SUBSTITUTE(TRIM(I487),"'","''")&amp;"'")&amp;", "&amp;IF(TRIM(J487&amp;"")="","NULL","'"&amp;SUBSTITUTE(TRIM(J487),"'","''")&amp;"'")&amp;", "&amp;IF(UPPER(TRIM(K487&amp;""))="SI","TRUE","FALSE")&amp;", 1"&amp;" WHERE NOT EXISTS (SELECT 1 FROM cli_contacto c WHERE c.id_cliente = "&amp;"(SELECT id FROM cli_clientes WHERE numero_documento = '"&amp;SUBSTITUTE(TRIM(A487),"'","''")&amp;"' AND estado = 1 LIMIT 1)"&amp;" AND upper(c.nombre) = upper("&amp;IF(TRIM(C487&amp;"")="","NULL","'"&amp;SUBSTITUTE(TRIM(C487),"'","''")&amp;"'")&amp;") AND coalesce(c.telefono1,'') = coalesce("&amp;IF(TRIM(F487&amp;"")="","NULL","'"&amp;SUBSTITUTE(TRIM(F487),"'","''")&amp;"'")&amp;",''));")</f>
        <v/>
      </c>
    </row>
    <row r="488" ht="15.75" customHeight="1" s="64">
      <c r="A488" s="23" t="n"/>
      <c r="B488" s="25">
        <f t="array" ref="B488">IF(A488="","",IFERROR(IF(INDEX(Clientes!$D$5:$D$549,MATCH(A488,Clientes!$C$5:$C$549,0))&lt;&gt;"",INDEX(Clientes!$D$5:$D$549,MATCH(A488,Clientes!$C$5:$C$549,0)),TRIM(INDEX(Clientes!$E$5:$E$549,MATCH(A488,Clientes!$C$5:$C$549,0))&amp;" "&amp;INDEX(Clientes!$F$5:$F$549,MATCH(A488,Clientes!$C$5:$C$549,0)))),"NO EXISTE en Clientes"))</f>
        <v/>
      </c>
      <c r="C488" s="17" t="n"/>
      <c r="D488" s="17" t="n"/>
      <c r="E488" s="17" t="n"/>
      <c r="F488" s="23" t="n"/>
      <c r="G488" s="23" t="n"/>
      <c r="H488" s="23" t="n"/>
      <c r="I488" s="17" t="n"/>
      <c r="J488" s="17" t="n"/>
      <c r="K488" s="17" t="n"/>
      <c r="L488" s="17">
        <f>IF(AND(A488="",C488=""),"",IF(A488="","FALTA doc. cliente",IF(B488="NO EXISTE en Clientes","CLIENTE no está en hoja Clientes",IF(C488="","FALTA nombre",IF(AND(K488="SI",COUNTIFS($A$5:$A$499,A488,$K$5:$K$499,"SI")&gt;1),"Más de un contacto principal para este cliente","OK")))))</f>
        <v/>
      </c>
      <c r="M488" s="28">
        <f>IF(L488&lt;&gt;"OK","","INSERT INTO cli_contacto (id_cliente, nombre, apellido_paterno, apellido_materno, telefono1, telefono2, telefono3, email, direccion, es_principal, estado) SELECT "&amp;"(SELECT id FROM cli_clientes WHERE numero_documento = '"&amp;SUBSTITUTE(TRIM(A488),"'","''")&amp;"' AND estado = 1 LIMIT 1)"&amp;", "&amp;IF(TRIM(C488&amp;"")="","NULL","'"&amp;SUBSTITUTE(TRIM(C488),"'","''")&amp;"'")&amp;", "&amp;IF(TRIM(D488&amp;"")="","NULL","'"&amp;SUBSTITUTE(TRIM(D488),"'","''")&amp;"'")&amp;", "&amp;IF(TRIM(E488&amp;"")="","NULL","'"&amp;SUBSTITUTE(TRIM(E488),"'","''")&amp;"'")&amp;", "&amp;IF(TRIM(F488&amp;"")="","NULL","'"&amp;SUBSTITUTE(TRIM(F488),"'","''")&amp;"'")&amp;", "&amp;IF(TRIM(G488&amp;"")="","NULL","'"&amp;SUBSTITUTE(TRIM(G488),"'","''")&amp;"'")&amp;", "&amp;IF(TRIM(H488&amp;"")="","NULL","'"&amp;SUBSTITUTE(TRIM(H488),"'","''")&amp;"'")&amp;", "&amp;IF(TRIM(I488&amp;"")="","NULL","'"&amp;SUBSTITUTE(TRIM(I488),"'","''")&amp;"'")&amp;", "&amp;IF(TRIM(J488&amp;"")="","NULL","'"&amp;SUBSTITUTE(TRIM(J488),"'","''")&amp;"'")&amp;", "&amp;IF(UPPER(TRIM(K488&amp;""))="SI","TRUE","FALSE")&amp;", 1"&amp;" WHERE NOT EXISTS (SELECT 1 FROM cli_contacto c WHERE c.id_cliente = "&amp;"(SELECT id FROM cli_clientes WHERE numero_documento = '"&amp;SUBSTITUTE(TRIM(A488),"'","''")&amp;"' AND estado = 1 LIMIT 1)"&amp;" AND upper(c.nombre) = upper("&amp;IF(TRIM(C488&amp;"")="","NULL","'"&amp;SUBSTITUTE(TRIM(C488),"'","''")&amp;"'")&amp;") AND coalesce(c.telefono1,'') = coalesce("&amp;IF(TRIM(F488&amp;"")="","NULL","'"&amp;SUBSTITUTE(TRIM(F488),"'","''")&amp;"'")&amp;",''));")</f>
        <v/>
      </c>
    </row>
    <row r="489" ht="15.75" customHeight="1" s="64">
      <c r="A489" s="23" t="n"/>
      <c r="B489" s="25">
        <f t="array" ref="B489">IF(A489="","",IFERROR(IF(INDEX(Clientes!$D$5:$D$549,MATCH(A489,Clientes!$C$5:$C$549,0))&lt;&gt;"",INDEX(Clientes!$D$5:$D$549,MATCH(A489,Clientes!$C$5:$C$549,0)),TRIM(INDEX(Clientes!$E$5:$E$549,MATCH(A489,Clientes!$C$5:$C$549,0))&amp;" "&amp;INDEX(Clientes!$F$5:$F$549,MATCH(A489,Clientes!$C$5:$C$549,0)))),"NO EXISTE en Clientes"))</f>
        <v/>
      </c>
      <c r="C489" s="17" t="n"/>
      <c r="D489" s="17" t="n"/>
      <c r="E489" s="17" t="n"/>
      <c r="F489" s="23" t="n"/>
      <c r="G489" s="23" t="n"/>
      <c r="H489" s="23" t="n"/>
      <c r="I489" s="17" t="n"/>
      <c r="J489" s="17" t="n"/>
      <c r="K489" s="17" t="n"/>
      <c r="L489" s="17">
        <f>IF(AND(A489="",C489=""),"",IF(A489="","FALTA doc. cliente",IF(B489="NO EXISTE en Clientes","CLIENTE no está en hoja Clientes",IF(C489="","FALTA nombre",IF(AND(K489="SI",COUNTIFS($A$5:$A$499,A489,$K$5:$K$499,"SI")&gt;1),"Más de un contacto principal para este cliente","OK")))))</f>
        <v/>
      </c>
      <c r="M489" s="28">
        <f>IF(L489&lt;&gt;"OK","","INSERT INTO cli_contacto (id_cliente, nombre, apellido_paterno, apellido_materno, telefono1, telefono2, telefono3, email, direccion, es_principal, estado) SELECT "&amp;"(SELECT id FROM cli_clientes WHERE numero_documento = '"&amp;SUBSTITUTE(TRIM(A489),"'","''")&amp;"' AND estado = 1 LIMIT 1)"&amp;", "&amp;IF(TRIM(C489&amp;"")="","NULL","'"&amp;SUBSTITUTE(TRIM(C489),"'","''")&amp;"'")&amp;", "&amp;IF(TRIM(D489&amp;"")="","NULL","'"&amp;SUBSTITUTE(TRIM(D489),"'","''")&amp;"'")&amp;", "&amp;IF(TRIM(E489&amp;"")="","NULL","'"&amp;SUBSTITUTE(TRIM(E489),"'","''")&amp;"'")&amp;", "&amp;IF(TRIM(F489&amp;"")="","NULL","'"&amp;SUBSTITUTE(TRIM(F489),"'","''")&amp;"'")&amp;", "&amp;IF(TRIM(G489&amp;"")="","NULL","'"&amp;SUBSTITUTE(TRIM(G489),"'","''")&amp;"'")&amp;", "&amp;IF(TRIM(H489&amp;"")="","NULL","'"&amp;SUBSTITUTE(TRIM(H489),"'","''")&amp;"'")&amp;", "&amp;IF(TRIM(I489&amp;"")="","NULL","'"&amp;SUBSTITUTE(TRIM(I489),"'","''")&amp;"'")&amp;", "&amp;IF(TRIM(J489&amp;"")="","NULL","'"&amp;SUBSTITUTE(TRIM(J489),"'","''")&amp;"'")&amp;", "&amp;IF(UPPER(TRIM(K489&amp;""))="SI","TRUE","FALSE")&amp;", 1"&amp;" WHERE NOT EXISTS (SELECT 1 FROM cli_contacto c WHERE c.id_cliente = "&amp;"(SELECT id FROM cli_clientes WHERE numero_documento = '"&amp;SUBSTITUTE(TRIM(A489),"'","''")&amp;"' AND estado = 1 LIMIT 1)"&amp;" AND upper(c.nombre) = upper("&amp;IF(TRIM(C489&amp;"")="","NULL","'"&amp;SUBSTITUTE(TRIM(C489),"'","''")&amp;"'")&amp;") AND coalesce(c.telefono1,'') = coalesce("&amp;IF(TRIM(F489&amp;"")="","NULL","'"&amp;SUBSTITUTE(TRIM(F489),"'","''")&amp;"'")&amp;",''));")</f>
        <v/>
      </c>
    </row>
    <row r="490" ht="15.75" customHeight="1" s="64">
      <c r="A490" s="23" t="n"/>
      <c r="B490" s="25">
        <f t="array" ref="B490">IF(A490="","",IFERROR(IF(INDEX(Clientes!$D$5:$D$549,MATCH(A490,Clientes!$C$5:$C$549,0))&lt;&gt;"",INDEX(Clientes!$D$5:$D$549,MATCH(A490,Clientes!$C$5:$C$549,0)),TRIM(INDEX(Clientes!$E$5:$E$549,MATCH(A490,Clientes!$C$5:$C$549,0))&amp;" "&amp;INDEX(Clientes!$F$5:$F$549,MATCH(A490,Clientes!$C$5:$C$549,0)))),"NO EXISTE en Clientes"))</f>
        <v/>
      </c>
      <c r="C490" s="17" t="n"/>
      <c r="D490" s="17" t="n"/>
      <c r="E490" s="17" t="n"/>
      <c r="F490" s="23" t="n"/>
      <c r="G490" s="23" t="n"/>
      <c r="H490" s="23" t="n"/>
      <c r="I490" s="17" t="n"/>
      <c r="J490" s="17" t="n"/>
      <c r="K490" s="17" t="n"/>
      <c r="L490" s="17">
        <f>IF(AND(A490="",C490=""),"",IF(A490="","FALTA doc. cliente",IF(B490="NO EXISTE en Clientes","CLIENTE no está en hoja Clientes",IF(C490="","FALTA nombre",IF(AND(K490="SI",COUNTIFS($A$5:$A$499,A490,$K$5:$K$499,"SI")&gt;1),"Más de un contacto principal para este cliente","OK")))))</f>
        <v/>
      </c>
      <c r="M490" s="28">
        <f>IF(L490&lt;&gt;"OK","","INSERT INTO cli_contacto (id_cliente, nombre, apellido_paterno, apellido_materno, telefono1, telefono2, telefono3, email, direccion, es_principal, estado) SELECT "&amp;"(SELECT id FROM cli_clientes WHERE numero_documento = '"&amp;SUBSTITUTE(TRIM(A490),"'","''")&amp;"' AND estado = 1 LIMIT 1)"&amp;", "&amp;IF(TRIM(C490&amp;"")="","NULL","'"&amp;SUBSTITUTE(TRIM(C490),"'","''")&amp;"'")&amp;", "&amp;IF(TRIM(D490&amp;"")="","NULL","'"&amp;SUBSTITUTE(TRIM(D490),"'","''")&amp;"'")&amp;", "&amp;IF(TRIM(E490&amp;"")="","NULL","'"&amp;SUBSTITUTE(TRIM(E490),"'","''")&amp;"'")&amp;", "&amp;IF(TRIM(F490&amp;"")="","NULL","'"&amp;SUBSTITUTE(TRIM(F490),"'","''")&amp;"'")&amp;", "&amp;IF(TRIM(G490&amp;"")="","NULL","'"&amp;SUBSTITUTE(TRIM(G490),"'","''")&amp;"'")&amp;", "&amp;IF(TRIM(H490&amp;"")="","NULL","'"&amp;SUBSTITUTE(TRIM(H490),"'","''")&amp;"'")&amp;", "&amp;IF(TRIM(I490&amp;"")="","NULL","'"&amp;SUBSTITUTE(TRIM(I490),"'","''")&amp;"'")&amp;", "&amp;IF(TRIM(J490&amp;"")="","NULL","'"&amp;SUBSTITUTE(TRIM(J490),"'","''")&amp;"'")&amp;", "&amp;IF(UPPER(TRIM(K490&amp;""))="SI","TRUE","FALSE")&amp;", 1"&amp;" WHERE NOT EXISTS (SELECT 1 FROM cli_contacto c WHERE c.id_cliente = "&amp;"(SELECT id FROM cli_clientes WHERE numero_documento = '"&amp;SUBSTITUTE(TRIM(A490),"'","''")&amp;"' AND estado = 1 LIMIT 1)"&amp;" AND upper(c.nombre) = upper("&amp;IF(TRIM(C490&amp;"")="","NULL","'"&amp;SUBSTITUTE(TRIM(C490),"'","''")&amp;"'")&amp;") AND coalesce(c.telefono1,'') = coalesce("&amp;IF(TRIM(F490&amp;"")="","NULL","'"&amp;SUBSTITUTE(TRIM(F490),"'","''")&amp;"'")&amp;",''));")</f>
        <v/>
      </c>
    </row>
    <row r="491" ht="15.75" customHeight="1" s="64">
      <c r="A491" s="23" t="n"/>
      <c r="B491" s="25">
        <f t="array" ref="B491">IF(A491="","",IFERROR(IF(INDEX(Clientes!$D$5:$D$549,MATCH(A491,Clientes!$C$5:$C$549,0))&lt;&gt;"",INDEX(Clientes!$D$5:$D$549,MATCH(A491,Clientes!$C$5:$C$549,0)),TRIM(INDEX(Clientes!$E$5:$E$549,MATCH(A491,Clientes!$C$5:$C$549,0))&amp;" "&amp;INDEX(Clientes!$F$5:$F$549,MATCH(A491,Clientes!$C$5:$C$549,0)))),"NO EXISTE en Clientes"))</f>
        <v/>
      </c>
      <c r="C491" s="17" t="n"/>
      <c r="D491" s="17" t="n"/>
      <c r="E491" s="17" t="n"/>
      <c r="F491" s="23" t="n"/>
      <c r="G491" s="23" t="n"/>
      <c r="H491" s="23" t="n"/>
      <c r="I491" s="17" t="n"/>
      <c r="J491" s="17" t="n"/>
      <c r="K491" s="17" t="n"/>
      <c r="L491" s="17">
        <f>IF(AND(A491="",C491=""),"",IF(A491="","FALTA doc. cliente",IF(B491="NO EXISTE en Clientes","CLIENTE no está en hoja Clientes",IF(C491="","FALTA nombre",IF(AND(K491="SI",COUNTIFS($A$5:$A$499,A491,$K$5:$K$499,"SI")&gt;1),"Más de un contacto principal para este cliente","OK")))))</f>
        <v/>
      </c>
      <c r="M491" s="28">
        <f>IF(L491&lt;&gt;"OK","","INSERT INTO cli_contacto (id_cliente, nombre, apellido_paterno, apellido_materno, telefono1, telefono2, telefono3, email, direccion, es_principal, estado) SELECT "&amp;"(SELECT id FROM cli_clientes WHERE numero_documento = '"&amp;SUBSTITUTE(TRIM(A491),"'","''")&amp;"' AND estado = 1 LIMIT 1)"&amp;", "&amp;IF(TRIM(C491&amp;"")="","NULL","'"&amp;SUBSTITUTE(TRIM(C491),"'","''")&amp;"'")&amp;", "&amp;IF(TRIM(D491&amp;"")="","NULL","'"&amp;SUBSTITUTE(TRIM(D491),"'","''")&amp;"'")&amp;", "&amp;IF(TRIM(E491&amp;"")="","NULL","'"&amp;SUBSTITUTE(TRIM(E491),"'","''")&amp;"'")&amp;", "&amp;IF(TRIM(F491&amp;"")="","NULL","'"&amp;SUBSTITUTE(TRIM(F491),"'","''")&amp;"'")&amp;", "&amp;IF(TRIM(G491&amp;"")="","NULL","'"&amp;SUBSTITUTE(TRIM(G491),"'","''")&amp;"'")&amp;", "&amp;IF(TRIM(H491&amp;"")="","NULL","'"&amp;SUBSTITUTE(TRIM(H491),"'","''")&amp;"'")&amp;", "&amp;IF(TRIM(I491&amp;"")="","NULL","'"&amp;SUBSTITUTE(TRIM(I491),"'","''")&amp;"'")&amp;", "&amp;IF(TRIM(J491&amp;"")="","NULL","'"&amp;SUBSTITUTE(TRIM(J491),"'","''")&amp;"'")&amp;", "&amp;IF(UPPER(TRIM(K491&amp;""))="SI","TRUE","FALSE")&amp;", 1"&amp;" WHERE NOT EXISTS (SELECT 1 FROM cli_contacto c WHERE c.id_cliente = "&amp;"(SELECT id FROM cli_clientes WHERE numero_documento = '"&amp;SUBSTITUTE(TRIM(A491),"'","''")&amp;"' AND estado = 1 LIMIT 1)"&amp;" AND upper(c.nombre) = upper("&amp;IF(TRIM(C491&amp;"")="","NULL","'"&amp;SUBSTITUTE(TRIM(C491),"'","''")&amp;"'")&amp;") AND coalesce(c.telefono1,'') = coalesce("&amp;IF(TRIM(F491&amp;"")="","NULL","'"&amp;SUBSTITUTE(TRIM(F491),"'","''")&amp;"'")&amp;",''));")</f>
        <v/>
      </c>
    </row>
    <row r="492" ht="15.75" customHeight="1" s="64">
      <c r="A492" s="23" t="n"/>
      <c r="B492" s="25">
        <f t="array" ref="B492">IF(A492="","",IFERROR(IF(INDEX(Clientes!$D$5:$D$549,MATCH(A492,Clientes!$C$5:$C$549,0))&lt;&gt;"",INDEX(Clientes!$D$5:$D$549,MATCH(A492,Clientes!$C$5:$C$549,0)),TRIM(INDEX(Clientes!$E$5:$E$549,MATCH(A492,Clientes!$C$5:$C$549,0))&amp;" "&amp;INDEX(Clientes!$F$5:$F$549,MATCH(A492,Clientes!$C$5:$C$549,0)))),"NO EXISTE en Clientes"))</f>
        <v/>
      </c>
      <c r="C492" s="17" t="n"/>
      <c r="D492" s="17" t="n"/>
      <c r="E492" s="17" t="n"/>
      <c r="F492" s="23" t="n"/>
      <c r="G492" s="23" t="n"/>
      <c r="H492" s="23" t="n"/>
      <c r="I492" s="17" t="n"/>
      <c r="J492" s="17" t="n"/>
      <c r="K492" s="17" t="n"/>
      <c r="L492" s="17">
        <f>IF(AND(A492="",C492=""),"",IF(A492="","FALTA doc. cliente",IF(B492="NO EXISTE en Clientes","CLIENTE no está en hoja Clientes",IF(C492="","FALTA nombre",IF(AND(K492="SI",COUNTIFS($A$5:$A$499,A492,$K$5:$K$499,"SI")&gt;1),"Más de un contacto principal para este cliente","OK")))))</f>
        <v/>
      </c>
      <c r="M492" s="28">
        <f>IF(L492&lt;&gt;"OK","","INSERT INTO cli_contacto (id_cliente, nombre, apellido_paterno, apellido_materno, telefono1, telefono2, telefono3, email, direccion, es_principal, estado) SELECT "&amp;"(SELECT id FROM cli_clientes WHERE numero_documento = '"&amp;SUBSTITUTE(TRIM(A492),"'","''")&amp;"' AND estado = 1 LIMIT 1)"&amp;", "&amp;IF(TRIM(C492&amp;"")="","NULL","'"&amp;SUBSTITUTE(TRIM(C492),"'","''")&amp;"'")&amp;", "&amp;IF(TRIM(D492&amp;"")="","NULL","'"&amp;SUBSTITUTE(TRIM(D492),"'","''")&amp;"'")&amp;", "&amp;IF(TRIM(E492&amp;"")="","NULL","'"&amp;SUBSTITUTE(TRIM(E492),"'","''")&amp;"'")&amp;", "&amp;IF(TRIM(F492&amp;"")="","NULL","'"&amp;SUBSTITUTE(TRIM(F492),"'","''")&amp;"'")&amp;", "&amp;IF(TRIM(G492&amp;"")="","NULL","'"&amp;SUBSTITUTE(TRIM(G492),"'","''")&amp;"'")&amp;", "&amp;IF(TRIM(H492&amp;"")="","NULL","'"&amp;SUBSTITUTE(TRIM(H492),"'","''")&amp;"'")&amp;", "&amp;IF(TRIM(I492&amp;"")="","NULL","'"&amp;SUBSTITUTE(TRIM(I492),"'","''")&amp;"'")&amp;", "&amp;IF(TRIM(J492&amp;"")="","NULL","'"&amp;SUBSTITUTE(TRIM(J492),"'","''")&amp;"'")&amp;", "&amp;IF(UPPER(TRIM(K492&amp;""))="SI","TRUE","FALSE")&amp;", 1"&amp;" WHERE NOT EXISTS (SELECT 1 FROM cli_contacto c WHERE c.id_cliente = "&amp;"(SELECT id FROM cli_clientes WHERE numero_documento = '"&amp;SUBSTITUTE(TRIM(A492),"'","''")&amp;"' AND estado = 1 LIMIT 1)"&amp;" AND upper(c.nombre) = upper("&amp;IF(TRIM(C492&amp;"")="","NULL","'"&amp;SUBSTITUTE(TRIM(C492),"'","''")&amp;"'")&amp;") AND coalesce(c.telefono1,'') = coalesce("&amp;IF(TRIM(F492&amp;"")="","NULL","'"&amp;SUBSTITUTE(TRIM(F492),"'","''")&amp;"'")&amp;",''));")</f>
        <v/>
      </c>
    </row>
    <row r="493" ht="15.75" customHeight="1" s="64">
      <c r="A493" s="23" t="n"/>
      <c r="B493" s="25">
        <f t="array" ref="B493">IF(A493="","",IFERROR(IF(INDEX(Clientes!$D$5:$D$549,MATCH(A493,Clientes!$C$5:$C$549,0))&lt;&gt;"",INDEX(Clientes!$D$5:$D$549,MATCH(A493,Clientes!$C$5:$C$549,0)),TRIM(INDEX(Clientes!$E$5:$E$549,MATCH(A493,Clientes!$C$5:$C$549,0))&amp;" "&amp;INDEX(Clientes!$F$5:$F$549,MATCH(A493,Clientes!$C$5:$C$549,0)))),"NO EXISTE en Clientes"))</f>
        <v/>
      </c>
      <c r="C493" s="17" t="n"/>
      <c r="D493" s="17" t="n"/>
      <c r="E493" s="17" t="n"/>
      <c r="F493" s="23" t="n"/>
      <c r="G493" s="23" t="n"/>
      <c r="H493" s="23" t="n"/>
      <c r="I493" s="17" t="n"/>
      <c r="J493" s="17" t="n"/>
      <c r="K493" s="17" t="n"/>
      <c r="L493" s="17">
        <f>IF(AND(A493="",C493=""),"",IF(A493="","FALTA doc. cliente",IF(B493="NO EXISTE en Clientes","CLIENTE no está en hoja Clientes",IF(C493="","FALTA nombre",IF(AND(K493="SI",COUNTIFS($A$5:$A$499,A493,$K$5:$K$499,"SI")&gt;1),"Más de un contacto principal para este cliente","OK")))))</f>
        <v/>
      </c>
      <c r="M493" s="28">
        <f>IF(L493&lt;&gt;"OK","","INSERT INTO cli_contacto (id_cliente, nombre, apellido_paterno, apellido_materno, telefono1, telefono2, telefono3, email, direccion, es_principal, estado) SELECT "&amp;"(SELECT id FROM cli_clientes WHERE numero_documento = '"&amp;SUBSTITUTE(TRIM(A493),"'","''")&amp;"' AND estado = 1 LIMIT 1)"&amp;", "&amp;IF(TRIM(C493&amp;"")="","NULL","'"&amp;SUBSTITUTE(TRIM(C493),"'","''")&amp;"'")&amp;", "&amp;IF(TRIM(D493&amp;"")="","NULL","'"&amp;SUBSTITUTE(TRIM(D493),"'","''")&amp;"'")&amp;", "&amp;IF(TRIM(E493&amp;"")="","NULL","'"&amp;SUBSTITUTE(TRIM(E493),"'","''")&amp;"'")&amp;", "&amp;IF(TRIM(F493&amp;"")="","NULL","'"&amp;SUBSTITUTE(TRIM(F493),"'","''")&amp;"'")&amp;", "&amp;IF(TRIM(G493&amp;"")="","NULL","'"&amp;SUBSTITUTE(TRIM(G493),"'","''")&amp;"'")&amp;", "&amp;IF(TRIM(H493&amp;"")="","NULL","'"&amp;SUBSTITUTE(TRIM(H493),"'","''")&amp;"'")&amp;", "&amp;IF(TRIM(I493&amp;"")="","NULL","'"&amp;SUBSTITUTE(TRIM(I493),"'","''")&amp;"'")&amp;", "&amp;IF(TRIM(J493&amp;"")="","NULL","'"&amp;SUBSTITUTE(TRIM(J493),"'","''")&amp;"'")&amp;", "&amp;IF(UPPER(TRIM(K493&amp;""))="SI","TRUE","FALSE")&amp;", 1"&amp;" WHERE NOT EXISTS (SELECT 1 FROM cli_contacto c WHERE c.id_cliente = "&amp;"(SELECT id FROM cli_clientes WHERE numero_documento = '"&amp;SUBSTITUTE(TRIM(A493),"'","''")&amp;"' AND estado = 1 LIMIT 1)"&amp;" AND upper(c.nombre) = upper("&amp;IF(TRIM(C493&amp;"")="","NULL","'"&amp;SUBSTITUTE(TRIM(C493),"'","''")&amp;"'")&amp;") AND coalesce(c.telefono1,'') = coalesce("&amp;IF(TRIM(F493&amp;"")="","NULL","'"&amp;SUBSTITUTE(TRIM(F493),"'","''")&amp;"'")&amp;",''));")</f>
        <v/>
      </c>
    </row>
    <row r="494" ht="15.75" customHeight="1" s="64">
      <c r="A494" s="23" t="n"/>
      <c r="B494" s="25">
        <f t="array" ref="B494">IF(A494="","",IFERROR(IF(INDEX(Clientes!$D$5:$D$549,MATCH(A494,Clientes!$C$5:$C$549,0))&lt;&gt;"",INDEX(Clientes!$D$5:$D$549,MATCH(A494,Clientes!$C$5:$C$549,0)),TRIM(INDEX(Clientes!$E$5:$E$549,MATCH(A494,Clientes!$C$5:$C$549,0))&amp;" "&amp;INDEX(Clientes!$F$5:$F$549,MATCH(A494,Clientes!$C$5:$C$549,0)))),"NO EXISTE en Clientes"))</f>
        <v/>
      </c>
      <c r="C494" s="17" t="n"/>
      <c r="D494" s="17" t="n"/>
      <c r="E494" s="17" t="n"/>
      <c r="F494" s="23" t="n"/>
      <c r="G494" s="23" t="n"/>
      <c r="H494" s="23" t="n"/>
      <c r="I494" s="17" t="n"/>
      <c r="J494" s="17" t="n"/>
      <c r="K494" s="17" t="n"/>
      <c r="L494" s="17">
        <f>IF(AND(A494="",C494=""),"",IF(A494="","FALTA doc. cliente",IF(B494="NO EXISTE en Clientes","CLIENTE no está en hoja Clientes",IF(C494="","FALTA nombre",IF(AND(K494="SI",COUNTIFS($A$5:$A$499,A494,$K$5:$K$499,"SI")&gt;1),"Más de un contacto principal para este cliente","OK")))))</f>
        <v/>
      </c>
      <c r="M494" s="28">
        <f>IF(L494&lt;&gt;"OK","","INSERT INTO cli_contacto (id_cliente, nombre, apellido_paterno, apellido_materno, telefono1, telefono2, telefono3, email, direccion, es_principal, estado) SELECT "&amp;"(SELECT id FROM cli_clientes WHERE numero_documento = '"&amp;SUBSTITUTE(TRIM(A494),"'","''")&amp;"' AND estado = 1 LIMIT 1)"&amp;", "&amp;IF(TRIM(C494&amp;"")="","NULL","'"&amp;SUBSTITUTE(TRIM(C494),"'","''")&amp;"'")&amp;", "&amp;IF(TRIM(D494&amp;"")="","NULL","'"&amp;SUBSTITUTE(TRIM(D494),"'","''")&amp;"'")&amp;", "&amp;IF(TRIM(E494&amp;"")="","NULL","'"&amp;SUBSTITUTE(TRIM(E494),"'","''")&amp;"'")&amp;", "&amp;IF(TRIM(F494&amp;"")="","NULL","'"&amp;SUBSTITUTE(TRIM(F494),"'","''")&amp;"'")&amp;", "&amp;IF(TRIM(G494&amp;"")="","NULL","'"&amp;SUBSTITUTE(TRIM(G494),"'","''")&amp;"'")&amp;", "&amp;IF(TRIM(H494&amp;"")="","NULL","'"&amp;SUBSTITUTE(TRIM(H494),"'","''")&amp;"'")&amp;", "&amp;IF(TRIM(I494&amp;"")="","NULL","'"&amp;SUBSTITUTE(TRIM(I494),"'","''")&amp;"'")&amp;", "&amp;IF(TRIM(J494&amp;"")="","NULL","'"&amp;SUBSTITUTE(TRIM(J494),"'","''")&amp;"'")&amp;", "&amp;IF(UPPER(TRIM(K494&amp;""))="SI","TRUE","FALSE")&amp;", 1"&amp;" WHERE NOT EXISTS (SELECT 1 FROM cli_contacto c WHERE c.id_cliente = "&amp;"(SELECT id FROM cli_clientes WHERE numero_documento = '"&amp;SUBSTITUTE(TRIM(A494),"'","''")&amp;"' AND estado = 1 LIMIT 1)"&amp;" AND upper(c.nombre) = upper("&amp;IF(TRIM(C494&amp;"")="","NULL","'"&amp;SUBSTITUTE(TRIM(C494),"'","''")&amp;"'")&amp;") AND coalesce(c.telefono1,'') = coalesce("&amp;IF(TRIM(F494&amp;"")="","NULL","'"&amp;SUBSTITUTE(TRIM(F494),"'","''")&amp;"'")&amp;",''));")</f>
        <v/>
      </c>
    </row>
    <row r="495" ht="15.75" customHeight="1" s="64">
      <c r="A495" s="23" t="n"/>
      <c r="B495" s="25">
        <f t="array" ref="B495">IF(A495="","",IFERROR(IF(INDEX(Clientes!$D$5:$D$549,MATCH(A495,Clientes!$C$5:$C$549,0))&lt;&gt;"",INDEX(Clientes!$D$5:$D$549,MATCH(A495,Clientes!$C$5:$C$549,0)),TRIM(INDEX(Clientes!$E$5:$E$549,MATCH(A495,Clientes!$C$5:$C$549,0))&amp;" "&amp;INDEX(Clientes!$F$5:$F$549,MATCH(A495,Clientes!$C$5:$C$549,0)))),"NO EXISTE en Clientes"))</f>
        <v/>
      </c>
      <c r="C495" s="17" t="n"/>
      <c r="D495" s="17" t="n"/>
      <c r="E495" s="17" t="n"/>
      <c r="F495" s="23" t="n"/>
      <c r="G495" s="23" t="n"/>
      <c r="H495" s="23" t="n"/>
      <c r="I495" s="17" t="n"/>
      <c r="J495" s="17" t="n"/>
      <c r="K495" s="17" t="n"/>
      <c r="L495" s="17">
        <f>IF(AND(A495="",C495=""),"",IF(A495="","FALTA doc. cliente",IF(B495="NO EXISTE en Clientes","CLIENTE no está en hoja Clientes",IF(C495="","FALTA nombre",IF(AND(K495="SI",COUNTIFS($A$5:$A$499,A495,$K$5:$K$499,"SI")&gt;1),"Más de un contacto principal para este cliente","OK")))))</f>
        <v/>
      </c>
      <c r="M495" s="28">
        <f>IF(L495&lt;&gt;"OK","","INSERT INTO cli_contacto (id_cliente, nombre, apellido_paterno, apellido_materno, telefono1, telefono2, telefono3, email, direccion, es_principal, estado) SELECT "&amp;"(SELECT id FROM cli_clientes WHERE numero_documento = '"&amp;SUBSTITUTE(TRIM(A495),"'","''")&amp;"' AND estado = 1 LIMIT 1)"&amp;", "&amp;IF(TRIM(C495&amp;"")="","NULL","'"&amp;SUBSTITUTE(TRIM(C495),"'","''")&amp;"'")&amp;", "&amp;IF(TRIM(D495&amp;"")="","NULL","'"&amp;SUBSTITUTE(TRIM(D495),"'","''")&amp;"'")&amp;", "&amp;IF(TRIM(E495&amp;"")="","NULL","'"&amp;SUBSTITUTE(TRIM(E495),"'","''")&amp;"'")&amp;", "&amp;IF(TRIM(F495&amp;"")="","NULL","'"&amp;SUBSTITUTE(TRIM(F495),"'","''")&amp;"'")&amp;", "&amp;IF(TRIM(G495&amp;"")="","NULL","'"&amp;SUBSTITUTE(TRIM(G495),"'","''")&amp;"'")&amp;", "&amp;IF(TRIM(H495&amp;"")="","NULL","'"&amp;SUBSTITUTE(TRIM(H495),"'","''")&amp;"'")&amp;", "&amp;IF(TRIM(I495&amp;"")="","NULL","'"&amp;SUBSTITUTE(TRIM(I495),"'","''")&amp;"'")&amp;", "&amp;IF(TRIM(J495&amp;"")="","NULL","'"&amp;SUBSTITUTE(TRIM(J495),"'","''")&amp;"'")&amp;", "&amp;IF(UPPER(TRIM(K495&amp;""))="SI","TRUE","FALSE")&amp;", 1"&amp;" WHERE NOT EXISTS (SELECT 1 FROM cli_contacto c WHERE c.id_cliente = "&amp;"(SELECT id FROM cli_clientes WHERE numero_documento = '"&amp;SUBSTITUTE(TRIM(A495),"'","''")&amp;"' AND estado = 1 LIMIT 1)"&amp;" AND upper(c.nombre) = upper("&amp;IF(TRIM(C495&amp;"")="","NULL","'"&amp;SUBSTITUTE(TRIM(C495),"'","''")&amp;"'")&amp;") AND coalesce(c.telefono1,'') = coalesce("&amp;IF(TRIM(F495&amp;"")="","NULL","'"&amp;SUBSTITUTE(TRIM(F495),"'","''")&amp;"'")&amp;",''));")</f>
        <v/>
      </c>
    </row>
    <row r="496" ht="15.75" customHeight="1" s="64">
      <c r="A496" s="23" t="n"/>
      <c r="B496" s="25">
        <f t="array" ref="B496">IF(A496="","",IFERROR(IF(INDEX(Clientes!$D$5:$D$549,MATCH(A496,Clientes!$C$5:$C$549,0))&lt;&gt;"",INDEX(Clientes!$D$5:$D$549,MATCH(A496,Clientes!$C$5:$C$549,0)),TRIM(INDEX(Clientes!$E$5:$E$549,MATCH(A496,Clientes!$C$5:$C$549,0))&amp;" "&amp;INDEX(Clientes!$F$5:$F$549,MATCH(A496,Clientes!$C$5:$C$549,0)))),"NO EXISTE en Clientes"))</f>
        <v/>
      </c>
      <c r="C496" s="17" t="n"/>
      <c r="D496" s="17" t="n"/>
      <c r="E496" s="17" t="n"/>
      <c r="F496" s="23" t="n"/>
      <c r="G496" s="23" t="n"/>
      <c r="H496" s="23" t="n"/>
      <c r="I496" s="17" t="n"/>
      <c r="J496" s="17" t="n"/>
      <c r="K496" s="17" t="n"/>
      <c r="L496" s="17">
        <f>IF(AND(A496="",C496=""),"",IF(A496="","FALTA doc. cliente",IF(B496="NO EXISTE en Clientes","CLIENTE no está en hoja Clientes",IF(C496="","FALTA nombre",IF(AND(K496="SI",COUNTIFS($A$5:$A$499,A496,$K$5:$K$499,"SI")&gt;1),"Más de un contacto principal para este cliente","OK")))))</f>
        <v/>
      </c>
      <c r="M496" s="28">
        <f>IF(L496&lt;&gt;"OK","","INSERT INTO cli_contacto (id_cliente, nombre, apellido_paterno, apellido_materno, telefono1, telefono2, telefono3, email, direccion, es_principal, estado) SELECT "&amp;"(SELECT id FROM cli_clientes WHERE numero_documento = '"&amp;SUBSTITUTE(TRIM(A496),"'","''")&amp;"' AND estado = 1 LIMIT 1)"&amp;", "&amp;IF(TRIM(C496&amp;"")="","NULL","'"&amp;SUBSTITUTE(TRIM(C496),"'","''")&amp;"'")&amp;", "&amp;IF(TRIM(D496&amp;"")="","NULL","'"&amp;SUBSTITUTE(TRIM(D496),"'","''")&amp;"'")&amp;", "&amp;IF(TRIM(E496&amp;"")="","NULL","'"&amp;SUBSTITUTE(TRIM(E496),"'","''")&amp;"'")&amp;", "&amp;IF(TRIM(F496&amp;"")="","NULL","'"&amp;SUBSTITUTE(TRIM(F496),"'","''")&amp;"'")&amp;", "&amp;IF(TRIM(G496&amp;"")="","NULL","'"&amp;SUBSTITUTE(TRIM(G496),"'","''")&amp;"'")&amp;", "&amp;IF(TRIM(H496&amp;"")="","NULL","'"&amp;SUBSTITUTE(TRIM(H496),"'","''")&amp;"'")&amp;", "&amp;IF(TRIM(I496&amp;"")="","NULL","'"&amp;SUBSTITUTE(TRIM(I496),"'","''")&amp;"'")&amp;", "&amp;IF(TRIM(J496&amp;"")="","NULL","'"&amp;SUBSTITUTE(TRIM(J496),"'","''")&amp;"'")&amp;", "&amp;IF(UPPER(TRIM(K496&amp;""))="SI","TRUE","FALSE")&amp;", 1"&amp;" WHERE NOT EXISTS (SELECT 1 FROM cli_contacto c WHERE c.id_cliente = "&amp;"(SELECT id FROM cli_clientes WHERE numero_documento = '"&amp;SUBSTITUTE(TRIM(A496),"'","''")&amp;"' AND estado = 1 LIMIT 1)"&amp;" AND upper(c.nombre) = upper("&amp;IF(TRIM(C496&amp;"")="","NULL","'"&amp;SUBSTITUTE(TRIM(C496),"'","''")&amp;"'")&amp;") AND coalesce(c.telefono1,'') = coalesce("&amp;IF(TRIM(F496&amp;"")="","NULL","'"&amp;SUBSTITUTE(TRIM(F496),"'","''")&amp;"'")&amp;",''));")</f>
        <v/>
      </c>
    </row>
    <row r="497" ht="15.75" customHeight="1" s="64">
      <c r="A497" s="23" t="n"/>
      <c r="B497" s="25">
        <f t="array" ref="B497">IF(A497="","",IFERROR(IF(INDEX(Clientes!$D$5:$D$549,MATCH(A497,Clientes!$C$5:$C$549,0))&lt;&gt;"",INDEX(Clientes!$D$5:$D$549,MATCH(A497,Clientes!$C$5:$C$549,0)),TRIM(INDEX(Clientes!$E$5:$E$549,MATCH(A497,Clientes!$C$5:$C$549,0))&amp;" "&amp;INDEX(Clientes!$F$5:$F$549,MATCH(A497,Clientes!$C$5:$C$549,0)))),"NO EXISTE en Clientes"))</f>
        <v/>
      </c>
      <c r="C497" s="17" t="n"/>
      <c r="D497" s="17" t="n"/>
      <c r="E497" s="17" t="n"/>
      <c r="F497" s="23" t="n"/>
      <c r="G497" s="23" t="n"/>
      <c r="H497" s="23" t="n"/>
      <c r="I497" s="17" t="n"/>
      <c r="J497" s="17" t="n"/>
      <c r="K497" s="17" t="n"/>
      <c r="L497" s="17">
        <f>IF(AND(A497="",C497=""),"",IF(A497="","FALTA doc. cliente",IF(B497="NO EXISTE en Clientes","CLIENTE no está en hoja Clientes",IF(C497="","FALTA nombre",IF(AND(K497="SI",COUNTIFS($A$5:$A$499,A497,$K$5:$K$499,"SI")&gt;1),"Más de un contacto principal para este cliente","OK")))))</f>
        <v/>
      </c>
      <c r="M497" s="28">
        <f>IF(L497&lt;&gt;"OK","","INSERT INTO cli_contacto (id_cliente, nombre, apellido_paterno, apellido_materno, telefono1, telefono2, telefono3, email, direccion, es_principal, estado) SELECT "&amp;"(SELECT id FROM cli_clientes WHERE numero_documento = '"&amp;SUBSTITUTE(TRIM(A497),"'","''")&amp;"' AND estado = 1 LIMIT 1)"&amp;", "&amp;IF(TRIM(C497&amp;"")="","NULL","'"&amp;SUBSTITUTE(TRIM(C497),"'","''")&amp;"'")&amp;", "&amp;IF(TRIM(D497&amp;"")="","NULL","'"&amp;SUBSTITUTE(TRIM(D497),"'","''")&amp;"'")&amp;", "&amp;IF(TRIM(E497&amp;"")="","NULL","'"&amp;SUBSTITUTE(TRIM(E497),"'","''")&amp;"'")&amp;", "&amp;IF(TRIM(F497&amp;"")="","NULL","'"&amp;SUBSTITUTE(TRIM(F497),"'","''")&amp;"'")&amp;", "&amp;IF(TRIM(G497&amp;"")="","NULL","'"&amp;SUBSTITUTE(TRIM(G497),"'","''")&amp;"'")&amp;", "&amp;IF(TRIM(H497&amp;"")="","NULL","'"&amp;SUBSTITUTE(TRIM(H497),"'","''")&amp;"'")&amp;", "&amp;IF(TRIM(I497&amp;"")="","NULL","'"&amp;SUBSTITUTE(TRIM(I497),"'","''")&amp;"'")&amp;", "&amp;IF(TRIM(J497&amp;"")="","NULL","'"&amp;SUBSTITUTE(TRIM(J497),"'","''")&amp;"'")&amp;", "&amp;IF(UPPER(TRIM(K497&amp;""))="SI","TRUE","FALSE")&amp;", 1"&amp;" WHERE NOT EXISTS (SELECT 1 FROM cli_contacto c WHERE c.id_cliente = "&amp;"(SELECT id FROM cli_clientes WHERE numero_documento = '"&amp;SUBSTITUTE(TRIM(A497),"'","''")&amp;"' AND estado = 1 LIMIT 1)"&amp;" AND upper(c.nombre) = upper("&amp;IF(TRIM(C497&amp;"")="","NULL","'"&amp;SUBSTITUTE(TRIM(C497),"'","''")&amp;"'")&amp;") AND coalesce(c.telefono1,'') = coalesce("&amp;IF(TRIM(F497&amp;"")="","NULL","'"&amp;SUBSTITUTE(TRIM(F497),"'","''")&amp;"'")&amp;",''));")</f>
        <v/>
      </c>
    </row>
    <row r="498" ht="15.75" customHeight="1" s="64">
      <c r="A498" s="23" t="n"/>
      <c r="B498" s="25">
        <f t="array" ref="B498">IF(A498="","",IFERROR(IF(INDEX(Clientes!$D$5:$D$549,MATCH(A498,Clientes!$C$5:$C$549,0))&lt;&gt;"",INDEX(Clientes!$D$5:$D$549,MATCH(A498,Clientes!$C$5:$C$549,0)),TRIM(INDEX(Clientes!$E$5:$E$549,MATCH(A498,Clientes!$C$5:$C$549,0))&amp;" "&amp;INDEX(Clientes!$F$5:$F$549,MATCH(A498,Clientes!$C$5:$C$549,0)))),"NO EXISTE en Clientes"))</f>
        <v/>
      </c>
      <c r="C498" s="17" t="n"/>
      <c r="D498" s="17" t="n"/>
      <c r="E498" s="17" t="n"/>
      <c r="F498" s="23" t="n"/>
      <c r="G498" s="23" t="n"/>
      <c r="H498" s="23" t="n"/>
      <c r="I498" s="17" t="n"/>
      <c r="J498" s="17" t="n"/>
      <c r="K498" s="17" t="n"/>
      <c r="L498" s="17">
        <f>IF(AND(A498="",C498=""),"",IF(A498="","FALTA doc. cliente",IF(B498="NO EXISTE en Clientes","CLIENTE no está en hoja Clientes",IF(C498="","FALTA nombre",IF(AND(K498="SI",COUNTIFS($A$5:$A$499,A498,$K$5:$K$499,"SI")&gt;1),"Más de un contacto principal para este cliente","OK")))))</f>
        <v/>
      </c>
      <c r="M498" s="28">
        <f>IF(L498&lt;&gt;"OK","","INSERT INTO cli_contacto (id_cliente, nombre, apellido_paterno, apellido_materno, telefono1, telefono2, telefono3, email, direccion, es_principal, estado) SELECT "&amp;"(SELECT id FROM cli_clientes WHERE numero_documento = '"&amp;SUBSTITUTE(TRIM(A498),"'","''")&amp;"' AND estado = 1 LIMIT 1)"&amp;", "&amp;IF(TRIM(C498&amp;"")="","NULL","'"&amp;SUBSTITUTE(TRIM(C498),"'","''")&amp;"'")&amp;", "&amp;IF(TRIM(D498&amp;"")="","NULL","'"&amp;SUBSTITUTE(TRIM(D498),"'","''")&amp;"'")&amp;", "&amp;IF(TRIM(E498&amp;"")="","NULL","'"&amp;SUBSTITUTE(TRIM(E498),"'","''")&amp;"'")&amp;", "&amp;IF(TRIM(F498&amp;"")="","NULL","'"&amp;SUBSTITUTE(TRIM(F498),"'","''")&amp;"'")&amp;", "&amp;IF(TRIM(G498&amp;"")="","NULL","'"&amp;SUBSTITUTE(TRIM(G498),"'","''")&amp;"'")&amp;", "&amp;IF(TRIM(H498&amp;"")="","NULL","'"&amp;SUBSTITUTE(TRIM(H498),"'","''")&amp;"'")&amp;", "&amp;IF(TRIM(I498&amp;"")="","NULL","'"&amp;SUBSTITUTE(TRIM(I498),"'","''")&amp;"'")&amp;", "&amp;IF(TRIM(J498&amp;"")="","NULL","'"&amp;SUBSTITUTE(TRIM(J498),"'","''")&amp;"'")&amp;", "&amp;IF(UPPER(TRIM(K498&amp;""))="SI","TRUE","FALSE")&amp;", 1"&amp;" WHERE NOT EXISTS (SELECT 1 FROM cli_contacto c WHERE c.id_cliente = "&amp;"(SELECT id FROM cli_clientes WHERE numero_documento = '"&amp;SUBSTITUTE(TRIM(A498),"'","''")&amp;"' AND estado = 1 LIMIT 1)"&amp;" AND upper(c.nombre) = upper("&amp;IF(TRIM(C498&amp;"")="","NULL","'"&amp;SUBSTITUTE(TRIM(C498),"'","''")&amp;"'")&amp;") AND coalesce(c.telefono1,'') = coalesce("&amp;IF(TRIM(F498&amp;"")="","NULL","'"&amp;SUBSTITUTE(TRIM(F498),"'","''")&amp;"'")&amp;",''));")</f>
        <v/>
      </c>
    </row>
    <row r="499" ht="15.75" customHeight="1" s="64">
      <c r="A499" s="23" t="n"/>
      <c r="B499" s="25">
        <f t="array" ref="B499">IF(A499="","",IFERROR(IF(INDEX(Clientes!$D$5:$D$549,MATCH(A499,Clientes!$C$5:$C$549,0))&lt;&gt;"",INDEX(Clientes!$D$5:$D$549,MATCH(A499,Clientes!$C$5:$C$549,0)),TRIM(INDEX(Clientes!$E$5:$E$549,MATCH(A499,Clientes!$C$5:$C$549,0))&amp;" "&amp;INDEX(Clientes!$F$5:$F$549,MATCH(A499,Clientes!$C$5:$C$549,0)))),"NO EXISTE en Clientes"))</f>
        <v/>
      </c>
      <c r="C499" s="17" t="n"/>
      <c r="D499" s="17" t="n"/>
      <c r="E499" s="17" t="n"/>
      <c r="F499" s="23" t="n"/>
      <c r="G499" s="23" t="n"/>
      <c r="H499" s="23" t="n"/>
      <c r="I499" s="17" t="n"/>
      <c r="J499" s="17" t="n"/>
      <c r="K499" s="17" t="n"/>
      <c r="L499" s="17">
        <f>IF(AND(A499="",C499=""),"",IF(A499="","FALTA doc. cliente",IF(B499="NO EXISTE en Clientes","CLIENTE no está en hoja Clientes",IF(C499="","FALTA nombre",IF(AND(K499="SI",COUNTIFS($A$5:$A$499,A499,$K$5:$K$499,"SI")&gt;1),"Más de un contacto principal para este cliente","OK")))))</f>
        <v/>
      </c>
      <c r="M499" s="28">
        <f>IF(L499&lt;&gt;"OK","","INSERT INTO cli_contacto (id_cliente, nombre, apellido_paterno, apellido_materno, telefono1, telefono2, telefono3, email, direccion, es_principal, estado) SELECT "&amp;"(SELECT id FROM cli_clientes WHERE numero_documento = '"&amp;SUBSTITUTE(TRIM(A499),"'","''")&amp;"' AND estado = 1 LIMIT 1)"&amp;", "&amp;IF(TRIM(C499&amp;"")="","NULL","'"&amp;SUBSTITUTE(TRIM(C499),"'","''")&amp;"'")&amp;", "&amp;IF(TRIM(D499&amp;"")="","NULL","'"&amp;SUBSTITUTE(TRIM(D499),"'","''")&amp;"'")&amp;", "&amp;IF(TRIM(E499&amp;"")="","NULL","'"&amp;SUBSTITUTE(TRIM(E499),"'","''")&amp;"'")&amp;", "&amp;IF(TRIM(F499&amp;"")="","NULL","'"&amp;SUBSTITUTE(TRIM(F499),"'","''")&amp;"'")&amp;", "&amp;IF(TRIM(G499&amp;"")="","NULL","'"&amp;SUBSTITUTE(TRIM(G499),"'","''")&amp;"'")&amp;", "&amp;IF(TRIM(H499&amp;"")="","NULL","'"&amp;SUBSTITUTE(TRIM(H499),"'","''")&amp;"'")&amp;", "&amp;IF(TRIM(I499&amp;"")="","NULL","'"&amp;SUBSTITUTE(TRIM(I499),"'","''")&amp;"'")&amp;", "&amp;IF(TRIM(J499&amp;"")="","NULL","'"&amp;SUBSTITUTE(TRIM(J499),"'","''")&amp;"'")&amp;", "&amp;IF(UPPER(TRIM(K499&amp;""))="SI","TRUE","FALSE")&amp;", 1"&amp;" WHERE NOT EXISTS (SELECT 1 FROM cli_contacto c WHERE c.id_cliente = "&amp;"(SELECT id FROM cli_clientes WHERE numero_documento = '"&amp;SUBSTITUTE(TRIM(A499),"'","''")&amp;"' AND estado = 1 LIMIT 1)"&amp;" AND upper(c.nombre) = upper("&amp;IF(TRIM(C499&amp;"")="","NULL","'"&amp;SUBSTITUTE(TRIM(C499),"'","''")&amp;"'")&amp;") AND coalesce(c.telefono1,'') = coalesce("&amp;IF(TRIM(F499&amp;"")="","NULL","'"&amp;SUBSTITUTE(TRIM(F499),"'","''")&amp;"'")&amp;",''));")</f>
        <v/>
      </c>
    </row>
    <row r="500" ht="15.75" customHeight="1" s="6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</row>
    <row r="501" ht="15.75" customHeight="1" s="6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</row>
    <row r="502" ht="15.75" customHeight="1" s="6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</row>
    <row r="503" ht="15.75" customHeight="1" s="6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</row>
    <row r="504" ht="15.75" customHeight="1" s="6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</row>
    <row r="505" ht="15.75" customHeight="1" s="6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</row>
    <row r="506" ht="15.75" customHeight="1" s="6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</row>
    <row r="507" ht="15.75" customHeight="1" s="6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</row>
    <row r="508" ht="15.75" customHeight="1" s="6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</row>
    <row r="509" ht="15.75" customHeight="1" s="6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</row>
    <row r="510" ht="15.75" customHeight="1" s="6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</row>
    <row r="511" ht="15.75" customHeight="1" s="6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</row>
    <row r="512" ht="15.75" customHeight="1" s="6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</row>
    <row r="513" ht="15.75" customHeight="1" s="6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</row>
    <row r="514" ht="15.75" customHeight="1" s="6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</row>
    <row r="515" ht="15.75" customHeight="1" s="6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</row>
    <row r="516" ht="15.75" customHeight="1" s="6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</row>
    <row r="517" ht="15.75" customHeight="1" s="6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</row>
    <row r="518" ht="15.75" customHeight="1" s="6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</row>
    <row r="519" ht="15.75" customHeight="1" s="6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</row>
    <row r="520" ht="15.75" customHeight="1" s="6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</row>
    <row r="521" ht="15.75" customHeight="1" s="6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</row>
    <row r="522" ht="15.75" customHeight="1" s="6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</row>
    <row r="523" ht="15.75" customHeight="1" s="6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</row>
    <row r="524" ht="15.75" customHeight="1" s="6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</row>
    <row r="525" ht="15.75" customHeight="1" s="6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</row>
    <row r="526" ht="15.75" customHeight="1" s="6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</row>
    <row r="527" ht="15.75" customHeight="1" s="6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</row>
    <row r="528" ht="15.75" customHeight="1" s="6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</row>
    <row r="529" ht="15.75" customHeight="1" s="6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</row>
    <row r="530" ht="15.75" customHeight="1" s="6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</row>
    <row r="531" ht="15.75" customHeight="1" s="6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</row>
    <row r="532" ht="15.75" customHeight="1" s="6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</row>
    <row r="533" ht="15.75" customHeight="1" s="6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</row>
    <row r="534" ht="15.75" customHeight="1" s="6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</row>
    <row r="535" ht="15.75" customHeight="1" s="6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</row>
    <row r="536" ht="15.75" customHeight="1" s="6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</row>
    <row r="537" ht="15.75" customHeight="1" s="6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</row>
    <row r="538" ht="15.75" customHeight="1" s="6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</row>
    <row r="539" ht="15.75" customHeight="1" s="6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</row>
    <row r="540" ht="15.75" customHeight="1" s="6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</row>
    <row r="541" ht="15.75" customHeight="1" s="6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</row>
    <row r="542" ht="15.75" customHeight="1" s="6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</row>
    <row r="543" ht="15.75" customHeight="1" s="6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</row>
    <row r="544" ht="15.75" customHeight="1" s="6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</row>
    <row r="545" ht="15.75" customHeight="1" s="6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</row>
    <row r="546" ht="15.75" customHeight="1" s="6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</row>
    <row r="547" ht="15.75" customHeight="1" s="6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</row>
    <row r="548" ht="15.75" customHeight="1" s="6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</row>
    <row r="549" ht="15.75" customHeight="1" s="6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</row>
    <row r="550" ht="15.75" customHeight="1" s="6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</row>
    <row r="551" ht="15.75" customHeight="1" s="6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</row>
    <row r="552" ht="15.75" customHeight="1" s="6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</row>
    <row r="553" ht="15.75" customHeight="1" s="6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</row>
    <row r="554" ht="15.75" customHeight="1" s="6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</row>
    <row r="555" ht="15.75" customHeight="1" s="6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</row>
    <row r="556" ht="15.75" customHeight="1" s="6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</row>
    <row r="557" ht="15.75" customHeight="1" s="6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</row>
    <row r="558" ht="15.75" customHeight="1" s="6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</row>
    <row r="559" ht="15.75" customHeight="1" s="6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</row>
    <row r="560" ht="15.75" customHeight="1" s="6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</row>
    <row r="561" ht="15.75" customHeight="1" s="6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</row>
    <row r="562" ht="15.75" customHeight="1" s="6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</row>
    <row r="563" ht="15.75" customHeight="1" s="6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</row>
    <row r="564" ht="15.75" customHeight="1" s="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</row>
    <row r="565" ht="15.75" customHeight="1" s="6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</row>
    <row r="566" ht="15.75" customHeight="1" s="6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</row>
    <row r="567" ht="15.75" customHeight="1" s="6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</row>
    <row r="568" ht="15.75" customHeight="1" s="6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</row>
    <row r="569" ht="15.75" customHeight="1" s="6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</row>
    <row r="570" ht="15.75" customHeight="1" s="6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</row>
    <row r="571" ht="15.75" customHeight="1" s="6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</row>
    <row r="572" ht="15.75" customHeight="1" s="6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</row>
    <row r="573" ht="15.75" customHeight="1" s="6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</row>
    <row r="574" ht="15.75" customHeight="1" s="6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</row>
    <row r="575" ht="15.75" customHeight="1" s="6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</row>
    <row r="576" ht="15.75" customHeight="1" s="6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</row>
    <row r="577" ht="15.75" customHeight="1" s="6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</row>
    <row r="578" ht="15.75" customHeight="1" s="6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</row>
    <row r="579" ht="15.75" customHeight="1" s="6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</row>
    <row r="580" ht="15.75" customHeight="1" s="6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</row>
    <row r="581" ht="15.75" customHeight="1" s="6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</row>
    <row r="582" ht="15.75" customHeight="1" s="6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</row>
    <row r="583" ht="15.75" customHeight="1" s="6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</row>
    <row r="584" ht="15.75" customHeight="1" s="6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</row>
    <row r="585" ht="15.75" customHeight="1" s="6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</row>
    <row r="586" ht="15.75" customHeight="1" s="6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</row>
    <row r="587" ht="15.75" customHeight="1" s="6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</row>
    <row r="588" ht="15.75" customHeight="1" s="6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</row>
    <row r="589" ht="15.75" customHeight="1" s="6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</row>
    <row r="590" ht="15.75" customHeight="1" s="6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</row>
    <row r="591" ht="15.75" customHeight="1" s="6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</row>
    <row r="592" ht="15.75" customHeight="1" s="6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</row>
    <row r="593" ht="15.75" customHeight="1" s="6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</row>
    <row r="594" ht="15.75" customHeight="1" s="6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</row>
    <row r="595" ht="15.75" customHeight="1" s="6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</row>
    <row r="596" ht="15.75" customHeight="1" s="6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</row>
    <row r="597" ht="15.75" customHeight="1" s="6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</row>
    <row r="598" ht="15.75" customHeight="1" s="6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</row>
    <row r="599" ht="15.75" customHeight="1" s="6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</row>
    <row r="600" ht="15.75" customHeight="1" s="6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</row>
    <row r="601" ht="15.75" customHeight="1" s="6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</row>
    <row r="602" ht="15.75" customHeight="1" s="6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</row>
    <row r="603" ht="15.75" customHeight="1" s="6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</row>
    <row r="604" ht="15.75" customHeight="1" s="6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</row>
    <row r="605" ht="15.75" customHeight="1" s="6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</row>
    <row r="606" ht="15.75" customHeight="1" s="6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</row>
    <row r="607" ht="15.75" customHeight="1" s="6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</row>
    <row r="608" ht="15.75" customHeight="1" s="6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</row>
    <row r="609" ht="15.75" customHeight="1" s="6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</row>
    <row r="610" ht="15.75" customHeight="1" s="6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</row>
    <row r="611" ht="15.75" customHeight="1" s="6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</row>
    <row r="612" ht="15.75" customHeight="1" s="6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</row>
    <row r="613" ht="15.75" customHeight="1" s="6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</row>
    <row r="614" ht="15.75" customHeight="1" s="6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</row>
    <row r="615" ht="15.75" customHeight="1" s="6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</row>
    <row r="616" ht="15.75" customHeight="1" s="6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</row>
    <row r="617" ht="15.75" customHeight="1" s="6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</row>
    <row r="618" ht="15.75" customHeight="1" s="6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</row>
    <row r="619" ht="15.75" customHeight="1" s="6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</row>
    <row r="620" ht="15.75" customHeight="1" s="6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</row>
    <row r="621" ht="15.75" customHeight="1" s="6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</row>
    <row r="622" ht="15.75" customHeight="1" s="6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</row>
    <row r="623" ht="15.75" customHeight="1" s="6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</row>
    <row r="624" ht="15.75" customHeight="1" s="6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</row>
    <row r="625" ht="15.75" customHeight="1" s="6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</row>
    <row r="626" ht="15.75" customHeight="1" s="6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</row>
    <row r="627" ht="15.75" customHeight="1" s="6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</row>
    <row r="628" ht="15.75" customHeight="1" s="6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</row>
    <row r="629" ht="15.75" customHeight="1" s="6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</row>
    <row r="630" ht="15.75" customHeight="1" s="6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</row>
    <row r="631" ht="15.75" customHeight="1" s="6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</row>
    <row r="632" ht="15.75" customHeight="1" s="6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</row>
    <row r="633" ht="15.75" customHeight="1" s="6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</row>
    <row r="634" ht="15.75" customHeight="1" s="6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</row>
    <row r="635" ht="15.75" customHeight="1" s="6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</row>
    <row r="636" ht="15.75" customHeight="1" s="6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</row>
    <row r="637" ht="15.75" customHeight="1" s="6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</row>
    <row r="638" ht="15.75" customHeight="1" s="6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</row>
    <row r="639" ht="15.75" customHeight="1" s="6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</row>
    <row r="640" ht="15.75" customHeight="1" s="6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</row>
    <row r="641" ht="15.75" customHeight="1" s="6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</row>
    <row r="642" ht="15.75" customHeight="1" s="6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</row>
    <row r="643" ht="15.75" customHeight="1" s="6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</row>
    <row r="644" ht="15.75" customHeight="1" s="6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</row>
    <row r="645" ht="15.75" customHeight="1" s="6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</row>
    <row r="646" ht="15.75" customHeight="1" s="6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</row>
    <row r="647" ht="15.75" customHeight="1" s="6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</row>
    <row r="648" ht="15.75" customHeight="1" s="6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</row>
    <row r="649" ht="15.75" customHeight="1" s="6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</row>
    <row r="650" ht="15.75" customHeight="1" s="6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</row>
    <row r="651" ht="15.75" customHeight="1" s="6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</row>
    <row r="652" ht="15.75" customHeight="1" s="6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</row>
    <row r="653" ht="15.75" customHeight="1" s="6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</row>
    <row r="654" ht="15.75" customHeight="1" s="6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</row>
    <row r="655" ht="15.75" customHeight="1" s="6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</row>
    <row r="656" ht="15.75" customHeight="1" s="6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</row>
    <row r="657" ht="15.75" customHeight="1" s="6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</row>
    <row r="658" ht="15.75" customHeight="1" s="6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</row>
    <row r="659" ht="15.75" customHeight="1" s="6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</row>
    <row r="660" ht="15.75" customHeight="1" s="6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</row>
    <row r="661" ht="15.75" customHeight="1" s="6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</row>
    <row r="662" ht="15.75" customHeight="1" s="6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</row>
    <row r="663" ht="15.75" customHeight="1" s="6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</row>
    <row r="664" ht="15.75" customHeight="1" s="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</row>
    <row r="665" ht="15.75" customHeight="1" s="6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</row>
    <row r="666" ht="15.75" customHeight="1" s="6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</row>
    <row r="667" ht="15.75" customHeight="1" s="6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</row>
    <row r="668" ht="15.75" customHeight="1" s="6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</row>
    <row r="669" ht="15.75" customHeight="1" s="6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</row>
    <row r="670" ht="15.75" customHeight="1" s="6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</row>
    <row r="671" ht="15.75" customHeight="1" s="6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</row>
    <row r="672" ht="15.75" customHeight="1" s="6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</row>
    <row r="673" ht="15.75" customHeight="1" s="6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</row>
    <row r="674" ht="15.75" customHeight="1" s="6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</row>
    <row r="675" ht="15.75" customHeight="1" s="6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</row>
    <row r="676" ht="15.75" customHeight="1" s="6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</row>
    <row r="677" ht="15.75" customHeight="1" s="6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</row>
    <row r="678" ht="15.75" customHeight="1" s="6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</row>
    <row r="679" ht="15.75" customHeight="1" s="6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</row>
    <row r="680" ht="15.75" customHeight="1" s="6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</row>
    <row r="681" ht="15.75" customHeight="1" s="6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</row>
    <row r="682" ht="15.75" customHeight="1" s="6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</row>
    <row r="683" ht="15.75" customHeight="1" s="6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</row>
    <row r="684" ht="15.75" customHeight="1" s="6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</row>
    <row r="685" ht="15.75" customHeight="1" s="6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</row>
    <row r="686" ht="15.75" customHeight="1" s="6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</row>
    <row r="687" ht="15.75" customHeight="1" s="6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</row>
    <row r="688" ht="15.75" customHeight="1" s="6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</row>
    <row r="689" ht="15.75" customHeight="1" s="6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</row>
    <row r="690" ht="15.75" customHeight="1" s="6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</row>
    <row r="691" ht="15.75" customHeight="1" s="6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</row>
    <row r="692" ht="15.75" customHeight="1" s="6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</row>
    <row r="693" ht="15.75" customHeight="1" s="6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</row>
    <row r="694" ht="15.75" customHeight="1" s="6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</row>
    <row r="695" ht="15.75" customHeight="1" s="6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</row>
    <row r="696" ht="15.75" customHeight="1" s="6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</row>
    <row r="697" ht="15.75" customHeight="1" s="6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</row>
    <row r="698" ht="15.75" customHeight="1" s="6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</row>
    <row r="699" ht="15.75" customHeight="1" s="6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</row>
    <row r="700" ht="15.75" customHeight="1" s="6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</row>
    <row r="701" ht="15.75" customHeight="1" s="6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</row>
    <row r="702" ht="15.75" customHeight="1" s="6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</row>
    <row r="703" ht="15.75" customHeight="1" s="6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</row>
    <row r="704" ht="15.75" customHeight="1" s="6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</row>
    <row r="705" ht="15.75" customHeight="1" s="6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</row>
    <row r="706" ht="15.75" customHeight="1" s="6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</row>
    <row r="707" ht="15.75" customHeight="1" s="6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</row>
    <row r="708" ht="15.75" customHeight="1" s="6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</row>
    <row r="709" ht="15.75" customHeight="1" s="6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</row>
    <row r="710" ht="15.75" customHeight="1" s="6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</row>
    <row r="711" ht="15.75" customHeight="1" s="6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</row>
    <row r="712" ht="15.75" customHeight="1" s="6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</row>
    <row r="713" ht="15.75" customHeight="1" s="6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</row>
    <row r="714" ht="15.75" customHeight="1" s="6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</row>
    <row r="715" ht="15.75" customHeight="1" s="6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</row>
    <row r="716" ht="15.75" customHeight="1" s="6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</row>
    <row r="717" ht="15.75" customHeight="1" s="6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</row>
    <row r="718" ht="15.75" customHeight="1" s="6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</row>
    <row r="719" ht="15.75" customHeight="1" s="6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</row>
    <row r="720" ht="15.75" customHeight="1" s="6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</row>
    <row r="721" ht="15.75" customHeight="1" s="6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</row>
    <row r="722" ht="15.75" customHeight="1" s="6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</row>
    <row r="723" ht="15.75" customHeight="1" s="6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</row>
    <row r="724" ht="15.75" customHeight="1" s="6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</row>
    <row r="725" ht="15.75" customHeight="1" s="6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</row>
    <row r="726" ht="15.75" customHeight="1" s="6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</row>
    <row r="727" ht="15.75" customHeight="1" s="6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</row>
    <row r="728" ht="15.75" customHeight="1" s="6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</row>
    <row r="729" ht="15.75" customHeight="1" s="6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</row>
    <row r="730" ht="15.75" customHeight="1" s="6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</row>
    <row r="731" ht="15.75" customHeight="1" s="6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</row>
    <row r="732" ht="15.75" customHeight="1" s="6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</row>
    <row r="733" ht="15.75" customHeight="1" s="6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</row>
    <row r="734" ht="15.75" customHeight="1" s="6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</row>
    <row r="735" ht="15.75" customHeight="1" s="6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</row>
    <row r="736" ht="15.75" customHeight="1" s="6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</row>
    <row r="737" ht="15.75" customHeight="1" s="6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</row>
    <row r="738" ht="15.75" customHeight="1" s="6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</row>
    <row r="739" ht="15.75" customHeight="1" s="6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</row>
    <row r="740" ht="15.75" customHeight="1" s="6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</row>
    <row r="741" ht="15.75" customHeight="1" s="6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</row>
    <row r="742" ht="15.75" customHeight="1" s="6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</row>
    <row r="743" ht="15.75" customHeight="1" s="6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</row>
    <row r="744" ht="15.75" customHeight="1" s="6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</row>
    <row r="745" ht="15.75" customHeight="1" s="6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</row>
    <row r="746" ht="15.75" customHeight="1" s="6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</row>
    <row r="747" ht="15.75" customHeight="1" s="6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</row>
    <row r="748" ht="15.75" customHeight="1" s="6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</row>
    <row r="749" ht="15.75" customHeight="1" s="6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</row>
    <row r="750" ht="15.75" customHeight="1" s="6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</row>
    <row r="751" ht="15.75" customHeight="1" s="6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</row>
    <row r="752" ht="15.75" customHeight="1" s="6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</row>
    <row r="753" ht="15.75" customHeight="1" s="6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</row>
    <row r="754" ht="15.75" customHeight="1" s="6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</row>
    <row r="755" ht="15.75" customHeight="1" s="6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</row>
    <row r="756" ht="15.75" customHeight="1" s="6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</row>
    <row r="757" ht="15.75" customHeight="1" s="6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</row>
    <row r="758" ht="15.75" customHeight="1" s="6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</row>
    <row r="759" ht="15.75" customHeight="1" s="6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</row>
    <row r="760" ht="15.75" customHeight="1" s="6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</row>
    <row r="761" ht="15.75" customHeight="1" s="6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</row>
    <row r="762" ht="15.75" customHeight="1" s="6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</row>
    <row r="763" ht="15.75" customHeight="1" s="6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</row>
    <row r="764" ht="15.75" customHeight="1" s="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</row>
    <row r="765" ht="15.75" customHeight="1" s="6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</row>
    <row r="766" ht="15.75" customHeight="1" s="6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</row>
    <row r="767" ht="15.75" customHeight="1" s="6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</row>
    <row r="768" ht="15.75" customHeight="1" s="6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</row>
    <row r="769" ht="15.75" customHeight="1" s="6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</row>
    <row r="770" ht="15.75" customHeight="1" s="6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</row>
    <row r="771" ht="15.75" customHeight="1" s="6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</row>
    <row r="772" ht="15.75" customHeight="1" s="6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</row>
    <row r="773" ht="15.75" customHeight="1" s="6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</row>
    <row r="774" ht="15.75" customHeight="1" s="6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</row>
    <row r="775" ht="15.75" customHeight="1" s="6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</row>
    <row r="776" ht="15.75" customHeight="1" s="6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</row>
    <row r="777" ht="15.75" customHeight="1" s="6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</row>
    <row r="778" ht="15.75" customHeight="1" s="6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</row>
    <row r="779" ht="15.75" customHeight="1" s="6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</row>
    <row r="780" ht="15.75" customHeight="1" s="6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</row>
    <row r="781" ht="15.75" customHeight="1" s="6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</row>
    <row r="782" ht="15.75" customHeight="1" s="6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</row>
    <row r="783" ht="15.75" customHeight="1" s="6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</row>
    <row r="784" ht="15.75" customHeight="1" s="6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</row>
    <row r="785" ht="15.75" customHeight="1" s="6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</row>
    <row r="786" ht="15.75" customHeight="1" s="6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</row>
    <row r="787" ht="15.75" customHeight="1" s="6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</row>
    <row r="788" ht="15.75" customHeight="1" s="6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</row>
    <row r="789" ht="15.75" customHeight="1" s="6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</row>
    <row r="790" ht="15.75" customHeight="1" s="6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</row>
    <row r="791" ht="15.75" customHeight="1" s="6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</row>
    <row r="792" ht="15.75" customHeight="1" s="6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</row>
    <row r="793" ht="15.75" customHeight="1" s="6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</row>
    <row r="794" ht="15.75" customHeight="1" s="6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</row>
    <row r="795" ht="15.75" customHeight="1" s="6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</row>
    <row r="796" ht="15.75" customHeight="1" s="6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</row>
    <row r="797" ht="15.75" customHeight="1" s="6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</row>
    <row r="798" ht="15.75" customHeight="1" s="6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</row>
    <row r="799" ht="15.75" customHeight="1" s="6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</row>
    <row r="800" ht="15.75" customHeight="1" s="6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</row>
    <row r="801" ht="15.75" customHeight="1" s="6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</row>
    <row r="802" ht="15.75" customHeight="1" s="6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</row>
    <row r="803" ht="15.75" customHeight="1" s="6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</row>
    <row r="804" ht="15.75" customHeight="1" s="6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</row>
    <row r="805" ht="15.75" customHeight="1" s="6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</row>
    <row r="806" ht="15.75" customHeight="1" s="6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</row>
    <row r="807" ht="15.75" customHeight="1" s="6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</row>
    <row r="808" ht="15.75" customHeight="1" s="6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</row>
    <row r="809" ht="15.75" customHeight="1" s="6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</row>
    <row r="810" ht="15.75" customHeight="1" s="6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</row>
    <row r="811" ht="15.75" customHeight="1" s="6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</row>
    <row r="812" ht="15.75" customHeight="1" s="6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</row>
    <row r="813" ht="15.75" customHeight="1" s="6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</row>
    <row r="814" ht="15.75" customHeight="1" s="6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</row>
    <row r="815" ht="15.75" customHeight="1" s="6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</row>
    <row r="816" ht="15.75" customHeight="1" s="6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</row>
    <row r="817" ht="15.75" customHeight="1" s="6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</row>
    <row r="818" ht="15.75" customHeight="1" s="6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</row>
    <row r="819" ht="15.75" customHeight="1" s="6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</row>
    <row r="820" ht="15.75" customHeight="1" s="6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</row>
    <row r="821" ht="15.75" customHeight="1" s="6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</row>
    <row r="822" ht="15.75" customHeight="1" s="6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</row>
    <row r="823" ht="15.75" customHeight="1" s="6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</row>
    <row r="824" ht="15.75" customHeight="1" s="6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</row>
    <row r="825" ht="15.75" customHeight="1" s="6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</row>
    <row r="826" ht="15.75" customHeight="1" s="6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</row>
    <row r="827" ht="15.75" customHeight="1" s="6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</row>
    <row r="828" ht="15.75" customHeight="1" s="6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</row>
    <row r="829" ht="15.75" customHeight="1" s="6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</row>
    <row r="830" ht="15.75" customHeight="1" s="6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</row>
    <row r="831" ht="15.75" customHeight="1" s="6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</row>
    <row r="832" ht="15.75" customHeight="1" s="6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</row>
    <row r="833" ht="15.75" customHeight="1" s="6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</row>
    <row r="834" ht="15.75" customHeight="1" s="6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</row>
    <row r="835" ht="15.75" customHeight="1" s="6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</row>
    <row r="836" ht="15.75" customHeight="1" s="6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</row>
    <row r="837" ht="15.75" customHeight="1" s="6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</row>
    <row r="838" ht="15.75" customHeight="1" s="6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</row>
    <row r="839" ht="15.75" customHeight="1" s="6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</row>
    <row r="840" ht="15.75" customHeight="1" s="6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</row>
    <row r="841" ht="15.75" customHeight="1" s="6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</row>
    <row r="842" ht="15.75" customHeight="1" s="6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</row>
    <row r="843" ht="15.75" customHeight="1" s="6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</row>
    <row r="844" ht="15.75" customHeight="1" s="6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</row>
    <row r="845" ht="15.75" customHeight="1" s="6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</row>
    <row r="846" ht="15.75" customHeight="1" s="6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</row>
    <row r="847" ht="15.75" customHeight="1" s="6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</row>
    <row r="848" ht="15.75" customHeight="1" s="6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</row>
    <row r="849" ht="15.75" customHeight="1" s="6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</row>
    <row r="850" ht="15.75" customHeight="1" s="6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</row>
    <row r="851" ht="15.75" customHeight="1" s="6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</row>
    <row r="852" ht="15.75" customHeight="1" s="6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</row>
    <row r="853" ht="15.75" customHeight="1" s="6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</row>
    <row r="854" ht="15.75" customHeight="1" s="6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</row>
    <row r="855" ht="15.75" customHeight="1" s="6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</row>
    <row r="856" ht="15.75" customHeight="1" s="6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</row>
    <row r="857" ht="15.75" customHeight="1" s="6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</row>
    <row r="858" ht="15.75" customHeight="1" s="6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</row>
    <row r="859" ht="15.75" customHeight="1" s="6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</row>
    <row r="860" ht="15.75" customHeight="1" s="6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</row>
    <row r="861" ht="15.75" customHeight="1" s="6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</row>
    <row r="862" ht="15.75" customHeight="1" s="6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</row>
    <row r="863" ht="15.75" customHeight="1" s="6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</row>
    <row r="864" ht="15.75" customHeight="1" s="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</row>
    <row r="865" ht="15.75" customHeight="1" s="6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</row>
    <row r="866" ht="15.75" customHeight="1" s="6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</row>
    <row r="867" ht="15.75" customHeight="1" s="6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</row>
    <row r="868" ht="15.75" customHeight="1" s="6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</row>
    <row r="869" ht="15.75" customHeight="1" s="6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</row>
    <row r="870" ht="15.75" customHeight="1" s="6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</row>
    <row r="871" ht="15.75" customHeight="1" s="6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</row>
    <row r="872" ht="15.75" customHeight="1" s="6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</row>
    <row r="873" ht="15.75" customHeight="1" s="6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</row>
    <row r="874" ht="15.75" customHeight="1" s="6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</row>
    <row r="875" ht="15.75" customHeight="1" s="6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</row>
    <row r="876" ht="15.75" customHeight="1" s="6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</row>
    <row r="877" ht="15.75" customHeight="1" s="6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</row>
    <row r="878" ht="15.75" customHeight="1" s="6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</row>
    <row r="879" ht="15.75" customHeight="1" s="6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</row>
    <row r="880" ht="15.75" customHeight="1" s="6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</row>
    <row r="881" ht="15.75" customHeight="1" s="6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</row>
    <row r="882" ht="15.75" customHeight="1" s="6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</row>
    <row r="883" ht="15.75" customHeight="1" s="6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</row>
    <row r="884" ht="15.75" customHeight="1" s="6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</row>
    <row r="885" ht="15.75" customHeight="1" s="6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</row>
    <row r="886" ht="15.75" customHeight="1" s="6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</row>
    <row r="887" ht="15.75" customHeight="1" s="6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</row>
    <row r="888" ht="15.75" customHeight="1" s="6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</row>
    <row r="889" ht="15.75" customHeight="1" s="6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</row>
    <row r="890" ht="15.75" customHeight="1" s="6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</row>
    <row r="891" ht="15.75" customHeight="1" s="6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</row>
    <row r="892" ht="15.75" customHeight="1" s="6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</row>
    <row r="893" ht="15.75" customHeight="1" s="6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</row>
    <row r="894" ht="15.75" customHeight="1" s="6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</row>
    <row r="895" ht="15.75" customHeight="1" s="6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</row>
    <row r="896" ht="15.75" customHeight="1" s="6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</row>
    <row r="897" ht="15.75" customHeight="1" s="6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</row>
    <row r="898" ht="15.75" customHeight="1" s="6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</row>
    <row r="899" ht="15.75" customHeight="1" s="6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</row>
    <row r="900" ht="15.75" customHeight="1" s="6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</row>
    <row r="901" ht="15.75" customHeight="1" s="6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</row>
    <row r="902" ht="15.75" customHeight="1" s="6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</row>
    <row r="903" ht="15.75" customHeight="1" s="6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</row>
    <row r="904" ht="15.75" customHeight="1" s="6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</row>
    <row r="905" ht="15.75" customHeight="1" s="6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</row>
    <row r="906" ht="15.75" customHeight="1" s="6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</row>
    <row r="907" ht="15.75" customHeight="1" s="6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</row>
    <row r="908" ht="15.75" customHeight="1" s="6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</row>
    <row r="909" ht="15.75" customHeight="1" s="6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</row>
    <row r="910" ht="15.75" customHeight="1" s="6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</row>
    <row r="911" ht="15.75" customHeight="1" s="6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</row>
    <row r="912" ht="15.75" customHeight="1" s="6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</row>
    <row r="913" ht="15.75" customHeight="1" s="6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</row>
    <row r="914" ht="15.75" customHeight="1" s="6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</row>
    <row r="915" ht="15.75" customHeight="1" s="6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</row>
    <row r="916" ht="15.75" customHeight="1" s="6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</row>
    <row r="917" ht="15.75" customHeight="1" s="6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</row>
    <row r="918" ht="15.75" customHeight="1" s="6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</row>
    <row r="919" ht="15.75" customHeight="1" s="6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</row>
    <row r="920" ht="15.75" customHeight="1" s="6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</row>
    <row r="921" ht="15.75" customHeight="1" s="6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</row>
    <row r="922" ht="15.75" customHeight="1" s="6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</row>
    <row r="923" ht="15.75" customHeight="1" s="6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</row>
    <row r="924" ht="15.75" customHeight="1" s="6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</row>
    <row r="925" ht="15.75" customHeight="1" s="6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</row>
    <row r="926" ht="15.75" customHeight="1" s="6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</row>
    <row r="927" ht="15.75" customHeight="1" s="6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</row>
    <row r="928" ht="15.75" customHeight="1" s="6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</row>
    <row r="929" ht="15.75" customHeight="1" s="6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</row>
    <row r="930" ht="15.75" customHeight="1" s="6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</row>
    <row r="931" ht="15.75" customHeight="1" s="6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</row>
    <row r="932" ht="15.75" customHeight="1" s="6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</row>
    <row r="933" ht="15.75" customHeight="1" s="6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</row>
    <row r="934" ht="15.75" customHeight="1" s="6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</row>
    <row r="935" ht="15.75" customHeight="1" s="6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</row>
    <row r="936" ht="15.75" customHeight="1" s="6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</row>
    <row r="937" ht="15.75" customHeight="1" s="6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</row>
    <row r="938" ht="15.75" customHeight="1" s="6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</row>
    <row r="939" ht="15.75" customHeight="1" s="6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</row>
    <row r="940" ht="15.75" customHeight="1" s="6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</row>
    <row r="941" ht="15.75" customHeight="1" s="6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</row>
    <row r="942" ht="15.75" customHeight="1" s="6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</row>
    <row r="943" ht="15.75" customHeight="1" s="6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</row>
    <row r="944" ht="15.75" customHeight="1" s="6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</row>
    <row r="945" ht="15.75" customHeight="1" s="6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</row>
    <row r="946" ht="15.75" customHeight="1" s="6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</row>
    <row r="947" ht="15.75" customHeight="1" s="6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</row>
    <row r="948" ht="15.75" customHeight="1" s="6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</row>
    <row r="949" ht="15.75" customHeight="1" s="6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</row>
    <row r="950" ht="15.75" customHeight="1" s="6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</row>
    <row r="951" ht="15.75" customHeight="1" s="6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</row>
    <row r="952" ht="15.75" customHeight="1" s="6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</row>
    <row r="953" ht="15.75" customHeight="1" s="6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</row>
    <row r="954" ht="15.75" customHeight="1" s="6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</row>
    <row r="955" ht="15.75" customHeight="1" s="6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</row>
    <row r="956" ht="15.75" customHeight="1" s="6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</row>
    <row r="957" ht="15.75" customHeight="1" s="6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</row>
    <row r="958" ht="15.75" customHeight="1" s="6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</row>
    <row r="959" ht="15.75" customHeight="1" s="6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</row>
    <row r="960" ht="15.75" customHeight="1" s="6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</row>
    <row r="961" ht="15.75" customHeight="1" s="6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</row>
    <row r="962" ht="15.75" customHeight="1" s="6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</row>
    <row r="963" ht="15.75" customHeight="1" s="6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</row>
    <row r="964" ht="15.75" customHeight="1" s="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</row>
    <row r="965" ht="15.75" customHeight="1" s="6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</row>
    <row r="966" ht="15.75" customHeight="1" s="6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</row>
    <row r="967" ht="15.75" customHeight="1" s="6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</row>
    <row r="968" ht="15.75" customHeight="1" s="6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</row>
    <row r="969" ht="15.75" customHeight="1" s="6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</row>
    <row r="970" ht="15.75" customHeight="1" s="6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</row>
    <row r="971" ht="15.75" customHeight="1" s="6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</row>
    <row r="972" ht="15.75" customHeight="1" s="6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</row>
    <row r="973" ht="15.75" customHeight="1" s="6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</row>
    <row r="974" ht="15.75" customHeight="1" s="6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</row>
    <row r="975" ht="15.75" customHeight="1" s="6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</row>
    <row r="976" ht="15.75" customHeight="1" s="6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</row>
    <row r="977" ht="15.75" customHeight="1" s="6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</row>
    <row r="978" ht="15.75" customHeight="1" s="6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</row>
    <row r="979" ht="15.75" customHeight="1" s="6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</row>
    <row r="980" ht="15.75" customHeight="1" s="6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</row>
    <row r="981" ht="15.75" customHeight="1" s="6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</row>
    <row r="982" ht="15.75" customHeight="1" s="6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</row>
    <row r="983" ht="15.75" customHeight="1" s="6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</row>
    <row r="984" ht="15.75" customHeight="1" s="6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</row>
    <row r="985" ht="15.75" customHeight="1" s="6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</row>
    <row r="986" ht="15.75" customHeight="1" s="6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</row>
    <row r="987" ht="15.75" customHeight="1" s="6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</row>
    <row r="988" ht="15.75" customHeight="1" s="6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</row>
    <row r="989" ht="15.75" customHeight="1" s="6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</row>
    <row r="990" ht="15.75" customHeight="1" s="6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</row>
    <row r="991" ht="15.75" customHeight="1" s="6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</row>
    <row r="992" ht="15.75" customHeight="1" s="6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</row>
    <row r="993" ht="15.75" customHeight="1" s="6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</row>
    <row r="994" ht="15.75" customHeight="1" s="6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</row>
    <row r="995" ht="15.75" customHeight="1" s="6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</row>
    <row r="996" ht="15.75" customHeight="1" s="6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</row>
    <row r="997" ht="15.75" customHeight="1" s="6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</row>
    <row r="998" ht="15.75" customHeight="1" s="6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</row>
    <row r="999" ht="15.75" customHeight="1" s="6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</row>
    <row r="1000" ht="15.75" customHeight="1" s="6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</row>
  </sheetData>
  <autoFilter ref="A4:M499"/>
  <mergeCells count="1">
    <mergeCell ref="A2:L2"/>
  </mergeCells>
  <conditionalFormatting sqref="B5:B499">
    <cfRule type="expression" priority="3" dxfId="0">
      <formula>#REF!="NO EXISTE en Clientes"</formula>
    </cfRule>
  </conditionalFormatting>
  <conditionalFormatting sqref="L5:L499">
    <cfRule type="expression" priority="1" dxfId="0">
      <formula>AND(#REF!&lt;&gt;"",#REF!&lt;&gt;"OK")</formula>
    </cfRule>
    <cfRule type="expression" priority="2" dxfId="1">
      <formula>#REF!="OK"</formula>
    </cfRule>
  </conditionalFormatting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10" defaultColWidth="14.42578125" defaultRowHeight="15" customHeight="1"/>
  <cols>
    <col width="16" customWidth="1" style="64" min="1" max="1"/>
    <col width="30" customWidth="1" style="64" min="2" max="2"/>
    <col width="20" customWidth="1" style="64" min="3" max="3"/>
    <col width="36" customWidth="1" style="64" min="4" max="4"/>
    <col width="26" customWidth="1" style="64" min="5" max="5"/>
    <col width="16" customWidth="1" style="64" min="6" max="8"/>
    <col width="12" customWidth="1" style="64" min="9" max="11"/>
    <col width="30" customWidth="1" style="64" min="12" max="12"/>
    <col hidden="1" width="60" customWidth="1" style="64" min="13" max="13"/>
    <col width="8.5703125" customWidth="1" style="64" min="14" max="26"/>
  </cols>
  <sheetData>
    <row r="1" ht="18" customHeight="1" s="64">
      <c r="A1" s="65" t="inlineStr">
        <is>
          <t>3) DIRECCIONES ADICIONALES  →  tabla cli_direcciones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66" t="inlineStr">
        <is>
          <t>Opcional. Direcciones ADICIONALES de entrega por cliente (sucursal, planta, domicilio del paciente…). La dirección principal ya se registra desde la hoja Clientes: no repetirla aquí.</t>
        </is>
      </c>
      <c r="M2" s="1" t="n"/>
    </row>
    <row r="3" ht="25.5" customHeight="1" s="64">
      <c r="A3" s="14" t="inlineStr">
        <is>
          <t>id_cliente (por numero_documento)</t>
        </is>
      </c>
      <c r="B3" s="14" t="inlineStr">
        <is>
          <t>(lookup)</t>
        </is>
      </c>
      <c r="C3" s="14" t="inlineStr">
        <is>
          <t>descripcion</t>
        </is>
      </c>
      <c r="D3" s="14" t="inlineStr">
        <is>
          <t>direccion</t>
        </is>
      </c>
      <c r="E3" s="14" t="inlineStr">
        <is>
          <t>referencia</t>
        </is>
      </c>
      <c r="F3" s="14" t="inlineStr">
        <is>
          <t>id_departamento (por nombre)</t>
        </is>
      </c>
      <c r="G3" s="14" t="inlineStr">
        <is>
          <t>id_provincia (por nombre)</t>
        </is>
      </c>
      <c r="H3" s="14" t="inlineStr">
        <is>
          <t>id_distrito (por nombre)</t>
        </is>
      </c>
      <c r="I3" s="14" t="inlineStr">
        <is>
          <t>latitud</t>
        </is>
      </c>
      <c r="J3" s="14" t="inlineStr">
        <is>
          <t>longitud</t>
        </is>
      </c>
      <c r="K3" s="14" t="inlineStr">
        <is>
          <t>es_principal</t>
        </is>
      </c>
      <c r="L3" s="14" t="inlineStr">
        <is>
          <t>(validación)</t>
        </is>
      </c>
      <c r="M3" s="14" t="inlineStr">
        <is>
          <t>(sentencia SQL)</t>
        </is>
      </c>
    </row>
    <row r="4" ht="42" customHeight="1" s="64">
      <c r="A4" s="18" t="inlineStr">
        <is>
          <t>Doc. cliente</t>
        </is>
      </c>
      <c r="B4" s="15" t="inlineStr">
        <is>
          <t>Cliente (auto)</t>
        </is>
      </c>
      <c r="C4" s="16" t="inlineStr">
        <is>
          <t>Descripción</t>
        </is>
      </c>
      <c r="D4" s="18" t="inlineStr">
        <is>
          <t>Dirección</t>
        </is>
      </c>
      <c r="E4" s="19" t="inlineStr">
        <is>
          <t>Referencia</t>
        </is>
      </c>
      <c r="F4" s="16" t="inlineStr">
        <is>
          <t>Departamento</t>
        </is>
      </c>
      <c r="G4" s="16" t="inlineStr">
        <is>
          <t>Provincia</t>
        </is>
      </c>
      <c r="H4" s="16" t="inlineStr">
        <is>
          <t>Distrito</t>
        </is>
      </c>
      <c r="I4" s="19" t="inlineStr">
        <is>
          <t>Latitud</t>
        </is>
      </c>
      <c r="J4" s="19" t="inlineStr">
        <is>
          <t>Longitud</t>
        </is>
      </c>
      <c r="K4" s="19" t="inlineStr">
        <is>
          <t>Es principal</t>
        </is>
      </c>
      <c r="L4" s="15" t="inlineStr">
        <is>
          <t>Chequeo</t>
        </is>
      </c>
      <c r="M4" s="20" t="inlineStr">
        <is>
          <t>SQL</t>
        </is>
      </c>
    </row>
    <row r="5">
      <c r="A5" s="23" t="n"/>
      <c r="B5" s="25">
        <f t="array" ref="B5">IF(A5="","",IFERROR(IF(INDEX(Clientes!$D$5:$D$549,MATCH(A5,Clientes!$C$5:$C$549,0))&lt;&gt;"",INDEX(Clientes!$D$5:$D$549,MATCH(A5,Clientes!$C$5:$C$549,0)),TRIM(INDEX(Clientes!$E$5:$E$549,MATCH(A5,Clientes!$C$5:$C$549,0))&amp;" "&amp;INDEX(Clientes!$F$5:$F$549,MATCH(A5,Clientes!$C$5:$C$549,0)))),"NO EXISTE en Clientes"))</f>
        <v/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>
        <f>IF(AND(A5="",D5=""),"",IF(A5="","FALTA doc. cliente",IF(B5="NO EXISTE en Clientes","CLIENTE no está en hoja Clientes",IF(D5="","FALTA dirección",IF(AND(H5&lt;&gt;"",OR(F5="",G5="")),"Distrito requiere departamento y provincia",IF(AND(G5&lt;&gt;"",F5=""),"Provincia requiere departamento",IF((I5&lt;&gt;"")&lt;&gt;(J5&lt;&gt;""),"Latitud y longitud van juntas","OK")))))))</f>
        <v/>
      </c>
      <c r="M5" s="28">
        <f>IF(L5&lt;&gt;"OK","","INSERT INTO cli_direcciones (id_cliente, descripcion, direccion, referencia, id_departamento, id_provincia, id_distrito, latitud, longitud, es_principal, estado) SELECT "&amp;"(SELECT id FROM cli_clientes WHERE numero_documento = '"&amp;SUBSTITUTE(TRIM(A5),"'","''")&amp;"' AND estado = 1 LIMIT 1)"&amp;", "&amp;IF(TRIM(C5&amp;"")="","NULL","'"&amp;SUBSTITUTE(TRIM(C5),"'","''")&amp;"'")&amp;", "&amp;IF(TRIM(D5&amp;"")="","NULL","'"&amp;SUBSTITUTE(TRIM(D5),"'","''")&amp;"'")&amp;", "&amp;IF(TRIM(E5&amp;"")="","NULL","'"&amp;SUBSTITUTE(TRIM(E5),"'","''")&amp;"'")&amp;", "&amp;IF(TRIM(F5&amp;"")="","NULL","(SELECT id FROM gen_departamento WHERE upper(nombre) = upper('"&amp;SUBSTITUTE(TRIM(F5),"'","''")&amp;"') AND estado = 1 LIMIT 1)")&amp;", "&amp;IF(OR(TRIM(F5&amp;"")="",TRIM(G5&amp;"")=""),"NULL","(SELECT p.id FROM gen_provincia p JOIN gen_departamento dp ON dp.id = p.id_departamento WHERE upper(p.nombre) = upper('"&amp;SUBSTITUTE(TRIM(G5),"'","''")&amp;"') AND upper(dp.nombre) = upper('"&amp;SUBSTITUTE(TRIM(F5),"'","''")&amp;"') AND p.estado = 1 LIMIT 1)")&amp;", "&amp;IF(OR(TRIM(F5&amp;"")="",TRIM(G5&amp;"")="",TRIM(H5&amp;"")=""),"NULL","(SELECT d.id FROM gen_distrito d JOIN gen_provincia p ON p.id = d.id_provincia JOIN gen_departamento dp ON dp.id = p.id_departamento WHERE upper(d.nombre) = upper('"&amp;SUBSTITUTE(TRIM(H5),"'","''")&amp;"') AND upper(p.nombre) = upper('"&amp;SUBSTITUTE(TRIM(G5),"'","''")&amp;"') AND upper(dp.nombre) = upper('"&amp;SUBSTITUTE(TRIM(F5),"'","''")&amp;"') AND d.estado = 1 LIMIT 1)")&amp;", "&amp;IF(I5&amp;""="","NULL",SUBSTITUTE(I5&amp;"",",","."))&amp;", "&amp;IF(J5&amp;""="","NULL",SUBSTITUTE(J5&amp;"",",","."))&amp;", "&amp;IF(UPPER(TRIM(K5&amp;""))="SI","TRUE","FALSE")&amp;", 1"&amp;" WHERE NOT EXISTS (SELECT 1 FROM cli_direcciones x WHERE x.id_cliente = "&amp;"(SELECT id FROM cli_clientes WHERE numero_documento = '"&amp;SUBSTITUTE(TRIM(A5),"'","''")&amp;"' AND estado = 1 LIMIT 1)"&amp;" AND upper(x.direccion) = upper("&amp;IF(TRIM(D5&amp;"")="","NULL","'"&amp;SUBSTITUTE(TRIM(D5),"'","''")&amp;"'")&amp;"));")</f>
        <v/>
      </c>
    </row>
    <row r="6">
      <c r="A6" s="23" t="n"/>
      <c r="B6" s="25">
        <f t="array" ref="B6">IF(A6="","",IFERROR(IF(INDEX(Clientes!$D$5:$D$549,MATCH(A6,Clientes!$C$5:$C$549,0))&lt;&gt;"",INDEX(Clientes!$D$5:$D$549,MATCH(A6,Clientes!$C$5:$C$549,0)),TRIM(INDEX(Clientes!$E$5:$E$549,MATCH(A6,Clientes!$C$5:$C$549,0))&amp;" "&amp;INDEX(Clientes!$F$5:$F$549,MATCH(A6,Clientes!$C$5:$C$549,0)))),"NO EXISTE en Clientes"))</f>
        <v/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>
        <f>IF(AND(A6="",D6=""),"",IF(A6="","FALTA doc. cliente",IF(B6="NO EXISTE en Clientes","CLIENTE no está en hoja Clientes",IF(D6="","FALTA dirección",IF(AND(H6&lt;&gt;"",OR(F6="",G6="")),"Distrito requiere departamento y provincia",IF(AND(G6&lt;&gt;"",F6=""),"Provincia requiere departamento",IF((I6&lt;&gt;"")&lt;&gt;(J6&lt;&gt;""),"Latitud y longitud van juntas","OK")))))))</f>
        <v/>
      </c>
      <c r="M6" s="28">
        <f>IF(L6&lt;&gt;"OK","","INSERT INTO cli_direcciones (id_cliente, descripcion, direccion, referencia, id_departamento, id_provincia, id_distrito, latitud, longitud, es_principal, estado) SELECT "&amp;"(SELECT id FROM cli_clientes WHERE numero_documento = '"&amp;SUBSTITUTE(TRIM(A6),"'","''")&amp;"' AND estado = 1 LIMIT 1)"&amp;", "&amp;IF(TRIM(C6&amp;"")="","NULL","'"&amp;SUBSTITUTE(TRIM(C6),"'","''")&amp;"'")&amp;", "&amp;IF(TRIM(D6&amp;"")="","NULL","'"&amp;SUBSTITUTE(TRIM(D6),"'","''")&amp;"'")&amp;", "&amp;IF(TRIM(E6&amp;"")="","NULL","'"&amp;SUBSTITUTE(TRIM(E6),"'","''")&amp;"'")&amp;", "&amp;IF(TRIM(F6&amp;"")="","NULL","(SELECT id FROM gen_departamento WHERE upper(nombre) = upper('"&amp;SUBSTITUTE(TRIM(F6),"'","''")&amp;"') AND estado = 1 LIMIT 1)")&amp;", "&amp;IF(OR(TRIM(F6&amp;"")="",TRIM(G6&amp;"")=""),"NULL","(SELECT p.id FROM gen_provincia p JOIN gen_departamento dp ON dp.id = p.id_departamento WHERE upper(p.nombre) = upper('"&amp;SUBSTITUTE(TRIM(G6),"'","''")&amp;"') AND upper(dp.nombre) = upper('"&amp;SUBSTITUTE(TRIM(F6),"'","''")&amp;"') AND p.estado = 1 LIMIT 1)")&amp;", "&amp;IF(OR(TRIM(F6&amp;"")="",TRIM(G6&amp;"")="",TRIM(H6&amp;"")=""),"NULL","(SELECT d.id FROM gen_distrito d JOIN gen_provincia p ON p.id = d.id_provincia JOIN gen_departamento dp ON dp.id = p.id_departamento WHERE upper(d.nombre) = upper('"&amp;SUBSTITUTE(TRIM(H6),"'","''")&amp;"') AND upper(p.nombre) = upper('"&amp;SUBSTITUTE(TRIM(G6),"'","''")&amp;"') AND upper(dp.nombre) = upper('"&amp;SUBSTITUTE(TRIM(F6),"'","''")&amp;"') AND d.estado = 1 LIMIT 1)")&amp;", "&amp;IF(I6&amp;""="","NULL",SUBSTITUTE(I6&amp;"",",","."))&amp;", "&amp;IF(J6&amp;""="","NULL",SUBSTITUTE(J6&amp;"",",","."))&amp;", "&amp;IF(UPPER(TRIM(K6&amp;""))="SI","TRUE","FALSE")&amp;", 1"&amp;" WHERE NOT EXISTS (SELECT 1 FROM cli_direcciones x WHERE x.id_cliente = "&amp;"(SELECT id FROM cli_clientes WHERE numero_documento = '"&amp;SUBSTITUTE(TRIM(A6),"'","''")&amp;"' AND estado = 1 LIMIT 1)"&amp;" AND upper(x.direccion) = upper("&amp;IF(TRIM(D6&amp;"")="","NULL","'"&amp;SUBSTITUTE(TRIM(D6),"'","''")&amp;"'")&amp;"));")</f>
        <v/>
      </c>
    </row>
    <row r="7">
      <c r="A7" s="23" t="n"/>
      <c r="B7" s="25">
        <f t="array" ref="B7">IF(A7="","",IFERROR(IF(INDEX(Clientes!$D$5:$D$549,MATCH(A7,Clientes!$C$5:$C$549,0))&lt;&gt;"",INDEX(Clientes!$D$5:$D$549,MATCH(A7,Clientes!$C$5:$C$549,0)),TRIM(INDEX(Clientes!$E$5:$E$549,MATCH(A7,Clientes!$C$5:$C$549,0))&amp;" "&amp;INDEX(Clientes!$F$5:$F$549,MATCH(A7,Clientes!$C$5:$C$549,0)))),"NO EXISTE en Clientes"))</f>
        <v/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>
        <f>IF(AND(A7="",D7=""),"",IF(A7="","FALTA doc. cliente",IF(B7="NO EXISTE en Clientes","CLIENTE no está en hoja Clientes",IF(D7="","FALTA dirección",IF(AND(H7&lt;&gt;"",OR(F7="",G7="")),"Distrito requiere departamento y provincia",IF(AND(G7&lt;&gt;"",F7=""),"Provincia requiere departamento",IF((I7&lt;&gt;"")&lt;&gt;(J7&lt;&gt;""),"Latitud y longitud van juntas","OK")))))))</f>
        <v/>
      </c>
      <c r="M7" s="28">
        <f>IF(L7&lt;&gt;"OK","","INSERT INTO cli_direcciones (id_cliente, descripcion, direccion, referencia, id_departamento, id_provincia, id_distrito, latitud, longitud, es_principal, estado) SELECT "&amp;"(SELECT id FROM cli_clientes WHERE numero_documento = '"&amp;SUBSTITUTE(TRIM(A7),"'","''")&amp;"' AND estado = 1 LIMIT 1)"&amp;", "&amp;IF(TRIM(C7&amp;"")="","NULL","'"&amp;SUBSTITUTE(TRIM(C7),"'","''")&amp;"'")&amp;", "&amp;IF(TRIM(D7&amp;"")="","NULL","'"&amp;SUBSTITUTE(TRIM(D7),"'","''")&amp;"'")&amp;", "&amp;IF(TRIM(E7&amp;"")="","NULL","'"&amp;SUBSTITUTE(TRIM(E7),"'","''")&amp;"'")&amp;", "&amp;IF(TRIM(F7&amp;"")="","NULL","(SELECT id FROM gen_departamento WHERE upper(nombre) = upper('"&amp;SUBSTITUTE(TRIM(F7),"'","''")&amp;"') AND estado = 1 LIMIT 1)")&amp;", "&amp;IF(OR(TRIM(F7&amp;"")="",TRIM(G7&amp;"")=""),"NULL","(SELECT p.id FROM gen_provincia p JOIN gen_departamento dp ON dp.id = p.id_departamento WHERE upper(p.nombre) = upper('"&amp;SUBSTITUTE(TRIM(G7),"'","''")&amp;"') AND upper(dp.nombre) = upper('"&amp;SUBSTITUTE(TRIM(F7),"'","''")&amp;"') AND p.estado = 1 LIMIT 1)")&amp;", "&amp;IF(OR(TRIM(F7&amp;"")="",TRIM(G7&amp;"")="",TRIM(H7&amp;"")=""),"NULL","(SELECT d.id FROM gen_distrito d JOIN gen_provincia p ON p.id = d.id_provincia JOIN gen_departamento dp ON dp.id = p.id_departamento WHERE upper(d.nombre) = upper('"&amp;SUBSTITUTE(TRIM(H7),"'","''")&amp;"') AND upper(p.nombre) = upper('"&amp;SUBSTITUTE(TRIM(G7),"'","''")&amp;"') AND upper(dp.nombre) = upper('"&amp;SUBSTITUTE(TRIM(F7),"'","''")&amp;"') AND d.estado = 1 LIMIT 1)")&amp;", "&amp;IF(I7&amp;""="","NULL",SUBSTITUTE(I7&amp;"",",","."))&amp;", "&amp;IF(J7&amp;""="","NULL",SUBSTITUTE(J7&amp;"",",","."))&amp;", "&amp;IF(UPPER(TRIM(K7&amp;""))="SI","TRUE","FALSE")&amp;", 1"&amp;" WHERE NOT EXISTS (SELECT 1 FROM cli_direcciones x WHERE x.id_cliente = "&amp;"(SELECT id FROM cli_clientes WHERE numero_documento = '"&amp;SUBSTITUTE(TRIM(A7),"'","''")&amp;"' AND estado = 1 LIMIT 1)"&amp;" AND upper(x.direccion) = upper("&amp;IF(TRIM(D7&amp;"")="","NULL","'"&amp;SUBSTITUTE(TRIM(D7),"'","''")&amp;"'")&amp;"));")</f>
        <v/>
      </c>
    </row>
    <row r="8">
      <c r="A8" s="23" t="n"/>
      <c r="B8" s="25">
        <f t="array" ref="B8">IF(A8="","",IFERROR(IF(INDEX(Clientes!$D$5:$D$549,MATCH(A8,Clientes!$C$5:$C$549,0))&lt;&gt;"",INDEX(Clientes!$D$5:$D$549,MATCH(A8,Clientes!$C$5:$C$549,0)),TRIM(INDEX(Clientes!$E$5:$E$549,MATCH(A8,Clientes!$C$5:$C$549,0))&amp;" "&amp;INDEX(Clientes!$F$5:$F$549,MATCH(A8,Clientes!$C$5:$C$549,0)))),"NO EXISTE en Clientes"))</f>
        <v/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>
        <f>IF(AND(A8="",D8=""),"",IF(A8="","FALTA doc. cliente",IF(B8="NO EXISTE en Clientes","CLIENTE no está en hoja Clientes",IF(D8="","FALTA dirección",IF(AND(H8&lt;&gt;"",OR(F8="",G8="")),"Distrito requiere departamento y provincia",IF(AND(G8&lt;&gt;"",F8=""),"Provincia requiere departamento",IF((I8&lt;&gt;"")&lt;&gt;(J8&lt;&gt;""),"Latitud y longitud van juntas","OK")))))))</f>
        <v/>
      </c>
      <c r="M8" s="28">
        <f>IF(L8&lt;&gt;"OK","","INSERT INTO cli_direcciones (id_cliente, descripcion, direccion, referencia, id_departamento, id_provincia, id_distrito, latitud, longitud, es_principal, estado) SELECT "&amp;"(SELECT id FROM cli_clientes WHERE numero_documento = '"&amp;SUBSTITUTE(TRIM(A8),"'","''")&amp;"' AND estado = 1 LIMIT 1)"&amp;", "&amp;IF(TRIM(C8&amp;"")="","NULL","'"&amp;SUBSTITUTE(TRIM(C8),"'","''")&amp;"'")&amp;", "&amp;IF(TRIM(D8&amp;"")="","NULL","'"&amp;SUBSTITUTE(TRIM(D8),"'","''")&amp;"'")&amp;", "&amp;IF(TRIM(E8&amp;"")="","NULL","'"&amp;SUBSTITUTE(TRIM(E8),"'","''")&amp;"'")&amp;", "&amp;IF(TRIM(F8&amp;"")="","NULL","(SELECT id FROM gen_departamento WHERE upper(nombre) = upper('"&amp;SUBSTITUTE(TRIM(F8),"'","''")&amp;"') AND estado = 1 LIMIT 1)")&amp;", "&amp;IF(OR(TRIM(F8&amp;"")="",TRIM(G8&amp;"")=""),"NULL","(SELECT p.id FROM gen_provincia p JOIN gen_departamento dp ON dp.id = p.id_departamento WHERE upper(p.nombre) = upper('"&amp;SUBSTITUTE(TRIM(G8),"'","''")&amp;"') AND upper(dp.nombre) = upper('"&amp;SUBSTITUTE(TRIM(F8),"'","''")&amp;"') AND p.estado = 1 LIMIT 1)")&amp;", "&amp;IF(OR(TRIM(F8&amp;"")="",TRIM(G8&amp;"")="",TRIM(H8&amp;"")=""),"NULL","(SELECT d.id FROM gen_distrito d JOIN gen_provincia p ON p.id = d.id_provincia JOIN gen_departamento dp ON dp.id = p.id_departamento WHERE upper(d.nombre) = upper('"&amp;SUBSTITUTE(TRIM(H8),"'","''")&amp;"') AND upper(p.nombre) = upper('"&amp;SUBSTITUTE(TRIM(G8),"'","''")&amp;"') AND upper(dp.nombre) = upper('"&amp;SUBSTITUTE(TRIM(F8),"'","''")&amp;"') AND d.estado = 1 LIMIT 1)")&amp;", "&amp;IF(I8&amp;""="","NULL",SUBSTITUTE(I8&amp;"",",","."))&amp;", "&amp;IF(J8&amp;""="","NULL",SUBSTITUTE(J8&amp;"",",","."))&amp;", "&amp;IF(UPPER(TRIM(K8&amp;""))="SI","TRUE","FALSE")&amp;", 1"&amp;" WHERE NOT EXISTS (SELECT 1 FROM cli_direcciones x WHERE x.id_cliente = "&amp;"(SELECT id FROM cli_clientes WHERE numero_documento = '"&amp;SUBSTITUTE(TRIM(A8),"'","''")&amp;"' AND estado = 1 LIMIT 1)"&amp;" AND upper(x.direccion) = upper("&amp;IF(TRIM(D8&amp;"")="","NULL","'"&amp;SUBSTITUTE(TRIM(D8),"'","''")&amp;"'")&amp;"));")</f>
        <v/>
      </c>
    </row>
    <row r="9">
      <c r="A9" s="23" t="n"/>
      <c r="B9" s="25">
        <f t="array" ref="B9">IF(A9="","",IFERROR(IF(INDEX(Clientes!$D$5:$D$549,MATCH(A9,Clientes!$C$5:$C$549,0))&lt;&gt;"",INDEX(Clientes!$D$5:$D$549,MATCH(A9,Clientes!$C$5:$C$549,0)),TRIM(INDEX(Clientes!$E$5:$E$549,MATCH(A9,Clientes!$C$5:$C$549,0))&amp;" "&amp;INDEX(Clientes!$F$5:$F$549,MATCH(A9,Clientes!$C$5:$C$549,0)))),"NO EXISTE en Clientes"))</f>
        <v/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>
        <f>IF(AND(A9="",D9=""),"",IF(A9="","FALTA doc. cliente",IF(B9="NO EXISTE en Clientes","CLIENTE no está en hoja Clientes",IF(D9="","FALTA dirección",IF(AND(H9&lt;&gt;"",OR(F9="",G9="")),"Distrito requiere departamento y provincia",IF(AND(G9&lt;&gt;"",F9=""),"Provincia requiere departamento",IF((I9&lt;&gt;"")&lt;&gt;(J9&lt;&gt;""),"Latitud y longitud van juntas","OK")))))))</f>
        <v/>
      </c>
      <c r="M9" s="28">
        <f>IF(L9&lt;&gt;"OK","","INSERT INTO cli_direcciones (id_cliente, descripcion, direccion, referencia, id_departamento, id_provincia, id_distrito, latitud, longitud, es_principal, estado) SELECT "&amp;"(SELECT id FROM cli_clientes WHERE numero_documento = '"&amp;SUBSTITUTE(TRIM(A9),"'","''")&amp;"' AND estado = 1 LIMIT 1)"&amp;", "&amp;IF(TRIM(C9&amp;"")="","NULL","'"&amp;SUBSTITUTE(TRIM(C9),"'","''")&amp;"'")&amp;", "&amp;IF(TRIM(D9&amp;"")="","NULL","'"&amp;SUBSTITUTE(TRIM(D9),"'","''")&amp;"'")&amp;", "&amp;IF(TRIM(E9&amp;"")="","NULL","'"&amp;SUBSTITUTE(TRIM(E9),"'","''")&amp;"'")&amp;", "&amp;IF(TRIM(F9&amp;"")="","NULL","(SELECT id FROM gen_departamento WHERE upper(nombre) = upper('"&amp;SUBSTITUTE(TRIM(F9),"'","''")&amp;"') AND estado = 1 LIMIT 1)")&amp;", "&amp;IF(OR(TRIM(F9&amp;"")="",TRIM(G9&amp;"")=""),"NULL","(SELECT p.id FROM gen_provincia p JOIN gen_departamento dp ON dp.id = p.id_departamento WHERE upper(p.nombre) = upper('"&amp;SUBSTITUTE(TRIM(G9),"'","''")&amp;"') AND upper(dp.nombre) = upper('"&amp;SUBSTITUTE(TRIM(F9),"'","''")&amp;"') AND p.estado = 1 LIMIT 1)")&amp;", "&amp;IF(OR(TRIM(F9&amp;"")="",TRIM(G9&amp;"")="",TRIM(H9&amp;"")=""),"NULL","(SELECT d.id FROM gen_distrito d JOIN gen_provincia p ON p.id = d.id_provincia JOIN gen_departamento dp ON dp.id = p.id_departamento WHERE upper(d.nombre) = upper('"&amp;SUBSTITUTE(TRIM(H9),"'","''")&amp;"') AND upper(p.nombre) = upper('"&amp;SUBSTITUTE(TRIM(G9),"'","''")&amp;"') AND upper(dp.nombre) = upper('"&amp;SUBSTITUTE(TRIM(F9),"'","''")&amp;"') AND d.estado = 1 LIMIT 1)")&amp;", "&amp;IF(I9&amp;""="","NULL",SUBSTITUTE(I9&amp;"",",","."))&amp;", "&amp;IF(J9&amp;""="","NULL",SUBSTITUTE(J9&amp;"",",","."))&amp;", "&amp;IF(UPPER(TRIM(K9&amp;""))="SI","TRUE","FALSE")&amp;", 1"&amp;" WHERE NOT EXISTS (SELECT 1 FROM cli_direcciones x WHERE x.id_cliente = "&amp;"(SELECT id FROM cli_clientes WHERE numero_documento = '"&amp;SUBSTITUTE(TRIM(A9),"'","''")&amp;"' AND estado = 1 LIMIT 1)"&amp;" AND upper(x.direccion) = upper("&amp;IF(TRIM(D9&amp;"")="","NULL","'"&amp;SUBSTITUTE(TRIM(D9),"'","''")&amp;"'")&amp;"));")</f>
        <v/>
      </c>
    </row>
    <row r="10">
      <c r="A10" s="23" t="n"/>
      <c r="B10" s="25">
        <f t="array" ref="B10">IF(A10="","",IFERROR(IF(INDEX(Clientes!$D$5:$D$549,MATCH(A10,Clientes!$C$5:$C$549,0))&lt;&gt;"",INDEX(Clientes!$D$5:$D$549,MATCH(A10,Clientes!$C$5:$C$549,0)),TRIM(INDEX(Clientes!$E$5:$E$549,MATCH(A10,Clientes!$C$5:$C$549,0))&amp;" "&amp;INDEX(Clientes!$F$5:$F$549,MATCH(A10,Clientes!$C$5:$C$549,0)))),"NO EXISTE en Clientes"))</f>
        <v/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>
        <f>IF(AND(A10="",D10=""),"",IF(A10="","FALTA doc. cliente",IF(B10="NO EXISTE en Clientes","CLIENTE no está en hoja Clientes",IF(D10="","FALTA dirección",IF(AND(H10&lt;&gt;"",OR(F10="",G10="")),"Distrito requiere departamento y provincia",IF(AND(G10&lt;&gt;"",F10=""),"Provincia requiere departamento",IF((I10&lt;&gt;"")&lt;&gt;(J10&lt;&gt;""),"Latitud y longitud van juntas","OK")))))))</f>
        <v/>
      </c>
      <c r="M10" s="28">
        <f>IF(L10&lt;&gt;"OK","","INSERT INTO cli_direcciones (id_cliente, descripcion, direccion, referencia, id_departamento, id_provincia, id_distrito, latitud, longitud, es_principal, estado) SELECT "&amp;"(SELECT id FROM cli_clientes WHERE numero_documento = '"&amp;SUBSTITUTE(TRIM(A10),"'","''")&amp;"' AND estado = 1 LIMIT 1)"&amp;", "&amp;IF(TRIM(C10&amp;"")="","NULL","'"&amp;SUBSTITUTE(TRIM(C10),"'","''")&amp;"'")&amp;", "&amp;IF(TRIM(D10&amp;"")="","NULL","'"&amp;SUBSTITUTE(TRIM(D10),"'","''")&amp;"'")&amp;", "&amp;IF(TRIM(E10&amp;"")="","NULL","'"&amp;SUBSTITUTE(TRIM(E10),"'","''")&amp;"'")&amp;", "&amp;IF(TRIM(F10&amp;"")="","NULL","(SELECT id FROM gen_departamento WHERE upper(nombre) = upper('"&amp;SUBSTITUTE(TRIM(F10),"'","''")&amp;"') AND estado = 1 LIMIT 1)")&amp;", "&amp;IF(OR(TRIM(F10&amp;"")="",TRIM(G10&amp;"")=""),"NULL","(SELECT p.id FROM gen_provincia p JOIN gen_departamento dp ON dp.id = p.id_departamento WHERE upper(p.nombre) = upper('"&amp;SUBSTITUTE(TRIM(G10),"'","''")&amp;"') AND upper(dp.nombre) = upper('"&amp;SUBSTITUTE(TRIM(F10),"'","''")&amp;"') AND p.estado = 1 LIMIT 1)")&amp;", "&amp;IF(OR(TRIM(F10&amp;"")="",TRIM(G10&amp;"")="",TRIM(H10&amp;"")=""),"NULL","(SELECT d.id FROM gen_distrito d JOIN gen_provincia p ON p.id = d.id_provincia JOIN gen_departamento dp ON dp.id = p.id_departamento WHERE upper(d.nombre) = upper('"&amp;SUBSTITUTE(TRIM(H10),"'","''")&amp;"') AND upper(p.nombre) = upper('"&amp;SUBSTITUTE(TRIM(G10),"'","''")&amp;"') AND upper(dp.nombre) = upper('"&amp;SUBSTITUTE(TRIM(F10),"'","''")&amp;"') AND d.estado = 1 LIMIT 1)")&amp;", "&amp;IF(I10&amp;""="","NULL",SUBSTITUTE(I10&amp;"",",","."))&amp;", "&amp;IF(J10&amp;""="","NULL",SUBSTITUTE(J10&amp;"",",","."))&amp;", "&amp;IF(UPPER(TRIM(K10&amp;""))="SI","TRUE","FALSE")&amp;", 1"&amp;" WHERE NOT EXISTS (SELECT 1 FROM cli_direcciones x WHERE x.id_cliente = "&amp;"(SELECT id FROM cli_clientes WHERE numero_documento = '"&amp;SUBSTITUTE(TRIM(A10),"'","''")&amp;"' AND estado = 1 LIMIT 1)"&amp;" AND upper(x.direccion) = upper("&amp;IF(TRIM(D10&amp;"")="","NULL","'"&amp;SUBSTITUTE(TRIM(D10),"'","''")&amp;"'")&amp;"));")</f>
        <v/>
      </c>
    </row>
    <row r="11">
      <c r="A11" s="23" t="n"/>
      <c r="B11" s="25">
        <f t="array" ref="B11">IF(A11="","",IFERROR(IF(INDEX(Clientes!$D$5:$D$549,MATCH(A11,Clientes!$C$5:$C$549,0))&lt;&gt;"",INDEX(Clientes!$D$5:$D$549,MATCH(A11,Clientes!$C$5:$C$549,0)),TRIM(INDEX(Clientes!$E$5:$E$549,MATCH(A11,Clientes!$C$5:$C$549,0))&amp;" "&amp;INDEX(Clientes!$F$5:$F$549,MATCH(A11,Clientes!$C$5:$C$549,0)))),"NO EXISTE en Clientes"))</f>
        <v/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>
        <f>IF(AND(A11="",D11=""),"",IF(A11="","FALTA doc. cliente",IF(B11="NO EXISTE en Clientes","CLIENTE no está en hoja Clientes",IF(D11="","FALTA dirección",IF(AND(H11&lt;&gt;"",OR(F11="",G11="")),"Distrito requiere departamento y provincia",IF(AND(G11&lt;&gt;"",F11=""),"Provincia requiere departamento",IF((I11&lt;&gt;"")&lt;&gt;(J11&lt;&gt;""),"Latitud y longitud van juntas","OK")))))))</f>
        <v/>
      </c>
      <c r="M11" s="28">
        <f>IF(L11&lt;&gt;"OK","","INSERT INTO cli_direcciones (id_cliente, descripcion, direccion, referencia, id_departamento, id_provincia, id_distrito, latitud, longitud, es_principal, estado) SELECT "&amp;"(SELECT id FROM cli_clientes WHERE numero_documento = '"&amp;SUBSTITUTE(TRIM(A11),"'","''")&amp;"' AND estado = 1 LIMIT 1)"&amp;", "&amp;IF(TRIM(C11&amp;"")="","NULL","'"&amp;SUBSTITUTE(TRIM(C11),"'","''")&amp;"'")&amp;", "&amp;IF(TRIM(D11&amp;"")="","NULL","'"&amp;SUBSTITUTE(TRIM(D11),"'","''")&amp;"'")&amp;", "&amp;IF(TRIM(E11&amp;"")="","NULL","'"&amp;SUBSTITUTE(TRIM(E11),"'","''")&amp;"'")&amp;", "&amp;IF(TRIM(F11&amp;"")="","NULL","(SELECT id FROM gen_departamento WHERE upper(nombre) = upper('"&amp;SUBSTITUTE(TRIM(F11),"'","''")&amp;"') AND estado = 1 LIMIT 1)")&amp;", "&amp;IF(OR(TRIM(F11&amp;"")="",TRIM(G11&amp;"")=""),"NULL","(SELECT p.id FROM gen_provincia p JOIN gen_departamento dp ON dp.id = p.id_departamento WHERE upper(p.nombre) = upper('"&amp;SUBSTITUTE(TRIM(G11),"'","''")&amp;"') AND upper(dp.nombre) = upper('"&amp;SUBSTITUTE(TRIM(F11),"'","''")&amp;"') AND p.estado = 1 LIMIT 1)")&amp;", "&amp;IF(OR(TRIM(F11&amp;"")="",TRIM(G11&amp;"")="",TRIM(H11&amp;"")=""),"NULL","(SELECT d.id FROM gen_distrito d JOIN gen_provincia p ON p.id = d.id_provincia JOIN gen_departamento dp ON dp.id = p.id_departamento WHERE upper(d.nombre) = upper('"&amp;SUBSTITUTE(TRIM(H11),"'","''")&amp;"') AND upper(p.nombre) = upper('"&amp;SUBSTITUTE(TRIM(G11),"'","''")&amp;"') AND upper(dp.nombre) = upper('"&amp;SUBSTITUTE(TRIM(F11),"'","''")&amp;"') AND d.estado = 1 LIMIT 1)")&amp;", "&amp;IF(I11&amp;""="","NULL",SUBSTITUTE(I11&amp;"",",","."))&amp;", "&amp;IF(J11&amp;""="","NULL",SUBSTITUTE(J11&amp;"",",","."))&amp;", "&amp;IF(UPPER(TRIM(K11&amp;""))="SI","TRUE","FALSE")&amp;", 1"&amp;" WHERE NOT EXISTS (SELECT 1 FROM cli_direcciones x WHERE x.id_cliente = "&amp;"(SELECT id FROM cli_clientes WHERE numero_documento = '"&amp;SUBSTITUTE(TRIM(A11),"'","''")&amp;"' AND estado = 1 LIMIT 1)"&amp;" AND upper(x.direccion) = upper("&amp;IF(TRIM(D11&amp;"")="","NULL","'"&amp;SUBSTITUTE(TRIM(D11),"'","''")&amp;"'")&amp;"));")</f>
        <v/>
      </c>
    </row>
    <row r="12">
      <c r="A12" s="23" t="n"/>
      <c r="B12" s="25">
        <f t="array" ref="B12">IF(A12="","",IFERROR(IF(INDEX(Clientes!$D$5:$D$549,MATCH(A12,Clientes!$C$5:$C$549,0))&lt;&gt;"",INDEX(Clientes!$D$5:$D$549,MATCH(A12,Clientes!$C$5:$C$549,0)),TRIM(INDEX(Clientes!$E$5:$E$549,MATCH(A12,Clientes!$C$5:$C$549,0))&amp;" "&amp;INDEX(Clientes!$F$5:$F$549,MATCH(A12,Clientes!$C$5:$C$549,0)))),"NO EXISTE en Clientes"))</f>
        <v/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>
        <f>IF(AND(A12="",D12=""),"",IF(A12="","FALTA doc. cliente",IF(B12="NO EXISTE en Clientes","CLIENTE no está en hoja Clientes",IF(D12="","FALTA dirección",IF(AND(H12&lt;&gt;"",OR(F12="",G12="")),"Distrito requiere departamento y provincia",IF(AND(G12&lt;&gt;"",F12=""),"Provincia requiere departamento",IF((I12&lt;&gt;"")&lt;&gt;(J12&lt;&gt;""),"Latitud y longitud van juntas","OK")))))))</f>
        <v/>
      </c>
      <c r="M12" s="28">
        <f>IF(L12&lt;&gt;"OK","","INSERT INTO cli_direcciones (id_cliente, descripcion, direccion, referencia, id_departamento, id_provincia, id_distrito, latitud, longitud, es_principal, estado) SELECT "&amp;"(SELECT id FROM cli_clientes WHERE numero_documento = '"&amp;SUBSTITUTE(TRIM(A12),"'","''")&amp;"' AND estado = 1 LIMIT 1)"&amp;", "&amp;IF(TRIM(C12&amp;"")="","NULL","'"&amp;SUBSTITUTE(TRIM(C12),"'","''")&amp;"'")&amp;", "&amp;IF(TRIM(D12&amp;"")="","NULL","'"&amp;SUBSTITUTE(TRIM(D12),"'","''")&amp;"'")&amp;", "&amp;IF(TRIM(E12&amp;"")="","NULL","'"&amp;SUBSTITUTE(TRIM(E12),"'","''")&amp;"'")&amp;", "&amp;IF(TRIM(F12&amp;"")="","NULL","(SELECT id FROM gen_departamento WHERE upper(nombre) = upper('"&amp;SUBSTITUTE(TRIM(F12),"'","''")&amp;"') AND estado = 1 LIMIT 1)")&amp;", "&amp;IF(OR(TRIM(F12&amp;"")="",TRIM(G12&amp;"")=""),"NULL","(SELECT p.id FROM gen_provincia p JOIN gen_departamento dp ON dp.id = p.id_departamento WHERE upper(p.nombre) = upper('"&amp;SUBSTITUTE(TRIM(G12),"'","''")&amp;"') AND upper(dp.nombre) = upper('"&amp;SUBSTITUTE(TRIM(F12),"'","''")&amp;"') AND p.estado = 1 LIMIT 1)")&amp;", "&amp;IF(OR(TRIM(F12&amp;"")="",TRIM(G12&amp;"")="",TRIM(H12&amp;"")=""),"NULL","(SELECT d.id FROM gen_distrito d JOIN gen_provincia p ON p.id = d.id_provincia JOIN gen_departamento dp ON dp.id = p.id_departamento WHERE upper(d.nombre) = upper('"&amp;SUBSTITUTE(TRIM(H12),"'","''")&amp;"') AND upper(p.nombre) = upper('"&amp;SUBSTITUTE(TRIM(G12),"'","''")&amp;"') AND upper(dp.nombre) = upper('"&amp;SUBSTITUTE(TRIM(F12),"'","''")&amp;"') AND d.estado = 1 LIMIT 1)")&amp;", "&amp;IF(I12&amp;""="","NULL",SUBSTITUTE(I12&amp;"",",","."))&amp;", "&amp;IF(J12&amp;""="","NULL",SUBSTITUTE(J12&amp;"",",","."))&amp;", "&amp;IF(UPPER(TRIM(K12&amp;""))="SI","TRUE","FALSE")&amp;", 1"&amp;" WHERE NOT EXISTS (SELECT 1 FROM cli_direcciones x WHERE x.id_cliente = "&amp;"(SELECT id FROM cli_clientes WHERE numero_documento = '"&amp;SUBSTITUTE(TRIM(A12),"'","''")&amp;"' AND estado = 1 LIMIT 1)"&amp;" AND upper(x.direccion) = upper("&amp;IF(TRIM(D12&amp;"")="","NULL","'"&amp;SUBSTITUTE(TRIM(D12),"'","''")&amp;"'")&amp;"));")</f>
        <v/>
      </c>
    </row>
    <row r="13">
      <c r="A13" s="23" t="n"/>
      <c r="B13" s="25">
        <f t="array" ref="B13">IF(A13="","",IFERROR(IF(INDEX(Clientes!$D$5:$D$549,MATCH(A13,Clientes!$C$5:$C$549,0))&lt;&gt;"",INDEX(Clientes!$D$5:$D$549,MATCH(A13,Clientes!$C$5:$C$549,0)),TRIM(INDEX(Clientes!$E$5:$E$549,MATCH(A13,Clientes!$C$5:$C$549,0))&amp;" "&amp;INDEX(Clientes!$F$5:$F$549,MATCH(A13,Clientes!$C$5:$C$549,0)))),"NO EXISTE en Clientes"))</f>
        <v/>
      </c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>
        <f>IF(AND(A13="",D13=""),"",IF(A13="","FALTA doc. cliente",IF(B13="NO EXISTE en Clientes","CLIENTE no está en hoja Clientes",IF(D13="","FALTA dirección",IF(AND(H13&lt;&gt;"",OR(F13="",G13="")),"Distrito requiere departamento y provincia",IF(AND(G13&lt;&gt;"",F13=""),"Provincia requiere departamento",IF((I13&lt;&gt;"")&lt;&gt;(J13&lt;&gt;""),"Latitud y longitud van juntas","OK")))))))</f>
        <v/>
      </c>
      <c r="M13" s="28">
        <f>IF(L13&lt;&gt;"OK","","INSERT INTO cli_direcciones (id_cliente, descripcion, direccion, referencia, id_departamento, id_provincia, id_distrito, latitud, longitud, es_principal, estado) SELECT "&amp;"(SELECT id FROM cli_clientes WHERE numero_documento = '"&amp;SUBSTITUTE(TRIM(A13),"'","''")&amp;"' AND estado = 1 LIMIT 1)"&amp;", "&amp;IF(TRIM(C13&amp;"")="","NULL","'"&amp;SUBSTITUTE(TRIM(C13),"'","''")&amp;"'")&amp;", "&amp;IF(TRIM(D13&amp;"")="","NULL","'"&amp;SUBSTITUTE(TRIM(D13),"'","''")&amp;"'")&amp;", "&amp;IF(TRIM(E13&amp;"")="","NULL","'"&amp;SUBSTITUTE(TRIM(E13),"'","''")&amp;"'")&amp;", "&amp;IF(TRIM(F13&amp;"")="","NULL","(SELECT id FROM gen_departamento WHERE upper(nombre) = upper('"&amp;SUBSTITUTE(TRIM(F13),"'","''")&amp;"') AND estado = 1 LIMIT 1)")&amp;", "&amp;IF(OR(TRIM(F13&amp;"")="",TRIM(G13&amp;"")=""),"NULL","(SELECT p.id FROM gen_provincia p JOIN gen_departamento dp ON dp.id = p.id_departamento WHERE upper(p.nombre) = upper('"&amp;SUBSTITUTE(TRIM(G13),"'","''")&amp;"') AND upper(dp.nombre) = upper('"&amp;SUBSTITUTE(TRIM(F13),"'","''")&amp;"') AND p.estado = 1 LIMIT 1)")&amp;", "&amp;IF(OR(TRIM(F13&amp;"")="",TRIM(G13&amp;"")="",TRIM(H13&amp;"")=""),"NULL","(SELECT d.id FROM gen_distrito d JOIN gen_provincia p ON p.id = d.id_provincia JOIN gen_departamento dp ON dp.id = p.id_departamento WHERE upper(d.nombre) = upper('"&amp;SUBSTITUTE(TRIM(H13),"'","''")&amp;"') AND upper(p.nombre) = upper('"&amp;SUBSTITUTE(TRIM(G13),"'","''")&amp;"') AND upper(dp.nombre) = upper('"&amp;SUBSTITUTE(TRIM(F13),"'","''")&amp;"') AND d.estado = 1 LIMIT 1)")&amp;", "&amp;IF(I13&amp;""="","NULL",SUBSTITUTE(I13&amp;"",",","."))&amp;", "&amp;IF(J13&amp;""="","NULL",SUBSTITUTE(J13&amp;"",",","."))&amp;", "&amp;IF(UPPER(TRIM(K13&amp;""))="SI","TRUE","FALSE")&amp;", 1"&amp;" WHERE NOT EXISTS (SELECT 1 FROM cli_direcciones x WHERE x.id_cliente = "&amp;"(SELECT id FROM cli_clientes WHERE numero_documento = '"&amp;SUBSTITUTE(TRIM(A13),"'","''")&amp;"' AND estado = 1 LIMIT 1)"&amp;" AND upper(x.direccion) = upper("&amp;IF(TRIM(D13&amp;"")="","NULL","'"&amp;SUBSTITUTE(TRIM(D13),"'","''")&amp;"'")&amp;"));")</f>
        <v/>
      </c>
    </row>
    <row r="14">
      <c r="A14" s="23" t="n"/>
      <c r="B14" s="25">
        <f t="array" ref="B14">IF(A14="","",IFERROR(IF(INDEX(Clientes!$D$5:$D$549,MATCH(A14,Clientes!$C$5:$C$549,0))&lt;&gt;"",INDEX(Clientes!$D$5:$D$549,MATCH(A14,Clientes!$C$5:$C$549,0)),TRIM(INDEX(Clientes!$E$5:$E$549,MATCH(A14,Clientes!$C$5:$C$549,0))&amp;" "&amp;INDEX(Clientes!$F$5:$F$549,MATCH(A14,Clientes!$C$5:$C$549,0)))),"NO EXISTE en Clientes"))</f>
        <v/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>
        <f>IF(AND(A14="",D14=""),"",IF(A14="","FALTA doc. cliente",IF(B14="NO EXISTE en Clientes","CLIENTE no está en hoja Clientes",IF(D14="","FALTA dirección",IF(AND(H14&lt;&gt;"",OR(F14="",G14="")),"Distrito requiere departamento y provincia",IF(AND(G14&lt;&gt;"",F14=""),"Provincia requiere departamento",IF((I14&lt;&gt;"")&lt;&gt;(J14&lt;&gt;""),"Latitud y longitud van juntas","OK")))))))</f>
        <v/>
      </c>
      <c r="M14" s="28">
        <f>IF(L14&lt;&gt;"OK","","INSERT INTO cli_direcciones (id_cliente, descripcion, direccion, referencia, id_departamento, id_provincia, id_distrito, latitud, longitud, es_principal, estado) SELECT "&amp;"(SELECT id FROM cli_clientes WHERE numero_documento = '"&amp;SUBSTITUTE(TRIM(A14),"'","''")&amp;"' AND estado = 1 LIMIT 1)"&amp;", "&amp;IF(TRIM(C14&amp;"")="","NULL","'"&amp;SUBSTITUTE(TRIM(C14),"'","''")&amp;"'")&amp;", "&amp;IF(TRIM(D14&amp;"")="","NULL","'"&amp;SUBSTITUTE(TRIM(D14),"'","''")&amp;"'")&amp;", "&amp;IF(TRIM(E14&amp;"")="","NULL","'"&amp;SUBSTITUTE(TRIM(E14),"'","''")&amp;"'")&amp;", "&amp;IF(TRIM(F14&amp;"")="","NULL","(SELECT id FROM gen_departamento WHERE upper(nombre) = upper('"&amp;SUBSTITUTE(TRIM(F14),"'","''")&amp;"') AND estado = 1 LIMIT 1)")&amp;", "&amp;IF(OR(TRIM(F14&amp;"")="",TRIM(G14&amp;"")=""),"NULL","(SELECT p.id FROM gen_provincia p JOIN gen_departamento dp ON dp.id = p.id_departamento WHERE upper(p.nombre) = upper('"&amp;SUBSTITUTE(TRIM(G14),"'","''")&amp;"') AND upper(dp.nombre) = upper('"&amp;SUBSTITUTE(TRIM(F14),"'","''")&amp;"') AND p.estado = 1 LIMIT 1)")&amp;", "&amp;IF(OR(TRIM(F14&amp;"")="",TRIM(G14&amp;"")="",TRIM(H14&amp;"")=""),"NULL","(SELECT d.id FROM gen_distrito d JOIN gen_provincia p ON p.id = d.id_provincia JOIN gen_departamento dp ON dp.id = p.id_departamento WHERE upper(d.nombre) = upper('"&amp;SUBSTITUTE(TRIM(H14),"'","''")&amp;"') AND upper(p.nombre) = upper('"&amp;SUBSTITUTE(TRIM(G14),"'","''")&amp;"') AND upper(dp.nombre) = upper('"&amp;SUBSTITUTE(TRIM(F14),"'","''")&amp;"') AND d.estado = 1 LIMIT 1)")&amp;", "&amp;IF(I14&amp;""="","NULL",SUBSTITUTE(I14&amp;"",",","."))&amp;", "&amp;IF(J14&amp;""="","NULL",SUBSTITUTE(J14&amp;"",",","."))&amp;", "&amp;IF(UPPER(TRIM(K14&amp;""))="SI","TRUE","FALSE")&amp;", 1"&amp;" WHERE NOT EXISTS (SELECT 1 FROM cli_direcciones x WHERE x.id_cliente = "&amp;"(SELECT id FROM cli_clientes WHERE numero_documento = '"&amp;SUBSTITUTE(TRIM(A14),"'","''")&amp;"' AND estado = 1 LIMIT 1)"&amp;" AND upper(x.direccion) = upper("&amp;IF(TRIM(D14&amp;"")="","NULL","'"&amp;SUBSTITUTE(TRIM(D14),"'","''")&amp;"'")&amp;"));")</f>
        <v/>
      </c>
    </row>
    <row r="15">
      <c r="A15" s="23" t="n"/>
      <c r="B15" s="25">
        <f t="array" ref="B15">IF(A15="","",IFERROR(IF(INDEX(Clientes!$D$5:$D$549,MATCH(A15,Clientes!$C$5:$C$549,0))&lt;&gt;"",INDEX(Clientes!$D$5:$D$549,MATCH(A15,Clientes!$C$5:$C$549,0)),TRIM(INDEX(Clientes!$E$5:$E$549,MATCH(A15,Clientes!$C$5:$C$549,0))&amp;" "&amp;INDEX(Clientes!$F$5:$F$549,MATCH(A15,Clientes!$C$5:$C$549,0)))),"NO EXISTE en Clientes"))</f>
        <v/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>
        <f>IF(AND(A15="",D15=""),"",IF(A15="","FALTA doc. cliente",IF(B15="NO EXISTE en Clientes","CLIENTE no está en hoja Clientes",IF(D15="","FALTA dirección",IF(AND(H15&lt;&gt;"",OR(F15="",G15="")),"Distrito requiere departamento y provincia",IF(AND(G15&lt;&gt;"",F15=""),"Provincia requiere departamento",IF((I15&lt;&gt;"")&lt;&gt;(J15&lt;&gt;""),"Latitud y longitud van juntas","OK")))))))</f>
        <v/>
      </c>
      <c r="M15" s="28">
        <f>IF(L15&lt;&gt;"OK","","INSERT INTO cli_direcciones (id_cliente, descripcion, direccion, referencia, id_departamento, id_provincia, id_distrito, latitud, longitud, es_principal, estado) SELECT "&amp;"(SELECT id FROM cli_clientes WHERE numero_documento = '"&amp;SUBSTITUTE(TRIM(A15),"'","''")&amp;"' AND estado = 1 LIMIT 1)"&amp;", "&amp;IF(TRIM(C15&amp;"")="","NULL","'"&amp;SUBSTITUTE(TRIM(C15),"'","''")&amp;"'")&amp;", "&amp;IF(TRIM(D15&amp;"")="","NULL","'"&amp;SUBSTITUTE(TRIM(D15),"'","''")&amp;"'")&amp;", "&amp;IF(TRIM(E15&amp;"")="","NULL","'"&amp;SUBSTITUTE(TRIM(E15),"'","''")&amp;"'")&amp;", "&amp;IF(TRIM(F15&amp;"")="","NULL","(SELECT id FROM gen_departamento WHERE upper(nombre) = upper('"&amp;SUBSTITUTE(TRIM(F15),"'","''")&amp;"') AND estado = 1 LIMIT 1)")&amp;", "&amp;IF(OR(TRIM(F15&amp;"")="",TRIM(G15&amp;"")=""),"NULL","(SELECT p.id FROM gen_provincia p JOIN gen_departamento dp ON dp.id = p.id_departamento WHERE upper(p.nombre) = upper('"&amp;SUBSTITUTE(TRIM(G15),"'","''")&amp;"') AND upper(dp.nombre) = upper('"&amp;SUBSTITUTE(TRIM(F15),"'","''")&amp;"') AND p.estado = 1 LIMIT 1)")&amp;", "&amp;IF(OR(TRIM(F15&amp;"")="",TRIM(G15&amp;"")="",TRIM(H15&amp;"")=""),"NULL","(SELECT d.id FROM gen_distrito d JOIN gen_provincia p ON p.id = d.id_provincia JOIN gen_departamento dp ON dp.id = p.id_departamento WHERE upper(d.nombre) = upper('"&amp;SUBSTITUTE(TRIM(H15),"'","''")&amp;"') AND upper(p.nombre) = upper('"&amp;SUBSTITUTE(TRIM(G15),"'","''")&amp;"') AND upper(dp.nombre) = upper('"&amp;SUBSTITUTE(TRIM(F15),"'","''")&amp;"') AND d.estado = 1 LIMIT 1)")&amp;", "&amp;IF(I15&amp;""="","NULL",SUBSTITUTE(I15&amp;"",",","."))&amp;", "&amp;IF(J15&amp;""="","NULL",SUBSTITUTE(J15&amp;"",",","."))&amp;", "&amp;IF(UPPER(TRIM(K15&amp;""))="SI","TRUE","FALSE")&amp;", 1"&amp;" WHERE NOT EXISTS (SELECT 1 FROM cli_direcciones x WHERE x.id_cliente = "&amp;"(SELECT id FROM cli_clientes WHERE numero_documento = '"&amp;SUBSTITUTE(TRIM(A15),"'","''")&amp;"' AND estado = 1 LIMIT 1)"&amp;" AND upper(x.direccion) = upper("&amp;IF(TRIM(D15&amp;"")="","NULL","'"&amp;SUBSTITUTE(TRIM(D15),"'","''")&amp;"'")&amp;"));")</f>
        <v/>
      </c>
    </row>
    <row r="16">
      <c r="A16" s="23" t="n"/>
      <c r="B16" s="25">
        <f t="array" ref="B16">IF(A16="","",IFERROR(IF(INDEX(Clientes!$D$5:$D$549,MATCH(A16,Clientes!$C$5:$C$549,0))&lt;&gt;"",INDEX(Clientes!$D$5:$D$549,MATCH(A16,Clientes!$C$5:$C$549,0)),TRIM(INDEX(Clientes!$E$5:$E$549,MATCH(A16,Clientes!$C$5:$C$549,0))&amp;" "&amp;INDEX(Clientes!$F$5:$F$549,MATCH(A16,Clientes!$C$5:$C$549,0)))),"NO EXISTE en Clientes"))</f>
        <v/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>
        <f>IF(AND(A16="",D16=""),"",IF(A16="","FALTA doc. cliente",IF(B16="NO EXISTE en Clientes","CLIENTE no está en hoja Clientes",IF(D16="","FALTA dirección",IF(AND(H16&lt;&gt;"",OR(F16="",G16="")),"Distrito requiere departamento y provincia",IF(AND(G16&lt;&gt;"",F16=""),"Provincia requiere departamento",IF((I16&lt;&gt;"")&lt;&gt;(J16&lt;&gt;""),"Latitud y longitud van juntas","OK")))))))</f>
        <v/>
      </c>
      <c r="M16" s="28">
        <f>IF(L16&lt;&gt;"OK","","INSERT INTO cli_direcciones (id_cliente, descripcion, direccion, referencia, id_departamento, id_provincia, id_distrito, latitud, longitud, es_principal, estado) SELECT "&amp;"(SELECT id FROM cli_clientes WHERE numero_documento = '"&amp;SUBSTITUTE(TRIM(A16),"'","''")&amp;"' AND estado = 1 LIMIT 1)"&amp;", "&amp;IF(TRIM(C16&amp;"")="","NULL","'"&amp;SUBSTITUTE(TRIM(C16),"'","''")&amp;"'")&amp;", "&amp;IF(TRIM(D16&amp;"")="","NULL","'"&amp;SUBSTITUTE(TRIM(D16),"'","''")&amp;"'")&amp;", "&amp;IF(TRIM(E16&amp;"")="","NULL","'"&amp;SUBSTITUTE(TRIM(E16),"'","''")&amp;"'")&amp;", "&amp;IF(TRIM(F16&amp;"")="","NULL","(SELECT id FROM gen_departamento WHERE upper(nombre) = upper('"&amp;SUBSTITUTE(TRIM(F16),"'","''")&amp;"') AND estado = 1 LIMIT 1)")&amp;", "&amp;IF(OR(TRIM(F16&amp;"")="",TRIM(G16&amp;"")=""),"NULL","(SELECT p.id FROM gen_provincia p JOIN gen_departamento dp ON dp.id = p.id_departamento WHERE upper(p.nombre) = upper('"&amp;SUBSTITUTE(TRIM(G16),"'","''")&amp;"') AND upper(dp.nombre) = upper('"&amp;SUBSTITUTE(TRIM(F16),"'","''")&amp;"') AND p.estado = 1 LIMIT 1)")&amp;", "&amp;IF(OR(TRIM(F16&amp;"")="",TRIM(G16&amp;"")="",TRIM(H16&amp;"")=""),"NULL","(SELECT d.id FROM gen_distrito d JOIN gen_provincia p ON p.id = d.id_provincia JOIN gen_departamento dp ON dp.id = p.id_departamento WHERE upper(d.nombre) = upper('"&amp;SUBSTITUTE(TRIM(H16),"'","''")&amp;"') AND upper(p.nombre) = upper('"&amp;SUBSTITUTE(TRIM(G16),"'","''")&amp;"') AND upper(dp.nombre) = upper('"&amp;SUBSTITUTE(TRIM(F16),"'","''")&amp;"') AND d.estado = 1 LIMIT 1)")&amp;", "&amp;IF(I16&amp;""="","NULL",SUBSTITUTE(I16&amp;"",",","."))&amp;", "&amp;IF(J16&amp;""="","NULL",SUBSTITUTE(J16&amp;"",",","."))&amp;", "&amp;IF(UPPER(TRIM(K16&amp;""))="SI","TRUE","FALSE")&amp;", 1"&amp;" WHERE NOT EXISTS (SELECT 1 FROM cli_direcciones x WHERE x.id_cliente = "&amp;"(SELECT id FROM cli_clientes WHERE numero_documento = '"&amp;SUBSTITUTE(TRIM(A16),"'","''")&amp;"' AND estado = 1 LIMIT 1)"&amp;" AND upper(x.direccion) = upper("&amp;IF(TRIM(D16&amp;"")="","NULL","'"&amp;SUBSTITUTE(TRIM(D16),"'","''")&amp;"'")&amp;"));")</f>
        <v/>
      </c>
    </row>
    <row r="17">
      <c r="A17" s="23" t="n"/>
      <c r="B17" s="25">
        <f t="array" ref="B17">IF(A17="","",IFERROR(IF(INDEX(Clientes!$D$5:$D$549,MATCH(A17,Clientes!$C$5:$C$549,0))&lt;&gt;"",INDEX(Clientes!$D$5:$D$549,MATCH(A17,Clientes!$C$5:$C$549,0)),TRIM(INDEX(Clientes!$E$5:$E$549,MATCH(A17,Clientes!$C$5:$C$549,0))&amp;" "&amp;INDEX(Clientes!$F$5:$F$549,MATCH(A17,Clientes!$C$5:$C$549,0)))),"NO EXISTE en Clientes"))</f>
        <v/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>
        <f>IF(AND(A17="",D17=""),"",IF(A17="","FALTA doc. cliente",IF(B17="NO EXISTE en Clientes","CLIENTE no está en hoja Clientes",IF(D17="","FALTA dirección",IF(AND(H17&lt;&gt;"",OR(F17="",G17="")),"Distrito requiere departamento y provincia",IF(AND(G17&lt;&gt;"",F17=""),"Provincia requiere departamento",IF((I17&lt;&gt;"")&lt;&gt;(J17&lt;&gt;""),"Latitud y longitud van juntas","OK")))))))</f>
        <v/>
      </c>
      <c r="M17" s="28">
        <f>IF(L17&lt;&gt;"OK","","INSERT INTO cli_direcciones (id_cliente, descripcion, direccion, referencia, id_departamento, id_provincia, id_distrito, latitud, longitud, es_principal, estado) SELECT "&amp;"(SELECT id FROM cli_clientes WHERE numero_documento = '"&amp;SUBSTITUTE(TRIM(A17),"'","''")&amp;"' AND estado = 1 LIMIT 1)"&amp;", "&amp;IF(TRIM(C17&amp;"")="","NULL","'"&amp;SUBSTITUTE(TRIM(C17),"'","''")&amp;"'")&amp;", "&amp;IF(TRIM(D17&amp;"")="","NULL","'"&amp;SUBSTITUTE(TRIM(D17),"'","''")&amp;"'")&amp;", "&amp;IF(TRIM(E17&amp;"")="","NULL","'"&amp;SUBSTITUTE(TRIM(E17),"'","''")&amp;"'")&amp;", "&amp;IF(TRIM(F17&amp;"")="","NULL","(SELECT id FROM gen_departamento WHERE upper(nombre) = upper('"&amp;SUBSTITUTE(TRIM(F17),"'","''")&amp;"') AND estado = 1 LIMIT 1)")&amp;", "&amp;IF(OR(TRIM(F17&amp;"")="",TRIM(G17&amp;"")=""),"NULL","(SELECT p.id FROM gen_provincia p JOIN gen_departamento dp ON dp.id = p.id_departamento WHERE upper(p.nombre) = upper('"&amp;SUBSTITUTE(TRIM(G17),"'","''")&amp;"') AND upper(dp.nombre) = upper('"&amp;SUBSTITUTE(TRIM(F17),"'","''")&amp;"') AND p.estado = 1 LIMIT 1)")&amp;", "&amp;IF(OR(TRIM(F17&amp;"")="",TRIM(G17&amp;"")="",TRIM(H17&amp;"")=""),"NULL","(SELECT d.id FROM gen_distrito d JOIN gen_provincia p ON p.id = d.id_provincia JOIN gen_departamento dp ON dp.id = p.id_departamento WHERE upper(d.nombre) = upper('"&amp;SUBSTITUTE(TRIM(H17),"'","''")&amp;"') AND upper(p.nombre) = upper('"&amp;SUBSTITUTE(TRIM(G17),"'","''")&amp;"') AND upper(dp.nombre) = upper('"&amp;SUBSTITUTE(TRIM(F17),"'","''")&amp;"') AND d.estado = 1 LIMIT 1)")&amp;", "&amp;IF(I17&amp;""="","NULL",SUBSTITUTE(I17&amp;"",",","."))&amp;", "&amp;IF(J17&amp;""="","NULL",SUBSTITUTE(J17&amp;"",",","."))&amp;", "&amp;IF(UPPER(TRIM(K17&amp;""))="SI","TRUE","FALSE")&amp;", 1"&amp;" WHERE NOT EXISTS (SELECT 1 FROM cli_direcciones x WHERE x.id_cliente = "&amp;"(SELECT id FROM cli_clientes WHERE numero_documento = '"&amp;SUBSTITUTE(TRIM(A17),"'","''")&amp;"' AND estado = 1 LIMIT 1)"&amp;" AND upper(x.direccion) = upper("&amp;IF(TRIM(D17&amp;"")="","NULL","'"&amp;SUBSTITUTE(TRIM(D17),"'","''")&amp;"'")&amp;"));")</f>
        <v/>
      </c>
    </row>
    <row r="18">
      <c r="A18" s="23" t="n"/>
      <c r="B18" s="25">
        <f t="array" ref="B18">IF(A18="","",IFERROR(IF(INDEX(Clientes!$D$5:$D$549,MATCH(A18,Clientes!$C$5:$C$549,0))&lt;&gt;"",INDEX(Clientes!$D$5:$D$549,MATCH(A18,Clientes!$C$5:$C$549,0)),TRIM(INDEX(Clientes!$E$5:$E$549,MATCH(A18,Clientes!$C$5:$C$549,0))&amp;" "&amp;INDEX(Clientes!$F$5:$F$549,MATCH(A18,Clientes!$C$5:$C$549,0)))),"NO EXISTE en Clientes"))</f>
        <v/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>
        <f>IF(AND(A18="",D18=""),"",IF(A18="","FALTA doc. cliente",IF(B18="NO EXISTE en Clientes","CLIENTE no está en hoja Clientes",IF(D18="","FALTA dirección",IF(AND(H18&lt;&gt;"",OR(F18="",G18="")),"Distrito requiere departamento y provincia",IF(AND(G18&lt;&gt;"",F18=""),"Provincia requiere departamento",IF((I18&lt;&gt;"")&lt;&gt;(J18&lt;&gt;""),"Latitud y longitud van juntas","OK")))))))</f>
        <v/>
      </c>
      <c r="M18" s="28">
        <f>IF(L18&lt;&gt;"OK","","INSERT INTO cli_direcciones (id_cliente, descripcion, direccion, referencia, id_departamento, id_provincia, id_distrito, latitud, longitud, es_principal, estado) SELECT "&amp;"(SELECT id FROM cli_clientes WHERE numero_documento = '"&amp;SUBSTITUTE(TRIM(A18),"'","''")&amp;"' AND estado = 1 LIMIT 1)"&amp;", "&amp;IF(TRIM(C18&amp;"")="","NULL","'"&amp;SUBSTITUTE(TRIM(C18),"'","''")&amp;"'")&amp;", "&amp;IF(TRIM(D18&amp;"")="","NULL","'"&amp;SUBSTITUTE(TRIM(D18),"'","''")&amp;"'")&amp;", "&amp;IF(TRIM(E18&amp;"")="","NULL","'"&amp;SUBSTITUTE(TRIM(E18),"'","''")&amp;"'")&amp;", "&amp;IF(TRIM(F18&amp;"")="","NULL","(SELECT id FROM gen_departamento WHERE upper(nombre) = upper('"&amp;SUBSTITUTE(TRIM(F18),"'","''")&amp;"') AND estado = 1 LIMIT 1)")&amp;", "&amp;IF(OR(TRIM(F18&amp;"")="",TRIM(G18&amp;"")=""),"NULL","(SELECT p.id FROM gen_provincia p JOIN gen_departamento dp ON dp.id = p.id_departamento WHERE upper(p.nombre) = upper('"&amp;SUBSTITUTE(TRIM(G18),"'","''")&amp;"') AND upper(dp.nombre) = upper('"&amp;SUBSTITUTE(TRIM(F18),"'","''")&amp;"') AND p.estado = 1 LIMIT 1)")&amp;", "&amp;IF(OR(TRIM(F18&amp;"")="",TRIM(G18&amp;"")="",TRIM(H18&amp;"")=""),"NULL","(SELECT d.id FROM gen_distrito d JOIN gen_provincia p ON p.id = d.id_provincia JOIN gen_departamento dp ON dp.id = p.id_departamento WHERE upper(d.nombre) = upper('"&amp;SUBSTITUTE(TRIM(H18),"'","''")&amp;"') AND upper(p.nombre) = upper('"&amp;SUBSTITUTE(TRIM(G18),"'","''")&amp;"') AND upper(dp.nombre) = upper('"&amp;SUBSTITUTE(TRIM(F18),"'","''")&amp;"') AND d.estado = 1 LIMIT 1)")&amp;", "&amp;IF(I18&amp;""="","NULL",SUBSTITUTE(I18&amp;"",",","."))&amp;", "&amp;IF(J18&amp;""="","NULL",SUBSTITUTE(J18&amp;"",",","."))&amp;", "&amp;IF(UPPER(TRIM(K18&amp;""))="SI","TRUE","FALSE")&amp;", 1"&amp;" WHERE NOT EXISTS (SELECT 1 FROM cli_direcciones x WHERE x.id_cliente = "&amp;"(SELECT id FROM cli_clientes WHERE numero_documento = '"&amp;SUBSTITUTE(TRIM(A18),"'","''")&amp;"' AND estado = 1 LIMIT 1)"&amp;" AND upper(x.direccion) = upper("&amp;IF(TRIM(D18&amp;"")="","NULL","'"&amp;SUBSTITUTE(TRIM(D18),"'","''")&amp;"'")&amp;"));")</f>
        <v/>
      </c>
    </row>
    <row r="19">
      <c r="A19" s="23" t="n"/>
      <c r="B19" s="25">
        <f t="array" ref="B19">IF(A19="","",IFERROR(IF(INDEX(Clientes!$D$5:$D$549,MATCH(A19,Clientes!$C$5:$C$549,0))&lt;&gt;"",INDEX(Clientes!$D$5:$D$549,MATCH(A19,Clientes!$C$5:$C$549,0)),TRIM(INDEX(Clientes!$E$5:$E$549,MATCH(A19,Clientes!$C$5:$C$549,0))&amp;" "&amp;INDEX(Clientes!$F$5:$F$549,MATCH(A19,Clientes!$C$5:$C$549,0)))),"NO EXISTE en Clientes"))</f>
        <v/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>
        <f>IF(AND(A19="",D19=""),"",IF(A19="","FALTA doc. cliente",IF(B19="NO EXISTE en Clientes","CLIENTE no está en hoja Clientes",IF(D19="","FALTA dirección",IF(AND(H19&lt;&gt;"",OR(F19="",G19="")),"Distrito requiere departamento y provincia",IF(AND(G19&lt;&gt;"",F19=""),"Provincia requiere departamento",IF((I19&lt;&gt;"")&lt;&gt;(J19&lt;&gt;""),"Latitud y longitud van juntas","OK")))))))</f>
        <v/>
      </c>
      <c r="M19" s="28">
        <f>IF(L19&lt;&gt;"OK","","INSERT INTO cli_direcciones (id_cliente, descripcion, direccion, referencia, id_departamento, id_provincia, id_distrito, latitud, longitud, es_principal, estado) SELECT "&amp;"(SELECT id FROM cli_clientes WHERE numero_documento = '"&amp;SUBSTITUTE(TRIM(A19),"'","''")&amp;"' AND estado = 1 LIMIT 1)"&amp;", "&amp;IF(TRIM(C19&amp;"")="","NULL","'"&amp;SUBSTITUTE(TRIM(C19),"'","''")&amp;"'")&amp;", "&amp;IF(TRIM(D19&amp;"")="","NULL","'"&amp;SUBSTITUTE(TRIM(D19),"'","''")&amp;"'")&amp;", "&amp;IF(TRIM(E19&amp;"")="","NULL","'"&amp;SUBSTITUTE(TRIM(E19),"'","''")&amp;"'")&amp;", "&amp;IF(TRIM(F19&amp;"")="","NULL","(SELECT id FROM gen_departamento WHERE upper(nombre) = upper('"&amp;SUBSTITUTE(TRIM(F19),"'","''")&amp;"') AND estado = 1 LIMIT 1)")&amp;", "&amp;IF(OR(TRIM(F19&amp;"")="",TRIM(G19&amp;"")=""),"NULL","(SELECT p.id FROM gen_provincia p JOIN gen_departamento dp ON dp.id = p.id_departamento WHERE upper(p.nombre) = upper('"&amp;SUBSTITUTE(TRIM(G19),"'","''")&amp;"') AND upper(dp.nombre) = upper('"&amp;SUBSTITUTE(TRIM(F19),"'","''")&amp;"') AND p.estado = 1 LIMIT 1)")&amp;", "&amp;IF(OR(TRIM(F19&amp;"")="",TRIM(G19&amp;"")="",TRIM(H19&amp;"")=""),"NULL","(SELECT d.id FROM gen_distrito d JOIN gen_provincia p ON p.id = d.id_provincia JOIN gen_departamento dp ON dp.id = p.id_departamento WHERE upper(d.nombre) = upper('"&amp;SUBSTITUTE(TRIM(H19),"'","''")&amp;"') AND upper(p.nombre) = upper('"&amp;SUBSTITUTE(TRIM(G19),"'","''")&amp;"') AND upper(dp.nombre) = upper('"&amp;SUBSTITUTE(TRIM(F19),"'","''")&amp;"') AND d.estado = 1 LIMIT 1)")&amp;", "&amp;IF(I19&amp;""="","NULL",SUBSTITUTE(I19&amp;"",",","."))&amp;", "&amp;IF(J19&amp;""="","NULL",SUBSTITUTE(J19&amp;"",",","."))&amp;", "&amp;IF(UPPER(TRIM(K19&amp;""))="SI","TRUE","FALSE")&amp;", 1"&amp;" WHERE NOT EXISTS (SELECT 1 FROM cli_direcciones x WHERE x.id_cliente = "&amp;"(SELECT id FROM cli_clientes WHERE numero_documento = '"&amp;SUBSTITUTE(TRIM(A19),"'","''")&amp;"' AND estado = 1 LIMIT 1)"&amp;" AND upper(x.direccion) = upper("&amp;IF(TRIM(D19&amp;"")="","NULL","'"&amp;SUBSTITUTE(TRIM(D19),"'","''")&amp;"'")&amp;"));")</f>
        <v/>
      </c>
    </row>
    <row r="20">
      <c r="A20" s="23" t="n"/>
      <c r="B20" s="25">
        <f t="array" ref="B20">IF(A20="","",IFERROR(IF(INDEX(Clientes!$D$5:$D$549,MATCH(A20,Clientes!$C$5:$C$549,0))&lt;&gt;"",INDEX(Clientes!$D$5:$D$549,MATCH(A20,Clientes!$C$5:$C$549,0)),TRIM(INDEX(Clientes!$E$5:$E$549,MATCH(A20,Clientes!$C$5:$C$549,0))&amp;" "&amp;INDEX(Clientes!$F$5:$F$549,MATCH(A20,Clientes!$C$5:$C$549,0)))),"NO EXISTE en Clientes"))</f>
        <v/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>
        <f>IF(AND(A20="",D20=""),"",IF(A20="","FALTA doc. cliente",IF(B20="NO EXISTE en Clientes","CLIENTE no está en hoja Clientes",IF(D20="","FALTA dirección",IF(AND(H20&lt;&gt;"",OR(F20="",G20="")),"Distrito requiere departamento y provincia",IF(AND(G20&lt;&gt;"",F20=""),"Provincia requiere departamento",IF((I20&lt;&gt;"")&lt;&gt;(J20&lt;&gt;""),"Latitud y longitud van juntas","OK")))))))</f>
        <v/>
      </c>
      <c r="M20" s="28">
        <f>IF(L20&lt;&gt;"OK","","INSERT INTO cli_direcciones (id_cliente, descripcion, direccion, referencia, id_departamento, id_provincia, id_distrito, latitud, longitud, es_principal, estado) SELECT "&amp;"(SELECT id FROM cli_clientes WHERE numero_documento = '"&amp;SUBSTITUTE(TRIM(A20),"'","''")&amp;"' AND estado = 1 LIMIT 1)"&amp;", "&amp;IF(TRIM(C20&amp;"")="","NULL","'"&amp;SUBSTITUTE(TRIM(C20),"'","''")&amp;"'")&amp;", "&amp;IF(TRIM(D20&amp;"")="","NULL","'"&amp;SUBSTITUTE(TRIM(D20),"'","''")&amp;"'")&amp;", "&amp;IF(TRIM(E20&amp;"")="","NULL","'"&amp;SUBSTITUTE(TRIM(E20),"'","''")&amp;"'")&amp;", "&amp;IF(TRIM(F20&amp;"")="","NULL","(SELECT id FROM gen_departamento WHERE upper(nombre) = upper('"&amp;SUBSTITUTE(TRIM(F20),"'","''")&amp;"') AND estado = 1 LIMIT 1)")&amp;", "&amp;IF(OR(TRIM(F20&amp;"")="",TRIM(G20&amp;"")=""),"NULL","(SELECT p.id FROM gen_provincia p JOIN gen_departamento dp ON dp.id = p.id_departamento WHERE upper(p.nombre) = upper('"&amp;SUBSTITUTE(TRIM(G20),"'","''")&amp;"') AND upper(dp.nombre) = upper('"&amp;SUBSTITUTE(TRIM(F20),"'","''")&amp;"') AND p.estado = 1 LIMIT 1)")&amp;", "&amp;IF(OR(TRIM(F20&amp;"")="",TRIM(G20&amp;"")="",TRIM(H20&amp;"")=""),"NULL","(SELECT d.id FROM gen_distrito d JOIN gen_provincia p ON p.id = d.id_provincia JOIN gen_departamento dp ON dp.id = p.id_departamento WHERE upper(d.nombre) = upper('"&amp;SUBSTITUTE(TRIM(H20),"'","''")&amp;"') AND upper(p.nombre) = upper('"&amp;SUBSTITUTE(TRIM(G20),"'","''")&amp;"') AND upper(dp.nombre) = upper('"&amp;SUBSTITUTE(TRIM(F20),"'","''")&amp;"') AND d.estado = 1 LIMIT 1)")&amp;", "&amp;IF(I20&amp;""="","NULL",SUBSTITUTE(I20&amp;"",",","."))&amp;", "&amp;IF(J20&amp;""="","NULL",SUBSTITUTE(J20&amp;"",",","."))&amp;", "&amp;IF(UPPER(TRIM(K20&amp;""))="SI","TRUE","FALSE")&amp;", 1"&amp;" WHERE NOT EXISTS (SELECT 1 FROM cli_direcciones x WHERE x.id_cliente = "&amp;"(SELECT id FROM cli_clientes WHERE numero_documento = '"&amp;SUBSTITUTE(TRIM(A20),"'","''")&amp;"' AND estado = 1 LIMIT 1)"&amp;" AND upper(x.direccion) = upper("&amp;IF(TRIM(D20&amp;"")="","NULL","'"&amp;SUBSTITUTE(TRIM(D20),"'","''")&amp;"'")&amp;"));")</f>
        <v/>
      </c>
    </row>
    <row r="21" ht="15.75" customHeight="1" s="64">
      <c r="A21" s="23" t="n"/>
      <c r="B21" s="25">
        <f t="array" ref="B21">IF(A21="","",IFERROR(IF(INDEX(Clientes!$D$5:$D$549,MATCH(A21,Clientes!$C$5:$C$549,0))&lt;&gt;"",INDEX(Clientes!$D$5:$D$549,MATCH(A21,Clientes!$C$5:$C$549,0)),TRIM(INDEX(Clientes!$E$5:$E$549,MATCH(A21,Clientes!$C$5:$C$549,0))&amp;" "&amp;INDEX(Clientes!$F$5:$F$549,MATCH(A21,Clientes!$C$5:$C$549,0)))),"NO EXISTE en Clientes"))</f>
        <v/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>
        <f>IF(AND(A21="",D21=""),"",IF(A21="","FALTA doc. cliente",IF(B21="NO EXISTE en Clientes","CLIENTE no está en hoja Clientes",IF(D21="","FALTA dirección",IF(AND(H21&lt;&gt;"",OR(F21="",G21="")),"Distrito requiere departamento y provincia",IF(AND(G21&lt;&gt;"",F21=""),"Provincia requiere departamento",IF((I21&lt;&gt;"")&lt;&gt;(J21&lt;&gt;""),"Latitud y longitud van juntas","OK")))))))</f>
        <v/>
      </c>
      <c r="M21" s="28">
        <f>IF(L21&lt;&gt;"OK","","INSERT INTO cli_direcciones (id_cliente, descripcion, direccion, referencia, id_departamento, id_provincia, id_distrito, latitud, longitud, es_principal, estado) SELECT "&amp;"(SELECT id FROM cli_clientes WHERE numero_documento = '"&amp;SUBSTITUTE(TRIM(A21),"'","''")&amp;"' AND estado = 1 LIMIT 1)"&amp;", "&amp;IF(TRIM(C21&amp;"")="","NULL","'"&amp;SUBSTITUTE(TRIM(C21),"'","''")&amp;"'")&amp;", "&amp;IF(TRIM(D21&amp;"")="","NULL","'"&amp;SUBSTITUTE(TRIM(D21),"'","''")&amp;"'")&amp;", "&amp;IF(TRIM(E21&amp;"")="","NULL","'"&amp;SUBSTITUTE(TRIM(E21),"'","''")&amp;"'")&amp;", "&amp;IF(TRIM(F21&amp;"")="","NULL","(SELECT id FROM gen_departamento WHERE upper(nombre) = upper('"&amp;SUBSTITUTE(TRIM(F21),"'","''")&amp;"') AND estado = 1 LIMIT 1)")&amp;", "&amp;IF(OR(TRIM(F21&amp;"")="",TRIM(G21&amp;"")=""),"NULL","(SELECT p.id FROM gen_provincia p JOIN gen_departamento dp ON dp.id = p.id_departamento WHERE upper(p.nombre) = upper('"&amp;SUBSTITUTE(TRIM(G21),"'","''")&amp;"') AND upper(dp.nombre) = upper('"&amp;SUBSTITUTE(TRIM(F21),"'","''")&amp;"') AND p.estado = 1 LIMIT 1)")&amp;", "&amp;IF(OR(TRIM(F21&amp;"")="",TRIM(G21&amp;"")="",TRIM(H21&amp;"")=""),"NULL","(SELECT d.id FROM gen_distrito d JOIN gen_provincia p ON p.id = d.id_provincia JOIN gen_departamento dp ON dp.id = p.id_departamento WHERE upper(d.nombre) = upper('"&amp;SUBSTITUTE(TRIM(H21),"'","''")&amp;"') AND upper(p.nombre) = upper('"&amp;SUBSTITUTE(TRIM(G21),"'","''")&amp;"') AND upper(dp.nombre) = upper('"&amp;SUBSTITUTE(TRIM(F21),"'","''")&amp;"') AND d.estado = 1 LIMIT 1)")&amp;", "&amp;IF(I21&amp;""="","NULL",SUBSTITUTE(I21&amp;"",",","."))&amp;", "&amp;IF(J21&amp;""="","NULL",SUBSTITUTE(J21&amp;"",",","."))&amp;", "&amp;IF(UPPER(TRIM(K21&amp;""))="SI","TRUE","FALSE")&amp;", 1"&amp;" WHERE NOT EXISTS (SELECT 1 FROM cli_direcciones x WHERE x.id_cliente = "&amp;"(SELECT id FROM cli_clientes WHERE numero_documento = '"&amp;SUBSTITUTE(TRIM(A21),"'","''")&amp;"' AND estado = 1 LIMIT 1)"&amp;" AND upper(x.direccion) = upper("&amp;IF(TRIM(D21&amp;"")="","NULL","'"&amp;SUBSTITUTE(TRIM(D21),"'","''")&amp;"'")&amp;"));")</f>
        <v/>
      </c>
    </row>
    <row r="22" ht="15.75" customHeight="1" s="64">
      <c r="A22" s="23" t="n"/>
      <c r="B22" s="25">
        <f t="array" ref="B22">IF(A22="","",IFERROR(IF(INDEX(Clientes!$D$5:$D$549,MATCH(A22,Clientes!$C$5:$C$549,0))&lt;&gt;"",INDEX(Clientes!$D$5:$D$549,MATCH(A22,Clientes!$C$5:$C$549,0)),TRIM(INDEX(Clientes!$E$5:$E$549,MATCH(A22,Clientes!$C$5:$C$549,0))&amp;" "&amp;INDEX(Clientes!$F$5:$F$549,MATCH(A22,Clientes!$C$5:$C$549,0)))),"NO EXISTE en Clientes"))</f>
        <v/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>
        <f>IF(AND(A22="",D22=""),"",IF(A22="","FALTA doc. cliente",IF(B22="NO EXISTE en Clientes","CLIENTE no está en hoja Clientes",IF(D22="","FALTA dirección",IF(AND(H22&lt;&gt;"",OR(F22="",G22="")),"Distrito requiere departamento y provincia",IF(AND(G22&lt;&gt;"",F22=""),"Provincia requiere departamento",IF((I22&lt;&gt;"")&lt;&gt;(J22&lt;&gt;""),"Latitud y longitud van juntas","OK")))))))</f>
        <v/>
      </c>
      <c r="M22" s="28">
        <f>IF(L22&lt;&gt;"OK","","INSERT INTO cli_direcciones (id_cliente, descripcion, direccion, referencia, id_departamento, id_provincia, id_distrito, latitud, longitud, es_principal, estado) SELECT "&amp;"(SELECT id FROM cli_clientes WHERE numero_documento = '"&amp;SUBSTITUTE(TRIM(A22),"'","''")&amp;"' AND estado = 1 LIMIT 1)"&amp;", "&amp;IF(TRIM(C22&amp;"")="","NULL","'"&amp;SUBSTITUTE(TRIM(C22),"'","''")&amp;"'")&amp;", "&amp;IF(TRIM(D22&amp;"")="","NULL","'"&amp;SUBSTITUTE(TRIM(D22),"'","''")&amp;"'")&amp;", "&amp;IF(TRIM(E22&amp;"")="","NULL","'"&amp;SUBSTITUTE(TRIM(E22),"'","''")&amp;"'")&amp;", "&amp;IF(TRIM(F22&amp;"")="","NULL","(SELECT id FROM gen_departamento WHERE upper(nombre) = upper('"&amp;SUBSTITUTE(TRIM(F22),"'","''")&amp;"') AND estado = 1 LIMIT 1)")&amp;", "&amp;IF(OR(TRIM(F22&amp;"")="",TRIM(G22&amp;"")=""),"NULL","(SELECT p.id FROM gen_provincia p JOIN gen_departamento dp ON dp.id = p.id_departamento WHERE upper(p.nombre) = upper('"&amp;SUBSTITUTE(TRIM(G22),"'","''")&amp;"') AND upper(dp.nombre) = upper('"&amp;SUBSTITUTE(TRIM(F22),"'","''")&amp;"') AND p.estado = 1 LIMIT 1)")&amp;", "&amp;IF(OR(TRIM(F22&amp;"")="",TRIM(G22&amp;"")="",TRIM(H22&amp;"")=""),"NULL","(SELECT d.id FROM gen_distrito d JOIN gen_provincia p ON p.id = d.id_provincia JOIN gen_departamento dp ON dp.id = p.id_departamento WHERE upper(d.nombre) = upper('"&amp;SUBSTITUTE(TRIM(H22),"'","''")&amp;"') AND upper(p.nombre) = upper('"&amp;SUBSTITUTE(TRIM(G22),"'","''")&amp;"') AND upper(dp.nombre) = upper('"&amp;SUBSTITUTE(TRIM(F22),"'","''")&amp;"') AND d.estado = 1 LIMIT 1)")&amp;", "&amp;IF(I22&amp;""="","NULL",SUBSTITUTE(I22&amp;"",",","."))&amp;", "&amp;IF(J22&amp;""="","NULL",SUBSTITUTE(J22&amp;"",",","."))&amp;", "&amp;IF(UPPER(TRIM(K22&amp;""))="SI","TRUE","FALSE")&amp;", 1"&amp;" WHERE NOT EXISTS (SELECT 1 FROM cli_direcciones x WHERE x.id_cliente = "&amp;"(SELECT id FROM cli_clientes WHERE numero_documento = '"&amp;SUBSTITUTE(TRIM(A22),"'","''")&amp;"' AND estado = 1 LIMIT 1)"&amp;" AND upper(x.direccion) = upper("&amp;IF(TRIM(D22&amp;"")="","NULL","'"&amp;SUBSTITUTE(TRIM(D22),"'","''")&amp;"'")&amp;"));")</f>
        <v/>
      </c>
    </row>
    <row r="23" ht="15.75" customHeight="1" s="64">
      <c r="A23" s="23" t="n"/>
      <c r="B23" s="25">
        <f t="array" ref="B23">IF(A23="","",IFERROR(IF(INDEX(Clientes!$D$5:$D$549,MATCH(A23,Clientes!$C$5:$C$549,0))&lt;&gt;"",INDEX(Clientes!$D$5:$D$549,MATCH(A23,Clientes!$C$5:$C$549,0)),TRIM(INDEX(Clientes!$E$5:$E$549,MATCH(A23,Clientes!$C$5:$C$549,0))&amp;" "&amp;INDEX(Clientes!$F$5:$F$549,MATCH(A23,Clientes!$C$5:$C$549,0)))),"NO EXISTE en Clientes"))</f>
        <v/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>
        <f>IF(AND(A23="",D23=""),"",IF(A23="","FALTA doc. cliente",IF(B23="NO EXISTE en Clientes","CLIENTE no está en hoja Clientes",IF(D23="","FALTA dirección",IF(AND(H23&lt;&gt;"",OR(F23="",G23="")),"Distrito requiere departamento y provincia",IF(AND(G23&lt;&gt;"",F23=""),"Provincia requiere departamento",IF((I23&lt;&gt;"")&lt;&gt;(J23&lt;&gt;""),"Latitud y longitud van juntas","OK")))))))</f>
        <v/>
      </c>
      <c r="M23" s="28">
        <f>IF(L23&lt;&gt;"OK","","INSERT INTO cli_direcciones (id_cliente, descripcion, direccion, referencia, id_departamento, id_provincia, id_distrito, latitud, longitud, es_principal, estado) SELECT "&amp;"(SELECT id FROM cli_clientes WHERE numero_documento = '"&amp;SUBSTITUTE(TRIM(A23),"'","''")&amp;"' AND estado = 1 LIMIT 1)"&amp;", "&amp;IF(TRIM(C23&amp;"")="","NULL","'"&amp;SUBSTITUTE(TRIM(C23),"'","''")&amp;"'")&amp;", "&amp;IF(TRIM(D23&amp;"")="","NULL","'"&amp;SUBSTITUTE(TRIM(D23),"'","''")&amp;"'")&amp;", "&amp;IF(TRIM(E23&amp;"")="","NULL","'"&amp;SUBSTITUTE(TRIM(E23),"'","''")&amp;"'")&amp;", "&amp;IF(TRIM(F23&amp;"")="","NULL","(SELECT id FROM gen_departamento WHERE upper(nombre) = upper('"&amp;SUBSTITUTE(TRIM(F23),"'","''")&amp;"') AND estado = 1 LIMIT 1)")&amp;", "&amp;IF(OR(TRIM(F23&amp;"")="",TRIM(G23&amp;"")=""),"NULL","(SELECT p.id FROM gen_provincia p JOIN gen_departamento dp ON dp.id = p.id_departamento WHERE upper(p.nombre) = upper('"&amp;SUBSTITUTE(TRIM(G23),"'","''")&amp;"') AND upper(dp.nombre) = upper('"&amp;SUBSTITUTE(TRIM(F23),"'","''")&amp;"') AND p.estado = 1 LIMIT 1)")&amp;", "&amp;IF(OR(TRIM(F23&amp;"")="",TRIM(G23&amp;"")="",TRIM(H23&amp;"")=""),"NULL","(SELECT d.id FROM gen_distrito d JOIN gen_provincia p ON p.id = d.id_provincia JOIN gen_departamento dp ON dp.id = p.id_departamento WHERE upper(d.nombre) = upper('"&amp;SUBSTITUTE(TRIM(H23),"'","''")&amp;"') AND upper(p.nombre) = upper('"&amp;SUBSTITUTE(TRIM(G23),"'","''")&amp;"') AND upper(dp.nombre) = upper('"&amp;SUBSTITUTE(TRIM(F23),"'","''")&amp;"') AND d.estado = 1 LIMIT 1)")&amp;", "&amp;IF(I23&amp;""="","NULL",SUBSTITUTE(I23&amp;"",",","."))&amp;", "&amp;IF(J23&amp;""="","NULL",SUBSTITUTE(J23&amp;"",",","."))&amp;", "&amp;IF(UPPER(TRIM(K23&amp;""))="SI","TRUE","FALSE")&amp;", 1"&amp;" WHERE NOT EXISTS (SELECT 1 FROM cli_direcciones x WHERE x.id_cliente = "&amp;"(SELECT id FROM cli_clientes WHERE numero_documento = '"&amp;SUBSTITUTE(TRIM(A23),"'","''")&amp;"' AND estado = 1 LIMIT 1)"&amp;" AND upper(x.direccion) = upper("&amp;IF(TRIM(D23&amp;"")="","NULL","'"&amp;SUBSTITUTE(TRIM(D23),"'","''")&amp;"'")&amp;"));")</f>
        <v/>
      </c>
    </row>
    <row r="24" ht="15.75" customHeight="1" s="64">
      <c r="A24" s="23" t="n"/>
      <c r="B24" s="25">
        <f t="array" ref="B24">IF(A24="","",IFERROR(IF(INDEX(Clientes!$D$5:$D$549,MATCH(A24,Clientes!$C$5:$C$549,0))&lt;&gt;"",INDEX(Clientes!$D$5:$D$549,MATCH(A24,Clientes!$C$5:$C$549,0)),TRIM(INDEX(Clientes!$E$5:$E$549,MATCH(A24,Clientes!$C$5:$C$549,0))&amp;" "&amp;INDEX(Clientes!$F$5:$F$549,MATCH(A24,Clientes!$C$5:$C$549,0)))),"NO EXISTE en Clientes"))</f>
        <v/>
      </c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>
        <f>IF(AND(A24="",D24=""),"",IF(A24="","FALTA doc. cliente",IF(B24="NO EXISTE en Clientes","CLIENTE no está en hoja Clientes",IF(D24="","FALTA dirección",IF(AND(H24&lt;&gt;"",OR(F24="",G24="")),"Distrito requiere departamento y provincia",IF(AND(G24&lt;&gt;"",F24=""),"Provincia requiere departamento",IF((I24&lt;&gt;"")&lt;&gt;(J24&lt;&gt;""),"Latitud y longitud van juntas","OK")))))))</f>
        <v/>
      </c>
      <c r="M24" s="28">
        <f>IF(L24&lt;&gt;"OK","","INSERT INTO cli_direcciones (id_cliente, descripcion, direccion, referencia, id_departamento, id_provincia, id_distrito, latitud, longitud, es_principal, estado) SELECT "&amp;"(SELECT id FROM cli_clientes WHERE numero_documento = '"&amp;SUBSTITUTE(TRIM(A24),"'","''")&amp;"' AND estado = 1 LIMIT 1)"&amp;", "&amp;IF(TRIM(C24&amp;"")="","NULL","'"&amp;SUBSTITUTE(TRIM(C24),"'","''")&amp;"'")&amp;", "&amp;IF(TRIM(D24&amp;"")="","NULL","'"&amp;SUBSTITUTE(TRIM(D24),"'","''")&amp;"'")&amp;", "&amp;IF(TRIM(E24&amp;"")="","NULL","'"&amp;SUBSTITUTE(TRIM(E24),"'","''")&amp;"'")&amp;", "&amp;IF(TRIM(F24&amp;"")="","NULL","(SELECT id FROM gen_departamento WHERE upper(nombre) = upper('"&amp;SUBSTITUTE(TRIM(F24),"'","''")&amp;"') AND estado = 1 LIMIT 1)")&amp;", "&amp;IF(OR(TRIM(F24&amp;"")="",TRIM(G24&amp;"")=""),"NULL","(SELECT p.id FROM gen_provincia p JOIN gen_departamento dp ON dp.id = p.id_departamento WHERE upper(p.nombre) = upper('"&amp;SUBSTITUTE(TRIM(G24),"'","''")&amp;"') AND upper(dp.nombre) = upper('"&amp;SUBSTITUTE(TRIM(F24),"'","''")&amp;"') AND p.estado = 1 LIMIT 1)")&amp;", "&amp;IF(OR(TRIM(F24&amp;"")="",TRIM(G24&amp;"")="",TRIM(H24&amp;"")=""),"NULL","(SELECT d.id FROM gen_distrito d JOIN gen_provincia p ON p.id = d.id_provincia JOIN gen_departamento dp ON dp.id = p.id_departamento WHERE upper(d.nombre) = upper('"&amp;SUBSTITUTE(TRIM(H24),"'","''")&amp;"') AND upper(p.nombre) = upper('"&amp;SUBSTITUTE(TRIM(G24),"'","''")&amp;"') AND upper(dp.nombre) = upper('"&amp;SUBSTITUTE(TRIM(F24),"'","''")&amp;"') AND d.estado = 1 LIMIT 1)")&amp;", "&amp;IF(I24&amp;""="","NULL",SUBSTITUTE(I24&amp;"",",","."))&amp;", "&amp;IF(J24&amp;""="","NULL",SUBSTITUTE(J24&amp;"",",","."))&amp;", "&amp;IF(UPPER(TRIM(K24&amp;""))="SI","TRUE","FALSE")&amp;", 1"&amp;" WHERE NOT EXISTS (SELECT 1 FROM cli_direcciones x WHERE x.id_cliente = "&amp;"(SELECT id FROM cli_clientes WHERE numero_documento = '"&amp;SUBSTITUTE(TRIM(A24),"'","''")&amp;"' AND estado = 1 LIMIT 1)"&amp;" AND upper(x.direccion) = upper("&amp;IF(TRIM(D24&amp;"")="","NULL","'"&amp;SUBSTITUTE(TRIM(D24),"'","''")&amp;"'")&amp;"));")</f>
        <v/>
      </c>
    </row>
    <row r="25" ht="15.75" customHeight="1" s="64">
      <c r="A25" s="23" t="n"/>
      <c r="B25" s="25">
        <f t="array" ref="B25">IF(A25="","",IFERROR(IF(INDEX(Clientes!$D$5:$D$549,MATCH(A25,Clientes!$C$5:$C$549,0))&lt;&gt;"",INDEX(Clientes!$D$5:$D$549,MATCH(A25,Clientes!$C$5:$C$549,0)),TRIM(INDEX(Clientes!$E$5:$E$549,MATCH(A25,Clientes!$C$5:$C$549,0))&amp;" "&amp;INDEX(Clientes!$F$5:$F$549,MATCH(A25,Clientes!$C$5:$C$549,0)))),"NO EXISTE en Clientes"))</f>
        <v/>
      </c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>
        <f>IF(AND(A25="",D25=""),"",IF(A25="","FALTA doc. cliente",IF(B25="NO EXISTE en Clientes","CLIENTE no está en hoja Clientes",IF(D25="","FALTA dirección",IF(AND(H25&lt;&gt;"",OR(F25="",G25="")),"Distrito requiere departamento y provincia",IF(AND(G25&lt;&gt;"",F25=""),"Provincia requiere departamento",IF((I25&lt;&gt;"")&lt;&gt;(J25&lt;&gt;""),"Latitud y longitud van juntas","OK")))))))</f>
        <v/>
      </c>
      <c r="M25" s="28">
        <f>IF(L25&lt;&gt;"OK","","INSERT INTO cli_direcciones (id_cliente, descripcion, direccion, referencia, id_departamento, id_provincia, id_distrito, latitud, longitud, es_principal, estado) SELECT "&amp;"(SELECT id FROM cli_clientes WHERE numero_documento = '"&amp;SUBSTITUTE(TRIM(A25),"'","''")&amp;"' AND estado = 1 LIMIT 1)"&amp;", "&amp;IF(TRIM(C25&amp;"")="","NULL","'"&amp;SUBSTITUTE(TRIM(C25),"'","''")&amp;"'")&amp;", "&amp;IF(TRIM(D25&amp;"")="","NULL","'"&amp;SUBSTITUTE(TRIM(D25),"'","''")&amp;"'")&amp;", "&amp;IF(TRIM(E25&amp;"")="","NULL","'"&amp;SUBSTITUTE(TRIM(E25),"'","''")&amp;"'")&amp;", "&amp;IF(TRIM(F25&amp;"")="","NULL","(SELECT id FROM gen_departamento WHERE upper(nombre) = upper('"&amp;SUBSTITUTE(TRIM(F25),"'","''")&amp;"') AND estado = 1 LIMIT 1)")&amp;", "&amp;IF(OR(TRIM(F25&amp;"")="",TRIM(G25&amp;"")=""),"NULL","(SELECT p.id FROM gen_provincia p JOIN gen_departamento dp ON dp.id = p.id_departamento WHERE upper(p.nombre) = upper('"&amp;SUBSTITUTE(TRIM(G25),"'","''")&amp;"') AND upper(dp.nombre) = upper('"&amp;SUBSTITUTE(TRIM(F25),"'","''")&amp;"') AND p.estado = 1 LIMIT 1)")&amp;", "&amp;IF(OR(TRIM(F25&amp;"")="",TRIM(G25&amp;"")="",TRIM(H25&amp;"")=""),"NULL","(SELECT d.id FROM gen_distrito d JOIN gen_provincia p ON p.id = d.id_provincia JOIN gen_departamento dp ON dp.id = p.id_departamento WHERE upper(d.nombre) = upper('"&amp;SUBSTITUTE(TRIM(H25),"'","''")&amp;"') AND upper(p.nombre) = upper('"&amp;SUBSTITUTE(TRIM(G25),"'","''")&amp;"') AND upper(dp.nombre) = upper('"&amp;SUBSTITUTE(TRIM(F25),"'","''")&amp;"') AND d.estado = 1 LIMIT 1)")&amp;", "&amp;IF(I25&amp;""="","NULL",SUBSTITUTE(I25&amp;"",",","."))&amp;", "&amp;IF(J25&amp;""="","NULL",SUBSTITUTE(J25&amp;"",",","."))&amp;", "&amp;IF(UPPER(TRIM(K25&amp;""))="SI","TRUE","FALSE")&amp;", 1"&amp;" WHERE NOT EXISTS (SELECT 1 FROM cli_direcciones x WHERE x.id_cliente = "&amp;"(SELECT id FROM cli_clientes WHERE numero_documento = '"&amp;SUBSTITUTE(TRIM(A25),"'","''")&amp;"' AND estado = 1 LIMIT 1)"&amp;" AND upper(x.direccion) = upper("&amp;IF(TRIM(D25&amp;"")="","NULL","'"&amp;SUBSTITUTE(TRIM(D25),"'","''")&amp;"'")&amp;"));")</f>
        <v/>
      </c>
    </row>
    <row r="26" ht="15.75" customHeight="1" s="64">
      <c r="A26" s="23" t="n"/>
      <c r="B26" s="25">
        <f t="array" ref="B26">IF(A26="","",IFERROR(IF(INDEX(Clientes!$D$5:$D$549,MATCH(A26,Clientes!$C$5:$C$549,0))&lt;&gt;"",INDEX(Clientes!$D$5:$D$549,MATCH(A26,Clientes!$C$5:$C$549,0)),TRIM(INDEX(Clientes!$E$5:$E$549,MATCH(A26,Clientes!$C$5:$C$549,0))&amp;" "&amp;INDEX(Clientes!$F$5:$F$549,MATCH(A26,Clientes!$C$5:$C$549,0)))),"NO EXISTE en Clientes"))</f>
        <v/>
      </c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>
        <f>IF(AND(A26="",D26=""),"",IF(A26="","FALTA doc. cliente",IF(B26="NO EXISTE en Clientes","CLIENTE no está en hoja Clientes",IF(D26="","FALTA dirección",IF(AND(H26&lt;&gt;"",OR(F26="",G26="")),"Distrito requiere departamento y provincia",IF(AND(G26&lt;&gt;"",F26=""),"Provincia requiere departamento",IF((I26&lt;&gt;"")&lt;&gt;(J26&lt;&gt;""),"Latitud y longitud van juntas","OK")))))))</f>
        <v/>
      </c>
      <c r="M26" s="28">
        <f>IF(L26&lt;&gt;"OK","","INSERT INTO cli_direcciones (id_cliente, descripcion, direccion, referencia, id_departamento, id_provincia, id_distrito, latitud, longitud, es_principal, estado) SELECT "&amp;"(SELECT id FROM cli_clientes WHERE numero_documento = '"&amp;SUBSTITUTE(TRIM(A26),"'","''")&amp;"' AND estado = 1 LIMIT 1)"&amp;", "&amp;IF(TRIM(C26&amp;"")="","NULL","'"&amp;SUBSTITUTE(TRIM(C26),"'","''")&amp;"'")&amp;", "&amp;IF(TRIM(D26&amp;"")="","NULL","'"&amp;SUBSTITUTE(TRIM(D26),"'","''")&amp;"'")&amp;", "&amp;IF(TRIM(E26&amp;"")="","NULL","'"&amp;SUBSTITUTE(TRIM(E26),"'","''")&amp;"'")&amp;", "&amp;IF(TRIM(F26&amp;"")="","NULL","(SELECT id FROM gen_departamento WHERE upper(nombre) = upper('"&amp;SUBSTITUTE(TRIM(F26),"'","''")&amp;"') AND estado = 1 LIMIT 1)")&amp;", "&amp;IF(OR(TRIM(F26&amp;"")="",TRIM(G26&amp;"")=""),"NULL","(SELECT p.id FROM gen_provincia p JOIN gen_departamento dp ON dp.id = p.id_departamento WHERE upper(p.nombre) = upper('"&amp;SUBSTITUTE(TRIM(G26),"'","''")&amp;"') AND upper(dp.nombre) = upper('"&amp;SUBSTITUTE(TRIM(F26),"'","''")&amp;"') AND p.estado = 1 LIMIT 1)")&amp;", "&amp;IF(OR(TRIM(F26&amp;"")="",TRIM(G26&amp;"")="",TRIM(H26&amp;"")=""),"NULL","(SELECT d.id FROM gen_distrito d JOIN gen_provincia p ON p.id = d.id_provincia JOIN gen_departamento dp ON dp.id = p.id_departamento WHERE upper(d.nombre) = upper('"&amp;SUBSTITUTE(TRIM(H26),"'","''")&amp;"') AND upper(p.nombre) = upper('"&amp;SUBSTITUTE(TRIM(G26),"'","''")&amp;"') AND upper(dp.nombre) = upper('"&amp;SUBSTITUTE(TRIM(F26),"'","''")&amp;"') AND d.estado = 1 LIMIT 1)")&amp;", "&amp;IF(I26&amp;""="","NULL",SUBSTITUTE(I26&amp;"",",","."))&amp;", "&amp;IF(J26&amp;""="","NULL",SUBSTITUTE(J26&amp;"",",","."))&amp;", "&amp;IF(UPPER(TRIM(K26&amp;""))="SI","TRUE","FALSE")&amp;", 1"&amp;" WHERE NOT EXISTS (SELECT 1 FROM cli_direcciones x WHERE x.id_cliente = "&amp;"(SELECT id FROM cli_clientes WHERE numero_documento = '"&amp;SUBSTITUTE(TRIM(A26),"'","''")&amp;"' AND estado = 1 LIMIT 1)"&amp;" AND upper(x.direccion) = upper("&amp;IF(TRIM(D26&amp;"")="","NULL","'"&amp;SUBSTITUTE(TRIM(D26),"'","''")&amp;"'")&amp;"));")</f>
        <v/>
      </c>
    </row>
    <row r="27" ht="15.75" customHeight="1" s="64">
      <c r="A27" s="23" t="n"/>
      <c r="B27" s="25">
        <f t="array" ref="B27">IF(A27="","",IFERROR(IF(INDEX(Clientes!$D$5:$D$549,MATCH(A27,Clientes!$C$5:$C$549,0))&lt;&gt;"",INDEX(Clientes!$D$5:$D$549,MATCH(A27,Clientes!$C$5:$C$549,0)),TRIM(INDEX(Clientes!$E$5:$E$549,MATCH(A27,Clientes!$C$5:$C$549,0))&amp;" "&amp;INDEX(Clientes!$F$5:$F$549,MATCH(A27,Clientes!$C$5:$C$549,0)))),"NO EXISTE en Clientes"))</f>
        <v/>
      </c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>
        <f>IF(AND(A27="",D27=""),"",IF(A27="","FALTA doc. cliente",IF(B27="NO EXISTE en Clientes","CLIENTE no está en hoja Clientes",IF(D27="","FALTA dirección",IF(AND(H27&lt;&gt;"",OR(F27="",G27="")),"Distrito requiere departamento y provincia",IF(AND(G27&lt;&gt;"",F27=""),"Provincia requiere departamento",IF((I27&lt;&gt;"")&lt;&gt;(J27&lt;&gt;""),"Latitud y longitud van juntas","OK")))))))</f>
        <v/>
      </c>
      <c r="M27" s="28">
        <f>IF(L27&lt;&gt;"OK","","INSERT INTO cli_direcciones (id_cliente, descripcion, direccion, referencia, id_departamento, id_provincia, id_distrito, latitud, longitud, es_principal, estado) SELECT "&amp;"(SELECT id FROM cli_clientes WHERE numero_documento = '"&amp;SUBSTITUTE(TRIM(A27),"'","''")&amp;"' AND estado = 1 LIMIT 1)"&amp;", "&amp;IF(TRIM(C27&amp;"")="","NULL","'"&amp;SUBSTITUTE(TRIM(C27),"'","''")&amp;"'")&amp;", "&amp;IF(TRIM(D27&amp;"")="","NULL","'"&amp;SUBSTITUTE(TRIM(D27),"'","''")&amp;"'")&amp;", "&amp;IF(TRIM(E27&amp;"")="","NULL","'"&amp;SUBSTITUTE(TRIM(E27),"'","''")&amp;"'")&amp;", "&amp;IF(TRIM(F27&amp;"")="","NULL","(SELECT id FROM gen_departamento WHERE upper(nombre) = upper('"&amp;SUBSTITUTE(TRIM(F27),"'","''")&amp;"') AND estado = 1 LIMIT 1)")&amp;", "&amp;IF(OR(TRIM(F27&amp;"")="",TRIM(G27&amp;"")=""),"NULL","(SELECT p.id FROM gen_provincia p JOIN gen_departamento dp ON dp.id = p.id_departamento WHERE upper(p.nombre) = upper('"&amp;SUBSTITUTE(TRIM(G27),"'","''")&amp;"') AND upper(dp.nombre) = upper('"&amp;SUBSTITUTE(TRIM(F27),"'","''")&amp;"') AND p.estado = 1 LIMIT 1)")&amp;", "&amp;IF(OR(TRIM(F27&amp;"")="",TRIM(G27&amp;"")="",TRIM(H27&amp;"")=""),"NULL","(SELECT d.id FROM gen_distrito d JOIN gen_provincia p ON p.id = d.id_provincia JOIN gen_departamento dp ON dp.id = p.id_departamento WHERE upper(d.nombre) = upper('"&amp;SUBSTITUTE(TRIM(H27),"'","''")&amp;"') AND upper(p.nombre) = upper('"&amp;SUBSTITUTE(TRIM(G27),"'","''")&amp;"') AND upper(dp.nombre) = upper('"&amp;SUBSTITUTE(TRIM(F27),"'","''")&amp;"') AND d.estado = 1 LIMIT 1)")&amp;", "&amp;IF(I27&amp;""="","NULL",SUBSTITUTE(I27&amp;"",",","."))&amp;", "&amp;IF(J27&amp;""="","NULL",SUBSTITUTE(J27&amp;"",",","."))&amp;", "&amp;IF(UPPER(TRIM(K27&amp;""))="SI","TRUE","FALSE")&amp;", 1"&amp;" WHERE NOT EXISTS (SELECT 1 FROM cli_direcciones x WHERE x.id_cliente = "&amp;"(SELECT id FROM cli_clientes WHERE numero_documento = '"&amp;SUBSTITUTE(TRIM(A27),"'","''")&amp;"' AND estado = 1 LIMIT 1)"&amp;" AND upper(x.direccion) = upper("&amp;IF(TRIM(D27&amp;"")="","NULL","'"&amp;SUBSTITUTE(TRIM(D27),"'","''")&amp;"'")&amp;"));")</f>
        <v/>
      </c>
    </row>
    <row r="28" ht="15.75" customHeight="1" s="64">
      <c r="A28" s="23" t="n"/>
      <c r="B28" s="25">
        <f t="array" ref="B28">IF(A28="","",IFERROR(IF(INDEX(Clientes!$D$5:$D$549,MATCH(A28,Clientes!$C$5:$C$549,0))&lt;&gt;"",INDEX(Clientes!$D$5:$D$549,MATCH(A28,Clientes!$C$5:$C$549,0)),TRIM(INDEX(Clientes!$E$5:$E$549,MATCH(A28,Clientes!$C$5:$C$549,0))&amp;" "&amp;INDEX(Clientes!$F$5:$F$549,MATCH(A28,Clientes!$C$5:$C$549,0)))),"NO EXISTE en Clientes"))</f>
        <v/>
      </c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>
        <f>IF(AND(A28="",D28=""),"",IF(A28="","FALTA doc. cliente",IF(B28="NO EXISTE en Clientes","CLIENTE no está en hoja Clientes",IF(D28="","FALTA dirección",IF(AND(H28&lt;&gt;"",OR(F28="",G28="")),"Distrito requiere departamento y provincia",IF(AND(G28&lt;&gt;"",F28=""),"Provincia requiere departamento",IF((I28&lt;&gt;"")&lt;&gt;(J28&lt;&gt;""),"Latitud y longitud van juntas","OK")))))))</f>
        <v/>
      </c>
      <c r="M28" s="28">
        <f>IF(L28&lt;&gt;"OK","","INSERT INTO cli_direcciones (id_cliente, descripcion, direccion, referencia, id_departamento, id_provincia, id_distrito, latitud, longitud, es_principal, estado) SELECT "&amp;"(SELECT id FROM cli_clientes WHERE numero_documento = '"&amp;SUBSTITUTE(TRIM(A28),"'","''")&amp;"' AND estado = 1 LIMIT 1)"&amp;", "&amp;IF(TRIM(C28&amp;"")="","NULL","'"&amp;SUBSTITUTE(TRIM(C28),"'","''")&amp;"'")&amp;", "&amp;IF(TRIM(D28&amp;"")="","NULL","'"&amp;SUBSTITUTE(TRIM(D28),"'","''")&amp;"'")&amp;", "&amp;IF(TRIM(E28&amp;"")="","NULL","'"&amp;SUBSTITUTE(TRIM(E28),"'","''")&amp;"'")&amp;", "&amp;IF(TRIM(F28&amp;"")="","NULL","(SELECT id FROM gen_departamento WHERE upper(nombre) = upper('"&amp;SUBSTITUTE(TRIM(F28),"'","''")&amp;"') AND estado = 1 LIMIT 1)")&amp;", "&amp;IF(OR(TRIM(F28&amp;"")="",TRIM(G28&amp;"")=""),"NULL","(SELECT p.id FROM gen_provincia p JOIN gen_departamento dp ON dp.id = p.id_departamento WHERE upper(p.nombre) = upper('"&amp;SUBSTITUTE(TRIM(G28),"'","''")&amp;"') AND upper(dp.nombre) = upper('"&amp;SUBSTITUTE(TRIM(F28),"'","''")&amp;"') AND p.estado = 1 LIMIT 1)")&amp;", "&amp;IF(OR(TRIM(F28&amp;"")="",TRIM(G28&amp;"")="",TRIM(H28&amp;"")=""),"NULL","(SELECT d.id FROM gen_distrito d JOIN gen_provincia p ON p.id = d.id_provincia JOIN gen_departamento dp ON dp.id = p.id_departamento WHERE upper(d.nombre) = upper('"&amp;SUBSTITUTE(TRIM(H28),"'","''")&amp;"') AND upper(p.nombre) = upper('"&amp;SUBSTITUTE(TRIM(G28),"'","''")&amp;"') AND upper(dp.nombre) = upper('"&amp;SUBSTITUTE(TRIM(F28),"'","''")&amp;"') AND d.estado = 1 LIMIT 1)")&amp;", "&amp;IF(I28&amp;""="","NULL",SUBSTITUTE(I28&amp;"",",","."))&amp;", "&amp;IF(J28&amp;""="","NULL",SUBSTITUTE(J28&amp;"",",","."))&amp;", "&amp;IF(UPPER(TRIM(K28&amp;""))="SI","TRUE","FALSE")&amp;", 1"&amp;" WHERE NOT EXISTS (SELECT 1 FROM cli_direcciones x WHERE x.id_cliente = "&amp;"(SELECT id FROM cli_clientes WHERE numero_documento = '"&amp;SUBSTITUTE(TRIM(A28),"'","''")&amp;"' AND estado = 1 LIMIT 1)"&amp;" AND upper(x.direccion) = upper("&amp;IF(TRIM(D28&amp;"")="","NULL","'"&amp;SUBSTITUTE(TRIM(D28),"'","''")&amp;"'")&amp;"));")</f>
        <v/>
      </c>
    </row>
    <row r="29" ht="15.75" customHeight="1" s="64">
      <c r="A29" s="23" t="n"/>
      <c r="B29" s="25">
        <f t="array" ref="B29">IF(A29="","",IFERROR(IF(INDEX(Clientes!$D$5:$D$549,MATCH(A29,Clientes!$C$5:$C$549,0))&lt;&gt;"",INDEX(Clientes!$D$5:$D$549,MATCH(A29,Clientes!$C$5:$C$549,0)),TRIM(INDEX(Clientes!$E$5:$E$549,MATCH(A29,Clientes!$C$5:$C$549,0))&amp;" "&amp;INDEX(Clientes!$F$5:$F$549,MATCH(A29,Clientes!$C$5:$C$549,0)))),"NO EXISTE en Clientes"))</f>
        <v/>
      </c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>
        <f>IF(AND(A29="",D29=""),"",IF(A29="","FALTA doc. cliente",IF(B29="NO EXISTE en Clientes","CLIENTE no está en hoja Clientes",IF(D29="","FALTA dirección",IF(AND(H29&lt;&gt;"",OR(F29="",G29="")),"Distrito requiere departamento y provincia",IF(AND(G29&lt;&gt;"",F29=""),"Provincia requiere departamento",IF((I29&lt;&gt;"")&lt;&gt;(J29&lt;&gt;""),"Latitud y longitud van juntas","OK")))))))</f>
        <v/>
      </c>
      <c r="M29" s="28">
        <f>IF(L29&lt;&gt;"OK","","INSERT INTO cli_direcciones (id_cliente, descripcion, direccion, referencia, id_departamento, id_provincia, id_distrito, latitud, longitud, es_principal, estado) SELECT "&amp;"(SELECT id FROM cli_clientes WHERE numero_documento = '"&amp;SUBSTITUTE(TRIM(A29),"'","''")&amp;"' AND estado = 1 LIMIT 1)"&amp;", "&amp;IF(TRIM(C29&amp;"")="","NULL","'"&amp;SUBSTITUTE(TRIM(C29),"'","''")&amp;"'")&amp;", "&amp;IF(TRIM(D29&amp;"")="","NULL","'"&amp;SUBSTITUTE(TRIM(D29),"'","''")&amp;"'")&amp;", "&amp;IF(TRIM(E29&amp;"")="","NULL","'"&amp;SUBSTITUTE(TRIM(E29),"'","''")&amp;"'")&amp;", "&amp;IF(TRIM(F29&amp;"")="","NULL","(SELECT id FROM gen_departamento WHERE upper(nombre) = upper('"&amp;SUBSTITUTE(TRIM(F29),"'","''")&amp;"') AND estado = 1 LIMIT 1)")&amp;", "&amp;IF(OR(TRIM(F29&amp;"")="",TRIM(G29&amp;"")=""),"NULL","(SELECT p.id FROM gen_provincia p JOIN gen_departamento dp ON dp.id = p.id_departamento WHERE upper(p.nombre) = upper('"&amp;SUBSTITUTE(TRIM(G29),"'","''")&amp;"') AND upper(dp.nombre) = upper('"&amp;SUBSTITUTE(TRIM(F29),"'","''")&amp;"') AND p.estado = 1 LIMIT 1)")&amp;", "&amp;IF(OR(TRIM(F29&amp;"")="",TRIM(G29&amp;"")="",TRIM(H29&amp;"")=""),"NULL","(SELECT d.id FROM gen_distrito d JOIN gen_provincia p ON p.id = d.id_provincia JOIN gen_departamento dp ON dp.id = p.id_departamento WHERE upper(d.nombre) = upper('"&amp;SUBSTITUTE(TRIM(H29),"'","''")&amp;"') AND upper(p.nombre) = upper('"&amp;SUBSTITUTE(TRIM(G29),"'","''")&amp;"') AND upper(dp.nombre) = upper('"&amp;SUBSTITUTE(TRIM(F29),"'","''")&amp;"') AND d.estado = 1 LIMIT 1)")&amp;", "&amp;IF(I29&amp;""="","NULL",SUBSTITUTE(I29&amp;"",",","."))&amp;", "&amp;IF(J29&amp;""="","NULL",SUBSTITUTE(J29&amp;"",",","."))&amp;", "&amp;IF(UPPER(TRIM(K29&amp;""))="SI","TRUE","FALSE")&amp;", 1"&amp;" WHERE NOT EXISTS (SELECT 1 FROM cli_direcciones x WHERE x.id_cliente = "&amp;"(SELECT id FROM cli_clientes WHERE numero_documento = '"&amp;SUBSTITUTE(TRIM(A29),"'","''")&amp;"' AND estado = 1 LIMIT 1)"&amp;" AND upper(x.direccion) = upper("&amp;IF(TRIM(D29&amp;"")="","NULL","'"&amp;SUBSTITUTE(TRIM(D29),"'","''")&amp;"'")&amp;"));")</f>
        <v/>
      </c>
    </row>
    <row r="30" ht="15.75" customHeight="1" s="64">
      <c r="A30" s="23" t="n"/>
      <c r="B30" s="25">
        <f t="array" ref="B30">IF(A30="","",IFERROR(IF(INDEX(Clientes!$D$5:$D$549,MATCH(A30,Clientes!$C$5:$C$549,0))&lt;&gt;"",INDEX(Clientes!$D$5:$D$549,MATCH(A30,Clientes!$C$5:$C$549,0)),TRIM(INDEX(Clientes!$E$5:$E$549,MATCH(A30,Clientes!$C$5:$C$549,0))&amp;" "&amp;INDEX(Clientes!$F$5:$F$549,MATCH(A30,Clientes!$C$5:$C$549,0)))),"NO EXISTE en Clientes"))</f>
        <v/>
      </c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>
        <f>IF(AND(A30="",D30=""),"",IF(A30="","FALTA doc. cliente",IF(B30="NO EXISTE en Clientes","CLIENTE no está en hoja Clientes",IF(D30="","FALTA dirección",IF(AND(H30&lt;&gt;"",OR(F30="",G30="")),"Distrito requiere departamento y provincia",IF(AND(G30&lt;&gt;"",F30=""),"Provincia requiere departamento",IF((I30&lt;&gt;"")&lt;&gt;(J30&lt;&gt;""),"Latitud y longitud van juntas","OK")))))))</f>
        <v/>
      </c>
      <c r="M30" s="28">
        <f>IF(L30&lt;&gt;"OK","","INSERT INTO cli_direcciones (id_cliente, descripcion, direccion, referencia, id_departamento, id_provincia, id_distrito, latitud, longitud, es_principal, estado) SELECT "&amp;"(SELECT id FROM cli_clientes WHERE numero_documento = '"&amp;SUBSTITUTE(TRIM(A30),"'","''")&amp;"' AND estado = 1 LIMIT 1)"&amp;", "&amp;IF(TRIM(C30&amp;"")="","NULL","'"&amp;SUBSTITUTE(TRIM(C30),"'","''")&amp;"'")&amp;", "&amp;IF(TRIM(D30&amp;"")="","NULL","'"&amp;SUBSTITUTE(TRIM(D30),"'","''")&amp;"'")&amp;", "&amp;IF(TRIM(E30&amp;"")="","NULL","'"&amp;SUBSTITUTE(TRIM(E30),"'","''")&amp;"'")&amp;", "&amp;IF(TRIM(F30&amp;"")="","NULL","(SELECT id FROM gen_departamento WHERE upper(nombre) = upper('"&amp;SUBSTITUTE(TRIM(F30),"'","''")&amp;"') AND estado = 1 LIMIT 1)")&amp;", "&amp;IF(OR(TRIM(F30&amp;"")="",TRIM(G30&amp;"")=""),"NULL","(SELECT p.id FROM gen_provincia p JOIN gen_departamento dp ON dp.id = p.id_departamento WHERE upper(p.nombre) = upper('"&amp;SUBSTITUTE(TRIM(G30),"'","''")&amp;"') AND upper(dp.nombre) = upper('"&amp;SUBSTITUTE(TRIM(F30),"'","''")&amp;"') AND p.estado = 1 LIMIT 1)")&amp;", "&amp;IF(OR(TRIM(F30&amp;"")="",TRIM(G30&amp;"")="",TRIM(H30&amp;"")=""),"NULL","(SELECT d.id FROM gen_distrito d JOIN gen_provincia p ON p.id = d.id_provincia JOIN gen_departamento dp ON dp.id = p.id_departamento WHERE upper(d.nombre) = upper('"&amp;SUBSTITUTE(TRIM(H30),"'","''")&amp;"') AND upper(p.nombre) = upper('"&amp;SUBSTITUTE(TRIM(G30),"'","''")&amp;"') AND upper(dp.nombre) = upper('"&amp;SUBSTITUTE(TRIM(F30),"'","''")&amp;"') AND d.estado = 1 LIMIT 1)")&amp;", "&amp;IF(I30&amp;""="","NULL",SUBSTITUTE(I30&amp;"",",","."))&amp;", "&amp;IF(J30&amp;""="","NULL",SUBSTITUTE(J30&amp;"",",","."))&amp;", "&amp;IF(UPPER(TRIM(K30&amp;""))="SI","TRUE","FALSE")&amp;", 1"&amp;" WHERE NOT EXISTS (SELECT 1 FROM cli_direcciones x WHERE x.id_cliente = "&amp;"(SELECT id FROM cli_clientes WHERE numero_documento = '"&amp;SUBSTITUTE(TRIM(A30),"'","''")&amp;"' AND estado = 1 LIMIT 1)"&amp;" AND upper(x.direccion) = upper("&amp;IF(TRIM(D30&amp;"")="","NULL","'"&amp;SUBSTITUTE(TRIM(D30),"'","''")&amp;"'")&amp;"));")</f>
        <v/>
      </c>
    </row>
    <row r="31" ht="15.75" customHeight="1" s="64">
      <c r="A31" s="23" t="n"/>
      <c r="B31" s="25">
        <f t="array" ref="B31">IF(A31="","",IFERROR(IF(INDEX(Clientes!$D$5:$D$549,MATCH(A31,Clientes!$C$5:$C$549,0))&lt;&gt;"",INDEX(Clientes!$D$5:$D$549,MATCH(A31,Clientes!$C$5:$C$549,0)),TRIM(INDEX(Clientes!$E$5:$E$549,MATCH(A31,Clientes!$C$5:$C$549,0))&amp;" "&amp;INDEX(Clientes!$F$5:$F$549,MATCH(A31,Clientes!$C$5:$C$549,0)))),"NO EXISTE en Clientes"))</f>
        <v/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>
        <f>IF(AND(A31="",D31=""),"",IF(A31="","FALTA doc. cliente",IF(B31="NO EXISTE en Clientes","CLIENTE no está en hoja Clientes",IF(D31="","FALTA dirección",IF(AND(H31&lt;&gt;"",OR(F31="",G31="")),"Distrito requiere departamento y provincia",IF(AND(G31&lt;&gt;"",F31=""),"Provincia requiere departamento",IF((I31&lt;&gt;"")&lt;&gt;(J31&lt;&gt;""),"Latitud y longitud van juntas","OK")))))))</f>
        <v/>
      </c>
      <c r="M31" s="28">
        <f>IF(L31&lt;&gt;"OK","","INSERT INTO cli_direcciones (id_cliente, descripcion, direccion, referencia, id_departamento, id_provincia, id_distrito, latitud, longitud, es_principal, estado) SELECT "&amp;"(SELECT id FROM cli_clientes WHERE numero_documento = '"&amp;SUBSTITUTE(TRIM(A31),"'","''")&amp;"' AND estado = 1 LIMIT 1)"&amp;", "&amp;IF(TRIM(C31&amp;"")="","NULL","'"&amp;SUBSTITUTE(TRIM(C31),"'","''")&amp;"'")&amp;", "&amp;IF(TRIM(D31&amp;"")="","NULL","'"&amp;SUBSTITUTE(TRIM(D31),"'","''")&amp;"'")&amp;", "&amp;IF(TRIM(E31&amp;"")="","NULL","'"&amp;SUBSTITUTE(TRIM(E31),"'","''")&amp;"'")&amp;", "&amp;IF(TRIM(F31&amp;"")="","NULL","(SELECT id FROM gen_departamento WHERE upper(nombre) = upper('"&amp;SUBSTITUTE(TRIM(F31),"'","''")&amp;"') AND estado = 1 LIMIT 1)")&amp;", "&amp;IF(OR(TRIM(F31&amp;"")="",TRIM(G31&amp;"")=""),"NULL","(SELECT p.id FROM gen_provincia p JOIN gen_departamento dp ON dp.id = p.id_departamento WHERE upper(p.nombre) = upper('"&amp;SUBSTITUTE(TRIM(G31),"'","''")&amp;"') AND upper(dp.nombre) = upper('"&amp;SUBSTITUTE(TRIM(F31),"'","''")&amp;"') AND p.estado = 1 LIMIT 1)")&amp;", "&amp;IF(OR(TRIM(F31&amp;"")="",TRIM(G31&amp;"")="",TRIM(H31&amp;"")=""),"NULL","(SELECT d.id FROM gen_distrito d JOIN gen_provincia p ON p.id = d.id_provincia JOIN gen_departamento dp ON dp.id = p.id_departamento WHERE upper(d.nombre) = upper('"&amp;SUBSTITUTE(TRIM(H31),"'","''")&amp;"') AND upper(p.nombre) = upper('"&amp;SUBSTITUTE(TRIM(G31),"'","''")&amp;"') AND upper(dp.nombre) = upper('"&amp;SUBSTITUTE(TRIM(F31),"'","''")&amp;"') AND d.estado = 1 LIMIT 1)")&amp;", "&amp;IF(I31&amp;""="","NULL",SUBSTITUTE(I31&amp;"",",","."))&amp;", "&amp;IF(J31&amp;""="","NULL",SUBSTITUTE(J31&amp;"",",","."))&amp;", "&amp;IF(UPPER(TRIM(K31&amp;""))="SI","TRUE","FALSE")&amp;", 1"&amp;" WHERE NOT EXISTS (SELECT 1 FROM cli_direcciones x WHERE x.id_cliente = "&amp;"(SELECT id FROM cli_clientes WHERE numero_documento = '"&amp;SUBSTITUTE(TRIM(A31),"'","''")&amp;"' AND estado = 1 LIMIT 1)"&amp;" AND upper(x.direccion) = upper("&amp;IF(TRIM(D31&amp;"")="","NULL","'"&amp;SUBSTITUTE(TRIM(D31),"'","''")&amp;"'")&amp;"));")</f>
        <v/>
      </c>
    </row>
    <row r="32" ht="15.75" customHeight="1" s="64">
      <c r="A32" s="23" t="n"/>
      <c r="B32" s="25">
        <f t="array" ref="B32">IF(A32="","",IFERROR(IF(INDEX(Clientes!$D$5:$D$549,MATCH(A32,Clientes!$C$5:$C$549,0))&lt;&gt;"",INDEX(Clientes!$D$5:$D$549,MATCH(A32,Clientes!$C$5:$C$549,0)),TRIM(INDEX(Clientes!$E$5:$E$549,MATCH(A32,Clientes!$C$5:$C$549,0))&amp;" "&amp;INDEX(Clientes!$F$5:$F$549,MATCH(A32,Clientes!$C$5:$C$549,0)))),"NO EXISTE en Clientes"))</f>
        <v/>
      </c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>
        <f>IF(AND(A32="",D32=""),"",IF(A32="","FALTA doc. cliente",IF(B32="NO EXISTE en Clientes","CLIENTE no está en hoja Clientes",IF(D32="","FALTA dirección",IF(AND(H32&lt;&gt;"",OR(F32="",G32="")),"Distrito requiere departamento y provincia",IF(AND(G32&lt;&gt;"",F32=""),"Provincia requiere departamento",IF((I32&lt;&gt;"")&lt;&gt;(J32&lt;&gt;""),"Latitud y longitud van juntas","OK")))))))</f>
        <v/>
      </c>
      <c r="M32" s="28">
        <f>IF(L32&lt;&gt;"OK","","INSERT INTO cli_direcciones (id_cliente, descripcion, direccion, referencia, id_departamento, id_provincia, id_distrito, latitud, longitud, es_principal, estado) SELECT "&amp;"(SELECT id FROM cli_clientes WHERE numero_documento = '"&amp;SUBSTITUTE(TRIM(A32),"'","''")&amp;"' AND estado = 1 LIMIT 1)"&amp;", "&amp;IF(TRIM(C32&amp;"")="","NULL","'"&amp;SUBSTITUTE(TRIM(C32),"'","''")&amp;"'")&amp;", "&amp;IF(TRIM(D32&amp;"")="","NULL","'"&amp;SUBSTITUTE(TRIM(D32),"'","''")&amp;"'")&amp;", "&amp;IF(TRIM(E32&amp;"")="","NULL","'"&amp;SUBSTITUTE(TRIM(E32),"'","''")&amp;"'")&amp;", "&amp;IF(TRIM(F32&amp;"")="","NULL","(SELECT id FROM gen_departamento WHERE upper(nombre) = upper('"&amp;SUBSTITUTE(TRIM(F32),"'","''")&amp;"') AND estado = 1 LIMIT 1)")&amp;", "&amp;IF(OR(TRIM(F32&amp;"")="",TRIM(G32&amp;"")=""),"NULL","(SELECT p.id FROM gen_provincia p JOIN gen_departamento dp ON dp.id = p.id_departamento WHERE upper(p.nombre) = upper('"&amp;SUBSTITUTE(TRIM(G32),"'","''")&amp;"') AND upper(dp.nombre) = upper('"&amp;SUBSTITUTE(TRIM(F32),"'","''")&amp;"') AND p.estado = 1 LIMIT 1)")&amp;", "&amp;IF(OR(TRIM(F32&amp;"")="",TRIM(G32&amp;"")="",TRIM(H32&amp;"")=""),"NULL","(SELECT d.id FROM gen_distrito d JOIN gen_provincia p ON p.id = d.id_provincia JOIN gen_departamento dp ON dp.id = p.id_departamento WHERE upper(d.nombre) = upper('"&amp;SUBSTITUTE(TRIM(H32),"'","''")&amp;"') AND upper(p.nombre) = upper('"&amp;SUBSTITUTE(TRIM(G32),"'","''")&amp;"') AND upper(dp.nombre) = upper('"&amp;SUBSTITUTE(TRIM(F32),"'","''")&amp;"') AND d.estado = 1 LIMIT 1)")&amp;", "&amp;IF(I32&amp;""="","NULL",SUBSTITUTE(I32&amp;"",",","."))&amp;", "&amp;IF(J32&amp;""="","NULL",SUBSTITUTE(J32&amp;"",",","."))&amp;", "&amp;IF(UPPER(TRIM(K32&amp;""))="SI","TRUE","FALSE")&amp;", 1"&amp;" WHERE NOT EXISTS (SELECT 1 FROM cli_direcciones x WHERE x.id_cliente = "&amp;"(SELECT id FROM cli_clientes WHERE numero_documento = '"&amp;SUBSTITUTE(TRIM(A32),"'","''")&amp;"' AND estado = 1 LIMIT 1)"&amp;" AND upper(x.direccion) = upper("&amp;IF(TRIM(D32&amp;"")="","NULL","'"&amp;SUBSTITUTE(TRIM(D32),"'","''")&amp;"'")&amp;"));")</f>
        <v/>
      </c>
    </row>
    <row r="33" ht="15.75" customHeight="1" s="64">
      <c r="A33" s="23" t="n"/>
      <c r="B33" s="25">
        <f t="array" ref="B33">IF(A33="","",IFERROR(IF(INDEX(Clientes!$D$5:$D$549,MATCH(A33,Clientes!$C$5:$C$549,0))&lt;&gt;"",INDEX(Clientes!$D$5:$D$549,MATCH(A33,Clientes!$C$5:$C$549,0)),TRIM(INDEX(Clientes!$E$5:$E$549,MATCH(A33,Clientes!$C$5:$C$549,0))&amp;" "&amp;INDEX(Clientes!$F$5:$F$549,MATCH(A33,Clientes!$C$5:$C$549,0)))),"NO EXISTE en Clientes"))</f>
        <v/>
      </c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>
        <f>IF(AND(A33="",D33=""),"",IF(A33="","FALTA doc. cliente",IF(B33="NO EXISTE en Clientes","CLIENTE no está en hoja Clientes",IF(D33="","FALTA dirección",IF(AND(H33&lt;&gt;"",OR(F33="",G33="")),"Distrito requiere departamento y provincia",IF(AND(G33&lt;&gt;"",F33=""),"Provincia requiere departamento",IF((I33&lt;&gt;"")&lt;&gt;(J33&lt;&gt;""),"Latitud y longitud van juntas","OK")))))))</f>
        <v/>
      </c>
      <c r="M33" s="28">
        <f>IF(L33&lt;&gt;"OK","","INSERT INTO cli_direcciones (id_cliente, descripcion, direccion, referencia, id_departamento, id_provincia, id_distrito, latitud, longitud, es_principal, estado) SELECT "&amp;"(SELECT id FROM cli_clientes WHERE numero_documento = '"&amp;SUBSTITUTE(TRIM(A33),"'","''")&amp;"' AND estado = 1 LIMIT 1)"&amp;", "&amp;IF(TRIM(C33&amp;"")="","NULL","'"&amp;SUBSTITUTE(TRIM(C33),"'","''")&amp;"'")&amp;", "&amp;IF(TRIM(D33&amp;"")="","NULL","'"&amp;SUBSTITUTE(TRIM(D33),"'","''")&amp;"'")&amp;", "&amp;IF(TRIM(E33&amp;"")="","NULL","'"&amp;SUBSTITUTE(TRIM(E33),"'","''")&amp;"'")&amp;", "&amp;IF(TRIM(F33&amp;"")="","NULL","(SELECT id FROM gen_departamento WHERE upper(nombre) = upper('"&amp;SUBSTITUTE(TRIM(F33),"'","''")&amp;"') AND estado = 1 LIMIT 1)")&amp;", "&amp;IF(OR(TRIM(F33&amp;"")="",TRIM(G33&amp;"")=""),"NULL","(SELECT p.id FROM gen_provincia p JOIN gen_departamento dp ON dp.id = p.id_departamento WHERE upper(p.nombre) = upper('"&amp;SUBSTITUTE(TRIM(G33),"'","''")&amp;"') AND upper(dp.nombre) = upper('"&amp;SUBSTITUTE(TRIM(F33),"'","''")&amp;"') AND p.estado = 1 LIMIT 1)")&amp;", "&amp;IF(OR(TRIM(F33&amp;"")="",TRIM(G33&amp;"")="",TRIM(H33&amp;"")=""),"NULL","(SELECT d.id FROM gen_distrito d JOIN gen_provincia p ON p.id = d.id_provincia JOIN gen_departamento dp ON dp.id = p.id_departamento WHERE upper(d.nombre) = upper('"&amp;SUBSTITUTE(TRIM(H33),"'","''")&amp;"') AND upper(p.nombre) = upper('"&amp;SUBSTITUTE(TRIM(G33),"'","''")&amp;"') AND upper(dp.nombre) = upper('"&amp;SUBSTITUTE(TRIM(F33),"'","''")&amp;"') AND d.estado = 1 LIMIT 1)")&amp;", "&amp;IF(I33&amp;""="","NULL",SUBSTITUTE(I33&amp;"",",","."))&amp;", "&amp;IF(J33&amp;""="","NULL",SUBSTITUTE(J33&amp;"",",","."))&amp;", "&amp;IF(UPPER(TRIM(K33&amp;""))="SI","TRUE","FALSE")&amp;", 1"&amp;" WHERE NOT EXISTS (SELECT 1 FROM cli_direcciones x WHERE x.id_cliente = "&amp;"(SELECT id FROM cli_clientes WHERE numero_documento = '"&amp;SUBSTITUTE(TRIM(A33),"'","''")&amp;"' AND estado = 1 LIMIT 1)"&amp;" AND upper(x.direccion) = upper("&amp;IF(TRIM(D33&amp;"")="","NULL","'"&amp;SUBSTITUTE(TRIM(D33),"'","''")&amp;"'")&amp;"));")</f>
        <v/>
      </c>
    </row>
    <row r="34" ht="15.75" customHeight="1" s="64">
      <c r="A34" s="23" t="n"/>
      <c r="B34" s="25">
        <f t="array" ref="B34">IF(A34="","",IFERROR(IF(INDEX(Clientes!$D$5:$D$549,MATCH(A34,Clientes!$C$5:$C$549,0))&lt;&gt;"",INDEX(Clientes!$D$5:$D$549,MATCH(A34,Clientes!$C$5:$C$549,0)),TRIM(INDEX(Clientes!$E$5:$E$549,MATCH(A34,Clientes!$C$5:$C$549,0))&amp;" "&amp;INDEX(Clientes!$F$5:$F$549,MATCH(A34,Clientes!$C$5:$C$549,0)))),"NO EXISTE en Clientes"))</f>
        <v/>
      </c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>
        <f>IF(AND(A34="",D34=""),"",IF(A34="","FALTA doc. cliente",IF(B34="NO EXISTE en Clientes","CLIENTE no está en hoja Clientes",IF(D34="","FALTA dirección",IF(AND(H34&lt;&gt;"",OR(F34="",G34="")),"Distrito requiere departamento y provincia",IF(AND(G34&lt;&gt;"",F34=""),"Provincia requiere departamento",IF((I34&lt;&gt;"")&lt;&gt;(J34&lt;&gt;""),"Latitud y longitud van juntas","OK")))))))</f>
        <v/>
      </c>
      <c r="M34" s="28">
        <f>IF(L34&lt;&gt;"OK","","INSERT INTO cli_direcciones (id_cliente, descripcion, direccion, referencia, id_departamento, id_provincia, id_distrito, latitud, longitud, es_principal, estado) SELECT "&amp;"(SELECT id FROM cli_clientes WHERE numero_documento = '"&amp;SUBSTITUTE(TRIM(A34),"'","''")&amp;"' AND estado = 1 LIMIT 1)"&amp;", "&amp;IF(TRIM(C34&amp;"")="","NULL","'"&amp;SUBSTITUTE(TRIM(C34),"'","''")&amp;"'")&amp;", "&amp;IF(TRIM(D34&amp;"")="","NULL","'"&amp;SUBSTITUTE(TRIM(D34),"'","''")&amp;"'")&amp;", "&amp;IF(TRIM(E34&amp;"")="","NULL","'"&amp;SUBSTITUTE(TRIM(E34),"'","''")&amp;"'")&amp;", "&amp;IF(TRIM(F34&amp;"")="","NULL","(SELECT id FROM gen_departamento WHERE upper(nombre) = upper('"&amp;SUBSTITUTE(TRIM(F34),"'","''")&amp;"') AND estado = 1 LIMIT 1)")&amp;", "&amp;IF(OR(TRIM(F34&amp;"")="",TRIM(G34&amp;"")=""),"NULL","(SELECT p.id FROM gen_provincia p JOIN gen_departamento dp ON dp.id = p.id_departamento WHERE upper(p.nombre) = upper('"&amp;SUBSTITUTE(TRIM(G34),"'","''")&amp;"') AND upper(dp.nombre) = upper('"&amp;SUBSTITUTE(TRIM(F34),"'","''")&amp;"') AND p.estado = 1 LIMIT 1)")&amp;", "&amp;IF(OR(TRIM(F34&amp;"")="",TRIM(G34&amp;"")="",TRIM(H34&amp;"")=""),"NULL","(SELECT d.id FROM gen_distrito d JOIN gen_provincia p ON p.id = d.id_provincia JOIN gen_departamento dp ON dp.id = p.id_departamento WHERE upper(d.nombre) = upper('"&amp;SUBSTITUTE(TRIM(H34),"'","''")&amp;"') AND upper(p.nombre) = upper('"&amp;SUBSTITUTE(TRIM(G34),"'","''")&amp;"') AND upper(dp.nombre) = upper('"&amp;SUBSTITUTE(TRIM(F34),"'","''")&amp;"') AND d.estado = 1 LIMIT 1)")&amp;", "&amp;IF(I34&amp;""="","NULL",SUBSTITUTE(I34&amp;"",",","."))&amp;", "&amp;IF(J34&amp;""="","NULL",SUBSTITUTE(J34&amp;"",",","."))&amp;", "&amp;IF(UPPER(TRIM(K34&amp;""))="SI","TRUE","FALSE")&amp;", 1"&amp;" WHERE NOT EXISTS (SELECT 1 FROM cli_direcciones x WHERE x.id_cliente = "&amp;"(SELECT id FROM cli_clientes WHERE numero_documento = '"&amp;SUBSTITUTE(TRIM(A34),"'","''")&amp;"' AND estado = 1 LIMIT 1)"&amp;" AND upper(x.direccion) = upper("&amp;IF(TRIM(D34&amp;"")="","NULL","'"&amp;SUBSTITUTE(TRIM(D34),"'","''")&amp;"'")&amp;"));")</f>
        <v/>
      </c>
    </row>
    <row r="35" ht="15.75" customHeight="1" s="64">
      <c r="A35" s="23" t="n"/>
      <c r="B35" s="25">
        <f t="array" ref="B35">IF(A35="","",IFERROR(IF(INDEX(Clientes!$D$5:$D$549,MATCH(A35,Clientes!$C$5:$C$549,0))&lt;&gt;"",INDEX(Clientes!$D$5:$D$549,MATCH(A35,Clientes!$C$5:$C$549,0)),TRIM(INDEX(Clientes!$E$5:$E$549,MATCH(A35,Clientes!$C$5:$C$549,0))&amp;" "&amp;INDEX(Clientes!$F$5:$F$549,MATCH(A35,Clientes!$C$5:$C$549,0)))),"NO EXISTE en Clientes"))</f>
        <v/>
      </c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>
        <f>IF(AND(A35="",D35=""),"",IF(A35="","FALTA doc. cliente",IF(B35="NO EXISTE en Clientes","CLIENTE no está en hoja Clientes",IF(D35="","FALTA dirección",IF(AND(H35&lt;&gt;"",OR(F35="",G35="")),"Distrito requiere departamento y provincia",IF(AND(G35&lt;&gt;"",F35=""),"Provincia requiere departamento",IF((I35&lt;&gt;"")&lt;&gt;(J35&lt;&gt;""),"Latitud y longitud van juntas","OK")))))))</f>
        <v/>
      </c>
      <c r="M35" s="28">
        <f>IF(L35&lt;&gt;"OK","","INSERT INTO cli_direcciones (id_cliente, descripcion, direccion, referencia, id_departamento, id_provincia, id_distrito, latitud, longitud, es_principal, estado) SELECT "&amp;"(SELECT id FROM cli_clientes WHERE numero_documento = '"&amp;SUBSTITUTE(TRIM(A35),"'","''")&amp;"' AND estado = 1 LIMIT 1)"&amp;", "&amp;IF(TRIM(C35&amp;"")="","NULL","'"&amp;SUBSTITUTE(TRIM(C35),"'","''")&amp;"'")&amp;", "&amp;IF(TRIM(D35&amp;"")="","NULL","'"&amp;SUBSTITUTE(TRIM(D35),"'","''")&amp;"'")&amp;", "&amp;IF(TRIM(E35&amp;"")="","NULL","'"&amp;SUBSTITUTE(TRIM(E35),"'","''")&amp;"'")&amp;", "&amp;IF(TRIM(F35&amp;"")="","NULL","(SELECT id FROM gen_departamento WHERE upper(nombre) = upper('"&amp;SUBSTITUTE(TRIM(F35),"'","''")&amp;"') AND estado = 1 LIMIT 1)")&amp;", "&amp;IF(OR(TRIM(F35&amp;"")="",TRIM(G35&amp;"")=""),"NULL","(SELECT p.id FROM gen_provincia p JOIN gen_departamento dp ON dp.id = p.id_departamento WHERE upper(p.nombre) = upper('"&amp;SUBSTITUTE(TRIM(G35),"'","''")&amp;"') AND upper(dp.nombre) = upper('"&amp;SUBSTITUTE(TRIM(F35),"'","''")&amp;"') AND p.estado = 1 LIMIT 1)")&amp;", "&amp;IF(OR(TRIM(F35&amp;"")="",TRIM(G35&amp;"")="",TRIM(H35&amp;"")=""),"NULL","(SELECT d.id FROM gen_distrito d JOIN gen_provincia p ON p.id = d.id_provincia JOIN gen_departamento dp ON dp.id = p.id_departamento WHERE upper(d.nombre) = upper('"&amp;SUBSTITUTE(TRIM(H35),"'","''")&amp;"') AND upper(p.nombre) = upper('"&amp;SUBSTITUTE(TRIM(G35),"'","''")&amp;"') AND upper(dp.nombre) = upper('"&amp;SUBSTITUTE(TRIM(F35),"'","''")&amp;"') AND d.estado = 1 LIMIT 1)")&amp;", "&amp;IF(I35&amp;""="","NULL",SUBSTITUTE(I35&amp;"",",","."))&amp;", "&amp;IF(J35&amp;""="","NULL",SUBSTITUTE(J35&amp;"",",","."))&amp;", "&amp;IF(UPPER(TRIM(K35&amp;""))="SI","TRUE","FALSE")&amp;", 1"&amp;" WHERE NOT EXISTS (SELECT 1 FROM cli_direcciones x WHERE x.id_cliente = "&amp;"(SELECT id FROM cli_clientes WHERE numero_documento = '"&amp;SUBSTITUTE(TRIM(A35),"'","''")&amp;"' AND estado = 1 LIMIT 1)"&amp;" AND upper(x.direccion) = upper("&amp;IF(TRIM(D35&amp;"")="","NULL","'"&amp;SUBSTITUTE(TRIM(D35),"'","''")&amp;"'")&amp;"));")</f>
        <v/>
      </c>
    </row>
    <row r="36" ht="15.75" customHeight="1" s="64">
      <c r="A36" s="23" t="n"/>
      <c r="B36" s="25">
        <f t="array" ref="B36">IF(A36="","",IFERROR(IF(INDEX(Clientes!$D$5:$D$549,MATCH(A36,Clientes!$C$5:$C$549,0))&lt;&gt;"",INDEX(Clientes!$D$5:$D$549,MATCH(A36,Clientes!$C$5:$C$549,0)),TRIM(INDEX(Clientes!$E$5:$E$549,MATCH(A36,Clientes!$C$5:$C$549,0))&amp;" "&amp;INDEX(Clientes!$F$5:$F$549,MATCH(A36,Clientes!$C$5:$C$549,0)))),"NO EXISTE en Clientes"))</f>
        <v/>
      </c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>
        <f>IF(AND(A36="",D36=""),"",IF(A36="","FALTA doc. cliente",IF(B36="NO EXISTE en Clientes","CLIENTE no está en hoja Clientes",IF(D36="","FALTA dirección",IF(AND(H36&lt;&gt;"",OR(F36="",G36="")),"Distrito requiere departamento y provincia",IF(AND(G36&lt;&gt;"",F36=""),"Provincia requiere departamento",IF((I36&lt;&gt;"")&lt;&gt;(J36&lt;&gt;""),"Latitud y longitud van juntas","OK")))))))</f>
        <v/>
      </c>
      <c r="M36" s="28">
        <f>IF(L36&lt;&gt;"OK","","INSERT INTO cli_direcciones (id_cliente, descripcion, direccion, referencia, id_departamento, id_provincia, id_distrito, latitud, longitud, es_principal, estado) SELECT "&amp;"(SELECT id FROM cli_clientes WHERE numero_documento = '"&amp;SUBSTITUTE(TRIM(A36),"'","''")&amp;"' AND estado = 1 LIMIT 1)"&amp;", "&amp;IF(TRIM(C36&amp;"")="","NULL","'"&amp;SUBSTITUTE(TRIM(C36),"'","''")&amp;"'")&amp;", "&amp;IF(TRIM(D36&amp;"")="","NULL","'"&amp;SUBSTITUTE(TRIM(D36),"'","''")&amp;"'")&amp;", "&amp;IF(TRIM(E36&amp;"")="","NULL","'"&amp;SUBSTITUTE(TRIM(E36),"'","''")&amp;"'")&amp;", "&amp;IF(TRIM(F36&amp;"")="","NULL","(SELECT id FROM gen_departamento WHERE upper(nombre) = upper('"&amp;SUBSTITUTE(TRIM(F36),"'","''")&amp;"') AND estado = 1 LIMIT 1)")&amp;", "&amp;IF(OR(TRIM(F36&amp;"")="",TRIM(G36&amp;"")=""),"NULL","(SELECT p.id FROM gen_provincia p JOIN gen_departamento dp ON dp.id = p.id_departamento WHERE upper(p.nombre) = upper('"&amp;SUBSTITUTE(TRIM(G36),"'","''")&amp;"') AND upper(dp.nombre) = upper('"&amp;SUBSTITUTE(TRIM(F36),"'","''")&amp;"') AND p.estado = 1 LIMIT 1)")&amp;", "&amp;IF(OR(TRIM(F36&amp;"")="",TRIM(G36&amp;"")="",TRIM(H36&amp;"")=""),"NULL","(SELECT d.id FROM gen_distrito d JOIN gen_provincia p ON p.id = d.id_provincia JOIN gen_departamento dp ON dp.id = p.id_departamento WHERE upper(d.nombre) = upper('"&amp;SUBSTITUTE(TRIM(H36),"'","''")&amp;"') AND upper(p.nombre) = upper('"&amp;SUBSTITUTE(TRIM(G36),"'","''")&amp;"') AND upper(dp.nombre) = upper('"&amp;SUBSTITUTE(TRIM(F36),"'","''")&amp;"') AND d.estado = 1 LIMIT 1)")&amp;", "&amp;IF(I36&amp;""="","NULL",SUBSTITUTE(I36&amp;"",",","."))&amp;", "&amp;IF(J36&amp;""="","NULL",SUBSTITUTE(J36&amp;"",",","."))&amp;", "&amp;IF(UPPER(TRIM(K36&amp;""))="SI","TRUE","FALSE")&amp;", 1"&amp;" WHERE NOT EXISTS (SELECT 1 FROM cli_direcciones x WHERE x.id_cliente = "&amp;"(SELECT id FROM cli_clientes WHERE numero_documento = '"&amp;SUBSTITUTE(TRIM(A36),"'","''")&amp;"' AND estado = 1 LIMIT 1)"&amp;" AND upper(x.direccion) = upper("&amp;IF(TRIM(D36&amp;"")="","NULL","'"&amp;SUBSTITUTE(TRIM(D36),"'","''")&amp;"'")&amp;"));")</f>
        <v/>
      </c>
    </row>
    <row r="37" ht="15.75" customHeight="1" s="64">
      <c r="A37" s="23" t="n"/>
      <c r="B37" s="25">
        <f t="array" ref="B37">IF(A37="","",IFERROR(IF(INDEX(Clientes!$D$5:$D$549,MATCH(A37,Clientes!$C$5:$C$549,0))&lt;&gt;"",INDEX(Clientes!$D$5:$D$549,MATCH(A37,Clientes!$C$5:$C$549,0)),TRIM(INDEX(Clientes!$E$5:$E$549,MATCH(A37,Clientes!$C$5:$C$549,0))&amp;" "&amp;INDEX(Clientes!$F$5:$F$549,MATCH(A37,Clientes!$C$5:$C$549,0)))),"NO EXISTE en Clientes"))</f>
        <v/>
      </c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>
        <f>IF(AND(A37="",D37=""),"",IF(A37="","FALTA doc. cliente",IF(B37="NO EXISTE en Clientes","CLIENTE no está en hoja Clientes",IF(D37="","FALTA dirección",IF(AND(H37&lt;&gt;"",OR(F37="",G37="")),"Distrito requiere departamento y provincia",IF(AND(G37&lt;&gt;"",F37=""),"Provincia requiere departamento",IF((I37&lt;&gt;"")&lt;&gt;(J37&lt;&gt;""),"Latitud y longitud van juntas","OK")))))))</f>
        <v/>
      </c>
      <c r="M37" s="28">
        <f>IF(L37&lt;&gt;"OK","","INSERT INTO cli_direcciones (id_cliente, descripcion, direccion, referencia, id_departamento, id_provincia, id_distrito, latitud, longitud, es_principal, estado) SELECT "&amp;"(SELECT id FROM cli_clientes WHERE numero_documento = '"&amp;SUBSTITUTE(TRIM(A37),"'","''")&amp;"' AND estado = 1 LIMIT 1)"&amp;", "&amp;IF(TRIM(C37&amp;"")="","NULL","'"&amp;SUBSTITUTE(TRIM(C37),"'","''")&amp;"'")&amp;", "&amp;IF(TRIM(D37&amp;"")="","NULL","'"&amp;SUBSTITUTE(TRIM(D37),"'","''")&amp;"'")&amp;", "&amp;IF(TRIM(E37&amp;"")="","NULL","'"&amp;SUBSTITUTE(TRIM(E37),"'","''")&amp;"'")&amp;", "&amp;IF(TRIM(F37&amp;"")="","NULL","(SELECT id FROM gen_departamento WHERE upper(nombre) = upper('"&amp;SUBSTITUTE(TRIM(F37),"'","''")&amp;"') AND estado = 1 LIMIT 1)")&amp;", "&amp;IF(OR(TRIM(F37&amp;"")="",TRIM(G37&amp;"")=""),"NULL","(SELECT p.id FROM gen_provincia p JOIN gen_departamento dp ON dp.id = p.id_departamento WHERE upper(p.nombre) = upper('"&amp;SUBSTITUTE(TRIM(G37),"'","''")&amp;"') AND upper(dp.nombre) = upper('"&amp;SUBSTITUTE(TRIM(F37),"'","''")&amp;"') AND p.estado = 1 LIMIT 1)")&amp;", "&amp;IF(OR(TRIM(F37&amp;"")="",TRIM(G37&amp;"")="",TRIM(H37&amp;"")=""),"NULL","(SELECT d.id FROM gen_distrito d JOIN gen_provincia p ON p.id = d.id_provincia JOIN gen_departamento dp ON dp.id = p.id_departamento WHERE upper(d.nombre) = upper('"&amp;SUBSTITUTE(TRIM(H37),"'","''")&amp;"') AND upper(p.nombre) = upper('"&amp;SUBSTITUTE(TRIM(G37),"'","''")&amp;"') AND upper(dp.nombre) = upper('"&amp;SUBSTITUTE(TRIM(F37),"'","''")&amp;"') AND d.estado = 1 LIMIT 1)")&amp;", "&amp;IF(I37&amp;""="","NULL",SUBSTITUTE(I37&amp;"",",","."))&amp;", "&amp;IF(J37&amp;""="","NULL",SUBSTITUTE(J37&amp;"",",","."))&amp;", "&amp;IF(UPPER(TRIM(K37&amp;""))="SI","TRUE","FALSE")&amp;", 1"&amp;" WHERE NOT EXISTS (SELECT 1 FROM cli_direcciones x WHERE x.id_cliente = "&amp;"(SELECT id FROM cli_clientes WHERE numero_documento = '"&amp;SUBSTITUTE(TRIM(A37),"'","''")&amp;"' AND estado = 1 LIMIT 1)"&amp;" AND upper(x.direccion) = upper("&amp;IF(TRIM(D37&amp;"")="","NULL","'"&amp;SUBSTITUTE(TRIM(D37),"'","''")&amp;"'")&amp;"));")</f>
        <v/>
      </c>
    </row>
    <row r="38" ht="15.75" customHeight="1" s="64">
      <c r="A38" s="23" t="n"/>
      <c r="B38" s="25">
        <f t="array" ref="B38">IF(A38="","",IFERROR(IF(INDEX(Clientes!$D$5:$D$549,MATCH(A38,Clientes!$C$5:$C$549,0))&lt;&gt;"",INDEX(Clientes!$D$5:$D$549,MATCH(A38,Clientes!$C$5:$C$549,0)),TRIM(INDEX(Clientes!$E$5:$E$549,MATCH(A38,Clientes!$C$5:$C$549,0))&amp;" "&amp;INDEX(Clientes!$F$5:$F$549,MATCH(A38,Clientes!$C$5:$C$549,0)))),"NO EXISTE en Clientes"))</f>
        <v/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>
        <f>IF(AND(A38="",D38=""),"",IF(A38="","FALTA doc. cliente",IF(B38="NO EXISTE en Clientes","CLIENTE no está en hoja Clientes",IF(D38="","FALTA dirección",IF(AND(H38&lt;&gt;"",OR(F38="",G38="")),"Distrito requiere departamento y provincia",IF(AND(G38&lt;&gt;"",F38=""),"Provincia requiere departamento",IF((I38&lt;&gt;"")&lt;&gt;(J38&lt;&gt;""),"Latitud y longitud van juntas","OK")))))))</f>
        <v/>
      </c>
      <c r="M38" s="28">
        <f>IF(L38&lt;&gt;"OK","","INSERT INTO cli_direcciones (id_cliente, descripcion, direccion, referencia, id_departamento, id_provincia, id_distrito, latitud, longitud, es_principal, estado) SELECT "&amp;"(SELECT id FROM cli_clientes WHERE numero_documento = '"&amp;SUBSTITUTE(TRIM(A38),"'","''")&amp;"' AND estado = 1 LIMIT 1)"&amp;", "&amp;IF(TRIM(C38&amp;"")="","NULL","'"&amp;SUBSTITUTE(TRIM(C38),"'","''")&amp;"'")&amp;", "&amp;IF(TRIM(D38&amp;"")="","NULL","'"&amp;SUBSTITUTE(TRIM(D38),"'","''")&amp;"'")&amp;", "&amp;IF(TRIM(E38&amp;"")="","NULL","'"&amp;SUBSTITUTE(TRIM(E38),"'","''")&amp;"'")&amp;", "&amp;IF(TRIM(F38&amp;"")="","NULL","(SELECT id FROM gen_departamento WHERE upper(nombre) = upper('"&amp;SUBSTITUTE(TRIM(F38),"'","''")&amp;"') AND estado = 1 LIMIT 1)")&amp;", "&amp;IF(OR(TRIM(F38&amp;"")="",TRIM(G38&amp;"")=""),"NULL","(SELECT p.id FROM gen_provincia p JOIN gen_departamento dp ON dp.id = p.id_departamento WHERE upper(p.nombre) = upper('"&amp;SUBSTITUTE(TRIM(G38),"'","''")&amp;"') AND upper(dp.nombre) = upper('"&amp;SUBSTITUTE(TRIM(F38),"'","''")&amp;"') AND p.estado = 1 LIMIT 1)")&amp;", "&amp;IF(OR(TRIM(F38&amp;"")="",TRIM(G38&amp;"")="",TRIM(H38&amp;"")=""),"NULL","(SELECT d.id FROM gen_distrito d JOIN gen_provincia p ON p.id = d.id_provincia JOIN gen_departamento dp ON dp.id = p.id_departamento WHERE upper(d.nombre) = upper('"&amp;SUBSTITUTE(TRIM(H38),"'","''")&amp;"') AND upper(p.nombre) = upper('"&amp;SUBSTITUTE(TRIM(G38),"'","''")&amp;"') AND upper(dp.nombre) = upper('"&amp;SUBSTITUTE(TRIM(F38),"'","''")&amp;"') AND d.estado = 1 LIMIT 1)")&amp;", "&amp;IF(I38&amp;""="","NULL",SUBSTITUTE(I38&amp;"",",","."))&amp;", "&amp;IF(J38&amp;""="","NULL",SUBSTITUTE(J38&amp;"",",","."))&amp;", "&amp;IF(UPPER(TRIM(K38&amp;""))="SI","TRUE","FALSE")&amp;", 1"&amp;" WHERE NOT EXISTS (SELECT 1 FROM cli_direcciones x WHERE x.id_cliente = "&amp;"(SELECT id FROM cli_clientes WHERE numero_documento = '"&amp;SUBSTITUTE(TRIM(A38),"'","''")&amp;"' AND estado = 1 LIMIT 1)"&amp;" AND upper(x.direccion) = upper("&amp;IF(TRIM(D38&amp;"")="","NULL","'"&amp;SUBSTITUTE(TRIM(D38),"'","''")&amp;"'")&amp;"));")</f>
        <v/>
      </c>
    </row>
    <row r="39" ht="15.75" customHeight="1" s="64">
      <c r="A39" s="23" t="n"/>
      <c r="B39" s="25">
        <f t="array" ref="B39">IF(A39="","",IFERROR(IF(INDEX(Clientes!$D$5:$D$549,MATCH(A39,Clientes!$C$5:$C$549,0))&lt;&gt;"",INDEX(Clientes!$D$5:$D$549,MATCH(A39,Clientes!$C$5:$C$549,0)),TRIM(INDEX(Clientes!$E$5:$E$549,MATCH(A39,Clientes!$C$5:$C$549,0))&amp;" "&amp;INDEX(Clientes!$F$5:$F$549,MATCH(A39,Clientes!$C$5:$C$549,0)))),"NO EXISTE en Clientes"))</f>
        <v/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>
        <f>IF(AND(A39="",D39=""),"",IF(A39="","FALTA doc. cliente",IF(B39="NO EXISTE en Clientes","CLIENTE no está en hoja Clientes",IF(D39="","FALTA dirección",IF(AND(H39&lt;&gt;"",OR(F39="",G39="")),"Distrito requiere departamento y provincia",IF(AND(G39&lt;&gt;"",F39=""),"Provincia requiere departamento",IF((I39&lt;&gt;"")&lt;&gt;(J39&lt;&gt;""),"Latitud y longitud van juntas","OK")))))))</f>
        <v/>
      </c>
      <c r="M39" s="28">
        <f>IF(L39&lt;&gt;"OK","","INSERT INTO cli_direcciones (id_cliente, descripcion, direccion, referencia, id_departamento, id_provincia, id_distrito, latitud, longitud, es_principal, estado) SELECT "&amp;"(SELECT id FROM cli_clientes WHERE numero_documento = '"&amp;SUBSTITUTE(TRIM(A39),"'","''")&amp;"' AND estado = 1 LIMIT 1)"&amp;", "&amp;IF(TRIM(C39&amp;"")="","NULL","'"&amp;SUBSTITUTE(TRIM(C39),"'","''")&amp;"'")&amp;", "&amp;IF(TRIM(D39&amp;"")="","NULL","'"&amp;SUBSTITUTE(TRIM(D39),"'","''")&amp;"'")&amp;", "&amp;IF(TRIM(E39&amp;"")="","NULL","'"&amp;SUBSTITUTE(TRIM(E39),"'","''")&amp;"'")&amp;", "&amp;IF(TRIM(F39&amp;"")="","NULL","(SELECT id FROM gen_departamento WHERE upper(nombre) = upper('"&amp;SUBSTITUTE(TRIM(F39),"'","''")&amp;"') AND estado = 1 LIMIT 1)")&amp;", "&amp;IF(OR(TRIM(F39&amp;"")="",TRIM(G39&amp;"")=""),"NULL","(SELECT p.id FROM gen_provincia p JOIN gen_departamento dp ON dp.id = p.id_departamento WHERE upper(p.nombre) = upper('"&amp;SUBSTITUTE(TRIM(G39),"'","''")&amp;"') AND upper(dp.nombre) = upper('"&amp;SUBSTITUTE(TRIM(F39),"'","''")&amp;"') AND p.estado = 1 LIMIT 1)")&amp;", "&amp;IF(OR(TRIM(F39&amp;"")="",TRIM(G39&amp;"")="",TRIM(H39&amp;"")=""),"NULL","(SELECT d.id FROM gen_distrito d JOIN gen_provincia p ON p.id = d.id_provincia JOIN gen_departamento dp ON dp.id = p.id_departamento WHERE upper(d.nombre) = upper('"&amp;SUBSTITUTE(TRIM(H39),"'","''")&amp;"') AND upper(p.nombre) = upper('"&amp;SUBSTITUTE(TRIM(G39),"'","''")&amp;"') AND upper(dp.nombre) = upper('"&amp;SUBSTITUTE(TRIM(F39),"'","''")&amp;"') AND d.estado = 1 LIMIT 1)")&amp;", "&amp;IF(I39&amp;""="","NULL",SUBSTITUTE(I39&amp;"",",","."))&amp;", "&amp;IF(J39&amp;""="","NULL",SUBSTITUTE(J39&amp;"",",","."))&amp;", "&amp;IF(UPPER(TRIM(K39&amp;""))="SI","TRUE","FALSE")&amp;", 1"&amp;" WHERE NOT EXISTS (SELECT 1 FROM cli_direcciones x WHERE x.id_cliente = "&amp;"(SELECT id FROM cli_clientes WHERE numero_documento = '"&amp;SUBSTITUTE(TRIM(A39),"'","''")&amp;"' AND estado = 1 LIMIT 1)"&amp;" AND upper(x.direccion) = upper("&amp;IF(TRIM(D39&amp;"")="","NULL","'"&amp;SUBSTITUTE(TRIM(D39),"'","''")&amp;"'")&amp;"));")</f>
        <v/>
      </c>
    </row>
    <row r="40" ht="15.75" customHeight="1" s="64">
      <c r="A40" s="23" t="n"/>
      <c r="B40" s="25">
        <f t="array" ref="B40">IF(A40="","",IFERROR(IF(INDEX(Clientes!$D$5:$D$549,MATCH(A40,Clientes!$C$5:$C$549,0))&lt;&gt;"",INDEX(Clientes!$D$5:$D$549,MATCH(A40,Clientes!$C$5:$C$549,0)),TRIM(INDEX(Clientes!$E$5:$E$549,MATCH(A40,Clientes!$C$5:$C$549,0))&amp;" "&amp;INDEX(Clientes!$F$5:$F$549,MATCH(A40,Clientes!$C$5:$C$549,0)))),"NO EXISTE en Clientes"))</f>
        <v/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>
        <f>IF(AND(A40="",D40=""),"",IF(A40="","FALTA doc. cliente",IF(B40="NO EXISTE en Clientes","CLIENTE no está en hoja Clientes",IF(D40="","FALTA dirección",IF(AND(H40&lt;&gt;"",OR(F40="",G40="")),"Distrito requiere departamento y provincia",IF(AND(G40&lt;&gt;"",F40=""),"Provincia requiere departamento",IF((I40&lt;&gt;"")&lt;&gt;(J40&lt;&gt;""),"Latitud y longitud van juntas","OK")))))))</f>
        <v/>
      </c>
      <c r="M40" s="28">
        <f>IF(L40&lt;&gt;"OK","","INSERT INTO cli_direcciones (id_cliente, descripcion, direccion, referencia, id_departamento, id_provincia, id_distrito, latitud, longitud, es_principal, estado) SELECT "&amp;"(SELECT id FROM cli_clientes WHERE numero_documento = '"&amp;SUBSTITUTE(TRIM(A40),"'","''")&amp;"' AND estado = 1 LIMIT 1)"&amp;", "&amp;IF(TRIM(C40&amp;"")="","NULL","'"&amp;SUBSTITUTE(TRIM(C40),"'","''")&amp;"'")&amp;", "&amp;IF(TRIM(D40&amp;"")="","NULL","'"&amp;SUBSTITUTE(TRIM(D40),"'","''")&amp;"'")&amp;", "&amp;IF(TRIM(E40&amp;"")="","NULL","'"&amp;SUBSTITUTE(TRIM(E40),"'","''")&amp;"'")&amp;", "&amp;IF(TRIM(F40&amp;"")="","NULL","(SELECT id FROM gen_departamento WHERE upper(nombre) = upper('"&amp;SUBSTITUTE(TRIM(F40),"'","''")&amp;"') AND estado = 1 LIMIT 1)")&amp;", "&amp;IF(OR(TRIM(F40&amp;"")="",TRIM(G40&amp;"")=""),"NULL","(SELECT p.id FROM gen_provincia p JOIN gen_departamento dp ON dp.id = p.id_departamento WHERE upper(p.nombre) = upper('"&amp;SUBSTITUTE(TRIM(G40),"'","''")&amp;"') AND upper(dp.nombre) = upper('"&amp;SUBSTITUTE(TRIM(F40),"'","''")&amp;"') AND p.estado = 1 LIMIT 1)")&amp;", "&amp;IF(OR(TRIM(F40&amp;"")="",TRIM(G40&amp;"")="",TRIM(H40&amp;"")=""),"NULL","(SELECT d.id FROM gen_distrito d JOIN gen_provincia p ON p.id = d.id_provincia JOIN gen_departamento dp ON dp.id = p.id_departamento WHERE upper(d.nombre) = upper('"&amp;SUBSTITUTE(TRIM(H40),"'","''")&amp;"') AND upper(p.nombre) = upper('"&amp;SUBSTITUTE(TRIM(G40),"'","''")&amp;"') AND upper(dp.nombre) = upper('"&amp;SUBSTITUTE(TRIM(F40),"'","''")&amp;"') AND d.estado = 1 LIMIT 1)")&amp;", "&amp;IF(I40&amp;""="","NULL",SUBSTITUTE(I40&amp;"",",","."))&amp;", "&amp;IF(J40&amp;""="","NULL",SUBSTITUTE(J40&amp;"",",","."))&amp;", "&amp;IF(UPPER(TRIM(K40&amp;""))="SI","TRUE","FALSE")&amp;", 1"&amp;" WHERE NOT EXISTS (SELECT 1 FROM cli_direcciones x WHERE x.id_cliente = "&amp;"(SELECT id FROM cli_clientes WHERE numero_documento = '"&amp;SUBSTITUTE(TRIM(A40),"'","''")&amp;"' AND estado = 1 LIMIT 1)"&amp;" AND upper(x.direccion) = upper("&amp;IF(TRIM(D40&amp;"")="","NULL","'"&amp;SUBSTITUTE(TRIM(D40),"'","''")&amp;"'")&amp;"));")</f>
        <v/>
      </c>
    </row>
    <row r="41" ht="15.75" customHeight="1" s="64">
      <c r="A41" s="23" t="n"/>
      <c r="B41" s="25">
        <f t="array" ref="B41">IF(A41="","",IFERROR(IF(INDEX(Clientes!$D$5:$D$549,MATCH(A41,Clientes!$C$5:$C$549,0))&lt;&gt;"",INDEX(Clientes!$D$5:$D$549,MATCH(A41,Clientes!$C$5:$C$549,0)),TRIM(INDEX(Clientes!$E$5:$E$549,MATCH(A41,Clientes!$C$5:$C$549,0))&amp;" "&amp;INDEX(Clientes!$F$5:$F$549,MATCH(A41,Clientes!$C$5:$C$549,0)))),"NO EXISTE en Clientes"))</f>
        <v/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>
        <f>IF(AND(A41="",D41=""),"",IF(A41="","FALTA doc. cliente",IF(B41="NO EXISTE en Clientes","CLIENTE no está en hoja Clientes",IF(D41="","FALTA dirección",IF(AND(H41&lt;&gt;"",OR(F41="",G41="")),"Distrito requiere departamento y provincia",IF(AND(G41&lt;&gt;"",F41=""),"Provincia requiere departamento",IF((I41&lt;&gt;"")&lt;&gt;(J41&lt;&gt;""),"Latitud y longitud van juntas","OK")))))))</f>
        <v/>
      </c>
      <c r="M41" s="28">
        <f>IF(L41&lt;&gt;"OK","","INSERT INTO cli_direcciones (id_cliente, descripcion, direccion, referencia, id_departamento, id_provincia, id_distrito, latitud, longitud, es_principal, estado) SELECT "&amp;"(SELECT id FROM cli_clientes WHERE numero_documento = '"&amp;SUBSTITUTE(TRIM(A41),"'","''")&amp;"' AND estado = 1 LIMIT 1)"&amp;", "&amp;IF(TRIM(C41&amp;"")="","NULL","'"&amp;SUBSTITUTE(TRIM(C41),"'","''")&amp;"'")&amp;", "&amp;IF(TRIM(D41&amp;"")="","NULL","'"&amp;SUBSTITUTE(TRIM(D41),"'","''")&amp;"'")&amp;", "&amp;IF(TRIM(E41&amp;"")="","NULL","'"&amp;SUBSTITUTE(TRIM(E41),"'","''")&amp;"'")&amp;", "&amp;IF(TRIM(F41&amp;"")="","NULL","(SELECT id FROM gen_departamento WHERE upper(nombre) = upper('"&amp;SUBSTITUTE(TRIM(F41),"'","''")&amp;"') AND estado = 1 LIMIT 1)")&amp;", "&amp;IF(OR(TRIM(F41&amp;"")="",TRIM(G41&amp;"")=""),"NULL","(SELECT p.id FROM gen_provincia p JOIN gen_departamento dp ON dp.id = p.id_departamento WHERE upper(p.nombre) = upper('"&amp;SUBSTITUTE(TRIM(G41),"'","''")&amp;"') AND upper(dp.nombre) = upper('"&amp;SUBSTITUTE(TRIM(F41),"'","''")&amp;"') AND p.estado = 1 LIMIT 1)")&amp;", "&amp;IF(OR(TRIM(F41&amp;"")="",TRIM(G41&amp;"")="",TRIM(H41&amp;"")=""),"NULL","(SELECT d.id FROM gen_distrito d JOIN gen_provincia p ON p.id = d.id_provincia JOIN gen_departamento dp ON dp.id = p.id_departamento WHERE upper(d.nombre) = upper('"&amp;SUBSTITUTE(TRIM(H41),"'","''")&amp;"') AND upper(p.nombre) = upper('"&amp;SUBSTITUTE(TRIM(G41),"'","''")&amp;"') AND upper(dp.nombre) = upper('"&amp;SUBSTITUTE(TRIM(F41),"'","''")&amp;"') AND d.estado = 1 LIMIT 1)")&amp;", "&amp;IF(I41&amp;""="","NULL",SUBSTITUTE(I41&amp;"",",","."))&amp;", "&amp;IF(J41&amp;""="","NULL",SUBSTITUTE(J41&amp;"",",","."))&amp;", "&amp;IF(UPPER(TRIM(K41&amp;""))="SI","TRUE","FALSE")&amp;", 1"&amp;" WHERE NOT EXISTS (SELECT 1 FROM cli_direcciones x WHERE x.id_cliente = "&amp;"(SELECT id FROM cli_clientes WHERE numero_documento = '"&amp;SUBSTITUTE(TRIM(A41),"'","''")&amp;"' AND estado = 1 LIMIT 1)"&amp;" AND upper(x.direccion) = upper("&amp;IF(TRIM(D41&amp;"")="","NULL","'"&amp;SUBSTITUTE(TRIM(D41),"'","''")&amp;"'")&amp;"));")</f>
        <v/>
      </c>
    </row>
    <row r="42" ht="15.75" customHeight="1" s="64">
      <c r="A42" s="23" t="n"/>
      <c r="B42" s="25">
        <f t="array" ref="B42">IF(A42="","",IFERROR(IF(INDEX(Clientes!$D$5:$D$549,MATCH(A42,Clientes!$C$5:$C$549,0))&lt;&gt;"",INDEX(Clientes!$D$5:$D$549,MATCH(A42,Clientes!$C$5:$C$549,0)),TRIM(INDEX(Clientes!$E$5:$E$549,MATCH(A42,Clientes!$C$5:$C$549,0))&amp;" "&amp;INDEX(Clientes!$F$5:$F$549,MATCH(A42,Clientes!$C$5:$C$549,0)))),"NO EXISTE en Clientes"))</f>
        <v/>
      </c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>
        <f>IF(AND(A42="",D42=""),"",IF(A42="","FALTA doc. cliente",IF(B42="NO EXISTE en Clientes","CLIENTE no está en hoja Clientes",IF(D42="","FALTA dirección",IF(AND(H42&lt;&gt;"",OR(F42="",G42="")),"Distrito requiere departamento y provincia",IF(AND(G42&lt;&gt;"",F42=""),"Provincia requiere departamento",IF((I42&lt;&gt;"")&lt;&gt;(J42&lt;&gt;""),"Latitud y longitud van juntas","OK")))))))</f>
        <v/>
      </c>
      <c r="M42" s="28">
        <f>IF(L42&lt;&gt;"OK","","INSERT INTO cli_direcciones (id_cliente, descripcion, direccion, referencia, id_departamento, id_provincia, id_distrito, latitud, longitud, es_principal, estado) SELECT "&amp;"(SELECT id FROM cli_clientes WHERE numero_documento = '"&amp;SUBSTITUTE(TRIM(A42),"'","''")&amp;"' AND estado = 1 LIMIT 1)"&amp;", "&amp;IF(TRIM(C42&amp;"")="","NULL","'"&amp;SUBSTITUTE(TRIM(C42),"'","''")&amp;"'")&amp;", "&amp;IF(TRIM(D42&amp;"")="","NULL","'"&amp;SUBSTITUTE(TRIM(D42),"'","''")&amp;"'")&amp;", "&amp;IF(TRIM(E42&amp;"")="","NULL","'"&amp;SUBSTITUTE(TRIM(E42),"'","''")&amp;"'")&amp;", "&amp;IF(TRIM(F42&amp;"")="","NULL","(SELECT id FROM gen_departamento WHERE upper(nombre) = upper('"&amp;SUBSTITUTE(TRIM(F42),"'","''")&amp;"') AND estado = 1 LIMIT 1)")&amp;", "&amp;IF(OR(TRIM(F42&amp;"")="",TRIM(G42&amp;"")=""),"NULL","(SELECT p.id FROM gen_provincia p JOIN gen_departamento dp ON dp.id = p.id_departamento WHERE upper(p.nombre) = upper('"&amp;SUBSTITUTE(TRIM(G42),"'","''")&amp;"') AND upper(dp.nombre) = upper('"&amp;SUBSTITUTE(TRIM(F42),"'","''")&amp;"') AND p.estado = 1 LIMIT 1)")&amp;", "&amp;IF(OR(TRIM(F42&amp;"")="",TRIM(G42&amp;"")="",TRIM(H42&amp;"")=""),"NULL","(SELECT d.id FROM gen_distrito d JOIN gen_provincia p ON p.id = d.id_provincia JOIN gen_departamento dp ON dp.id = p.id_departamento WHERE upper(d.nombre) = upper('"&amp;SUBSTITUTE(TRIM(H42),"'","''")&amp;"') AND upper(p.nombre) = upper('"&amp;SUBSTITUTE(TRIM(G42),"'","''")&amp;"') AND upper(dp.nombre) = upper('"&amp;SUBSTITUTE(TRIM(F42),"'","''")&amp;"') AND d.estado = 1 LIMIT 1)")&amp;", "&amp;IF(I42&amp;""="","NULL",SUBSTITUTE(I42&amp;"",",","."))&amp;", "&amp;IF(J42&amp;""="","NULL",SUBSTITUTE(J42&amp;"",",","."))&amp;", "&amp;IF(UPPER(TRIM(K42&amp;""))="SI","TRUE","FALSE")&amp;", 1"&amp;" WHERE NOT EXISTS (SELECT 1 FROM cli_direcciones x WHERE x.id_cliente = "&amp;"(SELECT id FROM cli_clientes WHERE numero_documento = '"&amp;SUBSTITUTE(TRIM(A42),"'","''")&amp;"' AND estado = 1 LIMIT 1)"&amp;" AND upper(x.direccion) = upper("&amp;IF(TRIM(D42&amp;"")="","NULL","'"&amp;SUBSTITUTE(TRIM(D42),"'","''")&amp;"'")&amp;"));")</f>
        <v/>
      </c>
    </row>
    <row r="43" ht="15.75" customHeight="1" s="64">
      <c r="A43" s="23" t="n"/>
      <c r="B43" s="25">
        <f t="array" ref="B43">IF(A43="","",IFERROR(IF(INDEX(Clientes!$D$5:$D$549,MATCH(A43,Clientes!$C$5:$C$549,0))&lt;&gt;"",INDEX(Clientes!$D$5:$D$549,MATCH(A43,Clientes!$C$5:$C$549,0)),TRIM(INDEX(Clientes!$E$5:$E$549,MATCH(A43,Clientes!$C$5:$C$549,0))&amp;" "&amp;INDEX(Clientes!$F$5:$F$549,MATCH(A43,Clientes!$C$5:$C$549,0)))),"NO EXISTE en Clientes"))</f>
        <v/>
      </c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>
        <f>IF(AND(A43="",D43=""),"",IF(A43="","FALTA doc. cliente",IF(B43="NO EXISTE en Clientes","CLIENTE no está en hoja Clientes",IF(D43="","FALTA dirección",IF(AND(H43&lt;&gt;"",OR(F43="",G43="")),"Distrito requiere departamento y provincia",IF(AND(G43&lt;&gt;"",F43=""),"Provincia requiere departamento",IF((I43&lt;&gt;"")&lt;&gt;(J43&lt;&gt;""),"Latitud y longitud van juntas","OK")))))))</f>
        <v/>
      </c>
      <c r="M43" s="28">
        <f>IF(L43&lt;&gt;"OK","","INSERT INTO cli_direcciones (id_cliente, descripcion, direccion, referencia, id_departamento, id_provincia, id_distrito, latitud, longitud, es_principal, estado) SELECT "&amp;"(SELECT id FROM cli_clientes WHERE numero_documento = '"&amp;SUBSTITUTE(TRIM(A43),"'","''")&amp;"' AND estado = 1 LIMIT 1)"&amp;", "&amp;IF(TRIM(C43&amp;"")="","NULL","'"&amp;SUBSTITUTE(TRIM(C43),"'","''")&amp;"'")&amp;", "&amp;IF(TRIM(D43&amp;"")="","NULL","'"&amp;SUBSTITUTE(TRIM(D43),"'","''")&amp;"'")&amp;", "&amp;IF(TRIM(E43&amp;"")="","NULL","'"&amp;SUBSTITUTE(TRIM(E43),"'","''")&amp;"'")&amp;", "&amp;IF(TRIM(F43&amp;"")="","NULL","(SELECT id FROM gen_departamento WHERE upper(nombre) = upper('"&amp;SUBSTITUTE(TRIM(F43),"'","''")&amp;"') AND estado = 1 LIMIT 1)")&amp;", "&amp;IF(OR(TRIM(F43&amp;"")="",TRIM(G43&amp;"")=""),"NULL","(SELECT p.id FROM gen_provincia p JOIN gen_departamento dp ON dp.id = p.id_departamento WHERE upper(p.nombre) = upper('"&amp;SUBSTITUTE(TRIM(G43),"'","''")&amp;"') AND upper(dp.nombre) = upper('"&amp;SUBSTITUTE(TRIM(F43),"'","''")&amp;"') AND p.estado = 1 LIMIT 1)")&amp;", "&amp;IF(OR(TRIM(F43&amp;"")="",TRIM(G43&amp;"")="",TRIM(H43&amp;"")=""),"NULL","(SELECT d.id FROM gen_distrito d JOIN gen_provincia p ON p.id = d.id_provincia JOIN gen_departamento dp ON dp.id = p.id_departamento WHERE upper(d.nombre) = upper('"&amp;SUBSTITUTE(TRIM(H43),"'","''")&amp;"') AND upper(p.nombre) = upper('"&amp;SUBSTITUTE(TRIM(G43),"'","''")&amp;"') AND upper(dp.nombre) = upper('"&amp;SUBSTITUTE(TRIM(F43),"'","''")&amp;"') AND d.estado = 1 LIMIT 1)")&amp;", "&amp;IF(I43&amp;""="","NULL",SUBSTITUTE(I43&amp;"",",","."))&amp;", "&amp;IF(J43&amp;""="","NULL",SUBSTITUTE(J43&amp;"",",","."))&amp;", "&amp;IF(UPPER(TRIM(K43&amp;""))="SI","TRUE","FALSE")&amp;", 1"&amp;" WHERE NOT EXISTS (SELECT 1 FROM cli_direcciones x WHERE x.id_cliente = "&amp;"(SELECT id FROM cli_clientes WHERE numero_documento = '"&amp;SUBSTITUTE(TRIM(A43),"'","''")&amp;"' AND estado = 1 LIMIT 1)"&amp;" AND upper(x.direccion) = upper("&amp;IF(TRIM(D43&amp;"")="","NULL","'"&amp;SUBSTITUTE(TRIM(D43),"'","''")&amp;"'")&amp;"));")</f>
        <v/>
      </c>
    </row>
    <row r="44" ht="15.75" customHeight="1" s="64">
      <c r="A44" s="23" t="n"/>
      <c r="B44" s="25">
        <f t="array" ref="B44">IF(A44="","",IFERROR(IF(INDEX(Clientes!$D$5:$D$549,MATCH(A44,Clientes!$C$5:$C$549,0))&lt;&gt;"",INDEX(Clientes!$D$5:$D$549,MATCH(A44,Clientes!$C$5:$C$549,0)),TRIM(INDEX(Clientes!$E$5:$E$549,MATCH(A44,Clientes!$C$5:$C$549,0))&amp;" "&amp;INDEX(Clientes!$F$5:$F$549,MATCH(A44,Clientes!$C$5:$C$549,0)))),"NO EXISTE en Clientes"))</f>
        <v/>
      </c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>
        <f>IF(AND(A44="",D44=""),"",IF(A44="","FALTA doc. cliente",IF(B44="NO EXISTE en Clientes","CLIENTE no está en hoja Clientes",IF(D44="","FALTA dirección",IF(AND(H44&lt;&gt;"",OR(F44="",G44="")),"Distrito requiere departamento y provincia",IF(AND(G44&lt;&gt;"",F44=""),"Provincia requiere departamento",IF((I44&lt;&gt;"")&lt;&gt;(J44&lt;&gt;""),"Latitud y longitud van juntas","OK")))))))</f>
        <v/>
      </c>
      <c r="M44" s="28">
        <f>IF(L44&lt;&gt;"OK","","INSERT INTO cli_direcciones (id_cliente, descripcion, direccion, referencia, id_departamento, id_provincia, id_distrito, latitud, longitud, es_principal, estado) SELECT "&amp;"(SELECT id FROM cli_clientes WHERE numero_documento = '"&amp;SUBSTITUTE(TRIM(A44),"'","''")&amp;"' AND estado = 1 LIMIT 1)"&amp;", "&amp;IF(TRIM(C44&amp;"")="","NULL","'"&amp;SUBSTITUTE(TRIM(C44),"'","''")&amp;"'")&amp;", "&amp;IF(TRIM(D44&amp;"")="","NULL","'"&amp;SUBSTITUTE(TRIM(D44),"'","''")&amp;"'")&amp;", "&amp;IF(TRIM(E44&amp;"")="","NULL","'"&amp;SUBSTITUTE(TRIM(E44),"'","''")&amp;"'")&amp;", "&amp;IF(TRIM(F44&amp;"")="","NULL","(SELECT id FROM gen_departamento WHERE upper(nombre) = upper('"&amp;SUBSTITUTE(TRIM(F44),"'","''")&amp;"') AND estado = 1 LIMIT 1)")&amp;", "&amp;IF(OR(TRIM(F44&amp;"")="",TRIM(G44&amp;"")=""),"NULL","(SELECT p.id FROM gen_provincia p JOIN gen_departamento dp ON dp.id = p.id_departamento WHERE upper(p.nombre) = upper('"&amp;SUBSTITUTE(TRIM(G44),"'","''")&amp;"') AND upper(dp.nombre) = upper('"&amp;SUBSTITUTE(TRIM(F44),"'","''")&amp;"') AND p.estado = 1 LIMIT 1)")&amp;", "&amp;IF(OR(TRIM(F44&amp;"")="",TRIM(G44&amp;"")="",TRIM(H44&amp;"")=""),"NULL","(SELECT d.id FROM gen_distrito d JOIN gen_provincia p ON p.id = d.id_provincia JOIN gen_departamento dp ON dp.id = p.id_departamento WHERE upper(d.nombre) = upper('"&amp;SUBSTITUTE(TRIM(H44),"'","''")&amp;"') AND upper(p.nombre) = upper('"&amp;SUBSTITUTE(TRIM(G44),"'","''")&amp;"') AND upper(dp.nombre) = upper('"&amp;SUBSTITUTE(TRIM(F44),"'","''")&amp;"') AND d.estado = 1 LIMIT 1)")&amp;", "&amp;IF(I44&amp;""="","NULL",SUBSTITUTE(I44&amp;"",",","."))&amp;", "&amp;IF(J44&amp;""="","NULL",SUBSTITUTE(J44&amp;"",",","."))&amp;", "&amp;IF(UPPER(TRIM(K44&amp;""))="SI","TRUE","FALSE")&amp;", 1"&amp;" WHERE NOT EXISTS (SELECT 1 FROM cli_direcciones x WHERE x.id_cliente = "&amp;"(SELECT id FROM cli_clientes WHERE numero_documento = '"&amp;SUBSTITUTE(TRIM(A44),"'","''")&amp;"' AND estado = 1 LIMIT 1)"&amp;" AND upper(x.direccion) = upper("&amp;IF(TRIM(D44&amp;"")="","NULL","'"&amp;SUBSTITUTE(TRIM(D44),"'","''")&amp;"'")&amp;"));")</f>
        <v/>
      </c>
    </row>
    <row r="45" ht="15.75" customHeight="1" s="64">
      <c r="A45" s="23" t="n"/>
      <c r="B45" s="25">
        <f t="array" ref="B45">IF(A45="","",IFERROR(IF(INDEX(Clientes!$D$5:$D$549,MATCH(A45,Clientes!$C$5:$C$549,0))&lt;&gt;"",INDEX(Clientes!$D$5:$D$549,MATCH(A45,Clientes!$C$5:$C$549,0)),TRIM(INDEX(Clientes!$E$5:$E$549,MATCH(A45,Clientes!$C$5:$C$549,0))&amp;" "&amp;INDEX(Clientes!$F$5:$F$549,MATCH(A45,Clientes!$C$5:$C$549,0)))),"NO EXISTE en Clientes"))</f>
        <v/>
      </c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>
        <f>IF(AND(A45="",D45=""),"",IF(A45="","FALTA doc. cliente",IF(B45="NO EXISTE en Clientes","CLIENTE no está en hoja Clientes",IF(D45="","FALTA dirección",IF(AND(H45&lt;&gt;"",OR(F45="",G45="")),"Distrito requiere departamento y provincia",IF(AND(G45&lt;&gt;"",F45=""),"Provincia requiere departamento",IF((I45&lt;&gt;"")&lt;&gt;(J45&lt;&gt;""),"Latitud y longitud van juntas","OK")))))))</f>
        <v/>
      </c>
      <c r="M45" s="28">
        <f>IF(L45&lt;&gt;"OK","","INSERT INTO cli_direcciones (id_cliente, descripcion, direccion, referencia, id_departamento, id_provincia, id_distrito, latitud, longitud, es_principal, estado) SELECT "&amp;"(SELECT id FROM cli_clientes WHERE numero_documento = '"&amp;SUBSTITUTE(TRIM(A45),"'","''")&amp;"' AND estado = 1 LIMIT 1)"&amp;", "&amp;IF(TRIM(C45&amp;"")="","NULL","'"&amp;SUBSTITUTE(TRIM(C45),"'","''")&amp;"'")&amp;", "&amp;IF(TRIM(D45&amp;"")="","NULL","'"&amp;SUBSTITUTE(TRIM(D45),"'","''")&amp;"'")&amp;", "&amp;IF(TRIM(E45&amp;"")="","NULL","'"&amp;SUBSTITUTE(TRIM(E45),"'","''")&amp;"'")&amp;", "&amp;IF(TRIM(F45&amp;"")="","NULL","(SELECT id FROM gen_departamento WHERE upper(nombre) = upper('"&amp;SUBSTITUTE(TRIM(F45),"'","''")&amp;"') AND estado = 1 LIMIT 1)")&amp;", "&amp;IF(OR(TRIM(F45&amp;"")="",TRIM(G45&amp;"")=""),"NULL","(SELECT p.id FROM gen_provincia p JOIN gen_departamento dp ON dp.id = p.id_departamento WHERE upper(p.nombre) = upper('"&amp;SUBSTITUTE(TRIM(G45),"'","''")&amp;"') AND upper(dp.nombre) = upper('"&amp;SUBSTITUTE(TRIM(F45),"'","''")&amp;"') AND p.estado = 1 LIMIT 1)")&amp;", "&amp;IF(OR(TRIM(F45&amp;"")="",TRIM(G45&amp;"")="",TRIM(H45&amp;"")=""),"NULL","(SELECT d.id FROM gen_distrito d JOIN gen_provincia p ON p.id = d.id_provincia JOIN gen_departamento dp ON dp.id = p.id_departamento WHERE upper(d.nombre) = upper('"&amp;SUBSTITUTE(TRIM(H45),"'","''")&amp;"') AND upper(p.nombre) = upper('"&amp;SUBSTITUTE(TRIM(G45),"'","''")&amp;"') AND upper(dp.nombre) = upper('"&amp;SUBSTITUTE(TRIM(F45),"'","''")&amp;"') AND d.estado = 1 LIMIT 1)")&amp;", "&amp;IF(I45&amp;""="","NULL",SUBSTITUTE(I45&amp;"",",","."))&amp;", "&amp;IF(J45&amp;""="","NULL",SUBSTITUTE(J45&amp;"",",","."))&amp;", "&amp;IF(UPPER(TRIM(K45&amp;""))="SI","TRUE","FALSE")&amp;", 1"&amp;" WHERE NOT EXISTS (SELECT 1 FROM cli_direcciones x WHERE x.id_cliente = "&amp;"(SELECT id FROM cli_clientes WHERE numero_documento = '"&amp;SUBSTITUTE(TRIM(A45),"'","''")&amp;"' AND estado = 1 LIMIT 1)"&amp;" AND upper(x.direccion) = upper("&amp;IF(TRIM(D45&amp;"")="","NULL","'"&amp;SUBSTITUTE(TRIM(D45),"'","''")&amp;"'")&amp;"));")</f>
        <v/>
      </c>
    </row>
    <row r="46" ht="15.75" customHeight="1" s="64">
      <c r="A46" s="23" t="n"/>
      <c r="B46" s="25">
        <f t="array" ref="B46">IF(A46="","",IFERROR(IF(INDEX(Clientes!$D$5:$D$549,MATCH(A46,Clientes!$C$5:$C$549,0))&lt;&gt;"",INDEX(Clientes!$D$5:$D$549,MATCH(A46,Clientes!$C$5:$C$549,0)),TRIM(INDEX(Clientes!$E$5:$E$549,MATCH(A46,Clientes!$C$5:$C$549,0))&amp;" "&amp;INDEX(Clientes!$F$5:$F$549,MATCH(A46,Clientes!$C$5:$C$549,0)))),"NO EXISTE en Clientes"))</f>
        <v/>
      </c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>
        <f>IF(AND(A46="",D46=""),"",IF(A46="","FALTA doc. cliente",IF(B46="NO EXISTE en Clientes","CLIENTE no está en hoja Clientes",IF(D46="","FALTA dirección",IF(AND(H46&lt;&gt;"",OR(F46="",G46="")),"Distrito requiere departamento y provincia",IF(AND(G46&lt;&gt;"",F46=""),"Provincia requiere departamento",IF((I46&lt;&gt;"")&lt;&gt;(J46&lt;&gt;""),"Latitud y longitud van juntas","OK")))))))</f>
        <v/>
      </c>
      <c r="M46" s="28">
        <f>IF(L46&lt;&gt;"OK","","INSERT INTO cli_direcciones (id_cliente, descripcion, direccion, referencia, id_departamento, id_provincia, id_distrito, latitud, longitud, es_principal, estado) SELECT "&amp;"(SELECT id FROM cli_clientes WHERE numero_documento = '"&amp;SUBSTITUTE(TRIM(A46),"'","''")&amp;"' AND estado = 1 LIMIT 1)"&amp;", "&amp;IF(TRIM(C46&amp;"")="","NULL","'"&amp;SUBSTITUTE(TRIM(C46),"'","''")&amp;"'")&amp;", "&amp;IF(TRIM(D46&amp;"")="","NULL","'"&amp;SUBSTITUTE(TRIM(D46),"'","''")&amp;"'")&amp;", "&amp;IF(TRIM(E46&amp;"")="","NULL","'"&amp;SUBSTITUTE(TRIM(E46),"'","''")&amp;"'")&amp;", "&amp;IF(TRIM(F46&amp;"")="","NULL","(SELECT id FROM gen_departamento WHERE upper(nombre) = upper('"&amp;SUBSTITUTE(TRIM(F46),"'","''")&amp;"') AND estado = 1 LIMIT 1)")&amp;", "&amp;IF(OR(TRIM(F46&amp;"")="",TRIM(G46&amp;"")=""),"NULL","(SELECT p.id FROM gen_provincia p JOIN gen_departamento dp ON dp.id = p.id_departamento WHERE upper(p.nombre) = upper('"&amp;SUBSTITUTE(TRIM(G46),"'","''")&amp;"') AND upper(dp.nombre) = upper('"&amp;SUBSTITUTE(TRIM(F46),"'","''")&amp;"') AND p.estado = 1 LIMIT 1)")&amp;", "&amp;IF(OR(TRIM(F46&amp;"")="",TRIM(G46&amp;"")="",TRIM(H46&amp;"")=""),"NULL","(SELECT d.id FROM gen_distrito d JOIN gen_provincia p ON p.id = d.id_provincia JOIN gen_departamento dp ON dp.id = p.id_departamento WHERE upper(d.nombre) = upper('"&amp;SUBSTITUTE(TRIM(H46),"'","''")&amp;"') AND upper(p.nombre) = upper('"&amp;SUBSTITUTE(TRIM(G46),"'","''")&amp;"') AND upper(dp.nombre) = upper('"&amp;SUBSTITUTE(TRIM(F46),"'","''")&amp;"') AND d.estado = 1 LIMIT 1)")&amp;", "&amp;IF(I46&amp;""="","NULL",SUBSTITUTE(I46&amp;"",",","."))&amp;", "&amp;IF(J46&amp;""="","NULL",SUBSTITUTE(J46&amp;"",",","."))&amp;", "&amp;IF(UPPER(TRIM(K46&amp;""))="SI","TRUE","FALSE")&amp;", 1"&amp;" WHERE NOT EXISTS (SELECT 1 FROM cli_direcciones x WHERE x.id_cliente = "&amp;"(SELECT id FROM cli_clientes WHERE numero_documento = '"&amp;SUBSTITUTE(TRIM(A46),"'","''")&amp;"' AND estado = 1 LIMIT 1)"&amp;" AND upper(x.direccion) = upper("&amp;IF(TRIM(D46&amp;"")="","NULL","'"&amp;SUBSTITUTE(TRIM(D46),"'","''")&amp;"'")&amp;"));")</f>
        <v/>
      </c>
    </row>
    <row r="47" ht="15.75" customHeight="1" s="64">
      <c r="A47" s="23" t="n"/>
      <c r="B47" s="25">
        <f t="array" ref="B47">IF(A47="","",IFERROR(IF(INDEX(Clientes!$D$5:$D$549,MATCH(A47,Clientes!$C$5:$C$549,0))&lt;&gt;"",INDEX(Clientes!$D$5:$D$549,MATCH(A47,Clientes!$C$5:$C$549,0)),TRIM(INDEX(Clientes!$E$5:$E$549,MATCH(A47,Clientes!$C$5:$C$549,0))&amp;" "&amp;INDEX(Clientes!$F$5:$F$549,MATCH(A47,Clientes!$C$5:$C$549,0)))),"NO EXISTE en Clientes"))</f>
        <v/>
      </c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>
        <f>IF(AND(A47="",D47=""),"",IF(A47="","FALTA doc. cliente",IF(B47="NO EXISTE en Clientes","CLIENTE no está en hoja Clientes",IF(D47="","FALTA dirección",IF(AND(H47&lt;&gt;"",OR(F47="",G47="")),"Distrito requiere departamento y provincia",IF(AND(G47&lt;&gt;"",F47=""),"Provincia requiere departamento",IF((I47&lt;&gt;"")&lt;&gt;(J47&lt;&gt;""),"Latitud y longitud van juntas","OK")))))))</f>
        <v/>
      </c>
      <c r="M47" s="28">
        <f>IF(L47&lt;&gt;"OK","","INSERT INTO cli_direcciones (id_cliente, descripcion, direccion, referencia, id_departamento, id_provincia, id_distrito, latitud, longitud, es_principal, estado) SELECT "&amp;"(SELECT id FROM cli_clientes WHERE numero_documento = '"&amp;SUBSTITUTE(TRIM(A47),"'","''")&amp;"' AND estado = 1 LIMIT 1)"&amp;", "&amp;IF(TRIM(C47&amp;"")="","NULL","'"&amp;SUBSTITUTE(TRIM(C47),"'","''")&amp;"'")&amp;", "&amp;IF(TRIM(D47&amp;"")="","NULL","'"&amp;SUBSTITUTE(TRIM(D47),"'","''")&amp;"'")&amp;", "&amp;IF(TRIM(E47&amp;"")="","NULL","'"&amp;SUBSTITUTE(TRIM(E47),"'","''")&amp;"'")&amp;", "&amp;IF(TRIM(F47&amp;"")="","NULL","(SELECT id FROM gen_departamento WHERE upper(nombre) = upper('"&amp;SUBSTITUTE(TRIM(F47),"'","''")&amp;"') AND estado = 1 LIMIT 1)")&amp;", "&amp;IF(OR(TRIM(F47&amp;"")="",TRIM(G47&amp;"")=""),"NULL","(SELECT p.id FROM gen_provincia p JOIN gen_departamento dp ON dp.id = p.id_departamento WHERE upper(p.nombre) = upper('"&amp;SUBSTITUTE(TRIM(G47),"'","''")&amp;"') AND upper(dp.nombre) = upper('"&amp;SUBSTITUTE(TRIM(F47),"'","''")&amp;"') AND p.estado = 1 LIMIT 1)")&amp;", "&amp;IF(OR(TRIM(F47&amp;"")="",TRIM(G47&amp;"")="",TRIM(H47&amp;"")=""),"NULL","(SELECT d.id FROM gen_distrito d JOIN gen_provincia p ON p.id = d.id_provincia JOIN gen_departamento dp ON dp.id = p.id_departamento WHERE upper(d.nombre) = upper('"&amp;SUBSTITUTE(TRIM(H47),"'","''")&amp;"') AND upper(p.nombre) = upper('"&amp;SUBSTITUTE(TRIM(G47),"'","''")&amp;"') AND upper(dp.nombre) = upper('"&amp;SUBSTITUTE(TRIM(F47),"'","''")&amp;"') AND d.estado = 1 LIMIT 1)")&amp;", "&amp;IF(I47&amp;""="","NULL",SUBSTITUTE(I47&amp;"",",","."))&amp;", "&amp;IF(J47&amp;""="","NULL",SUBSTITUTE(J47&amp;"",",","."))&amp;", "&amp;IF(UPPER(TRIM(K47&amp;""))="SI","TRUE","FALSE")&amp;", 1"&amp;" WHERE NOT EXISTS (SELECT 1 FROM cli_direcciones x WHERE x.id_cliente = "&amp;"(SELECT id FROM cli_clientes WHERE numero_documento = '"&amp;SUBSTITUTE(TRIM(A47),"'","''")&amp;"' AND estado = 1 LIMIT 1)"&amp;" AND upper(x.direccion) = upper("&amp;IF(TRIM(D47&amp;"")="","NULL","'"&amp;SUBSTITUTE(TRIM(D47),"'","''")&amp;"'")&amp;"));")</f>
        <v/>
      </c>
    </row>
    <row r="48" ht="15.75" customHeight="1" s="64">
      <c r="A48" s="23" t="n"/>
      <c r="B48" s="25">
        <f t="array" ref="B48">IF(A48="","",IFERROR(IF(INDEX(Clientes!$D$5:$D$549,MATCH(A48,Clientes!$C$5:$C$549,0))&lt;&gt;"",INDEX(Clientes!$D$5:$D$549,MATCH(A48,Clientes!$C$5:$C$549,0)),TRIM(INDEX(Clientes!$E$5:$E$549,MATCH(A48,Clientes!$C$5:$C$549,0))&amp;" "&amp;INDEX(Clientes!$F$5:$F$549,MATCH(A48,Clientes!$C$5:$C$549,0)))),"NO EXISTE en Clientes"))</f>
        <v/>
      </c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>
        <f>IF(AND(A48="",D48=""),"",IF(A48="","FALTA doc. cliente",IF(B48="NO EXISTE en Clientes","CLIENTE no está en hoja Clientes",IF(D48="","FALTA dirección",IF(AND(H48&lt;&gt;"",OR(F48="",G48="")),"Distrito requiere departamento y provincia",IF(AND(G48&lt;&gt;"",F48=""),"Provincia requiere departamento",IF((I48&lt;&gt;"")&lt;&gt;(J48&lt;&gt;""),"Latitud y longitud van juntas","OK")))))))</f>
        <v/>
      </c>
      <c r="M48" s="28">
        <f>IF(L48&lt;&gt;"OK","","INSERT INTO cli_direcciones (id_cliente, descripcion, direccion, referencia, id_departamento, id_provincia, id_distrito, latitud, longitud, es_principal, estado) SELECT "&amp;"(SELECT id FROM cli_clientes WHERE numero_documento = '"&amp;SUBSTITUTE(TRIM(A48),"'","''")&amp;"' AND estado = 1 LIMIT 1)"&amp;", "&amp;IF(TRIM(C48&amp;"")="","NULL","'"&amp;SUBSTITUTE(TRIM(C48),"'","''")&amp;"'")&amp;", "&amp;IF(TRIM(D48&amp;"")="","NULL","'"&amp;SUBSTITUTE(TRIM(D48),"'","''")&amp;"'")&amp;", "&amp;IF(TRIM(E48&amp;"")="","NULL","'"&amp;SUBSTITUTE(TRIM(E48),"'","''")&amp;"'")&amp;", "&amp;IF(TRIM(F48&amp;"")="","NULL","(SELECT id FROM gen_departamento WHERE upper(nombre) = upper('"&amp;SUBSTITUTE(TRIM(F48),"'","''")&amp;"') AND estado = 1 LIMIT 1)")&amp;", "&amp;IF(OR(TRIM(F48&amp;"")="",TRIM(G48&amp;"")=""),"NULL","(SELECT p.id FROM gen_provincia p JOIN gen_departamento dp ON dp.id = p.id_departamento WHERE upper(p.nombre) = upper('"&amp;SUBSTITUTE(TRIM(G48),"'","''")&amp;"') AND upper(dp.nombre) = upper('"&amp;SUBSTITUTE(TRIM(F48),"'","''")&amp;"') AND p.estado = 1 LIMIT 1)")&amp;", "&amp;IF(OR(TRIM(F48&amp;"")="",TRIM(G48&amp;"")="",TRIM(H48&amp;"")=""),"NULL","(SELECT d.id FROM gen_distrito d JOIN gen_provincia p ON p.id = d.id_provincia JOIN gen_departamento dp ON dp.id = p.id_departamento WHERE upper(d.nombre) = upper('"&amp;SUBSTITUTE(TRIM(H48),"'","''")&amp;"') AND upper(p.nombre) = upper('"&amp;SUBSTITUTE(TRIM(G48),"'","''")&amp;"') AND upper(dp.nombre) = upper('"&amp;SUBSTITUTE(TRIM(F48),"'","''")&amp;"') AND d.estado = 1 LIMIT 1)")&amp;", "&amp;IF(I48&amp;""="","NULL",SUBSTITUTE(I48&amp;"",",","."))&amp;", "&amp;IF(J48&amp;""="","NULL",SUBSTITUTE(J48&amp;"",",","."))&amp;", "&amp;IF(UPPER(TRIM(K48&amp;""))="SI","TRUE","FALSE")&amp;", 1"&amp;" WHERE NOT EXISTS (SELECT 1 FROM cli_direcciones x WHERE x.id_cliente = "&amp;"(SELECT id FROM cli_clientes WHERE numero_documento = '"&amp;SUBSTITUTE(TRIM(A48),"'","''")&amp;"' AND estado = 1 LIMIT 1)"&amp;" AND upper(x.direccion) = upper("&amp;IF(TRIM(D48&amp;"")="","NULL","'"&amp;SUBSTITUTE(TRIM(D48),"'","''")&amp;"'")&amp;"));")</f>
        <v/>
      </c>
    </row>
    <row r="49" ht="15.75" customHeight="1" s="64">
      <c r="A49" s="23" t="n"/>
      <c r="B49" s="25">
        <f t="array" ref="B49">IF(A49="","",IFERROR(IF(INDEX(Clientes!$D$5:$D$549,MATCH(A49,Clientes!$C$5:$C$549,0))&lt;&gt;"",INDEX(Clientes!$D$5:$D$549,MATCH(A49,Clientes!$C$5:$C$549,0)),TRIM(INDEX(Clientes!$E$5:$E$549,MATCH(A49,Clientes!$C$5:$C$549,0))&amp;" "&amp;INDEX(Clientes!$F$5:$F$549,MATCH(A49,Clientes!$C$5:$C$549,0)))),"NO EXISTE en Clientes"))</f>
        <v/>
      </c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>
        <f>IF(AND(A49="",D49=""),"",IF(A49="","FALTA doc. cliente",IF(B49="NO EXISTE en Clientes","CLIENTE no está en hoja Clientes",IF(D49="","FALTA dirección",IF(AND(H49&lt;&gt;"",OR(F49="",G49="")),"Distrito requiere departamento y provincia",IF(AND(G49&lt;&gt;"",F49=""),"Provincia requiere departamento",IF((I49&lt;&gt;"")&lt;&gt;(J49&lt;&gt;""),"Latitud y longitud van juntas","OK")))))))</f>
        <v/>
      </c>
      <c r="M49" s="28">
        <f>IF(L49&lt;&gt;"OK","","INSERT INTO cli_direcciones (id_cliente, descripcion, direccion, referencia, id_departamento, id_provincia, id_distrito, latitud, longitud, es_principal, estado) SELECT "&amp;"(SELECT id FROM cli_clientes WHERE numero_documento = '"&amp;SUBSTITUTE(TRIM(A49),"'","''")&amp;"' AND estado = 1 LIMIT 1)"&amp;", "&amp;IF(TRIM(C49&amp;"")="","NULL","'"&amp;SUBSTITUTE(TRIM(C49),"'","''")&amp;"'")&amp;", "&amp;IF(TRIM(D49&amp;"")="","NULL","'"&amp;SUBSTITUTE(TRIM(D49),"'","''")&amp;"'")&amp;", "&amp;IF(TRIM(E49&amp;"")="","NULL","'"&amp;SUBSTITUTE(TRIM(E49),"'","''")&amp;"'")&amp;", "&amp;IF(TRIM(F49&amp;"")="","NULL","(SELECT id FROM gen_departamento WHERE upper(nombre) = upper('"&amp;SUBSTITUTE(TRIM(F49),"'","''")&amp;"') AND estado = 1 LIMIT 1)")&amp;", "&amp;IF(OR(TRIM(F49&amp;"")="",TRIM(G49&amp;"")=""),"NULL","(SELECT p.id FROM gen_provincia p JOIN gen_departamento dp ON dp.id = p.id_departamento WHERE upper(p.nombre) = upper('"&amp;SUBSTITUTE(TRIM(G49),"'","''")&amp;"') AND upper(dp.nombre) = upper('"&amp;SUBSTITUTE(TRIM(F49),"'","''")&amp;"') AND p.estado = 1 LIMIT 1)")&amp;", "&amp;IF(OR(TRIM(F49&amp;"")="",TRIM(G49&amp;"")="",TRIM(H49&amp;"")=""),"NULL","(SELECT d.id FROM gen_distrito d JOIN gen_provincia p ON p.id = d.id_provincia JOIN gen_departamento dp ON dp.id = p.id_departamento WHERE upper(d.nombre) = upper('"&amp;SUBSTITUTE(TRIM(H49),"'","''")&amp;"') AND upper(p.nombre) = upper('"&amp;SUBSTITUTE(TRIM(G49),"'","''")&amp;"') AND upper(dp.nombre) = upper('"&amp;SUBSTITUTE(TRIM(F49),"'","''")&amp;"') AND d.estado = 1 LIMIT 1)")&amp;", "&amp;IF(I49&amp;""="","NULL",SUBSTITUTE(I49&amp;"",",","."))&amp;", "&amp;IF(J49&amp;""="","NULL",SUBSTITUTE(J49&amp;"",",","."))&amp;", "&amp;IF(UPPER(TRIM(K49&amp;""))="SI","TRUE","FALSE")&amp;", 1"&amp;" WHERE NOT EXISTS (SELECT 1 FROM cli_direcciones x WHERE x.id_cliente = "&amp;"(SELECT id FROM cli_clientes WHERE numero_documento = '"&amp;SUBSTITUTE(TRIM(A49),"'","''")&amp;"' AND estado = 1 LIMIT 1)"&amp;" AND upper(x.direccion) = upper("&amp;IF(TRIM(D49&amp;"")="","NULL","'"&amp;SUBSTITUTE(TRIM(D49),"'","''")&amp;"'")&amp;"));")</f>
        <v/>
      </c>
    </row>
    <row r="50" ht="15.75" customHeight="1" s="64">
      <c r="A50" s="23" t="n"/>
      <c r="B50" s="25">
        <f t="array" ref="B50">IF(A50="","",IFERROR(IF(INDEX(Clientes!$D$5:$D$549,MATCH(A50,Clientes!$C$5:$C$549,0))&lt;&gt;"",INDEX(Clientes!$D$5:$D$549,MATCH(A50,Clientes!$C$5:$C$549,0)),TRIM(INDEX(Clientes!$E$5:$E$549,MATCH(A50,Clientes!$C$5:$C$549,0))&amp;" "&amp;INDEX(Clientes!$F$5:$F$549,MATCH(A50,Clientes!$C$5:$C$549,0)))),"NO EXISTE en Clientes"))</f>
        <v/>
      </c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>
        <f>IF(AND(A50="",D50=""),"",IF(A50="","FALTA doc. cliente",IF(B50="NO EXISTE en Clientes","CLIENTE no está en hoja Clientes",IF(D50="","FALTA dirección",IF(AND(H50&lt;&gt;"",OR(F50="",G50="")),"Distrito requiere departamento y provincia",IF(AND(G50&lt;&gt;"",F50=""),"Provincia requiere departamento",IF((I50&lt;&gt;"")&lt;&gt;(J50&lt;&gt;""),"Latitud y longitud van juntas","OK")))))))</f>
        <v/>
      </c>
      <c r="M50" s="28">
        <f>IF(L50&lt;&gt;"OK","","INSERT INTO cli_direcciones (id_cliente, descripcion, direccion, referencia, id_departamento, id_provincia, id_distrito, latitud, longitud, es_principal, estado) SELECT "&amp;"(SELECT id FROM cli_clientes WHERE numero_documento = '"&amp;SUBSTITUTE(TRIM(A50),"'","''")&amp;"' AND estado = 1 LIMIT 1)"&amp;", "&amp;IF(TRIM(C50&amp;"")="","NULL","'"&amp;SUBSTITUTE(TRIM(C50),"'","''")&amp;"'")&amp;", "&amp;IF(TRIM(D50&amp;"")="","NULL","'"&amp;SUBSTITUTE(TRIM(D50),"'","''")&amp;"'")&amp;", "&amp;IF(TRIM(E50&amp;"")="","NULL","'"&amp;SUBSTITUTE(TRIM(E50),"'","''")&amp;"'")&amp;", "&amp;IF(TRIM(F50&amp;"")="","NULL","(SELECT id FROM gen_departamento WHERE upper(nombre) = upper('"&amp;SUBSTITUTE(TRIM(F50),"'","''")&amp;"') AND estado = 1 LIMIT 1)")&amp;", "&amp;IF(OR(TRIM(F50&amp;"")="",TRIM(G50&amp;"")=""),"NULL","(SELECT p.id FROM gen_provincia p JOIN gen_departamento dp ON dp.id = p.id_departamento WHERE upper(p.nombre) = upper('"&amp;SUBSTITUTE(TRIM(G50),"'","''")&amp;"') AND upper(dp.nombre) = upper('"&amp;SUBSTITUTE(TRIM(F50),"'","''")&amp;"') AND p.estado = 1 LIMIT 1)")&amp;", "&amp;IF(OR(TRIM(F50&amp;"")="",TRIM(G50&amp;"")="",TRIM(H50&amp;"")=""),"NULL","(SELECT d.id FROM gen_distrito d JOIN gen_provincia p ON p.id = d.id_provincia JOIN gen_departamento dp ON dp.id = p.id_departamento WHERE upper(d.nombre) = upper('"&amp;SUBSTITUTE(TRIM(H50),"'","''")&amp;"') AND upper(p.nombre) = upper('"&amp;SUBSTITUTE(TRIM(G50),"'","''")&amp;"') AND upper(dp.nombre) = upper('"&amp;SUBSTITUTE(TRIM(F50),"'","''")&amp;"') AND d.estado = 1 LIMIT 1)")&amp;", "&amp;IF(I50&amp;""="","NULL",SUBSTITUTE(I50&amp;"",",","."))&amp;", "&amp;IF(J50&amp;""="","NULL",SUBSTITUTE(J50&amp;"",",","."))&amp;", "&amp;IF(UPPER(TRIM(K50&amp;""))="SI","TRUE","FALSE")&amp;", 1"&amp;" WHERE NOT EXISTS (SELECT 1 FROM cli_direcciones x WHERE x.id_cliente = "&amp;"(SELECT id FROM cli_clientes WHERE numero_documento = '"&amp;SUBSTITUTE(TRIM(A50),"'","''")&amp;"' AND estado = 1 LIMIT 1)"&amp;" AND upper(x.direccion) = upper("&amp;IF(TRIM(D50&amp;"")="","NULL","'"&amp;SUBSTITUTE(TRIM(D50),"'","''")&amp;"'")&amp;"));")</f>
        <v/>
      </c>
    </row>
    <row r="51" ht="15.75" customHeight="1" s="64">
      <c r="A51" s="23" t="n"/>
      <c r="B51" s="25">
        <f t="array" ref="B51">IF(A51="","",IFERROR(IF(INDEX(Clientes!$D$5:$D$549,MATCH(A51,Clientes!$C$5:$C$549,0))&lt;&gt;"",INDEX(Clientes!$D$5:$D$549,MATCH(A51,Clientes!$C$5:$C$549,0)),TRIM(INDEX(Clientes!$E$5:$E$549,MATCH(A51,Clientes!$C$5:$C$549,0))&amp;" "&amp;INDEX(Clientes!$F$5:$F$549,MATCH(A51,Clientes!$C$5:$C$549,0)))),"NO EXISTE en Clientes"))</f>
        <v/>
      </c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>
        <f>IF(AND(A51="",D51=""),"",IF(A51="","FALTA doc. cliente",IF(B51="NO EXISTE en Clientes","CLIENTE no está en hoja Clientes",IF(D51="","FALTA dirección",IF(AND(H51&lt;&gt;"",OR(F51="",G51="")),"Distrito requiere departamento y provincia",IF(AND(G51&lt;&gt;"",F51=""),"Provincia requiere departamento",IF((I51&lt;&gt;"")&lt;&gt;(J51&lt;&gt;""),"Latitud y longitud van juntas","OK")))))))</f>
        <v/>
      </c>
      <c r="M51" s="28">
        <f>IF(L51&lt;&gt;"OK","","INSERT INTO cli_direcciones (id_cliente, descripcion, direccion, referencia, id_departamento, id_provincia, id_distrito, latitud, longitud, es_principal, estado) SELECT "&amp;"(SELECT id FROM cli_clientes WHERE numero_documento = '"&amp;SUBSTITUTE(TRIM(A51),"'","''")&amp;"' AND estado = 1 LIMIT 1)"&amp;", "&amp;IF(TRIM(C51&amp;"")="","NULL","'"&amp;SUBSTITUTE(TRIM(C51),"'","''")&amp;"'")&amp;", "&amp;IF(TRIM(D51&amp;"")="","NULL","'"&amp;SUBSTITUTE(TRIM(D51),"'","''")&amp;"'")&amp;", "&amp;IF(TRIM(E51&amp;"")="","NULL","'"&amp;SUBSTITUTE(TRIM(E51),"'","''")&amp;"'")&amp;", "&amp;IF(TRIM(F51&amp;"")="","NULL","(SELECT id FROM gen_departamento WHERE upper(nombre) = upper('"&amp;SUBSTITUTE(TRIM(F51),"'","''")&amp;"') AND estado = 1 LIMIT 1)")&amp;", "&amp;IF(OR(TRIM(F51&amp;"")="",TRIM(G51&amp;"")=""),"NULL","(SELECT p.id FROM gen_provincia p JOIN gen_departamento dp ON dp.id = p.id_departamento WHERE upper(p.nombre) = upper('"&amp;SUBSTITUTE(TRIM(G51),"'","''")&amp;"') AND upper(dp.nombre) = upper('"&amp;SUBSTITUTE(TRIM(F51),"'","''")&amp;"') AND p.estado = 1 LIMIT 1)")&amp;", "&amp;IF(OR(TRIM(F51&amp;"")="",TRIM(G51&amp;"")="",TRIM(H51&amp;"")=""),"NULL","(SELECT d.id FROM gen_distrito d JOIN gen_provincia p ON p.id = d.id_provincia JOIN gen_departamento dp ON dp.id = p.id_departamento WHERE upper(d.nombre) = upper('"&amp;SUBSTITUTE(TRIM(H51),"'","''")&amp;"') AND upper(p.nombre) = upper('"&amp;SUBSTITUTE(TRIM(G51),"'","''")&amp;"') AND upper(dp.nombre) = upper('"&amp;SUBSTITUTE(TRIM(F51),"'","''")&amp;"') AND d.estado = 1 LIMIT 1)")&amp;", "&amp;IF(I51&amp;""="","NULL",SUBSTITUTE(I51&amp;"",",","."))&amp;", "&amp;IF(J51&amp;""="","NULL",SUBSTITUTE(J51&amp;"",",","."))&amp;", "&amp;IF(UPPER(TRIM(K51&amp;""))="SI","TRUE","FALSE")&amp;", 1"&amp;" WHERE NOT EXISTS (SELECT 1 FROM cli_direcciones x WHERE x.id_cliente = "&amp;"(SELECT id FROM cli_clientes WHERE numero_documento = '"&amp;SUBSTITUTE(TRIM(A51),"'","''")&amp;"' AND estado = 1 LIMIT 1)"&amp;" AND upper(x.direccion) = upper("&amp;IF(TRIM(D51&amp;"")="","NULL","'"&amp;SUBSTITUTE(TRIM(D51),"'","''")&amp;"'")&amp;"));")</f>
        <v/>
      </c>
    </row>
    <row r="52" ht="15.75" customHeight="1" s="64">
      <c r="A52" s="23" t="n"/>
      <c r="B52" s="25">
        <f t="array" ref="B52">IF(A52="","",IFERROR(IF(INDEX(Clientes!$D$5:$D$549,MATCH(A52,Clientes!$C$5:$C$549,0))&lt;&gt;"",INDEX(Clientes!$D$5:$D$549,MATCH(A52,Clientes!$C$5:$C$549,0)),TRIM(INDEX(Clientes!$E$5:$E$549,MATCH(A52,Clientes!$C$5:$C$549,0))&amp;" "&amp;INDEX(Clientes!$F$5:$F$549,MATCH(A52,Clientes!$C$5:$C$549,0)))),"NO EXISTE en Clientes"))</f>
        <v/>
      </c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>
        <f>IF(AND(A52="",D52=""),"",IF(A52="","FALTA doc. cliente",IF(B52="NO EXISTE en Clientes","CLIENTE no está en hoja Clientes",IF(D52="","FALTA dirección",IF(AND(H52&lt;&gt;"",OR(F52="",G52="")),"Distrito requiere departamento y provincia",IF(AND(G52&lt;&gt;"",F52=""),"Provincia requiere departamento",IF((I52&lt;&gt;"")&lt;&gt;(J52&lt;&gt;""),"Latitud y longitud van juntas","OK")))))))</f>
        <v/>
      </c>
      <c r="M52" s="28">
        <f>IF(L52&lt;&gt;"OK","","INSERT INTO cli_direcciones (id_cliente, descripcion, direccion, referencia, id_departamento, id_provincia, id_distrito, latitud, longitud, es_principal, estado) SELECT "&amp;"(SELECT id FROM cli_clientes WHERE numero_documento = '"&amp;SUBSTITUTE(TRIM(A52),"'","''")&amp;"' AND estado = 1 LIMIT 1)"&amp;", "&amp;IF(TRIM(C52&amp;"")="","NULL","'"&amp;SUBSTITUTE(TRIM(C52),"'","''")&amp;"'")&amp;", "&amp;IF(TRIM(D52&amp;"")="","NULL","'"&amp;SUBSTITUTE(TRIM(D52),"'","''")&amp;"'")&amp;", "&amp;IF(TRIM(E52&amp;"")="","NULL","'"&amp;SUBSTITUTE(TRIM(E52),"'","''")&amp;"'")&amp;", "&amp;IF(TRIM(F52&amp;"")="","NULL","(SELECT id FROM gen_departamento WHERE upper(nombre) = upper('"&amp;SUBSTITUTE(TRIM(F52),"'","''")&amp;"') AND estado = 1 LIMIT 1)")&amp;", "&amp;IF(OR(TRIM(F52&amp;"")="",TRIM(G52&amp;"")=""),"NULL","(SELECT p.id FROM gen_provincia p JOIN gen_departamento dp ON dp.id = p.id_departamento WHERE upper(p.nombre) = upper('"&amp;SUBSTITUTE(TRIM(G52),"'","''")&amp;"') AND upper(dp.nombre) = upper('"&amp;SUBSTITUTE(TRIM(F52),"'","''")&amp;"') AND p.estado = 1 LIMIT 1)")&amp;", "&amp;IF(OR(TRIM(F52&amp;"")="",TRIM(G52&amp;"")="",TRIM(H52&amp;"")=""),"NULL","(SELECT d.id FROM gen_distrito d JOIN gen_provincia p ON p.id = d.id_provincia JOIN gen_departamento dp ON dp.id = p.id_departamento WHERE upper(d.nombre) = upper('"&amp;SUBSTITUTE(TRIM(H52),"'","''")&amp;"') AND upper(p.nombre) = upper('"&amp;SUBSTITUTE(TRIM(G52),"'","''")&amp;"') AND upper(dp.nombre) = upper('"&amp;SUBSTITUTE(TRIM(F52),"'","''")&amp;"') AND d.estado = 1 LIMIT 1)")&amp;", "&amp;IF(I52&amp;""="","NULL",SUBSTITUTE(I52&amp;"",",","."))&amp;", "&amp;IF(J52&amp;""="","NULL",SUBSTITUTE(J52&amp;"",",","."))&amp;", "&amp;IF(UPPER(TRIM(K52&amp;""))="SI","TRUE","FALSE")&amp;", 1"&amp;" WHERE NOT EXISTS (SELECT 1 FROM cli_direcciones x WHERE x.id_cliente = "&amp;"(SELECT id FROM cli_clientes WHERE numero_documento = '"&amp;SUBSTITUTE(TRIM(A52),"'","''")&amp;"' AND estado = 1 LIMIT 1)"&amp;" AND upper(x.direccion) = upper("&amp;IF(TRIM(D52&amp;"")="","NULL","'"&amp;SUBSTITUTE(TRIM(D52),"'","''")&amp;"'")&amp;"));")</f>
        <v/>
      </c>
    </row>
    <row r="53" ht="15.75" customHeight="1" s="64">
      <c r="A53" s="23" t="n"/>
      <c r="B53" s="25">
        <f t="array" ref="B53">IF(A53="","",IFERROR(IF(INDEX(Clientes!$D$5:$D$549,MATCH(A53,Clientes!$C$5:$C$549,0))&lt;&gt;"",INDEX(Clientes!$D$5:$D$549,MATCH(A53,Clientes!$C$5:$C$549,0)),TRIM(INDEX(Clientes!$E$5:$E$549,MATCH(A53,Clientes!$C$5:$C$549,0))&amp;" "&amp;INDEX(Clientes!$F$5:$F$549,MATCH(A53,Clientes!$C$5:$C$549,0)))),"NO EXISTE en Clientes"))</f>
        <v/>
      </c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>
        <f>IF(AND(A53="",D53=""),"",IF(A53="","FALTA doc. cliente",IF(B53="NO EXISTE en Clientes","CLIENTE no está en hoja Clientes",IF(D53="","FALTA dirección",IF(AND(H53&lt;&gt;"",OR(F53="",G53="")),"Distrito requiere departamento y provincia",IF(AND(G53&lt;&gt;"",F53=""),"Provincia requiere departamento",IF((I53&lt;&gt;"")&lt;&gt;(J53&lt;&gt;""),"Latitud y longitud van juntas","OK")))))))</f>
        <v/>
      </c>
      <c r="M53" s="28">
        <f>IF(L53&lt;&gt;"OK","","INSERT INTO cli_direcciones (id_cliente, descripcion, direccion, referencia, id_departamento, id_provincia, id_distrito, latitud, longitud, es_principal, estado) SELECT "&amp;"(SELECT id FROM cli_clientes WHERE numero_documento = '"&amp;SUBSTITUTE(TRIM(A53),"'","''")&amp;"' AND estado = 1 LIMIT 1)"&amp;", "&amp;IF(TRIM(C53&amp;"")="","NULL","'"&amp;SUBSTITUTE(TRIM(C53),"'","''")&amp;"'")&amp;", "&amp;IF(TRIM(D53&amp;"")="","NULL","'"&amp;SUBSTITUTE(TRIM(D53),"'","''")&amp;"'")&amp;", "&amp;IF(TRIM(E53&amp;"")="","NULL","'"&amp;SUBSTITUTE(TRIM(E53),"'","''")&amp;"'")&amp;", "&amp;IF(TRIM(F53&amp;"")="","NULL","(SELECT id FROM gen_departamento WHERE upper(nombre) = upper('"&amp;SUBSTITUTE(TRIM(F53),"'","''")&amp;"') AND estado = 1 LIMIT 1)")&amp;", "&amp;IF(OR(TRIM(F53&amp;"")="",TRIM(G53&amp;"")=""),"NULL","(SELECT p.id FROM gen_provincia p JOIN gen_departamento dp ON dp.id = p.id_departamento WHERE upper(p.nombre) = upper('"&amp;SUBSTITUTE(TRIM(G53),"'","''")&amp;"') AND upper(dp.nombre) = upper('"&amp;SUBSTITUTE(TRIM(F53),"'","''")&amp;"') AND p.estado = 1 LIMIT 1)")&amp;", "&amp;IF(OR(TRIM(F53&amp;"")="",TRIM(G53&amp;"")="",TRIM(H53&amp;"")=""),"NULL","(SELECT d.id FROM gen_distrito d JOIN gen_provincia p ON p.id = d.id_provincia JOIN gen_departamento dp ON dp.id = p.id_departamento WHERE upper(d.nombre) = upper('"&amp;SUBSTITUTE(TRIM(H53),"'","''")&amp;"') AND upper(p.nombre) = upper('"&amp;SUBSTITUTE(TRIM(G53),"'","''")&amp;"') AND upper(dp.nombre) = upper('"&amp;SUBSTITUTE(TRIM(F53),"'","''")&amp;"') AND d.estado = 1 LIMIT 1)")&amp;", "&amp;IF(I53&amp;""="","NULL",SUBSTITUTE(I53&amp;"",",","."))&amp;", "&amp;IF(J53&amp;""="","NULL",SUBSTITUTE(J53&amp;"",",","."))&amp;", "&amp;IF(UPPER(TRIM(K53&amp;""))="SI","TRUE","FALSE")&amp;", 1"&amp;" WHERE NOT EXISTS (SELECT 1 FROM cli_direcciones x WHERE x.id_cliente = "&amp;"(SELECT id FROM cli_clientes WHERE numero_documento = '"&amp;SUBSTITUTE(TRIM(A53),"'","''")&amp;"' AND estado = 1 LIMIT 1)"&amp;" AND upper(x.direccion) = upper("&amp;IF(TRIM(D53&amp;"")="","NULL","'"&amp;SUBSTITUTE(TRIM(D53),"'","''")&amp;"'")&amp;"));")</f>
        <v/>
      </c>
    </row>
    <row r="54" ht="15.75" customHeight="1" s="64">
      <c r="A54" s="23" t="n"/>
      <c r="B54" s="25">
        <f t="array" ref="B54">IF(A54="","",IFERROR(IF(INDEX(Clientes!$D$5:$D$549,MATCH(A54,Clientes!$C$5:$C$549,0))&lt;&gt;"",INDEX(Clientes!$D$5:$D$549,MATCH(A54,Clientes!$C$5:$C$549,0)),TRIM(INDEX(Clientes!$E$5:$E$549,MATCH(A54,Clientes!$C$5:$C$549,0))&amp;" "&amp;INDEX(Clientes!$F$5:$F$549,MATCH(A54,Clientes!$C$5:$C$549,0)))),"NO EXISTE en Clientes"))</f>
        <v/>
      </c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>
        <f>IF(AND(A54="",D54=""),"",IF(A54="","FALTA doc. cliente",IF(B54="NO EXISTE en Clientes","CLIENTE no está en hoja Clientes",IF(D54="","FALTA dirección",IF(AND(H54&lt;&gt;"",OR(F54="",G54="")),"Distrito requiere departamento y provincia",IF(AND(G54&lt;&gt;"",F54=""),"Provincia requiere departamento",IF((I54&lt;&gt;"")&lt;&gt;(J54&lt;&gt;""),"Latitud y longitud van juntas","OK")))))))</f>
        <v/>
      </c>
      <c r="M54" s="28">
        <f>IF(L54&lt;&gt;"OK","","INSERT INTO cli_direcciones (id_cliente, descripcion, direccion, referencia, id_departamento, id_provincia, id_distrito, latitud, longitud, es_principal, estado) SELECT "&amp;"(SELECT id FROM cli_clientes WHERE numero_documento = '"&amp;SUBSTITUTE(TRIM(A54),"'","''")&amp;"' AND estado = 1 LIMIT 1)"&amp;", "&amp;IF(TRIM(C54&amp;"")="","NULL","'"&amp;SUBSTITUTE(TRIM(C54),"'","''")&amp;"'")&amp;", "&amp;IF(TRIM(D54&amp;"")="","NULL","'"&amp;SUBSTITUTE(TRIM(D54),"'","''")&amp;"'")&amp;", "&amp;IF(TRIM(E54&amp;"")="","NULL","'"&amp;SUBSTITUTE(TRIM(E54),"'","''")&amp;"'")&amp;", "&amp;IF(TRIM(F54&amp;"")="","NULL","(SELECT id FROM gen_departamento WHERE upper(nombre) = upper('"&amp;SUBSTITUTE(TRIM(F54),"'","''")&amp;"') AND estado = 1 LIMIT 1)")&amp;", "&amp;IF(OR(TRIM(F54&amp;"")="",TRIM(G54&amp;"")=""),"NULL","(SELECT p.id FROM gen_provincia p JOIN gen_departamento dp ON dp.id = p.id_departamento WHERE upper(p.nombre) = upper('"&amp;SUBSTITUTE(TRIM(G54),"'","''")&amp;"') AND upper(dp.nombre) = upper('"&amp;SUBSTITUTE(TRIM(F54),"'","''")&amp;"') AND p.estado = 1 LIMIT 1)")&amp;", "&amp;IF(OR(TRIM(F54&amp;"")="",TRIM(G54&amp;"")="",TRIM(H54&amp;"")=""),"NULL","(SELECT d.id FROM gen_distrito d JOIN gen_provincia p ON p.id = d.id_provincia JOIN gen_departamento dp ON dp.id = p.id_departamento WHERE upper(d.nombre) = upper('"&amp;SUBSTITUTE(TRIM(H54),"'","''")&amp;"') AND upper(p.nombre) = upper('"&amp;SUBSTITUTE(TRIM(G54),"'","''")&amp;"') AND upper(dp.nombre) = upper('"&amp;SUBSTITUTE(TRIM(F54),"'","''")&amp;"') AND d.estado = 1 LIMIT 1)")&amp;", "&amp;IF(I54&amp;""="","NULL",SUBSTITUTE(I54&amp;"",",","."))&amp;", "&amp;IF(J54&amp;""="","NULL",SUBSTITUTE(J54&amp;"",",","."))&amp;", "&amp;IF(UPPER(TRIM(K54&amp;""))="SI","TRUE","FALSE")&amp;", 1"&amp;" WHERE NOT EXISTS (SELECT 1 FROM cli_direcciones x WHERE x.id_cliente = "&amp;"(SELECT id FROM cli_clientes WHERE numero_documento = '"&amp;SUBSTITUTE(TRIM(A54),"'","''")&amp;"' AND estado = 1 LIMIT 1)"&amp;" AND upper(x.direccion) = upper("&amp;IF(TRIM(D54&amp;"")="","NULL","'"&amp;SUBSTITUTE(TRIM(D54),"'","''")&amp;"'")&amp;"));")</f>
        <v/>
      </c>
    </row>
    <row r="55" ht="15.75" customHeight="1" s="64">
      <c r="A55" s="23" t="n"/>
      <c r="B55" s="25">
        <f t="array" ref="B55">IF(A55="","",IFERROR(IF(INDEX(Clientes!$D$5:$D$549,MATCH(A55,Clientes!$C$5:$C$549,0))&lt;&gt;"",INDEX(Clientes!$D$5:$D$549,MATCH(A55,Clientes!$C$5:$C$549,0)),TRIM(INDEX(Clientes!$E$5:$E$549,MATCH(A55,Clientes!$C$5:$C$549,0))&amp;" "&amp;INDEX(Clientes!$F$5:$F$549,MATCH(A55,Clientes!$C$5:$C$549,0)))),"NO EXISTE en Clientes"))</f>
        <v/>
      </c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>
        <f>IF(AND(A55="",D55=""),"",IF(A55="","FALTA doc. cliente",IF(B55="NO EXISTE en Clientes","CLIENTE no está en hoja Clientes",IF(D55="","FALTA dirección",IF(AND(H55&lt;&gt;"",OR(F55="",G55="")),"Distrito requiere departamento y provincia",IF(AND(G55&lt;&gt;"",F55=""),"Provincia requiere departamento",IF((I55&lt;&gt;"")&lt;&gt;(J55&lt;&gt;""),"Latitud y longitud van juntas","OK")))))))</f>
        <v/>
      </c>
      <c r="M55" s="28">
        <f>IF(L55&lt;&gt;"OK","","INSERT INTO cli_direcciones (id_cliente, descripcion, direccion, referencia, id_departamento, id_provincia, id_distrito, latitud, longitud, es_principal, estado) SELECT "&amp;"(SELECT id FROM cli_clientes WHERE numero_documento = '"&amp;SUBSTITUTE(TRIM(A55),"'","''")&amp;"' AND estado = 1 LIMIT 1)"&amp;", "&amp;IF(TRIM(C55&amp;"")="","NULL","'"&amp;SUBSTITUTE(TRIM(C55),"'","''")&amp;"'")&amp;", "&amp;IF(TRIM(D55&amp;"")="","NULL","'"&amp;SUBSTITUTE(TRIM(D55),"'","''")&amp;"'")&amp;", "&amp;IF(TRIM(E55&amp;"")="","NULL","'"&amp;SUBSTITUTE(TRIM(E55),"'","''")&amp;"'")&amp;", "&amp;IF(TRIM(F55&amp;"")="","NULL","(SELECT id FROM gen_departamento WHERE upper(nombre) = upper('"&amp;SUBSTITUTE(TRIM(F55),"'","''")&amp;"') AND estado = 1 LIMIT 1)")&amp;", "&amp;IF(OR(TRIM(F55&amp;"")="",TRIM(G55&amp;"")=""),"NULL","(SELECT p.id FROM gen_provincia p JOIN gen_departamento dp ON dp.id = p.id_departamento WHERE upper(p.nombre) = upper('"&amp;SUBSTITUTE(TRIM(G55),"'","''")&amp;"') AND upper(dp.nombre) = upper('"&amp;SUBSTITUTE(TRIM(F55),"'","''")&amp;"') AND p.estado = 1 LIMIT 1)")&amp;", "&amp;IF(OR(TRIM(F55&amp;"")="",TRIM(G55&amp;"")="",TRIM(H55&amp;"")=""),"NULL","(SELECT d.id FROM gen_distrito d JOIN gen_provincia p ON p.id = d.id_provincia JOIN gen_departamento dp ON dp.id = p.id_departamento WHERE upper(d.nombre) = upper('"&amp;SUBSTITUTE(TRIM(H55),"'","''")&amp;"') AND upper(p.nombre) = upper('"&amp;SUBSTITUTE(TRIM(G55),"'","''")&amp;"') AND upper(dp.nombre) = upper('"&amp;SUBSTITUTE(TRIM(F55),"'","''")&amp;"') AND d.estado = 1 LIMIT 1)")&amp;", "&amp;IF(I55&amp;""="","NULL",SUBSTITUTE(I55&amp;"",",","."))&amp;", "&amp;IF(J55&amp;""="","NULL",SUBSTITUTE(J55&amp;"",",","."))&amp;", "&amp;IF(UPPER(TRIM(K55&amp;""))="SI","TRUE","FALSE")&amp;", 1"&amp;" WHERE NOT EXISTS (SELECT 1 FROM cli_direcciones x WHERE x.id_cliente = "&amp;"(SELECT id FROM cli_clientes WHERE numero_documento = '"&amp;SUBSTITUTE(TRIM(A55),"'","''")&amp;"' AND estado = 1 LIMIT 1)"&amp;" AND upper(x.direccion) = upper("&amp;IF(TRIM(D55&amp;"")="","NULL","'"&amp;SUBSTITUTE(TRIM(D55),"'","''")&amp;"'")&amp;"));")</f>
        <v/>
      </c>
    </row>
    <row r="56" ht="15.75" customHeight="1" s="64">
      <c r="A56" s="23" t="n"/>
      <c r="B56" s="25">
        <f t="array" ref="B56">IF(A56="","",IFERROR(IF(INDEX(Clientes!$D$5:$D$549,MATCH(A56,Clientes!$C$5:$C$549,0))&lt;&gt;"",INDEX(Clientes!$D$5:$D$549,MATCH(A56,Clientes!$C$5:$C$549,0)),TRIM(INDEX(Clientes!$E$5:$E$549,MATCH(A56,Clientes!$C$5:$C$549,0))&amp;" "&amp;INDEX(Clientes!$F$5:$F$549,MATCH(A56,Clientes!$C$5:$C$549,0)))),"NO EXISTE en Clientes"))</f>
        <v/>
      </c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>
        <f>IF(AND(A56="",D56=""),"",IF(A56="","FALTA doc. cliente",IF(B56="NO EXISTE en Clientes","CLIENTE no está en hoja Clientes",IF(D56="","FALTA dirección",IF(AND(H56&lt;&gt;"",OR(F56="",G56="")),"Distrito requiere departamento y provincia",IF(AND(G56&lt;&gt;"",F56=""),"Provincia requiere departamento",IF((I56&lt;&gt;"")&lt;&gt;(J56&lt;&gt;""),"Latitud y longitud van juntas","OK")))))))</f>
        <v/>
      </c>
      <c r="M56" s="28">
        <f>IF(L56&lt;&gt;"OK","","INSERT INTO cli_direcciones (id_cliente, descripcion, direccion, referencia, id_departamento, id_provincia, id_distrito, latitud, longitud, es_principal, estado) SELECT "&amp;"(SELECT id FROM cli_clientes WHERE numero_documento = '"&amp;SUBSTITUTE(TRIM(A56),"'","''")&amp;"' AND estado = 1 LIMIT 1)"&amp;", "&amp;IF(TRIM(C56&amp;"")="","NULL","'"&amp;SUBSTITUTE(TRIM(C56),"'","''")&amp;"'")&amp;", "&amp;IF(TRIM(D56&amp;"")="","NULL","'"&amp;SUBSTITUTE(TRIM(D56),"'","''")&amp;"'")&amp;", "&amp;IF(TRIM(E56&amp;"")="","NULL","'"&amp;SUBSTITUTE(TRIM(E56),"'","''")&amp;"'")&amp;", "&amp;IF(TRIM(F56&amp;"")="","NULL","(SELECT id FROM gen_departamento WHERE upper(nombre) = upper('"&amp;SUBSTITUTE(TRIM(F56),"'","''")&amp;"') AND estado = 1 LIMIT 1)")&amp;", "&amp;IF(OR(TRIM(F56&amp;"")="",TRIM(G56&amp;"")=""),"NULL","(SELECT p.id FROM gen_provincia p JOIN gen_departamento dp ON dp.id = p.id_departamento WHERE upper(p.nombre) = upper('"&amp;SUBSTITUTE(TRIM(G56),"'","''")&amp;"') AND upper(dp.nombre) = upper('"&amp;SUBSTITUTE(TRIM(F56),"'","''")&amp;"') AND p.estado = 1 LIMIT 1)")&amp;", "&amp;IF(OR(TRIM(F56&amp;"")="",TRIM(G56&amp;"")="",TRIM(H56&amp;"")=""),"NULL","(SELECT d.id FROM gen_distrito d JOIN gen_provincia p ON p.id = d.id_provincia JOIN gen_departamento dp ON dp.id = p.id_departamento WHERE upper(d.nombre) = upper('"&amp;SUBSTITUTE(TRIM(H56),"'","''")&amp;"') AND upper(p.nombre) = upper('"&amp;SUBSTITUTE(TRIM(G56),"'","''")&amp;"') AND upper(dp.nombre) = upper('"&amp;SUBSTITUTE(TRIM(F56),"'","''")&amp;"') AND d.estado = 1 LIMIT 1)")&amp;", "&amp;IF(I56&amp;""="","NULL",SUBSTITUTE(I56&amp;"",",","."))&amp;", "&amp;IF(J56&amp;""="","NULL",SUBSTITUTE(J56&amp;"",",","."))&amp;", "&amp;IF(UPPER(TRIM(K56&amp;""))="SI","TRUE","FALSE")&amp;", 1"&amp;" WHERE NOT EXISTS (SELECT 1 FROM cli_direcciones x WHERE x.id_cliente = "&amp;"(SELECT id FROM cli_clientes WHERE numero_documento = '"&amp;SUBSTITUTE(TRIM(A56),"'","''")&amp;"' AND estado = 1 LIMIT 1)"&amp;" AND upper(x.direccion) = upper("&amp;IF(TRIM(D56&amp;"")="","NULL","'"&amp;SUBSTITUTE(TRIM(D56),"'","''")&amp;"'")&amp;"));")</f>
        <v/>
      </c>
    </row>
    <row r="57" ht="15.75" customHeight="1" s="64">
      <c r="A57" s="23" t="n"/>
      <c r="B57" s="25">
        <f t="array" ref="B57">IF(A57="","",IFERROR(IF(INDEX(Clientes!$D$5:$D$549,MATCH(A57,Clientes!$C$5:$C$549,0))&lt;&gt;"",INDEX(Clientes!$D$5:$D$549,MATCH(A57,Clientes!$C$5:$C$549,0)),TRIM(INDEX(Clientes!$E$5:$E$549,MATCH(A57,Clientes!$C$5:$C$549,0))&amp;" "&amp;INDEX(Clientes!$F$5:$F$549,MATCH(A57,Clientes!$C$5:$C$549,0)))),"NO EXISTE en Clientes"))</f>
        <v/>
      </c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>
        <f>IF(AND(A57="",D57=""),"",IF(A57="","FALTA doc. cliente",IF(B57="NO EXISTE en Clientes","CLIENTE no está en hoja Clientes",IF(D57="","FALTA dirección",IF(AND(H57&lt;&gt;"",OR(F57="",G57="")),"Distrito requiere departamento y provincia",IF(AND(G57&lt;&gt;"",F57=""),"Provincia requiere departamento",IF((I57&lt;&gt;"")&lt;&gt;(J57&lt;&gt;""),"Latitud y longitud van juntas","OK")))))))</f>
        <v/>
      </c>
      <c r="M57" s="28">
        <f>IF(L57&lt;&gt;"OK","","INSERT INTO cli_direcciones (id_cliente, descripcion, direccion, referencia, id_departamento, id_provincia, id_distrito, latitud, longitud, es_principal, estado) SELECT "&amp;"(SELECT id FROM cli_clientes WHERE numero_documento = '"&amp;SUBSTITUTE(TRIM(A57),"'","''")&amp;"' AND estado = 1 LIMIT 1)"&amp;", "&amp;IF(TRIM(C57&amp;"")="","NULL","'"&amp;SUBSTITUTE(TRIM(C57),"'","''")&amp;"'")&amp;", "&amp;IF(TRIM(D57&amp;"")="","NULL","'"&amp;SUBSTITUTE(TRIM(D57),"'","''")&amp;"'")&amp;", "&amp;IF(TRIM(E57&amp;"")="","NULL","'"&amp;SUBSTITUTE(TRIM(E57),"'","''")&amp;"'")&amp;", "&amp;IF(TRIM(F57&amp;"")="","NULL","(SELECT id FROM gen_departamento WHERE upper(nombre) = upper('"&amp;SUBSTITUTE(TRIM(F57),"'","''")&amp;"') AND estado = 1 LIMIT 1)")&amp;", "&amp;IF(OR(TRIM(F57&amp;"")="",TRIM(G57&amp;"")=""),"NULL","(SELECT p.id FROM gen_provincia p JOIN gen_departamento dp ON dp.id = p.id_departamento WHERE upper(p.nombre) = upper('"&amp;SUBSTITUTE(TRIM(G57),"'","''")&amp;"') AND upper(dp.nombre) = upper('"&amp;SUBSTITUTE(TRIM(F57),"'","''")&amp;"') AND p.estado = 1 LIMIT 1)")&amp;", "&amp;IF(OR(TRIM(F57&amp;"")="",TRIM(G57&amp;"")="",TRIM(H57&amp;"")=""),"NULL","(SELECT d.id FROM gen_distrito d JOIN gen_provincia p ON p.id = d.id_provincia JOIN gen_departamento dp ON dp.id = p.id_departamento WHERE upper(d.nombre) = upper('"&amp;SUBSTITUTE(TRIM(H57),"'","''")&amp;"') AND upper(p.nombre) = upper('"&amp;SUBSTITUTE(TRIM(G57),"'","''")&amp;"') AND upper(dp.nombre) = upper('"&amp;SUBSTITUTE(TRIM(F57),"'","''")&amp;"') AND d.estado = 1 LIMIT 1)")&amp;", "&amp;IF(I57&amp;""="","NULL",SUBSTITUTE(I57&amp;"",",","."))&amp;", "&amp;IF(J57&amp;""="","NULL",SUBSTITUTE(J57&amp;"",",","."))&amp;", "&amp;IF(UPPER(TRIM(K57&amp;""))="SI","TRUE","FALSE")&amp;", 1"&amp;" WHERE NOT EXISTS (SELECT 1 FROM cli_direcciones x WHERE x.id_cliente = "&amp;"(SELECT id FROM cli_clientes WHERE numero_documento = '"&amp;SUBSTITUTE(TRIM(A57),"'","''")&amp;"' AND estado = 1 LIMIT 1)"&amp;" AND upper(x.direccion) = upper("&amp;IF(TRIM(D57&amp;"")="","NULL","'"&amp;SUBSTITUTE(TRIM(D57),"'","''")&amp;"'")&amp;"));")</f>
        <v/>
      </c>
    </row>
    <row r="58" ht="15.75" customHeight="1" s="64">
      <c r="A58" s="23" t="n"/>
      <c r="B58" s="25">
        <f t="array" ref="B58">IF(A58="","",IFERROR(IF(INDEX(Clientes!$D$5:$D$549,MATCH(A58,Clientes!$C$5:$C$549,0))&lt;&gt;"",INDEX(Clientes!$D$5:$D$549,MATCH(A58,Clientes!$C$5:$C$549,0)),TRIM(INDEX(Clientes!$E$5:$E$549,MATCH(A58,Clientes!$C$5:$C$549,0))&amp;" "&amp;INDEX(Clientes!$F$5:$F$549,MATCH(A58,Clientes!$C$5:$C$549,0)))),"NO EXISTE en Clientes"))</f>
        <v/>
      </c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>
        <f>IF(AND(A58="",D58=""),"",IF(A58="","FALTA doc. cliente",IF(B58="NO EXISTE en Clientes","CLIENTE no está en hoja Clientes",IF(D58="","FALTA dirección",IF(AND(H58&lt;&gt;"",OR(F58="",G58="")),"Distrito requiere departamento y provincia",IF(AND(G58&lt;&gt;"",F58=""),"Provincia requiere departamento",IF((I58&lt;&gt;"")&lt;&gt;(J58&lt;&gt;""),"Latitud y longitud van juntas","OK")))))))</f>
        <v/>
      </c>
      <c r="M58" s="28">
        <f>IF(L58&lt;&gt;"OK","","INSERT INTO cli_direcciones (id_cliente, descripcion, direccion, referencia, id_departamento, id_provincia, id_distrito, latitud, longitud, es_principal, estado) SELECT "&amp;"(SELECT id FROM cli_clientes WHERE numero_documento = '"&amp;SUBSTITUTE(TRIM(A58),"'","''")&amp;"' AND estado = 1 LIMIT 1)"&amp;", "&amp;IF(TRIM(C58&amp;"")="","NULL","'"&amp;SUBSTITUTE(TRIM(C58),"'","''")&amp;"'")&amp;", "&amp;IF(TRIM(D58&amp;"")="","NULL","'"&amp;SUBSTITUTE(TRIM(D58),"'","''")&amp;"'")&amp;", "&amp;IF(TRIM(E58&amp;"")="","NULL","'"&amp;SUBSTITUTE(TRIM(E58),"'","''")&amp;"'")&amp;", "&amp;IF(TRIM(F58&amp;"")="","NULL","(SELECT id FROM gen_departamento WHERE upper(nombre) = upper('"&amp;SUBSTITUTE(TRIM(F58),"'","''")&amp;"') AND estado = 1 LIMIT 1)")&amp;", "&amp;IF(OR(TRIM(F58&amp;"")="",TRIM(G58&amp;"")=""),"NULL","(SELECT p.id FROM gen_provincia p JOIN gen_departamento dp ON dp.id = p.id_departamento WHERE upper(p.nombre) = upper('"&amp;SUBSTITUTE(TRIM(G58),"'","''")&amp;"') AND upper(dp.nombre) = upper('"&amp;SUBSTITUTE(TRIM(F58),"'","''")&amp;"') AND p.estado = 1 LIMIT 1)")&amp;", "&amp;IF(OR(TRIM(F58&amp;"")="",TRIM(G58&amp;"")="",TRIM(H58&amp;"")=""),"NULL","(SELECT d.id FROM gen_distrito d JOIN gen_provincia p ON p.id = d.id_provincia JOIN gen_departamento dp ON dp.id = p.id_departamento WHERE upper(d.nombre) = upper('"&amp;SUBSTITUTE(TRIM(H58),"'","''")&amp;"') AND upper(p.nombre) = upper('"&amp;SUBSTITUTE(TRIM(G58),"'","''")&amp;"') AND upper(dp.nombre) = upper('"&amp;SUBSTITUTE(TRIM(F58),"'","''")&amp;"') AND d.estado = 1 LIMIT 1)")&amp;", "&amp;IF(I58&amp;""="","NULL",SUBSTITUTE(I58&amp;"",",","."))&amp;", "&amp;IF(J58&amp;""="","NULL",SUBSTITUTE(J58&amp;"",",","."))&amp;", "&amp;IF(UPPER(TRIM(K58&amp;""))="SI","TRUE","FALSE")&amp;", 1"&amp;" WHERE NOT EXISTS (SELECT 1 FROM cli_direcciones x WHERE x.id_cliente = "&amp;"(SELECT id FROM cli_clientes WHERE numero_documento = '"&amp;SUBSTITUTE(TRIM(A58),"'","''")&amp;"' AND estado = 1 LIMIT 1)"&amp;" AND upper(x.direccion) = upper("&amp;IF(TRIM(D58&amp;"")="","NULL","'"&amp;SUBSTITUTE(TRIM(D58),"'","''")&amp;"'")&amp;"));")</f>
        <v/>
      </c>
    </row>
    <row r="59" ht="15.75" customHeight="1" s="64">
      <c r="A59" s="23" t="n"/>
      <c r="B59" s="25">
        <f t="array" ref="B59">IF(A59="","",IFERROR(IF(INDEX(Clientes!$D$5:$D$549,MATCH(A59,Clientes!$C$5:$C$549,0))&lt;&gt;"",INDEX(Clientes!$D$5:$D$549,MATCH(A59,Clientes!$C$5:$C$549,0)),TRIM(INDEX(Clientes!$E$5:$E$549,MATCH(A59,Clientes!$C$5:$C$549,0))&amp;" "&amp;INDEX(Clientes!$F$5:$F$549,MATCH(A59,Clientes!$C$5:$C$549,0)))),"NO EXISTE en Clientes"))</f>
        <v/>
      </c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>
        <f>IF(AND(A59="",D59=""),"",IF(A59="","FALTA doc. cliente",IF(B59="NO EXISTE en Clientes","CLIENTE no está en hoja Clientes",IF(D59="","FALTA dirección",IF(AND(H59&lt;&gt;"",OR(F59="",G59="")),"Distrito requiere departamento y provincia",IF(AND(G59&lt;&gt;"",F59=""),"Provincia requiere departamento",IF((I59&lt;&gt;"")&lt;&gt;(J59&lt;&gt;""),"Latitud y longitud van juntas","OK")))))))</f>
        <v/>
      </c>
      <c r="M59" s="28">
        <f>IF(L59&lt;&gt;"OK","","INSERT INTO cli_direcciones (id_cliente, descripcion, direccion, referencia, id_departamento, id_provincia, id_distrito, latitud, longitud, es_principal, estado) SELECT "&amp;"(SELECT id FROM cli_clientes WHERE numero_documento = '"&amp;SUBSTITUTE(TRIM(A59),"'","''")&amp;"' AND estado = 1 LIMIT 1)"&amp;", "&amp;IF(TRIM(C59&amp;"")="","NULL","'"&amp;SUBSTITUTE(TRIM(C59),"'","''")&amp;"'")&amp;", "&amp;IF(TRIM(D59&amp;"")="","NULL","'"&amp;SUBSTITUTE(TRIM(D59),"'","''")&amp;"'")&amp;", "&amp;IF(TRIM(E59&amp;"")="","NULL","'"&amp;SUBSTITUTE(TRIM(E59),"'","''")&amp;"'")&amp;", "&amp;IF(TRIM(F59&amp;"")="","NULL","(SELECT id FROM gen_departamento WHERE upper(nombre) = upper('"&amp;SUBSTITUTE(TRIM(F59),"'","''")&amp;"') AND estado = 1 LIMIT 1)")&amp;", "&amp;IF(OR(TRIM(F59&amp;"")="",TRIM(G59&amp;"")=""),"NULL","(SELECT p.id FROM gen_provincia p JOIN gen_departamento dp ON dp.id = p.id_departamento WHERE upper(p.nombre) = upper('"&amp;SUBSTITUTE(TRIM(G59),"'","''")&amp;"') AND upper(dp.nombre) = upper('"&amp;SUBSTITUTE(TRIM(F59),"'","''")&amp;"') AND p.estado = 1 LIMIT 1)")&amp;", "&amp;IF(OR(TRIM(F59&amp;"")="",TRIM(G59&amp;"")="",TRIM(H59&amp;"")=""),"NULL","(SELECT d.id FROM gen_distrito d JOIN gen_provincia p ON p.id = d.id_provincia JOIN gen_departamento dp ON dp.id = p.id_departamento WHERE upper(d.nombre) = upper('"&amp;SUBSTITUTE(TRIM(H59),"'","''")&amp;"') AND upper(p.nombre) = upper('"&amp;SUBSTITUTE(TRIM(G59),"'","''")&amp;"') AND upper(dp.nombre) = upper('"&amp;SUBSTITUTE(TRIM(F59),"'","''")&amp;"') AND d.estado = 1 LIMIT 1)")&amp;", "&amp;IF(I59&amp;""="","NULL",SUBSTITUTE(I59&amp;"",",","."))&amp;", "&amp;IF(J59&amp;""="","NULL",SUBSTITUTE(J59&amp;"",",","."))&amp;", "&amp;IF(UPPER(TRIM(K59&amp;""))="SI","TRUE","FALSE")&amp;", 1"&amp;" WHERE NOT EXISTS (SELECT 1 FROM cli_direcciones x WHERE x.id_cliente = "&amp;"(SELECT id FROM cli_clientes WHERE numero_documento = '"&amp;SUBSTITUTE(TRIM(A59),"'","''")&amp;"' AND estado = 1 LIMIT 1)"&amp;" AND upper(x.direccion) = upper("&amp;IF(TRIM(D59&amp;"")="","NULL","'"&amp;SUBSTITUTE(TRIM(D59),"'","''")&amp;"'")&amp;"));")</f>
        <v/>
      </c>
    </row>
    <row r="60" ht="15.75" customHeight="1" s="64">
      <c r="A60" s="23" t="n"/>
      <c r="B60" s="25">
        <f t="array" ref="B60">IF(A60="","",IFERROR(IF(INDEX(Clientes!$D$5:$D$549,MATCH(A60,Clientes!$C$5:$C$549,0))&lt;&gt;"",INDEX(Clientes!$D$5:$D$549,MATCH(A60,Clientes!$C$5:$C$549,0)),TRIM(INDEX(Clientes!$E$5:$E$549,MATCH(A60,Clientes!$C$5:$C$549,0))&amp;" "&amp;INDEX(Clientes!$F$5:$F$549,MATCH(A60,Clientes!$C$5:$C$549,0)))),"NO EXISTE en Clientes"))</f>
        <v/>
      </c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>
        <f>IF(AND(A60="",D60=""),"",IF(A60="","FALTA doc. cliente",IF(B60="NO EXISTE en Clientes","CLIENTE no está en hoja Clientes",IF(D60="","FALTA dirección",IF(AND(H60&lt;&gt;"",OR(F60="",G60="")),"Distrito requiere departamento y provincia",IF(AND(G60&lt;&gt;"",F60=""),"Provincia requiere departamento",IF((I60&lt;&gt;"")&lt;&gt;(J60&lt;&gt;""),"Latitud y longitud van juntas","OK")))))))</f>
        <v/>
      </c>
      <c r="M60" s="28">
        <f>IF(L60&lt;&gt;"OK","","INSERT INTO cli_direcciones (id_cliente, descripcion, direccion, referencia, id_departamento, id_provincia, id_distrito, latitud, longitud, es_principal, estado) SELECT "&amp;"(SELECT id FROM cli_clientes WHERE numero_documento = '"&amp;SUBSTITUTE(TRIM(A60),"'","''")&amp;"' AND estado = 1 LIMIT 1)"&amp;", "&amp;IF(TRIM(C60&amp;"")="","NULL","'"&amp;SUBSTITUTE(TRIM(C60),"'","''")&amp;"'")&amp;", "&amp;IF(TRIM(D60&amp;"")="","NULL","'"&amp;SUBSTITUTE(TRIM(D60),"'","''")&amp;"'")&amp;", "&amp;IF(TRIM(E60&amp;"")="","NULL","'"&amp;SUBSTITUTE(TRIM(E60),"'","''")&amp;"'")&amp;", "&amp;IF(TRIM(F60&amp;"")="","NULL","(SELECT id FROM gen_departamento WHERE upper(nombre) = upper('"&amp;SUBSTITUTE(TRIM(F60),"'","''")&amp;"') AND estado = 1 LIMIT 1)")&amp;", "&amp;IF(OR(TRIM(F60&amp;"")="",TRIM(G60&amp;"")=""),"NULL","(SELECT p.id FROM gen_provincia p JOIN gen_departamento dp ON dp.id = p.id_departamento WHERE upper(p.nombre) = upper('"&amp;SUBSTITUTE(TRIM(G60),"'","''")&amp;"') AND upper(dp.nombre) = upper('"&amp;SUBSTITUTE(TRIM(F60),"'","''")&amp;"') AND p.estado = 1 LIMIT 1)")&amp;", "&amp;IF(OR(TRIM(F60&amp;"")="",TRIM(G60&amp;"")="",TRIM(H60&amp;"")=""),"NULL","(SELECT d.id FROM gen_distrito d JOIN gen_provincia p ON p.id = d.id_provincia JOIN gen_departamento dp ON dp.id = p.id_departamento WHERE upper(d.nombre) = upper('"&amp;SUBSTITUTE(TRIM(H60),"'","''")&amp;"') AND upper(p.nombre) = upper('"&amp;SUBSTITUTE(TRIM(G60),"'","''")&amp;"') AND upper(dp.nombre) = upper('"&amp;SUBSTITUTE(TRIM(F60),"'","''")&amp;"') AND d.estado = 1 LIMIT 1)")&amp;", "&amp;IF(I60&amp;""="","NULL",SUBSTITUTE(I60&amp;"",",","."))&amp;", "&amp;IF(J60&amp;""="","NULL",SUBSTITUTE(J60&amp;"",",","."))&amp;", "&amp;IF(UPPER(TRIM(K60&amp;""))="SI","TRUE","FALSE")&amp;", 1"&amp;" WHERE NOT EXISTS (SELECT 1 FROM cli_direcciones x WHERE x.id_cliente = "&amp;"(SELECT id FROM cli_clientes WHERE numero_documento = '"&amp;SUBSTITUTE(TRIM(A60),"'","''")&amp;"' AND estado = 1 LIMIT 1)"&amp;" AND upper(x.direccion) = upper("&amp;IF(TRIM(D60&amp;"")="","NULL","'"&amp;SUBSTITUTE(TRIM(D60),"'","''")&amp;"'")&amp;"));")</f>
        <v/>
      </c>
    </row>
    <row r="61" ht="15.75" customHeight="1" s="64">
      <c r="A61" s="23" t="n"/>
      <c r="B61" s="25">
        <f t="array" ref="B61">IF(A61="","",IFERROR(IF(INDEX(Clientes!$D$5:$D$549,MATCH(A61,Clientes!$C$5:$C$549,0))&lt;&gt;"",INDEX(Clientes!$D$5:$D$549,MATCH(A61,Clientes!$C$5:$C$549,0)),TRIM(INDEX(Clientes!$E$5:$E$549,MATCH(A61,Clientes!$C$5:$C$549,0))&amp;" "&amp;INDEX(Clientes!$F$5:$F$549,MATCH(A61,Clientes!$C$5:$C$549,0)))),"NO EXISTE en Clientes"))</f>
        <v/>
      </c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>
        <f>IF(AND(A61="",D61=""),"",IF(A61="","FALTA doc. cliente",IF(B61="NO EXISTE en Clientes","CLIENTE no está en hoja Clientes",IF(D61="","FALTA dirección",IF(AND(H61&lt;&gt;"",OR(F61="",G61="")),"Distrito requiere departamento y provincia",IF(AND(G61&lt;&gt;"",F61=""),"Provincia requiere departamento",IF((I61&lt;&gt;"")&lt;&gt;(J61&lt;&gt;""),"Latitud y longitud van juntas","OK")))))))</f>
        <v/>
      </c>
      <c r="M61" s="28">
        <f>IF(L61&lt;&gt;"OK","","INSERT INTO cli_direcciones (id_cliente, descripcion, direccion, referencia, id_departamento, id_provincia, id_distrito, latitud, longitud, es_principal, estado) SELECT "&amp;"(SELECT id FROM cli_clientes WHERE numero_documento = '"&amp;SUBSTITUTE(TRIM(A61),"'","''")&amp;"' AND estado = 1 LIMIT 1)"&amp;", "&amp;IF(TRIM(C61&amp;"")="","NULL","'"&amp;SUBSTITUTE(TRIM(C61),"'","''")&amp;"'")&amp;", "&amp;IF(TRIM(D61&amp;"")="","NULL","'"&amp;SUBSTITUTE(TRIM(D61),"'","''")&amp;"'")&amp;", "&amp;IF(TRIM(E61&amp;"")="","NULL","'"&amp;SUBSTITUTE(TRIM(E61),"'","''")&amp;"'")&amp;", "&amp;IF(TRIM(F61&amp;"")="","NULL","(SELECT id FROM gen_departamento WHERE upper(nombre) = upper('"&amp;SUBSTITUTE(TRIM(F61),"'","''")&amp;"') AND estado = 1 LIMIT 1)")&amp;", "&amp;IF(OR(TRIM(F61&amp;"")="",TRIM(G61&amp;"")=""),"NULL","(SELECT p.id FROM gen_provincia p JOIN gen_departamento dp ON dp.id = p.id_departamento WHERE upper(p.nombre) = upper('"&amp;SUBSTITUTE(TRIM(G61),"'","''")&amp;"') AND upper(dp.nombre) = upper('"&amp;SUBSTITUTE(TRIM(F61),"'","''")&amp;"') AND p.estado = 1 LIMIT 1)")&amp;", "&amp;IF(OR(TRIM(F61&amp;"")="",TRIM(G61&amp;"")="",TRIM(H61&amp;"")=""),"NULL","(SELECT d.id FROM gen_distrito d JOIN gen_provincia p ON p.id = d.id_provincia JOIN gen_departamento dp ON dp.id = p.id_departamento WHERE upper(d.nombre) = upper('"&amp;SUBSTITUTE(TRIM(H61),"'","''")&amp;"') AND upper(p.nombre) = upper('"&amp;SUBSTITUTE(TRIM(G61),"'","''")&amp;"') AND upper(dp.nombre) = upper('"&amp;SUBSTITUTE(TRIM(F61),"'","''")&amp;"') AND d.estado = 1 LIMIT 1)")&amp;", "&amp;IF(I61&amp;""="","NULL",SUBSTITUTE(I61&amp;"",",","."))&amp;", "&amp;IF(J61&amp;""="","NULL",SUBSTITUTE(J61&amp;"",",","."))&amp;", "&amp;IF(UPPER(TRIM(K61&amp;""))="SI","TRUE","FALSE")&amp;", 1"&amp;" WHERE NOT EXISTS (SELECT 1 FROM cli_direcciones x WHERE x.id_cliente = "&amp;"(SELECT id FROM cli_clientes WHERE numero_documento = '"&amp;SUBSTITUTE(TRIM(A61),"'","''")&amp;"' AND estado = 1 LIMIT 1)"&amp;" AND upper(x.direccion) = upper("&amp;IF(TRIM(D61&amp;"")="","NULL","'"&amp;SUBSTITUTE(TRIM(D61),"'","''")&amp;"'")&amp;"));")</f>
        <v/>
      </c>
    </row>
    <row r="62" ht="15.75" customHeight="1" s="64">
      <c r="A62" s="23" t="n"/>
      <c r="B62" s="25">
        <f t="array" ref="B62">IF(A62="","",IFERROR(IF(INDEX(Clientes!$D$5:$D$549,MATCH(A62,Clientes!$C$5:$C$549,0))&lt;&gt;"",INDEX(Clientes!$D$5:$D$549,MATCH(A62,Clientes!$C$5:$C$549,0)),TRIM(INDEX(Clientes!$E$5:$E$549,MATCH(A62,Clientes!$C$5:$C$549,0))&amp;" "&amp;INDEX(Clientes!$F$5:$F$549,MATCH(A62,Clientes!$C$5:$C$549,0)))),"NO EXISTE en Clientes"))</f>
        <v/>
      </c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>
        <f>IF(AND(A62="",D62=""),"",IF(A62="","FALTA doc. cliente",IF(B62="NO EXISTE en Clientes","CLIENTE no está en hoja Clientes",IF(D62="","FALTA dirección",IF(AND(H62&lt;&gt;"",OR(F62="",G62="")),"Distrito requiere departamento y provincia",IF(AND(G62&lt;&gt;"",F62=""),"Provincia requiere departamento",IF((I62&lt;&gt;"")&lt;&gt;(J62&lt;&gt;""),"Latitud y longitud van juntas","OK")))))))</f>
        <v/>
      </c>
      <c r="M62" s="28">
        <f>IF(L62&lt;&gt;"OK","","INSERT INTO cli_direcciones (id_cliente, descripcion, direccion, referencia, id_departamento, id_provincia, id_distrito, latitud, longitud, es_principal, estado) SELECT "&amp;"(SELECT id FROM cli_clientes WHERE numero_documento = '"&amp;SUBSTITUTE(TRIM(A62),"'","''")&amp;"' AND estado = 1 LIMIT 1)"&amp;", "&amp;IF(TRIM(C62&amp;"")="","NULL","'"&amp;SUBSTITUTE(TRIM(C62),"'","''")&amp;"'")&amp;", "&amp;IF(TRIM(D62&amp;"")="","NULL","'"&amp;SUBSTITUTE(TRIM(D62),"'","''")&amp;"'")&amp;", "&amp;IF(TRIM(E62&amp;"")="","NULL","'"&amp;SUBSTITUTE(TRIM(E62),"'","''")&amp;"'")&amp;", "&amp;IF(TRIM(F62&amp;"")="","NULL","(SELECT id FROM gen_departamento WHERE upper(nombre) = upper('"&amp;SUBSTITUTE(TRIM(F62),"'","''")&amp;"') AND estado = 1 LIMIT 1)")&amp;", "&amp;IF(OR(TRIM(F62&amp;"")="",TRIM(G62&amp;"")=""),"NULL","(SELECT p.id FROM gen_provincia p JOIN gen_departamento dp ON dp.id = p.id_departamento WHERE upper(p.nombre) = upper('"&amp;SUBSTITUTE(TRIM(G62),"'","''")&amp;"') AND upper(dp.nombre) = upper('"&amp;SUBSTITUTE(TRIM(F62),"'","''")&amp;"') AND p.estado = 1 LIMIT 1)")&amp;", "&amp;IF(OR(TRIM(F62&amp;"")="",TRIM(G62&amp;"")="",TRIM(H62&amp;"")=""),"NULL","(SELECT d.id FROM gen_distrito d JOIN gen_provincia p ON p.id = d.id_provincia JOIN gen_departamento dp ON dp.id = p.id_departamento WHERE upper(d.nombre) = upper('"&amp;SUBSTITUTE(TRIM(H62),"'","''")&amp;"') AND upper(p.nombre) = upper('"&amp;SUBSTITUTE(TRIM(G62),"'","''")&amp;"') AND upper(dp.nombre) = upper('"&amp;SUBSTITUTE(TRIM(F62),"'","''")&amp;"') AND d.estado = 1 LIMIT 1)")&amp;", "&amp;IF(I62&amp;""="","NULL",SUBSTITUTE(I62&amp;"",",","."))&amp;", "&amp;IF(J62&amp;""="","NULL",SUBSTITUTE(J62&amp;"",",","."))&amp;", "&amp;IF(UPPER(TRIM(K62&amp;""))="SI","TRUE","FALSE")&amp;", 1"&amp;" WHERE NOT EXISTS (SELECT 1 FROM cli_direcciones x WHERE x.id_cliente = "&amp;"(SELECT id FROM cli_clientes WHERE numero_documento = '"&amp;SUBSTITUTE(TRIM(A62),"'","''")&amp;"' AND estado = 1 LIMIT 1)"&amp;" AND upper(x.direccion) = upper("&amp;IF(TRIM(D62&amp;"")="","NULL","'"&amp;SUBSTITUTE(TRIM(D62),"'","''")&amp;"'")&amp;"));")</f>
        <v/>
      </c>
    </row>
    <row r="63" ht="15.75" customHeight="1" s="64">
      <c r="A63" s="23" t="n"/>
      <c r="B63" s="25">
        <f t="array" ref="B63">IF(A63="","",IFERROR(IF(INDEX(Clientes!$D$5:$D$549,MATCH(A63,Clientes!$C$5:$C$549,0))&lt;&gt;"",INDEX(Clientes!$D$5:$D$549,MATCH(A63,Clientes!$C$5:$C$549,0)),TRIM(INDEX(Clientes!$E$5:$E$549,MATCH(A63,Clientes!$C$5:$C$549,0))&amp;" "&amp;INDEX(Clientes!$F$5:$F$549,MATCH(A63,Clientes!$C$5:$C$549,0)))),"NO EXISTE en Clientes"))</f>
        <v/>
      </c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>
        <f>IF(AND(A63="",D63=""),"",IF(A63="","FALTA doc. cliente",IF(B63="NO EXISTE en Clientes","CLIENTE no está en hoja Clientes",IF(D63="","FALTA dirección",IF(AND(H63&lt;&gt;"",OR(F63="",G63="")),"Distrito requiere departamento y provincia",IF(AND(G63&lt;&gt;"",F63=""),"Provincia requiere departamento",IF((I63&lt;&gt;"")&lt;&gt;(J63&lt;&gt;""),"Latitud y longitud van juntas","OK")))))))</f>
        <v/>
      </c>
      <c r="M63" s="28">
        <f>IF(L63&lt;&gt;"OK","","INSERT INTO cli_direcciones (id_cliente, descripcion, direccion, referencia, id_departamento, id_provincia, id_distrito, latitud, longitud, es_principal, estado) SELECT "&amp;"(SELECT id FROM cli_clientes WHERE numero_documento = '"&amp;SUBSTITUTE(TRIM(A63),"'","''")&amp;"' AND estado = 1 LIMIT 1)"&amp;", "&amp;IF(TRIM(C63&amp;"")="","NULL","'"&amp;SUBSTITUTE(TRIM(C63),"'","''")&amp;"'")&amp;", "&amp;IF(TRIM(D63&amp;"")="","NULL","'"&amp;SUBSTITUTE(TRIM(D63),"'","''")&amp;"'")&amp;", "&amp;IF(TRIM(E63&amp;"")="","NULL","'"&amp;SUBSTITUTE(TRIM(E63),"'","''")&amp;"'")&amp;", "&amp;IF(TRIM(F63&amp;"")="","NULL","(SELECT id FROM gen_departamento WHERE upper(nombre) = upper('"&amp;SUBSTITUTE(TRIM(F63),"'","''")&amp;"') AND estado = 1 LIMIT 1)")&amp;", "&amp;IF(OR(TRIM(F63&amp;"")="",TRIM(G63&amp;"")=""),"NULL","(SELECT p.id FROM gen_provincia p JOIN gen_departamento dp ON dp.id = p.id_departamento WHERE upper(p.nombre) = upper('"&amp;SUBSTITUTE(TRIM(G63),"'","''")&amp;"') AND upper(dp.nombre) = upper('"&amp;SUBSTITUTE(TRIM(F63),"'","''")&amp;"') AND p.estado = 1 LIMIT 1)")&amp;", "&amp;IF(OR(TRIM(F63&amp;"")="",TRIM(G63&amp;"")="",TRIM(H63&amp;"")=""),"NULL","(SELECT d.id FROM gen_distrito d JOIN gen_provincia p ON p.id = d.id_provincia JOIN gen_departamento dp ON dp.id = p.id_departamento WHERE upper(d.nombre) = upper('"&amp;SUBSTITUTE(TRIM(H63),"'","''")&amp;"') AND upper(p.nombre) = upper('"&amp;SUBSTITUTE(TRIM(G63),"'","''")&amp;"') AND upper(dp.nombre) = upper('"&amp;SUBSTITUTE(TRIM(F63),"'","''")&amp;"') AND d.estado = 1 LIMIT 1)")&amp;", "&amp;IF(I63&amp;""="","NULL",SUBSTITUTE(I63&amp;"",",","."))&amp;", "&amp;IF(J63&amp;""="","NULL",SUBSTITUTE(J63&amp;"",",","."))&amp;", "&amp;IF(UPPER(TRIM(K63&amp;""))="SI","TRUE","FALSE")&amp;", 1"&amp;" WHERE NOT EXISTS (SELECT 1 FROM cli_direcciones x WHERE x.id_cliente = "&amp;"(SELECT id FROM cli_clientes WHERE numero_documento = '"&amp;SUBSTITUTE(TRIM(A63),"'","''")&amp;"' AND estado = 1 LIMIT 1)"&amp;" AND upper(x.direccion) = upper("&amp;IF(TRIM(D63&amp;"")="","NULL","'"&amp;SUBSTITUTE(TRIM(D63),"'","''")&amp;"'")&amp;"));")</f>
        <v/>
      </c>
    </row>
    <row r="64" ht="15.75" customHeight="1" s="64">
      <c r="A64" s="23" t="n"/>
      <c r="B64" s="25">
        <f t="array" ref="B64">IF(A64="","",IFERROR(IF(INDEX(Clientes!$D$5:$D$549,MATCH(A64,Clientes!$C$5:$C$549,0))&lt;&gt;"",INDEX(Clientes!$D$5:$D$549,MATCH(A64,Clientes!$C$5:$C$549,0)),TRIM(INDEX(Clientes!$E$5:$E$549,MATCH(A64,Clientes!$C$5:$C$549,0))&amp;" "&amp;INDEX(Clientes!$F$5:$F$549,MATCH(A64,Clientes!$C$5:$C$549,0)))),"NO EXISTE en Clientes"))</f>
        <v/>
      </c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>
        <f>IF(AND(A64="",D64=""),"",IF(A64="","FALTA doc. cliente",IF(B64="NO EXISTE en Clientes","CLIENTE no está en hoja Clientes",IF(D64="","FALTA dirección",IF(AND(H64&lt;&gt;"",OR(F64="",G64="")),"Distrito requiere departamento y provincia",IF(AND(G64&lt;&gt;"",F64=""),"Provincia requiere departamento",IF((I64&lt;&gt;"")&lt;&gt;(J64&lt;&gt;""),"Latitud y longitud van juntas","OK")))))))</f>
        <v/>
      </c>
      <c r="M64" s="28">
        <f>IF(L64&lt;&gt;"OK","","INSERT INTO cli_direcciones (id_cliente, descripcion, direccion, referencia, id_departamento, id_provincia, id_distrito, latitud, longitud, es_principal, estado) SELECT "&amp;"(SELECT id FROM cli_clientes WHERE numero_documento = '"&amp;SUBSTITUTE(TRIM(A64),"'","''")&amp;"' AND estado = 1 LIMIT 1)"&amp;", "&amp;IF(TRIM(C64&amp;"")="","NULL","'"&amp;SUBSTITUTE(TRIM(C64),"'","''")&amp;"'")&amp;", "&amp;IF(TRIM(D64&amp;"")="","NULL","'"&amp;SUBSTITUTE(TRIM(D64),"'","''")&amp;"'")&amp;", "&amp;IF(TRIM(E64&amp;"")="","NULL","'"&amp;SUBSTITUTE(TRIM(E64),"'","''")&amp;"'")&amp;", "&amp;IF(TRIM(F64&amp;"")="","NULL","(SELECT id FROM gen_departamento WHERE upper(nombre) = upper('"&amp;SUBSTITUTE(TRIM(F64),"'","''")&amp;"') AND estado = 1 LIMIT 1)")&amp;", "&amp;IF(OR(TRIM(F64&amp;"")="",TRIM(G64&amp;"")=""),"NULL","(SELECT p.id FROM gen_provincia p JOIN gen_departamento dp ON dp.id = p.id_departamento WHERE upper(p.nombre) = upper('"&amp;SUBSTITUTE(TRIM(G64),"'","''")&amp;"') AND upper(dp.nombre) = upper('"&amp;SUBSTITUTE(TRIM(F64),"'","''")&amp;"') AND p.estado = 1 LIMIT 1)")&amp;", "&amp;IF(OR(TRIM(F64&amp;"")="",TRIM(G64&amp;"")="",TRIM(H64&amp;"")=""),"NULL","(SELECT d.id FROM gen_distrito d JOIN gen_provincia p ON p.id = d.id_provincia JOIN gen_departamento dp ON dp.id = p.id_departamento WHERE upper(d.nombre) = upper('"&amp;SUBSTITUTE(TRIM(H64),"'","''")&amp;"') AND upper(p.nombre) = upper('"&amp;SUBSTITUTE(TRIM(G64),"'","''")&amp;"') AND upper(dp.nombre) = upper('"&amp;SUBSTITUTE(TRIM(F64),"'","''")&amp;"') AND d.estado = 1 LIMIT 1)")&amp;", "&amp;IF(I64&amp;""="","NULL",SUBSTITUTE(I64&amp;"",",","."))&amp;", "&amp;IF(J64&amp;""="","NULL",SUBSTITUTE(J64&amp;"",",","."))&amp;", "&amp;IF(UPPER(TRIM(K64&amp;""))="SI","TRUE","FALSE")&amp;", 1"&amp;" WHERE NOT EXISTS (SELECT 1 FROM cli_direcciones x WHERE x.id_cliente = "&amp;"(SELECT id FROM cli_clientes WHERE numero_documento = '"&amp;SUBSTITUTE(TRIM(A64),"'","''")&amp;"' AND estado = 1 LIMIT 1)"&amp;" AND upper(x.direccion) = upper("&amp;IF(TRIM(D64&amp;"")="","NULL","'"&amp;SUBSTITUTE(TRIM(D64),"'","''")&amp;"'")&amp;"));")</f>
        <v/>
      </c>
    </row>
    <row r="65" ht="15.75" customHeight="1" s="64">
      <c r="A65" s="23" t="n"/>
      <c r="B65" s="25">
        <f t="array" ref="B65">IF(A65="","",IFERROR(IF(INDEX(Clientes!$D$5:$D$549,MATCH(A65,Clientes!$C$5:$C$549,0))&lt;&gt;"",INDEX(Clientes!$D$5:$D$549,MATCH(A65,Clientes!$C$5:$C$549,0)),TRIM(INDEX(Clientes!$E$5:$E$549,MATCH(A65,Clientes!$C$5:$C$549,0))&amp;" "&amp;INDEX(Clientes!$F$5:$F$549,MATCH(A65,Clientes!$C$5:$C$549,0)))),"NO EXISTE en Clientes"))</f>
        <v/>
      </c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>
        <f>IF(AND(A65="",D65=""),"",IF(A65="","FALTA doc. cliente",IF(B65="NO EXISTE en Clientes","CLIENTE no está en hoja Clientes",IF(D65="","FALTA dirección",IF(AND(H65&lt;&gt;"",OR(F65="",G65="")),"Distrito requiere departamento y provincia",IF(AND(G65&lt;&gt;"",F65=""),"Provincia requiere departamento",IF((I65&lt;&gt;"")&lt;&gt;(J65&lt;&gt;""),"Latitud y longitud van juntas","OK")))))))</f>
        <v/>
      </c>
      <c r="M65" s="28">
        <f>IF(L65&lt;&gt;"OK","","INSERT INTO cli_direcciones (id_cliente, descripcion, direccion, referencia, id_departamento, id_provincia, id_distrito, latitud, longitud, es_principal, estado) SELECT "&amp;"(SELECT id FROM cli_clientes WHERE numero_documento = '"&amp;SUBSTITUTE(TRIM(A65),"'","''")&amp;"' AND estado = 1 LIMIT 1)"&amp;", "&amp;IF(TRIM(C65&amp;"")="","NULL","'"&amp;SUBSTITUTE(TRIM(C65),"'","''")&amp;"'")&amp;", "&amp;IF(TRIM(D65&amp;"")="","NULL","'"&amp;SUBSTITUTE(TRIM(D65),"'","''")&amp;"'")&amp;", "&amp;IF(TRIM(E65&amp;"")="","NULL","'"&amp;SUBSTITUTE(TRIM(E65),"'","''")&amp;"'")&amp;", "&amp;IF(TRIM(F65&amp;"")="","NULL","(SELECT id FROM gen_departamento WHERE upper(nombre) = upper('"&amp;SUBSTITUTE(TRIM(F65),"'","''")&amp;"') AND estado = 1 LIMIT 1)")&amp;", "&amp;IF(OR(TRIM(F65&amp;"")="",TRIM(G65&amp;"")=""),"NULL","(SELECT p.id FROM gen_provincia p JOIN gen_departamento dp ON dp.id = p.id_departamento WHERE upper(p.nombre) = upper('"&amp;SUBSTITUTE(TRIM(G65),"'","''")&amp;"') AND upper(dp.nombre) = upper('"&amp;SUBSTITUTE(TRIM(F65),"'","''")&amp;"') AND p.estado = 1 LIMIT 1)")&amp;", "&amp;IF(OR(TRIM(F65&amp;"")="",TRIM(G65&amp;"")="",TRIM(H65&amp;"")=""),"NULL","(SELECT d.id FROM gen_distrito d JOIN gen_provincia p ON p.id = d.id_provincia JOIN gen_departamento dp ON dp.id = p.id_departamento WHERE upper(d.nombre) = upper('"&amp;SUBSTITUTE(TRIM(H65),"'","''")&amp;"') AND upper(p.nombre) = upper('"&amp;SUBSTITUTE(TRIM(G65),"'","''")&amp;"') AND upper(dp.nombre) = upper('"&amp;SUBSTITUTE(TRIM(F65),"'","''")&amp;"') AND d.estado = 1 LIMIT 1)")&amp;", "&amp;IF(I65&amp;""="","NULL",SUBSTITUTE(I65&amp;"",",","."))&amp;", "&amp;IF(J65&amp;""="","NULL",SUBSTITUTE(J65&amp;"",",","."))&amp;", "&amp;IF(UPPER(TRIM(K65&amp;""))="SI","TRUE","FALSE")&amp;", 1"&amp;" WHERE NOT EXISTS (SELECT 1 FROM cli_direcciones x WHERE x.id_cliente = "&amp;"(SELECT id FROM cli_clientes WHERE numero_documento = '"&amp;SUBSTITUTE(TRIM(A65),"'","''")&amp;"' AND estado = 1 LIMIT 1)"&amp;" AND upper(x.direccion) = upper("&amp;IF(TRIM(D65&amp;"")="","NULL","'"&amp;SUBSTITUTE(TRIM(D65),"'","''")&amp;"'")&amp;"));")</f>
        <v/>
      </c>
    </row>
    <row r="66" ht="15.75" customHeight="1" s="64">
      <c r="A66" s="23" t="n"/>
      <c r="B66" s="25">
        <f t="array" ref="B66">IF(A66="","",IFERROR(IF(INDEX(Clientes!$D$5:$D$549,MATCH(A66,Clientes!$C$5:$C$549,0))&lt;&gt;"",INDEX(Clientes!$D$5:$D$549,MATCH(A66,Clientes!$C$5:$C$549,0)),TRIM(INDEX(Clientes!$E$5:$E$549,MATCH(A66,Clientes!$C$5:$C$549,0))&amp;" "&amp;INDEX(Clientes!$F$5:$F$549,MATCH(A66,Clientes!$C$5:$C$549,0)))),"NO EXISTE en Clientes"))</f>
        <v/>
      </c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>
        <f>IF(AND(A66="",D66=""),"",IF(A66="","FALTA doc. cliente",IF(B66="NO EXISTE en Clientes","CLIENTE no está en hoja Clientes",IF(D66="","FALTA dirección",IF(AND(H66&lt;&gt;"",OR(F66="",G66="")),"Distrito requiere departamento y provincia",IF(AND(G66&lt;&gt;"",F66=""),"Provincia requiere departamento",IF((I66&lt;&gt;"")&lt;&gt;(J66&lt;&gt;""),"Latitud y longitud van juntas","OK")))))))</f>
        <v/>
      </c>
      <c r="M66" s="28">
        <f>IF(L66&lt;&gt;"OK","","INSERT INTO cli_direcciones (id_cliente, descripcion, direccion, referencia, id_departamento, id_provincia, id_distrito, latitud, longitud, es_principal, estado) SELECT "&amp;"(SELECT id FROM cli_clientes WHERE numero_documento = '"&amp;SUBSTITUTE(TRIM(A66),"'","''")&amp;"' AND estado = 1 LIMIT 1)"&amp;", "&amp;IF(TRIM(C66&amp;"")="","NULL","'"&amp;SUBSTITUTE(TRIM(C66),"'","''")&amp;"'")&amp;", "&amp;IF(TRIM(D66&amp;"")="","NULL","'"&amp;SUBSTITUTE(TRIM(D66),"'","''")&amp;"'")&amp;", "&amp;IF(TRIM(E66&amp;"")="","NULL","'"&amp;SUBSTITUTE(TRIM(E66),"'","''")&amp;"'")&amp;", "&amp;IF(TRIM(F66&amp;"")="","NULL","(SELECT id FROM gen_departamento WHERE upper(nombre) = upper('"&amp;SUBSTITUTE(TRIM(F66),"'","''")&amp;"') AND estado = 1 LIMIT 1)")&amp;", "&amp;IF(OR(TRIM(F66&amp;"")="",TRIM(G66&amp;"")=""),"NULL","(SELECT p.id FROM gen_provincia p JOIN gen_departamento dp ON dp.id = p.id_departamento WHERE upper(p.nombre) = upper('"&amp;SUBSTITUTE(TRIM(G66),"'","''")&amp;"') AND upper(dp.nombre) = upper('"&amp;SUBSTITUTE(TRIM(F66),"'","''")&amp;"') AND p.estado = 1 LIMIT 1)")&amp;", "&amp;IF(OR(TRIM(F66&amp;"")="",TRIM(G66&amp;"")="",TRIM(H66&amp;"")=""),"NULL","(SELECT d.id FROM gen_distrito d JOIN gen_provincia p ON p.id = d.id_provincia JOIN gen_departamento dp ON dp.id = p.id_departamento WHERE upper(d.nombre) = upper('"&amp;SUBSTITUTE(TRIM(H66),"'","''")&amp;"') AND upper(p.nombre) = upper('"&amp;SUBSTITUTE(TRIM(G66),"'","''")&amp;"') AND upper(dp.nombre) = upper('"&amp;SUBSTITUTE(TRIM(F66),"'","''")&amp;"') AND d.estado = 1 LIMIT 1)")&amp;", "&amp;IF(I66&amp;""="","NULL",SUBSTITUTE(I66&amp;"",",","."))&amp;", "&amp;IF(J66&amp;""="","NULL",SUBSTITUTE(J66&amp;"",",","."))&amp;", "&amp;IF(UPPER(TRIM(K66&amp;""))="SI","TRUE","FALSE")&amp;", 1"&amp;" WHERE NOT EXISTS (SELECT 1 FROM cli_direcciones x WHERE x.id_cliente = "&amp;"(SELECT id FROM cli_clientes WHERE numero_documento = '"&amp;SUBSTITUTE(TRIM(A66),"'","''")&amp;"' AND estado = 1 LIMIT 1)"&amp;" AND upper(x.direccion) = upper("&amp;IF(TRIM(D66&amp;"")="","NULL","'"&amp;SUBSTITUTE(TRIM(D66),"'","''")&amp;"'")&amp;"));")</f>
        <v/>
      </c>
    </row>
    <row r="67" ht="15.75" customHeight="1" s="64">
      <c r="A67" s="23" t="n"/>
      <c r="B67" s="25">
        <f t="array" ref="B67">IF(A67="","",IFERROR(IF(INDEX(Clientes!$D$5:$D$549,MATCH(A67,Clientes!$C$5:$C$549,0))&lt;&gt;"",INDEX(Clientes!$D$5:$D$549,MATCH(A67,Clientes!$C$5:$C$549,0)),TRIM(INDEX(Clientes!$E$5:$E$549,MATCH(A67,Clientes!$C$5:$C$549,0))&amp;" "&amp;INDEX(Clientes!$F$5:$F$549,MATCH(A67,Clientes!$C$5:$C$549,0)))),"NO EXISTE en Clientes"))</f>
        <v/>
      </c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>
        <f>IF(AND(A67="",D67=""),"",IF(A67="","FALTA doc. cliente",IF(B67="NO EXISTE en Clientes","CLIENTE no está en hoja Clientes",IF(D67="","FALTA dirección",IF(AND(H67&lt;&gt;"",OR(F67="",G67="")),"Distrito requiere departamento y provincia",IF(AND(G67&lt;&gt;"",F67=""),"Provincia requiere departamento",IF((I67&lt;&gt;"")&lt;&gt;(J67&lt;&gt;""),"Latitud y longitud van juntas","OK")))))))</f>
        <v/>
      </c>
      <c r="M67" s="28">
        <f>IF(L67&lt;&gt;"OK","","INSERT INTO cli_direcciones (id_cliente, descripcion, direccion, referencia, id_departamento, id_provincia, id_distrito, latitud, longitud, es_principal, estado) SELECT "&amp;"(SELECT id FROM cli_clientes WHERE numero_documento = '"&amp;SUBSTITUTE(TRIM(A67),"'","''")&amp;"' AND estado = 1 LIMIT 1)"&amp;", "&amp;IF(TRIM(C67&amp;"")="","NULL","'"&amp;SUBSTITUTE(TRIM(C67),"'","''")&amp;"'")&amp;", "&amp;IF(TRIM(D67&amp;"")="","NULL","'"&amp;SUBSTITUTE(TRIM(D67),"'","''")&amp;"'")&amp;", "&amp;IF(TRIM(E67&amp;"")="","NULL","'"&amp;SUBSTITUTE(TRIM(E67),"'","''")&amp;"'")&amp;", "&amp;IF(TRIM(F67&amp;"")="","NULL","(SELECT id FROM gen_departamento WHERE upper(nombre) = upper('"&amp;SUBSTITUTE(TRIM(F67),"'","''")&amp;"') AND estado = 1 LIMIT 1)")&amp;", "&amp;IF(OR(TRIM(F67&amp;"")="",TRIM(G67&amp;"")=""),"NULL","(SELECT p.id FROM gen_provincia p JOIN gen_departamento dp ON dp.id = p.id_departamento WHERE upper(p.nombre) = upper('"&amp;SUBSTITUTE(TRIM(G67),"'","''")&amp;"') AND upper(dp.nombre) = upper('"&amp;SUBSTITUTE(TRIM(F67),"'","''")&amp;"') AND p.estado = 1 LIMIT 1)")&amp;", "&amp;IF(OR(TRIM(F67&amp;"")="",TRIM(G67&amp;"")="",TRIM(H67&amp;"")=""),"NULL","(SELECT d.id FROM gen_distrito d JOIN gen_provincia p ON p.id = d.id_provincia JOIN gen_departamento dp ON dp.id = p.id_departamento WHERE upper(d.nombre) = upper('"&amp;SUBSTITUTE(TRIM(H67),"'","''")&amp;"') AND upper(p.nombre) = upper('"&amp;SUBSTITUTE(TRIM(G67),"'","''")&amp;"') AND upper(dp.nombre) = upper('"&amp;SUBSTITUTE(TRIM(F67),"'","''")&amp;"') AND d.estado = 1 LIMIT 1)")&amp;", "&amp;IF(I67&amp;""="","NULL",SUBSTITUTE(I67&amp;"",",","."))&amp;", "&amp;IF(J67&amp;""="","NULL",SUBSTITUTE(J67&amp;"",",","."))&amp;", "&amp;IF(UPPER(TRIM(K67&amp;""))="SI","TRUE","FALSE")&amp;", 1"&amp;" WHERE NOT EXISTS (SELECT 1 FROM cli_direcciones x WHERE x.id_cliente = "&amp;"(SELECT id FROM cli_clientes WHERE numero_documento = '"&amp;SUBSTITUTE(TRIM(A67),"'","''")&amp;"' AND estado = 1 LIMIT 1)"&amp;" AND upper(x.direccion) = upper("&amp;IF(TRIM(D67&amp;"")="","NULL","'"&amp;SUBSTITUTE(TRIM(D67),"'","''")&amp;"'")&amp;"));")</f>
        <v/>
      </c>
    </row>
    <row r="68" ht="15.75" customHeight="1" s="64">
      <c r="A68" s="23" t="n"/>
      <c r="B68" s="25">
        <f t="array" ref="B68">IF(A68="","",IFERROR(IF(INDEX(Clientes!$D$5:$D$549,MATCH(A68,Clientes!$C$5:$C$549,0))&lt;&gt;"",INDEX(Clientes!$D$5:$D$549,MATCH(A68,Clientes!$C$5:$C$549,0)),TRIM(INDEX(Clientes!$E$5:$E$549,MATCH(A68,Clientes!$C$5:$C$549,0))&amp;" "&amp;INDEX(Clientes!$F$5:$F$549,MATCH(A68,Clientes!$C$5:$C$549,0)))),"NO EXISTE en Clientes"))</f>
        <v/>
      </c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>
        <f>IF(AND(A68="",D68=""),"",IF(A68="","FALTA doc. cliente",IF(B68="NO EXISTE en Clientes","CLIENTE no está en hoja Clientes",IF(D68="","FALTA dirección",IF(AND(H68&lt;&gt;"",OR(F68="",G68="")),"Distrito requiere departamento y provincia",IF(AND(G68&lt;&gt;"",F68=""),"Provincia requiere departamento",IF((I68&lt;&gt;"")&lt;&gt;(J68&lt;&gt;""),"Latitud y longitud van juntas","OK")))))))</f>
        <v/>
      </c>
      <c r="M68" s="28">
        <f>IF(L68&lt;&gt;"OK","","INSERT INTO cli_direcciones (id_cliente, descripcion, direccion, referencia, id_departamento, id_provincia, id_distrito, latitud, longitud, es_principal, estado) SELECT "&amp;"(SELECT id FROM cli_clientes WHERE numero_documento = '"&amp;SUBSTITUTE(TRIM(A68),"'","''")&amp;"' AND estado = 1 LIMIT 1)"&amp;", "&amp;IF(TRIM(C68&amp;"")="","NULL","'"&amp;SUBSTITUTE(TRIM(C68),"'","''")&amp;"'")&amp;", "&amp;IF(TRIM(D68&amp;"")="","NULL","'"&amp;SUBSTITUTE(TRIM(D68),"'","''")&amp;"'")&amp;", "&amp;IF(TRIM(E68&amp;"")="","NULL","'"&amp;SUBSTITUTE(TRIM(E68),"'","''")&amp;"'")&amp;", "&amp;IF(TRIM(F68&amp;"")="","NULL","(SELECT id FROM gen_departamento WHERE upper(nombre) = upper('"&amp;SUBSTITUTE(TRIM(F68),"'","''")&amp;"') AND estado = 1 LIMIT 1)")&amp;", "&amp;IF(OR(TRIM(F68&amp;"")="",TRIM(G68&amp;"")=""),"NULL","(SELECT p.id FROM gen_provincia p JOIN gen_departamento dp ON dp.id = p.id_departamento WHERE upper(p.nombre) = upper('"&amp;SUBSTITUTE(TRIM(G68),"'","''")&amp;"') AND upper(dp.nombre) = upper('"&amp;SUBSTITUTE(TRIM(F68),"'","''")&amp;"') AND p.estado = 1 LIMIT 1)")&amp;", "&amp;IF(OR(TRIM(F68&amp;"")="",TRIM(G68&amp;"")="",TRIM(H68&amp;"")=""),"NULL","(SELECT d.id FROM gen_distrito d JOIN gen_provincia p ON p.id = d.id_provincia JOIN gen_departamento dp ON dp.id = p.id_departamento WHERE upper(d.nombre) = upper('"&amp;SUBSTITUTE(TRIM(H68),"'","''")&amp;"') AND upper(p.nombre) = upper('"&amp;SUBSTITUTE(TRIM(G68),"'","''")&amp;"') AND upper(dp.nombre) = upper('"&amp;SUBSTITUTE(TRIM(F68),"'","''")&amp;"') AND d.estado = 1 LIMIT 1)")&amp;", "&amp;IF(I68&amp;""="","NULL",SUBSTITUTE(I68&amp;"",",","."))&amp;", "&amp;IF(J68&amp;""="","NULL",SUBSTITUTE(J68&amp;"",",","."))&amp;", "&amp;IF(UPPER(TRIM(K68&amp;""))="SI","TRUE","FALSE")&amp;", 1"&amp;" WHERE NOT EXISTS (SELECT 1 FROM cli_direcciones x WHERE x.id_cliente = "&amp;"(SELECT id FROM cli_clientes WHERE numero_documento = '"&amp;SUBSTITUTE(TRIM(A68),"'","''")&amp;"' AND estado = 1 LIMIT 1)"&amp;" AND upper(x.direccion) = upper("&amp;IF(TRIM(D68&amp;"")="","NULL","'"&amp;SUBSTITUTE(TRIM(D68),"'","''")&amp;"'")&amp;"));")</f>
        <v/>
      </c>
    </row>
    <row r="69" ht="15.75" customHeight="1" s="64">
      <c r="A69" s="23" t="n"/>
      <c r="B69" s="25">
        <f t="array" ref="B69">IF(A69="","",IFERROR(IF(INDEX(Clientes!$D$5:$D$549,MATCH(A69,Clientes!$C$5:$C$549,0))&lt;&gt;"",INDEX(Clientes!$D$5:$D$549,MATCH(A69,Clientes!$C$5:$C$549,0)),TRIM(INDEX(Clientes!$E$5:$E$549,MATCH(A69,Clientes!$C$5:$C$549,0))&amp;" "&amp;INDEX(Clientes!$F$5:$F$549,MATCH(A69,Clientes!$C$5:$C$549,0)))),"NO EXISTE en Clientes"))</f>
        <v/>
      </c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>
        <f>IF(AND(A69="",D69=""),"",IF(A69="","FALTA doc. cliente",IF(B69="NO EXISTE en Clientes","CLIENTE no está en hoja Clientes",IF(D69="","FALTA dirección",IF(AND(H69&lt;&gt;"",OR(F69="",G69="")),"Distrito requiere departamento y provincia",IF(AND(G69&lt;&gt;"",F69=""),"Provincia requiere departamento",IF((I69&lt;&gt;"")&lt;&gt;(J69&lt;&gt;""),"Latitud y longitud van juntas","OK")))))))</f>
        <v/>
      </c>
      <c r="M69" s="28">
        <f>IF(L69&lt;&gt;"OK","","INSERT INTO cli_direcciones (id_cliente, descripcion, direccion, referencia, id_departamento, id_provincia, id_distrito, latitud, longitud, es_principal, estado) SELECT "&amp;"(SELECT id FROM cli_clientes WHERE numero_documento = '"&amp;SUBSTITUTE(TRIM(A69),"'","''")&amp;"' AND estado = 1 LIMIT 1)"&amp;", "&amp;IF(TRIM(C69&amp;"")="","NULL","'"&amp;SUBSTITUTE(TRIM(C69),"'","''")&amp;"'")&amp;", "&amp;IF(TRIM(D69&amp;"")="","NULL","'"&amp;SUBSTITUTE(TRIM(D69),"'","''")&amp;"'")&amp;", "&amp;IF(TRIM(E69&amp;"")="","NULL","'"&amp;SUBSTITUTE(TRIM(E69),"'","''")&amp;"'")&amp;", "&amp;IF(TRIM(F69&amp;"")="","NULL","(SELECT id FROM gen_departamento WHERE upper(nombre) = upper('"&amp;SUBSTITUTE(TRIM(F69),"'","''")&amp;"') AND estado = 1 LIMIT 1)")&amp;", "&amp;IF(OR(TRIM(F69&amp;"")="",TRIM(G69&amp;"")=""),"NULL","(SELECT p.id FROM gen_provincia p JOIN gen_departamento dp ON dp.id = p.id_departamento WHERE upper(p.nombre) = upper('"&amp;SUBSTITUTE(TRIM(G69),"'","''")&amp;"') AND upper(dp.nombre) = upper('"&amp;SUBSTITUTE(TRIM(F69),"'","''")&amp;"') AND p.estado = 1 LIMIT 1)")&amp;", "&amp;IF(OR(TRIM(F69&amp;"")="",TRIM(G69&amp;"")="",TRIM(H69&amp;"")=""),"NULL","(SELECT d.id FROM gen_distrito d JOIN gen_provincia p ON p.id = d.id_provincia JOIN gen_departamento dp ON dp.id = p.id_departamento WHERE upper(d.nombre) = upper('"&amp;SUBSTITUTE(TRIM(H69),"'","''")&amp;"') AND upper(p.nombre) = upper('"&amp;SUBSTITUTE(TRIM(G69),"'","''")&amp;"') AND upper(dp.nombre) = upper('"&amp;SUBSTITUTE(TRIM(F69),"'","''")&amp;"') AND d.estado = 1 LIMIT 1)")&amp;", "&amp;IF(I69&amp;""="","NULL",SUBSTITUTE(I69&amp;"",",","."))&amp;", "&amp;IF(J69&amp;""="","NULL",SUBSTITUTE(J69&amp;"",",","."))&amp;", "&amp;IF(UPPER(TRIM(K69&amp;""))="SI","TRUE","FALSE")&amp;", 1"&amp;" WHERE NOT EXISTS (SELECT 1 FROM cli_direcciones x WHERE x.id_cliente = "&amp;"(SELECT id FROM cli_clientes WHERE numero_documento = '"&amp;SUBSTITUTE(TRIM(A69),"'","''")&amp;"' AND estado = 1 LIMIT 1)"&amp;" AND upper(x.direccion) = upper("&amp;IF(TRIM(D69&amp;"")="","NULL","'"&amp;SUBSTITUTE(TRIM(D69),"'","''")&amp;"'")&amp;"));")</f>
        <v/>
      </c>
    </row>
    <row r="70" ht="15.75" customHeight="1" s="64">
      <c r="A70" s="23" t="n"/>
      <c r="B70" s="25">
        <f t="array" ref="B70">IF(A70="","",IFERROR(IF(INDEX(Clientes!$D$5:$D$549,MATCH(A70,Clientes!$C$5:$C$549,0))&lt;&gt;"",INDEX(Clientes!$D$5:$D$549,MATCH(A70,Clientes!$C$5:$C$549,0)),TRIM(INDEX(Clientes!$E$5:$E$549,MATCH(A70,Clientes!$C$5:$C$549,0))&amp;" "&amp;INDEX(Clientes!$F$5:$F$549,MATCH(A70,Clientes!$C$5:$C$549,0)))),"NO EXISTE en Clientes"))</f>
        <v/>
      </c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>
        <f>IF(AND(A70="",D70=""),"",IF(A70="","FALTA doc. cliente",IF(B70="NO EXISTE en Clientes","CLIENTE no está en hoja Clientes",IF(D70="","FALTA dirección",IF(AND(H70&lt;&gt;"",OR(F70="",G70="")),"Distrito requiere departamento y provincia",IF(AND(G70&lt;&gt;"",F70=""),"Provincia requiere departamento",IF((I70&lt;&gt;"")&lt;&gt;(J70&lt;&gt;""),"Latitud y longitud van juntas","OK")))))))</f>
        <v/>
      </c>
      <c r="M70" s="28">
        <f>IF(L70&lt;&gt;"OK","","INSERT INTO cli_direcciones (id_cliente, descripcion, direccion, referencia, id_departamento, id_provincia, id_distrito, latitud, longitud, es_principal, estado) SELECT "&amp;"(SELECT id FROM cli_clientes WHERE numero_documento = '"&amp;SUBSTITUTE(TRIM(A70),"'","''")&amp;"' AND estado = 1 LIMIT 1)"&amp;", "&amp;IF(TRIM(C70&amp;"")="","NULL","'"&amp;SUBSTITUTE(TRIM(C70),"'","''")&amp;"'")&amp;", "&amp;IF(TRIM(D70&amp;"")="","NULL","'"&amp;SUBSTITUTE(TRIM(D70),"'","''")&amp;"'")&amp;", "&amp;IF(TRIM(E70&amp;"")="","NULL","'"&amp;SUBSTITUTE(TRIM(E70),"'","''")&amp;"'")&amp;", "&amp;IF(TRIM(F70&amp;"")="","NULL","(SELECT id FROM gen_departamento WHERE upper(nombre) = upper('"&amp;SUBSTITUTE(TRIM(F70),"'","''")&amp;"') AND estado = 1 LIMIT 1)")&amp;", "&amp;IF(OR(TRIM(F70&amp;"")="",TRIM(G70&amp;"")=""),"NULL","(SELECT p.id FROM gen_provincia p JOIN gen_departamento dp ON dp.id = p.id_departamento WHERE upper(p.nombre) = upper('"&amp;SUBSTITUTE(TRIM(G70),"'","''")&amp;"') AND upper(dp.nombre) = upper('"&amp;SUBSTITUTE(TRIM(F70),"'","''")&amp;"') AND p.estado = 1 LIMIT 1)")&amp;", "&amp;IF(OR(TRIM(F70&amp;"")="",TRIM(G70&amp;"")="",TRIM(H70&amp;"")=""),"NULL","(SELECT d.id FROM gen_distrito d JOIN gen_provincia p ON p.id = d.id_provincia JOIN gen_departamento dp ON dp.id = p.id_departamento WHERE upper(d.nombre) = upper('"&amp;SUBSTITUTE(TRIM(H70),"'","''")&amp;"') AND upper(p.nombre) = upper('"&amp;SUBSTITUTE(TRIM(G70),"'","''")&amp;"') AND upper(dp.nombre) = upper('"&amp;SUBSTITUTE(TRIM(F70),"'","''")&amp;"') AND d.estado = 1 LIMIT 1)")&amp;", "&amp;IF(I70&amp;""="","NULL",SUBSTITUTE(I70&amp;"",",","."))&amp;", "&amp;IF(J70&amp;""="","NULL",SUBSTITUTE(J70&amp;"",",","."))&amp;", "&amp;IF(UPPER(TRIM(K70&amp;""))="SI","TRUE","FALSE")&amp;", 1"&amp;" WHERE NOT EXISTS (SELECT 1 FROM cli_direcciones x WHERE x.id_cliente = "&amp;"(SELECT id FROM cli_clientes WHERE numero_documento = '"&amp;SUBSTITUTE(TRIM(A70),"'","''")&amp;"' AND estado = 1 LIMIT 1)"&amp;" AND upper(x.direccion) = upper("&amp;IF(TRIM(D70&amp;"")="","NULL","'"&amp;SUBSTITUTE(TRIM(D70),"'","''")&amp;"'")&amp;"));")</f>
        <v/>
      </c>
    </row>
    <row r="71" ht="15.75" customHeight="1" s="64">
      <c r="A71" s="23" t="n"/>
      <c r="B71" s="25">
        <f t="array" ref="B71">IF(A71="","",IFERROR(IF(INDEX(Clientes!$D$5:$D$549,MATCH(A71,Clientes!$C$5:$C$549,0))&lt;&gt;"",INDEX(Clientes!$D$5:$D$549,MATCH(A71,Clientes!$C$5:$C$549,0)),TRIM(INDEX(Clientes!$E$5:$E$549,MATCH(A71,Clientes!$C$5:$C$549,0))&amp;" "&amp;INDEX(Clientes!$F$5:$F$549,MATCH(A71,Clientes!$C$5:$C$549,0)))),"NO EXISTE en Clientes"))</f>
        <v/>
      </c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>
        <f>IF(AND(A71="",D71=""),"",IF(A71="","FALTA doc. cliente",IF(B71="NO EXISTE en Clientes","CLIENTE no está en hoja Clientes",IF(D71="","FALTA dirección",IF(AND(H71&lt;&gt;"",OR(F71="",G71="")),"Distrito requiere departamento y provincia",IF(AND(G71&lt;&gt;"",F71=""),"Provincia requiere departamento",IF((I71&lt;&gt;"")&lt;&gt;(J71&lt;&gt;""),"Latitud y longitud van juntas","OK")))))))</f>
        <v/>
      </c>
      <c r="M71" s="28">
        <f>IF(L71&lt;&gt;"OK","","INSERT INTO cli_direcciones (id_cliente, descripcion, direccion, referencia, id_departamento, id_provincia, id_distrito, latitud, longitud, es_principal, estado) SELECT "&amp;"(SELECT id FROM cli_clientes WHERE numero_documento = '"&amp;SUBSTITUTE(TRIM(A71),"'","''")&amp;"' AND estado = 1 LIMIT 1)"&amp;", "&amp;IF(TRIM(C71&amp;"")="","NULL","'"&amp;SUBSTITUTE(TRIM(C71),"'","''")&amp;"'")&amp;", "&amp;IF(TRIM(D71&amp;"")="","NULL","'"&amp;SUBSTITUTE(TRIM(D71),"'","''")&amp;"'")&amp;", "&amp;IF(TRIM(E71&amp;"")="","NULL","'"&amp;SUBSTITUTE(TRIM(E71),"'","''")&amp;"'")&amp;", "&amp;IF(TRIM(F71&amp;"")="","NULL","(SELECT id FROM gen_departamento WHERE upper(nombre) = upper('"&amp;SUBSTITUTE(TRIM(F71),"'","''")&amp;"') AND estado = 1 LIMIT 1)")&amp;", "&amp;IF(OR(TRIM(F71&amp;"")="",TRIM(G71&amp;"")=""),"NULL","(SELECT p.id FROM gen_provincia p JOIN gen_departamento dp ON dp.id = p.id_departamento WHERE upper(p.nombre) = upper('"&amp;SUBSTITUTE(TRIM(G71),"'","''")&amp;"') AND upper(dp.nombre) = upper('"&amp;SUBSTITUTE(TRIM(F71),"'","''")&amp;"') AND p.estado = 1 LIMIT 1)")&amp;", "&amp;IF(OR(TRIM(F71&amp;"")="",TRIM(G71&amp;"")="",TRIM(H71&amp;"")=""),"NULL","(SELECT d.id FROM gen_distrito d JOIN gen_provincia p ON p.id = d.id_provincia JOIN gen_departamento dp ON dp.id = p.id_departamento WHERE upper(d.nombre) = upper('"&amp;SUBSTITUTE(TRIM(H71),"'","''")&amp;"') AND upper(p.nombre) = upper('"&amp;SUBSTITUTE(TRIM(G71),"'","''")&amp;"') AND upper(dp.nombre) = upper('"&amp;SUBSTITUTE(TRIM(F71),"'","''")&amp;"') AND d.estado = 1 LIMIT 1)")&amp;", "&amp;IF(I71&amp;""="","NULL",SUBSTITUTE(I71&amp;"",",","."))&amp;", "&amp;IF(J71&amp;""="","NULL",SUBSTITUTE(J71&amp;"",",","."))&amp;", "&amp;IF(UPPER(TRIM(K71&amp;""))="SI","TRUE","FALSE")&amp;", 1"&amp;" WHERE NOT EXISTS (SELECT 1 FROM cli_direcciones x WHERE x.id_cliente = "&amp;"(SELECT id FROM cli_clientes WHERE numero_documento = '"&amp;SUBSTITUTE(TRIM(A71),"'","''")&amp;"' AND estado = 1 LIMIT 1)"&amp;" AND upper(x.direccion) = upper("&amp;IF(TRIM(D71&amp;"")="","NULL","'"&amp;SUBSTITUTE(TRIM(D71),"'","''")&amp;"'")&amp;"));")</f>
        <v/>
      </c>
    </row>
    <row r="72" ht="15.75" customHeight="1" s="64">
      <c r="A72" s="23" t="n"/>
      <c r="B72" s="25">
        <f t="array" ref="B72">IF(A72="","",IFERROR(IF(INDEX(Clientes!$D$5:$D$549,MATCH(A72,Clientes!$C$5:$C$549,0))&lt;&gt;"",INDEX(Clientes!$D$5:$D$549,MATCH(A72,Clientes!$C$5:$C$549,0)),TRIM(INDEX(Clientes!$E$5:$E$549,MATCH(A72,Clientes!$C$5:$C$549,0))&amp;" "&amp;INDEX(Clientes!$F$5:$F$549,MATCH(A72,Clientes!$C$5:$C$549,0)))),"NO EXISTE en Clientes"))</f>
        <v/>
      </c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>
        <f>IF(AND(A72="",D72=""),"",IF(A72="","FALTA doc. cliente",IF(B72="NO EXISTE en Clientes","CLIENTE no está en hoja Clientes",IF(D72="","FALTA dirección",IF(AND(H72&lt;&gt;"",OR(F72="",G72="")),"Distrito requiere departamento y provincia",IF(AND(G72&lt;&gt;"",F72=""),"Provincia requiere departamento",IF((I72&lt;&gt;"")&lt;&gt;(J72&lt;&gt;""),"Latitud y longitud van juntas","OK")))))))</f>
        <v/>
      </c>
      <c r="M72" s="28">
        <f>IF(L72&lt;&gt;"OK","","INSERT INTO cli_direcciones (id_cliente, descripcion, direccion, referencia, id_departamento, id_provincia, id_distrito, latitud, longitud, es_principal, estado) SELECT "&amp;"(SELECT id FROM cli_clientes WHERE numero_documento = '"&amp;SUBSTITUTE(TRIM(A72),"'","''")&amp;"' AND estado = 1 LIMIT 1)"&amp;", "&amp;IF(TRIM(C72&amp;"")="","NULL","'"&amp;SUBSTITUTE(TRIM(C72),"'","''")&amp;"'")&amp;", "&amp;IF(TRIM(D72&amp;"")="","NULL","'"&amp;SUBSTITUTE(TRIM(D72),"'","''")&amp;"'")&amp;", "&amp;IF(TRIM(E72&amp;"")="","NULL","'"&amp;SUBSTITUTE(TRIM(E72),"'","''")&amp;"'")&amp;", "&amp;IF(TRIM(F72&amp;"")="","NULL","(SELECT id FROM gen_departamento WHERE upper(nombre) = upper('"&amp;SUBSTITUTE(TRIM(F72),"'","''")&amp;"') AND estado = 1 LIMIT 1)")&amp;", "&amp;IF(OR(TRIM(F72&amp;"")="",TRIM(G72&amp;"")=""),"NULL","(SELECT p.id FROM gen_provincia p JOIN gen_departamento dp ON dp.id = p.id_departamento WHERE upper(p.nombre) = upper('"&amp;SUBSTITUTE(TRIM(G72),"'","''")&amp;"') AND upper(dp.nombre) = upper('"&amp;SUBSTITUTE(TRIM(F72),"'","''")&amp;"') AND p.estado = 1 LIMIT 1)")&amp;", "&amp;IF(OR(TRIM(F72&amp;"")="",TRIM(G72&amp;"")="",TRIM(H72&amp;"")=""),"NULL","(SELECT d.id FROM gen_distrito d JOIN gen_provincia p ON p.id = d.id_provincia JOIN gen_departamento dp ON dp.id = p.id_departamento WHERE upper(d.nombre) = upper('"&amp;SUBSTITUTE(TRIM(H72),"'","''")&amp;"') AND upper(p.nombre) = upper('"&amp;SUBSTITUTE(TRIM(G72),"'","''")&amp;"') AND upper(dp.nombre) = upper('"&amp;SUBSTITUTE(TRIM(F72),"'","''")&amp;"') AND d.estado = 1 LIMIT 1)")&amp;", "&amp;IF(I72&amp;""="","NULL",SUBSTITUTE(I72&amp;"",",","."))&amp;", "&amp;IF(J72&amp;""="","NULL",SUBSTITUTE(J72&amp;"",",","."))&amp;", "&amp;IF(UPPER(TRIM(K72&amp;""))="SI","TRUE","FALSE")&amp;", 1"&amp;" WHERE NOT EXISTS (SELECT 1 FROM cli_direcciones x WHERE x.id_cliente = "&amp;"(SELECT id FROM cli_clientes WHERE numero_documento = '"&amp;SUBSTITUTE(TRIM(A72),"'","''")&amp;"' AND estado = 1 LIMIT 1)"&amp;" AND upper(x.direccion) = upper("&amp;IF(TRIM(D72&amp;"")="","NULL","'"&amp;SUBSTITUTE(TRIM(D72),"'","''")&amp;"'")&amp;"));")</f>
        <v/>
      </c>
    </row>
    <row r="73" ht="15.75" customHeight="1" s="64">
      <c r="A73" s="23" t="n"/>
      <c r="B73" s="25">
        <f t="array" ref="B73">IF(A73="","",IFERROR(IF(INDEX(Clientes!$D$5:$D$549,MATCH(A73,Clientes!$C$5:$C$549,0))&lt;&gt;"",INDEX(Clientes!$D$5:$D$549,MATCH(A73,Clientes!$C$5:$C$549,0)),TRIM(INDEX(Clientes!$E$5:$E$549,MATCH(A73,Clientes!$C$5:$C$549,0))&amp;" "&amp;INDEX(Clientes!$F$5:$F$549,MATCH(A73,Clientes!$C$5:$C$549,0)))),"NO EXISTE en Clientes"))</f>
        <v/>
      </c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>
        <f>IF(AND(A73="",D73=""),"",IF(A73="","FALTA doc. cliente",IF(B73="NO EXISTE en Clientes","CLIENTE no está en hoja Clientes",IF(D73="","FALTA dirección",IF(AND(H73&lt;&gt;"",OR(F73="",G73="")),"Distrito requiere departamento y provincia",IF(AND(G73&lt;&gt;"",F73=""),"Provincia requiere departamento",IF((I73&lt;&gt;"")&lt;&gt;(J73&lt;&gt;""),"Latitud y longitud van juntas","OK")))))))</f>
        <v/>
      </c>
      <c r="M73" s="28">
        <f>IF(L73&lt;&gt;"OK","","INSERT INTO cli_direcciones (id_cliente, descripcion, direccion, referencia, id_departamento, id_provincia, id_distrito, latitud, longitud, es_principal, estado) SELECT "&amp;"(SELECT id FROM cli_clientes WHERE numero_documento = '"&amp;SUBSTITUTE(TRIM(A73),"'","''")&amp;"' AND estado = 1 LIMIT 1)"&amp;", "&amp;IF(TRIM(C73&amp;"")="","NULL","'"&amp;SUBSTITUTE(TRIM(C73),"'","''")&amp;"'")&amp;", "&amp;IF(TRIM(D73&amp;"")="","NULL","'"&amp;SUBSTITUTE(TRIM(D73),"'","''")&amp;"'")&amp;", "&amp;IF(TRIM(E73&amp;"")="","NULL","'"&amp;SUBSTITUTE(TRIM(E73),"'","''")&amp;"'")&amp;", "&amp;IF(TRIM(F73&amp;"")="","NULL","(SELECT id FROM gen_departamento WHERE upper(nombre) = upper('"&amp;SUBSTITUTE(TRIM(F73),"'","''")&amp;"') AND estado = 1 LIMIT 1)")&amp;", "&amp;IF(OR(TRIM(F73&amp;"")="",TRIM(G73&amp;"")=""),"NULL","(SELECT p.id FROM gen_provincia p JOIN gen_departamento dp ON dp.id = p.id_departamento WHERE upper(p.nombre) = upper('"&amp;SUBSTITUTE(TRIM(G73),"'","''")&amp;"') AND upper(dp.nombre) = upper('"&amp;SUBSTITUTE(TRIM(F73),"'","''")&amp;"') AND p.estado = 1 LIMIT 1)")&amp;", "&amp;IF(OR(TRIM(F73&amp;"")="",TRIM(G73&amp;"")="",TRIM(H73&amp;"")=""),"NULL","(SELECT d.id FROM gen_distrito d JOIN gen_provincia p ON p.id = d.id_provincia JOIN gen_departamento dp ON dp.id = p.id_departamento WHERE upper(d.nombre) = upper('"&amp;SUBSTITUTE(TRIM(H73),"'","''")&amp;"') AND upper(p.nombre) = upper('"&amp;SUBSTITUTE(TRIM(G73),"'","''")&amp;"') AND upper(dp.nombre) = upper('"&amp;SUBSTITUTE(TRIM(F73),"'","''")&amp;"') AND d.estado = 1 LIMIT 1)")&amp;", "&amp;IF(I73&amp;""="","NULL",SUBSTITUTE(I73&amp;"",",","."))&amp;", "&amp;IF(J73&amp;""="","NULL",SUBSTITUTE(J73&amp;"",",","."))&amp;", "&amp;IF(UPPER(TRIM(K73&amp;""))="SI","TRUE","FALSE")&amp;", 1"&amp;" WHERE NOT EXISTS (SELECT 1 FROM cli_direcciones x WHERE x.id_cliente = "&amp;"(SELECT id FROM cli_clientes WHERE numero_documento = '"&amp;SUBSTITUTE(TRIM(A73),"'","''")&amp;"' AND estado = 1 LIMIT 1)"&amp;" AND upper(x.direccion) = upper("&amp;IF(TRIM(D73&amp;"")="","NULL","'"&amp;SUBSTITUTE(TRIM(D73),"'","''")&amp;"'")&amp;"));")</f>
        <v/>
      </c>
    </row>
    <row r="74" ht="15.75" customHeight="1" s="64">
      <c r="A74" s="23" t="n"/>
      <c r="B74" s="25">
        <f t="array" ref="B74">IF(A74="","",IFERROR(IF(INDEX(Clientes!$D$5:$D$549,MATCH(A74,Clientes!$C$5:$C$549,0))&lt;&gt;"",INDEX(Clientes!$D$5:$D$549,MATCH(A74,Clientes!$C$5:$C$549,0)),TRIM(INDEX(Clientes!$E$5:$E$549,MATCH(A74,Clientes!$C$5:$C$549,0))&amp;" "&amp;INDEX(Clientes!$F$5:$F$549,MATCH(A74,Clientes!$C$5:$C$549,0)))),"NO EXISTE en Clientes"))</f>
        <v/>
      </c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>
        <f>IF(AND(A74="",D74=""),"",IF(A74="","FALTA doc. cliente",IF(B74="NO EXISTE en Clientes","CLIENTE no está en hoja Clientes",IF(D74="","FALTA dirección",IF(AND(H74&lt;&gt;"",OR(F74="",G74="")),"Distrito requiere departamento y provincia",IF(AND(G74&lt;&gt;"",F74=""),"Provincia requiere departamento",IF((I74&lt;&gt;"")&lt;&gt;(J74&lt;&gt;""),"Latitud y longitud van juntas","OK")))))))</f>
        <v/>
      </c>
      <c r="M74" s="28">
        <f>IF(L74&lt;&gt;"OK","","INSERT INTO cli_direcciones (id_cliente, descripcion, direccion, referencia, id_departamento, id_provincia, id_distrito, latitud, longitud, es_principal, estado) SELECT "&amp;"(SELECT id FROM cli_clientes WHERE numero_documento = '"&amp;SUBSTITUTE(TRIM(A74),"'","''")&amp;"' AND estado = 1 LIMIT 1)"&amp;", "&amp;IF(TRIM(C74&amp;"")="","NULL","'"&amp;SUBSTITUTE(TRIM(C74),"'","''")&amp;"'")&amp;", "&amp;IF(TRIM(D74&amp;"")="","NULL","'"&amp;SUBSTITUTE(TRIM(D74),"'","''")&amp;"'")&amp;", "&amp;IF(TRIM(E74&amp;"")="","NULL","'"&amp;SUBSTITUTE(TRIM(E74),"'","''")&amp;"'")&amp;", "&amp;IF(TRIM(F74&amp;"")="","NULL","(SELECT id FROM gen_departamento WHERE upper(nombre) = upper('"&amp;SUBSTITUTE(TRIM(F74),"'","''")&amp;"') AND estado = 1 LIMIT 1)")&amp;", "&amp;IF(OR(TRIM(F74&amp;"")="",TRIM(G74&amp;"")=""),"NULL","(SELECT p.id FROM gen_provincia p JOIN gen_departamento dp ON dp.id = p.id_departamento WHERE upper(p.nombre) = upper('"&amp;SUBSTITUTE(TRIM(G74),"'","''")&amp;"') AND upper(dp.nombre) = upper('"&amp;SUBSTITUTE(TRIM(F74),"'","''")&amp;"') AND p.estado = 1 LIMIT 1)")&amp;", "&amp;IF(OR(TRIM(F74&amp;"")="",TRIM(G74&amp;"")="",TRIM(H74&amp;"")=""),"NULL","(SELECT d.id FROM gen_distrito d JOIN gen_provincia p ON p.id = d.id_provincia JOIN gen_departamento dp ON dp.id = p.id_departamento WHERE upper(d.nombre) = upper('"&amp;SUBSTITUTE(TRIM(H74),"'","''")&amp;"') AND upper(p.nombre) = upper('"&amp;SUBSTITUTE(TRIM(G74),"'","''")&amp;"') AND upper(dp.nombre) = upper('"&amp;SUBSTITUTE(TRIM(F74),"'","''")&amp;"') AND d.estado = 1 LIMIT 1)")&amp;", "&amp;IF(I74&amp;""="","NULL",SUBSTITUTE(I74&amp;"",",","."))&amp;", "&amp;IF(J74&amp;""="","NULL",SUBSTITUTE(J74&amp;"",",","."))&amp;", "&amp;IF(UPPER(TRIM(K74&amp;""))="SI","TRUE","FALSE")&amp;", 1"&amp;" WHERE NOT EXISTS (SELECT 1 FROM cli_direcciones x WHERE x.id_cliente = "&amp;"(SELECT id FROM cli_clientes WHERE numero_documento = '"&amp;SUBSTITUTE(TRIM(A74),"'","''")&amp;"' AND estado = 1 LIMIT 1)"&amp;" AND upper(x.direccion) = upper("&amp;IF(TRIM(D74&amp;"")="","NULL","'"&amp;SUBSTITUTE(TRIM(D74),"'","''")&amp;"'")&amp;"));")</f>
        <v/>
      </c>
    </row>
    <row r="75" ht="15.75" customHeight="1" s="64">
      <c r="A75" s="23" t="n"/>
      <c r="B75" s="25">
        <f t="array" ref="B75">IF(A75="","",IFERROR(IF(INDEX(Clientes!$D$5:$D$549,MATCH(A75,Clientes!$C$5:$C$549,0))&lt;&gt;"",INDEX(Clientes!$D$5:$D$549,MATCH(A75,Clientes!$C$5:$C$549,0)),TRIM(INDEX(Clientes!$E$5:$E$549,MATCH(A75,Clientes!$C$5:$C$549,0))&amp;" "&amp;INDEX(Clientes!$F$5:$F$549,MATCH(A75,Clientes!$C$5:$C$549,0)))),"NO EXISTE en Clientes"))</f>
        <v/>
      </c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>
        <f>IF(AND(A75="",D75=""),"",IF(A75="","FALTA doc. cliente",IF(B75="NO EXISTE en Clientes","CLIENTE no está en hoja Clientes",IF(D75="","FALTA dirección",IF(AND(H75&lt;&gt;"",OR(F75="",G75="")),"Distrito requiere departamento y provincia",IF(AND(G75&lt;&gt;"",F75=""),"Provincia requiere departamento",IF((I75&lt;&gt;"")&lt;&gt;(J75&lt;&gt;""),"Latitud y longitud van juntas","OK")))))))</f>
        <v/>
      </c>
      <c r="M75" s="28">
        <f>IF(L75&lt;&gt;"OK","","INSERT INTO cli_direcciones (id_cliente, descripcion, direccion, referencia, id_departamento, id_provincia, id_distrito, latitud, longitud, es_principal, estado) SELECT "&amp;"(SELECT id FROM cli_clientes WHERE numero_documento = '"&amp;SUBSTITUTE(TRIM(A75),"'","''")&amp;"' AND estado = 1 LIMIT 1)"&amp;", "&amp;IF(TRIM(C75&amp;"")="","NULL","'"&amp;SUBSTITUTE(TRIM(C75),"'","''")&amp;"'")&amp;", "&amp;IF(TRIM(D75&amp;"")="","NULL","'"&amp;SUBSTITUTE(TRIM(D75),"'","''")&amp;"'")&amp;", "&amp;IF(TRIM(E75&amp;"")="","NULL","'"&amp;SUBSTITUTE(TRIM(E75),"'","''")&amp;"'")&amp;", "&amp;IF(TRIM(F75&amp;"")="","NULL","(SELECT id FROM gen_departamento WHERE upper(nombre) = upper('"&amp;SUBSTITUTE(TRIM(F75),"'","''")&amp;"') AND estado = 1 LIMIT 1)")&amp;", "&amp;IF(OR(TRIM(F75&amp;"")="",TRIM(G75&amp;"")=""),"NULL","(SELECT p.id FROM gen_provincia p JOIN gen_departamento dp ON dp.id = p.id_departamento WHERE upper(p.nombre) = upper('"&amp;SUBSTITUTE(TRIM(G75),"'","''")&amp;"') AND upper(dp.nombre) = upper('"&amp;SUBSTITUTE(TRIM(F75),"'","''")&amp;"') AND p.estado = 1 LIMIT 1)")&amp;", "&amp;IF(OR(TRIM(F75&amp;"")="",TRIM(G75&amp;"")="",TRIM(H75&amp;"")=""),"NULL","(SELECT d.id FROM gen_distrito d JOIN gen_provincia p ON p.id = d.id_provincia JOIN gen_departamento dp ON dp.id = p.id_departamento WHERE upper(d.nombre) = upper('"&amp;SUBSTITUTE(TRIM(H75),"'","''")&amp;"') AND upper(p.nombre) = upper('"&amp;SUBSTITUTE(TRIM(G75),"'","''")&amp;"') AND upper(dp.nombre) = upper('"&amp;SUBSTITUTE(TRIM(F75),"'","''")&amp;"') AND d.estado = 1 LIMIT 1)")&amp;", "&amp;IF(I75&amp;""="","NULL",SUBSTITUTE(I75&amp;"",",","."))&amp;", "&amp;IF(J75&amp;""="","NULL",SUBSTITUTE(J75&amp;"",",","."))&amp;", "&amp;IF(UPPER(TRIM(K75&amp;""))="SI","TRUE","FALSE")&amp;", 1"&amp;" WHERE NOT EXISTS (SELECT 1 FROM cli_direcciones x WHERE x.id_cliente = "&amp;"(SELECT id FROM cli_clientes WHERE numero_documento = '"&amp;SUBSTITUTE(TRIM(A75),"'","''")&amp;"' AND estado = 1 LIMIT 1)"&amp;" AND upper(x.direccion) = upper("&amp;IF(TRIM(D75&amp;"")="","NULL","'"&amp;SUBSTITUTE(TRIM(D75),"'","''")&amp;"'")&amp;"));")</f>
        <v/>
      </c>
    </row>
    <row r="76" ht="15.75" customHeight="1" s="64">
      <c r="A76" s="23" t="n"/>
      <c r="B76" s="25">
        <f t="array" ref="B76">IF(A76="","",IFERROR(IF(INDEX(Clientes!$D$5:$D$549,MATCH(A76,Clientes!$C$5:$C$549,0))&lt;&gt;"",INDEX(Clientes!$D$5:$D$549,MATCH(A76,Clientes!$C$5:$C$549,0)),TRIM(INDEX(Clientes!$E$5:$E$549,MATCH(A76,Clientes!$C$5:$C$549,0))&amp;" "&amp;INDEX(Clientes!$F$5:$F$549,MATCH(A76,Clientes!$C$5:$C$549,0)))),"NO EXISTE en Clientes"))</f>
        <v/>
      </c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>
        <f>IF(AND(A76="",D76=""),"",IF(A76="","FALTA doc. cliente",IF(B76="NO EXISTE en Clientes","CLIENTE no está en hoja Clientes",IF(D76="","FALTA dirección",IF(AND(H76&lt;&gt;"",OR(F76="",G76="")),"Distrito requiere departamento y provincia",IF(AND(G76&lt;&gt;"",F76=""),"Provincia requiere departamento",IF((I76&lt;&gt;"")&lt;&gt;(J76&lt;&gt;""),"Latitud y longitud van juntas","OK")))))))</f>
        <v/>
      </c>
      <c r="M76" s="28">
        <f>IF(L76&lt;&gt;"OK","","INSERT INTO cli_direcciones (id_cliente, descripcion, direccion, referencia, id_departamento, id_provincia, id_distrito, latitud, longitud, es_principal, estado) SELECT "&amp;"(SELECT id FROM cli_clientes WHERE numero_documento = '"&amp;SUBSTITUTE(TRIM(A76),"'","''")&amp;"' AND estado = 1 LIMIT 1)"&amp;", "&amp;IF(TRIM(C76&amp;"")="","NULL","'"&amp;SUBSTITUTE(TRIM(C76),"'","''")&amp;"'")&amp;", "&amp;IF(TRIM(D76&amp;"")="","NULL","'"&amp;SUBSTITUTE(TRIM(D76),"'","''")&amp;"'")&amp;", "&amp;IF(TRIM(E76&amp;"")="","NULL","'"&amp;SUBSTITUTE(TRIM(E76),"'","''")&amp;"'")&amp;", "&amp;IF(TRIM(F76&amp;"")="","NULL","(SELECT id FROM gen_departamento WHERE upper(nombre) = upper('"&amp;SUBSTITUTE(TRIM(F76),"'","''")&amp;"') AND estado = 1 LIMIT 1)")&amp;", "&amp;IF(OR(TRIM(F76&amp;"")="",TRIM(G76&amp;"")=""),"NULL","(SELECT p.id FROM gen_provincia p JOIN gen_departamento dp ON dp.id = p.id_departamento WHERE upper(p.nombre) = upper('"&amp;SUBSTITUTE(TRIM(G76),"'","''")&amp;"') AND upper(dp.nombre) = upper('"&amp;SUBSTITUTE(TRIM(F76),"'","''")&amp;"') AND p.estado = 1 LIMIT 1)")&amp;", "&amp;IF(OR(TRIM(F76&amp;"")="",TRIM(G76&amp;"")="",TRIM(H76&amp;"")=""),"NULL","(SELECT d.id FROM gen_distrito d JOIN gen_provincia p ON p.id = d.id_provincia JOIN gen_departamento dp ON dp.id = p.id_departamento WHERE upper(d.nombre) = upper('"&amp;SUBSTITUTE(TRIM(H76),"'","''")&amp;"') AND upper(p.nombre) = upper('"&amp;SUBSTITUTE(TRIM(G76),"'","''")&amp;"') AND upper(dp.nombre) = upper('"&amp;SUBSTITUTE(TRIM(F76),"'","''")&amp;"') AND d.estado = 1 LIMIT 1)")&amp;", "&amp;IF(I76&amp;""="","NULL",SUBSTITUTE(I76&amp;"",",","."))&amp;", "&amp;IF(J76&amp;""="","NULL",SUBSTITUTE(J76&amp;"",",","."))&amp;", "&amp;IF(UPPER(TRIM(K76&amp;""))="SI","TRUE","FALSE")&amp;", 1"&amp;" WHERE NOT EXISTS (SELECT 1 FROM cli_direcciones x WHERE x.id_cliente = "&amp;"(SELECT id FROM cli_clientes WHERE numero_documento = '"&amp;SUBSTITUTE(TRIM(A76),"'","''")&amp;"' AND estado = 1 LIMIT 1)"&amp;" AND upper(x.direccion) = upper("&amp;IF(TRIM(D76&amp;"")="","NULL","'"&amp;SUBSTITUTE(TRIM(D76),"'","''")&amp;"'")&amp;"));")</f>
        <v/>
      </c>
    </row>
    <row r="77" ht="15.75" customHeight="1" s="64">
      <c r="A77" s="23" t="n"/>
      <c r="B77" s="25">
        <f t="array" ref="B77">IF(A77="","",IFERROR(IF(INDEX(Clientes!$D$5:$D$549,MATCH(A77,Clientes!$C$5:$C$549,0))&lt;&gt;"",INDEX(Clientes!$D$5:$D$549,MATCH(A77,Clientes!$C$5:$C$549,0)),TRIM(INDEX(Clientes!$E$5:$E$549,MATCH(A77,Clientes!$C$5:$C$549,0))&amp;" "&amp;INDEX(Clientes!$F$5:$F$549,MATCH(A77,Clientes!$C$5:$C$549,0)))),"NO EXISTE en Clientes"))</f>
        <v/>
      </c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>
        <f>IF(AND(A77="",D77=""),"",IF(A77="","FALTA doc. cliente",IF(B77="NO EXISTE en Clientes","CLIENTE no está en hoja Clientes",IF(D77="","FALTA dirección",IF(AND(H77&lt;&gt;"",OR(F77="",G77="")),"Distrito requiere departamento y provincia",IF(AND(G77&lt;&gt;"",F77=""),"Provincia requiere departamento",IF((I77&lt;&gt;"")&lt;&gt;(J77&lt;&gt;""),"Latitud y longitud van juntas","OK")))))))</f>
        <v/>
      </c>
      <c r="M77" s="28">
        <f>IF(L77&lt;&gt;"OK","","INSERT INTO cli_direcciones (id_cliente, descripcion, direccion, referencia, id_departamento, id_provincia, id_distrito, latitud, longitud, es_principal, estado) SELECT "&amp;"(SELECT id FROM cli_clientes WHERE numero_documento = '"&amp;SUBSTITUTE(TRIM(A77),"'","''")&amp;"' AND estado = 1 LIMIT 1)"&amp;", "&amp;IF(TRIM(C77&amp;"")="","NULL","'"&amp;SUBSTITUTE(TRIM(C77),"'","''")&amp;"'")&amp;", "&amp;IF(TRIM(D77&amp;"")="","NULL","'"&amp;SUBSTITUTE(TRIM(D77),"'","''")&amp;"'")&amp;", "&amp;IF(TRIM(E77&amp;"")="","NULL","'"&amp;SUBSTITUTE(TRIM(E77),"'","''")&amp;"'")&amp;", "&amp;IF(TRIM(F77&amp;"")="","NULL","(SELECT id FROM gen_departamento WHERE upper(nombre) = upper('"&amp;SUBSTITUTE(TRIM(F77),"'","''")&amp;"') AND estado = 1 LIMIT 1)")&amp;", "&amp;IF(OR(TRIM(F77&amp;"")="",TRIM(G77&amp;"")=""),"NULL","(SELECT p.id FROM gen_provincia p JOIN gen_departamento dp ON dp.id = p.id_departamento WHERE upper(p.nombre) = upper('"&amp;SUBSTITUTE(TRIM(G77),"'","''")&amp;"') AND upper(dp.nombre) = upper('"&amp;SUBSTITUTE(TRIM(F77),"'","''")&amp;"') AND p.estado = 1 LIMIT 1)")&amp;", "&amp;IF(OR(TRIM(F77&amp;"")="",TRIM(G77&amp;"")="",TRIM(H77&amp;"")=""),"NULL","(SELECT d.id FROM gen_distrito d JOIN gen_provincia p ON p.id = d.id_provincia JOIN gen_departamento dp ON dp.id = p.id_departamento WHERE upper(d.nombre) = upper('"&amp;SUBSTITUTE(TRIM(H77),"'","''")&amp;"') AND upper(p.nombre) = upper('"&amp;SUBSTITUTE(TRIM(G77),"'","''")&amp;"') AND upper(dp.nombre) = upper('"&amp;SUBSTITUTE(TRIM(F77),"'","''")&amp;"') AND d.estado = 1 LIMIT 1)")&amp;", "&amp;IF(I77&amp;""="","NULL",SUBSTITUTE(I77&amp;"",",","."))&amp;", "&amp;IF(J77&amp;""="","NULL",SUBSTITUTE(J77&amp;"",",","."))&amp;", "&amp;IF(UPPER(TRIM(K77&amp;""))="SI","TRUE","FALSE")&amp;", 1"&amp;" WHERE NOT EXISTS (SELECT 1 FROM cli_direcciones x WHERE x.id_cliente = "&amp;"(SELECT id FROM cli_clientes WHERE numero_documento = '"&amp;SUBSTITUTE(TRIM(A77),"'","''")&amp;"' AND estado = 1 LIMIT 1)"&amp;" AND upper(x.direccion) = upper("&amp;IF(TRIM(D77&amp;"")="","NULL","'"&amp;SUBSTITUTE(TRIM(D77),"'","''")&amp;"'")&amp;"));")</f>
        <v/>
      </c>
    </row>
    <row r="78" ht="15.75" customHeight="1" s="64">
      <c r="A78" s="23" t="n"/>
      <c r="B78" s="25">
        <f t="array" ref="B78">IF(A78="","",IFERROR(IF(INDEX(Clientes!$D$5:$D$549,MATCH(A78,Clientes!$C$5:$C$549,0))&lt;&gt;"",INDEX(Clientes!$D$5:$D$549,MATCH(A78,Clientes!$C$5:$C$549,0)),TRIM(INDEX(Clientes!$E$5:$E$549,MATCH(A78,Clientes!$C$5:$C$549,0))&amp;" "&amp;INDEX(Clientes!$F$5:$F$549,MATCH(A78,Clientes!$C$5:$C$549,0)))),"NO EXISTE en Clientes"))</f>
        <v/>
      </c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>
        <f>IF(AND(A78="",D78=""),"",IF(A78="","FALTA doc. cliente",IF(B78="NO EXISTE en Clientes","CLIENTE no está en hoja Clientes",IF(D78="","FALTA dirección",IF(AND(H78&lt;&gt;"",OR(F78="",G78="")),"Distrito requiere departamento y provincia",IF(AND(G78&lt;&gt;"",F78=""),"Provincia requiere departamento",IF((I78&lt;&gt;"")&lt;&gt;(J78&lt;&gt;""),"Latitud y longitud van juntas","OK")))))))</f>
        <v/>
      </c>
      <c r="M78" s="28">
        <f>IF(L78&lt;&gt;"OK","","INSERT INTO cli_direcciones (id_cliente, descripcion, direccion, referencia, id_departamento, id_provincia, id_distrito, latitud, longitud, es_principal, estado) SELECT "&amp;"(SELECT id FROM cli_clientes WHERE numero_documento = '"&amp;SUBSTITUTE(TRIM(A78),"'","''")&amp;"' AND estado = 1 LIMIT 1)"&amp;", "&amp;IF(TRIM(C78&amp;"")="","NULL","'"&amp;SUBSTITUTE(TRIM(C78),"'","''")&amp;"'")&amp;", "&amp;IF(TRIM(D78&amp;"")="","NULL","'"&amp;SUBSTITUTE(TRIM(D78),"'","''")&amp;"'")&amp;", "&amp;IF(TRIM(E78&amp;"")="","NULL","'"&amp;SUBSTITUTE(TRIM(E78),"'","''")&amp;"'")&amp;", "&amp;IF(TRIM(F78&amp;"")="","NULL","(SELECT id FROM gen_departamento WHERE upper(nombre) = upper('"&amp;SUBSTITUTE(TRIM(F78),"'","''")&amp;"') AND estado = 1 LIMIT 1)")&amp;", "&amp;IF(OR(TRIM(F78&amp;"")="",TRIM(G78&amp;"")=""),"NULL","(SELECT p.id FROM gen_provincia p JOIN gen_departamento dp ON dp.id = p.id_departamento WHERE upper(p.nombre) = upper('"&amp;SUBSTITUTE(TRIM(G78),"'","''")&amp;"') AND upper(dp.nombre) = upper('"&amp;SUBSTITUTE(TRIM(F78),"'","''")&amp;"') AND p.estado = 1 LIMIT 1)")&amp;", "&amp;IF(OR(TRIM(F78&amp;"")="",TRIM(G78&amp;"")="",TRIM(H78&amp;"")=""),"NULL","(SELECT d.id FROM gen_distrito d JOIN gen_provincia p ON p.id = d.id_provincia JOIN gen_departamento dp ON dp.id = p.id_departamento WHERE upper(d.nombre) = upper('"&amp;SUBSTITUTE(TRIM(H78),"'","''")&amp;"') AND upper(p.nombre) = upper('"&amp;SUBSTITUTE(TRIM(G78),"'","''")&amp;"') AND upper(dp.nombre) = upper('"&amp;SUBSTITUTE(TRIM(F78),"'","''")&amp;"') AND d.estado = 1 LIMIT 1)")&amp;", "&amp;IF(I78&amp;""="","NULL",SUBSTITUTE(I78&amp;"",",","."))&amp;", "&amp;IF(J78&amp;""="","NULL",SUBSTITUTE(J78&amp;"",",","."))&amp;", "&amp;IF(UPPER(TRIM(K78&amp;""))="SI","TRUE","FALSE")&amp;", 1"&amp;" WHERE NOT EXISTS (SELECT 1 FROM cli_direcciones x WHERE x.id_cliente = "&amp;"(SELECT id FROM cli_clientes WHERE numero_documento = '"&amp;SUBSTITUTE(TRIM(A78),"'","''")&amp;"' AND estado = 1 LIMIT 1)"&amp;" AND upper(x.direccion) = upper("&amp;IF(TRIM(D78&amp;"")="","NULL","'"&amp;SUBSTITUTE(TRIM(D78),"'","''")&amp;"'")&amp;"));")</f>
        <v/>
      </c>
    </row>
    <row r="79" ht="15.75" customHeight="1" s="64">
      <c r="A79" s="23" t="n"/>
      <c r="B79" s="25">
        <f t="array" ref="B79">IF(A79="","",IFERROR(IF(INDEX(Clientes!$D$5:$D$549,MATCH(A79,Clientes!$C$5:$C$549,0))&lt;&gt;"",INDEX(Clientes!$D$5:$D$549,MATCH(A79,Clientes!$C$5:$C$549,0)),TRIM(INDEX(Clientes!$E$5:$E$549,MATCH(A79,Clientes!$C$5:$C$549,0))&amp;" "&amp;INDEX(Clientes!$F$5:$F$549,MATCH(A79,Clientes!$C$5:$C$549,0)))),"NO EXISTE en Clientes"))</f>
        <v/>
      </c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>
        <f>IF(AND(A79="",D79=""),"",IF(A79="","FALTA doc. cliente",IF(B79="NO EXISTE en Clientes","CLIENTE no está en hoja Clientes",IF(D79="","FALTA dirección",IF(AND(H79&lt;&gt;"",OR(F79="",G79="")),"Distrito requiere departamento y provincia",IF(AND(G79&lt;&gt;"",F79=""),"Provincia requiere departamento",IF((I79&lt;&gt;"")&lt;&gt;(J79&lt;&gt;""),"Latitud y longitud van juntas","OK")))))))</f>
        <v/>
      </c>
      <c r="M79" s="28">
        <f>IF(L79&lt;&gt;"OK","","INSERT INTO cli_direcciones (id_cliente, descripcion, direccion, referencia, id_departamento, id_provincia, id_distrito, latitud, longitud, es_principal, estado) SELECT "&amp;"(SELECT id FROM cli_clientes WHERE numero_documento = '"&amp;SUBSTITUTE(TRIM(A79),"'","''")&amp;"' AND estado = 1 LIMIT 1)"&amp;", "&amp;IF(TRIM(C79&amp;"")="","NULL","'"&amp;SUBSTITUTE(TRIM(C79),"'","''")&amp;"'")&amp;", "&amp;IF(TRIM(D79&amp;"")="","NULL","'"&amp;SUBSTITUTE(TRIM(D79),"'","''")&amp;"'")&amp;", "&amp;IF(TRIM(E79&amp;"")="","NULL","'"&amp;SUBSTITUTE(TRIM(E79),"'","''")&amp;"'")&amp;", "&amp;IF(TRIM(F79&amp;"")="","NULL","(SELECT id FROM gen_departamento WHERE upper(nombre) = upper('"&amp;SUBSTITUTE(TRIM(F79),"'","''")&amp;"') AND estado = 1 LIMIT 1)")&amp;", "&amp;IF(OR(TRIM(F79&amp;"")="",TRIM(G79&amp;"")=""),"NULL","(SELECT p.id FROM gen_provincia p JOIN gen_departamento dp ON dp.id = p.id_departamento WHERE upper(p.nombre) = upper('"&amp;SUBSTITUTE(TRIM(G79),"'","''")&amp;"') AND upper(dp.nombre) = upper('"&amp;SUBSTITUTE(TRIM(F79),"'","''")&amp;"') AND p.estado = 1 LIMIT 1)")&amp;", "&amp;IF(OR(TRIM(F79&amp;"")="",TRIM(G79&amp;"")="",TRIM(H79&amp;"")=""),"NULL","(SELECT d.id FROM gen_distrito d JOIN gen_provincia p ON p.id = d.id_provincia JOIN gen_departamento dp ON dp.id = p.id_departamento WHERE upper(d.nombre) = upper('"&amp;SUBSTITUTE(TRIM(H79),"'","''")&amp;"') AND upper(p.nombre) = upper('"&amp;SUBSTITUTE(TRIM(G79),"'","''")&amp;"') AND upper(dp.nombre) = upper('"&amp;SUBSTITUTE(TRIM(F79),"'","''")&amp;"') AND d.estado = 1 LIMIT 1)")&amp;", "&amp;IF(I79&amp;""="","NULL",SUBSTITUTE(I79&amp;"",",","."))&amp;", "&amp;IF(J79&amp;""="","NULL",SUBSTITUTE(J79&amp;"",",","."))&amp;", "&amp;IF(UPPER(TRIM(K79&amp;""))="SI","TRUE","FALSE")&amp;", 1"&amp;" WHERE NOT EXISTS (SELECT 1 FROM cli_direcciones x WHERE x.id_cliente = "&amp;"(SELECT id FROM cli_clientes WHERE numero_documento = '"&amp;SUBSTITUTE(TRIM(A79),"'","''")&amp;"' AND estado = 1 LIMIT 1)"&amp;" AND upper(x.direccion) = upper("&amp;IF(TRIM(D79&amp;"")="","NULL","'"&amp;SUBSTITUTE(TRIM(D79),"'","''")&amp;"'")&amp;"));")</f>
        <v/>
      </c>
    </row>
    <row r="80" ht="15.75" customHeight="1" s="64">
      <c r="A80" s="23" t="n"/>
      <c r="B80" s="25">
        <f t="array" ref="B80">IF(A80="","",IFERROR(IF(INDEX(Clientes!$D$5:$D$549,MATCH(A80,Clientes!$C$5:$C$549,0))&lt;&gt;"",INDEX(Clientes!$D$5:$D$549,MATCH(A80,Clientes!$C$5:$C$549,0)),TRIM(INDEX(Clientes!$E$5:$E$549,MATCH(A80,Clientes!$C$5:$C$549,0))&amp;" "&amp;INDEX(Clientes!$F$5:$F$549,MATCH(A80,Clientes!$C$5:$C$549,0)))),"NO EXISTE en Clientes"))</f>
        <v/>
      </c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>
        <f>IF(AND(A80="",D80=""),"",IF(A80="","FALTA doc. cliente",IF(B80="NO EXISTE en Clientes","CLIENTE no está en hoja Clientes",IF(D80="","FALTA dirección",IF(AND(H80&lt;&gt;"",OR(F80="",G80="")),"Distrito requiere departamento y provincia",IF(AND(G80&lt;&gt;"",F80=""),"Provincia requiere departamento",IF((I80&lt;&gt;"")&lt;&gt;(J80&lt;&gt;""),"Latitud y longitud van juntas","OK")))))))</f>
        <v/>
      </c>
      <c r="M80" s="28">
        <f>IF(L80&lt;&gt;"OK","","INSERT INTO cli_direcciones (id_cliente, descripcion, direccion, referencia, id_departamento, id_provincia, id_distrito, latitud, longitud, es_principal, estado) SELECT "&amp;"(SELECT id FROM cli_clientes WHERE numero_documento = '"&amp;SUBSTITUTE(TRIM(A80),"'","''")&amp;"' AND estado = 1 LIMIT 1)"&amp;", "&amp;IF(TRIM(C80&amp;"")="","NULL","'"&amp;SUBSTITUTE(TRIM(C80),"'","''")&amp;"'")&amp;", "&amp;IF(TRIM(D80&amp;"")="","NULL","'"&amp;SUBSTITUTE(TRIM(D80),"'","''")&amp;"'")&amp;", "&amp;IF(TRIM(E80&amp;"")="","NULL","'"&amp;SUBSTITUTE(TRIM(E80),"'","''")&amp;"'")&amp;", "&amp;IF(TRIM(F80&amp;"")="","NULL","(SELECT id FROM gen_departamento WHERE upper(nombre) = upper('"&amp;SUBSTITUTE(TRIM(F80),"'","''")&amp;"') AND estado = 1 LIMIT 1)")&amp;", "&amp;IF(OR(TRIM(F80&amp;"")="",TRIM(G80&amp;"")=""),"NULL","(SELECT p.id FROM gen_provincia p JOIN gen_departamento dp ON dp.id = p.id_departamento WHERE upper(p.nombre) = upper('"&amp;SUBSTITUTE(TRIM(G80),"'","''")&amp;"') AND upper(dp.nombre) = upper('"&amp;SUBSTITUTE(TRIM(F80),"'","''")&amp;"') AND p.estado = 1 LIMIT 1)")&amp;", "&amp;IF(OR(TRIM(F80&amp;"")="",TRIM(G80&amp;"")="",TRIM(H80&amp;"")=""),"NULL","(SELECT d.id FROM gen_distrito d JOIN gen_provincia p ON p.id = d.id_provincia JOIN gen_departamento dp ON dp.id = p.id_departamento WHERE upper(d.nombre) = upper('"&amp;SUBSTITUTE(TRIM(H80),"'","''")&amp;"') AND upper(p.nombre) = upper('"&amp;SUBSTITUTE(TRIM(G80),"'","''")&amp;"') AND upper(dp.nombre) = upper('"&amp;SUBSTITUTE(TRIM(F80),"'","''")&amp;"') AND d.estado = 1 LIMIT 1)")&amp;", "&amp;IF(I80&amp;""="","NULL",SUBSTITUTE(I80&amp;"",",","."))&amp;", "&amp;IF(J80&amp;""="","NULL",SUBSTITUTE(J80&amp;"",",","."))&amp;", "&amp;IF(UPPER(TRIM(K80&amp;""))="SI","TRUE","FALSE")&amp;", 1"&amp;" WHERE NOT EXISTS (SELECT 1 FROM cli_direcciones x WHERE x.id_cliente = "&amp;"(SELECT id FROM cli_clientes WHERE numero_documento = '"&amp;SUBSTITUTE(TRIM(A80),"'","''")&amp;"' AND estado = 1 LIMIT 1)"&amp;" AND upper(x.direccion) = upper("&amp;IF(TRIM(D80&amp;"")="","NULL","'"&amp;SUBSTITUTE(TRIM(D80),"'","''")&amp;"'")&amp;"));")</f>
        <v/>
      </c>
    </row>
    <row r="81" ht="15.75" customHeight="1" s="64">
      <c r="A81" s="23" t="n"/>
      <c r="B81" s="25">
        <f t="array" ref="B81">IF(A81="","",IFERROR(IF(INDEX(Clientes!$D$5:$D$549,MATCH(A81,Clientes!$C$5:$C$549,0))&lt;&gt;"",INDEX(Clientes!$D$5:$D$549,MATCH(A81,Clientes!$C$5:$C$549,0)),TRIM(INDEX(Clientes!$E$5:$E$549,MATCH(A81,Clientes!$C$5:$C$549,0))&amp;" "&amp;INDEX(Clientes!$F$5:$F$549,MATCH(A81,Clientes!$C$5:$C$549,0)))),"NO EXISTE en Clientes"))</f>
        <v/>
      </c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>
        <f>IF(AND(A81="",D81=""),"",IF(A81="","FALTA doc. cliente",IF(B81="NO EXISTE en Clientes","CLIENTE no está en hoja Clientes",IF(D81="","FALTA dirección",IF(AND(H81&lt;&gt;"",OR(F81="",G81="")),"Distrito requiere departamento y provincia",IF(AND(G81&lt;&gt;"",F81=""),"Provincia requiere departamento",IF((I81&lt;&gt;"")&lt;&gt;(J81&lt;&gt;""),"Latitud y longitud van juntas","OK")))))))</f>
        <v/>
      </c>
      <c r="M81" s="28">
        <f>IF(L81&lt;&gt;"OK","","INSERT INTO cli_direcciones (id_cliente, descripcion, direccion, referencia, id_departamento, id_provincia, id_distrito, latitud, longitud, es_principal, estado) SELECT "&amp;"(SELECT id FROM cli_clientes WHERE numero_documento = '"&amp;SUBSTITUTE(TRIM(A81),"'","''")&amp;"' AND estado = 1 LIMIT 1)"&amp;", "&amp;IF(TRIM(C81&amp;"")="","NULL","'"&amp;SUBSTITUTE(TRIM(C81),"'","''")&amp;"'")&amp;", "&amp;IF(TRIM(D81&amp;"")="","NULL","'"&amp;SUBSTITUTE(TRIM(D81),"'","''")&amp;"'")&amp;", "&amp;IF(TRIM(E81&amp;"")="","NULL","'"&amp;SUBSTITUTE(TRIM(E81),"'","''")&amp;"'")&amp;", "&amp;IF(TRIM(F81&amp;"")="","NULL","(SELECT id FROM gen_departamento WHERE upper(nombre) = upper('"&amp;SUBSTITUTE(TRIM(F81),"'","''")&amp;"') AND estado = 1 LIMIT 1)")&amp;", "&amp;IF(OR(TRIM(F81&amp;"")="",TRIM(G81&amp;"")=""),"NULL","(SELECT p.id FROM gen_provincia p JOIN gen_departamento dp ON dp.id = p.id_departamento WHERE upper(p.nombre) = upper('"&amp;SUBSTITUTE(TRIM(G81),"'","''")&amp;"') AND upper(dp.nombre) = upper('"&amp;SUBSTITUTE(TRIM(F81),"'","''")&amp;"') AND p.estado = 1 LIMIT 1)")&amp;", "&amp;IF(OR(TRIM(F81&amp;"")="",TRIM(G81&amp;"")="",TRIM(H81&amp;"")=""),"NULL","(SELECT d.id FROM gen_distrito d JOIN gen_provincia p ON p.id = d.id_provincia JOIN gen_departamento dp ON dp.id = p.id_departamento WHERE upper(d.nombre) = upper('"&amp;SUBSTITUTE(TRIM(H81),"'","''")&amp;"') AND upper(p.nombre) = upper('"&amp;SUBSTITUTE(TRIM(G81),"'","''")&amp;"') AND upper(dp.nombre) = upper('"&amp;SUBSTITUTE(TRIM(F81),"'","''")&amp;"') AND d.estado = 1 LIMIT 1)")&amp;", "&amp;IF(I81&amp;""="","NULL",SUBSTITUTE(I81&amp;"",",","."))&amp;", "&amp;IF(J81&amp;""="","NULL",SUBSTITUTE(J81&amp;"",",","."))&amp;", "&amp;IF(UPPER(TRIM(K81&amp;""))="SI","TRUE","FALSE")&amp;", 1"&amp;" WHERE NOT EXISTS (SELECT 1 FROM cli_direcciones x WHERE x.id_cliente = "&amp;"(SELECT id FROM cli_clientes WHERE numero_documento = '"&amp;SUBSTITUTE(TRIM(A81),"'","''")&amp;"' AND estado = 1 LIMIT 1)"&amp;" AND upper(x.direccion) = upper("&amp;IF(TRIM(D81&amp;"")="","NULL","'"&amp;SUBSTITUTE(TRIM(D81),"'","''")&amp;"'")&amp;"));")</f>
        <v/>
      </c>
    </row>
    <row r="82" ht="15.75" customHeight="1" s="64">
      <c r="A82" s="23" t="n"/>
      <c r="B82" s="25">
        <f t="array" ref="B82">IF(A82="","",IFERROR(IF(INDEX(Clientes!$D$5:$D$549,MATCH(A82,Clientes!$C$5:$C$549,0))&lt;&gt;"",INDEX(Clientes!$D$5:$D$549,MATCH(A82,Clientes!$C$5:$C$549,0)),TRIM(INDEX(Clientes!$E$5:$E$549,MATCH(A82,Clientes!$C$5:$C$549,0))&amp;" "&amp;INDEX(Clientes!$F$5:$F$549,MATCH(A82,Clientes!$C$5:$C$549,0)))),"NO EXISTE en Clientes"))</f>
        <v/>
      </c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>
        <f>IF(AND(A82="",D82=""),"",IF(A82="","FALTA doc. cliente",IF(B82="NO EXISTE en Clientes","CLIENTE no está en hoja Clientes",IF(D82="","FALTA dirección",IF(AND(H82&lt;&gt;"",OR(F82="",G82="")),"Distrito requiere departamento y provincia",IF(AND(G82&lt;&gt;"",F82=""),"Provincia requiere departamento",IF((I82&lt;&gt;"")&lt;&gt;(J82&lt;&gt;""),"Latitud y longitud van juntas","OK")))))))</f>
        <v/>
      </c>
      <c r="M82" s="28">
        <f>IF(L82&lt;&gt;"OK","","INSERT INTO cli_direcciones (id_cliente, descripcion, direccion, referencia, id_departamento, id_provincia, id_distrito, latitud, longitud, es_principal, estado) SELECT "&amp;"(SELECT id FROM cli_clientes WHERE numero_documento = '"&amp;SUBSTITUTE(TRIM(A82),"'","''")&amp;"' AND estado = 1 LIMIT 1)"&amp;", "&amp;IF(TRIM(C82&amp;"")="","NULL","'"&amp;SUBSTITUTE(TRIM(C82),"'","''")&amp;"'")&amp;", "&amp;IF(TRIM(D82&amp;"")="","NULL","'"&amp;SUBSTITUTE(TRIM(D82),"'","''")&amp;"'")&amp;", "&amp;IF(TRIM(E82&amp;"")="","NULL","'"&amp;SUBSTITUTE(TRIM(E82),"'","''")&amp;"'")&amp;", "&amp;IF(TRIM(F82&amp;"")="","NULL","(SELECT id FROM gen_departamento WHERE upper(nombre) = upper('"&amp;SUBSTITUTE(TRIM(F82),"'","''")&amp;"') AND estado = 1 LIMIT 1)")&amp;", "&amp;IF(OR(TRIM(F82&amp;"")="",TRIM(G82&amp;"")=""),"NULL","(SELECT p.id FROM gen_provincia p JOIN gen_departamento dp ON dp.id = p.id_departamento WHERE upper(p.nombre) = upper('"&amp;SUBSTITUTE(TRIM(G82),"'","''")&amp;"') AND upper(dp.nombre) = upper('"&amp;SUBSTITUTE(TRIM(F82),"'","''")&amp;"') AND p.estado = 1 LIMIT 1)")&amp;", "&amp;IF(OR(TRIM(F82&amp;"")="",TRIM(G82&amp;"")="",TRIM(H82&amp;"")=""),"NULL","(SELECT d.id FROM gen_distrito d JOIN gen_provincia p ON p.id = d.id_provincia JOIN gen_departamento dp ON dp.id = p.id_departamento WHERE upper(d.nombre) = upper('"&amp;SUBSTITUTE(TRIM(H82),"'","''")&amp;"') AND upper(p.nombre) = upper('"&amp;SUBSTITUTE(TRIM(G82),"'","''")&amp;"') AND upper(dp.nombre) = upper('"&amp;SUBSTITUTE(TRIM(F82),"'","''")&amp;"') AND d.estado = 1 LIMIT 1)")&amp;", "&amp;IF(I82&amp;""="","NULL",SUBSTITUTE(I82&amp;"",",","."))&amp;", "&amp;IF(J82&amp;""="","NULL",SUBSTITUTE(J82&amp;"",",","."))&amp;", "&amp;IF(UPPER(TRIM(K82&amp;""))="SI","TRUE","FALSE")&amp;", 1"&amp;" WHERE NOT EXISTS (SELECT 1 FROM cli_direcciones x WHERE x.id_cliente = "&amp;"(SELECT id FROM cli_clientes WHERE numero_documento = '"&amp;SUBSTITUTE(TRIM(A82),"'","''")&amp;"' AND estado = 1 LIMIT 1)"&amp;" AND upper(x.direccion) = upper("&amp;IF(TRIM(D82&amp;"")="","NULL","'"&amp;SUBSTITUTE(TRIM(D82),"'","''")&amp;"'")&amp;"));")</f>
        <v/>
      </c>
    </row>
    <row r="83" ht="15.75" customHeight="1" s="64">
      <c r="A83" s="23" t="n"/>
      <c r="B83" s="25">
        <f t="array" ref="B83">IF(A83="","",IFERROR(IF(INDEX(Clientes!$D$5:$D$549,MATCH(A83,Clientes!$C$5:$C$549,0))&lt;&gt;"",INDEX(Clientes!$D$5:$D$549,MATCH(A83,Clientes!$C$5:$C$549,0)),TRIM(INDEX(Clientes!$E$5:$E$549,MATCH(A83,Clientes!$C$5:$C$549,0))&amp;" "&amp;INDEX(Clientes!$F$5:$F$549,MATCH(A83,Clientes!$C$5:$C$549,0)))),"NO EXISTE en Clientes"))</f>
        <v/>
      </c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>
        <f>IF(AND(A83="",D83=""),"",IF(A83="","FALTA doc. cliente",IF(B83="NO EXISTE en Clientes","CLIENTE no está en hoja Clientes",IF(D83="","FALTA dirección",IF(AND(H83&lt;&gt;"",OR(F83="",G83="")),"Distrito requiere departamento y provincia",IF(AND(G83&lt;&gt;"",F83=""),"Provincia requiere departamento",IF((I83&lt;&gt;"")&lt;&gt;(J83&lt;&gt;""),"Latitud y longitud van juntas","OK")))))))</f>
        <v/>
      </c>
      <c r="M83" s="28">
        <f>IF(L83&lt;&gt;"OK","","INSERT INTO cli_direcciones (id_cliente, descripcion, direccion, referencia, id_departamento, id_provincia, id_distrito, latitud, longitud, es_principal, estado) SELECT "&amp;"(SELECT id FROM cli_clientes WHERE numero_documento = '"&amp;SUBSTITUTE(TRIM(A83),"'","''")&amp;"' AND estado = 1 LIMIT 1)"&amp;", "&amp;IF(TRIM(C83&amp;"")="","NULL","'"&amp;SUBSTITUTE(TRIM(C83),"'","''")&amp;"'")&amp;", "&amp;IF(TRIM(D83&amp;"")="","NULL","'"&amp;SUBSTITUTE(TRIM(D83),"'","''")&amp;"'")&amp;", "&amp;IF(TRIM(E83&amp;"")="","NULL","'"&amp;SUBSTITUTE(TRIM(E83),"'","''")&amp;"'")&amp;", "&amp;IF(TRIM(F83&amp;"")="","NULL","(SELECT id FROM gen_departamento WHERE upper(nombre) = upper('"&amp;SUBSTITUTE(TRIM(F83),"'","''")&amp;"') AND estado = 1 LIMIT 1)")&amp;", "&amp;IF(OR(TRIM(F83&amp;"")="",TRIM(G83&amp;"")=""),"NULL","(SELECT p.id FROM gen_provincia p JOIN gen_departamento dp ON dp.id = p.id_departamento WHERE upper(p.nombre) = upper('"&amp;SUBSTITUTE(TRIM(G83),"'","''")&amp;"') AND upper(dp.nombre) = upper('"&amp;SUBSTITUTE(TRIM(F83),"'","''")&amp;"') AND p.estado = 1 LIMIT 1)")&amp;", "&amp;IF(OR(TRIM(F83&amp;"")="",TRIM(G83&amp;"")="",TRIM(H83&amp;"")=""),"NULL","(SELECT d.id FROM gen_distrito d JOIN gen_provincia p ON p.id = d.id_provincia JOIN gen_departamento dp ON dp.id = p.id_departamento WHERE upper(d.nombre) = upper('"&amp;SUBSTITUTE(TRIM(H83),"'","''")&amp;"') AND upper(p.nombre) = upper('"&amp;SUBSTITUTE(TRIM(G83),"'","''")&amp;"') AND upper(dp.nombre) = upper('"&amp;SUBSTITUTE(TRIM(F83),"'","''")&amp;"') AND d.estado = 1 LIMIT 1)")&amp;", "&amp;IF(I83&amp;""="","NULL",SUBSTITUTE(I83&amp;"",",","."))&amp;", "&amp;IF(J83&amp;""="","NULL",SUBSTITUTE(J83&amp;"",",","."))&amp;", "&amp;IF(UPPER(TRIM(K83&amp;""))="SI","TRUE","FALSE")&amp;", 1"&amp;" WHERE NOT EXISTS (SELECT 1 FROM cli_direcciones x WHERE x.id_cliente = "&amp;"(SELECT id FROM cli_clientes WHERE numero_documento = '"&amp;SUBSTITUTE(TRIM(A83),"'","''")&amp;"' AND estado = 1 LIMIT 1)"&amp;" AND upper(x.direccion) = upper("&amp;IF(TRIM(D83&amp;"")="","NULL","'"&amp;SUBSTITUTE(TRIM(D83),"'","''")&amp;"'")&amp;"));")</f>
        <v/>
      </c>
    </row>
    <row r="84" ht="15.75" customHeight="1" s="64">
      <c r="A84" s="23" t="n"/>
      <c r="B84" s="25">
        <f t="array" ref="B84">IF(A84="","",IFERROR(IF(INDEX(Clientes!$D$5:$D$549,MATCH(A84,Clientes!$C$5:$C$549,0))&lt;&gt;"",INDEX(Clientes!$D$5:$D$549,MATCH(A84,Clientes!$C$5:$C$549,0)),TRIM(INDEX(Clientes!$E$5:$E$549,MATCH(A84,Clientes!$C$5:$C$549,0))&amp;" "&amp;INDEX(Clientes!$F$5:$F$549,MATCH(A84,Clientes!$C$5:$C$549,0)))),"NO EXISTE en Clientes"))</f>
        <v/>
      </c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>
        <f>IF(AND(A84="",D84=""),"",IF(A84="","FALTA doc. cliente",IF(B84="NO EXISTE en Clientes","CLIENTE no está en hoja Clientes",IF(D84="","FALTA dirección",IF(AND(H84&lt;&gt;"",OR(F84="",G84="")),"Distrito requiere departamento y provincia",IF(AND(G84&lt;&gt;"",F84=""),"Provincia requiere departamento",IF((I84&lt;&gt;"")&lt;&gt;(J84&lt;&gt;""),"Latitud y longitud van juntas","OK")))))))</f>
        <v/>
      </c>
      <c r="M84" s="28">
        <f>IF(L84&lt;&gt;"OK","","INSERT INTO cli_direcciones (id_cliente, descripcion, direccion, referencia, id_departamento, id_provincia, id_distrito, latitud, longitud, es_principal, estado) SELECT "&amp;"(SELECT id FROM cli_clientes WHERE numero_documento = '"&amp;SUBSTITUTE(TRIM(A84),"'","''")&amp;"' AND estado = 1 LIMIT 1)"&amp;", "&amp;IF(TRIM(C84&amp;"")="","NULL","'"&amp;SUBSTITUTE(TRIM(C84),"'","''")&amp;"'")&amp;", "&amp;IF(TRIM(D84&amp;"")="","NULL","'"&amp;SUBSTITUTE(TRIM(D84),"'","''")&amp;"'")&amp;", "&amp;IF(TRIM(E84&amp;"")="","NULL","'"&amp;SUBSTITUTE(TRIM(E84),"'","''")&amp;"'")&amp;", "&amp;IF(TRIM(F84&amp;"")="","NULL","(SELECT id FROM gen_departamento WHERE upper(nombre) = upper('"&amp;SUBSTITUTE(TRIM(F84),"'","''")&amp;"') AND estado = 1 LIMIT 1)")&amp;", "&amp;IF(OR(TRIM(F84&amp;"")="",TRIM(G84&amp;"")=""),"NULL","(SELECT p.id FROM gen_provincia p JOIN gen_departamento dp ON dp.id = p.id_departamento WHERE upper(p.nombre) = upper('"&amp;SUBSTITUTE(TRIM(G84),"'","''")&amp;"') AND upper(dp.nombre) = upper('"&amp;SUBSTITUTE(TRIM(F84),"'","''")&amp;"') AND p.estado = 1 LIMIT 1)")&amp;", "&amp;IF(OR(TRIM(F84&amp;"")="",TRIM(G84&amp;"")="",TRIM(H84&amp;"")=""),"NULL","(SELECT d.id FROM gen_distrito d JOIN gen_provincia p ON p.id = d.id_provincia JOIN gen_departamento dp ON dp.id = p.id_departamento WHERE upper(d.nombre) = upper('"&amp;SUBSTITUTE(TRIM(H84),"'","''")&amp;"') AND upper(p.nombre) = upper('"&amp;SUBSTITUTE(TRIM(G84),"'","''")&amp;"') AND upper(dp.nombre) = upper('"&amp;SUBSTITUTE(TRIM(F84),"'","''")&amp;"') AND d.estado = 1 LIMIT 1)")&amp;", "&amp;IF(I84&amp;""="","NULL",SUBSTITUTE(I84&amp;"",",","."))&amp;", "&amp;IF(J84&amp;""="","NULL",SUBSTITUTE(J84&amp;"",",","."))&amp;", "&amp;IF(UPPER(TRIM(K84&amp;""))="SI","TRUE","FALSE")&amp;", 1"&amp;" WHERE NOT EXISTS (SELECT 1 FROM cli_direcciones x WHERE x.id_cliente = "&amp;"(SELECT id FROM cli_clientes WHERE numero_documento = '"&amp;SUBSTITUTE(TRIM(A84),"'","''")&amp;"' AND estado = 1 LIMIT 1)"&amp;" AND upper(x.direccion) = upper("&amp;IF(TRIM(D84&amp;"")="","NULL","'"&amp;SUBSTITUTE(TRIM(D84),"'","''")&amp;"'")&amp;"));")</f>
        <v/>
      </c>
    </row>
    <row r="85" ht="15.75" customHeight="1" s="64">
      <c r="A85" s="23" t="n"/>
      <c r="B85" s="25">
        <f t="array" ref="B85">IF(A85="","",IFERROR(IF(INDEX(Clientes!$D$5:$D$549,MATCH(A85,Clientes!$C$5:$C$549,0))&lt;&gt;"",INDEX(Clientes!$D$5:$D$549,MATCH(A85,Clientes!$C$5:$C$549,0)),TRIM(INDEX(Clientes!$E$5:$E$549,MATCH(A85,Clientes!$C$5:$C$549,0))&amp;" "&amp;INDEX(Clientes!$F$5:$F$549,MATCH(A85,Clientes!$C$5:$C$549,0)))),"NO EXISTE en Clientes"))</f>
        <v/>
      </c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>
        <f>IF(AND(A85="",D85=""),"",IF(A85="","FALTA doc. cliente",IF(B85="NO EXISTE en Clientes","CLIENTE no está en hoja Clientes",IF(D85="","FALTA dirección",IF(AND(H85&lt;&gt;"",OR(F85="",G85="")),"Distrito requiere departamento y provincia",IF(AND(G85&lt;&gt;"",F85=""),"Provincia requiere departamento",IF((I85&lt;&gt;"")&lt;&gt;(J85&lt;&gt;""),"Latitud y longitud van juntas","OK")))))))</f>
        <v/>
      </c>
      <c r="M85" s="28">
        <f>IF(L85&lt;&gt;"OK","","INSERT INTO cli_direcciones (id_cliente, descripcion, direccion, referencia, id_departamento, id_provincia, id_distrito, latitud, longitud, es_principal, estado) SELECT "&amp;"(SELECT id FROM cli_clientes WHERE numero_documento = '"&amp;SUBSTITUTE(TRIM(A85),"'","''")&amp;"' AND estado = 1 LIMIT 1)"&amp;", "&amp;IF(TRIM(C85&amp;"")="","NULL","'"&amp;SUBSTITUTE(TRIM(C85),"'","''")&amp;"'")&amp;", "&amp;IF(TRIM(D85&amp;"")="","NULL","'"&amp;SUBSTITUTE(TRIM(D85),"'","''")&amp;"'")&amp;", "&amp;IF(TRIM(E85&amp;"")="","NULL","'"&amp;SUBSTITUTE(TRIM(E85),"'","''")&amp;"'")&amp;", "&amp;IF(TRIM(F85&amp;"")="","NULL","(SELECT id FROM gen_departamento WHERE upper(nombre) = upper('"&amp;SUBSTITUTE(TRIM(F85),"'","''")&amp;"') AND estado = 1 LIMIT 1)")&amp;", "&amp;IF(OR(TRIM(F85&amp;"")="",TRIM(G85&amp;"")=""),"NULL","(SELECT p.id FROM gen_provincia p JOIN gen_departamento dp ON dp.id = p.id_departamento WHERE upper(p.nombre) = upper('"&amp;SUBSTITUTE(TRIM(G85),"'","''")&amp;"') AND upper(dp.nombre) = upper('"&amp;SUBSTITUTE(TRIM(F85),"'","''")&amp;"') AND p.estado = 1 LIMIT 1)")&amp;", "&amp;IF(OR(TRIM(F85&amp;"")="",TRIM(G85&amp;"")="",TRIM(H85&amp;"")=""),"NULL","(SELECT d.id FROM gen_distrito d JOIN gen_provincia p ON p.id = d.id_provincia JOIN gen_departamento dp ON dp.id = p.id_departamento WHERE upper(d.nombre) = upper('"&amp;SUBSTITUTE(TRIM(H85),"'","''")&amp;"') AND upper(p.nombre) = upper('"&amp;SUBSTITUTE(TRIM(G85),"'","''")&amp;"') AND upper(dp.nombre) = upper('"&amp;SUBSTITUTE(TRIM(F85),"'","''")&amp;"') AND d.estado = 1 LIMIT 1)")&amp;", "&amp;IF(I85&amp;""="","NULL",SUBSTITUTE(I85&amp;"",",","."))&amp;", "&amp;IF(J85&amp;""="","NULL",SUBSTITUTE(J85&amp;"",",","."))&amp;", "&amp;IF(UPPER(TRIM(K85&amp;""))="SI","TRUE","FALSE")&amp;", 1"&amp;" WHERE NOT EXISTS (SELECT 1 FROM cli_direcciones x WHERE x.id_cliente = "&amp;"(SELECT id FROM cli_clientes WHERE numero_documento = '"&amp;SUBSTITUTE(TRIM(A85),"'","''")&amp;"' AND estado = 1 LIMIT 1)"&amp;" AND upper(x.direccion) = upper("&amp;IF(TRIM(D85&amp;"")="","NULL","'"&amp;SUBSTITUTE(TRIM(D85),"'","''")&amp;"'")&amp;"));")</f>
        <v/>
      </c>
    </row>
    <row r="86" ht="15.75" customHeight="1" s="64">
      <c r="A86" s="23" t="n"/>
      <c r="B86" s="25">
        <f t="array" ref="B86">IF(A86="","",IFERROR(IF(INDEX(Clientes!$D$5:$D$549,MATCH(A86,Clientes!$C$5:$C$549,0))&lt;&gt;"",INDEX(Clientes!$D$5:$D$549,MATCH(A86,Clientes!$C$5:$C$549,0)),TRIM(INDEX(Clientes!$E$5:$E$549,MATCH(A86,Clientes!$C$5:$C$549,0))&amp;" "&amp;INDEX(Clientes!$F$5:$F$549,MATCH(A86,Clientes!$C$5:$C$549,0)))),"NO EXISTE en Clientes"))</f>
        <v/>
      </c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>
        <f>IF(AND(A86="",D86=""),"",IF(A86="","FALTA doc. cliente",IF(B86="NO EXISTE en Clientes","CLIENTE no está en hoja Clientes",IF(D86="","FALTA dirección",IF(AND(H86&lt;&gt;"",OR(F86="",G86="")),"Distrito requiere departamento y provincia",IF(AND(G86&lt;&gt;"",F86=""),"Provincia requiere departamento",IF((I86&lt;&gt;"")&lt;&gt;(J86&lt;&gt;""),"Latitud y longitud van juntas","OK")))))))</f>
        <v/>
      </c>
      <c r="M86" s="28">
        <f>IF(L86&lt;&gt;"OK","","INSERT INTO cli_direcciones (id_cliente, descripcion, direccion, referencia, id_departamento, id_provincia, id_distrito, latitud, longitud, es_principal, estado) SELECT "&amp;"(SELECT id FROM cli_clientes WHERE numero_documento = '"&amp;SUBSTITUTE(TRIM(A86),"'","''")&amp;"' AND estado = 1 LIMIT 1)"&amp;", "&amp;IF(TRIM(C86&amp;"")="","NULL","'"&amp;SUBSTITUTE(TRIM(C86),"'","''")&amp;"'")&amp;", "&amp;IF(TRIM(D86&amp;"")="","NULL","'"&amp;SUBSTITUTE(TRIM(D86),"'","''")&amp;"'")&amp;", "&amp;IF(TRIM(E86&amp;"")="","NULL","'"&amp;SUBSTITUTE(TRIM(E86),"'","''")&amp;"'")&amp;", "&amp;IF(TRIM(F86&amp;"")="","NULL","(SELECT id FROM gen_departamento WHERE upper(nombre) = upper('"&amp;SUBSTITUTE(TRIM(F86),"'","''")&amp;"') AND estado = 1 LIMIT 1)")&amp;", "&amp;IF(OR(TRIM(F86&amp;"")="",TRIM(G86&amp;"")=""),"NULL","(SELECT p.id FROM gen_provincia p JOIN gen_departamento dp ON dp.id = p.id_departamento WHERE upper(p.nombre) = upper('"&amp;SUBSTITUTE(TRIM(G86),"'","''")&amp;"') AND upper(dp.nombre) = upper('"&amp;SUBSTITUTE(TRIM(F86),"'","''")&amp;"') AND p.estado = 1 LIMIT 1)")&amp;", "&amp;IF(OR(TRIM(F86&amp;"")="",TRIM(G86&amp;"")="",TRIM(H86&amp;"")=""),"NULL","(SELECT d.id FROM gen_distrito d JOIN gen_provincia p ON p.id = d.id_provincia JOIN gen_departamento dp ON dp.id = p.id_departamento WHERE upper(d.nombre) = upper('"&amp;SUBSTITUTE(TRIM(H86),"'","''")&amp;"') AND upper(p.nombre) = upper('"&amp;SUBSTITUTE(TRIM(G86),"'","''")&amp;"') AND upper(dp.nombre) = upper('"&amp;SUBSTITUTE(TRIM(F86),"'","''")&amp;"') AND d.estado = 1 LIMIT 1)")&amp;", "&amp;IF(I86&amp;""="","NULL",SUBSTITUTE(I86&amp;"",",","."))&amp;", "&amp;IF(J86&amp;""="","NULL",SUBSTITUTE(J86&amp;"",",","."))&amp;", "&amp;IF(UPPER(TRIM(K86&amp;""))="SI","TRUE","FALSE")&amp;", 1"&amp;" WHERE NOT EXISTS (SELECT 1 FROM cli_direcciones x WHERE x.id_cliente = "&amp;"(SELECT id FROM cli_clientes WHERE numero_documento = '"&amp;SUBSTITUTE(TRIM(A86),"'","''")&amp;"' AND estado = 1 LIMIT 1)"&amp;" AND upper(x.direccion) = upper("&amp;IF(TRIM(D86&amp;"")="","NULL","'"&amp;SUBSTITUTE(TRIM(D86),"'","''")&amp;"'")&amp;"));")</f>
        <v/>
      </c>
    </row>
    <row r="87" ht="15.75" customHeight="1" s="64">
      <c r="A87" s="23" t="n"/>
      <c r="B87" s="25">
        <f t="array" ref="B87">IF(A87="","",IFERROR(IF(INDEX(Clientes!$D$5:$D$549,MATCH(A87,Clientes!$C$5:$C$549,0))&lt;&gt;"",INDEX(Clientes!$D$5:$D$549,MATCH(A87,Clientes!$C$5:$C$549,0)),TRIM(INDEX(Clientes!$E$5:$E$549,MATCH(A87,Clientes!$C$5:$C$549,0))&amp;" "&amp;INDEX(Clientes!$F$5:$F$549,MATCH(A87,Clientes!$C$5:$C$549,0)))),"NO EXISTE en Clientes"))</f>
        <v/>
      </c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>
        <f>IF(AND(A87="",D87=""),"",IF(A87="","FALTA doc. cliente",IF(B87="NO EXISTE en Clientes","CLIENTE no está en hoja Clientes",IF(D87="","FALTA dirección",IF(AND(H87&lt;&gt;"",OR(F87="",G87="")),"Distrito requiere departamento y provincia",IF(AND(G87&lt;&gt;"",F87=""),"Provincia requiere departamento",IF((I87&lt;&gt;"")&lt;&gt;(J87&lt;&gt;""),"Latitud y longitud van juntas","OK")))))))</f>
        <v/>
      </c>
      <c r="M87" s="28">
        <f>IF(L87&lt;&gt;"OK","","INSERT INTO cli_direcciones (id_cliente, descripcion, direccion, referencia, id_departamento, id_provincia, id_distrito, latitud, longitud, es_principal, estado) SELECT "&amp;"(SELECT id FROM cli_clientes WHERE numero_documento = '"&amp;SUBSTITUTE(TRIM(A87),"'","''")&amp;"' AND estado = 1 LIMIT 1)"&amp;", "&amp;IF(TRIM(C87&amp;"")="","NULL","'"&amp;SUBSTITUTE(TRIM(C87),"'","''")&amp;"'")&amp;", "&amp;IF(TRIM(D87&amp;"")="","NULL","'"&amp;SUBSTITUTE(TRIM(D87),"'","''")&amp;"'")&amp;", "&amp;IF(TRIM(E87&amp;"")="","NULL","'"&amp;SUBSTITUTE(TRIM(E87),"'","''")&amp;"'")&amp;", "&amp;IF(TRIM(F87&amp;"")="","NULL","(SELECT id FROM gen_departamento WHERE upper(nombre) = upper('"&amp;SUBSTITUTE(TRIM(F87),"'","''")&amp;"') AND estado = 1 LIMIT 1)")&amp;", "&amp;IF(OR(TRIM(F87&amp;"")="",TRIM(G87&amp;"")=""),"NULL","(SELECT p.id FROM gen_provincia p JOIN gen_departamento dp ON dp.id = p.id_departamento WHERE upper(p.nombre) = upper('"&amp;SUBSTITUTE(TRIM(G87),"'","''")&amp;"') AND upper(dp.nombre) = upper('"&amp;SUBSTITUTE(TRIM(F87),"'","''")&amp;"') AND p.estado = 1 LIMIT 1)")&amp;", "&amp;IF(OR(TRIM(F87&amp;"")="",TRIM(G87&amp;"")="",TRIM(H87&amp;"")=""),"NULL","(SELECT d.id FROM gen_distrito d JOIN gen_provincia p ON p.id = d.id_provincia JOIN gen_departamento dp ON dp.id = p.id_departamento WHERE upper(d.nombre) = upper('"&amp;SUBSTITUTE(TRIM(H87),"'","''")&amp;"') AND upper(p.nombre) = upper('"&amp;SUBSTITUTE(TRIM(G87),"'","''")&amp;"') AND upper(dp.nombre) = upper('"&amp;SUBSTITUTE(TRIM(F87),"'","''")&amp;"') AND d.estado = 1 LIMIT 1)")&amp;", "&amp;IF(I87&amp;""="","NULL",SUBSTITUTE(I87&amp;"",",","."))&amp;", "&amp;IF(J87&amp;""="","NULL",SUBSTITUTE(J87&amp;"",",","."))&amp;", "&amp;IF(UPPER(TRIM(K87&amp;""))="SI","TRUE","FALSE")&amp;", 1"&amp;" WHERE NOT EXISTS (SELECT 1 FROM cli_direcciones x WHERE x.id_cliente = "&amp;"(SELECT id FROM cli_clientes WHERE numero_documento = '"&amp;SUBSTITUTE(TRIM(A87),"'","''")&amp;"' AND estado = 1 LIMIT 1)"&amp;" AND upper(x.direccion) = upper("&amp;IF(TRIM(D87&amp;"")="","NULL","'"&amp;SUBSTITUTE(TRIM(D87),"'","''")&amp;"'")&amp;"));")</f>
        <v/>
      </c>
    </row>
    <row r="88" ht="15.75" customHeight="1" s="64">
      <c r="A88" s="23" t="n"/>
      <c r="B88" s="25">
        <f t="array" ref="B88">IF(A88="","",IFERROR(IF(INDEX(Clientes!$D$5:$D$549,MATCH(A88,Clientes!$C$5:$C$549,0))&lt;&gt;"",INDEX(Clientes!$D$5:$D$549,MATCH(A88,Clientes!$C$5:$C$549,0)),TRIM(INDEX(Clientes!$E$5:$E$549,MATCH(A88,Clientes!$C$5:$C$549,0))&amp;" "&amp;INDEX(Clientes!$F$5:$F$549,MATCH(A88,Clientes!$C$5:$C$549,0)))),"NO EXISTE en Clientes"))</f>
        <v/>
      </c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>
        <f>IF(AND(A88="",D88=""),"",IF(A88="","FALTA doc. cliente",IF(B88="NO EXISTE en Clientes","CLIENTE no está en hoja Clientes",IF(D88="","FALTA dirección",IF(AND(H88&lt;&gt;"",OR(F88="",G88="")),"Distrito requiere departamento y provincia",IF(AND(G88&lt;&gt;"",F88=""),"Provincia requiere departamento",IF((I88&lt;&gt;"")&lt;&gt;(J88&lt;&gt;""),"Latitud y longitud van juntas","OK")))))))</f>
        <v/>
      </c>
      <c r="M88" s="28">
        <f>IF(L88&lt;&gt;"OK","","INSERT INTO cli_direcciones (id_cliente, descripcion, direccion, referencia, id_departamento, id_provincia, id_distrito, latitud, longitud, es_principal, estado) SELECT "&amp;"(SELECT id FROM cli_clientes WHERE numero_documento = '"&amp;SUBSTITUTE(TRIM(A88),"'","''")&amp;"' AND estado = 1 LIMIT 1)"&amp;", "&amp;IF(TRIM(C88&amp;"")="","NULL","'"&amp;SUBSTITUTE(TRIM(C88),"'","''")&amp;"'")&amp;", "&amp;IF(TRIM(D88&amp;"")="","NULL","'"&amp;SUBSTITUTE(TRIM(D88),"'","''")&amp;"'")&amp;", "&amp;IF(TRIM(E88&amp;"")="","NULL","'"&amp;SUBSTITUTE(TRIM(E88),"'","''")&amp;"'")&amp;", "&amp;IF(TRIM(F88&amp;"")="","NULL","(SELECT id FROM gen_departamento WHERE upper(nombre) = upper('"&amp;SUBSTITUTE(TRIM(F88),"'","''")&amp;"') AND estado = 1 LIMIT 1)")&amp;", "&amp;IF(OR(TRIM(F88&amp;"")="",TRIM(G88&amp;"")=""),"NULL","(SELECT p.id FROM gen_provincia p JOIN gen_departamento dp ON dp.id = p.id_departamento WHERE upper(p.nombre) = upper('"&amp;SUBSTITUTE(TRIM(G88),"'","''")&amp;"') AND upper(dp.nombre) = upper('"&amp;SUBSTITUTE(TRIM(F88),"'","''")&amp;"') AND p.estado = 1 LIMIT 1)")&amp;", "&amp;IF(OR(TRIM(F88&amp;"")="",TRIM(G88&amp;"")="",TRIM(H88&amp;"")=""),"NULL","(SELECT d.id FROM gen_distrito d JOIN gen_provincia p ON p.id = d.id_provincia JOIN gen_departamento dp ON dp.id = p.id_departamento WHERE upper(d.nombre) = upper('"&amp;SUBSTITUTE(TRIM(H88),"'","''")&amp;"') AND upper(p.nombre) = upper('"&amp;SUBSTITUTE(TRIM(G88),"'","''")&amp;"') AND upper(dp.nombre) = upper('"&amp;SUBSTITUTE(TRIM(F88),"'","''")&amp;"') AND d.estado = 1 LIMIT 1)")&amp;", "&amp;IF(I88&amp;""="","NULL",SUBSTITUTE(I88&amp;"",",","."))&amp;", "&amp;IF(J88&amp;""="","NULL",SUBSTITUTE(J88&amp;"",",","."))&amp;", "&amp;IF(UPPER(TRIM(K88&amp;""))="SI","TRUE","FALSE")&amp;", 1"&amp;" WHERE NOT EXISTS (SELECT 1 FROM cli_direcciones x WHERE x.id_cliente = "&amp;"(SELECT id FROM cli_clientes WHERE numero_documento = '"&amp;SUBSTITUTE(TRIM(A88),"'","''")&amp;"' AND estado = 1 LIMIT 1)"&amp;" AND upper(x.direccion) = upper("&amp;IF(TRIM(D88&amp;"")="","NULL","'"&amp;SUBSTITUTE(TRIM(D88),"'","''")&amp;"'")&amp;"));")</f>
        <v/>
      </c>
    </row>
    <row r="89" ht="15.75" customHeight="1" s="64">
      <c r="A89" s="23" t="n"/>
      <c r="B89" s="25">
        <f t="array" ref="B89">IF(A89="","",IFERROR(IF(INDEX(Clientes!$D$5:$D$549,MATCH(A89,Clientes!$C$5:$C$549,0))&lt;&gt;"",INDEX(Clientes!$D$5:$D$549,MATCH(A89,Clientes!$C$5:$C$549,0)),TRIM(INDEX(Clientes!$E$5:$E$549,MATCH(A89,Clientes!$C$5:$C$549,0))&amp;" "&amp;INDEX(Clientes!$F$5:$F$549,MATCH(A89,Clientes!$C$5:$C$549,0)))),"NO EXISTE en Clientes"))</f>
        <v/>
      </c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>
        <f>IF(AND(A89="",D89=""),"",IF(A89="","FALTA doc. cliente",IF(B89="NO EXISTE en Clientes","CLIENTE no está en hoja Clientes",IF(D89="","FALTA dirección",IF(AND(H89&lt;&gt;"",OR(F89="",G89="")),"Distrito requiere departamento y provincia",IF(AND(G89&lt;&gt;"",F89=""),"Provincia requiere departamento",IF((I89&lt;&gt;"")&lt;&gt;(J89&lt;&gt;""),"Latitud y longitud van juntas","OK")))))))</f>
        <v/>
      </c>
      <c r="M89" s="28">
        <f>IF(L89&lt;&gt;"OK","","INSERT INTO cli_direcciones (id_cliente, descripcion, direccion, referencia, id_departamento, id_provincia, id_distrito, latitud, longitud, es_principal, estado) SELECT "&amp;"(SELECT id FROM cli_clientes WHERE numero_documento = '"&amp;SUBSTITUTE(TRIM(A89),"'","''")&amp;"' AND estado = 1 LIMIT 1)"&amp;", "&amp;IF(TRIM(C89&amp;"")="","NULL","'"&amp;SUBSTITUTE(TRIM(C89),"'","''")&amp;"'")&amp;", "&amp;IF(TRIM(D89&amp;"")="","NULL","'"&amp;SUBSTITUTE(TRIM(D89),"'","''")&amp;"'")&amp;", "&amp;IF(TRIM(E89&amp;"")="","NULL","'"&amp;SUBSTITUTE(TRIM(E89),"'","''")&amp;"'")&amp;", "&amp;IF(TRIM(F89&amp;"")="","NULL","(SELECT id FROM gen_departamento WHERE upper(nombre) = upper('"&amp;SUBSTITUTE(TRIM(F89),"'","''")&amp;"') AND estado = 1 LIMIT 1)")&amp;", "&amp;IF(OR(TRIM(F89&amp;"")="",TRIM(G89&amp;"")=""),"NULL","(SELECT p.id FROM gen_provincia p JOIN gen_departamento dp ON dp.id = p.id_departamento WHERE upper(p.nombre) = upper('"&amp;SUBSTITUTE(TRIM(G89),"'","''")&amp;"') AND upper(dp.nombre) = upper('"&amp;SUBSTITUTE(TRIM(F89),"'","''")&amp;"') AND p.estado = 1 LIMIT 1)")&amp;", "&amp;IF(OR(TRIM(F89&amp;"")="",TRIM(G89&amp;"")="",TRIM(H89&amp;"")=""),"NULL","(SELECT d.id FROM gen_distrito d JOIN gen_provincia p ON p.id = d.id_provincia JOIN gen_departamento dp ON dp.id = p.id_departamento WHERE upper(d.nombre) = upper('"&amp;SUBSTITUTE(TRIM(H89),"'","''")&amp;"') AND upper(p.nombre) = upper('"&amp;SUBSTITUTE(TRIM(G89),"'","''")&amp;"') AND upper(dp.nombre) = upper('"&amp;SUBSTITUTE(TRIM(F89),"'","''")&amp;"') AND d.estado = 1 LIMIT 1)")&amp;", "&amp;IF(I89&amp;""="","NULL",SUBSTITUTE(I89&amp;"",",","."))&amp;", "&amp;IF(J89&amp;""="","NULL",SUBSTITUTE(J89&amp;"",",","."))&amp;", "&amp;IF(UPPER(TRIM(K89&amp;""))="SI","TRUE","FALSE")&amp;", 1"&amp;" WHERE NOT EXISTS (SELECT 1 FROM cli_direcciones x WHERE x.id_cliente = "&amp;"(SELECT id FROM cli_clientes WHERE numero_documento = '"&amp;SUBSTITUTE(TRIM(A89),"'","''")&amp;"' AND estado = 1 LIMIT 1)"&amp;" AND upper(x.direccion) = upper("&amp;IF(TRIM(D89&amp;"")="","NULL","'"&amp;SUBSTITUTE(TRIM(D89),"'","''")&amp;"'")&amp;"));")</f>
        <v/>
      </c>
    </row>
    <row r="90" ht="15.75" customHeight="1" s="64">
      <c r="A90" s="23" t="n"/>
      <c r="B90" s="25">
        <f t="array" ref="B90">IF(A90="","",IFERROR(IF(INDEX(Clientes!$D$5:$D$549,MATCH(A90,Clientes!$C$5:$C$549,0))&lt;&gt;"",INDEX(Clientes!$D$5:$D$549,MATCH(A90,Clientes!$C$5:$C$549,0)),TRIM(INDEX(Clientes!$E$5:$E$549,MATCH(A90,Clientes!$C$5:$C$549,0))&amp;" "&amp;INDEX(Clientes!$F$5:$F$549,MATCH(A90,Clientes!$C$5:$C$549,0)))),"NO EXISTE en Clientes"))</f>
        <v/>
      </c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>
        <f>IF(AND(A90="",D90=""),"",IF(A90="","FALTA doc. cliente",IF(B90="NO EXISTE en Clientes","CLIENTE no está en hoja Clientes",IF(D90="","FALTA dirección",IF(AND(H90&lt;&gt;"",OR(F90="",G90="")),"Distrito requiere departamento y provincia",IF(AND(G90&lt;&gt;"",F90=""),"Provincia requiere departamento",IF((I90&lt;&gt;"")&lt;&gt;(J90&lt;&gt;""),"Latitud y longitud van juntas","OK")))))))</f>
        <v/>
      </c>
      <c r="M90" s="28">
        <f>IF(L90&lt;&gt;"OK","","INSERT INTO cli_direcciones (id_cliente, descripcion, direccion, referencia, id_departamento, id_provincia, id_distrito, latitud, longitud, es_principal, estado) SELECT "&amp;"(SELECT id FROM cli_clientes WHERE numero_documento = '"&amp;SUBSTITUTE(TRIM(A90),"'","''")&amp;"' AND estado = 1 LIMIT 1)"&amp;", "&amp;IF(TRIM(C90&amp;"")="","NULL","'"&amp;SUBSTITUTE(TRIM(C90),"'","''")&amp;"'")&amp;", "&amp;IF(TRIM(D90&amp;"")="","NULL","'"&amp;SUBSTITUTE(TRIM(D90),"'","''")&amp;"'")&amp;", "&amp;IF(TRIM(E90&amp;"")="","NULL","'"&amp;SUBSTITUTE(TRIM(E90),"'","''")&amp;"'")&amp;", "&amp;IF(TRIM(F90&amp;"")="","NULL","(SELECT id FROM gen_departamento WHERE upper(nombre) = upper('"&amp;SUBSTITUTE(TRIM(F90),"'","''")&amp;"') AND estado = 1 LIMIT 1)")&amp;", "&amp;IF(OR(TRIM(F90&amp;"")="",TRIM(G90&amp;"")=""),"NULL","(SELECT p.id FROM gen_provincia p JOIN gen_departamento dp ON dp.id = p.id_departamento WHERE upper(p.nombre) = upper('"&amp;SUBSTITUTE(TRIM(G90),"'","''")&amp;"') AND upper(dp.nombre) = upper('"&amp;SUBSTITUTE(TRIM(F90),"'","''")&amp;"') AND p.estado = 1 LIMIT 1)")&amp;", "&amp;IF(OR(TRIM(F90&amp;"")="",TRIM(G90&amp;"")="",TRIM(H90&amp;"")=""),"NULL","(SELECT d.id FROM gen_distrito d JOIN gen_provincia p ON p.id = d.id_provincia JOIN gen_departamento dp ON dp.id = p.id_departamento WHERE upper(d.nombre) = upper('"&amp;SUBSTITUTE(TRIM(H90),"'","''")&amp;"') AND upper(p.nombre) = upper('"&amp;SUBSTITUTE(TRIM(G90),"'","''")&amp;"') AND upper(dp.nombre) = upper('"&amp;SUBSTITUTE(TRIM(F90),"'","''")&amp;"') AND d.estado = 1 LIMIT 1)")&amp;", "&amp;IF(I90&amp;""="","NULL",SUBSTITUTE(I90&amp;"",",","."))&amp;", "&amp;IF(J90&amp;""="","NULL",SUBSTITUTE(J90&amp;"",",","."))&amp;", "&amp;IF(UPPER(TRIM(K90&amp;""))="SI","TRUE","FALSE")&amp;", 1"&amp;" WHERE NOT EXISTS (SELECT 1 FROM cli_direcciones x WHERE x.id_cliente = "&amp;"(SELECT id FROM cli_clientes WHERE numero_documento = '"&amp;SUBSTITUTE(TRIM(A90),"'","''")&amp;"' AND estado = 1 LIMIT 1)"&amp;" AND upper(x.direccion) = upper("&amp;IF(TRIM(D90&amp;"")="","NULL","'"&amp;SUBSTITUTE(TRIM(D90),"'","''")&amp;"'")&amp;"));")</f>
        <v/>
      </c>
    </row>
    <row r="91" ht="15.75" customHeight="1" s="64">
      <c r="A91" s="23" t="n"/>
      <c r="B91" s="25">
        <f t="array" ref="B91">IF(A91="","",IFERROR(IF(INDEX(Clientes!$D$5:$D$549,MATCH(A91,Clientes!$C$5:$C$549,0))&lt;&gt;"",INDEX(Clientes!$D$5:$D$549,MATCH(A91,Clientes!$C$5:$C$549,0)),TRIM(INDEX(Clientes!$E$5:$E$549,MATCH(A91,Clientes!$C$5:$C$549,0))&amp;" "&amp;INDEX(Clientes!$F$5:$F$549,MATCH(A91,Clientes!$C$5:$C$549,0)))),"NO EXISTE en Clientes"))</f>
        <v/>
      </c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>
        <f>IF(AND(A91="",D91=""),"",IF(A91="","FALTA doc. cliente",IF(B91="NO EXISTE en Clientes","CLIENTE no está en hoja Clientes",IF(D91="","FALTA dirección",IF(AND(H91&lt;&gt;"",OR(F91="",G91="")),"Distrito requiere departamento y provincia",IF(AND(G91&lt;&gt;"",F91=""),"Provincia requiere departamento",IF((I91&lt;&gt;"")&lt;&gt;(J91&lt;&gt;""),"Latitud y longitud van juntas","OK")))))))</f>
        <v/>
      </c>
      <c r="M91" s="28">
        <f>IF(L91&lt;&gt;"OK","","INSERT INTO cli_direcciones (id_cliente, descripcion, direccion, referencia, id_departamento, id_provincia, id_distrito, latitud, longitud, es_principal, estado) SELECT "&amp;"(SELECT id FROM cli_clientes WHERE numero_documento = '"&amp;SUBSTITUTE(TRIM(A91),"'","''")&amp;"' AND estado = 1 LIMIT 1)"&amp;", "&amp;IF(TRIM(C91&amp;"")="","NULL","'"&amp;SUBSTITUTE(TRIM(C91),"'","''")&amp;"'")&amp;", "&amp;IF(TRIM(D91&amp;"")="","NULL","'"&amp;SUBSTITUTE(TRIM(D91),"'","''")&amp;"'")&amp;", "&amp;IF(TRIM(E91&amp;"")="","NULL","'"&amp;SUBSTITUTE(TRIM(E91),"'","''")&amp;"'")&amp;", "&amp;IF(TRIM(F91&amp;"")="","NULL","(SELECT id FROM gen_departamento WHERE upper(nombre) = upper('"&amp;SUBSTITUTE(TRIM(F91),"'","''")&amp;"') AND estado = 1 LIMIT 1)")&amp;", "&amp;IF(OR(TRIM(F91&amp;"")="",TRIM(G91&amp;"")=""),"NULL","(SELECT p.id FROM gen_provincia p JOIN gen_departamento dp ON dp.id = p.id_departamento WHERE upper(p.nombre) = upper('"&amp;SUBSTITUTE(TRIM(G91),"'","''")&amp;"') AND upper(dp.nombre) = upper('"&amp;SUBSTITUTE(TRIM(F91),"'","''")&amp;"') AND p.estado = 1 LIMIT 1)")&amp;", "&amp;IF(OR(TRIM(F91&amp;"")="",TRIM(G91&amp;"")="",TRIM(H91&amp;"")=""),"NULL","(SELECT d.id FROM gen_distrito d JOIN gen_provincia p ON p.id = d.id_provincia JOIN gen_departamento dp ON dp.id = p.id_departamento WHERE upper(d.nombre) = upper('"&amp;SUBSTITUTE(TRIM(H91),"'","''")&amp;"') AND upper(p.nombre) = upper('"&amp;SUBSTITUTE(TRIM(G91),"'","''")&amp;"') AND upper(dp.nombre) = upper('"&amp;SUBSTITUTE(TRIM(F91),"'","''")&amp;"') AND d.estado = 1 LIMIT 1)")&amp;", "&amp;IF(I91&amp;""="","NULL",SUBSTITUTE(I91&amp;"",",","."))&amp;", "&amp;IF(J91&amp;""="","NULL",SUBSTITUTE(J91&amp;"",",","."))&amp;", "&amp;IF(UPPER(TRIM(K91&amp;""))="SI","TRUE","FALSE")&amp;", 1"&amp;" WHERE NOT EXISTS (SELECT 1 FROM cli_direcciones x WHERE x.id_cliente = "&amp;"(SELECT id FROM cli_clientes WHERE numero_documento = '"&amp;SUBSTITUTE(TRIM(A91),"'","''")&amp;"' AND estado = 1 LIMIT 1)"&amp;" AND upper(x.direccion) = upper("&amp;IF(TRIM(D91&amp;"")="","NULL","'"&amp;SUBSTITUTE(TRIM(D91),"'","''")&amp;"'")&amp;"));")</f>
        <v/>
      </c>
    </row>
    <row r="92" ht="15.75" customHeight="1" s="64">
      <c r="A92" s="23" t="n"/>
      <c r="B92" s="25">
        <f t="array" ref="B92">IF(A92="","",IFERROR(IF(INDEX(Clientes!$D$5:$D$549,MATCH(A92,Clientes!$C$5:$C$549,0))&lt;&gt;"",INDEX(Clientes!$D$5:$D$549,MATCH(A92,Clientes!$C$5:$C$549,0)),TRIM(INDEX(Clientes!$E$5:$E$549,MATCH(A92,Clientes!$C$5:$C$549,0))&amp;" "&amp;INDEX(Clientes!$F$5:$F$549,MATCH(A92,Clientes!$C$5:$C$549,0)))),"NO EXISTE en Clientes"))</f>
        <v/>
      </c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>
        <f>IF(AND(A92="",D92=""),"",IF(A92="","FALTA doc. cliente",IF(B92="NO EXISTE en Clientes","CLIENTE no está en hoja Clientes",IF(D92="","FALTA dirección",IF(AND(H92&lt;&gt;"",OR(F92="",G92="")),"Distrito requiere departamento y provincia",IF(AND(G92&lt;&gt;"",F92=""),"Provincia requiere departamento",IF((I92&lt;&gt;"")&lt;&gt;(J92&lt;&gt;""),"Latitud y longitud van juntas","OK")))))))</f>
        <v/>
      </c>
      <c r="M92" s="28">
        <f>IF(L92&lt;&gt;"OK","","INSERT INTO cli_direcciones (id_cliente, descripcion, direccion, referencia, id_departamento, id_provincia, id_distrito, latitud, longitud, es_principal, estado) SELECT "&amp;"(SELECT id FROM cli_clientes WHERE numero_documento = '"&amp;SUBSTITUTE(TRIM(A92),"'","''")&amp;"' AND estado = 1 LIMIT 1)"&amp;", "&amp;IF(TRIM(C92&amp;"")="","NULL","'"&amp;SUBSTITUTE(TRIM(C92),"'","''")&amp;"'")&amp;", "&amp;IF(TRIM(D92&amp;"")="","NULL","'"&amp;SUBSTITUTE(TRIM(D92),"'","''")&amp;"'")&amp;", "&amp;IF(TRIM(E92&amp;"")="","NULL","'"&amp;SUBSTITUTE(TRIM(E92),"'","''")&amp;"'")&amp;", "&amp;IF(TRIM(F92&amp;"")="","NULL","(SELECT id FROM gen_departamento WHERE upper(nombre) = upper('"&amp;SUBSTITUTE(TRIM(F92),"'","''")&amp;"') AND estado = 1 LIMIT 1)")&amp;", "&amp;IF(OR(TRIM(F92&amp;"")="",TRIM(G92&amp;"")=""),"NULL","(SELECT p.id FROM gen_provincia p JOIN gen_departamento dp ON dp.id = p.id_departamento WHERE upper(p.nombre) = upper('"&amp;SUBSTITUTE(TRIM(G92),"'","''")&amp;"') AND upper(dp.nombre) = upper('"&amp;SUBSTITUTE(TRIM(F92),"'","''")&amp;"') AND p.estado = 1 LIMIT 1)")&amp;", "&amp;IF(OR(TRIM(F92&amp;"")="",TRIM(G92&amp;"")="",TRIM(H92&amp;"")=""),"NULL","(SELECT d.id FROM gen_distrito d JOIN gen_provincia p ON p.id = d.id_provincia JOIN gen_departamento dp ON dp.id = p.id_departamento WHERE upper(d.nombre) = upper('"&amp;SUBSTITUTE(TRIM(H92),"'","''")&amp;"') AND upper(p.nombre) = upper('"&amp;SUBSTITUTE(TRIM(G92),"'","''")&amp;"') AND upper(dp.nombre) = upper('"&amp;SUBSTITUTE(TRIM(F92),"'","''")&amp;"') AND d.estado = 1 LIMIT 1)")&amp;", "&amp;IF(I92&amp;""="","NULL",SUBSTITUTE(I92&amp;"",",","."))&amp;", "&amp;IF(J92&amp;""="","NULL",SUBSTITUTE(J92&amp;"",",","."))&amp;", "&amp;IF(UPPER(TRIM(K92&amp;""))="SI","TRUE","FALSE")&amp;", 1"&amp;" WHERE NOT EXISTS (SELECT 1 FROM cli_direcciones x WHERE x.id_cliente = "&amp;"(SELECT id FROM cli_clientes WHERE numero_documento = '"&amp;SUBSTITUTE(TRIM(A92),"'","''")&amp;"' AND estado = 1 LIMIT 1)"&amp;" AND upper(x.direccion) = upper("&amp;IF(TRIM(D92&amp;"")="","NULL","'"&amp;SUBSTITUTE(TRIM(D92),"'","''")&amp;"'")&amp;"));")</f>
        <v/>
      </c>
    </row>
    <row r="93" ht="15.75" customHeight="1" s="64">
      <c r="A93" s="23" t="n"/>
      <c r="B93" s="25">
        <f t="array" ref="B93">IF(A93="","",IFERROR(IF(INDEX(Clientes!$D$5:$D$549,MATCH(A93,Clientes!$C$5:$C$549,0))&lt;&gt;"",INDEX(Clientes!$D$5:$D$549,MATCH(A93,Clientes!$C$5:$C$549,0)),TRIM(INDEX(Clientes!$E$5:$E$549,MATCH(A93,Clientes!$C$5:$C$549,0))&amp;" "&amp;INDEX(Clientes!$F$5:$F$549,MATCH(A93,Clientes!$C$5:$C$549,0)))),"NO EXISTE en Clientes"))</f>
        <v/>
      </c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>
        <f>IF(AND(A93="",D93=""),"",IF(A93="","FALTA doc. cliente",IF(B93="NO EXISTE en Clientes","CLIENTE no está en hoja Clientes",IF(D93="","FALTA dirección",IF(AND(H93&lt;&gt;"",OR(F93="",G93="")),"Distrito requiere departamento y provincia",IF(AND(G93&lt;&gt;"",F93=""),"Provincia requiere departamento",IF((I93&lt;&gt;"")&lt;&gt;(J93&lt;&gt;""),"Latitud y longitud van juntas","OK")))))))</f>
        <v/>
      </c>
      <c r="M93" s="28">
        <f>IF(L93&lt;&gt;"OK","","INSERT INTO cli_direcciones (id_cliente, descripcion, direccion, referencia, id_departamento, id_provincia, id_distrito, latitud, longitud, es_principal, estado) SELECT "&amp;"(SELECT id FROM cli_clientes WHERE numero_documento = '"&amp;SUBSTITUTE(TRIM(A93),"'","''")&amp;"' AND estado = 1 LIMIT 1)"&amp;", "&amp;IF(TRIM(C93&amp;"")="","NULL","'"&amp;SUBSTITUTE(TRIM(C93),"'","''")&amp;"'")&amp;", "&amp;IF(TRIM(D93&amp;"")="","NULL","'"&amp;SUBSTITUTE(TRIM(D93),"'","''")&amp;"'")&amp;", "&amp;IF(TRIM(E93&amp;"")="","NULL","'"&amp;SUBSTITUTE(TRIM(E93),"'","''")&amp;"'")&amp;", "&amp;IF(TRIM(F93&amp;"")="","NULL","(SELECT id FROM gen_departamento WHERE upper(nombre) = upper('"&amp;SUBSTITUTE(TRIM(F93),"'","''")&amp;"') AND estado = 1 LIMIT 1)")&amp;", "&amp;IF(OR(TRIM(F93&amp;"")="",TRIM(G93&amp;"")=""),"NULL","(SELECT p.id FROM gen_provincia p JOIN gen_departamento dp ON dp.id = p.id_departamento WHERE upper(p.nombre) = upper('"&amp;SUBSTITUTE(TRIM(G93),"'","''")&amp;"') AND upper(dp.nombre) = upper('"&amp;SUBSTITUTE(TRIM(F93),"'","''")&amp;"') AND p.estado = 1 LIMIT 1)")&amp;", "&amp;IF(OR(TRIM(F93&amp;"")="",TRIM(G93&amp;"")="",TRIM(H93&amp;"")=""),"NULL","(SELECT d.id FROM gen_distrito d JOIN gen_provincia p ON p.id = d.id_provincia JOIN gen_departamento dp ON dp.id = p.id_departamento WHERE upper(d.nombre) = upper('"&amp;SUBSTITUTE(TRIM(H93),"'","''")&amp;"') AND upper(p.nombre) = upper('"&amp;SUBSTITUTE(TRIM(G93),"'","''")&amp;"') AND upper(dp.nombre) = upper('"&amp;SUBSTITUTE(TRIM(F93),"'","''")&amp;"') AND d.estado = 1 LIMIT 1)")&amp;", "&amp;IF(I93&amp;""="","NULL",SUBSTITUTE(I93&amp;"",",","."))&amp;", "&amp;IF(J93&amp;""="","NULL",SUBSTITUTE(J93&amp;"",",","."))&amp;", "&amp;IF(UPPER(TRIM(K93&amp;""))="SI","TRUE","FALSE")&amp;", 1"&amp;" WHERE NOT EXISTS (SELECT 1 FROM cli_direcciones x WHERE x.id_cliente = "&amp;"(SELECT id FROM cli_clientes WHERE numero_documento = '"&amp;SUBSTITUTE(TRIM(A93),"'","''")&amp;"' AND estado = 1 LIMIT 1)"&amp;" AND upper(x.direccion) = upper("&amp;IF(TRIM(D93&amp;"")="","NULL","'"&amp;SUBSTITUTE(TRIM(D93),"'","''")&amp;"'")&amp;"));")</f>
        <v/>
      </c>
    </row>
    <row r="94" ht="15.75" customHeight="1" s="64">
      <c r="A94" s="23" t="n"/>
      <c r="B94" s="25">
        <f t="array" ref="B94">IF(A94="","",IFERROR(IF(INDEX(Clientes!$D$5:$D$549,MATCH(A94,Clientes!$C$5:$C$549,0))&lt;&gt;"",INDEX(Clientes!$D$5:$D$549,MATCH(A94,Clientes!$C$5:$C$549,0)),TRIM(INDEX(Clientes!$E$5:$E$549,MATCH(A94,Clientes!$C$5:$C$549,0))&amp;" "&amp;INDEX(Clientes!$F$5:$F$549,MATCH(A94,Clientes!$C$5:$C$549,0)))),"NO EXISTE en Clientes"))</f>
        <v/>
      </c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>
        <f>IF(AND(A94="",D94=""),"",IF(A94="","FALTA doc. cliente",IF(B94="NO EXISTE en Clientes","CLIENTE no está en hoja Clientes",IF(D94="","FALTA dirección",IF(AND(H94&lt;&gt;"",OR(F94="",G94="")),"Distrito requiere departamento y provincia",IF(AND(G94&lt;&gt;"",F94=""),"Provincia requiere departamento",IF((I94&lt;&gt;"")&lt;&gt;(J94&lt;&gt;""),"Latitud y longitud van juntas","OK")))))))</f>
        <v/>
      </c>
      <c r="M94" s="28">
        <f>IF(L94&lt;&gt;"OK","","INSERT INTO cli_direcciones (id_cliente, descripcion, direccion, referencia, id_departamento, id_provincia, id_distrito, latitud, longitud, es_principal, estado) SELECT "&amp;"(SELECT id FROM cli_clientes WHERE numero_documento = '"&amp;SUBSTITUTE(TRIM(A94),"'","''")&amp;"' AND estado = 1 LIMIT 1)"&amp;", "&amp;IF(TRIM(C94&amp;"")="","NULL","'"&amp;SUBSTITUTE(TRIM(C94),"'","''")&amp;"'")&amp;", "&amp;IF(TRIM(D94&amp;"")="","NULL","'"&amp;SUBSTITUTE(TRIM(D94),"'","''")&amp;"'")&amp;", "&amp;IF(TRIM(E94&amp;"")="","NULL","'"&amp;SUBSTITUTE(TRIM(E94),"'","''")&amp;"'")&amp;", "&amp;IF(TRIM(F94&amp;"")="","NULL","(SELECT id FROM gen_departamento WHERE upper(nombre) = upper('"&amp;SUBSTITUTE(TRIM(F94),"'","''")&amp;"') AND estado = 1 LIMIT 1)")&amp;", "&amp;IF(OR(TRIM(F94&amp;"")="",TRIM(G94&amp;"")=""),"NULL","(SELECT p.id FROM gen_provincia p JOIN gen_departamento dp ON dp.id = p.id_departamento WHERE upper(p.nombre) = upper('"&amp;SUBSTITUTE(TRIM(G94),"'","''")&amp;"') AND upper(dp.nombre) = upper('"&amp;SUBSTITUTE(TRIM(F94),"'","''")&amp;"') AND p.estado = 1 LIMIT 1)")&amp;", "&amp;IF(OR(TRIM(F94&amp;"")="",TRIM(G94&amp;"")="",TRIM(H94&amp;"")=""),"NULL","(SELECT d.id FROM gen_distrito d JOIN gen_provincia p ON p.id = d.id_provincia JOIN gen_departamento dp ON dp.id = p.id_departamento WHERE upper(d.nombre) = upper('"&amp;SUBSTITUTE(TRIM(H94),"'","''")&amp;"') AND upper(p.nombre) = upper('"&amp;SUBSTITUTE(TRIM(G94),"'","''")&amp;"') AND upper(dp.nombre) = upper('"&amp;SUBSTITUTE(TRIM(F94),"'","''")&amp;"') AND d.estado = 1 LIMIT 1)")&amp;", "&amp;IF(I94&amp;""="","NULL",SUBSTITUTE(I94&amp;"",",","."))&amp;", "&amp;IF(J94&amp;""="","NULL",SUBSTITUTE(J94&amp;"",",","."))&amp;", "&amp;IF(UPPER(TRIM(K94&amp;""))="SI","TRUE","FALSE")&amp;", 1"&amp;" WHERE NOT EXISTS (SELECT 1 FROM cli_direcciones x WHERE x.id_cliente = "&amp;"(SELECT id FROM cli_clientes WHERE numero_documento = '"&amp;SUBSTITUTE(TRIM(A94),"'","''")&amp;"' AND estado = 1 LIMIT 1)"&amp;" AND upper(x.direccion) = upper("&amp;IF(TRIM(D94&amp;"")="","NULL","'"&amp;SUBSTITUTE(TRIM(D94),"'","''")&amp;"'")&amp;"));")</f>
        <v/>
      </c>
    </row>
    <row r="95" ht="15.75" customHeight="1" s="64">
      <c r="A95" s="23" t="n"/>
      <c r="B95" s="25">
        <f t="array" ref="B95">IF(A95="","",IFERROR(IF(INDEX(Clientes!$D$5:$D$549,MATCH(A95,Clientes!$C$5:$C$549,0))&lt;&gt;"",INDEX(Clientes!$D$5:$D$549,MATCH(A95,Clientes!$C$5:$C$549,0)),TRIM(INDEX(Clientes!$E$5:$E$549,MATCH(A95,Clientes!$C$5:$C$549,0))&amp;" "&amp;INDEX(Clientes!$F$5:$F$549,MATCH(A95,Clientes!$C$5:$C$549,0)))),"NO EXISTE en Clientes"))</f>
        <v/>
      </c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>
        <f>IF(AND(A95="",D95=""),"",IF(A95="","FALTA doc. cliente",IF(B95="NO EXISTE en Clientes","CLIENTE no está en hoja Clientes",IF(D95="","FALTA dirección",IF(AND(H95&lt;&gt;"",OR(F95="",G95="")),"Distrito requiere departamento y provincia",IF(AND(G95&lt;&gt;"",F95=""),"Provincia requiere departamento",IF((I95&lt;&gt;"")&lt;&gt;(J95&lt;&gt;""),"Latitud y longitud van juntas","OK")))))))</f>
        <v/>
      </c>
      <c r="M95" s="28">
        <f>IF(L95&lt;&gt;"OK","","INSERT INTO cli_direcciones (id_cliente, descripcion, direccion, referencia, id_departamento, id_provincia, id_distrito, latitud, longitud, es_principal, estado) SELECT "&amp;"(SELECT id FROM cli_clientes WHERE numero_documento = '"&amp;SUBSTITUTE(TRIM(A95),"'","''")&amp;"' AND estado = 1 LIMIT 1)"&amp;", "&amp;IF(TRIM(C95&amp;"")="","NULL","'"&amp;SUBSTITUTE(TRIM(C95),"'","''")&amp;"'")&amp;", "&amp;IF(TRIM(D95&amp;"")="","NULL","'"&amp;SUBSTITUTE(TRIM(D95),"'","''")&amp;"'")&amp;", "&amp;IF(TRIM(E95&amp;"")="","NULL","'"&amp;SUBSTITUTE(TRIM(E95),"'","''")&amp;"'")&amp;", "&amp;IF(TRIM(F95&amp;"")="","NULL","(SELECT id FROM gen_departamento WHERE upper(nombre) = upper('"&amp;SUBSTITUTE(TRIM(F95),"'","''")&amp;"') AND estado = 1 LIMIT 1)")&amp;", "&amp;IF(OR(TRIM(F95&amp;"")="",TRIM(G95&amp;"")=""),"NULL","(SELECT p.id FROM gen_provincia p JOIN gen_departamento dp ON dp.id = p.id_departamento WHERE upper(p.nombre) = upper('"&amp;SUBSTITUTE(TRIM(G95),"'","''")&amp;"') AND upper(dp.nombre) = upper('"&amp;SUBSTITUTE(TRIM(F95),"'","''")&amp;"') AND p.estado = 1 LIMIT 1)")&amp;", "&amp;IF(OR(TRIM(F95&amp;"")="",TRIM(G95&amp;"")="",TRIM(H95&amp;"")=""),"NULL","(SELECT d.id FROM gen_distrito d JOIN gen_provincia p ON p.id = d.id_provincia JOIN gen_departamento dp ON dp.id = p.id_departamento WHERE upper(d.nombre) = upper('"&amp;SUBSTITUTE(TRIM(H95),"'","''")&amp;"') AND upper(p.nombre) = upper('"&amp;SUBSTITUTE(TRIM(G95),"'","''")&amp;"') AND upper(dp.nombre) = upper('"&amp;SUBSTITUTE(TRIM(F95),"'","''")&amp;"') AND d.estado = 1 LIMIT 1)")&amp;", "&amp;IF(I95&amp;""="","NULL",SUBSTITUTE(I95&amp;"",",","."))&amp;", "&amp;IF(J95&amp;""="","NULL",SUBSTITUTE(J95&amp;"",",","."))&amp;", "&amp;IF(UPPER(TRIM(K95&amp;""))="SI","TRUE","FALSE")&amp;", 1"&amp;" WHERE NOT EXISTS (SELECT 1 FROM cli_direcciones x WHERE x.id_cliente = "&amp;"(SELECT id FROM cli_clientes WHERE numero_documento = '"&amp;SUBSTITUTE(TRIM(A95),"'","''")&amp;"' AND estado = 1 LIMIT 1)"&amp;" AND upper(x.direccion) = upper("&amp;IF(TRIM(D95&amp;"")="","NULL","'"&amp;SUBSTITUTE(TRIM(D95),"'","''")&amp;"'")&amp;"));")</f>
        <v/>
      </c>
    </row>
    <row r="96" ht="15.75" customHeight="1" s="64">
      <c r="A96" s="23" t="n"/>
      <c r="B96" s="25">
        <f t="array" ref="B96">IF(A96="","",IFERROR(IF(INDEX(Clientes!$D$5:$D$549,MATCH(A96,Clientes!$C$5:$C$549,0))&lt;&gt;"",INDEX(Clientes!$D$5:$D$549,MATCH(A96,Clientes!$C$5:$C$549,0)),TRIM(INDEX(Clientes!$E$5:$E$549,MATCH(A96,Clientes!$C$5:$C$549,0))&amp;" "&amp;INDEX(Clientes!$F$5:$F$549,MATCH(A96,Clientes!$C$5:$C$549,0)))),"NO EXISTE en Clientes"))</f>
        <v/>
      </c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>
        <f>IF(AND(A96="",D96=""),"",IF(A96="","FALTA doc. cliente",IF(B96="NO EXISTE en Clientes","CLIENTE no está en hoja Clientes",IF(D96="","FALTA dirección",IF(AND(H96&lt;&gt;"",OR(F96="",G96="")),"Distrito requiere departamento y provincia",IF(AND(G96&lt;&gt;"",F96=""),"Provincia requiere departamento",IF((I96&lt;&gt;"")&lt;&gt;(J96&lt;&gt;""),"Latitud y longitud van juntas","OK")))))))</f>
        <v/>
      </c>
      <c r="M96" s="28">
        <f>IF(L96&lt;&gt;"OK","","INSERT INTO cli_direcciones (id_cliente, descripcion, direccion, referencia, id_departamento, id_provincia, id_distrito, latitud, longitud, es_principal, estado) SELECT "&amp;"(SELECT id FROM cli_clientes WHERE numero_documento = '"&amp;SUBSTITUTE(TRIM(A96),"'","''")&amp;"' AND estado = 1 LIMIT 1)"&amp;", "&amp;IF(TRIM(C96&amp;"")="","NULL","'"&amp;SUBSTITUTE(TRIM(C96),"'","''")&amp;"'")&amp;", "&amp;IF(TRIM(D96&amp;"")="","NULL","'"&amp;SUBSTITUTE(TRIM(D96),"'","''")&amp;"'")&amp;", "&amp;IF(TRIM(E96&amp;"")="","NULL","'"&amp;SUBSTITUTE(TRIM(E96),"'","''")&amp;"'")&amp;", "&amp;IF(TRIM(F96&amp;"")="","NULL","(SELECT id FROM gen_departamento WHERE upper(nombre) = upper('"&amp;SUBSTITUTE(TRIM(F96),"'","''")&amp;"') AND estado = 1 LIMIT 1)")&amp;", "&amp;IF(OR(TRIM(F96&amp;"")="",TRIM(G96&amp;"")=""),"NULL","(SELECT p.id FROM gen_provincia p JOIN gen_departamento dp ON dp.id = p.id_departamento WHERE upper(p.nombre) = upper('"&amp;SUBSTITUTE(TRIM(G96),"'","''")&amp;"') AND upper(dp.nombre) = upper('"&amp;SUBSTITUTE(TRIM(F96),"'","''")&amp;"') AND p.estado = 1 LIMIT 1)")&amp;", "&amp;IF(OR(TRIM(F96&amp;"")="",TRIM(G96&amp;"")="",TRIM(H96&amp;"")=""),"NULL","(SELECT d.id FROM gen_distrito d JOIN gen_provincia p ON p.id = d.id_provincia JOIN gen_departamento dp ON dp.id = p.id_departamento WHERE upper(d.nombre) = upper('"&amp;SUBSTITUTE(TRIM(H96),"'","''")&amp;"') AND upper(p.nombre) = upper('"&amp;SUBSTITUTE(TRIM(G96),"'","''")&amp;"') AND upper(dp.nombre) = upper('"&amp;SUBSTITUTE(TRIM(F96),"'","''")&amp;"') AND d.estado = 1 LIMIT 1)")&amp;", "&amp;IF(I96&amp;""="","NULL",SUBSTITUTE(I96&amp;"",",","."))&amp;", "&amp;IF(J96&amp;""="","NULL",SUBSTITUTE(J96&amp;"",",","."))&amp;", "&amp;IF(UPPER(TRIM(K96&amp;""))="SI","TRUE","FALSE")&amp;", 1"&amp;" WHERE NOT EXISTS (SELECT 1 FROM cli_direcciones x WHERE x.id_cliente = "&amp;"(SELECT id FROM cli_clientes WHERE numero_documento = '"&amp;SUBSTITUTE(TRIM(A96),"'","''")&amp;"' AND estado = 1 LIMIT 1)"&amp;" AND upper(x.direccion) = upper("&amp;IF(TRIM(D96&amp;"")="","NULL","'"&amp;SUBSTITUTE(TRIM(D96),"'","''")&amp;"'")&amp;"));")</f>
        <v/>
      </c>
    </row>
    <row r="97" ht="15.75" customHeight="1" s="64">
      <c r="A97" s="23" t="n"/>
      <c r="B97" s="25">
        <f t="array" ref="B97">IF(A97="","",IFERROR(IF(INDEX(Clientes!$D$5:$D$549,MATCH(A97,Clientes!$C$5:$C$549,0))&lt;&gt;"",INDEX(Clientes!$D$5:$D$549,MATCH(A97,Clientes!$C$5:$C$549,0)),TRIM(INDEX(Clientes!$E$5:$E$549,MATCH(A97,Clientes!$C$5:$C$549,0))&amp;" "&amp;INDEX(Clientes!$F$5:$F$549,MATCH(A97,Clientes!$C$5:$C$549,0)))),"NO EXISTE en Clientes"))</f>
        <v/>
      </c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>
        <f>IF(AND(A97="",D97=""),"",IF(A97="","FALTA doc. cliente",IF(B97="NO EXISTE en Clientes","CLIENTE no está en hoja Clientes",IF(D97="","FALTA dirección",IF(AND(H97&lt;&gt;"",OR(F97="",G97="")),"Distrito requiere departamento y provincia",IF(AND(G97&lt;&gt;"",F97=""),"Provincia requiere departamento",IF((I97&lt;&gt;"")&lt;&gt;(J97&lt;&gt;""),"Latitud y longitud van juntas","OK")))))))</f>
        <v/>
      </c>
      <c r="M97" s="28">
        <f>IF(L97&lt;&gt;"OK","","INSERT INTO cli_direcciones (id_cliente, descripcion, direccion, referencia, id_departamento, id_provincia, id_distrito, latitud, longitud, es_principal, estado) SELECT "&amp;"(SELECT id FROM cli_clientes WHERE numero_documento = '"&amp;SUBSTITUTE(TRIM(A97),"'","''")&amp;"' AND estado = 1 LIMIT 1)"&amp;", "&amp;IF(TRIM(C97&amp;"")="","NULL","'"&amp;SUBSTITUTE(TRIM(C97),"'","''")&amp;"'")&amp;", "&amp;IF(TRIM(D97&amp;"")="","NULL","'"&amp;SUBSTITUTE(TRIM(D97),"'","''")&amp;"'")&amp;", "&amp;IF(TRIM(E97&amp;"")="","NULL","'"&amp;SUBSTITUTE(TRIM(E97),"'","''")&amp;"'")&amp;", "&amp;IF(TRIM(F97&amp;"")="","NULL","(SELECT id FROM gen_departamento WHERE upper(nombre) = upper('"&amp;SUBSTITUTE(TRIM(F97),"'","''")&amp;"') AND estado = 1 LIMIT 1)")&amp;", "&amp;IF(OR(TRIM(F97&amp;"")="",TRIM(G97&amp;"")=""),"NULL","(SELECT p.id FROM gen_provincia p JOIN gen_departamento dp ON dp.id = p.id_departamento WHERE upper(p.nombre) = upper('"&amp;SUBSTITUTE(TRIM(G97),"'","''")&amp;"') AND upper(dp.nombre) = upper('"&amp;SUBSTITUTE(TRIM(F97),"'","''")&amp;"') AND p.estado = 1 LIMIT 1)")&amp;", "&amp;IF(OR(TRIM(F97&amp;"")="",TRIM(G97&amp;"")="",TRIM(H97&amp;"")=""),"NULL","(SELECT d.id FROM gen_distrito d JOIN gen_provincia p ON p.id = d.id_provincia JOIN gen_departamento dp ON dp.id = p.id_departamento WHERE upper(d.nombre) = upper('"&amp;SUBSTITUTE(TRIM(H97),"'","''")&amp;"') AND upper(p.nombre) = upper('"&amp;SUBSTITUTE(TRIM(G97),"'","''")&amp;"') AND upper(dp.nombre) = upper('"&amp;SUBSTITUTE(TRIM(F97),"'","''")&amp;"') AND d.estado = 1 LIMIT 1)")&amp;", "&amp;IF(I97&amp;""="","NULL",SUBSTITUTE(I97&amp;"",",","."))&amp;", "&amp;IF(J97&amp;""="","NULL",SUBSTITUTE(J97&amp;"",",","."))&amp;", "&amp;IF(UPPER(TRIM(K97&amp;""))="SI","TRUE","FALSE")&amp;", 1"&amp;" WHERE NOT EXISTS (SELECT 1 FROM cli_direcciones x WHERE x.id_cliente = "&amp;"(SELECT id FROM cli_clientes WHERE numero_documento = '"&amp;SUBSTITUTE(TRIM(A97),"'","''")&amp;"' AND estado = 1 LIMIT 1)"&amp;" AND upper(x.direccion) = upper("&amp;IF(TRIM(D97&amp;"")="","NULL","'"&amp;SUBSTITUTE(TRIM(D97),"'","''")&amp;"'")&amp;"));")</f>
        <v/>
      </c>
    </row>
    <row r="98" ht="15.75" customHeight="1" s="64">
      <c r="A98" s="23" t="n"/>
      <c r="B98" s="25">
        <f t="array" ref="B98">IF(A98="","",IFERROR(IF(INDEX(Clientes!$D$5:$D$549,MATCH(A98,Clientes!$C$5:$C$549,0))&lt;&gt;"",INDEX(Clientes!$D$5:$D$549,MATCH(A98,Clientes!$C$5:$C$549,0)),TRIM(INDEX(Clientes!$E$5:$E$549,MATCH(A98,Clientes!$C$5:$C$549,0))&amp;" "&amp;INDEX(Clientes!$F$5:$F$549,MATCH(A98,Clientes!$C$5:$C$549,0)))),"NO EXISTE en Clientes"))</f>
        <v/>
      </c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>
        <f>IF(AND(A98="",D98=""),"",IF(A98="","FALTA doc. cliente",IF(B98="NO EXISTE en Clientes","CLIENTE no está en hoja Clientes",IF(D98="","FALTA dirección",IF(AND(H98&lt;&gt;"",OR(F98="",G98="")),"Distrito requiere departamento y provincia",IF(AND(G98&lt;&gt;"",F98=""),"Provincia requiere departamento",IF((I98&lt;&gt;"")&lt;&gt;(J98&lt;&gt;""),"Latitud y longitud van juntas","OK")))))))</f>
        <v/>
      </c>
      <c r="M98" s="28">
        <f>IF(L98&lt;&gt;"OK","","INSERT INTO cli_direcciones (id_cliente, descripcion, direccion, referencia, id_departamento, id_provincia, id_distrito, latitud, longitud, es_principal, estado) SELECT "&amp;"(SELECT id FROM cli_clientes WHERE numero_documento = '"&amp;SUBSTITUTE(TRIM(A98),"'","''")&amp;"' AND estado = 1 LIMIT 1)"&amp;", "&amp;IF(TRIM(C98&amp;"")="","NULL","'"&amp;SUBSTITUTE(TRIM(C98),"'","''")&amp;"'")&amp;", "&amp;IF(TRIM(D98&amp;"")="","NULL","'"&amp;SUBSTITUTE(TRIM(D98),"'","''")&amp;"'")&amp;", "&amp;IF(TRIM(E98&amp;"")="","NULL","'"&amp;SUBSTITUTE(TRIM(E98),"'","''")&amp;"'")&amp;", "&amp;IF(TRIM(F98&amp;"")="","NULL","(SELECT id FROM gen_departamento WHERE upper(nombre) = upper('"&amp;SUBSTITUTE(TRIM(F98),"'","''")&amp;"') AND estado = 1 LIMIT 1)")&amp;", "&amp;IF(OR(TRIM(F98&amp;"")="",TRIM(G98&amp;"")=""),"NULL","(SELECT p.id FROM gen_provincia p JOIN gen_departamento dp ON dp.id = p.id_departamento WHERE upper(p.nombre) = upper('"&amp;SUBSTITUTE(TRIM(G98),"'","''")&amp;"') AND upper(dp.nombre) = upper('"&amp;SUBSTITUTE(TRIM(F98),"'","''")&amp;"') AND p.estado = 1 LIMIT 1)")&amp;", "&amp;IF(OR(TRIM(F98&amp;"")="",TRIM(G98&amp;"")="",TRIM(H98&amp;"")=""),"NULL","(SELECT d.id FROM gen_distrito d JOIN gen_provincia p ON p.id = d.id_provincia JOIN gen_departamento dp ON dp.id = p.id_departamento WHERE upper(d.nombre) = upper('"&amp;SUBSTITUTE(TRIM(H98),"'","''")&amp;"') AND upper(p.nombre) = upper('"&amp;SUBSTITUTE(TRIM(G98),"'","''")&amp;"') AND upper(dp.nombre) = upper('"&amp;SUBSTITUTE(TRIM(F98),"'","''")&amp;"') AND d.estado = 1 LIMIT 1)")&amp;", "&amp;IF(I98&amp;""="","NULL",SUBSTITUTE(I98&amp;"",",","."))&amp;", "&amp;IF(J98&amp;""="","NULL",SUBSTITUTE(J98&amp;"",",","."))&amp;", "&amp;IF(UPPER(TRIM(K98&amp;""))="SI","TRUE","FALSE")&amp;", 1"&amp;" WHERE NOT EXISTS (SELECT 1 FROM cli_direcciones x WHERE x.id_cliente = "&amp;"(SELECT id FROM cli_clientes WHERE numero_documento = '"&amp;SUBSTITUTE(TRIM(A98),"'","''")&amp;"' AND estado = 1 LIMIT 1)"&amp;" AND upper(x.direccion) = upper("&amp;IF(TRIM(D98&amp;"")="","NULL","'"&amp;SUBSTITUTE(TRIM(D98),"'","''")&amp;"'")&amp;"));")</f>
        <v/>
      </c>
    </row>
    <row r="99" ht="15.75" customHeight="1" s="64">
      <c r="A99" s="23" t="n"/>
      <c r="B99" s="25">
        <f t="array" ref="B99">IF(A99="","",IFERROR(IF(INDEX(Clientes!$D$5:$D$549,MATCH(A99,Clientes!$C$5:$C$549,0))&lt;&gt;"",INDEX(Clientes!$D$5:$D$549,MATCH(A99,Clientes!$C$5:$C$549,0)),TRIM(INDEX(Clientes!$E$5:$E$549,MATCH(A99,Clientes!$C$5:$C$549,0))&amp;" "&amp;INDEX(Clientes!$F$5:$F$549,MATCH(A99,Clientes!$C$5:$C$549,0)))),"NO EXISTE en Clientes"))</f>
        <v/>
      </c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>
        <f>IF(AND(A99="",D99=""),"",IF(A99="","FALTA doc. cliente",IF(B99="NO EXISTE en Clientes","CLIENTE no está en hoja Clientes",IF(D99="","FALTA dirección",IF(AND(H99&lt;&gt;"",OR(F99="",G99="")),"Distrito requiere departamento y provincia",IF(AND(G99&lt;&gt;"",F99=""),"Provincia requiere departamento",IF((I99&lt;&gt;"")&lt;&gt;(J99&lt;&gt;""),"Latitud y longitud van juntas","OK")))))))</f>
        <v/>
      </c>
      <c r="M99" s="28">
        <f>IF(L99&lt;&gt;"OK","","INSERT INTO cli_direcciones (id_cliente, descripcion, direccion, referencia, id_departamento, id_provincia, id_distrito, latitud, longitud, es_principal, estado) SELECT "&amp;"(SELECT id FROM cli_clientes WHERE numero_documento = '"&amp;SUBSTITUTE(TRIM(A99),"'","''")&amp;"' AND estado = 1 LIMIT 1)"&amp;", "&amp;IF(TRIM(C99&amp;"")="","NULL","'"&amp;SUBSTITUTE(TRIM(C99),"'","''")&amp;"'")&amp;", "&amp;IF(TRIM(D99&amp;"")="","NULL","'"&amp;SUBSTITUTE(TRIM(D99),"'","''")&amp;"'")&amp;", "&amp;IF(TRIM(E99&amp;"")="","NULL","'"&amp;SUBSTITUTE(TRIM(E99),"'","''")&amp;"'")&amp;", "&amp;IF(TRIM(F99&amp;"")="","NULL","(SELECT id FROM gen_departamento WHERE upper(nombre) = upper('"&amp;SUBSTITUTE(TRIM(F99),"'","''")&amp;"') AND estado = 1 LIMIT 1)")&amp;", "&amp;IF(OR(TRIM(F99&amp;"")="",TRIM(G99&amp;"")=""),"NULL","(SELECT p.id FROM gen_provincia p JOIN gen_departamento dp ON dp.id = p.id_departamento WHERE upper(p.nombre) = upper('"&amp;SUBSTITUTE(TRIM(G99),"'","''")&amp;"') AND upper(dp.nombre) = upper('"&amp;SUBSTITUTE(TRIM(F99),"'","''")&amp;"') AND p.estado = 1 LIMIT 1)")&amp;", "&amp;IF(OR(TRIM(F99&amp;"")="",TRIM(G99&amp;"")="",TRIM(H99&amp;"")=""),"NULL","(SELECT d.id FROM gen_distrito d JOIN gen_provincia p ON p.id = d.id_provincia JOIN gen_departamento dp ON dp.id = p.id_departamento WHERE upper(d.nombre) = upper('"&amp;SUBSTITUTE(TRIM(H99),"'","''")&amp;"') AND upper(p.nombre) = upper('"&amp;SUBSTITUTE(TRIM(G99),"'","''")&amp;"') AND upper(dp.nombre) = upper('"&amp;SUBSTITUTE(TRIM(F99),"'","''")&amp;"') AND d.estado = 1 LIMIT 1)")&amp;", "&amp;IF(I99&amp;""="","NULL",SUBSTITUTE(I99&amp;"",",","."))&amp;", "&amp;IF(J99&amp;""="","NULL",SUBSTITUTE(J99&amp;"",",","."))&amp;", "&amp;IF(UPPER(TRIM(K99&amp;""))="SI","TRUE","FALSE")&amp;", 1"&amp;" WHERE NOT EXISTS (SELECT 1 FROM cli_direcciones x WHERE x.id_cliente = "&amp;"(SELECT id FROM cli_clientes WHERE numero_documento = '"&amp;SUBSTITUTE(TRIM(A99),"'","''")&amp;"' AND estado = 1 LIMIT 1)"&amp;" AND upper(x.direccion) = upper("&amp;IF(TRIM(D99&amp;"")="","NULL","'"&amp;SUBSTITUTE(TRIM(D99),"'","''")&amp;"'")&amp;"));")</f>
        <v/>
      </c>
    </row>
    <row r="100" ht="15.75" customHeight="1" s="64">
      <c r="A100" s="23" t="n"/>
      <c r="B100" s="25">
        <f t="array" ref="B100">IF(A100="","",IFERROR(IF(INDEX(Clientes!$D$5:$D$549,MATCH(A100,Clientes!$C$5:$C$549,0))&lt;&gt;"",INDEX(Clientes!$D$5:$D$549,MATCH(A100,Clientes!$C$5:$C$549,0)),TRIM(INDEX(Clientes!$E$5:$E$549,MATCH(A100,Clientes!$C$5:$C$549,0))&amp;" "&amp;INDEX(Clientes!$F$5:$F$549,MATCH(A100,Clientes!$C$5:$C$549,0)))),"NO EXISTE en Clientes"))</f>
        <v/>
      </c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>
        <f>IF(AND(A100="",D100=""),"",IF(A100="","FALTA doc. cliente",IF(B100="NO EXISTE en Clientes","CLIENTE no está en hoja Clientes",IF(D100="","FALTA dirección",IF(AND(H100&lt;&gt;"",OR(F100="",G100="")),"Distrito requiere departamento y provincia",IF(AND(G100&lt;&gt;"",F100=""),"Provincia requiere departamento",IF((I100&lt;&gt;"")&lt;&gt;(J100&lt;&gt;""),"Latitud y longitud van juntas","OK")))))))</f>
        <v/>
      </c>
      <c r="M100" s="28">
        <f>IF(L100&lt;&gt;"OK","","INSERT INTO cli_direcciones (id_cliente, descripcion, direccion, referencia, id_departamento, id_provincia, id_distrito, latitud, longitud, es_principal, estado) SELECT "&amp;"(SELECT id FROM cli_clientes WHERE numero_documento = '"&amp;SUBSTITUTE(TRIM(A100),"'","''")&amp;"' AND estado = 1 LIMIT 1)"&amp;", "&amp;IF(TRIM(C100&amp;"")="","NULL","'"&amp;SUBSTITUTE(TRIM(C100),"'","''")&amp;"'")&amp;", "&amp;IF(TRIM(D100&amp;"")="","NULL","'"&amp;SUBSTITUTE(TRIM(D100),"'","''")&amp;"'")&amp;", "&amp;IF(TRIM(E100&amp;"")="","NULL","'"&amp;SUBSTITUTE(TRIM(E100),"'","''")&amp;"'")&amp;", "&amp;IF(TRIM(F100&amp;"")="","NULL","(SELECT id FROM gen_departamento WHERE upper(nombre) = upper('"&amp;SUBSTITUTE(TRIM(F100),"'","''")&amp;"') AND estado = 1 LIMIT 1)")&amp;", "&amp;IF(OR(TRIM(F100&amp;"")="",TRIM(G100&amp;"")=""),"NULL","(SELECT p.id FROM gen_provincia p JOIN gen_departamento dp ON dp.id = p.id_departamento WHERE upper(p.nombre) = upper('"&amp;SUBSTITUTE(TRIM(G100),"'","''")&amp;"') AND upper(dp.nombre) = upper('"&amp;SUBSTITUTE(TRIM(F100),"'","''")&amp;"') AND p.estado = 1 LIMIT 1)")&amp;", "&amp;IF(OR(TRIM(F100&amp;"")="",TRIM(G100&amp;"")="",TRIM(H100&amp;"")=""),"NULL","(SELECT d.id FROM gen_distrito d JOIN gen_provincia p ON p.id = d.id_provincia JOIN gen_departamento dp ON dp.id = p.id_departamento WHERE upper(d.nombre) = upper('"&amp;SUBSTITUTE(TRIM(H100),"'","''")&amp;"') AND upper(p.nombre) = upper('"&amp;SUBSTITUTE(TRIM(G100),"'","''")&amp;"') AND upper(dp.nombre) = upper('"&amp;SUBSTITUTE(TRIM(F100),"'","''")&amp;"') AND d.estado = 1 LIMIT 1)")&amp;", "&amp;IF(I100&amp;""="","NULL",SUBSTITUTE(I100&amp;"",",","."))&amp;", "&amp;IF(J100&amp;""="","NULL",SUBSTITUTE(J100&amp;"",",","."))&amp;", "&amp;IF(UPPER(TRIM(K100&amp;""))="SI","TRUE","FALSE")&amp;", 1"&amp;" WHERE NOT EXISTS (SELECT 1 FROM cli_direcciones x WHERE x.id_cliente = "&amp;"(SELECT id FROM cli_clientes WHERE numero_documento = '"&amp;SUBSTITUTE(TRIM(A100),"'","''")&amp;"' AND estado = 1 LIMIT 1)"&amp;" AND upper(x.direccion) = upper("&amp;IF(TRIM(D100&amp;"")="","NULL","'"&amp;SUBSTITUTE(TRIM(D100),"'","''")&amp;"'")&amp;"));")</f>
        <v/>
      </c>
    </row>
    <row r="101" ht="15.75" customHeight="1" s="64">
      <c r="A101" s="23" t="n"/>
      <c r="B101" s="25">
        <f t="array" ref="B101">IF(A101="","",IFERROR(IF(INDEX(Clientes!$D$5:$D$549,MATCH(A101,Clientes!$C$5:$C$549,0))&lt;&gt;"",INDEX(Clientes!$D$5:$D$549,MATCH(A101,Clientes!$C$5:$C$549,0)),TRIM(INDEX(Clientes!$E$5:$E$549,MATCH(A101,Clientes!$C$5:$C$549,0))&amp;" "&amp;INDEX(Clientes!$F$5:$F$549,MATCH(A101,Clientes!$C$5:$C$549,0)))),"NO EXISTE en Clientes"))</f>
        <v/>
      </c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>
        <f>IF(AND(A101="",D101=""),"",IF(A101="","FALTA doc. cliente",IF(B101="NO EXISTE en Clientes","CLIENTE no está en hoja Clientes",IF(D101="","FALTA dirección",IF(AND(H101&lt;&gt;"",OR(F101="",G101="")),"Distrito requiere departamento y provincia",IF(AND(G101&lt;&gt;"",F101=""),"Provincia requiere departamento",IF((I101&lt;&gt;"")&lt;&gt;(J101&lt;&gt;""),"Latitud y longitud van juntas","OK")))))))</f>
        <v/>
      </c>
      <c r="M101" s="28">
        <f>IF(L101&lt;&gt;"OK","","INSERT INTO cli_direcciones (id_cliente, descripcion, direccion, referencia, id_departamento, id_provincia, id_distrito, latitud, longitud, es_principal, estado) SELECT "&amp;"(SELECT id FROM cli_clientes WHERE numero_documento = '"&amp;SUBSTITUTE(TRIM(A101),"'","''")&amp;"' AND estado = 1 LIMIT 1)"&amp;", "&amp;IF(TRIM(C101&amp;"")="","NULL","'"&amp;SUBSTITUTE(TRIM(C101),"'","''")&amp;"'")&amp;", "&amp;IF(TRIM(D101&amp;"")="","NULL","'"&amp;SUBSTITUTE(TRIM(D101),"'","''")&amp;"'")&amp;", "&amp;IF(TRIM(E101&amp;"")="","NULL","'"&amp;SUBSTITUTE(TRIM(E101),"'","''")&amp;"'")&amp;", "&amp;IF(TRIM(F101&amp;"")="","NULL","(SELECT id FROM gen_departamento WHERE upper(nombre) = upper('"&amp;SUBSTITUTE(TRIM(F101),"'","''")&amp;"') AND estado = 1 LIMIT 1)")&amp;", "&amp;IF(OR(TRIM(F101&amp;"")="",TRIM(G101&amp;"")=""),"NULL","(SELECT p.id FROM gen_provincia p JOIN gen_departamento dp ON dp.id = p.id_departamento WHERE upper(p.nombre) = upper('"&amp;SUBSTITUTE(TRIM(G101),"'","''")&amp;"') AND upper(dp.nombre) = upper('"&amp;SUBSTITUTE(TRIM(F101),"'","''")&amp;"') AND p.estado = 1 LIMIT 1)")&amp;", "&amp;IF(OR(TRIM(F101&amp;"")="",TRIM(G101&amp;"")="",TRIM(H101&amp;"")=""),"NULL","(SELECT d.id FROM gen_distrito d JOIN gen_provincia p ON p.id = d.id_provincia JOIN gen_departamento dp ON dp.id = p.id_departamento WHERE upper(d.nombre) = upper('"&amp;SUBSTITUTE(TRIM(H101),"'","''")&amp;"') AND upper(p.nombre) = upper('"&amp;SUBSTITUTE(TRIM(G101),"'","''")&amp;"') AND upper(dp.nombre) = upper('"&amp;SUBSTITUTE(TRIM(F101),"'","''")&amp;"') AND d.estado = 1 LIMIT 1)")&amp;", "&amp;IF(I101&amp;""="","NULL",SUBSTITUTE(I101&amp;"",",","."))&amp;", "&amp;IF(J101&amp;""="","NULL",SUBSTITUTE(J101&amp;"",",","."))&amp;", "&amp;IF(UPPER(TRIM(K101&amp;""))="SI","TRUE","FALSE")&amp;", 1"&amp;" WHERE NOT EXISTS (SELECT 1 FROM cli_direcciones x WHERE x.id_cliente = "&amp;"(SELECT id FROM cli_clientes WHERE numero_documento = '"&amp;SUBSTITUTE(TRIM(A101),"'","''")&amp;"' AND estado = 1 LIMIT 1)"&amp;" AND upper(x.direccion) = upper("&amp;IF(TRIM(D101&amp;"")="","NULL","'"&amp;SUBSTITUTE(TRIM(D101),"'","''")&amp;"'")&amp;"));")</f>
        <v/>
      </c>
    </row>
    <row r="102" ht="15.75" customHeight="1" s="64">
      <c r="A102" s="23" t="n"/>
      <c r="B102" s="25">
        <f t="array" ref="B102">IF(A102="","",IFERROR(IF(INDEX(Clientes!$D$5:$D$549,MATCH(A102,Clientes!$C$5:$C$549,0))&lt;&gt;"",INDEX(Clientes!$D$5:$D$549,MATCH(A102,Clientes!$C$5:$C$549,0)),TRIM(INDEX(Clientes!$E$5:$E$549,MATCH(A102,Clientes!$C$5:$C$549,0))&amp;" "&amp;INDEX(Clientes!$F$5:$F$549,MATCH(A102,Clientes!$C$5:$C$549,0)))),"NO EXISTE en Clientes"))</f>
        <v/>
      </c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>
        <f>IF(AND(A102="",D102=""),"",IF(A102="","FALTA doc. cliente",IF(B102="NO EXISTE en Clientes","CLIENTE no está en hoja Clientes",IF(D102="","FALTA dirección",IF(AND(H102&lt;&gt;"",OR(F102="",G102="")),"Distrito requiere departamento y provincia",IF(AND(G102&lt;&gt;"",F102=""),"Provincia requiere departamento",IF((I102&lt;&gt;"")&lt;&gt;(J102&lt;&gt;""),"Latitud y longitud van juntas","OK")))))))</f>
        <v/>
      </c>
      <c r="M102" s="28">
        <f>IF(L102&lt;&gt;"OK","","INSERT INTO cli_direcciones (id_cliente, descripcion, direccion, referencia, id_departamento, id_provincia, id_distrito, latitud, longitud, es_principal, estado) SELECT "&amp;"(SELECT id FROM cli_clientes WHERE numero_documento = '"&amp;SUBSTITUTE(TRIM(A102),"'","''")&amp;"' AND estado = 1 LIMIT 1)"&amp;", "&amp;IF(TRIM(C102&amp;"")="","NULL","'"&amp;SUBSTITUTE(TRIM(C102),"'","''")&amp;"'")&amp;", "&amp;IF(TRIM(D102&amp;"")="","NULL","'"&amp;SUBSTITUTE(TRIM(D102),"'","''")&amp;"'")&amp;", "&amp;IF(TRIM(E102&amp;"")="","NULL","'"&amp;SUBSTITUTE(TRIM(E102),"'","''")&amp;"'")&amp;", "&amp;IF(TRIM(F102&amp;"")="","NULL","(SELECT id FROM gen_departamento WHERE upper(nombre) = upper('"&amp;SUBSTITUTE(TRIM(F102),"'","''")&amp;"') AND estado = 1 LIMIT 1)")&amp;", "&amp;IF(OR(TRIM(F102&amp;"")="",TRIM(G102&amp;"")=""),"NULL","(SELECT p.id FROM gen_provincia p JOIN gen_departamento dp ON dp.id = p.id_departamento WHERE upper(p.nombre) = upper('"&amp;SUBSTITUTE(TRIM(G102),"'","''")&amp;"') AND upper(dp.nombre) = upper('"&amp;SUBSTITUTE(TRIM(F102),"'","''")&amp;"') AND p.estado = 1 LIMIT 1)")&amp;", "&amp;IF(OR(TRIM(F102&amp;"")="",TRIM(G102&amp;"")="",TRIM(H102&amp;"")=""),"NULL","(SELECT d.id FROM gen_distrito d JOIN gen_provincia p ON p.id = d.id_provincia JOIN gen_departamento dp ON dp.id = p.id_departamento WHERE upper(d.nombre) = upper('"&amp;SUBSTITUTE(TRIM(H102),"'","''")&amp;"') AND upper(p.nombre) = upper('"&amp;SUBSTITUTE(TRIM(G102),"'","''")&amp;"') AND upper(dp.nombre) = upper('"&amp;SUBSTITUTE(TRIM(F102),"'","''")&amp;"') AND d.estado = 1 LIMIT 1)")&amp;", "&amp;IF(I102&amp;""="","NULL",SUBSTITUTE(I102&amp;"",",","."))&amp;", "&amp;IF(J102&amp;""="","NULL",SUBSTITUTE(J102&amp;"",",","."))&amp;", "&amp;IF(UPPER(TRIM(K102&amp;""))="SI","TRUE","FALSE")&amp;", 1"&amp;" WHERE NOT EXISTS (SELECT 1 FROM cli_direcciones x WHERE x.id_cliente = "&amp;"(SELECT id FROM cli_clientes WHERE numero_documento = '"&amp;SUBSTITUTE(TRIM(A102),"'","''")&amp;"' AND estado = 1 LIMIT 1)"&amp;" AND upper(x.direccion) = upper("&amp;IF(TRIM(D102&amp;"")="","NULL","'"&amp;SUBSTITUTE(TRIM(D102),"'","''")&amp;"'")&amp;"));")</f>
        <v/>
      </c>
    </row>
    <row r="103" ht="15.75" customHeight="1" s="64">
      <c r="A103" s="23" t="n"/>
      <c r="B103" s="25">
        <f t="array" ref="B103">IF(A103="","",IFERROR(IF(INDEX(Clientes!$D$5:$D$549,MATCH(A103,Clientes!$C$5:$C$549,0))&lt;&gt;"",INDEX(Clientes!$D$5:$D$549,MATCH(A103,Clientes!$C$5:$C$549,0)),TRIM(INDEX(Clientes!$E$5:$E$549,MATCH(A103,Clientes!$C$5:$C$549,0))&amp;" "&amp;INDEX(Clientes!$F$5:$F$549,MATCH(A103,Clientes!$C$5:$C$549,0)))),"NO EXISTE en Clientes"))</f>
        <v/>
      </c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>
        <f>IF(AND(A103="",D103=""),"",IF(A103="","FALTA doc. cliente",IF(B103="NO EXISTE en Clientes","CLIENTE no está en hoja Clientes",IF(D103="","FALTA dirección",IF(AND(H103&lt;&gt;"",OR(F103="",G103="")),"Distrito requiere departamento y provincia",IF(AND(G103&lt;&gt;"",F103=""),"Provincia requiere departamento",IF((I103&lt;&gt;"")&lt;&gt;(J103&lt;&gt;""),"Latitud y longitud van juntas","OK")))))))</f>
        <v/>
      </c>
      <c r="M103" s="28">
        <f>IF(L103&lt;&gt;"OK","","INSERT INTO cli_direcciones (id_cliente, descripcion, direccion, referencia, id_departamento, id_provincia, id_distrito, latitud, longitud, es_principal, estado) SELECT "&amp;"(SELECT id FROM cli_clientes WHERE numero_documento = '"&amp;SUBSTITUTE(TRIM(A103),"'","''")&amp;"' AND estado = 1 LIMIT 1)"&amp;", "&amp;IF(TRIM(C103&amp;"")="","NULL","'"&amp;SUBSTITUTE(TRIM(C103),"'","''")&amp;"'")&amp;", "&amp;IF(TRIM(D103&amp;"")="","NULL","'"&amp;SUBSTITUTE(TRIM(D103),"'","''")&amp;"'")&amp;", "&amp;IF(TRIM(E103&amp;"")="","NULL","'"&amp;SUBSTITUTE(TRIM(E103),"'","''")&amp;"'")&amp;", "&amp;IF(TRIM(F103&amp;"")="","NULL","(SELECT id FROM gen_departamento WHERE upper(nombre) = upper('"&amp;SUBSTITUTE(TRIM(F103),"'","''")&amp;"') AND estado = 1 LIMIT 1)")&amp;", "&amp;IF(OR(TRIM(F103&amp;"")="",TRIM(G103&amp;"")=""),"NULL","(SELECT p.id FROM gen_provincia p JOIN gen_departamento dp ON dp.id = p.id_departamento WHERE upper(p.nombre) = upper('"&amp;SUBSTITUTE(TRIM(G103),"'","''")&amp;"') AND upper(dp.nombre) = upper('"&amp;SUBSTITUTE(TRIM(F103),"'","''")&amp;"') AND p.estado = 1 LIMIT 1)")&amp;", "&amp;IF(OR(TRIM(F103&amp;"")="",TRIM(G103&amp;"")="",TRIM(H103&amp;"")=""),"NULL","(SELECT d.id FROM gen_distrito d JOIN gen_provincia p ON p.id = d.id_provincia JOIN gen_departamento dp ON dp.id = p.id_departamento WHERE upper(d.nombre) = upper('"&amp;SUBSTITUTE(TRIM(H103),"'","''")&amp;"') AND upper(p.nombre) = upper('"&amp;SUBSTITUTE(TRIM(G103),"'","''")&amp;"') AND upper(dp.nombre) = upper('"&amp;SUBSTITUTE(TRIM(F103),"'","''")&amp;"') AND d.estado = 1 LIMIT 1)")&amp;", "&amp;IF(I103&amp;""="","NULL",SUBSTITUTE(I103&amp;"",",","."))&amp;", "&amp;IF(J103&amp;""="","NULL",SUBSTITUTE(J103&amp;"",",","."))&amp;", "&amp;IF(UPPER(TRIM(K103&amp;""))="SI","TRUE","FALSE")&amp;", 1"&amp;" WHERE NOT EXISTS (SELECT 1 FROM cli_direcciones x WHERE x.id_cliente = "&amp;"(SELECT id FROM cli_clientes WHERE numero_documento = '"&amp;SUBSTITUTE(TRIM(A103),"'","''")&amp;"' AND estado = 1 LIMIT 1)"&amp;" AND upper(x.direccion) = upper("&amp;IF(TRIM(D103&amp;"")="","NULL","'"&amp;SUBSTITUTE(TRIM(D103),"'","''")&amp;"'")&amp;"));")</f>
        <v/>
      </c>
    </row>
    <row r="104" ht="15.75" customHeight="1" s="64">
      <c r="A104" s="23" t="n"/>
      <c r="B104" s="25">
        <f t="array" ref="B104">IF(A104="","",IFERROR(IF(INDEX(Clientes!$D$5:$D$549,MATCH(A104,Clientes!$C$5:$C$549,0))&lt;&gt;"",INDEX(Clientes!$D$5:$D$549,MATCH(A104,Clientes!$C$5:$C$549,0)),TRIM(INDEX(Clientes!$E$5:$E$549,MATCH(A104,Clientes!$C$5:$C$549,0))&amp;" "&amp;INDEX(Clientes!$F$5:$F$549,MATCH(A104,Clientes!$C$5:$C$549,0)))),"NO EXISTE en Clientes"))</f>
        <v/>
      </c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>
        <f>IF(AND(A104="",D104=""),"",IF(A104="","FALTA doc. cliente",IF(B104="NO EXISTE en Clientes","CLIENTE no está en hoja Clientes",IF(D104="","FALTA dirección",IF(AND(H104&lt;&gt;"",OR(F104="",G104="")),"Distrito requiere departamento y provincia",IF(AND(G104&lt;&gt;"",F104=""),"Provincia requiere departamento",IF((I104&lt;&gt;"")&lt;&gt;(J104&lt;&gt;""),"Latitud y longitud van juntas","OK")))))))</f>
        <v/>
      </c>
      <c r="M104" s="28">
        <f>IF(L104&lt;&gt;"OK","","INSERT INTO cli_direcciones (id_cliente, descripcion, direccion, referencia, id_departamento, id_provincia, id_distrito, latitud, longitud, es_principal, estado) SELECT "&amp;"(SELECT id FROM cli_clientes WHERE numero_documento = '"&amp;SUBSTITUTE(TRIM(A104),"'","''")&amp;"' AND estado = 1 LIMIT 1)"&amp;", "&amp;IF(TRIM(C104&amp;"")="","NULL","'"&amp;SUBSTITUTE(TRIM(C104),"'","''")&amp;"'")&amp;", "&amp;IF(TRIM(D104&amp;"")="","NULL","'"&amp;SUBSTITUTE(TRIM(D104),"'","''")&amp;"'")&amp;", "&amp;IF(TRIM(E104&amp;"")="","NULL","'"&amp;SUBSTITUTE(TRIM(E104),"'","''")&amp;"'")&amp;", "&amp;IF(TRIM(F104&amp;"")="","NULL","(SELECT id FROM gen_departamento WHERE upper(nombre) = upper('"&amp;SUBSTITUTE(TRIM(F104),"'","''")&amp;"') AND estado = 1 LIMIT 1)")&amp;", "&amp;IF(OR(TRIM(F104&amp;"")="",TRIM(G104&amp;"")=""),"NULL","(SELECT p.id FROM gen_provincia p JOIN gen_departamento dp ON dp.id = p.id_departamento WHERE upper(p.nombre) = upper('"&amp;SUBSTITUTE(TRIM(G104),"'","''")&amp;"') AND upper(dp.nombre) = upper('"&amp;SUBSTITUTE(TRIM(F104),"'","''")&amp;"') AND p.estado = 1 LIMIT 1)")&amp;", "&amp;IF(OR(TRIM(F104&amp;"")="",TRIM(G104&amp;"")="",TRIM(H104&amp;"")=""),"NULL","(SELECT d.id FROM gen_distrito d JOIN gen_provincia p ON p.id = d.id_provincia JOIN gen_departamento dp ON dp.id = p.id_departamento WHERE upper(d.nombre) = upper('"&amp;SUBSTITUTE(TRIM(H104),"'","''")&amp;"') AND upper(p.nombre) = upper('"&amp;SUBSTITUTE(TRIM(G104),"'","''")&amp;"') AND upper(dp.nombre) = upper('"&amp;SUBSTITUTE(TRIM(F104),"'","''")&amp;"') AND d.estado = 1 LIMIT 1)")&amp;", "&amp;IF(I104&amp;""="","NULL",SUBSTITUTE(I104&amp;"",",","."))&amp;", "&amp;IF(J104&amp;""="","NULL",SUBSTITUTE(J104&amp;"",",","."))&amp;", "&amp;IF(UPPER(TRIM(K104&amp;""))="SI","TRUE","FALSE")&amp;", 1"&amp;" WHERE NOT EXISTS (SELECT 1 FROM cli_direcciones x WHERE x.id_cliente = "&amp;"(SELECT id FROM cli_clientes WHERE numero_documento = '"&amp;SUBSTITUTE(TRIM(A104),"'","''")&amp;"' AND estado = 1 LIMIT 1)"&amp;" AND upper(x.direccion) = upper("&amp;IF(TRIM(D104&amp;"")="","NULL","'"&amp;SUBSTITUTE(TRIM(D104),"'","''")&amp;"'")&amp;"));")</f>
        <v/>
      </c>
    </row>
    <row r="105" ht="15.75" customHeight="1" s="64">
      <c r="A105" s="23" t="n"/>
      <c r="B105" s="25">
        <f t="array" ref="B105">IF(A105="","",IFERROR(IF(INDEX(Clientes!$D$5:$D$549,MATCH(A105,Clientes!$C$5:$C$549,0))&lt;&gt;"",INDEX(Clientes!$D$5:$D$549,MATCH(A105,Clientes!$C$5:$C$549,0)),TRIM(INDEX(Clientes!$E$5:$E$549,MATCH(A105,Clientes!$C$5:$C$549,0))&amp;" "&amp;INDEX(Clientes!$F$5:$F$549,MATCH(A105,Clientes!$C$5:$C$549,0)))),"NO EXISTE en Clientes"))</f>
        <v/>
      </c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>
        <f>IF(AND(A105="",D105=""),"",IF(A105="","FALTA doc. cliente",IF(B105="NO EXISTE en Clientes","CLIENTE no está en hoja Clientes",IF(D105="","FALTA dirección",IF(AND(H105&lt;&gt;"",OR(F105="",G105="")),"Distrito requiere departamento y provincia",IF(AND(G105&lt;&gt;"",F105=""),"Provincia requiere departamento",IF((I105&lt;&gt;"")&lt;&gt;(J105&lt;&gt;""),"Latitud y longitud van juntas","OK")))))))</f>
        <v/>
      </c>
      <c r="M105" s="28">
        <f>IF(L105&lt;&gt;"OK","","INSERT INTO cli_direcciones (id_cliente, descripcion, direccion, referencia, id_departamento, id_provincia, id_distrito, latitud, longitud, es_principal, estado) SELECT "&amp;"(SELECT id FROM cli_clientes WHERE numero_documento = '"&amp;SUBSTITUTE(TRIM(A105),"'","''")&amp;"' AND estado = 1 LIMIT 1)"&amp;", "&amp;IF(TRIM(C105&amp;"")="","NULL","'"&amp;SUBSTITUTE(TRIM(C105),"'","''")&amp;"'")&amp;", "&amp;IF(TRIM(D105&amp;"")="","NULL","'"&amp;SUBSTITUTE(TRIM(D105),"'","''")&amp;"'")&amp;", "&amp;IF(TRIM(E105&amp;"")="","NULL","'"&amp;SUBSTITUTE(TRIM(E105),"'","''")&amp;"'")&amp;", "&amp;IF(TRIM(F105&amp;"")="","NULL","(SELECT id FROM gen_departamento WHERE upper(nombre) = upper('"&amp;SUBSTITUTE(TRIM(F105),"'","''")&amp;"') AND estado = 1 LIMIT 1)")&amp;", "&amp;IF(OR(TRIM(F105&amp;"")="",TRIM(G105&amp;"")=""),"NULL","(SELECT p.id FROM gen_provincia p JOIN gen_departamento dp ON dp.id = p.id_departamento WHERE upper(p.nombre) = upper('"&amp;SUBSTITUTE(TRIM(G105),"'","''")&amp;"') AND upper(dp.nombre) = upper('"&amp;SUBSTITUTE(TRIM(F105),"'","''")&amp;"') AND p.estado = 1 LIMIT 1)")&amp;", "&amp;IF(OR(TRIM(F105&amp;"")="",TRIM(G105&amp;"")="",TRIM(H105&amp;"")=""),"NULL","(SELECT d.id FROM gen_distrito d JOIN gen_provincia p ON p.id = d.id_provincia JOIN gen_departamento dp ON dp.id = p.id_departamento WHERE upper(d.nombre) = upper('"&amp;SUBSTITUTE(TRIM(H105),"'","''")&amp;"') AND upper(p.nombre) = upper('"&amp;SUBSTITUTE(TRIM(G105),"'","''")&amp;"') AND upper(dp.nombre) = upper('"&amp;SUBSTITUTE(TRIM(F105),"'","''")&amp;"') AND d.estado = 1 LIMIT 1)")&amp;", "&amp;IF(I105&amp;""="","NULL",SUBSTITUTE(I105&amp;"",",","."))&amp;", "&amp;IF(J105&amp;""="","NULL",SUBSTITUTE(J105&amp;"",",","."))&amp;", "&amp;IF(UPPER(TRIM(K105&amp;""))="SI","TRUE","FALSE")&amp;", 1"&amp;" WHERE NOT EXISTS (SELECT 1 FROM cli_direcciones x WHERE x.id_cliente = "&amp;"(SELECT id FROM cli_clientes WHERE numero_documento = '"&amp;SUBSTITUTE(TRIM(A105),"'","''")&amp;"' AND estado = 1 LIMIT 1)"&amp;" AND upper(x.direccion) = upper("&amp;IF(TRIM(D105&amp;"")="","NULL","'"&amp;SUBSTITUTE(TRIM(D105),"'","''")&amp;"'")&amp;"));")</f>
        <v/>
      </c>
    </row>
    <row r="106" ht="15.75" customHeight="1" s="64">
      <c r="A106" s="23" t="n"/>
      <c r="B106" s="25">
        <f t="array" ref="B106">IF(A106="","",IFERROR(IF(INDEX(Clientes!$D$5:$D$549,MATCH(A106,Clientes!$C$5:$C$549,0))&lt;&gt;"",INDEX(Clientes!$D$5:$D$549,MATCH(A106,Clientes!$C$5:$C$549,0)),TRIM(INDEX(Clientes!$E$5:$E$549,MATCH(A106,Clientes!$C$5:$C$549,0))&amp;" "&amp;INDEX(Clientes!$F$5:$F$549,MATCH(A106,Clientes!$C$5:$C$549,0)))),"NO EXISTE en Clientes"))</f>
        <v/>
      </c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>
        <f>IF(AND(A106="",D106=""),"",IF(A106="","FALTA doc. cliente",IF(B106="NO EXISTE en Clientes","CLIENTE no está en hoja Clientes",IF(D106="","FALTA dirección",IF(AND(H106&lt;&gt;"",OR(F106="",G106="")),"Distrito requiere departamento y provincia",IF(AND(G106&lt;&gt;"",F106=""),"Provincia requiere departamento",IF((I106&lt;&gt;"")&lt;&gt;(J106&lt;&gt;""),"Latitud y longitud van juntas","OK")))))))</f>
        <v/>
      </c>
      <c r="M106" s="28">
        <f>IF(L106&lt;&gt;"OK","","INSERT INTO cli_direcciones (id_cliente, descripcion, direccion, referencia, id_departamento, id_provincia, id_distrito, latitud, longitud, es_principal, estado) SELECT "&amp;"(SELECT id FROM cli_clientes WHERE numero_documento = '"&amp;SUBSTITUTE(TRIM(A106),"'","''")&amp;"' AND estado = 1 LIMIT 1)"&amp;", "&amp;IF(TRIM(C106&amp;"")="","NULL","'"&amp;SUBSTITUTE(TRIM(C106),"'","''")&amp;"'")&amp;", "&amp;IF(TRIM(D106&amp;"")="","NULL","'"&amp;SUBSTITUTE(TRIM(D106),"'","''")&amp;"'")&amp;", "&amp;IF(TRIM(E106&amp;"")="","NULL","'"&amp;SUBSTITUTE(TRIM(E106),"'","''")&amp;"'")&amp;", "&amp;IF(TRIM(F106&amp;"")="","NULL","(SELECT id FROM gen_departamento WHERE upper(nombre) = upper('"&amp;SUBSTITUTE(TRIM(F106),"'","''")&amp;"') AND estado = 1 LIMIT 1)")&amp;", "&amp;IF(OR(TRIM(F106&amp;"")="",TRIM(G106&amp;"")=""),"NULL","(SELECT p.id FROM gen_provincia p JOIN gen_departamento dp ON dp.id = p.id_departamento WHERE upper(p.nombre) = upper('"&amp;SUBSTITUTE(TRIM(G106),"'","''")&amp;"') AND upper(dp.nombre) = upper('"&amp;SUBSTITUTE(TRIM(F106),"'","''")&amp;"') AND p.estado = 1 LIMIT 1)")&amp;", "&amp;IF(OR(TRIM(F106&amp;"")="",TRIM(G106&amp;"")="",TRIM(H106&amp;"")=""),"NULL","(SELECT d.id FROM gen_distrito d JOIN gen_provincia p ON p.id = d.id_provincia JOIN gen_departamento dp ON dp.id = p.id_departamento WHERE upper(d.nombre) = upper('"&amp;SUBSTITUTE(TRIM(H106),"'","''")&amp;"') AND upper(p.nombre) = upper('"&amp;SUBSTITUTE(TRIM(G106),"'","''")&amp;"') AND upper(dp.nombre) = upper('"&amp;SUBSTITUTE(TRIM(F106),"'","''")&amp;"') AND d.estado = 1 LIMIT 1)")&amp;", "&amp;IF(I106&amp;""="","NULL",SUBSTITUTE(I106&amp;"",",","."))&amp;", "&amp;IF(J106&amp;""="","NULL",SUBSTITUTE(J106&amp;"",",","."))&amp;", "&amp;IF(UPPER(TRIM(K106&amp;""))="SI","TRUE","FALSE")&amp;", 1"&amp;" WHERE NOT EXISTS (SELECT 1 FROM cli_direcciones x WHERE x.id_cliente = "&amp;"(SELECT id FROM cli_clientes WHERE numero_documento = '"&amp;SUBSTITUTE(TRIM(A106),"'","''")&amp;"' AND estado = 1 LIMIT 1)"&amp;" AND upper(x.direccion) = upper("&amp;IF(TRIM(D106&amp;"")="","NULL","'"&amp;SUBSTITUTE(TRIM(D106),"'","''")&amp;"'")&amp;"));")</f>
        <v/>
      </c>
    </row>
    <row r="107" ht="15.75" customHeight="1" s="64">
      <c r="A107" s="23" t="n"/>
      <c r="B107" s="25">
        <f t="array" ref="B107">IF(A107="","",IFERROR(IF(INDEX(Clientes!$D$5:$D$549,MATCH(A107,Clientes!$C$5:$C$549,0))&lt;&gt;"",INDEX(Clientes!$D$5:$D$549,MATCH(A107,Clientes!$C$5:$C$549,0)),TRIM(INDEX(Clientes!$E$5:$E$549,MATCH(A107,Clientes!$C$5:$C$549,0))&amp;" "&amp;INDEX(Clientes!$F$5:$F$549,MATCH(A107,Clientes!$C$5:$C$549,0)))),"NO EXISTE en Clientes"))</f>
        <v/>
      </c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>
        <f>IF(AND(A107="",D107=""),"",IF(A107="","FALTA doc. cliente",IF(B107="NO EXISTE en Clientes","CLIENTE no está en hoja Clientes",IF(D107="","FALTA dirección",IF(AND(H107&lt;&gt;"",OR(F107="",G107="")),"Distrito requiere departamento y provincia",IF(AND(G107&lt;&gt;"",F107=""),"Provincia requiere departamento",IF((I107&lt;&gt;"")&lt;&gt;(J107&lt;&gt;""),"Latitud y longitud van juntas","OK")))))))</f>
        <v/>
      </c>
      <c r="M107" s="28">
        <f>IF(L107&lt;&gt;"OK","","INSERT INTO cli_direcciones (id_cliente, descripcion, direccion, referencia, id_departamento, id_provincia, id_distrito, latitud, longitud, es_principal, estado) SELECT "&amp;"(SELECT id FROM cli_clientes WHERE numero_documento = '"&amp;SUBSTITUTE(TRIM(A107),"'","''")&amp;"' AND estado = 1 LIMIT 1)"&amp;", "&amp;IF(TRIM(C107&amp;"")="","NULL","'"&amp;SUBSTITUTE(TRIM(C107),"'","''")&amp;"'")&amp;", "&amp;IF(TRIM(D107&amp;"")="","NULL","'"&amp;SUBSTITUTE(TRIM(D107),"'","''")&amp;"'")&amp;", "&amp;IF(TRIM(E107&amp;"")="","NULL","'"&amp;SUBSTITUTE(TRIM(E107),"'","''")&amp;"'")&amp;", "&amp;IF(TRIM(F107&amp;"")="","NULL","(SELECT id FROM gen_departamento WHERE upper(nombre) = upper('"&amp;SUBSTITUTE(TRIM(F107),"'","''")&amp;"') AND estado = 1 LIMIT 1)")&amp;", "&amp;IF(OR(TRIM(F107&amp;"")="",TRIM(G107&amp;"")=""),"NULL","(SELECT p.id FROM gen_provincia p JOIN gen_departamento dp ON dp.id = p.id_departamento WHERE upper(p.nombre) = upper('"&amp;SUBSTITUTE(TRIM(G107),"'","''")&amp;"') AND upper(dp.nombre) = upper('"&amp;SUBSTITUTE(TRIM(F107),"'","''")&amp;"') AND p.estado = 1 LIMIT 1)")&amp;", "&amp;IF(OR(TRIM(F107&amp;"")="",TRIM(G107&amp;"")="",TRIM(H107&amp;"")=""),"NULL","(SELECT d.id FROM gen_distrito d JOIN gen_provincia p ON p.id = d.id_provincia JOIN gen_departamento dp ON dp.id = p.id_departamento WHERE upper(d.nombre) = upper('"&amp;SUBSTITUTE(TRIM(H107),"'","''")&amp;"') AND upper(p.nombre) = upper('"&amp;SUBSTITUTE(TRIM(G107),"'","''")&amp;"') AND upper(dp.nombre) = upper('"&amp;SUBSTITUTE(TRIM(F107),"'","''")&amp;"') AND d.estado = 1 LIMIT 1)")&amp;", "&amp;IF(I107&amp;""="","NULL",SUBSTITUTE(I107&amp;"",",","."))&amp;", "&amp;IF(J107&amp;""="","NULL",SUBSTITUTE(J107&amp;"",",","."))&amp;", "&amp;IF(UPPER(TRIM(K107&amp;""))="SI","TRUE","FALSE")&amp;", 1"&amp;" WHERE NOT EXISTS (SELECT 1 FROM cli_direcciones x WHERE x.id_cliente = "&amp;"(SELECT id FROM cli_clientes WHERE numero_documento = '"&amp;SUBSTITUTE(TRIM(A107),"'","''")&amp;"' AND estado = 1 LIMIT 1)"&amp;" AND upper(x.direccion) = upper("&amp;IF(TRIM(D107&amp;"")="","NULL","'"&amp;SUBSTITUTE(TRIM(D107),"'","''")&amp;"'")&amp;"));")</f>
        <v/>
      </c>
    </row>
    <row r="108" ht="15.75" customHeight="1" s="64">
      <c r="A108" s="23" t="n"/>
      <c r="B108" s="25">
        <f t="array" ref="B108">IF(A108="","",IFERROR(IF(INDEX(Clientes!$D$5:$D$549,MATCH(A108,Clientes!$C$5:$C$549,0))&lt;&gt;"",INDEX(Clientes!$D$5:$D$549,MATCH(A108,Clientes!$C$5:$C$549,0)),TRIM(INDEX(Clientes!$E$5:$E$549,MATCH(A108,Clientes!$C$5:$C$549,0))&amp;" "&amp;INDEX(Clientes!$F$5:$F$549,MATCH(A108,Clientes!$C$5:$C$549,0)))),"NO EXISTE en Clientes"))</f>
        <v/>
      </c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>
        <f>IF(AND(A108="",D108=""),"",IF(A108="","FALTA doc. cliente",IF(B108="NO EXISTE en Clientes","CLIENTE no está en hoja Clientes",IF(D108="","FALTA dirección",IF(AND(H108&lt;&gt;"",OR(F108="",G108="")),"Distrito requiere departamento y provincia",IF(AND(G108&lt;&gt;"",F108=""),"Provincia requiere departamento",IF((I108&lt;&gt;"")&lt;&gt;(J108&lt;&gt;""),"Latitud y longitud van juntas","OK")))))))</f>
        <v/>
      </c>
      <c r="M108" s="28">
        <f>IF(L108&lt;&gt;"OK","","INSERT INTO cli_direcciones (id_cliente, descripcion, direccion, referencia, id_departamento, id_provincia, id_distrito, latitud, longitud, es_principal, estado) SELECT "&amp;"(SELECT id FROM cli_clientes WHERE numero_documento = '"&amp;SUBSTITUTE(TRIM(A108),"'","''")&amp;"' AND estado = 1 LIMIT 1)"&amp;", "&amp;IF(TRIM(C108&amp;"")="","NULL","'"&amp;SUBSTITUTE(TRIM(C108),"'","''")&amp;"'")&amp;", "&amp;IF(TRIM(D108&amp;"")="","NULL","'"&amp;SUBSTITUTE(TRIM(D108),"'","''")&amp;"'")&amp;", "&amp;IF(TRIM(E108&amp;"")="","NULL","'"&amp;SUBSTITUTE(TRIM(E108),"'","''")&amp;"'")&amp;", "&amp;IF(TRIM(F108&amp;"")="","NULL","(SELECT id FROM gen_departamento WHERE upper(nombre) = upper('"&amp;SUBSTITUTE(TRIM(F108),"'","''")&amp;"') AND estado = 1 LIMIT 1)")&amp;", "&amp;IF(OR(TRIM(F108&amp;"")="",TRIM(G108&amp;"")=""),"NULL","(SELECT p.id FROM gen_provincia p JOIN gen_departamento dp ON dp.id = p.id_departamento WHERE upper(p.nombre) = upper('"&amp;SUBSTITUTE(TRIM(G108),"'","''")&amp;"') AND upper(dp.nombre) = upper('"&amp;SUBSTITUTE(TRIM(F108),"'","''")&amp;"') AND p.estado = 1 LIMIT 1)")&amp;", "&amp;IF(OR(TRIM(F108&amp;"")="",TRIM(G108&amp;"")="",TRIM(H108&amp;"")=""),"NULL","(SELECT d.id FROM gen_distrito d JOIN gen_provincia p ON p.id = d.id_provincia JOIN gen_departamento dp ON dp.id = p.id_departamento WHERE upper(d.nombre) = upper('"&amp;SUBSTITUTE(TRIM(H108),"'","''")&amp;"') AND upper(p.nombre) = upper('"&amp;SUBSTITUTE(TRIM(G108),"'","''")&amp;"') AND upper(dp.nombre) = upper('"&amp;SUBSTITUTE(TRIM(F108),"'","''")&amp;"') AND d.estado = 1 LIMIT 1)")&amp;", "&amp;IF(I108&amp;""="","NULL",SUBSTITUTE(I108&amp;"",",","."))&amp;", "&amp;IF(J108&amp;""="","NULL",SUBSTITUTE(J108&amp;"",",","."))&amp;", "&amp;IF(UPPER(TRIM(K108&amp;""))="SI","TRUE","FALSE")&amp;", 1"&amp;" WHERE NOT EXISTS (SELECT 1 FROM cli_direcciones x WHERE x.id_cliente = "&amp;"(SELECT id FROM cli_clientes WHERE numero_documento = '"&amp;SUBSTITUTE(TRIM(A108),"'","''")&amp;"' AND estado = 1 LIMIT 1)"&amp;" AND upper(x.direccion) = upper("&amp;IF(TRIM(D108&amp;"")="","NULL","'"&amp;SUBSTITUTE(TRIM(D108),"'","''")&amp;"'")&amp;"));")</f>
        <v/>
      </c>
    </row>
    <row r="109" ht="15.75" customHeight="1" s="64">
      <c r="A109" s="23" t="n"/>
      <c r="B109" s="25">
        <f t="array" ref="B109">IF(A109="","",IFERROR(IF(INDEX(Clientes!$D$5:$D$549,MATCH(A109,Clientes!$C$5:$C$549,0))&lt;&gt;"",INDEX(Clientes!$D$5:$D$549,MATCH(A109,Clientes!$C$5:$C$549,0)),TRIM(INDEX(Clientes!$E$5:$E$549,MATCH(A109,Clientes!$C$5:$C$549,0))&amp;" "&amp;INDEX(Clientes!$F$5:$F$549,MATCH(A109,Clientes!$C$5:$C$549,0)))),"NO EXISTE en Clientes"))</f>
        <v/>
      </c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>
        <f>IF(AND(A109="",D109=""),"",IF(A109="","FALTA doc. cliente",IF(B109="NO EXISTE en Clientes","CLIENTE no está en hoja Clientes",IF(D109="","FALTA dirección",IF(AND(H109&lt;&gt;"",OR(F109="",G109="")),"Distrito requiere departamento y provincia",IF(AND(G109&lt;&gt;"",F109=""),"Provincia requiere departamento",IF((I109&lt;&gt;"")&lt;&gt;(J109&lt;&gt;""),"Latitud y longitud van juntas","OK")))))))</f>
        <v/>
      </c>
      <c r="M109" s="28">
        <f>IF(L109&lt;&gt;"OK","","INSERT INTO cli_direcciones (id_cliente, descripcion, direccion, referencia, id_departamento, id_provincia, id_distrito, latitud, longitud, es_principal, estado) SELECT "&amp;"(SELECT id FROM cli_clientes WHERE numero_documento = '"&amp;SUBSTITUTE(TRIM(A109),"'","''")&amp;"' AND estado = 1 LIMIT 1)"&amp;", "&amp;IF(TRIM(C109&amp;"")="","NULL","'"&amp;SUBSTITUTE(TRIM(C109),"'","''")&amp;"'")&amp;", "&amp;IF(TRIM(D109&amp;"")="","NULL","'"&amp;SUBSTITUTE(TRIM(D109),"'","''")&amp;"'")&amp;", "&amp;IF(TRIM(E109&amp;"")="","NULL","'"&amp;SUBSTITUTE(TRIM(E109),"'","''")&amp;"'")&amp;", "&amp;IF(TRIM(F109&amp;"")="","NULL","(SELECT id FROM gen_departamento WHERE upper(nombre) = upper('"&amp;SUBSTITUTE(TRIM(F109),"'","''")&amp;"') AND estado = 1 LIMIT 1)")&amp;", "&amp;IF(OR(TRIM(F109&amp;"")="",TRIM(G109&amp;"")=""),"NULL","(SELECT p.id FROM gen_provincia p JOIN gen_departamento dp ON dp.id = p.id_departamento WHERE upper(p.nombre) = upper('"&amp;SUBSTITUTE(TRIM(G109),"'","''")&amp;"') AND upper(dp.nombre) = upper('"&amp;SUBSTITUTE(TRIM(F109),"'","''")&amp;"') AND p.estado = 1 LIMIT 1)")&amp;", "&amp;IF(OR(TRIM(F109&amp;"")="",TRIM(G109&amp;"")="",TRIM(H109&amp;"")=""),"NULL","(SELECT d.id FROM gen_distrito d JOIN gen_provincia p ON p.id = d.id_provincia JOIN gen_departamento dp ON dp.id = p.id_departamento WHERE upper(d.nombre) = upper('"&amp;SUBSTITUTE(TRIM(H109),"'","''")&amp;"') AND upper(p.nombre) = upper('"&amp;SUBSTITUTE(TRIM(G109),"'","''")&amp;"') AND upper(dp.nombre) = upper('"&amp;SUBSTITUTE(TRIM(F109),"'","''")&amp;"') AND d.estado = 1 LIMIT 1)")&amp;", "&amp;IF(I109&amp;""="","NULL",SUBSTITUTE(I109&amp;"",",","."))&amp;", "&amp;IF(J109&amp;""="","NULL",SUBSTITUTE(J109&amp;"",",","."))&amp;", "&amp;IF(UPPER(TRIM(K109&amp;""))="SI","TRUE","FALSE")&amp;", 1"&amp;" WHERE NOT EXISTS (SELECT 1 FROM cli_direcciones x WHERE x.id_cliente = "&amp;"(SELECT id FROM cli_clientes WHERE numero_documento = '"&amp;SUBSTITUTE(TRIM(A109),"'","''")&amp;"' AND estado = 1 LIMIT 1)"&amp;" AND upper(x.direccion) = upper("&amp;IF(TRIM(D109&amp;"")="","NULL","'"&amp;SUBSTITUTE(TRIM(D109),"'","''")&amp;"'")&amp;"));")</f>
        <v/>
      </c>
    </row>
    <row r="110" ht="15.75" customHeight="1" s="64">
      <c r="A110" s="23" t="n"/>
      <c r="B110" s="25">
        <f t="array" ref="B110">IF(A110="","",IFERROR(IF(INDEX(Clientes!$D$5:$D$549,MATCH(A110,Clientes!$C$5:$C$549,0))&lt;&gt;"",INDEX(Clientes!$D$5:$D$549,MATCH(A110,Clientes!$C$5:$C$549,0)),TRIM(INDEX(Clientes!$E$5:$E$549,MATCH(A110,Clientes!$C$5:$C$549,0))&amp;" "&amp;INDEX(Clientes!$F$5:$F$549,MATCH(A110,Clientes!$C$5:$C$549,0)))),"NO EXISTE en Clientes"))</f>
        <v/>
      </c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>
        <f>IF(AND(A110="",D110=""),"",IF(A110="","FALTA doc. cliente",IF(B110="NO EXISTE en Clientes","CLIENTE no está en hoja Clientes",IF(D110="","FALTA dirección",IF(AND(H110&lt;&gt;"",OR(F110="",G110="")),"Distrito requiere departamento y provincia",IF(AND(G110&lt;&gt;"",F110=""),"Provincia requiere departamento",IF((I110&lt;&gt;"")&lt;&gt;(J110&lt;&gt;""),"Latitud y longitud van juntas","OK")))))))</f>
        <v/>
      </c>
      <c r="M110" s="28">
        <f>IF(L110&lt;&gt;"OK","","INSERT INTO cli_direcciones (id_cliente, descripcion, direccion, referencia, id_departamento, id_provincia, id_distrito, latitud, longitud, es_principal, estado) SELECT "&amp;"(SELECT id FROM cli_clientes WHERE numero_documento = '"&amp;SUBSTITUTE(TRIM(A110),"'","''")&amp;"' AND estado = 1 LIMIT 1)"&amp;", "&amp;IF(TRIM(C110&amp;"")="","NULL","'"&amp;SUBSTITUTE(TRIM(C110),"'","''")&amp;"'")&amp;", "&amp;IF(TRIM(D110&amp;"")="","NULL","'"&amp;SUBSTITUTE(TRIM(D110),"'","''")&amp;"'")&amp;", "&amp;IF(TRIM(E110&amp;"")="","NULL","'"&amp;SUBSTITUTE(TRIM(E110),"'","''")&amp;"'")&amp;", "&amp;IF(TRIM(F110&amp;"")="","NULL","(SELECT id FROM gen_departamento WHERE upper(nombre) = upper('"&amp;SUBSTITUTE(TRIM(F110),"'","''")&amp;"') AND estado = 1 LIMIT 1)")&amp;", "&amp;IF(OR(TRIM(F110&amp;"")="",TRIM(G110&amp;"")=""),"NULL","(SELECT p.id FROM gen_provincia p JOIN gen_departamento dp ON dp.id = p.id_departamento WHERE upper(p.nombre) = upper('"&amp;SUBSTITUTE(TRIM(G110),"'","''")&amp;"') AND upper(dp.nombre) = upper('"&amp;SUBSTITUTE(TRIM(F110),"'","''")&amp;"') AND p.estado = 1 LIMIT 1)")&amp;", "&amp;IF(OR(TRIM(F110&amp;"")="",TRIM(G110&amp;"")="",TRIM(H110&amp;"")=""),"NULL","(SELECT d.id FROM gen_distrito d JOIN gen_provincia p ON p.id = d.id_provincia JOIN gen_departamento dp ON dp.id = p.id_departamento WHERE upper(d.nombre) = upper('"&amp;SUBSTITUTE(TRIM(H110),"'","''")&amp;"') AND upper(p.nombre) = upper('"&amp;SUBSTITUTE(TRIM(G110),"'","''")&amp;"') AND upper(dp.nombre) = upper('"&amp;SUBSTITUTE(TRIM(F110),"'","''")&amp;"') AND d.estado = 1 LIMIT 1)")&amp;", "&amp;IF(I110&amp;""="","NULL",SUBSTITUTE(I110&amp;"",",","."))&amp;", "&amp;IF(J110&amp;""="","NULL",SUBSTITUTE(J110&amp;"",",","."))&amp;", "&amp;IF(UPPER(TRIM(K110&amp;""))="SI","TRUE","FALSE")&amp;", 1"&amp;" WHERE NOT EXISTS (SELECT 1 FROM cli_direcciones x WHERE x.id_cliente = "&amp;"(SELECT id FROM cli_clientes WHERE numero_documento = '"&amp;SUBSTITUTE(TRIM(A110),"'","''")&amp;"' AND estado = 1 LIMIT 1)"&amp;" AND upper(x.direccion) = upper("&amp;IF(TRIM(D110&amp;"")="","NULL","'"&amp;SUBSTITUTE(TRIM(D110),"'","''")&amp;"'")&amp;"));")</f>
        <v/>
      </c>
    </row>
    <row r="111" ht="15.75" customHeight="1" s="64">
      <c r="A111" s="23" t="n"/>
      <c r="B111" s="25">
        <f t="array" ref="B111">IF(A111="","",IFERROR(IF(INDEX(Clientes!$D$5:$D$549,MATCH(A111,Clientes!$C$5:$C$549,0))&lt;&gt;"",INDEX(Clientes!$D$5:$D$549,MATCH(A111,Clientes!$C$5:$C$549,0)),TRIM(INDEX(Clientes!$E$5:$E$549,MATCH(A111,Clientes!$C$5:$C$549,0))&amp;" "&amp;INDEX(Clientes!$F$5:$F$549,MATCH(A111,Clientes!$C$5:$C$549,0)))),"NO EXISTE en Clientes"))</f>
        <v/>
      </c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>
        <f>IF(AND(A111="",D111=""),"",IF(A111="","FALTA doc. cliente",IF(B111="NO EXISTE en Clientes","CLIENTE no está en hoja Clientes",IF(D111="","FALTA dirección",IF(AND(H111&lt;&gt;"",OR(F111="",G111="")),"Distrito requiere departamento y provincia",IF(AND(G111&lt;&gt;"",F111=""),"Provincia requiere departamento",IF((I111&lt;&gt;"")&lt;&gt;(J111&lt;&gt;""),"Latitud y longitud van juntas","OK")))))))</f>
        <v/>
      </c>
      <c r="M111" s="28">
        <f>IF(L111&lt;&gt;"OK","","INSERT INTO cli_direcciones (id_cliente, descripcion, direccion, referencia, id_departamento, id_provincia, id_distrito, latitud, longitud, es_principal, estado) SELECT "&amp;"(SELECT id FROM cli_clientes WHERE numero_documento = '"&amp;SUBSTITUTE(TRIM(A111),"'","''")&amp;"' AND estado = 1 LIMIT 1)"&amp;", "&amp;IF(TRIM(C111&amp;"")="","NULL","'"&amp;SUBSTITUTE(TRIM(C111),"'","''")&amp;"'")&amp;", "&amp;IF(TRIM(D111&amp;"")="","NULL","'"&amp;SUBSTITUTE(TRIM(D111),"'","''")&amp;"'")&amp;", "&amp;IF(TRIM(E111&amp;"")="","NULL","'"&amp;SUBSTITUTE(TRIM(E111),"'","''")&amp;"'")&amp;", "&amp;IF(TRIM(F111&amp;"")="","NULL","(SELECT id FROM gen_departamento WHERE upper(nombre) = upper('"&amp;SUBSTITUTE(TRIM(F111),"'","''")&amp;"') AND estado = 1 LIMIT 1)")&amp;", "&amp;IF(OR(TRIM(F111&amp;"")="",TRIM(G111&amp;"")=""),"NULL","(SELECT p.id FROM gen_provincia p JOIN gen_departamento dp ON dp.id = p.id_departamento WHERE upper(p.nombre) = upper('"&amp;SUBSTITUTE(TRIM(G111),"'","''")&amp;"') AND upper(dp.nombre) = upper('"&amp;SUBSTITUTE(TRIM(F111),"'","''")&amp;"') AND p.estado = 1 LIMIT 1)")&amp;", "&amp;IF(OR(TRIM(F111&amp;"")="",TRIM(G111&amp;"")="",TRIM(H111&amp;"")=""),"NULL","(SELECT d.id FROM gen_distrito d JOIN gen_provincia p ON p.id = d.id_provincia JOIN gen_departamento dp ON dp.id = p.id_departamento WHERE upper(d.nombre) = upper('"&amp;SUBSTITUTE(TRIM(H111),"'","''")&amp;"') AND upper(p.nombre) = upper('"&amp;SUBSTITUTE(TRIM(G111),"'","''")&amp;"') AND upper(dp.nombre) = upper('"&amp;SUBSTITUTE(TRIM(F111),"'","''")&amp;"') AND d.estado = 1 LIMIT 1)")&amp;", "&amp;IF(I111&amp;""="","NULL",SUBSTITUTE(I111&amp;"",",","."))&amp;", "&amp;IF(J111&amp;""="","NULL",SUBSTITUTE(J111&amp;"",",","."))&amp;", "&amp;IF(UPPER(TRIM(K111&amp;""))="SI","TRUE","FALSE")&amp;", 1"&amp;" WHERE NOT EXISTS (SELECT 1 FROM cli_direcciones x WHERE x.id_cliente = "&amp;"(SELECT id FROM cli_clientes WHERE numero_documento = '"&amp;SUBSTITUTE(TRIM(A111),"'","''")&amp;"' AND estado = 1 LIMIT 1)"&amp;" AND upper(x.direccion) = upper("&amp;IF(TRIM(D111&amp;"")="","NULL","'"&amp;SUBSTITUTE(TRIM(D111),"'","''")&amp;"'")&amp;"));")</f>
        <v/>
      </c>
    </row>
    <row r="112" ht="15.75" customHeight="1" s="64">
      <c r="A112" s="23" t="n"/>
      <c r="B112" s="25">
        <f t="array" ref="B112">IF(A112="","",IFERROR(IF(INDEX(Clientes!$D$5:$D$549,MATCH(A112,Clientes!$C$5:$C$549,0))&lt;&gt;"",INDEX(Clientes!$D$5:$D$549,MATCH(A112,Clientes!$C$5:$C$549,0)),TRIM(INDEX(Clientes!$E$5:$E$549,MATCH(A112,Clientes!$C$5:$C$549,0))&amp;" "&amp;INDEX(Clientes!$F$5:$F$549,MATCH(A112,Clientes!$C$5:$C$549,0)))),"NO EXISTE en Clientes"))</f>
        <v/>
      </c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>
        <f>IF(AND(A112="",D112=""),"",IF(A112="","FALTA doc. cliente",IF(B112="NO EXISTE en Clientes","CLIENTE no está en hoja Clientes",IF(D112="","FALTA dirección",IF(AND(H112&lt;&gt;"",OR(F112="",G112="")),"Distrito requiere departamento y provincia",IF(AND(G112&lt;&gt;"",F112=""),"Provincia requiere departamento",IF((I112&lt;&gt;"")&lt;&gt;(J112&lt;&gt;""),"Latitud y longitud van juntas","OK")))))))</f>
        <v/>
      </c>
      <c r="M112" s="28">
        <f>IF(L112&lt;&gt;"OK","","INSERT INTO cli_direcciones (id_cliente, descripcion, direccion, referencia, id_departamento, id_provincia, id_distrito, latitud, longitud, es_principal, estado) SELECT "&amp;"(SELECT id FROM cli_clientes WHERE numero_documento = '"&amp;SUBSTITUTE(TRIM(A112),"'","''")&amp;"' AND estado = 1 LIMIT 1)"&amp;", "&amp;IF(TRIM(C112&amp;"")="","NULL","'"&amp;SUBSTITUTE(TRIM(C112),"'","''")&amp;"'")&amp;", "&amp;IF(TRIM(D112&amp;"")="","NULL","'"&amp;SUBSTITUTE(TRIM(D112),"'","''")&amp;"'")&amp;", "&amp;IF(TRIM(E112&amp;"")="","NULL","'"&amp;SUBSTITUTE(TRIM(E112),"'","''")&amp;"'")&amp;", "&amp;IF(TRIM(F112&amp;"")="","NULL","(SELECT id FROM gen_departamento WHERE upper(nombre) = upper('"&amp;SUBSTITUTE(TRIM(F112),"'","''")&amp;"') AND estado = 1 LIMIT 1)")&amp;", "&amp;IF(OR(TRIM(F112&amp;"")="",TRIM(G112&amp;"")=""),"NULL","(SELECT p.id FROM gen_provincia p JOIN gen_departamento dp ON dp.id = p.id_departamento WHERE upper(p.nombre) = upper('"&amp;SUBSTITUTE(TRIM(G112),"'","''")&amp;"') AND upper(dp.nombre) = upper('"&amp;SUBSTITUTE(TRIM(F112),"'","''")&amp;"') AND p.estado = 1 LIMIT 1)")&amp;", "&amp;IF(OR(TRIM(F112&amp;"")="",TRIM(G112&amp;"")="",TRIM(H112&amp;"")=""),"NULL","(SELECT d.id FROM gen_distrito d JOIN gen_provincia p ON p.id = d.id_provincia JOIN gen_departamento dp ON dp.id = p.id_departamento WHERE upper(d.nombre) = upper('"&amp;SUBSTITUTE(TRIM(H112),"'","''")&amp;"') AND upper(p.nombre) = upper('"&amp;SUBSTITUTE(TRIM(G112),"'","''")&amp;"') AND upper(dp.nombre) = upper('"&amp;SUBSTITUTE(TRIM(F112),"'","''")&amp;"') AND d.estado = 1 LIMIT 1)")&amp;", "&amp;IF(I112&amp;""="","NULL",SUBSTITUTE(I112&amp;"",",","."))&amp;", "&amp;IF(J112&amp;""="","NULL",SUBSTITUTE(J112&amp;"",",","."))&amp;", "&amp;IF(UPPER(TRIM(K112&amp;""))="SI","TRUE","FALSE")&amp;", 1"&amp;" WHERE NOT EXISTS (SELECT 1 FROM cli_direcciones x WHERE x.id_cliente = "&amp;"(SELECT id FROM cli_clientes WHERE numero_documento = '"&amp;SUBSTITUTE(TRIM(A112),"'","''")&amp;"' AND estado = 1 LIMIT 1)"&amp;" AND upper(x.direccion) = upper("&amp;IF(TRIM(D112&amp;"")="","NULL","'"&amp;SUBSTITUTE(TRIM(D112),"'","''")&amp;"'")&amp;"));")</f>
        <v/>
      </c>
    </row>
    <row r="113" ht="15.75" customHeight="1" s="64">
      <c r="A113" s="23" t="n"/>
      <c r="B113" s="25">
        <f t="array" ref="B113">IF(A113="","",IFERROR(IF(INDEX(Clientes!$D$5:$D$549,MATCH(A113,Clientes!$C$5:$C$549,0))&lt;&gt;"",INDEX(Clientes!$D$5:$D$549,MATCH(A113,Clientes!$C$5:$C$549,0)),TRIM(INDEX(Clientes!$E$5:$E$549,MATCH(A113,Clientes!$C$5:$C$549,0))&amp;" "&amp;INDEX(Clientes!$F$5:$F$549,MATCH(A113,Clientes!$C$5:$C$549,0)))),"NO EXISTE en Clientes"))</f>
        <v/>
      </c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>
        <f>IF(AND(A113="",D113=""),"",IF(A113="","FALTA doc. cliente",IF(B113="NO EXISTE en Clientes","CLIENTE no está en hoja Clientes",IF(D113="","FALTA dirección",IF(AND(H113&lt;&gt;"",OR(F113="",G113="")),"Distrito requiere departamento y provincia",IF(AND(G113&lt;&gt;"",F113=""),"Provincia requiere departamento",IF((I113&lt;&gt;"")&lt;&gt;(J113&lt;&gt;""),"Latitud y longitud van juntas","OK")))))))</f>
        <v/>
      </c>
      <c r="M113" s="28">
        <f>IF(L113&lt;&gt;"OK","","INSERT INTO cli_direcciones (id_cliente, descripcion, direccion, referencia, id_departamento, id_provincia, id_distrito, latitud, longitud, es_principal, estado) SELECT "&amp;"(SELECT id FROM cli_clientes WHERE numero_documento = '"&amp;SUBSTITUTE(TRIM(A113),"'","''")&amp;"' AND estado = 1 LIMIT 1)"&amp;", "&amp;IF(TRIM(C113&amp;"")="","NULL","'"&amp;SUBSTITUTE(TRIM(C113),"'","''")&amp;"'")&amp;", "&amp;IF(TRIM(D113&amp;"")="","NULL","'"&amp;SUBSTITUTE(TRIM(D113),"'","''")&amp;"'")&amp;", "&amp;IF(TRIM(E113&amp;"")="","NULL","'"&amp;SUBSTITUTE(TRIM(E113),"'","''")&amp;"'")&amp;", "&amp;IF(TRIM(F113&amp;"")="","NULL","(SELECT id FROM gen_departamento WHERE upper(nombre) = upper('"&amp;SUBSTITUTE(TRIM(F113),"'","''")&amp;"') AND estado = 1 LIMIT 1)")&amp;", "&amp;IF(OR(TRIM(F113&amp;"")="",TRIM(G113&amp;"")=""),"NULL","(SELECT p.id FROM gen_provincia p JOIN gen_departamento dp ON dp.id = p.id_departamento WHERE upper(p.nombre) = upper('"&amp;SUBSTITUTE(TRIM(G113),"'","''")&amp;"') AND upper(dp.nombre) = upper('"&amp;SUBSTITUTE(TRIM(F113),"'","''")&amp;"') AND p.estado = 1 LIMIT 1)")&amp;", "&amp;IF(OR(TRIM(F113&amp;"")="",TRIM(G113&amp;"")="",TRIM(H113&amp;"")=""),"NULL","(SELECT d.id FROM gen_distrito d JOIN gen_provincia p ON p.id = d.id_provincia JOIN gen_departamento dp ON dp.id = p.id_departamento WHERE upper(d.nombre) = upper('"&amp;SUBSTITUTE(TRIM(H113),"'","''")&amp;"') AND upper(p.nombre) = upper('"&amp;SUBSTITUTE(TRIM(G113),"'","''")&amp;"') AND upper(dp.nombre) = upper('"&amp;SUBSTITUTE(TRIM(F113),"'","''")&amp;"') AND d.estado = 1 LIMIT 1)")&amp;", "&amp;IF(I113&amp;""="","NULL",SUBSTITUTE(I113&amp;"",",","."))&amp;", "&amp;IF(J113&amp;""="","NULL",SUBSTITUTE(J113&amp;"",",","."))&amp;", "&amp;IF(UPPER(TRIM(K113&amp;""))="SI","TRUE","FALSE")&amp;", 1"&amp;" WHERE NOT EXISTS (SELECT 1 FROM cli_direcciones x WHERE x.id_cliente = "&amp;"(SELECT id FROM cli_clientes WHERE numero_documento = '"&amp;SUBSTITUTE(TRIM(A113),"'","''")&amp;"' AND estado = 1 LIMIT 1)"&amp;" AND upper(x.direccion) = upper("&amp;IF(TRIM(D113&amp;"")="","NULL","'"&amp;SUBSTITUTE(TRIM(D113),"'","''")&amp;"'")&amp;"));")</f>
        <v/>
      </c>
    </row>
    <row r="114" ht="15.75" customHeight="1" s="64">
      <c r="A114" s="23" t="n"/>
      <c r="B114" s="25">
        <f t="array" ref="B114">IF(A114="","",IFERROR(IF(INDEX(Clientes!$D$5:$D$549,MATCH(A114,Clientes!$C$5:$C$549,0))&lt;&gt;"",INDEX(Clientes!$D$5:$D$549,MATCH(A114,Clientes!$C$5:$C$549,0)),TRIM(INDEX(Clientes!$E$5:$E$549,MATCH(A114,Clientes!$C$5:$C$549,0))&amp;" "&amp;INDEX(Clientes!$F$5:$F$549,MATCH(A114,Clientes!$C$5:$C$549,0)))),"NO EXISTE en Clientes"))</f>
        <v/>
      </c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>
        <f>IF(AND(A114="",D114=""),"",IF(A114="","FALTA doc. cliente",IF(B114="NO EXISTE en Clientes","CLIENTE no está en hoja Clientes",IF(D114="","FALTA dirección",IF(AND(H114&lt;&gt;"",OR(F114="",G114="")),"Distrito requiere departamento y provincia",IF(AND(G114&lt;&gt;"",F114=""),"Provincia requiere departamento",IF((I114&lt;&gt;"")&lt;&gt;(J114&lt;&gt;""),"Latitud y longitud van juntas","OK")))))))</f>
        <v/>
      </c>
      <c r="M114" s="28">
        <f>IF(L114&lt;&gt;"OK","","INSERT INTO cli_direcciones (id_cliente, descripcion, direccion, referencia, id_departamento, id_provincia, id_distrito, latitud, longitud, es_principal, estado) SELECT "&amp;"(SELECT id FROM cli_clientes WHERE numero_documento = '"&amp;SUBSTITUTE(TRIM(A114),"'","''")&amp;"' AND estado = 1 LIMIT 1)"&amp;", "&amp;IF(TRIM(C114&amp;"")="","NULL","'"&amp;SUBSTITUTE(TRIM(C114),"'","''")&amp;"'")&amp;", "&amp;IF(TRIM(D114&amp;"")="","NULL","'"&amp;SUBSTITUTE(TRIM(D114),"'","''")&amp;"'")&amp;", "&amp;IF(TRIM(E114&amp;"")="","NULL","'"&amp;SUBSTITUTE(TRIM(E114),"'","''")&amp;"'")&amp;", "&amp;IF(TRIM(F114&amp;"")="","NULL","(SELECT id FROM gen_departamento WHERE upper(nombre) = upper('"&amp;SUBSTITUTE(TRIM(F114),"'","''")&amp;"') AND estado = 1 LIMIT 1)")&amp;", "&amp;IF(OR(TRIM(F114&amp;"")="",TRIM(G114&amp;"")=""),"NULL","(SELECT p.id FROM gen_provincia p JOIN gen_departamento dp ON dp.id = p.id_departamento WHERE upper(p.nombre) = upper('"&amp;SUBSTITUTE(TRIM(G114),"'","''")&amp;"') AND upper(dp.nombre) = upper('"&amp;SUBSTITUTE(TRIM(F114),"'","''")&amp;"') AND p.estado = 1 LIMIT 1)")&amp;", "&amp;IF(OR(TRIM(F114&amp;"")="",TRIM(G114&amp;"")="",TRIM(H114&amp;"")=""),"NULL","(SELECT d.id FROM gen_distrito d JOIN gen_provincia p ON p.id = d.id_provincia JOIN gen_departamento dp ON dp.id = p.id_departamento WHERE upper(d.nombre) = upper('"&amp;SUBSTITUTE(TRIM(H114),"'","''")&amp;"') AND upper(p.nombre) = upper('"&amp;SUBSTITUTE(TRIM(G114),"'","''")&amp;"') AND upper(dp.nombre) = upper('"&amp;SUBSTITUTE(TRIM(F114),"'","''")&amp;"') AND d.estado = 1 LIMIT 1)")&amp;", "&amp;IF(I114&amp;""="","NULL",SUBSTITUTE(I114&amp;"",",","."))&amp;", "&amp;IF(J114&amp;""="","NULL",SUBSTITUTE(J114&amp;"",",","."))&amp;", "&amp;IF(UPPER(TRIM(K114&amp;""))="SI","TRUE","FALSE")&amp;", 1"&amp;" WHERE NOT EXISTS (SELECT 1 FROM cli_direcciones x WHERE x.id_cliente = "&amp;"(SELECT id FROM cli_clientes WHERE numero_documento = '"&amp;SUBSTITUTE(TRIM(A114),"'","''")&amp;"' AND estado = 1 LIMIT 1)"&amp;" AND upper(x.direccion) = upper("&amp;IF(TRIM(D114&amp;"")="","NULL","'"&amp;SUBSTITUTE(TRIM(D114),"'","''")&amp;"'")&amp;"));")</f>
        <v/>
      </c>
    </row>
    <row r="115" ht="15.75" customHeight="1" s="64">
      <c r="A115" s="23" t="n"/>
      <c r="B115" s="25">
        <f t="array" ref="B115">IF(A115="","",IFERROR(IF(INDEX(Clientes!$D$5:$D$549,MATCH(A115,Clientes!$C$5:$C$549,0))&lt;&gt;"",INDEX(Clientes!$D$5:$D$549,MATCH(A115,Clientes!$C$5:$C$549,0)),TRIM(INDEX(Clientes!$E$5:$E$549,MATCH(A115,Clientes!$C$5:$C$549,0))&amp;" "&amp;INDEX(Clientes!$F$5:$F$549,MATCH(A115,Clientes!$C$5:$C$549,0)))),"NO EXISTE en Clientes"))</f>
        <v/>
      </c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>
        <f>IF(AND(A115="",D115=""),"",IF(A115="","FALTA doc. cliente",IF(B115="NO EXISTE en Clientes","CLIENTE no está en hoja Clientes",IF(D115="","FALTA dirección",IF(AND(H115&lt;&gt;"",OR(F115="",G115="")),"Distrito requiere departamento y provincia",IF(AND(G115&lt;&gt;"",F115=""),"Provincia requiere departamento",IF((I115&lt;&gt;"")&lt;&gt;(J115&lt;&gt;""),"Latitud y longitud van juntas","OK")))))))</f>
        <v/>
      </c>
      <c r="M115" s="28">
        <f>IF(L115&lt;&gt;"OK","","INSERT INTO cli_direcciones (id_cliente, descripcion, direccion, referencia, id_departamento, id_provincia, id_distrito, latitud, longitud, es_principal, estado) SELECT "&amp;"(SELECT id FROM cli_clientes WHERE numero_documento = '"&amp;SUBSTITUTE(TRIM(A115),"'","''")&amp;"' AND estado = 1 LIMIT 1)"&amp;", "&amp;IF(TRIM(C115&amp;"")="","NULL","'"&amp;SUBSTITUTE(TRIM(C115),"'","''")&amp;"'")&amp;", "&amp;IF(TRIM(D115&amp;"")="","NULL","'"&amp;SUBSTITUTE(TRIM(D115),"'","''")&amp;"'")&amp;", "&amp;IF(TRIM(E115&amp;"")="","NULL","'"&amp;SUBSTITUTE(TRIM(E115),"'","''")&amp;"'")&amp;", "&amp;IF(TRIM(F115&amp;"")="","NULL","(SELECT id FROM gen_departamento WHERE upper(nombre) = upper('"&amp;SUBSTITUTE(TRIM(F115),"'","''")&amp;"') AND estado = 1 LIMIT 1)")&amp;", "&amp;IF(OR(TRIM(F115&amp;"")="",TRIM(G115&amp;"")=""),"NULL","(SELECT p.id FROM gen_provincia p JOIN gen_departamento dp ON dp.id = p.id_departamento WHERE upper(p.nombre) = upper('"&amp;SUBSTITUTE(TRIM(G115),"'","''")&amp;"') AND upper(dp.nombre) = upper('"&amp;SUBSTITUTE(TRIM(F115),"'","''")&amp;"') AND p.estado = 1 LIMIT 1)")&amp;", "&amp;IF(OR(TRIM(F115&amp;"")="",TRIM(G115&amp;"")="",TRIM(H115&amp;"")=""),"NULL","(SELECT d.id FROM gen_distrito d JOIN gen_provincia p ON p.id = d.id_provincia JOIN gen_departamento dp ON dp.id = p.id_departamento WHERE upper(d.nombre) = upper('"&amp;SUBSTITUTE(TRIM(H115),"'","''")&amp;"') AND upper(p.nombre) = upper('"&amp;SUBSTITUTE(TRIM(G115),"'","''")&amp;"') AND upper(dp.nombre) = upper('"&amp;SUBSTITUTE(TRIM(F115),"'","''")&amp;"') AND d.estado = 1 LIMIT 1)")&amp;", "&amp;IF(I115&amp;""="","NULL",SUBSTITUTE(I115&amp;"",",","."))&amp;", "&amp;IF(J115&amp;""="","NULL",SUBSTITUTE(J115&amp;"",",","."))&amp;", "&amp;IF(UPPER(TRIM(K115&amp;""))="SI","TRUE","FALSE")&amp;", 1"&amp;" WHERE NOT EXISTS (SELECT 1 FROM cli_direcciones x WHERE x.id_cliente = "&amp;"(SELECT id FROM cli_clientes WHERE numero_documento = '"&amp;SUBSTITUTE(TRIM(A115),"'","''")&amp;"' AND estado = 1 LIMIT 1)"&amp;" AND upper(x.direccion) = upper("&amp;IF(TRIM(D115&amp;"")="","NULL","'"&amp;SUBSTITUTE(TRIM(D115),"'","''")&amp;"'")&amp;"));")</f>
        <v/>
      </c>
    </row>
    <row r="116" ht="15.75" customHeight="1" s="64">
      <c r="A116" s="23" t="n"/>
      <c r="B116" s="25">
        <f t="array" ref="B116">IF(A116="","",IFERROR(IF(INDEX(Clientes!$D$5:$D$549,MATCH(A116,Clientes!$C$5:$C$549,0))&lt;&gt;"",INDEX(Clientes!$D$5:$D$549,MATCH(A116,Clientes!$C$5:$C$549,0)),TRIM(INDEX(Clientes!$E$5:$E$549,MATCH(A116,Clientes!$C$5:$C$549,0))&amp;" "&amp;INDEX(Clientes!$F$5:$F$549,MATCH(A116,Clientes!$C$5:$C$549,0)))),"NO EXISTE en Clientes"))</f>
        <v/>
      </c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>
        <f>IF(AND(A116="",D116=""),"",IF(A116="","FALTA doc. cliente",IF(B116="NO EXISTE en Clientes","CLIENTE no está en hoja Clientes",IF(D116="","FALTA dirección",IF(AND(H116&lt;&gt;"",OR(F116="",G116="")),"Distrito requiere departamento y provincia",IF(AND(G116&lt;&gt;"",F116=""),"Provincia requiere departamento",IF((I116&lt;&gt;"")&lt;&gt;(J116&lt;&gt;""),"Latitud y longitud van juntas","OK")))))))</f>
        <v/>
      </c>
      <c r="M116" s="28">
        <f>IF(L116&lt;&gt;"OK","","INSERT INTO cli_direcciones (id_cliente, descripcion, direccion, referencia, id_departamento, id_provincia, id_distrito, latitud, longitud, es_principal, estado) SELECT "&amp;"(SELECT id FROM cli_clientes WHERE numero_documento = '"&amp;SUBSTITUTE(TRIM(A116),"'","''")&amp;"' AND estado = 1 LIMIT 1)"&amp;", "&amp;IF(TRIM(C116&amp;"")="","NULL","'"&amp;SUBSTITUTE(TRIM(C116),"'","''")&amp;"'")&amp;", "&amp;IF(TRIM(D116&amp;"")="","NULL","'"&amp;SUBSTITUTE(TRIM(D116),"'","''")&amp;"'")&amp;", "&amp;IF(TRIM(E116&amp;"")="","NULL","'"&amp;SUBSTITUTE(TRIM(E116),"'","''")&amp;"'")&amp;", "&amp;IF(TRIM(F116&amp;"")="","NULL","(SELECT id FROM gen_departamento WHERE upper(nombre) = upper('"&amp;SUBSTITUTE(TRIM(F116),"'","''")&amp;"') AND estado = 1 LIMIT 1)")&amp;", "&amp;IF(OR(TRIM(F116&amp;"")="",TRIM(G116&amp;"")=""),"NULL","(SELECT p.id FROM gen_provincia p JOIN gen_departamento dp ON dp.id = p.id_departamento WHERE upper(p.nombre) = upper('"&amp;SUBSTITUTE(TRIM(G116),"'","''")&amp;"') AND upper(dp.nombre) = upper('"&amp;SUBSTITUTE(TRIM(F116),"'","''")&amp;"') AND p.estado = 1 LIMIT 1)")&amp;", "&amp;IF(OR(TRIM(F116&amp;"")="",TRIM(G116&amp;"")="",TRIM(H116&amp;"")=""),"NULL","(SELECT d.id FROM gen_distrito d JOIN gen_provincia p ON p.id = d.id_provincia JOIN gen_departamento dp ON dp.id = p.id_departamento WHERE upper(d.nombre) = upper('"&amp;SUBSTITUTE(TRIM(H116),"'","''")&amp;"') AND upper(p.nombre) = upper('"&amp;SUBSTITUTE(TRIM(G116),"'","''")&amp;"') AND upper(dp.nombre) = upper('"&amp;SUBSTITUTE(TRIM(F116),"'","''")&amp;"') AND d.estado = 1 LIMIT 1)")&amp;", "&amp;IF(I116&amp;""="","NULL",SUBSTITUTE(I116&amp;"",",","."))&amp;", "&amp;IF(J116&amp;""="","NULL",SUBSTITUTE(J116&amp;"",",","."))&amp;", "&amp;IF(UPPER(TRIM(K116&amp;""))="SI","TRUE","FALSE")&amp;", 1"&amp;" WHERE NOT EXISTS (SELECT 1 FROM cli_direcciones x WHERE x.id_cliente = "&amp;"(SELECT id FROM cli_clientes WHERE numero_documento = '"&amp;SUBSTITUTE(TRIM(A116),"'","''")&amp;"' AND estado = 1 LIMIT 1)"&amp;" AND upper(x.direccion) = upper("&amp;IF(TRIM(D116&amp;"")="","NULL","'"&amp;SUBSTITUTE(TRIM(D116),"'","''")&amp;"'")&amp;"));")</f>
        <v/>
      </c>
    </row>
    <row r="117" ht="15.75" customHeight="1" s="64">
      <c r="A117" s="23" t="n"/>
      <c r="B117" s="25">
        <f t="array" ref="B117">IF(A117="","",IFERROR(IF(INDEX(Clientes!$D$5:$D$549,MATCH(A117,Clientes!$C$5:$C$549,0))&lt;&gt;"",INDEX(Clientes!$D$5:$D$549,MATCH(A117,Clientes!$C$5:$C$549,0)),TRIM(INDEX(Clientes!$E$5:$E$549,MATCH(A117,Clientes!$C$5:$C$549,0))&amp;" "&amp;INDEX(Clientes!$F$5:$F$549,MATCH(A117,Clientes!$C$5:$C$549,0)))),"NO EXISTE en Clientes"))</f>
        <v/>
      </c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>
        <f>IF(AND(A117="",D117=""),"",IF(A117="","FALTA doc. cliente",IF(B117="NO EXISTE en Clientes","CLIENTE no está en hoja Clientes",IF(D117="","FALTA dirección",IF(AND(H117&lt;&gt;"",OR(F117="",G117="")),"Distrito requiere departamento y provincia",IF(AND(G117&lt;&gt;"",F117=""),"Provincia requiere departamento",IF((I117&lt;&gt;"")&lt;&gt;(J117&lt;&gt;""),"Latitud y longitud van juntas","OK")))))))</f>
        <v/>
      </c>
      <c r="M117" s="28">
        <f>IF(L117&lt;&gt;"OK","","INSERT INTO cli_direcciones (id_cliente, descripcion, direccion, referencia, id_departamento, id_provincia, id_distrito, latitud, longitud, es_principal, estado) SELECT "&amp;"(SELECT id FROM cli_clientes WHERE numero_documento = '"&amp;SUBSTITUTE(TRIM(A117),"'","''")&amp;"' AND estado = 1 LIMIT 1)"&amp;", "&amp;IF(TRIM(C117&amp;"")="","NULL","'"&amp;SUBSTITUTE(TRIM(C117),"'","''")&amp;"'")&amp;", "&amp;IF(TRIM(D117&amp;"")="","NULL","'"&amp;SUBSTITUTE(TRIM(D117),"'","''")&amp;"'")&amp;", "&amp;IF(TRIM(E117&amp;"")="","NULL","'"&amp;SUBSTITUTE(TRIM(E117),"'","''")&amp;"'")&amp;", "&amp;IF(TRIM(F117&amp;"")="","NULL","(SELECT id FROM gen_departamento WHERE upper(nombre) = upper('"&amp;SUBSTITUTE(TRIM(F117),"'","''")&amp;"') AND estado = 1 LIMIT 1)")&amp;", "&amp;IF(OR(TRIM(F117&amp;"")="",TRIM(G117&amp;"")=""),"NULL","(SELECT p.id FROM gen_provincia p JOIN gen_departamento dp ON dp.id = p.id_departamento WHERE upper(p.nombre) = upper('"&amp;SUBSTITUTE(TRIM(G117),"'","''")&amp;"') AND upper(dp.nombre) = upper('"&amp;SUBSTITUTE(TRIM(F117),"'","''")&amp;"') AND p.estado = 1 LIMIT 1)")&amp;", "&amp;IF(OR(TRIM(F117&amp;"")="",TRIM(G117&amp;"")="",TRIM(H117&amp;"")=""),"NULL","(SELECT d.id FROM gen_distrito d JOIN gen_provincia p ON p.id = d.id_provincia JOIN gen_departamento dp ON dp.id = p.id_departamento WHERE upper(d.nombre) = upper('"&amp;SUBSTITUTE(TRIM(H117),"'","''")&amp;"') AND upper(p.nombre) = upper('"&amp;SUBSTITUTE(TRIM(G117),"'","''")&amp;"') AND upper(dp.nombre) = upper('"&amp;SUBSTITUTE(TRIM(F117),"'","''")&amp;"') AND d.estado = 1 LIMIT 1)")&amp;", "&amp;IF(I117&amp;""="","NULL",SUBSTITUTE(I117&amp;"",",","."))&amp;", "&amp;IF(J117&amp;""="","NULL",SUBSTITUTE(J117&amp;"",",","."))&amp;", "&amp;IF(UPPER(TRIM(K117&amp;""))="SI","TRUE","FALSE")&amp;", 1"&amp;" WHERE NOT EXISTS (SELECT 1 FROM cli_direcciones x WHERE x.id_cliente = "&amp;"(SELECT id FROM cli_clientes WHERE numero_documento = '"&amp;SUBSTITUTE(TRIM(A117),"'","''")&amp;"' AND estado = 1 LIMIT 1)"&amp;" AND upper(x.direccion) = upper("&amp;IF(TRIM(D117&amp;"")="","NULL","'"&amp;SUBSTITUTE(TRIM(D117),"'","''")&amp;"'")&amp;"));")</f>
        <v/>
      </c>
    </row>
    <row r="118" ht="15.75" customHeight="1" s="64">
      <c r="A118" s="23" t="n"/>
      <c r="B118" s="25">
        <f t="array" ref="B118">IF(A118="","",IFERROR(IF(INDEX(Clientes!$D$5:$D$549,MATCH(A118,Clientes!$C$5:$C$549,0))&lt;&gt;"",INDEX(Clientes!$D$5:$D$549,MATCH(A118,Clientes!$C$5:$C$549,0)),TRIM(INDEX(Clientes!$E$5:$E$549,MATCH(A118,Clientes!$C$5:$C$549,0))&amp;" "&amp;INDEX(Clientes!$F$5:$F$549,MATCH(A118,Clientes!$C$5:$C$549,0)))),"NO EXISTE en Clientes"))</f>
        <v/>
      </c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>
        <f>IF(AND(A118="",D118=""),"",IF(A118="","FALTA doc. cliente",IF(B118="NO EXISTE en Clientes","CLIENTE no está en hoja Clientes",IF(D118="","FALTA dirección",IF(AND(H118&lt;&gt;"",OR(F118="",G118="")),"Distrito requiere departamento y provincia",IF(AND(G118&lt;&gt;"",F118=""),"Provincia requiere departamento",IF((I118&lt;&gt;"")&lt;&gt;(J118&lt;&gt;""),"Latitud y longitud van juntas","OK")))))))</f>
        <v/>
      </c>
      <c r="M118" s="28">
        <f>IF(L118&lt;&gt;"OK","","INSERT INTO cli_direcciones (id_cliente, descripcion, direccion, referencia, id_departamento, id_provincia, id_distrito, latitud, longitud, es_principal, estado) SELECT "&amp;"(SELECT id FROM cli_clientes WHERE numero_documento = '"&amp;SUBSTITUTE(TRIM(A118),"'","''")&amp;"' AND estado = 1 LIMIT 1)"&amp;", "&amp;IF(TRIM(C118&amp;"")="","NULL","'"&amp;SUBSTITUTE(TRIM(C118),"'","''")&amp;"'")&amp;", "&amp;IF(TRIM(D118&amp;"")="","NULL","'"&amp;SUBSTITUTE(TRIM(D118),"'","''")&amp;"'")&amp;", "&amp;IF(TRIM(E118&amp;"")="","NULL","'"&amp;SUBSTITUTE(TRIM(E118),"'","''")&amp;"'")&amp;", "&amp;IF(TRIM(F118&amp;"")="","NULL","(SELECT id FROM gen_departamento WHERE upper(nombre) = upper('"&amp;SUBSTITUTE(TRIM(F118),"'","''")&amp;"') AND estado = 1 LIMIT 1)")&amp;", "&amp;IF(OR(TRIM(F118&amp;"")="",TRIM(G118&amp;"")=""),"NULL","(SELECT p.id FROM gen_provincia p JOIN gen_departamento dp ON dp.id = p.id_departamento WHERE upper(p.nombre) = upper('"&amp;SUBSTITUTE(TRIM(G118),"'","''")&amp;"') AND upper(dp.nombre) = upper('"&amp;SUBSTITUTE(TRIM(F118),"'","''")&amp;"') AND p.estado = 1 LIMIT 1)")&amp;", "&amp;IF(OR(TRIM(F118&amp;"")="",TRIM(G118&amp;"")="",TRIM(H118&amp;"")=""),"NULL","(SELECT d.id FROM gen_distrito d JOIN gen_provincia p ON p.id = d.id_provincia JOIN gen_departamento dp ON dp.id = p.id_departamento WHERE upper(d.nombre) = upper('"&amp;SUBSTITUTE(TRIM(H118),"'","''")&amp;"') AND upper(p.nombre) = upper('"&amp;SUBSTITUTE(TRIM(G118),"'","''")&amp;"') AND upper(dp.nombre) = upper('"&amp;SUBSTITUTE(TRIM(F118),"'","''")&amp;"') AND d.estado = 1 LIMIT 1)")&amp;", "&amp;IF(I118&amp;""="","NULL",SUBSTITUTE(I118&amp;"",",","."))&amp;", "&amp;IF(J118&amp;""="","NULL",SUBSTITUTE(J118&amp;"",",","."))&amp;", "&amp;IF(UPPER(TRIM(K118&amp;""))="SI","TRUE","FALSE")&amp;", 1"&amp;" WHERE NOT EXISTS (SELECT 1 FROM cli_direcciones x WHERE x.id_cliente = "&amp;"(SELECT id FROM cli_clientes WHERE numero_documento = '"&amp;SUBSTITUTE(TRIM(A118),"'","''")&amp;"' AND estado = 1 LIMIT 1)"&amp;" AND upper(x.direccion) = upper("&amp;IF(TRIM(D118&amp;"")="","NULL","'"&amp;SUBSTITUTE(TRIM(D118),"'","''")&amp;"'")&amp;"));")</f>
        <v/>
      </c>
    </row>
    <row r="119" ht="15.75" customHeight="1" s="64">
      <c r="A119" s="23" t="n"/>
      <c r="B119" s="25">
        <f t="array" ref="B119">IF(A119="","",IFERROR(IF(INDEX(Clientes!$D$5:$D$549,MATCH(A119,Clientes!$C$5:$C$549,0))&lt;&gt;"",INDEX(Clientes!$D$5:$D$549,MATCH(A119,Clientes!$C$5:$C$549,0)),TRIM(INDEX(Clientes!$E$5:$E$549,MATCH(A119,Clientes!$C$5:$C$549,0))&amp;" "&amp;INDEX(Clientes!$F$5:$F$549,MATCH(A119,Clientes!$C$5:$C$549,0)))),"NO EXISTE en Clientes"))</f>
        <v/>
      </c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>
        <f>IF(AND(A119="",D119=""),"",IF(A119="","FALTA doc. cliente",IF(B119="NO EXISTE en Clientes","CLIENTE no está en hoja Clientes",IF(D119="","FALTA dirección",IF(AND(H119&lt;&gt;"",OR(F119="",G119="")),"Distrito requiere departamento y provincia",IF(AND(G119&lt;&gt;"",F119=""),"Provincia requiere departamento",IF((I119&lt;&gt;"")&lt;&gt;(J119&lt;&gt;""),"Latitud y longitud van juntas","OK")))))))</f>
        <v/>
      </c>
      <c r="M119" s="28">
        <f>IF(L119&lt;&gt;"OK","","INSERT INTO cli_direcciones (id_cliente, descripcion, direccion, referencia, id_departamento, id_provincia, id_distrito, latitud, longitud, es_principal, estado) SELECT "&amp;"(SELECT id FROM cli_clientes WHERE numero_documento = '"&amp;SUBSTITUTE(TRIM(A119),"'","''")&amp;"' AND estado = 1 LIMIT 1)"&amp;", "&amp;IF(TRIM(C119&amp;"")="","NULL","'"&amp;SUBSTITUTE(TRIM(C119),"'","''")&amp;"'")&amp;", "&amp;IF(TRIM(D119&amp;"")="","NULL","'"&amp;SUBSTITUTE(TRIM(D119),"'","''")&amp;"'")&amp;", "&amp;IF(TRIM(E119&amp;"")="","NULL","'"&amp;SUBSTITUTE(TRIM(E119),"'","''")&amp;"'")&amp;", "&amp;IF(TRIM(F119&amp;"")="","NULL","(SELECT id FROM gen_departamento WHERE upper(nombre) = upper('"&amp;SUBSTITUTE(TRIM(F119),"'","''")&amp;"') AND estado = 1 LIMIT 1)")&amp;", "&amp;IF(OR(TRIM(F119&amp;"")="",TRIM(G119&amp;"")=""),"NULL","(SELECT p.id FROM gen_provincia p JOIN gen_departamento dp ON dp.id = p.id_departamento WHERE upper(p.nombre) = upper('"&amp;SUBSTITUTE(TRIM(G119),"'","''")&amp;"') AND upper(dp.nombre) = upper('"&amp;SUBSTITUTE(TRIM(F119),"'","''")&amp;"') AND p.estado = 1 LIMIT 1)")&amp;", "&amp;IF(OR(TRIM(F119&amp;"")="",TRIM(G119&amp;"")="",TRIM(H119&amp;"")=""),"NULL","(SELECT d.id FROM gen_distrito d JOIN gen_provincia p ON p.id = d.id_provincia JOIN gen_departamento dp ON dp.id = p.id_departamento WHERE upper(d.nombre) = upper('"&amp;SUBSTITUTE(TRIM(H119),"'","''")&amp;"') AND upper(p.nombre) = upper('"&amp;SUBSTITUTE(TRIM(G119),"'","''")&amp;"') AND upper(dp.nombre) = upper('"&amp;SUBSTITUTE(TRIM(F119),"'","''")&amp;"') AND d.estado = 1 LIMIT 1)")&amp;", "&amp;IF(I119&amp;""="","NULL",SUBSTITUTE(I119&amp;"",",","."))&amp;", "&amp;IF(J119&amp;""="","NULL",SUBSTITUTE(J119&amp;"",",","."))&amp;", "&amp;IF(UPPER(TRIM(K119&amp;""))="SI","TRUE","FALSE")&amp;", 1"&amp;" WHERE NOT EXISTS (SELECT 1 FROM cli_direcciones x WHERE x.id_cliente = "&amp;"(SELECT id FROM cli_clientes WHERE numero_documento = '"&amp;SUBSTITUTE(TRIM(A119),"'","''")&amp;"' AND estado = 1 LIMIT 1)"&amp;" AND upper(x.direccion) = upper("&amp;IF(TRIM(D119&amp;"")="","NULL","'"&amp;SUBSTITUTE(TRIM(D119),"'","''")&amp;"'")&amp;"));")</f>
        <v/>
      </c>
    </row>
    <row r="120" ht="15.75" customHeight="1" s="64">
      <c r="A120" s="23" t="n"/>
      <c r="B120" s="25">
        <f t="array" ref="B120">IF(A120="","",IFERROR(IF(INDEX(Clientes!$D$5:$D$549,MATCH(A120,Clientes!$C$5:$C$549,0))&lt;&gt;"",INDEX(Clientes!$D$5:$D$549,MATCH(A120,Clientes!$C$5:$C$549,0)),TRIM(INDEX(Clientes!$E$5:$E$549,MATCH(A120,Clientes!$C$5:$C$549,0))&amp;" "&amp;INDEX(Clientes!$F$5:$F$549,MATCH(A120,Clientes!$C$5:$C$549,0)))),"NO EXISTE en Clientes"))</f>
        <v/>
      </c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>
        <f>IF(AND(A120="",D120=""),"",IF(A120="","FALTA doc. cliente",IF(B120="NO EXISTE en Clientes","CLIENTE no está en hoja Clientes",IF(D120="","FALTA dirección",IF(AND(H120&lt;&gt;"",OR(F120="",G120="")),"Distrito requiere departamento y provincia",IF(AND(G120&lt;&gt;"",F120=""),"Provincia requiere departamento",IF((I120&lt;&gt;"")&lt;&gt;(J120&lt;&gt;""),"Latitud y longitud van juntas","OK")))))))</f>
        <v/>
      </c>
      <c r="M120" s="28">
        <f>IF(L120&lt;&gt;"OK","","INSERT INTO cli_direcciones (id_cliente, descripcion, direccion, referencia, id_departamento, id_provincia, id_distrito, latitud, longitud, es_principal, estado) SELECT "&amp;"(SELECT id FROM cli_clientes WHERE numero_documento = '"&amp;SUBSTITUTE(TRIM(A120),"'","''")&amp;"' AND estado = 1 LIMIT 1)"&amp;", "&amp;IF(TRIM(C120&amp;"")="","NULL","'"&amp;SUBSTITUTE(TRIM(C120),"'","''")&amp;"'")&amp;", "&amp;IF(TRIM(D120&amp;"")="","NULL","'"&amp;SUBSTITUTE(TRIM(D120),"'","''")&amp;"'")&amp;", "&amp;IF(TRIM(E120&amp;"")="","NULL","'"&amp;SUBSTITUTE(TRIM(E120),"'","''")&amp;"'")&amp;", "&amp;IF(TRIM(F120&amp;"")="","NULL","(SELECT id FROM gen_departamento WHERE upper(nombre) = upper('"&amp;SUBSTITUTE(TRIM(F120),"'","''")&amp;"') AND estado = 1 LIMIT 1)")&amp;", "&amp;IF(OR(TRIM(F120&amp;"")="",TRIM(G120&amp;"")=""),"NULL","(SELECT p.id FROM gen_provincia p JOIN gen_departamento dp ON dp.id = p.id_departamento WHERE upper(p.nombre) = upper('"&amp;SUBSTITUTE(TRIM(G120),"'","''")&amp;"') AND upper(dp.nombre) = upper('"&amp;SUBSTITUTE(TRIM(F120),"'","''")&amp;"') AND p.estado = 1 LIMIT 1)")&amp;", "&amp;IF(OR(TRIM(F120&amp;"")="",TRIM(G120&amp;"")="",TRIM(H120&amp;"")=""),"NULL","(SELECT d.id FROM gen_distrito d JOIN gen_provincia p ON p.id = d.id_provincia JOIN gen_departamento dp ON dp.id = p.id_departamento WHERE upper(d.nombre) = upper('"&amp;SUBSTITUTE(TRIM(H120),"'","''")&amp;"') AND upper(p.nombre) = upper('"&amp;SUBSTITUTE(TRIM(G120),"'","''")&amp;"') AND upper(dp.nombre) = upper('"&amp;SUBSTITUTE(TRIM(F120),"'","''")&amp;"') AND d.estado = 1 LIMIT 1)")&amp;", "&amp;IF(I120&amp;""="","NULL",SUBSTITUTE(I120&amp;"",",","."))&amp;", "&amp;IF(J120&amp;""="","NULL",SUBSTITUTE(J120&amp;"",",","."))&amp;", "&amp;IF(UPPER(TRIM(K120&amp;""))="SI","TRUE","FALSE")&amp;", 1"&amp;" WHERE NOT EXISTS (SELECT 1 FROM cli_direcciones x WHERE x.id_cliente = "&amp;"(SELECT id FROM cli_clientes WHERE numero_documento = '"&amp;SUBSTITUTE(TRIM(A120),"'","''")&amp;"' AND estado = 1 LIMIT 1)"&amp;" AND upper(x.direccion) = upper("&amp;IF(TRIM(D120&amp;"")="","NULL","'"&amp;SUBSTITUTE(TRIM(D120),"'","''")&amp;"'")&amp;"));")</f>
        <v/>
      </c>
    </row>
    <row r="121" ht="15.75" customHeight="1" s="64">
      <c r="A121" s="23" t="n"/>
      <c r="B121" s="25">
        <f t="array" ref="B121">IF(A121="","",IFERROR(IF(INDEX(Clientes!$D$5:$D$549,MATCH(A121,Clientes!$C$5:$C$549,0))&lt;&gt;"",INDEX(Clientes!$D$5:$D$549,MATCH(A121,Clientes!$C$5:$C$549,0)),TRIM(INDEX(Clientes!$E$5:$E$549,MATCH(A121,Clientes!$C$5:$C$549,0))&amp;" "&amp;INDEX(Clientes!$F$5:$F$549,MATCH(A121,Clientes!$C$5:$C$549,0)))),"NO EXISTE en Clientes"))</f>
        <v/>
      </c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>
        <f>IF(AND(A121="",D121=""),"",IF(A121="","FALTA doc. cliente",IF(B121="NO EXISTE en Clientes","CLIENTE no está en hoja Clientes",IF(D121="","FALTA dirección",IF(AND(H121&lt;&gt;"",OR(F121="",G121="")),"Distrito requiere departamento y provincia",IF(AND(G121&lt;&gt;"",F121=""),"Provincia requiere departamento",IF((I121&lt;&gt;"")&lt;&gt;(J121&lt;&gt;""),"Latitud y longitud van juntas","OK")))))))</f>
        <v/>
      </c>
      <c r="M121" s="28">
        <f>IF(L121&lt;&gt;"OK","","INSERT INTO cli_direcciones (id_cliente, descripcion, direccion, referencia, id_departamento, id_provincia, id_distrito, latitud, longitud, es_principal, estado) SELECT "&amp;"(SELECT id FROM cli_clientes WHERE numero_documento = '"&amp;SUBSTITUTE(TRIM(A121),"'","''")&amp;"' AND estado = 1 LIMIT 1)"&amp;", "&amp;IF(TRIM(C121&amp;"")="","NULL","'"&amp;SUBSTITUTE(TRIM(C121),"'","''")&amp;"'")&amp;", "&amp;IF(TRIM(D121&amp;"")="","NULL","'"&amp;SUBSTITUTE(TRIM(D121),"'","''")&amp;"'")&amp;", "&amp;IF(TRIM(E121&amp;"")="","NULL","'"&amp;SUBSTITUTE(TRIM(E121),"'","''")&amp;"'")&amp;", "&amp;IF(TRIM(F121&amp;"")="","NULL","(SELECT id FROM gen_departamento WHERE upper(nombre) = upper('"&amp;SUBSTITUTE(TRIM(F121),"'","''")&amp;"') AND estado = 1 LIMIT 1)")&amp;", "&amp;IF(OR(TRIM(F121&amp;"")="",TRIM(G121&amp;"")=""),"NULL","(SELECT p.id FROM gen_provincia p JOIN gen_departamento dp ON dp.id = p.id_departamento WHERE upper(p.nombre) = upper('"&amp;SUBSTITUTE(TRIM(G121),"'","''")&amp;"') AND upper(dp.nombre) = upper('"&amp;SUBSTITUTE(TRIM(F121),"'","''")&amp;"') AND p.estado = 1 LIMIT 1)")&amp;", "&amp;IF(OR(TRIM(F121&amp;"")="",TRIM(G121&amp;"")="",TRIM(H121&amp;"")=""),"NULL","(SELECT d.id FROM gen_distrito d JOIN gen_provincia p ON p.id = d.id_provincia JOIN gen_departamento dp ON dp.id = p.id_departamento WHERE upper(d.nombre) = upper('"&amp;SUBSTITUTE(TRIM(H121),"'","''")&amp;"') AND upper(p.nombre) = upper('"&amp;SUBSTITUTE(TRIM(G121),"'","''")&amp;"') AND upper(dp.nombre) = upper('"&amp;SUBSTITUTE(TRIM(F121),"'","''")&amp;"') AND d.estado = 1 LIMIT 1)")&amp;", "&amp;IF(I121&amp;""="","NULL",SUBSTITUTE(I121&amp;"",",","."))&amp;", "&amp;IF(J121&amp;""="","NULL",SUBSTITUTE(J121&amp;"",",","."))&amp;", "&amp;IF(UPPER(TRIM(K121&amp;""))="SI","TRUE","FALSE")&amp;", 1"&amp;" WHERE NOT EXISTS (SELECT 1 FROM cli_direcciones x WHERE x.id_cliente = "&amp;"(SELECT id FROM cli_clientes WHERE numero_documento = '"&amp;SUBSTITUTE(TRIM(A121),"'","''")&amp;"' AND estado = 1 LIMIT 1)"&amp;" AND upper(x.direccion) = upper("&amp;IF(TRIM(D121&amp;"")="","NULL","'"&amp;SUBSTITUTE(TRIM(D121),"'","''")&amp;"'")&amp;"));")</f>
        <v/>
      </c>
    </row>
    <row r="122" ht="15.75" customHeight="1" s="64">
      <c r="A122" s="23" t="n"/>
      <c r="B122" s="25">
        <f t="array" ref="B122">IF(A122="","",IFERROR(IF(INDEX(Clientes!$D$5:$D$549,MATCH(A122,Clientes!$C$5:$C$549,0))&lt;&gt;"",INDEX(Clientes!$D$5:$D$549,MATCH(A122,Clientes!$C$5:$C$549,0)),TRIM(INDEX(Clientes!$E$5:$E$549,MATCH(A122,Clientes!$C$5:$C$549,0))&amp;" "&amp;INDEX(Clientes!$F$5:$F$549,MATCH(A122,Clientes!$C$5:$C$549,0)))),"NO EXISTE en Clientes"))</f>
        <v/>
      </c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>
        <f>IF(AND(A122="",D122=""),"",IF(A122="","FALTA doc. cliente",IF(B122="NO EXISTE en Clientes","CLIENTE no está en hoja Clientes",IF(D122="","FALTA dirección",IF(AND(H122&lt;&gt;"",OR(F122="",G122="")),"Distrito requiere departamento y provincia",IF(AND(G122&lt;&gt;"",F122=""),"Provincia requiere departamento",IF((I122&lt;&gt;"")&lt;&gt;(J122&lt;&gt;""),"Latitud y longitud van juntas","OK")))))))</f>
        <v/>
      </c>
      <c r="M122" s="28">
        <f>IF(L122&lt;&gt;"OK","","INSERT INTO cli_direcciones (id_cliente, descripcion, direccion, referencia, id_departamento, id_provincia, id_distrito, latitud, longitud, es_principal, estado) SELECT "&amp;"(SELECT id FROM cli_clientes WHERE numero_documento = '"&amp;SUBSTITUTE(TRIM(A122),"'","''")&amp;"' AND estado = 1 LIMIT 1)"&amp;", "&amp;IF(TRIM(C122&amp;"")="","NULL","'"&amp;SUBSTITUTE(TRIM(C122),"'","''")&amp;"'")&amp;", "&amp;IF(TRIM(D122&amp;"")="","NULL","'"&amp;SUBSTITUTE(TRIM(D122),"'","''")&amp;"'")&amp;", "&amp;IF(TRIM(E122&amp;"")="","NULL","'"&amp;SUBSTITUTE(TRIM(E122),"'","''")&amp;"'")&amp;", "&amp;IF(TRIM(F122&amp;"")="","NULL","(SELECT id FROM gen_departamento WHERE upper(nombre) = upper('"&amp;SUBSTITUTE(TRIM(F122),"'","''")&amp;"') AND estado = 1 LIMIT 1)")&amp;", "&amp;IF(OR(TRIM(F122&amp;"")="",TRIM(G122&amp;"")=""),"NULL","(SELECT p.id FROM gen_provincia p JOIN gen_departamento dp ON dp.id = p.id_departamento WHERE upper(p.nombre) = upper('"&amp;SUBSTITUTE(TRIM(G122),"'","''")&amp;"') AND upper(dp.nombre) = upper('"&amp;SUBSTITUTE(TRIM(F122),"'","''")&amp;"') AND p.estado = 1 LIMIT 1)")&amp;", "&amp;IF(OR(TRIM(F122&amp;"")="",TRIM(G122&amp;"")="",TRIM(H122&amp;"")=""),"NULL","(SELECT d.id FROM gen_distrito d JOIN gen_provincia p ON p.id = d.id_provincia JOIN gen_departamento dp ON dp.id = p.id_departamento WHERE upper(d.nombre) = upper('"&amp;SUBSTITUTE(TRIM(H122),"'","''")&amp;"') AND upper(p.nombre) = upper('"&amp;SUBSTITUTE(TRIM(G122),"'","''")&amp;"') AND upper(dp.nombre) = upper('"&amp;SUBSTITUTE(TRIM(F122),"'","''")&amp;"') AND d.estado = 1 LIMIT 1)")&amp;", "&amp;IF(I122&amp;""="","NULL",SUBSTITUTE(I122&amp;"",",","."))&amp;", "&amp;IF(J122&amp;""="","NULL",SUBSTITUTE(J122&amp;"",",","."))&amp;", "&amp;IF(UPPER(TRIM(K122&amp;""))="SI","TRUE","FALSE")&amp;", 1"&amp;" WHERE NOT EXISTS (SELECT 1 FROM cli_direcciones x WHERE x.id_cliente = "&amp;"(SELECT id FROM cli_clientes WHERE numero_documento = '"&amp;SUBSTITUTE(TRIM(A122),"'","''")&amp;"' AND estado = 1 LIMIT 1)"&amp;" AND upper(x.direccion) = upper("&amp;IF(TRIM(D122&amp;"")="","NULL","'"&amp;SUBSTITUTE(TRIM(D122),"'","''")&amp;"'")&amp;"));")</f>
        <v/>
      </c>
    </row>
    <row r="123" ht="15.75" customHeight="1" s="64">
      <c r="A123" s="23" t="n"/>
      <c r="B123" s="25">
        <f t="array" ref="B123">IF(A123="","",IFERROR(IF(INDEX(Clientes!$D$5:$D$549,MATCH(A123,Clientes!$C$5:$C$549,0))&lt;&gt;"",INDEX(Clientes!$D$5:$D$549,MATCH(A123,Clientes!$C$5:$C$549,0)),TRIM(INDEX(Clientes!$E$5:$E$549,MATCH(A123,Clientes!$C$5:$C$549,0))&amp;" "&amp;INDEX(Clientes!$F$5:$F$549,MATCH(A123,Clientes!$C$5:$C$549,0)))),"NO EXISTE en Clientes"))</f>
        <v/>
      </c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>
        <f>IF(AND(A123="",D123=""),"",IF(A123="","FALTA doc. cliente",IF(B123="NO EXISTE en Clientes","CLIENTE no está en hoja Clientes",IF(D123="","FALTA dirección",IF(AND(H123&lt;&gt;"",OR(F123="",G123="")),"Distrito requiere departamento y provincia",IF(AND(G123&lt;&gt;"",F123=""),"Provincia requiere departamento",IF((I123&lt;&gt;"")&lt;&gt;(J123&lt;&gt;""),"Latitud y longitud van juntas","OK")))))))</f>
        <v/>
      </c>
      <c r="M123" s="28">
        <f>IF(L123&lt;&gt;"OK","","INSERT INTO cli_direcciones (id_cliente, descripcion, direccion, referencia, id_departamento, id_provincia, id_distrito, latitud, longitud, es_principal, estado) SELECT "&amp;"(SELECT id FROM cli_clientes WHERE numero_documento = '"&amp;SUBSTITUTE(TRIM(A123),"'","''")&amp;"' AND estado = 1 LIMIT 1)"&amp;", "&amp;IF(TRIM(C123&amp;"")="","NULL","'"&amp;SUBSTITUTE(TRIM(C123),"'","''")&amp;"'")&amp;", "&amp;IF(TRIM(D123&amp;"")="","NULL","'"&amp;SUBSTITUTE(TRIM(D123),"'","''")&amp;"'")&amp;", "&amp;IF(TRIM(E123&amp;"")="","NULL","'"&amp;SUBSTITUTE(TRIM(E123),"'","''")&amp;"'")&amp;", "&amp;IF(TRIM(F123&amp;"")="","NULL","(SELECT id FROM gen_departamento WHERE upper(nombre) = upper('"&amp;SUBSTITUTE(TRIM(F123),"'","''")&amp;"') AND estado = 1 LIMIT 1)")&amp;", "&amp;IF(OR(TRIM(F123&amp;"")="",TRIM(G123&amp;"")=""),"NULL","(SELECT p.id FROM gen_provincia p JOIN gen_departamento dp ON dp.id = p.id_departamento WHERE upper(p.nombre) = upper('"&amp;SUBSTITUTE(TRIM(G123),"'","''")&amp;"') AND upper(dp.nombre) = upper('"&amp;SUBSTITUTE(TRIM(F123),"'","''")&amp;"') AND p.estado = 1 LIMIT 1)")&amp;", "&amp;IF(OR(TRIM(F123&amp;"")="",TRIM(G123&amp;"")="",TRIM(H123&amp;"")=""),"NULL","(SELECT d.id FROM gen_distrito d JOIN gen_provincia p ON p.id = d.id_provincia JOIN gen_departamento dp ON dp.id = p.id_departamento WHERE upper(d.nombre) = upper('"&amp;SUBSTITUTE(TRIM(H123),"'","''")&amp;"') AND upper(p.nombre) = upper('"&amp;SUBSTITUTE(TRIM(G123),"'","''")&amp;"') AND upper(dp.nombre) = upper('"&amp;SUBSTITUTE(TRIM(F123),"'","''")&amp;"') AND d.estado = 1 LIMIT 1)")&amp;", "&amp;IF(I123&amp;""="","NULL",SUBSTITUTE(I123&amp;"",",","."))&amp;", "&amp;IF(J123&amp;""="","NULL",SUBSTITUTE(J123&amp;"",",","."))&amp;", "&amp;IF(UPPER(TRIM(K123&amp;""))="SI","TRUE","FALSE")&amp;", 1"&amp;" WHERE NOT EXISTS (SELECT 1 FROM cli_direcciones x WHERE x.id_cliente = "&amp;"(SELECT id FROM cli_clientes WHERE numero_documento = '"&amp;SUBSTITUTE(TRIM(A123),"'","''")&amp;"' AND estado = 1 LIMIT 1)"&amp;" AND upper(x.direccion) = upper("&amp;IF(TRIM(D123&amp;"")="","NULL","'"&amp;SUBSTITUTE(TRIM(D123),"'","''")&amp;"'")&amp;"));")</f>
        <v/>
      </c>
    </row>
    <row r="124" ht="15.75" customHeight="1" s="64">
      <c r="A124" s="23" t="n"/>
      <c r="B124" s="25">
        <f t="array" ref="B124">IF(A124="","",IFERROR(IF(INDEX(Clientes!$D$5:$D$549,MATCH(A124,Clientes!$C$5:$C$549,0))&lt;&gt;"",INDEX(Clientes!$D$5:$D$549,MATCH(A124,Clientes!$C$5:$C$549,0)),TRIM(INDEX(Clientes!$E$5:$E$549,MATCH(A124,Clientes!$C$5:$C$549,0))&amp;" "&amp;INDEX(Clientes!$F$5:$F$549,MATCH(A124,Clientes!$C$5:$C$549,0)))),"NO EXISTE en Clientes"))</f>
        <v/>
      </c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>
        <f>IF(AND(A124="",D124=""),"",IF(A124="","FALTA doc. cliente",IF(B124="NO EXISTE en Clientes","CLIENTE no está en hoja Clientes",IF(D124="","FALTA dirección",IF(AND(H124&lt;&gt;"",OR(F124="",G124="")),"Distrito requiere departamento y provincia",IF(AND(G124&lt;&gt;"",F124=""),"Provincia requiere departamento",IF((I124&lt;&gt;"")&lt;&gt;(J124&lt;&gt;""),"Latitud y longitud van juntas","OK")))))))</f>
        <v/>
      </c>
      <c r="M124" s="28">
        <f>IF(L124&lt;&gt;"OK","","INSERT INTO cli_direcciones (id_cliente, descripcion, direccion, referencia, id_departamento, id_provincia, id_distrito, latitud, longitud, es_principal, estado) SELECT "&amp;"(SELECT id FROM cli_clientes WHERE numero_documento = '"&amp;SUBSTITUTE(TRIM(A124),"'","''")&amp;"' AND estado = 1 LIMIT 1)"&amp;", "&amp;IF(TRIM(C124&amp;"")="","NULL","'"&amp;SUBSTITUTE(TRIM(C124),"'","''")&amp;"'")&amp;", "&amp;IF(TRIM(D124&amp;"")="","NULL","'"&amp;SUBSTITUTE(TRIM(D124),"'","''")&amp;"'")&amp;", "&amp;IF(TRIM(E124&amp;"")="","NULL","'"&amp;SUBSTITUTE(TRIM(E124),"'","''")&amp;"'")&amp;", "&amp;IF(TRIM(F124&amp;"")="","NULL","(SELECT id FROM gen_departamento WHERE upper(nombre) = upper('"&amp;SUBSTITUTE(TRIM(F124),"'","''")&amp;"') AND estado = 1 LIMIT 1)")&amp;", "&amp;IF(OR(TRIM(F124&amp;"")="",TRIM(G124&amp;"")=""),"NULL","(SELECT p.id FROM gen_provincia p JOIN gen_departamento dp ON dp.id = p.id_departamento WHERE upper(p.nombre) = upper('"&amp;SUBSTITUTE(TRIM(G124),"'","''")&amp;"') AND upper(dp.nombre) = upper('"&amp;SUBSTITUTE(TRIM(F124),"'","''")&amp;"') AND p.estado = 1 LIMIT 1)")&amp;", "&amp;IF(OR(TRIM(F124&amp;"")="",TRIM(G124&amp;"")="",TRIM(H124&amp;"")=""),"NULL","(SELECT d.id FROM gen_distrito d JOIN gen_provincia p ON p.id = d.id_provincia JOIN gen_departamento dp ON dp.id = p.id_departamento WHERE upper(d.nombre) = upper('"&amp;SUBSTITUTE(TRIM(H124),"'","''")&amp;"') AND upper(p.nombre) = upper('"&amp;SUBSTITUTE(TRIM(G124),"'","''")&amp;"') AND upper(dp.nombre) = upper('"&amp;SUBSTITUTE(TRIM(F124),"'","''")&amp;"') AND d.estado = 1 LIMIT 1)")&amp;", "&amp;IF(I124&amp;""="","NULL",SUBSTITUTE(I124&amp;"",",","."))&amp;", "&amp;IF(J124&amp;""="","NULL",SUBSTITUTE(J124&amp;"",",","."))&amp;", "&amp;IF(UPPER(TRIM(K124&amp;""))="SI","TRUE","FALSE")&amp;", 1"&amp;" WHERE NOT EXISTS (SELECT 1 FROM cli_direcciones x WHERE x.id_cliente = "&amp;"(SELECT id FROM cli_clientes WHERE numero_documento = '"&amp;SUBSTITUTE(TRIM(A124),"'","''")&amp;"' AND estado = 1 LIMIT 1)"&amp;" AND upper(x.direccion) = upper("&amp;IF(TRIM(D124&amp;"")="","NULL","'"&amp;SUBSTITUTE(TRIM(D124),"'","''")&amp;"'")&amp;"));")</f>
        <v/>
      </c>
    </row>
    <row r="125" ht="15.75" customHeight="1" s="64">
      <c r="A125" s="23" t="n"/>
      <c r="B125" s="25">
        <f t="array" ref="B125">IF(A125="","",IFERROR(IF(INDEX(Clientes!$D$5:$D$549,MATCH(A125,Clientes!$C$5:$C$549,0))&lt;&gt;"",INDEX(Clientes!$D$5:$D$549,MATCH(A125,Clientes!$C$5:$C$549,0)),TRIM(INDEX(Clientes!$E$5:$E$549,MATCH(A125,Clientes!$C$5:$C$549,0))&amp;" "&amp;INDEX(Clientes!$F$5:$F$549,MATCH(A125,Clientes!$C$5:$C$549,0)))),"NO EXISTE en Clientes"))</f>
        <v/>
      </c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>
        <f>IF(AND(A125="",D125=""),"",IF(A125="","FALTA doc. cliente",IF(B125="NO EXISTE en Clientes","CLIENTE no está en hoja Clientes",IF(D125="","FALTA dirección",IF(AND(H125&lt;&gt;"",OR(F125="",G125="")),"Distrito requiere departamento y provincia",IF(AND(G125&lt;&gt;"",F125=""),"Provincia requiere departamento",IF((I125&lt;&gt;"")&lt;&gt;(J125&lt;&gt;""),"Latitud y longitud van juntas","OK")))))))</f>
        <v/>
      </c>
      <c r="M125" s="28">
        <f>IF(L125&lt;&gt;"OK","","INSERT INTO cli_direcciones (id_cliente, descripcion, direccion, referencia, id_departamento, id_provincia, id_distrito, latitud, longitud, es_principal, estado) SELECT "&amp;"(SELECT id FROM cli_clientes WHERE numero_documento = '"&amp;SUBSTITUTE(TRIM(A125),"'","''")&amp;"' AND estado = 1 LIMIT 1)"&amp;", "&amp;IF(TRIM(C125&amp;"")="","NULL","'"&amp;SUBSTITUTE(TRIM(C125),"'","''")&amp;"'")&amp;", "&amp;IF(TRIM(D125&amp;"")="","NULL","'"&amp;SUBSTITUTE(TRIM(D125),"'","''")&amp;"'")&amp;", "&amp;IF(TRIM(E125&amp;"")="","NULL","'"&amp;SUBSTITUTE(TRIM(E125),"'","''")&amp;"'")&amp;", "&amp;IF(TRIM(F125&amp;"")="","NULL","(SELECT id FROM gen_departamento WHERE upper(nombre) = upper('"&amp;SUBSTITUTE(TRIM(F125),"'","''")&amp;"') AND estado = 1 LIMIT 1)")&amp;", "&amp;IF(OR(TRIM(F125&amp;"")="",TRIM(G125&amp;"")=""),"NULL","(SELECT p.id FROM gen_provincia p JOIN gen_departamento dp ON dp.id = p.id_departamento WHERE upper(p.nombre) = upper('"&amp;SUBSTITUTE(TRIM(G125),"'","''")&amp;"') AND upper(dp.nombre) = upper('"&amp;SUBSTITUTE(TRIM(F125),"'","''")&amp;"') AND p.estado = 1 LIMIT 1)")&amp;", "&amp;IF(OR(TRIM(F125&amp;"")="",TRIM(G125&amp;"")="",TRIM(H125&amp;"")=""),"NULL","(SELECT d.id FROM gen_distrito d JOIN gen_provincia p ON p.id = d.id_provincia JOIN gen_departamento dp ON dp.id = p.id_departamento WHERE upper(d.nombre) = upper('"&amp;SUBSTITUTE(TRIM(H125),"'","''")&amp;"') AND upper(p.nombre) = upper('"&amp;SUBSTITUTE(TRIM(G125),"'","''")&amp;"') AND upper(dp.nombre) = upper('"&amp;SUBSTITUTE(TRIM(F125),"'","''")&amp;"') AND d.estado = 1 LIMIT 1)")&amp;", "&amp;IF(I125&amp;""="","NULL",SUBSTITUTE(I125&amp;"",",","."))&amp;", "&amp;IF(J125&amp;""="","NULL",SUBSTITUTE(J125&amp;"",",","."))&amp;", "&amp;IF(UPPER(TRIM(K125&amp;""))="SI","TRUE","FALSE")&amp;", 1"&amp;" WHERE NOT EXISTS (SELECT 1 FROM cli_direcciones x WHERE x.id_cliente = "&amp;"(SELECT id FROM cli_clientes WHERE numero_documento = '"&amp;SUBSTITUTE(TRIM(A125),"'","''")&amp;"' AND estado = 1 LIMIT 1)"&amp;" AND upper(x.direccion) = upper("&amp;IF(TRIM(D125&amp;"")="","NULL","'"&amp;SUBSTITUTE(TRIM(D125),"'","''")&amp;"'")&amp;"));")</f>
        <v/>
      </c>
    </row>
    <row r="126" ht="15.75" customHeight="1" s="64">
      <c r="A126" s="23" t="n"/>
      <c r="B126" s="25">
        <f t="array" ref="B126">IF(A126="","",IFERROR(IF(INDEX(Clientes!$D$5:$D$549,MATCH(A126,Clientes!$C$5:$C$549,0))&lt;&gt;"",INDEX(Clientes!$D$5:$D$549,MATCH(A126,Clientes!$C$5:$C$549,0)),TRIM(INDEX(Clientes!$E$5:$E$549,MATCH(A126,Clientes!$C$5:$C$549,0))&amp;" "&amp;INDEX(Clientes!$F$5:$F$549,MATCH(A126,Clientes!$C$5:$C$549,0)))),"NO EXISTE en Clientes"))</f>
        <v/>
      </c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>
        <f>IF(AND(A126="",D126=""),"",IF(A126="","FALTA doc. cliente",IF(B126="NO EXISTE en Clientes","CLIENTE no está en hoja Clientes",IF(D126="","FALTA dirección",IF(AND(H126&lt;&gt;"",OR(F126="",G126="")),"Distrito requiere departamento y provincia",IF(AND(G126&lt;&gt;"",F126=""),"Provincia requiere departamento",IF((I126&lt;&gt;"")&lt;&gt;(J126&lt;&gt;""),"Latitud y longitud van juntas","OK")))))))</f>
        <v/>
      </c>
      <c r="M126" s="28">
        <f>IF(L126&lt;&gt;"OK","","INSERT INTO cli_direcciones (id_cliente, descripcion, direccion, referencia, id_departamento, id_provincia, id_distrito, latitud, longitud, es_principal, estado) SELECT "&amp;"(SELECT id FROM cli_clientes WHERE numero_documento = '"&amp;SUBSTITUTE(TRIM(A126),"'","''")&amp;"' AND estado = 1 LIMIT 1)"&amp;", "&amp;IF(TRIM(C126&amp;"")="","NULL","'"&amp;SUBSTITUTE(TRIM(C126),"'","''")&amp;"'")&amp;", "&amp;IF(TRIM(D126&amp;"")="","NULL","'"&amp;SUBSTITUTE(TRIM(D126),"'","''")&amp;"'")&amp;", "&amp;IF(TRIM(E126&amp;"")="","NULL","'"&amp;SUBSTITUTE(TRIM(E126),"'","''")&amp;"'")&amp;", "&amp;IF(TRIM(F126&amp;"")="","NULL","(SELECT id FROM gen_departamento WHERE upper(nombre) = upper('"&amp;SUBSTITUTE(TRIM(F126),"'","''")&amp;"') AND estado = 1 LIMIT 1)")&amp;", "&amp;IF(OR(TRIM(F126&amp;"")="",TRIM(G126&amp;"")=""),"NULL","(SELECT p.id FROM gen_provincia p JOIN gen_departamento dp ON dp.id = p.id_departamento WHERE upper(p.nombre) = upper('"&amp;SUBSTITUTE(TRIM(G126),"'","''")&amp;"') AND upper(dp.nombre) = upper('"&amp;SUBSTITUTE(TRIM(F126),"'","''")&amp;"') AND p.estado = 1 LIMIT 1)")&amp;", "&amp;IF(OR(TRIM(F126&amp;"")="",TRIM(G126&amp;"")="",TRIM(H126&amp;"")=""),"NULL","(SELECT d.id FROM gen_distrito d JOIN gen_provincia p ON p.id = d.id_provincia JOIN gen_departamento dp ON dp.id = p.id_departamento WHERE upper(d.nombre) = upper('"&amp;SUBSTITUTE(TRIM(H126),"'","''")&amp;"') AND upper(p.nombre) = upper('"&amp;SUBSTITUTE(TRIM(G126),"'","''")&amp;"') AND upper(dp.nombre) = upper('"&amp;SUBSTITUTE(TRIM(F126),"'","''")&amp;"') AND d.estado = 1 LIMIT 1)")&amp;", "&amp;IF(I126&amp;""="","NULL",SUBSTITUTE(I126&amp;"",",","."))&amp;", "&amp;IF(J126&amp;""="","NULL",SUBSTITUTE(J126&amp;"",",","."))&amp;", "&amp;IF(UPPER(TRIM(K126&amp;""))="SI","TRUE","FALSE")&amp;", 1"&amp;" WHERE NOT EXISTS (SELECT 1 FROM cli_direcciones x WHERE x.id_cliente = "&amp;"(SELECT id FROM cli_clientes WHERE numero_documento = '"&amp;SUBSTITUTE(TRIM(A126),"'","''")&amp;"' AND estado = 1 LIMIT 1)"&amp;" AND upper(x.direccion) = upper("&amp;IF(TRIM(D126&amp;"")="","NULL","'"&amp;SUBSTITUTE(TRIM(D126),"'","''")&amp;"'")&amp;"));")</f>
        <v/>
      </c>
    </row>
    <row r="127" ht="15.75" customHeight="1" s="64">
      <c r="A127" s="23" t="n"/>
      <c r="B127" s="25">
        <f t="array" ref="B127">IF(A127="","",IFERROR(IF(INDEX(Clientes!$D$5:$D$549,MATCH(A127,Clientes!$C$5:$C$549,0))&lt;&gt;"",INDEX(Clientes!$D$5:$D$549,MATCH(A127,Clientes!$C$5:$C$549,0)),TRIM(INDEX(Clientes!$E$5:$E$549,MATCH(A127,Clientes!$C$5:$C$549,0))&amp;" "&amp;INDEX(Clientes!$F$5:$F$549,MATCH(A127,Clientes!$C$5:$C$549,0)))),"NO EXISTE en Clientes"))</f>
        <v/>
      </c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>
        <f>IF(AND(A127="",D127=""),"",IF(A127="","FALTA doc. cliente",IF(B127="NO EXISTE en Clientes","CLIENTE no está en hoja Clientes",IF(D127="","FALTA dirección",IF(AND(H127&lt;&gt;"",OR(F127="",G127="")),"Distrito requiere departamento y provincia",IF(AND(G127&lt;&gt;"",F127=""),"Provincia requiere departamento",IF((I127&lt;&gt;"")&lt;&gt;(J127&lt;&gt;""),"Latitud y longitud van juntas","OK")))))))</f>
        <v/>
      </c>
      <c r="M127" s="28">
        <f>IF(L127&lt;&gt;"OK","","INSERT INTO cli_direcciones (id_cliente, descripcion, direccion, referencia, id_departamento, id_provincia, id_distrito, latitud, longitud, es_principal, estado) SELECT "&amp;"(SELECT id FROM cli_clientes WHERE numero_documento = '"&amp;SUBSTITUTE(TRIM(A127),"'","''")&amp;"' AND estado = 1 LIMIT 1)"&amp;", "&amp;IF(TRIM(C127&amp;"")="","NULL","'"&amp;SUBSTITUTE(TRIM(C127),"'","''")&amp;"'")&amp;", "&amp;IF(TRIM(D127&amp;"")="","NULL","'"&amp;SUBSTITUTE(TRIM(D127),"'","''")&amp;"'")&amp;", "&amp;IF(TRIM(E127&amp;"")="","NULL","'"&amp;SUBSTITUTE(TRIM(E127),"'","''")&amp;"'")&amp;", "&amp;IF(TRIM(F127&amp;"")="","NULL","(SELECT id FROM gen_departamento WHERE upper(nombre) = upper('"&amp;SUBSTITUTE(TRIM(F127),"'","''")&amp;"') AND estado = 1 LIMIT 1)")&amp;", "&amp;IF(OR(TRIM(F127&amp;"")="",TRIM(G127&amp;"")=""),"NULL","(SELECT p.id FROM gen_provincia p JOIN gen_departamento dp ON dp.id = p.id_departamento WHERE upper(p.nombre) = upper('"&amp;SUBSTITUTE(TRIM(G127),"'","''")&amp;"') AND upper(dp.nombre) = upper('"&amp;SUBSTITUTE(TRIM(F127),"'","''")&amp;"') AND p.estado = 1 LIMIT 1)")&amp;", "&amp;IF(OR(TRIM(F127&amp;"")="",TRIM(G127&amp;"")="",TRIM(H127&amp;"")=""),"NULL","(SELECT d.id FROM gen_distrito d JOIN gen_provincia p ON p.id = d.id_provincia JOIN gen_departamento dp ON dp.id = p.id_departamento WHERE upper(d.nombre) = upper('"&amp;SUBSTITUTE(TRIM(H127),"'","''")&amp;"') AND upper(p.nombre) = upper('"&amp;SUBSTITUTE(TRIM(G127),"'","''")&amp;"') AND upper(dp.nombre) = upper('"&amp;SUBSTITUTE(TRIM(F127),"'","''")&amp;"') AND d.estado = 1 LIMIT 1)")&amp;", "&amp;IF(I127&amp;""="","NULL",SUBSTITUTE(I127&amp;"",",","."))&amp;", "&amp;IF(J127&amp;""="","NULL",SUBSTITUTE(J127&amp;"",",","."))&amp;", "&amp;IF(UPPER(TRIM(K127&amp;""))="SI","TRUE","FALSE")&amp;", 1"&amp;" WHERE NOT EXISTS (SELECT 1 FROM cli_direcciones x WHERE x.id_cliente = "&amp;"(SELECT id FROM cli_clientes WHERE numero_documento = '"&amp;SUBSTITUTE(TRIM(A127),"'","''")&amp;"' AND estado = 1 LIMIT 1)"&amp;" AND upper(x.direccion) = upper("&amp;IF(TRIM(D127&amp;"")="","NULL","'"&amp;SUBSTITUTE(TRIM(D127),"'","''")&amp;"'")&amp;"));")</f>
        <v/>
      </c>
    </row>
    <row r="128" ht="15.75" customHeight="1" s="64">
      <c r="A128" s="23" t="n"/>
      <c r="B128" s="25">
        <f t="array" ref="B128">IF(A128="","",IFERROR(IF(INDEX(Clientes!$D$5:$D$549,MATCH(A128,Clientes!$C$5:$C$549,0))&lt;&gt;"",INDEX(Clientes!$D$5:$D$549,MATCH(A128,Clientes!$C$5:$C$549,0)),TRIM(INDEX(Clientes!$E$5:$E$549,MATCH(A128,Clientes!$C$5:$C$549,0))&amp;" "&amp;INDEX(Clientes!$F$5:$F$549,MATCH(A128,Clientes!$C$5:$C$549,0)))),"NO EXISTE en Clientes"))</f>
        <v/>
      </c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>
        <f>IF(AND(A128="",D128=""),"",IF(A128="","FALTA doc. cliente",IF(B128="NO EXISTE en Clientes","CLIENTE no está en hoja Clientes",IF(D128="","FALTA dirección",IF(AND(H128&lt;&gt;"",OR(F128="",G128="")),"Distrito requiere departamento y provincia",IF(AND(G128&lt;&gt;"",F128=""),"Provincia requiere departamento",IF((I128&lt;&gt;"")&lt;&gt;(J128&lt;&gt;""),"Latitud y longitud van juntas","OK")))))))</f>
        <v/>
      </c>
      <c r="M128" s="28">
        <f>IF(L128&lt;&gt;"OK","","INSERT INTO cli_direcciones (id_cliente, descripcion, direccion, referencia, id_departamento, id_provincia, id_distrito, latitud, longitud, es_principal, estado) SELECT "&amp;"(SELECT id FROM cli_clientes WHERE numero_documento = '"&amp;SUBSTITUTE(TRIM(A128),"'","''")&amp;"' AND estado = 1 LIMIT 1)"&amp;", "&amp;IF(TRIM(C128&amp;"")="","NULL","'"&amp;SUBSTITUTE(TRIM(C128),"'","''")&amp;"'")&amp;", "&amp;IF(TRIM(D128&amp;"")="","NULL","'"&amp;SUBSTITUTE(TRIM(D128),"'","''")&amp;"'")&amp;", "&amp;IF(TRIM(E128&amp;"")="","NULL","'"&amp;SUBSTITUTE(TRIM(E128),"'","''")&amp;"'")&amp;", "&amp;IF(TRIM(F128&amp;"")="","NULL","(SELECT id FROM gen_departamento WHERE upper(nombre) = upper('"&amp;SUBSTITUTE(TRIM(F128),"'","''")&amp;"') AND estado = 1 LIMIT 1)")&amp;", "&amp;IF(OR(TRIM(F128&amp;"")="",TRIM(G128&amp;"")=""),"NULL","(SELECT p.id FROM gen_provincia p JOIN gen_departamento dp ON dp.id = p.id_departamento WHERE upper(p.nombre) = upper('"&amp;SUBSTITUTE(TRIM(G128),"'","''")&amp;"') AND upper(dp.nombre) = upper('"&amp;SUBSTITUTE(TRIM(F128),"'","''")&amp;"') AND p.estado = 1 LIMIT 1)")&amp;", "&amp;IF(OR(TRIM(F128&amp;"")="",TRIM(G128&amp;"")="",TRIM(H128&amp;"")=""),"NULL","(SELECT d.id FROM gen_distrito d JOIN gen_provincia p ON p.id = d.id_provincia JOIN gen_departamento dp ON dp.id = p.id_departamento WHERE upper(d.nombre) = upper('"&amp;SUBSTITUTE(TRIM(H128),"'","''")&amp;"') AND upper(p.nombre) = upper('"&amp;SUBSTITUTE(TRIM(G128),"'","''")&amp;"') AND upper(dp.nombre) = upper('"&amp;SUBSTITUTE(TRIM(F128),"'","''")&amp;"') AND d.estado = 1 LIMIT 1)")&amp;", "&amp;IF(I128&amp;""="","NULL",SUBSTITUTE(I128&amp;"",",","."))&amp;", "&amp;IF(J128&amp;""="","NULL",SUBSTITUTE(J128&amp;"",",","."))&amp;", "&amp;IF(UPPER(TRIM(K128&amp;""))="SI","TRUE","FALSE")&amp;", 1"&amp;" WHERE NOT EXISTS (SELECT 1 FROM cli_direcciones x WHERE x.id_cliente = "&amp;"(SELECT id FROM cli_clientes WHERE numero_documento = '"&amp;SUBSTITUTE(TRIM(A128),"'","''")&amp;"' AND estado = 1 LIMIT 1)"&amp;" AND upper(x.direccion) = upper("&amp;IF(TRIM(D128&amp;"")="","NULL","'"&amp;SUBSTITUTE(TRIM(D128),"'","''")&amp;"'")&amp;"));")</f>
        <v/>
      </c>
    </row>
    <row r="129" ht="15.75" customHeight="1" s="64">
      <c r="A129" s="23" t="n"/>
      <c r="B129" s="25">
        <f t="array" ref="B129">IF(A129="","",IFERROR(IF(INDEX(Clientes!$D$5:$D$549,MATCH(A129,Clientes!$C$5:$C$549,0))&lt;&gt;"",INDEX(Clientes!$D$5:$D$549,MATCH(A129,Clientes!$C$5:$C$549,0)),TRIM(INDEX(Clientes!$E$5:$E$549,MATCH(A129,Clientes!$C$5:$C$549,0))&amp;" "&amp;INDEX(Clientes!$F$5:$F$549,MATCH(A129,Clientes!$C$5:$C$549,0)))),"NO EXISTE en Clientes"))</f>
        <v/>
      </c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>
        <f>IF(AND(A129="",D129=""),"",IF(A129="","FALTA doc. cliente",IF(B129="NO EXISTE en Clientes","CLIENTE no está en hoja Clientes",IF(D129="","FALTA dirección",IF(AND(H129&lt;&gt;"",OR(F129="",G129="")),"Distrito requiere departamento y provincia",IF(AND(G129&lt;&gt;"",F129=""),"Provincia requiere departamento",IF((I129&lt;&gt;"")&lt;&gt;(J129&lt;&gt;""),"Latitud y longitud van juntas","OK")))))))</f>
        <v/>
      </c>
      <c r="M129" s="28">
        <f>IF(L129&lt;&gt;"OK","","INSERT INTO cli_direcciones (id_cliente, descripcion, direccion, referencia, id_departamento, id_provincia, id_distrito, latitud, longitud, es_principal, estado) SELECT "&amp;"(SELECT id FROM cli_clientes WHERE numero_documento = '"&amp;SUBSTITUTE(TRIM(A129),"'","''")&amp;"' AND estado = 1 LIMIT 1)"&amp;", "&amp;IF(TRIM(C129&amp;"")="","NULL","'"&amp;SUBSTITUTE(TRIM(C129),"'","''")&amp;"'")&amp;", "&amp;IF(TRIM(D129&amp;"")="","NULL","'"&amp;SUBSTITUTE(TRIM(D129),"'","''")&amp;"'")&amp;", "&amp;IF(TRIM(E129&amp;"")="","NULL","'"&amp;SUBSTITUTE(TRIM(E129),"'","''")&amp;"'")&amp;", "&amp;IF(TRIM(F129&amp;"")="","NULL","(SELECT id FROM gen_departamento WHERE upper(nombre) = upper('"&amp;SUBSTITUTE(TRIM(F129),"'","''")&amp;"') AND estado = 1 LIMIT 1)")&amp;", "&amp;IF(OR(TRIM(F129&amp;"")="",TRIM(G129&amp;"")=""),"NULL","(SELECT p.id FROM gen_provincia p JOIN gen_departamento dp ON dp.id = p.id_departamento WHERE upper(p.nombre) = upper('"&amp;SUBSTITUTE(TRIM(G129),"'","''")&amp;"') AND upper(dp.nombre) = upper('"&amp;SUBSTITUTE(TRIM(F129),"'","''")&amp;"') AND p.estado = 1 LIMIT 1)")&amp;", "&amp;IF(OR(TRIM(F129&amp;"")="",TRIM(G129&amp;"")="",TRIM(H129&amp;"")=""),"NULL","(SELECT d.id FROM gen_distrito d JOIN gen_provincia p ON p.id = d.id_provincia JOIN gen_departamento dp ON dp.id = p.id_departamento WHERE upper(d.nombre) = upper('"&amp;SUBSTITUTE(TRIM(H129),"'","''")&amp;"') AND upper(p.nombre) = upper('"&amp;SUBSTITUTE(TRIM(G129),"'","''")&amp;"') AND upper(dp.nombre) = upper('"&amp;SUBSTITUTE(TRIM(F129),"'","''")&amp;"') AND d.estado = 1 LIMIT 1)")&amp;", "&amp;IF(I129&amp;""="","NULL",SUBSTITUTE(I129&amp;"",",","."))&amp;", "&amp;IF(J129&amp;""="","NULL",SUBSTITUTE(J129&amp;"",",","."))&amp;", "&amp;IF(UPPER(TRIM(K129&amp;""))="SI","TRUE","FALSE")&amp;", 1"&amp;" WHERE NOT EXISTS (SELECT 1 FROM cli_direcciones x WHERE x.id_cliente = "&amp;"(SELECT id FROM cli_clientes WHERE numero_documento = '"&amp;SUBSTITUTE(TRIM(A129),"'","''")&amp;"' AND estado = 1 LIMIT 1)"&amp;" AND upper(x.direccion) = upper("&amp;IF(TRIM(D129&amp;"")="","NULL","'"&amp;SUBSTITUTE(TRIM(D129),"'","''")&amp;"'")&amp;"));")</f>
        <v/>
      </c>
    </row>
    <row r="130" ht="15.75" customHeight="1" s="64">
      <c r="A130" s="23" t="n"/>
      <c r="B130" s="25">
        <f t="array" ref="B130">IF(A130="","",IFERROR(IF(INDEX(Clientes!$D$5:$D$549,MATCH(A130,Clientes!$C$5:$C$549,0))&lt;&gt;"",INDEX(Clientes!$D$5:$D$549,MATCH(A130,Clientes!$C$5:$C$549,0)),TRIM(INDEX(Clientes!$E$5:$E$549,MATCH(A130,Clientes!$C$5:$C$549,0))&amp;" "&amp;INDEX(Clientes!$F$5:$F$549,MATCH(A130,Clientes!$C$5:$C$549,0)))),"NO EXISTE en Clientes"))</f>
        <v/>
      </c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>
        <f>IF(AND(A130="",D130=""),"",IF(A130="","FALTA doc. cliente",IF(B130="NO EXISTE en Clientes","CLIENTE no está en hoja Clientes",IF(D130="","FALTA dirección",IF(AND(H130&lt;&gt;"",OR(F130="",G130="")),"Distrito requiere departamento y provincia",IF(AND(G130&lt;&gt;"",F130=""),"Provincia requiere departamento",IF((I130&lt;&gt;"")&lt;&gt;(J130&lt;&gt;""),"Latitud y longitud van juntas","OK")))))))</f>
        <v/>
      </c>
      <c r="M130" s="28">
        <f>IF(L130&lt;&gt;"OK","","INSERT INTO cli_direcciones (id_cliente, descripcion, direccion, referencia, id_departamento, id_provincia, id_distrito, latitud, longitud, es_principal, estado) SELECT "&amp;"(SELECT id FROM cli_clientes WHERE numero_documento = '"&amp;SUBSTITUTE(TRIM(A130),"'","''")&amp;"' AND estado = 1 LIMIT 1)"&amp;", "&amp;IF(TRIM(C130&amp;"")="","NULL","'"&amp;SUBSTITUTE(TRIM(C130),"'","''")&amp;"'")&amp;", "&amp;IF(TRIM(D130&amp;"")="","NULL","'"&amp;SUBSTITUTE(TRIM(D130),"'","''")&amp;"'")&amp;", "&amp;IF(TRIM(E130&amp;"")="","NULL","'"&amp;SUBSTITUTE(TRIM(E130),"'","''")&amp;"'")&amp;", "&amp;IF(TRIM(F130&amp;"")="","NULL","(SELECT id FROM gen_departamento WHERE upper(nombre) = upper('"&amp;SUBSTITUTE(TRIM(F130),"'","''")&amp;"') AND estado = 1 LIMIT 1)")&amp;", "&amp;IF(OR(TRIM(F130&amp;"")="",TRIM(G130&amp;"")=""),"NULL","(SELECT p.id FROM gen_provincia p JOIN gen_departamento dp ON dp.id = p.id_departamento WHERE upper(p.nombre) = upper('"&amp;SUBSTITUTE(TRIM(G130),"'","''")&amp;"') AND upper(dp.nombre) = upper('"&amp;SUBSTITUTE(TRIM(F130),"'","''")&amp;"') AND p.estado = 1 LIMIT 1)")&amp;", "&amp;IF(OR(TRIM(F130&amp;"")="",TRIM(G130&amp;"")="",TRIM(H130&amp;"")=""),"NULL","(SELECT d.id FROM gen_distrito d JOIN gen_provincia p ON p.id = d.id_provincia JOIN gen_departamento dp ON dp.id = p.id_departamento WHERE upper(d.nombre) = upper('"&amp;SUBSTITUTE(TRIM(H130),"'","''")&amp;"') AND upper(p.nombre) = upper('"&amp;SUBSTITUTE(TRIM(G130),"'","''")&amp;"') AND upper(dp.nombre) = upper('"&amp;SUBSTITUTE(TRIM(F130),"'","''")&amp;"') AND d.estado = 1 LIMIT 1)")&amp;", "&amp;IF(I130&amp;""="","NULL",SUBSTITUTE(I130&amp;"",",","."))&amp;", "&amp;IF(J130&amp;""="","NULL",SUBSTITUTE(J130&amp;"",",","."))&amp;", "&amp;IF(UPPER(TRIM(K130&amp;""))="SI","TRUE","FALSE")&amp;", 1"&amp;" WHERE NOT EXISTS (SELECT 1 FROM cli_direcciones x WHERE x.id_cliente = "&amp;"(SELECT id FROM cli_clientes WHERE numero_documento = '"&amp;SUBSTITUTE(TRIM(A130),"'","''")&amp;"' AND estado = 1 LIMIT 1)"&amp;" AND upper(x.direccion) = upper("&amp;IF(TRIM(D130&amp;"")="","NULL","'"&amp;SUBSTITUTE(TRIM(D130),"'","''")&amp;"'")&amp;"));")</f>
        <v/>
      </c>
    </row>
    <row r="131" ht="15.75" customHeight="1" s="64">
      <c r="A131" s="23" t="n"/>
      <c r="B131" s="25">
        <f t="array" ref="B131">IF(A131="","",IFERROR(IF(INDEX(Clientes!$D$5:$D$549,MATCH(A131,Clientes!$C$5:$C$549,0))&lt;&gt;"",INDEX(Clientes!$D$5:$D$549,MATCH(A131,Clientes!$C$5:$C$549,0)),TRIM(INDEX(Clientes!$E$5:$E$549,MATCH(A131,Clientes!$C$5:$C$549,0))&amp;" "&amp;INDEX(Clientes!$F$5:$F$549,MATCH(A131,Clientes!$C$5:$C$549,0)))),"NO EXISTE en Clientes"))</f>
        <v/>
      </c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>
        <f>IF(AND(A131="",D131=""),"",IF(A131="","FALTA doc. cliente",IF(B131="NO EXISTE en Clientes","CLIENTE no está en hoja Clientes",IF(D131="","FALTA dirección",IF(AND(H131&lt;&gt;"",OR(F131="",G131="")),"Distrito requiere departamento y provincia",IF(AND(G131&lt;&gt;"",F131=""),"Provincia requiere departamento",IF((I131&lt;&gt;"")&lt;&gt;(J131&lt;&gt;""),"Latitud y longitud van juntas","OK")))))))</f>
        <v/>
      </c>
      <c r="M131" s="28">
        <f>IF(L131&lt;&gt;"OK","","INSERT INTO cli_direcciones (id_cliente, descripcion, direccion, referencia, id_departamento, id_provincia, id_distrito, latitud, longitud, es_principal, estado) SELECT "&amp;"(SELECT id FROM cli_clientes WHERE numero_documento = '"&amp;SUBSTITUTE(TRIM(A131),"'","''")&amp;"' AND estado = 1 LIMIT 1)"&amp;", "&amp;IF(TRIM(C131&amp;"")="","NULL","'"&amp;SUBSTITUTE(TRIM(C131),"'","''")&amp;"'")&amp;", "&amp;IF(TRIM(D131&amp;"")="","NULL","'"&amp;SUBSTITUTE(TRIM(D131),"'","''")&amp;"'")&amp;", "&amp;IF(TRIM(E131&amp;"")="","NULL","'"&amp;SUBSTITUTE(TRIM(E131),"'","''")&amp;"'")&amp;", "&amp;IF(TRIM(F131&amp;"")="","NULL","(SELECT id FROM gen_departamento WHERE upper(nombre) = upper('"&amp;SUBSTITUTE(TRIM(F131),"'","''")&amp;"') AND estado = 1 LIMIT 1)")&amp;", "&amp;IF(OR(TRIM(F131&amp;"")="",TRIM(G131&amp;"")=""),"NULL","(SELECT p.id FROM gen_provincia p JOIN gen_departamento dp ON dp.id = p.id_departamento WHERE upper(p.nombre) = upper('"&amp;SUBSTITUTE(TRIM(G131),"'","''")&amp;"') AND upper(dp.nombre) = upper('"&amp;SUBSTITUTE(TRIM(F131),"'","''")&amp;"') AND p.estado = 1 LIMIT 1)")&amp;", "&amp;IF(OR(TRIM(F131&amp;"")="",TRIM(G131&amp;"")="",TRIM(H131&amp;"")=""),"NULL","(SELECT d.id FROM gen_distrito d JOIN gen_provincia p ON p.id = d.id_provincia JOIN gen_departamento dp ON dp.id = p.id_departamento WHERE upper(d.nombre) = upper('"&amp;SUBSTITUTE(TRIM(H131),"'","''")&amp;"') AND upper(p.nombre) = upper('"&amp;SUBSTITUTE(TRIM(G131),"'","''")&amp;"') AND upper(dp.nombre) = upper('"&amp;SUBSTITUTE(TRIM(F131),"'","''")&amp;"') AND d.estado = 1 LIMIT 1)")&amp;", "&amp;IF(I131&amp;""="","NULL",SUBSTITUTE(I131&amp;"",",","."))&amp;", "&amp;IF(J131&amp;""="","NULL",SUBSTITUTE(J131&amp;"",",","."))&amp;", "&amp;IF(UPPER(TRIM(K131&amp;""))="SI","TRUE","FALSE")&amp;", 1"&amp;" WHERE NOT EXISTS (SELECT 1 FROM cli_direcciones x WHERE x.id_cliente = "&amp;"(SELECT id FROM cli_clientes WHERE numero_documento = '"&amp;SUBSTITUTE(TRIM(A131),"'","''")&amp;"' AND estado = 1 LIMIT 1)"&amp;" AND upper(x.direccion) = upper("&amp;IF(TRIM(D131&amp;"")="","NULL","'"&amp;SUBSTITUTE(TRIM(D131),"'","''")&amp;"'")&amp;"));")</f>
        <v/>
      </c>
    </row>
    <row r="132" ht="15.75" customHeight="1" s="64">
      <c r="A132" s="23" t="n"/>
      <c r="B132" s="25">
        <f t="array" ref="B132">IF(A132="","",IFERROR(IF(INDEX(Clientes!$D$5:$D$549,MATCH(A132,Clientes!$C$5:$C$549,0))&lt;&gt;"",INDEX(Clientes!$D$5:$D$549,MATCH(A132,Clientes!$C$5:$C$549,0)),TRIM(INDEX(Clientes!$E$5:$E$549,MATCH(A132,Clientes!$C$5:$C$549,0))&amp;" "&amp;INDEX(Clientes!$F$5:$F$549,MATCH(A132,Clientes!$C$5:$C$549,0)))),"NO EXISTE en Clientes"))</f>
        <v/>
      </c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>
        <f>IF(AND(A132="",D132=""),"",IF(A132="","FALTA doc. cliente",IF(B132="NO EXISTE en Clientes","CLIENTE no está en hoja Clientes",IF(D132="","FALTA dirección",IF(AND(H132&lt;&gt;"",OR(F132="",G132="")),"Distrito requiere departamento y provincia",IF(AND(G132&lt;&gt;"",F132=""),"Provincia requiere departamento",IF((I132&lt;&gt;"")&lt;&gt;(J132&lt;&gt;""),"Latitud y longitud van juntas","OK")))))))</f>
        <v/>
      </c>
      <c r="M132" s="28">
        <f>IF(L132&lt;&gt;"OK","","INSERT INTO cli_direcciones (id_cliente, descripcion, direccion, referencia, id_departamento, id_provincia, id_distrito, latitud, longitud, es_principal, estado) SELECT "&amp;"(SELECT id FROM cli_clientes WHERE numero_documento = '"&amp;SUBSTITUTE(TRIM(A132),"'","''")&amp;"' AND estado = 1 LIMIT 1)"&amp;", "&amp;IF(TRIM(C132&amp;"")="","NULL","'"&amp;SUBSTITUTE(TRIM(C132),"'","''")&amp;"'")&amp;", "&amp;IF(TRIM(D132&amp;"")="","NULL","'"&amp;SUBSTITUTE(TRIM(D132),"'","''")&amp;"'")&amp;", "&amp;IF(TRIM(E132&amp;"")="","NULL","'"&amp;SUBSTITUTE(TRIM(E132),"'","''")&amp;"'")&amp;", "&amp;IF(TRIM(F132&amp;"")="","NULL","(SELECT id FROM gen_departamento WHERE upper(nombre) = upper('"&amp;SUBSTITUTE(TRIM(F132),"'","''")&amp;"') AND estado = 1 LIMIT 1)")&amp;", "&amp;IF(OR(TRIM(F132&amp;"")="",TRIM(G132&amp;"")=""),"NULL","(SELECT p.id FROM gen_provincia p JOIN gen_departamento dp ON dp.id = p.id_departamento WHERE upper(p.nombre) = upper('"&amp;SUBSTITUTE(TRIM(G132),"'","''")&amp;"') AND upper(dp.nombre) = upper('"&amp;SUBSTITUTE(TRIM(F132),"'","''")&amp;"') AND p.estado = 1 LIMIT 1)")&amp;", "&amp;IF(OR(TRIM(F132&amp;"")="",TRIM(G132&amp;"")="",TRIM(H132&amp;"")=""),"NULL","(SELECT d.id FROM gen_distrito d JOIN gen_provincia p ON p.id = d.id_provincia JOIN gen_departamento dp ON dp.id = p.id_departamento WHERE upper(d.nombre) = upper('"&amp;SUBSTITUTE(TRIM(H132),"'","''")&amp;"') AND upper(p.nombre) = upper('"&amp;SUBSTITUTE(TRIM(G132),"'","''")&amp;"') AND upper(dp.nombre) = upper('"&amp;SUBSTITUTE(TRIM(F132),"'","''")&amp;"') AND d.estado = 1 LIMIT 1)")&amp;", "&amp;IF(I132&amp;""="","NULL",SUBSTITUTE(I132&amp;"",",","."))&amp;", "&amp;IF(J132&amp;""="","NULL",SUBSTITUTE(J132&amp;"",",","."))&amp;", "&amp;IF(UPPER(TRIM(K132&amp;""))="SI","TRUE","FALSE")&amp;", 1"&amp;" WHERE NOT EXISTS (SELECT 1 FROM cli_direcciones x WHERE x.id_cliente = "&amp;"(SELECT id FROM cli_clientes WHERE numero_documento = '"&amp;SUBSTITUTE(TRIM(A132),"'","''")&amp;"' AND estado = 1 LIMIT 1)"&amp;" AND upper(x.direccion) = upper("&amp;IF(TRIM(D132&amp;"")="","NULL","'"&amp;SUBSTITUTE(TRIM(D132),"'","''")&amp;"'")&amp;"));")</f>
        <v/>
      </c>
    </row>
    <row r="133" ht="15.75" customHeight="1" s="64">
      <c r="A133" s="23" t="n"/>
      <c r="B133" s="25">
        <f t="array" ref="B133">IF(A133="","",IFERROR(IF(INDEX(Clientes!$D$5:$D$549,MATCH(A133,Clientes!$C$5:$C$549,0))&lt;&gt;"",INDEX(Clientes!$D$5:$D$549,MATCH(A133,Clientes!$C$5:$C$549,0)),TRIM(INDEX(Clientes!$E$5:$E$549,MATCH(A133,Clientes!$C$5:$C$549,0))&amp;" "&amp;INDEX(Clientes!$F$5:$F$549,MATCH(A133,Clientes!$C$5:$C$549,0)))),"NO EXISTE en Clientes"))</f>
        <v/>
      </c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>
        <f>IF(AND(A133="",D133=""),"",IF(A133="","FALTA doc. cliente",IF(B133="NO EXISTE en Clientes","CLIENTE no está en hoja Clientes",IF(D133="","FALTA dirección",IF(AND(H133&lt;&gt;"",OR(F133="",G133="")),"Distrito requiere departamento y provincia",IF(AND(G133&lt;&gt;"",F133=""),"Provincia requiere departamento",IF((I133&lt;&gt;"")&lt;&gt;(J133&lt;&gt;""),"Latitud y longitud van juntas","OK")))))))</f>
        <v/>
      </c>
      <c r="M133" s="28">
        <f>IF(L133&lt;&gt;"OK","","INSERT INTO cli_direcciones (id_cliente, descripcion, direccion, referencia, id_departamento, id_provincia, id_distrito, latitud, longitud, es_principal, estado) SELECT "&amp;"(SELECT id FROM cli_clientes WHERE numero_documento = '"&amp;SUBSTITUTE(TRIM(A133),"'","''")&amp;"' AND estado = 1 LIMIT 1)"&amp;", "&amp;IF(TRIM(C133&amp;"")="","NULL","'"&amp;SUBSTITUTE(TRIM(C133),"'","''")&amp;"'")&amp;", "&amp;IF(TRIM(D133&amp;"")="","NULL","'"&amp;SUBSTITUTE(TRIM(D133),"'","''")&amp;"'")&amp;", "&amp;IF(TRIM(E133&amp;"")="","NULL","'"&amp;SUBSTITUTE(TRIM(E133),"'","''")&amp;"'")&amp;", "&amp;IF(TRIM(F133&amp;"")="","NULL","(SELECT id FROM gen_departamento WHERE upper(nombre) = upper('"&amp;SUBSTITUTE(TRIM(F133),"'","''")&amp;"') AND estado = 1 LIMIT 1)")&amp;", "&amp;IF(OR(TRIM(F133&amp;"")="",TRIM(G133&amp;"")=""),"NULL","(SELECT p.id FROM gen_provincia p JOIN gen_departamento dp ON dp.id = p.id_departamento WHERE upper(p.nombre) = upper('"&amp;SUBSTITUTE(TRIM(G133),"'","''")&amp;"') AND upper(dp.nombre) = upper('"&amp;SUBSTITUTE(TRIM(F133),"'","''")&amp;"') AND p.estado = 1 LIMIT 1)")&amp;", "&amp;IF(OR(TRIM(F133&amp;"")="",TRIM(G133&amp;"")="",TRIM(H133&amp;"")=""),"NULL","(SELECT d.id FROM gen_distrito d JOIN gen_provincia p ON p.id = d.id_provincia JOIN gen_departamento dp ON dp.id = p.id_departamento WHERE upper(d.nombre) = upper('"&amp;SUBSTITUTE(TRIM(H133),"'","''")&amp;"') AND upper(p.nombre) = upper('"&amp;SUBSTITUTE(TRIM(G133),"'","''")&amp;"') AND upper(dp.nombre) = upper('"&amp;SUBSTITUTE(TRIM(F133),"'","''")&amp;"') AND d.estado = 1 LIMIT 1)")&amp;", "&amp;IF(I133&amp;""="","NULL",SUBSTITUTE(I133&amp;"",",","."))&amp;", "&amp;IF(J133&amp;""="","NULL",SUBSTITUTE(J133&amp;"",",","."))&amp;", "&amp;IF(UPPER(TRIM(K133&amp;""))="SI","TRUE","FALSE")&amp;", 1"&amp;" WHERE NOT EXISTS (SELECT 1 FROM cli_direcciones x WHERE x.id_cliente = "&amp;"(SELECT id FROM cli_clientes WHERE numero_documento = '"&amp;SUBSTITUTE(TRIM(A133),"'","''")&amp;"' AND estado = 1 LIMIT 1)"&amp;" AND upper(x.direccion) = upper("&amp;IF(TRIM(D133&amp;"")="","NULL","'"&amp;SUBSTITUTE(TRIM(D133),"'","''")&amp;"'")&amp;"));")</f>
        <v/>
      </c>
    </row>
    <row r="134" ht="15.75" customHeight="1" s="64">
      <c r="A134" s="23" t="n"/>
      <c r="B134" s="25">
        <f t="array" ref="B134">IF(A134="","",IFERROR(IF(INDEX(Clientes!$D$5:$D$549,MATCH(A134,Clientes!$C$5:$C$549,0))&lt;&gt;"",INDEX(Clientes!$D$5:$D$549,MATCH(A134,Clientes!$C$5:$C$549,0)),TRIM(INDEX(Clientes!$E$5:$E$549,MATCH(A134,Clientes!$C$5:$C$549,0))&amp;" "&amp;INDEX(Clientes!$F$5:$F$549,MATCH(A134,Clientes!$C$5:$C$549,0)))),"NO EXISTE en Clientes"))</f>
        <v/>
      </c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>
        <f>IF(AND(A134="",D134=""),"",IF(A134="","FALTA doc. cliente",IF(B134="NO EXISTE en Clientes","CLIENTE no está en hoja Clientes",IF(D134="","FALTA dirección",IF(AND(H134&lt;&gt;"",OR(F134="",G134="")),"Distrito requiere departamento y provincia",IF(AND(G134&lt;&gt;"",F134=""),"Provincia requiere departamento",IF((I134&lt;&gt;"")&lt;&gt;(J134&lt;&gt;""),"Latitud y longitud van juntas","OK")))))))</f>
        <v/>
      </c>
      <c r="M134" s="28">
        <f>IF(L134&lt;&gt;"OK","","INSERT INTO cli_direcciones (id_cliente, descripcion, direccion, referencia, id_departamento, id_provincia, id_distrito, latitud, longitud, es_principal, estado) SELECT "&amp;"(SELECT id FROM cli_clientes WHERE numero_documento = '"&amp;SUBSTITUTE(TRIM(A134),"'","''")&amp;"' AND estado = 1 LIMIT 1)"&amp;", "&amp;IF(TRIM(C134&amp;"")="","NULL","'"&amp;SUBSTITUTE(TRIM(C134),"'","''")&amp;"'")&amp;", "&amp;IF(TRIM(D134&amp;"")="","NULL","'"&amp;SUBSTITUTE(TRIM(D134),"'","''")&amp;"'")&amp;", "&amp;IF(TRIM(E134&amp;"")="","NULL","'"&amp;SUBSTITUTE(TRIM(E134),"'","''")&amp;"'")&amp;", "&amp;IF(TRIM(F134&amp;"")="","NULL","(SELECT id FROM gen_departamento WHERE upper(nombre) = upper('"&amp;SUBSTITUTE(TRIM(F134),"'","''")&amp;"') AND estado = 1 LIMIT 1)")&amp;", "&amp;IF(OR(TRIM(F134&amp;"")="",TRIM(G134&amp;"")=""),"NULL","(SELECT p.id FROM gen_provincia p JOIN gen_departamento dp ON dp.id = p.id_departamento WHERE upper(p.nombre) = upper('"&amp;SUBSTITUTE(TRIM(G134),"'","''")&amp;"') AND upper(dp.nombre) = upper('"&amp;SUBSTITUTE(TRIM(F134),"'","''")&amp;"') AND p.estado = 1 LIMIT 1)")&amp;", "&amp;IF(OR(TRIM(F134&amp;"")="",TRIM(G134&amp;"")="",TRIM(H134&amp;"")=""),"NULL","(SELECT d.id FROM gen_distrito d JOIN gen_provincia p ON p.id = d.id_provincia JOIN gen_departamento dp ON dp.id = p.id_departamento WHERE upper(d.nombre) = upper('"&amp;SUBSTITUTE(TRIM(H134),"'","''")&amp;"') AND upper(p.nombre) = upper('"&amp;SUBSTITUTE(TRIM(G134),"'","''")&amp;"') AND upper(dp.nombre) = upper('"&amp;SUBSTITUTE(TRIM(F134),"'","''")&amp;"') AND d.estado = 1 LIMIT 1)")&amp;", "&amp;IF(I134&amp;""="","NULL",SUBSTITUTE(I134&amp;"",",","."))&amp;", "&amp;IF(J134&amp;""="","NULL",SUBSTITUTE(J134&amp;"",",","."))&amp;", "&amp;IF(UPPER(TRIM(K134&amp;""))="SI","TRUE","FALSE")&amp;", 1"&amp;" WHERE NOT EXISTS (SELECT 1 FROM cli_direcciones x WHERE x.id_cliente = "&amp;"(SELECT id FROM cli_clientes WHERE numero_documento = '"&amp;SUBSTITUTE(TRIM(A134),"'","''")&amp;"' AND estado = 1 LIMIT 1)"&amp;" AND upper(x.direccion) = upper("&amp;IF(TRIM(D134&amp;"")="","NULL","'"&amp;SUBSTITUTE(TRIM(D134),"'","''")&amp;"'")&amp;"));")</f>
        <v/>
      </c>
    </row>
    <row r="135" ht="15.75" customHeight="1" s="64">
      <c r="A135" s="23" t="n"/>
      <c r="B135" s="25">
        <f t="array" ref="B135">IF(A135="","",IFERROR(IF(INDEX(Clientes!$D$5:$D$549,MATCH(A135,Clientes!$C$5:$C$549,0))&lt;&gt;"",INDEX(Clientes!$D$5:$D$549,MATCH(A135,Clientes!$C$5:$C$549,0)),TRIM(INDEX(Clientes!$E$5:$E$549,MATCH(A135,Clientes!$C$5:$C$549,0))&amp;" "&amp;INDEX(Clientes!$F$5:$F$549,MATCH(A135,Clientes!$C$5:$C$549,0)))),"NO EXISTE en Clientes"))</f>
        <v/>
      </c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>
        <f>IF(AND(A135="",D135=""),"",IF(A135="","FALTA doc. cliente",IF(B135="NO EXISTE en Clientes","CLIENTE no está en hoja Clientes",IF(D135="","FALTA dirección",IF(AND(H135&lt;&gt;"",OR(F135="",G135="")),"Distrito requiere departamento y provincia",IF(AND(G135&lt;&gt;"",F135=""),"Provincia requiere departamento",IF((I135&lt;&gt;"")&lt;&gt;(J135&lt;&gt;""),"Latitud y longitud van juntas","OK")))))))</f>
        <v/>
      </c>
      <c r="M135" s="28">
        <f>IF(L135&lt;&gt;"OK","","INSERT INTO cli_direcciones (id_cliente, descripcion, direccion, referencia, id_departamento, id_provincia, id_distrito, latitud, longitud, es_principal, estado) SELECT "&amp;"(SELECT id FROM cli_clientes WHERE numero_documento = '"&amp;SUBSTITUTE(TRIM(A135),"'","''")&amp;"' AND estado = 1 LIMIT 1)"&amp;", "&amp;IF(TRIM(C135&amp;"")="","NULL","'"&amp;SUBSTITUTE(TRIM(C135),"'","''")&amp;"'")&amp;", "&amp;IF(TRIM(D135&amp;"")="","NULL","'"&amp;SUBSTITUTE(TRIM(D135),"'","''")&amp;"'")&amp;", "&amp;IF(TRIM(E135&amp;"")="","NULL","'"&amp;SUBSTITUTE(TRIM(E135),"'","''")&amp;"'")&amp;", "&amp;IF(TRIM(F135&amp;"")="","NULL","(SELECT id FROM gen_departamento WHERE upper(nombre) = upper('"&amp;SUBSTITUTE(TRIM(F135),"'","''")&amp;"') AND estado = 1 LIMIT 1)")&amp;", "&amp;IF(OR(TRIM(F135&amp;"")="",TRIM(G135&amp;"")=""),"NULL","(SELECT p.id FROM gen_provincia p JOIN gen_departamento dp ON dp.id = p.id_departamento WHERE upper(p.nombre) = upper('"&amp;SUBSTITUTE(TRIM(G135),"'","''")&amp;"') AND upper(dp.nombre) = upper('"&amp;SUBSTITUTE(TRIM(F135),"'","''")&amp;"') AND p.estado = 1 LIMIT 1)")&amp;", "&amp;IF(OR(TRIM(F135&amp;"")="",TRIM(G135&amp;"")="",TRIM(H135&amp;"")=""),"NULL","(SELECT d.id FROM gen_distrito d JOIN gen_provincia p ON p.id = d.id_provincia JOIN gen_departamento dp ON dp.id = p.id_departamento WHERE upper(d.nombre) = upper('"&amp;SUBSTITUTE(TRIM(H135),"'","''")&amp;"') AND upper(p.nombre) = upper('"&amp;SUBSTITUTE(TRIM(G135),"'","''")&amp;"') AND upper(dp.nombre) = upper('"&amp;SUBSTITUTE(TRIM(F135),"'","''")&amp;"') AND d.estado = 1 LIMIT 1)")&amp;", "&amp;IF(I135&amp;""="","NULL",SUBSTITUTE(I135&amp;"",",","."))&amp;", "&amp;IF(J135&amp;""="","NULL",SUBSTITUTE(J135&amp;"",",","."))&amp;", "&amp;IF(UPPER(TRIM(K135&amp;""))="SI","TRUE","FALSE")&amp;", 1"&amp;" WHERE NOT EXISTS (SELECT 1 FROM cli_direcciones x WHERE x.id_cliente = "&amp;"(SELECT id FROM cli_clientes WHERE numero_documento = '"&amp;SUBSTITUTE(TRIM(A135),"'","''")&amp;"' AND estado = 1 LIMIT 1)"&amp;" AND upper(x.direccion) = upper("&amp;IF(TRIM(D135&amp;"")="","NULL","'"&amp;SUBSTITUTE(TRIM(D135),"'","''")&amp;"'")&amp;"));")</f>
        <v/>
      </c>
    </row>
    <row r="136" ht="15.75" customHeight="1" s="64">
      <c r="A136" s="23" t="n"/>
      <c r="B136" s="25">
        <f t="array" ref="B136">IF(A136="","",IFERROR(IF(INDEX(Clientes!$D$5:$D$549,MATCH(A136,Clientes!$C$5:$C$549,0))&lt;&gt;"",INDEX(Clientes!$D$5:$D$549,MATCH(A136,Clientes!$C$5:$C$549,0)),TRIM(INDEX(Clientes!$E$5:$E$549,MATCH(A136,Clientes!$C$5:$C$549,0))&amp;" "&amp;INDEX(Clientes!$F$5:$F$549,MATCH(A136,Clientes!$C$5:$C$549,0)))),"NO EXISTE en Clientes"))</f>
        <v/>
      </c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>
        <f>IF(AND(A136="",D136=""),"",IF(A136="","FALTA doc. cliente",IF(B136="NO EXISTE en Clientes","CLIENTE no está en hoja Clientes",IF(D136="","FALTA dirección",IF(AND(H136&lt;&gt;"",OR(F136="",G136="")),"Distrito requiere departamento y provincia",IF(AND(G136&lt;&gt;"",F136=""),"Provincia requiere departamento",IF((I136&lt;&gt;"")&lt;&gt;(J136&lt;&gt;""),"Latitud y longitud van juntas","OK")))))))</f>
        <v/>
      </c>
      <c r="M136" s="28">
        <f>IF(L136&lt;&gt;"OK","","INSERT INTO cli_direcciones (id_cliente, descripcion, direccion, referencia, id_departamento, id_provincia, id_distrito, latitud, longitud, es_principal, estado) SELECT "&amp;"(SELECT id FROM cli_clientes WHERE numero_documento = '"&amp;SUBSTITUTE(TRIM(A136),"'","''")&amp;"' AND estado = 1 LIMIT 1)"&amp;", "&amp;IF(TRIM(C136&amp;"")="","NULL","'"&amp;SUBSTITUTE(TRIM(C136),"'","''")&amp;"'")&amp;", "&amp;IF(TRIM(D136&amp;"")="","NULL","'"&amp;SUBSTITUTE(TRIM(D136),"'","''")&amp;"'")&amp;", "&amp;IF(TRIM(E136&amp;"")="","NULL","'"&amp;SUBSTITUTE(TRIM(E136),"'","''")&amp;"'")&amp;", "&amp;IF(TRIM(F136&amp;"")="","NULL","(SELECT id FROM gen_departamento WHERE upper(nombre) = upper('"&amp;SUBSTITUTE(TRIM(F136),"'","''")&amp;"') AND estado = 1 LIMIT 1)")&amp;", "&amp;IF(OR(TRIM(F136&amp;"")="",TRIM(G136&amp;"")=""),"NULL","(SELECT p.id FROM gen_provincia p JOIN gen_departamento dp ON dp.id = p.id_departamento WHERE upper(p.nombre) = upper('"&amp;SUBSTITUTE(TRIM(G136),"'","''")&amp;"') AND upper(dp.nombre) = upper('"&amp;SUBSTITUTE(TRIM(F136),"'","''")&amp;"') AND p.estado = 1 LIMIT 1)")&amp;", "&amp;IF(OR(TRIM(F136&amp;"")="",TRIM(G136&amp;"")="",TRIM(H136&amp;"")=""),"NULL","(SELECT d.id FROM gen_distrito d JOIN gen_provincia p ON p.id = d.id_provincia JOIN gen_departamento dp ON dp.id = p.id_departamento WHERE upper(d.nombre) = upper('"&amp;SUBSTITUTE(TRIM(H136),"'","''")&amp;"') AND upper(p.nombre) = upper('"&amp;SUBSTITUTE(TRIM(G136),"'","''")&amp;"') AND upper(dp.nombre) = upper('"&amp;SUBSTITUTE(TRIM(F136),"'","''")&amp;"') AND d.estado = 1 LIMIT 1)")&amp;", "&amp;IF(I136&amp;""="","NULL",SUBSTITUTE(I136&amp;"",",","."))&amp;", "&amp;IF(J136&amp;""="","NULL",SUBSTITUTE(J136&amp;"",",","."))&amp;", "&amp;IF(UPPER(TRIM(K136&amp;""))="SI","TRUE","FALSE")&amp;", 1"&amp;" WHERE NOT EXISTS (SELECT 1 FROM cli_direcciones x WHERE x.id_cliente = "&amp;"(SELECT id FROM cli_clientes WHERE numero_documento = '"&amp;SUBSTITUTE(TRIM(A136),"'","''")&amp;"' AND estado = 1 LIMIT 1)"&amp;" AND upper(x.direccion) = upper("&amp;IF(TRIM(D136&amp;"")="","NULL","'"&amp;SUBSTITUTE(TRIM(D136),"'","''")&amp;"'")&amp;"));")</f>
        <v/>
      </c>
    </row>
    <row r="137" ht="15.75" customHeight="1" s="64">
      <c r="A137" s="23" t="n"/>
      <c r="B137" s="25">
        <f t="array" ref="B137">IF(A137="","",IFERROR(IF(INDEX(Clientes!$D$5:$D$549,MATCH(A137,Clientes!$C$5:$C$549,0))&lt;&gt;"",INDEX(Clientes!$D$5:$D$549,MATCH(A137,Clientes!$C$5:$C$549,0)),TRIM(INDEX(Clientes!$E$5:$E$549,MATCH(A137,Clientes!$C$5:$C$549,0))&amp;" "&amp;INDEX(Clientes!$F$5:$F$549,MATCH(A137,Clientes!$C$5:$C$549,0)))),"NO EXISTE en Clientes"))</f>
        <v/>
      </c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>
        <f>IF(AND(A137="",D137=""),"",IF(A137="","FALTA doc. cliente",IF(B137="NO EXISTE en Clientes","CLIENTE no está en hoja Clientes",IF(D137="","FALTA dirección",IF(AND(H137&lt;&gt;"",OR(F137="",G137="")),"Distrito requiere departamento y provincia",IF(AND(G137&lt;&gt;"",F137=""),"Provincia requiere departamento",IF((I137&lt;&gt;"")&lt;&gt;(J137&lt;&gt;""),"Latitud y longitud van juntas","OK")))))))</f>
        <v/>
      </c>
      <c r="M137" s="28">
        <f>IF(L137&lt;&gt;"OK","","INSERT INTO cli_direcciones (id_cliente, descripcion, direccion, referencia, id_departamento, id_provincia, id_distrito, latitud, longitud, es_principal, estado) SELECT "&amp;"(SELECT id FROM cli_clientes WHERE numero_documento = '"&amp;SUBSTITUTE(TRIM(A137),"'","''")&amp;"' AND estado = 1 LIMIT 1)"&amp;", "&amp;IF(TRIM(C137&amp;"")="","NULL","'"&amp;SUBSTITUTE(TRIM(C137),"'","''")&amp;"'")&amp;", "&amp;IF(TRIM(D137&amp;"")="","NULL","'"&amp;SUBSTITUTE(TRIM(D137),"'","''")&amp;"'")&amp;", "&amp;IF(TRIM(E137&amp;"")="","NULL","'"&amp;SUBSTITUTE(TRIM(E137),"'","''")&amp;"'")&amp;", "&amp;IF(TRIM(F137&amp;"")="","NULL","(SELECT id FROM gen_departamento WHERE upper(nombre) = upper('"&amp;SUBSTITUTE(TRIM(F137),"'","''")&amp;"') AND estado = 1 LIMIT 1)")&amp;", "&amp;IF(OR(TRIM(F137&amp;"")="",TRIM(G137&amp;"")=""),"NULL","(SELECT p.id FROM gen_provincia p JOIN gen_departamento dp ON dp.id = p.id_departamento WHERE upper(p.nombre) = upper('"&amp;SUBSTITUTE(TRIM(G137),"'","''")&amp;"') AND upper(dp.nombre) = upper('"&amp;SUBSTITUTE(TRIM(F137),"'","''")&amp;"') AND p.estado = 1 LIMIT 1)")&amp;", "&amp;IF(OR(TRIM(F137&amp;"")="",TRIM(G137&amp;"")="",TRIM(H137&amp;"")=""),"NULL","(SELECT d.id FROM gen_distrito d JOIN gen_provincia p ON p.id = d.id_provincia JOIN gen_departamento dp ON dp.id = p.id_departamento WHERE upper(d.nombre) = upper('"&amp;SUBSTITUTE(TRIM(H137),"'","''")&amp;"') AND upper(p.nombre) = upper('"&amp;SUBSTITUTE(TRIM(G137),"'","''")&amp;"') AND upper(dp.nombre) = upper('"&amp;SUBSTITUTE(TRIM(F137),"'","''")&amp;"') AND d.estado = 1 LIMIT 1)")&amp;", "&amp;IF(I137&amp;""="","NULL",SUBSTITUTE(I137&amp;"",",","."))&amp;", "&amp;IF(J137&amp;""="","NULL",SUBSTITUTE(J137&amp;"",",","."))&amp;", "&amp;IF(UPPER(TRIM(K137&amp;""))="SI","TRUE","FALSE")&amp;", 1"&amp;" WHERE NOT EXISTS (SELECT 1 FROM cli_direcciones x WHERE x.id_cliente = "&amp;"(SELECT id FROM cli_clientes WHERE numero_documento = '"&amp;SUBSTITUTE(TRIM(A137),"'","''")&amp;"' AND estado = 1 LIMIT 1)"&amp;" AND upper(x.direccion) = upper("&amp;IF(TRIM(D137&amp;"")="","NULL","'"&amp;SUBSTITUTE(TRIM(D137),"'","''")&amp;"'")&amp;"));")</f>
        <v/>
      </c>
    </row>
    <row r="138" ht="15.75" customHeight="1" s="64">
      <c r="A138" s="23" t="n"/>
      <c r="B138" s="25">
        <f t="array" ref="B138">IF(A138="","",IFERROR(IF(INDEX(Clientes!$D$5:$D$549,MATCH(A138,Clientes!$C$5:$C$549,0))&lt;&gt;"",INDEX(Clientes!$D$5:$D$549,MATCH(A138,Clientes!$C$5:$C$549,0)),TRIM(INDEX(Clientes!$E$5:$E$549,MATCH(A138,Clientes!$C$5:$C$549,0))&amp;" "&amp;INDEX(Clientes!$F$5:$F$549,MATCH(A138,Clientes!$C$5:$C$549,0)))),"NO EXISTE en Clientes"))</f>
        <v/>
      </c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>
        <f>IF(AND(A138="",D138=""),"",IF(A138="","FALTA doc. cliente",IF(B138="NO EXISTE en Clientes","CLIENTE no está en hoja Clientes",IF(D138="","FALTA dirección",IF(AND(H138&lt;&gt;"",OR(F138="",G138="")),"Distrito requiere departamento y provincia",IF(AND(G138&lt;&gt;"",F138=""),"Provincia requiere departamento",IF((I138&lt;&gt;"")&lt;&gt;(J138&lt;&gt;""),"Latitud y longitud van juntas","OK")))))))</f>
        <v/>
      </c>
      <c r="M138" s="28">
        <f>IF(L138&lt;&gt;"OK","","INSERT INTO cli_direcciones (id_cliente, descripcion, direccion, referencia, id_departamento, id_provincia, id_distrito, latitud, longitud, es_principal, estado) SELECT "&amp;"(SELECT id FROM cli_clientes WHERE numero_documento = '"&amp;SUBSTITUTE(TRIM(A138),"'","''")&amp;"' AND estado = 1 LIMIT 1)"&amp;", "&amp;IF(TRIM(C138&amp;"")="","NULL","'"&amp;SUBSTITUTE(TRIM(C138),"'","''")&amp;"'")&amp;", "&amp;IF(TRIM(D138&amp;"")="","NULL","'"&amp;SUBSTITUTE(TRIM(D138),"'","''")&amp;"'")&amp;", "&amp;IF(TRIM(E138&amp;"")="","NULL","'"&amp;SUBSTITUTE(TRIM(E138),"'","''")&amp;"'")&amp;", "&amp;IF(TRIM(F138&amp;"")="","NULL","(SELECT id FROM gen_departamento WHERE upper(nombre) = upper('"&amp;SUBSTITUTE(TRIM(F138),"'","''")&amp;"') AND estado = 1 LIMIT 1)")&amp;", "&amp;IF(OR(TRIM(F138&amp;"")="",TRIM(G138&amp;"")=""),"NULL","(SELECT p.id FROM gen_provincia p JOIN gen_departamento dp ON dp.id = p.id_departamento WHERE upper(p.nombre) = upper('"&amp;SUBSTITUTE(TRIM(G138),"'","''")&amp;"') AND upper(dp.nombre) = upper('"&amp;SUBSTITUTE(TRIM(F138),"'","''")&amp;"') AND p.estado = 1 LIMIT 1)")&amp;", "&amp;IF(OR(TRIM(F138&amp;"")="",TRIM(G138&amp;"")="",TRIM(H138&amp;"")=""),"NULL","(SELECT d.id FROM gen_distrito d JOIN gen_provincia p ON p.id = d.id_provincia JOIN gen_departamento dp ON dp.id = p.id_departamento WHERE upper(d.nombre) = upper('"&amp;SUBSTITUTE(TRIM(H138),"'","''")&amp;"') AND upper(p.nombre) = upper('"&amp;SUBSTITUTE(TRIM(G138),"'","''")&amp;"') AND upper(dp.nombre) = upper('"&amp;SUBSTITUTE(TRIM(F138),"'","''")&amp;"') AND d.estado = 1 LIMIT 1)")&amp;", "&amp;IF(I138&amp;""="","NULL",SUBSTITUTE(I138&amp;"",",","."))&amp;", "&amp;IF(J138&amp;""="","NULL",SUBSTITUTE(J138&amp;"",",","."))&amp;", "&amp;IF(UPPER(TRIM(K138&amp;""))="SI","TRUE","FALSE")&amp;", 1"&amp;" WHERE NOT EXISTS (SELECT 1 FROM cli_direcciones x WHERE x.id_cliente = "&amp;"(SELECT id FROM cli_clientes WHERE numero_documento = '"&amp;SUBSTITUTE(TRIM(A138),"'","''")&amp;"' AND estado = 1 LIMIT 1)"&amp;" AND upper(x.direccion) = upper("&amp;IF(TRIM(D138&amp;"")="","NULL","'"&amp;SUBSTITUTE(TRIM(D138),"'","''")&amp;"'")&amp;"));")</f>
        <v/>
      </c>
    </row>
    <row r="139" ht="15.75" customHeight="1" s="64">
      <c r="A139" s="23" t="n"/>
      <c r="B139" s="25">
        <f t="array" ref="B139">IF(A139="","",IFERROR(IF(INDEX(Clientes!$D$5:$D$549,MATCH(A139,Clientes!$C$5:$C$549,0))&lt;&gt;"",INDEX(Clientes!$D$5:$D$549,MATCH(A139,Clientes!$C$5:$C$549,0)),TRIM(INDEX(Clientes!$E$5:$E$549,MATCH(A139,Clientes!$C$5:$C$549,0))&amp;" "&amp;INDEX(Clientes!$F$5:$F$549,MATCH(A139,Clientes!$C$5:$C$549,0)))),"NO EXISTE en Clientes"))</f>
        <v/>
      </c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>
        <f>IF(AND(A139="",D139=""),"",IF(A139="","FALTA doc. cliente",IF(B139="NO EXISTE en Clientes","CLIENTE no está en hoja Clientes",IF(D139="","FALTA dirección",IF(AND(H139&lt;&gt;"",OR(F139="",G139="")),"Distrito requiere departamento y provincia",IF(AND(G139&lt;&gt;"",F139=""),"Provincia requiere departamento",IF((I139&lt;&gt;"")&lt;&gt;(J139&lt;&gt;""),"Latitud y longitud van juntas","OK")))))))</f>
        <v/>
      </c>
      <c r="M139" s="28">
        <f>IF(L139&lt;&gt;"OK","","INSERT INTO cli_direcciones (id_cliente, descripcion, direccion, referencia, id_departamento, id_provincia, id_distrito, latitud, longitud, es_principal, estado) SELECT "&amp;"(SELECT id FROM cli_clientes WHERE numero_documento = '"&amp;SUBSTITUTE(TRIM(A139),"'","''")&amp;"' AND estado = 1 LIMIT 1)"&amp;", "&amp;IF(TRIM(C139&amp;"")="","NULL","'"&amp;SUBSTITUTE(TRIM(C139),"'","''")&amp;"'")&amp;", "&amp;IF(TRIM(D139&amp;"")="","NULL","'"&amp;SUBSTITUTE(TRIM(D139),"'","''")&amp;"'")&amp;", "&amp;IF(TRIM(E139&amp;"")="","NULL","'"&amp;SUBSTITUTE(TRIM(E139),"'","''")&amp;"'")&amp;", "&amp;IF(TRIM(F139&amp;"")="","NULL","(SELECT id FROM gen_departamento WHERE upper(nombre) = upper('"&amp;SUBSTITUTE(TRIM(F139),"'","''")&amp;"') AND estado = 1 LIMIT 1)")&amp;", "&amp;IF(OR(TRIM(F139&amp;"")="",TRIM(G139&amp;"")=""),"NULL","(SELECT p.id FROM gen_provincia p JOIN gen_departamento dp ON dp.id = p.id_departamento WHERE upper(p.nombre) = upper('"&amp;SUBSTITUTE(TRIM(G139),"'","''")&amp;"') AND upper(dp.nombre) = upper('"&amp;SUBSTITUTE(TRIM(F139),"'","''")&amp;"') AND p.estado = 1 LIMIT 1)")&amp;", "&amp;IF(OR(TRIM(F139&amp;"")="",TRIM(G139&amp;"")="",TRIM(H139&amp;"")=""),"NULL","(SELECT d.id FROM gen_distrito d JOIN gen_provincia p ON p.id = d.id_provincia JOIN gen_departamento dp ON dp.id = p.id_departamento WHERE upper(d.nombre) = upper('"&amp;SUBSTITUTE(TRIM(H139),"'","''")&amp;"') AND upper(p.nombre) = upper('"&amp;SUBSTITUTE(TRIM(G139),"'","''")&amp;"') AND upper(dp.nombre) = upper('"&amp;SUBSTITUTE(TRIM(F139),"'","''")&amp;"') AND d.estado = 1 LIMIT 1)")&amp;", "&amp;IF(I139&amp;""="","NULL",SUBSTITUTE(I139&amp;"",",","."))&amp;", "&amp;IF(J139&amp;""="","NULL",SUBSTITUTE(J139&amp;"",",","."))&amp;", "&amp;IF(UPPER(TRIM(K139&amp;""))="SI","TRUE","FALSE")&amp;", 1"&amp;" WHERE NOT EXISTS (SELECT 1 FROM cli_direcciones x WHERE x.id_cliente = "&amp;"(SELECT id FROM cli_clientes WHERE numero_documento = '"&amp;SUBSTITUTE(TRIM(A139),"'","''")&amp;"' AND estado = 1 LIMIT 1)"&amp;" AND upper(x.direccion) = upper("&amp;IF(TRIM(D139&amp;"")="","NULL","'"&amp;SUBSTITUTE(TRIM(D139),"'","''")&amp;"'")&amp;"));")</f>
        <v/>
      </c>
    </row>
    <row r="140" ht="15.75" customHeight="1" s="64">
      <c r="A140" s="23" t="n"/>
      <c r="B140" s="25">
        <f t="array" ref="B140">IF(A140="","",IFERROR(IF(INDEX(Clientes!$D$5:$D$549,MATCH(A140,Clientes!$C$5:$C$549,0))&lt;&gt;"",INDEX(Clientes!$D$5:$D$549,MATCH(A140,Clientes!$C$5:$C$549,0)),TRIM(INDEX(Clientes!$E$5:$E$549,MATCH(A140,Clientes!$C$5:$C$549,0))&amp;" "&amp;INDEX(Clientes!$F$5:$F$549,MATCH(A140,Clientes!$C$5:$C$549,0)))),"NO EXISTE en Clientes"))</f>
        <v/>
      </c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>
        <f>IF(AND(A140="",D140=""),"",IF(A140="","FALTA doc. cliente",IF(B140="NO EXISTE en Clientes","CLIENTE no está en hoja Clientes",IF(D140="","FALTA dirección",IF(AND(H140&lt;&gt;"",OR(F140="",G140="")),"Distrito requiere departamento y provincia",IF(AND(G140&lt;&gt;"",F140=""),"Provincia requiere departamento",IF((I140&lt;&gt;"")&lt;&gt;(J140&lt;&gt;""),"Latitud y longitud van juntas","OK")))))))</f>
        <v/>
      </c>
      <c r="M140" s="28">
        <f>IF(L140&lt;&gt;"OK","","INSERT INTO cli_direcciones (id_cliente, descripcion, direccion, referencia, id_departamento, id_provincia, id_distrito, latitud, longitud, es_principal, estado) SELECT "&amp;"(SELECT id FROM cli_clientes WHERE numero_documento = '"&amp;SUBSTITUTE(TRIM(A140),"'","''")&amp;"' AND estado = 1 LIMIT 1)"&amp;", "&amp;IF(TRIM(C140&amp;"")="","NULL","'"&amp;SUBSTITUTE(TRIM(C140),"'","''")&amp;"'")&amp;", "&amp;IF(TRIM(D140&amp;"")="","NULL","'"&amp;SUBSTITUTE(TRIM(D140),"'","''")&amp;"'")&amp;", "&amp;IF(TRIM(E140&amp;"")="","NULL","'"&amp;SUBSTITUTE(TRIM(E140),"'","''")&amp;"'")&amp;", "&amp;IF(TRIM(F140&amp;"")="","NULL","(SELECT id FROM gen_departamento WHERE upper(nombre) = upper('"&amp;SUBSTITUTE(TRIM(F140),"'","''")&amp;"') AND estado = 1 LIMIT 1)")&amp;", "&amp;IF(OR(TRIM(F140&amp;"")="",TRIM(G140&amp;"")=""),"NULL","(SELECT p.id FROM gen_provincia p JOIN gen_departamento dp ON dp.id = p.id_departamento WHERE upper(p.nombre) = upper('"&amp;SUBSTITUTE(TRIM(G140),"'","''")&amp;"') AND upper(dp.nombre) = upper('"&amp;SUBSTITUTE(TRIM(F140),"'","''")&amp;"') AND p.estado = 1 LIMIT 1)")&amp;", "&amp;IF(OR(TRIM(F140&amp;"")="",TRIM(G140&amp;"")="",TRIM(H140&amp;"")=""),"NULL","(SELECT d.id FROM gen_distrito d JOIN gen_provincia p ON p.id = d.id_provincia JOIN gen_departamento dp ON dp.id = p.id_departamento WHERE upper(d.nombre) = upper('"&amp;SUBSTITUTE(TRIM(H140),"'","''")&amp;"') AND upper(p.nombre) = upper('"&amp;SUBSTITUTE(TRIM(G140),"'","''")&amp;"') AND upper(dp.nombre) = upper('"&amp;SUBSTITUTE(TRIM(F140),"'","''")&amp;"') AND d.estado = 1 LIMIT 1)")&amp;", "&amp;IF(I140&amp;""="","NULL",SUBSTITUTE(I140&amp;"",",","."))&amp;", "&amp;IF(J140&amp;""="","NULL",SUBSTITUTE(J140&amp;"",",","."))&amp;", "&amp;IF(UPPER(TRIM(K140&amp;""))="SI","TRUE","FALSE")&amp;", 1"&amp;" WHERE NOT EXISTS (SELECT 1 FROM cli_direcciones x WHERE x.id_cliente = "&amp;"(SELECT id FROM cli_clientes WHERE numero_documento = '"&amp;SUBSTITUTE(TRIM(A140),"'","''")&amp;"' AND estado = 1 LIMIT 1)"&amp;" AND upper(x.direccion) = upper("&amp;IF(TRIM(D140&amp;"")="","NULL","'"&amp;SUBSTITUTE(TRIM(D140),"'","''")&amp;"'")&amp;"));")</f>
        <v/>
      </c>
    </row>
    <row r="141" ht="15.75" customHeight="1" s="64">
      <c r="A141" s="23" t="n"/>
      <c r="B141" s="25">
        <f t="array" ref="B141">IF(A141="","",IFERROR(IF(INDEX(Clientes!$D$5:$D$549,MATCH(A141,Clientes!$C$5:$C$549,0))&lt;&gt;"",INDEX(Clientes!$D$5:$D$549,MATCH(A141,Clientes!$C$5:$C$549,0)),TRIM(INDEX(Clientes!$E$5:$E$549,MATCH(A141,Clientes!$C$5:$C$549,0))&amp;" "&amp;INDEX(Clientes!$F$5:$F$549,MATCH(A141,Clientes!$C$5:$C$549,0)))),"NO EXISTE en Clientes"))</f>
        <v/>
      </c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>
        <f>IF(AND(A141="",D141=""),"",IF(A141="","FALTA doc. cliente",IF(B141="NO EXISTE en Clientes","CLIENTE no está en hoja Clientes",IF(D141="","FALTA dirección",IF(AND(H141&lt;&gt;"",OR(F141="",G141="")),"Distrito requiere departamento y provincia",IF(AND(G141&lt;&gt;"",F141=""),"Provincia requiere departamento",IF((I141&lt;&gt;"")&lt;&gt;(J141&lt;&gt;""),"Latitud y longitud van juntas","OK")))))))</f>
        <v/>
      </c>
      <c r="M141" s="28">
        <f>IF(L141&lt;&gt;"OK","","INSERT INTO cli_direcciones (id_cliente, descripcion, direccion, referencia, id_departamento, id_provincia, id_distrito, latitud, longitud, es_principal, estado) SELECT "&amp;"(SELECT id FROM cli_clientes WHERE numero_documento = '"&amp;SUBSTITUTE(TRIM(A141),"'","''")&amp;"' AND estado = 1 LIMIT 1)"&amp;", "&amp;IF(TRIM(C141&amp;"")="","NULL","'"&amp;SUBSTITUTE(TRIM(C141),"'","''")&amp;"'")&amp;", "&amp;IF(TRIM(D141&amp;"")="","NULL","'"&amp;SUBSTITUTE(TRIM(D141),"'","''")&amp;"'")&amp;", "&amp;IF(TRIM(E141&amp;"")="","NULL","'"&amp;SUBSTITUTE(TRIM(E141),"'","''")&amp;"'")&amp;", "&amp;IF(TRIM(F141&amp;"")="","NULL","(SELECT id FROM gen_departamento WHERE upper(nombre) = upper('"&amp;SUBSTITUTE(TRIM(F141),"'","''")&amp;"') AND estado = 1 LIMIT 1)")&amp;", "&amp;IF(OR(TRIM(F141&amp;"")="",TRIM(G141&amp;"")=""),"NULL","(SELECT p.id FROM gen_provincia p JOIN gen_departamento dp ON dp.id = p.id_departamento WHERE upper(p.nombre) = upper('"&amp;SUBSTITUTE(TRIM(G141),"'","''")&amp;"') AND upper(dp.nombre) = upper('"&amp;SUBSTITUTE(TRIM(F141),"'","''")&amp;"') AND p.estado = 1 LIMIT 1)")&amp;", "&amp;IF(OR(TRIM(F141&amp;"")="",TRIM(G141&amp;"")="",TRIM(H141&amp;"")=""),"NULL","(SELECT d.id FROM gen_distrito d JOIN gen_provincia p ON p.id = d.id_provincia JOIN gen_departamento dp ON dp.id = p.id_departamento WHERE upper(d.nombre) = upper('"&amp;SUBSTITUTE(TRIM(H141),"'","''")&amp;"') AND upper(p.nombre) = upper('"&amp;SUBSTITUTE(TRIM(G141),"'","''")&amp;"') AND upper(dp.nombre) = upper('"&amp;SUBSTITUTE(TRIM(F141),"'","''")&amp;"') AND d.estado = 1 LIMIT 1)")&amp;", "&amp;IF(I141&amp;""="","NULL",SUBSTITUTE(I141&amp;"",",","."))&amp;", "&amp;IF(J141&amp;""="","NULL",SUBSTITUTE(J141&amp;"",",","."))&amp;", "&amp;IF(UPPER(TRIM(K141&amp;""))="SI","TRUE","FALSE")&amp;", 1"&amp;" WHERE NOT EXISTS (SELECT 1 FROM cli_direcciones x WHERE x.id_cliente = "&amp;"(SELECT id FROM cli_clientes WHERE numero_documento = '"&amp;SUBSTITUTE(TRIM(A141),"'","''")&amp;"' AND estado = 1 LIMIT 1)"&amp;" AND upper(x.direccion) = upper("&amp;IF(TRIM(D141&amp;"")="","NULL","'"&amp;SUBSTITUTE(TRIM(D141),"'","''")&amp;"'")&amp;"));")</f>
        <v/>
      </c>
    </row>
    <row r="142" ht="15.75" customHeight="1" s="64">
      <c r="A142" s="23" t="n"/>
      <c r="B142" s="25">
        <f t="array" ref="B142">IF(A142="","",IFERROR(IF(INDEX(Clientes!$D$5:$D$549,MATCH(A142,Clientes!$C$5:$C$549,0))&lt;&gt;"",INDEX(Clientes!$D$5:$D$549,MATCH(A142,Clientes!$C$5:$C$549,0)),TRIM(INDEX(Clientes!$E$5:$E$549,MATCH(A142,Clientes!$C$5:$C$549,0))&amp;" "&amp;INDEX(Clientes!$F$5:$F$549,MATCH(A142,Clientes!$C$5:$C$549,0)))),"NO EXISTE en Clientes"))</f>
        <v/>
      </c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>
        <f>IF(AND(A142="",D142=""),"",IF(A142="","FALTA doc. cliente",IF(B142="NO EXISTE en Clientes","CLIENTE no está en hoja Clientes",IF(D142="","FALTA dirección",IF(AND(H142&lt;&gt;"",OR(F142="",G142="")),"Distrito requiere departamento y provincia",IF(AND(G142&lt;&gt;"",F142=""),"Provincia requiere departamento",IF((I142&lt;&gt;"")&lt;&gt;(J142&lt;&gt;""),"Latitud y longitud van juntas","OK")))))))</f>
        <v/>
      </c>
      <c r="M142" s="28">
        <f>IF(L142&lt;&gt;"OK","","INSERT INTO cli_direcciones (id_cliente, descripcion, direccion, referencia, id_departamento, id_provincia, id_distrito, latitud, longitud, es_principal, estado) SELECT "&amp;"(SELECT id FROM cli_clientes WHERE numero_documento = '"&amp;SUBSTITUTE(TRIM(A142),"'","''")&amp;"' AND estado = 1 LIMIT 1)"&amp;", "&amp;IF(TRIM(C142&amp;"")="","NULL","'"&amp;SUBSTITUTE(TRIM(C142),"'","''")&amp;"'")&amp;", "&amp;IF(TRIM(D142&amp;"")="","NULL","'"&amp;SUBSTITUTE(TRIM(D142),"'","''")&amp;"'")&amp;", "&amp;IF(TRIM(E142&amp;"")="","NULL","'"&amp;SUBSTITUTE(TRIM(E142),"'","''")&amp;"'")&amp;", "&amp;IF(TRIM(F142&amp;"")="","NULL","(SELECT id FROM gen_departamento WHERE upper(nombre) = upper('"&amp;SUBSTITUTE(TRIM(F142),"'","''")&amp;"') AND estado = 1 LIMIT 1)")&amp;", "&amp;IF(OR(TRIM(F142&amp;"")="",TRIM(G142&amp;"")=""),"NULL","(SELECT p.id FROM gen_provincia p JOIN gen_departamento dp ON dp.id = p.id_departamento WHERE upper(p.nombre) = upper('"&amp;SUBSTITUTE(TRIM(G142),"'","''")&amp;"') AND upper(dp.nombre) = upper('"&amp;SUBSTITUTE(TRIM(F142),"'","''")&amp;"') AND p.estado = 1 LIMIT 1)")&amp;", "&amp;IF(OR(TRIM(F142&amp;"")="",TRIM(G142&amp;"")="",TRIM(H142&amp;"")=""),"NULL","(SELECT d.id FROM gen_distrito d JOIN gen_provincia p ON p.id = d.id_provincia JOIN gen_departamento dp ON dp.id = p.id_departamento WHERE upper(d.nombre) = upper('"&amp;SUBSTITUTE(TRIM(H142),"'","''")&amp;"') AND upper(p.nombre) = upper('"&amp;SUBSTITUTE(TRIM(G142),"'","''")&amp;"') AND upper(dp.nombre) = upper('"&amp;SUBSTITUTE(TRIM(F142),"'","''")&amp;"') AND d.estado = 1 LIMIT 1)")&amp;", "&amp;IF(I142&amp;""="","NULL",SUBSTITUTE(I142&amp;"",",","."))&amp;", "&amp;IF(J142&amp;""="","NULL",SUBSTITUTE(J142&amp;"",",","."))&amp;", "&amp;IF(UPPER(TRIM(K142&amp;""))="SI","TRUE","FALSE")&amp;", 1"&amp;" WHERE NOT EXISTS (SELECT 1 FROM cli_direcciones x WHERE x.id_cliente = "&amp;"(SELECT id FROM cli_clientes WHERE numero_documento = '"&amp;SUBSTITUTE(TRIM(A142),"'","''")&amp;"' AND estado = 1 LIMIT 1)"&amp;" AND upper(x.direccion) = upper("&amp;IF(TRIM(D142&amp;"")="","NULL","'"&amp;SUBSTITUTE(TRIM(D142),"'","''")&amp;"'")&amp;"));")</f>
        <v/>
      </c>
    </row>
    <row r="143" ht="15.75" customHeight="1" s="64">
      <c r="A143" s="23" t="n"/>
      <c r="B143" s="25">
        <f t="array" ref="B143">IF(A143="","",IFERROR(IF(INDEX(Clientes!$D$5:$D$549,MATCH(A143,Clientes!$C$5:$C$549,0))&lt;&gt;"",INDEX(Clientes!$D$5:$D$549,MATCH(A143,Clientes!$C$5:$C$549,0)),TRIM(INDEX(Clientes!$E$5:$E$549,MATCH(A143,Clientes!$C$5:$C$549,0))&amp;" "&amp;INDEX(Clientes!$F$5:$F$549,MATCH(A143,Clientes!$C$5:$C$549,0)))),"NO EXISTE en Clientes"))</f>
        <v/>
      </c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>
        <f>IF(AND(A143="",D143=""),"",IF(A143="","FALTA doc. cliente",IF(B143="NO EXISTE en Clientes","CLIENTE no está en hoja Clientes",IF(D143="","FALTA dirección",IF(AND(H143&lt;&gt;"",OR(F143="",G143="")),"Distrito requiere departamento y provincia",IF(AND(G143&lt;&gt;"",F143=""),"Provincia requiere departamento",IF((I143&lt;&gt;"")&lt;&gt;(J143&lt;&gt;""),"Latitud y longitud van juntas","OK")))))))</f>
        <v/>
      </c>
      <c r="M143" s="28">
        <f>IF(L143&lt;&gt;"OK","","INSERT INTO cli_direcciones (id_cliente, descripcion, direccion, referencia, id_departamento, id_provincia, id_distrito, latitud, longitud, es_principal, estado) SELECT "&amp;"(SELECT id FROM cli_clientes WHERE numero_documento = '"&amp;SUBSTITUTE(TRIM(A143),"'","''")&amp;"' AND estado = 1 LIMIT 1)"&amp;", "&amp;IF(TRIM(C143&amp;"")="","NULL","'"&amp;SUBSTITUTE(TRIM(C143),"'","''")&amp;"'")&amp;", "&amp;IF(TRIM(D143&amp;"")="","NULL","'"&amp;SUBSTITUTE(TRIM(D143),"'","''")&amp;"'")&amp;", "&amp;IF(TRIM(E143&amp;"")="","NULL","'"&amp;SUBSTITUTE(TRIM(E143),"'","''")&amp;"'")&amp;", "&amp;IF(TRIM(F143&amp;"")="","NULL","(SELECT id FROM gen_departamento WHERE upper(nombre) = upper('"&amp;SUBSTITUTE(TRIM(F143),"'","''")&amp;"') AND estado = 1 LIMIT 1)")&amp;", "&amp;IF(OR(TRIM(F143&amp;"")="",TRIM(G143&amp;"")=""),"NULL","(SELECT p.id FROM gen_provincia p JOIN gen_departamento dp ON dp.id = p.id_departamento WHERE upper(p.nombre) = upper('"&amp;SUBSTITUTE(TRIM(G143),"'","''")&amp;"') AND upper(dp.nombre) = upper('"&amp;SUBSTITUTE(TRIM(F143),"'","''")&amp;"') AND p.estado = 1 LIMIT 1)")&amp;", "&amp;IF(OR(TRIM(F143&amp;"")="",TRIM(G143&amp;"")="",TRIM(H143&amp;"")=""),"NULL","(SELECT d.id FROM gen_distrito d JOIN gen_provincia p ON p.id = d.id_provincia JOIN gen_departamento dp ON dp.id = p.id_departamento WHERE upper(d.nombre) = upper('"&amp;SUBSTITUTE(TRIM(H143),"'","''")&amp;"') AND upper(p.nombre) = upper('"&amp;SUBSTITUTE(TRIM(G143),"'","''")&amp;"') AND upper(dp.nombre) = upper('"&amp;SUBSTITUTE(TRIM(F143),"'","''")&amp;"') AND d.estado = 1 LIMIT 1)")&amp;", "&amp;IF(I143&amp;""="","NULL",SUBSTITUTE(I143&amp;"",",","."))&amp;", "&amp;IF(J143&amp;""="","NULL",SUBSTITUTE(J143&amp;"",",","."))&amp;", "&amp;IF(UPPER(TRIM(K143&amp;""))="SI","TRUE","FALSE")&amp;", 1"&amp;" WHERE NOT EXISTS (SELECT 1 FROM cli_direcciones x WHERE x.id_cliente = "&amp;"(SELECT id FROM cli_clientes WHERE numero_documento = '"&amp;SUBSTITUTE(TRIM(A143),"'","''")&amp;"' AND estado = 1 LIMIT 1)"&amp;" AND upper(x.direccion) = upper("&amp;IF(TRIM(D143&amp;"")="","NULL","'"&amp;SUBSTITUTE(TRIM(D143),"'","''")&amp;"'")&amp;"));")</f>
        <v/>
      </c>
    </row>
    <row r="144" ht="15.75" customHeight="1" s="64">
      <c r="A144" s="23" t="n"/>
      <c r="B144" s="25">
        <f t="array" ref="B144">IF(A144="","",IFERROR(IF(INDEX(Clientes!$D$5:$D$549,MATCH(A144,Clientes!$C$5:$C$549,0))&lt;&gt;"",INDEX(Clientes!$D$5:$D$549,MATCH(A144,Clientes!$C$5:$C$549,0)),TRIM(INDEX(Clientes!$E$5:$E$549,MATCH(A144,Clientes!$C$5:$C$549,0))&amp;" "&amp;INDEX(Clientes!$F$5:$F$549,MATCH(A144,Clientes!$C$5:$C$549,0)))),"NO EXISTE en Clientes"))</f>
        <v/>
      </c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>
        <f>IF(AND(A144="",D144=""),"",IF(A144="","FALTA doc. cliente",IF(B144="NO EXISTE en Clientes","CLIENTE no está en hoja Clientes",IF(D144="","FALTA dirección",IF(AND(H144&lt;&gt;"",OR(F144="",G144="")),"Distrito requiere departamento y provincia",IF(AND(G144&lt;&gt;"",F144=""),"Provincia requiere departamento",IF((I144&lt;&gt;"")&lt;&gt;(J144&lt;&gt;""),"Latitud y longitud van juntas","OK")))))))</f>
        <v/>
      </c>
      <c r="M144" s="28">
        <f>IF(L144&lt;&gt;"OK","","INSERT INTO cli_direcciones (id_cliente, descripcion, direccion, referencia, id_departamento, id_provincia, id_distrito, latitud, longitud, es_principal, estado) SELECT "&amp;"(SELECT id FROM cli_clientes WHERE numero_documento = '"&amp;SUBSTITUTE(TRIM(A144),"'","''")&amp;"' AND estado = 1 LIMIT 1)"&amp;", "&amp;IF(TRIM(C144&amp;"")="","NULL","'"&amp;SUBSTITUTE(TRIM(C144),"'","''")&amp;"'")&amp;", "&amp;IF(TRIM(D144&amp;"")="","NULL","'"&amp;SUBSTITUTE(TRIM(D144),"'","''")&amp;"'")&amp;", "&amp;IF(TRIM(E144&amp;"")="","NULL","'"&amp;SUBSTITUTE(TRIM(E144),"'","''")&amp;"'")&amp;", "&amp;IF(TRIM(F144&amp;"")="","NULL","(SELECT id FROM gen_departamento WHERE upper(nombre) = upper('"&amp;SUBSTITUTE(TRIM(F144),"'","''")&amp;"') AND estado = 1 LIMIT 1)")&amp;", "&amp;IF(OR(TRIM(F144&amp;"")="",TRIM(G144&amp;"")=""),"NULL","(SELECT p.id FROM gen_provincia p JOIN gen_departamento dp ON dp.id = p.id_departamento WHERE upper(p.nombre) = upper('"&amp;SUBSTITUTE(TRIM(G144),"'","''")&amp;"') AND upper(dp.nombre) = upper('"&amp;SUBSTITUTE(TRIM(F144),"'","''")&amp;"') AND p.estado = 1 LIMIT 1)")&amp;", "&amp;IF(OR(TRIM(F144&amp;"")="",TRIM(G144&amp;"")="",TRIM(H144&amp;"")=""),"NULL","(SELECT d.id FROM gen_distrito d JOIN gen_provincia p ON p.id = d.id_provincia JOIN gen_departamento dp ON dp.id = p.id_departamento WHERE upper(d.nombre) = upper('"&amp;SUBSTITUTE(TRIM(H144),"'","''")&amp;"') AND upper(p.nombre) = upper('"&amp;SUBSTITUTE(TRIM(G144),"'","''")&amp;"') AND upper(dp.nombre) = upper('"&amp;SUBSTITUTE(TRIM(F144),"'","''")&amp;"') AND d.estado = 1 LIMIT 1)")&amp;", "&amp;IF(I144&amp;""="","NULL",SUBSTITUTE(I144&amp;"",",","."))&amp;", "&amp;IF(J144&amp;""="","NULL",SUBSTITUTE(J144&amp;"",",","."))&amp;", "&amp;IF(UPPER(TRIM(K144&amp;""))="SI","TRUE","FALSE")&amp;", 1"&amp;" WHERE NOT EXISTS (SELECT 1 FROM cli_direcciones x WHERE x.id_cliente = "&amp;"(SELECT id FROM cli_clientes WHERE numero_documento = '"&amp;SUBSTITUTE(TRIM(A144),"'","''")&amp;"' AND estado = 1 LIMIT 1)"&amp;" AND upper(x.direccion) = upper("&amp;IF(TRIM(D144&amp;"")="","NULL","'"&amp;SUBSTITUTE(TRIM(D144),"'","''")&amp;"'")&amp;"));")</f>
        <v/>
      </c>
    </row>
    <row r="145" ht="15.75" customHeight="1" s="64">
      <c r="A145" s="23" t="n"/>
      <c r="B145" s="25">
        <f t="array" ref="B145">IF(A145="","",IFERROR(IF(INDEX(Clientes!$D$5:$D$549,MATCH(A145,Clientes!$C$5:$C$549,0))&lt;&gt;"",INDEX(Clientes!$D$5:$D$549,MATCH(A145,Clientes!$C$5:$C$549,0)),TRIM(INDEX(Clientes!$E$5:$E$549,MATCH(A145,Clientes!$C$5:$C$549,0))&amp;" "&amp;INDEX(Clientes!$F$5:$F$549,MATCH(A145,Clientes!$C$5:$C$549,0)))),"NO EXISTE en Clientes"))</f>
        <v/>
      </c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>
        <f>IF(AND(A145="",D145=""),"",IF(A145="","FALTA doc. cliente",IF(B145="NO EXISTE en Clientes","CLIENTE no está en hoja Clientes",IF(D145="","FALTA dirección",IF(AND(H145&lt;&gt;"",OR(F145="",G145="")),"Distrito requiere departamento y provincia",IF(AND(G145&lt;&gt;"",F145=""),"Provincia requiere departamento",IF((I145&lt;&gt;"")&lt;&gt;(J145&lt;&gt;""),"Latitud y longitud van juntas","OK")))))))</f>
        <v/>
      </c>
      <c r="M145" s="28">
        <f>IF(L145&lt;&gt;"OK","","INSERT INTO cli_direcciones (id_cliente, descripcion, direccion, referencia, id_departamento, id_provincia, id_distrito, latitud, longitud, es_principal, estado) SELECT "&amp;"(SELECT id FROM cli_clientes WHERE numero_documento = '"&amp;SUBSTITUTE(TRIM(A145),"'","''")&amp;"' AND estado = 1 LIMIT 1)"&amp;", "&amp;IF(TRIM(C145&amp;"")="","NULL","'"&amp;SUBSTITUTE(TRIM(C145),"'","''")&amp;"'")&amp;", "&amp;IF(TRIM(D145&amp;"")="","NULL","'"&amp;SUBSTITUTE(TRIM(D145),"'","''")&amp;"'")&amp;", "&amp;IF(TRIM(E145&amp;"")="","NULL","'"&amp;SUBSTITUTE(TRIM(E145),"'","''")&amp;"'")&amp;", "&amp;IF(TRIM(F145&amp;"")="","NULL","(SELECT id FROM gen_departamento WHERE upper(nombre) = upper('"&amp;SUBSTITUTE(TRIM(F145),"'","''")&amp;"') AND estado = 1 LIMIT 1)")&amp;", "&amp;IF(OR(TRIM(F145&amp;"")="",TRIM(G145&amp;"")=""),"NULL","(SELECT p.id FROM gen_provincia p JOIN gen_departamento dp ON dp.id = p.id_departamento WHERE upper(p.nombre) = upper('"&amp;SUBSTITUTE(TRIM(G145),"'","''")&amp;"') AND upper(dp.nombre) = upper('"&amp;SUBSTITUTE(TRIM(F145),"'","''")&amp;"') AND p.estado = 1 LIMIT 1)")&amp;", "&amp;IF(OR(TRIM(F145&amp;"")="",TRIM(G145&amp;"")="",TRIM(H145&amp;"")=""),"NULL","(SELECT d.id FROM gen_distrito d JOIN gen_provincia p ON p.id = d.id_provincia JOIN gen_departamento dp ON dp.id = p.id_departamento WHERE upper(d.nombre) = upper('"&amp;SUBSTITUTE(TRIM(H145),"'","''")&amp;"') AND upper(p.nombre) = upper('"&amp;SUBSTITUTE(TRIM(G145),"'","''")&amp;"') AND upper(dp.nombre) = upper('"&amp;SUBSTITUTE(TRIM(F145),"'","''")&amp;"') AND d.estado = 1 LIMIT 1)")&amp;", "&amp;IF(I145&amp;""="","NULL",SUBSTITUTE(I145&amp;"",",","."))&amp;", "&amp;IF(J145&amp;""="","NULL",SUBSTITUTE(J145&amp;"",",","."))&amp;", "&amp;IF(UPPER(TRIM(K145&amp;""))="SI","TRUE","FALSE")&amp;", 1"&amp;" WHERE NOT EXISTS (SELECT 1 FROM cli_direcciones x WHERE x.id_cliente = "&amp;"(SELECT id FROM cli_clientes WHERE numero_documento = '"&amp;SUBSTITUTE(TRIM(A145),"'","''")&amp;"' AND estado = 1 LIMIT 1)"&amp;" AND upper(x.direccion) = upper("&amp;IF(TRIM(D145&amp;"")="","NULL","'"&amp;SUBSTITUTE(TRIM(D145),"'","''")&amp;"'")&amp;"));")</f>
        <v/>
      </c>
    </row>
    <row r="146" ht="15.75" customHeight="1" s="64">
      <c r="A146" s="23" t="n"/>
      <c r="B146" s="25">
        <f t="array" ref="B146">IF(A146="","",IFERROR(IF(INDEX(Clientes!$D$5:$D$549,MATCH(A146,Clientes!$C$5:$C$549,0))&lt;&gt;"",INDEX(Clientes!$D$5:$D$549,MATCH(A146,Clientes!$C$5:$C$549,0)),TRIM(INDEX(Clientes!$E$5:$E$549,MATCH(A146,Clientes!$C$5:$C$549,0))&amp;" "&amp;INDEX(Clientes!$F$5:$F$549,MATCH(A146,Clientes!$C$5:$C$549,0)))),"NO EXISTE en Clientes"))</f>
        <v/>
      </c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>
        <f>IF(AND(A146="",D146=""),"",IF(A146="","FALTA doc. cliente",IF(B146="NO EXISTE en Clientes","CLIENTE no está en hoja Clientes",IF(D146="","FALTA dirección",IF(AND(H146&lt;&gt;"",OR(F146="",G146="")),"Distrito requiere departamento y provincia",IF(AND(G146&lt;&gt;"",F146=""),"Provincia requiere departamento",IF((I146&lt;&gt;"")&lt;&gt;(J146&lt;&gt;""),"Latitud y longitud van juntas","OK")))))))</f>
        <v/>
      </c>
      <c r="M146" s="28">
        <f>IF(L146&lt;&gt;"OK","","INSERT INTO cli_direcciones (id_cliente, descripcion, direccion, referencia, id_departamento, id_provincia, id_distrito, latitud, longitud, es_principal, estado) SELECT "&amp;"(SELECT id FROM cli_clientes WHERE numero_documento = '"&amp;SUBSTITUTE(TRIM(A146),"'","''")&amp;"' AND estado = 1 LIMIT 1)"&amp;", "&amp;IF(TRIM(C146&amp;"")="","NULL","'"&amp;SUBSTITUTE(TRIM(C146),"'","''")&amp;"'")&amp;", "&amp;IF(TRIM(D146&amp;"")="","NULL","'"&amp;SUBSTITUTE(TRIM(D146),"'","''")&amp;"'")&amp;", "&amp;IF(TRIM(E146&amp;"")="","NULL","'"&amp;SUBSTITUTE(TRIM(E146),"'","''")&amp;"'")&amp;", "&amp;IF(TRIM(F146&amp;"")="","NULL","(SELECT id FROM gen_departamento WHERE upper(nombre) = upper('"&amp;SUBSTITUTE(TRIM(F146),"'","''")&amp;"') AND estado = 1 LIMIT 1)")&amp;", "&amp;IF(OR(TRIM(F146&amp;"")="",TRIM(G146&amp;"")=""),"NULL","(SELECT p.id FROM gen_provincia p JOIN gen_departamento dp ON dp.id = p.id_departamento WHERE upper(p.nombre) = upper('"&amp;SUBSTITUTE(TRIM(G146),"'","''")&amp;"') AND upper(dp.nombre) = upper('"&amp;SUBSTITUTE(TRIM(F146),"'","''")&amp;"') AND p.estado = 1 LIMIT 1)")&amp;", "&amp;IF(OR(TRIM(F146&amp;"")="",TRIM(G146&amp;"")="",TRIM(H146&amp;"")=""),"NULL","(SELECT d.id FROM gen_distrito d JOIN gen_provincia p ON p.id = d.id_provincia JOIN gen_departamento dp ON dp.id = p.id_departamento WHERE upper(d.nombre) = upper('"&amp;SUBSTITUTE(TRIM(H146),"'","''")&amp;"') AND upper(p.nombre) = upper('"&amp;SUBSTITUTE(TRIM(G146),"'","''")&amp;"') AND upper(dp.nombre) = upper('"&amp;SUBSTITUTE(TRIM(F146),"'","''")&amp;"') AND d.estado = 1 LIMIT 1)")&amp;", "&amp;IF(I146&amp;""="","NULL",SUBSTITUTE(I146&amp;"",",","."))&amp;", "&amp;IF(J146&amp;""="","NULL",SUBSTITUTE(J146&amp;"",",","."))&amp;", "&amp;IF(UPPER(TRIM(K146&amp;""))="SI","TRUE","FALSE")&amp;", 1"&amp;" WHERE NOT EXISTS (SELECT 1 FROM cli_direcciones x WHERE x.id_cliente = "&amp;"(SELECT id FROM cli_clientes WHERE numero_documento = '"&amp;SUBSTITUTE(TRIM(A146),"'","''")&amp;"' AND estado = 1 LIMIT 1)"&amp;" AND upper(x.direccion) = upper("&amp;IF(TRIM(D146&amp;"")="","NULL","'"&amp;SUBSTITUTE(TRIM(D146),"'","''")&amp;"'")&amp;"));")</f>
        <v/>
      </c>
    </row>
    <row r="147" ht="15.75" customHeight="1" s="64">
      <c r="A147" s="23" t="n"/>
      <c r="B147" s="25">
        <f t="array" ref="B147">IF(A147="","",IFERROR(IF(INDEX(Clientes!$D$5:$D$549,MATCH(A147,Clientes!$C$5:$C$549,0))&lt;&gt;"",INDEX(Clientes!$D$5:$D$549,MATCH(A147,Clientes!$C$5:$C$549,0)),TRIM(INDEX(Clientes!$E$5:$E$549,MATCH(A147,Clientes!$C$5:$C$549,0))&amp;" "&amp;INDEX(Clientes!$F$5:$F$549,MATCH(A147,Clientes!$C$5:$C$549,0)))),"NO EXISTE en Clientes"))</f>
        <v/>
      </c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>
        <f>IF(AND(A147="",D147=""),"",IF(A147="","FALTA doc. cliente",IF(B147="NO EXISTE en Clientes","CLIENTE no está en hoja Clientes",IF(D147="","FALTA dirección",IF(AND(H147&lt;&gt;"",OR(F147="",G147="")),"Distrito requiere departamento y provincia",IF(AND(G147&lt;&gt;"",F147=""),"Provincia requiere departamento",IF((I147&lt;&gt;"")&lt;&gt;(J147&lt;&gt;""),"Latitud y longitud van juntas","OK")))))))</f>
        <v/>
      </c>
      <c r="M147" s="28">
        <f>IF(L147&lt;&gt;"OK","","INSERT INTO cli_direcciones (id_cliente, descripcion, direccion, referencia, id_departamento, id_provincia, id_distrito, latitud, longitud, es_principal, estado) SELECT "&amp;"(SELECT id FROM cli_clientes WHERE numero_documento = '"&amp;SUBSTITUTE(TRIM(A147),"'","''")&amp;"' AND estado = 1 LIMIT 1)"&amp;", "&amp;IF(TRIM(C147&amp;"")="","NULL","'"&amp;SUBSTITUTE(TRIM(C147),"'","''")&amp;"'")&amp;", "&amp;IF(TRIM(D147&amp;"")="","NULL","'"&amp;SUBSTITUTE(TRIM(D147),"'","''")&amp;"'")&amp;", "&amp;IF(TRIM(E147&amp;"")="","NULL","'"&amp;SUBSTITUTE(TRIM(E147),"'","''")&amp;"'")&amp;", "&amp;IF(TRIM(F147&amp;"")="","NULL","(SELECT id FROM gen_departamento WHERE upper(nombre) = upper('"&amp;SUBSTITUTE(TRIM(F147),"'","''")&amp;"') AND estado = 1 LIMIT 1)")&amp;", "&amp;IF(OR(TRIM(F147&amp;"")="",TRIM(G147&amp;"")=""),"NULL","(SELECT p.id FROM gen_provincia p JOIN gen_departamento dp ON dp.id = p.id_departamento WHERE upper(p.nombre) = upper('"&amp;SUBSTITUTE(TRIM(G147),"'","''")&amp;"') AND upper(dp.nombre) = upper('"&amp;SUBSTITUTE(TRIM(F147),"'","''")&amp;"') AND p.estado = 1 LIMIT 1)")&amp;", "&amp;IF(OR(TRIM(F147&amp;"")="",TRIM(G147&amp;"")="",TRIM(H147&amp;"")=""),"NULL","(SELECT d.id FROM gen_distrito d JOIN gen_provincia p ON p.id = d.id_provincia JOIN gen_departamento dp ON dp.id = p.id_departamento WHERE upper(d.nombre) = upper('"&amp;SUBSTITUTE(TRIM(H147),"'","''")&amp;"') AND upper(p.nombre) = upper('"&amp;SUBSTITUTE(TRIM(G147),"'","''")&amp;"') AND upper(dp.nombre) = upper('"&amp;SUBSTITUTE(TRIM(F147),"'","''")&amp;"') AND d.estado = 1 LIMIT 1)")&amp;", "&amp;IF(I147&amp;""="","NULL",SUBSTITUTE(I147&amp;"",",","."))&amp;", "&amp;IF(J147&amp;""="","NULL",SUBSTITUTE(J147&amp;"",",","."))&amp;", "&amp;IF(UPPER(TRIM(K147&amp;""))="SI","TRUE","FALSE")&amp;", 1"&amp;" WHERE NOT EXISTS (SELECT 1 FROM cli_direcciones x WHERE x.id_cliente = "&amp;"(SELECT id FROM cli_clientes WHERE numero_documento = '"&amp;SUBSTITUTE(TRIM(A147),"'","''")&amp;"' AND estado = 1 LIMIT 1)"&amp;" AND upper(x.direccion) = upper("&amp;IF(TRIM(D147&amp;"")="","NULL","'"&amp;SUBSTITUTE(TRIM(D147),"'","''")&amp;"'")&amp;"));")</f>
        <v/>
      </c>
    </row>
    <row r="148" ht="15.75" customHeight="1" s="64">
      <c r="A148" s="23" t="n"/>
      <c r="B148" s="25">
        <f t="array" ref="B148">IF(A148="","",IFERROR(IF(INDEX(Clientes!$D$5:$D$549,MATCH(A148,Clientes!$C$5:$C$549,0))&lt;&gt;"",INDEX(Clientes!$D$5:$D$549,MATCH(A148,Clientes!$C$5:$C$549,0)),TRIM(INDEX(Clientes!$E$5:$E$549,MATCH(A148,Clientes!$C$5:$C$549,0))&amp;" "&amp;INDEX(Clientes!$F$5:$F$549,MATCH(A148,Clientes!$C$5:$C$549,0)))),"NO EXISTE en Clientes"))</f>
        <v/>
      </c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>
        <f>IF(AND(A148="",D148=""),"",IF(A148="","FALTA doc. cliente",IF(B148="NO EXISTE en Clientes","CLIENTE no está en hoja Clientes",IF(D148="","FALTA dirección",IF(AND(H148&lt;&gt;"",OR(F148="",G148="")),"Distrito requiere departamento y provincia",IF(AND(G148&lt;&gt;"",F148=""),"Provincia requiere departamento",IF((I148&lt;&gt;"")&lt;&gt;(J148&lt;&gt;""),"Latitud y longitud van juntas","OK")))))))</f>
        <v/>
      </c>
      <c r="M148" s="28">
        <f>IF(L148&lt;&gt;"OK","","INSERT INTO cli_direcciones (id_cliente, descripcion, direccion, referencia, id_departamento, id_provincia, id_distrito, latitud, longitud, es_principal, estado) SELECT "&amp;"(SELECT id FROM cli_clientes WHERE numero_documento = '"&amp;SUBSTITUTE(TRIM(A148),"'","''")&amp;"' AND estado = 1 LIMIT 1)"&amp;", "&amp;IF(TRIM(C148&amp;"")="","NULL","'"&amp;SUBSTITUTE(TRIM(C148),"'","''")&amp;"'")&amp;", "&amp;IF(TRIM(D148&amp;"")="","NULL","'"&amp;SUBSTITUTE(TRIM(D148),"'","''")&amp;"'")&amp;", "&amp;IF(TRIM(E148&amp;"")="","NULL","'"&amp;SUBSTITUTE(TRIM(E148),"'","''")&amp;"'")&amp;", "&amp;IF(TRIM(F148&amp;"")="","NULL","(SELECT id FROM gen_departamento WHERE upper(nombre) = upper('"&amp;SUBSTITUTE(TRIM(F148),"'","''")&amp;"') AND estado = 1 LIMIT 1)")&amp;", "&amp;IF(OR(TRIM(F148&amp;"")="",TRIM(G148&amp;"")=""),"NULL","(SELECT p.id FROM gen_provincia p JOIN gen_departamento dp ON dp.id = p.id_departamento WHERE upper(p.nombre) = upper('"&amp;SUBSTITUTE(TRIM(G148),"'","''")&amp;"') AND upper(dp.nombre) = upper('"&amp;SUBSTITUTE(TRIM(F148),"'","''")&amp;"') AND p.estado = 1 LIMIT 1)")&amp;", "&amp;IF(OR(TRIM(F148&amp;"")="",TRIM(G148&amp;"")="",TRIM(H148&amp;"")=""),"NULL","(SELECT d.id FROM gen_distrito d JOIN gen_provincia p ON p.id = d.id_provincia JOIN gen_departamento dp ON dp.id = p.id_departamento WHERE upper(d.nombre) = upper('"&amp;SUBSTITUTE(TRIM(H148),"'","''")&amp;"') AND upper(p.nombre) = upper('"&amp;SUBSTITUTE(TRIM(G148),"'","''")&amp;"') AND upper(dp.nombre) = upper('"&amp;SUBSTITUTE(TRIM(F148),"'","''")&amp;"') AND d.estado = 1 LIMIT 1)")&amp;", "&amp;IF(I148&amp;""="","NULL",SUBSTITUTE(I148&amp;"",",","."))&amp;", "&amp;IF(J148&amp;""="","NULL",SUBSTITUTE(J148&amp;"",",","."))&amp;", "&amp;IF(UPPER(TRIM(K148&amp;""))="SI","TRUE","FALSE")&amp;", 1"&amp;" WHERE NOT EXISTS (SELECT 1 FROM cli_direcciones x WHERE x.id_cliente = "&amp;"(SELECT id FROM cli_clientes WHERE numero_documento = '"&amp;SUBSTITUTE(TRIM(A148),"'","''")&amp;"' AND estado = 1 LIMIT 1)"&amp;" AND upper(x.direccion) = upper("&amp;IF(TRIM(D148&amp;"")="","NULL","'"&amp;SUBSTITUTE(TRIM(D148),"'","''")&amp;"'")&amp;"));")</f>
        <v/>
      </c>
    </row>
    <row r="149" ht="15.75" customHeight="1" s="64">
      <c r="A149" s="23" t="n"/>
      <c r="B149" s="25">
        <f t="array" ref="B149">IF(A149="","",IFERROR(IF(INDEX(Clientes!$D$5:$D$549,MATCH(A149,Clientes!$C$5:$C$549,0))&lt;&gt;"",INDEX(Clientes!$D$5:$D$549,MATCH(A149,Clientes!$C$5:$C$549,0)),TRIM(INDEX(Clientes!$E$5:$E$549,MATCH(A149,Clientes!$C$5:$C$549,0))&amp;" "&amp;INDEX(Clientes!$F$5:$F$549,MATCH(A149,Clientes!$C$5:$C$549,0)))),"NO EXISTE en Clientes"))</f>
        <v/>
      </c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>
        <f>IF(AND(A149="",D149=""),"",IF(A149="","FALTA doc. cliente",IF(B149="NO EXISTE en Clientes","CLIENTE no está en hoja Clientes",IF(D149="","FALTA dirección",IF(AND(H149&lt;&gt;"",OR(F149="",G149="")),"Distrito requiere departamento y provincia",IF(AND(G149&lt;&gt;"",F149=""),"Provincia requiere departamento",IF((I149&lt;&gt;"")&lt;&gt;(J149&lt;&gt;""),"Latitud y longitud van juntas","OK")))))))</f>
        <v/>
      </c>
      <c r="M149" s="28">
        <f>IF(L149&lt;&gt;"OK","","INSERT INTO cli_direcciones (id_cliente, descripcion, direccion, referencia, id_departamento, id_provincia, id_distrito, latitud, longitud, es_principal, estado) SELECT "&amp;"(SELECT id FROM cli_clientes WHERE numero_documento = '"&amp;SUBSTITUTE(TRIM(A149),"'","''")&amp;"' AND estado = 1 LIMIT 1)"&amp;", "&amp;IF(TRIM(C149&amp;"")="","NULL","'"&amp;SUBSTITUTE(TRIM(C149),"'","''")&amp;"'")&amp;", "&amp;IF(TRIM(D149&amp;"")="","NULL","'"&amp;SUBSTITUTE(TRIM(D149),"'","''")&amp;"'")&amp;", "&amp;IF(TRIM(E149&amp;"")="","NULL","'"&amp;SUBSTITUTE(TRIM(E149),"'","''")&amp;"'")&amp;", "&amp;IF(TRIM(F149&amp;"")="","NULL","(SELECT id FROM gen_departamento WHERE upper(nombre) = upper('"&amp;SUBSTITUTE(TRIM(F149),"'","''")&amp;"') AND estado = 1 LIMIT 1)")&amp;", "&amp;IF(OR(TRIM(F149&amp;"")="",TRIM(G149&amp;"")=""),"NULL","(SELECT p.id FROM gen_provincia p JOIN gen_departamento dp ON dp.id = p.id_departamento WHERE upper(p.nombre) = upper('"&amp;SUBSTITUTE(TRIM(G149),"'","''")&amp;"') AND upper(dp.nombre) = upper('"&amp;SUBSTITUTE(TRIM(F149),"'","''")&amp;"') AND p.estado = 1 LIMIT 1)")&amp;", "&amp;IF(OR(TRIM(F149&amp;"")="",TRIM(G149&amp;"")="",TRIM(H149&amp;"")=""),"NULL","(SELECT d.id FROM gen_distrito d JOIN gen_provincia p ON p.id = d.id_provincia JOIN gen_departamento dp ON dp.id = p.id_departamento WHERE upper(d.nombre) = upper('"&amp;SUBSTITUTE(TRIM(H149),"'","''")&amp;"') AND upper(p.nombre) = upper('"&amp;SUBSTITUTE(TRIM(G149),"'","''")&amp;"') AND upper(dp.nombre) = upper('"&amp;SUBSTITUTE(TRIM(F149),"'","''")&amp;"') AND d.estado = 1 LIMIT 1)")&amp;", "&amp;IF(I149&amp;""="","NULL",SUBSTITUTE(I149&amp;"",",","."))&amp;", "&amp;IF(J149&amp;""="","NULL",SUBSTITUTE(J149&amp;"",",","."))&amp;", "&amp;IF(UPPER(TRIM(K149&amp;""))="SI","TRUE","FALSE")&amp;", 1"&amp;" WHERE NOT EXISTS (SELECT 1 FROM cli_direcciones x WHERE x.id_cliente = "&amp;"(SELECT id FROM cli_clientes WHERE numero_documento = '"&amp;SUBSTITUTE(TRIM(A149),"'","''")&amp;"' AND estado = 1 LIMIT 1)"&amp;" AND upper(x.direccion) = upper("&amp;IF(TRIM(D149&amp;"")="","NULL","'"&amp;SUBSTITUTE(TRIM(D149),"'","''")&amp;"'")&amp;"));")</f>
        <v/>
      </c>
    </row>
    <row r="150" ht="15.75" customHeight="1" s="64">
      <c r="A150" s="23" t="n"/>
      <c r="B150" s="25">
        <f t="array" ref="B150">IF(A150="","",IFERROR(IF(INDEX(Clientes!$D$5:$D$549,MATCH(A150,Clientes!$C$5:$C$549,0))&lt;&gt;"",INDEX(Clientes!$D$5:$D$549,MATCH(A150,Clientes!$C$5:$C$549,0)),TRIM(INDEX(Clientes!$E$5:$E$549,MATCH(A150,Clientes!$C$5:$C$549,0))&amp;" "&amp;INDEX(Clientes!$F$5:$F$549,MATCH(A150,Clientes!$C$5:$C$549,0)))),"NO EXISTE en Clientes"))</f>
        <v/>
      </c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>
        <f>IF(AND(A150="",D150=""),"",IF(A150="","FALTA doc. cliente",IF(B150="NO EXISTE en Clientes","CLIENTE no está en hoja Clientes",IF(D150="","FALTA dirección",IF(AND(H150&lt;&gt;"",OR(F150="",G150="")),"Distrito requiere departamento y provincia",IF(AND(G150&lt;&gt;"",F150=""),"Provincia requiere departamento",IF((I150&lt;&gt;"")&lt;&gt;(J150&lt;&gt;""),"Latitud y longitud van juntas","OK")))))))</f>
        <v/>
      </c>
      <c r="M150" s="28">
        <f>IF(L150&lt;&gt;"OK","","INSERT INTO cli_direcciones (id_cliente, descripcion, direccion, referencia, id_departamento, id_provincia, id_distrito, latitud, longitud, es_principal, estado) SELECT "&amp;"(SELECT id FROM cli_clientes WHERE numero_documento = '"&amp;SUBSTITUTE(TRIM(A150),"'","''")&amp;"' AND estado = 1 LIMIT 1)"&amp;", "&amp;IF(TRIM(C150&amp;"")="","NULL","'"&amp;SUBSTITUTE(TRIM(C150),"'","''")&amp;"'")&amp;", "&amp;IF(TRIM(D150&amp;"")="","NULL","'"&amp;SUBSTITUTE(TRIM(D150),"'","''")&amp;"'")&amp;", "&amp;IF(TRIM(E150&amp;"")="","NULL","'"&amp;SUBSTITUTE(TRIM(E150),"'","''")&amp;"'")&amp;", "&amp;IF(TRIM(F150&amp;"")="","NULL","(SELECT id FROM gen_departamento WHERE upper(nombre) = upper('"&amp;SUBSTITUTE(TRIM(F150),"'","''")&amp;"') AND estado = 1 LIMIT 1)")&amp;", "&amp;IF(OR(TRIM(F150&amp;"")="",TRIM(G150&amp;"")=""),"NULL","(SELECT p.id FROM gen_provincia p JOIN gen_departamento dp ON dp.id = p.id_departamento WHERE upper(p.nombre) = upper('"&amp;SUBSTITUTE(TRIM(G150),"'","''")&amp;"') AND upper(dp.nombre) = upper('"&amp;SUBSTITUTE(TRIM(F150),"'","''")&amp;"') AND p.estado = 1 LIMIT 1)")&amp;", "&amp;IF(OR(TRIM(F150&amp;"")="",TRIM(G150&amp;"")="",TRIM(H150&amp;"")=""),"NULL","(SELECT d.id FROM gen_distrito d JOIN gen_provincia p ON p.id = d.id_provincia JOIN gen_departamento dp ON dp.id = p.id_departamento WHERE upper(d.nombre) = upper('"&amp;SUBSTITUTE(TRIM(H150),"'","''")&amp;"') AND upper(p.nombre) = upper('"&amp;SUBSTITUTE(TRIM(G150),"'","''")&amp;"') AND upper(dp.nombre) = upper('"&amp;SUBSTITUTE(TRIM(F150),"'","''")&amp;"') AND d.estado = 1 LIMIT 1)")&amp;", "&amp;IF(I150&amp;""="","NULL",SUBSTITUTE(I150&amp;"",",","."))&amp;", "&amp;IF(J150&amp;""="","NULL",SUBSTITUTE(J150&amp;"",",","."))&amp;", "&amp;IF(UPPER(TRIM(K150&amp;""))="SI","TRUE","FALSE")&amp;", 1"&amp;" WHERE NOT EXISTS (SELECT 1 FROM cli_direcciones x WHERE x.id_cliente = "&amp;"(SELECT id FROM cli_clientes WHERE numero_documento = '"&amp;SUBSTITUTE(TRIM(A150),"'","''")&amp;"' AND estado = 1 LIMIT 1)"&amp;" AND upper(x.direccion) = upper("&amp;IF(TRIM(D150&amp;"")="","NULL","'"&amp;SUBSTITUTE(TRIM(D150),"'","''")&amp;"'")&amp;"));")</f>
        <v/>
      </c>
    </row>
    <row r="151" ht="15.75" customHeight="1" s="64">
      <c r="A151" s="23" t="n"/>
      <c r="B151" s="25">
        <f t="array" ref="B151">IF(A151="","",IFERROR(IF(INDEX(Clientes!$D$5:$D$549,MATCH(A151,Clientes!$C$5:$C$549,0))&lt;&gt;"",INDEX(Clientes!$D$5:$D$549,MATCH(A151,Clientes!$C$5:$C$549,0)),TRIM(INDEX(Clientes!$E$5:$E$549,MATCH(A151,Clientes!$C$5:$C$549,0))&amp;" "&amp;INDEX(Clientes!$F$5:$F$549,MATCH(A151,Clientes!$C$5:$C$549,0)))),"NO EXISTE en Clientes"))</f>
        <v/>
      </c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>
        <f>IF(AND(A151="",D151=""),"",IF(A151="","FALTA doc. cliente",IF(B151="NO EXISTE en Clientes","CLIENTE no está en hoja Clientes",IF(D151="","FALTA dirección",IF(AND(H151&lt;&gt;"",OR(F151="",G151="")),"Distrito requiere departamento y provincia",IF(AND(G151&lt;&gt;"",F151=""),"Provincia requiere departamento",IF((I151&lt;&gt;"")&lt;&gt;(J151&lt;&gt;""),"Latitud y longitud van juntas","OK")))))))</f>
        <v/>
      </c>
      <c r="M151" s="28">
        <f>IF(L151&lt;&gt;"OK","","INSERT INTO cli_direcciones (id_cliente, descripcion, direccion, referencia, id_departamento, id_provincia, id_distrito, latitud, longitud, es_principal, estado) SELECT "&amp;"(SELECT id FROM cli_clientes WHERE numero_documento = '"&amp;SUBSTITUTE(TRIM(A151),"'","''")&amp;"' AND estado = 1 LIMIT 1)"&amp;", "&amp;IF(TRIM(C151&amp;"")="","NULL","'"&amp;SUBSTITUTE(TRIM(C151),"'","''")&amp;"'")&amp;", "&amp;IF(TRIM(D151&amp;"")="","NULL","'"&amp;SUBSTITUTE(TRIM(D151),"'","''")&amp;"'")&amp;", "&amp;IF(TRIM(E151&amp;"")="","NULL","'"&amp;SUBSTITUTE(TRIM(E151),"'","''")&amp;"'")&amp;", "&amp;IF(TRIM(F151&amp;"")="","NULL","(SELECT id FROM gen_departamento WHERE upper(nombre) = upper('"&amp;SUBSTITUTE(TRIM(F151),"'","''")&amp;"') AND estado = 1 LIMIT 1)")&amp;", "&amp;IF(OR(TRIM(F151&amp;"")="",TRIM(G151&amp;"")=""),"NULL","(SELECT p.id FROM gen_provincia p JOIN gen_departamento dp ON dp.id = p.id_departamento WHERE upper(p.nombre) = upper('"&amp;SUBSTITUTE(TRIM(G151),"'","''")&amp;"') AND upper(dp.nombre) = upper('"&amp;SUBSTITUTE(TRIM(F151),"'","''")&amp;"') AND p.estado = 1 LIMIT 1)")&amp;", "&amp;IF(OR(TRIM(F151&amp;"")="",TRIM(G151&amp;"")="",TRIM(H151&amp;"")=""),"NULL","(SELECT d.id FROM gen_distrito d JOIN gen_provincia p ON p.id = d.id_provincia JOIN gen_departamento dp ON dp.id = p.id_departamento WHERE upper(d.nombre) = upper('"&amp;SUBSTITUTE(TRIM(H151),"'","''")&amp;"') AND upper(p.nombre) = upper('"&amp;SUBSTITUTE(TRIM(G151),"'","''")&amp;"') AND upper(dp.nombre) = upper('"&amp;SUBSTITUTE(TRIM(F151),"'","''")&amp;"') AND d.estado = 1 LIMIT 1)")&amp;", "&amp;IF(I151&amp;""="","NULL",SUBSTITUTE(I151&amp;"",",","."))&amp;", "&amp;IF(J151&amp;""="","NULL",SUBSTITUTE(J151&amp;"",",","."))&amp;", "&amp;IF(UPPER(TRIM(K151&amp;""))="SI","TRUE","FALSE")&amp;", 1"&amp;" WHERE NOT EXISTS (SELECT 1 FROM cli_direcciones x WHERE x.id_cliente = "&amp;"(SELECT id FROM cli_clientes WHERE numero_documento = '"&amp;SUBSTITUTE(TRIM(A151),"'","''")&amp;"' AND estado = 1 LIMIT 1)"&amp;" AND upper(x.direccion) = upper("&amp;IF(TRIM(D151&amp;"")="","NULL","'"&amp;SUBSTITUTE(TRIM(D151),"'","''")&amp;"'")&amp;"));")</f>
        <v/>
      </c>
    </row>
    <row r="152" ht="15.75" customHeight="1" s="64">
      <c r="A152" s="23" t="n"/>
      <c r="B152" s="25">
        <f t="array" ref="B152">IF(A152="","",IFERROR(IF(INDEX(Clientes!$D$5:$D$549,MATCH(A152,Clientes!$C$5:$C$549,0))&lt;&gt;"",INDEX(Clientes!$D$5:$D$549,MATCH(A152,Clientes!$C$5:$C$549,0)),TRIM(INDEX(Clientes!$E$5:$E$549,MATCH(A152,Clientes!$C$5:$C$549,0))&amp;" "&amp;INDEX(Clientes!$F$5:$F$549,MATCH(A152,Clientes!$C$5:$C$549,0)))),"NO EXISTE en Clientes"))</f>
        <v/>
      </c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>
        <f>IF(AND(A152="",D152=""),"",IF(A152="","FALTA doc. cliente",IF(B152="NO EXISTE en Clientes","CLIENTE no está en hoja Clientes",IF(D152="","FALTA dirección",IF(AND(H152&lt;&gt;"",OR(F152="",G152="")),"Distrito requiere departamento y provincia",IF(AND(G152&lt;&gt;"",F152=""),"Provincia requiere departamento",IF((I152&lt;&gt;"")&lt;&gt;(J152&lt;&gt;""),"Latitud y longitud van juntas","OK")))))))</f>
        <v/>
      </c>
      <c r="M152" s="28">
        <f>IF(L152&lt;&gt;"OK","","INSERT INTO cli_direcciones (id_cliente, descripcion, direccion, referencia, id_departamento, id_provincia, id_distrito, latitud, longitud, es_principal, estado) SELECT "&amp;"(SELECT id FROM cli_clientes WHERE numero_documento = '"&amp;SUBSTITUTE(TRIM(A152),"'","''")&amp;"' AND estado = 1 LIMIT 1)"&amp;", "&amp;IF(TRIM(C152&amp;"")="","NULL","'"&amp;SUBSTITUTE(TRIM(C152),"'","''")&amp;"'")&amp;", "&amp;IF(TRIM(D152&amp;"")="","NULL","'"&amp;SUBSTITUTE(TRIM(D152),"'","''")&amp;"'")&amp;", "&amp;IF(TRIM(E152&amp;"")="","NULL","'"&amp;SUBSTITUTE(TRIM(E152),"'","''")&amp;"'")&amp;", "&amp;IF(TRIM(F152&amp;"")="","NULL","(SELECT id FROM gen_departamento WHERE upper(nombre) = upper('"&amp;SUBSTITUTE(TRIM(F152),"'","''")&amp;"') AND estado = 1 LIMIT 1)")&amp;", "&amp;IF(OR(TRIM(F152&amp;"")="",TRIM(G152&amp;"")=""),"NULL","(SELECT p.id FROM gen_provincia p JOIN gen_departamento dp ON dp.id = p.id_departamento WHERE upper(p.nombre) = upper('"&amp;SUBSTITUTE(TRIM(G152),"'","''")&amp;"') AND upper(dp.nombre) = upper('"&amp;SUBSTITUTE(TRIM(F152),"'","''")&amp;"') AND p.estado = 1 LIMIT 1)")&amp;", "&amp;IF(OR(TRIM(F152&amp;"")="",TRIM(G152&amp;"")="",TRIM(H152&amp;"")=""),"NULL","(SELECT d.id FROM gen_distrito d JOIN gen_provincia p ON p.id = d.id_provincia JOIN gen_departamento dp ON dp.id = p.id_departamento WHERE upper(d.nombre) = upper('"&amp;SUBSTITUTE(TRIM(H152),"'","''")&amp;"') AND upper(p.nombre) = upper('"&amp;SUBSTITUTE(TRIM(G152),"'","''")&amp;"') AND upper(dp.nombre) = upper('"&amp;SUBSTITUTE(TRIM(F152),"'","''")&amp;"') AND d.estado = 1 LIMIT 1)")&amp;", "&amp;IF(I152&amp;""="","NULL",SUBSTITUTE(I152&amp;"",",","."))&amp;", "&amp;IF(J152&amp;""="","NULL",SUBSTITUTE(J152&amp;"",",","."))&amp;", "&amp;IF(UPPER(TRIM(K152&amp;""))="SI","TRUE","FALSE")&amp;", 1"&amp;" WHERE NOT EXISTS (SELECT 1 FROM cli_direcciones x WHERE x.id_cliente = "&amp;"(SELECT id FROM cli_clientes WHERE numero_documento = '"&amp;SUBSTITUTE(TRIM(A152),"'","''")&amp;"' AND estado = 1 LIMIT 1)"&amp;" AND upper(x.direccion) = upper("&amp;IF(TRIM(D152&amp;"")="","NULL","'"&amp;SUBSTITUTE(TRIM(D152),"'","''")&amp;"'")&amp;"));")</f>
        <v/>
      </c>
    </row>
    <row r="153" ht="15.75" customHeight="1" s="64">
      <c r="A153" s="23" t="n"/>
      <c r="B153" s="25">
        <f t="array" ref="B153">IF(A153="","",IFERROR(IF(INDEX(Clientes!$D$5:$D$549,MATCH(A153,Clientes!$C$5:$C$549,0))&lt;&gt;"",INDEX(Clientes!$D$5:$D$549,MATCH(A153,Clientes!$C$5:$C$549,0)),TRIM(INDEX(Clientes!$E$5:$E$549,MATCH(A153,Clientes!$C$5:$C$549,0))&amp;" "&amp;INDEX(Clientes!$F$5:$F$549,MATCH(A153,Clientes!$C$5:$C$549,0)))),"NO EXISTE en Clientes"))</f>
        <v/>
      </c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>
        <f>IF(AND(A153="",D153=""),"",IF(A153="","FALTA doc. cliente",IF(B153="NO EXISTE en Clientes","CLIENTE no está en hoja Clientes",IF(D153="","FALTA dirección",IF(AND(H153&lt;&gt;"",OR(F153="",G153="")),"Distrito requiere departamento y provincia",IF(AND(G153&lt;&gt;"",F153=""),"Provincia requiere departamento",IF((I153&lt;&gt;"")&lt;&gt;(J153&lt;&gt;""),"Latitud y longitud van juntas","OK")))))))</f>
        <v/>
      </c>
      <c r="M153" s="28">
        <f>IF(L153&lt;&gt;"OK","","INSERT INTO cli_direcciones (id_cliente, descripcion, direccion, referencia, id_departamento, id_provincia, id_distrito, latitud, longitud, es_principal, estado) SELECT "&amp;"(SELECT id FROM cli_clientes WHERE numero_documento = '"&amp;SUBSTITUTE(TRIM(A153),"'","''")&amp;"' AND estado = 1 LIMIT 1)"&amp;", "&amp;IF(TRIM(C153&amp;"")="","NULL","'"&amp;SUBSTITUTE(TRIM(C153),"'","''")&amp;"'")&amp;", "&amp;IF(TRIM(D153&amp;"")="","NULL","'"&amp;SUBSTITUTE(TRIM(D153),"'","''")&amp;"'")&amp;", "&amp;IF(TRIM(E153&amp;"")="","NULL","'"&amp;SUBSTITUTE(TRIM(E153),"'","''")&amp;"'")&amp;", "&amp;IF(TRIM(F153&amp;"")="","NULL","(SELECT id FROM gen_departamento WHERE upper(nombre) = upper('"&amp;SUBSTITUTE(TRIM(F153),"'","''")&amp;"') AND estado = 1 LIMIT 1)")&amp;", "&amp;IF(OR(TRIM(F153&amp;"")="",TRIM(G153&amp;"")=""),"NULL","(SELECT p.id FROM gen_provincia p JOIN gen_departamento dp ON dp.id = p.id_departamento WHERE upper(p.nombre) = upper('"&amp;SUBSTITUTE(TRIM(G153),"'","''")&amp;"') AND upper(dp.nombre) = upper('"&amp;SUBSTITUTE(TRIM(F153),"'","''")&amp;"') AND p.estado = 1 LIMIT 1)")&amp;", "&amp;IF(OR(TRIM(F153&amp;"")="",TRIM(G153&amp;"")="",TRIM(H153&amp;"")=""),"NULL","(SELECT d.id FROM gen_distrito d JOIN gen_provincia p ON p.id = d.id_provincia JOIN gen_departamento dp ON dp.id = p.id_departamento WHERE upper(d.nombre) = upper('"&amp;SUBSTITUTE(TRIM(H153),"'","''")&amp;"') AND upper(p.nombre) = upper('"&amp;SUBSTITUTE(TRIM(G153),"'","''")&amp;"') AND upper(dp.nombre) = upper('"&amp;SUBSTITUTE(TRIM(F153),"'","''")&amp;"') AND d.estado = 1 LIMIT 1)")&amp;", "&amp;IF(I153&amp;""="","NULL",SUBSTITUTE(I153&amp;"",",","."))&amp;", "&amp;IF(J153&amp;""="","NULL",SUBSTITUTE(J153&amp;"",",","."))&amp;", "&amp;IF(UPPER(TRIM(K153&amp;""))="SI","TRUE","FALSE")&amp;", 1"&amp;" WHERE NOT EXISTS (SELECT 1 FROM cli_direcciones x WHERE x.id_cliente = "&amp;"(SELECT id FROM cli_clientes WHERE numero_documento = '"&amp;SUBSTITUTE(TRIM(A153),"'","''")&amp;"' AND estado = 1 LIMIT 1)"&amp;" AND upper(x.direccion) = upper("&amp;IF(TRIM(D153&amp;"")="","NULL","'"&amp;SUBSTITUTE(TRIM(D153),"'","''")&amp;"'")&amp;"));")</f>
        <v/>
      </c>
    </row>
    <row r="154" ht="15.75" customHeight="1" s="64">
      <c r="A154" s="23" t="n"/>
      <c r="B154" s="25">
        <f t="array" ref="B154">IF(A154="","",IFERROR(IF(INDEX(Clientes!$D$5:$D$549,MATCH(A154,Clientes!$C$5:$C$549,0))&lt;&gt;"",INDEX(Clientes!$D$5:$D$549,MATCH(A154,Clientes!$C$5:$C$549,0)),TRIM(INDEX(Clientes!$E$5:$E$549,MATCH(A154,Clientes!$C$5:$C$549,0))&amp;" "&amp;INDEX(Clientes!$F$5:$F$549,MATCH(A154,Clientes!$C$5:$C$549,0)))),"NO EXISTE en Clientes"))</f>
        <v/>
      </c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>
        <f>IF(AND(A154="",D154=""),"",IF(A154="","FALTA doc. cliente",IF(B154="NO EXISTE en Clientes","CLIENTE no está en hoja Clientes",IF(D154="","FALTA dirección",IF(AND(H154&lt;&gt;"",OR(F154="",G154="")),"Distrito requiere departamento y provincia",IF(AND(G154&lt;&gt;"",F154=""),"Provincia requiere departamento",IF((I154&lt;&gt;"")&lt;&gt;(J154&lt;&gt;""),"Latitud y longitud van juntas","OK")))))))</f>
        <v/>
      </c>
      <c r="M154" s="28">
        <f>IF(L154&lt;&gt;"OK","","INSERT INTO cli_direcciones (id_cliente, descripcion, direccion, referencia, id_departamento, id_provincia, id_distrito, latitud, longitud, es_principal, estado) SELECT "&amp;"(SELECT id FROM cli_clientes WHERE numero_documento = '"&amp;SUBSTITUTE(TRIM(A154),"'","''")&amp;"' AND estado = 1 LIMIT 1)"&amp;", "&amp;IF(TRIM(C154&amp;"")="","NULL","'"&amp;SUBSTITUTE(TRIM(C154),"'","''")&amp;"'")&amp;", "&amp;IF(TRIM(D154&amp;"")="","NULL","'"&amp;SUBSTITUTE(TRIM(D154),"'","''")&amp;"'")&amp;", "&amp;IF(TRIM(E154&amp;"")="","NULL","'"&amp;SUBSTITUTE(TRIM(E154),"'","''")&amp;"'")&amp;", "&amp;IF(TRIM(F154&amp;"")="","NULL","(SELECT id FROM gen_departamento WHERE upper(nombre) = upper('"&amp;SUBSTITUTE(TRIM(F154),"'","''")&amp;"') AND estado = 1 LIMIT 1)")&amp;", "&amp;IF(OR(TRIM(F154&amp;"")="",TRIM(G154&amp;"")=""),"NULL","(SELECT p.id FROM gen_provincia p JOIN gen_departamento dp ON dp.id = p.id_departamento WHERE upper(p.nombre) = upper('"&amp;SUBSTITUTE(TRIM(G154),"'","''")&amp;"') AND upper(dp.nombre) = upper('"&amp;SUBSTITUTE(TRIM(F154),"'","''")&amp;"') AND p.estado = 1 LIMIT 1)")&amp;", "&amp;IF(OR(TRIM(F154&amp;"")="",TRIM(G154&amp;"")="",TRIM(H154&amp;"")=""),"NULL","(SELECT d.id FROM gen_distrito d JOIN gen_provincia p ON p.id = d.id_provincia JOIN gen_departamento dp ON dp.id = p.id_departamento WHERE upper(d.nombre) = upper('"&amp;SUBSTITUTE(TRIM(H154),"'","''")&amp;"') AND upper(p.nombre) = upper('"&amp;SUBSTITUTE(TRIM(G154),"'","''")&amp;"') AND upper(dp.nombre) = upper('"&amp;SUBSTITUTE(TRIM(F154),"'","''")&amp;"') AND d.estado = 1 LIMIT 1)")&amp;", "&amp;IF(I154&amp;""="","NULL",SUBSTITUTE(I154&amp;"",",","."))&amp;", "&amp;IF(J154&amp;""="","NULL",SUBSTITUTE(J154&amp;"",",","."))&amp;", "&amp;IF(UPPER(TRIM(K154&amp;""))="SI","TRUE","FALSE")&amp;", 1"&amp;" WHERE NOT EXISTS (SELECT 1 FROM cli_direcciones x WHERE x.id_cliente = "&amp;"(SELECT id FROM cli_clientes WHERE numero_documento = '"&amp;SUBSTITUTE(TRIM(A154),"'","''")&amp;"' AND estado = 1 LIMIT 1)"&amp;" AND upper(x.direccion) = upper("&amp;IF(TRIM(D154&amp;"")="","NULL","'"&amp;SUBSTITUTE(TRIM(D154),"'","''")&amp;"'")&amp;"));")</f>
        <v/>
      </c>
    </row>
    <row r="155" ht="15.75" customHeight="1" s="64">
      <c r="A155" s="23" t="n"/>
      <c r="B155" s="25">
        <f t="array" ref="B155">IF(A155="","",IFERROR(IF(INDEX(Clientes!$D$5:$D$549,MATCH(A155,Clientes!$C$5:$C$549,0))&lt;&gt;"",INDEX(Clientes!$D$5:$D$549,MATCH(A155,Clientes!$C$5:$C$549,0)),TRIM(INDEX(Clientes!$E$5:$E$549,MATCH(A155,Clientes!$C$5:$C$549,0))&amp;" "&amp;INDEX(Clientes!$F$5:$F$549,MATCH(A155,Clientes!$C$5:$C$549,0)))),"NO EXISTE en Clientes"))</f>
        <v/>
      </c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>
        <f>IF(AND(A155="",D155=""),"",IF(A155="","FALTA doc. cliente",IF(B155="NO EXISTE en Clientes","CLIENTE no está en hoja Clientes",IF(D155="","FALTA dirección",IF(AND(H155&lt;&gt;"",OR(F155="",G155="")),"Distrito requiere departamento y provincia",IF(AND(G155&lt;&gt;"",F155=""),"Provincia requiere departamento",IF((I155&lt;&gt;"")&lt;&gt;(J155&lt;&gt;""),"Latitud y longitud van juntas","OK")))))))</f>
        <v/>
      </c>
      <c r="M155" s="28">
        <f>IF(L155&lt;&gt;"OK","","INSERT INTO cli_direcciones (id_cliente, descripcion, direccion, referencia, id_departamento, id_provincia, id_distrito, latitud, longitud, es_principal, estado) SELECT "&amp;"(SELECT id FROM cli_clientes WHERE numero_documento = '"&amp;SUBSTITUTE(TRIM(A155),"'","''")&amp;"' AND estado = 1 LIMIT 1)"&amp;", "&amp;IF(TRIM(C155&amp;"")="","NULL","'"&amp;SUBSTITUTE(TRIM(C155),"'","''")&amp;"'")&amp;", "&amp;IF(TRIM(D155&amp;"")="","NULL","'"&amp;SUBSTITUTE(TRIM(D155),"'","''")&amp;"'")&amp;", "&amp;IF(TRIM(E155&amp;"")="","NULL","'"&amp;SUBSTITUTE(TRIM(E155),"'","''")&amp;"'")&amp;", "&amp;IF(TRIM(F155&amp;"")="","NULL","(SELECT id FROM gen_departamento WHERE upper(nombre) = upper('"&amp;SUBSTITUTE(TRIM(F155),"'","''")&amp;"') AND estado = 1 LIMIT 1)")&amp;", "&amp;IF(OR(TRIM(F155&amp;"")="",TRIM(G155&amp;"")=""),"NULL","(SELECT p.id FROM gen_provincia p JOIN gen_departamento dp ON dp.id = p.id_departamento WHERE upper(p.nombre) = upper('"&amp;SUBSTITUTE(TRIM(G155),"'","''")&amp;"') AND upper(dp.nombre) = upper('"&amp;SUBSTITUTE(TRIM(F155),"'","''")&amp;"') AND p.estado = 1 LIMIT 1)")&amp;", "&amp;IF(OR(TRIM(F155&amp;"")="",TRIM(G155&amp;"")="",TRIM(H155&amp;"")=""),"NULL","(SELECT d.id FROM gen_distrito d JOIN gen_provincia p ON p.id = d.id_provincia JOIN gen_departamento dp ON dp.id = p.id_departamento WHERE upper(d.nombre) = upper('"&amp;SUBSTITUTE(TRIM(H155),"'","''")&amp;"') AND upper(p.nombre) = upper('"&amp;SUBSTITUTE(TRIM(G155),"'","''")&amp;"') AND upper(dp.nombre) = upper('"&amp;SUBSTITUTE(TRIM(F155),"'","''")&amp;"') AND d.estado = 1 LIMIT 1)")&amp;", "&amp;IF(I155&amp;""="","NULL",SUBSTITUTE(I155&amp;"",",","."))&amp;", "&amp;IF(J155&amp;""="","NULL",SUBSTITUTE(J155&amp;"",",","."))&amp;", "&amp;IF(UPPER(TRIM(K155&amp;""))="SI","TRUE","FALSE")&amp;", 1"&amp;" WHERE NOT EXISTS (SELECT 1 FROM cli_direcciones x WHERE x.id_cliente = "&amp;"(SELECT id FROM cli_clientes WHERE numero_documento = '"&amp;SUBSTITUTE(TRIM(A155),"'","''")&amp;"' AND estado = 1 LIMIT 1)"&amp;" AND upper(x.direccion) = upper("&amp;IF(TRIM(D155&amp;"")="","NULL","'"&amp;SUBSTITUTE(TRIM(D155),"'","''")&amp;"'")&amp;"));")</f>
        <v/>
      </c>
    </row>
    <row r="156" ht="15.75" customHeight="1" s="64">
      <c r="A156" s="23" t="n"/>
      <c r="B156" s="25">
        <f t="array" ref="B156">IF(A156="","",IFERROR(IF(INDEX(Clientes!$D$5:$D$549,MATCH(A156,Clientes!$C$5:$C$549,0))&lt;&gt;"",INDEX(Clientes!$D$5:$D$549,MATCH(A156,Clientes!$C$5:$C$549,0)),TRIM(INDEX(Clientes!$E$5:$E$549,MATCH(A156,Clientes!$C$5:$C$549,0))&amp;" "&amp;INDEX(Clientes!$F$5:$F$549,MATCH(A156,Clientes!$C$5:$C$549,0)))),"NO EXISTE en Clientes"))</f>
        <v/>
      </c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>
        <f>IF(AND(A156="",D156=""),"",IF(A156="","FALTA doc. cliente",IF(B156="NO EXISTE en Clientes","CLIENTE no está en hoja Clientes",IF(D156="","FALTA dirección",IF(AND(H156&lt;&gt;"",OR(F156="",G156="")),"Distrito requiere departamento y provincia",IF(AND(G156&lt;&gt;"",F156=""),"Provincia requiere departamento",IF((I156&lt;&gt;"")&lt;&gt;(J156&lt;&gt;""),"Latitud y longitud van juntas","OK")))))))</f>
        <v/>
      </c>
      <c r="M156" s="28">
        <f>IF(L156&lt;&gt;"OK","","INSERT INTO cli_direcciones (id_cliente, descripcion, direccion, referencia, id_departamento, id_provincia, id_distrito, latitud, longitud, es_principal, estado) SELECT "&amp;"(SELECT id FROM cli_clientes WHERE numero_documento = '"&amp;SUBSTITUTE(TRIM(A156),"'","''")&amp;"' AND estado = 1 LIMIT 1)"&amp;", "&amp;IF(TRIM(C156&amp;"")="","NULL","'"&amp;SUBSTITUTE(TRIM(C156),"'","''")&amp;"'")&amp;", "&amp;IF(TRIM(D156&amp;"")="","NULL","'"&amp;SUBSTITUTE(TRIM(D156),"'","''")&amp;"'")&amp;", "&amp;IF(TRIM(E156&amp;"")="","NULL","'"&amp;SUBSTITUTE(TRIM(E156),"'","''")&amp;"'")&amp;", "&amp;IF(TRIM(F156&amp;"")="","NULL","(SELECT id FROM gen_departamento WHERE upper(nombre) = upper('"&amp;SUBSTITUTE(TRIM(F156),"'","''")&amp;"') AND estado = 1 LIMIT 1)")&amp;", "&amp;IF(OR(TRIM(F156&amp;"")="",TRIM(G156&amp;"")=""),"NULL","(SELECT p.id FROM gen_provincia p JOIN gen_departamento dp ON dp.id = p.id_departamento WHERE upper(p.nombre) = upper('"&amp;SUBSTITUTE(TRIM(G156),"'","''")&amp;"') AND upper(dp.nombre) = upper('"&amp;SUBSTITUTE(TRIM(F156),"'","''")&amp;"') AND p.estado = 1 LIMIT 1)")&amp;", "&amp;IF(OR(TRIM(F156&amp;"")="",TRIM(G156&amp;"")="",TRIM(H156&amp;"")=""),"NULL","(SELECT d.id FROM gen_distrito d JOIN gen_provincia p ON p.id = d.id_provincia JOIN gen_departamento dp ON dp.id = p.id_departamento WHERE upper(d.nombre) = upper('"&amp;SUBSTITUTE(TRIM(H156),"'","''")&amp;"') AND upper(p.nombre) = upper('"&amp;SUBSTITUTE(TRIM(G156),"'","''")&amp;"') AND upper(dp.nombre) = upper('"&amp;SUBSTITUTE(TRIM(F156),"'","''")&amp;"') AND d.estado = 1 LIMIT 1)")&amp;", "&amp;IF(I156&amp;""="","NULL",SUBSTITUTE(I156&amp;"",",","."))&amp;", "&amp;IF(J156&amp;""="","NULL",SUBSTITUTE(J156&amp;"",",","."))&amp;", "&amp;IF(UPPER(TRIM(K156&amp;""))="SI","TRUE","FALSE")&amp;", 1"&amp;" WHERE NOT EXISTS (SELECT 1 FROM cli_direcciones x WHERE x.id_cliente = "&amp;"(SELECT id FROM cli_clientes WHERE numero_documento = '"&amp;SUBSTITUTE(TRIM(A156),"'","''")&amp;"' AND estado = 1 LIMIT 1)"&amp;" AND upper(x.direccion) = upper("&amp;IF(TRIM(D156&amp;"")="","NULL","'"&amp;SUBSTITUTE(TRIM(D156),"'","''")&amp;"'")&amp;"));")</f>
        <v/>
      </c>
    </row>
    <row r="157" ht="15.75" customHeight="1" s="64">
      <c r="A157" s="23" t="n"/>
      <c r="B157" s="25">
        <f t="array" ref="B157">IF(A157="","",IFERROR(IF(INDEX(Clientes!$D$5:$D$549,MATCH(A157,Clientes!$C$5:$C$549,0))&lt;&gt;"",INDEX(Clientes!$D$5:$D$549,MATCH(A157,Clientes!$C$5:$C$549,0)),TRIM(INDEX(Clientes!$E$5:$E$549,MATCH(A157,Clientes!$C$5:$C$549,0))&amp;" "&amp;INDEX(Clientes!$F$5:$F$549,MATCH(A157,Clientes!$C$5:$C$549,0)))),"NO EXISTE en Clientes"))</f>
        <v/>
      </c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>
        <f>IF(AND(A157="",D157=""),"",IF(A157="","FALTA doc. cliente",IF(B157="NO EXISTE en Clientes","CLIENTE no está en hoja Clientes",IF(D157="","FALTA dirección",IF(AND(H157&lt;&gt;"",OR(F157="",G157="")),"Distrito requiere departamento y provincia",IF(AND(G157&lt;&gt;"",F157=""),"Provincia requiere departamento",IF((I157&lt;&gt;"")&lt;&gt;(J157&lt;&gt;""),"Latitud y longitud van juntas","OK")))))))</f>
        <v/>
      </c>
      <c r="M157" s="28">
        <f>IF(L157&lt;&gt;"OK","","INSERT INTO cli_direcciones (id_cliente, descripcion, direccion, referencia, id_departamento, id_provincia, id_distrito, latitud, longitud, es_principal, estado) SELECT "&amp;"(SELECT id FROM cli_clientes WHERE numero_documento = '"&amp;SUBSTITUTE(TRIM(A157),"'","''")&amp;"' AND estado = 1 LIMIT 1)"&amp;", "&amp;IF(TRIM(C157&amp;"")="","NULL","'"&amp;SUBSTITUTE(TRIM(C157),"'","''")&amp;"'")&amp;", "&amp;IF(TRIM(D157&amp;"")="","NULL","'"&amp;SUBSTITUTE(TRIM(D157),"'","''")&amp;"'")&amp;", "&amp;IF(TRIM(E157&amp;"")="","NULL","'"&amp;SUBSTITUTE(TRIM(E157),"'","''")&amp;"'")&amp;", "&amp;IF(TRIM(F157&amp;"")="","NULL","(SELECT id FROM gen_departamento WHERE upper(nombre) = upper('"&amp;SUBSTITUTE(TRIM(F157),"'","''")&amp;"') AND estado = 1 LIMIT 1)")&amp;", "&amp;IF(OR(TRIM(F157&amp;"")="",TRIM(G157&amp;"")=""),"NULL","(SELECT p.id FROM gen_provincia p JOIN gen_departamento dp ON dp.id = p.id_departamento WHERE upper(p.nombre) = upper('"&amp;SUBSTITUTE(TRIM(G157),"'","''")&amp;"') AND upper(dp.nombre) = upper('"&amp;SUBSTITUTE(TRIM(F157),"'","''")&amp;"') AND p.estado = 1 LIMIT 1)")&amp;", "&amp;IF(OR(TRIM(F157&amp;"")="",TRIM(G157&amp;"")="",TRIM(H157&amp;"")=""),"NULL","(SELECT d.id FROM gen_distrito d JOIN gen_provincia p ON p.id = d.id_provincia JOIN gen_departamento dp ON dp.id = p.id_departamento WHERE upper(d.nombre) = upper('"&amp;SUBSTITUTE(TRIM(H157),"'","''")&amp;"') AND upper(p.nombre) = upper('"&amp;SUBSTITUTE(TRIM(G157),"'","''")&amp;"') AND upper(dp.nombre) = upper('"&amp;SUBSTITUTE(TRIM(F157),"'","''")&amp;"') AND d.estado = 1 LIMIT 1)")&amp;", "&amp;IF(I157&amp;""="","NULL",SUBSTITUTE(I157&amp;"",",","."))&amp;", "&amp;IF(J157&amp;""="","NULL",SUBSTITUTE(J157&amp;"",",","."))&amp;", "&amp;IF(UPPER(TRIM(K157&amp;""))="SI","TRUE","FALSE")&amp;", 1"&amp;" WHERE NOT EXISTS (SELECT 1 FROM cli_direcciones x WHERE x.id_cliente = "&amp;"(SELECT id FROM cli_clientes WHERE numero_documento = '"&amp;SUBSTITUTE(TRIM(A157),"'","''")&amp;"' AND estado = 1 LIMIT 1)"&amp;" AND upper(x.direccion) = upper("&amp;IF(TRIM(D157&amp;"")="","NULL","'"&amp;SUBSTITUTE(TRIM(D157),"'","''")&amp;"'")&amp;"));")</f>
        <v/>
      </c>
    </row>
    <row r="158" ht="15.75" customHeight="1" s="64">
      <c r="A158" s="23" t="n"/>
      <c r="B158" s="25">
        <f t="array" ref="B158">IF(A158="","",IFERROR(IF(INDEX(Clientes!$D$5:$D$549,MATCH(A158,Clientes!$C$5:$C$549,0))&lt;&gt;"",INDEX(Clientes!$D$5:$D$549,MATCH(A158,Clientes!$C$5:$C$549,0)),TRIM(INDEX(Clientes!$E$5:$E$549,MATCH(A158,Clientes!$C$5:$C$549,0))&amp;" "&amp;INDEX(Clientes!$F$5:$F$549,MATCH(A158,Clientes!$C$5:$C$549,0)))),"NO EXISTE en Clientes"))</f>
        <v/>
      </c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>
        <f>IF(AND(A158="",D158=""),"",IF(A158="","FALTA doc. cliente",IF(B158="NO EXISTE en Clientes","CLIENTE no está en hoja Clientes",IF(D158="","FALTA dirección",IF(AND(H158&lt;&gt;"",OR(F158="",G158="")),"Distrito requiere departamento y provincia",IF(AND(G158&lt;&gt;"",F158=""),"Provincia requiere departamento",IF((I158&lt;&gt;"")&lt;&gt;(J158&lt;&gt;""),"Latitud y longitud van juntas","OK")))))))</f>
        <v/>
      </c>
      <c r="M158" s="28">
        <f>IF(L158&lt;&gt;"OK","","INSERT INTO cli_direcciones (id_cliente, descripcion, direccion, referencia, id_departamento, id_provincia, id_distrito, latitud, longitud, es_principal, estado) SELECT "&amp;"(SELECT id FROM cli_clientes WHERE numero_documento = '"&amp;SUBSTITUTE(TRIM(A158),"'","''")&amp;"' AND estado = 1 LIMIT 1)"&amp;", "&amp;IF(TRIM(C158&amp;"")="","NULL","'"&amp;SUBSTITUTE(TRIM(C158),"'","''")&amp;"'")&amp;", "&amp;IF(TRIM(D158&amp;"")="","NULL","'"&amp;SUBSTITUTE(TRIM(D158),"'","''")&amp;"'")&amp;", "&amp;IF(TRIM(E158&amp;"")="","NULL","'"&amp;SUBSTITUTE(TRIM(E158),"'","''")&amp;"'")&amp;", "&amp;IF(TRIM(F158&amp;"")="","NULL","(SELECT id FROM gen_departamento WHERE upper(nombre) = upper('"&amp;SUBSTITUTE(TRIM(F158),"'","''")&amp;"') AND estado = 1 LIMIT 1)")&amp;", "&amp;IF(OR(TRIM(F158&amp;"")="",TRIM(G158&amp;"")=""),"NULL","(SELECT p.id FROM gen_provincia p JOIN gen_departamento dp ON dp.id = p.id_departamento WHERE upper(p.nombre) = upper('"&amp;SUBSTITUTE(TRIM(G158),"'","''")&amp;"') AND upper(dp.nombre) = upper('"&amp;SUBSTITUTE(TRIM(F158),"'","''")&amp;"') AND p.estado = 1 LIMIT 1)")&amp;", "&amp;IF(OR(TRIM(F158&amp;"")="",TRIM(G158&amp;"")="",TRIM(H158&amp;"")=""),"NULL","(SELECT d.id FROM gen_distrito d JOIN gen_provincia p ON p.id = d.id_provincia JOIN gen_departamento dp ON dp.id = p.id_departamento WHERE upper(d.nombre) = upper('"&amp;SUBSTITUTE(TRIM(H158),"'","''")&amp;"') AND upper(p.nombre) = upper('"&amp;SUBSTITUTE(TRIM(G158),"'","''")&amp;"') AND upper(dp.nombre) = upper('"&amp;SUBSTITUTE(TRIM(F158),"'","''")&amp;"') AND d.estado = 1 LIMIT 1)")&amp;", "&amp;IF(I158&amp;""="","NULL",SUBSTITUTE(I158&amp;"",",","."))&amp;", "&amp;IF(J158&amp;""="","NULL",SUBSTITUTE(J158&amp;"",",","."))&amp;", "&amp;IF(UPPER(TRIM(K158&amp;""))="SI","TRUE","FALSE")&amp;", 1"&amp;" WHERE NOT EXISTS (SELECT 1 FROM cli_direcciones x WHERE x.id_cliente = "&amp;"(SELECT id FROM cli_clientes WHERE numero_documento = '"&amp;SUBSTITUTE(TRIM(A158),"'","''")&amp;"' AND estado = 1 LIMIT 1)"&amp;" AND upper(x.direccion) = upper("&amp;IF(TRIM(D158&amp;"")="","NULL","'"&amp;SUBSTITUTE(TRIM(D158),"'","''")&amp;"'")&amp;"));")</f>
        <v/>
      </c>
    </row>
    <row r="159" ht="15.75" customHeight="1" s="64">
      <c r="A159" s="23" t="n"/>
      <c r="B159" s="25">
        <f t="array" ref="B159">IF(A159="","",IFERROR(IF(INDEX(Clientes!$D$5:$D$549,MATCH(A159,Clientes!$C$5:$C$549,0))&lt;&gt;"",INDEX(Clientes!$D$5:$D$549,MATCH(A159,Clientes!$C$5:$C$549,0)),TRIM(INDEX(Clientes!$E$5:$E$549,MATCH(A159,Clientes!$C$5:$C$549,0))&amp;" "&amp;INDEX(Clientes!$F$5:$F$549,MATCH(A159,Clientes!$C$5:$C$549,0)))),"NO EXISTE en Clientes"))</f>
        <v/>
      </c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>
        <f>IF(AND(A159="",D159=""),"",IF(A159="","FALTA doc. cliente",IF(B159="NO EXISTE en Clientes","CLIENTE no está en hoja Clientes",IF(D159="","FALTA dirección",IF(AND(H159&lt;&gt;"",OR(F159="",G159="")),"Distrito requiere departamento y provincia",IF(AND(G159&lt;&gt;"",F159=""),"Provincia requiere departamento",IF((I159&lt;&gt;"")&lt;&gt;(J159&lt;&gt;""),"Latitud y longitud van juntas","OK")))))))</f>
        <v/>
      </c>
      <c r="M159" s="28">
        <f>IF(L159&lt;&gt;"OK","","INSERT INTO cli_direcciones (id_cliente, descripcion, direccion, referencia, id_departamento, id_provincia, id_distrito, latitud, longitud, es_principal, estado) SELECT "&amp;"(SELECT id FROM cli_clientes WHERE numero_documento = '"&amp;SUBSTITUTE(TRIM(A159),"'","''")&amp;"' AND estado = 1 LIMIT 1)"&amp;", "&amp;IF(TRIM(C159&amp;"")="","NULL","'"&amp;SUBSTITUTE(TRIM(C159),"'","''")&amp;"'")&amp;", "&amp;IF(TRIM(D159&amp;"")="","NULL","'"&amp;SUBSTITUTE(TRIM(D159),"'","''")&amp;"'")&amp;", "&amp;IF(TRIM(E159&amp;"")="","NULL","'"&amp;SUBSTITUTE(TRIM(E159),"'","''")&amp;"'")&amp;", "&amp;IF(TRIM(F159&amp;"")="","NULL","(SELECT id FROM gen_departamento WHERE upper(nombre) = upper('"&amp;SUBSTITUTE(TRIM(F159),"'","''")&amp;"') AND estado = 1 LIMIT 1)")&amp;", "&amp;IF(OR(TRIM(F159&amp;"")="",TRIM(G159&amp;"")=""),"NULL","(SELECT p.id FROM gen_provincia p JOIN gen_departamento dp ON dp.id = p.id_departamento WHERE upper(p.nombre) = upper('"&amp;SUBSTITUTE(TRIM(G159),"'","''")&amp;"') AND upper(dp.nombre) = upper('"&amp;SUBSTITUTE(TRIM(F159),"'","''")&amp;"') AND p.estado = 1 LIMIT 1)")&amp;", "&amp;IF(OR(TRIM(F159&amp;"")="",TRIM(G159&amp;"")="",TRIM(H159&amp;"")=""),"NULL","(SELECT d.id FROM gen_distrito d JOIN gen_provincia p ON p.id = d.id_provincia JOIN gen_departamento dp ON dp.id = p.id_departamento WHERE upper(d.nombre) = upper('"&amp;SUBSTITUTE(TRIM(H159),"'","''")&amp;"') AND upper(p.nombre) = upper('"&amp;SUBSTITUTE(TRIM(G159),"'","''")&amp;"') AND upper(dp.nombre) = upper('"&amp;SUBSTITUTE(TRIM(F159),"'","''")&amp;"') AND d.estado = 1 LIMIT 1)")&amp;", "&amp;IF(I159&amp;""="","NULL",SUBSTITUTE(I159&amp;"",",","."))&amp;", "&amp;IF(J159&amp;""="","NULL",SUBSTITUTE(J159&amp;"",",","."))&amp;", "&amp;IF(UPPER(TRIM(K159&amp;""))="SI","TRUE","FALSE")&amp;", 1"&amp;" WHERE NOT EXISTS (SELECT 1 FROM cli_direcciones x WHERE x.id_cliente = "&amp;"(SELECT id FROM cli_clientes WHERE numero_documento = '"&amp;SUBSTITUTE(TRIM(A159),"'","''")&amp;"' AND estado = 1 LIMIT 1)"&amp;" AND upper(x.direccion) = upper("&amp;IF(TRIM(D159&amp;"")="","NULL","'"&amp;SUBSTITUTE(TRIM(D159),"'","''")&amp;"'")&amp;"));")</f>
        <v/>
      </c>
    </row>
    <row r="160" ht="15.75" customHeight="1" s="64">
      <c r="A160" s="23" t="n"/>
      <c r="B160" s="25">
        <f t="array" ref="B160">IF(A160="","",IFERROR(IF(INDEX(Clientes!$D$5:$D$549,MATCH(A160,Clientes!$C$5:$C$549,0))&lt;&gt;"",INDEX(Clientes!$D$5:$D$549,MATCH(A160,Clientes!$C$5:$C$549,0)),TRIM(INDEX(Clientes!$E$5:$E$549,MATCH(A160,Clientes!$C$5:$C$549,0))&amp;" "&amp;INDEX(Clientes!$F$5:$F$549,MATCH(A160,Clientes!$C$5:$C$549,0)))),"NO EXISTE en Clientes"))</f>
        <v/>
      </c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>
        <f>IF(AND(A160="",D160=""),"",IF(A160="","FALTA doc. cliente",IF(B160="NO EXISTE en Clientes","CLIENTE no está en hoja Clientes",IF(D160="","FALTA dirección",IF(AND(H160&lt;&gt;"",OR(F160="",G160="")),"Distrito requiere departamento y provincia",IF(AND(G160&lt;&gt;"",F160=""),"Provincia requiere departamento",IF((I160&lt;&gt;"")&lt;&gt;(J160&lt;&gt;""),"Latitud y longitud van juntas","OK")))))))</f>
        <v/>
      </c>
      <c r="M160" s="28">
        <f>IF(L160&lt;&gt;"OK","","INSERT INTO cli_direcciones (id_cliente, descripcion, direccion, referencia, id_departamento, id_provincia, id_distrito, latitud, longitud, es_principal, estado) SELECT "&amp;"(SELECT id FROM cli_clientes WHERE numero_documento = '"&amp;SUBSTITUTE(TRIM(A160),"'","''")&amp;"' AND estado = 1 LIMIT 1)"&amp;", "&amp;IF(TRIM(C160&amp;"")="","NULL","'"&amp;SUBSTITUTE(TRIM(C160),"'","''")&amp;"'")&amp;", "&amp;IF(TRIM(D160&amp;"")="","NULL","'"&amp;SUBSTITUTE(TRIM(D160),"'","''")&amp;"'")&amp;", "&amp;IF(TRIM(E160&amp;"")="","NULL","'"&amp;SUBSTITUTE(TRIM(E160),"'","''")&amp;"'")&amp;", "&amp;IF(TRIM(F160&amp;"")="","NULL","(SELECT id FROM gen_departamento WHERE upper(nombre) = upper('"&amp;SUBSTITUTE(TRIM(F160),"'","''")&amp;"') AND estado = 1 LIMIT 1)")&amp;", "&amp;IF(OR(TRIM(F160&amp;"")="",TRIM(G160&amp;"")=""),"NULL","(SELECT p.id FROM gen_provincia p JOIN gen_departamento dp ON dp.id = p.id_departamento WHERE upper(p.nombre) = upper('"&amp;SUBSTITUTE(TRIM(G160),"'","''")&amp;"') AND upper(dp.nombre) = upper('"&amp;SUBSTITUTE(TRIM(F160),"'","''")&amp;"') AND p.estado = 1 LIMIT 1)")&amp;", "&amp;IF(OR(TRIM(F160&amp;"")="",TRIM(G160&amp;"")="",TRIM(H160&amp;"")=""),"NULL","(SELECT d.id FROM gen_distrito d JOIN gen_provincia p ON p.id = d.id_provincia JOIN gen_departamento dp ON dp.id = p.id_departamento WHERE upper(d.nombre) = upper('"&amp;SUBSTITUTE(TRIM(H160),"'","''")&amp;"') AND upper(p.nombre) = upper('"&amp;SUBSTITUTE(TRIM(G160),"'","''")&amp;"') AND upper(dp.nombre) = upper('"&amp;SUBSTITUTE(TRIM(F160),"'","''")&amp;"') AND d.estado = 1 LIMIT 1)")&amp;", "&amp;IF(I160&amp;""="","NULL",SUBSTITUTE(I160&amp;"",",","."))&amp;", "&amp;IF(J160&amp;""="","NULL",SUBSTITUTE(J160&amp;"",",","."))&amp;", "&amp;IF(UPPER(TRIM(K160&amp;""))="SI","TRUE","FALSE")&amp;", 1"&amp;" WHERE NOT EXISTS (SELECT 1 FROM cli_direcciones x WHERE x.id_cliente = "&amp;"(SELECT id FROM cli_clientes WHERE numero_documento = '"&amp;SUBSTITUTE(TRIM(A160),"'","''")&amp;"' AND estado = 1 LIMIT 1)"&amp;" AND upper(x.direccion) = upper("&amp;IF(TRIM(D160&amp;"")="","NULL","'"&amp;SUBSTITUTE(TRIM(D160),"'","''")&amp;"'")&amp;"));")</f>
        <v/>
      </c>
    </row>
    <row r="161" ht="15.75" customHeight="1" s="64">
      <c r="A161" s="23" t="n"/>
      <c r="B161" s="25">
        <f t="array" ref="B161">IF(A161="","",IFERROR(IF(INDEX(Clientes!$D$5:$D$549,MATCH(A161,Clientes!$C$5:$C$549,0))&lt;&gt;"",INDEX(Clientes!$D$5:$D$549,MATCH(A161,Clientes!$C$5:$C$549,0)),TRIM(INDEX(Clientes!$E$5:$E$549,MATCH(A161,Clientes!$C$5:$C$549,0))&amp;" "&amp;INDEX(Clientes!$F$5:$F$549,MATCH(A161,Clientes!$C$5:$C$549,0)))),"NO EXISTE en Clientes"))</f>
        <v/>
      </c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>
        <f>IF(AND(A161="",D161=""),"",IF(A161="","FALTA doc. cliente",IF(B161="NO EXISTE en Clientes","CLIENTE no está en hoja Clientes",IF(D161="","FALTA dirección",IF(AND(H161&lt;&gt;"",OR(F161="",G161="")),"Distrito requiere departamento y provincia",IF(AND(G161&lt;&gt;"",F161=""),"Provincia requiere departamento",IF((I161&lt;&gt;"")&lt;&gt;(J161&lt;&gt;""),"Latitud y longitud van juntas","OK")))))))</f>
        <v/>
      </c>
      <c r="M161" s="28">
        <f>IF(L161&lt;&gt;"OK","","INSERT INTO cli_direcciones (id_cliente, descripcion, direccion, referencia, id_departamento, id_provincia, id_distrito, latitud, longitud, es_principal, estado) SELECT "&amp;"(SELECT id FROM cli_clientes WHERE numero_documento = '"&amp;SUBSTITUTE(TRIM(A161),"'","''")&amp;"' AND estado = 1 LIMIT 1)"&amp;", "&amp;IF(TRIM(C161&amp;"")="","NULL","'"&amp;SUBSTITUTE(TRIM(C161),"'","''")&amp;"'")&amp;", "&amp;IF(TRIM(D161&amp;"")="","NULL","'"&amp;SUBSTITUTE(TRIM(D161),"'","''")&amp;"'")&amp;", "&amp;IF(TRIM(E161&amp;"")="","NULL","'"&amp;SUBSTITUTE(TRIM(E161),"'","''")&amp;"'")&amp;", "&amp;IF(TRIM(F161&amp;"")="","NULL","(SELECT id FROM gen_departamento WHERE upper(nombre) = upper('"&amp;SUBSTITUTE(TRIM(F161),"'","''")&amp;"') AND estado = 1 LIMIT 1)")&amp;", "&amp;IF(OR(TRIM(F161&amp;"")="",TRIM(G161&amp;"")=""),"NULL","(SELECT p.id FROM gen_provincia p JOIN gen_departamento dp ON dp.id = p.id_departamento WHERE upper(p.nombre) = upper('"&amp;SUBSTITUTE(TRIM(G161),"'","''")&amp;"') AND upper(dp.nombre) = upper('"&amp;SUBSTITUTE(TRIM(F161),"'","''")&amp;"') AND p.estado = 1 LIMIT 1)")&amp;", "&amp;IF(OR(TRIM(F161&amp;"")="",TRIM(G161&amp;"")="",TRIM(H161&amp;"")=""),"NULL","(SELECT d.id FROM gen_distrito d JOIN gen_provincia p ON p.id = d.id_provincia JOIN gen_departamento dp ON dp.id = p.id_departamento WHERE upper(d.nombre) = upper('"&amp;SUBSTITUTE(TRIM(H161),"'","''")&amp;"') AND upper(p.nombre) = upper('"&amp;SUBSTITUTE(TRIM(G161),"'","''")&amp;"') AND upper(dp.nombre) = upper('"&amp;SUBSTITUTE(TRIM(F161),"'","''")&amp;"') AND d.estado = 1 LIMIT 1)")&amp;", "&amp;IF(I161&amp;""="","NULL",SUBSTITUTE(I161&amp;"",",","."))&amp;", "&amp;IF(J161&amp;""="","NULL",SUBSTITUTE(J161&amp;"",",","."))&amp;", "&amp;IF(UPPER(TRIM(K161&amp;""))="SI","TRUE","FALSE")&amp;", 1"&amp;" WHERE NOT EXISTS (SELECT 1 FROM cli_direcciones x WHERE x.id_cliente = "&amp;"(SELECT id FROM cli_clientes WHERE numero_documento = '"&amp;SUBSTITUTE(TRIM(A161),"'","''")&amp;"' AND estado = 1 LIMIT 1)"&amp;" AND upper(x.direccion) = upper("&amp;IF(TRIM(D161&amp;"")="","NULL","'"&amp;SUBSTITUTE(TRIM(D161),"'","''")&amp;"'")&amp;"));")</f>
        <v/>
      </c>
    </row>
    <row r="162" ht="15.75" customHeight="1" s="64">
      <c r="A162" s="23" t="n"/>
      <c r="B162" s="25">
        <f t="array" ref="B162">IF(A162="","",IFERROR(IF(INDEX(Clientes!$D$5:$D$549,MATCH(A162,Clientes!$C$5:$C$549,0))&lt;&gt;"",INDEX(Clientes!$D$5:$D$549,MATCH(A162,Clientes!$C$5:$C$549,0)),TRIM(INDEX(Clientes!$E$5:$E$549,MATCH(A162,Clientes!$C$5:$C$549,0))&amp;" "&amp;INDEX(Clientes!$F$5:$F$549,MATCH(A162,Clientes!$C$5:$C$549,0)))),"NO EXISTE en Clientes"))</f>
        <v/>
      </c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>
        <f>IF(AND(A162="",D162=""),"",IF(A162="","FALTA doc. cliente",IF(B162="NO EXISTE en Clientes","CLIENTE no está en hoja Clientes",IF(D162="","FALTA dirección",IF(AND(H162&lt;&gt;"",OR(F162="",G162="")),"Distrito requiere departamento y provincia",IF(AND(G162&lt;&gt;"",F162=""),"Provincia requiere departamento",IF((I162&lt;&gt;"")&lt;&gt;(J162&lt;&gt;""),"Latitud y longitud van juntas","OK")))))))</f>
        <v/>
      </c>
      <c r="M162" s="28">
        <f>IF(L162&lt;&gt;"OK","","INSERT INTO cli_direcciones (id_cliente, descripcion, direccion, referencia, id_departamento, id_provincia, id_distrito, latitud, longitud, es_principal, estado) SELECT "&amp;"(SELECT id FROM cli_clientes WHERE numero_documento = '"&amp;SUBSTITUTE(TRIM(A162),"'","''")&amp;"' AND estado = 1 LIMIT 1)"&amp;", "&amp;IF(TRIM(C162&amp;"")="","NULL","'"&amp;SUBSTITUTE(TRIM(C162),"'","''")&amp;"'")&amp;", "&amp;IF(TRIM(D162&amp;"")="","NULL","'"&amp;SUBSTITUTE(TRIM(D162),"'","''")&amp;"'")&amp;", "&amp;IF(TRIM(E162&amp;"")="","NULL","'"&amp;SUBSTITUTE(TRIM(E162),"'","''")&amp;"'")&amp;", "&amp;IF(TRIM(F162&amp;"")="","NULL","(SELECT id FROM gen_departamento WHERE upper(nombre) = upper('"&amp;SUBSTITUTE(TRIM(F162),"'","''")&amp;"') AND estado = 1 LIMIT 1)")&amp;", "&amp;IF(OR(TRIM(F162&amp;"")="",TRIM(G162&amp;"")=""),"NULL","(SELECT p.id FROM gen_provincia p JOIN gen_departamento dp ON dp.id = p.id_departamento WHERE upper(p.nombre) = upper('"&amp;SUBSTITUTE(TRIM(G162),"'","''")&amp;"') AND upper(dp.nombre) = upper('"&amp;SUBSTITUTE(TRIM(F162),"'","''")&amp;"') AND p.estado = 1 LIMIT 1)")&amp;", "&amp;IF(OR(TRIM(F162&amp;"")="",TRIM(G162&amp;"")="",TRIM(H162&amp;"")=""),"NULL","(SELECT d.id FROM gen_distrito d JOIN gen_provincia p ON p.id = d.id_provincia JOIN gen_departamento dp ON dp.id = p.id_departamento WHERE upper(d.nombre) = upper('"&amp;SUBSTITUTE(TRIM(H162),"'","''")&amp;"') AND upper(p.nombre) = upper('"&amp;SUBSTITUTE(TRIM(G162),"'","''")&amp;"') AND upper(dp.nombre) = upper('"&amp;SUBSTITUTE(TRIM(F162),"'","''")&amp;"') AND d.estado = 1 LIMIT 1)")&amp;", "&amp;IF(I162&amp;""="","NULL",SUBSTITUTE(I162&amp;"",",","."))&amp;", "&amp;IF(J162&amp;""="","NULL",SUBSTITUTE(J162&amp;"",",","."))&amp;", "&amp;IF(UPPER(TRIM(K162&amp;""))="SI","TRUE","FALSE")&amp;", 1"&amp;" WHERE NOT EXISTS (SELECT 1 FROM cli_direcciones x WHERE x.id_cliente = "&amp;"(SELECT id FROM cli_clientes WHERE numero_documento = '"&amp;SUBSTITUTE(TRIM(A162),"'","''")&amp;"' AND estado = 1 LIMIT 1)"&amp;" AND upper(x.direccion) = upper("&amp;IF(TRIM(D162&amp;"")="","NULL","'"&amp;SUBSTITUTE(TRIM(D162),"'","''")&amp;"'")&amp;"));")</f>
        <v/>
      </c>
    </row>
    <row r="163" ht="15.75" customHeight="1" s="64">
      <c r="A163" s="23" t="n"/>
      <c r="B163" s="25">
        <f t="array" ref="B163">IF(A163="","",IFERROR(IF(INDEX(Clientes!$D$5:$D$549,MATCH(A163,Clientes!$C$5:$C$549,0))&lt;&gt;"",INDEX(Clientes!$D$5:$D$549,MATCH(A163,Clientes!$C$5:$C$549,0)),TRIM(INDEX(Clientes!$E$5:$E$549,MATCH(A163,Clientes!$C$5:$C$549,0))&amp;" "&amp;INDEX(Clientes!$F$5:$F$549,MATCH(A163,Clientes!$C$5:$C$549,0)))),"NO EXISTE en Clientes"))</f>
        <v/>
      </c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>
        <f>IF(AND(A163="",D163=""),"",IF(A163="","FALTA doc. cliente",IF(B163="NO EXISTE en Clientes","CLIENTE no está en hoja Clientes",IF(D163="","FALTA dirección",IF(AND(H163&lt;&gt;"",OR(F163="",G163="")),"Distrito requiere departamento y provincia",IF(AND(G163&lt;&gt;"",F163=""),"Provincia requiere departamento",IF((I163&lt;&gt;"")&lt;&gt;(J163&lt;&gt;""),"Latitud y longitud van juntas","OK")))))))</f>
        <v/>
      </c>
      <c r="M163" s="28">
        <f>IF(L163&lt;&gt;"OK","","INSERT INTO cli_direcciones (id_cliente, descripcion, direccion, referencia, id_departamento, id_provincia, id_distrito, latitud, longitud, es_principal, estado) SELECT "&amp;"(SELECT id FROM cli_clientes WHERE numero_documento = '"&amp;SUBSTITUTE(TRIM(A163),"'","''")&amp;"' AND estado = 1 LIMIT 1)"&amp;", "&amp;IF(TRIM(C163&amp;"")="","NULL","'"&amp;SUBSTITUTE(TRIM(C163),"'","''")&amp;"'")&amp;", "&amp;IF(TRIM(D163&amp;"")="","NULL","'"&amp;SUBSTITUTE(TRIM(D163),"'","''")&amp;"'")&amp;", "&amp;IF(TRIM(E163&amp;"")="","NULL","'"&amp;SUBSTITUTE(TRIM(E163),"'","''")&amp;"'")&amp;", "&amp;IF(TRIM(F163&amp;"")="","NULL","(SELECT id FROM gen_departamento WHERE upper(nombre) = upper('"&amp;SUBSTITUTE(TRIM(F163),"'","''")&amp;"') AND estado = 1 LIMIT 1)")&amp;", "&amp;IF(OR(TRIM(F163&amp;"")="",TRIM(G163&amp;"")=""),"NULL","(SELECT p.id FROM gen_provincia p JOIN gen_departamento dp ON dp.id = p.id_departamento WHERE upper(p.nombre) = upper('"&amp;SUBSTITUTE(TRIM(G163),"'","''")&amp;"') AND upper(dp.nombre) = upper('"&amp;SUBSTITUTE(TRIM(F163),"'","''")&amp;"') AND p.estado = 1 LIMIT 1)")&amp;", "&amp;IF(OR(TRIM(F163&amp;"")="",TRIM(G163&amp;"")="",TRIM(H163&amp;"")=""),"NULL","(SELECT d.id FROM gen_distrito d JOIN gen_provincia p ON p.id = d.id_provincia JOIN gen_departamento dp ON dp.id = p.id_departamento WHERE upper(d.nombre) = upper('"&amp;SUBSTITUTE(TRIM(H163),"'","''")&amp;"') AND upper(p.nombre) = upper('"&amp;SUBSTITUTE(TRIM(G163),"'","''")&amp;"') AND upper(dp.nombre) = upper('"&amp;SUBSTITUTE(TRIM(F163),"'","''")&amp;"') AND d.estado = 1 LIMIT 1)")&amp;", "&amp;IF(I163&amp;""="","NULL",SUBSTITUTE(I163&amp;"",",","."))&amp;", "&amp;IF(J163&amp;""="","NULL",SUBSTITUTE(J163&amp;"",",","."))&amp;", "&amp;IF(UPPER(TRIM(K163&amp;""))="SI","TRUE","FALSE")&amp;", 1"&amp;" WHERE NOT EXISTS (SELECT 1 FROM cli_direcciones x WHERE x.id_cliente = "&amp;"(SELECT id FROM cli_clientes WHERE numero_documento = '"&amp;SUBSTITUTE(TRIM(A163),"'","''")&amp;"' AND estado = 1 LIMIT 1)"&amp;" AND upper(x.direccion) = upper("&amp;IF(TRIM(D163&amp;"")="","NULL","'"&amp;SUBSTITUTE(TRIM(D163),"'","''")&amp;"'")&amp;"));")</f>
        <v/>
      </c>
    </row>
    <row r="164" ht="15.75" customHeight="1" s="64">
      <c r="A164" s="23" t="n"/>
      <c r="B164" s="25">
        <f t="array" ref="B164">IF(A164="","",IFERROR(IF(INDEX(Clientes!$D$5:$D$549,MATCH(A164,Clientes!$C$5:$C$549,0))&lt;&gt;"",INDEX(Clientes!$D$5:$D$549,MATCH(A164,Clientes!$C$5:$C$549,0)),TRIM(INDEX(Clientes!$E$5:$E$549,MATCH(A164,Clientes!$C$5:$C$549,0))&amp;" "&amp;INDEX(Clientes!$F$5:$F$549,MATCH(A164,Clientes!$C$5:$C$549,0)))),"NO EXISTE en Clientes"))</f>
        <v/>
      </c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>
        <f>IF(AND(A164="",D164=""),"",IF(A164="","FALTA doc. cliente",IF(B164="NO EXISTE en Clientes","CLIENTE no está en hoja Clientes",IF(D164="","FALTA dirección",IF(AND(H164&lt;&gt;"",OR(F164="",G164="")),"Distrito requiere departamento y provincia",IF(AND(G164&lt;&gt;"",F164=""),"Provincia requiere departamento",IF((I164&lt;&gt;"")&lt;&gt;(J164&lt;&gt;""),"Latitud y longitud van juntas","OK")))))))</f>
        <v/>
      </c>
      <c r="M164" s="28">
        <f>IF(L164&lt;&gt;"OK","","INSERT INTO cli_direcciones (id_cliente, descripcion, direccion, referencia, id_departamento, id_provincia, id_distrito, latitud, longitud, es_principal, estado) SELECT "&amp;"(SELECT id FROM cli_clientes WHERE numero_documento = '"&amp;SUBSTITUTE(TRIM(A164),"'","''")&amp;"' AND estado = 1 LIMIT 1)"&amp;", "&amp;IF(TRIM(C164&amp;"")="","NULL","'"&amp;SUBSTITUTE(TRIM(C164),"'","''")&amp;"'")&amp;", "&amp;IF(TRIM(D164&amp;"")="","NULL","'"&amp;SUBSTITUTE(TRIM(D164),"'","''")&amp;"'")&amp;", "&amp;IF(TRIM(E164&amp;"")="","NULL","'"&amp;SUBSTITUTE(TRIM(E164),"'","''")&amp;"'")&amp;", "&amp;IF(TRIM(F164&amp;"")="","NULL","(SELECT id FROM gen_departamento WHERE upper(nombre) = upper('"&amp;SUBSTITUTE(TRIM(F164),"'","''")&amp;"') AND estado = 1 LIMIT 1)")&amp;", "&amp;IF(OR(TRIM(F164&amp;"")="",TRIM(G164&amp;"")=""),"NULL","(SELECT p.id FROM gen_provincia p JOIN gen_departamento dp ON dp.id = p.id_departamento WHERE upper(p.nombre) = upper('"&amp;SUBSTITUTE(TRIM(G164),"'","''")&amp;"') AND upper(dp.nombre) = upper('"&amp;SUBSTITUTE(TRIM(F164),"'","''")&amp;"') AND p.estado = 1 LIMIT 1)")&amp;", "&amp;IF(OR(TRIM(F164&amp;"")="",TRIM(G164&amp;"")="",TRIM(H164&amp;"")=""),"NULL","(SELECT d.id FROM gen_distrito d JOIN gen_provincia p ON p.id = d.id_provincia JOIN gen_departamento dp ON dp.id = p.id_departamento WHERE upper(d.nombre) = upper('"&amp;SUBSTITUTE(TRIM(H164),"'","''")&amp;"') AND upper(p.nombre) = upper('"&amp;SUBSTITUTE(TRIM(G164),"'","''")&amp;"') AND upper(dp.nombre) = upper('"&amp;SUBSTITUTE(TRIM(F164),"'","''")&amp;"') AND d.estado = 1 LIMIT 1)")&amp;", "&amp;IF(I164&amp;""="","NULL",SUBSTITUTE(I164&amp;"",",","."))&amp;", "&amp;IF(J164&amp;""="","NULL",SUBSTITUTE(J164&amp;"",",","."))&amp;", "&amp;IF(UPPER(TRIM(K164&amp;""))="SI","TRUE","FALSE")&amp;", 1"&amp;" WHERE NOT EXISTS (SELECT 1 FROM cli_direcciones x WHERE x.id_cliente = "&amp;"(SELECT id FROM cli_clientes WHERE numero_documento = '"&amp;SUBSTITUTE(TRIM(A164),"'","''")&amp;"' AND estado = 1 LIMIT 1)"&amp;" AND upper(x.direccion) = upper("&amp;IF(TRIM(D164&amp;"")="","NULL","'"&amp;SUBSTITUTE(TRIM(D164),"'","''")&amp;"'")&amp;"));")</f>
        <v/>
      </c>
    </row>
    <row r="165" ht="15.75" customHeight="1" s="64">
      <c r="A165" s="23" t="n"/>
      <c r="B165" s="25">
        <f t="array" ref="B165">IF(A165="","",IFERROR(IF(INDEX(Clientes!$D$5:$D$549,MATCH(A165,Clientes!$C$5:$C$549,0))&lt;&gt;"",INDEX(Clientes!$D$5:$D$549,MATCH(A165,Clientes!$C$5:$C$549,0)),TRIM(INDEX(Clientes!$E$5:$E$549,MATCH(A165,Clientes!$C$5:$C$549,0))&amp;" "&amp;INDEX(Clientes!$F$5:$F$549,MATCH(A165,Clientes!$C$5:$C$549,0)))),"NO EXISTE en Clientes"))</f>
        <v/>
      </c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>
        <f>IF(AND(A165="",D165=""),"",IF(A165="","FALTA doc. cliente",IF(B165="NO EXISTE en Clientes","CLIENTE no está en hoja Clientes",IF(D165="","FALTA dirección",IF(AND(H165&lt;&gt;"",OR(F165="",G165="")),"Distrito requiere departamento y provincia",IF(AND(G165&lt;&gt;"",F165=""),"Provincia requiere departamento",IF((I165&lt;&gt;"")&lt;&gt;(J165&lt;&gt;""),"Latitud y longitud van juntas","OK")))))))</f>
        <v/>
      </c>
      <c r="M165" s="28">
        <f>IF(L165&lt;&gt;"OK","","INSERT INTO cli_direcciones (id_cliente, descripcion, direccion, referencia, id_departamento, id_provincia, id_distrito, latitud, longitud, es_principal, estado) SELECT "&amp;"(SELECT id FROM cli_clientes WHERE numero_documento = '"&amp;SUBSTITUTE(TRIM(A165),"'","''")&amp;"' AND estado = 1 LIMIT 1)"&amp;", "&amp;IF(TRIM(C165&amp;"")="","NULL","'"&amp;SUBSTITUTE(TRIM(C165),"'","''")&amp;"'")&amp;", "&amp;IF(TRIM(D165&amp;"")="","NULL","'"&amp;SUBSTITUTE(TRIM(D165),"'","''")&amp;"'")&amp;", "&amp;IF(TRIM(E165&amp;"")="","NULL","'"&amp;SUBSTITUTE(TRIM(E165),"'","''")&amp;"'")&amp;", "&amp;IF(TRIM(F165&amp;"")="","NULL","(SELECT id FROM gen_departamento WHERE upper(nombre) = upper('"&amp;SUBSTITUTE(TRIM(F165),"'","''")&amp;"') AND estado = 1 LIMIT 1)")&amp;", "&amp;IF(OR(TRIM(F165&amp;"")="",TRIM(G165&amp;"")=""),"NULL","(SELECT p.id FROM gen_provincia p JOIN gen_departamento dp ON dp.id = p.id_departamento WHERE upper(p.nombre) = upper('"&amp;SUBSTITUTE(TRIM(G165),"'","''")&amp;"') AND upper(dp.nombre) = upper('"&amp;SUBSTITUTE(TRIM(F165),"'","''")&amp;"') AND p.estado = 1 LIMIT 1)")&amp;", "&amp;IF(OR(TRIM(F165&amp;"")="",TRIM(G165&amp;"")="",TRIM(H165&amp;"")=""),"NULL","(SELECT d.id FROM gen_distrito d JOIN gen_provincia p ON p.id = d.id_provincia JOIN gen_departamento dp ON dp.id = p.id_departamento WHERE upper(d.nombre) = upper('"&amp;SUBSTITUTE(TRIM(H165),"'","''")&amp;"') AND upper(p.nombre) = upper('"&amp;SUBSTITUTE(TRIM(G165),"'","''")&amp;"') AND upper(dp.nombre) = upper('"&amp;SUBSTITUTE(TRIM(F165),"'","''")&amp;"') AND d.estado = 1 LIMIT 1)")&amp;", "&amp;IF(I165&amp;""="","NULL",SUBSTITUTE(I165&amp;"",",","."))&amp;", "&amp;IF(J165&amp;""="","NULL",SUBSTITUTE(J165&amp;"",",","."))&amp;", "&amp;IF(UPPER(TRIM(K165&amp;""))="SI","TRUE","FALSE")&amp;", 1"&amp;" WHERE NOT EXISTS (SELECT 1 FROM cli_direcciones x WHERE x.id_cliente = "&amp;"(SELECT id FROM cli_clientes WHERE numero_documento = '"&amp;SUBSTITUTE(TRIM(A165),"'","''")&amp;"' AND estado = 1 LIMIT 1)"&amp;" AND upper(x.direccion) = upper("&amp;IF(TRIM(D165&amp;"")="","NULL","'"&amp;SUBSTITUTE(TRIM(D165),"'","''")&amp;"'")&amp;"));")</f>
        <v/>
      </c>
    </row>
    <row r="166" ht="15.75" customHeight="1" s="64">
      <c r="A166" s="23" t="n"/>
      <c r="B166" s="25">
        <f t="array" ref="B166">IF(A166="","",IFERROR(IF(INDEX(Clientes!$D$5:$D$549,MATCH(A166,Clientes!$C$5:$C$549,0))&lt;&gt;"",INDEX(Clientes!$D$5:$D$549,MATCH(A166,Clientes!$C$5:$C$549,0)),TRIM(INDEX(Clientes!$E$5:$E$549,MATCH(A166,Clientes!$C$5:$C$549,0))&amp;" "&amp;INDEX(Clientes!$F$5:$F$549,MATCH(A166,Clientes!$C$5:$C$549,0)))),"NO EXISTE en Clientes"))</f>
        <v/>
      </c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>
        <f>IF(AND(A166="",D166=""),"",IF(A166="","FALTA doc. cliente",IF(B166="NO EXISTE en Clientes","CLIENTE no está en hoja Clientes",IF(D166="","FALTA dirección",IF(AND(H166&lt;&gt;"",OR(F166="",G166="")),"Distrito requiere departamento y provincia",IF(AND(G166&lt;&gt;"",F166=""),"Provincia requiere departamento",IF((I166&lt;&gt;"")&lt;&gt;(J166&lt;&gt;""),"Latitud y longitud van juntas","OK")))))))</f>
        <v/>
      </c>
      <c r="M166" s="28">
        <f>IF(L166&lt;&gt;"OK","","INSERT INTO cli_direcciones (id_cliente, descripcion, direccion, referencia, id_departamento, id_provincia, id_distrito, latitud, longitud, es_principal, estado) SELECT "&amp;"(SELECT id FROM cli_clientes WHERE numero_documento = '"&amp;SUBSTITUTE(TRIM(A166),"'","''")&amp;"' AND estado = 1 LIMIT 1)"&amp;", "&amp;IF(TRIM(C166&amp;"")="","NULL","'"&amp;SUBSTITUTE(TRIM(C166),"'","''")&amp;"'")&amp;", "&amp;IF(TRIM(D166&amp;"")="","NULL","'"&amp;SUBSTITUTE(TRIM(D166),"'","''")&amp;"'")&amp;", "&amp;IF(TRIM(E166&amp;"")="","NULL","'"&amp;SUBSTITUTE(TRIM(E166),"'","''")&amp;"'")&amp;", "&amp;IF(TRIM(F166&amp;"")="","NULL","(SELECT id FROM gen_departamento WHERE upper(nombre) = upper('"&amp;SUBSTITUTE(TRIM(F166),"'","''")&amp;"') AND estado = 1 LIMIT 1)")&amp;", "&amp;IF(OR(TRIM(F166&amp;"")="",TRIM(G166&amp;"")=""),"NULL","(SELECT p.id FROM gen_provincia p JOIN gen_departamento dp ON dp.id = p.id_departamento WHERE upper(p.nombre) = upper('"&amp;SUBSTITUTE(TRIM(G166),"'","''")&amp;"') AND upper(dp.nombre) = upper('"&amp;SUBSTITUTE(TRIM(F166),"'","''")&amp;"') AND p.estado = 1 LIMIT 1)")&amp;", "&amp;IF(OR(TRIM(F166&amp;"")="",TRIM(G166&amp;"")="",TRIM(H166&amp;"")=""),"NULL","(SELECT d.id FROM gen_distrito d JOIN gen_provincia p ON p.id = d.id_provincia JOIN gen_departamento dp ON dp.id = p.id_departamento WHERE upper(d.nombre) = upper('"&amp;SUBSTITUTE(TRIM(H166),"'","''")&amp;"') AND upper(p.nombre) = upper('"&amp;SUBSTITUTE(TRIM(G166),"'","''")&amp;"') AND upper(dp.nombre) = upper('"&amp;SUBSTITUTE(TRIM(F166),"'","''")&amp;"') AND d.estado = 1 LIMIT 1)")&amp;", "&amp;IF(I166&amp;""="","NULL",SUBSTITUTE(I166&amp;"",",","."))&amp;", "&amp;IF(J166&amp;""="","NULL",SUBSTITUTE(J166&amp;"",",","."))&amp;", "&amp;IF(UPPER(TRIM(K166&amp;""))="SI","TRUE","FALSE")&amp;", 1"&amp;" WHERE NOT EXISTS (SELECT 1 FROM cli_direcciones x WHERE x.id_cliente = "&amp;"(SELECT id FROM cli_clientes WHERE numero_documento = '"&amp;SUBSTITUTE(TRIM(A166),"'","''")&amp;"' AND estado = 1 LIMIT 1)"&amp;" AND upper(x.direccion) = upper("&amp;IF(TRIM(D166&amp;"")="","NULL","'"&amp;SUBSTITUTE(TRIM(D166),"'","''")&amp;"'")&amp;"));")</f>
        <v/>
      </c>
    </row>
    <row r="167" ht="15.75" customHeight="1" s="64">
      <c r="A167" s="23" t="n"/>
      <c r="B167" s="25">
        <f t="array" ref="B167">IF(A167="","",IFERROR(IF(INDEX(Clientes!$D$5:$D$549,MATCH(A167,Clientes!$C$5:$C$549,0))&lt;&gt;"",INDEX(Clientes!$D$5:$D$549,MATCH(A167,Clientes!$C$5:$C$549,0)),TRIM(INDEX(Clientes!$E$5:$E$549,MATCH(A167,Clientes!$C$5:$C$549,0))&amp;" "&amp;INDEX(Clientes!$F$5:$F$549,MATCH(A167,Clientes!$C$5:$C$549,0)))),"NO EXISTE en Clientes"))</f>
        <v/>
      </c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>
        <f>IF(AND(A167="",D167=""),"",IF(A167="","FALTA doc. cliente",IF(B167="NO EXISTE en Clientes","CLIENTE no está en hoja Clientes",IF(D167="","FALTA dirección",IF(AND(H167&lt;&gt;"",OR(F167="",G167="")),"Distrito requiere departamento y provincia",IF(AND(G167&lt;&gt;"",F167=""),"Provincia requiere departamento",IF((I167&lt;&gt;"")&lt;&gt;(J167&lt;&gt;""),"Latitud y longitud van juntas","OK")))))))</f>
        <v/>
      </c>
      <c r="M167" s="28">
        <f>IF(L167&lt;&gt;"OK","","INSERT INTO cli_direcciones (id_cliente, descripcion, direccion, referencia, id_departamento, id_provincia, id_distrito, latitud, longitud, es_principal, estado) SELECT "&amp;"(SELECT id FROM cli_clientes WHERE numero_documento = '"&amp;SUBSTITUTE(TRIM(A167),"'","''")&amp;"' AND estado = 1 LIMIT 1)"&amp;", "&amp;IF(TRIM(C167&amp;"")="","NULL","'"&amp;SUBSTITUTE(TRIM(C167),"'","''")&amp;"'")&amp;", "&amp;IF(TRIM(D167&amp;"")="","NULL","'"&amp;SUBSTITUTE(TRIM(D167),"'","''")&amp;"'")&amp;", "&amp;IF(TRIM(E167&amp;"")="","NULL","'"&amp;SUBSTITUTE(TRIM(E167),"'","''")&amp;"'")&amp;", "&amp;IF(TRIM(F167&amp;"")="","NULL","(SELECT id FROM gen_departamento WHERE upper(nombre) = upper('"&amp;SUBSTITUTE(TRIM(F167),"'","''")&amp;"') AND estado = 1 LIMIT 1)")&amp;", "&amp;IF(OR(TRIM(F167&amp;"")="",TRIM(G167&amp;"")=""),"NULL","(SELECT p.id FROM gen_provincia p JOIN gen_departamento dp ON dp.id = p.id_departamento WHERE upper(p.nombre) = upper('"&amp;SUBSTITUTE(TRIM(G167),"'","''")&amp;"') AND upper(dp.nombre) = upper('"&amp;SUBSTITUTE(TRIM(F167),"'","''")&amp;"') AND p.estado = 1 LIMIT 1)")&amp;", "&amp;IF(OR(TRIM(F167&amp;"")="",TRIM(G167&amp;"")="",TRIM(H167&amp;"")=""),"NULL","(SELECT d.id FROM gen_distrito d JOIN gen_provincia p ON p.id = d.id_provincia JOIN gen_departamento dp ON dp.id = p.id_departamento WHERE upper(d.nombre) = upper('"&amp;SUBSTITUTE(TRIM(H167),"'","''")&amp;"') AND upper(p.nombre) = upper('"&amp;SUBSTITUTE(TRIM(G167),"'","''")&amp;"') AND upper(dp.nombre) = upper('"&amp;SUBSTITUTE(TRIM(F167),"'","''")&amp;"') AND d.estado = 1 LIMIT 1)")&amp;", "&amp;IF(I167&amp;""="","NULL",SUBSTITUTE(I167&amp;"",",","."))&amp;", "&amp;IF(J167&amp;""="","NULL",SUBSTITUTE(J167&amp;"",",","."))&amp;", "&amp;IF(UPPER(TRIM(K167&amp;""))="SI","TRUE","FALSE")&amp;", 1"&amp;" WHERE NOT EXISTS (SELECT 1 FROM cli_direcciones x WHERE x.id_cliente = "&amp;"(SELECT id FROM cli_clientes WHERE numero_documento = '"&amp;SUBSTITUTE(TRIM(A167),"'","''")&amp;"' AND estado = 1 LIMIT 1)"&amp;" AND upper(x.direccion) = upper("&amp;IF(TRIM(D167&amp;"")="","NULL","'"&amp;SUBSTITUTE(TRIM(D167),"'","''")&amp;"'")&amp;"));")</f>
        <v/>
      </c>
    </row>
    <row r="168" ht="15.75" customHeight="1" s="64">
      <c r="A168" s="23" t="n"/>
      <c r="B168" s="25">
        <f t="array" ref="B168">IF(A168="","",IFERROR(IF(INDEX(Clientes!$D$5:$D$549,MATCH(A168,Clientes!$C$5:$C$549,0))&lt;&gt;"",INDEX(Clientes!$D$5:$D$549,MATCH(A168,Clientes!$C$5:$C$549,0)),TRIM(INDEX(Clientes!$E$5:$E$549,MATCH(A168,Clientes!$C$5:$C$549,0))&amp;" "&amp;INDEX(Clientes!$F$5:$F$549,MATCH(A168,Clientes!$C$5:$C$549,0)))),"NO EXISTE en Clientes"))</f>
        <v/>
      </c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>
        <f>IF(AND(A168="",D168=""),"",IF(A168="","FALTA doc. cliente",IF(B168="NO EXISTE en Clientes","CLIENTE no está en hoja Clientes",IF(D168="","FALTA dirección",IF(AND(H168&lt;&gt;"",OR(F168="",G168="")),"Distrito requiere departamento y provincia",IF(AND(G168&lt;&gt;"",F168=""),"Provincia requiere departamento",IF((I168&lt;&gt;"")&lt;&gt;(J168&lt;&gt;""),"Latitud y longitud van juntas","OK")))))))</f>
        <v/>
      </c>
      <c r="M168" s="28">
        <f>IF(L168&lt;&gt;"OK","","INSERT INTO cli_direcciones (id_cliente, descripcion, direccion, referencia, id_departamento, id_provincia, id_distrito, latitud, longitud, es_principal, estado) SELECT "&amp;"(SELECT id FROM cli_clientes WHERE numero_documento = '"&amp;SUBSTITUTE(TRIM(A168),"'","''")&amp;"' AND estado = 1 LIMIT 1)"&amp;", "&amp;IF(TRIM(C168&amp;"")="","NULL","'"&amp;SUBSTITUTE(TRIM(C168),"'","''")&amp;"'")&amp;", "&amp;IF(TRIM(D168&amp;"")="","NULL","'"&amp;SUBSTITUTE(TRIM(D168),"'","''")&amp;"'")&amp;", "&amp;IF(TRIM(E168&amp;"")="","NULL","'"&amp;SUBSTITUTE(TRIM(E168),"'","''")&amp;"'")&amp;", "&amp;IF(TRIM(F168&amp;"")="","NULL","(SELECT id FROM gen_departamento WHERE upper(nombre) = upper('"&amp;SUBSTITUTE(TRIM(F168),"'","''")&amp;"') AND estado = 1 LIMIT 1)")&amp;", "&amp;IF(OR(TRIM(F168&amp;"")="",TRIM(G168&amp;"")=""),"NULL","(SELECT p.id FROM gen_provincia p JOIN gen_departamento dp ON dp.id = p.id_departamento WHERE upper(p.nombre) = upper('"&amp;SUBSTITUTE(TRIM(G168),"'","''")&amp;"') AND upper(dp.nombre) = upper('"&amp;SUBSTITUTE(TRIM(F168),"'","''")&amp;"') AND p.estado = 1 LIMIT 1)")&amp;", "&amp;IF(OR(TRIM(F168&amp;"")="",TRIM(G168&amp;"")="",TRIM(H168&amp;"")=""),"NULL","(SELECT d.id FROM gen_distrito d JOIN gen_provincia p ON p.id = d.id_provincia JOIN gen_departamento dp ON dp.id = p.id_departamento WHERE upper(d.nombre) = upper('"&amp;SUBSTITUTE(TRIM(H168),"'","''")&amp;"') AND upper(p.nombre) = upper('"&amp;SUBSTITUTE(TRIM(G168),"'","''")&amp;"') AND upper(dp.nombre) = upper('"&amp;SUBSTITUTE(TRIM(F168),"'","''")&amp;"') AND d.estado = 1 LIMIT 1)")&amp;", "&amp;IF(I168&amp;""="","NULL",SUBSTITUTE(I168&amp;"",",","."))&amp;", "&amp;IF(J168&amp;""="","NULL",SUBSTITUTE(J168&amp;"",",","."))&amp;", "&amp;IF(UPPER(TRIM(K168&amp;""))="SI","TRUE","FALSE")&amp;", 1"&amp;" WHERE NOT EXISTS (SELECT 1 FROM cli_direcciones x WHERE x.id_cliente = "&amp;"(SELECT id FROM cli_clientes WHERE numero_documento = '"&amp;SUBSTITUTE(TRIM(A168),"'","''")&amp;"' AND estado = 1 LIMIT 1)"&amp;" AND upper(x.direccion) = upper("&amp;IF(TRIM(D168&amp;"")="","NULL","'"&amp;SUBSTITUTE(TRIM(D168),"'","''")&amp;"'")&amp;"));")</f>
        <v/>
      </c>
    </row>
    <row r="169" ht="15.75" customHeight="1" s="64">
      <c r="A169" s="23" t="n"/>
      <c r="B169" s="25">
        <f t="array" ref="B169">IF(A169="","",IFERROR(IF(INDEX(Clientes!$D$5:$D$549,MATCH(A169,Clientes!$C$5:$C$549,0))&lt;&gt;"",INDEX(Clientes!$D$5:$D$549,MATCH(A169,Clientes!$C$5:$C$549,0)),TRIM(INDEX(Clientes!$E$5:$E$549,MATCH(A169,Clientes!$C$5:$C$549,0))&amp;" "&amp;INDEX(Clientes!$F$5:$F$549,MATCH(A169,Clientes!$C$5:$C$549,0)))),"NO EXISTE en Clientes"))</f>
        <v/>
      </c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>
        <f>IF(AND(A169="",D169=""),"",IF(A169="","FALTA doc. cliente",IF(B169="NO EXISTE en Clientes","CLIENTE no está en hoja Clientes",IF(D169="","FALTA dirección",IF(AND(H169&lt;&gt;"",OR(F169="",G169="")),"Distrito requiere departamento y provincia",IF(AND(G169&lt;&gt;"",F169=""),"Provincia requiere departamento",IF((I169&lt;&gt;"")&lt;&gt;(J169&lt;&gt;""),"Latitud y longitud van juntas","OK")))))))</f>
        <v/>
      </c>
      <c r="M169" s="28">
        <f>IF(L169&lt;&gt;"OK","","INSERT INTO cli_direcciones (id_cliente, descripcion, direccion, referencia, id_departamento, id_provincia, id_distrito, latitud, longitud, es_principal, estado) SELECT "&amp;"(SELECT id FROM cli_clientes WHERE numero_documento = '"&amp;SUBSTITUTE(TRIM(A169),"'","''")&amp;"' AND estado = 1 LIMIT 1)"&amp;", "&amp;IF(TRIM(C169&amp;"")="","NULL","'"&amp;SUBSTITUTE(TRIM(C169),"'","''")&amp;"'")&amp;", "&amp;IF(TRIM(D169&amp;"")="","NULL","'"&amp;SUBSTITUTE(TRIM(D169),"'","''")&amp;"'")&amp;", "&amp;IF(TRIM(E169&amp;"")="","NULL","'"&amp;SUBSTITUTE(TRIM(E169),"'","''")&amp;"'")&amp;", "&amp;IF(TRIM(F169&amp;"")="","NULL","(SELECT id FROM gen_departamento WHERE upper(nombre) = upper('"&amp;SUBSTITUTE(TRIM(F169),"'","''")&amp;"') AND estado = 1 LIMIT 1)")&amp;", "&amp;IF(OR(TRIM(F169&amp;"")="",TRIM(G169&amp;"")=""),"NULL","(SELECT p.id FROM gen_provincia p JOIN gen_departamento dp ON dp.id = p.id_departamento WHERE upper(p.nombre) = upper('"&amp;SUBSTITUTE(TRIM(G169),"'","''")&amp;"') AND upper(dp.nombre) = upper('"&amp;SUBSTITUTE(TRIM(F169),"'","''")&amp;"') AND p.estado = 1 LIMIT 1)")&amp;", "&amp;IF(OR(TRIM(F169&amp;"")="",TRIM(G169&amp;"")="",TRIM(H169&amp;"")=""),"NULL","(SELECT d.id FROM gen_distrito d JOIN gen_provincia p ON p.id = d.id_provincia JOIN gen_departamento dp ON dp.id = p.id_departamento WHERE upper(d.nombre) = upper('"&amp;SUBSTITUTE(TRIM(H169),"'","''")&amp;"') AND upper(p.nombre) = upper('"&amp;SUBSTITUTE(TRIM(G169),"'","''")&amp;"') AND upper(dp.nombre) = upper('"&amp;SUBSTITUTE(TRIM(F169),"'","''")&amp;"') AND d.estado = 1 LIMIT 1)")&amp;", "&amp;IF(I169&amp;""="","NULL",SUBSTITUTE(I169&amp;"",",","."))&amp;", "&amp;IF(J169&amp;""="","NULL",SUBSTITUTE(J169&amp;"",",","."))&amp;", "&amp;IF(UPPER(TRIM(K169&amp;""))="SI","TRUE","FALSE")&amp;", 1"&amp;" WHERE NOT EXISTS (SELECT 1 FROM cli_direcciones x WHERE x.id_cliente = "&amp;"(SELECT id FROM cli_clientes WHERE numero_documento = '"&amp;SUBSTITUTE(TRIM(A169),"'","''")&amp;"' AND estado = 1 LIMIT 1)"&amp;" AND upper(x.direccion) = upper("&amp;IF(TRIM(D169&amp;"")="","NULL","'"&amp;SUBSTITUTE(TRIM(D169),"'","''")&amp;"'")&amp;"));")</f>
        <v/>
      </c>
    </row>
    <row r="170" ht="15.75" customHeight="1" s="64">
      <c r="A170" s="23" t="n"/>
      <c r="B170" s="25">
        <f t="array" ref="B170">IF(A170="","",IFERROR(IF(INDEX(Clientes!$D$5:$D$549,MATCH(A170,Clientes!$C$5:$C$549,0))&lt;&gt;"",INDEX(Clientes!$D$5:$D$549,MATCH(A170,Clientes!$C$5:$C$549,0)),TRIM(INDEX(Clientes!$E$5:$E$549,MATCH(A170,Clientes!$C$5:$C$549,0))&amp;" "&amp;INDEX(Clientes!$F$5:$F$549,MATCH(A170,Clientes!$C$5:$C$549,0)))),"NO EXISTE en Clientes"))</f>
        <v/>
      </c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>
        <f>IF(AND(A170="",D170=""),"",IF(A170="","FALTA doc. cliente",IF(B170="NO EXISTE en Clientes","CLIENTE no está en hoja Clientes",IF(D170="","FALTA dirección",IF(AND(H170&lt;&gt;"",OR(F170="",G170="")),"Distrito requiere departamento y provincia",IF(AND(G170&lt;&gt;"",F170=""),"Provincia requiere departamento",IF((I170&lt;&gt;"")&lt;&gt;(J170&lt;&gt;""),"Latitud y longitud van juntas","OK")))))))</f>
        <v/>
      </c>
      <c r="M170" s="28">
        <f>IF(L170&lt;&gt;"OK","","INSERT INTO cli_direcciones (id_cliente, descripcion, direccion, referencia, id_departamento, id_provincia, id_distrito, latitud, longitud, es_principal, estado) SELECT "&amp;"(SELECT id FROM cli_clientes WHERE numero_documento = '"&amp;SUBSTITUTE(TRIM(A170),"'","''")&amp;"' AND estado = 1 LIMIT 1)"&amp;", "&amp;IF(TRIM(C170&amp;"")="","NULL","'"&amp;SUBSTITUTE(TRIM(C170),"'","''")&amp;"'")&amp;", "&amp;IF(TRIM(D170&amp;"")="","NULL","'"&amp;SUBSTITUTE(TRIM(D170),"'","''")&amp;"'")&amp;", "&amp;IF(TRIM(E170&amp;"")="","NULL","'"&amp;SUBSTITUTE(TRIM(E170),"'","''")&amp;"'")&amp;", "&amp;IF(TRIM(F170&amp;"")="","NULL","(SELECT id FROM gen_departamento WHERE upper(nombre) = upper('"&amp;SUBSTITUTE(TRIM(F170),"'","''")&amp;"') AND estado = 1 LIMIT 1)")&amp;", "&amp;IF(OR(TRIM(F170&amp;"")="",TRIM(G170&amp;"")=""),"NULL","(SELECT p.id FROM gen_provincia p JOIN gen_departamento dp ON dp.id = p.id_departamento WHERE upper(p.nombre) = upper('"&amp;SUBSTITUTE(TRIM(G170),"'","''")&amp;"') AND upper(dp.nombre) = upper('"&amp;SUBSTITUTE(TRIM(F170),"'","''")&amp;"') AND p.estado = 1 LIMIT 1)")&amp;", "&amp;IF(OR(TRIM(F170&amp;"")="",TRIM(G170&amp;"")="",TRIM(H170&amp;"")=""),"NULL","(SELECT d.id FROM gen_distrito d JOIN gen_provincia p ON p.id = d.id_provincia JOIN gen_departamento dp ON dp.id = p.id_departamento WHERE upper(d.nombre) = upper('"&amp;SUBSTITUTE(TRIM(H170),"'","''")&amp;"') AND upper(p.nombre) = upper('"&amp;SUBSTITUTE(TRIM(G170),"'","''")&amp;"') AND upper(dp.nombre) = upper('"&amp;SUBSTITUTE(TRIM(F170),"'","''")&amp;"') AND d.estado = 1 LIMIT 1)")&amp;", "&amp;IF(I170&amp;""="","NULL",SUBSTITUTE(I170&amp;"",",","."))&amp;", "&amp;IF(J170&amp;""="","NULL",SUBSTITUTE(J170&amp;"",",","."))&amp;", "&amp;IF(UPPER(TRIM(K170&amp;""))="SI","TRUE","FALSE")&amp;", 1"&amp;" WHERE NOT EXISTS (SELECT 1 FROM cli_direcciones x WHERE x.id_cliente = "&amp;"(SELECT id FROM cli_clientes WHERE numero_documento = '"&amp;SUBSTITUTE(TRIM(A170),"'","''")&amp;"' AND estado = 1 LIMIT 1)"&amp;" AND upper(x.direccion) = upper("&amp;IF(TRIM(D170&amp;"")="","NULL","'"&amp;SUBSTITUTE(TRIM(D170),"'","''")&amp;"'")&amp;"));")</f>
        <v/>
      </c>
    </row>
    <row r="171" ht="15.75" customHeight="1" s="64">
      <c r="A171" s="23" t="n"/>
      <c r="B171" s="25">
        <f t="array" ref="B171">IF(A171="","",IFERROR(IF(INDEX(Clientes!$D$5:$D$549,MATCH(A171,Clientes!$C$5:$C$549,0))&lt;&gt;"",INDEX(Clientes!$D$5:$D$549,MATCH(A171,Clientes!$C$5:$C$549,0)),TRIM(INDEX(Clientes!$E$5:$E$549,MATCH(A171,Clientes!$C$5:$C$549,0))&amp;" "&amp;INDEX(Clientes!$F$5:$F$549,MATCH(A171,Clientes!$C$5:$C$549,0)))),"NO EXISTE en Clientes"))</f>
        <v/>
      </c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>
        <f>IF(AND(A171="",D171=""),"",IF(A171="","FALTA doc. cliente",IF(B171="NO EXISTE en Clientes","CLIENTE no está en hoja Clientes",IF(D171="","FALTA dirección",IF(AND(H171&lt;&gt;"",OR(F171="",G171="")),"Distrito requiere departamento y provincia",IF(AND(G171&lt;&gt;"",F171=""),"Provincia requiere departamento",IF((I171&lt;&gt;"")&lt;&gt;(J171&lt;&gt;""),"Latitud y longitud van juntas","OK")))))))</f>
        <v/>
      </c>
      <c r="M171" s="28">
        <f>IF(L171&lt;&gt;"OK","","INSERT INTO cli_direcciones (id_cliente, descripcion, direccion, referencia, id_departamento, id_provincia, id_distrito, latitud, longitud, es_principal, estado) SELECT "&amp;"(SELECT id FROM cli_clientes WHERE numero_documento = '"&amp;SUBSTITUTE(TRIM(A171),"'","''")&amp;"' AND estado = 1 LIMIT 1)"&amp;", "&amp;IF(TRIM(C171&amp;"")="","NULL","'"&amp;SUBSTITUTE(TRIM(C171),"'","''")&amp;"'")&amp;", "&amp;IF(TRIM(D171&amp;"")="","NULL","'"&amp;SUBSTITUTE(TRIM(D171),"'","''")&amp;"'")&amp;", "&amp;IF(TRIM(E171&amp;"")="","NULL","'"&amp;SUBSTITUTE(TRIM(E171),"'","''")&amp;"'")&amp;", "&amp;IF(TRIM(F171&amp;"")="","NULL","(SELECT id FROM gen_departamento WHERE upper(nombre) = upper('"&amp;SUBSTITUTE(TRIM(F171),"'","''")&amp;"') AND estado = 1 LIMIT 1)")&amp;", "&amp;IF(OR(TRIM(F171&amp;"")="",TRIM(G171&amp;"")=""),"NULL","(SELECT p.id FROM gen_provincia p JOIN gen_departamento dp ON dp.id = p.id_departamento WHERE upper(p.nombre) = upper('"&amp;SUBSTITUTE(TRIM(G171),"'","''")&amp;"') AND upper(dp.nombre) = upper('"&amp;SUBSTITUTE(TRIM(F171),"'","''")&amp;"') AND p.estado = 1 LIMIT 1)")&amp;", "&amp;IF(OR(TRIM(F171&amp;"")="",TRIM(G171&amp;"")="",TRIM(H171&amp;"")=""),"NULL","(SELECT d.id FROM gen_distrito d JOIN gen_provincia p ON p.id = d.id_provincia JOIN gen_departamento dp ON dp.id = p.id_departamento WHERE upper(d.nombre) = upper('"&amp;SUBSTITUTE(TRIM(H171),"'","''")&amp;"') AND upper(p.nombre) = upper('"&amp;SUBSTITUTE(TRIM(G171),"'","''")&amp;"') AND upper(dp.nombre) = upper('"&amp;SUBSTITUTE(TRIM(F171),"'","''")&amp;"') AND d.estado = 1 LIMIT 1)")&amp;", "&amp;IF(I171&amp;""="","NULL",SUBSTITUTE(I171&amp;"",",","."))&amp;", "&amp;IF(J171&amp;""="","NULL",SUBSTITUTE(J171&amp;"",",","."))&amp;", "&amp;IF(UPPER(TRIM(K171&amp;""))="SI","TRUE","FALSE")&amp;", 1"&amp;" WHERE NOT EXISTS (SELECT 1 FROM cli_direcciones x WHERE x.id_cliente = "&amp;"(SELECT id FROM cli_clientes WHERE numero_documento = '"&amp;SUBSTITUTE(TRIM(A171),"'","''")&amp;"' AND estado = 1 LIMIT 1)"&amp;" AND upper(x.direccion) = upper("&amp;IF(TRIM(D171&amp;"")="","NULL","'"&amp;SUBSTITUTE(TRIM(D171),"'","''")&amp;"'")&amp;"));")</f>
        <v/>
      </c>
    </row>
    <row r="172" ht="15.75" customHeight="1" s="64">
      <c r="A172" s="23" t="n"/>
      <c r="B172" s="25">
        <f t="array" ref="B172">IF(A172="","",IFERROR(IF(INDEX(Clientes!$D$5:$D$549,MATCH(A172,Clientes!$C$5:$C$549,0))&lt;&gt;"",INDEX(Clientes!$D$5:$D$549,MATCH(A172,Clientes!$C$5:$C$549,0)),TRIM(INDEX(Clientes!$E$5:$E$549,MATCH(A172,Clientes!$C$5:$C$549,0))&amp;" "&amp;INDEX(Clientes!$F$5:$F$549,MATCH(A172,Clientes!$C$5:$C$549,0)))),"NO EXISTE en Clientes"))</f>
        <v/>
      </c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>
        <f>IF(AND(A172="",D172=""),"",IF(A172="","FALTA doc. cliente",IF(B172="NO EXISTE en Clientes","CLIENTE no está en hoja Clientes",IF(D172="","FALTA dirección",IF(AND(H172&lt;&gt;"",OR(F172="",G172="")),"Distrito requiere departamento y provincia",IF(AND(G172&lt;&gt;"",F172=""),"Provincia requiere departamento",IF((I172&lt;&gt;"")&lt;&gt;(J172&lt;&gt;""),"Latitud y longitud van juntas","OK")))))))</f>
        <v/>
      </c>
      <c r="M172" s="28">
        <f>IF(L172&lt;&gt;"OK","","INSERT INTO cli_direcciones (id_cliente, descripcion, direccion, referencia, id_departamento, id_provincia, id_distrito, latitud, longitud, es_principal, estado) SELECT "&amp;"(SELECT id FROM cli_clientes WHERE numero_documento = '"&amp;SUBSTITUTE(TRIM(A172),"'","''")&amp;"' AND estado = 1 LIMIT 1)"&amp;", "&amp;IF(TRIM(C172&amp;"")="","NULL","'"&amp;SUBSTITUTE(TRIM(C172),"'","''")&amp;"'")&amp;", "&amp;IF(TRIM(D172&amp;"")="","NULL","'"&amp;SUBSTITUTE(TRIM(D172),"'","''")&amp;"'")&amp;", "&amp;IF(TRIM(E172&amp;"")="","NULL","'"&amp;SUBSTITUTE(TRIM(E172),"'","''")&amp;"'")&amp;", "&amp;IF(TRIM(F172&amp;"")="","NULL","(SELECT id FROM gen_departamento WHERE upper(nombre) = upper('"&amp;SUBSTITUTE(TRIM(F172),"'","''")&amp;"') AND estado = 1 LIMIT 1)")&amp;", "&amp;IF(OR(TRIM(F172&amp;"")="",TRIM(G172&amp;"")=""),"NULL","(SELECT p.id FROM gen_provincia p JOIN gen_departamento dp ON dp.id = p.id_departamento WHERE upper(p.nombre) = upper('"&amp;SUBSTITUTE(TRIM(G172),"'","''")&amp;"') AND upper(dp.nombre) = upper('"&amp;SUBSTITUTE(TRIM(F172),"'","''")&amp;"') AND p.estado = 1 LIMIT 1)")&amp;", "&amp;IF(OR(TRIM(F172&amp;"")="",TRIM(G172&amp;"")="",TRIM(H172&amp;"")=""),"NULL","(SELECT d.id FROM gen_distrito d JOIN gen_provincia p ON p.id = d.id_provincia JOIN gen_departamento dp ON dp.id = p.id_departamento WHERE upper(d.nombre) = upper('"&amp;SUBSTITUTE(TRIM(H172),"'","''")&amp;"') AND upper(p.nombre) = upper('"&amp;SUBSTITUTE(TRIM(G172),"'","''")&amp;"') AND upper(dp.nombre) = upper('"&amp;SUBSTITUTE(TRIM(F172),"'","''")&amp;"') AND d.estado = 1 LIMIT 1)")&amp;", "&amp;IF(I172&amp;""="","NULL",SUBSTITUTE(I172&amp;"",",","."))&amp;", "&amp;IF(J172&amp;""="","NULL",SUBSTITUTE(J172&amp;"",",","."))&amp;", "&amp;IF(UPPER(TRIM(K172&amp;""))="SI","TRUE","FALSE")&amp;", 1"&amp;" WHERE NOT EXISTS (SELECT 1 FROM cli_direcciones x WHERE x.id_cliente = "&amp;"(SELECT id FROM cli_clientes WHERE numero_documento = '"&amp;SUBSTITUTE(TRIM(A172),"'","''")&amp;"' AND estado = 1 LIMIT 1)"&amp;" AND upper(x.direccion) = upper("&amp;IF(TRIM(D172&amp;"")="","NULL","'"&amp;SUBSTITUTE(TRIM(D172),"'","''")&amp;"'")&amp;"));")</f>
        <v/>
      </c>
    </row>
    <row r="173" ht="15.75" customHeight="1" s="64">
      <c r="A173" s="23" t="n"/>
      <c r="B173" s="25">
        <f t="array" ref="B173">IF(A173="","",IFERROR(IF(INDEX(Clientes!$D$5:$D$549,MATCH(A173,Clientes!$C$5:$C$549,0))&lt;&gt;"",INDEX(Clientes!$D$5:$D$549,MATCH(A173,Clientes!$C$5:$C$549,0)),TRIM(INDEX(Clientes!$E$5:$E$549,MATCH(A173,Clientes!$C$5:$C$549,0))&amp;" "&amp;INDEX(Clientes!$F$5:$F$549,MATCH(A173,Clientes!$C$5:$C$549,0)))),"NO EXISTE en Clientes"))</f>
        <v/>
      </c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>
        <f>IF(AND(A173="",D173=""),"",IF(A173="","FALTA doc. cliente",IF(B173="NO EXISTE en Clientes","CLIENTE no está en hoja Clientes",IF(D173="","FALTA dirección",IF(AND(H173&lt;&gt;"",OR(F173="",G173="")),"Distrito requiere departamento y provincia",IF(AND(G173&lt;&gt;"",F173=""),"Provincia requiere departamento",IF((I173&lt;&gt;"")&lt;&gt;(J173&lt;&gt;""),"Latitud y longitud van juntas","OK")))))))</f>
        <v/>
      </c>
      <c r="M173" s="28">
        <f>IF(L173&lt;&gt;"OK","","INSERT INTO cli_direcciones (id_cliente, descripcion, direccion, referencia, id_departamento, id_provincia, id_distrito, latitud, longitud, es_principal, estado) SELECT "&amp;"(SELECT id FROM cli_clientes WHERE numero_documento = '"&amp;SUBSTITUTE(TRIM(A173),"'","''")&amp;"' AND estado = 1 LIMIT 1)"&amp;", "&amp;IF(TRIM(C173&amp;"")="","NULL","'"&amp;SUBSTITUTE(TRIM(C173),"'","''")&amp;"'")&amp;", "&amp;IF(TRIM(D173&amp;"")="","NULL","'"&amp;SUBSTITUTE(TRIM(D173),"'","''")&amp;"'")&amp;", "&amp;IF(TRIM(E173&amp;"")="","NULL","'"&amp;SUBSTITUTE(TRIM(E173),"'","''")&amp;"'")&amp;", "&amp;IF(TRIM(F173&amp;"")="","NULL","(SELECT id FROM gen_departamento WHERE upper(nombre) = upper('"&amp;SUBSTITUTE(TRIM(F173),"'","''")&amp;"') AND estado = 1 LIMIT 1)")&amp;", "&amp;IF(OR(TRIM(F173&amp;"")="",TRIM(G173&amp;"")=""),"NULL","(SELECT p.id FROM gen_provincia p JOIN gen_departamento dp ON dp.id = p.id_departamento WHERE upper(p.nombre) = upper('"&amp;SUBSTITUTE(TRIM(G173),"'","''")&amp;"') AND upper(dp.nombre) = upper('"&amp;SUBSTITUTE(TRIM(F173),"'","''")&amp;"') AND p.estado = 1 LIMIT 1)")&amp;", "&amp;IF(OR(TRIM(F173&amp;"")="",TRIM(G173&amp;"")="",TRIM(H173&amp;"")=""),"NULL","(SELECT d.id FROM gen_distrito d JOIN gen_provincia p ON p.id = d.id_provincia JOIN gen_departamento dp ON dp.id = p.id_departamento WHERE upper(d.nombre) = upper('"&amp;SUBSTITUTE(TRIM(H173),"'","''")&amp;"') AND upper(p.nombre) = upper('"&amp;SUBSTITUTE(TRIM(G173),"'","''")&amp;"') AND upper(dp.nombre) = upper('"&amp;SUBSTITUTE(TRIM(F173),"'","''")&amp;"') AND d.estado = 1 LIMIT 1)")&amp;", "&amp;IF(I173&amp;""="","NULL",SUBSTITUTE(I173&amp;"",",","."))&amp;", "&amp;IF(J173&amp;""="","NULL",SUBSTITUTE(J173&amp;"",",","."))&amp;", "&amp;IF(UPPER(TRIM(K173&amp;""))="SI","TRUE","FALSE")&amp;", 1"&amp;" WHERE NOT EXISTS (SELECT 1 FROM cli_direcciones x WHERE x.id_cliente = "&amp;"(SELECT id FROM cli_clientes WHERE numero_documento = '"&amp;SUBSTITUTE(TRIM(A173),"'","''")&amp;"' AND estado = 1 LIMIT 1)"&amp;" AND upper(x.direccion) = upper("&amp;IF(TRIM(D173&amp;"")="","NULL","'"&amp;SUBSTITUTE(TRIM(D173),"'","''")&amp;"'")&amp;"));")</f>
        <v/>
      </c>
    </row>
    <row r="174" ht="15.75" customHeight="1" s="64">
      <c r="A174" s="23" t="n"/>
      <c r="B174" s="25">
        <f t="array" ref="B174">IF(A174="","",IFERROR(IF(INDEX(Clientes!$D$5:$D$549,MATCH(A174,Clientes!$C$5:$C$549,0))&lt;&gt;"",INDEX(Clientes!$D$5:$D$549,MATCH(A174,Clientes!$C$5:$C$549,0)),TRIM(INDEX(Clientes!$E$5:$E$549,MATCH(A174,Clientes!$C$5:$C$549,0))&amp;" "&amp;INDEX(Clientes!$F$5:$F$549,MATCH(A174,Clientes!$C$5:$C$549,0)))),"NO EXISTE en Clientes"))</f>
        <v/>
      </c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>
        <f>IF(AND(A174="",D174=""),"",IF(A174="","FALTA doc. cliente",IF(B174="NO EXISTE en Clientes","CLIENTE no está en hoja Clientes",IF(D174="","FALTA dirección",IF(AND(H174&lt;&gt;"",OR(F174="",G174="")),"Distrito requiere departamento y provincia",IF(AND(G174&lt;&gt;"",F174=""),"Provincia requiere departamento",IF((I174&lt;&gt;"")&lt;&gt;(J174&lt;&gt;""),"Latitud y longitud van juntas","OK")))))))</f>
        <v/>
      </c>
      <c r="M174" s="28">
        <f>IF(L174&lt;&gt;"OK","","INSERT INTO cli_direcciones (id_cliente, descripcion, direccion, referencia, id_departamento, id_provincia, id_distrito, latitud, longitud, es_principal, estado) SELECT "&amp;"(SELECT id FROM cli_clientes WHERE numero_documento = '"&amp;SUBSTITUTE(TRIM(A174),"'","''")&amp;"' AND estado = 1 LIMIT 1)"&amp;", "&amp;IF(TRIM(C174&amp;"")="","NULL","'"&amp;SUBSTITUTE(TRIM(C174),"'","''")&amp;"'")&amp;", "&amp;IF(TRIM(D174&amp;"")="","NULL","'"&amp;SUBSTITUTE(TRIM(D174),"'","''")&amp;"'")&amp;", "&amp;IF(TRIM(E174&amp;"")="","NULL","'"&amp;SUBSTITUTE(TRIM(E174),"'","''")&amp;"'")&amp;", "&amp;IF(TRIM(F174&amp;"")="","NULL","(SELECT id FROM gen_departamento WHERE upper(nombre) = upper('"&amp;SUBSTITUTE(TRIM(F174),"'","''")&amp;"') AND estado = 1 LIMIT 1)")&amp;", "&amp;IF(OR(TRIM(F174&amp;"")="",TRIM(G174&amp;"")=""),"NULL","(SELECT p.id FROM gen_provincia p JOIN gen_departamento dp ON dp.id = p.id_departamento WHERE upper(p.nombre) = upper('"&amp;SUBSTITUTE(TRIM(G174),"'","''")&amp;"') AND upper(dp.nombre) = upper('"&amp;SUBSTITUTE(TRIM(F174),"'","''")&amp;"') AND p.estado = 1 LIMIT 1)")&amp;", "&amp;IF(OR(TRIM(F174&amp;"")="",TRIM(G174&amp;"")="",TRIM(H174&amp;"")=""),"NULL","(SELECT d.id FROM gen_distrito d JOIN gen_provincia p ON p.id = d.id_provincia JOIN gen_departamento dp ON dp.id = p.id_departamento WHERE upper(d.nombre) = upper('"&amp;SUBSTITUTE(TRIM(H174),"'","''")&amp;"') AND upper(p.nombre) = upper('"&amp;SUBSTITUTE(TRIM(G174),"'","''")&amp;"') AND upper(dp.nombre) = upper('"&amp;SUBSTITUTE(TRIM(F174),"'","''")&amp;"') AND d.estado = 1 LIMIT 1)")&amp;", "&amp;IF(I174&amp;""="","NULL",SUBSTITUTE(I174&amp;"",",","."))&amp;", "&amp;IF(J174&amp;""="","NULL",SUBSTITUTE(J174&amp;"",",","."))&amp;", "&amp;IF(UPPER(TRIM(K174&amp;""))="SI","TRUE","FALSE")&amp;", 1"&amp;" WHERE NOT EXISTS (SELECT 1 FROM cli_direcciones x WHERE x.id_cliente = "&amp;"(SELECT id FROM cli_clientes WHERE numero_documento = '"&amp;SUBSTITUTE(TRIM(A174),"'","''")&amp;"' AND estado = 1 LIMIT 1)"&amp;" AND upper(x.direccion) = upper("&amp;IF(TRIM(D174&amp;"")="","NULL","'"&amp;SUBSTITUTE(TRIM(D174),"'","''")&amp;"'")&amp;"));")</f>
        <v/>
      </c>
    </row>
    <row r="175" ht="15.75" customHeight="1" s="64">
      <c r="A175" s="23" t="n"/>
      <c r="B175" s="25">
        <f t="array" ref="B175">IF(A175="","",IFERROR(IF(INDEX(Clientes!$D$5:$D$549,MATCH(A175,Clientes!$C$5:$C$549,0))&lt;&gt;"",INDEX(Clientes!$D$5:$D$549,MATCH(A175,Clientes!$C$5:$C$549,0)),TRIM(INDEX(Clientes!$E$5:$E$549,MATCH(A175,Clientes!$C$5:$C$549,0))&amp;" "&amp;INDEX(Clientes!$F$5:$F$549,MATCH(A175,Clientes!$C$5:$C$549,0)))),"NO EXISTE en Clientes"))</f>
        <v/>
      </c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>
        <f>IF(AND(A175="",D175=""),"",IF(A175="","FALTA doc. cliente",IF(B175="NO EXISTE en Clientes","CLIENTE no está en hoja Clientes",IF(D175="","FALTA dirección",IF(AND(H175&lt;&gt;"",OR(F175="",G175="")),"Distrito requiere departamento y provincia",IF(AND(G175&lt;&gt;"",F175=""),"Provincia requiere departamento",IF((I175&lt;&gt;"")&lt;&gt;(J175&lt;&gt;""),"Latitud y longitud van juntas","OK")))))))</f>
        <v/>
      </c>
      <c r="M175" s="28">
        <f>IF(L175&lt;&gt;"OK","","INSERT INTO cli_direcciones (id_cliente, descripcion, direccion, referencia, id_departamento, id_provincia, id_distrito, latitud, longitud, es_principal, estado) SELECT "&amp;"(SELECT id FROM cli_clientes WHERE numero_documento = '"&amp;SUBSTITUTE(TRIM(A175),"'","''")&amp;"' AND estado = 1 LIMIT 1)"&amp;", "&amp;IF(TRIM(C175&amp;"")="","NULL","'"&amp;SUBSTITUTE(TRIM(C175),"'","''")&amp;"'")&amp;", "&amp;IF(TRIM(D175&amp;"")="","NULL","'"&amp;SUBSTITUTE(TRIM(D175),"'","''")&amp;"'")&amp;", "&amp;IF(TRIM(E175&amp;"")="","NULL","'"&amp;SUBSTITUTE(TRIM(E175),"'","''")&amp;"'")&amp;", "&amp;IF(TRIM(F175&amp;"")="","NULL","(SELECT id FROM gen_departamento WHERE upper(nombre) = upper('"&amp;SUBSTITUTE(TRIM(F175),"'","''")&amp;"') AND estado = 1 LIMIT 1)")&amp;", "&amp;IF(OR(TRIM(F175&amp;"")="",TRIM(G175&amp;"")=""),"NULL","(SELECT p.id FROM gen_provincia p JOIN gen_departamento dp ON dp.id = p.id_departamento WHERE upper(p.nombre) = upper('"&amp;SUBSTITUTE(TRIM(G175),"'","''")&amp;"') AND upper(dp.nombre) = upper('"&amp;SUBSTITUTE(TRIM(F175),"'","''")&amp;"') AND p.estado = 1 LIMIT 1)")&amp;", "&amp;IF(OR(TRIM(F175&amp;"")="",TRIM(G175&amp;"")="",TRIM(H175&amp;"")=""),"NULL","(SELECT d.id FROM gen_distrito d JOIN gen_provincia p ON p.id = d.id_provincia JOIN gen_departamento dp ON dp.id = p.id_departamento WHERE upper(d.nombre) = upper('"&amp;SUBSTITUTE(TRIM(H175),"'","''")&amp;"') AND upper(p.nombre) = upper('"&amp;SUBSTITUTE(TRIM(G175),"'","''")&amp;"') AND upper(dp.nombre) = upper('"&amp;SUBSTITUTE(TRIM(F175),"'","''")&amp;"') AND d.estado = 1 LIMIT 1)")&amp;", "&amp;IF(I175&amp;""="","NULL",SUBSTITUTE(I175&amp;"",",","."))&amp;", "&amp;IF(J175&amp;""="","NULL",SUBSTITUTE(J175&amp;"",",","."))&amp;", "&amp;IF(UPPER(TRIM(K175&amp;""))="SI","TRUE","FALSE")&amp;", 1"&amp;" WHERE NOT EXISTS (SELECT 1 FROM cli_direcciones x WHERE x.id_cliente = "&amp;"(SELECT id FROM cli_clientes WHERE numero_documento = '"&amp;SUBSTITUTE(TRIM(A175),"'","''")&amp;"' AND estado = 1 LIMIT 1)"&amp;" AND upper(x.direccion) = upper("&amp;IF(TRIM(D175&amp;"")="","NULL","'"&amp;SUBSTITUTE(TRIM(D175),"'","''")&amp;"'")&amp;"));")</f>
        <v/>
      </c>
    </row>
    <row r="176" ht="15.75" customHeight="1" s="64">
      <c r="A176" s="23" t="n"/>
      <c r="B176" s="25">
        <f t="array" ref="B176">IF(A176="","",IFERROR(IF(INDEX(Clientes!$D$5:$D$549,MATCH(A176,Clientes!$C$5:$C$549,0))&lt;&gt;"",INDEX(Clientes!$D$5:$D$549,MATCH(A176,Clientes!$C$5:$C$549,0)),TRIM(INDEX(Clientes!$E$5:$E$549,MATCH(A176,Clientes!$C$5:$C$549,0))&amp;" "&amp;INDEX(Clientes!$F$5:$F$549,MATCH(A176,Clientes!$C$5:$C$549,0)))),"NO EXISTE en Clientes"))</f>
        <v/>
      </c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>
        <f>IF(AND(A176="",D176=""),"",IF(A176="","FALTA doc. cliente",IF(B176="NO EXISTE en Clientes","CLIENTE no está en hoja Clientes",IF(D176="","FALTA dirección",IF(AND(H176&lt;&gt;"",OR(F176="",G176="")),"Distrito requiere departamento y provincia",IF(AND(G176&lt;&gt;"",F176=""),"Provincia requiere departamento",IF((I176&lt;&gt;"")&lt;&gt;(J176&lt;&gt;""),"Latitud y longitud van juntas","OK")))))))</f>
        <v/>
      </c>
      <c r="M176" s="28">
        <f>IF(L176&lt;&gt;"OK","","INSERT INTO cli_direcciones (id_cliente, descripcion, direccion, referencia, id_departamento, id_provincia, id_distrito, latitud, longitud, es_principal, estado) SELECT "&amp;"(SELECT id FROM cli_clientes WHERE numero_documento = '"&amp;SUBSTITUTE(TRIM(A176),"'","''")&amp;"' AND estado = 1 LIMIT 1)"&amp;", "&amp;IF(TRIM(C176&amp;"")="","NULL","'"&amp;SUBSTITUTE(TRIM(C176),"'","''")&amp;"'")&amp;", "&amp;IF(TRIM(D176&amp;"")="","NULL","'"&amp;SUBSTITUTE(TRIM(D176),"'","''")&amp;"'")&amp;", "&amp;IF(TRIM(E176&amp;"")="","NULL","'"&amp;SUBSTITUTE(TRIM(E176),"'","''")&amp;"'")&amp;", "&amp;IF(TRIM(F176&amp;"")="","NULL","(SELECT id FROM gen_departamento WHERE upper(nombre) = upper('"&amp;SUBSTITUTE(TRIM(F176),"'","''")&amp;"') AND estado = 1 LIMIT 1)")&amp;", "&amp;IF(OR(TRIM(F176&amp;"")="",TRIM(G176&amp;"")=""),"NULL","(SELECT p.id FROM gen_provincia p JOIN gen_departamento dp ON dp.id = p.id_departamento WHERE upper(p.nombre) = upper('"&amp;SUBSTITUTE(TRIM(G176),"'","''")&amp;"') AND upper(dp.nombre) = upper('"&amp;SUBSTITUTE(TRIM(F176),"'","''")&amp;"') AND p.estado = 1 LIMIT 1)")&amp;", "&amp;IF(OR(TRIM(F176&amp;"")="",TRIM(G176&amp;"")="",TRIM(H176&amp;"")=""),"NULL","(SELECT d.id FROM gen_distrito d JOIN gen_provincia p ON p.id = d.id_provincia JOIN gen_departamento dp ON dp.id = p.id_departamento WHERE upper(d.nombre) = upper('"&amp;SUBSTITUTE(TRIM(H176),"'","''")&amp;"') AND upper(p.nombre) = upper('"&amp;SUBSTITUTE(TRIM(G176),"'","''")&amp;"') AND upper(dp.nombre) = upper('"&amp;SUBSTITUTE(TRIM(F176),"'","''")&amp;"') AND d.estado = 1 LIMIT 1)")&amp;", "&amp;IF(I176&amp;""="","NULL",SUBSTITUTE(I176&amp;"",",","."))&amp;", "&amp;IF(J176&amp;""="","NULL",SUBSTITUTE(J176&amp;"",",","."))&amp;", "&amp;IF(UPPER(TRIM(K176&amp;""))="SI","TRUE","FALSE")&amp;", 1"&amp;" WHERE NOT EXISTS (SELECT 1 FROM cli_direcciones x WHERE x.id_cliente = "&amp;"(SELECT id FROM cli_clientes WHERE numero_documento = '"&amp;SUBSTITUTE(TRIM(A176),"'","''")&amp;"' AND estado = 1 LIMIT 1)"&amp;" AND upper(x.direccion) = upper("&amp;IF(TRIM(D176&amp;"")="","NULL","'"&amp;SUBSTITUTE(TRIM(D176),"'","''")&amp;"'")&amp;"));")</f>
        <v/>
      </c>
    </row>
    <row r="177" ht="15.75" customHeight="1" s="64">
      <c r="A177" s="23" t="n"/>
      <c r="B177" s="25">
        <f t="array" ref="B177">IF(A177="","",IFERROR(IF(INDEX(Clientes!$D$5:$D$549,MATCH(A177,Clientes!$C$5:$C$549,0))&lt;&gt;"",INDEX(Clientes!$D$5:$D$549,MATCH(A177,Clientes!$C$5:$C$549,0)),TRIM(INDEX(Clientes!$E$5:$E$549,MATCH(A177,Clientes!$C$5:$C$549,0))&amp;" "&amp;INDEX(Clientes!$F$5:$F$549,MATCH(A177,Clientes!$C$5:$C$549,0)))),"NO EXISTE en Clientes"))</f>
        <v/>
      </c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>
        <f>IF(AND(A177="",D177=""),"",IF(A177="","FALTA doc. cliente",IF(B177="NO EXISTE en Clientes","CLIENTE no está en hoja Clientes",IF(D177="","FALTA dirección",IF(AND(H177&lt;&gt;"",OR(F177="",G177="")),"Distrito requiere departamento y provincia",IF(AND(G177&lt;&gt;"",F177=""),"Provincia requiere departamento",IF((I177&lt;&gt;"")&lt;&gt;(J177&lt;&gt;""),"Latitud y longitud van juntas","OK")))))))</f>
        <v/>
      </c>
      <c r="M177" s="28">
        <f>IF(L177&lt;&gt;"OK","","INSERT INTO cli_direcciones (id_cliente, descripcion, direccion, referencia, id_departamento, id_provincia, id_distrito, latitud, longitud, es_principal, estado) SELECT "&amp;"(SELECT id FROM cli_clientes WHERE numero_documento = '"&amp;SUBSTITUTE(TRIM(A177),"'","''")&amp;"' AND estado = 1 LIMIT 1)"&amp;", "&amp;IF(TRIM(C177&amp;"")="","NULL","'"&amp;SUBSTITUTE(TRIM(C177),"'","''")&amp;"'")&amp;", "&amp;IF(TRIM(D177&amp;"")="","NULL","'"&amp;SUBSTITUTE(TRIM(D177),"'","''")&amp;"'")&amp;", "&amp;IF(TRIM(E177&amp;"")="","NULL","'"&amp;SUBSTITUTE(TRIM(E177),"'","''")&amp;"'")&amp;", "&amp;IF(TRIM(F177&amp;"")="","NULL","(SELECT id FROM gen_departamento WHERE upper(nombre) = upper('"&amp;SUBSTITUTE(TRIM(F177),"'","''")&amp;"') AND estado = 1 LIMIT 1)")&amp;", "&amp;IF(OR(TRIM(F177&amp;"")="",TRIM(G177&amp;"")=""),"NULL","(SELECT p.id FROM gen_provincia p JOIN gen_departamento dp ON dp.id = p.id_departamento WHERE upper(p.nombre) = upper('"&amp;SUBSTITUTE(TRIM(G177),"'","''")&amp;"') AND upper(dp.nombre) = upper('"&amp;SUBSTITUTE(TRIM(F177),"'","''")&amp;"') AND p.estado = 1 LIMIT 1)")&amp;", "&amp;IF(OR(TRIM(F177&amp;"")="",TRIM(G177&amp;"")="",TRIM(H177&amp;"")=""),"NULL","(SELECT d.id FROM gen_distrito d JOIN gen_provincia p ON p.id = d.id_provincia JOIN gen_departamento dp ON dp.id = p.id_departamento WHERE upper(d.nombre) = upper('"&amp;SUBSTITUTE(TRIM(H177),"'","''")&amp;"') AND upper(p.nombre) = upper('"&amp;SUBSTITUTE(TRIM(G177),"'","''")&amp;"') AND upper(dp.nombre) = upper('"&amp;SUBSTITUTE(TRIM(F177),"'","''")&amp;"') AND d.estado = 1 LIMIT 1)")&amp;", "&amp;IF(I177&amp;""="","NULL",SUBSTITUTE(I177&amp;"",",","."))&amp;", "&amp;IF(J177&amp;""="","NULL",SUBSTITUTE(J177&amp;"",",","."))&amp;", "&amp;IF(UPPER(TRIM(K177&amp;""))="SI","TRUE","FALSE")&amp;", 1"&amp;" WHERE NOT EXISTS (SELECT 1 FROM cli_direcciones x WHERE x.id_cliente = "&amp;"(SELECT id FROM cli_clientes WHERE numero_documento = '"&amp;SUBSTITUTE(TRIM(A177),"'","''")&amp;"' AND estado = 1 LIMIT 1)"&amp;" AND upper(x.direccion) = upper("&amp;IF(TRIM(D177&amp;"")="","NULL","'"&amp;SUBSTITUTE(TRIM(D177),"'","''")&amp;"'")&amp;"));")</f>
        <v/>
      </c>
    </row>
    <row r="178" ht="15.75" customHeight="1" s="64">
      <c r="A178" s="23" t="n"/>
      <c r="B178" s="25">
        <f t="array" ref="B178">IF(A178="","",IFERROR(IF(INDEX(Clientes!$D$5:$D$549,MATCH(A178,Clientes!$C$5:$C$549,0))&lt;&gt;"",INDEX(Clientes!$D$5:$D$549,MATCH(A178,Clientes!$C$5:$C$549,0)),TRIM(INDEX(Clientes!$E$5:$E$549,MATCH(A178,Clientes!$C$5:$C$549,0))&amp;" "&amp;INDEX(Clientes!$F$5:$F$549,MATCH(A178,Clientes!$C$5:$C$549,0)))),"NO EXISTE en Clientes"))</f>
        <v/>
      </c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>
        <f>IF(AND(A178="",D178=""),"",IF(A178="","FALTA doc. cliente",IF(B178="NO EXISTE en Clientes","CLIENTE no está en hoja Clientes",IF(D178="","FALTA dirección",IF(AND(H178&lt;&gt;"",OR(F178="",G178="")),"Distrito requiere departamento y provincia",IF(AND(G178&lt;&gt;"",F178=""),"Provincia requiere departamento",IF((I178&lt;&gt;"")&lt;&gt;(J178&lt;&gt;""),"Latitud y longitud van juntas","OK")))))))</f>
        <v/>
      </c>
      <c r="M178" s="28">
        <f>IF(L178&lt;&gt;"OK","","INSERT INTO cli_direcciones (id_cliente, descripcion, direccion, referencia, id_departamento, id_provincia, id_distrito, latitud, longitud, es_principal, estado) SELECT "&amp;"(SELECT id FROM cli_clientes WHERE numero_documento = '"&amp;SUBSTITUTE(TRIM(A178),"'","''")&amp;"' AND estado = 1 LIMIT 1)"&amp;", "&amp;IF(TRIM(C178&amp;"")="","NULL","'"&amp;SUBSTITUTE(TRIM(C178),"'","''")&amp;"'")&amp;", "&amp;IF(TRIM(D178&amp;"")="","NULL","'"&amp;SUBSTITUTE(TRIM(D178),"'","''")&amp;"'")&amp;", "&amp;IF(TRIM(E178&amp;"")="","NULL","'"&amp;SUBSTITUTE(TRIM(E178),"'","''")&amp;"'")&amp;", "&amp;IF(TRIM(F178&amp;"")="","NULL","(SELECT id FROM gen_departamento WHERE upper(nombre) = upper('"&amp;SUBSTITUTE(TRIM(F178),"'","''")&amp;"') AND estado = 1 LIMIT 1)")&amp;", "&amp;IF(OR(TRIM(F178&amp;"")="",TRIM(G178&amp;"")=""),"NULL","(SELECT p.id FROM gen_provincia p JOIN gen_departamento dp ON dp.id = p.id_departamento WHERE upper(p.nombre) = upper('"&amp;SUBSTITUTE(TRIM(G178),"'","''")&amp;"') AND upper(dp.nombre) = upper('"&amp;SUBSTITUTE(TRIM(F178),"'","''")&amp;"') AND p.estado = 1 LIMIT 1)")&amp;", "&amp;IF(OR(TRIM(F178&amp;"")="",TRIM(G178&amp;"")="",TRIM(H178&amp;"")=""),"NULL","(SELECT d.id FROM gen_distrito d JOIN gen_provincia p ON p.id = d.id_provincia JOIN gen_departamento dp ON dp.id = p.id_departamento WHERE upper(d.nombre) = upper('"&amp;SUBSTITUTE(TRIM(H178),"'","''")&amp;"') AND upper(p.nombre) = upper('"&amp;SUBSTITUTE(TRIM(G178),"'","''")&amp;"') AND upper(dp.nombre) = upper('"&amp;SUBSTITUTE(TRIM(F178),"'","''")&amp;"') AND d.estado = 1 LIMIT 1)")&amp;", "&amp;IF(I178&amp;""="","NULL",SUBSTITUTE(I178&amp;"",",","."))&amp;", "&amp;IF(J178&amp;""="","NULL",SUBSTITUTE(J178&amp;"",",","."))&amp;", "&amp;IF(UPPER(TRIM(K178&amp;""))="SI","TRUE","FALSE")&amp;", 1"&amp;" WHERE NOT EXISTS (SELECT 1 FROM cli_direcciones x WHERE x.id_cliente = "&amp;"(SELECT id FROM cli_clientes WHERE numero_documento = '"&amp;SUBSTITUTE(TRIM(A178),"'","''")&amp;"' AND estado = 1 LIMIT 1)"&amp;" AND upper(x.direccion) = upper("&amp;IF(TRIM(D178&amp;"")="","NULL","'"&amp;SUBSTITUTE(TRIM(D178),"'","''")&amp;"'")&amp;"));")</f>
        <v/>
      </c>
    </row>
    <row r="179" ht="15.75" customHeight="1" s="64">
      <c r="A179" s="23" t="n"/>
      <c r="B179" s="25">
        <f t="array" ref="B179">IF(A179="","",IFERROR(IF(INDEX(Clientes!$D$5:$D$549,MATCH(A179,Clientes!$C$5:$C$549,0))&lt;&gt;"",INDEX(Clientes!$D$5:$D$549,MATCH(A179,Clientes!$C$5:$C$549,0)),TRIM(INDEX(Clientes!$E$5:$E$549,MATCH(A179,Clientes!$C$5:$C$549,0))&amp;" "&amp;INDEX(Clientes!$F$5:$F$549,MATCH(A179,Clientes!$C$5:$C$549,0)))),"NO EXISTE en Clientes"))</f>
        <v/>
      </c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>
        <f>IF(AND(A179="",D179=""),"",IF(A179="","FALTA doc. cliente",IF(B179="NO EXISTE en Clientes","CLIENTE no está en hoja Clientes",IF(D179="","FALTA dirección",IF(AND(H179&lt;&gt;"",OR(F179="",G179="")),"Distrito requiere departamento y provincia",IF(AND(G179&lt;&gt;"",F179=""),"Provincia requiere departamento",IF((I179&lt;&gt;"")&lt;&gt;(J179&lt;&gt;""),"Latitud y longitud van juntas","OK")))))))</f>
        <v/>
      </c>
      <c r="M179" s="28">
        <f>IF(L179&lt;&gt;"OK","","INSERT INTO cli_direcciones (id_cliente, descripcion, direccion, referencia, id_departamento, id_provincia, id_distrito, latitud, longitud, es_principal, estado) SELECT "&amp;"(SELECT id FROM cli_clientes WHERE numero_documento = '"&amp;SUBSTITUTE(TRIM(A179),"'","''")&amp;"' AND estado = 1 LIMIT 1)"&amp;", "&amp;IF(TRIM(C179&amp;"")="","NULL","'"&amp;SUBSTITUTE(TRIM(C179),"'","''")&amp;"'")&amp;", "&amp;IF(TRIM(D179&amp;"")="","NULL","'"&amp;SUBSTITUTE(TRIM(D179),"'","''")&amp;"'")&amp;", "&amp;IF(TRIM(E179&amp;"")="","NULL","'"&amp;SUBSTITUTE(TRIM(E179),"'","''")&amp;"'")&amp;", "&amp;IF(TRIM(F179&amp;"")="","NULL","(SELECT id FROM gen_departamento WHERE upper(nombre) = upper('"&amp;SUBSTITUTE(TRIM(F179),"'","''")&amp;"') AND estado = 1 LIMIT 1)")&amp;", "&amp;IF(OR(TRIM(F179&amp;"")="",TRIM(G179&amp;"")=""),"NULL","(SELECT p.id FROM gen_provincia p JOIN gen_departamento dp ON dp.id = p.id_departamento WHERE upper(p.nombre) = upper('"&amp;SUBSTITUTE(TRIM(G179),"'","''")&amp;"') AND upper(dp.nombre) = upper('"&amp;SUBSTITUTE(TRIM(F179),"'","''")&amp;"') AND p.estado = 1 LIMIT 1)")&amp;", "&amp;IF(OR(TRIM(F179&amp;"")="",TRIM(G179&amp;"")="",TRIM(H179&amp;"")=""),"NULL","(SELECT d.id FROM gen_distrito d JOIN gen_provincia p ON p.id = d.id_provincia JOIN gen_departamento dp ON dp.id = p.id_departamento WHERE upper(d.nombre) = upper('"&amp;SUBSTITUTE(TRIM(H179),"'","''")&amp;"') AND upper(p.nombre) = upper('"&amp;SUBSTITUTE(TRIM(G179),"'","''")&amp;"') AND upper(dp.nombre) = upper('"&amp;SUBSTITUTE(TRIM(F179),"'","''")&amp;"') AND d.estado = 1 LIMIT 1)")&amp;", "&amp;IF(I179&amp;""="","NULL",SUBSTITUTE(I179&amp;"",",","."))&amp;", "&amp;IF(J179&amp;""="","NULL",SUBSTITUTE(J179&amp;"",",","."))&amp;", "&amp;IF(UPPER(TRIM(K179&amp;""))="SI","TRUE","FALSE")&amp;", 1"&amp;" WHERE NOT EXISTS (SELECT 1 FROM cli_direcciones x WHERE x.id_cliente = "&amp;"(SELECT id FROM cli_clientes WHERE numero_documento = '"&amp;SUBSTITUTE(TRIM(A179),"'","''")&amp;"' AND estado = 1 LIMIT 1)"&amp;" AND upper(x.direccion) = upper("&amp;IF(TRIM(D179&amp;"")="","NULL","'"&amp;SUBSTITUTE(TRIM(D179),"'","''")&amp;"'")&amp;"));")</f>
        <v/>
      </c>
    </row>
    <row r="180" ht="15.75" customHeight="1" s="64">
      <c r="A180" s="23" t="n"/>
      <c r="B180" s="25">
        <f t="array" ref="B180">IF(A180="","",IFERROR(IF(INDEX(Clientes!$D$5:$D$549,MATCH(A180,Clientes!$C$5:$C$549,0))&lt;&gt;"",INDEX(Clientes!$D$5:$D$549,MATCH(A180,Clientes!$C$5:$C$549,0)),TRIM(INDEX(Clientes!$E$5:$E$549,MATCH(A180,Clientes!$C$5:$C$549,0))&amp;" "&amp;INDEX(Clientes!$F$5:$F$549,MATCH(A180,Clientes!$C$5:$C$549,0)))),"NO EXISTE en Clientes"))</f>
        <v/>
      </c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>
        <f>IF(AND(A180="",D180=""),"",IF(A180="","FALTA doc. cliente",IF(B180="NO EXISTE en Clientes","CLIENTE no está en hoja Clientes",IF(D180="","FALTA dirección",IF(AND(H180&lt;&gt;"",OR(F180="",G180="")),"Distrito requiere departamento y provincia",IF(AND(G180&lt;&gt;"",F180=""),"Provincia requiere departamento",IF((I180&lt;&gt;"")&lt;&gt;(J180&lt;&gt;""),"Latitud y longitud van juntas","OK")))))))</f>
        <v/>
      </c>
      <c r="M180" s="28">
        <f>IF(L180&lt;&gt;"OK","","INSERT INTO cli_direcciones (id_cliente, descripcion, direccion, referencia, id_departamento, id_provincia, id_distrito, latitud, longitud, es_principal, estado) SELECT "&amp;"(SELECT id FROM cli_clientes WHERE numero_documento = '"&amp;SUBSTITUTE(TRIM(A180),"'","''")&amp;"' AND estado = 1 LIMIT 1)"&amp;", "&amp;IF(TRIM(C180&amp;"")="","NULL","'"&amp;SUBSTITUTE(TRIM(C180),"'","''")&amp;"'")&amp;", "&amp;IF(TRIM(D180&amp;"")="","NULL","'"&amp;SUBSTITUTE(TRIM(D180),"'","''")&amp;"'")&amp;", "&amp;IF(TRIM(E180&amp;"")="","NULL","'"&amp;SUBSTITUTE(TRIM(E180),"'","''")&amp;"'")&amp;", "&amp;IF(TRIM(F180&amp;"")="","NULL","(SELECT id FROM gen_departamento WHERE upper(nombre) = upper('"&amp;SUBSTITUTE(TRIM(F180),"'","''")&amp;"') AND estado = 1 LIMIT 1)")&amp;", "&amp;IF(OR(TRIM(F180&amp;"")="",TRIM(G180&amp;"")=""),"NULL","(SELECT p.id FROM gen_provincia p JOIN gen_departamento dp ON dp.id = p.id_departamento WHERE upper(p.nombre) = upper('"&amp;SUBSTITUTE(TRIM(G180),"'","''")&amp;"') AND upper(dp.nombre) = upper('"&amp;SUBSTITUTE(TRIM(F180),"'","''")&amp;"') AND p.estado = 1 LIMIT 1)")&amp;", "&amp;IF(OR(TRIM(F180&amp;"")="",TRIM(G180&amp;"")="",TRIM(H180&amp;"")=""),"NULL","(SELECT d.id FROM gen_distrito d JOIN gen_provincia p ON p.id = d.id_provincia JOIN gen_departamento dp ON dp.id = p.id_departamento WHERE upper(d.nombre) = upper('"&amp;SUBSTITUTE(TRIM(H180),"'","''")&amp;"') AND upper(p.nombre) = upper('"&amp;SUBSTITUTE(TRIM(G180),"'","''")&amp;"') AND upper(dp.nombre) = upper('"&amp;SUBSTITUTE(TRIM(F180),"'","''")&amp;"') AND d.estado = 1 LIMIT 1)")&amp;", "&amp;IF(I180&amp;""="","NULL",SUBSTITUTE(I180&amp;"",",","."))&amp;", "&amp;IF(J180&amp;""="","NULL",SUBSTITUTE(J180&amp;"",",","."))&amp;", "&amp;IF(UPPER(TRIM(K180&amp;""))="SI","TRUE","FALSE")&amp;", 1"&amp;" WHERE NOT EXISTS (SELECT 1 FROM cli_direcciones x WHERE x.id_cliente = "&amp;"(SELECT id FROM cli_clientes WHERE numero_documento = '"&amp;SUBSTITUTE(TRIM(A180),"'","''")&amp;"' AND estado = 1 LIMIT 1)"&amp;" AND upper(x.direccion) = upper("&amp;IF(TRIM(D180&amp;"")="","NULL","'"&amp;SUBSTITUTE(TRIM(D180),"'","''")&amp;"'")&amp;"));")</f>
        <v/>
      </c>
    </row>
    <row r="181" ht="15.75" customHeight="1" s="64">
      <c r="A181" s="23" t="n"/>
      <c r="B181" s="25">
        <f t="array" ref="B181">IF(A181="","",IFERROR(IF(INDEX(Clientes!$D$5:$D$549,MATCH(A181,Clientes!$C$5:$C$549,0))&lt;&gt;"",INDEX(Clientes!$D$5:$D$549,MATCH(A181,Clientes!$C$5:$C$549,0)),TRIM(INDEX(Clientes!$E$5:$E$549,MATCH(A181,Clientes!$C$5:$C$549,0))&amp;" "&amp;INDEX(Clientes!$F$5:$F$549,MATCH(A181,Clientes!$C$5:$C$549,0)))),"NO EXISTE en Clientes"))</f>
        <v/>
      </c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>
        <f>IF(AND(A181="",D181=""),"",IF(A181="","FALTA doc. cliente",IF(B181="NO EXISTE en Clientes","CLIENTE no está en hoja Clientes",IF(D181="","FALTA dirección",IF(AND(H181&lt;&gt;"",OR(F181="",G181="")),"Distrito requiere departamento y provincia",IF(AND(G181&lt;&gt;"",F181=""),"Provincia requiere departamento",IF((I181&lt;&gt;"")&lt;&gt;(J181&lt;&gt;""),"Latitud y longitud van juntas","OK")))))))</f>
        <v/>
      </c>
      <c r="M181" s="28">
        <f>IF(L181&lt;&gt;"OK","","INSERT INTO cli_direcciones (id_cliente, descripcion, direccion, referencia, id_departamento, id_provincia, id_distrito, latitud, longitud, es_principal, estado) SELECT "&amp;"(SELECT id FROM cli_clientes WHERE numero_documento = '"&amp;SUBSTITUTE(TRIM(A181),"'","''")&amp;"' AND estado = 1 LIMIT 1)"&amp;", "&amp;IF(TRIM(C181&amp;"")="","NULL","'"&amp;SUBSTITUTE(TRIM(C181),"'","''")&amp;"'")&amp;", "&amp;IF(TRIM(D181&amp;"")="","NULL","'"&amp;SUBSTITUTE(TRIM(D181),"'","''")&amp;"'")&amp;", "&amp;IF(TRIM(E181&amp;"")="","NULL","'"&amp;SUBSTITUTE(TRIM(E181),"'","''")&amp;"'")&amp;", "&amp;IF(TRIM(F181&amp;"")="","NULL","(SELECT id FROM gen_departamento WHERE upper(nombre) = upper('"&amp;SUBSTITUTE(TRIM(F181),"'","''")&amp;"') AND estado = 1 LIMIT 1)")&amp;", "&amp;IF(OR(TRIM(F181&amp;"")="",TRIM(G181&amp;"")=""),"NULL","(SELECT p.id FROM gen_provincia p JOIN gen_departamento dp ON dp.id = p.id_departamento WHERE upper(p.nombre) = upper('"&amp;SUBSTITUTE(TRIM(G181),"'","''")&amp;"') AND upper(dp.nombre) = upper('"&amp;SUBSTITUTE(TRIM(F181),"'","''")&amp;"') AND p.estado = 1 LIMIT 1)")&amp;", "&amp;IF(OR(TRIM(F181&amp;"")="",TRIM(G181&amp;"")="",TRIM(H181&amp;"")=""),"NULL","(SELECT d.id FROM gen_distrito d JOIN gen_provincia p ON p.id = d.id_provincia JOIN gen_departamento dp ON dp.id = p.id_departamento WHERE upper(d.nombre) = upper('"&amp;SUBSTITUTE(TRIM(H181),"'","''")&amp;"') AND upper(p.nombre) = upper('"&amp;SUBSTITUTE(TRIM(G181),"'","''")&amp;"') AND upper(dp.nombre) = upper('"&amp;SUBSTITUTE(TRIM(F181),"'","''")&amp;"') AND d.estado = 1 LIMIT 1)")&amp;", "&amp;IF(I181&amp;""="","NULL",SUBSTITUTE(I181&amp;"",",","."))&amp;", "&amp;IF(J181&amp;""="","NULL",SUBSTITUTE(J181&amp;"",",","."))&amp;", "&amp;IF(UPPER(TRIM(K181&amp;""))="SI","TRUE","FALSE")&amp;", 1"&amp;" WHERE NOT EXISTS (SELECT 1 FROM cli_direcciones x WHERE x.id_cliente = "&amp;"(SELECT id FROM cli_clientes WHERE numero_documento = '"&amp;SUBSTITUTE(TRIM(A181),"'","''")&amp;"' AND estado = 1 LIMIT 1)"&amp;" AND upper(x.direccion) = upper("&amp;IF(TRIM(D181&amp;"")="","NULL","'"&amp;SUBSTITUTE(TRIM(D181),"'","''")&amp;"'")&amp;"));")</f>
        <v/>
      </c>
    </row>
    <row r="182" ht="15.75" customHeight="1" s="64">
      <c r="A182" s="23" t="n"/>
      <c r="B182" s="25">
        <f t="array" ref="B182">IF(A182="","",IFERROR(IF(INDEX(Clientes!$D$5:$D$549,MATCH(A182,Clientes!$C$5:$C$549,0))&lt;&gt;"",INDEX(Clientes!$D$5:$D$549,MATCH(A182,Clientes!$C$5:$C$549,0)),TRIM(INDEX(Clientes!$E$5:$E$549,MATCH(A182,Clientes!$C$5:$C$549,0))&amp;" "&amp;INDEX(Clientes!$F$5:$F$549,MATCH(A182,Clientes!$C$5:$C$549,0)))),"NO EXISTE en Clientes"))</f>
        <v/>
      </c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>
        <f>IF(AND(A182="",D182=""),"",IF(A182="","FALTA doc. cliente",IF(B182="NO EXISTE en Clientes","CLIENTE no está en hoja Clientes",IF(D182="","FALTA dirección",IF(AND(H182&lt;&gt;"",OR(F182="",G182="")),"Distrito requiere departamento y provincia",IF(AND(G182&lt;&gt;"",F182=""),"Provincia requiere departamento",IF((I182&lt;&gt;"")&lt;&gt;(J182&lt;&gt;""),"Latitud y longitud van juntas","OK")))))))</f>
        <v/>
      </c>
      <c r="M182" s="28">
        <f>IF(L182&lt;&gt;"OK","","INSERT INTO cli_direcciones (id_cliente, descripcion, direccion, referencia, id_departamento, id_provincia, id_distrito, latitud, longitud, es_principal, estado) SELECT "&amp;"(SELECT id FROM cli_clientes WHERE numero_documento = '"&amp;SUBSTITUTE(TRIM(A182),"'","''")&amp;"' AND estado = 1 LIMIT 1)"&amp;", "&amp;IF(TRIM(C182&amp;"")="","NULL","'"&amp;SUBSTITUTE(TRIM(C182),"'","''")&amp;"'")&amp;", "&amp;IF(TRIM(D182&amp;"")="","NULL","'"&amp;SUBSTITUTE(TRIM(D182),"'","''")&amp;"'")&amp;", "&amp;IF(TRIM(E182&amp;"")="","NULL","'"&amp;SUBSTITUTE(TRIM(E182),"'","''")&amp;"'")&amp;", "&amp;IF(TRIM(F182&amp;"")="","NULL","(SELECT id FROM gen_departamento WHERE upper(nombre) = upper('"&amp;SUBSTITUTE(TRIM(F182),"'","''")&amp;"') AND estado = 1 LIMIT 1)")&amp;", "&amp;IF(OR(TRIM(F182&amp;"")="",TRIM(G182&amp;"")=""),"NULL","(SELECT p.id FROM gen_provincia p JOIN gen_departamento dp ON dp.id = p.id_departamento WHERE upper(p.nombre) = upper('"&amp;SUBSTITUTE(TRIM(G182),"'","''")&amp;"') AND upper(dp.nombre) = upper('"&amp;SUBSTITUTE(TRIM(F182),"'","''")&amp;"') AND p.estado = 1 LIMIT 1)")&amp;", "&amp;IF(OR(TRIM(F182&amp;"")="",TRIM(G182&amp;"")="",TRIM(H182&amp;"")=""),"NULL","(SELECT d.id FROM gen_distrito d JOIN gen_provincia p ON p.id = d.id_provincia JOIN gen_departamento dp ON dp.id = p.id_departamento WHERE upper(d.nombre) = upper('"&amp;SUBSTITUTE(TRIM(H182),"'","''")&amp;"') AND upper(p.nombre) = upper('"&amp;SUBSTITUTE(TRIM(G182),"'","''")&amp;"') AND upper(dp.nombre) = upper('"&amp;SUBSTITUTE(TRIM(F182),"'","''")&amp;"') AND d.estado = 1 LIMIT 1)")&amp;", "&amp;IF(I182&amp;""="","NULL",SUBSTITUTE(I182&amp;"",",","."))&amp;", "&amp;IF(J182&amp;""="","NULL",SUBSTITUTE(J182&amp;"",",","."))&amp;", "&amp;IF(UPPER(TRIM(K182&amp;""))="SI","TRUE","FALSE")&amp;", 1"&amp;" WHERE NOT EXISTS (SELECT 1 FROM cli_direcciones x WHERE x.id_cliente = "&amp;"(SELECT id FROM cli_clientes WHERE numero_documento = '"&amp;SUBSTITUTE(TRIM(A182),"'","''")&amp;"' AND estado = 1 LIMIT 1)"&amp;" AND upper(x.direccion) = upper("&amp;IF(TRIM(D182&amp;"")="","NULL","'"&amp;SUBSTITUTE(TRIM(D182),"'","''")&amp;"'")&amp;"));")</f>
        <v/>
      </c>
    </row>
    <row r="183" ht="15.75" customHeight="1" s="64">
      <c r="A183" s="23" t="n"/>
      <c r="B183" s="25">
        <f t="array" ref="B183">IF(A183="","",IFERROR(IF(INDEX(Clientes!$D$5:$D$549,MATCH(A183,Clientes!$C$5:$C$549,0))&lt;&gt;"",INDEX(Clientes!$D$5:$D$549,MATCH(A183,Clientes!$C$5:$C$549,0)),TRIM(INDEX(Clientes!$E$5:$E$549,MATCH(A183,Clientes!$C$5:$C$549,0))&amp;" "&amp;INDEX(Clientes!$F$5:$F$549,MATCH(A183,Clientes!$C$5:$C$549,0)))),"NO EXISTE en Clientes"))</f>
        <v/>
      </c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>
        <f>IF(AND(A183="",D183=""),"",IF(A183="","FALTA doc. cliente",IF(B183="NO EXISTE en Clientes","CLIENTE no está en hoja Clientes",IF(D183="","FALTA dirección",IF(AND(H183&lt;&gt;"",OR(F183="",G183="")),"Distrito requiere departamento y provincia",IF(AND(G183&lt;&gt;"",F183=""),"Provincia requiere departamento",IF((I183&lt;&gt;"")&lt;&gt;(J183&lt;&gt;""),"Latitud y longitud van juntas","OK")))))))</f>
        <v/>
      </c>
      <c r="M183" s="28">
        <f>IF(L183&lt;&gt;"OK","","INSERT INTO cli_direcciones (id_cliente, descripcion, direccion, referencia, id_departamento, id_provincia, id_distrito, latitud, longitud, es_principal, estado) SELECT "&amp;"(SELECT id FROM cli_clientes WHERE numero_documento = '"&amp;SUBSTITUTE(TRIM(A183),"'","''")&amp;"' AND estado = 1 LIMIT 1)"&amp;", "&amp;IF(TRIM(C183&amp;"")="","NULL","'"&amp;SUBSTITUTE(TRIM(C183),"'","''")&amp;"'")&amp;", "&amp;IF(TRIM(D183&amp;"")="","NULL","'"&amp;SUBSTITUTE(TRIM(D183),"'","''")&amp;"'")&amp;", "&amp;IF(TRIM(E183&amp;"")="","NULL","'"&amp;SUBSTITUTE(TRIM(E183),"'","''")&amp;"'")&amp;", "&amp;IF(TRIM(F183&amp;"")="","NULL","(SELECT id FROM gen_departamento WHERE upper(nombre) = upper('"&amp;SUBSTITUTE(TRIM(F183),"'","''")&amp;"') AND estado = 1 LIMIT 1)")&amp;", "&amp;IF(OR(TRIM(F183&amp;"")="",TRIM(G183&amp;"")=""),"NULL","(SELECT p.id FROM gen_provincia p JOIN gen_departamento dp ON dp.id = p.id_departamento WHERE upper(p.nombre) = upper('"&amp;SUBSTITUTE(TRIM(G183),"'","''")&amp;"') AND upper(dp.nombre) = upper('"&amp;SUBSTITUTE(TRIM(F183),"'","''")&amp;"') AND p.estado = 1 LIMIT 1)")&amp;", "&amp;IF(OR(TRIM(F183&amp;"")="",TRIM(G183&amp;"")="",TRIM(H183&amp;"")=""),"NULL","(SELECT d.id FROM gen_distrito d JOIN gen_provincia p ON p.id = d.id_provincia JOIN gen_departamento dp ON dp.id = p.id_departamento WHERE upper(d.nombre) = upper('"&amp;SUBSTITUTE(TRIM(H183),"'","''")&amp;"') AND upper(p.nombre) = upper('"&amp;SUBSTITUTE(TRIM(G183),"'","''")&amp;"') AND upper(dp.nombre) = upper('"&amp;SUBSTITUTE(TRIM(F183),"'","''")&amp;"') AND d.estado = 1 LIMIT 1)")&amp;", "&amp;IF(I183&amp;""="","NULL",SUBSTITUTE(I183&amp;"",",","."))&amp;", "&amp;IF(J183&amp;""="","NULL",SUBSTITUTE(J183&amp;"",",","."))&amp;", "&amp;IF(UPPER(TRIM(K183&amp;""))="SI","TRUE","FALSE")&amp;", 1"&amp;" WHERE NOT EXISTS (SELECT 1 FROM cli_direcciones x WHERE x.id_cliente = "&amp;"(SELECT id FROM cli_clientes WHERE numero_documento = '"&amp;SUBSTITUTE(TRIM(A183),"'","''")&amp;"' AND estado = 1 LIMIT 1)"&amp;" AND upper(x.direccion) = upper("&amp;IF(TRIM(D183&amp;"")="","NULL","'"&amp;SUBSTITUTE(TRIM(D183),"'","''")&amp;"'")&amp;"));")</f>
        <v/>
      </c>
    </row>
    <row r="184" ht="15.75" customHeight="1" s="64">
      <c r="A184" s="23" t="n"/>
      <c r="B184" s="25">
        <f t="array" ref="B184">IF(A184="","",IFERROR(IF(INDEX(Clientes!$D$5:$D$549,MATCH(A184,Clientes!$C$5:$C$549,0))&lt;&gt;"",INDEX(Clientes!$D$5:$D$549,MATCH(A184,Clientes!$C$5:$C$549,0)),TRIM(INDEX(Clientes!$E$5:$E$549,MATCH(A184,Clientes!$C$5:$C$549,0))&amp;" "&amp;INDEX(Clientes!$F$5:$F$549,MATCH(A184,Clientes!$C$5:$C$549,0)))),"NO EXISTE en Clientes"))</f>
        <v/>
      </c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>
        <f>IF(AND(A184="",D184=""),"",IF(A184="","FALTA doc. cliente",IF(B184="NO EXISTE en Clientes","CLIENTE no está en hoja Clientes",IF(D184="","FALTA dirección",IF(AND(H184&lt;&gt;"",OR(F184="",G184="")),"Distrito requiere departamento y provincia",IF(AND(G184&lt;&gt;"",F184=""),"Provincia requiere departamento",IF((I184&lt;&gt;"")&lt;&gt;(J184&lt;&gt;""),"Latitud y longitud van juntas","OK")))))))</f>
        <v/>
      </c>
      <c r="M184" s="28">
        <f>IF(L184&lt;&gt;"OK","","INSERT INTO cli_direcciones (id_cliente, descripcion, direccion, referencia, id_departamento, id_provincia, id_distrito, latitud, longitud, es_principal, estado) SELECT "&amp;"(SELECT id FROM cli_clientes WHERE numero_documento = '"&amp;SUBSTITUTE(TRIM(A184),"'","''")&amp;"' AND estado = 1 LIMIT 1)"&amp;", "&amp;IF(TRIM(C184&amp;"")="","NULL","'"&amp;SUBSTITUTE(TRIM(C184),"'","''")&amp;"'")&amp;", "&amp;IF(TRIM(D184&amp;"")="","NULL","'"&amp;SUBSTITUTE(TRIM(D184),"'","''")&amp;"'")&amp;", "&amp;IF(TRIM(E184&amp;"")="","NULL","'"&amp;SUBSTITUTE(TRIM(E184),"'","''")&amp;"'")&amp;", "&amp;IF(TRIM(F184&amp;"")="","NULL","(SELECT id FROM gen_departamento WHERE upper(nombre) = upper('"&amp;SUBSTITUTE(TRIM(F184),"'","''")&amp;"') AND estado = 1 LIMIT 1)")&amp;", "&amp;IF(OR(TRIM(F184&amp;"")="",TRIM(G184&amp;"")=""),"NULL","(SELECT p.id FROM gen_provincia p JOIN gen_departamento dp ON dp.id = p.id_departamento WHERE upper(p.nombre) = upper('"&amp;SUBSTITUTE(TRIM(G184),"'","''")&amp;"') AND upper(dp.nombre) = upper('"&amp;SUBSTITUTE(TRIM(F184),"'","''")&amp;"') AND p.estado = 1 LIMIT 1)")&amp;", "&amp;IF(OR(TRIM(F184&amp;"")="",TRIM(G184&amp;"")="",TRIM(H184&amp;"")=""),"NULL","(SELECT d.id FROM gen_distrito d JOIN gen_provincia p ON p.id = d.id_provincia JOIN gen_departamento dp ON dp.id = p.id_departamento WHERE upper(d.nombre) = upper('"&amp;SUBSTITUTE(TRIM(H184),"'","''")&amp;"') AND upper(p.nombre) = upper('"&amp;SUBSTITUTE(TRIM(G184),"'","''")&amp;"') AND upper(dp.nombre) = upper('"&amp;SUBSTITUTE(TRIM(F184),"'","''")&amp;"') AND d.estado = 1 LIMIT 1)")&amp;", "&amp;IF(I184&amp;""="","NULL",SUBSTITUTE(I184&amp;"",",","."))&amp;", "&amp;IF(J184&amp;""="","NULL",SUBSTITUTE(J184&amp;"",",","."))&amp;", "&amp;IF(UPPER(TRIM(K184&amp;""))="SI","TRUE","FALSE")&amp;", 1"&amp;" WHERE NOT EXISTS (SELECT 1 FROM cli_direcciones x WHERE x.id_cliente = "&amp;"(SELECT id FROM cli_clientes WHERE numero_documento = '"&amp;SUBSTITUTE(TRIM(A184),"'","''")&amp;"' AND estado = 1 LIMIT 1)"&amp;" AND upper(x.direccion) = upper("&amp;IF(TRIM(D184&amp;"")="","NULL","'"&amp;SUBSTITUTE(TRIM(D184),"'","''")&amp;"'")&amp;"));")</f>
        <v/>
      </c>
    </row>
    <row r="185" ht="15.75" customHeight="1" s="64">
      <c r="A185" s="23" t="n"/>
      <c r="B185" s="25">
        <f t="array" ref="B185">IF(A185="","",IFERROR(IF(INDEX(Clientes!$D$5:$D$549,MATCH(A185,Clientes!$C$5:$C$549,0))&lt;&gt;"",INDEX(Clientes!$D$5:$D$549,MATCH(A185,Clientes!$C$5:$C$549,0)),TRIM(INDEX(Clientes!$E$5:$E$549,MATCH(A185,Clientes!$C$5:$C$549,0))&amp;" "&amp;INDEX(Clientes!$F$5:$F$549,MATCH(A185,Clientes!$C$5:$C$549,0)))),"NO EXISTE en Clientes"))</f>
        <v/>
      </c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>
        <f>IF(AND(A185="",D185=""),"",IF(A185="","FALTA doc. cliente",IF(B185="NO EXISTE en Clientes","CLIENTE no está en hoja Clientes",IF(D185="","FALTA dirección",IF(AND(H185&lt;&gt;"",OR(F185="",G185="")),"Distrito requiere departamento y provincia",IF(AND(G185&lt;&gt;"",F185=""),"Provincia requiere departamento",IF((I185&lt;&gt;"")&lt;&gt;(J185&lt;&gt;""),"Latitud y longitud van juntas","OK")))))))</f>
        <v/>
      </c>
      <c r="M185" s="28">
        <f>IF(L185&lt;&gt;"OK","","INSERT INTO cli_direcciones (id_cliente, descripcion, direccion, referencia, id_departamento, id_provincia, id_distrito, latitud, longitud, es_principal, estado) SELECT "&amp;"(SELECT id FROM cli_clientes WHERE numero_documento = '"&amp;SUBSTITUTE(TRIM(A185),"'","''")&amp;"' AND estado = 1 LIMIT 1)"&amp;", "&amp;IF(TRIM(C185&amp;"")="","NULL","'"&amp;SUBSTITUTE(TRIM(C185),"'","''")&amp;"'")&amp;", "&amp;IF(TRIM(D185&amp;"")="","NULL","'"&amp;SUBSTITUTE(TRIM(D185),"'","''")&amp;"'")&amp;", "&amp;IF(TRIM(E185&amp;"")="","NULL","'"&amp;SUBSTITUTE(TRIM(E185),"'","''")&amp;"'")&amp;", "&amp;IF(TRIM(F185&amp;"")="","NULL","(SELECT id FROM gen_departamento WHERE upper(nombre) = upper('"&amp;SUBSTITUTE(TRIM(F185),"'","''")&amp;"') AND estado = 1 LIMIT 1)")&amp;", "&amp;IF(OR(TRIM(F185&amp;"")="",TRIM(G185&amp;"")=""),"NULL","(SELECT p.id FROM gen_provincia p JOIN gen_departamento dp ON dp.id = p.id_departamento WHERE upper(p.nombre) = upper('"&amp;SUBSTITUTE(TRIM(G185),"'","''")&amp;"') AND upper(dp.nombre) = upper('"&amp;SUBSTITUTE(TRIM(F185),"'","''")&amp;"') AND p.estado = 1 LIMIT 1)")&amp;", "&amp;IF(OR(TRIM(F185&amp;"")="",TRIM(G185&amp;"")="",TRIM(H185&amp;"")=""),"NULL","(SELECT d.id FROM gen_distrito d JOIN gen_provincia p ON p.id = d.id_provincia JOIN gen_departamento dp ON dp.id = p.id_departamento WHERE upper(d.nombre) = upper('"&amp;SUBSTITUTE(TRIM(H185),"'","''")&amp;"') AND upper(p.nombre) = upper('"&amp;SUBSTITUTE(TRIM(G185),"'","''")&amp;"') AND upper(dp.nombre) = upper('"&amp;SUBSTITUTE(TRIM(F185),"'","''")&amp;"') AND d.estado = 1 LIMIT 1)")&amp;", "&amp;IF(I185&amp;""="","NULL",SUBSTITUTE(I185&amp;"",",","."))&amp;", "&amp;IF(J185&amp;""="","NULL",SUBSTITUTE(J185&amp;"",",","."))&amp;", "&amp;IF(UPPER(TRIM(K185&amp;""))="SI","TRUE","FALSE")&amp;", 1"&amp;" WHERE NOT EXISTS (SELECT 1 FROM cli_direcciones x WHERE x.id_cliente = "&amp;"(SELECT id FROM cli_clientes WHERE numero_documento = '"&amp;SUBSTITUTE(TRIM(A185),"'","''")&amp;"' AND estado = 1 LIMIT 1)"&amp;" AND upper(x.direccion) = upper("&amp;IF(TRIM(D185&amp;"")="","NULL","'"&amp;SUBSTITUTE(TRIM(D185),"'","''")&amp;"'")&amp;"));")</f>
        <v/>
      </c>
    </row>
    <row r="186" ht="15.75" customHeight="1" s="64">
      <c r="A186" s="23" t="n"/>
      <c r="B186" s="25">
        <f t="array" ref="B186">IF(A186="","",IFERROR(IF(INDEX(Clientes!$D$5:$D$549,MATCH(A186,Clientes!$C$5:$C$549,0))&lt;&gt;"",INDEX(Clientes!$D$5:$D$549,MATCH(A186,Clientes!$C$5:$C$549,0)),TRIM(INDEX(Clientes!$E$5:$E$549,MATCH(A186,Clientes!$C$5:$C$549,0))&amp;" "&amp;INDEX(Clientes!$F$5:$F$549,MATCH(A186,Clientes!$C$5:$C$549,0)))),"NO EXISTE en Clientes"))</f>
        <v/>
      </c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>
        <f>IF(AND(A186="",D186=""),"",IF(A186="","FALTA doc. cliente",IF(B186="NO EXISTE en Clientes","CLIENTE no está en hoja Clientes",IF(D186="","FALTA dirección",IF(AND(H186&lt;&gt;"",OR(F186="",G186="")),"Distrito requiere departamento y provincia",IF(AND(G186&lt;&gt;"",F186=""),"Provincia requiere departamento",IF((I186&lt;&gt;"")&lt;&gt;(J186&lt;&gt;""),"Latitud y longitud van juntas","OK")))))))</f>
        <v/>
      </c>
      <c r="M186" s="28">
        <f>IF(L186&lt;&gt;"OK","","INSERT INTO cli_direcciones (id_cliente, descripcion, direccion, referencia, id_departamento, id_provincia, id_distrito, latitud, longitud, es_principal, estado) SELECT "&amp;"(SELECT id FROM cli_clientes WHERE numero_documento = '"&amp;SUBSTITUTE(TRIM(A186),"'","''")&amp;"' AND estado = 1 LIMIT 1)"&amp;", "&amp;IF(TRIM(C186&amp;"")="","NULL","'"&amp;SUBSTITUTE(TRIM(C186),"'","''")&amp;"'")&amp;", "&amp;IF(TRIM(D186&amp;"")="","NULL","'"&amp;SUBSTITUTE(TRIM(D186),"'","''")&amp;"'")&amp;", "&amp;IF(TRIM(E186&amp;"")="","NULL","'"&amp;SUBSTITUTE(TRIM(E186),"'","''")&amp;"'")&amp;", "&amp;IF(TRIM(F186&amp;"")="","NULL","(SELECT id FROM gen_departamento WHERE upper(nombre) = upper('"&amp;SUBSTITUTE(TRIM(F186),"'","''")&amp;"') AND estado = 1 LIMIT 1)")&amp;", "&amp;IF(OR(TRIM(F186&amp;"")="",TRIM(G186&amp;"")=""),"NULL","(SELECT p.id FROM gen_provincia p JOIN gen_departamento dp ON dp.id = p.id_departamento WHERE upper(p.nombre) = upper('"&amp;SUBSTITUTE(TRIM(G186),"'","''")&amp;"') AND upper(dp.nombre) = upper('"&amp;SUBSTITUTE(TRIM(F186),"'","''")&amp;"') AND p.estado = 1 LIMIT 1)")&amp;", "&amp;IF(OR(TRIM(F186&amp;"")="",TRIM(G186&amp;"")="",TRIM(H186&amp;"")=""),"NULL","(SELECT d.id FROM gen_distrito d JOIN gen_provincia p ON p.id = d.id_provincia JOIN gen_departamento dp ON dp.id = p.id_departamento WHERE upper(d.nombre) = upper('"&amp;SUBSTITUTE(TRIM(H186),"'","''")&amp;"') AND upper(p.nombre) = upper('"&amp;SUBSTITUTE(TRIM(G186),"'","''")&amp;"') AND upper(dp.nombre) = upper('"&amp;SUBSTITUTE(TRIM(F186),"'","''")&amp;"') AND d.estado = 1 LIMIT 1)")&amp;", "&amp;IF(I186&amp;""="","NULL",SUBSTITUTE(I186&amp;"",",","."))&amp;", "&amp;IF(J186&amp;""="","NULL",SUBSTITUTE(J186&amp;"",",","."))&amp;", "&amp;IF(UPPER(TRIM(K186&amp;""))="SI","TRUE","FALSE")&amp;", 1"&amp;" WHERE NOT EXISTS (SELECT 1 FROM cli_direcciones x WHERE x.id_cliente = "&amp;"(SELECT id FROM cli_clientes WHERE numero_documento = '"&amp;SUBSTITUTE(TRIM(A186),"'","''")&amp;"' AND estado = 1 LIMIT 1)"&amp;" AND upper(x.direccion) = upper("&amp;IF(TRIM(D186&amp;"")="","NULL","'"&amp;SUBSTITUTE(TRIM(D186),"'","''")&amp;"'")&amp;"));")</f>
        <v/>
      </c>
    </row>
    <row r="187" ht="15.75" customHeight="1" s="64">
      <c r="A187" s="23" t="n"/>
      <c r="B187" s="25">
        <f t="array" ref="B187">IF(A187="","",IFERROR(IF(INDEX(Clientes!$D$5:$D$549,MATCH(A187,Clientes!$C$5:$C$549,0))&lt;&gt;"",INDEX(Clientes!$D$5:$D$549,MATCH(A187,Clientes!$C$5:$C$549,0)),TRIM(INDEX(Clientes!$E$5:$E$549,MATCH(A187,Clientes!$C$5:$C$549,0))&amp;" "&amp;INDEX(Clientes!$F$5:$F$549,MATCH(A187,Clientes!$C$5:$C$549,0)))),"NO EXISTE en Clientes"))</f>
        <v/>
      </c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>
        <f>IF(AND(A187="",D187=""),"",IF(A187="","FALTA doc. cliente",IF(B187="NO EXISTE en Clientes","CLIENTE no está en hoja Clientes",IF(D187="","FALTA dirección",IF(AND(H187&lt;&gt;"",OR(F187="",G187="")),"Distrito requiere departamento y provincia",IF(AND(G187&lt;&gt;"",F187=""),"Provincia requiere departamento",IF((I187&lt;&gt;"")&lt;&gt;(J187&lt;&gt;""),"Latitud y longitud van juntas","OK")))))))</f>
        <v/>
      </c>
      <c r="M187" s="28">
        <f>IF(L187&lt;&gt;"OK","","INSERT INTO cli_direcciones (id_cliente, descripcion, direccion, referencia, id_departamento, id_provincia, id_distrito, latitud, longitud, es_principal, estado) SELECT "&amp;"(SELECT id FROM cli_clientes WHERE numero_documento = '"&amp;SUBSTITUTE(TRIM(A187),"'","''")&amp;"' AND estado = 1 LIMIT 1)"&amp;", "&amp;IF(TRIM(C187&amp;"")="","NULL","'"&amp;SUBSTITUTE(TRIM(C187),"'","''")&amp;"'")&amp;", "&amp;IF(TRIM(D187&amp;"")="","NULL","'"&amp;SUBSTITUTE(TRIM(D187),"'","''")&amp;"'")&amp;", "&amp;IF(TRIM(E187&amp;"")="","NULL","'"&amp;SUBSTITUTE(TRIM(E187),"'","''")&amp;"'")&amp;", "&amp;IF(TRIM(F187&amp;"")="","NULL","(SELECT id FROM gen_departamento WHERE upper(nombre) = upper('"&amp;SUBSTITUTE(TRIM(F187),"'","''")&amp;"') AND estado = 1 LIMIT 1)")&amp;", "&amp;IF(OR(TRIM(F187&amp;"")="",TRIM(G187&amp;"")=""),"NULL","(SELECT p.id FROM gen_provincia p JOIN gen_departamento dp ON dp.id = p.id_departamento WHERE upper(p.nombre) = upper('"&amp;SUBSTITUTE(TRIM(G187),"'","''")&amp;"') AND upper(dp.nombre) = upper('"&amp;SUBSTITUTE(TRIM(F187),"'","''")&amp;"') AND p.estado = 1 LIMIT 1)")&amp;", "&amp;IF(OR(TRIM(F187&amp;"")="",TRIM(G187&amp;"")="",TRIM(H187&amp;"")=""),"NULL","(SELECT d.id FROM gen_distrito d JOIN gen_provincia p ON p.id = d.id_provincia JOIN gen_departamento dp ON dp.id = p.id_departamento WHERE upper(d.nombre) = upper('"&amp;SUBSTITUTE(TRIM(H187),"'","''")&amp;"') AND upper(p.nombre) = upper('"&amp;SUBSTITUTE(TRIM(G187),"'","''")&amp;"') AND upper(dp.nombre) = upper('"&amp;SUBSTITUTE(TRIM(F187),"'","''")&amp;"') AND d.estado = 1 LIMIT 1)")&amp;", "&amp;IF(I187&amp;""="","NULL",SUBSTITUTE(I187&amp;"",",","."))&amp;", "&amp;IF(J187&amp;""="","NULL",SUBSTITUTE(J187&amp;"",",","."))&amp;", "&amp;IF(UPPER(TRIM(K187&amp;""))="SI","TRUE","FALSE")&amp;", 1"&amp;" WHERE NOT EXISTS (SELECT 1 FROM cli_direcciones x WHERE x.id_cliente = "&amp;"(SELECT id FROM cli_clientes WHERE numero_documento = '"&amp;SUBSTITUTE(TRIM(A187),"'","''")&amp;"' AND estado = 1 LIMIT 1)"&amp;" AND upper(x.direccion) = upper("&amp;IF(TRIM(D187&amp;"")="","NULL","'"&amp;SUBSTITUTE(TRIM(D187),"'","''")&amp;"'")&amp;"));")</f>
        <v/>
      </c>
    </row>
    <row r="188" ht="15.75" customHeight="1" s="64">
      <c r="A188" s="23" t="n"/>
      <c r="B188" s="25">
        <f t="array" ref="B188">IF(A188="","",IFERROR(IF(INDEX(Clientes!$D$5:$D$549,MATCH(A188,Clientes!$C$5:$C$549,0))&lt;&gt;"",INDEX(Clientes!$D$5:$D$549,MATCH(A188,Clientes!$C$5:$C$549,0)),TRIM(INDEX(Clientes!$E$5:$E$549,MATCH(A188,Clientes!$C$5:$C$549,0))&amp;" "&amp;INDEX(Clientes!$F$5:$F$549,MATCH(A188,Clientes!$C$5:$C$549,0)))),"NO EXISTE en Clientes"))</f>
        <v/>
      </c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>
        <f>IF(AND(A188="",D188=""),"",IF(A188="","FALTA doc. cliente",IF(B188="NO EXISTE en Clientes","CLIENTE no está en hoja Clientes",IF(D188="","FALTA dirección",IF(AND(H188&lt;&gt;"",OR(F188="",G188="")),"Distrito requiere departamento y provincia",IF(AND(G188&lt;&gt;"",F188=""),"Provincia requiere departamento",IF((I188&lt;&gt;"")&lt;&gt;(J188&lt;&gt;""),"Latitud y longitud van juntas","OK")))))))</f>
        <v/>
      </c>
      <c r="M188" s="28">
        <f>IF(L188&lt;&gt;"OK","","INSERT INTO cli_direcciones (id_cliente, descripcion, direccion, referencia, id_departamento, id_provincia, id_distrito, latitud, longitud, es_principal, estado) SELECT "&amp;"(SELECT id FROM cli_clientes WHERE numero_documento = '"&amp;SUBSTITUTE(TRIM(A188),"'","''")&amp;"' AND estado = 1 LIMIT 1)"&amp;", "&amp;IF(TRIM(C188&amp;"")="","NULL","'"&amp;SUBSTITUTE(TRIM(C188),"'","''")&amp;"'")&amp;", "&amp;IF(TRIM(D188&amp;"")="","NULL","'"&amp;SUBSTITUTE(TRIM(D188),"'","''")&amp;"'")&amp;", "&amp;IF(TRIM(E188&amp;"")="","NULL","'"&amp;SUBSTITUTE(TRIM(E188),"'","''")&amp;"'")&amp;", "&amp;IF(TRIM(F188&amp;"")="","NULL","(SELECT id FROM gen_departamento WHERE upper(nombre) = upper('"&amp;SUBSTITUTE(TRIM(F188),"'","''")&amp;"') AND estado = 1 LIMIT 1)")&amp;", "&amp;IF(OR(TRIM(F188&amp;"")="",TRIM(G188&amp;"")=""),"NULL","(SELECT p.id FROM gen_provincia p JOIN gen_departamento dp ON dp.id = p.id_departamento WHERE upper(p.nombre) = upper('"&amp;SUBSTITUTE(TRIM(G188),"'","''")&amp;"') AND upper(dp.nombre) = upper('"&amp;SUBSTITUTE(TRIM(F188),"'","''")&amp;"') AND p.estado = 1 LIMIT 1)")&amp;", "&amp;IF(OR(TRIM(F188&amp;"")="",TRIM(G188&amp;"")="",TRIM(H188&amp;"")=""),"NULL","(SELECT d.id FROM gen_distrito d JOIN gen_provincia p ON p.id = d.id_provincia JOIN gen_departamento dp ON dp.id = p.id_departamento WHERE upper(d.nombre) = upper('"&amp;SUBSTITUTE(TRIM(H188),"'","''")&amp;"') AND upper(p.nombre) = upper('"&amp;SUBSTITUTE(TRIM(G188),"'","''")&amp;"') AND upper(dp.nombre) = upper('"&amp;SUBSTITUTE(TRIM(F188),"'","''")&amp;"') AND d.estado = 1 LIMIT 1)")&amp;", "&amp;IF(I188&amp;""="","NULL",SUBSTITUTE(I188&amp;"",",","."))&amp;", "&amp;IF(J188&amp;""="","NULL",SUBSTITUTE(J188&amp;"",",","."))&amp;", "&amp;IF(UPPER(TRIM(K188&amp;""))="SI","TRUE","FALSE")&amp;", 1"&amp;" WHERE NOT EXISTS (SELECT 1 FROM cli_direcciones x WHERE x.id_cliente = "&amp;"(SELECT id FROM cli_clientes WHERE numero_documento = '"&amp;SUBSTITUTE(TRIM(A188),"'","''")&amp;"' AND estado = 1 LIMIT 1)"&amp;" AND upper(x.direccion) = upper("&amp;IF(TRIM(D188&amp;"")="","NULL","'"&amp;SUBSTITUTE(TRIM(D188),"'","''")&amp;"'")&amp;"));")</f>
        <v/>
      </c>
    </row>
    <row r="189" ht="15.75" customHeight="1" s="64">
      <c r="A189" s="23" t="n"/>
      <c r="B189" s="25">
        <f t="array" ref="B189">IF(A189="","",IFERROR(IF(INDEX(Clientes!$D$5:$D$549,MATCH(A189,Clientes!$C$5:$C$549,0))&lt;&gt;"",INDEX(Clientes!$D$5:$D$549,MATCH(A189,Clientes!$C$5:$C$549,0)),TRIM(INDEX(Clientes!$E$5:$E$549,MATCH(A189,Clientes!$C$5:$C$549,0))&amp;" "&amp;INDEX(Clientes!$F$5:$F$549,MATCH(A189,Clientes!$C$5:$C$549,0)))),"NO EXISTE en Clientes"))</f>
        <v/>
      </c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>
        <f>IF(AND(A189="",D189=""),"",IF(A189="","FALTA doc. cliente",IF(B189="NO EXISTE en Clientes","CLIENTE no está en hoja Clientes",IF(D189="","FALTA dirección",IF(AND(H189&lt;&gt;"",OR(F189="",G189="")),"Distrito requiere departamento y provincia",IF(AND(G189&lt;&gt;"",F189=""),"Provincia requiere departamento",IF((I189&lt;&gt;"")&lt;&gt;(J189&lt;&gt;""),"Latitud y longitud van juntas","OK")))))))</f>
        <v/>
      </c>
      <c r="M189" s="28">
        <f>IF(L189&lt;&gt;"OK","","INSERT INTO cli_direcciones (id_cliente, descripcion, direccion, referencia, id_departamento, id_provincia, id_distrito, latitud, longitud, es_principal, estado) SELECT "&amp;"(SELECT id FROM cli_clientes WHERE numero_documento = '"&amp;SUBSTITUTE(TRIM(A189),"'","''")&amp;"' AND estado = 1 LIMIT 1)"&amp;", "&amp;IF(TRIM(C189&amp;"")="","NULL","'"&amp;SUBSTITUTE(TRIM(C189),"'","''")&amp;"'")&amp;", "&amp;IF(TRIM(D189&amp;"")="","NULL","'"&amp;SUBSTITUTE(TRIM(D189),"'","''")&amp;"'")&amp;", "&amp;IF(TRIM(E189&amp;"")="","NULL","'"&amp;SUBSTITUTE(TRIM(E189),"'","''")&amp;"'")&amp;", "&amp;IF(TRIM(F189&amp;"")="","NULL","(SELECT id FROM gen_departamento WHERE upper(nombre) = upper('"&amp;SUBSTITUTE(TRIM(F189),"'","''")&amp;"') AND estado = 1 LIMIT 1)")&amp;", "&amp;IF(OR(TRIM(F189&amp;"")="",TRIM(G189&amp;"")=""),"NULL","(SELECT p.id FROM gen_provincia p JOIN gen_departamento dp ON dp.id = p.id_departamento WHERE upper(p.nombre) = upper('"&amp;SUBSTITUTE(TRIM(G189),"'","''")&amp;"') AND upper(dp.nombre) = upper('"&amp;SUBSTITUTE(TRIM(F189),"'","''")&amp;"') AND p.estado = 1 LIMIT 1)")&amp;", "&amp;IF(OR(TRIM(F189&amp;"")="",TRIM(G189&amp;"")="",TRIM(H189&amp;"")=""),"NULL","(SELECT d.id FROM gen_distrito d JOIN gen_provincia p ON p.id = d.id_provincia JOIN gen_departamento dp ON dp.id = p.id_departamento WHERE upper(d.nombre) = upper('"&amp;SUBSTITUTE(TRIM(H189),"'","''")&amp;"') AND upper(p.nombre) = upper('"&amp;SUBSTITUTE(TRIM(G189),"'","''")&amp;"') AND upper(dp.nombre) = upper('"&amp;SUBSTITUTE(TRIM(F189),"'","''")&amp;"') AND d.estado = 1 LIMIT 1)")&amp;", "&amp;IF(I189&amp;""="","NULL",SUBSTITUTE(I189&amp;"",",","."))&amp;", "&amp;IF(J189&amp;""="","NULL",SUBSTITUTE(J189&amp;"",",","."))&amp;", "&amp;IF(UPPER(TRIM(K189&amp;""))="SI","TRUE","FALSE")&amp;", 1"&amp;" WHERE NOT EXISTS (SELECT 1 FROM cli_direcciones x WHERE x.id_cliente = "&amp;"(SELECT id FROM cli_clientes WHERE numero_documento = '"&amp;SUBSTITUTE(TRIM(A189),"'","''")&amp;"' AND estado = 1 LIMIT 1)"&amp;" AND upper(x.direccion) = upper("&amp;IF(TRIM(D189&amp;"")="","NULL","'"&amp;SUBSTITUTE(TRIM(D189),"'","''")&amp;"'")&amp;"));")</f>
        <v/>
      </c>
    </row>
    <row r="190" ht="15.75" customHeight="1" s="64">
      <c r="A190" s="23" t="n"/>
      <c r="B190" s="25">
        <f t="array" ref="B190">IF(A190="","",IFERROR(IF(INDEX(Clientes!$D$5:$D$549,MATCH(A190,Clientes!$C$5:$C$549,0))&lt;&gt;"",INDEX(Clientes!$D$5:$D$549,MATCH(A190,Clientes!$C$5:$C$549,0)),TRIM(INDEX(Clientes!$E$5:$E$549,MATCH(A190,Clientes!$C$5:$C$549,0))&amp;" "&amp;INDEX(Clientes!$F$5:$F$549,MATCH(A190,Clientes!$C$5:$C$549,0)))),"NO EXISTE en Clientes"))</f>
        <v/>
      </c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>
        <f>IF(AND(A190="",D190=""),"",IF(A190="","FALTA doc. cliente",IF(B190="NO EXISTE en Clientes","CLIENTE no está en hoja Clientes",IF(D190="","FALTA dirección",IF(AND(H190&lt;&gt;"",OR(F190="",G190="")),"Distrito requiere departamento y provincia",IF(AND(G190&lt;&gt;"",F190=""),"Provincia requiere departamento",IF((I190&lt;&gt;"")&lt;&gt;(J190&lt;&gt;""),"Latitud y longitud van juntas","OK")))))))</f>
        <v/>
      </c>
      <c r="M190" s="28">
        <f>IF(L190&lt;&gt;"OK","","INSERT INTO cli_direcciones (id_cliente, descripcion, direccion, referencia, id_departamento, id_provincia, id_distrito, latitud, longitud, es_principal, estado) SELECT "&amp;"(SELECT id FROM cli_clientes WHERE numero_documento = '"&amp;SUBSTITUTE(TRIM(A190),"'","''")&amp;"' AND estado = 1 LIMIT 1)"&amp;", "&amp;IF(TRIM(C190&amp;"")="","NULL","'"&amp;SUBSTITUTE(TRIM(C190),"'","''")&amp;"'")&amp;", "&amp;IF(TRIM(D190&amp;"")="","NULL","'"&amp;SUBSTITUTE(TRIM(D190),"'","''")&amp;"'")&amp;", "&amp;IF(TRIM(E190&amp;"")="","NULL","'"&amp;SUBSTITUTE(TRIM(E190),"'","''")&amp;"'")&amp;", "&amp;IF(TRIM(F190&amp;"")="","NULL","(SELECT id FROM gen_departamento WHERE upper(nombre) = upper('"&amp;SUBSTITUTE(TRIM(F190),"'","''")&amp;"') AND estado = 1 LIMIT 1)")&amp;", "&amp;IF(OR(TRIM(F190&amp;"")="",TRIM(G190&amp;"")=""),"NULL","(SELECT p.id FROM gen_provincia p JOIN gen_departamento dp ON dp.id = p.id_departamento WHERE upper(p.nombre) = upper('"&amp;SUBSTITUTE(TRIM(G190),"'","''")&amp;"') AND upper(dp.nombre) = upper('"&amp;SUBSTITUTE(TRIM(F190),"'","''")&amp;"') AND p.estado = 1 LIMIT 1)")&amp;", "&amp;IF(OR(TRIM(F190&amp;"")="",TRIM(G190&amp;"")="",TRIM(H190&amp;"")=""),"NULL","(SELECT d.id FROM gen_distrito d JOIN gen_provincia p ON p.id = d.id_provincia JOIN gen_departamento dp ON dp.id = p.id_departamento WHERE upper(d.nombre) = upper('"&amp;SUBSTITUTE(TRIM(H190),"'","''")&amp;"') AND upper(p.nombre) = upper('"&amp;SUBSTITUTE(TRIM(G190),"'","''")&amp;"') AND upper(dp.nombre) = upper('"&amp;SUBSTITUTE(TRIM(F190),"'","''")&amp;"') AND d.estado = 1 LIMIT 1)")&amp;", "&amp;IF(I190&amp;""="","NULL",SUBSTITUTE(I190&amp;"",",","."))&amp;", "&amp;IF(J190&amp;""="","NULL",SUBSTITUTE(J190&amp;"",",","."))&amp;", "&amp;IF(UPPER(TRIM(K190&amp;""))="SI","TRUE","FALSE")&amp;", 1"&amp;" WHERE NOT EXISTS (SELECT 1 FROM cli_direcciones x WHERE x.id_cliente = "&amp;"(SELECT id FROM cli_clientes WHERE numero_documento = '"&amp;SUBSTITUTE(TRIM(A190),"'","''")&amp;"' AND estado = 1 LIMIT 1)"&amp;" AND upper(x.direccion) = upper("&amp;IF(TRIM(D190&amp;"")="","NULL","'"&amp;SUBSTITUTE(TRIM(D190),"'","''")&amp;"'")&amp;"));")</f>
        <v/>
      </c>
    </row>
    <row r="191" ht="15.75" customHeight="1" s="64">
      <c r="A191" s="23" t="n"/>
      <c r="B191" s="25">
        <f t="array" ref="B191">IF(A191="","",IFERROR(IF(INDEX(Clientes!$D$5:$D$549,MATCH(A191,Clientes!$C$5:$C$549,0))&lt;&gt;"",INDEX(Clientes!$D$5:$D$549,MATCH(A191,Clientes!$C$5:$C$549,0)),TRIM(INDEX(Clientes!$E$5:$E$549,MATCH(A191,Clientes!$C$5:$C$549,0))&amp;" "&amp;INDEX(Clientes!$F$5:$F$549,MATCH(A191,Clientes!$C$5:$C$549,0)))),"NO EXISTE en Clientes"))</f>
        <v/>
      </c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>
        <f>IF(AND(A191="",D191=""),"",IF(A191="","FALTA doc. cliente",IF(B191="NO EXISTE en Clientes","CLIENTE no está en hoja Clientes",IF(D191="","FALTA dirección",IF(AND(H191&lt;&gt;"",OR(F191="",G191="")),"Distrito requiere departamento y provincia",IF(AND(G191&lt;&gt;"",F191=""),"Provincia requiere departamento",IF((I191&lt;&gt;"")&lt;&gt;(J191&lt;&gt;""),"Latitud y longitud van juntas","OK")))))))</f>
        <v/>
      </c>
      <c r="M191" s="28">
        <f>IF(L191&lt;&gt;"OK","","INSERT INTO cli_direcciones (id_cliente, descripcion, direccion, referencia, id_departamento, id_provincia, id_distrito, latitud, longitud, es_principal, estado) SELECT "&amp;"(SELECT id FROM cli_clientes WHERE numero_documento = '"&amp;SUBSTITUTE(TRIM(A191),"'","''")&amp;"' AND estado = 1 LIMIT 1)"&amp;", "&amp;IF(TRIM(C191&amp;"")="","NULL","'"&amp;SUBSTITUTE(TRIM(C191),"'","''")&amp;"'")&amp;", "&amp;IF(TRIM(D191&amp;"")="","NULL","'"&amp;SUBSTITUTE(TRIM(D191),"'","''")&amp;"'")&amp;", "&amp;IF(TRIM(E191&amp;"")="","NULL","'"&amp;SUBSTITUTE(TRIM(E191),"'","''")&amp;"'")&amp;", "&amp;IF(TRIM(F191&amp;"")="","NULL","(SELECT id FROM gen_departamento WHERE upper(nombre) = upper('"&amp;SUBSTITUTE(TRIM(F191),"'","''")&amp;"') AND estado = 1 LIMIT 1)")&amp;", "&amp;IF(OR(TRIM(F191&amp;"")="",TRIM(G191&amp;"")=""),"NULL","(SELECT p.id FROM gen_provincia p JOIN gen_departamento dp ON dp.id = p.id_departamento WHERE upper(p.nombre) = upper('"&amp;SUBSTITUTE(TRIM(G191),"'","''")&amp;"') AND upper(dp.nombre) = upper('"&amp;SUBSTITUTE(TRIM(F191),"'","''")&amp;"') AND p.estado = 1 LIMIT 1)")&amp;", "&amp;IF(OR(TRIM(F191&amp;"")="",TRIM(G191&amp;"")="",TRIM(H191&amp;"")=""),"NULL","(SELECT d.id FROM gen_distrito d JOIN gen_provincia p ON p.id = d.id_provincia JOIN gen_departamento dp ON dp.id = p.id_departamento WHERE upper(d.nombre) = upper('"&amp;SUBSTITUTE(TRIM(H191),"'","''")&amp;"') AND upper(p.nombre) = upper('"&amp;SUBSTITUTE(TRIM(G191),"'","''")&amp;"') AND upper(dp.nombre) = upper('"&amp;SUBSTITUTE(TRIM(F191),"'","''")&amp;"') AND d.estado = 1 LIMIT 1)")&amp;", "&amp;IF(I191&amp;""="","NULL",SUBSTITUTE(I191&amp;"",",","."))&amp;", "&amp;IF(J191&amp;""="","NULL",SUBSTITUTE(J191&amp;"",",","."))&amp;", "&amp;IF(UPPER(TRIM(K191&amp;""))="SI","TRUE","FALSE")&amp;", 1"&amp;" WHERE NOT EXISTS (SELECT 1 FROM cli_direcciones x WHERE x.id_cliente = "&amp;"(SELECT id FROM cli_clientes WHERE numero_documento = '"&amp;SUBSTITUTE(TRIM(A191),"'","''")&amp;"' AND estado = 1 LIMIT 1)"&amp;" AND upper(x.direccion) = upper("&amp;IF(TRIM(D191&amp;"")="","NULL","'"&amp;SUBSTITUTE(TRIM(D191),"'","''")&amp;"'")&amp;"));")</f>
        <v/>
      </c>
    </row>
    <row r="192" ht="15.75" customHeight="1" s="64">
      <c r="A192" s="23" t="n"/>
      <c r="B192" s="25">
        <f t="array" ref="B192">IF(A192="","",IFERROR(IF(INDEX(Clientes!$D$5:$D$549,MATCH(A192,Clientes!$C$5:$C$549,0))&lt;&gt;"",INDEX(Clientes!$D$5:$D$549,MATCH(A192,Clientes!$C$5:$C$549,0)),TRIM(INDEX(Clientes!$E$5:$E$549,MATCH(A192,Clientes!$C$5:$C$549,0))&amp;" "&amp;INDEX(Clientes!$F$5:$F$549,MATCH(A192,Clientes!$C$5:$C$549,0)))),"NO EXISTE en Clientes"))</f>
        <v/>
      </c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>
        <f>IF(AND(A192="",D192=""),"",IF(A192="","FALTA doc. cliente",IF(B192="NO EXISTE en Clientes","CLIENTE no está en hoja Clientes",IF(D192="","FALTA dirección",IF(AND(H192&lt;&gt;"",OR(F192="",G192="")),"Distrito requiere departamento y provincia",IF(AND(G192&lt;&gt;"",F192=""),"Provincia requiere departamento",IF((I192&lt;&gt;"")&lt;&gt;(J192&lt;&gt;""),"Latitud y longitud van juntas","OK")))))))</f>
        <v/>
      </c>
      <c r="M192" s="28">
        <f>IF(L192&lt;&gt;"OK","","INSERT INTO cli_direcciones (id_cliente, descripcion, direccion, referencia, id_departamento, id_provincia, id_distrito, latitud, longitud, es_principal, estado) SELECT "&amp;"(SELECT id FROM cli_clientes WHERE numero_documento = '"&amp;SUBSTITUTE(TRIM(A192),"'","''")&amp;"' AND estado = 1 LIMIT 1)"&amp;", "&amp;IF(TRIM(C192&amp;"")="","NULL","'"&amp;SUBSTITUTE(TRIM(C192),"'","''")&amp;"'")&amp;", "&amp;IF(TRIM(D192&amp;"")="","NULL","'"&amp;SUBSTITUTE(TRIM(D192),"'","''")&amp;"'")&amp;", "&amp;IF(TRIM(E192&amp;"")="","NULL","'"&amp;SUBSTITUTE(TRIM(E192),"'","''")&amp;"'")&amp;", "&amp;IF(TRIM(F192&amp;"")="","NULL","(SELECT id FROM gen_departamento WHERE upper(nombre) = upper('"&amp;SUBSTITUTE(TRIM(F192),"'","''")&amp;"') AND estado = 1 LIMIT 1)")&amp;", "&amp;IF(OR(TRIM(F192&amp;"")="",TRIM(G192&amp;"")=""),"NULL","(SELECT p.id FROM gen_provincia p JOIN gen_departamento dp ON dp.id = p.id_departamento WHERE upper(p.nombre) = upper('"&amp;SUBSTITUTE(TRIM(G192),"'","''")&amp;"') AND upper(dp.nombre) = upper('"&amp;SUBSTITUTE(TRIM(F192),"'","''")&amp;"') AND p.estado = 1 LIMIT 1)")&amp;", "&amp;IF(OR(TRIM(F192&amp;"")="",TRIM(G192&amp;"")="",TRIM(H192&amp;"")=""),"NULL","(SELECT d.id FROM gen_distrito d JOIN gen_provincia p ON p.id = d.id_provincia JOIN gen_departamento dp ON dp.id = p.id_departamento WHERE upper(d.nombre) = upper('"&amp;SUBSTITUTE(TRIM(H192),"'","''")&amp;"') AND upper(p.nombre) = upper('"&amp;SUBSTITUTE(TRIM(G192),"'","''")&amp;"') AND upper(dp.nombre) = upper('"&amp;SUBSTITUTE(TRIM(F192),"'","''")&amp;"') AND d.estado = 1 LIMIT 1)")&amp;", "&amp;IF(I192&amp;""="","NULL",SUBSTITUTE(I192&amp;"",",","."))&amp;", "&amp;IF(J192&amp;""="","NULL",SUBSTITUTE(J192&amp;"",",","."))&amp;", "&amp;IF(UPPER(TRIM(K192&amp;""))="SI","TRUE","FALSE")&amp;", 1"&amp;" WHERE NOT EXISTS (SELECT 1 FROM cli_direcciones x WHERE x.id_cliente = "&amp;"(SELECT id FROM cli_clientes WHERE numero_documento = '"&amp;SUBSTITUTE(TRIM(A192),"'","''")&amp;"' AND estado = 1 LIMIT 1)"&amp;" AND upper(x.direccion) = upper("&amp;IF(TRIM(D192&amp;"")="","NULL","'"&amp;SUBSTITUTE(TRIM(D192),"'","''")&amp;"'")&amp;"));")</f>
        <v/>
      </c>
    </row>
    <row r="193" ht="15.75" customHeight="1" s="64">
      <c r="A193" s="23" t="n"/>
      <c r="B193" s="25">
        <f t="array" ref="B193">IF(A193="","",IFERROR(IF(INDEX(Clientes!$D$5:$D$549,MATCH(A193,Clientes!$C$5:$C$549,0))&lt;&gt;"",INDEX(Clientes!$D$5:$D$549,MATCH(A193,Clientes!$C$5:$C$549,0)),TRIM(INDEX(Clientes!$E$5:$E$549,MATCH(A193,Clientes!$C$5:$C$549,0))&amp;" "&amp;INDEX(Clientes!$F$5:$F$549,MATCH(A193,Clientes!$C$5:$C$549,0)))),"NO EXISTE en Clientes"))</f>
        <v/>
      </c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>
        <f>IF(AND(A193="",D193=""),"",IF(A193="","FALTA doc. cliente",IF(B193="NO EXISTE en Clientes","CLIENTE no está en hoja Clientes",IF(D193="","FALTA dirección",IF(AND(H193&lt;&gt;"",OR(F193="",G193="")),"Distrito requiere departamento y provincia",IF(AND(G193&lt;&gt;"",F193=""),"Provincia requiere departamento",IF((I193&lt;&gt;"")&lt;&gt;(J193&lt;&gt;""),"Latitud y longitud van juntas","OK")))))))</f>
        <v/>
      </c>
      <c r="M193" s="28">
        <f>IF(L193&lt;&gt;"OK","","INSERT INTO cli_direcciones (id_cliente, descripcion, direccion, referencia, id_departamento, id_provincia, id_distrito, latitud, longitud, es_principal, estado) SELECT "&amp;"(SELECT id FROM cli_clientes WHERE numero_documento = '"&amp;SUBSTITUTE(TRIM(A193),"'","''")&amp;"' AND estado = 1 LIMIT 1)"&amp;", "&amp;IF(TRIM(C193&amp;"")="","NULL","'"&amp;SUBSTITUTE(TRIM(C193),"'","''")&amp;"'")&amp;", "&amp;IF(TRIM(D193&amp;"")="","NULL","'"&amp;SUBSTITUTE(TRIM(D193),"'","''")&amp;"'")&amp;", "&amp;IF(TRIM(E193&amp;"")="","NULL","'"&amp;SUBSTITUTE(TRIM(E193),"'","''")&amp;"'")&amp;", "&amp;IF(TRIM(F193&amp;"")="","NULL","(SELECT id FROM gen_departamento WHERE upper(nombre) = upper('"&amp;SUBSTITUTE(TRIM(F193),"'","''")&amp;"') AND estado = 1 LIMIT 1)")&amp;", "&amp;IF(OR(TRIM(F193&amp;"")="",TRIM(G193&amp;"")=""),"NULL","(SELECT p.id FROM gen_provincia p JOIN gen_departamento dp ON dp.id = p.id_departamento WHERE upper(p.nombre) = upper('"&amp;SUBSTITUTE(TRIM(G193),"'","''")&amp;"') AND upper(dp.nombre) = upper('"&amp;SUBSTITUTE(TRIM(F193),"'","''")&amp;"') AND p.estado = 1 LIMIT 1)")&amp;", "&amp;IF(OR(TRIM(F193&amp;"")="",TRIM(G193&amp;"")="",TRIM(H193&amp;"")=""),"NULL","(SELECT d.id FROM gen_distrito d JOIN gen_provincia p ON p.id = d.id_provincia JOIN gen_departamento dp ON dp.id = p.id_departamento WHERE upper(d.nombre) = upper('"&amp;SUBSTITUTE(TRIM(H193),"'","''")&amp;"') AND upper(p.nombre) = upper('"&amp;SUBSTITUTE(TRIM(G193),"'","''")&amp;"') AND upper(dp.nombre) = upper('"&amp;SUBSTITUTE(TRIM(F193),"'","''")&amp;"') AND d.estado = 1 LIMIT 1)")&amp;", "&amp;IF(I193&amp;""="","NULL",SUBSTITUTE(I193&amp;"",",","."))&amp;", "&amp;IF(J193&amp;""="","NULL",SUBSTITUTE(J193&amp;"",",","."))&amp;", "&amp;IF(UPPER(TRIM(K193&amp;""))="SI","TRUE","FALSE")&amp;", 1"&amp;" WHERE NOT EXISTS (SELECT 1 FROM cli_direcciones x WHERE x.id_cliente = "&amp;"(SELECT id FROM cli_clientes WHERE numero_documento = '"&amp;SUBSTITUTE(TRIM(A193),"'","''")&amp;"' AND estado = 1 LIMIT 1)"&amp;" AND upper(x.direccion) = upper("&amp;IF(TRIM(D193&amp;"")="","NULL","'"&amp;SUBSTITUTE(TRIM(D193),"'","''")&amp;"'")&amp;"));")</f>
        <v/>
      </c>
    </row>
    <row r="194" ht="15.75" customHeight="1" s="64">
      <c r="A194" s="23" t="n"/>
      <c r="B194" s="25">
        <f t="array" ref="B194">IF(A194="","",IFERROR(IF(INDEX(Clientes!$D$5:$D$549,MATCH(A194,Clientes!$C$5:$C$549,0))&lt;&gt;"",INDEX(Clientes!$D$5:$D$549,MATCH(A194,Clientes!$C$5:$C$549,0)),TRIM(INDEX(Clientes!$E$5:$E$549,MATCH(A194,Clientes!$C$5:$C$549,0))&amp;" "&amp;INDEX(Clientes!$F$5:$F$549,MATCH(A194,Clientes!$C$5:$C$549,0)))),"NO EXISTE en Clientes"))</f>
        <v/>
      </c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>
        <f>IF(AND(A194="",D194=""),"",IF(A194="","FALTA doc. cliente",IF(B194="NO EXISTE en Clientes","CLIENTE no está en hoja Clientes",IF(D194="","FALTA dirección",IF(AND(H194&lt;&gt;"",OR(F194="",G194="")),"Distrito requiere departamento y provincia",IF(AND(G194&lt;&gt;"",F194=""),"Provincia requiere departamento",IF((I194&lt;&gt;"")&lt;&gt;(J194&lt;&gt;""),"Latitud y longitud van juntas","OK")))))))</f>
        <v/>
      </c>
      <c r="M194" s="28">
        <f>IF(L194&lt;&gt;"OK","","INSERT INTO cli_direcciones (id_cliente, descripcion, direccion, referencia, id_departamento, id_provincia, id_distrito, latitud, longitud, es_principal, estado) SELECT "&amp;"(SELECT id FROM cli_clientes WHERE numero_documento = '"&amp;SUBSTITUTE(TRIM(A194),"'","''")&amp;"' AND estado = 1 LIMIT 1)"&amp;", "&amp;IF(TRIM(C194&amp;"")="","NULL","'"&amp;SUBSTITUTE(TRIM(C194),"'","''")&amp;"'")&amp;", "&amp;IF(TRIM(D194&amp;"")="","NULL","'"&amp;SUBSTITUTE(TRIM(D194),"'","''")&amp;"'")&amp;", "&amp;IF(TRIM(E194&amp;"")="","NULL","'"&amp;SUBSTITUTE(TRIM(E194),"'","''")&amp;"'")&amp;", "&amp;IF(TRIM(F194&amp;"")="","NULL","(SELECT id FROM gen_departamento WHERE upper(nombre) = upper('"&amp;SUBSTITUTE(TRIM(F194),"'","''")&amp;"') AND estado = 1 LIMIT 1)")&amp;", "&amp;IF(OR(TRIM(F194&amp;"")="",TRIM(G194&amp;"")=""),"NULL","(SELECT p.id FROM gen_provincia p JOIN gen_departamento dp ON dp.id = p.id_departamento WHERE upper(p.nombre) = upper('"&amp;SUBSTITUTE(TRIM(G194),"'","''")&amp;"') AND upper(dp.nombre) = upper('"&amp;SUBSTITUTE(TRIM(F194),"'","''")&amp;"') AND p.estado = 1 LIMIT 1)")&amp;", "&amp;IF(OR(TRIM(F194&amp;"")="",TRIM(G194&amp;"")="",TRIM(H194&amp;"")=""),"NULL","(SELECT d.id FROM gen_distrito d JOIN gen_provincia p ON p.id = d.id_provincia JOIN gen_departamento dp ON dp.id = p.id_departamento WHERE upper(d.nombre) = upper('"&amp;SUBSTITUTE(TRIM(H194),"'","''")&amp;"') AND upper(p.nombre) = upper('"&amp;SUBSTITUTE(TRIM(G194),"'","''")&amp;"') AND upper(dp.nombre) = upper('"&amp;SUBSTITUTE(TRIM(F194),"'","''")&amp;"') AND d.estado = 1 LIMIT 1)")&amp;", "&amp;IF(I194&amp;""="","NULL",SUBSTITUTE(I194&amp;"",",","."))&amp;", "&amp;IF(J194&amp;""="","NULL",SUBSTITUTE(J194&amp;"",",","."))&amp;", "&amp;IF(UPPER(TRIM(K194&amp;""))="SI","TRUE","FALSE")&amp;", 1"&amp;" WHERE NOT EXISTS (SELECT 1 FROM cli_direcciones x WHERE x.id_cliente = "&amp;"(SELECT id FROM cli_clientes WHERE numero_documento = '"&amp;SUBSTITUTE(TRIM(A194),"'","''")&amp;"' AND estado = 1 LIMIT 1)"&amp;" AND upper(x.direccion) = upper("&amp;IF(TRIM(D194&amp;"")="","NULL","'"&amp;SUBSTITUTE(TRIM(D194),"'","''")&amp;"'")&amp;"));")</f>
        <v/>
      </c>
    </row>
    <row r="195" ht="15.75" customHeight="1" s="64">
      <c r="A195" s="23" t="n"/>
      <c r="B195" s="25">
        <f t="array" ref="B195">IF(A195="","",IFERROR(IF(INDEX(Clientes!$D$5:$D$549,MATCH(A195,Clientes!$C$5:$C$549,0))&lt;&gt;"",INDEX(Clientes!$D$5:$D$549,MATCH(A195,Clientes!$C$5:$C$549,0)),TRIM(INDEX(Clientes!$E$5:$E$549,MATCH(A195,Clientes!$C$5:$C$549,0))&amp;" "&amp;INDEX(Clientes!$F$5:$F$549,MATCH(A195,Clientes!$C$5:$C$549,0)))),"NO EXISTE en Clientes"))</f>
        <v/>
      </c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>
        <f>IF(AND(A195="",D195=""),"",IF(A195="","FALTA doc. cliente",IF(B195="NO EXISTE en Clientes","CLIENTE no está en hoja Clientes",IF(D195="","FALTA dirección",IF(AND(H195&lt;&gt;"",OR(F195="",G195="")),"Distrito requiere departamento y provincia",IF(AND(G195&lt;&gt;"",F195=""),"Provincia requiere departamento",IF((I195&lt;&gt;"")&lt;&gt;(J195&lt;&gt;""),"Latitud y longitud van juntas","OK")))))))</f>
        <v/>
      </c>
      <c r="M195" s="28">
        <f>IF(L195&lt;&gt;"OK","","INSERT INTO cli_direcciones (id_cliente, descripcion, direccion, referencia, id_departamento, id_provincia, id_distrito, latitud, longitud, es_principal, estado) SELECT "&amp;"(SELECT id FROM cli_clientes WHERE numero_documento = '"&amp;SUBSTITUTE(TRIM(A195),"'","''")&amp;"' AND estado = 1 LIMIT 1)"&amp;", "&amp;IF(TRIM(C195&amp;"")="","NULL","'"&amp;SUBSTITUTE(TRIM(C195),"'","''")&amp;"'")&amp;", "&amp;IF(TRIM(D195&amp;"")="","NULL","'"&amp;SUBSTITUTE(TRIM(D195),"'","''")&amp;"'")&amp;", "&amp;IF(TRIM(E195&amp;"")="","NULL","'"&amp;SUBSTITUTE(TRIM(E195),"'","''")&amp;"'")&amp;", "&amp;IF(TRIM(F195&amp;"")="","NULL","(SELECT id FROM gen_departamento WHERE upper(nombre) = upper('"&amp;SUBSTITUTE(TRIM(F195),"'","''")&amp;"') AND estado = 1 LIMIT 1)")&amp;", "&amp;IF(OR(TRIM(F195&amp;"")="",TRIM(G195&amp;"")=""),"NULL","(SELECT p.id FROM gen_provincia p JOIN gen_departamento dp ON dp.id = p.id_departamento WHERE upper(p.nombre) = upper('"&amp;SUBSTITUTE(TRIM(G195),"'","''")&amp;"') AND upper(dp.nombre) = upper('"&amp;SUBSTITUTE(TRIM(F195),"'","''")&amp;"') AND p.estado = 1 LIMIT 1)")&amp;", "&amp;IF(OR(TRIM(F195&amp;"")="",TRIM(G195&amp;"")="",TRIM(H195&amp;"")=""),"NULL","(SELECT d.id FROM gen_distrito d JOIN gen_provincia p ON p.id = d.id_provincia JOIN gen_departamento dp ON dp.id = p.id_departamento WHERE upper(d.nombre) = upper('"&amp;SUBSTITUTE(TRIM(H195),"'","''")&amp;"') AND upper(p.nombre) = upper('"&amp;SUBSTITUTE(TRIM(G195),"'","''")&amp;"') AND upper(dp.nombre) = upper('"&amp;SUBSTITUTE(TRIM(F195),"'","''")&amp;"') AND d.estado = 1 LIMIT 1)")&amp;", "&amp;IF(I195&amp;""="","NULL",SUBSTITUTE(I195&amp;"",",","."))&amp;", "&amp;IF(J195&amp;""="","NULL",SUBSTITUTE(J195&amp;"",",","."))&amp;", "&amp;IF(UPPER(TRIM(K195&amp;""))="SI","TRUE","FALSE")&amp;", 1"&amp;" WHERE NOT EXISTS (SELECT 1 FROM cli_direcciones x WHERE x.id_cliente = "&amp;"(SELECT id FROM cli_clientes WHERE numero_documento = '"&amp;SUBSTITUTE(TRIM(A195),"'","''")&amp;"' AND estado = 1 LIMIT 1)"&amp;" AND upper(x.direccion) = upper("&amp;IF(TRIM(D195&amp;"")="","NULL","'"&amp;SUBSTITUTE(TRIM(D195),"'","''")&amp;"'")&amp;"));")</f>
        <v/>
      </c>
    </row>
    <row r="196" ht="15.75" customHeight="1" s="64">
      <c r="A196" s="23" t="n"/>
      <c r="B196" s="25">
        <f t="array" ref="B196">IF(A196="","",IFERROR(IF(INDEX(Clientes!$D$5:$D$549,MATCH(A196,Clientes!$C$5:$C$549,0))&lt;&gt;"",INDEX(Clientes!$D$5:$D$549,MATCH(A196,Clientes!$C$5:$C$549,0)),TRIM(INDEX(Clientes!$E$5:$E$549,MATCH(A196,Clientes!$C$5:$C$549,0))&amp;" "&amp;INDEX(Clientes!$F$5:$F$549,MATCH(A196,Clientes!$C$5:$C$549,0)))),"NO EXISTE en Clientes"))</f>
        <v/>
      </c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>
        <f>IF(AND(A196="",D196=""),"",IF(A196="","FALTA doc. cliente",IF(B196="NO EXISTE en Clientes","CLIENTE no está en hoja Clientes",IF(D196="","FALTA dirección",IF(AND(H196&lt;&gt;"",OR(F196="",G196="")),"Distrito requiere departamento y provincia",IF(AND(G196&lt;&gt;"",F196=""),"Provincia requiere departamento",IF((I196&lt;&gt;"")&lt;&gt;(J196&lt;&gt;""),"Latitud y longitud van juntas","OK")))))))</f>
        <v/>
      </c>
      <c r="M196" s="28">
        <f>IF(L196&lt;&gt;"OK","","INSERT INTO cli_direcciones (id_cliente, descripcion, direccion, referencia, id_departamento, id_provincia, id_distrito, latitud, longitud, es_principal, estado) SELECT "&amp;"(SELECT id FROM cli_clientes WHERE numero_documento = '"&amp;SUBSTITUTE(TRIM(A196),"'","''")&amp;"' AND estado = 1 LIMIT 1)"&amp;", "&amp;IF(TRIM(C196&amp;"")="","NULL","'"&amp;SUBSTITUTE(TRIM(C196),"'","''")&amp;"'")&amp;", "&amp;IF(TRIM(D196&amp;"")="","NULL","'"&amp;SUBSTITUTE(TRIM(D196),"'","''")&amp;"'")&amp;", "&amp;IF(TRIM(E196&amp;"")="","NULL","'"&amp;SUBSTITUTE(TRIM(E196),"'","''")&amp;"'")&amp;", "&amp;IF(TRIM(F196&amp;"")="","NULL","(SELECT id FROM gen_departamento WHERE upper(nombre) = upper('"&amp;SUBSTITUTE(TRIM(F196),"'","''")&amp;"') AND estado = 1 LIMIT 1)")&amp;", "&amp;IF(OR(TRIM(F196&amp;"")="",TRIM(G196&amp;"")=""),"NULL","(SELECT p.id FROM gen_provincia p JOIN gen_departamento dp ON dp.id = p.id_departamento WHERE upper(p.nombre) = upper('"&amp;SUBSTITUTE(TRIM(G196),"'","''")&amp;"') AND upper(dp.nombre) = upper('"&amp;SUBSTITUTE(TRIM(F196),"'","''")&amp;"') AND p.estado = 1 LIMIT 1)")&amp;", "&amp;IF(OR(TRIM(F196&amp;"")="",TRIM(G196&amp;"")="",TRIM(H196&amp;"")=""),"NULL","(SELECT d.id FROM gen_distrito d JOIN gen_provincia p ON p.id = d.id_provincia JOIN gen_departamento dp ON dp.id = p.id_departamento WHERE upper(d.nombre) = upper('"&amp;SUBSTITUTE(TRIM(H196),"'","''")&amp;"') AND upper(p.nombre) = upper('"&amp;SUBSTITUTE(TRIM(G196),"'","''")&amp;"') AND upper(dp.nombre) = upper('"&amp;SUBSTITUTE(TRIM(F196),"'","''")&amp;"') AND d.estado = 1 LIMIT 1)")&amp;", "&amp;IF(I196&amp;""="","NULL",SUBSTITUTE(I196&amp;"",",","."))&amp;", "&amp;IF(J196&amp;""="","NULL",SUBSTITUTE(J196&amp;"",",","."))&amp;", "&amp;IF(UPPER(TRIM(K196&amp;""))="SI","TRUE","FALSE")&amp;", 1"&amp;" WHERE NOT EXISTS (SELECT 1 FROM cli_direcciones x WHERE x.id_cliente = "&amp;"(SELECT id FROM cli_clientes WHERE numero_documento = '"&amp;SUBSTITUTE(TRIM(A196),"'","''")&amp;"' AND estado = 1 LIMIT 1)"&amp;" AND upper(x.direccion) = upper("&amp;IF(TRIM(D196&amp;"")="","NULL","'"&amp;SUBSTITUTE(TRIM(D196),"'","''")&amp;"'")&amp;"));")</f>
        <v/>
      </c>
    </row>
    <row r="197" ht="15.75" customHeight="1" s="64">
      <c r="A197" s="23" t="n"/>
      <c r="B197" s="25">
        <f t="array" ref="B197">IF(A197="","",IFERROR(IF(INDEX(Clientes!$D$5:$D$549,MATCH(A197,Clientes!$C$5:$C$549,0))&lt;&gt;"",INDEX(Clientes!$D$5:$D$549,MATCH(A197,Clientes!$C$5:$C$549,0)),TRIM(INDEX(Clientes!$E$5:$E$549,MATCH(A197,Clientes!$C$5:$C$549,0))&amp;" "&amp;INDEX(Clientes!$F$5:$F$549,MATCH(A197,Clientes!$C$5:$C$549,0)))),"NO EXISTE en Clientes"))</f>
        <v/>
      </c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>
        <f>IF(AND(A197="",D197=""),"",IF(A197="","FALTA doc. cliente",IF(B197="NO EXISTE en Clientes","CLIENTE no está en hoja Clientes",IF(D197="","FALTA dirección",IF(AND(H197&lt;&gt;"",OR(F197="",G197="")),"Distrito requiere departamento y provincia",IF(AND(G197&lt;&gt;"",F197=""),"Provincia requiere departamento",IF((I197&lt;&gt;"")&lt;&gt;(J197&lt;&gt;""),"Latitud y longitud van juntas","OK")))))))</f>
        <v/>
      </c>
      <c r="M197" s="28">
        <f>IF(L197&lt;&gt;"OK","","INSERT INTO cli_direcciones (id_cliente, descripcion, direccion, referencia, id_departamento, id_provincia, id_distrito, latitud, longitud, es_principal, estado) SELECT "&amp;"(SELECT id FROM cli_clientes WHERE numero_documento = '"&amp;SUBSTITUTE(TRIM(A197),"'","''")&amp;"' AND estado = 1 LIMIT 1)"&amp;", "&amp;IF(TRIM(C197&amp;"")="","NULL","'"&amp;SUBSTITUTE(TRIM(C197),"'","''")&amp;"'")&amp;", "&amp;IF(TRIM(D197&amp;"")="","NULL","'"&amp;SUBSTITUTE(TRIM(D197),"'","''")&amp;"'")&amp;", "&amp;IF(TRIM(E197&amp;"")="","NULL","'"&amp;SUBSTITUTE(TRIM(E197),"'","''")&amp;"'")&amp;", "&amp;IF(TRIM(F197&amp;"")="","NULL","(SELECT id FROM gen_departamento WHERE upper(nombre) = upper('"&amp;SUBSTITUTE(TRIM(F197),"'","''")&amp;"') AND estado = 1 LIMIT 1)")&amp;", "&amp;IF(OR(TRIM(F197&amp;"")="",TRIM(G197&amp;"")=""),"NULL","(SELECT p.id FROM gen_provincia p JOIN gen_departamento dp ON dp.id = p.id_departamento WHERE upper(p.nombre) = upper('"&amp;SUBSTITUTE(TRIM(G197),"'","''")&amp;"') AND upper(dp.nombre) = upper('"&amp;SUBSTITUTE(TRIM(F197),"'","''")&amp;"') AND p.estado = 1 LIMIT 1)")&amp;", "&amp;IF(OR(TRIM(F197&amp;"")="",TRIM(G197&amp;"")="",TRIM(H197&amp;"")=""),"NULL","(SELECT d.id FROM gen_distrito d JOIN gen_provincia p ON p.id = d.id_provincia JOIN gen_departamento dp ON dp.id = p.id_departamento WHERE upper(d.nombre) = upper('"&amp;SUBSTITUTE(TRIM(H197),"'","''")&amp;"') AND upper(p.nombre) = upper('"&amp;SUBSTITUTE(TRIM(G197),"'","''")&amp;"') AND upper(dp.nombre) = upper('"&amp;SUBSTITUTE(TRIM(F197),"'","''")&amp;"') AND d.estado = 1 LIMIT 1)")&amp;", "&amp;IF(I197&amp;""="","NULL",SUBSTITUTE(I197&amp;"",",","."))&amp;", "&amp;IF(J197&amp;""="","NULL",SUBSTITUTE(J197&amp;"",",","."))&amp;", "&amp;IF(UPPER(TRIM(K197&amp;""))="SI","TRUE","FALSE")&amp;", 1"&amp;" WHERE NOT EXISTS (SELECT 1 FROM cli_direcciones x WHERE x.id_cliente = "&amp;"(SELECT id FROM cli_clientes WHERE numero_documento = '"&amp;SUBSTITUTE(TRIM(A197),"'","''")&amp;"' AND estado = 1 LIMIT 1)"&amp;" AND upper(x.direccion) = upper("&amp;IF(TRIM(D197&amp;"")="","NULL","'"&amp;SUBSTITUTE(TRIM(D197),"'","''")&amp;"'")&amp;"));")</f>
        <v/>
      </c>
    </row>
    <row r="198" ht="15.75" customHeight="1" s="64">
      <c r="A198" s="23" t="n"/>
      <c r="B198" s="25">
        <f t="array" ref="B198">IF(A198="","",IFERROR(IF(INDEX(Clientes!$D$5:$D$549,MATCH(A198,Clientes!$C$5:$C$549,0))&lt;&gt;"",INDEX(Clientes!$D$5:$D$549,MATCH(A198,Clientes!$C$5:$C$549,0)),TRIM(INDEX(Clientes!$E$5:$E$549,MATCH(A198,Clientes!$C$5:$C$549,0))&amp;" "&amp;INDEX(Clientes!$F$5:$F$549,MATCH(A198,Clientes!$C$5:$C$549,0)))),"NO EXISTE en Clientes"))</f>
        <v/>
      </c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>
        <f>IF(AND(A198="",D198=""),"",IF(A198="","FALTA doc. cliente",IF(B198="NO EXISTE en Clientes","CLIENTE no está en hoja Clientes",IF(D198="","FALTA dirección",IF(AND(H198&lt;&gt;"",OR(F198="",G198="")),"Distrito requiere departamento y provincia",IF(AND(G198&lt;&gt;"",F198=""),"Provincia requiere departamento",IF((I198&lt;&gt;"")&lt;&gt;(J198&lt;&gt;""),"Latitud y longitud van juntas","OK")))))))</f>
        <v/>
      </c>
      <c r="M198" s="28">
        <f>IF(L198&lt;&gt;"OK","","INSERT INTO cli_direcciones (id_cliente, descripcion, direccion, referencia, id_departamento, id_provincia, id_distrito, latitud, longitud, es_principal, estado) SELECT "&amp;"(SELECT id FROM cli_clientes WHERE numero_documento = '"&amp;SUBSTITUTE(TRIM(A198),"'","''")&amp;"' AND estado = 1 LIMIT 1)"&amp;", "&amp;IF(TRIM(C198&amp;"")="","NULL","'"&amp;SUBSTITUTE(TRIM(C198),"'","''")&amp;"'")&amp;", "&amp;IF(TRIM(D198&amp;"")="","NULL","'"&amp;SUBSTITUTE(TRIM(D198),"'","''")&amp;"'")&amp;", "&amp;IF(TRIM(E198&amp;"")="","NULL","'"&amp;SUBSTITUTE(TRIM(E198),"'","''")&amp;"'")&amp;", "&amp;IF(TRIM(F198&amp;"")="","NULL","(SELECT id FROM gen_departamento WHERE upper(nombre) = upper('"&amp;SUBSTITUTE(TRIM(F198),"'","''")&amp;"') AND estado = 1 LIMIT 1)")&amp;", "&amp;IF(OR(TRIM(F198&amp;"")="",TRIM(G198&amp;"")=""),"NULL","(SELECT p.id FROM gen_provincia p JOIN gen_departamento dp ON dp.id = p.id_departamento WHERE upper(p.nombre) = upper('"&amp;SUBSTITUTE(TRIM(G198),"'","''")&amp;"') AND upper(dp.nombre) = upper('"&amp;SUBSTITUTE(TRIM(F198),"'","''")&amp;"') AND p.estado = 1 LIMIT 1)")&amp;", "&amp;IF(OR(TRIM(F198&amp;"")="",TRIM(G198&amp;"")="",TRIM(H198&amp;"")=""),"NULL","(SELECT d.id FROM gen_distrito d JOIN gen_provincia p ON p.id = d.id_provincia JOIN gen_departamento dp ON dp.id = p.id_departamento WHERE upper(d.nombre) = upper('"&amp;SUBSTITUTE(TRIM(H198),"'","''")&amp;"') AND upper(p.nombre) = upper('"&amp;SUBSTITUTE(TRIM(G198),"'","''")&amp;"') AND upper(dp.nombre) = upper('"&amp;SUBSTITUTE(TRIM(F198),"'","''")&amp;"') AND d.estado = 1 LIMIT 1)")&amp;", "&amp;IF(I198&amp;""="","NULL",SUBSTITUTE(I198&amp;"",",","."))&amp;", "&amp;IF(J198&amp;""="","NULL",SUBSTITUTE(J198&amp;"",",","."))&amp;", "&amp;IF(UPPER(TRIM(K198&amp;""))="SI","TRUE","FALSE")&amp;", 1"&amp;" WHERE NOT EXISTS (SELECT 1 FROM cli_direcciones x WHERE x.id_cliente = "&amp;"(SELECT id FROM cli_clientes WHERE numero_documento = '"&amp;SUBSTITUTE(TRIM(A198),"'","''")&amp;"' AND estado = 1 LIMIT 1)"&amp;" AND upper(x.direccion) = upper("&amp;IF(TRIM(D198&amp;"")="","NULL","'"&amp;SUBSTITUTE(TRIM(D198),"'","''")&amp;"'")&amp;"));")</f>
        <v/>
      </c>
    </row>
    <row r="199" ht="15.75" customHeight="1" s="64">
      <c r="A199" s="23" t="n"/>
      <c r="B199" s="25">
        <f t="array" ref="B199">IF(A199="","",IFERROR(IF(INDEX(Clientes!$D$5:$D$549,MATCH(A199,Clientes!$C$5:$C$549,0))&lt;&gt;"",INDEX(Clientes!$D$5:$D$549,MATCH(A199,Clientes!$C$5:$C$549,0)),TRIM(INDEX(Clientes!$E$5:$E$549,MATCH(A199,Clientes!$C$5:$C$549,0))&amp;" "&amp;INDEX(Clientes!$F$5:$F$549,MATCH(A199,Clientes!$C$5:$C$549,0)))),"NO EXISTE en Clientes"))</f>
        <v/>
      </c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>
        <f>IF(AND(A199="",D199=""),"",IF(A199="","FALTA doc. cliente",IF(B199="NO EXISTE en Clientes","CLIENTE no está en hoja Clientes",IF(D199="","FALTA dirección",IF(AND(H199&lt;&gt;"",OR(F199="",G199="")),"Distrito requiere departamento y provincia",IF(AND(G199&lt;&gt;"",F199=""),"Provincia requiere departamento",IF((I199&lt;&gt;"")&lt;&gt;(J199&lt;&gt;""),"Latitud y longitud van juntas","OK")))))))</f>
        <v/>
      </c>
      <c r="M199" s="28">
        <f>IF(L199&lt;&gt;"OK","","INSERT INTO cli_direcciones (id_cliente, descripcion, direccion, referencia, id_departamento, id_provincia, id_distrito, latitud, longitud, es_principal, estado) SELECT "&amp;"(SELECT id FROM cli_clientes WHERE numero_documento = '"&amp;SUBSTITUTE(TRIM(A199),"'","''")&amp;"' AND estado = 1 LIMIT 1)"&amp;", "&amp;IF(TRIM(C199&amp;"")="","NULL","'"&amp;SUBSTITUTE(TRIM(C199),"'","''")&amp;"'")&amp;", "&amp;IF(TRIM(D199&amp;"")="","NULL","'"&amp;SUBSTITUTE(TRIM(D199),"'","''")&amp;"'")&amp;", "&amp;IF(TRIM(E199&amp;"")="","NULL","'"&amp;SUBSTITUTE(TRIM(E199),"'","''")&amp;"'")&amp;", "&amp;IF(TRIM(F199&amp;"")="","NULL","(SELECT id FROM gen_departamento WHERE upper(nombre) = upper('"&amp;SUBSTITUTE(TRIM(F199),"'","''")&amp;"') AND estado = 1 LIMIT 1)")&amp;", "&amp;IF(OR(TRIM(F199&amp;"")="",TRIM(G199&amp;"")=""),"NULL","(SELECT p.id FROM gen_provincia p JOIN gen_departamento dp ON dp.id = p.id_departamento WHERE upper(p.nombre) = upper('"&amp;SUBSTITUTE(TRIM(G199),"'","''")&amp;"') AND upper(dp.nombre) = upper('"&amp;SUBSTITUTE(TRIM(F199),"'","''")&amp;"') AND p.estado = 1 LIMIT 1)")&amp;", "&amp;IF(OR(TRIM(F199&amp;"")="",TRIM(G199&amp;"")="",TRIM(H199&amp;"")=""),"NULL","(SELECT d.id FROM gen_distrito d JOIN gen_provincia p ON p.id = d.id_provincia JOIN gen_departamento dp ON dp.id = p.id_departamento WHERE upper(d.nombre) = upper('"&amp;SUBSTITUTE(TRIM(H199),"'","''")&amp;"') AND upper(p.nombre) = upper('"&amp;SUBSTITUTE(TRIM(G199),"'","''")&amp;"') AND upper(dp.nombre) = upper('"&amp;SUBSTITUTE(TRIM(F199),"'","''")&amp;"') AND d.estado = 1 LIMIT 1)")&amp;", "&amp;IF(I199&amp;""="","NULL",SUBSTITUTE(I199&amp;"",",","."))&amp;", "&amp;IF(J199&amp;""="","NULL",SUBSTITUTE(J199&amp;"",",","."))&amp;", "&amp;IF(UPPER(TRIM(K199&amp;""))="SI","TRUE","FALSE")&amp;", 1"&amp;" WHERE NOT EXISTS (SELECT 1 FROM cli_direcciones x WHERE x.id_cliente = "&amp;"(SELECT id FROM cli_clientes WHERE numero_documento = '"&amp;SUBSTITUTE(TRIM(A199),"'","''")&amp;"' AND estado = 1 LIMIT 1)"&amp;" AND upper(x.direccion) = upper("&amp;IF(TRIM(D199&amp;"")="","NULL","'"&amp;SUBSTITUTE(TRIM(D199),"'","''")&amp;"'")&amp;"));")</f>
        <v/>
      </c>
    </row>
    <row r="200" ht="15.75" customHeight="1" s="64">
      <c r="A200" s="23" t="n"/>
      <c r="B200" s="25">
        <f t="array" ref="B200">IF(A200="","",IFERROR(IF(INDEX(Clientes!$D$5:$D$549,MATCH(A200,Clientes!$C$5:$C$549,0))&lt;&gt;"",INDEX(Clientes!$D$5:$D$549,MATCH(A200,Clientes!$C$5:$C$549,0)),TRIM(INDEX(Clientes!$E$5:$E$549,MATCH(A200,Clientes!$C$5:$C$549,0))&amp;" "&amp;INDEX(Clientes!$F$5:$F$549,MATCH(A200,Clientes!$C$5:$C$549,0)))),"NO EXISTE en Clientes"))</f>
        <v/>
      </c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>
        <f>IF(AND(A200="",D200=""),"",IF(A200="","FALTA doc. cliente",IF(B200="NO EXISTE en Clientes","CLIENTE no está en hoja Clientes",IF(D200="","FALTA dirección",IF(AND(H200&lt;&gt;"",OR(F200="",G200="")),"Distrito requiere departamento y provincia",IF(AND(G200&lt;&gt;"",F200=""),"Provincia requiere departamento",IF((I200&lt;&gt;"")&lt;&gt;(J200&lt;&gt;""),"Latitud y longitud van juntas","OK")))))))</f>
        <v/>
      </c>
      <c r="M200" s="28">
        <f>IF(L200&lt;&gt;"OK","","INSERT INTO cli_direcciones (id_cliente, descripcion, direccion, referencia, id_departamento, id_provincia, id_distrito, latitud, longitud, es_principal, estado) SELECT "&amp;"(SELECT id FROM cli_clientes WHERE numero_documento = '"&amp;SUBSTITUTE(TRIM(A200),"'","''")&amp;"' AND estado = 1 LIMIT 1)"&amp;", "&amp;IF(TRIM(C200&amp;"")="","NULL","'"&amp;SUBSTITUTE(TRIM(C200),"'","''")&amp;"'")&amp;", "&amp;IF(TRIM(D200&amp;"")="","NULL","'"&amp;SUBSTITUTE(TRIM(D200),"'","''")&amp;"'")&amp;", "&amp;IF(TRIM(E200&amp;"")="","NULL","'"&amp;SUBSTITUTE(TRIM(E200),"'","''")&amp;"'")&amp;", "&amp;IF(TRIM(F200&amp;"")="","NULL","(SELECT id FROM gen_departamento WHERE upper(nombre) = upper('"&amp;SUBSTITUTE(TRIM(F200),"'","''")&amp;"') AND estado = 1 LIMIT 1)")&amp;", "&amp;IF(OR(TRIM(F200&amp;"")="",TRIM(G200&amp;"")=""),"NULL","(SELECT p.id FROM gen_provincia p JOIN gen_departamento dp ON dp.id = p.id_departamento WHERE upper(p.nombre) = upper('"&amp;SUBSTITUTE(TRIM(G200),"'","''")&amp;"') AND upper(dp.nombre) = upper('"&amp;SUBSTITUTE(TRIM(F200),"'","''")&amp;"') AND p.estado = 1 LIMIT 1)")&amp;", "&amp;IF(OR(TRIM(F200&amp;"")="",TRIM(G200&amp;"")="",TRIM(H200&amp;"")=""),"NULL","(SELECT d.id FROM gen_distrito d JOIN gen_provincia p ON p.id = d.id_provincia JOIN gen_departamento dp ON dp.id = p.id_departamento WHERE upper(d.nombre) = upper('"&amp;SUBSTITUTE(TRIM(H200),"'","''")&amp;"') AND upper(p.nombre) = upper('"&amp;SUBSTITUTE(TRIM(G200),"'","''")&amp;"') AND upper(dp.nombre) = upper('"&amp;SUBSTITUTE(TRIM(F200),"'","''")&amp;"') AND d.estado = 1 LIMIT 1)")&amp;", "&amp;IF(I200&amp;""="","NULL",SUBSTITUTE(I200&amp;"",",","."))&amp;", "&amp;IF(J200&amp;""="","NULL",SUBSTITUTE(J200&amp;"",",","."))&amp;", "&amp;IF(UPPER(TRIM(K200&amp;""))="SI","TRUE","FALSE")&amp;", 1"&amp;" WHERE NOT EXISTS (SELECT 1 FROM cli_direcciones x WHERE x.id_cliente = "&amp;"(SELECT id FROM cli_clientes WHERE numero_documento = '"&amp;SUBSTITUTE(TRIM(A200),"'","''")&amp;"' AND estado = 1 LIMIT 1)"&amp;" AND upper(x.direccion) = upper("&amp;IF(TRIM(D200&amp;"")="","NULL","'"&amp;SUBSTITUTE(TRIM(D200),"'","''")&amp;"'")&amp;"));")</f>
        <v/>
      </c>
    </row>
    <row r="201" ht="15.75" customHeight="1" s="64">
      <c r="A201" s="23" t="n"/>
      <c r="B201" s="25">
        <f t="array" ref="B201">IF(A201="","",IFERROR(IF(INDEX(Clientes!$D$5:$D$549,MATCH(A201,Clientes!$C$5:$C$549,0))&lt;&gt;"",INDEX(Clientes!$D$5:$D$549,MATCH(A201,Clientes!$C$5:$C$549,0)),TRIM(INDEX(Clientes!$E$5:$E$549,MATCH(A201,Clientes!$C$5:$C$549,0))&amp;" "&amp;INDEX(Clientes!$F$5:$F$549,MATCH(A201,Clientes!$C$5:$C$549,0)))),"NO EXISTE en Clientes"))</f>
        <v/>
      </c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>
        <f>IF(AND(A201="",D201=""),"",IF(A201="","FALTA doc. cliente",IF(B201="NO EXISTE en Clientes","CLIENTE no está en hoja Clientes",IF(D201="","FALTA dirección",IF(AND(H201&lt;&gt;"",OR(F201="",G201="")),"Distrito requiere departamento y provincia",IF(AND(G201&lt;&gt;"",F201=""),"Provincia requiere departamento",IF((I201&lt;&gt;"")&lt;&gt;(J201&lt;&gt;""),"Latitud y longitud van juntas","OK")))))))</f>
        <v/>
      </c>
      <c r="M201" s="28">
        <f>IF(L201&lt;&gt;"OK","","INSERT INTO cli_direcciones (id_cliente, descripcion, direccion, referencia, id_departamento, id_provincia, id_distrito, latitud, longitud, es_principal, estado) SELECT "&amp;"(SELECT id FROM cli_clientes WHERE numero_documento = '"&amp;SUBSTITUTE(TRIM(A201),"'","''")&amp;"' AND estado = 1 LIMIT 1)"&amp;", "&amp;IF(TRIM(C201&amp;"")="","NULL","'"&amp;SUBSTITUTE(TRIM(C201),"'","''")&amp;"'")&amp;", "&amp;IF(TRIM(D201&amp;"")="","NULL","'"&amp;SUBSTITUTE(TRIM(D201),"'","''")&amp;"'")&amp;", "&amp;IF(TRIM(E201&amp;"")="","NULL","'"&amp;SUBSTITUTE(TRIM(E201),"'","''")&amp;"'")&amp;", "&amp;IF(TRIM(F201&amp;"")="","NULL","(SELECT id FROM gen_departamento WHERE upper(nombre) = upper('"&amp;SUBSTITUTE(TRIM(F201),"'","''")&amp;"') AND estado = 1 LIMIT 1)")&amp;", "&amp;IF(OR(TRIM(F201&amp;"")="",TRIM(G201&amp;"")=""),"NULL","(SELECT p.id FROM gen_provincia p JOIN gen_departamento dp ON dp.id = p.id_departamento WHERE upper(p.nombre) = upper('"&amp;SUBSTITUTE(TRIM(G201),"'","''")&amp;"') AND upper(dp.nombre) = upper('"&amp;SUBSTITUTE(TRIM(F201),"'","''")&amp;"') AND p.estado = 1 LIMIT 1)")&amp;", "&amp;IF(OR(TRIM(F201&amp;"")="",TRIM(G201&amp;"")="",TRIM(H201&amp;"")=""),"NULL","(SELECT d.id FROM gen_distrito d JOIN gen_provincia p ON p.id = d.id_provincia JOIN gen_departamento dp ON dp.id = p.id_departamento WHERE upper(d.nombre) = upper('"&amp;SUBSTITUTE(TRIM(H201),"'","''")&amp;"') AND upper(p.nombre) = upper('"&amp;SUBSTITUTE(TRIM(G201),"'","''")&amp;"') AND upper(dp.nombre) = upper('"&amp;SUBSTITUTE(TRIM(F201),"'","''")&amp;"') AND d.estado = 1 LIMIT 1)")&amp;", "&amp;IF(I201&amp;""="","NULL",SUBSTITUTE(I201&amp;"",",","."))&amp;", "&amp;IF(J201&amp;""="","NULL",SUBSTITUTE(J201&amp;"",",","."))&amp;", "&amp;IF(UPPER(TRIM(K201&amp;""))="SI","TRUE","FALSE")&amp;", 1"&amp;" WHERE NOT EXISTS (SELECT 1 FROM cli_direcciones x WHERE x.id_cliente = "&amp;"(SELECT id FROM cli_clientes WHERE numero_documento = '"&amp;SUBSTITUTE(TRIM(A201),"'","''")&amp;"' AND estado = 1 LIMIT 1)"&amp;" AND upper(x.direccion) = upper("&amp;IF(TRIM(D201&amp;"")="","NULL","'"&amp;SUBSTITUTE(TRIM(D201),"'","''")&amp;"'")&amp;"));")</f>
        <v/>
      </c>
    </row>
    <row r="202" ht="15.75" customHeight="1" s="64">
      <c r="A202" s="23" t="n"/>
      <c r="B202" s="25">
        <f t="array" ref="B202">IF(A202="","",IFERROR(IF(INDEX(Clientes!$D$5:$D$549,MATCH(A202,Clientes!$C$5:$C$549,0))&lt;&gt;"",INDEX(Clientes!$D$5:$D$549,MATCH(A202,Clientes!$C$5:$C$549,0)),TRIM(INDEX(Clientes!$E$5:$E$549,MATCH(A202,Clientes!$C$5:$C$549,0))&amp;" "&amp;INDEX(Clientes!$F$5:$F$549,MATCH(A202,Clientes!$C$5:$C$549,0)))),"NO EXISTE en Clientes"))</f>
        <v/>
      </c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>
        <f>IF(AND(A202="",D202=""),"",IF(A202="","FALTA doc. cliente",IF(B202="NO EXISTE en Clientes","CLIENTE no está en hoja Clientes",IF(D202="","FALTA dirección",IF(AND(H202&lt;&gt;"",OR(F202="",G202="")),"Distrito requiere departamento y provincia",IF(AND(G202&lt;&gt;"",F202=""),"Provincia requiere departamento",IF((I202&lt;&gt;"")&lt;&gt;(J202&lt;&gt;""),"Latitud y longitud van juntas","OK")))))))</f>
        <v/>
      </c>
      <c r="M202" s="28">
        <f>IF(L202&lt;&gt;"OK","","INSERT INTO cli_direcciones (id_cliente, descripcion, direccion, referencia, id_departamento, id_provincia, id_distrito, latitud, longitud, es_principal, estado) SELECT "&amp;"(SELECT id FROM cli_clientes WHERE numero_documento = '"&amp;SUBSTITUTE(TRIM(A202),"'","''")&amp;"' AND estado = 1 LIMIT 1)"&amp;", "&amp;IF(TRIM(C202&amp;"")="","NULL","'"&amp;SUBSTITUTE(TRIM(C202),"'","''")&amp;"'")&amp;", "&amp;IF(TRIM(D202&amp;"")="","NULL","'"&amp;SUBSTITUTE(TRIM(D202),"'","''")&amp;"'")&amp;", "&amp;IF(TRIM(E202&amp;"")="","NULL","'"&amp;SUBSTITUTE(TRIM(E202),"'","''")&amp;"'")&amp;", "&amp;IF(TRIM(F202&amp;"")="","NULL","(SELECT id FROM gen_departamento WHERE upper(nombre) = upper('"&amp;SUBSTITUTE(TRIM(F202),"'","''")&amp;"') AND estado = 1 LIMIT 1)")&amp;", "&amp;IF(OR(TRIM(F202&amp;"")="",TRIM(G202&amp;"")=""),"NULL","(SELECT p.id FROM gen_provincia p JOIN gen_departamento dp ON dp.id = p.id_departamento WHERE upper(p.nombre) = upper('"&amp;SUBSTITUTE(TRIM(G202),"'","''")&amp;"') AND upper(dp.nombre) = upper('"&amp;SUBSTITUTE(TRIM(F202),"'","''")&amp;"') AND p.estado = 1 LIMIT 1)")&amp;", "&amp;IF(OR(TRIM(F202&amp;"")="",TRIM(G202&amp;"")="",TRIM(H202&amp;"")=""),"NULL","(SELECT d.id FROM gen_distrito d JOIN gen_provincia p ON p.id = d.id_provincia JOIN gen_departamento dp ON dp.id = p.id_departamento WHERE upper(d.nombre) = upper('"&amp;SUBSTITUTE(TRIM(H202),"'","''")&amp;"') AND upper(p.nombre) = upper('"&amp;SUBSTITUTE(TRIM(G202),"'","''")&amp;"') AND upper(dp.nombre) = upper('"&amp;SUBSTITUTE(TRIM(F202),"'","''")&amp;"') AND d.estado = 1 LIMIT 1)")&amp;", "&amp;IF(I202&amp;""="","NULL",SUBSTITUTE(I202&amp;"",",","."))&amp;", "&amp;IF(J202&amp;""="","NULL",SUBSTITUTE(J202&amp;"",",","."))&amp;", "&amp;IF(UPPER(TRIM(K202&amp;""))="SI","TRUE","FALSE")&amp;", 1"&amp;" WHERE NOT EXISTS (SELECT 1 FROM cli_direcciones x WHERE x.id_cliente = "&amp;"(SELECT id FROM cli_clientes WHERE numero_documento = '"&amp;SUBSTITUTE(TRIM(A202),"'","''")&amp;"' AND estado = 1 LIMIT 1)"&amp;" AND upper(x.direccion) = upper("&amp;IF(TRIM(D202&amp;"")="","NULL","'"&amp;SUBSTITUTE(TRIM(D202),"'","''")&amp;"'")&amp;"));")</f>
        <v/>
      </c>
    </row>
    <row r="203" ht="15.75" customHeight="1" s="64">
      <c r="A203" s="23" t="n"/>
      <c r="B203" s="25">
        <f t="array" ref="B203">IF(A203="","",IFERROR(IF(INDEX(Clientes!$D$5:$D$549,MATCH(A203,Clientes!$C$5:$C$549,0))&lt;&gt;"",INDEX(Clientes!$D$5:$D$549,MATCH(A203,Clientes!$C$5:$C$549,0)),TRIM(INDEX(Clientes!$E$5:$E$549,MATCH(A203,Clientes!$C$5:$C$549,0))&amp;" "&amp;INDEX(Clientes!$F$5:$F$549,MATCH(A203,Clientes!$C$5:$C$549,0)))),"NO EXISTE en Clientes"))</f>
        <v/>
      </c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>
        <f>IF(AND(A203="",D203=""),"",IF(A203="","FALTA doc. cliente",IF(B203="NO EXISTE en Clientes","CLIENTE no está en hoja Clientes",IF(D203="","FALTA dirección",IF(AND(H203&lt;&gt;"",OR(F203="",G203="")),"Distrito requiere departamento y provincia",IF(AND(G203&lt;&gt;"",F203=""),"Provincia requiere departamento",IF((I203&lt;&gt;"")&lt;&gt;(J203&lt;&gt;""),"Latitud y longitud van juntas","OK")))))))</f>
        <v/>
      </c>
      <c r="M203" s="28">
        <f>IF(L203&lt;&gt;"OK","","INSERT INTO cli_direcciones (id_cliente, descripcion, direccion, referencia, id_departamento, id_provincia, id_distrito, latitud, longitud, es_principal, estado) SELECT "&amp;"(SELECT id FROM cli_clientes WHERE numero_documento = '"&amp;SUBSTITUTE(TRIM(A203),"'","''")&amp;"' AND estado = 1 LIMIT 1)"&amp;", "&amp;IF(TRIM(C203&amp;"")="","NULL","'"&amp;SUBSTITUTE(TRIM(C203),"'","''")&amp;"'")&amp;", "&amp;IF(TRIM(D203&amp;"")="","NULL","'"&amp;SUBSTITUTE(TRIM(D203),"'","''")&amp;"'")&amp;", "&amp;IF(TRIM(E203&amp;"")="","NULL","'"&amp;SUBSTITUTE(TRIM(E203),"'","''")&amp;"'")&amp;", "&amp;IF(TRIM(F203&amp;"")="","NULL","(SELECT id FROM gen_departamento WHERE upper(nombre) = upper('"&amp;SUBSTITUTE(TRIM(F203),"'","''")&amp;"') AND estado = 1 LIMIT 1)")&amp;", "&amp;IF(OR(TRIM(F203&amp;"")="",TRIM(G203&amp;"")=""),"NULL","(SELECT p.id FROM gen_provincia p JOIN gen_departamento dp ON dp.id = p.id_departamento WHERE upper(p.nombre) = upper('"&amp;SUBSTITUTE(TRIM(G203),"'","''")&amp;"') AND upper(dp.nombre) = upper('"&amp;SUBSTITUTE(TRIM(F203),"'","''")&amp;"') AND p.estado = 1 LIMIT 1)")&amp;", "&amp;IF(OR(TRIM(F203&amp;"")="",TRIM(G203&amp;"")="",TRIM(H203&amp;"")=""),"NULL","(SELECT d.id FROM gen_distrito d JOIN gen_provincia p ON p.id = d.id_provincia JOIN gen_departamento dp ON dp.id = p.id_departamento WHERE upper(d.nombre) = upper('"&amp;SUBSTITUTE(TRIM(H203),"'","''")&amp;"') AND upper(p.nombre) = upper('"&amp;SUBSTITUTE(TRIM(G203),"'","''")&amp;"') AND upper(dp.nombre) = upper('"&amp;SUBSTITUTE(TRIM(F203),"'","''")&amp;"') AND d.estado = 1 LIMIT 1)")&amp;", "&amp;IF(I203&amp;""="","NULL",SUBSTITUTE(I203&amp;"",",","."))&amp;", "&amp;IF(J203&amp;""="","NULL",SUBSTITUTE(J203&amp;"",",","."))&amp;", "&amp;IF(UPPER(TRIM(K203&amp;""))="SI","TRUE","FALSE")&amp;", 1"&amp;" WHERE NOT EXISTS (SELECT 1 FROM cli_direcciones x WHERE x.id_cliente = "&amp;"(SELECT id FROM cli_clientes WHERE numero_documento = '"&amp;SUBSTITUTE(TRIM(A203),"'","''")&amp;"' AND estado = 1 LIMIT 1)"&amp;" AND upper(x.direccion) = upper("&amp;IF(TRIM(D203&amp;"")="","NULL","'"&amp;SUBSTITUTE(TRIM(D203),"'","''")&amp;"'")&amp;"));")</f>
        <v/>
      </c>
    </row>
    <row r="204" ht="15.75" customHeight="1" s="64">
      <c r="A204" s="23" t="n"/>
      <c r="B204" s="25">
        <f t="array" ref="B204">IF(A204="","",IFERROR(IF(INDEX(Clientes!$D$5:$D$549,MATCH(A204,Clientes!$C$5:$C$549,0))&lt;&gt;"",INDEX(Clientes!$D$5:$D$549,MATCH(A204,Clientes!$C$5:$C$549,0)),TRIM(INDEX(Clientes!$E$5:$E$549,MATCH(A204,Clientes!$C$5:$C$549,0))&amp;" "&amp;INDEX(Clientes!$F$5:$F$549,MATCH(A204,Clientes!$C$5:$C$549,0)))),"NO EXISTE en Clientes"))</f>
        <v/>
      </c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>
        <f>IF(AND(A204="",D204=""),"",IF(A204="","FALTA doc. cliente",IF(B204="NO EXISTE en Clientes","CLIENTE no está en hoja Clientes",IF(D204="","FALTA dirección",IF(AND(H204&lt;&gt;"",OR(F204="",G204="")),"Distrito requiere departamento y provincia",IF(AND(G204&lt;&gt;"",F204=""),"Provincia requiere departamento",IF((I204&lt;&gt;"")&lt;&gt;(J204&lt;&gt;""),"Latitud y longitud van juntas","OK")))))))</f>
        <v/>
      </c>
      <c r="M204" s="28">
        <f>IF(L204&lt;&gt;"OK","","INSERT INTO cli_direcciones (id_cliente, descripcion, direccion, referencia, id_departamento, id_provincia, id_distrito, latitud, longitud, es_principal, estado) SELECT "&amp;"(SELECT id FROM cli_clientes WHERE numero_documento = '"&amp;SUBSTITUTE(TRIM(A204),"'","''")&amp;"' AND estado = 1 LIMIT 1)"&amp;", "&amp;IF(TRIM(C204&amp;"")="","NULL","'"&amp;SUBSTITUTE(TRIM(C204),"'","''")&amp;"'")&amp;", "&amp;IF(TRIM(D204&amp;"")="","NULL","'"&amp;SUBSTITUTE(TRIM(D204),"'","''")&amp;"'")&amp;", "&amp;IF(TRIM(E204&amp;"")="","NULL","'"&amp;SUBSTITUTE(TRIM(E204),"'","''")&amp;"'")&amp;", "&amp;IF(TRIM(F204&amp;"")="","NULL","(SELECT id FROM gen_departamento WHERE upper(nombre) = upper('"&amp;SUBSTITUTE(TRIM(F204),"'","''")&amp;"') AND estado = 1 LIMIT 1)")&amp;", "&amp;IF(OR(TRIM(F204&amp;"")="",TRIM(G204&amp;"")=""),"NULL","(SELECT p.id FROM gen_provincia p JOIN gen_departamento dp ON dp.id = p.id_departamento WHERE upper(p.nombre) = upper('"&amp;SUBSTITUTE(TRIM(G204),"'","''")&amp;"') AND upper(dp.nombre) = upper('"&amp;SUBSTITUTE(TRIM(F204),"'","''")&amp;"') AND p.estado = 1 LIMIT 1)")&amp;", "&amp;IF(OR(TRIM(F204&amp;"")="",TRIM(G204&amp;"")="",TRIM(H204&amp;"")=""),"NULL","(SELECT d.id FROM gen_distrito d JOIN gen_provincia p ON p.id = d.id_provincia JOIN gen_departamento dp ON dp.id = p.id_departamento WHERE upper(d.nombre) = upper('"&amp;SUBSTITUTE(TRIM(H204),"'","''")&amp;"') AND upper(p.nombre) = upper('"&amp;SUBSTITUTE(TRIM(G204),"'","''")&amp;"') AND upper(dp.nombre) = upper('"&amp;SUBSTITUTE(TRIM(F204),"'","''")&amp;"') AND d.estado = 1 LIMIT 1)")&amp;", "&amp;IF(I204&amp;""="","NULL",SUBSTITUTE(I204&amp;"",",","."))&amp;", "&amp;IF(J204&amp;""="","NULL",SUBSTITUTE(J204&amp;"",",","."))&amp;", "&amp;IF(UPPER(TRIM(K204&amp;""))="SI","TRUE","FALSE")&amp;", 1"&amp;" WHERE NOT EXISTS (SELECT 1 FROM cli_direcciones x WHERE x.id_cliente = "&amp;"(SELECT id FROM cli_clientes WHERE numero_documento = '"&amp;SUBSTITUTE(TRIM(A204),"'","''")&amp;"' AND estado = 1 LIMIT 1)"&amp;" AND upper(x.direccion) = upper("&amp;IF(TRIM(D204&amp;"")="","NULL","'"&amp;SUBSTITUTE(TRIM(D204),"'","''")&amp;"'")&amp;"));")</f>
        <v/>
      </c>
    </row>
    <row r="205" ht="15.75" customHeight="1" s="64">
      <c r="A205" s="23" t="n"/>
      <c r="B205" s="25">
        <f t="array" ref="B205">IF(A205="","",IFERROR(IF(INDEX(Clientes!$D$5:$D$549,MATCH(A205,Clientes!$C$5:$C$549,0))&lt;&gt;"",INDEX(Clientes!$D$5:$D$549,MATCH(A205,Clientes!$C$5:$C$549,0)),TRIM(INDEX(Clientes!$E$5:$E$549,MATCH(A205,Clientes!$C$5:$C$549,0))&amp;" "&amp;INDEX(Clientes!$F$5:$F$549,MATCH(A205,Clientes!$C$5:$C$549,0)))),"NO EXISTE en Clientes"))</f>
        <v/>
      </c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>
        <f>IF(AND(A205="",D205=""),"",IF(A205="","FALTA doc. cliente",IF(B205="NO EXISTE en Clientes","CLIENTE no está en hoja Clientes",IF(D205="","FALTA dirección",IF(AND(H205&lt;&gt;"",OR(F205="",G205="")),"Distrito requiere departamento y provincia",IF(AND(G205&lt;&gt;"",F205=""),"Provincia requiere departamento",IF((I205&lt;&gt;"")&lt;&gt;(J205&lt;&gt;""),"Latitud y longitud van juntas","OK")))))))</f>
        <v/>
      </c>
      <c r="M205" s="28">
        <f>IF(L205&lt;&gt;"OK","","INSERT INTO cli_direcciones (id_cliente, descripcion, direccion, referencia, id_departamento, id_provincia, id_distrito, latitud, longitud, es_principal, estado) SELECT "&amp;"(SELECT id FROM cli_clientes WHERE numero_documento = '"&amp;SUBSTITUTE(TRIM(A205),"'","''")&amp;"' AND estado = 1 LIMIT 1)"&amp;", "&amp;IF(TRIM(C205&amp;"")="","NULL","'"&amp;SUBSTITUTE(TRIM(C205),"'","''")&amp;"'")&amp;", "&amp;IF(TRIM(D205&amp;"")="","NULL","'"&amp;SUBSTITUTE(TRIM(D205),"'","''")&amp;"'")&amp;", "&amp;IF(TRIM(E205&amp;"")="","NULL","'"&amp;SUBSTITUTE(TRIM(E205),"'","''")&amp;"'")&amp;", "&amp;IF(TRIM(F205&amp;"")="","NULL","(SELECT id FROM gen_departamento WHERE upper(nombre) = upper('"&amp;SUBSTITUTE(TRIM(F205),"'","''")&amp;"') AND estado = 1 LIMIT 1)")&amp;", "&amp;IF(OR(TRIM(F205&amp;"")="",TRIM(G205&amp;"")=""),"NULL","(SELECT p.id FROM gen_provincia p JOIN gen_departamento dp ON dp.id = p.id_departamento WHERE upper(p.nombre) = upper('"&amp;SUBSTITUTE(TRIM(G205),"'","''")&amp;"') AND upper(dp.nombre) = upper('"&amp;SUBSTITUTE(TRIM(F205),"'","''")&amp;"') AND p.estado = 1 LIMIT 1)")&amp;", "&amp;IF(OR(TRIM(F205&amp;"")="",TRIM(G205&amp;"")="",TRIM(H205&amp;"")=""),"NULL","(SELECT d.id FROM gen_distrito d JOIN gen_provincia p ON p.id = d.id_provincia JOIN gen_departamento dp ON dp.id = p.id_departamento WHERE upper(d.nombre) = upper('"&amp;SUBSTITUTE(TRIM(H205),"'","''")&amp;"') AND upper(p.nombre) = upper('"&amp;SUBSTITUTE(TRIM(G205),"'","''")&amp;"') AND upper(dp.nombre) = upper('"&amp;SUBSTITUTE(TRIM(F205),"'","''")&amp;"') AND d.estado = 1 LIMIT 1)")&amp;", "&amp;IF(I205&amp;""="","NULL",SUBSTITUTE(I205&amp;"",",","."))&amp;", "&amp;IF(J205&amp;""="","NULL",SUBSTITUTE(J205&amp;"",",","."))&amp;", "&amp;IF(UPPER(TRIM(K205&amp;""))="SI","TRUE","FALSE")&amp;", 1"&amp;" WHERE NOT EXISTS (SELECT 1 FROM cli_direcciones x WHERE x.id_cliente = "&amp;"(SELECT id FROM cli_clientes WHERE numero_documento = '"&amp;SUBSTITUTE(TRIM(A205),"'","''")&amp;"' AND estado = 1 LIMIT 1)"&amp;" AND upper(x.direccion) = upper("&amp;IF(TRIM(D205&amp;"")="","NULL","'"&amp;SUBSTITUTE(TRIM(D205),"'","''")&amp;"'")&amp;"));")</f>
        <v/>
      </c>
    </row>
    <row r="206" ht="15.75" customHeight="1" s="64">
      <c r="A206" s="23" t="n"/>
      <c r="B206" s="25">
        <f t="array" ref="B206">IF(A206="","",IFERROR(IF(INDEX(Clientes!$D$5:$D$549,MATCH(A206,Clientes!$C$5:$C$549,0))&lt;&gt;"",INDEX(Clientes!$D$5:$D$549,MATCH(A206,Clientes!$C$5:$C$549,0)),TRIM(INDEX(Clientes!$E$5:$E$549,MATCH(A206,Clientes!$C$5:$C$549,0))&amp;" "&amp;INDEX(Clientes!$F$5:$F$549,MATCH(A206,Clientes!$C$5:$C$549,0)))),"NO EXISTE en Clientes"))</f>
        <v/>
      </c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>
        <f>IF(AND(A206="",D206=""),"",IF(A206="","FALTA doc. cliente",IF(B206="NO EXISTE en Clientes","CLIENTE no está en hoja Clientes",IF(D206="","FALTA dirección",IF(AND(H206&lt;&gt;"",OR(F206="",G206="")),"Distrito requiere departamento y provincia",IF(AND(G206&lt;&gt;"",F206=""),"Provincia requiere departamento",IF((I206&lt;&gt;"")&lt;&gt;(J206&lt;&gt;""),"Latitud y longitud van juntas","OK")))))))</f>
        <v/>
      </c>
      <c r="M206" s="28">
        <f>IF(L206&lt;&gt;"OK","","INSERT INTO cli_direcciones (id_cliente, descripcion, direccion, referencia, id_departamento, id_provincia, id_distrito, latitud, longitud, es_principal, estado) SELECT "&amp;"(SELECT id FROM cli_clientes WHERE numero_documento = '"&amp;SUBSTITUTE(TRIM(A206),"'","''")&amp;"' AND estado = 1 LIMIT 1)"&amp;", "&amp;IF(TRIM(C206&amp;"")="","NULL","'"&amp;SUBSTITUTE(TRIM(C206),"'","''")&amp;"'")&amp;", "&amp;IF(TRIM(D206&amp;"")="","NULL","'"&amp;SUBSTITUTE(TRIM(D206),"'","''")&amp;"'")&amp;", "&amp;IF(TRIM(E206&amp;"")="","NULL","'"&amp;SUBSTITUTE(TRIM(E206),"'","''")&amp;"'")&amp;", "&amp;IF(TRIM(F206&amp;"")="","NULL","(SELECT id FROM gen_departamento WHERE upper(nombre) = upper('"&amp;SUBSTITUTE(TRIM(F206),"'","''")&amp;"') AND estado = 1 LIMIT 1)")&amp;", "&amp;IF(OR(TRIM(F206&amp;"")="",TRIM(G206&amp;"")=""),"NULL","(SELECT p.id FROM gen_provincia p JOIN gen_departamento dp ON dp.id = p.id_departamento WHERE upper(p.nombre) = upper('"&amp;SUBSTITUTE(TRIM(G206),"'","''")&amp;"') AND upper(dp.nombre) = upper('"&amp;SUBSTITUTE(TRIM(F206),"'","''")&amp;"') AND p.estado = 1 LIMIT 1)")&amp;", "&amp;IF(OR(TRIM(F206&amp;"")="",TRIM(G206&amp;"")="",TRIM(H206&amp;"")=""),"NULL","(SELECT d.id FROM gen_distrito d JOIN gen_provincia p ON p.id = d.id_provincia JOIN gen_departamento dp ON dp.id = p.id_departamento WHERE upper(d.nombre) = upper('"&amp;SUBSTITUTE(TRIM(H206),"'","''")&amp;"') AND upper(p.nombre) = upper('"&amp;SUBSTITUTE(TRIM(G206),"'","''")&amp;"') AND upper(dp.nombre) = upper('"&amp;SUBSTITUTE(TRIM(F206),"'","''")&amp;"') AND d.estado = 1 LIMIT 1)")&amp;", "&amp;IF(I206&amp;""="","NULL",SUBSTITUTE(I206&amp;"",",","."))&amp;", "&amp;IF(J206&amp;""="","NULL",SUBSTITUTE(J206&amp;"",",","."))&amp;", "&amp;IF(UPPER(TRIM(K206&amp;""))="SI","TRUE","FALSE")&amp;", 1"&amp;" WHERE NOT EXISTS (SELECT 1 FROM cli_direcciones x WHERE x.id_cliente = "&amp;"(SELECT id FROM cli_clientes WHERE numero_documento = '"&amp;SUBSTITUTE(TRIM(A206),"'","''")&amp;"' AND estado = 1 LIMIT 1)"&amp;" AND upper(x.direccion) = upper("&amp;IF(TRIM(D206&amp;"")="","NULL","'"&amp;SUBSTITUTE(TRIM(D206),"'","''")&amp;"'")&amp;"));")</f>
        <v/>
      </c>
    </row>
    <row r="207" ht="15.75" customHeight="1" s="64">
      <c r="A207" s="23" t="n"/>
      <c r="B207" s="25">
        <f t="array" ref="B207">IF(A207="","",IFERROR(IF(INDEX(Clientes!$D$5:$D$549,MATCH(A207,Clientes!$C$5:$C$549,0))&lt;&gt;"",INDEX(Clientes!$D$5:$D$549,MATCH(A207,Clientes!$C$5:$C$549,0)),TRIM(INDEX(Clientes!$E$5:$E$549,MATCH(A207,Clientes!$C$5:$C$549,0))&amp;" "&amp;INDEX(Clientes!$F$5:$F$549,MATCH(A207,Clientes!$C$5:$C$549,0)))),"NO EXISTE en Clientes"))</f>
        <v/>
      </c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>
        <f>IF(AND(A207="",D207=""),"",IF(A207="","FALTA doc. cliente",IF(B207="NO EXISTE en Clientes","CLIENTE no está en hoja Clientes",IF(D207="","FALTA dirección",IF(AND(H207&lt;&gt;"",OR(F207="",G207="")),"Distrito requiere departamento y provincia",IF(AND(G207&lt;&gt;"",F207=""),"Provincia requiere departamento",IF((I207&lt;&gt;"")&lt;&gt;(J207&lt;&gt;""),"Latitud y longitud van juntas","OK")))))))</f>
        <v/>
      </c>
      <c r="M207" s="28">
        <f>IF(L207&lt;&gt;"OK","","INSERT INTO cli_direcciones (id_cliente, descripcion, direccion, referencia, id_departamento, id_provincia, id_distrito, latitud, longitud, es_principal, estado) SELECT "&amp;"(SELECT id FROM cli_clientes WHERE numero_documento = '"&amp;SUBSTITUTE(TRIM(A207),"'","''")&amp;"' AND estado = 1 LIMIT 1)"&amp;", "&amp;IF(TRIM(C207&amp;"")="","NULL","'"&amp;SUBSTITUTE(TRIM(C207),"'","''")&amp;"'")&amp;", "&amp;IF(TRIM(D207&amp;"")="","NULL","'"&amp;SUBSTITUTE(TRIM(D207),"'","''")&amp;"'")&amp;", "&amp;IF(TRIM(E207&amp;"")="","NULL","'"&amp;SUBSTITUTE(TRIM(E207),"'","''")&amp;"'")&amp;", "&amp;IF(TRIM(F207&amp;"")="","NULL","(SELECT id FROM gen_departamento WHERE upper(nombre) = upper('"&amp;SUBSTITUTE(TRIM(F207),"'","''")&amp;"') AND estado = 1 LIMIT 1)")&amp;", "&amp;IF(OR(TRIM(F207&amp;"")="",TRIM(G207&amp;"")=""),"NULL","(SELECT p.id FROM gen_provincia p JOIN gen_departamento dp ON dp.id = p.id_departamento WHERE upper(p.nombre) = upper('"&amp;SUBSTITUTE(TRIM(G207),"'","''")&amp;"') AND upper(dp.nombre) = upper('"&amp;SUBSTITUTE(TRIM(F207),"'","''")&amp;"') AND p.estado = 1 LIMIT 1)")&amp;", "&amp;IF(OR(TRIM(F207&amp;"")="",TRIM(G207&amp;"")="",TRIM(H207&amp;"")=""),"NULL","(SELECT d.id FROM gen_distrito d JOIN gen_provincia p ON p.id = d.id_provincia JOIN gen_departamento dp ON dp.id = p.id_departamento WHERE upper(d.nombre) = upper('"&amp;SUBSTITUTE(TRIM(H207),"'","''")&amp;"') AND upper(p.nombre) = upper('"&amp;SUBSTITUTE(TRIM(G207),"'","''")&amp;"') AND upper(dp.nombre) = upper('"&amp;SUBSTITUTE(TRIM(F207),"'","''")&amp;"') AND d.estado = 1 LIMIT 1)")&amp;", "&amp;IF(I207&amp;""="","NULL",SUBSTITUTE(I207&amp;"",",","."))&amp;", "&amp;IF(J207&amp;""="","NULL",SUBSTITUTE(J207&amp;"",",","."))&amp;", "&amp;IF(UPPER(TRIM(K207&amp;""))="SI","TRUE","FALSE")&amp;", 1"&amp;" WHERE NOT EXISTS (SELECT 1 FROM cli_direcciones x WHERE x.id_cliente = "&amp;"(SELECT id FROM cli_clientes WHERE numero_documento = '"&amp;SUBSTITUTE(TRIM(A207),"'","''")&amp;"' AND estado = 1 LIMIT 1)"&amp;" AND upper(x.direccion) = upper("&amp;IF(TRIM(D207&amp;"")="","NULL","'"&amp;SUBSTITUTE(TRIM(D207),"'","''")&amp;"'")&amp;"));")</f>
        <v/>
      </c>
    </row>
    <row r="208" ht="15.75" customHeight="1" s="64">
      <c r="A208" s="23" t="n"/>
      <c r="B208" s="25">
        <f t="array" ref="B208">IF(A208="","",IFERROR(IF(INDEX(Clientes!$D$5:$D$549,MATCH(A208,Clientes!$C$5:$C$549,0))&lt;&gt;"",INDEX(Clientes!$D$5:$D$549,MATCH(A208,Clientes!$C$5:$C$549,0)),TRIM(INDEX(Clientes!$E$5:$E$549,MATCH(A208,Clientes!$C$5:$C$549,0))&amp;" "&amp;INDEX(Clientes!$F$5:$F$549,MATCH(A208,Clientes!$C$5:$C$549,0)))),"NO EXISTE en Clientes"))</f>
        <v/>
      </c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>
        <f>IF(AND(A208="",D208=""),"",IF(A208="","FALTA doc. cliente",IF(B208="NO EXISTE en Clientes","CLIENTE no está en hoja Clientes",IF(D208="","FALTA dirección",IF(AND(H208&lt;&gt;"",OR(F208="",G208="")),"Distrito requiere departamento y provincia",IF(AND(G208&lt;&gt;"",F208=""),"Provincia requiere departamento",IF((I208&lt;&gt;"")&lt;&gt;(J208&lt;&gt;""),"Latitud y longitud van juntas","OK")))))))</f>
        <v/>
      </c>
      <c r="M208" s="28">
        <f>IF(L208&lt;&gt;"OK","","INSERT INTO cli_direcciones (id_cliente, descripcion, direccion, referencia, id_departamento, id_provincia, id_distrito, latitud, longitud, es_principal, estado) SELECT "&amp;"(SELECT id FROM cli_clientes WHERE numero_documento = '"&amp;SUBSTITUTE(TRIM(A208),"'","''")&amp;"' AND estado = 1 LIMIT 1)"&amp;", "&amp;IF(TRIM(C208&amp;"")="","NULL","'"&amp;SUBSTITUTE(TRIM(C208),"'","''")&amp;"'")&amp;", "&amp;IF(TRIM(D208&amp;"")="","NULL","'"&amp;SUBSTITUTE(TRIM(D208),"'","''")&amp;"'")&amp;", "&amp;IF(TRIM(E208&amp;"")="","NULL","'"&amp;SUBSTITUTE(TRIM(E208),"'","''")&amp;"'")&amp;", "&amp;IF(TRIM(F208&amp;"")="","NULL","(SELECT id FROM gen_departamento WHERE upper(nombre) = upper('"&amp;SUBSTITUTE(TRIM(F208),"'","''")&amp;"') AND estado = 1 LIMIT 1)")&amp;", "&amp;IF(OR(TRIM(F208&amp;"")="",TRIM(G208&amp;"")=""),"NULL","(SELECT p.id FROM gen_provincia p JOIN gen_departamento dp ON dp.id = p.id_departamento WHERE upper(p.nombre) = upper('"&amp;SUBSTITUTE(TRIM(G208),"'","''")&amp;"') AND upper(dp.nombre) = upper('"&amp;SUBSTITUTE(TRIM(F208),"'","''")&amp;"') AND p.estado = 1 LIMIT 1)")&amp;", "&amp;IF(OR(TRIM(F208&amp;"")="",TRIM(G208&amp;"")="",TRIM(H208&amp;"")=""),"NULL","(SELECT d.id FROM gen_distrito d JOIN gen_provincia p ON p.id = d.id_provincia JOIN gen_departamento dp ON dp.id = p.id_departamento WHERE upper(d.nombre) = upper('"&amp;SUBSTITUTE(TRIM(H208),"'","''")&amp;"') AND upper(p.nombre) = upper('"&amp;SUBSTITUTE(TRIM(G208),"'","''")&amp;"') AND upper(dp.nombre) = upper('"&amp;SUBSTITUTE(TRIM(F208),"'","''")&amp;"') AND d.estado = 1 LIMIT 1)")&amp;", "&amp;IF(I208&amp;""="","NULL",SUBSTITUTE(I208&amp;"",",","."))&amp;", "&amp;IF(J208&amp;""="","NULL",SUBSTITUTE(J208&amp;"",",","."))&amp;", "&amp;IF(UPPER(TRIM(K208&amp;""))="SI","TRUE","FALSE")&amp;", 1"&amp;" WHERE NOT EXISTS (SELECT 1 FROM cli_direcciones x WHERE x.id_cliente = "&amp;"(SELECT id FROM cli_clientes WHERE numero_documento = '"&amp;SUBSTITUTE(TRIM(A208),"'","''")&amp;"' AND estado = 1 LIMIT 1)"&amp;" AND upper(x.direccion) = upper("&amp;IF(TRIM(D208&amp;"")="","NULL","'"&amp;SUBSTITUTE(TRIM(D208),"'","''")&amp;"'")&amp;"));")</f>
        <v/>
      </c>
    </row>
    <row r="209" ht="15.75" customHeight="1" s="64">
      <c r="A209" s="23" t="n"/>
      <c r="B209" s="25">
        <f t="array" ref="B209">IF(A209="","",IFERROR(IF(INDEX(Clientes!$D$5:$D$549,MATCH(A209,Clientes!$C$5:$C$549,0))&lt;&gt;"",INDEX(Clientes!$D$5:$D$549,MATCH(A209,Clientes!$C$5:$C$549,0)),TRIM(INDEX(Clientes!$E$5:$E$549,MATCH(A209,Clientes!$C$5:$C$549,0))&amp;" "&amp;INDEX(Clientes!$F$5:$F$549,MATCH(A209,Clientes!$C$5:$C$549,0)))),"NO EXISTE en Clientes"))</f>
        <v/>
      </c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>
        <f>IF(AND(A209="",D209=""),"",IF(A209="","FALTA doc. cliente",IF(B209="NO EXISTE en Clientes","CLIENTE no está en hoja Clientes",IF(D209="","FALTA dirección",IF(AND(H209&lt;&gt;"",OR(F209="",G209="")),"Distrito requiere departamento y provincia",IF(AND(G209&lt;&gt;"",F209=""),"Provincia requiere departamento",IF((I209&lt;&gt;"")&lt;&gt;(J209&lt;&gt;""),"Latitud y longitud van juntas","OK")))))))</f>
        <v/>
      </c>
      <c r="M209" s="28">
        <f>IF(L209&lt;&gt;"OK","","INSERT INTO cli_direcciones (id_cliente, descripcion, direccion, referencia, id_departamento, id_provincia, id_distrito, latitud, longitud, es_principal, estado) SELECT "&amp;"(SELECT id FROM cli_clientes WHERE numero_documento = '"&amp;SUBSTITUTE(TRIM(A209),"'","''")&amp;"' AND estado = 1 LIMIT 1)"&amp;", "&amp;IF(TRIM(C209&amp;"")="","NULL","'"&amp;SUBSTITUTE(TRIM(C209),"'","''")&amp;"'")&amp;", "&amp;IF(TRIM(D209&amp;"")="","NULL","'"&amp;SUBSTITUTE(TRIM(D209),"'","''")&amp;"'")&amp;", "&amp;IF(TRIM(E209&amp;"")="","NULL","'"&amp;SUBSTITUTE(TRIM(E209),"'","''")&amp;"'")&amp;", "&amp;IF(TRIM(F209&amp;"")="","NULL","(SELECT id FROM gen_departamento WHERE upper(nombre) = upper('"&amp;SUBSTITUTE(TRIM(F209),"'","''")&amp;"') AND estado = 1 LIMIT 1)")&amp;", "&amp;IF(OR(TRIM(F209&amp;"")="",TRIM(G209&amp;"")=""),"NULL","(SELECT p.id FROM gen_provincia p JOIN gen_departamento dp ON dp.id = p.id_departamento WHERE upper(p.nombre) = upper('"&amp;SUBSTITUTE(TRIM(G209),"'","''")&amp;"') AND upper(dp.nombre) = upper('"&amp;SUBSTITUTE(TRIM(F209),"'","''")&amp;"') AND p.estado = 1 LIMIT 1)")&amp;", "&amp;IF(OR(TRIM(F209&amp;"")="",TRIM(G209&amp;"")="",TRIM(H209&amp;"")=""),"NULL","(SELECT d.id FROM gen_distrito d JOIN gen_provincia p ON p.id = d.id_provincia JOIN gen_departamento dp ON dp.id = p.id_departamento WHERE upper(d.nombre) = upper('"&amp;SUBSTITUTE(TRIM(H209),"'","''")&amp;"') AND upper(p.nombre) = upper('"&amp;SUBSTITUTE(TRIM(G209),"'","''")&amp;"') AND upper(dp.nombre) = upper('"&amp;SUBSTITUTE(TRIM(F209),"'","''")&amp;"') AND d.estado = 1 LIMIT 1)")&amp;", "&amp;IF(I209&amp;""="","NULL",SUBSTITUTE(I209&amp;"",",","."))&amp;", "&amp;IF(J209&amp;""="","NULL",SUBSTITUTE(J209&amp;"",",","."))&amp;", "&amp;IF(UPPER(TRIM(K209&amp;""))="SI","TRUE","FALSE")&amp;", 1"&amp;" WHERE NOT EXISTS (SELECT 1 FROM cli_direcciones x WHERE x.id_cliente = "&amp;"(SELECT id FROM cli_clientes WHERE numero_documento = '"&amp;SUBSTITUTE(TRIM(A209),"'","''")&amp;"' AND estado = 1 LIMIT 1)"&amp;" AND upper(x.direccion) = upper("&amp;IF(TRIM(D209&amp;"")="","NULL","'"&amp;SUBSTITUTE(TRIM(D209),"'","''")&amp;"'")&amp;"));")</f>
        <v/>
      </c>
    </row>
    <row r="210" ht="15.75" customHeight="1" s="64">
      <c r="A210" s="23" t="n"/>
      <c r="B210" s="25">
        <f t="array" ref="B210">IF(A210="","",IFERROR(IF(INDEX(Clientes!$D$5:$D$549,MATCH(A210,Clientes!$C$5:$C$549,0))&lt;&gt;"",INDEX(Clientes!$D$5:$D$549,MATCH(A210,Clientes!$C$5:$C$549,0)),TRIM(INDEX(Clientes!$E$5:$E$549,MATCH(A210,Clientes!$C$5:$C$549,0))&amp;" "&amp;INDEX(Clientes!$F$5:$F$549,MATCH(A210,Clientes!$C$5:$C$549,0)))),"NO EXISTE en Clientes"))</f>
        <v/>
      </c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>
        <f>IF(AND(A210="",D210=""),"",IF(A210="","FALTA doc. cliente",IF(B210="NO EXISTE en Clientes","CLIENTE no está en hoja Clientes",IF(D210="","FALTA dirección",IF(AND(H210&lt;&gt;"",OR(F210="",G210="")),"Distrito requiere departamento y provincia",IF(AND(G210&lt;&gt;"",F210=""),"Provincia requiere departamento",IF((I210&lt;&gt;"")&lt;&gt;(J210&lt;&gt;""),"Latitud y longitud van juntas","OK")))))))</f>
        <v/>
      </c>
      <c r="M210" s="28">
        <f>IF(L210&lt;&gt;"OK","","INSERT INTO cli_direcciones (id_cliente, descripcion, direccion, referencia, id_departamento, id_provincia, id_distrito, latitud, longitud, es_principal, estado) SELECT "&amp;"(SELECT id FROM cli_clientes WHERE numero_documento = '"&amp;SUBSTITUTE(TRIM(A210),"'","''")&amp;"' AND estado = 1 LIMIT 1)"&amp;", "&amp;IF(TRIM(C210&amp;"")="","NULL","'"&amp;SUBSTITUTE(TRIM(C210),"'","''")&amp;"'")&amp;", "&amp;IF(TRIM(D210&amp;"")="","NULL","'"&amp;SUBSTITUTE(TRIM(D210),"'","''")&amp;"'")&amp;", "&amp;IF(TRIM(E210&amp;"")="","NULL","'"&amp;SUBSTITUTE(TRIM(E210),"'","''")&amp;"'")&amp;", "&amp;IF(TRIM(F210&amp;"")="","NULL","(SELECT id FROM gen_departamento WHERE upper(nombre) = upper('"&amp;SUBSTITUTE(TRIM(F210),"'","''")&amp;"') AND estado = 1 LIMIT 1)")&amp;", "&amp;IF(OR(TRIM(F210&amp;"")="",TRIM(G210&amp;"")=""),"NULL","(SELECT p.id FROM gen_provincia p JOIN gen_departamento dp ON dp.id = p.id_departamento WHERE upper(p.nombre) = upper('"&amp;SUBSTITUTE(TRIM(G210),"'","''")&amp;"') AND upper(dp.nombre) = upper('"&amp;SUBSTITUTE(TRIM(F210),"'","''")&amp;"') AND p.estado = 1 LIMIT 1)")&amp;", "&amp;IF(OR(TRIM(F210&amp;"")="",TRIM(G210&amp;"")="",TRIM(H210&amp;"")=""),"NULL","(SELECT d.id FROM gen_distrito d JOIN gen_provincia p ON p.id = d.id_provincia JOIN gen_departamento dp ON dp.id = p.id_departamento WHERE upper(d.nombre) = upper('"&amp;SUBSTITUTE(TRIM(H210),"'","''")&amp;"') AND upper(p.nombre) = upper('"&amp;SUBSTITUTE(TRIM(G210),"'","''")&amp;"') AND upper(dp.nombre) = upper('"&amp;SUBSTITUTE(TRIM(F210),"'","''")&amp;"') AND d.estado = 1 LIMIT 1)")&amp;", "&amp;IF(I210&amp;""="","NULL",SUBSTITUTE(I210&amp;"",",","."))&amp;", "&amp;IF(J210&amp;""="","NULL",SUBSTITUTE(J210&amp;"",",","."))&amp;", "&amp;IF(UPPER(TRIM(K210&amp;""))="SI","TRUE","FALSE")&amp;", 1"&amp;" WHERE NOT EXISTS (SELECT 1 FROM cli_direcciones x WHERE x.id_cliente = "&amp;"(SELECT id FROM cli_clientes WHERE numero_documento = '"&amp;SUBSTITUTE(TRIM(A210),"'","''")&amp;"' AND estado = 1 LIMIT 1)"&amp;" AND upper(x.direccion) = upper("&amp;IF(TRIM(D210&amp;"")="","NULL","'"&amp;SUBSTITUTE(TRIM(D210),"'","''")&amp;"'")&amp;"));")</f>
        <v/>
      </c>
    </row>
    <row r="211" ht="15.75" customHeight="1" s="64">
      <c r="A211" s="23" t="n"/>
      <c r="B211" s="25">
        <f t="array" ref="B211">IF(A211="","",IFERROR(IF(INDEX(Clientes!$D$5:$D$549,MATCH(A211,Clientes!$C$5:$C$549,0))&lt;&gt;"",INDEX(Clientes!$D$5:$D$549,MATCH(A211,Clientes!$C$5:$C$549,0)),TRIM(INDEX(Clientes!$E$5:$E$549,MATCH(A211,Clientes!$C$5:$C$549,0))&amp;" "&amp;INDEX(Clientes!$F$5:$F$549,MATCH(A211,Clientes!$C$5:$C$549,0)))),"NO EXISTE en Clientes"))</f>
        <v/>
      </c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>
        <f>IF(AND(A211="",D211=""),"",IF(A211="","FALTA doc. cliente",IF(B211="NO EXISTE en Clientes","CLIENTE no está en hoja Clientes",IF(D211="","FALTA dirección",IF(AND(H211&lt;&gt;"",OR(F211="",G211="")),"Distrito requiere departamento y provincia",IF(AND(G211&lt;&gt;"",F211=""),"Provincia requiere departamento",IF((I211&lt;&gt;"")&lt;&gt;(J211&lt;&gt;""),"Latitud y longitud van juntas","OK")))))))</f>
        <v/>
      </c>
      <c r="M211" s="28">
        <f>IF(L211&lt;&gt;"OK","","INSERT INTO cli_direcciones (id_cliente, descripcion, direccion, referencia, id_departamento, id_provincia, id_distrito, latitud, longitud, es_principal, estado) SELECT "&amp;"(SELECT id FROM cli_clientes WHERE numero_documento = '"&amp;SUBSTITUTE(TRIM(A211),"'","''")&amp;"' AND estado = 1 LIMIT 1)"&amp;", "&amp;IF(TRIM(C211&amp;"")="","NULL","'"&amp;SUBSTITUTE(TRIM(C211),"'","''")&amp;"'")&amp;", "&amp;IF(TRIM(D211&amp;"")="","NULL","'"&amp;SUBSTITUTE(TRIM(D211),"'","''")&amp;"'")&amp;", "&amp;IF(TRIM(E211&amp;"")="","NULL","'"&amp;SUBSTITUTE(TRIM(E211),"'","''")&amp;"'")&amp;", "&amp;IF(TRIM(F211&amp;"")="","NULL","(SELECT id FROM gen_departamento WHERE upper(nombre) = upper('"&amp;SUBSTITUTE(TRIM(F211),"'","''")&amp;"') AND estado = 1 LIMIT 1)")&amp;", "&amp;IF(OR(TRIM(F211&amp;"")="",TRIM(G211&amp;"")=""),"NULL","(SELECT p.id FROM gen_provincia p JOIN gen_departamento dp ON dp.id = p.id_departamento WHERE upper(p.nombre) = upper('"&amp;SUBSTITUTE(TRIM(G211),"'","''")&amp;"') AND upper(dp.nombre) = upper('"&amp;SUBSTITUTE(TRIM(F211),"'","''")&amp;"') AND p.estado = 1 LIMIT 1)")&amp;", "&amp;IF(OR(TRIM(F211&amp;"")="",TRIM(G211&amp;"")="",TRIM(H211&amp;"")=""),"NULL","(SELECT d.id FROM gen_distrito d JOIN gen_provincia p ON p.id = d.id_provincia JOIN gen_departamento dp ON dp.id = p.id_departamento WHERE upper(d.nombre) = upper('"&amp;SUBSTITUTE(TRIM(H211),"'","''")&amp;"') AND upper(p.nombre) = upper('"&amp;SUBSTITUTE(TRIM(G211),"'","''")&amp;"') AND upper(dp.nombre) = upper('"&amp;SUBSTITUTE(TRIM(F211),"'","''")&amp;"') AND d.estado = 1 LIMIT 1)")&amp;", "&amp;IF(I211&amp;""="","NULL",SUBSTITUTE(I211&amp;"",",","."))&amp;", "&amp;IF(J211&amp;""="","NULL",SUBSTITUTE(J211&amp;"",",","."))&amp;", "&amp;IF(UPPER(TRIM(K211&amp;""))="SI","TRUE","FALSE")&amp;", 1"&amp;" WHERE NOT EXISTS (SELECT 1 FROM cli_direcciones x WHERE x.id_cliente = "&amp;"(SELECT id FROM cli_clientes WHERE numero_documento = '"&amp;SUBSTITUTE(TRIM(A211),"'","''")&amp;"' AND estado = 1 LIMIT 1)"&amp;" AND upper(x.direccion) = upper("&amp;IF(TRIM(D211&amp;"")="","NULL","'"&amp;SUBSTITUTE(TRIM(D211),"'","''")&amp;"'")&amp;"));")</f>
        <v/>
      </c>
    </row>
    <row r="212" ht="15.75" customHeight="1" s="64">
      <c r="A212" s="23" t="n"/>
      <c r="B212" s="25">
        <f t="array" ref="B212">IF(A212="","",IFERROR(IF(INDEX(Clientes!$D$5:$D$549,MATCH(A212,Clientes!$C$5:$C$549,0))&lt;&gt;"",INDEX(Clientes!$D$5:$D$549,MATCH(A212,Clientes!$C$5:$C$549,0)),TRIM(INDEX(Clientes!$E$5:$E$549,MATCH(A212,Clientes!$C$5:$C$549,0))&amp;" "&amp;INDEX(Clientes!$F$5:$F$549,MATCH(A212,Clientes!$C$5:$C$549,0)))),"NO EXISTE en Clientes"))</f>
        <v/>
      </c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>
        <f>IF(AND(A212="",D212=""),"",IF(A212="","FALTA doc. cliente",IF(B212="NO EXISTE en Clientes","CLIENTE no está en hoja Clientes",IF(D212="","FALTA dirección",IF(AND(H212&lt;&gt;"",OR(F212="",G212="")),"Distrito requiere departamento y provincia",IF(AND(G212&lt;&gt;"",F212=""),"Provincia requiere departamento",IF((I212&lt;&gt;"")&lt;&gt;(J212&lt;&gt;""),"Latitud y longitud van juntas","OK")))))))</f>
        <v/>
      </c>
      <c r="M212" s="28">
        <f>IF(L212&lt;&gt;"OK","","INSERT INTO cli_direcciones (id_cliente, descripcion, direccion, referencia, id_departamento, id_provincia, id_distrito, latitud, longitud, es_principal, estado) SELECT "&amp;"(SELECT id FROM cli_clientes WHERE numero_documento = '"&amp;SUBSTITUTE(TRIM(A212),"'","''")&amp;"' AND estado = 1 LIMIT 1)"&amp;", "&amp;IF(TRIM(C212&amp;"")="","NULL","'"&amp;SUBSTITUTE(TRIM(C212),"'","''")&amp;"'")&amp;", "&amp;IF(TRIM(D212&amp;"")="","NULL","'"&amp;SUBSTITUTE(TRIM(D212),"'","''")&amp;"'")&amp;", "&amp;IF(TRIM(E212&amp;"")="","NULL","'"&amp;SUBSTITUTE(TRIM(E212),"'","''")&amp;"'")&amp;", "&amp;IF(TRIM(F212&amp;"")="","NULL","(SELECT id FROM gen_departamento WHERE upper(nombre) = upper('"&amp;SUBSTITUTE(TRIM(F212),"'","''")&amp;"') AND estado = 1 LIMIT 1)")&amp;", "&amp;IF(OR(TRIM(F212&amp;"")="",TRIM(G212&amp;"")=""),"NULL","(SELECT p.id FROM gen_provincia p JOIN gen_departamento dp ON dp.id = p.id_departamento WHERE upper(p.nombre) = upper('"&amp;SUBSTITUTE(TRIM(G212),"'","''")&amp;"') AND upper(dp.nombre) = upper('"&amp;SUBSTITUTE(TRIM(F212),"'","''")&amp;"') AND p.estado = 1 LIMIT 1)")&amp;", "&amp;IF(OR(TRIM(F212&amp;"")="",TRIM(G212&amp;"")="",TRIM(H212&amp;"")=""),"NULL","(SELECT d.id FROM gen_distrito d JOIN gen_provincia p ON p.id = d.id_provincia JOIN gen_departamento dp ON dp.id = p.id_departamento WHERE upper(d.nombre) = upper('"&amp;SUBSTITUTE(TRIM(H212),"'","''")&amp;"') AND upper(p.nombre) = upper('"&amp;SUBSTITUTE(TRIM(G212),"'","''")&amp;"') AND upper(dp.nombre) = upper('"&amp;SUBSTITUTE(TRIM(F212),"'","''")&amp;"') AND d.estado = 1 LIMIT 1)")&amp;", "&amp;IF(I212&amp;""="","NULL",SUBSTITUTE(I212&amp;"",",","."))&amp;", "&amp;IF(J212&amp;""="","NULL",SUBSTITUTE(J212&amp;"",",","."))&amp;", "&amp;IF(UPPER(TRIM(K212&amp;""))="SI","TRUE","FALSE")&amp;", 1"&amp;" WHERE NOT EXISTS (SELECT 1 FROM cli_direcciones x WHERE x.id_cliente = "&amp;"(SELECT id FROM cli_clientes WHERE numero_documento = '"&amp;SUBSTITUTE(TRIM(A212),"'","''")&amp;"' AND estado = 1 LIMIT 1)"&amp;" AND upper(x.direccion) = upper("&amp;IF(TRIM(D212&amp;"")="","NULL","'"&amp;SUBSTITUTE(TRIM(D212),"'","''")&amp;"'")&amp;"));")</f>
        <v/>
      </c>
    </row>
    <row r="213" ht="15.75" customHeight="1" s="64">
      <c r="A213" s="23" t="n"/>
      <c r="B213" s="25">
        <f t="array" ref="B213">IF(A213="","",IFERROR(IF(INDEX(Clientes!$D$5:$D$549,MATCH(A213,Clientes!$C$5:$C$549,0))&lt;&gt;"",INDEX(Clientes!$D$5:$D$549,MATCH(A213,Clientes!$C$5:$C$549,0)),TRIM(INDEX(Clientes!$E$5:$E$549,MATCH(A213,Clientes!$C$5:$C$549,0))&amp;" "&amp;INDEX(Clientes!$F$5:$F$549,MATCH(A213,Clientes!$C$5:$C$549,0)))),"NO EXISTE en Clientes"))</f>
        <v/>
      </c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>
        <f>IF(AND(A213="",D213=""),"",IF(A213="","FALTA doc. cliente",IF(B213="NO EXISTE en Clientes","CLIENTE no está en hoja Clientes",IF(D213="","FALTA dirección",IF(AND(H213&lt;&gt;"",OR(F213="",G213="")),"Distrito requiere departamento y provincia",IF(AND(G213&lt;&gt;"",F213=""),"Provincia requiere departamento",IF((I213&lt;&gt;"")&lt;&gt;(J213&lt;&gt;""),"Latitud y longitud van juntas","OK")))))))</f>
        <v/>
      </c>
      <c r="M213" s="28">
        <f>IF(L213&lt;&gt;"OK","","INSERT INTO cli_direcciones (id_cliente, descripcion, direccion, referencia, id_departamento, id_provincia, id_distrito, latitud, longitud, es_principal, estado) SELECT "&amp;"(SELECT id FROM cli_clientes WHERE numero_documento = '"&amp;SUBSTITUTE(TRIM(A213),"'","''")&amp;"' AND estado = 1 LIMIT 1)"&amp;", "&amp;IF(TRIM(C213&amp;"")="","NULL","'"&amp;SUBSTITUTE(TRIM(C213),"'","''")&amp;"'")&amp;", "&amp;IF(TRIM(D213&amp;"")="","NULL","'"&amp;SUBSTITUTE(TRIM(D213),"'","''")&amp;"'")&amp;", "&amp;IF(TRIM(E213&amp;"")="","NULL","'"&amp;SUBSTITUTE(TRIM(E213),"'","''")&amp;"'")&amp;", "&amp;IF(TRIM(F213&amp;"")="","NULL","(SELECT id FROM gen_departamento WHERE upper(nombre) = upper('"&amp;SUBSTITUTE(TRIM(F213),"'","''")&amp;"') AND estado = 1 LIMIT 1)")&amp;", "&amp;IF(OR(TRIM(F213&amp;"")="",TRIM(G213&amp;"")=""),"NULL","(SELECT p.id FROM gen_provincia p JOIN gen_departamento dp ON dp.id = p.id_departamento WHERE upper(p.nombre) = upper('"&amp;SUBSTITUTE(TRIM(G213),"'","''")&amp;"') AND upper(dp.nombre) = upper('"&amp;SUBSTITUTE(TRIM(F213),"'","''")&amp;"') AND p.estado = 1 LIMIT 1)")&amp;", "&amp;IF(OR(TRIM(F213&amp;"")="",TRIM(G213&amp;"")="",TRIM(H213&amp;"")=""),"NULL","(SELECT d.id FROM gen_distrito d JOIN gen_provincia p ON p.id = d.id_provincia JOIN gen_departamento dp ON dp.id = p.id_departamento WHERE upper(d.nombre) = upper('"&amp;SUBSTITUTE(TRIM(H213),"'","''")&amp;"') AND upper(p.nombre) = upper('"&amp;SUBSTITUTE(TRIM(G213),"'","''")&amp;"') AND upper(dp.nombre) = upper('"&amp;SUBSTITUTE(TRIM(F213),"'","''")&amp;"') AND d.estado = 1 LIMIT 1)")&amp;", "&amp;IF(I213&amp;""="","NULL",SUBSTITUTE(I213&amp;"",",","."))&amp;", "&amp;IF(J213&amp;""="","NULL",SUBSTITUTE(J213&amp;"",",","."))&amp;", "&amp;IF(UPPER(TRIM(K213&amp;""))="SI","TRUE","FALSE")&amp;", 1"&amp;" WHERE NOT EXISTS (SELECT 1 FROM cli_direcciones x WHERE x.id_cliente = "&amp;"(SELECT id FROM cli_clientes WHERE numero_documento = '"&amp;SUBSTITUTE(TRIM(A213),"'","''")&amp;"' AND estado = 1 LIMIT 1)"&amp;" AND upper(x.direccion) = upper("&amp;IF(TRIM(D213&amp;"")="","NULL","'"&amp;SUBSTITUTE(TRIM(D213),"'","''")&amp;"'")&amp;"));")</f>
        <v/>
      </c>
    </row>
    <row r="214" ht="15.75" customHeight="1" s="64">
      <c r="A214" s="23" t="n"/>
      <c r="B214" s="25">
        <f t="array" ref="B214">IF(A214="","",IFERROR(IF(INDEX(Clientes!$D$5:$D$549,MATCH(A214,Clientes!$C$5:$C$549,0))&lt;&gt;"",INDEX(Clientes!$D$5:$D$549,MATCH(A214,Clientes!$C$5:$C$549,0)),TRIM(INDEX(Clientes!$E$5:$E$549,MATCH(A214,Clientes!$C$5:$C$549,0))&amp;" "&amp;INDEX(Clientes!$F$5:$F$549,MATCH(A214,Clientes!$C$5:$C$549,0)))),"NO EXISTE en Clientes"))</f>
        <v/>
      </c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>
        <f>IF(AND(A214="",D214=""),"",IF(A214="","FALTA doc. cliente",IF(B214="NO EXISTE en Clientes","CLIENTE no está en hoja Clientes",IF(D214="","FALTA dirección",IF(AND(H214&lt;&gt;"",OR(F214="",G214="")),"Distrito requiere departamento y provincia",IF(AND(G214&lt;&gt;"",F214=""),"Provincia requiere departamento",IF((I214&lt;&gt;"")&lt;&gt;(J214&lt;&gt;""),"Latitud y longitud van juntas","OK")))))))</f>
        <v/>
      </c>
      <c r="M214" s="28">
        <f>IF(L214&lt;&gt;"OK","","INSERT INTO cli_direcciones (id_cliente, descripcion, direccion, referencia, id_departamento, id_provincia, id_distrito, latitud, longitud, es_principal, estado) SELECT "&amp;"(SELECT id FROM cli_clientes WHERE numero_documento = '"&amp;SUBSTITUTE(TRIM(A214),"'","''")&amp;"' AND estado = 1 LIMIT 1)"&amp;", "&amp;IF(TRIM(C214&amp;"")="","NULL","'"&amp;SUBSTITUTE(TRIM(C214),"'","''")&amp;"'")&amp;", "&amp;IF(TRIM(D214&amp;"")="","NULL","'"&amp;SUBSTITUTE(TRIM(D214),"'","''")&amp;"'")&amp;", "&amp;IF(TRIM(E214&amp;"")="","NULL","'"&amp;SUBSTITUTE(TRIM(E214),"'","''")&amp;"'")&amp;", "&amp;IF(TRIM(F214&amp;"")="","NULL","(SELECT id FROM gen_departamento WHERE upper(nombre) = upper('"&amp;SUBSTITUTE(TRIM(F214),"'","''")&amp;"') AND estado = 1 LIMIT 1)")&amp;", "&amp;IF(OR(TRIM(F214&amp;"")="",TRIM(G214&amp;"")=""),"NULL","(SELECT p.id FROM gen_provincia p JOIN gen_departamento dp ON dp.id = p.id_departamento WHERE upper(p.nombre) = upper('"&amp;SUBSTITUTE(TRIM(G214),"'","''")&amp;"') AND upper(dp.nombre) = upper('"&amp;SUBSTITUTE(TRIM(F214),"'","''")&amp;"') AND p.estado = 1 LIMIT 1)")&amp;", "&amp;IF(OR(TRIM(F214&amp;"")="",TRIM(G214&amp;"")="",TRIM(H214&amp;"")=""),"NULL","(SELECT d.id FROM gen_distrito d JOIN gen_provincia p ON p.id = d.id_provincia JOIN gen_departamento dp ON dp.id = p.id_departamento WHERE upper(d.nombre) = upper('"&amp;SUBSTITUTE(TRIM(H214),"'","''")&amp;"') AND upper(p.nombre) = upper('"&amp;SUBSTITUTE(TRIM(G214),"'","''")&amp;"') AND upper(dp.nombre) = upper('"&amp;SUBSTITUTE(TRIM(F214),"'","''")&amp;"') AND d.estado = 1 LIMIT 1)")&amp;", "&amp;IF(I214&amp;""="","NULL",SUBSTITUTE(I214&amp;"",",","."))&amp;", "&amp;IF(J214&amp;""="","NULL",SUBSTITUTE(J214&amp;"",",","."))&amp;", "&amp;IF(UPPER(TRIM(K214&amp;""))="SI","TRUE","FALSE")&amp;", 1"&amp;" WHERE NOT EXISTS (SELECT 1 FROM cli_direcciones x WHERE x.id_cliente = "&amp;"(SELECT id FROM cli_clientes WHERE numero_documento = '"&amp;SUBSTITUTE(TRIM(A214),"'","''")&amp;"' AND estado = 1 LIMIT 1)"&amp;" AND upper(x.direccion) = upper("&amp;IF(TRIM(D214&amp;"")="","NULL","'"&amp;SUBSTITUTE(TRIM(D214),"'","''")&amp;"'")&amp;"));")</f>
        <v/>
      </c>
    </row>
    <row r="215" ht="15.75" customHeight="1" s="64">
      <c r="A215" s="23" t="n"/>
      <c r="B215" s="25">
        <f t="array" ref="B215">IF(A215="","",IFERROR(IF(INDEX(Clientes!$D$5:$D$549,MATCH(A215,Clientes!$C$5:$C$549,0))&lt;&gt;"",INDEX(Clientes!$D$5:$D$549,MATCH(A215,Clientes!$C$5:$C$549,0)),TRIM(INDEX(Clientes!$E$5:$E$549,MATCH(A215,Clientes!$C$5:$C$549,0))&amp;" "&amp;INDEX(Clientes!$F$5:$F$549,MATCH(A215,Clientes!$C$5:$C$549,0)))),"NO EXISTE en Clientes"))</f>
        <v/>
      </c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>
        <f>IF(AND(A215="",D215=""),"",IF(A215="","FALTA doc. cliente",IF(B215="NO EXISTE en Clientes","CLIENTE no está en hoja Clientes",IF(D215="","FALTA dirección",IF(AND(H215&lt;&gt;"",OR(F215="",G215="")),"Distrito requiere departamento y provincia",IF(AND(G215&lt;&gt;"",F215=""),"Provincia requiere departamento",IF((I215&lt;&gt;"")&lt;&gt;(J215&lt;&gt;""),"Latitud y longitud van juntas","OK")))))))</f>
        <v/>
      </c>
      <c r="M215" s="28">
        <f>IF(L215&lt;&gt;"OK","","INSERT INTO cli_direcciones (id_cliente, descripcion, direccion, referencia, id_departamento, id_provincia, id_distrito, latitud, longitud, es_principal, estado) SELECT "&amp;"(SELECT id FROM cli_clientes WHERE numero_documento = '"&amp;SUBSTITUTE(TRIM(A215),"'","''")&amp;"' AND estado = 1 LIMIT 1)"&amp;", "&amp;IF(TRIM(C215&amp;"")="","NULL","'"&amp;SUBSTITUTE(TRIM(C215),"'","''")&amp;"'")&amp;", "&amp;IF(TRIM(D215&amp;"")="","NULL","'"&amp;SUBSTITUTE(TRIM(D215),"'","''")&amp;"'")&amp;", "&amp;IF(TRIM(E215&amp;"")="","NULL","'"&amp;SUBSTITUTE(TRIM(E215),"'","''")&amp;"'")&amp;", "&amp;IF(TRIM(F215&amp;"")="","NULL","(SELECT id FROM gen_departamento WHERE upper(nombre) = upper('"&amp;SUBSTITUTE(TRIM(F215),"'","''")&amp;"') AND estado = 1 LIMIT 1)")&amp;", "&amp;IF(OR(TRIM(F215&amp;"")="",TRIM(G215&amp;"")=""),"NULL","(SELECT p.id FROM gen_provincia p JOIN gen_departamento dp ON dp.id = p.id_departamento WHERE upper(p.nombre) = upper('"&amp;SUBSTITUTE(TRIM(G215),"'","''")&amp;"') AND upper(dp.nombre) = upper('"&amp;SUBSTITUTE(TRIM(F215),"'","''")&amp;"') AND p.estado = 1 LIMIT 1)")&amp;", "&amp;IF(OR(TRIM(F215&amp;"")="",TRIM(G215&amp;"")="",TRIM(H215&amp;"")=""),"NULL","(SELECT d.id FROM gen_distrito d JOIN gen_provincia p ON p.id = d.id_provincia JOIN gen_departamento dp ON dp.id = p.id_departamento WHERE upper(d.nombre) = upper('"&amp;SUBSTITUTE(TRIM(H215),"'","''")&amp;"') AND upper(p.nombre) = upper('"&amp;SUBSTITUTE(TRIM(G215),"'","''")&amp;"') AND upper(dp.nombre) = upper('"&amp;SUBSTITUTE(TRIM(F215),"'","''")&amp;"') AND d.estado = 1 LIMIT 1)")&amp;", "&amp;IF(I215&amp;""="","NULL",SUBSTITUTE(I215&amp;"",",","."))&amp;", "&amp;IF(J215&amp;""="","NULL",SUBSTITUTE(J215&amp;"",",","."))&amp;", "&amp;IF(UPPER(TRIM(K215&amp;""))="SI","TRUE","FALSE")&amp;", 1"&amp;" WHERE NOT EXISTS (SELECT 1 FROM cli_direcciones x WHERE x.id_cliente = "&amp;"(SELECT id FROM cli_clientes WHERE numero_documento = '"&amp;SUBSTITUTE(TRIM(A215),"'","''")&amp;"' AND estado = 1 LIMIT 1)"&amp;" AND upper(x.direccion) = upper("&amp;IF(TRIM(D215&amp;"")="","NULL","'"&amp;SUBSTITUTE(TRIM(D215),"'","''")&amp;"'")&amp;"));")</f>
        <v/>
      </c>
    </row>
    <row r="216" ht="15.75" customHeight="1" s="64">
      <c r="A216" s="23" t="n"/>
      <c r="B216" s="25">
        <f t="array" ref="B216">IF(A216="","",IFERROR(IF(INDEX(Clientes!$D$5:$D$549,MATCH(A216,Clientes!$C$5:$C$549,0))&lt;&gt;"",INDEX(Clientes!$D$5:$D$549,MATCH(A216,Clientes!$C$5:$C$549,0)),TRIM(INDEX(Clientes!$E$5:$E$549,MATCH(A216,Clientes!$C$5:$C$549,0))&amp;" "&amp;INDEX(Clientes!$F$5:$F$549,MATCH(A216,Clientes!$C$5:$C$549,0)))),"NO EXISTE en Clientes"))</f>
        <v/>
      </c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>
        <f>IF(AND(A216="",D216=""),"",IF(A216="","FALTA doc. cliente",IF(B216="NO EXISTE en Clientes","CLIENTE no está en hoja Clientes",IF(D216="","FALTA dirección",IF(AND(H216&lt;&gt;"",OR(F216="",G216="")),"Distrito requiere departamento y provincia",IF(AND(G216&lt;&gt;"",F216=""),"Provincia requiere departamento",IF((I216&lt;&gt;"")&lt;&gt;(J216&lt;&gt;""),"Latitud y longitud van juntas","OK")))))))</f>
        <v/>
      </c>
      <c r="M216" s="28">
        <f>IF(L216&lt;&gt;"OK","","INSERT INTO cli_direcciones (id_cliente, descripcion, direccion, referencia, id_departamento, id_provincia, id_distrito, latitud, longitud, es_principal, estado) SELECT "&amp;"(SELECT id FROM cli_clientes WHERE numero_documento = '"&amp;SUBSTITUTE(TRIM(A216),"'","''")&amp;"' AND estado = 1 LIMIT 1)"&amp;", "&amp;IF(TRIM(C216&amp;"")="","NULL","'"&amp;SUBSTITUTE(TRIM(C216),"'","''")&amp;"'")&amp;", "&amp;IF(TRIM(D216&amp;"")="","NULL","'"&amp;SUBSTITUTE(TRIM(D216),"'","''")&amp;"'")&amp;", "&amp;IF(TRIM(E216&amp;"")="","NULL","'"&amp;SUBSTITUTE(TRIM(E216),"'","''")&amp;"'")&amp;", "&amp;IF(TRIM(F216&amp;"")="","NULL","(SELECT id FROM gen_departamento WHERE upper(nombre) = upper('"&amp;SUBSTITUTE(TRIM(F216),"'","''")&amp;"') AND estado = 1 LIMIT 1)")&amp;", "&amp;IF(OR(TRIM(F216&amp;"")="",TRIM(G216&amp;"")=""),"NULL","(SELECT p.id FROM gen_provincia p JOIN gen_departamento dp ON dp.id = p.id_departamento WHERE upper(p.nombre) = upper('"&amp;SUBSTITUTE(TRIM(G216),"'","''")&amp;"') AND upper(dp.nombre) = upper('"&amp;SUBSTITUTE(TRIM(F216),"'","''")&amp;"') AND p.estado = 1 LIMIT 1)")&amp;", "&amp;IF(OR(TRIM(F216&amp;"")="",TRIM(G216&amp;"")="",TRIM(H216&amp;"")=""),"NULL","(SELECT d.id FROM gen_distrito d JOIN gen_provincia p ON p.id = d.id_provincia JOIN gen_departamento dp ON dp.id = p.id_departamento WHERE upper(d.nombre) = upper('"&amp;SUBSTITUTE(TRIM(H216),"'","''")&amp;"') AND upper(p.nombre) = upper('"&amp;SUBSTITUTE(TRIM(G216),"'","''")&amp;"') AND upper(dp.nombre) = upper('"&amp;SUBSTITUTE(TRIM(F216),"'","''")&amp;"') AND d.estado = 1 LIMIT 1)")&amp;", "&amp;IF(I216&amp;""="","NULL",SUBSTITUTE(I216&amp;"",",","."))&amp;", "&amp;IF(J216&amp;""="","NULL",SUBSTITUTE(J216&amp;"",",","."))&amp;", "&amp;IF(UPPER(TRIM(K216&amp;""))="SI","TRUE","FALSE")&amp;", 1"&amp;" WHERE NOT EXISTS (SELECT 1 FROM cli_direcciones x WHERE x.id_cliente = "&amp;"(SELECT id FROM cli_clientes WHERE numero_documento = '"&amp;SUBSTITUTE(TRIM(A216),"'","''")&amp;"' AND estado = 1 LIMIT 1)"&amp;" AND upper(x.direccion) = upper("&amp;IF(TRIM(D216&amp;"")="","NULL","'"&amp;SUBSTITUTE(TRIM(D216),"'","''")&amp;"'")&amp;"));")</f>
        <v/>
      </c>
    </row>
    <row r="217" ht="15.75" customHeight="1" s="64">
      <c r="A217" s="23" t="n"/>
      <c r="B217" s="25">
        <f t="array" ref="B217">IF(A217="","",IFERROR(IF(INDEX(Clientes!$D$5:$D$549,MATCH(A217,Clientes!$C$5:$C$549,0))&lt;&gt;"",INDEX(Clientes!$D$5:$D$549,MATCH(A217,Clientes!$C$5:$C$549,0)),TRIM(INDEX(Clientes!$E$5:$E$549,MATCH(A217,Clientes!$C$5:$C$549,0))&amp;" "&amp;INDEX(Clientes!$F$5:$F$549,MATCH(A217,Clientes!$C$5:$C$549,0)))),"NO EXISTE en Clientes"))</f>
        <v/>
      </c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>
        <f>IF(AND(A217="",D217=""),"",IF(A217="","FALTA doc. cliente",IF(B217="NO EXISTE en Clientes","CLIENTE no está en hoja Clientes",IF(D217="","FALTA dirección",IF(AND(H217&lt;&gt;"",OR(F217="",G217="")),"Distrito requiere departamento y provincia",IF(AND(G217&lt;&gt;"",F217=""),"Provincia requiere departamento",IF((I217&lt;&gt;"")&lt;&gt;(J217&lt;&gt;""),"Latitud y longitud van juntas","OK")))))))</f>
        <v/>
      </c>
      <c r="M217" s="28">
        <f>IF(L217&lt;&gt;"OK","","INSERT INTO cli_direcciones (id_cliente, descripcion, direccion, referencia, id_departamento, id_provincia, id_distrito, latitud, longitud, es_principal, estado) SELECT "&amp;"(SELECT id FROM cli_clientes WHERE numero_documento = '"&amp;SUBSTITUTE(TRIM(A217),"'","''")&amp;"' AND estado = 1 LIMIT 1)"&amp;", "&amp;IF(TRIM(C217&amp;"")="","NULL","'"&amp;SUBSTITUTE(TRIM(C217),"'","''")&amp;"'")&amp;", "&amp;IF(TRIM(D217&amp;"")="","NULL","'"&amp;SUBSTITUTE(TRIM(D217),"'","''")&amp;"'")&amp;", "&amp;IF(TRIM(E217&amp;"")="","NULL","'"&amp;SUBSTITUTE(TRIM(E217),"'","''")&amp;"'")&amp;", "&amp;IF(TRIM(F217&amp;"")="","NULL","(SELECT id FROM gen_departamento WHERE upper(nombre) = upper('"&amp;SUBSTITUTE(TRIM(F217),"'","''")&amp;"') AND estado = 1 LIMIT 1)")&amp;", "&amp;IF(OR(TRIM(F217&amp;"")="",TRIM(G217&amp;"")=""),"NULL","(SELECT p.id FROM gen_provincia p JOIN gen_departamento dp ON dp.id = p.id_departamento WHERE upper(p.nombre) = upper('"&amp;SUBSTITUTE(TRIM(G217),"'","''")&amp;"') AND upper(dp.nombre) = upper('"&amp;SUBSTITUTE(TRIM(F217),"'","''")&amp;"') AND p.estado = 1 LIMIT 1)")&amp;", "&amp;IF(OR(TRIM(F217&amp;"")="",TRIM(G217&amp;"")="",TRIM(H217&amp;"")=""),"NULL","(SELECT d.id FROM gen_distrito d JOIN gen_provincia p ON p.id = d.id_provincia JOIN gen_departamento dp ON dp.id = p.id_departamento WHERE upper(d.nombre) = upper('"&amp;SUBSTITUTE(TRIM(H217),"'","''")&amp;"') AND upper(p.nombre) = upper('"&amp;SUBSTITUTE(TRIM(G217),"'","''")&amp;"') AND upper(dp.nombre) = upper('"&amp;SUBSTITUTE(TRIM(F217),"'","''")&amp;"') AND d.estado = 1 LIMIT 1)")&amp;", "&amp;IF(I217&amp;""="","NULL",SUBSTITUTE(I217&amp;"",",","."))&amp;", "&amp;IF(J217&amp;""="","NULL",SUBSTITUTE(J217&amp;"",",","."))&amp;", "&amp;IF(UPPER(TRIM(K217&amp;""))="SI","TRUE","FALSE")&amp;", 1"&amp;" WHERE NOT EXISTS (SELECT 1 FROM cli_direcciones x WHERE x.id_cliente = "&amp;"(SELECT id FROM cli_clientes WHERE numero_documento = '"&amp;SUBSTITUTE(TRIM(A217),"'","''")&amp;"' AND estado = 1 LIMIT 1)"&amp;" AND upper(x.direccion) = upper("&amp;IF(TRIM(D217&amp;"")="","NULL","'"&amp;SUBSTITUTE(TRIM(D217),"'","''")&amp;"'")&amp;"));")</f>
        <v/>
      </c>
    </row>
    <row r="218" ht="15.75" customHeight="1" s="64">
      <c r="A218" s="23" t="n"/>
      <c r="B218" s="25">
        <f t="array" ref="B218">IF(A218="","",IFERROR(IF(INDEX(Clientes!$D$5:$D$549,MATCH(A218,Clientes!$C$5:$C$549,0))&lt;&gt;"",INDEX(Clientes!$D$5:$D$549,MATCH(A218,Clientes!$C$5:$C$549,0)),TRIM(INDEX(Clientes!$E$5:$E$549,MATCH(A218,Clientes!$C$5:$C$549,0))&amp;" "&amp;INDEX(Clientes!$F$5:$F$549,MATCH(A218,Clientes!$C$5:$C$549,0)))),"NO EXISTE en Clientes"))</f>
        <v/>
      </c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>
        <f>IF(AND(A218="",D218=""),"",IF(A218="","FALTA doc. cliente",IF(B218="NO EXISTE en Clientes","CLIENTE no está en hoja Clientes",IF(D218="","FALTA dirección",IF(AND(H218&lt;&gt;"",OR(F218="",G218="")),"Distrito requiere departamento y provincia",IF(AND(G218&lt;&gt;"",F218=""),"Provincia requiere departamento",IF((I218&lt;&gt;"")&lt;&gt;(J218&lt;&gt;""),"Latitud y longitud van juntas","OK")))))))</f>
        <v/>
      </c>
      <c r="M218" s="28">
        <f>IF(L218&lt;&gt;"OK","","INSERT INTO cli_direcciones (id_cliente, descripcion, direccion, referencia, id_departamento, id_provincia, id_distrito, latitud, longitud, es_principal, estado) SELECT "&amp;"(SELECT id FROM cli_clientes WHERE numero_documento = '"&amp;SUBSTITUTE(TRIM(A218),"'","''")&amp;"' AND estado = 1 LIMIT 1)"&amp;", "&amp;IF(TRIM(C218&amp;"")="","NULL","'"&amp;SUBSTITUTE(TRIM(C218),"'","''")&amp;"'")&amp;", "&amp;IF(TRIM(D218&amp;"")="","NULL","'"&amp;SUBSTITUTE(TRIM(D218),"'","''")&amp;"'")&amp;", "&amp;IF(TRIM(E218&amp;"")="","NULL","'"&amp;SUBSTITUTE(TRIM(E218),"'","''")&amp;"'")&amp;", "&amp;IF(TRIM(F218&amp;"")="","NULL","(SELECT id FROM gen_departamento WHERE upper(nombre) = upper('"&amp;SUBSTITUTE(TRIM(F218),"'","''")&amp;"') AND estado = 1 LIMIT 1)")&amp;", "&amp;IF(OR(TRIM(F218&amp;"")="",TRIM(G218&amp;"")=""),"NULL","(SELECT p.id FROM gen_provincia p JOIN gen_departamento dp ON dp.id = p.id_departamento WHERE upper(p.nombre) = upper('"&amp;SUBSTITUTE(TRIM(G218),"'","''")&amp;"') AND upper(dp.nombre) = upper('"&amp;SUBSTITUTE(TRIM(F218),"'","''")&amp;"') AND p.estado = 1 LIMIT 1)")&amp;", "&amp;IF(OR(TRIM(F218&amp;"")="",TRIM(G218&amp;"")="",TRIM(H218&amp;"")=""),"NULL","(SELECT d.id FROM gen_distrito d JOIN gen_provincia p ON p.id = d.id_provincia JOIN gen_departamento dp ON dp.id = p.id_departamento WHERE upper(d.nombre) = upper('"&amp;SUBSTITUTE(TRIM(H218),"'","''")&amp;"') AND upper(p.nombre) = upper('"&amp;SUBSTITUTE(TRIM(G218),"'","''")&amp;"') AND upper(dp.nombre) = upper('"&amp;SUBSTITUTE(TRIM(F218),"'","''")&amp;"') AND d.estado = 1 LIMIT 1)")&amp;", "&amp;IF(I218&amp;""="","NULL",SUBSTITUTE(I218&amp;"",",","."))&amp;", "&amp;IF(J218&amp;""="","NULL",SUBSTITUTE(J218&amp;"",",","."))&amp;", "&amp;IF(UPPER(TRIM(K218&amp;""))="SI","TRUE","FALSE")&amp;", 1"&amp;" WHERE NOT EXISTS (SELECT 1 FROM cli_direcciones x WHERE x.id_cliente = "&amp;"(SELECT id FROM cli_clientes WHERE numero_documento = '"&amp;SUBSTITUTE(TRIM(A218),"'","''")&amp;"' AND estado = 1 LIMIT 1)"&amp;" AND upper(x.direccion) = upper("&amp;IF(TRIM(D218&amp;"")="","NULL","'"&amp;SUBSTITUTE(TRIM(D218),"'","''")&amp;"'")&amp;"));")</f>
        <v/>
      </c>
    </row>
    <row r="219" ht="15.75" customHeight="1" s="64">
      <c r="A219" s="23" t="n"/>
      <c r="B219" s="25">
        <f t="array" ref="B219">IF(A219="","",IFERROR(IF(INDEX(Clientes!$D$5:$D$549,MATCH(A219,Clientes!$C$5:$C$549,0))&lt;&gt;"",INDEX(Clientes!$D$5:$D$549,MATCH(A219,Clientes!$C$5:$C$549,0)),TRIM(INDEX(Clientes!$E$5:$E$549,MATCH(A219,Clientes!$C$5:$C$549,0))&amp;" "&amp;INDEX(Clientes!$F$5:$F$549,MATCH(A219,Clientes!$C$5:$C$549,0)))),"NO EXISTE en Clientes"))</f>
        <v/>
      </c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>
        <f>IF(AND(A219="",D219=""),"",IF(A219="","FALTA doc. cliente",IF(B219="NO EXISTE en Clientes","CLIENTE no está en hoja Clientes",IF(D219="","FALTA dirección",IF(AND(H219&lt;&gt;"",OR(F219="",G219="")),"Distrito requiere departamento y provincia",IF(AND(G219&lt;&gt;"",F219=""),"Provincia requiere departamento",IF((I219&lt;&gt;"")&lt;&gt;(J219&lt;&gt;""),"Latitud y longitud van juntas","OK")))))))</f>
        <v/>
      </c>
      <c r="M219" s="28">
        <f>IF(L219&lt;&gt;"OK","","INSERT INTO cli_direcciones (id_cliente, descripcion, direccion, referencia, id_departamento, id_provincia, id_distrito, latitud, longitud, es_principal, estado) SELECT "&amp;"(SELECT id FROM cli_clientes WHERE numero_documento = '"&amp;SUBSTITUTE(TRIM(A219),"'","''")&amp;"' AND estado = 1 LIMIT 1)"&amp;", "&amp;IF(TRIM(C219&amp;"")="","NULL","'"&amp;SUBSTITUTE(TRIM(C219),"'","''")&amp;"'")&amp;", "&amp;IF(TRIM(D219&amp;"")="","NULL","'"&amp;SUBSTITUTE(TRIM(D219),"'","''")&amp;"'")&amp;", "&amp;IF(TRIM(E219&amp;"")="","NULL","'"&amp;SUBSTITUTE(TRIM(E219),"'","''")&amp;"'")&amp;", "&amp;IF(TRIM(F219&amp;"")="","NULL","(SELECT id FROM gen_departamento WHERE upper(nombre) = upper('"&amp;SUBSTITUTE(TRIM(F219),"'","''")&amp;"') AND estado = 1 LIMIT 1)")&amp;", "&amp;IF(OR(TRIM(F219&amp;"")="",TRIM(G219&amp;"")=""),"NULL","(SELECT p.id FROM gen_provincia p JOIN gen_departamento dp ON dp.id = p.id_departamento WHERE upper(p.nombre) = upper('"&amp;SUBSTITUTE(TRIM(G219),"'","''")&amp;"') AND upper(dp.nombre) = upper('"&amp;SUBSTITUTE(TRIM(F219),"'","''")&amp;"') AND p.estado = 1 LIMIT 1)")&amp;", "&amp;IF(OR(TRIM(F219&amp;"")="",TRIM(G219&amp;"")="",TRIM(H219&amp;"")=""),"NULL","(SELECT d.id FROM gen_distrito d JOIN gen_provincia p ON p.id = d.id_provincia JOIN gen_departamento dp ON dp.id = p.id_departamento WHERE upper(d.nombre) = upper('"&amp;SUBSTITUTE(TRIM(H219),"'","''")&amp;"') AND upper(p.nombre) = upper('"&amp;SUBSTITUTE(TRIM(G219),"'","''")&amp;"') AND upper(dp.nombre) = upper('"&amp;SUBSTITUTE(TRIM(F219),"'","''")&amp;"') AND d.estado = 1 LIMIT 1)")&amp;", "&amp;IF(I219&amp;""="","NULL",SUBSTITUTE(I219&amp;"",",","."))&amp;", "&amp;IF(J219&amp;""="","NULL",SUBSTITUTE(J219&amp;"",",","."))&amp;", "&amp;IF(UPPER(TRIM(K219&amp;""))="SI","TRUE","FALSE")&amp;", 1"&amp;" WHERE NOT EXISTS (SELECT 1 FROM cli_direcciones x WHERE x.id_cliente = "&amp;"(SELECT id FROM cli_clientes WHERE numero_documento = '"&amp;SUBSTITUTE(TRIM(A219),"'","''")&amp;"' AND estado = 1 LIMIT 1)"&amp;" AND upper(x.direccion) = upper("&amp;IF(TRIM(D219&amp;"")="","NULL","'"&amp;SUBSTITUTE(TRIM(D219),"'","''")&amp;"'")&amp;"));")</f>
        <v/>
      </c>
    </row>
    <row r="220" ht="15.75" customHeight="1" s="64">
      <c r="A220" s="23" t="n"/>
      <c r="B220" s="25">
        <f t="array" ref="B220">IF(A220="","",IFERROR(IF(INDEX(Clientes!$D$5:$D$549,MATCH(A220,Clientes!$C$5:$C$549,0))&lt;&gt;"",INDEX(Clientes!$D$5:$D$549,MATCH(A220,Clientes!$C$5:$C$549,0)),TRIM(INDEX(Clientes!$E$5:$E$549,MATCH(A220,Clientes!$C$5:$C$549,0))&amp;" "&amp;INDEX(Clientes!$F$5:$F$549,MATCH(A220,Clientes!$C$5:$C$549,0)))),"NO EXISTE en Clientes"))</f>
        <v/>
      </c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>
        <f>IF(AND(A220="",D220=""),"",IF(A220="","FALTA doc. cliente",IF(B220="NO EXISTE en Clientes","CLIENTE no está en hoja Clientes",IF(D220="","FALTA dirección",IF(AND(H220&lt;&gt;"",OR(F220="",G220="")),"Distrito requiere departamento y provincia",IF(AND(G220&lt;&gt;"",F220=""),"Provincia requiere departamento",IF((I220&lt;&gt;"")&lt;&gt;(J220&lt;&gt;""),"Latitud y longitud van juntas","OK")))))))</f>
        <v/>
      </c>
      <c r="M220" s="28">
        <f>IF(L220&lt;&gt;"OK","","INSERT INTO cli_direcciones (id_cliente, descripcion, direccion, referencia, id_departamento, id_provincia, id_distrito, latitud, longitud, es_principal, estado) SELECT "&amp;"(SELECT id FROM cli_clientes WHERE numero_documento = '"&amp;SUBSTITUTE(TRIM(A220),"'","''")&amp;"' AND estado = 1 LIMIT 1)"&amp;", "&amp;IF(TRIM(C220&amp;"")="","NULL","'"&amp;SUBSTITUTE(TRIM(C220),"'","''")&amp;"'")&amp;", "&amp;IF(TRIM(D220&amp;"")="","NULL","'"&amp;SUBSTITUTE(TRIM(D220),"'","''")&amp;"'")&amp;", "&amp;IF(TRIM(E220&amp;"")="","NULL","'"&amp;SUBSTITUTE(TRIM(E220),"'","''")&amp;"'")&amp;", "&amp;IF(TRIM(F220&amp;"")="","NULL","(SELECT id FROM gen_departamento WHERE upper(nombre) = upper('"&amp;SUBSTITUTE(TRIM(F220),"'","''")&amp;"') AND estado = 1 LIMIT 1)")&amp;", "&amp;IF(OR(TRIM(F220&amp;"")="",TRIM(G220&amp;"")=""),"NULL","(SELECT p.id FROM gen_provincia p JOIN gen_departamento dp ON dp.id = p.id_departamento WHERE upper(p.nombre) = upper('"&amp;SUBSTITUTE(TRIM(G220),"'","''")&amp;"') AND upper(dp.nombre) = upper('"&amp;SUBSTITUTE(TRIM(F220),"'","''")&amp;"') AND p.estado = 1 LIMIT 1)")&amp;", "&amp;IF(OR(TRIM(F220&amp;"")="",TRIM(G220&amp;"")="",TRIM(H220&amp;"")=""),"NULL","(SELECT d.id FROM gen_distrito d JOIN gen_provincia p ON p.id = d.id_provincia JOIN gen_departamento dp ON dp.id = p.id_departamento WHERE upper(d.nombre) = upper('"&amp;SUBSTITUTE(TRIM(H220),"'","''")&amp;"') AND upper(p.nombre) = upper('"&amp;SUBSTITUTE(TRIM(G220),"'","''")&amp;"') AND upper(dp.nombre) = upper('"&amp;SUBSTITUTE(TRIM(F220),"'","''")&amp;"') AND d.estado = 1 LIMIT 1)")&amp;", "&amp;IF(I220&amp;""="","NULL",SUBSTITUTE(I220&amp;"",",","."))&amp;", "&amp;IF(J220&amp;""="","NULL",SUBSTITUTE(J220&amp;"",",","."))&amp;", "&amp;IF(UPPER(TRIM(K220&amp;""))="SI","TRUE","FALSE")&amp;", 1"&amp;" WHERE NOT EXISTS (SELECT 1 FROM cli_direcciones x WHERE x.id_cliente = "&amp;"(SELECT id FROM cli_clientes WHERE numero_documento = '"&amp;SUBSTITUTE(TRIM(A220),"'","''")&amp;"' AND estado = 1 LIMIT 1)"&amp;" AND upper(x.direccion) = upper("&amp;IF(TRIM(D220&amp;"")="","NULL","'"&amp;SUBSTITUTE(TRIM(D220),"'","''")&amp;"'")&amp;"));")</f>
        <v/>
      </c>
    </row>
    <row r="221" ht="15.75" customHeight="1" s="64">
      <c r="A221" s="23" t="n"/>
      <c r="B221" s="25">
        <f t="array" ref="B221">IF(A221="","",IFERROR(IF(INDEX(Clientes!$D$5:$D$549,MATCH(A221,Clientes!$C$5:$C$549,0))&lt;&gt;"",INDEX(Clientes!$D$5:$D$549,MATCH(A221,Clientes!$C$5:$C$549,0)),TRIM(INDEX(Clientes!$E$5:$E$549,MATCH(A221,Clientes!$C$5:$C$549,0))&amp;" "&amp;INDEX(Clientes!$F$5:$F$549,MATCH(A221,Clientes!$C$5:$C$549,0)))),"NO EXISTE en Clientes"))</f>
        <v/>
      </c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>
        <f>IF(AND(A221="",D221=""),"",IF(A221="","FALTA doc. cliente",IF(B221="NO EXISTE en Clientes","CLIENTE no está en hoja Clientes",IF(D221="","FALTA dirección",IF(AND(H221&lt;&gt;"",OR(F221="",G221="")),"Distrito requiere departamento y provincia",IF(AND(G221&lt;&gt;"",F221=""),"Provincia requiere departamento",IF((I221&lt;&gt;"")&lt;&gt;(J221&lt;&gt;""),"Latitud y longitud van juntas","OK")))))))</f>
        <v/>
      </c>
      <c r="M221" s="28">
        <f>IF(L221&lt;&gt;"OK","","INSERT INTO cli_direcciones (id_cliente, descripcion, direccion, referencia, id_departamento, id_provincia, id_distrito, latitud, longitud, es_principal, estado) SELECT "&amp;"(SELECT id FROM cli_clientes WHERE numero_documento = '"&amp;SUBSTITUTE(TRIM(A221),"'","''")&amp;"' AND estado = 1 LIMIT 1)"&amp;", "&amp;IF(TRIM(C221&amp;"")="","NULL","'"&amp;SUBSTITUTE(TRIM(C221),"'","''")&amp;"'")&amp;", "&amp;IF(TRIM(D221&amp;"")="","NULL","'"&amp;SUBSTITUTE(TRIM(D221),"'","''")&amp;"'")&amp;", "&amp;IF(TRIM(E221&amp;"")="","NULL","'"&amp;SUBSTITUTE(TRIM(E221),"'","''")&amp;"'")&amp;", "&amp;IF(TRIM(F221&amp;"")="","NULL","(SELECT id FROM gen_departamento WHERE upper(nombre) = upper('"&amp;SUBSTITUTE(TRIM(F221),"'","''")&amp;"') AND estado = 1 LIMIT 1)")&amp;", "&amp;IF(OR(TRIM(F221&amp;"")="",TRIM(G221&amp;"")=""),"NULL","(SELECT p.id FROM gen_provincia p JOIN gen_departamento dp ON dp.id = p.id_departamento WHERE upper(p.nombre) = upper('"&amp;SUBSTITUTE(TRIM(G221),"'","''")&amp;"') AND upper(dp.nombre) = upper('"&amp;SUBSTITUTE(TRIM(F221),"'","''")&amp;"') AND p.estado = 1 LIMIT 1)")&amp;", "&amp;IF(OR(TRIM(F221&amp;"")="",TRIM(G221&amp;"")="",TRIM(H221&amp;"")=""),"NULL","(SELECT d.id FROM gen_distrito d JOIN gen_provincia p ON p.id = d.id_provincia JOIN gen_departamento dp ON dp.id = p.id_departamento WHERE upper(d.nombre) = upper('"&amp;SUBSTITUTE(TRIM(H221),"'","''")&amp;"') AND upper(p.nombre) = upper('"&amp;SUBSTITUTE(TRIM(G221),"'","''")&amp;"') AND upper(dp.nombre) = upper('"&amp;SUBSTITUTE(TRIM(F221),"'","''")&amp;"') AND d.estado = 1 LIMIT 1)")&amp;", "&amp;IF(I221&amp;""="","NULL",SUBSTITUTE(I221&amp;"",",","."))&amp;", "&amp;IF(J221&amp;""="","NULL",SUBSTITUTE(J221&amp;"",",","."))&amp;", "&amp;IF(UPPER(TRIM(K221&amp;""))="SI","TRUE","FALSE")&amp;", 1"&amp;" WHERE NOT EXISTS (SELECT 1 FROM cli_direcciones x WHERE x.id_cliente = "&amp;"(SELECT id FROM cli_clientes WHERE numero_documento = '"&amp;SUBSTITUTE(TRIM(A221),"'","''")&amp;"' AND estado = 1 LIMIT 1)"&amp;" AND upper(x.direccion) = upper("&amp;IF(TRIM(D221&amp;"")="","NULL","'"&amp;SUBSTITUTE(TRIM(D221),"'","''")&amp;"'")&amp;"));")</f>
        <v/>
      </c>
    </row>
    <row r="222" ht="15.75" customHeight="1" s="64">
      <c r="A222" s="23" t="n"/>
      <c r="B222" s="25">
        <f t="array" ref="B222">IF(A222="","",IFERROR(IF(INDEX(Clientes!$D$5:$D$549,MATCH(A222,Clientes!$C$5:$C$549,0))&lt;&gt;"",INDEX(Clientes!$D$5:$D$549,MATCH(A222,Clientes!$C$5:$C$549,0)),TRIM(INDEX(Clientes!$E$5:$E$549,MATCH(A222,Clientes!$C$5:$C$549,0))&amp;" "&amp;INDEX(Clientes!$F$5:$F$549,MATCH(A222,Clientes!$C$5:$C$549,0)))),"NO EXISTE en Clientes"))</f>
        <v/>
      </c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>
        <f>IF(AND(A222="",D222=""),"",IF(A222="","FALTA doc. cliente",IF(B222="NO EXISTE en Clientes","CLIENTE no está en hoja Clientes",IF(D222="","FALTA dirección",IF(AND(H222&lt;&gt;"",OR(F222="",G222="")),"Distrito requiere departamento y provincia",IF(AND(G222&lt;&gt;"",F222=""),"Provincia requiere departamento",IF((I222&lt;&gt;"")&lt;&gt;(J222&lt;&gt;""),"Latitud y longitud van juntas","OK")))))))</f>
        <v/>
      </c>
      <c r="M222" s="28">
        <f>IF(L222&lt;&gt;"OK","","INSERT INTO cli_direcciones (id_cliente, descripcion, direccion, referencia, id_departamento, id_provincia, id_distrito, latitud, longitud, es_principal, estado) SELECT "&amp;"(SELECT id FROM cli_clientes WHERE numero_documento = '"&amp;SUBSTITUTE(TRIM(A222),"'","''")&amp;"' AND estado = 1 LIMIT 1)"&amp;", "&amp;IF(TRIM(C222&amp;"")="","NULL","'"&amp;SUBSTITUTE(TRIM(C222),"'","''")&amp;"'")&amp;", "&amp;IF(TRIM(D222&amp;"")="","NULL","'"&amp;SUBSTITUTE(TRIM(D222),"'","''")&amp;"'")&amp;", "&amp;IF(TRIM(E222&amp;"")="","NULL","'"&amp;SUBSTITUTE(TRIM(E222),"'","''")&amp;"'")&amp;", "&amp;IF(TRIM(F222&amp;"")="","NULL","(SELECT id FROM gen_departamento WHERE upper(nombre) = upper('"&amp;SUBSTITUTE(TRIM(F222),"'","''")&amp;"') AND estado = 1 LIMIT 1)")&amp;", "&amp;IF(OR(TRIM(F222&amp;"")="",TRIM(G222&amp;"")=""),"NULL","(SELECT p.id FROM gen_provincia p JOIN gen_departamento dp ON dp.id = p.id_departamento WHERE upper(p.nombre) = upper('"&amp;SUBSTITUTE(TRIM(G222),"'","''")&amp;"') AND upper(dp.nombre) = upper('"&amp;SUBSTITUTE(TRIM(F222),"'","''")&amp;"') AND p.estado = 1 LIMIT 1)")&amp;", "&amp;IF(OR(TRIM(F222&amp;"")="",TRIM(G222&amp;"")="",TRIM(H222&amp;"")=""),"NULL","(SELECT d.id FROM gen_distrito d JOIN gen_provincia p ON p.id = d.id_provincia JOIN gen_departamento dp ON dp.id = p.id_departamento WHERE upper(d.nombre) = upper('"&amp;SUBSTITUTE(TRIM(H222),"'","''")&amp;"') AND upper(p.nombre) = upper('"&amp;SUBSTITUTE(TRIM(G222),"'","''")&amp;"') AND upper(dp.nombre) = upper('"&amp;SUBSTITUTE(TRIM(F222),"'","''")&amp;"') AND d.estado = 1 LIMIT 1)")&amp;", "&amp;IF(I222&amp;""="","NULL",SUBSTITUTE(I222&amp;"",",","."))&amp;", "&amp;IF(J222&amp;""="","NULL",SUBSTITUTE(J222&amp;"",",","."))&amp;", "&amp;IF(UPPER(TRIM(K222&amp;""))="SI","TRUE","FALSE")&amp;", 1"&amp;" WHERE NOT EXISTS (SELECT 1 FROM cli_direcciones x WHERE x.id_cliente = "&amp;"(SELECT id FROM cli_clientes WHERE numero_documento = '"&amp;SUBSTITUTE(TRIM(A222),"'","''")&amp;"' AND estado = 1 LIMIT 1)"&amp;" AND upper(x.direccion) = upper("&amp;IF(TRIM(D222&amp;"")="","NULL","'"&amp;SUBSTITUTE(TRIM(D222),"'","''")&amp;"'")&amp;"));")</f>
        <v/>
      </c>
    </row>
    <row r="223" ht="15.75" customHeight="1" s="64">
      <c r="A223" s="23" t="n"/>
      <c r="B223" s="25">
        <f t="array" ref="B223">IF(A223="","",IFERROR(IF(INDEX(Clientes!$D$5:$D$549,MATCH(A223,Clientes!$C$5:$C$549,0))&lt;&gt;"",INDEX(Clientes!$D$5:$D$549,MATCH(A223,Clientes!$C$5:$C$549,0)),TRIM(INDEX(Clientes!$E$5:$E$549,MATCH(A223,Clientes!$C$5:$C$549,0))&amp;" "&amp;INDEX(Clientes!$F$5:$F$549,MATCH(A223,Clientes!$C$5:$C$549,0)))),"NO EXISTE en Clientes"))</f>
        <v/>
      </c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>
        <f>IF(AND(A223="",D223=""),"",IF(A223="","FALTA doc. cliente",IF(B223="NO EXISTE en Clientes","CLIENTE no está en hoja Clientes",IF(D223="","FALTA dirección",IF(AND(H223&lt;&gt;"",OR(F223="",G223="")),"Distrito requiere departamento y provincia",IF(AND(G223&lt;&gt;"",F223=""),"Provincia requiere departamento",IF((I223&lt;&gt;"")&lt;&gt;(J223&lt;&gt;""),"Latitud y longitud van juntas","OK")))))))</f>
        <v/>
      </c>
      <c r="M223" s="28">
        <f>IF(L223&lt;&gt;"OK","","INSERT INTO cli_direcciones (id_cliente, descripcion, direccion, referencia, id_departamento, id_provincia, id_distrito, latitud, longitud, es_principal, estado) SELECT "&amp;"(SELECT id FROM cli_clientes WHERE numero_documento = '"&amp;SUBSTITUTE(TRIM(A223),"'","''")&amp;"' AND estado = 1 LIMIT 1)"&amp;", "&amp;IF(TRIM(C223&amp;"")="","NULL","'"&amp;SUBSTITUTE(TRIM(C223),"'","''")&amp;"'")&amp;", "&amp;IF(TRIM(D223&amp;"")="","NULL","'"&amp;SUBSTITUTE(TRIM(D223),"'","''")&amp;"'")&amp;", "&amp;IF(TRIM(E223&amp;"")="","NULL","'"&amp;SUBSTITUTE(TRIM(E223),"'","''")&amp;"'")&amp;", "&amp;IF(TRIM(F223&amp;"")="","NULL","(SELECT id FROM gen_departamento WHERE upper(nombre) = upper('"&amp;SUBSTITUTE(TRIM(F223),"'","''")&amp;"') AND estado = 1 LIMIT 1)")&amp;", "&amp;IF(OR(TRIM(F223&amp;"")="",TRIM(G223&amp;"")=""),"NULL","(SELECT p.id FROM gen_provincia p JOIN gen_departamento dp ON dp.id = p.id_departamento WHERE upper(p.nombre) = upper('"&amp;SUBSTITUTE(TRIM(G223),"'","''")&amp;"') AND upper(dp.nombre) = upper('"&amp;SUBSTITUTE(TRIM(F223),"'","''")&amp;"') AND p.estado = 1 LIMIT 1)")&amp;", "&amp;IF(OR(TRIM(F223&amp;"")="",TRIM(G223&amp;"")="",TRIM(H223&amp;"")=""),"NULL","(SELECT d.id FROM gen_distrito d JOIN gen_provincia p ON p.id = d.id_provincia JOIN gen_departamento dp ON dp.id = p.id_departamento WHERE upper(d.nombre) = upper('"&amp;SUBSTITUTE(TRIM(H223),"'","''")&amp;"') AND upper(p.nombre) = upper('"&amp;SUBSTITUTE(TRIM(G223),"'","''")&amp;"') AND upper(dp.nombre) = upper('"&amp;SUBSTITUTE(TRIM(F223),"'","''")&amp;"') AND d.estado = 1 LIMIT 1)")&amp;", "&amp;IF(I223&amp;""="","NULL",SUBSTITUTE(I223&amp;"",",","."))&amp;", "&amp;IF(J223&amp;""="","NULL",SUBSTITUTE(J223&amp;"",",","."))&amp;", "&amp;IF(UPPER(TRIM(K223&amp;""))="SI","TRUE","FALSE")&amp;", 1"&amp;" WHERE NOT EXISTS (SELECT 1 FROM cli_direcciones x WHERE x.id_cliente = "&amp;"(SELECT id FROM cli_clientes WHERE numero_documento = '"&amp;SUBSTITUTE(TRIM(A223),"'","''")&amp;"' AND estado = 1 LIMIT 1)"&amp;" AND upper(x.direccion) = upper("&amp;IF(TRIM(D223&amp;"")="","NULL","'"&amp;SUBSTITUTE(TRIM(D223),"'","''")&amp;"'")&amp;"));")</f>
        <v/>
      </c>
    </row>
    <row r="224" ht="15.75" customHeight="1" s="64">
      <c r="A224" s="23" t="n"/>
      <c r="B224" s="25">
        <f t="array" ref="B224">IF(A224="","",IFERROR(IF(INDEX(Clientes!$D$5:$D$549,MATCH(A224,Clientes!$C$5:$C$549,0))&lt;&gt;"",INDEX(Clientes!$D$5:$D$549,MATCH(A224,Clientes!$C$5:$C$549,0)),TRIM(INDEX(Clientes!$E$5:$E$549,MATCH(A224,Clientes!$C$5:$C$549,0))&amp;" "&amp;INDEX(Clientes!$F$5:$F$549,MATCH(A224,Clientes!$C$5:$C$549,0)))),"NO EXISTE en Clientes"))</f>
        <v/>
      </c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>
        <f>IF(AND(A224="",D224=""),"",IF(A224="","FALTA doc. cliente",IF(B224="NO EXISTE en Clientes","CLIENTE no está en hoja Clientes",IF(D224="","FALTA dirección",IF(AND(H224&lt;&gt;"",OR(F224="",G224="")),"Distrito requiere departamento y provincia",IF(AND(G224&lt;&gt;"",F224=""),"Provincia requiere departamento",IF((I224&lt;&gt;"")&lt;&gt;(J224&lt;&gt;""),"Latitud y longitud van juntas","OK")))))))</f>
        <v/>
      </c>
      <c r="M224" s="28">
        <f>IF(L224&lt;&gt;"OK","","INSERT INTO cli_direcciones (id_cliente, descripcion, direccion, referencia, id_departamento, id_provincia, id_distrito, latitud, longitud, es_principal, estado) SELECT "&amp;"(SELECT id FROM cli_clientes WHERE numero_documento = '"&amp;SUBSTITUTE(TRIM(A224),"'","''")&amp;"' AND estado = 1 LIMIT 1)"&amp;", "&amp;IF(TRIM(C224&amp;"")="","NULL","'"&amp;SUBSTITUTE(TRIM(C224),"'","''")&amp;"'")&amp;", "&amp;IF(TRIM(D224&amp;"")="","NULL","'"&amp;SUBSTITUTE(TRIM(D224),"'","''")&amp;"'")&amp;", "&amp;IF(TRIM(E224&amp;"")="","NULL","'"&amp;SUBSTITUTE(TRIM(E224),"'","''")&amp;"'")&amp;", "&amp;IF(TRIM(F224&amp;"")="","NULL","(SELECT id FROM gen_departamento WHERE upper(nombre) = upper('"&amp;SUBSTITUTE(TRIM(F224),"'","''")&amp;"') AND estado = 1 LIMIT 1)")&amp;", "&amp;IF(OR(TRIM(F224&amp;"")="",TRIM(G224&amp;"")=""),"NULL","(SELECT p.id FROM gen_provincia p JOIN gen_departamento dp ON dp.id = p.id_departamento WHERE upper(p.nombre) = upper('"&amp;SUBSTITUTE(TRIM(G224),"'","''")&amp;"') AND upper(dp.nombre) = upper('"&amp;SUBSTITUTE(TRIM(F224),"'","''")&amp;"') AND p.estado = 1 LIMIT 1)")&amp;", "&amp;IF(OR(TRIM(F224&amp;"")="",TRIM(G224&amp;"")="",TRIM(H224&amp;"")=""),"NULL","(SELECT d.id FROM gen_distrito d JOIN gen_provincia p ON p.id = d.id_provincia JOIN gen_departamento dp ON dp.id = p.id_departamento WHERE upper(d.nombre) = upper('"&amp;SUBSTITUTE(TRIM(H224),"'","''")&amp;"') AND upper(p.nombre) = upper('"&amp;SUBSTITUTE(TRIM(G224),"'","''")&amp;"') AND upper(dp.nombre) = upper('"&amp;SUBSTITUTE(TRIM(F224),"'","''")&amp;"') AND d.estado = 1 LIMIT 1)")&amp;", "&amp;IF(I224&amp;""="","NULL",SUBSTITUTE(I224&amp;"",",","."))&amp;", "&amp;IF(J224&amp;""="","NULL",SUBSTITUTE(J224&amp;"",",","."))&amp;", "&amp;IF(UPPER(TRIM(K224&amp;""))="SI","TRUE","FALSE")&amp;", 1"&amp;" WHERE NOT EXISTS (SELECT 1 FROM cli_direcciones x WHERE x.id_cliente = "&amp;"(SELECT id FROM cli_clientes WHERE numero_documento = '"&amp;SUBSTITUTE(TRIM(A224),"'","''")&amp;"' AND estado = 1 LIMIT 1)"&amp;" AND upper(x.direccion) = upper("&amp;IF(TRIM(D224&amp;"")="","NULL","'"&amp;SUBSTITUTE(TRIM(D224),"'","''")&amp;"'")&amp;"));")</f>
        <v/>
      </c>
    </row>
    <row r="225" ht="15.75" customHeight="1" s="64">
      <c r="A225" s="23" t="n"/>
      <c r="B225" s="25">
        <f t="array" ref="B225">IF(A225="","",IFERROR(IF(INDEX(Clientes!$D$5:$D$549,MATCH(A225,Clientes!$C$5:$C$549,0))&lt;&gt;"",INDEX(Clientes!$D$5:$D$549,MATCH(A225,Clientes!$C$5:$C$549,0)),TRIM(INDEX(Clientes!$E$5:$E$549,MATCH(A225,Clientes!$C$5:$C$549,0))&amp;" "&amp;INDEX(Clientes!$F$5:$F$549,MATCH(A225,Clientes!$C$5:$C$549,0)))),"NO EXISTE en Clientes"))</f>
        <v/>
      </c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>
        <f>IF(AND(A225="",D225=""),"",IF(A225="","FALTA doc. cliente",IF(B225="NO EXISTE en Clientes","CLIENTE no está en hoja Clientes",IF(D225="","FALTA dirección",IF(AND(H225&lt;&gt;"",OR(F225="",G225="")),"Distrito requiere departamento y provincia",IF(AND(G225&lt;&gt;"",F225=""),"Provincia requiere departamento",IF((I225&lt;&gt;"")&lt;&gt;(J225&lt;&gt;""),"Latitud y longitud van juntas","OK")))))))</f>
        <v/>
      </c>
      <c r="M225" s="28">
        <f>IF(L225&lt;&gt;"OK","","INSERT INTO cli_direcciones (id_cliente, descripcion, direccion, referencia, id_departamento, id_provincia, id_distrito, latitud, longitud, es_principal, estado) SELECT "&amp;"(SELECT id FROM cli_clientes WHERE numero_documento = '"&amp;SUBSTITUTE(TRIM(A225),"'","''")&amp;"' AND estado = 1 LIMIT 1)"&amp;", "&amp;IF(TRIM(C225&amp;"")="","NULL","'"&amp;SUBSTITUTE(TRIM(C225),"'","''")&amp;"'")&amp;", "&amp;IF(TRIM(D225&amp;"")="","NULL","'"&amp;SUBSTITUTE(TRIM(D225),"'","''")&amp;"'")&amp;", "&amp;IF(TRIM(E225&amp;"")="","NULL","'"&amp;SUBSTITUTE(TRIM(E225),"'","''")&amp;"'")&amp;", "&amp;IF(TRIM(F225&amp;"")="","NULL","(SELECT id FROM gen_departamento WHERE upper(nombre) = upper('"&amp;SUBSTITUTE(TRIM(F225),"'","''")&amp;"') AND estado = 1 LIMIT 1)")&amp;", "&amp;IF(OR(TRIM(F225&amp;"")="",TRIM(G225&amp;"")=""),"NULL","(SELECT p.id FROM gen_provincia p JOIN gen_departamento dp ON dp.id = p.id_departamento WHERE upper(p.nombre) = upper('"&amp;SUBSTITUTE(TRIM(G225),"'","''")&amp;"') AND upper(dp.nombre) = upper('"&amp;SUBSTITUTE(TRIM(F225),"'","''")&amp;"') AND p.estado = 1 LIMIT 1)")&amp;", "&amp;IF(OR(TRIM(F225&amp;"")="",TRIM(G225&amp;"")="",TRIM(H225&amp;"")=""),"NULL","(SELECT d.id FROM gen_distrito d JOIN gen_provincia p ON p.id = d.id_provincia JOIN gen_departamento dp ON dp.id = p.id_departamento WHERE upper(d.nombre) = upper('"&amp;SUBSTITUTE(TRIM(H225),"'","''")&amp;"') AND upper(p.nombre) = upper('"&amp;SUBSTITUTE(TRIM(G225),"'","''")&amp;"') AND upper(dp.nombre) = upper('"&amp;SUBSTITUTE(TRIM(F225),"'","''")&amp;"') AND d.estado = 1 LIMIT 1)")&amp;", "&amp;IF(I225&amp;""="","NULL",SUBSTITUTE(I225&amp;"",",","."))&amp;", "&amp;IF(J225&amp;""="","NULL",SUBSTITUTE(J225&amp;"",",","."))&amp;", "&amp;IF(UPPER(TRIM(K225&amp;""))="SI","TRUE","FALSE")&amp;", 1"&amp;" WHERE NOT EXISTS (SELECT 1 FROM cli_direcciones x WHERE x.id_cliente = "&amp;"(SELECT id FROM cli_clientes WHERE numero_documento = '"&amp;SUBSTITUTE(TRIM(A225),"'","''")&amp;"' AND estado = 1 LIMIT 1)"&amp;" AND upper(x.direccion) = upper("&amp;IF(TRIM(D225&amp;"")="","NULL","'"&amp;SUBSTITUTE(TRIM(D225),"'","''")&amp;"'")&amp;"));")</f>
        <v/>
      </c>
    </row>
    <row r="226" ht="15.75" customHeight="1" s="64">
      <c r="A226" s="23" t="n"/>
      <c r="B226" s="25">
        <f t="array" ref="B226">IF(A226="","",IFERROR(IF(INDEX(Clientes!$D$5:$D$549,MATCH(A226,Clientes!$C$5:$C$549,0))&lt;&gt;"",INDEX(Clientes!$D$5:$D$549,MATCH(A226,Clientes!$C$5:$C$549,0)),TRIM(INDEX(Clientes!$E$5:$E$549,MATCH(A226,Clientes!$C$5:$C$549,0))&amp;" "&amp;INDEX(Clientes!$F$5:$F$549,MATCH(A226,Clientes!$C$5:$C$549,0)))),"NO EXISTE en Clientes"))</f>
        <v/>
      </c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>
        <f>IF(AND(A226="",D226=""),"",IF(A226="","FALTA doc. cliente",IF(B226="NO EXISTE en Clientes","CLIENTE no está en hoja Clientes",IF(D226="","FALTA dirección",IF(AND(H226&lt;&gt;"",OR(F226="",G226="")),"Distrito requiere departamento y provincia",IF(AND(G226&lt;&gt;"",F226=""),"Provincia requiere departamento",IF((I226&lt;&gt;"")&lt;&gt;(J226&lt;&gt;""),"Latitud y longitud van juntas","OK")))))))</f>
        <v/>
      </c>
      <c r="M226" s="28">
        <f>IF(L226&lt;&gt;"OK","","INSERT INTO cli_direcciones (id_cliente, descripcion, direccion, referencia, id_departamento, id_provincia, id_distrito, latitud, longitud, es_principal, estado) SELECT "&amp;"(SELECT id FROM cli_clientes WHERE numero_documento = '"&amp;SUBSTITUTE(TRIM(A226),"'","''")&amp;"' AND estado = 1 LIMIT 1)"&amp;", "&amp;IF(TRIM(C226&amp;"")="","NULL","'"&amp;SUBSTITUTE(TRIM(C226),"'","''")&amp;"'")&amp;", "&amp;IF(TRIM(D226&amp;"")="","NULL","'"&amp;SUBSTITUTE(TRIM(D226),"'","''")&amp;"'")&amp;", "&amp;IF(TRIM(E226&amp;"")="","NULL","'"&amp;SUBSTITUTE(TRIM(E226),"'","''")&amp;"'")&amp;", "&amp;IF(TRIM(F226&amp;"")="","NULL","(SELECT id FROM gen_departamento WHERE upper(nombre) = upper('"&amp;SUBSTITUTE(TRIM(F226),"'","''")&amp;"') AND estado = 1 LIMIT 1)")&amp;", "&amp;IF(OR(TRIM(F226&amp;"")="",TRIM(G226&amp;"")=""),"NULL","(SELECT p.id FROM gen_provincia p JOIN gen_departamento dp ON dp.id = p.id_departamento WHERE upper(p.nombre) = upper('"&amp;SUBSTITUTE(TRIM(G226),"'","''")&amp;"') AND upper(dp.nombre) = upper('"&amp;SUBSTITUTE(TRIM(F226),"'","''")&amp;"') AND p.estado = 1 LIMIT 1)")&amp;", "&amp;IF(OR(TRIM(F226&amp;"")="",TRIM(G226&amp;"")="",TRIM(H226&amp;"")=""),"NULL","(SELECT d.id FROM gen_distrito d JOIN gen_provincia p ON p.id = d.id_provincia JOIN gen_departamento dp ON dp.id = p.id_departamento WHERE upper(d.nombre) = upper('"&amp;SUBSTITUTE(TRIM(H226),"'","''")&amp;"') AND upper(p.nombre) = upper('"&amp;SUBSTITUTE(TRIM(G226),"'","''")&amp;"') AND upper(dp.nombre) = upper('"&amp;SUBSTITUTE(TRIM(F226),"'","''")&amp;"') AND d.estado = 1 LIMIT 1)")&amp;", "&amp;IF(I226&amp;""="","NULL",SUBSTITUTE(I226&amp;"",",","."))&amp;", "&amp;IF(J226&amp;""="","NULL",SUBSTITUTE(J226&amp;"",",","."))&amp;", "&amp;IF(UPPER(TRIM(K226&amp;""))="SI","TRUE","FALSE")&amp;", 1"&amp;" WHERE NOT EXISTS (SELECT 1 FROM cli_direcciones x WHERE x.id_cliente = "&amp;"(SELECT id FROM cli_clientes WHERE numero_documento = '"&amp;SUBSTITUTE(TRIM(A226),"'","''")&amp;"' AND estado = 1 LIMIT 1)"&amp;" AND upper(x.direccion) = upper("&amp;IF(TRIM(D226&amp;"")="","NULL","'"&amp;SUBSTITUTE(TRIM(D226),"'","''")&amp;"'")&amp;"));")</f>
        <v/>
      </c>
    </row>
    <row r="227" ht="15.75" customHeight="1" s="64">
      <c r="A227" s="23" t="n"/>
      <c r="B227" s="25">
        <f t="array" ref="B227">IF(A227="","",IFERROR(IF(INDEX(Clientes!$D$5:$D$549,MATCH(A227,Clientes!$C$5:$C$549,0))&lt;&gt;"",INDEX(Clientes!$D$5:$D$549,MATCH(A227,Clientes!$C$5:$C$549,0)),TRIM(INDEX(Clientes!$E$5:$E$549,MATCH(A227,Clientes!$C$5:$C$549,0))&amp;" "&amp;INDEX(Clientes!$F$5:$F$549,MATCH(A227,Clientes!$C$5:$C$549,0)))),"NO EXISTE en Clientes"))</f>
        <v/>
      </c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>
        <f>IF(AND(A227="",D227=""),"",IF(A227="","FALTA doc. cliente",IF(B227="NO EXISTE en Clientes","CLIENTE no está en hoja Clientes",IF(D227="","FALTA dirección",IF(AND(H227&lt;&gt;"",OR(F227="",G227="")),"Distrito requiere departamento y provincia",IF(AND(G227&lt;&gt;"",F227=""),"Provincia requiere departamento",IF((I227&lt;&gt;"")&lt;&gt;(J227&lt;&gt;""),"Latitud y longitud van juntas","OK")))))))</f>
        <v/>
      </c>
      <c r="M227" s="28">
        <f>IF(L227&lt;&gt;"OK","","INSERT INTO cli_direcciones (id_cliente, descripcion, direccion, referencia, id_departamento, id_provincia, id_distrito, latitud, longitud, es_principal, estado) SELECT "&amp;"(SELECT id FROM cli_clientes WHERE numero_documento = '"&amp;SUBSTITUTE(TRIM(A227),"'","''")&amp;"' AND estado = 1 LIMIT 1)"&amp;", "&amp;IF(TRIM(C227&amp;"")="","NULL","'"&amp;SUBSTITUTE(TRIM(C227),"'","''")&amp;"'")&amp;", "&amp;IF(TRIM(D227&amp;"")="","NULL","'"&amp;SUBSTITUTE(TRIM(D227),"'","''")&amp;"'")&amp;", "&amp;IF(TRIM(E227&amp;"")="","NULL","'"&amp;SUBSTITUTE(TRIM(E227),"'","''")&amp;"'")&amp;", "&amp;IF(TRIM(F227&amp;"")="","NULL","(SELECT id FROM gen_departamento WHERE upper(nombre) = upper('"&amp;SUBSTITUTE(TRIM(F227),"'","''")&amp;"') AND estado = 1 LIMIT 1)")&amp;", "&amp;IF(OR(TRIM(F227&amp;"")="",TRIM(G227&amp;"")=""),"NULL","(SELECT p.id FROM gen_provincia p JOIN gen_departamento dp ON dp.id = p.id_departamento WHERE upper(p.nombre) = upper('"&amp;SUBSTITUTE(TRIM(G227),"'","''")&amp;"') AND upper(dp.nombre) = upper('"&amp;SUBSTITUTE(TRIM(F227),"'","''")&amp;"') AND p.estado = 1 LIMIT 1)")&amp;", "&amp;IF(OR(TRIM(F227&amp;"")="",TRIM(G227&amp;"")="",TRIM(H227&amp;"")=""),"NULL","(SELECT d.id FROM gen_distrito d JOIN gen_provincia p ON p.id = d.id_provincia JOIN gen_departamento dp ON dp.id = p.id_departamento WHERE upper(d.nombre) = upper('"&amp;SUBSTITUTE(TRIM(H227),"'","''")&amp;"') AND upper(p.nombre) = upper('"&amp;SUBSTITUTE(TRIM(G227),"'","''")&amp;"') AND upper(dp.nombre) = upper('"&amp;SUBSTITUTE(TRIM(F227),"'","''")&amp;"') AND d.estado = 1 LIMIT 1)")&amp;", "&amp;IF(I227&amp;""="","NULL",SUBSTITUTE(I227&amp;"",",","."))&amp;", "&amp;IF(J227&amp;""="","NULL",SUBSTITUTE(J227&amp;"",",","."))&amp;", "&amp;IF(UPPER(TRIM(K227&amp;""))="SI","TRUE","FALSE")&amp;", 1"&amp;" WHERE NOT EXISTS (SELECT 1 FROM cli_direcciones x WHERE x.id_cliente = "&amp;"(SELECT id FROM cli_clientes WHERE numero_documento = '"&amp;SUBSTITUTE(TRIM(A227),"'","''")&amp;"' AND estado = 1 LIMIT 1)"&amp;" AND upper(x.direccion) = upper("&amp;IF(TRIM(D227&amp;"")="","NULL","'"&amp;SUBSTITUTE(TRIM(D227),"'","''")&amp;"'")&amp;"));")</f>
        <v/>
      </c>
    </row>
    <row r="228" ht="15.75" customHeight="1" s="64">
      <c r="A228" s="23" t="n"/>
      <c r="B228" s="25">
        <f t="array" ref="B228">IF(A228="","",IFERROR(IF(INDEX(Clientes!$D$5:$D$549,MATCH(A228,Clientes!$C$5:$C$549,0))&lt;&gt;"",INDEX(Clientes!$D$5:$D$549,MATCH(A228,Clientes!$C$5:$C$549,0)),TRIM(INDEX(Clientes!$E$5:$E$549,MATCH(A228,Clientes!$C$5:$C$549,0))&amp;" "&amp;INDEX(Clientes!$F$5:$F$549,MATCH(A228,Clientes!$C$5:$C$549,0)))),"NO EXISTE en Clientes"))</f>
        <v/>
      </c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>
        <f>IF(AND(A228="",D228=""),"",IF(A228="","FALTA doc. cliente",IF(B228="NO EXISTE en Clientes","CLIENTE no está en hoja Clientes",IF(D228="","FALTA dirección",IF(AND(H228&lt;&gt;"",OR(F228="",G228="")),"Distrito requiere departamento y provincia",IF(AND(G228&lt;&gt;"",F228=""),"Provincia requiere departamento",IF((I228&lt;&gt;"")&lt;&gt;(J228&lt;&gt;""),"Latitud y longitud van juntas","OK")))))))</f>
        <v/>
      </c>
      <c r="M228" s="28">
        <f>IF(L228&lt;&gt;"OK","","INSERT INTO cli_direcciones (id_cliente, descripcion, direccion, referencia, id_departamento, id_provincia, id_distrito, latitud, longitud, es_principal, estado) SELECT "&amp;"(SELECT id FROM cli_clientes WHERE numero_documento = '"&amp;SUBSTITUTE(TRIM(A228),"'","''")&amp;"' AND estado = 1 LIMIT 1)"&amp;", "&amp;IF(TRIM(C228&amp;"")="","NULL","'"&amp;SUBSTITUTE(TRIM(C228),"'","''")&amp;"'")&amp;", "&amp;IF(TRIM(D228&amp;"")="","NULL","'"&amp;SUBSTITUTE(TRIM(D228),"'","''")&amp;"'")&amp;", "&amp;IF(TRIM(E228&amp;"")="","NULL","'"&amp;SUBSTITUTE(TRIM(E228),"'","''")&amp;"'")&amp;", "&amp;IF(TRIM(F228&amp;"")="","NULL","(SELECT id FROM gen_departamento WHERE upper(nombre) = upper('"&amp;SUBSTITUTE(TRIM(F228),"'","''")&amp;"') AND estado = 1 LIMIT 1)")&amp;", "&amp;IF(OR(TRIM(F228&amp;"")="",TRIM(G228&amp;"")=""),"NULL","(SELECT p.id FROM gen_provincia p JOIN gen_departamento dp ON dp.id = p.id_departamento WHERE upper(p.nombre) = upper('"&amp;SUBSTITUTE(TRIM(G228),"'","''")&amp;"') AND upper(dp.nombre) = upper('"&amp;SUBSTITUTE(TRIM(F228),"'","''")&amp;"') AND p.estado = 1 LIMIT 1)")&amp;", "&amp;IF(OR(TRIM(F228&amp;"")="",TRIM(G228&amp;"")="",TRIM(H228&amp;"")=""),"NULL","(SELECT d.id FROM gen_distrito d JOIN gen_provincia p ON p.id = d.id_provincia JOIN gen_departamento dp ON dp.id = p.id_departamento WHERE upper(d.nombre) = upper('"&amp;SUBSTITUTE(TRIM(H228),"'","''")&amp;"') AND upper(p.nombre) = upper('"&amp;SUBSTITUTE(TRIM(G228),"'","''")&amp;"') AND upper(dp.nombre) = upper('"&amp;SUBSTITUTE(TRIM(F228),"'","''")&amp;"') AND d.estado = 1 LIMIT 1)")&amp;", "&amp;IF(I228&amp;""="","NULL",SUBSTITUTE(I228&amp;"",",","."))&amp;", "&amp;IF(J228&amp;""="","NULL",SUBSTITUTE(J228&amp;"",",","."))&amp;", "&amp;IF(UPPER(TRIM(K228&amp;""))="SI","TRUE","FALSE")&amp;", 1"&amp;" WHERE NOT EXISTS (SELECT 1 FROM cli_direcciones x WHERE x.id_cliente = "&amp;"(SELECT id FROM cli_clientes WHERE numero_documento = '"&amp;SUBSTITUTE(TRIM(A228),"'","''")&amp;"' AND estado = 1 LIMIT 1)"&amp;" AND upper(x.direccion) = upper("&amp;IF(TRIM(D228&amp;"")="","NULL","'"&amp;SUBSTITUTE(TRIM(D228),"'","''")&amp;"'")&amp;"));")</f>
        <v/>
      </c>
    </row>
    <row r="229" ht="15.75" customHeight="1" s="64">
      <c r="A229" s="23" t="n"/>
      <c r="B229" s="25">
        <f t="array" ref="B229">IF(A229="","",IFERROR(IF(INDEX(Clientes!$D$5:$D$549,MATCH(A229,Clientes!$C$5:$C$549,0))&lt;&gt;"",INDEX(Clientes!$D$5:$D$549,MATCH(A229,Clientes!$C$5:$C$549,0)),TRIM(INDEX(Clientes!$E$5:$E$549,MATCH(A229,Clientes!$C$5:$C$549,0))&amp;" "&amp;INDEX(Clientes!$F$5:$F$549,MATCH(A229,Clientes!$C$5:$C$549,0)))),"NO EXISTE en Clientes"))</f>
        <v/>
      </c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>
        <f>IF(AND(A229="",D229=""),"",IF(A229="","FALTA doc. cliente",IF(B229="NO EXISTE en Clientes","CLIENTE no está en hoja Clientes",IF(D229="","FALTA dirección",IF(AND(H229&lt;&gt;"",OR(F229="",G229="")),"Distrito requiere departamento y provincia",IF(AND(G229&lt;&gt;"",F229=""),"Provincia requiere departamento",IF((I229&lt;&gt;"")&lt;&gt;(J229&lt;&gt;""),"Latitud y longitud van juntas","OK")))))))</f>
        <v/>
      </c>
      <c r="M229" s="28">
        <f>IF(L229&lt;&gt;"OK","","INSERT INTO cli_direcciones (id_cliente, descripcion, direccion, referencia, id_departamento, id_provincia, id_distrito, latitud, longitud, es_principal, estado) SELECT "&amp;"(SELECT id FROM cli_clientes WHERE numero_documento = '"&amp;SUBSTITUTE(TRIM(A229),"'","''")&amp;"' AND estado = 1 LIMIT 1)"&amp;", "&amp;IF(TRIM(C229&amp;"")="","NULL","'"&amp;SUBSTITUTE(TRIM(C229),"'","''")&amp;"'")&amp;", "&amp;IF(TRIM(D229&amp;"")="","NULL","'"&amp;SUBSTITUTE(TRIM(D229),"'","''")&amp;"'")&amp;", "&amp;IF(TRIM(E229&amp;"")="","NULL","'"&amp;SUBSTITUTE(TRIM(E229),"'","''")&amp;"'")&amp;", "&amp;IF(TRIM(F229&amp;"")="","NULL","(SELECT id FROM gen_departamento WHERE upper(nombre) = upper('"&amp;SUBSTITUTE(TRIM(F229),"'","''")&amp;"') AND estado = 1 LIMIT 1)")&amp;", "&amp;IF(OR(TRIM(F229&amp;"")="",TRIM(G229&amp;"")=""),"NULL","(SELECT p.id FROM gen_provincia p JOIN gen_departamento dp ON dp.id = p.id_departamento WHERE upper(p.nombre) = upper('"&amp;SUBSTITUTE(TRIM(G229),"'","''")&amp;"') AND upper(dp.nombre) = upper('"&amp;SUBSTITUTE(TRIM(F229),"'","''")&amp;"') AND p.estado = 1 LIMIT 1)")&amp;", "&amp;IF(OR(TRIM(F229&amp;"")="",TRIM(G229&amp;"")="",TRIM(H229&amp;"")=""),"NULL","(SELECT d.id FROM gen_distrito d JOIN gen_provincia p ON p.id = d.id_provincia JOIN gen_departamento dp ON dp.id = p.id_departamento WHERE upper(d.nombre) = upper('"&amp;SUBSTITUTE(TRIM(H229),"'","''")&amp;"') AND upper(p.nombre) = upper('"&amp;SUBSTITUTE(TRIM(G229),"'","''")&amp;"') AND upper(dp.nombre) = upper('"&amp;SUBSTITUTE(TRIM(F229),"'","''")&amp;"') AND d.estado = 1 LIMIT 1)")&amp;", "&amp;IF(I229&amp;""="","NULL",SUBSTITUTE(I229&amp;"",",","."))&amp;", "&amp;IF(J229&amp;""="","NULL",SUBSTITUTE(J229&amp;"",",","."))&amp;", "&amp;IF(UPPER(TRIM(K229&amp;""))="SI","TRUE","FALSE")&amp;", 1"&amp;" WHERE NOT EXISTS (SELECT 1 FROM cli_direcciones x WHERE x.id_cliente = "&amp;"(SELECT id FROM cli_clientes WHERE numero_documento = '"&amp;SUBSTITUTE(TRIM(A229),"'","''")&amp;"' AND estado = 1 LIMIT 1)"&amp;" AND upper(x.direccion) = upper("&amp;IF(TRIM(D229&amp;"")="","NULL","'"&amp;SUBSTITUTE(TRIM(D229),"'","''")&amp;"'")&amp;"));")</f>
        <v/>
      </c>
    </row>
    <row r="230" ht="15.75" customHeight="1" s="64">
      <c r="A230" s="23" t="n"/>
      <c r="B230" s="25">
        <f t="array" ref="B230">IF(A230="","",IFERROR(IF(INDEX(Clientes!$D$5:$D$549,MATCH(A230,Clientes!$C$5:$C$549,0))&lt;&gt;"",INDEX(Clientes!$D$5:$D$549,MATCH(A230,Clientes!$C$5:$C$549,0)),TRIM(INDEX(Clientes!$E$5:$E$549,MATCH(A230,Clientes!$C$5:$C$549,0))&amp;" "&amp;INDEX(Clientes!$F$5:$F$549,MATCH(A230,Clientes!$C$5:$C$549,0)))),"NO EXISTE en Clientes"))</f>
        <v/>
      </c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>
        <f>IF(AND(A230="",D230=""),"",IF(A230="","FALTA doc. cliente",IF(B230="NO EXISTE en Clientes","CLIENTE no está en hoja Clientes",IF(D230="","FALTA dirección",IF(AND(H230&lt;&gt;"",OR(F230="",G230="")),"Distrito requiere departamento y provincia",IF(AND(G230&lt;&gt;"",F230=""),"Provincia requiere departamento",IF((I230&lt;&gt;"")&lt;&gt;(J230&lt;&gt;""),"Latitud y longitud van juntas","OK")))))))</f>
        <v/>
      </c>
      <c r="M230" s="28">
        <f>IF(L230&lt;&gt;"OK","","INSERT INTO cli_direcciones (id_cliente, descripcion, direccion, referencia, id_departamento, id_provincia, id_distrito, latitud, longitud, es_principal, estado) SELECT "&amp;"(SELECT id FROM cli_clientes WHERE numero_documento = '"&amp;SUBSTITUTE(TRIM(A230),"'","''")&amp;"' AND estado = 1 LIMIT 1)"&amp;", "&amp;IF(TRIM(C230&amp;"")="","NULL","'"&amp;SUBSTITUTE(TRIM(C230),"'","''")&amp;"'")&amp;", "&amp;IF(TRIM(D230&amp;"")="","NULL","'"&amp;SUBSTITUTE(TRIM(D230),"'","''")&amp;"'")&amp;", "&amp;IF(TRIM(E230&amp;"")="","NULL","'"&amp;SUBSTITUTE(TRIM(E230),"'","''")&amp;"'")&amp;", "&amp;IF(TRIM(F230&amp;"")="","NULL","(SELECT id FROM gen_departamento WHERE upper(nombre) = upper('"&amp;SUBSTITUTE(TRIM(F230),"'","''")&amp;"') AND estado = 1 LIMIT 1)")&amp;", "&amp;IF(OR(TRIM(F230&amp;"")="",TRIM(G230&amp;"")=""),"NULL","(SELECT p.id FROM gen_provincia p JOIN gen_departamento dp ON dp.id = p.id_departamento WHERE upper(p.nombre) = upper('"&amp;SUBSTITUTE(TRIM(G230),"'","''")&amp;"') AND upper(dp.nombre) = upper('"&amp;SUBSTITUTE(TRIM(F230),"'","''")&amp;"') AND p.estado = 1 LIMIT 1)")&amp;", "&amp;IF(OR(TRIM(F230&amp;"")="",TRIM(G230&amp;"")="",TRIM(H230&amp;"")=""),"NULL","(SELECT d.id FROM gen_distrito d JOIN gen_provincia p ON p.id = d.id_provincia JOIN gen_departamento dp ON dp.id = p.id_departamento WHERE upper(d.nombre) = upper('"&amp;SUBSTITUTE(TRIM(H230),"'","''")&amp;"') AND upper(p.nombre) = upper('"&amp;SUBSTITUTE(TRIM(G230),"'","''")&amp;"') AND upper(dp.nombre) = upper('"&amp;SUBSTITUTE(TRIM(F230),"'","''")&amp;"') AND d.estado = 1 LIMIT 1)")&amp;", "&amp;IF(I230&amp;""="","NULL",SUBSTITUTE(I230&amp;"",",","."))&amp;", "&amp;IF(J230&amp;""="","NULL",SUBSTITUTE(J230&amp;"",",","."))&amp;", "&amp;IF(UPPER(TRIM(K230&amp;""))="SI","TRUE","FALSE")&amp;", 1"&amp;" WHERE NOT EXISTS (SELECT 1 FROM cli_direcciones x WHERE x.id_cliente = "&amp;"(SELECT id FROM cli_clientes WHERE numero_documento = '"&amp;SUBSTITUTE(TRIM(A230),"'","''")&amp;"' AND estado = 1 LIMIT 1)"&amp;" AND upper(x.direccion) = upper("&amp;IF(TRIM(D230&amp;"")="","NULL","'"&amp;SUBSTITUTE(TRIM(D230),"'","''")&amp;"'")&amp;"));")</f>
        <v/>
      </c>
    </row>
    <row r="231" ht="15.75" customHeight="1" s="64">
      <c r="A231" s="23" t="n"/>
      <c r="B231" s="25">
        <f t="array" ref="B231">IF(A231="","",IFERROR(IF(INDEX(Clientes!$D$5:$D$549,MATCH(A231,Clientes!$C$5:$C$549,0))&lt;&gt;"",INDEX(Clientes!$D$5:$D$549,MATCH(A231,Clientes!$C$5:$C$549,0)),TRIM(INDEX(Clientes!$E$5:$E$549,MATCH(A231,Clientes!$C$5:$C$549,0))&amp;" "&amp;INDEX(Clientes!$F$5:$F$549,MATCH(A231,Clientes!$C$5:$C$549,0)))),"NO EXISTE en Clientes"))</f>
        <v/>
      </c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>
        <f>IF(AND(A231="",D231=""),"",IF(A231="","FALTA doc. cliente",IF(B231="NO EXISTE en Clientes","CLIENTE no está en hoja Clientes",IF(D231="","FALTA dirección",IF(AND(H231&lt;&gt;"",OR(F231="",G231="")),"Distrito requiere departamento y provincia",IF(AND(G231&lt;&gt;"",F231=""),"Provincia requiere departamento",IF((I231&lt;&gt;"")&lt;&gt;(J231&lt;&gt;""),"Latitud y longitud van juntas","OK")))))))</f>
        <v/>
      </c>
      <c r="M231" s="28">
        <f>IF(L231&lt;&gt;"OK","","INSERT INTO cli_direcciones (id_cliente, descripcion, direccion, referencia, id_departamento, id_provincia, id_distrito, latitud, longitud, es_principal, estado) SELECT "&amp;"(SELECT id FROM cli_clientes WHERE numero_documento = '"&amp;SUBSTITUTE(TRIM(A231),"'","''")&amp;"' AND estado = 1 LIMIT 1)"&amp;", "&amp;IF(TRIM(C231&amp;"")="","NULL","'"&amp;SUBSTITUTE(TRIM(C231),"'","''")&amp;"'")&amp;", "&amp;IF(TRIM(D231&amp;"")="","NULL","'"&amp;SUBSTITUTE(TRIM(D231),"'","''")&amp;"'")&amp;", "&amp;IF(TRIM(E231&amp;"")="","NULL","'"&amp;SUBSTITUTE(TRIM(E231),"'","''")&amp;"'")&amp;", "&amp;IF(TRIM(F231&amp;"")="","NULL","(SELECT id FROM gen_departamento WHERE upper(nombre) = upper('"&amp;SUBSTITUTE(TRIM(F231),"'","''")&amp;"') AND estado = 1 LIMIT 1)")&amp;", "&amp;IF(OR(TRIM(F231&amp;"")="",TRIM(G231&amp;"")=""),"NULL","(SELECT p.id FROM gen_provincia p JOIN gen_departamento dp ON dp.id = p.id_departamento WHERE upper(p.nombre) = upper('"&amp;SUBSTITUTE(TRIM(G231),"'","''")&amp;"') AND upper(dp.nombre) = upper('"&amp;SUBSTITUTE(TRIM(F231),"'","''")&amp;"') AND p.estado = 1 LIMIT 1)")&amp;", "&amp;IF(OR(TRIM(F231&amp;"")="",TRIM(G231&amp;"")="",TRIM(H231&amp;"")=""),"NULL","(SELECT d.id FROM gen_distrito d JOIN gen_provincia p ON p.id = d.id_provincia JOIN gen_departamento dp ON dp.id = p.id_departamento WHERE upper(d.nombre) = upper('"&amp;SUBSTITUTE(TRIM(H231),"'","''")&amp;"') AND upper(p.nombre) = upper('"&amp;SUBSTITUTE(TRIM(G231),"'","''")&amp;"') AND upper(dp.nombre) = upper('"&amp;SUBSTITUTE(TRIM(F231),"'","''")&amp;"') AND d.estado = 1 LIMIT 1)")&amp;", "&amp;IF(I231&amp;""="","NULL",SUBSTITUTE(I231&amp;"",",","."))&amp;", "&amp;IF(J231&amp;""="","NULL",SUBSTITUTE(J231&amp;"",",","."))&amp;", "&amp;IF(UPPER(TRIM(K231&amp;""))="SI","TRUE","FALSE")&amp;", 1"&amp;" WHERE NOT EXISTS (SELECT 1 FROM cli_direcciones x WHERE x.id_cliente = "&amp;"(SELECT id FROM cli_clientes WHERE numero_documento = '"&amp;SUBSTITUTE(TRIM(A231),"'","''")&amp;"' AND estado = 1 LIMIT 1)"&amp;" AND upper(x.direccion) = upper("&amp;IF(TRIM(D231&amp;"")="","NULL","'"&amp;SUBSTITUTE(TRIM(D231),"'","''")&amp;"'")&amp;"));")</f>
        <v/>
      </c>
    </row>
    <row r="232" ht="15.75" customHeight="1" s="64">
      <c r="A232" s="23" t="n"/>
      <c r="B232" s="25">
        <f t="array" ref="B232">IF(A232="","",IFERROR(IF(INDEX(Clientes!$D$5:$D$549,MATCH(A232,Clientes!$C$5:$C$549,0))&lt;&gt;"",INDEX(Clientes!$D$5:$D$549,MATCH(A232,Clientes!$C$5:$C$549,0)),TRIM(INDEX(Clientes!$E$5:$E$549,MATCH(A232,Clientes!$C$5:$C$549,0))&amp;" "&amp;INDEX(Clientes!$F$5:$F$549,MATCH(A232,Clientes!$C$5:$C$549,0)))),"NO EXISTE en Clientes"))</f>
        <v/>
      </c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>
        <f>IF(AND(A232="",D232=""),"",IF(A232="","FALTA doc. cliente",IF(B232="NO EXISTE en Clientes","CLIENTE no está en hoja Clientes",IF(D232="","FALTA dirección",IF(AND(H232&lt;&gt;"",OR(F232="",G232="")),"Distrito requiere departamento y provincia",IF(AND(G232&lt;&gt;"",F232=""),"Provincia requiere departamento",IF((I232&lt;&gt;"")&lt;&gt;(J232&lt;&gt;""),"Latitud y longitud van juntas","OK")))))))</f>
        <v/>
      </c>
      <c r="M232" s="28">
        <f>IF(L232&lt;&gt;"OK","","INSERT INTO cli_direcciones (id_cliente, descripcion, direccion, referencia, id_departamento, id_provincia, id_distrito, latitud, longitud, es_principal, estado) SELECT "&amp;"(SELECT id FROM cli_clientes WHERE numero_documento = '"&amp;SUBSTITUTE(TRIM(A232),"'","''")&amp;"' AND estado = 1 LIMIT 1)"&amp;", "&amp;IF(TRIM(C232&amp;"")="","NULL","'"&amp;SUBSTITUTE(TRIM(C232),"'","''")&amp;"'")&amp;", "&amp;IF(TRIM(D232&amp;"")="","NULL","'"&amp;SUBSTITUTE(TRIM(D232),"'","''")&amp;"'")&amp;", "&amp;IF(TRIM(E232&amp;"")="","NULL","'"&amp;SUBSTITUTE(TRIM(E232),"'","''")&amp;"'")&amp;", "&amp;IF(TRIM(F232&amp;"")="","NULL","(SELECT id FROM gen_departamento WHERE upper(nombre) = upper('"&amp;SUBSTITUTE(TRIM(F232),"'","''")&amp;"') AND estado = 1 LIMIT 1)")&amp;", "&amp;IF(OR(TRIM(F232&amp;"")="",TRIM(G232&amp;"")=""),"NULL","(SELECT p.id FROM gen_provincia p JOIN gen_departamento dp ON dp.id = p.id_departamento WHERE upper(p.nombre) = upper('"&amp;SUBSTITUTE(TRIM(G232),"'","''")&amp;"') AND upper(dp.nombre) = upper('"&amp;SUBSTITUTE(TRIM(F232),"'","''")&amp;"') AND p.estado = 1 LIMIT 1)")&amp;", "&amp;IF(OR(TRIM(F232&amp;"")="",TRIM(G232&amp;"")="",TRIM(H232&amp;"")=""),"NULL","(SELECT d.id FROM gen_distrito d JOIN gen_provincia p ON p.id = d.id_provincia JOIN gen_departamento dp ON dp.id = p.id_departamento WHERE upper(d.nombre) = upper('"&amp;SUBSTITUTE(TRIM(H232),"'","''")&amp;"') AND upper(p.nombre) = upper('"&amp;SUBSTITUTE(TRIM(G232),"'","''")&amp;"') AND upper(dp.nombre) = upper('"&amp;SUBSTITUTE(TRIM(F232),"'","''")&amp;"') AND d.estado = 1 LIMIT 1)")&amp;", "&amp;IF(I232&amp;""="","NULL",SUBSTITUTE(I232&amp;"",",","."))&amp;", "&amp;IF(J232&amp;""="","NULL",SUBSTITUTE(J232&amp;"",",","."))&amp;", "&amp;IF(UPPER(TRIM(K232&amp;""))="SI","TRUE","FALSE")&amp;", 1"&amp;" WHERE NOT EXISTS (SELECT 1 FROM cli_direcciones x WHERE x.id_cliente = "&amp;"(SELECT id FROM cli_clientes WHERE numero_documento = '"&amp;SUBSTITUTE(TRIM(A232),"'","''")&amp;"' AND estado = 1 LIMIT 1)"&amp;" AND upper(x.direccion) = upper("&amp;IF(TRIM(D232&amp;"")="","NULL","'"&amp;SUBSTITUTE(TRIM(D232),"'","''")&amp;"'")&amp;"));")</f>
        <v/>
      </c>
    </row>
    <row r="233" ht="15.75" customHeight="1" s="64">
      <c r="A233" s="23" t="n"/>
      <c r="B233" s="25">
        <f t="array" ref="B233">IF(A233="","",IFERROR(IF(INDEX(Clientes!$D$5:$D$549,MATCH(A233,Clientes!$C$5:$C$549,0))&lt;&gt;"",INDEX(Clientes!$D$5:$D$549,MATCH(A233,Clientes!$C$5:$C$549,0)),TRIM(INDEX(Clientes!$E$5:$E$549,MATCH(A233,Clientes!$C$5:$C$549,0))&amp;" "&amp;INDEX(Clientes!$F$5:$F$549,MATCH(A233,Clientes!$C$5:$C$549,0)))),"NO EXISTE en Clientes"))</f>
        <v/>
      </c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>
        <f>IF(AND(A233="",D233=""),"",IF(A233="","FALTA doc. cliente",IF(B233="NO EXISTE en Clientes","CLIENTE no está en hoja Clientes",IF(D233="","FALTA dirección",IF(AND(H233&lt;&gt;"",OR(F233="",G233="")),"Distrito requiere departamento y provincia",IF(AND(G233&lt;&gt;"",F233=""),"Provincia requiere departamento",IF((I233&lt;&gt;"")&lt;&gt;(J233&lt;&gt;""),"Latitud y longitud van juntas","OK")))))))</f>
        <v/>
      </c>
      <c r="M233" s="28">
        <f>IF(L233&lt;&gt;"OK","","INSERT INTO cli_direcciones (id_cliente, descripcion, direccion, referencia, id_departamento, id_provincia, id_distrito, latitud, longitud, es_principal, estado) SELECT "&amp;"(SELECT id FROM cli_clientes WHERE numero_documento = '"&amp;SUBSTITUTE(TRIM(A233),"'","''")&amp;"' AND estado = 1 LIMIT 1)"&amp;", "&amp;IF(TRIM(C233&amp;"")="","NULL","'"&amp;SUBSTITUTE(TRIM(C233),"'","''")&amp;"'")&amp;", "&amp;IF(TRIM(D233&amp;"")="","NULL","'"&amp;SUBSTITUTE(TRIM(D233),"'","''")&amp;"'")&amp;", "&amp;IF(TRIM(E233&amp;"")="","NULL","'"&amp;SUBSTITUTE(TRIM(E233),"'","''")&amp;"'")&amp;", "&amp;IF(TRIM(F233&amp;"")="","NULL","(SELECT id FROM gen_departamento WHERE upper(nombre) = upper('"&amp;SUBSTITUTE(TRIM(F233),"'","''")&amp;"') AND estado = 1 LIMIT 1)")&amp;", "&amp;IF(OR(TRIM(F233&amp;"")="",TRIM(G233&amp;"")=""),"NULL","(SELECT p.id FROM gen_provincia p JOIN gen_departamento dp ON dp.id = p.id_departamento WHERE upper(p.nombre) = upper('"&amp;SUBSTITUTE(TRIM(G233),"'","''")&amp;"') AND upper(dp.nombre) = upper('"&amp;SUBSTITUTE(TRIM(F233),"'","''")&amp;"') AND p.estado = 1 LIMIT 1)")&amp;", "&amp;IF(OR(TRIM(F233&amp;"")="",TRIM(G233&amp;"")="",TRIM(H233&amp;"")=""),"NULL","(SELECT d.id FROM gen_distrito d JOIN gen_provincia p ON p.id = d.id_provincia JOIN gen_departamento dp ON dp.id = p.id_departamento WHERE upper(d.nombre) = upper('"&amp;SUBSTITUTE(TRIM(H233),"'","''")&amp;"') AND upper(p.nombre) = upper('"&amp;SUBSTITUTE(TRIM(G233),"'","''")&amp;"') AND upper(dp.nombre) = upper('"&amp;SUBSTITUTE(TRIM(F233),"'","''")&amp;"') AND d.estado = 1 LIMIT 1)")&amp;", "&amp;IF(I233&amp;""="","NULL",SUBSTITUTE(I233&amp;"",",","."))&amp;", "&amp;IF(J233&amp;""="","NULL",SUBSTITUTE(J233&amp;"",",","."))&amp;", "&amp;IF(UPPER(TRIM(K233&amp;""))="SI","TRUE","FALSE")&amp;", 1"&amp;" WHERE NOT EXISTS (SELECT 1 FROM cli_direcciones x WHERE x.id_cliente = "&amp;"(SELECT id FROM cli_clientes WHERE numero_documento = '"&amp;SUBSTITUTE(TRIM(A233),"'","''")&amp;"' AND estado = 1 LIMIT 1)"&amp;" AND upper(x.direccion) = upper("&amp;IF(TRIM(D233&amp;"")="","NULL","'"&amp;SUBSTITUTE(TRIM(D233),"'","''")&amp;"'")&amp;"));")</f>
        <v/>
      </c>
    </row>
    <row r="234" ht="15.75" customHeight="1" s="64">
      <c r="A234" s="23" t="n"/>
      <c r="B234" s="25">
        <f t="array" ref="B234">IF(A234="","",IFERROR(IF(INDEX(Clientes!$D$5:$D$549,MATCH(A234,Clientes!$C$5:$C$549,0))&lt;&gt;"",INDEX(Clientes!$D$5:$D$549,MATCH(A234,Clientes!$C$5:$C$549,0)),TRIM(INDEX(Clientes!$E$5:$E$549,MATCH(A234,Clientes!$C$5:$C$549,0))&amp;" "&amp;INDEX(Clientes!$F$5:$F$549,MATCH(A234,Clientes!$C$5:$C$549,0)))),"NO EXISTE en Clientes"))</f>
        <v/>
      </c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>
        <f>IF(AND(A234="",D234=""),"",IF(A234="","FALTA doc. cliente",IF(B234="NO EXISTE en Clientes","CLIENTE no está en hoja Clientes",IF(D234="","FALTA dirección",IF(AND(H234&lt;&gt;"",OR(F234="",G234="")),"Distrito requiere departamento y provincia",IF(AND(G234&lt;&gt;"",F234=""),"Provincia requiere departamento",IF((I234&lt;&gt;"")&lt;&gt;(J234&lt;&gt;""),"Latitud y longitud van juntas","OK")))))))</f>
        <v/>
      </c>
      <c r="M234" s="28">
        <f>IF(L234&lt;&gt;"OK","","INSERT INTO cli_direcciones (id_cliente, descripcion, direccion, referencia, id_departamento, id_provincia, id_distrito, latitud, longitud, es_principal, estado) SELECT "&amp;"(SELECT id FROM cli_clientes WHERE numero_documento = '"&amp;SUBSTITUTE(TRIM(A234),"'","''")&amp;"' AND estado = 1 LIMIT 1)"&amp;", "&amp;IF(TRIM(C234&amp;"")="","NULL","'"&amp;SUBSTITUTE(TRIM(C234),"'","''")&amp;"'")&amp;", "&amp;IF(TRIM(D234&amp;"")="","NULL","'"&amp;SUBSTITUTE(TRIM(D234),"'","''")&amp;"'")&amp;", "&amp;IF(TRIM(E234&amp;"")="","NULL","'"&amp;SUBSTITUTE(TRIM(E234),"'","''")&amp;"'")&amp;", "&amp;IF(TRIM(F234&amp;"")="","NULL","(SELECT id FROM gen_departamento WHERE upper(nombre) = upper('"&amp;SUBSTITUTE(TRIM(F234),"'","''")&amp;"') AND estado = 1 LIMIT 1)")&amp;", "&amp;IF(OR(TRIM(F234&amp;"")="",TRIM(G234&amp;"")=""),"NULL","(SELECT p.id FROM gen_provincia p JOIN gen_departamento dp ON dp.id = p.id_departamento WHERE upper(p.nombre) = upper('"&amp;SUBSTITUTE(TRIM(G234),"'","''")&amp;"') AND upper(dp.nombre) = upper('"&amp;SUBSTITUTE(TRIM(F234),"'","''")&amp;"') AND p.estado = 1 LIMIT 1)")&amp;", "&amp;IF(OR(TRIM(F234&amp;"")="",TRIM(G234&amp;"")="",TRIM(H234&amp;"")=""),"NULL","(SELECT d.id FROM gen_distrito d JOIN gen_provincia p ON p.id = d.id_provincia JOIN gen_departamento dp ON dp.id = p.id_departamento WHERE upper(d.nombre) = upper('"&amp;SUBSTITUTE(TRIM(H234),"'","''")&amp;"') AND upper(p.nombre) = upper('"&amp;SUBSTITUTE(TRIM(G234),"'","''")&amp;"') AND upper(dp.nombre) = upper('"&amp;SUBSTITUTE(TRIM(F234),"'","''")&amp;"') AND d.estado = 1 LIMIT 1)")&amp;", "&amp;IF(I234&amp;""="","NULL",SUBSTITUTE(I234&amp;"",",","."))&amp;", "&amp;IF(J234&amp;""="","NULL",SUBSTITUTE(J234&amp;"",",","."))&amp;", "&amp;IF(UPPER(TRIM(K234&amp;""))="SI","TRUE","FALSE")&amp;", 1"&amp;" WHERE NOT EXISTS (SELECT 1 FROM cli_direcciones x WHERE x.id_cliente = "&amp;"(SELECT id FROM cli_clientes WHERE numero_documento = '"&amp;SUBSTITUTE(TRIM(A234),"'","''")&amp;"' AND estado = 1 LIMIT 1)"&amp;" AND upper(x.direccion) = upper("&amp;IF(TRIM(D234&amp;"")="","NULL","'"&amp;SUBSTITUTE(TRIM(D234),"'","''")&amp;"'")&amp;"));")</f>
        <v/>
      </c>
    </row>
    <row r="235" ht="15.75" customHeight="1" s="64">
      <c r="A235" s="23" t="n"/>
      <c r="B235" s="25">
        <f t="array" ref="B235">IF(A235="","",IFERROR(IF(INDEX(Clientes!$D$5:$D$549,MATCH(A235,Clientes!$C$5:$C$549,0))&lt;&gt;"",INDEX(Clientes!$D$5:$D$549,MATCH(A235,Clientes!$C$5:$C$549,0)),TRIM(INDEX(Clientes!$E$5:$E$549,MATCH(A235,Clientes!$C$5:$C$549,0))&amp;" "&amp;INDEX(Clientes!$F$5:$F$549,MATCH(A235,Clientes!$C$5:$C$549,0)))),"NO EXISTE en Clientes"))</f>
        <v/>
      </c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>
        <f>IF(AND(A235="",D235=""),"",IF(A235="","FALTA doc. cliente",IF(B235="NO EXISTE en Clientes","CLIENTE no está en hoja Clientes",IF(D235="","FALTA dirección",IF(AND(H235&lt;&gt;"",OR(F235="",G235="")),"Distrito requiere departamento y provincia",IF(AND(G235&lt;&gt;"",F235=""),"Provincia requiere departamento",IF((I235&lt;&gt;"")&lt;&gt;(J235&lt;&gt;""),"Latitud y longitud van juntas","OK")))))))</f>
        <v/>
      </c>
      <c r="M235" s="28">
        <f>IF(L235&lt;&gt;"OK","","INSERT INTO cli_direcciones (id_cliente, descripcion, direccion, referencia, id_departamento, id_provincia, id_distrito, latitud, longitud, es_principal, estado) SELECT "&amp;"(SELECT id FROM cli_clientes WHERE numero_documento = '"&amp;SUBSTITUTE(TRIM(A235),"'","''")&amp;"' AND estado = 1 LIMIT 1)"&amp;", "&amp;IF(TRIM(C235&amp;"")="","NULL","'"&amp;SUBSTITUTE(TRIM(C235),"'","''")&amp;"'")&amp;", "&amp;IF(TRIM(D235&amp;"")="","NULL","'"&amp;SUBSTITUTE(TRIM(D235),"'","''")&amp;"'")&amp;", "&amp;IF(TRIM(E235&amp;"")="","NULL","'"&amp;SUBSTITUTE(TRIM(E235),"'","''")&amp;"'")&amp;", "&amp;IF(TRIM(F235&amp;"")="","NULL","(SELECT id FROM gen_departamento WHERE upper(nombre) = upper('"&amp;SUBSTITUTE(TRIM(F235),"'","''")&amp;"') AND estado = 1 LIMIT 1)")&amp;", "&amp;IF(OR(TRIM(F235&amp;"")="",TRIM(G235&amp;"")=""),"NULL","(SELECT p.id FROM gen_provincia p JOIN gen_departamento dp ON dp.id = p.id_departamento WHERE upper(p.nombre) = upper('"&amp;SUBSTITUTE(TRIM(G235),"'","''")&amp;"') AND upper(dp.nombre) = upper('"&amp;SUBSTITUTE(TRIM(F235),"'","''")&amp;"') AND p.estado = 1 LIMIT 1)")&amp;", "&amp;IF(OR(TRIM(F235&amp;"")="",TRIM(G235&amp;"")="",TRIM(H235&amp;"")=""),"NULL","(SELECT d.id FROM gen_distrito d JOIN gen_provincia p ON p.id = d.id_provincia JOIN gen_departamento dp ON dp.id = p.id_departamento WHERE upper(d.nombre) = upper('"&amp;SUBSTITUTE(TRIM(H235),"'","''")&amp;"') AND upper(p.nombre) = upper('"&amp;SUBSTITUTE(TRIM(G235),"'","''")&amp;"') AND upper(dp.nombre) = upper('"&amp;SUBSTITUTE(TRIM(F235),"'","''")&amp;"') AND d.estado = 1 LIMIT 1)")&amp;", "&amp;IF(I235&amp;""="","NULL",SUBSTITUTE(I235&amp;"",",","."))&amp;", "&amp;IF(J235&amp;""="","NULL",SUBSTITUTE(J235&amp;"",",","."))&amp;", "&amp;IF(UPPER(TRIM(K235&amp;""))="SI","TRUE","FALSE")&amp;", 1"&amp;" WHERE NOT EXISTS (SELECT 1 FROM cli_direcciones x WHERE x.id_cliente = "&amp;"(SELECT id FROM cli_clientes WHERE numero_documento = '"&amp;SUBSTITUTE(TRIM(A235),"'","''")&amp;"' AND estado = 1 LIMIT 1)"&amp;" AND upper(x.direccion) = upper("&amp;IF(TRIM(D235&amp;"")="","NULL","'"&amp;SUBSTITUTE(TRIM(D235),"'","''")&amp;"'")&amp;"));")</f>
        <v/>
      </c>
    </row>
    <row r="236" ht="15.75" customHeight="1" s="64">
      <c r="A236" s="23" t="n"/>
      <c r="B236" s="25">
        <f t="array" ref="B236">IF(A236="","",IFERROR(IF(INDEX(Clientes!$D$5:$D$549,MATCH(A236,Clientes!$C$5:$C$549,0))&lt;&gt;"",INDEX(Clientes!$D$5:$D$549,MATCH(A236,Clientes!$C$5:$C$549,0)),TRIM(INDEX(Clientes!$E$5:$E$549,MATCH(A236,Clientes!$C$5:$C$549,0))&amp;" "&amp;INDEX(Clientes!$F$5:$F$549,MATCH(A236,Clientes!$C$5:$C$549,0)))),"NO EXISTE en Clientes"))</f>
        <v/>
      </c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>
        <f>IF(AND(A236="",D236=""),"",IF(A236="","FALTA doc. cliente",IF(B236="NO EXISTE en Clientes","CLIENTE no está en hoja Clientes",IF(D236="","FALTA dirección",IF(AND(H236&lt;&gt;"",OR(F236="",G236="")),"Distrito requiere departamento y provincia",IF(AND(G236&lt;&gt;"",F236=""),"Provincia requiere departamento",IF((I236&lt;&gt;"")&lt;&gt;(J236&lt;&gt;""),"Latitud y longitud van juntas","OK")))))))</f>
        <v/>
      </c>
      <c r="M236" s="28">
        <f>IF(L236&lt;&gt;"OK","","INSERT INTO cli_direcciones (id_cliente, descripcion, direccion, referencia, id_departamento, id_provincia, id_distrito, latitud, longitud, es_principal, estado) SELECT "&amp;"(SELECT id FROM cli_clientes WHERE numero_documento = '"&amp;SUBSTITUTE(TRIM(A236),"'","''")&amp;"' AND estado = 1 LIMIT 1)"&amp;", "&amp;IF(TRIM(C236&amp;"")="","NULL","'"&amp;SUBSTITUTE(TRIM(C236),"'","''")&amp;"'")&amp;", "&amp;IF(TRIM(D236&amp;"")="","NULL","'"&amp;SUBSTITUTE(TRIM(D236),"'","''")&amp;"'")&amp;", "&amp;IF(TRIM(E236&amp;"")="","NULL","'"&amp;SUBSTITUTE(TRIM(E236),"'","''")&amp;"'")&amp;", "&amp;IF(TRIM(F236&amp;"")="","NULL","(SELECT id FROM gen_departamento WHERE upper(nombre) = upper('"&amp;SUBSTITUTE(TRIM(F236),"'","''")&amp;"') AND estado = 1 LIMIT 1)")&amp;", "&amp;IF(OR(TRIM(F236&amp;"")="",TRIM(G236&amp;"")=""),"NULL","(SELECT p.id FROM gen_provincia p JOIN gen_departamento dp ON dp.id = p.id_departamento WHERE upper(p.nombre) = upper('"&amp;SUBSTITUTE(TRIM(G236),"'","''")&amp;"') AND upper(dp.nombre) = upper('"&amp;SUBSTITUTE(TRIM(F236),"'","''")&amp;"') AND p.estado = 1 LIMIT 1)")&amp;", "&amp;IF(OR(TRIM(F236&amp;"")="",TRIM(G236&amp;"")="",TRIM(H236&amp;"")=""),"NULL","(SELECT d.id FROM gen_distrito d JOIN gen_provincia p ON p.id = d.id_provincia JOIN gen_departamento dp ON dp.id = p.id_departamento WHERE upper(d.nombre) = upper('"&amp;SUBSTITUTE(TRIM(H236),"'","''")&amp;"') AND upper(p.nombre) = upper('"&amp;SUBSTITUTE(TRIM(G236),"'","''")&amp;"') AND upper(dp.nombre) = upper('"&amp;SUBSTITUTE(TRIM(F236),"'","''")&amp;"') AND d.estado = 1 LIMIT 1)")&amp;", "&amp;IF(I236&amp;""="","NULL",SUBSTITUTE(I236&amp;"",",","."))&amp;", "&amp;IF(J236&amp;""="","NULL",SUBSTITUTE(J236&amp;"",",","."))&amp;", "&amp;IF(UPPER(TRIM(K236&amp;""))="SI","TRUE","FALSE")&amp;", 1"&amp;" WHERE NOT EXISTS (SELECT 1 FROM cli_direcciones x WHERE x.id_cliente = "&amp;"(SELECT id FROM cli_clientes WHERE numero_documento = '"&amp;SUBSTITUTE(TRIM(A236),"'","''")&amp;"' AND estado = 1 LIMIT 1)"&amp;" AND upper(x.direccion) = upper("&amp;IF(TRIM(D236&amp;"")="","NULL","'"&amp;SUBSTITUTE(TRIM(D236),"'","''")&amp;"'")&amp;"));")</f>
        <v/>
      </c>
    </row>
    <row r="237" ht="15.75" customHeight="1" s="64">
      <c r="A237" s="23" t="n"/>
      <c r="B237" s="25">
        <f t="array" ref="B237">IF(A237="","",IFERROR(IF(INDEX(Clientes!$D$5:$D$549,MATCH(A237,Clientes!$C$5:$C$549,0))&lt;&gt;"",INDEX(Clientes!$D$5:$D$549,MATCH(A237,Clientes!$C$5:$C$549,0)),TRIM(INDEX(Clientes!$E$5:$E$549,MATCH(A237,Clientes!$C$5:$C$549,0))&amp;" "&amp;INDEX(Clientes!$F$5:$F$549,MATCH(A237,Clientes!$C$5:$C$549,0)))),"NO EXISTE en Clientes"))</f>
        <v/>
      </c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>
        <f>IF(AND(A237="",D237=""),"",IF(A237="","FALTA doc. cliente",IF(B237="NO EXISTE en Clientes","CLIENTE no está en hoja Clientes",IF(D237="","FALTA dirección",IF(AND(H237&lt;&gt;"",OR(F237="",G237="")),"Distrito requiere departamento y provincia",IF(AND(G237&lt;&gt;"",F237=""),"Provincia requiere departamento",IF((I237&lt;&gt;"")&lt;&gt;(J237&lt;&gt;""),"Latitud y longitud van juntas","OK")))))))</f>
        <v/>
      </c>
      <c r="M237" s="28">
        <f>IF(L237&lt;&gt;"OK","","INSERT INTO cli_direcciones (id_cliente, descripcion, direccion, referencia, id_departamento, id_provincia, id_distrito, latitud, longitud, es_principal, estado) SELECT "&amp;"(SELECT id FROM cli_clientes WHERE numero_documento = '"&amp;SUBSTITUTE(TRIM(A237),"'","''")&amp;"' AND estado = 1 LIMIT 1)"&amp;", "&amp;IF(TRIM(C237&amp;"")="","NULL","'"&amp;SUBSTITUTE(TRIM(C237),"'","''")&amp;"'")&amp;", "&amp;IF(TRIM(D237&amp;"")="","NULL","'"&amp;SUBSTITUTE(TRIM(D237),"'","''")&amp;"'")&amp;", "&amp;IF(TRIM(E237&amp;"")="","NULL","'"&amp;SUBSTITUTE(TRIM(E237),"'","''")&amp;"'")&amp;", "&amp;IF(TRIM(F237&amp;"")="","NULL","(SELECT id FROM gen_departamento WHERE upper(nombre) = upper('"&amp;SUBSTITUTE(TRIM(F237),"'","''")&amp;"') AND estado = 1 LIMIT 1)")&amp;", "&amp;IF(OR(TRIM(F237&amp;"")="",TRIM(G237&amp;"")=""),"NULL","(SELECT p.id FROM gen_provincia p JOIN gen_departamento dp ON dp.id = p.id_departamento WHERE upper(p.nombre) = upper('"&amp;SUBSTITUTE(TRIM(G237),"'","''")&amp;"') AND upper(dp.nombre) = upper('"&amp;SUBSTITUTE(TRIM(F237),"'","''")&amp;"') AND p.estado = 1 LIMIT 1)")&amp;", "&amp;IF(OR(TRIM(F237&amp;"")="",TRIM(G237&amp;"")="",TRIM(H237&amp;"")=""),"NULL","(SELECT d.id FROM gen_distrito d JOIN gen_provincia p ON p.id = d.id_provincia JOIN gen_departamento dp ON dp.id = p.id_departamento WHERE upper(d.nombre) = upper('"&amp;SUBSTITUTE(TRIM(H237),"'","''")&amp;"') AND upper(p.nombre) = upper('"&amp;SUBSTITUTE(TRIM(G237),"'","''")&amp;"') AND upper(dp.nombre) = upper('"&amp;SUBSTITUTE(TRIM(F237),"'","''")&amp;"') AND d.estado = 1 LIMIT 1)")&amp;", "&amp;IF(I237&amp;""="","NULL",SUBSTITUTE(I237&amp;"",",","."))&amp;", "&amp;IF(J237&amp;""="","NULL",SUBSTITUTE(J237&amp;"",",","."))&amp;", "&amp;IF(UPPER(TRIM(K237&amp;""))="SI","TRUE","FALSE")&amp;", 1"&amp;" WHERE NOT EXISTS (SELECT 1 FROM cli_direcciones x WHERE x.id_cliente = "&amp;"(SELECT id FROM cli_clientes WHERE numero_documento = '"&amp;SUBSTITUTE(TRIM(A237),"'","''")&amp;"' AND estado = 1 LIMIT 1)"&amp;" AND upper(x.direccion) = upper("&amp;IF(TRIM(D237&amp;"")="","NULL","'"&amp;SUBSTITUTE(TRIM(D237),"'","''")&amp;"'")&amp;"));")</f>
        <v/>
      </c>
    </row>
    <row r="238" ht="15.75" customHeight="1" s="64">
      <c r="A238" s="23" t="n"/>
      <c r="B238" s="25">
        <f t="array" ref="B238">IF(A238="","",IFERROR(IF(INDEX(Clientes!$D$5:$D$549,MATCH(A238,Clientes!$C$5:$C$549,0))&lt;&gt;"",INDEX(Clientes!$D$5:$D$549,MATCH(A238,Clientes!$C$5:$C$549,0)),TRIM(INDEX(Clientes!$E$5:$E$549,MATCH(A238,Clientes!$C$5:$C$549,0))&amp;" "&amp;INDEX(Clientes!$F$5:$F$549,MATCH(A238,Clientes!$C$5:$C$549,0)))),"NO EXISTE en Clientes"))</f>
        <v/>
      </c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>
        <f>IF(AND(A238="",D238=""),"",IF(A238="","FALTA doc. cliente",IF(B238="NO EXISTE en Clientes","CLIENTE no está en hoja Clientes",IF(D238="","FALTA dirección",IF(AND(H238&lt;&gt;"",OR(F238="",G238="")),"Distrito requiere departamento y provincia",IF(AND(G238&lt;&gt;"",F238=""),"Provincia requiere departamento",IF((I238&lt;&gt;"")&lt;&gt;(J238&lt;&gt;""),"Latitud y longitud van juntas","OK")))))))</f>
        <v/>
      </c>
      <c r="M238" s="28">
        <f>IF(L238&lt;&gt;"OK","","INSERT INTO cli_direcciones (id_cliente, descripcion, direccion, referencia, id_departamento, id_provincia, id_distrito, latitud, longitud, es_principal, estado) SELECT "&amp;"(SELECT id FROM cli_clientes WHERE numero_documento = '"&amp;SUBSTITUTE(TRIM(A238),"'","''")&amp;"' AND estado = 1 LIMIT 1)"&amp;", "&amp;IF(TRIM(C238&amp;"")="","NULL","'"&amp;SUBSTITUTE(TRIM(C238),"'","''")&amp;"'")&amp;", "&amp;IF(TRIM(D238&amp;"")="","NULL","'"&amp;SUBSTITUTE(TRIM(D238),"'","''")&amp;"'")&amp;", "&amp;IF(TRIM(E238&amp;"")="","NULL","'"&amp;SUBSTITUTE(TRIM(E238),"'","''")&amp;"'")&amp;", "&amp;IF(TRIM(F238&amp;"")="","NULL","(SELECT id FROM gen_departamento WHERE upper(nombre) = upper('"&amp;SUBSTITUTE(TRIM(F238),"'","''")&amp;"') AND estado = 1 LIMIT 1)")&amp;", "&amp;IF(OR(TRIM(F238&amp;"")="",TRIM(G238&amp;"")=""),"NULL","(SELECT p.id FROM gen_provincia p JOIN gen_departamento dp ON dp.id = p.id_departamento WHERE upper(p.nombre) = upper('"&amp;SUBSTITUTE(TRIM(G238),"'","''")&amp;"') AND upper(dp.nombre) = upper('"&amp;SUBSTITUTE(TRIM(F238),"'","''")&amp;"') AND p.estado = 1 LIMIT 1)")&amp;", "&amp;IF(OR(TRIM(F238&amp;"")="",TRIM(G238&amp;"")="",TRIM(H238&amp;"")=""),"NULL","(SELECT d.id FROM gen_distrito d JOIN gen_provincia p ON p.id = d.id_provincia JOIN gen_departamento dp ON dp.id = p.id_departamento WHERE upper(d.nombre) = upper('"&amp;SUBSTITUTE(TRIM(H238),"'","''")&amp;"') AND upper(p.nombre) = upper('"&amp;SUBSTITUTE(TRIM(G238),"'","''")&amp;"') AND upper(dp.nombre) = upper('"&amp;SUBSTITUTE(TRIM(F238),"'","''")&amp;"') AND d.estado = 1 LIMIT 1)")&amp;", "&amp;IF(I238&amp;""="","NULL",SUBSTITUTE(I238&amp;"",",","."))&amp;", "&amp;IF(J238&amp;""="","NULL",SUBSTITUTE(J238&amp;"",",","."))&amp;", "&amp;IF(UPPER(TRIM(K238&amp;""))="SI","TRUE","FALSE")&amp;", 1"&amp;" WHERE NOT EXISTS (SELECT 1 FROM cli_direcciones x WHERE x.id_cliente = "&amp;"(SELECT id FROM cli_clientes WHERE numero_documento = '"&amp;SUBSTITUTE(TRIM(A238),"'","''")&amp;"' AND estado = 1 LIMIT 1)"&amp;" AND upper(x.direccion) = upper("&amp;IF(TRIM(D238&amp;"")="","NULL","'"&amp;SUBSTITUTE(TRIM(D238),"'","''")&amp;"'")&amp;"));")</f>
        <v/>
      </c>
    </row>
    <row r="239" ht="15.75" customHeight="1" s="64">
      <c r="A239" s="23" t="n"/>
      <c r="B239" s="25">
        <f t="array" ref="B239">IF(A239="","",IFERROR(IF(INDEX(Clientes!$D$5:$D$549,MATCH(A239,Clientes!$C$5:$C$549,0))&lt;&gt;"",INDEX(Clientes!$D$5:$D$549,MATCH(A239,Clientes!$C$5:$C$549,0)),TRIM(INDEX(Clientes!$E$5:$E$549,MATCH(A239,Clientes!$C$5:$C$549,0))&amp;" "&amp;INDEX(Clientes!$F$5:$F$549,MATCH(A239,Clientes!$C$5:$C$549,0)))),"NO EXISTE en Clientes"))</f>
        <v/>
      </c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>
        <f>IF(AND(A239="",D239=""),"",IF(A239="","FALTA doc. cliente",IF(B239="NO EXISTE en Clientes","CLIENTE no está en hoja Clientes",IF(D239="","FALTA dirección",IF(AND(H239&lt;&gt;"",OR(F239="",G239="")),"Distrito requiere departamento y provincia",IF(AND(G239&lt;&gt;"",F239=""),"Provincia requiere departamento",IF((I239&lt;&gt;"")&lt;&gt;(J239&lt;&gt;""),"Latitud y longitud van juntas","OK")))))))</f>
        <v/>
      </c>
      <c r="M239" s="28">
        <f>IF(L239&lt;&gt;"OK","","INSERT INTO cli_direcciones (id_cliente, descripcion, direccion, referencia, id_departamento, id_provincia, id_distrito, latitud, longitud, es_principal, estado) SELECT "&amp;"(SELECT id FROM cli_clientes WHERE numero_documento = '"&amp;SUBSTITUTE(TRIM(A239),"'","''")&amp;"' AND estado = 1 LIMIT 1)"&amp;", "&amp;IF(TRIM(C239&amp;"")="","NULL","'"&amp;SUBSTITUTE(TRIM(C239),"'","''")&amp;"'")&amp;", "&amp;IF(TRIM(D239&amp;"")="","NULL","'"&amp;SUBSTITUTE(TRIM(D239),"'","''")&amp;"'")&amp;", "&amp;IF(TRIM(E239&amp;"")="","NULL","'"&amp;SUBSTITUTE(TRIM(E239),"'","''")&amp;"'")&amp;", "&amp;IF(TRIM(F239&amp;"")="","NULL","(SELECT id FROM gen_departamento WHERE upper(nombre) = upper('"&amp;SUBSTITUTE(TRIM(F239),"'","''")&amp;"') AND estado = 1 LIMIT 1)")&amp;", "&amp;IF(OR(TRIM(F239&amp;"")="",TRIM(G239&amp;"")=""),"NULL","(SELECT p.id FROM gen_provincia p JOIN gen_departamento dp ON dp.id = p.id_departamento WHERE upper(p.nombre) = upper('"&amp;SUBSTITUTE(TRIM(G239),"'","''")&amp;"') AND upper(dp.nombre) = upper('"&amp;SUBSTITUTE(TRIM(F239),"'","''")&amp;"') AND p.estado = 1 LIMIT 1)")&amp;", "&amp;IF(OR(TRIM(F239&amp;"")="",TRIM(G239&amp;"")="",TRIM(H239&amp;"")=""),"NULL","(SELECT d.id FROM gen_distrito d JOIN gen_provincia p ON p.id = d.id_provincia JOIN gen_departamento dp ON dp.id = p.id_departamento WHERE upper(d.nombre) = upper('"&amp;SUBSTITUTE(TRIM(H239),"'","''")&amp;"') AND upper(p.nombre) = upper('"&amp;SUBSTITUTE(TRIM(G239),"'","''")&amp;"') AND upper(dp.nombre) = upper('"&amp;SUBSTITUTE(TRIM(F239),"'","''")&amp;"') AND d.estado = 1 LIMIT 1)")&amp;", "&amp;IF(I239&amp;""="","NULL",SUBSTITUTE(I239&amp;"",",","."))&amp;", "&amp;IF(J239&amp;""="","NULL",SUBSTITUTE(J239&amp;"",",","."))&amp;", "&amp;IF(UPPER(TRIM(K239&amp;""))="SI","TRUE","FALSE")&amp;", 1"&amp;" WHERE NOT EXISTS (SELECT 1 FROM cli_direcciones x WHERE x.id_cliente = "&amp;"(SELECT id FROM cli_clientes WHERE numero_documento = '"&amp;SUBSTITUTE(TRIM(A239),"'","''")&amp;"' AND estado = 1 LIMIT 1)"&amp;" AND upper(x.direccion) = upper("&amp;IF(TRIM(D239&amp;"")="","NULL","'"&amp;SUBSTITUTE(TRIM(D239),"'","''")&amp;"'")&amp;"));")</f>
        <v/>
      </c>
    </row>
    <row r="240" ht="15.75" customHeight="1" s="64">
      <c r="A240" s="23" t="n"/>
      <c r="B240" s="25">
        <f t="array" ref="B240">IF(A240="","",IFERROR(IF(INDEX(Clientes!$D$5:$D$549,MATCH(A240,Clientes!$C$5:$C$549,0))&lt;&gt;"",INDEX(Clientes!$D$5:$D$549,MATCH(A240,Clientes!$C$5:$C$549,0)),TRIM(INDEX(Clientes!$E$5:$E$549,MATCH(A240,Clientes!$C$5:$C$549,0))&amp;" "&amp;INDEX(Clientes!$F$5:$F$549,MATCH(A240,Clientes!$C$5:$C$549,0)))),"NO EXISTE en Clientes"))</f>
        <v/>
      </c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>
        <f>IF(AND(A240="",D240=""),"",IF(A240="","FALTA doc. cliente",IF(B240="NO EXISTE en Clientes","CLIENTE no está en hoja Clientes",IF(D240="","FALTA dirección",IF(AND(H240&lt;&gt;"",OR(F240="",G240="")),"Distrito requiere departamento y provincia",IF(AND(G240&lt;&gt;"",F240=""),"Provincia requiere departamento",IF((I240&lt;&gt;"")&lt;&gt;(J240&lt;&gt;""),"Latitud y longitud van juntas","OK")))))))</f>
        <v/>
      </c>
      <c r="M240" s="28">
        <f>IF(L240&lt;&gt;"OK","","INSERT INTO cli_direcciones (id_cliente, descripcion, direccion, referencia, id_departamento, id_provincia, id_distrito, latitud, longitud, es_principal, estado) SELECT "&amp;"(SELECT id FROM cli_clientes WHERE numero_documento = '"&amp;SUBSTITUTE(TRIM(A240),"'","''")&amp;"' AND estado = 1 LIMIT 1)"&amp;", "&amp;IF(TRIM(C240&amp;"")="","NULL","'"&amp;SUBSTITUTE(TRIM(C240),"'","''")&amp;"'")&amp;", "&amp;IF(TRIM(D240&amp;"")="","NULL","'"&amp;SUBSTITUTE(TRIM(D240),"'","''")&amp;"'")&amp;", "&amp;IF(TRIM(E240&amp;"")="","NULL","'"&amp;SUBSTITUTE(TRIM(E240),"'","''")&amp;"'")&amp;", "&amp;IF(TRIM(F240&amp;"")="","NULL","(SELECT id FROM gen_departamento WHERE upper(nombre) = upper('"&amp;SUBSTITUTE(TRIM(F240),"'","''")&amp;"') AND estado = 1 LIMIT 1)")&amp;", "&amp;IF(OR(TRIM(F240&amp;"")="",TRIM(G240&amp;"")=""),"NULL","(SELECT p.id FROM gen_provincia p JOIN gen_departamento dp ON dp.id = p.id_departamento WHERE upper(p.nombre) = upper('"&amp;SUBSTITUTE(TRIM(G240),"'","''")&amp;"') AND upper(dp.nombre) = upper('"&amp;SUBSTITUTE(TRIM(F240),"'","''")&amp;"') AND p.estado = 1 LIMIT 1)")&amp;", "&amp;IF(OR(TRIM(F240&amp;"")="",TRIM(G240&amp;"")="",TRIM(H240&amp;"")=""),"NULL","(SELECT d.id FROM gen_distrito d JOIN gen_provincia p ON p.id = d.id_provincia JOIN gen_departamento dp ON dp.id = p.id_departamento WHERE upper(d.nombre) = upper('"&amp;SUBSTITUTE(TRIM(H240),"'","''")&amp;"') AND upper(p.nombre) = upper('"&amp;SUBSTITUTE(TRIM(G240),"'","''")&amp;"') AND upper(dp.nombre) = upper('"&amp;SUBSTITUTE(TRIM(F240),"'","''")&amp;"') AND d.estado = 1 LIMIT 1)")&amp;", "&amp;IF(I240&amp;""="","NULL",SUBSTITUTE(I240&amp;"",",","."))&amp;", "&amp;IF(J240&amp;""="","NULL",SUBSTITUTE(J240&amp;"",",","."))&amp;", "&amp;IF(UPPER(TRIM(K240&amp;""))="SI","TRUE","FALSE")&amp;", 1"&amp;" WHERE NOT EXISTS (SELECT 1 FROM cli_direcciones x WHERE x.id_cliente = "&amp;"(SELECT id FROM cli_clientes WHERE numero_documento = '"&amp;SUBSTITUTE(TRIM(A240),"'","''")&amp;"' AND estado = 1 LIMIT 1)"&amp;" AND upper(x.direccion) = upper("&amp;IF(TRIM(D240&amp;"")="","NULL","'"&amp;SUBSTITUTE(TRIM(D240),"'","''")&amp;"'")&amp;"));")</f>
        <v/>
      </c>
    </row>
    <row r="241" ht="15.75" customHeight="1" s="64">
      <c r="A241" s="23" t="n"/>
      <c r="B241" s="25">
        <f t="array" ref="B241">IF(A241="","",IFERROR(IF(INDEX(Clientes!$D$5:$D$549,MATCH(A241,Clientes!$C$5:$C$549,0))&lt;&gt;"",INDEX(Clientes!$D$5:$D$549,MATCH(A241,Clientes!$C$5:$C$549,0)),TRIM(INDEX(Clientes!$E$5:$E$549,MATCH(A241,Clientes!$C$5:$C$549,0))&amp;" "&amp;INDEX(Clientes!$F$5:$F$549,MATCH(A241,Clientes!$C$5:$C$549,0)))),"NO EXISTE en Clientes"))</f>
        <v/>
      </c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>
        <f>IF(AND(A241="",D241=""),"",IF(A241="","FALTA doc. cliente",IF(B241="NO EXISTE en Clientes","CLIENTE no está en hoja Clientes",IF(D241="","FALTA dirección",IF(AND(H241&lt;&gt;"",OR(F241="",G241="")),"Distrito requiere departamento y provincia",IF(AND(G241&lt;&gt;"",F241=""),"Provincia requiere departamento",IF((I241&lt;&gt;"")&lt;&gt;(J241&lt;&gt;""),"Latitud y longitud van juntas","OK")))))))</f>
        <v/>
      </c>
      <c r="M241" s="28">
        <f>IF(L241&lt;&gt;"OK","","INSERT INTO cli_direcciones (id_cliente, descripcion, direccion, referencia, id_departamento, id_provincia, id_distrito, latitud, longitud, es_principal, estado) SELECT "&amp;"(SELECT id FROM cli_clientes WHERE numero_documento = '"&amp;SUBSTITUTE(TRIM(A241),"'","''")&amp;"' AND estado = 1 LIMIT 1)"&amp;", "&amp;IF(TRIM(C241&amp;"")="","NULL","'"&amp;SUBSTITUTE(TRIM(C241),"'","''")&amp;"'")&amp;", "&amp;IF(TRIM(D241&amp;"")="","NULL","'"&amp;SUBSTITUTE(TRIM(D241),"'","''")&amp;"'")&amp;", "&amp;IF(TRIM(E241&amp;"")="","NULL","'"&amp;SUBSTITUTE(TRIM(E241),"'","''")&amp;"'")&amp;", "&amp;IF(TRIM(F241&amp;"")="","NULL","(SELECT id FROM gen_departamento WHERE upper(nombre) = upper('"&amp;SUBSTITUTE(TRIM(F241),"'","''")&amp;"') AND estado = 1 LIMIT 1)")&amp;", "&amp;IF(OR(TRIM(F241&amp;"")="",TRIM(G241&amp;"")=""),"NULL","(SELECT p.id FROM gen_provincia p JOIN gen_departamento dp ON dp.id = p.id_departamento WHERE upper(p.nombre) = upper('"&amp;SUBSTITUTE(TRIM(G241),"'","''")&amp;"') AND upper(dp.nombre) = upper('"&amp;SUBSTITUTE(TRIM(F241),"'","''")&amp;"') AND p.estado = 1 LIMIT 1)")&amp;", "&amp;IF(OR(TRIM(F241&amp;"")="",TRIM(G241&amp;"")="",TRIM(H241&amp;"")=""),"NULL","(SELECT d.id FROM gen_distrito d JOIN gen_provincia p ON p.id = d.id_provincia JOIN gen_departamento dp ON dp.id = p.id_departamento WHERE upper(d.nombre) = upper('"&amp;SUBSTITUTE(TRIM(H241),"'","''")&amp;"') AND upper(p.nombre) = upper('"&amp;SUBSTITUTE(TRIM(G241),"'","''")&amp;"') AND upper(dp.nombre) = upper('"&amp;SUBSTITUTE(TRIM(F241),"'","''")&amp;"') AND d.estado = 1 LIMIT 1)")&amp;", "&amp;IF(I241&amp;""="","NULL",SUBSTITUTE(I241&amp;"",",","."))&amp;", "&amp;IF(J241&amp;""="","NULL",SUBSTITUTE(J241&amp;"",",","."))&amp;", "&amp;IF(UPPER(TRIM(K241&amp;""))="SI","TRUE","FALSE")&amp;", 1"&amp;" WHERE NOT EXISTS (SELECT 1 FROM cli_direcciones x WHERE x.id_cliente = "&amp;"(SELECT id FROM cli_clientes WHERE numero_documento = '"&amp;SUBSTITUTE(TRIM(A241),"'","''")&amp;"' AND estado = 1 LIMIT 1)"&amp;" AND upper(x.direccion) = upper("&amp;IF(TRIM(D241&amp;"")="","NULL","'"&amp;SUBSTITUTE(TRIM(D241),"'","''")&amp;"'")&amp;"));")</f>
        <v/>
      </c>
    </row>
    <row r="242" ht="15.75" customHeight="1" s="64">
      <c r="A242" s="23" t="n"/>
      <c r="B242" s="25">
        <f t="array" ref="B242">IF(A242="","",IFERROR(IF(INDEX(Clientes!$D$5:$D$549,MATCH(A242,Clientes!$C$5:$C$549,0))&lt;&gt;"",INDEX(Clientes!$D$5:$D$549,MATCH(A242,Clientes!$C$5:$C$549,0)),TRIM(INDEX(Clientes!$E$5:$E$549,MATCH(A242,Clientes!$C$5:$C$549,0))&amp;" "&amp;INDEX(Clientes!$F$5:$F$549,MATCH(A242,Clientes!$C$5:$C$549,0)))),"NO EXISTE en Clientes"))</f>
        <v/>
      </c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>
        <f>IF(AND(A242="",D242=""),"",IF(A242="","FALTA doc. cliente",IF(B242="NO EXISTE en Clientes","CLIENTE no está en hoja Clientes",IF(D242="","FALTA dirección",IF(AND(H242&lt;&gt;"",OR(F242="",G242="")),"Distrito requiere departamento y provincia",IF(AND(G242&lt;&gt;"",F242=""),"Provincia requiere departamento",IF((I242&lt;&gt;"")&lt;&gt;(J242&lt;&gt;""),"Latitud y longitud van juntas","OK")))))))</f>
        <v/>
      </c>
      <c r="M242" s="28">
        <f>IF(L242&lt;&gt;"OK","","INSERT INTO cli_direcciones (id_cliente, descripcion, direccion, referencia, id_departamento, id_provincia, id_distrito, latitud, longitud, es_principal, estado) SELECT "&amp;"(SELECT id FROM cli_clientes WHERE numero_documento = '"&amp;SUBSTITUTE(TRIM(A242),"'","''")&amp;"' AND estado = 1 LIMIT 1)"&amp;", "&amp;IF(TRIM(C242&amp;"")="","NULL","'"&amp;SUBSTITUTE(TRIM(C242),"'","''")&amp;"'")&amp;", "&amp;IF(TRIM(D242&amp;"")="","NULL","'"&amp;SUBSTITUTE(TRIM(D242),"'","''")&amp;"'")&amp;", "&amp;IF(TRIM(E242&amp;"")="","NULL","'"&amp;SUBSTITUTE(TRIM(E242),"'","''")&amp;"'")&amp;", "&amp;IF(TRIM(F242&amp;"")="","NULL","(SELECT id FROM gen_departamento WHERE upper(nombre) = upper('"&amp;SUBSTITUTE(TRIM(F242),"'","''")&amp;"') AND estado = 1 LIMIT 1)")&amp;", "&amp;IF(OR(TRIM(F242&amp;"")="",TRIM(G242&amp;"")=""),"NULL","(SELECT p.id FROM gen_provincia p JOIN gen_departamento dp ON dp.id = p.id_departamento WHERE upper(p.nombre) = upper('"&amp;SUBSTITUTE(TRIM(G242),"'","''")&amp;"') AND upper(dp.nombre) = upper('"&amp;SUBSTITUTE(TRIM(F242),"'","''")&amp;"') AND p.estado = 1 LIMIT 1)")&amp;", "&amp;IF(OR(TRIM(F242&amp;"")="",TRIM(G242&amp;"")="",TRIM(H242&amp;"")=""),"NULL","(SELECT d.id FROM gen_distrito d JOIN gen_provincia p ON p.id = d.id_provincia JOIN gen_departamento dp ON dp.id = p.id_departamento WHERE upper(d.nombre) = upper('"&amp;SUBSTITUTE(TRIM(H242),"'","''")&amp;"') AND upper(p.nombre) = upper('"&amp;SUBSTITUTE(TRIM(G242),"'","''")&amp;"') AND upper(dp.nombre) = upper('"&amp;SUBSTITUTE(TRIM(F242),"'","''")&amp;"') AND d.estado = 1 LIMIT 1)")&amp;", "&amp;IF(I242&amp;""="","NULL",SUBSTITUTE(I242&amp;"",",","."))&amp;", "&amp;IF(J242&amp;""="","NULL",SUBSTITUTE(J242&amp;"",",","."))&amp;", "&amp;IF(UPPER(TRIM(K242&amp;""))="SI","TRUE","FALSE")&amp;", 1"&amp;" WHERE NOT EXISTS (SELECT 1 FROM cli_direcciones x WHERE x.id_cliente = "&amp;"(SELECT id FROM cli_clientes WHERE numero_documento = '"&amp;SUBSTITUTE(TRIM(A242),"'","''")&amp;"' AND estado = 1 LIMIT 1)"&amp;" AND upper(x.direccion) = upper("&amp;IF(TRIM(D242&amp;"")="","NULL","'"&amp;SUBSTITUTE(TRIM(D242),"'","''")&amp;"'")&amp;"));")</f>
        <v/>
      </c>
    </row>
    <row r="243" ht="15.75" customHeight="1" s="64">
      <c r="A243" s="23" t="n"/>
      <c r="B243" s="25">
        <f t="array" ref="B243">IF(A243="","",IFERROR(IF(INDEX(Clientes!$D$5:$D$549,MATCH(A243,Clientes!$C$5:$C$549,0))&lt;&gt;"",INDEX(Clientes!$D$5:$D$549,MATCH(A243,Clientes!$C$5:$C$549,0)),TRIM(INDEX(Clientes!$E$5:$E$549,MATCH(A243,Clientes!$C$5:$C$549,0))&amp;" "&amp;INDEX(Clientes!$F$5:$F$549,MATCH(A243,Clientes!$C$5:$C$549,0)))),"NO EXISTE en Clientes"))</f>
        <v/>
      </c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>
        <f>IF(AND(A243="",D243=""),"",IF(A243="","FALTA doc. cliente",IF(B243="NO EXISTE en Clientes","CLIENTE no está en hoja Clientes",IF(D243="","FALTA dirección",IF(AND(H243&lt;&gt;"",OR(F243="",G243="")),"Distrito requiere departamento y provincia",IF(AND(G243&lt;&gt;"",F243=""),"Provincia requiere departamento",IF((I243&lt;&gt;"")&lt;&gt;(J243&lt;&gt;""),"Latitud y longitud van juntas","OK")))))))</f>
        <v/>
      </c>
      <c r="M243" s="28">
        <f>IF(L243&lt;&gt;"OK","","INSERT INTO cli_direcciones (id_cliente, descripcion, direccion, referencia, id_departamento, id_provincia, id_distrito, latitud, longitud, es_principal, estado) SELECT "&amp;"(SELECT id FROM cli_clientes WHERE numero_documento = '"&amp;SUBSTITUTE(TRIM(A243),"'","''")&amp;"' AND estado = 1 LIMIT 1)"&amp;", "&amp;IF(TRIM(C243&amp;"")="","NULL","'"&amp;SUBSTITUTE(TRIM(C243),"'","''")&amp;"'")&amp;", "&amp;IF(TRIM(D243&amp;"")="","NULL","'"&amp;SUBSTITUTE(TRIM(D243),"'","''")&amp;"'")&amp;", "&amp;IF(TRIM(E243&amp;"")="","NULL","'"&amp;SUBSTITUTE(TRIM(E243),"'","''")&amp;"'")&amp;", "&amp;IF(TRIM(F243&amp;"")="","NULL","(SELECT id FROM gen_departamento WHERE upper(nombre) = upper('"&amp;SUBSTITUTE(TRIM(F243),"'","''")&amp;"') AND estado = 1 LIMIT 1)")&amp;", "&amp;IF(OR(TRIM(F243&amp;"")="",TRIM(G243&amp;"")=""),"NULL","(SELECT p.id FROM gen_provincia p JOIN gen_departamento dp ON dp.id = p.id_departamento WHERE upper(p.nombre) = upper('"&amp;SUBSTITUTE(TRIM(G243),"'","''")&amp;"') AND upper(dp.nombre) = upper('"&amp;SUBSTITUTE(TRIM(F243),"'","''")&amp;"') AND p.estado = 1 LIMIT 1)")&amp;", "&amp;IF(OR(TRIM(F243&amp;"")="",TRIM(G243&amp;"")="",TRIM(H243&amp;"")=""),"NULL","(SELECT d.id FROM gen_distrito d JOIN gen_provincia p ON p.id = d.id_provincia JOIN gen_departamento dp ON dp.id = p.id_departamento WHERE upper(d.nombre) = upper('"&amp;SUBSTITUTE(TRIM(H243),"'","''")&amp;"') AND upper(p.nombre) = upper('"&amp;SUBSTITUTE(TRIM(G243),"'","''")&amp;"') AND upper(dp.nombre) = upper('"&amp;SUBSTITUTE(TRIM(F243),"'","''")&amp;"') AND d.estado = 1 LIMIT 1)")&amp;", "&amp;IF(I243&amp;""="","NULL",SUBSTITUTE(I243&amp;"",",","."))&amp;", "&amp;IF(J243&amp;""="","NULL",SUBSTITUTE(J243&amp;"",",","."))&amp;", "&amp;IF(UPPER(TRIM(K243&amp;""))="SI","TRUE","FALSE")&amp;", 1"&amp;" WHERE NOT EXISTS (SELECT 1 FROM cli_direcciones x WHERE x.id_cliente = "&amp;"(SELECT id FROM cli_clientes WHERE numero_documento = '"&amp;SUBSTITUTE(TRIM(A243),"'","''")&amp;"' AND estado = 1 LIMIT 1)"&amp;" AND upper(x.direccion) = upper("&amp;IF(TRIM(D243&amp;"")="","NULL","'"&amp;SUBSTITUTE(TRIM(D243),"'","''")&amp;"'")&amp;"));")</f>
        <v/>
      </c>
    </row>
    <row r="244" ht="15.75" customHeight="1" s="64">
      <c r="A244" s="23" t="n"/>
      <c r="B244" s="25">
        <f t="array" ref="B244">IF(A244="","",IFERROR(IF(INDEX(Clientes!$D$5:$D$549,MATCH(A244,Clientes!$C$5:$C$549,0))&lt;&gt;"",INDEX(Clientes!$D$5:$D$549,MATCH(A244,Clientes!$C$5:$C$549,0)),TRIM(INDEX(Clientes!$E$5:$E$549,MATCH(A244,Clientes!$C$5:$C$549,0))&amp;" "&amp;INDEX(Clientes!$F$5:$F$549,MATCH(A244,Clientes!$C$5:$C$549,0)))),"NO EXISTE en Clientes"))</f>
        <v/>
      </c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>
        <f>IF(AND(A244="",D244=""),"",IF(A244="","FALTA doc. cliente",IF(B244="NO EXISTE en Clientes","CLIENTE no está en hoja Clientes",IF(D244="","FALTA dirección",IF(AND(H244&lt;&gt;"",OR(F244="",G244="")),"Distrito requiere departamento y provincia",IF(AND(G244&lt;&gt;"",F244=""),"Provincia requiere departamento",IF((I244&lt;&gt;"")&lt;&gt;(J244&lt;&gt;""),"Latitud y longitud van juntas","OK")))))))</f>
        <v/>
      </c>
      <c r="M244" s="28">
        <f>IF(L244&lt;&gt;"OK","","INSERT INTO cli_direcciones (id_cliente, descripcion, direccion, referencia, id_departamento, id_provincia, id_distrito, latitud, longitud, es_principal, estado) SELECT "&amp;"(SELECT id FROM cli_clientes WHERE numero_documento = '"&amp;SUBSTITUTE(TRIM(A244),"'","''")&amp;"' AND estado = 1 LIMIT 1)"&amp;", "&amp;IF(TRIM(C244&amp;"")="","NULL","'"&amp;SUBSTITUTE(TRIM(C244),"'","''")&amp;"'")&amp;", "&amp;IF(TRIM(D244&amp;"")="","NULL","'"&amp;SUBSTITUTE(TRIM(D244),"'","''")&amp;"'")&amp;", "&amp;IF(TRIM(E244&amp;"")="","NULL","'"&amp;SUBSTITUTE(TRIM(E244),"'","''")&amp;"'")&amp;", "&amp;IF(TRIM(F244&amp;"")="","NULL","(SELECT id FROM gen_departamento WHERE upper(nombre) = upper('"&amp;SUBSTITUTE(TRIM(F244),"'","''")&amp;"') AND estado = 1 LIMIT 1)")&amp;", "&amp;IF(OR(TRIM(F244&amp;"")="",TRIM(G244&amp;"")=""),"NULL","(SELECT p.id FROM gen_provincia p JOIN gen_departamento dp ON dp.id = p.id_departamento WHERE upper(p.nombre) = upper('"&amp;SUBSTITUTE(TRIM(G244),"'","''")&amp;"') AND upper(dp.nombre) = upper('"&amp;SUBSTITUTE(TRIM(F244),"'","''")&amp;"') AND p.estado = 1 LIMIT 1)")&amp;", "&amp;IF(OR(TRIM(F244&amp;"")="",TRIM(G244&amp;"")="",TRIM(H244&amp;"")=""),"NULL","(SELECT d.id FROM gen_distrito d JOIN gen_provincia p ON p.id = d.id_provincia JOIN gen_departamento dp ON dp.id = p.id_departamento WHERE upper(d.nombre) = upper('"&amp;SUBSTITUTE(TRIM(H244),"'","''")&amp;"') AND upper(p.nombre) = upper('"&amp;SUBSTITUTE(TRIM(G244),"'","''")&amp;"') AND upper(dp.nombre) = upper('"&amp;SUBSTITUTE(TRIM(F244),"'","''")&amp;"') AND d.estado = 1 LIMIT 1)")&amp;", "&amp;IF(I244&amp;""="","NULL",SUBSTITUTE(I244&amp;"",",","."))&amp;", "&amp;IF(J244&amp;""="","NULL",SUBSTITUTE(J244&amp;"",",","."))&amp;", "&amp;IF(UPPER(TRIM(K244&amp;""))="SI","TRUE","FALSE")&amp;", 1"&amp;" WHERE NOT EXISTS (SELECT 1 FROM cli_direcciones x WHERE x.id_cliente = "&amp;"(SELECT id FROM cli_clientes WHERE numero_documento = '"&amp;SUBSTITUTE(TRIM(A244),"'","''")&amp;"' AND estado = 1 LIMIT 1)"&amp;" AND upper(x.direccion) = upper("&amp;IF(TRIM(D244&amp;"")="","NULL","'"&amp;SUBSTITUTE(TRIM(D244),"'","''")&amp;"'")&amp;"));")</f>
        <v/>
      </c>
    </row>
    <row r="245" ht="15.75" customHeight="1" s="64">
      <c r="A245" s="23" t="n"/>
      <c r="B245" s="25">
        <f t="array" ref="B245">IF(A245="","",IFERROR(IF(INDEX(Clientes!$D$5:$D$549,MATCH(A245,Clientes!$C$5:$C$549,0))&lt;&gt;"",INDEX(Clientes!$D$5:$D$549,MATCH(A245,Clientes!$C$5:$C$549,0)),TRIM(INDEX(Clientes!$E$5:$E$549,MATCH(A245,Clientes!$C$5:$C$549,0))&amp;" "&amp;INDEX(Clientes!$F$5:$F$549,MATCH(A245,Clientes!$C$5:$C$549,0)))),"NO EXISTE en Clientes"))</f>
        <v/>
      </c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>
        <f>IF(AND(A245="",D245=""),"",IF(A245="","FALTA doc. cliente",IF(B245="NO EXISTE en Clientes","CLIENTE no está en hoja Clientes",IF(D245="","FALTA dirección",IF(AND(H245&lt;&gt;"",OR(F245="",G245="")),"Distrito requiere departamento y provincia",IF(AND(G245&lt;&gt;"",F245=""),"Provincia requiere departamento",IF((I245&lt;&gt;"")&lt;&gt;(J245&lt;&gt;""),"Latitud y longitud van juntas","OK")))))))</f>
        <v/>
      </c>
      <c r="M245" s="28">
        <f>IF(L245&lt;&gt;"OK","","INSERT INTO cli_direcciones (id_cliente, descripcion, direccion, referencia, id_departamento, id_provincia, id_distrito, latitud, longitud, es_principal, estado) SELECT "&amp;"(SELECT id FROM cli_clientes WHERE numero_documento = '"&amp;SUBSTITUTE(TRIM(A245),"'","''")&amp;"' AND estado = 1 LIMIT 1)"&amp;", "&amp;IF(TRIM(C245&amp;"")="","NULL","'"&amp;SUBSTITUTE(TRIM(C245),"'","''")&amp;"'")&amp;", "&amp;IF(TRIM(D245&amp;"")="","NULL","'"&amp;SUBSTITUTE(TRIM(D245),"'","''")&amp;"'")&amp;", "&amp;IF(TRIM(E245&amp;"")="","NULL","'"&amp;SUBSTITUTE(TRIM(E245),"'","''")&amp;"'")&amp;", "&amp;IF(TRIM(F245&amp;"")="","NULL","(SELECT id FROM gen_departamento WHERE upper(nombre) = upper('"&amp;SUBSTITUTE(TRIM(F245),"'","''")&amp;"') AND estado = 1 LIMIT 1)")&amp;", "&amp;IF(OR(TRIM(F245&amp;"")="",TRIM(G245&amp;"")=""),"NULL","(SELECT p.id FROM gen_provincia p JOIN gen_departamento dp ON dp.id = p.id_departamento WHERE upper(p.nombre) = upper('"&amp;SUBSTITUTE(TRIM(G245),"'","''")&amp;"') AND upper(dp.nombre) = upper('"&amp;SUBSTITUTE(TRIM(F245),"'","''")&amp;"') AND p.estado = 1 LIMIT 1)")&amp;", "&amp;IF(OR(TRIM(F245&amp;"")="",TRIM(G245&amp;"")="",TRIM(H245&amp;"")=""),"NULL","(SELECT d.id FROM gen_distrito d JOIN gen_provincia p ON p.id = d.id_provincia JOIN gen_departamento dp ON dp.id = p.id_departamento WHERE upper(d.nombre) = upper('"&amp;SUBSTITUTE(TRIM(H245),"'","''")&amp;"') AND upper(p.nombre) = upper('"&amp;SUBSTITUTE(TRIM(G245),"'","''")&amp;"') AND upper(dp.nombre) = upper('"&amp;SUBSTITUTE(TRIM(F245),"'","''")&amp;"') AND d.estado = 1 LIMIT 1)")&amp;", "&amp;IF(I245&amp;""="","NULL",SUBSTITUTE(I245&amp;"",",","."))&amp;", "&amp;IF(J245&amp;""="","NULL",SUBSTITUTE(J245&amp;"",",","."))&amp;", "&amp;IF(UPPER(TRIM(K245&amp;""))="SI","TRUE","FALSE")&amp;", 1"&amp;" WHERE NOT EXISTS (SELECT 1 FROM cli_direcciones x WHERE x.id_cliente = "&amp;"(SELECT id FROM cli_clientes WHERE numero_documento = '"&amp;SUBSTITUTE(TRIM(A245),"'","''")&amp;"' AND estado = 1 LIMIT 1)"&amp;" AND upper(x.direccion) = upper("&amp;IF(TRIM(D245&amp;"")="","NULL","'"&amp;SUBSTITUTE(TRIM(D245),"'","''")&amp;"'")&amp;"));")</f>
        <v/>
      </c>
    </row>
    <row r="246" ht="15.75" customHeight="1" s="64">
      <c r="A246" s="23" t="n"/>
      <c r="B246" s="25">
        <f t="array" ref="B246">IF(A246="","",IFERROR(IF(INDEX(Clientes!$D$5:$D$549,MATCH(A246,Clientes!$C$5:$C$549,0))&lt;&gt;"",INDEX(Clientes!$D$5:$D$549,MATCH(A246,Clientes!$C$5:$C$549,0)),TRIM(INDEX(Clientes!$E$5:$E$549,MATCH(A246,Clientes!$C$5:$C$549,0))&amp;" "&amp;INDEX(Clientes!$F$5:$F$549,MATCH(A246,Clientes!$C$5:$C$549,0)))),"NO EXISTE en Clientes"))</f>
        <v/>
      </c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>
        <f>IF(AND(A246="",D246=""),"",IF(A246="","FALTA doc. cliente",IF(B246="NO EXISTE en Clientes","CLIENTE no está en hoja Clientes",IF(D246="","FALTA dirección",IF(AND(H246&lt;&gt;"",OR(F246="",G246="")),"Distrito requiere departamento y provincia",IF(AND(G246&lt;&gt;"",F246=""),"Provincia requiere departamento",IF((I246&lt;&gt;"")&lt;&gt;(J246&lt;&gt;""),"Latitud y longitud van juntas","OK")))))))</f>
        <v/>
      </c>
      <c r="M246" s="28">
        <f>IF(L246&lt;&gt;"OK","","INSERT INTO cli_direcciones (id_cliente, descripcion, direccion, referencia, id_departamento, id_provincia, id_distrito, latitud, longitud, es_principal, estado) SELECT "&amp;"(SELECT id FROM cli_clientes WHERE numero_documento = '"&amp;SUBSTITUTE(TRIM(A246),"'","''")&amp;"' AND estado = 1 LIMIT 1)"&amp;", "&amp;IF(TRIM(C246&amp;"")="","NULL","'"&amp;SUBSTITUTE(TRIM(C246),"'","''")&amp;"'")&amp;", "&amp;IF(TRIM(D246&amp;"")="","NULL","'"&amp;SUBSTITUTE(TRIM(D246),"'","''")&amp;"'")&amp;", "&amp;IF(TRIM(E246&amp;"")="","NULL","'"&amp;SUBSTITUTE(TRIM(E246),"'","''")&amp;"'")&amp;", "&amp;IF(TRIM(F246&amp;"")="","NULL","(SELECT id FROM gen_departamento WHERE upper(nombre) = upper('"&amp;SUBSTITUTE(TRIM(F246),"'","''")&amp;"') AND estado = 1 LIMIT 1)")&amp;", "&amp;IF(OR(TRIM(F246&amp;"")="",TRIM(G246&amp;"")=""),"NULL","(SELECT p.id FROM gen_provincia p JOIN gen_departamento dp ON dp.id = p.id_departamento WHERE upper(p.nombre) = upper('"&amp;SUBSTITUTE(TRIM(G246),"'","''")&amp;"') AND upper(dp.nombre) = upper('"&amp;SUBSTITUTE(TRIM(F246),"'","''")&amp;"') AND p.estado = 1 LIMIT 1)")&amp;", "&amp;IF(OR(TRIM(F246&amp;"")="",TRIM(G246&amp;"")="",TRIM(H246&amp;"")=""),"NULL","(SELECT d.id FROM gen_distrito d JOIN gen_provincia p ON p.id = d.id_provincia JOIN gen_departamento dp ON dp.id = p.id_departamento WHERE upper(d.nombre) = upper('"&amp;SUBSTITUTE(TRIM(H246),"'","''")&amp;"') AND upper(p.nombre) = upper('"&amp;SUBSTITUTE(TRIM(G246),"'","''")&amp;"') AND upper(dp.nombre) = upper('"&amp;SUBSTITUTE(TRIM(F246),"'","''")&amp;"') AND d.estado = 1 LIMIT 1)")&amp;", "&amp;IF(I246&amp;""="","NULL",SUBSTITUTE(I246&amp;"",",","."))&amp;", "&amp;IF(J246&amp;""="","NULL",SUBSTITUTE(J246&amp;"",",","."))&amp;", "&amp;IF(UPPER(TRIM(K246&amp;""))="SI","TRUE","FALSE")&amp;", 1"&amp;" WHERE NOT EXISTS (SELECT 1 FROM cli_direcciones x WHERE x.id_cliente = "&amp;"(SELECT id FROM cli_clientes WHERE numero_documento = '"&amp;SUBSTITUTE(TRIM(A246),"'","''")&amp;"' AND estado = 1 LIMIT 1)"&amp;" AND upper(x.direccion) = upper("&amp;IF(TRIM(D246&amp;"")="","NULL","'"&amp;SUBSTITUTE(TRIM(D246),"'","''")&amp;"'")&amp;"));")</f>
        <v/>
      </c>
    </row>
    <row r="247" ht="15.75" customHeight="1" s="64">
      <c r="A247" s="23" t="n"/>
      <c r="B247" s="25">
        <f t="array" ref="B247">IF(A247="","",IFERROR(IF(INDEX(Clientes!$D$5:$D$549,MATCH(A247,Clientes!$C$5:$C$549,0))&lt;&gt;"",INDEX(Clientes!$D$5:$D$549,MATCH(A247,Clientes!$C$5:$C$549,0)),TRIM(INDEX(Clientes!$E$5:$E$549,MATCH(A247,Clientes!$C$5:$C$549,0))&amp;" "&amp;INDEX(Clientes!$F$5:$F$549,MATCH(A247,Clientes!$C$5:$C$549,0)))),"NO EXISTE en Clientes"))</f>
        <v/>
      </c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>
        <f>IF(AND(A247="",D247=""),"",IF(A247="","FALTA doc. cliente",IF(B247="NO EXISTE en Clientes","CLIENTE no está en hoja Clientes",IF(D247="","FALTA dirección",IF(AND(H247&lt;&gt;"",OR(F247="",G247="")),"Distrito requiere departamento y provincia",IF(AND(G247&lt;&gt;"",F247=""),"Provincia requiere departamento",IF((I247&lt;&gt;"")&lt;&gt;(J247&lt;&gt;""),"Latitud y longitud van juntas","OK")))))))</f>
        <v/>
      </c>
      <c r="M247" s="28">
        <f>IF(L247&lt;&gt;"OK","","INSERT INTO cli_direcciones (id_cliente, descripcion, direccion, referencia, id_departamento, id_provincia, id_distrito, latitud, longitud, es_principal, estado) SELECT "&amp;"(SELECT id FROM cli_clientes WHERE numero_documento = '"&amp;SUBSTITUTE(TRIM(A247),"'","''")&amp;"' AND estado = 1 LIMIT 1)"&amp;", "&amp;IF(TRIM(C247&amp;"")="","NULL","'"&amp;SUBSTITUTE(TRIM(C247),"'","''")&amp;"'")&amp;", "&amp;IF(TRIM(D247&amp;"")="","NULL","'"&amp;SUBSTITUTE(TRIM(D247),"'","''")&amp;"'")&amp;", "&amp;IF(TRIM(E247&amp;"")="","NULL","'"&amp;SUBSTITUTE(TRIM(E247),"'","''")&amp;"'")&amp;", "&amp;IF(TRIM(F247&amp;"")="","NULL","(SELECT id FROM gen_departamento WHERE upper(nombre) = upper('"&amp;SUBSTITUTE(TRIM(F247),"'","''")&amp;"') AND estado = 1 LIMIT 1)")&amp;", "&amp;IF(OR(TRIM(F247&amp;"")="",TRIM(G247&amp;"")=""),"NULL","(SELECT p.id FROM gen_provincia p JOIN gen_departamento dp ON dp.id = p.id_departamento WHERE upper(p.nombre) = upper('"&amp;SUBSTITUTE(TRIM(G247),"'","''")&amp;"') AND upper(dp.nombre) = upper('"&amp;SUBSTITUTE(TRIM(F247),"'","''")&amp;"') AND p.estado = 1 LIMIT 1)")&amp;", "&amp;IF(OR(TRIM(F247&amp;"")="",TRIM(G247&amp;"")="",TRIM(H247&amp;"")=""),"NULL","(SELECT d.id FROM gen_distrito d JOIN gen_provincia p ON p.id = d.id_provincia JOIN gen_departamento dp ON dp.id = p.id_departamento WHERE upper(d.nombre) = upper('"&amp;SUBSTITUTE(TRIM(H247),"'","''")&amp;"') AND upper(p.nombre) = upper('"&amp;SUBSTITUTE(TRIM(G247),"'","''")&amp;"') AND upper(dp.nombre) = upper('"&amp;SUBSTITUTE(TRIM(F247),"'","''")&amp;"') AND d.estado = 1 LIMIT 1)")&amp;", "&amp;IF(I247&amp;""="","NULL",SUBSTITUTE(I247&amp;"",",","."))&amp;", "&amp;IF(J247&amp;""="","NULL",SUBSTITUTE(J247&amp;"",",","."))&amp;", "&amp;IF(UPPER(TRIM(K247&amp;""))="SI","TRUE","FALSE")&amp;", 1"&amp;" WHERE NOT EXISTS (SELECT 1 FROM cli_direcciones x WHERE x.id_cliente = "&amp;"(SELECT id FROM cli_clientes WHERE numero_documento = '"&amp;SUBSTITUTE(TRIM(A247),"'","''")&amp;"' AND estado = 1 LIMIT 1)"&amp;" AND upper(x.direccion) = upper("&amp;IF(TRIM(D247&amp;"")="","NULL","'"&amp;SUBSTITUTE(TRIM(D247),"'","''")&amp;"'")&amp;"));")</f>
        <v/>
      </c>
    </row>
    <row r="248" ht="15.75" customHeight="1" s="64">
      <c r="A248" s="23" t="n"/>
      <c r="B248" s="25">
        <f t="array" ref="B248">IF(A248="","",IFERROR(IF(INDEX(Clientes!$D$5:$D$549,MATCH(A248,Clientes!$C$5:$C$549,0))&lt;&gt;"",INDEX(Clientes!$D$5:$D$549,MATCH(A248,Clientes!$C$5:$C$549,0)),TRIM(INDEX(Clientes!$E$5:$E$549,MATCH(A248,Clientes!$C$5:$C$549,0))&amp;" "&amp;INDEX(Clientes!$F$5:$F$549,MATCH(A248,Clientes!$C$5:$C$549,0)))),"NO EXISTE en Clientes"))</f>
        <v/>
      </c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>
        <f>IF(AND(A248="",D248=""),"",IF(A248="","FALTA doc. cliente",IF(B248="NO EXISTE en Clientes","CLIENTE no está en hoja Clientes",IF(D248="","FALTA dirección",IF(AND(H248&lt;&gt;"",OR(F248="",G248="")),"Distrito requiere departamento y provincia",IF(AND(G248&lt;&gt;"",F248=""),"Provincia requiere departamento",IF((I248&lt;&gt;"")&lt;&gt;(J248&lt;&gt;""),"Latitud y longitud van juntas","OK")))))))</f>
        <v/>
      </c>
      <c r="M248" s="28">
        <f>IF(L248&lt;&gt;"OK","","INSERT INTO cli_direcciones (id_cliente, descripcion, direccion, referencia, id_departamento, id_provincia, id_distrito, latitud, longitud, es_principal, estado) SELECT "&amp;"(SELECT id FROM cli_clientes WHERE numero_documento = '"&amp;SUBSTITUTE(TRIM(A248),"'","''")&amp;"' AND estado = 1 LIMIT 1)"&amp;", "&amp;IF(TRIM(C248&amp;"")="","NULL","'"&amp;SUBSTITUTE(TRIM(C248),"'","''")&amp;"'")&amp;", "&amp;IF(TRIM(D248&amp;"")="","NULL","'"&amp;SUBSTITUTE(TRIM(D248),"'","''")&amp;"'")&amp;", "&amp;IF(TRIM(E248&amp;"")="","NULL","'"&amp;SUBSTITUTE(TRIM(E248),"'","''")&amp;"'")&amp;", "&amp;IF(TRIM(F248&amp;"")="","NULL","(SELECT id FROM gen_departamento WHERE upper(nombre) = upper('"&amp;SUBSTITUTE(TRIM(F248),"'","''")&amp;"') AND estado = 1 LIMIT 1)")&amp;", "&amp;IF(OR(TRIM(F248&amp;"")="",TRIM(G248&amp;"")=""),"NULL","(SELECT p.id FROM gen_provincia p JOIN gen_departamento dp ON dp.id = p.id_departamento WHERE upper(p.nombre) = upper('"&amp;SUBSTITUTE(TRIM(G248),"'","''")&amp;"') AND upper(dp.nombre) = upper('"&amp;SUBSTITUTE(TRIM(F248),"'","''")&amp;"') AND p.estado = 1 LIMIT 1)")&amp;", "&amp;IF(OR(TRIM(F248&amp;"")="",TRIM(G248&amp;"")="",TRIM(H248&amp;"")=""),"NULL","(SELECT d.id FROM gen_distrito d JOIN gen_provincia p ON p.id = d.id_provincia JOIN gen_departamento dp ON dp.id = p.id_departamento WHERE upper(d.nombre) = upper('"&amp;SUBSTITUTE(TRIM(H248),"'","''")&amp;"') AND upper(p.nombre) = upper('"&amp;SUBSTITUTE(TRIM(G248),"'","''")&amp;"') AND upper(dp.nombre) = upper('"&amp;SUBSTITUTE(TRIM(F248),"'","''")&amp;"') AND d.estado = 1 LIMIT 1)")&amp;", "&amp;IF(I248&amp;""="","NULL",SUBSTITUTE(I248&amp;"",",","."))&amp;", "&amp;IF(J248&amp;""="","NULL",SUBSTITUTE(J248&amp;"",",","."))&amp;", "&amp;IF(UPPER(TRIM(K248&amp;""))="SI","TRUE","FALSE")&amp;", 1"&amp;" WHERE NOT EXISTS (SELECT 1 FROM cli_direcciones x WHERE x.id_cliente = "&amp;"(SELECT id FROM cli_clientes WHERE numero_documento = '"&amp;SUBSTITUTE(TRIM(A248),"'","''")&amp;"' AND estado = 1 LIMIT 1)"&amp;" AND upper(x.direccion) = upper("&amp;IF(TRIM(D248&amp;"")="","NULL","'"&amp;SUBSTITUTE(TRIM(D248),"'","''")&amp;"'")&amp;"));")</f>
        <v/>
      </c>
    </row>
    <row r="249" ht="15.75" customHeight="1" s="64">
      <c r="A249" s="23" t="n"/>
      <c r="B249" s="25">
        <f t="array" ref="B249">IF(A249="","",IFERROR(IF(INDEX(Clientes!$D$5:$D$549,MATCH(A249,Clientes!$C$5:$C$549,0))&lt;&gt;"",INDEX(Clientes!$D$5:$D$549,MATCH(A249,Clientes!$C$5:$C$549,0)),TRIM(INDEX(Clientes!$E$5:$E$549,MATCH(A249,Clientes!$C$5:$C$549,0))&amp;" "&amp;INDEX(Clientes!$F$5:$F$549,MATCH(A249,Clientes!$C$5:$C$549,0)))),"NO EXISTE en Clientes"))</f>
        <v/>
      </c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>
        <f>IF(AND(A249="",D249=""),"",IF(A249="","FALTA doc. cliente",IF(B249="NO EXISTE en Clientes","CLIENTE no está en hoja Clientes",IF(D249="","FALTA dirección",IF(AND(H249&lt;&gt;"",OR(F249="",G249="")),"Distrito requiere departamento y provincia",IF(AND(G249&lt;&gt;"",F249=""),"Provincia requiere departamento",IF((I249&lt;&gt;"")&lt;&gt;(J249&lt;&gt;""),"Latitud y longitud van juntas","OK")))))))</f>
        <v/>
      </c>
      <c r="M249" s="28">
        <f>IF(L249&lt;&gt;"OK","","INSERT INTO cli_direcciones (id_cliente, descripcion, direccion, referencia, id_departamento, id_provincia, id_distrito, latitud, longitud, es_principal, estado) SELECT "&amp;"(SELECT id FROM cli_clientes WHERE numero_documento = '"&amp;SUBSTITUTE(TRIM(A249),"'","''")&amp;"' AND estado = 1 LIMIT 1)"&amp;", "&amp;IF(TRIM(C249&amp;"")="","NULL","'"&amp;SUBSTITUTE(TRIM(C249),"'","''")&amp;"'")&amp;", "&amp;IF(TRIM(D249&amp;"")="","NULL","'"&amp;SUBSTITUTE(TRIM(D249),"'","''")&amp;"'")&amp;", "&amp;IF(TRIM(E249&amp;"")="","NULL","'"&amp;SUBSTITUTE(TRIM(E249),"'","''")&amp;"'")&amp;", "&amp;IF(TRIM(F249&amp;"")="","NULL","(SELECT id FROM gen_departamento WHERE upper(nombre) = upper('"&amp;SUBSTITUTE(TRIM(F249),"'","''")&amp;"') AND estado = 1 LIMIT 1)")&amp;", "&amp;IF(OR(TRIM(F249&amp;"")="",TRIM(G249&amp;"")=""),"NULL","(SELECT p.id FROM gen_provincia p JOIN gen_departamento dp ON dp.id = p.id_departamento WHERE upper(p.nombre) = upper('"&amp;SUBSTITUTE(TRIM(G249),"'","''")&amp;"') AND upper(dp.nombre) = upper('"&amp;SUBSTITUTE(TRIM(F249),"'","''")&amp;"') AND p.estado = 1 LIMIT 1)")&amp;", "&amp;IF(OR(TRIM(F249&amp;"")="",TRIM(G249&amp;"")="",TRIM(H249&amp;"")=""),"NULL","(SELECT d.id FROM gen_distrito d JOIN gen_provincia p ON p.id = d.id_provincia JOIN gen_departamento dp ON dp.id = p.id_departamento WHERE upper(d.nombre) = upper('"&amp;SUBSTITUTE(TRIM(H249),"'","''")&amp;"') AND upper(p.nombre) = upper('"&amp;SUBSTITUTE(TRIM(G249),"'","''")&amp;"') AND upper(dp.nombre) = upper('"&amp;SUBSTITUTE(TRIM(F249),"'","''")&amp;"') AND d.estado = 1 LIMIT 1)")&amp;", "&amp;IF(I249&amp;""="","NULL",SUBSTITUTE(I249&amp;"",",","."))&amp;", "&amp;IF(J249&amp;""="","NULL",SUBSTITUTE(J249&amp;"",",","."))&amp;", "&amp;IF(UPPER(TRIM(K249&amp;""))="SI","TRUE","FALSE")&amp;", 1"&amp;" WHERE NOT EXISTS (SELECT 1 FROM cli_direcciones x WHERE x.id_cliente = "&amp;"(SELECT id FROM cli_clientes WHERE numero_documento = '"&amp;SUBSTITUTE(TRIM(A249),"'","''")&amp;"' AND estado = 1 LIMIT 1)"&amp;" AND upper(x.direccion) = upper("&amp;IF(TRIM(D249&amp;"")="","NULL","'"&amp;SUBSTITUTE(TRIM(D249),"'","''")&amp;"'")&amp;"));")</f>
        <v/>
      </c>
    </row>
    <row r="250" ht="15.75" customHeight="1" s="64">
      <c r="A250" s="23" t="n"/>
      <c r="B250" s="25">
        <f t="array" ref="B250">IF(A250="","",IFERROR(IF(INDEX(Clientes!$D$5:$D$549,MATCH(A250,Clientes!$C$5:$C$549,0))&lt;&gt;"",INDEX(Clientes!$D$5:$D$549,MATCH(A250,Clientes!$C$5:$C$549,0)),TRIM(INDEX(Clientes!$E$5:$E$549,MATCH(A250,Clientes!$C$5:$C$549,0))&amp;" "&amp;INDEX(Clientes!$F$5:$F$549,MATCH(A250,Clientes!$C$5:$C$549,0)))),"NO EXISTE en Clientes"))</f>
        <v/>
      </c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>
        <f>IF(AND(A250="",D250=""),"",IF(A250="","FALTA doc. cliente",IF(B250="NO EXISTE en Clientes","CLIENTE no está en hoja Clientes",IF(D250="","FALTA dirección",IF(AND(H250&lt;&gt;"",OR(F250="",G250="")),"Distrito requiere departamento y provincia",IF(AND(G250&lt;&gt;"",F250=""),"Provincia requiere departamento",IF((I250&lt;&gt;"")&lt;&gt;(J250&lt;&gt;""),"Latitud y longitud van juntas","OK")))))))</f>
        <v/>
      </c>
      <c r="M250" s="28">
        <f>IF(L250&lt;&gt;"OK","","INSERT INTO cli_direcciones (id_cliente, descripcion, direccion, referencia, id_departamento, id_provincia, id_distrito, latitud, longitud, es_principal, estado) SELECT "&amp;"(SELECT id FROM cli_clientes WHERE numero_documento = '"&amp;SUBSTITUTE(TRIM(A250),"'","''")&amp;"' AND estado = 1 LIMIT 1)"&amp;", "&amp;IF(TRIM(C250&amp;"")="","NULL","'"&amp;SUBSTITUTE(TRIM(C250),"'","''")&amp;"'")&amp;", "&amp;IF(TRIM(D250&amp;"")="","NULL","'"&amp;SUBSTITUTE(TRIM(D250),"'","''")&amp;"'")&amp;", "&amp;IF(TRIM(E250&amp;"")="","NULL","'"&amp;SUBSTITUTE(TRIM(E250),"'","''")&amp;"'")&amp;", "&amp;IF(TRIM(F250&amp;"")="","NULL","(SELECT id FROM gen_departamento WHERE upper(nombre) = upper('"&amp;SUBSTITUTE(TRIM(F250),"'","''")&amp;"') AND estado = 1 LIMIT 1)")&amp;", "&amp;IF(OR(TRIM(F250&amp;"")="",TRIM(G250&amp;"")=""),"NULL","(SELECT p.id FROM gen_provincia p JOIN gen_departamento dp ON dp.id = p.id_departamento WHERE upper(p.nombre) = upper('"&amp;SUBSTITUTE(TRIM(G250),"'","''")&amp;"') AND upper(dp.nombre) = upper('"&amp;SUBSTITUTE(TRIM(F250),"'","''")&amp;"') AND p.estado = 1 LIMIT 1)")&amp;", "&amp;IF(OR(TRIM(F250&amp;"")="",TRIM(G250&amp;"")="",TRIM(H250&amp;"")=""),"NULL","(SELECT d.id FROM gen_distrito d JOIN gen_provincia p ON p.id = d.id_provincia JOIN gen_departamento dp ON dp.id = p.id_departamento WHERE upper(d.nombre) = upper('"&amp;SUBSTITUTE(TRIM(H250),"'","''")&amp;"') AND upper(p.nombre) = upper('"&amp;SUBSTITUTE(TRIM(G250),"'","''")&amp;"') AND upper(dp.nombre) = upper('"&amp;SUBSTITUTE(TRIM(F250),"'","''")&amp;"') AND d.estado = 1 LIMIT 1)")&amp;", "&amp;IF(I250&amp;""="","NULL",SUBSTITUTE(I250&amp;"",",","."))&amp;", "&amp;IF(J250&amp;""="","NULL",SUBSTITUTE(J250&amp;"",",","."))&amp;", "&amp;IF(UPPER(TRIM(K250&amp;""))="SI","TRUE","FALSE")&amp;", 1"&amp;" WHERE NOT EXISTS (SELECT 1 FROM cli_direcciones x WHERE x.id_cliente = "&amp;"(SELECT id FROM cli_clientes WHERE numero_documento = '"&amp;SUBSTITUTE(TRIM(A250),"'","''")&amp;"' AND estado = 1 LIMIT 1)"&amp;" AND upper(x.direccion) = upper("&amp;IF(TRIM(D250&amp;"")="","NULL","'"&amp;SUBSTITUTE(TRIM(D250),"'","''")&amp;"'")&amp;"));")</f>
        <v/>
      </c>
    </row>
    <row r="251" ht="15.75" customHeight="1" s="64">
      <c r="A251" s="23" t="n"/>
      <c r="B251" s="25">
        <f t="array" ref="B251">IF(A251="","",IFERROR(IF(INDEX(Clientes!$D$5:$D$549,MATCH(A251,Clientes!$C$5:$C$549,0))&lt;&gt;"",INDEX(Clientes!$D$5:$D$549,MATCH(A251,Clientes!$C$5:$C$549,0)),TRIM(INDEX(Clientes!$E$5:$E$549,MATCH(A251,Clientes!$C$5:$C$549,0))&amp;" "&amp;INDEX(Clientes!$F$5:$F$549,MATCH(A251,Clientes!$C$5:$C$549,0)))),"NO EXISTE en Clientes"))</f>
        <v/>
      </c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>
        <f>IF(AND(A251="",D251=""),"",IF(A251="","FALTA doc. cliente",IF(B251="NO EXISTE en Clientes","CLIENTE no está en hoja Clientes",IF(D251="","FALTA dirección",IF(AND(H251&lt;&gt;"",OR(F251="",G251="")),"Distrito requiere departamento y provincia",IF(AND(G251&lt;&gt;"",F251=""),"Provincia requiere departamento",IF((I251&lt;&gt;"")&lt;&gt;(J251&lt;&gt;""),"Latitud y longitud van juntas","OK")))))))</f>
        <v/>
      </c>
      <c r="M251" s="28">
        <f>IF(L251&lt;&gt;"OK","","INSERT INTO cli_direcciones (id_cliente, descripcion, direccion, referencia, id_departamento, id_provincia, id_distrito, latitud, longitud, es_principal, estado) SELECT "&amp;"(SELECT id FROM cli_clientes WHERE numero_documento = '"&amp;SUBSTITUTE(TRIM(A251),"'","''")&amp;"' AND estado = 1 LIMIT 1)"&amp;", "&amp;IF(TRIM(C251&amp;"")="","NULL","'"&amp;SUBSTITUTE(TRIM(C251),"'","''")&amp;"'")&amp;", "&amp;IF(TRIM(D251&amp;"")="","NULL","'"&amp;SUBSTITUTE(TRIM(D251),"'","''")&amp;"'")&amp;", "&amp;IF(TRIM(E251&amp;"")="","NULL","'"&amp;SUBSTITUTE(TRIM(E251),"'","''")&amp;"'")&amp;", "&amp;IF(TRIM(F251&amp;"")="","NULL","(SELECT id FROM gen_departamento WHERE upper(nombre) = upper('"&amp;SUBSTITUTE(TRIM(F251),"'","''")&amp;"') AND estado = 1 LIMIT 1)")&amp;", "&amp;IF(OR(TRIM(F251&amp;"")="",TRIM(G251&amp;"")=""),"NULL","(SELECT p.id FROM gen_provincia p JOIN gen_departamento dp ON dp.id = p.id_departamento WHERE upper(p.nombre) = upper('"&amp;SUBSTITUTE(TRIM(G251),"'","''")&amp;"') AND upper(dp.nombre) = upper('"&amp;SUBSTITUTE(TRIM(F251),"'","''")&amp;"') AND p.estado = 1 LIMIT 1)")&amp;", "&amp;IF(OR(TRIM(F251&amp;"")="",TRIM(G251&amp;"")="",TRIM(H251&amp;"")=""),"NULL","(SELECT d.id FROM gen_distrito d JOIN gen_provincia p ON p.id = d.id_provincia JOIN gen_departamento dp ON dp.id = p.id_departamento WHERE upper(d.nombre) = upper('"&amp;SUBSTITUTE(TRIM(H251),"'","''")&amp;"') AND upper(p.nombre) = upper('"&amp;SUBSTITUTE(TRIM(G251),"'","''")&amp;"') AND upper(dp.nombre) = upper('"&amp;SUBSTITUTE(TRIM(F251),"'","''")&amp;"') AND d.estado = 1 LIMIT 1)")&amp;", "&amp;IF(I251&amp;""="","NULL",SUBSTITUTE(I251&amp;"",",","."))&amp;", "&amp;IF(J251&amp;""="","NULL",SUBSTITUTE(J251&amp;"",",","."))&amp;", "&amp;IF(UPPER(TRIM(K251&amp;""))="SI","TRUE","FALSE")&amp;", 1"&amp;" WHERE NOT EXISTS (SELECT 1 FROM cli_direcciones x WHERE x.id_cliente = "&amp;"(SELECT id FROM cli_clientes WHERE numero_documento = '"&amp;SUBSTITUTE(TRIM(A251),"'","''")&amp;"' AND estado = 1 LIMIT 1)"&amp;" AND upper(x.direccion) = upper("&amp;IF(TRIM(D251&amp;"")="","NULL","'"&amp;SUBSTITUTE(TRIM(D251),"'","''")&amp;"'")&amp;"));")</f>
        <v/>
      </c>
    </row>
    <row r="252" ht="15.75" customHeight="1" s="64">
      <c r="A252" s="23" t="n"/>
      <c r="B252" s="25">
        <f t="array" ref="B252">IF(A252="","",IFERROR(IF(INDEX(Clientes!$D$5:$D$549,MATCH(A252,Clientes!$C$5:$C$549,0))&lt;&gt;"",INDEX(Clientes!$D$5:$D$549,MATCH(A252,Clientes!$C$5:$C$549,0)),TRIM(INDEX(Clientes!$E$5:$E$549,MATCH(A252,Clientes!$C$5:$C$549,0))&amp;" "&amp;INDEX(Clientes!$F$5:$F$549,MATCH(A252,Clientes!$C$5:$C$549,0)))),"NO EXISTE en Clientes"))</f>
        <v/>
      </c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>
        <f>IF(AND(A252="",D252=""),"",IF(A252="","FALTA doc. cliente",IF(B252="NO EXISTE en Clientes","CLIENTE no está en hoja Clientes",IF(D252="","FALTA dirección",IF(AND(H252&lt;&gt;"",OR(F252="",G252="")),"Distrito requiere departamento y provincia",IF(AND(G252&lt;&gt;"",F252=""),"Provincia requiere departamento",IF((I252&lt;&gt;"")&lt;&gt;(J252&lt;&gt;""),"Latitud y longitud van juntas","OK")))))))</f>
        <v/>
      </c>
      <c r="M252" s="28">
        <f>IF(L252&lt;&gt;"OK","","INSERT INTO cli_direcciones (id_cliente, descripcion, direccion, referencia, id_departamento, id_provincia, id_distrito, latitud, longitud, es_principal, estado) SELECT "&amp;"(SELECT id FROM cli_clientes WHERE numero_documento = '"&amp;SUBSTITUTE(TRIM(A252),"'","''")&amp;"' AND estado = 1 LIMIT 1)"&amp;", "&amp;IF(TRIM(C252&amp;"")="","NULL","'"&amp;SUBSTITUTE(TRIM(C252),"'","''")&amp;"'")&amp;", "&amp;IF(TRIM(D252&amp;"")="","NULL","'"&amp;SUBSTITUTE(TRIM(D252),"'","''")&amp;"'")&amp;", "&amp;IF(TRIM(E252&amp;"")="","NULL","'"&amp;SUBSTITUTE(TRIM(E252),"'","''")&amp;"'")&amp;", "&amp;IF(TRIM(F252&amp;"")="","NULL","(SELECT id FROM gen_departamento WHERE upper(nombre) = upper('"&amp;SUBSTITUTE(TRIM(F252),"'","''")&amp;"') AND estado = 1 LIMIT 1)")&amp;", "&amp;IF(OR(TRIM(F252&amp;"")="",TRIM(G252&amp;"")=""),"NULL","(SELECT p.id FROM gen_provincia p JOIN gen_departamento dp ON dp.id = p.id_departamento WHERE upper(p.nombre) = upper('"&amp;SUBSTITUTE(TRIM(G252),"'","''")&amp;"') AND upper(dp.nombre) = upper('"&amp;SUBSTITUTE(TRIM(F252),"'","''")&amp;"') AND p.estado = 1 LIMIT 1)")&amp;", "&amp;IF(OR(TRIM(F252&amp;"")="",TRIM(G252&amp;"")="",TRIM(H252&amp;"")=""),"NULL","(SELECT d.id FROM gen_distrito d JOIN gen_provincia p ON p.id = d.id_provincia JOIN gen_departamento dp ON dp.id = p.id_departamento WHERE upper(d.nombre) = upper('"&amp;SUBSTITUTE(TRIM(H252),"'","''")&amp;"') AND upper(p.nombre) = upper('"&amp;SUBSTITUTE(TRIM(G252),"'","''")&amp;"') AND upper(dp.nombre) = upper('"&amp;SUBSTITUTE(TRIM(F252),"'","''")&amp;"') AND d.estado = 1 LIMIT 1)")&amp;", "&amp;IF(I252&amp;""="","NULL",SUBSTITUTE(I252&amp;"",",","."))&amp;", "&amp;IF(J252&amp;""="","NULL",SUBSTITUTE(J252&amp;"",",","."))&amp;", "&amp;IF(UPPER(TRIM(K252&amp;""))="SI","TRUE","FALSE")&amp;", 1"&amp;" WHERE NOT EXISTS (SELECT 1 FROM cli_direcciones x WHERE x.id_cliente = "&amp;"(SELECT id FROM cli_clientes WHERE numero_documento = '"&amp;SUBSTITUTE(TRIM(A252),"'","''")&amp;"' AND estado = 1 LIMIT 1)"&amp;" AND upper(x.direccion) = upper("&amp;IF(TRIM(D252&amp;"")="","NULL","'"&amp;SUBSTITUTE(TRIM(D252),"'","''")&amp;"'")&amp;"));")</f>
        <v/>
      </c>
    </row>
    <row r="253" ht="15.75" customHeight="1" s="64">
      <c r="A253" s="23" t="n"/>
      <c r="B253" s="25">
        <f t="array" ref="B253">IF(A253="","",IFERROR(IF(INDEX(Clientes!$D$5:$D$549,MATCH(A253,Clientes!$C$5:$C$549,0))&lt;&gt;"",INDEX(Clientes!$D$5:$D$549,MATCH(A253,Clientes!$C$5:$C$549,0)),TRIM(INDEX(Clientes!$E$5:$E$549,MATCH(A253,Clientes!$C$5:$C$549,0))&amp;" "&amp;INDEX(Clientes!$F$5:$F$549,MATCH(A253,Clientes!$C$5:$C$549,0)))),"NO EXISTE en Clientes"))</f>
        <v/>
      </c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>
        <f>IF(AND(A253="",D253=""),"",IF(A253="","FALTA doc. cliente",IF(B253="NO EXISTE en Clientes","CLIENTE no está en hoja Clientes",IF(D253="","FALTA dirección",IF(AND(H253&lt;&gt;"",OR(F253="",G253="")),"Distrito requiere departamento y provincia",IF(AND(G253&lt;&gt;"",F253=""),"Provincia requiere departamento",IF((I253&lt;&gt;"")&lt;&gt;(J253&lt;&gt;""),"Latitud y longitud van juntas","OK")))))))</f>
        <v/>
      </c>
      <c r="M253" s="28">
        <f>IF(L253&lt;&gt;"OK","","INSERT INTO cli_direcciones (id_cliente, descripcion, direccion, referencia, id_departamento, id_provincia, id_distrito, latitud, longitud, es_principal, estado) SELECT "&amp;"(SELECT id FROM cli_clientes WHERE numero_documento = '"&amp;SUBSTITUTE(TRIM(A253),"'","''")&amp;"' AND estado = 1 LIMIT 1)"&amp;", "&amp;IF(TRIM(C253&amp;"")="","NULL","'"&amp;SUBSTITUTE(TRIM(C253),"'","''")&amp;"'")&amp;", "&amp;IF(TRIM(D253&amp;"")="","NULL","'"&amp;SUBSTITUTE(TRIM(D253),"'","''")&amp;"'")&amp;", "&amp;IF(TRIM(E253&amp;"")="","NULL","'"&amp;SUBSTITUTE(TRIM(E253),"'","''")&amp;"'")&amp;", "&amp;IF(TRIM(F253&amp;"")="","NULL","(SELECT id FROM gen_departamento WHERE upper(nombre) = upper('"&amp;SUBSTITUTE(TRIM(F253),"'","''")&amp;"') AND estado = 1 LIMIT 1)")&amp;", "&amp;IF(OR(TRIM(F253&amp;"")="",TRIM(G253&amp;"")=""),"NULL","(SELECT p.id FROM gen_provincia p JOIN gen_departamento dp ON dp.id = p.id_departamento WHERE upper(p.nombre) = upper('"&amp;SUBSTITUTE(TRIM(G253),"'","''")&amp;"') AND upper(dp.nombre) = upper('"&amp;SUBSTITUTE(TRIM(F253),"'","''")&amp;"') AND p.estado = 1 LIMIT 1)")&amp;", "&amp;IF(OR(TRIM(F253&amp;"")="",TRIM(G253&amp;"")="",TRIM(H253&amp;"")=""),"NULL","(SELECT d.id FROM gen_distrito d JOIN gen_provincia p ON p.id = d.id_provincia JOIN gen_departamento dp ON dp.id = p.id_departamento WHERE upper(d.nombre) = upper('"&amp;SUBSTITUTE(TRIM(H253),"'","''")&amp;"') AND upper(p.nombre) = upper('"&amp;SUBSTITUTE(TRIM(G253),"'","''")&amp;"') AND upper(dp.nombre) = upper('"&amp;SUBSTITUTE(TRIM(F253),"'","''")&amp;"') AND d.estado = 1 LIMIT 1)")&amp;", "&amp;IF(I253&amp;""="","NULL",SUBSTITUTE(I253&amp;"",",","."))&amp;", "&amp;IF(J253&amp;""="","NULL",SUBSTITUTE(J253&amp;"",",","."))&amp;", "&amp;IF(UPPER(TRIM(K253&amp;""))="SI","TRUE","FALSE")&amp;", 1"&amp;" WHERE NOT EXISTS (SELECT 1 FROM cli_direcciones x WHERE x.id_cliente = "&amp;"(SELECT id FROM cli_clientes WHERE numero_documento = '"&amp;SUBSTITUTE(TRIM(A253),"'","''")&amp;"' AND estado = 1 LIMIT 1)"&amp;" AND upper(x.direccion) = upper("&amp;IF(TRIM(D253&amp;"")="","NULL","'"&amp;SUBSTITUTE(TRIM(D253),"'","''")&amp;"'")&amp;"));")</f>
        <v/>
      </c>
    </row>
    <row r="254" ht="15.75" customHeight="1" s="64">
      <c r="A254" s="23" t="n"/>
      <c r="B254" s="25">
        <f t="array" ref="B254">IF(A254="","",IFERROR(IF(INDEX(Clientes!$D$5:$D$549,MATCH(A254,Clientes!$C$5:$C$549,0))&lt;&gt;"",INDEX(Clientes!$D$5:$D$549,MATCH(A254,Clientes!$C$5:$C$549,0)),TRIM(INDEX(Clientes!$E$5:$E$549,MATCH(A254,Clientes!$C$5:$C$549,0))&amp;" "&amp;INDEX(Clientes!$F$5:$F$549,MATCH(A254,Clientes!$C$5:$C$549,0)))),"NO EXISTE en Clientes"))</f>
        <v/>
      </c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>
        <f>IF(AND(A254="",D254=""),"",IF(A254="","FALTA doc. cliente",IF(B254="NO EXISTE en Clientes","CLIENTE no está en hoja Clientes",IF(D254="","FALTA dirección",IF(AND(H254&lt;&gt;"",OR(F254="",G254="")),"Distrito requiere departamento y provincia",IF(AND(G254&lt;&gt;"",F254=""),"Provincia requiere departamento",IF((I254&lt;&gt;"")&lt;&gt;(J254&lt;&gt;""),"Latitud y longitud van juntas","OK")))))))</f>
        <v/>
      </c>
      <c r="M254" s="28">
        <f>IF(L254&lt;&gt;"OK","","INSERT INTO cli_direcciones (id_cliente, descripcion, direccion, referencia, id_departamento, id_provincia, id_distrito, latitud, longitud, es_principal, estado) SELECT "&amp;"(SELECT id FROM cli_clientes WHERE numero_documento = '"&amp;SUBSTITUTE(TRIM(A254),"'","''")&amp;"' AND estado = 1 LIMIT 1)"&amp;", "&amp;IF(TRIM(C254&amp;"")="","NULL","'"&amp;SUBSTITUTE(TRIM(C254),"'","''")&amp;"'")&amp;", "&amp;IF(TRIM(D254&amp;"")="","NULL","'"&amp;SUBSTITUTE(TRIM(D254),"'","''")&amp;"'")&amp;", "&amp;IF(TRIM(E254&amp;"")="","NULL","'"&amp;SUBSTITUTE(TRIM(E254),"'","''")&amp;"'")&amp;", "&amp;IF(TRIM(F254&amp;"")="","NULL","(SELECT id FROM gen_departamento WHERE upper(nombre) = upper('"&amp;SUBSTITUTE(TRIM(F254),"'","''")&amp;"') AND estado = 1 LIMIT 1)")&amp;", "&amp;IF(OR(TRIM(F254&amp;"")="",TRIM(G254&amp;"")=""),"NULL","(SELECT p.id FROM gen_provincia p JOIN gen_departamento dp ON dp.id = p.id_departamento WHERE upper(p.nombre) = upper('"&amp;SUBSTITUTE(TRIM(G254),"'","''")&amp;"') AND upper(dp.nombre) = upper('"&amp;SUBSTITUTE(TRIM(F254),"'","''")&amp;"') AND p.estado = 1 LIMIT 1)")&amp;", "&amp;IF(OR(TRIM(F254&amp;"")="",TRIM(G254&amp;"")="",TRIM(H254&amp;"")=""),"NULL","(SELECT d.id FROM gen_distrito d JOIN gen_provincia p ON p.id = d.id_provincia JOIN gen_departamento dp ON dp.id = p.id_departamento WHERE upper(d.nombre) = upper('"&amp;SUBSTITUTE(TRIM(H254),"'","''")&amp;"') AND upper(p.nombre) = upper('"&amp;SUBSTITUTE(TRIM(G254),"'","''")&amp;"') AND upper(dp.nombre) = upper('"&amp;SUBSTITUTE(TRIM(F254),"'","''")&amp;"') AND d.estado = 1 LIMIT 1)")&amp;", "&amp;IF(I254&amp;""="","NULL",SUBSTITUTE(I254&amp;"",",","."))&amp;", "&amp;IF(J254&amp;""="","NULL",SUBSTITUTE(J254&amp;"",",","."))&amp;", "&amp;IF(UPPER(TRIM(K254&amp;""))="SI","TRUE","FALSE")&amp;", 1"&amp;" WHERE NOT EXISTS (SELECT 1 FROM cli_direcciones x WHERE x.id_cliente = "&amp;"(SELECT id FROM cli_clientes WHERE numero_documento = '"&amp;SUBSTITUTE(TRIM(A254),"'","''")&amp;"' AND estado = 1 LIMIT 1)"&amp;" AND upper(x.direccion) = upper("&amp;IF(TRIM(D254&amp;"")="","NULL","'"&amp;SUBSTITUTE(TRIM(D254),"'","''")&amp;"'")&amp;"));")</f>
        <v/>
      </c>
    </row>
    <row r="255" ht="15.75" customHeight="1" s="64">
      <c r="A255" s="23" t="n"/>
      <c r="B255" s="25">
        <f t="array" ref="B255">IF(A255="","",IFERROR(IF(INDEX(Clientes!$D$5:$D$549,MATCH(A255,Clientes!$C$5:$C$549,0))&lt;&gt;"",INDEX(Clientes!$D$5:$D$549,MATCH(A255,Clientes!$C$5:$C$549,0)),TRIM(INDEX(Clientes!$E$5:$E$549,MATCH(A255,Clientes!$C$5:$C$549,0))&amp;" "&amp;INDEX(Clientes!$F$5:$F$549,MATCH(A255,Clientes!$C$5:$C$549,0)))),"NO EXISTE en Clientes"))</f>
        <v/>
      </c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>
        <f>IF(AND(A255="",D255=""),"",IF(A255="","FALTA doc. cliente",IF(B255="NO EXISTE en Clientes","CLIENTE no está en hoja Clientes",IF(D255="","FALTA dirección",IF(AND(H255&lt;&gt;"",OR(F255="",G255="")),"Distrito requiere departamento y provincia",IF(AND(G255&lt;&gt;"",F255=""),"Provincia requiere departamento",IF((I255&lt;&gt;"")&lt;&gt;(J255&lt;&gt;""),"Latitud y longitud van juntas","OK")))))))</f>
        <v/>
      </c>
      <c r="M255" s="28">
        <f>IF(L255&lt;&gt;"OK","","INSERT INTO cli_direcciones (id_cliente, descripcion, direccion, referencia, id_departamento, id_provincia, id_distrito, latitud, longitud, es_principal, estado) SELECT "&amp;"(SELECT id FROM cli_clientes WHERE numero_documento = '"&amp;SUBSTITUTE(TRIM(A255),"'","''")&amp;"' AND estado = 1 LIMIT 1)"&amp;", "&amp;IF(TRIM(C255&amp;"")="","NULL","'"&amp;SUBSTITUTE(TRIM(C255),"'","''")&amp;"'")&amp;", "&amp;IF(TRIM(D255&amp;"")="","NULL","'"&amp;SUBSTITUTE(TRIM(D255),"'","''")&amp;"'")&amp;", "&amp;IF(TRIM(E255&amp;"")="","NULL","'"&amp;SUBSTITUTE(TRIM(E255),"'","''")&amp;"'")&amp;", "&amp;IF(TRIM(F255&amp;"")="","NULL","(SELECT id FROM gen_departamento WHERE upper(nombre) = upper('"&amp;SUBSTITUTE(TRIM(F255),"'","''")&amp;"') AND estado = 1 LIMIT 1)")&amp;", "&amp;IF(OR(TRIM(F255&amp;"")="",TRIM(G255&amp;"")=""),"NULL","(SELECT p.id FROM gen_provincia p JOIN gen_departamento dp ON dp.id = p.id_departamento WHERE upper(p.nombre) = upper('"&amp;SUBSTITUTE(TRIM(G255),"'","''")&amp;"') AND upper(dp.nombre) = upper('"&amp;SUBSTITUTE(TRIM(F255),"'","''")&amp;"') AND p.estado = 1 LIMIT 1)")&amp;", "&amp;IF(OR(TRIM(F255&amp;"")="",TRIM(G255&amp;"")="",TRIM(H255&amp;"")=""),"NULL","(SELECT d.id FROM gen_distrito d JOIN gen_provincia p ON p.id = d.id_provincia JOIN gen_departamento dp ON dp.id = p.id_departamento WHERE upper(d.nombre) = upper('"&amp;SUBSTITUTE(TRIM(H255),"'","''")&amp;"') AND upper(p.nombre) = upper('"&amp;SUBSTITUTE(TRIM(G255),"'","''")&amp;"') AND upper(dp.nombre) = upper('"&amp;SUBSTITUTE(TRIM(F255),"'","''")&amp;"') AND d.estado = 1 LIMIT 1)")&amp;", "&amp;IF(I255&amp;""="","NULL",SUBSTITUTE(I255&amp;"",",","."))&amp;", "&amp;IF(J255&amp;""="","NULL",SUBSTITUTE(J255&amp;"",",","."))&amp;", "&amp;IF(UPPER(TRIM(K255&amp;""))="SI","TRUE","FALSE")&amp;", 1"&amp;" WHERE NOT EXISTS (SELECT 1 FROM cli_direcciones x WHERE x.id_cliente = "&amp;"(SELECT id FROM cli_clientes WHERE numero_documento = '"&amp;SUBSTITUTE(TRIM(A255),"'","''")&amp;"' AND estado = 1 LIMIT 1)"&amp;" AND upper(x.direccion) = upper("&amp;IF(TRIM(D255&amp;"")="","NULL","'"&amp;SUBSTITUTE(TRIM(D255),"'","''")&amp;"'")&amp;"));")</f>
        <v/>
      </c>
    </row>
    <row r="256" ht="15.75" customHeight="1" s="64">
      <c r="A256" s="23" t="n"/>
      <c r="B256" s="25">
        <f t="array" ref="B256">IF(A256="","",IFERROR(IF(INDEX(Clientes!$D$5:$D$549,MATCH(A256,Clientes!$C$5:$C$549,0))&lt;&gt;"",INDEX(Clientes!$D$5:$D$549,MATCH(A256,Clientes!$C$5:$C$549,0)),TRIM(INDEX(Clientes!$E$5:$E$549,MATCH(A256,Clientes!$C$5:$C$549,0))&amp;" "&amp;INDEX(Clientes!$F$5:$F$549,MATCH(A256,Clientes!$C$5:$C$549,0)))),"NO EXISTE en Clientes"))</f>
        <v/>
      </c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>
        <f>IF(AND(A256="",D256=""),"",IF(A256="","FALTA doc. cliente",IF(B256="NO EXISTE en Clientes","CLIENTE no está en hoja Clientes",IF(D256="","FALTA dirección",IF(AND(H256&lt;&gt;"",OR(F256="",G256="")),"Distrito requiere departamento y provincia",IF(AND(G256&lt;&gt;"",F256=""),"Provincia requiere departamento",IF((I256&lt;&gt;"")&lt;&gt;(J256&lt;&gt;""),"Latitud y longitud van juntas","OK")))))))</f>
        <v/>
      </c>
      <c r="M256" s="28">
        <f>IF(L256&lt;&gt;"OK","","INSERT INTO cli_direcciones (id_cliente, descripcion, direccion, referencia, id_departamento, id_provincia, id_distrito, latitud, longitud, es_principal, estado) SELECT "&amp;"(SELECT id FROM cli_clientes WHERE numero_documento = '"&amp;SUBSTITUTE(TRIM(A256),"'","''")&amp;"' AND estado = 1 LIMIT 1)"&amp;", "&amp;IF(TRIM(C256&amp;"")="","NULL","'"&amp;SUBSTITUTE(TRIM(C256),"'","''")&amp;"'")&amp;", "&amp;IF(TRIM(D256&amp;"")="","NULL","'"&amp;SUBSTITUTE(TRIM(D256),"'","''")&amp;"'")&amp;", "&amp;IF(TRIM(E256&amp;"")="","NULL","'"&amp;SUBSTITUTE(TRIM(E256),"'","''")&amp;"'")&amp;", "&amp;IF(TRIM(F256&amp;"")="","NULL","(SELECT id FROM gen_departamento WHERE upper(nombre) = upper('"&amp;SUBSTITUTE(TRIM(F256),"'","''")&amp;"') AND estado = 1 LIMIT 1)")&amp;", "&amp;IF(OR(TRIM(F256&amp;"")="",TRIM(G256&amp;"")=""),"NULL","(SELECT p.id FROM gen_provincia p JOIN gen_departamento dp ON dp.id = p.id_departamento WHERE upper(p.nombre) = upper('"&amp;SUBSTITUTE(TRIM(G256),"'","''")&amp;"') AND upper(dp.nombre) = upper('"&amp;SUBSTITUTE(TRIM(F256),"'","''")&amp;"') AND p.estado = 1 LIMIT 1)")&amp;", "&amp;IF(OR(TRIM(F256&amp;"")="",TRIM(G256&amp;"")="",TRIM(H256&amp;"")=""),"NULL","(SELECT d.id FROM gen_distrito d JOIN gen_provincia p ON p.id = d.id_provincia JOIN gen_departamento dp ON dp.id = p.id_departamento WHERE upper(d.nombre) = upper('"&amp;SUBSTITUTE(TRIM(H256),"'","''")&amp;"') AND upper(p.nombre) = upper('"&amp;SUBSTITUTE(TRIM(G256),"'","''")&amp;"') AND upper(dp.nombre) = upper('"&amp;SUBSTITUTE(TRIM(F256),"'","''")&amp;"') AND d.estado = 1 LIMIT 1)")&amp;", "&amp;IF(I256&amp;""="","NULL",SUBSTITUTE(I256&amp;"",",","."))&amp;", "&amp;IF(J256&amp;""="","NULL",SUBSTITUTE(J256&amp;"",",","."))&amp;", "&amp;IF(UPPER(TRIM(K256&amp;""))="SI","TRUE","FALSE")&amp;", 1"&amp;" WHERE NOT EXISTS (SELECT 1 FROM cli_direcciones x WHERE x.id_cliente = "&amp;"(SELECT id FROM cli_clientes WHERE numero_documento = '"&amp;SUBSTITUTE(TRIM(A256),"'","''")&amp;"' AND estado = 1 LIMIT 1)"&amp;" AND upper(x.direccion) = upper("&amp;IF(TRIM(D256&amp;"")="","NULL","'"&amp;SUBSTITUTE(TRIM(D256),"'","''")&amp;"'")&amp;"));")</f>
        <v/>
      </c>
    </row>
    <row r="257" ht="15.75" customHeight="1" s="64">
      <c r="A257" s="23" t="n"/>
      <c r="B257" s="25">
        <f t="array" ref="B257">IF(A257="","",IFERROR(IF(INDEX(Clientes!$D$5:$D$549,MATCH(A257,Clientes!$C$5:$C$549,0))&lt;&gt;"",INDEX(Clientes!$D$5:$D$549,MATCH(A257,Clientes!$C$5:$C$549,0)),TRIM(INDEX(Clientes!$E$5:$E$549,MATCH(A257,Clientes!$C$5:$C$549,0))&amp;" "&amp;INDEX(Clientes!$F$5:$F$549,MATCH(A257,Clientes!$C$5:$C$549,0)))),"NO EXISTE en Clientes"))</f>
        <v/>
      </c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>
        <f>IF(AND(A257="",D257=""),"",IF(A257="","FALTA doc. cliente",IF(B257="NO EXISTE en Clientes","CLIENTE no está en hoja Clientes",IF(D257="","FALTA dirección",IF(AND(H257&lt;&gt;"",OR(F257="",G257="")),"Distrito requiere departamento y provincia",IF(AND(G257&lt;&gt;"",F257=""),"Provincia requiere departamento",IF((I257&lt;&gt;"")&lt;&gt;(J257&lt;&gt;""),"Latitud y longitud van juntas","OK")))))))</f>
        <v/>
      </c>
      <c r="M257" s="28">
        <f>IF(L257&lt;&gt;"OK","","INSERT INTO cli_direcciones (id_cliente, descripcion, direccion, referencia, id_departamento, id_provincia, id_distrito, latitud, longitud, es_principal, estado) SELECT "&amp;"(SELECT id FROM cli_clientes WHERE numero_documento = '"&amp;SUBSTITUTE(TRIM(A257),"'","''")&amp;"' AND estado = 1 LIMIT 1)"&amp;", "&amp;IF(TRIM(C257&amp;"")="","NULL","'"&amp;SUBSTITUTE(TRIM(C257),"'","''")&amp;"'")&amp;", "&amp;IF(TRIM(D257&amp;"")="","NULL","'"&amp;SUBSTITUTE(TRIM(D257),"'","''")&amp;"'")&amp;", "&amp;IF(TRIM(E257&amp;"")="","NULL","'"&amp;SUBSTITUTE(TRIM(E257),"'","''")&amp;"'")&amp;", "&amp;IF(TRIM(F257&amp;"")="","NULL","(SELECT id FROM gen_departamento WHERE upper(nombre) = upper('"&amp;SUBSTITUTE(TRIM(F257),"'","''")&amp;"') AND estado = 1 LIMIT 1)")&amp;", "&amp;IF(OR(TRIM(F257&amp;"")="",TRIM(G257&amp;"")=""),"NULL","(SELECT p.id FROM gen_provincia p JOIN gen_departamento dp ON dp.id = p.id_departamento WHERE upper(p.nombre) = upper('"&amp;SUBSTITUTE(TRIM(G257),"'","''")&amp;"') AND upper(dp.nombre) = upper('"&amp;SUBSTITUTE(TRIM(F257),"'","''")&amp;"') AND p.estado = 1 LIMIT 1)")&amp;", "&amp;IF(OR(TRIM(F257&amp;"")="",TRIM(G257&amp;"")="",TRIM(H257&amp;"")=""),"NULL","(SELECT d.id FROM gen_distrito d JOIN gen_provincia p ON p.id = d.id_provincia JOIN gen_departamento dp ON dp.id = p.id_departamento WHERE upper(d.nombre) = upper('"&amp;SUBSTITUTE(TRIM(H257),"'","''")&amp;"') AND upper(p.nombre) = upper('"&amp;SUBSTITUTE(TRIM(G257),"'","''")&amp;"') AND upper(dp.nombre) = upper('"&amp;SUBSTITUTE(TRIM(F257),"'","''")&amp;"') AND d.estado = 1 LIMIT 1)")&amp;", "&amp;IF(I257&amp;""="","NULL",SUBSTITUTE(I257&amp;"",",","."))&amp;", "&amp;IF(J257&amp;""="","NULL",SUBSTITUTE(J257&amp;"",",","."))&amp;", "&amp;IF(UPPER(TRIM(K257&amp;""))="SI","TRUE","FALSE")&amp;", 1"&amp;" WHERE NOT EXISTS (SELECT 1 FROM cli_direcciones x WHERE x.id_cliente = "&amp;"(SELECT id FROM cli_clientes WHERE numero_documento = '"&amp;SUBSTITUTE(TRIM(A257),"'","''")&amp;"' AND estado = 1 LIMIT 1)"&amp;" AND upper(x.direccion) = upper("&amp;IF(TRIM(D257&amp;"")="","NULL","'"&amp;SUBSTITUTE(TRIM(D257),"'","''")&amp;"'")&amp;"));")</f>
        <v/>
      </c>
    </row>
    <row r="258" ht="15.75" customHeight="1" s="64">
      <c r="A258" s="23" t="n"/>
      <c r="B258" s="25">
        <f t="array" ref="B258">IF(A258="","",IFERROR(IF(INDEX(Clientes!$D$5:$D$549,MATCH(A258,Clientes!$C$5:$C$549,0))&lt;&gt;"",INDEX(Clientes!$D$5:$D$549,MATCH(A258,Clientes!$C$5:$C$549,0)),TRIM(INDEX(Clientes!$E$5:$E$549,MATCH(A258,Clientes!$C$5:$C$549,0))&amp;" "&amp;INDEX(Clientes!$F$5:$F$549,MATCH(A258,Clientes!$C$5:$C$549,0)))),"NO EXISTE en Clientes"))</f>
        <v/>
      </c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>
        <f>IF(AND(A258="",D258=""),"",IF(A258="","FALTA doc. cliente",IF(B258="NO EXISTE en Clientes","CLIENTE no está en hoja Clientes",IF(D258="","FALTA dirección",IF(AND(H258&lt;&gt;"",OR(F258="",G258="")),"Distrito requiere departamento y provincia",IF(AND(G258&lt;&gt;"",F258=""),"Provincia requiere departamento",IF((I258&lt;&gt;"")&lt;&gt;(J258&lt;&gt;""),"Latitud y longitud van juntas","OK")))))))</f>
        <v/>
      </c>
      <c r="M258" s="28">
        <f>IF(L258&lt;&gt;"OK","","INSERT INTO cli_direcciones (id_cliente, descripcion, direccion, referencia, id_departamento, id_provincia, id_distrito, latitud, longitud, es_principal, estado) SELECT "&amp;"(SELECT id FROM cli_clientes WHERE numero_documento = '"&amp;SUBSTITUTE(TRIM(A258),"'","''")&amp;"' AND estado = 1 LIMIT 1)"&amp;", "&amp;IF(TRIM(C258&amp;"")="","NULL","'"&amp;SUBSTITUTE(TRIM(C258),"'","''")&amp;"'")&amp;", "&amp;IF(TRIM(D258&amp;"")="","NULL","'"&amp;SUBSTITUTE(TRIM(D258),"'","''")&amp;"'")&amp;", "&amp;IF(TRIM(E258&amp;"")="","NULL","'"&amp;SUBSTITUTE(TRIM(E258),"'","''")&amp;"'")&amp;", "&amp;IF(TRIM(F258&amp;"")="","NULL","(SELECT id FROM gen_departamento WHERE upper(nombre) = upper('"&amp;SUBSTITUTE(TRIM(F258),"'","''")&amp;"') AND estado = 1 LIMIT 1)")&amp;", "&amp;IF(OR(TRIM(F258&amp;"")="",TRIM(G258&amp;"")=""),"NULL","(SELECT p.id FROM gen_provincia p JOIN gen_departamento dp ON dp.id = p.id_departamento WHERE upper(p.nombre) = upper('"&amp;SUBSTITUTE(TRIM(G258),"'","''")&amp;"') AND upper(dp.nombre) = upper('"&amp;SUBSTITUTE(TRIM(F258),"'","''")&amp;"') AND p.estado = 1 LIMIT 1)")&amp;", "&amp;IF(OR(TRIM(F258&amp;"")="",TRIM(G258&amp;"")="",TRIM(H258&amp;"")=""),"NULL","(SELECT d.id FROM gen_distrito d JOIN gen_provincia p ON p.id = d.id_provincia JOIN gen_departamento dp ON dp.id = p.id_departamento WHERE upper(d.nombre) = upper('"&amp;SUBSTITUTE(TRIM(H258),"'","''")&amp;"') AND upper(p.nombre) = upper('"&amp;SUBSTITUTE(TRIM(G258),"'","''")&amp;"') AND upper(dp.nombre) = upper('"&amp;SUBSTITUTE(TRIM(F258),"'","''")&amp;"') AND d.estado = 1 LIMIT 1)")&amp;", "&amp;IF(I258&amp;""="","NULL",SUBSTITUTE(I258&amp;"",",","."))&amp;", "&amp;IF(J258&amp;""="","NULL",SUBSTITUTE(J258&amp;"",",","."))&amp;", "&amp;IF(UPPER(TRIM(K258&amp;""))="SI","TRUE","FALSE")&amp;", 1"&amp;" WHERE NOT EXISTS (SELECT 1 FROM cli_direcciones x WHERE x.id_cliente = "&amp;"(SELECT id FROM cli_clientes WHERE numero_documento = '"&amp;SUBSTITUTE(TRIM(A258),"'","''")&amp;"' AND estado = 1 LIMIT 1)"&amp;" AND upper(x.direccion) = upper("&amp;IF(TRIM(D258&amp;"")="","NULL","'"&amp;SUBSTITUTE(TRIM(D258),"'","''")&amp;"'")&amp;"));")</f>
        <v/>
      </c>
    </row>
    <row r="259" ht="15.75" customHeight="1" s="64">
      <c r="A259" s="23" t="n"/>
      <c r="B259" s="25">
        <f t="array" ref="B259">IF(A259="","",IFERROR(IF(INDEX(Clientes!$D$5:$D$549,MATCH(A259,Clientes!$C$5:$C$549,0))&lt;&gt;"",INDEX(Clientes!$D$5:$D$549,MATCH(A259,Clientes!$C$5:$C$549,0)),TRIM(INDEX(Clientes!$E$5:$E$549,MATCH(A259,Clientes!$C$5:$C$549,0))&amp;" "&amp;INDEX(Clientes!$F$5:$F$549,MATCH(A259,Clientes!$C$5:$C$549,0)))),"NO EXISTE en Clientes"))</f>
        <v/>
      </c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>
        <f>IF(AND(A259="",D259=""),"",IF(A259="","FALTA doc. cliente",IF(B259="NO EXISTE en Clientes","CLIENTE no está en hoja Clientes",IF(D259="","FALTA dirección",IF(AND(H259&lt;&gt;"",OR(F259="",G259="")),"Distrito requiere departamento y provincia",IF(AND(G259&lt;&gt;"",F259=""),"Provincia requiere departamento",IF((I259&lt;&gt;"")&lt;&gt;(J259&lt;&gt;""),"Latitud y longitud van juntas","OK")))))))</f>
        <v/>
      </c>
      <c r="M259" s="28">
        <f>IF(L259&lt;&gt;"OK","","INSERT INTO cli_direcciones (id_cliente, descripcion, direccion, referencia, id_departamento, id_provincia, id_distrito, latitud, longitud, es_principal, estado) SELECT "&amp;"(SELECT id FROM cli_clientes WHERE numero_documento = '"&amp;SUBSTITUTE(TRIM(A259),"'","''")&amp;"' AND estado = 1 LIMIT 1)"&amp;", "&amp;IF(TRIM(C259&amp;"")="","NULL","'"&amp;SUBSTITUTE(TRIM(C259),"'","''")&amp;"'")&amp;", "&amp;IF(TRIM(D259&amp;"")="","NULL","'"&amp;SUBSTITUTE(TRIM(D259),"'","''")&amp;"'")&amp;", "&amp;IF(TRIM(E259&amp;"")="","NULL","'"&amp;SUBSTITUTE(TRIM(E259),"'","''")&amp;"'")&amp;", "&amp;IF(TRIM(F259&amp;"")="","NULL","(SELECT id FROM gen_departamento WHERE upper(nombre) = upper('"&amp;SUBSTITUTE(TRIM(F259),"'","''")&amp;"') AND estado = 1 LIMIT 1)")&amp;", "&amp;IF(OR(TRIM(F259&amp;"")="",TRIM(G259&amp;"")=""),"NULL","(SELECT p.id FROM gen_provincia p JOIN gen_departamento dp ON dp.id = p.id_departamento WHERE upper(p.nombre) = upper('"&amp;SUBSTITUTE(TRIM(G259),"'","''")&amp;"') AND upper(dp.nombre) = upper('"&amp;SUBSTITUTE(TRIM(F259),"'","''")&amp;"') AND p.estado = 1 LIMIT 1)")&amp;", "&amp;IF(OR(TRIM(F259&amp;"")="",TRIM(G259&amp;"")="",TRIM(H259&amp;"")=""),"NULL","(SELECT d.id FROM gen_distrito d JOIN gen_provincia p ON p.id = d.id_provincia JOIN gen_departamento dp ON dp.id = p.id_departamento WHERE upper(d.nombre) = upper('"&amp;SUBSTITUTE(TRIM(H259),"'","''")&amp;"') AND upper(p.nombre) = upper('"&amp;SUBSTITUTE(TRIM(G259),"'","''")&amp;"') AND upper(dp.nombre) = upper('"&amp;SUBSTITUTE(TRIM(F259),"'","''")&amp;"') AND d.estado = 1 LIMIT 1)")&amp;", "&amp;IF(I259&amp;""="","NULL",SUBSTITUTE(I259&amp;"",",","."))&amp;", "&amp;IF(J259&amp;""="","NULL",SUBSTITUTE(J259&amp;"",",","."))&amp;", "&amp;IF(UPPER(TRIM(K259&amp;""))="SI","TRUE","FALSE")&amp;", 1"&amp;" WHERE NOT EXISTS (SELECT 1 FROM cli_direcciones x WHERE x.id_cliente = "&amp;"(SELECT id FROM cli_clientes WHERE numero_documento = '"&amp;SUBSTITUTE(TRIM(A259),"'","''")&amp;"' AND estado = 1 LIMIT 1)"&amp;" AND upper(x.direccion) = upper("&amp;IF(TRIM(D259&amp;"")="","NULL","'"&amp;SUBSTITUTE(TRIM(D259),"'","''")&amp;"'")&amp;"));")</f>
        <v/>
      </c>
    </row>
    <row r="260" ht="15.75" customHeight="1" s="64">
      <c r="A260" s="23" t="n"/>
      <c r="B260" s="25">
        <f t="array" ref="B260">IF(A260="","",IFERROR(IF(INDEX(Clientes!$D$5:$D$549,MATCH(A260,Clientes!$C$5:$C$549,0))&lt;&gt;"",INDEX(Clientes!$D$5:$D$549,MATCH(A260,Clientes!$C$5:$C$549,0)),TRIM(INDEX(Clientes!$E$5:$E$549,MATCH(A260,Clientes!$C$5:$C$549,0))&amp;" "&amp;INDEX(Clientes!$F$5:$F$549,MATCH(A260,Clientes!$C$5:$C$549,0)))),"NO EXISTE en Clientes"))</f>
        <v/>
      </c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>
        <f>IF(AND(A260="",D260=""),"",IF(A260="","FALTA doc. cliente",IF(B260="NO EXISTE en Clientes","CLIENTE no está en hoja Clientes",IF(D260="","FALTA dirección",IF(AND(H260&lt;&gt;"",OR(F260="",G260="")),"Distrito requiere departamento y provincia",IF(AND(G260&lt;&gt;"",F260=""),"Provincia requiere departamento",IF((I260&lt;&gt;"")&lt;&gt;(J260&lt;&gt;""),"Latitud y longitud van juntas","OK")))))))</f>
        <v/>
      </c>
      <c r="M260" s="28">
        <f>IF(L260&lt;&gt;"OK","","INSERT INTO cli_direcciones (id_cliente, descripcion, direccion, referencia, id_departamento, id_provincia, id_distrito, latitud, longitud, es_principal, estado) SELECT "&amp;"(SELECT id FROM cli_clientes WHERE numero_documento = '"&amp;SUBSTITUTE(TRIM(A260),"'","''")&amp;"' AND estado = 1 LIMIT 1)"&amp;", "&amp;IF(TRIM(C260&amp;"")="","NULL","'"&amp;SUBSTITUTE(TRIM(C260),"'","''")&amp;"'")&amp;", "&amp;IF(TRIM(D260&amp;"")="","NULL","'"&amp;SUBSTITUTE(TRIM(D260),"'","''")&amp;"'")&amp;", "&amp;IF(TRIM(E260&amp;"")="","NULL","'"&amp;SUBSTITUTE(TRIM(E260),"'","''")&amp;"'")&amp;", "&amp;IF(TRIM(F260&amp;"")="","NULL","(SELECT id FROM gen_departamento WHERE upper(nombre) = upper('"&amp;SUBSTITUTE(TRIM(F260),"'","''")&amp;"') AND estado = 1 LIMIT 1)")&amp;", "&amp;IF(OR(TRIM(F260&amp;"")="",TRIM(G260&amp;"")=""),"NULL","(SELECT p.id FROM gen_provincia p JOIN gen_departamento dp ON dp.id = p.id_departamento WHERE upper(p.nombre) = upper('"&amp;SUBSTITUTE(TRIM(G260),"'","''")&amp;"') AND upper(dp.nombre) = upper('"&amp;SUBSTITUTE(TRIM(F260),"'","''")&amp;"') AND p.estado = 1 LIMIT 1)")&amp;", "&amp;IF(OR(TRIM(F260&amp;"")="",TRIM(G260&amp;"")="",TRIM(H260&amp;"")=""),"NULL","(SELECT d.id FROM gen_distrito d JOIN gen_provincia p ON p.id = d.id_provincia JOIN gen_departamento dp ON dp.id = p.id_departamento WHERE upper(d.nombre) = upper('"&amp;SUBSTITUTE(TRIM(H260),"'","''")&amp;"') AND upper(p.nombre) = upper('"&amp;SUBSTITUTE(TRIM(G260),"'","''")&amp;"') AND upper(dp.nombre) = upper('"&amp;SUBSTITUTE(TRIM(F260),"'","''")&amp;"') AND d.estado = 1 LIMIT 1)")&amp;", "&amp;IF(I260&amp;""="","NULL",SUBSTITUTE(I260&amp;"",",","."))&amp;", "&amp;IF(J260&amp;""="","NULL",SUBSTITUTE(J260&amp;"",",","."))&amp;", "&amp;IF(UPPER(TRIM(K260&amp;""))="SI","TRUE","FALSE")&amp;", 1"&amp;" WHERE NOT EXISTS (SELECT 1 FROM cli_direcciones x WHERE x.id_cliente = "&amp;"(SELECT id FROM cli_clientes WHERE numero_documento = '"&amp;SUBSTITUTE(TRIM(A260),"'","''")&amp;"' AND estado = 1 LIMIT 1)"&amp;" AND upper(x.direccion) = upper("&amp;IF(TRIM(D260&amp;"")="","NULL","'"&amp;SUBSTITUTE(TRIM(D260),"'","''")&amp;"'")&amp;"));")</f>
        <v/>
      </c>
    </row>
    <row r="261" ht="15.75" customHeight="1" s="64">
      <c r="A261" s="23" t="n"/>
      <c r="B261" s="25">
        <f t="array" ref="B261">IF(A261="","",IFERROR(IF(INDEX(Clientes!$D$5:$D$549,MATCH(A261,Clientes!$C$5:$C$549,0))&lt;&gt;"",INDEX(Clientes!$D$5:$D$549,MATCH(A261,Clientes!$C$5:$C$549,0)),TRIM(INDEX(Clientes!$E$5:$E$549,MATCH(A261,Clientes!$C$5:$C$549,0))&amp;" "&amp;INDEX(Clientes!$F$5:$F$549,MATCH(A261,Clientes!$C$5:$C$549,0)))),"NO EXISTE en Clientes"))</f>
        <v/>
      </c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>
        <f>IF(AND(A261="",D261=""),"",IF(A261="","FALTA doc. cliente",IF(B261="NO EXISTE en Clientes","CLIENTE no está en hoja Clientes",IF(D261="","FALTA dirección",IF(AND(H261&lt;&gt;"",OR(F261="",G261="")),"Distrito requiere departamento y provincia",IF(AND(G261&lt;&gt;"",F261=""),"Provincia requiere departamento",IF((I261&lt;&gt;"")&lt;&gt;(J261&lt;&gt;""),"Latitud y longitud van juntas","OK")))))))</f>
        <v/>
      </c>
      <c r="M261" s="28">
        <f>IF(L261&lt;&gt;"OK","","INSERT INTO cli_direcciones (id_cliente, descripcion, direccion, referencia, id_departamento, id_provincia, id_distrito, latitud, longitud, es_principal, estado) SELECT "&amp;"(SELECT id FROM cli_clientes WHERE numero_documento = '"&amp;SUBSTITUTE(TRIM(A261),"'","''")&amp;"' AND estado = 1 LIMIT 1)"&amp;", "&amp;IF(TRIM(C261&amp;"")="","NULL","'"&amp;SUBSTITUTE(TRIM(C261),"'","''")&amp;"'")&amp;", "&amp;IF(TRIM(D261&amp;"")="","NULL","'"&amp;SUBSTITUTE(TRIM(D261),"'","''")&amp;"'")&amp;", "&amp;IF(TRIM(E261&amp;"")="","NULL","'"&amp;SUBSTITUTE(TRIM(E261),"'","''")&amp;"'")&amp;", "&amp;IF(TRIM(F261&amp;"")="","NULL","(SELECT id FROM gen_departamento WHERE upper(nombre) = upper('"&amp;SUBSTITUTE(TRIM(F261),"'","''")&amp;"') AND estado = 1 LIMIT 1)")&amp;", "&amp;IF(OR(TRIM(F261&amp;"")="",TRIM(G261&amp;"")=""),"NULL","(SELECT p.id FROM gen_provincia p JOIN gen_departamento dp ON dp.id = p.id_departamento WHERE upper(p.nombre) = upper('"&amp;SUBSTITUTE(TRIM(G261),"'","''")&amp;"') AND upper(dp.nombre) = upper('"&amp;SUBSTITUTE(TRIM(F261),"'","''")&amp;"') AND p.estado = 1 LIMIT 1)")&amp;", "&amp;IF(OR(TRIM(F261&amp;"")="",TRIM(G261&amp;"")="",TRIM(H261&amp;"")=""),"NULL","(SELECT d.id FROM gen_distrito d JOIN gen_provincia p ON p.id = d.id_provincia JOIN gen_departamento dp ON dp.id = p.id_departamento WHERE upper(d.nombre) = upper('"&amp;SUBSTITUTE(TRIM(H261),"'","''")&amp;"') AND upper(p.nombre) = upper('"&amp;SUBSTITUTE(TRIM(G261),"'","''")&amp;"') AND upper(dp.nombre) = upper('"&amp;SUBSTITUTE(TRIM(F261),"'","''")&amp;"') AND d.estado = 1 LIMIT 1)")&amp;", "&amp;IF(I261&amp;""="","NULL",SUBSTITUTE(I261&amp;"",",","."))&amp;", "&amp;IF(J261&amp;""="","NULL",SUBSTITUTE(J261&amp;"",",","."))&amp;", "&amp;IF(UPPER(TRIM(K261&amp;""))="SI","TRUE","FALSE")&amp;", 1"&amp;" WHERE NOT EXISTS (SELECT 1 FROM cli_direcciones x WHERE x.id_cliente = "&amp;"(SELECT id FROM cli_clientes WHERE numero_documento = '"&amp;SUBSTITUTE(TRIM(A261),"'","''")&amp;"' AND estado = 1 LIMIT 1)"&amp;" AND upper(x.direccion) = upper("&amp;IF(TRIM(D261&amp;"")="","NULL","'"&amp;SUBSTITUTE(TRIM(D261),"'","''")&amp;"'")&amp;"));")</f>
        <v/>
      </c>
    </row>
    <row r="262" ht="15.75" customHeight="1" s="64">
      <c r="A262" s="23" t="n"/>
      <c r="B262" s="25">
        <f t="array" ref="B262">IF(A262="","",IFERROR(IF(INDEX(Clientes!$D$5:$D$549,MATCH(A262,Clientes!$C$5:$C$549,0))&lt;&gt;"",INDEX(Clientes!$D$5:$D$549,MATCH(A262,Clientes!$C$5:$C$549,0)),TRIM(INDEX(Clientes!$E$5:$E$549,MATCH(A262,Clientes!$C$5:$C$549,0))&amp;" "&amp;INDEX(Clientes!$F$5:$F$549,MATCH(A262,Clientes!$C$5:$C$549,0)))),"NO EXISTE en Clientes"))</f>
        <v/>
      </c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>
        <f>IF(AND(A262="",D262=""),"",IF(A262="","FALTA doc. cliente",IF(B262="NO EXISTE en Clientes","CLIENTE no está en hoja Clientes",IF(D262="","FALTA dirección",IF(AND(H262&lt;&gt;"",OR(F262="",G262="")),"Distrito requiere departamento y provincia",IF(AND(G262&lt;&gt;"",F262=""),"Provincia requiere departamento",IF((I262&lt;&gt;"")&lt;&gt;(J262&lt;&gt;""),"Latitud y longitud van juntas","OK")))))))</f>
        <v/>
      </c>
      <c r="M262" s="28">
        <f>IF(L262&lt;&gt;"OK","","INSERT INTO cli_direcciones (id_cliente, descripcion, direccion, referencia, id_departamento, id_provincia, id_distrito, latitud, longitud, es_principal, estado) SELECT "&amp;"(SELECT id FROM cli_clientes WHERE numero_documento = '"&amp;SUBSTITUTE(TRIM(A262),"'","''")&amp;"' AND estado = 1 LIMIT 1)"&amp;", "&amp;IF(TRIM(C262&amp;"")="","NULL","'"&amp;SUBSTITUTE(TRIM(C262),"'","''")&amp;"'")&amp;", "&amp;IF(TRIM(D262&amp;"")="","NULL","'"&amp;SUBSTITUTE(TRIM(D262),"'","''")&amp;"'")&amp;", "&amp;IF(TRIM(E262&amp;"")="","NULL","'"&amp;SUBSTITUTE(TRIM(E262),"'","''")&amp;"'")&amp;", "&amp;IF(TRIM(F262&amp;"")="","NULL","(SELECT id FROM gen_departamento WHERE upper(nombre) = upper('"&amp;SUBSTITUTE(TRIM(F262),"'","''")&amp;"') AND estado = 1 LIMIT 1)")&amp;", "&amp;IF(OR(TRIM(F262&amp;"")="",TRIM(G262&amp;"")=""),"NULL","(SELECT p.id FROM gen_provincia p JOIN gen_departamento dp ON dp.id = p.id_departamento WHERE upper(p.nombre) = upper('"&amp;SUBSTITUTE(TRIM(G262),"'","''")&amp;"') AND upper(dp.nombre) = upper('"&amp;SUBSTITUTE(TRIM(F262),"'","''")&amp;"') AND p.estado = 1 LIMIT 1)")&amp;", "&amp;IF(OR(TRIM(F262&amp;"")="",TRIM(G262&amp;"")="",TRIM(H262&amp;"")=""),"NULL","(SELECT d.id FROM gen_distrito d JOIN gen_provincia p ON p.id = d.id_provincia JOIN gen_departamento dp ON dp.id = p.id_departamento WHERE upper(d.nombre) = upper('"&amp;SUBSTITUTE(TRIM(H262),"'","''")&amp;"') AND upper(p.nombre) = upper('"&amp;SUBSTITUTE(TRIM(G262),"'","''")&amp;"') AND upper(dp.nombre) = upper('"&amp;SUBSTITUTE(TRIM(F262),"'","''")&amp;"') AND d.estado = 1 LIMIT 1)")&amp;", "&amp;IF(I262&amp;""="","NULL",SUBSTITUTE(I262&amp;"",",","."))&amp;", "&amp;IF(J262&amp;""="","NULL",SUBSTITUTE(J262&amp;"",",","."))&amp;", "&amp;IF(UPPER(TRIM(K262&amp;""))="SI","TRUE","FALSE")&amp;", 1"&amp;" WHERE NOT EXISTS (SELECT 1 FROM cli_direcciones x WHERE x.id_cliente = "&amp;"(SELECT id FROM cli_clientes WHERE numero_documento = '"&amp;SUBSTITUTE(TRIM(A262),"'","''")&amp;"' AND estado = 1 LIMIT 1)"&amp;" AND upper(x.direccion) = upper("&amp;IF(TRIM(D262&amp;"")="","NULL","'"&amp;SUBSTITUTE(TRIM(D262),"'","''")&amp;"'")&amp;"));")</f>
        <v/>
      </c>
    </row>
    <row r="263" ht="15.75" customHeight="1" s="64">
      <c r="A263" s="23" t="n"/>
      <c r="B263" s="25">
        <f t="array" ref="B263">IF(A263="","",IFERROR(IF(INDEX(Clientes!$D$5:$D$549,MATCH(A263,Clientes!$C$5:$C$549,0))&lt;&gt;"",INDEX(Clientes!$D$5:$D$549,MATCH(A263,Clientes!$C$5:$C$549,0)),TRIM(INDEX(Clientes!$E$5:$E$549,MATCH(A263,Clientes!$C$5:$C$549,0))&amp;" "&amp;INDEX(Clientes!$F$5:$F$549,MATCH(A263,Clientes!$C$5:$C$549,0)))),"NO EXISTE en Clientes"))</f>
        <v/>
      </c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>
        <f>IF(AND(A263="",D263=""),"",IF(A263="","FALTA doc. cliente",IF(B263="NO EXISTE en Clientes","CLIENTE no está en hoja Clientes",IF(D263="","FALTA dirección",IF(AND(H263&lt;&gt;"",OR(F263="",G263="")),"Distrito requiere departamento y provincia",IF(AND(G263&lt;&gt;"",F263=""),"Provincia requiere departamento",IF((I263&lt;&gt;"")&lt;&gt;(J263&lt;&gt;""),"Latitud y longitud van juntas","OK")))))))</f>
        <v/>
      </c>
      <c r="M263" s="28">
        <f>IF(L263&lt;&gt;"OK","","INSERT INTO cli_direcciones (id_cliente, descripcion, direccion, referencia, id_departamento, id_provincia, id_distrito, latitud, longitud, es_principal, estado) SELECT "&amp;"(SELECT id FROM cli_clientes WHERE numero_documento = '"&amp;SUBSTITUTE(TRIM(A263),"'","''")&amp;"' AND estado = 1 LIMIT 1)"&amp;", "&amp;IF(TRIM(C263&amp;"")="","NULL","'"&amp;SUBSTITUTE(TRIM(C263),"'","''")&amp;"'")&amp;", "&amp;IF(TRIM(D263&amp;"")="","NULL","'"&amp;SUBSTITUTE(TRIM(D263),"'","''")&amp;"'")&amp;", "&amp;IF(TRIM(E263&amp;"")="","NULL","'"&amp;SUBSTITUTE(TRIM(E263),"'","''")&amp;"'")&amp;", "&amp;IF(TRIM(F263&amp;"")="","NULL","(SELECT id FROM gen_departamento WHERE upper(nombre) = upper('"&amp;SUBSTITUTE(TRIM(F263),"'","''")&amp;"') AND estado = 1 LIMIT 1)")&amp;", "&amp;IF(OR(TRIM(F263&amp;"")="",TRIM(G263&amp;"")=""),"NULL","(SELECT p.id FROM gen_provincia p JOIN gen_departamento dp ON dp.id = p.id_departamento WHERE upper(p.nombre) = upper('"&amp;SUBSTITUTE(TRIM(G263),"'","''")&amp;"') AND upper(dp.nombre) = upper('"&amp;SUBSTITUTE(TRIM(F263),"'","''")&amp;"') AND p.estado = 1 LIMIT 1)")&amp;", "&amp;IF(OR(TRIM(F263&amp;"")="",TRIM(G263&amp;"")="",TRIM(H263&amp;"")=""),"NULL","(SELECT d.id FROM gen_distrito d JOIN gen_provincia p ON p.id = d.id_provincia JOIN gen_departamento dp ON dp.id = p.id_departamento WHERE upper(d.nombre) = upper('"&amp;SUBSTITUTE(TRIM(H263),"'","''")&amp;"') AND upper(p.nombre) = upper('"&amp;SUBSTITUTE(TRIM(G263),"'","''")&amp;"') AND upper(dp.nombre) = upper('"&amp;SUBSTITUTE(TRIM(F263),"'","''")&amp;"') AND d.estado = 1 LIMIT 1)")&amp;", "&amp;IF(I263&amp;""="","NULL",SUBSTITUTE(I263&amp;"",",","."))&amp;", "&amp;IF(J263&amp;""="","NULL",SUBSTITUTE(J263&amp;"",",","."))&amp;", "&amp;IF(UPPER(TRIM(K263&amp;""))="SI","TRUE","FALSE")&amp;", 1"&amp;" WHERE NOT EXISTS (SELECT 1 FROM cli_direcciones x WHERE x.id_cliente = "&amp;"(SELECT id FROM cli_clientes WHERE numero_documento = '"&amp;SUBSTITUTE(TRIM(A263),"'","''")&amp;"' AND estado = 1 LIMIT 1)"&amp;" AND upper(x.direccion) = upper("&amp;IF(TRIM(D263&amp;"")="","NULL","'"&amp;SUBSTITUTE(TRIM(D263),"'","''")&amp;"'")&amp;"));")</f>
        <v/>
      </c>
    </row>
    <row r="264" ht="15.75" customHeight="1" s="64">
      <c r="A264" s="23" t="n"/>
      <c r="B264" s="25">
        <f t="array" ref="B264">IF(A264="","",IFERROR(IF(INDEX(Clientes!$D$5:$D$549,MATCH(A264,Clientes!$C$5:$C$549,0))&lt;&gt;"",INDEX(Clientes!$D$5:$D$549,MATCH(A264,Clientes!$C$5:$C$549,0)),TRIM(INDEX(Clientes!$E$5:$E$549,MATCH(A264,Clientes!$C$5:$C$549,0))&amp;" "&amp;INDEX(Clientes!$F$5:$F$549,MATCH(A264,Clientes!$C$5:$C$549,0)))),"NO EXISTE en Clientes"))</f>
        <v/>
      </c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>
        <f>IF(AND(A264="",D264=""),"",IF(A264="","FALTA doc. cliente",IF(B264="NO EXISTE en Clientes","CLIENTE no está en hoja Clientes",IF(D264="","FALTA dirección",IF(AND(H264&lt;&gt;"",OR(F264="",G264="")),"Distrito requiere departamento y provincia",IF(AND(G264&lt;&gt;"",F264=""),"Provincia requiere departamento",IF((I264&lt;&gt;"")&lt;&gt;(J264&lt;&gt;""),"Latitud y longitud van juntas","OK")))))))</f>
        <v/>
      </c>
      <c r="M264" s="28">
        <f>IF(L264&lt;&gt;"OK","","INSERT INTO cli_direcciones (id_cliente, descripcion, direccion, referencia, id_departamento, id_provincia, id_distrito, latitud, longitud, es_principal, estado) SELECT "&amp;"(SELECT id FROM cli_clientes WHERE numero_documento = '"&amp;SUBSTITUTE(TRIM(A264),"'","''")&amp;"' AND estado = 1 LIMIT 1)"&amp;", "&amp;IF(TRIM(C264&amp;"")="","NULL","'"&amp;SUBSTITUTE(TRIM(C264),"'","''")&amp;"'")&amp;", "&amp;IF(TRIM(D264&amp;"")="","NULL","'"&amp;SUBSTITUTE(TRIM(D264),"'","''")&amp;"'")&amp;", "&amp;IF(TRIM(E264&amp;"")="","NULL","'"&amp;SUBSTITUTE(TRIM(E264),"'","''")&amp;"'")&amp;", "&amp;IF(TRIM(F264&amp;"")="","NULL","(SELECT id FROM gen_departamento WHERE upper(nombre) = upper('"&amp;SUBSTITUTE(TRIM(F264),"'","''")&amp;"') AND estado = 1 LIMIT 1)")&amp;", "&amp;IF(OR(TRIM(F264&amp;"")="",TRIM(G264&amp;"")=""),"NULL","(SELECT p.id FROM gen_provincia p JOIN gen_departamento dp ON dp.id = p.id_departamento WHERE upper(p.nombre) = upper('"&amp;SUBSTITUTE(TRIM(G264),"'","''")&amp;"') AND upper(dp.nombre) = upper('"&amp;SUBSTITUTE(TRIM(F264),"'","''")&amp;"') AND p.estado = 1 LIMIT 1)")&amp;", "&amp;IF(OR(TRIM(F264&amp;"")="",TRIM(G264&amp;"")="",TRIM(H264&amp;"")=""),"NULL","(SELECT d.id FROM gen_distrito d JOIN gen_provincia p ON p.id = d.id_provincia JOIN gen_departamento dp ON dp.id = p.id_departamento WHERE upper(d.nombre) = upper('"&amp;SUBSTITUTE(TRIM(H264),"'","''")&amp;"') AND upper(p.nombre) = upper('"&amp;SUBSTITUTE(TRIM(G264),"'","''")&amp;"') AND upper(dp.nombre) = upper('"&amp;SUBSTITUTE(TRIM(F264),"'","''")&amp;"') AND d.estado = 1 LIMIT 1)")&amp;", "&amp;IF(I264&amp;""="","NULL",SUBSTITUTE(I264&amp;"",",","."))&amp;", "&amp;IF(J264&amp;""="","NULL",SUBSTITUTE(J264&amp;"",",","."))&amp;", "&amp;IF(UPPER(TRIM(K264&amp;""))="SI","TRUE","FALSE")&amp;", 1"&amp;" WHERE NOT EXISTS (SELECT 1 FROM cli_direcciones x WHERE x.id_cliente = "&amp;"(SELECT id FROM cli_clientes WHERE numero_documento = '"&amp;SUBSTITUTE(TRIM(A264),"'","''")&amp;"' AND estado = 1 LIMIT 1)"&amp;" AND upper(x.direccion) = upper("&amp;IF(TRIM(D264&amp;"")="","NULL","'"&amp;SUBSTITUTE(TRIM(D264),"'","''")&amp;"'")&amp;"));")</f>
        <v/>
      </c>
    </row>
    <row r="265" ht="15.75" customHeight="1" s="64">
      <c r="A265" s="23" t="n"/>
      <c r="B265" s="25">
        <f t="array" ref="B265">IF(A265="","",IFERROR(IF(INDEX(Clientes!$D$5:$D$549,MATCH(A265,Clientes!$C$5:$C$549,0))&lt;&gt;"",INDEX(Clientes!$D$5:$D$549,MATCH(A265,Clientes!$C$5:$C$549,0)),TRIM(INDEX(Clientes!$E$5:$E$549,MATCH(A265,Clientes!$C$5:$C$549,0))&amp;" "&amp;INDEX(Clientes!$F$5:$F$549,MATCH(A265,Clientes!$C$5:$C$549,0)))),"NO EXISTE en Clientes"))</f>
        <v/>
      </c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>
        <f>IF(AND(A265="",D265=""),"",IF(A265="","FALTA doc. cliente",IF(B265="NO EXISTE en Clientes","CLIENTE no está en hoja Clientes",IF(D265="","FALTA dirección",IF(AND(H265&lt;&gt;"",OR(F265="",G265="")),"Distrito requiere departamento y provincia",IF(AND(G265&lt;&gt;"",F265=""),"Provincia requiere departamento",IF((I265&lt;&gt;"")&lt;&gt;(J265&lt;&gt;""),"Latitud y longitud van juntas","OK")))))))</f>
        <v/>
      </c>
      <c r="M265" s="28">
        <f>IF(L265&lt;&gt;"OK","","INSERT INTO cli_direcciones (id_cliente, descripcion, direccion, referencia, id_departamento, id_provincia, id_distrito, latitud, longitud, es_principal, estado) SELECT "&amp;"(SELECT id FROM cli_clientes WHERE numero_documento = '"&amp;SUBSTITUTE(TRIM(A265),"'","''")&amp;"' AND estado = 1 LIMIT 1)"&amp;", "&amp;IF(TRIM(C265&amp;"")="","NULL","'"&amp;SUBSTITUTE(TRIM(C265),"'","''")&amp;"'")&amp;", "&amp;IF(TRIM(D265&amp;"")="","NULL","'"&amp;SUBSTITUTE(TRIM(D265),"'","''")&amp;"'")&amp;", "&amp;IF(TRIM(E265&amp;"")="","NULL","'"&amp;SUBSTITUTE(TRIM(E265),"'","''")&amp;"'")&amp;", "&amp;IF(TRIM(F265&amp;"")="","NULL","(SELECT id FROM gen_departamento WHERE upper(nombre) = upper('"&amp;SUBSTITUTE(TRIM(F265),"'","''")&amp;"') AND estado = 1 LIMIT 1)")&amp;", "&amp;IF(OR(TRIM(F265&amp;"")="",TRIM(G265&amp;"")=""),"NULL","(SELECT p.id FROM gen_provincia p JOIN gen_departamento dp ON dp.id = p.id_departamento WHERE upper(p.nombre) = upper('"&amp;SUBSTITUTE(TRIM(G265),"'","''")&amp;"') AND upper(dp.nombre) = upper('"&amp;SUBSTITUTE(TRIM(F265),"'","''")&amp;"') AND p.estado = 1 LIMIT 1)")&amp;", "&amp;IF(OR(TRIM(F265&amp;"")="",TRIM(G265&amp;"")="",TRIM(H265&amp;"")=""),"NULL","(SELECT d.id FROM gen_distrito d JOIN gen_provincia p ON p.id = d.id_provincia JOIN gen_departamento dp ON dp.id = p.id_departamento WHERE upper(d.nombre) = upper('"&amp;SUBSTITUTE(TRIM(H265),"'","''")&amp;"') AND upper(p.nombre) = upper('"&amp;SUBSTITUTE(TRIM(G265),"'","''")&amp;"') AND upper(dp.nombre) = upper('"&amp;SUBSTITUTE(TRIM(F265),"'","''")&amp;"') AND d.estado = 1 LIMIT 1)")&amp;", "&amp;IF(I265&amp;""="","NULL",SUBSTITUTE(I265&amp;"",",","."))&amp;", "&amp;IF(J265&amp;""="","NULL",SUBSTITUTE(J265&amp;"",",","."))&amp;", "&amp;IF(UPPER(TRIM(K265&amp;""))="SI","TRUE","FALSE")&amp;", 1"&amp;" WHERE NOT EXISTS (SELECT 1 FROM cli_direcciones x WHERE x.id_cliente = "&amp;"(SELECT id FROM cli_clientes WHERE numero_documento = '"&amp;SUBSTITUTE(TRIM(A265),"'","''")&amp;"' AND estado = 1 LIMIT 1)"&amp;" AND upper(x.direccion) = upper("&amp;IF(TRIM(D265&amp;"")="","NULL","'"&amp;SUBSTITUTE(TRIM(D265),"'","''")&amp;"'")&amp;"));")</f>
        <v/>
      </c>
    </row>
    <row r="266" ht="15.75" customHeight="1" s="64">
      <c r="A266" s="23" t="n"/>
      <c r="B266" s="25">
        <f t="array" ref="B266">IF(A266="","",IFERROR(IF(INDEX(Clientes!$D$5:$D$549,MATCH(A266,Clientes!$C$5:$C$549,0))&lt;&gt;"",INDEX(Clientes!$D$5:$D$549,MATCH(A266,Clientes!$C$5:$C$549,0)),TRIM(INDEX(Clientes!$E$5:$E$549,MATCH(A266,Clientes!$C$5:$C$549,0))&amp;" "&amp;INDEX(Clientes!$F$5:$F$549,MATCH(A266,Clientes!$C$5:$C$549,0)))),"NO EXISTE en Clientes"))</f>
        <v/>
      </c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>
        <f>IF(AND(A266="",D266=""),"",IF(A266="","FALTA doc. cliente",IF(B266="NO EXISTE en Clientes","CLIENTE no está en hoja Clientes",IF(D266="","FALTA dirección",IF(AND(H266&lt;&gt;"",OR(F266="",G266="")),"Distrito requiere departamento y provincia",IF(AND(G266&lt;&gt;"",F266=""),"Provincia requiere departamento",IF((I266&lt;&gt;"")&lt;&gt;(J266&lt;&gt;""),"Latitud y longitud van juntas","OK")))))))</f>
        <v/>
      </c>
      <c r="M266" s="28">
        <f>IF(L266&lt;&gt;"OK","","INSERT INTO cli_direcciones (id_cliente, descripcion, direccion, referencia, id_departamento, id_provincia, id_distrito, latitud, longitud, es_principal, estado) SELECT "&amp;"(SELECT id FROM cli_clientes WHERE numero_documento = '"&amp;SUBSTITUTE(TRIM(A266),"'","''")&amp;"' AND estado = 1 LIMIT 1)"&amp;", "&amp;IF(TRIM(C266&amp;"")="","NULL","'"&amp;SUBSTITUTE(TRIM(C266),"'","''")&amp;"'")&amp;", "&amp;IF(TRIM(D266&amp;"")="","NULL","'"&amp;SUBSTITUTE(TRIM(D266),"'","''")&amp;"'")&amp;", "&amp;IF(TRIM(E266&amp;"")="","NULL","'"&amp;SUBSTITUTE(TRIM(E266),"'","''")&amp;"'")&amp;", "&amp;IF(TRIM(F266&amp;"")="","NULL","(SELECT id FROM gen_departamento WHERE upper(nombre) = upper('"&amp;SUBSTITUTE(TRIM(F266),"'","''")&amp;"') AND estado = 1 LIMIT 1)")&amp;", "&amp;IF(OR(TRIM(F266&amp;"")="",TRIM(G266&amp;"")=""),"NULL","(SELECT p.id FROM gen_provincia p JOIN gen_departamento dp ON dp.id = p.id_departamento WHERE upper(p.nombre) = upper('"&amp;SUBSTITUTE(TRIM(G266),"'","''")&amp;"') AND upper(dp.nombre) = upper('"&amp;SUBSTITUTE(TRIM(F266),"'","''")&amp;"') AND p.estado = 1 LIMIT 1)")&amp;", "&amp;IF(OR(TRIM(F266&amp;"")="",TRIM(G266&amp;"")="",TRIM(H266&amp;"")=""),"NULL","(SELECT d.id FROM gen_distrito d JOIN gen_provincia p ON p.id = d.id_provincia JOIN gen_departamento dp ON dp.id = p.id_departamento WHERE upper(d.nombre) = upper('"&amp;SUBSTITUTE(TRIM(H266),"'","''")&amp;"') AND upper(p.nombre) = upper('"&amp;SUBSTITUTE(TRIM(G266),"'","''")&amp;"') AND upper(dp.nombre) = upper('"&amp;SUBSTITUTE(TRIM(F266),"'","''")&amp;"') AND d.estado = 1 LIMIT 1)")&amp;", "&amp;IF(I266&amp;""="","NULL",SUBSTITUTE(I266&amp;"",",","."))&amp;", "&amp;IF(J266&amp;""="","NULL",SUBSTITUTE(J266&amp;"",",","."))&amp;", "&amp;IF(UPPER(TRIM(K266&amp;""))="SI","TRUE","FALSE")&amp;", 1"&amp;" WHERE NOT EXISTS (SELECT 1 FROM cli_direcciones x WHERE x.id_cliente = "&amp;"(SELECT id FROM cli_clientes WHERE numero_documento = '"&amp;SUBSTITUTE(TRIM(A266),"'","''")&amp;"' AND estado = 1 LIMIT 1)"&amp;" AND upper(x.direccion) = upper("&amp;IF(TRIM(D266&amp;"")="","NULL","'"&amp;SUBSTITUTE(TRIM(D266),"'","''")&amp;"'")&amp;"));")</f>
        <v/>
      </c>
    </row>
    <row r="267" ht="15.75" customHeight="1" s="64">
      <c r="A267" s="23" t="n"/>
      <c r="B267" s="25">
        <f t="array" ref="B267">IF(A267="","",IFERROR(IF(INDEX(Clientes!$D$5:$D$549,MATCH(A267,Clientes!$C$5:$C$549,0))&lt;&gt;"",INDEX(Clientes!$D$5:$D$549,MATCH(A267,Clientes!$C$5:$C$549,0)),TRIM(INDEX(Clientes!$E$5:$E$549,MATCH(A267,Clientes!$C$5:$C$549,0))&amp;" "&amp;INDEX(Clientes!$F$5:$F$549,MATCH(A267,Clientes!$C$5:$C$549,0)))),"NO EXISTE en Clientes"))</f>
        <v/>
      </c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>
        <f>IF(AND(A267="",D267=""),"",IF(A267="","FALTA doc. cliente",IF(B267="NO EXISTE en Clientes","CLIENTE no está en hoja Clientes",IF(D267="","FALTA dirección",IF(AND(H267&lt;&gt;"",OR(F267="",G267="")),"Distrito requiere departamento y provincia",IF(AND(G267&lt;&gt;"",F267=""),"Provincia requiere departamento",IF((I267&lt;&gt;"")&lt;&gt;(J267&lt;&gt;""),"Latitud y longitud van juntas","OK")))))))</f>
        <v/>
      </c>
      <c r="M267" s="28">
        <f>IF(L267&lt;&gt;"OK","","INSERT INTO cli_direcciones (id_cliente, descripcion, direccion, referencia, id_departamento, id_provincia, id_distrito, latitud, longitud, es_principal, estado) SELECT "&amp;"(SELECT id FROM cli_clientes WHERE numero_documento = '"&amp;SUBSTITUTE(TRIM(A267),"'","''")&amp;"' AND estado = 1 LIMIT 1)"&amp;", "&amp;IF(TRIM(C267&amp;"")="","NULL","'"&amp;SUBSTITUTE(TRIM(C267),"'","''")&amp;"'")&amp;", "&amp;IF(TRIM(D267&amp;"")="","NULL","'"&amp;SUBSTITUTE(TRIM(D267),"'","''")&amp;"'")&amp;", "&amp;IF(TRIM(E267&amp;"")="","NULL","'"&amp;SUBSTITUTE(TRIM(E267),"'","''")&amp;"'")&amp;", "&amp;IF(TRIM(F267&amp;"")="","NULL","(SELECT id FROM gen_departamento WHERE upper(nombre) = upper('"&amp;SUBSTITUTE(TRIM(F267),"'","''")&amp;"') AND estado = 1 LIMIT 1)")&amp;", "&amp;IF(OR(TRIM(F267&amp;"")="",TRIM(G267&amp;"")=""),"NULL","(SELECT p.id FROM gen_provincia p JOIN gen_departamento dp ON dp.id = p.id_departamento WHERE upper(p.nombre) = upper('"&amp;SUBSTITUTE(TRIM(G267),"'","''")&amp;"') AND upper(dp.nombre) = upper('"&amp;SUBSTITUTE(TRIM(F267),"'","''")&amp;"') AND p.estado = 1 LIMIT 1)")&amp;", "&amp;IF(OR(TRIM(F267&amp;"")="",TRIM(G267&amp;"")="",TRIM(H267&amp;"")=""),"NULL","(SELECT d.id FROM gen_distrito d JOIN gen_provincia p ON p.id = d.id_provincia JOIN gen_departamento dp ON dp.id = p.id_departamento WHERE upper(d.nombre) = upper('"&amp;SUBSTITUTE(TRIM(H267),"'","''")&amp;"') AND upper(p.nombre) = upper('"&amp;SUBSTITUTE(TRIM(G267),"'","''")&amp;"') AND upper(dp.nombre) = upper('"&amp;SUBSTITUTE(TRIM(F267),"'","''")&amp;"') AND d.estado = 1 LIMIT 1)")&amp;", "&amp;IF(I267&amp;""="","NULL",SUBSTITUTE(I267&amp;"",",","."))&amp;", "&amp;IF(J267&amp;""="","NULL",SUBSTITUTE(J267&amp;"",",","."))&amp;", "&amp;IF(UPPER(TRIM(K267&amp;""))="SI","TRUE","FALSE")&amp;", 1"&amp;" WHERE NOT EXISTS (SELECT 1 FROM cli_direcciones x WHERE x.id_cliente = "&amp;"(SELECT id FROM cli_clientes WHERE numero_documento = '"&amp;SUBSTITUTE(TRIM(A267),"'","''")&amp;"' AND estado = 1 LIMIT 1)"&amp;" AND upper(x.direccion) = upper("&amp;IF(TRIM(D267&amp;"")="","NULL","'"&amp;SUBSTITUTE(TRIM(D267),"'","''")&amp;"'")&amp;"));")</f>
        <v/>
      </c>
    </row>
    <row r="268" ht="15.75" customHeight="1" s="64">
      <c r="A268" s="23" t="n"/>
      <c r="B268" s="25">
        <f t="array" ref="B268">IF(A268="","",IFERROR(IF(INDEX(Clientes!$D$5:$D$549,MATCH(A268,Clientes!$C$5:$C$549,0))&lt;&gt;"",INDEX(Clientes!$D$5:$D$549,MATCH(A268,Clientes!$C$5:$C$549,0)),TRIM(INDEX(Clientes!$E$5:$E$549,MATCH(A268,Clientes!$C$5:$C$549,0))&amp;" "&amp;INDEX(Clientes!$F$5:$F$549,MATCH(A268,Clientes!$C$5:$C$549,0)))),"NO EXISTE en Clientes"))</f>
        <v/>
      </c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>
        <f>IF(AND(A268="",D268=""),"",IF(A268="","FALTA doc. cliente",IF(B268="NO EXISTE en Clientes","CLIENTE no está en hoja Clientes",IF(D268="","FALTA dirección",IF(AND(H268&lt;&gt;"",OR(F268="",G268="")),"Distrito requiere departamento y provincia",IF(AND(G268&lt;&gt;"",F268=""),"Provincia requiere departamento",IF((I268&lt;&gt;"")&lt;&gt;(J268&lt;&gt;""),"Latitud y longitud van juntas","OK")))))))</f>
        <v/>
      </c>
      <c r="M268" s="28">
        <f>IF(L268&lt;&gt;"OK","","INSERT INTO cli_direcciones (id_cliente, descripcion, direccion, referencia, id_departamento, id_provincia, id_distrito, latitud, longitud, es_principal, estado) SELECT "&amp;"(SELECT id FROM cli_clientes WHERE numero_documento = '"&amp;SUBSTITUTE(TRIM(A268),"'","''")&amp;"' AND estado = 1 LIMIT 1)"&amp;", "&amp;IF(TRIM(C268&amp;"")="","NULL","'"&amp;SUBSTITUTE(TRIM(C268),"'","''")&amp;"'")&amp;", "&amp;IF(TRIM(D268&amp;"")="","NULL","'"&amp;SUBSTITUTE(TRIM(D268),"'","''")&amp;"'")&amp;", "&amp;IF(TRIM(E268&amp;"")="","NULL","'"&amp;SUBSTITUTE(TRIM(E268),"'","''")&amp;"'")&amp;", "&amp;IF(TRIM(F268&amp;"")="","NULL","(SELECT id FROM gen_departamento WHERE upper(nombre) = upper('"&amp;SUBSTITUTE(TRIM(F268),"'","''")&amp;"') AND estado = 1 LIMIT 1)")&amp;", "&amp;IF(OR(TRIM(F268&amp;"")="",TRIM(G268&amp;"")=""),"NULL","(SELECT p.id FROM gen_provincia p JOIN gen_departamento dp ON dp.id = p.id_departamento WHERE upper(p.nombre) = upper('"&amp;SUBSTITUTE(TRIM(G268),"'","''")&amp;"') AND upper(dp.nombre) = upper('"&amp;SUBSTITUTE(TRIM(F268),"'","''")&amp;"') AND p.estado = 1 LIMIT 1)")&amp;", "&amp;IF(OR(TRIM(F268&amp;"")="",TRIM(G268&amp;"")="",TRIM(H268&amp;"")=""),"NULL","(SELECT d.id FROM gen_distrito d JOIN gen_provincia p ON p.id = d.id_provincia JOIN gen_departamento dp ON dp.id = p.id_departamento WHERE upper(d.nombre) = upper('"&amp;SUBSTITUTE(TRIM(H268),"'","''")&amp;"') AND upper(p.nombre) = upper('"&amp;SUBSTITUTE(TRIM(G268),"'","''")&amp;"') AND upper(dp.nombre) = upper('"&amp;SUBSTITUTE(TRIM(F268),"'","''")&amp;"') AND d.estado = 1 LIMIT 1)")&amp;", "&amp;IF(I268&amp;""="","NULL",SUBSTITUTE(I268&amp;"",",","."))&amp;", "&amp;IF(J268&amp;""="","NULL",SUBSTITUTE(J268&amp;"",",","."))&amp;", "&amp;IF(UPPER(TRIM(K268&amp;""))="SI","TRUE","FALSE")&amp;", 1"&amp;" WHERE NOT EXISTS (SELECT 1 FROM cli_direcciones x WHERE x.id_cliente = "&amp;"(SELECT id FROM cli_clientes WHERE numero_documento = '"&amp;SUBSTITUTE(TRIM(A268),"'","''")&amp;"' AND estado = 1 LIMIT 1)"&amp;" AND upper(x.direccion) = upper("&amp;IF(TRIM(D268&amp;"")="","NULL","'"&amp;SUBSTITUTE(TRIM(D268),"'","''")&amp;"'")&amp;"));")</f>
        <v/>
      </c>
    </row>
    <row r="269" ht="15.75" customHeight="1" s="64">
      <c r="A269" s="23" t="n"/>
      <c r="B269" s="25">
        <f t="array" ref="B269">IF(A269="","",IFERROR(IF(INDEX(Clientes!$D$5:$D$549,MATCH(A269,Clientes!$C$5:$C$549,0))&lt;&gt;"",INDEX(Clientes!$D$5:$D$549,MATCH(A269,Clientes!$C$5:$C$549,0)),TRIM(INDEX(Clientes!$E$5:$E$549,MATCH(A269,Clientes!$C$5:$C$549,0))&amp;" "&amp;INDEX(Clientes!$F$5:$F$549,MATCH(A269,Clientes!$C$5:$C$549,0)))),"NO EXISTE en Clientes"))</f>
        <v/>
      </c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>
        <f>IF(AND(A269="",D269=""),"",IF(A269="","FALTA doc. cliente",IF(B269="NO EXISTE en Clientes","CLIENTE no está en hoja Clientes",IF(D269="","FALTA dirección",IF(AND(H269&lt;&gt;"",OR(F269="",G269="")),"Distrito requiere departamento y provincia",IF(AND(G269&lt;&gt;"",F269=""),"Provincia requiere departamento",IF((I269&lt;&gt;"")&lt;&gt;(J269&lt;&gt;""),"Latitud y longitud van juntas","OK")))))))</f>
        <v/>
      </c>
      <c r="M269" s="28">
        <f>IF(L269&lt;&gt;"OK","","INSERT INTO cli_direcciones (id_cliente, descripcion, direccion, referencia, id_departamento, id_provincia, id_distrito, latitud, longitud, es_principal, estado) SELECT "&amp;"(SELECT id FROM cli_clientes WHERE numero_documento = '"&amp;SUBSTITUTE(TRIM(A269),"'","''")&amp;"' AND estado = 1 LIMIT 1)"&amp;", "&amp;IF(TRIM(C269&amp;"")="","NULL","'"&amp;SUBSTITUTE(TRIM(C269),"'","''")&amp;"'")&amp;", "&amp;IF(TRIM(D269&amp;"")="","NULL","'"&amp;SUBSTITUTE(TRIM(D269),"'","''")&amp;"'")&amp;", "&amp;IF(TRIM(E269&amp;"")="","NULL","'"&amp;SUBSTITUTE(TRIM(E269),"'","''")&amp;"'")&amp;", "&amp;IF(TRIM(F269&amp;"")="","NULL","(SELECT id FROM gen_departamento WHERE upper(nombre) = upper('"&amp;SUBSTITUTE(TRIM(F269),"'","''")&amp;"') AND estado = 1 LIMIT 1)")&amp;", "&amp;IF(OR(TRIM(F269&amp;"")="",TRIM(G269&amp;"")=""),"NULL","(SELECT p.id FROM gen_provincia p JOIN gen_departamento dp ON dp.id = p.id_departamento WHERE upper(p.nombre) = upper('"&amp;SUBSTITUTE(TRIM(G269),"'","''")&amp;"') AND upper(dp.nombre) = upper('"&amp;SUBSTITUTE(TRIM(F269),"'","''")&amp;"') AND p.estado = 1 LIMIT 1)")&amp;", "&amp;IF(OR(TRIM(F269&amp;"")="",TRIM(G269&amp;"")="",TRIM(H269&amp;"")=""),"NULL","(SELECT d.id FROM gen_distrito d JOIN gen_provincia p ON p.id = d.id_provincia JOIN gen_departamento dp ON dp.id = p.id_departamento WHERE upper(d.nombre) = upper('"&amp;SUBSTITUTE(TRIM(H269),"'","''")&amp;"') AND upper(p.nombre) = upper('"&amp;SUBSTITUTE(TRIM(G269),"'","''")&amp;"') AND upper(dp.nombre) = upper('"&amp;SUBSTITUTE(TRIM(F269),"'","''")&amp;"') AND d.estado = 1 LIMIT 1)")&amp;", "&amp;IF(I269&amp;""="","NULL",SUBSTITUTE(I269&amp;"",",","."))&amp;", "&amp;IF(J269&amp;""="","NULL",SUBSTITUTE(J269&amp;"",",","."))&amp;", "&amp;IF(UPPER(TRIM(K269&amp;""))="SI","TRUE","FALSE")&amp;", 1"&amp;" WHERE NOT EXISTS (SELECT 1 FROM cli_direcciones x WHERE x.id_cliente = "&amp;"(SELECT id FROM cli_clientes WHERE numero_documento = '"&amp;SUBSTITUTE(TRIM(A269),"'","''")&amp;"' AND estado = 1 LIMIT 1)"&amp;" AND upper(x.direccion) = upper("&amp;IF(TRIM(D269&amp;"")="","NULL","'"&amp;SUBSTITUTE(TRIM(D269),"'","''")&amp;"'")&amp;"));")</f>
        <v/>
      </c>
    </row>
    <row r="270" ht="15.75" customHeight="1" s="64">
      <c r="A270" s="23" t="n"/>
      <c r="B270" s="25">
        <f t="array" ref="B270">IF(A270="","",IFERROR(IF(INDEX(Clientes!$D$5:$D$549,MATCH(A270,Clientes!$C$5:$C$549,0))&lt;&gt;"",INDEX(Clientes!$D$5:$D$549,MATCH(A270,Clientes!$C$5:$C$549,0)),TRIM(INDEX(Clientes!$E$5:$E$549,MATCH(A270,Clientes!$C$5:$C$549,0))&amp;" "&amp;INDEX(Clientes!$F$5:$F$549,MATCH(A270,Clientes!$C$5:$C$549,0)))),"NO EXISTE en Clientes"))</f>
        <v/>
      </c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>
        <f>IF(AND(A270="",D270=""),"",IF(A270="","FALTA doc. cliente",IF(B270="NO EXISTE en Clientes","CLIENTE no está en hoja Clientes",IF(D270="","FALTA dirección",IF(AND(H270&lt;&gt;"",OR(F270="",G270="")),"Distrito requiere departamento y provincia",IF(AND(G270&lt;&gt;"",F270=""),"Provincia requiere departamento",IF((I270&lt;&gt;"")&lt;&gt;(J270&lt;&gt;""),"Latitud y longitud van juntas","OK")))))))</f>
        <v/>
      </c>
      <c r="M270" s="28">
        <f>IF(L270&lt;&gt;"OK","","INSERT INTO cli_direcciones (id_cliente, descripcion, direccion, referencia, id_departamento, id_provincia, id_distrito, latitud, longitud, es_principal, estado) SELECT "&amp;"(SELECT id FROM cli_clientes WHERE numero_documento = '"&amp;SUBSTITUTE(TRIM(A270),"'","''")&amp;"' AND estado = 1 LIMIT 1)"&amp;", "&amp;IF(TRIM(C270&amp;"")="","NULL","'"&amp;SUBSTITUTE(TRIM(C270),"'","''")&amp;"'")&amp;", "&amp;IF(TRIM(D270&amp;"")="","NULL","'"&amp;SUBSTITUTE(TRIM(D270),"'","''")&amp;"'")&amp;", "&amp;IF(TRIM(E270&amp;"")="","NULL","'"&amp;SUBSTITUTE(TRIM(E270),"'","''")&amp;"'")&amp;", "&amp;IF(TRIM(F270&amp;"")="","NULL","(SELECT id FROM gen_departamento WHERE upper(nombre) = upper('"&amp;SUBSTITUTE(TRIM(F270),"'","''")&amp;"') AND estado = 1 LIMIT 1)")&amp;", "&amp;IF(OR(TRIM(F270&amp;"")="",TRIM(G270&amp;"")=""),"NULL","(SELECT p.id FROM gen_provincia p JOIN gen_departamento dp ON dp.id = p.id_departamento WHERE upper(p.nombre) = upper('"&amp;SUBSTITUTE(TRIM(G270),"'","''")&amp;"') AND upper(dp.nombre) = upper('"&amp;SUBSTITUTE(TRIM(F270),"'","''")&amp;"') AND p.estado = 1 LIMIT 1)")&amp;", "&amp;IF(OR(TRIM(F270&amp;"")="",TRIM(G270&amp;"")="",TRIM(H270&amp;"")=""),"NULL","(SELECT d.id FROM gen_distrito d JOIN gen_provincia p ON p.id = d.id_provincia JOIN gen_departamento dp ON dp.id = p.id_departamento WHERE upper(d.nombre) = upper('"&amp;SUBSTITUTE(TRIM(H270),"'","''")&amp;"') AND upper(p.nombre) = upper('"&amp;SUBSTITUTE(TRIM(G270),"'","''")&amp;"') AND upper(dp.nombre) = upper('"&amp;SUBSTITUTE(TRIM(F270),"'","''")&amp;"') AND d.estado = 1 LIMIT 1)")&amp;", "&amp;IF(I270&amp;""="","NULL",SUBSTITUTE(I270&amp;"",",","."))&amp;", "&amp;IF(J270&amp;""="","NULL",SUBSTITUTE(J270&amp;"",",","."))&amp;", "&amp;IF(UPPER(TRIM(K270&amp;""))="SI","TRUE","FALSE")&amp;", 1"&amp;" WHERE NOT EXISTS (SELECT 1 FROM cli_direcciones x WHERE x.id_cliente = "&amp;"(SELECT id FROM cli_clientes WHERE numero_documento = '"&amp;SUBSTITUTE(TRIM(A270),"'","''")&amp;"' AND estado = 1 LIMIT 1)"&amp;" AND upper(x.direccion) = upper("&amp;IF(TRIM(D270&amp;"")="","NULL","'"&amp;SUBSTITUTE(TRIM(D270),"'","''")&amp;"'")&amp;"));")</f>
        <v/>
      </c>
    </row>
    <row r="271" ht="15.75" customHeight="1" s="64">
      <c r="A271" s="23" t="n"/>
      <c r="B271" s="25">
        <f t="array" ref="B271">IF(A271="","",IFERROR(IF(INDEX(Clientes!$D$5:$D$549,MATCH(A271,Clientes!$C$5:$C$549,0))&lt;&gt;"",INDEX(Clientes!$D$5:$D$549,MATCH(A271,Clientes!$C$5:$C$549,0)),TRIM(INDEX(Clientes!$E$5:$E$549,MATCH(A271,Clientes!$C$5:$C$549,0))&amp;" "&amp;INDEX(Clientes!$F$5:$F$549,MATCH(A271,Clientes!$C$5:$C$549,0)))),"NO EXISTE en Clientes"))</f>
        <v/>
      </c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>
        <f>IF(AND(A271="",D271=""),"",IF(A271="","FALTA doc. cliente",IF(B271="NO EXISTE en Clientes","CLIENTE no está en hoja Clientes",IF(D271="","FALTA dirección",IF(AND(H271&lt;&gt;"",OR(F271="",G271="")),"Distrito requiere departamento y provincia",IF(AND(G271&lt;&gt;"",F271=""),"Provincia requiere departamento",IF((I271&lt;&gt;"")&lt;&gt;(J271&lt;&gt;""),"Latitud y longitud van juntas","OK")))))))</f>
        <v/>
      </c>
      <c r="M271" s="28">
        <f>IF(L271&lt;&gt;"OK","","INSERT INTO cli_direcciones (id_cliente, descripcion, direccion, referencia, id_departamento, id_provincia, id_distrito, latitud, longitud, es_principal, estado) SELECT "&amp;"(SELECT id FROM cli_clientes WHERE numero_documento = '"&amp;SUBSTITUTE(TRIM(A271),"'","''")&amp;"' AND estado = 1 LIMIT 1)"&amp;", "&amp;IF(TRIM(C271&amp;"")="","NULL","'"&amp;SUBSTITUTE(TRIM(C271),"'","''")&amp;"'")&amp;", "&amp;IF(TRIM(D271&amp;"")="","NULL","'"&amp;SUBSTITUTE(TRIM(D271),"'","''")&amp;"'")&amp;", "&amp;IF(TRIM(E271&amp;"")="","NULL","'"&amp;SUBSTITUTE(TRIM(E271),"'","''")&amp;"'")&amp;", "&amp;IF(TRIM(F271&amp;"")="","NULL","(SELECT id FROM gen_departamento WHERE upper(nombre) = upper('"&amp;SUBSTITUTE(TRIM(F271),"'","''")&amp;"') AND estado = 1 LIMIT 1)")&amp;", "&amp;IF(OR(TRIM(F271&amp;"")="",TRIM(G271&amp;"")=""),"NULL","(SELECT p.id FROM gen_provincia p JOIN gen_departamento dp ON dp.id = p.id_departamento WHERE upper(p.nombre) = upper('"&amp;SUBSTITUTE(TRIM(G271),"'","''")&amp;"') AND upper(dp.nombre) = upper('"&amp;SUBSTITUTE(TRIM(F271),"'","''")&amp;"') AND p.estado = 1 LIMIT 1)")&amp;", "&amp;IF(OR(TRIM(F271&amp;"")="",TRIM(G271&amp;"")="",TRIM(H271&amp;"")=""),"NULL","(SELECT d.id FROM gen_distrito d JOIN gen_provincia p ON p.id = d.id_provincia JOIN gen_departamento dp ON dp.id = p.id_departamento WHERE upper(d.nombre) = upper('"&amp;SUBSTITUTE(TRIM(H271),"'","''")&amp;"') AND upper(p.nombre) = upper('"&amp;SUBSTITUTE(TRIM(G271),"'","''")&amp;"') AND upper(dp.nombre) = upper('"&amp;SUBSTITUTE(TRIM(F271),"'","''")&amp;"') AND d.estado = 1 LIMIT 1)")&amp;", "&amp;IF(I271&amp;""="","NULL",SUBSTITUTE(I271&amp;"",",","."))&amp;", "&amp;IF(J271&amp;""="","NULL",SUBSTITUTE(J271&amp;"",",","."))&amp;", "&amp;IF(UPPER(TRIM(K271&amp;""))="SI","TRUE","FALSE")&amp;", 1"&amp;" WHERE NOT EXISTS (SELECT 1 FROM cli_direcciones x WHERE x.id_cliente = "&amp;"(SELECT id FROM cli_clientes WHERE numero_documento = '"&amp;SUBSTITUTE(TRIM(A271),"'","''")&amp;"' AND estado = 1 LIMIT 1)"&amp;" AND upper(x.direccion) = upper("&amp;IF(TRIM(D271&amp;"")="","NULL","'"&amp;SUBSTITUTE(TRIM(D271),"'","''")&amp;"'")&amp;"));")</f>
        <v/>
      </c>
    </row>
    <row r="272" ht="15.75" customHeight="1" s="64">
      <c r="A272" s="23" t="n"/>
      <c r="B272" s="25">
        <f t="array" ref="B272">IF(A272="","",IFERROR(IF(INDEX(Clientes!$D$5:$D$549,MATCH(A272,Clientes!$C$5:$C$549,0))&lt;&gt;"",INDEX(Clientes!$D$5:$D$549,MATCH(A272,Clientes!$C$5:$C$549,0)),TRIM(INDEX(Clientes!$E$5:$E$549,MATCH(A272,Clientes!$C$5:$C$549,0))&amp;" "&amp;INDEX(Clientes!$F$5:$F$549,MATCH(A272,Clientes!$C$5:$C$549,0)))),"NO EXISTE en Clientes"))</f>
        <v/>
      </c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>
        <f>IF(AND(A272="",D272=""),"",IF(A272="","FALTA doc. cliente",IF(B272="NO EXISTE en Clientes","CLIENTE no está en hoja Clientes",IF(D272="","FALTA dirección",IF(AND(H272&lt;&gt;"",OR(F272="",G272="")),"Distrito requiere departamento y provincia",IF(AND(G272&lt;&gt;"",F272=""),"Provincia requiere departamento",IF((I272&lt;&gt;"")&lt;&gt;(J272&lt;&gt;""),"Latitud y longitud van juntas","OK")))))))</f>
        <v/>
      </c>
      <c r="M272" s="28">
        <f>IF(L272&lt;&gt;"OK","","INSERT INTO cli_direcciones (id_cliente, descripcion, direccion, referencia, id_departamento, id_provincia, id_distrito, latitud, longitud, es_principal, estado) SELECT "&amp;"(SELECT id FROM cli_clientes WHERE numero_documento = '"&amp;SUBSTITUTE(TRIM(A272),"'","''")&amp;"' AND estado = 1 LIMIT 1)"&amp;", "&amp;IF(TRIM(C272&amp;"")="","NULL","'"&amp;SUBSTITUTE(TRIM(C272),"'","''")&amp;"'")&amp;", "&amp;IF(TRIM(D272&amp;"")="","NULL","'"&amp;SUBSTITUTE(TRIM(D272),"'","''")&amp;"'")&amp;", "&amp;IF(TRIM(E272&amp;"")="","NULL","'"&amp;SUBSTITUTE(TRIM(E272),"'","''")&amp;"'")&amp;", "&amp;IF(TRIM(F272&amp;"")="","NULL","(SELECT id FROM gen_departamento WHERE upper(nombre) = upper('"&amp;SUBSTITUTE(TRIM(F272),"'","''")&amp;"') AND estado = 1 LIMIT 1)")&amp;", "&amp;IF(OR(TRIM(F272&amp;"")="",TRIM(G272&amp;"")=""),"NULL","(SELECT p.id FROM gen_provincia p JOIN gen_departamento dp ON dp.id = p.id_departamento WHERE upper(p.nombre) = upper('"&amp;SUBSTITUTE(TRIM(G272),"'","''")&amp;"') AND upper(dp.nombre) = upper('"&amp;SUBSTITUTE(TRIM(F272),"'","''")&amp;"') AND p.estado = 1 LIMIT 1)")&amp;", "&amp;IF(OR(TRIM(F272&amp;"")="",TRIM(G272&amp;"")="",TRIM(H272&amp;"")=""),"NULL","(SELECT d.id FROM gen_distrito d JOIN gen_provincia p ON p.id = d.id_provincia JOIN gen_departamento dp ON dp.id = p.id_departamento WHERE upper(d.nombre) = upper('"&amp;SUBSTITUTE(TRIM(H272),"'","''")&amp;"') AND upper(p.nombre) = upper('"&amp;SUBSTITUTE(TRIM(G272),"'","''")&amp;"') AND upper(dp.nombre) = upper('"&amp;SUBSTITUTE(TRIM(F272),"'","''")&amp;"') AND d.estado = 1 LIMIT 1)")&amp;", "&amp;IF(I272&amp;""="","NULL",SUBSTITUTE(I272&amp;"",",","."))&amp;", "&amp;IF(J272&amp;""="","NULL",SUBSTITUTE(J272&amp;"",",","."))&amp;", "&amp;IF(UPPER(TRIM(K272&amp;""))="SI","TRUE","FALSE")&amp;", 1"&amp;" WHERE NOT EXISTS (SELECT 1 FROM cli_direcciones x WHERE x.id_cliente = "&amp;"(SELECT id FROM cli_clientes WHERE numero_documento = '"&amp;SUBSTITUTE(TRIM(A272),"'","''")&amp;"' AND estado = 1 LIMIT 1)"&amp;" AND upper(x.direccion) = upper("&amp;IF(TRIM(D272&amp;"")="","NULL","'"&amp;SUBSTITUTE(TRIM(D272),"'","''")&amp;"'")&amp;"));")</f>
        <v/>
      </c>
    </row>
    <row r="273" ht="15.75" customHeight="1" s="64">
      <c r="A273" s="23" t="n"/>
      <c r="B273" s="25">
        <f t="array" ref="B273">IF(A273="","",IFERROR(IF(INDEX(Clientes!$D$5:$D$549,MATCH(A273,Clientes!$C$5:$C$549,0))&lt;&gt;"",INDEX(Clientes!$D$5:$D$549,MATCH(A273,Clientes!$C$5:$C$549,0)),TRIM(INDEX(Clientes!$E$5:$E$549,MATCH(A273,Clientes!$C$5:$C$549,0))&amp;" "&amp;INDEX(Clientes!$F$5:$F$549,MATCH(A273,Clientes!$C$5:$C$549,0)))),"NO EXISTE en Clientes"))</f>
        <v/>
      </c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>
        <f>IF(AND(A273="",D273=""),"",IF(A273="","FALTA doc. cliente",IF(B273="NO EXISTE en Clientes","CLIENTE no está en hoja Clientes",IF(D273="","FALTA dirección",IF(AND(H273&lt;&gt;"",OR(F273="",G273="")),"Distrito requiere departamento y provincia",IF(AND(G273&lt;&gt;"",F273=""),"Provincia requiere departamento",IF((I273&lt;&gt;"")&lt;&gt;(J273&lt;&gt;""),"Latitud y longitud van juntas","OK")))))))</f>
        <v/>
      </c>
      <c r="M273" s="28">
        <f>IF(L273&lt;&gt;"OK","","INSERT INTO cli_direcciones (id_cliente, descripcion, direccion, referencia, id_departamento, id_provincia, id_distrito, latitud, longitud, es_principal, estado) SELECT "&amp;"(SELECT id FROM cli_clientes WHERE numero_documento = '"&amp;SUBSTITUTE(TRIM(A273),"'","''")&amp;"' AND estado = 1 LIMIT 1)"&amp;", "&amp;IF(TRIM(C273&amp;"")="","NULL","'"&amp;SUBSTITUTE(TRIM(C273),"'","''")&amp;"'")&amp;", "&amp;IF(TRIM(D273&amp;"")="","NULL","'"&amp;SUBSTITUTE(TRIM(D273),"'","''")&amp;"'")&amp;", "&amp;IF(TRIM(E273&amp;"")="","NULL","'"&amp;SUBSTITUTE(TRIM(E273),"'","''")&amp;"'")&amp;", "&amp;IF(TRIM(F273&amp;"")="","NULL","(SELECT id FROM gen_departamento WHERE upper(nombre) = upper('"&amp;SUBSTITUTE(TRIM(F273),"'","''")&amp;"') AND estado = 1 LIMIT 1)")&amp;", "&amp;IF(OR(TRIM(F273&amp;"")="",TRIM(G273&amp;"")=""),"NULL","(SELECT p.id FROM gen_provincia p JOIN gen_departamento dp ON dp.id = p.id_departamento WHERE upper(p.nombre) = upper('"&amp;SUBSTITUTE(TRIM(G273),"'","''")&amp;"') AND upper(dp.nombre) = upper('"&amp;SUBSTITUTE(TRIM(F273),"'","''")&amp;"') AND p.estado = 1 LIMIT 1)")&amp;", "&amp;IF(OR(TRIM(F273&amp;"")="",TRIM(G273&amp;"")="",TRIM(H273&amp;"")=""),"NULL","(SELECT d.id FROM gen_distrito d JOIN gen_provincia p ON p.id = d.id_provincia JOIN gen_departamento dp ON dp.id = p.id_departamento WHERE upper(d.nombre) = upper('"&amp;SUBSTITUTE(TRIM(H273),"'","''")&amp;"') AND upper(p.nombre) = upper('"&amp;SUBSTITUTE(TRIM(G273),"'","''")&amp;"') AND upper(dp.nombre) = upper('"&amp;SUBSTITUTE(TRIM(F273),"'","''")&amp;"') AND d.estado = 1 LIMIT 1)")&amp;", "&amp;IF(I273&amp;""="","NULL",SUBSTITUTE(I273&amp;"",",","."))&amp;", "&amp;IF(J273&amp;""="","NULL",SUBSTITUTE(J273&amp;"",",","."))&amp;", "&amp;IF(UPPER(TRIM(K273&amp;""))="SI","TRUE","FALSE")&amp;", 1"&amp;" WHERE NOT EXISTS (SELECT 1 FROM cli_direcciones x WHERE x.id_cliente = "&amp;"(SELECT id FROM cli_clientes WHERE numero_documento = '"&amp;SUBSTITUTE(TRIM(A273),"'","''")&amp;"' AND estado = 1 LIMIT 1)"&amp;" AND upper(x.direccion) = upper("&amp;IF(TRIM(D273&amp;"")="","NULL","'"&amp;SUBSTITUTE(TRIM(D273),"'","''")&amp;"'")&amp;"));")</f>
        <v/>
      </c>
    </row>
    <row r="274" ht="15.75" customHeight="1" s="64">
      <c r="A274" s="23" t="n"/>
      <c r="B274" s="25">
        <f t="array" ref="B274">IF(A274="","",IFERROR(IF(INDEX(Clientes!$D$5:$D$549,MATCH(A274,Clientes!$C$5:$C$549,0))&lt;&gt;"",INDEX(Clientes!$D$5:$D$549,MATCH(A274,Clientes!$C$5:$C$549,0)),TRIM(INDEX(Clientes!$E$5:$E$549,MATCH(A274,Clientes!$C$5:$C$549,0))&amp;" "&amp;INDEX(Clientes!$F$5:$F$549,MATCH(A274,Clientes!$C$5:$C$549,0)))),"NO EXISTE en Clientes"))</f>
        <v/>
      </c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>
        <f>IF(AND(A274="",D274=""),"",IF(A274="","FALTA doc. cliente",IF(B274="NO EXISTE en Clientes","CLIENTE no está en hoja Clientes",IF(D274="","FALTA dirección",IF(AND(H274&lt;&gt;"",OR(F274="",G274="")),"Distrito requiere departamento y provincia",IF(AND(G274&lt;&gt;"",F274=""),"Provincia requiere departamento",IF((I274&lt;&gt;"")&lt;&gt;(J274&lt;&gt;""),"Latitud y longitud van juntas","OK")))))))</f>
        <v/>
      </c>
      <c r="M274" s="28">
        <f>IF(L274&lt;&gt;"OK","","INSERT INTO cli_direcciones (id_cliente, descripcion, direccion, referencia, id_departamento, id_provincia, id_distrito, latitud, longitud, es_principal, estado) SELECT "&amp;"(SELECT id FROM cli_clientes WHERE numero_documento = '"&amp;SUBSTITUTE(TRIM(A274),"'","''")&amp;"' AND estado = 1 LIMIT 1)"&amp;", "&amp;IF(TRIM(C274&amp;"")="","NULL","'"&amp;SUBSTITUTE(TRIM(C274),"'","''")&amp;"'")&amp;", "&amp;IF(TRIM(D274&amp;"")="","NULL","'"&amp;SUBSTITUTE(TRIM(D274),"'","''")&amp;"'")&amp;", "&amp;IF(TRIM(E274&amp;"")="","NULL","'"&amp;SUBSTITUTE(TRIM(E274),"'","''")&amp;"'")&amp;", "&amp;IF(TRIM(F274&amp;"")="","NULL","(SELECT id FROM gen_departamento WHERE upper(nombre) = upper('"&amp;SUBSTITUTE(TRIM(F274),"'","''")&amp;"') AND estado = 1 LIMIT 1)")&amp;", "&amp;IF(OR(TRIM(F274&amp;"")="",TRIM(G274&amp;"")=""),"NULL","(SELECT p.id FROM gen_provincia p JOIN gen_departamento dp ON dp.id = p.id_departamento WHERE upper(p.nombre) = upper('"&amp;SUBSTITUTE(TRIM(G274),"'","''")&amp;"') AND upper(dp.nombre) = upper('"&amp;SUBSTITUTE(TRIM(F274),"'","''")&amp;"') AND p.estado = 1 LIMIT 1)")&amp;", "&amp;IF(OR(TRIM(F274&amp;"")="",TRIM(G274&amp;"")="",TRIM(H274&amp;"")=""),"NULL","(SELECT d.id FROM gen_distrito d JOIN gen_provincia p ON p.id = d.id_provincia JOIN gen_departamento dp ON dp.id = p.id_departamento WHERE upper(d.nombre) = upper('"&amp;SUBSTITUTE(TRIM(H274),"'","''")&amp;"') AND upper(p.nombre) = upper('"&amp;SUBSTITUTE(TRIM(G274),"'","''")&amp;"') AND upper(dp.nombre) = upper('"&amp;SUBSTITUTE(TRIM(F274),"'","''")&amp;"') AND d.estado = 1 LIMIT 1)")&amp;", "&amp;IF(I274&amp;""="","NULL",SUBSTITUTE(I274&amp;"",",","."))&amp;", "&amp;IF(J274&amp;""="","NULL",SUBSTITUTE(J274&amp;"",",","."))&amp;", "&amp;IF(UPPER(TRIM(K274&amp;""))="SI","TRUE","FALSE")&amp;", 1"&amp;" WHERE NOT EXISTS (SELECT 1 FROM cli_direcciones x WHERE x.id_cliente = "&amp;"(SELECT id FROM cli_clientes WHERE numero_documento = '"&amp;SUBSTITUTE(TRIM(A274),"'","''")&amp;"' AND estado = 1 LIMIT 1)"&amp;" AND upper(x.direccion) = upper("&amp;IF(TRIM(D274&amp;"")="","NULL","'"&amp;SUBSTITUTE(TRIM(D274),"'","''")&amp;"'")&amp;"));")</f>
        <v/>
      </c>
    </row>
    <row r="275" ht="15.75" customHeight="1" s="64">
      <c r="A275" s="23" t="n"/>
      <c r="B275" s="25">
        <f t="array" ref="B275">IF(A275="","",IFERROR(IF(INDEX(Clientes!$D$5:$D$549,MATCH(A275,Clientes!$C$5:$C$549,0))&lt;&gt;"",INDEX(Clientes!$D$5:$D$549,MATCH(A275,Clientes!$C$5:$C$549,0)),TRIM(INDEX(Clientes!$E$5:$E$549,MATCH(A275,Clientes!$C$5:$C$549,0))&amp;" "&amp;INDEX(Clientes!$F$5:$F$549,MATCH(A275,Clientes!$C$5:$C$549,0)))),"NO EXISTE en Clientes"))</f>
        <v/>
      </c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>
        <f>IF(AND(A275="",D275=""),"",IF(A275="","FALTA doc. cliente",IF(B275="NO EXISTE en Clientes","CLIENTE no está en hoja Clientes",IF(D275="","FALTA dirección",IF(AND(H275&lt;&gt;"",OR(F275="",G275="")),"Distrito requiere departamento y provincia",IF(AND(G275&lt;&gt;"",F275=""),"Provincia requiere departamento",IF((I275&lt;&gt;"")&lt;&gt;(J275&lt;&gt;""),"Latitud y longitud van juntas","OK")))))))</f>
        <v/>
      </c>
      <c r="M275" s="28">
        <f>IF(L275&lt;&gt;"OK","","INSERT INTO cli_direcciones (id_cliente, descripcion, direccion, referencia, id_departamento, id_provincia, id_distrito, latitud, longitud, es_principal, estado) SELECT "&amp;"(SELECT id FROM cli_clientes WHERE numero_documento = '"&amp;SUBSTITUTE(TRIM(A275),"'","''")&amp;"' AND estado = 1 LIMIT 1)"&amp;", "&amp;IF(TRIM(C275&amp;"")="","NULL","'"&amp;SUBSTITUTE(TRIM(C275),"'","''")&amp;"'")&amp;", "&amp;IF(TRIM(D275&amp;"")="","NULL","'"&amp;SUBSTITUTE(TRIM(D275),"'","''")&amp;"'")&amp;", "&amp;IF(TRIM(E275&amp;"")="","NULL","'"&amp;SUBSTITUTE(TRIM(E275),"'","''")&amp;"'")&amp;", "&amp;IF(TRIM(F275&amp;"")="","NULL","(SELECT id FROM gen_departamento WHERE upper(nombre) = upper('"&amp;SUBSTITUTE(TRIM(F275),"'","''")&amp;"') AND estado = 1 LIMIT 1)")&amp;", "&amp;IF(OR(TRIM(F275&amp;"")="",TRIM(G275&amp;"")=""),"NULL","(SELECT p.id FROM gen_provincia p JOIN gen_departamento dp ON dp.id = p.id_departamento WHERE upper(p.nombre) = upper('"&amp;SUBSTITUTE(TRIM(G275),"'","''")&amp;"') AND upper(dp.nombre) = upper('"&amp;SUBSTITUTE(TRIM(F275),"'","''")&amp;"') AND p.estado = 1 LIMIT 1)")&amp;", "&amp;IF(OR(TRIM(F275&amp;"")="",TRIM(G275&amp;"")="",TRIM(H275&amp;"")=""),"NULL","(SELECT d.id FROM gen_distrito d JOIN gen_provincia p ON p.id = d.id_provincia JOIN gen_departamento dp ON dp.id = p.id_departamento WHERE upper(d.nombre) = upper('"&amp;SUBSTITUTE(TRIM(H275),"'","''")&amp;"') AND upper(p.nombre) = upper('"&amp;SUBSTITUTE(TRIM(G275),"'","''")&amp;"') AND upper(dp.nombre) = upper('"&amp;SUBSTITUTE(TRIM(F275),"'","''")&amp;"') AND d.estado = 1 LIMIT 1)")&amp;", "&amp;IF(I275&amp;""="","NULL",SUBSTITUTE(I275&amp;"",",","."))&amp;", "&amp;IF(J275&amp;""="","NULL",SUBSTITUTE(J275&amp;"",",","."))&amp;", "&amp;IF(UPPER(TRIM(K275&amp;""))="SI","TRUE","FALSE")&amp;", 1"&amp;" WHERE NOT EXISTS (SELECT 1 FROM cli_direcciones x WHERE x.id_cliente = "&amp;"(SELECT id FROM cli_clientes WHERE numero_documento = '"&amp;SUBSTITUTE(TRIM(A275),"'","''")&amp;"' AND estado = 1 LIMIT 1)"&amp;" AND upper(x.direccion) = upper("&amp;IF(TRIM(D275&amp;"")="","NULL","'"&amp;SUBSTITUTE(TRIM(D275),"'","''")&amp;"'")&amp;"));")</f>
        <v/>
      </c>
    </row>
    <row r="276" ht="15.75" customHeight="1" s="64">
      <c r="A276" s="23" t="n"/>
      <c r="B276" s="25">
        <f t="array" ref="B276">IF(A276="","",IFERROR(IF(INDEX(Clientes!$D$5:$D$549,MATCH(A276,Clientes!$C$5:$C$549,0))&lt;&gt;"",INDEX(Clientes!$D$5:$D$549,MATCH(A276,Clientes!$C$5:$C$549,0)),TRIM(INDEX(Clientes!$E$5:$E$549,MATCH(A276,Clientes!$C$5:$C$549,0))&amp;" "&amp;INDEX(Clientes!$F$5:$F$549,MATCH(A276,Clientes!$C$5:$C$549,0)))),"NO EXISTE en Clientes"))</f>
        <v/>
      </c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>
        <f>IF(AND(A276="",D276=""),"",IF(A276="","FALTA doc. cliente",IF(B276="NO EXISTE en Clientes","CLIENTE no está en hoja Clientes",IF(D276="","FALTA dirección",IF(AND(H276&lt;&gt;"",OR(F276="",G276="")),"Distrito requiere departamento y provincia",IF(AND(G276&lt;&gt;"",F276=""),"Provincia requiere departamento",IF((I276&lt;&gt;"")&lt;&gt;(J276&lt;&gt;""),"Latitud y longitud van juntas","OK")))))))</f>
        <v/>
      </c>
      <c r="M276" s="28">
        <f>IF(L276&lt;&gt;"OK","","INSERT INTO cli_direcciones (id_cliente, descripcion, direccion, referencia, id_departamento, id_provincia, id_distrito, latitud, longitud, es_principal, estado) SELECT "&amp;"(SELECT id FROM cli_clientes WHERE numero_documento = '"&amp;SUBSTITUTE(TRIM(A276),"'","''")&amp;"' AND estado = 1 LIMIT 1)"&amp;", "&amp;IF(TRIM(C276&amp;"")="","NULL","'"&amp;SUBSTITUTE(TRIM(C276),"'","''")&amp;"'")&amp;", "&amp;IF(TRIM(D276&amp;"")="","NULL","'"&amp;SUBSTITUTE(TRIM(D276),"'","''")&amp;"'")&amp;", "&amp;IF(TRIM(E276&amp;"")="","NULL","'"&amp;SUBSTITUTE(TRIM(E276),"'","''")&amp;"'")&amp;", "&amp;IF(TRIM(F276&amp;"")="","NULL","(SELECT id FROM gen_departamento WHERE upper(nombre) = upper('"&amp;SUBSTITUTE(TRIM(F276),"'","''")&amp;"') AND estado = 1 LIMIT 1)")&amp;", "&amp;IF(OR(TRIM(F276&amp;"")="",TRIM(G276&amp;"")=""),"NULL","(SELECT p.id FROM gen_provincia p JOIN gen_departamento dp ON dp.id = p.id_departamento WHERE upper(p.nombre) = upper('"&amp;SUBSTITUTE(TRIM(G276),"'","''")&amp;"') AND upper(dp.nombre) = upper('"&amp;SUBSTITUTE(TRIM(F276),"'","''")&amp;"') AND p.estado = 1 LIMIT 1)")&amp;", "&amp;IF(OR(TRIM(F276&amp;"")="",TRIM(G276&amp;"")="",TRIM(H276&amp;"")=""),"NULL","(SELECT d.id FROM gen_distrito d JOIN gen_provincia p ON p.id = d.id_provincia JOIN gen_departamento dp ON dp.id = p.id_departamento WHERE upper(d.nombre) = upper('"&amp;SUBSTITUTE(TRIM(H276),"'","''")&amp;"') AND upper(p.nombre) = upper('"&amp;SUBSTITUTE(TRIM(G276),"'","''")&amp;"') AND upper(dp.nombre) = upper('"&amp;SUBSTITUTE(TRIM(F276),"'","''")&amp;"') AND d.estado = 1 LIMIT 1)")&amp;", "&amp;IF(I276&amp;""="","NULL",SUBSTITUTE(I276&amp;"",",","."))&amp;", "&amp;IF(J276&amp;""="","NULL",SUBSTITUTE(J276&amp;"",",","."))&amp;", "&amp;IF(UPPER(TRIM(K276&amp;""))="SI","TRUE","FALSE")&amp;", 1"&amp;" WHERE NOT EXISTS (SELECT 1 FROM cli_direcciones x WHERE x.id_cliente = "&amp;"(SELECT id FROM cli_clientes WHERE numero_documento = '"&amp;SUBSTITUTE(TRIM(A276),"'","''")&amp;"' AND estado = 1 LIMIT 1)"&amp;" AND upper(x.direccion) = upper("&amp;IF(TRIM(D276&amp;"")="","NULL","'"&amp;SUBSTITUTE(TRIM(D276),"'","''")&amp;"'")&amp;"));")</f>
        <v/>
      </c>
    </row>
    <row r="277" ht="15.75" customHeight="1" s="64">
      <c r="A277" s="23" t="n"/>
      <c r="B277" s="25">
        <f t="array" ref="B277">IF(A277="","",IFERROR(IF(INDEX(Clientes!$D$5:$D$549,MATCH(A277,Clientes!$C$5:$C$549,0))&lt;&gt;"",INDEX(Clientes!$D$5:$D$549,MATCH(A277,Clientes!$C$5:$C$549,0)),TRIM(INDEX(Clientes!$E$5:$E$549,MATCH(A277,Clientes!$C$5:$C$549,0))&amp;" "&amp;INDEX(Clientes!$F$5:$F$549,MATCH(A277,Clientes!$C$5:$C$549,0)))),"NO EXISTE en Clientes"))</f>
        <v/>
      </c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>
        <f>IF(AND(A277="",D277=""),"",IF(A277="","FALTA doc. cliente",IF(B277="NO EXISTE en Clientes","CLIENTE no está en hoja Clientes",IF(D277="","FALTA dirección",IF(AND(H277&lt;&gt;"",OR(F277="",G277="")),"Distrito requiere departamento y provincia",IF(AND(G277&lt;&gt;"",F277=""),"Provincia requiere departamento",IF((I277&lt;&gt;"")&lt;&gt;(J277&lt;&gt;""),"Latitud y longitud van juntas","OK")))))))</f>
        <v/>
      </c>
      <c r="M277" s="28">
        <f>IF(L277&lt;&gt;"OK","","INSERT INTO cli_direcciones (id_cliente, descripcion, direccion, referencia, id_departamento, id_provincia, id_distrito, latitud, longitud, es_principal, estado) SELECT "&amp;"(SELECT id FROM cli_clientes WHERE numero_documento = '"&amp;SUBSTITUTE(TRIM(A277),"'","''")&amp;"' AND estado = 1 LIMIT 1)"&amp;", "&amp;IF(TRIM(C277&amp;"")="","NULL","'"&amp;SUBSTITUTE(TRIM(C277),"'","''")&amp;"'")&amp;", "&amp;IF(TRIM(D277&amp;"")="","NULL","'"&amp;SUBSTITUTE(TRIM(D277),"'","''")&amp;"'")&amp;", "&amp;IF(TRIM(E277&amp;"")="","NULL","'"&amp;SUBSTITUTE(TRIM(E277),"'","''")&amp;"'")&amp;", "&amp;IF(TRIM(F277&amp;"")="","NULL","(SELECT id FROM gen_departamento WHERE upper(nombre) = upper('"&amp;SUBSTITUTE(TRIM(F277),"'","''")&amp;"') AND estado = 1 LIMIT 1)")&amp;", "&amp;IF(OR(TRIM(F277&amp;"")="",TRIM(G277&amp;"")=""),"NULL","(SELECT p.id FROM gen_provincia p JOIN gen_departamento dp ON dp.id = p.id_departamento WHERE upper(p.nombre) = upper('"&amp;SUBSTITUTE(TRIM(G277),"'","''")&amp;"') AND upper(dp.nombre) = upper('"&amp;SUBSTITUTE(TRIM(F277),"'","''")&amp;"') AND p.estado = 1 LIMIT 1)")&amp;", "&amp;IF(OR(TRIM(F277&amp;"")="",TRIM(G277&amp;"")="",TRIM(H277&amp;"")=""),"NULL","(SELECT d.id FROM gen_distrito d JOIN gen_provincia p ON p.id = d.id_provincia JOIN gen_departamento dp ON dp.id = p.id_departamento WHERE upper(d.nombre) = upper('"&amp;SUBSTITUTE(TRIM(H277),"'","''")&amp;"') AND upper(p.nombre) = upper('"&amp;SUBSTITUTE(TRIM(G277),"'","''")&amp;"') AND upper(dp.nombre) = upper('"&amp;SUBSTITUTE(TRIM(F277),"'","''")&amp;"') AND d.estado = 1 LIMIT 1)")&amp;", "&amp;IF(I277&amp;""="","NULL",SUBSTITUTE(I277&amp;"",",","."))&amp;", "&amp;IF(J277&amp;""="","NULL",SUBSTITUTE(J277&amp;"",",","."))&amp;", "&amp;IF(UPPER(TRIM(K277&amp;""))="SI","TRUE","FALSE")&amp;", 1"&amp;" WHERE NOT EXISTS (SELECT 1 FROM cli_direcciones x WHERE x.id_cliente = "&amp;"(SELECT id FROM cli_clientes WHERE numero_documento = '"&amp;SUBSTITUTE(TRIM(A277),"'","''")&amp;"' AND estado = 1 LIMIT 1)"&amp;" AND upper(x.direccion) = upper("&amp;IF(TRIM(D277&amp;"")="","NULL","'"&amp;SUBSTITUTE(TRIM(D277),"'","''")&amp;"'")&amp;"));")</f>
        <v/>
      </c>
    </row>
    <row r="278" ht="15.75" customHeight="1" s="64">
      <c r="A278" s="23" t="n"/>
      <c r="B278" s="25">
        <f t="array" ref="B278">IF(A278="","",IFERROR(IF(INDEX(Clientes!$D$5:$D$549,MATCH(A278,Clientes!$C$5:$C$549,0))&lt;&gt;"",INDEX(Clientes!$D$5:$D$549,MATCH(A278,Clientes!$C$5:$C$549,0)),TRIM(INDEX(Clientes!$E$5:$E$549,MATCH(A278,Clientes!$C$5:$C$549,0))&amp;" "&amp;INDEX(Clientes!$F$5:$F$549,MATCH(A278,Clientes!$C$5:$C$549,0)))),"NO EXISTE en Clientes"))</f>
        <v/>
      </c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>
        <f>IF(AND(A278="",D278=""),"",IF(A278="","FALTA doc. cliente",IF(B278="NO EXISTE en Clientes","CLIENTE no está en hoja Clientes",IF(D278="","FALTA dirección",IF(AND(H278&lt;&gt;"",OR(F278="",G278="")),"Distrito requiere departamento y provincia",IF(AND(G278&lt;&gt;"",F278=""),"Provincia requiere departamento",IF((I278&lt;&gt;"")&lt;&gt;(J278&lt;&gt;""),"Latitud y longitud van juntas","OK")))))))</f>
        <v/>
      </c>
      <c r="M278" s="28">
        <f>IF(L278&lt;&gt;"OK","","INSERT INTO cli_direcciones (id_cliente, descripcion, direccion, referencia, id_departamento, id_provincia, id_distrito, latitud, longitud, es_principal, estado) SELECT "&amp;"(SELECT id FROM cli_clientes WHERE numero_documento = '"&amp;SUBSTITUTE(TRIM(A278),"'","''")&amp;"' AND estado = 1 LIMIT 1)"&amp;", "&amp;IF(TRIM(C278&amp;"")="","NULL","'"&amp;SUBSTITUTE(TRIM(C278),"'","''")&amp;"'")&amp;", "&amp;IF(TRIM(D278&amp;"")="","NULL","'"&amp;SUBSTITUTE(TRIM(D278),"'","''")&amp;"'")&amp;", "&amp;IF(TRIM(E278&amp;"")="","NULL","'"&amp;SUBSTITUTE(TRIM(E278),"'","''")&amp;"'")&amp;", "&amp;IF(TRIM(F278&amp;"")="","NULL","(SELECT id FROM gen_departamento WHERE upper(nombre) = upper('"&amp;SUBSTITUTE(TRIM(F278),"'","''")&amp;"') AND estado = 1 LIMIT 1)")&amp;", "&amp;IF(OR(TRIM(F278&amp;"")="",TRIM(G278&amp;"")=""),"NULL","(SELECT p.id FROM gen_provincia p JOIN gen_departamento dp ON dp.id = p.id_departamento WHERE upper(p.nombre) = upper('"&amp;SUBSTITUTE(TRIM(G278),"'","''")&amp;"') AND upper(dp.nombre) = upper('"&amp;SUBSTITUTE(TRIM(F278),"'","''")&amp;"') AND p.estado = 1 LIMIT 1)")&amp;", "&amp;IF(OR(TRIM(F278&amp;"")="",TRIM(G278&amp;"")="",TRIM(H278&amp;"")=""),"NULL","(SELECT d.id FROM gen_distrito d JOIN gen_provincia p ON p.id = d.id_provincia JOIN gen_departamento dp ON dp.id = p.id_departamento WHERE upper(d.nombre) = upper('"&amp;SUBSTITUTE(TRIM(H278),"'","''")&amp;"') AND upper(p.nombre) = upper('"&amp;SUBSTITUTE(TRIM(G278),"'","''")&amp;"') AND upper(dp.nombre) = upper('"&amp;SUBSTITUTE(TRIM(F278),"'","''")&amp;"') AND d.estado = 1 LIMIT 1)")&amp;", "&amp;IF(I278&amp;""="","NULL",SUBSTITUTE(I278&amp;"",",","."))&amp;", "&amp;IF(J278&amp;""="","NULL",SUBSTITUTE(J278&amp;"",",","."))&amp;", "&amp;IF(UPPER(TRIM(K278&amp;""))="SI","TRUE","FALSE")&amp;", 1"&amp;" WHERE NOT EXISTS (SELECT 1 FROM cli_direcciones x WHERE x.id_cliente = "&amp;"(SELECT id FROM cli_clientes WHERE numero_documento = '"&amp;SUBSTITUTE(TRIM(A278),"'","''")&amp;"' AND estado = 1 LIMIT 1)"&amp;" AND upper(x.direccion) = upper("&amp;IF(TRIM(D278&amp;"")="","NULL","'"&amp;SUBSTITUTE(TRIM(D278),"'","''")&amp;"'")&amp;"));")</f>
        <v/>
      </c>
    </row>
    <row r="279" ht="15.75" customHeight="1" s="64">
      <c r="A279" s="23" t="n"/>
      <c r="B279" s="25">
        <f t="array" ref="B279">IF(A279="","",IFERROR(IF(INDEX(Clientes!$D$5:$D$549,MATCH(A279,Clientes!$C$5:$C$549,0))&lt;&gt;"",INDEX(Clientes!$D$5:$D$549,MATCH(A279,Clientes!$C$5:$C$549,0)),TRIM(INDEX(Clientes!$E$5:$E$549,MATCH(A279,Clientes!$C$5:$C$549,0))&amp;" "&amp;INDEX(Clientes!$F$5:$F$549,MATCH(A279,Clientes!$C$5:$C$549,0)))),"NO EXISTE en Clientes"))</f>
        <v/>
      </c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>
        <f>IF(AND(A279="",D279=""),"",IF(A279="","FALTA doc. cliente",IF(B279="NO EXISTE en Clientes","CLIENTE no está en hoja Clientes",IF(D279="","FALTA dirección",IF(AND(H279&lt;&gt;"",OR(F279="",G279="")),"Distrito requiere departamento y provincia",IF(AND(G279&lt;&gt;"",F279=""),"Provincia requiere departamento",IF((I279&lt;&gt;"")&lt;&gt;(J279&lt;&gt;""),"Latitud y longitud van juntas","OK")))))))</f>
        <v/>
      </c>
      <c r="M279" s="28">
        <f>IF(L279&lt;&gt;"OK","","INSERT INTO cli_direcciones (id_cliente, descripcion, direccion, referencia, id_departamento, id_provincia, id_distrito, latitud, longitud, es_principal, estado) SELECT "&amp;"(SELECT id FROM cli_clientes WHERE numero_documento = '"&amp;SUBSTITUTE(TRIM(A279),"'","''")&amp;"' AND estado = 1 LIMIT 1)"&amp;", "&amp;IF(TRIM(C279&amp;"")="","NULL","'"&amp;SUBSTITUTE(TRIM(C279),"'","''")&amp;"'")&amp;", "&amp;IF(TRIM(D279&amp;"")="","NULL","'"&amp;SUBSTITUTE(TRIM(D279),"'","''")&amp;"'")&amp;", "&amp;IF(TRIM(E279&amp;"")="","NULL","'"&amp;SUBSTITUTE(TRIM(E279),"'","''")&amp;"'")&amp;", "&amp;IF(TRIM(F279&amp;"")="","NULL","(SELECT id FROM gen_departamento WHERE upper(nombre) = upper('"&amp;SUBSTITUTE(TRIM(F279),"'","''")&amp;"') AND estado = 1 LIMIT 1)")&amp;", "&amp;IF(OR(TRIM(F279&amp;"")="",TRIM(G279&amp;"")=""),"NULL","(SELECT p.id FROM gen_provincia p JOIN gen_departamento dp ON dp.id = p.id_departamento WHERE upper(p.nombre) = upper('"&amp;SUBSTITUTE(TRIM(G279),"'","''")&amp;"') AND upper(dp.nombre) = upper('"&amp;SUBSTITUTE(TRIM(F279),"'","''")&amp;"') AND p.estado = 1 LIMIT 1)")&amp;", "&amp;IF(OR(TRIM(F279&amp;"")="",TRIM(G279&amp;"")="",TRIM(H279&amp;"")=""),"NULL","(SELECT d.id FROM gen_distrito d JOIN gen_provincia p ON p.id = d.id_provincia JOIN gen_departamento dp ON dp.id = p.id_departamento WHERE upper(d.nombre) = upper('"&amp;SUBSTITUTE(TRIM(H279),"'","''")&amp;"') AND upper(p.nombre) = upper('"&amp;SUBSTITUTE(TRIM(G279),"'","''")&amp;"') AND upper(dp.nombre) = upper('"&amp;SUBSTITUTE(TRIM(F279),"'","''")&amp;"') AND d.estado = 1 LIMIT 1)")&amp;", "&amp;IF(I279&amp;""="","NULL",SUBSTITUTE(I279&amp;"",",","."))&amp;", "&amp;IF(J279&amp;""="","NULL",SUBSTITUTE(J279&amp;"",",","."))&amp;", "&amp;IF(UPPER(TRIM(K279&amp;""))="SI","TRUE","FALSE")&amp;", 1"&amp;" WHERE NOT EXISTS (SELECT 1 FROM cli_direcciones x WHERE x.id_cliente = "&amp;"(SELECT id FROM cli_clientes WHERE numero_documento = '"&amp;SUBSTITUTE(TRIM(A279),"'","''")&amp;"' AND estado = 1 LIMIT 1)"&amp;" AND upper(x.direccion) = upper("&amp;IF(TRIM(D279&amp;"")="","NULL","'"&amp;SUBSTITUTE(TRIM(D279),"'","''")&amp;"'")&amp;"));")</f>
        <v/>
      </c>
    </row>
    <row r="280" ht="15.75" customHeight="1" s="64">
      <c r="A280" s="23" t="n"/>
      <c r="B280" s="25">
        <f t="array" ref="B280">IF(A280="","",IFERROR(IF(INDEX(Clientes!$D$5:$D$549,MATCH(A280,Clientes!$C$5:$C$549,0))&lt;&gt;"",INDEX(Clientes!$D$5:$D$549,MATCH(A280,Clientes!$C$5:$C$549,0)),TRIM(INDEX(Clientes!$E$5:$E$549,MATCH(A280,Clientes!$C$5:$C$549,0))&amp;" "&amp;INDEX(Clientes!$F$5:$F$549,MATCH(A280,Clientes!$C$5:$C$549,0)))),"NO EXISTE en Clientes"))</f>
        <v/>
      </c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>
        <f>IF(AND(A280="",D280=""),"",IF(A280="","FALTA doc. cliente",IF(B280="NO EXISTE en Clientes","CLIENTE no está en hoja Clientes",IF(D280="","FALTA dirección",IF(AND(H280&lt;&gt;"",OR(F280="",G280="")),"Distrito requiere departamento y provincia",IF(AND(G280&lt;&gt;"",F280=""),"Provincia requiere departamento",IF((I280&lt;&gt;"")&lt;&gt;(J280&lt;&gt;""),"Latitud y longitud van juntas","OK")))))))</f>
        <v/>
      </c>
      <c r="M280" s="28">
        <f>IF(L280&lt;&gt;"OK","","INSERT INTO cli_direcciones (id_cliente, descripcion, direccion, referencia, id_departamento, id_provincia, id_distrito, latitud, longitud, es_principal, estado) SELECT "&amp;"(SELECT id FROM cli_clientes WHERE numero_documento = '"&amp;SUBSTITUTE(TRIM(A280),"'","''")&amp;"' AND estado = 1 LIMIT 1)"&amp;", "&amp;IF(TRIM(C280&amp;"")="","NULL","'"&amp;SUBSTITUTE(TRIM(C280),"'","''")&amp;"'")&amp;", "&amp;IF(TRIM(D280&amp;"")="","NULL","'"&amp;SUBSTITUTE(TRIM(D280),"'","''")&amp;"'")&amp;", "&amp;IF(TRIM(E280&amp;"")="","NULL","'"&amp;SUBSTITUTE(TRIM(E280),"'","''")&amp;"'")&amp;", "&amp;IF(TRIM(F280&amp;"")="","NULL","(SELECT id FROM gen_departamento WHERE upper(nombre) = upper('"&amp;SUBSTITUTE(TRIM(F280),"'","''")&amp;"') AND estado = 1 LIMIT 1)")&amp;", "&amp;IF(OR(TRIM(F280&amp;"")="",TRIM(G280&amp;"")=""),"NULL","(SELECT p.id FROM gen_provincia p JOIN gen_departamento dp ON dp.id = p.id_departamento WHERE upper(p.nombre) = upper('"&amp;SUBSTITUTE(TRIM(G280),"'","''")&amp;"') AND upper(dp.nombre) = upper('"&amp;SUBSTITUTE(TRIM(F280),"'","''")&amp;"') AND p.estado = 1 LIMIT 1)")&amp;", "&amp;IF(OR(TRIM(F280&amp;"")="",TRIM(G280&amp;"")="",TRIM(H280&amp;"")=""),"NULL","(SELECT d.id FROM gen_distrito d JOIN gen_provincia p ON p.id = d.id_provincia JOIN gen_departamento dp ON dp.id = p.id_departamento WHERE upper(d.nombre) = upper('"&amp;SUBSTITUTE(TRIM(H280),"'","''")&amp;"') AND upper(p.nombre) = upper('"&amp;SUBSTITUTE(TRIM(G280),"'","''")&amp;"') AND upper(dp.nombre) = upper('"&amp;SUBSTITUTE(TRIM(F280),"'","''")&amp;"') AND d.estado = 1 LIMIT 1)")&amp;", "&amp;IF(I280&amp;""="","NULL",SUBSTITUTE(I280&amp;"",",","."))&amp;", "&amp;IF(J280&amp;""="","NULL",SUBSTITUTE(J280&amp;"",",","."))&amp;", "&amp;IF(UPPER(TRIM(K280&amp;""))="SI","TRUE","FALSE")&amp;", 1"&amp;" WHERE NOT EXISTS (SELECT 1 FROM cli_direcciones x WHERE x.id_cliente = "&amp;"(SELECT id FROM cli_clientes WHERE numero_documento = '"&amp;SUBSTITUTE(TRIM(A280),"'","''")&amp;"' AND estado = 1 LIMIT 1)"&amp;" AND upper(x.direccion) = upper("&amp;IF(TRIM(D280&amp;"")="","NULL","'"&amp;SUBSTITUTE(TRIM(D280),"'","''")&amp;"'")&amp;"));")</f>
        <v/>
      </c>
    </row>
    <row r="281" ht="15.75" customHeight="1" s="64">
      <c r="A281" s="23" t="n"/>
      <c r="B281" s="25">
        <f t="array" ref="B281">IF(A281="","",IFERROR(IF(INDEX(Clientes!$D$5:$D$549,MATCH(A281,Clientes!$C$5:$C$549,0))&lt;&gt;"",INDEX(Clientes!$D$5:$D$549,MATCH(A281,Clientes!$C$5:$C$549,0)),TRIM(INDEX(Clientes!$E$5:$E$549,MATCH(A281,Clientes!$C$5:$C$549,0))&amp;" "&amp;INDEX(Clientes!$F$5:$F$549,MATCH(A281,Clientes!$C$5:$C$549,0)))),"NO EXISTE en Clientes"))</f>
        <v/>
      </c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>
        <f>IF(AND(A281="",D281=""),"",IF(A281="","FALTA doc. cliente",IF(B281="NO EXISTE en Clientes","CLIENTE no está en hoja Clientes",IF(D281="","FALTA dirección",IF(AND(H281&lt;&gt;"",OR(F281="",G281="")),"Distrito requiere departamento y provincia",IF(AND(G281&lt;&gt;"",F281=""),"Provincia requiere departamento",IF((I281&lt;&gt;"")&lt;&gt;(J281&lt;&gt;""),"Latitud y longitud van juntas","OK")))))))</f>
        <v/>
      </c>
      <c r="M281" s="28">
        <f>IF(L281&lt;&gt;"OK","","INSERT INTO cli_direcciones (id_cliente, descripcion, direccion, referencia, id_departamento, id_provincia, id_distrito, latitud, longitud, es_principal, estado) SELECT "&amp;"(SELECT id FROM cli_clientes WHERE numero_documento = '"&amp;SUBSTITUTE(TRIM(A281),"'","''")&amp;"' AND estado = 1 LIMIT 1)"&amp;", "&amp;IF(TRIM(C281&amp;"")="","NULL","'"&amp;SUBSTITUTE(TRIM(C281),"'","''")&amp;"'")&amp;", "&amp;IF(TRIM(D281&amp;"")="","NULL","'"&amp;SUBSTITUTE(TRIM(D281),"'","''")&amp;"'")&amp;", "&amp;IF(TRIM(E281&amp;"")="","NULL","'"&amp;SUBSTITUTE(TRIM(E281),"'","''")&amp;"'")&amp;", "&amp;IF(TRIM(F281&amp;"")="","NULL","(SELECT id FROM gen_departamento WHERE upper(nombre) = upper('"&amp;SUBSTITUTE(TRIM(F281),"'","''")&amp;"') AND estado = 1 LIMIT 1)")&amp;", "&amp;IF(OR(TRIM(F281&amp;"")="",TRIM(G281&amp;"")=""),"NULL","(SELECT p.id FROM gen_provincia p JOIN gen_departamento dp ON dp.id = p.id_departamento WHERE upper(p.nombre) = upper('"&amp;SUBSTITUTE(TRIM(G281),"'","''")&amp;"') AND upper(dp.nombre) = upper('"&amp;SUBSTITUTE(TRIM(F281),"'","''")&amp;"') AND p.estado = 1 LIMIT 1)")&amp;", "&amp;IF(OR(TRIM(F281&amp;"")="",TRIM(G281&amp;"")="",TRIM(H281&amp;"")=""),"NULL","(SELECT d.id FROM gen_distrito d JOIN gen_provincia p ON p.id = d.id_provincia JOIN gen_departamento dp ON dp.id = p.id_departamento WHERE upper(d.nombre) = upper('"&amp;SUBSTITUTE(TRIM(H281),"'","''")&amp;"') AND upper(p.nombre) = upper('"&amp;SUBSTITUTE(TRIM(G281),"'","''")&amp;"') AND upper(dp.nombre) = upper('"&amp;SUBSTITUTE(TRIM(F281),"'","''")&amp;"') AND d.estado = 1 LIMIT 1)")&amp;", "&amp;IF(I281&amp;""="","NULL",SUBSTITUTE(I281&amp;"",",","."))&amp;", "&amp;IF(J281&amp;""="","NULL",SUBSTITUTE(J281&amp;"",",","."))&amp;", "&amp;IF(UPPER(TRIM(K281&amp;""))="SI","TRUE","FALSE")&amp;", 1"&amp;" WHERE NOT EXISTS (SELECT 1 FROM cli_direcciones x WHERE x.id_cliente = "&amp;"(SELECT id FROM cli_clientes WHERE numero_documento = '"&amp;SUBSTITUTE(TRIM(A281),"'","''")&amp;"' AND estado = 1 LIMIT 1)"&amp;" AND upper(x.direccion) = upper("&amp;IF(TRIM(D281&amp;"")="","NULL","'"&amp;SUBSTITUTE(TRIM(D281),"'","''")&amp;"'")&amp;"));")</f>
        <v/>
      </c>
    </row>
    <row r="282" ht="15.75" customHeight="1" s="64">
      <c r="A282" s="23" t="n"/>
      <c r="B282" s="25">
        <f t="array" ref="B282">IF(A282="","",IFERROR(IF(INDEX(Clientes!$D$5:$D$549,MATCH(A282,Clientes!$C$5:$C$549,0))&lt;&gt;"",INDEX(Clientes!$D$5:$D$549,MATCH(A282,Clientes!$C$5:$C$549,0)),TRIM(INDEX(Clientes!$E$5:$E$549,MATCH(A282,Clientes!$C$5:$C$549,0))&amp;" "&amp;INDEX(Clientes!$F$5:$F$549,MATCH(A282,Clientes!$C$5:$C$549,0)))),"NO EXISTE en Clientes"))</f>
        <v/>
      </c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>
        <f>IF(AND(A282="",D282=""),"",IF(A282="","FALTA doc. cliente",IF(B282="NO EXISTE en Clientes","CLIENTE no está en hoja Clientes",IF(D282="","FALTA dirección",IF(AND(H282&lt;&gt;"",OR(F282="",G282="")),"Distrito requiere departamento y provincia",IF(AND(G282&lt;&gt;"",F282=""),"Provincia requiere departamento",IF((I282&lt;&gt;"")&lt;&gt;(J282&lt;&gt;""),"Latitud y longitud van juntas","OK")))))))</f>
        <v/>
      </c>
      <c r="M282" s="28">
        <f>IF(L282&lt;&gt;"OK","","INSERT INTO cli_direcciones (id_cliente, descripcion, direccion, referencia, id_departamento, id_provincia, id_distrito, latitud, longitud, es_principal, estado) SELECT "&amp;"(SELECT id FROM cli_clientes WHERE numero_documento = '"&amp;SUBSTITUTE(TRIM(A282),"'","''")&amp;"' AND estado = 1 LIMIT 1)"&amp;", "&amp;IF(TRIM(C282&amp;"")="","NULL","'"&amp;SUBSTITUTE(TRIM(C282),"'","''")&amp;"'")&amp;", "&amp;IF(TRIM(D282&amp;"")="","NULL","'"&amp;SUBSTITUTE(TRIM(D282),"'","''")&amp;"'")&amp;", "&amp;IF(TRIM(E282&amp;"")="","NULL","'"&amp;SUBSTITUTE(TRIM(E282),"'","''")&amp;"'")&amp;", "&amp;IF(TRIM(F282&amp;"")="","NULL","(SELECT id FROM gen_departamento WHERE upper(nombre) = upper('"&amp;SUBSTITUTE(TRIM(F282),"'","''")&amp;"') AND estado = 1 LIMIT 1)")&amp;", "&amp;IF(OR(TRIM(F282&amp;"")="",TRIM(G282&amp;"")=""),"NULL","(SELECT p.id FROM gen_provincia p JOIN gen_departamento dp ON dp.id = p.id_departamento WHERE upper(p.nombre) = upper('"&amp;SUBSTITUTE(TRIM(G282),"'","''")&amp;"') AND upper(dp.nombre) = upper('"&amp;SUBSTITUTE(TRIM(F282),"'","''")&amp;"') AND p.estado = 1 LIMIT 1)")&amp;", "&amp;IF(OR(TRIM(F282&amp;"")="",TRIM(G282&amp;"")="",TRIM(H282&amp;"")=""),"NULL","(SELECT d.id FROM gen_distrito d JOIN gen_provincia p ON p.id = d.id_provincia JOIN gen_departamento dp ON dp.id = p.id_departamento WHERE upper(d.nombre) = upper('"&amp;SUBSTITUTE(TRIM(H282),"'","''")&amp;"') AND upper(p.nombre) = upper('"&amp;SUBSTITUTE(TRIM(G282),"'","''")&amp;"') AND upper(dp.nombre) = upper('"&amp;SUBSTITUTE(TRIM(F282),"'","''")&amp;"') AND d.estado = 1 LIMIT 1)")&amp;", "&amp;IF(I282&amp;""="","NULL",SUBSTITUTE(I282&amp;"",",","."))&amp;", "&amp;IF(J282&amp;""="","NULL",SUBSTITUTE(J282&amp;"",",","."))&amp;", "&amp;IF(UPPER(TRIM(K282&amp;""))="SI","TRUE","FALSE")&amp;", 1"&amp;" WHERE NOT EXISTS (SELECT 1 FROM cli_direcciones x WHERE x.id_cliente = "&amp;"(SELECT id FROM cli_clientes WHERE numero_documento = '"&amp;SUBSTITUTE(TRIM(A282),"'","''")&amp;"' AND estado = 1 LIMIT 1)"&amp;" AND upper(x.direccion) = upper("&amp;IF(TRIM(D282&amp;"")="","NULL","'"&amp;SUBSTITUTE(TRIM(D282),"'","''")&amp;"'")&amp;"));")</f>
        <v/>
      </c>
    </row>
    <row r="283" ht="15.75" customHeight="1" s="64">
      <c r="A283" s="23" t="n"/>
      <c r="B283" s="25">
        <f t="array" ref="B283">IF(A283="","",IFERROR(IF(INDEX(Clientes!$D$5:$D$549,MATCH(A283,Clientes!$C$5:$C$549,0))&lt;&gt;"",INDEX(Clientes!$D$5:$D$549,MATCH(A283,Clientes!$C$5:$C$549,0)),TRIM(INDEX(Clientes!$E$5:$E$549,MATCH(A283,Clientes!$C$5:$C$549,0))&amp;" "&amp;INDEX(Clientes!$F$5:$F$549,MATCH(A283,Clientes!$C$5:$C$549,0)))),"NO EXISTE en Clientes"))</f>
        <v/>
      </c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>
        <f>IF(AND(A283="",D283=""),"",IF(A283="","FALTA doc. cliente",IF(B283="NO EXISTE en Clientes","CLIENTE no está en hoja Clientes",IF(D283="","FALTA dirección",IF(AND(H283&lt;&gt;"",OR(F283="",G283="")),"Distrito requiere departamento y provincia",IF(AND(G283&lt;&gt;"",F283=""),"Provincia requiere departamento",IF((I283&lt;&gt;"")&lt;&gt;(J283&lt;&gt;""),"Latitud y longitud van juntas","OK")))))))</f>
        <v/>
      </c>
      <c r="M283" s="28">
        <f>IF(L283&lt;&gt;"OK","","INSERT INTO cli_direcciones (id_cliente, descripcion, direccion, referencia, id_departamento, id_provincia, id_distrito, latitud, longitud, es_principal, estado) SELECT "&amp;"(SELECT id FROM cli_clientes WHERE numero_documento = '"&amp;SUBSTITUTE(TRIM(A283),"'","''")&amp;"' AND estado = 1 LIMIT 1)"&amp;", "&amp;IF(TRIM(C283&amp;"")="","NULL","'"&amp;SUBSTITUTE(TRIM(C283),"'","''")&amp;"'")&amp;", "&amp;IF(TRIM(D283&amp;"")="","NULL","'"&amp;SUBSTITUTE(TRIM(D283),"'","''")&amp;"'")&amp;", "&amp;IF(TRIM(E283&amp;"")="","NULL","'"&amp;SUBSTITUTE(TRIM(E283),"'","''")&amp;"'")&amp;", "&amp;IF(TRIM(F283&amp;"")="","NULL","(SELECT id FROM gen_departamento WHERE upper(nombre) = upper('"&amp;SUBSTITUTE(TRIM(F283),"'","''")&amp;"') AND estado = 1 LIMIT 1)")&amp;", "&amp;IF(OR(TRIM(F283&amp;"")="",TRIM(G283&amp;"")=""),"NULL","(SELECT p.id FROM gen_provincia p JOIN gen_departamento dp ON dp.id = p.id_departamento WHERE upper(p.nombre) = upper('"&amp;SUBSTITUTE(TRIM(G283),"'","''")&amp;"') AND upper(dp.nombre) = upper('"&amp;SUBSTITUTE(TRIM(F283),"'","''")&amp;"') AND p.estado = 1 LIMIT 1)")&amp;", "&amp;IF(OR(TRIM(F283&amp;"")="",TRIM(G283&amp;"")="",TRIM(H283&amp;"")=""),"NULL","(SELECT d.id FROM gen_distrito d JOIN gen_provincia p ON p.id = d.id_provincia JOIN gen_departamento dp ON dp.id = p.id_departamento WHERE upper(d.nombre) = upper('"&amp;SUBSTITUTE(TRIM(H283),"'","''")&amp;"') AND upper(p.nombre) = upper('"&amp;SUBSTITUTE(TRIM(G283),"'","''")&amp;"') AND upper(dp.nombre) = upper('"&amp;SUBSTITUTE(TRIM(F283),"'","''")&amp;"') AND d.estado = 1 LIMIT 1)")&amp;", "&amp;IF(I283&amp;""="","NULL",SUBSTITUTE(I283&amp;"",",","."))&amp;", "&amp;IF(J283&amp;""="","NULL",SUBSTITUTE(J283&amp;"",",","."))&amp;", "&amp;IF(UPPER(TRIM(K283&amp;""))="SI","TRUE","FALSE")&amp;", 1"&amp;" WHERE NOT EXISTS (SELECT 1 FROM cli_direcciones x WHERE x.id_cliente = "&amp;"(SELECT id FROM cli_clientes WHERE numero_documento = '"&amp;SUBSTITUTE(TRIM(A283),"'","''")&amp;"' AND estado = 1 LIMIT 1)"&amp;" AND upper(x.direccion) = upper("&amp;IF(TRIM(D283&amp;"")="","NULL","'"&amp;SUBSTITUTE(TRIM(D283),"'","''")&amp;"'")&amp;"));")</f>
        <v/>
      </c>
    </row>
    <row r="284" ht="15.75" customHeight="1" s="64">
      <c r="A284" s="23" t="n"/>
      <c r="B284" s="25">
        <f t="array" ref="B284">IF(A284="","",IFERROR(IF(INDEX(Clientes!$D$5:$D$549,MATCH(A284,Clientes!$C$5:$C$549,0))&lt;&gt;"",INDEX(Clientes!$D$5:$D$549,MATCH(A284,Clientes!$C$5:$C$549,0)),TRIM(INDEX(Clientes!$E$5:$E$549,MATCH(A284,Clientes!$C$5:$C$549,0))&amp;" "&amp;INDEX(Clientes!$F$5:$F$549,MATCH(A284,Clientes!$C$5:$C$549,0)))),"NO EXISTE en Clientes"))</f>
        <v/>
      </c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>
        <f>IF(AND(A284="",D284=""),"",IF(A284="","FALTA doc. cliente",IF(B284="NO EXISTE en Clientes","CLIENTE no está en hoja Clientes",IF(D284="","FALTA dirección",IF(AND(H284&lt;&gt;"",OR(F284="",G284="")),"Distrito requiere departamento y provincia",IF(AND(G284&lt;&gt;"",F284=""),"Provincia requiere departamento",IF((I284&lt;&gt;"")&lt;&gt;(J284&lt;&gt;""),"Latitud y longitud van juntas","OK")))))))</f>
        <v/>
      </c>
      <c r="M284" s="28">
        <f>IF(L284&lt;&gt;"OK","","INSERT INTO cli_direcciones (id_cliente, descripcion, direccion, referencia, id_departamento, id_provincia, id_distrito, latitud, longitud, es_principal, estado) SELECT "&amp;"(SELECT id FROM cli_clientes WHERE numero_documento = '"&amp;SUBSTITUTE(TRIM(A284),"'","''")&amp;"' AND estado = 1 LIMIT 1)"&amp;", "&amp;IF(TRIM(C284&amp;"")="","NULL","'"&amp;SUBSTITUTE(TRIM(C284),"'","''")&amp;"'")&amp;", "&amp;IF(TRIM(D284&amp;"")="","NULL","'"&amp;SUBSTITUTE(TRIM(D284),"'","''")&amp;"'")&amp;", "&amp;IF(TRIM(E284&amp;"")="","NULL","'"&amp;SUBSTITUTE(TRIM(E284),"'","''")&amp;"'")&amp;", "&amp;IF(TRIM(F284&amp;"")="","NULL","(SELECT id FROM gen_departamento WHERE upper(nombre) = upper('"&amp;SUBSTITUTE(TRIM(F284),"'","''")&amp;"') AND estado = 1 LIMIT 1)")&amp;", "&amp;IF(OR(TRIM(F284&amp;"")="",TRIM(G284&amp;"")=""),"NULL","(SELECT p.id FROM gen_provincia p JOIN gen_departamento dp ON dp.id = p.id_departamento WHERE upper(p.nombre) = upper('"&amp;SUBSTITUTE(TRIM(G284),"'","''")&amp;"') AND upper(dp.nombre) = upper('"&amp;SUBSTITUTE(TRIM(F284),"'","''")&amp;"') AND p.estado = 1 LIMIT 1)")&amp;", "&amp;IF(OR(TRIM(F284&amp;"")="",TRIM(G284&amp;"")="",TRIM(H284&amp;"")=""),"NULL","(SELECT d.id FROM gen_distrito d JOIN gen_provincia p ON p.id = d.id_provincia JOIN gen_departamento dp ON dp.id = p.id_departamento WHERE upper(d.nombre) = upper('"&amp;SUBSTITUTE(TRIM(H284),"'","''")&amp;"') AND upper(p.nombre) = upper('"&amp;SUBSTITUTE(TRIM(G284),"'","''")&amp;"') AND upper(dp.nombre) = upper('"&amp;SUBSTITUTE(TRIM(F284),"'","''")&amp;"') AND d.estado = 1 LIMIT 1)")&amp;", "&amp;IF(I284&amp;""="","NULL",SUBSTITUTE(I284&amp;"",",","."))&amp;", "&amp;IF(J284&amp;""="","NULL",SUBSTITUTE(J284&amp;"",",","."))&amp;", "&amp;IF(UPPER(TRIM(K284&amp;""))="SI","TRUE","FALSE")&amp;", 1"&amp;" WHERE NOT EXISTS (SELECT 1 FROM cli_direcciones x WHERE x.id_cliente = "&amp;"(SELECT id FROM cli_clientes WHERE numero_documento = '"&amp;SUBSTITUTE(TRIM(A284),"'","''")&amp;"' AND estado = 1 LIMIT 1)"&amp;" AND upper(x.direccion) = upper("&amp;IF(TRIM(D284&amp;"")="","NULL","'"&amp;SUBSTITUTE(TRIM(D284),"'","''")&amp;"'")&amp;"));")</f>
        <v/>
      </c>
    </row>
    <row r="285" ht="15.75" customHeight="1" s="64">
      <c r="A285" s="23" t="n"/>
      <c r="B285" s="25">
        <f t="array" ref="B285">IF(A285="","",IFERROR(IF(INDEX(Clientes!$D$5:$D$549,MATCH(A285,Clientes!$C$5:$C$549,0))&lt;&gt;"",INDEX(Clientes!$D$5:$D$549,MATCH(A285,Clientes!$C$5:$C$549,0)),TRIM(INDEX(Clientes!$E$5:$E$549,MATCH(A285,Clientes!$C$5:$C$549,0))&amp;" "&amp;INDEX(Clientes!$F$5:$F$549,MATCH(A285,Clientes!$C$5:$C$549,0)))),"NO EXISTE en Clientes"))</f>
        <v/>
      </c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>
        <f>IF(AND(A285="",D285=""),"",IF(A285="","FALTA doc. cliente",IF(B285="NO EXISTE en Clientes","CLIENTE no está en hoja Clientes",IF(D285="","FALTA dirección",IF(AND(H285&lt;&gt;"",OR(F285="",G285="")),"Distrito requiere departamento y provincia",IF(AND(G285&lt;&gt;"",F285=""),"Provincia requiere departamento",IF((I285&lt;&gt;"")&lt;&gt;(J285&lt;&gt;""),"Latitud y longitud van juntas","OK")))))))</f>
        <v/>
      </c>
      <c r="M285" s="28">
        <f>IF(L285&lt;&gt;"OK","","INSERT INTO cli_direcciones (id_cliente, descripcion, direccion, referencia, id_departamento, id_provincia, id_distrito, latitud, longitud, es_principal, estado) SELECT "&amp;"(SELECT id FROM cli_clientes WHERE numero_documento = '"&amp;SUBSTITUTE(TRIM(A285),"'","''")&amp;"' AND estado = 1 LIMIT 1)"&amp;", "&amp;IF(TRIM(C285&amp;"")="","NULL","'"&amp;SUBSTITUTE(TRIM(C285),"'","''")&amp;"'")&amp;", "&amp;IF(TRIM(D285&amp;"")="","NULL","'"&amp;SUBSTITUTE(TRIM(D285),"'","''")&amp;"'")&amp;", "&amp;IF(TRIM(E285&amp;"")="","NULL","'"&amp;SUBSTITUTE(TRIM(E285),"'","''")&amp;"'")&amp;", "&amp;IF(TRIM(F285&amp;"")="","NULL","(SELECT id FROM gen_departamento WHERE upper(nombre) = upper('"&amp;SUBSTITUTE(TRIM(F285),"'","''")&amp;"') AND estado = 1 LIMIT 1)")&amp;", "&amp;IF(OR(TRIM(F285&amp;"")="",TRIM(G285&amp;"")=""),"NULL","(SELECT p.id FROM gen_provincia p JOIN gen_departamento dp ON dp.id = p.id_departamento WHERE upper(p.nombre) = upper('"&amp;SUBSTITUTE(TRIM(G285),"'","''")&amp;"') AND upper(dp.nombre) = upper('"&amp;SUBSTITUTE(TRIM(F285),"'","''")&amp;"') AND p.estado = 1 LIMIT 1)")&amp;", "&amp;IF(OR(TRIM(F285&amp;"")="",TRIM(G285&amp;"")="",TRIM(H285&amp;"")=""),"NULL","(SELECT d.id FROM gen_distrito d JOIN gen_provincia p ON p.id = d.id_provincia JOIN gen_departamento dp ON dp.id = p.id_departamento WHERE upper(d.nombre) = upper('"&amp;SUBSTITUTE(TRIM(H285),"'","''")&amp;"') AND upper(p.nombre) = upper('"&amp;SUBSTITUTE(TRIM(G285),"'","''")&amp;"') AND upper(dp.nombre) = upper('"&amp;SUBSTITUTE(TRIM(F285),"'","''")&amp;"') AND d.estado = 1 LIMIT 1)")&amp;", "&amp;IF(I285&amp;""="","NULL",SUBSTITUTE(I285&amp;"",",","."))&amp;", "&amp;IF(J285&amp;""="","NULL",SUBSTITUTE(J285&amp;"",",","."))&amp;", "&amp;IF(UPPER(TRIM(K285&amp;""))="SI","TRUE","FALSE")&amp;", 1"&amp;" WHERE NOT EXISTS (SELECT 1 FROM cli_direcciones x WHERE x.id_cliente = "&amp;"(SELECT id FROM cli_clientes WHERE numero_documento = '"&amp;SUBSTITUTE(TRIM(A285),"'","''")&amp;"' AND estado = 1 LIMIT 1)"&amp;" AND upper(x.direccion) = upper("&amp;IF(TRIM(D285&amp;"")="","NULL","'"&amp;SUBSTITUTE(TRIM(D285),"'","''")&amp;"'")&amp;"));")</f>
        <v/>
      </c>
    </row>
    <row r="286" ht="15.75" customHeight="1" s="64">
      <c r="A286" s="23" t="n"/>
      <c r="B286" s="25">
        <f t="array" ref="B286">IF(A286="","",IFERROR(IF(INDEX(Clientes!$D$5:$D$549,MATCH(A286,Clientes!$C$5:$C$549,0))&lt;&gt;"",INDEX(Clientes!$D$5:$D$549,MATCH(A286,Clientes!$C$5:$C$549,0)),TRIM(INDEX(Clientes!$E$5:$E$549,MATCH(A286,Clientes!$C$5:$C$549,0))&amp;" "&amp;INDEX(Clientes!$F$5:$F$549,MATCH(A286,Clientes!$C$5:$C$549,0)))),"NO EXISTE en Clientes"))</f>
        <v/>
      </c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>
        <f>IF(AND(A286="",D286=""),"",IF(A286="","FALTA doc. cliente",IF(B286="NO EXISTE en Clientes","CLIENTE no está en hoja Clientes",IF(D286="","FALTA dirección",IF(AND(H286&lt;&gt;"",OR(F286="",G286="")),"Distrito requiere departamento y provincia",IF(AND(G286&lt;&gt;"",F286=""),"Provincia requiere departamento",IF((I286&lt;&gt;"")&lt;&gt;(J286&lt;&gt;""),"Latitud y longitud van juntas","OK")))))))</f>
        <v/>
      </c>
      <c r="M286" s="28">
        <f>IF(L286&lt;&gt;"OK","","INSERT INTO cli_direcciones (id_cliente, descripcion, direccion, referencia, id_departamento, id_provincia, id_distrito, latitud, longitud, es_principal, estado) SELECT "&amp;"(SELECT id FROM cli_clientes WHERE numero_documento = '"&amp;SUBSTITUTE(TRIM(A286),"'","''")&amp;"' AND estado = 1 LIMIT 1)"&amp;", "&amp;IF(TRIM(C286&amp;"")="","NULL","'"&amp;SUBSTITUTE(TRIM(C286),"'","''")&amp;"'")&amp;", "&amp;IF(TRIM(D286&amp;"")="","NULL","'"&amp;SUBSTITUTE(TRIM(D286),"'","''")&amp;"'")&amp;", "&amp;IF(TRIM(E286&amp;"")="","NULL","'"&amp;SUBSTITUTE(TRIM(E286),"'","''")&amp;"'")&amp;", "&amp;IF(TRIM(F286&amp;"")="","NULL","(SELECT id FROM gen_departamento WHERE upper(nombre) = upper('"&amp;SUBSTITUTE(TRIM(F286),"'","''")&amp;"') AND estado = 1 LIMIT 1)")&amp;", "&amp;IF(OR(TRIM(F286&amp;"")="",TRIM(G286&amp;"")=""),"NULL","(SELECT p.id FROM gen_provincia p JOIN gen_departamento dp ON dp.id = p.id_departamento WHERE upper(p.nombre) = upper('"&amp;SUBSTITUTE(TRIM(G286),"'","''")&amp;"') AND upper(dp.nombre) = upper('"&amp;SUBSTITUTE(TRIM(F286),"'","''")&amp;"') AND p.estado = 1 LIMIT 1)")&amp;", "&amp;IF(OR(TRIM(F286&amp;"")="",TRIM(G286&amp;"")="",TRIM(H286&amp;"")=""),"NULL","(SELECT d.id FROM gen_distrito d JOIN gen_provincia p ON p.id = d.id_provincia JOIN gen_departamento dp ON dp.id = p.id_departamento WHERE upper(d.nombre) = upper('"&amp;SUBSTITUTE(TRIM(H286),"'","''")&amp;"') AND upper(p.nombre) = upper('"&amp;SUBSTITUTE(TRIM(G286),"'","''")&amp;"') AND upper(dp.nombre) = upper('"&amp;SUBSTITUTE(TRIM(F286),"'","''")&amp;"') AND d.estado = 1 LIMIT 1)")&amp;", "&amp;IF(I286&amp;""="","NULL",SUBSTITUTE(I286&amp;"",",","."))&amp;", "&amp;IF(J286&amp;""="","NULL",SUBSTITUTE(J286&amp;"",",","."))&amp;", "&amp;IF(UPPER(TRIM(K286&amp;""))="SI","TRUE","FALSE")&amp;", 1"&amp;" WHERE NOT EXISTS (SELECT 1 FROM cli_direcciones x WHERE x.id_cliente = "&amp;"(SELECT id FROM cli_clientes WHERE numero_documento = '"&amp;SUBSTITUTE(TRIM(A286),"'","''")&amp;"' AND estado = 1 LIMIT 1)"&amp;" AND upper(x.direccion) = upper("&amp;IF(TRIM(D286&amp;"")="","NULL","'"&amp;SUBSTITUTE(TRIM(D286),"'","''")&amp;"'")&amp;"));")</f>
        <v/>
      </c>
    </row>
    <row r="287" ht="15.75" customHeight="1" s="64">
      <c r="A287" s="23" t="n"/>
      <c r="B287" s="25">
        <f t="array" ref="B287">IF(A287="","",IFERROR(IF(INDEX(Clientes!$D$5:$D$549,MATCH(A287,Clientes!$C$5:$C$549,0))&lt;&gt;"",INDEX(Clientes!$D$5:$D$549,MATCH(A287,Clientes!$C$5:$C$549,0)),TRIM(INDEX(Clientes!$E$5:$E$549,MATCH(A287,Clientes!$C$5:$C$549,0))&amp;" "&amp;INDEX(Clientes!$F$5:$F$549,MATCH(A287,Clientes!$C$5:$C$549,0)))),"NO EXISTE en Clientes"))</f>
        <v/>
      </c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>
        <f>IF(AND(A287="",D287=""),"",IF(A287="","FALTA doc. cliente",IF(B287="NO EXISTE en Clientes","CLIENTE no está en hoja Clientes",IF(D287="","FALTA dirección",IF(AND(H287&lt;&gt;"",OR(F287="",G287="")),"Distrito requiere departamento y provincia",IF(AND(G287&lt;&gt;"",F287=""),"Provincia requiere departamento",IF((I287&lt;&gt;"")&lt;&gt;(J287&lt;&gt;""),"Latitud y longitud van juntas","OK")))))))</f>
        <v/>
      </c>
      <c r="M287" s="28">
        <f>IF(L287&lt;&gt;"OK","","INSERT INTO cli_direcciones (id_cliente, descripcion, direccion, referencia, id_departamento, id_provincia, id_distrito, latitud, longitud, es_principal, estado) SELECT "&amp;"(SELECT id FROM cli_clientes WHERE numero_documento = '"&amp;SUBSTITUTE(TRIM(A287),"'","''")&amp;"' AND estado = 1 LIMIT 1)"&amp;", "&amp;IF(TRIM(C287&amp;"")="","NULL","'"&amp;SUBSTITUTE(TRIM(C287),"'","''")&amp;"'")&amp;", "&amp;IF(TRIM(D287&amp;"")="","NULL","'"&amp;SUBSTITUTE(TRIM(D287),"'","''")&amp;"'")&amp;", "&amp;IF(TRIM(E287&amp;"")="","NULL","'"&amp;SUBSTITUTE(TRIM(E287),"'","''")&amp;"'")&amp;", "&amp;IF(TRIM(F287&amp;"")="","NULL","(SELECT id FROM gen_departamento WHERE upper(nombre) = upper('"&amp;SUBSTITUTE(TRIM(F287),"'","''")&amp;"') AND estado = 1 LIMIT 1)")&amp;", "&amp;IF(OR(TRIM(F287&amp;"")="",TRIM(G287&amp;"")=""),"NULL","(SELECT p.id FROM gen_provincia p JOIN gen_departamento dp ON dp.id = p.id_departamento WHERE upper(p.nombre) = upper('"&amp;SUBSTITUTE(TRIM(G287),"'","''")&amp;"') AND upper(dp.nombre) = upper('"&amp;SUBSTITUTE(TRIM(F287),"'","''")&amp;"') AND p.estado = 1 LIMIT 1)")&amp;", "&amp;IF(OR(TRIM(F287&amp;"")="",TRIM(G287&amp;"")="",TRIM(H287&amp;"")=""),"NULL","(SELECT d.id FROM gen_distrito d JOIN gen_provincia p ON p.id = d.id_provincia JOIN gen_departamento dp ON dp.id = p.id_departamento WHERE upper(d.nombre) = upper('"&amp;SUBSTITUTE(TRIM(H287),"'","''")&amp;"') AND upper(p.nombre) = upper('"&amp;SUBSTITUTE(TRIM(G287),"'","''")&amp;"') AND upper(dp.nombre) = upper('"&amp;SUBSTITUTE(TRIM(F287),"'","''")&amp;"') AND d.estado = 1 LIMIT 1)")&amp;", "&amp;IF(I287&amp;""="","NULL",SUBSTITUTE(I287&amp;"",",","."))&amp;", "&amp;IF(J287&amp;""="","NULL",SUBSTITUTE(J287&amp;"",",","."))&amp;", "&amp;IF(UPPER(TRIM(K287&amp;""))="SI","TRUE","FALSE")&amp;", 1"&amp;" WHERE NOT EXISTS (SELECT 1 FROM cli_direcciones x WHERE x.id_cliente = "&amp;"(SELECT id FROM cli_clientes WHERE numero_documento = '"&amp;SUBSTITUTE(TRIM(A287),"'","''")&amp;"' AND estado = 1 LIMIT 1)"&amp;" AND upper(x.direccion) = upper("&amp;IF(TRIM(D287&amp;"")="","NULL","'"&amp;SUBSTITUTE(TRIM(D287),"'","''")&amp;"'")&amp;"));")</f>
        <v/>
      </c>
    </row>
    <row r="288" ht="15.75" customHeight="1" s="64">
      <c r="A288" s="23" t="n"/>
      <c r="B288" s="25">
        <f t="array" ref="B288">IF(A288="","",IFERROR(IF(INDEX(Clientes!$D$5:$D$549,MATCH(A288,Clientes!$C$5:$C$549,0))&lt;&gt;"",INDEX(Clientes!$D$5:$D$549,MATCH(A288,Clientes!$C$5:$C$549,0)),TRIM(INDEX(Clientes!$E$5:$E$549,MATCH(A288,Clientes!$C$5:$C$549,0))&amp;" "&amp;INDEX(Clientes!$F$5:$F$549,MATCH(A288,Clientes!$C$5:$C$549,0)))),"NO EXISTE en Clientes"))</f>
        <v/>
      </c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>
        <f>IF(AND(A288="",D288=""),"",IF(A288="","FALTA doc. cliente",IF(B288="NO EXISTE en Clientes","CLIENTE no está en hoja Clientes",IF(D288="","FALTA dirección",IF(AND(H288&lt;&gt;"",OR(F288="",G288="")),"Distrito requiere departamento y provincia",IF(AND(G288&lt;&gt;"",F288=""),"Provincia requiere departamento",IF((I288&lt;&gt;"")&lt;&gt;(J288&lt;&gt;""),"Latitud y longitud van juntas","OK")))))))</f>
        <v/>
      </c>
      <c r="M288" s="28">
        <f>IF(L288&lt;&gt;"OK","","INSERT INTO cli_direcciones (id_cliente, descripcion, direccion, referencia, id_departamento, id_provincia, id_distrito, latitud, longitud, es_principal, estado) SELECT "&amp;"(SELECT id FROM cli_clientes WHERE numero_documento = '"&amp;SUBSTITUTE(TRIM(A288),"'","''")&amp;"' AND estado = 1 LIMIT 1)"&amp;", "&amp;IF(TRIM(C288&amp;"")="","NULL","'"&amp;SUBSTITUTE(TRIM(C288),"'","''")&amp;"'")&amp;", "&amp;IF(TRIM(D288&amp;"")="","NULL","'"&amp;SUBSTITUTE(TRIM(D288),"'","''")&amp;"'")&amp;", "&amp;IF(TRIM(E288&amp;"")="","NULL","'"&amp;SUBSTITUTE(TRIM(E288),"'","''")&amp;"'")&amp;", "&amp;IF(TRIM(F288&amp;"")="","NULL","(SELECT id FROM gen_departamento WHERE upper(nombre) = upper('"&amp;SUBSTITUTE(TRIM(F288),"'","''")&amp;"') AND estado = 1 LIMIT 1)")&amp;", "&amp;IF(OR(TRIM(F288&amp;"")="",TRIM(G288&amp;"")=""),"NULL","(SELECT p.id FROM gen_provincia p JOIN gen_departamento dp ON dp.id = p.id_departamento WHERE upper(p.nombre) = upper('"&amp;SUBSTITUTE(TRIM(G288),"'","''")&amp;"') AND upper(dp.nombre) = upper('"&amp;SUBSTITUTE(TRIM(F288),"'","''")&amp;"') AND p.estado = 1 LIMIT 1)")&amp;", "&amp;IF(OR(TRIM(F288&amp;"")="",TRIM(G288&amp;"")="",TRIM(H288&amp;"")=""),"NULL","(SELECT d.id FROM gen_distrito d JOIN gen_provincia p ON p.id = d.id_provincia JOIN gen_departamento dp ON dp.id = p.id_departamento WHERE upper(d.nombre) = upper('"&amp;SUBSTITUTE(TRIM(H288),"'","''")&amp;"') AND upper(p.nombre) = upper('"&amp;SUBSTITUTE(TRIM(G288),"'","''")&amp;"') AND upper(dp.nombre) = upper('"&amp;SUBSTITUTE(TRIM(F288),"'","''")&amp;"') AND d.estado = 1 LIMIT 1)")&amp;", "&amp;IF(I288&amp;""="","NULL",SUBSTITUTE(I288&amp;"",",","."))&amp;", "&amp;IF(J288&amp;""="","NULL",SUBSTITUTE(J288&amp;"",",","."))&amp;", "&amp;IF(UPPER(TRIM(K288&amp;""))="SI","TRUE","FALSE")&amp;", 1"&amp;" WHERE NOT EXISTS (SELECT 1 FROM cli_direcciones x WHERE x.id_cliente = "&amp;"(SELECT id FROM cli_clientes WHERE numero_documento = '"&amp;SUBSTITUTE(TRIM(A288),"'","''")&amp;"' AND estado = 1 LIMIT 1)"&amp;" AND upper(x.direccion) = upper("&amp;IF(TRIM(D288&amp;"")="","NULL","'"&amp;SUBSTITUTE(TRIM(D288),"'","''")&amp;"'")&amp;"));")</f>
        <v/>
      </c>
    </row>
    <row r="289" ht="15.75" customHeight="1" s="64">
      <c r="A289" s="23" t="n"/>
      <c r="B289" s="25">
        <f t="array" ref="B289">IF(A289="","",IFERROR(IF(INDEX(Clientes!$D$5:$D$549,MATCH(A289,Clientes!$C$5:$C$549,0))&lt;&gt;"",INDEX(Clientes!$D$5:$D$549,MATCH(A289,Clientes!$C$5:$C$549,0)),TRIM(INDEX(Clientes!$E$5:$E$549,MATCH(A289,Clientes!$C$5:$C$549,0))&amp;" "&amp;INDEX(Clientes!$F$5:$F$549,MATCH(A289,Clientes!$C$5:$C$549,0)))),"NO EXISTE en Clientes"))</f>
        <v/>
      </c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>
        <f>IF(AND(A289="",D289=""),"",IF(A289="","FALTA doc. cliente",IF(B289="NO EXISTE en Clientes","CLIENTE no está en hoja Clientes",IF(D289="","FALTA dirección",IF(AND(H289&lt;&gt;"",OR(F289="",G289="")),"Distrito requiere departamento y provincia",IF(AND(G289&lt;&gt;"",F289=""),"Provincia requiere departamento",IF((I289&lt;&gt;"")&lt;&gt;(J289&lt;&gt;""),"Latitud y longitud van juntas","OK")))))))</f>
        <v/>
      </c>
      <c r="M289" s="28">
        <f>IF(L289&lt;&gt;"OK","","INSERT INTO cli_direcciones (id_cliente, descripcion, direccion, referencia, id_departamento, id_provincia, id_distrito, latitud, longitud, es_principal, estado) SELECT "&amp;"(SELECT id FROM cli_clientes WHERE numero_documento = '"&amp;SUBSTITUTE(TRIM(A289),"'","''")&amp;"' AND estado = 1 LIMIT 1)"&amp;", "&amp;IF(TRIM(C289&amp;"")="","NULL","'"&amp;SUBSTITUTE(TRIM(C289),"'","''")&amp;"'")&amp;", "&amp;IF(TRIM(D289&amp;"")="","NULL","'"&amp;SUBSTITUTE(TRIM(D289),"'","''")&amp;"'")&amp;", "&amp;IF(TRIM(E289&amp;"")="","NULL","'"&amp;SUBSTITUTE(TRIM(E289),"'","''")&amp;"'")&amp;", "&amp;IF(TRIM(F289&amp;"")="","NULL","(SELECT id FROM gen_departamento WHERE upper(nombre) = upper('"&amp;SUBSTITUTE(TRIM(F289),"'","''")&amp;"') AND estado = 1 LIMIT 1)")&amp;", "&amp;IF(OR(TRIM(F289&amp;"")="",TRIM(G289&amp;"")=""),"NULL","(SELECT p.id FROM gen_provincia p JOIN gen_departamento dp ON dp.id = p.id_departamento WHERE upper(p.nombre) = upper('"&amp;SUBSTITUTE(TRIM(G289),"'","''")&amp;"') AND upper(dp.nombre) = upper('"&amp;SUBSTITUTE(TRIM(F289),"'","''")&amp;"') AND p.estado = 1 LIMIT 1)")&amp;", "&amp;IF(OR(TRIM(F289&amp;"")="",TRIM(G289&amp;"")="",TRIM(H289&amp;"")=""),"NULL","(SELECT d.id FROM gen_distrito d JOIN gen_provincia p ON p.id = d.id_provincia JOIN gen_departamento dp ON dp.id = p.id_departamento WHERE upper(d.nombre) = upper('"&amp;SUBSTITUTE(TRIM(H289),"'","''")&amp;"') AND upper(p.nombre) = upper('"&amp;SUBSTITUTE(TRIM(G289),"'","''")&amp;"') AND upper(dp.nombre) = upper('"&amp;SUBSTITUTE(TRIM(F289),"'","''")&amp;"') AND d.estado = 1 LIMIT 1)")&amp;", "&amp;IF(I289&amp;""="","NULL",SUBSTITUTE(I289&amp;"",",","."))&amp;", "&amp;IF(J289&amp;""="","NULL",SUBSTITUTE(J289&amp;"",",","."))&amp;", "&amp;IF(UPPER(TRIM(K289&amp;""))="SI","TRUE","FALSE")&amp;", 1"&amp;" WHERE NOT EXISTS (SELECT 1 FROM cli_direcciones x WHERE x.id_cliente = "&amp;"(SELECT id FROM cli_clientes WHERE numero_documento = '"&amp;SUBSTITUTE(TRIM(A289),"'","''")&amp;"' AND estado = 1 LIMIT 1)"&amp;" AND upper(x.direccion) = upper("&amp;IF(TRIM(D289&amp;"")="","NULL","'"&amp;SUBSTITUTE(TRIM(D289),"'","''")&amp;"'")&amp;"));")</f>
        <v/>
      </c>
    </row>
    <row r="290" ht="15.75" customHeight="1" s="64">
      <c r="A290" s="23" t="n"/>
      <c r="B290" s="25">
        <f t="array" ref="B290">IF(A290="","",IFERROR(IF(INDEX(Clientes!$D$5:$D$549,MATCH(A290,Clientes!$C$5:$C$549,0))&lt;&gt;"",INDEX(Clientes!$D$5:$D$549,MATCH(A290,Clientes!$C$5:$C$549,0)),TRIM(INDEX(Clientes!$E$5:$E$549,MATCH(A290,Clientes!$C$5:$C$549,0))&amp;" "&amp;INDEX(Clientes!$F$5:$F$549,MATCH(A290,Clientes!$C$5:$C$549,0)))),"NO EXISTE en Clientes"))</f>
        <v/>
      </c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>
        <f>IF(AND(A290="",D290=""),"",IF(A290="","FALTA doc. cliente",IF(B290="NO EXISTE en Clientes","CLIENTE no está en hoja Clientes",IF(D290="","FALTA dirección",IF(AND(H290&lt;&gt;"",OR(F290="",G290="")),"Distrito requiere departamento y provincia",IF(AND(G290&lt;&gt;"",F290=""),"Provincia requiere departamento",IF((I290&lt;&gt;"")&lt;&gt;(J290&lt;&gt;""),"Latitud y longitud van juntas","OK")))))))</f>
        <v/>
      </c>
      <c r="M290" s="28">
        <f>IF(L290&lt;&gt;"OK","","INSERT INTO cli_direcciones (id_cliente, descripcion, direccion, referencia, id_departamento, id_provincia, id_distrito, latitud, longitud, es_principal, estado) SELECT "&amp;"(SELECT id FROM cli_clientes WHERE numero_documento = '"&amp;SUBSTITUTE(TRIM(A290),"'","''")&amp;"' AND estado = 1 LIMIT 1)"&amp;", "&amp;IF(TRIM(C290&amp;"")="","NULL","'"&amp;SUBSTITUTE(TRIM(C290),"'","''")&amp;"'")&amp;", "&amp;IF(TRIM(D290&amp;"")="","NULL","'"&amp;SUBSTITUTE(TRIM(D290),"'","''")&amp;"'")&amp;", "&amp;IF(TRIM(E290&amp;"")="","NULL","'"&amp;SUBSTITUTE(TRIM(E290),"'","''")&amp;"'")&amp;", "&amp;IF(TRIM(F290&amp;"")="","NULL","(SELECT id FROM gen_departamento WHERE upper(nombre) = upper('"&amp;SUBSTITUTE(TRIM(F290),"'","''")&amp;"') AND estado = 1 LIMIT 1)")&amp;", "&amp;IF(OR(TRIM(F290&amp;"")="",TRIM(G290&amp;"")=""),"NULL","(SELECT p.id FROM gen_provincia p JOIN gen_departamento dp ON dp.id = p.id_departamento WHERE upper(p.nombre) = upper('"&amp;SUBSTITUTE(TRIM(G290),"'","''")&amp;"') AND upper(dp.nombre) = upper('"&amp;SUBSTITUTE(TRIM(F290),"'","''")&amp;"') AND p.estado = 1 LIMIT 1)")&amp;", "&amp;IF(OR(TRIM(F290&amp;"")="",TRIM(G290&amp;"")="",TRIM(H290&amp;"")=""),"NULL","(SELECT d.id FROM gen_distrito d JOIN gen_provincia p ON p.id = d.id_provincia JOIN gen_departamento dp ON dp.id = p.id_departamento WHERE upper(d.nombre) = upper('"&amp;SUBSTITUTE(TRIM(H290),"'","''")&amp;"') AND upper(p.nombre) = upper('"&amp;SUBSTITUTE(TRIM(G290),"'","''")&amp;"') AND upper(dp.nombre) = upper('"&amp;SUBSTITUTE(TRIM(F290),"'","''")&amp;"') AND d.estado = 1 LIMIT 1)")&amp;", "&amp;IF(I290&amp;""="","NULL",SUBSTITUTE(I290&amp;"",",","."))&amp;", "&amp;IF(J290&amp;""="","NULL",SUBSTITUTE(J290&amp;"",",","."))&amp;", "&amp;IF(UPPER(TRIM(K290&amp;""))="SI","TRUE","FALSE")&amp;", 1"&amp;" WHERE NOT EXISTS (SELECT 1 FROM cli_direcciones x WHERE x.id_cliente = "&amp;"(SELECT id FROM cli_clientes WHERE numero_documento = '"&amp;SUBSTITUTE(TRIM(A290),"'","''")&amp;"' AND estado = 1 LIMIT 1)"&amp;" AND upper(x.direccion) = upper("&amp;IF(TRIM(D290&amp;"")="","NULL","'"&amp;SUBSTITUTE(TRIM(D290),"'","''")&amp;"'")&amp;"));")</f>
        <v/>
      </c>
    </row>
    <row r="291" ht="15.75" customHeight="1" s="64">
      <c r="A291" s="23" t="n"/>
      <c r="B291" s="25">
        <f t="array" ref="B291">IF(A291="","",IFERROR(IF(INDEX(Clientes!$D$5:$D$549,MATCH(A291,Clientes!$C$5:$C$549,0))&lt;&gt;"",INDEX(Clientes!$D$5:$D$549,MATCH(A291,Clientes!$C$5:$C$549,0)),TRIM(INDEX(Clientes!$E$5:$E$549,MATCH(A291,Clientes!$C$5:$C$549,0))&amp;" "&amp;INDEX(Clientes!$F$5:$F$549,MATCH(A291,Clientes!$C$5:$C$549,0)))),"NO EXISTE en Clientes"))</f>
        <v/>
      </c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>
        <f>IF(AND(A291="",D291=""),"",IF(A291="","FALTA doc. cliente",IF(B291="NO EXISTE en Clientes","CLIENTE no está en hoja Clientes",IF(D291="","FALTA dirección",IF(AND(H291&lt;&gt;"",OR(F291="",G291="")),"Distrito requiere departamento y provincia",IF(AND(G291&lt;&gt;"",F291=""),"Provincia requiere departamento",IF((I291&lt;&gt;"")&lt;&gt;(J291&lt;&gt;""),"Latitud y longitud van juntas","OK")))))))</f>
        <v/>
      </c>
      <c r="M291" s="28">
        <f>IF(L291&lt;&gt;"OK","","INSERT INTO cli_direcciones (id_cliente, descripcion, direccion, referencia, id_departamento, id_provincia, id_distrito, latitud, longitud, es_principal, estado) SELECT "&amp;"(SELECT id FROM cli_clientes WHERE numero_documento = '"&amp;SUBSTITUTE(TRIM(A291),"'","''")&amp;"' AND estado = 1 LIMIT 1)"&amp;", "&amp;IF(TRIM(C291&amp;"")="","NULL","'"&amp;SUBSTITUTE(TRIM(C291),"'","''")&amp;"'")&amp;", "&amp;IF(TRIM(D291&amp;"")="","NULL","'"&amp;SUBSTITUTE(TRIM(D291),"'","''")&amp;"'")&amp;", "&amp;IF(TRIM(E291&amp;"")="","NULL","'"&amp;SUBSTITUTE(TRIM(E291),"'","''")&amp;"'")&amp;", "&amp;IF(TRIM(F291&amp;"")="","NULL","(SELECT id FROM gen_departamento WHERE upper(nombre) = upper('"&amp;SUBSTITUTE(TRIM(F291),"'","''")&amp;"') AND estado = 1 LIMIT 1)")&amp;", "&amp;IF(OR(TRIM(F291&amp;"")="",TRIM(G291&amp;"")=""),"NULL","(SELECT p.id FROM gen_provincia p JOIN gen_departamento dp ON dp.id = p.id_departamento WHERE upper(p.nombre) = upper('"&amp;SUBSTITUTE(TRIM(G291),"'","''")&amp;"') AND upper(dp.nombre) = upper('"&amp;SUBSTITUTE(TRIM(F291),"'","''")&amp;"') AND p.estado = 1 LIMIT 1)")&amp;", "&amp;IF(OR(TRIM(F291&amp;"")="",TRIM(G291&amp;"")="",TRIM(H291&amp;"")=""),"NULL","(SELECT d.id FROM gen_distrito d JOIN gen_provincia p ON p.id = d.id_provincia JOIN gen_departamento dp ON dp.id = p.id_departamento WHERE upper(d.nombre) = upper('"&amp;SUBSTITUTE(TRIM(H291),"'","''")&amp;"') AND upper(p.nombre) = upper('"&amp;SUBSTITUTE(TRIM(G291),"'","''")&amp;"') AND upper(dp.nombre) = upper('"&amp;SUBSTITUTE(TRIM(F291),"'","''")&amp;"') AND d.estado = 1 LIMIT 1)")&amp;", "&amp;IF(I291&amp;""="","NULL",SUBSTITUTE(I291&amp;"",",","."))&amp;", "&amp;IF(J291&amp;""="","NULL",SUBSTITUTE(J291&amp;"",",","."))&amp;", "&amp;IF(UPPER(TRIM(K291&amp;""))="SI","TRUE","FALSE")&amp;", 1"&amp;" WHERE NOT EXISTS (SELECT 1 FROM cli_direcciones x WHERE x.id_cliente = "&amp;"(SELECT id FROM cli_clientes WHERE numero_documento = '"&amp;SUBSTITUTE(TRIM(A291),"'","''")&amp;"' AND estado = 1 LIMIT 1)"&amp;" AND upper(x.direccion) = upper("&amp;IF(TRIM(D291&amp;"")="","NULL","'"&amp;SUBSTITUTE(TRIM(D291),"'","''")&amp;"'")&amp;"));")</f>
        <v/>
      </c>
    </row>
    <row r="292" ht="15.75" customHeight="1" s="64">
      <c r="A292" s="23" t="n"/>
      <c r="B292" s="25">
        <f t="array" ref="B292">IF(A292="","",IFERROR(IF(INDEX(Clientes!$D$5:$D$549,MATCH(A292,Clientes!$C$5:$C$549,0))&lt;&gt;"",INDEX(Clientes!$D$5:$D$549,MATCH(A292,Clientes!$C$5:$C$549,0)),TRIM(INDEX(Clientes!$E$5:$E$549,MATCH(A292,Clientes!$C$5:$C$549,0))&amp;" "&amp;INDEX(Clientes!$F$5:$F$549,MATCH(A292,Clientes!$C$5:$C$549,0)))),"NO EXISTE en Clientes"))</f>
        <v/>
      </c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>
        <f>IF(AND(A292="",D292=""),"",IF(A292="","FALTA doc. cliente",IF(B292="NO EXISTE en Clientes","CLIENTE no está en hoja Clientes",IF(D292="","FALTA dirección",IF(AND(H292&lt;&gt;"",OR(F292="",G292="")),"Distrito requiere departamento y provincia",IF(AND(G292&lt;&gt;"",F292=""),"Provincia requiere departamento",IF((I292&lt;&gt;"")&lt;&gt;(J292&lt;&gt;""),"Latitud y longitud van juntas","OK")))))))</f>
        <v/>
      </c>
      <c r="M292" s="28">
        <f>IF(L292&lt;&gt;"OK","","INSERT INTO cli_direcciones (id_cliente, descripcion, direccion, referencia, id_departamento, id_provincia, id_distrito, latitud, longitud, es_principal, estado) SELECT "&amp;"(SELECT id FROM cli_clientes WHERE numero_documento = '"&amp;SUBSTITUTE(TRIM(A292),"'","''")&amp;"' AND estado = 1 LIMIT 1)"&amp;", "&amp;IF(TRIM(C292&amp;"")="","NULL","'"&amp;SUBSTITUTE(TRIM(C292),"'","''")&amp;"'")&amp;", "&amp;IF(TRIM(D292&amp;"")="","NULL","'"&amp;SUBSTITUTE(TRIM(D292),"'","''")&amp;"'")&amp;", "&amp;IF(TRIM(E292&amp;"")="","NULL","'"&amp;SUBSTITUTE(TRIM(E292),"'","''")&amp;"'")&amp;", "&amp;IF(TRIM(F292&amp;"")="","NULL","(SELECT id FROM gen_departamento WHERE upper(nombre) = upper('"&amp;SUBSTITUTE(TRIM(F292),"'","''")&amp;"') AND estado = 1 LIMIT 1)")&amp;", "&amp;IF(OR(TRIM(F292&amp;"")="",TRIM(G292&amp;"")=""),"NULL","(SELECT p.id FROM gen_provincia p JOIN gen_departamento dp ON dp.id = p.id_departamento WHERE upper(p.nombre) = upper('"&amp;SUBSTITUTE(TRIM(G292),"'","''")&amp;"') AND upper(dp.nombre) = upper('"&amp;SUBSTITUTE(TRIM(F292),"'","''")&amp;"') AND p.estado = 1 LIMIT 1)")&amp;", "&amp;IF(OR(TRIM(F292&amp;"")="",TRIM(G292&amp;"")="",TRIM(H292&amp;"")=""),"NULL","(SELECT d.id FROM gen_distrito d JOIN gen_provincia p ON p.id = d.id_provincia JOIN gen_departamento dp ON dp.id = p.id_departamento WHERE upper(d.nombre) = upper('"&amp;SUBSTITUTE(TRIM(H292),"'","''")&amp;"') AND upper(p.nombre) = upper('"&amp;SUBSTITUTE(TRIM(G292),"'","''")&amp;"') AND upper(dp.nombre) = upper('"&amp;SUBSTITUTE(TRIM(F292),"'","''")&amp;"') AND d.estado = 1 LIMIT 1)")&amp;", "&amp;IF(I292&amp;""="","NULL",SUBSTITUTE(I292&amp;"",",","."))&amp;", "&amp;IF(J292&amp;""="","NULL",SUBSTITUTE(J292&amp;"",",","."))&amp;", "&amp;IF(UPPER(TRIM(K292&amp;""))="SI","TRUE","FALSE")&amp;", 1"&amp;" WHERE NOT EXISTS (SELECT 1 FROM cli_direcciones x WHERE x.id_cliente = "&amp;"(SELECT id FROM cli_clientes WHERE numero_documento = '"&amp;SUBSTITUTE(TRIM(A292),"'","''")&amp;"' AND estado = 1 LIMIT 1)"&amp;" AND upper(x.direccion) = upper("&amp;IF(TRIM(D292&amp;"")="","NULL","'"&amp;SUBSTITUTE(TRIM(D292),"'","''")&amp;"'")&amp;"));")</f>
        <v/>
      </c>
    </row>
    <row r="293" ht="15.75" customHeight="1" s="64">
      <c r="A293" s="23" t="n"/>
      <c r="B293" s="25">
        <f t="array" ref="B293">IF(A293="","",IFERROR(IF(INDEX(Clientes!$D$5:$D$549,MATCH(A293,Clientes!$C$5:$C$549,0))&lt;&gt;"",INDEX(Clientes!$D$5:$D$549,MATCH(A293,Clientes!$C$5:$C$549,0)),TRIM(INDEX(Clientes!$E$5:$E$549,MATCH(A293,Clientes!$C$5:$C$549,0))&amp;" "&amp;INDEX(Clientes!$F$5:$F$549,MATCH(A293,Clientes!$C$5:$C$549,0)))),"NO EXISTE en Clientes"))</f>
        <v/>
      </c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>
        <f>IF(AND(A293="",D293=""),"",IF(A293="","FALTA doc. cliente",IF(B293="NO EXISTE en Clientes","CLIENTE no está en hoja Clientes",IF(D293="","FALTA dirección",IF(AND(H293&lt;&gt;"",OR(F293="",G293="")),"Distrito requiere departamento y provincia",IF(AND(G293&lt;&gt;"",F293=""),"Provincia requiere departamento",IF((I293&lt;&gt;"")&lt;&gt;(J293&lt;&gt;""),"Latitud y longitud van juntas","OK")))))))</f>
        <v/>
      </c>
      <c r="M293" s="28">
        <f>IF(L293&lt;&gt;"OK","","INSERT INTO cli_direcciones (id_cliente, descripcion, direccion, referencia, id_departamento, id_provincia, id_distrito, latitud, longitud, es_principal, estado) SELECT "&amp;"(SELECT id FROM cli_clientes WHERE numero_documento = '"&amp;SUBSTITUTE(TRIM(A293),"'","''")&amp;"' AND estado = 1 LIMIT 1)"&amp;", "&amp;IF(TRIM(C293&amp;"")="","NULL","'"&amp;SUBSTITUTE(TRIM(C293),"'","''")&amp;"'")&amp;", "&amp;IF(TRIM(D293&amp;"")="","NULL","'"&amp;SUBSTITUTE(TRIM(D293),"'","''")&amp;"'")&amp;", "&amp;IF(TRIM(E293&amp;"")="","NULL","'"&amp;SUBSTITUTE(TRIM(E293),"'","''")&amp;"'")&amp;", "&amp;IF(TRIM(F293&amp;"")="","NULL","(SELECT id FROM gen_departamento WHERE upper(nombre) = upper('"&amp;SUBSTITUTE(TRIM(F293),"'","''")&amp;"') AND estado = 1 LIMIT 1)")&amp;", "&amp;IF(OR(TRIM(F293&amp;"")="",TRIM(G293&amp;"")=""),"NULL","(SELECT p.id FROM gen_provincia p JOIN gen_departamento dp ON dp.id = p.id_departamento WHERE upper(p.nombre) = upper('"&amp;SUBSTITUTE(TRIM(G293),"'","''")&amp;"') AND upper(dp.nombre) = upper('"&amp;SUBSTITUTE(TRIM(F293),"'","''")&amp;"') AND p.estado = 1 LIMIT 1)")&amp;", "&amp;IF(OR(TRIM(F293&amp;"")="",TRIM(G293&amp;"")="",TRIM(H293&amp;"")=""),"NULL","(SELECT d.id FROM gen_distrito d JOIN gen_provincia p ON p.id = d.id_provincia JOIN gen_departamento dp ON dp.id = p.id_departamento WHERE upper(d.nombre) = upper('"&amp;SUBSTITUTE(TRIM(H293),"'","''")&amp;"') AND upper(p.nombre) = upper('"&amp;SUBSTITUTE(TRIM(G293),"'","''")&amp;"') AND upper(dp.nombre) = upper('"&amp;SUBSTITUTE(TRIM(F293),"'","''")&amp;"') AND d.estado = 1 LIMIT 1)")&amp;", "&amp;IF(I293&amp;""="","NULL",SUBSTITUTE(I293&amp;"",",","."))&amp;", "&amp;IF(J293&amp;""="","NULL",SUBSTITUTE(J293&amp;"",",","."))&amp;", "&amp;IF(UPPER(TRIM(K293&amp;""))="SI","TRUE","FALSE")&amp;", 1"&amp;" WHERE NOT EXISTS (SELECT 1 FROM cli_direcciones x WHERE x.id_cliente = "&amp;"(SELECT id FROM cli_clientes WHERE numero_documento = '"&amp;SUBSTITUTE(TRIM(A293),"'","''")&amp;"' AND estado = 1 LIMIT 1)"&amp;" AND upper(x.direccion) = upper("&amp;IF(TRIM(D293&amp;"")="","NULL","'"&amp;SUBSTITUTE(TRIM(D293),"'","''")&amp;"'")&amp;"));")</f>
        <v/>
      </c>
    </row>
    <row r="294" ht="15.75" customHeight="1" s="64">
      <c r="A294" s="23" t="n"/>
      <c r="B294" s="25">
        <f t="array" ref="B294">IF(A294="","",IFERROR(IF(INDEX(Clientes!$D$5:$D$549,MATCH(A294,Clientes!$C$5:$C$549,0))&lt;&gt;"",INDEX(Clientes!$D$5:$D$549,MATCH(A294,Clientes!$C$5:$C$549,0)),TRIM(INDEX(Clientes!$E$5:$E$549,MATCH(A294,Clientes!$C$5:$C$549,0))&amp;" "&amp;INDEX(Clientes!$F$5:$F$549,MATCH(A294,Clientes!$C$5:$C$549,0)))),"NO EXISTE en Clientes"))</f>
        <v/>
      </c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>
        <f>IF(AND(A294="",D294=""),"",IF(A294="","FALTA doc. cliente",IF(B294="NO EXISTE en Clientes","CLIENTE no está en hoja Clientes",IF(D294="","FALTA dirección",IF(AND(H294&lt;&gt;"",OR(F294="",G294="")),"Distrito requiere departamento y provincia",IF(AND(G294&lt;&gt;"",F294=""),"Provincia requiere departamento",IF((I294&lt;&gt;"")&lt;&gt;(J294&lt;&gt;""),"Latitud y longitud van juntas","OK")))))))</f>
        <v/>
      </c>
      <c r="M294" s="28">
        <f>IF(L294&lt;&gt;"OK","","INSERT INTO cli_direcciones (id_cliente, descripcion, direccion, referencia, id_departamento, id_provincia, id_distrito, latitud, longitud, es_principal, estado) SELECT "&amp;"(SELECT id FROM cli_clientes WHERE numero_documento = '"&amp;SUBSTITUTE(TRIM(A294),"'","''")&amp;"' AND estado = 1 LIMIT 1)"&amp;", "&amp;IF(TRIM(C294&amp;"")="","NULL","'"&amp;SUBSTITUTE(TRIM(C294),"'","''")&amp;"'")&amp;", "&amp;IF(TRIM(D294&amp;"")="","NULL","'"&amp;SUBSTITUTE(TRIM(D294),"'","''")&amp;"'")&amp;", "&amp;IF(TRIM(E294&amp;"")="","NULL","'"&amp;SUBSTITUTE(TRIM(E294),"'","''")&amp;"'")&amp;", "&amp;IF(TRIM(F294&amp;"")="","NULL","(SELECT id FROM gen_departamento WHERE upper(nombre) = upper('"&amp;SUBSTITUTE(TRIM(F294),"'","''")&amp;"') AND estado = 1 LIMIT 1)")&amp;", "&amp;IF(OR(TRIM(F294&amp;"")="",TRIM(G294&amp;"")=""),"NULL","(SELECT p.id FROM gen_provincia p JOIN gen_departamento dp ON dp.id = p.id_departamento WHERE upper(p.nombre) = upper('"&amp;SUBSTITUTE(TRIM(G294),"'","''")&amp;"') AND upper(dp.nombre) = upper('"&amp;SUBSTITUTE(TRIM(F294),"'","''")&amp;"') AND p.estado = 1 LIMIT 1)")&amp;", "&amp;IF(OR(TRIM(F294&amp;"")="",TRIM(G294&amp;"")="",TRIM(H294&amp;"")=""),"NULL","(SELECT d.id FROM gen_distrito d JOIN gen_provincia p ON p.id = d.id_provincia JOIN gen_departamento dp ON dp.id = p.id_departamento WHERE upper(d.nombre) = upper('"&amp;SUBSTITUTE(TRIM(H294),"'","''")&amp;"') AND upper(p.nombre) = upper('"&amp;SUBSTITUTE(TRIM(G294),"'","''")&amp;"') AND upper(dp.nombre) = upper('"&amp;SUBSTITUTE(TRIM(F294),"'","''")&amp;"') AND d.estado = 1 LIMIT 1)")&amp;", "&amp;IF(I294&amp;""="","NULL",SUBSTITUTE(I294&amp;"",",","."))&amp;", "&amp;IF(J294&amp;""="","NULL",SUBSTITUTE(J294&amp;"",",","."))&amp;", "&amp;IF(UPPER(TRIM(K294&amp;""))="SI","TRUE","FALSE")&amp;", 1"&amp;" WHERE NOT EXISTS (SELECT 1 FROM cli_direcciones x WHERE x.id_cliente = "&amp;"(SELECT id FROM cli_clientes WHERE numero_documento = '"&amp;SUBSTITUTE(TRIM(A294),"'","''")&amp;"' AND estado = 1 LIMIT 1)"&amp;" AND upper(x.direccion) = upper("&amp;IF(TRIM(D294&amp;"")="","NULL","'"&amp;SUBSTITUTE(TRIM(D294),"'","''")&amp;"'")&amp;"));")</f>
        <v/>
      </c>
    </row>
    <row r="295" ht="15.75" customHeight="1" s="64">
      <c r="A295" s="23" t="n"/>
      <c r="B295" s="25">
        <f t="array" ref="B295">IF(A295="","",IFERROR(IF(INDEX(Clientes!$D$5:$D$549,MATCH(A295,Clientes!$C$5:$C$549,0))&lt;&gt;"",INDEX(Clientes!$D$5:$D$549,MATCH(A295,Clientes!$C$5:$C$549,0)),TRIM(INDEX(Clientes!$E$5:$E$549,MATCH(A295,Clientes!$C$5:$C$549,0))&amp;" "&amp;INDEX(Clientes!$F$5:$F$549,MATCH(A295,Clientes!$C$5:$C$549,0)))),"NO EXISTE en Clientes"))</f>
        <v/>
      </c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>
        <f>IF(AND(A295="",D295=""),"",IF(A295="","FALTA doc. cliente",IF(B295="NO EXISTE en Clientes","CLIENTE no está en hoja Clientes",IF(D295="","FALTA dirección",IF(AND(H295&lt;&gt;"",OR(F295="",G295="")),"Distrito requiere departamento y provincia",IF(AND(G295&lt;&gt;"",F295=""),"Provincia requiere departamento",IF((I295&lt;&gt;"")&lt;&gt;(J295&lt;&gt;""),"Latitud y longitud van juntas","OK")))))))</f>
        <v/>
      </c>
      <c r="M295" s="28">
        <f>IF(L295&lt;&gt;"OK","","INSERT INTO cli_direcciones (id_cliente, descripcion, direccion, referencia, id_departamento, id_provincia, id_distrito, latitud, longitud, es_principal, estado) SELECT "&amp;"(SELECT id FROM cli_clientes WHERE numero_documento = '"&amp;SUBSTITUTE(TRIM(A295),"'","''")&amp;"' AND estado = 1 LIMIT 1)"&amp;", "&amp;IF(TRIM(C295&amp;"")="","NULL","'"&amp;SUBSTITUTE(TRIM(C295),"'","''")&amp;"'")&amp;", "&amp;IF(TRIM(D295&amp;"")="","NULL","'"&amp;SUBSTITUTE(TRIM(D295),"'","''")&amp;"'")&amp;", "&amp;IF(TRIM(E295&amp;"")="","NULL","'"&amp;SUBSTITUTE(TRIM(E295),"'","''")&amp;"'")&amp;", "&amp;IF(TRIM(F295&amp;"")="","NULL","(SELECT id FROM gen_departamento WHERE upper(nombre) = upper('"&amp;SUBSTITUTE(TRIM(F295),"'","''")&amp;"') AND estado = 1 LIMIT 1)")&amp;", "&amp;IF(OR(TRIM(F295&amp;"")="",TRIM(G295&amp;"")=""),"NULL","(SELECT p.id FROM gen_provincia p JOIN gen_departamento dp ON dp.id = p.id_departamento WHERE upper(p.nombre) = upper('"&amp;SUBSTITUTE(TRIM(G295),"'","''")&amp;"') AND upper(dp.nombre) = upper('"&amp;SUBSTITUTE(TRIM(F295),"'","''")&amp;"') AND p.estado = 1 LIMIT 1)")&amp;", "&amp;IF(OR(TRIM(F295&amp;"")="",TRIM(G295&amp;"")="",TRIM(H295&amp;"")=""),"NULL","(SELECT d.id FROM gen_distrito d JOIN gen_provincia p ON p.id = d.id_provincia JOIN gen_departamento dp ON dp.id = p.id_departamento WHERE upper(d.nombre) = upper('"&amp;SUBSTITUTE(TRIM(H295),"'","''")&amp;"') AND upper(p.nombre) = upper('"&amp;SUBSTITUTE(TRIM(G295),"'","''")&amp;"') AND upper(dp.nombre) = upper('"&amp;SUBSTITUTE(TRIM(F295),"'","''")&amp;"') AND d.estado = 1 LIMIT 1)")&amp;", "&amp;IF(I295&amp;""="","NULL",SUBSTITUTE(I295&amp;"",",","."))&amp;", "&amp;IF(J295&amp;""="","NULL",SUBSTITUTE(J295&amp;"",",","."))&amp;", "&amp;IF(UPPER(TRIM(K295&amp;""))="SI","TRUE","FALSE")&amp;", 1"&amp;" WHERE NOT EXISTS (SELECT 1 FROM cli_direcciones x WHERE x.id_cliente = "&amp;"(SELECT id FROM cli_clientes WHERE numero_documento = '"&amp;SUBSTITUTE(TRIM(A295),"'","''")&amp;"' AND estado = 1 LIMIT 1)"&amp;" AND upper(x.direccion) = upper("&amp;IF(TRIM(D295&amp;"")="","NULL","'"&amp;SUBSTITUTE(TRIM(D295),"'","''")&amp;"'")&amp;"));")</f>
        <v/>
      </c>
    </row>
    <row r="296" ht="15.75" customHeight="1" s="64">
      <c r="A296" s="23" t="n"/>
      <c r="B296" s="25">
        <f t="array" ref="B296">IF(A296="","",IFERROR(IF(INDEX(Clientes!$D$5:$D$549,MATCH(A296,Clientes!$C$5:$C$549,0))&lt;&gt;"",INDEX(Clientes!$D$5:$D$549,MATCH(A296,Clientes!$C$5:$C$549,0)),TRIM(INDEX(Clientes!$E$5:$E$549,MATCH(A296,Clientes!$C$5:$C$549,0))&amp;" "&amp;INDEX(Clientes!$F$5:$F$549,MATCH(A296,Clientes!$C$5:$C$549,0)))),"NO EXISTE en Clientes"))</f>
        <v/>
      </c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>
        <f>IF(AND(A296="",D296=""),"",IF(A296="","FALTA doc. cliente",IF(B296="NO EXISTE en Clientes","CLIENTE no está en hoja Clientes",IF(D296="","FALTA dirección",IF(AND(H296&lt;&gt;"",OR(F296="",G296="")),"Distrito requiere departamento y provincia",IF(AND(G296&lt;&gt;"",F296=""),"Provincia requiere departamento",IF((I296&lt;&gt;"")&lt;&gt;(J296&lt;&gt;""),"Latitud y longitud van juntas","OK")))))))</f>
        <v/>
      </c>
      <c r="M296" s="28">
        <f>IF(L296&lt;&gt;"OK","","INSERT INTO cli_direcciones (id_cliente, descripcion, direccion, referencia, id_departamento, id_provincia, id_distrito, latitud, longitud, es_principal, estado) SELECT "&amp;"(SELECT id FROM cli_clientes WHERE numero_documento = '"&amp;SUBSTITUTE(TRIM(A296),"'","''")&amp;"' AND estado = 1 LIMIT 1)"&amp;", "&amp;IF(TRIM(C296&amp;"")="","NULL","'"&amp;SUBSTITUTE(TRIM(C296),"'","''")&amp;"'")&amp;", "&amp;IF(TRIM(D296&amp;"")="","NULL","'"&amp;SUBSTITUTE(TRIM(D296),"'","''")&amp;"'")&amp;", "&amp;IF(TRIM(E296&amp;"")="","NULL","'"&amp;SUBSTITUTE(TRIM(E296),"'","''")&amp;"'")&amp;", "&amp;IF(TRIM(F296&amp;"")="","NULL","(SELECT id FROM gen_departamento WHERE upper(nombre) = upper('"&amp;SUBSTITUTE(TRIM(F296),"'","''")&amp;"') AND estado = 1 LIMIT 1)")&amp;", "&amp;IF(OR(TRIM(F296&amp;"")="",TRIM(G296&amp;"")=""),"NULL","(SELECT p.id FROM gen_provincia p JOIN gen_departamento dp ON dp.id = p.id_departamento WHERE upper(p.nombre) = upper('"&amp;SUBSTITUTE(TRIM(G296),"'","''")&amp;"') AND upper(dp.nombre) = upper('"&amp;SUBSTITUTE(TRIM(F296),"'","''")&amp;"') AND p.estado = 1 LIMIT 1)")&amp;", "&amp;IF(OR(TRIM(F296&amp;"")="",TRIM(G296&amp;"")="",TRIM(H296&amp;"")=""),"NULL","(SELECT d.id FROM gen_distrito d JOIN gen_provincia p ON p.id = d.id_provincia JOIN gen_departamento dp ON dp.id = p.id_departamento WHERE upper(d.nombre) = upper('"&amp;SUBSTITUTE(TRIM(H296),"'","''")&amp;"') AND upper(p.nombre) = upper('"&amp;SUBSTITUTE(TRIM(G296),"'","''")&amp;"') AND upper(dp.nombre) = upper('"&amp;SUBSTITUTE(TRIM(F296),"'","''")&amp;"') AND d.estado = 1 LIMIT 1)")&amp;", "&amp;IF(I296&amp;""="","NULL",SUBSTITUTE(I296&amp;"",",","."))&amp;", "&amp;IF(J296&amp;""="","NULL",SUBSTITUTE(J296&amp;"",",","."))&amp;", "&amp;IF(UPPER(TRIM(K296&amp;""))="SI","TRUE","FALSE")&amp;", 1"&amp;" WHERE NOT EXISTS (SELECT 1 FROM cli_direcciones x WHERE x.id_cliente = "&amp;"(SELECT id FROM cli_clientes WHERE numero_documento = '"&amp;SUBSTITUTE(TRIM(A296),"'","''")&amp;"' AND estado = 1 LIMIT 1)"&amp;" AND upper(x.direccion) = upper("&amp;IF(TRIM(D296&amp;"")="","NULL","'"&amp;SUBSTITUTE(TRIM(D296),"'","''")&amp;"'")&amp;"));")</f>
        <v/>
      </c>
    </row>
    <row r="297" ht="15.75" customHeight="1" s="64">
      <c r="A297" s="23" t="n"/>
      <c r="B297" s="25">
        <f t="array" ref="B297">IF(A297="","",IFERROR(IF(INDEX(Clientes!$D$5:$D$549,MATCH(A297,Clientes!$C$5:$C$549,0))&lt;&gt;"",INDEX(Clientes!$D$5:$D$549,MATCH(A297,Clientes!$C$5:$C$549,0)),TRIM(INDEX(Clientes!$E$5:$E$549,MATCH(A297,Clientes!$C$5:$C$549,0))&amp;" "&amp;INDEX(Clientes!$F$5:$F$549,MATCH(A297,Clientes!$C$5:$C$549,0)))),"NO EXISTE en Clientes"))</f>
        <v/>
      </c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>
        <f>IF(AND(A297="",D297=""),"",IF(A297="","FALTA doc. cliente",IF(B297="NO EXISTE en Clientes","CLIENTE no está en hoja Clientes",IF(D297="","FALTA dirección",IF(AND(H297&lt;&gt;"",OR(F297="",G297="")),"Distrito requiere departamento y provincia",IF(AND(G297&lt;&gt;"",F297=""),"Provincia requiere departamento",IF((I297&lt;&gt;"")&lt;&gt;(J297&lt;&gt;""),"Latitud y longitud van juntas","OK")))))))</f>
        <v/>
      </c>
      <c r="M297" s="28">
        <f>IF(L297&lt;&gt;"OK","","INSERT INTO cli_direcciones (id_cliente, descripcion, direccion, referencia, id_departamento, id_provincia, id_distrito, latitud, longitud, es_principal, estado) SELECT "&amp;"(SELECT id FROM cli_clientes WHERE numero_documento = '"&amp;SUBSTITUTE(TRIM(A297),"'","''")&amp;"' AND estado = 1 LIMIT 1)"&amp;", "&amp;IF(TRIM(C297&amp;"")="","NULL","'"&amp;SUBSTITUTE(TRIM(C297),"'","''")&amp;"'")&amp;", "&amp;IF(TRIM(D297&amp;"")="","NULL","'"&amp;SUBSTITUTE(TRIM(D297),"'","''")&amp;"'")&amp;", "&amp;IF(TRIM(E297&amp;"")="","NULL","'"&amp;SUBSTITUTE(TRIM(E297),"'","''")&amp;"'")&amp;", "&amp;IF(TRIM(F297&amp;"")="","NULL","(SELECT id FROM gen_departamento WHERE upper(nombre) = upper('"&amp;SUBSTITUTE(TRIM(F297),"'","''")&amp;"') AND estado = 1 LIMIT 1)")&amp;", "&amp;IF(OR(TRIM(F297&amp;"")="",TRIM(G297&amp;"")=""),"NULL","(SELECT p.id FROM gen_provincia p JOIN gen_departamento dp ON dp.id = p.id_departamento WHERE upper(p.nombre) = upper('"&amp;SUBSTITUTE(TRIM(G297),"'","''")&amp;"') AND upper(dp.nombre) = upper('"&amp;SUBSTITUTE(TRIM(F297),"'","''")&amp;"') AND p.estado = 1 LIMIT 1)")&amp;", "&amp;IF(OR(TRIM(F297&amp;"")="",TRIM(G297&amp;"")="",TRIM(H297&amp;"")=""),"NULL","(SELECT d.id FROM gen_distrito d JOIN gen_provincia p ON p.id = d.id_provincia JOIN gen_departamento dp ON dp.id = p.id_departamento WHERE upper(d.nombre) = upper('"&amp;SUBSTITUTE(TRIM(H297),"'","''")&amp;"') AND upper(p.nombre) = upper('"&amp;SUBSTITUTE(TRIM(G297),"'","''")&amp;"') AND upper(dp.nombre) = upper('"&amp;SUBSTITUTE(TRIM(F297),"'","''")&amp;"') AND d.estado = 1 LIMIT 1)")&amp;", "&amp;IF(I297&amp;""="","NULL",SUBSTITUTE(I297&amp;"",",","."))&amp;", "&amp;IF(J297&amp;""="","NULL",SUBSTITUTE(J297&amp;"",",","."))&amp;", "&amp;IF(UPPER(TRIM(K297&amp;""))="SI","TRUE","FALSE")&amp;", 1"&amp;" WHERE NOT EXISTS (SELECT 1 FROM cli_direcciones x WHERE x.id_cliente = "&amp;"(SELECT id FROM cli_clientes WHERE numero_documento = '"&amp;SUBSTITUTE(TRIM(A297),"'","''")&amp;"' AND estado = 1 LIMIT 1)"&amp;" AND upper(x.direccion) = upper("&amp;IF(TRIM(D297&amp;"")="","NULL","'"&amp;SUBSTITUTE(TRIM(D297),"'","''")&amp;"'")&amp;"));")</f>
        <v/>
      </c>
    </row>
    <row r="298" ht="15.75" customHeight="1" s="64">
      <c r="A298" s="23" t="n"/>
      <c r="B298" s="25">
        <f t="array" ref="B298">IF(A298="","",IFERROR(IF(INDEX(Clientes!$D$5:$D$549,MATCH(A298,Clientes!$C$5:$C$549,0))&lt;&gt;"",INDEX(Clientes!$D$5:$D$549,MATCH(A298,Clientes!$C$5:$C$549,0)),TRIM(INDEX(Clientes!$E$5:$E$549,MATCH(A298,Clientes!$C$5:$C$549,0))&amp;" "&amp;INDEX(Clientes!$F$5:$F$549,MATCH(A298,Clientes!$C$5:$C$549,0)))),"NO EXISTE en Clientes"))</f>
        <v/>
      </c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>
        <f>IF(AND(A298="",D298=""),"",IF(A298="","FALTA doc. cliente",IF(B298="NO EXISTE en Clientes","CLIENTE no está en hoja Clientes",IF(D298="","FALTA dirección",IF(AND(H298&lt;&gt;"",OR(F298="",G298="")),"Distrito requiere departamento y provincia",IF(AND(G298&lt;&gt;"",F298=""),"Provincia requiere departamento",IF((I298&lt;&gt;"")&lt;&gt;(J298&lt;&gt;""),"Latitud y longitud van juntas","OK")))))))</f>
        <v/>
      </c>
      <c r="M298" s="28">
        <f>IF(L298&lt;&gt;"OK","","INSERT INTO cli_direcciones (id_cliente, descripcion, direccion, referencia, id_departamento, id_provincia, id_distrito, latitud, longitud, es_principal, estado) SELECT "&amp;"(SELECT id FROM cli_clientes WHERE numero_documento = '"&amp;SUBSTITUTE(TRIM(A298),"'","''")&amp;"' AND estado = 1 LIMIT 1)"&amp;", "&amp;IF(TRIM(C298&amp;"")="","NULL","'"&amp;SUBSTITUTE(TRIM(C298),"'","''")&amp;"'")&amp;", "&amp;IF(TRIM(D298&amp;"")="","NULL","'"&amp;SUBSTITUTE(TRIM(D298),"'","''")&amp;"'")&amp;", "&amp;IF(TRIM(E298&amp;"")="","NULL","'"&amp;SUBSTITUTE(TRIM(E298),"'","''")&amp;"'")&amp;", "&amp;IF(TRIM(F298&amp;"")="","NULL","(SELECT id FROM gen_departamento WHERE upper(nombre) = upper('"&amp;SUBSTITUTE(TRIM(F298),"'","''")&amp;"') AND estado = 1 LIMIT 1)")&amp;", "&amp;IF(OR(TRIM(F298&amp;"")="",TRIM(G298&amp;"")=""),"NULL","(SELECT p.id FROM gen_provincia p JOIN gen_departamento dp ON dp.id = p.id_departamento WHERE upper(p.nombre) = upper('"&amp;SUBSTITUTE(TRIM(G298),"'","''")&amp;"') AND upper(dp.nombre) = upper('"&amp;SUBSTITUTE(TRIM(F298),"'","''")&amp;"') AND p.estado = 1 LIMIT 1)")&amp;", "&amp;IF(OR(TRIM(F298&amp;"")="",TRIM(G298&amp;"")="",TRIM(H298&amp;"")=""),"NULL","(SELECT d.id FROM gen_distrito d JOIN gen_provincia p ON p.id = d.id_provincia JOIN gen_departamento dp ON dp.id = p.id_departamento WHERE upper(d.nombre) = upper('"&amp;SUBSTITUTE(TRIM(H298),"'","''")&amp;"') AND upper(p.nombre) = upper('"&amp;SUBSTITUTE(TRIM(G298),"'","''")&amp;"') AND upper(dp.nombre) = upper('"&amp;SUBSTITUTE(TRIM(F298),"'","''")&amp;"') AND d.estado = 1 LIMIT 1)")&amp;", "&amp;IF(I298&amp;""="","NULL",SUBSTITUTE(I298&amp;"",",","."))&amp;", "&amp;IF(J298&amp;""="","NULL",SUBSTITUTE(J298&amp;"",",","."))&amp;", "&amp;IF(UPPER(TRIM(K298&amp;""))="SI","TRUE","FALSE")&amp;", 1"&amp;" WHERE NOT EXISTS (SELECT 1 FROM cli_direcciones x WHERE x.id_cliente = "&amp;"(SELECT id FROM cli_clientes WHERE numero_documento = '"&amp;SUBSTITUTE(TRIM(A298),"'","''")&amp;"' AND estado = 1 LIMIT 1)"&amp;" AND upper(x.direccion) = upper("&amp;IF(TRIM(D298&amp;"")="","NULL","'"&amp;SUBSTITUTE(TRIM(D298),"'","''")&amp;"'")&amp;"));")</f>
        <v/>
      </c>
    </row>
    <row r="299" ht="15.75" customHeight="1" s="64">
      <c r="A299" s="23" t="n"/>
      <c r="B299" s="25">
        <f t="array" ref="B299">IF(A299="","",IFERROR(IF(INDEX(Clientes!$D$5:$D$549,MATCH(A299,Clientes!$C$5:$C$549,0))&lt;&gt;"",INDEX(Clientes!$D$5:$D$549,MATCH(A299,Clientes!$C$5:$C$549,0)),TRIM(INDEX(Clientes!$E$5:$E$549,MATCH(A299,Clientes!$C$5:$C$549,0))&amp;" "&amp;INDEX(Clientes!$F$5:$F$549,MATCH(A299,Clientes!$C$5:$C$549,0)))),"NO EXISTE en Clientes"))</f>
        <v/>
      </c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>
        <f>IF(AND(A299="",D299=""),"",IF(A299="","FALTA doc. cliente",IF(B299="NO EXISTE en Clientes","CLIENTE no está en hoja Clientes",IF(D299="","FALTA dirección",IF(AND(H299&lt;&gt;"",OR(F299="",G299="")),"Distrito requiere departamento y provincia",IF(AND(G299&lt;&gt;"",F299=""),"Provincia requiere departamento",IF((I299&lt;&gt;"")&lt;&gt;(J299&lt;&gt;""),"Latitud y longitud van juntas","OK")))))))</f>
        <v/>
      </c>
      <c r="M299" s="28">
        <f>IF(L299&lt;&gt;"OK","","INSERT INTO cli_direcciones (id_cliente, descripcion, direccion, referencia, id_departamento, id_provincia, id_distrito, latitud, longitud, es_principal, estado) SELECT "&amp;"(SELECT id FROM cli_clientes WHERE numero_documento = '"&amp;SUBSTITUTE(TRIM(A299),"'","''")&amp;"' AND estado = 1 LIMIT 1)"&amp;", "&amp;IF(TRIM(C299&amp;"")="","NULL","'"&amp;SUBSTITUTE(TRIM(C299),"'","''")&amp;"'")&amp;", "&amp;IF(TRIM(D299&amp;"")="","NULL","'"&amp;SUBSTITUTE(TRIM(D299),"'","''")&amp;"'")&amp;", "&amp;IF(TRIM(E299&amp;"")="","NULL","'"&amp;SUBSTITUTE(TRIM(E299),"'","''")&amp;"'")&amp;", "&amp;IF(TRIM(F299&amp;"")="","NULL","(SELECT id FROM gen_departamento WHERE upper(nombre) = upper('"&amp;SUBSTITUTE(TRIM(F299),"'","''")&amp;"') AND estado = 1 LIMIT 1)")&amp;", "&amp;IF(OR(TRIM(F299&amp;"")="",TRIM(G299&amp;"")=""),"NULL","(SELECT p.id FROM gen_provincia p JOIN gen_departamento dp ON dp.id = p.id_departamento WHERE upper(p.nombre) = upper('"&amp;SUBSTITUTE(TRIM(G299),"'","''")&amp;"') AND upper(dp.nombre) = upper('"&amp;SUBSTITUTE(TRIM(F299),"'","''")&amp;"') AND p.estado = 1 LIMIT 1)")&amp;", "&amp;IF(OR(TRIM(F299&amp;"")="",TRIM(G299&amp;"")="",TRIM(H299&amp;"")=""),"NULL","(SELECT d.id FROM gen_distrito d JOIN gen_provincia p ON p.id = d.id_provincia JOIN gen_departamento dp ON dp.id = p.id_departamento WHERE upper(d.nombre) = upper('"&amp;SUBSTITUTE(TRIM(H299),"'","''")&amp;"') AND upper(p.nombre) = upper('"&amp;SUBSTITUTE(TRIM(G299),"'","''")&amp;"') AND upper(dp.nombre) = upper('"&amp;SUBSTITUTE(TRIM(F299),"'","''")&amp;"') AND d.estado = 1 LIMIT 1)")&amp;", "&amp;IF(I299&amp;""="","NULL",SUBSTITUTE(I299&amp;"",",","."))&amp;", "&amp;IF(J299&amp;""="","NULL",SUBSTITUTE(J299&amp;"",",","."))&amp;", "&amp;IF(UPPER(TRIM(K299&amp;""))="SI","TRUE","FALSE")&amp;", 1"&amp;" WHERE NOT EXISTS (SELECT 1 FROM cli_direcciones x WHERE x.id_cliente = "&amp;"(SELECT id FROM cli_clientes WHERE numero_documento = '"&amp;SUBSTITUTE(TRIM(A299),"'","''")&amp;"' AND estado = 1 LIMIT 1)"&amp;" AND upper(x.direccion) = upper("&amp;IF(TRIM(D299&amp;"")="","NULL","'"&amp;SUBSTITUTE(TRIM(D299),"'","''")&amp;"'")&amp;"));")</f>
        <v/>
      </c>
    </row>
    <row r="300" ht="15.75" customHeight="1" s="64">
      <c r="A300" s="23" t="n"/>
      <c r="B300" s="25">
        <f t="array" ref="B300">IF(A300="","",IFERROR(IF(INDEX(Clientes!$D$5:$D$549,MATCH(A300,Clientes!$C$5:$C$549,0))&lt;&gt;"",INDEX(Clientes!$D$5:$D$549,MATCH(A300,Clientes!$C$5:$C$549,0)),TRIM(INDEX(Clientes!$E$5:$E$549,MATCH(A300,Clientes!$C$5:$C$549,0))&amp;" "&amp;INDEX(Clientes!$F$5:$F$549,MATCH(A300,Clientes!$C$5:$C$549,0)))),"NO EXISTE en Clientes"))</f>
        <v/>
      </c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>
        <f>IF(AND(A300="",D300=""),"",IF(A300="","FALTA doc. cliente",IF(B300="NO EXISTE en Clientes","CLIENTE no está en hoja Clientes",IF(D300="","FALTA dirección",IF(AND(H300&lt;&gt;"",OR(F300="",G300="")),"Distrito requiere departamento y provincia",IF(AND(G300&lt;&gt;"",F300=""),"Provincia requiere departamento",IF((I300&lt;&gt;"")&lt;&gt;(J300&lt;&gt;""),"Latitud y longitud van juntas","OK")))))))</f>
        <v/>
      </c>
      <c r="M300" s="28">
        <f>IF(L300&lt;&gt;"OK","","INSERT INTO cli_direcciones (id_cliente, descripcion, direccion, referencia, id_departamento, id_provincia, id_distrito, latitud, longitud, es_principal, estado) SELECT "&amp;"(SELECT id FROM cli_clientes WHERE numero_documento = '"&amp;SUBSTITUTE(TRIM(A300),"'","''")&amp;"' AND estado = 1 LIMIT 1)"&amp;", "&amp;IF(TRIM(C300&amp;"")="","NULL","'"&amp;SUBSTITUTE(TRIM(C300),"'","''")&amp;"'")&amp;", "&amp;IF(TRIM(D300&amp;"")="","NULL","'"&amp;SUBSTITUTE(TRIM(D300),"'","''")&amp;"'")&amp;", "&amp;IF(TRIM(E300&amp;"")="","NULL","'"&amp;SUBSTITUTE(TRIM(E300),"'","''")&amp;"'")&amp;", "&amp;IF(TRIM(F300&amp;"")="","NULL","(SELECT id FROM gen_departamento WHERE upper(nombre) = upper('"&amp;SUBSTITUTE(TRIM(F300),"'","''")&amp;"') AND estado = 1 LIMIT 1)")&amp;", "&amp;IF(OR(TRIM(F300&amp;"")="",TRIM(G300&amp;"")=""),"NULL","(SELECT p.id FROM gen_provincia p JOIN gen_departamento dp ON dp.id = p.id_departamento WHERE upper(p.nombre) = upper('"&amp;SUBSTITUTE(TRIM(G300),"'","''")&amp;"') AND upper(dp.nombre) = upper('"&amp;SUBSTITUTE(TRIM(F300),"'","''")&amp;"') AND p.estado = 1 LIMIT 1)")&amp;", "&amp;IF(OR(TRIM(F300&amp;"")="",TRIM(G300&amp;"")="",TRIM(H300&amp;"")=""),"NULL","(SELECT d.id FROM gen_distrito d JOIN gen_provincia p ON p.id = d.id_provincia JOIN gen_departamento dp ON dp.id = p.id_departamento WHERE upper(d.nombre) = upper('"&amp;SUBSTITUTE(TRIM(H300),"'","''")&amp;"') AND upper(p.nombre) = upper('"&amp;SUBSTITUTE(TRIM(G300),"'","''")&amp;"') AND upper(dp.nombre) = upper('"&amp;SUBSTITUTE(TRIM(F300),"'","''")&amp;"') AND d.estado = 1 LIMIT 1)")&amp;", "&amp;IF(I300&amp;""="","NULL",SUBSTITUTE(I300&amp;"",",","."))&amp;", "&amp;IF(J300&amp;""="","NULL",SUBSTITUTE(J300&amp;"",",","."))&amp;", "&amp;IF(UPPER(TRIM(K300&amp;""))="SI","TRUE","FALSE")&amp;", 1"&amp;" WHERE NOT EXISTS (SELECT 1 FROM cli_direcciones x WHERE x.id_cliente = "&amp;"(SELECT id FROM cli_clientes WHERE numero_documento = '"&amp;SUBSTITUTE(TRIM(A300),"'","''")&amp;"' AND estado = 1 LIMIT 1)"&amp;" AND upper(x.direccion) = upper("&amp;IF(TRIM(D300&amp;"")="","NULL","'"&amp;SUBSTITUTE(TRIM(D300),"'","''")&amp;"'")&amp;"));")</f>
        <v/>
      </c>
    </row>
    <row r="301" ht="15.75" customHeight="1" s="64">
      <c r="A301" s="23" t="n"/>
      <c r="B301" s="25">
        <f t="array" ref="B301">IF(A301="","",IFERROR(IF(INDEX(Clientes!$D$5:$D$549,MATCH(A301,Clientes!$C$5:$C$549,0))&lt;&gt;"",INDEX(Clientes!$D$5:$D$549,MATCH(A301,Clientes!$C$5:$C$549,0)),TRIM(INDEX(Clientes!$E$5:$E$549,MATCH(A301,Clientes!$C$5:$C$549,0))&amp;" "&amp;INDEX(Clientes!$F$5:$F$549,MATCH(A301,Clientes!$C$5:$C$549,0)))),"NO EXISTE en Clientes"))</f>
        <v/>
      </c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>
        <f>IF(AND(A301="",D301=""),"",IF(A301="","FALTA doc. cliente",IF(B301="NO EXISTE en Clientes","CLIENTE no está en hoja Clientes",IF(D301="","FALTA dirección",IF(AND(H301&lt;&gt;"",OR(F301="",G301="")),"Distrito requiere departamento y provincia",IF(AND(G301&lt;&gt;"",F301=""),"Provincia requiere departamento",IF((I301&lt;&gt;"")&lt;&gt;(J301&lt;&gt;""),"Latitud y longitud van juntas","OK")))))))</f>
        <v/>
      </c>
      <c r="M301" s="28">
        <f>IF(L301&lt;&gt;"OK","","INSERT INTO cli_direcciones (id_cliente, descripcion, direccion, referencia, id_departamento, id_provincia, id_distrito, latitud, longitud, es_principal, estado) SELECT "&amp;"(SELECT id FROM cli_clientes WHERE numero_documento = '"&amp;SUBSTITUTE(TRIM(A301),"'","''")&amp;"' AND estado = 1 LIMIT 1)"&amp;", "&amp;IF(TRIM(C301&amp;"")="","NULL","'"&amp;SUBSTITUTE(TRIM(C301),"'","''")&amp;"'")&amp;", "&amp;IF(TRIM(D301&amp;"")="","NULL","'"&amp;SUBSTITUTE(TRIM(D301),"'","''")&amp;"'")&amp;", "&amp;IF(TRIM(E301&amp;"")="","NULL","'"&amp;SUBSTITUTE(TRIM(E301),"'","''")&amp;"'")&amp;", "&amp;IF(TRIM(F301&amp;"")="","NULL","(SELECT id FROM gen_departamento WHERE upper(nombre) = upper('"&amp;SUBSTITUTE(TRIM(F301),"'","''")&amp;"') AND estado = 1 LIMIT 1)")&amp;", "&amp;IF(OR(TRIM(F301&amp;"")="",TRIM(G301&amp;"")=""),"NULL","(SELECT p.id FROM gen_provincia p JOIN gen_departamento dp ON dp.id = p.id_departamento WHERE upper(p.nombre) = upper('"&amp;SUBSTITUTE(TRIM(G301),"'","''")&amp;"') AND upper(dp.nombre) = upper('"&amp;SUBSTITUTE(TRIM(F301),"'","''")&amp;"') AND p.estado = 1 LIMIT 1)")&amp;", "&amp;IF(OR(TRIM(F301&amp;"")="",TRIM(G301&amp;"")="",TRIM(H301&amp;"")=""),"NULL","(SELECT d.id FROM gen_distrito d JOIN gen_provincia p ON p.id = d.id_provincia JOIN gen_departamento dp ON dp.id = p.id_departamento WHERE upper(d.nombre) = upper('"&amp;SUBSTITUTE(TRIM(H301),"'","''")&amp;"') AND upper(p.nombre) = upper('"&amp;SUBSTITUTE(TRIM(G301),"'","''")&amp;"') AND upper(dp.nombre) = upper('"&amp;SUBSTITUTE(TRIM(F301),"'","''")&amp;"') AND d.estado = 1 LIMIT 1)")&amp;", "&amp;IF(I301&amp;""="","NULL",SUBSTITUTE(I301&amp;"",",","."))&amp;", "&amp;IF(J301&amp;""="","NULL",SUBSTITUTE(J301&amp;"",",","."))&amp;", "&amp;IF(UPPER(TRIM(K301&amp;""))="SI","TRUE","FALSE")&amp;", 1"&amp;" WHERE NOT EXISTS (SELECT 1 FROM cli_direcciones x WHERE x.id_cliente = "&amp;"(SELECT id FROM cli_clientes WHERE numero_documento = '"&amp;SUBSTITUTE(TRIM(A301),"'","''")&amp;"' AND estado = 1 LIMIT 1)"&amp;" AND upper(x.direccion) = upper("&amp;IF(TRIM(D301&amp;"")="","NULL","'"&amp;SUBSTITUTE(TRIM(D301),"'","''")&amp;"'")&amp;"));")</f>
        <v/>
      </c>
    </row>
    <row r="302" ht="15.75" customHeight="1" s="64">
      <c r="A302" s="23" t="n"/>
      <c r="B302" s="25">
        <f t="array" ref="B302">IF(A302="","",IFERROR(IF(INDEX(Clientes!$D$5:$D$549,MATCH(A302,Clientes!$C$5:$C$549,0))&lt;&gt;"",INDEX(Clientes!$D$5:$D$549,MATCH(A302,Clientes!$C$5:$C$549,0)),TRIM(INDEX(Clientes!$E$5:$E$549,MATCH(A302,Clientes!$C$5:$C$549,0))&amp;" "&amp;INDEX(Clientes!$F$5:$F$549,MATCH(A302,Clientes!$C$5:$C$549,0)))),"NO EXISTE en Clientes"))</f>
        <v/>
      </c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>
        <f>IF(AND(A302="",D302=""),"",IF(A302="","FALTA doc. cliente",IF(B302="NO EXISTE en Clientes","CLIENTE no está en hoja Clientes",IF(D302="","FALTA dirección",IF(AND(H302&lt;&gt;"",OR(F302="",G302="")),"Distrito requiere departamento y provincia",IF(AND(G302&lt;&gt;"",F302=""),"Provincia requiere departamento",IF((I302&lt;&gt;"")&lt;&gt;(J302&lt;&gt;""),"Latitud y longitud van juntas","OK")))))))</f>
        <v/>
      </c>
      <c r="M302" s="28">
        <f>IF(L302&lt;&gt;"OK","","INSERT INTO cli_direcciones (id_cliente, descripcion, direccion, referencia, id_departamento, id_provincia, id_distrito, latitud, longitud, es_principal, estado) SELECT "&amp;"(SELECT id FROM cli_clientes WHERE numero_documento = '"&amp;SUBSTITUTE(TRIM(A302),"'","''")&amp;"' AND estado = 1 LIMIT 1)"&amp;", "&amp;IF(TRIM(C302&amp;"")="","NULL","'"&amp;SUBSTITUTE(TRIM(C302),"'","''")&amp;"'")&amp;", "&amp;IF(TRIM(D302&amp;"")="","NULL","'"&amp;SUBSTITUTE(TRIM(D302),"'","''")&amp;"'")&amp;", "&amp;IF(TRIM(E302&amp;"")="","NULL","'"&amp;SUBSTITUTE(TRIM(E302),"'","''")&amp;"'")&amp;", "&amp;IF(TRIM(F302&amp;"")="","NULL","(SELECT id FROM gen_departamento WHERE upper(nombre) = upper('"&amp;SUBSTITUTE(TRIM(F302),"'","''")&amp;"') AND estado = 1 LIMIT 1)")&amp;", "&amp;IF(OR(TRIM(F302&amp;"")="",TRIM(G302&amp;"")=""),"NULL","(SELECT p.id FROM gen_provincia p JOIN gen_departamento dp ON dp.id = p.id_departamento WHERE upper(p.nombre) = upper('"&amp;SUBSTITUTE(TRIM(G302),"'","''")&amp;"') AND upper(dp.nombre) = upper('"&amp;SUBSTITUTE(TRIM(F302),"'","''")&amp;"') AND p.estado = 1 LIMIT 1)")&amp;", "&amp;IF(OR(TRIM(F302&amp;"")="",TRIM(G302&amp;"")="",TRIM(H302&amp;"")=""),"NULL","(SELECT d.id FROM gen_distrito d JOIN gen_provincia p ON p.id = d.id_provincia JOIN gen_departamento dp ON dp.id = p.id_departamento WHERE upper(d.nombre) = upper('"&amp;SUBSTITUTE(TRIM(H302),"'","''")&amp;"') AND upper(p.nombre) = upper('"&amp;SUBSTITUTE(TRIM(G302),"'","''")&amp;"') AND upper(dp.nombre) = upper('"&amp;SUBSTITUTE(TRIM(F302),"'","''")&amp;"') AND d.estado = 1 LIMIT 1)")&amp;", "&amp;IF(I302&amp;""="","NULL",SUBSTITUTE(I302&amp;"",",","."))&amp;", "&amp;IF(J302&amp;""="","NULL",SUBSTITUTE(J302&amp;"",",","."))&amp;", "&amp;IF(UPPER(TRIM(K302&amp;""))="SI","TRUE","FALSE")&amp;", 1"&amp;" WHERE NOT EXISTS (SELECT 1 FROM cli_direcciones x WHERE x.id_cliente = "&amp;"(SELECT id FROM cli_clientes WHERE numero_documento = '"&amp;SUBSTITUTE(TRIM(A302),"'","''")&amp;"' AND estado = 1 LIMIT 1)"&amp;" AND upper(x.direccion) = upper("&amp;IF(TRIM(D302&amp;"")="","NULL","'"&amp;SUBSTITUTE(TRIM(D302),"'","''")&amp;"'")&amp;"));")</f>
        <v/>
      </c>
    </row>
    <row r="303" ht="15.75" customHeight="1" s="64">
      <c r="A303" s="23" t="n"/>
      <c r="B303" s="25">
        <f t="array" ref="B303">IF(A303="","",IFERROR(IF(INDEX(Clientes!$D$5:$D$549,MATCH(A303,Clientes!$C$5:$C$549,0))&lt;&gt;"",INDEX(Clientes!$D$5:$D$549,MATCH(A303,Clientes!$C$5:$C$549,0)),TRIM(INDEX(Clientes!$E$5:$E$549,MATCH(A303,Clientes!$C$5:$C$549,0))&amp;" "&amp;INDEX(Clientes!$F$5:$F$549,MATCH(A303,Clientes!$C$5:$C$549,0)))),"NO EXISTE en Clientes"))</f>
        <v/>
      </c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>
        <f>IF(AND(A303="",D303=""),"",IF(A303="","FALTA doc. cliente",IF(B303="NO EXISTE en Clientes","CLIENTE no está en hoja Clientes",IF(D303="","FALTA dirección",IF(AND(H303&lt;&gt;"",OR(F303="",G303="")),"Distrito requiere departamento y provincia",IF(AND(G303&lt;&gt;"",F303=""),"Provincia requiere departamento",IF((I303&lt;&gt;"")&lt;&gt;(J303&lt;&gt;""),"Latitud y longitud van juntas","OK")))))))</f>
        <v/>
      </c>
      <c r="M303" s="28">
        <f>IF(L303&lt;&gt;"OK","","INSERT INTO cli_direcciones (id_cliente, descripcion, direccion, referencia, id_departamento, id_provincia, id_distrito, latitud, longitud, es_principal, estado) SELECT "&amp;"(SELECT id FROM cli_clientes WHERE numero_documento = '"&amp;SUBSTITUTE(TRIM(A303),"'","''")&amp;"' AND estado = 1 LIMIT 1)"&amp;", "&amp;IF(TRIM(C303&amp;"")="","NULL","'"&amp;SUBSTITUTE(TRIM(C303),"'","''")&amp;"'")&amp;", "&amp;IF(TRIM(D303&amp;"")="","NULL","'"&amp;SUBSTITUTE(TRIM(D303),"'","''")&amp;"'")&amp;", "&amp;IF(TRIM(E303&amp;"")="","NULL","'"&amp;SUBSTITUTE(TRIM(E303),"'","''")&amp;"'")&amp;", "&amp;IF(TRIM(F303&amp;"")="","NULL","(SELECT id FROM gen_departamento WHERE upper(nombre) = upper('"&amp;SUBSTITUTE(TRIM(F303),"'","''")&amp;"') AND estado = 1 LIMIT 1)")&amp;", "&amp;IF(OR(TRIM(F303&amp;"")="",TRIM(G303&amp;"")=""),"NULL","(SELECT p.id FROM gen_provincia p JOIN gen_departamento dp ON dp.id = p.id_departamento WHERE upper(p.nombre) = upper('"&amp;SUBSTITUTE(TRIM(G303),"'","''")&amp;"') AND upper(dp.nombre) = upper('"&amp;SUBSTITUTE(TRIM(F303),"'","''")&amp;"') AND p.estado = 1 LIMIT 1)")&amp;", "&amp;IF(OR(TRIM(F303&amp;"")="",TRIM(G303&amp;"")="",TRIM(H303&amp;"")=""),"NULL","(SELECT d.id FROM gen_distrito d JOIN gen_provincia p ON p.id = d.id_provincia JOIN gen_departamento dp ON dp.id = p.id_departamento WHERE upper(d.nombre) = upper('"&amp;SUBSTITUTE(TRIM(H303),"'","''")&amp;"') AND upper(p.nombre) = upper('"&amp;SUBSTITUTE(TRIM(G303),"'","''")&amp;"') AND upper(dp.nombre) = upper('"&amp;SUBSTITUTE(TRIM(F303),"'","''")&amp;"') AND d.estado = 1 LIMIT 1)")&amp;", "&amp;IF(I303&amp;""="","NULL",SUBSTITUTE(I303&amp;"",",","."))&amp;", "&amp;IF(J303&amp;""="","NULL",SUBSTITUTE(J303&amp;"",",","."))&amp;", "&amp;IF(UPPER(TRIM(K303&amp;""))="SI","TRUE","FALSE")&amp;", 1"&amp;" WHERE NOT EXISTS (SELECT 1 FROM cli_direcciones x WHERE x.id_cliente = "&amp;"(SELECT id FROM cli_clientes WHERE numero_documento = '"&amp;SUBSTITUTE(TRIM(A303),"'","''")&amp;"' AND estado = 1 LIMIT 1)"&amp;" AND upper(x.direccion) = upper("&amp;IF(TRIM(D303&amp;"")="","NULL","'"&amp;SUBSTITUTE(TRIM(D303),"'","''")&amp;"'")&amp;"));")</f>
        <v/>
      </c>
    </row>
    <row r="304" ht="15.75" customHeight="1" s="64">
      <c r="A304" s="23" t="n"/>
      <c r="B304" s="25">
        <f t="array" ref="B304">IF(A304="","",IFERROR(IF(INDEX(Clientes!$D$5:$D$549,MATCH(A304,Clientes!$C$5:$C$549,0))&lt;&gt;"",INDEX(Clientes!$D$5:$D$549,MATCH(A304,Clientes!$C$5:$C$549,0)),TRIM(INDEX(Clientes!$E$5:$E$549,MATCH(A304,Clientes!$C$5:$C$549,0))&amp;" "&amp;INDEX(Clientes!$F$5:$F$549,MATCH(A304,Clientes!$C$5:$C$549,0)))),"NO EXISTE en Clientes"))</f>
        <v/>
      </c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>
        <f>IF(AND(A304="",D304=""),"",IF(A304="","FALTA doc. cliente",IF(B304="NO EXISTE en Clientes","CLIENTE no está en hoja Clientes",IF(D304="","FALTA dirección",IF(AND(H304&lt;&gt;"",OR(F304="",G304="")),"Distrito requiere departamento y provincia",IF(AND(G304&lt;&gt;"",F304=""),"Provincia requiere departamento",IF((I304&lt;&gt;"")&lt;&gt;(J304&lt;&gt;""),"Latitud y longitud van juntas","OK")))))))</f>
        <v/>
      </c>
      <c r="M304" s="28">
        <f>IF(L304&lt;&gt;"OK","","INSERT INTO cli_direcciones (id_cliente, descripcion, direccion, referencia, id_departamento, id_provincia, id_distrito, latitud, longitud, es_principal, estado) SELECT "&amp;"(SELECT id FROM cli_clientes WHERE numero_documento = '"&amp;SUBSTITUTE(TRIM(A304),"'","''")&amp;"' AND estado = 1 LIMIT 1)"&amp;", "&amp;IF(TRIM(C304&amp;"")="","NULL","'"&amp;SUBSTITUTE(TRIM(C304),"'","''")&amp;"'")&amp;", "&amp;IF(TRIM(D304&amp;"")="","NULL","'"&amp;SUBSTITUTE(TRIM(D304),"'","''")&amp;"'")&amp;", "&amp;IF(TRIM(E304&amp;"")="","NULL","'"&amp;SUBSTITUTE(TRIM(E304),"'","''")&amp;"'")&amp;", "&amp;IF(TRIM(F304&amp;"")="","NULL","(SELECT id FROM gen_departamento WHERE upper(nombre) = upper('"&amp;SUBSTITUTE(TRIM(F304),"'","''")&amp;"') AND estado = 1 LIMIT 1)")&amp;", "&amp;IF(OR(TRIM(F304&amp;"")="",TRIM(G304&amp;"")=""),"NULL","(SELECT p.id FROM gen_provincia p JOIN gen_departamento dp ON dp.id = p.id_departamento WHERE upper(p.nombre) = upper('"&amp;SUBSTITUTE(TRIM(G304),"'","''")&amp;"') AND upper(dp.nombre) = upper('"&amp;SUBSTITUTE(TRIM(F304),"'","''")&amp;"') AND p.estado = 1 LIMIT 1)")&amp;", "&amp;IF(OR(TRIM(F304&amp;"")="",TRIM(G304&amp;"")="",TRIM(H304&amp;"")=""),"NULL","(SELECT d.id FROM gen_distrito d JOIN gen_provincia p ON p.id = d.id_provincia JOIN gen_departamento dp ON dp.id = p.id_departamento WHERE upper(d.nombre) = upper('"&amp;SUBSTITUTE(TRIM(H304),"'","''")&amp;"') AND upper(p.nombre) = upper('"&amp;SUBSTITUTE(TRIM(G304),"'","''")&amp;"') AND upper(dp.nombre) = upper('"&amp;SUBSTITUTE(TRIM(F304),"'","''")&amp;"') AND d.estado = 1 LIMIT 1)")&amp;", "&amp;IF(I304&amp;""="","NULL",SUBSTITUTE(I304&amp;"",",","."))&amp;", "&amp;IF(J304&amp;""="","NULL",SUBSTITUTE(J304&amp;"",",","."))&amp;", "&amp;IF(UPPER(TRIM(K304&amp;""))="SI","TRUE","FALSE")&amp;", 1"&amp;" WHERE NOT EXISTS (SELECT 1 FROM cli_direcciones x WHERE x.id_cliente = "&amp;"(SELECT id FROM cli_clientes WHERE numero_documento = '"&amp;SUBSTITUTE(TRIM(A304),"'","''")&amp;"' AND estado = 1 LIMIT 1)"&amp;" AND upper(x.direccion) = upper("&amp;IF(TRIM(D304&amp;"")="","NULL","'"&amp;SUBSTITUTE(TRIM(D304),"'","''")&amp;"'")&amp;"));")</f>
        <v/>
      </c>
    </row>
    <row r="305" ht="15.75" customHeight="1" s="64">
      <c r="A305" s="23" t="n"/>
      <c r="B305" s="25">
        <f t="array" ref="B305">IF(A305="","",IFERROR(IF(INDEX(Clientes!$D$5:$D$549,MATCH(A305,Clientes!$C$5:$C$549,0))&lt;&gt;"",INDEX(Clientes!$D$5:$D$549,MATCH(A305,Clientes!$C$5:$C$549,0)),TRIM(INDEX(Clientes!$E$5:$E$549,MATCH(A305,Clientes!$C$5:$C$549,0))&amp;" "&amp;INDEX(Clientes!$F$5:$F$549,MATCH(A305,Clientes!$C$5:$C$549,0)))),"NO EXISTE en Clientes"))</f>
        <v/>
      </c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>
        <f>IF(AND(A305="",D305=""),"",IF(A305="","FALTA doc. cliente",IF(B305="NO EXISTE en Clientes","CLIENTE no está en hoja Clientes",IF(D305="","FALTA dirección",IF(AND(H305&lt;&gt;"",OR(F305="",G305="")),"Distrito requiere departamento y provincia",IF(AND(G305&lt;&gt;"",F305=""),"Provincia requiere departamento",IF((I305&lt;&gt;"")&lt;&gt;(J305&lt;&gt;""),"Latitud y longitud van juntas","OK")))))))</f>
        <v/>
      </c>
      <c r="M305" s="28">
        <f>IF(L305&lt;&gt;"OK","","INSERT INTO cli_direcciones (id_cliente, descripcion, direccion, referencia, id_departamento, id_provincia, id_distrito, latitud, longitud, es_principal, estado) SELECT "&amp;"(SELECT id FROM cli_clientes WHERE numero_documento = '"&amp;SUBSTITUTE(TRIM(A305),"'","''")&amp;"' AND estado = 1 LIMIT 1)"&amp;", "&amp;IF(TRIM(C305&amp;"")="","NULL","'"&amp;SUBSTITUTE(TRIM(C305),"'","''")&amp;"'")&amp;", "&amp;IF(TRIM(D305&amp;"")="","NULL","'"&amp;SUBSTITUTE(TRIM(D305),"'","''")&amp;"'")&amp;", "&amp;IF(TRIM(E305&amp;"")="","NULL","'"&amp;SUBSTITUTE(TRIM(E305),"'","''")&amp;"'")&amp;", "&amp;IF(TRIM(F305&amp;"")="","NULL","(SELECT id FROM gen_departamento WHERE upper(nombre) = upper('"&amp;SUBSTITUTE(TRIM(F305),"'","''")&amp;"') AND estado = 1 LIMIT 1)")&amp;", "&amp;IF(OR(TRIM(F305&amp;"")="",TRIM(G305&amp;"")=""),"NULL","(SELECT p.id FROM gen_provincia p JOIN gen_departamento dp ON dp.id = p.id_departamento WHERE upper(p.nombre) = upper('"&amp;SUBSTITUTE(TRIM(G305),"'","''")&amp;"') AND upper(dp.nombre) = upper('"&amp;SUBSTITUTE(TRIM(F305),"'","''")&amp;"') AND p.estado = 1 LIMIT 1)")&amp;", "&amp;IF(OR(TRIM(F305&amp;"")="",TRIM(G305&amp;"")="",TRIM(H305&amp;"")=""),"NULL","(SELECT d.id FROM gen_distrito d JOIN gen_provincia p ON p.id = d.id_provincia JOIN gen_departamento dp ON dp.id = p.id_departamento WHERE upper(d.nombre) = upper('"&amp;SUBSTITUTE(TRIM(H305),"'","''")&amp;"') AND upper(p.nombre) = upper('"&amp;SUBSTITUTE(TRIM(G305),"'","''")&amp;"') AND upper(dp.nombre) = upper('"&amp;SUBSTITUTE(TRIM(F305),"'","''")&amp;"') AND d.estado = 1 LIMIT 1)")&amp;", "&amp;IF(I305&amp;""="","NULL",SUBSTITUTE(I305&amp;"",",","."))&amp;", "&amp;IF(J305&amp;""="","NULL",SUBSTITUTE(J305&amp;"",",","."))&amp;", "&amp;IF(UPPER(TRIM(K305&amp;""))="SI","TRUE","FALSE")&amp;", 1"&amp;" WHERE NOT EXISTS (SELECT 1 FROM cli_direcciones x WHERE x.id_cliente = "&amp;"(SELECT id FROM cli_clientes WHERE numero_documento = '"&amp;SUBSTITUTE(TRIM(A305),"'","''")&amp;"' AND estado = 1 LIMIT 1)"&amp;" AND upper(x.direccion) = upper("&amp;IF(TRIM(D305&amp;"")="","NULL","'"&amp;SUBSTITUTE(TRIM(D305),"'","''")&amp;"'")&amp;"));")</f>
        <v/>
      </c>
    </row>
    <row r="306" ht="15.75" customHeight="1" s="64">
      <c r="A306" s="23" t="n"/>
      <c r="B306" s="25">
        <f t="array" ref="B306">IF(A306="","",IFERROR(IF(INDEX(Clientes!$D$5:$D$549,MATCH(A306,Clientes!$C$5:$C$549,0))&lt;&gt;"",INDEX(Clientes!$D$5:$D$549,MATCH(A306,Clientes!$C$5:$C$549,0)),TRIM(INDEX(Clientes!$E$5:$E$549,MATCH(A306,Clientes!$C$5:$C$549,0))&amp;" "&amp;INDEX(Clientes!$F$5:$F$549,MATCH(A306,Clientes!$C$5:$C$549,0)))),"NO EXISTE en Clientes"))</f>
        <v/>
      </c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>
        <f>IF(AND(A306="",D306=""),"",IF(A306="","FALTA doc. cliente",IF(B306="NO EXISTE en Clientes","CLIENTE no está en hoja Clientes",IF(D306="","FALTA dirección",IF(AND(H306&lt;&gt;"",OR(F306="",G306="")),"Distrito requiere departamento y provincia",IF(AND(G306&lt;&gt;"",F306=""),"Provincia requiere departamento",IF((I306&lt;&gt;"")&lt;&gt;(J306&lt;&gt;""),"Latitud y longitud van juntas","OK")))))))</f>
        <v/>
      </c>
      <c r="M306" s="28">
        <f>IF(L306&lt;&gt;"OK","","INSERT INTO cli_direcciones (id_cliente, descripcion, direccion, referencia, id_departamento, id_provincia, id_distrito, latitud, longitud, es_principal, estado) SELECT "&amp;"(SELECT id FROM cli_clientes WHERE numero_documento = '"&amp;SUBSTITUTE(TRIM(A306),"'","''")&amp;"' AND estado = 1 LIMIT 1)"&amp;", "&amp;IF(TRIM(C306&amp;"")="","NULL","'"&amp;SUBSTITUTE(TRIM(C306),"'","''")&amp;"'")&amp;", "&amp;IF(TRIM(D306&amp;"")="","NULL","'"&amp;SUBSTITUTE(TRIM(D306),"'","''")&amp;"'")&amp;", "&amp;IF(TRIM(E306&amp;"")="","NULL","'"&amp;SUBSTITUTE(TRIM(E306),"'","''")&amp;"'")&amp;", "&amp;IF(TRIM(F306&amp;"")="","NULL","(SELECT id FROM gen_departamento WHERE upper(nombre) = upper('"&amp;SUBSTITUTE(TRIM(F306),"'","''")&amp;"') AND estado = 1 LIMIT 1)")&amp;", "&amp;IF(OR(TRIM(F306&amp;"")="",TRIM(G306&amp;"")=""),"NULL","(SELECT p.id FROM gen_provincia p JOIN gen_departamento dp ON dp.id = p.id_departamento WHERE upper(p.nombre) = upper('"&amp;SUBSTITUTE(TRIM(G306),"'","''")&amp;"') AND upper(dp.nombre) = upper('"&amp;SUBSTITUTE(TRIM(F306),"'","''")&amp;"') AND p.estado = 1 LIMIT 1)")&amp;", "&amp;IF(OR(TRIM(F306&amp;"")="",TRIM(G306&amp;"")="",TRIM(H306&amp;"")=""),"NULL","(SELECT d.id FROM gen_distrito d JOIN gen_provincia p ON p.id = d.id_provincia JOIN gen_departamento dp ON dp.id = p.id_departamento WHERE upper(d.nombre) = upper('"&amp;SUBSTITUTE(TRIM(H306),"'","''")&amp;"') AND upper(p.nombre) = upper('"&amp;SUBSTITUTE(TRIM(G306),"'","''")&amp;"') AND upper(dp.nombre) = upper('"&amp;SUBSTITUTE(TRIM(F306),"'","''")&amp;"') AND d.estado = 1 LIMIT 1)")&amp;", "&amp;IF(I306&amp;""="","NULL",SUBSTITUTE(I306&amp;"",",","."))&amp;", "&amp;IF(J306&amp;""="","NULL",SUBSTITUTE(J306&amp;"",",","."))&amp;", "&amp;IF(UPPER(TRIM(K306&amp;""))="SI","TRUE","FALSE")&amp;", 1"&amp;" WHERE NOT EXISTS (SELECT 1 FROM cli_direcciones x WHERE x.id_cliente = "&amp;"(SELECT id FROM cli_clientes WHERE numero_documento = '"&amp;SUBSTITUTE(TRIM(A306),"'","''")&amp;"' AND estado = 1 LIMIT 1)"&amp;" AND upper(x.direccion) = upper("&amp;IF(TRIM(D306&amp;"")="","NULL","'"&amp;SUBSTITUTE(TRIM(D306),"'","''")&amp;"'")&amp;"));")</f>
        <v/>
      </c>
    </row>
    <row r="307" ht="15.75" customHeight="1" s="64">
      <c r="A307" s="23" t="n"/>
      <c r="B307" s="25">
        <f t="array" ref="B307">IF(A307="","",IFERROR(IF(INDEX(Clientes!$D$5:$D$549,MATCH(A307,Clientes!$C$5:$C$549,0))&lt;&gt;"",INDEX(Clientes!$D$5:$D$549,MATCH(A307,Clientes!$C$5:$C$549,0)),TRIM(INDEX(Clientes!$E$5:$E$549,MATCH(A307,Clientes!$C$5:$C$549,0))&amp;" "&amp;INDEX(Clientes!$F$5:$F$549,MATCH(A307,Clientes!$C$5:$C$549,0)))),"NO EXISTE en Clientes"))</f>
        <v/>
      </c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>
        <f>IF(AND(A307="",D307=""),"",IF(A307="","FALTA doc. cliente",IF(B307="NO EXISTE en Clientes","CLIENTE no está en hoja Clientes",IF(D307="","FALTA dirección",IF(AND(H307&lt;&gt;"",OR(F307="",G307="")),"Distrito requiere departamento y provincia",IF(AND(G307&lt;&gt;"",F307=""),"Provincia requiere departamento",IF((I307&lt;&gt;"")&lt;&gt;(J307&lt;&gt;""),"Latitud y longitud van juntas","OK")))))))</f>
        <v/>
      </c>
      <c r="M307" s="28">
        <f>IF(L307&lt;&gt;"OK","","INSERT INTO cli_direcciones (id_cliente, descripcion, direccion, referencia, id_departamento, id_provincia, id_distrito, latitud, longitud, es_principal, estado) SELECT "&amp;"(SELECT id FROM cli_clientes WHERE numero_documento = '"&amp;SUBSTITUTE(TRIM(A307),"'","''")&amp;"' AND estado = 1 LIMIT 1)"&amp;", "&amp;IF(TRIM(C307&amp;"")="","NULL","'"&amp;SUBSTITUTE(TRIM(C307),"'","''")&amp;"'")&amp;", "&amp;IF(TRIM(D307&amp;"")="","NULL","'"&amp;SUBSTITUTE(TRIM(D307),"'","''")&amp;"'")&amp;", "&amp;IF(TRIM(E307&amp;"")="","NULL","'"&amp;SUBSTITUTE(TRIM(E307),"'","''")&amp;"'")&amp;", "&amp;IF(TRIM(F307&amp;"")="","NULL","(SELECT id FROM gen_departamento WHERE upper(nombre) = upper('"&amp;SUBSTITUTE(TRIM(F307),"'","''")&amp;"') AND estado = 1 LIMIT 1)")&amp;", "&amp;IF(OR(TRIM(F307&amp;"")="",TRIM(G307&amp;"")=""),"NULL","(SELECT p.id FROM gen_provincia p JOIN gen_departamento dp ON dp.id = p.id_departamento WHERE upper(p.nombre) = upper('"&amp;SUBSTITUTE(TRIM(G307),"'","''")&amp;"') AND upper(dp.nombre) = upper('"&amp;SUBSTITUTE(TRIM(F307),"'","''")&amp;"') AND p.estado = 1 LIMIT 1)")&amp;", "&amp;IF(OR(TRIM(F307&amp;"")="",TRIM(G307&amp;"")="",TRIM(H307&amp;"")=""),"NULL","(SELECT d.id FROM gen_distrito d JOIN gen_provincia p ON p.id = d.id_provincia JOIN gen_departamento dp ON dp.id = p.id_departamento WHERE upper(d.nombre) = upper('"&amp;SUBSTITUTE(TRIM(H307),"'","''")&amp;"') AND upper(p.nombre) = upper('"&amp;SUBSTITUTE(TRIM(G307),"'","''")&amp;"') AND upper(dp.nombre) = upper('"&amp;SUBSTITUTE(TRIM(F307),"'","''")&amp;"') AND d.estado = 1 LIMIT 1)")&amp;", "&amp;IF(I307&amp;""="","NULL",SUBSTITUTE(I307&amp;"",",","."))&amp;", "&amp;IF(J307&amp;""="","NULL",SUBSTITUTE(J307&amp;"",",","."))&amp;", "&amp;IF(UPPER(TRIM(K307&amp;""))="SI","TRUE","FALSE")&amp;", 1"&amp;" WHERE NOT EXISTS (SELECT 1 FROM cli_direcciones x WHERE x.id_cliente = "&amp;"(SELECT id FROM cli_clientes WHERE numero_documento = '"&amp;SUBSTITUTE(TRIM(A307),"'","''")&amp;"' AND estado = 1 LIMIT 1)"&amp;" AND upper(x.direccion) = upper("&amp;IF(TRIM(D307&amp;"")="","NULL","'"&amp;SUBSTITUTE(TRIM(D307),"'","''")&amp;"'")&amp;"));")</f>
        <v/>
      </c>
    </row>
    <row r="308" ht="15.75" customHeight="1" s="64">
      <c r="A308" s="23" t="n"/>
      <c r="B308" s="25">
        <f t="array" ref="B308">IF(A308="","",IFERROR(IF(INDEX(Clientes!$D$5:$D$549,MATCH(A308,Clientes!$C$5:$C$549,0))&lt;&gt;"",INDEX(Clientes!$D$5:$D$549,MATCH(A308,Clientes!$C$5:$C$549,0)),TRIM(INDEX(Clientes!$E$5:$E$549,MATCH(A308,Clientes!$C$5:$C$549,0))&amp;" "&amp;INDEX(Clientes!$F$5:$F$549,MATCH(A308,Clientes!$C$5:$C$549,0)))),"NO EXISTE en Clientes"))</f>
        <v/>
      </c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>
        <f>IF(AND(A308="",D308=""),"",IF(A308="","FALTA doc. cliente",IF(B308="NO EXISTE en Clientes","CLIENTE no está en hoja Clientes",IF(D308="","FALTA dirección",IF(AND(H308&lt;&gt;"",OR(F308="",G308="")),"Distrito requiere departamento y provincia",IF(AND(G308&lt;&gt;"",F308=""),"Provincia requiere departamento",IF((I308&lt;&gt;"")&lt;&gt;(J308&lt;&gt;""),"Latitud y longitud van juntas","OK")))))))</f>
        <v/>
      </c>
      <c r="M308" s="28">
        <f>IF(L308&lt;&gt;"OK","","INSERT INTO cli_direcciones (id_cliente, descripcion, direccion, referencia, id_departamento, id_provincia, id_distrito, latitud, longitud, es_principal, estado) SELECT "&amp;"(SELECT id FROM cli_clientes WHERE numero_documento = '"&amp;SUBSTITUTE(TRIM(A308),"'","''")&amp;"' AND estado = 1 LIMIT 1)"&amp;", "&amp;IF(TRIM(C308&amp;"")="","NULL","'"&amp;SUBSTITUTE(TRIM(C308),"'","''")&amp;"'")&amp;", "&amp;IF(TRIM(D308&amp;"")="","NULL","'"&amp;SUBSTITUTE(TRIM(D308),"'","''")&amp;"'")&amp;", "&amp;IF(TRIM(E308&amp;"")="","NULL","'"&amp;SUBSTITUTE(TRIM(E308),"'","''")&amp;"'")&amp;", "&amp;IF(TRIM(F308&amp;"")="","NULL","(SELECT id FROM gen_departamento WHERE upper(nombre) = upper('"&amp;SUBSTITUTE(TRIM(F308),"'","''")&amp;"') AND estado = 1 LIMIT 1)")&amp;", "&amp;IF(OR(TRIM(F308&amp;"")="",TRIM(G308&amp;"")=""),"NULL","(SELECT p.id FROM gen_provincia p JOIN gen_departamento dp ON dp.id = p.id_departamento WHERE upper(p.nombre) = upper('"&amp;SUBSTITUTE(TRIM(G308),"'","''")&amp;"') AND upper(dp.nombre) = upper('"&amp;SUBSTITUTE(TRIM(F308),"'","''")&amp;"') AND p.estado = 1 LIMIT 1)")&amp;", "&amp;IF(OR(TRIM(F308&amp;"")="",TRIM(G308&amp;"")="",TRIM(H308&amp;"")=""),"NULL","(SELECT d.id FROM gen_distrito d JOIN gen_provincia p ON p.id = d.id_provincia JOIN gen_departamento dp ON dp.id = p.id_departamento WHERE upper(d.nombre) = upper('"&amp;SUBSTITUTE(TRIM(H308),"'","''")&amp;"') AND upper(p.nombre) = upper('"&amp;SUBSTITUTE(TRIM(G308),"'","''")&amp;"') AND upper(dp.nombre) = upper('"&amp;SUBSTITUTE(TRIM(F308),"'","''")&amp;"') AND d.estado = 1 LIMIT 1)")&amp;", "&amp;IF(I308&amp;""="","NULL",SUBSTITUTE(I308&amp;"",",","."))&amp;", "&amp;IF(J308&amp;""="","NULL",SUBSTITUTE(J308&amp;"",",","."))&amp;", "&amp;IF(UPPER(TRIM(K308&amp;""))="SI","TRUE","FALSE")&amp;", 1"&amp;" WHERE NOT EXISTS (SELECT 1 FROM cli_direcciones x WHERE x.id_cliente = "&amp;"(SELECT id FROM cli_clientes WHERE numero_documento = '"&amp;SUBSTITUTE(TRIM(A308),"'","''")&amp;"' AND estado = 1 LIMIT 1)"&amp;" AND upper(x.direccion) = upper("&amp;IF(TRIM(D308&amp;"")="","NULL","'"&amp;SUBSTITUTE(TRIM(D308),"'","''")&amp;"'")&amp;"));")</f>
        <v/>
      </c>
    </row>
    <row r="309" ht="15.75" customHeight="1" s="64">
      <c r="A309" s="23" t="n"/>
      <c r="B309" s="25">
        <f t="array" ref="B309">IF(A309="","",IFERROR(IF(INDEX(Clientes!$D$5:$D$549,MATCH(A309,Clientes!$C$5:$C$549,0))&lt;&gt;"",INDEX(Clientes!$D$5:$D$549,MATCH(A309,Clientes!$C$5:$C$549,0)),TRIM(INDEX(Clientes!$E$5:$E$549,MATCH(A309,Clientes!$C$5:$C$549,0))&amp;" "&amp;INDEX(Clientes!$F$5:$F$549,MATCH(A309,Clientes!$C$5:$C$549,0)))),"NO EXISTE en Clientes"))</f>
        <v/>
      </c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>
        <f>IF(AND(A309="",D309=""),"",IF(A309="","FALTA doc. cliente",IF(B309="NO EXISTE en Clientes","CLIENTE no está en hoja Clientes",IF(D309="","FALTA dirección",IF(AND(H309&lt;&gt;"",OR(F309="",G309="")),"Distrito requiere departamento y provincia",IF(AND(G309&lt;&gt;"",F309=""),"Provincia requiere departamento",IF((I309&lt;&gt;"")&lt;&gt;(J309&lt;&gt;""),"Latitud y longitud van juntas","OK")))))))</f>
        <v/>
      </c>
      <c r="M309" s="28">
        <f>IF(L309&lt;&gt;"OK","","INSERT INTO cli_direcciones (id_cliente, descripcion, direccion, referencia, id_departamento, id_provincia, id_distrito, latitud, longitud, es_principal, estado) SELECT "&amp;"(SELECT id FROM cli_clientes WHERE numero_documento = '"&amp;SUBSTITUTE(TRIM(A309),"'","''")&amp;"' AND estado = 1 LIMIT 1)"&amp;", "&amp;IF(TRIM(C309&amp;"")="","NULL","'"&amp;SUBSTITUTE(TRIM(C309),"'","''")&amp;"'")&amp;", "&amp;IF(TRIM(D309&amp;"")="","NULL","'"&amp;SUBSTITUTE(TRIM(D309),"'","''")&amp;"'")&amp;", "&amp;IF(TRIM(E309&amp;"")="","NULL","'"&amp;SUBSTITUTE(TRIM(E309),"'","''")&amp;"'")&amp;", "&amp;IF(TRIM(F309&amp;"")="","NULL","(SELECT id FROM gen_departamento WHERE upper(nombre) = upper('"&amp;SUBSTITUTE(TRIM(F309),"'","''")&amp;"') AND estado = 1 LIMIT 1)")&amp;", "&amp;IF(OR(TRIM(F309&amp;"")="",TRIM(G309&amp;"")=""),"NULL","(SELECT p.id FROM gen_provincia p JOIN gen_departamento dp ON dp.id = p.id_departamento WHERE upper(p.nombre) = upper('"&amp;SUBSTITUTE(TRIM(G309),"'","''")&amp;"') AND upper(dp.nombre) = upper('"&amp;SUBSTITUTE(TRIM(F309),"'","''")&amp;"') AND p.estado = 1 LIMIT 1)")&amp;", "&amp;IF(OR(TRIM(F309&amp;"")="",TRIM(G309&amp;"")="",TRIM(H309&amp;"")=""),"NULL","(SELECT d.id FROM gen_distrito d JOIN gen_provincia p ON p.id = d.id_provincia JOIN gen_departamento dp ON dp.id = p.id_departamento WHERE upper(d.nombre) = upper('"&amp;SUBSTITUTE(TRIM(H309),"'","''")&amp;"') AND upper(p.nombre) = upper('"&amp;SUBSTITUTE(TRIM(G309),"'","''")&amp;"') AND upper(dp.nombre) = upper('"&amp;SUBSTITUTE(TRIM(F309),"'","''")&amp;"') AND d.estado = 1 LIMIT 1)")&amp;", "&amp;IF(I309&amp;""="","NULL",SUBSTITUTE(I309&amp;"",",","."))&amp;", "&amp;IF(J309&amp;""="","NULL",SUBSTITUTE(J309&amp;"",",","."))&amp;", "&amp;IF(UPPER(TRIM(K309&amp;""))="SI","TRUE","FALSE")&amp;", 1"&amp;" WHERE NOT EXISTS (SELECT 1 FROM cli_direcciones x WHERE x.id_cliente = "&amp;"(SELECT id FROM cli_clientes WHERE numero_documento = '"&amp;SUBSTITUTE(TRIM(A309),"'","''")&amp;"' AND estado = 1 LIMIT 1)"&amp;" AND upper(x.direccion) = upper("&amp;IF(TRIM(D309&amp;"")="","NULL","'"&amp;SUBSTITUTE(TRIM(D309),"'","''")&amp;"'")&amp;"));")</f>
        <v/>
      </c>
    </row>
    <row r="310" ht="15.75" customHeight="1" s="64">
      <c r="A310" s="23" t="n"/>
      <c r="B310" s="25">
        <f t="array" ref="B310">IF(A310="","",IFERROR(IF(INDEX(Clientes!$D$5:$D$549,MATCH(A310,Clientes!$C$5:$C$549,0))&lt;&gt;"",INDEX(Clientes!$D$5:$D$549,MATCH(A310,Clientes!$C$5:$C$549,0)),TRIM(INDEX(Clientes!$E$5:$E$549,MATCH(A310,Clientes!$C$5:$C$549,0))&amp;" "&amp;INDEX(Clientes!$F$5:$F$549,MATCH(A310,Clientes!$C$5:$C$549,0)))),"NO EXISTE en Clientes"))</f>
        <v/>
      </c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>
        <f>IF(AND(A310="",D310=""),"",IF(A310="","FALTA doc. cliente",IF(B310="NO EXISTE en Clientes","CLIENTE no está en hoja Clientes",IF(D310="","FALTA dirección",IF(AND(H310&lt;&gt;"",OR(F310="",G310="")),"Distrito requiere departamento y provincia",IF(AND(G310&lt;&gt;"",F310=""),"Provincia requiere departamento",IF((I310&lt;&gt;"")&lt;&gt;(J310&lt;&gt;""),"Latitud y longitud van juntas","OK")))))))</f>
        <v/>
      </c>
      <c r="M310" s="28">
        <f>IF(L310&lt;&gt;"OK","","INSERT INTO cli_direcciones (id_cliente, descripcion, direccion, referencia, id_departamento, id_provincia, id_distrito, latitud, longitud, es_principal, estado) SELECT "&amp;"(SELECT id FROM cli_clientes WHERE numero_documento = '"&amp;SUBSTITUTE(TRIM(A310),"'","''")&amp;"' AND estado = 1 LIMIT 1)"&amp;", "&amp;IF(TRIM(C310&amp;"")="","NULL","'"&amp;SUBSTITUTE(TRIM(C310),"'","''")&amp;"'")&amp;", "&amp;IF(TRIM(D310&amp;"")="","NULL","'"&amp;SUBSTITUTE(TRIM(D310),"'","''")&amp;"'")&amp;", "&amp;IF(TRIM(E310&amp;"")="","NULL","'"&amp;SUBSTITUTE(TRIM(E310),"'","''")&amp;"'")&amp;", "&amp;IF(TRIM(F310&amp;"")="","NULL","(SELECT id FROM gen_departamento WHERE upper(nombre) = upper('"&amp;SUBSTITUTE(TRIM(F310),"'","''")&amp;"') AND estado = 1 LIMIT 1)")&amp;", "&amp;IF(OR(TRIM(F310&amp;"")="",TRIM(G310&amp;"")=""),"NULL","(SELECT p.id FROM gen_provincia p JOIN gen_departamento dp ON dp.id = p.id_departamento WHERE upper(p.nombre) = upper('"&amp;SUBSTITUTE(TRIM(G310),"'","''")&amp;"') AND upper(dp.nombre) = upper('"&amp;SUBSTITUTE(TRIM(F310),"'","''")&amp;"') AND p.estado = 1 LIMIT 1)")&amp;", "&amp;IF(OR(TRIM(F310&amp;"")="",TRIM(G310&amp;"")="",TRIM(H310&amp;"")=""),"NULL","(SELECT d.id FROM gen_distrito d JOIN gen_provincia p ON p.id = d.id_provincia JOIN gen_departamento dp ON dp.id = p.id_departamento WHERE upper(d.nombre) = upper('"&amp;SUBSTITUTE(TRIM(H310),"'","''")&amp;"') AND upper(p.nombre) = upper('"&amp;SUBSTITUTE(TRIM(G310),"'","''")&amp;"') AND upper(dp.nombre) = upper('"&amp;SUBSTITUTE(TRIM(F310),"'","''")&amp;"') AND d.estado = 1 LIMIT 1)")&amp;", "&amp;IF(I310&amp;""="","NULL",SUBSTITUTE(I310&amp;"",",","."))&amp;", "&amp;IF(J310&amp;""="","NULL",SUBSTITUTE(J310&amp;"",",","."))&amp;", "&amp;IF(UPPER(TRIM(K310&amp;""))="SI","TRUE","FALSE")&amp;", 1"&amp;" WHERE NOT EXISTS (SELECT 1 FROM cli_direcciones x WHERE x.id_cliente = "&amp;"(SELECT id FROM cli_clientes WHERE numero_documento = '"&amp;SUBSTITUTE(TRIM(A310),"'","''")&amp;"' AND estado = 1 LIMIT 1)"&amp;" AND upper(x.direccion) = upper("&amp;IF(TRIM(D310&amp;"")="","NULL","'"&amp;SUBSTITUTE(TRIM(D310),"'","''")&amp;"'")&amp;"));")</f>
        <v/>
      </c>
    </row>
    <row r="311" ht="15.75" customHeight="1" s="64">
      <c r="A311" s="23" t="n"/>
      <c r="B311" s="25">
        <f t="array" ref="B311">IF(A311="","",IFERROR(IF(INDEX(Clientes!$D$5:$D$549,MATCH(A311,Clientes!$C$5:$C$549,0))&lt;&gt;"",INDEX(Clientes!$D$5:$D$549,MATCH(A311,Clientes!$C$5:$C$549,0)),TRIM(INDEX(Clientes!$E$5:$E$549,MATCH(A311,Clientes!$C$5:$C$549,0))&amp;" "&amp;INDEX(Clientes!$F$5:$F$549,MATCH(A311,Clientes!$C$5:$C$549,0)))),"NO EXISTE en Clientes"))</f>
        <v/>
      </c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>
        <f>IF(AND(A311="",D311=""),"",IF(A311="","FALTA doc. cliente",IF(B311="NO EXISTE en Clientes","CLIENTE no está en hoja Clientes",IF(D311="","FALTA dirección",IF(AND(H311&lt;&gt;"",OR(F311="",G311="")),"Distrito requiere departamento y provincia",IF(AND(G311&lt;&gt;"",F311=""),"Provincia requiere departamento",IF((I311&lt;&gt;"")&lt;&gt;(J311&lt;&gt;""),"Latitud y longitud van juntas","OK")))))))</f>
        <v/>
      </c>
      <c r="M311" s="28">
        <f>IF(L311&lt;&gt;"OK","","INSERT INTO cli_direcciones (id_cliente, descripcion, direccion, referencia, id_departamento, id_provincia, id_distrito, latitud, longitud, es_principal, estado) SELECT "&amp;"(SELECT id FROM cli_clientes WHERE numero_documento = '"&amp;SUBSTITUTE(TRIM(A311),"'","''")&amp;"' AND estado = 1 LIMIT 1)"&amp;", "&amp;IF(TRIM(C311&amp;"")="","NULL","'"&amp;SUBSTITUTE(TRIM(C311),"'","''")&amp;"'")&amp;", "&amp;IF(TRIM(D311&amp;"")="","NULL","'"&amp;SUBSTITUTE(TRIM(D311),"'","''")&amp;"'")&amp;", "&amp;IF(TRIM(E311&amp;"")="","NULL","'"&amp;SUBSTITUTE(TRIM(E311),"'","''")&amp;"'")&amp;", "&amp;IF(TRIM(F311&amp;"")="","NULL","(SELECT id FROM gen_departamento WHERE upper(nombre) = upper('"&amp;SUBSTITUTE(TRIM(F311),"'","''")&amp;"') AND estado = 1 LIMIT 1)")&amp;", "&amp;IF(OR(TRIM(F311&amp;"")="",TRIM(G311&amp;"")=""),"NULL","(SELECT p.id FROM gen_provincia p JOIN gen_departamento dp ON dp.id = p.id_departamento WHERE upper(p.nombre) = upper('"&amp;SUBSTITUTE(TRIM(G311),"'","''")&amp;"') AND upper(dp.nombre) = upper('"&amp;SUBSTITUTE(TRIM(F311),"'","''")&amp;"') AND p.estado = 1 LIMIT 1)")&amp;", "&amp;IF(OR(TRIM(F311&amp;"")="",TRIM(G311&amp;"")="",TRIM(H311&amp;"")=""),"NULL","(SELECT d.id FROM gen_distrito d JOIN gen_provincia p ON p.id = d.id_provincia JOIN gen_departamento dp ON dp.id = p.id_departamento WHERE upper(d.nombre) = upper('"&amp;SUBSTITUTE(TRIM(H311),"'","''")&amp;"') AND upper(p.nombre) = upper('"&amp;SUBSTITUTE(TRIM(G311),"'","''")&amp;"') AND upper(dp.nombre) = upper('"&amp;SUBSTITUTE(TRIM(F311),"'","''")&amp;"') AND d.estado = 1 LIMIT 1)")&amp;", "&amp;IF(I311&amp;""="","NULL",SUBSTITUTE(I311&amp;"",",","."))&amp;", "&amp;IF(J311&amp;""="","NULL",SUBSTITUTE(J311&amp;"",",","."))&amp;", "&amp;IF(UPPER(TRIM(K311&amp;""))="SI","TRUE","FALSE")&amp;", 1"&amp;" WHERE NOT EXISTS (SELECT 1 FROM cli_direcciones x WHERE x.id_cliente = "&amp;"(SELECT id FROM cli_clientes WHERE numero_documento = '"&amp;SUBSTITUTE(TRIM(A311),"'","''")&amp;"' AND estado = 1 LIMIT 1)"&amp;" AND upper(x.direccion) = upper("&amp;IF(TRIM(D311&amp;"")="","NULL","'"&amp;SUBSTITUTE(TRIM(D311),"'","''")&amp;"'")&amp;"));")</f>
        <v/>
      </c>
    </row>
    <row r="312" ht="15.75" customHeight="1" s="64">
      <c r="A312" s="23" t="n"/>
      <c r="B312" s="25">
        <f t="array" ref="B312">IF(A312="","",IFERROR(IF(INDEX(Clientes!$D$5:$D$549,MATCH(A312,Clientes!$C$5:$C$549,0))&lt;&gt;"",INDEX(Clientes!$D$5:$D$549,MATCH(A312,Clientes!$C$5:$C$549,0)),TRIM(INDEX(Clientes!$E$5:$E$549,MATCH(A312,Clientes!$C$5:$C$549,0))&amp;" "&amp;INDEX(Clientes!$F$5:$F$549,MATCH(A312,Clientes!$C$5:$C$549,0)))),"NO EXISTE en Clientes"))</f>
        <v/>
      </c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>
        <f>IF(AND(A312="",D312=""),"",IF(A312="","FALTA doc. cliente",IF(B312="NO EXISTE en Clientes","CLIENTE no está en hoja Clientes",IF(D312="","FALTA dirección",IF(AND(H312&lt;&gt;"",OR(F312="",G312="")),"Distrito requiere departamento y provincia",IF(AND(G312&lt;&gt;"",F312=""),"Provincia requiere departamento",IF((I312&lt;&gt;"")&lt;&gt;(J312&lt;&gt;""),"Latitud y longitud van juntas","OK")))))))</f>
        <v/>
      </c>
      <c r="M312" s="28">
        <f>IF(L312&lt;&gt;"OK","","INSERT INTO cli_direcciones (id_cliente, descripcion, direccion, referencia, id_departamento, id_provincia, id_distrito, latitud, longitud, es_principal, estado) SELECT "&amp;"(SELECT id FROM cli_clientes WHERE numero_documento = '"&amp;SUBSTITUTE(TRIM(A312),"'","''")&amp;"' AND estado = 1 LIMIT 1)"&amp;", "&amp;IF(TRIM(C312&amp;"")="","NULL","'"&amp;SUBSTITUTE(TRIM(C312),"'","''")&amp;"'")&amp;", "&amp;IF(TRIM(D312&amp;"")="","NULL","'"&amp;SUBSTITUTE(TRIM(D312),"'","''")&amp;"'")&amp;", "&amp;IF(TRIM(E312&amp;"")="","NULL","'"&amp;SUBSTITUTE(TRIM(E312),"'","''")&amp;"'")&amp;", "&amp;IF(TRIM(F312&amp;"")="","NULL","(SELECT id FROM gen_departamento WHERE upper(nombre) = upper('"&amp;SUBSTITUTE(TRIM(F312),"'","''")&amp;"') AND estado = 1 LIMIT 1)")&amp;", "&amp;IF(OR(TRIM(F312&amp;"")="",TRIM(G312&amp;"")=""),"NULL","(SELECT p.id FROM gen_provincia p JOIN gen_departamento dp ON dp.id = p.id_departamento WHERE upper(p.nombre) = upper('"&amp;SUBSTITUTE(TRIM(G312),"'","''")&amp;"') AND upper(dp.nombre) = upper('"&amp;SUBSTITUTE(TRIM(F312),"'","''")&amp;"') AND p.estado = 1 LIMIT 1)")&amp;", "&amp;IF(OR(TRIM(F312&amp;"")="",TRIM(G312&amp;"")="",TRIM(H312&amp;"")=""),"NULL","(SELECT d.id FROM gen_distrito d JOIN gen_provincia p ON p.id = d.id_provincia JOIN gen_departamento dp ON dp.id = p.id_departamento WHERE upper(d.nombre) = upper('"&amp;SUBSTITUTE(TRIM(H312),"'","''")&amp;"') AND upper(p.nombre) = upper('"&amp;SUBSTITUTE(TRIM(G312),"'","''")&amp;"') AND upper(dp.nombre) = upper('"&amp;SUBSTITUTE(TRIM(F312),"'","''")&amp;"') AND d.estado = 1 LIMIT 1)")&amp;", "&amp;IF(I312&amp;""="","NULL",SUBSTITUTE(I312&amp;"",",","."))&amp;", "&amp;IF(J312&amp;""="","NULL",SUBSTITUTE(J312&amp;"",",","."))&amp;", "&amp;IF(UPPER(TRIM(K312&amp;""))="SI","TRUE","FALSE")&amp;", 1"&amp;" WHERE NOT EXISTS (SELECT 1 FROM cli_direcciones x WHERE x.id_cliente = "&amp;"(SELECT id FROM cli_clientes WHERE numero_documento = '"&amp;SUBSTITUTE(TRIM(A312),"'","''")&amp;"' AND estado = 1 LIMIT 1)"&amp;" AND upper(x.direccion) = upper("&amp;IF(TRIM(D312&amp;"")="","NULL","'"&amp;SUBSTITUTE(TRIM(D312),"'","''")&amp;"'")&amp;"));")</f>
        <v/>
      </c>
    </row>
    <row r="313" ht="15.75" customHeight="1" s="64">
      <c r="A313" s="23" t="n"/>
      <c r="B313" s="25">
        <f t="array" ref="B313">IF(A313="","",IFERROR(IF(INDEX(Clientes!$D$5:$D$549,MATCH(A313,Clientes!$C$5:$C$549,0))&lt;&gt;"",INDEX(Clientes!$D$5:$D$549,MATCH(A313,Clientes!$C$5:$C$549,0)),TRIM(INDEX(Clientes!$E$5:$E$549,MATCH(A313,Clientes!$C$5:$C$549,0))&amp;" "&amp;INDEX(Clientes!$F$5:$F$549,MATCH(A313,Clientes!$C$5:$C$549,0)))),"NO EXISTE en Clientes"))</f>
        <v/>
      </c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>
        <f>IF(AND(A313="",D313=""),"",IF(A313="","FALTA doc. cliente",IF(B313="NO EXISTE en Clientes","CLIENTE no está en hoja Clientes",IF(D313="","FALTA dirección",IF(AND(H313&lt;&gt;"",OR(F313="",G313="")),"Distrito requiere departamento y provincia",IF(AND(G313&lt;&gt;"",F313=""),"Provincia requiere departamento",IF((I313&lt;&gt;"")&lt;&gt;(J313&lt;&gt;""),"Latitud y longitud van juntas","OK")))))))</f>
        <v/>
      </c>
      <c r="M313" s="28">
        <f>IF(L313&lt;&gt;"OK","","INSERT INTO cli_direcciones (id_cliente, descripcion, direccion, referencia, id_departamento, id_provincia, id_distrito, latitud, longitud, es_principal, estado) SELECT "&amp;"(SELECT id FROM cli_clientes WHERE numero_documento = '"&amp;SUBSTITUTE(TRIM(A313),"'","''")&amp;"' AND estado = 1 LIMIT 1)"&amp;", "&amp;IF(TRIM(C313&amp;"")="","NULL","'"&amp;SUBSTITUTE(TRIM(C313),"'","''")&amp;"'")&amp;", "&amp;IF(TRIM(D313&amp;"")="","NULL","'"&amp;SUBSTITUTE(TRIM(D313),"'","''")&amp;"'")&amp;", "&amp;IF(TRIM(E313&amp;"")="","NULL","'"&amp;SUBSTITUTE(TRIM(E313),"'","''")&amp;"'")&amp;", "&amp;IF(TRIM(F313&amp;"")="","NULL","(SELECT id FROM gen_departamento WHERE upper(nombre) = upper('"&amp;SUBSTITUTE(TRIM(F313),"'","''")&amp;"') AND estado = 1 LIMIT 1)")&amp;", "&amp;IF(OR(TRIM(F313&amp;"")="",TRIM(G313&amp;"")=""),"NULL","(SELECT p.id FROM gen_provincia p JOIN gen_departamento dp ON dp.id = p.id_departamento WHERE upper(p.nombre) = upper('"&amp;SUBSTITUTE(TRIM(G313),"'","''")&amp;"') AND upper(dp.nombre) = upper('"&amp;SUBSTITUTE(TRIM(F313),"'","''")&amp;"') AND p.estado = 1 LIMIT 1)")&amp;", "&amp;IF(OR(TRIM(F313&amp;"")="",TRIM(G313&amp;"")="",TRIM(H313&amp;"")=""),"NULL","(SELECT d.id FROM gen_distrito d JOIN gen_provincia p ON p.id = d.id_provincia JOIN gen_departamento dp ON dp.id = p.id_departamento WHERE upper(d.nombre) = upper('"&amp;SUBSTITUTE(TRIM(H313),"'","''")&amp;"') AND upper(p.nombre) = upper('"&amp;SUBSTITUTE(TRIM(G313),"'","''")&amp;"') AND upper(dp.nombre) = upper('"&amp;SUBSTITUTE(TRIM(F313),"'","''")&amp;"') AND d.estado = 1 LIMIT 1)")&amp;", "&amp;IF(I313&amp;""="","NULL",SUBSTITUTE(I313&amp;"",",","."))&amp;", "&amp;IF(J313&amp;""="","NULL",SUBSTITUTE(J313&amp;"",",","."))&amp;", "&amp;IF(UPPER(TRIM(K313&amp;""))="SI","TRUE","FALSE")&amp;", 1"&amp;" WHERE NOT EXISTS (SELECT 1 FROM cli_direcciones x WHERE x.id_cliente = "&amp;"(SELECT id FROM cli_clientes WHERE numero_documento = '"&amp;SUBSTITUTE(TRIM(A313),"'","''")&amp;"' AND estado = 1 LIMIT 1)"&amp;" AND upper(x.direccion) = upper("&amp;IF(TRIM(D313&amp;"")="","NULL","'"&amp;SUBSTITUTE(TRIM(D313),"'","''")&amp;"'")&amp;"));")</f>
        <v/>
      </c>
    </row>
    <row r="314" ht="15.75" customHeight="1" s="64">
      <c r="A314" s="23" t="n"/>
      <c r="B314" s="25">
        <f t="array" ref="B314">IF(A314="","",IFERROR(IF(INDEX(Clientes!$D$5:$D$549,MATCH(A314,Clientes!$C$5:$C$549,0))&lt;&gt;"",INDEX(Clientes!$D$5:$D$549,MATCH(A314,Clientes!$C$5:$C$549,0)),TRIM(INDEX(Clientes!$E$5:$E$549,MATCH(A314,Clientes!$C$5:$C$549,0))&amp;" "&amp;INDEX(Clientes!$F$5:$F$549,MATCH(A314,Clientes!$C$5:$C$549,0)))),"NO EXISTE en Clientes"))</f>
        <v/>
      </c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>
        <f>IF(AND(A314="",D314=""),"",IF(A314="","FALTA doc. cliente",IF(B314="NO EXISTE en Clientes","CLIENTE no está en hoja Clientes",IF(D314="","FALTA dirección",IF(AND(H314&lt;&gt;"",OR(F314="",G314="")),"Distrito requiere departamento y provincia",IF(AND(G314&lt;&gt;"",F314=""),"Provincia requiere departamento",IF((I314&lt;&gt;"")&lt;&gt;(J314&lt;&gt;""),"Latitud y longitud van juntas","OK")))))))</f>
        <v/>
      </c>
      <c r="M314" s="28">
        <f>IF(L314&lt;&gt;"OK","","INSERT INTO cli_direcciones (id_cliente, descripcion, direccion, referencia, id_departamento, id_provincia, id_distrito, latitud, longitud, es_principal, estado) SELECT "&amp;"(SELECT id FROM cli_clientes WHERE numero_documento = '"&amp;SUBSTITUTE(TRIM(A314),"'","''")&amp;"' AND estado = 1 LIMIT 1)"&amp;", "&amp;IF(TRIM(C314&amp;"")="","NULL","'"&amp;SUBSTITUTE(TRIM(C314),"'","''")&amp;"'")&amp;", "&amp;IF(TRIM(D314&amp;"")="","NULL","'"&amp;SUBSTITUTE(TRIM(D314),"'","''")&amp;"'")&amp;", "&amp;IF(TRIM(E314&amp;"")="","NULL","'"&amp;SUBSTITUTE(TRIM(E314),"'","''")&amp;"'")&amp;", "&amp;IF(TRIM(F314&amp;"")="","NULL","(SELECT id FROM gen_departamento WHERE upper(nombre) = upper('"&amp;SUBSTITUTE(TRIM(F314),"'","''")&amp;"') AND estado = 1 LIMIT 1)")&amp;", "&amp;IF(OR(TRIM(F314&amp;"")="",TRIM(G314&amp;"")=""),"NULL","(SELECT p.id FROM gen_provincia p JOIN gen_departamento dp ON dp.id = p.id_departamento WHERE upper(p.nombre) = upper('"&amp;SUBSTITUTE(TRIM(G314),"'","''")&amp;"') AND upper(dp.nombre) = upper('"&amp;SUBSTITUTE(TRIM(F314),"'","''")&amp;"') AND p.estado = 1 LIMIT 1)")&amp;", "&amp;IF(OR(TRIM(F314&amp;"")="",TRIM(G314&amp;"")="",TRIM(H314&amp;"")=""),"NULL","(SELECT d.id FROM gen_distrito d JOIN gen_provincia p ON p.id = d.id_provincia JOIN gen_departamento dp ON dp.id = p.id_departamento WHERE upper(d.nombre) = upper('"&amp;SUBSTITUTE(TRIM(H314),"'","''")&amp;"') AND upper(p.nombre) = upper('"&amp;SUBSTITUTE(TRIM(G314),"'","''")&amp;"') AND upper(dp.nombre) = upper('"&amp;SUBSTITUTE(TRIM(F314),"'","''")&amp;"') AND d.estado = 1 LIMIT 1)")&amp;", "&amp;IF(I314&amp;""="","NULL",SUBSTITUTE(I314&amp;"",",","."))&amp;", "&amp;IF(J314&amp;""="","NULL",SUBSTITUTE(J314&amp;"",",","."))&amp;", "&amp;IF(UPPER(TRIM(K314&amp;""))="SI","TRUE","FALSE")&amp;", 1"&amp;" WHERE NOT EXISTS (SELECT 1 FROM cli_direcciones x WHERE x.id_cliente = "&amp;"(SELECT id FROM cli_clientes WHERE numero_documento = '"&amp;SUBSTITUTE(TRIM(A314),"'","''")&amp;"' AND estado = 1 LIMIT 1)"&amp;" AND upper(x.direccion) = upper("&amp;IF(TRIM(D314&amp;"")="","NULL","'"&amp;SUBSTITUTE(TRIM(D314),"'","''")&amp;"'")&amp;"));")</f>
        <v/>
      </c>
    </row>
    <row r="315" ht="15.75" customHeight="1" s="64">
      <c r="A315" s="23" t="n"/>
      <c r="B315" s="25">
        <f t="array" ref="B315">IF(A315="","",IFERROR(IF(INDEX(Clientes!$D$5:$D$549,MATCH(A315,Clientes!$C$5:$C$549,0))&lt;&gt;"",INDEX(Clientes!$D$5:$D$549,MATCH(A315,Clientes!$C$5:$C$549,0)),TRIM(INDEX(Clientes!$E$5:$E$549,MATCH(A315,Clientes!$C$5:$C$549,0))&amp;" "&amp;INDEX(Clientes!$F$5:$F$549,MATCH(A315,Clientes!$C$5:$C$549,0)))),"NO EXISTE en Clientes"))</f>
        <v/>
      </c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>
        <f>IF(AND(A315="",D315=""),"",IF(A315="","FALTA doc. cliente",IF(B315="NO EXISTE en Clientes","CLIENTE no está en hoja Clientes",IF(D315="","FALTA dirección",IF(AND(H315&lt;&gt;"",OR(F315="",G315="")),"Distrito requiere departamento y provincia",IF(AND(G315&lt;&gt;"",F315=""),"Provincia requiere departamento",IF((I315&lt;&gt;"")&lt;&gt;(J315&lt;&gt;""),"Latitud y longitud van juntas","OK")))))))</f>
        <v/>
      </c>
      <c r="M315" s="28">
        <f>IF(L315&lt;&gt;"OK","","INSERT INTO cli_direcciones (id_cliente, descripcion, direccion, referencia, id_departamento, id_provincia, id_distrito, latitud, longitud, es_principal, estado) SELECT "&amp;"(SELECT id FROM cli_clientes WHERE numero_documento = '"&amp;SUBSTITUTE(TRIM(A315),"'","''")&amp;"' AND estado = 1 LIMIT 1)"&amp;", "&amp;IF(TRIM(C315&amp;"")="","NULL","'"&amp;SUBSTITUTE(TRIM(C315),"'","''")&amp;"'")&amp;", "&amp;IF(TRIM(D315&amp;"")="","NULL","'"&amp;SUBSTITUTE(TRIM(D315),"'","''")&amp;"'")&amp;", "&amp;IF(TRIM(E315&amp;"")="","NULL","'"&amp;SUBSTITUTE(TRIM(E315),"'","''")&amp;"'")&amp;", "&amp;IF(TRIM(F315&amp;"")="","NULL","(SELECT id FROM gen_departamento WHERE upper(nombre) = upper('"&amp;SUBSTITUTE(TRIM(F315),"'","''")&amp;"') AND estado = 1 LIMIT 1)")&amp;", "&amp;IF(OR(TRIM(F315&amp;"")="",TRIM(G315&amp;"")=""),"NULL","(SELECT p.id FROM gen_provincia p JOIN gen_departamento dp ON dp.id = p.id_departamento WHERE upper(p.nombre) = upper('"&amp;SUBSTITUTE(TRIM(G315),"'","''")&amp;"') AND upper(dp.nombre) = upper('"&amp;SUBSTITUTE(TRIM(F315),"'","''")&amp;"') AND p.estado = 1 LIMIT 1)")&amp;", "&amp;IF(OR(TRIM(F315&amp;"")="",TRIM(G315&amp;"")="",TRIM(H315&amp;"")=""),"NULL","(SELECT d.id FROM gen_distrito d JOIN gen_provincia p ON p.id = d.id_provincia JOIN gen_departamento dp ON dp.id = p.id_departamento WHERE upper(d.nombre) = upper('"&amp;SUBSTITUTE(TRIM(H315),"'","''")&amp;"') AND upper(p.nombre) = upper('"&amp;SUBSTITUTE(TRIM(G315),"'","''")&amp;"') AND upper(dp.nombre) = upper('"&amp;SUBSTITUTE(TRIM(F315),"'","''")&amp;"') AND d.estado = 1 LIMIT 1)")&amp;", "&amp;IF(I315&amp;""="","NULL",SUBSTITUTE(I315&amp;"",",","."))&amp;", "&amp;IF(J315&amp;""="","NULL",SUBSTITUTE(J315&amp;"",",","."))&amp;", "&amp;IF(UPPER(TRIM(K315&amp;""))="SI","TRUE","FALSE")&amp;", 1"&amp;" WHERE NOT EXISTS (SELECT 1 FROM cli_direcciones x WHERE x.id_cliente = "&amp;"(SELECT id FROM cli_clientes WHERE numero_documento = '"&amp;SUBSTITUTE(TRIM(A315),"'","''")&amp;"' AND estado = 1 LIMIT 1)"&amp;" AND upper(x.direccion) = upper("&amp;IF(TRIM(D315&amp;"")="","NULL","'"&amp;SUBSTITUTE(TRIM(D315),"'","''")&amp;"'")&amp;"));")</f>
        <v/>
      </c>
    </row>
    <row r="316" ht="15.75" customHeight="1" s="64">
      <c r="A316" s="23" t="n"/>
      <c r="B316" s="25">
        <f t="array" ref="B316">IF(A316="","",IFERROR(IF(INDEX(Clientes!$D$5:$D$549,MATCH(A316,Clientes!$C$5:$C$549,0))&lt;&gt;"",INDEX(Clientes!$D$5:$D$549,MATCH(A316,Clientes!$C$5:$C$549,0)),TRIM(INDEX(Clientes!$E$5:$E$549,MATCH(A316,Clientes!$C$5:$C$549,0))&amp;" "&amp;INDEX(Clientes!$F$5:$F$549,MATCH(A316,Clientes!$C$5:$C$549,0)))),"NO EXISTE en Clientes"))</f>
        <v/>
      </c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>
        <f>IF(AND(A316="",D316=""),"",IF(A316="","FALTA doc. cliente",IF(B316="NO EXISTE en Clientes","CLIENTE no está en hoja Clientes",IF(D316="","FALTA dirección",IF(AND(H316&lt;&gt;"",OR(F316="",G316="")),"Distrito requiere departamento y provincia",IF(AND(G316&lt;&gt;"",F316=""),"Provincia requiere departamento",IF((I316&lt;&gt;"")&lt;&gt;(J316&lt;&gt;""),"Latitud y longitud van juntas","OK")))))))</f>
        <v/>
      </c>
      <c r="M316" s="28">
        <f>IF(L316&lt;&gt;"OK","","INSERT INTO cli_direcciones (id_cliente, descripcion, direccion, referencia, id_departamento, id_provincia, id_distrito, latitud, longitud, es_principal, estado) SELECT "&amp;"(SELECT id FROM cli_clientes WHERE numero_documento = '"&amp;SUBSTITUTE(TRIM(A316),"'","''")&amp;"' AND estado = 1 LIMIT 1)"&amp;", "&amp;IF(TRIM(C316&amp;"")="","NULL","'"&amp;SUBSTITUTE(TRIM(C316),"'","''")&amp;"'")&amp;", "&amp;IF(TRIM(D316&amp;"")="","NULL","'"&amp;SUBSTITUTE(TRIM(D316),"'","''")&amp;"'")&amp;", "&amp;IF(TRIM(E316&amp;"")="","NULL","'"&amp;SUBSTITUTE(TRIM(E316),"'","''")&amp;"'")&amp;", "&amp;IF(TRIM(F316&amp;"")="","NULL","(SELECT id FROM gen_departamento WHERE upper(nombre) = upper('"&amp;SUBSTITUTE(TRIM(F316),"'","''")&amp;"') AND estado = 1 LIMIT 1)")&amp;", "&amp;IF(OR(TRIM(F316&amp;"")="",TRIM(G316&amp;"")=""),"NULL","(SELECT p.id FROM gen_provincia p JOIN gen_departamento dp ON dp.id = p.id_departamento WHERE upper(p.nombre) = upper('"&amp;SUBSTITUTE(TRIM(G316),"'","''")&amp;"') AND upper(dp.nombre) = upper('"&amp;SUBSTITUTE(TRIM(F316),"'","''")&amp;"') AND p.estado = 1 LIMIT 1)")&amp;", "&amp;IF(OR(TRIM(F316&amp;"")="",TRIM(G316&amp;"")="",TRIM(H316&amp;"")=""),"NULL","(SELECT d.id FROM gen_distrito d JOIN gen_provincia p ON p.id = d.id_provincia JOIN gen_departamento dp ON dp.id = p.id_departamento WHERE upper(d.nombre) = upper('"&amp;SUBSTITUTE(TRIM(H316),"'","''")&amp;"') AND upper(p.nombre) = upper('"&amp;SUBSTITUTE(TRIM(G316),"'","''")&amp;"') AND upper(dp.nombre) = upper('"&amp;SUBSTITUTE(TRIM(F316),"'","''")&amp;"') AND d.estado = 1 LIMIT 1)")&amp;", "&amp;IF(I316&amp;""="","NULL",SUBSTITUTE(I316&amp;"",",","."))&amp;", "&amp;IF(J316&amp;""="","NULL",SUBSTITUTE(J316&amp;"",",","."))&amp;", "&amp;IF(UPPER(TRIM(K316&amp;""))="SI","TRUE","FALSE")&amp;", 1"&amp;" WHERE NOT EXISTS (SELECT 1 FROM cli_direcciones x WHERE x.id_cliente = "&amp;"(SELECT id FROM cli_clientes WHERE numero_documento = '"&amp;SUBSTITUTE(TRIM(A316),"'","''")&amp;"' AND estado = 1 LIMIT 1)"&amp;" AND upper(x.direccion) = upper("&amp;IF(TRIM(D316&amp;"")="","NULL","'"&amp;SUBSTITUTE(TRIM(D316),"'","''")&amp;"'")&amp;"));")</f>
        <v/>
      </c>
    </row>
    <row r="317" ht="15.75" customHeight="1" s="64">
      <c r="A317" s="23" t="n"/>
      <c r="B317" s="25">
        <f t="array" ref="B317">IF(A317="","",IFERROR(IF(INDEX(Clientes!$D$5:$D$549,MATCH(A317,Clientes!$C$5:$C$549,0))&lt;&gt;"",INDEX(Clientes!$D$5:$D$549,MATCH(A317,Clientes!$C$5:$C$549,0)),TRIM(INDEX(Clientes!$E$5:$E$549,MATCH(A317,Clientes!$C$5:$C$549,0))&amp;" "&amp;INDEX(Clientes!$F$5:$F$549,MATCH(A317,Clientes!$C$5:$C$549,0)))),"NO EXISTE en Clientes"))</f>
        <v/>
      </c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>
        <f>IF(AND(A317="",D317=""),"",IF(A317="","FALTA doc. cliente",IF(B317="NO EXISTE en Clientes","CLIENTE no está en hoja Clientes",IF(D317="","FALTA dirección",IF(AND(H317&lt;&gt;"",OR(F317="",G317="")),"Distrito requiere departamento y provincia",IF(AND(G317&lt;&gt;"",F317=""),"Provincia requiere departamento",IF((I317&lt;&gt;"")&lt;&gt;(J317&lt;&gt;""),"Latitud y longitud van juntas","OK")))))))</f>
        <v/>
      </c>
      <c r="M317" s="28">
        <f>IF(L317&lt;&gt;"OK","","INSERT INTO cli_direcciones (id_cliente, descripcion, direccion, referencia, id_departamento, id_provincia, id_distrito, latitud, longitud, es_principal, estado) SELECT "&amp;"(SELECT id FROM cli_clientes WHERE numero_documento = '"&amp;SUBSTITUTE(TRIM(A317),"'","''")&amp;"' AND estado = 1 LIMIT 1)"&amp;", "&amp;IF(TRIM(C317&amp;"")="","NULL","'"&amp;SUBSTITUTE(TRIM(C317),"'","''")&amp;"'")&amp;", "&amp;IF(TRIM(D317&amp;"")="","NULL","'"&amp;SUBSTITUTE(TRIM(D317),"'","''")&amp;"'")&amp;", "&amp;IF(TRIM(E317&amp;"")="","NULL","'"&amp;SUBSTITUTE(TRIM(E317),"'","''")&amp;"'")&amp;", "&amp;IF(TRIM(F317&amp;"")="","NULL","(SELECT id FROM gen_departamento WHERE upper(nombre) = upper('"&amp;SUBSTITUTE(TRIM(F317),"'","''")&amp;"') AND estado = 1 LIMIT 1)")&amp;", "&amp;IF(OR(TRIM(F317&amp;"")="",TRIM(G317&amp;"")=""),"NULL","(SELECT p.id FROM gen_provincia p JOIN gen_departamento dp ON dp.id = p.id_departamento WHERE upper(p.nombre) = upper('"&amp;SUBSTITUTE(TRIM(G317),"'","''")&amp;"') AND upper(dp.nombre) = upper('"&amp;SUBSTITUTE(TRIM(F317),"'","''")&amp;"') AND p.estado = 1 LIMIT 1)")&amp;", "&amp;IF(OR(TRIM(F317&amp;"")="",TRIM(G317&amp;"")="",TRIM(H317&amp;"")=""),"NULL","(SELECT d.id FROM gen_distrito d JOIN gen_provincia p ON p.id = d.id_provincia JOIN gen_departamento dp ON dp.id = p.id_departamento WHERE upper(d.nombre) = upper('"&amp;SUBSTITUTE(TRIM(H317),"'","''")&amp;"') AND upper(p.nombre) = upper('"&amp;SUBSTITUTE(TRIM(G317),"'","''")&amp;"') AND upper(dp.nombre) = upper('"&amp;SUBSTITUTE(TRIM(F317),"'","''")&amp;"') AND d.estado = 1 LIMIT 1)")&amp;", "&amp;IF(I317&amp;""="","NULL",SUBSTITUTE(I317&amp;"",",","."))&amp;", "&amp;IF(J317&amp;""="","NULL",SUBSTITUTE(J317&amp;"",",","."))&amp;", "&amp;IF(UPPER(TRIM(K317&amp;""))="SI","TRUE","FALSE")&amp;", 1"&amp;" WHERE NOT EXISTS (SELECT 1 FROM cli_direcciones x WHERE x.id_cliente = "&amp;"(SELECT id FROM cli_clientes WHERE numero_documento = '"&amp;SUBSTITUTE(TRIM(A317),"'","''")&amp;"' AND estado = 1 LIMIT 1)"&amp;" AND upper(x.direccion) = upper("&amp;IF(TRIM(D317&amp;"")="","NULL","'"&amp;SUBSTITUTE(TRIM(D317),"'","''")&amp;"'")&amp;"));")</f>
        <v/>
      </c>
    </row>
    <row r="318" ht="15.75" customHeight="1" s="64">
      <c r="A318" s="23" t="n"/>
      <c r="B318" s="25">
        <f t="array" ref="B318">IF(A318="","",IFERROR(IF(INDEX(Clientes!$D$5:$D$549,MATCH(A318,Clientes!$C$5:$C$549,0))&lt;&gt;"",INDEX(Clientes!$D$5:$D$549,MATCH(A318,Clientes!$C$5:$C$549,0)),TRIM(INDEX(Clientes!$E$5:$E$549,MATCH(A318,Clientes!$C$5:$C$549,0))&amp;" "&amp;INDEX(Clientes!$F$5:$F$549,MATCH(A318,Clientes!$C$5:$C$549,0)))),"NO EXISTE en Clientes"))</f>
        <v/>
      </c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>
        <f>IF(AND(A318="",D318=""),"",IF(A318="","FALTA doc. cliente",IF(B318="NO EXISTE en Clientes","CLIENTE no está en hoja Clientes",IF(D318="","FALTA dirección",IF(AND(H318&lt;&gt;"",OR(F318="",G318="")),"Distrito requiere departamento y provincia",IF(AND(G318&lt;&gt;"",F318=""),"Provincia requiere departamento",IF((I318&lt;&gt;"")&lt;&gt;(J318&lt;&gt;""),"Latitud y longitud van juntas","OK")))))))</f>
        <v/>
      </c>
      <c r="M318" s="28">
        <f>IF(L318&lt;&gt;"OK","","INSERT INTO cli_direcciones (id_cliente, descripcion, direccion, referencia, id_departamento, id_provincia, id_distrito, latitud, longitud, es_principal, estado) SELECT "&amp;"(SELECT id FROM cli_clientes WHERE numero_documento = '"&amp;SUBSTITUTE(TRIM(A318),"'","''")&amp;"' AND estado = 1 LIMIT 1)"&amp;", "&amp;IF(TRIM(C318&amp;"")="","NULL","'"&amp;SUBSTITUTE(TRIM(C318),"'","''")&amp;"'")&amp;", "&amp;IF(TRIM(D318&amp;"")="","NULL","'"&amp;SUBSTITUTE(TRIM(D318),"'","''")&amp;"'")&amp;", "&amp;IF(TRIM(E318&amp;"")="","NULL","'"&amp;SUBSTITUTE(TRIM(E318),"'","''")&amp;"'")&amp;", "&amp;IF(TRIM(F318&amp;"")="","NULL","(SELECT id FROM gen_departamento WHERE upper(nombre) = upper('"&amp;SUBSTITUTE(TRIM(F318),"'","''")&amp;"') AND estado = 1 LIMIT 1)")&amp;", "&amp;IF(OR(TRIM(F318&amp;"")="",TRIM(G318&amp;"")=""),"NULL","(SELECT p.id FROM gen_provincia p JOIN gen_departamento dp ON dp.id = p.id_departamento WHERE upper(p.nombre) = upper('"&amp;SUBSTITUTE(TRIM(G318),"'","''")&amp;"') AND upper(dp.nombre) = upper('"&amp;SUBSTITUTE(TRIM(F318),"'","''")&amp;"') AND p.estado = 1 LIMIT 1)")&amp;", "&amp;IF(OR(TRIM(F318&amp;"")="",TRIM(G318&amp;"")="",TRIM(H318&amp;"")=""),"NULL","(SELECT d.id FROM gen_distrito d JOIN gen_provincia p ON p.id = d.id_provincia JOIN gen_departamento dp ON dp.id = p.id_departamento WHERE upper(d.nombre) = upper('"&amp;SUBSTITUTE(TRIM(H318),"'","''")&amp;"') AND upper(p.nombre) = upper('"&amp;SUBSTITUTE(TRIM(G318),"'","''")&amp;"') AND upper(dp.nombre) = upper('"&amp;SUBSTITUTE(TRIM(F318),"'","''")&amp;"') AND d.estado = 1 LIMIT 1)")&amp;", "&amp;IF(I318&amp;""="","NULL",SUBSTITUTE(I318&amp;"",",","."))&amp;", "&amp;IF(J318&amp;""="","NULL",SUBSTITUTE(J318&amp;"",",","."))&amp;", "&amp;IF(UPPER(TRIM(K318&amp;""))="SI","TRUE","FALSE")&amp;", 1"&amp;" WHERE NOT EXISTS (SELECT 1 FROM cli_direcciones x WHERE x.id_cliente = "&amp;"(SELECT id FROM cli_clientes WHERE numero_documento = '"&amp;SUBSTITUTE(TRIM(A318),"'","''")&amp;"' AND estado = 1 LIMIT 1)"&amp;" AND upper(x.direccion) = upper("&amp;IF(TRIM(D318&amp;"")="","NULL","'"&amp;SUBSTITUTE(TRIM(D318),"'","''")&amp;"'")&amp;"));")</f>
        <v/>
      </c>
    </row>
    <row r="319" ht="15.75" customHeight="1" s="64">
      <c r="A319" s="23" t="n"/>
      <c r="B319" s="25">
        <f t="array" ref="B319">IF(A319="","",IFERROR(IF(INDEX(Clientes!$D$5:$D$549,MATCH(A319,Clientes!$C$5:$C$549,0))&lt;&gt;"",INDEX(Clientes!$D$5:$D$549,MATCH(A319,Clientes!$C$5:$C$549,0)),TRIM(INDEX(Clientes!$E$5:$E$549,MATCH(A319,Clientes!$C$5:$C$549,0))&amp;" "&amp;INDEX(Clientes!$F$5:$F$549,MATCH(A319,Clientes!$C$5:$C$549,0)))),"NO EXISTE en Clientes"))</f>
        <v/>
      </c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>
        <f>IF(AND(A319="",D319=""),"",IF(A319="","FALTA doc. cliente",IF(B319="NO EXISTE en Clientes","CLIENTE no está en hoja Clientes",IF(D319="","FALTA dirección",IF(AND(H319&lt;&gt;"",OR(F319="",G319="")),"Distrito requiere departamento y provincia",IF(AND(G319&lt;&gt;"",F319=""),"Provincia requiere departamento",IF((I319&lt;&gt;"")&lt;&gt;(J319&lt;&gt;""),"Latitud y longitud van juntas","OK")))))))</f>
        <v/>
      </c>
      <c r="M319" s="28">
        <f>IF(L319&lt;&gt;"OK","","INSERT INTO cli_direcciones (id_cliente, descripcion, direccion, referencia, id_departamento, id_provincia, id_distrito, latitud, longitud, es_principal, estado) SELECT "&amp;"(SELECT id FROM cli_clientes WHERE numero_documento = '"&amp;SUBSTITUTE(TRIM(A319),"'","''")&amp;"' AND estado = 1 LIMIT 1)"&amp;", "&amp;IF(TRIM(C319&amp;"")="","NULL","'"&amp;SUBSTITUTE(TRIM(C319),"'","''")&amp;"'")&amp;", "&amp;IF(TRIM(D319&amp;"")="","NULL","'"&amp;SUBSTITUTE(TRIM(D319),"'","''")&amp;"'")&amp;", "&amp;IF(TRIM(E319&amp;"")="","NULL","'"&amp;SUBSTITUTE(TRIM(E319),"'","''")&amp;"'")&amp;", "&amp;IF(TRIM(F319&amp;"")="","NULL","(SELECT id FROM gen_departamento WHERE upper(nombre) = upper('"&amp;SUBSTITUTE(TRIM(F319),"'","''")&amp;"') AND estado = 1 LIMIT 1)")&amp;", "&amp;IF(OR(TRIM(F319&amp;"")="",TRIM(G319&amp;"")=""),"NULL","(SELECT p.id FROM gen_provincia p JOIN gen_departamento dp ON dp.id = p.id_departamento WHERE upper(p.nombre) = upper('"&amp;SUBSTITUTE(TRIM(G319),"'","''")&amp;"') AND upper(dp.nombre) = upper('"&amp;SUBSTITUTE(TRIM(F319),"'","''")&amp;"') AND p.estado = 1 LIMIT 1)")&amp;", "&amp;IF(OR(TRIM(F319&amp;"")="",TRIM(G319&amp;"")="",TRIM(H319&amp;"")=""),"NULL","(SELECT d.id FROM gen_distrito d JOIN gen_provincia p ON p.id = d.id_provincia JOIN gen_departamento dp ON dp.id = p.id_departamento WHERE upper(d.nombre) = upper('"&amp;SUBSTITUTE(TRIM(H319),"'","''")&amp;"') AND upper(p.nombre) = upper('"&amp;SUBSTITUTE(TRIM(G319),"'","''")&amp;"') AND upper(dp.nombre) = upper('"&amp;SUBSTITUTE(TRIM(F319),"'","''")&amp;"') AND d.estado = 1 LIMIT 1)")&amp;", "&amp;IF(I319&amp;""="","NULL",SUBSTITUTE(I319&amp;"",",","."))&amp;", "&amp;IF(J319&amp;""="","NULL",SUBSTITUTE(J319&amp;"",",","."))&amp;", "&amp;IF(UPPER(TRIM(K319&amp;""))="SI","TRUE","FALSE")&amp;", 1"&amp;" WHERE NOT EXISTS (SELECT 1 FROM cli_direcciones x WHERE x.id_cliente = "&amp;"(SELECT id FROM cli_clientes WHERE numero_documento = '"&amp;SUBSTITUTE(TRIM(A319),"'","''")&amp;"' AND estado = 1 LIMIT 1)"&amp;" AND upper(x.direccion) = upper("&amp;IF(TRIM(D319&amp;"")="","NULL","'"&amp;SUBSTITUTE(TRIM(D319),"'","''")&amp;"'")&amp;"));")</f>
        <v/>
      </c>
    </row>
    <row r="320" ht="15.75" customHeight="1" s="64">
      <c r="A320" s="23" t="n"/>
      <c r="B320" s="25">
        <f t="array" ref="B320">IF(A320="","",IFERROR(IF(INDEX(Clientes!$D$5:$D$549,MATCH(A320,Clientes!$C$5:$C$549,0))&lt;&gt;"",INDEX(Clientes!$D$5:$D$549,MATCH(A320,Clientes!$C$5:$C$549,0)),TRIM(INDEX(Clientes!$E$5:$E$549,MATCH(A320,Clientes!$C$5:$C$549,0))&amp;" "&amp;INDEX(Clientes!$F$5:$F$549,MATCH(A320,Clientes!$C$5:$C$549,0)))),"NO EXISTE en Clientes"))</f>
        <v/>
      </c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>
        <f>IF(AND(A320="",D320=""),"",IF(A320="","FALTA doc. cliente",IF(B320="NO EXISTE en Clientes","CLIENTE no está en hoja Clientes",IF(D320="","FALTA dirección",IF(AND(H320&lt;&gt;"",OR(F320="",G320="")),"Distrito requiere departamento y provincia",IF(AND(G320&lt;&gt;"",F320=""),"Provincia requiere departamento",IF((I320&lt;&gt;"")&lt;&gt;(J320&lt;&gt;""),"Latitud y longitud van juntas","OK")))))))</f>
        <v/>
      </c>
      <c r="M320" s="28">
        <f>IF(L320&lt;&gt;"OK","","INSERT INTO cli_direcciones (id_cliente, descripcion, direccion, referencia, id_departamento, id_provincia, id_distrito, latitud, longitud, es_principal, estado) SELECT "&amp;"(SELECT id FROM cli_clientes WHERE numero_documento = '"&amp;SUBSTITUTE(TRIM(A320),"'","''")&amp;"' AND estado = 1 LIMIT 1)"&amp;", "&amp;IF(TRIM(C320&amp;"")="","NULL","'"&amp;SUBSTITUTE(TRIM(C320),"'","''")&amp;"'")&amp;", "&amp;IF(TRIM(D320&amp;"")="","NULL","'"&amp;SUBSTITUTE(TRIM(D320),"'","''")&amp;"'")&amp;", "&amp;IF(TRIM(E320&amp;"")="","NULL","'"&amp;SUBSTITUTE(TRIM(E320),"'","''")&amp;"'")&amp;", "&amp;IF(TRIM(F320&amp;"")="","NULL","(SELECT id FROM gen_departamento WHERE upper(nombre) = upper('"&amp;SUBSTITUTE(TRIM(F320),"'","''")&amp;"') AND estado = 1 LIMIT 1)")&amp;", "&amp;IF(OR(TRIM(F320&amp;"")="",TRIM(G320&amp;"")=""),"NULL","(SELECT p.id FROM gen_provincia p JOIN gen_departamento dp ON dp.id = p.id_departamento WHERE upper(p.nombre) = upper('"&amp;SUBSTITUTE(TRIM(G320),"'","''")&amp;"') AND upper(dp.nombre) = upper('"&amp;SUBSTITUTE(TRIM(F320),"'","''")&amp;"') AND p.estado = 1 LIMIT 1)")&amp;", "&amp;IF(OR(TRIM(F320&amp;"")="",TRIM(G320&amp;"")="",TRIM(H320&amp;"")=""),"NULL","(SELECT d.id FROM gen_distrito d JOIN gen_provincia p ON p.id = d.id_provincia JOIN gen_departamento dp ON dp.id = p.id_departamento WHERE upper(d.nombre) = upper('"&amp;SUBSTITUTE(TRIM(H320),"'","''")&amp;"') AND upper(p.nombre) = upper('"&amp;SUBSTITUTE(TRIM(G320),"'","''")&amp;"') AND upper(dp.nombre) = upper('"&amp;SUBSTITUTE(TRIM(F320),"'","''")&amp;"') AND d.estado = 1 LIMIT 1)")&amp;", "&amp;IF(I320&amp;""="","NULL",SUBSTITUTE(I320&amp;"",",","."))&amp;", "&amp;IF(J320&amp;""="","NULL",SUBSTITUTE(J320&amp;"",",","."))&amp;", "&amp;IF(UPPER(TRIM(K320&amp;""))="SI","TRUE","FALSE")&amp;", 1"&amp;" WHERE NOT EXISTS (SELECT 1 FROM cli_direcciones x WHERE x.id_cliente = "&amp;"(SELECT id FROM cli_clientes WHERE numero_documento = '"&amp;SUBSTITUTE(TRIM(A320),"'","''")&amp;"' AND estado = 1 LIMIT 1)"&amp;" AND upper(x.direccion) = upper("&amp;IF(TRIM(D320&amp;"")="","NULL","'"&amp;SUBSTITUTE(TRIM(D320),"'","''")&amp;"'")&amp;"));")</f>
        <v/>
      </c>
    </row>
    <row r="321" ht="15.75" customHeight="1" s="64">
      <c r="A321" s="23" t="n"/>
      <c r="B321" s="25">
        <f t="array" ref="B321">IF(A321="","",IFERROR(IF(INDEX(Clientes!$D$5:$D$549,MATCH(A321,Clientes!$C$5:$C$549,0))&lt;&gt;"",INDEX(Clientes!$D$5:$D$549,MATCH(A321,Clientes!$C$5:$C$549,0)),TRIM(INDEX(Clientes!$E$5:$E$549,MATCH(A321,Clientes!$C$5:$C$549,0))&amp;" "&amp;INDEX(Clientes!$F$5:$F$549,MATCH(A321,Clientes!$C$5:$C$549,0)))),"NO EXISTE en Clientes"))</f>
        <v/>
      </c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>
        <f>IF(AND(A321="",D321=""),"",IF(A321="","FALTA doc. cliente",IF(B321="NO EXISTE en Clientes","CLIENTE no está en hoja Clientes",IF(D321="","FALTA dirección",IF(AND(H321&lt;&gt;"",OR(F321="",G321="")),"Distrito requiere departamento y provincia",IF(AND(G321&lt;&gt;"",F321=""),"Provincia requiere departamento",IF((I321&lt;&gt;"")&lt;&gt;(J321&lt;&gt;""),"Latitud y longitud van juntas","OK")))))))</f>
        <v/>
      </c>
      <c r="M321" s="28">
        <f>IF(L321&lt;&gt;"OK","","INSERT INTO cli_direcciones (id_cliente, descripcion, direccion, referencia, id_departamento, id_provincia, id_distrito, latitud, longitud, es_principal, estado) SELECT "&amp;"(SELECT id FROM cli_clientes WHERE numero_documento = '"&amp;SUBSTITUTE(TRIM(A321),"'","''")&amp;"' AND estado = 1 LIMIT 1)"&amp;", "&amp;IF(TRIM(C321&amp;"")="","NULL","'"&amp;SUBSTITUTE(TRIM(C321),"'","''")&amp;"'")&amp;", "&amp;IF(TRIM(D321&amp;"")="","NULL","'"&amp;SUBSTITUTE(TRIM(D321),"'","''")&amp;"'")&amp;", "&amp;IF(TRIM(E321&amp;"")="","NULL","'"&amp;SUBSTITUTE(TRIM(E321),"'","''")&amp;"'")&amp;", "&amp;IF(TRIM(F321&amp;"")="","NULL","(SELECT id FROM gen_departamento WHERE upper(nombre) = upper('"&amp;SUBSTITUTE(TRIM(F321),"'","''")&amp;"') AND estado = 1 LIMIT 1)")&amp;", "&amp;IF(OR(TRIM(F321&amp;"")="",TRIM(G321&amp;"")=""),"NULL","(SELECT p.id FROM gen_provincia p JOIN gen_departamento dp ON dp.id = p.id_departamento WHERE upper(p.nombre) = upper('"&amp;SUBSTITUTE(TRIM(G321),"'","''")&amp;"') AND upper(dp.nombre) = upper('"&amp;SUBSTITUTE(TRIM(F321),"'","''")&amp;"') AND p.estado = 1 LIMIT 1)")&amp;", "&amp;IF(OR(TRIM(F321&amp;"")="",TRIM(G321&amp;"")="",TRIM(H321&amp;"")=""),"NULL","(SELECT d.id FROM gen_distrito d JOIN gen_provincia p ON p.id = d.id_provincia JOIN gen_departamento dp ON dp.id = p.id_departamento WHERE upper(d.nombre) = upper('"&amp;SUBSTITUTE(TRIM(H321),"'","''")&amp;"') AND upper(p.nombre) = upper('"&amp;SUBSTITUTE(TRIM(G321),"'","''")&amp;"') AND upper(dp.nombre) = upper('"&amp;SUBSTITUTE(TRIM(F321),"'","''")&amp;"') AND d.estado = 1 LIMIT 1)")&amp;", "&amp;IF(I321&amp;""="","NULL",SUBSTITUTE(I321&amp;"",",","."))&amp;", "&amp;IF(J321&amp;""="","NULL",SUBSTITUTE(J321&amp;"",",","."))&amp;", "&amp;IF(UPPER(TRIM(K321&amp;""))="SI","TRUE","FALSE")&amp;", 1"&amp;" WHERE NOT EXISTS (SELECT 1 FROM cli_direcciones x WHERE x.id_cliente = "&amp;"(SELECT id FROM cli_clientes WHERE numero_documento = '"&amp;SUBSTITUTE(TRIM(A321),"'","''")&amp;"' AND estado = 1 LIMIT 1)"&amp;" AND upper(x.direccion) = upper("&amp;IF(TRIM(D321&amp;"")="","NULL","'"&amp;SUBSTITUTE(TRIM(D321),"'","''")&amp;"'")&amp;"));")</f>
        <v/>
      </c>
    </row>
    <row r="322" ht="15.75" customHeight="1" s="64">
      <c r="A322" s="23" t="n"/>
      <c r="B322" s="25">
        <f t="array" ref="B322">IF(A322="","",IFERROR(IF(INDEX(Clientes!$D$5:$D$549,MATCH(A322,Clientes!$C$5:$C$549,0))&lt;&gt;"",INDEX(Clientes!$D$5:$D$549,MATCH(A322,Clientes!$C$5:$C$549,0)),TRIM(INDEX(Clientes!$E$5:$E$549,MATCH(A322,Clientes!$C$5:$C$549,0))&amp;" "&amp;INDEX(Clientes!$F$5:$F$549,MATCH(A322,Clientes!$C$5:$C$549,0)))),"NO EXISTE en Clientes"))</f>
        <v/>
      </c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>
        <f>IF(AND(A322="",D322=""),"",IF(A322="","FALTA doc. cliente",IF(B322="NO EXISTE en Clientes","CLIENTE no está en hoja Clientes",IF(D322="","FALTA dirección",IF(AND(H322&lt;&gt;"",OR(F322="",G322="")),"Distrito requiere departamento y provincia",IF(AND(G322&lt;&gt;"",F322=""),"Provincia requiere departamento",IF((I322&lt;&gt;"")&lt;&gt;(J322&lt;&gt;""),"Latitud y longitud van juntas","OK")))))))</f>
        <v/>
      </c>
      <c r="M322" s="28">
        <f>IF(L322&lt;&gt;"OK","","INSERT INTO cli_direcciones (id_cliente, descripcion, direccion, referencia, id_departamento, id_provincia, id_distrito, latitud, longitud, es_principal, estado) SELECT "&amp;"(SELECT id FROM cli_clientes WHERE numero_documento = '"&amp;SUBSTITUTE(TRIM(A322),"'","''")&amp;"' AND estado = 1 LIMIT 1)"&amp;", "&amp;IF(TRIM(C322&amp;"")="","NULL","'"&amp;SUBSTITUTE(TRIM(C322),"'","''")&amp;"'")&amp;", "&amp;IF(TRIM(D322&amp;"")="","NULL","'"&amp;SUBSTITUTE(TRIM(D322),"'","''")&amp;"'")&amp;", "&amp;IF(TRIM(E322&amp;"")="","NULL","'"&amp;SUBSTITUTE(TRIM(E322),"'","''")&amp;"'")&amp;", "&amp;IF(TRIM(F322&amp;"")="","NULL","(SELECT id FROM gen_departamento WHERE upper(nombre) = upper('"&amp;SUBSTITUTE(TRIM(F322),"'","''")&amp;"') AND estado = 1 LIMIT 1)")&amp;", "&amp;IF(OR(TRIM(F322&amp;"")="",TRIM(G322&amp;"")=""),"NULL","(SELECT p.id FROM gen_provincia p JOIN gen_departamento dp ON dp.id = p.id_departamento WHERE upper(p.nombre) = upper('"&amp;SUBSTITUTE(TRIM(G322),"'","''")&amp;"') AND upper(dp.nombre) = upper('"&amp;SUBSTITUTE(TRIM(F322),"'","''")&amp;"') AND p.estado = 1 LIMIT 1)")&amp;", "&amp;IF(OR(TRIM(F322&amp;"")="",TRIM(G322&amp;"")="",TRIM(H322&amp;"")=""),"NULL","(SELECT d.id FROM gen_distrito d JOIN gen_provincia p ON p.id = d.id_provincia JOIN gen_departamento dp ON dp.id = p.id_departamento WHERE upper(d.nombre) = upper('"&amp;SUBSTITUTE(TRIM(H322),"'","''")&amp;"') AND upper(p.nombre) = upper('"&amp;SUBSTITUTE(TRIM(G322),"'","''")&amp;"') AND upper(dp.nombre) = upper('"&amp;SUBSTITUTE(TRIM(F322),"'","''")&amp;"') AND d.estado = 1 LIMIT 1)")&amp;", "&amp;IF(I322&amp;""="","NULL",SUBSTITUTE(I322&amp;"",",","."))&amp;", "&amp;IF(J322&amp;""="","NULL",SUBSTITUTE(J322&amp;"",",","."))&amp;", "&amp;IF(UPPER(TRIM(K322&amp;""))="SI","TRUE","FALSE")&amp;", 1"&amp;" WHERE NOT EXISTS (SELECT 1 FROM cli_direcciones x WHERE x.id_cliente = "&amp;"(SELECT id FROM cli_clientes WHERE numero_documento = '"&amp;SUBSTITUTE(TRIM(A322),"'","''")&amp;"' AND estado = 1 LIMIT 1)"&amp;" AND upper(x.direccion) = upper("&amp;IF(TRIM(D322&amp;"")="","NULL","'"&amp;SUBSTITUTE(TRIM(D322),"'","''")&amp;"'")&amp;"));")</f>
        <v/>
      </c>
    </row>
    <row r="323" ht="15.75" customHeight="1" s="64">
      <c r="A323" s="23" t="n"/>
      <c r="B323" s="25">
        <f t="array" ref="B323">IF(A323="","",IFERROR(IF(INDEX(Clientes!$D$5:$D$549,MATCH(A323,Clientes!$C$5:$C$549,0))&lt;&gt;"",INDEX(Clientes!$D$5:$D$549,MATCH(A323,Clientes!$C$5:$C$549,0)),TRIM(INDEX(Clientes!$E$5:$E$549,MATCH(A323,Clientes!$C$5:$C$549,0))&amp;" "&amp;INDEX(Clientes!$F$5:$F$549,MATCH(A323,Clientes!$C$5:$C$549,0)))),"NO EXISTE en Clientes"))</f>
        <v/>
      </c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>
        <f>IF(AND(A323="",D323=""),"",IF(A323="","FALTA doc. cliente",IF(B323="NO EXISTE en Clientes","CLIENTE no está en hoja Clientes",IF(D323="","FALTA dirección",IF(AND(H323&lt;&gt;"",OR(F323="",G323="")),"Distrito requiere departamento y provincia",IF(AND(G323&lt;&gt;"",F323=""),"Provincia requiere departamento",IF((I323&lt;&gt;"")&lt;&gt;(J323&lt;&gt;""),"Latitud y longitud van juntas","OK")))))))</f>
        <v/>
      </c>
      <c r="M323" s="28">
        <f>IF(L323&lt;&gt;"OK","","INSERT INTO cli_direcciones (id_cliente, descripcion, direccion, referencia, id_departamento, id_provincia, id_distrito, latitud, longitud, es_principal, estado) SELECT "&amp;"(SELECT id FROM cli_clientes WHERE numero_documento = '"&amp;SUBSTITUTE(TRIM(A323),"'","''")&amp;"' AND estado = 1 LIMIT 1)"&amp;", "&amp;IF(TRIM(C323&amp;"")="","NULL","'"&amp;SUBSTITUTE(TRIM(C323),"'","''")&amp;"'")&amp;", "&amp;IF(TRIM(D323&amp;"")="","NULL","'"&amp;SUBSTITUTE(TRIM(D323),"'","''")&amp;"'")&amp;", "&amp;IF(TRIM(E323&amp;"")="","NULL","'"&amp;SUBSTITUTE(TRIM(E323),"'","''")&amp;"'")&amp;", "&amp;IF(TRIM(F323&amp;"")="","NULL","(SELECT id FROM gen_departamento WHERE upper(nombre) = upper('"&amp;SUBSTITUTE(TRIM(F323),"'","''")&amp;"') AND estado = 1 LIMIT 1)")&amp;", "&amp;IF(OR(TRIM(F323&amp;"")="",TRIM(G323&amp;"")=""),"NULL","(SELECT p.id FROM gen_provincia p JOIN gen_departamento dp ON dp.id = p.id_departamento WHERE upper(p.nombre) = upper('"&amp;SUBSTITUTE(TRIM(G323),"'","''")&amp;"') AND upper(dp.nombre) = upper('"&amp;SUBSTITUTE(TRIM(F323),"'","''")&amp;"') AND p.estado = 1 LIMIT 1)")&amp;", "&amp;IF(OR(TRIM(F323&amp;"")="",TRIM(G323&amp;"")="",TRIM(H323&amp;"")=""),"NULL","(SELECT d.id FROM gen_distrito d JOIN gen_provincia p ON p.id = d.id_provincia JOIN gen_departamento dp ON dp.id = p.id_departamento WHERE upper(d.nombre) = upper('"&amp;SUBSTITUTE(TRIM(H323),"'","''")&amp;"') AND upper(p.nombre) = upper('"&amp;SUBSTITUTE(TRIM(G323),"'","''")&amp;"') AND upper(dp.nombre) = upper('"&amp;SUBSTITUTE(TRIM(F323),"'","''")&amp;"') AND d.estado = 1 LIMIT 1)")&amp;", "&amp;IF(I323&amp;""="","NULL",SUBSTITUTE(I323&amp;"",",","."))&amp;", "&amp;IF(J323&amp;""="","NULL",SUBSTITUTE(J323&amp;"",",","."))&amp;", "&amp;IF(UPPER(TRIM(K323&amp;""))="SI","TRUE","FALSE")&amp;", 1"&amp;" WHERE NOT EXISTS (SELECT 1 FROM cli_direcciones x WHERE x.id_cliente = "&amp;"(SELECT id FROM cli_clientes WHERE numero_documento = '"&amp;SUBSTITUTE(TRIM(A323),"'","''")&amp;"' AND estado = 1 LIMIT 1)"&amp;" AND upper(x.direccion) = upper("&amp;IF(TRIM(D323&amp;"")="","NULL","'"&amp;SUBSTITUTE(TRIM(D323),"'","''")&amp;"'")&amp;"));")</f>
        <v/>
      </c>
    </row>
    <row r="324" ht="15.75" customHeight="1" s="64">
      <c r="A324" s="23" t="n"/>
      <c r="B324" s="25">
        <f t="array" ref="B324">IF(A324="","",IFERROR(IF(INDEX(Clientes!$D$5:$D$549,MATCH(A324,Clientes!$C$5:$C$549,0))&lt;&gt;"",INDEX(Clientes!$D$5:$D$549,MATCH(A324,Clientes!$C$5:$C$549,0)),TRIM(INDEX(Clientes!$E$5:$E$549,MATCH(A324,Clientes!$C$5:$C$549,0))&amp;" "&amp;INDEX(Clientes!$F$5:$F$549,MATCH(A324,Clientes!$C$5:$C$549,0)))),"NO EXISTE en Clientes"))</f>
        <v/>
      </c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>
        <f>IF(AND(A324="",D324=""),"",IF(A324="","FALTA doc. cliente",IF(B324="NO EXISTE en Clientes","CLIENTE no está en hoja Clientes",IF(D324="","FALTA dirección",IF(AND(H324&lt;&gt;"",OR(F324="",G324="")),"Distrito requiere departamento y provincia",IF(AND(G324&lt;&gt;"",F324=""),"Provincia requiere departamento",IF((I324&lt;&gt;"")&lt;&gt;(J324&lt;&gt;""),"Latitud y longitud van juntas","OK")))))))</f>
        <v/>
      </c>
      <c r="M324" s="28">
        <f>IF(L324&lt;&gt;"OK","","INSERT INTO cli_direcciones (id_cliente, descripcion, direccion, referencia, id_departamento, id_provincia, id_distrito, latitud, longitud, es_principal, estado) SELECT "&amp;"(SELECT id FROM cli_clientes WHERE numero_documento = '"&amp;SUBSTITUTE(TRIM(A324),"'","''")&amp;"' AND estado = 1 LIMIT 1)"&amp;", "&amp;IF(TRIM(C324&amp;"")="","NULL","'"&amp;SUBSTITUTE(TRIM(C324),"'","''")&amp;"'")&amp;", "&amp;IF(TRIM(D324&amp;"")="","NULL","'"&amp;SUBSTITUTE(TRIM(D324),"'","''")&amp;"'")&amp;", "&amp;IF(TRIM(E324&amp;"")="","NULL","'"&amp;SUBSTITUTE(TRIM(E324),"'","''")&amp;"'")&amp;", "&amp;IF(TRIM(F324&amp;"")="","NULL","(SELECT id FROM gen_departamento WHERE upper(nombre) = upper('"&amp;SUBSTITUTE(TRIM(F324),"'","''")&amp;"') AND estado = 1 LIMIT 1)")&amp;", "&amp;IF(OR(TRIM(F324&amp;"")="",TRIM(G324&amp;"")=""),"NULL","(SELECT p.id FROM gen_provincia p JOIN gen_departamento dp ON dp.id = p.id_departamento WHERE upper(p.nombre) = upper('"&amp;SUBSTITUTE(TRIM(G324),"'","''")&amp;"') AND upper(dp.nombre) = upper('"&amp;SUBSTITUTE(TRIM(F324),"'","''")&amp;"') AND p.estado = 1 LIMIT 1)")&amp;", "&amp;IF(OR(TRIM(F324&amp;"")="",TRIM(G324&amp;"")="",TRIM(H324&amp;"")=""),"NULL","(SELECT d.id FROM gen_distrito d JOIN gen_provincia p ON p.id = d.id_provincia JOIN gen_departamento dp ON dp.id = p.id_departamento WHERE upper(d.nombre) = upper('"&amp;SUBSTITUTE(TRIM(H324),"'","''")&amp;"') AND upper(p.nombre) = upper('"&amp;SUBSTITUTE(TRIM(G324),"'","''")&amp;"') AND upper(dp.nombre) = upper('"&amp;SUBSTITUTE(TRIM(F324),"'","''")&amp;"') AND d.estado = 1 LIMIT 1)")&amp;", "&amp;IF(I324&amp;""="","NULL",SUBSTITUTE(I324&amp;"",",","."))&amp;", "&amp;IF(J324&amp;""="","NULL",SUBSTITUTE(J324&amp;"",",","."))&amp;", "&amp;IF(UPPER(TRIM(K324&amp;""))="SI","TRUE","FALSE")&amp;", 1"&amp;" WHERE NOT EXISTS (SELECT 1 FROM cli_direcciones x WHERE x.id_cliente = "&amp;"(SELECT id FROM cli_clientes WHERE numero_documento = '"&amp;SUBSTITUTE(TRIM(A324),"'","''")&amp;"' AND estado = 1 LIMIT 1)"&amp;" AND upper(x.direccion) = upper("&amp;IF(TRIM(D324&amp;"")="","NULL","'"&amp;SUBSTITUTE(TRIM(D324),"'","''")&amp;"'")&amp;"));")</f>
        <v/>
      </c>
    </row>
    <row r="325" ht="15.75" customHeight="1" s="64">
      <c r="A325" s="23" t="n"/>
      <c r="B325" s="25">
        <f t="array" ref="B325">IF(A325="","",IFERROR(IF(INDEX(Clientes!$D$5:$D$549,MATCH(A325,Clientes!$C$5:$C$549,0))&lt;&gt;"",INDEX(Clientes!$D$5:$D$549,MATCH(A325,Clientes!$C$5:$C$549,0)),TRIM(INDEX(Clientes!$E$5:$E$549,MATCH(A325,Clientes!$C$5:$C$549,0))&amp;" "&amp;INDEX(Clientes!$F$5:$F$549,MATCH(A325,Clientes!$C$5:$C$549,0)))),"NO EXISTE en Clientes"))</f>
        <v/>
      </c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>
        <f>IF(AND(A325="",D325=""),"",IF(A325="","FALTA doc. cliente",IF(B325="NO EXISTE en Clientes","CLIENTE no está en hoja Clientes",IF(D325="","FALTA dirección",IF(AND(H325&lt;&gt;"",OR(F325="",G325="")),"Distrito requiere departamento y provincia",IF(AND(G325&lt;&gt;"",F325=""),"Provincia requiere departamento",IF((I325&lt;&gt;"")&lt;&gt;(J325&lt;&gt;""),"Latitud y longitud van juntas","OK")))))))</f>
        <v/>
      </c>
      <c r="M325" s="28">
        <f>IF(L325&lt;&gt;"OK","","INSERT INTO cli_direcciones (id_cliente, descripcion, direccion, referencia, id_departamento, id_provincia, id_distrito, latitud, longitud, es_principal, estado) SELECT "&amp;"(SELECT id FROM cli_clientes WHERE numero_documento = '"&amp;SUBSTITUTE(TRIM(A325),"'","''")&amp;"' AND estado = 1 LIMIT 1)"&amp;", "&amp;IF(TRIM(C325&amp;"")="","NULL","'"&amp;SUBSTITUTE(TRIM(C325),"'","''")&amp;"'")&amp;", "&amp;IF(TRIM(D325&amp;"")="","NULL","'"&amp;SUBSTITUTE(TRIM(D325),"'","''")&amp;"'")&amp;", "&amp;IF(TRIM(E325&amp;"")="","NULL","'"&amp;SUBSTITUTE(TRIM(E325),"'","''")&amp;"'")&amp;", "&amp;IF(TRIM(F325&amp;"")="","NULL","(SELECT id FROM gen_departamento WHERE upper(nombre) = upper('"&amp;SUBSTITUTE(TRIM(F325),"'","''")&amp;"') AND estado = 1 LIMIT 1)")&amp;", "&amp;IF(OR(TRIM(F325&amp;"")="",TRIM(G325&amp;"")=""),"NULL","(SELECT p.id FROM gen_provincia p JOIN gen_departamento dp ON dp.id = p.id_departamento WHERE upper(p.nombre) = upper('"&amp;SUBSTITUTE(TRIM(G325),"'","''")&amp;"') AND upper(dp.nombre) = upper('"&amp;SUBSTITUTE(TRIM(F325),"'","''")&amp;"') AND p.estado = 1 LIMIT 1)")&amp;", "&amp;IF(OR(TRIM(F325&amp;"")="",TRIM(G325&amp;"")="",TRIM(H325&amp;"")=""),"NULL","(SELECT d.id FROM gen_distrito d JOIN gen_provincia p ON p.id = d.id_provincia JOIN gen_departamento dp ON dp.id = p.id_departamento WHERE upper(d.nombre) = upper('"&amp;SUBSTITUTE(TRIM(H325),"'","''")&amp;"') AND upper(p.nombre) = upper('"&amp;SUBSTITUTE(TRIM(G325),"'","''")&amp;"') AND upper(dp.nombre) = upper('"&amp;SUBSTITUTE(TRIM(F325),"'","''")&amp;"') AND d.estado = 1 LIMIT 1)")&amp;", "&amp;IF(I325&amp;""="","NULL",SUBSTITUTE(I325&amp;"",",","."))&amp;", "&amp;IF(J325&amp;""="","NULL",SUBSTITUTE(J325&amp;"",",","."))&amp;", "&amp;IF(UPPER(TRIM(K325&amp;""))="SI","TRUE","FALSE")&amp;", 1"&amp;" WHERE NOT EXISTS (SELECT 1 FROM cli_direcciones x WHERE x.id_cliente = "&amp;"(SELECT id FROM cli_clientes WHERE numero_documento = '"&amp;SUBSTITUTE(TRIM(A325),"'","''")&amp;"' AND estado = 1 LIMIT 1)"&amp;" AND upper(x.direccion) = upper("&amp;IF(TRIM(D325&amp;"")="","NULL","'"&amp;SUBSTITUTE(TRIM(D325),"'","''")&amp;"'")&amp;"));")</f>
        <v/>
      </c>
    </row>
    <row r="326" ht="15.75" customHeight="1" s="64">
      <c r="A326" s="23" t="n"/>
      <c r="B326" s="25">
        <f t="array" ref="B326">IF(A326="","",IFERROR(IF(INDEX(Clientes!$D$5:$D$549,MATCH(A326,Clientes!$C$5:$C$549,0))&lt;&gt;"",INDEX(Clientes!$D$5:$D$549,MATCH(A326,Clientes!$C$5:$C$549,0)),TRIM(INDEX(Clientes!$E$5:$E$549,MATCH(A326,Clientes!$C$5:$C$549,0))&amp;" "&amp;INDEX(Clientes!$F$5:$F$549,MATCH(A326,Clientes!$C$5:$C$549,0)))),"NO EXISTE en Clientes"))</f>
        <v/>
      </c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>
        <f>IF(AND(A326="",D326=""),"",IF(A326="","FALTA doc. cliente",IF(B326="NO EXISTE en Clientes","CLIENTE no está en hoja Clientes",IF(D326="","FALTA dirección",IF(AND(H326&lt;&gt;"",OR(F326="",G326="")),"Distrito requiere departamento y provincia",IF(AND(G326&lt;&gt;"",F326=""),"Provincia requiere departamento",IF((I326&lt;&gt;"")&lt;&gt;(J326&lt;&gt;""),"Latitud y longitud van juntas","OK")))))))</f>
        <v/>
      </c>
      <c r="M326" s="28">
        <f>IF(L326&lt;&gt;"OK","","INSERT INTO cli_direcciones (id_cliente, descripcion, direccion, referencia, id_departamento, id_provincia, id_distrito, latitud, longitud, es_principal, estado) SELECT "&amp;"(SELECT id FROM cli_clientes WHERE numero_documento = '"&amp;SUBSTITUTE(TRIM(A326),"'","''")&amp;"' AND estado = 1 LIMIT 1)"&amp;", "&amp;IF(TRIM(C326&amp;"")="","NULL","'"&amp;SUBSTITUTE(TRIM(C326),"'","''")&amp;"'")&amp;", "&amp;IF(TRIM(D326&amp;"")="","NULL","'"&amp;SUBSTITUTE(TRIM(D326),"'","''")&amp;"'")&amp;", "&amp;IF(TRIM(E326&amp;"")="","NULL","'"&amp;SUBSTITUTE(TRIM(E326),"'","''")&amp;"'")&amp;", "&amp;IF(TRIM(F326&amp;"")="","NULL","(SELECT id FROM gen_departamento WHERE upper(nombre) = upper('"&amp;SUBSTITUTE(TRIM(F326),"'","''")&amp;"') AND estado = 1 LIMIT 1)")&amp;", "&amp;IF(OR(TRIM(F326&amp;"")="",TRIM(G326&amp;"")=""),"NULL","(SELECT p.id FROM gen_provincia p JOIN gen_departamento dp ON dp.id = p.id_departamento WHERE upper(p.nombre) = upper('"&amp;SUBSTITUTE(TRIM(G326),"'","''")&amp;"') AND upper(dp.nombre) = upper('"&amp;SUBSTITUTE(TRIM(F326),"'","''")&amp;"') AND p.estado = 1 LIMIT 1)")&amp;", "&amp;IF(OR(TRIM(F326&amp;"")="",TRIM(G326&amp;"")="",TRIM(H326&amp;"")=""),"NULL","(SELECT d.id FROM gen_distrito d JOIN gen_provincia p ON p.id = d.id_provincia JOIN gen_departamento dp ON dp.id = p.id_departamento WHERE upper(d.nombre) = upper('"&amp;SUBSTITUTE(TRIM(H326),"'","''")&amp;"') AND upper(p.nombre) = upper('"&amp;SUBSTITUTE(TRIM(G326),"'","''")&amp;"') AND upper(dp.nombre) = upper('"&amp;SUBSTITUTE(TRIM(F326),"'","''")&amp;"') AND d.estado = 1 LIMIT 1)")&amp;", "&amp;IF(I326&amp;""="","NULL",SUBSTITUTE(I326&amp;"",",","."))&amp;", "&amp;IF(J326&amp;""="","NULL",SUBSTITUTE(J326&amp;"",",","."))&amp;", "&amp;IF(UPPER(TRIM(K326&amp;""))="SI","TRUE","FALSE")&amp;", 1"&amp;" WHERE NOT EXISTS (SELECT 1 FROM cli_direcciones x WHERE x.id_cliente = "&amp;"(SELECT id FROM cli_clientes WHERE numero_documento = '"&amp;SUBSTITUTE(TRIM(A326),"'","''")&amp;"' AND estado = 1 LIMIT 1)"&amp;" AND upper(x.direccion) = upper("&amp;IF(TRIM(D326&amp;"")="","NULL","'"&amp;SUBSTITUTE(TRIM(D326),"'","''")&amp;"'")&amp;"));")</f>
        <v/>
      </c>
    </row>
    <row r="327" ht="15.75" customHeight="1" s="64">
      <c r="A327" s="23" t="n"/>
      <c r="B327" s="25">
        <f t="array" ref="B327">IF(A327="","",IFERROR(IF(INDEX(Clientes!$D$5:$D$549,MATCH(A327,Clientes!$C$5:$C$549,0))&lt;&gt;"",INDEX(Clientes!$D$5:$D$549,MATCH(A327,Clientes!$C$5:$C$549,0)),TRIM(INDEX(Clientes!$E$5:$E$549,MATCH(A327,Clientes!$C$5:$C$549,0))&amp;" "&amp;INDEX(Clientes!$F$5:$F$549,MATCH(A327,Clientes!$C$5:$C$549,0)))),"NO EXISTE en Clientes"))</f>
        <v/>
      </c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>
        <f>IF(AND(A327="",D327=""),"",IF(A327="","FALTA doc. cliente",IF(B327="NO EXISTE en Clientes","CLIENTE no está en hoja Clientes",IF(D327="","FALTA dirección",IF(AND(H327&lt;&gt;"",OR(F327="",G327="")),"Distrito requiere departamento y provincia",IF(AND(G327&lt;&gt;"",F327=""),"Provincia requiere departamento",IF((I327&lt;&gt;"")&lt;&gt;(J327&lt;&gt;""),"Latitud y longitud van juntas","OK")))))))</f>
        <v/>
      </c>
      <c r="M327" s="28">
        <f>IF(L327&lt;&gt;"OK","","INSERT INTO cli_direcciones (id_cliente, descripcion, direccion, referencia, id_departamento, id_provincia, id_distrito, latitud, longitud, es_principal, estado) SELECT "&amp;"(SELECT id FROM cli_clientes WHERE numero_documento = '"&amp;SUBSTITUTE(TRIM(A327),"'","''")&amp;"' AND estado = 1 LIMIT 1)"&amp;", "&amp;IF(TRIM(C327&amp;"")="","NULL","'"&amp;SUBSTITUTE(TRIM(C327),"'","''")&amp;"'")&amp;", "&amp;IF(TRIM(D327&amp;"")="","NULL","'"&amp;SUBSTITUTE(TRIM(D327),"'","''")&amp;"'")&amp;", "&amp;IF(TRIM(E327&amp;"")="","NULL","'"&amp;SUBSTITUTE(TRIM(E327),"'","''")&amp;"'")&amp;", "&amp;IF(TRIM(F327&amp;"")="","NULL","(SELECT id FROM gen_departamento WHERE upper(nombre) = upper('"&amp;SUBSTITUTE(TRIM(F327),"'","''")&amp;"') AND estado = 1 LIMIT 1)")&amp;", "&amp;IF(OR(TRIM(F327&amp;"")="",TRIM(G327&amp;"")=""),"NULL","(SELECT p.id FROM gen_provincia p JOIN gen_departamento dp ON dp.id = p.id_departamento WHERE upper(p.nombre) = upper('"&amp;SUBSTITUTE(TRIM(G327),"'","''")&amp;"') AND upper(dp.nombre) = upper('"&amp;SUBSTITUTE(TRIM(F327),"'","''")&amp;"') AND p.estado = 1 LIMIT 1)")&amp;", "&amp;IF(OR(TRIM(F327&amp;"")="",TRIM(G327&amp;"")="",TRIM(H327&amp;"")=""),"NULL","(SELECT d.id FROM gen_distrito d JOIN gen_provincia p ON p.id = d.id_provincia JOIN gen_departamento dp ON dp.id = p.id_departamento WHERE upper(d.nombre) = upper('"&amp;SUBSTITUTE(TRIM(H327),"'","''")&amp;"') AND upper(p.nombre) = upper('"&amp;SUBSTITUTE(TRIM(G327),"'","''")&amp;"') AND upper(dp.nombre) = upper('"&amp;SUBSTITUTE(TRIM(F327),"'","''")&amp;"') AND d.estado = 1 LIMIT 1)")&amp;", "&amp;IF(I327&amp;""="","NULL",SUBSTITUTE(I327&amp;"",",","."))&amp;", "&amp;IF(J327&amp;""="","NULL",SUBSTITUTE(J327&amp;"",",","."))&amp;", "&amp;IF(UPPER(TRIM(K327&amp;""))="SI","TRUE","FALSE")&amp;", 1"&amp;" WHERE NOT EXISTS (SELECT 1 FROM cli_direcciones x WHERE x.id_cliente = "&amp;"(SELECT id FROM cli_clientes WHERE numero_documento = '"&amp;SUBSTITUTE(TRIM(A327),"'","''")&amp;"' AND estado = 1 LIMIT 1)"&amp;" AND upper(x.direccion) = upper("&amp;IF(TRIM(D327&amp;"")="","NULL","'"&amp;SUBSTITUTE(TRIM(D327),"'","''")&amp;"'")&amp;"));")</f>
        <v/>
      </c>
    </row>
    <row r="328" ht="15.75" customHeight="1" s="64">
      <c r="A328" s="23" t="n"/>
      <c r="B328" s="25">
        <f t="array" ref="B328">IF(A328="","",IFERROR(IF(INDEX(Clientes!$D$5:$D$549,MATCH(A328,Clientes!$C$5:$C$549,0))&lt;&gt;"",INDEX(Clientes!$D$5:$D$549,MATCH(A328,Clientes!$C$5:$C$549,0)),TRIM(INDEX(Clientes!$E$5:$E$549,MATCH(A328,Clientes!$C$5:$C$549,0))&amp;" "&amp;INDEX(Clientes!$F$5:$F$549,MATCH(A328,Clientes!$C$5:$C$549,0)))),"NO EXISTE en Clientes"))</f>
        <v/>
      </c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>
        <f>IF(AND(A328="",D328=""),"",IF(A328="","FALTA doc. cliente",IF(B328="NO EXISTE en Clientes","CLIENTE no está en hoja Clientes",IF(D328="","FALTA dirección",IF(AND(H328&lt;&gt;"",OR(F328="",G328="")),"Distrito requiere departamento y provincia",IF(AND(G328&lt;&gt;"",F328=""),"Provincia requiere departamento",IF((I328&lt;&gt;"")&lt;&gt;(J328&lt;&gt;""),"Latitud y longitud van juntas","OK")))))))</f>
        <v/>
      </c>
      <c r="M328" s="28">
        <f>IF(L328&lt;&gt;"OK","","INSERT INTO cli_direcciones (id_cliente, descripcion, direccion, referencia, id_departamento, id_provincia, id_distrito, latitud, longitud, es_principal, estado) SELECT "&amp;"(SELECT id FROM cli_clientes WHERE numero_documento = '"&amp;SUBSTITUTE(TRIM(A328),"'","''")&amp;"' AND estado = 1 LIMIT 1)"&amp;", "&amp;IF(TRIM(C328&amp;"")="","NULL","'"&amp;SUBSTITUTE(TRIM(C328),"'","''")&amp;"'")&amp;", "&amp;IF(TRIM(D328&amp;"")="","NULL","'"&amp;SUBSTITUTE(TRIM(D328),"'","''")&amp;"'")&amp;", "&amp;IF(TRIM(E328&amp;"")="","NULL","'"&amp;SUBSTITUTE(TRIM(E328),"'","''")&amp;"'")&amp;", "&amp;IF(TRIM(F328&amp;"")="","NULL","(SELECT id FROM gen_departamento WHERE upper(nombre) = upper('"&amp;SUBSTITUTE(TRIM(F328),"'","''")&amp;"') AND estado = 1 LIMIT 1)")&amp;", "&amp;IF(OR(TRIM(F328&amp;"")="",TRIM(G328&amp;"")=""),"NULL","(SELECT p.id FROM gen_provincia p JOIN gen_departamento dp ON dp.id = p.id_departamento WHERE upper(p.nombre) = upper('"&amp;SUBSTITUTE(TRIM(G328),"'","''")&amp;"') AND upper(dp.nombre) = upper('"&amp;SUBSTITUTE(TRIM(F328),"'","''")&amp;"') AND p.estado = 1 LIMIT 1)")&amp;", "&amp;IF(OR(TRIM(F328&amp;"")="",TRIM(G328&amp;"")="",TRIM(H328&amp;"")=""),"NULL","(SELECT d.id FROM gen_distrito d JOIN gen_provincia p ON p.id = d.id_provincia JOIN gen_departamento dp ON dp.id = p.id_departamento WHERE upper(d.nombre) = upper('"&amp;SUBSTITUTE(TRIM(H328),"'","''")&amp;"') AND upper(p.nombre) = upper('"&amp;SUBSTITUTE(TRIM(G328),"'","''")&amp;"') AND upper(dp.nombre) = upper('"&amp;SUBSTITUTE(TRIM(F328),"'","''")&amp;"') AND d.estado = 1 LIMIT 1)")&amp;", "&amp;IF(I328&amp;""="","NULL",SUBSTITUTE(I328&amp;"",",","."))&amp;", "&amp;IF(J328&amp;""="","NULL",SUBSTITUTE(J328&amp;"",",","."))&amp;", "&amp;IF(UPPER(TRIM(K328&amp;""))="SI","TRUE","FALSE")&amp;", 1"&amp;" WHERE NOT EXISTS (SELECT 1 FROM cli_direcciones x WHERE x.id_cliente = "&amp;"(SELECT id FROM cli_clientes WHERE numero_documento = '"&amp;SUBSTITUTE(TRIM(A328),"'","''")&amp;"' AND estado = 1 LIMIT 1)"&amp;" AND upper(x.direccion) = upper("&amp;IF(TRIM(D328&amp;"")="","NULL","'"&amp;SUBSTITUTE(TRIM(D328),"'","''")&amp;"'")&amp;"));")</f>
        <v/>
      </c>
    </row>
    <row r="329" ht="15.75" customHeight="1" s="64">
      <c r="A329" s="23" t="n"/>
      <c r="B329" s="25">
        <f t="array" ref="B329">IF(A329="","",IFERROR(IF(INDEX(Clientes!$D$5:$D$549,MATCH(A329,Clientes!$C$5:$C$549,0))&lt;&gt;"",INDEX(Clientes!$D$5:$D$549,MATCH(A329,Clientes!$C$5:$C$549,0)),TRIM(INDEX(Clientes!$E$5:$E$549,MATCH(A329,Clientes!$C$5:$C$549,0))&amp;" "&amp;INDEX(Clientes!$F$5:$F$549,MATCH(A329,Clientes!$C$5:$C$549,0)))),"NO EXISTE en Clientes"))</f>
        <v/>
      </c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>
        <f>IF(AND(A329="",D329=""),"",IF(A329="","FALTA doc. cliente",IF(B329="NO EXISTE en Clientes","CLIENTE no está en hoja Clientes",IF(D329="","FALTA dirección",IF(AND(H329&lt;&gt;"",OR(F329="",G329="")),"Distrito requiere departamento y provincia",IF(AND(G329&lt;&gt;"",F329=""),"Provincia requiere departamento",IF((I329&lt;&gt;"")&lt;&gt;(J329&lt;&gt;""),"Latitud y longitud van juntas","OK")))))))</f>
        <v/>
      </c>
      <c r="M329" s="28">
        <f>IF(L329&lt;&gt;"OK","","INSERT INTO cli_direcciones (id_cliente, descripcion, direccion, referencia, id_departamento, id_provincia, id_distrito, latitud, longitud, es_principal, estado) SELECT "&amp;"(SELECT id FROM cli_clientes WHERE numero_documento = '"&amp;SUBSTITUTE(TRIM(A329),"'","''")&amp;"' AND estado = 1 LIMIT 1)"&amp;", "&amp;IF(TRIM(C329&amp;"")="","NULL","'"&amp;SUBSTITUTE(TRIM(C329),"'","''")&amp;"'")&amp;", "&amp;IF(TRIM(D329&amp;"")="","NULL","'"&amp;SUBSTITUTE(TRIM(D329),"'","''")&amp;"'")&amp;", "&amp;IF(TRIM(E329&amp;"")="","NULL","'"&amp;SUBSTITUTE(TRIM(E329),"'","''")&amp;"'")&amp;", "&amp;IF(TRIM(F329&amp;"")="","NULL","(SELECT id FROM gen_departamento WHERE upper(nombre) = upper('"&amp;SUBSTITUTE(TRIM(F329),"'","''")&amp;"') AND estado = 1 LIMIT 1)")&amp;", "&amp;IF(OR(TRIM(F329&amp;"")="",TRIM(G329&amp;"")=""),"NULL","(SELECT p.id FROM gen_provincia p JOIN gen_departamento dp ON dp.id = p.id_departamento WHERE upper(p.nombre) = upper('"&amp;SUBSTITUTE(TRIM(G329),"'","''")&amp;"') AND upper(dp.nombre) = upper('"&amp;SUBSTITUTE(TRIM(F329),"'","''")&amp;"') AND p.estado = 1 LIMIT 1)")&amp;", "&amp;IF(OR(TRIM(F329&amp;"")="",TRIM(G329&amp;"")="",TRIM(H329&amp;"")=""),"NULL","(SELECT d.id FROM gen_distrito d JOIN gen_provincia p ON p.id = d.id_provincia JOIN gen_departamento dp ON dp.id = p.id_departamento WHERE upper(d.nombre) = upper('"&amp;SUBSTITUTE(TRIM(H329),"'","''")&amp;"') AND upper(p.nombre) = upper('"&amp;SUBSTITUTE(TRIM(G329),"'","''")&amp;"') AND upper(dp.nombre) = upper('"&amp;SUBSTITUTE(TRIM(F329),"'","''")&amp;"') AND d.estado = 1 LIMIT 1)")&amp;", "&amp;IF(I329&amp;""="","NULL",SUBSTITUTE(I329&amp;"",",","."))&amp;", "&amp;IF(J329&amp;""="","NULL",SUBSTITUTE(J329&amp;"",",","."))&amp;", "&amp;IF(UPPER(TRIM(K329&amp;""))="SI","TRUE","FALSE")&amp;", 1"&amp;" WHERE NOT EXISTS (SELECT 1 FROM cli_direcciones x WHERE x.id_cliente = "&amp;"(SELECT id FROM cli_clientes WHERE numero_documento = '"&amp;SUBSTITUTE(TRIM(A329),"'","''")&amp;"' AND estado = 1 LIMIT 1)"&amp;" AND upper(x.direccion) = upper("&amp;IF(TRIM(D329&amp;"")="","NULL","'"&amp;SUBSTITUTE(TRIM(D329),"'","''")&amp;"'")&amp;"));")</f>
        <v/>
      </c>
    </row>
    <row r="330" ht="15.75" customHeight="1" s="64">
      <c r="A330" s="23" t="n"/>
      <c r="B330" s="25">
        <f t="array" ref="B330">IF(A330="","",IFERROR(IF(INDEX(Clientes!$D$5:$D$549,MATCH(A330,Clientes!$C$5:$C$549,0))&lt;&gt;"",INDEX(Clientes!$D$5:$D$549,MATCH(A330,Clientes!$C$5:$C$549,0)),TRIM(INDEX(Clientes!$E$5:$E$549,MATCH(A330,Clientes!$C$5:$C$549,0))&amp;" "&amp;INDEX(Clientes!$F$5:$F$549,MATCH(A330,Clientes!$C$5:$C$549,0)))),"NO EXISTE en Clientes"))</f>
        <v/>
      </c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>
        <f>IF(AND(A330="",D330=""),"",IF(A330="","FALTA doc. cliente",IF(B330="NO EXISTE en Clientes","CLIENTE no está en hoja Clientes",IF(D330="","FALTA dirección",IF(AND(H330&lt;&gt;"",OR(F330="",G330="")),"Distrito requiere departamento y provincia",IF(AND(G330&lt;&gt;"",F330=""),"Provincia requiere departamento",IF((I330&lt;&gt;"")&lt;&gt;(J330&lt;&gt;""),"Latitud y longitud van juntas","OK")))))))</f>
        <v/>
      </c>
      <c r="M330" s="28">
        <f>IF(L330&lt;&gt;"OK","","INSERT INTO cli_direcciones (id_cliente, descripcion, direccion, referencia, id_departamento, id_provincia, id_distrito, latitud, longitud, es_principal, estado) SELECT "&amp;"(SELECT id FROM cli_clientes WHERE numero_documento = '"&amp;SUBSTITUTE(TRIM(A330),"'","''")&amp;"' AND estado = 1 LIMIT 1)"&amp;", "&amp;IF(TRIM(C330&amp;"")="","NULL","'"&amp;SUBSTITUTE(TRIM(C330),"'","''")&amp;"'")&amp;", "&amp;IF(TRIM(D330&amp;"")="","NULL","'"&amp;SUBSTITUTE(TRIM(D330),"'","''")&amp;"'")&amp;", "&amp;IF(TRIM(E330&amp;"")="","NULL","'"&amp;SUBSTITUTE(TRIM(E330),"'","''")&amp;"'")&amp;", "&amp;IF(TRIM(F330&amp;"")="","NULL","(SELECT id FROM gen_departamento WHERE upper(nombre) = upper('"&amp;SUBSTITUTE(TRIM(F330),"'","''")&amp;"') AND estado = 1 LIMIT 1)")&amp;", "&amp;IF(OR(TRIM(F330&amp;"")="",TRIM(G330&amp;"")=""),"NULL","(SELECT p.id FROM gen_provincia p JOIN gen_departamento dp ON dp.id = p.id_departamento WHERE upper(p.nombre) = upper('"&amp;SUBSTITUTE(TRIM(G330),"'","''")&amp;"') AND upper(dp.nombre) = upper('"&amp;SUBSTITUTE(TRIM(F330),"'","''")&amp;"') AND p.estado = 1 LIMIT 1)")&amp;", "&amp;IF(OR(TRIM(F330&amp;"")="",TRIM(G330&amp;"")="",TRIM(H330&amp;"")=""),"NULL","(SELECT d.id FROM gen_distrito d JOIN gen_provincia p ON p.id = d.id_provincia JOIN gen_departamento dp ON dp.id = p.id_departamento WHERE upper(d.nombre) = upper('"&amp;SUBSTITUTE(TRIM(H330),"'","''")&amp;"') AND upper(p.nombre) = upper('"&amp;SUBSTITUTE(TRIM(G330),"'","''")&amp;"') AND upper(dp.nombre) = upper('"&amp;SUBSTITUTE(TRIM(F330),"'","''")&amp;"') AND d.estado = 1 LIMIT 1)")&amp;", "&amp;IF(I330&amp;""="","NULL",SUBSTITUTE(I330&amp;"",",","."))&amp;", "&amp;IF(J330&amp;""="","NULL",SUBSTITUTE(J330&amp;"",",","."))&amp;", "&amp;IF(UPPER(TRIM(K330&amp;""))="SI","TRUE","FALSE")&amp;", 1"&amp;" WHERE NOT EXISTS (SELECT 1 FROM cli_direcciones x WHERE x.id_cliente = "&amp;"(SELECT id FROM cli_clientes WHERE numero_documento = '"&amp;SUBSTITUTE(TRIM(A330),"'","''")&amp;"' AND estado = 1 LIMIT 1)"&amp;" AND upper(x.direccion) = upper("&amp;IF(TRIM(D330&amp;"")="","NULL","'"&amp;SUBSTITUTE(TRIM(D330),"'","''")&amp;"'")&amp;"));")</f>
        <v/>
      </c>
    </row>
    <row r="331" ht="15.75" customHeight="1" s="64">
      <c r="A331" s="23" t="n"/>
      <c r="B331" s="25">
        <f t="array" ref="B331">IF(A331="","",IFERROR(IF(INDEX(Clientes!$D$5:$D$549,MATCH(A331,Clientes!$C$5:$C$549,0))&lt;&gt;"",INDEX(Clientes!$D$5:$D$549,MATCH(A331,Clientes!$C$5:$C$549,0)),TRIM(INDEX(Clientes!$E$5:$E$549,MATCH(A331,Clientes!$C$5:$C$549,0))&amp;" "&amp;INDEX(Clientes!$F$5:$F$549,MATCH(A331,Clientes!$C$5:$C$549,0)))),"NO EXISTE en Clientes"))</f>
        <v/>
      </c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>
        <f>IF(AND(A331="",D331=""),"",IF(A331="","FALTA doc. cliente",IF(B331="NO EXISTE en Clientes","CLIENTE no está en hoja Clientes",IF(D331="","FALTA dirección",IF(AND(H331&lt;&gt;"",OR(F331="",G331="")),"Distrito requiere departamento y provincia",IF(AND(G331&lt;&gt;"",F331=""),"Provincia requiere departamento",IF((I331&lt;&gt;"")&lt;&gt;(J331&lt;&gt;""),"Latitud y longitud van juntas","OK")))))))</f>
        <v/>
      </c>
      <c r="M331" s="28">
        <f>IF(L331&lt;&gt;"OK","","INSERT INTO cli_direcciones (id_cliente, descripcion, direccion, referencia, id_departamento, id_provincia, id_distrito, latitud, longitud, es_principal, estado) SELECT "&amp;"(SELECT id FROM cli_clientes WHERE numero_documento = '"&amp;SUBSTITUTE(TRIM(A331),"'","''")&amp;"' AND estado = 1 LIMIT 1)"&amp;", "&amp;IF(TRIM(C331&amp;"")="","NULL","'"&amp;SUBSTITUTE(TRIM(C331),"'","''")&amp;"'")&amp;", "&amp;IF(TRIM(D331&amp;"")="","NULL","'"&amp;SUBSTITUTE(TRIM(D331),"'","''")&amp;"'")&amp;", "&amp;IF(TRIM(E331&amp;"")="","NULL","'"&amp;SUBSTITUTE(TRIM(E331),"'","''")&amp;"'")&amp;", "&amp;IF(TRIM(F331&amp;"")="","NULL","(SELECT id FROM gen_departamento WHERE upper(nombre) = upper('"&amp;SUBSTITUTE(TRIM(F331),"'","''")&amp;"') AND estado = 1 LIMIT 1)")&amp;", "&amp;IF(OR(TRIM(F331&amp;"")="",TRIM(G331&amp;"")=""),"NULL","(SELECT p.id FROM gen_provincia p JOIN gen_departamento dp ON dp.id = p.id_departamento WHERE upper(p.nombre) = upper('"&amp;SUBSTITUTE(TRIM(G331),"'","''")&amp;"') AND upper(dp.nombre) = upper('"&amp;SUBSTITUTE(TRIM(F331),"'","''")&amp;"') AND p.estado = 1 LIMIT 1)")&amp;", "&amp;IF(OR(TRIM(F331&amp;"")="",TRIM(G331&amp;"")="",TRIM(H331&amp;"")=""),"NULL","(SELECT d.id FROM gen_distrito d JOIN gen_provincia p ON p.id = d.id_provincia JOIN gen_departamento dp ON dp.id = p.id_departamento WHERE upper(d.nombre) = upper('"&amp;SUBSTITUTE(TRIM(H331),"'","''")&amp;"') AND upper(p.nombre) = upper('"&amp;SUBSTITUTE(TRIM(G331),"'","''")&amp;"') AND upper(dp.nombre) = upper('"&amp;SUBSTITUTE(TRIM(F331),"'","''")&amp;"') AND d.estado = 1 LIMIT 1)")&amp;", "&amp;IF(I331&amp;""="","NULL",SUBSTITUTE(I331&amp;"",",","."))&amp;", "&amp;IF(J331&amp;""="","NULL",SUBSTITUTE(J331&amp;"",",","."))&amp;", "&amp;IF(UPPER(TRIM(K331&amp;""))="SI","TRUE","FALSE")&amp;", 1"&amp;" WHERE NOT EXISTS (SELECT 1 FROM cli_direcciones x WHERE x.id_cliente = "&amp;"(SELECT id FROM cli_clientes WHERE numero_documento = '"&amp;SUBSTITUTE(TRIM(A331),"'","''")&amp;"' AND estado = 1 LIMIT 1)"&amp;" AND upper(x.direccion) = upper("&amp;IF(TRIM(D331&amp;"")="","NULL","'"&amp;SUBSTITUTE(TRIM(D331),"'","''")&amp;"'")&amp;"));")</f>
        <v/>
      </c>
    </row>
    <row r="332" ht="15.75" customHeight="1" s="64">
      <c r="A332" s="23" t="n"/>
      <c r="B332" s="25">
        <f t="array" ref="B332">IF(A332="","",IFERROR(IF(INDEX(Clientes!$D$5:$D$549,MATCH(A332,Clientes!$C$5:$C$549,0))&lt;&gt;"",INDEX(Clientes!$D$5:$D$549,MATCH(A332,Clientes!$C$5:$C$549,0)),TRIM(INDEX(Clientes!$E$5:$E$549,MATCH(A332,Clientes!$C$5:$C$549,0))&amp;" "&amp;INDEX(Clientes!$F$5:$F$549,MATCH(A332,Clientes!$C$5:$C$549,0)))),"NO EXISTE en Clientes"))</f>
        <v/>
      </c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>
        <f>IF(AND(A332="",D332=""),"",IF(A332="","FALTA doc. cliente",IF(B332="NO EXISTE en Clientes","CLIENTE no está en hoja Clientes",IF(D332="","FALTA dirección",IF(AND(H332&lt;&gt;"",OR(F332="",G332="")),"Distrito requiere departamento y provincia",IF(AND(G332&lt;&gt;"",F332=""),"Provincia requiere departamento",IF((I332&lt;&gt;"")&lt;&gt;(J332&lt;&gt;""),"Latitud y longitud van juntas","OK")))))))</f>
        <v/>
      </c>
      <c r="M332" s="28">
        <f>IF(L332&lt;&gt;"OK","","INSERT INTO cli_direcciones (id_cliente, descripcion, direccion, referencia, id_departamento, id_provincia, id_distrito, latitud, longitud, es_principal, estado) SELECT "&amp;"(SELECT id FROM cli_clientes WHERE numero_documento = '"&amp;SUBSTITUTE(TRIM(A332),"'","''")&amp;"' AND estado = 1 LIMIT 1)"&amp;", "&amp;IF(TRIM(C332&amp;"")="","NULL","'"&amp;SUBSTITUTE(TRIM(C332),"'","''")&amp;"'")&amp;", "&amp;IF(TRIM(D332&amp;"")="","NULL","'"&amp;SUBSTITUTE(TRIM(D332),"'","''")&amp;"'")&amp;", "&amp;IF(TRIM(E332&amp;"")="","NULL","'"&amp;SUBSTITUTE(TRIM(E332),"'","''")&amp;"'")&amp;", "&amp;IF(TRIM(F332&amp;"")="","NULL","(SELECT id FROM gen_departamento WHERE upper(nombre) = upper('"&amp;SUBSTITUTE(TRIM(F332),"'","''")&amp;"') AND estado = 1 LIMIT 1)")&amp;", "&amp;IF(OR(TRIM(F332&amp;"")="",TRIM(G332&amp;"")=""),"NULL","(SELECT p.id FROM gen_provincia p JOIN gen_departamento dp ON dp.id = p.id_departamento WHERE upper(p.nombre) = upper('"&amp;SUBSTITUTE(TRIM(G332),"'","''")&amp;"') AND upper(dp.nombre) = upper('"&amp;SUBSTITUTE(TRIM(F332),"'","''")&amp;"') AND p.estado = 1 LIMIT 1)")&amp;", "&amp;IF(OR(TRIM(F332&amp;"")="",TRIM(G332&amp;"")="",TRIM(H332&amp;"")=""),"NULL","(SELECT d.id FROM gen_distrito d JOIN gen_provincia p ON p.id = d.id_provincia JOIN gen_departamento dp ON dp.id = p.id_departamento WHERE upper(d.nombre) = upper('"&amp;SUBSTITUTE(TRIM(H332),"'","''")&amp;"') AND upper(p.nombre) = upper('"&amp;SUBSTITUTE(TRIM(G332),"'","''")&amp;"') AND upper(dp.nombre) = upper('"&amp;SUBSTITUTE(TRIM(F332),"'","''")&amp;"') AND d.estado = 1 LIMIT 1)")&amp;", "&amp;IF(I332&amp;""="","NULL",SUBSTITUTE(I332&amp;"",",","."))&amp;", "&amp;IF(J332&amp;""="","NULL",SUBSTITUTE(J332&amp;"",",","."))&amp;", "&amp;IF(UPPER(TRIM(K332&amp;""))="SI","TRUE","FALSE")&amp;", 1"&amp;" WHERE NOT EXISTS (SELECT 1 FROM cli_direcciones x WHERE x.id_cliente = "&amp;"(SELECT id FROM cli_clientes WHERE numero_documento = '"&amp;SUBSTITUTE(TRIM(A332),"'","''")&amp;"' AND estado = 1 LIMIT 1)"&amp;" AND upper(x.direccion) = upper("&amp;IF(TRIM(D332&amp;"")="","NULL","'"&amp;SUBSTITUTE(TRIM(D332),"'","''")&amp;"'")&amp;"));")</f>
        <v/>
      </c>
    </row>
    <row r="333" ht="15.75" customHeight="1" s="64">
      <c r="A333" s="23" t="n"/>
      <c r="B333" s="25">
        <f t="array" ref="B333">IF(A333="","",IFERROR(IF(INDEX(Clientes!$D$5:$D$549,MATCH(A333,Clientes!$C$5:$C$549,0))&lt;&gt;"",INDEX(Clientes!$D$5:$D$549,MATCH(A333,Clientes!$C$5:$C$549,0)),TRIM(INDEX(Clientes!$E$5:$E$549,MATCH(A333,Clientes!$C$5:$C$549,0))&amp;" "&amp;INDEX(Clientes!$F$5:$F$549,MATCH(A333,Clientes!$C$5:$C$549,0)))),"NO EXISTE en Clientes"))</f>
        <v/>
      </c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>
        <f>IF(AND(A333="",D333=""),"",IF(A333="","FALTA doc. cliente",IF(B333="NO EXISTE en Clientes","CLIENTE no está en hoja Clientes",IF(D333="","FALTA dirección",IF(AND(H333&lt;&gt;"",OR(F333="",G333="")),"Distrito requiere departamento y provincia",IF(AND(G333&lt;&gt;"",F333=""),"Provincia requiere departamento",IF((I333&lt;&gt;"")&lt;&gt;(J333&lt;&gt;""),"Latitud y longitud van juntas","OK")))))))</f>
        <v/>
      </c>
      <c r="M333" s="28">
        <f>IF(L333&lt;&gt;"OK","","INSERT INTO cli_direcciones (id_cliente, descripcion, direccion, referencia, id_departamento, id_provincia, id_distrito, latitud, longitud, es_principal, estado) SELECT "&amp;"(SELECT id FROM cli_clientes WHERE numero_documento = '"&amp;SUBSTITUTE(TRIM(A333),"'","''")&amp;"' AND estado = 1 LIMIT 1)"&amp;", "&amp;IF(TRIM(C333&amp;"")="","NULL","'"&amp;SUBSTITUTE(TRIM(C333),"'","''")&amp;"'")&amp;", "&amp;IF(TRIM(D333&amp;"")="","NULL","'"&amp;SUBSTITUTE(TRIM(D333),"'","''")&amp;"'")&amp;", "&amp;IF(TRIM(E333&amp;"")="","NULL","'"&amp;SUBSTITUTE(TRIM(E333),"'","''")&amp;"'")&amp;", "&amp;IF(TRIM(F333&amp;"")="","NULL","(SELECT id FROM gen_departamento WHERE upper(nombre) = upper('"&amp;SUBSTITUTE(TRIM(F333),"'","''")&amp;"') AND estado = 1 LIMIT 1)")&amp;", "&amp;IF(OR(TRIM(F333&amp;"")="",TRIM(G333&amp;"")=""),"NULL","(SELECT p.id FROM gen_provincia p JOIN gen_departamento dp ON dp.id = p.id_departamento WHERE upper(p.nombre) = upper('"&amp;SUBSTITUTE(TRIM(G333),"'","''")&amp;"') AND upper(dp.nombre) = upper('"&amp;SUBSTITUTE(TRIM(F333),"'","''")&amp;"') AND p.estado = 1 LIMIT 1)")&amp;", "&amp;IF(OR(TRIM(F333&amp;"")="",TRIM(G333&amp;"")="",TRIM(H333&amp;"")=""),"NULL","(SELECT d.id FROM gen_distrito d JOIN gen_provincia p ON p.id = d.id_provincia JOIN gen_departamento dp ON dp.id = p.id_departamento WHERE upper(d.nombre) = upper('"&amp;SUBSTITUTE(TRIM(H333),"'","''")&amp;"') AND upper(p.nombre) = upper('"&amp;SUBSTITUTE(TRIM(G333),"'","''")&amp;"') AND upper(dp.nombre) = upper('"&amp;SUBSTITUTE(TRIM(F333),"'","''")&amp;"') AND d.estado = 1 LIMIT 1)")&amp;", "&amp;IF(I333&amp;""="","NULL",SUBSTITUTE(I333&amp;"",",","."))&amp;", "&amp;IF(J333&amp;""="","NULL",SUBSTITUTE(J333&amp;"",",","."))&amp;", "&amp;IF(UPPER(TRIM(K333&amp;""))="SI","TRUE","FALSE")&amp;", 1"&amp;" WHERE NOT EXISTS (SELECT 1 FROM cli_direcciones x WHERE x.id_cliente = "&amp;"(SELECT id FROM cli_clientes WHERE numero_documento = '"&amp;SUBSTITUTE(TRIM(A333),"'","''")&amp;"' AND estado = 1 LIMIT 1)"&amp;" AND upper(x.direccion) = upper("&amp;IF(TRIM(D333&amp;"")="","NULL","'"&amp;SUBSTITUTE(TRIM(D333),"'","''")&amp;"'")&amp;"));")</f>
        <v/>
      </c>
    </row>
    <row r="334" ht="15.75" customHeight="1" s="64">
      <c r="A334" s="23" t="n"/>
      <c r="B334" s="25">
        <f t="array" ref="B334">IF(A334="","",IFERROR(IF(INDEX(Clientes!$D$5:$D$549,MATCH(A334,Clientes!$C$5:$C$549,0))&lt;&gt;"",INDEX(Clientes!$D$5:$D$549,MATCH(A334,Clientes!$C$5:$C$549,0)),TRIM(INDEX(Clientes!$E$5:$E$549,MATCH(A334,Clientes!$C$5:$C$549,0))&amp;" "&amp;INDEX(Clientes!$F$5:$F$549,MATCH(A334,Clientes!$C$5:$C$549,0)))),"NO EXISTE en Clientes"))</f>
        <v/>
      </c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>
        <f>IF(AND(A334="",D334=""),"",IF(A334="","FALTA doc. cliente",IF(B334="NO EXISTE en Clientes","CLIENTE no está en hoja Clientes",IF(D334="","FALTA dirección",IF(AND(H334&lt;&gt;"",OR(F334="",G334="")),"Distrito requiere departamento y provincia",IF(AND(G334&lt;&gt;"",F334=""),"Provincia requiere departamento",IF((I334&lt;&gt;"")&lt;&gt;(J334&lt;&gt;""),"Latitud y longitud van juntas","OK")))))))</f>
        <v/>
      </c>
      <c r="M334" s="28">
        <f>IF(L334&lt;&gt;"OK","","INSERT INTO cli_direcciones (id_cliente, descripcion, direccion, referencia, id_departamento, id_provincia, id_distrito, latitud, longitud, es_principal, estado) SELECT "&amp;"(SELECT id FROM cli_clientes WHERE numero_documento = '"&amp;SUBSTITUTE(TRIM(A334),"'","''")&amp;"' AND estado = 1 LIMIT 1)"&amp;", "&amp;IF(TRIM(C334&amp;"")="","NULL","'"&amp;SUBSTITUTE(TRIM(C334),"'","''")&amp;"'")&amp;", "&amp;IF(TRIM(D334&amp;"")="","NULL","'"&amp;SUBSTITUTE(TRIM(D334),"'","''")&amp;"'")&amp;", "&amp;IF(TRIM(E334&amp;"")="","NULL","'"&amp;SUBSTITUTE(TRIM(E334),"'","''")&amp;"'")&amp;", "&amp;IF(TRIM(F334&amp;"")="","NULL","(SELECT id FROM gen_departamento WHERE upper(nombre) = upper('"&amp;SUBSTITUTE(TRIM(F334),"'","''")&amp;"') AND estado = 1 LIMIT 1)")&amp;", "&amp;IF(OR(TRIM(F334&amp;"")="",TRIM(G334&amp;"")=""),"NULL","(SELECT p.id FROM gen_provincia p JOIN gen_departamento dp ON dp.id = p.id_departamento WHERE upper(p.nombre) = upper('"&amp;SUBSTITUTE(TRIM(G334),"'","''")&amp;"') AND upper(dp.nombre) = upper('"&amp;SUBSTITUTE(TRIM(F334),"'","''")&amp;"') AND p.estado = 1 LIMIT 1)")&amp;", "&amp;IF(OR(TRIM(F334&amp;"")="",TRIM(G334&amp;"")="",TRIM(H334&amp;"")=""),"NULL","(SELECT d.id FROM gen_distrito d JOIN gen_provincia p ON p.id = d.id_provincia JOIN gen_departamento dp ON dp.id = p.id_departamento WHERE upper(d.nombre) = upper('"&amp;SUBSTITUTE(TRIM(H334),"'","''")&amp;"') AND upper(p.nombre) = upper('"&amp;SUBSTITUTE(TRIM(G334),"'","''")&amp;"') AND upper(dp.nombre) = upper('"&amp;SUBSTITUTE(TRIM(F334),"'","''")&amp;"') AND d.estado = 1 LIMIT 1)")&amp;", "&amp;IF(I334&amp;""="","NULL",SUBSTITUTE(I334&amp;"",",","."))&amp;", "&amp;IF(J334&amp;""="","NULL",SUBSTITUTE(J334&amp;"",",","."))&amp;", "&amp;IF(UPPER(TRIM(K334&amp;""))="SI","TRUE","FALSE")&amp;", 1"&amp;" WHERE NOT EXISTS (SELECT 1 FROM cli_direcciones x WHERE x.id_cliente = "&amp;"(SELECT id FROM cli_clientes WHERE numero_documento = '"&amp;SUBSTITUTE(TRIM(A334),"'","''")&amp;"' AND estado = 1 LIMIT 1)"&amp;" AND upper(x.direccion) = upper("&amp;IF(TRIM(D334&amp;"")="","NULL","'"&amp;SUBSTITUTE(TRIM(D334),"'","''")&amp;"'")&amp;"));")</f>
        <v/>
      </c>
    </row>
    <row r="335" ht="15.75" customHeight="1" s="64">
      <c r="A335" s="23" t="n"/>
      <c r="B335" s="25">
        <f t="array" ref="B335">IF(A335="","",IFERROR(IF(INDEX(Clientes!$D$5:$D$549,MATCH(A335,Clientes!$C$5:$C$549,0))&lt;&gt;"",INDEX(Clientes!$D$5:$D$549,MATCH(A335,Clientes!$C$5:$C$549,0)),TRIM(INDEX(Clientes!$E$5:$E$549,MATCH(A335,Clientes!$C$5:$C$549,0))&amp;" "&amp;INDEX(Clientes!$F$5:$F$549,MATCH(A335,Clientes!$C$5:$C$549,0)))),"NO EXISTE en Clientes"))</f>
        <v/>
      </c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>
        <f>IF(AND(A335="",D335=""),"",IF(A335="","FALTA doc. cliente",IF(B335="NO EXISTE en Clientes","CLIENTE no está en hoja Clientes",IF(D335="","FALTA dirección",IF(AND(H335&lt;&gt;"",OR(F335="",G335="")),"Distrito requiere departamento y provincia",IF(AND(G335&lt;&gt;"",F335=""),"Provincia requiere departamento",IF((I335&lt;&gt;"")&lt;&gt;(J335&lt;&gt;""),"Latitud y longitud van juntas","OK")))))))</f>
        <v/>
      </c>
      <c r="M335" s="28">
        <f>IF(L335&lt;&gt;"OK","","INSERT INTO cli_direcciones (id_cliente, descripcion, direccion, referencia, id_departamento, id_provincia, id_distrito, latitud, longitud, es_principal, estado) SELECT "&amp;"(SELECT id FROM cli_clientes WHERE numero_documento = '"&amp;SUBSTITUTE(TRIM(A335),"'","''")&amp;"' AND estado = 1 LIMIT 1)"&amp;", "&amp;IF(TRIM(C335&amp;"")="","NULL","'"&amp;SUBSTITUTE(TRIM(C335),"'","''")&amp;"'")&amp;", "&amp;IF(TRIM(D335&amp;"")="","NULL","'"&amp;SUBSTITUTE(TRIM(D335),"'","''")&amp;"'")&amp;", "&amp;IF(TRIM(E335&amp;"")="","NULL","'"&amp;SUBSTITUTE(TRIM(E335),"'","''")&amp;"'")&amp;", "&amp;IF(TRIM(F335&amp;"")="","NULL","(SELECT id FROM gen_departamento WHERE upper(nombre) = upper('"&amp;SUBSTITUTE(TRIM(F335),"'","''")&amp;"') AND estado = 1 LIMIT 1)")&amp;", "&amp;IF(OR(TRIM(F335&amp;"")="",TRIM(G335&amp;"")=""),"NULL","(SELECT p.id FROM gen_provincia p JOIN gen_departamento dp ON dp.id = p.id_departamento WHERE upper(p.nombre) = upper('"&amp;SUBSTITUTE(TRIM(G335),"'","''")&amp;"') AND upper(dp.nombre) = upper('"&amp;SUBSTITUTE(TRIM(F335),"'","''")&amp;"') AND p.estado = 1 LIMIT 1)")&amp;", "&amp;IF(OR(TRIM(F335&amp;"")="",TRIM(G335&amp;"")="",TRIM(H335&amp;"")=""),"NULL","(SELECT d.id FROM gen_distrito d JOIN gen_provincia p ON p.id = d.id_provincia JOIN gen_departamento dp ON dp.id = p.id_departamento WHERE upper(d.nombre) = upper('"&amp;SUBSTITUTE(TRIM(H335),"'","''")&amp;"') AND upper(p.nombre) = upper('"&amp;SUBSTITUTE(TRIM(G335),"'","''")&amp;"') AND upper(dp.nombre) = upper('"&amp;SUBSTITUTE(TRIM(F335),"'","''")&amp;"') AND d.estado = 1 LIMIT 1)")&amp;", "&amp;IF(I335&amp;""="","NULL",SUBSTITUTE(I335&amp;"",",","."))&amp;", "&amp;IF(J335&amp;""="","NULL",SUBSTITUTE(J335&amp;"",",","."))&amp;", "&amp;IF(UPPER(TRIM(K335&amp;""))="SI","TRUE","FALSE")&amp;", 1"&amp;" WHERE NOT EXISTS (SELECT 1 FROM cli_direcciones x WHERE x.id_cliente = "&amp;"(SELECT id FROM cli_clientes WHERE numero_documento = '"&amp;SUBSTITUTE(TRIM(A335),"'","''")&amp;"' AND estado = 1 LIMIT 1)"&amp;" AND upper(x.direccion) = upper("&amp;IF(TRIM(D335&amp;"")="","NULL","'"&amp;SUBSTITUTE(TRIM(D335),"'","''")&amp;"'")&amp;"));")</f>
        <v/>
      </c>
    </row>
    <row r="336" ht="15.75" customHeight="1" s="64">
      <c r="A336" s="23" t="n"/>
      <c r="B336" s="25">
        <f t="array" ref="B336">IF(A336="","",IFERROR(IF(INDEX(Clientes!$D$5:$D$549,MATCH(A336,Clientes!$C$5:$C$549,0))&lt;&gt;"",INDEX(Clientes!$D$5:$D$549,MATCH(A336,Clientes!$C$5:$C$549,0)),TRIM(INDEX(Clientes!$E$5:$E$549,MATCH(A336,Clientes!$C$5:$C$549,0))&amp;" "&amp;INDEX(Clientes!$F$5:$F$549,MATCH(A336,Clientes!$C$5:$C$549,0)))),"NO EXISTE en Clientes"))</f>
        <v/>
      </c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>
        <f>IF(AND(A336="",D336=""),"",IF(A336="","FALTA doc. cliente",IF(B336="NO EXISTE en Clientes","CLIENTE no está en hoja Clientes",IF(D336="","FALTA dirección",IF(AND(H336&lt;&gt;"",OR(F336="",G336="")),"Distrito requiere departamento y provincia",IF(AND(G336&lt;&gt;"",F336=""),"Provincia requiere departamento",IF((I336&lt;&gt;"")&lt;&gt;(J336&lt;&gt;""),"Latitud y longitud van juntas","OK")))))))</f>
        <v/>
      </c>
      <c r="M336" s="28">
        <f>IF(L336&lt;&gt;"OK","","INSERT INTO cli_direcciones (id_cliente, descripcion, direccion, referencia, id_departamento, id_provincia, id_distrito, latitud, longitud, es_principal, estado) SELECT "&amp;"(SELECT id FROM cli_clientes WHERE numero_documento = '"&amp;SUBSTITUTE(TRIM(A336),"'","''")&amp;"' AND estado = 1 LIMIT 1)"&amp;", "&amp;IF(TRIM(C336&amp;"")="","NULL","'"&amp;SUBSTITUTE(TRIM(C336),"'","''")&amp;"'")&amp;", "&amp;IF(TRIM(D336&amp;"")="","NULL","'"&amp;SUBSTITUTE(TRIM(D336),"'","''")&amp;"'")&amp;", "&amp;IF(TRIM(E336&amp;"")="","NULL","'"&amp;SUBSTITUTE(TRIM(E336),"'","''")&amp;"'")&amp;", "&amp;IF(TRIM(F336&amp;"")="","NULL","(SELECT id FROM gen_departamento WHERE upper(nombre) = upper('"&amp;SUBSTITUTE(TRIM(F336),"'","''")&amp;"') AND estado = 1 LIMIT 1)")&amp;", "&amp;IF(OR(TRIM(F336&amp;"")="",TRIM(G336&amp;"")=""),"NULL","(SELECT p.id FROM gen_provincia p JOIN gen_departamento dp ON dp.id = p.id_departamento WHERE upper(p.nombre) = upper('"&amp;SUBSTITUTE(TRIM(G336),"'","''")&amp;"') AND upper(dp.nombre) = upper('"&amp;SUBSTITUTE(TRIM(F336),"'","''")&amp;"') AND p.estado = 1 LIMIT 1)")&amp;", "&amp;IF(OR(TRIM(F336&amp;"")="",TRIM(G336&amp;"")="",TRIM(H336&amp;"")=""),"NULL","(SELECT d.id FROM gen_distrito d JOIN gen_provincia p ON p.id = d.id_provincia JOIN gen_departamento dp ON dp.id = p.id_departamento WHERE upper(d.nombre) = upper('"&amp;SUBSTITUTE(TRIM(H336),"'","''")&amp;"') AND upper(p.nombre) = upper('"&amp;SUBSTITUTE(TRIM(G336),"'","''")&amp;"') AND upper(dp.nombre) = upper('"&amp;SUBSTITUTE(TRIM(F336),"'","''")&amp;"') AND d.estado = 1 LIMIT 1)")&amp;", "&amp;IF(I336&amp;""="","NULL",SUBSTITUTE(I336&amp;"",",","."))&amp;", "&amp;IF(J336&amp;""="","NULL",SUBSTITUTE(J336&amp;"",",","."))&amp;", "&amp;IF(UPPER(TRIM(K336&amp;""))="SI","TRUE","FALSE")&amp;", 1"&amp;" WHERE NOT EXISTS (SELECT 1 FROM cli_direcciones x WHERE x.id_cliente = "&amp;"(SELECT id FROM cli_clientes WHERE numero_documento = '"&amp;SUBSTITUTE(TRIM(A336),"'","''")&amp;"' AND estado = 1 LIMIT 1)"&amp;" AND upper(x.direccion) = upper("&amp;IF(TRIM(D336&amp;"")="","NULL","'"&amp;SUBSTITUTE(TRIM(D336),"'","''")&amp;"'")&amp;"));")</f>
        <v/>
      </c>
    </row>
    <row r="337" ht="15.75" customHeight="1" s="64">
      <c r="A337" s="23" t="n"/>
      <c r="B337" s="25">
        <f t="array" ref="B337">IF(A337="","",IFERROR(IF(INDEX(Clientes!$D$5:$D$549,MATCH(A337,Clientes!$C$5:$C$549,0))&lt;&gt;"",INDEX(Clientes!$D$5:$D$549,MATCH(A337,Clientes!$C$5:$C$549,0)),TRIM(INDEX(Clientes!$E$5:$E$549,MATCH(A337,Clientes!$C$5:$C$549,0))&amp;" "&amp;INDEX(Clientes!$F$5:$F$549,MATCH(A337,Clientes!$C$5:$C$549,0)))),"NO EXISTE en Clientes"))</f>
        <v/>
      </c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>
        <f>IF(AND(A337="",D337=""),"",IF(A337="","FALTA doc. cliente",IF(B337="NO EXISTE en Clientes","CLIENTE no está en hoja Clientes",IF(D337="","FALTA dirección",IF(AND(H337&lt;&gt;"",OR(F337="",G337="")),"Distrito requiere departamento y provincia",IF(AND(G337&lt;&gt;"",F337=""),"Provincia requiere departamento",IF((I337&lt;&gt;"")&lt;&gt;(J337&lt;&gt;""),"Latitud y longitud van juntas","OK")))))))</f>
        <v/>
      </c>
      <c r="M337" s="28">
        <f>IF(L337&lt;&gt;"OK","","INSERT INTO cli_direcciones (id_cliente, descripcion, direccion, referencia, id_departamento, id_provincia, id_distrito, latitud, longitud, es_principal, estado) SELECT "&amp;"(SELECT id FROM cli_clientes WHERE numero_documento = '"&amp;SUBSTITUTE(TRIM(A337),"'","''")&amp;"' AND estado = 1 LIMIT 1)"&amp;", "&amp;IF(TRIM(C337&amp;"")="","NULL","'"&amp;SUBSTITUTE(TRIM(C337),"'","''")&amp;"'")&amp;", "&amp;IF(TRIM(D337&amp;"")="","NULL","'"&amp;SUBSTITUTE(TRIM(D337),"'","''")&amp;"'")&amp;", "&amp;IF(TRIM(E337&amp;"")="","NULL","'"&amp;SUBSTITUTE(TRIM(E337),"'","''")&amp;"'")&amp;", "&amp;IF(TRIM(F337&amp;"")="","NULL","(SELECT id FROM gen_departamento WHERE upper(nombre) = upper('"&amp;SUBSTITUTE(TRIM(F337),"'","''")&amp;"') AND estado = 1 LIMIT 1)")&amp;", "&amp;IF(OR(TRIM(F337&amp;"")="",TRIM(G337&amp;"")=""),"NULL","(SELECT p.id FROM gen_provincia p JOIN gen_departamento dp ON dp.id = p.id_departamento WHERE upper(p.nombre) = upper('"&amp;SUBSTITUTE(TRIM(G337),"'","''")&amp;"') AND upper(dp.nombre) = upper('"&amp;SUBSTITUTE(TRIM(F337),"'","''")&amp;"') AND p.estado = 1 LIMIT 1)")&amp;", "&amp;IF(OR(TRIM(F337&amp;"")="",TRIM(G337&amp;"")="",TRIM(H337&amp;"")=""),"NULL","(SELECT d.id FROM gen_distrito d JOIN gen_provincia p ON p.id = d.id_provincia JOIN gen_departamento dp ON dp.id = p.id_departamento WHERE upper(d.nombre) = upper('"&amp;SUBSTITUTE(TRIM(H337),"'","''")&amp;"') AND upper(p.nombre) = upper('"&amp;SUBSTITUTE(TRIM(G337),"'","''")&amp;"') AND upper(dp.nombre) = upper('"&amp;SUBSTITUTE(TRIM(F337),"'","''")&amp;"') AND d.estado = 1 LIMIT 1)")&amp;", "&amp;IF(I337&amp;""="","NULL",SUBSTITUTE(I337&amp;"",",","."))&amp;", "&amp;IF(J337&amp;""="","NULL",SUBSTITUTE(J337&amp;"",",","."))&amp;", "&amp;IF(UPPER(TRIM(K337&amp;""))="SI","TRUE","FALSE")&amp;", 1"&amp;" WHERE NOT EXISTS (SELECT 1 FROM cli_direcciones x WHERE x.id_cliente = "&amp;"(SELECT id FROM cli_clientes WHERE numero_documento = '"&amp;SUBSTITUTE(TRIM(A337),"'","''")&amp;"' AND estado = 1 LIMIT 1)"&amp;" AND upper(x.direccion) = upper("&amp;IF(TRIM(D337&amp;"")="","NULL","'"&amp;SUBSTITUTE(TRIM(D337),"'","''")&amp;"'")&amp;"));")</f>
        <v/>
      </c>
    </row>
    <row r="338" ht="15.75" customHeight="1" s="64">
      <c r="A338" s="23" t="n"/>
      <c r="B338" s="25">
        <f t="array" ref="B338">IF(A338="","",IFERROR(IF(INDEX(Clientes!$D$5:$D$549,MATCH(A338,Clientes!$C$5:$C$549,0))&lt;&gt;"",INDEX(Clientes!$D$5:$D$549,MATCH(A338,Clientes!$C$5:$C$549,0)),TRIM(INDEX(Clientes!$E$5:$E$549,MATCH(A338,Clientes!$C$5:$C$549,0))&amp;" "&amp;INDEX(Clientes!$F$5:$F$549,MATCH(A338,Clientes!$C$5:$C$549,0)))),"NO EXISTE en Clientes"))</f>
        <v/>
      </c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>
        <f>IF(AND(A338="",D338=""),"",IF(A338="","FALTA doc. cliente",IF(B338="NO EXISTE en Clientes","CLIENTE no está en hoja Clientes",IF(D338="","FALTA dirección",IF(AND(H338&lt;&gt;"",OR(F338="",G338="")),"Distrito requiere departamento y provincia",IF(AND(G338&lt;&gt;"",F338=""),"Provincia requiere departamento",IF((I338&lt;&gt;"")&lt;&gt;(J338&lt;&gt;""),"Latitud y longitud van juntas","OK")))))))</f>
        <v/>
      </c>
      <c r="M338" s="28">
        <f>IF(L338&lt;&gt;"OK","","INSERT INTO cli_direcciones (id_cliente, descripcion, direccion, referencia, id_departamento, id_provincia, id_distrito, latitud, longitud, es_principal, estado) SELECT "&amp;"(SELECT id FROM cli_clientes WHERE numero_documento = '"&amp;SUBSTITUTE(TRIM(A338),"'","''")&amp;"' AND estado = 1 LIMIT 1)"&amp;", "&amp;IF(TRIM(C338&amp;"")="","NULL","'"&amp;SUBSTITUTE(TRIM(C338),"'","''")&amp;"'")&amp;", "&amp;IF(TRIM(D338&amp;"")="","NULL","'"&amp;SUBSTITUTE(TRIM(D338),"'","''")&amp;"'")&amp;", "&amp;IF(TRIM(E338&amp;"")="","NULL","'"&amp;SUBSTITUTE(TRIM(E338),"'","''")&amp;"'")&amp;", "&amp;IF(TRIM(F338&amp;"")="","NULL","(SELECT id FROM gen_departamento WHERE upper(nombre) = upper('"&amp;SUBSTITUTE(TRIM(F338),"'","''")&amp;"') AND estado = 1 LIMIT 1)")&amp;", "&amp;IF(OR(TRIM(F338&amp;"")="",TRIM(G338&amp;"")=""),"NULL","(SELECT p.id FROM gen_provincia p JOIN gen_departamento dp ON dp.id = p.id_departamento WHERE upper(p.nombre) = upper('"&amp;SUBSTITUTE(TRIM(G338),"'","''")&amp;"') AND upper(dp.nombre) = upper('"&amp;SUBSTITUTE(TRIM(F338),"'","''")&amp;"') AND p.estado = 1 LIMIT 1)")&amp;", "&amp;IF(OR(TRIM(F338&amp;"")="",TRIM(G338&amp;"")="",TRIM(H338&amp;"")=""),"NULL","(SELECT d.id FROM gen_distrito d JOIN gen_provincia p ON p.id = d.id_provincia JOIN gen_departamento dp ON dp.id = p.id_departamento WHERE upper(d.nombre) = upper('"&amp;SUBSTITUTE(TRIM(H338),"'","''")&amp;"') AND upper(p.nombre) = upper('"&amp;SUBSTITUTE(TRIM(G338),"'","''")&amp;"') AND upper(dp.nombre) = upper('"&amp;SUBSTITUTE(TRIM(F338),"'","''")&amp;"') AND d.estado = 1 LIMIT 1)")&amp;", "&amp;IF(I338&amp;""="","NULL",SUBSTITUTE(I338&amp;"",",","."))&amp;", "&amp;IF(J338&amp;""="","NULL",SUBSTITUTE(J338&amp;"",",","."))&amp;", "&amp;IF(UPPER(TRIM(K338&amp;""))="SI","TRUE","FALSE")&amp;", 1"&amp;" WHERE NOT EXISTS (SELECT 1 FROM cli_direcciones x WHERE x.id_cliente = "&amp;"(SELECT id FROM cli_clientes WHERE numero_documento = '"&amp;SUBSTITUTE(TRIM(A338),"'","''")&amp;"' AND estado = 1 LIMIT 1)"&amp;" AND upper(x.direccion) = upper("&amp;IF(TRIM(D338&amp;"")="","NULL","'"&amp;SUBSTITUTE(TRIM(D338),"'","''")&amp;"'")&amp;"));")</f>
        <v/>
      </c>
    </row>
    <row r="339" ht="15.75" customHeight="1" s="64">
      <c r="A339" s="23" t="n"/>
      <c r="B339" s="25">
        <f t="array" ref="B339">IF(A339="","",IFERROR(IF(INDEX(Clientes!$D$5:$D$549,MATCH(A339,Clientes!$C$5:$C$549,0))&lt;&gt;"",INDEX(Clientes!$D$5:$D$549,MATCH(A339,Clientes!$C$5:$C$549,0)),TRIM(INDEX(Clientes!$E$5:$E$549,MATCH(A339,Clientes!$C$5:$C$549,0))&amp;" "&amp;INDEX(Clientes!$F$5:$F$549,MATCH(A339,Clientes!$C$5:$C$549,0)))),"NO EXISTE en Clientes"))</f>
        <v/>
      </c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>
        <f>IF(AND(A339="",D339=""),"",IF(A339="","FALTA doc. cliente",IF(B339="NO EXISTE en Clientes","CLIENTE no está en hoja Clientes",IF(D339="","FALTA dirección",IF(AND(H339&lt;&gt;"",OR(F339="",G339="")),"Distrito requiere departamento y provincia",IF(AND(G339&lt;&gt;"",F339=""),"Provincia requiere departamento",IF((I339&lt;&gt;"")&lt;&gt;(J339&lt;&gt;""),"Latitud y longitud van juntas","OK")))))))</f>
        <v/>
      </c>
      <c r="M339" s="28">
        <f>IF(L339&lt;&gt;"OK","","INSERT INTO cli_direcciones (id_cliente, descripcion, direccion, referencia, id_departamento, id_provincia, id_distrito, latitud, longitud, es_principal, estado) SELECT "&amp;"(SELECT id FROM cli_clientes WHERE numero_documento = '"&amp;SUBSTITUTE(TRIM(A339),"'","''")&amp;"' AND estado = 1 LIMIT 1)"&amp;", "&amp;IF(TRIM(C339&amp;"")="","NULL","'"&amp;SUBSTITUTE(TRIM(C339),"'","''")&amp;"'")&amp;", "&amp;IF(TRIM(D339&amp;"")="","NULL","'"&amp;SUBSTITUTE(TRIM(D339),"'","''")&amp;"'")&amp;", "&amp;IF(TRIM(E339&amp;"")="","NULL","'"&amp;SUBSTITUTE(TRIM(E339),"'","''")&amp;"'")&amp;", "&amp;IF(TRIM(F339&amp;"")="","NULL","(SELECT id FROM gen_departamento WHERE upper(nombre) = upper('"&amp;SUBSTITUTE(TRIM(F339),"'","''")&amp;"') AND estado = 1 LIMIT 1)")&amp;", "&amp;IF(OR(TRIM(F339&amp;"")="",TRIM(G339&amp;"")=""),"NULL","(SELECT p.id FROM gen_provincia p JOIN gen_departamento dp ON dp.id = p.id_departamento WHERE upper(p.nombre) = upper('"&amp;SUBSTITUTE(TRIM(G339),"'","''")&amp;"') AND upper(dp.nombre) = upper('"&amp;SUBSTITUTE(TRIM(F339),"'","''")&amp;"') AND p.estado = 1 LIMIT 1)")&amp;", "&amp;IF(OR(TRIM(F339&amp;"")="",TRIM(G339&amp;"")="",TRIM(H339&amp;"")=""),"NULL","(SELECT d.id FROM gen_distrito d JOIN gen_provincia p ON p.id = d.id_provincia JOIN gen_departamento dp ON dp.id = p.id_departamento WHERE upper(d.nombre) = upper('"&amp;SUBSTITUTE(TRIM(H339),"'","''")&amp;"') AND upper(p.nombre) = upper('"&amp;SUBSTITUTE(TRIM(G339),"'","''")&amp;"') AND upper(dp.nombre) = upper('"&amp;SUBSTITUTE(TRIM(F339),"'","''")&amp;"') AND d.estado = 1 LIMIT 1)")&amp;", "&amp;IF(I339&amp;""="","NULL",SUBSTITUTE(I339&amp;"",",","."))&amp;", "&amp;IF(J339&amp;""="","NULL",SUBSTITUTE(J339&amp;"",",","."))&amp;", "&amp;IF(UPPER(TRIM(K339&amp;""))="SI","TRUE","FALSE")&amp;", 1"&amp;" WHERE NOT EXISTS (SELECT 1 FROM cli_direcciones x WHERE x.id_cliente = "&amp;"(SELECT id FROM cli_clientes WHERE numero_documento = '"&amp;SUBSTITUTE(TRIM(A339),"'","''")&amp;"' AND estado = 1 LIMIT 1)"&amp;" AND upper(x.direccion) = upper("&amp;IF(TRIM(D339&amp;"")="","NULL","'"&amp;SUBSTITUTE(TRIM(D339),"'","''")&amp;"'")&amp;"));")</f>
        <v/>
      </c>
    </row>
    <row r="340" ht="15.75" customHeight="1" s="64">
      <c r="A340" s="23" t="n"/>
      <c r="B340" s="25">
        <f t="array" ref="B340">IF(A340="","",IFERROR(IF(INDEX(Clientes!$D$5:$D$549,MATCH(A340,Clientes!$C$5:$C$549,0))&lt;&gt;"",INDEX(Clientes!$D$5:$D$549,MATCH(A340,Clientes!$C$5:$C$549,0)),TRIM(INDEX(Clientes!$E$5:$E$549,MATCH(A340,Clientes!$C$5:$C$549,0))&amp;" "&amp;INDEX(Clientes!$F$5:$F$549,MATCH(A340,Clientes!$C$5:$C$549,0)))),"NO EXISTE en Clientes"))</f>
        <v/>
      </c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>
        <f>IF(AND(A340="",D340=""),"",IF(A340="","FALTA doc. cliente",IF(B340="NO EXISTE en Clientes","CLIENTE no está en hoja Clientes",IF(D340="","FALTA dirección",IF(AND(H340&lt;&gt;"",OR(F340="",G340="")),"Distrito requiere departamento y provincia",IF(AND(G340&lt;&gt;"",F340=""),"Provincia requiere departamento",IF((I340&lt;&gt;"")&lt;&gt;(J340&lt;&gt;""),"Latitud y longitud van juntas","OK")))))))</f>
        <v/>
      </c>
      <c r="M340" s="28">
        <f>IF(L340&lt;&gt;"OK","","INSERT INTO cli_direcciones (id_cliente, descripcion, direccion, referencia, id_departamento, id_provincia, id_distrito, latitud, longitud, es_principal, estado) SELECT "&amp;"(SELECT id FROM cli_clientes WHERE numero_documento = '"&amp;SUBSTITUTE(TRIM(A340),"'","''")&amp;"' AND estado = 1 LIMIT 1)"&amp;", "&amp;IF(TRIM(C340&amp;"")="","NULL","'"&amp;SUBSTITUTE(TRIM(C340),"'","''")&amp;"'")&amp;", "&amp;IF(TRIM(D340&amp;"")="","NULL","'"&amp;SUBSTITUTE(TRIM(D340),"'","''")&amp;"'")&amp;", "&amp;IF(TRIM(E340&amp;"")="","NULL","'"&amp;SUBSTITUTE(TRIM(E340),"'","''")&amp;"'")&amp;", "&amp;IF(TRIM(F340&amp;"")="","NULL","(SELECT id FROM gen_departamento WHERE upper(nombre) = upper('"&amp;SUBSTITUTE(TRIM(F340),"'","''")&amp;"') AND estado = 1 LIMIT 1)")&amp;", "&amp;IF(OR(TRIM(F340&amp;"")="",TRIM(G340&amp;"")=""),"NULL","(SELECT p.id FROM gen_provincia p JOIN gen_departamento dp ON dp.id = p.id_departamento WHERE upper(p.nombre) = upper('"&amp;SUBSTITUTE(TRIM(G340),"'","''")&amp;"') AND upper(dp.nombre) = upper('"&amp;SUBSTITUTE(TRIM(F340),"'","''")&amp;"') AND p.estado = 1 LIMIT 1)")&amp;", "&amp;IF(OR(TRIM(F340&amp;"")="",TRIM(G340&amp;"")="",TRIM(H340&amp;"")=""),"NULL","(SELECT d.id FROM gen_distrito d JOIN gen_provincia p ON p.id = d.id_provincia JOIN gen_departamento dp ON dp.id = p.id_departamento WHERE upper(d.nombre) = upper('"&amp;SUBSTITUTE(TRIM(H340),"'","''")&amp;"') AND upper(p.nombre) = upper('"&amp;SUBSTITUTE(TRIM(G340),"'","''")&amp;"') AND upper(dp.nombre) = upper('"&amp;SUBSTITUTE(TRIM(F340),"'","''")&amp;"') AND d.estado = 1 LIMIT 1)")&amp;", "&amp;IF(I340&amp;""="","NULL",SUBSTITUTE(I340&amp;"",",","."))&amp;", "&amp;IF(J340&amp;""="","NULL",SUBSTITUTE(J340&amp;"",",","."))&amp;", "&amp;IF(UPPER(TRIM(K340&amp;""))="SI","TRUE","FALSE")&amp;", 1"&amp;" WHERE NOT EXISTS (SELECT 1 FROM cli_direcciones x WHERE x.id_cliente = "&amp;"(SELECT id FROM cli_clientes WHERE numero_documento = '"&amp;SUBSTITUTE(TRIM(A340),"'","''")&amp;"' AND estado = 1 LIMIT 1)"&amp;" AND upper(x.direccion) = upper("&amp;IF(TRIM(D340&amp;"")="","NULL","'"&amp;SUBSTITUTE(TRIM(D340),"'","''")&amp;"'")&amp;"));")</f>
        <v/>
      </c>
    </row>
    <row r="341" ht="15.75" customHeight="1" s="64">
      <c r="A341" s="23" t="n"/>
      <c r="B341" s="25">
        <f t="array" ref="B341">IF(A341="","",IFERROR(IF(INDEX(Clientes!$D$5:$D$549,MATCH(A341,Clientes!$C$5:$C$549,0))&lt;&gt;"",INDEX(Clientes!$D$5:$D$549,MATCH(A341,Clientes!$C$5:$C$549,0)),TRIM(INDEX(Clientes!$E$5:$E$549,MATCH(A341,Clientes!$C$5:$C$549,0))&amp;" "&amp;INDEX(Clientes!$F$5:$F$549,MATCH(A341,Clientes!$C$5:$C$549,0)))),"NO EXISTE en Clientes"))</f>
        <v/>
      </c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>
        <f>IF(AND(A341="",D341=""),"",IF(A341="","FALTA doc. cliente",IF(B341="NO EXISTE en Clientes","CLIENTE no está en hoja Clientes",IF(D341="","FALTA dirección",IF(AND(H341&lt;&gt;"",OR(F341="",G341="")),"Distrito requiere departamento y provincia",IF(AND(G341&lt;&gt;"",F341=""),"Provincia requiere departamento",IF((I341&lt;&gt;"")&lt;&gt;(J341&lt;&gt;""),"Latitud y longitud van juntas","OK")))))))</f>
        <v/>
      </c>
      <c r="M341" s="28">
        <f>IF(L341&lt;&gt;"OK","","INSERT INTO cli_direcciones (id_cliente, descripcion, direccion, referencia, id_departamento, id_provincia, id_distrito, latitud, longitud, es_principal, estado) SELECT "&amp;"(SELECT id FROM cli_clientes WHERE numero_documento = '"&amp;SUBSTITUTE(TRIM(A341),"'","''")&amp;"' AND estado = 1 LIMIT 1)"&amp;", "&amp;IF(TRIM(C341&amp;"")="","NULL","'"&amp;SUBSTITUTE(TRIM(C341),"'","''")&amp;"'")&amp;", "&amp;IF(TRIM(D341&amp;"")="","NULL","'"&amp;SUBSTITUTE(TRIM(D341),"'","''")&amp;"'")&amp;", "&amp;IF(TRIM(E341&amp;"")="","NULL","'"&amp;SUBSTITUTE(TRIM(E341),"'","''")&amp;"'")&amp;", "&amp;IF(TRIM(F341&amp;"")="","NULL","(SELECT id FROM gen_departamento WHERE upper(nombre) = upper('"&amp;SUBSTITUTE(TRIM(F341),"'","''")&amp;"') AND estado = 1 LIMIT 1)")&amp;", "&amp;IF(OR(TRIM(F341&amp;"")="",TRIM(G341&amp;"")=""),"NULL","(SELECT p.id FROM gen_provincia p JOIN gen_departamento dp ON dp.id = p.id_departamento WHERE upper(p.nombre) = upper('"&amp;SUBSTITUTE(TRIM(G341),"'","''")&amp;"') AND upper(dp.nombre) = upper('"&amp;SUBSTITUTE(TRIM(F341),"'","''")&amp;"') AND p.estado = 1 LIMIT 1)")&amp;", "&amp;IF(OR(TRIM(F341&amp;"")="",TRIM(G341&amp;"")="",TRIM(H341&amp;"")=""),"NULL","(SELECT d.id FROM gen_distrito d JOIN gen_provincia p ON p.id = d.id_provincia JOIN gen_departamento dp ON dp.id = p.id_departamento WHERE upper(d.nombre) = upper('"&amp;SUBSTITUTE(TRIM(H341),"'","''")&amp;"') AND upper(p.nombre) = upper('"&amp;SUBSTITUTE(TRIM(G341),"'","''")&amp;"') AND upper(dp.nombre) = upper('"&amp;SUBSTITUTE(TRIM(F341),"'","''")&amp;"') AND d.estado = 1 LIMIT 1)")&amp;", "&amp;IF(I341&amp;""="","NULL",SUBSTITUTE(I341&amp;"",",","."))&amp;", "&amp;IF(J341&amp;""="","NULL",SUBSTITUTE(J341&amp;"",",","."))&amp;", "&amp;IF(UPPER(TRIM(K341&amp;""))="SI","TRUE","FALSE")&amp;", 1"&amp;" WHERE NOT EXISTS (SELECT 1 FROM cli_direcciones x WHERE x.id_cliente = "&amp;"(SELECT id FROM cli_clientes WHERE numero_documento = '"&amp;SUBSTITUTE(TRIM(A341),"'","''")&amp;"' AND estado = 1 LIMIT 1)"&amp;" AND upper(x.direccion) = upper("&amp;IF(TRIM(D341&amp;"")="","NULL","'"&amp;SUBSTITUTE(TRIM(D341),"'","''")&amp;"'")&amp;"));")</f>
        <v/>
      </c>
    </row>
    <row r="342" ht="15.75" customHeight="1" s="64">
      <c r="A342" s="23" t="n"/>
      <c r="B342" s="25">
        <f t="array" ref="B342">IF(A342="","",IFERROR(IF(INDEX(Clientes!$D$5:$D$549,MATCH(A342,Clientes!$C$5:$C$549,0))&lt;&gt;"",INDEX(Clientes!$D$5:$D$549,MATCH(A342,Clientes!$C$5:$C$549,0)),TRIM(INDEX(Clientes!$E$5:$E$549,MATCH(A342,Clientes!$C$5:$C$549,0))&amp;" "&amp;INDEX(Clientes!$F$5:$F$549,MATCH(A342,Clientes!$C$5:$C$549,0)))),"NO EXISTE en Clientes"))</f>
        <v/>
      </c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>
        <f>IF(AND(A342="",D342=""),"",IF(A342="","FALTA doc. cliente",IF(B342="NO EXISTE en Clientes","CLIENTE no está en hoja Clientes",IF(D342="","FALTA dirección",IF(AND(H342&lt;&gt;"",OR(F342="",G342="")),"Distrito requiere departamento y provincia",IF(AND(G342&lt;&gt;"",F342=""),"Provincia requiere departamento",IF((I342&lt;&gt;"")&lt;&gt;(J342&lt;&gt;""),"Latitud y longitud van juntas","OK")))))))</f>
        <v/>
      </c>
      <c r="M342" s="28">
        <f>IF(L342&lt;&gt;"OK","","INSERT INTO cli_direcciones (id_cliente, descripcion, direccion, referencia, id_departamento, id_provincia, id_distrito, latitud, longitud, es_principal, estado) SELECT "&amp;"(SELECT id FROM cli_clientes WHERE numero_documento = '"&amp;SUBSTITUTE(TRIM(A342),"'","''")&amp;"' AND estado = 1 LIMIT 1)"&amp;", "&amp;IF(TRIM(C342&amp;"")="","NULL","'"&amp;SUBSTITUTE(TRIM(C342),"'","''")&amp;"'")&amp;", "&amp;IF(TRIM(D342&amp;"")="","NULL","'"&amp;SUBSTITUTE(TRIM(D342),"'","''")&amp;"'")&amp;", "&amp;IF(TRIM(E342&amp;"")="","NULL","'"&amp;SUBSTITUTE(TRIM(E342),"'","''")&amp;"'")&amp;", "&amp;IF(TRIM(F342&amp;"")="","NULL","(SELECT id FROM gen_departamento WHERE upper(nombre) = upper('"&amp;SUBSTITUTE(TRIM(F342),"'","''")&amp;"') AND estado = 1 LIMIT 1)")&amp;", "&amp;IF(OR(TRIM(F342&amp;"")="",TRIM(G342&amp;"")=""),"NULL","(SELECT p.id FROM gen_provincia p JOIN gen_departamento dp ON dp.id = p.id_departamento WHERE upper(p.nombre) = upper('"&amp;SUBSTITUTE(TRIM(G342),"'","''")&amp;"') AND upper(dp.nombre) = upper('"&amp;SUBSTITUTE(TRIM(F342),"'","''")&amp;"') AND p.estado = 1 LIMIT 1)")&amp;", "&amp;IF(OR(TRIM(F342&amp;"")="",TRIM(G342&amp;"")="",TRIM(H342&amp;"")=""),"NULL","(SELECT d.id FROM gen_distrito d JOIN gen_provincia p ON p.id = d.id_provincia JOIN gen_departamento dp ON dp.id = p.id_departamento WHERE upper(d.nombre) = upper('"&amp;SUBSTITUTE(TRIM(H342),"'","''")&amp;"') AND upper(p.nombre) = upper('"&amp;SUBSTITUTE(TRIM(G342),"'","''")&amp;"') AND upper(dp.nombre) = upper('"&amp;SUBSTITUTE(TRIM(F342),"'","''")&amp;"') AND d.estado = 1 LIMIT 1)")&amp;", "&amp;IF(I342&amp;""="","NULL",SUBSTITUTE(I342&amp;"",",","."))&amp;", "&amp;IF(J342&amp;""="","NULL",SUBSTITUTE(J342&amp;"",",","."))&amp;", "&amp;IF(UPPER(TRIM(K342&amp;""))="SI","TRUE","FALSE")&amp;", 1"&amp;" WHERE NOT EXISTS (SELECT 1 FROM cli_direcciones x WHERE x.id_cliente = "&amp;"(SELECT id FROM cli_clientes WHERE numero_documento = '"&amp;SUBSTITUTE(TRIM(A342),"'","''")&amp;"' AND estado = 1 LIMIT 1)"&amp;" AND upper(x.direccion) = upper("&amp;IF(TRIM(D342&amp;"")="","NULL","'"&amp;SUBSTITUTE(TRIM(D342),"'","''")&amp;"'")&amp;"));")</f>
        <v/>
      </c>
    </row>
    <row r="343" ht="15.75" customHeight="1" s="64">
      <c r="A343" s="23" t="n"/>
      <c r="B343" s="25">
        <f t="array" ref="B343">IF(A343="","",IFERROR(IF(INDEX(Clientes!$D$5:$D$549,MATCH(A343,Clientes!$C$5:$C$549,0))&lt;&gt;"",INDEX(Clientes!$D$5:$D$549,MATCH(A343,Clientes!$C$5:$C$549,0)),TRIM(INDEX(Clientes!$E$5:$E$549,MATCH(A343,Clientes!$C$5:$C$549,0))&amp;" "&amp;INDEX(Clientes!$F$5:$F$549,MATCH(A343,Clientes!$C$5:$C$549,0)))),"NO EXISTE en Clientes"))</f>
        <v/>
      </c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>
        <f>IF(AND(A343="",D343=""),"",IF(A343="","FALTA doc. cliente",IF(B343="NO EXISTE en Clientes","CLIENTE no está en hoja Clientes",IF(D343="","FALTA dirección",IF(AND(H343&lt;&gt;"",OR(F343="",G343="")),"Distrito requiere departamento y provincia",IF(AND(G343&lt;&gt;"",F343=""),"Provincia requiere departamento",IF((I343&lt;&gt;"")&lt;&gt;(J343&lt;&gt;""),"Latitud y longitud van juntas","OK")))))))</f>
        <v/>
      </c>
      <c r="M343" s="28">
        <f>IF(L343&lt;&gt;"OK","","INSERT INTO cli_direcciones (id_cliente, descripcion, direccion, referencia, id_departamento, id_provincia, id_distrito, latitud, longitud, es_principal, estado) SELECT "&amp;"(SELECT id FROM cli_clientes WHERE numero_documento = '"&amp;SUBSTITUTE(TRIM(A343),"'","''")&amp;"' AND estado = 1 LIMIT 1)"&amp;", "&amp;IF(TRIM(C343&amp;"")="","NULL","'"&amp;SUBSTITUTE(TRIM(C343),"'","''")&amp;"'")&amp;", "&amp;IF(TRIM(D343&amp;"")="","NULL","'"&amp;SUBSTITUTE(TRIM(D343),"'","''")&amp;"'")&amp;", "&amp;IF(TRIM(E343&amp;"")="","NULL","'"&amp;SUBSTITUTE(TRIM(E343),"'","''")&amp;"'")&amp;", "&amp;IF(TRIM(F343&amp;"")="","NULL","(SELECT id FROM gen_departamento WHERE upper(nombre) = upper('"&amp;SUBSTITUTE(TRIM(F343),"'","''")&amp;"') AND estado = 1 LIMIT 1)")&amp;", "&amp;IF(OR(TRIM(F343&amp;"")="",TRIM(G343&amp;"")=""),"NULL","(SELECT p.id FROM gen_provincia p JOIN gen_departamento dp ON dp.id = p.id_departamento WHERE upper(p.nombre) = upper('"&amp;SUBSTITUTE(TRIM(G343),"'","''")&amp;"') AND upper(dp.nombre) = upper('"&amp;SUBSTITUTE(TRIM(F343),"'","''")&amp;"') AND p.estado = 1 LIMIT 1)")&amp;", "&amp;IF(OR(TRIM(F343&amp;"")="",TRIM(G343&amp;"")="",TRIM(H343&amp;"")=""),"NULL","(SELECT d.id FROM gen_distrito d JOIN gen_provincia p ON p.id = d.id_provincia JOIN gen_departamento dp ON dp.id = p.id_departamento WHERE upper(d.nombre) = upper('"&amp;SUBSTITUTE(TRIM(H343),"'","''")&amp;"') AND upper(p.nombre) = upper('"&amp;SUBSTITUTE(TRIM(G343),"'","''")&amp;"') AND upper(dp.nombre) = upper('"&amp;SUBSTITUTE(TRIM(F343),"'","''")&amp;"') AND d.estado = 1 LIMIT 1)")&amp;", "&amp;IF(I343&amp;""="","NULL",SUBSTITUTE(I343&amp;"",",","."))&amp;", "&amp;IF(J343&amp;""="","NULL",SUBSTITUTE(J343&amp;"",",","."))&amp;", "&amp;IF(UPPER(TRIM(K343&amp;""))="SI","TRUE","FALSE")&amp;", 1"&amp;" WHERE NOT EXISTS (SELECT 1 FROM cli_direcciones x WHERE x.id_cliente = "&amp;"(SELECT id FROM cli_clientes WHERE numero_documento = '"&amp;SUBSTITUTE(TRIM(A343),"'","''")&amp;"' AND estado = 1 LIMIT 1)"&amp;" AND upper(x.direccion) = upper("&amp;IF(TRIM(D343&amp;"")="","NULL","'"&amp;SUBSTITUTE(TRIM(D343),"'","''")&amp;"'")&amp;"));")</f>
        <v/>
      </c>
    </row>
    <row r="344" ht="15.75" customHeight="1" s="64">
      <c r="A344" s="23" t="n"/>
      <c r="B344" s="25">
        <f t="array" ref="B344">IF(A344="","",IFERROR(IF(INDEX(Clientes!$D$5:$D$549,MATCH(A344,Clientes!$C$5:$C$549,0))&lt;&gt;"",INDEX(Clientes!$D$5:$D$549,MATCH(A344,Clientes!$C$5:$C$549,0)),TRIM(INDEX(Clientes!$E$5:$E$549,MATCH(A344,Clientes!$C$5:$C$549,0))&amp;" "&amp;INDEX(Clientes!$F$5:$F$549,MATCH(A344,Clientes!$C$5:$C$549,0)))),"NO EXISTE en Clientes"))</f>
        <v/>
      </c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>
        <f>IF(AND(A344="",D344=""),"",IF(A344="","FALTA doc. cliente",IF(B344="NO EXISTE en Clientes","CLIENTE no está en hoja Clientes",IF(D344="","FALTA dirección",IF(AND(H344&lt;&gt;"",OR(F344="",G344="")),"Distrito requiere departamento y provincia",IF(AND(G344&lt;&gt;"",F344=""),"Provincia requiere departamento",IF((I344&lt;&gt;"")&lt;&gt;(J344&lt;&gt;""),"Latitud y longitud van juntas","OK")))))))</f>
        <v/>
      </c>
      <c r="M344" s="28">
        <f>IF(L344&lt;&gt;"OK","","INSERT INTO cli_direcciones (id_cliente, descripcion, direccion, referencia, id_departamento, id_provincia, id_distrito, latitud, longitud, es_principal, estado) SELECT "&amp;"(SELECT id FROM cli_clientes WHERE numero_documento = '"&amp;SUBSTITUTE(TRIM(A344),"'","''")&amp;"' AND estado = 1 LIMIT 1)"&amp;", "&amp;IF(TRIM(C344&amp;"")="","NULL","'"&amp;SUBSTITUTE(TRIM(C344),"'","''")&amp;"'")&amp;", "&amp;IF(TRIM(D344&amp;"")="","NULL","'"&amp;SUBSTITUTE(TRIM(D344),"'","''")&amp;"'")&amp;", "&amp;IF(TRIM(E344&amp;"")="","NULL","'"&amp;SUBSTITUTE(TRIM(E344),"'","''")&amp;"'")&amp;", "&amp;IF(TRIM(F344&amp;"")="","NULL","(SELECT id FROM gen_departamento WHERE upper(nombre) = upper('"&amp;SUBSTITUTE(TRIM(F344),"'","''")&amp;"') AND estado = 1 LIMIT 1)")&amp;", "&amp;IF(OR(TRIM(F344&amp;"")="",TRIM(G344&amp;"")=""),"NULL","(SELECT p.id FROM gen_provincia p JOIN gen_departamento dp ON dp.id = p.id_departamento WHERE upper(p.nombre) = upper('"&amp;SUBSTITUTE(TRIM(G344),"'","''")&amp;"') AND upper(dp.nombre) = upper('"&amp;SUBSTITUTE(TRIM(F344),"'","''")&amp;"') AND p.estado = 1 LIMIT 1)")&amp;", "&amp;IF(OR(TRIM(F344&amp;"")="",TRIM(G344&amp;"")="",TRIM(H344&amp;"")=""),"NULL","(SELECT d.id FROM gen_distrito d JOIN gen_provincia p ON p.id = d.id_provincia JOIN gen_departamento dp ON dp.id = p.id_departamento WHERE upper(d.nombre) = upper('"&amp;SUBSTITUTE(TRIM(H344),"'","''")&amp;"') AND upper(p.nombre) = upper('"&amp;SUBSTITUTE(TRIM(G344),"'","''")&amp;"') AND upper(dp.nombre) = upper('"&amp;SUBSTITUTE(TRIM(F344),"'","''")&amp;"') AND d.estado = 1 LIMIT 1)")&amp;", "&amp;IF(I344&amp;""="","NULL",SUBSTITUTE(I344&amp;"",",","."))&amp;", "&amp;IF(J344&amp;""="","NULL",SUBSTITUTE(J344&amp;"",",","."))&amp;", "&amp;IF(UPPER(TRIM(K344&amp;""))="SI","TRUE","FALSE")&amp;", 1"&amp;" WHERE NOT EXISTS (SELECT 1 FROM cli_direcciones x WHERE x.id_cliente = "&amp;"(SELECT id FROM cli_clientes WHERE numero_documento = '"&amp;SUBSTITUTE(TRIM(A344),"'","''")&amp;"' AND estado = 1 LIMIT 1)"&amp;" AND upper(x.direccion) = upper("&amp;IF(TRIM(D344&amp;"")="","NULL","'"&amp;SUBSTITUTE(TRIM(D344),"'","''")&amp;"'")&amp;"));")</f>
        <v/>
      </c>
    </row>
    <row r="345" ht="15.75" customHeight="1" s="64">
      <c r="A345" s="23" t="n"/>
      <c r="B345" s="25">
        <f t="array" ref="B345">IF(A345="","",IFERROR(IF(INDEX(Clientes!$D$5:$D$549,MATCH(A345,Clientes!$C$5:$C$549,0))&lt;&gt;"",INDEX(Clientes!$D$5:$D$549,MATCH(A345,Clientes!$C$5:$C$549,0)),TRIM(INDEX(Clientes!$E$5:$E$549,MATCH(A345,Clientes!$C$5:$C$549,0))&amp;" "&amp;INDEX(Clientes!$F$5:$F$549,MATCH(A345,Clientes!$C$5:$C$549,0)))),"NO EXISTE en Clientes"))</f>
        <v/>
      </c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>
        <f>IF(AND(A345="",D345=""),"",IF(A345="","FALTA doc. cliente",IF(B345="NO EXISTE en Clientes","CLIENTE no está en hoja Clientes",IF(D345="","FALTA dirección",IF(AND(H345&lt;&gt;"",OR(F345="",G345="")),"Distrito requiere departamento y provincia",IF(AND(G345&lt;&gt;"",F345=""),"Provincia requiere departamento",IF((I345&lt;&gt;"")&lt;&gt;(J345&lt;&gt;""),"Latitud y longitud van juntas","OK")))))))</f>
        <v/>
      </c>
      <c r="M345" s="28">
        <f>IF(L345&lt;&gt;"OK","","INSERT INTO cli_direcciones (id_cliente, descripcion, direccion, referencia, id_departamento, id_provincia, id_distrito, latitud, longitud, es_principal, estado) SELECT "&amp;"(SELECT id FROM cli_clientes WHERE numero_documento = '"&amp;SUBSTITUTE(TRIM(A345),"'","''")&amp;"' AND estado = 1 LIMIT 1)"&amp;", "&amp;IF(TRIM(C345&amp;"")="","NULL","'"&amp;SUBSTITUTE(TRIM(C345),"'","''")&amp;"'")&amp;", "&amp;IF(TRIM(D345&amp;"")="","NULL","'"&amp;SUBSTITUTE(TRIM(D345),"'","''")&amp;"'")&amp;", "&amp;IF(TRIM(E345&amp;"")="","NULL","'"&amp;SUBSTITUTE(TRIM(E345),"'","''")&amp;"'")&amp;", "&amp;IF(TRIM(F345&amp;"")="","NULL","(SELECT id FROM gen_departamento WHERE upper(nombre) = upper('"&amp;SUBSTITUTE(TRIM(F345),"'","''")&amp;"') AND estado = 1 LIMIT 1)")&amp;", "&amp;IF(OR(TRIM(F345&amp;"")="",TRIM(G345&amp;"")=""),"NULL","(SELECT p.id FROM gen_provincia p JOIN gen_departamento dp ON dp.id = p.id_departamento WHERE upper(p.nombre) = upper('"&amp;SUBSTITUTE(TRIM(G345),"'","''")&amp;"') AND upper(dp.nombre) = upper('"&amp;SUBSTITUTE(TRIM(F345),"'","''")&amp;"') AND p.estado = 1 LIMIT 1)")&amp;", "&amp;IF(OR(TRIM(F345&amp;"")="",TRIM(G345&amp;"")="",TRIM(H345&amp;"")=""),"NULL","(SELECT d.id FROM gen_distrito d JOIN gen_provincia p ON p.id = d.id_provincia JOIN gen_departamento dp ON dp.id = p.id_departamento WHERE upper(d.nombre) = upper('"&amp;SUBSTITUTE(TRIM(H345),"'","''")&amp;"') AND upper(p.nombre) = upper('"&amp;SUBSTITUTE(TRIM(G345),"'","''")&amp;"') AND upper(dp.nombre) = upper('"&amp;SUBSTITUTE(TRIM(F345),"'","''")&amp;"') AND d.estado = 1 LIMIT 1)")&amp;", "&amp;IF(I345&amp;""="","NULL",SUBSTITUTE(I345&amp;"",",","."))&amp;", "&amp;IF(J345&amp;""="","NULL",SUBSTITUTE(J345&amp;"",",","."))&amp;", "&amp;IF(UPPER(TRIM(K345&amp;""))="SI","TRUE","FALSE")&amp;", 1"&amp;" WHERE NOT EXISTS (SELECT 1 FROM cli_direcciones x WHERE x.id_cliente = "&amp;"(SELECT id FROM cli_clientes WHERE numero_documento = '"&amp;SUBSTITUTE(TRIM(A345),"'","''")&amp;"' AND estado = 1 LIMIT 1)"&amp;" AND upper(x.direccion) = upper("&amp;IF(TRIM(D345&amp;"")="","NULL","'"&amp;SUBSTITUTE(TRIM(D345),"'","''")&amp;"'")&amp;"));")</f>
        <v/>
      </c>
    </row>
    <row r="346" ht="15.75" customHeight="1" s="64">
      <c r="A346" s="23" t="n"/>
      <c r="B346" s="25">
        <f t="array" ref="B346">IF(A346="","",IFERROR(IF(INDEX(Clientes!$D$5:$D$549,MATCH(A346,Clientes!$C$5:$C$549,0))&lt;&gt;"",INDEX(Clientes!$D$5:$D$549,MATCH(A346,Clientes!$C$5:$C$549,0)),TRIM(INDEX(Clientes!$E$5:$E$549,MATCH(A346,Clientes!$C$5:$C$549,0))&amp;" "&amp;INDEX(Clientes!$F$5:$F$549,MATCH(A346,Clientes!$C$5:$C$549,0)))),"NO EXISTE en Clientes"))</f>
        <v/>
      </c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>
        <f>IF(AND(A346="",D346=""),"",IF(A346="","FALTA doc. cliente",IF(B346="NO EXISTE en Clientes","CLIENTE no está en hoja Clientes",IF(D346="","FALTA dirección",IF(AND(H346&lt;&gt;"",OR(F346="",G346="")),"Distrito requiere departamento y provincia",IF(AND(G346&lt;&gt;"",F346=""),"Provincia requiere departamento",IF((I346&lt;&gt;"")&lt;&gt;(J346&lt;&gt;""),"Latitud y longitud van juntas","OK")))))))</f>
        <v/>
      </c>
      <c r="M346" s="28">
        <f>IF(L346&lt;&gt;"OK","","INSERT INTO cli_direcciones (id_cliente, descripcion, direccion, referencia, id_departamento, id_provincia, id_distrito, latitud, longitud, es_principal, estado) SELECT "&amp;"(SELECT id FROM cli_clientes WHERE numero_documento = '"&amp;SUBSTITUTE(TRIM(A346),"'","''")&amp;"' AND estado = 1 LIMIT 1)"&amp;", "&amp;IF(TRIM(C346&amp;"")="","NULL","'"&amp;SUBSTITUTE(TRIM(C346),"'","''")&amp;"'")&amp;", "&amp;IF(TRIM(D346&amp;"")="","NULL","'"&amp;SUBSTITUTE(TRIM(D346),"'","''")&amp;"'")&amp;", "&amp;IF(TRIM(E346&amp;"")="","NULL","'"&amp;SUBSTITUTE(TRIM(E346),"'","''")&amp;"'")&amp;", "&amp;IF(TRIM(F346&amp;"")="","NULL","(SELECT id FROM gen_departamento WHERE upper(nombre) = upper('"&amp;SUBSTITUTE(TRIM(F346),"'","''")&amp;"') AND estado = 1 LIMIT 1)")&amp;", "&amp;IF(OR(TRIM(F346&amp;"")="",TRIM(G346&amp;"")=""),"NULL","(SELECT p.id FROM gen_provincia p JOIN gen_departamento dp ON dp.id = p.id_departamento WHERE upper(p.nombre) = upper('"&amp;SUBSTITUTE(TRIM(G346),"'","''")&amp;"') AND upper(dp.nombre) = upper('"&amp;SUBSTITUTE(TRIM(F346),"'","''")&amp;"') AND p.estado = 1 LIMIT 1)")&amp;", "&amp;IF(OR(TRIM(F346&amp;"")="",TRIM(G346&amp;"")="",TRIM(H346&amp;"")=""),"NULL","(SELECT d.id FROM gen_distrito d JOIN gen_provincia p ON p.id = d.id_provincia JOIN gen_departamento dp ON dp.id = p.id_departamento WHERE upper(d.nombre) = upper('"&amp;SUBSTITUTE(TRIM(H346),"'","''")&amp;"') AND upper(p.nombre) = upper('"&amp;SUBSTITUTE(TRIM(G346),"'","''")&amp;"') AND upper(dp.nombre) = upper('"&amp;SUBSTITUTE(TRIM(F346),"'","''")&amp;"') AND d.estado = 1 LIMIT 1)")&amp;", "&amp;IF(I346&amp;""="","NULL",SUBSTITUTE(I346&amp;"",",","."))&amp;", "&amp;IF(J346&amp;""="","NULL",SUBSTITUTE(J346&amp;"",",","."))&amp;", "&amp;IF(UPPER(TRIM(K346&amp;""))="SI","TRUE","FALSE")&amp;", 1"&amp;" WHERE NOT EXISTS (SELECT 1 FROM cli_direcciones x WHERE x.id_cliente = "&amp;"(SELECT id FROM cli_clientes WHERE numero_documento = '"&amp;SUBSTITUTE(TRIM(A346),"'","''")&amp;"' AND estado = 1 LIMIT 1)"&amp;" AND upper(x.direccion) = upper("&amp;IF(TRIM(D346&amp;"")="","NULL","'"&amp;SUBSTITUTE(TRIM(D346),"'","''")&amp;"'")&amp;"));")</f>
        <v/>
      </c>
    </row>
    <row r="347" ht="15.75" customHeight="1" s="64">
      <c r="A347" s="23" t="n"/>
      <c r="B347" s="25">
        <f t="array" ref="B347">IF(A347="","",IFERROR(IF(INDEX(Clientes!$D$5:$D$549,MATCH(A347,Clientes!$C$5:$C$549,0))&lt;&gt;"",INDEX(Clientes!$D$5:$D$549,MATCH(A347,Clientes!$C$5:$C$549,0)),TRIM(INDEX(Clientes!$E$5:$E$549,MATCH(A347,Clientes!$C$5:$C$549,0))&amp;" "&amp;INDEX(Clientes!$F$5:$F$549,MATCH(A347,Clientes!$C$5:$C$549,0)))),"NO EXISTE en Clientes"))</f>
        <v/>
      </c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>
        <f>IF(AND(A347="",D347=""),"",IF(A347="","FALTA doc. cliente",IF(B347="NO EXISTE en Clientes","CLIENTE no está en hoja Clientes",IF(D347="","FALTA dirección",IF(AND(H347&lt;&gt;"",OR(F347="",G347="")),"Distrito requiere departamento y provincia",IF(AND(G347&lt;&gt;"",F347=""),"Provincia requiere departamento",IF((I347&lt;&gt;"")&lt;&gt;(J347&lt;&gt;""),"Latitud y longitud van juntas","OK")))))))</f>
        <v/>
      </c>
      <c r="M347" s="28">
        <f>IF(L347&lt;&gt;"OK","","INSERT INTO cli_direcciones (id_cliente, descripcion, direccion, referencia, id_departamento, id_provincia, id_distrito, latitud, longitud, es_principal, estado) SELECT "&amp;"(SELECT id FROM cli_clientes WHERE numero_documento = '"&amp;SUBSTITUTE(TRIM(A347),"'","''")&amp;"' AND estado = 1 LIMIT 1)"&amp;", "&amp;IF(TRIM(C347&amp;"")="","NULL","'"&amp;SUBSTITUTE(TRIM(C347),"'","''")&amp;"'")&amp;", "&amp;IF(TRIM(D347&amp;"")="","NULL","'"&amp;SUBSTITUTE(TRIM(D347),"'","''")&amp;"'")&amp;", "&amp;IF(TRIM(E347&amp;"")="","NULL","'"&amp;SUBSTITUTE(TRIM(E347),"'","''")&amp;"'")&amp;", "&amp;IF(TRIM(F347&amp;"")="","NULL","(SELECT id FROM gen_departamento WHERE upper(nombre) = upper('"&amp;SUBSTITUTE(TRIM(F347),"'","''")&amp;"') AND estado = 1 LIMIT 1)")&amp;", "&amp;IF(OR(TRIM(F347&amp;"")="",TRIM(G347&amp;"")=""),"NULL","(SELECT p.id FROM gen_provincia p JOIN gen_departamento dp ON dp.id = p.id_departamento WHERE upper(p.nombre) = upper('"&amp;SUBSTITUTE(TRIM(G347),"'","''")&amp;"') AND upper(dp.nombre) = upper('"&amp;SUBSTITUTE(TRIM(F347),"'","''")&amp;"') AND p.estado = 1 LIMIT 1)")&amp;", "&amp;IF(OR(TRIM(F347&amp;"")="",TRIM(G347&amp;"")="",TRIM(H347&amp;"")=""),"NULL","(SELECT d.id FROM gen_distrito d JOIN gen_provincia p ON p.id = d.id_provincia JOIN gen_departamento dp ON dp.id = p.id_departamento WHERE upper(d.nombre) = upper('"&amp;SUBSTITUTE(TRIM(H347),"'","''")&amp;"') AND upper(p.nombre) = upper('"&amp;SUBSTITUTE(TRIM(G347),"'","''")&amp;"') AND upper(dp.nombre) = upper('"&amp;SUBSTITUTE(TRIM(F347),"'","''")&amp;"') AND d.estado = 1 LIMIT 1)")&amp;", "&amp;IF(I347&amp;""="","NULL",SUBSTITUTE(I347&amp;"",",","."))&amp;", "&amp;IF(J347&amp;""="","NULL",SUBSTITUTE(J347&amp;"",",","."))&amp;", "&amp;IF(UPPER(TRIM(K347&amp;""))="SI","TRUE","FALSE")&amp;", 1"&amp;" WHERE NOT EXISTS (SELECT 1 FROM cli_direcciones x WHERE x.id_cliente = "&amp;"(SELECT id FROM cli_clientes WHERE numero_documento = '"&amp;SUBSTITUTE(TRIM(A347),"'","''")&amp;"' AND estado = 1 LIMIT 1)"&amp;" AND upper(x.direccion) = upper("&amp;IF(TRIM(D347&amp;"")="","NULL","'"&amp;SUBSTITUTE(TRIM(D347),"'","''")&amp;"'")&amp;"));")</f>
        <v/>
      </c>
    </row>
    <row r="348" ht="15.75" customHeight="1" s="64">
      <c r="A348" s="23" t="n"/>
      <c r="B348" s="25">
        <f t="array" ref="B348">IF(A348="","",IFERROR(IF(INDEX(Clientes!$D$5:$D$549,MATCH(A348,Clientes!$C$5:$C$549,0))&lt;&gt;"",INDEX(Clientes!$D$5:$D$549,MATCH(A348,Clientes!$C$5:$C$549,0)),TRIM(INDEX(Clientes!$E$5:$E$549,MATCH(A348,Clientes!$C$5:$C$549,0))&amp;" "&amp;INDEX(Clientes!$F$5:$F$549,MATCH(A348,Clientes!$C$5:$C$549,0)))),"NO EXISTE en Clientes"))</f>
        <v/>
      </c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>
        <f>IF(AND(A348="",D348=""),"",IF(A348="","FALTA doc. cliente",IF(B348="NO EXISTE en Clientes","CLIENTE no está en hoja Clientes",IF(D348="","FALTA dirección",IF(AND(H348&lt;&gt;"",OR(F348="",G348="")),"Distrito requiere departamento y provincia",IF(AND(G348&lt;&gt;"",F348=""),"Provincia requiere departamento",IF((I348&lt;&gt;"")&lt;&gt;(J348&lt;&gt;""),"Latitud y longitud van juntas","OK")))))))</f>
        <v/>
      </c>
      <c r="M348" s="28">
        <f>IF(L348&lt;&gt;"OK","","INSERT INTO cli_direcciones (id_cliente, descripcion, direccion, referencia, id_departamento, id_provincia, id_distrito, latitud, longitud, es_principal, estado) SELECT "&amp;"(SELECT id FROM cli_clientes WHERE numero_documento = '"&amp;SUBSTITUTE(TRIM(A348),"'","''")&amp;"' AND estado = 1 LIMIT 1)"&amp;", "&amp;IF(TRIM(C348&amp;"")="","NULL","'"&amp;SUBSTITUTE(TRIM(C348),"'","''")&amp;"'")&amp;", "&amp;IF(TRIM(D348&amp;"")="","NULL","'"&amp;SUBSTITUTE(TRIM(D348),"'","''")&amp;"'")&amp;", "&amp;IF(TRIM(E348&amp;"")="","NULL","'"&amp;SUBSTITUTE(TRIM(E348),"'","''")&amp;"'")&amp;", "&amp;IF(TRIM(F348&amp;"")="","NULL","(SELECT id FROM gen_departamento WHERE upper(nombre) = upper('"&amp;SUBSTITUTE(TRIM(F348),"'","''")&amp;"') AND estado = 1 LIMIT 1)")&amp;", "&amp;IF(OR(TRIM(F348&amp;"")="",TRIM(G348&amp;"")=""),"NULL","(SELECT p.id FROM gen_provincia p JOIN gen_departamento dp ON dp.id = p.id_departamento WHERE upper(p.nombre) = upper('"&amp;SUBSTITUTE(TRIM(G348),"'","''")&amp;"') AND upper(dp.nombre) = upper('"&amp;SUBSTITUTE(TRIM(F348),"'","''")&amp;"') AND p.estado = 1 LIMIT 1)")&amp;", "&amp;IF(OR(TRIM(F348&amp;"")="",TRIM(G348&amp;"")="",TRIM(H348&amp;"")=""),"NULL","(SELECT d.id FROM gen_distrito d JOIN gen_provincia p ON p.id = d.id_provincia JOIN gen_departamento dp ON dp.id = p.id_departamento WHERE upper(d.nombre) = upper('"&amp;SUBSTITUTE(TRIM(H348),"'","''")&amp;"') AND upper(p.nombre) = upper('"&amp;SUBSTITUTE(TRIM(G348),"'","''")&amp;"') AND upper(dp.nombre) = upper('"&amp;SUBSTITUTE(TRIM(F348),"'","''")&amp;"') AND d.estado = 1 LIMIT 1)")&amp;", "&amp;IF(I348&amp;""="","NULL",SUBSTITUTE(I348&amp;"",",","."))&amp;", "&amp;IF(J348&amp;""="","NULL",SUBSTITUTE(J348&amp;"",",","."))&amp;", "&amp;IF(UPPER(TRIM(K348&amp;""))="SI","TRUE","FALSE")&amp;", 1"&amp;" WHERE NOT EXISTS (SELECT 1 FROM cli_direcciones x WHERE x.id_cliente = "&amp;"(SELECT id FROM cli_clientes WHERE numero_documento = '"&amp;SUBSTITUTE(TRIM(A348),"'","''")&amp;"' AND estado = 1 LIMIT 1)"&amp;" AND upper(x.direccion) = upper("&amp;IF(TRIM(D348&amp;"")="","NULL","'"&amp;SUBSTITUTE(TRIM(D348),"'","''")&amp;"'")&amp;"));")</f>
        <v/>
      </c>
    </row>
    <row r="349" ht="15.75" customHeight="1" s="64">
      <c r="A349" s="23" t="n"/>
      <c r="B349" s="25">
        <f t="array" ref="B349">IF(A349="","",IFERROR(IF(INDEX(Clientes!$D$5:$D$549,MATCH(A349,Clientes!$C$5:$C$549,0))&lt;&gt;"",INDEX(Clientes!$D$5:$D$549,MATCH(A349,Clientes!$C$5:$C$549,0)),TRIM(INDEX(Clientes!$E$5:$E$549,MATCH(A349,Clientes!$C$5:$C$549,0))&amp;" "&amp;INDEX(Clientes!$F$5:$F$549,MATCH(A349,Clientes!$C$5:$C$549,0)))),"NO EXISTE en Clientes"))</f>
        <v/>
      </c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>
        <f>IF(AND(A349="",D349=""),"",IF(A349="","FALTA doc. cliente",IF(B349="NO EXISTE en Clientes","CLIENTE no está en hoja Clientes",IF(D349="","FALTA dirección",IF(AND(H349&lt;&gt;"",OR(F349="",G349="")),"Distrito requiere departamento y provincia",IF(AND(G349&lt;&gt;"",F349=""),"Provincia requiere departamento",IF((I349&lt;&gt;"")&lt;&gt;(J349&lt;&gt;""),"Latitud y longitud van juntas","OK")))))))</f>
        <v/>
      </c>
      <c r="M349" s="28">
        <f>IF(L349&lt;&gt;"OK","","INSERT INTO cli_direcciones (id_cliente, descripcion, direccion, referencia, id_departamento, id_provincia, id_distrito, latitud, longitud, es_principal, estado) SELECT "&amp;"(SELECT id FROM cli_clientes WHERE numero_documento = '"&amp;SUBSTITUTE(TRIM(A349),"'","''")&amp;"' AND estado = 1 LIMIT 1)"&amp;", "&amp;IF(TRIM(C349&amp;"")="","NULL","'"&amp;SUBSTITUTE(TRIM(C349),"'","''")&amp;"'")&amp;", "&amp;IF(TRIM(D349&amp;"")="","NULL","'"&amp;SUBSTITUTE(TRIM(D349),"'","''")&amp;"'")&amp;", "&amp;IF(TRIM(E349&amp;"")="","NULL","'"&amp;SUBSTITUTE(TRIM(E349),"'","''")&amp;"'")&amp;", "&amp;IF(TRIM(F349&amp;"")="","NULL","(SELECT id FROM gen_departamento WHERE upper(nombre) = upper('"&amp;SUBSTITUTE(TRIM(F349),"'","''")&amp;"') AND estado = 1 LIMIT 1)")&amp;", "&amp;IF(OR(TRIM(F349&amp;"")="",TRIM(G349&amp;"")=""),"NULL","(SELECT p.id FROM gen_provincia p JOIN gen_departamento dp ON dp.id = p.id_departamento WHERE upper(p.nombre) = upper('"&amp;SUBSTITUTE(TRIM(G349),"'","''")&amp;"') AND upper(dp.nombre) = upper('"&amp;SUBSTITUTE(TRIM(F349),"'","''")&amp;"') AND p.estado = 1 LIMIT 1)")&amp;", "&amp;IF(OR(TRIM(F349&amp;"")="",TRIM(G349&amp;"")="",TRIM(H349&amp;"")=""),"NULL","(SELECT d.id FROM gen_distrito d JOIN gen_provincia p ON p.id = d.id_provincia JOIN gen_departamento dp ON dp.id = p.id_departamento WHERE upper(d.nombre) = upper('"&amp;SUBSTITUTE(TRIM(H349),"'","''")&amp;"') AND upper(p.nombre) = upper('"&amp;SUBSTITUTE(TRIM(G349),"'","''")&amp;"') AND upper(dp.nombre) = upper('"&amp;SUBSTITUTE(TRIM(F349),"'","''")&amp;"') AND d.estado = 1 LIMIT 1)")&amp;", "&amp;IF(I349&amp;""="","NULL",SUBSTITUTE(I349&amp;"",",","."))&amp;", "&amp;IF(J349&amp;""="","NULL",SUBSTITUTE(J349&amp;"",",","."))&amp;", "&amp;IF(UPPER(TRIM(K349&amp;""))="SI","TRUE","FALSE")&amp;", 1"&amp;" WHERE NOT EXISTS (SELECT 1 FROM cli_direcciones x WHERE x.id_cliente = "&amp;"(SELECT id FROM cli_clientes WHERE numero_documento = '"&amp;SUBSTITUTE(TRIM(A349),"'","''")&amp;"' AND estado = 1 LIMIT 1)"&amp;" AND upper(x.direccion) = upper("&amp;IF(TRIM(D349&amp;"")="","NULL","'"&amp;SUBSTITUTE(TRIM(D349),"'","''")&amp;"'")&amp;"));")</f>
        <v/>
      </c>
    </row>
    <row r="350" ht="15.75" customHeight="1" s="64">
      <c r="A350" s="23" t="n"/>
      <c r="B350" s="25">
        <f t="array" ref="B350">IF(A350="","",IFERROR(IF(INDEX(Clientes!$D$5:$D$549,MATCH(A350,Clientes!$C$5:$C$549,0))&lt;&gt;"",INDEX(Clientes!$D$5:$D$549,MATCH(A350,Clientes!$C$5:$C$549,0)),TRIM(INDEX(Clientes!$E$5:$E$549,MATCH(A350,Clientes!$C$5:$C$549,0))&amp;" "&amp;INDEX(Clientes!$F$5:$F$549,MATCH(A350,Clientes!$C$5:$C$549,0)))),"NO EXISTE en Clientes"))</f>
        <v/>
      </c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>
        <f>IF(AND(A350="",D350=""),"",IF(A350="","FALTA doc. cliente",IF(B350="NO EXISTE en Clientes","CLIENTE no está en hoja Clientes",IF(D350="","FALTA dirección",IF(AND(H350&lt;&gt;"",OR(F350="",G350="")),"Distrito requiere departamento y provincia",IF(AND(G350&lt;&gt;"",F350=""),"Provincia requiere departamento",IF((I350&lt;&gt;"")&lt;&gt;(J350&lt;&gt;""),"Latitud y longitud van juntas","OK")))))))</f>
        <v/>
      </c>
      <c r="M350" s="28">
        <f>IF(L350&lt;&gt;"OK","","INSERT INTO cli_direcciones (id_cliente, descripcion, direccion, referencia, id_departamento, id_provincia, id_distrito, latitud, longitud, es_principal, estado) SELECT "&amp;"(SELECT id FROM cli_clientes WHERE numero_documento = '"&amp;SUBSTITUTE(TRIM(A350),"'","''")&amp;"' AND estado = 1 LIMIT 1)"&amp;", "&amp;IF(TRIM(C350&amp;"")="","NULL","'"&amp;SUBSTITUTE(TRIM(C350),"'","''")&amp;"'")&amp;", "&amp;IF(TRIM(D350&amp;"")="","NULL","'"&amp;SUBSTITUTE(TRIM(D350),"'","''")&amp;"'")&amp;", "&amp;IF(TRIM(E350&amp;"")="","NULL","'"&amp;SUBSTITUTE(TRIM(E350),"'","''")&amp;"'")&amp;", "&amp;IF(TRIM(F350&amp;"")="","NULL","(SELECT id FROM gen_departamento WHERE upper(nombre) = upper('"&amp;SUBSTITUTE(TRIM(F350),"'","''")&amp;"') AND estado = 1 LIMIT 1)")&amp;", "&amp;IF(OR(TRIM(F350&amp;"")="",TRIM(G350&amp;"")=""),"NULL","(SELECT p.id FROM gen_provincia p JOIN gen_departamento dp ON dp.id = p.id_departamento WHERE upper(p.nombre) = upper('"&amp;SUBSTITUTE(TRIM(G350),"'","''")&amp;"') AND upper(dp.nombre) = upper('"&amp;SUBSTITUTE(TRIM(F350),"'","''")&amp;"') AND p.estado = 1 LIMIT 1)")&amp;", "&amp;IF(OR(TRIM(F350&amp;"")="",TRIM(G350&amp;"")="",TRIM(H350&amp;"")=""),"NULL","(SELECT d.id FROM gen_distrito d JOIN gen_provincia p ON p.id = d.id_provincia JOIN gen_departamento dp ON dp.id = p.id_departamento WHERE upper(d.nombre) = upper('"&amp;SUBSTITUTE(TRIM(H350),"'","''")&amp;"') AND upper(p.nombre) = upper('"&amp;SUBSTITUTE(TRIM(G350),"'","''")&amp;"') AND upper(dp.nombre) = upper('"&amp;SUBSTITUTE(TRIM(F350),"'","''")&amp;"') AND d.estado = 1 LIMIT 1)")&amp;", "&amp;IF(I350&amp;""="","NULL",SUBSTITUTE(I350&amp;"",",","."))&amp;", "&amp;IF(J350&amp;""="","NULL",SUBSTITUTE(J350&amp;"",",","."))&amp;", "&amp;IF(UPPER(TRIM(K350&amp;""))="SI","TRUE","FALSE")&amp;", 1"&amp;" WHERE NOT EXISTS (SELECT 1 FROM cli_direcciones x WHERE x.id_cliente = "&amp;"(SELECT id FROM cli_clientes WHERE numero_documento = '"&amp;SUBSTITUTE(TRIM(A350),"'","''")&amp;"' AND estado = 1 LIMIT 1)"&amp;" AND upper(x.direccion) = upper("&amp;IF(TRIM(D350&amp;"")="","NULL","'"&amp;SUBSTITUTE(TRIM(D350),"'","''")&amp;"'")&amp;"));")</f>
        <v/>
      </c>
    </row>
    <row r="351" ht="15.75" customHeight="1" s="64">
      <c r="A351" s="23" t="n"/>
      <c r="B351" s="25">
        <f t="array" ref="B351">IF(A351="","",IFERROR(IF(INDEX(Clientes!$D$5:$D$549,MATCH(A351,Clientes!$C$5:$C$549,0))&lt;&gt;"",INDEX(Clientes!$D$5:$D$549,MATCH(A351,Clientes!$C$5:$C$549,0)),TRIM(INDEX(Clientes!$E$5:$E$549,MATCH(A351,Clientes!$C$5:$C$549,0))&amp;" "&amp;INDEX(Clientes!$F$5:$F$549,MATCH(A351,Clientes!$C$5:$C$549,0)))),"NO EXISTE en Clientes"))</f>
        <v/>
      </c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>
        <f>IF(AND(A351="",D351=""),"",IF(A351="","FALTA doc. cliente",IF(B351="NO EXISTE en Clientes","CLIENTE no está en hoja Clientes",IF(D351="","FALTA dirección",IF(AND(H351&lt;&gt;"",OR(F351="",G351="")),"Distrito requiere departamento y provincia",IF(AND(G351&lt;&gt;"",F351=""),"Provincia requiere departamento",IF((I351&lt;&gt;"")&lt;&gt;(J351&lt;&gt;""),"Latitud y longitud van juntas","OK")))))))</f>
        <v/>
      </c>
      <c r="M351" s="28">
        <f>IF(L351&lt;&gt;"OK","","INSERT INTO cli_direcciones (id_cliente, descripcion, direccion, referencia, id_departamento, id_provincia, id_distrito, latitud, longitud, es_principal, estado) SELECT "&amp;"(SELECT id FROM cli_clientes WHERE numero_documento = '"&amp;SUBSTITUTE(TRIM(A351),"'","''")&amp;"' AND estado = 1 LIMIT 1)"&amp;", "&amp;IF(TRIM(C351&amp;"")="","NULL","'"&amp;SUBSTITUTE(TRIM(C351),"'","''")&amp;"'")&amp;", "&amp;IF(TRIM(D351&amp;"")="","NULL","'"&amp;SUBSTITUTE(TRIM(D351),"'","''")&amp;"'")&amp;", "&amp;IF(TRIM(E351&amp;"")="","NULL","'"&amp;SUBSTITUTE(TRIM(E351),"'","''")&amp;"'")&amp;", "&amp;IF(TRIM(F351&amp;"")="","NULL","(SELECT id FROM gen_departamento WHERE upper(nombre) = upper('"&amp;SUBSTITUTE(TRIM(F351),"'","''")&amp;"') AND estado = 1 LIMIT 1)")&amp;", "&amp;IF(OR(TRIM(F351&amp;"")="",TRIM(G351&amp;"")=""),"NULL","(SELECT p.id FROM gen_provincia p JOIN gen_departamento dp ON dp.id = p.id_departamento WHERE upper(p.nombre) = upper('"&amp;SUBSTITUTE(TRIM(G351),"'","''")&amp;"') AND upper(dp.nombre) = upper('"&amp;SUBSTITUTE(TRIM(F351),"'","''")&amp;"') AND p.estado = 1 LIMIT 1)")&amp;", "&amp;IF(OR(TRIM(F351&amp;"")="",TRIM(G351&amp;"")="",TRIM(H351&amp;"")=""),"NULL","(SELECT d.id FROM gen_distrito d JOIN gen_provincia p ON p.id = d.id_provincia JOIN gen_departamento dp ON dp.id = p.id_departamento WHERE upper(d.nombre) = upper('"&amp;SUBSTITUTE(TRIM(H351),"'","''")&amp;"') AND upper(p.nombre) = upper('"&amp;SUBSTITUTE(TRIM(G351),"'","''")&amp;"') AND upper(dp.nombre) = upper('"&amp;SUBSTITUTE(TRIM(F351),"'","''")&amp;"') AND d.estado = 1 LIMIT 1)")&amp;", "&amp;IF(I351&amp;""="","NULL",SUBSTITUTE(I351&amp;"",",","."))&amp;", "&amp;IF(J351&amp;""="","NULL",SUBSTITUTE(J351&amp;"",",","."))&amp;", "&amp;IF(UPPER(TRIM(K351&amp;""))="SI","TRUE","FALSE")&amp;", 1"&amp;" WHERE NOT EXISTS (SELECT 1 FROM cli_direcciones x WHERE x.id_cliente = "&amp;"(SELECT id FROM cli_clientes WHERE numero_documento = '"&amp;SUBSTITUTE(TRIM(A351),"'","''")&amp;"' AND estado = 1 LIMIT 1)"&amp;" AND upper(x.direccion) = upper("&amp;IF(TRIM(D351&amp;"")="","NULL","'"&amp;SUBSTITUTE(TRIM(D351),"'","''")&amp;"'")&amp;"));")</f>
        <v/>
      </c>
    </row>
    <row r="352" ht="15.75" customHeight="1" s="64">
      <c r="A352" s="23" t="n"/>
      <c r="B352" s="25">
        <f t="array" ref="B352">IF(A352="","",IFERROR(IF(INDEX(Clientes!$D$5:$D$549,MATCH(A352,Clientes!$C$5:$C$549,0))&lt;&gt;"",INDEX(Clientes!$D$5:$D$549,MATCH(A352,Clientes!$C$5:$C$549,0)),TRIM(INDEX(Clientes!$E$5:$E$549,MATCH(A352,Clientes!$C$5:$C$549,0))&amp;" "&amp;INDEX(Clientes!$F$5:$F$549,MATCH(A352,Clientes!$C$5:$C$549,0)))),"NO EXISTE en Clientes"))</f>
        <v/>
      </c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>
        <f>IF(AND(A352="",D352=""),"",IF(A352="","FALTA doc. cliente",IF(B352="NO EXISTE en Clientes","CLIENTE no está en hoja Clientes",IF(D352="","FALTA dirección",IF(AND(H352&lt;&gt;"",OR(F352="",G352="")),"Distrito requiere departamento y provincia",IF(AND(G352&lt;&gt;"",F352=""),"Provincia requiere departamento",IF((I352&lt;&gt;"")&lt;&gt;(J352&lt;&gt;""),"Latitud y longitud van juntas","OK")))))))</f>
        <v/>
      </c>
      <c r="M352" s="28">
        <f>IF(L352&lt;&gt;"OK","","INSERT INTO cli_direcciones (id_cliente, descripcion, direccion, referencia, id_departamento, id_provincia, id_distrito, latitud, longitud, es_principal, estado) SELECT "&amp;"(SELECT id FROM cli_clientes WHERE numero_documento = '"&amp;SUBSTITUTE(TRIM(A352),"'","''")&amp;"' AND estado = 1 LIMIT 1)"&amp;", "&amp;IF(TRIM(C352&amp;"")="","NULL","'"&amp;SUBSTITUTE(TRIM(C352),"'","''")&amp;"'")&amp;", "&amp;IF(TRIM(D352&amp;"")="","NULL","'"&amp;SUBSTITUTE(TRIM(D352),"'","''")&amp;"'")&amp;", "&amp;IF(TRIM(E352&amp;"")="","NULL","'"&amp;SUBSTITUTE(TRIM(E352),"'","''")&amp;"'")&amp;", "&amp;IF(TRIM(F352&amp;"")="","NULL","(SELECT id FROM gen_departamento WHERE upper(nombre) = upper('"&amp;SUBSTITUTE(TRIM(F352),"'","''")&amp;"') AND estado = 1 LIMIT 1)")&amp;", "&amp;IF(OR(TRIM(F352&amp;"")="",TRIM(G352&amp;"")=""),"NULL","(SELECT p.id FROM gen_provincia p JOIN gen_departamento dp ON dp.id = p.id_departamento WHERE upper(p.nombre) = upper('"&amp;SUBSTITUTE(TRIM(G352),"'","''")&amp;"') AND upper(dp.nombre) = upper('"&amp;SUBSTITUTE(TRIM(F352),"'","''")&amp;"') AND p.estado = 1 LIMIT 1)")&amp;", "&amp;IF(OR(TRIM(F352&amp;"")="",TRIM(G352&amp;"")="",TRIM(H352&amp;"")=""),"NULL","(SELECT d.id FROM gen_distrito d JOIN gen_provincia p ON p.id = d.id_provincia JOIN gen_departamento dp ON dp.id = p.id_departamento WHERE upper(d.nombre) = upper('"&amp;SUBSTITUTE(TRIM(H352),"'","''")&amp;"') AND upper(p.nombre) = upper('"&amp;SUBSTITUTE(TRIM(G352),"'","''")&amp;"') AND upper(dp.nombre) = upper('"&amp;SUBSTITUTE(TRIM(F352),"'","''")&amp;"') AND d.estado = 1 LIMIT 1)")&amp;", "&amp;IF(I352&amp;""="","NULL",SUBSTITUTE(I352&amp;"",",","."))&amp;", "&amp;IF(J352&amp;""="","NULL",SUBSTITUTE(J352&amp;"",",","."))&amp;", "&amp;IF(UPPER(TRIM(K352&amp;""))="SI","TRUE","FALSE")&amp;", 1"&amp;" WHERE NOT EXISTS (SELECT 1 FROM cli_direcciones x WHERE x.id_cliente = "&amp;"(SELECT id FROM cli_clientes WHERE numero_documento = '"&amp;SUBSTITUTE(TRIM(A352),"'","''")&amp;"' AND estado = 1 LIMIT 1)"&amp;" AND upper(x.direccion) = upper("&amp;IF(TRIM(D352&amp;"")="","NULL","'"&amp;SUBSTITUTE(TRIM(D352),"'","''")&amp;"'")&amp;"));")</f>
        <v/>
      </c>
    </row>
    <row r="353" ht="15.75" customHeight="1" s="64">
      <c r="A353" s="23" t="n"/>
      <c r="B353" s="25">
        <f t="array" ref="B353">IF(A353="","",IFERROR(IF(INDEX(Clientes!$D$5:$D$549,MATCH(A353,Clientes!$C$5:$C$549,0))&lt;&gt;"",INDEX(Clientes!$D$5:$D$549,MATCH(A353,Clientes!$C$5:$C$549,0)),TRIM(INDEX(Clientes!$E$5:$E$549,MATCH(A353,Clientes!$C$5:$C$549,0))&amp;" "&amp;INDEX(Clientes!$F$5:$F$549,MATCH(A353,Clientes!$C$5:$C$549,0)))),"NO EXISTE en Clientes"))</f>
        <v/>
      </c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>
        <f>IF(AND(A353="",D353=""),"",IF(A353="","FALTA doc. cliente",IF(B353="NO EXISTE en Clientes","CLIENTE no está en hoja Clientes",IF(D353="","FALTA dirección",IF(AND(H353&lt;&gt;"",OR(F353="",G353="")),"Distrito requiere departamento y provincia",IF(AND(G353&lt;&gt;"",F353=""),"Provincia requiere departamento",IF((I353&lt;&gt;"")&lt;&gt;(J353&lt;&gt;""),"Latitud y longitud van juntas","OK")))))))</f>
        <v/>
      </c>
      <c r="M353" s="28">
        <f>IF(L353&lt;&gt;"OK","","INSERT INTO cli_direcciones (id_cliente, descripcion, direccion, referencia, id_departamento, id_provincia, id_distrito, latitud, longitud, es_principal, estado) SELECT "&amp;"(SELECT id FROM cli_clientes WHERE numero_documento = '"&amp;SUBSTITUTE(TRIM(A353),"'","''")&amp;"' AND estado = 1 LIMIT 1)"&amp;", "&amp;IF(TRIM(C353&amp;"")="","NULL","'"&amp;SUBSTITUTE(TRIM(C353),"'","''")&amp;"'")&amp;", "&amp;IF(TRIM(D353&amp;"")="","NULL","'"&amp;SUBSTITUTE(TRIM(D353),"'","''")&amp;"'")&amp;", "&amp;IF(TRIM(E353&amp;"")="","NULL","'"&amp;SUBSTITUTE(TRIM(E353),"'","''")&amp;"'")&amp;", "&amp;IF(TRIM(F353&amp;"")="","NULL","(SELECT id FROM gen_departamento WHERE upper(nombre) = upper('"&amp;SUBSTITUTE(TRIM(F353),"'","''")&amp;"') AND estado = 1 LIMIT 1)")&amp;", "&amp;IF(OR(TRIM(F353&amp;"")="",TRIM(G353&amp;"")=""),"NULL","(SELECT p.id FROM gen_provincia p JOIN gen_departamento dp ON dp.id = p.id_departamento WHERE upper(p.nombre) = upper('"&amp;SUBSTITUTE(TRIM(G353),"'","''")&amp;"') AND upper(dp.nombre) = upper('"&amp;SUBSTITUTE(TRIM(F353),"'","''")&amp;"') AND p.estado = 1 LIMIT 1)")&amp;", "&amp;IF(OR(TRIM(F353&amp;"")="",TRIM(G353&amp;"")="",TRIM(H353&amp;"")=""),"NULL","(SELECT d.id FROM gen_distrito d JOIN gen_provincia p ON p.id = d.id_provincia JOIN gen_departamento dp ON dp.id = p.id_departamento WHERE upper(d.nombre) = upper('"&amp;SUBSTITUTE(TRIM(H353),"'","''")&amp;"') AND upper(p.nombre) = upper('"&amp;SUBSTITUTE(TRIM(G353),"'","''")&amp;"') AND upper(dp.nombre) = upper('"&amp;SUBSTITUTE(TRIM(F353),"'","''")&amp;"') AND d.estado = 1 LIMIT 1)")&amp;", "&amp;IF(I353&amp;""="","NULL",SUBSTITUTE(I353&amp;"",",","."))&amp;", "&amp;IF(J353&amp;""="","NULL",SUBSTITUTE(J353&amp;"",",","."))&amp;", "&amp;IF(UPPER(TRIM(K353&amp;""))="SI","TRUE","FALSE")&amp;", 1"&amp;" WHERE NOT EXISTS (SELECT 1 FROM cli_direcciones x WHERE x.id_cliente = "&amp;"(SELECT id FROM cli_clientes WHERE numero_documento = '"&amp;SUBSTITUTE(TRIM(A353),"'","''")&amp;"' AND estado = 1 LIMIT 1)"&amp;" AND upper(x.direccion) = upper("&amp;IF(TRIM(D353&amp;"")="","NULL","'"&amp;SUBSTITUTE(TRIM(D353),"'","''")&amp;"'")&amp;"));")</f>
        <v/>
      </c>
    </row>
    <row r="354" ht="15.75" customHeight="1" s="64">
      <c r="A354" s="23" t="n"/>
      <c r="B354" s="25">
        <f t="array" ref="B354">IF(A354="","",IFERROR(IF(INDEX(Clientes!$D$5:$D$549,MATCH(A354,Clientes!$C$5:$C$549,0))&lt;&gt;"",INDEX(Clientes!$D$5:$D$549,MATCH(A354,Clientes!$C$5:$C$549,0)),TRIM(INDEX(Clientes!$E$5:$E$549,MATCH(A354,Clientes!$C$5:$C$549,0))&amp;" "&amp;INDEX(Clientes!$F$5:$F$549,MATCH(A354,Clientes!$C$5:$C$549,0)))),"NO EXISTE en Clientes"))</f>
        <v/>
      </c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>
        <f>IF(AND(A354="",D354=""),"",IF(A354="","FALTA doc. cliente",IF(B354="NO EXISTE en Clientes","CLIENTE no está en hoja Clientes",IF(D354="","FALTA dirección",IF(AND(H354&lt;&gt;"",OR(F354="",G354="")),"Distrito requiere departamento y provincia",IF(AND(G354&lt;&gt;"",F354=""),"Provincia requiere departamento",IF((I354&lt;&gt;"")&lt;&gt;(J354&lt;&gt;""),"Latitud y longitud van juntas","OK")))))))</f>
        <v/>
      </c>
      <c r="M354" s="28">
        <f>IF(L354&lt;&gt;"OK","","INSERT INTO cli_direcciones (id_cliente, descripcion, direccion, referencia, id_departamento, id_provincia, id_distrito, latitud, longitud, es_principal, estado) SELECT "&amp;"(SELECT id FROM cli_clientes WHERE numero_documento = '"&amp;SUBSTITUTE(TRIM(A354),"'","''")&amp;"' AND estado = 1 LIMIT 1)"&amp;", "&amp;IF(TRIM(C354&amp;"")="","NULL","'"&amp;SUBSTITUTE(TRIM(C354),"'","''")&amp;"'")&amp;", "&amp;IF(TRIM(D354&amp;"")="","NULL","'"&amp;SUBSTITUTE(TRIM(D354),"'","''")&amp;"'")&amp;", "&amp;IF(TRIM(E354&amp;"")="","NULL","'"&amp;SUBSTITUTE(TRIM(E354),"'","''")&amp;"'")&amp;", "&amp;IF(TRIM(F354&amp;"")="","NULL","(SELECT id FROM gen_departamento WHERE upper(nombre) = upper('"&amp;SUBSTITUTE(TRIM(F354),"'","''")&amp;"') AND estado = 1 LIMIT 1)")&amp;", "&amp;IF(OR(TRIM(F354&amp;"")="",TRIM(G354&amp;"")=""),"NULL","(SELECT p.id FROM gen_provincia p JOIN gen_departamento dp ON dp.id = p.id_departamento WHERE upper(p.nombre) = upper('"&amp;SUBSTITUTE(TRIM(G354),"'","''")&amp;"') AND upper(dp.nombre) = upper('"&amp;SUBSTITUTE(TRIM(F354),"'","''")&amp;"') AND p.estado = 1 LIMIT 1)")&amp;", "&amp;IF(OR(TRIM(F354&amp;"")="",TRIM(G354&amp;"")="",TRIM(H354&amp;"")=""),"NULL","(SELECT d.id FROM gen_distrito d JOIN gen_provincia p ON p.id = d.id_provincia JOIN gen_departamento dp ON dp.id = p.id_departamento WHERE upper(d.nombre) = upper('"&amp;SUBSTITUTE(TRIM(H354),"'","''")&amp;"') AND upper(p.nombre) = upper('"&amp;SUBSTITUTE(TRIM(G354),"'","''")&amp;"') AND upper(dp.nombre) = upper('"&amp;SUBSTITUTE(TRIM(F354),"'","''")&amp;"') AND d.estado = 1 LIMIT 1)")&amp;", "&amp;IF(I354&amp;""="","NULL",SUBSTITUTE(I354&amp;"",",","."))&amp;", "&amp;IF(J354&amp;""="","NULL",SUBSTITUTE(J354&amp;"",",","."))&amp;", "&amp;IF(UPPER(TRIM(K354&amp;""))="SI","TRUE","FALSE")&amp;", 1"&amp;" WHERE NOT EXISTS (SELECT 1 FROM cli_direcciones x WHERE x.id_cliente = "&amp;"(SELECT id FROM cli_clientes WHERE numero_documento = '"&amp;SUBSTITUTE(TRIM(A354),"'","''")&amp;"' AND estado = 1 LIMIT 1)"&amp;" AND upper(x.direccion) = upper("&amp;IF(TRIM(D354&amp;"")="","NULL","'"&amp;SUBSTITUTE(TRIM(D354),"'","''")&amp;"'")&amp;"));")</f>
        <v/>
      </c>
    </row>
    <row r="355" ht="15.75" customHeight="1" s="64">
      <c r="A355" s="23" t="n"/>
      <c r="B355" s="25">
        <f t="array" ref="B355">IF(A355="","",IFERROR(IF(INDEX(Clientes!$D$5:$D$549,MATCH(A355,Clientes!$C$5:$C$549,0))&lt;&gt;"",INDEX(Clientes!$D$5:$D$549,MATCH(A355,Clientes!$C$5:$C$549,0)),TRIM(INDEX(Clientes!$E$5:$E$549,MATCH(A355,Clientes!$C$5:$C$549,0))&amp;" "&amp;INDEX(Clientes!$F$5:$F$549,MATCH(A355,Clientes!$C$5:$C$549,0)))),"NO EXISTE en Clientes"))</f>
        <v/>
      </c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>
        <f>IF(AND(A355="",D355=""),"",IF(A355="","FALTA doc. cliente",IF(B355="NO EXISTE en Clientes","CLIENTE no está en hoja Clientes",IF(D355="","FALTA dirección",IF(AND(H355&lt;&gt;"",OR(F355="",G355="")),"Distrito requiere departamento y provincia",IF(AND(G355&lt;&gt;"",F355=""),"Provincia requiere departamento",IF((I355&lt;&gt;"")&lt;&gt;(J355&lt;&gt;""),"Latitud y longitud van juntas","OK")))))))</f>
        <v/>
      </c>
      <c r="M355" s="28">
        <f>IF(L355&lt;&gt;"OK","","INSERT INTO cli_direcciones (id_cliente, descripcion, direccion, referencia, id_departamento, id_provincia, id_distrito, latitud, longitud, es_principal, estado) SELECT "&amp;"(SELECT id FROM cli_clientes WHERE numero_documento = '"&amp;SUBSTITUTE(TRIM(A355),"'","''")&amp;"' AND estado = 1 LIMIT 1)"&amp;", "&amp;IF(TRIM(C355&amp;"")="","NULL","'"&amp;SUBSTITUTE(TRIM(C355),"'","''")&amp;"'")&amp;", "&amp;IF(TRIM(D355&amp;"")="","NULL","'"&amp;SUBSTITUTE(TRIM(D355),"'","''")&amp;"'")&amp;", "&amp;IF(TRIM(E355&amp;"")="","NULL","'"&amp;SUBSTITUTE(TRIM(E355),"'","''")&amp;"'")&amp;", "&amp;IF(TRIM(F355&amp;"")="","NULL","(SELECT id FROM gen_departamento WHERE upper(nombre) = upper('"&amp;SUBSTITUTE(TRIM(F355),"'","''")&amp;"') AND estado = 1 LIMIT 1)")&amp;", "&amp;IF(OR(TRIM(F355&amp;"")="",TRIM(G355&amp;"")=""),"NULL","(SELECT p.id FROM gen_provincia p JOIN gen_departamento dp ON dp.id = p.id_departamento WHERE upper(p.nombre) = upper('"&amp;SUBSTITUTE(TRIM(G355),"'","''")&amp;"') AND upper(dp.nombre) = upper('"&amp;SUBSTITUTE(TRIM(F355),"'","''")&amp;"') AND p.estado = 1 LIMIT 1)")&amp;", "&amp;IF(OR(TRIM(F355&amp;"")="",TRIM(G355&amp;"")="",TRIM(H355&amp;"")=""),"NULL","(SELECT d.id FROM gen_distrito d JOIN gen_provincia p ON p.id = d.id_provincia JOIN gen_departamento dp ON dp.id = p.id_departamento WHERE upper(d.nombre) = upper('"&amp;SUBSTITUTE(TRIM(H355),"'","''")&amp;"') AND upper(p.nombre) = upper('"&amp;SUBSTITUTE(TRIM(G355),"'","''")&amp;"') AND upper(dp.nombre) = upper('"&amp;SUBSTITUTE(TRIM(F355),"'","''")&amp;"') AND d.estado = 1 LIMIT 1)")&amp;", "&amp;IF(I355&amp;""="","NULL",SUBSTITUTE(I355&amp;"",",","."))&amp;", "&amp;IF(J355&amp;""="","NULL",SUBSTITUTE(J355&amp;"",",","."))&amp;", "&amp;IF(UPPER(TRIM(K355&amp;""))="SI","TRUE","FALSE")&amp;", 1"&amp;" WHERE NOT EXISTS (SELECT 1 FROM cli_direcciones x WHERE x.id_cliente = "&amp;"(SELECT id FROM cli_clientes WHERE numero_documento = '"&amp;SUBSTITUTE(TRIM(A355),"'","''")&amp;"' AND estado = 1 LIMIT 1)"&amp;" AND upper(x.direccion) = upper("&amp;IF(TRIM(D355&amp;"")="","NULL","'"&amp;SUBSTITUTE(TRIM(D355),"'","''")&amp;"'")&amp;"));")</f>
        <v/>
      </c>
    </row>
    <row r="356" ht="15.75" customHeight="1" s="64">
      <c r="A356" s="23" t="n"/>
      <c r="B356" s="25">
        <f t="array" ref="B356">IF(A356="","",IFERROR(IF(INDEX(Clientes!$D$5:$D$549,MATCH(A356,Clientes!$C$5:$C$549,0))&lt;&gt;"",INDEX(Clientes!$D$5:$D$549,MATCH(A356,Clientes!$C$5:$C$549,0)),TRIM(INDEX(Clientes!$E$5:$E$549,MATCH(A356,Clientes!$C$5:$C$549,0))&amp;" "&amp;INDEX(Clientes!$F$5:$F$549,MATCH(A356,Clientes!$C$5:$C$549,0)))),"NO EXISTE en Clientes"))</f>
        <v/>
      </c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>
        <f>IF(AND(A356="",D356=""),"",IF(A356="","FALTA doc. cliente",IF(B356="NO EXISTE en Clientes","CLIENTE no está en hoja Clientes",IF(D356="","FALTA dirección",IF(AND(H356&lt;&gt;"",OR(F356="",G356="")),"Distrito requiere departamento y provincia",IF(AND(G356&lt;&gt;"",F356=""),"Provincia requiere departamento",IF((I356&lt;&gt;"")&lt;&gt;(J356&lt;&gt;""),"Latitud y longitud van juntas","OK")))))))</f>
        <v/>
      </c>
      <c r="M356" s="28">
        <f>IF(L356&lt;&gt;"OK","","INSERT INTO cli_direcciones (id_cliente, descripcion, direccion, referencia, id_departamento, id_provincia, id_distrito, latitud, longitud, es_principal, estado) SELECT "&amp;"(SELECT id FROM cli_clientes WHERE numero_documento = '"&amp;SUBSTITUTE(TRIM(A356),"'","''")&amp;"' AND estado = 1 LIMIT 1)"&amp;", "&amp;IF(TRIM(C356&amp;"")="","NULL","'"&amp;SUBSTITUTE(TRIM(C356),"'","''")&amp;"'")&amp;", "&amp;IF(TRIM(D356&amp;"")="","NULL","'"&amp;SUBSTITUTE(TRIM(D356),"'","''")&amp;"'")&amp;", "&amp;IF(TRIM(E356&amp;"")="","NULL","'"&amp;SUBSTITUTE(TRIM(E356),"'","''")&amp;"'")&amp;", "&amp;IF(TRIM(F356&amp;"")="","NULL","(SELECT id FROM gen_departamento WHERE upper(nombre) = upper('"&amp;SUBSTITUTE(TRIM(F356),"'","''")&amp;"') AND estado = 1 LIMIT 1)")&amp;", "&amp;IF(OR(TRIM(F356&amp;"")="",TRIM(G356&amp;"")=""),"NULL","(SELECT p.id FROM gen_provincia p JOIN gen_departamento dp ON dp.id = p.id_departamento WHERE upper(p.nombre) = upper('"&amp;SUBSTITUTE(TRIM(G356),"'","''")&amp;"') AND upper(dp.nombre) = upper('"&amp;SUBSTITUTE(TRIM(F356),"'","''")&amp;"') AND p.estado = 1 LIMIT 1)")&amp;", "&amp;IF(OR(TRIM(F356&amp;"")="",TRIM(G356&amp;"")="",TRIM(H356&amp;"")=""),"NULL","(SELECT d.id FROM gen_distrito d JOIN gen_provincia p ON p.id = d.id_provincia JOIN gen_departamento dp ON dp.id = p.id_departamento WHERE upper(d.nombre) = upper('"&amp;SUBSTITUTE(TRIM(H356),"'","''")&amp;"') AND upper(p.nombre) = upper('"&amp;SUBSTITUTE(TRIM(G356),"'","''")&amp;"') AND upper(dp.nombre) = upper('"&amp;SUBSTITUTE(TRIM(F356),"'","''")&amp;"') AND d.estado = 1 LIMIT 1)")&amp;", "&amp;IF(I356&amp;""="","NULL",SUBSTITUTE(I356&amp;"",",","."))&amp;", "&amp;IF(J356&amp;""="","NULL",SUBSTITUTE(J356&amp;"",",","."))&amp;", "&amp;IF(UPPER(TRIM(K356&amp;""))="SI","TRUE","FALSE")&amp;", 1"&amp;" WHERE NOT EXISTS (SELECT 1 FROM cli_direcciones x WHERE x.id_cliente = "&amp;"(SELECT id FROM cli_clientes WHERE numero_documento = '"&amp;SUBSTITUTE(TRIM(A356),"'","''")&amp;"' AND estado = 1 LIMIT 1)"&amp;" AND upper(x.direccion) = upper("&amp;IF(TRIM(D356&amp;"")="","NULL","'"&amp;SUBSTITUTE(TRIM(D356),"'","''")&amp;"'")&amp;"));")</f>
        <v/>
      </c>
    </row>
    <row r="357" ht="15.75" customHeight="1" s="64">
      <c r="A357" s="23" t="n"/>
      <c r="B357" s="25">
        <f t="array" ref="B357">IF(A357="","",IFERROR(IF(INDEX(Clientes!$D$5:$D$549,MATCH(A357,Clientes!$C$5:$C$549,0))&lt;&gt;"",INDEX(Clientes!$D$5:$D$549,MATCH(A357,Clientes!$C$5:$C$549,0)),TRIM(INDEX(Clientes!$E$5:$E$549,MATCH(A357,Clientes!$C$5:$C$549,0))&amp;" "&amp;INDEX(Clientes!$F$5:$F$549,MATCH(A357,Clientes!$C$5:$C$549,0)))),"NO EXISTE en Clientes"))</f>
        <v/>
      </c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>
        <f>IF(AND(A357="",D357=""),"",IF(A357="","FALTA doc. cliente",IF(B357="NO EXISTE en Clientes","CLIENTE no está en hoja Clientes",IF(D357="","FALTA dirección",IF(AND(H357&lt;&gt;"",OR(F357="",G357="")),"Distrito requiere departamento y provincia",IF(AND(G357&lt;&gt;"",F357=""),"Provincia requiere departamento",IF((I357&lt;&gt;"")&lt;&gt;(J357&lt;&gt;""),"Latitud y longitud van juntas","OK")))))))</f>
        <v/>
      </c>
      <c r="M357" s="28">
        <f>IF(L357&lt;&gt;"OK","","INSERT INTO cli_direcciones (id_cliente, descripcion, direccion, referencia, id_departamento, id_provincia, id_distrito, latitud, longitud, es_principal, estado) SELECT "&amp;"(SELECT id FROM cli_clientes WHERE numero_documento = '"&amp;SUBSTITUTE(TRIM(A357),"'","''")&amp;"' AND estado = 1 LIMIT 1)"&amp;", "&amp;IF(TRIM(C357&amp;"")="","NULL","'"&amp;SUBSTITUTE(TRIM(C357),"'","''")&amp;"'")&amp;", "&amp;IF(TRIM(D357&amp;"")="","NULL","'"&amp;SUBSTITUTE(TRIM(D357),"'","''")&amp;"'")&amp;", "&amp;IF(TRIM(E357&amp;"")="","NULL","'"&amp;SUBSTITUTE(TRIM(E357),"'","''")&amp;"'")&amp;", "&amp;IF(TRIM(F357&amp;"")="","NULL","(SELECT id FROM gen_departamento WHERE upper(nombre) = upper('"&amp;SUBSTITUTE(TRIM(F357),"'","''")&amp;"') AND estado = 1 LIMIT 1)")&amp;", "&amp;IF(OR(TRIM(F357&amp;"")="",TRIM(G357&amp;"")=""),"NULL","(SELECT p.id FROM gen_provincia p JOIN gen_departamento dp ON dp.id = p.id_departamento WHERE upper(p.nombre) = upper('"&amp;SUBSTITUTE(TRIM(G357),"'","''")&amp;"') AND upper(dp.nombre) = upper('"&amp;SUBSTITUTE(TRIM(F357),"'","''")&amp;"') AND p.estado = 1 LIMIT 1)")&amp;", "&amp;IF(OR(TRIM(F357&amp;"")="",TRIM(G357&amp;"")="",TRIM(H357&amp;"")=""),"NULL","(SELECT d.id FROM gen_distrito d JOIN gen_provincia p ON p.id = d.id_provincia JOIN gen_departamento dp ON dp.id = p.id_departamento WHERE upper(d.nombre) = upper('"&amp;SUBSTITUTE(TRIM(H357),"'","''")&amp;"') AND upper(p.nombre) = upper('"&amp;SUBSTITUTE(TRIM(G357),"'","''")&amp;"') AND upper(dp.nombre) = upper('"&amp;SUBSTITUTE(TRIM(F357),"'","''")&amp;"') AND d.estado = 1 LIMIT 1)")&amp;", "&amp;IF(I357&amp;""="","NULL",SUBSTITUTE(I357&amp;"",",","."))&amp;", "&amp;IF(J357&amp;""="","NULL",SUBSTITUTE(J357&amp;"",",","."))&amp;", "&amp;IF(UPPER(TRIM(K357&amp;""))="SI","TRUE","FALSE")&amp;", 1"&amp;" WHERE NOT EXISTS (SELECT 1 FROM cli_direcciones x WHERE x.id_cliente = "&amp;"(SELECT id FROM cli_clientes WHERE numero_documento = '"&amp;SUBSTITUTE(TRIM(A357),"'","''")&amp;"' AND estado = 1 LIMIT 1)"&amp;" AND upper(x.direccion) = upper("&amp;IF(TRIM(D357&amp;"")="","NULL","'"&amp;SUBSTITUTE(TRIM(D357),"'","''")&amp;"'")&amp;"));")</f>
        <v/>
      </c>
    </row>
    <row r="358" ht="15.75" customHeight="1" s="64">
      <c r="A358" s="23" t="n"/>
      <c r="B358" s="25">
        <f t="array" ref="B358">IF(A358="","",IFERROR(IF(INDEX(Clientes!$D$5:$D$549,MATCH(A358,Clientes!$C$5:$C$549,0))&lt;&gt;"",INDEX(Clientes!$D$5:$D$549,MATCH(A358,Clientes!$C$5:$C$549,0)),TRIM(INDEX(Clientes!$E$5:$E$549,MATCH(A358,Clientes!$C$5:$C$549,0))&amp;" "&amp;INDEX(Clientes!$F$5:$F$549,MATCH(A358,Clientes!$C$5:$C$549,0)))),"NO EXISTE en Clientes"))</f>
        <v/>
      </c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>
        <f>IF(AND(A358="",D358=""),"",IF(A358="","FALTA doc. cliente",IF(B358="NO EXISTE en Clientes","CLIENTE no está en hoja Clientes",IF(D358="","FALTA dirección",IF(AND(H358&lt;&gt;"",OR(F358="",G358="")),"Distrito requiere departamento y provincia",IF(AND(G358&lt;&gt;"",F358=""),"Provincia requiere departamento",IF((I358&lt;&gt;"")&lt;&gt;(J358&lt;&gt;""),"Latitud y longitud van juntas","OK")))))))</f>
        <v/>
      </c>
      <c r="M358" s="28">
        <f>IF(L358&lt;&gt;"OK","","INSERT INTO cli_direcciones (id_cliente, descripcion, direccion, referencia, id_departamento, id_provincia, id_distrito, latitud, longitud, es_principal, estado) SELECT "&amp;"(SELECT id FROM cli_clientes WHERE numero_documento = '"&amp;SUBSTITUTE(TRIM(A358),"'","''")&amp;"' AND estado = 1 LIMIT 1)"&amp;", "&amp;IF(TRIM(C358&amp;"")="","NULL","'"&amp;SUBSTITUTE(TRIM(C358),"'","''")&amp;"'")&amp;", "&amp;IF(TRIM(D358&amp;"")="","NULL","'"&amp;SUBSTITUTE(TRIM(D358),"'","''")&amp;"'")&amp;", "&amp;IF(TRIM(E358&amp;"")="","NULL","'"&amp;SUBSTITUTE(TRIM(E358),"'","''")&amp;"'")&amp;", "&amp;IF(TRIM(F358&amp;"")="","NULL","(SELECT id FROM gen_departamento WHERE upper(nombre) = upper('"&amp;SUBSTITUTE(TRIM(F358),"'","''")&amp;"') AND estado = 1 LIMIT 1)")&amp;", "&amp;IF(OR(TRIM(F358&amp;"")="",TRIM(G358&amp;"")=""),"NULL","(SELECT p.id FROM gen_provincia p JOIN gen_departamento dp ON dp.id = p.id_departamento WHERE upper(p.nombre) = upper('"&amp;SUBSTITUTE(TRIM(G358),"'","''")&amp;"') AND upper(dp.nombre) = upper('"&amp;SUBSTITUTE(TRIM(F358),"'","''")&amp;"') AND p.estado = 1 LIMIT 1)")&amp;", "&amp;IF(OR(TRIM(F358&amp;"")="",TRIM(G358&amp;"")="",TRIM(H358&amp;"")=""),"NULL","(SELECT d.id FROM gen_distrito d JOIN gen_provincia p ON p.id = d.id_provincia JOIN gen_departamento dp ON dp.id = p.id_departamento WHERE upper(d.nombre) = upper('"&amp;SUBSTITUTE(TRIM(H358),"'","''")&amp;"') AND upper(p.nombre) = upper('"&amp;SUBSTITUTE(TRIM(G358),"'","''")&amp;"') AND upper(dp.nombre) = upper('"&amp;SUBSTITUTE(TRIM(F358),"'","''")&amp;"') AND d.estado = 1 LIMIT 1)")&amp;", "&amp;IF(I358&amp;""="","NULL",SUBSTITUTE(I358&amp;"",",","."))&amp;", "&amp;IF(J358&amp;""="","NULL",SUBSTITUTE(J358&amp;"",",","."))&amp;", "&amp;IF(UPPER(TRIM(K358&amp;""))="SI","TRUE","FALSE")&amp;", 1"&amp;" WHERE NOT EXISTS (SELECT 1 FROM cli_direcciones x WHERE x.id_cliente = "&amp;"(SELECT id FROM cli_clientes WHERE numero_documento = '"&amp;SUBSTITUTE(TRIM(A358),"'","''")&amp;"' AND estado = 1 LIMIT 1)"&amp;" AND upper(x.direccion) = upper("&amp;IF(TRIM(D358&amp;"")="","NULL","'"&amp;SUBSTITUTE(TRIM(D358),"'","''")&amp;"'")&amp;"));")</f>
        <v/>
      </c>
    </row>
    <row r="359" ht="15.75" customHeight="1" s="64">
      <c r="A359" s="23" t="n"/>
      <c r="B359" s="25">
        <f t="array" ref="B359">IF(A359="","",IFERROR(IF(INDEX(Clientes!$D$5:$D$549,MATCH(A359,Clientes!$C$5:$C$549,0))&lt;&gt;"",INDEX(Clientes!$D$5:$D$549,MATCH(A359,Clientes!$C$5:$C$549,0)),TRIM(INDEX(Clientes!$E$5:$E$549,MATCH(A359,Clientes!$C$5:$C$549,0))&amp;" "&amp;INDEX(Clientes!$F$5:$F$549,MATCH(A359,Clientes!$C$5:$C$549,0)))),"NO EXISTE en Clientes"))</f>
        <v/>
      </c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>
        <f>IF(AND(A359="",D359=""),"",IF(A359="","FALTA doc. cliente",IF(B359="NO EXISTE en Clientes","CLIENTE no está en hoja Clientes",IF(D359="","FALTA dirección",IF(AND(H359&lt;&gt;"",OR(F359="",G359="")),"Distrito requiere departamento y provincia",IF(AND(G359&lt;&gt;"",F359=""),"Provincia requiere departamento",IF((I359&lt;&gt;"")&lt;&gt;(J359&lt;&gt;""),"Latitud y longitud van juntas","OK")))))))</f>
        <v/>
      </c>
      <c r="M359" s="28">
        <f>IF(L359&lt;&gt;"OK","","INSERT INTO cli_direcciones (id_cliente, descripcion, direccion, referencia, id_departamento, id_provincia, id_distrito, latitud, longitud, es_principal, estado) SELECT "&amp;"(SELECT id FROM cli_clientes WHERE numero_documento = '"&amp;SUBSTITUTE(TRIM(A359),"'","''")&amp;"' AND estado = 1 LIMIT 1)"&amp;", "&amp;IF(TRIM(C359&amp;"")="","NULL","'"&amp;SUBSTITUTE(TRIM(C359),"'","''")&amp;"'")&amp;", "&amp;IF(TRIM(D359&amp;"")="","NULL","'"&amp;SUBSTITUTE(TRIM(D359),"'","''")&amp;"'")&amp;", "&amp;IF(TRIM(E359&amp;"")="","NULL","'"&amp;SUBSTITUTE(TRIM(E359),"'","''")&amp;"'")&amp;", "&amp;IF(TRIM(F359&amp;"")="","NULL","(SELECT id FROM gen_departamento WHERE upper(nombre) = upper('"&amp;SUBSTITUTE(TRIM(F359),"'","''")&amp;"') AND estado = 1 LIMIT 1)")&amp;", "&amp;IF(OR(TRIM(F359&amp;"")="",TRIM(G359&amp;"")=""),"NULL","(SELECT p.id FROM gen_provincia p JOIN gen_departamento dp ON dp.id = p.id_departamento WHERE upper(p.nombre) = upper('"&amp;SUBSTITUTE(TRIM(G359),"'","''")&amp;"') AND upper(dp.nombre) = upper('"&amp;SUBSTITUTE(TRIM(F359),"'","''")&amp;"') AND p.estado = 1 LIMIT 1)")&amp;", "&amp;IF(OR(TRIM(F359&amp;"")="",TRIM(G359&amp;"")="",TRIM(H359&amp;"")=""),"NULL","(SELECT d.id FROM gen_distrito d JOIN gen_provincia p ON p.id = d.id_provincia JOIN gen_departamento dp ON dp.id = p.id_departamento WHERE upper(d.nombre) = upper('"&amp;SUBSTITUTE(TRIM(H359),"'","''")&amp;"') AND upper(p.nombre) = upper('"&amp;SUBSTITUTE(TRIM(G359),"'","''")&amp;"') AND upper(dp.nombre) = upper('"&amp;SUBSTITUTE(TRIM(F359),"'","''")&amp;"') AND d.estado = 1 LIMIT 1)")&amp;", "&amp;IF(I359&amp;""="","NULL",SUBSTITUTE(I359&amp;"",",","."))&amp;", "&amp;IF(J359&amp;""="","NULL",SUBSTITUTE(J359&amp;"",",","."))&amp;", "&amp;IF(UPPER(TRIM(K359&amp;""))="SI","TRUE","FALSE")&amp;", 1"&amp;" WHERE NOT EXISTS (SELECT 1 FROM cli_direcciones x WHERE x.id_cliente = "&amp;"(SELECT id FROM cli_clientes WHERE numero_documento = '"&amp;SUBSTITUTE(TRIM(A359),"'","''")&amp;"' AND estado = 1 LIMIT 1)"&amp;" AND upper(x.direccion) = upper("&amp;IF(TRIM(D359&amp;"")="","NULL","'"&amp;SUBSTITUTE(TRIM(D359),"'","''")&amp;"'")&amp;"));")</f>
        <v/>
      </c>
    </row>
    <row r="360" ht="15.75" customHeight="1" s="64">
      <c r="A360" s="23" t="n"/>
      <c r="B360" s="25">
        <f t="array" ref="B360">IF(A360="","",IFERROR(IF(INDEX(Clientes!$D$5:$D$549,MATCH(A360,Clientes!$C$5:$C$549,0))&lt;&gt;"",INDEX(Clientes!$D$5:$D$549,MATCH(A360,Clientes!$C$5:$C$549,0)),TRIM(INDEX(Clientes!$E$5:$E$549,MATCH(A360,Clientes!$C$5:$C$549,0))&amp;" "&amp;INDEX(Clientes!$F$5:$F$549,MATCH(A360,Clientes!$C$5:$C$549,0)))),"NO EXISTE en Clientes"))</f>
        <v/>
      </c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>
        <f>IF(AND(A360="",D360=""),"",IF(A360="","FALTA doc. cliente",IF(B360="NO EXISTE en Clientes","CLIENTE no está en hoja Clientes",IF(D360="","FALTA dirección",IF(AND(H360&lt;&gt;"",OR(F360="",G360="")),"Distrito requiere departamento y provincia",IF(AND(G360&lt;&gt;"",F360=""),"Provincia requiere departamento",IF((I360&lt;&gt;"")&lt;&gt;(J360&lt;&gt;""),"Latitud y longitud van juntas","OK")))))))</f>
        <v/>
      </c>
      <c r="M360" s="28">
        <f>IF(L360&lt;&gt;"OK","","INSERT INTO cli_direcciones (id_cliente, descripcion, direccion, referencia, id_departamento, id_provincia, id_distrito, latitud, longitud, es_principal, estado) SELECT "&amp;"(SELECT id FROM cli_clientes WHERE numero_documento = '"&amp;SUBSTITUTE(TRIM(A360),"'","''")&amp;"' AND estado = 1 LIMIT 1)"&amp;", "&amp;IF(TRIM(C360&amp;"")="","NULL","'"&amp;SUBSTITUTE(TRIM(C360),"'","''")&amp;"'")&amp;", "&amp;IF(TRIM(D360&amp;"")="","NULL","'"&amp;SUBSTITUTE(TRIM(D360),"'","''")&amp;"'")&amp;", "&amp;IF(TRIM(E360&amp;"")="","NULL","'"&amp;SUBSTITUTE(TRIM(E360),"'","''")&amp;"'")&amp;", "&amp;IF(TRIM(F360&amp;"")="","NULL","(SELECT id FROM gen_departamento WHERE upper(nombre) = upper('"&amp;SUBSTITUTE(TRIM(F360),"'","''")&amp;"') AND estado = 1 LIMIT 1)")&amp;", "&amp;IF(OR(TRIM(F360&amp;"")="",TRIM(G360&amp;"")=""),"NULL","(SELECT p.id FROM gen_provincia p JOIN gen_departamento dp ON dp.id = p.id_departamento WHERE upper(p.nombre) = upper('"&amp;SUBSTITUTE(TRIM(G360),"'","''")&amp;"') AND upper(dp.nombre) = upper('"&amp;SUBSTITUTE(TRIM(F360),"'","''")&amp;"') AND p.estado = 1 LIMIT 1)")&amp;", "&amp;IF(OR(TRIM(F360&amp;"")="",TRIM(G360&amp;"")="",TRIM(H360&amp;"")=""),"NULL","(SELECT d.id FROM gen_distrito d JOIN gen_provincia p ON p.id = d.id_provincia JOIN gen_departamento dp ON dp.id = p.id_departamento WHERE upper(d.nombre) = upper('"&amp;SUBSTITUTE(TRIM(H360),"'","''")&amp;"') AND upper(p.nombre) = upper('"&amp;SUBSTITUTE(TRIM(G360),"'","''")&amp;"') AND upper(dp.nombre) = upper('"&amp;SUBSTITUTE(TRIM(F360),"'","''")&amp;"') AND d.estado = 1 LIMIT 1)")&amp;", "&amp;IF(I360&amp;""="","NULL",SUBSTITUTE(I360&amp;"",",","."))&amp;", "&amp;IF(J360&amp;""="","NULL",SUBSTITUTE(J360&amp;"",",","."))&amp;", "&amp;IF(UPPER(TRIM(K360&amp;""))="SI","TRUE","FALSE")&amp;", 1"&amp;" WHERE NOT EXISTS (SELECT 1 FROM cli_direcciones x WHERE x.id_cliente = "&amp;"(SELECT id FROM cli_clientes WHERE numero_documento = '"&amp;SUBSTITUTE(TRIM(A360),"'","''")&amp;"' AND estado = 1 LIMIT 1)"&amp;" AND upper(x.direccion) = upper("&amp;IF(TRIM(D360&amp;"")="","NULL","'"&amp;SUBSTITUTE(TRIM(D360),"'","''")&amp;"'")&amp;"));")</f>
        <v/>
      </c>
    </row>
    <row r="361" ht="15.75" customHeight="1" s="64">
      <c r="A361" s="23" t="n"/>
      <c r="B361" s="25">
        <f t="array" ref="B361">IF(A361="","",IFERROR(IF(INDEX(Clientes!$D$5:$D$549,MATCH(A361,Clientes!$C$5:$C$549,0))&lt;&gt;"",INDEX(Clientes!$D$5:$D$549,MATCH(A361,Clientes!$C$5:$C$549,0)),TRIM(INDEX(Clientes!$E$5:$E$549,MATCH(A361,Clientes!$C$5:$C$549,0))&amp;" "&amp;INDEX(Clientes!$F$5:$F$549,MATCH(A361,Clientes!$C$5:$C$549,0)))),"NO EXISTE en Clientes"))</f>
        <v/>
      </c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>
        <f>IF(AND(A361="",D361=""),"",IF(A361="","FALTA doc. cliente",IF(B361="NO EXISTE en Clientes","CLIENTE no está en hoja Clientes",IF(D361="","FALTA dirección",IF(AND(H361&lt;&gt;"",OR(F361="",G361="")),"Distrito requiere departamento y provincia",IF(AND(G361&lt;&gt;"",F361=""),"Provincia requiere departamento",IF((I361&lt;&gt;"")&lt;&gt;(J361&lt;&gt;""),"Latitud y longitud van juntas","OK")))))))</f>
        <v/>
      </c>
      <c r="M361" s="28">
        <f>IF(L361&lt;&gt;"OK","","INSERT INTO cli_direcciones (id_cliente, descripcion, direccion, referencia, id_departamento, id_provincia, id_distrito, latitud, longitud, es_principal, estado) SELECT "&amp;"(SELECT id FROM cli_clientes WHERE numero_documento = '"&amp;SUBSTITUTE(TRIM(A361),"'","''")&amp;"' AND estado = 1 LIMIT 1)"&amp;", "&amp;IF(TRIM(C361&amp;"")="","NULL","'"&amp;SUBSTITUTE(TRIM(C361),"'","''")&amp;"'")&amp;", "&amp;IF(TRIM(D361&amp;"")="","NULL","'"&amp;SUBSTITUTE(TRIM(D361),"'","''")&amp;"'")&amp;", "&amp;IF(TRIM(E361&amp;"")="","NULL","'"&amp;SUBSTITUTE(TRIM(E361),"'","''")&amp;"'")&amp;", "&amp;IF(TRIM(F361&amp;"")="","NULL","(SELECT id FROM gen_departamento WHERE upper(nombre) = upper('"&amp;SUBSTITUTE(TRIM(F361),"'","''")&amp;"') AND estado = 1 LIMIT 1)")&amp;", "&amp;IF(OR(TRIM(F361&amp;"")="",TRIM(G361&amp;"")=""),"NULL","(SELECT p.id FROM gen_provincia p JOIN gen_departamento dp ON dp.id = p.id_departamento WHERE upper(p.nombre) = upper('"&amp;SUBSTITUTE(TRIM(G361),"'","''")&amp;"') AND upper(dp.nombre) = upper('"&amp;SUBSTITUTE(TRIM(F361),"'","''")&amp;"') AND p.estado = 1 LIMIT 1)")&amp;", "&amp;IF(OR(TRIM(F361&amp;"")="",TRIM(G361&amp;"")="",TRIM(H361&amp;"")=""),"NULL","(SELECT d.id FROM gen_distrito d JOIN gen_provincia p ON p.id = d.id_provincia JOIN gen_departamento dp ON dp.id = p.id_departamento WHERE upper(d.nombre) = upper('"&amp;SUBSTITUTE(TRIM(H361),"'","''")&amp;"') AND upper(p.nombre) = upper('"&amp;SUBSTITUTE(TRIM(G361),"'","''")&amp;"') AND upper(dp.nombre) = upper('"&amp;SUBSTITUTE(TRIM(F361),"'","''")&amp;"') AND d.estado = 1 LIMIT 1)")&amp;", "&amp;IF(I361&amp;""="","NULL",SUBSTITUTE(I361&amp;"",",","."))&amp;", "&amp;IF(J361&amp;""="","NULL",SUBSTITUTE(J361&amp;"",",","."))&amp;", "&amp;IF(UPPER(TRIM(K361&amp;""))="SI","TRUE","FALSE")&amp;", 1"&amp;" WHERE NOT EXISTS (SELECT 1 FROM cli_direcciones x WHERE x.id_cliente = "&amp;"(SELECT id FROM cli_clientes WHERE numero_documento = '"&amp;SUBSTITUTE(TRIM(A361),"'","''")&amp;"' AND estado = 1 LIMIT 1)"&amp;" AND upper(x.direccion) = upper("&amp;IF(TRIM(D361&amp;"")="","NULL","'"&amp;SUBSTITUTE(TRIM(D361),"'","''")&amp;"'")&amp;"));")</f>
        <v/>
      </c>
    </row>
    <row r="362" ht="15.75" customHeight="1" s="64">
      <c r="A362" s="23" t="n"/>
      <c r="B362" s="25">
        <f t="array" ref="B362">IF(A362="","",IFERROR(IF(INDEX(Clientes!$D$5:$D$549,MATCH(A362,Clientes!$C$5:$C$549,0))&lt;&gt;"",INDEX(Clientes!$D$5:$D$549,MATCH(A362,Clientes!$C$5:$C$549,0)),TRIM(INDEX(Clientes!$E$5:$E$549,MATCH(A362,Clientes!$C$5:$C$549,0))&amp;" "&amp;INDEX(Clientes!$F$5:$F$549,MATCH(A362,Clientes!$C$5:$C$549,0)))),"NO EXISTE en Clientes"))</f>
        <v/>
      </c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>
        <f>IF(AND(A362="",D362=""),"",IF(A362="","FALTA doc. cliente",IF(B362="NO EXISTE en Clientes","CLIENTE no está en hoja Clientes",IF(D362="","FALTA dirección",IF(AND(H362&lt;&gt;"",OR(F362="",G362="")),"Distrito requiere departamento y provincia",IF(AND(G362&lt;&gt;"",F362=""),"Provincia requiere departamento",IF((I362&lt;&gt;"")&lt;&gt;(J362&lt;&gt;""),"Latitud y longitud van juntas","OK")))))))</f>
        <v/>
      </c>
      <c r="M362" s="28">
        <f>IF(L362&lt;&gt;"OK","","INSERT INTO cli_direcciones (id_cliente, descripcion, direccion, referencia, id_departamento, id_provincia, id_distrito, latitud, longitud, es_principal, estado) SELECT "&amp;"(SELECT id FROM cli_clientes WHERE numero_documento = '"&amp;SUBSTITUTE(TRIM(A362),"'","''")&amp;"' AND estado = 1 LIMIT 1)"&amp;", "&amp;IF(TRIM(C362&amp;"")="","NULL","'"&amp;SUBSTITUTE(TRIM(C362),"'","''")&amp;"'")&amp;", "&amp;IF(TRIM(D362&amp;"")="","NULL","'"&amp;SUBSTITUTE(TRIM(D362),"'","''")&amp;"'")&amp;", "&amp;IF(TRIM(E362&amp;"")="","NULL","'"&amp;SUBSTITUTE(TRIM(E362),"'","''")&amp;"'")&amp;", "&amp;IF(TRIM(F362&amp;"")="","NULL","(SELECT id FROM gen_departamento WHERE upper(nombre) = upper('"&amp;SUBSTITUTE(TRIM(F362),"'","''")&amp;"') AND estado = 1 LIMIT 1)")&amp;", "&amp;IF(OR(TRIM(F362&amp;"")="",TRIM(G362&amp;"")=""),"NULL","(SELECT p.id FROM gen_provincia p JOIN gen_departamento dp ON dp.id = p.id_departamento WHERE upper(p.nombre) = upper('"&amp;SUBSTITUTE(TRIM(G362),"'","''")&amp;"') AND upper(dp.nombre) = upper('"&amp;SUBSTITUTE(TRIM(F362),"'","''")&amp;"') AND p.estado = 1 LIMIT 1)")&amp;", "&amp;IF(OR(TRIM(F362&amp;"")="",TRIM(G362&amp;"")="",TRIM(H362&amp;"")=""),"NULL","(SELECT d.id FROM gen_distrito d JOIN gen_provincia p ON p.id = d.id_provincia JOIN gen_departamento dp ON dp.id = p.id_departamento WHERE upper(d.nombre) = upper('"&amp;SUBSTITUTE(TRIM(H362),"'","''")&amp;"') AND upper(p.nombre) = upper('"&amp;SUBSTITUTE(TRIM(G362),"'","''")&amp;"') AND upper(dp.nombre) = upper('"&amp;SUBSTITUTE(TRIM(F362),"'","''")&amp;"') AND d.estado = 1 LIMIT 1)")&amp;", "&amp;IF(I362&amp;""="","NULL",SUBSTITUTE(I362&amp;"",",","."))&amp;", "&amp;IF(J362&amp;""="","NULL",SUBSTITUTE(J362&amp;"",",","."))&amp;", "&amp;IF(UPPER(TRIM(K362&amp;""))="SI","TRUE","FALSE")&amp;", 1"&amp;" WHERE NOT EXISTS (SELECT 1 FROM cli_direcciones x WHERE x.id_cliente = "&amp;"(SELECT id FROM cli_clientes WHERE numero_documento = '"&amp;SUBSTITUTE(TRIM(A362),"'","''")&amp;"' AND estado = 1 LIMIT 1)"&amp;" AND upper(x.direccion) = upper("&amp;IF(TRIM(D362&amp;"")="","NULL","'"&amp;SUBSTITUTE(TRIM(D362),"'","''")&amp;"'")&amp;"));")</f>
        <v/>
      </c>
    </row>
    <row r="363" ht="15.75" customHeight="1" s="64">
      <c r="A363" s="23" t="n"/>
      <c r="B363" s="25">
        <f t="array" ref="B363">IF(A363="","",IFERROR(IF(INDEX(Clientes!$D$5:$D$549,MATCH(A363,Clientes!$C$5:$C$549,0))&lt;&gt;"",INDEX(Clientes!$D$5:$D$549,MATCH(A363,Clientes!$C$5:$C$549,0)),TRIM(INDEX(Clientes!$E$5:$E$549,MATCH(A363,Clientes!$C$5:$C$549,0))&amp;" "&amp;INDEX(Clientes!$F$5:$F$549,MATCH(A363,Clientes!$C$5:$C$549,0)))),"NO EXISTE en Clientes"))</f>
        <v/>
      </c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>
        <f>IF(AND(A363="",D363=""),"",IF(A363="","FALTA doc. cliente",IF(B363="NO EXISTE en Clientes","CLIENTE no está en hoja Clientes",IF(D363="","FALTA dirección",IF(AND(H363&lt;&gt;"",OR(F363="",G363="")),"Distrito requiere departamento y provincia",IF(AND(G363&lt;&gt;"",F363=""),"Provincia requiere departamento",IF((I363&lt;&gt;"")&lt;&gt;(J363&lt;&gt;""),"Latitud y longitud van juntas","OK")))))))</f>
        <v/>
      </c>
      <c r="M363" s="28">
        <f>IF(L363&lt;&gt;"OK","","INSERT INTO cli_direcciones (id_cliente, descripcion, direccion, referencia, id_departamento, id_provincia, id_distrito, latitud, longitud, es_principal, estado) SELECT "&amp;"(SELECT id FROM cli_clientes WHERE numero_documento = '"&amp;SUBSTITUTE(TRIM(A363),"'","''")&amp;"' AND estado = 1 LIMIT 1)"&amp;", "&amp;IF(TRIM(C363&amp;"")="","NULL","'"&amp;SUBSTITUTE(TRIM(C363),"'","''")&amp;"'")&amp;", "&amp;IF(TRIM(D363&amp;"")="","NULL","'"&amp;SUBSTITUTE(TRIM(D363),"'","''")&amp;"'")&amp;", "&amp;IF(TRIM(E363&amp;"")="","NULL","'"&amp;SUBSTITUTE(TRIM(E363),"'","''")&amp;"'")&amp;", "&amp;IF(TRIM(F363&amp;"")="","NULL","(SELECT id FROM gen_departamento WHERE upper(nombre) = upper('"&amp;SUBSTITUTE(TRIM(F363),"'","''")&amp;"') AND estado = 1 LIMIT 1)")&amp;", "&amp;IF(OR(TRIM(F363&amp;"")="",TRIM(G363&amp;"")=""),"NULL","(SELECT p.id FROM gen_provincia p JOIN gen_departamento dp ON dp.id = p.id_departamento WHERE upper(p.nombre) = upper('"&amp;SUBSTITUTE(TRIM(G363),"'","''")&amp;"') AND upper(dp.nombre) = upper('"&amp;SUBSTITUTE(TRIM(F363),"'","''")&amp;"') AND p.estado = 1 LIMIT 1)")&amp;", "&amp;IF(OR(TRIM(F363&amp;"")="",TRIM(G363&amp;"")="",TRIM(H363&amp;"")=""),"NULL","(SELECT d.id FROM gen_distrito d JOIN gen_provincia p ON p.id = d.id_provincia JOIN gen_departamento dp ON dp.id = p.id_departamento WHERE upper(d.nombre) = upper('"&amp;SUBSTITUTE(TRIM(H363),"'","''")&amp;"') AND upper(p.nombre) = upper('"&amp;SUBSTITUTE(TRIM(G363),"'","''")&amp;"') AND upper(dp.nombre) = upper('"&amp;SUBSTITUTE(TRIM(F363),"'","''")&amp;"') AND d.estado = 1 LIMIT 1)")&amp;", "&amp;IF(I363&amp;""="","NULL",SUBSTITUTE(I363&amp;"",",","."))&amp;", "&amp;IF(J363&amp;""="","NULL",SUBSTITUTE(J363&amp;"",",","."))&amp;", "&amp;IF(UPPER(TRIM(K363&amp;""))="SI","TRUE","FALSE")&amp;", 1"&amp;" WHERE NOT EXISTS (SELECT 1 FROM cli_direcciones x WHERE x.id_cliente = "&amp;"(SELECT id FROM cli_clientes WHERE numero_documento = '"&amp;SUBSTITUTE(TRIM(A363),"'","''")&amp;"' AND estado = 1 LIMIT 1)"&amp;" AND upper(x.direccion) = upper("&amp;IF(TRIM(D363&amp;"")="","NULL","'"&amp;SUBSTITUTE(TRIM(D363),"'","''")&amp;"'")&amp;"));")</f>
        <v/>
      </c>
    </row>
    <row r="364" ht="15.75" customHeight="1" s="64">
      <c r="A364" s="23" t="n"/>
      <c r="B364" s="25">
        <f t="array" ref="B364">IF(A364="","",IFERROR(IF(INDEX(Clientes!$D$5:$D$549,MATCH(A364,Clientes!$C$5:$C$549,0))&lt;&gt;"",INDEX(Clientes!$D$5:$D$549,MATCH(A364,Clientes!$C$5:$C$549,0)),TRIM(INDEX(Clientes!$E$5:$E$549,MATCH(A364,Clientes!$C$5:$C$549,0))&amp;" "&amp;INDEX(Clientes!$F$5:$F$549,MATCH(A364,Clientes!$C$5:$C$549,0)))),"NO EXISTE en Clientes"))</f>
        <v/>
      </c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>
        <f>IF(AND(A364="",D364=""),"",IF(A364="","FALTA doc. cliente",IF(B364="NO EXISTE en Clientes","CLIENTE no está en hoja Clientes",IF(D364="","FALTA dirección",IF(AND(H364&lt;&gt;"",OR(F364="",G364="")),"Distrito requiere departamento y provincia",IF(AND(G364&lt;&gt;"",F364=""),"Provincia requiere departamento",IF((I364&lt;&gt;"")&lt;&gt;(J364&lt;&gt;""),"Latitud y longitud van juntas","OK")))))))</f>
        <v/>
      </c>
      <c r="M364" s="28">
        <f>IF(L364&lt;&gt;"OK","","INSERT INTO cli_direcciones (id_cliente, descripcion, direccion, referencia, id_departamento, id_provincia, id_distrito, latitud, longitud, es_principal, estado) SELECT "&amp;"(SELECT id FROM cli_clientes WHERE numero_documento = '"&amp;SUBSTITUTE(TRIM(A364),"'","''")&amp;"' AND estado = 1 LIMIT 1)"&amp;", "&amp;IF(TRIM(C364&amp;"")="","NULL","'"&amp;SUBSTITUTE(TRIM(C364),"'","''")&amp;"'")&amp;", "&amp;IF(TRIM(D364&amp;"")="","NULL","'"&amp;SUBSTITUTE(TRIM(D364),"'","''")&amp;"'")&amp;", "&amp;IF(TRIM(E364&amp;"")="","NULL","'"&amp;SUBSTITUTE(TRIM(E364),"'","''")&amp;"'")&amp;", "&amp;IF(TRIM(F364&amp;"")="","NULL","(SELECT id FROM gen_departamento WHERE upper(nombre) = upper('"&amp;SUBSTITUTE(TRIM(F364),"'","''")&amp;"') AND estado = 1 LIMIT 1)")&amp;", "&amp;IF(OR(TRIM(F364&amp;"")="",TRIM(G364&amp;"")=""),"NULL","(SELECT p.id FROM gen_provincia p JOIN gen_departamento dp ON dp.id = p.id_departamento WHERE upper(p.nombre) = upper('"&amp;SUBSTITUTE(TRIM(G364),"'","''")&amp;"') AND upper(dp.nombre) = upper('"&amp;SUBSTITUTE(TRIM(F364),"'","''")&amp;"') AND p.estado = 1 LIMIT 1)")&amp;", "&amp;IF(OR(TRIM(F364&amp;"")="",TRIM(G364&amp;"")="",TRIM(H364&amp;"")=""),"NULL","(SELECT d.id FROM gen_distrito d JOIN gen_provincia p ON p.id = d.id_provincia JOIN gen_departamento dp ON dp.id = p.id_departamento WHERE upper(d.nombre) = upper('"&amp;SUBSTITUTE(TRIM(H364),"'","''")&amp;"') AND upper(p.nombre) = upper('"&amp;SUBSTITUTE(TRIM(G364),"'","''")&amp;"') AND upper(dp.nombre) = upper('"&amp;SUBSTITUTE(TRIM(F364),"'","''")&amp;"') AND d.estado = 1 LIMIT 1)")&amp;", "&amp;IF(I364&amp;""="","NULL",SUBSTITUTE(I364&amp;"",",","."))&amp;", "&amp;IF(J364&amp;""="","NULL",SUBSTITUTE(J364&amp;"",",","."))&amp;", "&amp;IF(UPPER(TRIM(K364&amp;""))="SI","TRUE","FALSE")&amp;", 1"&amp;" WHERE NOT EXISTS (SELECT 1 FROM cli_direcciones x WHERE x.id_cliente = "&amp;"(SELECT id FROM cli_clientes WHERE numero_documento = '"&amp;SUBSTITUTE(TRIM(A364),"'","''")&amp;"' AND estado = 1 LIMIT 1)"&amp;" AND upper(x.direccion) = upper("&amp;IF(TRIM(D364&amp;"")="","NULL","'"&amp;SUBSTITUTE(TRIM(D364),"'","''")&amp;"'")&amp;"));")</f>
        <v/>
      </c>
    </row>
    <row r="365" ht="15.75" customHeight="1" s="64">
      <c r="A365" s="23" t="n"/>
      <c r="B365" s="25">
        <f t="array" ref="B365">IF(A365="","",IFERROR(IF(INDEX(Clientes!$D$5:$D$549,MATCH(A365,Clientes!$C$5:$C$549,0))&lt;&gt;"",INDEX(Clientes!$D$5:$D$549,MATCH(A365,Clientes!$C$5:$C$549,0)),TRIM(INDEX(Clientes!$E$5:$E$549,MATCH(A365,Clientes!$C$5:$C$549,0))&amp;" "&amp;INDEX(Clientes!$F$5:$F$549,MATCH(A365,Clientes!$C$5:$C$549,0)))),"NO EXISTE en Clientes"))</f>
        <v/>
      </c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>
        <f>IF(AND(A365="",D365=""),"",IF(A365="","FALTA doc. cliente",IF(B365="NO EXISTE en Clientes","CLIENTE no está en hoja Clientes",IF(D365="","FALTA dirección",IF(AND(H365&lt;&gt;"",OR(F365="",G365="")),"Distrito requiere departamento y provincia",IF(AND(G365&lt;&gt;"",F365=""),"Provincia requiere departamento",IF((I365&lt;&gt;"")&lt;&gt;(J365&lt;&gt;""),"Latitud y longitud van juntas","OK")))))))</f>
        <v/>
      </c>
      <c r="M365" s="28">
        <f>IF(L365&lt;&gt;"OK","","INSERT INTO cli_direcciones (id_cliente, descripcion, direccion, referencia, id_departamento, id_provincia, id_distrito, latitud, longitud, es_principal, estado) SELECT "&amp;"(SELECT id FROM cli_clientes WHERE numero_documento = '"&amp;SUBSTITUTE(TRIM(A365),"'","''")&amp;"' AND estado = 1 LIMIT 1)"&amp;", "&amp;IF(TRIM(C365&amp;"")="","NULL","'"&amp;SUBSTITUTE(TRIM(C365),"'","''")&amp;"'")&amp;", "&amp;IF(TRIM(D365&amp;"")="","NULL","'"&amp;SUBSTITUTE(TRIM(D365),"'","''")&amp;"'")&amp;", "&amp;IF(TRIM(E365&amp;"")="","NULL","'"&amp;SUBSTITUTE(TRIM(E365),"'","''")&amp;"'")&amp;", "&amp;IF(TRIM(F365&amp;"")="","NULL","(SELECT id FROM gen_departamento WHERE upper(nombre) = upper('"&amp;SUBSTITUTE(TRIM(F365),"'","''")&amp;"') AND estado = 1 LIMIT 1)")&amp;", "&amp;IF(OR(TRIM(F365&amp;"")="",TRIM(G365&amp;"")=""),"NULL","(SELECT p.id FROM gen_provincia p JOIN gen_departamento dp ON dp.id = p.id_departamento WHERE upper(p.nombre) = upper('"&amp;SUBSTITUTE(TRIM(G365),"'","''")&amp;"') AND upper(dp.nombre) = upper('"&amp;SUBSTITUTE(TRIM(F365),"'","''")&amp;"') AND p.estado = 1 LIMIT 1)")&amp;", "&amp;IF(OR(TRIM(F365&amp;"")="",TRIM(G365&amp;"")="",TRIM(H365&amp;"")=""),"NULL","(SELECT d.id FROM gen_distrito d JOIN gen_provincia p ON p.id = d.id_provincia JOIN gen_departamento dp ON dp.id = p.id_departamento WHERE upper(d.nombre) = upper('"&amp;SUBSTITUTE(TRIM(H365),"'","''")&amp;"') AND upper(p.nombre) = upper('"&amp;SUBSTITUTE(TRIM(G365),"'","''")&amp;"') AND upper(dp.nombre) = upper('"&amp;SUBSTITUTE(TRIM(F365),"'","''")&amp;"') AND d.estado = 1 LIMIT 1)")&amp;", "&amp;IF(I365&amp;""="","NULL",SUBSTITUTE(I365&amp;"",",","."))&amp;", "&amp;IF(J365&amp;""="","NULL",SUBSTITUTE(J365&amp;"",",","."))&amp;", "&amp;IF(UPPER(TRIM(K365&amp;""))="SI","TRUE","FALSE")&amp;", 1"&amp;" WHERE NOT EXISTS (SELECT 1 FROM cli_direcciones x WHERE x.id_cliente = "&amp;"(SELECT id FROM cli_clientes WHERE numero_documento = '"&amp;SUBSTITUTE(TRIM(A365),"'","''")&amp;"' AND estado = 1 LIMIT 1)"&amp;" AND upper(x.direccion) = upper("&amp;IF(TRIM(D365&amp;"")="","NULL","'"&amp;SUBSTITUTE(TRIM(D365),"'","''")&amp;"'")&amp;"));")</f>
        <v/>
      </c>
    </row>
    <row r="366" ht="15.75" customHeight="1" s="64">
      <c r="A366" s="23" t="n"/>
      <c r="B366" s="25">
        <f t="array" ref="B366">IF(A366="","",IFERROR(IF(INDEX(Clientes!$D$5:$D$549,MATCH(A366,Clientes!$C$5:$C$549,0))&lt;&gt;"",INDEX(Clientes!$D$5:$D$549,MATCH(A366,Clientes!$C$5:$C$549,0)),TRIM(INDEX(Clientes!$E$5:$E$549,MATCH(A366,Clientes!$C$5:$C$549,0))&amp;" "&amp;INDEX(Clientes!$F$5:$F$549,MATCH(A366,Clientes!$C$5:$C$549,0)))),"NO EXISTE en Clientes"))</f>
        <v/>
      </c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>
        <f>IF(AND(A366="",D366=""),"",IF(A366="","FALTA doc. cliente",IF(B366="NO EXISTE en Clientes","CLIENTE no está en hoja Clientes",IF(D366="","FALTA dirección",IF(AND(H366&lt;&gt;"",OR(F366="",G366="")),"Distrito requiere departamento y provincia",IF(AND(G366&lt;&gt;"",F366=""),"Provincia requiere departamento",IF((I366&lt;&gt;"")&lt;&gt;(J366&lt;&gt;""),"Latitud y longitud van juntas","OK")))))))</f>
        <v/>
      </c>
      <c r="M366" s="28">
        <f>IF(L366&lt;&gt;"OK","","INSERT INTO cli_direcciones (id_cliente, descripcion, direccion, referencia, id_departamento, id_provincia, id_distrito, latitud, longitud, es_principal, estado) SELECT "&amp;"(SELECT id FROM cli_clientes WHERE numero_documento = '"&amp;SUBSTITUTE(TRIM(A366),"'","''")&amp;"' AND estado = 1 LIMIT 1)"&amp;", "&amp;IF(TRIM(C366&amp;"")="","NULL","'"&amp;SUBSTITUTE(TRIM(C366),"'","''")&amp;"'")&amp;", "&amp;IF(TRIM(D366&amp;"")="","NULL","'"&amp;SUBSTITUTE(TRIM(D366),"'","''")&amp;"'")&amp;", "&amp;IF(TRIM(E366&amp;"")="","NULL","'"&amp;SUBSTITUTE(TRIM(E366),"'","''")&amp;"'")&amp;", "&amp;IF(TRIM(F366&amp;"")="","NULL","(SELECT id FROM gen_departamento WHERE upper(nombre) = upper('"&amp;SUBSTITUTE(TRIM(F366),"'","''")&amp;"') AND estado = 1 LIMIT 1)")&amp;", "&amp;IF(OR(TRIM(F366&amp;"")="",TRIM(G366&amp;"")=""),"NULL","(SELECT p.id FROM gen_provincia p JOIN gen_departamento dp ON dp.id = p.id_departamento WHERE upper(p.nombre) = upper('"&amp;SUBSTITUTE(TRIM(G366),"'","''")&amp;"') AND upper(dp.nombre) = upper('"&amp;SUBSTITUTE(TRIM(F366),"'","''")&amp;"') AND p.estado = 1 LIMIT 1)")&amp;", "&amp;IF(OR(TRIM(F366&amp;"")="",TRIM(G366&amp;"")="",TRIM(H366&amp;"")=""),"NULL","(SELECT d.id FROM gen_distrito d JOIN gen_provincia p ON p.id = d.id_provincia JOIN gen_departamento dp ON dp.id = p.id_departamento WHERE upper(d.nombre) = upper('"&amp;SUBSTITUTE(TRIM(H366),"'","''")&amp;"') AND upper(p.nombre) = upper('"&amp;SUBSTITUTE(TRIM(G366),"'","''")&amp;"') AND upper(dp.nombre) = upper('"&amp;SUBSTITUTE(TRIM(F366),"'","''")&amp;"') AND d.estado = 1 LIMIT 1)")&amp;", "&amp;IF(I366&amp;""="","NULL",SUBSTITUTE(I366&amp;"",",","."))&amp;", "&amp;IF(J366&amp;""="","NULL",SUBSTITUTE(J366&amp;"",",","."))&amp;", "&amp;IF(UPPER(TRIM(K366&amp;""))="SI","TRUE","FALSE")&amp;", 1"&amp;" WHERE NOT EXISTS (SELECT 1 FROM cli_direcciones x WHERE x.id_cliente = "&amp;"(SELECT id FROM cli_clientes WHERE numero_documento = '"&amp;SUBSTITUTE(TRIM(A366),"'","''")&amp;"' AND estado = 1 LIMIT 1)"&amp;" AND upper(x.direccion) = upper("&amp;IF(TRIM(D366&amp;"")="","NULL","'"&amp;SUBSTITUTE(TRIM(D366),"'","''")&amp;"'")&amp;"));")</f>
        <v/>
      </c>
    </row>
    <row r="367" ht="15.75" customHeight="1" s="64">
      <c r="A367" s="23" t="n"/>
      <c r="B367" s="25">
        <f t="array" ref="B367">IF(A367="","",IFERROR(IF(INDEX(Clientes!$D$5:$D$549,MATCH(A367,Clientes!$C$5:$C$549,0))&lt;&gt;"",INDEX(Clientes!$D$5:$D$549,MATCH(A367,Clientes!$C$5:$C$549,0)),TRIM(INDEX(Clientes!$E$5:$E$549,MATCH(A367,Clientes!$C$5:$C$549,0))&amp;" "&amp;INDEX(Clientes!$F$5:$F$549,MATCH(A367,Clientes!$C$5:$C$549,0)))),"NO EXISTE en Clientes"))</f>
        <v/>
      </c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>
        <f>IF(AND(A367="",D367=""),"",IF(A367="","FALTA doc. cliente",IF(B367="NO EXISTE en Clientes","CLIENTE no está en hoja Clientes",IF(D367="","FALTA dirección",IF(AND(H367&lt;&gt;"",OR(F367="",G367="")),"Distrito requiere departamento y provincia",IF(AND(G367&lt;&gt;"",F367=""),"Provincia requiere departamento",IF((I367&lt;&gt;"")&lt;&gt;(J367&lt;&gt;""),"Latitud y longitud van juntas","OK")))))))</f>
        <v/>
      </c>
      <c r="M367" s="28">
        <f>IF(L367&lt;&gt;"OK","","INSERT INTO cli_direcciones (id_cliente, descripcion, direccion, referencia, id_departamento, id_provincia, id_distrito, latitud, longitud, es_principal, estado) SELECT "&amp;"(SELECT id FROM cli_clientes WHERE numero_documento = '"&amp;SUBSTITUTE(TRIM(A367),"'","''")&amp;"' AND estado = 1 LIMIT 1)"&amp;", "&amp;IF(TRIM(C367&amp;"")="","NULL","'"&amp;SUBSTITUTE(TRIM(C367),"'","''")&amp;"'")&amp;", "&amp;IF(TRIM(D367&amp;"")="","NULL","'"&amp;SUBSTITUTE(TRIM(D367),"'","''")&amp;"'")&amp;", "&amp;IF(TRIM(E367&amp;"")="","NULL","'"&amp;SUBSTITUTE(TRIM(E367),"'","''")&amp;"'")&amp;", "&amp;IF(TRIM(F367&amp;"")="","NULL","(SELECT id FROM gen_departamento WHERE upper(nombre) = upper('"&amp;SUBSTITUTE(TRIM(F367),"'","''")&amp;"') AND estado = 1 LIMIT 1)")&amp;", "&amp;IF(OR(TRIM(F367&amp;"")="",TRIM(G367&amp;"")=""),"NULL","(SELECT p.id FROM gen_provincia p JOIN gen_departamento dp ON dp.id = p.id_departamento WHERE upper(p.nombre) = upper('"&amp;SUBSTITUTE(TRIM(G367),"'","''")&amp;"') AND upper(dp.nombre) = upper('"&amp;SUBSTITUTE(TRIM(F367),"'","''")&amp;"') AND p.estado = 1 LIMIT 1)")&amp;", "&amp;IF(OR(TRIM(F367&amp;"")="",TRIM(G367&amp;"")="",TRIM(H367&amp;"")=""),"NULL","(SELECT d.id FROM gen_distrito d JOIN gen_provincia p ON p.id = d.id_provincia JOIN gen_departamento dp ON dp.id = p.id_departamento WHERE upper(d.nombre) = upper('"&amp;SUBSTITUTE(TRIM(H367),"'","''")&amp;"') AND upper(p.nombre) = upper('"&amp;SUBSTITUTE(TRIM(G367),"'","''")&amp;"') AND upper(dp.nombre) = upper('"&amp;SUBSTITUTE(TRIM(F367),"'","''")&amp;"') AND d.estado = 1 LIMIT 1)")&amp;", "&amp;IF(I367&amp;""="","NULL",SUBSTITUTE(I367&amp;"",",","."))&amp;", "&amp;IF(J367&amp;""="","NULL",SUBSTITUTE(J367&amp;"",",","."))&amp;", "&amp;IF(UPPER(TRIM(K367&amp;""))="SI","TRUE","FALSE")&amp;", 1"&amp;" WHERE NOT EXISTS (SELECT 1 FROM cli_direcciones x WHERE x.id_cliente = "&amp;"(SELECT id FROM cli_clientes WHERE numero_documento = '"&amp;SUBSTITUTE(TRIM(A367),"'","''")&amp;"' AND estado = 1 LIMIT 1)"&amp;" AND upper(x.direccion) = upper("&amp;IF(TRIM(D367&amp;"")="","NULL","'"&amp;SUBSTITUTE(TRIM(D367),"'","''")&amp;"'")&amp;"));")</f>
        <v/>
      </c>
    </row>
    <row r="368" ht="15.75" customHeight="1" s="64">
      <c r="A368" s="23" t="n"/>
      <c r="B368" s="25">
        <f t="array" ref="B368">IF(A368="","",IFERROR(IF(INDEX(Clientes!$D$5:$D$549,MATCH(A368,Clientes!$C$5:$C$549,0))&lt;&gt;"",INDEX(Clientes!$D$5:$D$549,MATCH(A368,Clientes!$C$5:$C$549,0)),TRIM(INDEX(Clientes!$E$5:$E$549,MATCH(A368,Clientes!$C$5:$C$549,0))&amp;" "&amp;INDEX(Clientes!$F$5:$F$549,MATCH(A368,Clientes!$C$5:$C$549,0)))),"NO EXISTE en Clientes"))</f>
        <v/>
      </c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>
        <f>IF(AND(A368="",D368=""),"",IF(A368="","FALTA doc. cliente",IF(B368="NO EXISTE en Clientes","CLIENTE no está en hoja Clientes",IF(D368="","FALTA dirección",IF(AND(H368&lt;&gt;"",OR(F368="",G368="")),"Distrito requiere departamento y provincia",IF(AND(G368&lt;&gt;"",F368=""),"Provincia requiere departamento",IF((I368&lt;&gt;"")&lt;&gt;(J368&lt;&gt;""),"Latitud y longitud van juntas","OK")))))))</f>
        <v/>
      </c>
      <c r="M368" s="28">
        <f>IF(L368&lt;&gt;"OK","","INSERT INTO cli_direcciones (id_cliente, descripcion, direccion, referencia, id_departamento, id_provincia, id_distrito, latitud, longitud, es_principal, estado) SELECT "&amp;"(SELECT id FROM cli_clientes WHERE numero_documento = '"&amp;SUBSTITUTE(TRIM(A368),"'","''")&amp;"' AND estado = 1 LIMIT 1)"&amp;", "&amp;IF(TRIM(C368&amp;"")="","NULL","'"&amp;SUBSTITUTE(TRIM(C368),"'","''")&amp;"'")&amp;", "&amp;IF(TRIM(D368&amp;"")="","NULL","'"&amp;SUBSTITUTE(TRIM(D368),"'","''")&amp;"'")&amp;", "&amp;IF(TRIM(E368&amp;"")="","NULL","'"&amp;SUBSTITUTE(TRIM(E368),"'","''")&amp;"'")&amp;", "&amp;IF(TRIM(F368&amp;"")="","NULL","(SELECT id FROM gen_departamento WHERE upper(nombre) = upper('"&amp;SUBSTITUTE(TRIM(F368),"'","''")&amp;"') AND estado = 1 LIMIT 1)")&amp;", "&amp;IF(OR(TRIM(F368&amp;"")="",TRIM(G368&amp;"")=""),"NULL","(SELECT p.id FROM gen_provincia p JOIN gen_departamento dp ON dp.id = p.id_departamento WHERE upper(p.nombre) = upper('"&amp;SUBSTITUTE(TRIM(G368),"'","''")&amp;"') AND upper(dp.nombre) = upper('"&amp;SUBSTITUTE(TRIM(F368),"'","''")&amp;"') AND p.estado = 1 LIMIT 1)")&amp;", "&amp;IF(OR(TRIM(F368&amp;"")="",TRIM(G368&amp;"")="",TRIM(H368&amp;"")=""),"NULL","(SELECT d.id FROM gen_distrito d JOIN gen_provincia p ON p.id = d.id_provincia JOIN gen_departamento dp ON dp.id = p.id_departamento WHERE upper(d.nombre) = upper('"&amp;SUBSTITUTE(TRIM(H368),"'","''")&amp;"') AND upper(p.nombre) = upper('"&amp;SUBSTITUTE(TRIM(G368),"'","''")&amp;"') AND upper(dp.nombre) = upper('"&amp;SUBSTITUTE(TRIM(F368),"'","''")&amp;"') AND d.estado = 1 LIMIT 1)")&amp;", "&amp;IF(I368&amp;""="","NULL",SUBSTITUTE(I368&amp;"",",","."))&amp;", "&amp;IF(J368&amp;""="","NULL",SUBSTITUTE(J368&amp;"",",","."))&amp;", "&amp;IF(UPPER(TRIM(K368&amp;""))="SI","TRUE","FALSE")&amp;", 1"&amp;" WHERE NOT EXISTS (SELECT 1 FROM cli_direcciones x WHERE x.id_cliente = "&amp;"(SELECT id FROM cli_clientes WHERE numero_documento = '"&amp;SUBSTITUTE(TRIM(A368),"'","''")&amp;"' AND estado = 1 LIMIT 1)"&amp;" AND upper(x.direccion) = upper("&amp;IF(TRIM(D368&amp;"")="","NULL","'"&amp;SUBSTITUTE(TRIM(D368),"'","''")&amp;"'")&amp;"));")</f>
        <v/>
      </c>
    </row>
    <row r="369" ht="15.75" customHeight="1" s="64">
      <c r="A369" s="23" t="n"/>
      <c r="B369" s="25">
        <f t="array" ref="B369">IF(A369="","",IFERROR(IF(INDEX(Clientes!$D$5:$D$549,MATCH(A369,Clientes!$C$5:$C$549,0))&lt;&gt;"",INDEX(Clientes!$D$5:$D$549,MATCH(A369,Clientes!$C$5:$C$549,0)),TRIM(INDEX(Clientes!$E$5:$E$549,MATCH(A369,Clientes!$C$5:$C$549,0))&amp;" "&amp;INDEX(Clientes!$F$5:$F$549,MATCH(A369,Clientes!$C$5:$C$549,0)))),"NO EXISTE en Clientes"))</f>
        <v/>
      </c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>
        <f>IF(AND(A369="",D369=""),"",IF(A369="","FALTA doc. cliente",IF(B369="NO EXISTE en Clientes","CLIENTE no está en hoja Clientes",IF(D369="","FALTA dirección",IF(AND(H369&lt;&gt;"",OR(F369="",G369="")),"Distrito requiere departamento y provincia",IF(AND(G369&lt;&gt;"",F369=""),"Provincia requiere departamento",IF((I369&lt;&gt;"")&lt;&gt;(J369&lt;&gt;""),"Latitud y longitud van juntas","OK")))))))</f>
        <v/>
      </c>
      <c r="M369" s="28">
        <f>IF(L369&lt;&gt;"OK","","INSERT INTO cli_direcciones (id_cliente, descripcion, direccion, referencia, id_departamento, id_provincia, id_distrito, latitud, longitud, es_principal, estado) SELECT "&amp;"(SELECT id FROM cli_clientes WHERE numero_documento = '"&amp;SUBSTITUTE(TRIM(A369),"'","''")&amp;"' AND estado = 1 LIMIT 1)"&amp;", "&amp;IF(TRIM(C369&amp;"")="","NULL","'"&amp;SUBSTITUTE(TRIM(C369),"'","''")&amp;"'")&amp;", "&amp;IF(TRIM(D369&amp;"")="","NULL","'"&amp;SUBSTITUTE(TRIM(D369),"'","''")&amp;"'")&amp;", "&amp;IF(TRIM(E369&amp;"")="","NULL","'"&amp;SUBSTITUTE(TRIM(E369),"'","''")&amp;"'")&amp;", "&amp;IF(TRIM(F369&amp;"")="","NULL","(SELECT id FROM gen_departamento WHERE upper(nombre) = upper('"&amp;SUBSTITUTE(TRIM(F369),"'","''")&amp;"') AND estado = 1 LIMIT 1)")&amp;", "&amp;IF(OR(TRIM(F369&amp;"")="",TRIM(G369&amp;"")=""),"NULL","(SELECT p.id FROM gen_provincia p JOIN gen_departamento dp ON dp.id = p.id_departamento WHERE upper(p.nombre) = upper('"&amp;SUBSTITUTE(TRIM(G369),"'","''")&amp;"') AND upper(dp.nombre) = upper('"&amp;SUBSTITUTE(TRIM(F369),"'","''")&amp;"') AND p.estado = 1 LIMIT 1)")&amp;", "&amp;IF(OR(TRIM(F369&amp;"")="",TRIM(G369&amp;"")="",TRIM(H369&amp;"")=""),"NULL","(SELECT d.id FROM gen_distrito d JOIN gen_provincia p ON p.id = d.id_provincia JOIN gen_departamento dp ON dp.id = p.id_departamento WHERE upper(d.nombre) = upper('"&amp;SUBSTITUTE(TRIM(H369),"'","''")&amp;"') AND upper(p.nombre) = upper('"&amp;SUBSTITUTE(TRIM(G369),"'","''")&amp;"') AND upper(dp.nombre) = upper('"&amp;SUBSTITUTE(TRIM(F369),"'","''")&amp;"') AND d.estado = 1 LIMIT 1)")&amp;", "&amp;IF(I369&amp;""="","NULL",SUBSTITUTE(I369&amp;"",",","."))&amp;", "&amp;IF(J369&amp;""="","NULL",SUBSTITUTE(J369&amp;"",",","."))&amp;", "&amp;IF(UPPER(TRIM(K369&amp;""))="SI","TRUE","FALSE")&amp;", 1"&amp;" WHERE NOT EXISTS (SELECT 1 FROM cli_direcciones x WHERE x.id_cliente = "&amp;"(SELECT id FROM cli_clientes WHERE numero_documento = '"&amp;SUBSTITUTE(TRIM(A369),"'","''")&amp;"' AND estado = 1 LIMIT 1)"&amp;" AND upper(x.direccion) = upper("&amp;IF(TRIM(D369&amp;"")="","NULL","'"&amp;SUBSTITUTE(TRIM(D369),"'","''")&amp;"'")&amp;"));")</f>
        <v/>
      </c>
    </row>
    <row r="370" ht="15.75" customHeight="1" s="64">
      <c r="A370" s="23" t="n"/>
      <c r="B370" s="25">
        <f t="array" ref="B370">IF(A370="","",IFERROR(IF(INDEX(Clientes!$D$5:$D$549,MATCH(A370,Clientes!$C$5:$C$549,0))&lt;&gt;"",INDEX(Clientes!$D$5:$D$549,MATCH(A370,Clientes!$C$5:$C$549,0)),TRIM(INDEX(Clientes!$E$5:$E$549,MATCH(A370,Clientes!$C$5:$C$549,0))&amp;" "&amp;INDEX(Clientes!$F$5:$F$549,MATCH(A370,Clientes!$C$5:$C$549,0)))),"NO EXISTE en Clientes"))</f>
        <v/>
      </c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>
        <f>IF(AND(A370="",D370=""),"",IF(A370="","FALTA doc. cliente",IF(B370="NO EXISTE en Clientes","CLIENTE no está en hoja Clientes",IF(D370="","FALTA dirección",IF(AND(H370&lt;&gt;"",OR(F370="",G370="")),"Distrito requiere departamento y provincia",IF(AND(G370&lt;&gt;"",F370=""),"Provincia requiere departamento",IF((I370&lt;&gt;"")&lt;&gt;(J370&lt;&gt;""),"Latitud y longitud van juntas","OK")))))))</f>
        <v/>
      </c>
      <c r="M370" s="28">
        <f>IF(L370&lt;&gt;"OK","","INSERT INTO cli_direcciones (id_cliente, descripcion, direccion, referencia, id_departamento, id_provincia, id_distrito, latitud, longitud, es_principal, estado) SELECT "&amp;"(SELECT id FROM cli_clientes WHERE numero_documento = '"&amp;SUBSTITUTE(TRIM(A370),"'","''")&amp;"' AND estado = 1 LIMIT 1)"&amp;", "&amp;IF(TRIM(C370&amp;"")="","NULL","'"&amp;SUBSTITUTE(TRIM(C370),"'","''")&amp;"'")&amp;", "&amp;IF(TRIM(D370&amp;"")="","NULL","'"&amp;SUBSTITUTE(TRIM(D370),"'","''")&amp;"'")&amp;", "&amp;IF(TRIM(E370&amp;"")="","NULL","'"&amp;SUBSTITUTE(TRIM(E370),"'","''")&amp;"'")&amp;", "&amp;IF(TRIM(F370&amp;"")="","NULL","(SELECT id FROM gen_departamento WHERE upper(nombre) = upper('"&amp;SUBSTITUTE(TRIM(F370),"'","''")&amp;"') AND estado = 1 LIMIT 1)")&amp;", "&amp;IF(OR(TRIM(F370&amp;"")="",TRIM(G370&amp;"")=""),"NULL","(SELECT p.id FROM gen_provincia p JOIN gen_departamento dp ON dp.id = p.id_departamento WHERE upper(p.nombre) = upper('"&amp;SUBSTITUTE(TRIM(G370),"'","''")&amp;"') AND upper(dp.nombre) = upper('"&amp;SUBSTITUTE(TRIM(F370),"'","''")&amp;"') AND p.estado = 1 LIMIT 1)")&amp;", "&amp;IF(OR(TRIM(F370&amp;"")="",TRIM(G370&amp;"")="",TRIM(H370&amp;"")=""),"NULL","(SELECT d.id FROM gen_distrito d JOIN gen_provincia p ON p.id = d.id_provincia JOIN gen_departamento dp ON dp.id = p.id_departamento WHERE upper(d.nombre) = upper('"&amp;SUBSTITUTE(TRIM(H370),"'","''")&amp;"') AND upper(p.nombre) = upper('"&amp;SUBSTITUTE(TRIM(G370),"'","''")&amp;"') AND upper(dp.nombre) = upper('"&amp;SUBSTITUTE(TRIM(F370),"'","''")&amp;"') AND d.estado = 1 LIMIT 1)")&amp;", "&amp;IF(I370&amp;""="","NULL",SUBSTITUTE(I370&amp;"",",","."))&amp;", "&amp;IF(J370&amp;""="","NULL",SUBSTITUTE(J370&amp;"",",","."))&amp;", "&amp;IF(UPPER(TRIM(K370&amp;""))="SI","TRUE","FALSE")&amp;", 1"&amp;" WHERE NOT EXISTS (SELECT 1 FROM cli_direcciones x WHERE x.id_cliente = "&amp;"(SELECT id FROM cli_clientes WHERE numero_documento = '"&amp;SUBSTITUTE(TRIM(A370),"'","''")&amp;"' AND estado = 1 LIMIT 1)"&amp;" AND upper(x.direccion) = upper("&amp;IF(TRIM(D370&amp;"")="","NULL","'"&amp;SUBSTITUTE(TRIM(D370),"'","''")&amp;"'")&amp;"));")</f>
        <v/>
      </c>
    </row>
    <row r="371" ht="15.75" customHeight="1" s="64">
      <c r="A371" s="23" t="n"/>
      <c r="B371" s="25">
        <f t="array" ref="B371">IF(A371="","",IFERROR(IF(INDEX(Clientes!$D$5:$D$549,MATCH(A371,Clientes!$C$5:$C$549,0))&lt;&gt;"",INDEX(Clientes!$D$5:$D$549,MATCH(A371,Clientes!$C$5:$C$549,0)),TRIM(INDEX(Clientes!$E$5:$E$549,MATCH(A371,Clientes!$C$5:$C$549,0))&amp;" "&amp;INDEX(Clientes!$F$5:$F$549,MATCH(A371,Clientes!$C$5:$C$549,0)))),"NO EXISTE en Clientes"))</f>
        <v/>
      </c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>
        <f>IF(AND(A371="",D371=""),"",IF(A371="","FALTA doc. cliente",IF(B371="NO EXISTE en Clientes","CLIENTE no está en hoja Clientes",IF(D371="","FALTA dirección",IF(AND(H371&lt;&gt;"",OR(F371="",G371="")),"Distrito requiere departamento y provincia",IF(AND(G371&lt;&gt;"",F371=""),"Provincia requiere departamento",IF((I371&lt;&gt;"")&lt;&gt;(J371&lt;&gt;""),"Latitud y longitud van juntas","OK")))))))</f>
        <v/>
      </c>
      <c r="M371" s="28">
        <f>IF(L371&lt;&gt;"OK","","INSERT INTO cli_direcciones (id_cliente, descripcion, direccion, referencia, id_departamento, id_provincia, id_distrito, latitud, longitud, es_principal, estado) SELECT "&amp;"(SELECT id FROM cli_clientes WHERE numero_documento = '"&amp;SUBSTITUTE(TRIM(A371),"'","''")&amp;"' AND estado = 1 LIMIT 1)"&amp;", "&amp;IF(TRIM(C371&amp;"")="","NULL","'"&amp;SUBSTITUTE(TRIM(C371),"'","''")&amp;"'")&amp;", "&amp;IF(TRIM(D371&amp;"")="","NULL","'"&amp;SUBSTITUTE(TRIM(D371),"'","''")&amp;"'")&amp;", "&amp;IF(TRIM(E371&amp;"")="","NULL","'"&amp;SUBSTITUTE(TRIM(E371),"'","''")&amp;"'")&amp;", "&amp;IF(TRIM(F371&amp;"")="","NULL","(SELECT id FROM gen_departamento WHERE upper(nombre) = upper('"&amp;SUBSTITUTE(TRIM(F371),"'","''")&amp;"') AND estado = 1 LIMIT 1)")&amp;", "&amp;IF(OR(TRIM(F371&amp;"")="",TRIM(G371&amp;"")=""),"NULL","(SELECT p.id FROM gen_provincia p JOIN gen_departamento dp ON dp.id = p.id_departamento WHERE upper(p.nombre) = upper('"&amp;SUBSTITUTE(TRIM(G371),"'","''")&amp;"') AND upper(dp.nombre) = upper('"&amp;SUBSTITUTE(TRIM(F371),"'","''")&amp;"') AND p.estado = 1 LIMIT 1)")&amp;", "&amp;IF(OR(TRIM(F371&amp;"")="",TRIM(G371&amp;"")="",TRIM(H371&amp;"")=""),"NULL","(SELECT d.id FROM gen_distrito d JOIN gen_provincia p ON p.id = d.id_provincia JOIN gen_departamento dp ON dp.id = p.id_departamento WHERE upper(d.nombre) = upper('"&amp;SUBSTITUTE(TRIM(H371),"'","''")&amp;"') AND upper(p.nombre) = upper('"&amp;SUBSTITUTE(TRIM(G371),"'","''")&amp;"') AND upper(dp.nombre) = upper('"&amp;SUBSTITUTE(TRIM(F371),"'","''")&amp;"') AND d.estado = 1 LIMIT 1)")&amp;", "&amp;IF(I371&amp;""="","NULL",SUBSTITUTE(I371&amp;"",",","."))&amp;", "&amp;IF(J371&amp;""="","NULL",SUBSTITUTE(J371&amp;"",",","."))&amp;", "&amp;IF(UPPER(TRIM(K371&amp;""))="SI","TRUE","FALSE")&amp;", 1"&amp;" WHERE NOT EXISTS (SELECT 1 FROM cli_direcciones x WHERE x.id_cliente = "&amp;"(SELECT id FROM cli_clientes WHERE numero_documento = '"&amp;SUBSTITUTE(TRIM(A371),"'","''")&amp;"' AND estado = 1 LIMIT 1)"&amp;" AND upper(x.direccion) = upper("&amp;IF(TRIM(D371&amp;"")="","NULL","'"&amp;SUBSTITUTE(TRIM(D371),"'","''")&amp;"'")&amp;"));")</f>
        <v/>
      </c>
    </row>
    <row r="372" ht="15.75" customHeight="1" s="64">
      <c r="A372" s="23" t="n"/>
      <c r="B372" s="25">
        <f t="array" ref="B372">IF(A372="","",IFERROR(IF(INDEX(Clientes!$D$5:$D$549,MATCH(A372,Clientes!$C$5:$C$549,0))&lt;&gt;"",INDEX(Clientes!$D$5:$D$549,MATCH(A372,Clientes!$C$5:$C$549,0)),TRIM(INDEX(Clientes!$E$5:$E$549,MATCH(A372,Clientes!$C$5:$C$549,0))&amp;" "&amp;INDEX(Clientes!$F$5:$F$549,MATCH(A372,Clientes!$C$5:$C$549,0)))),"NO EXISTE en Clientes"))</f>
        <v/>
      </c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>
        <f>IF(AND(A372="",D372=""),"",IF(A372="","FALTA doc. cliente",IF(B372="NO EXISTE en Clientes","CLIENTE no está en hoja Clientes",IF(D372="","FALTA dirección",IF(AND(H372&lt;&gt;"",OR(F372="",G372="")),"Distrito requiere departamento y provincia",IF(AND(G372&lt;&gt;"",F372=""),"Provincia requiere departamento",IF((I372&lt;&gt;"")&lt;&gt;(J372&lt;&gt;""),"Latitud y longitud van juntas","OK")))))))</f>
        <v/>
      </c>
      <c r="M372" s="28">
        <f>IF(L372&lt;&gt;"OK","","INSERT INTO cli_direcciones (id_cliente, descripcion, direccion, referencia, id_departamento, id_provincia, id_distrito, latitud, longitud, es_principal, estado) SELECT "&amp;"(SELECT id FROM cli_clientes WHERE numero_documento = '"&amp;SUBSTITUTE(TRIM(A372),"'","''")&amp;"' AND estado = 1 LIMIT 1)"&amp;", "&amp;IF(TRIM(C372&amp;"")="","NULL","'"&amp;SUBSTITUTE(TRIM(C372),"'","''")&amp;"'")&amp;", "&amp;IF(TRIM(D372&amp;"")="","NULL","'"&amp;SUBSTITUTE(TRIM(D372),"'","''")&amp;"'")&amp;", "&amp;IF(TRIM(E372&amp;"")="","NULL","'"&amp;SUBSTITUTE(TRIM(E372),"'","''")&amp;"'")&amp;", "&amp;IF(TRIM(F372&amp;"")="","NULL","(SELECT id FROM gen_departamento WHERE upper(nombre) = upper('"&amp;SUBSTITUTE(TRIM(F372),"'","''")&amp;"') AND estado = 1 LIMIT 1)")&amp;", "&amp;IF(OR(TRIM(F372&amp;"")="",TRIM(G372&amp;"")=""),"NULL","(SELECT p.id FROM gen_provincia p JOIN gen_departamento dp ON dp.id = p.id_departamento WHERE upper(p.nombre) = upper('"&amp;SUBSTITUTE(TRIM(G372),"'","''")&amp;"') AND upper(dp.nombre) = upper('"&amp;SUBSTITUTE(TRIM(F372),"'","''")&amp;"') AND p.estado = 1 LIMIT 1)")&amp;", "&amp;IF(OR(TRIM(F372&amp;"")="",TRIM(G372&amp;"")="",TRIM(H372&amp;"")=""),"NULL","(SELECT d.id FROM gen_distrito d JOIN gen_provincia p ON p.id = d.id_provincia JOIN gen_departamento dp ON dp.id = p.id_departamento WHERE upper(d.nombre) = upper('"&amp;SUBSTITUTE(TRIM(H372),"'","''")&amp;"') AND upper(p.nombre) = upper('"&amp;SUBSTITUTE(TRIM(G372),"'","''")&amp;"') AND upper(dp.nombre) = upper('"&amp;SUBSTITUTE(TRIM(F372),"'","''")&amp;"') AND d.estado = 1 LIMIT 1)")&amp;", "&amp;IF(I372&amp;""="","NULL",SUBSTITUTE(I372&amp;"",",","."))&amp;", "&amp;IF(J372&amp;""="","NULL",SUBSTITUTE(J372&amp;"",",","."))&amp;", "&amp;IF(UPPER(TRIM(K372&amp;""))="SI","TRUE","FALSE")&amp;", 1"&amp;" WHERE NOT EXISTS (SELECT 1 FROM cli_direcciones x WHERE x.id_cliente = "&amp;"(SELECT id FROM cli_clientes WHERE numero_documento = '"&amp;SUBSTITUTE(TRIM(A372),"'","''")&amp;"' AND estado = 1 LIMIT 1)"&amp;" AND upper(x.direccion) = upper("&amp;IF(TRIM(D372&amp;"")="","NULL","'"&amp;SUBSTITUTE(TRIM(D372),"'","''")&amp;"'")&amp;"));")</f>
        <v/>
      </c>
    </row>
    <row r="373" ht="15.75" customHeight="1" s="64">
      <c r="A373" s="23" t="n"/>
      <c r="B373" s="25">
        <f t="array" ref="B373">IF(A373="","",IFERROR(IF(INDEX(Clientes!$D$5:$D$549,MATCH(A373,Clientes!$C$5:$C$549,0))&lt;&gt;"",INDEX(Clientes!$D$5:$D$549,MATCH(A373,Clientes!$C$5:$C$549,0)),TRIM(INDEX(Clientes!$E$5:$E$549,MATCH(A373,Clientes!$C$5:$C$549,0))&amp;" "&amp;INDEX(Clientes!$F$5:$F$549,MATCH(A373,Clientes!$C$5:$C$549,0)))),"NO EXISTE en Clientes"))</f>
        <v/>
      </c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>
        <f>IF(AND(A373="",D373=""),"",IF(A373="","FALTA doc. cliente",IF(B373="NO EXISTE en Clientes","CLIENTE no está en hoja Clientes",IF(D373="","FALTA dirección",IF(AND(H373&lt;&gt;"",OR(F373="",G373="")),"Distrito requiere departamento y provincia",IF(AND(G373&lt;&gt;"",F373=""),"Provincia requiere departamento",IF((I373&lt;&gt;"")&lt;&gt;(J373&lt;&gt;""),"Latitud y longitud van juntas","OK")))))))</f>
        <v/>
      </c>
      <c r="M373" s="28">
        <f>IF(L373&lt;&gt;"OK","","INSERT INTO cli_direcciones (id_cliente, descripcion, direccion, referencia, id_departamento, id_provincia, id_distrito, latitud, longitud, es_principal, estado) SELECT "&amp;"(SELECT id FROM cli_clientes WHERE numero_documento = '"&amp;SUBSTITUTE(TRIM(A373),"'","''")&amp;"' AND estado = 1 LIMIT 1)"&amp;", "&amp;IF(TRIM(C373&amp;"")="","NULL","'"&amp;SUBSTITUTE(TRIM(C373),"'","''")&amp;"'")&amp;", "&amp;IF(TRIM(D373&amp;"")="","NULL","'"&amp;SUBSTITUTE(TRIM(D373),"'","''")&amp;"'")&amp;", "&amp;IF(TRIM(E373&amp;"")="","NULL","'"&amp;SUBSTITUTE(TRIM(E373),"'","''")&amp;"'")&amp;", "&amp;IF(TRIM(F373&amp;"")="","NULL","(SELECT id FROM gen_departamento WHERE upper(nombre) = upper('"&amp;SUBSTITUTE(TRIM(F373),"'","''")&amp;"') AND estado = 1 LIMIT 1)")&amp;", "&amp;IF(OR(TRIM(F373&amp;"")="",TRIM(G373&amp;"")=""),"NULL","(SELECT p.id FROM gen_provincia p JOIN gen_departamento dp ON dp.id = p.id_departamento WHERE upper(p.nombre) = upper('"&amp;SUBSTITUTE(TRIM(G373),"'","''")&amp;"') AND upper(dp.nombre) = upper('"&amp;SUBSTITUTE(TRIM(F373),"'","''")&amp;"') AND p.estado = 1 LIMIT 1)")&amp;", "&amp;IF(OR(TRIM(F373&amp;"")="",TRIM(G373&amp;"")="",TRIM(H373&amp;"")=""),"NULL","(SELECT d.id FROM gen_distrito d JOIN gen_provincia p ON p.id = d.id_provincia JOIN gen_departamento dp ON dp.id = p.id_departamento WHERE upper(d.nombre) = upper('"&amp;SUBSTITUTE(TRIM(H373),"'","''")&amp;"') AND upper(p.nombre) = upper('"&amp;SUBSTITUTE(TRIM(G373),"'","''")&amp;"') AND upper(dp.nombre) = upper('"&amp;SUBSTITUTE(TRIM(F373),"'","''")&amp;"') AND d.estado = 1 LIMIT 1)")&amp;", "&amp;IF(I373&amp;""="","NULL",SUBSTITUTE(I373&amp;"",",","."))&amp;", "&amp;IF(J373&amp;""="","NULL",SUBSTITUTE(J373&amp;"",",","."))&amp;", "&amp;IF(UPPER(TRIM(K373&amp;""))="SI","TRUE","FALSE")&amp;", 1"&amp;" WHERE NOT EXISTS (SELECT 1 FROM cli_direcciones x WHERE x.id_cliente = "&amp;"(SELECT id FROM cli_clientes WHERE numero_documento = '"&amp;SUBSTITUTE(TRIM(A373),"'","''")&amp;"' AND estado = 1 LIMIT 1)"&amp;" AND upper(x.direccion) = upper("&amp;IF(TRIM(D373&amp;"")="","NULL","'"&amp;SUBSTITUTE(TRIM(D373),"'","''")&amp;"'")&amp;"));")</f>
        <v/>
      </c>
    </row>
    <row r="374" ht="15.75" customHeight="1" s="64">
      <c r="A374" s="23" t="n"/>
      <c r="B374" s="25">
        <f t="array" ref="B374">IF(A374="","",IFERROR(IF(INDEX(Clientes!$D$5:$D$549,MATCH(A374,Clientes!$C$5:$C$549,0))&lt;&gt;"",INDEX(Clientes!$D$5:$D$549,MATCH(A374,Clientes!$C$5:$C$549,0)),TRIM(INDEX(Clientes!$E$5:$E$549,MATCH(A374,Clientes!$C$5:$C$549,0))&amp;" "&amp;INDEX(Clientes!$F$5:$F$549,MATCH(A374,Clientes!$C$5:$C$549,0)))),"NO EXISTE en Clientes"))</f>
        <v/>
      </c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>
        <f>IF(AND(A374="",D374=""),"",IF(A374="","FALTA doc. cliente",IF(B374="NO EXISTE en Clientes","CLIENTE no está en hoja Clientes",IF(D374="","FALTA dirección",IF(AND(H374&lt;&gt;"",OR(F374="",G374="")),"Distrito requiere departamento y provincia",IF(AND(G374&lt;&gt;"",F374=""),"Provincia requiere departamento",IF((I374&lt;&gt;"")&lt;&gt;(J374&lt;&gt;""),"Latitud y longitud van juntas","OK")))))))</f>
        <v/>
      </c>
      <c r="M374" s="28">
        <f>IF(L374&lt;&gt;"OK","","INSERT INTO cli_direcciones (id_cliente, descripcion, direccion, referencia, id_departamento, id_provincia, id_distrito, latitud, longitud, es_principal, estado) SELECT "&amp;"(SELECT id FROM cli_clientes WHERE numero_documento = '"&amp;SUBSTITUTE(TRIM(A374),"'","''")&amp;"' AND estado = 1 LIMIT 1)"&amp;", "&amp;IF(TRIM(C374&amp;"")="","NULL","'"&amp;SUBSTITUTE(TRIM(C374),"'","''")&amp;"'")&amp;", "&amp;IF(TRIM(D374&amp;"")="","NULL","'"&amp;SUBSTITUTE(TRIM(D374),"'","''")&amp;"'")&amp;", "&amp;IF(TRIM(E374&amp;"")="","NULL","'"&amp;SUBSTITUTE(TRIM(E374),"'","''")&amp;"'")&amp;", "&amp;IF(TRIM(F374&amp;"")="","NULL","(SELECT id FROM gen_departamento WHERE upper(nombre) = upper('"&amp;SUBSTITUTE(TRIM(F374),"'","''")&amp;"') AND estado = 1 LIMIT 1)")&amp;", "&amp;IF(OR(TRIM(F374&amp;"")="",TRIM(G374&amp;"")=""),"NULL","(SELECT p.id FROM gen_provincia p JOIN gen_departamento dp ON dp.id = p.id_departamento WHERE upper(p.nombre) = upper('"&amp;SUBSTITUTE(TRIM(G374),"'","''")&amp;"') AND upper(dp.nombre) = upper('"&amp;SUBSTITUTE(TRIM(F374),"'","''")&amp;"') AND p.estado = 1 LIMIT 1)")&amp;", "&amp;IF(OR(TRIM(F374&amp;"")="",TRIM(G374&amp;"")="",TRIM(H374&amp;"")=""),"NULL","(SELECT d.id FROM gen_distrito d JOIN gen_provincia p ON p.id = d.id_provincia JOIN gen_departamento dp ON dp.id = p.id_departamento WHERE upper(d.nombre) = upper('"&amp;SUBSTITUTE(TRIM(H374),"'","''")&amp;"') AND upper(p.nombre) = upper('"&amp;SUBSTITUTE(TRIM(G374),"'","''")&amp;"') AND upper(dp.nombre) = upper('"&amp;SUBSTITUTE(TRIM(F374),"'","''")&amp;"') AND d.estado = 1 LIMIT 1)")&amp;", "&amp;IF(I374&amp;""="","NULL",SUBSTITUTE(I374&amp;"",",","."))&amp;", "&amp;IF(J374&amp;""="","NULL",SUBSTITUTE(J374&amp;"",",","."))&amp;", "&amp;IF(UPPER(TRIM(K374&amp;""))="SI","TRUE","FALSE")&amp;", 1"&amp;" WHERE NOT EXISTS (SELECT 1 FROM cli_direcciones x WHERE x.id_cliente = "&amp;"(SELECT id FROM cli_clientes WHERE numero_documento = '"&amp;SUBSTITUTE(TRIM(A374),"'","''")&amp;"' AND estado = 1 LIMIT 1)"&amp;" AND upper(x.direccion) = upper("&amp;IF(TRIM(D374&amp;"")="","NULL","'"&amp;SUBSTITUTE(TRIM(D374),"'","''")&amp;"'")&amp;"));")</f>
        <v/>
      </c>
    </row>
    <row r="375" ht="15.75" customHeight="1" s="64">
      <c r="A375" s="23" t="n"/>
      <c r="B375" s="25">
        <f t="array" ref="B375">IF(A375="","",IFERROR(IF(INDEX(Clientes!$D$5:$D$549,MATCH(A375,Clientes!$C$5:$C$549,0))&lt;&gt;"",INDEX(Clientes!$D$5:$D$549,MATCH(A375,Clientes!$C$5:$C$549,0)),TRIM(INDEX(Clientes!$E$5:$E$549,MATCH(A375,Clientes!$C$5:$C$549,0))&amp;" "&amp;INDEX(Clientes!$F$5:$F$549,MATCH(A375,Clientes!$C$5:$C$549,0)))),"NO EXISTE en Clientes"))</f>
        <v/>
      </c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>
        <f>IF(AND(A375="",D375=""),"",IF(A375="","FALTA doc. cliente",IF(B375="NO EXISTE en Clientes","CLIENTE no está en hoja Clientes",IF(D375="","FALTA dirección",IF(AND(H375&lt;&gt;"",OR(F375="",G375="")),"Distrito requiere departamento y provincia",IF(AND(G375&lt;&gt;"",F375=""),"Provincia requiere departamento",IF((I375&lt;&gt;"")&lt;&gt;(J375&lt;&gt;""),"Latitud y longitud van juntas","OK")))))))</f>
        <v/>
      </c>
      <c r="M375" s="28">
        <f>IF(L375&lt;&gt;"OK","","INSERT INTO cli_direcciones (id_cliente, descripcion, direccion, referencia, id_departamento, id_provincia, id_distrito, latitud, longitud, es_principal, estado) SELECT "&amp;"(SELECT id FROM cli_clientes WHERE numero_documento = '"&amp;SUBSTITUTE(TRIM(A375),"'","''")&amp;"' AND estado = 1 LIMIT 1)"&amp;", "&amp;IF(TRIM(C375&amp;"")="","NULL","'"&amp;SUBSTITUTE(TRIM(C375),"'","''")&amp;"'")&amp;", "&amp;IF(TRIM(D375&amp;"")="","NULL","'"&amp;SUBSTITUTE(TRIM(D375),"'","''")&amp;"'")&amp;", "&amp;IF(TRIM(E375&amp;"")="","NULL","'"&amp;SUBSTITUTE(TRIM(E375),"'","''")&amp;"'")&amp;", "&amp;IF(TRIM(F375&amp;"")="","NULL","(SELECT id FROM gen_departamento WHERE upper(nombre) = upper('"&amp;SUBSTITUTE(TRIM(F375),"'","''")&amp;"') AND estado = 1 LIMIT 1)")&amp;", "&amp;IF(OR(TRIM(F375&amp;"")="",TRIM(G375&amp;"")=""),"NULL","(SELECT p.id FROM gen_provincia p JOIN gen_departamento dp ON dp.id = p.id_departamento WHERE upper(p.nombre) = upper('"&amp;SUBSTITUTE(TRIM(G375),"'","''")&amp;"') AND upper(dp.nombre) = upper('"&amp;SUBSTITUTE(TRIM(F375),"'","''")&amp;"') AND p.estado = 1 LIMIT 1)")&amp;", "&amp;IF(OR(TRIM(F375&amp;"")="",TRIM(G375&amp;"")="",TRIM(H375&amp;"")=""),"NULL","(SELECT d.id FROM gen_distrito d JOIN gen_provincia p ON p.id = d.id_provincia JOIN gen_departamento dp ON dp.id = p.id_departamento WHERE upper(d.nombre) = upper('"&amp;SUBSTITUTE(TRIM(H375),"'","''")&amp;"') AND upper(p.nombre) = upper('"&amp;SUBSTITUTE(TRIM(G375),"'","''")&amp;"') AND upper(dp.nombre) = upper('"&amp;SUBSTITUTE(TRIM(F375),"'","''")&amp;"') AND d.estado = 1 LIMIT 1)")&amp;", "&amp;IF(I375&amp;""="","NULL",SUBSTITUTE(I375&amp;"",",","."))&amp;", "&amp;IF(J375&amp;""="","NULL",SUBSTITUTE(J375&amp;"",",","."))&amp;", "&amp;IF(UPPER(TRIM(K375&amp;""))="SI","TRUE","FALSE")&amp;", 1"&amp;" WHERE NOT EXISTS (SELECT 1 FROM cli_direcciones x WHERE x.id_cliente = "&amp;"(SELECT id FROM cli_clientes WHERE numero_documento = '"&amp;SUBSTITUTE(TRIM(A375),"'","''")&amp;"' AND estado = 1 LIMIT 1)"&amp;" AND upper(x.direccion) = upper("&amp;IF(TRIM(D375&amp;"")="","NULL","'"&amp;SUBSTITUTE(TRIM(D375),"'","''")&amp;"'")&amp;"));")</f>
        <v/>
      </c>
    </row>
    <row r="376" ht="15.75" customHeight="1" s="64">
      <c r="A376" s="23" t="n"/>
      <c r="B376" s="25">
        <f t="array" ref="B376">IF(A376="","",IFERROR(IF(INDEX(Clientes!$D$5:$D$549,MATCH(A376,Clientes!$C$5:$C$549,0))&lt;&gt;"",INDEX(Clientes!$D$5:$D$549,MATCH(A376,Clientes!$C$5:$C$549,0)),TRIM(INDEX(Clientes!$E$5:$E$549,MATCH(A376,Clientes!$C$5:$C$549,0))&amp;" "&amp;INDEX(Clientes!$F$5:$F$549,MATCH(A376,Clientes!$C$5:$C$549,0)))),"NO EXISTE en Clientes"))</f>
        <v/>
      </c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>
        <f>IF(AND(A376="",D376=""),"",IF(A376="","FALTA doc. cliente",IF(B376="NO EXISTE en Clientes","CLIENTE no está en hoja Clientes",IF(D376="","FALTA dirección",IF(AND(H376&lt;&gt;"",OR(F376="",G376="")),"Distrito requiere departamento y provincia",IF(AND(G376&lt;&gt;"",F376=""),"Provincia requiere departamento",IF((I376&lt;&gt;"")&lt;&gt;(J376&lt;&gt;""),"Latitud y longitud van juntas","OK")))))))</f>
        <v/>
      </c>
      <c r="M376" s="28">
        <f>IF(L376&lt;&gt;"OK","","INSERT INTO cli_direcciones (id_cliente, descripcion, direccion, referencia, id_departamento, id_provincia, id_distrito, latitud, longitud, es_principal, estado) SELECT "&amp;"(SELECT id FROM cli_clientes WHERE numero_documento = '"&amp;SUBSTITUTE(TRIM(A376),"'","''")&amp;"' AND estado = 1 LIMIT 1)"&amp;", "&amp;IF(TRIM(C376&amp;"")="","NULL","'"&amp;SUBSTITUTE(TRIM(C376),"'","''")&amp;"'")&amp;", "&amp;IF(TRIM(D376&amp;"")="","NULL","'"&amp;SUBSTITUTE(TRIM(D376),"'","''")&amp;"'")&amp;", "&amp;IF(TRIM(E376&amp;"")="","NULL","'"&amp;SUBSTITUTE(TRIM(E376),"'","''")&amp;"'")&amp;", "&amp;IF(TRIM(F376&amp;"")="","NULL","(SELECT id FROM gen_departamento WHERE upper(nombre) = upper('"&amp;SUBSTITUTE(TRIM(F376),"'","''")&amp;"') AND estado = 1 LIMIT 1)")&amp;", "&amp;IF(OR(TRIM(F376&amp;"")="",TRIM(G376&amp;"")=""),"NULL","(SELECT p.id FROM gen_provincia p JOIN gen_departamento dp ON dp.id = p.id_departamento WHERE upper(p.nombre) = upper('"&amp;SUBSTITUTE(TRIM(G376),"'","''")&amp;"') AND upper(dp.nombre) = upper('"&amp;SUBSTITUTE(TRIM(F376),"'","''")&amp;"') AND p.estado = 1 LIMIT 1)")&amp;", "&amp;IF(OR(TRIM(F376&amp;"")="",TRIM(G376&amp;"")="",TRIM(H376&amp;"")=""),"NULL","(SELECT d.id FROM gen_distrito d JOIN gen_provincia p ON p.id = d.id_provincia JOIN gen_departamento dp ON dp.id = p.id_departamento WHERE upper(d.nombre) = upper('"&amp;SUBSTITUTE(TRIM(H376),"'","''")&amp;"') AND upper(p.nombre) = upper('"&amp;SUBSTITUTE(TRIM(G376),"'","''")&amp;"') AND upper(dp.nombre) = upper('"&amp;SUBSTITUTE(TRIM(F376),"'","''")&amp;"') AND d.estado = 1 LIMIT 1)")&amp;", "&amp;IF(I376&amp;""="","NULL",SUBSTITUTE(I376&amp;"",",","."))&amp;", "&amp;IF(J376&amp;""="","NULL",SUBSTITUTE(J376&amp;"",",","."))&amp;", "&amp;IF(UPPER(TRIM(K376&amp;""))="SI","TRUE","FALSE")&amp;", 1"&amp;" WHERE NOT EXISTS (SELECT 1 FROM cli_direcciones x WHERE x.id_cliente = "&amp;"(SELECT id FROM cli_clientes WHERE numero_documento = '"&amp;SUBSTITUTE(TRIM(A376),"'","''")&amp;"' AND estado = 1 LIMIT 1)"&amp;" AND upper(x.direccion) = upper("&amp;IF(TRIM(D376&amp;"")="","NULL","'"&amp;SUBSTITUTE(TRIM(D376),"'","''")&amp;"'")&amp;"));")</f>
        <v/>
      </c>
    </row>
    <row r="377" ht="15.75" customHeight="1" s="64">
      <c r="A377" s="23" t="n"/>
      <c r="B377" s="25">
        <f t="array" ref="B377">IF(A377="","",IFERROR(IF(INDEX(Clientes!$D$5:$D$549,MATCH(A377,Clientes!$C$5:$C$549,0))&lt;&gt;"",INDEX(Clientes!$D$5:$D$549,MATCH(A377,Clientes!$C$5:$C$549,0)),TRIM(INDEX(Clientes!$E$5:$E$549,MATCH(A377,Clientes!$C$5:$C$549,0))&amp;" "&amp;INDEX(Clientes!$F$5:$F$549,MATCH(A377,Clientes!$C$5:$C$549,0)))),"NO EXISTE en Clientes"))</f>
        <v/>
      </c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>
        <f>IF(AND(A377="",D377=""),"",IF(A377="","FALTA doc. cliente",IF(B377="NO EXISTE en Clientes","CLIENTE no está en hoja Clientes",IF(D377="","FALTA dirección",IF(AND(H377&lt;&gt;"",OR(F377="",G377="")),"Distrito requiere departamento y provincia",IF(AND(G377&lt;&gt;"",F377=""),"Provincia requiere departamento",IF((I377&lt;&gt;"")&lt;&gt;(J377&lt;&gt;""),"Latitud y longitud van juntas","OK")))))))</f>
        <v/>
      </c>
      <c r="M377" s="28">
        <f>IF(L377&lt;&gt;"OK","","INSERT INTO cli_direcciones (id_cliente, descripcion, direccion, referencia, id_departamento, id_provincia, id_distrito, latitud, longitud, es_principal, estado) SELECT "&amp;"(SELECT id FROM cli_clientes WHERE numero_documento = '"&amp;SUBSTITUTE(TRIM(A377),"'","''")&amp;"' AND estado = 1 LIMIT 1)"&amp;", "&amp;IF(TRIM(C377&amp;"")="","NULL","'"&amp;SUBSTITUTE(TRIM(C377),"'","''")&amp;"'")&amp;", "&amp;IF(TRIM(D377&amp;"")="","NULL","'"&amp;SUBSTITUTE(TRIM(D377),"'","''")&amp;"'")&amp;", "&amp;IF(TRIM(E377&amp;"")="","NULL","'"&amp;SUBSTITUTE(TRIM(E377),"'","''")&amp;"'")&amp;", "&amp;IF(TRIM(F377&amp;"")="","NULL","(SELECT id FROM gen_departamento WHERE upper(nombre) = upper('"&amp;SUBSTITUTE(TRIM(F377),"'","''")&amp;"') AND estado = 1 LIMIT 1)")&amp;", "&amp;IF(OR(TRIM(F377&amp;"")="",TRIM(G377&amp;"")=""),"NULL","(SELECT p.id FROM gen_provincia p JOIN gen_departamento dp ON dp.id = p.id_departamento WHERE upper(p.nombre) = upper('"&amp;SUBSTITUTE(TRIM(G377),"'","''")&amp;"') AND upper(dp.nombre) = upper('"&amp;SUBSTITUTE(TRIM(F377),"'","''")&amp;"') AND p.estado = 1 LIMIT 1)")&amp;", "&amp;IF(OR(TRIM(F377&amp;"")="",TRIM(G377&amp;"")="",TRIM(H377&amp;"")=""),"NULL","(SELECT d.id FROM gen_distrito d JOIN gen_provincia p ON p.id = d.id_provincia JOIN gen_departamento dp ON dp.id = p.id_departamento WHERE upper(d.nombre) = upper('"&amp;SUBSTITUTE(TRIM(H377),"'","''")&amp;"') AND upper(p.nombre) = upper('"&amp;SUBSTITUTE(TRIM(G377),"'","''")&amp;"') AND upper(dp.nombre) = upper('"&amp;SUBSTITUTE(TRIM(F377),"'","''")&amp;"') AND d.estado = 1 LIMIT 1)")&amp;", "&amp;IF(I377&amp;""="","NULL",SUBSTITUTE(I377&amp;"",",","."))&amp;", "&amp;IF(J377&amp;""="","NULL",SUBSTITUTE(J377&amp;"",",","."))&amp;", "&amp;IF(UPPER(TRIM(K377&amp;""))="SI","TRUE","FALSE")&amp;", 1"&amp;" WHERE NOT EXISTS (SELECT 1 FROM cli_direcciones x WHERE x.id_cliente = "&amp;"(SELECT id FROM cli_clientes WHERE numero_documento = '"&amp;SUBSTITUTE(TRIM(A377),"'","''")&amp;"' AND estado = 1 LIMIT 1)"&amp;" AND upper(x.direccion) = upper("&amp;IF(TRIM(D377&amp;"")="","NULL","'"&amp;SUBSTITUTE(TRIM(D377),"'","''")&amp;"'")&amp;"));")</f>
        <v/>
      </c>
    </row>
    <row r="378" ht="15.75" customHeight="1" s="64">
      <c r="A378" s="23" t="n"/>
      <c r="B378" s="25">
        <f t="array" ref="B378">IF(A378="","",IFERROR(IF(INDEX(Clientes!$D$5:$D$549,MATCH(A378,Clientes!$C$5:$C$549,0))&lt;&gt;"",INDEX(Clientes!$D$5:$D$549,MATCH(A378,Clientes!$C$5:$C$549,0)),TRIM(INDEX(Clientes!$E$5:$E$549,MATCH(A378,Clientes!$C$5:$C$549,0))&amp;" "&amp;INDEX(Clientes!$F$5:$F$549,MATCH(A378,Clientes!$C$5:$C$549,0)))),"NO EXISTE en Clientes"))</f>
        <v/>
      </c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>
        <f>IF(AND(A378="",D378=""),"",IF(A378="","FALTA doc. cliente",IF(B378="NO EXISTE en Clientes","CLIENTE no está en hoja Clientes",IF(D378="","FALTA dirección",IF(AND(H378&lt;&gt;"",OR(F378="",G378="")),"Distrito requiere departamento y provincia",IF(AND(G378&lt;&gt;"",F378=""),"Provincia requiere departamento",IF((I378&lt;&gt;"")&lt;&gt;(J378&lt;&gt;""),"Latitud y longitud van juntas","OK")))))))</f>
        <v/>
      </c>
      <c r="M378" s="28">
        <f>IF(L378&lt;&gt;"OK","","INSERT INTO cli_direcciones (id_cliente, descripcion, direccion, referencia, id_departamento, id_provincia, id_distrito, latitud, longitud, es_principal, estado) SELECT "&amp;"(SELECT id FROM cli_clientes WHERE numero_documento = '"&amp;SUBSTITUTE(TRIM(A378),"'","''")&amp;"' AND estado = 1 LIMIT 1)"&amp;", "&amp;IF(TRIM(C378&amp;"")="","NULL","'"&amp;SUBSTITUTE(TRIM(C378),"'","''")&amp;"'")&amp;", "&amp;IF(TRIM(D378&amp;"")="","NULL","'"&amp;SUBSTITUTE(TRIM(D378),"'","''")&amp;"'")&amp;", "&amp;IF(TRIM(E378&amp;"")="","NULL","'"&amp;SUBSTITUTE(TRIM(E378),"'","''")&amp;"'")&amp;", "&amp;IF(TRIM(F378&amp;"")="","NULL","(SELECT id FROM gen_departamento WHERE upper(nombre) = upper('"&amp;SUBSTITUTE(TRIM(F378),"'","''")&amp;"') AND estado = 1 LIMIT 1)")&amp;", "&amp;IF(OR(TRIM(F378&amp;"")="",TRIM(G378&amp;"")=""),"NULL","(SELECT p.id FROM gen_provincia p JOIN gen_departamento dp ON dp.id = p.id_departamento WHERE upper(p.nombre) = upper('"&amp;SUBSTITUTE(TRIM(G378),"'","''")&amp;"') AND upper(dp.nombre) = upper('"&amp;SUBSTITUTE(TRIM(F378),"'","''")&amp;"') AND p.estado = 1 LIMIT 1)")&amp;", "&amp;IF(OR(TRIM(F378&amp;"")="",TRIM(G378&amp;"")="",TRIM(H378&amp;"")=""),"NULL","(SELECT d.id FROM gen_distrito d JOIN gen_provincia p ON p.id = d.id_provincia JOIN gen_departamento dp ON dp.id = p.id_departamento WHERE upper(d.nombre) = upper('"&amp;SUBSTITUTE(TRIM(H378),"'","''")&amp;"') AND upper(p.nombre) = upper('"&amp;SUBSTITUTE(TRIM(G378),"'","''")&amp;"') AND upper(dp.nombre) = upper('"&amp;SUBSTITUTE(TRIM(F378),"'","''")&amp;"') AND d.estado = 1 LIMIT 1)")&amp;", "&amp;IF(I378&amp;""="","NULL",SUBSTITUTE(I378&amp;"",",","."))&amp;", "&amp;IF(J378&amp;""="","NULL",SUBSTITUTE(J378&amp;"",",","."))&amp;", "&amp;IF(UPPER(TRIM(K378&amp;""))="SI","TRUE","FALSE")&amp;", 1"&amp;" WHERE NOT EXISTS (SELECT 1 FROM cli_direcciones x WHERE x.id_cliente = "&amp;"(SELECT id FROM cli_clientes WHERE numero_documento = '"&amp;SUBSTITUTE(TRIM(A378),"'","''")&amp;"' AND estado = 1 LIMIT 1)"&amp;" AND upper(x.direccion) = upper("&amp;IF(TRIM(D378&amp;"")="","NULL","'"&amp;SUBSTITUTE(TRIM(D378),"'","''")&amp;"'")&amp;"));")</f>
        <v/>
      </c>
    </row>
    <row r="379" ht="15.75" customHeight="1" s="64">
      <c r="A379" s="23" t="n"/>
      <c r="B379" s="25">
        <f t="array" ref="B379">IF(A379="","",IFERROR(IF(INDEX(Clientes!$D$5:$D$549,MATCH(A379,Clientes!$C$5:$C$549,0))&lt;&gt;"",INDEX(Clientes!$D$5:$D$549,MATCH(A379,Clientes!$C$5:$C$549,0)),TRIM(INDEX(Clientes!$E$5:$E$549,MATCH(A379,Clientes!$C$5:$C$549,0))&amp;" "&amp;INDEX(Clientes!$F$5:$F$549,MATCH(A379,Clientes!$C$5:$C$549,0)))),"NO EXISTE en Clientes"))</f>
        <v/>
      </c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>
        <f>IF(AND(A379="",D379=""),"",IF(A379="","FALTA doc. cliente",IF(B379="NO EXISTE en Clientes","CLIENTE no está en hoja Clientes",IF(D379="","FALTA dirección",IF(AND(H379&lt;&gt;"",OR(F379="",G379="")),"Distrito requiere departamento y provincia",IF(AND(G379&lt;&gt;"",F379=""),"Provincia requiere departamento",IF((I379&lt;&gt;"")&lt;&gt;(J379&lt;&gt;""),"Latitud y longitud van juntas","OK")))))))</f>
        <v/>
      </c>
      <c r="M379" s="28">
        <f>IF(L379&lt;&gt;"OK","","INSERT INTO cli_direcciones (id_cliente, descripcion, direccion, referencia, id_departamento, id_provincia, id_distrito, latitud, longitud, es_principal, estado) SELECT "&amp;"(SELECT id FROM cli_clientes WHERE numero_documento = '"&amp;SUBSTITUTE(TRIM(A379),"'","''")&amp;"' AND estado = 1 LIMIT 1)"&amp;", "&amp;IF(TRIM(C379&amp;"")="","NULL","'"&amp;SUBSTITUTE(TRIM(C379),"'","''")&amp;"'")&amp;", "&amp;IF(TRIM(D379&amp;"")="","NULL","'"&amp;SUBSTITUTE(TRIM(D379),"'","''")&amp;"'")&amp;", "&amp;IF(TRIM(E379&amp;"")="","NULL","'"&amp;SUBSTITUTE(TRIM(E379),"'","''")&amp;"'")&amp;", "&amp;IF(TRIM(F379&amp;"")="","NULL","(SELECT id FROM gen_departamento WHERE upper(nombre) = upper('"&amp;SUBSTITUTE(TRIM(F379),"'","''")&amp;"') AND estado = 1 LIMIT 1)")&amp;", "&amp;IF(OR(TRIM(F379&amp;"")="",TRIM(G379&amp;"")=""),"NULL","(SELECT p.id FROM gen_provincia p JOIN gen_departamento dp ON dp.id = p.id_departamento WHERE upper(p.nombre) = upper('"&amp;SUBSTITUTE(TRIM(G379),"'","''")&amp;"') AND upper(dp.nombre) = upper('"&amp;SUBSTITUTE(TRIM(F379),"'","''")&amp;"') AND p.estado = 1 LIMIT 1)")&amp;", "&amp;IF(OR(TRIM(F379&amp;"")="",TRIM(G379&amp;"")="",TRIM(H379&amp;"")=""),"NULL","(SELECT d.id FROM gen_distrito d JOIN gen_provincia p ON p.id = d.id_provincia JOIN gen_departamento dp ON dp.id = p.id_departamento WHERE upper(d.nombre) = upper('"&amp;SUBSTITUTE(TRIM(H379),"'","''")&amp;"') AND upper(p.nombre) = upper('"&amp;SUBSTITUTE(TRIM(G379),"'","''")&amp;"') AND upper(dp.nombre) = upper('"&amp;SUBSTITUTE(TRIM(F379),"'","''")&amp;"') AND d.estado = 1 LIMIT 1)")&amp;", "&amp;IF(I379&amp;""="","NULL",SUBSTITUTE(I379&amp;"",",","."))&amp;", "&amp;IF(J379&amp;""="","NULL",SUBSTITUTE(J379&amp;"",",","."))&amp;", "&amp;IF(UPPER(TRIM(K379&amp;""))="SI","TRUE","FALSE")&amp;", 1"&amp;" WHERE NOT EXISTS (SELECT 1 FROM cli_direcciones x WHERE x.id_cliente = "&amp;"(SELECT id FROM cli_clientes WHERE numero_documento = '"&amp;SUBSTITUTE(TRIM(A379),"'","''")&amp;"' AND estado = 1 LIMIT 1)"&amp;" AND upper(x.direccion) = upper("&amp;IF(TRIM(D379&amp;"")="","NULL","'"&amp;SUBSTITUTE(TRIM(D379),"'","''")&amp;"'")&amp;"));")</f>
        <v/>
      </c>
    </row>
    <row r="380" ht="15.75" customHeight="1" s="64">
      <c r="A380" s="23" t="n"/>
      <c r="B380" s="25">
        <f t="array" ref="B380">IF(A380="","",IFERROR(IF(INDEX(Clientes!$D$5:$D$549,MATCH(A380,Clientes!$C$5:$C$549,0))&lt;&gt;"",INDEX(Clientes!$D$5:$D$549,MATCH(A380,Clientes!$C$5:$C$549,0)),TRIM(INDEX(Clientes!$E$5:$E$549,MATCH(A380,Clientes!$C$5:$C$549,0))&amp;" "&amp;INDEX(Clientes!$F$5:$F$549,MATCH(A380,Clientes!$C$5:$C$549,0)))),"NO EXISTE en Clientes"))</f>
        <v/>
      </c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>
        <f>IF(AND(A380="",D380=""),"",IF(A380="","FALTA doc. cliente",IF(B380="NO EXISTE en Clientes","CLIENTE no está en hoja Clientes",IF(D380="","FALTA dirección",IF(AND(H380&lt;&gt;"",OR(F380="",G380="")),"Distrito requiere departamento y provincia",IF(AND(G380&lt;&gt;"",F380=""),"Provincia requiere departamento",IF((I380&lt;&gt;"")&lt;&gt;(J380&lt;&gt;""),"Latitud y longitud van juntas","OK")))))))</f>
        <v/>
      </c>
      <c r="M380" s="28">
        <f>IF(L380&lt;&gt;"OK","","INSERT INTO cli_direcciones (id_cliente, descripcion, direccion, referencia, id_departamento, id_provincia, id_distrito, latitud, longitud, es_principal, estado) SELECT "&amp;"(SELECT id FROM cli_clientes WHERE numero_documento = '"&amp;SUBSTITUTE(TRIM(A380),"'","''")&amp;"' AND estado = 1 LIMIT 1)"&amp;", "&amp;IF(TRIM(C380&amp;"")="","NULL","'"&amp;SUBSTITUTE(TRIM(C380),"'","''")&amp;"'")&amp;", "&amp;IF(TRIM(D380&amp;"")="","NULL","'"&amp;SUBSTITUTE(TRIM(D380),"'","''")&amp;"'")&amp;", "&amp;IF(TRIM(E380&amp;"")="","NULL","'"&amp;SUBSTITUTE(TRIM(E380),"'","''")&amp;"'")&amp;", "&amp;IF(TRIM(F380&amp;"")="","NULL","(SELECT id FROM gen_departamento WHERE upper(nombre) = upper('"&amp;SUBSTITUTE(TRIM(F380),"'","''")&amp;"') AND estado = 1 LIMIT 1)")&amp;", "&amp;IF(OR(TRIM(F380&amp;"")="",TRIM(G380&amp;"")=""),"NULL","(SELECT p.id FROM gen_provincia p JOIN gen_departamento dp ON dp.id = p.id_departamento WHERE upper(p.nombre) = upper('"&amp;SUBSTITUTE(TRIM(G380),"'","''")&amp;"') AND upper(dp.nombre) = upper('"&amp;SUBSTITUTE(TRIM(F380),"'","''")&amp;"') AND p.estado = 1 LIMIT 1)")&amp;", "&amp;IF(OR(TRIM(F380&amp;"")="",TRIM(G380&amp;"")="",TRIM(H380&amp;"")=""),"NULL","(SELECT d.id FROM gen_distrito d JOIN gen_provincia p ON p.id = d.id_provincia JOIN gen_departamento dp ON dp.id = p.id_departamento WHERE upper(d.nombre) = upper('"&amp;SUBSTITUTE(TRIM(H380),"'","''")&amp;"') AND upper(p.nombre) = upper('"&amp;SUBSTITUTE(TRIM(G380),"'","''")&amp;"') AND upper(dp.nombre) = upper('"&amp;SUBSTITUTE(TRIM(F380),"'","''")&amp;"') AND d.estado = 1 LIMIT 1)")&amp;", "&amp;IF(I380&amp;""="","NULL",SUBSTITUTE(I380&amp;"",",","."))&amp;", "&amp;IF(J380&amp;""="","NULL",SUBSTITUTE(J380&amp;"",",","."))&amp;", "&amp;IF(UPPER(TRIM(K380&amp;""))="SI","TRUE","FALSE")&amp;", 1"&amp;" WHERE NOT EXISTS (SELECT 1 FROM cli_direcciones x WHERE x.id_cliente = "&amp;"(SELECT id FROM cli_clientes WHERE numero_documento = '"&amp;SUBSTITUTE(TRIM(A380),"'","''")&amp;"' AND estado = 1 LIMIT 1)"&amp;" AND upper(x.direccion) = upper("&amp;IF(TRIM(D380&amp;"")="","NULL","'"&amp;SUBSTITUTE(TRIM(D380),"'","''")&amp;"'")&amp;"));")</f>
        <v/>
      </c>
    </row>
    <row r="381" ht="15.75" customHeight="1" s="64">
      <c r="A381" s="23" t="n"/>
      <c r="B381" s="25">
        <f t="array" ref="B381">IF(A381="","",IFERROR(IF(INDEX(Clientes!$D$5:$D$549,MATCH(A381,Clientes!$C$5:$C$549,0))&lt;&gt;"",INDEX(Clientes!$D$5:$D$549,MATCH(A381,Clientes!$C$5:$C$549,0)),TRIM(INDEX(Clientes!$E$5:$E$549,MATCH(A381,Clientes!$C$5:$C$549,0))&amp;" "&amp;INDEX(Clientes!$F$5:$F$549,MATCH(A381,Clientes!$C$5:$C$549,0)))),"NO EXISTE en Clientes"))</f>
        <v/>
      </c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>
        <f>IF(AND(A381="",D381=""),"",IF(A381="","FALTA doc. cliente",IF(B381="NO EXISTE en Clientes","CLIENTE no está en hoja Clientes",IF(D381="","FALTA dirección",IF(AND(H381&lt;&gt;"",OR(F381="",G381="")),"Distrito requiere departamento y provincia",IF(AND(G381&lt;&gt;"",F381=""),"Provincia requiere departamento",IF((I381&lt;&gt;"")&lt;&gt;(J381&lt;&gt;""),"Latitud y longitud van juntas","OK")))))))</f>
        <v/>
      </c>
      <c r="M381" s="28">
        <f>IF(L381&lt;&gt;"OK","","INSERT INTO cli_direcciones (id_cliente, descripcion, direccion, referencia, id_departamento, id_provincia, id_distrito, latitud, longitud, es_principal, estado) SELECT "&amp;"(SELECT id FROM cli_clientes WHERE numero_documento = '"&amp;SUBSTITUTE(TRIM(A381),"'","''")&amp;"' AND estado = 1 LIMIT 1)"&amp;", "&amp;IF(TRIM(C381&amp;"")="","NULL","'"&amp;SUBSTITUTE(TRIM(C381),"'","''")&amp;"'")&amp;", "&amp;IF(TRIM(D381&amp;"")="","NULL","'"&amp;SUBSTITUTE(TRIM(D381),"'","''")&amp;"'")&amp;", "&amp;IF(TRIM(E381&amp;"")="","NULL","'"&amp;SUBSTITUTE(TRIM(E381),"'","''")&amp;"'")&amp;", "&amp;IF(TRIM(F381&amp;"")="","NULL","(SELECT id FROM gen_departamento WHERE upper(nombre) = upper('"&amp;SUBSTITUTE(TRIM(F381),"'","''")&amp;"') AND estado = 1 LIMIT 1)")&amp;", "&amp;IF(OR(TRIM(F381&amp;"")="",TRIM(G381&amp;"")=""),"NULL","(SELECT p.id FROM gen_provincia p JOIN gen_departamento dp ON dp.id = p.id_departamento WHERE upper(p.nombre) = upper('"&amp;SUBSTITUTE(TRIM(G381),"'","''")&amp;"') AND upper(dp.nombre) = upper('"&amp;SUBSTITUTE(TRIM(F381),"'","''")&amp;"') AND p.estado = 1 LIMIT 1)")&amp;", "&amp;IF(OR(TRIM(F381&amp;"")="",TRIM(G381&amp;"")="",TRIM(H381&amp;"")=""),"NULL","(SELECT d.id FROM gen_distrito d JOIN gen_provincia p ON p.id = d.id_provincia JOIN gen_departamento dp ON dp.id = p.id_departamento WHERE upper(d.nombre) = upper('"&amp;SUBSTITUTE(TRIM(H381),"'","''")&amp;"') AND upper(p.nombre) = upper('"&amp;SUBSTITUTE(TRIM(G381),"'","''")&amp;"') AND upper(dp.nombre) = upper('"&amp;SUBSTITUTE(TRIM(F381),"'","''")&amp;"') AND d.estado = 1 LIMIT 1)")&amp;", "&amp;IF(I381&amp;""="","NULL",SUBSTITUTE(I381&amp;"",",","."))&amp;", "&amp;IF(J381&amp;""="","NULL",SUBSTITUTE(J381&amp;"",",","."))&amp;", "&amp;IF(UPPER(TRIM(K381&amp;""))="SI","TRUE","FALSE")&amp;", 1"&amp;" WHERE NOT EXISTS (SELECT 1 FROM cli_direcciones x WHERE x.id_cliente = "&amp;"(SELECT id FROM cli_clientes WHERE numero_documento = '"&amp;SUBSTITUTE(TRIM(A381),"'","''")&amp;"' AND estado = 1 LIMIT 1)"&amp;" AND upper(x.direccion) = upper("&amp;IF(TRIM(D381&amp;"")="","NULL","'"&amp;SUBSTITUTE(TRIM(D381),"'","''")&amp;"'")&amp;"));")</f>
        <v/>
      </c>
    </row>
    <row r="382" ht="15.75" customHeight="1" s="64">
      <c r="A382" s="23" t="n"/>
      <c r="B382" s="25">
        <f t="array" ref="B382">IF(A382="","",IFERROR(IF(INDEX(Clientes!$D$5:$D$549,MATCH(A382,Clientes!$C$5:$C$549,0))&lt;&gt;"",INDEX(Clientes!$D$5:$D$549,MATCH(A382,Clientes!$C$5:$C$549,0)),TRIM(INDEX(Clientes!$E$5:$E$549,MATCH(A382,Clientes!$C$5:$C$549,0))&amp;" "&amp;INDEX(Clientes!$F$5:$F$549,MATCH(A382,Clientes!$C$5:$C$549,0)))),"NO EXISTE en Clientes"))</f>
        <v/>
      </c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>
        <f>IF(AND(A382="",D382=""),"",IF(A382="","FALTA doc. cliente",IF(B382="NO EXISTE en Clientes","CLIENTE no está en hoja Clientes",IF(D382="","FALTA dirección",IF(AND(H382&lt;&gt;"",OR(F382="",G382="")),"Distrito requiere departamento y provincia",IF(AND(G382&lt;&gt;"",F382=""),"Provincia requiere departamento",IF((I382&lt;&gt;"")&lt;&gt;(J382&lt;&gt;""),"Latitud y longitud van juntas","OK")))))))</f>
        <v/>
      </c>
      <c r="M382" s="28">
        <f>IF(L382&lt;&gt;"OK","","INSERT INTO cli_direcciones (id_cliente, descripcion, direccion, referencia, id_departamento, id_provincia, id_distrito, latitud, longitud, es_principal, estado) SELECT "&amp;"(SELECT id FROM cli_clientes WHERE numero_documento = '"&amp;SUBSTITUTE(TRIM(A382),"'","''")&amp;"' AND estado = 1 LIMIT 1)"&amp;", "&amp;IF(TRIM(C382&amp;"")="","NULL","'"&amp;SUBSTITUTE(TRIM(C382),"'","''")&amp;"'")&amp;", "&amp;IF(TRIM(D382&amp;"")="","NULL","'"&amp;SUBSTITUTE(TRIM(D382),"'","''")&amp;"'")&amp;", "&amp;IF(TRIM(E382&amp;"")="","NULL","'"&amp;SUBSTITUTE(TRIM(E382),"'","''")&amp;"'")&amp;", "&amp;IF(TRIM(F382&amp;"")="","NULL","(SELECT id FROM gen_departamento WHERE upper(nombre) = upper('"&amp;SUBSTITUTE(TRIM(F382),"'","''")&amp;"') AND estado = 1 LIMIT 1)")&amp;", "&amp;IF(OR(TRIM(F382&amp;"")="",TRIM(G382&amp;"")=""),"NULL","(SELECT p.id FROM gen_provincia p JOIN gen_departamento dp ON dp.id = p.id_departamento WHERE upper(p.nombre) = upper('"&amp;SUBSTITUTE(TRIM(G382),"'","''")&amp;"') AND upper(dp.nombre) = upper('"&amp;SUBSTITUTE(TRIM(F382),"'","''")&amp;"') AND p.estado = 1 LIMIT 1)")&amp;", "&amp;IF(OR(TRIM(F382&amp;"")="",TRIM(G382&amp;"")="",TRIM(H382&amp;"")=""),"NULL","(SELECT d.id FROM gen_distrito d JOIN gen_provincia p ON p.id = d.id_provincia JOIN gen_departamento dp ON dp.id = p.id_departamento WHERE upper(d.nombre) = upper('"&amp;SUBSTITUTE(TRIM(H382),"'","''")&amp;"') AND upper(p.nombre) = upper('"&amp;SUBSTITUTE(TRIM(G382),"'","''")&amp;"') AND upper(dp.nombre) = upper('"&amp;SUBSTITUTE(TRIM(F382),"'","''")&amp;"') AND d.estado = 1 LIMIT 1)")&amp;", "&amp;IF(I382&amp;""="","NULL",SUBSTITUTE(I382&amp;"",",","."))&amp;", "&amp;IF(J382&amp;""="","NULL",SUBSTITUTE(J382&amp;"",",","."))&amp;", "&amp;IF(UPPER(TRIM(K382&amp;""))="SI","TRUE","FALSE")&amp;", 1"&amp;" WHERE NOT EXISTS (SELECT 1 FROM cli_direcciones x WHERE x.id_cliente = "&amp;"(SELECT id FROM cli_clientes WHERE numero_documento = '"&amp;SUBSTITUTE(TRIM(A382),"'","''")&amp;"' AND estado = 1 LIMIT 1)"&amp;" AND upper(x.direccion) = upper("&amp;IF(TRIM(D382&amp;"")="","NULL","'"&amp;SUBSTITUTE(TRIM(D382),"'","''")&amp;"'")&amp;"));")</f>
        <v/>
      </c>
    </row>
    <row r="383" ht="15.75" customHeight="1" s="64">
      <c r="A383" s="23" t="n"/>
      <c r="B383" s="25">
        <f t="array" ref="B383">IF(A383="","",IFERROR(IF(INDEX(Clientes!$D$5:$D$549,MATCH(A383,Clientes!$C$5:$C$549,0))&lt;&gt;"",INDEX(Clientes!$D$5:$D$549,MATCH(A383,Clientes!$C$5:$C$549,0)),TRIM(INDEX(Clientes!$E$5:$E$549,MATCH(A383,Clientes!$C$5:$C$549,0))&amp;" "&amp;INDEX(Clientes!$F$5:$F$549,MATCH(A383,Clientes!$C$5:$C$549,0)))),"NO EXISTE en Clientes"))</f>
        <v/>
      </c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>
        <f>IF(AND(A383="",D383=""),"",IF(A383="","FALTA doc. cliente",IF(B383="NO EXISTE en Clientes","CLIENTE no está en hoja Clientes",IF(D383="","FALTA dirección",IF(AND(H383&lt;&gt;"",OR(F383="",G383="")),"Distrito requiere departamento y provincia",IF(AND(G383&lt;&gt;"",F383=""),"Provincia requiere departamento",IF((I383&lt;&gt;"")&lt;&gt;(J383&lt;&gt;""),"Latitud y longitud van juntas","OK")))))))</f>
        <v/>
      </c>
      <c r="M383" s="28">
        <f>IF(L383&lt;&gt;"OK","","INSERT INTO cli_direcciones (id_cliente, descripcion, direccion, referencia, id_departamento, id_provincia, id_distrito, latitud, longitud, es_principal, estado) SELECT "&amp;"(SELECT id FROM cli_clientes WHERE numero_documento = '"&amp;SUBSTITUTE(TRIM(A383),"'","''")&amp;"' AND estado = 1 LIMIT 1)"&amp;", "&amp;IF(TRIM(C383&amp;"")="","NULL","'"&amp;SUBSTITUTE(TRIM(C383),"'","''")&amp;"'")&amp;", "&amp;IF(TRIM(D383&amp;"")="","NULL","'"&amp;SUBSTITUTE(TRIM(D383),"'","''")&amp;"'")&amp;", "&amp;IF(TRIM(E383&amp;"")="","NULL","'"&amp;SUBSTITUTE(TRIM(E383),"'","''")&amp;"'")&amp;", "&amp;IF(TRIM(F383&amp;"")="","NULL","(SELECT id FROM gen_departamento WHERE upper(nombre) = upper('"&amp;SUBSTITUTE(TRIM(F383),"'","''")&amp;"') AND estado = 1 LIMIT 1)")&amp;", "&amp;IF(OR(TRIM(F383&amp;"")="",TRIM(G383&amp;"")=""),"NULL","(SELECT p.id FROM gen_provincia p JOIN gen_departamento dp ON dp.id = p.id_departamento WHERE upper(p.nombre) = upper('"&amp;SUBSTITUTE(TRIM(G383),"'","''")&amp;"') AND upper(dp.nombre) = upper('"&amp;SUBSTITUTE(TRIM(F383),"'","''")&amp;"') AND p.estado = 1 LIMIT 1)")&amp;", "&amp;IF(OR(TRIM(F383&amp;"")="",TRIM(G383&amp;"")="",TRIM(H383&amp;"")=""),"NULL","(SELECT d.id FROM gen_distrito d JOIN gen_provincia p ON p.id = d.id_provincia JOIN gen_departamento dp ON dp.id = p.id_departamento WHERE upper(d.nombre) = upper('"&amp;SUBSTITUTE(TRIM(H383),"'","''")&amp;"') AND upper(p.nombre) = upper('"&amp;SUBSTITUTE(TRIM(G383),"'","''")&amp;"') AND upper(dp.nombre) = upper('"&amp;SUBSTITUTE(TRIM(F383),"'","''")&amp;"') AND d.estado = 1 LIMIT 1)")&amp;", "&amp;IF(I383&amp;""="","NULL",SUBSTITUTE(I383&amp;"",",","."))&amp;", "&amp;IF(J383&amp;""="","NULL",SUBSTITUTE(J383&amp;"",",","."))&amp;", "&amp;IF(UPPER(TRIM(K383&amp;""))="SI","TRUE","FALSE")&amp;", 1"&amp;" WHERE NOT EXISTS (SELECT 1 FROM cli_direcciones x WHERE x.id_cliente = "&amp;"(SELECT id FROM cli_clientes WHERE numero_documento = '"&amp;SUBSTITUTE(TRIM(A383),"'","''")&amp;"' AND estado = 1 LIMIT 1)"&amp;" AND upper(x.direccion) = upper("&amp;IF(TRIM(D383&amp;"")="","NULL","'"&amp;SUBSTITUTE(TRIM(D383),"'","''")&amp;"'")&amp;"));")</f>
        <v/>
      </c>
    </row>
    <row r="384" ht="15.75" customHeight="1" s="64">
      <c r="A384" s="23" t="n"/>
      <c r="B384" s="25">
        <f t="array" ref="B384">IF(A384="","",IFERROR(IF(INDEX(Clientes!$D$5:$D$549,MATCH(A384,Clientes!$C$5:$C$549,0))&lt;&gt;"",INDEX(Clientes!$D$5:$D$549,MATCH(A384,Clientes!$C$5:$C$549,0)),TRIM(INDEX(Clientes!$E$5:$E$549,MATCH(A384,Clientes!$C$5:$C$549,0))&amp;" "&amp;INDEX(Clientes!$F$5:$F$549,MATCH(A384,Clientes!$C$5:$C$549,0)))),"NO EXISTE en Clientes"))</f>
        <v/>
      </c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>
        <f>IF(AND(A384="",D384=""),"",IF(A384="","FALTA doc. cliente",IF(B384="NO EXISTE en Clientes","CLIENTE no está en hoja Clientes",IF(D384="","FALTA dirección",IF(AND(H384&lt;&gt;"",OR(F384="",G384="")),"Distrito requiere departamento y provincia",IF(AND(G384&lt;&gt;"",F384=""),"Provincia requiere departamento",IF((I384&lt;&gt;"")&lt;&gt;(J384&lt;&gt;""),"Latitud y longitud van juntas","OK")))))))</f>
        <v/>
      </c>
      <c r="M384" s="28">
        <f>IF(L384&lt;&gt;"OK","","INSERT INTO cli_direcciones (id_cliente, descripcion, direccion, referencia, id_departamento, id_provincia, id_distrito, latitud, longitud, es_principal, estado) SELECT "&amp;"(SELECT id FROM cli_clientes WHERE numero_documento = '"&amp;SUBSTITUTE(TRIM(A384),"'","''")&amp;"' AND estado = 1 LIMIT 1)"&amp;", "&amp;IF(TRIM(C384&amp;"")="","NULL","'"&amp;SUBSTITUTE(TRIM(C384),"'","''")&amp;"'")&amp;", "&amp;IF(TRIM(D384&amp;"")="","NULL","'"&amp;SUBSTITUTE(TRIM(D384),"'","''")&amp;"'")&amp;", "&amp;IF(TRIM(E384&amp;"")="","NULL","'"&amp;SUBSTITUTE(TRIM(E384),"'","''")&amp;"'")&amp;", "&amp;IF(TRIM(F384&amp;"")="","NULL","(SELECT id FROM gen_departamento WHERE upper(nombre) = upper('"&amp;SUBSTITUTE(TRIM(F384),"'","''")&amp;"') AND estado = 1 LIMIT 1)")&amp;", "&amp;IF(OR(TRIM(F384&amp;"")="",TRIM(G384&amp;"")=""),"NULL","(SELECT p.id FROM gen_provincia p JOIN gen_departamento dp ON dp.id = p.id_departamento WHERE upper(p.nombre) = upper('"&amp;SUBSTITUTE(TRIM(G384),"'","''")&amp;"') AND upper(dp.nombre) = upper('"&amp;SUBSTITUTE(TRIM(F384),"'","''")&amp;"') AND p.estado = 1 LIMIT 1)")&amp;", "&amp;IF(OR(TRIM(F384&amp;"")="",TRIM(G384&amp;"")="",TRIM(H384&amp;"")=""),"NULL","(SELECT d.id FROM gen_distrito d JOIN gen_provincia p ON p.id = d.id_provincia JOIN gen_departamento dp ON dp.id = p.id_departamento WHERE upper(d.nombre) = upper('"&amp;SUBSTITUTE(TRIM(H384),"'","''")&amp;"') AND upper(p.nombre) = upper('"&amp;SUBSTITUTE(TRIM(G384),"'","''")&amp;"') AND upper(dp.nombre) = upper('"&amp;SUBSTITUTE(TRIM(F384),"'","''")&amp;"') AND d.estado = 1 LIMIT 1)")&amp;", "&amp;IF(I384&amp;""="","NULL",SUBSTITUTE(I384&amp;"",",","."))&amp;", "&amp;IF(J384&amp;""="","NULL",SUBSTITUTE(J384&amp;"",",","."))&amp;", "&amp;IF(UPPER(TRIM(K384&amp;""))="SI","TRUE","FALSE")&amp;", 1"&amp;" WHERE NOT EXISTS (SELECT 1 FROM cli_direcciones x WHERE x.id_cliente = "&amp;"(SELECT id FROM cli_clientes WHERE numero_documento = '"&amp;SUBSTITUTE(TRIM(A384),"'","''")&amp;"' AND estado = 1 LIMIT 1)"&amp;" AND upper(x.direccion) = upper("&amp;IF(TRIM(D384&amp;"")="","NULL","'"&amp;SUBSTITUTE(TRIM(D384),"'","''")&amp;"'")&amp;"));")</f>
        <v/>
      </c>
    </row>
    <row r="385" ht="15.75" customHeight="1" s="64">
      <c r="A385" s="23" t="n"/>
      <c r="B385" s="25">
        <f t="array" ref="B385">IF(A385="","",IFERROR(IF(INDEX(Clientes!$D$5:$D$549,MATCH(A385,Clientes!$C$5:$C$549,0))&lt;&gt;"",INDEX(Clientes!$D$5:$D$549,MATCH(A385,Clientes!$C$5:$C$549,0)),TRIM(INDEX(Clientes!$E$5:$E$549,MATCH(A385,Clientes!$C$5:$C$549,0))&amp;" "&amp;INDEX(Clientes!$F$5:$F$549,MATCH(A385,Clientes!$C$5:$C$549,0)))),"NO EXISTE en Clientes"))</f>
        <v/>
      </c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>
        <f>IF(AND(A385="",D385=""),"",IF(A385="","FALTA doc. cliente",IF(B385="NO EXISTE en Clientes","CLIENTE no está en hoja Clientes",IF(D385="","FALTA dirección",IF(AND(H385&lt;&gt;"",OR(F385="",G385="")),"Distrito requiere departamento y provincia",IF(AND(G385&lt;&gt;"",F385=""),"Provincia requiere departamento",IF((I385&lt;&gt;"")&lt;&gt;(J385&lt;&gt;""),"Latitud y longitud van juntas","OK")))))))</f>
        <v/>
      </c>
      <c r="M385" s="28">
        <f>IF(L385&lt;&gt;"OK","","INSERT INTO cli_direcciones (id_cliente, descripcion, direccion, referencia, id_departamento, id_provincia, id_distrito, latitud, longitud, es_principal, estado) SELECT "&amp;"(SELECT id FROM cli_clientes WHERE numero_documento = '"&amp;SUBSTITUTE(TRIM(A385),"'","''")&amp;"' AND estado = 1 LIMIT 1)"&amp;", "&amp;IF(TRIM(C385&amp;"")="","NULL","'"&amp;SUBSTITUTE(TRIM(C385),"'","''")&amp;"'")&amp;", "&amp;IF(TRIM(D385&amp;"")="","NULL","'"&amp;SUBSTITUTE(TRIM(D385),"'","''")&amp;"'")&amp;", "&amp;IF(TRIM(E385&amp;"")="","NULL","'"&amp;SUBSTITUTE(TRIM(E385),"'","''")&amp;"'")&amp;", "&amp;IF(TRIM(F385&amp;"")="","NULL","(SELECT id FROM gen_departamento WHERE upper(nombre) = upper('"&amp;SUBSTITUTE(TRIM(F385),"'","''")&amp;"') AND estado = 1 LIMIT 1)")&amp;", "&amp;IF(OR(TRIM(F385&amp;"")="",TRIM(G385&amp;"")=""),"NULL","(SELECT p.id FROM gen_provincia p JOIN gen_departamento dp ON dp.id = p.id_departamento WHERE upper(p.nombre) = upper('"&amp;SUBSTITUTE(TRIM(G385),"'","''")&amp;"') AND upper(dp.nombre) = upper('"&amp;SUBSTITUTE(TRIM(F385),"'","''")&amp;"') AND p.estado = 1 LIMIT 1)")&amp;", "&amp;IF(OR(TRIM(F385&amp;"")="",TRIM(G385&amp;"")="",TRIM(H385&amp;"")=""),"NULL","(SELECT d.id FROM gen_distrito d JOIN gen_provincia p ON p.id = d.id_provincia JOIN gen_departamento dp ON dp.id = p.id_departamento WHERE upper(d.nombre) = upper('"&amp;SUBSTITUTE(TRIM(H385),"'","''")&amp;"') AND upper(p.nombre) = upper('"&amp;SUBSTITUTE(TRIM(G385),"'","''")&amp;"') AND upper(dp.nombre) = upper('"&amp;SUBSTITUTE(TRIM(F385),"'","''")&amp;"') AND d.estado = 1 LIMIT 1)")&amp;", "&amp;IF(I385&amp;""="","NULL",SUBSTITUTE(I385&amp;"",",","."))&amp;", "&amp;IF(J385&amp;""="","NULL",SUBSTITUTE(J385&amp;"",",","."))&amp;", "&amp;IF(UPPER(TRIM(K385&amp;""))="SI","TRUE","FALSE")&amp;", 1"&amp;" WHERE NOT EXISTS (SELECT 1 FROM cli_direcciones x WHERE x.id_cliente = "&amp;"(SELECT id FROM cli_clientes WHERE numero_documento = '"&amp;SUBSTITUTE(TRIM(A385),"'","''")&amp;"' AND estado = 1 LIMIT 1)"&amp;" AND upper(x.direccion) = upper("&amp;IF(TRIM(D385&amp;"")="","NULL","'"&amp;SUBSTITUTE(TRIM(D385),"'","''")&amp;"'")&amp;"));")</f>
        <v/>
      </c>
    </row>
    <row r="386" ht="15.75" customHeight="1" s="64">
      <c r="A386" s="23" t="n"/>
      <c r="B386" s="25">
        <f t="array" ref="B386">IF(A386="","",IFERROR(IF(INDEX(Clientes!$D$5:$D$549,MATCH(A386,Clientes!$C$5:$C$549,0))&lt;&gt;"",INDEX(Clientes!$D$5:$D$549,MATCH(A386,Clientes!$C$5:$C$549,0)),TRIM(INDEX(Clientes!$E$5:$E$549,MATCH(A386,Clientes!$C$5:$C$549,0))&amp;" "&amp;INDEX(Clientes!$F$5:$F$549,MATCH(A386,Clientes!$C$5:$C$549,0)))),"NO EXISTE en Clientes"))</f>
        <v/>
      </c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>
        <f>IF(AND(A386="",D386=""),"",IF(A386="","FALTA doc. cliente",IF(B386="NO EXISTE en Clientes","CLIENTE no está en hoja Clientes",IF(D386="","FALTA dirección",IF(AND(H386&lt;&gt;"",OR(F386="",G386="")),"Distrito requiere departamento y provincia",IF(AND(G386&lt;&gt;"",F386=""),"Provincia requiere departamento",IF((I386&lt;&gt;"")&lt;&gt;(J386&lt;&gt;""),"Latitud y longitud van juntas","OK")))))))</f>
        <v/>
      </c>
      <c r="M386" s="28">
        <f>IF(L386&lt;&gt;"OK","","INSERT INTO cli_direcciones (id_cliente, descripcion, direccion, referencia, id_departamento, id_provincia, id_distrito, latitud, longitud, es_principal, estado) SELECT "&amp;"(SELECT id FROM cli_clientes WHERE numero_documento = '"&amp;SUBSTITUTE(TRIM(A386),"'","''")&amp;"' AND estado = 1 LIMIT 1)"&amp;", "&amp;IF(TRIM(C386&amp;"")="","NULL","'"&amp;SUBSTITUTE(TRIM(C386),"'","''")&amp;"'")&amp;", "&amp;IF(TRIM(D386&amp;"")="","NULL","'"&amp;SUBSTITUTE(TRIM(D386),"'","''")&amp;"'")&amp;", "&amp;IF(TRIM(E386&amp;"")="","NULL","'"&amp;SUBSTITUTE(TRIM(E386),"'","''")&amp;"'")&amp;", "&amp;IF(TRIM(F386&amp;"")="","NULL","(SELECT id FROM gen_departamento WHERE upper(nombre) = upper('"&amp;SUBSTITUTE(TRIM(F386),"'","''")&amp;"') AND estado = 1 LIMIT 1)")&amp;", "&amp;IF(OR(TRIM(F386&amp;"")="",TRIM(G386&amp;"")=""),"NULL","(SELECT p.id FROM gen_provincia p JOIN gen_departamento dp ON dp.id = p.id_departamento WHERE upper(p.nombre) = upper('"&amp;SUBSTITUTE(TRIM(G386),"'","''")&amp;"') AND upper(dp.nombre) = upper('"&amp;SUBSTITUTE(TRIM(F386),"'","''")&amp;"') AND p.estado = 1 LIMIT 1)")&amp;", "&amp;IF(OR(TRIM(F386&amp;"")="",TRIM(G386&amp;"")="",TRIM(H386&amp;"")=""),"NULL","(SELECT d.id FROM gen_distrito d JOIN gen_provincia p ON p.id = d.id_provincia JOIN gen_departamento dp ON dp.id = p.id_departamento WHERE upper(d.nombre) = upper('"&amp;SUBSTITUTE(TRIM(H386),"'","''")&amp;"') AND upper(p.nombre) = upper('"&amp;SUBSTITUTE(TRIM(G386),"'","''")&amp;"') AND upper(dp.nombre) = upper('"&amp;SUBSTITUTE(TRIM(F386),"'","''")&amp;"') AND d.estado = 1 LIMIT 1)")&amp;", "&amp;IF(I386&amp;""="","NULL",SUBSTITUTE(I386&amp;"",",","."))&amp;", "&amp;IF(J386&amp;""="","NULL",SUBSTITUTE(J386&amp;"",",","."))&amp;", "&amp;IF(UPPER(TRIM(K386&amp;""))="SI","TRUE","FALSE")&amp;", 1"&amp;" WHERE NOT EXISTS (SELECT 1 FROM cli_direcciones x WHERE x.id_cliente = "&amp;"(SELECT id FROM cli_clientes WHERE numero_documento = '"&amp;SUBSTITUTE(TRIM(A386),"'","''")&amp;"' AND estado = 1 LIMIT 1)"&amp;" AND upper(x.direccion) = upper("&amp;IF(TRIM(D386&amp;"")="","NULL","'"&amp;SUBSTITUTE(TRIM(D386),"'","''")&amp;"'")&amp;"));")</f>
        <v/>
      </c>
    </row>
    <row r="387" ht="15.75" customHeight="1" s="64">
      <c r="A387" s="23" t="n"/>
      <c r="B387" s="25">
        <f t="array" ref="B387">IF(A387="","",IFERROR(IF(INDEX(Clientes!$D$5:$D$549,MATCH(A387,Clientes!$C$5:$C$549,0))&lt;&gt;"",INDEX(Clientes!$D$5:$D$549,MATCH(A387,Clientes!$C$5:$C$549,0)),TRIM(INDEX(Clientes!$E$5:$E$549,MATCH(A387,Clientes!$C$5:$C$549,0))&amp;" "&amp;INDEX(Clientes!$F$5:$F$549,MATCH(A387,Clientes!$C$5:$C$549,0)))),"NO EXISTE en Clientes"))</f>
        <v/>
      </c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>
        <f>IF(AND(A387="",D387=""),"",IF(A387="","FALTA doc. cliente",IF(B387="NO EXISTE en Clientes","CLIENTE no está en hoja Clientes",IF(D387="","FALTA dirección",IF(AND(H387&lt;&gt;"",OR(F387="",G387="")),"Distrito requiere departamento y provincia",IF(AND(G387&lt;&gt;"",F387=""),"Provincia requiere departamento",IF((I387&lt;&gt;"")&lt;&gt;(J387&lt;&gt;""),"Latitud y longitud van juntas","OK")))))))</f>
        <v/>
      </c>
      <c r="M387" s="28">
        <f>IF(L387&lt;&gt;"OK","","INSERT INTO cli_direcciones (id_cliente, descripcion, direccion, referencia, id_departamento, id_provincia, id_distrito, latitud, longitud, es_principal, estado) SELECT "&amp;"(SELECT id FROM cli_clientes WHERE numero_documento = '"&amp;SUBSTITUTE(TRIM(A387),"'","''")&amp;"' AND estado = 1 LIMIT 1)"&amp;", "&amp;IF(TRIM(C387&amp;"")="","NULL","'"&amp;SUBSTITUTE(TRIM(C387),"'","''")&amp;"'")&amp;", "&amp;IF(TRIM(D387&amp;"")="","NULL","'"&amp;SUBSTITUTE(TRIM(D387),"'","''")&amp;"'")&amp;", "&amp;IF(TRIM(E387&amp;"")="","NULL","'"&amp;SUBSTITUTE(TRIM(E387),"'","''")&amp;"'")&amp;", "&amp;IF(TRIM(F387&amp;"")="","NULL","(SELECT id FROM gen_departamento WHERE upper(nombre) = upper('"&amp;SUBSTITUTE(TRIM(F387),"'","''")&amp;"') AND estado = 1 LIMIT 1)")&amp;", "&amp;IF(OR(TRIM(F387&amp;"")="",TRIM(G387&amp;"")=""),"NULL","(SELECT p.id FROM gen_provincia p JOIN gen_departamento dp ON dp.id = p.id_departamento WHERE upper(p.nombre) = upper('"&amp;SUBSTITUTE(TRIM(G387),"'","''")&amp;"') AND upper(dp.nombre) = upper('"&amp;SUBSTITUTE(TRIM(F387),"'","''")&amp;"') AND p.estado = 1 LIMIT 1)")&amp;", "&amp;IF(OR(TRIM(F387&amp;"")="",TRIM(G387&amp;"")="",TRIM(H387&amp;"")=""),"NULL","(SELECT d.id FROM gen_distrito d JOIN gen_provincia p ON p.id = d.id_provincia JOIN gen_departamento dp ON dp.id = p.id_departamento WHERE upper(d.nombre) = upper('"&amp;SUBSTITUTE(TRIM(H387),"'","''")&amp;"') AND upper(p.nombre) = upper('"&amp;SUBSTITUTE(TRIM(G387),"'","''")&amp;"') AND upper(dp.nombre) = upper('"&amp;SUBSTITUTE(TRIM(F387),"'","''")&amp;"') AND d.estado = 1 LIMIT 1)")&amp;", "&amp;IF(I387&amp;""="","NULL",SUBSTITUTE(I387&amp;"",",","."))&amp;", "&amp;IF(J387&amp;""="","NULL",SUBSTITUTE(J387&amp;"",",","."))&amp;", "&amp;IF(UPPER(TRIM(K387&amp;""))="SI","TRUE","FALSE")&amp;", 1"&amp;" WHERE NOT EXISTS (SELECT 1 FROM cli_direcciones x WHERE x.id_cliente = "&amp;"(SELECT id FROM cli_clientes WHERE numero_documento = '"&amp;SUBSTITUTE(TRIM(A387),"'","''")&amp;"' AND estado = 1 LIMIT 1)"&amp;" AND upper(x.direccion) = upper("&amp;IF(TRIM(D387&amp;"")="","NULL","'"&amp;SUBSTITUTE(TRIM(D387),"'","''")&amp;"'")&amp;"));")</f>
        <v/>
      </c>
    </row>
    <row r="388" ht="15.75" customHeight="1" s="64">
      <c r="A388" s="23" t="n"/>
      <c r="B388" s="25">
        <f t="array" ref="B388">IF(A388="","",IFERROR(IF(INDEX(Clientes!$D$5:$D$549,MATCH(A388,Clientes!$C$5:$C$549,0))&lt;&gt;"",INDEX(Clientes!$D$5:$D$549,MATCH(A388,Clientes!$C$5:$C$549,0)),TRIM(INDEX(Clientes!$E$5:$E$549,MATCH(A388,Clientes!$C$5:$C$549,0))&amp;" "&amp;INDEX(Clientes!$F$5:$F$549,MATCH(A388,Clientes!$C$5:$C$549,0)))),"NO EXISTE en Clientes"))</f>
        <v/>
      </c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>
        <f>IF(AND(A388="",D388=""),"",IF(A388="","FALTA doc. cliente",IF(B388="NO EXISTE en Clientes","CLIENTE no está en hoja Clientes",IF(D388="","FALTA dirección",IF(AND(H388&lt;&gt;"",OR(F388="",G388="")),"Distrito requiere departamento y provincia",IF(AND(G388&lt;&gt;"",F388=""),"Provincia requiere departamento",IF((I388&lt;&gt;"")&lt;&gt;(J388&lt;&gt;""),"Latitud y longitud van juntas","OK")))))))</f>
        <v/>
      </c>
      <c r="M388" s="28">
        <f>IF(L388&lt;&gt;"OK","","INSERT INTO cli_direcciones (id_cliente, descripcion, direccion, referencia, id_departamento, id_provincia, id_distrito, latitud, longitud, es_principal, estado) SELECT "&amp;"(SELECT id FROM cli_clientes WHERE numero_documento = '"&amp;SUBSTITUTE(TRIM(A388),"'","''")&amp;"' AND estado = 1 LIMIT 1)"&amp;", "&amp;IF(TRIM(C388&amp;"")="","NULL","'"&amp;SUBSTITUTE(TRIM(C388),"'","''")&amp;"'")&amp;", "&amp;IF(TRIM(D388&amp;"")="","NULL","'"&amp;SUBSTITUTE(TRIM(D388),"'","''")&amp;"'")&amp;", "&amp;IF(TRIM(E388&amp;"")="","NULL","'"&amp;SUBSTITUTE(TRIM(E388),"'","''")&amp;"'")&amp;", "&amp;IF(TRIM(F388&amp;"")="","NULL","(SELECT id FROM gen_departamento WHERE upper(nombre) = upper('"&amp;SUBSTITUTE(TRIM(F388),"'","''")&amp;"') AND estado = 1 LIMIT 1)")&amp;", "&amp;IF(OR(TRIM(F388&amp;"")="",TRIM(G388&amp;"")=""),"NULL","(SELECT p.id FROM gen_provincia p JOIN gen_departamento dp ON dp.id = p.id_departamento WHERE upper(p.nombre) = upper('"&amp;SUBSTITUTE(TRIM(G388),"'","''")&amp;"') AND upper(dp.nombre) = upper('"&amp;SUBSTITUTE(TRIM(F388),"'","''")&amp;"') AND p.estado = 1 LIMIT 1)")&amp;", "&amp;IF(OR(TRIM(F388&amp;"")="",TRIM(G388&amp;"")="",TRIM(H388&amp;"")=""),"NULL","(SELECT d.id FROM gen_distrito d JOIN gen_provincia p ON p.id = d.id_provincia JOIN gen_departamento dp ON dp.id = p.id_departamento WHERE upper(d.nombre) = upper('"&amp;SUBSTITUTE(TRIM(H388),"'","''")&amp;"') AND upper(p.nombre) = upper('"&amp;SUBSTITUTE(TRIM(G388),"'","''")&amp;"') AND upper(dp.nombre) = upper('"&amp;SUBSTITUTE(TRIM(F388),"'","''")&amp;"') AND d.estado = 1 LIMIT 1)")&amp;", "&amp;IF(I388&amp;""="","NULL",SUBSTITUTE(I388&amp;"",",","."))&amp;", "&amp;IF(J388&amp;""="","NULL",SUBSTITUTE(J388&amp;"",",","."))&amp;", "&amp;IF(UPPER(TRIM(K388&amp;""))="SI","TRUE","FALSE")&amp;", 1"&amp;" WHERE NOT EXISTS (SELECT 1 FROM cli_direcciones x WHERE x.id_cliente = "&amp;"(SELECT id FROM cli_clientes WHERE numero_documento = '"&amp;SUBSTITUTE(TRIM(A388),"'","''")&amp;"' AND estado = 1 LIMIT 1)"&amp;" AND upper(x.direccion) = upper("&amp;IF(TRIM(D388&amp;"")="","NULL","'"&amp;SUBSTITUTE(TRIM(D388),"'","''")&amp;"'")&amp;"));")</f>
        <v/>
      </c>
    </row>
    <row r="389" ht="15.75" customHeight="1" s="64">
      <c r="A389" s="23" t="n"/>
      <c r="B389" s="25">
        <f t="array" ref="B389">IF(A389="","",IFERROR(IF(INDEX(Clientes!$D$5:$D$549,MATCH(A389,Clientes!$C$5:$C$549,0))&lt;&gt;"",INDEX(Clientes!$D$5:$D$549,MATCH(A389,Clientes!$C$5:$C$549,0)),TRIM(INDEX(Clientes!$E$5:$E$549,MATCH(A389,Clientes!$C$5:$C$549,0))&amp;" "&amp;INDEX(Clientes!$F$5:$F$549,MATCH(A389,Clientes!$C$5:$C$549,0)))),"NO EXISTE en Clientes"))</f>
        <v/>
      </c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>
        <f>IF(AND(A389="",D389=""),"",IF(A389="","FALTA doc. cliente",IF(B389="NO EXISTE en Clientes","CLIENTE no está en hoja Clientes",IF(D389="","FALTA dirección",IF(AND(H389&lt;&gt;"",OR(F389="",G389="")),"Distrito requiere departamento y provincia",IF(AND(G389&lt;&gt;"",F389=""),"Provincia requiere departamento",IF((I389&lt;&gt;"")&lt;&gt;(J389&lt;&gt;""),"Latitud y longitud van juntas","OK")))))))</f>
        <v/>
      </c>
      <c r="M389" s="28">
        <f>IF(L389&lt;&gt;"OK","","INSERT INTO cli_direcciones (id_cliente, descripcion, direccion, referencia, id_departamento, id_provincia, id_distrito, latitud, longitud, es_principal, estado) SELECT "&amp;"(SELECT id FROM cli_clientes WHERE numero_documento = '"&amp;SUBSTITUTE(TRIM(A389),"'","''")&amp;"' AND estado = 1 LIMIT 1)"&amp;", "&amp;IF(TRIM(C389&amp;"")="","NULL","'"&amp;SUBSTITUTE(TRIM(C389),"'","''")&amp;"'")&amp;", "&amp;IF(TRIM(D389&amp;"")="","NULL","'"&amp;SUBSTITUTE(TRIM(D389),"'","''")&amp;"'")&amp;", "&amp;IF(TRIM(E389&amp;"")="","NULL","'"&amp;SUBSTITUTE(TRIM(E389),"'","''")&amp;"'")&amp;", "&amp;IF(TRIM(F389&amp;"")="","NULL","(SELECT id FROM gen_departamento WHERE upper(nombre) = upper('"&amp;SUBSTITUTE(TRIM(F389),"'","''")&amp;"') AND estado = 1 LIMIT 1)")&amp;", "&amp;IF(OR(TRIM(F389&amp;"")="",TRIM(G389&amp;"")=""),"NULL","(SELECT p.id FROM gen_provincia p JOIN gen_departamento dp ON dp.id = p.id_departamento WHERE upper(p.nombre) = upper('"&amp;SUBSTITUTE(TRIM(G389),"'","''")&amp;"') AND upper(dp.nombre) = upper('"&amp;SUBSTITUTE(TRIM(F389),"'","''")&amp;"') AND p.estado = 1 LIMIT 1)")&amp;", "&amp;IF(OR(TRIM(F389&amp;"")="",TRIM(G389&amp;"")="",TRIM(H389&amp;"")=""),"NULL","(SELECT d.id FROM gen_distrito d JOIN gen_provincia p ON p.id = d.id_provincia JOIN gen_departamento dp ON dp.id = p.id_departamento WHERE upper(d.nombre) = upper('"&amp;SUBSTITUTE(TRIM(H389),"'","''")&amp;"') AND upper(p.nombre) = upper('"&amp;SUBSTITUTE(TRIM(G389),"'","''")&amp;"') AND upper(dp.nombre) = upper('"&amp;SUBSTITUTE(TRIM(F389),"'","''")&amp;"') AND d.estado = 1 LIMIT 1)")&amp;", "&amp;IF(I389&amp;""="","NULL",SUBSTITUTE(I389&amp;"",",","."))&amp;", "&amp;IF(J389&amp;""="","NULL",SUBSTITUTE(J389&amp;"",",","."))&amp;", "&amp;IF(UPPER(TRIM(K389&amp;""))="SI","TRUE","FALSE")&amp;", 1"&amp;" WHERE NOT EXISTS (SELECT 1 FROM cli_direcciones x WHERE x.id_cliente = "&amp;"(SELECT id FROM cli_clientes WHERE numero_documento = '"&amp;SUBSTITUTE(TRIM(A389),"'","''")&amp;"' AND estado = 1 LIMIT 1)"&amp;" AND upper(x.direccion) = upper("&amp;IF(TRIM(D389&amp;"")="","NULL","'"&amp;SUBSTITUTE(TRIM(D389),"'","''")&amp;"'")&amp;"));")</f>
        <v/>
      </c>
    </row>
    <row r="390" ht="15.75" customHeight="1" s="64">
      <c r="A390" s="23" t="n"/>
      <c r="B390" s="25">
        <f t="array" ref="B390">IF(A390="","",IFERROR(IF(INDEX(Clientes!$D$5:$D$549,MATCH(A390,Clientes!$C$5:$C$549,0))&lt;&gt;"",INDEX(Clientes!$D$5:$D$549,MATCH(A390,Clientes!$C$5:$C$549,0)),TRIM(INDEX(Clientes!$E$5:$E$549,MATCH(A390,Clientes!$C$5:$C$549,0))&amp;" "&amp;INDEX(Clientes!$F$5:$F$549,MATCH(A390,Clientes!$C$5:$C$549,0)))),"NO EXISTE en Clientes"))</f>
        <v/>
      </c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>
        <f>IF(AND(A390="",D390=""),"",IF(A390="","FALTA doc. cliente",IF(B390="NO EXISTE en Clientes","CLIENTE no está en hoja Clientes",IF(D390="","FALTA dirección",IF(AND(H390&lt;&gt;"",OR(F390="",G390="")),"Distrito requiere departamento y provincia",IF(AND(G390&lt;&gt;"",F390=""),"Provincia requiere departamento",IF((I390&lt;&gt;"")&lt;&gt;(J390&lt;&gt;""),"Latitud y longitud van juntas","OK")))))))</f>
        <v/>
      </c>
      <c r="M390" s="28">
        <f>IF(L390&lt;&gt;"OK","","INSERT INTO cli_direcciones (id_cliente, descripcion, direccion, referencia, id_departamento, id_provincia, id_distrito, latitud, longitud, es_principal, estado) SELECT "&amp;"(SELECT id FROM cli_clientes WHERE numero_documento = '"&amp;SUBSTITUTE(TRIM(A390),"'","''")&amp;"' AND estado = 1 LIMIT 1)"&amp;", "&amp;IF(TRIM(C390&amp;"")="","NULL","'"&amp;SUBSTITUTE(TRIM(C390),"'","''")&amp;"'")&amp;", "&amp;IF(TRIM(D390&amp;"")="","NULL","'"&amp;SUBSTITUTE(TRIM(D390),"'","''")&amp;"'")&amp;", "&amp;IF(TRIM(E390&amp;"")="","NULL","'"&amp;SUBSTITUTE(TRIM(E390),"'","''")&amp;"'")&amp;", "&amp;IF(TRIM(F390&amp;"")="","NULL","(SELECT id FROM gen_departamento WHERE upper(nombre) = upper('"&amp;SUBSTITUTE(TRIM(F390),"'","''")&amp;"') AND estado = 1 LIMIT 1)")&amp;", "&amp;IF(OR(TRIM(F390&amp;"")="",TRIM(G390&amp;"")=""),"NULL","(SELECT p.id FROM gen_provincia p JOIN gen_departamento dp ON dp.id = p.id_departamento WHERE upper(p.nombre) = upper('"&amp;SUBSTITUTE(TRIM(G390),"'","''")&amp;"') AND upper(dp.nombre) = upper('"&amp;SUBSTITUTE(TRIM(F390),"'","''")&amp;"') AND p.estado = 1 LIMIT 1)")&amp;", "&amp;IF(OR(TRIM(F390&amp;"")="",TRIM(G390&amp;"")="",TRIM(H390&amp;"")=""),"NULL","(SELECT d.id FROM gen_distrito d JOIN gen_provincia p ON p.id = d.id_provincia JOIN gen_departamento dp ON dp.id = p.id_departamento WHERE upper(d.nombre) = upper('"&amp;SUBSTITUTE(TRIM(H390),"'","''")&amp;"') AND upper(p.nombre) = upper('"&amp;SUBSTITUTE(TRIM(G390),"'","''")&amp;"') AND upper(dp.nombre) = upper('"&amp;SUBSTITUTE(TRIM(F390),"'","''")&amp;"') AND d.estado = 1 LIMIT 1)")&amp;", "&amp;IF(I390&amp;""="","NULL",SUBSTITUTE(I390&amp;"",",","."))&amp;", "&amp;IF(J390&amp;""="","NULL",SUBSTITUTE(J390&amp;"",",","."))&amp;", "&amp;IF(UPPER(TRIM(K390&amp;""))="SI","TRUE","FALSE")&amp;", 1"&amp;" WHERE NOT EXISTS (SELECT 1 FROM cli_direcciones x WHERE x.id_cliente = "&amp;"(SELECT id FROM cli_clientes WHERE numero_documento = '"&amp;SUBSTITUTE(TRIM(A390),"'","''")&amp;"' AND estado = 1 LIMIT 1)"&amp;" AND upper(x.direccion) = upper("&amp;IF(TRIM(D390&amp;"")="","NULL","'"&amp;SUBSTITUTE(TRIM(D390),"'","''")&amp;"'")&amp;"));")</f>
        <v/>
      </c>
    </row>
    <row r="391" ht="15.75" customHeight="1" s="64">
      <c r="A391" s="23" t="n"/>
      <c r="B391" s="25">
        <f t="array" ref="B391">IF(A391="","",IFERROR(IF(INDEX(Clientes!$D$5:$D$549,MATCH(A391,Clientes!$C$5:$C$549,0))&lt;&gt;"",INDEX(Clientes!$D$5:$D$549,MATCH(A391,Clientes!$C$5:$C$549,0)),TRIM(INDEX(Clientes!$E$5:$E$549,MATCH(A391,Clientes!$C$5:$C$549,0))&amp;" "&amp;INDEX(Clientes!$F$5:$F$549,MATCH(A391,Clientes!$C$5:$C$549,0)))),"NO EXISTE en Clientes"))</f>
        <v/>
      </c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>
        <f>IF(AND(A391="",D391=""),"",IF(A391="","FALTA doc. cliente",IF(B391="NO EXISTE en Clientes","CLIENTE no está en hoja Clientes",IF(D391="","FALTA dirección",IF(AND(H391&lt;&gt;"",OR(F391="",G391="")),"Distrito requiere departamento y provincia",IF(AND(G391&lt;&gt;"",F391=""),"Provincia requiere departamento",IF((I391&lt;&gt;"")&lt;&gt;(J391&lt;&gt;""),"Latitud y longitud van juntas","OK")))))))</f>
        <v/>
      </c>
      <c r="M391" s="28">
        <f>IF(L391&lt;&gt;"OK","","INSERT INTO cli_direcciones (id_cliente, descripcion, direccion, referencia, id_departamento, id_provincia, id_distrito, latitud, longitud, es_principal, estado) SELECT "&amp;"(SELECT id FROM cli_clientes WHERE numero_documento = '"&amp;SUBSTITUTE(TRIM(A391),"'","''")&amp;"' AND estado = 1 LIMIT 1)"&amp;", "&amp;IF(TRIM(C391&amp;"")="","NULL","'"&amp;SUBSTITUTE(TRIM(C391),"'","''")&amp;"'")&amp;", "&amp;IF(TRIM(D391&amp;"")="","NULL","'"&amp;SUBSTITUTE(TRIM(D391),"'","''")&amp;"'")&amp;", "&amp;IF(TRIM(E391&amp;"")="","NULL","'"&amp;SUBSTITUTE(TRIM(E391),"'","''")&amp;"'")&amp;", "&amp;IF(TRIM(F391&amp;"")="","NULL","(SELECT id FROM gen_departamento WHERE upper(nombre) = upper('"&amp;SUBSTITUTE(TRIM(F391),"'","''")&amp;"') AND estado = 1 LIMIT 1)")&amp;", "&amp;IF(OR(TRIM(F391&amp;"")="",TRIM(G391&amp;"")=""),"NULL","(SELECT p.id FROM gen_provincia p JOIN gen_departamento dp ON dp.id = p.id_departamento WHERE upper(p.nombre) = upper('"&amp;SUBSTITUTE(TRIM(G391),"'","''")&amp;"') AND upper(dp.nombre) = upper('"&amp;SUBSTITUTE(TRIM(F391),"'","''")&amp;"') AND p.estado = 1 LIMIT 1)")&amp;", "&amp;IF(OR(TRIM(F391&amp;"")="",TRIM(G391&amp;"")="",TRIM(H391&amp;"")=""),"NULL","(SELECT d.id FROM gen_distrito d JOIN gen_provincia p ON p.id = d.id_provincia JOIN gen_departamento dp ON dp.id = p.id_departamento WHERE upper(d.nombre) = upper('"&amp;SUBSTITUTE(TRIM(H391),"'","''")&amp;"') AND upper(p.nombre) = upper('"&amp;SUBSTITUTE(TRIM(G391),"'","''")&amp;"') AND upper(dp.nombre) = upper('"&amp;SUBSTITUTE(TRIM(F391),"'","''")&amp;"') AND d.estado = 1 LIMIT 1)")&amp;", "&amp;IF(I391&amp;""="","NULL",SUBSTITUTE(I391&amp;"",",","."))&amp;", "&amp;IF(J391&amp;""="","NULL",SUBSTITUTE(J391&amp;"",",","."))&amp;", "&amp;IF(UPPER(TRIM(K391&amp;""))="SI","TRUE","FALSE")&amp;", 1"&amp;" WHERE NOT EXISTS (SELECT 1 FROM cli_direcciones x WHERE x.id_cliente = "&amp;"(SELECT id FROM cli_clientes WHERE numero_documento = '"&amp;SUBSTITUTE(TRIM(A391),"'","''")&amp;"' AND estado = 1 LIMIT 1)"&amp;" AND upper(x.direccion) = upper("&amp;IF(TRIM(D391&amp;"")="","NULL","'"&amp;SUBSTITUTE(TRIM(D391),"'","''")&amp;"'")&amp;"));")</f>
        <v/>
      </c>
    </row>
    <row r="392" ht="15.75" customHeight="1" s="64">
      <c r="A392" s="23" t="n"/>
      <c r="B392" s="25">
        <f t="array" ref="B392">IF(A392="","",IFERROR(IF(INDEX(Clientes!$D$5:$D$549,MATCH(A392,Clientes!$C$5:$C$549,0))&lt;&gt;"",INDEX(Clientes!$D$5:$D$549,MATCH(A392,Clientes!$C$5:$C$549,0)),TRIM(INDEX(Clientes!$E$5:$E$549,MATCH(A392,Clientes!$C$5:$C$549,0))&amp;" "&amp;INDEX(Clientes!$F$5:$F$549,MATCH(A392,Clientes!$C$5:$C$549,0)))),"NO EXISTE en Clientes"))</f>
        <v/>
      </c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>
        <f>IF(AND(A392="",D392=""),"",IF(A392="","FALTA doc. cliente",IF(B392="NO EXISTE en Clientes","CLIENTE no está en hoja Clientes",IF(D392="","FALTA dirección",IF(AND(H392&lt;&gt;"",OR(F392="",G392="")),"Distrito requiere departamento y provincia",IF(AND(G392&lt;&gt;"",F392=""),"Provincia requiere departamento",IF((I392&lt;&gt;"")&lt;&gt;(J392&lt;&gt;""),"Latitud y longitud van juntas","OK")))))))</f>
        <v/>
      </c>
      <c r="M392" s="28">
        <f>IF(L392&lt;&gt;"OK","","INSERT INTO cli_direcciones (id_cliente, descripcion, direccion, referencia, id_departamento, id_provincia, id_distrito, latitud, longitud, es_principal, estado) SELECT "&amp;"(SELECT id FROM cli_clientes WHERE numero_documento = '"&amp;SUBSTITUTE(TRIM(A392),"'","''")&amp;"' AND estado = 1 LIMIT 1)"&amp;", "&amp;IF(TRIM(C392&amp;"")="","NULL","'"&amp;SUBSTITUTE(TRIM(C392),"'","''")&amp;"'")&amp;", "&amp;IF(TRIM(D392&amp;"")="","NULL","'"&amp;SUBSTITUTE(TRIM(D392),"'","''")&amp;"'")&amp;", "&amp;IF(TRIM(E392&amp;"")="","NULL","'"&amp;SUBSTITUTE(TRIM(E392),"'","''")&amp;"'")&amp;", "&amp;IF(TRIM(F392&amp;"")="","NULL","(SELECT id FROM gen_departamento WHERE upper(nombre) = upper('"&amp;SUBSTITUTE(TRIM(F392),"'","''")&amp;"') AND estado = 1 LIMIT 1)")&amp;", "&amp;IF(OR(TRIM(F392&amp;"")="",TRIM(G392&amp;"")=""),"NULL","(SELECT p.id FROM gen_provincia p JOIN gen_departamento dp ON dp.id = p.id_departamento WHERE upper(p.nombre) = upper('"&amp;SUBSTITUTE(TRIM(G392),"'","''")&amp;"') AND upper(dp.nombre) = upper('"&amp;SUBSTITUTE(TRIM(F392),"'","''")&amp;"') AND p.estado = 1 LIMIT 1)")&amp;", "&amp;IF(OR(TRIM(F392&amp;"")="",TRIM(G392&amp;"")="",TRIM(H392&amp;"")=""),"NULL","(SELECT d.id FROM gen_distrito d JOIN gen_provincia p ON p.id = d.id_provincia JOIN gen_departamento dp ON dp.id = p.id_departamento WHERE upper(d.nombre) = upper('"&amp;SUBSTITUTE(TRIM(H392),"'","''")&amp;"') AND upper(p.nombre) = upper('"&amp;SUBSTITUTE(TRIM(G392),"'","''")&amp;"') AND upper(dp.nombre) = upper('"&amp;SUBSTITUTE(TRIM(F392),"'","''")&amp;"') AND d.estado = 1 LIMIT 1)")&amp;", "&amp;IF(I392&amp;""="","NULL",SUBSTITUTE(I392&amp;"",",","."))&amp;", "&amp;IF(J392&amp;""="","NULL",SUBSTITUTE(J392&amp;"",",","."))&amp;", "&amp;IF(UPPER(TRIM(K392&amp;""))="SI","TRUE","FALSE")&amp;", 1"&amp;" WHERE NOT EXISTS (SELECT 1 FROM cli_direcciones x WHERE x.id_cliente = "&amp;"(SELECT id FROM cli_clientes WHERE numero_documento = '"&amp;SUBSTITUTE(TRIM(A392),"'","''")&amp;"' AND estado = 1 LIMIT 1)"&amp;" AND upper(x.direccion) = upper("&amp;IF(TRIM(D392&amp;"")="","NULL","'"&amp;SUBSTITUTE(TRIM(D392),"'","''")&amp;"'")&amp;"));")</f>
        <v/>
      </c>
    </row>
    <row r="393" ht="15.75" customHeight="1" s="64">
      <c r="A393" s="23" t="n"/>
      <c r="B393" s="25">
        <f t="array" ref="B393">IF(A393="","",IFERROR(IF(INDEX(Clientes!$D$5:$D$549,MATCH(A393,Clientes!$C$5:$C$549,0))&lt;&gt;"",INDEX(Clientes!$D$5:$D$549,MATCH(A393,Clientes!$C$5:$C$549,0)),TRIM(INDEX(Clientes!$E$5:$E$549,MATCH(A393,Clientes!$C$5:$C$549,0))&amp;" "&amp;INDEX(Clientes!$F$5:$F$549,MATCH(A393,Clientes!$C$5:$C$549,0)))),"NO EXISTE en Clientes"))</f>
        <v/>
      </c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>
        <f>IF(AND(A393="",D393=""),"",IF(A393="","FALTA doc. cliente",IF(B393="NO EXISTE en Clientes","CLIENTE no está en hoja Clientes",IF(D393="","FALTA dirección",IF(AND(H393&lt;&gt;"",OR(F393="",G393="")),"Distrito requiere departamento y provincia",IF(AND(G393&lt;&gt;"",F393=""),"Provincia requiere departamento",IF((I393&lt;&gt;"")&lt;&gt;(J393&lt;&gt;""),"Latitud y longitud van juntas","OK")))))))</f>
        <v/>
      </c>
      <c r="M393" s="28">
        <f>IF(L393&lt;&gt;"OK","","INSERT INTO cli_direcciones (id_cliente, descripcion, direccion, referencia, id_departamento, id_provincia, id_distrito, latitud, longitud, es_principal, estado) SELECT "&amp;"(SELECT id FROM cli_clientes WHERE numero_documento = '"&amp;SUBSTITUTE(TRIM(A393),"'","''")&amp;"' AND estado = 1 LIMIT 1)"&amp;", "&amp;IF(TRIM(C393&amp;"")="","NULL","'"&amp;SUBSTITUTE(TRIM(C393),"'","''")&amp;"'")&amp;", "&amp;IF(TRIM(D393&amp;"")="","NULL","'"&amp;SUBSTITUTE(TRIM(D393),"'","''")&amp;"'")&amp;", "&amp;IF(TRIM(E393&amp;"")="","NULL","'"&amp;SUBSTITUTE(TRIM(E393),"'","''")&amp;"'")&amp;", "&amp;IF(TRIM(F393&amp;"")="","NULL","(SELECT id FROM gen_departamento WHERE upper(nombre) = upper('"&amp;SUBSTITUTE(TRIM(F393),"'","''")&amp;"') AND estado = 1 LIMIT 1)")&amp;", "&amp;IF(OR(TRIM(F393&amp;"")="",TRIM(G393&amp;"")=""),"NULL","(SELECT p.id FROM gen_provincia p JOIN gen_departamento dp ON dp.id = p.id_departamento WHERE upper(p.nombre) = upper('"&amp;SUBSTITUTE(TRIM(G393),"'","''")&amp;"') AND upper(dp.nombre) = upper('"&amp;SUBSTITUTE(TRIM(F393),"'","''")&amp;"') AND p.estado = 1 LIMIT 1)")&amp;", "&amp;IF(OR(TRIM(F393&amp;"")="",TRIM(G393&amp;"")="",TRIM(H393&amp;"")=""),"NULL","(SELECT d.id FROM gen_distrito d JOIN gen_provincia p ON p.id = d.id_provincia JOIN gen_departamento dp ON dp.id = p.id_departamento WHERE upper(d.nombre) = upper('"&amp;SUBSTITUTE(TRIM(H393),"'","''")&amp;"') AND upper(p.nombre) = upper('"&amp;SUBSTITUTE(TRIM(G393),"'","''")&amp;"') AND upper(dp.nombre) = upper('"&amp;SUBSTITUTE(TRIM(F393),"'","''")&amp;"') AND d.estado = 1 LIMIT 1)")&amp;", "&amp;IF(I393&amp;""="","NULL",SUBSTITUTE(I393&amp;"",",","."))&amp;", "&amp;IF(J393&amp;""="","NULL",SUBSTITUTE(J393&amp;"",",","."))&amp;", "&amp;IF(UPPER(TRIM(K393&amp;""))="SI","TRUE","FALSE")&amp;", 1"&amp;" WHERE NOT EXISTS (SELECT 1 FROM cli_direcciones x WHERE x.id_cliente = "&amp;"(SELECT id FROM cli_clientes WHERE numero_documento = '"&amp;SUBSTITUTE(TRIM(A393),"'","''")&amp;"' AND estado = 1 LIMIT 1)"&amp;" AND upper(x.direccion) = upper("&amp;IF(TRIM(D393&amp;"")="","NULL","'"&amp;SUBSTITUTE(TRIM(D393),"'","''")&amp;"'")&amp;"));")</f>
        <v/>
      </c>
    </row>
    <row r="394" ht="15.75" customHeight="1" s="64">
      <c r="A394" s="23" t="n"/>
      <c r="B394" s="25">
        <f t="array" ref="B394">IF(A394="","",IFERROR(IF(INDEX(Clientes!$D$5:$D$549,MATCH(A394,Clientes!$C$5:$C$549,0))&lt;&gt;"",INDEX(Clientes!$D$5:$D$549,MATCH(A394,Clientes!$C$5:$C$549,0)),TRIM(INDEX(Clientes!$E$5:$E$549,MATCH(A394,Clientes!$C$5:$C$549,0))&amp;" "&amp;INDEX(Clientes!$F$5:$F$549,MATCH(A394,Clientes!$C$5:$C$549,0)))),"NO EXISTE en Clientes"))</f>
        <v/>
      </c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>
        <f>IF(AND(A394="",D394=""),"",IF(A394="","FALTA doc. cliente",IF(B394="NO EXISTE en Clientes","CLIENTE no está en hoja Clientes",IF(D394="","FALTA dirección",IF(AND(H394&lt;&gt;"",OR(F394="",G394="")),"Distrito requiere departamento y provincia",IF(AND(G394&lt;&gt;"",F394=""),"Provincia requiere departamento",IF((I394&lt;&gt;"")&lt;&gt;(J394&lt;&gt;""),"Latitud y longitud van juntas","OK")))))))</f>
        <v/>
      </c>
      <c r="M394" s="28">
        <f>IF(L394&lt;&gt;"OK","","INSERT INTO cli_direcciones (id_cliente, descripcion, direccion, referencia, id_departamento, id_provincia, id_distrito, latitud, longitud, es_principal, estado) SELECT "&amp;"(SELECT id FROM cli_clientes WHERE numero_documento = '"&amp;SUBSTITUTE(TRIM(A394),"'","''")&amp;"' AND estado = 1 LIMIT 1)"&amp;", "&amp;IF(TRIM(C394&amp;"")="","NULL","'"&amp;SUBSTITUTE(TRIM(C394),"'","''")&amp;"'")&amp;", "&amp;IF(TRIM(D394&amp;"")="","NULL","'"&amp;SUBSTITUTE(TRIM(D394),"'","''")&amp;"'")&amp;", "&amp;IF(TRIM(E394&amp;"")="","NULL","'"&amp;SUBSTITUTE(TRIM(E394),"'","''")&amp;"'")&amp;", "&amp;IF(TRIM(F394&amp;"")="","NULL","(SELECT id FROM gen_departamento WHERE upper(nombre) = upper('"&amp;SUBSTITUTE(TRIM(F394),"'","''")&amp;"') AND estado = 1 LIMIT 1)")&amp;", "&amp;IF(OR(TRIM(F394&amp;"")="",TRIM(G394&amp;"")=""),"NULL","(SELECT p.id FROM gen_provincia p JOIN gen_departamento dp ON dp.id = p.id_departamento WHERE upper(p.nombre) = upper('"&amp;SUBSTITUTE(TRIM(G394),"'","''")&amp;"') AND upper(dp.nombre) = upper('"&amp;SUBSTITUTE(TRIM(F394),"'","''")&amp;"') AND p.estado = 1 LIMIT 1)")&amp;", "&amp;IF(OR(TRIM(F394&amp;"")="",TRIM(G394&amp;"")="",TRIM(H394&amp;"")=""),"NULL","(SELECT d.id FROM gen_distrito d JOIN gen_provincia p ON p.id = d.id_provincia JOIN gen_departamento dp ON dp.id = p.id_departamento WHERE upper(d.nombre) = upper('"&amp;SUBSTITUTE(TRIM(H394),"'","''")&amp;"') AND upper(p.nombre) = upper('"&amp;SUBSTITUTE(TRIM(G394),"'","''")&amp;"') AND upper(dp.nombre) = upper('"&amp;SUBSTITUTE(TRIM(F394),"'","''")&amp;"') AND d.estado = 1 LIMIT 1)")&amp;", "&amp;IF(I394&amp;""="","NULL",SUBSTITUTE(I394&amp;"",",","."))&amp;", "&amp;IF(J394&amp;""="","NULL",SUBSTITUTE(J394&amp;"",",","."))&amp;", "&amp;IF(UPPER(TRIM(K394&amp;""))="SI","TRUE","FALSE")&amp;", 1"&amp;" WHERE NOT EXISTS (SELECT 1 FROM cli_direcciones x WHERE x.id_cliente = "&amp;"(SELECT id FROM cli_clientes WHERE numero_documento = '"&amp;SUBSTITUTE(TRIM(A394),"'","''")&amp;"' AND estado = 1 LIMIT 1)"&amp;" AND upper(x.direccion) = upper("&amp;IF(TRIM(D394&amp;"")="","NULL","'"&amp;SUBSTITUTE(TRIM(D394),"'","''")&amp;"'")&amp;"));")</f>
        <v/>
      </c>
    </row>
    <row r="395" ht="15.75" customHeight="1" s="64">
      <c r="A395" s="23" t="n"/>
      <c r="B395" s="25">
        <f t="array" ref="B395">IF(A395="","",IFERROR(IF(INDEX(Clientes!$D$5:$D$549,MATCH(A395,Clientes!$C$5:$C$549,0))&lt;&gt;"",INDEX(Clientes!$D$5:$D$549,MATCH(A395,Clientes!$C$5:$C$549,0)),TRIM(INDEX(Clientes!$E$5:$E$549,MATCH(A395,Clientes!$C$5:$C$549,0))&amp;" "&amp;INDEX(Clientes!$F$5:$F$549,MATCH(A395,Clientes!$C$5:$C$549,0)))),"NO EXISTE en Clientes"))</f>
        <v/>
      </c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>
        <f>IF(AND(A395="",D395=""),"",IF(A395="","FALTA doc. cliente",IF(B395="NO EXISTE en Clientes","CLIENTE no está en hoja Clientes",IF(D395="","FALTA dirección",IF(AND(H395&lt;&gt;"",OR(F395="",G395="")),"Distrito requiere departamento y provincia",IF(AND(G395&lt;&gt;"",F395=""),"Provincia requiere departamento",IF((I395&lt;&gt;"")&lt;&gt;(J395&lt;&gt;""),"Latitud y longitud van juntas","OK")))))))</f>
        <v/>
      </c>
      <c r="M395" s="28">
        <f>IF(L395&lt;&gt;"OK","","INSERT INTO cli_direcciones (id_cliente, descripcion, direccion, referencia, id_departamento, id_provincia, id_distrito, latitud, longitud, es_principal, estado) SELECT "&amp;"(SELECT id FROM cli_clientes WHERE numero_documento = '"&amp;SUBSTITUTE(TRIM(A395),"'","''")&amp;"' AND estado = 1 LIMIT 1)"&amp;", "&amp;IF(TRIM(C395&amp;"")="","NULL","'"&amp;SUBSTITUTE(TRIM(C395),"'","''")&amp;"'")&amp;", "&amp;IF(TRIM(D395&amp;"")="","NULL","'"&amp;SUBSTITUTE(TRIM(D395),"'","''")&amp;"'")&amp;", "&amp;IF(TRIM(E395&amp;"")="","NULL","'"&amp;SUBSTITUTE(TRIM(E395),"'","''")&amp;"'")&amp;", "&amp;IF(TRIM(F395&amp;"")="","NULL","(SELECT id FROM gen_departamento WHERE upper(nombre) = upper('"&amp;SUBSTITUTE(TRIM(F395),"'","''")&amp;"') AND estado = 1 LIMIT 1)")&amp;", "&amp;IF(OR(TRIM(F395&amp;"")="",TRIM(G395&amp;"")=""),"NULL","(SELECT p.id FROM gen_provincia p JOIN gen_departamento dp ON dp.id = p.id_departamento WHERE upper(p.nombre) = upper('"&amp;SUBSTITUTE(TRIM(G395),"'","''")&amp;"') AND upper(dp.nombre) = upper('"&amp;SUBSTITUTE(TRIM(F395),"'","''")&amp;"') AND p.estado = 1 LIMIT 1)")&amp;", "&amp;IF(OR(TRIM(F395&amp;"")="",TRIM(G395&amp;"")="",TRIM(H395&amp;"")=""),"NULL","(SELECT d.id FROM gen_distrito d JOIN gen_provincia p ON p.id = d.id_provincia JOIN gen_departamento dp ON dp.id = p.id_departamento WHERE upper(d.nombre) = upper('"&amp;SUBSTITUTE(TRIM(H395),"'","''")&amp;"') AND upper(p.nombre) = upper('"&amp;SUBSTITUTE(TRIM(G395),"'","''")&amp;"') AND upper(dp.nombre) = upper('"&amp;SUBSTITUTE(TRIM(F395),"'","''")&amp;"') AND d.estado = 1 LIMIT 1)")&amp;", "&amp;IF(I395&amp;""="","NULL",SUBSTITUTE(I395&amp;"",",","."))&amp;", "&amp;IF(J395&amp;""="","NULL",SUBSTITUTE(J395&amp;"",",","."))&amp;", "&amp;IF(UPPER(TRIM(K395&amp;""))="SI","TRUE","FALSE")&amp;", 1"&amp;" WHERE NOT EXISTS (SELECT 1 FROM cli_direcciones x WHERE x.id_cliente = "&amp;"(SELECT id FROM cli_clientes WHERE numero_documento = '"&amp;SUBSTITUTE(TRIM(A395),"'","''")&amp;"' AND estado = 1 LIMIT 1)"&amp;" AND upper(x.direccion) = upper("&amp;IF(TRIM(D395&amp;"")="","NULL","'"&amp;SUBSTITUTE(TRIM(D395),"'","''")&amp;"'")&amp;"));")</f>
        <v/>
      </c>
    </row>
    <row r="396" ht="15.75" customHeight="1" s="64">
      <c r="A396" s="23" t="n"/>
      <c r="B396" s="25">
        <f t="array" ref="B396">IF(A396="","",IFERROR(IF(INDEX(Clientes!$D$5:$D$549,MATCH(A396,Clientes!$C$5:$C$549,0))&lt;&gt;"",INDEX(Clientes!$D$5:$D$549,MATCH(A396,Clientes!$C$5:$C$549,0)),TRIM(INDEX(Clientes!$E$5:$E$549,MATCH(A396,Clientes!$C$5:$C$549,0))&amp;" "&amp;INDEX(Clientes!$F$5:$F$549,MATCH(A396,Clientes!$C$5:$C$549,0)))),"NO EXISTE en Clientes"))</f>
        <v/>
      </c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>
        <f>IF(AND(A396="",D396=""),"",IF(A396="","FALTA doc. cliente",IF(B396="NO EXISTE en Clientes","CLIENTE no está en hoja Clientes",IF(D396="","FALTA dirección",IF(AND(H396&lt;&gt;"",OR(F396="",G396="")),"Distrito requiere departamento y provincia",IF(AND(G396&lt;&gt;"",F396=""),"Provincia requiere departamento",IF((I396&lt;&gt;"")&lt;&gt;(J396&lt;&gt;""),"Latitud y longitud van juntas","OK")))))))</f>
        <v/>
      </c>
      <c r="M396" s="28">
        <f>IF(L396&lt;&gt;"OK","","INSERT INTO cli_direcciones (id_cliente, descripcion, direccion, referencia, id_departamento, id_provincia, id_distrito, latitud, longitud, es_principal, estado) SELECT "&amp;"(SELECT id FROM cli_clientes WHERE numero_documento = '"&amp;SUBSTITUTE(TRIM(A396),"'","''")&amp;"' AND estado = 1 LIMIT 1)"&amp;", "&amp;IF(TRIM(C396&amp;"")="","NULL","'"&amp;SUBSTITUTE(TRIM(C396),"'","''")&amp;"'")&amp;", "&amp;IF(TRIM(D396&amp;"")="","NULL","'"&amp;SUBSTITUTE(TRIM(D396),"'","''")&amp;"'")&amp;", "&amp;IF(TRIM(E396&amp;"")="","NULL","'"&amp;SUBSTITUTE(TRIM(E396),"'","''")&amp;"'")&amp;", "&amp;IF(TRIM(F396&amp;"")="","NULL","(SELECT id FROM gen_departamento WHERE upper(nombre) = upper('"&amp;SUBSTITUTE(TRIM(F396),"'","''")&amp;"') AND estado = 1 LIMIT 1)")&amp;", "&amp;IF(OR(TRIM(F396&amp;"")="",TRIM(G396&amp;"")=""),"NULL","(SELECT p.id FROM gen_provincia p JOIN gen_departamento dp ON dp.id = p.id_departamento WHERE upper(p.nombre) = upper('"&amp;SUBSTITUTE(TRIM(G396),"'","''")&amp;"') AND upper(dp.nombre) = upper('"&amp;SUBSTITUTE(TRIM(F396),"'","''")&amp;"') AND p.estado = 1 LIMIT 1)")&amp;", "&amp;IF(OR(TRIM(F396&amp;"")="",TRIM(G396&amp;"")="",TRIM(H396&amp;"")=""),"NULL","(SELECT d.id FROM gen_distrito d JOIN gen_provincia p ON p.id = d.id_provincia JOIN gen_departamento dp ON dp.id = p.id_departamento WHERE upper(d.nombre) = upper('"&amp;SUBSTITUTE(TRIM(H396),"'","''")&amp;"') AND upper(p.nombre) = upper('"&amp;SUBSTITUTE(TRIM(G396),"'","''")&amp;"') AND upper(dp.nombre) = upper('"&amp;SUBSTITUTE(TRIM(F396),"'","''")&amp;"') AND d.estado = 1 LIMIT 1)")&amp;", "&amp;IF(I396&amp;""="","NULL",SUBSTITUTE(I396&amp;"",",","."))&amp;", "&amp;IF(J396&amp;""="","NULL",SUBSTITUTE(J396&amp;"",",","."))&amp;", "&amp;IF(UPPER(TRIM(K396&amp;""))="SI","TRUE","FALSE")&amp;", 1"&amp;" WHERE NOT EXISTS (SELECT 1 FROM cli_direcciones x WHERE x.id_cliente = "&amp;"(SELECT id FROM cli_clientes WHERE numero_documento = '"&amp;SUBSTITUTE(TRIM(A396),"'","''")&amp;"' AND estado = 1 LIMIT 1)"&amp;" AND upper(x.direccion) = upper("&amp;IF(TRIM(D396&amp;"")="","NULL","'"&amp;SUBSTITUTE(TRIM(D396),"'","''")&amp;"'")&amp;"));")</f>
        <v/>
      </c>
    </row>
    <row r="397" ht="15.75" customHeight="1" s="64">
      <c r="A397" s="23" t="n"/>
      <c r="B397" s="25">
        <f t="array" ref="B397">IF(A397="","",IFERROR(IF(INDEX(Clientes!$D$5:$D$549,MATCH(A397,Clientes!$C$5:$C$549,0))&lt;&gt;"",INDEX(Clientes!$D$5:$D$549,MATCH(A397,Clientes!$C$5:$C$549,0)),TRIM(INDEX(Clientes!$E$5:$E$549,MATCH(A397,Clientes!$C$5:$C$549,0))&amp;" "&amp;INDEX(Clientes!$F$5:$F$549,MATCH(A397,Clientes!$C$5:$C$549,0)))),"NO EXISTE en Clientes"))</f>
        <v/>
      </c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>
        <f>IF(AND(A397="",D397=""),"",IF(A397="","FALTA doc. cliente",IF(B397="NO EXISTE en Clientes","CLIENTE no está en hoja Clientes",IF(D397="","FALTA dirección",IF(AND(H397&lt;&gt;"",OR(F397="",G397="")),"Distrito requiere departamento y provincia",IF(AND(G397&lt;&gt;"",F397=""),"Provincia requiere departamento",IF((I397&lt;&gt;"")&lt;&gt;(J397&lt;&gt;""),"Latitud y longitud van juntas","OK")))))))</f>
        <v/>
      </c>
      <c r="M397" s="28">
        <f>IF(L397&lt;&gt;"OK","","INSERT INTO cli_direcciones (id_cliente, descripcion, direccion, referencia, id_departamento, id_provincia, id_distrito, latitud, longitud, es_principal, estado) SELECT "&amp;"(SELECT id FROM cli_clientes WHERE numero_documento = '"&amp;SUBSTITUTE(TRIM(A397),"'","''")&amp;"' AND estado = 1 LIMIT 1)"&amp;", "&amp;IF(TRIM(C397&amp;"")="","NULL","'"&amp;SUBSTITUTE(TRIM(C397),"'","''")&amp;"'")&amp;", "&amp;IF(TRIM(D397&amp;"")="","NULL","'"&amp;SUBSTITUTE(TRIM(D397),"'","''")&amp;"'")&amp;", "&amp;IF(TRIM(E397&amp;"")="","NULL","'"&amp;SUBSTITUTE(TRIM(E397),"'","''")&amp;"'")&amp;", "&amp;IF(TRIM(F397&amp;"")="","NULL","(SELECT id FROM gen_departamento WHERE upper(nombre) = upper('"&amp;SUBSTITUTE(TRIM(F397),"'","''")&amp;"') AND estado = 1 LIMIT 1)")&amp;", "&amp;IF(OR(TRIM(F397&amp;"")="",TRIM(G397&amp;"")=""),"NULL","(SELECT p.id FROM gen_provincia p JOIN gen_departamento dp ON dp.id = p.id_departamento WHERE upper(p.nombre) = upper('"&amp;SUBSTITUTE(TRIM(G397),"'","''")&amp;"') AND upper(dp.nombre) = upper('"&amp;SUBSTITUTE(TRIM(F397),"'","''")&amp;"') AND p.estado = 1 LIMIT 1)")&amp;", "&amp;IF(OR(TRIM(F397&amp;"")="",TRIM(G397&amp;"")="",TRIM(H397&amp;"")=""),"NULL","(SELECT d.id FROM gen_distrito d JOIN gen_provincia p ON p.id = d.id_provincia JOIN gen_departamento dp ON dp.id = p.id_departamento WHERE upper(d.nombre) = upper('"&amp;SUBSTITUTE(TRIM(H397),"'","''")&amp;"') AND upper(p.nombre) = upper('"&amp;SUBSTITUTE(TRIM(G397),"'","''")&amp;"') AND upper(dp.nombre) = upper('"&amp;SUBSTITUTE(TRIM(F397),"'","''")&amp;"') AND d.estado = 1 LIMIT 1)")&amp;", "&amp;IF(I397&amp;""="","NULL",SUBSTITUTE(I397&amp;"",",","."))&amp;", "&amp;IF(J397&amp;""="","NULL",SUBSTITUTE(J397&amp;"",",","."))&amp;", "&amp;IF(UPPER(TRIM(K397&amp;""))="SI","TRUE","FALSE")&amp;", 1"&amp;" WHERE NOT EXISTS (SELECT 1 FROM cli_direcciones x WHERE x.id_cliente = "&amp;"(SELECT id FROM cli_clientes WHERE numero_documento = '"&amp;SUBSTITUTE(TRIM(A397),"'","''")&amp;"' AND estado = 1 LIMIT 1)"&amp;" AND upper(x.direccion) = upper("&amp;IF(TRIM(D397&amp;"")="","NULL","'"&amp;SUBSTITUTE(TRIM(D397),"'","''")&amp;"'")&amp;"));")</f>
        <v/>
      </c>
    </row>
    <row r="398" ht="15.75" customHeight="1" s="64">
      <c r="A398" s="23" t="n"/>
      <c r="B398" s="25">
        <f t="array" ref="B398">IF(A398="","",IFERROR(IF(INDEX(Clientes!$D$5:$D$549,MATCH(A398,Clientes!$C$5:$C$549,0))&lt;&gt;"",INDEX(Clientes!$D$5:$D$549,MATCH(A398,Clientes!$C$5:$C$549,0)),TRIM(INDEX(Clientes!$E$5:$E$549,MATCH(A398,Clientes!$C$5:$C$549,0))&amp;" "&amp;INDEX(Clientes!$F$5:$F$549,MATCH(A398,Clientes!$C$5:$C$549,0)))),"NO EXISTE en Clientes"))</f>
        <v/>
      </c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>
        <f>IF(AND(A398="",D398=""),"",IF(A398="","FALTA doc. cliente",IF(B398="NO EXISTE en Clientes","CLIENTE no está en hoja Clientes",IF(D398="","FALTA dirección",IF(AND(H398&lt;&gt;"",OR(F398="",G398="")),"Distrito requiere departamento y provincia",IF(AND(G398&lt;&gt;"",F398=""),"Provincia requiere departamento",IF((I398&lt;&gt;"")&lt;&gt;(J398&lt;&gt;""),"Latitud y longitud van juntas","OK")))))))</f>
        <v/>
      </c>
      <c r="M398" s="28">
        <f>IF(L398&lt;&gt;"OK","","INSERT INTO cli_direcciones (id_cliente, descripcion, direccion, referencia, id_departamento, id_provincia, id_distrito, latitud, longitud, es_principal, estado) SELECT "&amp;"(SELECT id FROM cli_clientes WHERE numero_documento = '"&amp;SUBSTITUTE(TRIM(A398),"'","''")&amp;"' AND estado = 1 LIMIT 1)"&amp;", "&amp;IF(TRIM(C398&amp;"")="","NULL","'"&amp;SUBSTITUTE(TRIM(C398),"'","''")&amp;"'")&amp;", "&amp;IF(TRIM(D398&amp;"")="","NULL","'"&amp;SUBSTITUTE(TRIM(D398),"'","''")&amp;"'")&amp;", "&amp;IF(TRIM(E398&amp;"")="","NULL","'"&amp;SUBSTITUTE(TRIM(E398),"'","''")&amp;"'")&amp;", "&amp;IF(TRIM(F398&amp;"")="","NULL","(SELECT id FROM gen_departamento WHERE upper(nombre) = upper('"&amp;SUBSTITUTE(TRIM(F398),"'","''")&amp;"') AND estado = 1 LIMIT 1)")&amp;", "&amp;IF(OR(TRIM(F398&amp;"")="",TRIM(G398&amp;"")=""),"NULL","(SELECT p.id FROM gen_provincia p JOIN gen_departamento dp ON dp.id = p.id_departamento WHERE upper(p.nombre) = upper('"&amp;SUBSTITUTE(TRIM(G398),"'","''")&amp;"') AND upper(dp.nombre) = upper('"&amp;SUBSTITUTE(TRIM(F398),"'","''")&amp;"') AND p.estado = 1 LIMIT 1)")&amp;", "&amp;IF(OR(TRIM(F398&amp;"")="",TRIM(G398&amp;"")="",TRIM(H398&amp;"")=""),"NULL","(SELECT d.id FROM gen_distrito d JOIN gen_provincia p ON p.id = d.id_provincia JOIN gen_departamento dp ON dp.id = p.id_departamento WHERE upper(d.nombre) = upper('"&amp;SUBSTITUTE(TRIM(H398),"'","''")&amp;"') AND upper(p.nombre) = upper('"&amp;SUBSTITUTE(TRIM(G398),"'","''")&amp;"') AND upper(dp.nombre) = upper('"&amp;SUBSTITUTE(TRIM(F398),"'","''")&amp;"') AND d.estado = 1 LIMIT 1)")&amp;", "&amp;IF(I398&amp;""="","NULL",SUBSTITUTE(I398&amp;"",",","."))&amp;", "&amp;IF(J398&amp;""="","NULL",SUBSTITUTE(J398&amp;"",",","."))&amp;", "&amp;IF(UPPER(TRIM(K398&amp;""))="SI","TRUE","FALSE")&amp;", 1"&amp;" WHERE NOT EXISTS (SELECT 1 FROM cli_direcciones x WHERE x.id_cliente = "&amp;"(SELECT id FROM cli_clientes WHERE numero_documento = '"&amp;SUBSTITUTE(TRIM(A398),"'","''")&amp;"' AND estado = 1 LIMIT 1)"&amp;" AND upper(x.direccion) = upper("&amp;IF(TRIM(D398&amp;"")="","NULL","'"&amp;SUBSTITUTE(TRIM(D398),"'","''")&amp;"'")&amp;"));")</f>
        <v/>
      </c>
    </row>
    <row r="399" ht="15.75" customHeight="1" s="64">
      <c r="A399" s="23" t="n"/>
      <c r="B399" s="25">
        <f t="array" ref="B399">IF(A399="","",IFERROR(IF(INDEX(Clientes!$D$5:$D$549,MATCH(A399,Clientes!$C$5:$C$549,0))&lt;&gt;"",INDEX(Clientes!$D$5:$D$549,MATCH(A399,Clientes!$C$5:$C$549,0)),TRIM(INDEX(Clientes!$E$5:$E$549,MATCH(A399,Clientes!$C$5:$C$549,0))&amp;" "&amp;INDEX(Clientes!$F$5:$F$549,MATCH(A399,Clientes!$C$5:$C$549,0)))),"NO EXISTE en Clientes"))</f>
        <v/>
      </c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>
        <f>IF(AND(A399="",D399=""),"",IF(A399="","FALTA doc. cliente",IF(B399="NO EXISTE en Clientes","CLIENTE no está en hoja Clientes",IF(D399="","FALTA dirección",IF(AND(H399&lt;&gt;"",OR(F399="",G399="")),"Distrito requiere departamento y provincia",IF(AND(G399&lt;&gt;"",F399=""),"Provincia requiere departamento",IF((I399&lt;&gt;"")&lt;&gt;(J399&lt;&gt;""),"Latitud y longitud van juntas","OK")))))))</f>
        <v/>
      </c>
      <c r="M399" s="28">
        <f>IF(L399&lt;&gt;"OK","","INSERT INTO cli_direcciones (id_cliente, descripcion, direccion, referencia, id_departamento, id_provincia, id_distrito, latitud, longitud, es_principal, estado) SELECT "&amp;"(SELECT id FROM cli_clientes WHERE numero_documento = '"&amp;SUBSTITUTE(TRIM(A399),"'","''")&amp;"' AND estado = 1 LIMIT 1)"&amp;", "&amp;IF(TRIM(C399&amp;"")="","NULL","'"&amp;SUBSTITUTE(TRIM(C399),"'","''")&amp;"'")&amp;", "&amp;IF(TRIM(D399&amp;"")="","NULL","'"&amp;SUBSTITUTE(TRIM(D399),"'","''")&amp;"'")&amp;", "&amp;IF(TRIM(E399&amp;"")="","NULL","'"&amp;SUBSTITUTE(TRIM(E399),"'","''")&amp;"'")&amp;", "&amp;IF(TRIM(F399&amp;"")="","NULL","(SELECT id FROM gen_departamento WHERE upper(nombre) = upper('"&amp;SUBSTITUTE(TRIM(F399),"'","''")&amp;"') AND estado = 1 LIMIT 1)")&amp;", "&amp;IF(OR(TRIM(F399&amp;"")="",TRIM(G399&amp;"")=""),"NULL","(SELECT p.id FROM gen_provincia p JOIN gen_departamento dp ON dp.id = p.id_departamento WHERE upper(p.nombre) = upper('"&amp;SUBSTITUTE(TRIM(G399),"'","''")&amp;"') AND upper(dp.nombre) = upper('"&amp;SUBSTITUTE(TRIM(F399),"'","''")&amp;"') AND p.estado = 1 LIMIT 1)")&amp;", "&amp;IF(OR(TRIM(F399&amp;"")="",TRIM(G399&amp;"")="",TRIM(H399&amp;"")=""),"NULL","(SELECT d.id FROM gen_distrito d JOIN gen_provincia p ON p.id = d.id_provincia JOIN gen_departamento dp ON dp.id = p.id_departamento WHERE upper(d.nombre) = upper('"&amp;SUBSTITUTE(TRIM(H399),"'","''")&amp;"') AND upper(p.nombre) = upper('"&amp;SUBSTITUTE(TRIM(G399),"'","''")&amp;"') AND upper(dp.nombre) = upper('"&amp;SUBSTITUTE(TRIM(F399),"'","''")&amp;"') AND d.estado = 1 LIMIT 1)")&amp;", "&amp;IF(I399&amp;""="","NULL",SUBSTITUTE(I399&amp;"",",","."))&amp;", "&amp;IF(J399&amp;""="","NULL",SUBSTITUTE(J399&amp;"",",","."))&amp;", "&amp;IF(UPPER(TRIM(K399&amp;""))="SI","TRUE","FALSE")&amp;", 1"&amp;" WHERE NOT EXISTS (SELECT 1 FROM cli_direcciones x WHERE x.id_cliente = "&amp;"(SELECT id FROM cli_clientes WHERE numero_documento = '"&amp;SUBSTITUTE(TRIM(A399),"'","''")&amp;"' AND estado = 1 LIMIT 1)"&amp;" AND upper(x.direccion) = upper("&amp;IF(TRIM(D399&amp;"")="","NULL","'"&amp;SUBSTITUTE(TRIM(D399),"'","''")&amp;"'")&amp;"));")</f>
        <v/>
      </c>
    </row>
    <row r="400" ht="15.75" customHeight="1" s="64">
      <c r="A400" s="23" t="n"/>
      <c r="B400" s="25">
        <f t="array" ref="B400">IF(A400="","",IFERROR(IF(INDEX(Clientes!$D$5:$D$549,MATCH(A400,Clientes!$C$5:$C$549,0))&lt;&gt;"",INDEX(Clientes!$D$5:$D$549,MATCH(A400,Clientes!$C$5:$C$549,0)),TRIM(INDEX(Clientes!$E$5:$E$549,MATCH(A400,Clientes!$C$5:$C$549,0))&amp;" "&amp;INDEX(Clientes!$F$5:$F$549,MATCH(A400,Clientes!$C$5:$C$549,0)))),"NO EXISTE en Clientes"))</f>
        <v/>
      </c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>
        <f>IF(AND(A400="",D400=""),"",IF(A400="","FALTA doc. cliente",IF(B400="NO EXISTE en Clientes","CLIENTE no está en hoja Clientes",IF(D400="","FALTA dirección",IF(AND(H400&lt;&gt;"",OR(F400="",G400="")),"Distrito requiere departamento y provincia",IF(AND(G400&lt;&gt;"",F400=""),"Provincia requiere departamento",IF((I400&lt;&gt;"")&lt;&gt;(J400&lt;&gt;""),"Latitud y longitud van juntas","OK")))))))</f>
        <v/>
      </c>
      <c r="M400" s="28">
        <f>IF(L400&lt;&gt;"OK","","INSERT INTO cli_direcciones (id_cliente, descripcion, direccion, referencia, id_departamento, id_provincia, id_distrito, latitud, longitud, es_principal, estado) SELECT "&amp;"(SELECT id FROM cli_clientes WHERE numero_documento = '"&amp;SUBSTITUTE(TRIM(A400),"'","''")&amp;"' AND estado = 1 LIMIT 1)"&amp;", "&amp;IF(TRIM(C400&amp;"")="","NULL","'"&amp;SUBSTITUTE(TRIM(C400),"'","''")&amp;"'")&amp;", "&amp;IF(TRIM(D400&amp;"")="","NULL","'"&amp;SUBSTITUTE(TRIM(D400),"'","''")&amp;"'")&amp;", "&amp;IF(TRIM(E400&amp;"")="","NULL","'"&amp;SUBSTITUTE(TRIM(E400),"'","''")&amp;"'")&amp;", "&amp;IF(TRIM(F400&amp;"")="","NULL","(SELECT id FROM gen_departamento WHERE upper(nombre) = upper('"&amp;SUBSTITUTE(TRIM(F400),"'","''")&amp;"') AND estado = 1 LIMIT 1)")&amp;", "&amp;IF(OR(TRIM(F400&amp;"")="",TRIM(G400&amp;"")=""),"NULL","(SELECT p.id FROM gen_provincia p JOIN gen_departamento dp ON dp.id = p.id_departamento WHERE upper(p.nombre) = upper('"&amp;SUBSTITUTE(TRIM(G400),"'","''")&amp;"') AND upper(dp.nombre) = upper('"&amp;SUBSTITUTE(TRIM(F400),"'","''")&amp;"') AND p.estado = 1 LIMIT 1)")&amp;", "&amp;IF(OR(TRIM(F400&amp;"")="",TRIM(G400&amp;"")="",TRIM(H400&amp;"")=""),"NULL","(SELECT d.id FROM gen_distrito d JOIN gen_provincia p ON p.id = d.id_provincia JOIN gen_departamento dp ON dp.id = p.id_departamento WHERE upper(d.nombre) = upper('"&amp;SUBSTITUTE(TRIM(H400),"'","''")&amp;"') AND upper(p.nombre) = upper('"&amp;SUBSTITUTE(TRIM(G400),"'","''")&amp;"') AND upper(dp.nombre) = upper('"&amp;SUBSTITUTE(TRIM(F400),"'","''")&amp;"') AND d.estado = 1 LIMIT 1)")&amp;", "&amp;IF(I400&amp;""="","NULL",SUBSTITUTE(I400&amp;"",",","."))&amp;", "&amp;IF(J400&amp;""="","NULL",SUBSTITUTE(J400&amp;"",",","."))&amp;", "&amp;IF(UPPER(TRIM(K400&amp;""))="SI","TRUE","FALSE")&amp;", 1"&amp;" WHERE NOT EXISTS (SELECT 1 FROM cli_direcciones x WHERE x.id_cliente = "&amp;"(SELECT id FROM cli_clientes WHERE numero_documento = '"&amp;SUBSTITUTE(TRIM(A400),"'","''")&amp;"' AND estado = 1 LIMIT 1)"&amp;" AND upper(x.direccion) = upper("&amp;IF(TRIM(D400&amp;"")="","NULL","'"&amp;SUBSTITUTE(TRIM(D400),"'","''")&amp;"'")&amp;"));")</f>
        <v/>
      </c>
    </row>
    <row r="401" ht="15.75" customHeight="1" s="64">
      <c r="A401" s="23" t="n"/>
      <c r="B401" s="25">
        <f t="array" ref="B401">IF(A401="","",IFERROR(IF(INDEX(Clientes!$D$5:$D$549,MATCH(A401,Clientes!$C$5:$C$549,0))&lt;&gt;"",INDEX(Clientes!$D$5:$D$549,MATCH(A401,Clientes!$C$5:$C$549,0)),TRIM(INDEX(Clientes!$E$5:$E$549,MATCH(A401,Clientes!$C$5:$C$549,0))&amp;" "&amp;INDEX(Clientes!$F$5:$F$549,MATCH(A401,Clientes!$C$5:$C$549,0)))),"NO EXISTE en Clientes"))</f>
        <v/>
      </c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>
        <f>IF(AND(A401="",D401=""),"",IF(A401="","FALTA doc. cliente",IF(B401="NO EXISTE en Clientes","CLIENTE no está en hoja Clientes",IF(D401="","FALTA dirección",IF(AND(H401&lt;&gt;"",OR(F401="",G401="")),"Distrito requiere departamento y provincia",IF(AND(G401&lt;&gt;"",F401=""),"Provincia requiere departamento",IF((I401&lt;&gt;"")&lt;&gt;(J401&lt;&gt;""),"Latitud y longitud van juntas","OK")))))))</f>
        <v/>
      </c>
      <c r="M401" s="28">
        <f>IF(L401&lt;&gt;"OK","","INSERT INTO cli_direcciones (id_cliente, descripcion, direccion, referencia, id_departamento, id_provincia, id_distrito, latitud, longitud, es_principal, estado) SELECT "&amp;"(SELECT id FROM cli_clientes WHERE numero_documento = '"&amp;SUBSTITUTE(TRIM(A401),"'","''")&amp;"' AND estado = 1 LIMIT 1)"&amp;", "&amp;IF(TRIM(C401&amp;"")="","NULL","'"&amp;SUBSTITUTE(TRIM(C401),"'","''")&amp;"'")&amp;", "&amp;IF(TRIM(D401&amp;"")="","NULL","'"&amp;SUBSTITUTE(TRIM(D401),"'","''")&amp;"'")&amp;", "&amp;IF(TRIM(E401&amp;"")="","NULL","'"&amp;SUBSTITUTE(TRIM(E401),"'","''")&amp;"'")&amp;", "&amp;IF(TRIM(F401&amp;"")="","NULL","(SELECT id FROM gen_departamento WHERE upper(nombre) = upper('"&amp;SUBSTITUTE(TRIM(F401),"'","''")&amp;"') AND estado = 1 LIMIT 1)")&amp;", "&amp;IF(OR(TRIM(F401&amp;"")="",TRIM(G401&amp;"")=""),"NULL","(SELECT p.id FROM gen_provincia p JOIN gen_departamento dp ON dp.id = p.id_departamento WHERE upper(p.nombre) = upper('"&amp;SUBSTITUTE(TRIM(G401),"'","''")&amp;"') AND upper(dp.nombre) = upper('"&amp;SUBSTITUTE(TRIM(F401),"'","''")&amp;"') AND p.estado = 1 LIMIT 1)")&amp;", "&amp;IF(OR(TRIM(F401&amp;"")="",TRIM(G401&amp;"")="",TRIM(H401&amp;"")=""),"NULL","(SELECT d.id FROM gen_distrito d JOIN gen_provincia p ON p.id = d.id_provincia JOIN gen_departamento dp ON dp.id = p.id_departamento WHERE upper(d.nombre) = upper('"&amp;SUBSTITUTE(TRIM(H401),"'","''")&amp;"') AND upper(p.nombre) = upper('"&amp;SUBSTITUTE(TRIM(G401),"'","''")&amp;"') AND upper(dp.nombre) = upper('"&amp;SUBSTITUTE(TRIM(F401),"'","''")&amp;"') AND d.estado = 1 LIMIT 1)")&amp;", "&amp;IF(I401&amp;""="","NULL",SUBSTITUTE(I401&amp;"",",","."))&amp;", "&amp;IF(J401&amp;""="","NULL",SUBSTITUTE(J401&amp;"",",","."))&amp;", "&amp;IF(UPPER(TRIM(K401&amp;""))="SI","TRUE","FALSE")&amp;", 1"&amp;" WHERE NOT EXISTS (SELECT 1 FROM cli_direcciones x WHERE x.id_cliente = "&amp;"(SELECT id FROM cli_clientes WHERE numero_documento = '"&amp;SUBSTITUTE(TRIM(A401),"'","''")&amp;"' AND estado = 1 LIMIT 1)"&amp;" AND upper(x.direccion) = upper("&amp;IF(TRIM(D401&amp;"")="","NULL","'"&amp;SUBSTITUTE(TRIM(D401),"'","''")&amp;"'")&amp;"));")</f>
        <v/>
      </c>
    </row>
    <row r="402" ht="15.75" customHeight="1" s="64">
      <c r="A402" s="23" t="n"/>
      <c r="B402" s="25">
        <f t="array" ref="B402">IF(A402="","",IFERROR(IF(INDEX(Clientes!$D$5:$D$549,MATCH(A402,Clientes!$C$5:$C$549,0))&lt;&gt;"",INDEX(Clientes!$D$5:$D$549,MATCH(A402,Clientes!$C$5:$C$549,0)),TRIM(INDEX(Clientes!$E$5:$E$549,MATCH(A402,Clientes!$C$5:$C$549,0))&amp;" "&amp;INDEX(Clientes!$F$5:$F$549,MATCH(A402,Clientes!$C$5:$C$549,0)))),"NO EXISTE en Clientes"))</f>
        <v/>
      </c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>
        <f>IF(AND(A402="",D402=""),"",IF(A402="","FALTA doc. cliente",IF(B402="NO EXISTE en Clientes","CLIENTE no está en hoja Clientes",IF(D402="","FALTA dirección",IF(AND(H402&lt;&gt;"",OR(F402="",G402="")),"Distrito requiere departamento y provincia",IF(AND(G402&lt;&gt;"",F402=""),"Provincia requiere departamento",IF((I402&lt;&gt;"")&lt;&gt;(J402&lt;&gt;""),"Latitud y longitud van juntas","OK")))))))</f>
        <v/>
      </c>
      <c r="M402" s="28">
        <f>IF(L402&lt;&gt;"OK","","INSERT INTO cli_direcciones (id_cliente, descripcion, direccion, referencia, id_departamento, id_provincia, id_distrito, latitud, longitud, es_principal, estado) SELECT "&amp;"(SELECT id FROM cli_clientes WHERE numero_documento = '"&amp;SUBSTITUTE(TRIM(A402),"'","''")&amp;"' AND estado = 1 LIMIT 1)"&amp;", "&amp;IF(TRIM(C402&amp;"")="","NULL","'"&amp;SUBSTITUTE(TRIM(C402),"'","''")&amp;"'")&amp;", "&amp;IF(TRIM(D402&amp;"")="","NULL","'"&amp;SUBSTITUTE(TRIM(D402),"'","''")&amp;"'")&amp;", "&amp;IF(TRIM(E402&amp;"")="","NULL","'"&amp;SUBSTITUTE(TRIM(E402),"'","''")&amp;"'")&amp;", "&amp;IF(TRIM(F402&amp;"")="","NULL","(SELECT id FROM gen_departamento WHERE upper(nombre) = upper('"&amp;SUBSTITUTE(TRIM(F402),"'","''")&amp;"') AND estado = 1 LIMIT 1)")&amp;", "&amp;IF(OR(TRIM(F402&amp;"")="",TRIM(G402&amp;"")=""),"NULL","(SELECT p.id FROM gen_provincia p JOIN gen_departamento dp ON dp.id = p.id_departamento WHERE upper(p.nombre) = upper('"&amp;SUBSTITUTE(TRIM(G402),"'","''")&amp;"') AND upper(dp.nombre) = upper('"&amp;SUBSTITUTE(TRIM(F402),"'","''")&amp;"') AND p.estado = 1 LIMIT 1)")&amp;", "&amp;IF(OR(TRIM(F402&amp;"")="",TRIM(G402&amp;"")="",TRIM(H402&amp;"")=""),"NULL","(SELECT d.id FROM gen_distrito d JOIN gen_provincia p ON p.id = d.id_provincia JOIN gen_departamento dp ON dp.id = p.id_departamento WHERE upper(d.nombre) = upper('"&amp;SUBSTITUTE(TRIM(H402),"'","''")&amp;"') AND upper(p.nombre) = upper('"&amp;SUBSTITUTE(TRIM(G402),"'","''")&amp;"') AND upper(dp.nombre) = upper('"&amp;SUBSTITUTE(TRIM(F402),"'","''")&amp;"') AND d.estado = 1 LIMIT 1)")&amp;", "&amp;IF(I402&amp;""="","NULL",SUBSTITUTE(I402&amp;"",",","."))&amp;", "&amp;IF(J402&amp;""="","NULL",SUBSTITUTE(J402&amp;"",",","."))&amp;", "&amp;IF(UPPER(TRIM(K402&amp;""))="SI","TRUE","FALSE")&amp;", 1"&amp;" WHERE NOT EXISTS (SELECT 1 FROM cli_direcciones x WHERE x.id_cliente = "&amp;"(SELECT id FROM cli_clientes WHERE numero_documento = '"&amp;SUBSTITUTE(TRIM(A402),"'","''")&amp;"' AND estado = 1 LIMIT 1)"&amp;" AND upper(x.direccion) = upper("&amp;IF(TRIM(D402&amp;"")="","NULL","'"&amp;SUBSTITUTE(TRIM(D402),"'","''")&amp;"'")&amp;"));")</f>
        <v/>
      </c>
    </row>
    <row r="403" ht="15.75" customHeight="1" s="64">
      <c r="A403" s="23" t="n"/>
      <c r="B403" s="25">
        <f t="array" ref="B403">IF(A403="","",IFERROR(IF(INDEX(Clientes!$D$5:$D$549,MATCH(A403,Clientes!$C$5:$C$549,0))&lt;&gt;"",INDEX(Clientes!$D$5:$D$549,MATCH(A403,Clientes!$C$5:$C$549,0)),TRIM(INDEX(Clientes!$E$5:$E$549,MATCH(A403,Clientes!$C$5:$C$549,0))&amp;" "&amp;INDEX(Clientes!$F$5:$F$549,MATCH(A403,Clientes!$C$5:$C$549,0)))),"NO EXISTE en Clientes"))</f>
        <v/>
      </c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>
        <f>IF(AND(A403="",D403=""),"",IF(A403="","FALTA doc. cliente",IF(B403="NO EXISTE en Clientes","CLIENTE no está en hoja Clientes",IF(D403="","FALTA dirección",IF(AND(H403&lt;&gt;"",OR(F403="",G403="")),"Distrito requiere departamento y provincia",IF(AND(G403&lt;&gt;"",F403=""),"Provincia requiere departamento",IF((I403&lt;&gt;"")&lt;&gt;(J403&lt;&gt;""),"Latitud y longitud van juntas","OK")))))))</f>
        <v/>
      </c>
      <c r="M403" s="28">
        <f>IF(L403&lt;&gt;"OK","","INSERT INTO cli_direcciones (id_cliente, descripcion, direccion, referencia, id_departamento, id_provincia, id_distrito, latitud, longitud, es_principal, estado) SELECT "&amp;"(SELECT id FROM cli_clientes WHERE numero_documento = '"&amp;SUBSTITUTE(TRIM(A403),"'","''")&amp;"' AND estado = 1 LIMIT 1)"&amp;", "&amp;IF(TRIM(C403&amp;"")="","NULL","'"&amp;SUBSTITUTE(TRIM(C403),"'","''")&amp;"'")&amp;", "&amp;IF(TRIM(D403&amp;"")="","NULL","'"&amp;SUBSTITUTE(TRIM(D403),"'","''")&amp;"'")&amp;", "&amp;IF(TRIM(E403&amp;"")="","NULL","'"&amp;SUBSTITUTE(TRIM(E403),"'","''")&amp;"'")&amp;", "&amp;IF(TRIM(F403&amp;"")="","NULL","(SELECT id FROM gen_departamento WHERE upper(nombre) = upper('"&amp;SUBSTITUTE(TRIM(F403),"'","''")&amp;"') AND estado = 1 LIMIT 1)")&amp;", "&amp;IF(OR(TRIM(F403&amp;"")="",TRIM(G403&amp;"")=""),"NULL","(SELECT p.id FROM gen_provincia p JOIN gen_departamento dp ON dp.id = p.id_departamento WHERE upper(p.nombre) = upper('"&amp;SUBSTITUTE(TRIM(G403),"'","''")&amp;"') AND upper(dp.nombre) = upper('"&amp;SUBSTITUTE(TRIM(F403),"'","''")&amp;"') AND p.estado = 1 LIMIT 1)")&amp;", "&amp;IF(OR(TRIM(F403&amp;"")="",TRIM(G403&amp;"")="",TRIM(H403&amp;"")=""),"NULL","(SELECT d.id FROM gen_distrito d JOIN gen_provincia p ON p.id = d.id_provincia JOIN gen_departamento dp ON dp.id = p.id_departamento WHERE upper(d.nombre) = upper('"&amp;SUBSTITUTE(TRIM(H403),"'","''")&amp;"') AND upper(p.nombre) = upper('"&amp;SUBSTITUTE(TRIM(G403),"'","''")&amp;"') AND upper(dp.nombre) = upper('"&amp;SUBSTITUTE(TRIM(F403),"'","''")&amp;"') AND d.estado = 1 LIMIT 1)")&amp;", "&amp;IF(I403&amp;""="","NULL",SUBSTITUTE(I403&amp;"",",","."))&amp;", "&amp;IF(J403&amp;""="","NULL",SUBSTITUTE(J403&amp;"",",","."))&amp;", "&amp;IF(UPPER(TRIM(K403&amp;""))="SI","TRUE","FALSE")&amp;", 1"&amp;" WHERE NOT EXISTS (SELECT 1 FROM cli_direcciones x WHERE x.id_cliente = "&amp;"(SELECT id FROM cli_clientes WHERE numero_documento = '"&amp;SUBSTITUTE(TRIM(A403),"'","''")&amp;"' AND estado = 1 LIMIT 1)"&amp;" AND upper(x.direccion) = upper("&amp;IF(TRIM(D403&amp;"")="","NULL","'"&amp;SUBSTITUTE(TRIM(D403),"'","''")&amp;"'")&amp;"));")</f>
        <v/>
      </c>
    </row>
    <row r="404" ht="15.75" customHeight="1" s="64">
      <c r="A404" s="23" t="n"/>
      <c r="B404" s="25">
        <f t="array" ref="B404">IF(A404="","",IFERROR(IF(INDEX(Clientes!$D$5:$D$549,MATCH(A404,Clientes!$C$5:$C$549,0))&lt;&gt;"",INDEX(Clientes!$D$5:$D$549,MATCH(A404,Clientes!$C$5:$C$549,0)),TRIM(INDEX(Clientes!$E$5:$E$549,MATCH(A404,Clientes!$C$5:$C$549,0))&amp;" "&amp;INDEX(Clientes!$F$5:$F$549,MATCH(A404,Clientes!$C$5:$C$549,0)))),"NO EXISTE en Clientes"))</f>
        <v/>
      </c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>
        <f>IF(AND(A404="",D404=""),"",IF(A404="","FALTA doc. cliente",IF(B404="NO EXISTE en Clientes","CLIENTE no está en hoja Clientes",IF(D404="","FALTA dirección",IF(AND(H404&lt;&gt;"",OR(F404="",G404="")),"Distrito requiere departamento y provincia",IF(AND(G404&lt;&gt;"",F404=""),"Provincia requiere departamento",IF((I404&lt;&gt;"")&lt;&gt;(J404&lt;&gt;""),"Latitud y longitud van juntas","OK")))))))</f>
        <v/>
      </c>
      <c r="M404" s="28">
        <f>IF(L404&lt;&gt;"OK","","INSERT INTO cli_direcciones (id_cliente, descripcion, direccion, referencia, id_departamento, id_provincia, id_distrito, latitud, longitud, es_principal, estado) SELECT "&amp;"(SELECT id FROM cli_clientes WHERE numero_documento = '"&amp;SUBSTITUTE(TRIM(A404),"'","''")&amp;"' AND estado = 1 LIMIT 1)"&amp;", "&amp;IF(TRIM(C404&amp;"")="","NULL","'"&amp;SUBSTITUTE(TRIM(C404),"'","''")&amp;"'")&amp;", "&amp;IF(TRIM(D404&amp;"")="","NULL","'"&amp;SUBSTITUTE(TRIM(D404),"'","''")&amp;"'")&amp;", "&amp;IF(TRIM(E404&amp;"")="","NULL","'"&amp;SUBSTITUTE(TRIM(E404),"'","''")&amp;"'")&amp;", "&amp;IF(TRIM(F404&amp;"")="","NULL","(SELECT id FROM gen_departamento WHERE upper(nombre) = upper('"&amp;SUBSTITUTE(TRIM(F404),"'","''")&amp;"') AND estado = 1 LIMIT 1)")&amp;", "&amp;IF(OR(TRIM(F404&amp;"")="",TRIM(G404&amp;"")=""),"NULL","(SELECT p.id FROM gen_provincia p JOIN gen_departamento dp ON dp.id = p.id_departamento WHERE upper(p.nombre) = upper('"&amp;SUBSTITUTE(TRIM(G404),"'","''")&amp;"') AND upper(dp.nombre) = upper('"&amp;SUBSTITUTE(TRIM(F404),"'","''")&amp;"') AND p.estado = 1 LIMIT 1)")&amp;", "&amp;IF(OR(TRIM(F404&amp;"")="",TRIM(G404&amp;"")="",TRIM(H404&amp;"")=""),"NULL","(SELECT d.id FROM gen_distrito d JOIN gen_provincia p ON p.id = d.id_provincia JOIN gen_departamento dp ON dp.id = p.id_departamento WHERE upper(d.nombre) = upper('"&amp;SUBSTITUTE(TRIM(H404),"'","''")&amp;"') AND upper(p.nombre) = upper('"&amp;SUBSTITUTE(TRIM(G404),"'","''")&amp;"') AND upper(dp.nombre) = upper('"&amp;SUBSTITUTE(TRIM(F404),"'","''")&amp;"') AND d.estado = 1 LIMIT 1)")&amp;", "&amp;IF(I404&amp;""="","NULL",SUBSTITUTE(I404&amp;"",",","."))&amp;", "&amp;IF(J404&amp;""="","NULL",SUBSTITUTE(J404&amp;"",",","."))&amp;", "&amp;IF(UPPER(TRIM(K404&amp;""))="SI","TRUE","FALSE")&amp;", 1"&amp;" WHERE NOT EXISTS (SELECT 1 FROM cli_direcciones x WHERE x.id_cliente = "&amp;"(SELECT id FROM cli_clientes WHERE numero_documento = '"&amp;SUBSTITUTE(TRIM(A404),"'","''")&amp;"' AND estado = 1 LIMIT 1)"&amp;" AND upper(x.direccion) = upper("&amp;IF(TRIM(D404&amp;"")="","NULL","'"&amp;SUBSTITUTE(TRIM(D404),"'","''")&amp;"'")&amp;"));")</f>
        <v/>
      </c>
    </row>
    <row r="405" ht="15.75" customHeight="1" s="64">
      <c r="A405" s="23" t="n"/>
      <c r="B405" s="25">
        <f t="array" ref="B405">IF(A405="","",IFERROR(IF(INDEX(Clientes!$D$5:$D$549,MATCH(A405,Clientes!$C$5:$C$549,0))&lt;&gt;"",INDEX(Clientes!$D$5:$D$549,MATCH(A405,Clientes!$C$5:$C$549,0)),TRIM(INDEX(Clientes!$E$5:$E$549,MATCH(A405,Clientes!$C$5:$C$549,0))&amp;" "&amp;INDEX(Clientes!$F$5:$F$549,MATCH(A405,Clientes!$C$5:$C$549,0)))),"NO EXISTE en Clientes"))</f>
        <v/>
      </c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>
        <f>IF(AND(A405="",D405=""),"",IF(A405="","FALTA doc. cliente",IF(B405="NO EXISTE en Clientes","CLIENTE no está en hoja Clientes",IF(D405="","FALTA dirección",IF(AND(H405&lt;&gt;"",OR(F405="",G405="")),"Distrito requiere departamento y provincia",IF(AND(G405&lt;&gt;"",F405=""),"Provincia requiere departamento",IF((I405&lt;&gt;"")&lt;&gt;(J405&lt;&gt;""),"Latitud y longitud van juntas","OK")))))))</f>
        <v/>
      </c>
      <c r="M405" s="28">
        <f>IF(L405&lt;&gt;"OK","","INSERT INTO cli_direcciones (id_cliente, descripcion, direccion, referencia, id_departamento, id_provincia, id_distrito, latitud, longitud, es_principal, estado) SELECT "&amp;"(SELECT id FROM cli_clientes WHERE numero_documento = '"&amp;SUBSTITUTE(TRIM(A405),"'","''")&amp;"' AND estado = 1 LIMIT 1)"&amp;", "&amp;IF(TRIM(C405&amp;"")="","NULL","'"&amp;SUBSTITUTE(TRIM(C405),"'","''")&amp;"'")&amp;", "&amp;IF(TRIM(D405&amp;"")="","NULL","'"&amp;SUBSTITUTE(TRIM(D405),"'","''")&amp;"'")&amp;", "&amp;IF(TRIM(E405&amp;"")="","NULL","'"&amp;SUBSTITUTE(TRIM(E405),"'","''")&amp;"'")&amp;", "&amp;IF(TRIM(F405&amp;"")="","NULL","(SELECT id FROM gen_departamento WHERE upper(nombre) = upper('"&amp;SUBSTITUTE(TRIM(F405),"'","''")&amp;"') AND estado = 1 LIMIT 1)")&amp;", "&amp;IF(OR(TRIM(F405&amp;"")="",TRIM(G405&amp;"")=""),"NULL","(SELECT p.id FROM gen_provincia p JOIN gen_departamento dp ON dp.id = p.id_departamento WHERE upper(p.nombre) = upper('"&amp;SUBSTITUTE(TRIM(G405),"'","''")&amp;"') AND upper(dp.nombre) = upper('"&amp;SUBSTITUTE(TRIM(F405),"'","''")&amp;"') AND p.estado = 1 LIMIT 1)")&amp;", "&amp;IF(OR(TRIM(F405&amp;"")="",TRIM(G405&amp;"")="",TRIM(H405&amp;"")=""),"NULL","(SELECT d.id FROM gen_distrito d JOIN gen_provincia p ON p.id = d.id_provincia JOIN gen_departamento dp ON dp.id = p.id_departamento WHERE upper(d.nombre) = upper('"&amp;SUBSTITUTE(TRIM(H405),"'","''")&amp;"') AND upper(p.nombre) = upper('"&amp;SUBSTITUTE(TRIM(G405),"'","''")&amp;"') AND upper(dp.nombre) = upper('"&amp;SUBSTITUTE(TRIM(F405),"'","''")&amp;"') AND d.estado = 1 LIMIT 1)")&amp;", "&amp;IF(I405&amp;""="","NULL",SUBSTITUTE(I405&amp;"",",","."))&amp;", "&amp;IF(J405&amp;""="","NULL",SUBSTITUTE(J405&amp;"",",","."))&amp;", "&amp;IF(UPPER(TRIM(K405&amp;""))="SI","TRUE","FALSE")&amp;", 1"&amp;" WHERE NOT EXISTS (SELECT 1 FROM cli_direcciones x WHERE x.id_cliente = "&amp;"(SELECT id FROM cli_clientes WHERE numero_documento = '"&amp;SUBSTITUTE(TRIM(A405),"'","''")&amp;"' AND estado = 1 LIMIT 1)"&amp;" AND upper(x.direccion) = upper("&amp;IF(TRIM(D405&amp;"")="","NULL","'"&amp;SUBSTITUTE(TRIM(D405),"'","''")&amp;"'")&amp;"));")</f>
        <v/>
      </c>
    </row>
    <row r="406" ht="15.75" customHeight="1" s="64">
      <c r="A406" s="23" t="n"/>
      <c r="B406" s="25">
        <f t="array" ref="B406">IF(A406="","",IFERROR(IF(INDEX(Clientes!$D$5:$D$549,MATCH(A406,Clientes!$C$5:$C$549,0))&lt;&gt;"",INDEX(Clientes!$D$5:$D$549,MATCH(A406,Clientes!$C$5:$C$549,0)),TRIM(INDEX(Clientes!$E$5:$E$549,MATCH(A406,Clientes!$C$5:$C$549,0))&amp;" "&amp;INDEX(Clientes!$F$5:$F$549,MATCH(A406,Clientes!$C$5:$C$549,0)))),"NO EXISTE en Clientes"))</f>
        <v/>
      </c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>
        <f>IF(AND(A406="",D406=""),"",IF(A406="","FALTA doc. cliente",IF(B406="NO EXISTE en Clientes","CLIENTE no está en hoja Clientes",IF(D406="","FALTA dirección",IF(AND(H406&lt;&gt;"",OR(F406="",G406="")),"Distrito requiere departamento y provincia",IF(AND(G406&lt;&gt;"",F406=""),"Provincia requiere departamento",IF((I406&lt;&gt;"")&lt;&gt;(J406&lt;&gt;""),"Latitud y longitud van juntas","OK")))))))</f>
        <v/>
      </c>
      <c r="M406" s="28">
        <f>IF(L406&lt;&gt;"OK","","INSERT INTO cli_direcciones (id_cliente, descripcion, direccion, referencia, id_departamento, id_provincia, id_distrito, latitud, longitud, es_principal, estado) SELECT "&amp;"(SELECT id FROM cli_clientes WHERE numero_documento = '"&amp;SUBSTITUTE(TRIM(A406),"'","''")&amp;"' AND estado = 1 LIMIT 1)"&amp;", "&amp;IF(TRIM(C406&amp;"")="","NULL","'"&amp;SUBSTITUTE(TRIM(C406),"'","''")&amp;"'")&amp;", "&amp;IF(TRIM(D406&amp;"")="","NULL","'"&amp;SUBSTITUTE(TRIM(D406),"'","''")&amp;"'")&amp;", "&amp;IF(TRIM(E406&amp;"")="","NULL","'"&amp;SUBSTITUTE(TRIM(E406),"'","''")&amp;"'")&amp;", "&amp;IF(TRIM(F406&amp;"")="","NULL","(SELECT id FROM gen_departamento WHERE upper(nombre) = upper('"&amp;SUBSTITUTE(TRIM(F406),"'","''")&amp;"') AND estado = 1 LIMIT 1)")&amp;", "&amp;IF(OR(TRIM(F406&amp;"")="",TRIM(G406&amp;"")=""),"NULL","(SELECT p.id FROM gen_provincia p JOIN gen_departamento dp ON dp.id = p.id_departamento WHERE upper(p.nombre) = upper('"&amp;SUBSTITUTE(TRIM(G406),"'","''")&amp;"') AND upper(dp.nombre) = upper('"&amp;SUBSTITUTE(TRIM(F406),"'","''")&amp;"') AND p.estado = 1 LIMIT 1)")&amp;", "&amp;IF(OR(TRIM(F406&amp;"")="",TRIM(G406&amp;"")="",TRIM(H406&amp;"")=""),"NULL","(SELECT d.id FROM gen_distrito d JOIN gen_provincia p ON p.id = d.id_provincia JOIN gen_departamento dp ON dp.id = p.id_departamento WHERE upper(d.nombre) = upper('"&amp;SUBSTITUTE(TRIM(H406),"'","''")&amp;"') AND upper(p.nombre) = upper('"&amp;SUBSTITUTE(TRIM(G406),"'","''")&amp;"') AND upper(dp.nombre) = upper('"&amp;SUBSTITUTE(TRIM(F406),"'","''")&amp;"') AND d.estado = 1 LIMIT 1)")&amp;", "&amp;IF(I406&amp;""="","NULL",SUBSTITUTE(I406&amp;"",",","."))&amp;", "&amp;IF(J406&amp;""="","NULL",SUBSTITUTE(J406&amp;"",",","."))&amp;", "&amp;IF(UPPER(TRIM(K406&amp;""))="SI","TRUE","FALSE")&amp;", 1"&amp;" WHERE NOT EXISTS (SELECT 1 FROM cli_direcciones x WHERE x.id_cliente = "&amp;"(SELECT id FROM cli_clientes WHERE numero_documento = '"&amp;SUBSTITUTE(TRIM(A406),"'","''")&amp;"' AND estado = 1 LIMIT 1)"&amp;" AND upper(x.direccion) = upper("&amp;IF(TRIM(D406&amp;"")="","NULL","'"&amp;SUBSTITUTE(TRIM(D406),"'","''")&amp;"'")&amp;"));")</f>
        <v/>
      </c>
    </row>
    <row r="407" ht="15.75" customHeight="1" s="64">
      <c r="A407" s="23" t="n"/>
      <c r="B407" s="25">
        <f t="array" ref="B407">IF(A407="","",IFERROR(IF(INDEX(Clientes!$D$5:$D$549,MATCH(A407,Clientes!$C$5:$C$549,0))&lt;&gt;"",INDEX(Clientes!$D$5:$D$549,MATCH(A407,Clientes!$C$5:$C$549,0)),TRIM(INDEX(Clientes!$E$5:$E$549,MATCH(A407,Clientes!$C$5:$C$549,0))&amp;" "&amp;INDEX(Clientes!$F$5:$F$549,MATCH(A407,Clientes!$C$5:$C$549,0)))),"NO EXISTE en Clientes"))</f>
        <v/>
      </c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>
        <f>IF(AND(A407="",D407=""),"",IF(A407="","FALTA doc. cliente",IF(B407="NO EXISTE en Clientes","CLIENTE no está en hoja Clientes",IF(D407="","FALTA dirección",IF(AND(H407&lt;&gt;"",OR(F407="",G407="")),"Distrito requiere departamento y provincia",IF(AND(G407&lt;&gt;"",F407=""),"Provincia requiere departamento",IF((I407&lt;&gt;"")&lt;&gt;(J407&lt;&gt;""),"Latitud y longitud van juntas","OK")))))))</f>
        <v/>
      </c>
      <c r="M407" s="28">
        <f>IF(L407&lt;&gt;"OK","","INSERT INTO cli_direcciones (id_cliente, descripcion, direccion, referencia, id_departamento, id_provincia, id_distrito, latitud, longitud, es_principal, estado) SELECT "&amp;"(SELECT id FROM cli_clientes WHERE numero_documento = '"&amp;SUBSTITUTE(TRIM(A407),"'","''")&amp;"' AND estado = 1 LIMIT 1)"&amp;", "&amp;IF(TRIM(C407&amp;"")="","NULL","'"&amp;SUBSTITUTE(TRIM(C407),"'","''")&amp;"'")&amp;", "&amp;IF(TRIM(D407&amp;"")="","NULL","'"&amp;SUBSTITUTE(TRIM(D407),"'","''")&amp;"'")&amp;", "&amp;IF(TRIM(E407&amp;"")="","NULL","'"&amp;SUBSTITUTE(TRIM(E407),"'","''")&amp;"'")&amp;", "&amp;IF(TRIM(F407&amp;"")="","NULL","(SELECT id FROM gen_departamento WHERE upper(nombre) = upper('"&amp;SUBSTITUTE(TRIM(F407),"'","''")&amp;"') AND estado = 1 LIMIT 1)")&amp;", "&amp;IF(OR(TRIM(F407&amp;"")="",TRIM(G407&amp;"")=""),"NULL","(SELECT p.id FROM gen_provincia p JOIN gen_departamento dp ON dp.id = p.id_departamento WHERE upper(p.nombre) = upper('"&amp;SUBSTITUTE(TRIM(G407),"'","''")&amp;"') AND upper(dp.nombre) = upper('"&amp;SUBSTITUTE(TRIM(F407),"'","''")&amp;"') AND p.estado = 1 LIMIT 1)")&amp;", "&amp;IF(OR(TRIM(F407&amp;"")="",TRIM(G407&amp;"")="",TRIM(H407&amp;"")=""),"NULL","(SELECT d.id FROM gen_distrito d JOIN gen_provincia p ON p.id = d.id_provincia JOIN gen_departamento dp ON dp.id = p.id_departamento WHERE upper(d.nombre) = upper('"&amp;SUBSTITUTE(TRIM(H407),"'","''")&amp;"') AND upper(p.nombre) = upper('"&amp;SUBSTITUTE(TRIM(G407),"'","''")&amp;"') AND upper(dp.nombre) = upper('"&amp;SUBSTITUTE(TRIM(F407),"'","''")&amp;"') AND d.estado = 1 LIMIT 1)")&amp;", "&amp;IF(I407&amp;""="","NULL",SUBSTITUTE(I407&amp;"",",","."))&amp;", "&amp;IF(J407&amp;""="","NULL",SUBSTITUTE(J407&amp;"",",","."))&amp;", "&amp;IF(UPPER(TRIM(K407&amp;""))="SI","TRUE","FALSE")&amp;", 1"&amp;" WHERE NOT EXISTS (SELECT 1 FROM cli_direcciones x WHERE x.id_cliente = "&amp;"(SELECT id FROM cli_clientes WHERE numero_documento = '"&amp;SUBSTITUTE(TRIM(A407),"'","''")&amp;"' AND estado = 1 LIMIT 1)"&amp;" AND upper(x.direccion) = upper("&amp;IF(TRIM(D407&amp;"")="","NULL","'"&amp;SUBSTITUTE(TRIM(D407),"'","''")&amp;"'")&amp;"));")</f>
        <v/>
      </c>
    </row>
    <row r="408" ht="15.75" customHeight="1" s="64">
      <c r="A408" s="23" t="n"/>
      <c r="B408" s="25">
        <f t="array" ref="B408">IF(A408="","",IFERROR(IF(INDEX(Clientes!$D$5:$D$549,MATCH(A408,Clientes!$C$5:$C$549,0))&lt;&gt;"",INDEX(Clientes!$D$5:$D$549,MATCH(A408,Clientes!$C$5:$C$549,0)),TRIM(INDEX(Clientes!$E$5:$E$549,MATCH(A408,Clientes!$C$5:$C$549,0))&amp;" "&amp;INDEX(Clientes!$F$5:$F$549,MATCH(A408,Clientes!$C$5:$C$549,0)))),"NO EXISTE en Clientes"))</f>
        <v/>
      </c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>
        <f>IF(AND(A408="",D408=""),"",IF(A408="","FALTA doc. cliente",IF(B408="NO EXISTE en Clientes","CLIENTE no está en hoja Clientes",IF(D408="","FALTA dirección",IF(AND(H408&lt;&gt;"",OR(F408="",G408="")),"Distrito requiere departamento y provincia",IF(AND(G408&lt;&gt;"",F408=""),"Provincia requiere departamento",IF((I408&lt;&gt;"")&lt;&gt;(J408&lt;&gt;""),"Latitud y longitud van juntas","OK")))))))</f>
        <v/>
      </c>
      <c r="M408" s="28">
        <f>IF(L408&lt;&gt;"OK","","INSERT INTO cli_direcciones (id_cliente, descripcion, direccion, referencia, id_departamento, id_provincia, id_distrito, latitud, longitud, es_principal, estado) SELECT "&amp;"(SELECT id FROM cli_clientes WHERE numero_documento = '"&amp;SUBSTITUTE(TRIM(A408),"'","''")&amp;"' AND estado = 1 LIMIT 1)"&amp;", "&amp;IF(TRIM(C408&amp;"")="","NULL","'"&amp;SUBSTITUTE(TRIM(C408),"'","''")&amp;"'")&amp;", "&amp;IF(TRIM(D408&amp;"")="","NULL","'"&amp;SUBSTITUTE(TRIM(D408),"'","''")&amp;"'")&amp;", "&amp;IF(TRIM(E408&amp;"")="","NULL","'"&amp;SUBSTITUTE(TRIM(E408),"'","''")&amp;"'")&amp;", "&amp;IF(TRIM(F408&amp;"")="","NULL","(SELECT id FROM gen_departamento WHERE upper(nombre) = upper('"&amp;SUBSTITUTE(TRIM(F408),"'","''")&amp;"') AND estado = 1 LIMIT 1)")&amp;", "&amp;IF(OR(TRIM(F408&amp;"")="",TRIM(G408&amp;"")=""),"NULL","(SELECT p.id FROM gen_provincia p JOIN gen_departamento dp ON dp.id = p.id_departamento WHERE upper(p.nombre) = upper('"&amp;SUBSTITUTE(TRIM(G408),"'","''")&amp;"') AND upper(dp.nombre) = upper('"&amp;SUBSTITUTE(TRIM(F408),"'","''")&amp;"') AND p.estado = 1 LIMIT 1)")&amp;", "&amp;IF(OR(TRIM(F408&amp;"")="",TRIM(G408&amp;"")="",TRIM(H408&amp;"")=""),"NULL","(SELECT d.id FROM gen_distrito d JOIN gen_provincia p ON p.id = d.id_provincia JOIN gen_departamento dp ON dp.id = p.id_departamento WHERE upper(d.nombre) = upper('"&amp;SUBSTITUTE(TRIM(H408),"'","''")&amp;"') AND upper(p.nombre) = upper('"&amp;SUBSTITUTE(TRIM(G408),"'","''")&amp;"') AND upper(dp.nombre) = upper('"&amp;SUBSTITUTE(TRIM(F408),"'","''")&amp;"') AND d.estado = 1 LIMIT 1)")&amp;", "&amp;IF(I408&amp;""="","NULL",SUBSTITUTE(I408&amp;"",",","."))&amp;", "&amp;IF(J408&amp;""="","NULL",SUBSTITUTE(J408&amp;"",",","."))&amp;", "&amp;IF(UPPER(TRIM(K408&amp;""))="SI","TRUE","FALSE")&amp;", 1"&amp;" WHERE NOT EXISTS (SELECT 1 FROM cli_direcciones x WHERE x.id_cliente = "&amp;"(SELECT id FROM cli_clientes WHERE numero_documento = '"&amp;SUBSTITUTE(TRIM(A408),"'","''")&amp;"' AND estado = 1 LIMIT 1)"&amp;" AND upper(x.direccion) = upper("&amp;IF(TRIM(D408&amp;"")="","NULL","'"&amp;SUBSTITUTE(TRIM(D408),"'","''")&amp;"'")&amp;"));")</f>
        <v/>
      </c>
    </row>
    <row r="409" ht="15.75" customHeight="1" s="64">
      <c r="A409" s="23" t="n"/>
      <c r="B409" s="25">
        <f t="array" ref="B409">IF(A409="","",IFERROR(IF(INDEX(Clientes!$D$5:$D$549,MATCH(A409,Clientes!$C$5:$C$549,0))&lt;&gt;"",INDEX(Clientes!$D$5:$D$549,MATCH(A409,Clientes!$C$5:$C$549,0)),TRIM(INDEX(Clientes!$E$5:$E$549,MATCH(A409,Clientes!$C$5:$C$549,0))&amp;" "&amp;INDEX(Clientes!$F$5:$F$549,MATCH(A409,Clientes!$C$5:$C$549,0)))),"NO EXISTE en Clientes"))</f>
        <v/>
      </c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>
        <f>IF(AND(A409="",D409=""),"",IF(A409="","FALTA doc. cliente",IF(B409="NO EXISTE en Clientes","CLIENTE no está en hoja Clientes",IF(D409="","FALTA dirección",IF(AND(H409&lt;&gt;"",OR(F409="",G409="")),"Distrito requiere departamento y provincia",IF(AND(G409&lt;&gt;"",F409=""),"Provincia requiere departamento",IF((I409&lt;&gt;"")&lt;&gt;(J409&lt;&gt;""),"Latitud y longitud van juntas","OK")))))))</f>
        <v/>
      </c>
      <c r="M409" s="28">
        <f>IF(L409&lt;&gt;"OK","","INSERT INTO cli_direcciones (id_cliente, descripcion, direccion, referencia, id_departamento, id_provincia, id_distrito, latitud, longitud, es_principal, estado) SELECT "&amp;"(SELECT id FROM cli_clientes WHERE numero_documento = '"&amp;SUBSTITUTE(TRIM(A409),"'","''")&amp;"' AND estado = 1 LIMIT 1)"&amp;", "&amp;IF(TRIM(C409&amp;"")="","NULL","'"&amp;SUBSTITUTE(TRIM(C409),"'","''")&amp;"'")&amp;", "&amp;IF(TRIM(D409&amp;"")="","NULL","'"&amp;SUBSTITUTE(TRIM(D409),"'","''")&amp;"'")&amp;", "&amp;IF(TRIM(E409&amp;"")="","NULL","'"&amp;SUBSTITUTE(TRIM(E409),"'","''")&amp;"'")&amp;", "&amp;IF(TRIM(F409&amp;"")="","NULL","(SELECT id FROM gen_departamento WHERE upper(nombre) = upper('"&amp;SUBSTITUTE(TRIM(F409),"'","''")&amp;"') AND estado = 1 LIMIT 1)")&amp;", "&amp;IF(OR(TRIM(F409&amp;"")="",TRIM(G409&amp;"")=""),"NULL","(SELECT p.id FROM gen_provincia p JOIN gen_departamento dp ON dp.id = p.id_departamento WHERE upper(p.nombre) = upper('"&amp;SUBSTITUTE(TRIM(G409),"'","''")&amp;"') AND upper(dp.nombre) = upper('"&amp;SUBSTITUTE(TRIM(F409),"'","''")&amp;"') AND p.estado = 1 LIMIT 1)")&amp;", "&amp;IF(OR(TRIM(F409&amp;"")="",TRIM(G409&amp;"")="",TRIM(H409&amp;"")=""),"NULL","(SELECT d.id FROM gen_distrito d JOIN gen_provincia p ON p.id = d.id_provincia JOIN gen_departamento dp ON dp.id = p.id_departamento WHERE upper(d.nombre) = upper('"&amp;SUBSTITUTE(TRIM(H409),"'","''")&amp;"') AND upper(p.nombre) = upper('"&amp;SUBSTITUTE(TRIM(G409),"'","''")&amp;"') AND upper(dp.nombre) = upper('"&amp;SUBSTITUTE(TRIM(F409),"'","''")&amp;"') AND d.estado = 1 LIMIT 1)")&amp;", "&amp;IF(I409&amp;""="","NULL",SUBSTITUTE(I409&amp;"",",","."))&amp;", "&amp;IF(J409&amp;""="","NULL",SUBSTITUTE(J409&amp;"",",","."))&amp;", "&amp;IF(UPPER(TRIM(K409&amp;""))="SI","TRUE","FALSE")&amp;", 1"&amp;" WHERE NOT EXISTS (SELECT 1 FROM cli_direcciones x WHERE x.id_cliente = "&amp;"(SELECT id FROM cli_clientes WHERE numero_documento = '"&amp;SUBSTITUTE(TRIM(A409),"'","''")&amp;"' AND estado = 1 LIMIT 1)"&amp;" AND upper(x.direccion) = upper("&amp;IF(TRIM(D409&amp;"")="","NULL","'"&amp;SUBSTITUTE(TRIM(D409),"'","''")&amp;"'")&amp;"));")</f>
        <v/>
      </c>
    </row>
    <row r="410" ht="15.75" customHeight="1" s="64">
      <c r="A410" s="23" t="n"/>
      <c r="B410" s="25">
        <f t="array" ref="B410">IF(A410="","",IFERROR(IF(INDEX(Clientes!$D$5:$D$549,MATCH(A410,Clientes!$C$5:$C$549,0))&lt;&gt;"",INDEX(Clientes!$D$5:$D$549,MATCH(A410,Clientes!$C$5:$C$549,0)),TRIM(INDEX(Clientes!$E$5:$E$549,MATCH(A410,Clientes!$C$5:$C$549,0))&amp;" "&amp;INDEX(Clientes!$F$5:$F$549,MATCH(A410,Clientes!$C$5:$C$549,0)))),"NO EXISTE en Clientes"))</f>
        <v/>
      </c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>
        <f>IF(AND(A410="",D410=""),"",IF(A410="","FALTA doc. cliente",IF(B410="NO EXISTE en Clientes","CLIENTE no está en hoja Clientes",IF(D410="","FALTA dirección",IF(AND(H410&lt;&gt;"",OR(F410="",G410="")),"Distrito requiere departamento y provincia",IF(AND(G410&lt;&gt;"",F410=""),"Provincia requiere departamento",IF((I410&lt;&gt;"")&lt;&gt;(J410&lt;&gt;""),"Latitud y longitud van juntas","OK")))))))</f>
        <v/>
      </c>
      <c r="M410" s="28">
        <f>IF(L410&lt;&gt;"OK","","INSERT INTO cli_direcciones (id_cliente, descripcion, direccion, referencia, id_departamento, id_provincia, id_distrito, latitud, longitud, es_principal, estado) SELECT "&amp;"(SELECT id FROM cli_clientes WHERE numero_documento = '"&amp;SUBSTITUTE(TRIM(A410),"'","''")&amp;"' AND estado = 1 LIMIT 1)"&amp;", "&amp;IF(TRIM(C410&amp;"")="","NULL","'"&amp;SUBSTITUTE(TRIM(C410),"'","''")&amp;"'")&amp;", "&amp;IF(TRIM(D410&amp;"")="","NULL","'"&amp;SUBSTITUTE(TRIM(D410),"'","''")&amp;"'")&amp;", "&amp;IF(TRIM(E410&amp;"")="","NULL","'"&amp;SUBSTITUTE(TRIM(E410),"'","''")&amp;"'")&amp;", "&amp;IF(TRIM(F410&amp;"")="","NULL","(SELECT id FROM gen_departamento WHERE upper(nombre) = upper('"&amp;SUBSTITUTE(TRIM(F410),"'","''")&amp;"') AND estado = 1 LIMIT 1)")&amp;", "&amp;IF(OR(TRIM(F410&amp;"")="",TRIM(G410&amp;"")=""),"NULL","(SELECT p.id FROM gen_provincia p JOIN gen_departamento dp ON dp.id = p.id_departamento WHERE upper(p.nombre) = upper('"&amp;SUBSTITUTE(TRIM(G410),"'","''")&amp;"') AND upper(dp.nombre) = upper('"&amp;SUBSTITUTE(TRIM(F410),"'","''")&amp;"') AND p.estado = 1 LIMIT 1)")&amp;", "&amp;IF(OR(TRIM(F410&amp;"")="",TRIM(G410&amp;"")="",TRIM(H410&amp;"")=""),"NULL","(SELECT d.id FROM gen_distrito d JOIN gen_provincia p ON p.id = d.id_provincia JOIN gen_departamento dp ON dp.id = p.id_departamento WHERE upper(d.nombre) = upper('"&amp;SUBSTITUTE(TRIM(H410),"'","''")&amp;"') AND upper(p.nombre) = upper('"&amp;SUBSTITUTE(TRIM(G410),"'","''")&amp;"') AND upper(dp.nombre) = upper('"&amp;SUBSTITUTE(TRIM(F410),"'","''")&amp;"') AND d.estado = 1 LIMIT 1)")&amp;", "&amp;IF(I410&amp;""="","NULL",SUBSTITUTE(I410&amp;"",",","."))&amp;", "&amp;IF(J410&amp;""="","NULL",SUBSTITUTE(J410&amp;"",",","."))&amp;", "&amp;IF(UPPER(TRIM(K410&amp;""))="SI","TRUE","FALSE")&amp;", 1"&amp;" WHERE NOT EXISTS (SELECT 1 FROM cli_direcciones x WHERE x.id_cliente = "&amp;"(SELECT id FROM cli_clientes WHERE numero_documento = '"&amp;SUBSTITUTE(TRIM(A410),"'","''")&amp;"' AND estado = 1 LIMIT 1)"&amp;" AND upper(x.direccion) = upper("&amp;IF(TRIM(D410&amp;"")="","NULL","'"&amp;SUBSTITUTE(TRIM(D410),"'","''")&amp;"'")&amp;"));")</f>
        <v/>
      </c>
    </row>
    <row r="411" ht="15.75" customHeight="1" s="64">
      <c r="A411" s="23" t="n"/>
      <c r="B411" s="25">
        <f t="array" ref="B411">IF(A411="","",IFERROR(IF(INDEX(Clientes!$D$5:$D$549,MATCH(A411,Clientes!$C$5:$C$549,0))&lt;&gt;"",INDEX(Clientes!$D$5:$D$549,MATCH(A411,Clientes!$C$5:$C$549,0)),TRIM(INDEX(Clientes!$E$5:$E$549,MATCH(A411,Clientes!$C$5:$C$549,0))&amp;" "&amp;INDEX(Clientes!$F$5:$F$549,MATCH(A411,Clientes!$C$5:$C$549,0)))),"NO EXISTE en Clientes"))</f>
        <v/>
      </c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>
        <f>IF(AND(A411="",D411=""),"",IF(A411="","FALTA doc. cliente",IF(B411="NO EXISTE en Clientes","CLIENTE no está en hoja Clientes",IF(D411="","FALTA dirección",IF(AND(H411&lt;&gt;"",OR(F411="",G411="")),"Distrito requiere departamento y provincia",IF(AND(G411&lt;&gt;"",F411=""),"Provincia requiere departamento",IF((I411&lt;&gt;"")&lt;&gt;(J411&lt;&gt;""),"Latitud y longitud van juntas","OK")))))))</f>
        <v/>
      </c>
      <c r="M411" s="28">
        <f>IF(L411&lt;&gt;"OK","","INSERT INTO cli_direcciones (id_cliente, descripcion, direccion, referencia, id_departamento, id_provincia, id_distrito, latitud, longitud, es_principal, estado) SELECT "&amp;"(SELECT id FROM cli_clientes WHERE numero_documento = '"&amp;SUBSTITUTE(TRIM(A411),"'","''")&amp;"' AND estado = 1 LIMIT 1)"&amp;", "&amp;IF(TRIM(C411&amp;"")="","NULL","'"&amp;SUBSTITUTE(TRIM(C411),"'","''")&amp;"'")&amp;", "&amp;IF(TRIM(D411&amp;"")="","NULL","'"&amp;SUBSTITUTE(TRIM(D411),"'","''")&amp;"'")&amp;", "&amp;IF(TRIM(E411&amp;"")="","NULL","'"&amp;SUBSTITUTE(TRIM(E411),"'","''")&amp;"'")&amp;", "&amp;IF(TRIM(F411&amp;"")="","NULL","(SELECT id FROM gen_departamento WHERE upper(nombre) = upper('"&amp;SUBSTITUTE(TRIM(F411),"'","''")&amp;"') AND estado = 1 LIMIT 1)")&amp;", "&amp;IF(OR(TRIM(F411&amp;"")="",TRIM(G411&amp;"")=""),"NULL","(SELECT p.id FROM gen_provincia p JOIN gen_departamento dp ON dp.id = p.id_departamento WHERE upper(p.nombre) = upper('"&amp;SUBSTITUTE(TRIM(G411),"'","''")&amp;"') AND upper(dp.nombre) = upper('"&amp;SUBSTITUTE(TRIM(F411),"'","''")&amp;"') AND p.estado = 1 LIMIT 1)")&amp;", "&amp;IF(OR(TRIM(F411&amp;"")="",TRIM(G411&amp;"")="",TRIM(H411&amp;"")=""),"NULL","(SELECT d.id FROM gen_distrito d JOIN gen_provincia p ON p.id = d.id_provincia JOIN gen_departamento dp ON dp.id = p.id_departamento WHERE upper(d.nombre) = upper('"&amp;SUBSTITUTE(TRIM(H411),"'","''")&amp;"') AND upper(p.nombre) = upper('"&amp;SUBSTITUTE(TRIM(G411),"'","''")&amp;"') AND upper(dp.nombre) = upper('"&amp;SUBSTITUTE(TRIM(F411),"'","''")&amp;"') AND d.estado = 1 LIMIT 1)")&amp;", "&amp;IF(I411&amp;""="","NULL",SUBSTITUTE(I411&amp;"",",","."))&amp;", "&amp;IF(J411&amp;""="","NULL",SUBSTITUTE(J411&amp;"",",","."))&amp;", "&amp;IF(UPPER(TRIM(K411&amp;""))="SI","TRUE","FALSE")&amp;", 1"&amp;" WHERE NOT EXISTS (SELECT 1 FROM cli_direcciones x WHERE x.id_cliente = "&amp;"(SELECT id FROM cli_clientes WHERE numero_documento = '"&amp;SUBSTITUTE(TRIM(A411),"'","''")&amp;"' AND estado = 1 LIMIT 1)"&amp;" AND upper(x.direccion) = upper("&amp;IF(TRIM(D411&amp;"")="","NULL","'"&amp;SUBSTITUTE(TRIM(D411),"'","''")&amp;"'")&amp;"));")</f>
        <v/>
      </c>
    </row>
    <row r="412" ht="15.75" customHeight="1" s="64">
      <c r="A412" s="23" t="n"/>
      <c r="B412" s="25">
        <f t="array" ref="B412">IF(A412="","",IFERROR(IF(INDEX(Clientes!$D$5:$D$549,MATCH(A412,Clientes!$C$5:$C$549,0))&lt;&gt;"",INDEX(Clientes!$D$5:$D$549,MATCH(A412,Clientes!$C$5:$C$549,0)),TRIM(INDEX(Clientes!$E$5:$E$549,MATCH(A412,Clientes!$C$5:$C$549,0))&amp;" "&amp;INDEX(Clientes!$F$5:$F$549,MATCH(A412,Clientes!$C$5:$C$549,0)))),"NO EXISTE en Clientes"))</f>
        <v/>
      </c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>
        <f>IF(AND(A412="",D412=""),"",IF(A412="","FALTA doc. cliente",IF(B412="NO EXISTE en Clientes","CLIENTE no está en hoja Clientes",IF(D412="","FALTA dirección",IF(AND(H412&lt;&gt;"",OR(F412="",G412="")),"Distrito requiere departamento y provincia",IF(AND(G412&lt;&gt;"",F412=""),"Provincia requiere departamento",IF((I412&lt;&gt;"")&lt;&gt;(J412&lt;&gt;""),"Latitud y longitud van juntas","OK")))))))</f>
        <v/>
      </c>
      <c r="M412" s="28">
        <f>IF(L412&lt;&gt;"OK","","INSERT INTO cli_direcciones (id_cliente, descripcion, direccion, referencia, id_departamento, id_provincia, id_distrito, latitud, longitud, es_principal, estado) SELECT "&amp;"(SELECT id FROM cli_clientes WHERE numero_documento = '"&amp;SUBSTITUTE(TRIM(A412),"'","''")&amp;"' AND estado = 1 LIMIT 1)"&amp;", "&amp;IF(TRIM(C412&amp;"")="","NULL","'"&amp;SUBSTITUTE(TRIM(C412),"'","''")&amp;"'")&amp;", "&amp;IF(TRIM(D412&amp;"")="","NULL","'"&amp;SUBSTITUTE(TRIM(D412),"'","''")&amp;"'")&amp;", "&amp;IF(TRIM(E412&amp;"")="","NULL","'"&amp;SUBSTITUTE(TRIM(E412),"'","''")&amp;"'")&amp;", "&amp;IF(TRIM(F412&amp;"")="","NULL","(SELECT id FROM gen_departamento WHERE upper(nombre) = upper('"&amp;SUBSTITUTE(TRIM(F412),"'","''")&amp;"') AND estado = 1 LIMIT 1)")&amp;", "&amp;IF(OR(TRIM(F412&amp;"")="",TRIM(G412&amp;"")=""),"NULL","(SELECT p.id FROM gen_provincia p JOIN gen_departamento dp ON dp.id = p.id_departamento WHERE upper(p.nombre) = upper('"&amp;SUBSTITUTE(TRIM(G412),"'","''")&amp;"') AND upper(dp.nombre) = upper('"&amp;SUBSTITUTE(TRIM(F412),"'","''")&amp;"') AND p.estado = 1 LIMIT 1)")&amp;", "&amp;IF(OR(TRIM(F412&amp;"")="",TRIM(G412&amp;"")="",TRIM(H412&amp;"")=""),"NULL","(SELECT d.id FROM gen_distrito d JOIN gen_provincia p ON p.id = d.id_provincia JOIN gen_departamento dp ON dp.id = p.id_departamento WHERE upper(d.nombre) = upper('"&amp;SUBSTITUTE(TRIM(H412),"'","''")&amp;"') AND upper(p.nombre) = upper('"&amp;SUBSTITUTE(TRIM(G412),"'","''")&amp;"') AND upper(dp.nombre) = upper('"&amp;SUBSTITUTE(TRIM(F412),"'","''")&amp;"') AND d.estado = 1 LIMIT 1)")&amp;", "&amp;IF(I412&amp;""="","NULL",SUBSTITUTE(I412&amp;"",",","."))&amp;", "&amp;IF(J412&amp;""="","NULL",SUBSTITUTE(J412&amp;"",",","."))&amp;", "&amp;IF(UPPER(TRIM(K412&amp;""))="SI","TRUE","FALSE")&amp;", 1"&amp;" WHERE NOT EXISTS (SELECT 1 FROM cli_direcciones x WHERE x.id_cliente = "&amp;"(SELECT id FROM cli_clientes WHERE numero_documento = '"&amp;SUBSTITUTE(TRIM(A412),"'","''")&amp;"' AND estado = 1 LIMIT 1)"&amp;" AND upper(x.direccion) = upper("&amp;IF(TRIM(D412&amp;"")="","NULL","'"&amp;SUBSTITUTE(TRIM(D412),"'","''")&amp;"'")&amp;"));")</f>
        <v/>
      </c>
    </row>
    <row r="413" ht="15.75" customHeight="1" s="64">
      <c r="A413" s="23" t="n"/>
      <c r="B413" s="25">
        <f t="array" ref="B413">IF(A413="","",IFERROR(IF(INDEX(Clientes!$D$5:$D$549,MATCH(A413,Clientes!$C$5:$C$549,0))&lt;&gt;"",INDEX(Clientes!$D$5:$D$549,MATCH(A413,Clientes!$C$5:$C$549,0)),TRIM(INDEX(Clientes!$E$5:$E$549,MATCH(A413,Clientes!$C$5:$C$549,0))&amp;" "&amp;INDEX(Clientes!$F$5:$F$549,MATCH(A413,Clientes!$C$5:$C$549,0)))),"NO EXISTE en Clientes"))</f>
        <v/>
      </c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>
        <f>IF(AND(A413="",D413=""),"",IF(A413="","FALTA doc. cliente",IF(B413="NO EXISTE en Clientes","CLIENTE no está en hoja Clientes",IF(D413="","FALTA dirección",IF(AND(H413&lt;&gt;"",OR(F413="",G413="")),"Distrito requiere departamento y provincia",IF(AND(G413&lt;&gt;"",F413=""),"Provincia requiere departamento",IF((I413&lt;&gt;"")&lt;&gt;(J413&lt;&gt;""),"Latitud y longitud van juntas","OK")))))))</f>
        <v/>
      </c>
      <c r="M413" s="28">
        <f>IF(L413&lt;&gt;"OK","","INSERT INTO cli_direcciones (id_cliente, descripcion, direccion, referencia, id_departamento, id_provincia, id_distrito, latitud, longitud, es_principal, estado) SELECT "&amp;"(SELECT id FROM cli_clientes WHERE numero_documento = '"&amp;SUBSTITUTE(TRIM(A413),"'","''")&amp;"' AND estado = 1 LIMIT 1)"&amp;", "&amp;IF(TRIM(C413&amp;"")="","NULL","'"&amp;SUBSTITUTE(TRIM(C413),"'","''")&amp;"'")&amp;", "&amp;IF(TRIM(D413&amp;"")="","NULL","'"&amp;SUBSTITUTE(TRIM(D413),"'","''")&amp;"'")&amp;", "&amp;IF(TRIM(E413&amp;"")="","NULL","'"&amp;SUBSTITUTE(TRIM(E413),"'","''")&amp;"'")&amp;", "&amp;IF(TRIM(F413&amp;"")="","NULL","(SELECT id FROM gen_departamento WHERE upper(nombre) = upper('"&amp;SUBSTITUTE(TRIM(F413),"'","''")&amp;"') AND estado = 1 LIMIT 1)")&amp;", "&amp;IF(OR(TRIM(F413&amp;"")="",TRIM(G413&amp;"")=""),"NULL","(SELECT p.id FROM gen_provincia p JOIN gen_departamento dp ON dp.id = p.id_departamento WHERE upper(p.nombre) = upper('"&amp;SUBSTITUTE(TRIM(G413),"'","''")&amp;"') AND upper(dp.nombre) = upper('"&amp;SUBSTITUTE(TRIM(F413),"'","''")&amp;"') AND p.estado = 1 LIMIT 1)")&amp;", "&amp;IF(OR(TRIM(F413&amp;"")="",TRIM(G413&amp;"")="",TRIM(H413&amp;"")=""),"NULL","(SELECT d.id FROM gen_distrito d JOIN gen_provincia p ON p.id = d.id_provincia JOIN gen_departamento dp ON dp.id = p.id_departamento WHERE upper(d.nombre) = upper('"&amp;SUBSTITUTE(TRIM(H413),"'","''")&amp;"') AND upper(p.nombre) = upper('"&amp;SUBSTITUTE(TRIM(G413),"'","''")&amp;"') AND upper(dp.nombre) = upper('"&amp;SUBSTITUTE(TRIM(F413),"'","''")&amp;"') AND d.estado = 1 LIMIT 1)")&amp;", "&amp;IF(I413&amp;""="","NULL",SUBSTITUTE(I413&amp;"",",","."))&amp;", "&amp;IF(J413&amp;""="","NULL",SUBSTITUTE(J413&amp;"",",","."))&amp;", "&amp;IF(UPPER(TRIM(K413&amp;""))="SI","TRUE","FALSE")&amp;", 1"&amp;" WHERE NOT EXISTS (SELECT 1 FROM cli_direcciones x WHERE x.id_cliente = "&amp;"(SELECT id FROM cli_clientes WHERE numero_documento = '"&amp;SUBSTITUTE(TRIM(A413),"'","''")&amp;"' AND estado = 1 LIMIT 1)"&amp;" AND upper(x.direccion) = upper("&amp;IF(TRIM(D413&amp;"")="","NULL","'"&amp;SUBSTITUTE(TRIM(D413),"'","''")&amp;"'")&amp;"));")</f>
        <v/>
      </c>
    </row>
    <row r="414" ht="15.75" customHeight="1" s="64">
      <c r="A414" s="23" t="n"/>
      <c r="B414" s="25">
        <f t="array" ref="B414">IF(A414="","",IFERROR(IF(INDEX(Clientes!$D$5:$D$549,MATCH(A414,Clientes!$C$5:$C$549,0))&lt;&gt;"",INDEX(Clientes!$D$5:$D$549,MATCH(A414,Clientes!$C$5:$C$549,0)),TRIM(INDEX(Clientes!$E$5:$E$549,MATCH(A414,Clientes!$C$5:$C$549,0))&amp;" "&amp;INDEX(Clientes!$F$5:$F$549,MATCH(A414,Clientes!$C$5:$C$549,0)))),"NO EXISTE en Clientes"))</f>
        <v/>
      </c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>
        <f>IF(AND(A414="",D414=""),"",IF(A414="","FALTA doc. cliente",IF(B414="NO EXISTE en Clientes","CLIENTE no está en hoja Clientes",IF(D414="","FALTA dirección",IF(AND(H414&lt;&gt;"",OR(F414="",G414="")),"Distrito requiere departamento y provincia",IF(AND(G414&lt;&gt;"",F414=""),"Provincia requiere departamento",IF((I414&lt;&gt;"")&lt;&gt;(J414&lt;&gt;""),"Latitud y longitud van juntas","OK")))))))</f>
        <v/>
      </c>
      <c r="M414" s="28">
        <f>IF(L414&lt;&gt;"OK","","INSERT INTO cli_direcciones (id_cliente, descripcion, direccion, referencia, id_departamento, id_provincia, id_distrito, latitud, longitud, es_principal, estado) SELECT "&amp;"(SELECT id FROM cli_clientes WHERE numero_documento = '"&amp;SUBSTITUTE(TRIM(A414),"'","''")&amp;"' AND estado = 1 LIMIT 1)"&amp;", "&amp;IF(TRIM(C414&amp;"")="","NULL","'"&amp;SUBSTITUTE(TRIM(C414),"'","''")&amp;"'")&amp;", "&amp;IF(TRIM(D414&amp;"")="","NULL","'"&amp;SUBSTITUTE(TRIM(D414),"'","''")&amp;"'")&amp;", "&amp;IF(TRIM(E414&amp;"")="","NULL","'"&amp;SUBSTITUTE(TRIM(E414),"'","''")&amp;"'")&amp;", "&amp;IF(TRIM(F414&amp;"")="","NULL","(SELECT id FROM gen_departamento WHERE upper(nombre) = upper('"&amp;SUBSTITUTE(TRIM(F414),"'","''")&amp;"') AND estado = 1 LIMIT 1)")&amp;", "&amp;IF(OR(TRIM(F414&amp;"")="",TRIM(G414&amp;"")=""),"NULL","(SELECT p.id FROM gen_provincia p JOIN gen_departamento dp ON dp.id = p.id_departamento WHERE upper(p.nombre) = upper('"&amp;SUBSTITUTE(TRIM(G414),"'","''")&amp;"') AND upper(dp.nombre) = upper('"&amp;SUBSTITUTE(TRIM(F414),"'","''")&amp;"') AND p.estado = 1 LIMIT 1)")&amp;", "&amp;IF(OR(TRIM(F414&amp;"")="",TRIM(G414&amp;"")="",TRIM(H414&amp;"")=""),"NULL","(SELECT d.id FROM gen_distrito d JOIN gen_provincia p ON p.id = d.id_provincia JOIN gen_departamento dp ON dp.id = p.id_departamento WHERE upper(d.nombre) = upper('"&amp;SUBSTITUTE(TRIM(H414),"'","''")&amp;"') AND upper(p.nombre) = upper('"&amp;SUBSTITUTE(TRIM(G414),"'","''")&amp;"') AND upper(dp.nombre) = upper('"&amp;SUBSTITUTE(TRIM(F414),"'","''")&amp;"') AND d.estado = 1 LIMIT 1)")&amp;", "&amp;IF(I414&amp;""="","NULL",SUBSTITUTE(I414&amp;"",",","."))&amp;", "&amp;IF(J414&amp;""="","NULL",SUBSTITUTE(J414&amp;"",",","."))&amp;", "&amp;IF(UPPER(TRIM(K414&amp;""))="SI","TRUE","FALSE")&amp;", 1"&amp;" WHERE NOT EXISTS (SELECT 1 FROM cli_direcciones x WHERE x.id_cliente = "&amp;"(SELECT id FROM cli_clientes WHERE numero_documento = '"&amp;SUBSTITUTE(TRIM(A414),"'","''")&amp;"' AND estado = 1 LIMIT 1)"&amp;" AND upper(x.direccion) = upper("&amp;IF(TRIM(D414&amp;"")="","NULL","'"&amp;SUBSTITUTE(TRIM(D414),"'","''")&amp;"'")&amp;"));")</f>
        <v/>
      </c>
    </row>
    <row r="415" ht="15.75" customHeight="1" s="64">
      <c r="A415" s="23" t="n"/>
      <c r="B415" s="25">
        <f t="array" ref="B415">IF(A415="","",IFERROR(IF(INDEX(Clientes!$D$5:$D$549,MATCH(A415,Clientes!$C$5:$C$549,0))&lt;&gt;"",INDEX(Clientes!$D$5:$D$549,MATCH(A415,Clientes!$C$5:$C$549,0)),TRIM(INDEX(Clientes!$E$5:$E$549,MATCH(A415,Clientes!$C$5:$C$549,0))&amp;" "&amp;INDEX(Clientes!$F$5:$F$549,MATCH(A415,Clientes!$C$5:$C$549,0)))),"NO EXISTE en Clientes"))</f>
        <v/>
      </c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>
        <f>IF(AND(A415="",D415=""),"",IF(A415="","FALTA doc. cliente",IF(B415="NO EXISTE en Clientes","CLIENTE no está en hoja Clientes",IF(D415="","FALTA dirección",IF(AND(H415&lt;&gt;"",OR(F415="",G415="")),"Distrito requiere departamento y provincia",IF(AND(G415&lt;&gt;"",F415=""),"Provincia requiere departamento",IF((I415&lt;&gt;"")&lt;&gt;(J415&lt;&gt;""),"Latitud y longitud van juntas","OK")))))))</f>
        <v/>
      </c>
      <c r="M415" s="28">
        <f>IF(L415&lt;&gt;"OK","","INSERT INTO cli_direcciones (id_cliente, descripcion, direccion, referencia, id_departamento, id_provincia, id_distrito, latitud, longitud, es_principal, estado) SELECT "&amp;"(SELECT id FROM cli_clientes WHERE numero_documento = '"&amp;SUBSTITUTE(TRIM(A415),"'","''")&amp;"' AND estado = 1 LIMIT 1)"&amp;", "&amp;IF(TRIM(C415&amp;"")="","NULL","'"&amp;SUBSTITUTE(TRIM(C415),"'","''")&amp;"'")&amp;", "&amp;IF(TRIM(D415&amp;"")="","NULL","'"&amp;SUBSTITUTE(TRIM(D415),"'","''")&amp;"'")&amp;", "&amp;IF(TRIM(E415&amp;"")="","NULL","'"&amp;SUBSTITUTE(TRIM(E415),"'","''")&amp;"'")&amp;", "&amp;IF(TRIM(F415&amp;"")="","NULL","(SELECT id FROM gen_departamento WHERE upper(nombre) = upper('"&amp;SUBSTITUTE(TRIM(F415),"'","''")&amp;"') AND estado = 1 LIMIT 1)")&amp;", "&amp;IF(OR(TRIM(F415&amp;"")="",TRIM(G415&amp;"")=""),"NULL","(SELECT p.id FROM gen_provincia p JOIN gen_departamento dp ON dp.id = p.id_departamento WHERE upper(p.nombre) = upper('"&amp;SUBSTITUTE(TRIM(G415),"'","''")&amp;"') AND upper(dp.nombre) = upper('"&amp;SUBSTITUTE(TRIM(F415),"'","''")&amp;"') AND p.estado = 1 LIMIT 1)")&amp;", "&amp;IF(OR(TRIM(F415&amp;"")="",TRIM(G415&amp;"")="",TRIM(H415&amp;"")=""),"NULL","(SELECT d.id FROM gen_distrito d JOIN gen_provincia p ON p.id = d.id_provincia JOIN gen_departamento dp ON dp.id = p.id_departamento WHERE upper(d.nombre) = upper('"&amp;SUBSTITUTE(TRIM(H415),"'","''")&amp;"') AND upper(p.nombre) = upper('"&amp;SUBSTITUTE(TRIM(G415),"'","''")&amp;"') AND upper(dp.nombre) = upper('"&amp;SUBSTITUTE(TRIM(F415),"'","''")&amp;"') AND d.estado = 1 LIMIT 1)")&amp;", "&amp;IF(I415&amp;""="","NULL",SUBSTITUTE(I415&amp;"",",","."))&amp;", "&amp;IF(J415&amp;""="","NULL",SUBSTITUTE(J415&amp;"",",","."))&amp;", "&amp;IF(UPPER(TRIM(K415&amp;""))="SI","TRUE","FALSE")&amp;", 1"&amp;" WHERE NOT EXISTS (SELECT 1 FROM cli_direcciones x WHERE x.id_cliente = "&amp;"(SELECT id FROM cli_clientes WHERE numero_documento = '"&amp;SUBSTITUTE(TRIM(A415),"'","''")&amp;"' AND estado = 1 LIMIT 1)"&amp;" AND upper(x.direccion) = upper("&amp;IF(TRIM(D415&amp;"")="","NULL","'"&amp;SUBSTITUTE(TRIM(D415),"'","''")&amp;"'")&amp;"));")</f>
        <v/>
      </c>
    </row>
    <row r="416" ht="15.75" customHeight="1" s="64">
      <c r="A416" s="23" t="n"/>
      <c r="B416" s="25">
        <f t="array" ref="B416">IF(A416="","",IFERROR(IF(INDEX(Clientes!$D$5:$D$549,MATCH(A416,Clientes!$C$5:$C$549,0))&lt;&gt;"",INDEX(Clientes!$D$5:$D$549,MATCH(A416,Clientes!$C$5:$C$549,0)),TRIM(INDEX(Clientes!$E$5:$E$549,MATCH(A416,Clientes!$C$5:$C$549,0))&amp;" "&amp;INDEX(Clientes!$F$5:$F$549,MATCH(A416,Clientes!$C$5:$C$549,0)))),"NO EXISTE en Clientes"))</f>
        <v/>
      </c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>
        <f>IF(AND(A416="",D416=""),"",IF(A416="","FALTA doc. cliente",IF(B416="NO EXISTE en Clientes","CLIENTE no está en hoja Clientes",IF(D416="","FALTA dirección",IF(AND(H416&lt;&gt;"",OR(F416="",G416="")),"Distrito requiere departamento y provincia",IF(AND(G416&lt;&gt;"",F416=""),"Provincia requiere departamento",IF((I416&lt;&gt;"")&lt;&gt;(J416&lt;&gt;""),"Latitud y longitud van juntas","OK")))))))</f>
        <v/>
      </c>
      <c r="M416" s="28">
        <f>IF(L416&lt;&gt;"OK","","INSERT INTO cli_direcciones (id_cliente, descripcion, direccion, referencia, id_departamento, id_provincia, id_distrito, latitud, longitud, es_principal, estado) SELECT "&amp;"(SELECT id FROM cli_clientes WHERE numero_documento = '"&amp;SUBSTITUTE(TRIM(A416),"'","''")&amp;"' AND estado = 1 LIMIT 1)"&amp;", "&amp;IF(TRIM(C416&amp;"")="","NULL","'"&amp;SUBSTITUTE(TRIM(C416),"'","''")&amp;"'")&amp;", "&amp;IF(TRIM(D416&amp;"")="","NULL","'"&amp;SUBSTITUTE(TRIM(D416),"'","''")&amp;"'")&amp;", "&amp;IF(TRIM(E416&amp;"")="","NULL","'"&amp;SUBSTITUTE(TRIM(E416),"'","''")&amp;"'")&amp;", "&amp;IF(TRIM(F416&amp;"")="","NULL","(SELECT id FROM gen_departamento WHERE upper(nombre) = upper('"&amp;SUBSTITUTE(TRIM(F416),"'","''")&amp;"') AND estado = 1 LIMIT 1)")&amp;", "&amp;IF(OR(TRIM(F416&amp;"")="",TRIM(G416&amp;"")=""),"NULL","(SELECT p.id FROM gen_provincia p JOIN gen_departamento dp ON dp.id = p.id_departamento WHERE upper(p.nombre) = upper('"&amp;SUBSTITUTE(TRIM(G416),"'","''")&amp;"') AND upper(dp.nombre) = upper('"&amp;SUBSTITUTE(TRIM(F416),"'","''")&amp;"') AND p.estado = 1 LIMIT 1)")&amp;", "&amp;IF(OR(TRIM(F416&amp;"")="",TRIM(G416&amp;"")="",TRIM(H416&amp;"")=""),"NULL","(SELECT d.id FROM gen_distrito d JOIN gen_provincia p ON p.id = d.id_provincia JOIN gen_departamento dp ON dp.id = p.id_departamento WHERE upper(d.nombre) = upper('"&amp;SUBSTITUTE(TRIM(H416),"'","''")&amp;"') AND upper(p.nombre) = upper('"&amp;SUBSTITUTE(TRIM(G416),"'","''")&amp;"') AND upper(dp.nombre) = upper('"&amp;SUBSTITUTE(TRIM(F416),"'","''")&amp;"') AND d.estado = 1 LIMIT 1)")&amp;", "&amp;IF(I416&amp;""="","NULL",SUBSTITUTE(I416&amp;"",",","."))&amp;", "&amp;IF(J416&amp;""="","NULL",SUBSTITUTE(J416&amp;"",",","."))&amp;", "&amp;IF(UPPER(TRIM(K416&amp;""))="SI","TRUE","FALSE")&amp;", 1"&amp;" WHERE NOT EXISTS (SELECT 1 FROM cli_direcciones x WHERE x.id_cliente = "&amp;"(SELECT id FROM cli_clientes WHERE numero_documento = '"&amp;SUBSTITUTE(TRIM(A416),"'","''")&amp;"' AND estado = 1 LIMIT 1)"&amp;" AND upper(x.direccion) = upper("&amp;IF(TRIM(D416&amp;"")="","NULL","'"&amp;SUBSTITUTE(TRIM(D416),"'","''")&amp;"'")&amp;"));")</f>
        <v/>
      </c>
    </row>
    <row r="417" ht="15.75" customHeight="1" s="64">
      <c r="A417" s="23" t="n"/>
      <c r="B417" s="25">
        <f t="array" ref="B417">IF(A417="","",IFERROR(IF(INDEX(Clientes!$D$5:$D$549,MATCH(A417,Clientes!$C$5:$C$549,0))&lt;&gt;"",INDEX(Clientes!$D$5:$D$549,MATCH(A417,Clientes!$C$5:$C$549,0)),TRIM(INDEX(Clientes!$E$5:$E$549,MATCH(A417,Clientes!$C$5:$C$549,0))&amp;" "&amp;INDEX(Clientes!$F$5:$F$549,MATCH(A417,Clientes!$C$5:$C$549,0)))),"NO EXISTE en Clientes"))</f>
        <v/>
      </c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>
        <f>IF(AND(A417="",D417=""),"",IF(A417="","FALTA doc. cliente",IF(B417="NO EXISTE en Clientes","CLIENTE no está en hoja Clientes",IF(D417="","FALTA dirección",IF(AND(H417&lt;&gt;"",OR(F417="",G417="")),"Distrito requiere departamento y provincia",IF(AND(G417&lt;&gt;"",F417=""),"Provincia requiere departamento",IF((I417&lt;&gt;"")&lt;&gt;(J417&lt;&gt;""),"Latitud y longitud van juntas","OK")))))))</f>
        <v/>
      </c>
      <c r="M417" s="28">
        <f>IF(L417&lt;&gt;"OK","","INSERT INTO cli_direcciones (id_cliente, descripcion, direccion, referencia, id_departamento, id_provincia, id_distrito, latitud, longitud, es_principal, estado) SELECT "&amp;"(SELECT id FROM cli_clientes WHERE numero_documento = '"&amp;SUBSTITUTE(TRIM(A417),"'","''")&amp;"' AND estado = 1 LIMIT 1)"&amp;", "&amp;IF(TRIM(C417&amp;"")="","NULL","'"&amp;SUBSTITUTE(TRIM(C417),"'","''")&amp;"'")&amp;", "&amp;IF(TRIM(D417&amp;"")="","NULL","'"&amp;SUBSTITUTE(TRIM(D417),"'","''")&amp;"'")&amp;", "&amp;IF(TRIM(E417&amp;"")="","NULL","'"&amp;SUBSTITUTE(TRIM(E417),"'","''")&amp;"'")&amp;", "&amp;IF(TRIM(F417&amp;"")="","NULL","(SELECT id FROM gen_departamento WHERE upper(nombre) = upper('"&amp;SUBSTITUTE(TRIM(F417),"'","''")&amp;"') AND estado = 1 LIMIT 1)")&amp;", "&amp;IF(OR(TRIM(F417&amp;"")="",TRIM(G417&amp;"")=""),"NULL","(SELECT p.id FROM gen_provincia p JOIN gen_departamento dp ON dp.id = p.id_departamento WHERE upper(p.nombre) = upper('"&amp;SUBSTITUTE(TRIM(G417),"'","''")&amp;"') AND upper(dp.nombre) = upper('"&amp;SUBSTITUTE(TRIM(F417),"'","''")&amp;"') AND p.estado = 1 LIMIT 1)")&amp;", "&amp;IF(OR(TRIM(F417&amp;"")="",TRIM(G417&amp;"")="",TRIM(H417&amp;"")=""),"NULL","(SELECT d.id FROM gen_distrito d JOIN gen_provincia p ON p.id = d.id_provincia JOIN gen_departamento dp ON dp.id = p.id_departamento WHERE upper(d.nombre) = upper('"&amp;SUBSTITUTE(TRIM(H417),"'","''")&amp;"') AND upper(p.nombre) = upper('"&amp;SUBSTITUTE(TRIM(G417),"'","''")&amp;"') AND upper(dp.nombre) = upper('"&amp;SUBSTITUTE(TRIM(F417),"'","''")&amp;"') AND d.estado = 1 LIMIT 1)")&amp;", "&amp;IF(I417&amp;""="","NULL",SUBSTITUTE(I417&amp;"",",","."))&amp;", "&amp;IF(J417&amp;""="","NULL",SUBSTITUTE(J417&amp;"",",","."))&amp;", "&amp;IF(UPPER(TRIM(K417&amp;""))="SI","TRUE","FALSE")&amp;", 1"&amp;" WHERE NOT EXISTS (SELECT 1 FROM cli_direcciones x WHERE x.id_cliente = "&amp;"(SELECT id FROM cli_clientes WHERE numero_documento = '"&amp;SUBSTITUTE(TRIM(A417),"'","''")&amp;"' AND estado = 1 LIMIT 1)"&amp;" AND upper(x.direccion) = upper("&amp;IF(TRIM(D417&amp;"")="","NULL","'"&amp;SUBSTITUTE(TRIM(D417),"'","''")&amp;"'")&amp;"));")</f>
        <v/>
      </c>
    </row>
    <row r="418" ht="15.75" customHeight="1" s="64">
      <c r="A418" s="23" t="n"/>
      <c r="B418" s="25">
        <f t="array" ref="B418">IF(A418="","",IFERROR(IF(INDEX(Clientes!$D$5:$D$549,MATCH(A418,Clientes!$C$5:$C$549,0))&lt;&gt;"",INDEX(Clientes!$D$5:$D$549,MATCH(A418,Clientes!$C$5:$C$549,0)),TRIM(INDEX(Clientes!$E$5:$E$549,MATCH(A418,Clientes!$C$5:$C$549,0))&amp;" "&amp;INDEX(Clientes!$F$5:$F$549,MATCH(A418,Clientes!$C$5:$C$549,0)))),"NO EXISTE en Clientes"))</f>
        <v/>
      </c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>
        <f>IF(AND(A418="",D418=""),"",IF(A418="","FALTA doc. cliente",IF(B418="NO EXISTE en Clientes","CLIENTE no está en hoja Clientes",IF(D418="","FALTA dirección",IF(AND(H418&lt;&gt;"",OR(F418="",G418="")),"Distrito requiere departamento y provincia",IF(AND(G418&lt;&gt;"",F418=""),"Provincia requiere departamento",IF((I418&lt;&gt;"")&lt;&gt;(J418&lt;&gt;""),"Latitud y longitud van juntas","OK")))))))</f>
        <v/>
      </c>
      <c r="M418" s="28">
        <f>IF(L418&lt;&gt;"OK","","INSERT INTO cli_direcciones (id_cliente, descripcion, direccion, referencia, id_departamento, id_provincia, id_distrito, latitud, longitud, es_principal, estado) SELECT "&amp;"(SELECT id FROM cli_clientes WHERE numero_documento = '"&amp;SUBSTITUTE(TRIM(A418),"'","''")&amp;"' AND estado = 1 LIMIT 1)"&amp;", "&amp;IF(TRIM(C418&amp;"")="","NULL","'"&amp;SUBSTITUTE(TRIM(C418),"'","''")&amp;"'")&amp;", "&amp;IF(TRIM(D418&amp;"")="","NULL","'"&amp;SUBSTITUTE(TRIM(D418),"'","''")&amp;"'")&amp;", "&amp;IF(TRIM(E418&amp;"")="","NULL","'"&amp;SUBSTITUTE(TRIM(E418),"'","''")&amp;"'")&amp;", "&amp;IF(TRIM(F418&amp;"")="","NULL","(SELECT id FROM gen_departamento WHERE upper(nombre) = upper('"&amp;SUBSTITUTE(TRIM(F418),"'","''")&amp;"') AND estado = 1 LIMIT 1)")&amp;", "&amp;IF(OR(TRIM(F418&amp;"")="",TRIM(G418&amp;"")=""),"NULL","(SELECT p.id FROM gen_provincia p JOIN gen_departamento dp ON dp.id = p.id_departamento WHERE upper(p.nombre) = upper('"&amp;SUBSTITUTE(TRIM(G418),"'","''")&amp;"') AND upper(dp.nombre) = upper('"&amp;SUBSTITUTE(TRIM(F418),"'","''")&amp;"') AND p.estado = 1 LIMIT 1)")&amp;", "&amp;IF(OR(TRIM(F418&amp;"")="",TRIM(G418&amp;"")="",TRIM(H418&amp;"")=""),"NULL","(SELECT d.id FROM gen_distrito d JOIN gen_provincia p ON p.id = d.id_provincia JOIN gen_departamento dp ON dp.id = p.id_departamento WHERE upper(d.nombre) = upper('"&amp;SUBSTITUTE(TRIM(H418),"'","''")&amp;"') AND upper(p.nombre) = upper('"&amp;SUBSTITUTE(TRIM(G418),"'","''")&amp;"') AND upper(dp.nombre) = upper('"&amp;SUBSTITUTE(TRIM(F418),"'","''")&amp;"') AND d.estado = 1 LIMIT 1)")&amp;", "&amp;IF(I418&amp;""="","NULL",SUBSTITUTE(I418&amp;"",",","."))&amp;", "&amp;IF(J418&amp;""="","NULL",SUBSTITUTE(J418&amp;"",",","."))&amp;", "&amp;IF(UPPER(TRIM(K418&amp;""))="SI","TRUE","FALSE")&amp;", 1"&amp;" WHERE NOT EXISTS (SELECT 1 FROM cli_direcciones x WHERE x.id_cliente = "&amp;"(SELECT id FROM cli_clientes WHERE numero_documento = '"&amp;SUBSTITUTE(TRIM(A418),"'","''")&amp;"' AND estado = 1 LIMIT 1)"&amp;" AND upper(x.direccion) = upper("&amp;IF(TRIM(D418&amp;"")="","NULL","'"&amp;SUBSTITUTE(TRIM(D418),"'","''")&amp;"'")&amp;"));")</f>
        <v/>
      </c>
    </row>
    <row r="419" ht="15.75" customHeight="1" s="64">
      <c r="A419" s="23" t="n"/>
      <c r="B419" s="25">
        <f t="array" ref="B419">IF(A419="","",IFERROR(IF(INDEX(Clientes!$D$5:$D$549,MATCH(A419,Clientes!$C$5:$C$549,0))&lt;&gt;"",INDEX(Clientes!$D$5:$D$549,MATCH(A419,Clientes!$C$5:$C$549,0)),TRIM(INDEX(Clientes!$E$5:$E$549,MATCH(A419,Clientes!$C$5:$C$549,0))&amp;" "&amp;INDEX(Clientes!$F$5:$F$549,MATCH(A419,Clientes!$C$5:$C$549,0)))),"NO EXISTE en Clientes"))</f>
        <v/>
      </c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>
        <f>IF(AND(A419="",D419=""),"",IF(A419="","FALTA doc. cliente",IF(B419="NO EXISTE en Clientes","CLIENTE no está en hoja Clientes",IF(D419="","FALTA dirección",IF(AND(H419&lt;&gt;"",OR(F419="",G419="")),"Distrito requiere departamento y provincia",IF(AND(G419&lt;&gt;"",F419=""),"Provincia requiere departamento",IF((I419&lt;&gt;"")&lt;&gt;(J419&lt;&gt;""),"Latitud y longitud van juntas","OK")))))))</f>
        <v/>
      </c>
      <c r="M419" s="28">
        <f>IF(L419&lt;&gt;"OK","","INSERT INTO cli_direcciones (id_cliente, descripcion, direccion, referencia, id_departamento, id_provincia, id_distrito, latitud, longitud, es_principal, estado) SELECT "&amp;"(SELECT id FROM cli_clientes WHERE numero_documento = '"&amp;SUBSTITUTE(TRIM(A419),"'","''")&amp;"' AND estado = 1 LIMIT 1)"&amp;", "&amp;IF(TRIM(C419&amp;"")="","NULL","'"&amp;SUBSTITUTE(TRIM(C419),"'","''")&amp;"'")&amp;", "&amp;IF(TRIM(D419&amp;"")="","NULL","'"&amp;SUBSTITUTE(TRIM(D419),"'","''")&amp;"'")&amp;", "&amp;IF(TRIM(E419&amp;"")="","NULL","'"&amp;SUBSTITUTE(TRIM(E419),"'","''")&amp;"'")&amp;", "&amp;IF(TRIM(F419&amp;"")="","NULL","(SELECT id FROM gen_departamento WHERE upper(nombre) = upper('"&amp;SUBSTITUTE(TRIM(F419),"'","''")&amp;"') AND estado = 1 LIMIT 1)")&amp;", "&amp;IF(OR(TRIM(F419&amp;"")="",TRIM(G419&amp;"")=""),"NULL","(SELECT p.id FROM gen_provincia p JOIN gen_departamento dp ON dp.id = p.id_departamento WHERE upper(p.nombre) = upper('"&amp;SUBSTITUTE(TRIM(G419),"'","''")&amp;"') AND upper(dp.nombre) = upper('"&amp;SUBSTITUTE(TRIM(F419),"'","''")&amp;"') AND p.estado = 1 LIMIT 1)")&amp;", "&amp;IF(OR(TRIM(F419&amp;"")="",TRIM(G419&amp;"")="",TRIM(H419&amp;"")=""),"NULL","(SELECT d.id FROM gen_distrito d JOIN gen_provincia p ON p.id = d.id_provincia JOIN gen_departamento dp ON dp.id = p.id_departamento WHERE upper(d.nombre) = upper('"&amp;SUBSTITUTE(TRIM(H419),"'","''")&amp;"') AND upper(p.nombre) = upper('"&amp;SUBSTITUTE(TRIM(G419),"'","''")&amp;"') AND upper(dp.nombre) = upper('"&amp;SUBSTITUTE(TRIM(F419),"'","''")&amp;"') AND d.estado = 1 LIMIT 1)")&amp;", "&amp;IF(I419&amp;""="","NULL",SUBSTITUTE(I419&amp;"",",","."))&amp;", "&amp;IF(J419&amp;""="","NULL",SUBSTITUTE(J419&amp;"",",","."))&amp;", "&amp;IF(UPPER(TRIM(K419&amp;""))="SI","TRUE","FALSE")&amp;", 1"&amp;" WHERE NOT EXISTS (SELECT 1 FROM cli_direcciones x WHERE x.id_cliente = "&amp;"(SELECT id FROM cli_clientes WHERE numero_documento = '"&amp;SUBSTITUTE(TRIM(A419),"'","''")&amp;"' AND estado = 1 LIMIT 1)"&amp;" AND upper(x.direccion) = upper("&amp;IF(TRIM(D419&amp;"")="","NULL","'"&amp;SUBSTITUTE(TRIM(D419),"'","''")&amp;"'")&amp;"));")</f>
        <v/>
      </c>
    </row>
    <row r="420" ht="15.75" customHeight="1" s="64">
      <c r="A420" s="23" t="n"/>
      <c r="B420" s="25">
        <f t="array" ref="B420">IF(A420="","",IFERROR(IF(INDEX(Clientes!$D$5:$D$549,MATCH(A420,Clientes!$C$5:$C$549,0))&lt;&gt;"",INDEX(Clientes!$D$5:$D$549,MATCH(A420,Clientes!$C$5:$C$549,0)),TRIM(INDEX(Clientes!$E$5:$E$549,MATCH(A420,Clientes!$C$5:$C$549,0))&amp;" "&amp;INDEX(Clientes!$F$5:$F$549,MATCH(A420,Clientes!$C$5:$C$549,0)))),"NO EXISTE en Clientes"))</f>
        <v/>
      </c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>
        <f>IF(AND(A420="",D420=""),"",IF(A420="","FALTA doc. cliente",IF(B420="NO EXISTE en Clientes","CLIENTE no está en hoja Clientes",IF(D420="","FALTA dirección",IF(AND(H420&lt;&gt;"",OR(F420="",G420="")),"Distrito requiere departamento y provincia",IF(AND(G420&lt;&gt;"",F420=""),"Provincia requiere departamento",IF((I420&lt;&gt;"")&lt;&gt;(J420&lt;&gt;""),"Latitud y longitud van juntas","OK")))))))</f>
        <v/>
      </c>
      <c r="M420" s="28">
        <f>IF(L420&lt;&gt;"OK","","INSERT INTO cli_direcciones (id_cliente, descripcion, direccion, referencia, id_departamento, id_provincia, id_distrito, latitud, longitud, es_principal, estado) SELECT "&amp;"(SELECT id FROM cli_clientes WHERE numero_documento = '"&amp;SUBSTITUTE(TRIM(A420),"'","''")&amp;"' AND estado = 1 LIMIT 1)"&amp;", "&amp;IF(TRIM(C420&amp;"")="","NULL","'"&amp;SUBSTITUTE(TRIM(C420),"'","''")&amp;"'")&amp;", "&amp;IF(TRIM(D420&amp;"")="","NULL","'"&amp;SUBSTITUTE(TRIM(D420),"'","''")&amp;"'")&amp;", "&amp;IF(TRIM(E420&amp;"")="","NULL","'"&amp;SUBSTITUTE(TRIM(E420),"'","''")&amp;"'")&amp;", "&amp;IF(TRIM(F420&amp;"")="","NULL","(SELECT id FROM gen_departamento WHERE upper(nombre) = upper('"&amp;SUBSTITUTE(TRIM(F420),"'","''")&amp;"') AND estado = 1 LIMIT 1)")&amp;", "&amp;IF(OR(TRIM(F420&amp;"")="",TRIM(G420&amp;"")=""),"NULL","(SELECT p.id FROM gen_provincia p JOIN gen_departamento dp ON dp.id = p.id_departamento WHERE upper(p.nombre) = upper('"&amp;SUBSTITUTE(TRIM(G420),"'","''")&amp;"') AND upper(dp.nombre) = upper('"&amp;SUBSTITUTE(TRIM(F420),"'","''")&amp;"') AND p.estado = 1 LIMIT 1)")&amp;", "&amp;IF(OR(TRIM(F420&amp;"")="",TRIM(G420&amp;"")="",TRIM(H420&amp;"")=""),"NULL","(SELECT d.id FROM gen_distrito d JOIN gen_provincia p ON p.id = d.id_provincia JOIN gen_departamento dp ON dp.id = p.id_departamento WHERE upper(d.nombre) = upper('"&amp;SUBSTITUTE(TRIM(H420),"'","''")&amp;"') AND upper(p.nombre) = upper('"&amp;SUBSTITUTE(TRIM(G420),"'","''")&amp;"') AND upper(dp.nombre) = upper('"&amp;SUBSTITUTE(TRIM(F420),"'","''")&amp;"') AND d.estado = 1 LIMIT 1)")&amp;", "&amp;IF(I420&amp;""="","NULL",SUBSTITUTE(I420&amp;"",",","."))&amp;", "&amp;IF(J420&amp;""="","NULL",SUBSTITUTE(J420&amp;"",",","."))&amp;", "&amp;IF(UPPER(TRIM(K420&amp;""))="SI","TRUE","FALSE")&amp;", 1"&amp;" WHERE NOT EXISTS (SELECT 1 FROM cli_direcciones x WHERE x.id_cliente = "&amp;"(SELECT id FROM cli_clientes WHERE numero_documento = '"&amp;SUBSTITUTE(TRIM(A420),"'","''")&amp;"' AND estado = 1 LIMIT 1)"&amp;" AND upper(x.direccion) = upper("&amp;IF(TRIM(D420&amp;"")="","NULL","'"&amp;SUBSTITUTE(TRIM(D420),"'","''")&amp;"'")&amp;"));")</f>
        <v/>
      </c>
    </row>
    <row r="421" ht="15.75" customHeight="1" s="64">
      <c r="A421" s="23" t="n"/>
      <c r="B421" s="25">
        <f t="array" ref="B421">IF(A421="","",IFERROR(IF(INDEX(Clientes!$D$5:$D$549,MATCH(A421,Clientes!$C$5:$C$549,0))&lt;&gt;"",INDEX(Clientes!$D$5:$D$549,MATCH(A421,Clientes!$C$5:$C$549,0)),TRIM(INDEX(Clientes!$E$5:$E$549,MATCH(A421,Clientes!$C$5:$C$549,0))&amp;" "&amp;INDEX(Clientes!$F$5:$F$549,MATCH(A421,Clientes!$C$5:$C$549,0)))),"NO EXISTE en Clientes"))</f>
        <v/>
      </c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>
        <f>IF(AND(A421="",D421=""),"",IF(A421="","FALTA doc. cliente",IF(B421="NO EXISTE en Clientes","CLIENTE no está en hoja Clientes",IF(D421="","FALTA dirección",IF(AND(H421&lt;&gt;"",OR(F421="",G421="")),"Distrito requiere departamento y provincia",IF(AND(G421&lt;&gt;"",F421=""),"Provincia requiere departamento",IF((I421&lt;&gt;"")&lt;&gt;(J421&lt;&gt;""),"Latitud y longitud van juntas","OK")))))))</f>
        <v/>
      </c>
      <c r="M421" s="28">
        <f>IF(L421&lt;&gt;"OK","","INSERT INTO cli_direcciones (id_cliente, descripcion, direccion, referencia, id_departamento, id_provincia, id_distrito, latitud, longitud, es_principal, estado) SELECT "&amp;"(SELECT id FROM cli_clientes WHERE numero_documento = '"&amp;SUBSTITUTE(TRIM(A421),"'","''")&amp;"' AND estado = 1 LIMIT 1)"&amp;", "&amp;IF(TRIM(C421&amp;"")="","NULL","'"&amp;SUBSTITUTE(TRIM(C421),"'","''")&amp;"'")&amp;", "&amp;IF(TRIM(D421&amp;"")="","NULL","'"&amp;SUBSTITUTE(TRIM(D421),"'","''")&amp;"'")&amp;", "&amp;IF(TRIM(E421&amp;"")="","NULL","'"&amp;SUBSTITUTE(TRIM(E421),"'","''")&amp;"'")&amp;", "&amp;IF(TRIM(F421&amp;"")="","NULL","(SELECT id FROM gen_departamento WHERE upper(nombre) = upper('"&amp;SUBSTITUTE(TRIM(F421),"'","''")&amp;"') AND estado = 1 LIMIT 1)")&amp;", "&amp;IF(OR(TRIM(F421&amp;"")="",TRIM(G421&amp;"")=""),"NULL","(SELECT p.id FROM gen_provincia p JOIN gen_departamento dp ON dp.id = p.id_departamento WHERE upper(p.nombre) = upper('"&amp;SUBSTITUTE(TRIM(G421),"'","''")&amp;"') AND upper(dp.nombre) = upper('"&amp;SUBSTITUTE(TRIM(F421),"'","''")&amp;"') AND p.estado = 1 LIMIT 1)")&amp;", "&amp;IF(OR(TRIM(F421&amp;"")="",TRIM(G421&amp;"")="",TRIM(H421&amp;"")=""),"NULL","(SELECT d.id FROM gen_distrito d JOIN gen_provincia p ON p.id = d.id_provincia JOIN gen_departamento dp ON dp.id = p.id_departamento WHERE upper(d.nombre) = upper('"&amp;SUBSTITUTE(TRIM(H421),"'","''")&amp;"') AND upper(p.nombre) = upper('"&amp;SUBSTITUTE(TRIM(G421),"'","''")&amp;"') AND upper(dp.nombre) = upper('"&amp;SUBSTITUTE(TRIM(F421),"'","''")&amp;"') AND d.estado = 1 LIMIT 1)")&amp;", "&amp;IF(I421&amp;""="","NULL",SUBSTITUTE(I421&amp;"",",","."))&amp;", "&amp;IF(J421&amp;""="","NULL",SUBSTITUTE(J421&amp;"",",","."))&amp;", "&amp;IF(UPPER(TRIM(K421&amp;""))="SI","TRUE","FALSE")&amp;", 1"&amp;" WHERE NOT EXISTS (SELECT 1 FROM cli_direcciones x WHERE x.id_cliente = "&amp;"(SELECT id FROM cli_clientes WHERE numero_documento = '"&amp;SUBSTITUTE(TRIM(A421),"'","''")&amp;"' AND estado = 1 LIMIT 1)"&amp;" AND upper(x.direccion) = upper("&amp;IF(TRIM(D421&amp;"")="","NULL","'"&amp;SUBSTITUTE(TRIM(D421),"'","''")&amp;"'")&amp;"));")</f>
        <v/>
      </c>
    </row>
    <row r="422" ht="15.75" customHeight="1" s="64">
      <c r="A422" s="23" t="n"/>
      <c r="B422" s="25">
        <f t="array" ref="B422">IF(A422="","",IFERROR(IF(INDEX(Clientes!$D$5:$D$549,MATCH(A422,Clientes!$C$5:$C$549,0))&lt;&gt;"",INDEX(Clientes!$D$5:$D$549,MATCH(A422,Clientes!$C$5:$C$549,0)),TRIM(INDEX(Clientes!$E$5:$E$549,MATCH(A422,Clientes!$C$5:$C$549,0))&amp;" "&amp;INDEX(Clientes!$F$5:$F$549,MATCH(A422,Clientes!$C$5:$C$549,0)))),"NO EXISTE en Clientes"))</f>
        <v/>
      </c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>
        <f>IF(AND(A422="",D422=""),"",IF(A422="","FALTA doc. cliente",IF(B422="NO EXISTE en Clientes","CLIENTE no está en hoja Clientes",IF(D422="","FALTA dirección",IF(AND(H422&lt;&gt;"",OR(F422="",G422="")),"Distrito requiere departamento y provincia",IF(AND(G422&lt;&gt;"",F422=""),"Provincia requiere departamento",IF((I422&lt;&gt;"")&lt;&gt;(J422&lt;&gt;""),"Latitud y longitud van juntas","OK")))))))</f>
        <v/>
      </c>
      <c r="M422" s="28">
        <f>IF(L422&lt;&gt;"OK","","INSERT INTO cli_direcciones (id_cliente, descripcion, direccion, referencia, id_departamento, id_provincia, id_distrito, latitud, longitud, es_principal, estado) SELECT "&amp;"(SELECT id FROM cli_clientes WHERE numero_documento = '"&amp;SUBSTITUTE(TRIM(A422),"'","''")&amp;"' AND estado = 1 LIMIT 1)"&amp;", "&amp;IF(TRIM(C422&amp;"")="","NULL","'"&amp;SUBSTITUTE(TRIM(C422),"'","''")&amp;"'")&amp;", "&amp;IF(TRIM(D422&amp;"")="","NULL","'"&amp;SUBSTITUTE(TRIM(D422),"'","''")&amp;"'")&amp;", "&amp;IF(TRIM(E422&amp;"")="","NULL","'"&amp;SUBSTITUTE(TRIM(E422),"'","''")&amp;"'")&amp;", "&amp;IF(TRIM(F422&amp;"")="","NULL","(SELECT id FROM gen_departamento WHERE upper(nombre) = upper('"&amp;SUBSTITUTE(TRIM(F422),"'","''")&amp;"') AND estado = 1 LIMIT 1)")&amp;", "&amp;IF(OR(TRIM(F422&amp;"")="",TRIM(G422&amp;"")=""),"NULL","(SELECT p.id FROM gen_provincia p JOIN gen_departamento dp ON dp.id = p.id_departamento WHERE upper(p.nombre) = upper('"&amp;SUBSTITUTE(TRIM(G422),"'","''")&amp;"') AND upper(dp.nombre) = upper('"&amp;SUBSTITUTE(TRIM(F422),"'","''")&amp;"') AND p.estado = 1 LIMIT 1)")&amp;", "&amp;IF(OR(TRIM(F422&amp;"")="",TRIM(G422&amp;"")="",TRIM(H422&amp;"")=""),"NULL","(SELECT d.id FROM gen_distrito d JOIN gen_provincia p ON p.id = d.id_provincia JOIN gen_departamento dp ON dp.id = p.id_departamento WHERE upper(d.nombre) = upper('"&amp;SUBSTITUTE(TRIM(H422),"'","''")&amp;"') AND upper(p.nombre) = upper('"&amp;SUBSTITUTE(TRIM(G422),"'","''")&amp;"') AND upper(dp.nombre) = upper('"&amp;SUBSTITUTE(TRIM(F422),"'","''")&amp;"') AND d.estado = 1 LIMIT 1)")&amp;", "&amp;IF(I422&amp;""="","NULL",SUBSTITUTE(I422&amp;"",",","."))&amp;", "&amp;IF(J422&amp;""="","NULL",SUBSTITUTE(J422&amp;"",",","."))&amp;", "&amp;IF(UPPER(TRIM(K422&amp;""))="SI","TRUE","FALSE")&amp;", 1"&amp;" WHERE NOT EXISTS (SELECT 1 FROM cli_direcciones x WHERE x.id_cliente = "&amp;"(SELECT id FROM cli_clientes WHERE numero_documento = '"&amp;SUBSTITUTE(TRIM(A422),"'","''")&amp;"' AND estado = 1 LIMIT 1)"&amp;" AND upper(x.direccion) = upper("&amp;IF(TRIM(D422&amp;"")="","NULL","'"&amp;SUBSTITUTE(TRIM(D422),"'","''")&amp;"'")&amp;"));")</f>
        <v/>
      </c>
    </row>
    <row r="423" ht="15.75" customHeight="1" s="64">
      <c r="A423" s="23" t="n"/>
      <c r="B423" s="25">
        <f t="array" ref="B423">IF(A423="","",IFERROR(IF(INDEX(Clientes!$D$5:$D$549,MATCH(A423,Clientes!$C$5:$C$549,0))&lt;&gt;"",INDEX(Clientes!$D$5:$D$549,MATCH(A423,Clientes!$C$5:$C$549,0)),TRIM(INDEX(Clientes!$E$5:$E$549,MATCH(A423,Clientes!$C$5:$C$549,0))&amp;" "&amp;INDEX(Clientes!$F$5:$F$549,MATCH(A423,Clientes!$C$5:$C$549,0)))),"NO EXISTE en Clientes"))</f>
        <v/>
      </c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>
        <f>IF(AND(A423="",D423=""),"",IF(A423="","FALTA doc. cliente",IF(B423="NO EXISTE en Clientes","CLIENTE no está en hoja Clientes",IF(D423="","FALTA dirección",IF(AND(H423&lt;&gt;"",OR(F423="",G423="")),"Distrito requiere departamento y provincia",IF(AND(G423&lt;&gt;"",F423=""),"Provincia requiere departamento",IF((I423&lt;&gt;"")&lt;&gt;(J423&lt;&gt;""),"Latitud y longitud van juntas","OK")))))))</f>
        <v/>
      </c>
      <c r="M423" s="28">
        <f>IF(L423&lt;&gt;"OK","","INSERT INTO cli_direcciones (id_cliente, descripcion, direccion, referencia, id_departamento, id_provincia, id_distrito, latitud, longitud, es_principal, estado) SELECT "&amp;"(SELECT id FROM cli_clientes WHERE numero_documento = '"&amp;SUBSTITUTE(TRIM(A423),"'","''")&amp;"' AND estado = 1 LIMIT 1)"&amp;", "&amp;IF(TRIM(C423&amp;"")="","NULL","'"&amp;SUBSTITUTE(TRIM(C423),"'","''")&amp;"'")&amp;", "&amp;IF(TRIM(D423&amp;"")="","NULL","'"&amp;SUBSTITUTE(TRIM(D423),"'","''")&amp;"'")&amp;", "&amp;IF(TRIM(E423&amp;"")="","NULL","'"&amp;SUBSTITUTE(TRIM(E423),"'","''")&amp;"'")&amp;", "&amp;IF(TRIM(F423&amp;"")="","NULL","(SELECT id FROM gen_departamento WHERE upper(nombre) = upper('"&amp;SUBSTITUTE(TRIM(F423),"'","''")&amp;"') AND estado = 1 LIMIT 1)")&amp;", "&amp;IF(OR(TRIM(F423&amp;"")="",TRIM(G423&amp;"")=""),"NULL","(SELECT p.id FROM gen_provincia p JOIN gen_departamento dp ON dp.id = p.id_departamento WHERE upper(p.nombre) = upper('"&amp;SUBSTITUTE(TRIM(G423),"'","''")&amp;"') AND upper(dp.nombre) = upper('"&amp;SUBSTITUTE(TRIM(F423),"'","''")&amp;"') AND p.estado = 1 LIMIT 1)")&amp;", "&amp;IF(OR(TRIM(F423&amp;"")="",TRIM(G423&amp;"")="",TRIM(H423&amp;"")=""),"NULL","(SELECT d.id FROM gen_distrito d JOIN gen_provincia p ON p.id = d.id_provincia JOIN gen_departamento dp ON dp.id = p.id_departamento WHERE upper(d.nombre) = upper('"&amp;SUBSTITUTE(TRIM(H423),"'","''")&amp;"') AND upper(p.nombre) = upper('"&amp;SUBSTITUTE(TRIM(G423),"'","''")&amp;"') AND upper(dp.nombre) = upper('"&amp;SUBSTITUTE(TRIM(F423),"'","''")&amp;"') AND d.estado = 1 LIMIT 1)")&amp;", "&amp;IF(I423&amp;""="","NULL",SUBSTITUTE(I423&amp;"",",","."))&amp;", "&amp;IF(J423&amp;""="","NULL",SUBSTITUTE(J423&amp;"",",","."))&amp;", "&amp;IF(UPPER(TRIM(K423&amp;""))="SI","TRUE","FALSE")&amp;", 1"&amp;" WHERE NOT EXISTS (SELECT 1 FROM cli_direcciones x WHERE x.id_cliente = "&amp;"(SELECT id FROM cli_clientes WHERE numero_documento = '"&amp;SUBSTITUTE(TRIM(A423),"'","''")&amp;"' AND estado = 1 LIMIT 1)"&amp;" AND upper(x.direccion) = upper("&amp;IF(TRIM(D423&amp;"")="","NULL","'"&amp;SUBSTITUTE(TRIM(D423),"'","''")&amp;"'")&amp;"));")</f>
        <v/>
      </c>
    </row>
    <row r="424" ht="15.75" customHeight="1" s="64">
      <c r="A424" s="23" t="n"/>
      <c r="B424" s="25">
        <f t="array" ref="B424">IF(A424="","",IFERROR(IF(INDEX(Clientes!$D$5:$D$549,MATCH(A424,Clientes!$C$5:$C$549,0))&lt;&gt;"",INDEX(Clientes!$D$5:$D$549,MATCH(A424,Clientes!$C$5:$C$549,0)),TRIM(INDEX(Clientes!$E$5:$E$549,MATCH(A424,Clientes!$C$5:$C$549,0))&amp;" "&amp;INDEX(Clientes!$F$5:$F$549,MATCH(A424,Clientes!$C$5:$C$549,0)))),"NO EXISTE en Clientes"))</f>
        <v/>
      </c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>
        <f>IF(AND(A424="",D424=""),"",IF(A424="","FALTA doc. cliente",IF(B424="NO EXISTE en Clientes","CLIENTE no está en hoja Clientes",IF(D424="","FALTA dirección",IF(AND(H424&lt;&gt;"",OR(F424="",G424="")),"Distrito requiere departamento y provincia",IF(AND(G424&lt;&gt;"",F424=""),"Provincia requiere departamento",IF((I424&lt;&gt;"")&lt;&gt;(J424&lt;&gt;""),"Latitud y longitud van juntas","OK")))))))</f>
        <v/>
      </c>
      <c r="M424" s="28">
        <f>IF(L424&lt;&gt;"OK","","INSERT INTO cli_direcciones (id_cliente, descripcion, direccion, referencia, id_departamento, id_provincia, id_distrito, latitud, longitud, es_principal, estado) SELECT "&amp;"(SELECT id FROM cli_clientes WHERE numero_documento = '"&amp;SUBSTITUTE(TRIM(A424),"'","''")&amp;"' AND estado = 1 LIMIT 1)"&amp;", "&amp;IF(TRIM(C424&amp;"")="","NULL","'"&amp;SUBSTITUTE(TRIM(C424),"'","''")&amp;"'")&amp;", "&amp;IF(TRIM(D424&amp;"")="","NULL","'"&amp;SUBSTITUTE(TRIM(D424),"'","''")&amp;"'")&amp;", "&amp;IF(TRIM(E424&amp;"")="","NULL","'"&amp;SUBSTITUTE(TRIM(E424),"'","''")&amp;"'")&amp;", "&amp;IF(TRIM(F424&amp;"")="","NULL","(SELECT id FROM gen_departamento WHERE upper(nombre) = upper('"&amp;SUBSTITUTE(TRIM(F424),"'","''")&amp;"') AND estado = 1 LIMIT 1)")&amp;", "&amp;IF(OR(TRIM(F424&amp;"")="",TRIM(G424&amp;"")=""),"NULL","(SELECT p.id FROM gen_provincia p JOIN gen_departamento dp ON dp.id = p.id_departamento WHERE upper(p.nombre) = upper('"&amp;SUBSTITUTE(TRIM(G424),"'","''")&amp;"') AND upper(dp.nombre) = upper('"&amp;SUBSTITUTE(TRIM(F424),"'","''")&amp;"') AND p.estado = 1 LIMIT 1)")&amp;", "&amp;IF(OR(TRIM(F424&amp;"")="",TRIM(G424&amp;"")="",TRIM(H424&amp;"")=""),"NULL","(SELECT d.id FROM gen_distrito d JOIN gen_provincia p ON p.id = d.id_provincia JOIN gen_departamento dp ON dp.id = p.id_departamento WHERE upper(d.nombre) = upper('"&amp;SUBSTITUTE(TRIM(H424),"'","''")&amp;"') AND upper(p.nombre) = upper('"&amp;SUBSTITUTE(TRIM(G424),"'","''")&amp;"') AND upper(dp.nombre) = upper('"&amp;SUBSTITUTE(TRIM(F424),"'","''")&amp;"') AND d.estado = 1 LIMIT 1)")&amp;", "&amp;IF(I424&amp;""="","NULL",SUBSTITUTE(I424&amp;"",",","."))&amp;", "&amp;IF(J424&amp;""="","NULL",SUBSTITUTE(J424&amp;"",",","."))&amp;", "&amp;IF(UPPER(TRIM(K424&amp;""))="SI","TRUE","FALSE")&amp;", 1"&amp;" WHERE NOT EXISTS (SELECT 1 FROM cli_direcciones x WHERE x.id_cliente = "&amp;"(SELECT id FROM cli_clientes WHERE numero_documento = '"&amp;SUBSTITUTE(TRIM(A424),"'","''")&amp;"' AND estado = 1 LIMIT 1)"&amp;" AND upper(x.direccion) = upper("&amp;IF(TRIM(D424&amp;"")="","NULL","'"&amp;SUBSTITUTE(TRIM(D424),"'","''")&amp;"'")&amp;"));")</f>
        <v/>
      </c>
    </row>
    <row r="425" ht="15.75" customHeight="1" s="64">
      <c r="A425" s="23" t="n"/>
      <c r="B425" s="25">
        <f t="array" ref="B425">IF(A425="","",IFERROR(IF(INDEX(Clientes!$D$5:$D$549,MATCH(A425,Clientes!$C$5:$C$549,0))&lt;&gt;"",INDEX(Clientes!$D$5:$D$549,MATCH(A425,Clientes!$C$5:$C$549,0)),TRIM(INDEX(Clientes!$E$5:$E$549,MATCH(A425,Clientes!$C$5:$C$549,0))&amp;" "&amp;INDEX(Clientes!$F$5:$F$549,MATCH(A425,Clientes!$C$5:$C$549,0)))),"NO EXISTE en Clientes"))</f>
        <v/>
      </c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>
        <f>IF(AND(A425="",D425=""),"",IF(A425="","FALTA doc. cliente",IF(B425="NO EXISTE en Clientes","CLIENTE no está en hoja Clientes",IF(D425="","FALTA dirección",IF(AND(H425&lt;&gt;"",OR(F425="",G425="")),"Distrito requiere departamento y provincia",IF(AND(G425&lt;&gt;"",F425=""),"Provincia requiere departamento",IF((I425&lt;&gt;"")&lt;&gt;(J425&lt;&gt;""),"Latitud y longitud van juntas","OK")))))))</f>
        <v/>
      </c>
      <c r="M425" s="28">
        <f>IF(L425&lt;&gt;"OK","","INSERT INTO cli_direcciones (id_cliente, descripcion, direccion, referencia, id_departamento, id_provincia, id_distrito, latitud, longitud, es_principal, estado) SELECT "&amp;"(SELECT id FROM cli_clientes WHERE numero_documento = '"&amp;SUBSTITUTE(TRIM(A425),"'","''")&amp;"' AND estado = 1 LIMIT 1)"&amp;", "&amp;IF(TRIM(C425&amp;"")="","NULL","'"&amp;SUBSTITUTE(TRIM(C425),"'","''")&amp;"'")&amp;", "&amp;IF(TRIM(D425&amp;"")="","NULL","'"&amp;SUBSTITUTE(TRIM(D425),"'","''")&amp;"'")&amp;", "&amp;IF(TRIM(E425&amp;"")="","NULL","'"&amp;SUBSTITUTE(TRIM(E425),"'","''")&amp;"'")&amp;", "&amp;IF(TRIM(F425&amp;"")="","NULL","(SELECT id FROM gen_departamento WHERE upper(nombre) = upper('"&amp;SUBSTITUTE(TRIM(F425),"'","''")&amp;"') AND estado = 1 LIMIT 1)")&amp;", "&amp;IF(OR(TRIM(F425&amp;"")="",TRIM(G425&amp;"")=""),"NULL","(SELECT p.id FROM gen_provincia p JOIN gen_departamento dp ON dp.id = p.id_departamento WHERE upper(p.nombre) = upper('"&amp;SUBSTITUTE(TRIM(G425),"'","''")&amp;"') AND upper(dp.nombre) = upper('"&amp;SUBSTITUTE(TRIM(F425),"'","''")&amp;"') AND p.estado = 1 LIMIT 1)")&amp;", "&amp;IF(OR(TRIM(F425&amp;"")="",TRIM(G425&amp;"")="",TRIM(H425&amp;"")=""),"NULL","(SELECT d.id FROM gen_distrito d JOIN gen_provincia p ON p.id = d.id_provincia JOIN gen_departamento dp ON dp.id = p.id_departamento WHERE upper(d.nombre) = upper('"&amp;SUBSTITUTE(TRIM(H425),"'","''")&amp;"') AND upper(p.nombre) = upper('"&amp;SUBSTITUTE(TRIM(G425),"'","''")&amp;"') AND upper(dp.nombre) = upper('"&amp;SUBSTITUTE(TRIM(F425),"'","''")&amp;"') AND d.estado = 1 LIMIT 1)")&amp;", "&amp;IF(I425&amp;""="","NULL",SUBSTITUTE(I425&amp;"",",","."))&amp;", "&amp;IF(J425&amp;""="","NULL",SUBSTITUTE(J425&amp;"",",","."))&amp;", "&amp;IF(UPPER(TRIM(K425&amp;""))="SI","TRUE","FALSE")&amp;", 1"&amp;" WHERE NOT EXISTS (SELECT 1 FROM cli_direcciones x WHERE x.id_cliente = "&amp;"(SELECT id FROM cli_clientes WHERE numero_documento = '"&amp;SUBSTITUTE(TRIM(A425),"'","''")&amp;"' AND estado = 1 LIMIT 1)"&amp;" AND upper(x.direccion) = upper("&amp;IF(TRIM(D425&amp;"")="","NULL","'"&amp;SUBSTITUTE(TRIM(D425),"'","''")&amp;"'")&amp;"));")</f>
        <v/>
      </c>
    </row>
    <row r="426" ht="15.75" customHeight="1" s="64">
      <c r="A426" s="23" t="n"/>
      <c r="B426" s="25">
        <f t="array" ref="B426">IF(A426="","",IFERROR(IF(INDEX(Clientes!$D$5:$D$549,MATCH(A426,Clientes!$C$5:$C$549,0))&lt;&gt;"",INDEX(Clientes!$D$5:$D$549,MATCH(A426,Clientes!$C$5:$C$549,0)),TRIM(INDEX(Clientes!$E$5:$E$549,MATCH(A426,Clientes!$C$5:$C$549,0))&amp;" "&amp;INDEX(Clientes!$F$5:$F$549,MATCH(A426,Clientes!$C$5:$C$549,0)))),"NO EXISTE en Clientes"))</f>
        <v/>
      </c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>
        <f>IF(AND(A426="",D426=""),"",IF(A426="","FALTA doc. cliente",IF(B426="NO EXISTE en Clientes","CLIENTE no está en hoja Clientes",IF(D426="","FALTA dirección",IF(AND(H426&lt;&gt;"",OR(F426="",G426="")),"Distrito requiere departamento y provincia",IF(AND(G426&lt;&gt;"",F426=""),"Provincia requiere departamento",IF((I426&lt;&gt;"")&lt;&gt;(J426&lt;&gt;""),"Latitud y longitud van juntas","OK")))))))</f>
        <v/>
      </c>
      <c r="M426" s="28">
        <f>IF(L426&lt;&gt;"OK","","INSERT INTO cli_direcciones (id_cliente, descripcion, direccion, referencia, id_departamento, id_provincia, id_distrito, latitud, longitud, es_principal, estado) SELECT "&amp;"(SELECT id FROM cli_clientes WHERE numero_documento = '"&amp;SUBSTITUTE(TRIM(A426),"'","''")&amp;"' AND estado = 1 LIMIT 1)"&amp;", "&amp;IF(TRIM(C426&amp;"")="","NULL","'"&amp;SUBSTITUTE(TRIM(C426),"'","''")&amp;"'")&amp;", "&amp;IF(TRIM(D426&amp;"")="","NULL","'"&amp;SUBSTITUTE(TRIM(D426),"'","''")&amp;"'")&amp;", "&amp;IF(TRIM(E426&amp;"")="","NULL","'"&amp;SUBSTITUTE(TRIM(E426),"'","''")&amp;"'")&amp;", "&amp;IF(TRIM(F426&amp;"")="","NULL","(SELECT id FROM gen_departamento WHERE upper(nombre) = upper('"&amp;SUBSTITUTE(TRIM(F426),"'","''")&amp;"') AND estado = 1 LIMIT 1)")&amp;", "&amp;IF(OR(TRIM(F426&amp;"")="",TRIM(G426&amp;"")=""),"NULL","(SELECT p.id FROM gen_provincia p JOIN gen_departamento dp ON dp.id = p.id_departamento WHERE upper(p.nombre) = upper('"&amp;SUBSTITUTE(TRIM(G426),"'","''")&amp;"') AND upper(dp.nombre) = upper('"&amp;SUBSTITUTE(TRIM(F426),"'","''")&amp;"') AND p.estado = 1 LIMIT 1)")&amp;", "&amp;IF(OR(TRIM(F426&amp;"")="",TRIM(G426&amp;"")="",TRIM(H426&amp;"")=""),"NULL","(SELECT d.id FROM gen_distrito d JOIN gen_provincia p ON p.id = d.id_provincia JOIN gen_departamento dp ON dp.id = p.id_departamento WHERE upper(d.nombre) = upper('"&amp;SUBSTITUTE(TRIM(H426),"'","''")&amp;"') AND upper(p.nombre) = upper('"&amp;SUBSTITUTE(TRIM(G426),"'","''")&amp;"') AND upper(dp.nombre) = upper('"&amp;SUBSTITUTE(TRIM(F426),"'","''")&amp;"') AND d.estado = 1 LIMIT 1)")&amp;", "&amp;IF(I426&amp;""="","NULL",SUBSTITUTE(I426&amp;"",",","."))&amp;", "&amp;IF(J426&amp;""="","NULL",SUBSTITUTE(J426&amp;"",",","."))&amp;", "&amp;IF(UPPER(TRIM(K426&amp;""))="SI","TRUE","FALSE")&amp;", 1"&amp;" WHERE NOT EXISTS (SELECT 1 FROM cli_direcciones x WHERE x.id_cliente = "&amp;"(SELECT id FROM cli_clientes WHERE numero_documento = '"&amp;SUBSTITUTE(TRIM(A426),"'","''")&amp;"' AND estado = 1 LIMIT 1)"&amp;" AND upper(x.direccion) = upper("&amp;IF(TRIM(D426&amp;"")="","NULL","'"&amp;SUBSTITUTE(TRIM(D426),"'","''")&amp;"'")&amp;"));")</f>
        <v/>
      </c>
    </row>
    <row r="427" ht="15.75" customHeight="1" s="64">
      <c r="A427" s="23" t="n"/>
      <c r="B427" s="25">
        <f t="array" ref="B427">IF(A427="","",IFERROR(IF(INDEX(Clientes!$D$5:$D$549,MATCH(A427,Clientes!$C$5:$C$549,0))&lt;&gt;"",INDEX(Clientes!$D$5:$D$549,MATCH(A427,Clientes!$C$5:$C$549,0)),TRIM(INDEX(Clientes!$E$5:$E$549,MATCH(A427,Clientes!$C$5:$C$549,0))&amp;" "&amp;INDEX(Clientes!$F$5:$F$549,MATCH(A427,Clientes!$C$5:$C$549,0)))),"NO EXISTE en Clientes"))</f>
        <v/>
      </c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>
        <f>IF(AND(A427="",D427=""),"",IF(A427="","FALTA doc. cliente",IF(B427="NO EXISTE en Clientes","CLIENTE no está en hoja Clientes",IF(D427="","FALTA dirección",IF(AND(H427&lt;&gt;"",OR(F427="",G427="")),"Distrito requiere departamento y provincia",IF(AND(G427&lt;&gt;"",F427=""),"Provincia requiere departamento",IF((I427&lt;&gt;"")&lt;&gt;(J427&lt;&gt;""),"Latitud y longitud van juntas","OK")))))))</f>
        <v/>
      </c>
      <c r="M427" s="28">
        <f>IF(L427&lt;&gt;"OK","","INSERT INTO cli_direcciones (id_cliente, descripcion, direccion, referencia, id_departamento, id_provincia, id_distrito, latitud, longitud, es_principal, estado) SELECT "&amp;"(SELECT id FROM cli_clientes WHERE numero_documento = '"&amp;SUBSTITUTE(TRIM(A427),"'","''")&amp;"' AND estado = 1 LIMIT 1)"&amp;", "&amp;IF(TRIM(C427&amp;"")="","NULL","'"&amp;SUBSTITUTE(TRIM(C427),"'","''")&amp;"'")&amp;", "&amp;IF(TRIM(D427&amp;"")="","NULL","'"&amp;SUBSTITUTE(TRIM(D427),"'","''")&amp;"'")&amp;", "&amp;IF(TRIM(E427&amp;"")="","NULL","'"&amp;SUBSTITUTE(TRIM(E427),"'","''")&amp;"'")&amp;", "&amp;IF(TRIM(F427&amp;"")="","NULL","(SELECT id FROM gen_departamento WHERE upper(nombre) = upper('"&amp;SUBSTITUTE(TRIM(F427),"'","''")&amp;"') AND estado = 1 LIMIT 1)")&amp;", "&amp;IF(OR(TRIM(F427&amp;"")="",TRIM(G427&amp;"")=""),"NULL","(SELECT p.id FROM gen_provincia p JOIN gen_departamento dp ON dp.id = p.id_departamento WHERE upper(p.nombre) = upper('"&amp;SUBSTITUTE(TRIM(G427),"'","''")&amp;"') AND upper(dp.nombre) = upper('"&amp;SUBSTITUTE(TRIM(F427),"'","''")&amp;"') AND p.estado = 1 LIMIT 1)")&amp;", "&amp;IF(OR(TRIM(F427&amp;"")="",TRIM(G427&amp;"")="",TRIM(H427&amp;"")=""),"NULL","(SELECT d.id FROM gen_distrito d JOIN gen_provincia p ON p.id = d.id_provincia JOIN gen_departamento dp ON dp.id = p.id_departamento WHERE upper(d.nombre) = upper('"&amp;SUBSTITUTE(TRIM(H427),"'","''")&amp;"') AND upper(p.nombre) = upper('"&amp;SUBSTITUTE(TRIM(G427),"'","''")&amp;"') AND upper(dp.nombre) = upper('"&amp;SUBSTITUTE(TRIM(F427),"'","''")&amp;"') AND d.estado = 1 LIMIT 1)")&amp;", "&amp;IF(I427&amp;""="","NULL",SUBSTITUTE(I427&amp;"",",","."))&amp;", "&amp;IF(J427&amp;""="","NULL",SUBSTITUTE(J427&amp;"",",","."))&amp;", "&amp;IF(UPPER(TRIM(K427&amp;""))="SI","TRUE","FALSE")&amp;", 1"&amp;" WHERE NOT EXISTS (SELECT 1 FROM cli_direcciones x WHERE x.id_cliente = "&amp;"(SELECT id FROM cli_clientes WHERE numero_documento = '"&amp;SUBSTITUTE(TRIM(A427),"'","''")&amp;"' AND estado = 1 LIMIT 1)"&amp;" AND upper(x.direccion) = upper("&amp;IF(TRIM(D427&amp;"")="","NULL","'"&amp;SUBSTITUTE(TRIM(D427),"'","''")&amp;"'")&amp;"));")</f>
        <v/>
      </c>
    </row>
    <row r="428" ht="15.75" customHeight="1" s="64">
      <c r="A428" s="23" t="n"/>
      <c r="B428" s="25">
        <f t="array" ref="B428">IF(A428="","",IFERROR(IF(INDEX(Clientes!$D$5:$D$549,MATCH(A428,Clientes!$C$5:$C$549,0))&lt;&gt;"",INDEX(Clientes!$D$5:$D$549,MATCH(A428,Clientes!$C$5:$C$549,0)),TRIM(INDEX(Clientes!$E$5:$E$549,MATCH(A428,Clientes!$C$5:$C$549,0))&amp;" "&amp;INDEX(Clientes!$F$5:$F$549,MATCH(A428,Clientes!$C$5:$C$549,0)))),"NO EXISTE en Clientes"))</f>
        <v/>
      </c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>
        <f>IF(AND(A428="",D428=""),"",IF(A428="","FALTA doc. cliente",IF(B428="NO EXISTE en Clientes","CLIENTE no está en hoja Clientes",IF(D428="","FALTA dirección",IF(AND(H428&lt;&gt;"",OR(F428="",G428="")),"Distrito requiere departamento y provincia",IF(AND(G428&lt;&gt;"",F428=""),"Provincia requiere departamento",IF((I428&lt;&gt;"")&lt;&gt;(J428&lt;&gt;""),"Latitud y longitud van juntas","OK")))))))</f>
        <v/>
      </c>
      <c r="M428" s="28">
        <f>IF(L428&lt;&gt;"OK","","INSERT INTO cli_direcciones (id_cliente, descripcion, direccion, referencia, id_departamento, id_provincia, id_distrito, latitud, longitud, es_principal, estado) SELECT "&amp;"(SELECT id FROM cli_clientes WHERE numero_documento = '"&amp;SUBSTITUTE(TRIM(A428),"'","''")&amp;"' AND estado = 1 LIMIT 1)"&amp;", "&amp;IF(TRIM(C428&amp;"")="","NULL","'"&amp;SUBSTITUTE(TRIM(C428),"'","''")&amp;"'")&amp;", "&amp;IF(TRIM(D428&amp;"")="","NULL","'"&amp;SUBSTITUTE(TRIM(D428),"'","''")&amp;"'")&amp;", "&amp;IF(TRIM(E428&amp;"")="","NULL","'"&amp;SUBSTITUTE(TRIM(E428),"'","''")&amp;"'")&amp;", "&amp;IF(TRIM(F428&amp;"")="","NULL","(SELECT id FROM gen_departamento WHERE upper(nombre) = upper('"&amp;SUBSTITUTE(TRIM(F428),"'","''")&amp;"') AND estado = 1 LIMIT 1)")&amp;", "&amp;IF(OR(TRIM(F428&amp;"")="",TRIM(G428&amp;"")=""),"NULL","(SELECT p.id FROM gen_provincia p JOIN gen_departamento dp ON dp.id = p.id_departamento WHERE upper(p.nombre) = upper('"&amp;SUBSTITUTE(TRIM(G428),"'","''")&amp;"') AND upper(dp.nombre) = upper('"&amp;SUBSTITUTE(TRIM(F428),"'","''")&amp;"') AND p.estado = 1 LIMIT 1)")&amp;", "&amp;IF(OR(TRIM(F428&amp;"")="",TRIM(G428&amp;"")="",TRIM(H428&amp;"")=""),"NULL","(SELECT d.id FROM gen_distrito d JOIN gen_provincia p ON p.id = d.id_provincia JOIN gen_departamento dp ON dp.id = p.id_departamento WHERE upper(d.nombre) = upper('"&amp;SUBSTITUTE(TRIM(H428),"'","''")&amp;"') AND upper(p.nombre) = upper('"&amp;SUBSTITUTE(TRIM(G428),"'","''")&amp;"') AND upper(dp.nombre) = upper('"&amp;SUBSTITUTE(TRIM(F428),"'","''")&amp;"') AND d.estado = 1 LIMIT 1)")&amp;", "&amp;IF(I428&amp;""="","NULL",SUBSTITUTE(I428&amp;"",",","."))&amp;", "&amp;IF(J428&amp;""="","NULL",SUBSTITUTE(J428&amp;"",",","."))&amp;", "&amp;IF(UPPER(TRIM(K428&amp;""))="SI","TRUE","FALSE")&amp;", 1"&amp;" WHERE NOT EXISTS (SELECT 1 FROM cli_direcciones x WHERE x.id_cliente = "&amp;"(SELECT id FROM cli_clientes WHERE numero_documento = '"&amp;SUBSTITUTE(TRIM(A428),"'","''")&amp;"' AND estado = 1 LIMIT 1)"&amp;" AND upper(x.direccion) = upper("&amp;IF(TRIM(D428&amp;"")="","NULL","'"&amp;SUBSTITUTE(TRIM(D428),"'","''")&amp;"'")&amp;"));")</f>
        <v/>
      </c>
    </row>
    <row r="429" ht="15.75" customHeight="1" s="64">
      <c r="A429" s="23" t="n"/>
      <c r="B429" s="25">
        <f t="array" ref="B429">IF(A429="","",IFERROR(IF(INDEX(Clientes!$D$5:$D$549,MATCH(A429,Clientes!$C$5:$C$549,0))&lt;&gt;"",INDEX(Clientes!$D$5:$D$549,MATCH(A429,Clientes!$C$5:$C$549,0)),TRIM(INDEX(Clientes!$E$5:$E$549,MATCH(A429,Clientes!$C$5:$C$549,0))&amp;" "&amp;INDEX(Clientes!$F$5:$F$549,MATCH(A429,Clientes!$C$5:$C$549,0)))),"NO EXISTE en Clientes"))</f>
        <v/>
      </c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>
        <f>IF(AND(A429="",D429=""),"",IF(A429="","FALTA doc. cliente",IF(B429="NO EXISTE en Clientes","CLIENTE no está en hoja Clientes",IF(D429="","FALTA dirección",IF(AND(H429&lt;&gt;"",OR(F429="",G429="")),"Distrito requiere departamento y provincia",IF(AND(G429&lt;&gt;"",F429=""),"Provincia requiere departamento",IF((I429&lt;&gt;"")&lt;&gt;(J429&lt;&gt;""),"Latitud y longitud van juntas","OK")))))))</f>
        <v/>
      </c>
      <c r="M429" s="28">
        <f>IF(L429&lt;&gt;"OK","","INSERT INTO cli_direcciones (id_cliente, descripcion, direccion, referencia, id_departamento, id_provincia, id_distrito, latitud, longitud, es_principal, estado) SELECT "&amp;"(SELECT id FROM cli_clientes WHERE numero_documento = '"&amp;SUBSTITUTE(TRIM(A429),"'","''")&amp;"' AND estado = 1 LIMIT 1)"&amp;", "&amp;IF(TRIM(C429&amp;"")="","NULL","'"&amp;SUBSTITUTE(TRIM(C429),"'","''")&amp;"'")&amp;", "&amp;IF(TRIM(D429&amp;"")="","NULL","'"&amp;SUBSTITUTE(TRIM(D429),"'","''")&amp;"'")&amp;", "&amp;IF(TRIM(E429&amp;"")="","NULL","'"&amp;SUBSTITUTE(TRIM(E429),"'","''")&amp;"'")&amp;", "&amp;IF(TRIM(F429&amp;"")="","NULL","(SELECT id FROM gen_departamento WHERE upper(nombre) = upper('"&amp;SUBSTITUTE(TRIM(F429),"'","''")&amp;"') AND estado = 1 LIMIT 1)")&amp;", "&amp;IF(OR(TRIM(F429&amp;"")="",TRIM(G429&amp;"")=""),"NULL","(SELECT p.id FROM gen_provincia p JOIN gen_departamento dp ON dp.id = p.id_departamento WHERE upper(p.nombre) = upper('"&amp;SUBSTITUTE(TRIM(G429),"'","''")&amp;"') AND upper(dp.nombre) = upper('"&amp;SUBSTITUTE(TRIM(F429),"'","''")&amp;"') AND p.estado = 1 LIMIT 1)")&amp;", "&amp;IF(OR(TRIM(F429&amp;"")="",TRIM(G429&amp;"")="",TRIM(H429&amp;"")=""),"NULL","(SELECT d.id FROM gen_distrito d JOIN gen_provincia p ON p.id = d.id_provincia JOIN gen_departamento dp ON dp.id = p.id_departamento WHERE upper(d.nombre) = upper('"&amp;SUBSTITUTE(TRIM(H429),"'","''")&amp;"') AND upper(p.nombre) = upper('"&amp;SUBSTITUTE(TRIM(G429),"'","''")&amp;"') AND upper(dp.nombre) = upper('"&amp;SUBSTITUTE(TRIM(F429),"'","''")&amp;"') AND d.estado = 1 LIMIT 1)")&amp;", "&amp;IF(I429&amp;""="","NULL",SUBSTITUTE(I429&amp;"",",","."))&amp;", "&amp;IF(J429&amp;""="","NULL",SUBSTITUTE(J429&amp;"",",","."))&amp;", "&amp;IF(UPPER(TRIM(K429&amp;""))="SI","TRUE","FALSE")&amp;", 1"&amp;" WHERE NOT EXISTS (SELECT 1 FROM cli_direcciones x WHERE x.id_cliente = "&amp;"(SELECT id FROM cli_clientes WHERE numero_documento = '"&amp;SUBSTITUTE(TRIM(A429),"'","''")&amp;"' AND estado = 1 LIMIT 1)"&amp;" AND upper(x.direccion) = upper("&amp;IF(TRIM(D429&amp;"")="","NULL","'"&amp;SUBSTITUTE(TRIM(D429),"'","''")&amp;"'")&amp;"));")</f>
        <v/>
      </c>
    </row>
    <row r="430" ht="15.75" customHeight="1" s="64">
      <c r="A430" s="23" t="n"/>
      <c r="B430" s="25">
        <f t="array" ref="B430">IF(A430="","",IFERROR(IF(INDEX(Clientes!$D$5:$D$549,MATCH(A430,Clientes!$C$5:$C$549,0))&lt;&gt;"",INDEX(Clientes!$D$5:$D$549,MATCH(A430,Clientes!$C$5:$C$549,0)),TRIM(INDEX(Clientes!$E$5:$E$549,MATCH(A430,Clientes!$C$5:$C$549,0))&amp;" "&amp;INDEX(Clientes!$F$5:$F$549,MATCH(A430,Clientes!$C$5:$C$549,0)))),"NO EXISTE en Clientes"))</f>
        <v/>
      </c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>
        <f>IF(AND(A430="",D430=""),"",IF(A430="","FALTA doc. cliente",IF(B430="NO EXISTE en Clientes","CLIENTE no está en hoja Clientes",IF(D430="","FALTA dirección",IF(AND(H430&lt;&gt;"",OR(F430="",G430="")),"Distrito requiere departamento y provincia",IF(AND(G430&lt;&gt;"",F430=""),"Provincia requiere departamento",IF((I430&lt;&gt;"")&lt;&gt;(J430&lt;&gt;""),"Latitud y longitud van juntas","OK")))))))</f>
        <v/>
      </c>
      <c r="M430" s="28">
        <f>IF(L430&lt;&gt;"OK","","INSERT INTO cli_direcciones (id_cliente, descripcion, direccion, referencia, id_departamento, id_provincia, id_distrito, latitud, longitud, es_principal, estado) SELECT "&amp;"(SELECT id FROM cli_clientes WHERE numero_documento = '"&amp;SUBSTITUTE(TRIM(A430),"'","''")&amp;"' AND estado = 1 LIMIT 1)"&amp;", "&amp;IF(TRIM(C430&amp;"")="","NULL","'"&amp;SUBSTITUTE(TRIM(C430),"'","''")&amp;"'")&amp;", "&amp;IF(TRIM(D430&amp;"")="","NULL","'"&amp;SUBSTITUTE(TRIM(D430),"'","''")&amp;"'")&amp;", "&amp;IF(TRIM(E430&amp;"")="","NULL","'"&amp;SUBSTITUTE(TRIM(E430),"'","''")&amp;"'")&amp;", "&amp;IF(TRIM(F430&amp;"")="","NULL","(SELECT id FROM gen_departamento WHERE upper(nombre) = upper('"&amp;SUBSTITUTE(TRIM(F430),"'","''")&amp;"') AND estado = 1 LIMIT 1)")&amp;", "&amp;IF(OR(TRIM(F430&amp;"")="",TRIM(G430&amp;"")=""),"NULL","(SELECT p.id FROM gen_provincia p JOIN gen_departamento dp ON dp.id = p.id_departamento WHERE upper(p.nombre) = upper('"&amp;SUBSTITUTE(TRIM(G430),"'","''")&amp;"') AND upper(dp.nombre) = upper('"&amp;SUBSTITUTE(TRIM(F430),"'","''")&amp;"') AND p.estado = 1 LIMIT 1)")&amp;", "&amp;IF(OR(TRIM(F430&amp;"")="",TRIM(G430&amp;"")="",TRIM(H430&amp;"")=""),"NULL","(SELECT d.id FROM gen_distrito d JOIN gen_provincia p ON p.id = d.id_provincia JOIN gen_departamento dp ON dp.id = p.id_departamento WHERE upper(d.nombre) = upper('"&amp;SUBSTITUTE(TRIM(H430),"'","''")&amp;"') AND upper(p.nombre) = upper('"&amp;SUBSTITUTE(TRIM(G430),"'","''")&amp;"') AND upper(dp.nombre) = upper('"&amp;SUBSTITUTE(TRIM(F430),"'","''")&amp;"') AND d.estado = 1 LIMIT 1)")&amp;", "&amp;IF(I430&amp;""="","NULL",SUBSTITUTE(I430&amp;"",",","."))&amp;", "&amp;IF(J430&amp;""="","NULL",SUBSTITUTE(J430&amp;"",",","."))&amp;", "&amp;IF(UPPER(TRIM(K430&amp;""))="SI","TRUE","FALSE")&amp;", 1"&amp;" WHERE NOT EXISTS (SELECT 1 FROM cli_direcciones x WHERE x.id_cliente = "&amp;"(SELECT id FROM cli_clientes WHERE numero_documento = '"&amp;SUBSTITUTE(TRIM(A430),"'","''")&amp;"' AND estado = 1 LIMIT 1)"&amp;" AND upper(x.direccion) = upper("&amp;IF(TRIM(D430&amp;"")="","NULL","'"&amp;SUBSTITUTE(TRIM(D430),"'","''")&amp;"'")&amp;"));")</f>
        <v/>
      </c>
    </row>
    <row r="431" ht="15.75" customHeight="1" s="64">
      <c r="A431" s="23" t="n"/>
      <c r="B431" s="25">
        <f t="array" ref="B431">IF(A431="","",IFERROR(IF(INDEX(Clientes!$D$5:$D$549,MATCH(A431,Clientes!$C$5:$C$549,0))&lt;&gt;"",INDEX(Clientes!$D$5:$D$549,MATCH(A431,Clientes!$C$5:$C$549,0)),TRIM(INDEX(Clientes!$E$5:$E$549,MATCH(A431,Clientes!$C$5:$C$549,0))&amp;" "&amp;INDEX(Clientes!$F$5:$F$549,MATCH(A431,Clientes!$C$5:$C$549,0)))),"NO EXISTE en Clientes"))</f>
        <v/>
      </c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>
        <f>IF(AND(A431="",D431=""),"",IF(A431="","FALTA doc. cliente",IF(B431="NO EXISTE en Clientes","CLIENTE no está en hoja Clientes",IF(D431="","FALTA dirección",IF(AND(H431&lt;&gt;"",OR(F431="",G431="")),"Distrito requiere departamento y provincia",IF(AND(G431&lt;&gt;"",F431=""),"Provincia requiere departamento",IF((I431&lt;&gt;"")&lt;&gt;(J431&lt;&gt;""),"Latitud y longitud van juntas","OK")))))))</f>
        <v/>
      </c>
      <c r="M431" s="28">
        <f>IF(L431&lt;&gt;"OK","","INSERT INTO cli_direcciones (id_cliente, descripcion, direccion, referencia, id_departamento, id_provincia, id_distrito, latitud, longitud, es_principal, estado) SELECT "&amp;"(SELECT id FROM cli_clientes WHERE numero_documento = '"&amp;SUBSTITUTE(TRIM(A431),"'","''")&amp;"' AND estado = 1 LIMIT 1)"&amp;", "&amp;IF(TRIM(C431&amp;"")="","NULL","'"&amp;SUBSTITUTE(TRIM(C431),"'","''")&amp;"'")&amp;", "&amp;IF(TRIM(D431&amp;"")="","NULL","'"&amp;SUBSTITUTE(TRIM(D431),"'","''")&amp;"'")&amp;", "&amp;IF(TRIM(E431&amp;"")="","NULL","'"&amp;SUBSTITUTE(TRIM(E431),"'","''")&amp;"'")&amp;", "&amp;IF(TRIM(F431&amp;"")="","NULL","(SELECT id FROM gen_departamento WHERE upper(nombre) = upper('"&amp;SUBSTITUTE(TRIM(F431),"'","''")&amp;"') AND estado = 1 LIMIT 1)")&amp;", "&amp;IF(OR(TRIM(F431&amp;"")="",TRIM(G431&amp;"")=""),"NULL","(SELECT p.id FROM gen_provincia p JOIN gen_departamento dp ON dp.id = p.id_departamento WHERE upper(p.nombre) = upper('"&amp;SUBSTITUTE(TRIM(G431),"'","''")&amp;"') AND upper(dp.nombre) = upper('"&amp;SUBSTITUTE(TRIM(F431),"'","''")&amp;"') AND p.estado = 1 LIMIT 1)")&amp;", "&amp;IF(OR(TRIM(F431&amp;"")="",TRIM(G431&amp;"")="",TRIM(H431&amp;"")=""),"NULL","(SELECT d.id FROM gen_distrito d JOIN gen_provincia p ON p.id = d.id_provincia JOIN gen_departamento dp ON dp.id = p.id_departamento WHERE upper(d.nombre) = upper('"&amp;SUBSTITUTE(TRIM(H431),"'","''")&amp;"') AND upper(p.nombre) = upper('"&amp;SUBSTITUTE(TRIM(G431),"'","''")&amp;"') AND upper(dp.nombre) = upper('"&amp;SUBSTITUTE(TRIM(F431),"'","''")&amp;"') AND d.estado = 1 LIMIT 1)")&amp;", "&amp;IF(I431&amp;""="","NULL",SUBSTITUTE(I431&amp;"",",","."))&amp;", "&amp;IF(J431&amp;""="","NULL",SUBSTITUTE(J431&amp;"",",","."))&amp;", "&amp;IF(UPPER(TRIM(K431&amp;""))="SI","TRUE","FALSE")&amp;", 1"&amp;" WHERE NOT EXISTS (SELECT 1 FROM cli_direcciones x WHERE x.id_cliente = "&amp;"(SELECT id FROM cli_clientes WHERE numero_documento = '"&amp;SUBSTITUTE(TRIM(A431),"'","''")&amp;"' AND estado = 1 LIMIT 1)"&amp;" AND upper(x.direccion) = upper("&amp;IF(TRIM(D431&amp;"")="","NULL","'"&amp;SUBSTITUTE(TRIM(D431),"'","''")&amp;"'")&amp;"));")</f>
        <v/>
      </c>
    </row>
    <row r="432" ht="15.75" customHeight="1" s="64">
      <c r="A432" s="23" t="n"/>
      <c r="B432" s="25">
        <f t="array" ref="B432">IF(A432="","",IFERROR(IF(INDEX(Clientes!$D$5:$D$549,MATCH(A432,Clientes!$C$5:$C$549,0))&lt;&gt;"",INDEX(Clientes!$D$5:$D$549,MATCH(A432,Clientes!$C$5:$C$549,0)),TRIM(INDEX(Clientes!$E$5:$E$549,MATCH(A432,Clientes!$C$5:$C$549,0))&amp;" "&amp;INDEX(Clientes!$F$5:$F$549,MATCH(A432,Clientes!$C$5:$C$549,0)))),"NO EXISTE en Clientes"))</f>
        <v/>
      </c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>
        <f>IF(AND(A432="",D432=""),"",IF(A432="","FALTA doc. cliente",IF(B432="NO EXISTE en Clientes","CLIENTE no está en hoja Clientes",IF(D432="","FALTA dirección",IF(AND(H432&lt;&gt;"",OR(F432="",G432="")),"Distrito requiere departamento y provincia",IF(AND(G432&lt;&gt;"",F432=""),"Provincia requiere departamento",IF((I432&lt;&gt;"")&lt;&gt;(J432&lt;&gt;""),"Latitud y longitud van juntas","OK")))))))</f>
        <v/>
      </c>
      <c r="M432" s="28">
        <f>IF(L432&lt;&gt;"OK","","INSERT INTO cli_direcciones (id_cliente, descripcion, direccion, referencia, id_departamento, id_provincia, id_distrito, latitud, longitud, es_principal, estado) SELECT "&amp;"(SELECT id FROM cli_clientes WHERE numero_documento = '"&amp;SUBSTITUTE(TRIM(A432),"'","''")&amp;"' AND estado = 1 LIMIT 1)"&amp;", "&amp;IF(TRIM(C432&amp;"")="","NULL","'"&amp;SUBSTITUTE(TRIM(C432),"'","''")&amp;"'")&amp;", "&amp;IF(TRIM(D432&amp;"")="","NULL","'"&amp;SUBSTITUTE(TRIM(D432),"'","''")&amp;"'")&amp;", "&amp;IF(TRIM(E432&amp;"")="","NULL","'"&amp;SUBSTITUTE(TRIM(E432),"'","''")&amp;"'")&amp;", "&amp;IF(TRIM(F432&amp;"")="","NULL","(SELECT id FROM gen_departamento WHERE upper(nombre) = upper('"&amp;SUBSTITUTE(TRIM(F432),"'","''")&amp;"') AND estado = 1 LIMIT 1)")&amp;", "&amp;IF(OR(TRIM(F432&amp;"")="",TRIM(G432&amp;"")=""),"NULL","(SELECT p.id FROM gen_provincia p JOIN gen_departamento dp ON dp.id = p.id_departamento WHERE upper(p.nombre) = upper('"&amp;SUBSTITUTE(TRIM(G432),"'","''")&amp;"') AND upper(dp.nombre) = upper('"&amp;SUBSTITUTE(TRIM(F432),"'","''")&amp;"') AND p.estado = 1 LIMIT 1)")&amp;", "&amp;IF(OR(TRIM(F432&amp;"")="",TRIM(G432&amp;"")="",TRIM(H432&amp;"")=""),"NULL","(SELECT d.id FROM gen_distrito d JOIN gen_provincia p ON p.id = d.id_provincia JOIN gen_departamento dp ON dp.id = p.id_departamento WHERE upper(d.nombre) = upper('"&amp;SUBSTITUTE(TRIM(H432),"'","''")&amp;"') AND upper(p.nombre) = upper('"&amp;SUBSTITUTE(TRIM(G432),"'","''")&amp;"') AND upper(dp.nombre) = upper('"&amp;SUBSTITUTE(TRIM(F432),"'","''")&amp;"') AND d.estado = 1 LIMIT 1)")&amp;", "&amp;IF(I432&amp;""="","NULL",SUBSTITUTE(I432&amp;"",",","."))&amp;", "&amp;IF(J432&amp;""="","NULL",SUBSTITUTE(J432&amp;"",",","."))&amp;", "&amp;IF(UPPER(TRIM(K432&amp;""))="SI","TRUE","FALSE")&amp;", 1"&amp;" WHERE NOT EXISTS (SELECT 1 FROM cli_direcciones x WHERE x.id_cliente = "&amp;"(SELECT id FROM cli_clientes WHERE numero_documento = '"&amp;SUBSTITUTE(TRIM(A432),"'","''")&amp;"' AND estado = 1 LIMIT 1)"&amp;" AND upper(x.direccion) = upper("&amp;IF(TRIM(D432&amp;"")="","NULL","'"&amp;SUBSTITUTE(TRIM(D432),"'","''")&amp;"'")&amp;"));")</f>
        <v/>
      </c>
    </row>
    <row r="433" ht="15.75" customHeight="1" s="64">
      <c r="A433" s="23" t="n"/>
      <c r="B433" s="25">
        <f t="array" ref="B433">IF(A433="","",IFERROR(IF(INDEX(Clientes!$D$5:$D$549,MATCH(A433,Clientes!$C$5:$C$549,0))&lt;&gt;"",INDEX(Clientes!$D$5:$D$549,MATCH(A433,Clientes!$C$5:$C$549,0)),TRIM(INDEX(Clientes!$E$5:$E$549,MATCH(A433,Clientes!$C$5:$C$549,0))&amp;" "&amp;INDEX(Clientes!$F$5:$F$549,MATCH(A433,Clientes!$C$5:$C$549,0)))),"NO EXISTE en Clientes"))</f>
        <v/>
      </c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>
        <f>IF(AND(A433="",D433=""),"",IF(A433="","FALTA doc. cliente",IF(B433="NO EXISTE en Clientes","CLIENTE no está en hoja Clientes",IF(D433="","FALTA dirección",IF(AND(H433&lt;&gt;"",OR(F433="",G433="")),"Distrito requiere departamento y provincia",IF(AND(G433&lt;&gt;"",F433=""),"Provincia requiere departamento",IF((I433&lt;&gt;"")&lt;&gt;(J433&lt;&gt;""),"Latitud y longitud van juntas","OK")))))))</f>
        <v/>
      </c>
      <c r="M433" s="28">
        <f>IF(L433&lt;&gt;"OK","","INSERT INTO cli_direcciones (id_cliente, descripcion, direccion, referencia, id_departamento, id_provincia, id_distrito, latitud, longitud, es_principal, estado) SELECT "&amp;"(SELECT id FROM cli_clientes WHERE numero_documento = '"&amp;SUBSTITUTE(TRIM(A433),"'","''")&amp;"' AND estado = 1 LIMIT 1)"&amp;", "&amp;IF(TRIM(C433&amp;"")="","NULL","'"&amp;SUBSTITUTE(TRIM(C433),"'","''")&amp;"'")&amp;", "&amp;IF(TRIM(D433&amp;"")="","NULL","'"&amp;SUBSTITUTE(TRIM(D433),"'","''")&amp;"'")&amp;", "&amp;IF(TRIM(E433&amp;"")="","NULL","'"&amp;SUBSTITUTE(TRIM(E433),"'","''")&amp;"'")&amp;", "&amp;IF(TRIM(F433&amp;"")="","NULL","(SELECT id FROM gen_departamento WHERE upper(nombre) = upper('"&amp;SUBSTITUTE(TRIM(F433),"'","''")&amp;"') AND estado = 1 LIMIT 1)")&amp;", "&amp;IF(OR(TRIM(F433&amp;"")="",TRIM(G433&amp;"")=""),"NULL","(SELECT p.id FROM gen_provincia p JOIN gen_departamento dp ON dp.id = p.id_departamento WHERE upper(p.nombre) = upper('"&amp;SUBSTITUTE(TRIM(G433),"'","''")&amp;"') AND upper(dp.nombre) = upper('"&amp;SUBSTITUTE(TRIM(F433),"'","''")&amp;"') AND p.estado = 1 LIMIT 1)")&amp;", "&amp;IF(OR(TRIM(F433&amp;"")="",TRIM(G433&amp;"")="",TRIM(H433&amp;"")=""),"NULL","(SELECT d.id FROM gen_distrito d JOIN gen_provincia p ON p.id = d.id_provincia JOIN gen_departamento dp ON dp.id = p.id_departamento WHERE upper(d.nombre) = upper('"&amp;SUBSTITUTE(TRIM(H433),"'","''")&amp;"') AND upper(p.nombre) = upper('"&amp;SUBSTITUTE(TRIM(G433),"'","''")&amp;"') AND upper(dp.nombre) = upper('"&amp;SUBSTITUTE(TRIM(F433),"'","''")&amp;"') AND d.estado = 1 LIMIT 1)")&amp;", "&amp;IF(I433&amp;""="","NULL",SUBSTITUTE(I433&amp;"",",","."))&amp;", "&amp;IF(J433&amp;""="","NULL",SUBSTITUTE(J433&amp;"",",","."))&amp;", "&amp;IF(UPPER(TRIM(K433&amp;""))="SI","TRUE","FALSE")&amp;", 1"&amp;" WHERE NOT EXISTS (SELECT 1 FROM cli_direcciones x WHERE x.id_cliente = "&amp;"(SELECT id FROM cli_clientes WHERE numero_documento = '"&amp;SUBSTITUTE(TRIM(A433),"'","''")&amp;"' AND estado = 1 LIMIT 1)"&amp;" AND upper(x.direccion) = upper("&amp;IF(TRIM(D433&amp;"")="","NULL","'"&amp;SUBSTITUTE(TRIM(D433),"'","''")&amp;"'")&amp;"));")</f>
        <v/>
      </c>
    </row>
    <row r="434" ht="15.75" customHeight="1" s="64">
      <c r="A434" s="23" t="n"/>
      <c r="B434" s="25">
        <f t="array" ref="B434">IF(A434="","",IFERROR(IF(INDEX(Clientes!$D$5:$D$549,MATCH(A434,Clientes!$C$5:$C$549,0))&lt;&gt;"",INDEX(Clientes!$D$5:$D$549,MATCH(A434,Clientes!$C$5:$C$549,0)),TRIM(INDEX(Clientes!$E$5:$E$549,MATCH(A434,Clientes!$C$5:$C$549,0))&amp;" "&amp;INDEX(Clientes!$F$5:$F$549,MATCH(A434,Clientes!$C$5:$C$549,0)))),"NO EXISTE en Clientes"))</f>
        <v/>
      </c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>
        <f>IF(AND(A434="",D434=""),"",IF(A434="","FALTA doc. cliente",IF(B434="NO EXISTE en Clientes","CLIENTE no está en hoja Clientes",IF(D434="","FALTA dirección",IF(AND(H434&lt;&gt;"",OR(F434="",G434="")),"Distrito requiere departamento y provincia",IF(AND(G434&lt;&gt;"",F434=""),"Provincia requiere departamento",IF((I434&lt;&gt;"")&lt;&gt;(J434&lt;&gt;""),"Latitud y longitud van juntas","OK")))))))</f>
        <v/>
      </c>
      <c r="M434" s="28">
        <f>IF(L434&lt;&gt;"OK","","INSERT INTO cli_direcciones (id_cliente, descripcion, direccion, referencia, id_departamento, id_provincia, id_distrito, latitud, longitud, es_principal, estado) SELECT "&amp;"(SELECT id FROM cli_clientes WHERE numero_documento = '"&amp;SUBSTITUTE(TRIM(A434),"'","''")&amp;"' AND estado = 1 LIMIT 1)"&amp;", "&amp;IF(TRIM(C434&amp;"")="","NULL","'"&amp;SUBSTITUTE(TRIM(C434),"'","''")&amp;"'")&amp;", "&amp;IF(TRIM(D434&amp;"")="","NULL","'"&amp;SUBSTITUTE(TRIM(D434),"'","''")&amp;"'")&amp;", "&amp;IF(TRIM(E434&amp;"")="","NULL","'"&amp;SUBSTITUTE(TRIM(E434),"'","''")&amp;"'")&amp;", "&amp;IF(TRIM(F434&amp;"")="","NULL","(SELECT id FROM gen_departamento WHERE upper(nombre) = upper('"&amp;SUBSTITUTE(TRIM(F434),"'","''")&amp;"') AND estado = 1 LIMIT 1)")&amp;", "&amp;IF(OR(TRIM(F434&amp;"")="",TRIM(G434&amp;"")=""),"NULL","(SELECT p.id FROM gen_provincia p JOIN gen_departamento dp ON dp.id = p.id_departamento WHERE upper(p.nombre) = upper('"&amp;SUBSTITUTE(TRIM(G434),"'","''")&amp;"') AND upper(dp.nombre) = upper('"&amp;SUBSTITUTE(TRIM(F434),"'","''")&amp;"') AND p.estado = 1 LIMIT 1)")&amp;", "&amp;IF(OR(TRIM(F434&amp;"")="",TRIM(G434&amp;"")="",TRIM(H434&amp;"")=""),"NULL","(SELECT d.id FROM gen_distrito d JOIN gen_provincia p ON p.id = d.id_provincia JOIN gen_departamento dp ON dp.id = p.id_departamento WHERE upper(d.nombre) = upper('"&amp;SUBSTITUTE(TRIM(H434),"'","''")&amp;"') AND upper(p.nombre) = upper('"&amp;SUBSTITUTE(TRIM(G434),"'","''")&amp;"') AND upper(dp.nombre) = upper('"&amp;SUBSTITUTE(TRIM(F434),"'","''")&amp;"') AND d.estado = 1 LIMIT 1)")&amp;", "&amp;IF(I434&amp;""="","NULL",SUBSTITUTE(I434&amp;"",",","."))&amp;", "&amp;IF(J434&amp;""="","NULL",SUBSTITUTE(J434&amp;"",",","."))&amp;", "&amp;IF(UPPER(TRIM(K434&amp;""))="SI","TRUE","FALSE")&amp;", 1"&amp;" WHERE NOT EXISTS (SELECT 1 FROM cli_direcciones x WHERE x.id_cliente = "&amp;"(SELECT id FROM cli_clientes WHERE numero_documento = '"&amp;SUBSTITUTE(TRIM(A434),"'","''")&amp;"' AND estado = 1 LIMIT 1)"&amp;" AND upper(x.direccion) = upper("&amp;IF(TRIM(D434&amp;"")="","NULL","'"&amp;SUBSTITUTE(TRIM(D434),"'","''")&amp;"'")&amp;"));")</f>
        <v/>
      </c>
    </row>
    <row r="435" ht="15.75" customHeight="1" s="64">
      <c r="A435" s="23" t="n"/>
      <c r="B435" s="25">
        <f t="array" ref="B435">IF(A435="","",IFERROR(IF(INDEX(Clientes!$D$5:$D$549,MATCH(A435,Clientes!$C$5:$C$549,0))&lt;&gt;"",INDEX(Clientes!$D$5:$D$549,MATCH(A435,Clientes!$C$5:$C$549,0)),TRIM(INDEX(Clientes!$E$5:$E$549,MATCH(A435,Clientes!$C$5:$C$549,0))&amp;" "&amp;INDEX(Clientes!$F$5:$F$549,MATCH(A435,Clientes!$C$5:$C$549,0)))),"NO EXISTE en Clientes"))</f>
        <v/>
      </c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>
        <f>IF(AND(A435="",D435=""),"",IF(A435="","FALTA doc. cliente",IF(B435="NO EXISTE en Clientes","CLIENTE no está en hoja Clientes",IF(D435="","FALTA dirección",IF(AND(H435&lt;&gt;"",OR(F435="",G435="")),"Distrito requiere departamento y provincia",IF(AND(G435&lt;&gt;"",F435=""),"Provincia requiere departamento",IF((I435&lt;&gt;"")&lt;&gt;(J435&lt;&gt;""),"Latitud y longitud van juntas","OK")))))))</f>
        <v/>
      </c>
      <c r="M435" s="28">
        <f>IF(L435&lt;&gt;"OK","","INSERT INTO cli_direcciones (id_cliente, descripcion, direccion, referencia, id_departamento, id_provincia, id_distrito, latitud, longitud, es_principal, estado) SELECT "&amp;"(SELECT id FROM cli_clientes WHERE numero_documento = '"&amp;SUBSTITUTE(TRIM(A435),"'","''")&amp;"' AND estado = 1 LIMIT 1)"&amp;", "&amp;IF(TRIM(C435&amp;"")="","NULL","'"&amp;SUBSTITUTE(TRIM(C435),"'","''")&amp;"'")&amp;", "&amp;IF(TRIM(D435&amp;"")="","NULL","'"&amp;SUBSTITUTE(TRIM(D435),"'","''")&amp;"'")&amp;", "&amp;IF(TRIM(E435&amp;"")="","NULL","'"&amp;SUBSTITUTE(TRIM(E435),"'","''")&amp;"'")&amp;", "&amp;IF(TRIM(F435&amp;"")="","NULL","(SELECT id FROM gen_departamento WHERE upper(nombre) = upper('"&amp;SUBSTITUTE(TRIM(F435),"'","''")&amp;"') AND estado = 1 LIMIT 1)")&amp;", "&amp;IF(OR(TRIM(F435&amp;"")="",TRIM(G435&amp;"")=""),"NULL","(SELECT p.id FROM gen_provincia p JOIN gen_departamento dp ON dp.id = p.id_departamento WHERE upper(p.nombre) = upper('"&amp;SUBSTITUTE(TRIM(G435),"'","''")&amp;"') AND upper(dp.nombre) = upper('"&amp;SUBSTITUTE(TRIM(F435),"'","''")&amp;"') AND p.estado = 1 LIMIT 1)")&amp;", "&amp;IF(OR(TRIM(F435&amp;"")="",TRIM(G435&amp;"")="",TRIM(H435&amp;"")=""),"NULL","(SELECT d.id FROM gen_distrito d JOIN gen_provincia p ON p.id = d.id_provincia JOIN gen_departamento dp ON dp.id = p.id_departamento WHERE upper(d.nombre) = upper('"&amp;SUBSTITUTE(TRIM(H435),"'","''")&amp;"') AND upper(p.nombre) = upper('"&amp;SUBSTITUTE(TRIM(G435),"'","''")&amp;"') AND upper(dp.nombre) = upper('"&amp;SUBSTITUTE(TRIM(F435),"'","''")&amp;"') AND d.estado = 1 LIMIT 1)")&amp;", "&amp;IF(I435&amp;""="","NULL",SUBSTITUTE(I435&amp;"",",","."))&amp;", "&amp;IF(J435&amp;""="","NULL",SUBSTITUTE(J435&amp;"",",","."))&amp;", "&amp;IF(UPPER(TRIM(K435&amp;""))="SI","TRUE","FALSE")&amp;", 1"&amp;" WHERE NOT EXISTS (SELECT 1 FROM cli_direcciones x WHERE x.id_cliente = "&amp;"(SELECT id FROM cli_clientes WHERE numero_documento = '"&amp;SUBSTITUTE(TRIM(A435),"'","''")&amp;"' AND estado = 1 LIMIT 1)"&amp;" AND upper(x.direccion) = upper("&amp;IF(TRIM(D435&amp;"")="","NULL","'"&amp;SUBSTITUTE(TRIM(D435),"'","''")&amp;"'")&amp;"));")</f>
        <v/>
      </c>
    </row>
    <row r="436" ht="15.75" customHeight="1" s="64">
      <c r="A436" s="23" t="n"/>
      <c r="B436" s="25">
        <f t="array" ref="B436">IF(A436="","",IFERROR(IF(INDEX(Clientes!$D$5:$D$549,MATCH(A436,Clientes!$C$5:$C$549,0))&lt;&gt;"",INDEX(Clientes!$D$5:$D$549,MATCH(A436,Clientes!$C$5:$C$549,0)),TRIM(INDEX(Clientes!$E$5:$E$549,MATCH(A436,Clientes!$C$5:$C$549,0))&amp;" "&amp;INDEX(Clientes!$F$5:$F$549,MATCH(A436,Clientes!$C$5:$C$549,0)))),"NO EXISTE en Clientes"))</f>
        <v/>
      </c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>
        <f>IF(AND(A436="",D436=""),"",IF(A436="","FALTA doc. cliente",IF(B436="NO EXISTE en Clientes","CLIENTE no está en hoja Clientes",IF(D436="","FALTA dirección",IF(AND(H436&lt;&gt;"",OR(F436="",G436="")),"Distrito requiere departamento y provincia",IF(AND(G436&lt;&gt;"",F436=""),"Provincia requiere departamento",IF((I436&lt;&gt;"")&lt;&gt;(J436&lt;&gt;""),"Latitud y longitud van juntas","OK")))))))</f>
        <v/>
      </c>
      <c r="M436" s="28">
        <f>IF(L436&lt;&gt;"OK","","INSERT INTO cli_direcciones (id_cliente, descripcion, direccion, referencia, id_departamento, id_provincia, id_distrito, latitud, longitud, es_principal, estado) SELECT "&amp;"(SELECT id FROM cli_clientes WHERE numero_documento = '"&amp;SUBSTITUTE(TRIM(A436),"'","''")&amp;"' AND estado = 1 LIMIT 1)"&amp;", "&amp;IF(TRIM(C436&amp;"")="","NULL","'"&amp;SUBSTITUTE(TRIM(C436),"'","''")&amp;"'")&amp;", "&amp;IF(TRIM(D436&amp;"")="","NULL","'"&amp;SUBSTITUTE(TRIM(D436),"'","''")&amp;"'")&amp;", "&amp;IF(TRIM(E436&amp;"")="","NULL","'"&amp;SUBSTITUTE(TRIM(E436),"'","''")&amp;"'")&amp;", "&amp;IF(TRIM(F436&amp;"")="","NULL","(SELECT id FROM gen_departamento WHERE upper(nombre) = upper('"&amp;SUBSTITUTE(TRIM(F436),"'","''")&amp;"') AND estado = 1 LIMIT 1)")&amp;", "&amp;IF(OR(TRIM(F436&amp;"")="",TRIM(G436&amp;"")=""),"NULL","(SELECT p.id FROM gen_provincia p JOIN gen_departamento dp ON dp.id = p.id_departamento WHERE upper(p.nombre) = upper('"&amp;SUBSTITUTE(TRIM(G436),"'","''")&amp;"') AND upper(dp.nombre) = upper('"&amp;SUBSTITUTE(TRIM(F436),"'","''")&amp;"') AND p.estado = 1 LIMIT 1)")&amp;", "&amp;IF(OR(TRIM(F436&amp;"")="",TRIM(G436&amp;"")="",TRIM(H436&amp;"")=""),"NULL","(SELECT d.id FROM gen_distrito d JOIN gen_provincia p ON p.id = d.id_provincia JOIN gen_departamento dp ON dp.id = p.id_departamento WHERE upper(d.nombre) = upper('"&amp;SUBSTITUTE(TRIM(H436),"'","''")&amp;"') AND upper(p.nombre) = upper('"&amp;SUBSTITUTE(TRIM(G436),"'","''")&amp;"') AND upper(dp.nombre) = upper('"&amp;SUBSTITUTE(TRIM(F436),"'","''")&amp;"') AND d.estado = 1 LIMIT 1)")&amp;", "&amp;IF(I436&amp;""="","NULL",SUBSTITUTE(I436&amp;"",",","."))&amp;", "&amp;IF(J436&amp;""="","NULL",SUBSTITUTE(J436&amp;"",",","."))&amp;", "&amp;IF(UPPER(TRIM(K436&amp;""))="SI","TRUE","FALSE")&amp;", 1"&amp;" WHERE NOT EXISTS (SELECT 1 FROM cli_direcciones x WHERE x.id_cliente = "&amp;"(SELECT id FROM cli_clientes WHERE numero_documento = '"&amp;SUBSTITUTE(TRIM(A436),"'","''")&amp;"' AND estado = 1 LIMIT 1)"&amp;" AND upper(x.direccion) = upper("&amp;IF(TRIM(D436&amp;"")="","NULL","'"&amp;SUBSTITUTE(TRIM(D436),"'","''")&amp;"'")&amp;"));")</f>
        <v/>
      </c>
    </row>
    <row r="437" ht="15.75" customHeight="1" s="64">
      <c r="A437" s="23" t="n"/>
      <c r="B437" s="25">
        <f t="array" ref="B437">IF(A437="","",IFERROR(IF(INDEX(Clientes!$D$5:$D$549,MATCH(A437,Clientes!$C$5:$C$549,0))&lt;&gt;"",INDEX(Clientes!$D$5:$D$549,MATCH(A437,Clientes!$C$5:$C$549,0)),TRIM(INDEX(Clientes!$E$5:$E$549,MATCH(A437,Clientes!$C$5:$C$549,0))&amp;" "&amp;INDEX(Clientes!$F$5:$F$549,MATCH(A437,Clientes!$C$5:$C$549,0)))),"NO EXISTE en Clientes"))</f>
        <v/>
      </c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>
        <f>IF(AND(A437="",D437=""),"",IF(A437="","FALTA doc. cliente",IF(B437="NO EXISTE en Clientes","CLIENTE no está en hoja Clientes",IF(D437="","FALTA dirección",IF(AND(H437&lt;&gt;"",OR(F437="",G437="")),"Distrito requiere departamento y provincia",IF(AND(G437&lt;&gt;"",F437=""),"Provincia requiere departamento",IF((I437&lt;&gt;"")&lt;&gt;(J437&lt;&gt;""),"Latitud y longitud van juntas","OK")))))))</f>
        <v/>
      </c>
      <c r="M437" s="28">
        <f>IF(L437&lt;&gt;"OK","","INSERT INTO cli_direcciones (id_cliente, descripcion, direccion, referencia, id_departamento, id_provincia, id_distrito, latitud, longitud, es_principal, estado) SELECT "&amp;"(SELECT id FROM cli_clientes WHERE numero_documento = '"&amp;SUBSTITUTE(TRIM(A437),"'","''")&amp;"' AND estado = 1 LIMIT 1)"&amp;", "&amp;IF(TRIM(C437&amp;"")="","NULL","'"&amp;SUBSTITUTE(TRIM(C437),"'","''")&amp;"'")&amp;", "&amp;IF(TRIM(D437&amp;"")="","NULL","'"&amp;SUBSTITUTE(TRIM(D437),"'","''")&amp;"'")&amp;", "&amp;IF(TRIM(E437&amp;"")="","NULL","'"&amp;SUBSTITUTE(TRIM(E437),"'","''")&amp;"'")&amp;", "&amp;IF(TRIM(F437&amp;"")="","NULL","(SELECT id FROM gen_departamento WHERE upper(nombre) = upper('"&amp;SUBSTITUTE(TRIM(F437),"'","''")&amp;"') AND estado = 1 LIMIT 1)")&amp;", "&amp;IF(OR(TRIM(F437&amp;"")="",TRIM(G437&amp;"")=""),"NULL","(SELECT p.id FROM gen_provincia p JOIN gen_departamento dp ON dp.id = p.id_departamento WHERE upper(p.nombre) = upper('"&amp;SUBSTITUTE(TRIM(G437),"'","''")&amp;"') AND upper(dp.nombre) = upper('"&amp;SUBSTITUTE(TRIM(F437),"'","''")&amp;"') AND p.estado = 1 LIMIT 1)")&amp;", "&amp;IF(OR(TRIM(F437&amp;"")="",TRIM(G437&amp;"")="",TRIM(H437&amp;"")=""),"NULL","(SELECT d.id FROM gen_distrito d JOIN gen_provincia p ON p.id = d.id_provincia JOIN gen_departamento dp ON dp.id = p.id_departamento WHERE upper(d.nombre) = upper('"&amp;SUBSTITUTE(TRIM(H437),"'","''")&amp;"') AND upper(p.nombre) = upper('"&amp;SUBSTITUTE(TRIM(G437),"'","''")&amp;"') AND upper(dp.nombre) = upper('"&amp;SUBSTITUTE(TRIM(F437),"'","''")&amp;"') AND d.estado = 1 LIMIT 1)")&amp;", "&amp;IF(I437&amp;""="","NULL",SUBSTITUTE(I437&amp;"",",","."))&amp;", "&amp;IF(J437&amp;""="","NULL",SUBSTITUTE(J437&amp;"",",","."))&amp;", "&amp;IF(UPPER(TRIM(K437&amp;""))="SI","TRUE","FALSE")&amp;", 1"&amp;" WHERE NOT EXISTS (SELECT 1 FROM cli_direcciones x WHERE x.id_cliente = "&amp;"(SELECT id FROM cli_clientes WHERE numero_documento = '"&amp;SUBSTITUTE(TRIM(A437),"'","''")&amp;"' AND estado = 1 LIMIT 1)"&amp;" AND upper(x.direccion) = upper("&amp;IF(TRIM(D437&amp;"")="","NULL","'"&amp;SUBSTITUTE(TRIM(D437),"'","''")&amp;"'")&amp;"));")</f>
        <v/>
      </c>
    </row>
    <row r="438" ht="15.75" customHeight="1" s="64">
      <c r="A438" s="23" t="n"/>
      <c r="B438" s="25">
        <f t="array" ref="B438">IF(A438="","",IFERROR(IF(INDEX(Clientes!$D$5:$D$549,MATCH(A438,Clientes!$C$5:$C$549,0))&lt;&gt;"",INDEX(Clientes!$D$5:$D$549,MATCH(A438,Clientes!$C$5:$C$549,0)),TRIM(INDEX(Clientes!$E$5:$E$549,MATCH(A438,Clientes!$C$5:$C$549,0))&amp;" "&amp;INDEX(Clientes!$F$5:$F$549,MATCH(A438,Clientes!$C$5:$C$549,0)))),"NO EXISTE en Clientes"))</f>
        <v/>
      </c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>
        <f>IF(AND(A438="",D438=""),"",IF(A438="","FALTA doc. cliente",IF(B438="NO EXISTE en Clientes","CLIENTE no está en hoja Clientes",IF(D438="","FALTA dirección",IF(AND(H438&lt;&gt;"",OR(F438="",G438="")),"Distrito requiere departamento y provincia",IF(AND(G438&lt;&gt;"",F438=""),"Provincia requiere departamento",IF((I438&lt;&gt;"")&lt;&gt;(J438&lt;&gt;""),"Latitud y longitud van juntas","OK")))))))</f>
        <v/>
      </c>
      <c r="M438" s="28">
        <f>IF(L438&lt;&gt;"OK","","INSERT INTO cli_direcciones (id_cliente, descripcion, direccion, referencia, id_departamento, id_provincia, id_distrito, latitud, longitud, es_principal, estado) SELECT "&amp;"(SELECT id FROM cli_clientes WHERE numero_documento = '"&amp;SUBSTITUTE(TRIM(A438),"'","''")&amp;"' AND estado = 1 LIMIT 1)"&amp;", "&amp;IF(TRIM(C438&amp;"")="","NULL","'"&amp;SUBSTITUTE(TRIM(C438),"'","''")&amp;"'")&amp;", "&amp;IF(TRIM(D438&amp;"")="","NULL","'"&amp;SUBSTITUTE(TRIM(D438),"'","''")&amp;"'")&amp;", "&amp;IF(TRIM(E438&amp;"")="","NULL","'"&amp;SUBSTITUTE(TRIM(E438),"'","''")&amp;"'")&amp;", "&amp;IF(TRIM(F438&amp;"")="","NULL","(SELECT id FROM gen_departamento WHERE upper(nombre) = upper('"&amp;SUBSTITUTE(TRIM(F438),"'","''")&amp;"') AND estado = 1 LIMIT 1)")&amp;", "&amp;IF(OR(TRIM(F438&amp;"")="",TRIM(G438&amp;"")=""),"NULL","(SELECT p.id FROM gen_provincia p JOIN gen_departamento dp ON dp.id = p.id_departamento WHERE upper(p.nombre) = upper('"&amp;SUBSTITUTE(TRIM(G438),"'","''")&amp;"') AND upper(dp.nombre) = upper('"&amp;SUBSTITUTE(TRIM(F438),"'","''")&amp;"') AND p.estado = 1 LIMIT 1)")&amp;", "&amp;IF(OR(TRIM(F438&amp;"")="",TRIM(G438&amp;"")="",TRIM(H438&amp;"")=""),"NULL","(SELECT d.id FROM gen_distrito d JOIN gen_provincia p ON p.id = d.id_provincia JOIN gen_departamento dp ON dp.id = p.id_departamento WHERE upper(d.nombre) = upper('"&amp;SUBSTITUTE(TRIM(H438),"'","''")&amp;"') AND upper(p.nombre) = upper('"&amp;SUBSTITUTE(TRIM(G438),"'","''")&amp;"') AND upper(dp.nombre) = upper('"&amp;SUBSTITUTE(TRIM(F438),"'","''")&amp;"') AND d.estado = 1 LIMIT 1)")&amp;", "&amp;IF(I438&amp;""="","NULL",SUBSTITUTE(I438&amp;"",",","."))&amp;", "&amp;IF(J438&amp;""="","NULL",SUBSTITUTE(J438&amp;"",",","."))&amp;", "&amp;IF(UPPER(TRIM(K438&amp;""))="SI","TRUE","FALSE")&amp;", 1"&amp;" WHERE NOT EXISTS (SELECT 1 FROM cli_direcciones x WHERE x.id_cliente = "&amp;"(SELECT id FROM cli_clientes WHERE numero_documento = '"&amp;SUBSTITUTE(TRIM(A438),"'","''")&amp;"' AND estado = 1 LIMIT 1)"&amp;" AND upper(x.direccion) = upper("&amp;IF(TRIM(D438&amp;"")="","NULL","'"&amp;SUBSTITUTE(TRIM(D438),"'","''")&amp;"'")&amp;"));")</f>
        <v/>
      </c>
    </row>
    <row r="439" ht="15.75" customHeight="1" s="64">
      <c r="A439" s="23" t="n"/>
      <c r="B439" s="25">
        <f t="array" ref="B439">IF(A439="","",IFERROR(IF(INDEX(Clientes!$D$5:$D$549,MATCH(A439,Clientes!$C$5:$C$549,0))&lt;&gt;"",INDEX(Clientes!$D$5:$D$549,MATCH(A439,Clientes!$C$5:$C$549,0)),TRIM(INDEX(Clientes!$E$5:$E$549,MATCH(A439,Clientes!$C$5:$C$549,0))&amp;" "&amp;INDEX(Clientes!$F$5:$F$549,MATCH(A439,Clientes!$C$5:$C$549,0)))),"NO EXISTE en Clientes"))</f>
        <v/>
      </c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>
        <f>IF(AND(A439="",D439=""),"",IF(A439="","FALTA doc. cliente",IF(B439="NO EXISTE en Clientes","CLIENTE no está en hoja Clientes",IF(D439="","FALTA dirección",IF(AND(H439&lt;&gt;"",OR(F439="",G439="")),"Distrito requiere departamento y provincia",IF(AND(G439&lt;&gt;"",F439=""),"Provincia requiere departamento",IF((I439&lt;&gt;"")&lt;&gt;(J439&lt;&gt;""),"Latitud y longitud van juntas","OK")))))))</f>
        <v/>
      </c>
      <c r="M439" s="28">
        <f>IF(L439&lt;&gt;"OK","","INSERT INTO cli_direcciones (id_cliente, descripcion, direccion, referencia, id_departamento, id_provincia, id_distrito, latitud, longitud, es_principal, estado) SELECT "&amp;"(SELECT id FROM cli_clientes WHERE numero_documento = '"&amp;SUBSTITUTE(TRIM(A439),"'","''")&amp;"' AND estado = 1 LIMIT 1)"&amp;", "&amp;IF(TRIM(C439&amp;"")="","NULL","'"&amp;SUBSTITUTE(TRIM(C439),"'","''")&amp;"'")&amp;", "&amp;IF(TRIM(D439&amp;"")="","NULL","'"&amp;SUBSTITUTE(TRIM(D439),"'","''")&amp;"'")&amp;", "&amp;IF(TRIM(E439&amp;"")="","NULL","'"&amp;SUBSTITUTE(TRIM(E439),"'","''")&amp;"'")&amp;", "&amp;IF(TRIM(F439&amp;"")="","NULL","(SELECT id FROM gen_departamento WHERE upper(nombre) = upper('"&amp;SUBSTITUTE(TRIM(F439),"'","''")&amp;"') AND estado = 1 LIMIT 1)")&amp;", "&amp;IF(OR(TRIM(F439&amp;"")="",TRIM(G439&amp;"")=""),"NULL","(SELECT p.id FROM gen_provincia p JOIN gen_departamento dp ON dp.id = p.id_departamento WHERE upper(p.nombre) = upper('"&amp;SUBSTITUTE(TRIM(G439),"'","''")&amp;"') AND upper(dp.nombre) = upper('"&amp;SUBSTITUTE(TRIM(F439),"'","''")&amp;"') AND p.estado = 1 LIMIT 1)")&amp;", "&amp;IF(OR(TRIM(F439&amp;"")="",TRIM(G439&amp;"")="",TRIM(H439&amp;"")=""),"NULL","(SELECT d.id FROM gen_distrito d JOIN gen_provincia p ON p.id = d.id_provincia JOIN gen_departamento dp ON dp.id = p.id_departamento WHERE upper(d.nombre) = upper('"&amp;SUBSTITUTE(TRIM(H439),"'","''")&amp;"') AND upper(p.nombre) = upper('"&amp;SUBSTITUTE(TRIM(G439),"'","''")&amp;"') AND upper(dp.nombre) = upper('"&amp;SUBSTITUTE(TRIM(F439),"'","''")&amp;"') AND d.estado = 1 LIMIT 1)")&amp;", "&amp;IF(I439&amp;""="","NULL",SUBSTITUTE(I439&amp;"",",","."))&amp;", "&amp;IF(J439&amp;""="","NULL",SUBSTITUTE(J439&amp;"",",","."))&amp;", "&amp;IF(UPPER(TRIM(K439&amp;""))="SI","TRUE","FALSE")&amp;", 1"&amp;" WHERE NOT EXISTS (SELECT 1 FROM cli_direcciones x WHERE x.id_cliente = "&amp;"(SELECT id FROM cli_clientes WHERE numero_documento = '"&amp;SUBSTITUTE(TRIM(A439),"'","''")&amp;"' AND estado = 1 LIMIT 1)"&amp;" AND upper(x.direccion) = upper("&amp;IF(TRIM(D439&amp;"")="","NULL","'"&amp;SUBSTITUTE(TRIM(D439),"'","''")&amp;"'")&amp;"));")</f>
        <v/>
      </c>
    </row>
    <row r="440" ht="15.75" customHeight="1" s="64">
      <c r="A440" s="23" t="n"/>
      <c r="B440" s="25">
        <f t="array" ref="B440">IF(A440="","",IFERROR(IF(INDEX(Clientes!$D$5:$D$549,MATCH(A440,Clientes!$C$5:$C$549,0))&lt;&gt;"",INDEX(Clientes!$D$5:$D$549,MATCH(A440,Clientes!$C$5:$C$549,0)),TRIM(INDEX(Clientes!$E$5:$E$549,MATCH(A440,Clientes!$C$5:$C$549,0))&amp;" "&amp;INDEX(Clientes!$F$5:$F$549,MATCH(A440,Clientes!$C$5:$C$549,0)))),"NO EXISTE en Clientes"))</f>
        <v/>
      </c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>
        <f>IF(AND(A440="",D440=""),"",IF(A440="","FALTA doc. cliente",IF(B440="NO EXISTE en Clientes","CLIENTE no está en hoja Clientes",IF(D440="","FALTA dirección",IF(AND(H440&lt;&gt;"",OR(F440="",G440="")),"Distrito requiere departamento y provincia",IF(AND(G440&lt;&gt;"",F440=""),"Provincia requiere departamento",IF((I440&lt;&gt;"")&lt;&gt;(J440&lt;&gt;""),"Latitud y longitud van juntas","OK")))))))</f>
        <v/>
      </c>
      <c r="M440" s="28">
        <f>IF(L440&lt;&gt;"OK","","INSERT INTO cli_direcciones (id_cliente, descripcion, direccion, referencia, id_departamento, id_provincia, id_distrito, latitud, longitud, es_principal, estado) SELECT "&amp;"(SELECT id FROM cli_clientes WHERE numero_documento = '"&amp;SUBSTITUTE(TRIM(A440),"'","''")&amp;"' AND estado = 1 LIMIT 1)"&amp;", "&amp;IF(TRIM(C440&amp;"")="","NULL","'"&amp;SUBSTITUTE(TRIM(C440),"'","''")&amp;"'")&amp;", "&amp;IF(TRIM(D440&amp;"")="","NULL","'"&amp;SUBSTITUTE(TRIM(D440),"'","''")&amp;"'")&amp;", "&amp;IF(TRIM(E440&amp;"")="","NULL","'"&amp;SUBSTITUTE(TRIM(E440),"'","''")&amp;"'")&amp;", "&amp;IF(TRIM(F440&amp;"")="","NULL","(SELECT id FROM gen_departamento WHERE upper(nombre) = upper('"&amp;SUBSTITUTE(TRIM(F440),"'","''")&amp;"') AND estado = 1 LIMIT 1)")&amp;", "&amp;IF(OR(TRIM(F440&amp;"")="",TRIM(G440&amp;"")=""),"NULL","(SELECT p.id FROM gen_provincia p JOIN gen_departamento dp ON dp.id = p.id_departamento WHERE upper(p.nombre) = upper('"&amp;SUBSTITUTE(TRIM(G440),"'","''")&amp;"') AND upper(dp.nombre) = upper('"&amp;SUBSTITUTE(TRIM(F440),"'","''")&amp;"') AND p.estado = 1 LIMIT 1)")&amp;", "&amp;IF(OR(TRIM(F440&amp;"")="",TRIM(G440&amp;"")="",TRIM(H440&amp;"")=""),"NULL","(SELECT d.id FROM gen_distrito d JOIN gen_provincia p ON p.id = d.id_provincia JOIN gen_departamento dp ON dp.id = p.id_departamento WHERE upper(d.nombre) = upper('"&amp;SUBSTITUTE(TRIM(H440),"'","''")&amp;"') AND upper(p.nombre) = upper('"&amp;SUBSTITUTE(TRIM(G440),"'","''")&amp;"') AND upper(dp.nombre) = upper('"&amp;SUBSTITUTE(TRIM(F440),"'","''")&amp;"') AND d.estado = 1 LIMIT 1)")&amp;", "&amp;IF(I440&amp;""="","NULL",SUBSTITUTE(I440&amp;"",",","."))&amp;", "&amp;IF(J440&amp;""="","NULL",SUBSTITUTE(J440&amp;"",",","."))&amp;", "&amp;IF(UPPER(TRIM(K440&amp;""))="SI","TRUE","FALSE")&amp;", 1"&amp;" WHERE NOT EXISTS (SELECT 1 FROM cli_direcciones x WHERE x.id_cliente = "&amp;"(SELECT id FROM cli_clientes WHERE numero_documento = '"&amp;SUBSTITUTE(TRIM(A440),"'","''")&amp;"' AND estado = 1 LIMIT 1)"&amp;" AND upper(x.direccion) = upper("&amp;IF(TRIM(D440&amp;"")="","NULL","'"&amp;SUBSTITUTE(TRIM(D440),"'","''")&amp;"'")&amp;"));")</f>
        <v/>
      </c>
    </row>
    <row r="441" ht="15.75" customHeight="1" s="64">
      <c r="A441" s="23" t="n"/>
      <c r="B441" s="25">
        <f t="array" ref="B441">IF(A441="","",IFERROR(IF(INDEX(Clientes!$D$5:$D$549,MATCH(A441,Clientes!$C$5:$C$549,0))&lt;&gt;"",INDEX(Clientes!$D$5:$D$549,MATCH(A441,Clientes!$C$5:$C$549,0)),TRIM(INDEX(Clientes!$E$5:$E$549,MATCH(A441,Clientes!$C$5:$C$549,0))&amp;" "&amp;INDEX(Clientes!$F$5:$F$549,MATCH(A441,Clientes!$C$5:$C$549,0)))),"NO EXISTE en Clientes"))</f>
        <v/>
      </c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>
        <f>IF(AND(A441="",D441=""),"",IF(A441="","FALTA doc. cliente",IF(B441="NO EXISTE en Clientes","CLIENTE no está en hoja Clientes",IF(D441="","FALTA dirección",IF(AND(H441&lt;&gt;"",OR(F441="",G441="")),"Distrito requiere departamento y provincia",IF(AND(G441&lt;&gt;"",F441=""),"Provincia requiere departamento",IF((I441&lt;&gt;"")&lt;&gt;(J441&lt;&gt;""),"Latitud y longitud van juntas","OK")))))))</f>
        <v/>
      </c>
      <c r="M441" s="28">
        <f>IF(L441&lt;&gt;"OK","","INSERT INTO cli_direcciones (id_cliente, descripcion, direccion, referencia, id_departamento, id_provincia, id_distrito, latitud, longitud, es_principal, estado) SELECT "&amp;"(SELECT id FROM cli_clientes WHERE numero_documento = '"&amp;SUBSTITUTE(TRIM(A441),"'","''")&amp;"' AND estado = 1 LIMIT 1)"&amp;", "&amp;IF(TRIM(C441&amp;"")="","NULL","'"&amp;SUBSTITUTE(TRIM(C441),"'","''")&amp;"'")&amp;", "&amp;IF(TRIM(D441&amp;"")="","NULL","'"&amp;SUBSTITUTE(TRIM(D441),"'","''")&amp;"'")&amp;", "&amp;IF(TRIM(E441&amp;"")="","NULL","'"&amp;SUBSTITUTE(TRIM(E441),"'","''")&amp;"'")&amp;", "&amp;IF(TRIM(F441&amp;"")="","NULL","(SELECT id FROM gen_departamento WHERE upper(nombre) = upper('"&amp;SUBSTITUTE(TRIM(F441),"'","''")&amp;"') AND estado = 1 LIMIT 1)")&amp;", "&amp;IF(OR(TRIM(F441&amp;"")="",TRIM(G441&amp;"")=""),"NULL","(SELECT p.id FROM gen_provincia p JOIN gen_departamento dp ON dp.id = p.id_departamento WHERE upper(p.nombre) = upper('"&amp;SUBSTITUTE(TRIM(G441),"'","''")&amp;"') AND upper(dp.nombre) = upper('"&amp;SUBSTITUTE(TRIM(F441),"'","''")&amp;"') AND p.estado = 1 LIMIT 1)")&amp;", "&amp;IF(OR(TRIM(F441&amp;"")="",TRIM(G441&amp;"")="",TRIM(H441&amp;"")=""),"NULL","(SELECT d.id FROM gen_distrito d JOIN gen_provincia p ON p.id = d.id_provincia JOIN gen_departamento dp ON dp.id = p.id_departamento WHERE upper(d.nombre) = upper('"&amp;SUBSTITUTE(TRIM(H441),"'","''")&amp;"') AND upper(p.nombre) = upper('"&amp;SUBSTITUTE(TRIM(G441),"'","''")&amp;"') AND upper(dp.nombre) = upper('"&amp;SUBSTITUTE(TRIM(F441),"'","''")&amp;"') AND d.estado = 1 LIMIT 1)")&amp;", "&amp;IF(I441&amp;""="","NULL",SUBSTITUTE(I441&amp;"",",","."))&amp;", "&amp;IF(J441&amp;""="","NULL",SUBSTITUTE(J441&amp;"",",","."))&amp;", "&amp;IF(UPPER(TRIM(K441&amp;""))="SI","TRUE","FALSE")&amp;", 1"&amp;" WHERE NOT EXISTS (SELECT 1 FROM cli_direcciones x WHERE x.id_cliente = "&amp;"(SELECT id FROM cli_clientes WHERE numero_documento = '"&amp;SUBSTITUTE(TRIM(A441),"'","''")&amp;"' AND estado = 1 LIMIT 1)"&amp;" AND upper(x.direccion) = upper("&amp;IF(TRIM(D441&amp;"")="","NULL","'"&amp;SUBSTITUTE(TRIM(D441),"'","''")&amp;"'")&amp;"));")</f>
        <v/>
      </c>
    </row>
    <row r="442" ht="15.75" customHeight="1" s="64">
      <c r="A442" s="23" t="n"/>
      <c r="B442" s="25">
        <f t="array" ref="B442">IF(A442="","",IFERROR(IF(INDEX(Clientes!$D$5:$D$549,MATCH(A442,Clientes!$C$5:$C$549,0))&lt;&gt;"",INDEX(Clientes!$D$5:$D$549,MATCH(A442,Clientes!$C$5:$C$549,0)),TRIM(INDEX(Clientes!$E$5:$E$549,MATCH(A442,Clientes!$C$5:$C$549,0))&amp;" "&amp;INDEX(Clientes!$F$5:$F$549,MATCH(A442,Clientes!$C$5:$C$549,0)))),"NO EXISTE en Clientes"))</f>
        <v/>
      </c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>
        <f>IF(AND(A442="",D442=""),"",IF(A442="","FALTA doc. cliente",IF(B442="NO EXISTE en Clientes","CLIENTE no está en hoja Clientes",IF(D442="","FALTA dirección",IF(AND(H442&lt;&gt;"",OR(F442="",G442="")),"Distrito requiere departamento y provincia",IF(AND(G442&lt;&gt;"",F442=""),"Provincia requiere departamento",IF((I442&lt;&gt;"")&lt;&gt;(J442&lt;&gt;""),"Latitud y longitud van juntas","OK")))))))</f>
        <v/>
      </c>
      <c r="M442" s="28">
        <f>IF(L442&lt;&gt;"OK","","INSERT INTO cli_direcciones (id_cliente, descripcion, direccion, referencia, id_departamento, id_provincia, id_distrito, latitud, longitud, es_principal, estado) SELECT "&amp;"(SELECT id FROM cli_clientes WHERE numero_documento = '"&amp;SUBSTITUTE(TRIM(A442),"'","''")&amp;"' AND estado = 1 LIMIT 1)"&amp;", "&amp;IF(TRIM(C442&amp;"")="","NULL","'"&amp;SUBSTITUTE(TRIM(C442),"'","''")&amp;"'")&amp;", "&amp;IF(TRIM(D442&amp;"")="","NULL","'"&amp;SUBSTITUTE(TRIM(D442),"'","''")&amp;"'")&amp;", "&amp;IF(TRIM(E442&amp;"")="","NULL","'"&amp;SUBSTITUTE(TRIM(E442),"'","''")&amp;"'")&amp;", "&amp;IF(TRIM(F442&amp;"")="","NULL","(SELECT id FROM gen_departamento WHERE upper(nombre) = upper('"&amp;SUBSTITUTE(TRIM(F442),"'","''")&amp;"') AND estado = 1 LIMIT 1)")&amp;", "&amp;IF(OR(TRIM(F442&amp;"")="",TRIM(G442&amp;"")=""),"NULL","(SELECT p.id FROM gen_provincia p JOIN gen_departamento dp ON dp.id = p.id_departamento WHERE upper(p.nombre) = upper('"&amp;SUBSTITUTE(TRIM(G442),"'","''")&amp;"') AND upper(dp.nombre) = upper('"&amp;SUBSTITUTE(TRIM(F442),"'","''")&amp;"') AND p.estado = 1 LIMIT 1)")&amp;", "&amp;IF(OR(TRIM(F442&amp;"")="",TRIM(G442&amp;"")="",TRIM(H442&amp;"")=""),"NULL","(SELECT d.id FROM gen_distrito d JOIN gen_provincia p ON p.id = d.id_provincia JOIN gen_departamento dp ON dp.id = p.id_departamento WHERE upper(d.nombre) = upper('"&amp;SUBSTITUTE(TRIM(H442),"'","''")&amp;"') AND upper(p.nombre) = upper('"&amp;SUBSTITUTE(TRIM(G442),"'","''")&amp;"') AND upper(dp.nombre) = upper('"&amp;SUBSTITUTE(TRIM(F442),"'","''")&amp;"') AND d.estado = 1 LIMIT 1)")&amp;", "&amp;IF(I442&amp;""="","NULL",SUBSTITUTE(I442&amp;"",",","."))&amp;", "&amp;IF(J442&amp;""="","NULL",SUBSTITUTE(J442&amp;"",",","."))&amp;", "&amp;IF(UPPER(TRIM(K442&amp;""))="SI","TRUE","FALSE")&amp;", 1"&amp;" WHERE NOT EXISTS (SELECT 1 FROM cli_direcciones x WHERE x.id_cliente = "&amp;"(SELECT id FROM cli_clientes WHERE numero_documento = '"&amp;SUBSTITUTE(TRIM(A442),"'","''")&amp;"' AND estado = 1 LIMIT 1)"&amp;" AND upper(x.direccion) = upper("&amp;IF(TRIM(D442&amp;"")="","NULL","'"&amp;SUBSTITUTE(TRIM(D442),"'","''")&amp;"'")&amp;"));")</f>
        <v/>
      </c>
    </row>
    <row r="443" ht="15.75" customHeight="1" s="64">
      <c r="A443" s="23" t="n"/>
      <c r="B443" s="25">
        <f t="array" ref="B443">IF(A443="","",IFERROR(IF(INDEX(Clientes!$D$5:$D$549,MATCH(A443,Clientes!$C$5:$C$549,0))&lt;&gt;"",INDEX(Clientes!$D$5:$D$549,MATCH(A443,Clientes!$C$5:$C$549,0)),TRIM(INDEX(Clientes!$E$5:$E$549,MATCH(A443,Clientes!$C$5:$C$549,0))&amp;" "&amp;INDEX(Clientes!$F$5:$F$549,MATCH(A443,Clientes!$C$5:$C$549,0)))),"NO EXISTE en Clientes"))</f>
        <v/>
      </c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>
        <f>IF(AND(A443="",D443=""),"",IF(A443="","FALTA doc. cliente",IF(B443="NO EXISTE en Clientes","CLIENTE no está en hoja Clientes",IF(D443="","FALTA dirección",IF(AND(H443&lt;&gt;"",OR(F443="",G443="")),"Distrito requiere departamento y provincia",IF(AND(G443&lt;&gt;"",F443=""),"Provincia requiere departamento",IF((I443&lt;&gt;"")&lt;&gt;(J443&lt;&gt;""),"Latitud y longitud van juntas","OK")))))))</f>
        <v/>
      </c>
      <c r="M443" s="28">
        <f>IF(L443&lt;&gt;"OK","","INSERT INTO cli_direcciones (id_cliente, descripcion, direccion, referencia, id_departamento, id_provincia, id_distrito, latitud, longitud, es_principal, estado) SELECT "&amp;"(SELECT id FROM cli_clientes WHERE numero_documento = '"&amp;SUBSTITUTE(TRIM(A443),"'","''")&amp;"' AND estado = 1 LIMIT 1)"&amp;", "&amp;IF(TRIM(C443&amp;"")="","NULL","'"&amp;SUBSTITUTE(TRIM(C443),"'","''")&amp;"'")&amp;", "&amp;IF(TRIM(D443&amp;"")="","NULL","'"&amp;SUBSTITUTE(TRIM(D443),"'","''")&amp;"'")&amp;", "&amp;IF(TRIM(E443&amp;"")="","NULL","'"&amp;SUBSTITUTE(TRIM(E443),"'","''")&amp;"'")&amp;", "&amp;IF(TRIM(F443&amp;"")="","NULL","(SELECT id FROM gen_departamento WHERE upper(nombre) = upper('"&amp;SUBSTITUTE(TRIM(F443),"'","''")&amp;"') AND estado = 1 LIMIT 1)")&amp;", "&amp;IF(OR(TRIM(F443&amp;"")="",TRIM(G443&amp;"")=""),"NULL","(SELECT p.id FROM gen_provincia p JOIN gen_departamento dp ON dp.id = p.id_departamento WHERE upper(p.nombre) = upper('"&amp;SUBSTITUTE(TRIM(G443),"'","''")&amp;"') AND upper(dp.nombre) = upper('"&amp;SUBSTITUTE(TRIM(F443),"'","''")&amp;"') AND p.estado = 1 LIMIT 1)")&amp;", "&amp;IF(OR(TRIM(F443&amp;"")="",TRIM(G443&amp;"")="",TRIM(H443&amp;"")=""),"NULL","(SELECT d.id FROM gen_distrito d JOIN gen_provincia p ON p.id = d.id_provincia JOIN gen_departamento dp ON dp.id = p.id_departamento WHERE upper(d.nombre) = upper('"&amp;SUBSTITUTE(TRIM(H443),"'","''")&amp;"') AND upper(p.nombre) = upper('"&amp;SUBSTITUTE(TRIM(G443),"'","''")&amp;"') AND upper(dp.nombre) = upper('"&amp;SUBSTITUTE(TRIM(F443),"'","''")&amp;"') AND d.estado = 1 LIMIT 1)")&amp;", "&amp;IF(I443&amp;""="","NULL",SUBSTITUTE(I443&amp;"",",","."))&amp;", "&amp;IF(J443&amp;""="","NULL",SUBSTITUTE(J443&amp;"",",","."))&amp;", "&amp;IF(UPPER(TRIM(K443&amp;""))="SI","TRUE","FALSE")&amp;", 1"&amp;" WHERE NOT EXISTS (SELECT 1 FROM cli_direcciones x WHERE x.id_cliente = "&amp;"(SELECT id FROM cli_clientes WHERE numero_documento = '"&amp;SUBSTITUTE(TRIM(A443),"'","''")&amp;"' AND estado = 1 LIMIT 1)"&amp;" AND upper(x.direccion) = upper("&amp;IF(TRIM(D443&amp;"")="","NULL","'"&amp;SUBSTITUTE(TRIM(D443),"'","''")&amp;"'")&amp;"));")</f>
        <v/>
      </c>
    </row>
    <row r="444" ht="15.75" customHeight="1" s="64">
      <c r="A444" s="23" t="n"/>
      <c r="B444" s="25">
        <f t="array" ref="B444">IF(A444="","",IFERROR(IF(INDEX(Clientes!$D$5:$D$549,MATCH(A444,Clientes!$C$5:$C$549,0))&lt;&gt;"",INDEX(Clientes!$D$5:$D$549,MATCH(A444,Clientes!$C$5:$C$549,0)),TRIM(INDEX(Clientes!$E$5:$E$549,MATCH(A444,Clientes!$C$5:$C$549,0))&amp;" "&amp;INDEX(Clientes!$F$5:$F$549,MATCH(A444,Clientes!$C$5:$C$549,0)))),"NO EXISTE en Clientes"))</f>
        <v/>
      </c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>
        <f>IF(AND(A444="",D444=""),"",IF(A444="","FALTA doc. cliente",IF(B444="NO EXISTE en Clientes","CLIENTE no está en hoja Clientes",IF(D444="","FALTA dirección",IF(AND(H444&lt;&gt;"",OR(F444="",G444="")),"Distrito requiere departamento y provincia",IF(AND(G444&lt;&gt;"",F444=""),"Provincia requiere departamento",IF((I444&lt;&gt;"")&lt;&gt;(J444&lt;&gt;""),"Latitud y longitud van juntas","OK")))))))</f>
        <v/>
      </c>
      <c r="M444" s="28">
        <f>IF(L444&lt;&gt;"OK","","INSERT INTO cli_direcciones (id_cliente, descripcion, direccion, referencia, id_departamento, id_provincia, id_distrito, latitud, longitud, es_principal, estado) SELECT "&amp;"(SELECT id FROM cli_clientes WHERE numero_documento = '"&amp;SUBSTITUTE(TRIM(A444),"'","''")&amp;"' AND estado = 1 LIMIT 1)"&amp;", "&amp;IF(TRIM(C444&amp;"")="","NULL","'"&amp;SUBSTITUTE(TRIM(C444),"'","''")&amp;"'")&amp;", "&amp;IF(TRIM(D444&amp;"")="","NULL","'"&amp;SUBSTITUTE(TRIM(D444),"'","''")&amp;"'")&amp;", "&amp;IF(TRIM(E444&amp;"")="","NULL","'"&amp;SUBSTITUTE(TRIM(E444),"'","''")&amp;"'")&amp;", "&amp;IF(TRIM(F444&amp;"")="","NULL","(SELECT id FROM gen_departamento WHERE upper(nombre) = upper('"&amp;SUBSTITUTE(TRIM(F444),"'","''")&amp;"') AND estado = 1 LIMIT 1)")&amp;", "&amp;IF(OR(TRIM(F444&amp;"")="",TRIM(G444&amp;"")=""),"NULL","(SELECT p.id FROM gen_provincia p JOIN gen_departamento dp ON dp.id = p.id_departamento WHERE upper(p.nombre) = upper('"&amp;SUBSTITUTE(TRIM(G444),"'","''")&amp;"') AND upper(dp.nombre) = upper('"&amp;SUBSTITUTE(TRIM(F444),"'","''")&amp;"') AND p.estado = 1 LIMIT 1)")&amp;", "&amp;IF(OR(TRIM(F444&amp;"")="",TRIM(G444&amp;"")="",TRIM(H444&amp;"")=""),"NULL","(SELECT d.id FROM gen_distrito d JOIN gen_provincia p ON p.id = d.id_provincia JOIN gen_departamento dp ON dp.id = p.id_departamento WHERE upper(d.nombre) = upper('"&amp;SUBSTITUTE(TRIM(H444),"'","''")&amp;"') AND upper(p.nombre) = upper('"&amp;SUBSTITUTE(TRIM(G444),"'","''")&amp;"') AND upper(dp.nombre) = upper('"&amp;SUBSTITUTE(TRIM(F444),"'","''")&amp;"') AND d.estado = 1 LIMIT 1)")&amp;", "&amp;IF(I444&amp;""="","NULL",SUBSTITUTE(I444&amp;"",",","."))&amp;", "&amp;IF(J444&amp;""="","NULL",SUBSTITUTE(J444&amp;"",",","."))&amp;", "&amp;IF(UPPER(TRIM(K444&amp;""))="SI","TRUE","FALSE")&amp;", 1"&amp;" WHERE NOT EXISTS (SELECT 1 FROM cli_direcciones x WHERE x.id_cliente = "&amp;"(SELECT id FROM cli_clientes WHERE numero_documento = '"&amp;SUBSTITUTE(TRIM(A444),"'","''")&amp;"' AND estado = 1 LIMIT 1)"&amp;" AND upper(x.direccion) = upper("&amp;IF(TRIM(D444&amp;"")="","NULL","'"&amp;SUBSTITUTE(TRIM(D444),"'","''")&amp;"'")&amp;"));")</f>
        <v/>
      </c>
    </row>
    <row r="445" ht="15.75" customHeight="1" s="64">
      <c r="A445" s="23" t="n"/>
      <c r="B445" s="25">
        <f t="array" ref="B445">IF(A445="","",IFERROR(IF(INDEX(Clientes!$D$5:$D$549,MATCH(A445,Clientes!$C$5:$C$549,0))&lt;&gt;"",INDEX(Clientes!$D$5:$D$549,MATCH(A445,Clientes!$C$5:$C$549,0)),TRIM(INDEX(Clientes!$E$5:$E$549,MATCH(A445,Clientes!$C$5:$C$549,0))&amp;" "&amp;INDEX(Clientes!$F$5:$F$549,MATCH(A445,Clientes!$C$5:$C$549,0)))),"NO EXISTE en Clientes"))</f>
        <v/>
      </c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>
        <f>IF(AND(A445="",D445=""),"",IF(A445="","FALTA doc. cliente",IF(B445="NO EXISTE en Clientes","CLIENTE no está en hoja Clientes",IF(D445="","FALTA dirección",IF(AND(H445&lt;&gt;"",OR(F445="",G445="")),"Distrito requiere departamento y provincia",IF(AND(G445&lt;&gt;"",F445=""),"Provincia requiere departamento",IF((I445&lt;&gt;"")&lt;&gt;(J445&lt;&gt;""),"Latitud y longitud van juntas","OK")))))))</f>
        <v/>
      </c>
      <c r="M445" s="28">
        <f>IF(L445&lt;&gt;"OK","","INSERT INTO cli_direcciones (id_cliente, descripcion, direccion, referencia, id_departamento, id_provincia, id_distrito, latitud, longitud, es_principal, estado) SELECT "&amp;"(SELECT id FROM cli_clientes WHERE numero_documento = '"&amp;SUBSTITUTE(TRIM(A445),"'","''")&amp;"' AND estado = 1 LIMIT 1)"&amp;", "&amp;IF(TRIM(C445&amp;"")="","NULL","'"&amp;SUBSTITUTE(TRIM(C445),"'","''")&amp;"'")&amp;", "&amp;IF(TRIM(D445&amp;"")="","NULL","'"&amp;SUBSTITUTE(TRIM(D445),"'","''")&amp;"'")&amp;", "&amp;IF(TRIM(E445&amp;"")="","NULL","'"&amp;SUBSTITUTE(TRIM(E445),"'","''")&amp;"'")&amp;", "&amp;IF(TRIM(F445&amp;"")="","NULL","(SELECT id FROM gen_departamento WHERE upper(nombre) = upper('"&amp;SUBSTITUTE(TRIM(F445),"'","''")&amp;"') AND estado = 1 LIMIT 1)")&amp;", "&amp;IF(OR(TRIM(F445&amp;"")="",TRIM(G445&amp;"")=""),"NULL","(SELECT p.id FROM gen_provincia p JOIN gen_departamento dp ON dp.id = p.id_departamento WHERE upper(p.nombre) = upper('"&amp;SUBSTITUTE(TRIM(G445),"'","''")&amp;"') AND upper(dp.nombre) = upper('"&amp;SUBSTITUTE(TRIM(F445),"'","''")&amp;"') AND p.estado = 1 LIMIT 1)")&amp;", "&amp;IF(OR(TRIM(F445&amp;"")="",TRIM(G445&amp;"")="",TRIM(H445&amp;"")=""),"NULL","(SELECT d.id FROM gen_distrito d JOIN gen_provincia p ON p.id = d.id_provincia JOIN gen_departamento dp ON dp.id = p.id_departamento WHERE upper(d.nombre) = upper('"&amp;SUBSTITUTE(TRIM(H445),"'","''")&amp;"') AND upper(p.nombre) = upper('"&amp;SUBSTITUTE(TRIM(G445),"'","''")&amp;"') AND upper(dp.nombre) = upper('"&amp;SUBSTITUTE(TRIM(F445),"'","''")&amp;"') AND d.estado = 1 LIMIT 1)")&amp;", "&amp;IF(I445&amp;""="","NULL",SUBSTITUTE(I445&amp;"",",","."))&amp;", "&amp;IF(J445&amp;""="","NULL",SUBSTITUTE(J445&amp;"",",","."))&amp;", "&amp;IF(UPPER(TRIM(K445&amp;""))="SI","TRUE","FALSE")&amp;", 1"&amp;" WHERE NOT EXISTS (SELECT 1 FROM cli_direcciones x WHERE x.id_cliente = "&amp;"(SELECT id FROM cli_clientes WHERE numero_documento = '"&amp;SUBSTITUTE(TRIM(A445),"'","''")&amp;"' AND estado = 1 LIMIT 1)"&amp;" AND upper(x.direccion) = upper("&amp;IF(TRIM(D445&amp;"")="","NULL","'"&amp;SUBSTITUTE(TRIM(D445),"'","''")&amp;"'")&amp;"));")</f>
        <v/>
      </c>
    </row>
    <row r="446" ht="15.75" customHeight="1" s="64">
      <c r="A446" s="23" t="n"/>
      <c r="B446" s="25">
        <f t="array" ref="B446">IF(A446="","",IFERROR(IF(INDEX(Clientes!$D$5:$D$549,MATCH(A446,Clientes!$C$5:$C$549,0))&lt;&gt;"",INDEX(Clientes!$D$5:$D$549,MATCH(A446,Clientes!$C$5:$C$549,0)),TRIM(INDEX(Clientes!$E$5:$E$549,MATCH(A446,Clientes!$C$5:$C$549,0))&amp;" "&amp;INDEX(Clientes!$F$5:$F$549,MATCH(A446,Clientes!$C$5:$C$549,0)))),"NO EXISTE en Clientes"))</f>
        <v/>
      </c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>
        <f>IF(AND(A446="",D446=""),"",IF(A446="","FALTA doc. cliente",IF(B446="NO EXISTE en Clientes","CLIENTE no está en hoja Clientes",IF(D446="","FALTA dirección",IF(AND(H446&lt;&gt;"",OR(F446="",G446="")),"Distrito requiere departamento y provincia",IF(AND(G446&lt;&gt;"",F446=""),"Provincia requiere departamento",IF((I446&lt;&gt;"")&lt;&gt;(J446&lt;&gt;""),"Latitud y longitud van juntas","OK")))))))</f>
        <v/>
      </c>
      <c r="M446" s="28">
        <f>IF(L446&lt;&gt;"OK","","INSERT INTO cli_direcciones (id_cliente, descripcion, direccion, referencia, id_departamento, id_provincia, id_distrito, latitud, longitud, es_principal, estado) SELECT "&amp;"(SELECT id FROM cli_clientes WHERE numero_documento = '"&amp;SUBSTITUTE(TRIM(A446),"'","''")&amp;"' AND estado = 1 LIMIT 1)"&amp;", "&amp;IF(TRIM(C446&amp;"")="","NULL","'"&amp;SUBSTITUTE(TRIM(C446),"'","''")&amp;"'")&amp;", "&amp;IF(TRIM(D446&amp;"")="","NULL","'"&amp;SUBSTITUTE(TRIM(D446),"'","''")&amp;"'")&amp;", "&amp;IF(TRIM(E446&amp;"")="","NULL","'"&amp;SUBSTITUTE(TRIM(E446),"'","''")&amp;"'")&amp;", "&amp;IF(TRIM(F446&amp;"")="","NULL","(SELECT id FROM gen_departamento WHERE upper(nombre) = upper('"&amp;SUBSTITUTE(TRIM(F446),"'","''")&amp;"') AND estado = 1 LIMIT 1)")&amp;", "&amp;IF(OR(TRIM(F446&amp;"")="",TRIM(G446&amp;"")=""),"NULL","(SELECT p.id FROM gen_provincia p JOIN gen_departamento dp ON dp.id = p.id_departamento WHERE upper(p.nombre) = upper('"&amp;SUBSTITUTE(TRIM(G446),"'","''")&amp;"') AND upper(dp.nombre) = upper('"&amp;SUBSTITUTE(TRIM(F446),"'","''")&amp;"') AND p.estado = 1 LIMIT 1)")&amp;", "&amp;IF(OR(TRIM(F446&amp;"")="",TRIM(G446&amp;"")="",TRIM(H446&amp;"")=""),"NULL","(SELECT d.id FROM gen_distrito d JOIN gen_provincia p ON p.id = d.id_provincia JOIN gen_departamento dp ON dp.id = p.id_departamento WHERE upper(d.nombre) = upper('"&amp;SUBSTITUTE(TRIM(H446),"'","''")&amp;"') AND upper(p.nombre) = upper('"&amp;SUBSTITUTE(TRIM(G446),"'","''")&amp;"') AND upper(dp.nombre) = upper('"&amp;SUBSTITUTE(TRIM(F446),"'","''")&amp;"') AND d.estado = 1 LIMIT 1)")&amp;", "&amp;IF(I446&amp;""="","NULL",SUBSTITUTE(I446&amp;"",",","."))&amp;", "&amp;IF(J446&amp;""="","NULL",SUBSTITUTE(J446&amp;"",",","."))&amp;", "&amp;IF(UPPER(TRIM(K446&amp;""))="SI","TRUE","FALSE")&amp;", 1"&amp;" WHERE NOT EXISTS (SELECT 1 FROM cli_direcciones x WHERE x.id_cliente = "&amp;"(SELECT id FROM cli_clientes WHERE numero_documento = '"&amp;SUBSTITUTE(TRIM(A446),"'","''")&amp;"' AND estado = 1 LIMIT 1)"&amp;" AND upper(x.direccion) = upper("&amp;IF(TRIM(D446&amp;"")="","NULL","'"&amp;SUBSTITUTE(TRIM(D446),"'","''")&amp;"'")&amp;"));")</f>
        <v/>
      </c>
    </row>
    <row r="447" ht="15.75" customHeight="1" s="64">
      <c r="A447" s="23" t="n"/>
      <c r="B447" s="25">
        <f t="array" ref="B447">IF(A447="","",IFERROR(IF(INDEX(Clientes!$D$5:$D$549,MATCH(A447,Clientes!$C$5:$C$549,0))&lt;&gt;"",INDEX(Clientes!$D$5:$D$549,MATCH(A447,Clientes!$C$5:$C$549,0)),TRIM(INDEX(Clientes!$E$5:$E$549,MATCH(A447,Clientes!$C$5:$C$549,0))&amp;" "&amp;INDEX(Clientes!$F$5:$F$549,MATCH(A447,Clientes!$C$5:$C$549,0)))),"NO EXISTE en Clientes"))</f>
        <v/>
      </c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>
        <f>IF(AND(A447="",D447=""),"",IF(A447="","FALTA doc. cliente",IF(B447="NO EXISTE en Clientes","CLIENTE no está en hoja Clientes",IF(D447="","FALTA dirección",IF(AND(H447&lt;&gt;"",OR(F447="",G447="")),"Distrito requiere departamento y provincia",IF(AND(G447&lt;&gt;"",F447=""),"Provincia requiere departamento",IF((I447&lt;&gt;"")&lt;&gt;(J447&lt;&gt;""),"Latitud y longitud van juntas","OK")))))))</f>
        <v/>
      </c>
      <c r="M447" s="28">
        <f>IF(L447&lt;&gt;"OK","","INSERT INTO cli_direcciones (id_cliente, descripcion, direccion, referencia, id_departamento, id_provincia, id_distrito, latitud, longitud, es_principal, estado) SELECT "&amp;"(SELECT id FROM cli_clientes WHERE numero_documento = '"&amp;SUBSTITUTE(TRIM(A447),"'","''")&amp;"' AND estado = 1 LIMIT 1)"&amp;", "&amp;IF(TRIM(C447&amp;"")="","NULL","'"&amp;SUBSTITUTE(TRIM(C447),"'","''")&amp;"'")&amp;", "&amp;IF(TRIM(D447&amp;"")="","NULL","'"&amp;SUBSTITUTE(TRIM(D447),"'","''")&amp;"'")&amp;", "&amp;IF(TRIM(E447&amp;"")="","NULL","'"&amp;SUBSTITUTE(TRIM(E447),"'","''")&amp;"'")&amp;", "&amp;IF(TRIM(F447&amp;"")="","NULL","(SELECT id FROM gen_departamento WHERE upper(nombre) = upper('"&amp;SUBSTITUTE(TRIM(F447),"'","''")&amp;"') AND estado = 1 LIMIT 1)")&amp;", "&amp;IF(OR(TRIM(F447&amp;"")="",TRIM(G447&amp;"")=""),"NULL","(SELECT p.id FROM gen_provincia p JOIN gen_departamento dp ON dp.id = p.id_departamento WHERE upper(p.nombre) = upper('"&amp;SUBSTITUTE(TRIM(G447),"'","''")&amp;"') AND upper(dp.nombre) = upper('"&amp;SUBSTITUTE(TRIM(F447),"'","''")&amp;"') AND p.estado = 1 LIMIT 1)")&amp;", "&amp;IF(OR(TRIM(F447&amp;"")="",TRIM(G447&amp;"")="",TRIM(H447&amp;"")=""),"NULL","(SELECT d.id FROM gen_distrito d JOIN gen_provincia p ON p.id = d.id_provincia JOIN gen_departamento dp ON dp.id = p.id_departamento WHERE upper(d.nombre) = upper('"&amp;SUBSTITUTE(TRIM(H447),"'","''")&amp;"') AND upper(p.nombre) = upper('"&amp;SUBSTITUTE(TRIM(G447),"'","''")&amp;"') AND upper(dp.nombre) = upper('"&amp;SUBSTITUTE(TRIM(F447),"'","''")&amp;"') AND d.estado = 1 LIMIT 1)")&amp;", "&amp;IF(I447&amp;""="","NULL",SUBSTITUTE(I447&amp;"",",","."))&amp;", "&amp;IF(J447&amp;""="","NULL",SUBSTITUTE(J447&amp;"",",","."))&amp;", "&amp;IF(UPPER(TRIM(K447&amp;""))="SI","TRUE","FALSE")&amp;", 1"&amp;" WHERE NOT EXISTS (SELECT 1 FROM cli_direcciones x WHERE x.id_cliente = "&amp;"(SELECT id FROM cli_clientes WHERE numero_documento = '"&amp;SUBSTITUTE(TRIM(A447),"'","''")&amp;"' AND estado = 1 LIMIT 1)"&amp;" AND upper(x.direccion) = upper("&amp;IF(TRIM(D447&amp;"")="","NULL","'"&amp;SUBSTITUTE(TRIM(D447),"'","''")&amp;"'")&amp;"));")</f>
        <v/>
      </c>
    </row>
    <row r="448" ht="15.75" customHeight="1" s="64">
      <c r="A448" s="23" t="n"/>
      <c r="B448" s="25">
        <f t="array" ref="B448">IF(A448="","",IFERROR(IF(INDEX(Clientes!$D$5:$D$549,MATCH(A448,Clientes!$C$5:$C$549,0))&lt;&gt;"",INDEX(Clientes!$D$5:$D$549,MATCH(A448,Clientes!$C$5:$C$549,0)),TRIM(INDEX(Clientes!$E$5:$E$549,MATCH(A448,Clientes!$C$5:$C$549,0))&amp;" "&amp;INDEX(Clientes!$F$5:$F$549,MATCH(A448,Clientes!$C$5:$C$549,0)))),"NO EXISTE en Clientes"))</f>
        <v/>
      </c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>
        <f>IF(AND(A448="",D448=""),"",IF(A448="","FALTA doc. cliente",IF(B448="NO EXISTE en Clientes","CLIENTE no está en hoja Clientes",IF(D448="","FALTA dirección",IF(AND(H448&lt;&gt;"",OR(F448="",G448="")),"Distrito requiere departamento y provincia",IF(AND(G448&lt;&gt;"",F448=""),"Provincia requiere departamento",IF((I448&lt;&gt;"")&lt;&gt;(J448&lt;&gt;""),"Latitud y longitud van juntas","OK")))))))</f>
        <v/>
      </c>
      <c r="M448" s="28">
        <f>IF(L448&lt;&gt;"OK","","INSERT INTO cli_direcciones (id_cliente, descripcion, direccion, referencia, id_departamento, id_provincia, id_distrito, latitud, longitud, es_principal, estado) SELECT "&amp;"(SELECT id FROM cli_clientes WHERE numero_documento = '"&amp;SUBSTITUTE(TRIM(A448),"'","''")&amp;"' AND estado = 1 LIMIT 1)"&amp;", "&amp;IF(TRIM(C448&amp;"")="","NULL","'"&amp;SUBSTITUTE(TRIM(C448),"'","''")&amp;"'")&amp;", "&amp;IF(TRIM(D448&amp;"")="","NULL","'"&amp;SUBSTITUTE(TRIM(D448),"'","''")&amp;"'")&amp;", "&amp;IF(TRIM(E448&amp;"")="","NULL","'"&amp;SUBSTITUTE(TRIM(E448),"'","''")&amp;"'")&amp;", "&amp;IF(TRIM(F448&amp;"")="","NULL","(SELECT id FROM gen_departamento WHERE upper(nombre) = upper('"&amp;SUBSTITUTE(TRIM(F448),"'","''")&amp;"') AND estado = 1 LIMIT 1)")&amp;", "&amp;IF(OR(TRIM(F448&amp;"")="",TRIM(G448&amp;"")=""),"NULL","(SELECT p.id FROM gen_provincia p JOIN gen_departamento dp ON dp.id = p.id_departamento WHERE upper(p.nombre) = upper('"&amp;SUBSTITUTE(TRIM(G448),"'","''")&amp;"') AND upper(dp.nombre) = upper('"&amp;SUBSTITUTE(TRIM(F448),"'","''")&amp;"') AND p.estado = 1 LIMIT 1)")&amp;", "&amp;IF(OR(TRIM(F448&amp;"")="",TRIM(G448&amp;"")="",TRIM(H448&amp;"")=""),"NULL","(SELECT d.id FROM gen_distrito d JOIN gen_provincia p ON p.id = d.id_provincia JOIN gen_departamento dp ON dp.id = p.id_departamento WHERE upper(d.nombre) = upper('"&amp;SUBSTITUTE(TRIM(H448),"'","''")&amp;"') AND upper(p.nombre) = upper('"&amp;SUBSTITUTE(TRIM(G448),"'","''")&amp;"') AND upper(dp.nombre) = upper('"&amp;SUBSTITUTE(TRIM(F448),"'","''")&amp;"') AND d.estado = 1 LIMIT 1)")&amp;", "&amp;IF(I448&amp;""="","NULL",SUBSTITUTE(I448&amp;"",",","."))&amp;", "&amp;IF(J448&amp;""="","NULL",SUBSTITUTE(J448&amp;"",",","."))&amp;", "&amp;IF(UPPER(TRIM(K448&amp;""))="SI","TRUE","FALSE")&amp;", 1"&amp;" WHERE NOT EXISTS (SELECT 1 FROM cli_direcciones x WHERE x.id_cliente = "&amp;"(SELECT id FROM cli_clientes WHERE numero_documento = '"&amp;SUBSTITUTE(TRIM(A448),"'","''")&amp;"' AND estado = 1 LIMIT 1)"&amp;" AND upper(x.direccion) = upper("&amp;IF(TRIM(D448&amp;"")="","NULL","'"&amp;SUBSTITUTE(TRIM(D448),"'","''")&amp;"'")&amp;"));")</f>
        <v/>
      </c>
    </row>
    <row r="449" ht="15.75" customHeight="1" s="64">
      <c r="A449" s="23" t="n"/>
      <c r="B449" s="25">
        <f t="array" ref="B449">IF(A449="","",IFERROR(IF(INDEX(Clientes!$D$5:$D$549,MATCH(A449,Clientes!$C$5:$C$549,0))&lt;&gt;"",INDEX(Clientes!$D$5:$D$549,MATCH(A449,Clientes!$C$5:$C$549,0)),TRIM(INDEX(Clientes!$E$5:$E$549,MATCH(A449,Clientes!$C$5:$C$549,0))&amp;" "&amp;INDEX(Clientes!$F$5:$F$549,MATCH(A449,Clientes!$C$5:$C$549,0)))),"NO EXISTE en Clientes"))</f>
        <v/>
      </c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>
        <f>IF(AND(A449="",D449=""),"",IF(A449="","FALTA doc. cliente",IF(B449="NO EXISTE en Clientes","CLIENTE no está en hoja Clientes",IF(D449="","FALTA dirección",IF(AND(H449&lt;&gt;"",OR(F449="",G449="")),"Distrito requiere departamento y provincia",IF(AND(G449&lt;&gt;"",F449=""),"Provincia requiere departamento",IF((I449&lt;&gt;"")&lt;&gt;(J449&lt;&gt;""),"Latitud y longitud van juntas","OK")))))))</f>
        <v/>
      </c>
      <c r="M449" s="28">
        <f>IF(L449&lt;&gt;"OK","","INSERT INTO cli_direcciones (id_cliente, descripcion, direccion, referencia, id_departamento, id_provincia, id_distrito, latitud, longitud, es_principal, estado) SELECT "&amp;"(SELECT id FROM cli_clientes WHERE numero_documento = '"&amp;SUBSTITUTE(TRIM(A449),"'","''")&amp;"' AND estado = 1 LIMIT 1)"&amp;", "&amp;IF(TRIM(C449&amp;"")="","NULL","'"&amp;SUBSTITUTE(TRIM(C449),"'","''")&amp;"'")&amp;", "&amp;IF(TRIM(D449&amp;"")="","NULL","'"&amp;SUBSTITUTE(TRIM(D449),"'","''")&amp;"'")&amp;", "&amp;IF(TRIM(E449&amp;"")="","NULL","'"&amp;SUBSTITUTE(TRIM(E449),"'","''")&amp;"'")&amp;", "&amp;IF(TRIM(F449&amp;"")="","NULL","(SELECT id FROM gen_departamento WHERE upper(nombre) = upper('"&amp;SUBSTITUTE(TRIM(F449),"'","''")&amp;"') AND estado = 1 LIMIT 1)")&amp;", "&amp;IF(OR(TRIM(F449&amp;"")="",TRIM(G449&amp;"")=""),"NULL","(SELECT p.id FROM gen_provincia p JOIN gen_departamento dp ON dp.id = p.id_departamento WHERE upper(p.nombre) = upper('"&amp;SUBSTITUTE(TRIM(G449),"'","''")&amp;"') AND upper(dp.nombre) = upper('"&amp;SUBSTITUTE(TRIM(F449),"'","''")&amp;"') AND p.estado = 1 LIMIT 1)")&amp;", "&amp;IF(OR(TRIM(F449&amp;"")="",TRIM(G449&amp;"")="",TRIM(H449&amp;"")=""),"NULL","(SELECT d.id FROM gen_distrito d JOIN gen_provincia p ON p.id = d.id_provincia JOIN gen_departamento dp ON dp.id = p.id_departamento WHERE upper(d.nombre) = upper('"&amp;SUBSTITUTE(TRIM(H449),"'","''")&amp;"') AND upper(p.nombre) = upper('"&amp;SUBSTITUTE(TRIM(G449),"'","''")&amp;"') AND upper(dp.nombre) = upper('"&amp;SUBSTITUTE(TRIM(F449),"'","''")&amp;"') AND d.estado = 1 LIMIT 1)")&amp;", "&amp;IF(I449&amp;""="","NULL",SUBSTITUTE(I449&amp;"",",","."))&amp;", "&amp;IF(J449&amp;""="","NULL",SUBSTITUTE(J449&amp;"",",","."))&amp;", "&amp;IF(UPPER(TRIM(K449&amp;""))="SI","TRUE","FALSE")&amp;", 1"&amp;" WHERE NOT EXISTS (SELECT 1 FROM cli_direcciones x WHERE x.id_cliente = "&amp;"(SELECT id FROM cli_clientes WHERE numero_documento = '"&amp;SUBSTITUTE(TRIM(A449),"'","''")&amp;"' AND estado = 1 LIMIT 1)"&amp;" AND upper(x.direccion) = upper("&amp;IF(TRIM(D449&amp;"")="","NULL","'"&amp;SUBSTITUTE(TRIM(D449),"'","''")&amp;"'")&amp;"));")</f>
        <v/>
      </c>
    </row>
    <row r="450" ht="15.75" customHeight="1" s="64">
      <c r="A450" s="23" t="n"/>
      <c r="B450" s="25">
        <f t="array" ref="B450">IF(A450="","",IFERROR(IF(INDEX(Clientes!$D$5:$D$549,MATCH(A450,Clientes!$C$5:$C$549,0))&lt;&gt;"",INDEX(Clientes!$D$5:$D$549,MATCH(A450,Clientes!$C$5:$C$549,0)),TRIM(INDEX(Clientes!$E$5:$E$549,MATCH(A450,Clientes!$C$5:$C$549,0))&amp;" "&amp;INDEX(Clientes!$F$5:$F$549,MATCH(A450,Clientes!$C$5:$C$549,0)))),"NO EXISTE en Clientes"))</f>
        <v/>
      </c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>
        <f>IF(AND(A450="",D450=""),"",IF(A450="","FALTA doc. cliente",IF(B450="NO EXISTE en Clientes","CLIENTE no está en hoja Clientes",IF(D450="","FALTA dirección",IF(AND(H450&lt;&gt;"",OR(F450="",G450="")),"Distrito requiere departamento y provincia",IF(AND(G450&lt;&gt;"",F450=""),"Provincia requiere departamento",IF((I450&lt;&gt;"")&lt;&gt;(J450&lt;&gt;""),"Latitud y longitud van juntas","OK")))))))</f>
        <v/>
      </c>
      <c r="M450" s="28">
        <f>IF(L450&lt;&gt;"OK","","INSERT INTO cli_direcciones (id_cliente, descripcion, direccion, referencia, id_departamento, id_provincia, id_distrito, latitud, longitud, es_principal, estado) SELECT "&amp;"(SELECT id FROM cli_clientes WHERE numero_documento = '"&amp;SUBSTITUTE(TRIM(A450),"'","''")&amp;"' AND estado = 1 LIMIT 1)"&amp;", "&amp;IF(TRIM(C450&amp;"")="","NULL","'"&amp;SUBSTITUTE(TRIM(C450),"'","''")&amp;"'")&amp;", "&amp;IF(TRIM(D450&amp;"")="","NULL","'"&amp;SUBSTITUTE(TRIM(D450),"'","''")&amp;"'")&amp;", "&amp;IF(TRIM(E450&amp;"")="","NULL","'"&amp;SUBSTITUTE(TRIM(E450),"'","''")&amp;"'")&amp;", "&amp;IF(TRIM(F450&amp;"")="","NULL","(SELECT id FROM gen_departamento WHERE upper(nombre) = upper('"&amp;SUBSTITUTE(TRIM(F450),"'","''")&amp;"') AND estado = 1 LIMIT 1)")&amp;", "&amp;IF(OR(TRIM(F450&amp;"")="",TRIM(G450&amp;"")=""),"NULL","(SELECT p.id FROM gen_provincia p JOIN gen_departamento dp ON dp.id = p.id_departamento WHERE upper(p.nombre) = upper('"&amp;SUBSTITUTE(TRIM(G450),"'","''")&amp;"') AND upper(dp.nombre) = upper('"&amp;SUBSTITUTE(TRIM(F450),"'","''")&amp;"') AND p.estado = 1 LIMIT 1)")&amp;", "&amp;IF(OR(TRIM(F450&amp;"")="",TRIM(G450&amp;"")="",TRIM(H450&amp;"")=""),"NULL","(SELECT d.id FROM gen_distrito d JOIN gen_provincia p ON p.id = d.id_provincia JOIN gen_departamento dp ON dp.id = p.id_departamento WHERE upper(d.nombre) = upper('"&amp;SUBSTITUTE(TRIM(H450),"'","''")&amp;"') AND upper(p.nombre) = upper('"&amp;SUBSTITUTE(TRIM(G450),"'","''")&amp;"') AND upper(dp.nombre) = upper('"&amp;SUBSTITUTE(TRIM(F450),"'","''")&amp;"') AND d.estado = 1 LIMIT 1)")&amp;", "&amp;IF(I450&amp;""="","NULL",SUBSTITUTE(I450&amp;"",",","."))&amp;", "&amp;IF(J450&amp;""="","NULL",SUBSTITUTE(J450&amp;"",",","."))&amp;", "&amp;IF(UPPER(TRIM(K450&amp;""))="SI","TRUE","FALSE")&amp;", 1"&amp;" WHERE NOT EXISTS (SELECT 1 FROM cli_direcciones x WHERE x.id_cliente = "&amp;"(SELECT id FROM cli_clientes WHERE numero_documento = '"&amp;SUBSTITUTE(TRIM(A450),"'","''")&amp;"' AND estado = 1 LIMIT 1)"&amp;" AND upper(x.direccion) = upper("&amp;IF(TRIM(D450&amp;"")="","NULL","'"&amp;SUBSTITUTE(TRIM(D450),"'","''")&amp;"'")&amp;"));")</f>
        <v/>
      </c>
    </row>
    <row r="451" ht="15.75" customHeight="1" s="64">
      <c r="A451" s="23" t="n"/>
      <c r="B451" s="25">
        <f t="array" ref="B451">IF(A451="","",IFERROR(IF(INDEX(Clientes!$D$5:$D$549,MATCH(A451,Clientes!$C$5:$C$549,0))&lt;&gt;"",INDEX(Clientes!$D$5:$D$549,MATCH(A451,Clientes!$C$5:$C$549,0)),TRIM(INDEX(Clientes!$E$5:$E$549,MATCH(A451,Clientes!$C$5:$C$549,0))&amp;" "&amp;INDEX(Clientes!$F$5:$F$549,MATCH(A451,Clientes!$C$5:$C$549,0)))),"NO EXISTE en Clientes"))</f>
        <v/>
      </c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>
        <f>IF(AND(A451="",D451=""),"",IF(A451="","FALTA doc. cliente",IF(B451="NO EXISTE en Clientes","CLIENTE no está en hoja Clientes",IF(D451="","FALTA dirección",IF(AND(H451&lt;&gt;"",OR(F451="",G451="")),"Distrito requiere departamento y provincia",IF(AND(G451&lt;&gt;"",F451=""),"Provincia requiere departamento",IF((I451&lt;&gt;"")&lt;&gt;(J451&lt;&gt;""),"Latitud y longitud van juntas","OK")))))))</f>
        <v/>
      </c>
      <c r="M451" s="28">
        <f>IF(L451&lt;&gt;"OK","","INSERT INTO cli_direcciones (id_cliente, descripcion, direccion, referencia, id_departamento, id_provincia, id_distrito, latitud, longitud, es_principal, estado) SELECT "&amp;"(SELECT id FROM cli_clientes WHERE numero_documento = '"&amp;SUBSTITUTE(TRIM(A451),"'","''")&amp;"' AND estado = 1 LIMIT 1)"&amp;", "&amp;IF(TRIM(C451&amp;"")="","NULL","'"&amp;SUBSTITUTE(TRIM(C451),"'","''")&amp;"'")&amp;", "&amp;IF(TRIM(D451&amp;"")="","NULL","'"&amp;SUBSTITUTE(TRIM(D451),"'","''")&amp;"'")&amp;", "&amp;IF(TRIM(E451&amp;"")="","NULL","'"&amp;SUBSTITUTE(TRIM(E451),"'","''")&amp;"'")&amp;", "&amp;IF(TRIM(F451&amp;"")="","NULL","(SELECT id FROM gen_departamento WHERE upper(nombre) = upper('"&amp;SUBSTITUTE(TRIM(F451),"'","''")&amp;"') AND estado = 1 LIMIT 1)")&amp;", "&amp;IF(OR(TRIM(F451&amp;"")="",TRIM(G451&amp;"")=""),"NULL","(SELECT p.id FROM gen_provincia p JOIN gen_departamento dp ON dp.id = p.id_departamento WHERE upper(p.nombre) = upper('"&amp;SUBSTITUTE(TRIM(G451),"'","''")&amp;"') AND upper(dp.nombre) = upper('"&amp;SUBSTITUTE(TRIM(F451),"'","''")&amp;"') AND p.estado = 1 LIMIT 1)")&amp;", "&amp;IF(OR(TRIM(F451&amp;"")="",TRIM(G451&amp;"")="",TRIM(H451&amp;"")=""),"NULL","(SELECT d.id FROM gen_distrito d JOIN gen_provincia p ON p.id = d.id_provincia JOIN gen_departamento dp ON dp.id = p.id_departamento WHERE upper(d.nombre) = upper('"&amp;SUBSTITUTE(TRIM(H451),"'","''")&amp;"') AND upper(p.nombre) = upper('"&amp;SUBSTITUTE(TRIM(G451),"'","''")&amp;"') AND upper(dp.nombre) = upper('"&amp;SUBSTITUTE(TRIM(F451),"'","''")&amp;"') AND d.estado = 1 LIMIT 1)")&amp;", "&amp;IF(I451&amp;""="","NULL",SUBSTITUTE(I451&amp;"",",","."))&amp;", "&amp;IF(J451&amp;""="","NULL",SUBSTITUTE(J451&amp;"",",","."))&amp;", "&amp;IF(UPPER(TRIM(K451&amp;""))="SI","TRUE","FALSE")&amp;", 1"&amp;" WHERE NOT EXISTS (SELECT 1 FROM cli_direcciones x WHERE x.id_cliente = "&amp;"(SELECT id FROM cli_clientes WHERE numero_documento = '"&amp;SUBSTITUTE(TRIM(A451),"'","''")&amp;"' AND estado = 1 LIMIT 1)"&amp;" AND upper(x.direccion) = upper("&amp;IF(TRIM(D451&amp;"")="","NULL","'"&amp;SUBSTITUTE(TRIM(D451),"'","''")&amp;"'")&amp;"));")</f>
        <v/>
      </c>
    </row>
    <row r="452" ht="15.75" customHeight="1" s="64">
      <c r="A452" s="23" t="n"/>
      <c r="B452" s="25">
        <f t="array" ref="B452">IF(A452="","",IFERROR(IF(INDEX(Clientes!$D$5:$D$549,MATCH(A452,Clientes!$C$5:$C$549,0))&lt;&gt;"",INDEX(Clientes!$D$5:$D$549,MATCH(A452,Clientes!$C$5:$C$549,0)),TRIM(INDEX(Clientes!$E$5:$E$549,MATCH(A452,Clientes!$C$5:$C$549,0))&amp;" "&amp;INDEX(Clientes!$F$5:$F$549,MATCH(A452,Clientes!$C$5:$C$549,0)))),"NO EXISTE en Clientes"))</f>
        <v/>
      </c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>
        <f>IF(AND(A452="",D452=""),"",IF(A452="","FALTA doc. cliente",IF(B452="NO EXISTE en Clientes","CLIENTE no está en hoja Clientes",IF(D452="","FALTA dirección",IF(AND(H452&lt;&gt;"",OR(F452="",G452="")),"Distrito requiere departamento y provincia",IF(AND(G452&lt;&gt;"",F452=""),"Provincia requiere departamento",IF((I452&lt;&gt;"")&lt;&gt;(J452&lt;&gt;""),"Latitud y longitud van juntas","OK")))))))</f>
        <v/>
      </c>
      <c r="M452" s="28">
        <f>IF(L452&lt;&gt;"OK","","INSERT INTO cli_direcciones (id_cliente, descripcion, direccion, referencia, id_departamento, id_provincia, id_distrito, latitud, longitud, es_principal, estado) SELECT "&amp;"(SELECT id FROM cli_clientes WHERE numero_documento = '"&amp;SUBSTITUTE(TRIM(A452),"'","''")&amp;"' AND estado = 1 LIMIT 1)"&amp;", "&amp;IF(TRIM(C452&amp;"")="","NULL","'"&amp;SUBSTITUTE(TRIM(C452),"'","''")&amp;"'")&amp;", "&amp;IF(TRIM(D452&amp;"")="","NULL","'"&amp;SUBSTITUTE(TRIM(D452),"'","''")&amp;"'")&amp;", "&amp;IF(TRIM(E452&amp;"")="","NULL","'"&amp;SUBSTITUTE(TRIM(E452),"'","''")&amp;"'")&amp;", "&amp;IF(TRIM(F452&amp;"")="","NULL","(SELECT id FROM gen_departamento WHERE upper(nombre) = upper('"&amp;SUBSTITUTE(TRIM(F452),"'","''")&amp;"') AND estado = 1 LIMIT 1)")&amp;", "&amp;IF(OR(TRIM(F452&amp;"")="",TRIM(G452&amp;"")=""),"NULL","(SELECT p.id FROM gen_provincia p JOIN gen_departamento dp ON dp.id = p.id_departamento WHERE upper(p.nombre) = upper('"&amp;SUBSTITUTE(TRIM(G452),"'","''")&amp;"') AND upper(dp.nombre) = upper('"&amp;SUBSTITUTE(TRIM(F452),"'","''")&amp;"') AND p.estado = 1 LIMIT 1)")&amp;", "&amp;IF(OR(TRIM(F452&amp;"")="",TRIM(G452&amp;"")="",TRIM(H452&amp;"")=""),"NULL","(SELECT d.id FROM gen_distrito d JOIN gen_provincia p ON p.id = d.id_provincia JOIN gen_departamento dp ON dp.id = p.id_departamento WHERE upper(d.nombre) = upper('"&amp;SUBSTITUTE(TRIM(H452),"'","''")&amp;"') AND upper(p.nombre) = upper('"&amp;SUBSTITUTE(TRIM(G452),"'","''")&amp;"') AND upper(dp.nombre) = upper('"&amp;SUBSTITUTE(TRIM(F452),"'","''")&amp;"') AND d.estado = 1 LIMIT 1)")&amp;", "&amp;IF(I452&amp;""="","NULL",SUBSTITUTE(I452&amp;"",",","."))&amp;", "&amp;IF(J452&amp;""="","NULL",SUBSTITUTE(J452&amp;"",",","."))&amp;", "&amp;IF(UPPER(TRIM(K452&amp;""))="SI","TRUE","FALSE")&amp;", 1"&amp;" WHERE NOT EXISTS (SELECT 1 FROM cli_direcciones x WHERE x.id_cliente = "&amp;"(SELECT id FROM cli_clientes WHERE numero_documento = '"&amp;SUBSTITUTE(TRIM(A452),"'","''")&amp;"' AND estado = 1 LIMIT 1)"&amp;" AND upper(x.direccion) = upper("&amp;IF(TRIM(D452&amp;"")="","NULL","'"&amp;SUBSTITUTE(TRIM(D452),"'","''")&amp;"'")&amp;"));")</f>
        <v/>
      </c>
    </row>
    <row r="453" ht="15.75" customHeight="1" s="64">
      <c r="A453" s="23" t="n"/>
      <c r="B453" s="25">
        <f t="array" ref="B453">IF(A453="","",IFERROR(IF(INDEX(Clientes!$D$5:$D$549,MATCH(A453,Clientes!$C$5:$C$549,0))&lt;&gt;"",INDEX(Clientes!$D$5:$D$549,MATCH(A453,Clientes!$C$5:$C$549,0)),TRIM(INDEX(Clientes!$E$5:$E$549,MATCH(A453,Clientes!$C$5:$C$549,0))&amp;" "&amp;INDEX(Clientes!$F$5:$F$549,MATCH(A453,Clientes!$C$5:$C$549,0)))),"NO EXISTE en Clientes"))</f>
        <v/>
      </c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>
        <f>IF(AND(A453="",D453=""),"",IF(A453="","FALTA doc. cliente",IF(B453="NO EXISTE en Clientes","CLIENTE no está en hoja Clientes",IF(D453="","FALTA dirección",IF(AND(H453&lt;&gt;"",OR(F453="",G453="")),"Distrito requiere departamento y provincia",IF(AND(G453&lt;&gt;"",F453=""),"Provincia requiere departamento",IF((I453&lt;&gt;"")&lt;&gt;(J453&lt;&gt;""),"Latitud y longitud van juntas","OK")))))))</f>
        <v/>
      </c>
      <c r="M453" s="28">
        <f>IF(L453&lt;&gt;"OK","","INSERT INTO cli_direcciones (id_cliente, descripcion, direccion, referencia, id_departamento, id_provincia, id_distrito, latitud, longitud, es_principal, estado) SELECT "&amp;"(SELECT id FROM cli_clientes WHERE numero_documento = '"&amp;SUBSTITUTE(TRIM(A453),"'","''")&amp;"' AND estado = 1 LIMIT 1)"&amp;", "&amp;IF(TRIM(C453&amp;"")="","NULL","'"&amp;SUBSTITUTE(TRIM(C453),"'","''")&amp;"'")&amp;", "&amp;IF(TRIM(D453&amp;"")="","NULL","'"&amp;SUBSTITUTE(TRIM(D453),"'","''")&amp;"'")&amp;", "&amp;IF(TRIM(E453&amp;"")="","NULL","'"&amp;SUBSTITUTE(TRIM(E453),"'","''")&amp;"'")&amp;", "&amp;IF(TRIM(F453&amp;"")="","NULL","(SELECT id FROM gen_departamento WHERE upper(nombre) = upper('"&amp;SUBSTITUTE(TRIM(F453),"'","''")&amp;"') AND estado = 1 LIMIT 1)")&amp;", "&amp;IF(OR(TRIM(F453&amp;"")="",TRIM(G453&amp;"")=""),"NULL","(SELECT p.id FROM gen_provincia p JOIN gen_departamento dp ON dp.id = p.id_departamento WHERE upper(p.nombre) = upper('"&amp;SUBSTITUTE(TRIM(G453),"'","''")&amp;"') AND upper(dp.nombre) = upper('"&amp;SUBSTITUTE(TRIM(F453),"'","''")&amp;"') AND p.estado = 1 LIMIT 1)")&amp;", "&amp;IF(OR(TRIM(F453&amp;"")="",TRIM(G453&amp;"")="",TRIM(H453&amp;"")=""),"NULL","(SELECT d.id FROM gen_distrito d JOIN gen_provincia p ON p.id = d.id_provincia JOIN gen_departamento dp ON dp.id = p.id_departamento WHERE upper(d.nombre) = upper('"&amp;SUBSTITUTE(TRIM(H453),"'","''")&amp;"') AND upper(p.nombre) = upper('"&amp;SUBSTITUTE(TRIM(G453),"'","''")&amp;"') AND upper(dp.nombre) = upper('"&amp;SUBSTITUTE(TRIM(F453),"'","''")&amp;"') AND d.estado = 1 LIMIT 1)")&amp;", "&amp;IF(I453&amp;""="","NULL",SUBSTITUTE(I453&amp;"",",","."))&amp;", "&amp;IF(J453&amp;""="","NULL",SUBSTITUTE(J453&amp;"",",","."))&amp;", "&amp;IF(UPPER(TRIM(K453&amp;""))="SI","TRUE","FALSE")&amp;", 1"&amp;" WHERE NOT EXISTS (SELECT 1 FROM cli_direcciones x WHERE x.id_cliente = "&amp;"(SELECT id FROM cli_clientes WHERE numero_documento = '"&amp;SUBSTITUTE(TRIM(A453),"'","''")&amp;"' AND estado = 1 LIMIT 1)"&amp;" AND upper(x.direccion) = upper("&amp;IF(TRIM(D453&amp;"")="","NULL","'"&amp;SUBSTITUTE(TRIM(D453),"'","''")&amp;"'")&amp;"));")</f>
        <v/>
      </c>
    </row>
    <row r="454" ht="15.75" customHeight="1" s="64">
      <c r="A454" s="23" t="n"/>
      <c r="B454" s="25">
        <f t="array" ref="B454">IF(A454="","",IFERROR(IF(INDEX(Clientes!$D$5:$D$549,MATCH(A454,Clientes!$C$5:$C$549,0))&lt;&gt;"",INDEX(Clientes!$D$5:$D$549,MATCH(A454,Clientes!$C$5:$C$549,0)),TRIM(INDEX(Clientes!$E$5:$E$549,MATCH(A454,Clientes!$C$5:$C$549,0))&amp;" "&amp;INDEX(Clientes!$F$5:$F$549,MATCH(A454,Clientes!$C$5:$C$549,0)))),"NO EXISTE en Clientes"))</f>
        <v/>
      </c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>
        <f>IF(AND(A454="",D454=""),"",IF(A454="","FALTA doc. cliente",IF(B454="NO EXISTE en Clientes","CLIENTE no está en hoja Clientes",IF(D454="","FALTA dirección",IF(AND(H454&lt;&gt;"",OR(F454="",G454="")),"Distrito requiere departamento y provincia",IF(AND(G454&lt;&gt;"",F454=""),"Provincia requiere departamento",IF((I454&lt;&gt;"")&lt;&gt;(J454&lt;&gt;""),"Latitud y longitud van juntas","OK")))))))</f>
        <v/>
      </c>
      <c r="M454" s="28">
        <f>IF(L454&lt;&gt;"OK","","INSERT INTO cli_direcciones (id_cliente, descripcion, direccion, referencia, id_departamento, id_provincia, id_distrito, latitud, longitud, es_principal, estado) SELECT "&amp;"(SELECT id FROM cli_clientes WHERE numero_documento = '"&amp;SUBSTITUTE(TRIM(A454),"'","''")&amp;"' AND estado = 1 LIMIT 1)"&amp;", "&amp;IF(TRIM(C454&amp;"")="","NULL","'"&amp;SUBSTITUTE(TRIM(C454),"'","''")&amp;"'")&amp;", "&amp;IF(TRIM(D454&amp;"")="","NULL","'"&amp;SUBSTITUTE(TRIM(D454),"'","''")&amp;"'")&amp;", "&amp;IF(TRIM(E454&amp;"")="","NULL","'"&amp;SUBSTITUTE(TRIM(E454),"'","''")&amp;"'")&amp;", "&amp;IF(TRIM(F454&amp;"")="","NULL","(SELECT id FROM gen_departamento WHERE upper(nombre) = upper('"&amp;SUBSTITUTE(TRIM(F454),"'","''")&amp;"') AND estado = 1 LIMIT 1)")&amp;", "&amp;IF(OR(TRIM(F454&amp;"")="",TRIM(G454&amp;"")=""),"NULL","(SELECT p.id FROM gen_provincia p JOIN gen_departamento dp ON dp.id = p.id_departamento WHERE upper(p.nombre) = upper('"&amp;SUBSTITUTE(TRIM(G454),"'","''")&amp;"') AND upper(dp.nombre) = upper('"&amp;SUBSTITUTE(TRIM(F454),"'","''")&amp;"') AND p.estado = 1 LIMIT 1)")&amp;", "&amp;IF(OR(TRIM(F454&amp;"")="",TRIM(G454&amp;"")="",TRIM(H454&amp;"")=""),"NULL","(SELECT d.id FROM gen_distrito d JOIN gen_provincia p ON p.id = d.id_provincia JOIN gen_departamento dp ON dp.id = p.id_departamento WHERE upper(d.nombre) = upper('"&amp;SUBSTITUTE(TRIM(H454),"'","''")&amp;"') AND upper(p.nombre) = upper('"&amp;SUBSTITUTE(TRIM(G454),"'","''")&amp;"') AND upper(dp.nombre) = upper('"&amp;SUBSTITUTE(TRIM(F454),"'","''")&amp;"') AND d.estado = 1 LIMIT 1)")&amp;", "&amp;IF(I454&amp;""="","NULL",SUBSTITUTE(I454&amp;"",",","."))&amp;", "&amp;IF(J454&amp;""="","NULL",SUBSTITUTE(J454&amp;"",",","."))&amp;", "&amp;IF(UPPER(TRIM(K454&amp;""))="SI","TRUE","FALSE")&amp;", 1"&amp;" WHERE NOT EXISTS (SELECT 1 FROM cli_direcciones x WHERE x.id_cliente = "&amp;"(SELECT id FROM cli_clientes WHERE numero_documento = '"&amp;SUBSTITUTE(TRIM(A454),"'","''")&amp;"' AND estado = 1 LIMIT 1)"&amp;" AND upper(x.direccion) = upper("&amp;IF(TRIM(D454&amp;"")="","NULL","'"&amp;SUBSTITUTE(TRIM(D454),"'","''")&amp;"'")&amp;"));")</f>
        <v/>
      </c>
    </row>
    <row r="455" ht="15.75" customHeight="1" s="64">
      <c r="A455" s="23" t="n"/>
      <c r="B455" s="25">
        <f t="array" ref="B455">IF(A455="","",IFERROR(IF(INDEX(Clientes!$D$5:$D$549,MATCH(A455,Clientes!$C$5:$C$549,0))&lt;&gt;"",INDEX(Clientes!$D$5:$D$549,MATCH(A455,Clientes!$C$5:$C$549,0)),TRIM(INDEX(Clientes!$E$5:$E$549,MATCH(A455,Clientes!$C$5:$C$549,0))&amp;" "&amp;INDEX(Clientes!$F$5:$F$549,MATCH(A455,Clientes!$C$5:$C$549,0)))),"NO EXISTE en Clientes"))</f>
        <v/>
      </c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>
        <f>IF(AND(A455="",D455=""),"",IF(A455="","FALTA doc. cliente",IF(B455="NO EXISTE en Clientes","CLIENTE no está en hoja Clientes",IF(D455="","FALTA dirección",IF(AND(H455&lt;&gt;"",OR(F455="",G455="")),"Distrito requiere departamento y provincia",IF(AND(G455&lt;&gt;"",F455=""),"Provincia requiere departamento",IF((I455&lt;&gt;"")&lt;&gt;(J455&lt;&gt;""),"Latitud y longitud van juntas","OK")))))))</f>
        <v/>
      </c>
      <c r="M455" s="28">
        <f>IF(L455&lt;&gt;"OK","","INSERT INTO cli_direcciones (id_cliente, descripcion, direccion, referencia, id_departamento, id_provincia, id_distrito, latitud, longitud, es_principal, estado) SELECT "&amp;"(SELECT id FROM cli_clientes WHERE numero_documento = '"&amp;SUBSTITUTE(TRIM(A455),"'","''")&amp;"' AND estado = 1 LIMIT 1)"&amp;", "&amp;IF(TRIM(C455&amp;"")="","NULL","'"&amp;SUBSTITUTE(TRIM(C455),"'","''")&amp;"'")&amp;", "&amp;IF(TRIM(D455&amp;"")="","NULL","'"&amp;SUBSTITUTE(TRIM(D455),"'","''")&amp;"'")&amp;", "&amp;IF(TRIM(E455&amp;"")="","NULL","'"&amp;SUBSTITUTE(TRIM(E455),"'","''")&amp;"'")&amp;", "&amp;IF(TRIM(F455&amp;"")="","NULL","(SELECT id FROM gen_departamento WHERE upper(nombre) = upper('"&amp;SUBSTITUTE(TRIM(F455),"'","''")&amp;"') AND estado = 1 LIMIT 1)")&amp;", "&amp;IF(OR(TRIM(F455&amp;"")="",TRIM(G455&amp;"")=""),"NULL","(SELECT p.id FROM gen_provincia p JOIN gen_departamento dp ON dp.id = p.id_departamento WHERE upper(p.nombre) = upper('"&amp;SUBSTITUTE(TRIM(G455),"'","''")&amp;"') AND upper(dp.nombre) = upper('"&amp;SUBSTITUTE(TRIM(F455),"'","''")&amp;"') AND p.estado = 1 LIMIT 1)")&amp;", "&amp;IF(OR(TRIM(F455&amp;"")="",TRIM(G455&amp;"")="",TRIM(H455&amp;"")=""),"NULL","(SELECT d.id FROM gen_distrito d JOIN gen_provincia p ON p.id = d.id_provincia JOIN gen_departamento dp ON dp.id = p.id_departamento WHERE upper(d.nombre) = upper('"&amp;SUBSTITUTE(TRIM(H455),"'","''")&amp;"') AND upper(p.nombre) = upper('"&amp;SUBSTITUTE(TRIM(G455),"'","''")&amp;"') AND upper(dp.nombre) = upper('"&amp;SUBSTITUTE(TRIM(F455),"'","''")&amp;"') AND d.estado = 1 LIMIT 1)")&amp;", "&amp;IF(I455&amp;""="","NULL",SUBSTITUTE(I455&amp;"",",","."))&amp;", "&amp;IF(J455&amp;""="","NULL",SUBSTITUTE(J455&amp;"",",","."))&amp;", "&amp;IF(UPPER(TRIM(K455&amp;""))="SI","TRUE","FALSE")&amp;", 1"&amp;" WHERE NOT EXISTS (SELECT 1 FROM cli_direcciones x WHERE x.id_cliente = "&amp;"(SELECT id FROM cli_clientes WHERE numero_documento = '"&amp;SUBSTITUTE(TRIM(A455),"'","''")&amp;"' AND estado = 1 LIMIT 1)"&amp;" AND upper(x.direccion) = upper("&amp;IF(TRIM(D455&amp;"")="","NULL","'"&amp;SUBSTITUTE(TRIM(D455),"'","''")&amp;"'")&amp;"));")</f>
        <v/>
      </c>
    </row>
    <row r="456" ht="15.75" customHeight="1" s="64">
      <c r="A456" s="23" t="n"/>
      <c r="B456" s="25">
        <f t="array" ref="B456">IF(A456="","",IFERROR(IF(INDEX(Clientes!$D$5:$D$549,MATCH(A456,Clientes!$C$5:$C$549,0))&lt;&gt;"",INDEX(Clientes!$D$5:$D$549,MATCH(A456,Clientes!$C$5:$C$549,0)),TRIM(INDEX(Clientes!$E$5:$E$549,MATCH(A456,Clientes!$C$5:$C$549,0))&amp;" "&amp;INDEX(Clientes!$F$5:$F$549,MATCH(A456,Clientes!$C$5:$C$549,0)))),"NO EXISTE en Clientes"))</f>
        <v/>
      </c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>
        <f>IF(AND(A456="",D456=""),"",IF(A456="","FALTA doc. cliente",IF(B456="NO EXISTE en Clientes","CLIENTE no está en hoja Clientes",IF(D456="","FALTA dirección",IF(AND(H456&lt;&gt;"",OR(F456="",G456="")),"Distrito requiere departamento y provincia",IF(AND(G456&lt;&gt;"",F456=""),"Provincia requiere departamento",IF((I456&lt;&gt;"")&lt;&gt;(J456&lt;&gt;""),"Latitud y longitud van juntas","OK")))))))</f>
        <v/>
      </c>
      <c r="M456" s="28">
        <f>IF(L456&lt;&gt;"OK","","INSERT INTO cli_direcciones (id_cliente, descripcion, direccion, referencia, id_departamento, id_provincia, id_distrito, latitud, longitud, es_principal, estado) SELECT "&amp;"(SELECT id FROM cli_clientes WHERE numero_documento = '"&amp;SUBSTITUTE(TRIM(A456),"'","''")&amp;"' AND estado = 1 LIMIT 1)"&amp;", "&amp;IF(TRIM(C456&amp;"")="","NULL","'"&amp;SUBSTITUTE(TRIM(C456),"'","''")&amp;"'")&amp;", "&amp;IF(TRIM(D456&amp;"")="","NULL","'"&amp;SUBSTITUTE(TRIM(D456),"'","''")&amp;"'")&amp;", "&amp;IF(TRIM(E456&amp;"")="","NULL","'"&amp;SUBSTITUTE(TRIM(E456),"'","''")&amp;"'")&amp;", "&amp;IF(TRIM(F456&amp;"")="","NULL","(SELECT id FROM gen_departamento WHERE upper(nombre) = upper('"&amp;SUBSTITUTE(TRIM(F456),"'","''")&amp;"') AND estado = 1 LIMIT 1)")&amp;", "&amp;IF(OR(TRIM(F456&amp;"")="",TRIM(G456&amp;"")=""),"NULL","(SELECT p.id FROM gen_provincia p JOIN gen_departamento dp ON dp.id = p.id_departamento WHERE upper(p.nombre) = upper('"&amp;SUBSTITUTE(TRIM(G456),"'","''")&amp;"') AND upper(dp.nombre) = upper('"&amp;SUBSTITUTE(TRIM(F456),"'","''")&amp;"') AND p.estado = 1 LIMIT 1)")&amp;", "&amp;IF(OR(TRIM(F456&amp;"")="",TRIM(G456&amp;"")="",TRIM(H456&amp;"")=""),"NULL","(SELECT d.id FROM gen_distrito d JOIN gen_provincia p ON p.id = d.id_provincia JOIN gen_departamento dp ON dp.id = p.id_departamento WHERE upper(d.nombre) = upper('"&amp;SUBSTITUTE(TRIM(H456),"'","''")&amp;"') AND upper(p.nombre) = upper('"&amp;SUBSTITUTE(TRIM(G456),"'","''")&amp;"') AND upper(dp.nombre) = upper('"&amp;SUBSTITUTE(TRIM(F456),"'","''")&amp;"') AND d.estado = 1 LIMIT 1)")&amp;", "&amp;IF(I456&amp;""="","NULL",SUBSTITUTE(I456&amp;"",",","."))&amp;", "&amp;IF(J456&amp;""="","NULL",SUBSTITUTE(J456&amp;"",",","."))&amp;", "&amp;IF(UPPER(TRIM(K456&amp;""))="SI","TRUE","FALSE")&amp;", 1"&amp;" WHERE NOT EXISTS (SELECT 1 FROM cli_direcciones x WHERE x.id_cliente = "&amp;"(SELECT id FROM cli_clientes WHERE numero_documento = '"&amp;SUBSTITUTE(TRIM(A456),"'","''")&amp;"' AND estado = 1 LIMIT 1)"&amp;" AND upper(x.direccion) = upper("&amp;IF(TRIM(D456&amp;"")="","NULL","'"&amp;SUBSTITUTE(TRIM(D456),"'","''")&amp;"'")&amp;"));")</f>
        <v/>
      </c>
    </row>
    <row r="457" ht="15.75" customHeight="1" s="64">
      <c r="A457" s="23" t="n"/>
      <c r="B457" s="25">
        <f t="array" ref="B457">IF(A457="","",IFERROR(IF(INDEX(Clientes!$D$5:$D$549,MATCH(A457,Clientes!$C$5:$C$549,0))&lt;&gt;"",INDEX(Clientes!$D$5:$D$549,MATCH(A457,Clientes!$C$5:$C$549,0)),TRIM(INDEX(Clientes!$E$5:$E$549,MATCH(A457,Clientes!$C$5:$C$549,0))&amp;" "&amp;INDEX(Clientes!$F$5:$F$549,MATCH(A457,Clientes!$C$5:$C$549,0)))),"NO EXISTE en Clientes"))</f>
        <v/>
      </c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>
        <f>IF(AND(A457="",D457=""),"",IF(A457="","FALTA doc. cliente",IF(B457="NO EXISTE en Clientes","CLIENTE no está en hoja Clientes",IF(D457="","FALTA dirección",IF(AND(H457&lt;&gt;"",OR(F457="",G457="")),"Distrito requiere departamento y provincia",IF(AND(G457&lt;&gt;"",F457=""),"Provincia requiere departamento",IF((I457&lt;&gt;"")&lt;&gt;(J457&lt;&gt;""),"Latitud y longitud van juntas","OK")))))))</f>
        <v/>
      </c>
      <c r="M457" s="28">
        <f>IF(L457&lt;&gt;"OK","","INSERT INTO cli_direcciones (id_cliente, descripcion, direccion, referencia, id_departamento, id_provincia, id_distrito, latitud, longitud, es_principal, estado) SELECT "&amp;"(SELECT id FROM cli_clientes WHERE numero_documento = '"&amp;SUBSTITUTE(TRIM(A457),"'","''")&amp;"' AND estado = 1 LIMIT 1)"&amp;", "&amp;IF(TRIM(C457&amp;"")="","NULL","'"&amp;SUBSTITUTE(TRIM(C457),"'","''")&amp;"'")&amp;", "&amp;IF(TRIM(D457&amp;"")="","NULL","'"&amp;SUBSTITUTE(TRIM(D457),"'","''")&amp;"'")&amp;", "&amp;IF(TRIM(E457&amp;"")="","NULL","'"&amp;SUBSTITUTE(TRIM(E457),"'","''")&amp;"'")&amp;", "&amp;IF(TRIM(F457&amp;"")="","NULL","(SELECT id FROM gen_departamento WHERE upper(nombre) = upper('"&amp;SUBSTITUTE(TRIM(F457),"'","''")&amp;"') AND estado = 1 LIMIT 1)")&amp;", "&amp;IF(OR(TRIM(F457&amp;"")="",TRIM(G457&amp;"")=""),"NULL","(SELECT p.id FROM gen_provincia p JOIN gen_departamento dp ON dp.id = p.id_departamento WHERE upper(p.nombre) = upper('"&amp;SUBSTITUTE(TRIM(G457),"'","''")&amp;"') AND upper(dp.nombre) = upper('"&amp;SUBSTITUTE(TRIM(F457),"'","''")&amp;"') AND p.estado = 1 LIMIT 1)")&amp;", "&amp;IF(OR(TRIM(F457&amp;"")="",TRIM(G457&amp;"")="",TRIM(H457&amp;"")=""),"NULL","(SELECT d.id FROM gen_distrito d JOIN gen_provincia p ON p.id = d.id_provincia JOIN gen_departamento dp ON dp.id = p.id_departamento WHERE upper(d.nombre) = upper('"&amp;SUBSTITUTE(TRIM(H457),"'","''")&amp;"') AND upper(p.nombre) = upper('"&amp;SUBSTITUTE(TRIM(G457),"'","''")&amp;"') AND upper(dp.nombre) = upper('"&amp;SUBSTITUTE(TRIM(F457),"'","''")&amp;"') AND d.estado = 1 LIMIT 1)")&amp;", "&amp;IF(I457&amp;""="","NULL",SUBSTITUTE(I457&amp;"",",","."))&amp;", "&amp;IF(J457&amp;""="","NULL",SUBSTITUTE(J457&amp;"",",","."))&amp;", "&amp;IF(UPPER(TRIM(K457&amp;""))="SI","TRUE","FALSE")&amp;", 1"&amp;" WHERE NOT EXISTS (SELECT 1 FROM cli_direcciones x WHERE x.id_cliente = "&amp;"(SELECT id FROM cli_clientes WHERE numero_documento = '"&amp;SUBSTITUTE(TRIM(A457),"'","''")&amp;"' AND estado = 1 LIMIT 1)"&amp;" AND upper(x.direccion) = upper("&amp;IF(TRIM(D457&amp;"")="","NULL","'"&amp;SUBSTITUTE(TRIM(D457),"'","''")&amp;"'")&amp;"));")</f>
        <v/>
      </c>
    </row>
    <row r="458" ht="15.75" customHeight="1" s="64">
      <c r="A458" s="23" t="n"/>
      <c r="B458" s="25">
        <f t="array" ref="B458">IF(A458="","",IFERROR(IF(INDEX(Clientes!$D$5:$D$549,MATCH(A458,Clientes!$C$5:$C$549,0))&lt;&gt;"",INDEX(Clientes!$D$5:$D$549,MATCH(A458,Clientes!$C$5:$C$549,0)),TRIM(INDEX(Clientes!$E$5:$E$549,MATCH(A458,Clientes!$C$5:$C$549,0))&amp;" "&amp;INDEX(Clientes!$F$5:$F$549,MATCH(A458,Clientes!$C$5:$C$549,0)))),"NO EXISTE en Clientes"))</f>
        <v/>
      </c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>
        <f>IF(AND(A458="",D458=""),"",IF(A458="","FALTA doc. cliente",IF(B458="NO EXISTE en Clientes","CLIENTE no está en hoja Clientes",IF(D458="","FALTA dirección",IF(AND(H458&lt;&gt;"",OR(F458="",G458="")),"Distrito requiere departamento y provincia",IF(AND(G458&lt;&gt;"",F458=""),"Provincia requiere departamento",IF((I458&lt;&gt;"")&lt;&gt;(J458&lt;&gt;""),"Latitud y longitud van juntas","OK")))))))</f>
        <v/>
      </c>
      <c r="M458" s="28">
        <f>IF(L458&lt;&gt;"OK","","INSERT INTO cli_direcciones (id_cliente, descripcion, direccion, referencia, id_departamento, id_provincia, id_distrito, latitud, longitud, es_principal, estado) SELECT "&amp;"(SELECT id FROM cli_clientes WHERE numero_documento = '"&amp;SUBSTITUTE(TRIM(A458),"'","''")&amp;"' AND estado = 1 LIMIT 1)"&amp;", "&amp;IF(TRIM(C458&amp;"")="","NULL","'"&amp;SUBSTITUTE(TRIM(C458),"'","''")&amp;"'")&amp;", "&amp;IF(TRIM(D458&amp;"")="","NULL","'"&amp;SUBSTITUTE(TRIM(D458),"'","''")&amp;"'")&amp;", "&amp;IF(TRIM(E458&amp;"")="","NULL","'"&amp;SUBSTITUTE(TRIM(E458),"'","''")&amp;"'")&amp;", "&amp;IF(TRIM(F458&amp;"")="","NULL","(SELECT id FROM gen_departamento WHERE upper(nombre) = upper('"&amp;SUBSTITUTE(TRIM(F458),"'","''")&amp;"') AND estado = 1 LIMIT 1)")&amp;", "&amp;IF(OR(TRIM(F458&amp;"")="",TRIM(G458&amp;"")=""),"NULL","(SELECT p.id FROM gen_provincia p JOIN gen_departamento dp ON dp.id = p.id_departamento WHERE upper(p.nombre) = upper('"&amp;SUBSTITUTE(TRIM(G458),"'","''")&amp;"') AND upper(dp.nombre) = upper('"&amp;SUBSTITUTE(TRIM(F458),"'","''")&amp;"') AND p.estado = 1 LIMIT 1)")&amp;", "&amp;IF(OR(TRIM(F458&amp;"")="",TRIM(G458&amp;"")="",TRIM(H458&amp;"")=""),"NULL","(SELECT d.id FROM gen_distrito d JOIN gen_provincia p ON p.id = d.id_provincia JOIN gen_departamento dp ON dp.id = p.id_departamento WHERE upper(d.nombre) = upper('"&amp;SUBSTITUTE(TRIM(H458),"'","''")&amp;"') AND upper(p.nombre) = upper('"&amp;SUBSTITUTE(TRIM(G458),"'","''")&amp;"') AND upper(dp.nombre) = upper('"&amp;SUBSTITUTE(TRIM(F458),"'","''")&amp;"') AND d.estado = 1 LIMIT 1)")&amp;", "&amp;IF(I458&amp;""="","NULL",SUBSTITUTE(I458&amp;"",",","."))&amp;", "&amp;IF(J458&amp;""="","NULL",SUBSTITUTE(J458&amp;"",",","."))&amp;", "&amp;IF(UPPER(TRIM(K458&amp;""))="SI","TRUE","FALSE")&amp;", 1"&amp;" WHERE NOT EXISTS (SELECT 1 FROM cli_direcciones x WHERE x.id_cliente = "&amp;"(SELECT id FROM cli_clientes WHERE numero_documento = '"&amp;SUBSTITUTE(TRIM(A458),"'","''")&amp;"' AND estado = 1 LIMIT 1)"&amp;" AND upper(x.direccion) = upper("&amp;IF(TRIM(D458&amp;"")="","NULL","'"&amp;SUBSTITUTE(TRIM(D458),"'","''")&amp;"'")&amp;"));")</f>
        <v/>
      </c>
    </row>
    <row r="459" ht="15.75" customHeight="1" s="64">
      <c r="A459" s="23" t="n"/>
      <c r="B459" s="25">
        <f t="array" ref="B459">IF(A459="","",IFERROR(IF(INDEX(Clientes!$D$5:$D$549,MATCH(A459,Clientes!$C$5:$C$549,0))&lt;&gt;"",INDEX(Clientes!$D$5:$D$549,MATCH(A459,Clientes!$C$5:$C$549,0)),TRIM(INDEX(Clientes!$E$5:$E$549,MATCH(A459,Clientes!$C$5:$C$549,0))&amp;" "&amp;INDEX(Clientes!$F$5:$F$549,MATCH(A459,Clientes!$C$5:$C$549,0)))),"NO EXISTE en Clientes"))</f>
        <v/>
      </c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>
        <f>IF(AND(A459="",D459=""),"",IF(A459="","FALTA doc. cliente",IF(B459="NO EXISTE en Clientes","CLIENTE no está en hoja Clientes",IF(D459="","FALTA dirección",IF(AND(H459&lt;&gt;"",OR(F459="",G459="")),"Distrito requiere departamento y provincia",IF(AND(G459&lt;&gt;"",F459=""),"Provincia requiere departamento",IF((I459&lt;&gt;"")&lt;&gt;(J459&lt;&gt;""),"Latitud y longitud van juntas","OK")))))))</f>
        <v/>
      </c>
      <c r="M459" s="28">
        <f>IF(L459&lt;&gt;"OK","","INSERT INTO cli_direcciones (id_cliente, descripcion, direccion, referencia, id_departamento, id_provincia, id_distrito, latitud, longitud, es_principal, estado) SELECT "&amp;"(SELECT id FROM cli_clientes WHERE numero_documento = '"&amp;SUBSTITUTE(TRIM(A459),"'","''")&amp;"' AND estado = 1 LIMIT 1)"&amp;", "&amp;IF(TRIM(C459&amp;"")="","NULL","'"&amp;SUBSTITUTE(TRIM(C459),"'","''")&amp;"'")&amp;", "&amp;IF(TRIM(D459&amp;"")="","NULL","'"&amp;SUBSTITUTE(TRIM(D459),"'","''")&amp;"'")&amp;", "&amp;IF(TRIM(E459&amp;"")="","NULL","'"&amp;SUBSTITUTE(TRIM(E459),"'","''")&amp;"'")&amp;", "&amp;IF(TRIM(F459&amp;"")="","NULL","(SELECT id FROM gen_departamento WHERE upper(nombre) = upper('"&amp;SUBSTITUTE(TRIM(F459),"'","''")&amp;"') AND estado = 1 LIMIT 1)")&amp;", "&amp;IF(OR(TRIM(F459&amp;"")="",TRIM(G459&amp;"")=""),"NULL","(SELECT p.id FROM gen_provincia p JOIN gen_departamento dp ON dp.id = p.id_departamento WHERE upper(p.nombre) = upper('"&amp;SUBSTITUTE(TRIM(G459),"'","''")&amp;"') AND upper(dp.nombre) = upper('"&amp;SUBSTITUTE(TRIM(F459),"'","''")&amp;"') AND p.estado = 1 LIMIT 1)")&amp;", "&amp;IF(OR(TRIM(F459&amp;"")="",TRIM(G459&amp;"")="",TRIM(H459&amp;"")=""),"NULL","(SELECT d.id FROM gen_distrito d JOIN gen_provincia p ON p.id = d.id_provincia JOIN gen_departamento dp ON dp.id = p.id_departamento WHERE upper(d.nombre) = upper('"&amp;SUBSTITUTE(TRIM(H459),"'","''")&amp;"') AND upper(p.nombre) = upper('"&amp;SUBSTITUTE(TRIM(G459),"'","''")&amp;"') AND upper(dp.nombre) = upper('"&amp;SUBSTITUTE(TRIM(F459),"'","''")&amp;"') AND d.estado = 1 LIMIT 1)")&amp;", "&amp;IF(I459&amp;""="","NULL",SUBSTITUTE(I459&amp;"",",","."))&amp;", "&amp;IF(J459&amp;""="","NULL",SUBSTITUTE(J459&amp;"",",","."))&amp;", "&amp;IF(UPPER(TRIM(K459&amp;""))="SI","TRUE","FALSE")&amp;", 1"&amp;" WHERE NOT EXISTS (SELECT 1 FROM cli_direcciones x WHERE x.id_cliente = "&amp;"(SELECT id FROM cli_clientes WHERE numero_documento = '"&amp;SUBSTITUTE(TRIM(A459),"'","''")&amp;"' AND estado = 1 LIMIT 1)"&amp;" AND upper(x.direccion) = upper("&amp;IF(TRIM(D459&amp;"")="","NULL","'"&amp;SUBSTITUTE(TRIM(D459),"'","''")&amp;"'")&amp;"));")</f>
        <v/>
      </c>
    </row>
    <row r="460" ht="15.75" customHeight="1" s="64">
      <c r="A460" s="23" t="n"/>
      <c r="B460" s="25">
        <f t="array" ref="B460">IF(A460="","",IFERROR(IF(INDEX(Clientes!$D$5:$D$549,MATCH(A460,Clientes!$C$5:$C$549,0))&lt;&gt;"",INDEX(Clientes!$D$5:$D$549,MATCH(A460,Clientes!$C$5:$C$549,0)),TRIM(INDEX(Clientes!$E$5:$E$549,MATCH(A460,Clientes!$C$5:$C$549,0))&amp;" "&amp;INDEX(Clientes!$F$5:$F$549,MATCH(A460,Clientes!$C$5:$C$549,0)))),"NO EXISTE en Clientes"))</f>
        <v/>
      </c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>
        <f>IF(AND(A460="",D460=""),"",IF(A460="","FALTA doc. cliente",IF(B460="NO EXISTE en Clientes","CLIENTE no está en hoja Clientes",IF(D460="","FALTA dirección",IF(AND(H460&lt;&gt;"",OR(F460="",G460="")),"Distrito requiere departamento y provincia",IF(AND(G460&lt;&gt;"",F460=""),"Provincia requiere departamento",IF((I460&lt;&gt;"")&lt;&gt;(J460&lt;&gt;""),"Latitud y longitud van juntas","OK")))))))</f>
        <v/>
      </c>
      <c r="M460" s="28">
        <f>IF(L460&lt;&gt;"OK","","INSERT INTO cli_direcciones (id_cliente, descripcion, direccion, referencia, id_departamento, id_provincia, id_distrito, latitud, longitud, es_principal, estado) SELECT "&amp;"(SELECT id FROM cli_clientes WHERE numero_documento = '"&amp;SUBSTITUTE(TRIM(A460),"'","''")&amp;"' AND estado = 1 LIMIT 1)"&amp;", "&amp;IF(TRIM(C460&amp;"")="","NULL","'"&amp;SUBSTITUTE(TRIM(C460),"'","''")&amp;"'")&amp;", "&amp;IF(TRIM(D460&amp;"")="","NULL","'"&amp;SUBSTITUTE(TRIM(D460),"'","''")&amp;"'")&amp;", "&amp;IF(TRIM(E460&amp;"")="","NULL","'"&amp;SUBSTITUTE(TRIM(E460),"'","''")&amp;"'")&amp;", "&amp;IF(TRIM(F460&amp;"")="","NULL","(SELECT id FROM gen_departamento WHERE upper(nombre) = upper('"&amp;SUBSTITUTE(TRIM(F460),"'","''")&amp;"') AND estado = 1 LIMIT 1)")&amp;", "&amp;IF(OR(TRIM(F460&amp;"")="",TRIM(G460&amp;"")=""),"NULL","(SELECT p.id FROM gen_provincia p JOIN gen_departamento dp ON dp.id = p.id_departamento WHERE upper(p.nombre) = upper('"&amp;SUBSTITUTE(TRIM(G460),"'","''")&amp;"') AND upper(dp.nombre) = upper('"&amp;SUBSTITUTE(TRIM(F460),"'","''")&amp;"') AND p.estado = 1 LIMIT 1)")&amp;", "&amp;IF(OR(TRIM(F460&amp;"")="",TRIM(G460&amp;"")="",TRIM(H460&amp;"")=""),"NULL","(SELECT d.id FROM gen_distrito d JOIN gen_provincia p ON p.id = d.id_provincia JOIN gen_departamento dp ON dp.id = p.id_departamento WHERE upper(d.nombre) = upper('"&amp;SUBSTITUTE(TRIM(H460),"'","''")&amp;"') AND upper(p.nombre) = upper('"&amp;SUBSTITUTE(TRIM(G460),"'","''")&amp;"') AND upper(dp.nombre) = upper('"&amp;SUBSTITUTE(TRIM(F460),"'","''")&amp;"') AND d.estado = 1 LIMIT 1)")&amp;", "&amp;IF(I460&amp;""="","NULL",SUBSTITUTE(I460&amp;"",",","."))&amp;", "&amp;IF(J460&amp;""="","NULL",SUBSTITUTE(J460&amp;"",",","."))&amp;", "&amp;IF(UPPER(TRIM(K460&amp;""))="SI","TRUE","FALSE")&amp;", 1"&amp;" WHERE NOT EXISTS (SELECT 1 FROM cli_direcciones x WHERE x.id_cliente = "&amp;"(SELECT id FROM cli_clientes WHERE numero_documento = '"&amp;SUBSTITUTE(TRIM(A460),"'","''")&amp;"' AND estado = 1 LIMIT 1)"&amp;" AND upper(x.direccion) = upper("&amp;IF(TRIM(D460&amp;"")="","NULL","'"&amp;SUBSTITUTE(TRIM(D460),"'","''")&amp;"'")&amp;"));")</f>
        <v/>
      </c>
    </row>
    <row r="461" ht="15.75" customHeight="1" s="64">
      <c r="A461" s="23" t="n"/>
      <c r="B461" s="25">
        <f t="array" ref="B461">IF(A461="","",IFERROR(IF(INDEX(Clientes!$D$5:$D$549,MATCH(A461,Clientes!$C$5:$C$549,0))&lt;&gt;"",INDEX(Clientes!$D$5:$D$549,MATCH(A461,Clientes!$C$5:$C$549,0)),TRIM(INDEX(Clientes!$E$5:$E$549,MATCH(A461,Clientes!$C$5:$C$549,0))&amp;" "&amp;INDEX(Clientes!$F$5:$F$549,MATCH(A461,Clientes!$C$5:$C$549,0)))),"NO EXISTE en Clientes"))</f>
        <v/>
      </c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>
        <f>IF(AND(A461="",D461=""),"",IF(A461="","FALTA doc. cliente",IF(B461="NO EXISTE en Clientes","CLIENTE no está en hoja Clientes",IF(D461="","FALTA dirección",IF(AND(H461&lt;&gt;"",OR(F461="",G461="")),"Distrito requiere departamento y provincia",IF(AND(G461&lt;&gt;"",F461=""),"Provincia requiere departamento",IF((I461&lt;&gt;"")&lt;&gt;(J461&lt;&gt;""),"Latitud y longitud van juntas","OK")))))))</f>
        <v/>
      </c>
      <c r="M461" s="28">
        <f>IF(L461&lt;&gt;"OK","","INSERT INTO cli_direcciones (id_cliente, descripcion, direccion, referencia, id_departamento, id_provincia, id_distrito, latitud, longitud, es_principal, estado) SELECT "&amp;"(SELECT id FROM cli_clientes WHERE numero_documento = '"&amp;SUBSTITUTE(TRIM(A461),"'","''")&amp;"' AND estado = 1 LIMIT 1)"&amp;", "&amp;IF(TRIM(C461&amp;"")="","NULL","'"&amp;SUBSTITUTE(TRIM(C461),"'","''")&amp;"'")&amp;", "&amp;IF(TRIM(D461&amp;"")="","NULL","'"&amp;SUBSTITUTE(TRIM(D461),"'","''")&amp;"'")&amp;", "&amp;IF(TRIM(E461&amp;"")="","NULL","'"&amp;SUBSTITUTE(TRIM(E461),"'","''")&amp;"'")&amp;", "&amp;IF(TRIM(F461&amp;"")="","NULL","(SELECT id FROM gen_departamento WHERE upper(nombre) = upper('"&amp;SUBSTITUTE(TRIM(F461),"'","''")&amp;"') AND estado = 1 LIMIT 1)")&amp;", "&amp;IF(OR(TRIM(F461&amp;"")="",TRIM(G461&amp;"")=""),"NULL","(SELECT p.id FROM gen_provincia p JOIN gen_departamento dp ON dp.id = p.id_departamento WHERE upper(p.nombre) = upper('"&amp;SUBSTITUTE(TRIM(G461),"'","''")&amp;"') AND upper(dp.nombre) = upper('"&amp;SUBSTITUTE(TRIM(F461),"'","''")&amp;"') AND p.estado = 1 LIMIT 1)")&amp;", "&amp;IF(OR(TRIM(F461&amp;"")="",TRIM(G461&amp;"")="",TRIM(H461&amp;"")=""),"NULL","(SELECT d.id FROM gen_distrito d JOIN gen_provincia p ON p.id = d.id_provincia JOIN gen_departamento dp ON dp.id = p.id_departamento WHERE upper(d.nombre) = upper('"&amp;SUBSTITUTE(TRIM(H461),"'","''")&amp;"') AND upper(p.nombre) = upper('"&amp;SUBSTITUTE(TRIM(G461),"'","''")&amp;"') AND upper(dp.nombre) = upper('"&amp;SUBSTITUTE(TRIM(F461),"'","''")&amp;"') AND d.estado = 1 LIMIT 1)")&amp;", "&amp;IF(I461&amp;""="","NULL",SUBSTITUTE(I461&amp;"",",","."))&amp;", "&amp;IF(J461&amp;""="","NULL",SUBSTITUTE(J461&amp;"",",","."))&amp;", "&amp;IF(UPPER(TRIM(K461&amp;""))="SI","TRUE","FALSE")&amp;", 1"&amp;" WHERE NOT EXISTS (SELECT 1 FROM cli_direcciones x WHERE x.id_cliente = "&amp;"(SELECT id FROM cli_clientes WHERE numero_documento = '"&amp;SUBSTITUTE(TRIM(A461),"'","''")&amp;"' AND estado = 1 LIMIT 1)"&amp;" AND upper(x.direccion) = upper("&amp;IF(TRIM(D461&amp;"")="","NULL","'"&amp;SUBSTITUTE(TRIM(D461),"'","''")&amp;"'")&amp;"));")</f>
        <v/>
      </c>
    </row>
    <row r="462" ht="15.75" customHeight="1" s="64">
      <c r="A462" s="23" t="n"/>
      <c r="B462" s="25">
        <f t="array" ref="B462">IF(A462="","",IFERROR(IF(INDEX(Clientes!$D$5:$D$549,MATCH(A462,Clientes!$C$5:$C$549,0))&lt;&gt;"",INDEX(Clientes!$D$5:$D$549,MATCH(A462,Clientes!$C$5:$C$549,0)),TRIM(INDEX(Clientes!$E$5:$E$549,MATCH(A462,Clientes!$C$5:$C$549,0))&amp;" "&amp;INDEX(Clientes!$F$5:$F$549,MATCH(A462,Clientes!$C$5:$C$549,0)))),"NO EXISTE en Clientes"))</f>
        <v/>
      </c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>
        <f>IF(AND(A462="",D462=""),"",IF(A462="","FALTA doc. cliente",IF(B462="NO EXISTE en Clientes","CLIENTE no está en hoja Clientes",IF(D462="","FALTA dirección",IF(AND(H462&lt;&gt;"",OR(F462="",G462="")),"Distrito requiere departamento y provincia",IF(AND(G462&lt;&gt;"",F462=""),"Provincia requiere departamento",IF((I462&lt;&gt;"")&lt;&gt;(J462&lt;&gt;""),"Latitud y longitud van juntas","OK")))))))</f>
        <v/>
      </c>
      <c r="M462" s="28">
        <f>IF(L462&lt;&gt;"OK","","INSERT INTO cli_direcciones (id_cliente, descripcion, direccion, referencia, id_departamento, id_provincia, id_distrito, latitud, longitud, es_principal, estado) SELECT "&amp;"(SELECT id FROM cli_clientes WHERE numero_documento = '"&amp;SUBSTITUTE(TRIM(A462),"'","''")&amp;"' AND estado = 1 LIMIT 1)"&amp;", "&amp;IF(TRIM(C462&amp;"")="","NULL","'"&amp;SUBSTITUTE(TRIM(C462),"'","''")&amp;"'")&amp;", "&amp;IF(TRIM(D462&amp;"")="","NULL","'"&amp;SUBSTITUTE(TRIM(D462),"'","''")&amp;"'")&amp;", "&amp;IF(TRIM(E462&amp;"")="","NULL","'"&amp;SUBSTITUTE(TRIM(E462),"'","''")&amp;"'")&amp;", "&amp;IF(TRIM(F462&amp;"")="","NULL","(SELECT id FROM gen_departamento WHERE upper(nombre) = upper('"&amp;SUBSTITUTE(TRIM(F462),"'","''")&amp;"') AND estado = 1 LIMIT 1)")&amp;", "&amp;IF(OR(TRIM(F462&amp;"")="",TRIM(G462&amp;"")=""),"NULL","(SELECT p.id FROM gen_provincia p JOIN gen_departamento dp ON dp.id = p.id_departamento WHERE upper(p.nombre) = upper('"&amp;SUBSTITUTE(TRIM(G462),"'","''")&amp;"') AND upper(dp.nombre) = upper('"&amp;SUBSTITUTE(TRIM(F462),"'","''")&amp;"') AND p.estado = 1 LIMIT 1)")&amp;", "&amp;IF(OR(TRIM(F462&amp;"")="",TRIM(G462&amp;"")="",TRIM(H462&amp;"")=""),"NULL","(SELECT d.id FROM gen_distrito d JOIN gen_provincia p ON p.id = d.id_provincia JOIN gen_departamento dp ON dp.id = p.id_departamento WHERE upper(d.nombre) = upper('"&amp;SUBSTITUTE(TRIM(H462),"'","''")&amp;"') AND upper(p.nombre) = upper('"&amp;SUBSTITUTE(TRIM(G462),"'","''")&amp;"') AND upper(dp.nombre) = upper('"&amp;SUBSTITUTE(TRIM(F462),"'","''")&amp;"') AND d.estado = 1 LIMIT 1)")&amp;", "&amp;IF(I462&amp;""="","NULL",SUBSTITUTE(I462&amp;"",",","."))&amp;", "&amp;IF(J462&amp;""="","NULL",SUBSTITUTE(J462&amp;"",",","."))&amp;", "&amp;IF(UPPER(TRIM(K462&amp;""))="SI","TRUE","FALSE")&amp;", 1"&amp;" WHERE NOT EXISTS (SELECT 1 FROM cli_direcciones x WHERE x.id_cliente = "&amp;"(SELECT id FROM cli_clientes WHERE numero_documento = '"&amp;SUBSTITUTE(TRIM(A462),"'","''")&amp;"' AND estado = 1 LIMIT 1)"&amp;" AND upper(x.direccion) = upper("&amp;IF(TRIM(D462&amp;"")="","NULL","'"&amp;SUBSTITUTE(TRIM(D462),"'","''")&amp;"'")&amp;"));")</f>
        <v/>
      </c>
    </row>
    <row r="463" ht="15.75" customHeight="1" s="64">
      <c r="A463" s="23" t="n"/>
      <c r="B463" s="25">
        <f t="array" ref="B463">IF(A463="","",IFERROR(IF(INDEX(Clientes!$D$5:$D$549,MATCH(A463,Clientes!$C$5:$C$549,0))&lt;&gt;"",INDEX(Clientes!$D$5:$D$549,MATCH(A463,Clientes!$C$5:$C$549,0)),TRIM(INDEX(Clientes!$E$5:$E$549,MATCH(A463,Clientes!$C$5:$C$549,0))&amp;" "&amp;INDEX(Clientes!$F$5:$F$549,MATCH(A463,Clientes!$C$5:$C$549,0)))),"NO EXISTE en Clientes"))</f>
        <v/>
      </c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>
        <f>IF(AND(A463="",D463=""),"",IF(A463="","FALTA doc. cliente",IF(B463="NO EXISTE en Clientes","CLIENTE no está en hoja Clientes",IF(D463="","FALTA dirección",IF(AND(H463&lt;&gt;"",OR(F463="",G463="")),"Distrito requiere departamento y provincia",IF(AND(G463&lt;&gt;"",F463=""),"Provincia requiere departamento",IF((I463&lt;&gt;"")&lt;&gt;(J463&lt;&gt;""),"Latitud y longitud van juntas","OK")))))))</f>
        <v/>
      </c>
      <c r="M463" s="28">
        <f>IF(L463&lt;&gt;"OK","","INSERT INTO cli_direcciones (id_cliente, descripcion, direccion, referencia, id_departamento, id_provincia, id_distrito, latitud, longitud, es_principal, estado) SELECT "&amp;"(SELECT id FROM cli_clientes WHERE numero_documento = '"&amp;SUBSTITUTE(TRIM(A463),"'","''")&amp;"' AND estado = 1 LIMIT 1)"&amp;", "&amp;IF(TRIM(C463&amp;"")="","NULL","'"&amp;SUBSTITUTE(TRIM(C463),"'","''")&amp;"'")&amp;", "&amp;IF(TRIM(D463&amp;"")="","NULL","'"&amp;SUBSTITUTE(TRIM(D463),"'","''")&amp;"'")&amp;", "&amp;IF(TRIM(E463&amp;"")="","NULL","'"&amp;SUBSTITUTE(TRIM(E463),"'","''")&amp;"'")&amp;", "&amp;IF(TRIM(F463&amp;"")="","NULL","(SELECT id FROM gen_departamento WHERE upper(nombre) = upper('"&amp;SUBSTITUTE(TRIM(F463),"'","''")&amp;"') AND estado = 1 LIMIT 1)")&amp;", "&amp;IF(OR(TRIM(F463&amp;"")="",TRIM(G463&amp;"")=""),"NULL","(SELECT p.id FROM gen_provincia p JOIN gen_departamento dp ON dp.id = p.id_departamento WHERE upper(p.nombre) = upper('"&amp;SUBSTITUTE(TRIM(G463),"'","''")&amp;"') AND upper(dp.nombre) = upper('"&amp;SUBSTITUTE(TRIM(F463),"'","''")&amp;"') AND p.estado = 1 LIMIT 1)")&amp;", "&amp;IF(OR(TRIM(F463&amp;"")="",TRIM(G463&amp;"")="",TRIM(H463&amp;"")=""),"NULL","(SELECT d.id FROM gen_distrito d JOIN gen_provincia p ON p.id = d.id_provincia JOIN gen_departamento dp ON dp.id = p.id_departamento WHERE upper(d.nombre) = upper('"&amp;SUBSTITUTE(TRIM(H463),"'","''")&amp;"') AND upper(p.nombre) = upper('"&amp;SUBSTITUTE(TRIM(G463),"'","''")&amp;"') AND upper(dp.nombre) = upper('"&amp;SUBSTITUTE(TRIM(F463),"'","''")&amp;"') AND d.estado = 1 LIMIT 1)")&amp;", "&amp;IF(I463&amp;""="","NULL",SUBSTITUTE(I463&amp;"",",","."))&amp;", "&amp;IF(J463&amp;""="","NULL",SUBSTITUTE(J463&amp;"",",","."))&amp;", "&amp;IF(UPPER(TRIM(K463&amp;""))="SI","TRUE","FALSE")&amp;", 1"&amp;" WHERE NOT EXISTS (SELECT 1 FROM cli_direcciones x WHERE x.id_cliente = "&amp;"(SELECT id FROM cli_clientes WHERE numero_documento = '"&amp;SUBSTITUTE(TRIM(A463),"'","''")&amp;"' AND estado = 1 LIMIT 1)"&amp;" AND upper(x.direccion) = upper("&amp;IF(TRIM(D463&amp;"")="","NULL","'"&amp;SUBSTITUTE(TRIM(D463),"'","''")&amp;"'")&amp;"));")</f>
        <v/>
      </c>
    </row>
    <row r="464" ht="15.75" customHeight="1" s="64">
      <c r="A464" s="23" t="n"/>
      <c r="B464" s="25">
        <f t="array" ref="B464">IF(A464="","",IFERROR(IF(INDEX(Clientes!$D$5:$D$549,MATCH(A464,Clientes!$C$5:$C$549,0))&lt;&gt;"",INDEX(Clientes!$D$5:$D$549,MATCH(A464,Clientes!$C$5:$C$549,0)),TRIM(INDEX(Clientes!$E$5:$E$549,MATCH(A464,Clientes!$C$5:$C$549,0))&amp;" "&amp;INDEX(Clientes!$F$5:$F$549,MATCH(A464,Clientes!$C$5:$C$549,0)))),"NO EXISTE en Clientes"))</f>
        <v/>
      </c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>
        <f>IF(AND(A464="",D464=""),"",IF(A464="","FALTA doc. cliente",IF(B464="NO EXISTE en Clientes","CLIENTE no está en hoja Clientes",IF(D464="","FALTA dirección",IF(AND(H464&lt;&gt;"",OR(F464="",G464="")),"Distrito requiere departamento y provincia",IF(AND(G464&lt;&gt;"",F464=""),"Provincia requiere departamento",IF((I464&lt;&gt;"")&lt;&gt;(J464&lt;&gt;""),"Latitud y longitud van juntas","OK")))))))</f>
        <v/>
      </c>
      <c r="M464" s="28">
        <f>IF(L464&lt;&gt;"OK","","INSERT INTO cli_direcciones (id_cliente, descripcion, direccion, referencia, id_departamento, id_provincia, id_distrito, latitud, longitud, es_principal, estado) SELECT "&amp;"(SELECT id FROM cli_clientes WHERE numero_documento = '"&amp;SUBSTITUTE(TRIM(A464),"'","''")&amp;"' AND estado = 1 LIMIT 1)"&amp;", "&amp;IF(TRIM(C464&amp;"")="","NULL","'"&amp;SUBSTITUTE(TRIM(C464),"'","''")&amp;"'")&amp;", "&amp;IF(TRIM(D464&amp;"")="","NULL","'"&amp;SUBSTITUTE(TRIM(D464),"'","''")&amp;"'")&amp;", "&amp;IF(TRIM(E464&amp;"")="","NULL","'"&amp;SUBSTITUTE(TRIM(E464),"'","''")&amp;"'")&amp;", "&amp;IF(TRIM(F464&amp;"")="","NULL","(SELECT id FROM gen_departamento WHERE upper(nombre) = upper('"&amp;SUBSTITUTE(TRIM(F464),"'","''")&amp;"') AND estado = 1 LIMIT 1)")&amp;", "&amp;IF(OR(TRIM(F464&amp;"")="",TRIM(G464&amp;"")=""),"NULL","(SELECT p.id FROM gen_provincia p JOIN gen_departamento dp ON dp.id = p.id_departamento WHERE upper(p.nombre) = upper('"&amp;SUBSTITUTE(TRIM(G464),"'","''")&amp;"') AND upper(dp.nombre) = upper('"&amp;SUBSTITUTE(TRIM(F464),"'","''")&amp;"') AND p.estado = 1 LIMIT 1)")&amp;", "&amp;IF(OR(TRIM(F464&amp;"")="",TRIM(G464&amp;"")="",TRIM(H464&amp;"")=""),"NULL","(SELECT d.id FROM gen_distrito d JOIN gen_provincia p ON p.id = d.id_provincia JOIN gen_departamento dp ON dp.id = p.id_departamento WHERE upper(d.nombre) = upper('"&amp;SUBSTITUTE(TRIM(H464),"'","''")&amp;"') AND upper(p.nombre) = upper('"&amp;SUBSTITUTE(TRIM(G464),"'","''")&amp;"') AND upper(dp.nombre) = upper('"&amp;SUBSTITUTE(TRIM(F464),"'","''")&amp;"') AND d.estado = 1 LIMIT 1)")&amp;", "&amp;IF(I464&amp;""="","NULL",SUBSTITUTE(I464&amp;"",",","."))&amp;", "&amp;IF(J464&amp;""="","NULL",SUBSTITUTE(J464&amp;"",",","."))&amp;", "&amp;IF(UPPER(TRIM(K464&amp;""))="SI","TRUE","FALSE")&amp;", 1"&amp;" WHERE NOT EXISTS (SELECT 1 FROM cli_direcciones x WHERE x.id_cliente = "&amp;"(SELECT id FROM cli_clientes WHERE numero_documento = '"&amp;SUBSTITUTE(TRIM(A464),"'","''")&amp;"' AND estado = 1 LIMIT 1)"&amp;" AND upper(x.direccion) = upper("&amp;IF(TRIM(D464&amp;"")="","NULL","'"&amp;SUBSTITUTE(TRIM(D464),"'","''")&amp;"'")&amp;"));")</f>
        <v/>
      </c>
    </row>
    <row r="465" ht="15.75" customHeight="1" s="64">
      <c r="A465" s="23" t="n"/>
      <c r="B465" s="25">
        <f t="array" ref="B465">IF(A465="","",IFERROR(IF(INDEX(Clientes!$D$5:$D$549,MATCH(A465,Clientes!$C$5:$C$549,0))&lt;&gt;"",INDEX(Clientes!$D$5:$D$549,MATCH(A465,Clientes!$C$5:$C$549,0)),TRIM(INDEX(Clientes!$E$5:$E$549,MATCH(A465,Clientes!$C$5:$C$549,0))&amp;" "&amp;INDEX(Clientes!$F$5:$F$549,MATCH(A465,Clientes!$C$5:$C$549,0)))),"NO EXISTE en Clientes"))</f>
        <v/>
      </c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>
        <f>IF(AND(A465="",D465=""),"",IF(A465="","FALTA doc. cliente",IF(B465="NO EXISTE en Clientes","CLIENTE no está en hoja Clientes",IF(D465="","FALTA dirección",IF(AND(H465&lt;&gt;"",OR(F465="",G465="")),"Distrito requiere departamento y provincia",IF(AND(G465&lt;&gt;"",F465=""),"Provincia requiere departamento",IF((I465&lt;&gt;"")&lt;&gt;(J465&lt;&gt;""),"Latitud y longitud van juntas","OK")))))))</f>
        <v/>
      </c>
      <c r="M465" s="28">
        <f>IF(L465&lt;&gt;"OK","","INSERT INTO cli_direcciones (id_cliente, descripcion, direccion, referencia, id_departamento, id_provincia, id_distrito, latitud, longitud, es_principal, estado) SELECT "&amp;"(SELECT id FROM cli_clientes WHERE numero_documento = '"&amp;SUBSTITUTE(TRIM(A465),"'","''")&amp;"' AND estado = 1 LIMIT 1)"&amp;", "&amp;IF(TRIM(C465&amp;"")="","NULL","'"&amp;SUBSTITUTE(TRIM(C465),"'","''")&amp;"'")&amp;", "&amp;IF(TRIM(D465&amp;"")="","NULL","'"&amp;SUBSTITUTE(TRIM(D465),"'","''")&amp;"'")&amp;", "&amp;IF(TRIM(E465&amp;"")="","NULL","'"&amp;SUBSTITUTE(TRIM(E465),"'","''")&amp;"'")&amp;", "&amp;IF(TRIM(F465&amp;"")="","NULL","(SELECT id FROM gen_departamento WHERE upper(nombre) = upper('"&amp;SUBSTITUTE(TRIM(F465),"'","''")&amp;"') AND estado = 1 LIMIT 1)")&amp;", "&amp;IF(OR(TRIM(F465&amp;"")="",TRIM(G465&amp;"")=""),"NULL","(SELECT p.id FROM gen_provincia p JOIN gen_departamento dp ON dp.id = p.id_departamento WHERE upper(p.nombre) = upper('"&amp;SUBSTITUTE(TRIM(G465),"'","''")&amp;"') AND upper(dp.nombre) = upper('"&amp;SUBSTITUTE(TRIM(F465),"'","''")&amp;"') AND p.estado = 1 LIMIT 1)")&amp;", "&amp;IF(OR(TRIM(F465&amp;"")="",TRIM(G465&amp;"")="",TRIM(H465&amp;"")=""),"NULL","(SELECT d.id FROM gen_distrito d JOIN gen_provincia p ON p.id = d.id_provincia JOIN gen_departamento dp ON dp.id = p.id_departamento WHERE upper(d.nombre) = upper('"&amp;SUBSTITUTE(TRIM(H465),"'","''")&amp;"') AND upper(p.nombre) = upper('"&amp;SUBSTITUTE(TRIM(G465),"'","''")&amp;"') AND upper(dp.nombre) = upper('"&amp;SUBSTITUTE(TRIM(F465),"'","''")&amp;"') AND d.estado = 1 LIMIT 1)")&amp;", "&amp;IF(I465&amp;""="","NULL",SUBSTITUTE(I465&amp;"",",","."))&amp;", "&amp;IF(J465&amp;""="","NULL",SUBSTITUTE(J465&amp;"",",","."))&amp;", "&amp;IF(UPPER(TRIM(K465&amp;""))="SI","TRUE","FALSE")&amp;", 1"&amp;" WHERE NOT EXISTS (SELECT 1 FROM cli_direcciones x WHERE x.id_cliente = "&amp;"(SELECT id FROM cli_clientes WHERE numero_documento = '"&amp;SUBSTITUTE(TRIM(A465),"'","''")&amp;"' AND estado = 1 LIMIT 1)"&amp;" AND upper(x.direccion) = upper("&amp;IF(TRIM(D465&amp;"")="","NULL","'"&amp;SUBSTITUTE(TRIM(D465),"'","''")&amp;"'")&amp;"));")</f>
        <v/>
      </c>
    </row>
    <row r="466" ht="15.75" customHeight="1" s="64">
      <c r="A466" s="23" t="n"/>
      <c r="B466" s="25">
        <f t="array" ref="B466">IF(A466="","",IFERROR(IF(INDEX(Clientes!$D$5:$D$549,MATCH(A466,Clientes!$C$5:$C$549,0))&lt;&gt;"",INDEX(Clientes!$D$5:$D$549,MATCH(A466,Clientes!$C$5:$C$549,0)),TRIM(INDEX(Clientes!$E$5:$E$549,MATCH(A466,Clientes!$C$5:$C$549,0))&amp;" "&amp;INDEX(Clientes!$F$5:$F$549,MATCH(A466,Clientes!$C$5:$C$549,0)))),"NO EXISTE en Clientes"))</f>
        <v/>
      </c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>
        <f>IF(AND(A466="",D466=""),"",IF(A466="","FALTA doc. cliente",IF(B466="NO EXISTE en Clientes","CLIENTE no está en hoja Clientes",IF(D466="","FALTA dirección",IF(AND(H466&lt;&gt;"",OR(F466="",G466="")),"Distrito requiere departamento y provincia",IF(AND(G466&lt;&gt;"",F466=""),"Provincia requiere departamento",IF((I466&lt;&gt;"")&lt;&gt;(J466&lt;&gt;""),"Latitud y longitud van juntas","OK")))))))</f>
        <v/>
      </c>
      <c r="M466" s="28">
        <f>IF(L466&lt;&gt;"OK","","INSERT INTO cli_direcciones (id_cliente, descripcion, direccion, referencia, id_departamento, id_provincia, id_distrito, latitud, longitud, es_principal, estado) SELECT "&amp;"(SELECT id FROM cli_clientes WHERE numero_documento = '"&amp;SUBSTITUTE(TRIM(A466),"'","''")&amp;"' AND estado = 1 LIMIT 1)"&amp;", "&amp;IF(TRIM(C466&amp;"")="","NULL","'"&amp;SUBSTITUTE(TRIM(C466),"'","''")&amp;"'")&amp;", "&amp;IF(TRIM(D466&amp;"")="","NULL","'"&amp;SUBSTITUTE(TRIM(D466),"'","''")&amp;"'")&amp;", "&amp;IF(TRIM(E466&amp;"")="","NULL","'"&amp;SUBSTITUTE(TRIM(E466),"'","''")&amp;"'")&amp;", "&amp;IF(TRIM(F466&amp;"")="","NULL","(SELECT id FROM gen_departamento WHERE upper(nombre) = upper('"&amp;SUBSTITUTE(TRIM(F466),"'","''")&amp;"') AND estado = 1 LIMIT 1)")&amp;", "&amp;IF(OR(TRIM(F466&amp;"")="",TRIM(G466&amp;"")=""),"NULL","(SELECT p.id FROM gen_provincia p JOIN gen_departamento dp ON dp.id = p.id_departamento WHERE upper(p.nombre) = upper('"&amp;SUBSTITUTE(TRIM(G466),"'","''")&amp;"') AND upper(dp.nombre) = upper('"&amp;SUBSTITUTE(TRIM(F466),"'","''")&amp;"') AND p.estado = 1 LIMIT 1)")&amp;", "&amp;IF(OR(TRIM(F466&amp;"")="",TRIM(G466&amp;"")="",TRIM(H466&amp;"")=""),"NULL","(SELECT d.id FROM gen_distrito d JOIN gen_provincia p ON p.id = d.id_provincia JOIN gen_departamento dp ON dp.id = p.id_departamento WHERE upper(d.nombre) = upper('"&amp;SUBSTITUTE(TRIM(H466),"'","''")&amp;"') AND upper(p.nombre) = upper('"&amp;SUBSTITUTE(TRIM(G466),"'","''")&amp;"') AND upper(dp.nombre) = upper('"&amp;SUBSTITUTE(TRIM(F466),"'","''")&amp;"') AND d.estado = 1 LIMIT 1)")&amp;", "&amp;IF(I466&amp;""="","NULL",SUBSTITUTE(I466&amp;"",",","."))&amp;", "&amp;IF(J466&amp;""="","NULL",SUBSTITUTE(J466&amp;"",",","."))&amp;", "&amp;IF(UPPER(TRIM(K466&amp;""))="SI","TRUE","FALSE")&amp;", 1"&amp;" WHERE NOT EXISTS (SELECT 1 FROM cli_direcciones x WHERE x.id_cliente = "&amp;"(SELECT id FROM cli_clientes WHERE numero_documento = '"&amp;SUBSTITUTE(TRIM(A466),"'","''")&amp;"' AND estado = 1 LIMIT 1)"&amp;" AND upper(x.direccion) = upper("&amp;IF(TRIM(D466&amp;"")="","NULL","'"&amp;SUBSTITUTE(TRIM(D466),"'","''")&amp;"'")&amp;"));")</f>
        <v/>
      </c>
    </row>
    <row r="467" ht="15.75" customHeight="1" s="64">
      <c r="A467" s="23" t="n"/>
      <c r="B467" s="25">
        <f t="array" ref="B467">IF(A467="","",IFERROR(IF(INDEX(Clientes!$D$5:$D$549,MATCH(A467,Clientes!$C$5:$C$549,0))&lt;&gt;"",INDEX(Clientes!$D$5:$D$549,MATCH(A467,Clientes!$C$5:$C$549,0)),TRIM(INDEX(Clientes!$E$5:$E$549,MATCH(A467,Clientes!$C$5:$C$549,0))&amp;" "&amp;INDEX(Clientes!$F$5:$F$549,MATCH(A467,Clientes!$C$5:$C$549,0)))),"NO EXISTE en Clientes"))</f>
        <v/>
      </c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>
        <f>IF(AND(A467="",D467=""),"",IF(A467="","FALTA doc. cliente",IF(B467="NO EXISTE en Clientes","CLIENTE no está en hoja Clientes",IF(D467="","FALTA dirección",IF(AND(H467&lt;&gt;"",OR(F467="",G467="")),"Distrito requiere departamento y provincia",IF(AND(G467&lt;&gt;"",F467=""),"Provincia requiere departamento",IF((I467&lt;&gt;"")&lt;&gt;(J467&lt;&gt;""),"Latitud y longitud van juntas","OK")))))))</f>
        <v/>
      </c>
      <c r="M467" s="28">
        <f>IF(L467&lt;&gt;"OK","","INSERT INTO cli_direcciones (id_cliente, descripcion, direccion, referencia, id_departamento, id_provincia, id_distrito, latitud, longitud, es_principal, estado) SELECT "&amp;"(SELECT id FROM cli_clientes WHERE numero_documento = '"&amp;SUBSTITUTE(TRIM(A467),"'","''")&amp;"' AND estado = 1 LIMIT 1)"&amp;", "&amp;IF(TRIM(C467&amp;"")="","NULL","'"&amp;SUBSTITUTE(TRIM(C467),"'","''")&amp;"'")&amp;", "&amp;IF(TRIM(D467&amp;"")="","NULL","'"&amp;SUBSTITUTE(TRIM(D467),"'","''")&amp;"'")&amp;", "&amp;IF(TRIM(E467&amp;"")="","NULL","'"&amp;SUBSTITUTE(TRIM(E467),"'","''")&amp;"'")&amp;", "&amp;IF(TRIM(F467&amp;"")="","NULL","(SELECT id FROM gen_departamento WHERE upper(nombre) = upper('"&amp;SUBSTITUTE(TRIM(F467),"'","''")&amp;"') AND estado = 1 LIMIT 1)")&amp;", "&amp;IF(OR(TRIM(F467&amp;"")="",TRIM(G467&amp;"")=""),"NULL","(SELECT p.id FROM gen_provincia p JOIN gen_departamento dp ON dp.id = p.id_departamento WHERE upper(p.nombre) = upper('"&amp;SUBSTITUTE(TRIM(G467),"'","''")&amp;"') AND upper(dp.nombre) = upper('"&amp;SUBSTITUTE(TRIM(F467),"'","''")&amp;"') AND p.estado = 1 LIMIT 1)")&amp;", "&amp;IF(OR(TRIM(F467&amp;"")="",TRIM(G467&amp;"")="",TRIM(H467&amp;"")=""),"NULL","(SELECT d.id FROM gen_distrito d JOIN gen_provincia p ON p.id = d.id_provincia JOIN gen_departamento dp ON dp.id = p.id_departamento WHERE upper(d.nombre) = upper('"&amp;SUBSTITUTE(TRIM(H467),"'","''")&amp;"') AND upper(p.nombre) = upper('"&amp;SUBSTITUTE(TRIM(G467),"'","''")&amp;"') AND upper(dp.nombre) = upper('"&amp;SUBSTITUTE(TRIM(F467),"'","''")&amp;"') AND d.estado = 1 LIMIT 1)")&amp;", "&amp;IF(I467&amp;""="","NULL",SUBSTITUTE(I467&amp;"",",","."))&amp;", "&amp;IF(J467&amp;""="","NULL",SUBSTITUTE(J467&amp;"",",","."))&amp;", "&amp;IF(UPPER(TRIM(K467&amp;""))="SI","TRUE","FALSE")&amp;", 1"&amp;" WHERE NOT EXISTS (SELECT 1 FROM cli_direcciones x WHERE x.id_cliente = "&amp;"(SELECT id FROM cli_clientes WHERE numero_documento = '"&amp;SUBSTITUTE(TRIM(A467),"'","''")&amp;"' AND estado = 1 LIMIT 1)"&amp;" AND upper(x.direccion) = upper("&amp;IF(TRIM(D467&amp;"")="","NULL","'"&amp;SUBSTITUTE(TRIM(D467),"'","''")&amp;"'")&amp;"));")</f>
        <v/>
      </c>
    </row>
    <row r="468" ht="15.75" customHeight="1" s="64">
      <c r="A468" s="23" t="n"/>
      <c r="B468" s="25">
        <f t="array" ref="B468">IF(A468="","",IFERROR(IF(INDEX(Clientes!$D$5:$D$549,MATCH(A468,Clientes!$C$5:$C$549,0))&lt;&gt;"",INDEX(Clientes!$D$5:$D$549,MATCH(A468,Clientes!$C$5:$C$549,0)),TRIM(INDEX(Clientes!$E$5:$E$549,MATCH(A468,Clientes!$C$5:$C$549,0))&amp;" "&amp;INDEX(Clientes!$F$5:$F$549,MATCH(A468,Clientes!$C$5:$C$549,0)))),"NO EXISTE en Clientes"))</f>
        <v/>
      </c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>
        <f>IF(AND(A468="",D468=""),"",IF(A468="","FALTA doc. cliente",IF(B468="NO EXISTE en Clientes","CLIENTE no está en hoja Clientes",IF(D468="","FALTA dirección",IF(AND(H468&lt;&gt;"",OR(F468="",G468="")),"Distrito requiere departamento y provincia",IF(AND(G468&lt;&gt;"",F468=""),"Provincia requiere departamento",IF((I468&lt;&gt;"")&lt;&gt;(J468&lt;&gt;""),"Latitud y longitud van juntas","OK")))))))</f>
        <v/>
      </c>
      <c r="M468" s="28">
        <f>IF(L468&lt;&gt;"OK","","INSERT INTO cli_direcciones (id_cliente, descripcion, direccion, referencia, id_departamento, id_provincia, id_distrito, latitud, longitud, es_principal, estado) SELECT "&amp;"(SELECT id FROM cli_clientes WHERE numero_documento = '"&amp;SUBSTITUTE(TRIM(A468),"'","''")&amp;"' AND estado = 1 LIMIT 1)"&amp;", "&amp;IF(TRIM(C468&amp;"")="","NULL","'"&amp;SUBSTITUTE(TRIM(C468),"'","''")&amp;"'")&amp;", "&amp;IF(TRIM(D468&amp;"")="","NULL","'"&amp;SUBSTITUTE(TRIM(D468),"'","''")&amp;"'")&amp;", "&amp;IF(TRIM(E468&amp;"")="","NULL","'"&amp;SUBSTITUTE(TRIM(E468),"'","''")&amp;"'")&amp;", "&amp;IF(TRIM(F468&amp;"")="","NULL","(SELECT id FROM gen_departamento WHERE upper(nombre) = upper('"&amp;SUBSTITUTE(TRIM(F468),"'","''")&amp;"') AND estado = 1 LIMIT 1)")&amp;", "&amp;IF(OR(TRIM(F468&amp;"")="",TRIM(G468&amp;"")=""),"NULL","(SELECT p.id FROM gen_provincia p JOIN gen_departamento dp ON dp.id = p.id_departamento WHERE upper(p.nombre) = upper('"&amp;SUBSTITUTE(TRIM(G468),"'","''")&amp;"') AND upper(dp.nombre) = upper('"&amp;SUBSTITUTE(TRIM(F468),"'","''")&amp;"') AND p.estado = 1 LIMIT 1)")&amp;", "&amp;IF(OR(TRIM(F468&amp;"")="",TRIM(G468&amp;"")="",TRIM(H468&amp;"")=""),"NULL","(SELECT d.id FROM gen_distrito d JOIN gen_provincia p ON p.id = d.id_provincia JOIN gen_departamento dp ON dp.id = p.id_departamento WHERE upper(d.nombre) = upper('"&amp;SUBSTITUTE(TRIM(H468),"'","''")&amp;"') AND upper(p.nombre) = upper('"&amp;SUBSTITUTE(TRIM(G468),"'","''")&amp;"') AND upper(dp.nombre) = upper('"&amp;SUBSTITUTE(TRIM(F468),"'","''")&amp;"') AND d.estado = 1 LIMIT 1)")&amp;", "&amp;IF(I468&amp;""="","NULL",SUBSTITUTE(I468&amp;"",",","."))&amp;", "&amp;IF(J468&amp;""="","NULL",SUBSTITUTE(J468&amp;"",",","."))&amp;", "&amp;IF(UPPER(TRIM(K468&amp;""))="SI","TRUE","FALSE")&amp;", 1"&amp;" WHERE NOT EXISTS (SELECT 1 FROM cli_direcciones x WHERE x.id_cliente = "&amp;"(SELECT id FROM cli_clientes WHERE numero_documento = '"&amp;SUBSTITUTE(TRIM(A468),"'","''")&amp;"' AND estado = 1 LIMIT 1)"&amp;" AND upper(x.direccion) = upper("&amp;IF(TRIM(D468&amp;"")="","NULL","'"&amp;SUBSTITUTE(TRIM(D468),"'","''")&amp;"'")&amp;"));")</f>
        <v/>
      </c>
    </row>
    <row r="469" ht="15.75" customHeight="1" s="64">
      <c r="A469" s="23" t="n"/>
      <c r="B469" s="25">
        <f t="array" ref="B469">IF(A469="","",IFERROR(IF(INDEX(Clientes!$D$5:$D$549,MATCH(A469,Clientes!$C$5:$C$549,0))&lt;&gt;"",INDEX(Clientes!$D$5:$D$549,MATCH(A469,Clientes!$C$5:$C$549,0)),TRIM(INDEX(Clientes!$E$5:$E$549,MATCH(A469,Clientes!$C$5:$C$549,0))&amp;" "&amp;INDEX(Clientes!$F$5:$F$549,MATCH(A469,Clientes!$C$5:$C$549,0)))),"NO EXISTE en Clientes"))</f>
        <v/>
      </c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>
        <f>IF(AND(A469="",D469=""),"",IF(A469="","FALTA doc. cliente",IF(B469="NO EXISTE en Clientes","CLIENTE no está en hoja Clientes",IF(D469="","FALTA dirección",IF(AND(H469&lt;&gt;"",OR(F469="",G469="")),"Distrito requiere departamento y provincia",IF(AND(G469&lt;&gt;"",F469=""),"Provincia requiere departamento",IF((I469&lt;&gt;"")&lt;&gt;(J469&lt;&gt;""),"Latitud y longitud van juntas","OK")))))))</f>
        <v/>
      </c>
      <c r="M469" s="28">
        <f>IF(L469&lt;&gt;"OK","","INSERT INTO cli_direcciones (id_cliente, descripcion, direccion, referencia, id_departamento, id_provincia, id_distrito, latitud, longitud, es_principal, estado) SELECT "&amp;"(SELECT id FROM cli_clientes WHERE numero_documento = '"&amp;SUBSTITUTE(TRIM(A469),"'","''")&amp;"' AND estado = 1 LIMIT 1)"&amp;", "&amp;IF(TRIM(C469&amp;"")="","NULL","'"&amp;SUBSTITUTE(TRIM(C469),"'","''")&amp;"'")&amp;", "&amp;IF(TRIM(D469&amp;"")="","NULL","'"&amp;SUBSTITUTE(TRIM(D469),"'","''")&amp;"'")&amp;", "&amp;IF(TRIM(E469&amp;"")="","NULL","'"&amp;SUBSTITUTE(TRIM(E469),"'","''")&amp;"'")&amp;", "&amp;IF(TRIM(F469&amp;"")="","NULL","(SELECT id FROM gen_departamento WHERE upper(nombre) = upper('"&amp;SUBSTITUTE(TRIM(F469),"'","''")&amp;"') AND estado = 1 LIMIT 1)")&amp;", "&amp;IF(OR(TRIM(F469&amp;"")="",TRIM(G469&amp;"")=""),"NULL","(SELECT p.id FROM gen_provincia p JOIN gen_departamento dp ON dp.id = p.id_departamento WHERE upper(p.nombre) = upper('"&amp;SUBSTITUTE(TRIM(G469),"'","''")&amp;"') AND upper(dp.nombre) = upper('"&amp;SUBSTITUTE(TRIM(F469),"'","''")&amp;"') AND p.estado = 1 LIMIT 1)")&amp;", "&amp;IF(OR(TRIM(F469&amp;"")="",TRIM(G469&amp;"")="",TRIM(H469&amp;"")=""),"NULL","(SELECT d.id FROM gen_distrito d JOIN gen_provincia p ON p.id = d.id_provincia JOIN gen_departamento dp ON dp.id = p.id_departamento WHERE upper(d.nombre) = upper('"&amp;SUBSTITUTE(TRIM(H469),"'","''")&amp;"') AND upper(p.nombre) = upper('"&amp;SUBSTITUTE(TRIM(G469),"'","''")&amp;"') AND upper(dp.nombre) = upper('"&amp;SUBSTITUTE(TRIM(F469),"'","''")&amp;"') AND d.estado = 1 LIMIT 1)")&amp;", "&amp;IF(I469&amp;""="","NULL",SUBSTITUTE(I469&amp;"",",","."))&amp;", "&amp;IF(J469&amp;""="","NULL",SUBSTITUTE(J469&amp;"",",","."))&amp;", "&amp;IF(UPPER(TRIM(K469&amp;""))="SI","TRUE","FALSE")&amp;", 1"&amp;" WHERE NOT EXISTS (SELECT 1 FROM cli_direcciones x WHERE x.id_cliente = "&amp;"(SELECT id FROM cli_clientes WHERE numero_documento = '"&amp;SUBSTITUTE(TRIM(A469),"'","''")&amp;"' AND estado = 1 LIMIT 1)"&amp;" AND upper(x.direccion) = upper("&amp;IF(TRIM(D469&amp;"")="","NULL","'"&amp;SUBSTITUTE(TRIM(D469),"'","''")&amp;"'")&amp;"));")</f>
        <v/>
      </c>
    </row>
    <row r="470" ht="15.75" customHeight="1" s="64">
      <c r="A470" s="23" t="n"/>
      <c r="B470" s="25">
        <f t="array" ref="B470">IF(A470="","",IFERROR(IF(INDEX(Clientes!$D$5:$D$549,MATCH(A470,Clientes!$C$5:$C$549,0))&lt;&gt;"",INDEX(Clientes!$D$5:$D$549,MATCH(A470,Clientes!$C$5:$C$549,0)),TRIM(INDEX(Clientes!$E$5:$E$549,MATCH(A470,Clientes!$C$5:$C$549,0))&amp;" "&amp;INDEX(Clientes!$F$5:$F$549,MATCH(A470,Clientes!$C$5:$C$549,0)))),"NO EXISTE en Clientes"))</f>
        <v/>
      </c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>
        <f>IF(AND(A470="",D470=""),"",IF(A470="","FALTA doc. cliente",IF(B470="NO EXISTE en Clientes","CLIENTE no está en hoja Clientes",IF(D470="","FALTA dirección",IF(AND(H470&lt;&gt;"",OR(F470="",G470="")),"Distrito requiere departamento y provincia",IF(AND(G470&lt;&gt;"",F470=""),"Provincia requiere departamento",IF((I470&lt;&gt;"")&lt;&gt;(J470&lt;&gt;""),"Latitud y longitud van juntas","OK")))))))</f>
        <v/>
      </c>
      <c r="M470" s="28">
        <f>IF(L470&lt;&gt;"OK","","INSERT INTO cli_direcciones (id_cliente, descripcion, direccion, referencia, id_departamento, id_provincia, id_distrito, latitud, longitud, es_principal, estado) SELECT "&amp;"(SELECT id FROM cli_clientes WHERE numero_documento = '"&amp;SUBSTITUTE(TRIM(A470),"'","''")&amp;"' AND estado = 1 LIMIT 1)"&amp;", "&amp;IF(TRIM(C470&amp;"")="","NULL","'"&amp;SUBSTITUTE(TRIM(C470),"'","''")&amp;"'")&amp;", "&amp;IF(TRIM(D470&amp;"")="","NULL","'"&amp;SUBSTITUTE(TRIM(D470),"'","''")&amp;"'")&amp;", "&amp;IF(TRIM(E470&amp;"")="","NULL","'"&amp;SUBSTITUTE(TRIM(E470),"'","''")&amp;"'")&amp;", "&amp;IF(TRIM(F470&amp;"")="","NULL","(SELECT id FROM gen_departamento WHERE upper(nombre) = upper('"&amp;SUBSTITUTE(TRIM(F470),"'","''")&amp;"') AND estado = 1 LIMIT 1)")&amp;", "&amp;IF(OR(TRIM(F470&amp;"")="",TRIM(G470&amp;"")=""),"NULL","(SELECT p.id FROM gen_provincia p JOIN gen_departamento dp ON dp.id = p.id_departamento WHERE upper(p.nombre) = upper('"&amp;SUBSTITUTE(TRIM(G470),"'","''")&amp;"') AND upper(dp.nombre) = upper('"&amp;SUBSTITUTE(TRIM(F470),"'","''")&amp;"') AND p.estado = 1 LIMIT 1)")&amp;", "&amp;IF(OR(TRIM(F470&amp;"")="",TRIM(G470&amp;"")="",TRIM(H470&amp;"")=""),"NULL","(SELECT d.id FROM gen_distrito d JOIN gen_provincia p ON p.id = d.id_provincia JOIN gen_departamento dp ON dp.id = p.id_departamento WHERE upper(d.nombre) = upper('"&amp;SUBSTITUTE(TRIM(H470),"'","''")&amp;"') AND upper(p.nombre) = upper('"&amp;SUBSTITUTE(TRIM(G470),"'","''")&amp;"') AND upper(dp.nombre) = upper('"&amp;SUBSTITUTE(TRIM(F470),"'","''")&amp;"') AND d.estado = 1 LIMIT 1)")&amp;", "&amp;IF(I470&amp;""="","NULL",SUBSTITUTE(I470&amp;"",",","."))&amp;", "&amp;IF(J470&amp;""="","NULL",SUBSTITUTE(J470&amp;"",",","."))&amp;", "&amp;IF(UPPER(TRIM(K470&amp;""))="SI","TRUE","FALSE")&amp;", 1"&amp;" WHERE NOT EXISTS (SELECT 1 FROM cli_direcciones x WHERE x.id_cliente = "&amp;"(SELECT id FROM cli_clientes WHERE numero_documento = '"&amp;SUBSTITUTE(TRIM(A470),"'","''")&amp;"' AND estado = 1 LIMIT 1)"&amp;" AND upper(x.direccion) = upper("&amp;IF(TRIM(D470&amp;"")="","NULL","'"&amp;SUBSTITUTE(TRIM(D470),"'","''")&amp;"'")&amp;"));")</f>
        <v/>
      </c>
    </row>
    <row r="471" ht="15.75" customHeight="1" s="64">
      <c r="A471" s="23" t="n"/>
      <c r="B471" s="25">
        <f t="array" ref="B471">IF(A471="","",IFERROR(IF(INDEX(Clientes!$D$5:$D$549,MATCH(A471,Clientes!$C$5:$C$549,0))&lt;&gt;"",INDEX(Clientes!$D$5:$D$549,MATCH(A471,Clientes!$C$5:$C$549,0)),TRIM(INDEX(Clientes!$E$5:$E$549,MATCH(A471,Clientes!$C$5:$C$549,0))&amp;" "&amp;INDEX(Clientes!$F$5:$F$549,MATCH(A471,Clientes!$C$5:$C$549,0)))),"NO EXISTE en Clientes"))</f>
        <v/>
      </c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>
        <f>IF(AND(A471="",D471=""),"",IF(A471="","FALTA doc. cliente",IF(B471="NO EXISTE en Clientes","CLIENTE no está en hoja Clientes",IF(D471="","FALTA dirección",IF(AND(H471&lt;&gt;"",OR(F471="",G471="")),"Distrito requiere departamento y provincia",IF(AND(G471&lt;&gt;"",F471=""),"Provincia requiere departamento",IF((I471&lt;&gt;"")&lt;&gt;(J471&lt;&gt;""),"Latitud y longitud van juntas","OK")))))))</f>
        <v/>
      </c>
      <c r="M471" s="28">
        <f>IF(L471&lt;&gt;"OK","","INSERT INTO cli_direcciones (id_cliente, descripcion, direccion, referencia, id_departamento, id_provincia, id_distrito, latitud, longitud, es_principal, estado) SELECT "&amp;"(SELECT id FROM cli_clientes WHERE numero_documento = '"&amp;SUBSTITUTE(TRIM(A471),"'","''")&amp;"' AND estado = 1 LIMIT 1)"&amp;", "&amp;IF(TRIM(C471&amp;"")="","NULL","'"&amp;SUBSTITUTE(TRIM(C471),"'","''")&amp;"'")&amp;", "&amp;IF(TRIM(D471&amp;"")="","NULL","'"&amp;SUBSTITUTE(TRIM(D471),"'","''")&amp;"'")&amp;", "&amp;IF(TRIM(E471&amp;"")="","NULL","'"&amp;SUBSTITUTE(TRIM(E471),"'","''")&amp;"'")&amp;", "&amp;IF(TRIM(F471&amp;"")="","NULL","(SELECT id FROM gen_departamento WHERE upper(nombre) = upper('"&amp;SUBSTITUTE(TRIM(F471),"'","''")&amp;"') AND estado = 1 LIMIT 1)")&amp;", "&amp;IF(OR(TRIM(F471&amp;"")="",TRIM(G471&amp;"")=""),"NULL","(SELECT p.id FROM gen_provincia p JOIN gen_departamento dp ON dp.id = p.id_departamento WHERE upper(p.nombre) = upper('"&amp;SUBSTITUTE(TRIM(G471),"'","''")&amp;"') AND upper(dp.nombre) = upper('"&amp;SUBSTITUTE(TRIM(F471),"'","''")&amp;"') AND p.estado = 1 LIMIT 1)")&amp;", "&amp;IF(OR(TRIM(F471&amp;"")="",TRIM(G471&amp;"")="",TRIM(H471&amp;"")=""),"NULL","(SELECT d.id FROM gen_distrito d JOIN gen_provincia p ON p.id = d.id_provincia JOIN gen_departamento dp ON dp.id = p.id_departamento WHERE upper(d.nombre) = upper('"&amp;SUBSTITUTE(TRIM(H471),"'","''")&amp;"') AND upper(p.nombre) = upper('"&amp;SUBSTITUTE(TRIM(G471),"'","''")&amp;"') AND upper(dp.nombre) = upper('"&amp;SUBSTITUTE(TRIM(F471),"'","''")&amp;"') AND d.estado = 1 LIMIT 1)")&amp;", "&amp;IF(I471&amp;""="","NULL",SUBSTITUTE(I471&amp;"",",","."))&amp;", "&amp;IF(J471&amp;""="","NULL",SUBSTITUTE(J471&amp;"",",","."))&amp;", "&amp;IF(UPPER(TRIM(K471&amp;""))="SI","TRUE","FALSE")&amp;", 1"&amp;" WHERE NOT EXISTS (SELECT 1 FROM cli_direcciones x WHERE x.id_cliente = "&amp;"(SELECT id FROM cli_clientes WHERE numero_documento = '"&amp;SUBSTITUTE(TRIM(A471),"'","''")&amp;"' AND estado = 1 LIMIT 1)"&amp;" AND upper(x.direccion) = upper("&amp;IF(TRIM(D471&amp;"")="","NULL","'"&amp;SUBSTITUTE(TRIM(D471),"'","''")&amp;"'")&amp;"));")</f>
        <v/>
      </c>
    </row>
    <row r="472" ht="15.75" customHeight="1" s="64">
      <c r="A472" s="23" t="n"/>
      <c r="B472" s="25">
        <f t="array" ref="B472">IF(A472="","",IFERROR(IF(INDEX(Clientes!$D$5:$D$549,MATCH(A472,Clientes!$C$5:$C$549,0))&lt;&gt;"",INDEX(Clientes!$D$5:$D$549,MATCH(A472,Clientes!$C$5:$C$549,0)),TRIM(INDEX(Clientes!$E$5:$E$549,MATCH(A472,Clientes!$C$5:$C$549,0))&amp;" "&amp;INDEX(Clientes!$F$5:$F$549,MATCH(A472,Clientes!$C$5:$C$549,0)))),"NO EXISTE en Clientes"))</f>
        <v/>
      </c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>
        <f>IF(AND(A472="",D472=""),"",IF(A472="","FALTA doc. cliente",IF(B472="NO EXISTE en Clientes","CLIENTE no está en hoja Clientes",IF(D472="","FALTA dirección",IF(AND(H472&lt;&gt;"",OR(F472="",G472="")),"Distrito requiere departamento y provincia",IF(AND(G472&lt;&gt;"",F472=""),"Provincia requiere departamento",IF((I472&lt;&gt;"")&lt;&gt;(J472&lt;&gt;""),"Latitud y longitud van juntas","OK")))))))</f>
        <v/>
      </c>
      <c r="M472" s="28">
        <f>IF(L472&lt;&gt;"OK","","INSERT INTO cli_direcciones (id_cliente, descripcion, direccion, referencia, id_departamento, id_provincia, id_distrito, latitud, longitud, es_principal, estado) SELECT "&amp;"(SELECT id FROM cli_clientes WHERE numero_documento = '"&amp;SUBSTITUTE(TRIM(A472),"'","''")&amp;"' AND estado = 1 LIMIT 1)"&amp;", "&amp;IF(TRIM(C472&amp;"")="","NULL","'"&amp;SUBSTITUTE(TRIM(C472),"'","''")&amp;"'")&amp;", "&amp;IF(TRIM(D472&amp;"")="","NULL","'"&amp;SUBSTITUTE(TRIM(D472),"'","''")&amp;"'")&amp;", "&amp;IF(TRIM(E472&amp;"")="","NULL","'"&amp;SUBSTITUTE(TRIM(E472),"'","''")&amp;"'")&amp;", "&amp;IF(TRIM(F472&amp;"")="","NULL","(SELECT id FROM gen_departamento WHERE upper(nombre) = upper('"&amp;SUBSTITUTE(TRIM(F472),"'","''")&amp;"') AND estado = 1 LIMIT 1)")&amp;", "&amp;IF(OR(TRIM(F472&amp;"")="",TRIM(G472&amp;"")=""),"NULL","(SELECT p.id FROM gen_provincia p JOIN gen_departamento dp ON dp.id = p.id_departamento WHERE upper(p.nombre) = upper('"&amp;SUBSTITUTE(TRIM(G472),"'","''")&amp;"') AND upper(dp.nombre) = upper('"&amp;SUBSTITUTE(TRIM(F472),"'","''")&amp;"') AND p.estado = 1 LIMIT 1)")&amp;", "&amp;IF(OR(TRIM(F472&amp;"")="",TRIM(G472&amp;"")="",TRIM(H472&amp;"")=""),"NULL","(SELECT d.id FROM gen_distrito d JOIN gen_provincia p ON p.id = d.id_provincia JOIN gen_departamento dp ON dp.id = p.id_departamento WHERE upper(d.nombre) = upper('"&amp;SUBSTITUTE(TRIM(H472),"'","''")&amp;"') AND upper(p.nombre) = upper('"&amp;SUBSTITUTE(TRIM(G472),"'","''")&amp;"') AND upper(dp.nombre) = upper('"&amp;SUBSTITUTE(TRIM(F472),"'","''")&amp;"') AND d.estado = 1 LIMIT 1)")&amp;", "&amp;IF(I472&amp;""="","NULL",SUBSTITUTE(I472&amp;"",",","."))&amp;", "&amp;IF(J472&amp;""="","NULL",SUBSTITUTE(J472&amp;"",",","."))&amp;", "&amp;IF(UPPER(TRIM(K472&amp;""))="SI","TRUE","FALSE")&amp;", 1"&amp;" WHERE NOT EXISTS (SELECT 1 FROM cli_direcciones x WHERE x.id_cliente = "&amp;"(SELECT id FROM cli_clientes WHERE numero_documento = '"&amp;SUBSTITUTE(TRIM(A472),"'","''")&amp;"' AND estado = 1 LIMIT 1)"&amp;" AND upper(x.direccion) = upper("&amp;IF(TRIM(D472&amp;"")="","NULL","'"&amp;SUBSTITUTE(TRIM(D472),"'","''")&amp;"'")&amp;"));")</f>
        <v/>
      </c>
    </row>
    <row r="473" ht="15.75" customHeight="1" s="64">
      <c r="A473" s="23" t="n"/>
      <c r="B473" s="25">
        <f t="array" ref="B473">IF(A473="","",IFERROR(IF(INDEX(Clientes!$D$5:$D$549,MATCH(A473,Clientes!$C$5:$C$549,0))&lt;&gt;"",INDEX(Clientes!$D$5:$D$549,MATCH(A473,Clientes!$C$5:$C$549,0)),TRIM(INDEX(Clientes!$E$5:$E$549,MATCH(A473,Clientes!$C$5:$C$549,0))&amp;" "&amp;INDEX(Clientes!$F$5:$F$549,MATCH(A473,Clientes!$C$5:$C$549,0)))),"NO EXISTE en Clientes"))</f>
        <v/>
      </c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>
        <f>IF(AND(A473="",D473=""),"",IF(A473="","FALTA doc. cliente",IF(B473="NO EXISTE en Clientes","CLIENTE no está en hoja Clientes",IF(D473="","FALTA dirección",IF(AND(H473&lt;&gt;"",OR(F473="",G473="")),"Distrito requiere departamento y provincia",IF(AND(G473&lt;&gt;"",F473=""),"Provincia requiere departamento",IF((I473&lt;&gt;"")&lt;&gt;(J473&lt;&gt;""),"Latitud y longitud van juntas","OK")))))))</f>
        <v/>
      </c>
      <c r="M473" s="28">
        <f>IF(L473&lt;&gt;"OK","","INSERT INTO cli_direcciones (id_cliente, descripcion, direccion, referencia, id_departamento, id_provincia, id_distrito, latitud, longitud, es_principal, estado) SELECT "&amp;"(SELECT id FROM cli_clientes WHERE numero_documento = '"&amp;SUBSTITUTE(TRIM(A473),"'","''")&amp;"' AND estado = 1 LIMIT 1)"&amp;", "&amp;IF(TRIM(C473&amp;"")="","NULL","'"&amp;SUBSTITUTE(TRIM(C473),"'","''")&amp;"'")&amp;", "&amp;IF(TRIM(D473&amp;"")="","NULL","'"&amp;SUBSTITUTE(TRIM(D473),"'","''")&amp;"'")&amp;", "&amp;IF(TRIM(E473&amp;"")="","NULL","'"&amp;SUBSTITUTE(TRIM(E473),"'","''")&amp;"'")&amp;", "&amp;IF(TRIM(F473&amp;"")="","NULL","(SELECT id FROM gen_departamento WHERE upper(nombre) = upper('"&amp;SUBSTITUTE(TRIM(F473),"'","''")&amp;"') AND estado = 1 LIMIT 1)")&amp;", "&amp;IF(OR(TRIM(F473&amp;"")="",TRIM(G473&amp;"")=""),"NULL","(SELECT p.id FROM gen_provincia p JOIN gen_departamento dp ON dp.id = p.id_departamento WHERE upper(p.nombre) = upper('"&amp;SUBSTITUTE(TRIM(G473),"'","''")&amp;"') AND upper(dp.nombre) = upper('"&amp;SUBSTITUTE(TRIM(F473),"'","''")&amp;"') AND p.estado = 1 LIMIT 1)")&amp;", "&amp;IF(OR(TRIM(F473&amp;"")="",TRIM(G473&amp;"")="",TRIM(H473&amp;"")=""),"NULL","(SELECT d.id FROM gen_distrito d JOIN gen_provincia p ON p.id = d.id_provincia JOIN gen_departamento dp ON dp.id = p.id_departamento WHERE upper(d.nombre) = upper('"&amp;SUBSTITUTE(TRIM(H473),"'","''")&amp;"') AND upper(p.nombre) = upper('"&amp;SUBSTITUTE(TRIM(G473),"'","''")&amp;"') AND upper(dp.nombre) = upper('"&amp;SUBSTITUTE(TRIM(F473),"'","''")&amp;"') AND d.estado = 1 LIMIT 1)")&amp;", "&amp;IF(I473&amp;""="","NULL",SUBSTITUTE(I473&amp;"",",","."))&amp;", "&amp;IF(J473&amp;""="","NULL",SUBSTITUTE(J473&amp;"",",","."))&amp;", "&amp;IF(UPPER(TRIM(K473&amp;""))="SI","TRUE","FALSE")&amp;", 1"&amp;" WHERE NOT EXISTS (SELECT 1 FROM cli_direcciones x WHERE x.id_cliente = "&amp;"(SELECT id FROM cli_clientes WHERE numero_documento = '"&amp;SUBSTITUTE(TRIM(A473),"'","''")&amp;"' AND estado = 1 LIMIT 1)"&amp;" AND upper(x.direccion) = upper("&amp;IF(TRIM(D473&amp;"")="","NULL","'"&amp;SUBSTITUTE(TRIM(D473),"'","''")&amp;"'")&amp;"));")</f>
        <v/>
      </c>
    </row>
    <row r="474" ht="15.75" customHeight="1" s="64">
      <c r="A474" s="23" t="n"/>
      <c r="B474" s="25">
        <f t="array" ref="B474">IF(A474="","",IFERROR(IF(INDEX(Clientes!$D$5:$D$549,MATCH(A474,Clientes!$C$5:$C$549,0))&lt;&gt;"",INDEX(Clientes!$D$5:$D$549,MATCH(A474,Clientes!$C$5:$C$549,0)),TRIM(INDEX(Clientes!$E$5:$E$549,MATCH(A474,Clientes!$C$5:$C$549,0))&amp;" "&amp;INDEX(Clientes!$F$5:$F$549,MATCH(A474,Clientes!$C$5:$C$549,0)))),"NO EXISTE en Clientes"))</f>
        <v/>
      </c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>
        <f>IF(AND(A474="",D474=""),"",IF(A474="","FALTA doc. cliente",IF(B474="NO EXISTE en Clientes","CLIENTE no está en hoja Clientes",IF(D474="","FALTA dirección",IF(AND(H474&lt;&gt;"",OR(F474="",G474="")),"Distrito requiere departamento y provincia",IF(AND(G474&lt;&gt;"",F474=""),"Provincia requiere departamento",IF((I474&lt;&gt;"")&lt;&gt;(J474&lt;&gt;""),"Latitud y longitud van juntas","OK")))))))</f>
        <v/>
      </c>
      <c r="M474" s="28">
        <f>IF(L474&lt;&gt;"OK","","INSERT INTO cli_direcciones (id_cliente, descripcion, direccion, referencia, id_departamento, id_provincia, id_distrito, latitud, longitud, es_principal, estado) SELECT "&amp;"(SELECT id FROM cli_clientes WHERE numero_documento = '"&amp;SUBSTITUTE(TRIM(A474),"'","''")&amp;"' AND estado = 1 LIMIT 1)"&amp;", "&amp;IF(TRIM(C474&amp;"")="","NULL","'"&amp;SUBSTITUTE(TRIM(C474),"'","''")&amp;"'")&amp;", "&amp;IF(TRIM(D474&amp;"")="","NULL","'"&amp;SUBSTITUTE(TRIM(D474),"'","''")&amp;"'")&amp;", "&amp;IF(TRIM(E474&amp;"")="","NULL","'"&amp;SUBSTITUTE(TRIM(E474),"'","''")&amp;"'")&amp;", "&amp;IF(TRIM(F474&amp;"")="","NULL","(SELECT id FROM gen_departamento WHERE upper(nombre) = upper('"&amp;SUBSTITUTE(TRIM(F474),"'","''")&amp;"') AND estado = 1 LIMIT 1)")&amp;", "&amp;IF(OR(TRIM(F474&amp;"")="",TRIM(G474&amp;"")=""),"NULL","(SELECT p.id FROM gen_provincia p JOIN gen_departamento dp ON dp.id = p.id_departamento WHERE upper(p.nombre) = upper('"&amp;SUBSTITUTE(TRIM(G474),"'","''")&amp;"') AND upper(dp.nombre) = upper('"&amp;SUBSTITUTE(TRIM(F474),"'","''")&amp;"') AND p.estado = 1 LIMIT 1)")&amp;", "&amp;IF(OR(TRIM(F474&amp;"")="",TRIM(G474&amp;"")="",TRIM(H474&amp;"")=""),"NULL","(SELECT d.id FROM gen_distrito d JOIN gen_provincia p ON p.id = d.id_provincia JOIN gen_departamento dp ON dp.id = p.id_departamento WHERE upper(d.nombre) = upper('"&amp;SUBSTITUTE(TRIM(H474),"'","''")&amp;"') AND upper(p.nombre) = upper('"&amp;SUBSTITUTE(TRIM(G474),"'","''")&amp;"') AND upper(dp.nombre) = upper('"&amp;SUBSTITUTE(TRIM(F474),"'","''")&amp;"') AND d.estado = 1 LIMIT 1)")&amp;", "&amp;IF(I474&amp;""="","NULL",SUBSTITUTE(I474&amp;"",",","."))&amp;", "&amp;IF(J474&amp;""="","NULL",SUBSTITUTE(J474&amp;"",",","."))&amp;", "&amp;IF(UPPER(TRIM(K474&amp;""))="SI","TRUE","FALSE")&amp;", 1"&amp;" WHERE NOT EXISTS (SELECT 1 FROM cli_direcciones x WHERE x.id_cliente = "&amp;"(SELECT id FROM cli_clientes WHERE numero_documento = '"&amp;SUBSTITUTE(TRIM(A474),"'","''")&amp;"' AND estado = 1 LIMIT 1)"&amp;" AND upper(x.direccion) = upper("&amp;IF(TRIM(D474&amp;"")="","NULL","'"&amp;SUBSTITUTE(TRIM(D474),"'","''")&amp;"'")&amp;"));")</f>
        <v/>
      </c>
    </row>
    <row r="475" ht="15.75" customHeight="1" s="64">
      <c r="A475" s="23" t="n"/>
      <c r="B475" s="25">
        <f t="array" ref="B475">IF(A475="","",IFERROR(IF(INDEX(Clientes!$D$5:$D$549,MATCH(A475,Clientes!$C$5:$C$549,0))&lt;&gt;"",INDEX(Clientes!$D$5:$D$549,MATCH(A475,Clientes!$C$5:$C$549,0)),TRIM(INDEX(Clientes!$E$5:$E$549,MATCH(A475,Clientes!$C$5:$C$549,0))&amp;" "&amp;INDEX(Clientes!$F$5:$F$549,MATCH(A475,Clientes!$C$5:$C$549,0)))),"NO EXISTE en Clientes"))</f>
        <v/>
      </c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>
        <f>IF(AND(A475="",D475=""),"",IF(A475="","FALTA doc. cliente",IF(B475="NO EXISTE en Clientes","CLIENTE no está en hoja Clientes",IF(D475="","FALTA dirección",IF(AND(H475&lt;&gt;"",OR(F475="",G475="")),"Distrito requiere departamento y provincia",IF(AND(G475&lt;&gt;"",F475=""),"Provincia requiere departamento",IF((I475&lt;&gt;"")&lt;&gt;(J475&lt;&gt;""),"Latitud y longitud van juntas","OK")))))))</f>
        <v/>
      </c>
      <c r="M475" s="28">
        <f>IF(L475&lt;&gt;"OK","","INSERT INTO cli_direcciones (id_cliente, descripcion, direccion, referencia, id_departamento, id_provincia, id_distrito, latitud, longitud, es_principal, estado) SELECT "&amp;"(SELECT id FROM cli_clientes WHERE numero_documento = '"&amp;SUBSTITUTE(TRIM(A475),"'","''")&amp;"' AND estado = 1 LIMIT 1)"&amp;", "&amp;IF(TRIM(C475&amp;"")="","NULL","'"&amp;SUBSTITUTE(TRIM(C475),"'","''")&amp;"'")&amp;", "&amp;IF(TRIM(D475&amp;"")="","NULL","'"&amp;SUBSTITUTE(TRIM(D475),"'","''")&amp;"'")&amp;", "&amp;IF(TRIM(E475&amp;"")="","NULL","'"&amp;SUBSTITUTE(TRIM(E475),"'","''")&amp;"'")&amp;", "&amp;IF(TRIM(F475&amp;"")="","NULL","(SELECT id FROM gen_departamento WHERE upper(nombre) = upper('"&amp;SUBSTITUTE(TRIM(F475),"'","''")&amp;"') AND estado = 1 LIMIT 1)")&amp;", "&amp;IF(OR(TRIM(F475&amp;"")="",TRIM(G475&amp;"")=""),"NULL","(SELECT p.id FROM gen_provincia p JOIN gen_departamento dp ON dp.id = p.id_departamento WHERE upper(p.nombre) = upper('"&amp;SUBSTITUTE(TRIM(G475),"'","''")&amp;"') AND upper(dp.nombre) = upper('"&amp;SUBSTITUTE(TRIM(F475),"'","''")&amp;"') AND p.estado = 1 LIMIT 1)")&amp;", "&amp;IF(OR(TRIM(F475&amp;"")="",TRIM(G475&amp;"")="",TRIM(H475&amp;"")=""),"NULL","(SELECT d.id FROM gen_distrito d JOIN gen_provincia p ON p.id = d.id_provincia JOIN gen_departamento dp ON dp.id = p.id_departamento WHERE upper(d.nombre) = upper('"&amp;SUBSTITUTE(TRIM(H475),"'","''")&amp;"') AND upper(p.nombre) = upper('"&amp;SUBSTITUTE(TRIM(G475),"'","''")&amp;"') AND upper(dp.nombre) = upper('"&amp;SUBSTITUTE(TRIM(F475),"'","''")&amp;"') AND d.estado = 1 LIMIT 1)")&amp;", "&amp;IF(I475&amp;""="","NULL",SUBSTITUTE(I475&amp;"",",","."))&amp;", "&amp;IF(J475&amp;""="","NULL",SUBSTITUTE(J475&amp;"",",","."))&amp;", "&amp;IF(UPPER(TRIM(K475&amp;""))="SI","TRUE","FALSE")&amp;", 1"&amp;" WHERE NOT EXISTS (SELECT 1 FROM cli_direcciones x WHERE x.id_cliente = "&amp;"(SELECT id FROM cli_clientes WHERE numero_documento = '"&amp;SUBSTITUTE(TRIM(A475),"'","''")&amp;"' AND estado = 1 LIMIT 1)"&amp;" AND upper(x.direccion) = upper("&amp;IF(TRIM(D475&amp;"")="","NULL","'"&amp;SUBSTITUTE(TRIM(D475),"'","''")&amp;"'")&amp;"));")</f>
        <v/>
      </c>
    </row>
    <row r="476" ht="15.75" customHeight="1" s="64">
      <c r="A476" s="23" t="n"/>
      <c r="B476" s="25">
        <f t="array" ref="B476">IF(A476="","",IFERROR(IF(INDEX(Clientes!$D$5:$D$549,MATCH(A476,Clientes!$C$5:$C$549,0))&lt;&gt;"",INDEX(Clientes!$D$5:$D$549,MATCH(A476,Clientes!$C$5:$C$549,0)),TRIM(INDEX(Clientes!$E$5:$E$549,MATCH(A476,Clientes!$C$5:$C$549,0))&amp;" "&amp;INDEX(Clientes!$F$5:$F$549,MATCH(A476,Clientes!$C$5:$C$549,0)))),"NO EXISTE en Clientes"))</f>
        <v/>
      </c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>
        <f>IF(AND(A476="",D476=""),"",IF(A476="","FALTA doc. cliente",IF(B476="NO EXISTE en Clientes","CLIENTE no está en hoja Clientes",IF(D476="","FALTA dirección",IF(AND(H476&lt;&gt;"",OR(F476="",G476="")),"Distrito requiere departamento y provincia",IF(AND(G476&lt;&gt;"",F476=""),"Provincia requiere departamento",IF((I476&lt;&gt;"")&lt;&gt;(J476&lt;&gt;""),"Latitud y longitud van juntas","OK")))))))</f>
        <v/>
      </c>
      <c r="M476" s="28">
        <f>IF(L476&lt;&gt;"OK","","INSERT INTO cli_direcciones (id_cliente, descripcion, direccion, referencia, id_departamento, id_provincia, id_distrito, latitud, longitud, es_principal, estado) SELECT "&amp;"(SELECT id FROM cli_clientes WHERE numero_documento = '"&amp;SUBSTITUTE(TRIM(A476),"'","''")&amp;"' AND estado = 1 LIMIT 1)"&amp;", "&amp;IF(TRIM(C476&amp;"")="","NULL","'"&amp;SUBSTITUTE(TRIM(C476),"'","''")&amp;"'")&amp;", "&amp;IF(TRIM(D476&amp;"")="","NULL","'"&amp;SUBSTITUTE(TRIM(D476),"'","''")&amp;"'")&amp;", "&amp;IF(TRIM(E476&amp;"")="","NULL","'"&amp;SUBSTITUTE(TRIM(E476),"'","''")&amp;"'")&amp;", "&amp;IF(TRIM(F476&amp;"")="","NULL","(SELECT id FROM gen_departamento WHERE upper(nombre) = upper('"&amp;SUBSTITUTE(TRIM(F476),"'","''")&amp;"') AND estado = 1 LIMIT 1)")&amp;", "&amp;IF(OR(TRIM(F476&amp;"")="",TRIM(G476&amp;"")=""),"NULL","(SELECT p.id FROM gen_provincia p JOIN gen_departamento dp ON dp.id = p.id_departamento WHERE upper(p.nombre) = upper('"&amp;SUBSTITUTE(TRIM(G476),"'","''")&amp;"') AND upper(dp.nombre) = upper('"&amp;SUBSTITUTE(TRIM(F476),"'","''")&amp;"') AND p.estado = 1 LIMIT 1)")&amp;", "&amp;IF(OR(TRIM(F476&amp;"")="",TRIM(G476&amp;"")="",TRIM(H476&amp;"")=""),"NULL","(SELECT d.id FROM gen_distrito d JOIN gen_provincia p ON p.id = d.id_provincia JOIN gen_departamento dp ON dp.id = p.id_departamento WHERE upper(d.nombre) = upper('"&amp;SUBSTITUTE(TRIM(H476),"'","''")&amp;"') AND upper(p.nombre) = upper('"&amp;SUBSTITUTE(TRIM(G476),"'","''")&amp;"') AND upper(dp.nombre) = upper('"&amp;SUBSTITUTE(TRIM(F476),"'","''")&amp;"') AND d.estado = 1 LIMIT 1)")&amp;", "&amp;IF(I476&amp;""="","NULL",SUBSTITUTE(I476&amp;"",",","."))&amp;", "&amp;IF(J476&amp;""="","NULL",SUBSTITUTE(J476&amp;"",",","."))&amp;", "&amp;IF(UPPER(TRIM(K476&amp;""))="SI","TRUE","FALSE")&amp;", 1"&amp;" WHERE NOT EXISTS (SELECT 1 FROM cli_direcciones x WHERE x.id_cliente = "&amp;"(SELECT id FROM cli_clientes WHERE numero_documento = '"&amp;SUBSTITUTE(TRIM(A476),"'","''")&amp;"' AND estado = 1 LIMIT 1)"&amp;" AND upper(x.direccion) = upper("&amp;IF(TRIM(D476&amp;"")="","NULL","'"&amp;SUBSTITUTE(TRIM(D476),"'","''")&amp;"'")&amp;"));")</f>
        <v/>
      </c>
    </row>
    <row r="477" ht="15.75" customHeight="1" s="64">
      <c r="A477" s="23" t="n"/>
      <c r="B477" s="25">
        <f t="array" ref="B477">IF(A477="","",IFERROR(IF(INDEX(Clientes!$D$5:$D$549,MATCH(A477,Clientes!$C$5:$C$549,0))&lt;&gt;"",INDEX(Clientes!$D$5:$D$549,MATCH(A477,Clientes!$C$5:$C$549,0)),TRIM(INDEX(Clientes!$E$5:$E$549,MATCH(A477,Clientes!$C$5:$C$549,0))&amp;" "&amp;INDEX(Clientes!$F$5:$F$549,MATCH(A477,Clientes!$C$5:$C$549,0)))),"NO EXISTE en Clientes"))</f>
        <v/>
      </c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>
        <f>IF(AND(A477="",D477=""),"",IF(A477="","FALTA doc. cliente",IF(B477="NO EXISTE en Clientes","CLIENTE no está en hoja Clientes",IF(D477="","FALTA dirección",IF(AND(H477&lt;&gt;"",OR(F477="",G477="")),"Distrito requiere departamento y provincia",IF(AND(G477&lt;&gt;"",F477=""),"Provincia requiere departamento",IF((I477&lt;&gt;"")&lt;&gt;(J477&lt;&gt;""),"Latitud y longitud van juntas","OK")))))))</f>
        <v/>
      </c>
      <c r="M477" s="28">
        <f>IF(L477&lt;&gt;"OK","","INSERT INTO cli_direcciones (id_cliente, descripcion, direccion, referencia, id_departamento, id_provincia, id_distrito, latitud, longitud, es_principal, estado) SELECT "&amp;"(SELECT id FROM cli_clientes WHERE numero_documento = '"&amp;SUBSTITUTE(TRIM(A477),"'","''")&amp;"' AND estado = 1 LIMIT 1)"&amp;", "&amp;IF(TRIM(C477&amp;"")="","NULL","'"&amp;SUBSTITUTE(TRIM(C477),"'","''")&amp;"'")&amp;", "&amp;IF(TRIM(D477&amp;"")="","NULL","'"&amp;SUBSTITUTE(TRIM(D477),"'","''")&amp;"'")&amp;", "&amp;IF(TRIM(E477&amp;"")="","NULL","'"&amp;SUBSTITUTE(TRIM(E477),"'","''")&amp;"'")&amp;", "&amp;IF(TRIM(F477&amp;"")="","NULL","(SELECT id FROM gen_departamento WHERE upper(nombre) = upper('"&amp;SUBSTITUTE(TRIM(F477),"'","''")&amp;"') AND estado = 1 LIMIT 1)")&amp;", "&amp;IF(OR(TRIM(F477&amp;"")="",TRIM(G477&amp;"")=""),"NULL","(SELECT p.id FROM gen_provincia p JOIN gen_departamento dp ON dp.id = p.id_departamento WHERE upper(p.nombre) = upper('"&amp;SUBSTITUTE(TRIM(G477),"'","''")&amp;"') AND upper(dp.nombre) = upper('"&amp;SUBSTITUTE(TRIM(F477),"'","''")&amp;"') AND p.estado = 1 LIMIT 1)")&amp;", "&amp;IF(OR(TRIM(F477&amp;"")="",TRIM(G477&amp;"")="",TRIM(H477&amp;"")=""),"NULL","(SELECT d.id FROM gen_distrito d JOIN gen_provincia p ON p.id = d.id_provincia JOIN gen_departamento dp ON dp.id = p.id_departamento WHERE upper(d.nombre) = upper('"&amp;SUBSTITUTE(TRIM(H477),"'","''")&amp;"') AND upper(p.nombre) = upper('"&amp;SUBSTITUTE(TRIM(G477),"'","''")&amp;"') AND upper(dp.nombre) = upper('"&amp;SUBSTITUTE(TRIM(F477),"'","''")&amp;"') AND d.estado = 1 LIMIT 1)")&amp;", "&amp;IF(I477&amp;""="","NULL",SUBSTITUTE(I477&amp;"",",","."))&amp;", "&amp;IF(J477&amp;""="","NULL",SUBSTITUTE(J477&amp;"",",","."))&amp;", "&amp;IF(UPPER(TRIM(K477&amp;""))="SI","TRUE","FALSE")&amp;", 1"&amp;" WHERE NOT EXISTS (SELECT 1 FROM cli_direcciones x WHERE x.id_cliente = "&amp;"(SELECT id FROM cli_clientes WHERE numero_documento = '"&amp;SUBSTITUTE(TRIM(A477),"'","''")&amp;"' AND estado = 1 LIMIT 1)"&amp;" AND upper(x.direccion) = upper("&amp;IF(TRIM(D477&amp;"")="","NULL","'"&amp;SUBSTITUTE(TRIM(D477),"'","''")&amp;"'")&amp;"));")</f>
        <v/>
      </c>
    </row>
    <row r="478" ht="15.75" customHeight="1" s="64">
      <c r="A478" s="23" t="n"/>
      <c r="B478" s="25">
        <f t="array" ref="B478">IF(A478="","",IFERROR(IF(INDEX(Clientes!$D$5:$D$549,MATCH(A478,Clientes!$C$5:$C$549,0))&lt;&gt;"",INDEX(Clientes!$D$5:$D$549,MATCH(A478,Clientes!$C$5:$C$549,0)),TRIM(INDEX(Clientes!$E$5:$E$549,MATCH(A478,Clientes!$C$5:$C$549,0))&amp;" "&amp;INDEX(Clientes!$F$5:$F$549,MATCH(A478,Clientes!$C$5:$C$549,0)))),"NO EXISTE en Clientes"))</f>
        <v/>
      </c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>
        <f>IF(AND(A478="",D478=""),"",IF(A478="","FALTA doc. cliente",IF(B478="NO EXISTE en Clientes","CLIENTE no está en hoja Clientes",IF(D478="","FALTA dirección",IF(AND(H478&lt;&gt;"",OR(F478="",G478="")),"Distrito requiere departamento y provincia",IF(AND(G478&lt;&gt;"",F478=""),"Provincia requiere departamento",IF((I478&lt;&gt;"")&lt;&gt;(J478&lt;&gt;""),"Latitud y longitud van juntas","OK")))))))</f>
        <v/>
      </c>
      <c r="M478" s="28">
        <f>IF(L478&lt;&gt;"OK","","INSERT INTO cli_direcciones (id_cliente, descripcion, direccion, referencia, id_departamento, id_provincia, id_distrito, latitud, longitud, es_principal, estado) SELECT "&amp;"(SELECT id FROM cli_clientes WHERE numero_documento = '"&amp;SUBSTITUTE(TRIM(A478),"'","''")&amp;"' AND estado = 1 LIMIT 1)"&amp;", "&amp;IF(TRIM(C478&amp;"")="","NULL","'"&amp;SUBSTITUTE(TRIM(C478),"'","''")&amp;"'")&amp;", "&amp;IF(TRIM(D478&amp;"")="","NULL","'"&amp;SUBSTITUTE(TRIM(D478),"'","''")&amp;"'")&amp;", "&amp;IF(TRIM(E478&amp;"")="","NULL","'"&amp;SUBSTITUTE(TRIM(E478),"'","''")&amp;"'")&amp;", "&amp;IF(TRIM(F478&amp;"")="","NULL","(SELECT id FROM gen_departamento WHERE upper(nombre) = upper('"&amp;SUBSTITUTE(TRIM(F478),"'","''")&amp;"') AND estado = 1 LIMIT 1)")&amp;", "&amp;IF(OR(TRIM(F478&amp;"")="",TRIM(G478&amp;"")=""),"NULL","(SELECT p.id FROM gen_provincia p JOIN gen_departamento dp ON dp.id = p.id_departamento WHERE upper(p.nombre) = upper('"&amp;SUBSTITUTE(TRIM(G478),"'","''")&amp;"') AND upper(dp.nombre) = upper('"&amp;SUBSTITUTE(TRIM(F478),"'","''")&amp;"') AND p.estado = 1 LIMIT 1)")&amp;", "&amp;IF(OR(TRIM(F478&amp;"")="",TRIM(G478&amp;"")="",TRIM(H478&amp;"")=""),"NULL","(SELECT d.id FROM gen_distrito d JOIN gen_provincia p ON p.id = d.id_provincia JOIN gen_departamento dp ON dp.id = p.id_departamento WHERE upper(d.nombre) = upper('"&amp;SUBSTITUTE(TRIM(H478),"'","''")&amp;"') AND upper(p.nombre) = upper('"&amp;SUBSTITUTE(TRIM(G478),"'","''")&amp;"') AND upper(dp.nombre) = upper('"&amp;SUBSTITUTE(TRIM(F478),"'","''")&amp;"') AND d.estado = 1 LIMIT 1)")&amp;", "&amp;IF(I478&amp;""="","NULL",SUBSTITUTE(I478&amp;"",",","."))&amp;", "&amp;IF(J478&amp;""="","NULL",SUBSTITUTE(J478&amp;"",",","."))&amp;", "&amp;IF(UPPER(TRIM(K478&amp;""))="SI","TRUE","FALSE")&amp;", 1"&amp;" WHERE NOT EXISTS (SELECT 1 FROM cli_direcciones x WHERE x.id_cliente = "&amp;"(SELECT id FROM cli_clientes WHERE numero_documento = '"&amp;SUBSTITUTE(TRIM(A478),"'","''")&amp;"' AND estado = 1 LIMIT 1)"&amp;" AND upper(x.direccion) = upper("&amp;IF(TRIM(D478&amp;"")="","NULL","'"&amp;SUBSTITUTE(TRIM(D478),"'","''")&amp;"'")&amp;"));")</f>
        <v/>
      </c>
    </row>
    <row r="479" ht="15.75" customHeight="1" s="64">
      <c r="A479" s="23" t="n"/>
      <c r="B479" s="25">
        <f t="array" ref="B479">IF(A479="","",IFERROR(IF(INDEX(Clientes!$D$5:$D$549,MATCH(A479,Clientes!$C$5:$C$549,0))&lt;&gt;"",INDEX(Clientes!$D$5:$D$549,MATCH(A479,Clientes!$C$5:$C$549,0)),TRIM(INDEX(Clientes!$E$5:$E$549,MATCH(A479,Clientes!$C$5:$C$549,0))&amp;" "&amp;INDEX(Clientes!$F$5:$F$549,MATCH(A479,Clientes!$C$5:$C$549,0)))),"NO EXISTE en Clientes"))</f>
        <v/>
      </c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>
        <f>IF(AND(A479="",D479=""),"",IF(A479="","FALTA doc. cliente",IF(B479="NO EXISTE en Clientes","CLIENTE no está en hoja Clientes",IF(D479="","FALTA dirección",IF(AND(H479&lt;&gt;"",OR(F479="",G479="")),"Distrito requiere departamento y provincia",IF(AND(G479&lt;&gt;"",F479=""),"Provincia requiere departamento",IF((I479&lt;&gt;"")&lt;&gt;(J479&lt;&gt;""),"Latitud y longitud van juntas","OK")))))))</f>
        <v/>
      </c>
      <c r="M479" s="28">
        <f>IF(L479&lt;&gt;"OK","","INSERT INTO cli_direcciones (id_cliente, descripcion, direccion, referencia, id_departamento, id_provincia, id_distrito, latitud, longitud, es_principal, estado) SELECT "&amp;"(SELECT id FROM cli_clientes WHERE numero_documento = '"&amp;SUBSTITUTE(TRIM(A479),"'","''")&amp;"' AND estado = 1 LIMIT 1)"&amp;", "&amp;IF(TRIM(C479&amp;"")="","NULL","'"&amp;SUBSTITUTE(TRIM(C479),"'","''")&amp;"'")&amp;", "&amp;IF(TRIM(D479&amp;"")="","NULL","'"&amp;SUBSTITUTE(TRIM(D479),"'","''")&amp;"'")&amp;", "&amp;IF(TRIM(E479&amp;"")="","NULL","'"&amp;SUBSTITUTE(TRIM(E479),"'","''")&amp;"'")&amp;", "&amp;IF(TRIM(F479&amp;"")="","NULL","(SELECT id FROM gen_departamento WHERE upper(nombre) = upper('"&amp;SUBSTITUTE(TRIM(F479),"'","''")&amp;"') AND estado = 1 LIMIT 1)")&amp;", "&amp;IF(OR(TRIM(F479&amp;"")="",TRIM(G479&amp;"")=""),"NULL","(SELECT p.id FROM gen_provincia p JOIN gen_departamento dp ON dp.id = p.id_departamento WHERE upper(p.nombre) = upper('"&amp;SUBSTITUTE(TRIM(G479),"'","''")&amp;"') AND upper(dp.nombre) = upper('"&amp;SUBSTITUTE(TRIM(F479),"'","''")&amp;"') AND p.estado = 1 LIMIT 1)")&amp;", "&amp;IF(OR(TRIM(F479&amp;"")="",TRIM(G479&amp;"")="",TRIM(H479&amp;"")=""),"NULL","(SELECT d.id FROM gen_distrito d JOIN gen_provincia p ON p.id = d.id_provincia JOIN gen_departamento dp ON dp.id = p.id_departamento WHERE upper(d.nombre) = upper('"&amp;SUBSTITUTE(TRIM(H479),"'","''")&amp;"') AND upper(p.nombre) = upper('"&amp;SUBSTITUTE(TRIM(G479),"'","''")&amp;"') AND upper(dp.nombre) = upper('"&amp;SUBSTITUTE(TRIM(F479),"'","''")&amp;"') AND d.estado = 1 LIMIT 1)")&amp;", "&amp;IF(I479&amp;""="","NULL",SUBSTITUTE(I479&amp;"",",","."))&amp;", "&amp;IF(J479&amp;""="","NULL",SUBSTITUTE(J479&amp;"",",","."))&amp;", "&amp;IF(UPPER(TRIM(K479&amp;""))="SI","TRUE","FALSE")&amp;", 1"&amp;" WHERE NOT EXISTS (SELECT 1 FROM cli_direcciones x WHERE x.id_cliente = "&amp;"(SELECT id FROM cli_clientes WHERE numero_documento = '"&amp;SUBSTITUTE(TRIM(A479),"'","''")&amp;"' AND estado = 1 LIMIT 1)"&amp;" AND upper(x.direccion) = upper("&amp;IF(TRIM(D479&amp;"")="","NULL","'"&amp;SUBSTITUTE(TRIM(D479),"'","''")&amp;"'")&amp;"));")</f>
        <v/>
      </c>
    </row>
    <row r="480" ht="15.75" customHeight="1" s="64">
      <c r="A480" s="23" t="n"/>
      <c r="B480" s="25">
        <f t="array" ref="B480">IF(A480="","",IFERROR(IF(INDEX(Clientes!$D$5:$D$549,MATCH(A480,Clientes!$C$5:$C$549,0))&lt;&gt;"",INDEX(Clientes!$D$5:$D$549,MATCH(A480,Clientes!$C$5:$C$549,0)),TRIM(INDEX(Clientes!$E$5:$E$549,MATCH(A480,Clientes!$C$5:$C$549,0))&amp;" "&amp;INDEX(Clientes!$F$5:$F$549,MATCH(A480,Clientes!$C$5:$C$549,0)))),"NO EXISTE en Clientes"))</f>
        <v/>
      </c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>
        <f>IF(AND(A480="",D480=""),"",IF(A480="","FALTA doc. cliente",IF(B480="NO EXISTE en Clientes","CLIENTE no está en hoja Clientes",IF(D480="","FALTA dirección",IF(AND(H480&lt;&gt;"",OR(F480="",G480="")),"Distrito requiere departamento y provincia",IF(AND(G480&lt;&gt;"",F480=""),"Provincia requiere departamento",IF((I480&lt;&gt;"")&lt;&gt;(J480&lt;&gt;""),"Latitud y longitud van juntas","OK")))))))</f>
        <v/>
      </c>
      <c r="M480" s="28">
        <f>IF(L480&lt;&gt;"OK","","INSERT INTO cli_direcciones (id_cliente, descripcion, direccion, referencia, id_departamento, id_provincia, id_distrito, latitud, longitud, es_principal, estado) SELECT "&amp;"(SELECT id FROM cli_clientes WHERE numero_documento = '"&amp;SUBSTITUTE(TRIM(A480),"'","''")&amp;"' AND estado = 1 LIMIT 1)"&amp;", "&amp;IF(TRIM(C480&amp;"")="","NULL","'"&amp;SUBSTITUTE(TRIM(C480),"'","''")&amp;"'")&amp;", "&amp;IF(TRIM(D480&amp;"")="","NULL","'"&amp;SUBSTITUTE(TRIM(D480),"'","''")&amp;"'")&amp;", "&amp;IF(TRIM(E480&amp;"")="","NULL","'"&amp;SUBSTITUTE(TRIM(E480),"'","''")&amp;"'")&amp;", "&amp;IF(TRIM(F480&amp;"")="","NULL","(SELECT id FROM gen_departamento WHERE upper(nombre) = upper('"&amp;SUBSTITUTE(TRIM(F480),"'","''")&amp;"') AND estado = 1 LIMIT 1)")&amp;", "&amp;IF(OR(TRIM(F480&amp;"")="",TRIM(G480&amp;"")=""),"NULL","(SELECT p.id FROM gen_provincia p JOIN gen_departamento dp ON dp.id = p.id_departamento WHERE upper(p.nombre) = upper('"&amp;SUBSTITUTE(TRIM(G480),"'","''")&amp;"') AND upper(dp.nombre) = upper('"&amp;SUBSTITUTE(TRIM(F480),"'","''")&amp;"') AND p.estado = 1 LIMIT 1)")&amp;", "&amp;IF(OR(TRIM(F480&amp;"")="",TRIM(G480&amp;"")="",TRIM(H480&amp;"")=""),"NULL","(SELECT d.id FROM gen_distrito d JOIN gen_provincia p ON p.id = d.id_provincia JOIN gen_departamento dp ON dp.id = p.id_departamento WHERE upper(d.nombre) = upper('"&amp;SUBSTITUTE(TRIM(H480),"'","''")&amp;"') AND upper(p.nombre) = upper('"&amp;SUBSTITUTE(TRIM(G480),"'","''")&amp;"') AND upper(dp.nombre) = upper('"&amp;SUBSTITUTE(TRIM(F480),"'","''")&amp;"') AND d.estado = 1 LIMIT 1)")&amp;", "&amp;IF(I480&amp;""="","NULL",SUBSTITUTE(I480&amp;"",",","."))&amp;", "&amp;IF(J480&amp;""="","NULL",SUBSTITUTE(J480&amp;"",",","."))&amp;", "&amp;IF(UPPER(TRIM(K480&amp;""))="SI","TRUE","FALSE")&amp;", 1"&amp;" WHERE NOT EXISTS (SELECT 1 FROM cli_direcciones x WHERE x.id_cliente = "&amp;"(SELECT id FROM cli_clientes WHERE numero_documento = '"&amp;SUBSTITUTE(TRIM(A480),"'","''")&amp;"' AND estado = 1 LIMIT 1)"&amp;" AND upper(x.direccion) = upper("&amp;IF(TRIM(D480&amp;"")="","NULL","'"&amp;SUBSTITUTE(TRIM(D480),"'","''")&amp;"'")&amp;"));")</f>
        <v/>
      </c>
    </row>
    <row r="481" ht="15.75" customHeight="1" s="64">
      <c r="A481" s="23" t="n"/>
      <c r="B481" s="25">
        <f t="array" ref="B481">IF(A481="","",IFERROR(IF(INDEX(Clientes!$D$5:$D$549,MATCH(A481,Clientes!$C$5:$C$549,0))&lt;&gt;"",INDEX(Clientes!$D$5:$D$549,MATCH(A481,Clientes!$C$5:$C$549,0)),TRIM(INDEX(Clientes!$E$5:$E$549,MATCH(A481,Clientes!$C$5:$C$549,0))&amp;" "&amp;INDEX(Clientes!$F$5:$F$549,MATCH(A481,Clientes!$C$5:$C$549,0)))),"NO EXISTE en Clientes"))</f>
        <v/>
      </c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>
        <f>IF(AND(A481="",D481=""),"",IF(A481="","FALTA doc. cliente",IF(B481="NO EXISTE en Clientes","CLIENTE no está en hoja Clientes",IF(D481="","FALTA dirección",IF(AND(H481&lt;&gt;"",OR(F481="",G481="")),"Distrito requiere departamento y provincia",IF(AND(G481&lt;&gt;"",F481=""),"Provincia requiere departamento",IF((I481&lt;&gt;"")&lt;&gt;(J481&lt;&gt;""),"Latitud y longitud van juntas","OK")))))))</f>
        <v/>
      </c>
      <c r="M481" s="28">
        <f>IF(L481&lt;&gt;"OK","","INSERT INTO cli_direcciones (id_cliente, descripcion, direccion, referencia, id_departamento, id_provincia, id_distrito, latitud, longitud, es_principal, estado) SELECT "&amp;"(SELECT id FROM cli_clientes WHERE numero_documento = '"&amp;SUBSTITUTE(TRIM(A481),"'","''")&amp;"' AND estado = 1 LIMIT 1)"&amp;", "&amp;IF(TRIM(C481&amp;"")="","NULL","'"&amp;SUBSTITUTE(TRIM(C481),"'","''")&amp;"'")&amp;", "&amp;IF(TRIM(D481&amp;"")="","NULL","'"&amp;SUBSTITUTE(TRIM(D481),"'","''")&amp;"'")&amp;", "&amp;IF(TRIM(E481&amp;"")="","NULL","'"&amp;SUBSTITUTE(TRIM(E481),"'","''")&amp;"'")&amp;", "&amp;IF(TRIM(F481&amp;"")="","NULL","(SELECT id FROM gen_departamento WHERE upper(nombre) = upper('"&amp;SUBSTITUTE(TRIM(F481),"'","''")&amp;"') AND estado = 1 LIMIT 1)")&amp;", "&amp;IF(OR(TRIM(F481&amp;"")="",TRIM(G481&amp;"")=""),"NULL","(SELECT p.id FROM gen_provincia p JOIN gen_departamento dp ON dp.id = p.id_departamento WHERE upper(p.nombre) = upper('"&amp;SUBSTITUTE(TRIM(G481),"'","''")&amp;"') AND upper(dp.nombre) = upper('"&amp;SUBSTITUTE(TRIM(F481),"'","''")&amp;"') AND p.estado = 1 LIMIT 1)")&amp;", "&amp;IF(OR(TRIM(F481&amp;"")="",TRIM(G481&amp;"")="",TRIM(H481&amp;"")=""),"NULL","(SELECT d.id FROM gen_distrito d JOIN gen_provincia p ON p.id = d.id_provincia JOIN gen_departamento dp ON dp.id = p.id_departamento WHERE upper(d.nombre) = upper('"&amp;SUBSTITUTE(TRIM(H481),"'","''")&amp;"') AND upper(p.nombre) = upper('"&amp;SUBSTITUTE(TRIM(G481),"'","''")&amp;"') AND upper(dp.nombre) = upper('"&amp;SUBSTITUTE(TRIM(F481),"'","''")&amp;"') AND d.estado = 1 LIMIT 1)")&amp;", "&amp;IF(I481&amp;""="","NULL",SUBSTITUTE(I481&amp;"",",","."))&amp;", "&amp;IF(J481&amp;""="","NULL",SUBSTITUTE(J481&amp;"",",","."))&amp;", "&amp;IF(UPPER(TRIM(K481&amp;""))="SI","TRUE","FALSE")&amp;", 1"&amp;" WHERE NOT EXISTS (SELECT 1 FROM cli_direcciones x WHERE x.id_cliente = "&amp;"(SELECT id FROM cli_clientes WHERE numero_documento = '"&amp;SUBSTITUTE(TRIM(A481),"'","''")&amp;"' AND estado = 1 LIMIT 1)"&amp;" AND upper(x.direccion) = upper("&amp;IF(TRIM(D481&amp;"")="","NULL","'"&amp;SUBSTITUTE(TRIM(D481),"'","''")&amp;"'")&amp;"));")</f>
        <v/>
      </c>
    </row>
    <row r="482" ht="15.75" customHeight="1" s="64">
      <c r="A482" s="23" t="n"/>
      <c r="B482" s="25">
        <f t="array" ref="B482">IF(A482="","",IFERROR(IF(INDEX(Clientes!$D$5:$D$549,MATCH(A482,Clientes!$C$5:$C$549,0))&lt;&gt;"",INDEX(Clientes!$D$5:$D$549,MATCH(A482,Clientes!$C$5:$C$549,0)),TRIM(INDEX(Clientes!$E$5:$E$549,MATCH(A482,Clientes!$C$5:$C$549,0))&amp;" "&amp;INDEX(Clientes!$F$5:$F$549,MATCH(A482,Clientes!$C$5:$C$549,0)))),"NO EXISTE en Clientes"))</f>
        <v/>
      </c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>
        <f>IF(AND(A482="",D482=""),"",IF(A482="","FALTA doc. cliente",IF(B482="NO EXISTE en Clientes","CLIENTE no está en hoja Clientes",IF(D482="","FALTA dirección",IF(AND(H482&lt;&gt;"",OR(F482="",G482="")),"Distrito requiere departamento y provincia",IF(AND(G482&lt;&gt;"",F482=""),"Provincia requiere departamento",IF((I482&lt;&gt;"")&lt;&gt;(J482&lt;&gt;""),"Latitud y longitud van juntas","OK")))))))</f>
        <v/>
      </c>
      <c r="M482" s="28">
        <f>IF(L482&lt;&gt;"OK","","INSERT INTO cli_direcciones (id_cliente, descripcion, direccion, referencia, id_departamento, id_provincia, id_distrito, latitud, longitud, es_principal, estado) SELECT "&amp;"(SELECT id FROM cli_clientes WHERE numero_documento = '"&amp;SUBSTITUTE(TRIM(A482),"'","''")&amp;"' AND estado = 1 LIMIT 1)"&amp;", "&amp;IF(TRIM(C482&amp;"")="","NULL","'"&amp;SUBSTITUTE(TRIM(C482),"'","''")&amp;"'")&amp;", "&amp;IF(TRIM(D482&amp;"")="","NULL","'"&amp;SUBSTITUTE(TRIM(D482),"'","''")&amp;"'")&amp;", "&amp;IF(TRIM(E482&amp;"")="","NULL","'"&amp;SUBSTITUTE(TRIM(E482),"'","''")&amp;"'")&amp;", "&amp;IF(TRIM(F482&amp;"")="","NULL","(SELECT id FROM gen_departamento WHERE upper(nombre) = upper('"&amp;SUBSTITUTE(TRIM(F482),"'","''")&amp;"') AND estado = 1 LIMIT 1)")&amp;", "&amp;IF(OR(TRIM(F482&amp;"")="",TRIM(G482&amp;"")=""),"NULL","(SELECT p.id FROM gen_provincia p JOIN gen_departamento dp ON dp.id = p.id_departamento WHERE upper(p.nombre) = upper('"&amp;SUBSTITUTE(TRIM(G482),"'","''")&amp;"') AND upper(dp.nombre) = upper('"&amp;SUBSTITUTE(TRIM(F482),"'","''")&amp;"') AND p.estado = 1 LIMIT 1)")&amp;", "&amp;IF(OR(TRIM(F482&amp;"")="",TRIM(G482&amp;"")="",TRIM(H482&amp;"")=""),"NULL","(SELECT d.id FROM gen_distrito d JOIN gen_provincia p ON p.id = d.id_provincia JOIN gen_departamento dp ON dp.id = p.id_departamento WHERE upper(d.nombre) = upper('"&amp;SUBSTITUTE(TRIM(H482),"'","''")&amp;"') AND upper(p.nombre) = upper('"&amp;SUBSTITUTE(TRIM(G482),"'","''")&amp;"') AND upper(dp.nombre) = upper('"&amp;SUBSTITUTE(TRIM(F482),"'","''")&amp;"') AND d.estado = 1 LIMIT 1)")&amp;", "&amp;IF(I482&amp;""="","NULL",SUBSTITUTE(I482&amp;"",",","."))&amp;", "&amp;IF(J482&amp;""="","NULL",SUBSTITUTE(J482&amp;"",",","."))&amp;", "&amp;IF(UPPER(TRIM(K482&amp;""))="SI","TRUE","FALSE")&amp;", 1"&amp;" WHERE NOT EXISTS (SELECT 1 FROM cli_direcciones x WHERE x.id_cliente = "&amp;"(SELECT id FROM cli_clientes WHERE numero_documento = '"&amp;SUBSTITUTE(TRIM(A482),"'","''")&amp;"' AND estado = 1 LIMIT 1)"&amp;" AND upper(x.direccion) = upper("&amp;IF(TRIM(D482&amp;"")="","NULL","'"&amp;SUBSTITUTE(TRIM(D482),"'","''")&amp;"'")&amp;"));")</f>
        <v/>
      </c>
    </row>
    <row r="483" ht="15.75" customHeight="1" s="64">
      <c r="A483" s="23" t="n"/>
      <c r="B483" s="25">
        <f t="array" ref="B483">IF(A483="","",IFERROR(IF(INDEX(Clientes!$D$5:$D$549,MATCH(A483,Clientes!$C$5:$C$549,0))&lt;&gt;"",INDEX(Clientes!$D$5:$D$549,MATCH(A483,Clientes!$C$5:$C$549,0)),TRIM(INDEX(Clientes!$E$5:$E$549,MATCH(A483,Clientes!$C$5:$C$549,0))&amp;" "&amp;INDEX(Clientes!$F$5:$F$549,MATCH(A483,Clientes!$C$5:$C$549,0)))),"NO EXISTE en Clientes"))</f>
        <v/>
      </c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>
        <f>IF(AND(A483="",D483=""),"",IF(A483="","FALTA doc. cliente",IF(B483="NO EXISTE en Clientes","CLIENTE no está en hoja Clientes",IF(D483="","FALTA dirección",IF(AND(H483&lt;&gt;"",OR(F483="",G483="")),"Distrito requiere departamento y provincia",IF(AND(G483&lt;&gt;"",F483=""),"Provincia requiere departamento",IF((I483&lt;&gt;"")&lt;&gt;(J483&lt;&gt;""),"Latitud y longitud van juntas","OK")))))))</f>
        <v/>
      </c>
      <c r="M483" s="28">
        <f>IF(L483&lt;&gt;"OK","","INSERT INTO cli_direcciones (id_cliente, descripcion, direccion, referencia, id_departamento, id_provincia, id_distrito, latitud, longitud, es_principal, estado) SELECT "&amp;"(SELECT id FROM cli_clientes WHERE numero_documento = '"&amp;SUBSTITUTE(TRIM(A483),"'","''")&amp;"' AND estado = 1 LIMIT 1)"&amp;", "&amp;IF(TRIM(C483&amp;"")="","NULL","'"&amp;SUBSTITUTE(TRIM(C483),"'","''")&amp;"'")&amp;", "&amp;IF(TRIM(D483&amp;"")="","NULL","'"&amp;SUBSTITUTE(TRIM(D483),"'","''")&amp;"'")&amp;", "&amp;IF(TRIM(E483&amp;"")="","NULL","'"&amp;SUBSTITUTE(TRIM(E483),"'","''")&amp;"'")&amp;", "&amp;IF(TRIM(F483&amp;"")="","NULL","(SELECT id FROM gen_departamento WHERE upper(nombre) = upper('"&amp;SUBSTITUTE(TRIM(F483),"'","''")&amp;"') AND estado = 1 LIMIT 1)")&amp;", "&amp;IF(OR(TRIM(F483&amp;"")="",TRIM(G483&amp;"")=""),"NULL","(SELECT p.id FROM gen_provincia p JOIN gen_departamento dp ON dp.id = p.id_departamento WHERE upper(p.nombre) = upper('"&amp;SUBSTITUTE(TRIM(G483),"'","''")&amp;"') AND upper(dp.nombre) = upper('"&amp;SUBSTITUTE(TRIM(F483),"'","''")&amp;"') AND p.estado = 1 LIMIT 1)")&amp;", "&amp;IF(OR(TRIM(F483&amp;"")="",TRIM(G483&amp;"")="",TRIM(H483&amp;"")=""),"NULL","(SELECT d.id FROM gen_distrito d JOIN gen_provincia p ON p.id = d.id_provincia JOIN gen_departamento dp ON dp.id = p.id_departamento WHERE upper(d.nombre) = upper('"&amp;SUBSTITUTE(TRIM(H483),"'","''")&amp;"') AND upper(p.nombre) = upper('"&amp;SUBSTITUTE(TRIM(G483),"'","''")&amp;"') AND upper(dp.nombre) = upper('"&amp;SUBSTITUTE(TRIM(F483),"'","''")&amp;"') AND d.estado = 1 LIMIT 1)")&amp;", "&amp;IF(I483&amp;""="","NULL",SUBSTITUTE(I483&amp;"",",","."))&amp;", "&amp;IF(J483&amp;""="","NULL",SUBSTITUTE(J483&amp;"",",","."))&amp;", "&amp;IF(UPPER(TRIM(K483&amp;""))="SI","TRUE","FALSE")&amp;", 1"&amp;" WHERE NOT EXISTS (SELECT 1 FROM cli_direcciones x WHERE x.id_cliente = "&amp;"(SELECT id FROM cli_clientes WHERE numero_documento = '"&amp;SUBSTITUTE(TRIM(A483),"'","''")&amp;"' AND estado = 1 LIMIT 1)"&amp;" AND upper(x.direccion) = upper("&amp;IF(TRIM(D483&amp;"")="","NULL","'"&amp;SUBSTITUTE(TRIM(D483),"'","''")&amp;"'")&amp;"));")</f>
        <v/>
      </c>
    </row>
    <row r="484" ht="15.75" customHeight="1" s="64">
      <c r="A484" s="23" t="n"/>
      <c r="B484" s="25">
        <f t="array" ref="B484">IF(A484="","",IFERROR(IF(INDEX(Clientes!$D$5:$D$549,MATCH(A484,Clientes!$C$5:$C$549,0))&lt;&gt;"",INDEX(Clientes!$D$5:$D$549,MATCH(A484,Clientes!$C$5:$C$549,0)),TRIM(INDEX(Clientes!$E$5:$E$549,MATCH(A484,Clientes!$C$5:$C$549,0))&amp;" "&amp;INDEX(Clientes!$F$5:$F$549,MATCH(A484,Clientes!$C$5:$C$549,0)))),"NO EXISTE en Clientes"))</f>
        <v/>
      </c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>
        <f>IF(AND(A484="",D484=""),"",IF(A484="","FALTA doc. cliente",IF(B484="NO EXISTE en Clientes","CLIENTE no está en hoja Clientes",IF(D484="","FALTA dirección",IF(AND(H484&lt;&gt;"",OR(F484="",G484="")),"Distrito requiere departamento y provincia",IF(AND(G484&lt;&gt;"",F484=""),"Provincia requiere departamento",IF((I484&lt;&gt;"")&lt;&gt;(J484&lt;&gt;""),"Latitud y longitud van juntas","OK")))))))</f>
        <v/>
      </c>
      <c r="M484" s="28">
        <f>IF(L484&lt;&gt;"OK","","INSERT INTO cli_direcciones (id_cliente, descripcion, direccion, referencia, id_departamento, id_provincia, id_distrito, latitud, longitud, es_principal, estado) SELECT "&amp;"(SELECT id FROM cli_clientes WHERE numero_documento = '"&amp;SUBSTITUTE(TRIM(A484),"'","''")&amp;"' AND estado = 1 LIMIT 1)"&amp;", "&amp;IF(TRIM(C484&amp;"")="","NULL","'"&amp;SUBSTITUTE(TRIM(C484),"'","''")&amp;"'")&amp;", "&amp;IF(TRIM(D484&amp;"")="","NULL","'"&amp;SUBSTITUTE(TRIM(D484),"'","''")&amp;"'")&amp;", "&amp;IF(TRIM(E484&amp;"")="","NULL","'"&amp;SUBSTITUTE(TRIM(E484),"'","''")&amp;"'")&amp;", "&amp;IF(TRIM(F484&amp;"")="","NULL","(SELECT id FROM gen_departamento WHERE upper(nombre) = upper('"&amp;SUBSTITUTE(TRIM(F484),"'","''")&amp;"') AND estado = 1 LIMIT 1)")&amp;", "&amp;IF(OR(TRIM(F484&amp;"")="",TRIM(G484&amp;"")=""),"NULL","(SELECT p.id FROM gen_provincia p JOIN gen_departamento dp ON dp.id = p.id_departamento WHERE upper(p.nombre) = upper('"&amp;SUBSTITUTE(TRIM(G484),"'","''")&amp;"') AND upper(dp.nombre) = upper('"&amp;SUBSTITUTE(TRIM(F484),"'","''")&amp;"') AND p.estado = 1 LIMIT 1)")&amp;", "&amp;IF(OR(TRIM(F484&amp;"")="",TRIM(G484&amp;"")="",TRIM(H484&amp;"")=""),"NULL","(SELECT d.id FROM gen_distrito d JOIN gen_provincia p ON p.id = d.id_provincia JOIN gen_departamento dp ON dp.id = p.id_departamento WHERE upper(d.nombre) = upper('"&amp;SUBSTITUTE(TRIM(H484),"'","''")&amp;"') AND upper(p.nombre) = upper('"&amp;SUBSTITUTE(TRIM(G484),"'","''")&amp;"') AND upper(dp.nombre) = upper('"&amp;SUBSTITUTE(TRIM(F484),"'","''")&amp;"') AND d.estado = 1 LIMIT 1)")&amp;", "&amp;IF(I484&amp;""="","NULL",SUBSTITUTE(I484&amp;"",",","."))&amp;", "&amp;IF(J484&amp;""="","NULL",SUBSTITUTE(J484&amp;"",",","."))&amp;", "&amp;IF(UPPER(TRIM(K484&amp;""))="SI","TRUE","FALSE")&amp;", 1"&amp;" WHERE NOT EXISTS (SELECT 1 FROM cli_direcciones x WHERE x.id_cliente = "&amp;"(SELECT id FROM cli_clientes WHERE numero_documento = '"&amp;SUBSTITUTE(TRIM(A484),"'","''")&amp;"' AND estado = 1 LIMIT 1)"&amp;" AND upper(x.direccion) = upper("&amp;IF(TRIM(D484&amp;"")="","NULL","'"&amp;SUBSTITUTE(TRIM(D484),"'","''")&amp;"'")&amp;"));")</f>
        <v/>
      </c>
    </row>
    <row r="485" ht="15.75" customHeight="1" s="64">
      <c r="A485" s="23" t="n"/>
      <c r="B485" s="25">
        <f t="array" ref="B485">IF(A485="","",IFERROR(IF(INDEX(Clientes!$D$5:$D$549,MATCH(A485,Clientes!$C$5:$C$549,0))&lt;&gt;"",INDEX(Clientes!$D$5:$D$549,MATCH(A485,Clientes!$C$5:$C$549,0)),TRIM(INDEX(Clientes!$E$5:$E$549,MATCH(A485,Clientes!$C$5:$C$549,0))&amp;" "&amp;INDEX(Clientes!$F$5:$F$549,MATCH(A485,Clientes!$C$5:$C$549,0)))),"NO EXISTE en Clientes"))</f>
        <v/>
      </c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>
        <f>IF(AND(A485="",D485=""),"",IF(A485="","FALTA doc. cliente",IF(B485="NO EXISTE en Clientes","CLIENTE no está en hoja Clientes",IF(D485="","FALTA dirección",IF(AND(H485&lt;&gt;"",OR(F485="",G485="")),"Distrito requiere departamento y provincia",IF(AND(G485&lt;&gt;"",F485=""),"Provincia requiere departamento",IF((I485&lt;&gt;"")&lt;&gt;(J485&lt;&gt;""),"Latitud y longitud van juntas","OK")))))))</f>
        <v/>
      </c>
      <c r="M485" s="28">
        <f>IF(L485&lt;&gt;"OK","","INSERT INTO cli_direcciones (id_cliente, descripcion, direccion, referencia, id_departamento, id_provincia, id_distrito, latitud, longitud, es_principal, estado) SELECT "&amp;"(SELECT id FROM cli_clientes WHERE numero_documento = '"&amp;SUBSTITUTE(TRIM(A485),"'","''")&amp;"' AND estado = 1 LIMIT 1)"&amp;", "&amp;IF(TRIM(C485&amp;"")="","NULL","'"&amp;SUBSTITUTE(TRIM(C485),"'","''")&amp;"'")&amp;", "&amp;IF(TRIM(D485&amp;"")="","NULL","'"&amp;SUBSTITUTE(TRIM(D485),"'","''")&amp;"'")&amp;", "&amp;IF(TRIM(E485&amp;"")="","NULL","'"&amp;SUBSTITUTE(TRIM(E485),"'","''")&amp;"'")&amp;", "&amp;IF(TRIM(F485&amp;"")="","NULL","(SELECT id FROM gen_departamento WHERE upper(nombre) = upper('"&amp;SUBSTITUTE(TRIM(F485),"'","''")&amp;"') AND estado = 1 LIMIT 1)")&amp;", "&amp;IF(OR(TRIM(F485&amp;"")="",TRIM(G485&amp;"")=""),"NULL","(SELECT p.id FROM gen_provincia p JOIN gen_departamento dp ON dp.id = p.id_departamento WHERE upper(p.nombre) = upper('"&amp;SUBSTITUTE(TRIM(G485),"'","''")&amp;"') AND upper(dp.nombre) = upper('"&amp;SUBSTITUTE(TRIM(F485),"'","''")&amp;"') AND p.estado = 1 LIMIT 1)")&amp;", "&amp;IF(OR(TRIM(F485&amp;"")="",TRIM(G485&amp;"")="",TRIM(H485&amp;"")=""),"NULL","(SELECT d.id FROM gen_distrito d JOIN gen_provincia p ON p.id = d.id_provincia JOIN gen_departamento dp ON dp.id = p.id_departamento WHERE upper(d.nombre) = upper('"&amp;SUBSTITUTE(TRIM(H485),"'","''")&amp;"') AND upper(p.nombre) = upper('"&amp;SUBSTITUTE(TRIM(G485),"'","''")&amp;"') AND upper(dp.nombre) = upper('"&amp;SUBSTITUTE(TRIM(F485),"'","''")&amp;"') AND d.estado = 1 LIMIT 1)")&amp;", "&amp;IF(I485&amp;""="","NULL",SUBSTITUTE(I485&amp;"",",","."))&amp;", "&amp;IF(J485&amp;""="","NULL",SUBSTITUTE(J485&amp;"",",","."))&amp;", "&amp;IF(UPPER(TRIM(K485&amp;""))="SI","TRUE","FALSE")&amp;", 1"&amp;" WHERE NOT EXISTS (SELECT 1 FROM cli_direcciones x WHERE x.id_cliente = "&amp;"(SELECT id FROM cli_clientes WHERE numero_documento = '"&amp;SUBSTITUTE(TRIM(A485),"'","''")&amp;"' AND estado = 1 LIMIT 1)"&amp;" AND upper(x.direccion) = upper("&amp;IF(TRIM(D485&amp;"")="","NULL","'"&amp;SUBSTITUTE(TRIM(D485),"'","''")&amp;"'")&amp;"));")</f>
        <v/>
      </c>
    </row>
    <row r="486" ht="15.75" customHeight="1" s="64">
      <c r="A486" s="23" t="n"/>
      <c r="B486" s="25">
        <f t="array" ref="B486">IF(A486="","",IFERROR(IF(INDEX(Clientes!$D$5:$D$549,MATCH(A486,Clientes!$C$5:$C$549,0))&lt;&gt;"",INDEX(Clientes!$D$5:$D$549,MATCH(A486,Clientes!$C$5:$C$549,0)),TRIM(INDEX(Clientes!$E$5:$E$549,MATCH(A486,Clientes!$C$5:$C$549,0))&amp;" "&amp;INDEX(Clientes!$F$5:$F$549,MATCH(A486,Clientes!$C$5:$C$549,0)))),"NO EXISTE en Clientes"))</f>
        <v/>
      </c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>
        <f>IF(AND(A486="",D486=""),"",IF(A486="","FALTA doc. cliente",IF(B486="NO EXISTE en Clientes","CLIENTE no está en hoja Clientes",IF(D486="","FALTA dirección",IF(AND(H486&lt;&gt;"",OR(F486="",G486="")),"Distrito requiere departamento y provincia",IF(AND(G486&lt;&gt;"",F486=""),"Provincia requiere departamento",IF((I486&lt;&gt;"")&lt;&gt;(J486&lt;&gt;""),"Latitud y longitud van juntas","OK")))))))</f>
        <v/>
      </c>
      <c r="M486" s="28">
        <f>IF(L486&lt;&gt;"OK","","INSERT INTO cli_direcciones (id_cliente, descripcion, direccion, referencia, id_departamento, id_provincia, id_distrito, latitud, longitud, es_principal, estado) SELECT "&amp;"(SELECT id FROM cli_clientes WHERE numero_documento = '"&amp;SUBSTITUTE(TRIM(A486),"'","''")&amp;"' AND estado = 1 LIMIT 1)"&amp;", "&amp;IF(TRIM(C486&amp;"")="","NULL","'"&amp;SUBSTITUTE(TRIM(C486),"'","''")&amp;"'")&amp;", "&amp;IF(TRIM(D486&amp;"")="","NULL","'"&amp;SUBSTITUTE(TRIM(D486),"'","''")&amp;"'")&amp;", "&amp;IF(TRIM(E486&amp;"")="","NULL","'"&amp;SUBSTITUTE(TRIM(E486),"'","''")&amp;"'")&amp;", "&amp;IF(TRIM(F486&amp;"")="","NULL","(SELECT id FROM gen_departamento WHERE upper(nombre) = upper('"&amp;SUBSTITUTE(TRIM(F486),"'","''")&amp;"') AND estado = 1 LIMIT 1)")&amp;", "&amp;IF(OR(TRIM(F486&amp;"")="",TRIM(G486&amp;"")=""),"NULL","(SELECT p.id FROM gen_provincia p JOIN gen_departamento dp ON dp.id = p.id_departamento WHERE upper(p.nombre) = upper('"&amp;SUBSTITUTE(TRIM(G486),"'","''")&amp;"') AND upper(dp.nombre) = upper('"&amp;SUBSTITUTE(TRIM(F486),"'","''")&amp;"') AND p.estado = 1 LIMIT 1)")&amp;", "&amp;IF(OR(TRIM(F486&amp;"")="",TRIM(G486&amp;"")="",TRIM(H486&amp;"")=""),"NULL","(SELECT d.id FROM gen_distrito d JOIN gen_provincia p ON p.id = d.id_provincia JOIN gen_departamento dp ON dp.id = p.id_departamento WHERE upper(d.nombre) = upper('"&amp;SUBSTITUTE(TRIM(H486),"'","''")&amp;"') AND upper(p.nombre) = upper('"&amp;SUBSTITUTE(TRIM(G486),"'","''")&amp;"') AND upper(dp.nombre) = upper('"&amp;SUBSTITUTE(TRIM(F486),"'","''")&amp;"') AND d.estado = 1 LIMIT 1)")&amp;", "&amp;IF(I486&amp;""="","NULL",SUBSTITUTE(I486&amp;"",",","."))&amp;", "&amp;IF(J486&amp;""="","NULL",SUBSTITUTE(J486&amp;"",",","."))&amp;", "&amp;IF(UPPER(TRIM(K486&amp;""))="SI","TRUE","FALSE")&amp;", 1"&amp;" WHERE NOT EXISTS (SELECT 1 FROM cli_direcciones x WHERE x.id_cliente = "&amp;"(SELECT id FROM cli_clientes WHERE numero_documento = '"&amp;SUBSTITUTE(TRIM(A486),"'","''")&amp;"' AND estado = 1 LIMIT 1)"&amp;" AND upper(x.direccion) = upper("&amp;IF(TRIM(D486&amp;"")="","NULL","'"&amp;SUBSTITUTE(TRIM(D486),"'","''")&amp;"'")&amp;"));")</f>
        <v/>
      </c>
    </row>
    <row r="487" ht="15.75" customHeight="1" s="64">
      <c r="A487" s="23" t="n"/>
      <c r="B487" s="25">
        <f t="array" ref="B487">IF(A487="","",IFERROR(IF(INDEX(Clientes!$D$5:$D$549,MATCH(A487,Clientes!$C$5:$C$549,0))&lt;&gt;"",INDEX(Clientes!$D$5:$D$549,MATCH(A487,Clientes!$C$5:$C$549,0)),TRIM(INDEX(Clientes!$E$5:$E$549,MATCH(A487,Clientes!$C$5:$C$549,0))&amp;" "&amp;INDEX(Clientes!$F$5:$F$549,MATCH(A487,Clientes!$C$5:$C$549,0)))),"NO EXISTE en Clientes"))</f>
        <v/>
      </c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>
        <f>IF(AND(A487="",D487=""),"",IF(A487="","FALTA doc. cliente",IF(B487="NO EXISTE en Clientes","CLIENTE no está en hoja Clientes",IF(D487="","FALTA dirección",IF(AND(H487&lt;&gt;"",OR(F487="",G487="")),"Distrito requiere departamento y provincia",IF(AND(G487&lt;&gt;"",F487=""),"Provincia requiere departamento",IF((I487&lt;&gt;"")&lt;&gt;(J487&lt;&gt;""),"Latitud y longitud van juntas","OK")))))))</f>
        <v/>
      </c>
      <c r="M487" s="28">
        <f>IF(L487&lt;&gt;"OK","","INSERT INTO cli_direcciones (id_cliente, descripcion, direccion, referencia, id_departamento, id_provincia, id_distrito, latitud, longitud, es_principal, estado) SELECT "&amp;"(SELECT id FROM cli_clientes WHERE numero_documento = '"&amp;SUBSTITUTE(TRIM(A487),"'","''")&amp;"' AND estado = 1 LIMIT 1)"&amp;", "&amp;IF(TRIM(C487&amp;"")="","NULL","'"&amp;SUBSTITUTE(TRIM(C487),"'","''")&amp;"'")&amp;", "&amp;IF(TRIM(D487&amp;"")="","NULL","'"&amp;SUBSTITUTE(TRIM(D487),"'","''")&amp;"'")&amp;", "&amp;IF(TRIM(E487&amp;"")="","NULL","'"&amp;SUBSTITUTE(TRIM(E487),"'","''")&amp;"'")&amp;", "&amp;IF(TRIM(F487&amp;"")="","NULL","(SELECT id FROM gen_departamento WHERE upper(nombre) = upper('"&amp;SUBSTITUTE(TRIM(F487),"'","''")&amp;"') AND estado = 1 LIMIT 1)")&amp;", "&amp;IF(OR(TRIM(F487&amp;"")="",TRIM(G487&amp;"")=""),"NULL","(SELECT p.id FROM gen_provincia p JOIN gen_departamento dp ON dp.id = p.id_departamento WHERE upper(p.nombre) = upper('"&amp;SUBSTITUTE(TRIM(G487),"'","''")&amp;"') AND upper(dp.nombre) = upper('"&amp;SUBSTITUTE(TRIM(F487),"'","''")&amp;"') AND p.estado = 1 LIMIT 1)")&amp;", "&amp;IF(OR(TRIM(F487&amp;"")="",TRIM(G487&amp;"")="",TRIM(H487&amp;"")=""),"NULL","(SELECT d.id FROM gen_distrito d JOIN gen_provincia p ON p.id = d.id_provincia JOIN gen_departamento dp ON dp.id = p.id_departamento WHERE upper(d.nombre) = upper('"&amp;SUBSTITUTE(TRIM(H487),"'","''")&amp;"') AND upper(p.nombre) = upper('"&amp;SUBSTITUTE(TRIM(G487),"'","''")&amp;"') AND upper(dp.nombre) = upper('"&amp;SUBSTITUTE(TRIM(F487),"'","''")&amp;"') AND d.estado = 1 LIMIT 1)")&amp;", "&amp;IF(I487&amp;""="","NULL",SUBSTITUTE(I487&amp;"",",","."))&amp;", "&amp;IF(J487&amp;""="","NULL",SUBSTITUTE(J487&amp;"",",","."))&amp;", "&amp;IF(UPPER(TRIM(K487&amp;""))="SI","TRUE","FALSE")&amp;", 1"&amp;" WHERE NOT EXISTS (SELECT 1 FROM cli_direcciones x WHERE x.id_cliente = "&amp;"(SELECT id FROM cli_clientes WHERE numero_documento = '"&amp;SUBSTITUTE(TRIM(A487),"'","''")&amp;"' AND estado = 1 LIMIT 1)"&amp;" AND upper(x.direccion) = upper("&amp;IF(TRIM(D487&amp;"")="","NULL","'"&amp;SUBSTITUTE(TRIM(D487),"'","''")&amp;"'")&amp;"));")</f>
        <v/>
      </c>
    </row>
    <row r="488" ht="15.75" customHeight="1" s="64">
      <c r="A488" s="23" t="n"/>
      <c r="B488" s="25">
        <f t="array" ref="B488">IF(A488="","",IFERROR(IF(INDEX(Clientes!$D$5:$D$549,MATCH(A488,Clientes!$C$5:$C$549,0))&lt;&gt;"",INDEX(Clientes!$D$5:$D$549,MATCH(A488,Clientes!$C$5:$C$549,0)),TRIM(INDEX(Clientes!$E$5:$E$549,MATCH(A488,Clientes!$C$5:$C$549,0))&amp;" "&amp;INDEX(Clientes!$F$5:$F$549,MATCH(A488,Clientes!$C$5:$C$549,0)))),"NO EXISTE en Clientes"))</f>
        <v/>
      </c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>
        <f>IF(AND(A488="",D488=""),"",IF(A488="","FALTA doc. cliente",IF(B488="NO EXISTE en Clientes","CLIENTE no está en hoja Clientes",IF(D488="","FALTA dirección",IF(AND(H488&lt;&gt;"",OR(F488="",G488="")),"Distrito requiere departamento y provincia",IF(AND(G488&lt;&gt;"",F488=""),"Provincia requiere departamento",IF((I488&lt;&gt;"")&lt;&gt;(J488&lt;&gt;""),"Latitud y longitud van juntas","OK")))))))</f>
        <v/>
      </c>
      <c r="M488" s="28">
        <f>IF(L488&lt;&gt;"OK","","INSERT INTO cli_direcciones (id_cliente, descripcion, direccion, referencia, id_departamento, id_provincia, id_distrito, latitud, longitud, es_principal, estado) SELECT "&amp;"(SELECT id FROM cli_clientes WHERE numero_documento = '"&amp;SUBSTITUTE(TRIM(A488),"'","''")&amp;"' AND estado = 1 LIMIT 1)"&amp;", "&amp;IF(TRIM(C488&amp;"")="","NULL","'"&amp;SUBSTITUTE(TRIM(C488),"'","''")&amp;"'")&amp;", "&amp;IF(TRIM(D488&amp;"")="","NULL","'"&amp;SUBSTITUTE(TRIM(D488),"'","''")&amp;"'")&amp;", "&amp;IF(TRIM(E488&amp;"")="","NULL","'"&amp;SUBSTITUTE(TRIM(E488),"'","''")&amp;"'")&amp;", "&amp;IF(TRIM(F488&amp;"")="","NULL","(SELECT id FROM gen_departamento WHERE upper(nombre) = upper('"&amp;SUBSTITUTE(TRIM(F488),"'","''")&amp;"') AND estado = 1 LIMIT 1)")&amp;", "&amp;IF(OR(TRIM(F488&amp;"")="",TRIM(G488&amp;"")=""),"NULL","(SELECT p.id FROM gen_provincia p JOIN gen_departamento dp ON dp.id = p.id_departamento WHERE upper(p.nombre) = upper('"&amp;SUBSTITUTE(TRIM(G488),"'","''")&amp;"') AND upper(dp.nombre) = upper('"&amp;SUBSTITUTE(TRIM(F488),"'","''")&amp;"') AND p.estado = 1 LIMIT 1)")&amp;", "&amp;IF(OR(TRIM(F488&amp;"")="",TRIM(G488&amp;"")="",TRIM(H488&amp;"")=""),"NULL","(SELECT d.id FROM gen_distrito d JOIN gen_provincia p ON p.id = d.id_provincia JOIN gen_departamento dp ON dp.id = p.id_departamento WHERE upper(d.nombre) = upper('"&amp;SUBSTITUTE(TRIM(H488),"'","''")&amp;"') AND upper(p.nombre) = upper('"&amp;SUBSTITUTE(TRIM(G488),"'","''")&amp;"') AND upper(dp.nombre) = upper('"&amp;SUBSTITUTE(TRIM(F488),"'","''")&amp;"') AND d.estado = 1 LIMIT 1)")&amp;", "&amp;IF(I488&amp;""="","NULL",SUBSTITUTE(I488&amp;"",",","."))&amp;", "&amp;IF(J488&amp;""="","NULL",SUBSTITUTE(J488&amp;"",",","."))&amp;", "&amp;IF(UPPER(TRIM(K488&amp;""))="SI","TRUE","FALSE")&amp;", 1"&amp;" WHERE NOT EXISTS (SELECT 1 FROM cli_direcciones x WHERE x.id_cliente = "&amp;"(SELECT id FROM cli_clientes WHERE numero_documento = '"&amp;SUBSTITUTE(TRIM(A488),"'","''")&amp;"' AND estado = 1 LIMIT 1)"&amp;" AND upper(x.direccion) = upper("&amp;IF(TRIM(D488&amp;"")="","NULL","'"&amp;SUBSTITUTE(TRIM(D488),"'","''")&amp;"'")&amp;"));")</f>
        <v/>
      </c>
    </row>
    <row r="489" ht="15.75" customHeight="1" s="64">
      <c r="A489" s="23" t="n"/>
      <c r="B489" s="25">
        <f t="array" ref="B489">IF(A489="","",IFERROR(IF(INDEX(Clientes!$D$5:$D$549,MATCH(A489,Clientes!$C$5:$C$549,0))&lt;&gt;"",INDEX(Clientes!$D$5:$D$549,MATCH(A489,Clientes!$C$5:$C$549,0)),TRIM(INDEX(Clientes!$E$5:$E$549,MATCH(A489,Clientes!$C$5:$C$549,0))&amp;" "&amp;INDEX(Clientes!$F$5:$F$549,MATCH(A489,Clientes!$C$5:$C$549,0)))),"NO EXISTE en Clientes"))</f>
        <v/>
      </c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>
        <f>IF(AND(A489="",D489=""),"",IF(A489="","FALTA doc. cliente",IF(B489="NO EXISTE en Clientes","CLIENTE no está en hoja Clientes",IF(D489="","FALTA dirección",IF(AND(H489&lt;&gt;"",OR(F489="",G489="")),"Distrito requiere departamento y provincia",IF(AND(G489&lt;&gt;"",F489=""),"Provincia requiere departamento",IF((I489&lt;&gt;"")&lt;&gt;(J489&lt;&gt;""),"Latitud y longitud van juntas","OK")))))))</f>
        <v/>
      </c>
      <c r="M489" s="28">
        <f>IF(L489&lt;&gt;"OK","","INSERT INTO cli_direcciones (id_cliente, descripcion, direccion, referencia, id_departamento, id_provincia, id_distrito, latitud, longitud, es_principal, estado) SELECT "&amp;"(SELECT id FROM cli_clientes WHERE numero_documento = '"&amp;SUBSTITUTE(TRIM(A489),"'","''")&amp;"' AND estado = 1 LIMIT 1)"&amp;", "&amp;IF(TRIM(C489&amp;"")="","NULL","'"&amp;SUBSTITUTE(TRIM(C489),"'","''")&amp;"'")&amp;", "&amp;IF(TRIM(D489&amp;"")="","NULL","'"&amp;SUBSTITUTE(TRIM(D489),"'","''")&amp;"'")&amp;", "&amp;IF(TRIM(E489&amp;"")="","NULL","'"&amp;SUBSTITUTE(TRIM(E489),"'","''")&amp;"'")&amp;", "&amp;IF(TRIM(F489&amp;"")="","NULL","(SELECT id FROM gen_departamento WHERE upper(nombre) = upper('"&amp;SUBSTITUTE(TRIM(F489),"'","''")&amp;"') AND estado = 1 LIMIT 1)")&amp;", "&amp;IF(OR(TRIM(F489&amp;"")="",TRIM(G489&amp;"")=""),"NULL","(SELECT p.id FROM gen_provincia p JOIN gen_departamento dp ON dp.id = p.id_departamento WHERE upper(p.nombre) = upper('"&amp;SUBSTITUTE(TRIM(G489),"'","''")&amp;"') AND upper(dp.nombre) = upper('"&amp;SUBSTITUTE(TRIM(F489),"'","''")&amp;"') AND p.estado = 1 LIMIT 1)")&amp;", "&amp;IF(OR(TRIM(F489&amp;"")="",TRIM(G489&amp;"")="",TRIM(H489&amp;"")=""),"NULL","(SELECT d.id FROM gen_distrito d JOIN gen_provincia p ON p.id = d.id_provincia JOIN gen_departamento dp ON dp.id = p.id_departamento WHERE upper(d.nombre) = upper('"&amp;SUBSTITUTE(TRIM(H489),"'","''")&amp;"') AND upper(p.nombre) = upper('"&amp;SUBSTITUTE(TRIM(G489),"'","''")&amp;"') AND upper(dp.nombre) = upper('"&amp;SUBSTITUTE(TRIM(F489),"'","''")&amp;"') AND d.estado = 1 LIMIT 1)")&amp;", "&amp;IF(I489&amp;""="","NULL",SUBSTITUTE(I489&amp;"",",","."))&amp;", "&amp;IF(J489&amp;""="","NULL",SUBSTITUTE(J489&amp;"",",","."))&amp;", "&amp;IF(UPPER(TRIM(K489&amp;""))="SI","TRUE","FALSE")&amp;", 1"&amp;" WHERE NOT EXISTS (SELECT 1 FROM cli_direcciones x WHERE x.id_cliente = "&amp;"(SELECT id FROM cli_clientes WHERE numero_documento = '"&amp;SUBSTITUTE(TRIM(A489),"'","''")&amp;"' AND estado = 1 LIMIT 1)"&amp;" AND upper(x.direccion) = upper("&amp;IF(TRIM(D489&amp;"")="","NULL","'"&amp;SUBSTITUTE(TRIM(D489),"'","''")&amp;"'")&amp;"));")</f>
        <v/>
      </c>
    </row>
    <row r="490" ht="15.75" customHeight="1" s="64">
      <c r="A490" s="23" t="n"/>
      <c r="B490" s="25">
        <f t="array" ref="B490">IF(A490="","",IFERROR(IF(INDEX(Clientes!$D$5:$D$549,MATCH(A490,Clientes!$C$5:$C$549,0))&lt;&gt;"",INDEX(Clientes!$D$5:$D$549,MATCH(A490,Clientes!$C$5:$C$549,0)),TRIM(INDEX(Clientes!$E$5:$E$549,MATCH(A490,Clientes!$C$5:$C$549,0))&amp;" "&amp;INDEX(Clientes!$F$5:$F$549,MATCH(A490,Clientes!$C$5:$C$549,0)))),"NO EXISTE en Clientes"))</f>
        <v/>
      </c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>
        <f>IF(AND(A490="",D490=""),"",IF(A490="","FALTA doc. cliente",IF(B490="NO EXISTE en Clientes","CLIENTE no está en hoja Clientes",IF(D490="","FALTA dirección",IF(AND(H490&lt;&gt;"",OR(F490="",G490="")),"Distrito requiere departamento y provincia",IF(AND(G490&lt;&gt;"",F490=""),"Provincia requiere departamento",IF((I490&lt;&gt;"")&lt;&gt;(J490&lt;&gt;""),"Latitud y longitud van juntas","OK")))))))</f>
        <v/>
      </c>
      <c r="M490" s="28">
        <f>IF(L490&lt;&gt;"OK","","INSERT INTO cli_direcciones (id_cliente, descripcion, direccion, referencia, id_departamento, id_provincia, id_distrito, latitud, longitud, es_principal, estado) SELECT "&amp;"(SELECT id FROM cli_clientes WHERE numero_documento = '"&amp;SUBSTITUTE(TRIM(A490),"'","''")&amp;"' AND estado = 1 LIMIT 1)"&amp;", "&amp;IF(TRIM(C490&amp;"")="","NULL","'"&amp;SUBSTITUTE(TRIM(C490),"'","''")&amp;"'")&amp;", "&amp;IF(TRIM(D490&amp;"")="","NULL","'"&amp;SUBSTITUTE(TRIM(D490),"'","''")&amp;"'")&amp;", "&amp;IF(TRIM(E490&amp;"")="","NULL","'"&amp;SUBSTITUTE(TRIM(E490),"'","''")&amp;"'")&amp;", "&amp;IF(TRIM(F490&amp;"")="","NULL","(SELECT id FROM gen_departamento WHERE upper(nombre) = upper('"&amp;SUBSTITUTE(TRIM(F490),"'","''")&amp;"') AND estado = 1 LIMIT 1)")&amp;", "&amp;IF(OR(TRIM(F490&amp;"")="",TRIM(G490&amp;"")=""),"NULL","(SELECT p.id FROM gen_provincia p JOIN gen_departamento dp ON dp.id = p.id_departamento WHERE upper(p.nombre) = upper('"&amp;SUBSTITUTE(TRIM(G490),"'","''")&amp;"') AND upper(dp.nombre) = upper('"&amp;SUBSTITUTE(TRIM(F490),"'","''")&amp;"') AND p.estado = 1 LIMIT 1)")&amp;", "&amp;IF(OR(TRIM(F490&amp;"")="",TRIM(G490&amp;"")="",TRIM(H490&amp;"")=""),"NULL","(SELECT d.id FROM gen_distrito d JOIN gen_provincia p ON p.id = d.id_provincia JOIN gen_departamento dp ON dp.id = p.id_departamento WHERE upper(d.nombre) = upper('"&amp;SUBSTITUTE(TRIM(H490),"'","''")&amp;"') AND upper(p.nombre) = upper('"&amp;SUBSTITUTE(TRIM(G490),"'","''")&amp;"') AND upper(dp.nombre) = upper('"&amp;SUBSTITUTE(TRIM(F490),"'","''")&amp;"') AND d.estado = 1 LIMIT 1)")&amp;", "&amp;IF(I490&amp;""="","NULL",SUBSTITUTE(I490&amp;"",",","."))&amp;", "&amp;IF(J490&amp;""="","NULL",SUBSTITUTE(J490&amp;"",",","."))&amp;", "&amp;IF(UPPER(TRIM(K490&amp;""))="SI","TRUE","FALSE")&amp;", 1"&amp;" WHERE NOT EXISTS (SELECT 1 FROM cli_direcciones x WHERE x.id_cliente = "&amp;"(SELECT id FROM cli_clientes WHERE numero_documento = '"&amp;SUBSTITUTE(TRIM(A490),"'","''")&amp;"' AND estado = 1 LIMIT 1)"&amp;" AND upper(x.direccion) = upper("&amp;IF(TRIM(D490&amp;"")="","NULL","'"&amp;SUBSTITUTE(TRIM(D490),"'","''")&amp;"'")&amp;"));")</f>
        <v/>
      </c>
    </row>
    <row r="491" ht="15.75" customHeight="1" s="64">
      <c r="A491" s="23" t="n"/>
      <c r="B491" s="25">
        <f t="array" ref="B491">IF(A491="","",IFERROR(IF(INDEX(Clientes!$D$5:$D$549,MATCH(A491,Clientes!$C$5:$C$549,0))&lt;&gt;"",INDEX(Clientes!$D$5:$D$549,MATCH(A491,Clientes!$C$5:$C$549,0)),TRIM(INDEX(Clientes!$E$5:$E$549,MATCH(A491,Clientes!$C$5:$C$549,0))&amp;" "&amp;INDEX(Clientes!$F$5:$F$549,MATCH(A491,Clientes!$C$5:$C$549,0)))),"NO EXISTE en Clientes"))</f>
        <v/>
      </c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>
        <f>IF(AND(A491="",D491=""),"",IF(A491="","FALTA doc. cliente",IF(B491="NO EXISTE en Clientes","CLIENTE no está en hoja Clientes",IF(D491="","FALTA dirección",IF(AND(H491&lt;&gt;"",OR(F491="",G491="")),"Distrito requiere departamento y provincia",IF(AND(G491&lt;&gt;"",F491=""),"Provincia requiere departamento",IF((I491&lt;&gt;"")&lt;&gt;(J491&lt;&gt;""),"Latitud y longitud van juntas","OK")))))))</f>
        <v/>
      </c>
      <c r="M491" s="28">
        <f>IF(L491&lt;&gt;"OK","","INSERT INTO cli_direcciones (id_cliente, descripcion, direccion, referencia, id_departamento, id_provincia, id_distrito, latitud, longitud, es_principal, estado) SELECT "&amp;"(SELECT id FROM cli_clientes WHERE numero_documento = '"&amp;SUBSTITUTE(TRIM(A491),"'","''")&amp;"' AND estado = 1 LIMIT 1)"&amp;", "&amp;IF(TRIM(C491&amp;"")="","NULL","'"&amp;SUBSTITUTE(TRIM(C491),"'","''")&amp;"'")&amp;", "&amp;IF(TRIM(D491&amp;"")="","NULL","'"&amp;SUBSTITUTE(TRIM(D491),"'","''")&amp;"'")&amp;", "&amp;IF(TRIM(E491&amp;"")="","NULL","'"&amp;SUBSTITUTE(TRIM(E491),"'","''")&amp;"'")&amp;", "&amp;IF(TRIM(F491&amp;"")="","NULL","(SELECT id FROM gen_departamento WHERE upper(nombre) = upper('"&amp;SUBSTITUTE(TRIM(F491),"'","''")&amp;"') AND estado = 1 LIMIT 1)")&amp;", "&amp;IF(OR(TRIM(F491&amp;"")="",TRIM(G491&amp;"")=""),"NULL","(SELECT p.id FROM gen_provincia p JOIN gen_departamento dp ON dp.id = p.id_departamento WHERE upper(p.nombre) = upper('"&amp;SUBSTITUTE(TRIM(G491),"'","''")&amp;"') AND upper(dp.nombre) = upper('"&amp;SUBSTITUTE(TRIM(F491),"'","''")&amp;"') AND p.estado = 1 LIMIT 1)")&amp;", "&amp;IF(OR(TRIM(F491&amp;"")="",TRIM(G491&amp;"")="",TRIM(H491&amp;"")=""),"NULL","(SELECT d.id FROM gen_distrito d JOIN gen_provincia p ON p.id = d.id_provincia JOIN gen_departamento dp ON dp.id = p.id_departamento WHERE upper(d.nombre) = upper('"&amp;SUBSTITUTE(TRIM(H491),"'","''")&amp;"') AND upper(p.nombre) = upper('"&amp;SUBSTITUTE(TRIM(G491),"'","''")&amp;"') AND upper(dp.nombre) = upper('"&amp;SUBSTITUTE(TRIM(F491),"'","''")&amp;"') AND d.estado = 1 LIMIT 1)")&amp;", "&amp;IF(I491&amp;""="","NULL",SUBSTITUTE(I491&amp;"",",","."))&amp;", "&amp;IF(J491&amp;""="","NULL",SUBSTITUTE(J491&amp;"",",","."))&amp;", "&amp;IF(UPPER(TRIM(K491&amp;""))="SI","TRUE","FALSE")&amp;", 1"&amp;" WHERE NOT EXISTS (SELECT 1 FROM cli_direcciones x WHERE x.id_cliente = "&amp;"(SELECT id FROM cli_clientes WHERE numero_documento = '"&amp;SUBSTITUTE(TRIM(A491),"'","''")&amp;"' AND estado = 1 LIMIT 1)"&amp;" AND upper(x.direccion) = upper("&amp;IF(TRIM(D491&amp;"")="","NULL","'"&amp;SUBSTITUTE(TRIM(D491),"'","''")&amp;"'")&amp;"));")</f>
        <v/>
      </c>
    </row>
    <row r="492" ht="15.75" customHeight="1" s="64">
      <c r="A492" s="23" t="n"/>
      <c r="B492" s="25">
        <f t="array" ref="B492">IF(A492="","",IFERROR(IF(INDEX(Clientes!$D$5:$D$549,MATCH(A492,Clientes!$C$5:$C$549,0))&lt;&gt;"",INDEX(Clientes!$D$5:$D$549,MATCH(A492,Clientes!$C$5:$C$549,0)),TRIM(INDEX(Clientes!$E$5:$E$549,MATCH(A492,Clientes!$C$5:$C$549,0))&amp;" "&amp;INDEX(Clientes!$F$5:$F$549,MATCH(A492,Clientes!$C$5:$C$549,0)))),"NO EXISTE en Clientes"))</f>
        <v/>
      </c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>
        <f>IF(AND(A492="",D492=""),"",IF(A492="","FALTA doc. cliente",IF(B492="NO EXISTE en Clientes","CLIENTE no está en hoja Clientes",IF(D492="","FALTA dirección",IF(AND(H492&lt;&gt;"",OR(F492="",G492="")),"Distrito requiere departamento y provincia",IF(AND(G492&lt;&gt;"",F492=""),"Provincia requiere departamento",IF((I492&lt;&gt;"")&lt;&gt;(J492&lt;&gt;""),"Latitud y longitud van juntas","OK")))))))</f>
        <v/>
      </c>
      <c r="M492" s="28">
        <f>IF(L492&lt;&gt;"OK","","INSERT INTO cli_direcciones (id_cliente, descripcion, direccion, referencia, id_departamento, id_provincia, id_distrito, latitud, longitud, es_principal, estado) SELECT "&amp;"(SELECT id FROM cli_clientes WHERE numero_documento = '"&amp;SUBSTITUTE(TRIM(A492),"'","''")&amp;"' AND estado = 1 LIMIT 1)"&amp;", "&amp;IF(TRIM(C492&amp;"")="","NULL","'"&amp;SUBSTITUTE(TRIM(C492),"'","''")&amp;"'")&amp;", "&amp;IF(TRIM(D492&amp;"")="","NULL","'"&amp;SUBSTITUTE(TRIM(D492),"'","''")&amp;"'")&amp;", "&amp;IF(TRIM(E492&amp;"")="","NULL","'"&amp;SUBSTITUTE(TRIM(E492),"'","''")&amp;"'")&amp;", "&amp;IF(TRIM(F492&amp;"")="","NULL","(SELECT id FROM gen_departamento WHERE upper(nombre) = upper('"&amp;SUBSTITUTE(TRIM(F492),"'","''")&amp;"') AND estado = 1 LIMIT 1)")&amp;", "&amp;IF(OR(TRIM(F492&amp;"")="",TRIM(G492&amp;"")=""),"NULL","(SELECT p.id FROM gen_provincia p JOIN gen_departamento dp ON dp.id = p.id_departamento WHERE upper(p.nombre) = upper('"&amp;SUBSTITUTE(TRIM(G492),"'","''")&amp;"') AND upper(dp.nombre) = upper('"&amp;SUBSTITUTE(TRIM(F492),"'","''")&amp;"') AND p.estado = 1 LIMIT 1)")&amp;", "&amp;IF(OR(TRIM(F492&amp;"")="",TRIM(G492&amp;"")="",TRIM(H492&amp;"")=""),"NULL","(SELECT d.id FROM gen_distrito d JOIN gen_provincia p ON p.id = d.id_provincia JOIN gen_departamento dp ON dp.id = p.id_departamento WHERE upper(d.nombre) = upper('"&amp;SUBSTITUTE(TRIM(H492),"'","''")&amp;"') AND upper(p.nombre) = upper('"&amp;SUBSTITUTE(TRIM(G492),"'","''")&amp;"') AND upper(dp.nombre) = upper('"&amp;SUBSTITUTE(TRIM(F492),"'","''")&amp;"') AND d.estado = 1 LIMIT 1)")&amp;", "&amp;IF(I492&amp;""="","NULL",SUBSTITUTE(I492&amp;"",",","."))&amp;", "&amp;IF(J492&amp;""="","NULL",SUBSTITUTE(J492&amp;"",",","."))&amp;", "&amp;IF(UPPER(TRIM(K492&amp;""))="SI","TRUE","FALSE")&amp;", 1"&amp;" WHERE NOT EXISTS (SELECT 1 FROM cli_direcciones x WHERE x.id_cliente = "&amp;"(SELECT id FROM cli_clientes WHERE numero_documento = '"&amp;SUBSTITUTE(TRIM(A492),"'","''")&amp;"' AND estado = 1 LIMIT 1)"&amp;" AND upper(x.direccion) = upper("&amp;IF(TRIM(D492&amp;"")="","NULL","'"&amp;SUBSTITUTE(TRIM(D492),"'","''")&amp;"'")&amp;"));")</f>
        <v/>
      </c>
    </row>
    <row r="493" ht="15.75" customHeight="1" s="64">
      <c r="A493" s="23" t="n"/>
      <c r="B493" s="25">
        <f t="array" ref="B493">IF(A493="","",IFERROR(IF(INDEX(Clientes!$D$5:$D$549,MATCH(A493,Clientes!$C$5:$C$549,0))&lt;&gt;"",INDEX(Clientes!$D$5:$D$549,MATCH(A493,Clientes!$C$5:$C$549,0)),TRIM(INDEX(Clientes!$E$5:$E$549,MATCH(A493,Clientes!$C$5:$C$549,0))&amp;" "&amp;INDEX(Clientes!$F$5:$F$549,MATCH(A493,Clientes!$C$5:$C$549,0)))),"NO EXISTE en Clientes"))</f>
        <v/>
      </c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>
        <f>IF(AND(A493="",D493=""),"",IF(A493="","FALTA doc. cliente",IF(B493="NO EXISTE en Clientes","CLIENTE no está en hoja Clientes",IF(D493="","FALTA dirección",IF(AND(H493&lt;&gt;"",OR(F493="",G493="")),"Distrito requiere departamento y provincia",IF(AND(G493&lt;&gt;"",F493=""),"Provincia requiere departamento",IF((I493&lt;&gt;"")&lt;&gt;(J493&lt;&gt;""),"Latitud y longitud van juntas","OK")))))))</f>
        <v/>
      </c>
      <c r="M493" s="28">
        <f>IF(L493&lt;&gt;"OK","","INSERT INTO cli_direcciones (id_cliente, descripcion, direccion, referencia, id_departamento, id_provincia, id_distrito, latitud, longitud, es_principal, estado) SELECT "&amp;"(SELECT id FROM cli_clientes WHERE numero_documento = '"&amp;SUBSTITUTE(TRIM(A493),"'","''")&amp;"' AND estado = 1 LIMIT 1)"&amp;", "&amp;IF(TRIM(C493&amp;"")="","NULL","'"&amp;SUBSTITUTE(TRIM(C493),"'","''")&amp;"'")&amp;", "&amp;IF(TRIM(D493&amp;"")="","NULL","'"&amp;SUBSTITUTE(TRIM(D493),"'","''")&amp;"'")&amp;", "&amp;IF(TRIM(E493&amp;"")="","NULL","'"&amp;SUBSTITUTE(TRIM(E493),"'","''")&amp;"'")&amp;", "&amp;IF(TRIM(F493&amp;"")="","NULL","(SELECT id FROM gen_departamento WHERE upper(nombre) = upper('"&amp;SUBSTITUTE(TRIM(F493),"'","''")&amp;"') AND estado = 1 LIMIT 1)")&amp;", "&amp;IF(OR(TRIM(F493&amp;"")="",TRIM(G493&amp;"")=""),"NULL","(SELECT p.id FROM gen_provincia p JOIN gen_departamento dp ON dp.id = p.id_departamento WHERE upper(p.nombre) = upper('"&amp;SUBSTITUTE(TRIM(G493),"'","''")&amp;"') AND upper(dp.nombre) = upper('"&amp;SUBSTITUTE(TRIM(F493),"'","''")&amp;"') AND p.estado = 1 LIMIT 1)")&amp;", "&amp;IF(OR(TRIM(F493&amp;"")="",TRIM(G493&amp;"")="",TRIM(H493&amp;"")=""),"NULL","(SELECT d.id FROM gen_distrito d JOIN gen_provincia p ON p.id = d.id_provincia JOIN gen_departamento dp ON dp.id = p.id_departamento WHERE upper(d.nombre) = upper('"&amp;SUBSTITUTE(TRIM(H493),"'","''")&amp;"') AND upper(p.nombre) = upper('"&amp;SUBSTITUTE(TRIM(G493),"'","''")&amp;"') AND upper(dp.nombre) = upper('"&amp;SUBSTITUTE(TRIM(F493),"'","''")&amp;"') AND d.estado = 1 LIMIT 1)")&amp;", "&amp;IF(I493&amp;""="","NULL",SUBSTITUTE(I493&amp;"",",","."))&amp;", "&amp;IF(J493&amp;""="","NULL",SUBSTITUTE(J493&amp;"",",","."))&amp;", "&amp;IF(UPPER(TRIM(K493&amp;""))="SI","TRUE","FALSE")&amp;", 1"&amp;" WHERE NOT EXISTS (SELECT 1 FROM cli_direcciones x WHERE x.id_cliente = "&amp;"(SELECT id FROM cli_clientes WHERE numero_documento = '"&amp;SUBSTITUTE(TRIM(A493),"'","''")&amp;"' AND estado = 1 LIMIT 1)"&amp;" AND upper(x.direccion) = upper("&amp;IF(TRIM(D493&amp;"")="","NULL","'"&amp;SUBSTITUTE(TRIM(D493),"'","''")&amp;"'")&amp;"));")</f>
        <v/>
      </c>
    </row>
    <row r="494" ht="15.75" customHeight="1" s="64">
      <c r="A494" s="23" t="n"/>
      <c r="B494" s="25">
        <f t="array" ref="B494">IF(A494="","",IFERROR(IF(INDEX(Clientes!$D$5:$D$549,MATCH(A494,Clientes!$C$5:$C$549,0))&lt;&gt;"",INDEX(Clientes!$D$5:$D$549,MATCH(A494,Clientes!$C$5:$C$549,0)),TRIM(INDEX(Clientes!$E$5:$E$549,MATCH(A494,Clientes!$C$5:$C$549,0))&amp;" "&amp;INDEX(Clientes!$F$5:$F$549,MATCH(A494,Clientes!$C$5:$C$549,0)))),"NO EXISTE en Clientes"))</f>
        <v/>
      </c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>
        <f>IF(AND(A494="",D494=""),"",IF(A494="","FALTA doc. cliente",IF(B494="NO EXISTE en Clientes","CLIENTE no está en hoja Clientes",IF(D494="","FALTA dirección",IF(AND(H494&lt;&gt;"",OR(F494="",G494="")),"Distrito requiere departamento y provincia",IF(AND(G494&lt;&gt;"",F494=""),"Provincia requiere departamento",IF((I494&lt;&gt;"")&lt;&gt;(J494&lt;&gt;""),"Latitud y longitud van juntas","OK")))))))</f>
        <v/>
      </c>
      <c r="M494" s="28">
        <f>IF(L494&lt;&gt;"OK","","INSERT INTO cli_direcciones (id_cliente, descripcion, direccion, referencia, id_departamento, id_provincia, id_distrito, latitud, longitud, es_principal, estado) SELECT "&amp;"(SELECT id FROM cli_clientes WHERE numero_documento = '"&amp;SUBSTITUTE(TRIM(A494),"'","''")&amp;"' AND estado = 1 LIMIT 1)"&amp;", "&amp;IF(TRIM(C494&amp;"")="","NULL","'"&amp;SUBSTITUTE(TRIM(C494),"'","''")&amp;"'")&amp;", "&amp;IF(TRIM(D494&amp;"")="","NULL","'"&amp;SUBSTITUTE(TRIM(D494),"'","''")&amp;"'")&amp;", "&amp;IF(TRIM(E494&amp;"")="","NULL","'"&amp;SUBSTITUTE(TRIM(E494),"'","''")&amp;"'")&amp;", "&amp;IF(TRIM(F494&amp;"")="","NULL","(SELECT id FROM gen_departamento WHERE upper(nombre) = upper('"&amp;SUBSTITUTE(TRIM(F494),"'","''")&amp;"') AND estado = 1 LIMIT 1)")&amp;", "&amp;IF(OR(TRIM(F494&amp;"")="",TRIM(G494&amp;"")=""),"NULL","(SELECT p.id FROM gen_provincia p JOIN gen_departamento dp ON dp.id = p.id_departamento WHERE upper(p.nombre) = upper('"&amp;SUBSTITUTE(TRIM(G494),"'","''")&amp;"') AND upper(dp.nombre) = upper('"&amp;SUBSTITUTE(TRIM(F494),"'","''")&amp;"') AND p.estado = 1 LIMIT 1)")&amp;", "&amp;IF(OR(TRIM(F494&amp;"")="",TRIM(G494&amp;"")="",TRIM(H494&amp;"")=""),"NULL","(SELECT d.id FROM gen_distrito d JOIN gen_provincia p ON p.id = d.id_provincia JOIN gen_departamento dp ON dp.id = p.id_departamento WHERE upper(d.nombre) = upper('"&amp;SUBSTITUTE(TRIM(H494),"'","''")&amp;"') AND upper(p.nombre) = upper('"&amp;SUBSTITUTE(TRIM(G494),"'","''")&amp;"') AND upper(dp.nombre) = upper('"&amp;SUBSTITUTE(TRIM(F494),"'","''")&amp;"') AND d.estado = 1 LIMIT 1)")&amp;", "&amp;IF(I494&amp;""="","NULL",SUBSTITUTE(I494&amp;"",",","."))&amp;", "&amp;IF(J494&amp;""="","NULL",SUBSTITUTE(J494&amp;"",",","."))&amp;", "&amp;IF(UPPER(TRIM(K494&amp;""))="SI","TRUE","FALSE")&amp;", 1"&amp;" WHERE NOT EXISTS (SELECT 1 FROM cli_direcciones x WHERE x.id_cliente = "&amp;"(SELECT id FROM cli_clientes WHERE numero_documento = '"&amp;SUBSTITUTE(TRIM(A494),"'","''")&amp;"' AND estado = 1 LIMIT 1)"&amp;" AND upper(x.direccion) = upper("&amp;IF(TRIM(D494&amp;"")="","NULL","'"&amp;SUBSTITUTE(TRIM(D494),"'","''")&amp;"'")&amp;"));")</f>
        <v/>
      </c>
    </row>
    <row r="495" ht="15.75" customHeight="1" s="64">
      <c r="A495" s="23" t="n"/>
      <c r="B495" s="25">
        <f t="array" ref="B495">IF(A495="","",IFERROR(IF(INDEX(Clientes!$D$5:$D$549,MATCH(A495,Clientes!$C$5:$C$549,0))&lt;&gt;"",INDEX(Clientes!$D$5:$D$549,MATCH(A495,Clientes!$C$5:$C$549,0)),TRIM(INDEX(Clientes!$E$5:$E$549,MATCH(A495,Clientes!$C$5:$C$549,0))&amp;" "&amp;INDEX(Clientes!$F$5:$F$549,MATCH(A495,Clientes!$C$5:$C$549,0)))),"NO EXISTE en Clientes"))</f>
        <v/>
      </c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>
        <f>IF(AND(A495="",D495=""),"",IF(A495="","FALTA doc. cliente",IF(B495="NO EXISTE en Clientes","CLIENTE no está en hoja Clientes",IF(D495="","FALTA dirección",IF(AND(H495&lt;&gt;"",OR(F495="",G495="")),"Distrito requiere departamento y provincia",IF(AND(G495&lt;&gt;"",F495=""),"Provincia requiere departamento",IF((I495&lt;&gt;"")&lt;&gt;(J495&lt;&gt;""),"Latitud y longitud van juntas","OK")))))))</f>
        <v/>
      </c>
      <c r="M495" s="28">
        <f>IF(L495&lt;&gt;"OK","","INSERT INTO cli_direcciones (id_cliente, descripcion, direccion, referencia, id_departamento, id_provincia, id_distrito, latitud, longitud, es_principal, estado) SELECT "&amp;"(SELECT id FROM cli_clientes WHERE numero_documento = '"&amp;SUBSTITUTE(TRIM(A495),"'","''")&amp;"' AND estado = 1 LIMIT 1)"&amp;", "&amp;IF(TRIM(C495&amp;"")="","NULL","'"&amp;SUBSTITUTE(TRIM(C495),"'","''")&amp;"'")&amp;", "&amp;IF(TRIM(D495&amp;"")="","NULL","'"&amp;SUBSTITUTE(TRIM(D495),"'","''")&amp;"'")&amp;", "&amp;IF(TRIM(E495&amp;"")="","NULL","'"&amp;SUBSTITUTE(TRIM(E495),"'","''")&amp;"'")&amp;", "&amp;IF(TRIM(F495&amp;"")="","NULL","(SELECT id FROM gen_departamento WHERE upper(nombre) = upper('"&amp;SUBSTITUTE(TRIM(F495),"'","''")&amp;"') AND estado = 1 LIMIT 1)")&amp;", "&amp;IF(OR(TRIM(F495&amp;"")="",TRIM(G495&amp;"")=""),"NULL","(SELECT p.id FROM gen_provincia p JOIN gen_departamento dp ON dp.id = p.id_departamento WHERE upper(p.nombre) = upper('"&amp;SUBSTITUTE(TRIM(G495),"'","''")&amp;"') AND upper(dp.nombre) = upper('"&amp;SUBSTITUTE(TRIM(F495),"'","''")&amp;"') AND p.estado = 1 LIMIT 1)")&amp;", "&amp;IF(OR(TRIM(F495&amp;"")="",TRIM(G495&amp;"")="",TRIM(H495&amp;"")=""),"NULL","(SELECT d.id FROM gen_distrito d JOIN gen_provincia p ON p.id = d.id_provincia JOIN gen_departamento dp ON dp.id = p.id_departamento WHERE upper(d.nombre) = upper('"&amp;SUBSTITUTE(TRIM(H495),"'","''")&amp;"') AND upper(p.nombre) = upper('"&amp;SUBSTITUTE(TRIM(G495),"'","''")&amp;"') AND upper(dp.nombre) = upper('"&amp;SUBSTITUTE(TRIM(F495),"'","''")&amp;"') AND d.estado = 1 LIMIT 1)")&amp;", "&amp;IF(I495&amp;""="","NULL",SUBSTITUTE(I495&amp;"",",","."))&amp;", "&amp;IF(J495&amp;""="","NULL",SUBSTITUTE(J495&amp;"",",","."))&amp;", "&amp;IF(UPPER(TRIM(K495&amp;""))="SI","TRUE","FALSE")&amp;", 1"&amp;" WHERE NOT EXISTS (SELECT 1 FROM cli_direcciones x WHERE x.id_cliente = "&amp;"(SELECT id FROM cli_clientes WHERE numero_documento = '"&amp;SUBSTITUTE(TRIM(A495),"'","''")&amp;"' AND estado = 1 LIMIT 1)"&amp;" AND upper(x.direccion) = upper("&amp;IF(TRIM(D495&amp;"")="","NULL","'"&amp;SUBSTITUTE(TRIM(D495),"'","''")&amp;"'")&amp;"));")</f>
        <v/>
      </c>
    </row>
    <row r="496" ht="15.75" customHeight="1" s="64">
      <c r="A496" s="23" t="n"/>
      <c r="B496" s="25">
        <f t="array" ref="B496">IF(A496="","",IFERROR(IF(INDEX(Clientes!$D$5:$D$549,MATCH(A496,Clientes!$C$5:$C$549,0))&lt;&gt;"",INDEX(Clientes!$D$5:$D$549,MATCH(A496,Clientes!$C$5:$C$549,0)),TRIM(INDEX(Clientes!$E$5:$E$549,MATCH(A496,Clientes!$C$5:$C$549,0))&amp;" "&amp;INDEX(Clientes!$F$5:$F$549,MATCH(A496,Clientes!$C$5:$C$549,0)))),"NO EXISTE en Clientes"))</f>
        <v/>
      </c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>
        <f>IF(AND(A496="",D496=""),"",IF(A496="","FALTA doc. cliente",IF(B496="NO EXISTE en Clientes","CLIENTE no está en hoja Clientes",IF(D496="","FALTA dirección",IF(AND(H496&lt;&gt;"",OR(F496="",G496="")),"Distrito requiere departamento y provincia",IF(AND(G496&lt;&gt;"",F496=""),"Provincia requiere departamento",IF((I496&lt;&gt;"")&lt;&gt;(J496&lt;&gt;""),"Latitud y longitud van juntas","OK")))))))</f>
        <v/>
      </c>
      <c r="M496" s="28">
        <f>IF(L496&lt;&gt;"OK","","INSERT INTO cli_direcciones (id_cliente, descripcion, direccion, referencia, id_departamento, id_provincia, id_distrito, latitud, longitud, es_principal, estado) SELECT "&amp;"(SELECT id FROM cli_clientes WHERE numero_documento = '"&amp;SUBSTITUTE(TRIM(A496),"'","''")&amp;"' AND estado = 1 LIMIT 1)"&amp;", "&amp;IF(TRIM(C496&amp;"")="","NULL","'"&amp;SUBSTITUTE(TRIM(C496),"'","''")&amp;"'")&amp;", "&amp;IF(TRIM(D496&amp;"")="","NULL","'"&amp;SUBSTITUTE(TRIM(D496),"'","''")&amp;"'")&amp;", "&amp;IF(TRIM(E496&amp;"")="","NULL","'"&amp;SUBSTITUTE(TRIM(E496),"'","''")&amp;"'")&amp;", "&amp;IF(TRIM(F496&amp;"")="","NULL","(SELECT id FROM gen_departamento WHERE upper(nombre) = upper('"&amp;SUBSTITUTE(TRIM(F496),"'","''")&amp;"') AND estado = 1 LIMIT 1)")&amp;", "&amp;IF(OR(TRIM(F496&amp;"")="",TRIM(G496&amp;"")=""),"NULL","(SELECT p.id FROM gen_provincia p JOIN gen_departamento dp ON dp.id = p.id_departamento WHERE upper(p.nombre) = upper('"&amp;SUBSTITUTE(TRIM(G496),"'","''")&amp;"') AND upper(dp.nombre) = upper('"&amp;SUBSTITUTE(TRIM(F496),"'","''")&amp;"') AND p.estado = 1 LIMIT 1)")&amp;", "&amp;IF(OR(TRIM(F496&amp;"")="",TRIM(G496&amp;"")="",TRIM(H496&amp;"")=""),"NULL","(SELECT d.id FROM gen_distrito d JOIN gen_provincia p ON p.id = d.id_provincia JOIN gen_departamento dp ON dp.id = p.id_departamento WHERE upper(d.nombre) = upper('"&amp;SUBSTITUTE(TRIM(H496),"'","''")&amp;"') AND upper(p.nombre) = upper('"&amp;SUBSTITUTE(TRIM(G496),"'","''")&amp;"') AND upper(dp.nombre) = upper('"&amp;SUBSTITUTE(TRIM(F496),"'","''")&amp;"') AND d.estado = 1 LIMIT 1)")&amp;", "&amp;IF(I496&amp;""="","NULL",SUBSTITUTE(I496&amp;"",",","."))&amp;", "&amp;IF(J496&amp;""="","NULL",SUBSTITUTE(J496&amp;"",",","."))&amp;", "&amp;IF(UPPER(TRIM(K496&amp;""))="SI","TRUE","FALSE")&amp;", 1"&amp;" WHERE NOT EXISTS (SELECT 1 FROM cli_direcciones x WHERE x.id_cliente = "&amp;"(SELECT id FROM cli_clientes WHERE numero_documento = '"&amp;SUBSTITUTE(TRIM(A496),"'","''")&amp;"' AND estado = 1 LIMIT 1)"&amp;" AND upper(x.direccion) = upper("&amp;IF(TRIM(D496&amp;"")="","NULL","'"&amp;SUBSTITUTE(TRIM(D496),"'","''")&amp;"'")&amp;"));")</f>
        <v/>
      </c>
    </row>
    <row r="497" ht="15.75" customHeight="1" s="64">
      <c r="A497" s="23" t="n"/>
      <c r="B497" s="25">
        <f t="array" ref="B497">IF(A497="","",IFERROR(IF(INDEX(Clientes!$D$5:$D$549,MATCH(A497,Clientes!$C$5:$C$549,0))&lt;&gt;"",INDEX(Clientes!$D$5:$D$549,MATCH(A497,Clientes!$C$5:$C$549,0)),TRIM(INDEX(Clientes!$E$5:$E$549,MATCH(A497,Clientes!$C$5:$C$549,0))&amp;" "&amp;INDEX(Clientes!$F$5:$F$549,MATCH(A497,Clientes!$C$5:$C$549,0)))),"NO EXISTE en Clientes"))</f>
        <v/>
      </c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>
        <f>IF(AND(A497="",D497=""),"",IF(A497="","FALTA doc. cliente",IF(B497="NO EXISTE en Clientes","CLIENTE no está en hoja Clientes",IF(D497="","FALTA dirección",IF(AND(H497&lt;&gt;"",OR(F497="",G497="")),"Distrito requiere departamento y provincia",IF(AND(G497&lt;&gt;"",F497=""),"Provincia requiere departamento",IF((I497&lt;&gt;"")&lt;&gt;(J497&lt;&gt;""),"Latitud y longitud van juntas","OK")))))))</f>
        <v/>
      </c>
      <c r="M497" s="28">
        <f>IF(L497&lt;&gt;"OK","","INSERT INTO cli_direcciones (id_cliente, descripcion, direccion, referencia, id_departamento, id_provincia, id_distrito, latitud, longitud, es_principal, estado) SELECT "&amp;"(SELECT id FROM cli_clientes WHERE numero_documento = '"&amp;SUBSTITUTE(TRIM(A497),"'","''")&amp;"' AND estado = 1 LIMIT 1)"&amp;", "&amp;IF(TRIM(C497&amp;"")="","NULL","'"&amp;SUBSTITUTE(TRIM(C497),"'","''")&amp;"'")&amp;", "&amp;IF(TRIM(D497&amp;"")="","NULL","'"&amp;SUBSTITUTE(TRIM(D497),"'","''")&amp;"'")&amp;", "&amp;IF(TRIM(E497&amp;"")="","NULL","'"&amp;SUBSTITUTE(TRIM(E497),"'","''")&amp;"'")&amp;", "&amp;IF(TRIM(F497&amp;"")="","NULL","(SELECT id FROM gen_departamento WHERE upper(nombre) = upper('"&amp;SUBSTITUTE(TRIM(F497),"'","''")&amp;"') AND estado = 1 LIMIT 1)")&amp;", "&amp;IF(OR(TRIM(F497&amp;"")="",TRIM(G497&amp;"")=""),"NULL","(SELECT p.id FROM gen_provincia p JOIN gen_departamento dp ON dp.id = p.id_departamento WHERE upper(p.nombre) = upper('"&amp;SUBSTITUTE(TRIM(G497),"'","''")&amp;"') AND upper(dp.nombre) = upper('"&amp;SUBSTITUTE(TRIM(F497),"'","''")&amp;"') AND p.estado = 1 LIMIT 1)")&amp;", "&amp;IF(OR(TRIM(F497&amp;"")="",TRIM(G497&amp;"")="",TRIM(H497&amp;"")=""),"NULL","(SELECT d.id FROM gen_distrito d JOIN gen_provincia p ON p.id = d.id_provincia JOIN gen_departamento dp ON dp.id = p.id_departamento WHERE upper(d.nombre) = upper('"&amp;SUBSTITUTE(TRIM(H497),"'","''")&amp;"') AND upper(p.nombre) = upper('"&amp;SUBSTITUTE(TRIM(G497),"'","''")&amp;"') AND upper(dp.nombre) = upper('"&amp;SUBSTITUTE(TRIM(F497),"'","''")&amp;"') AND d.estado = 1 LIMIT 1)")&amp;", "&amp;IF(I497&amp;""="","NULL",SUBSTITUTE(I497&amp;"",",","."))&amp;", "&amp;IF(J497&amp;""="","NULL",SUBSTITUTE(J497&amp;"",",","."))&amp;", "&amp;IF(UPPER(TRIM(K497&amp;""))="SI","TRUE","FALSE")&amp;", 1"&amp;" WHERE NOT EXISTS (SELECT 1 FROM cli_direcciones x WHERE x.id_cliente = "&amp;"(SELECT id FROM cli_clientes WHERE numero_documento = '"&amp;SUBSTITUTE(TRIM(A497),"'","''")&amp;"' AND estado = 1 LIMIT 1)"&amp;" AND upper(x.direccion) = upper("&amp;IF(TRIM(D497&amp;"")="","NULL","'"&amp;SUBSTITUTE(TRIM(D497),"'","''")&amp;"'")&amp;"));")</f>
        <v/>
      </c>
    </row>
    <row r="498" ht="15.75" customHeight="1" s="6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</row>
    <row r="499" ht="15.75" customHeight="1" s="6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</row>
    <row r="500" ht="15.75" customHeight="1" s="6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</row>
    <row r="501" ht="15.75" customHeight="1" s="6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</row>
    <row r="502" ht="15.75" customHeight="1" s="6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</row>
    <row r="503" ht="15.75" customHeight="1" s="6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</row>
    <row r="504" ht="15.75" customHeight="1" s="6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</row>
    <row r="505" ht="15.75" customHeight="1" s="6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</row>
    <row r="506" ht="15.75" customHeight="1" s="6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</row>
    <row r="507" ht="15.75" customHeight="1" s="6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</row>
    <row r="508" ht="15.75" customHeight="1" s="6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</row>
    <row r="509" ht="15.75" customHeight="1" s="6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</row>
    <row r="510" ht="15.75" customHeight="1" s="6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</row>
    <row r="511" ht="15.75" customHeight="1" s="6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</row>
    <row r="512" ht="15.75" customHeight="1" s="6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</row>
    <row r="513" ht="15.75" customHeight="1" s="6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</row>
    <row r="514" ht="15.75" customHeight="1" s="6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</row>
    <row r="515" ht="15.75" customHeight="1" s="6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</row>
    <row r="516" ht="15.75" customHeight="1" s="6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</row>
    <row r="517" ht="15.75" customHeight="1" s="6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</row>
    <row r="518" ht="15.75" customHeight="1" s="6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</row>
    <row r="519" ht="15.75" customHeight="1" s="6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</row>
    <row r="520" ht="15.75" customHeight="1" s="6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</row>
    <row r="521" ht="15.75" customHeight="1" s="6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</row>
    <row r="522" ht="15.75" customHeight="1" s="6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</row>
    <row r="523" ht="15.75" customHeight="1" s="6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</row>
    <row r="524" ht="15.75" customHeight="1" s="6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</row>
    <row r="525" ht="15.75" customHeight="1" s="6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</row>
    <row r="526" ht="15.75" customHeight="1" s="6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</row>
    <row r="527" ht="15.75" customHeight="1" s="6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</row>
    <row r="528" ht="15.75" customHeight="1" s="6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</row>
    <row r="529" ht="15.75" customHeight="1" s="6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</row>
    <row r="530" ht="15.75" customHeight="1" s="6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</row>
    <row r="531" ht="15.75" customHeight="1" s="6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</row>
    <row r="532" ht="15.75" customHeight="1" s="6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</row>
    <row r="533" ht="15.75" customHeight="1" s="6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</row>
    <row r="534" ht="15.75" customHeight="1" s="6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</row>
    <row r="535" ht="15.75" customHeight="1" s="6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</row>
    <row r="536" ht="15.75" customHeight="1" s="6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</row>
    <row r="537" ht="15.75" customHeight="1" s="6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</row>
    <row r="538" ht="15.75" customHeight="1" s="6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</row>
    <row r="539" ht="15.75" customHeight="1" s="6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</row>
    <row r="540" ht="15.75" customHeight="1" s="6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</row>
    <row r="541" ht="15.75" customHeight="1" s="6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</row>
    <row r="542" ht="15.75" customHeight="1" s="6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</row>
    <row r="543" ht="15.75" customHeight="1" s="6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</row>
    <row r="544" ht="15.75" customHeight="1" s="6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</row>
    <row r="545" ht="15.75" customHeight="1" s="6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</row>
    <row r="546" ht="15.75" customHeight="1" s="6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</row>
    <row r="547" ht="15.75" customHeight="1" s="6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</row>
    <row r="548" ht="15.75" customHeight="1" s="6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</row>
    <row r="549" ht="15.75" customHeight="1" s="6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</row>
    <row r="550" ht="15.75" customHeight="1" s="6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</row>
    <row r="551" ht="15.75" customHeight="1" s="6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</row>
    <row r="552" ht="15.75" customHeight="1" s="6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</row>
    <row r="553" ht="15.75" customHeight="1" s="6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</row>
    <row r="554" ht="15.75" customHeight="1" s="6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</row>
    <row r="555" ht="15.75" customHeight="1" s="6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</row>
    <row r="556" ht="15.75" customHeight="1" s="6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</row>
    <row r="557" ht="15.75" customHeight="1" s="6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</row>
    <row r="558" ht="15.75" customHeight="1" s="6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</row>
    <row r="559" ht="15.75" customHeight="1" s="6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</row>
    <row r="560" ht="15.75" customHeight="1" s="6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</row>
    <row r="561" ht="15.75" customHeight="1" s="6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</row>
    <row r="562" ht="15.75" customHeight="1" s="6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</row>
    <row r="563" ht="15.75" customHeight="1" s="6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</row>
    <row r="564" ht="15.75" customHeight="1" s="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</row>
    <row r="565" ht="15.75" customHeight="1" s="6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</row>
    <row r="566" ht="15.75" customHeight="1" s="6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</row>
    <row r="567" ht="15.75" customHeight="1" s="6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</row>
    <row r="568" ht="15.75" customHeight="1" s="6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</row>
    <row r="569" ht="15.75" customHeight="1" s="6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</row>
    <row r="570" ht="15.75" customHeight="1" s="6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</row>
    <row r="571" ht="15.75" customHeight="1" s="6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</row>
    <row r="572" ht="15.75" customHeight="1" s="6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</row>
    <row r="573" ht="15.75" customHeight="1" s="6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</row>
    <row r="574" ht="15.75" customHeight="1" s="6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</row>
    <row r="575" ht="15.75" customHeight="1" s="6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</row>
    <row r="576" ht="15.75" customHeight="1" s="6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</row>
    <row r="577" ht="15.75" customHeight="1" s="6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</row>
    <row r="578" ht="15.75" customHeight="1" s="6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</row>
    <row r="579" ht="15.75" customHeight="1" s="6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</row>
    <row r="580" ht="15.75" customHeight="1" s="6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</row>
    <row r="581" ht="15.75" customHeight="1" s="6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</row>
    <row r="582" ht="15.75" customHeight="1" s="6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</row>
    <row r="583" ht="15.75" customHeight="1" s="6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</row>
    <row r="584" ht="15.75" customHeight="1" s="6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</row>
    <row r="585" ht="15.75" customHeight="1" s="6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</row>
    <row r="586" ht="15.75" customHeight="1" s="6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</row>
    <row r="587" ht="15.75" customHeight="1" s="6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</row>
    <row r="588" ht="15.75" customHeight="1" s="6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</row>
    <row r="589" ht="15.75" customHeight="1" s="6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</row>
    <row r="590" ht="15.75" customHeight="1" s="6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</row>
    <row r="591" ht="15.75" customHeight="1" s="6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</row>
    <row r="592" ht="15.75" customHeight="1" s="6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</row>
    <row r="593" ht="15.75" customHeight="1" s="6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</row>
    <row r="594" ht="15.75" customHeight="1" s="6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</row>
    <row r="595" ht="15.75" customHeight="1" s="6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</row>
    <row r="596" ht="15.75" customHeight="1" s="6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</row>
    <row r="597" ht="15.75" customHeight="1" s="6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</row>
    <row r="598" ht="15.75" customHeight="1" s="6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</row>
    <row r="599" ht="15.75" customHeight="1" s="6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</row>
    <row r="600" ht="15.75" customHeight="1" s="6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</row>
    <row r="601" ht="15.75" customHeight="1" s="6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</row>
    <row r="602" ht="15.75" customHeight="1" s="6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</row>
    <row r="603" ht="15.75" customHeight="1" s="6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</row>
    <row r="604" ht="15.75" customHeight="1" s="6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</row>
    <row r="605" ht="15.75" customHeight="1" s="6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</row>
    <row r="606" ht="15.75" customHeight="1" s="6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</row>
    <row r="607" ht="15.75" customHeight="1" s="6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</row>
    <row r="608" ht="15.75" customHeight="1" s="6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</row>
    <row r="609" ht="15.75" customHeight="1" s="6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</row>
    <row r="610" ht="15.75" customHeight="1" s="6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</row>
    <row r="611" ht="15.75" customHeight="1" s="6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</row>
    <row r="612" ht="15.75" customHeight="1" s="6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</row>
    <row r="613" ht="15.75" customHeight="1" s="6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</row>
    <row r="614" ht="15.75" customHeight="1" s="6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</row>
    <row r="615" ht="15.75" customHeight="1" s="6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</row>
    <row r="616" ht="15.75" customHeight="1" s="6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</row>
    <row r="617" ht="15.75" customHeight="1" s="6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</row>
    <row r="618" ht="15.75" customHeight="1" s="6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</row>
    <row r="619" ht="15.75" customHeight="1" s="6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</row>
    <row r="620" ht="15.75" customHeight="1" s="6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</row>
    <row r="621" ht="15.75" customHeight="1" s="6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</row>
    <row r="622" ht="15.75" customHeight="1" s="6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</row>
    <row r="623" ht="15.75" customHeight="1" s="6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</row>
    <row r="624" ht="15.75" customHeight="1" s="6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</row>
    <row r="625" ht="15.75" customHeight="1" s="6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</row>
    <row r="626" ht="15.75" customHeight="1" s="6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</row>
    <row r="627" ht="15.75" customHeight="1" s="6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</row>
    <row r="628" ht="15.75" customHeight="1" s="6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</row>
    <row r="629" ht="15.75" customHeight="1" s="6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</row>
    <row r="630" ht="15.75" customHeight="1" s="6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</row>
    <row r="631" ht="15.75" customHeight="1" s="6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</row>
    <row r="632" ht="15.75" customHeight="1" s="6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</row>
    <row r="633" ht="15.75" customHeight="1" s="6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</row>
    <row r="634" ht="15.75" customHeight="1" s="6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</row>
    <row r="635" ht="15.75" customHeight="1" s="6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</row>
    <row r="636" ht="15.75" customHeight="1" s="6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</row>
    <row r="637" ht="15.75" customHeight="1" s="6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</row>
    <row r="638" ht="15.75" customHeight="1" s="6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</row>
    <row r="639" ht="15.75" customHeight="1" s="6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</row>
    <row r="640" ht="15.75" customHeight="1" s="6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</row>
    <row r="641" ht="15.75" customHeight="1" s="6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</row>
    <row r="642" ht="15.75" customHeight="1" s="6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</row>
    <row r="643" ht="15.75" customHeight="1" s="6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</row>
    <row r="644" ht="15.75" customHeight="1" s="6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</row>
    <row r="645" ht="15.75" customHeight="1" s="6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</row>
    <row r="646" ht="15.75" customHeight="1" s="6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</row>
    <row r="647" ht="15.75" customHeight="1" s="6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</row>
    <row r="648" ht="15.75" customHeight="1" s="6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</row>
    <row r="649" ht="15.75" customHeight="1" s="6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</row>
    <row r="650" ht="15.75" customHeight="1" s="6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</row>
    <row r="651" ht="15.75" customHeight="1" s="6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</row>
    <row r="652" ht="15.75" customHeight="1" s="6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</row>
    <row r="653" ht="15.75" customHeight="1" s="6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</row>
    <row r="654" ht="15.75" customHeight="1" s="6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</row>
    <row r="655" ht="15.75" customHeight="1" s="6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</row>
    <row r="656" ht="15.75" customHeight="1" s="6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</row>
    <row r="657" ht="15.75" customHeight="1" s="6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</row>
    <row r="658" ht="15.75" customHeight="1" s="6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</row>
    <row r="659" ht="15.75" customHeight="1" s="6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</row>
    <row r="660" ht="15.75" customHeight="1" s="6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</row>
    <row r="661" ht="15.75" customHeight="1" s="6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</row>
    <row r="662" ht="15.75" customHeight="1" s="6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</row>
    <row r="663" ht="15.75" customHeight="1" s="6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</row>
    <row r="664" ht="15.75" customHeight="1" s="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</row>
    <row r="665" ht="15.75" customHeight="1" s="6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</row>
    <row r="666" ht="15.75" customHeight="1" s="6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</row>
    <row r="667" ht="15.75" customHeight="1" s="6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</row>
    <row r="668" ht="15.75" customHeight="1" s="6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</row>
    <row r="669" ht="15.75" customHeight="1" s="6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</row>
    <row r="670" ht="15.75" customHeight="1" s="6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</row>
    <row r="671" ht="15.75" customHeight="1" s="6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</row>
    <row r="672" ht="15.75" customHeight="1" s="6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</row>
    <row r="673" ht="15.75" customHeight="1" s="6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</row>
    <row r="674" ht="15.75" customHeight="1" s="6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</row>
    <row r="675" ht="15.75" customHeight="1" s="6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</row>
    <row r="676" ht="15.75" customHeight="1" s="6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</row>
    <row r="677" ht="15.75" customHeight="1" s="6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</row>
    <row r="678" ht="15.75" customHeight="1" s="6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</row>
    <row r="679" ht="15.75" customHeight="1" s="6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</row>
    <row r="680" ht="15.75" customHeight="1" s="6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</row>
    <row r="681" ht="15.75" customHeight="1" s="6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</row>
    <row r="682" ht="15.75" customHeight="1" s="6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</row>
    <row r="683" ht="15.75" customHeight="1" s="6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</row>
    <row r="684" ht="15.75" customHeight="1" s="6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</row>
    <row r="685" ht="15.75" customHeight="1" s="6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</row>
    <row r="686" ht="15.75" customHeight="1" s="6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</row>
    <row r="687" ht="15.75" customHeight="1" s="6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</row>
    <row r="688" ht="15.75" customHeight="1" s="6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</row>
    <row r="689" ht="15.75" customHeight="1" s="6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</row>
    <row r="690" ht="15.75" customHeight="1" s="6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</row>
    <row r="691" ht="15.75" customHeight="1" s="6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</row>
    <row r="692" ht="15.75" customHeight="1" s="6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</row>
    <row r="693" ht="15.75" customHeight="1" s="6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</row>
    <row r="694" ht="15.75" customHeight="1" s="6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</row>
    <row r="695" ht="15.75" customHeight="1" s="6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</row>
    <row r="696" ht="15.75" customHeight="1" s="6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</row>
    <row r="697" ht="15.75" customHeight="1" s="6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</row>
    <row r="698" ht="15.75" customHeight="1" s="6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</row>
    <row r="699" ht="15.75" customHeight="1" s="6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</row>
    <row r="700" ht="15.75" customHeight="1" s="6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</row>
    <row r="701" ht="15.75" customHeight="1" s="6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</row>
    <row r="702" ht="15.75" customHeight="1" s="6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</row>
    <row r="703" ht="15.75" customHeight="1" s="6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</row>
    <row r="704" ht="15.75" customHeight="1" s="6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</row>
    <row r="705" ht="15.75" customHeight="1" s="6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</row>
    <row r="706" ht="15.75" customHeight="1" s="6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</row>
    <row r="707" ht="15.75" customHeight="1" s="6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</row>
    <row r="708" ht="15.75" customHeight="1" s="6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</row>
    <row r="709" ht="15.75" customHeight="1" s="6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</row>
    <row r="710" ht="15.75" customHeight="1" s="6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</row>
    <row r="711" ht="15.75" customHeight="1" s="6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</row>
    <row r="712" ht="15.75" customHeight="1" s="6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</row>
    <row r="713" ht="15.75" customHeight="1" s="6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</row>
    <row r="714" ht="15.75" customHeight="1" s="6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</row>
    <row r="715" ht="15.75" customHeight="1" s="6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</row>
    <row r="716" ht="15.75" customHeight="1" s="6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</row>
    <row r="717" ht="15.75" customHeight="1" s="6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</row>
    <row r="718" ht="15.75" customHeight="1" s="6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</row>
    <row r="719" ht="15.75" customHeight="1" s="6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</row>
    <row r="720" ht="15.75" customHeight="1" s="6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</row>
    <row r="721" ht="15.75" customHeight="1" s="6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</row>
    <row r="722" ht="15.75" customHeight="1" s="6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</row>
    <row r="723" ht="15.75" customHeight="1" s="6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</row>
    <row r="724" ht="15.75" customHeight="1" s="6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</row>
    <row r="725" ht="15.75" customHeight="1" s="6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</row>
    <row r="726" ht="15.75" customHeight="1" s="6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</row>
    <row r="727" ht="15.75" customHeight="1" s="6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</row>
    <row r="728" ht="15.75" customHeight="1" s="6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</row>
    <row r="729" ht="15.75" customHeight="1" s="6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</row>
    <row r="730" ht="15.75" customHeight="1" s="6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</row>
    <row r="731" ht="15.75" customHeight="1" s="6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</row>
    <row r="732" ht="15.75" customHeight="1" s="6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</row>
    <row r="733" ht="15.75" customHeight="1" s="6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</row>
    <row r="734" ht="15.75" customHeight="1" s="6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</row>
    <row r="735" ht="15.75" customHeight="1" s="6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</row>
    <row r="736" ht="15.75" customHeight="1" s="6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</row>
    <row r="737" ht="15.75" customHeight="1" s="6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</row>
    <row r="738" ht="15.75" customHeight="1" s="6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</row>
    <row r="739" ht="15.75" customHeight="1" s="6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</row>
    <row r="740" ht="15.75" customHeight="1" s="6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</row>
    <row r="741" ht="15.75" customHeight="1" s="6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</row>
    <row r="742" ht="15.75" customHeight="1" s="6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</row>
    <row r="743" ht="15.75" customHeight="1" s="6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</row>
    <row r="744" ht="15.75" customHeight="1" s="6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</row>
    <row r="745" ht="15.75" customHeight="1" s="6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</row>
    <row r="746" ht="15.75" customHeight="1" s="6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</row>
    <row r="747" ht="15.75" customHeight="1" s="6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</row>
    <row r="748" ht="15.75" customHeight="1" s="6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</row>
    <row r="749" ht="15.75" customHeight="1" s="6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</row>
    <row r="750" ht="15.75" customHeight="1" s="6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</row>
    <row r="751" ht="15.75" customHeight="1" s="6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</row>
    <row r="752" ht="15.75" customHeight="1" s="6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</row>
    <row r="753" ht="15.75" customHeight="1" s="6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</row>
    <row r="754" ht="15.75" customHeight="1" s="6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</row>
    <row r="755" ht="15.75" customHeight="1" s="6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</row>
    <row r="756" ht="15.75" customHeight="1" s="6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</row>
    <row r="757" ht="15.75" customHeight="1" s="6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</row>
    <row r="758" ht="15.75" customHeight="1" s="6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</row>
    <row r="759" ht="15.75" customHeight="1" s="6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</row>
    <row r="760" ht="15.75" customHeight="1" s="6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</row>
    <row r="761" ht="15.75" customHeight="1" s="6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</row>
    <row r="762" ht="15.75" customHeight="1" s="6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</row>
    <row r="763" ht="15.75" customHeight="1" s="6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</row>
    <row r="764" ht="15.75" customHeight="1" s="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</row>
    <row r="765" ht="15.75" customHeight="1" s="6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</row>
    <row r="766" ht="15.75" customHeight="1" s="6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</row>
    <row r="767" ht="15.75" customHeight="1" s="6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</row>
    <row r="768" ht="15.75" customHeight="1" s="6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</row>
    <row r="769" ht="15.75" customHeight="1" s="6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</row>
    <row r="770" ht="15.75" customHeight="1" s="6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</row>
    <row r="771" ht="15.75" customHeight="1" s="6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</row>
    <row r="772" ht="15.75" customHeight="1" s="6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</row>
    <row r="773" ht="15.75" customHeight="1" s="6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</row>
    <row r="774" ht="15.75" customHeight="1" s="6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</row>
    <row r="775" ht="15.75" customHeight="1" s="6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</row>
    <row r="776" ht="15.75" customHeight="1" s="6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</row>
    <row r="777" ht="15.75" customHeight="1" s="6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</row>
    <row r="778" ht="15.75" customHeight="1" s="6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</row>
    <row r="779" ht="15.75" customHeight="1" s="6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</row>
    <row r="780" ht="15.75" customHeight="1" s="6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</row>
    <row r="781" ht="15.75" customHeight="1" s="6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</row>
    <row r="782" ht="15.75" customHeight="1" s="6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</row>
    <row r="783" ht="15.75" customHeight="1" s="6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</row>
    <row r="784" ht="15.75" customHeight="1" s="6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</row>
    <row r="785" ht="15.75" customHeight="1" s="6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</row>
    <row r="786" ht="15.75" customHeight="1" s="6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</row>
    <row r="787" ht="15.75" customHeight="1" s="6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</row>
    <row r="788" ht="15.75" customHeight="1" s="6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</row>
    <row r="789" ht="15.75" customHeight="1" s="6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</row>
    <row r="790" ht="15.75" customHeight="1" s="6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</row>
    <row r="791" ht="15.75" customHeight="1" s="6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</row>
    <row r="792" ht="15.75" customHeight="1" s="6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</row>
    <row r="793" ht="15.75" customHeight="1" s="6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</row>
    <row r="794" ht="15.75" customHeight="1" s="6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</row>
    <row r="795" ht="15.75" customHeight="1" s="6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</row>
    <row r="796" ht="15.75" customHeight="1" s="6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</row>
    <row r="797" ht="15.75" customHeight="1" s="6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</row>
    <row r="798" ht="15.75" customHeight="1" s="6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</row>
    <row r="799" ht="15.75" customHeight="1" s="6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</row>
    <row r="800" ht="15.75" customHeight="1" s="6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</row>
    <row r="801" ht="15.75" customHeight="1" s="6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</row>
    <row r="802" ht="15.75" customHeight="1" s="6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</row>
    <row r="803" ht="15.75" customHeight="1" s="6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</row>
    <row r="804" ht="15.75" customHeight="1" s="6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</row>
    <row r="805" ht="15.75" customHeight="1" s="6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</row>
    <row r="806" ht="15.75" customHeight="1" s="6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</row>
    <row r="807" ht="15.75" customHeight="1" s="6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</row>
    <row r="808" ht="15.75" customHeight="1" s="6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</row>
    <row r="809" ht="15.75" customHeight="1" s="6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</row>
    <row r="810" ht="15.75" customHeight="1" s="6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</row>
    <row r="811" ht="15.75" customHeight="1" s="6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</row>
    <row r="812" ht="15.75" customHeight="1" s="6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</row>
    <row r="813" ht="15.75" customHeight="1" s="6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</row>
    <row r="814" ht="15.75" customHeight="1" s="6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</row>
    <row r="815" ht="15.75" customHeight="1" s="6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</row>
    <row r="816" ht="15.75" customHeight="1" s="6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</row>
    <row r="817" ht="15.75" customHeight="1" s="6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</row>
    <row r="818" ht="15.75" customHeight="1" s="6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</row>
    <row r="819" ht="15.75" customHeight="1" s="6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</row>
    <row r="820" ht="15.75" customHeight="1" s="6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</row>
    <row r="821" ht="15.75" customHeight="1" s="6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</row>
    <row r="822" ht="15.75" customHeight="1" s="6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</row>
    <row r="823" ht="15.75" customHeight="1" s="6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</row>
    <row r="824" ht="15.75" customHeight="1" s="6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</row>
    <row r="825" ht="15.75" customHeight="1" s="6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</row>
    <row r="826" ht="15.75" customHeight="1" s="6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</row>
    <row r="827" ht="15.75" customHeight="1" s="6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</row>
    <row r="828" ht="15.75" customHeight="1" s="6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</row>
    <row r="829" ht="15.75" customHeight="1" s="6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</row>
    <row r="830" ht="15.75" customHeight="1" s="6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</row>
    <row r="831" ht="15.75" customHeight="1" s="6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</row>
    <row r="832" ht="15.75" customHeight="1" s="6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</row>
    <row r="833" ht="15.75" customHeight="1" s="6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</row>
    <row r="834" ht="15.75" customHeight="1" s="6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</row>
    <row r="835" ht="15.75" customHeight="1" s="6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</row>
    <row r="836" ht="15.75" customHeight="1" s="6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</row>
    <row r="837" ht="15.75" customHeight="1" s="6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</row>
    <row r="838" ht="15.75" customHeight="1" s="6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</row>
    <row r="839" ht="15.75" customHeight="1" s="6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</row>
    <row r="840" ht="15.75" customHeight="1" s="6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</row>
    <row r="841" ht="15.75" customHeight="1" s="6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</row>
    <row r="842" ht="15.75" customHeight="1" s="6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</row>
    <row r="843" ht="15.75" customHeight="1" s="6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</row>
    <row r="844" ht="15.75" customHeight="1" s="6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</row>
    <row r="845" ht="15.75" customHeight="1" s="6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</row>
    <row r="846" ht="15.75" customHeight="1" s="6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</row>
    <row r="847" ht="15.75" customHeight="1" s="6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</row>
    <row r="848" ht="15.75" customHeight="1" s="6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</row>
    <row r="849" ht="15.75" customHeight="1" s="6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</row>
    <row r="850" ht="15.75" customHeight="1" s="6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</row>
    <row r="851" ht="15.75" customHeight="1" s="6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</row>
    <row r="852" ht="15.75" customHeight="1" s="6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</row>
    <row r="853" ht="15.75" customHeight="1" s="6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</row>
    <row r="854" ht="15.75" customHeight="1" s="6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</row>
    <row r="855" ht="15.75" customHeight="1" s="6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</row>
    <row r="856" ht="15.75" customHeight="1" s="6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</row>
    <row r="857" ht="15.75" customHeight="1" s="6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</row>
    <row r="858" ht="15.75" customHeight="1" s="6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</row>
    <row r="859" ht="15.75" customHeight="1" s="6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</row>
    <row r="860" ht="15.75" customHeight="1" s="6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</row>
    <row r="861" ht="15.75" customHeight="1" s="6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</row>
    <row r="862" ht="15.75" customHeight="1" s="6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</row>
    <row r="863" ht="15.75" customHeight="1" s="6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</row>
    <row r="864" ht="15.75" customHeight="1" s="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</row>
    <row r="865" ht="15.75" customHeight="1" s="6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</row>
    <row r="866" ht="15.75" customHeight="1" s="6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</row>
    <row r="867" ht="15.75" customHeight="1" s="6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</row>
    <row r="868" ht="15.75" customHeight="1" s="6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</row>
    <row r="869" ht="15.75" customHeight="1" s="6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</row>
    <row r="870" ht="15.75" customHeight="1" s="6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</row>
    <row r="871" ht="15.75" customHeight="1" s="6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</row>
    <row r="872" ht="15.75" customHeight="1" s="6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</row>
    <row r="873" ht="15.75" customHeight="1" s="6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</row>
    <row r="874" ht="15.75" customHeight="1" s="6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</row>
    <row r="875" ht="15.75" customHeight="1" s="6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</row>
    <row r="876" ht="15.75" customHeight="1" s="6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</row>
    <row r="877" ht="15.75" customHeight="1" s="6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</row>
    <row r="878" ht="15.75" customHeight="1" s="6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</row>
    <row r="879" ht="15.75" customHeight="1" s="6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</row>
    <row r="880" ht="15.75" customHeight="1" s="6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</row>
    <row r="881" ht="15.75" customHeight="1" s="6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</row>
    <row r="882" ht="15.75" customHeight="1" s="6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</row>
    <row r="883" ht="15.75" customHeight="1" s="6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</row>
    <row r="884" ht="15.75" customHeight="1" s="6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</row>
    <row r="885" ht="15.75" customHeight="1" s="6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</row>
    <row r="886" ht="15.75" customHeight="1" s="6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</row>
    <row r="887" ht="15.75" customHeight="1" s="6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</row>
    <row r="888" ht="15.75" customHeight="1" s="6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</row>
    <row r="889" ht="15.75" customHeight="1" s="6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</row>
    <row r="890" ht="15.75" customHeight="1" s="6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</row>
    <row r="891" ht="15.75" customHeight="1" s="6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</row>
    <row r="892" ht="15.75" customHeight="1" s="6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</row>
    <row r="893" ht="15.75" customHeight="1" s="6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</row>
    <row r="894" ht="15.75" customHeight="1" s="6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</row>
    <row r="895" ht="15.75" customHeight="1" s="6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</row>
    <row r="896" ht="15.75" customHeight="1" s="6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</row>
    <row r="897" ht="15.75" customHeight="1" s="6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</row>
    <row r="898" ht="15.75" customHeight="1" s="6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</row>
    <row r="899" ht="15.75" customHeight="1" s="6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</row>
    <row r="900" ht="15.75" customHeight="1" s="6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</row>
    <row r="901" ht="15.75" customHeight="1" s="6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</row>
    <row r="902" ht="15.75" customHeight="1" s="6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</row>
    <row r="903" ht="15.75" customHeight="1" s="6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</row>
    <row r="904" ht="15.75" customHeight="1" s="6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</row>
    <row r="905" ht="15.75" customHeight="1" s="6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</row>
    <row r="906" ht="15.75" customHeight="1" s="6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</row>
    <row r="907" ht="15.75" customHeight="1" s="6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</row>
    <row r="908" ht="15.75" customHeight="1" s="6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</row>
    <row r="909" ht="15.75" customHeight="1" s="6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</row>
    <row r="910" ht="15.75" customHeight="1" s="6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</row>
    <row r="911" ht="15.75" customHeight="1" s="6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</row>
    <row r="912" ht="15.75" customHeight="1" s="6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</row>
    <row r="913" ht="15.75" customHeight="1" s="6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</row>
    <row r="914" ht="15.75" customHeight="1" s="6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</row>
    <row r="915" ht="15.75" customHeight="1" s="6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</row>
    <row r="916" ht="15.75" customHeight="1" s="6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</row>
    <row r="917" ht="15.75" customHeight="1" s="6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</row>
    <row r="918" ht="15.75" customHeight="1" s="6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</row>
    <row r="919" ht="15.75" customHeight="1" s="6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</row>
    <row r="920" ht="15.75" customHeight="1" s="6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</row>
    <row r="921" ht="15.75" customHeight="1" s="6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</row>
    <row r="922" ht="15.75" customHeight="1" s="6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</row>
    <row r="923" ht="15.75" customHeight="1" s="6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</row>
    <row r="924" ht="15.75" customHeight="1" s="6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</row>
    <row r="925" ht="15.75" customHeight="1" s="6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</row>
    <row r="926" ht="15.75" customHeight="1" s="6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</row>
    <row r="927" ht="15.75" customHeight="1" s="6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</row>
    <row r="928" ht="15.75" customHeight="1" s="6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</row>
    <row r="929" ht="15.75" customHeight="1" s="6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</row>
    <row r="930" ht="15.75" customHeight="1" s="6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</row>
    <row r="931" ht="15.75" customHeight="1" s="6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</row>
    <row r="932" ht="15.75" customHeight="1" s="6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</row>
    <row r="933" ht="15.75" customHeight="1" s="6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</row>
    <row r="934" ht="15.75" customHeight="1" s="6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</row>
    <row r="935" ht="15.75" customHeight="1" s="6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</row>
    <row r="936" ht="15.75" customHeight="1" s="6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</row>
    <row r="937" ht="15.75" customHeight="1" s="6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</row>
    <row r="938" ht="15.75" customHeight="1" s="6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</row>
    <row r="939" ht="15.75" customHeight="1" s="6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</row>
    <row r="940" ht="15.75" customHeight="1" s="6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</row>
    <row r="941" ht="15.75" customHeight="1" s="6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</row>
    <row r="942" ht="15.75" customHeight="1" s="6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</row>
    <row r="943" ht="15.75" customHeight="1" s="6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</row>
    <row r="944" ht="15.75" customHeight="1" s="6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</row>
    <row r="945" ht="15.75" customHeight="1" s="6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</row>
    <row r="946" ht="15.75" customHeight="1" s="6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</row>
    <row r="947" ht="15.75" customHeight="1" s="6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</row>
    <row r="948" ht="15.75" customHeight="1" s="6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</row>
    <row r="949" ht="15.75" customHeight="1" s="6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</row>
    <row r="950" ht="15.75" customHeight="1" s="6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</row>
    <row r="951" ht="15.75" customHeight="1" s="6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</row>
    <row r="952" ht="15.75" customHeight="1" s="6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</row>
    <row r="953" ht="15.75" customHeight="1" s="6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</row>
    <row r="954" ht="15.75" customHeight="1" s="6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</row>
    <row r="955" ht="15.75" customHeight="1" s="6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</row>
    <row r="956" ht="15.75" customHeight="1" s="6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</row>
    <row r="957" ht="15.75" customHeight="1" s="6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</row>
    <row r="958" ht="15.75" customHeight="1" s="6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</row>
    <row r="959" ht="15.75" customHeight="1" s="6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</row>
    <row r="960" ht="15.75" customHeight="1" s="6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</row>
    <row r="961" ht="15.75" customHeight="1" s="6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</row>
    <row r="962" ht="15.75" customHeight="1" s="6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</row>
    <row r="963" ht="15.75" customHeight="1" s="6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</row>
    <row r="964" ht="15.75" customHeight="1" s="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</row>
    <row r="965" ht="15.75" customHeight="1" s="6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</row>
    <row r="966" ht="15.75" customHeight="1" s="6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</row>
    <row r="967" ht="15.75" customHeight="1" s="6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</row>
    <row r="968" ht="15.75" customHeight="1" s="6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</row>
    <row r="969" ht="15.75" customHeight="1" s="6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</row>
    <row r="970" ht="15.75" customHeight="1" s="6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</row>
    <row r="971" ht="15.75" customHeight="1" s="6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</row>
    <row r="972" ht="15.75" customHeight="1" s="6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</row>
    <row r="973" ht="15.75" customHeight="1" s="6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</row>
    <row r="974" ht="15.75" customHeight="1" s="6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</row>
    <row r="975" ht="15.75" customHeight="1" s="6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</row>
    <row r="976" ht="15.75" customHeight="1" s="6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</row>
    <row r="977" ht="15.75" customHeight="1" s="6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</row>
    <row r="978" ht="15.75" customHeight="1" s="6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</row>
    <row r="979" ht="15.75" customHeight="1" s="6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</row>
    <row r="980" ht="15.75" customHeight="1" s="6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</row>
    <row r="981" ht="15.75" customHeight="1" s="6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</row>
    <row r="982" ht="15.75" customHeight="1" s="6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</row>
    <row r="983" ht="15.75" customHeight="1" s="6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</row>
    <row r="984" ht="15.75" customHeight="1" s="6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</row>
    <row r="985" ht="15.75" customHeight="1" s="6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</row>
    <row r="986" ht="15.75" customHeight="1" s="6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</row>
    <row r="987" ht="15.75" customHeight="1" s="6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</row>
    <row r="988" ht="15.75" customHeight="1" s="6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</row>
    <row r="989" ht="15.75" customHeight="1" s="6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</row>
    <row r="990" ht="15.75" customHeight="1" s="6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</row>
    <row r="991" ht="15.75" customHeight="1" s="6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</row>
    <row r="992" ht="15.75" customHeight="1" s="6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</row>
    <row r="993" ht="15.75" customHeight="1" s="6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</row>
    <row r="994" ht="15.75" customHeight="1" s="6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</row>
    <row r="995" ht="15.75" customHeight="1" s="6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</row>
    <row r="996" ht="15.75" customHeight="1" s="6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</row>
    <row r="997" ht="15.75" customHeight="1" s="6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</row>
    <row r="998" ht="15.75" customHeight="1" s="6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</row>
    <row r="999" ht="15.75" customHeight="1" s="6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</row>
    <row r="1000" ht="15.75" customHeight="1" s="6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</row>
  </sheetData>
  <autoFilter ref="A4:M497"/>
  <mergeCells count="1">
    <mergeCell ref="A2:L2"/>
  </mergeCells>
  <conditionalFormatting sqref="B5:B497">
    <cfRule type="expression" priority="3" dxfId="0">
      <formula>#REF!="NO EXISTE en Clientes"</formula>
    </cfRule>
  </conditionalFormatting>
  <conditionalFormatting sqref="L5:L497">
    <cfRule type="expression" priority="1" dxfId="0">
      <formula>AND(#REF!&lt;&gt;"",#REF!&lt;&gt;"OK")</formula>
    </cfRule>
    <cfRule type="expression" priority="2" dxfId="1">
      <formula>#REF!="OK"</formula>
    </cfRule>
  </conditionalFormatting>
  <dataValidations count="2">
    <dataValidation sqref="I5:I497" showDropDown="0" showInputMessage="1" showErrorMessage="1" allowBlank="1" prompt="Latitud inválida - Ingrese un decimal entre -90 y 90." type="decimal">
      <formula1>-90</formula1>
      <formula2>90</formula2>
    </dataValidation>
    <dataValidation sqref="J5:J497" showDropDown="0" showInputMessage="1" showErrorMessage="1" allowBlank="1" prompt="Longitud inválida - Ingrese un decimal entre -180 y 180." type="decimal">
      <formula1>-180</formula1>
      <formula2>180</formula2>
    </dataValidation>
  </dataValidation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95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42578125" defaultRowHeight="15" customHeight="1"/>
  <cols>
    <col width="4.28515625" customWidth="1" style="64" min="1" max="1"/>
    <col width="20.7109375" customWidth="1" style="64" min="2" max="2"/>
    <col width="17.140625" customWidth="1" style="64" min="3" max="3"/>
    <col width="26" customWidth="1" style="64" min="4" max="4"/>
    <col width="22.140625" customWidth="1" style="64" min="5" max="5"/>
    <col width="14" customWidth="1" style="64" min="6" max="6"/>
    <col width="18" customWidth="1" style="64" min="7" max="7"/>
    <col width="30" customWidth="1" style="64" min="8" max="8"/>
    <col width="27.140625" customWidth="1" style="64" min="9" max="9"/>
    <col width="20" customWidth="1" style="64" min="10" max="11"/>
    <col width="30" customWidth="1" style="64" min="12" max="12"/>
    <col width="14.7109375" customWidth="1" style="64" min="13" max="13"/>
    <col width="17.42578125" customWidth="1" style="64" min="14" max="14"/>
    <col width="21.7109375" customWidth="1" style="64" min="15" max="15"/>
    <col width="16" customWidth="1" style="64" min="16" max="17"/>
    <col width="14" customWidth="1" style="64" min="18" max="18"/>
    <col width="22.5703125" customWidth="1" style="64" min="19" max="19"/>
    <col width="12" customWidth="1" style="64" min="20" max="20"/>
    <col width="16" customWidth="1" style="64" min="21" max="21"/>
    <col width="12" customWidth="1" style="64" min="22" max="22"/>
    <col width="10" customWidth="1" style="64" min="23" max="23"/>
    <col width="30" customWidth="1" style="64" min="24" max="24"/>
    <col hidden="1" width="60" customWidth="1" style="64" min="25" max="25"/>
    <col width="8.5703125" customWidth="1" style="64" min="26" max="27"/>
  </cols>
  <sheetData>
    <row r="1" ht="18" customHeight="1" s="64">
      <c r="A1" s="32" t="n"/>
      <c r="B1" s="1" t="n"/>
      <c r="C1" s="65" t="inlineStr">
        <is>
          <t>4) BALONES / CILINDROS  →  tabla bal_balon (función bal_crear_balon)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33" t="n"/>
      <c r="B2" s="1" t="n"/>
      <c r="C2" s="66" t="inlineStr">
        <is>
          <t>Llenar DESPUÉS de Clientes. Un cilindro por fila. Para vincular a un cliente use su N° de documento (tal como está en la hoja Clientes); el nombre se muestra automáticamente para verificar.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5.5" customHeight="1" s="64">
      <c r="A3" s="34" t="n"/>
      <c r="B3" s="14" t="inlineStr">
        <is>
          <t>(validación)</t>
        </is>
      </c>
      <c r="C3" s="14" t="inlineStr">
        <is>
          <t>codigo_balon</t>
        </is>
      </c>
      <c r="D3" s="14" t="inlineStr">
        <is>
          <t>id_tipo_balon</t>
        </is>
      </c>
      <c r="E3" s="14" t="inlineStr">
        <is>
          <t>id_producto_gas</t>
        </is>
      </c>
      <c r="F3" s="14" t="inlineStr">
        <is>
          <t>id_propietario</t>
        </is>
      </c>
      <c r="G3" s="14" t="inlineStr">
        <is>
          <t>id_cliente_propietario / id_planta</t>
        </is>
      </c>
      <c r="H3" s="14" t="inlineStr">
        <is>
          <t>(lookup)</t>
        </is>
      </c>
      <c r="I3" s="14" t="inlineStr">
        <is>
          <t>id_estado_balon</t>
        </is>
      </c>
      <c r="J3" s="14" t="inlineStr">
        <is>
          <t>id_almacen</t>
        </is>
      </c>
      <c r="K3" s="14" t="inlineStr">
        <is>
          <t>id_cliente_ubicacion</t>
        </is>
      </c>
      <c r="L3" s="14" t="inlineStr">
        <is>
          <t>(lookup)</t>
        </is>
      </c>
      <c r="M3" s="14" t="inlineStr">
        <is>
          <t>anio_fabricacion</t>
        </is>
      </c>
      <c r="N3" s="14" t="inlineStr">
        <is>
          <t>mes_fabricacion</t>
        </is>
      </c>
      <c r="O3" s="14" t="inlineStr">
        <is>
          <t>fecha_ultima_prueba_hidrostatica</t>
        </is>
      </c>
      <c r="P3" s="14" t="inlineStr">
        <is>
          <t>fecha_proxima_prueba_hidrostatica</t>
        </is>
      </c>
      <c r="Q3" s="14" t="inlineStr">
        <is>
          <t>numero_serie</t>
        </is>
      </c>
      <c r="R3" s="14" t="inlineStr">
        <is>
          <t>id_marca_cilindro</t>
        </is>
      </c>
      <c r="S3" s="14" t="inlineStr">
        <is>
          <t>id_organo_inspector</t>
        </is>
      </c>
      <c r="T3" s="14" t="inlineStr">
        <is>
          <t>presion_actual</t>
        </is>
      </c>
      <c r="U3" s="14" t="inlineStr">
        <is>
          <t>tipo_valvula</t>
        </is>
      </c>
      <c r="V3" s="14" t="inlineStr">
        <is>
          <t>libro_cilindro</t>
        </is>
      </c>
      <c r="W3" s="14" t="inlineStr">
        <is>
          <t>pagina_libro</t>
        </is>
      </c>
      <c r="X3" s="14" t="inlineStr">
        <is>
          <t>observacion</t>
        </is>
      </c>
      <c r="Y3" s="14" t="inlineStr">
        <is>
          <t>(sentencia SQL)</t>
        </is>
      </c>
    </row>
    <row r="4" ht="42" customHeight="1" s="64">
      <c r="A4" s="35" t="inlineStr">
        <is>
          <t>N°</t>
        </is>
      </c>
      <c r="B4" s="15" t="inlineStr">
        <is>
          <t>Chequeo</t>
        </is>
      </c>
      <c r="C4" s="18" t="inlineStr">
        <is>
          <t>Código balón</t>
        </is>
      </c>
      <c r="D4" s="18" t="inlineStr">
        <is>
          <t>Tipo balón</t>
        </is>
      </c>
      <c r="E4" s="18" t="inlineStr">
        <is>
          <t>Gas</t>
        </is>
      </c>
      <c r="F4" s="16" t="inlineStr">
        <is>
          <t>Propietario</t>
        </is>
      </c>
      <c r="G4" s="16" t="inlineStr">
        <is>
          <t>Doc. cliente propietario</t>
        </is>
      </c>
      <c r="H4" s="15" t="inlineStr">
        <is>
          <t>Nombre propietario (auto)</t>
        </is>
      </c>
      <c r="I4" s="16" t="inlineStr">
        <is>
          <t>Estado actual</t>
        </is>
      </c>
      <c r="J4" s="16" t="inlineStr">
        <is>
          <t>Almacén (si está en la empresa)</t>
        </is>
      </c>
      <c r="K4" s="16" t="inlineStr">
        <is>
          <t>Doc. cliente donde está (si está en cliente)</t>
        </is>
      </c>
      <c r="L4" s="15" t="inlineStr">
        <is>
          <t>Nombre ubicación (auto)</t>
        </is>
      </c>
      <c r="M4" s="16" t="inlineStr">
        <is>
          <t>Año fabricación</t>
        </is>
      </c>
      <c r="N4" s="16" t="inlineStr">
        <is>
          <t>Mes fabricación</t>
        </is>
      </c>
      <c r="O4" s="16" t="inlineStr">
        <is>
          <t>Fecha última prueba hidrostática</t>
        </is>
      </c>
      <c r="P4" s="15" t="inlineStr">
        <is>
          <t>Próx. PH estimada (auto)</t>
        </is>
      </c>
      <c r="Q4" s="19" t="inlineStr">
        <is>
          <t>N° serie</t>
        </is>
      </c>
      <c r="R4" s="19" t="inlineStr">
        <is>
          <t>Marca cilindro</t>
        </is>
      </c>
      <c r="S4" s="19" t="inlineStr">
        <is>
          <t>Órgano inspector</t>
        </is>
      </c>
      <c r="T4" s="19" t="inlineStr">
        <is>
          <t>Presión actual (PSI)</t>
        </is>
      </c>
      <c r="U4" s="19" t="inlineStr">
        <is>
          <t>Tipo válvula</t>
        </is>
      </c>
      <c r="V4" s="19" t="inlineStr">
        <is>
          <t>Libro cilindro</t>
        </is>
      </c>
      <c r="W4" s="19" t="inlineStr">
        <is>
          <t>Página libro</t>
        </is>
      </c>
      <c r="X4" s="19" t="inlineStr">
        <is>
          <t>Observación</t>
        </is>
      </c>
      <c r="Y4" s="20" t="inlineStr">
        <is>
          <t>SQL</t>
        </is>
      </c>
    </row>
    <row r="5">
      <c r="A5" s="36" t="inlineStr">
        <is>
          <t>1</t>
        </is>
      </c>
      <c r="B5" s="25">
        <f>IF(AND(C5="",D5="",E5=""),"",IF(C5="","FALTA código balón",IF(D5="","FALTA tipo balón",IF(E5="","FALTA gas",IF(F5="","FALTA propietario",IF(AND(C5&lt;&gt;"",SUMPRODUCT(--($C$5:$C$1200=C5))&gt;1),"CÓDIGO BALÓN DUPLICADO",IF(AND(OR(UPPER(F5)="PLANTA",UPPER(F5)="CLIENTE"),G5=""),"FALTA doc propietario/planta",IF(AND(UPPER(F5)="PLANTA",G5="10175332796"),"PLANTA no puede ser RUC empresa","OK"))))))))</f>
        <v/>
      </c>
      <c r="C5" s="23" t="inlineStr">
        <is>
          <t>FC019089</t>
        </is>
      </c>
      <c r="D5" s="17" t="inlineStr">
        <is>
          <t>Argón Estándar 10 m3</t>
        </is>
      </c>
      <c r="E5" s="17" t="inlineStr">
        <is>
          <t>ARGON</t>
        </is>
      </c>
      <c r="F5" s="17" t="inlineStr">
        <is>
          <t>EMPRESA</t>
        </is>
      </c>
      <c r="G5" s="23" t="inlineStr">
        <is>
          <t>10175332796</t>
        </is>
      </c>
      <c r="H5" s="25" t="inlineStr">
        <is>
          <t>OXIGENO SARITA</t>
        </is>
      </c>
      <c r="I5" s="17" t="inlineStr">
        <is>
          <t>DISPONIBLE</t>
        </is>
      </c>
      <c r="J5" s="17" t="inlineStr">
        <is>
          <t>ALMACEN LAMBAYEQUE</t>
        </is>
      </c>
      <c r="K5" s="23" t="n"/>
      <c r="L5" s="25">
        <f t="array" ref="L5">IF(K5="","",IFERROR(IF(INDEX(Clientes!$D$5:$D$549,MATCH(K5,Clientes!$C$5:$C$549,0))&lt;&gt;"",INDEX(Clientes!$D$5:$D$549,MATCH(K5,Clientes!$C$5:$C$549,0)),TRIM(INDEX(Clientes!$E$5:$E$549,MATCH(K5,Clientes!$C$5:$C$549,0))&amp;" "&amp;INDEX(Clientes!$F$5:$F$549,MATCH(K5,Clientes!$C$5:$C$549,0)))),"NO EXISTE en Clientes"))</f>
        <v/>
      </c>
      <c r="M5" s="37" t="n">
        <v>2026</v>
      </c>
      <c r="N5" s="37" t="n">
        <v>8</v>
      </c>
      <c r="O5" s="38" t="n">
        <v>46252</v>
      </c>
      <c r="P5" s="39">
        <f>IF(O5&lt;&gt;"",DATE(YEAR(O5)+5,MONTH(O5),1),IF(AND(M5&lt;&gt;"",N5&lt;&gt;""),DATE(M5+5,N5,1),""))</f>
        <v/>
      </c>
      <c r="Q5" s="23" t="n"/>
      <c r="R5" s="17" t="inlineStr">
        <is>
          <t>SEFIC</t>
        </is>
      </c>
      <c r="S5" s="17" t="n"/>
      <c r="T5" s="17" t="n"/>
      <c r="U5" s="17" t="n"/>
      <c r="V5" s="23" t="n"/>
      <c r="W5" s="17" t="n"/>
      <c r="X5" s="17" t="inlineStr">
        <is>
          <t>PH ICP</t>
        </is>
      </c>
      <c r="Y5" s="28">
        <f>IF(B5&lt;&gt;"OK","","SELECT bal_crear_balon(p_codigo_balon =&gt; "&amp;IF(TRIM(C5&amp;"")="","NULL","'"&amp;SUBSTITUTE(TRIM(C5),"'","''")&amp;"'")&amp;", p_id_tipo_balon =&gt; "&amp;"(SELECT id FROM bal_tipo_balon WHERE upper(nombre) = upper('"&amp;SUBSTITUTE(TRIM(D5),"'","''")&amp;"') AND estado = 1 LIMIT 1)"&amp;", p_id_producto_gas =&gt; "&amp;"(SELECT id FROM pro_producto WHERE es_gas = TRUE AND upper(nombre) = upper('"&amp;SUBSTITUTE(TRIM(E5),"'","''")&amp;"') AND estado = 1 LIMIT 1)"&amp;", p_id_propietario =&gt; "&amp;IF(TRIM(F5&amp;"")="","NULL","(SELECT lo.id FROM gen_lista_opciones lo JOIN gen_lista l ON l.id = lo.id_lista WHERE l.nombre = 'PropietarioBalon' AND upper(lo.nombre) = upper('"&amp;SUBSTITUTE(TRIM(F5),"'","''")&amp;"') AND lo.estado = 1 LIMIT 1)")&amp;", p_id_cliente_propietario =&gt; "&amp;IF(F5="CLIENTE",IF(TRIM(G5&amp;"")="","NULL","(SELECT id FROM cli_clientes WHERE numero_documento = '"&amp;SUBSTITUTE(TRIM(G5),"'","''")&amp;"' AND estado = 1 LIMIT 1)"),"NULL")&amp;", p_id_planta =&gt; "&amp;IF(F5="PLANTA",IF(TRIM(G5&amp;"")="","NULL","(SELECT id FROM cli_clientes WHERE numero_documento = '"&amp;SUBSTITUTE(TRIM(G5),"'","''")&amp;"'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"&amp;IF(TRIM(J5&amp;"")="","NULL","(SELECT id FROM gen_almacen WHERE upper(nombre) = upper('"&amp;SUBSTITUTE(TRIM(J5),"'","''")&amp;"') AND estado = 1 LIMIT 1)")&amp;", p_id_cliente_ubicacion =&gt; "&amp;IF(TRIM(K5&amp;"")="","NULL","(SELECT id FROM cli_clientes WHERE numero_documento = '"&amp;SUBSTITUTE(TRIM(K5),"'","''")&amp;"' AND estado = 1 LIMIT 1)")&amp;", p_id_referencia =&gt; "&amp;IF(TRIM(J5&amp;"")&lt;&gt;"","(SELECT lo.id FROM gen_lista_opciones lo JOIN gen_lista l ON l.id = lo.id_lista WHERE l.nombre = 'ReferenciaCilindro' AND upper(lo.nombre) = 'ALMACEN' AND lo.estado = 1 LIMIT 1)",IF(TRIM(K5&amp;"")&lt;&gt;"","(SELECT lo.id FROM gen_lista_opciones lo JOIN gen_lista l ON l.id = lo.id_lista WHERE l.nombre = 'ReferenciaCilindro' AND upper(lo.nombre) = 'CLIENTE' AND lo.estado = 1 LIMIT 1)","NULL"))&amp;", p_anio_fabricacion =&gt; "&amp;IF(M5&amp;""="","NULL::smallint",M5&amp;"::smallint")&amp;", p_mes_fabricacion =&gt; "&amp;IF(N5&amp;""="","NULL::smallint",N5&amp;"::smallint")&amp;", p_fecha_ultima_prueba_hidrostatica =&gt; "&amp;IF(O5&amp;""="","NULL","'"&amp;YEAR(O5)&amp;"-"&amp;TEXT(MONTH(O5),"00")&amp;"-"&amp;TEXT(DAY(O5),"00")&amp;"'")&amp;", p_numero_serie =&gt; "&amp;IF(TRIM(Q5&amp;"")="","NULL","'"&amp;SUBSTITUTE(TRIM(Q5),"'","''")&amp;"'")&amp;", p_id_marca_cilindro =&gt; "&amp;IF(TRIM(R5&amp;"")="","NULL","(SELECT lo.id FROM gen_lista_opciones lo JOIN gen_lista l ON l.id = lo.id_lista WHERE l.nombre = 'MarcaCilindro' AND upper(lo.nombre) = upper('"&amp;SUBSTITUTE(TRIM(R5),"'","''")&amp;"') AND lo.estado = 1 LIMIT 1)")&amp;", p_id_organo_inspector =&gt; "&amp;IF(TRIM(S5&amp;"")="","NULL","(SELECT lo.id FROM gen_lista_opciones lo JOIN gen_lista l ON l.id = lo.id_lista WHERE l.nombre = 'OrganoInspectorCilindro' AND upper(lo.nombre) = upper('"&amp;SUBSTITUTE(TRIM(S5),"'","''")&amp;"') AND lo.estado = 1 LIMIT 1)")&amp;", p_organo_inspector_no_aplica =&gt; "&amp;IF(S5="NO_APLICA","TRUE","FALSE")&amp;", p_presion_actual =&gt; "&amp;IF(T5&amp;""="","NULL",SUBSTITUTE(T5&amp;"",",","."))&amp;", p_tipo_valvula =&gt; "&amp;IF(TRIM(U5&amp;"")="","NULL","'"&amp;SUBSTITUTE(TRIM(U5),"'","''")&amp;"'")&amp;", p_libro_cilindro =&gt; "&amp;IF(TRIM(V5&amp;"")="","NULL","'"&amp;SUBSTITUTE(TRIM(V5),"'","''")&amp;"'")&amp;", p_pagina_libro =&gt; "&amp;IF(W5&amp;""="","NULL",SUBSTITUTE(W5&amp;"",",","."))&amp;", p_observacion =&gt; "&amp;IF(TRIM(X5&amp;"")="","NULL","'"&amp;SUBSTITUTE(TRIM(X5),"'","''")&amp;"'")&amp;") AS resultado_balon_"&amp;ROW()&amp;";")</f>
        <v/>
      </c>
    </row>
    <row r="6">
      <c r="A6" s="36" t="inlineStr">
        <is>
          <t>2</t>
        </is>
      </c>
      <c r="B6" s="25">
        <f>IF(AND(C6="",D6="",E6=""),"",IF(C6="","FALTA código balón",IF(D6="","FALTA tipo balón",IF(E6="","FALTA gas",IF(F6="","FALTA propietario",IF(AND(C6&lt;&gt;"",SUMPRODUCT(--($C$5:$C$1200=C6))&gt;1),"CÓDIGO BALÓN DUPLICADO",IF(AND(OR(UPPER(F6)="PLANTA",UPPER(F6)="CLIENTE"),G6=""),"FALTA doc propietario/planta",IF(AND(UPPER(F6)="PLANTA",G6="10175332796"),"PLANTA no puede ser RUC empresa","OK"))))))))</f>
        <v/>
      </c>
      <c r="C6" s="23" t="inlineStr">
        <is>
          <t>FC018103</t>
        </is>
      </c>
      <c r="D6" s="17" t="inlineStr">
        <is>
          <t>Argón Estándar 10 m3</t>
        </is>
      </c>
      <c r="E6" s="17" t="inlineStr">
        <is>
          <t>ARGON</t>
        </is>
      </c>
      <c r="F6" s="17" t="inlineStr">
        <is>
          <t>EMPRESA</t>
        </is>
      </c>
      <c r="G6" s="23" t="inlineStr">
        <is>
          <t>10175332796</t>
        </is>
      </c>
      <c r="H6" s="25" t="inlineStr">
        <is>
          <t>OXIGENO SARITA</t>
        </is>
      </c>
      <c r="I6" s="17" t="inlineStr">
        <is>
          <t>DISPONIBLE</t>
        </is>
      </c>
      <c r="J6" s="17" t="inlineStr">
        <is>
          <t>ALMACEN LAMBAYEQUE</t>
        </is>
      </c>
      <c r="K6" s="40" t="n"/>
      <c r="L6" s="25">
        <f t="array" ref="L6">IF(K6="","",IFERROR(IF(INDEX(Clientes!$D$5:$D$549,MATCH(K6,Clientes!$C$5:$C$549,0))&lt;&gt;"",INDEX(Clientes!$D$5:$D$549,MATCH(K6,Clientes!$C$5:$C$549,0)),TRIM(INDEX(Clientes!$E$5:$E$549,MATCH(K6,Clientes!$C$5:$C$549,0))&amp;" "&amp;INDEX(Clientes!$F$5:$F$549,MATCH(K6,Clientes!$C$5:$C$549,0)))),"NO EXISTE en Clientes"))</f>
        <v/>
      </c>
      <c r="M6" s="37" t="n">
        <v>2026</v>
      </c>
      <c r="N6" s="37" t="n">
        <v>8</v>
      </c>
      <c r="O6" s="38" t="n">
        <v>46252</v>
      </c>
      <c r="P6" s="39">
        <f>IF(O6&lt;&gt;"",DATE(YEAR(O6)+5,MONTH(O6),1),IF(AND(M6&lt;&gt;"",N6&lt;&gt;""),DATE(M6+5,N6,1),""))</f>
        <v/>
      </c>
      <c r="Q6" s="23" t="n"/>
      <c r="R6" s="17" t="inlineStr">
        <is>
          <t>SEFIC</t>
        </is>
      </c>
      <c r="S6" s="17" t="n"/>
      <c r="T6" s="17" t="n"/>
      <c r="U6" s="17" t="n"/>
      <c r="V6" s="23" t="n"/>
      <c r="W6" s="17" t="n"/>
      <c r="X6" s="17" t="inlineStr">
        <is>
          <t>PH ICP</t>
        </is>
      </c>
      <c r="Y6" s="28">
        <f>IF(B6&lt;&gt;"OK","","SELECT bal_crear_balon(p_codigo_balon =&gt; "&amp;IF(TRIM(C6&amp;"")="","NULL","'"&amp;SUBSTITUTE(TRIM(C6),"'","''")&amp;"'")&amp;", p_id_tipo_balon =&gt; "&amp;"(SELECT id FROM bal_tipo_balon WHERE upper(nombre) = upper('"&amp;SUBSTITUTE(TRIM(D6),"'","''")&amp;"') AND estado = 1 LIMIT 1)"&amp;", p_id_producto_gas =&gt; "&amp;"(SELECT id FROM pro_producto WHERE es_gas = TRUE AND upper(nombre) = upper('"&amp;SUBSTITUTE(TRIM(E6),"'","''")&amp;"') AND estado = 1 LIMIT 1)"&amp;", p_id_propietario =&gt; "&amp;IF(TRIM(F6&amp;"")="","NULL","(SELECT lo.id FROM gen_lista_opciones lo JOIN gen_lista l ON l.id = lo.id_lista WHERE l.nombre = 'PropietarioBalon' AND upper(lo.nombre) = upper('"&amp;SUBSTITUTE(TRIM(F6),"'","''")&amp;"') AND lo.estado = 1 LIMIT 1)")&amp;", p_id_cliente_propietario =&gt; "&amp;IF(F6="CLIENTE",IF(TRIM(G6&amp;"")="","NULL","(SELECT id FROM cli_clientes WHERE numero_documento = '"&amp;SUBSTITUTE(TRIM(G6),"'","''")&amp;"' AND estado = 1 LIMIT 1)"),"NULL")&amp;", p_id_planta =&gt; "&amp;IF(F6="PLANTA",IF(TRIM(G6&amp;"")="","NULL","(SELECT id FROM cli_clientes WHERE numero_documento = '"&amp;SUBSTITUTE(TRIM(G6),"'","''")&amp;"'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"&amp;IF(TRIM(J6&amp;"")="","NULL","(SELECT id FROM gen_almacen WHERE upper(nombre) = upper('"&amp;SUBSTITUTE(TRIM(J6),"'","''")&amp;"') AND estado = 1 LIMIT 1)")&amp;", p_id_cliente_ubicacion =&gt; "&amp;IF(TRIM(K6&amp;"")="","NULL","(SELECT id FROM cli_clientes WHERE numero_documento = '"&amp;SUBSTITUTE(TRIM(K6),"'","''")&amp;"' AND estado = 1 LIMIT 1)")&amp;", p_id_referencia =&gt; "&amp;IF(TRIM(J6&amp;"")&lt;&gt;"","(SELECT lo.id FROM gen_lista_opciones lo JOIN gen_lista l ON l.id = lo.id_lista WHERE l.nombre = 'ReferenciaCilindro' AND upper(lo.nombre) = 'ALMACEN' AND lo.estado = 1 LIMIT 1)",IF(TRIM(K6&amp;"")&lt;&gt;"","(SELECT lo.id FROM gen_lista_opciones lo JOIN gen_lista l ON l.id = lo.id_lista WHERE l.nombre = 'ReferenciaCilindro' AND upper(lo.nombre) = 'CLIENTE' AND lo.estado = 1 LIMIT 1)","NULL"))&amp;", p_anio_fabricacion =&gt; "&amp;IF(M6&amp;""="","NULL::smallint",M6&amp;"::smallint")&amp;", p_mes_fabricacion =&gt; "&amp;IF(N6&amp;""="","NULL::smallint",N6&amp;"::smallint")&amp;", p_fecha_ultima_prueba_hidrostatica =&gt; "&amp;IF(O6&amp;""="","NULL","'"&amp;YEAR(O6)&amp;"-"&amp;TEXT(MONTH(O6),"00")&amp;"-"&amp;TEXT(DAY(O6),"00")&amp;"'")&amp;", p_numero_serie =&gt; "&amp;IF(TRIM(Q6&amp;"")="","NULL","'"&amp;SUBSTITUTE(TRIM(Q6),"'","''")&amp;"'")&amp;", p_id_marca_cilindro =&gt; "&amp;IF(TRIM(R6&amp;"")="","NULL","(SELECT lo.id FROM gen_lista_opciones lo JOIN gen_lista l ON l.id = lo.id_lista WHERE l.nombre = 'MarcaCilindro' AND upper(lo.nombre) = upper('"&amp;SUBSTITUTE(TRIM(R6),"'","''")&amp;"') AND lo.estado = 1 LIMIT 1)")&amp;", p_id_organo_inspector =&gt; "&amp;IF(TRIM(S6&amp;"")="","NULL","(SELECT lo.id FROM gen_lista_opciones lo JOIN gen_lista l ON l.id = lo.id_lista WHERE l.nombre = 'OrganoInspectorCilindro' AND upper(lo.nombre) = upper('"&amp;SUBSTITUTE(TRIM(S6),"'","''")&amp;"') AND lo.estado = 1 LIMIT 1)")&amp;", p_organo_inspector_no_aplica =&gt; "&amp;IF(S6="NO_APLICA","TRUE","FALSE")&amp;", p_presion_actual =&gt; "&amp;IF(T6&amp;""="","NULL",SUBSTITUTE(T6&amp;"",",","."))&amp;", p_tipo_valvula =&gt; "&amp;IF(TRIM(U6&amp;"")="","NULL","'"&amp;SUBSTITUTE(TRIM(U6),"'","''")&amp;"'")&amp;", p_libro_cilindro =&gt; "&amp;IF(TRIM(V6&amp;"")="","NULL","'"&amp;SUBSTITUTE(TRIM(V6),"'","''")&amp;"'")&amp;", p_pagina_libro =&gt; "&amp;IF(W6&amp;""="","NULL",SUBSTITUTE(W6&amp;"",",","."))&amp;", p_observacion =&gt; "&amp;IF(TRIM(X6&amp;"")="","NULL","'"&amp;SUBSTITUTE(TRIM(X6),"'","''")&amp;"'")&amp;") AS resultado_balon_"&amp;ROW()&amp;";")</f>
        <v/>
      </c>
    </row>
    <row r="7">
      <c r="A7" s="36" t="inlineStr">
        <is>
          <t>3</t>
        </is>
      </c>
      <c r="B7" s="25">
        <f>IF(AND(C7="",D7="",E7=""),"",IF(C7="","FALTA código balón",IF(D7="","FALTA tipo balón",IF(E7="","FALTA gas",IF(F7="","FALTA propietario",IF(AND(C7&lt;&gt;"",SUMPRODUCT(--($C$5:$C$1200=C7))&gt;1),"CÓDIGO BALÓN DUPLICADO",IF(AND(OR(UPPER(F7)="PLANTA",UPPER(F7)="CLIENTE"),G7=""),"FALTA doc propietario/planta",IF(AND(UPPER(F7)="PLANTA",G7="10175332796"),"PLANTA no puede ser RUC empresa","OK"))))))))</f>
        <v/>
      </c>
      <c r="C7" s="23" t="inlineStr">
        <is>
          <t>FC019173</t>
        </is>
      </c>
      <c r="D7" s="17" t="inlineStr">
        <is>
          <t>Argón Estándar 10 m3</t>
        </is>
      </c>
      <c r="E7" s="17" t="inlineStr">
        <is>
          <t>ARGON</t>
        </is>
      </c>
      <c r="F7" s="17" t="inlineStr">
        <is>
          <t>EMPRESA</t>
        </is>
      </c>
      <c r="G7" s="23" t="inlineStr">
        <is>
          <t>10175332796</t>
        </is>
      </c>
      <c r="H7" s="25" t="inlineStr">
        <is>
          <t>OXIGENO SARITA</t>
        </is>
      </c>
      <c r="I7" s="17" t="inlineStr">
        <is>
          <t>DISPONIBLE</t>
        </is>
      </c>
      <c r="J7" s="17" t="inlineStr">
        <is>
          <t>ALMACEN LAMBAYEQUE</t>
        </is>
      </c>
      <c r="K7" s="40" t="n"/>
      <c r="L7" s="25">
        <f t="array" ref="L7">IF(K7="","",IFERROR(IF(INDEX(Clientes!$D$5:$D$549,MATCH(K7,Clientes!$C$5:$C$549,0))&lt;&gt;"",INDEX(Clientes!$D$5:$D$549,MATCH(K7,Clientes!$C$5:$C$549,0)),TRIM(INDEX(Clientes!$E$5:$E$549,MATCH(K7,Clientes!$C$5:$C$549,0))&amp;" "&amp;INDEX(Clientes!$F$5:$F$549,MATCH(K7,Clientes!$C$5:$C$549,0)))),"NO EXISTE en Clientes"))</f>
        <v/>
      </c>
      <c r="M7" s="37" t="n">
        <v>2026</v>
      </c>
      <c r="N7" s="37" t="n">
        <v>8</v>
      </c>
      <c r="O7" s="38" t="n">
        <v>46252</v>
      </c>
      <c r="P7" s="39">
        <f>IF(O7&lt;&gt;"",DATE(YEAR(O7)+5,MONTH(O7),1),IF(AND(M7&lt;&gt;"",N7&lt;&gt;""),DATE(M7+5,N7,1),""))</f>
        <v/>
      </c>
      <c r="Q7" s="23" t="n"/>
      <c r="R7" s="17" t="inlineStr">
        <is>
          <t>SEFIC</t>
        </is>
      </c>
      <c r="S7" s="17" t="n"/>
      <c r="T7" s="17" t="n"/>
      <c r="U7" s="17" t="n"/>
      <c r="V7" s="23" t="n"/>
      <c r="W7" s="17" t="n"/>
      <c r="X7" s="17" t="inlineStr">
        <is>
          <t>PH ICP</t>
        </is>
      </c>
      <c r="Y7" s="28">
        <f>IF(B7&lt;&gt;"OK","","SELECT bal_crear_balon(p_codigo_balon =&gt; "&amp;IF(TRIM(C7&amp;"")="","NULL","'"&amp;SUBSTITUTE(TRIM(C7),"'","''")&amp;"'")&amp;", p_id_tipo_balon =&gt; "&amp;"(SELECT id FROM bal_tipo_balon WHERE upper(nombre) = upper('"&amp;SUBSTITUTE(TRIM(D7),"'","''")&amp;"') AND estado = 1 LIMIT 1)"&amp;", p_id_producto_gas =&gt; "&amp;"(SELECT id FROM pro_producto WHERE es_gas = TRUE AND upper(nombre) = upper('"&amp;SUBSTITUTE(TRIM(E7),"'","''")&amp;"') AND estado = 1 LIMIT 1)"&amp;", p_id_propietario =&gt; "&amp;IF(TRIM(F7&amp;"")="","NULL","(SELECT lo.id FROM gen_lista_opciones lo JOIN gen_lista l ON l.id = lo.id_lista WHERE l.nombre = 'PropietarioBalon' AND upper(lo.nombre) = upper('"&amp;SUBSTITUTE(TRIM(F7),"'","''")&amp;"') AND lo.estado = 1 LIMIT 1)")&amp;", p_id_cliente_propietario =&gt; "&amp;IF(F7="CLIENTE",IF(TRIM(G7&amp;"")="","NULL","(SELECT id FROM cli_clientes WHERE numero_documento = '"&amp;SUBSTITUTE(TRIM(G7),"'","''")&amp;"' AND estado = 1 LIMIT 1)"),"NULL")&amp;", p_id_planta =&gt; "&amp;IF(F7="PLANTA",IF(TRIM(G7&amp;"")="","NULL","(SELECT id FROM cli_clientes WHERE numero_documento = '"&amp;SUBSTITUTE(TRIM(G7),"'","''")&amp;"'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"&amp;IF(TRIM(J7&amp;"")="","NULL","(SELECT id FROM gen_almacen WHERE upper(nombre) = upper('"&amp;SUBSTITUTE(TRIM(J7),"'","''")&amp;"') AND estado = 1 LIMIT 1)")&amp;", p_id_cliente_ubicacion =&gt; "&amp;IF(TRIM(K7&amp;"")="","NULL","(SELECT id FROM cli_clientes WHERE numero_documento = '"&amp;SUBSTITUTE(TRIM(K7),"'","''")&amp;"' AND estado = 1 LIMIT 1)")&amp;", p_id_referencia =&gt; "&amp;IF(TRIM(J7&amp;"")&lt;&gt;"","(SELECT lo.id FROM gen_lista_opciones lo JOIN gen_lista l ON l.id = lo.id_lista WHERE l.nombre = 'ReferenciaCilindro' AND upper(lo.nombre) = 'ALMACEN' AND lo.estado = 1 LIMIT 1)",IF(TRIM(K7&amp;"")&lt;&gt;"","(SELECT lo.id FROM gen_lista_opciones lo JOIN gen_lista l ON l.id = lo.id_lista WHERE l.nombre = 'ReferenciaCilindro' AND upper(lo.nombre) = 'CLIENTE' AND lo.estado = 1 LIMIT 1)","NULL"))&amp;", p_anio_fabricacion =&gt; "&amp;IF(M7&amp;""="","NULL::smallint",M7&amp;"::smallint")&amp;", p_mes_fabricacion =&gt; "&amp;IF(N7&amp;""="","NULL::smallint",N7&amp;"::smallint")&amp;", p_fecha_ultima_prueba_hidrostatica =&gt; "&amp;IF(O7&amp;""="","NULL","'"&amp;YEAR(O7)&amp;"-"&amp;TEXT(MONTH(O7),"00")&amp;"-"&amp;TEXT(DAY(O7),"00")&amp;"'")&amp;", p_numero_serie =&gt; "&amp;IF(TRIM(Q7&amp;"")="","NULL","'"&amp;SUBSTITUTE(TRIM(Q7),"'","''")&amp;"'")&amp;", p_id_marca_cilindro =&gt; "&amp;IF(TRIM(R7&amp;"")="","NULL","(SELECT lo.id FROM gen_lista_opciones lo JOIN gen_lista l ON l.id = lo.id_lista WHERE l.nombre = 'MarcaCilindro' AND upper(lo.nombre) = upper('"&amp;SUBSTITUTE(TRIM(R7),"'","''")&amp;"') AND lo.estado = 1 LIMIT 1)")&amp;", p_id_organo_inspector =&gt; "&amp;IF(TRIM(S7&amp;"")="","NULL","(SELECT lo.id FROM gen_lista_opciones lo JOIN gen_lista l ON l.id = lo.id_lista WHERE l.nombre = 'OrganoInspectorCilindro' AND upper(lo.nombre) = upper('"&amp;SUBSTITUTE(TRIM(S7),"'","''")&amp;"') AND lo.estado = 1 LIMIT 1)")&amp;", p_organo_inspector_no_aplica =&gt; "&amp;IF(S7="NO_APLICA","TRUE","FALSE")&amp;", p_presion_actual =&gt; "&amp;IF(T7&amp;""="","NULL",SUBSTITUTE(T7&amp;"",",","."))&amp;", p_tipo_valvula =&gt; "&amp;IF(TRIM(U7&amp;"")="","NULL","'"&amp;SUBSTITUTE(TRIM(U7),"'","''")&amp;"'")&amp;", p_libro_cilindro =&gt; "&amp;IF(TRIM(V7&amp;"")="","NULL","'"&amp;SUBSTITUTE(TRIM(V7),"'","''")&amp;"'")&amp;", p_pagina_libro =&gt; "&amp;IF(W7&amp;""="","NULL",SUBSTITUTE(W7&amp;"",",","."))&amp;", p_observacion =&gt; "&amp;IF(TRIM(X7&amp;"")="","NULL","'"&amp;SUBSTITUTE(TRIM(X7),"'","''")&amp;"'")&amp;") AS resultado_balon_"&amp;ROW()&amp;";")</f>
        <v/>
      </c>
    </row>
    <row r="8">
      <c r="A8" s="36" t="inlineStr">
        <is>
          <t>4</t>
        </is>
      </c>
      <c r="B8" s="25">
        <f>IF(AND(C8="",D8="",E8=""),"",IF(C8="","FALTA código balón",IF(D8="","FALTA tipo balón",IF(E8="","FALTA gas",IF(F8="","FALTA propietario",IF(AND(C8&lt;&gt;"",SUMPRODUCT(--($C$5:$C$1200=C8))&gt;1),"CÓDIGO BALÓN DUPLICADO",IF(AND(OR(UPPER(F8)="PLANTA",UPPER(F8)="CLIENTE"),G8=""),"FALTA doc propietario/planta",IF(AND(UPPER(F8)="PLANTA",G8="10175332796"),"PLANTA no puede ser RUC empresa","OK"))))))))</f>
        <v/>
      </c>
      <c r="C8" s="23" t="inlineStr">
        <is>
          <t>FC020017</t>
        </is>
      </c>
      <c r="D8" s="17" t="inlineStr">
        <is>
          <t>Argón Estándar 10 m3</t>
        </is>
      </c>
      <c r="E8" s="17" t="inlineStr">
        <is>
          <t>ARGON</t>
        </is>
      </c>
      <c r="F8" s="17" t="inlineStr">
        <is>
          <t>EMPRESA</t>
        </is>
      </c>
      <c r="G8" s="23" t="inlineStr">
        <is>
          <t>10175332796</t>
        </is>
      </c>
      <c r="H8" s="25" t="inlineStr">
        <is>
          <t>OXIGENO SARITA</t>
        </is>
      </c>
      <c r="I8" s="17" t="inlineStr">
        <is>
          <t>DISPONIBLE</t>
        </is>
      </c>
      <c r="J8" s="17" t="inlineStr">
        <is>
          <t>ALMACEN LAMBAYEQUE</t>
        </is>
      </c>
      <c r="K8" s="40" t="n"/>
      <c r="L8" s="25">
        <f t="array" ref="L8">IF(K8="","",IFERROR(IF(INDEX(Clientes!$D$5:$D$549,MATCH(K8,Clientes!$C$5:$C$549,0))&lt;&gt;"",INDEX(Clientes!$D$5:$D$549,MATCH(K8,Clientes!$C$5:$C$549,0)),TRIM(INDEX(Clientes!$E$5:$E$549,MATCH(K8,Clientes!$C$5:$C$549,0))&amp;" "&amp;INDEX(Clientes!$F$5:$F$549,MATCH(K8,Clientes!$C$5:$C$549,0)))),"NO EXISTE en Clientes"))</f>
        <v/>
      </c>
      <c r="M8" s="37" t="n">
        <v>2026</v>
      </c>
      <c r="N8" s="37" t="n">
        <v>8</v>
      </c>
      <c r="O8" s="38" t="n">
        <v>46252</v>
      </c>
      <c r="P8" s="39">
        <f>IF(O8&lt;&gt;"",DATE(YEAR(O8)+5,MONTH(O8),1),IF(AND(M8&lt;&gt;"",N8&lt;&gt;""),DATE(M8+5,N8,1),""))</f>
        <v/>
      </c>
      <c r="Q8" s="23" t="n"/>
      <c r="R8" s="17" t="inlineStr">
        <is>
          <t>SEFIC</t>
        </is>
      </c>
      <c r="S8" s="17" t="n"/>
      <c r="T8" s="17" t="n"/>
      <c r="U8" s="17" t="n"/>
      <c r="V8" s="23" t="n"/>
      <c r="W8" s="17" t="n"/>
      <c r="X8" s="17" t="inlineStr">
        <is>
          <t>PH ICP</t>
        </is>
      </c>
      <c r="Y8" s="28">
        <f>IF(B8&lt;&gt;"OK","","SELECT bal_crear_balon(p_codigo_balon =&gt; "&amp;IF(TRIM(C8&amp;"")="","NULL","'"&amp;SUBSTITUTE(TRIM(C8),"'","''")&amp;"'")&amp;", p_id_tipo_balon =&gt; "&amp;"(SELECT id FROM bal_tipo_balon WHERE upper(nombre) = upper('"&amp;SUBSTITUTE(TRIM(D8),"'","''")&amp;"') AND estado = 1 LIMIT 1)"&amp;", p_id_producto_gas =&gt; "&amp;"(SELECT id FROM pro_producto WHERE es_gas = TRUE AND upper(nombre) = upper('"&amp;SUBSTITUTE(TRIM(E8),"'","''")&amp;"') AND estado = 1 LIMIT 1)"&amp;", p_id_propietario =&gt; "&amp;IF(TRIM(F8&amp;"")="","NULL","(SELECT lo.id FROM gen_lista_opciones lo JOIN gen_lista l ON l.id = lo.id_lista WHERE l.nombre = 'PropietarioBalon' AND upper(lo.nombre) = upper('"&amp;SUBSTITUTE(TRIM(F8),"'","''")&amp;"') AND lo.estado = 1 LIMIT 1)")&amp;", p_id_cliente_propietario =&gt; "&amp;IF(F8="CLIENTE",IF(TRIM(G8&amp;"")="","NULL","(SELECT id FROM cli_clientes WHERE numero_documento = '"&amp;SUBSTITUTE(TRIM(G8),"'","''")&amp;"' AND estado = 1 LIMIT 1)"),"NULL")&amp;", p_id_planta =&gt; "&amp;IF(F8="PLANTA",IF(TRIM(G8&amp;"")="","NULL","(SELECT id FROM cli_clientes WHERE numero_documento = '"&amp;SUBSTITUTE(TRIM(G8),"'","''")&amp;"'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"&amp;IF(TRIM(J8&amp;"")="","NULL","(SELECT id FROM gen_almacen WHERE upper(nombre) = upper('"&amp;SUBSTITUTE(TRIM(J8),"'","''")&amp;"') AND estado = 1 LIMIT 1)")&amp;", p_id_cliente_ubicacion =&gt; "&amp;IF(TRIM(K8&amp;"")="","NULL","(SELECT id FROM cli_clientes WHERE numero_documento = '"&amp;SUBSTITUTE(TRIM(K8),"'","''")&amp;"' AND estado = 1 LIMIT 1)")&amp;", p_id_referencia =&gt; "&amp;IF(TRIM(J8&amp;"")&lt;&gt;"","(SELECT lo.id FROM gen_lista_opciones lo JOIN gen_lista l ON l.id = lo.id_lista WHERE l.nombre = 'ReferenciaCilindro' AND upper(lo.nombre) = 'ALMACEN' AND lo.estado = 1 LIMIT 1)",IF(TRIM(K8&amp;"")&lt;&gt;"","(SELECT lo.id FROM gen_lista_opciones lo JOIN gen_lista l ON l.id = lo.id_lista WHERE l.nombre = 'ReferenciaCilindro' AND upper(lo.nombre) = 'CLIENTE' AND lo.estado = 1 LIMIT 1)","NULL"))&amp;", p_anio_fabricacion =&gt; "&amp;IF(M8&amp;""="","NULL::smallint",M8&amp;"::smallint")&amp;", p_mes_fabricacion =&gt; "&amp;IF(N8&amp;""="","NULL::smallint",N8&amp;"::smallint")&amp;", p_fecha_ultima_prueba_hidrostatica =&gt; "&amp;IF(O8&amp;""="","NULL","'"&amp;YEAR(O8)&amp;"-"&amp;TEXT(MONTH(O8),"00")&amp;"-"&amp;TEXT(DAY(O8),"00")&amp;"'")&amp;", p_numero_serie =&gt; "&amp;IF(TRIM(Q8&amp;"")="","NULL","'"&amp;SUBSTITUTE(TRIM(Q8),"'","''")&amp;"'")&amp;", p_id_marca_cilindro =&gt; "&amp;IF(TRIM(R8&amp;"")="","NULL","(SELECT lo.id FROM gen_lista_opciones lo JOIN gen_lista l ON l.id = lo.id_lista WHERE l.nombre = 'MarcaCilindro' AND upper(lo.nombre) = upper('"&amp;SUBSTITUTE(TRIM(R8),"'","''")&amp;"') AND lo.estado = 1 LIMIT 1)")&amp;", p_id_organo_inspector =&gt; "&amp;IF(TRIM(S8&amp;"")="","NULL","(SELECT lo.id FROM gen_lista_opciones lo JOIN gen_lista l ON l.id = lo.id_lista WHERE l.nombre = 'OrganoInspectorCilindro' AND upper(lo.nombre) = upper('"&amp;SUBSTITUTE(TRIM(S8),"'","''")&amp;"') AND lo.estado = 1 LIMIT 1)")&amp;", p_organo_inspector_no_aplica =&gt; "&amp;IF(S8="NO_APLICA","TRUE","FALSE")&amp;", p_presion_actual =&gt; "&amp;IF(T8&amp;""="","NULL",SUBSTITUTE(T8&amp;"",",","."))&amp;", p_tipo_valvula =&gt; "&amp;IF(TRIM(U8&amp;"")="","NULL","'"&amp;SUBSTITUTE(TRIM(U8),"'","''")&amp;"'")&amp;", p_libro_cilindro =&gt; "&amp;IF(TRIM(V8&amp;"")="","NULL","'"&amp;SUBSTITUTE(TRIM(V8),"'","''")&amp;"'")&amp;", p_pagina_libro =&gt; "&amp;IF(W8&amp;""="","NULL",SUBSTITUTE(W8&amp;"",",","."))&amp;", p_observacion =&gt; "&amp;IF(TRIM(X8&amp;"")="","NULL","'"&amp;SUBSTITUTE(TRIM(X8),"'","''")&amp;"'")&amp;") AS resultado_balon_"&amp;ROW()&amp;";")</f>
        <v/>
      </c>
    </row>
    <row r="9">
      <c r="A9" s="36" t="inlineStr">
        <is>
          <t>5</t>
        </is>
      </c>
      <c r="B9" s="25">
        <f>IF(AND(C9="",D9="",E9=""),"",IF(C9="","FALTA código balón",IF(D9="","FALTA tipo balón",IF(E9="","FALTA gas",IF(F9="","FALTA propietario",IF(AND(C9&lt;&gt;"",SUMPRODUCT(--($C$5:$C$1200=C9))&gt;1),"CÓDIGO BALÓN DUPLICADO",IF(AND(OR(UPPER(F9)="PLANTA",UPPER(F9)="CLIENTE"),G9=""),"FALTA doc propietario/planta",IF(AND(UPPER(F9)="PLANTA",G9="10175332796"),"PLANTA no puede ser RUC empresa","OK"))))))))</f>
        <v/>
      </c>
      <c r="C9" s="23" t="inlineStr">
        <is>
          <t>FC019187</t>
        </is>
      </c>
      <c r="D9" s="17" t="inlineStr">
        <is>
          <t>Argón Estándar 10 m3</t>
        </is>
      </c>
      <c r="E9" s="17" t="inlineStr">
        <is>
          <t>ARGON</t>
        </is>
      </c>
      <c r="F9" s="17" t="inlineStr">
        <is>
          <t>EMPRESA</t>
        </is>
      </c>
      <c r="G9" s="23" t="inlineStr">
        <is>
          <t>10175332796</t>
        </is>
      </c>
      <c r="H9" s="25" t="inlineStr">
        <is>
          <t>OXIGENO SARITA</t>
        </is>
      </c>
      <c r="I9" s="17" t="inlineStr">
        <is>
          <t>DISPONIBLE</t>
        </is>
      </c>
      <c r="J9" s="17" t="inlineStr">
        <is>
          <t>ALMACEN LAMBAYEQUE</t>
        </is>
      </c>
      <c r="K9" s="40" t="n"/>
      <c r="L9" s="25">
        <f t="array" ref="L9">IF(K9="","",IFERROR(IF(INDEX(Clientes!$D$5:$D$549,MATCH(K9,Clientes!$C$5:$C$549,0))&lt;&gt;"",INDEX(Clientes!$D$5:$D$549,MATCH(K9,Clientes!$C$5:$C$549,0)),TRIM(INDEX(Clientes!$E$5:$E$549,MATCH(K9,Clientes!$C$5:$C$549,0))&amp;" "&amp;INDEX(Clientes!$F$5:$F$549,MATCH(K9,Clientes!$C$5:$C$549,0)))),"NO EXISTE en Clientes"))</f>
        <v/>
      </c>
      <c r="M9" s="37" t="n">
        <v>2026</v>
      </c>
      <c r="N9" s="37" t="n">
        <v>8</v>
      </c>
      <c r="O9" s="38" t="n">
        <v>46252</v>
      </c>
      <c r="P9" s="39">
        <f>IF(O9&lt;&gt;"",DATE(YEAR(O9)+5,MONTH(O9),1),IF(AND(M9&lt;&gt;"",N9&lt;&gt;""),DATE(M9+5,N9,1),""))</f>
        <v/>
      </c>
      <c r="Q9" s="23" t="n"/>
      <c r="R9" s="17" t="inlineStr">
        <is>
          <t>SEFIC</t>
        </is>
      </c>
      <c r="S9" s="17" t="n"/>
      <c r="T9" s="17" t="n"/>
      <c r="U9" s="17" t="n"/>
      <c r="V9" s="23" t="n"/>
      <c r="W9" s="17" t="n"/>
      <c r="X9" s="17" t="inlineStr">
        <is>
          <t>PH ICP</t>
        </is>
      </c>
      <c r="Y9" s="28">
        <f>IF(B9&lt;&gt;"OK","","SELECT bal_crear_balon(p_codigo_balon =&gt; "&amp;IF(TRIM(C9&amp;"")="","NULL","'"&amp;SUBSTITUTE(TRIM(C9),"'","''")&amp;"'")&amp;", p_id_tipo_balon =&gt; "&amp;"(SELECT id FROM bal_tipo_balon WHERE upper(nombre) = upper('"&amp;SUBSTITUTE(TRIM(D9),"'","''")&amp;"') AND estado = 1 LIMIT 1)"&amp;", p_id_producto_gas =&gt; "&amp;"(SELECT id FROM pro_producto WHERE es_gas = TRUE AND upper(nombre) = upper('"&amp;SUBSTITUTE(TRIM(E9),"'","''")&amp;"') AND estado = 1 LIMIT 1)"&amp;", p_id_propietario =&gt; "&amp;IF(TRIM(F9&amp;"")="","NULL","(SELECT lo.id FROM gen_lista_opciones lo JOIN gen_lista l ON l.id = lo.id_lista WHERE l.nombre = 'PropietarioBalon' AND upper(lo.nombre) = upper('"&amp;SUBSTITUTE(TRIM(F9),"'","''")&amp;"') AND lo.estado = 1 LIMIT 1)")&amp;", p_id_cliente_propietario =&gt; "&amp;IF(F9="CLIENTE",IF(TRIM(G9&amp;"")="","NULL","(SELECT id FROM cli_clientes WHERE numero_documento = '"&amp;SUBSTITUTE(TRIM(G9),"'","''")&amp;"' AND estado = 1 LIMIT 1)"),"NULL")&amp;", p_id_planta =&gt; "&amp;IF(F9="PLANTA",IF(TRIM(G9&amp;"")="","NULL","(SELECT id FROM cli_clientes WHERE numero_documento = '"&amp;SUBSTITUTE(TRIM(G9),"'","''")&amp;"'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"&amp;IF(TRIM(J9&amp;"")="","NULL","(SELECT id FROM gen_almacen WHERE upper(nombre) = upper('"&amp;SUBSTITUTE(TRIM(J9),"'","''")&amp;"') AND estado = 1 LIMIT 1)")&amp;", p_id_cliente_ubicacion =&gt; "&amp;IF(TRIM(K9&amp;"")="","NULL","(SELECT id FROM cli_clientes WHERE numero_documento = '"&amp;SUBSTITUTE(TRIM(K9),"'","''")&amp;"' AND estado = 1 LIMIT 1)")&amp;", p_id_referencia =&gt; "&amp;IF(TRIM(J9&amp;"")&lt;&gt;"","(SELECT lo.id FROM gen_lista_opciones lo JOIN gen_lista l ON l.id = lo.id_lista WHERE l.nombre = 'ReferenciaCilindro' AND upper(lo.nombre) = 'ALMACEN' AND lo.estado = 1 LIMIT 1)",IF(TRIM(K9&amp;"")&lt;&gt;"","(SELECT lo.id FROM gen_lista_opciones lo JOIN gen_lista l ON l.id = lo.id_lista WHERE l.nombre = 'ReferenciaCilindro' AND upper(lo.nombre) = 'CLIENTE' AND lo.estado = 1 LIMIT 1)","NULL"))&amp;", p_anio_fabricacion =&gt; "&amp;IF(M9&amp;""="","NULL::smallint",M9&amp;"::smallint")&amp;", p_mes_fabricacion =&gt; "&amp;IF(N9&amp;""="","NULL::smallint",N9&amp;"::smallint")&amp;", p_fecha_ultima_prueba_hidrostatica =&gt; "&amp;IF(O9&amp;""="","NULL","'"&amp;YEAR(O9)&amp;"-"&amp;TEXT(MONTH(O9),"00")&amp;"-"&amp;TEXT(DAY(O9),"00")&amp;"'")&amp;", p_numero_serie =&gt; "&amp;IF(TRIM(Q9&amp;"")="","NULL","'"&amp;SUBSTITUTE(TRIM(Q9),"'","''")&amp;"'")&amp;", p_id_marca_cilindro =&gt; "&amp;IF(TRIM(R9&amp;"")="","NULL","(SELECT lo.id FROM gen_lista_opciones lo JOIN gen_lista l ON l.id = lo.id_lista WHERE l.nombre = 'MarcaCilindro' AND upper(lo.nombre) = upper('"&amp;SUBSTITUTE(TRIM(R9),"'","''")&amp;"') AND lo.estado = 1 LIMIT 1)")&amp;", p_id_organo_inspector =&gt; "&amp;IF(TRIM(S9&amp;"")="","NULL","(SELECT lo.id FROM gen_lista_opciones lo JOIN gen_lista l ON l.id = lo.id_lista WHERE l.nombre = 'OrganoInspectorCilindro' AND upper(lo.nombre) = upper('"&amp;SUBSTITUTE(TRIM(S9),"'","''")&amp;"') AND lo.estado = 1 LIMIT 1)")&amp;", p_organo_inspector_no_aplica =&gt; "&amp;IF(S9="NO_APLICA","TRUE","FALSE")&amp;", p_presion_actual =&gt; "&amp;IF(T9&amp;""="","NULL",SUBSTITUTE(T9&amp;"",",","."))&amp;", p_tipo_valvula =&gt; "&amp;IF(TRIM(U9&amp;"")="","NULL","'"&amp;SUBSTITUTE(TRIM(U9),"'","''")&amp;"'")&amp;", p_libro_cilindro =&gt; "&amp;IF(TRIM(V9&amp;"")="","NULL","'"&amp;SUBSTITUTE(TRIM(V9),"'","''")&amp;"'")&amp;", p_pagina_libro =&gt; "&amp;IF(W9&amp;""="","NULL",SUBSTITUTE(W9&amp;"",",","."))&amp;", p_observacion =&gt; "&amp;IF(TRIM(X9&amp;"")="","NULL","'"&amp;SUBSTITUTE(TRIM(X9),"'","''")&amp;"'")&amp;") AS resultado_balon_"&amp;ROW()&amp;";")</f>
        <v/>
      </c>
    </row>
    <row r="10">
      <c r="A10" s="36" t="inlineStr">
        <is>
          <t>6</t>
        </is>
      </c>
      <c r="B10" s="25">
        <f>IF(AND(C10="",D10="",E10=""),"",IF(C10="","FALTA código balón",IF(D10="","FALTA tipo balón",IF(E10="","FALTA gas",IF(F10="","FALTA propietario",IF(AND(C10&lt;&gt;"",SUMPRODUCT(--($C$5:$C$1200=C10))&gt;1),"CÓDIGO BALÓN DUPLICADO",IF(AND(OR(UPPER(F10)="PLANTA",UPPER(F10)="CLIENTE"),G10=""),"FALTA doc propietario/planta",IF(AND(UPPER(F10)="PLANTA",G10="10175332796"),"PLANTA no puede ser RUC empresa","OK"))))))))</f>
        <v/>
      </c>
      <c r="C10" s="23" t="inlineStr">
        <is>
          <t>FC019088</t>
        </is>
      </c>
      <c r="D10" s="17" t="inlineStr">
        <is>
          <t>Argón Estándar 10 m3</t>
        </is>
      </c>
      <c r="E10" s="17" t="inlineStr">
        <is>
          <t>ARGON</t>
        </is>
      </c>
      <c r="F10" s="17" t="inlineStr">
        <is>
          <t>EMPRESA</t>
        </is>
      </c>
      <c r="G10" s="23" t="inlineStr">
        <is>
          <t>10175332796</t>
        </is>
      </c>
      <c r="H10" s="25" t="inlineStr">
        <is>
          <t>OXIGENO SARITA</t>
        </is>
      </c>
      <c r="I10" s="17" t="inlineStr">
        <is>
          <t>DISPONIBLE</t>
        </is>
      </c>
      <c r="J10" s="17" t="inlineStr">
        <is>
          <t>ALMACEN LAMBAYEQUE</t>
        </is>
      </c>
      <c r="K10" s="40" t="n"/>
      <c r="L10" s="25">
        <f t="array" ref="L10">IF(K10="","",IFERROR(IF(INDEX(Clientes!$D$5:$D$549,MATCH(K10,Clientes!$C$5:$C$549,0))&lt;&gt;"",INDEX(Clientes!$D$5:$D$549,MATCH(K10,Clientes!$C$5:$C$549,0)),TRIM(INDEX(Clientes!$E$5:$E$549,MATCH(K10,Clientes!$C$5:$C$549,0))&amp;" "&amp;INDEX(Clientes!$F$5:$F$549,MATCH(K10,Clientes!$C$5:$C$549,0)))),"NO EXISTE en Clientes"))</f>
        <v/>
      </c>
      <c r="M10" s="37" t="n">
        <v>2026</v>
      </c>
      <c r="N10" s="37" t="n">
        <v>8</v>
      </c>
      <c r="O10" s="38" t="n">
        <v>46252</v>
      </c>
      <c r="P10" s="39">
        <f>IF(O10&lt;&gt;"",DATE(YEAR(O10)+5,MONTH(O10),1),IF(AND(M10&lt;&gt;"",N10&lt;&gt;""),DATE(M10+5,N10,1),""))</f>
        <v/>
      </c>
      <c r="Q10" s="23" t="n"/>
      <c r="R10" s="17" t="inlineStr">
        <is>
          <t>SEFIC</t>
        </is>
      </c>
      <c r="S10" s="17" t="n"/>
      <c r="T10" s="17" t="n"/>
      <c r="U10" s="17" t="n"/>
      <c r="V10" s="23" t="n"/>
      <c r="W10" s="17" t="n"/>
      <c r="X10" s="17" t="inlineStr">
        <is>
          <t>PH ICP</t>
        </is>
      </c>
      <c r="Y10" s="28">
        <f>IF(B10&lt;&gt;"OK","","SELECT bal_crear_balon(p_codigo_balon =&gt; "&amp;IF(TRIM(C10&amp;"")="","NULL","'"&amp;SUBSTITUTE(TRIM(C10),"'","''")&amp;"'")&amp;", p_id_tipo_balon =&gt; "&amp;"(SELECT id FROM bal_tipo_balon WHERE upper(nombre) = upper('"&amp;SUBSTITUTE(TRIM(D10),"'","''")&amp;"') AND estado = 1 LIMIT 1)"&amp;", p_id_producto_gas =&gt; "&amp;"(SELECT id FROM pro_producto WHERE es_gas = TRUE AND upper(nombre) = upper('"&amp;SUBSTITUTE(TRIM(E10),"'","''")&amp;"') AND estado = 1 LIMIT 1)"&amp;", p_id_propietario =&gt; "&amp;IF(TRIM(F10&amp;"")="","NULL","(SELECT lo.id FROM gen_lista_opciones lo JOIN gen_lista l ON l.id = lo.id_lista WHERE l.nombre = 'PropietarioBalon' AND upper(lo.nombre) = upper('"&amp;SUBSTITUTE(TRIM(F10),"'","''")&amp;"') AND lo.estado = 1 LIMIT 1)")&amp;", p_id_cliente_propietario =&gt; "&amp;IF(F10="CLIENTE",IF(TRIM(G10&amp;"")="","NULL","(SELECT id FROM cli_clientes WHERE numero_documento = '"&amp;SUBSTITUTE(TRIM(G10),"'","''")&amp;"' AND estado = 1 LIMIT 1)"),"NULL")&amp;", p_id_planta =&gt; "&amp;IF(F10="PLANTA",IF(TRIM(G10&amp;"")="","NULL","(SELECT id FROM cli_clientes WHERE numero_documento = '"&amp;SUBSTITUTE(TRIM(G10),"'","''")&amp;"'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"&amp;IF(TRIM(J10&amp;"")="","NULL","(SELECT id FROM gen_almacen WHERE upper(nombre) = upper('"&amp;SUBSTITUTE(TRIM(J10),"'","''")&amp;"') AND estado = 1 LIMIT 1)")&amp;", p_id_cliente_ubicacion =&gt; "&amp;IF(TRIM(K10&amp;"")="","NULL","(SELECT id FROM cli_clientes WHERE numero_documento = '"&amp;SUBSTITUTE(TRIM(K10),"'","''")&amp;"' AND estado = 1 LIMIT 1)")&amp;", p_id_referencia =&gt; "&amp;IF(TRIM(J10&amp;"")&lt;&gt;"","(SELECT lo.id FROM gen_lista_opciones lo JOIN gen_lista l ON l.id = lo.id_lista WHERE l.nombre = 'ReferenciaCilindro' AND upper(lo.nombre) = 'ALMACEN' AND lo.estado = 1 LIMIT 1)",IF(TRIM(K10&amp;"")&lt;&gt;"","(SELECT lo.id FROM gen_lista_opciones lo JOIN gen_lista l ON l.id = lo.id_lista WHERE l.nombre = 'ReferenciaCilindro' AND upper(lo.nombre) = 'CLIENTE' AND lo.estado = 1 LIMIT 1)","NULL"))&amp;", p_anio_fabricacion =&gt; "&amp;IF(M10&amp;""="","NULL::smallint",M10&amp;"::smallint")&amp;", p_mes_fabricacion =&gt; "&amp;IF(N10&amp;""="","NULL::smallint",N10&amp;"::smallint")&amp;", p_fecha_ultima_prueba_hidrostatica =&gt; "&amp;IF(O10&amp;""="","NULL","'"&amp;YEAR(O10)&amp;"-"&amp;TEXT(MONTH(O10),"00")&amp;"-"&amp;TEXT(DAY(O10),"00")&amp;"'")&amp;", p_numero_serie =&gt; "&amp;IF(TRIM(Q10&amp;"")="","NULL","'"&amp;SUBSTITUTE(TRIM(Q10),"'","''")&amp;"'")&amp;", p_id_marca_cilindro =&gt; "&amp;IF(TRIM(R10&amp;"")="","NULL","(SELECT lo.id FROM gen_lista_opciones lo JOIN gen_lista l ON l.id = lo.id_lista WHERE l.nombre = 'MarcaCilindro' AND upper(lo.nombre) = upper('"&amp;SUBSTITUTE(TRIM(R10),"'","''")&amp;"') AND lo.estado = 1 LIMIT 1)")&amp;", p_id_organo_inspector =&gt; "&amp;IF(TRIM(S10&amp;"")="","NULL","(SELECT lo.id FROM gen_lista_opciones lo JOIN gen_lista l ON l.id = lo.id_lista WHERE l.nombre = 'OrganoInspectorCilindro' AND upper(lo.nombre) = upper('"&amp;SUBSTITUTE(TRIM(S10),"'","''")&amp;"') AND lo.estado = 1 LIMIT 1)")&amp;", p_organo_inspector_no_aplica =&gt; "&amp;IF(S10="NO_APLICA","TRUE","FALSE")&amp;", p_presion_actual =&gt; "&amp;IF(T10&amp;""="","NULL",SUBSTITUTE(T10&amp;"",",","."))&amp;", p_tipo_valvula =&gt; "&amp;IF(TRIM(U10&amp;"")="","NULL","'"&amp;SUBSTITUTE(TRIM(U10),"'","''")&amp;"'")&amp;", p_libro_cilindro =&gt; "&amp;IF(TRIM(V10&amp;"")="","NULL","'"&amp;SUBSTITUTE(TRIM(V10),"'","''")&amp;"'")&amp;", p_pagina_libro =&gt; "&amp;IF(W10&amp;""="","NULL",SUBSTITUTE(W10&amp;"",",","."))&amp;", p_observacion =&gt; "&amp;IF(TRIM(X10&amp;"")="","NULL","'"&amp;SUBSTITUTE(TRIM(X10),"'","''")&amp;"'")&amp;") AS resultado_balon_"&amp;ROW()&amp;";")</f>
        <v/>
      </c>
    </row>
    <row r="11">
      <c r="A11" s="36" t="inlineStr">
        <is>
          <t>7</t>
        </is>
      </c>
      <c r="B11" s="25">
        <f>IF(AND(C11="",D11="",E11=""),"",IF(C11="","FALTA código balón",IF(D11="","FALTA tipo balón",IF(E11="","FALTA gas",IF(F11="","FALTA propietario",IF(AND(C11&lt;&gt;"",SUMPRODUCT(--($C$5:$C$1200=C11))&gt;1),"CÓDIGO BALÓN DUPLICADO",IF(AND(OR(UPPER(F11)="PLANTA",UPPER(F11)="CLIENTE"),G11=""),"FALTA doc propietario/planta",IF(AND(UPPER(F11)="PLANTA",G11="10175332796"),"PLANTA no puede ser RUC empresa","OK"))))))))</f>
        <v/>
      </c>
      <c r="C11" s="23" t="inlineStr">
        <is>
          <t>FC017152</t>
        </is>
      </c>
      <c r="D11" s="17" t="inlineStr">
        <is>
          <t>Argón Estándar 10 m3</t>
        </is>
      </c>
      <c r="E11" s="17" t="inlineStr">
        <is>
          <t>ARGON</t>
        </is>
      </c>
      <c r="F11" s="17" t="inlineStr">
        <is>
          <t>EMPRESA</t>
        </is>
      </c>
      <c r="G11" s="23" t="inlineStr">
        <is>
          <t>10175332796</t>
        </is>
      </c>
      <c r="H11" s="25" t="inlineStr">
        <is>
          <t>OXIGENO SARITA</t>
        </is>
      </c>
      <c r="I11" s="17" t="inlineStr">
        <is>
          <t>DISPONIBLE</t>
        </is>
      </c>
      <c r="J11" s="17" t="inlineStr">
        <is>
          <t>ALMACEN LAMBAYEQUE</t>
        </is>
      </c>
      <c r="K11" s="40" t="n"/>
      <c r="L11" s="25">
        <f t="array" ref="L11">IF(K11="","",IFERROR(IF(INDEX(Clientes!$D$5:$D$549,MATCH(K11,Clientes!$C$5:$C$549,0))&lt;&gt;"",INDEX(Clientes!$D$5:$D$549,MATCH(K11,Clientes!$C$5:$C$549,0)),TRIM(INDEX(Clientes!$E$5:$E$549,MATCH(K11,Clientes!$C$5:$C$549,0))&amp;" "&amp;INDEX(Clientes!$F$5:$F$549,MATCH(K11,Clientes!$C$5:$C$549,0)))),"NO EXISTE en Clientes"))</f>
        <v/>
      </c>
      <c r="M11" s="37" t="n">
        <v>2026</v>
      </c>
      <c r="N11" s="37" t="n">
        <v>8</v>
      </c>
      <c r="O11" s="38" t="n">
        <v>46252</v>
      </c>
      <c r="P11" s="39">
        <f>IF(O11&lt;&gt;"",DATE(YEAR(O11)+5,MONTH(O11),1),IF(AND(M11&lt;&gt;"",N11&lt;&gt;""),DATE(M11+5,N11,1),""))</f>
        <v/>
      </c>
      <c r="Q11" s="23" t="n"/>
      <c r="R11" s="17" t="inlineStr">
        <is>
          <t>SEFIC</t>
        </is>
      </c>
      <c r="S11" s="17" t="n"/>
      <c r="T11" s="17" t="n"/>
      <c r="U11" s="17" t="n"/>
      <c r="V11" s="23" t="n"/>
      <c r="W11" s="17" t="n"/>
      <c r="X11" s="17" t="inlineStr">
        <is>
          <t>PH ICP</t>
        </is>
      </c>
      <c r="Y11" s="28">
        <f>IF(B11&lt;&gt;"OK","","SELECT bal_crear_balon(p_codigo_balon =&gt; "&amp;IF(TRIM(C11&amp;"")="","NULL","'"&amp;SUBSTITUTE(TRIM(C11),"'","''")&amp;"'")&amp;", p_id_tipo_balon =&gt; "&amp;"(SELECT id FROM bal_tipo_balon WHERE upper(nombre) = upper('"&amp;SUBSTITUTE(TRIM(D11),"'","''")&amp;"') AND estado = 1 LIMIT 1)"&amp;", p_id_producto_gas =&gt; "&amp;"(SELECT id FROM pro_producto WHERE es_gas = TRUE AND upper(nombre) = upper('"&amp;SUBSTITUTE(TRIM(E11),"'","''")&amp;"') AND estado = 1 LIMIT 1)"&amp;", p_id_propietario =&gt; "&amp;IF(TRIM(F11&amp;"")="","NULL","(SELECT lo.id FROM gen_lista_opciones lo JOIN gen_lista l ON l.id = lo.id_lista WHERE l.nombre = 'PropietarioBalon' AND upper(lo.nombre) = upper('"&amp;SUBSTITUTE(TRIM(F11),"'","''")&amp;"') AND lo.estado = 1 LIMIT 1)")&amp;", p_id_cliente_propietario =&gt; "&amp;IF(F11="CLIENTE",IF(TRIM(G11&amp;"")="","NULL","(SELECT id FROM cli_clientes WHERE numero_documento = '"&amp;SUBSTITUTE(TRIM(G11),"'","''")&amp;"' AND estado = 1 LIMIT 1)"),"NULL")&amp;", p_id_planta =&gt; "&amp;IF(F11="PLANTA",IF(TRIM(G11&amp;"")="","NULL","(SELECT id FROM cli_clientes WHERE numero_documento = '"&amp;SUBSTITUTE(TRIM(G11),"'","''")&amp;"'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"&amp;IF(TRIM(J11&amp;"")="","NULL","(SELECT id FROM gen_almacen WHERE upper(nombre) = upper('"&amp;SUBSTITUTE(TRIM(J11),"'","''")&amp;"') AND estado = 1 LIMIT 1)")&amp;", p_id_cliente_ubicacion =&gt; "&amp;IF(TRIM(K11&amp;"")="","NULL","(SELECT id FROM cli_clientes WHERE numero_documento = '"&amp;SUBSTITUTE(TRIM(K11),"'","''")&amp;"' AND estado = 1 LIMIT 1)")&amp;", p_id_referencia =&gt; "&amp;IF(TRIM(J11&amp;"")&lt;&gt;"","(SELECT lo.id FROM gen_lista_opciones lo JOIN gen_lista l ON l.id = lo.id_lista WHERE l.nombre = 'ReferenciaCilindro' AND upper(lo.nombre) = 'ALMACEN' AND lo.estado = 1 LIMIT 1)",IF(TRIM(K11&amp;"")&lt;&gt;"","(SELECT lo.id FROM gen_lista_opciones lo JOIN gen_lista l ON l.id = lo.id_lista WHERE l.nombre = 'ReferenciaCilindro' AND upper(lo.nombre) = 'CLIENTE' AND lo.estado = 1 LIMIT 1)","NULL"))&amp;", p_anio_fabricacion =&gt; "&amp;IF(M11&amp;""="","NULL::smallint",M11&amp;"::smallint")&amp;", p_mes_fabricacion =&gt; "&amp;IF(N11&amp;""="","NULL::smallint",N11&amp;"::smallint")&amp;", p_fecha_ultima_prueba_hidrostatica =&gt; "&amp;IF(O11&amp;""="","NULL","'"&amp;YEAR(O11)&amp;"-"&amp;TEXT(MONTH(O11),"00")&amp;"-"&amp;TEXT(DAY(O11),"00")&amp;"'")&amp;", p_numero_serie =&gt; "&amp;IF(TRIM(Q11&amp;"")="","NULL","'"&amp;SUBSTITUTE(TRIM(Q11),"'","''")&amp;"'")&amp;", p_id_marca_cilindro =&gt; "&amp;IF(TRIM(R11&amp;"")="","NULL","(SELECT lo.id FROM gen_lista_opciones lo JOIN gen_lista l ON l.id = lo.id_lista WHERE l.nombre = 'MarcaCilindro' AND upper(lo.nombre) = upper('"&amp;SUBSTITUTE(TRIM(R11),"'","''")&amp;"') AND lo.estado = 1 LIMIT 1)")&amp;", p_id_organo_inspector =&gt; "&amp;IF(TRIM(S11&amp;"")="","NULL","(SELECT lo.id FROM gen_lista_opciones lo JOIN gen_lista l ON l.id = lo.id_lista WHERE l.nombre = 'OrganoInspectorCilindro' AND upper(lo.nombre) = upper('"&amp;SUBSTITUTE(TRIM(S11),"'","''")&amp;"') AND lo.estado = 1 LIMIT 1)")&amp;", p_organo_inspector_no_aplica =&gt; "&amp;IF(S11="NO_APLICA","TRUE","FALSE")&amp;", p_presion_actual =&gt; "&amp;IF(T11&amp;""="","NULL",SUBSTITUTE(T11&amp;"",",","."))&amp;", p_tipo_valvula =&gt; "&amp;IF(TRIM(U11&amp;"")="","NULL","'"&amp;SUBSTITUTE(TRIM(U11),"'","''")&amp;"'")&amp;", p_libro_cilindro =&gt; "&amp;IF(TRIM(V11&amp;"")="","NULL","'"&amp;SUBSTITUTE(TRIM(V11),"'","''")&amp;"'")&amp;", p_pagina_libro =&gt; "&amp;IF(W11&amp;""="","NULL",SUBSTITUTE(W11&amp;"",",","."))&amp;", p_observacion =&gt; "&amp;IF(TRIM(X11&amp;"")="","NULL","'"&amp;SUBSTITUTE(TRIM(X11),"'","''")&amp;"'")&amp;") AS resultado_balon_"&amp;ROW()&amp;";")</f>
        <v/>
      </c>
    </row>
    <row r="12">
      <c r="A12" s="36" t="inlineStr">
        <is>
          <t>8</t>
        </is>
      </c>
      <c r="B12" s="25">
        <f>IF(AND(C12="",D12="",E12=""),"",IF(C12="","FALTA código balón",IF(D12="","FALTA tipo balón",IF(E12="","FALTA gas",IF(F12="","FALTA propietario",IF(AND(C12&lt;&gt;"",SUMPRODUCT(--($C$5:$C$1200=C12))&gt;1),"CÓDIGO BALÓN DUPLICADO",IF(AND(OR(UPPER(F12)="PLANTA",UPPER(F12)="CLIENTE"),G12=""),"FALTA doc propietario/planta",IF(AND(UPPER(F12)="PLANTA",G12="10175332796"),"PLANTA no puede ser RUC empresa","OK"))))))))</f>
        <v/>
      </c>
      <c r="C12" s="23" t="inlineStr">
        <is>
          <t>FC017120</t>
        </is>
      </c>
      <c r="D12" s="17" t="inlineStr">
        <is>
          <t>Argón Estándar 10 m3</t>
        </is>
      </c>
      <c r="E12" s="17" t="inlineStr">
        <is>
          <t>ARGON</t>
        </is>
      </c>
      <c r="F12" s="17" t="inlineStr">
        <is>
          <t>EMPRESA</t>
        </is>
      </c>
      <c r="G12" s="23" t="inlineStr">
        <is>
          <t>10175332796</t>
        </is>
      </c>
      <c r="H12" s="25" t="inlineStr">
        <is>
          <t>OXIGENO SARITA</t>
        </is>
      </c>
      <c r="I12" s="17" t="inlineStr">
        <is>
          <t>DISPONIBLE</t>
        </is>
      </c>
      <c r="J12" s="17" t="inlineStr">
        <is>
          <t>ALMACEN LAMBAYEQUE</t>
        </is>
      </c>
      <c r="K12" s="40" t="n"/>
      <c r="L12" s="25">
        <f t="array" ref="L12">IF(K12="","",IFERROR(IF(INDEX(Clientes!$D$5:$D$549,MATCH(K12,Clientes!$C$5:$C$549,0))&lt;&gt;"",INDEX(Clientes!$D$5:$D$549,MATCH(K12,Clientes!$C$5:$C$549,0)),TRIM(INDEX(Clientes!$E$5:$E$549,MATCH(K12,Clientes!$C$5:$C$549,0))&amp;" "&amp;INDEX(Clientes!$F$5:$F$549,MATCH(K12,Clientes!$C$5:$C$549,0)))),"NO EXISTE en Clientes"))</f>
        <v/>
      </c>
      <c r="M12" s="37" t="n">
        <v>2026</v>
      </c>
      <c r="N12" s="37" t="n">
        <v>8</v>
      </c>
      <c r="O12" s="38" t="n">
        <v>46252</v>
      </c>
      <c r="P12" s="39">
        <f>IF(O12&lt;&gt;"",DATE(YEAR(O12)+5,MONTH(O12),1),IF(AND(M12&lt;&gt;"",N12&lt;&gt;""),DATE(M12+5,N12,1),""))</f>
        <v/>
      </c>
      <c r="Q12" s="23" t="n"/>
      <c r="R12" s="17" t="inlineStr">
        <is>
          <t>SEFIC</t>
        </is>
      </c>
      <c r="S12" s="17" t="n"/>
      <c r="T12" s="17" t="n"/>
      <c r="U12" s="17" t="n"/>
      <c r="V12" s="23" t="n"/>
      <c r="W12" s="17" t="n"/>
      <c r="X12" s="17" t="inlineStr">
        <is>
          <t>PH ICP</t>
        </is>
      </c>
      <c r="Y12" s="28">
        <f>IF(B12&lt;&gt;"OK","","SELECT bal_crear_balon(p_codigo_balon =&gt; "&amp;IF(TRIM(C12&amp;"")="","NULL","'"&amp;SUBSTITUTE(TRIM(C12),"'","''")&amp;"'")&amp;", p_id_tipo_balon =&gt; "&amp;"(SELECT id FROM bal_tipo_balon WHERE upper(nombre) = upper('"&amp;SUBSTITUTE(TRIM(D12),"'","''")&amp;"') AND estado = 1 LIMIT 1)"&amp;", p_id_producto_gas =&gt; "&amp;"(SELECT id FROM pro_producto WHERE es_gas = TRUE AND upper(nombre) = upper('"&amp;SUBSTITUTE(TRIM(E12),"'","''")&amp;"') AND estado = 1 LIMIT 1)"&amp;", p_id_propietario =&gt; "&amp;IF(TRIM(F12&amp;"")="","NULL","(SELECT lo.id FROM gen_lista_opciones lo JOIN gen_lista l ON l.id = lo.id_lista WHERE l.nombre = 'PropietarioBalon' AND upper(lo.nombre) = upper('"&amp;SUBSTITUTE(TRIM(F12),"'","''")&amp;"') AND lo.estado = 1 LIMIT 1)")&amp;", p_id_cliente_propietario =&gt; "&amp;IF(F12="CLIENTE",IF(TRIM(G12&amp;"")="","NULL","(SELECT id FROM cli_clientes WHERE numero_documento = '"&amp;SUBSTITUTE(TRIM(G12),"'","''")&amp;"' AND estado = 1 LIMIT 1)"),"NULL")&amp;", p_id_planta =&gt; "&amp;IF(F12="PLANTA",IF(TRIM(G12&amp;"")="","NULL","(SELECT id FROM cli_clientes WHERE numero_documento = '"&amp;SUBSTITUTE(TRIM(G12),"'","''")&amp;"'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"&amp;IF(TRIM(J12&amp;"")="","NULL","(SELECT id FROM gen_almacen WHERE upper(nombre) = upper('"&amp;SUBSTITUTE(TRIM(J12),"'","''")&amp;"') AND estado = 1 LIMIT 1)")&amp;", p_id_cliente_ubicacion =&gt; "&amp;IF(TRIM(K12&amp;"")="","NULL","(SELECT id FROM cli_clientes WHERE numero_documento = '"&amp;SUBSTITUTE(TRIM(K12),"'","''")&amp;"' AND estado = 1 LIMIT 1)")&amp;", p_id_referencia =&gt; "&amp;IF(TRIM(J12&amp;"")&lt;&gt;"","(SELECT lo.id FROM gen_lista_opciones lo JOIN gen_lista l ON l.id = lo.id_lista WHERE l.nombre = 'ReferenciaCilindro' AND upper(lo.nombre) = 'ALMACEN' AND lo.estado = 1 LIMIT 1)",IF(TRIM(K12&amp;"")&lt;&gt;"","(SELECT lo.id FROM gen_lista_opciones lo JOIN gen_lista l ON l.id = lo.id_lista WHERE l.nombre = 'ReferenciaCilindro' AND upper(lo.nombre) = 'CLIENTE' AND lo.estado = 1 LIMIT 1)","NULL"))&amp;", p_anio_fabricacion =&gt; "&amp;IF(M12&amp;""="","NULL::smallint",M12&amp;"::smallint")&amp;", p_mes_fabricacion =&gt; "&amp;IF(N12&amp;""="","NULL::smallint",N12&amp;"::smallint")&amp;", p_fecha_ultima_prueba_hidrostatica =&gt; "&amp;IF(O12&amp;""="","NULL","'"&amp;YEAR(O12)&amp;"-"&amp;TEXT(MONTH(O12),"00")&amp;"-"&amp;TEXT(DAY(O12),"00")&amp;"'")&amp;", p_numero_serie =&gt; "&amp;IF(TRIM(Q12&amp;"")="","NULL","'"&amp;SUBSTITUTE(TRIM(Q12),"'","''")&amp;"'")&amp;", p_id_marca_cilindro =&gt; "&amp;IF(TRIM(R12&amp;"")="","NULL","(SELECT lo.id FROM gen_lista_opciones lo JOIN gen_lista l ON l.id = lo.id_lista WHERE l.nombre = 'MarcaCilindro' AND upper(lo.nombre) = upper('"&amp;SUBSTITUTE(TRIM(R12),"'","''")&amp;"') AND lo.estado = 1 LIMIT 1)")&amp;", p_id_organo_inspector =&gt; "&amp;IF(TRIM(S12&amp;"")="","NULL","(SELECT lo.id FROM gen_lista_opciones lo JOIN gen_lista l ON l.id = lo.id_lista WHERE l.nombre = 'OrganoInspectorCilindro' AND upper(lo.nombre) = upper('"&amp;SUBSTITUTE(TRIM(S12),"'","''")&amp;"') AND lo.estado = 1 LIMIT 1)")&amp;", p_organo_inspector_no_aplica =&gt; "&amp;IF(S12="NO_APLICA","TRUE","FALSE")&amp;", p_presion_actual =&gt; "&amp;IF(T12&amp;""="","NULL",SUBSTITUTE(T12&amp;"",",","."))&amp;", p_tipo_valvula =&gt; "&amp;IF(TRIM(U12&amp;"")="","NULL","'"&amp;SUBSTITUTE(TRIM(U12),"'","''")&amp;"'")&amp;", p_libro_cilindro =&gt; "&amp;IF(TRIM(V12&amp;"")="","NULL","'"&amp;SUBSTITUTE(TRIM(V12),"'","''")&amp;"'")&amp;", p_pagina_libro =&gt; "&amp;IF(W12&amp;""="","NULL",SUBSTITUTE(W12&amp;"",",","."))&amp;", p_observacion =&gt; "&amp;IF(TRIM(X12&amp;"")="","NULL","'"&amp;SUBSTITUTE(TRIM(X12),"'","''")&amp;"'")&amp;") AS resultado_balon_"&amp;ROW()&amp;";")</f>
        <v/>
      </c>
    </row>
    <row r="13">
      <c r="A13" s="36" t="inlineStr">
        <is>
          <t>9</t>
        </is>
      </c>
      <c r="B13" s="25">
        <f>IF(AND(C13="",D13="",E13=""),"",IF(C13="","FALTA código balón",IF(D13="","FALTA tipo balón",IF(E13="","FALTA gas",IF(F13="","FALTA propietario",IF(AND(C13&lt;&gt;"",SUMPRODUCT(--($C$5:$C$1200=C13))&gt;1),"CÓDIGO BALÓN DUPLICADO",IF(AND(OR(UPPER(F13)="PLANTA",UPPER(F13)="CLIENTE"),G13=""),"FALTA doc propietario/planta",IF(AND(UPPER(F13)="PLANTA",G13="10175332796"),"PLANTA no puede ser RUC empresa","OK"))))))))</f>
        <v/>
      </c>
      <c r="C13" s="23" t="inlineStr">
        <is>
          <t>20K301192</t>
        </is>
      </c>
      <c r="D13" s="17" t="inlineStr">
        <is>
          <t>Argón Estándar 10 m3</t>
        </is>
      </c>
      <c r="E13" s="17" t="inlineStr">
        <is>
          <t>ARGON</t>
        </is>
      </c>
      <c r="F13" s="17" t="inlineStr">
        <is>
          <t>EMPRESA</t>
        </is>
      </c>
      <c r="G13" s="23" t="inlineStr">
        <is>
          <t>10175332796</t>
        </is>
      </c>
      <c r="H13" s="25" t="inlineStr">
        <is>
          <t>OXIGENO SARITA</t>
        </is>
      </c>
      <c r="I13" s="17" t="inlineStr">
        <is>
          <t>EN_PODER_CLIENTE</t>
        </is>
      </c>
      <c r="J13" s="17" t="n"/>
      <c r="L13" s="25">
        <f t="array" ref="L13">IF(K249="","",IFERROR(IF(INDEX(Clientes!$D$5:$D$549,MATCH(K249,Clientes!$C$5:$C$549,0))&lt;&gt;"",INDEX(Clientes!$D$5:$D$549,MATCH(K249,Clientes!$C$5:$C$549,0)),TRIM(INDEX(Clientes!$E$5:$E$549,MATCH(K249,Clientes!$C$5:$C$549,0))&amp;" "&amp;INDEX(Clientes!$F$5:$F$549,MATCH(K249,Clientes!$C$5:$C$549,0)))),"NO EXISTE en Clientes"))</f>
        <v/>
      </c>
      <c r="M13" s="17" t="n"/>
      <c r="N13" s="17" t="n"/>
      <c r="O13" s="42" t="n"/>
      <c r="P13" s="39">
        <f>IF(O13&lt;&gt;"",DATE(YEAR(O13)+5,MONTH(O13),1),IF(AND(M13&lt;&gt;"",N13&lt;&gt;""),DATE(M13+5,N13,1),""))</f>
        <v/>
      </c>
      <c r="Q13" s="23" t="n"/>
      <c r="R13" s="17" t="n"/>
      <c r="S13" s="17" t="n"/>
      <c r="T13" s="17" t="n"/>
      <c r="U13" s="17" t="n"/>
      <c r="V13" s="23" t="n"/>
      <c r="W13" s="17" t="n"/>
      <c r="X13" s="17" t="n"/>
      <c r="Y13" s="28">
        <f>IF(B13&lt;&gt;"OK","","SELECT bal_crear_balon(p_codigo_balon =&gt; "&amp;IF(TRIM(C13&amp;"")="","NULL","'"&amp;SUBSTITUTE(TRIM(C13),"'","''")&amp;"'")&amp;", p_id_tipo_balon =&gt; "&amp;"(SELECT id FROM bal_tipo_balon WHERE upper(nombre) = upper('"&amp;SUBSTITUTE(TRIM(D13),"'","''")&amp;"') AND estado = 1 LIMIT 1)"&amp;", p_id_producto_gas =&gt; "&amp;"(SELECT id FROM pro_producto WHERE es_gas = TRUE AND upper(nombre) = upper('"&amp;SUBSTITUTE(TRIM(E13),"'","''")&amp;"') AND estado = 1 LIMIT 1)"&amp;", p_id_propietario =&gt; "&amp;IF(TRIM(F13&amp;"")="","NULL","(SELECT lo.id FROM gen_lista_opciones lo JOIN gen_lista l ON l.id = lo.id_lista WHERE l.nombre = 'PropietarioBalon' AND upper(lo.nombre) = upper('"&amp;SUBSTITUTE(TRIM(F13),"'","''")&amp;"') AND lo.estado = 1 LIMIT 1)")&amp;", p_id_cliente_propietario =&gt; "&amp;IF(F13="CLIENTE",IF(TRIM(G13&amp;"")="","NULL","(SELECT id FROM cli_clientes WHERE numero_documento = '"&amp;SUBSTITUTE(TRIM(G13),"'","''")&amp;"' AND estado = 1 LIMIT 1)"),"NULL")&amp;", p_id_planta =&gt; "&amp;IF(F13="PLANTA",IF(TRIM(G13&amp;"")="","NULL","(SELECT id FROM cli_clientes WHERE numero_documento = '"&amp;SUBSTITUTE(TRIM(G13),"'","''")&amp;"'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"&amp;IF(TRIM(J13&amp;"")="","NULL","(SELECT id FROM gen_almacen WHERE upper(nombre) = upper('"&amp;SUBSTITUTE(TRIM(J13),"'","''")&amp;"') AND estado = 1 LIMIT 1)")&amp;", p_id_cliente_ubicacion =&gt; "&amp;IF(TRIM(K13&amp;"")="","NULL","(SELECT id FROM cli_clientes WHERE numero_documento = '"&amp;SUBSTITUTE(TRIM(K13),"'","''")&amp;"' AND estado = 1 LIMIT 1)")&amp;", p_id_referencia =&gt; "&amp;IF(TRIM(J13&amp;"")&lt;&gt;"","(SELECT lo.id FROM gen_lista_opciones lo JOIN gen_lista l ON l.id = lo.id_lista WHERE l.nombre = 'ReferenciaCilindro' AND upper(lo.nombre) = 'ALMACEN' AND lo.estado = 1 LIMIT 1)",IF(TRIM(K13&amp;"")&lt;&gt;"","(SELECT lo.id FROM gen_lista_opciones lo JOIN gen_lista l ON l.id = lo.id_lista WHERE l.nombre = 'ReferenciaCilindro' AND upper(lo.nombre) = 'CLIENTE' AND lo.estado = 1 LIMIT 1)","NULL"))&amp;", p_anio_fabricacion =&gt; "&amp;IF(M13&amp;""="","NULL::smallint",M13&amp;"::smallint")&amp;", p_mes_fabricacion =&gt; "&amp;IF(N13&amp;""="","NULL::smallint",N13&amp;"::smallint")&amp;", p_fecha_ultima_prueba_hidrostatica =&gt; "&amp;IF(O13&amp;""="","NULL","'"&amp;YEAR(O13)&amp;"-"&amp;TEXT(MONTH(O13),"00")&amp;"-"&amp;TEXT(DAY(O13),"00")&amp;"'")&amp;", p_numero_serie =&gt; "&amp;IF(TRIM(Q13&amp;"")="","NULL","'"&amp;SUBSTITUTE(TRIM(Q13),"'","''")&amp;"'")&amp;", p_id_marca_cilindro =&gt; "&amp;IF(TRIM(R13&amp;"")="","NULL","(SELECT lo.id FROM gen_lista_opciones lo JOIN gen_lista l ON l.id = lo.id_lista WHERE l.nombre = 'MarcaCilindro' AND upper(lo.nombre) = upper('"&amp;SUBSTITUTE(TRIM(R13),"'","''")&amp;"') AND lo.estado = 1 LIMIT 1)")&amp;", p_id_organo_inspector =&gt; "&amp;IF(TRIM(S13&amp;"")="","NULL","(SELECT lo.id FROM gen_lista_opciones lo JOIN gen_lista l ON l.id = lo.id_lista WHERE l.nombre = 'OrganoInspectorCilindro' AND upper(lo.nombre) = upper('"&amp;SUBSTITUTE(TRIM(S13),"'","''")&amp;"') AND lo.estado = 1 LIMIT 1)")&amp;", p_organo_inspector_no_aplica =&gt; "&amp;IF(S13="NO_APLICA","TRUE","FALSE")&amp;", p_presion_actual =&gt; "&amp;IF(T13&amp;""="","NULL",SUBSTITUTE(T13&amp;"",",","."))&amp;", p_tipo_valvula =&gt; "&amp;IF(TRIM(U13&amp;"")="","NULL","'"&amp;SUBSTITUTE(TRIM(U13),"'","''")&amp;"'")&amp;", p_libro_cilindro =&gt; "&amp;IF(TRIM(V13&amp;"")="","NULL","'"&amp;SUBSTITUTE(TRIM(V13),"'","''")&amp;"'")&amp;", p_pagina_libro =&gt; "&amp;IF(W13&amp;""="","NULL",SUBSTITUTE(W13&amp;"",",","."))&amp;", p_observacion =&gt; "&amp;IF(TRIM(X13&amp;"")="","NULL","'"&amp;SUBSTITUTE(TRIM(X13),"'","''")&amp;"'")&amp;") AS resultado_balon_"&amp;ROW()&amp;";")</f>
        <v/>
      </c>
    </row>
    <row r="14">
      <c r="A14" s="36" t="inlineStr">
        <is>
          <t>10</t>
        </is>
      </c>
      <c r="B14" s="25">
        <f>IF(AND(C14="",D14="",E14=""),"",IF(C14="","FALTA código balón",IF(D14="","FALTA tipo balón",IF(E14="","FALTA gas",IF(F14="","FALTA propietario",IF(AND(C14&lt;&gt;"",SUMPRODUCT(--($C$5:$C$1200=C14))&gt;1),"CÓDIGO BALÓN DUPLICADO",IF(AND(OR(UPPER(F14)="PLANTA",UPPER(F14)="CLIENTE"),G14=""),"FALTA doc propietario/planta",IF(AND(UPPER(F14)="PLANTA",G14="10175332796"),"PLANTA no puede ser RUC empresa","OK"))))))))</f>
        <v/>
      </c>
      <c r="C14" s="23" t="inlineStr">
        <is>
          <t>20K301112</t>
        </is>
      </c>
      <c r="D14" s="17" t="inlineStr">
        <is>
          <t>Argón Estándar 10 m3</t>
        </is>
      </c>
      <c r="E14" s="17" t="inlineStr">
        <is>
          <t>ARGON</t>
        </is>
      </c>
      <c r="F14" s="17" t="inlineStr">
        <is>
          <t>EMPRESA</t>
        </is>
      </c>
      <c r="G14" s="23" t="inlineStr">
        <is>
          <t>10175332796</t>
        </is>
      </c>
      <c r="H14" s="25" t="inlineStr">
        <is>
          <t>OXIGENO SARITA</t>
        </is>
      </c>
      <c r="I14" s="17" t="inlineStr">
        <is>
          <t>EN_PODER_CLIENTE</t>
        </is>
      </c>
      <c r="J14" s="17" t="n"/>
      <c r="K14" s="40" t="inlineStr">
        <is>
          <t>10483897940</t>
        </is>
      </c>
      <c r="L14" s="25">
        <f t="array" ref="L14">IF(K14="","",IFERROR(IF(INDEX(Clientes!$D$5:$D$549,MATCH(K14,Clientes!$C$5:$C$549,0))&lt;&gt;"",INDEX(Clientes!$D$5:$D$549,MATCH(K14,Clientes!$C$5:$C$549,0)),TRIM(INDEX(Clientes!$E$5:$E$549,MATCH(K14,Clientes!$C$5:$C$549,0))&amp;" "&amp;INDEX(Clientes!$F$5:$F$549,MATCH(K14,Clientes!$C$5:$C$549,0)))),"NO EXISTE en Clientes"))</f>
        <v/>
      </c>
      <c r="M14" s="17" t="n"/>
      <c r="N14" s="17" t="n"/>
      <c r="O14" s="42" t="n"/>
      <c r="P14" s="39">
        <f>IF(O14&lt;&gt;"",DATE(YEAR(O14)+5,MONTH(O14),1),IF(AND(M14&lt;&gt;"",N14&lt;&gt;""),DATE(M14+5,N14,1),""))</f>
        <v/>
      </c>
      <c r="Q14" s="23" t="n"/>
      <c r="R14" s="17" t="n"/>
      <c r="S14" s="17" t="n"/>
      <c r="T14" s="17" t="n"/>
      <c r="U14" s="17" t="n"/>
      <c r="V14" s="23" t="n"/>
      <c r="W14" s="17" t="n"/>
      <c r="X14" s="17" t="n"/>
      <c r="Y14" s="28">
        <f>IF(B14&lt;&gt;"OK","","SELECT bal_crear_balon(p_codigo_balon =&gt; "&amp;IF(TRIM(C14&amp;"")="","NULL","'"&amp;SUBSTITUTE(TRIM(C14),"'","''")&amp;"'")&amp;", p_id_tipo_balon =&gt; "&amp;"(SELECT id FROM bal_tipo_balon WHERE upper(nombre) = upper('"&amp;SUBSTITUTE(TRIM(D14),"'","''")&amp;"') AND estado = 1 LIMIT 1)"&amp;", p_id_producto_gas =&gt; "&amp;"(SELECT id FROM pro_producto WHERE es_gas = TRUE AND upper(nombre) = upper('"&amp;SUBSTITUTE(TRIM(E14),"'","''")&amp;"') AND estado = 1 LIMIT 1)"&amp;", p_id_propietario =&gt; "&amp;IF(TRIM(F14&amp;"")="","NULL","(SELECT lo.id FROM gen_lista_opciones lo JOIN gen_lista l ON l.id = lo.id_lista WHERE l.nombre = 'PropietarioBalon' AND upper(lo.nombre) = upper('"&amp;SUBSTITUTE(TRIM(F14),"'","''")&amp;"') AND lo.estado = 1 LIMIT 1)")&amp;", p_id_cliente_propietario =&gt; "&amp;IF(F14="CLIENTE",IF(TRIM(G14&amp;"")="","NULL","(SELECT id FROM cli_clientes WHERE numero_documento = '"&amp;SUBSTITUTE(TRIM(G14),"'","''")&amp;"' AND estado = 1 LIMIT 1)"),"NULL")&amp;", p_id_planta =&gt; "&amp;IF(F14="PLANTA",IF(TRIM(G14&amp;"")="","NULL","(SELECT id FROM cli_clientes WHERE numero_documento = '"&amp;SUBSTITUTE(TRIM(G14),"'","''")&amp;"'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"&amp;IF(TRIM(J14&amp;"")="","NULL","(SELECT id FROM gen_almacen WHERE upper(nombre) = upper('"&amp;SUBSTITUTE(TRIM(J14),"'","''")&amp;"') AND estado = 1 LIMIT 1)")&amp;", p_id_cliente_ubicacion =&gt; "&amp;IF(TRIM(K14&amp;"")="","NULL","(SELECT id FROM cli_clientes WHERE numero_documento = '"&amp;SUBSTITUTE(TRIM(K14),"'","''")&amp;"' AND estado = 1 LIMIT 1)")&amp;", p_id_referencia =&gt; "&amp;IF(TRIM(J14&amp;"")&lt;&gt;"","(SELECT lo.id FROM gen_lista_opciones lo JOIN gen_lista l ON l.id = lo.id_lista WHERE l.nombre = 'ReferenciaCilindro' AND upper(lo.nombre) = 'ALMACEN' AND lo.estado = 1 LIMIT 1)",IF(TRIM(K14&amp;"")&lt;&gt;"","(SELECT lo.id FROM gen_lista_opciones lo JOIN gen_lista l ON l.id = lo.id_lista WHERE l.nombre = 'ReferenciaCilindro' AND upper(lo.nombre) = 'CLIENTE' AND lo.estado = 1 LIMIT 1)","NULL"))&amp;", p_anio_fabricacion =&gt; "&amp;IF(M14&amp;""="","NULL::smallint",M14&amp;"::smallint")&amp;", p_mes_fabricacion =&gt; "&amp;IF(N14&amp;""="","NULL::smallint",N14&amp;"::smallint")&amp;", p_fecha_ultima_prueba_hidrostatica =&gt; "&amp;IF(O14&amp;""="","NULL","'"&amp;YEAR(O14)&amp;"-"&amp;TEXT(MONTH(O14),"00")&amp;"-"&amp;TEXT(DAY(O14),"00")&amp;"'")&amp;", p_numero_serie =&gt; "&amp;IF(TRIM(Q14&amp;"")="","NULL","'"&amp;SUBSTITUTE(TRIM(Q14),"'","''")&amp;"'")&amp;", p_id_marca_cilindro =&gt; "&amp;IF(TRIM(R14&amp;"")="","NULL","(SELECT lo.id FROM gen_lista_opciones lo JOIN gen_lista l ON l.id = lo.id_lista WHERE l.nombre = 'MarcaCilindro' AND upper(lo.nombre) = upper('"&amp;SUBSTITUTE(TRIM(R14),"'","''")&amp;"') AND lo.estado = 1 LIMIT 1)")&amp;", p_id_organo_inspector =&gt; "&amp;IF(TRIM(S14&amp;"")="","NULL","(SELECT lo.id FROM gen_lista_opciones lo JOIN gen_lista l ON l.id = lo.id_lista WHERE l.nombre = 'OrganoInspectorCilindro' AND upper(lo.nombre) = upper('"&amp;SUBSTITUTE(TRIM(S14),"'","''")&amp;"') AND lo.estado = 1 LIMIT 1)")&amp;", p_organo_inspector_no_aplica =&gt; "&amp;IF(S14="NO_APLICA","TRUE","FALSE")&amp;", p_presion_actual =&gt; "&amp;IF(T14&amp;""="","NULL",SUBSTITUTE(T14&amp;"",",","."))&amp;", p_tipo_valvula =&gt; "&amp;IF(TRIM(U14&amp;"")="","NULL","'"&amp;SUBSTITUTE(TRIM(U14),"'","''")&amp;"'")&amp;", p_libro_cilindro =&gt; "&amp;IF(TRIM(V14&amp;"")="","NULL","'"&amp;SUBSTITUTE(TRIM(V14),"'","''")&amp;"'")&amp;", p_pagina_libro =&gt; "&amp;IF(W14&amp;""="","NULL",SUBSTITUTE(W14&amp;"",",","."))&amp;", p_observacion =&gt; "&amp;IF(TRIM(X14&amp;"")="","NULL","'"&amp;SUBSTITUTE(TRIM(X14),"'","''")&amp;"'")&amp;") AS resultado_balon_"&amp;ROW()&amp;";")</f>
        <v/>
      </c>
    </row>
    <row r="15">
      <c r="A15" s="36" t="inlineStr">
        <is>
          <t>11</t>
        </is>
      </c>
      <c r="B15" s="25">
        <f>IF(AND(C15="",D15="",E15=""),"",IF(C15="","FALTA código balón",IF(D15="","FALTA tipo balón",IF(E15="","FALTA gas",IF(F15="","FALTA propietario",IF(AND(C15&lt;&gt;"",SUMPRODUCT(--($C$5:$C$1200=C15))&gt;1),"CÓDIGO BALÓN DUPLICADO",IF(AND(OR(UPPER(F15)="PLANTA",UPPER(F15)="CLIENTE"),G15=""),"FALTA doc propietario/planta",IF(AND(UPPER(F15)="PLANTA",G15="10175332796"),"PLANTA no puede ser RUC empresa","OK"))))))))</f>
        <v/>
      </c>
      <c r="C15" s="23" t="inlineStr">
        <is>
          <t>20K303051</t>
        </is>
      </c>
      <c r="D15" s="17" t="inlineStr">
        <is>
          <t>Argón Estándar 10 m3</t>
        </is>
      </c>
      <c r="E15" s="17" t="inlineStr">
        <is>
          <t>ARGON</t>
        </is>
      </c>
      <c r="F15" s="17" t="inlineStr">
        <is>
          <t>EMPRESA</t>
        </is>
      </c>
      <c r="G15" s="23" t="inlineStr">
        <is>
          <t>10175332796</t>
        </is>
      </c>
      <c r="H15" s="25" t="inlineStr">
        <is>
          <t>OXIGENO SARITA</t>
        </is>
      </c>
      <c r="I15" s="17" t="inlineStr">
        <is>
          <t>EN_PODER_CLIENTE</t>
        </is>
      </c>
      <c r="J15" s="17" t="n"/>
      <c r="K15" s="40" t="inlineStr">
        <is>
          <t>20612446106</t>
        </is>
      </c>
      <c r="L15" s="25">
        <f t="array" ref="L15">IF(K15="","",IFERROR(IF(INDEX(Clientes!$D$5:$D$549,MATCH(K15,Clientes!$C$5:$C$549,0))&lt;&gt;"",INDEX(Clientes!$D$5:$D$549,MATCH(K15,Clientes!$C$5:$C$549,0)),TRIM(INDEX(Clientes!$E$5:$E$549,MATCH(K15,Clientes!$C$5:$C$549,0))&amp;" "&amp;INDEX(Clientes!$F$5:$F$549,MATCH(K15,Clientes!$C$5:$C$549,0)))),"NO EXISTE en Clientes"))</f>
        <v/>
      </c>
      <c r="M15" s="17" t="n"/>
      <c r="N15" s="17" t="n"/>
      <c r="O15" s="42" t="n"/>
      <c r="P15" s="39">
        <f>IF(O15&lt;&gt;"",DATE(YEAR(O15)+5,MONTH(O15),1),IF(AND(M15&lt;&gt;"",N15&lt;&gt;""),DATE(M15+5,N15,1),""))</f>
        <v/>
      </c>
      <c r="Q15" s="23" t="n"/>
      <c r="R15" s="17" t="n"/>
      <c r="S15" s="17" t="n"/>
      <c r="T15" s="17" t="n"/>
      <c r="U15" s="17" t="n"/>
      <c r="V15" s="23" t="n"/>
      <c r="W15" s="17" t="n"/>
      <c r="X15" s="17" t="n"/>
      <c r="Y15" s="28">
        <f>IF(B15&lt;&gt;"OK","","SELECT bal_crear_balon(p_codigo_balon =&gt; "&amp;IF(TRIM(C15&amp;"")="","NULL","'"&amp;SUBSTITUTE(TRIM(C15),"'","''")&amp;"'")&amp;", p_id_tipo_balon =&gt; "&amp;"(SELECT id FROM bal_tipo_balon WHERE upper(nombre) = upper('"&amp;SUBSTITUTE(TRIM(D15),"'","''")&amp;"') AND estado = 1 LIMIT 1)"&amp;", p_id_producto_gas =&gt; "&amp;"(SELECT id FROM pro_producto WHERE es_gas = TRUE AND upper(nombre) = upper('"&amp;SUBSTITUTE(TRIM(E15),"'","''")&amp;"') AND estado = 1 LIMIT 1)"&amp;", p_id_propietario =&gt; "&amp;IF(TRIM(F15&amp;"")="","NULL","(SELECT lo.id FROM gen_lista_opciones lo JOIN gen_lista l ON l.id = lo.id_lista WHERE l.nombre = 'PropietarioBalon' AND upper(lo.nombre) = upper('"&amp;SUBSTITUTE(TRIM(F15),"'","''")&amp;"') AND lo.estado = 1 LIMIT 1)")&amp;", p_id_cliente_propietario =&gt; "&amp;IF(F15="CLIENTE",IF(TRIM(G15&amp;"")="","NULL","(SELECT id FROM cli_clientes WHERE numero_documento = '"&amp;SUBSTITUTE(TRIM(G15),"'","''")&amp;"' AND estado = 1 LIMIT 1)"),"NULL")&amp;", p_id_planta =&gt; "&amp;IF(F15="PLANTA",IF(TRIM(G15&amp;"")="","NULL","(SELECT id FROM cli_clientes WHERE numero_documento = '"&amp;SUBSTITUTE(TRIM(G15),"'","''")&amp;"'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"&amp;IF(TRIM(J15&amp;"")="","NULL","(SELECT id FROM gen_almacen WHERE upper(nombre) = upper('"&amp;SUBSTITUTE(TRIM(J15),"'","''")&amp;"') AND estado = 1 LIMIT 1)")&amp;", p_id_cliente_ubicacion =&gt; "&amp;IF(TRIM(K15&amp;"")="","NULL","(SELECT id FROM cli_clientes WHERE numero_documento = '"&amp;SUBSTITUTE(TRIM(K15),"'","''")&amp;"' AND estado = 1 LIMIT 1)")&amp;", p_id_referencia =&gt; "&amp;IF(TRIM(J15&amp;"")&lt;&gt;"","(SELECT lo.id FROM gen_lista_opciones lo JOIN gen_lista l ON l.id = lo.id_lista WHERE l.nombre = 'ReferenciaCilindro' AND upper(lo.nombre) = 'ALMACEN' AND lo.estado = 1 LIMIT 1)",IF(TRIM(K15&amp;"")&lt;&gt;"","(SELECT lo.id FROM gen_lista_opciones lo JOIN gen_lista l ON l.id = lo.id_lista WHERE l.nombre = 'ReferenciaCilindro' AND upper(lo.nombre) = 'CLIENTE' AND lo.estado = 1 LIMIT 1)","NULL"))&amp;", p_anio_fabricacion =&gt; "&amp;IF(M15&amp;""="","NULL::smallint",M15&amp;"::smallint")&amp;", p_mes_fabricacion =&gt; "&amp;IF(N15&amp;""="","NULL::smallint",N15&amp;"::smallint")&amp;", p_fecha_ultima_prueba_hidrostatica =&gt; "&amp;IF(O15&amp;""="","NULL","'"&amp;YEAR(O15)&amp;"-"&amp;TEXT(MONTH(O15),"00")&amp;"-"&amp;TEXT(DAY(O15),"00")&amp;"'")&amp;", p_numero_serie =&gt; "&amp;IF(TRIM(Q15&amp;"")="","NULL","'"&amp;SUBSTITUTE(TRIM(Q15),"'","''")&amp;"'")&amp;", p_id_marca_cilindro =&gt; "&amp;IF(TRIM(R15&amp;"")="","NULL","(SELECT lo.id FROM gen_lista_opciones lo JOIN gen_lista l ON l.id = lo.id_lista WHERE l.nombre = 'MarcaCilindro' AND upper(lo.nombre) = upper('"&amp;SUBSTITUTE(TRIM(R15),"'","''")&amp;"') AND lo.estado = 1 LIMIT 1)")&amp;", p_id_organo_inspector =&gt; "&amp;IF(TRIM(S15&amp;"")="","NULL","(SELECT lo.id FROM gen_lista_opciones lo JOIN gen_lista l ON l.id = lo.id_lista WHERE l.nombre = 'OrganoInspectorCilindro' AND upper(lo.nombre) = upper('"&amp;SUBSTITUTE(TRIM(S15),"'","''")&amp;"') AND lo.estado = 1 LIMIT 1)")&amp;", p_organo_inspector_no_aplica =&gt; "&amp;IF(S15="NO_APLICA","TRUE","FALSE")&amp;", p_presion_actual =&gt; "&amp;IF(T15&amp;""="","NULL",SUBSTITUTE(T15&amp;"",",","."))&amp;", p_tipo_valvula =&gt; "&amp;IF(TRIM(U15&amp;"")="","NULL","'"&amp;SUBSTITUTE(TRIM(U15),"'","''")&amp;"'")&amp;", p_libro_cilindro =&gt; "&amp;IF(TRIM(V15&amp;"")="","NULL","'"&amp;SUBSTITUTE(TRIM(V15),"'","''")&amp;"'")&amp;", p_pagina_libro =&gt; "&amp;IF(W15&amp;""="","NULL",SUBSTITUTE(W15&amp;"",",","."))&amp;", p_observacion =&gt; "&amp;IF(TRIM(X15&amp;"")="","NULL","'"&amp;SUBSTITUTE(TRIM(X15),"'","''")&amp;"'")&amp;") AS resultado_balon_"&amp;ROW()&amp;";")</f>
        <v/>
      </c>
    </row>
    <row r="16">
      <c r="A16" s="36" t="inlineStr">
        <is>
          <t>12</t>
        </is>
      </c>
      <c r="B16" s="25">
        <f>IF(AND(C16="",D16="",E16=""),"",IF(C16="","FALTA código balón",IF(D16="","FALTA tipo balón",IF(E16="","FALTA gas",IF(F16="","FALTA propietario",IF(AND(C16&lt;&gt;"",SUMPRODUCT(--($C$5:$C$1200=C16))&gt;1),"CÓDIGO BALÓN DUPLICADO",IF(AND(OR(UPPER(F16)="PLANTA",UPPER(F16)="CLIENTE"),G16=""),"FALTA doc propietario/planta",IF(AND(UPPER(F16)="PLANTA",G16="10175332796"),"PLANTA no puede ser RUC empresa","OK"))))))))</f>
        <v/>
      </c>
      <c r="C16" s="23" t="inlineStr">
        <is>
          <t>B20168</t>
        </is>
      </c>
      <c r="D16" s="17" t="inlineStr">
        <is>
          <t>Argón Estándar 10 m3</t>
        </is>
      </c>
      <c r="E16" s="17" t="inlineStr">
        <is>
          <t>ARGON</t>
        </is>
      </c>
      <c r="F16" s="17" t="inlineStr">
        <is>
          <t>EMPRESA</t>
        </is>
      </c>
      <c r="G16" s="23" t="inlineStr">
        <is>
          <t>10175332796</t>
        </is>
      </c>
      <c r="H16" s="25" t="inlineStr">
        <is>
          <t>OXIGENO SARITA</t>
        </is>
      </c>
      <c r="I16" s="17" t="inlineStr">
        <is>
          <t>EN_PODER_CLIENTE</t>
        </is>
      </c>
      <c r="J16" s="17" t="n"/>
      <c r="K16" s="40" t="inlineStr">
        <is>
          <t>20608737848</t>
        </is>
      </c>
      <c r="L16" s="25">
        <f t="array" ref="L16">IF(K16="","",IFERROR(IF(INDEX(Clientes!$D$5:$D$549,MATCH(K16,Clientes!$C$5:$C$549,0))&lt;&gt;"",INDEX(Clientes!$D$5:$D$549,MATCH(K16,Clientes!$C$5:$C$549,0)),TRIM(INDEX(Clientes!$E$5:$E$549,MATCH(K16,Clientes!$C$5:$C$549,0))&amp;" "&amp;INDEX(Clientes!$F$5:$F$549,MATCH(K16,Clientes!$C$5:$C$549,0)))),"NO EXISTE en Clientes"))</f>
        <v/>
      </c>
      <c r="M16" s="17" t="n"/>
      <c r="N16" s="17" t="n"/>
      <c r="O16" s="42" t="n"/>
      <c r="P16" s="39">
        <f>IF(O16&lt;&gt;"",DATE(YEAR(O16)+5,MONTH(O16),1),IF(AND(M16&lt;&gt;"",N16&lt;&gt;""),DATE(M16+5,N16,1),""))</f>
        <v/>
      </c>
      <c r="Q16" s="23" t="n"/>
      <c r="R16" s="17" t="n"/>
      <c r="S16" s="17" t="n"/>
      <c r="T16" s="17" t="n"/>
      <c r="U16" s="17" t="n"/>
      <c r="V16" s="23" t="n"/>
      <c r="W16" s="17" t="n"/>
      <c r="X16" s="17" t="n"/>
      <c r="Y16" s="28">
        <f>IF(B16&lt;&gt;"OK","","SELECT bal_crear_balon(p_codigo_balon =&gt; "&amp;IF(TRIM(C16&amp;"")="","NULL","'"&amp;SUBSTITUTE(TRIM(C16),"'","''")&amp;"'")&amp;", p_id_tipo_balon =&gt; "&amp;"(SELECT id FROM bal_tipo_balon WHERE upper(nombre) = upper('"&amp;SUBSTITUTE(TRIM(D16),"'","''")&amp;"') AND estado = 1 LIMIT 1)"&amp;", p_id_producto_gas =&gt; "&amp;"(SELECT id FROM pro_producto WHERE es_gas = TRUE AND upper(nombre) = upper('"&amp;SUBSTITUTE(TRIM(E16),"'","''")&amp;"') AND estado = 1 LIMIT 1)"&amp;", p_id_propietario =&gt; "&amp;IF(TRIM(F16&amp;"")="","NULL","(SELECT lo.id FROM gen_lista_opciones lo JOIN gen_lista l ON l.id = lo.id_lista WHERE l.nombre = 'PropietarioBalon' AND upper(lo.nombre) = upper('"&amp;SUBSTITUTE(TRIM(F16),"'","''")&amp;"') AND lo.estado = 1 LIMIT 1)")&amp;", p_id_cliente_propietario =&gt; "&amp;IF(F16="CLIENTE",IF(TRIM(G16&amp;"")="","NULL","(SELECT id FROM cli_clientes WHERE numero_documento = '"&amp;SUBSTITUTE(TRIM(G16),"'","''")&amp;"' AND estado = 1 LIMIT 1)"),"NULL")&amp;", p_id_planta =&gt; "&amp;IF(F16="PLANTA",IF(TRIM(G16&amp;"")="","NULL","(SELECT id FROM cli_clientes WHERE numero_documento = '"&amp;SUBSTITUTE(TRIM(G16),"'","''")&amp;"'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"&amp;IF(TRIM(J16&amp;"")="","NULL","(SELECT id FROM gen_almacen WHERE upper(nombre) = upper('"&amp;SUBSTITUTE(TRIM(J16),"'","''")&amp;"') AND estado = 1 LIMIT 1)")&amp;", p_id_cliente_ubicacion =&gt; "&amp;IF(TRIM(K16&amp;"")="","NULL","(SELECT id FROM cli_clientes WHERE numero_documento = '"&amp;SUBSTITUTE(TRIM(K16),"'","''")&amp;"' AND estado = 1 LIMIT 1)")&amp;", p_id_referencia =&gt; "&amp;IF(TRIM(J16&amp;"")&lt;&gt;"","(SELECT lo.id FROM gen_lista_opciones lo JOIN gen_lista l ON l.id = lo.id_lista WHERE l.nombre = 'ReferenciaCilindro' AND upper(lo.nombre) = 'ALMACEN' AND lo.estado = 1 LIMIT 1)",IF(TRIM(K16&amp;"")&lt;&gt;"","(SELECT lo.id FROM gen_lista_opciones lo JOIN gen_lista l ON l.id = lo.id_lista WHERE l.nombre = 'ReferenciaCilindro' AND upper(lo.nombre) = 'CLIENTE' AND lo.estado = 1 LIMIT 1)","NULL"))&amp;", p_anio_fabricacion =&gt; "&amp;IF(M16&amp;""="","NULL::smallint",M16&amp;"::smallint")&amp;", p_mes_fabricacion =&gt; "&amp;IF(N16&amp;""="","NULL::smallint",N16&amp;"::smallint")&amp;", p_fecha_ultima_prueba_hidrostatica =&gt; "&amp;IF(O16&amp;""="","NULL","'"&amp;YEAR(O16)&amp;"-"&amp;TEXT(MONTH(O16),"00")&amp;"-"&amp;TEXT(DAY(O16),"00")&amp;"'")&amp;", p_numero_serie =&gt; "&amp;IF(TRIM(Q16&amp;"")="","NULL","'"&amp;SUBSTITUTE(TRIM(Q16),"'","''")&amp;"'")&amp;", p_id_marca_cilindro =&gt; "&amp;IF(TRIM(R16&amp;"")="","NULL","(SELECT lo.id FROM gen_lista_opciones lo JOIN gen_lista l ON l.id = lo.id_lista WHERE l.nombre = 'MarcaCilindro' AND upper(lo.nombre) = upper('"&amp;SUBSTITUTE(TRIM(R16),"'","''")&amp;"') AND lo.estado = 1 LIMIT 1)")&amp;", p_id_organo_inspector =&gt; "&amp;IF(TRIM(S16&amp;"")="","NULL","(SELECT lo.id FROM gen_lista_opciones lo JOIN gen_lista l ON l.id = lo.id_lista WHERE l.nombre = 'OrganoInspectorCilindro' AND upper(lo.nombre) = upper('"&amp;SUBSTITUTE(TRIM(S16),"'","''")&amp;"') AND lo.estado = 1 LIMIT 1)")&amp;", p_organo_inspector_no_aplica =&gt; "&amp;IF(S16="NO_APLICA","TRUE","FALSE")&amp;", p_presion_actual =&gt; "&amp;IF(T16&amp;""="","NULL",SUBSTITUTE(T16&amp;"",",","."))&amp;", p_tipo_valvula =&gt; "&amp;IF(TRIM(U16&amp;"")="","NULL","'"&amp;SUBSTITUTE(TRIM(U16),"'","''")&amp;"'")&amp;", p_libro_cilindro =&gt; "&amp;IF(TRIM(V16&amp;"")="","NULL","'"&amp;SUBSTITUTE(TRIM(V16),"'","''")&amp;"'")&amp;", p_pagina_libro =&gt; "&amp;IF(W16&amp;""="","NULL",SUBSTITUTE(W16&amp;"",",","."))&amp;", p_observacion =&gt; "&amp;IF(TRIM(X16&amp;"")="","NULL","'"&amp;SUBSTITUTE(TRIM(X16),"'","''")&amp;"'")&amp;") AS resultado_balon_"&amp;ROW()&amp;";")</f>
        <v/>
      </c>
    </row>
    <row r="17">
      <c r="A17" s="36" t="inlineStr">
        <is>
          <t>13</t>
        </is>
      </c>
      <c r="B17" s="25">
        <f>IF(AND(C17="",D17="",E17=""),"",IF(C17="","FALTA código balón",IF(D17="","FALTA tipo balón",IF(E17="","FALTA gas",IF(F17="","FALTA propietario",IF(AND(C17&lt;&gt;"",SUMPRODUCT(--($C$5:$C$1200=C17))&gt;1),"CÓDIGO BALÓN DUPLICADO",IF(AND(OR(UPPER(F17)="PLANTA",UPPER(F17)="CLIENTE"),G17=""),"FALTA doc propietario/planta",IF(AND(UPPER(F17)="PLANTA",G17="10175332796"),"PLANTA no puede ser RUC empresa","OK"))))))))</f>
        <v/>
      </c>
      <c r="C17" s="23" t="inlineStr">
        <is>
          <t>K4615182</t>
        </is>
      </c>
      <c r="D17" s="17" t="inlineStr">
        <is>
          <t>Argón Estándar 10 m3</t>
        </is>
      </c>
      <c r="E17" s="17" t="inlineStr">
        <is>
          <t>ARGON</t>
        </is>
      </c>
      <c r="F17" s="17" t="inlineStr">
        <is>
          <t>EMPRESA</t>
        </is>
      </c>
      <c r="G17" s="23" t="inlineStr">
        <is>
          <t>10175332796</t>
        </is>
      </c>
      <c r="H17" s="25" t="inlineStr">
        <is>
          <t>OXIGENO SARITA</t>
        </is>
      </c>
      <c r="I17" s="17" t="inlineStr">
        <is>
          <t>EN_PODER_CLIENTE</t>
        </is>
      </c>
      <c r="J17" s="17" t="n"/>
      <c r="K17" s="40" t="inlineStr">
        <is>
          <t>20614101939</t>
        </is>
      </c>
      <c r="L17" s="25">
        <f t="array" ref="L17">IF(K17="","",IFERROR(IF(INDEX(Clientes!$D$5:$D$549,MATCH(K17,Clientes!$C$5:$C$549,0))&lt;&gt;"",INDEX(Clientes!$D$5:$D$549,MATCH(K17,Clientes!$C$5:$C$549,0)),TRIM(INDEX(Clientes!$E$5:$E$549,MATCH(K17,Clientes!$C$5:$C$549,0))&amp;" "&amp;INDEX(Clientes!$F$5:$F$549,MATCH(K17,Clientes!$C$5:$C$549,0)))),"NO EXISTE en Clientes"))</f>
        <v/>
      </c>
      <c r="M17" s="17" t="n"/>
      <c r="N17" s="17" t="n"/>
      <c r="O17" s="42" t="n"/>
      <c r="P17" s="39">
        <f>IF(O17&lt;&gt;"",DATE(YEAR(O17)+5,MONTH(O17),1),IF(AND(M17&lt;&gt;"",N17&lt;&gt;""),DATE(M17+5,N17,1),""))</f>
        <v/>
      </c>
      <c r="Q17" s="23" t="n"/>
      <c r="R17" s="17" t="n"/>
      <c r="S17" s="17" t="n"/>
      <c r="T17" s="17" t="n"/>
      <c r="U17" s="17" t="n"/>
      <c r="V17" s="23" t="n"/>
      <c r="W17" s="17" t="n"/>
      <c r="X17" s="17" t="n"/>
      <c r="Y17" s="28">
        <f>IF(B17&lt;&gt;"OK","","SELECT bal_crear_balon(p_codigo_balon =&gt; "&amp;IF(TRIM(C17&amp;"")="","NULL","'"&amp;SUBSTITUTE(TRIM(C17),"'","''")&amp;"'")&amp;", p_id_tipo_balon =&gt; "&amp;"(SELECT id FROM bal_tipo_balon WHERE upper(nombre) = upper('"&amp;SUBSTITUTE(TRIM(D17),"'","''")&amp;"') AND estado = 1 LIMIT 1)"&amp;", p_id_producto_gas =&gt; "&amp;"(SELECT id FROM pro_producto WHERE es_gas = TRUE AND upper(nombre) = upper('"&amp;SUBSTITUTE(TRIM(E17),"'","''")&amp;"') AND estado = 1 LIMIT 1)"&amp;", p_id_propietario =&gt; "&amp;IF(TRIM(F17&amp;"")="","NULL","(SELECT lo.id FROM gen_lista_opciones lo JOIN gen_lista l ON l.id = lo.id_lista WHERE l.nombre = 'PropietarioBalon' AND upper(lo.nombre) = upper('"&amp;SUBSTITUTE(TRIM(F17),"'","''")&amp;"') AND lo.estado = 1 LIMIT 1)")&amp;", p_id_cliente_propietario =&gt; "&amp;IF(F17="CLIENTE",IF(TRIM(G17&amp;"")="","NULL","(SELECT id FROM cli_clientes WHERE numero_documento = '"&amp;SUBSTITUTE(TRIM(G17),"'","''")&amp;"' AND estado = 1 LIMIT 1)"),"NULL")&amp;", p_id_planta =&gt; "&amp;IF(F17="PLANTA",IF(TRIM(G17&amp;"")="","NULL","(SELECT id FROM cli_clientes WHERE numero_documento = '"&amp;SUBSTITUTE(TRIM(G17),"'","''")&amp;"'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"&amp;IF(TRIM(J17&amp;"")="","NULL","(SELECT id FROM gen_almacen WHERE upper(nombre) = upper('"&amp;SUBSTITUTE(TRIM(J17),"'","''")&amp;"') AND estado = 1 LIMIT 1)")&amp;", p_id_cliente_ubicacion =&gt; "&amp;IF(TRIM(K17&amp;"")="","NULL","(SELECT id FROM cli_clientes WHERE numero_documento = '"&amp;SUBSTITUTE(TRIM(K17),"'","''")&amp;"' AND estado = 1 LIMIT 1)")&amp;", p_id_referencia =&gt; "&amp;IF(TRIM(J17&amp;"")&lt;&gt;"","(SELECT lo.id FROM gen_lista_opciones lo JOIN gen_lista l ON l.id = lo.id_lista WHERE l.nombre = 'ReferenciaCilindro' AND upper(lo.nombre) = 'ALMACEN' AND lo.estado = 1 LIMIT 1)",IF(TRIM(K17&amp;"")&lt;&gt;"","(SELECT lo.id FROM gen_lista_opciones lo JOIN gen_lista l ON l.id = lo.id_lista WHERE l.nombre = 'ReferenciaCilindro' AND upper(lo.nombre) = 'CLIENTE' AND lo.estado = 1 LIMIT 1)","NULL"))&amp;", p_anio_fabricacion =&gt; "&amp;IF(M17&amp;""="","NULL::smallint",M17&amp;"::smallint")&amp;", p_mes_fabricacion =&gt; "&amp;IF(N17&amp;""="","NULL::smallint",N17&amp;"::smallint")&amp;", p_fecha_ultima_prueba_hidrostatica =&gt; "&amp;IF(O17&amp;""="","NULL","'"&amp;YEAR(O17)&amp;"-"&amp;TEXT(MONTH(O17),"00")&amp;"-"&amp;TEXT(DAY(O17),"00")&amp;"'")&amp;", p_numero_serie =&gt; "&amp;IF(TRIM(Q17&amp;"")="","NULL","'"&amp;SUBSTITUTE(TRIM(Q17),"'","''")&amp;"'")&amp;", p_id_marca_cilindro =&gt; "&amp;IF(TRIM(R17&amp;"")="","NULL","(SELECT lo.id FROM gen_lista_opciones lo JOIN gen_lista l ON l.id = lo.id_lista WHERE l.nombre = 'MarcaCilindro' AND upper(lo.nombre) = upper('"&amp;SUBSTITUTE(TRIM(R17),"'","''")&amp;"') AND lo.estado = 1 LIMIT 1)")&amp;", p_id_organo_inspector =&gt; "&amp;IF(TRIM(S17&amp;"")="","NULL","(SELECT lo.id FROM gen_lista_opciones lo JOIN gen_lista l ON l.id = lo.id_lista WHERE l.nombre = 'OrganoInspectorCilindro' AND upper(lo.nombre) = upper('"&amp;SUBSTITUTE(TRIM(S17),"'","''")&amp;"') AND lo.estado = 1 LIMIT 1)")&amp;", p_organo_inspector_no_aplica =&gt; "&amp;IF(S17="NO_APLICA","TRUE","FALSE")&amp;", p_presion_actual =&gt; "&amp;IF(T17&amp;""="","NULL",SUBSTITUTE(T17&amp;"",",","."))&amp;", p_tipo_valvula =&gt; "&amp;IF(TRIM(U17&amp;"")="","NULL","'"&amp;SUBSTITUTE(TRIM(U17),"'","''")&amp;"'")&amp;", p_libro_cilindro =&gt; "&amp;IF(TRIM(V17&amp;"")="","NULL","'"&amp;SUBSTITUTE(TRIM(V17),"'","''")&amp;"'")&amp;", p_pagina_libro =&gt; "&amp;IF(W17&amp;""="","NULL",SUBSTITUTE(W17&amp;"",",","."))&amp;", p_observacion =&gt; "&amp;IF(TRIM(X17&amp;"")="","NULL","'"&amp;SUBSTITUTE(TRIM(X17),"'","''")&amp;"'")&amp;") AS resultado_balon_"&amp;ROW()&amp;";")</f>
        <v/>
      </c>
    </row>
    <row r="18">
      <c r="A18" s="36" t="inlineStr">
        <is>
          <t>14</t>
        </is>
      </c>
      <c r="B18" s="25">
        <f>IF(AND(C18="",D18="",E18=""),"",IF(C18="","FALTA código balón",IF(D18="","FALTA tipo balón",IF(E18="","FALTA gas",IF(F18="","FALTA propietario",IF(AND(C18&lt;&gt;"",SUMPRODUCT(--($C$5:$C$1200=C18))&gt;1),"CÓDIGO BALÓN DUPLICADO",IF(AND(OR(UPPER(F18)="PLANTA",UPPER(F18)="CLIENTE"),G18=""),"FALTA doc propietario/planta",IF(AND(UPPER(F18)="PLANTA",G18="10175332796"),"PLANTA no puede ser RUC empresa","OK"))))))))</f>
        <v/>
      </c>
      <c r="C18" s="23" t="inlineStr">
        <is>
          <t>22K035086</t>
        </is>
      </c>
      <c r="D18" s="17" t="inlineStr">
        <is>
          <t>Argón Estándar 10 m3</t>
        </is>
      </c>
      <c r="E18" s="17" t="inlineStr">
        <is>
          <t>ARGON</t>
        </is>
      </c>
      <c r="F18" s="17" t="inlineStr">
        <is>
          <t>EMPRESA</t>
        </is>
      </c>
      <c r="G18" s="23" t="inlineStr">
        <is>
          <t>10175332796</t>
        </is>
      </c>
      <c r="H18" s="25" t="inlineStr">
        <is>
          <t>OXIGENO SARITA</t>
        </is>
      </c>
      <c r="I18" s="17" t="inlineStr">
        <is>
          <t>EN_PODER_CLIENTE</t>
        </is>
      </c>
      <c r="J18" s="17" t="n"/>
      <c r="K18" s="40" t="inlineStr">
        <is>
          <t>20480319860</t>
        </is>
      </c>
      <c r="L18" s="25">
        <f t="array" ref="L18">IF(K18="","",IFERROR(IF(INDEX(Clientes!$D$5:$D$549,MATCH(K18,Clientes!$C$5:$C$549,0))&lt;&gt;"",INDEX(Clientes!$D$5:$D$549,MATCH(K18,Clientes!$C$5:$C$549,0)),TRIM(INDEX(Clientes!$E$5:$E$549,MATCH(K18,Clientes!$C$5:$C$549,0))&amp;" "&amp;INDEX(Clientes!$F$5:$F$549,MATCH(K18,Clientes!$C$5:$C$549,0)))),"NO EXISTE en Clientes"))</f>
        <v/>
      </c>
      <c r="M18" s="17" t="n"/>
      <c r="N18" s="17" t="n"/>
      <c r="O18" s="42" t="n"/>
      <c r="P18" s="39">
        <f>IF(O18&lt;&gt;"",DATE(YEAR(O18)+5,MONTH(O18),1),IF(AND(M18&lt;&gt;"",N18&lt;&gt;""),DATE(M18+5,N18,1),""))</f>
        <v/>
      </c>
      <c r="Q18" s="23" t="n"/>
      <c r="R18" s="17" t="n"/>
      <c r="S18" s="17" t="n"/>
      <c r="T18" s="17" t="n"/>
      <c r="U18" s="17" t="n"/>
      <c r="V18" s="23" t="n"/>
      <c r="W18" s="17" t="n"/>
      <c r="X18" s="17" t="n"/>
      <c r="Y18" s="28">
        <f>IF(B18&lt;&gt;"OK","","SELECT bal_crear_balon(p_codigo_balon =&gt; "&amp;IF(TRIM(C18&amp;"")="","NULL","'"&amp;SUBSTITUTE(TRIM(C18),"'","''")&amp;"'")&amp;", p_id_tipo_balon =&gt; "&amp;"(SELECT id FROM bal_tipo_balon WHERE upper(nombre) = upper('"&amp;SUBSTITUTE(TRIM(D18),"'","''")&amp;"') AND estado = 1 LIMIT 1)"&amp;", p_id_producto_gas =&gt; "&amp;"(SELECT id FROM pro_producto WHERE es_gas = TRUE AND upper(nombre) = upper('"&amp;SUBSTITUTE(TRIM(E18),"'","''")&amp;"') AND estado = 1 LIMIT 1)"&amp;", p_id_propietario =&gt; "&amp;IF(TRIM(F18&amp;"")="","NULL","(SELECT lo.id FROM gen_lista_opciones lo JOIN gen_lista l ON l.id = lo.id_lista WHERE l.nombre = 'PropietarioBalon' AND upper(lo.nombre) = upper('"&amp;SUBSTITUTE(TRIM(F18),"'","''")&amp;"') AND lo.estado = 1 LIMIT 1)")&amp;", p_id_cliente_propietario =&gt; "&amp;IF(F18="CLIENTE",IF(TRIM(G18&amp;"")="","NULL","(SELECT id FROM cli_clientes WHERE numero_documento = '"&amp;SUBSTITUTE(TRIM(G18),"'","''")&amp;"' AND estado = 1 LIMIT 1)"),"NULL")&amp;", p_id_planta =&gt; "&amp;IF(F18="PLANTA",IF(TRIM(G18&amp;"")="","NULL","(SELECT id FROM cli_clientes WHERE numero_documento = '"&amp;SUBSTITUTE(TRIM(G18),"'","''")&amp;"'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"&amp;IF(TRIM(J18&amp;"")="","NULL","(SELECT id FROM gen_almacen WHERE upper(nombre) = upper('"&amp;SUBSTITUTE(TRIM(J18),"'","''")&amp;"') AND estado = 1 LIMIT 1)")&amp;", p_id_cliente_ubicacion =&gt; "&amp;IF(TRIM(K18&amp;"")="","NULL","(SELECT id FROM cli_clientes WHERE numero_documento = '"&amp;SUBSTITUTE(TRIM(K18),"'","''")&amp;"' AND estado = 1 LIMIT 1)")&amp;", p_id_referencia =&gt; "&amp;IF(TRIM(J18&amp;"")&lt;&gt;"","(SELECT lo.id FROM gen_lista_opciones lo JOIN gen_lista l ON l.id = lo.id_lista WHERE l.nombre = 'ReferenciaCilindro' AND upper(lo.nombre) = 'ALMACEN' AND lo.estado = 1 LIMIT 1)",IF(TRIM(K18&amp;"")&lt;&gt;"","(SELECT lo.id FROM gen_lista_opciones lo JOIN gen_lista l ON l.id = lo.id_lista WHERE l.nombre = 'ReferenciaCilindro' AND upper(lo.nombre) = 'CLIENTE' AND lo.estado = 1 LIMIT 1)","NULL"))&amp;", p_anio_fabricacion =&gt; "&amp;IF(M18&amp;""="","NULL::smallint",M18&amp;"::smallint")&amp;", p_mes_fabricacion =&gt; "&amp;IF(N18&amp;""="","NULL::smallint",N18&amp;"::smallint")&amp;", p_fecha_ultima_prueba_hidrostatica =&gt; "&amp;IF(O18&amp;""="","NULL","'"&amp;YEAR(O18)&amp;"-"&amp;TEXT(MONTH(O18),"00")&amp;"-"&amp;TEXT(DAY(O18),"00")&amp;"'")&amp;", p_numero_serie =&gt; "&amp;IF(TRIM(Q18&amp;"")="","NULL","'"&amp;SUBSTITUTE(TRIM(Q18),"'","''")&amp;"'")&amp;", p_id_marca_cilindro =&gt; "&amp;IF(TRIM(R18&amp;"")="","NULL","(SELECT lo.id FROM gen_lista_opciones lo JOIN gen_lista l ON l.id = lo.id_lista WHERE l.nombre = 'MarcaCilindro' AND upper(lo.nombre) = upper('"&amp;SUBSTITUTE(TRIM(R18),"'","''")&amp;"') AND lo.estado = 1 LIMIT 1)")&amp;", p_id_organo_inspector =&gt; "&amp;IF(TRIM(S18&amp;"")="","NULL","(SELECT lo.id FROM gen_lista_opciones lo JOIN gen_lista l ON l.id = lo.id_lista WHERE l.nombre = 'OrganoInspectorCilindro' AND upper(lo.nombre) = upper('"&amp;SUBSTITUTE(TRIM(S18),"'","''")&amp;"') AND lo.estado = 1 LIMIT 1)")&amp;", p_organo_inspector_no_aplica =&gt; "&amp;IF(S18="NO_APLICA","TRUE","FALSE")&amp;", p_presion_actual =&gt; "&amp;IF(T18&amp;""="","NULL",SUBSTITUTE(T18&amp;"",",","."))&amp;", p_tipo_valvula =&gt; "&amp;IF(TRIM(U18&amp;"")="","NULL","'"&amp;SUBSTITUTE(TRIM(U18),"'","''")&amp;"'")&amp;", p_libro_cilindro =&gt; "&amp;IF(TRIM(V18&amp;"")="","NULL","'"&amp;SUBSTITUTE(TRIM(V18),"'","''")&amp;"'")&amp;", p_pagina_libro =&gt; "&amp;IF(W18&amp;""="","NULL",SUBSTITUTE(W18&amp;"",",","."))&amp;", p_observacion =&gt; "&amp;IF(TRIM(X18&amp;"")="","NULL","'"&amp;SUBSTITUTE(TRIM(X18),"'","''")&amp;"'")&amp;") AS resultado_balon_"&amp;ROW()&amp;";")</f>
        <v/>
      </c>
    </row>
    <row r="19">
      <c r="A19" s="36" t="inlineStr">
        <is>
          <t>15</t>
        </is>
      </c>
      <c r="B19" s="25">
        <f>IF(AND(C19="",D19="",E19=""),"",IF(C19="","FALTA código balón",IF(D19="","FALTA tipo balón",IF(E19="","FALTA gas",IF(F19="","FALTA propietario",IF(AND(C19&lt;&gt;"",SUMPRODUCT(--($C$5:$C$1200=C19))&gt;1),"CÓDIGO BALÓN DUPLICADO",IF(AND(OR(UPPER(F19)="PLANTA",UPPER(F19)="CLIENTE"),G19=""),"FALTA doc propietario/planta",IF(AND(UPPER(F19)="PLANTA",G19="10175332796"),"PLANTA no puede ser RUC empresa","OK"))))))))</f>
        <v/>
      </c>
      <c r="C19" s="23" t="inlineStr">
        <is>
          <t>22K034022</t>
        </is>
      </c>
      <c r="D19" s="17" t="inlineStr">
        <is>
          <t>Argón Estándar 10 m3</t>
        </is>
      </c>
      <c r="E19" s="17" t="inlineStr">
        <is>
          <t>ARGON</t>
        </is>
      </c>
      <c r="F19" s="17" t="inlineStr">
        <is>
          <t>EMPRESA</t>
        </is>
      </c>
      <c r="G19" s="23" t="inlineStr">
        <is>
          <t>10175332796</t>
        </is>
      </c>
      <c r="H19" s="25" t="inlineStr">
        <is>
          <t>OXIGENO SARITA</t>
        </is>
      </c>
      <c r="I19" s="17" t="inlineStr">
        <is>
          <t>EN_PODER_CLIENTE</t>
        </is>
      </c>
      <c r="J19" s="17" t="n"/>
      <c r="K19" s="40" t="inlineStr">
        <is>
          <t>20480319860</t>
        </is>
      </c>
      <c r="L19" s="25">
        <f t="array" ref="L19">IF(K19="","",IFERROR(IF(INDEX(Clientes!$D$5:$D$549,MATCH(K19,Clientes!$C$5:$C$549,0))&lt;&gt;"",INDEX(Clientes!$D$5:$D$549,MATCH(K19,Clientes!$C$5:$C$549,0)),TRIM(INDEX(Clientes!$E$5:$E$549,MATCH(K19,Clientes!$C$5:$C$549,0))&amp;" "&amp;INDEX(Clientes!$F$5:$F$549,MATCH(K19,Clientes!$C$5:$C$549,0)))),"NO EXISTE en Clientes"))</f>
        <v/>
      </c>
      <c r="M19" s="17" t="n"/>
      <c r="N19" s="17" t="n"/>
      <c r="O19" s="42" t="n"/>
      <c r="P19" s="39">
        <f>IF(O19&lt;&gt;"",DATE(YEAR(O19)+5,MONTH(O19),1),IF(AND(M19&lt;&gt;"",N19&lt;&gt;""),DATE(M19+5,N19,1),""))</f>
        <v/>
      </c>
      <c r="Q19" s="23" t="n"/>
      <c r="R19" s="17" t="n"/>
      <c r="S19" s="17" t="n"/>
      <c r="T19" s="17" t="n"/>
      <c r="U19" s="17" t="n"/>
      <c r="V19" s="23" t="n"/>
      <c r="W19" s="17" t="n"/>
      <c r="X19" s="17" t="n"/>
      <c r="Y19" s="28">
        <f>IF(B19&lt;&gt;"OK","","SELECT bal_crear_balon(p_codigo_balon =&gt; "&amp;IF(TRIM(C19&amp;"")="","NULL","'"&amp;SUBSTITUTE(TRIM(C19),"'","''")&amp;"'")&amp;", p_id_tipo_balon =&gt; "&amp;"(SELECT id FROM bal_tipo_balon WHERE upper(nombre) = upper('"&amp;SUBSTITUTE(TRIM(D19),"'","''")&amp;"') AND estado = 1 LIMIT 1)"&amp;", p_id_producto_gas =&gt; "&amp;"(SELECT id FROM pro_producto WHERE es_gas = TRUE AND upper(nombre) = upper('"&amp;SUBSTITUTE(TRIM(E19),"'","''")&amp;"') AND estado = 1 LIMIT 1)"&amp;", p_id_propietario =&gt; "&amp;IF(TRIM(F19&amp;"")="","NULL","(SELECT lo.id FROM gen_lista_opciones lo JOIN gen_lista l ON l.id = lo.id_lista WHERE l.nombre = 'PropietarioBalon' AND upper(lo.nombre) = upper('"&amp;SUBSTITUTE(TRIM(F19),"'","''")&amp;"') AND lo.estado = 1 LIMIT 1)")&amp;", p_id_cliente_propietario =&gt; "&amp;IF(F19="CLIENTE",IF(TRIM(G19&amp;"")="","NULL","(SELECT id FROM cli_clientes WHERE numero_documento = '"&amp;SUBSTITUTE(TRIM(G19),"'","''")&amp;"' AND estado = 1 LIMIT 1)"),"NULL")&amp;", p_id_planta =&gt; "&amp;IF(F19="PLANTA",IF(TRIM(G19&amp;"")="","NULL","(SELECT id FROM cli_clientes WHERE numero_documento = '"&amp;SUBSTITUTE(TRIM(G19),"'","''")&amp;"'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"&amp;IF(TRIM(J19&amp;"")="","NULL","(SELECT id FROM gen_almacen WHERE upper(nombre) = upper('"&amp;SUBSTITUTE(TRIM(J19),"'","''")&amp;"') AND estado = 1 LIMIT 1)")&amp;", p_id_cliente_ubicacion =&gt; "&amp;IF(TRIM(K19&amp;"")="","NULL","(SELECT id FROM cli_clientes WHERE numero_documento = '"&amp;SUBSTITUTE(TRIM(K19),"'","''")&amp;"' AND estado = 1 LIMIT 1)")&amp;", p_id_referencia =&gt; "&amp;IF(TRIM(J19&amp;"")&lt;&gt;"","(SELECT lo.id FROM gen_lista_opciones lo JOIN gen_lista l ON l.id = lo.id_lista WHERE l.nombre = 'ReferenciaCilindro' AND upper(lo.nombre) = 'ALMACEN' AND lo.estado = 1 LIMIT 1)",IF(TRIM(K19&amp;"")&lt;&gt;"","(SELECT lo.id FROM gen_lista_opciones lo JOIN gen_lista l ON l.id = lo.id_lista WHERE l.nombre = 'ReferenciaCilindro' AND upper(lo.nombre) = 'CLIENTE' AND lo.estado = 1 LIMIT 1)","NULL"))&amp;", p_anio_fabricacion =&gt; "&amp;IF(M19&amp;""="","NULL::smallint",M19&amp;"::smallint")&amp;", p_mes_fabricacion =&gt; "&amp;IF(N19&amp;""="","NULL::smallint",N19&amp;"::smallint")&amp;", p_fecha_ultima_prueba_hidrostatica =&gt; "&amp;IF(O19&amp;""="","NULL","'"&amp;YEAR(O19)&amp;"-"&amp;TEXT(MONTH(O19),"00")&amp;"-"&amp;TEXT(DAY(O19),"00")&amp;"'")&amp;", p_numero_serie =&gt; "&amp;IF(TRIM(Q19&amp;"")="","NULL","'"&amp;SUBSTITUTE(TRIM(Q19),"'","''")&amp;"'")&amp;", p_id_marca_cilindro =&gt; "&amp;IF(TRIM(R19&amp;"")="","NULL","(SELECT lo.id FROM gen_lista_opciones lo JOIN gen_lista l ON l.id = lo.id_lista WHERE l.nombre = 'MarcaCilindro' AND upper(lo.nombre) = upper('"&amp;SUBSTITUTE(TRIM(R19),"'","''")&amp;"') AND lo.estado = 1 LIMIT 1)")&amp;", p_id_organo_inspector =&gt; "&amp;IF(TRIM(S19&amp;"")="","NULL","(SELECT lo.id FROM gen_lista_opciones lo JOIN gen_lista l ON l.id = lo.id_lista WHERE l.nombre = 'OrganoInspectorCilindro' AND upper(lo.nombre) = upper('"&amp;SUBSTITUTE(TRIM(S19),"'","''")&amp;"') AND lo.estado = 1 LIMIT 1)")&amp;", p_organo_inspector_no_aplica =&gt; "&amp;IF(S19="NO_APLICA","TRUE","FALSE")&amp;", p_presion_actual =&gt; "&amp;IF(T19&amp;""="","NULL",SUBSTITUTE(T19&amp;"",",","."))&amp;", p_tipo_valvula =&gt; "&amp;IF(TRIM(U19&amp;"")="","NULL","'"&amp;SUBSTITUTE(TRIM(U19),"'","''")&amp;"'")&amp;", p_libro_cilindro =&gt; "&amp;IF(TRIM(V19&amp;"")="","NULL","'"&amp;SUBSTITUTE(TRIM(V19),"'","''")&amp;"'")&amp;", p_pagina_libro =&gt; "&amp;IF(W19&amp;""="","NULL",SUBSTITUTE(W19&amp;"",",","."))&amp;", p_observacion =&gt; "&amp;IF(TRIM(X19&amp;"")="","NULL","'"&amp;SUBSTITUTE(TRIM(X19),"'","''")&amp;"'")&amp;") AS resultado_balon_"&amp;ROW()&amp;";")</f>
        <v/>
      </c>
    </row>
    <row r="20" ht="15.75" customHeight="1" s="64">
      <c r="A20" s="36" t="inlineStr">
        <is>
          <t>16</t>
        </is>
      </c>
      <c r="B20" s="25">
        <f>IF(AND(C20="",D20="",E20=""),"",IF(C20="","FALTA código balón",IF(D20="","FALTA tipo balón",IF(E20="","FALTA gas",IF(F20="","FALTA propietario",IF(AND(C20&lt;&gt;"",SUMPRODUCT(--($C$5:$C$1200=C20))&gt;1),"CÓDIGO BALÓN DUPLICADO",IF(AND(OR(UPPER(F20)="PLANTA",UPPER(F20)="CLIENTE"),G20=""),"FALTA doc propietario/planta",IF(AND(UPPER(F20)="PLANTA",G20="10175332796"),"PLANTA no puede ser RUC empresa","OK"))))))))</f>
        <v/>
      </c>
      <c r="C20" s="23" t="inlineStr">
        <is>
          <t>22K035004</t>
        </is>
      </c>
      <c r="D20" s="17" t="inlineStr">
        <is>
          <t>Argón Estándar 10 m3</t>
        </is>
      </c>
      <c r="E20" s="17" t="inlineStr">
        <is>
          <t>ARGON</t>
        </is>
      </c>
      <c r="F20" s="17" t="inlineStr">
        <is>
          <t>EMPRESA</t>
        </is>
      </c>
      <c r="G20" s="23" t="inlineStr">
        <is>
          <t>10175332796</t>
        </is>
      </c>
      <c r="H20" s="25" t="inlineStr">
        <is>
          <t>OXIGENO SARITA</t>
        </is>
      </c>
      <c r="I20" s="17" t="inlineStr">
        <is>
          <t>DISPONIBLE</t>
        </is>
      </c>
      <c r="J20" s="17" t="inlineStr">
        <is>
          <t>ALMACEN PRINCIPAL</t>
        </is>
      </c>
      <c r="K20" s="40" t="n"/>
      <c r="L20" s="25">
        <f t="array" ref="L20">IF(K20="","",IFERROR(IF(INDEX(Clientes!$D$5:$D$549,MATCH(K20,Clientes!$C$5:$C$549,0))&lt;&gt;"",INDEX(Clientes!$D$5:$D$549,MATCH(K20,Clientes!$C$5:$C$549,0)),TRIM(INDEX(Clientes!$E$5:$E$549,MATCH(K20,Clientes!$C$5:$C$549,0))&amp;" "&amp;INDEX(Clientes!$F$5:$F$549,MATCH(K20,Clientes!$C$5:$C$549,0)))),"NO EXISTE en Clientes"))</f>
        <v/>
      </c>
      <c r="M20" s="17" t="n"/>
      <c r="N20" s="17" t="n"/>
      <c r="O20" s="42" t="n"/>
      <c r="P20" s="39">
        <f>IF(O20&lt;&gt;"",DATE(YEAR(O20)+5,MONTH(O20),1),IF(AND(M20&lt;&gt;"",N20&lt;&gt;""),DATE(M20+5,N20,1),""))</f>
        <v/>
      </c>
      <c r="Q20" s="23" t="n"/>
      <c r="R20" s="17" t="n"/>
      <c r="S20" s="17" t="n"/>
      <c r="T20" s="17" t="n"/>
      <c r="U20" s="17" t="n"/>
      <c r="V20" s="23" t="n"/>
      <c r="W20" s="17" t="n"/>
      <c r="X20" s="17" t="n"/>
      <c r="Y20" s="28">
        <f>IF(B20&lt;&gt;"OK","","SELECT bal_crear_balon(p_codigo_balon =&gt; "&amp;IF(TRIM(C20&amp;"")="","NULL","'"&amp;SUBSTITUTE(TRIM(C20),"'","''")&amp;"'")&amp;", p_id_tipo_balon =&gt; "&amp;"(SELECT id FROM bal_tipo_balon WHERE upper(nombre) = upper('"&amp;SUBSTITUTE(TRIM(D20),"'","''")&amp;"') AND estado = 1 LIMIT 1)"&amp;", p_id_producto_gas =&gt; "&amp;"(SELECT id FROM pro_producto WHERE es_gas = TRUE AND upper(nombre) = upper('"&amp;SUBSTITUTE(TRIM(E20),"'","''")&amp;"') AND estado = 1 LIMIT 1)"&amp;", p_id_propietario =&gt; "&amp;IF(TRIM(F20&amp;"")="","NULL","(SELECT lo.id FROM gen_lista_opciones lo JOIN gen_lista l ON l.id = lo.id_lista WHERE l.nombre = 'PropietarioBalon' AND upper(lo.nombre) = upper('"&amp;SUBSTITUTE(TRIM(F20),"'","''")&amp;"') AND lo.estado = 1 LIMIT 1)")&amp;", p_id_cliente_propietario =&gt; "&amp;IF(F20="CLIENTE",IF(TRIM(G20&amp;"")="","NULL","(SELECT id FROM cli_clientes WHERE numero_documento = '"&amp;SUBSTITUTE(TRIM(G20),"'","''")&amp;"' AND estado = 1 LIMIT 1)"),"NULL")&amp;", p_id_planta =&gt; "&amp;IF(F20="PLANTA",IF(TRIM(G20&amp;"")="","NULL","(SELECT id FROM cli_clientes WHERE numero_documento = '"&amp;SUBSTITUTE(TRIM(G20),"'","''")&amp;"'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"&amp;IF(TRIM(J20&amp;"")="","NULL","(SELECT id FROM gen_almacen WHERE upper(nombre) = upper('"&amp;SUBSTITUTE(TRIM(J20),"'","''")&amp;"') AND estado = 1 LIMIT 1)")&amp;", p_id_cliente_ubicacion =&gt; "&amp;IF(TRIM(K20&amp;"")="","NULL","(SELECT id FROM cli_clientes WHERE numero_documento = '"&amp;SUBSTITUTE(TRIM(K20),"'","''")&amp;"' AND estado = 1 LIMIT 1)")&amp;", p_id_referencia =&gt; "&amp;IF(TRIM(J20&amp;"")&lt;&gt;"","(SELECT lo.id FROM gen_lista_opciones lo JOIN gen_lista l ON l.id = lo.id_lista WHERE l.nombre = 'ReferenciaCilindro' AND upper(lo.nombre) = 'ALMACEN' AND lo.estado = 1 LIMIT 1)",IF(TRIM(K20&amp;"")&lt;&gt;"","(SELECT lo.id FROM gen_lista_opciones lo JOIN gen_lista l ON l.id = lo.id_lista WHERE l.nombre = 'ReferenciaCilindro' AND upper(lo.nombre) = 'CLIENTE' AND lo.estado = 1 LIMIT 1)","NULL"))&amp;", p_anio_fabricacion =&gt; "&amp;IF(M20&amp;""="","NULL::smallint",M20&amp;"::smallint")&amp;", p_mes_fabricacion =&gt; "&amp;IF(N20&amp;""="","NULL::smallint",N20&amp;"::smallint")&amp;", p_fecha_ultima_prueba_hidrostatica =&gt; "&amp;IF(O20&amp;""="","NULL","'"&amp;YEAR(O20)&amp;"-"&amp;TEXT(MONTH(O20),"00")&amp;"-"&amp;TEXT(DAY(O20),"00")&amp;"'")&amp;", p_numero_serie =&gt; "&amp;IF(TRIM(Q20&amp;"")="","NULL","'"&amp;SUBSTITUTE(TRIM(Q20),"'","''")&amp;"'")&amp;", p_id_marca_cilindro =&gt; "&amp;IF(TRIM(R20&amp;"")="","NULL","(SELECT lo.id FROM gen_lista_opciones lo JOIN gen_lista l ON l.id = lo.id_lista WHERE l.nombre = 'MarcaCilindro' AND upper(lo.nombre) = upper('"&amp;SUBSTITUTE(TRIM(R20),"'","''")&amp;"') AND lo.estado = 1 LIMIT 1)")&amp;", p_id_organo_inspector =&gt; "&amp;IF(TRIM(S20&amp;"")="","NULL","(SELECT lo.id FROM gen_lista_opciones lo JOIN gen_lista l ON l.id = lo.id_lista WHERE l.nombre = 'OrganoInspectorCilindro' AND upper(lo.nombre) = upper('"&amp;SUBSTITUTE(TRIM(S20),"'","''")&amp;"') AND lo.estado = 1 LIMIT 1)")&amp;", p_organo_inspector_no_aplica =&gt; "&amp;IF(S20="NO_APLICA","TRUE","FALSE")&amp;", p_presion_actual =&gt; "&amp;IF(T20&amp;""="","NULL",SUBSTITUTE(T20&amp;"",",","."))&amp;", p_tipo_valvula =&gt; "&amp;IF(TRIM(U20&amp;"")="","NULL","'"&amp;SUBSTITUTE(TRIM(U20),"'","''")&amp;"'")&amp;", p_libro_cilindro =&gt; "&amp;IF(TRIM(V20&amp;"")="","NULL","'"&amp;SUBSTITUTE(TRIM(V20),"'","''")&amp;"'")&amp;", p_pagina_libro =&gt; "&amp;IF(W20&amp;""="","NULL",SUBSTITUTE(W20&amp;"",",","."))&amp;", p_observacion =&gt; "&amp;IF(TRIM(X20&amp;"")="","NULL","'"&amp;SUBSTITUTE(TRIM(X20),"'","''")&amp;"'")&amp;") AS resultado_balon_"&amp;ROW()&amp;";")</f>
        <v/>
      </c>
    </row>
    <row r="21" ht="15.75" customHeight="1" s="64">
      <c r="A21" s="36" t="inlineStr">
        <is>
          <t>17</t>
        </is>
      </c>
      <c r="B21" s="25">
        <f>IF(AND(C21="",D21="",E21=""),"",IF(C21="","FALTA código balón",IF(D21="","FALTA tipo balón",IF(E21="","FALTA gas",IF(F21="","FALTA propietario",IF(AND(C21&lt;&gt;"",SUMPRODUCT(--($C$5:$C$1200=C21))&gt;1),"CÓDIGO BALÓN DUPLICADO",IF(AND(OR(UPPER(F21)="PLANTA",UPPER(F21)="CLIENTE"),G21=""),"FALTA doc propietario/planta",IF(AND(UPPER(F21)="PLANTA",G21="10175332796"),"PLANTA no puede ser RUC empresa","OK"))))))))</f>
        <v/>
      </c>
      <c r="C21" s="23" t="inlineStr">
        <is>
          <t>20K646128</t>
        </is>
      </c>
      <c r="D21" s="17" t="inlineStr">
        <is>
          <t>Argón Estándar 10 m3</t>
        </is>
      </c>
      <c r="E21" s="17" t="inlineStr">
        <is>
          <t>ARGON</t>
        </is>
      </c>
      <c r="F21" s="17" t="inlineStr">
        <is>
          <t>EMPRESA</t>
        </is>
      </c>
      <c r="G21" s="23" t="inlineStr">
        <is>
          <t>10175332796</t>
        </is>
      </c>
      <c r="H21" s="25" t="inlineStr">
        <is>
          <t>OXIGENO SARITA</t>
        </is>
      </c>
      <c r="I21" s="17" t="inlineStr">
        <is>
          <t>EN_PODER_CLIENTE</t>
        </is>
      </c>
      <c r="J21" s="17" t="n"/>
      <c r="K21" s="40" t="inlineStr">
        <is>
          <t>20480319860</t>
        </is>
      </c>
      <c r="L21" s="25">
        <f t="array" ref="L21">IF(K21="","",IFERROR(IF(INDEX(Clientes!$D$5:$D$549,MATCH(K21,Clientes!$C$5:$C$549,0))&lt;&gt;"",INDEX(Clientes!$D$5:$D$549,MATCH(K21,Clientes!$C$5:$C$549,0)),TRIM(INDEX(Clientes!$E$5:$E$549,MATCH(K21,Clientes!$C$5:$C$549,0))&amp;" "&amp;INDEX(Clientes!$F$5:$F$549,MATCH(K21,Clientes!$C$5:$C$549,0)))),"NO EXISTE en Clientes"))</f>
        <v/>
      </c>
      <c r="M21" s="17" t="n"/>
      <c r="N21" s="17" t="n"/>
      <c r="O21" s="42" t="n"/>
      <c r="P21" s="39">
        <f>IF(O21&lt;&gt;"",DATE(YEAR(O21)+5,MONTH(O21),1),IF(AND(M21&lt;&gt;"",N21&lt;&gt;""),DATE(M21+5,N21,1),""))</f>
        <v/>
      </c>
      <c r="Q21" s="23" t="n"/>
      <c r="R21" s="17" t="n"/>
      <c r="S21" s="17" t="n"/>
      <c r="T21" s="17" t="n"/>
      <c r="U21" s="17" t="n"/>
      <c r="V21" s="23" t="n"/>
      <c r="W21" s="17" t="n"/>
      <c r="X21" s="17" t="n"/>
      <c r="Y21" s="28">
        <f>IF(B21&lt;&gt;"OK","","SELECT bal_crear_balon(p_codigo_balon =&gt; "&amp;IF(TRIM(C21&amp;"")="","NULL","'"&amp;SUBSTITUTE(TRIM(C21),"'","''")&amp;"'")&amp;", p_id_tipo_balon =&gt; "&amp;"(SELECT id FROM bal_tipo_balon WHERE upper(nombre) = upper('"&amp;SUBSTITUTE(TRIM(D21),"'","''")&amp;"') AND estado = 1 LIMIT 1)"&amp;", p_id_producto_gas =&gt; "&amp;"(SELECT id FROM pro_producto WHERE es_gas = TRUE AND upper(nombre) = upper('"&amp;SUBSTITUTE(TRIM(E21),"'","''")&amp;"') AND estado = 1 LIMIT 1)"&amp;", p_id_propietario =&gt; "&amp;IF(TRIM(F21&amp;"")="","NULL","(SELECT lo.id FROM gen_lista_opciones lo JOIN gen_lista l ON l.id = lo.id_lista WHERE l.nombre = 'PropietarioBalon' AND upper(lo.nombre) = upper('"&amp;SUBSTITUTE(TRIM(F21),"'","''")&amp;"') AND lo.estado = 1 LIMIT 1)")&amp;", p_id_cliente_propietario =&gt; "&amp;IF(F21="CLIENTE",IF(TRIM(G21&amp;"")="","NULL","(SELECT id FROM cli_clientes WHERE numero_documento = '"&amp;SUBSTITUTE(TRIM(G21),"'","''")&amp;"' AND estado = 1 LIMIT 1)"),"NULL")&amp;", p_id_planta =&gt; "&amp;IF(F21="PLANTA",IF(TRIM(G21&amp;"")="","NULL","(SELECT id FROM cli_clientes WHERE numero_documento = '"&amp;SUBSTITUTE(TRIM(G21),"'","''")&amp;"'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"&amp;IF(TRIM(J21&amp;"")="","NULL","(SELECT id FROM gen_almacen WHERE upper(nombre) = upper('"&amp;SUBSTITUTE(TRIM(J21),"'","''")&amp;"') AND estado = 1 LIMIT 1)")&amp;", p_id_cliente_ubicacion =&gt; "&amp;IF(TRIM(K21&amp;"")="","NULL","(SELECT id FROM cli_clientes WHERE numero_documento = '"&amp;SUBSTITUTE(TRIM(K21),"'","''")&amp;"' AND estado = 1 LIMIT 1)")&amp;", p_id_referencia =&gt; "&amp;IF(TRIM(J21&amp;"")&lt;&gt;"","(SELECT lo.id FROM gen_lista_opciones lo JOIN gen_lista l ON l.id = lo.id_lista WHERE l.nombre = 'ReferenciaCilindro' AND upper(lo.nombre) = 'ALMACEN' AND lo.estado = 1 LIMIT 1)",IF(TRIM(K21&amp;"")&lt;&gt;"","(SELECT lo.id FROM gen_lista_opciones lo JOIN gen_lista l ON l.id = lo.id_lista WHERE l.nombre = 'ReferenciaCilindro' AND upper(lo.nombre) = 'CLIENTE' AND lo.estado = 1 LIMIT 1)","NULL"))&amp;", p_anio_fabricacion =&gt; "&amp;IF(M21&amp;""="","NULL::smallint",M21&amp;"::smallint")&amp;", p_mes_fabricacion =&gt; "&amp;IF(N21&amp;""="","NULL::smallint",N21&amp;"::smallint")&amp;", p_fecha_ultima_prueba_hidrostatica =&gt; "&amp;IF(O21&amp;""="","NULL","'"&amp;YEAR(O21)&amp;"-"&amp;TEXT(MONTH(O21),"00")&amp;"-"&amp;TEXT(DAY(O21),"00")&amp;"'")&amp;", p_numero_serie =&gt; "&amp;IF(TRIM(Q21&amp;"")="","NULL","'"&amp;SUBSTITUTE(TRIM(Q21),"'","''")&amp;"'")&amp;", p_id_marca_cilindro =&gt; "&amp;IF(TRIM(R21&amp;"")="","NULL","(SELECT lo.id FROM gen_lista_opciones lo JOIN gen_lista l ON l.id = lo.id_lista WHERE l.nombre = 'MarcaCilindro' AND upper(lo.nombre) = upper('"&amp;SUBSTITUTE(TRIM(R21),"'","''")&amp;"') AND lo.estado = 1 LIMIT 1)")&amp;", p_id_organo_inspector =&gt; "&amp;IF(TRIM(S21&amp;"")="","NULL","(SELECT lo.id FROM gen_lista_opciones lo JOIN gen_lista l ON l.id = lo.id_lista WHERE l.nombre = 'OrganoInspectorCilindro' AND upper(lo.nombre) = upper('"&amp;SUBSTITUTE(TRIM(S21),"'","''")&amp;"') AND lo.estado = 1 LIMIT 1)")&amp;", p_organo_inspector_no_aplica =&gt; "&amp;IF(S21="NO_APLICA","TRUE","FALSE")&amp;", p_presion_actual =&gt; "&amp;IF(T21&amp;""="","NULL",SUBSTITUTE(T21&amp;"",",","."))&amp;", p_tipo_valvula =&gt; "&amp;IF(TRIM(U21&amp;"")="","NULL","'"&amp;SUBSTITUTE(TRIM(U21),"'","''")&amp;"'")&amp;", p_libro_cilindro =&gt; "&amp;IF(TRIM(V21&amp;"")="","NULL","'"&amp;SUBSTITUTE(TRIM(V21),"'","''")&amp;"'")&amp;", p_pagina_libro =&gt; "&amp;IF(W21&amp;""="","NULL",SUBSTITUTE(W21&amp;"",",","."))&amp;", p_observacion =&gt; "&amp;IF(TRIM(X21&amp;"")="","NULL","'"&amp;SUBSTITUTE(TRIM(X21),"'","''")&amp;"'")&amp;") AS resultado_balon_"&amp;ROW()&amp;";")</f>
        <v/>
      </c>
    </row>
    <row r="22" ht="15.75" customHeight="1" s="64">
      <c r="A22" s="36" t="inlineStr">
        <is>
          <t>18</t>
        </is>
      </c>
      <c r="B22" s="25">
        <f>IF(AND(C22="",D22="",E22=""),"",IF(C22="","FALTA código balón",IF(D22="","FALTA tipo balón",IF(E22="","FALTA gas",IF(F22="","FALTA propietario",IF(AND(C22&lt;&gt;"",SUMPRODUCT(--($C$5:$C$1200=C22))&gt;1),"CÓDIGO BALÓN DUPLICADO",IF(AND(OR(UPPER(F22)="PLANTA",UPPER(F22)="CLIENTE"),G22=""),"FALTA doc propietario/planta",IF(AND(UPPER(F22)="PLANTA",G22="10175332796"),"PLANTA no puede ser RUC empresa","OK"))))))))</f>
        <v/>
      </c>
      <c r="C22" s="23" t="inlineStr">
        <is>
          <t>22K034131</t>
        </is>
      </c>
      <c r="D22" s="17" t="inlineStr">
        <is>
          <t>Argón Estándar 10 m3</t>
        </is>
      </c>
      <c r="E22" s="17" t="inlineStr">
        <is>
          <t>ARGON</t>
        </is>
      </c>
      <c r="F22" s="17" t="inlineStr">
        <is>
          <t>EMPRESA</t>
        </is>
      </c>
      <c r="G22" s="23" t="inlineStr">
        <is>
          <t>10175332796</t>
        </is>
      </c>
      <c r="H22" s="25" t="inlineStr">
        <is>
          <t>OXIGENO SARITA</t>
        </is>
      </c>
      <c r="I22" s="17" t="inlineStr">
        <is>
          <t>EN_PODER_CLIENTE</t>
        </is>
      </c>
      <c r="J22" s="17" t="n"/>
      <c r="K22" s="40" t="inlineStr">
        <is>
          <t>20480319860</t>
        </is>
      </c>
      <c r="L22" s="25">
        <f t="array" ref="L22">IF(K22="","",IFERROR(IF(INDEX(Clientes!$D$5:$D$549,MATCH(K22,Clientes!$C$5:$C$549,0))&lt;&gt;"",INDEX(Clientes!$D$5:$D$549,MATCH(K22,Clientes!$C$5:$C$549,0)),TRIM(INDEX(Clientes!$E$5:$E$549,MATCH(K22,Clientes!$C$5:$C$549,0))&amp;" "&amp;INDEX(Clientes!$F$5:$F$549,MATCH(K22,Clientes!$C$5:$C$549,0)))),"NO EXISTE en Clientes"))</f>
        <v/>
      </c>
      <c r="M22" s="17" t="n"/>
      <c r="N22" s="17" t="n"/>
      <c r="O22" s="42" t="n"/>
      <c r="P22" s="39">
        <f>IF(O22&lt;&gt;"",DATE(YEAR(O22)+5,MONTH(O22),1),IF(AND(M22&lt;&gt;"",N22&lt;&gt;""),DATE(M22+5,N22,1),""))</f>
        <v/>
      </c>
      <c r="Q22" s="23" t="n"/>
      <c r="R22" s="17" t="n"/>
      <c r="S22" s="17" t="n"/>
      <c r="T22" s="17" t="n"/>
      <c r="U22" s="17" t="n"/>
      <c r="V22" s="23" t="n"/>
      <c r="W22" s="17" t="n"/>
      <c r="X22" s="17" t="n"/>
      <c r="Y22" s="28">
        <f>IF(B22&lt;&gt;"OK","","SELECT bal_crear_balon(p_codigo_balon =&gt; "&amp;IF(TRIM(C22&amp;"")="","NULL","'"&amp;SUBSTITUTE(TRIM(C22),"'","''")&amp;"'")&amp;", p_id_tipo_balon =&gt; "&amp;"(SELECT id FROM bal_tipo_balon WHERE upper(nombre) = upper('"&amp;SUBSTITUTE(TRIM(D22),"'","''")&amp;"') AND estado = 1 LIMIT 1)"&amp;", p_id_producto_gas =&gt; "&amp;"(SELECT id FROM pro_producto WHERE es_gas = TRUE AND upper(nombre) = upper('"&amp;SUBSTITUTE(TRIM(E22),"'","''")&amp;"') AND estado = 1 LIMIT 1)"&amp;", p_id_propietario =&gt; "&amp;IF(TRIM(F22&amp;"")="","NULL","(SELECT lo.id FROM gen_lista_opciones lo JOIN gen_lista l ON l.id = lo.id_lista WHERE l.nombre = 'PropietarioBalon' AND upper(lo.nombre) = upper('"&amp;SUBSTITUTE(TRIM(F22),"'","''")&amp;"') AND lo.estado = 1 LIMIT 1)")&amp;", p_id_cliente_propietario =&gt; "&amp;IF(F22="CLIENTE",IF(TRIM(G22&amp;"")="","NULL","(SELECT id FROM cli_clientes WHERE numero_documento = '"&amp;SUBSTITUTE(TRIM(G22),"'","''")&amp;"' AND estado = 1 LIMIT 1)"),"NULL")&amp;", p_id_planta =&gt; "&amp;IF(F22="PLANTA",IF(TRIM(G22&amp;"")="","NULL","(SELECT id FROM cli_clientes WHERE numero_documento = '"&amp;SUBSTITUTE(TRIM(G22),"'","''")&amp;"'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"&amp;IF(TRIM(J22&amp;"")="","NULL","(SELECT id FROM gen_almacen WHERE upper(nombre) = upper('"&amp;SUBSTITUTE(TRIM(J22),"'","''")&amp;"') AND estado = 1 LIMIT 1)")&amp;", p_id_cliente_ubicacion =&gt; "&amp;IF(TRIM(K22&amp;"")="","NULL","(SELECT id FROM cli_clientes WHERE numero_documento = '"&amp;SUBSTITUTE(TRIM(K22),"'","''")&amp;"' AND estado = 1 LIMIT 1)")&amp;", p_id_referencia =&gt; "&amp;IF(TRIM(J22&amp;"")&lt;&gt;"","(SELECT lo.id FROM gen_lista_opciones lo JOIN gen_lista l ON l.id = lo.id_lista WHERE l.nombre = 'ReferenciaCilindro' AND upper(lo.nombre) = 'ALMACEN' AND lo.estado = 1 LIMIT 1)",IF(TRIM(K22&amp;"")&lt;&gt;"","(SELECT lo.id FROM gen_lista_opciones lo JOIN gen_lista l ON l.id = lo.id_lista WHERE l.nombre = 'ReferenciaCilindro' AND upper(lo.nombre) = 'CLIENTE' AND lo.estado = 1 LIMIT 1)","NULL"))&amp;", p_anio_fabricacion =&gt; "&amp;IF(M22&amp;""="","NULL::smallint",M22&amp;"::smallint")&amp;", p_mes_fabricacion =&gt; "&amp;IF(N22&amp;""="","NULL::smallint",N22&amp;"::smallint")&amp;", p_fecha_ultima_prueba_hidrostatica =&gt; "&amp;IF(O22&amp;""="","NULL","'"&amp;YEAR(O22)&amp;"-"&amp;TEXT(MONTH(O22),"00")&amp;"-"&amp;TEXT(DAY(O22),"00")&amp;"'")&amp;", p_numero_serie =&gt; "&amp;IF(TRIM(Q22&amp;"")="","NULL","'"&amp;SUBSTITUTE(TRIM(Q22),"'","''")&amp;"'")&amp;", p_id_marca_cilindro =&gt; "&amp;IF(TRIM(R22&amp;"")="","NULL","(SELECT lo.id FROM gen_lista_opciones lo JOIN gen_lista l ON l.id = lo.id_lista WHERE l.nombre = 'MarcaCilindro' AND upper(lo.nombre) = upper('"&amp;SUBSTITUTE(TRIM(R22),"'","''")&amp;"') AND lo.estado = 1 LIMIT 1)")&amp;", p_id_organo_inspector =&gt; "&amp;IF(TRIM(S22&amp;"")="","NULL","(SELECT lo.id FROM gen_lista_opciones lo JOIN gen_lista l ON l.id = lo.id_lista WHERE l.nombre = 'OrganoInspectorCilindro' AND upper(lo.nombre) = upper('"&amp;SUBSTITUTE(TRIM(S22),"'","''")&amp;"') AND lo.estado = 1 LIMIT 1)")&amp;", p_organo_inspector_no_aplica =&gt; "&amp;IF(S22="NO_APLICA","TRUE","FALSE")&amp;", p_presion_actual =&gt; "&amp;IF(T22&amp;""="","NULL",SUBSTITUTE(T22&amp;"",",","."))&amp;", p_tipo_valvula =&gt; "&amp;IF(TRIM(U22&amp;"")="","NULL","'"&amp;SUBSTITUTE(TRIM(U22),"'","''")&amp;"'")&amp;", p_libro_cilindro =&gt; "&amp;IF(TRIM(V22&amp;"")="","NULL","'"&amp;SUBSTITUTE(TRIM(V22),"'","''")&amp;"'")&amp;", p_pagina_libro =&gt; "&amp;IF(W22&amp;""="","NULL",SUBSTITUTE(W22&amp;"",",","."))&amp;", p_observacion =&gt; "&amp;IF(TRIM(X22&amp;"")="","NULL","'"&amp;SUBSTITUTE(TRIM(X22),"'","''")&amp;"'")&amp;") AS resultado_balon_"&amp;ROW()&amp;";")</f>
        <v/>
      </c>
    </row>
    <row r="23" ht="15.75" customHeight="1" s="64">
      <c r="A23" s="36" t="inlineStr">
        <is>
          <t>19</t>
        </is>
      </c>
      <c r="B23" s="25">
        <f>IF(AND(C23="",D23="",E23=""),"",IF(C23="","FALTA código balón",IF(D23="","FALTA tipo balón",IF(E23="","FALTA gas",IF(F23="","FALTA propietario",IF(AND(C23&lt;&gt;"",SUMPRODUCT(--($C$5:$C$1200=C23))&gt;1),"CÓDIGO BALÓN DUPLICADO",IF(AND(OR(UPPER(F23)="PLANTA",UPPER(F23)="CLIENTE"),G23=""),"FALTA doc propietario/planta",IF(AND(UPPER(F23)="PLANTA",G23="10175332796"),"PLANTA no puede ser RUC empresa","OK"))))))))</f>
        <v/>
      </c>
      <c r="C23" s="23" t="inlineStr">
        <is>
          <t>303206Y</t>
        </is>
      </c>
      <c r="D23" s="17" t="inlineStr">
        <is>
          <t>Argón Estándar 10 m3</t>
        </is>
      </c>
      <c r="E23" s="17" t="inlineStr">
        <is>
          <t>ARGON</t>
        </is>
      </c>
      <c r="F23" s="17" t="inlineStr">
        <is>
          <t>EMPRESA</t>
        </is>
      </c>
      <c r="G23" s="23" t="inlineStr">
        <is>
          <t>10175332796</t>
        </is>
      </c>
      <c r="H23" s="25" t="inlineStr">
        <is>
          <t>OXIGENO SARITA</t>
        </is>
      </c>
      <c r="I23" s="17" t="inlineStr">
        <is>
          <t>DISPONIBLE</t>
        </is>
      </c>
      <c r="J23" s="17" t="inlineStr">
        <is>
          <t>ALMACEN PRINCIPAL</t>
        </is>
      </c>
      <c r="K23" s="40" t="n"/>
      <c r="L23" s="25">
        <f t="array" ref="L23">IF(K23="","",IFERROR(IF(INDEX(Clientes!$D$5:$D$549,MATCH(K23,Clientes!$C$5:$C$549,0))&lt;&gt;"",INDEX(Clientes!$D$5:$D$549,MATCH(K23,Clientes!$C$5:$C$549,0)),TRIM(INDEX(Clientes!$E$5:$E$549,MATCH(K23,Clientes!$C$5:$C$549,0))&amp;" "&amp;INDEX(Clientes!$F$5:$F$549,MATCH(K23,Clientes!$C$5:$C$549,0)))),"NO EXISTE en Clientes"))</f>
        <v/>
      </c>
      <c r="M23" s="17" t="n">
        <v>2025</v>
      </c>
      <c r="N23" s="17" t="n">
        <v>8</v>
      </c>
      <c r="O23" s="42" t="n">
        <v>45870</v>
      </c>
      <c r="P23" s="39">
        <f>IF(O23&lt;&gt;"",DATE(YEAR(O23)+10,MONTH(O23),1),IF(AND(M23&lt;&gt;"",N23&lt;&gt;""),DATE(M23+5,N23,1),""))</f>
        <v/>
      </c>
      <c r="Q23" s="23" t="n"/>
      <c r="R23" s="17" t="inlineStr">
        <is>
          <t>DOT</t>
        </is>
      </c>
      <c r="S23" s="17" t="inlineStr">
        <is>
          <t>OTRO</t>
        </is>
      </c>
      <c r="T23" s="17" t="n">
        <v>2800</v>
      </c>
      <c r="U23" s="17" t="n"/>
      <c r="V23" s="23" t="n"/>
      <c r="W23" s="17" t="n"/>
      <c r="X23" s="17" t="n"/>
      <c r="Y23" s="28">
        <f>IF(B23&lt;&gt;"OK","","SELECT bal_crear_balon(p_codigo_balon =&gt; "&amp;IF(TRIM(C23&amp;"")="","NULL","'"&amp;SUBSTITUTE(TRIM(C23),"'","''")&amp;"'")&amp;", p_id_tipo_balon =&gt; "&amp;"(SELECT id FROM bal_tipo_balon WHERE upper(nombre) = upper('"&amp;SUBSTITUTE(TRIM(D23),"'","''")&amp;"') AND estado = 1 LIMIT 1)"&amp;", p_id_producto_gas =&gt; "&amp;"(SELECT id FROM pro_producto WHERE es_gas = TRUE AND upper(nombre) = upper('"&amp;SUBSTITUTE(TRIM(E23),"'","''")&amp;"') AND estado = 1 LIMIT 1)"&amp;", p_id_propietario =&gt; "&amp;IF(TRIM(F23&amp;"")="","NULL","(SELECT lo.id FROM gen_lista_opciones lo JOIN gen_lista l ON l.id = lo.id_lista WHERE l.nombre = 'PropietarioBalon' AND upper(lo.nombre) = upper('"&amp;SUBSTITUTE(TRIM(F23),"'","''")&amp;"') AND lo.estado = 1 LIMIT 1)")&amp;", p_id_cliente_propietario =&gt; "&amp;IF(F23="CLIENTE",IF(TRIM(G23&amp;"")="","NULL","(SELECT id FROM cli_clientes WHERE numero_documento = '"&amp;SUBSTITUTE(TRIM(G23),"'","''")&amp;"' AND estado = 1 LIMIT 1)"),"NULL")&amp;", p_id_planta =&gt; "&amp;IF(F23="PLANTA",IF(TRIM(G23&amp;"")="","NULL","(SELECT id FROM cli_clientes WHERE numero_documento = '"&amp;SUBSTITUTE(TRIM(G23),"'","''")&amp;"'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"&amp;IF(TRIM(J23&amp;"")="","NULL","(SELECT id FROM gen_almacen WHERE upper(nombre) = upper('"&amp;SUBSTITUTE(TRIM(J23),"'","''")&amp;"') AND estado = 1 LIMIT 1)")&amp;", p_id_cliente_ubicacion =&gt; "&amp;IF(TRIM(K23&amp;"")="","NULL","(SELECT id FROM cli_clientes WHERE numero_documento = '"&amp;SUBSTITUTE(TRIM(K23),"'","''")&amp;"' AND estado = 1 LIMIT 1)")&amp;", p_id_referencia =&gt; "&amp;IF(TRIM(J23&amp;"")&lt;&gt;"","(SELECT lo.id FROM gen_lista_opciones lo JOIN gen_lista l ON l.id = lo.id_lista WHERE l.nombre = 'ReferenciaCilindro' AND upper(lo.nombre) = 'ALMACEN' AND lo.estado = 1 LIMIT 1)",IF(TRIM(K23&amp;"")&lt;&gt;"","(SELECT lo.id FROM gen_lista_opciones lo JOIN gen_lista l ON l.id = lo.id_lista WHERE l.nombre = 'ReferenciaCilindro' AND upper(lo.nombre) = 'CLIENTE' AND lo.estado = 1 LIMIT 1)","NULL"))&amp;", p_anio_fabricacion =&gt; "&amp;IF(M23&amp;""="","NULL::smallint",M23&amp;"::smallint")&amp;", p_mes_fabricacion =&gt; "&amp;IF(N23&amp;""="","NULL::smallint",N23&amp;"::smallint")&amp;", p_fecha_ultima_prueba_hidrostatica =&gt; "&amp;IF(O23&amp;""="","NULL","'"&amp;YEAR(O23)&amp;"-"&amp;TEXT(MONTH(O23),"00")&amp;"-"&amp;TEXT(DAY(O23),"00")&amp;"'")&amp;", p_numero_serie =&gt; "&amp;IF(TRIM(Q23&amp;"")="","NULL","'"&amp;SUBSTITUTE(TRIM(Q23),"'","''")&amp;"'")&amp;", p_id_marca_cilindro =&gt; "&amp;IF(TRIM(R23&amp;"")="","NULL","(SELECT lo.id FROM gen_lista_opciones lo JOIN gen_lista l ON l.id = lo.id_lista WHERE l.nombre = 'MarcaCilindro' AND upper(lo.nombre) = upper('"&amp;SUBSTITUTE(TRIM(R23),"'","''")&amp;"') AND lo.estado = 1 LIMIT 1)")&amp;", p_id_organo_inspector =&gt; "&amp;IF(TRIM(S23&amp;"")="","NULL","(SELECT lo.id FROM gen_lista_opciones lo JOIN gen_lista l ON l.id = lo.id_lista WHERE l.nombre = 'OrganoInspectorCilindro' AND upper(lo.nombre) = upper('"&amp;SUBSTITUTE(TRIM(S23),"'","''")&amp;"') AND lo.estado = 1 LIMIT 1)")&amp;", p_organo_inspector_no_aplica =&gt; "&amp;IF(S23="NO_APLICA","TRUE","FALSE")&amp;", p_presion_actual =&gt; "&amp;IF(T23&amp;""="","NULL",SUBSTITUTE(T23&amp;"",",","."))&amp;", p_tipo_valvula =&gt; "&amp;IF(TRIM(U23&amp;"")="","NULL","'"&amp;SUBSTITUTE(TRIM(U23),"'","''")&amp;"'")&amp;", p_libro_cilindro =&gt; "&amp;IF(TRIM(V23&amp;"")="","NULL","'"&amp;SUBSTITUTE(TRIM(V23),"'","''")&amp;"'")&amp;", p_pagina_libro =&gt; "&amp;IF(W23&amp;""="","NULL",SUBSTITUTE(W23&amp;"",",","."))&amp;", p_observacion =&gt; "&amp;IF(TRIM(X23&amp;"")="","NULL","'"&amp;SUBSTITUTE(TRIM(X23),"'","''")&amp;"'")&amp;") AS resultado_balon_"&amp;ROW()&amp;";")</f>
        <v/>
      </c>
    </row>
    <row r="24" ht="15.75" customHeight="1" s="64">
      <c r="A24" s="36" t="inlineStr">
        <is>
          <t>20</t>
        </is>
      </c>
      <c r="B24" s="25">
        <f>IF(AND(C24="",D24="",E24=""),"",IF(C24="","FALTA código balón",IF(D24="","FALTA tipo balón",IF(E24="","FALTA gas",IF(F24="","FALTA propietario",IF(AND(C24&lt;&gt;"",SUMPRODUCT(--($C$5:$C$1200=C24))&gt;1),"CÓDIGO BALÓN DUPLICADO",IF(AND(OR(UPPER(F24)="PLANTA",UPPER(F24)="CLIENTE"),G24=""),"FALTA doc propietario/planta",IF(AND(UPPER(F24)="PLANTA",G24="10175332796"),"PLANTA no puede ser RUC empresa","OK"))))))))</f>
        <v/>
      </c>
      <c r="C24" s="23" t="inlineStr">
        <is>
          <t>20K301113</t>
        </is>
      </c>
      <c r="D24" s="17" t="inlineStr">
        <is>
          <t>Argón Estándar 10 m3</t>
        </is>
      </c>
      <c r="E24" s="17" t="inlineStr">
        <is>
          <t>ARGON</t>
        </is>
      </c>
      <c r="F24" s="17" t="inlineStr">
        <is>
          <t>EMPRESA</t>
        </is>
      </c>
      <c r="G24" s="23" t="inlineStr">
        <is>
          <t>10175332796</t>
        </is>
      </c>
      <c r="H24" s="25" t="inlineStr">
        <is>
          <t>OXIGENO SARITA</t>
        </is>
      </c>
      <c r="I24" s="17" t="inlineStr">
        <is>
          <t>DISPONIBLE</t>
        </is>
      </c>
      <c r="J24" s="17" t="inlineStr">
        <is>
          <t>ALMACEN PRINCIPAL</t>
        </is>
      </c>
      <c r="K24" s="40" t="n"/>
      <c r="L24" s="25">
        <f t="array" ref="L24">IF(K24="","",IFERROR(IF(INDEX(Clientes!$D$5:$D$549,MATCH(K24,Clientes!$C$5:$C$549,0))&lt;&gt;"",INDEX(Clientes!$D$5:$D$549,MATCH(K24,Clientes!$C$5:$C$549,0)),TRIM(INDEX(Clientes!$E$5:$E$549,MATCH(K24,Clientes!$C$5:$C$549,0))&amp;" "&amp;INDEX(Clientes!$F$5:$F$549,MATCH(K24,Clientes!$C$5:$C$549,0)))),"NO EXISTE en Clientes"))</f>
        <v/>
      </c>
      <c r="M24" s="17" t="n">
        <v>2025</v>
      </c>
      <c r="N24" s="17" t="n">
        <v>9</v>
      </c>
      <c r="O24" s="42" t="n">
        <v>45901</v>
      </c>
      <c r="P24" s="39">
        <f>IF(O24&lt;&gt;"",DATE(YEAR(O24)+10,MONTH(O24),1),IF(AND(M24&lt;&gt;"",N24&lt;&gt;""),DATE(M24+5,N24,1),""))</f>
        <v/>
      </c>
      <c r="Q24" s="23" t="n"/>
      <c r="R24" s="17" t="inlineStr">
        <is>
          <t>JP</t>
        </is>
      </c>
      <c r="S24" s="17" t="inlineStr">
        <is>
          <t>HEXAGONAL (0036)</t>
        </is>
      </c>
      <c r="T24" s="17" t="n">
        <v>2800</v>
      </c>
      <c r="U24" s="17" t="n"/>
      <c r="V24" s="23" t="n"/>
      <c r="W24" s="17" t="n"/>
      <c r="X24" s="17" t="inlineStr">
        <is>
          <t>PH OXIGENO CRISTIAN</t>
        </is>
      </c>
      <c r="Y24" s="28">
        <f>IF(B24&lt;&gt;"OK","","SELECT bal_crear_balon(p_codigo_balon =&gt; "&amp;IF(TRIM(C24&amp;"")="","NULL","'"&amp;SUBSTITUTE(TRIM(C24),"'","''")&amp;"'")&amp;", p_id_tipo_balon =&gt; "&amp;"(SELECT id FROM bal_tipo_balon WHERE upper(nombre) = upper('"&amp;SUBSTITUTE(TRIM(D24),"'","''")&amp;"') AND estado = 1 LIMIT 1)"&amp;", p_id_producto_gas =&gt; "&amp;"(SELECT id FROM pro_producto WHERE es_gas = TRUE AND upper(nombre) = upper('"&amp;SUBSTITUTE(TRIM(E24),"'","''")&amp;"') AND estado = 1 LIMIT 1)"&amp;", p_id_propietario =&gt; "&amp;IF(TRIM(F24&amp;"")="","NULL","(SELECT lo.id FROM gen_lista_opciones lo JOIN gen_lista l ON l.id = lo.id_lista WHERE l.nombre = 'PropietarioBalon' AND upper(lo.nombre) = upper('"&amp;SUBSTITUTE(TRIM(F24),"'","''")&amp;"') AND lo.estado = 1 LIMIT 1)")&amp;", p_id_cliente_propietario =&gt; "&amp;IF(F24="CLIENTE",IF(TRIM(G24&amp;"")="","NULL","(SELECT id FROM cli_clientes WHERE numero_documento = '"&amp;SUBSTITUTE(TRIM(G24),"'","''")&amp;"' AND estado = 1 LIMIT 1)"),"NULL")&amp;", p_id_planta =&gt; "&amp;IF(F24="PLANTA",IF(TRIM(G24&amp;"")="","NULL","(SELECT id FROM cli_clientes WHERE numero_documento = '"&amp;SUBSTITUTE(TRIM(G24),"'","''")&amp;"'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"&amp;IF(TRIM(J24&amp;"")="","NULL","(SELECT id FROM gen_almacen WHERE upper(nombre) = upper('"&amp;SUBSTITUTE(TRIM(J24),"'","''")&amp;"') AND estado = 1 LIMIT 1)")&amp;", p_id_cliente_ubicacion =&gt; "&amp;IF(TRIM(K24&amp;"")="","NULL","(SELECT id FROM cli_clientes WHERE numero_documento = '"&amp;SUBSTITUTE(TRIM(K24),"'","''")&amp;"' AND estado = 1 LIMIT 1)")&amp;", p_id_referencia =&gt; "&amp;IF(TRIM(J24&amp;"")&lt;&gt;"","(SELECT lo.id FROM gen_lista_opciones lo JOIN gen_lista l ON l.id = lo.id_lista WHERE l.nombre = 'ReferenciaCilindro' AND upper(lo.nombre) = 'ALMACEN' AND lo.estado = 1 LIMIT 1)",IF(TRIM(K24&amp;"")&lt;&gt;"","(SELECT lo.id FROM gen_lista_opciones lo JOIN gen_lista l ON l.id = lo.id_lista WHERE l.nombre = 'ReferenciaCilindro' AND upper(lo.nombre) = 'CLIENTE' AND lo.estado = 1 LIMIT 1)","NULL"))&amp;", p_anio_fabricacion =&gt; "&amp;IF(M24&amp;""="","NULL::smallint",M24&amp;"::smallint")&amp;", p_mes_fabricacion =&gt; "&amp;IF(N24&amp;""="","NULL::smallint",N24&amp;"::smallint")&amp;", p_fecha_ultima_prueba_hidrostatica =&gt; "&amp;IF(O24&amp;""="","NULL","'"&amp;YEAR(O24)&amp;"-"&amp;TEXT(MONTH(O24),"00")&amp;"-"&amp;TEXT(DAY(O24),"00")&amp;"'")&amp;", p_numero_serie =&gt; "&amp;IF(TRIM(Q24&amp;"")="","NULL","'"&amp;SUBSTITUTE(TRIM(Q24),"'","''")&amp;"'")&amp;", p_id_marca_cilindro =&gt; "&amp;IF(TRIM(R24&amp;"")="","NULL","(SELECT lo.id FROM gen_lista_opciones lo JOIN gen_lista l ON l.id = lo.id_lista WHERE l.nombre = 'MarcaCilindro' AND upper(lo.nombre) = upper('"&amp;SUBSTITUTE(TRIM(R24),"'","''")&amp;"') AND lo.estado = 1 LIMIT 1)")&amp;", p_id_organo_inspector =&gt; "&amp;IF(TRIM(S24&amp;"")="","NULL","(SELECT lo.id FROM gen_lista_opciones lo JOIN gen_lista l ON l.id = lo.id_lista WHERE l.nombre = 'OrganoInspectorCilindro' AND upper(lo.nombre) = upper('"&amp;SUBSTITUTE(TRIM(S24),"'","''")&amp;"') AND lo.estado = 1 LIMIT 1)")&amp;", p_organo_inspector_no_aplica =&gt; "&amp;IF(S24="NO_APLICA","TRUE","FALSE")&amp;", p_presion_actual =&gt; "&amp;IF(T24&amp;""="","NULL",SUBSTITUTE(T24&amp;"",",","."))&amp;", p_tipo_valvula =&gt; "&amp;IF(TRIM(U24&amp;"")="","NULL","'"&amp;SUBSTITUTE(TRIM(U24),"'","''")&amp;"'")&amp;", p_libro_cilindro =&gt; "&amp;IF(TRIM(V24&amp;"")="","NULL","'"&amp;SUBSTITUTE(TRIM(V24),"'","''")&amp;"'")&amp;", p_pagina_libro =&gt; "&amp;IF(W24&amp;""="","NULL",SUBSTITUTE(W24&amp;"",",","."))&amp;", p_observacion =&gt; "&amp;IF(TRIM(X24&amp;"")="","NULL","'"&amp;SUBSTITUTE(TRIM(X24),"'","''")&amp;"'")&amp;") AS resultado_balon_"&amp;ROW()&amp;";")</f>
        <v/>
      </c>
    </row>
    <row r="25" ht="15.75" customHeight="1" s="64">
      <c r="A25" s="36" t="inlineStr">
        <is>
          <t>21</t>
        </is>
      </c>
      <c r="B25" s="25">
        <f>IF(AND(C25="",D25="",E25=""),"",IF(C25="","FALTA código balón",IF(D25="","FALTA tipo balón",IF(E25="","FALTA gas",IF(F25="","FALTA propietario",IF(AND(C25&lt;&gt;"",SUMPRODUCT(--($C$5:$C$1200=C25))&gt;1),"CÓDIGO BALÓN DUPLICADO",IF(AND(OR(UPPER(F25)="PLANTA",UPPER(F25)="CLIENTE"),G25=""),"FALTA doc propietario/planta",IF(AND(UPPER(F25)="PLANTA",G25="10175332796"),"PLANTA no puede ser RUC empresa","OK"))))))))</f>
        <v/>
      </c>
      <c r="C25" s="23" t="inlineStr">
        <is>
          <t>P106037</t>
        </is>
      </c>
      <c r="D25" s="17" t="inlineStr">
        <is>
          <t>Argón Estándar 10 m3</t>
        </is>
      </c>
      <c r="E25" s="17" t="inlineStr">
        <is>
          <t>ARGON</t>
        </is>
      </c>
      <c r="F25" s="17" t="inlineStr">
        <is>
          <t>EMPRESA</t>
        </is>
      </c>
      <c r="G25" s="23" t="inlineStr">
        <is>
          <t>10175332796</t>
        </is>
      </c>
      <c r="H25" s="25" t="inlineStr">
        <is>
          <t>OXIGENO SARITA</t>
        </is>
      </c>
      <c r="I25" s="17" t="inlineStr">
        <is>
          <t>EN_PODER_CLIENTE</t>
        </is>
      </c>
      <c r="J25" s="17" t="n"/>
      <c r="K25" s="40" t="inlineStr">
        <is>
          <t>20514134155</t>
        </is>
      </c>
      <c r="L25" s="25">
        <f t="array" ref="L25">IF(K25="","",IFERROR(IF(INDEX(Clientes!$D$5:$D$549,MATCH(K25,Clientes!$C$5:$C$549,0))&lt;&gt;"",INDEX(Clientes!$D$5:$D$549,MATCH(K25,Clientes!$C$5:$C$549,0)),TRIM(INDEX(Clientes!$E$5:$E$549,MATCH(K25,Clientes!$C$5:$C$549,0))&amp;" "&amp;INDEX(Clientes!$F$5:$F$549,MATCH(K25,Clientes!$C$5:$C$549,0)))),"NO EXISTE en Clientes"))</f>
        <v/>
      </c>
      <c r="M25" s="17" t="n"/>
      <c r="N25" s="17" t="n"/>
      <c r="O25" s="42" t="n"/>
      <c r="P25" s="39">
        <f>IF(O25&lt;&gt;"",DATE(YEAR(O25)+5,MONTH(O25),1),IF(AND(M25&lt;&gt;"",N25&lt;&gt;""),DATE(M25+5,N25,1),""))</f>
        <v/>
      </c>
      <c r="Q25" s="23" t="n"/>
      <c r="R25" s="17" t="n"/>
      <c r="S25" s="17" t="n"/>
      <c r="T25" s="17" t="n"/>
      <c r="U25" s="17" t="n"/>
      <c r="V25" s="23" t="n"/>
      <c r="W25" s="17" t="n"/>
      <c r="X25" s="17" t="n"/>
      <c r="Y25" s="28">
        <f>IF(B25&lt;&gt;"OK","","SELECT bal_crear_balon(p_codigo_balon =&gt; "&amp;IF(TRIM(C25&amp;"")="","NULL","'"&amp;SUBSTITUTE(TRIM(C25),"'","''")&amp;"'")&amp;", p_id_tipo_balon =&gt; "&amp;"(SELECT id FROM bal_tipo_balon WHERE upper(nombre) = upper('"&amp;SUBSTITUTE(TRIM(D25),"'","''")&amp;"') AND estado = 1 LIMIT 1)"&amp;", p_id_producto_gas =&gt; "&amp;"(SELECT id FROM pro_producto WHERE es_gas = TRUE AND upper(nombre) = upper('"&amp;SUBSTITUTE(TRIM(E25),"'","''")&amp;"') AND estado = 1 LIMIT 1)"&amp;", p_id_propietario =&gt; "&amp;IF(TRIM(F25&amp;"")="","NULL","(SELECT lo.id FROM gen_lista_opciones lo JOIN gen_lista l ON l.id = lo.id_lista WHERE l.nombre = 'PropietarioBalon' AND upper(lo.nombre) = upper('"&amp;SUBSTITUTE(TRIM(F25),"'","''")&amp;"') AND lo.estado = 1 LIMIT 1)")&amp;", p_id_cliente_propietario =&gt; "&amp;IF(F25="CLIENTE",IF(TRIM(G25&amp;"")="","NULL","(SELECT id FROM cli_clientes WHERE numero_documento = '"&amp;SUBSTITUTE(TRIM(G25),"'","''")&amp;"' AND estado = 1 LIMIT 1)"),"NULL")&amp;", p_id_planta =&gt; "&amp;IF(F25="PLANTA",IF(TRIM(G25&amp;"")="","NULL","(SELECT id FROM cli_clientes WHERE numero_documento = '"&amp;SUBSTITUTE(TRIM(G25),"'","''")&amp;"'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"&amp;IF(TRIM(J25&amp;"")="","NULL","(SELECT id FROM gen_almacen WHERE upper(nombre) = upper('"&amp;SUBSTITUTE(TRIM(J25),"'","''")&amp;"') AND estado = 1 LIMIT 1)")&amp;", p_id_cliente_ubicacion =&gt; "&amp;IF(TRIM(K25&amp;"")="","NULL","(SELECT id FROM cli_clientes WHERE numero_documento = '"&amp;SUBSTITUTE(TRIM(K25),"'","''")&amp;"' AND estado = 1 LIMIT 1)")&amp;", p_id_referencia =&gt; "&amp;IF(TRIM(J25&amp;"")&lt;&gt;"","(SELECT lo.id FROM gen_lista_opciones lo JOIN gen_lista l ON l.id = lo.id_lista WHERE l.nombre = 'ReferenciaCilindro' AND upper(lo.nombre) = 'ALMACEN' AND lo.estado = 1 LIMIT 1)",IF(TRIM(K25&amp;"")&lt;&gt;"","(SELECT lo.id FROM gen_lista_opciones lo JOIN gen_lista l ON l.id = lo.id_lista WHERE l.nombre = 'ReferenciaCilindro' AND upper(lo.nombre) = 'CLIENTE' AND lo.estado = 1 LIMIT 1)","NULL"))&amp;", p_anio_fabricacion =&gt; "&amp;IF(M25&amp;""="","NULL::smallint",M25&amp;"::smallint")&amp;", p_mes_fabricacion =&gt; "&amp;IF(N25&amp;""="","NULL::smallint",N25&amp;"::smallint")&amp;", p_fecha_ultima_prueba_hidrostatica =&gt; "&amp;IF(O25&amp;""="","NULL","'"&amp;YEAR(O25)&amp;"-"&amp;TEXT(MONTH(O25),"00")&amp;"-"&amp;TEXT(DAY(O25),"00")&amp;"'")&amp;", p_numero_serie =&gt; "&amp;IF(TRIM(Q25&amp;"")="","NULL","'"&amp;SUBSTITUTE(TRIM(Q25),"'","''")&amp;"'")&amp;", p_id_marca_cilindro =&gt; "&amp;IF(TRIM(R25&amp;"")="","NULL","(SELECT lo.id FROM gen_lista_opciones lo JOIN gen_lista l ON l.id = lo.id_lista WHERE l.nombre = 'MarcaCilindro' AND upper(lo.nombre) = upper('"&amp;SUBSTITUTE(TRIM(R25),"'","''")&amp;"') AND lo.estado = 1 LIMIT 1)")&amp;", p_id_organo_inspector =&gt; "&amp;IF(TRIM(S25&amp;"")="","NULL","(SELECT lo.id FROM gen_lista_opciones lo JOIN gen_lista l ON l.id = lo.id_lista WHERE l.nombre = 'OrganoInspectorCilindro' AND upper(lo.nombre) = upper('"&amp;SUBSTITUTE(TRIM(S25),"'","''")&amp;"') AND lo.estado = 1 LIMIT 1)")&amp;", p_organo_inspector_no_aplica =&gt; "&amp;IF(S25="NO_APLICA","TRUE","FALSE")&amp;", p_presion_actual =&gt; "&amp;IF(T25&amp;""="","NULL",SUBSTITUTE(T25&amp;"",",","."))&amp;", p_tipo_valvula =&gt; "&amp;IF(TRIM(U25&amp;"")="","NULL","'"&amp;SUBSTITUTE(TRIM(U25),"'","''")&amp;"'")&amp;", p_libro_cilindro =&gt; "&amp;IF(TRIM(V25&amp;"")="","NULL","'"&amp;SUBSTITUTE(TRIM(V25),"'","''")&amp;"'")&amp;", p_pagina_libro =&gt; "&amp;IF(W25&amp;""="","NULL",SUBSTITUTE(W25&amp;"",",","."))&amp;", p_observacion =&gt; "&amp;IF(TRIM(X25&amp;"")="","NULL","'"&amp;SUBSTITUTE(TRIM(X25),"'","''")&amp;"'")&amp;") AS resultado_balon_"&amp;ROW()&amp;";")</f>
        <v/>
      </c>
    </row>
    <row r="26" ht="15.75" customHeight="1" s="64">
      <c r="A26" s="36" t="inlineStr">
        <is>
          <t>22</t>
        </is>
      </c>
      <c r="B26" s="25">
        <f>IF(AND(C26="",D26="",E26=""),"",IF(C26="","FALTA código balón",IF(D26="","FALTA tipo balón",IF(E26="","FALTA gas",IF(F26="","FALTA propietario",IF(AND(C26&lt;&gt;"",SUMPRODUCT(--($C$5:$C$1200=C26))&gt;1),"CÓDIGO BALÓN DUPLICADO",IF(AND(OR(UPPER(F26)="PLANTA",UPPER(F26)="CLIENTE"),G26=""),"FALTA doc propietario/planta",IF(AND(UPPER(F26)="PLANTA",G26="10175332796"),"PLANTA no puede ser RUC empresa","OK"))))))))</f>
        <v/>
      </c>
      <c r="C26" s="23" t="inlineStr">
        <is>
          <t>K5409161</t>
        </is>
      </c>
      <c r="D26" s="17" t="inlineStr">
        <is>
          <t>Argón Estándar 10 m3</t>
        </is>
      </c>
      <c r="E26" s="17" t="inlineStr">
        <is>
          <t>ARGON</t>
        </is>
      </c>
      <c r="F26" s="17" t="inlineStr">
        <is>
          <t>EMPRESA</t>
        </is>
      </c>
      <c r="G26" s="23" t="inlineStr">
        <is>
          <t>10175332796</t>
        </is>
      </c>
      <c r="H26" s="25" t="inlineStr">
        <is>
          <t>OXIGENO SARITA</t>
        </is>
      </c>
      <c r="I26" s="17" t="inlineStr">
        <is>
          <t>EN_PODER_CLIENTE</t>
        </is>
      </c>
      <c r="J26" s="17" t="n"/>
      <c r="K26" s="40" t="inlineStr">
        <is>
          <t>76881055</t>
        </is>
      </c>
      <c r="L26" s="25">
        <f t="array" ref="L26">IF(K26="","",IFERROR(IF(INDEX(Clientes!$D$5:$D$549,MATCH(K26,Clientes!$C$5:$C$549,0))&lt;&gt;"",INDEX(Clientes!$D$5:$D$549,MATCH(K26,Clientes!$C$5:$C$549,0)),TRIM(INDEX(Clientes!$E$5:$E$549,MATCH(K26,Clientes!$C$5:$C$549,0))&amp;" "&amp;INDEX(Clientes!$F$5:$F$549,MATCH(K26,Clientes!$C$5:$C$549,0)))),"NO EXISTE en Clientes"))</f>
        <v/>
      </c>
      <c r="M26" s="17" t="n"/>
      <c r="N26" s="17" t="n"/>
      <c r="O26" s="42" t="n"/>
      <c r="P26" s="39">
        <f>IF(O26&lt;&gt;"",DATE(YEAR(O26)+5,MONTH(O26),1),IF(AND(M26&lt;&gt;"",N26&lt;&gt;""),DATE(M26+5,N26,1),""))</f>
        <v/>
      </c>
      <c r="Q26" s="23" t="n"/>
      <c r="R26" s="17" t="n"/>
      <c r="S26" s="17" t="n"/>
      <c r="T26" s="17" t="n"/>
      <c r="U26" s="17" t="n"/>
      <c r="V26" s="23" t="n"/>
      <c r="W26" s="17" t="n"/>
      <c r="X26" s="17" t="n"/>
      <c r="Y26" s="28">
        <f>IF(B26&lt;&gt;"OK","","SELECT bal_crear_balon(p_codigo_balon =&gt; "&amp;IF(TRIM(C26&amp;"")="","NULL","'"&amp;SUBSTITUTE(TRIM(C26),"'","''")&amp;"'")&amp;", p_id_tipo_balon =&gt; "&amp;"(SELECT id FROM bal_tipo_balon WHERE upper(nombre) = upper('"&amp;SUBSTITUTE(TRIM(D26),"'","''")&amp;"') AND estado = 1 LIMIT 1)"&amp;", p_id_producto_gas =&gt; "&amp;"(SELECT id FROM pro_producto WHERE es_gas = TRUE AND upper(nombre) = upper('"&amp;SUBSTITUTE(TRIM(E26),"'","''")&amp;"') AND estado = 1 LIMIT 1)"&amp;", p_id_propietario =&gt; "&amp;IF(TRIM(F26&amp;"")="","NULL","(SELECT lo.id FROM gen_lista_opciones lo JOIN gen_lista l ON l.id = lo.id_lista WHERE l.nombre = 'PropietarioBalon' AND upper(lo.nombre) = upper('"&amp;SUBSTITUTE(TRIM(F26),"'","''")&amp;"') AND lo.estado = 1 LIMIT 1)")&amp;", p_id_cliente_propietario =&gt; "&amp;IF(F26="CLIENTE",IF(TRIM(G26&amp;"")="","NULL","(SELECT id FROM cli_clientes WHERE numero_documento = '"&amp;SUBSTITUTE(TRIM(G26),"'","''")&amp;"' AND estado = 1 LIMIT 1)"),"NULL")&amp;", p_id_planta =&gt; "&amp;IF(F26="PLANTA",IF(TRIM(G26&amp;"")="","NULL","(SELECT id FROM cli_clientes WHERE numero_documento = '"&amp;SUBSTITUTE(TRIM(G26),"'","''")&amp;"'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"&amp;IF(TRIM(J26&amp;"")="","NULL","(SELECT id FROM gen_almacen WHERE upper(nombre) = upper('"&amp;SUBSTITUTE(TRIM(J26),"'","''")&amp;"') AND estado = 1 LIMIT 1)")&amp;", p_id_cliente_ubicacion =&gt; "&amp;IF(TRIM(K26&amp;"")="","NULL","(SELECT id FROM cli_clientes WHERE numero_documento = '"&amp;SUBSTITUTE(TRIM(K26),"'","''")&amp;"' AND estado = 1 LIMIT 1)")&amp;", p_id_referencia =&gt; "&amp;IF(TRIM(J26&amp;"")&lt;&gt;"","(SELECT lo.id FROM gen_lista_opciones lo JOIN gen_lista l ON l.id = lo.id_lista WHERE l.nombre = 'ReferenciaCilindro' AND upper(lo.nombre) = 'ALMACEN' AND lo.estado = 1 LIMIT 1)",IF(TRIM(K26&amp;"")&lt;&gt;"","(SELECT lo.id FROM gen_lista_opciones lo JOIN gen_lista l ON l.id = lo.id_lista WHERE l.nombre = 'ReferenciaCilindro' AND upper(lo.nombre) = 'CLIENTE' AND lo.estado = 1 LIMIT 1)","NULL"))&amp;", p_anio_fabricacion =&gt; "&amp;IF(M26&amp;""="","NULL::smallint",M26&amp;"::smallint")&amp;", p_mes_fabricacion =&gt; "&amp;IF(N26&amp;""="","NULL::smallint",N26&amp;"::smallint")&amp;", p_fecha_ultima_prueba_hidrostatica =&gt; "&amp;IF(O26&amp;""="","NULL","'"&amp;YEAR(O26)&amp;"-"&amp;TEXT(MONTH(O26),"00")&amp;"-"&amp;TEXT(DAY(O26),"00")&amp;"'")&amp;", p_numero_serie =&gt; "&amp;IF(TRIM(Q26&amp;"")="","NULL","'"&amp;SUBSTITUTE(TRIM(Q26),"'","''")&amp;"'")&amp;", p_id_marca_cilindro =&gt; "&amp;IF(TRIM(R26&amp;"")="","NULL","(SELECT lo.id FROM gen_lista_opciones lo JOIN gen_lista l ON l.id = lo.id_lista WHERE l.nombre = 'MarcaCilindro' AND upper(lo.nombre) = upper('"&amp;SUBSTITUTE(TRIM(R26),"'","''")&amp;"') AND lo.estado = 1 LIMIT 1)")&amp;", p_id_organo_inspector =&gt; "&amp;IF(TRIM(S26&amp;"")="","NULL","(SELECT lo.id FROM gen_lista_opciones lo JOIN gen_lista l ON l.id = lo.id_lista WHERE l.nombre = 'OrganoInspectorCilindro' AND upper(lo.nombre) = upper('"&amp;SUBSTITUTE(TRIM(S26),"'","''")&amp;"') AND lo.estado = 1 LIMIT 1)")&amp;", p_organo_inspector_no_aplica =&gt; "&amp;IF(S26="NO_APLICA","TRUE","FALSE")&amp;", p_presion_actual =&gt; "&amp;IF(T26&amp;""="","NULL",SUBSTITUTE(T26&amp;"",",","."))&amp;", p_tipo_valvula =&gt; "&amp;IF(TRIM(U26&amp;"")="","NULL","'"&amp;SUBSTITUTE(TRIM(U26),"'","''")&amp;"'")&amp;", p_libro_cilindro =&gt; "&amp;IF(TRIM(V26&amp;"")="","NULL","'"&amp;SUBSTITUTE(TRIM(V26),"'","''")&amp;"'")&amp;", p_pagina_libro =&gt; "&amp;IF(W26&amp;""="","NULL",SUBSTITUTE(W26&amp;"",",","."))&amp;", p_observacion =&gt; "&amp;IF(TRIM(X26&amp;"")="","NULL","'"&amp;SUBSTITUTE(TRIM(X26),"'","''")&amp;"'")&amp;") AS resultado_balon_"&amp;ROW()&amp;";")</f>
        <v/>
      </c>
    </row>
    <row r="27" ht="15.75" customHeight="1" s="64">
      <c r="A27" s="36" t="inlineStr">
        <is>
          <t>23</t>
        </is>
      </c>
      <c r="B27" s="25">
        <f>IF(AND(C27="",D27="",E27=""),"",IF(C27="","FALTA código balón",IF(D27="","FALTA tipo balón",IF(E27="","FALTA gas",IF(F27="","FALTA propietario",IF(AND(C27&lt;&gt;"",SUMPRODUCT(--($C$5:$C$1200=C27))&gt;1),"CÓDIGO BALÓN DUPLICADO",IF(AND(OR(UPPER(F27)="PLANTA",UPPER(F27)="CLIENTE"),G27=""),"FALTA doc propietario/planta",IF(AND(UPPER(F27)="PLANTA",G27="10175332796"),"PLANTA no puede ser RUC empresa","OK"))))))))</f>
        <v/>
      </c>
      <c r="C27" s="23" t="inlineStr">
        <is>
          <t>FC017086</t>
        </is>
      </c>
      <c r="D27" s="17" t="inlineStr">
        <is>
          <t>Oxígeno Medicinal 10 m³</t>
        </is>
      </c>
      <c r="E27" s="17" t="inlineStr">
        <is>
          <t>OXIGENO MEDICINAL</t>
        </is>
      </c>
      <c r="F27" s="17" t="inlineStr">
        <is>
          <t>EMPRESA</t>
        </is>
      </c>
      <c r="G27" s="23" t="inlineStr">
        <is>
          <t>10175332796</t>
        </is>
      </c>
      <c r="H27" s="25" t="inlineStr">
        <is>
          <t>OXIGENO SARITA</t>
        </is>
      </c>
      <c r="I27" s="17" t="inlineStr">
        <is>
          <t>EN_PODER_CLIENTE</t>
        </is>
      </c>
      <c r="J27" s="17" t="inlineStr">
        <is>
          <t>ALMACEN PRINCIPAL</t>
        </is>
      </c>
      <c r="K27" s="47" t="n"/>
      <c r="L27" s="25" t="n"/>
      <c r="M27" s="17" t="n">
        <v>2026</v>
      </c>
      <c r="N27" s="17" t="n">
        <v>8</v>
      </c>
      <c r="O27" s="42" t="n">
        <v>46235</v>
      </c>
      <c r="P27" s="39">
        <f>IF(O27&lt;&gt;"",DATE(YEAR(O27)+10,MONTH(O27),1),IF(AND(M27&lt;&gt;"",N27&lt;&gt;""),DATE(M27+5,N27,1),""))</f>
        <v/>
      </c>
      <c r="Q27" s="23" t="n"/>
      <c r="R27" s="17" t="inlineStr">
        <is>
          <t>LD</t>
        </is>
      </c>
      <c r="S27" s="17" t="inlineStr">
        <is>
          <t>HEXAGONAL (0036)</t>
        </is>
      </c>
      <c r="T27" s="17" t="n">
        <v>2800</v>
      </c>
      <c r="U27" s="17" t="inlineStr">
        <is>
          <t>AMERICANA</t>
        </is>
      </c>
      <c r="V27" s="23" t="n"/>
      <c r="W27" s="17" t="n"/>
      <c r="X27" s="17" t="inlineStr">
        <is>
          <t>PH OXIGENO CRISTIAN</t>
        </is>
      </c>
      <c r="Y27" s="28">
        <f>IF(B27&lt;&gt;"OK","","SELECT bal_crear_balon(p_codigo_balon =&gt; "&amp;IF(TRIM(C27&amp;"")="","NULL","'"&amp;SUBSTITUTE(TRIM(C27),"'","''")&amp;"'")&amp;", p_id_tipo_balon =&gt; "&amp;"(SELECT id FROM bal_tipo_balon WHERE upper(nombre) = upper('"&amp;SUBSTITUTE(TRIM(D27),"'","''")&amp;"') AND estado = 1 LIMIT 1)"&amp;", p_id_producto_gas =&gt; "&amp;"(SELECT id FROM pro_producto WHERE es_gas = TRUE AND upper(nombre) = upper('"&amp;SUBSTITUTE(TRIM(E27),"'","''")&amp;"') AND estado = 1 LIMIT 1)"&amp;", p_id_propietario =&gt; "&amp;IF(TRIM(F27&amp;"")="","NULL","(SELECT lo.id FROM gen_lista_opciones lo JOIN gen_lista l ON l.id = lo.id_lista WHERE l.nombre = 'PropietarioBalon' AND upper(lo.nombre) = upper('"&amp;SUBSTITUTE(TRIM(F27),"'","''")&amp;"') AND lo.estado = 1 LIMIT 1)")&amp;", p_id_cliente_propietario =&gt; "&amp;IF(F27="CLIENTE",IF(TRIM(G27&amp;"")="","NULL","(SELECT id FROM cli_clientes WHERE numero_documento = '"&amp;SUBSTITUTE(TRIM(G27),"'","''")&amp;"' AND estado = 1 LIMIT 1)"),"NULL")&amp;", p_id_planta =&gt; "&amp;IF(F27="PLANTA",IF(TRIM(G27&amp;"")="","NULL","(SELECT id FROM cli_clientes WHERE numero_documento = '"&amp;SUBSTITUTE(TRIM(G27),"'","''")&amp;"'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"&amp;IF(TRIM(J27&amp;"")="","NULL","(SELECT id FROM gen_almacen WHERE upper(nombre) = upper('"&amp;SUBSTITUTE(TRIM(J27),"'","''")&amp;"') AND estado = 1 LIMIT 1)")&amp;", p_id_cliente_ubicacion =&gt; "&amp;IF(TRIM(K27&amp;"")="","NULL","(SELECT id FROM cli_clientes WHERE numero_documento = '"&amp;SUBSTITUTE(TRIM(K27),"'","''")&amp;"' AND estado = 1 LIMIT 1)")&amp;", p_id_referencia =&gt; "&amp;IF(TRIM(J27&amp;"")&lt;&gt;"","(SELECT lo.id FROM gen_lista_opciones lo JOIN gen_lista l ON l.id = lo.id_lista WHERE l.nombre = 'ReferenciaCilindro' AND upper(lo.nombre) = 'ALMACEN' AND lo.estado = 1 LIMIT 1)",IF(TRIM(K27&amp;"")&lt;&gt;"","(SELECT lo.id FROM gen_lista_opciones lo JOIN gen_lista l ON l.id = lo.id_lista WHERE l.nombre = 'ReferenciaCilindro' AND upper(lo.nombre) = 'CLIENTE' AND lo.estado = 1 LIMIT 1)","NULL"))&amp;", p_anio_fabricacion =&gt; "&amp;IF(M27&amp;""="","NULL::smallint",M27&amp;"::smallint")&amp;", p_mes_fabricacion =&gt; "&amp;IF(N27&amp;""="","NULL::smallint",N27&amp;"::smallint")&amp;", p_fecha_ultima_prueba_hidrostatica =&gt; "&amp;IF(O27&amp;""="","NULL","'"&amp;YEAR(O27)&amp;"-"&amp;TEXT(MONTH(O27),"00")&amp;"-"&amp;TEXT(DAY(O27),"00")&amp;"'")&amp;", p_numero_serie =&gt; "&amp;IF(TRIM(Q27&amp;"")="","NULL","'"&amp;SUBSTITUTE(TRIM(Q27),"'","''")&amp;"'")&amp;", p_id_marca_cilindro =&gt; "&amp;IF(TRIM(R27&amp;"")="","NULL","(SELECT lo.id FROM gen_lista_opciones lo JOIN gen_lista l ON l.id = lo.id_lista WHERE l.nombre = 'MarcaCilindro' AND upper(lo.nombre) = upper('"&amp;SUBSTITUTE(TRIM(R27),"'","''")&amp;"') AND lo.estado = 1 LIMIT 1)")&amp;", p_id_organo_inspector =&gt; "&amp;IF(TRIM(S27&amp;"")="","NULL","(SELECT lo.id FROM gen_lista_opciones lo JOIN gen_lista l ON l.id = lo.id_lista WHERE l.nombre = 'OrganoInspectorCilindro' AND upper(lo.nombre) = upper('"&amp;SUBSTITUTE(TRIM(S27),"'","''")&amp;"') AND lo.estado = 1 LIMIT 1)")&amp;", p_organo_inspector_no_aplica =&gt; "&amp;IF(S27="NO_APLICA","TRUE","FALSE")&amp;", p_presion_actual =&gt; "&amp;IF(T27&amp;""="","NULL",SUBSTITUTE(T27&amp;"",",","."))&amp;", p_tipo_valvula =&gt; "&amp;IF(TRIM(U27&amp;"")="","NULL","'"&amp;SUBSTITUTE(TRIM(U27),"'","''")&amp;"'")&amp;", p_libro_cilindro =&gt; "&amp;IF(TRIM(V27&amp;"")="","NULL","'"&amp;SUBSTITUTE(TRIM(V27),"'","''")&amp;"'")&amp;", p_pagina_libro =&gt; "&amp;IF(W27&amp;""="","NULL",SUBSTITUTE(W27&amp;"",",","."))&amp;", p_observacion =&gt; "&amp;IF(TRIM(X27&amp;"")="","NULL","'"&amp;SUBSTITUTE(TRIM(X27),"'","''")&amp;"'")&amp;") AS resultado_balon_"&amp;ROW()&amp;";")</f>
        <v/>
      </c>
    </row>
    <row r="28" ht="15.75" customHeight="1" s="64">
      <c r="A28" s="36" t="inlineStr">
        <is>
          <t>24</t>
        </is>
      </c>
      <c r="B28" s="25">
        <f>IF(AND(C28="",D28="",E28=""),"",IF(C28="","FALTA código balón",IF(D28="","FALTA tipo balón",IF(E28="","FALTA gas",IF(F28="","FALTA propietario",IF(AND(C28&lt;&gt;"",SUMPRODUCT(--($C$5:$C$1200=C28))&gt;1),"CÓDIGO BALÓN DUPLICADO",IF(AND(OR(UPPER(F28)="PLANTA",UPPER(F28)="CLIENTE"),G28=""),"FALTA doc propietario/planta",IF(AND(UPPER(F28)="PLANTA",G28="10175332796"),"PLANTA no puede ser RUC empresa","OK"))))))))</f>
        <v/>
      </c>
      <c r="C28" s="23" t="inlineStr">
        <is>
          <t>22K035085</t>
        </is>
      </c>
      <c r="D28" s="17" t="inlineStr">
        <is>
          <t>Argón Estándar 10 m3</t>
        </is>
      </c>
      <c r="E28" s="17" t="inlineStr">
        <is>
          <t>ARGON</t>
        </is>
      </c>
      <c r="F28" s="17" t="inlineStr">
        <is>
          <t>EMPRESA</t>
        </is>
      </c>
      <c r="G28" s="23" t="inlineStr">
        <is>
          <t>10175332796</t>
        </is>
      </c>
      <c r="H28" s="25" t="inlineStr">
        <is>
          <t>OXIGENO SARITA</t>
        </is>
      </c>
      <c r="I28" s="17" t="inlineStr">
        <is>
          <t>EN_PODER_CLIENTE</t>
        </is>
      </c>
      <c r="J28" s="17" t="n"/>
      <c r="K28" s="40" t="inlineStr">
        <is>
          <t>20536698834</t>
        </is>
      </c>
      <c r="L28" s="25">
        <f t="array" ref="L28">IF(K28="","",IFERROR(IF(INDEX(Clientes!$D$5:$D$549,MATCH(K28,Clientes!$C$5:$C$549,0))&lt;&gt;"",INDEX(Clientes!$D$5:$D$549,MATCH(K28,Clientes!$C$5:$C$549,0)),TRIM(INDEX(Clientes!$E$5:$E$549,MATCH(K28,Clientes!$C$5:$C$549,0))&amp;" "&amp;INDEX(Clientes!$F$5:$F$549,MATCH(K28,Clientes!$C$5:$C$549,0)))),"NO EXISTE en Clientes"))</f>
        <v/>
      </c>
      <c r="M28" s="17" t="n"/>
      <c r="N28" s="17" t="n"/>
      <c r="O28" s="42" t="n"/>
      <c r="P28" s="39">
        <f>IF(O28&lt;&gt;"",DATE(YEAR(O28)+5,MONTH(O28),1),IF(AND(M28&lt;&gt;"",N28&lt;&gt;""),DATE(M28+5,N28,1),""))</f>
        <v/>
      </c>
      <c r="Q28" s="23" t="n"/>
      <c r="R28" s="17" t="n"/>
      <c r="S28" s="17" t="n"/>
      <c r="T28" s="17" t="n"/>
      <c r="U28" s="17" t="n"/>
      <c r="V28" s="23" t="n"/>
      <c r="W28" s="17" t="n"/>
      <c r="X28" s="17" t="n"/>
      <c r="Y28" s="28">
        <f>IF(B28&lt;&gt;"OK","","SELECT bal_crear_balon(p_codigo_balon =&gt; "&amp;IF(TRIM(C28&amp;"")="","NULL","'"&amp;SUBSTITUTE(TRIM(C28),"'","''")&amp;"'")&amp;", p_id_tipo_balon =&gt; "&amp;"(SELECT id FROM bal_tipo_balon WHERE upper(nombre) = upper('"&amp;SUBSTITUTE(TRIM(D28),"'","''")&amp;"') AND estado = 1 LIMIT 1)"&amp;", p_id_producto_gas =&gt; "&amp;"(SELECT id FROM pro_producto WHERE es_gas = TRUE AND upper(nombre) = upper('"&amp;SUBSTITUTE(TRIM(E28),"'","''")&amp;"') AND estado = 1 LIMIT 1)"&amp;", p_id_propietario =&gt; "&amp;IF(TRIM(F28&amp;"")="","NULL","(SELECT lo.id FROM gen_lista_opciones lo JOIN gen_lista l ON l.id = lo.id_lista WHERE l.nombre = 'PropietarioBalon' AND upper(lo.nombre) = upper('"&amp;SUBSTITUTE(TRIM(F28),"'","''")&amp;"') AND lo.estado = 1 LIMIT 1)")&amp;", p_id_cliente_propietario =&gt; "&amp;IF(F28="CLIENTE",IF(TRIM(G28&amp;"")="","NULL","(SELECT id FROM cli_clientes WHERE numero_documento = '"&amp;SUBSTITUTE(TRIM(G28),"'","''")&amp;"' AND estado = 1 LIMIT 1)"),"NULL")&amp;", p_id_planta =&gt; "&amp;IF(F28="PLANTA",IF(TRIM(G28&amp;"")="","NULL","(SELECT id FROM cli_clientes WHERE numero_documento = '"&amp;SUBSTITUTE(TRIM(G28),"'","''")&amp;"'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"&amp;IF(TRIM(J28&amp;"")="","NULL","(SELECT id FROM gen_almacen WHERE upper(nombre) = upper('"&amp;SUBSTITUTE(TRIM(J28),"'","''")&amp;"') AND estado = 1 LIMIT 1)")&amp;", p_id_cliente_ubicacion =&gt; "&amp;IF(TRIM(K28&amp;"")="","NULL","(SELECT id FROM cli_clientes WHERE numero_documento = '"&amp;SUBSTITUTE(TRIM(K28),"'","''")&amp;"' AND estado = 1 LIMIT 1)")&amp;", p_id_referencia =&gt; "&amp;IF(TRIM(J28&amp;"")&lt;&gt;"","(SELECT lo.id FROM gen_lista_opciones lo JOIN gen_lista l ON l.id = lo.id_lista WHERE l.nombre = 'ReferenciaCilindro' AND upper(lo.nombre) = 'ALMACEN' AND lo.estado = 1 LIMIT 1)",IF(TRIM(K28&amp;"")&lt;&gt;"","(SELECT lo.id FROM gen_lista_opciones lo JOIN gen_lista l ON l.id = lo.id_lista WHERE l.nombre = 'ReferenciaCilindro' AND upper(lo.nombre) = 'CLIENTE' AND lo.estado = 1 LIMIT 1)","NULL"))&amp;", p_anio_fabricacion =&gt; "&amp;IF(M28&amp;""="","NULL::smallint",M28&amp;"::smallint")&amp;", p_mes_fabricacion =&gt; "&amp;IF(N28&amp;""="","NULL::smallint",N28&amp;"::smallint")&amp;", p_fecha_ultima_prueba_hidrostatica =&gt; "&amp;IF(O28&amp;""="","NULL","'"&amp;YEAR(O28)&amp;"-"&amp;TEXT(MONTH(O28),"00")&amp;"-"&amp;TEXT(DAY(O28),"00")&amp;"'")&amp;", p_numero_serie =&gt; "&amp;IF(TRIM(Q28&amp;"")="","NULL","'"&amp;SUBSTITUTE(TRIM(Q28),"'","''")&amp;"'")&amp;", p_id_marca_cilindro =&gt; "&amp;IF(TRIM(R28&amp;"")="","NULL","(SELECT lo.id FROM gen_lista_opciones lo JOIN gen_lista l ON l.id = lo.id_lista WHERE l.nombre = 'MarcaCilindro' AND upper(lo.nombre) = upper('"&amp;SUBSTITUTE(TRIM(R28),"'","''")&amp;"') AND lo.estado = 1 LIMIT 1)")&amp;", p_id_organo_inspector =&gt; "&amp;IF(TRIM(S28&amp;"")="","NULL","(SELECT lo.id FROM gen_lista_opciones lo JOIN gen_lista l ON l.id = lo.id_lista WHERE l.nombre = 'OrganoInspectorCilindro' AND upper(lo.nombre) = upper('"&amp;SUBSTITUTE(TRIM(S28),"'","''")&amp;"') AND lo.estado = 1 LIMIT 1)")&amp;", p_organo_inspector_no_aplica =&gt; "&amp;IF(S28="NO_APLICA","TRUE","FALSE")&amp;", p_presion_actual =&gt; "&amp;IF(T28&amp;""="","NULL",SUBSTITUTE(T28&amp;"",",","."))&amp;", p_tipo_valvula =&gt; "&amp;IF(TRIM(U28&amp;"")="","NULL","'"&amp;SUBSTITUTE(TRIM(U28),"'","''")&amp;"'")&amp;", p_libro_cilindro =&gt; "&amp;IF(TRIM(V28&amp;"")="","NULL","'"&amp;SUBSTITUTE(TRIM(V28),"'","''")&amp;"'")&amp;", p_pagina_libro =&gt; "&amp;IF(W28&amp;""="","NULL",SUBSTITUTE(W28&amp;"",",","."))&amp;", p_observacion =&gt; "&amp;IF(TRIM(X28&amp;"")="","NULL","'"&amp;SUBSTITUTE(TRIM(X28),"'","''")&amp;"'")&amp;") AS resultado_balon_"&amp;ROW()&amp;";")</f>
        <v/>
      </c>
    </row>
    <row r="29" ht="15.75" customHeight="1" s="64">
      <c r="A29" s="36" t="inlineStr">
        <is>
          <t>25</t>
        </is>
      </c>
      <c r="B29" s="25">
        <f>IF(AND(C29="",D29="",E29=""),"",IF(C29="","FALTA código balón",IF(D29="","FALTA tipo balón",IF(E29="","FALTA gas",IF(F29="","FALTA propietario",IF(AND(C29&lt;&gt;"",SUMPRODUCT(--($C$5:$C$1200=C29))&gt;1),"CÓDIGO BALÓN DUPLICADO",IF(AND(OR(UPPER(F29)="PLANTA",UPPER(F29)="CLIENTE"),G29=""),"FALTA doc propietario/planta",IF(AND(UPPER(F29)="PLANTA",G29="10175332796"),"PLANTA no puede ser RUC empresa","OK"))))))))</f>
        <v/>
      </c>
      <c r="C29" s="23" t="inlineStr">
        <is>
          <t>GA972064</t>
        </is>
      </c>
      <c r="D29" s="17" t="inlineStr">
        <is>
          <t>Argón Estándar  6 m3</t>
        </is>
      </c>
      <c r="E29" s="17" t="inlineStr">
        <is>
          <t>ARGON</t>
        </is>
      </c>
      <c r="F29" s="17" t="inlineStr">
        <is>
          <t>EMPRESA</t>
        </is>
      </c>
      <c r="G29" s="23" t="inlineStr">
        <is>
          <t>10175332796</t>
        </is>
      </c>
      <c r="H29" s="25" t="inlineStr">
        <is>
          <t>OXIGENO SARITA</t>
        </is>
      </c>
      <c r="I29" s="17" t="inlineStr">
        <is>
          <t>EN_PODER_CLIENTE</t>
        </is>
      </c>
      <c r="J29" s="17" t="n"/>
      <c r="K29" s="40" t="inlineStr">
        <is>
          <t>10477042347</t>
        </is>
      </c>
      <c r="L29" s="25">
        <f t="array" ref="L29">IF(K29="","",IFERROR(IF(INDEX(Clientes!$D$5:$D$549,MATCH(K29,Clientes!$C$5:$C$549,0))&lt;&gt;"",INDEX(Clientes!$D$5:$D$549,MATCH(K29,Clientes!$C$5:$C$549,0)),TRIM(INDEX(Clientes!$E$5:$E$549,MATCH(K29,Clientes!$C$5:$C$549,0))&amp;" "&amp;INDEX(Clientes!$F$5:$F$549,MATCH(K29,Clientes!$C$5:$C$549,0)))),"NO EXISTE en Clientes"))</f>
        <v/>
      </c>
      <c r="M29" s="17" t="n"/>
      <c r="N29" s="17" t="n"/>
      <c r="O29" s="42" t="n"/>
      <c r="P29" s="39">
        <f>IF(O29&lt;&gt;"",DATE(YEAR(O29)+5,MONTH(O29),1),IF(AND(M29&lt;&gt;"",N29&lt;&gt;""),DATE(M29+5,N29,1),""))</f>
        <v/>
      </c>
      <c r="Q29" s="23" t="n"/>
      <c r="R29" s="17" t="n"/>
      <c r="S29" s="17" t="n"/>
      <c r="T29" s="17" t="n"/>
      <c r="U29" s="17" t="n"/>
      <c r="V29" s="23" t="n"/>
      <c r="W29" s="17" t="n"/>
      <c r="X29" s="17" t="n"/>
      <c r="Y29" s="28">
        <f>IF(B29&lt;&gt;"OK","","SELECT bal_crear_balon(p_codigo_balon =&gt; "&amp;IF(TRIM(C29&amp;"")="","NULL","'"&amp;SUBSTITUTE(TRIM(C29),"'","''")&amp;"'")&amp;", p_id_tipo_balon =&gt; "&amp;"(SELECT id FROM bal_tipo_balon WHERE upper(nombre) = upper('"&amp;SUBSTITUTE(TRIM(D29),"'","''")&amp;"') AND estado = 1 LIMIT 1)"&amp;", p_id_producto_gas =&gt; "&amp;"(SELECT id FROM pro_producto WHERE es_gas = TRUE AND upper(nombre) = upper('"&amp;SUBSTITUTE(TRIM(E29),"'","''")&amp;"') AND estado = 1 LIMIT 1)"&amp;", p_id_propietario =&gt; "&amp;IF(TRIM(F29&amp;"")="","NULL","(SELECT lo.id FROM gen_lista_opciones lo JOIN gen_lista l ON l.id = lo.id_lista WHERE l.nombre = 'PropietarioBalon' AND upper(lo.nombre) = upper('"&amp;SUBSTITUTE(TRIM(F29),"'","''")&amp;"') AND lo.estado = 1 LIMIT 1)")&amp;", p_id_cliente_propietario =&gt; "&amp;IF(F29="CLIENTE",IF(TRIM(G29&amp;"")="","NULL","(SELECT id FROM cli_clientes WHERE numero_documento = '"&amp;SUBSTITUTE(TRIM(G29),"'","''")&amp;"' AND estado = 1 LIMIT 1)"),"NULL")&amp;", p_id_planta =&gt; "&amp;IF(F29="PLANTA",IF(TRIM(G29&amp;"")="","NULL","(SELECT id FROM cli_clientes WHERE numero_documento = '"&amp;SUBSTITUTE(TRIM(G29),"'","''")&amp;"'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"&amp;IF(TRIM(J29&amp;"")="","NULL","(SELECT id FROM gen_almacen WHERE upper(nombre) = upper('"&amp;SUBSTITUTE(TRIM(J29),"'","''")&amp;"') AND estado = 1 LIMIT 1)")&amp;", p_id_cliente_ubicacion =&gt; "&amp;IF(TRIM(K29&amp;"")="","NULL","(SELECT id FROM cli_clientes WHERE numero_documento = '"&amp;SUBSTITUTE(TRIM(K29),"'","''")&amp;"' AND estado = 1 LIMIT 1)")&amp;", p_id_referencia =&gt; "&amp;IF(TRIM(J29&amp;"")&lt;&gt;"","(SELECT lo.id FROM gen_lista_opciones lo JOIN gen_lista l ON l.id = lo.id_lista WHERE l.nombre = 'ReferenciaCilindro' AND upper(lo.nombre) = 'ALMACEN' AND lo.estado = 1 LIMIT 1)",IF(TRIM(K29&amp;"")&lt;&gt;"","(SELECT lo.id FROM gen_lista_opciones lo JOIN gen_lista l ON l.id = lo.id_lista WHERE l.nombre = 'ReferenciaCilindro' AND upper(lo.nombre) = 'CLIENTE' AND lo.estado = 1 LIMIT 1)","NULL"))&amp;", p_anio_fabricacion =&gt; "&amp;IF(M29&amp;""="","NULL::smallint",M29&amp;"::smallint")&amp;", p_mes_fabricacion =&gt; "&amp;IF(N29&amp;""="","NULL::smallint",N29&amp;"::smallint")&amp;", p_fecha_ultima_prueba_hidrostatica =&gt; "&amp;IF(O29&amp;""="","NULL","'"&amp;YEAR(O29)&amp;"-"&amp;TEXT(MONTH(O29),"00")&amp;"-"&amp;TEXT(DAY(O29),"00")&amp;"'")&amp;", p_numero_serie =&gt; "&amp;IF(TRIM(Q29&amp;"")="","NULL","'"&amp;SUBSTITUTE(TRIM(Q29),"'","''")&amp;"'")&amp;", p_id_marca_cilindro =&gt; "&amp;IF(TRIM(R29&amp;"")="","NULL","(SELECT lo.id FROM gen_lista_opciones lo JOIN gen_lista l ON l.id = lo.id_lista WHERE l.nombre = 'MarcaCilindro' AND upper(lo.nombre) = upper('"&amp;SUBSTITUTE(TRIM(R29),"'","''")&amp;"') AND lo.estado = 1 LIMIT 1)")&amp;", p_id_organo_inspector =&gt; "&amp;IF(TRIM(S29&amp;"")="","NULL","(SELECT lo.id FROM gen_lista_opciones lo JOIN gen_lista l ON l.id = lo.id_lista WHERE l.nombre = 'OrganoInspectorCilindro' AND upper(lo.nombre) = upper('"&amp;SUBSTITUTE(TRIM(S29),"'","''")&amp;"') AND lo.estado = 1 LIMIT 1)")&amp;", p_organo_inspector_no_aplica =&gt; "&amp;IF(S29="NO_APLICA","TRUE","FALSE")&amp;", p_presion_actual =&gt; "&amp;IF(T29&amp;""="","NULL",SUBSTITUTE(T29&amp;"",",","."))&amp;", p_tipo_valvula =&gt; "&amp;IF(TRIM(U29&amp;"")="","NULL","'"&amp;SUBSTITUTE(TRIM(U29),"'","''")&amp;"'")&amp;", p_libro_cilindro =&gt; "&amp;IF(TRIM(V29&amp;"")="","NULL","'"&amp;SUBSTITUTE(TRIM(V29),"'","''")&amp;"'")&amp;", p_pagina_libro =&gt; "&amp;IF(W29&amp;""="","NULL",SUBSTITUTE(W29&amp;"",",","."))&amp;", p_observacion =&gt; "&amp;IF(TRIM(X29&amp;"")="","NULL","'"&amp;SUBSTITUTE(TRIM(X29),"'","''")&amp;"'")&amp;") AS resultado_balon_"&amp;ROW()&amp;";")</f>
        <v/>
      </c>
    </row>
    <row r="30" ht="15.75" customHeight="1" s="64">
      <c r="A30" s="36" t="inlineStr">
        <is>
          <t>26</t>
        </is>
      </c>
      <c r="B30" s="25">
        <f>IF(AND(C30="",D30="",E30=""),"",IF(C30="","FALTA código balón",IF(D30="","FALTA tipo balón",IF(E30="","FALTA gas",IF(F30="","FALTA propietario",IF(AND(C30&lt;&gt;"",SUMPRODUCT(--($C$5:$C$1200=C30))&gt;1),"CÓDIGO BALÓN DUPLICADO",IF(AND(OR(UPPER(F30)="PLANTA",UPPER(F30)="CLIENTE"),G30=""),"FALTA doc propietario/planta",IF(AND(UPPER(F30)="PLANTA",G30="10175332796"),"PLANTA no puede ser RUC empresa","OK"))))))))</f>
        <v/>
      </c>
      <c r="C30" s="23" t="inlineStr">
        <is>
          <t>4156931</t>
        </is>
      </c>
      <c r="D30" s="17" t="inlineStr">
        <is>
          <t>Argón Estándar  6 m3</t>
        </is>
      </c>
      <c r="E30" s="17" t="inlineStr">
        <is>
          <t>ARGON</t>
        </is>
      </c>
      <c r="F30" s="17" t="inlineStr">
        <is>
          <t>EMPRESA</t>
        </is>
      </c>
      <c r="G30" s="23" t="inlineStr">
        <is>
          <t>10175332796</t>
        </is>
      </c>
      <c r="H30" s="25" t="inlineStr">
        <is>
          <t>OXIGENO SARITA</t>
        </is>
      </c>
      <c r="I30" s="17" t="inlineStr">
        <is>
          <t>EN_RECARGA_EXTERNA</t>
        </is>
      </c>
      <c r="J30" s="17" t="n"/>
      <c r="K30" s="40" t="inlineStr">
        <is>
          <t>20536698834</t>
        </is>
      </c>
      <c r="L30" s="25">
        <f t="array" ref="L30">IF(K30="","",IFERROR(IF(INDEX(Clientes!$D$5:$D$549,MATCH(K30,Clientes!$C$5:$C$549,0))&lt;&gt;"",INDEX(Clientes!$D$5:$D$549,MATCH(K30,Clientes!$C$5:$C$549,0)),TRIM(INDEX(Clientes!$E$5:$E$549,MATCH(K30,Clientes!$C$5:$C$549,0))&amp;" "&amp;INDEX(Clientes!$F$5:$F$549,MATCH(K30,Clientes!$C$5:$C$549,0)))),"NO EXISTE en Clientes"))</f>
        <v/>
      </c>
      <c r="M30" s="17" t="n"/>
      <c r="N30" s="17" t="n"/>
      <c r="O30" s="42" t="n"/>
      <c r="P30" s="39">
        <f>IF(O30&lt;&gt;"",DATE(YEAR(O30)+5,MONTH(O30),1),IF(AND(M30&lt;&gt;"",N30&lt;&gt;""),DATE(M30+5,N30,1),""))</f>
        <v/>
      </c>
      <c r="Q30" s="23" t="n"/>
      <c r="R30" s="17" t="n"/>
      <c r="S30" s="17" t="n"/>
      <c r="T30" s="17" t="n"/>
      <c r="U30" s="17" t="n"/>
      <c r="V30" s="23" t="n"/>
      <c r="W30" s="17" t="n"/>
      <c r="X30" s="17" t="n"/>
      <c r="Y30" s="28">
        <f>IF(B30&lt;&gt;"OK","","SELECT bal_crear_balon(p_codigo_balon =&gt; "&amp;IF(TRIM(C30&amp;"")="","NULL","'"&amp;SUBSTITUTE(TRIM(C30),"'","''")&amp;"'")&amp;", p_id_tipo_balon =&gt; "&amp;"(SELECT id FROM bal_tipo_balon WHERE upper(nombre) = upper('"&amp;SUBSTITUTE(TRIM(D30),"'","''")&amp;"') AND estado = 1 LIMIT 1)"&amp;", p_id_producto_gas =&gt; "&amp;"(SELECT id FROM pro_producto WHERE es_gas = TRUE AND upper(nombre) = upper('"&amp;SUBSTITUTE(TRIM(E30),"'","''")&amp;"') AND estado = 1 LIMIT 1)"&amp;", p_id_propietario =&gt; "&amp;IF(TRIM(F30&amp;"")="","NULL","(SELECT lo.id FROM gen_lista_opciones lo JOIN gen_lista l ON l.id = lo.id_lista WHERE l.nombre = 'PropietarioBalon' AND upper(lo.nombre) = upper('"&amp;SUBSTITUTE(TRIM(F30),"'","''")&amp;"') AND lo.estado = 1 LIMIT 1)")&amp;", p_id_cliente_propietario =&gt; "&amp;IF(F30="CLIENTE",IF(TRIM(G30&amp;"")="","NULL","(SELECT id FROM cli_clientes WHERE numero_documento = '"&amp;SUBSTITUTE(TRIM(G30),"'","''")&amp;"' AND estado = 1 LIMIT 1)"),"NULL")&amp;", p_id_planta =&gt; "&amp;IF(F30="PLANTA",IF(TRIM(G30&amp;"")="","NULL","(SELECT id FROM cli_clientes WHERE numero_documento = '"&amp;SUBSTITUTE(TRIM(G30),"'","''")&amp;"'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"&amp;IF(TRIM(J30&amp;"")="","NULL","(SELECT id FROM gen_almacen WHERE upper(nombre) = upper('"&amp;SUBSTITUTE(TRIM(J30),"'","''")&amp;"') AND estado = 1 LIMIT 1)")&amp;", p_id_cliente_ubicacion =&gt; "&amp;IF(TRIM(K30&amp;"")="","NULL","(SELECT id FROM cli_clientes WHERE numero_documento = '"&amp;SUBSTITUTE(TRIM(K30),"'","''")&amp;"' AND estado = 1 LIMIT 1)")&amp;", p_id_referencia =&gt; "&amp;IF(TRIM(J30&amp;"")&lt;&gt;"","(SELECT lo.id FROM gen_lista_opciones lo JOIN gen_lista l ON l.id = lo.id_lista WHERE l.nombre = 'ReferenciaCilindro' AND upper(lo.nombre) = 'ALMACEN' AND lo.estado = 1 LIMIT 1)",IF(TRIM(K30&amp;"")&lt;&gt;"","(SELECT lo.id FROM gen_lista_opciones lo JOIN gen_lista l ON l.id = lo.id_lista WHERE l.nombre = 'ReferenciaCilindro' AND upper(lo.nombre) = 'CLIENTE' AND lo.estado = 1 LIMIT 1)","NULL"))&amp;", p_anio_fabricacion =&gt; "&amp;IF(M30&amp;""="","NULL::smallint",M30&amp;"::smallint")&amp;", p_mes_fabricacion =&gt; "&amp;IF(N30&amp;""="","NULL::smallint",N30&amp;"::smallint")&amp;", p_fecha_ultima_prueba_hidrostatica =&gt; "&amp;IF(O30&amp;""="","NULL","'"&amp;YEAR(O30)&amp;"-"&amp;TEXT(MONTH(O30),"00")&amp;"-"&amp;TEXT(DAY(O30),"00")&amp;"'")&amp;", p_numero_serie =&gt; "&amp;IF(TRIM(Q30&amp;"")="","NULL","'"&amp;SUBSTITUTE(TRIM(Q30),"'","''")&amp;"'")&amp;", p_id_marca_cilindro =&gt; "&amp;IF(TRIM(R30&amp;"")="","NULL","(SELECT lo.id FROM gen_lista_opciones lo JOIN gen_lista l ON l.id = lo.id_lista WHERE l.nombre = 'MarcaCilindro' AND upper(lo.nombre) = upper('"&amp;SUBSTITUTE(TRIM(R30),"'","''")&amp;"') AND lo.estado = 1 LIMIT 1)")&amp;", p_id_organo_inspector =&gt; "&amp;IF(TRIM(S30&amp;"")="","NULL","(SELECT lo.id FROM gen_lista_opciones lo JOIN gen_lista l ON l.id = lo.id_lista WHERE l.nombre = 'OrganoInspectorCilindro' AND upper(lo.nombre) = upper('"&amp;SUBSTITUTE(TRIM(S30),"'","''")&amp;"') AND lo.estado = 1 LIMIT 1)")&amp;", p_organo_inspector_no_aplica =&gt; "&amp;IF(S30="NO_APLICA","TRUE","FALSE")&amp;", p_presion_actual =&gt; "&amp;IF(T30&amp;""="","NULL",SUBSTITUTE(T30&amp;"",",","."))&amp;", p_tipo_valvula =&gt; "&amp;IF(TRIM(U30&amp;"")="","NULL","'"&amp;SUBSTITUTE(TRIM(U30),"'","''")&amp;"'")&amp;", p_libro_cilindro =&gt; "&amp;IF(TRIM(V30&amp;"")="","NULL","'"&amp;SUBSTITUTE(TRIM(V30),"'","''")&amp;"'")&amp;", p_pagina_libro =&gt; "&amp;IF(W30&amp;""="","NULL",SUBSTITUTE(W30&amp;"",",","."))&amp;", p_observacion =&gt; "&amp;IF(TRIM(X30&amp;"")="","NULL","'"&amp;SUBSTITUTE(TRIM(X30),"'","''")&amp;"'")&amp;") AS resultado_balon_"&amp;ROW()&amp;";")</f>
        <v/>
      </c>
    </row>
    <row r="31" ht="15.75" customHeight="1" s="64">
      <c r="A31" s="36" t="inlineStr">
        <is>
          <t>27</t>
        </is>
      </c>
      <c r="B31" s="25">
        <f>IF(AND(C31="",D31="",E31=""),"",IF(C31="","FALTA código balón",IF(D31="","FALTA tipo balón",IF(E31="","FALTA gas",IF(F31="","FALTA propietario",IF(AND(C31&lt;&gt;"",SUMPRODUCT(--($C$5:$C$1200=C31))&gt;1),"CÓDIGO BALÓN DUPLICADO",IF(AND(OR(UPPER(F31)="PLANTA",UPPER(F31)="CLIENTE"),G31=""),"FALTA doc propietario/planta",IF(AND(UPPER(F31)="PLANTA",G31="10175332796"),"PLANTA no puede ser RUC empresa","OK"))))))))</f>
        <v/>
      </c>
      <c r="C31" s="23" t="inlineStr">
        <is>
          <t>GA785012</t>
        </is>
      </c>
      <c r="D31" s="17" t="inlineStr">
        <is>
          <t>Argón Estándar  6 m3</t>
        </is>
      </c>
      <c r="E31" s="17" t="inlineStr">
        <is>
          <t>ARGON</t>
        </is>
      </c>
      <c r="F31" s="17" t="inlineStr">
        <is>
          <t>EMPRESA</t>
        </is>
      </c>
      <c r="G31" s="23" t="inlineStr">
        <is>
          <t>10175332796</t>
        </is>
      </c>
      <c r="H31" s="25" t="inlineStr">
        <is>
          <t>OXIGENO SARITA</t>
        </is>
      </c>
      <c r="I31" s="17" t="inlineStr">
        <is>
          <t>DISPONIBLE</t>
        </is>
      </c>
      <c r="J31" s="17" t="inlineStr">
        <is>
          <t>ALMACEN PRINCIPAL</t>
        </is>
      </c>
      <c r="K31" s="40" t="n"/>
      <c r="L31" s="25">
        <f t="array" ref="L31">IF(K31="","",IFERROR(IF(INDEX(Clientes!$D$5:$D$549,MATCH(K31,Clientes!$C$5:$C$549,0))&lt;&gt;"",INDEX(Clientes!$D$5:$D$549,MATCH(K31,Clientes!$C$5:$C$549,0)),TRIM(INDEX(Clientes!$E$5:$E$549,MATCH(K31,Clientes!$C$5:$C$549,0))&amp;" "&amp;INDEX(Clientes!$F$5:$F$549,MATCH(K31,Clientes!$C$5:$C$549,0)))),"NO EXISTE en Clientes"))</f>
        <v/>
      </c>
      <c r="M31" s="17" t="n"/>
      <c r="N31" s="17" t="n"/>
      <c r="O31" s="42" t="n"/>
      <c r="P31" s="39">
        <f>IF(O31&lt;&gt;"",DATE(YEAR(O31)+5,MONTH(O31),1),IF(AND(M31&lt;&gt;"",N31&lt;&gt;""),DATE(M31+5,N31,1),""))</f>
        <v/>
      </c>
      <c r="Q31" s="23" t="n"/>
      <c r="R31" s="17" t="n"/>
      <c r="S31" s="17" t="n"/>
      <c r="T31" s="17" t="n"/>
      <c r="U31" s="17" t="n"/>
      <c r="V31" s="23" t="n"/>
      <c r="W31" s="17" t="n"/>
      <c r="X31" s="17" t="n"/>
      <c r="Y31" s="28">
        <f>IF(B31&lt;&gt;"OK","","SELECT bal_crear_balon(p_codigo_balon =&gt; "&amp;IF(TRIM(C31&amp;"")="","NULL","'"&amp;SUBSTITUTE(TRIM(C31),"'","''")&amp;"'")&amp;", p_id_tipo_balon =&gt; "&amp;"(SELECT id FROM bal_tipo_balon WHERE upper(nombre) = upper('"&amp;SUBSTITUTE(TRIM(D31),"'","''")&amp;"') AND estado = 1 LIMIT 1)"&amp;", p_id_producto_gas =&gt; "&amp;"(SELECT id FROM pro_producto WHERE es_gas = TRUE AND upper(nombre) = upper('"&amp;SUBSTITUTE(TRIM(E31),"'","''")&amp;"') AND estado = 1 LIMIT 1)"&amp;", p_id_propietario =&gt; "&amp;IF(TRIM(F31&amp;"")="","NULL","(SELECT lo.id FROM gen_lista_opciones lo JOIN gen_lista l ON l.id = lo.id_lista WHERE l.nombre = 'PropietarioBalon' AND upper(lo.nombre) = upper('"&amp;SUBSTITUTE(TRIM(F31),"'","''")&amp;"') AND lo.estado = 1 LIMIT 1)")&amp;", p_id_cliente_propietario =&gt; "&amp;IF(F31="CLIENTE",IF(TRIM(G31&amp;"")="","NULL","(SELECT id FROM cli_clientes WHERE numero_documento = '"&amp;SUBSTITUTE(TRIM(G31),"'","''")&amp;"' AND estado = 1 LIMIT 1)"),"NULL")&amp;", p_id_planta =&gt; "&amp;IF(F31="PLANTA",IF(TRIM(G31&amp;"")="","NULL","(SELECT id FROM cli_clientes WHERE numero_documento = '"&amp;SUBSTITUTE(TRIM(G31),"'","''")&amp;"'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"&amp;IF(TRIM(J31&amp;"")="","NULL","(SELECT id FROM gen_almacen WHERE upper(nombre) = upper('"&amp;SUBSTITUTE(TRIM(J31),"'","''")&amp;"') AND estado = 1 LIMIT 1)")&amp;", p_id_cliente_ubicacion =&gt; "&amp;IF(TRIM(K31&amp;"")="","NULL","(SELECT id FROM cli_clientes WHERE numero_documento = '"&amp;SUBSTITUTE(TRIM(K31),"'","''")&amp;"' AND estado = 1 LIMIT 1)")&amp;", p_id_referencia =&gt; "&amp;IF(TRIM(J31&amp;"")&lt;&gt;"","(SELECT lo.id FROM gen_lista_opciones lo JOIN gen_lista l ON l.id = lo.id_lista WHERE l.nombre = 'ReferenciaCilindro' AND upper(lo.nombre) = 'ALMACEN' AND lo.estado = 1 LIMIT 1)",IF(TRIM(K31&amp;"")&lt;&gt;"","(SELECT lo.id FROM gen_lista_opciones lo JOIN gen_lista l ON l.id = lo.id_lista WHERE l.nombre = 'ReferenciaCilindro' AND upper(lo.nombre) = 'CLIENTE' AND lo.estado = 1 LIMIT 1)","NULL"))&amp;", p_anio_fabricacion =&gt; "&amp;IF(M31&amp;""="","NULL::smallint",M31&amp;"::smallint")&amp;", p_mes_fabricacion =&gt; "&amp;IF(N31&amp;""="","NULL::smallint",N31&amp;"::smallint")&amp;", p_fecha_ultima_prueba_hidrostatica =&gt; "&amp;IF(O31&amp;""="","NULL","'"&amp;YEAR(O31)&amp;"-"&amp;TEXT(MONTH(O31),"00")&amp;"-"&amp;TEXT(DAY(O31),"00")&amp;"'")&amp;", p_numero_serie =&gt; "&amp;IF(TRIM(Q31&amp;"")="","NULL","'"&amp;SUBSTITUTE(TRIM(Q31),"'","''")&amp;"'")&amp;", p_id_marca_cilindro =&gt; "&amp;IF(TRIM(R31&amp;"")="","NULL","(SELECT lo.id FROM gen_lista_opciones lo JOIN gen_lista l ON l.id = lo.id_lista WHERE l.nombre = 'MarcaCilindro' AND upper(lo.nombre) = upper('"&amp;SUBSTITUTE(TRIM(R31),"'","''")&amp;"') AND lo.estado = 1 LIMIT 1)")&amp;", p_id_organo_inspector =&gt; "&amp;IF(TRIM(S31&amp;"")="","NULL","(SELECT lo.id FROM gen_lista_opciones lo JOIN gen_lista l ON l.id = lo.id_lista WHERE l.nombre = 'OrganoInspectorCilindro' AND upper(lo.nombre) = upper('"&amp;SUBSTITUTE(TRIM(S31),"'","''")&amp;"') AND lo.estado = 1 LIMIT 1)")&amp;", p_organo_inspector_no_aplica =&gt; "&amp;IF(S31="NO_APLICA","TRUE","FALSE")&amp;", p_presion_actual =&gt; "&amp;IF(T31&amp;""="","NULL",SUBSTITUTE(T31&amp;"",",","."))&amp;", p_tipo_valvula =&gt; "&amp;IF(TRIM(U31&amp;"")="","NULL","'"&amp;SUBSTITUTE(TRIM(U31),"'","''")&amp;"'")&amp;", p_libro_cilindro =&gt; "&amp;IF(TRIM(V31&amp;"")="","NULL","'"&amp;SUBSTITUTE(TRIM(V31),"'","''")&amp;"'")&amp;", p_pagina_libro =&gt; "&amp;IF(W31&amp;""="","NULL",SUBSTITUTE(W31&amp;"",",","."))&amp;", p_observacion =&gt; "&amp;IF(TRIM(X31&amp;"")="","NULL","'"&amp;SUBSTITUTE(TRIM(X31),"'","''")&amp;"'")&amp;") AS resultado_balon_"&amp;ROW()&amp;";")</f>
        <v/>
      </c>
    </row>
    <row r="32" ht="15.75" customHeight="1" s="64">
      <c r="A32" s="36" t="inlineStr">
        <is>
          <t>28</t>
        </is>
      </c>
      <c r="B32" s="25">
        <f>IF(AND(C32="",D32="",E32=""),"",IF(C32="","FALTA código balón",IF(D32="","FALTA tipo balón",IF(E32="","FALTA gas",IF(F32="","FALTA propietario",IF(AND(C32&lt;&gt;"",SUMPRODUCT(--($C$5:$C$1200=C32))&gt;1),"CÓDIGO BALÓN DUPLICADO",IF(AND(OR(UPPER(F32)="PLANTA",UPPER(F32)="CLIENTE"),G32=""),"FALTA doc propietario/planta",IF(AND(UPPER(F32)="PLANTA",G32="10175332796"),"PLANTA no puede ser RUC empresa","OK"))))))))</f>
        <v/>
      </c>
      <c r="C32" s="23" t="inlineStr">
        <is>
          <t>GA971194</t>
        </is>
      </c>
      <c r="D32" s="17" t="inlineStr">
        <is>
          <t>Argón Estándar  6 m3</t>
        </is>
      </c>
      <c r="E32" s="17" t="inlineStr">
        <is>
          <t>ARGON</t>
        </is>
      </c>
      <c r="F32" s="17" t="inlineStr">
        <is>
          <t>EMPRESA</t>
        </is>
      </c>
      <c r="G32" s="23" t="inlineStr">
        <is>
          <t>10175332796</t>
        </is>
      </c>
      <c r="H32" s="25" t="inlineStr">
        <is>
          <t>OXIGENO SARITA</t>
        </is>
      </c>
      <c r="I32" s="17" t="inlineStr">
        <is>
          <t>EN_PODER_CLIENTE</t>
        </is>
      </c>
      <c r="J32" s="17" t="n"/>
      <c r="K32" s="26" t="inlineStr">
        <is>
          <t>45370902</t>
        </is>
      </c>
      <c r="L32" s="25">
        <f t="array" ref="L32">IF(K32="","",IFERROR(IF(INDEX(Clientes!$D$5:$D$549,MATCH(K32,Clientes!$C$5:$C$549,0))&lt;&gt;"",INDEX(Clientes!$D$5:$D$549,MATCH(K32,Clientes!$C$5:$C$549,0)),TRIM(INDEX(Clientes!$E$5:$E$549,MATCH(K32,Clientes!$C$5:$C$549,0))&amp;" "&amp;INDEX(Clientes!$F$5:$F$549,MATCH(K32,Clientes!$C$5:$C$549,0)))),"NO EXISTE en Clientes"))</f>
        <v/>
      </c>
      <c r="M32" s="17" t="n"/>
      <c r="N32" s="17" t="n"/>
      <c r="O32" s="42" t="n"/>
      <c r="P32" s="39">
        <f>IF(O32&lt;&gt;"",DATE(YEAR(O32)+5,MONTH(O32),1),IF(AND(M32&lt;&gt;"",N32&lt;&gt;""),DATE(M32+5,N32,1),""))</f>
        <v/>
      </c>
      <c r="Q32" s="23" t="n"/>
      <c r="R32" s="17" t="n"/>
      <c r="S32" s="17" t="n"/>
      <c r="T32" s="17" t="n"/>
      <c r="U32" s="17" t="n"/>
      <c r="V32" s="23" t="n"/>
      <c r="W32" s="17" t="n"/>
      <c r="X32" s="17" t="n"/>
      <c r="Y32" s="28">
        <f>IF(B32&lt;&gt;"OK","","SELECT bal_crear_balon(p_codigo_balon =&gt; "&amp;IF(TRIM(C32&amp;"")="","NULL","'"&amp;SUBSTITUTE(TRIM(C32),"'","''")&amp;"'")&amp;", p_id_tipo_balon =&gt; "&amp;"(SELECT id FROM bal_tipo_balon WHERE upper(nombre) = upper('"&amp;SUBSTITUTE(TRIM(D32),"'","''")&amp;"') AND estado = 1 LIMIT 1)"&amp;", p_id_producto_gas =&gt; "&amp;"(SELECT id FROM pro_producto WHERE es_gas = TRUE AND upper(nombre) = upper('"&amp;SUBSTITUTE(TRIM(E32),"'","''")&amp;"') AND estado = 1 LIMIT 1)"&amp;", p_id_propietario =&gt; "&amp;IF(TRIM(F32&amp;"")="","NULL","(SELECT lo.id FROM gen_lista_opciones lo JOIN gen_lista l ON l.id = lo.id_lista WHERE l.nombre = 'PropietarioBalon' AND upper(lo.nombre) = upper('"&amp;SUBSTITUTE(TRIM(F32),"'","''")&amp;"') AND lo.estado = 1 LIMIT 1)")&amp;", p_id_cliente_propietario =&gt; "&amp;IF(F32="CLIENTE",IF(TRIM(G32&amp;"")="","NULL","(SELECT id FROM cli_clientes WHERE numero_documento = '"&amp;SUBSTITUTE(TRIM(G32),"'","''")&amp;"' AND estado = 1 LIMIT 1)"),"NULL")&amp;", p_id_planta =&gt; "&amp;IF(F32="PLANTA",IF(TRIM(G32&amp;"")="","NULL","(SELECT id FROM cli_clientes WHERE numero_documento = '"&amp;SUBSTITUTE(TRIM(G32),"'","''")&amp;"'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"&amp;IF(TRIM(J32&amp;"")="","NULL","(SELECT id FROM gen_almacen WHERE upper(nombre) = upper('"&amp;SUBSTITUTE(TRIM(J32),"'","''")&amp;"') AND estado = 1 LIMIT 1)")&amp;", p_id_cliente_ubicacion =&gt; "&amp;IF(TRIM(K32&amp;"")="","NULL","(SELECT id FROM cli_clientes WHERE numero_documento = '"&amp;SUBSTITUTE(TRIM(K32),"'","''")&amp;"' AND estado = 1 LIMIT 1)")&amp;", p_id_referencia =&gt; "&amp;IF(TRIM(J32&amp;"")&lt;&gt;"","(SELECT lo.id FROM gen_lista_opciones lo JOIN gen_lista l ON l.id = lo.id_lista WHERE l.nombre = 'ReferenciaCilindro' AND upper(lo.nombre) = 'ALMACEN' AND lo.estado = 1 LIMIT 1)",IF(TRIM(K32&amp;"")&lt;&gt;"","(SELECT lo.id FROM gen_lista_opciones lo JOIN gen_lista l ON l.id = lo.id_lista WHERE l.nombre = 'ReferenciaCilindro' AND upper(lo.nombre) = 'CLIENTE' AND lo.estado = 1 LIMIT 1)","NULL"))&amp;", p_anio_fabricacion =&gt; "&amp;IF(M32&amp;""="","NULL::smallint",M32&amp;"::smallint")&amp;", p_mes_fabricacion =&gt; "&amp;IF(N32&amp;""="","NULL::smallint",N32&amp;"::smallint")&amp;", p_fecha_ultima_prueba_hidrostatica =&gt; "&amp;IF(O32&amp;""="","NULL","'"&amp;YEAR(O32)&amp;"-"&amp;TEXT(MONTH(O32),"00")&amp;"-"&amp;TEXT(DAY(O32),"00")&amp;"'")&amp;", p_numero_serie =&gt; "&amp;IF(TRIM(Q32&amp;"")="","NULL","'"&amp;SUBSTITUTE(TRIM(Q32),"'","''")&amp;"'")&amp;", p_id_marca_cilindro =&gt; "&amp;IF(TRIM(R32&amp;"")="","NULL","(SELECT lo.id FROM gen_lista_opciones lo JOIN gen_lista l ON l.id = lo.id_lista WHERE l.nombre = 'MarcaCilindro' AND upper(lo.nombre) = upper('"&amp;SUBSTITUTE(TRIM(R32),"'","''")&amp;"') AND lo.estado = 1 LIMIT 1)")&amp;", p_id_organo_inspector =&gt; "&amp;IF(TRIM(S32&amp;"")="","NULL","(SELECT lo.id FROM gen_lista_opciones lo JOIN gen_lista l ON l.id = lo.id_lista WHERE l.nombre = 'OrganoInspectorCilindro' AND upper(lo.nombre) = upper('"&amp;SUBSTITUTE(TRIM(S32),"'","''")&amp;"') AND lo.estado = 1 LIMIT 1)")&amp;", p_organo_inspector_no_aplica =&gt; "&amp;IF(S32="NO_APLICA","TRUE","FALSE")&amp;", p_presion_actual =&gt; "&amp;IF(T32&amp;""="","NULL",SUBSTITUTE(T32&amp;"",",","."))&amp;", p_tipo_valvula =&gt; "&amp;IF(TRIM(U32&amp;"")="","NULL","'"&amp;SUBSTITUTE(TRIM(U32),"'","''")&amp;"'")&amp;", p_libro_cilindro =&gt; "&amp;IF(TRIM(V32&amp;"")="","NULL","'"&amp;SUBSTITUTE(TRIM(V32),"'","''")&amp;"'")&amp;", p_pagina_libro =&gt; "&amp;IF(W32&amp;""="","NULL",SUBSTITUTE(W32&amp;"",",","."))&amp;", p_observacion =&gt; "&amp;IF(TRIM(X32&amp;"")="","NULL","'"&amp;SUBSTITUTE(TRIM(X32),"'","''")&amp;"'")&amp;") AS resultado_balon_"&amp;ROW()&amp;";")</f>
        <v/>
      </c>
    </row>
    <row r="33" ht="15.75" customHeight="1" s="64">
      <c r="A33" s="36" t="inlineStr">
        <is>
          <t>29</t>
        </is>
      </c>
      <c r="B33" s="25">
        <f>IF(AND(C33="",D33="",E33=""),"",IF(C33="","FALTA código balón",IF(D33="","FALTA tipo balón",IF(E33="","FALTA gas",IF(F33="","FALTA propietario",IF(AND(C33&lt;&gt;"",SUMPRODUCT(--($C$5:$C$1200=C33))&gt;1),"CÓDIGO BALÓN DUPLICADO",IF(AND(OR(UPPER(F33)="PLANTA",UPPER(F33)="CLIENTE"),G33=""),"FALTA doc propietario/planta",IF(AND(UPPER(F33)="PLANTA",G33="10175332796"),"PLANTA no puede ser RUC empresa","OK"))))))))</f>
        <v/>
      </c>
      <c r="C33" s="23" t="inlineStr">
        <is>
          <t>301730</t>
        </is>
      </c>
      <c r="D33" s="17" t="inlineStr">
        <is>
          <t>Argón Estándar  6 m3</t>
        </is>
      </c>
      <c r="E33" s="17" t="inlineStr">
        <is>
          <t>ARGON</t>
        </is>
      </c>
      <c r="F33" s="17" t="inlineStr">
        <is>
          <t>EMPRESA</t>
        </is>
      </c>
      <c r="G33" s="23" t="inlineStr">
        <is>
          <t>10175332796</t>
        </is>
      </c>
      <c r="H33" s="25" t="inlineStr">
        <is>
          <t>OXIGENO SARITA</t>
        </is>
      </c>
      <c r="I33" s="17" t="inlineStr">
        <is>
          <t>EN_PODER_CLIENTE</t>
        </is>
      </c>
      <c r="J33" s="17" t="n"/>
      <c r="K33" s="40" t="inlineStr">
        <is>
          <t>10440281074</t>
        </is>
      </c>
      <c r="L33" s="25">
        <f t="array" ref="L33">IF(K33="","",IFERROR(IF(INDEX(Clientes!$D$5:$D$549,MATCH(K33,Clientes!$C$5:$C$549,0))&lt;&gt;"",INDEX(Clientes!$D$5:$D$549,MATCH(K33,Clientes!$C$5:$C$549,0)),TRIM(INDEX(Clientes!$E$5:$E$549,MATCH(K33,Clientes!$C$5:$C$549,0))&amp;" "&amp;INDEX(Clientes!$F$5:$F$549,MATCH(K33,Clientes!$C$5:$C$549,0)))),"NO EXISTE en Clientes"))</f>
        <v/>
      </c>
      <c r="M33" s="17" t="n"/>
      <c r="N33" s="17" t="n"/>
      <c r="O33" s="42" t="n"/>
      <c r="P33" s="39">
        <f>IF(O33&lt;&gt;"",DATE(YEAR(O33)+5,MONTH(O33),1),IF(AND(M33&lt;&gt;"",N33&lt;&gt;""),DATE(M33+5,N33,1),""))</f>
        <v/>
      </c>
      <c r="Q33" s="23" t="n"/>
      <c r="R33" s="17" t="n"/>
      <c r="S33" s="17" t="n"/>
      <c r="T33" s="17" t="n"/>
      <c r="U33" s="17" t="n"/>
      <c r="V33" s="23" t="n"/>
      <c r="W33" s="17" t="n"/>
      <c r="X33" s="17" t="n"/>
      <c r="Y33" s="28">
        <f>IF(B33&lt;&gt;"OK","","SELECT bal_crear_balon(p_codigo_balon =&gt; "&amp;IF(TRIM(C33&amp;"")="","NULL","'"&amp;SUBSTITUTE(TRIM(C33),"'","''")&amp;"'")&amp;", p_id_tipo_balon =&gt; "&amp;"(SELECT id FROM bal_tipo_balon WHERE upper(nombre) = upper('"&amp;SUBSTITUTE(TRIM(D33),"'","''")&amp;"') AND estado = 1 LIMIT 1)"&amp;", p_id_producto_gas =&gt; "&amp;"(SELECT id FROM pro_producto WHERE es_gas = TRUE AND upper(nombre) = upper('"&amp;SUBSTITUTE(TRIM(E33),"'","''")&amp;"') AND estado = 1 LIMIT 1)"&amp;", p_id_propietario =&gt; "&amp;IF(TRIM(F33&amp;"")="","NULL","(SELECT lo.id FROM gen_lista_opciones lo JOIN gen_lista l ON l.id = lo.id_lista WHERE l.nombre = 'PropietarioBalon' AND upper(lo.nombre) = upper('"&amp;SUBSTITUTE(TRIM(F33),"'","''")&amp;"') AND lo.estado = 1 LIMIT 1)")&amp;", p_id_cliente_propietario =&gt; "&amp;IF(F33="CLIENTE",IF(TRIM(G33&amp;"")="","NULL","(SELECT id FROM cli_clientes WHERE numero_documento = '"&amp;SUBSTITUTE(TRIM(G33),"'","''")&amp;"' AND estado = 1 LIMIT 1)"),"NULL")&amp;", p_id_planta =&gt; "&amp;IF(F33="PLANTA",IF(TRIM(G33&amp;"")="","NULL","(SELECT id FROM cli_clientes WHERE numero_documento = '"&amp;SUBSTITUTE(TRIM(G33),"'","''")&amp;"'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"&amp;IF(TRIM(J33&amp;"")="","NULL","(SELECT id FROM gen_almacen WHERE upper(nombre) = upper('"&amp;SUBSTITUTE(TRIM(J33),"'","''")&amp;"') AND estado = 1 LIMIT 1)")&amp;", p_id_cliente_ubicacion =&gt; "&amp;IF(TRIM(K33&amp;"")="","NULL","(SELECT id FROM cli_clientes WHERE numero_documento = '"&amp;SUBSTITUTE(TRIM(K33),"'","''")&amp;"' AND estado = 1 LIMIT 1)")&amp;", p_id_referencia =&gt; "&amp;IF(TRIM(J33&amp;"")&lt;&gt;"","(SELECT lo.id FROM gen_lista_opciones lo JOIN gen_lista l ON l.id = lo.id_lista WHERE l.nombre = 'ReferenciaCilindro' AND upper(lo.nombre) = 'ALMACEN' AND lo.estado = 1 LIMIT 1)",IF(TRIM(K33&amp;"")&lt;&gt;"","(SELECT lo.id FROM gen_lista_opciones lo JOIN gen_lista l ON l.id = lo.id_lista WHERE l.nombre = 'ReferenciaCilindro' AND upper(lo.nombre) = 'CLIENTE' AND lo.estado = 1 LIMIT 1)","NULL"))&amp;", p_anio_fabricacion =&gt; "&amp;IF(M33&amp;""="","NULL::smallint",M33&amp;"::smallint")&amp;", p_mes_fabricacion =&gt; "&amp;IF(N33&amp;""="","NULL::smallint",N33&amp;"::smallint")&amp;", p_fecha_ultima_prueba_hidrostatica =&gt; "&amp;IF(O33&amp;""="","NULL","'"&amp;YEAR(O33)&amp;"-"&amp;TEXT(MONTH(O33),"00")&amp;"-"&amp;TEXT(DAY(O33),"00")&amp;"'")&amp;", p_numero_serie =&gt; "&amp;IF(TRIM(Q33&amp;"")="","NULL","'"&amp;SUBSTITUTE(TRIM(Q33),"'","''")&amp;"'")&amp;", p_id_marca_cilindro =&gt; "&amp;IF(TRIM(R33&amp;"")="","NULL","(SELECT lo.id FROM gen_lista_opciones lo JOIN gen_lista l ON l.id = lo.id_lista WHERE l.nombre = 'MarcaCilindro' AND upper(lo.nombre) = upper('"&amp;SUBSTITUTE(TRIM(R33),"'","''")&amp;"') AND lo.estado = 1 LIMIT 1)")&amp;", p_id_organo_inspector =&gt; "&amp;IF(TRIM(S33&amp;"")="","NULL","(SELECT lo.id FROM gen_lista_opciones lo JOIN gen_lista l ON l.id = lo.id_lista WHERE l.nombre = 'OrganoInspectorCilindro' AND upper(lo.nombre) = upper('"&amp;SUBSTITUTE(TRIM(S33),"'","''")&amp;"') AND lo.estado = 1 LIMIT 1)")&amp;", p_organo_inspector_no_aplica =&gt; "&amp;IF(S33="NO_APLICA","TRUE","FALSE")&amp;", p_presion_actual =&gt; "&amp;IF(T33&amp;""="","NULL",SUBSTITUTE(T33&amp;"",",","."))&amp;", p_tipo_valvula =&gt; "&amp;IF(TRIM(U33&amp;"")="","NULL","'"&amp;SUBSTITUTE(TRIM(U33),"'","''")&amp;"'")&amp;", p_libro_cilindro =&gt; "&amp;IF(TRIM(V33&amp;"")="","NULL","'"&amp;SUBSTITUTE(TRIM(V33),"'","''")&amp;"'")&amp;", p_pagina_libro =&gt; "&amp;IF(W33&amp;""="","NULL",SUBSTITUTE(W33&amp;"",",","."))&amp;", p_observacion =&gt; "&amp;IF(TRIM(X33&amp;"")="","NULL","'"&amp;SUBSTITUTE(TRIM(X33),"'","''")&amp;"'")&amp;") AS resultado_balon_"&amp;ROW()&amp;";")</f>
        <v/>
      </c>
    </row>
    <row r="34" ht="15.75" customHeight="1" s="64">
      <c r="A34" s="36" t="inlineStr">
        <is>
          <t>30</t>
        </is>
      </c>
      <c r="B34" s="25">
        <f>IF(AND(C34="",D34="",E34=""),"",IF(C34="","FALTA código balón",IF(D34="","FALTA tipo balón",IF(E34="","FALTA gas",IF(F34="","FALTA propietario",IF(AND(C34&lt;&gt;"",SUMPRODUCT(--($C$5:$C$1200=C34))&gt;1),"CÓDIGO BALÓN DUPLICADO",IF(AND(OR(UPPER(F34)="PLANTA",UPPER(F34)="CLIENTE"),G34=""),"FALTA doc propietario/planta",IF(AND(UPPER(F34)="PLANTA",G34="10175332796"),"PLANTA no puede ser RUC empresa","OK"))))))))</f>
        <v/>
      </c>
      <c r="C34" s="23" t="inlineStr">
        <is>
          <t>7164</t>
        </is>
      </c>
      <c r="D34" s="17" t="inlineStr">
        <is>
          <t>Argón Estándar  6 m3</t>
        </is>
      </c>
      <c r="E34" s="17" t="inlineStr">
        <is>
          <t>ARGON</t>
        </is>
      </c>
      <c r="F34" s="17" t="inlineStr">
        <is>
          <t>EMPRESA</t>
        </is>
      </c>
      <c r="G34" s="23" t="inlineStr">
        <is>
          <t>10175332796</t>
        </is>
      </c>
      <c r="H34" s="25" t="inlineStr">
        <is>
          <t>OXIGENO SARITA</t>
        </is>
      </c>
      <c r="I34" s="17" t="inlineStr">
        <is>
          <t>EN_PODER_CLIENTE</t>
        </is>
      </c>
      <c r="J34" s="17" t="n"/>
      <c r="K34" s="47" t="inlineStr">
        <is>
          <t>27392599</t>
        </is>
      </c>
      <c r="L34" s="25">
        <f t="array" ref="L34">IF(K34="","",IFERROR(IF(INDEX(Clientes!$D$5:$D$549,MATCH(K34,Clientes!$C$5:$C$549,0))&lt;&gt;"",INDEX(Clientes!$D$5:$D$549,MATCH(K34,Clientes!$C$5:$C$549,0)),TRIM(INDEX(Clientes!$E$5:$E$549,MATCH(K34,Clientes!$C$5:$C$549,0))&amp;" "&amp;INDEX(Clientes!$F$5:$F$549,MATCH(K34,Clientes!$C$5:$C$549,0)))),"NO EXISTE en Clientes"))</f>
        <v/>
      </c>
      <c r="M34" s="17" t="n"/>
      <c r="N34" s="17" t="n"/>
      <c r="O34" s="42" t="n"/>
      <c r="P34" s="39">
        <f>IF(O34&lt;&gt;"",DATE(YEAR(O34)+5,MONTH(O34),1),IF(AND(M34&lt;&gt;"",N34&lt;&gt;""),DATE(M34+5,N34,1),""))</f>
        <v/>
      </c>
      <c r="Q34" s="23" t="n"/>
      <c r="R34" s="17" t="n"/>
      <c r="S34" s="17" t="n"/>
      <c r="T34" s="17" t="n"/>
      <c r="U34" s="17" t="n"/>
      <c r="V34" s="23" t="n"/>
      <c r="W34" s="17" t="n"/>
      <c r="X34" s="17" t="n"/>
      <c r="Y34" s="28">
        <f>IF(B34&lt;&gt;"OK","","SELECT bal_crear_balon(p_codigo_balon =&gt; "&amp;IF(TRIM(C34&amp;"")="","NULL","'"&amp;SUBSTITUTE(TRIM(C34),"'","''")&amp;"'")&amp;", p_id_tipo_balon =&gt; "&amp;"(SELECT id FROM bal_tipo_balon WHERE upper(nombre) = upper('"&amp;SUBSTITUTE(TRIM(D34),"'","''")&amp;"') AND estado = 1 LIMIT 1)"&amp;", p_id_producto_gas =&gt; "&amp;"(SELECT id FROM pro_producto WHERE es_gas = TRUE AND upper(nombre) = upper('"&amp;SUBSTITUTE(TRIM(E34),"'","''")&amp;"') AND estado = 1 LIMIT 1)"&amp;", p_id_propietario =&gt; "&amp;IF(TRIM(F34&amp;"")="","NULL","(SELECT lo.id FROM gen_lista_opciones lo JOIN gen_lista l ON l.id = lo.id_lista WHERE l.nombre = 'PropietarioBalon' AND upper(lo.nombre) = upper('"&amp;SUBSTITUTE(TRIM(F34),"'","''")&amp;"') AND lo.estado = 1 LIMIT 1)")&amp;", p_id_cliente_propietario =&gt; "&amp;IF(F34="CLIENTE",IF(TRIM(G34&amp;"")="","NULL","(SELECT id FROM cli_clientes WHERE numero_documento = '"&amp;SUBSTITUTE(TRIM(G34),"'","''")&amp;"' AND estado = 1 LIMIT 1)"),"NULL")&amp;", p_id_planta =&gt; "&amp;IF(F34="PLANTA",IF(TRIM(G34&amp;"")="","NULL","(SELECT id FROM cli_clientes WHERE numero_documento = '"&amp;SUBSTITUTE(TRIM(G34),"'","''")&amp;"'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"&amp;IF(TRIM(J34&amp;"")="","NULL","(SELECT id FROM gen_almacen WHERE upper(nombre) = upper('"&amp;SUBSTITUTE(TRIM(J34),"'","''")&amp;"') AND estado = 1 LIMIT 1)")&amp;", p_id_cliente_ubicacion =&gt; "&amp;IF(TRIM(K34&amp;"")="","NULL","(SELECT id FROM cli_clientes WHERE numero_documento = '"&amp;SUBSTITUTE(TRIM(K34),"'","''")&amp;"' AND estado = 1 LIMIT 1)")&amp;", p_id_referencia =&gt; "&amp;IF(TRIM(J34&amp;"")&lt;&gt;"","(SELECT lo.id FROM gen_lista_opciones lo JOIN gen_lista l ON l.id = lo.id_lista WHERE l.nombre = 'ReferenciaCilindro' AND upper(lo.nombre) = 'ALMACEN' AND lo.estado = 1 LIMIT 1)",IF(TRIM(K34&amp;"")&lt;&gt;"","(SELECT lo.id FROM gen_lista_opciones lo JOIN gen_lista l ON l.id = lo.id_lista WHERE l.nombre = 'ReferenciaCilindro' AND upper(lo.nombre) = 'CLIENTE' AND lo.estado = 1 LIMIT 1)","NULL"))&amp;", p_anio_fabricacion =&gt; "&amp;IF(M34&amp;""="","NULL::smallint",M34&amp;"::smallint")&amp;", p_mes_fabricacion =&gt; "&amp;IF(N34&amp;""="","NULL::smallint",N34&amp;"::smallint")&amp;", p_fecha_ultima_prueba_hidrostatica =&gt; "&amp;IF(O34&amp;""="","NULL","'"&amp;YEAR(O34)&amp;"-"&amp;TEXT(MONTH(O34),"00")&amp;"-"&amp;TEXT(DAY(O34),"00")&amp;"'")&amp;", p_numero_serie =&gt; "&amp;IF(TRIM(Q34&amp;"")="","NULL","'"&amp;SUBSTITUTE(TRIM(Q34),"'","''")&amp;"'")&amp;", p_id_marca_cilindro =&gt; "&amp;IF(TRIM(R34&amp;"")="","NULL","(SELECT lo.id FROM gen_lista_opciones lo JOIN gen_lista l ON l.id = lo.id_lista WHERE l.nombre = 'MarcaCilindro' AND upper(lo.nombre) = upper('"&amp;SUBSTITUTE(TRIM(R34),"'","''")&amp;"') AND lo.estado = 1 LIMIT 1)")&amp;", p_id_organo_inspector =&gt; "&amp;IF(TRIM(S34&amp;"")="","NULL","(SELECT lo.id FROM gen_lista_opciones lo JOIN gen_lista l ON l.id = lo.id_lista WHERE l.nombre = 'OrganoInspectorCilindro' AND upper(lo.nombre) = upper('"&amp;SUBSTITUTE(TRIM(S34),"'","''")&amp;"') AND lo.estado = 1 LIMIT 1)")&amp;", p_organo_inspector_no_aplica =&gt; "&amp;IF(S34="NO_APLICA","TRUE","FALSE")&amp;", p_presion_actual =&gt; "&amp;IF(T34&amp;""="","NULL",SUBSTITUTE(T34&amp;"",",","."))&amp;", p_tipo_valvula =&gt; "&amp;IF(TRIM(U34&amp;"")="","NULL","'"&amp;SUBSTITUTE(TRIM(U34),"'","''")&amp;"'")&amp;", p_libro_cilindro =&gt; "&amp;IF(TRIM(V34&amp;"")="","NULL","'"&amp;SUBSTITUTE(TRIM(V34),"'","''")&amp;"'")&amp;", p_pagina_libro =&gt; "&amp;IF(W34&amp;""="","NULL",SUBSTITUTE(W34&amp;"",",","."))&amp;", p_observacion =&gt; "&amp;IF(TRIM(X34&amp;"")="","NULL","'"&amp;SUBSTITUTE(TRIM(X34),"'","''")&amp;"'")&amp;") AS resultado_balon_"&amp;ROW()&amp;";")</f>
        <v/>
      </c>
    </row>
    <row r="35" ht="15.75" customHeight="1" s="64">
      <c r="A35" s="36" t="inlineStr">
        <is>
          <t>31</t>
        </is>
      </c>
      <c r="B35" s="25">
        <f>IF(AND(C35="",D35="",E35=""),"",IF(C35="","FALTA código balón",IF(D35="","FALTA tipo balón",IF(E35="","FALTA gas",IF(F35="","FALTA propietario",IF(AND(C35&lt;&gt;"",SUMPRODUCT(--($C$5:$C$1200=C35))&gt;1),"CÓDIGO BALÓN DUPLICADO",IF(AND(OR(UPPER(F35)="PLANTA",UPPER(F35)="CLIENTE"),G35=""),"FALTA doc propietario/planta",IF(AND(UPPER(F35)="PLANTA",G35="10175332796"),"PLANTA no puede ser RUC empresa","OK"))))))))</f>
        <v/>
      </c>
      <c r="C35" s="23" t="inlineStr">
        <is>
          <t>GTA048104</t>
        </is>
      </c>
      <c r="D35" s="17" t="inlineStr">
        <is>
          <t>Argón Estándar  3 m3</t>
        </is>
      </c>
      <c r="E35" s="17" t="inlineStr">
        <is>
          <t>ARGON</t>
        </is>
      </c>
      <c r="F35" s="17" t="inlineStr">
        <is>
          <t>EMPRESA</t>
        </is>
      </c>
      <c r="G35" s="23" t="inlineStr">
        <is>
          <t>10175332796</t>
        </is>
      </c>
      <c r="H35" s="25" t="inlineStr">
        <is>
          <t>OXIGENO SARITA</t>
        </is>
      </c>
      <c r="I35" s="17" t="inlineStr">
        <is>
          <t>CLIENTE EXTRAVIADO</t>
        </is>
      </c>
      <c r="J35" s="17" t="n"/>
      <c r="K35" s="47" t="inlineStr">
        <is>
          <t>20338570041</t>
        </is>
      </c>
      <c r="L35" s="25">
        <f t="array" ref="L35">IF(K35="","",IFERROR(IF(INDEX(Clientes!$D$5:$D$549,MATCH(K35,Clientes!$C$5:$C$549,0))&lt;&gt;"",INDEX(Clientes!$D$5:$D$549,MATCH(K35,Clientes!$C$5:$C$549,0)),TRIM(INDEX(Clientes!$E$5:$E$549,MATCH(K35,Clientes!$C$5:$C$549,0))&amp;" "&amp;INDEX(Clientes!$F$5:$F$549,MATCH(K35,Clientes!$C$5:$C$549,0)))),"NO EXISTE en Clientes"))</f>
        <v/>
      </c>
      <c r="M35" s="17" t="n"/>
      <c r="N35" s="17" t="n"/>
      <c r="O35" s="42" t="n"/>
      <c r="P35" s="39">
        <f>IF(O35&lt;&gt;"",DATE(YEAR(O35)+5,MONTH(O35),1),IF(AND(M35&lt;&gt;"",N35&lt;&gt;""),DATE(M35+5,N35,1),""))</f>
        <v/>
      </c>
      <c r="Q35" s="23" t="n"/>
      <c r="R35" s="17" t="n"/>
      <c r="S35" s="17" t="n"/>
      <c r="T35" s="17" t="n"/>
      <c r="U35" s="17" t="n"/>
      <c r="V35" s="23" t="n"/>
      <c r="W35" s="17" t="n"/>
      <c r="X35" s="17" t="n"/>
      <c r="Y35" s="28">
        <f>IF(B35&lt;&gt;"OK","","SELECT bal_crear_balon(p_codigo_balon =&gt; "&amp;IF(TRIM(C35&amp;"")="","NULL","'"&amp;SUBSTITUTE(TRIM(C35),"'","''")&amp;"'")&amp;", p_id_tipo_balon =&gt; "&amp;"(SELECT id FROM bal_tipo_balon WHERE upper(nombre) = upper('"&amp;SUBSTITUTE(TRIM(D35),"'","''")&amp;"') AND estado = 1 LIMIT 1)"&amp;", p_id_producto_gas =&gt; "&amp;"(SELECT id FROM pro_producto WHERE es_gas = TRUE AND upper(nombre) = upper('"&amp;SUBSTITUTE(TRIM(E35),"'","''")&amp;"') AND estado = 1 LIMIT 1)"&amp;", p_id_propietario =&gt; "&amp;IF(TRIM(F35&amp;"")="","NULL","(SELECT lo.id FROM gen_lista_opciones lo JOIN gen_lista l ON l.id = lo.id_lista WHERE l.nombre = 'PropietarioBalon' AND upper(lo.nombre) = upper('"&amp;SUBSTITUTE(TRIM(F35),"'","''")&amp;"') AND lo.estado = 1 LIMIT 1)")&amp;", p_id_cliente_propietario =&gt; "&amp;IF(F35="CLIENTE",IF(TRIM(G35&amp;"")="","NULL","(SELECT id FROM cli_clientes WHERE numero_documento = '"&amp;SUBSTITUTE(TRIM(G35),"'","''")&amp;"' AND estado = 1 LIMIT 1)"),"NULL")&amp;", p_id_planta =&gt; "&amp;IF(F35="PLANTA",IF(TRIM(G35&amp;"")="","NULL","(SELECT id FROM cli_clientes WHERE numero_documento = '"&amp;SUBSTITUTE(TRIM(G35),"'","''")&amp;"'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"&amp;IF(TRIM(J35&amp;"")="","NULL","(SELECT id FROM gen_almacen WHERE upper(nombre) = upper('"&amp;SUBSTITUTE(TRIM(J35),"'","''")&amp;"') AND estado = 1 LIMIT 1)")&amp;", p_id_cliente_ubicacion =&gt; "&amp;IF(TRIM(K35&amp;"")="","NULL","(SELECT id FROM cli_clientes WHERE numero_documento = '"&amp;SUBSTITUTE(TRIM(K35),"'","''")&amp;"' AND estado = 1 LIMIT 1)")&amp;", p_id_referencia =&gt; "&amp;IF(TRIM(J35&amp;"")&lt;&gt;"","(SELECT lo.id FROM gen_lista_opciones lo JOIN gen_lista l ON l.id = lo.id_lista WHERE l.nombre = 'ReferenciaCilindro' AND upper(lo.nombre) = 'ALMACEN' AND lo.estado = 1 LIMIT 1)",IF(TRIM(K35&amp;"")&lt;&gt;"","(SELECT lo.id FROM gen_lista_opciones lo JOIN gen_lista l ON l.id = lo.id_lista WHERE l.nombre = 'ReferenciaCilindro' AND upper(lo.nombre) = 'CLIENTE' AND lo.estado = 1 LIMIT 1)","NULL"))&amp;", p_anio_fabricacion =&gt; "&amp;IF(M35&amp;""="","NULL::smallint",M35&amp;"::smallint")&amp;", p_mes_fabricacion =&gt; "&amp;IF(N35&amp;""="","NULL::smallint",N35&amp;"::smallint")&amp;", p_fecha_ultima_prueba_hidrostatica =&gt; "&amp;IF(O35&amp;""="","NULL","'"&amp;YEAR(O35)&amp;"-"&amp;TEXT(MONTH(O35),"00")&amp;"-"&amp;TEXT(DAY(O35),"00")&amp;"'")&amp;", p_numero_serie =&gt; "&amp;IF(TRIM(Q35&amp;"")="","NULL","'"&amp;SUBSTITUTE(TRIM(Q35),"'","''")&amp;"'")&amp;", p_id_marca_cilindro =&gt; "&amp;IF(TRIM(R35&amp;"")="","NULL","(SELECT lo.id FROM gen_lista_opciones lo JOIN gen_lista l ON l.id = lo.id_lista WHERE l.nombre = 'MarcaCilindro' AND upper(lo.nombre) = upper('"&amp;SUBSTITUTE(TRIM(R35),"'","''")&amp;"') AND lo.estado = 1 LIMIT 1)")&amp;", p_id_organo_inspector =&gt; "&amp;IF(TRIM(S35&amp;"")="","NULL","(SELECT lo.id FROM gen_lista_opciones lo JOIN gen_lista l ON l.id = lo.id_lista WHERE l.nombre = 'OrganoInspectorCilindro' AND upper(lo.nombre) = upper('"&amp;SUBSTITUTE(TRIM(S35),"'","''")&amp;"') AND lo.estado = 1 LIMIT 1)")&amp;", p_organo_inspector_no_aplica =&gt; "&amp;IF(S35="NO_APLICA","TRUE","FALSE")&amp;", p_presion_actual =&gt; "&amp;IF(T35&amp;""="","NULL",SUBSTITUTE(T35&amp;"",",","."))&amp;", p_tipo_valvula =&gt; "&amp;IF(TRIM(U35&amp;"")="","NULL","'"&amp;SUBSTITUTE(TRIM(U35),"'","''")&amp;"'")&amp;", p_libro_cilindro =&gt; "&amp;IF(TRIM(V35&amp;"")="","NULL","'"&amp;SUBSTITUTE(TRIM(V35),"'","''")&amp;"'")&amp;", p_pagina_libro =&gt; "&amp;IF(W35&amp;""="","NULL",SUBSTITUTE(W35&amp;"",",","."))&amp;", p_observacion =&gt; "&amp;IF(TRIM(X35&amp;"")="","NULL","'"&amp;SUBSTITUTE(TRIM(X35),"'","''")&amp;"'")&amp;") AS resultado_balon_"&amp;ROW()&amp;";")</f>
        <v/>
      </c>
    </row>
    <row r="36" ht="15.75" customHeight="1" s="64">
      <c r="A36" s="36" t="inlineStr">
        <is>
          <t>32</t>
        </is>
      </c>
      <c r="B36" s="25">
        <f>IF(AND(C36="",D36="",E36=""),"",IF(C36="","FALTA código balón",IF(D36="","FALTA tipo balón",IF(E36="","FALTA gas",IF(F36="","FALTA propietario",IF(AND(C36&lt;&gt;"",SUMPRODUCT(--($C$5:$C$1200=C36))&gt;1),"CÓDIGO BALÓN DUPLICADO",IF(AND(OR(UPPER(F36)="PLANTA",UPPER(F36)="CLIENTE"),G36=""),"FALTA doc propietario/planta",IF(AND(UPPER(F36)="PLANTA",G36="10175332796"),"PLANTA no puede ser RUC empresa","OK"))))))))</f>
        <v/>
      </c>
      <c r="C36" s="23" t="inlineStr">
        <is>
          <t>56130178</t>
        </is>
      </c>
      <c r="D36" s="17" t="inlineStr">
        <is>
          <t>Argón Estándar  3 m3</t>
        </is>
      </c>
      <c r="E36" s="17" t="inlineStr">
        <is>
          <t>ARGON</t>
        </is>
      </c>
      <c r="F36" s="17" t="inlineStr">
        <is>
          <t>EMPRESA</t>
        </is>
      </c>
      <c r="G36" s="23" t="inlineStr">
        <is>
          <t>10175332796</t>
        </is>
      </c>
      <c r="H36" s="25" t="inlineStr">
        <is>
          <t>OXIGENO SARITA</t>
        </is>
      </c>
      <c r="I36" s="17" t="inlineStr">
        <is>
          <t>DISPONIBLE</t>
        </is>
      </c>
      <c r="J36" s="17" t="inlineStr">
        <is>
          <t>ALMACEN PRINCIPAL</t>
        </is>
      </c>
      <c r="K36" s="47" t="n"/>
      <c r="L36" s="25">
        <f t="array" ref="L36">IF(K36="","",IFERROR(IF(INDEX(Clientes!$D$5:$D$549,MATCH(K36,Clientes!$C$5:$C$549,0))&lt;&gt;"",INDEX(Clientes!$D$5:$D$549,MATCH(K36,Clientes!$C$5:$C$549,0)),TRIM(INDEX(Clientes!$E$5:$E$549,MATCH(K36,Clientes!$C$5:$C$549,0))&amp;" "&amp;INDEX(Clientes!$F$5:$F$549,MATCH(K36,Clientes!$C$5:$C$549,0)))),"NO EXISTE en Clientes"))</f>
        <v/>
      </c>
      <c r="M36" s="17" t="n"/>
      <c r="N36" s="17" t="n"/>
      <c r="O36" s="42" t="n"/>
      <c r="P36" s="39">
        <f>IF(O36&lt;&gt;"",DATE(YEAR(O36)+5,MONTH(O36),1),IF(AND(M36&lt;&gt;"",N36&lt;&gt;""),DATE(M36+5,N36,1),""))</f>
        <v/>
      </c>
      <c r="Q36" s="23" t="n"/>
      <c r="R36" s="17" t="n"/>
      <c r="S36" s="17" t="n"/>
      <c r="T36" s="17" t="n"/>
      <c r="U36" s="17" t="n"/>
      <c r="V36" s="23" t="n"/>
      <c r="W36" s="17" t="n"/>
      <c r="X36" s="17" t="n"/>
      <c r="Y36" s="28">
        <f>IF(B36&lt;&gt;"OK","","SELECT bal_crear_balon(p_codigo_balon =&gt; "&amp;IF(TRIM(C36&amp;"")="","NULL","'"&amp;SUBSTITUTE(TRIM(C36),"'","''")&amp;"'")&amp;", p_id_tipo_balon =&gt; "&amp;"(SELECT id FROM bal_tipo_balon WHERE upper(nombre) = upper('"&amp;SUBSTITUTE(TRIM(D36),"'","''")&amp;"') AND estado = 1 LIMIT 1)"&amp;", p_id_producto_gas =&gt; "&amp;"(SELECT id FROM pro_producto WHERE es_gas = TRUE AND upper(nombre) = upper('"&amp;SUBSTITUTE(TRIM(E36),"'","''")&amp;"') AND estado = 1 LIMIT 1)"&amp;", p_id_propietario =&gt; "&amp;IF(TRIM(F36&amp;"")="","NULL","(SELECT lo.id FROM gen_lista_opciones lo JOIN gen_lista l ON l.id = lo.id_lista WHERE l.nombre = 'PropietarioBalon' AND upper(lo.nombre) = upper('"&amp;SUBSTITUTE(TRIM(F36),"'","''")&amp;"') AND lo.estado = 1 LIMIT 1)")&amp;", p_id_cliente_propietario =&gt; "&amp;IF(F36="CLIENTE",IF(TRIM(G36&amp;"")="","NULL","(SELECT id FROM cli_clientes WHERE numero_documento = '"&amp;SUBSTITUTE(TRIM(G36),"'","''")&amp;"' AND estado = 1 LIMIT 1)"),"NULL")&amp;", p_id_planta =&gt; "&amp;IF(F36="PLANTA",IF(TRIM(G36&amp;"")="","NULL","(SELECT id FROM cli_clientes WHERE numero_documento = '"&amp;SUBSTITUTE(TRIM(G36),"'","''")&amp;"'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"&amp;IF(TRIM(J36&amp;"")="","NULL","(SELECT id FROM gen_almacen WHERE upper(nombre) = upper('"&amp;SUBSTITUTE(TRIM(J36),"'","''")&amp;"') AND estado = 1 LIMIT 1)")&amp;", p_id_cliente_ubicacion =&gt; "&amp;IF(TRIM(K36&amp;"")="","NULL","(SELECT id FROM cli_clientes WHERE numero_documento = '"&amp;SUBSTITUTE(TRIM(K36),"'","''")&amp;"' AND estado = 1 LIMIT 1)")&amp;", p_id_referencia =&gt; "&amp;IF(TRIM(J36&amp;"")&lt;&gt;"","(SELECT lo.id FROM gen_lista_opciones lo JOIN gen_lista l ON l.id = lo.id_lista WHERE l.nombre = 'ReferenciaCilindro' AND upper(lo.nombre) = 'ALMACEN' AND lo.estado = 1 LIMIT 1)",IF(TRIM(K36&amp;"")&lt;&gt;"","(SELECT lo.id FROM gen_lista_opciones lo JOIN gen_lista l ON l.id = lo.id_lista WHERE l.nombre = 'ReferenciaCilindro' AND upper(lo.nombre) = 'CLIENTE' AND lo.estado = 1 LIMIT 1)","NULL"))&amp;", p_anio_fabricacion =&gt; "&amp;IF(M36&amp;""="","NULL::smallint",M36&amp;"::smallint")&amp;", p_mes_fabricacion =&gt; "&amp;IF(N36&amp;""="","NULL::smallint",N36&amp;"::smallint")&amp;", p_fecha_ultima_prueba_hidrostatica =&gt; "&amp;IF(O36&amp;""="","NULL","'"&amp;YEAR(O36)&amp;"-"&amp;TEXT(MONTH(O36),"00")&amp;"-"&amp;TEXT(DAY(O36),"00")&amp;"'")&amp;", p_numero_serie =&gt; "&amp;IF(TRIM(Q36&amp;"")="","NULL","'"&amp;SUBSTITUTE(TRIM(Q36),"'","''")&amp;"'")&amp;", p_id_marca_cilindro =&gt; "&amp;IF(TRIM(R36&amp;"")="","NULL","(SELECT lo.id FROM gen_lista_opciones lo JOIN gen_lista l ON l.id = lo.id_lista WHERE l.nombre = 'MarcaCilindro' AND upper(lo.nombre) = upper('"&amp;SUBSTITUTE(TRIM(R36),"'","''")&amp;"') AND lo.estado = 1 LIMIT 1)")&amp;", p_id_organo_inspector =&gt; "&amp;IF(TRIM(S36&amp;"")="","NULL","(SELECT lo.id FROM gen_lista_opciones lo JOIN gen_lista l ON l.id = lo.id_lista WHERE l.nombre = 'OrganoInspectorCilindro' AND upper(lo.nombre) = upper('"&amp;SUBSTITUTE(TRIM(S36),"'","''")&amp;"') AND lo.estado = 1 LIMIT 1)")&amp;", p_organo_inspector_no_aplica =&gt; "&amp;IF(S36="NO_APLICA","TRUE","FALSE")&amp;", p_presion_actual =&gt; "&amp;IF(T36&amp;""="","NULL",SUBSTITUTE(T36&amp;"",",","."))&amp;", p_tipo_valvula =&gt; "&amp;IF(TRIM(U36&amp;"")="","NULL","'"&amp;SUBSTITUTE(TRIM(U36),"'","''")&amp;"'")&amp;", p_libro_cilindro =&gt; "&amp;IF(TRIM(V36&amp;"")="","NULL","'"&amp;SUBSTITUTE(TRIM(V36),"'","''")&amp;"'")&amp;", p_pagina_libro =&gt; "&amp;IF(W36&amp;""="","NULL",SUBSTITUTE(W36&amp;"",",","."))&amp;", p_observacion =&gt; "&amp;IF(TRIM(X36&amp;"")="","NULL","'"&amp;SUBSTITUTE(TRIM(X36),"'","''")&amp;"'")&amp;") AS resultado_balon_"&amp;ROW()&amp;";")</f>
        <v/>
      </c>
    </row>
    <row r="37" ht="15.75" customHeight="1" s="64">
      <c r="A37" s="36" t="inlineStr">
        <is>
          <t>33</t>
        </is>
      </c>
      <c r="B37" s="25">
        <f>IF(AND(C37="",D37="",E37=""),"",IF(C37="","FALTA código balón",IF(D37="","FALTA tipo balón",IF(E37="","FALTA gas",IF(F37="","FALTA propietario",IF(AND(C37&lt;&gt;"",SUMPRODUCT(--($C$5:$C$1200=C37))&gt;1),"CÓDIGO BALÓN DUPLICADO",IF(AND(OR(UPPER(F37)="PLANTA",UPPER(F37)="CLIENTE"),G37=""),"FALTA doc propietario/planta",IF(AND(UPPER(F37)="PLANTA",G37="10175332796"),"PLANTA no puede ser RUC empresa","OK"))))))))</f>
        <v/>
      </c>
      <c r="C37" s="23" t="inlineStr">
        <is>
          <t>A2389140</t>
        </is>
      </c>
      <c r="D37" s="17" t="inlineStr">
        <is>
          <t>Argón Estándar  3 m3</t>
        </is>
      </c>
      <c r="E37" s="17" t="inlineStr">
        <is>
          <t>ARGON</t>
        </is>
      </c>
      <c r="F37" s="17" t="inlineStr">
        <is>
          <t>EMPRESA</t>
        </is>
      </c>
      <c r="G37" s="23" t="inlineStr">
        <is>
          <t>10175332796</t>
        </is>
      </c>
      <c r="H37" s="25" t="inlineStr">
        <is>
          <t>OXIGENO SARITA</t>
        </is>
      </c>
      <c r="I37" s="17" t="inlineStr">
        <is>
          <t>EN_PODER_CLIENTE</t>
        </is>
      </c>
      <c r="J37" s="17" t="n"/>
      <c r="K37" s="47" t="inlineStr">
        <is>
          <t>41079206</t>
        </is>
      </c>
      <c r="L37" s="25">
        <f t="array" ref="L37">IF(K37="","",IFERROR(IF(INDEX(Clientes!$D$5:$D$549,MATCH(K37,Clientes!$C$5:$C$549,0))&lt;&gt;"",INDEX(Clientes!$D$5:$D$549,MATCH(K37,Clientes!$C$5:$C$549,0)),TRIM(INDEX(Clientes!$E$5:$E$549,MATCH(K37,Clientes!$C$5:$C$549,0))&amp;" "&amp;INDEX(Clientes!$F$5:$F$549,MATCH(K37,Clientes!$C$5:$C$549,0)))),"NO EXISTE en Clientes"))</f>
        <v/>
      </c>
      <c r="M37" s="17" t="n"/>
      <c r="N37" s="17" t="n"/>
      <c r="O37" s="42" t="n"/>
      <c r="P37" s="39">
        <f>IF(O37&lt;&gt;"",DATE(YEAR(O37)+5,MONTH(O37),1),IF(AND(M37&lt;&gt;"",N37&lt;&gt;""),DATE(M37+5,N37,1),""))</f>
        <v/>
      </c>
      <c r="Q37" s="23" t="n"/>
      <c r="R37" s="17" t="n"/>
      <c r="S37" s="17" t="n"/>
      <c r="T37" s="17" t="n"/>
      <c r="U37" s="17" t="n"/>
      <c r="V37" s="23" t="n"/>
      <c r="W37" s="17" t="n"/>
      <c r="X37" s="17" t="n"/>
      <c r="Y37" s="28">
        <f>IF(B37&lt;&gt;"OK","","SELECT bal_crear_balon(p_codigo_balon =&gt; "&amp;IF(TRIM(C37&amp;"")="","NULL","'"&amp;SUBSTITUTE(TRIM(C37),"'","''")&amp;"'")&amp;", p_id_tipo_balon =&gt; "&amp;"(SELECT id FROM bal_tipo_balon WHERE upper(nombre) = upper('"&amp;SUBSTITUTE(TRIM(D37),"'","''")&amp;"') AND estado = 1 LIMIT 1)"&amp;", p_id_producto_gas =&gt; "&amp;"(SELECT id FROM pro_producto WHERE es_gas = TRUE AND upper(nombre) = upper('"&amp;SUBSTITUTE(TRIM(E37),"'","''")&amp;"') AND estado = 1 LIMIT 1)"&amp;", p_id_propietario =&gt; "&amp;IF(TRIM(F37&amp;"")="","NULL","(SELECT lo.id FROM gen_lista_opciones lo JOIN gen_lista l ON l.id = lo.id_lista WHERE l.nombre = 'PropietarioBalon' AND upper(lo.nombre) = upper('"&amp;SUBSTITUTE(TRIM(F37),"'","''")&amp;"') AND lo.estado = 1 LIMIT 1)")&amp;", p_id_cliente_propietario =&gt; "&amp;IF(F37="CLIENTE",IF(TRIM(G37&amp;"")="","NULL","(SELECT id FROM cli_clientes WHERE numero_documento = '"&amp;SUBSTITUTE(TRIM(G37),"'","''")&amp;"' AND estado = 1 LIMIT 1)"),"NULL")&amp;", p_id_planta =&gt; "&amp;IF(F37="PLANTA",IF(TRIM(G37&amp;"")="","NULL","(SELECT id FROM cli_clientes WHERE numero_documento = '"&amp;SUBSTITUTE(TRIM(G37),"'","''")&amp;"'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"&amp;IF(TRIM(J37&amp;"")="","NULL","(SELECT id FROM gen_almacen WHERE upper(nombre) = upper('"&amp;SUBSTITUTE(TRIM(J37),"'","''")&amp;"') AND estado = 1 LIMIT 1)")&amp;", p_id_cliente_ubicacion =&gt; "&amp;IF(TRIM(K37&amp;"")="","NULL","(SELECT id FROM cli_clientes WHERE numero_documento = '"&amp;SUBSTITUTE(TRIM(K37),"'","''")&amp;"' AND estado = 1 LIMIT 1)")&amp;", p_id_referencia =&gt; "&amp;IF(TRIM(J37&amp;"")&lt;&gt;"","(SELECT lo.id FROM gen_lista_opciones lo JOIN gen_lista l ON l.id = lo.id_lista WHERE l.nombre = 'ReferenciaCilindro' AND upper(lo.nombre) = 'ALMACEN' AND lo.estado = 1 LIMIT 1)",IF(TRIM(K37&amp;"")&lt;&gt;"","(SELECT lo.id FROM gen_lista_opciones lo JOIN gen_lista l ON l.id = lo.id_lista WHERE l.nombre = 'ReferenciaCilindro' AND upper(lo.nombre) = 'CLIENTE' AND lo.estado = 1 LIMIT 1)","NULL"))&amp;", p_anio_fabricacion =&gt; "&amp;IF(M37&amp;""="","NULL::smallint",M37&amp;"::smallint")&amp;", p_mes_fabricacion =&gt; "&amp;IF(N37&amp;""="","NULL::smallint",N37&amp;"::smallint")&amp;", p_fecha_ultima_prueba_hidrostatica =&gt; "&amp;IF(O37&amp;""="","NULL","'"&amp;YEAR(O37)&amp;"-"&amp;TEXT(MONTH(O37),"00")&amp;"-"&amp;TEXT(DAY(O37),"00")&amp;"'")&amp;", p_numero_serie =&gt; "&amp;IF(TRIM(Q37&amp;"")="","NULL","'"&amp;SUBSTITUTE(TRIM(Q37),"'","''")&amp;"'")&amp;", p_id_marca_cilindro =&gt; "&amp;IF(TRIM(R37&amp;"")="","NULL","(SELECT lo.id FROM gen_lista_opciones lo JOIN gen_lista l ON l.id = lo.id_lista WHERE l.nombre = 'MarcaCilindro' AND upper(lo.nombre) = upper('"&amp;SUBSTITUTE(TRIM(R37),"'","''")&amp;"') AND lo.estado = 1 LIMIT 1)")&amp;", p_id_organo_inspector =&gt; "&amp;IF(TRIM(S37&amp;"")="","NULL","(SELECT lo.id FROM gen_lista_opciones lo JOIN gen_lista l ON l.id = lo.id_lista WHERE l.nombre = 'OrganoInspectorCilindro' AND upper(lo.nombre) = upper('"&amp;SUBSTITUTE(TRIM(S37),"'","''")&amp;"') AND lo.estado = 1 LIMIT 1)")&amp;", p_organo_inspector_no_aplica =&gt; "&amp;IF(S37="NO_APLICA","TRUE","FALSE")&amp;", p_presion_actual =&gt; "&amp;IF(T37&amp;""="","NULL",SUBSTITUTE(T37&amp;"",",","."))&amp;", p_tipo_valvula =&gt; "&amp;IF(TRIM(U37&amp;"")="","NULL","'"&amp;SUBSTITUTE(TRIM(U37),"'","''")&amp;"'")&amp;", p_libro_cilindro =&gt; "&amp;IF(TRIM(V37&amp;"")="","NULL","'"&amp;SUBSTITUTE(TRIM(V37),"'","''")&amp;"'")&amp;", p_pagina_libro =&gt; "&amp;IF(W37&amp;""="","NULL",SUBSTITUTE(W37&amp;"",",","."))&amp;", p_observacion =&gt; "&amp;IF(TRIM(X37&amp;"")="","NULL","'"&amp;SUBSTITUTE(TRIM(X37),"'","''")&amp;"'")&amp;") AS resultado_balon_"&amp;ROW()&amp;";")</f>
        <v/>
      </c>
    </row>
    <row r="38" ht="15.75" customHeight="1" s="64">
      <c r="A38" s="36" t="inlineStr">
        <is>
          <t>34</t>
        </is>
      </c>
      <c r="B38" s="25">
        <f>IF(AND(C38="",D38="",E38=""),"",IF(C38="","FALTA código balón",IF(D38="","FALTA tipo balón",IF(E38="","FALTA gas",IF(F38="","FALTA propietario",IF(AND(C38&lt;&gt;"",SUMPRODUCT(--($C$5:$C$1200=C38))&gt;1),"CÓDIGO BALÓN DUPLICADO",IF(AND(OR(UPPER(F38)="PLANTA",UPPER(F38)="CLIENTE"),G38=""),"FALTA doc propietario/planta",IF(AND(UPPER(F38)="PLANTA",G38="10175332796"),"PLANTA no puede ser RUC empresa","OK"))))))))</f>
        <v/>
      </c>
      <c r="C38" s="23" t="inlineStr">
        <is>
          <t>22R557074</t>
        </is>
      </c>
      <c r="D38" s="17" t="inlineStr">
        <is>
          <t>Argón Estándar  3 m3</t>
        </is>
      </c>
      <c r="E38" s="17" t="inlineStr">
        <is>
          <t>ARGON</t>
        </is>
      </c>
      <c r="F38" s="17" t="inlineStr">
        <is>
          <t>EMPRESA</t>
        </is>
      </c>
      <c r="G38" s="23" t="inlineStr">
        <is>
          <t>10175332796</t>
        </is>
      </c>
      <c r="H38" s="25" t="inlineStr">
        <is>
          <t>OXIGENO SARITA</t>
        </is>
      </c>
      <c r="I38" s="17" t="inlineStr">
        <is>
          <t>EN_PODER_CLIENTE</t>
        </is>
      </c>
      <c r="J38" s="17" t="n"/>
      <c r="K38" s="47" t="inlineStr">
        <is>
          <t>20600017412</t>
        </is>
      </c>
      <c r="L38" s="25">
        <f t="array" ref="L38">IF(K38="","",IFERROR(IF(INDEX(Clientes!$D$5:$D$549,MATCH(K38,Clientes!$C$5:$C$549,0))&lt;&gt;"",INDEX(Clientes!$D$5:$D$549,MATCH(K38,Clientes!$C$5:$C$549,0)),TRIM(INDEX(Clientes!$E$5:$E$549,MATCH(K38,Clientes!$C$5:$C$549,0))&amp;" "&amp;INDEX(Clientes!$F$5:$F$549,MATCH(K38,Clientes!$C$5:$C$549,0)))),"NO EXISTE en Clientes"))</f>
        <v/>
      </c>
      <c r="M38" s="17" t="n"/>
      <c r="N38" s="17" t="n"/>
      <c r="O38" s="42" t="n"/>
      <c r="P38" s="39">
        <f>IF(O38&lt;&gt;"",DATE(YEAR(O38)+5,MONTH(O38),1),IF(AND(M38&lt;&gt;"",N38&lt;&gt;""),DATE(M38+5,N38,1),""))</f>
        <v/>
      </c>
      <c r="Q38" s="23" t="n"/>
      <c r="R38" s="17" t="n"/>
      <c r="S38" s="17" t="n"/>
      <c r="T38" s="17" t="n"/>
      <c r="U38" s="17" t="n"/>
      <c r="V38" s="23" t="n"/>
      <c r="W38" s="17" t="n"/>
      <c r="X38" s="17" t="n"/>
      <c r="Y38" s="28">
        <f>IF(B38&lt;&gt;"OK","","SELECT bal_crear_balon(p_codigo_balon =&gt; "&amp;IF(TRIM(C38&amp;"")="","NULL","'"&amp;SUBSTITUTE(TRIM(C38),"'","''")&amp;"'")&amp;", p_id_tipo_balon =&gt; "&amp;"(SELECT id FROM bal_tipo_balon WHERE upper(nombre) = upper('"&amp;SUBSTITUTE(TRIM(D38),"'","''")&amp;"') AND estado = 1 LIMIT 1)"&amp;", p_id_producto_gas =&gt; "&amp;"(SELECT id FROM pro_producto WHERE es_gas = TRUE AND upper(nombre) = upper('"&amp;SUBSTITUTE(TRIM(E38),"'","''")&amp;"') AND estado = 1 LIMIT 1)"&amp;", p_id_propietario =&gt; "&amp;IF(TRIM(F38&amp;"")="","NULL","(SELECT lo.id FROM gen_lista_opciones lo JOIN gen_lista l ON l.id = lo.id_lista WHERE l.nombre = 'PropietarioBalon' AND upper(lo.nombre) = upper('"&amp;SUBSTITUTE(TRIM(F38),"'","''")&amp;"') AND lo.estado = 1 LIMIT 1)")&amp;", p_id_cliente_propietario =&gt; "&amp;IF(F38="CLIENTE",IF(TRIM(G38&amp;"")="","NULL","(SELECT id FROM cli_clientes WHERE numero_documento = '"&amp;SUBSTITUTE(TRIM(G38),"'","''")&amp;"' AND estado = 1 LIMIT 1)"),"NULL")&amp;", p_id_planta =&gt; "&amp;IF(F38="PLANTA",IF(TRIM(G38&amp;"")="","NULL","(SELECT id FROM cli_clientes WHERE numero_documento = '"&amp;SUBSTITUTE(TRIM(G38),"'","''")&amp;"'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"&amp;IF(TRIM(J38&amp;"")="","NULL","(SELECT id FROM gen_almacen WHERE upper(nombre) = upper('"&amp;SUBSTITUTE(TRIM(J38),"'","''")&amp;"') AND estado = 1 LIMIT 1)")&amp;", p_id_cliente_ubicacion =&gt; "&amp;IF(TRIM(K38&amp;"")="","NULL","(SELECT id FROM cli_clientes WHERE numero_documento = '"&amp;SUBSTITUTE(TRIM(K38),"'","''")&amp;"' AND estado = 1 LIMIT 1)")&amp;", p_id_referencia =&gt; "&amp;IF(TRIM(J38&amp;"")&lt;&gt;"","(SELECT lo.id FROM gen_lista_opciones lo JOIN gen_lista l ON l.id = lo.id_lista WHERE l.nombre = 'ReferenciaCilindro' AND upper(lo.nombre) = 'ALMACEN' AND lo.estado = 1 LIMIT 1)",IF(TRIM(K38&amp;"")&lt;&gt;"","(SELECT lo.id FROM gen_lista_opciones lo JOIN gen_lista l ON l.id = lo.id_lista WHERE l.nombre = 'ReferenciaCilindro' AND upper(lo.nombre) = 'CLIENTE' AND lo.estado = 1 LIMIT 1)","NULL"))&amp;", p_anio_fabricacion =&gt; "&amp;IF(M38&amp;""="","NULL::smallint",M38&amp;"::smallint")&amp;", p_mes_fabricacion =&gt; "&amp;IF(N38&amp;""="","NULL::smallint",N38&amp;"::smallint")&amp;", p_fecha_ultima_prueba_hidrostatica =&gt; "&amp;IF(O38&amp;""="","NULL","'"&amp;YEAR(O38)&amp;"-"&amp;TEXT(MONTH(O38),"00")&amp;"-"&amp;TEXT(DAY(O38),"00")&amp;"'")&amp;", p_numero_serie =&gt; "&amp;IF(TRIM(Q38&amp;"")="","NULL","'"&amp;SUBSTITUTE(TRIM(Q38),"'","''")&amp;"'")&amp;", p_id_marca_cilindro =&gt; "&amp;IF(TRIM(R38&amp;"")="","NULL","(SELECT lo.id FROM gen_lista_opciones lo JOIN gen_lista l ON l.id = lo.id_lista WHERE l.nombre = 'MarcaCilindro' AND upper(lo.nombre) = upper('"&amp;SUBSTITUTE(TRIM(R38),"'","''")&amp;"') AND lo.estado = 1 LIMIT 1)")&amp;", p_id_organo_inspector =&gt; "&amp;IF(TRIM(S38&amp;"")="","NULL","(SELECT lo.id FROM gen_lista_opciones lo JOIN gen_lista l ON l.id = lo.id_lista WHERE l.nombre = 'OrganoInspectorCilindro' AND upper(lo.nombre) = upper('"&amp;SUBSTITUTE(TRIM(S38),"'","''")&amp;"') AND lo.estado = 1 LIMIT 1)")&amp;", p_organo_inspector_no_aplica =&gt; "&amp;IF(S38="NO_APLICA","TRUE","FALSE")&amp;", p_presion_actual =&gt; "&amp;IF(T38&amp;""="","NULL",SUBSTITUTE(T38&amp;"",",","."))&amp;", p_tipo_valvula =&gt; "&amp;IF(TRIM(U38&amp;"")="","NULL","'"&amp;SUBSTITUTE(TRIM(U38),"'","''")&amp;"'")&amp;", p_libro_cilindro =&gt; "&amp;IF(TRIM(V38&amp;"")="","NULL","'"&amp;SUBSTITUTE(TRIM(V38),"'","''")&amp;"'")&amp;", p_pagina_libro =&gt; "&amp;IF(W38&amp;""="","NULL",SUBSTITUTE(W38&amp;"",",","."))&amp;", p_observacion =&gt; "&amp;IF(TRIM(X38&amp;"")="","NULL","'"&amp;SUBSTITUTE(TRIM(X38),"'","''")&amp;"'")&amp;") AS resultado_balon_"&amp;ROW()&amp;";")</f>
        <v/>
      </c>
    </row>
    <row r="39" ht="15.75" customHeight="1" s="64">
      <c r="A39" s="36" t="inlineStr">
        <is>
          <t>35</t>
        </is>
      </c>
      <c r="B39" s="25">
        <f>IF(AND(C39="",D39="",E39=""),"",IF(C39="","FALTA código balón",IF(D39="","FALTA tipo balón",IF(E39="","FALTA gas",IF(F39="","FALTA propietario",IF(AND(C39&lt;&gt;"",SUMPRODUCT(--($C$5:$C$1200=C39))&gt;1),"CÓDIGO BALÓN DUPLICADO",IF(AND(OR(UPPER(F39)="PLANTA",UPPER(F39)="CLIENTE"),G39=""),"FALTA doc propietario/planta",IF(AND(UPPER(F39)="PLANTA",G39="10175332796"),"PLANTA no puede ser RUC empresa","OK"))))))))</f>
        <v/>
      </c>
      <c r="C39" s="23" t="inlineStr">
        <is>
          <t>A2389118</t>
        </is>
      </c>
      <c r="D39" s="17" t="inlineStr">
        <is>
          <t>Argón Estándar  3 m3</t>
        </is>
      </c>
      <c r="E39" s="17" t="inlineStr">
        <is>
          <t>ARGON</t>
        </is>
      </c>
      <c r="F39" s="17" t="inlineStr">
        <is>
          <t>EMPRESA</t>
        </is>
      </c>
      <c r="G39" s="23" t="inlineStr">
        <is>
          <t>10175332796</t>
        </is>
      </c>
      <c r="H39" s="25" t="inlineStr">
        <is>
          <t>OXIGENO SARITA</t>
        </is>
      </c>
      <c r="I39" s="17" t="inlineStr">
        <is>
          <t>DISPONIBLE</t>
        </is>
      </c>
      <c r="J39" s="17" t="inlineStr">
        <is>
          <t>ALMACEN PRINCIPAL</t>
        </is>
      </c>
      <c r="K39" s="47" t="n"/>
      <c r="L39" s="25">
        <f t="array" ref="L39">IF(K39="","",IFERROR(IF(INDEX(Clientes!$D$5:$D$549,MATCH(K39,Clientes!$C$5:$C$549,0))&lt;&gt;"",INDEX(Clientes!$D$5:$D$549,MATCH(K39,Clientes!$C$5:$C$549,0)),TRIM(INDEX(Clientes!$E$5:$E$549,MATCH(K39,Clientes!$C$5:$C$549,0))&amp;" "&amp;INDEX(Clientes!$F$5:$F$549,MATCH(K39,Clientes!$C$5:$C$549,0)))),"NO EXISTE en Clientes"))</f>
        <v/>
      </c>
      <c r="M39" s="17" t="n"/>
      <c r="N39" s="17" t="n"/>
      <c r="O39" s="42" t="n"/>
      <c r="P39" s="39">
        <f>IF(O39&lt;&gt;"",DATE(YEAR(O39)+5,MONTH(O39),1),IF(AND(M39&lt;&gt;"",N39&lt;&gt;""),DATE(M39+5,N39,1),""))</f>
        <v/>
      </c>
      <c r="Q39" s="23" t="n"/>
      <c r="R39" s="17" t="n"/>
      <c r="S39" s="17" t="n"/>
      <c r="T39" s="17" t="n"/>
      <c r="U39" s="17" t="n"/>
      <c r="V39" s="23" t="n"/>
      <c r="W39" s="17" t="n"/>
      <c r="X39" s="17" t="n"/>
      <c r="Y39" s="28">
        <f>IF(B39&lt;&gt;"OK","","SELECT bal_crear_balon(p_codigo_balon =&gt; "&amp;IF(TRIM(C39&amp;"")="","NULL","'"&amp;SUBSTITUTE(TRIM(C39),"'","''")&amp;"'")&amp;", p_id_tipo_balon =&gt; "&amp;"(SELECT id FROM bal_tipo_balon WHERE upper(nombre) = upper('"&amp;SUBSTITUTE(TRIM(D39),"'","''")&amp;"') AND estado = 1 LIMIT 1)"&amp;", p_id_producto_gas =&gt; "&amp;"(SELECT id FROM pro_producto WHERE es_gas = TRUE AND upper(nombre) = upper('"&amp;SUBSTITUTE(TRIM(E39),"'","''")&amp;"') AND estado = 1 LIMIT 1)"&amp;", p_id_propietario =&gt; "&amp;IF(TRIM(F39&amp;"")="","NULL","(SELECT lo.id FROM gen_lista_opciones lo JOIN gen_lista l ON l.id = lo.id_lista WHERE l.nombre = 'PropietarioBalon' AND upper(lo.nombre) = upper('"&amp;SUBSTITUTE(TRIM(F39),"'","''")&amp;"') AND lo.estado = 1 LIMIT 1)")&amp;", p_id_cliente_propietario =&gt; "&amp;IF(F39="CLIENTE",IF(TRIM(G39&amp;"")="","NULL","(SELECT id FROM cli_clientes WHERE numero_documento = '"&amp;SUBSTITUTE(TRIM(G39),"'","''")&amp;"' AND estado = 1 LIMIT 1)"),"NULL")&amp;", p_id_planta =&gt; "&amp;IF(F39="PLANTA",IF(TRIM(G39&amp;"")="","NULL","(SELECT id FROM cli_clientes WHERE numero_documento = '"&amp;SUBSTITUTE(TRIM(G39),"'","''")&amp;"'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"&amp;IF(TRIM(J39&amp;"")="","NULL","(SELECT id FROM gen_almacen WHERE upper(nombre) = upper('"&amp;SUBSTITUTE(TRIM(J39),"'","''")&amp;"') AND estado = 1 LIMIT 1)")&amp;", p_id_cliente_ubicacion =&gt; "&amp;IF(TRIM(K39&amp;"")="","NULL","(SELECT id FROM cli_clientes WHERE numero_documento = '"&amp;SUBSTITUTE(TRIM(K39),"'","''")&amp;"' AND estado = 1 LIMIT 1)")&amp;", p_id_referencia =&gt; "&amp;IF(TRIM(J39&amp;"")&lt;&gt;"","(SELECT lo.id FROM gen_lista_opciones lo JOIN gen_lista l ON l.id = lo.id_lista WHERE l.nombre = 'ReferenciaCilindro' AND upper(lo.nombre) = 'ALMACEN' AND lo.estado = 1 LIMIT 1)",IF(TRIM(K39&amp;"")&lt;&gt;"","(SELECT lo.id FROM gen_lista_opciones lo JOIN gen_lista l ON l.id = lo.id_lista WHERE l.nombre = 'ReferenciaCilindro' AND upper(lo.nombre) = 'CLIENTE' AND lo.estado = 1 LIMIT 1)","NULL"))&amp;", p_anio_fabricacion =&gt; "&amp;IF(M39&amp;""="","NULL::smallint",M39&amp;"::smallint")&amp;", p_mes_fabricacion =&gt; "&amp;IF(N39&amp;""="","NULL::smallint",N39&amp;"::smallint")&amp;", p_fecha_ultima_prueba_hidrostatica =&gt; "&amp;IF(O39&amp;""="","NULL","'"&amp;YEAR(O39)&amp;"-"&amp;TEXT(MONTH(O39),"00")&amp;"-"&amp;TEXT(DAY(O39),"00")&amp;"'")&amp;", p_numero_serie =&gt; "&amp;IF(TRIM(Q39&amp;"")="","NULL","'"&amp;SUBSTITUTE(TRIM(Q39),"'","''")&amp;"'")&amp;", p_id_marca_cilindro =&gt; "&amp;IF(TRIM(R39&amp;"")="","NULL","(SELECT lo.id FROM gen_lista_opciones lo JOIN gen_lista l ON l.id = lo.id_lista WHERE l.nombre = 'MarcaCilindro' AND upper(lo.nombre) = upper('"&amp;SUBSTITUTE(TRIM(R39),"'","''")&amp;"') AND lo.estado = 1 LIMIT 1)")&amp;", p_id_organo_inspector =&gt; "&amp;IF(TRIM(S39&amp;"")="","NULL","(SELECT lo.id FROM gen_lista_opciones lo JOIN gen_lista l ON l.id = lo.id_lista WHERE l.nombre = 'OrganoInspectorCilindro' AND upper(lo.nombre) = upper('"&amp;SUBSTITUTE(TRIM(S39),"'","''")&amp;"') AND lo.estado = 1 LIMIT 1)")&amp;", p_organo_inspector_no_aplica =&gt; "&amp;IF(S39="NO_APLICA","TRUE","FALSE")&amp;", p_presion_actual =&gt; "&amp;IF(T39&amp;""="","NULL",SUBSTITUTE(T39&amp;"",",","."))&amp;", p_tipo_valvula =&gt; "&amp;IF(TRIM(U39&amp;"")="","NULL","'"&amp;SUBSTITUTE(TRIM(U39),"'","''")&amp;"'")&amp;", p_libro_cilindro =&gt; "&amp;IF(TRIM(V39&amp;"")="","NULL","'"&amp;SUBSTITUTE(TRIM(V39),"'","''")&amp;"'")&amp;", p_pagina_libro =&gt; "&amp;IF(W39&amp;""="","NULL",SUBSTITUTE(W39&amp;"",",","."))&amp;", p_observacion =&gt; "&amp;IF(TRIM(X39&amp;"")="","NULL","'"&amp;SUBSTITUTE(TRIM(X39),"'","''")&amp;"'")&amp;") AS resultado_balon_"&amp;ROW()&amp;";")</f>
        <v/>
      </c>
    </row>
    <row r="40" ht="15.75" customHeight="1" s="64">
      <c r="A40" s="36" t="inlineStr">
        <is>
          <t>36</t>
        </is>
      </c>
      <c r="B40" s="25">
        <f>IF(AND(C40="",D40="",E40=""),"",IF(C40="","FALTA código balón",IF(D40="","FALTA tipo balón",IF(E40="","FALTA gas",IF(F40="","FALTA propietario",IF(AND(C40&lt;&gt;"",SUMPRODUCT(--($C$5:$C$1200=C40))&gt;1),"CÓDIGO BALÓN DUPLICADO",IF(AND(OR(UPPER(F40)="PLANTA",UPPER(F40)="CLIENTE"),G40=""),"FALTA doc propietario/planta",IF(AND(UPPER(F40)="PLANTA",G40="10175332796"),"PLANTA no puede ser RUC empresa","OK"))))))))</f>
        <v/>
      </c>
      <c r="C40" s="23" t="inlineStr">
        <is>
          <t>GTA048105</t>
        </is>
      </c>
      <c r="D40" s="17" t="inlineStr">
        <is>
          <t>Argón Estándar  3 m3</t>
        </is>
      </c>
      <c r="E40" s="17" t="inlineStr">
        <is>
          <t>ARGON</t>
        </is>
      </c>
      <c r="F40" s="17" t="inlineStr">
        <is>
          <t>EMPRESA</t>
        </is>
      </c>
      <c r="G40" s="23" t="inlineStr">
        <is>
          <t>10175332796</t>
        </is>
      </c>
      <c r="H40" s="25" t="inlineStr">
        <is>
          <t>OXIGENO SARITA</t>
        </is>
      </c>
      <c r="I40" s="17" t="inlineStr">
        <is>
          <t>EN_PODER_CLIENTE</t>
        </is>
      </c>
      <c r="J40" s="17" t="n"/>
      <c r="K40" s="47" t="inlineStr">
        <is>
          <t>10471465572</t>
        </is>
      </c>
      <c r="L40" s="25">
        <f t="array" ref="L40">IF(K40="","",IFERROR(IF(INDEX(Clientes!$D$5:$D$549,MATCH(K40,Clientes!$C$5:$C$549,0))&lt;&gt;"",INDEX(Clientes!$D$5:$D$549,MATCH(K40,Clientes!$C$5:$C$549,0)),TRIM(INDEX(Clientes!$E$5:$E$549,MATCH(K40,Clientes!$C$5:$C$549,0))&amp;" "&amp;INDEX(Clientes!$F$5:$F$549,MATCH(K40,Clientes!$C$5:$C$549,0)))),"NO EXISTE en Clientes"))</f>
        <v/>
      </c>
      <c r="M40" s="17" t="n"/>
      <c r="N40" s="17" t="n"/>
      <c r="O40" s="42" t="n"/>
      <c r="P40" s="39">
        <f>IF(O40&lt;&gt;"",DATE(YEAR(O40)+5,MONTH(O40),1),IF(AND(M40&lt;&gt;"",N40&lt;&gt;""),DATE(M40+5,N40,1),""))</f>
        <v/>
      </c>
      <c r="Q40" s="23" t="n"/>
      <c r="R40" s="17" t="n"/>
      <c r="S40" s="17" t="n"/>
      <c r="T40" s="17" t="n"/>
      <c r="U40" s="17" t="n"/>
      <c r="V40" s="23" t="n"/>
      <c r="W40" s="17" t="n"/>
      <c r="X40" s="17" t="n"/>
      <c r="Y40" s="28">
        <f>IF(B40&lt;&gt;"OK","","SELECT bal_crear_balon(p_codigo_balon =&gt; "&amp;IF(TRIM(C40&amp;"")="","NULL","'"&amp;SUBSTITUTE(TRIM(C40),"'","''")&amp;"'")&amp;", p_id_tipo_balon =&gt; "&amp;"(SELECT id FROM bal_tipo_balon WHERE upper(nombre) = upper('"&amp;SUBSTITUTE(TRIM(D40),"'","''")&amp;"') AND estado = 1 LIMIT 1)"&amp;", p_id_producto_gas =&gt; "&amp;"(SELECT id FROM pro_producto WHERE es_gas = TRUE AND upper(nombre) = upper('"&amp;SUBSTITUTE(TRIM(E40),"'","''")&amp;"') AND estado = 1 LIMIT 1)"&amp;", p_id_propietario =&gt; "&amp;IF(TRIM(F40&amp;"")="","NULL","(SELECT lo.id FROM gen_lista_opciones lo JOIN gen_lista l ON l.id = lo.id_lista WHERE l.nombre = 'PropietarioBalon' AND upper(lo.nombre) = upper('"&amp;SUBSTITUTE(TRIM(F40),"'","''")&amp;"') AND lo.estado = 1 LIMIT 1)")&amp;", p_id_cliente_propietario =&gt; "&amp;IF(F40="CLIENTE",IF(TRIM(G40&amp;"")="","NULL","(SELECT id FROM cli_clientes WHERE numero_documento = '"&amp;SUBSTITUTE(TRIM(G40),"'","''")&amp;"' AND estado = 1 LIMIT 1)"),"NULL")&amp;", p_id_planta =&gt; "&amp;IF(F40="PLANTA",IF(TRIM(G40&amp;"")="","NULL","(SELECT id FROM cli_clientes WHERE numero_documento = '"&amp;SUBSTITUTE(TRIM(G40),"'","''")&amp;"'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"&amp;IF(TRIM(J40&amp;"")="","NULL","(SELECT id FROM gen_almacen WHERE upper(nombre) = upper('"&amp;SUBSTITUTE(TRIM(J40),"'","''")&amp;"') AND estado = 1 LIMIT 1)")&amp;", p_id_cliente_ubicacion =&gt; "&amp;IF(TRIM(K40&amp;"")="","NULL","(SELECT id FROM cli_clientes WHERE numero_documento = '"&amp;SUBSTITUTE(TRIM(K40),"'","''")&amp;"' AND estado = 1 LIMIT 1)")&amp;", p_id_referencia =&gt; "&amp;IF(TRIM(J40&amp;"")&lt;&gt;"","(SELECT lo.id FROM gen_lista_opciones lo JOIN gen_lista l ON l.id = lo.id_lista WHERE l.nombre = 'ReferenciaCilindro' AND upper(lo.nombre) = 'ALMACEN' AND lo.estado = 1 LIMIT 1)",IF(TRIM(K40&amp;"")&lt;&gt;"","(SELECT lo.id FROM gen_lista_opciones lo JOIN gen_lista l ON l.id = lo.id_lista WHERE l.nombre = 'ReferenciaCilindro' AND upper(lo.nombre) = 'CLIENTE' AND lo.estado = 1 LIMIT 1)","NULL"))&amp;", p_anio_fabricacion =&gt; "&amp;IF(M40&amp;""="","NULL::smallint",M40&amp;"::smallint")&amp;", p_mes_fabricacion =&gt; "&amp;IF(N40&amp;""="","NULL::smallint",N40&amp;"::smallint")&amp;", p_fecha_ultima_prueba_hidrostatica =&gt; "&amp;IF(O40&amp;""="","NULL","'"&amp;YEAR(O40)&amp;"-"&amp;TEXT(MONTH(O40),"00")&amp;"-"&amp;TEXT(DAY(O40),"00")&amp;"'")&amp;", p_numero_serie =&gt; "&amp;IF(TRIM(Q40&amp;"")="","NULL","'"&amp;SUBSTITUTE(TRIM(Q40),"'","''")&amp;"'")&amp;", p_id_marca_cilindro =&gt; "&amp;IF(TRIM(R40&amp;"")="","NULL","(SELECT lo.id FROM gen_lista_opciones lo JOIN gen_lista l ON l.id = lo.id_lista WHERE l.nombre = 'MarcaCilindro' AND upper(lo.nombre) = upper('"&amp;SUBSTITUTE(TRIM(R40),"'","''")&amp;"') AND lo.estado = 1 LIMIT 1)")&amp;", p_id_organo_inspector =&gt; "&amp;IF(TRIM(S40&amp;"")="","NULL","(SELECT lo.id FROM gen_lista_opciones lo JOIN gen_lista l ON l.id = lo.id_lista WHERE l.nombre = 'OrganoInspectorCilindro' AND upper(lo.nombre) = upper('"&amp;SUBSTITUTE(TRIM(S40),"'","''")&amp;"') AND lo.estado = 1 LIMIT 1)")&amp;", p_organo_inspector_no_aplica =&gt; "&amp;IF(S40="NO_APLICA","TRUE","FALSE")&amp;", p_presion_actual =&gt; "&amp;IF(T40&amp;""="","NULL",SUBSTITUTE(T40&amp;"",",","."))&amp;", p_tipo_valvula =&gt; "&amp;IF(TRIM(U40&amp;"")="","NULL","'"&amp;SUBSTITUTE(TRIM(U40),"'","''")&amp;"'")&amp;", p_libro_cilindro =&gt; "&amp;IF(TRIM(V40&amp;"")="","NULL","'"&amp;SUBSTITUTE(TRIM(V40),"'","''")&amp;"'")&amp;", p_pagina_libro =&gt; "&amp;IF(W40&amp;""="","NULL",SUBSTITUTE(W40&amp;"",",","."))&amp;", p_observacion =&gt; "&amp;IF(TRIM(X40&amp;"")="","NULL","'"&amp;SUBSTITUTE(TRIM(X40),"'","''")&amp;"'")&amp;") AS resultado_balon_"&amp;ROW()&amp;";")</f>
        <v/>
      </c>
    </row>
    <row r="41" ht="15.75" customHeight="1" s="64">
      <c r="A41" s="36" t="inlineStr">
        <is>
          <t>37</t>
        </is>
      </c>
      <c r="B41" s="25">
        <f>IF(AND(C41="",D41="",E41=""),"",IF(C41="","FALTA código balón",IF(D41="","FALTA tipo balón",IF(E41="","FALTA gas",IF(F41="","FALTA propietario",IF(AND(C41&lt;&gt;"",SUMPRODUCT(--($C$5:$C$1200=C41))&gt;1),"CÓDIGO BALÓN DUPLICADO",IF(AND(OR(UPPER(F41)="PLANTA",UPPER(F41)="CLIENTE"),G41=""),"FALTA doc propietario/planta",IF(AND(UPPER(F41)="PLANTA",G41="10175332796"),"PLANTA no puede ser RUC empresa","OK"))))))))</f>
        <v/>
      </c>
      <c r="C41" s="23" t="inlineStr">
        <is>
          <t>26CQ004013</t>
        </is>
      </c>
      <c r="D41" s="17" t="inlineStr">
        <is>
          <t>Argón Estándar  3 m3</t>
        </is>
      </c>
      <c r="E41" s="17" t="inlineStr">
        <is>
          <t>ARGON</t>
        </is>
      </c>
      <c r="F41" s="17" t="inlineStr">
        <is>
          <t>EMPRESA</t>
        </is>
      </c>
      <c r="G41" s="23" t="inlineStr">
        <is>
          <t>10175332796</t>
        </is>
      </c>
      <c r="H41" s="25" t="inlineStr">
        <is>
          <t>OXIGENO SARITA</t>
        </is>
      </c>
      <c r="I41" s="17" t="inlineStr">
        <is>
          <t>DISPONIBLE</t>
        </is>
      </c>
      <c r="J41" s="17" t="inlineStr">
        <is>
          <t>ALMACEN PRINCIPAL</t>
        </is>
      </c>
      <c r="K41" s="47" t="n"/>
      <c r="L41" s="25">
        <f t="array" ref="L41">IF(K41="","",IFERROR(IF(INDEX(Clientes!$D$5:$D$549,MATCH(K41,Clientes!$C$5:$C$549,0))&lt;&gt;"",INDEX(Clientes!$D$5:$D$549,MATCH(K41,Clientes!$C$5:$C$549,0)),TRIM(INDEX(Clientes!$E$5:$E$549,MATCH(K41,Clientes!$C$5:$C$549,0))&amp;" "&amp;INDEX(Clientes!$F$5:$F$549,MATCH(K41,Clientes!$C$5:$C$549,0)))),"NO EXISTE en Clientes"))</f>
        <v/>
      </c>
      <c r="M41" s="17" t="n"/>
      <c r="N41" s="17" t="n"/>
      <c r="O41" s="42" t="n"/>
      <c r="P41" s="39">
        <f>IF(O41&lt;&gt;"",DATE(YEAR(O41)+5,MONTH(O41),1),IF(AND(M41&lt;&gt;"",N41&lt;&gt;""),DATE(M41+5,N41,1),""))</f>
        <v/>
      </c>
      <c r="Q41" s="23" t="n"/>
      <c r="R41" s="17" t="n"/>
      <c r="S41" s="17" t="n"/>
      <c r="T41" s="17" t="n"/>
      <c r="U41" s="17" t="n"/>
      <c r="V41" s="23" t="n"/>
      <c r="W41" s="17" t="n"/>
      <c r="X41" s="17" t="n"/>
      <c r="Y41" s="28">
        <f>IF(B41&lt;&gt;"OK","","SELECT bal_crear_balon(p_codigo_balon =&gt; "&amp;IF(TRIM(C41&amp;"")="","NULL","'"&amp;SUBSTITUTE(TRIM(C41),"'","''")&amp;"'")&amp;", p_id_tipo_balon =&gt; "&amp;"(SELECT id FROM bal_tipo_balon WHERE upper(nombre) = upper('"&amp;SUBSTITUTE(TRIM(D41),"'","''")&amp;"') AND estado = 1 LIMIT 1)"&amp;", p_id_producto_gas =&gt; "&amp;"(SELECT id FROM pro_producto WHERE es_gas = TRUE AND upper(nombre) = upper('"&amp;SUBSTITUTE(TRIM(E41),"'","''")&amp;"') AND estado = 1 LIMIT 1)"&amp;", p_id_propietario =&gt; "&amp;IF(TRIM(F41&amp;"")="","NULL","(SELECT lo.id FROM gen_lista_opciones lo JOIN gen_lista l ON l.id = lo.id_lista WHERE l.nombre = 'PropietarioBalon' AND upper(lo.nombre) = upper('"&amp;SUBSTITUTE(TRIM(F41),"'","''")&amp;"') AND lo.estado = 1 LIMIT 1)")&amp;", p_id_cliente_propietario =&gt; "&amp;IF(F41="CLIENTE",IF(TRIM(G41&amp;"")="","NULL","(SELECT id FROM cli_clientes WHERE numero_documento = '"&amp;SUBSTITUTE(TRIM(G41),"'","''")&amp;"' AND estado = 1 LIMIT 1)"),"NULL")&amp;", p_id_planta =&gt; "&amp;IF(F41="PLANTA",IF(TRIM(G41&amp;"")="","NULL","(SELECT id FROM cli_clientes WHERE numero_documento = '"&amp;SUBSTITUTE(TRIM(G41),"'","''")&amp;"'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"&amp;IF(TRIM(J41&amp;"")="","NULL","(SELECT id FROM gen_almacen WHERE upper(nombre) = upper('"&amp;SUBSTITUTE(TRIM(J41),"'","''")&amp;"') AND estado = 1 LIMIT 1)")&amp;", p_id_cliente_ubicacion =&gt; "&amp;IF(TRIM(K41&amp;"")="","NULL","(SELECT id FROM cli_clientes WHERE numero_documento = '"&amp;SUBSTITUTE(TRIM(K41),"'","''")&amp;"' AND estado = 1 LIMIT 1)")&amp;", p_id_referencia =&gt; "&amp;IF(TRIM(J41&amp;"")&lt;&gt;"","(SELECT lo.id FROM gen_lista_opciones lo JOIN gen_lista l ON l.id = lo.id_lista WHERE l.nombre = 'ReferenciaCilindro' AND upper(lo.nombre) = 'ALMACEN' AND lo.estado = 1 LIMIT 1)",IF(TRIM(K41&amp;"")&lt;&gt;"","(SELECT lo.id FROM gen_lista_opciones lo JOIN gen_lista l ON l.id = lo.id_lista WHERE l.nombre = 'ReferenciaCilindro' AND upper(lo.nombre) = 'CLIENTE' AND lo.estado = 1 LIMIT 1)","NULL"))&amp;", p_anio_fabricacion =&gt; "&amp;IF(M41&amp;""="","NULL::smallint",M41&amp;"::smallint")&amp;", p_mes_fabricacion =&gt; "&amp;IF(N41&amp;""="","NULL::smallint",N41&amp;"::smallint")&amp;", p_fecha_ultima_prueba_hidrostatica =&gt; "&amp;IF(O41&amp;""="","NULL","'"&amp;YEAR(O41)&amp;"-"&amp;TEXT(MONTH(O41),"00")&amp;"-"&amp;TEXT(DAY(O41),"00")&amp;"'")&amp;", p_numero_serie =&gt; "&amp;IF(TRIM(Q41&amp;"")="","NULL","'"&amp;SUBSTITUTE(TRIM(Q41),"'","''")&amp;"'")&amp;", p_id_marca_cilindro =&gt; "&amp;IF(TRIM(R41&amp;"")="","NULL","(SELECT lo.id FROM gen_lista_opciones lo JOIN gen_lista l ON l.id = lo.id_lista WHERE l.nombre = 'MarcaCilindro' AND upper(lo.nombre) = upper('"&amp;SUBSTITUTE(TRIM(R41),"'","''")&amp;"') AND lo.estado = 1 LIMIT 1)")&amp;", p_id_organo_inspector =&gt; "&amp;IF(TRIM(S41&amp;"")="","NULL","(SELECT lo.id FROM gen_lista_opciones lo JOIN gen_lista l ON l.id = lo.id_lista WHERE l.nombre = 'OrganoInspectorCilindro' AND upper(lo.nombre) = upper('"&amp;SUBSTITUTE(TRIM(S41),"'","''")&amp;"') AND lo.estado = 1 LIMIT 1)")&amp;", p_organo_inspector_no_aplica =&gt; "&amp;IF(S41="NO_APLICA","TRUE","FALSE")&amp;", p_presion_actual =&gt; "&amp;IF(T41&amp;""="","NULL",SUBSTITUTE(T41&amp;"",",","."))&amp;", p_tipo_valvula =&gt; "&amp;IF(TRIM(U41&amp;"")="","NULL","'"&amp;SUBSTITUTE(TRIM(U41),"'","''")&amp;"'")&amp;", p_libro_cilindro =&gt; "&amp;IF(TRIM(V41&amp;"")="","NULL","'"&amp;SUBSTITUTE(TRIM(V41),"'","''")&amp;"'")&amp;", p_pagina_libro =&gt; "&amp;IF(W41&amp;""="","NULL",SUBSTITUTE(W41&amp;"",",","."))&amp;", p_observacion =&gt; "&amp;IF(TRIM(X41&amp;"")="","NULL","'"&amp;SUBSTITUTE(TRIM(X41),"'","''")&amp;"'")&amp;") AS resultado_balon_"&amp;ROW()&amp;";")</f>
        <v/>
      </c>
    </row>
    <row r="42" ht="15.75" customHeight="1" s="64">
      <c r="A42" s="36" t="inlineStr">
        <is>
          <t>38</t>
        </is>
      </c>
      <c r="B42" s="25">
        <f>IF(AND(C42="",D42="",E42=""),"",IF(C42="","FALTA código balón",IF(D42="","FALTA tipo balón",IF(E42="","FALTA gas",IF(F42="","FALTA propietario",IF(AND(C42&lt;&gt;"",SUMPRODUCT(--($C$5:$C$1200=C42))&gt;1),"CÓDIGO BALÓN DUPLICADO",IF(AND(OR(UPPER(F42)="PLANTA",UPPER(F42)="CLIENTE"),G42=""),"FALTA doc propietario/planta",IF(AND(UPPER(F42)="PLANTA",G42="10175332796"),"PLANTA no puede ser RUC empresa","OK"))))))))</f>
        <v/>
      </c>
      <c r="C42" s="23" t="inlineStr">
        <is>
          <t>22K035162</t>
        </is>
      </c>
      <c r="D42" s="17" t="inlineStr">
        <is>
          <t>Argón Estándar 10 m3</t>
        </is>
      </c>
      <c r="E42" s="17" t="inlineStr">
        <is>
          <t>ARGON</t>
        </is>
      </c>
      <c r="F42" s="17" t="inlineStr">
        <is>
          <t>EMPRESA</t>
        </is>
      </c>
      <c r="G42" s="23" t="inlineStr">
        <is>
          <t>10175332796</t>
        </is>
      </c>
      <c r="H42" s="25" t="inlineStr">
        <is>
          <t>OXIGENO SARITA</t>
        </is>
      </c>
      <c r="I42" s="17" t="inlineStr">
        <is>
          <t>EN_RECARGA_EXTERNA</t>
        </is>
      </c>
      <c r="J42" s="17" t="n"/>
      <c r="K42" s="40" t="inlineStr">
        <is>
          <t>20536698834</t>
        </is>
      </c>
      <c r="L42" s="25">
        <f t="array" ref="L42">IF(K42="","",IFERROR(IF(INDEX(Clientes!$D$5:$D$549,MATCH(K42,Clientes!$C$5:$C$549,0))&lt;&gt;"",INDEX(Clientes!$D$5:$D$549,MATCH(K42,Clientes!$C$5:$C$549,0)),TRIM(INDEX(Clientes!$E$5:$E$549,MATCH(K42,Clientes!$C$5:$C$549,0))&amp;" "&amp;INDEX(Clientes!$F$5:$F$549,MATCH(K42,Clientes!$C$5:$C$549,0)))),"NO EXISTE en Clientes"))</f>
        <v/>
      </c>
      <c r="M42" s="17" t="n"/>
      <c r="N42" s="17" t="n"/>
      <c r="O42" s="42" t="n"/>
      <c r="P42" s="39" t="n"/>
      <c r="Q42" s="23" t="n"/>
      <c r="R42" s="17" t="n"/>
      <c r="S42" s="17" t="n"/>
      <c r="T42" s="17" t="n"/>
      <c r="U42" s="17" t="n"/>
      <c r="V42" s="23" t="n"/>
      <c r="W42" s="17" t="n"/>
      <c r="X42" s="17" t="n"/>
      <c r="Y42" s="28">
        <f>IF(B42&lt;&gt;"OK","","SELECT bal_crear_balon(p_codigo_balon =&gt; "&amp;IF(TRIM(C42&amp;"")="","NULL","'"&amp;SUBSTITUTE(TRIM(C42),"'","''")&amp;"'")&amp;", p_id_tipo_balon =&gt; "&amp;"(SELECT id FROM bal_tipo_balon WHERE upper(nombre) = upper('"&amp;SUBSTITUTE(TRIM(D42),"'","''")&amp;"') AND estado = 1 LIMIT 1)"&amp;", p_id_producto_gas =&gt; "&amp;"(SELECT id FROM pro_producto WHERE es_gas = TRUE AND upper(nombre) = upper('"&amp;SUBSTITUTE(TRIM(E42),"'","''")&amp;"') AND estado = 1 LIMIT 1)"&amp;", p_id_propietario =&gt; "&amp;IF(TRIM(F42&amp;"")="","NULL","(SELECT lo.id FROM gen_lista_opciones lo JOIN gen_lista l ON l.id = lo.id_lista WHERE l.nombre = 'PropietarioBalon' AND upper(lo.nombre) = upper('"&amp;SUBSTITUTE(TRIM(F42),"'","''")&amp;"') AND lo.estado = 1 LIMIT 1)")&amp;", p_id_cliente_propietario =&gt; "&amp;IF(F42="CLIENTE",IF(TRIM(G42&amp;"")="","NULL","(SELECT id FROM cli_clientes WHERE numero_documento = '"&amp;SUBSTITUTE(TRIM(G42),"'","''")&amp;"' AND estado = 1 LIMIT 1)"),"NULL")&amp;", p_id_planta =&gt; "&amp;IF(F42="PLANTA",IF(TRIM(G42&amp;"")="","NULL","(SELECT id FROM cli_clientes WHERE numero_documento = '"&amp;SUBSTITUTE(TRIM(G42),"'","''")&amp;"'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"&amp;IF(TRIM(J42&amp;"")="","NULL","(SELECT id FROM gen_almacen WHERE upper(nombre) = upper('"&amp;SUBSTITUTE(TRIM(J42),"'","''")&amp;"') AND estado = 1 LIMIT 1)")&amp;", p_id_cliente_ubicacion =&gt; "&amp;IF(TRIM(K42&amp;"")="","NULL","(SELECT id FROM cli_clientes WHERE numero_documento = '"&amp;SUBSTITUTE(TRIM(K42),"'","''")&amp;"' AND estado = 1 LIMIT 1)")&amp;", p_id_referencia =&gt; "&amp;IF(TRIM(J42&amp;"")&lt;&gt;"","(SELECT lo.id FROM gen_lista_opciones lo JOIN gen_lista l ON l.id = lo.id_lista WHERE l.nombre = 'ReferenciaCilindro' AND upper(lo.nombre) = 'ALMACEN' AND lo.estado = 1 LIMIT 1)",IF(TRIM(K42&amp;"")&lt;&gt;"","(SELECT lo.id FROM gen_lista_opciones lo JOIN gen_lista l ON l.id = lo.id_lista WHERE l.nombre = 'ReferenciaCilindro' AND upper(lo.nombre) = 'CLIENTE' AND lo.estado = 1 LIMIT 1)","NULL"))&amp;", p_anio_fabricacion =&gt; "&amp;IF(M42&amp;""="","NULL::smallint",M42&amp;"::smallint")&amp;", p_mes_fabricacion =&gt; "&amp;IF(N42&amp;""="","NULL::smallint",N42&amp;"::smallint")&amp;", p_fecha_ultima_prueba_hidrostatica =&gt; "&amp;IF(O42&amp;""="","NULL","'"&amp;YEAR(O42)&amp;"-"&amp;TEXT(MONTH(O42),"00")&amp;"-"&amp;TEXT(DAY(O42),"00")&amp;"'")&amp;", p_numero_serie =&gt; "&amp;IF(TRIM(Q42&amp;"")="","NULL","'"&amp;SUBSTITUTE(TRIM(Q42),"'","''")&amp;"'")&amp;", p_id_marca_cilindro =&gt; "&amp;IF(TRIM(R42&amp;"")="","NULL","(SELECT lo.id FROM gen_lista_opciones lo JOIN gen_lista l ON l.id = lo.id_lista WHERE l.nombre = 'MarcaCilindro' AND upper(lo.nombre) = upper('"&amp;SUBSTITUTE(TRIM(R42),"'","''")&amp;"') AND lo.estado = 1 LIMIT 1)")&amp;", p_id_organo_inspector =&gt; "&amp;IF(TRIM(S42&amp;"")="","NULL","(SELECT lo.id FROM gen_lista_opciones lo JOIN gen_lista l ON l.id = lo.id_lista WHERE l.nombre = 'OrganoInspectorCilindro' AND upper(lo.nombre) = upper('"&amp;SUBSTITUTE(TRIM(S42),"'","''")&amp;"') AND lo.estado = 1 LIMIT 1)")&amp;", p_organo_inspector_no_aplica =&gt; "&amp;IF(S42="NO_APLICA","TRUE","FALSE")&amp;", p_presion_actual =&gt; "&amp;IF(T42&amp;""="","NULL",SUBSTITUTE(T42&amp;"",",","."))&amp;", p_tipo_valvula =&gt; "&amp;IF(TRIM(U42&amp;"")="","NULL","'"&amp;SUBSTITUTE(TRIM(U42),"'","''")&amp;"'")&amp;", p_libro_cilindro =&gt; "&amp;IF(TRIM(V42&amp;"")="","NULL","'"&amp;SUBSTITUTE(TRIM(V42),"'","''")&amp;"'")&amp;", p_pagina_libro =&gt; "&amp;IF(W42&amp;""="","NULL",SUBSTITUTE(W42&amp;"",",","."))&amp;", p_observacion =&gt; "&amp;IF(TRIM(X42&amp;"")="","NULL","'"&amp;SUBSTITUTE(TRIM(X42),"'","''")&amp;"'")&amp;") AS resultado_balon_"&amp;ROW()&amp;";")</f>
        <v/>
      </c>
    </row>
    <row r="43" ht="15.75" customHeight="1" s="64">
      <c r="A43" s="36" t="inlineStr">
        <is>
          <t>39</t>
        </is>
      </c>
      <c r="B43" s="25">
        <f>IF(AND(C43="",D43="",E43=""),"",IF(C43="","FALTA código balón",IF(D43="","FALTA tipo balón",IF(E43="","FALTA gas",IF(F43="","FALTA propietario",IF(AND(C43&lt;&gt;"",SUMPRODUCT(--($C$5:$C$1200=C43))&gt;1),"CÓDIGO BALÓN DUPLICADO",IF(AND(OR(UPPER(F43)="PLANTA",UPPER(F43)="CLIENTE"),G43=""),"FALTA doc propietario/planta",IF(AND(UPPER(F43)="PLANTA",G43="10175332796"),"PLANTA no puede ser RUC empresa","OK"))))))))</f>
        <v/>
      </c>
      <c r="C43" s="23" t="inlineStr">
        <is>
          <t>FC018188</t>
        </is>
      </c>
      <c r="D43" s="17" t="inlineStr">
        <is>
          <t>Nitrógeno 10 m³</t>
        </is>
      </c>
      <c r="E43" s="17" t="inlineStr">
        <is>
          <t>NITROGENO</t>
        </is>
      </c>
      <c r="F43" s="17" t="inlineStr">
        <is>
          <t>EMPRESA</t>
        </is>
      </c>
      <c r="G43" s="23" t="inlineStr">
        <is>
          <t>10175332796</t>
        </is>
      </c>
      <c r="H43" s="25" t="inlineStr">
        <is>
          <t>OXIGENO SARITA</t>
        </is>
      </c>
      <c r="I43" s="17" t="inlineStr">
        <is>
          <t>DISPONIBLE</t>
        </is>
      </c>
      <c r="J43" s="17" t="inlineStr">
        <is>
          <t>ALMACEN LAMBAYEQUE</t>
        </is>
      </c>
      <c r="K43" s="47" t="n"/>
      <c r="L43" s="25">
        <f t="array" ref="L43">IF(K43="","",IFERROR(IF(INDEX(Clientes!$D$5:$D$549,MATCH(K43,Clientes!$C$5:$C$549,0))&lt;&gt;"",INDEX(Clientes!$D$5:$D$549,MATCH(K43,Clientes!$C$5:$C$549,0)),TRIM(INDEX(Clientes!$E$5:$E$549,MATCH(K43,Clientes!$C$5:$C$549,0))&amp;" "&amp;INDEX(Clientes!$F$5:$F$549,MATCH(K43,Clientes!$C$5:$C$549,0)))),"NO EXISTE en Clientes"))</f>
        <v/>
      </c>
      <c r="M43" s="17" t="n"/>
      <c r="N43" s="17" t="n"/>
      <c r="O43" s="42" t="n"/>
      <c r="P43" s="39">
        <f>IF(O43&lt;&gt;"",DATE(YEAR(O43)+5,MONTH(O43),1),IF(AND(M43&lt;&gt;"",N43&lt;&gt;""),DATE(M43+5,N43,1),""))</f>
        <v/>
      </c>
      <c r="Q43" s="23" t="n"/>
      <c r="R43" s="17" t="n"/>
      <c r="S43" s="17" t="n"/>
      <c r="T43" s="17" t="n"/>
      <c r="U43" s="17" t="n"/>
      <c r="V43" s="23" t="n"/>
      <c r="W43" s="17" t="n"/>
      <c r="X43" s="17" t="inlineStr">
        <is>
          <t>PH ICP</t>
        </is>
      </c>
      <c r="Y43" s="28">
        <f>IF(B43&lt;&gt;"OK","","SELECT bal_crear_balon(p_codigo_balon =&gt; "&amp;IF(TRIM(C43&amp;"")="","NULL","'"&amp;SUBSTITUTE(TRIM(C43),"'","''")&amp;"'")&amp;", p_id_tipo_balon =&gt; "&amp;"(SELECT id FROM bal_tipo_balon WHERE upper(nombre) = upper('"&amp;SUBSTITUTE(TRIM(D43),"'","''")&amp;"') AND estado = 1 LIMIT 1)"&amp;", p_id_producto_gas =&gt; "&amp;"(SELECT id FROM pro_producto WHERE es_gas = TRUE AND upper(nombre) = upper('"&amp;SUBSTITUTE(TRIM(E43),"'","''")&amp;"') AND estado = 1 LIMIT 1)"&amp;", p_id_propietario =&gt; "&amp;IF(TRIM(F43&amp;"")="","NULL","(SELECT lo.id FROM gen_lista_opciones lo JOIN gen_lista l ON l.id = lo.id_lista WHERE l.nombre = 'PropietarioBalon' AND upper(lo.nombre) = upper('"&amp;SUBSTITUTE(TRIM(F43),"'","''")&amp;"') AND lo.estado = 1 LIMIT 1)")&amp;", p_id_cliente_propietario =&gt; "&amp;IF(F43="CLIENTE",IF(TRIM(G43&amp;"")="","NULL","(SELECT id FROM cli_clientes WHERE numero_documento = '"&amp;SUBSTITUTE(TRIM(G43),"'","''")&amp;"' AND estado = 1 LIMIT 1)"),"NULL")&amp;", p_id_planta =&gt; "&amp;IF(F43="PLANTA",IF(TRIM(G43&amp;"")="","NULL","(SELECT id FROM cli_clientes WHERE numero_documento = '"&amp;SUBSTITUTE(TRIM(G43),"'","''")&amp;"'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"&amp;IF(TRIM(J43&amp;"")="","NULL","(SELECT id FROM gen_almacen WHERE upper(nombre) = upper('"&amp;SUBSTITUTE(TRIM(J43),"'","''")&amp;"') AND estado = 1 LIMIT 1)")&amp;", p_id_cliente_ubicacion =&gt; "&amp;IF(TRIM(K43&amp;"")="","NULL","(SELECT id FROM cli_clientes WHERE numero_documento = '"&amp;SUBSTITUTE(TRIM(K43),"'","''")&amp;"' AND estado = 1 LIMIT 1)")&amp;", p_id_referencia =&gt; "&amp;IF(TRIM(J43&amp;"")&lt;&gt;"","(SELECT lo.id FROM gen_lista_opciones lo JOIN gen_lista l ON l.id = lo.id_lista WHERE l.nombre = 'ReferenciaCilindro' AND upper(lo.nombre) = 'ALMACEN' AND lo.estado = 1 LIMIT 1)",IF(TRIM(K43&amp;"")&lt;&gt;"","(SELECT lo.id FROM gen_lista_opciones lo JOIN gen_lista l ON l.id = lo.id_lista WHERE l.nombre = 'ReferenciaCilindro' AND upper(lo.nombre) = 'CLIENTE' AND lo.estado = 1 LIMIT 1)","NULL"))&amp;", p_anio_fabricacion =&gt; "&amp;IF(M43&amp;""="","NULL::smallint",M43&amp;"::smallint")&amp;", p_mes_fabricacion =&gt; "&amp;IF(N43&amp;""="","NULL::smallint",N43&amp;"::smallint")&amp;", p_fecha_ultima_prueba_hidrostatica =&gt; "&amp;IF(O43&amp;""="","NULL","'"&amp;YEAR(O43)&amp;"-"&amp;TEXT(MONTH(O43),"00")&amp;"-"&amp;TEXT(DAY(O43),"00")&amp;"'")&amp;", p_numero_serie =&gt; "&amp;IF(TRIM(Q43&amp;"")="","NULL","'"&amp;SUBSTITUTE(TRIM(Q43),"'","''")&amp;"'")&amp;", p_id_marca_cilindro =&gt; "&amp;IF(TRIM(R43&amp;"")="","NULL","(SELECT lo.id FROM gen_lista_opciones lo JOIN gen_lista l ON l.id = lo.id_lista WHERE l.nombre = 'MarcaCilindro' AND upper(lo.nombre) = upper('"&amp;SUBSTITUTE(TRIM(R43),"'","''")&amp;"') AND lo.estado = 1 LIMIT 1)")&amp;", p_id_organo_inspector =&gt; "&amp;IF(TRIM(S43&amp;"")="","NULL","(SELECT lo.id FROM gen_lista_opciones lo JOIN gen_lista l ON l.id = lo.id_lista WHERE l.nombre = 'OrganoInspectorCilindro' AND upper(lo.nombre) = upper('"&amp;SUBSTITUTE(TRIM(S43),"'","''")&amp;"') AND lo.estado = 1 LIMIT 1)")&amp;", p_organo_inspector_no_aplica =&gt; "&amp;IF(S43="NO_APLICA","TRUE","FALSE")&amp;", p_presion_actual =&gt; "&amp;IF(T43&amp;""="","NULL",SUBSTITUTE(T43&amp;"",",","."))&amp;", p_tipo_valvula =&gt; "&amp;IF(TRIM(U43&amp;"")="","NULL","'"&amp;SUBSTITUTE(TRIM(U43),"'","''")&amp;"'")&amp;", p_libro_cilindro =&gt; "&amp;IF(TRIM(V43&amp;"")="","NULL","'"&amp;SUBSTITUTE(TRIM(V43),"'","''")&amp;"'")&amp;", p_pagina_libro =&gt; "&amp;IF(W43&amp;""="","NULL",SUBSTITUTE(W43&amp;"",",","."))&amp;", p_observacion =&gt; "&amp;IF(TRIM(X43&amp;"")="","NULL","'"&amp;SUBSTITUTE(TRIM(X43),"'","''")&amp;"'")&amp;") AS resultado_balon_"&amp;ROW()&amp;";")</f>
        <v/>
      </c>
    </row>
    <row r="44" ht="15.75" customHeight="1" s="64">
      <c r="A44" s="36" t="inlineStr">
        <is>
          <t>40</t>
        </is>
      </c>
      <c r="B44" s="25">
        <f>IF(AND(C44="",D44="",E44=""),"",IF(C44="","FALTA código balón",IF(D44="","FALTA tipo balón",IF(E44="","FALTA gas",IF(F44="","FALTA propietario",IF(AND(C44&lt;&gt;"",SUMPRODUCT(--($C$5:$C$1200=C44))&gt;1),"CÓDIGO BALÓN DUPLICADO",IF(AND(OR(UPPER(F44)="PLANTA",UPPER(F44)="CLIENTE"),G44=""),"FALTA doc propietario/planta",IF(AND(UPPER(F44)="PLANTA",G44="10175332796"),"PLANTA no puede ser RUC empresa","OK"))))))))</f>
        <v/>
      </c>
      <c r="C44" s="23" t="inlineStr">
        <is>
          <t>FC020069</t>
        </is>
      </c>
      <c r="D44" s="17" t="inlineStr">
        <is>
          <t>Nitrógeno 10 m³</t>
        </is>
      </c>
      <c r="E44" s="17" t="inlineStr">
        <is>
          <t>NITROGENO</t>
        </is>
      </c>
      <c r="F44" s="17" t="inlineStr">
        <is>
          <t>EMPRESA</t>
        </is>
      </c>
      <c r="G44" s="23" t="inlineStr">
        <is>
          <t>10175332796</t>
        </is>
      </c>
      <c r="H44" s="25" t="inlineStr">
        <is>
          <t>OXIGENO SARITA</t>
        </is>
      </c>
      <c r="I44" s="17" t="inlineStr">
        <is>
          <t>DISPONIBLE</t>
        </is>
      </c>
      <c r="J44" s="17" t="inlineStr">
        <is>
          <t>ALMACEN LAMBAYEQUE</t>
        </is>
      </c>
      <c r="K44" s="47" t="n"/>
      <c r="L44" s="25">
        <f t="array" ref="L44">IF(K44="","",IFERROR(IF(INDEX(Clientes!$D$5:$D$549,MATCH(K44,Clientes!$C$5:$C$549,0))&lt;&gt;"",INDEX(Clientes!$D$5:$D$549,MATCH(K44,Clientes!$C$5:$C$549,0)),TRIM(INDEX(Clientes!$E$5:$E$549,MATCH(K44,Clientes!$C$5:$C$549,0))&amp;" "&amp;INDEX(Clientes!$F$5:$F$549,MATCH(K44,Clientes!$C$5:$C$549,0)))),"NO EXISTE en Clientes"))</f>
        <v/>
      </c>
      <c r="M44" s="17" t="n"/>
      <c r="N44" s="17" t="n"/>
      <c r="O44" s="42" t="n"/>
      <c r="P44" s="39">
        <f>IF(O44&lt;&gt;"",DATE(YEAR(O44)+5,MONTH(O44),1),IF(AND(M44&lt;&gt;"",N44&lt;&gt;""),DATE(M44+5,N44,1),""))</f>
        <v/>
      </c>
      <c r="Q44" s="23" t="n"/>
      <c r="R44" s="17" t="n"/>
      <c r="S44" s="17" t="n"/>
      <c r="T44" s="17" t="n"/>
      <c r="U44" s="17" t="n"/>
      <c r="V44" s="23" t="n"/>
      <c r="W44" s="17" t="n"/>
      <c r="X44" s="17" t="inlineStr">
        <is>
          <t>PH ICP</t>
        </is>
      </c>
      <c r="Y44" s="28">
        <f>IF(B44&lt;&gt;"OK","","SELECT bal_crear_balon(p_codigo_balon =&gt; "&amp;IF(TRIM(C44&amp;"")="","NULL","'"&amp;SUBSTITUTE(TRIM(C44),"'","''")&amp;"'")&amp;", p_id_tipo_balon =&gt; "&amp;"(SELECT id FROM bal_tipo_balon WHERE upper(nombre) = upper('"&amp;SUBSTITUTE(TRIM(D44),"'","''")&amp;"') AND estado = 1 LIMIT 1)"&amp;", p_id_producto_gas =&gt; "&amp;"(SELECT id FROM pro_producto WHERE es_gas = TRUE AND upper(nombre) = upper('"&amp;SUBSTITUTE(TRIM(E44),"'","''")&amp;"') AND estado = 1 LIMIT 1)"&amp;", p_id_propietario =&gt; "&amp;IF(TRIM(F44&amp;"")="","NULL","(SELECT lo.id FROM gen_lista_opciones lo JOIN gen_lista l ON l.id = lo.id_lista WHERE l.nombre = 'PropietarioBalon' AND upper(lo.nombre) = upper('"&amp;SUBSTITUTE(TRIM(F44),"'","''")&amp;"') AND lo.estado = 1 LIMIT 1)")&amp;", p_id_cliente_propietario =&gt; "&amp;IF(F44="CLIENTE",IF(TRIM(G44&amp;"")="","NULL","(SELECT id FROM cli_clientes WHERE numero_documento = '"&amp;SUBSTITUTE(TRIM(G44),"'","''")&amp;"' AND estado = 1 LIMIT 1)"),"NULL")&amp;", p_id_planta =&gt; "&amp;IF(F44="PLANTA",IF(TRIM(G44&amp;"")="","NULL","(SELECT id FROM cli_clientes WHERE numero_documento = '"&amp;SUBSTITUTE(TRIM(G44),"'","''")&amp;"'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"&amp;IF(TRIM(J44&amp;"")="","NULL","(SELECT id FROM gen_almacen WHERE upper(nombre) = upper('"&amp;SUBSTITUTE(TRIM(J44),"'","''")&amp;"') AND estado = 1 LIMIT 1)")&amp;", p_id_cliente_ubicacion =&gt; "&amp;IF(TRIM(K44&amp;"")="","NULL","(SELECT id FROM cli_clientes WHERE numero_documento = '"&amp;SUBSTITUTE(TRIM(K44),"'","''")&amp;"' AND estado = 1 LIMIT 1)")&amp;", p_id_referencia =&gt; "&amp;IF(TRIM(J44&amp;"")&lt;&gt;"","(SELECT lo.id FROM gen_lista_opciones lo JOIN gen_lista l ON l.id = lo.id_lista WHERE l.nombre = 'ReferenciaCilindro' AND upper(lo.nombre) = 'ALMACEN' AND lo.estado = 1 LIMIT 1)",IF(TRIM(K44&amp;"")&lt;&gt;"","(SELECT lo.id FROM gen_lista_opciones lo JOIN gen_lista l ON l.id = lo.id_lista WHERE l.nombre = 'ReferenciaCilindro' AND upper(lo.nombre) = 'CLIENTE' AND lo.estado = 1 LIMIT 1)","NULL"))&amp;", p_anio_fabricacion =&gt; "&amp;IF(M44&amp;""="","NULL::smallint",M44&amp;"::smallint")&amp;", p_mes_fabricacion =&gt; "&amp;IF(N44&amp;""="","NULL::smallint",N44&amp;"::smallint")&amp;", p_fecha_ultima_prueba_hidrostatica =&gt; "&amp;IF(O44&amp;""="","NULL","'"&amp;YEAR(O44)&amp;"-"&amp;TEXT(MONTH(O44),"00")&amp;"-"&amp;TEXT(DAY(O44),"00")&amp;"'")&amp;", p_numero_serie =&gt; "&amp;IF(TRIM(Q44&amp;"")="","NULL","'"&amp;SUBSTITUTE(TRIM(Q44),"'","''")&amp;"'")&amp;", p_id_marca_cilindro =&gt; "&amp;IF(TRIM(R44&amp;"")="","NULL","(SELECT lo.id FROM gen_lista_opciones lo JOIN gen_lista l ON l.id = lo.id_lista WHERE l.nombre = 'MarcaCilindro' AND upper(lo.nombre) = upper('"&amp;SUBSTITUTE(TRIM(R44),"'","''")&amp;"') AND lo.estado = 1 LIMIT 1)")&amp;", p_id_organo_inspector =&gt; "&amp;IF(TRIM(S44&amp;"")="","NULL","(SELECT lo.id FROM gen_lista_opciones lo JOIN gen_lista l ON l.id = lo.id_lista WHERE l.nombre = 'OrganoInspectorCilindro' AND upper(lo.nombre) = upper('"&amp;SUBSTITUTE(TRIM(S44),"'","''")&amp;"') AND lo.estado = 1 LIMIT 1)")&amp;", p_organo_inspector_no_aplica =&gt; "&amp;IF(S44="NO_APLICA","TRUE","FALSE")&amp;", p_presion_actual =&gt; "&amp;IF(T44&amp;""="","NULL",SUBSTITUTE(T44&amp;"",",","."))&amp;", p_tipo_valvula =&gt; "&amp;IF(TRIM(U44&amp;"")="","NULL","'"&amp;SUBSTITUTE(TRIM(U44),"'","''")&amp;"'")&amp;", p_libro_cilindro =&gt; "&amp;IF(TRIM(V44&amp;"")="","NULL","'"&amp;SUBSTITUTE(TRIM(V44),"'","''")&amp;"'")&amp;", p_pagina_libro =&gt; "&amp;IF(W44&amp;""="","NULL",SUBSTITUTE(W44&amp;"",",","."))&amp;", p_observacion =&gt; "&amp;IF(TRIM(X44&amp;"")="","NULL","'"&amp;SUBSTITUTE(TRIM(X44),"'","''")&amp;"'")&amp;") AS resultado_balon_"&amp;ROW()&amp;";")</f>
        <v/>
      </c>
    </row>
    <row r="45" ht="15.75" customHeight="1" s="64">
      <c r="A45" s="36" t="inlineStr">
        <is>
          <t>41</t>
        </is>
      </c>
      <c r="B45" s="25">
        <f>IF(AND(C45="",D45="",E45=""),"",IF(C45="","FALTA código balón",IF(D45="","FALTA tipo balón",IF(E45="","FALTA gas",IF(F45="","FALTA propietario",IF(AND(C45&lt;&gt;"",SUMPRODUCT(--($C$5:$C$1200=C45))&gt;1),"CÓDIGO BALÓN DUPLICADO",IF(AND(OR(UPPER(F45)="PLANTA",UPPER(F45)="CLIENTE"),G45=""),"FALTA doc propietario/planta",IF(AND(UPPER(F45)="PLANTA",G45="10175332796"),"PLANTA no puede ser RUC empresa","OK"))))))))</f>
        <v/>
      </c>
      <c r="C45" s="23" t="inlineStr">
        <is>
          <t>FC019144</t>
        </is>
      </c>
      <c r="D45" s="17" t="inlineStr">
        <is>
          <t>Nitrógeno 10 m³</t>
        </is>
      </c>
      <c r="E45" s="17" t="inlineStr">
        <is>
          <t>NITROGENO</t>
        </is>
      </c>
      <c r="F45" s="17" t="inlineStr">
        <is>
          <t>EMPRESA</t>
        </is>
      </c>
      <c r="G45" s="23" t="inlineStr">
        <is>
          <t>10175332796</t>
        </is>
      </c>
      <c r="H45" s="25" t="inlineStr">
        <is>
          <t>OXIGENO SARITA</t>
        </is>
      </c>
      <c r="I45" s="17" t="inlineStr">
        <is>
          <t>DISPONIBLE</t>
        </is>
      </c>
      <c r="J45" s="17" t="inlineStr">
        <is>
          <t>ALMACEN LAMBAYEQUE</t>
        </is>
      </c>
      <c r="K45" s="47" t="n"/>
      <c r="L45" s="25">
        <f t="array" ref="L45">IF(K45="","",IFERROR(IF(INDEX(Clientes!$D$5:$D$549,MATCH(K45,Clientes!$C$5:$C$549,0))&lt;&gt;"",INDEX(Clientes!$D$5:$D$549,MATCH(K45,Clientes!$C$5:$C$549,0)),TRIM(INDEX(Clientes!$E$5:$E$549,MATCH(K45,Clientes!$C$5:$C$549,0))&amp;" "&amp;INDEX(Clientes!$F$5:$F$549,MATCH(K45,Clientes!$C$5:$C$549,0)))),"NO EXISTE en Clientes"))</f>
        <v/>
      </c>
      <c r="M45" s="17" t="n"/>
      <c r="N45" s="17" t="n"/>
      <c r="O45" s="42" t="n"/>
      <c r="P45" s="39">
        <f>IF(O45&lt;&gt;"",DATE(YEAR(O45)+5,MONTH(O45),1),IF(AND(M45&lt;&gt;"",N45&lt;&gt;""),DATE(M45+5,N45,1),""))</f>
        <v/>
      </c>
      <c r="Q45" s="23" t="n"/>
      <c r="R45" s="17" t="n"/>
      <c r="S45" s="17" t="n"/>
      <c r="T45" s="17" t="n"/>
      <c r="U45" s="17" t="n"/>
      <c r="V45" s="23" t="n"/>
      <c r="W45" s="17" t="n"/>
      <c r="X45" s="17" t="inlineStr">
        <is>
          <t>PH ICP</t>
        </is>
      </c>
      <c r="Y45" s="28">
        <f>IF(B45&lt;&gt;"OK","","SELECT bal_crear_balon(p_codigo_balon =&gt; "&amp;IF(TRIM(C45&amp;"")="","NULL","'"&amp;SUBSTITUTE(TRIM(C45),"'","''")&amp;"'")&amp;", p_id_tipo_balon =&gt; "&amp;"(SELECT id FROM bal_tipo_balon WHERE upper(nombre) = upper('"&amp;SUBSTITUTE(TRIM(D45),"'","''")&amp;"') AND estado = 1 LIMIT 1)"&amp;", p_id_producto_gas =&gt; "&amp;"(SELECT id FROM pro_producto WHERE es_gas = TRUE AND upper(nombre) = upper('"&amp;SUBSTITUTE(TRIM(E45),"'","''")&amp;"') AND estado = 1 LIMIT 1)"&amp;", p_id_propietario =&gt; "&amp;IF(TRIM(F45&amp;"")="","NULL","(SELECT lo.id FROM gen_lista_opciones lo JOIN gen_lista l ON l.id = lo.id_lista WHERE l.nombre = 'PropietarioBalon' AND upper(lo.nombre) = upper('"&amp;SUBSTITUTE(TRIM(F45),"'","''")&amp;"') AND lo.estado = 1 LIMIT 1)")&amp;", p_id_cliente_propietario =&gt; "&amp;IF(F45="CLIENTE",IF(TRIM(G45&amp;"")="","NULL","(SELECT id FROM cli_clientes WHERE numero_documento = '"&amp;SUBSTITUTE(TRIM(G45),"'","''")&amp;"' AND estado = 1 LIMIT 1)"),"NULL")&amp;", p_id_planta =&gt; "&amp;IF(F45="PLANTA",IF(TRIM(G45&amp;"")="","NULL","(SELECT id FROM cli_clientes WHERE numero_documento = '"&amp;SUBSTITUTE(TRIM(G45),"'","''")&amp;"'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"&amp;IF(TRIM(J45&amp;"")="","NULL","(SELECT id FROM gen_almacen WHERE upper(nombre) = upper('"&amp;SUBSTITUTE(TRIM(J45),"'","''")&amp;"') AND estado = 1 LIMIT 1)")&amp;", p_id_cliente_ubicacion =&gt; "&amp;IF(TRIM(K45&amp;"")="","NULL","(SELECT id FROM cli_clientes WHERE numero_documento = '"&amp;SUBSTITUTE(TRIM(K45),"'","''")&amp;"' AND estado = 1 LIMIT 1)")&amp;", p_id_referencia =&gt; "&amp;IF(TRIM(J45&amp;"")&lt;&gt;"","(SELECT lo.id FROM gen_lista_opciones lo JOIN gen_lista l ON l.id = lo.id_lista WHERE l.nombre = 'ReferenciaCilindro' AND upper(lo.nombre) = 'ALMACEN' AND lo.estado = 1 LIMIT 1)",IF(TRIM(K45&amp;"")&lt;&gt;"","(SELECT lo.id FROM gen_lista_opciones lo JOIN gen_lista l ON l.id = lo.id_lista WHERE l.nombre = 'ReferenciaCilindro' AND upper(lo.nombre) = 'CLIENTE' AND lo.estado = 1 LIMIT 1)","NULL"))&amp;", p_anio_fabricacion =&gt; "&amp;IF(M45&amp;""="","NULL::smallint",M45&amp;"::smallint")&amp;", p_mes_fabricacion =&gt; "&amp;IF(N45&amp;""="","NULL::smallint",N45&amp;"::smallint")&amp;", p_fecha_ultima_prueba_hidrostatica =&gt; "&amp;IF(O45&amp;""="","NULL","'"&amp;YEAR(O45)&amp;"-"&amp;TEXT(MONTH(O45),"00")&amp;"-"&amp;TEXT(DAY(O45),"00")&amp;"'")&amp;", p_numero_serie =&gt; "&amp;IF(TRIM(Q45&amp;"")="","NULL","'"&amp;SUBSTITUTE(TRIM(Q45),"'","''")&amp;"'")&amp;", p_id_marca_cilindro =&gt; "&amp;IF(TRIM(R45&amp;"")="","NULL","(SELECT lo.id FROM gen_lista_opciones lo JOIN gen_lista l ON l.id = lo.id_lista WHERE l.nombre = 'MarcaCilindro' AND upper(lo.nombre) = upper('"&amp;SUBSTITUTE(TRIM(R45),"'","''")&amp;"') AND lo.estado = 1 LIMIT 1)")&amp;", p_id_organo_inspector =&gt; "&amp;IF(TRIM(S45&amp;"")="","NULL","(SELECT lo.id FROM gen_lista_opciones lo JOIN gen_lista l ON l.id = lo.id_lista WHERE l.nombre = 'OrganoInspectorCilindro' AND upper(lo.nombre) = upper('"&amp;SUBSTITUTE(TRIM(S45),"'","''")&amp;"') AND lo.estado = 1 LIMIT 1)")&amp;", p_organo_inspector_no_aplica =&gt; "&amp;IF(S45="NO_APLICA","TRUE","FALSE")&amp;", p_presion_actual =&gt; "&amp;IF(T45&amp;""="","NULL",SUBSTITUTE(T45&amp;"",",","."))&amp;", p_tipo_valvula =&gt; "&amp;IF(TRIM(U45&amp;"")="","NULL","'"&amp;SUBSTITUTE(TRIM(U45),"'","''")&amp;"'")&amp;", p_libro_cilindro =&gt; "&amp;IF(TRIM(V45&amp;"")="","NULL","'"&amp;SUBSTITUTE(TRIM(V45),"'","''")&amp;"'")&amp;", p_pagina_libro =&gt; "&amp;IF(W45&amp;""="","NULL",SUBSTITUTE(W45&amp;"",",","."))&amp;", p_observacion =&gt; "&amp;IF(TRIM(X45&amp;"")="","NULL","'"&amp;SUBSTITUTE(TRIM(X45),"'","''")&amp;"'")&amp;") AS resultado_balon_"&amp;ROW()&amp;";")</f>
        <v/>
      </c>
    </row>
    <row r="46" ht="15.75" customHeight="1" s="64">
      <c r="A46" s="36" t="inlineStr">
        <is>
          <t>42</t>
        </is>
      </c>
      <c r="B46" s="25">
        <f>IF(AND(C46="",D46="",E46=""),"",IF(C46="","FALTA código balón",IF(D46="","FALTA tipo balón",IF(E46="","FALTA gas",IF(F46="","FALTA propietario",IF(AND(C46&lt;&gt;"",SUMPRODUCT(--($C$5:$C$1200=C46))&gt;1),"CÓDIGO BALÓN DUPLICADO",IF(AND(OR(UPPER(F46)="PLANTA",UPPER(F46)="CLIENTE"),G46=""),"FALTA doc propietario/planta",IF(AND(UPPER(F46)="PLANTA",G46="10175332796"),"PLANTA no puede ser RUC empresa","OK"))))))))</f>
        <v/>
      </c>
      <c r="C46" s="23" t="inlineStr">
        <is>
          <t>FC018088</t>
        </is>
      </c>
      <c r="D46" s="17" t="inlineStr">
        <is>
          <t>Nitrógeno 10 m³</t>
        </is>
      </c>
      <c r="E46" s="17" t="inlineStr">
        <is>
          <t>NITROGENO</t>
        </is>
      </c>
      <c r="F46" s="17" t="inlineStr">
        <is>
          <t>EMPRESA</t>
        </is>
      </c>
      <c r="G46" s="23" t="inlineStr">
        <is>
          <t>10175332796</t>
        </is>
      </c>
      <c r="H46" s="25" t="inlineStr">
        <is>
          <t>OXIGENO SARITA</t>
        </is>
      </c>
      <c r="I46" s="17" t="inlineStr">
        <is>
          <t>DISPONIBLE</t>
        </is>
      </c>
      <c r="J46" s="17" t="inlineStr">
        <is>
          <t>ALMACEN LAMBAYEQUE</t>
        </is>
      </c>
      <c r="K46" s="47" t="n"/>
      <c r="L46" s="25">
        <f t="array" ref="L46">IF(K46="","",IFERROR(IF(INDEX(Clientes!$D$5:$D$549,MATCH(K46,Clientes!$C$5:$C$549,0))&lt;&gt;"",INDEX(Clientes!$D$5:$D$549,MATCH(K46,Clientes!$C$5:$C$549,0)),TRIM(INDEX(Clientes!$E$5:$E$549,MATCH(K46,Clientes!$C$5:$C$549,0))&amp;" "&amp;INDEX(Clientes!$F$5:$F$549,MATCH(K46,Clientes!$C$5:$C$549,0)))),"NO EXISTE en Clientes"))</f>
        <v/>
      </c>
      <c r="M46" s="17" t="n"/>
      <c r="N46" s="17" t="n"/>
      <c r="O46" s="42" t="n"/>
      <c r="P46" s="39">
        <f>IF(O46&lt;&gt;"",DATE(YEAR(O46)+5,MONTH(O46),1),IF(AND(M46&lt;&gt;"",N46&lt;&gt;""),DATE(M46+5,N46,1),""))</f>
        <v/>
      </c>
      <c r="Q46" s="23" t="n"/>
      <c r="R46" s="17" t="n"/>
      <c r="S46" s="17" t="n"/>
      <c r="T46" s="17" t="n"/>
      <c r="U46" s="17" t="n"/>
      <c r="V46" s="23" t="n"/>
      <c r="W46" s="17" t="n"/>
      <c r="X46" s="17" t="inlineStr">
        <is>
          <t>PH ICP</t>
        </is>
      </c>
      <c r="Y46" s="28">
        <f>IF(B46&lt;&gt;"OK","","SELECT bal_crear_balon(p_codigo_balon =&gt; "&amp;IF(TRIM(C46&amp;"")="","NULL","'"&amp;SUBSTITUTE(TRIM(C46),"'","''")&amp;"'")&amp;", p_id_tipo_balon =&gt; "&amp;"(SELECT id FROM bal_tipo_balon WHERE upper(nombre) = upper('"&amp;SUBSTITUTE(TRIM(D46),"'","''")&amp;"') AND estado = 1 LIMIT 1)"&amp;", p_id_producto_gas =&gt; "&amp;"(SELECT id FROM pro_producto WHERE es_gas = TRUE AND upper(nombre) = upper('"&amp;SUBSTITUTE(TRIM(E46),"'","''")&amp;"') AND estado = 1 LIMIT 1)"&amp;", p_id_propietario =&gt; "&amp;IF(TRIM(F46&amp;"")="","NULL","(SELECT lo.id FROM gen_lista_opciones lo JOIN gen_lista l ON l.id = lo.id_lista WHERE l.nombre = 'PropietarioBalon' AND upper(lo.nombre) = upper('"&amp;SUBSTITUTE(TRIM(F46),"'","''")&amp;"') AND lo.estado = 1 LIMIT 1)")&amp;", p_id_cliente_propietario =&gt; "&amp;IF(F46="CLIENTE",IF(TRIM(G46&amp;"")="","NULL","(SELECT id FROM cli_clientes WHERE numero_documento = '"&amp;SUBSTITUTE(TRIM(G46),"'","''")&amp;"' AND estado = 1 LIMIT 1)"),"NULL")&amp;", p_id_planta =&gt; "&amp;IF(F46="PLANTA",IF(TRIM(G46&amp;"")="","NULL","(SELECT id FROM cli_clientes WHERE numero_documento = '"&amp;SUBSTITUTE(TRIM(G46),"'","''")&amp;"'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"&amp;IF(TRIM(J46&amp;"")="","NULL","(SELECT id FROM gen_almacen WHERE upper(nombre) = upper('"&amp;SUBSTITUTE(TRIM(J46),"'","''")&amp;"') AND estado = 1 LIMIT 1)")&amp;", p_id_cliente_ubicacion =&gt; "&amp;IF(TRIM(K46&amp;"")="","NULL","(SELECT id FROM cli_clientes WHERE numero_documento = '"&amp;SUBSTITUTE(TRIM(K46),"'","''")&amp;"' AND estado = 1 LIMIT 1)")&amp;", p_id_referencia =&gt; "&amp;IF(TRIM(J46&amp;"")&lt;&gt;"","(SELECT lo.id FROM gen_lista_opciones lo JOIN gen_lista l ON l.id = lo.id_lista WHERE l.nombre = 'ReferenciaCilindro' AND upper(lo.nombre) = 'ALMACEN' AND lo.estado = 1 LIMIT 1)",IF(TRIM(K46&amp;"")&lt;&gt;"","(SELECT lo.id FROM gen_lista_opciones lo JOIN gen_lista l ON l.id = lo.id_lista WHERE l.nombre = 'ReferenciaCilindro' AND upper(lo.nombre) = 'CLIENTE' AND lo.estado = 1 LIMIT 1)","NULL"))&amp;", p_anio_fabricacion =&gt; "&amp;IF(M46&amp;""="","NULL::smallint",M46&amp;"::smallint")&amp;", p_mes_fabricacion =&gt; "&amp;IF(N46&amp;""="","NULL::smallint",N46&amp;"::smallint")&amp;", p_fecha_ultima_prueba_hidrostatica =&gt; "&amp;IF(O46&amp;""="","NULL","'"&amp;YEAR(O46)&amp;"-"&amp;TEXT(MONTH(O46),"00")&amp;"-"&amp;TEXT(DAY(O46),"00")&amp;"'")&amp;", p_numero_serie =&gt; "&amp;IF(TRIM(Q46&amp;"")="","NULL","'"&amp;SUBSTITUTE(TRIM(Q46),"'","''")&amp;"'")&amp;", p_id_marca_cilindro =&gt; "&amp;IF(TRIM(R46&amp;"")="","NULL","(SELECT lo.id FROM gen_lista_opciones lo JOIN gen_lista l ON l.id = lo.id_lista WHERE l.nombre = 'MarcaCilindro' AND upper(lo.nombre) = upper('"&amp;SUBSTITUTE(TRIM(R46),"'","''")&amp;"') AND lo.estado = 1 LIMIT 1)")&amp;", p_id_organo_inspector =&gt; "&amp;IF(TRIM(S46&amp;"")="","NULL","(SELECT lo.id FROM gen_lista_opciones lo JOIN gen_lista l ON l.id = lo.id_lista WHERE l.nombre = 'OrganoInspectorCilindro' AND upper(lo.nombre) = upper('"&amp;SUBSTITUTE(TRIM(S46),"'","''")&amp;"') AND lo.estado = 1 LIMIT 1)")&amp;", p_organo_inspector_no_aplica =&gt; "&amp;IF(S46="NO_APLICA","TRUE","FALSE")&amp;", p_presion_actual =&gt; "&amp;IF(T46&amp;""="","NULL",SUBSTITUTE(T46&amp;"",",","."))&amp;", p_tipo_valvula =&gt; "&amp;IF(TRIM(U46&amp;"")="","NULL","'"&amp;SUBSTITUTE(TRIM(U46),"'","''")&amp;"'")&amp;", p_libro_cilindro =&gt; "&amp;IF(TRIM(V46&amp;"")="","NULL","'"&amp;SUBSTITUTE(TRIM(V46),"'","''")&amp;"'")&amp;", p_pagina_libro =&gt; "&amp;IF(W46&amp;""="","NULL",SUBSTITUTE(W46&amp;"",",","."))&amp;", p_observacion =&gt; "&amp;IF(TRIM(X46&amp;"")="","NULL","'"&amp;SUBSTITUTE(TRIM(X46),"'","''")&amp;"'")&amp;") AS resultado_balon_"&amp;ROW()&amp;";")</f>
        <v/>
      </c>
    </row>
    <row r="47" ht="15.75" customHeight="1" s="64">
      <c r="A47" s="36" t="inlineStr">
        <is>
          <t>43</t>
        </is>
      </c>
      <c r="B47" s="25">
        <f>IF(AND(C47="",D47="",E47=""),"",IF(C47="","FALTA código balón",IF(D47="","FALTA tipo balón",IF(E47="","FALTA gas",IF(F47="","FALTA propietario",IF(AND(C47&lt;&gt;"",SUMPRODUCT(--($C$5:$C$1200=C47))&gt;1),"CÓDIGO BALÓN DUPLICADO",IF(AND(OR(UPPER(F47)="PLANTA",UPPER(F47)="CLIENTE"),G47=""),"FALTA doc propietario/planta",IF(AND(UPPER(F47)="PLANTA",G47="10175332796"),"PLANTA no puede ser RUC empresa","OK"))))))))</f>
        <v/>
      </c>
      <c r="C47" s="23" t="inlineStr">
        <is>
          <t>FC019113</t>
        </is>
      </c>
      <c r="D47" s="17" t="inlineStr">
        <is>
          <t>Nitrógeno 10 m³</t>
        </is>
      </c>
      <c r="E47" s="17" t="inlineStr">
        <is>
          <t>NITROGENO</t>
        </is>
      </c>
      <c r="F47" s="17" t="inlineStr">
        <is>
          <t>EMPRESA</t>
        </is>
      </c>
      <c r="G47" s="23" t="inlineStr">
        <is>
          <t>10175332796</t>
        </is>
      </c>
      <c r="H47" s="25" t="inlineStr">
        <is>
          <t>OXIGENO SARITA</t>
        </is>
      </c>
      <c r="I47" s="17" t="inlineStr">
        <is>
          <t>DISPONIBLE</t>
        </is>
      </c>
      <c r="J47" s="17" t="inlineStr">
        <is>
          <t>ALMACEN LAMBAYEQUE</t>
        </is>
      </c>
      <c r="K47" s="47" t="n"/>
      <c r="L47" s="25">
        <f t="array" ref="L47">IF(K47="","",IFERROR(IF(INDEX(Clientes!$D$5:$D$549,MATCH(K47,Clientes!$C$5:$C$549,0))&lt;&gt;"",INDEX(Clientes!$D$5:$D$549,MATCH(K47,Clientes!$C$5:$C$549,0)),TRIM(INDEX(Clientes!$E$5:$E$549,MATCH(K47,Clientes!$C$5:$C$549,0))&amp;" "&amp;INDEX(Clientes!$F$5:$F$549,MATCH(K47,Clientes!$C$5:$C$549,0)))),"NO EXISTE en Clientes"))</f>
        <v/>
      </c>
      <c r="M47" s="17" t="n"/>
      <c r="N47" s="17" t="n"/>
      <c r="O47" s="42" t="n"/>
      <c r="P47" s="39">
        <f>IF(O47&lt;&gt;"",DATE(YEAR(O47)+5,MONTH(O47),1),IF(AND(M47&lt;&gt;"",N47&lt;&gt;""),DATE(M47+5,N47,1),""))</f>
        <v/>
      </c>
      <c r="Q47" s="23" t="n"/>
      <c r="R47" s="17" t="n"/>
      <c r="S47" s="17" t="n"/>
      <c r="T47" s="17" t="n"/>
      <c r="U47" s="17" t="n"/>
      <c r="V47" s="23" t="n"/>
      <c r="W47" s="17" t="n"/>
      <c r="X47" s="17" t="inlineStr">
        <is>
          <t>PH ICP</t>
        </is>
      </c>
      <c r="Y47" s="28">
        <f>IF(B47&lt;&gt;"OK","","SELECT bal_crear_balon(p_codigo_balon =&gt; "&amp;IF(TRIM(C47&amp;"")="","NULL","'"&amp;SUBSTITUTE(TRIM(C47),"'","''")&amp;"'")&amp;", p_id_tipo_balon =&gt; "&amp;"(SELECT id FROM bal_tipo_balon WHERE upper(nombre) = upper('"&amp;SUBSTITUTE(TRIM(D47),"'","''")&amp;"') AND estado = 1 LIMIT 1)"&amp;", p_id_producto_gas =&gt; "&amp;"(SELECT id FROM pro_producto WHERE es_gas = TRUE AND upper(nombre) = upper('"&amp;SUBSTITUTE(TRIM(E47),"'","''")&amp;"') AND estado = 1 LIMIT 1)"&amp;", p_id_propietario =&gt; "&amp;IF(TRIM(F47&amp;"")="","NULL","(SELECT lo.id FROM gen_lista_opciones lo JOIN gen_lista l ON l.id = lo.id_lista WHERE l.nombre = 'PropietarioBalon' AND upper(lo.nombre) = upper('"&amp;SUBSTITUTE(TRIM(F47),"'","''")&amp;"') AND lo.estado = 1 LIMIT 1)")&amp;", p_id_cliente_propietario =&gt; "&amp;IF(F47="CLIENTE",IF(TRIM(G47&amp;"")="","NULL","(SELECT id FROM cli_clientes WHERE numero_documento = '"&amp;SUBSTITUTE(TRIM(G47),"'","''")&amp;"' AND estado = 1 LIMIT 1)"),"NULL")&amp;", p_id_planta =&gt; "&amp;IF(F47="PLANTA",IF(TRIM(G47&amp;"")="","NULL","(SELECT id FROM cli_clientes WHERE numero_documento = '"&amp;SUBSTITUTE(TRIM(G47),"'","''")&amp;"'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"&amp;IF(TRIM(J47&amp;"")="","NULL","(SELECT id FROM gen_almacen WHERE upper(nombre) = upper('"&amp;SUBSTITUTE(TRIM(J47),"'","''")&amp;"') AND estado = 1 LIMIT 1)")&amp;", p_id_cliente_ubicacion =&gt; "&amp;IF(TRIM(K47&amp;"")="","NULL","(SELECT id FROM cli_clientes WHERE numero_documento = '"&amp;SUBSTITUTE(TRIM(K47),"'","''")&amp;"' AND estado = 1 LIMIT 1)")&amp;", p_id_referencia =&gt; "&amp;IF(TRIM(J47&amp;"")&lt;&gt;"","(SELECT lo.id FROM gen_lista_opciones lo JOIN gen_lista l ON l.id = lo.id_lista WHERE l.nombre = 'ReferenciaCilindro' AND upper(lo.nombre) = 'ALMACEN' AND lo.estado = 1 LIMIT 1)",IF(TRIM(K47&amp;"")&lt;&gt;"","(SELECT lo.id FROM gen_lista_opciones lo JOIN gen_lista l ON l.id = lo.id_lista WHERE l.nombre = 'ReferenciaCilindro' AND upper(lo.nombre) = 'CLIENTE' AND lo.estado = 1 LIMIT 1)","NULL"))&amp;", p_anio_fabricacion =&gt; "&amp;IF(M47&amp;""="","NULL::smallint",M47&amp;"::smallint")&amp;", p_mes_fabricacion =&gt; "&amp;IF(N47&amp;""="","NULL::smallint",N47&amp;"::smallint")&amp;", p_fecha_ultima_prueba_hidrostatica =&gt; "&amp;IF(O47&amp;""="","NULL","'"&amp;YEAR(O47)&amp;"-"&amp;TEXT(MONTH(O47),"00")&amp;"-"&amp;TEXT(DAY(O47),"00")&amp;"'")&amp;", p_numero_serie =&gt; "&amp;IF(TRIM(Q47&amp;"")="","NULL","'"&amp;SUBSTITUTE(TRIM(Q47),"'","''")&amp;"'")&amp;", p_id_marca_cilindro =&gt; "&amp;IF(TRIM(R47&amp;"")="","NULL","(SELECT lo.id FROM gen_lista_opciones lo JOIN gen_lista l ON l.id = lo.id_lista WHERE l.nombre = 'MarcaCilindro' AND upper(lo.nombre) = upper('"&amp;SUBSTITUTE(TRIM(R47),"'","''")&amp;"') AND lo.estado = 1 LIMIT 1)")&amp;", p_id_organo_inspector =&gt; "&amp;IF(TRIM(S47&amp;"")="","NULL","(SELECT lo.id FROM gen_lista_opciones lo JOIN gen_lista l ON l.id = lo.id_lista WHERE l.nombre = 'OrganoInspectorCilindro' AND upper(lo.nombre) = upper('"&amp;SUBSTITUTE(TRIM(S47),"'","''")&amp;"') AND lo.estado = 1 LIMIT 1)")&amp;", p_organo_inspector_no_aplica =&gt; "&amp;IF(S47="NO_APLICA","TRUE","FALSE")&amp;", p_presion_actual =&gt; "&amp;IF(T47&amp;""="","NULL",SUBSTITUTE(T47&amp;"",",","."))&amp;", p_tipo_valvula =&gt; "&amp;IF(TRIM(U47&amp;"")="","NULL","'"&amp;SUBSTITUTE(TRIM(U47),"'","''")&amp;"'")&amp;", p_libro_cilindro =&gt; "&amp;IF(TRIM(V47&amp;"")="","NULL","'"&amp;SUBSTITUTE(TRIM(V47),"'","''")&amp;"'")&amp;", p_pagina_libro =&gt; "&amp;IF(W47&amp;""="","NULL",SUBSTITUTE(W47&amp;"",",","."))&amp;", p_observacion =&gt; "&amp;IF(TRIM(X47&amp;"")="","NULL","'"&amp;SUBSTITUTE(TRIM(X47),"'","''")&amp;"'")&amp;") AS resultado_balon_"&amp;ROW()&amp;";")</f>
        <v/>
      </c>
    </row>
    <row r="48" ht="15.75" customHeight="1" s="64">
      <c r="A48" s="36" t="inlineStr">
        <is>
          <t>44</t>
        </is>
      </c>
      <c r="B48" s="25">
        <f>IF(AND(C48="",D48="",E48=""),"",IF(C48="","FALTA código balón",IF(D48="","FALTA tipo balón",IF(E48="","FALTA gas",IF(F48="","FALTA propietario",IF(AND(C48&lt;&gt;"",SUMPRODUCT(--($C$5:$C$1200=C48))&gt;1),"CÓDIGO BALÓN DUPLICADO",IF(AND(OR(UPPER(F48)="PLANTA",UPPER(F48)="CLIENTE"),G48=""),"FALTA doc propietario/planta",IF(AND(UPPER(F48)="PLANTA",G48="10175332796"),"PLANTA no puede ser RUC empresa","OK"))))))))</f>
        <v/>
      </c>
      <c r="C48" s="23" t="inlineStr">
        <is>
          <t>FC020086</t>
        </is>
      </c>
      <c r="D48" s="17" t="inlineStr">
        <is>
          <t>Nitrógeno 10 m³</t>
        </is>
      </c>
      <c r="E48" s="17" t="inlineStr">
        <is>
          <t>NITROGENO</t>
        </is>
      </c>
      <c r="F48" s="17" t="inlineStr">
        <is>
          <t>EMPRESA</t>
        </is>
      </c>
      <c r="G48" s="23" t="inlineStr">
        <is>
          <t>10175332796</t>
        </is>
      </c>
      <c r="H48" s="25" t="inlineStr">
        <is>
          <t>OXIGENO SARITA</t>
        </is>
      </c>
      <c r="I48" s="17" t="inlineStr">
        <is>
          <t>DISPONIBLE</t>
        </is>
      </c>
      <c r="J48" s="17" t="inlineStr">
        <is>
          <t>ALMACEN LAMBAYEQUE</t>
        </is>
      </c>
      <c r="K48" s="47" t="n"/>
      <c r="L48" s="25">
        <f t="array" ref="L48">IF(K48="","",IFERROR(IF(INDEX(Clientes!$D$5:$D$549,MATCH(K48,Clientes!$C$5:$C$549,0))&lt;&gt;"",INDEX(Clientes!$D$5:$D$549,MATCH(K48,Clientes!$C$5:$C$549,0)),TRIM(INDEX(Clientes!$E$5:$E$549,MATCH(K48,Clientes!$C$5:$C$549,0))&amp;" "&amp;INDEX(Clientes!$F$5:$F$549,MATCH(K48,Clientes!$C$5:$C$549,0)))),"NO EXISTE en Clientes"))</f>
        <v/>
      </c>
      <c r="M48" s="17" t="n"/>
      <c r="N48" s="17" t="n"/>
      <c r="O48" s="42" t="n"/>
      <c r="P48" s="39">
        <f>IF(O48&lt;&gt;"",DATE(YEAR(O48)+5,MONTH(O48),1),IF(AND(M48&lt;&gt;"",N48&lt;&gt;""),DATE(M48+5,N48,1),""))</f>
        <v/>
      </c>
      <c r="Q48" s="23" t="n"/>
      <c r="R48" s="17" t="n"/>
      <c r="S48" s="17" t="n"/>
      <c r="T48" s="17" t="n"/>
      <c r="U48" s="17" t="n"/>
      <c r="V48" s="23" t="n"/>
      <c r="W48" s="17" t="n"/>
      <c r="X48" s="17" t="inlineStr">
        <is>
          <t>PH ICP</t>
        </is>
      </c>
      <c r="Y48" s="28">
        <f>IF(B48&lt;&gt;"OK","","SELECT bal_crear_balon(p_codigo_balon =&gt; "&amp;IF(TRIM(C48&amp;"")="","NULL","'"&amp;SUBSTITUTE(TRIM(C48),"'","''")&amp;"'")&amp;", p_id_tipo_balon =&gt; "&amp;"(SELECT id FROM bal_tipo_balon WHERE upper(nombre) = upper('"&amp;SUBSTITUTE(TRIM(D48),"'","''")&amp;"') AND estado = 1 LIMIT 1)"&amp;", p_id_producto_gas =&gt; "&amp;"(SELECT id FROM pro_producto WHERE es_gas = TRUE AND upper(nombre) = upper('"&amp;SUBSTITUTE(TRIM(E48),"'","''")&amp;"') AND estado = 1 LIMIT 1)"&amp;", p_id_propietario =&gt; "&amp;IF(TRIM(F48&amp;"")="","NULL","(SELECT lo.id FROM gen_lista_opciones lo JOIN gen_lista l ON l.id = lo.id_lista WHERE l.nombre = 'PropietarioBalon' AND upper(lo.nombre) = upper('"&amp;SUBSTITUTE(TRIM(F48),"'","''")&amp;"') AND lo.estado = 1 LIMIT 1)")&amp;", p_id_cliente_propietario =&gt; "&amp;IF(F48="CLIENTE",IF(TRIM(G48&amp;"")="","NULL","(SELECT id FROM cli_clientes WHERE numero_documento = '"&amp;SUBSTITUTE(TRIM(G48),"'","''")&amp;"' AND estado = 1 LIMIT 1)"),"NULL")&amp;", p_id_planta =&gt; "&amp;IF(F48="PLANTA",IF(TRIM(G48&amp;"")="","NULL","(SELECT id FROM cli_clientes WHERE numero_documento = '"&amp;SUBSTITUTE(TRIM(G48),"'","''")&amp;"'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"&amp;IF(TRIM(J48&amp;"")="","NULL","(SELECT id FROM gen_almacen WHERE upper(nombre) = upper('"&amp;SUBSTITUTE(TRIM(J48),"'","''")&amp;"') AND estado = 1 LIMIT 1)")&amp;", p_id_cliente_ubicacion =&gt; "&amp;IF(TRIM(K48&amp;"")="","NULL","(SELECT id FROM cli_clientes WHERE numero_documento = '"&amp;SUBSTITUTE(TRIM(K48),"'","''")&amp;"' AND estado = 1 LIMIT 1)")&amp;", p_id_referencia =&gt; "&amp;IF(TRIM(J48&amp;"")&lt;&gt;"","(SELECT lo.id FROM gen_lista_opciones lo JOIN gen_lista l ON l.id = lo.id_lista WHERE l.nombre = 'ReferenciaCilindro' AND upper(lo.nombre) = 'ALMACEN' AND lo.estado = 1 LIMIT 1)",IF(TRIM(K48&amp;"")&lt;&gt;"","(SELECT lo.id FROM gen_lista_opciones lo JOIN gen_lista l ON l.id = lo.id_lista WHERE l.nombre = 'ReferenciaCilindro' AND upper(lo.nombre) = 'CLIENTE' AND lo.estado = 1 LIMIT 1)","NULL"))&amp;", p_anio_fabricacion =&gt; "&amp;IF(M48&amp;""="","NULL::smallint",M48&amp;"::smallint")&amp;", p_mes_fabricacion =&gt; "&amp;IF(N48&amp;""="","NULL::smallint",N48&amp;"::smallint")&amp;", p_fecha_ultima_prueba_hidrostatica =&gt; "&amp;IF(O48&amp;""="","NULL","'"&amp;YEAR(O48)&amp;"-"&amp;TEXT(MONTH(O48),"00")&amp;"-"&amp;TEXT(DAY(O48),"00")&amp;"'")&amp;", p_numero_serie =&gt; "&amp;IF(TRIM(Q48&amp;"")="","NULL","'"&amp;SUBSTITUTE(TRIM(Q48),"'","''")&amp;"'")&amp;", p_id_marca_cilindro =&gt; "&amp;IF(TRIM(R48&amp;"")="","NULL","(SELECT lo.id FROM gen_lista_opciones lo JOIN gen_lista l ON l.id = lo.id_lista WHERE l.nombre = 'MarcaCilindro' AND upper(lo.nombre) = upper('"&amp;SUBSTITUTE(TRIM(R48),"'","''")&amp;"') AND lo.estado = 1 LIMIT 1)")&amp;", p_id_organo_inspector =&gt; "&amp;IF(TRIM(S48&amp;"")="","NULL","(SELECT lo.id FROM gen_lista_opciones lo JOIN gen_lista l ON l.id = lo.id_lista WHERE l.nombre = 'OrganoInspectorCilindro' AND upper(lo.nombre) = upper('"&amp;SUBSTITUTE(TRIM(S48),"'","''")&amp;"') AND lo.estado = 1 LIMIT 1)")&amp;", p_organo_inspector_no_aplica =&gt; "&amp;IF(S48="NO_APLICA","TRUE","FALSE")&amp;", p_presion_actual =&gt; "&amp;IF(T48&amp;""="","NULL",SUBSTITUTE(T48&amp;"",",","."))&amp;", p_tipo_valvula =&gt; "&amp;IF(TRIM(U48&amp;"")="","NULL","'"&amp;SUBSTITUTE(TRIM(U48),"'","''")&amp;"'")&amp;", p_libro_cilindro =&gt; "&amp;IF(TRIM(V48&amp;"")="","NULL","'"&amp;SUBSTITUTE(TRIM(V48),"'","''")&amp;"'")&amp;", p_pagina_libro =&gt; "&amp;IF(W48&amp;""="","NULL",SUBSTITUTE(W48&amp;"",",","."))&amp;", p_observacion =&gt; "&amp;IF(TRIM(X48&amp;"")="","NULL","'"&amp;SUBSTITUTE(TRIM(X48),"'","''")&amp;"'")&amp;") AS resultado_balon_"&amp;ROW()&amp;";")</f>
        <v/>
      </c>
    </row>
    <row r="49" ht="15.75" customHeight="1" s="64">
      <c r="A49" s="36" t="inlineStr">
        <is>
          <t>45</t>
        </is>
      </c>
      <c r="B49" s="25">
        <f>IF(AND(C49="",D49="",E49=""),"",IF(C49="","FALTA código balón",IF(D49="","FALTA tipo balón",IF(E49="","FALTA gas",IF(F49="","FALTA propietario",IF(AND(C49&lt;&gt;"",SUMPRODUCT(--($C$5:$C$1200=C49))&gt;1),"CÓDIGO BALÓN DUPLICADO",IF(AND(OR(UPPER(F49)="PLANTA",UPPER(F49)="CLIENTE"),G49=""),"FALTA doc propietario/planta",IF(AND(UPPER(F49)="PLANTA",G49="10175332796"),"PLANTA no puede ser RUC empresa","OK"))))))))</f>
        <v/>
      </c>
      <c r="C49" s="23" t="inlineStr">
        <is>
          <t>FC019175</t>
        </is>
      </c>
      <c r="D49" s="17" t="inlineStr">
        <is>
          <t>Nitrógeno 10 m³</t>
        </is>
      </c>
      <c r="E49" s="17" t="inlineStr">
        <is>
          <t>NITROGENO</t>
        </is>
      </c>
      <c r="F49" s="17" t="inlineStr">
        <is>
          <t>EMPRESA</t>
        </is>
      </c>
      <c r="G49" s="23" t="inlineStr">
        <is>
          <t>10175332796</t>
        </is>
      </c>
      <c r="H49" s="25" t="inlineStr">
        <is>
          <t>OXIGENO SARITA</t>
        </is>
      </c>
      <c r="I49" s="17" t="inlineStr">
        <is>
          <t>DISPONIBLE</t>
        </is>
      </c>
      <c r="J49" s="17" t="inlineStr">
        <is>
          <t>ALMACEN LAMBAYEQUE</t>
        </is>
      </c>
      <c r="K49" s="47" t="n"/>
      <c r="L49" s="25">
        <f t="array" ref="L49">IF(K49="","",IFERROR(IF(INDEX(Clientes!$D$5:$D$549,MATCH(K49,Clientes!$C$5:$C$549,0))&lt;&gt;"",INDEX(Clientes!$D$5:$D$549,MATCH(K49,Clientes!$C$5:$C$549,0)),TRIM(INDEX(Clientes!$E$5:$E$549,MATCH(K49,Clientes!$C$5:$C$549,0))&amp;" "&amp;INDEX(Clientes!$F$5:$F$549,MATCH(K49,Clientes!$C$5:$C$549,0)))),"NO EXISTE en Clientes"))</f>
        <v/>
      </c>
      <c r="M49" s="17" t="n"/>
      <c r="N49" s="17" t="n"/>
      <c r="O49" s="42" t="n"/>
      <c r="P49" s="39">
        <f>IF(O49&lt;&gt;"",DATE(YEAR(O49)+5,MONTH(O49),1),IF(AND(M49&lt;&gt;"",N49&lt;&gt;""),DATE(M49+5,N49,1),""))</f>
        <v/>
      </c>
      <c r="Q49" s="23" t="n"/>
      <c r="R49" s="17" t="n"/>
      <c r="S49" s="17" t="n"/>
      <c r="T49" s="17" t="n"/>
      <c r="U49" s="17" t="n"/>
      <c r="V49" s="23" t="n"/>
      <c r="W49" s="17" t="n"/>
      <c r="X49" s="17" t="inlineStr">
        <is>
          <t>PH ICP</t>
        </is>
      </c>
      <c r="Y49" s="28">
        <f>IF(B49&lt;&gt;"OK","","SELECT bal_crear_balon(p_codigo_balon =&gt; "&amp;IF(TRIM(C49&amp;"")="","NULL","'"&amp;SUBSTITUTE(TRIM(C49),"'","''")&amp;"'")&amp;", p_id_tipo_balon =&gt; "&amp;"(SELECT id FROM bal_tipo_balon WHERE upper(nombre) = upper('"&amp;SUBSTITUTE(TRIM(D49),"'","''")&amp;"') AND estado = 1 LIMIT 1)"&amp;", p_id_producto_gas =&gt; "&amp;"(SELECT id FROM pro_producto WHERE es_gas = TRUE AND upper(nombre) = upper('"&amp;SUBSTITUTE(TRIM(E49),"'","''")&amp;"') AND estado = 1 LIMIT 1)"&amp;", p_id_propietario =&gt; "&amp;IF(TRIM(F49&amp;"")="","NULL","(SELECT lo.id FROM gen_lista_opciones lo JOIN gen_lista l ON l.id = lo.id_lista WHERE l.nombre = 'PropietarioBalon' AND upper(lo.nombre) = upper('"&amp;SUBSTITUTE(TRIM(F49),"'","''")&amp;"') AND lo.estado = 1 LIMIT 1)")&amp;", p_id_cliente_propietario =&gt; "&amp;IF(F49="CLIENTE",IF(TRIM(G49&amp;"")="","NULL","(SELECT id FROM cli_clientes WHERE numero_documento = '"&amp;SUBSTITUTE(TRIM(G49),"'","''")&amp;"' AND estado = 1 LIMIT 1)"),"NULL")&amp;", p_id_planta =&gt; "&amp;IF(F49="PLANTA",IF(TRIM(G49&amp;"")="","NULL","(SELECT id FROM cli_clientes WHERE numero_documento = '"&amp;SUBSTITUTE(TRIM(G49),"'","''")&amp;"'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"&amp;IF(TRIM(J49&amp;"")="","NULL","(SELECT id FROM gen_almacen WHERE upper(nombre) = upper('"&amp;SUBSTITUTE(TRIM(J49),"'","''")&amp;"') AND estado = 1 LIMIT 1)")&amp;", p_id_cliente_ubicacion =&gt; "&amp;IF(TRIM(K49&amp;"")="","NULL","(SELECT id FROM cli_clientes WHERE numero_documento = '"&amp;SUBSTITUTE(TRIM(K49),"'","''")&amp;"' AND estado = 1 LIMIT 1)")&amp;", p_id_referencia =&gt; "&amp;IF(TRIM(J49&amp;"")&lt;&gt;"","(SELECT lo.id FROM gen_lista_opciones lo JOIN gen_lista l ON l.id = lo.id_lista WHERE l.nombre = 'ReferenciaCilindro' AND upper(lo.nombre) = 'ALMACEN' AND lo.estado = 1 LIMIT 1)",IF(TRIM(K49&amp;"")&lt;&gt;"","(SELECT lo.id FROM gen_lista_opciones lo JOIN gen_lista l ON l.id = lo.id_lista WHERE l.nombre = 'ReferenciaCilindro' AND upper(lo.nombre) = 'CLIENTE' AND lo.estado = 1 LIMIT 1)","NULL"))&amp;", p_anio_fabricacion =&gt; "&amp;IF(M49&amp;""="","NULL::smallint",M49&amp;"::smallint")&amp;", p_mes_fabricacion =&gt; "&amp;IF(N49&amp;""="","NULL::smallint",N49&amp;"::smallint")&amp;", p_fecha_ultima_prueba_hidrostatica =&gt; "&amp;IF(O49&amp;""="","NULL","'"&amp;YEAR(O49)&amp;"-"&amp;TEXT(MONTH(O49),"00")&amp;"-"&amp;TEXT(DAY(O49),"00")&amp;"'")&amp;", p_numero_serie =&gt; "&amp;IF(TRIM(Q49&amp;"")="","NULL","'"&amp;SUBSTITUTE(TRIM(Q49),"'","''")&amp;"'")&amp;", p_id_marca_cilindro =&gt; "&amp;IF(TRIM(R49&amp;"")="","NULL","(SELECT lo.id FROM gen_lista_opciones lo JOIN gen_lista l ON l.id = lo.id_lista WHERE l.nombre = 'MarcaCilindro' AND upper(lo.nombre) = upper('"&amp;SUBSTITUTE(TRIM(R49),"'","''")&amp;"') AND lo.estado = 1 LIMIT 1)")&amp;", p_id_organo_inspector =&gt; "&amp;IF(TRIM(S49&amp;"")="","NULL","(SELECT lo.id FROM gen_lista_opciones lo JOIN gen_lista l ON l.id = lo.id_lista WHERE l.nombre = 'OrganoInspectorCilindro' AND upper(lo.nombre) = upper('"&amp;SUBSTITUTE(TRIM(S49),"'","''")&amp;"') AND lo.estado = 1 LIMIT 1)")&amp;", p_organo_inspector_no_aplica =&gt; "&amp;IF(S49="NO_APLICA","TRUE","FALSE")&amp;", p_presion_actual =&gt; "&amp;IF(T49&amp;""="","NULL",SUBSTITUTE(T49&amp;"",",","."))&amp;", p_tipo_valvula =&gt; "&amp;IF(TRIM(U49&amp;"")="","NULL","'"&amp;SUBSTITUTE(TRIM(U49),"'","''")&amp;"'")&amp;", p_libro_cilindro =&gt; "&amp;IF(TRIM(V49&amp;"")="","NULL","'"&amp;SUBSTITUTE(TRIM(V49),"'","''")&amp;"'")&amp;", p_pagina_libro =&gt; "&amp;IF(W49&amp;""="","NULL",SUBSTITUTE(W49&amp;"",",","."))&amp;", p_observacion =&gt; "&amp;IF(TRIM(X49&amp;"")="","NULL","'"&amp;SUBSTITUTE(TRIM(X49),"'","''")&amp;"'")&amp;") AS resultado_balon_"&amp;ROW()&amp;";")</f>
        <v/>
      </c>
    </row>
    <row r="50" ht="15.75" customHeight="1" s="64">
      <c r="A50" s="36" t="inlineStr">
        <is>
          <t>46</t>
        </is>
      </c>
      <c r="B50" s="25">
        <f>IF(AND(C50="",D50="",E50=""),"",IF(C50="","FALTA código balón",IF(D50="","FALTA tipo balón",IF(E50="","FALTA gas",IF(F50="","FALTA propietario",IF(AND(C50&lt;&gt;"",SUMPRODUCT(--($C$5:$C$1200=C50))&gt;1),"CÓDIGO BALÓN DUPLICADO",IF(AND(OR(UPPER(F50)="PLANTA",UPPER(F50)="CLIENTE"),G50=""),"FALTA doc propietario/planta",IF(AND(UPPER(F50)="PLANTA",G50="10175332796"),"PLANTA no puede ser RUC empresa","OK"))))))))</f>
        <v/>
      </c>
      <c r="C50" s="23" t="inlineStr">
        <is>
          <t>21X416099</t>
        </is>
      </c>
      <c r="D50" s="17" t="inlineStr">
        <is>
          <t>Nitrógeno 10 m³</t>
        </is>
      </c>
      <c r="E50" s="17" t="inlineStr">
        <is>
          <t>NITROGENO</t>
        </is>
      </c>
      <c r="F50" s="17" t="inlineStr">
        <is>
          <t>EMPRESA</t>
        </is>
      </c>
      <c r="G50" s="23" t="inlineStr">
        <is>
          <t>10175332796</t>
        </is>
      </c>
      <c r="H50" s="25" t="inlineStr">
        <is>
          <t>OXIGENO SARITA</t>
        </is>
      </c>
      <c r="I50" s="17" t="inlineStr">
        <is>
          <t>DISPONIBLE</t>
        </is>
      </c>
      <c r="J50" s="17" t="inlineStr">
        <is>
          <t>ALMACEN LAMBAYEQUE</t>
        </is>
      </c>
      <c r="K50" s="47" t="n"/>
      <c r="L50" s="25">
        <f t="array" ref="L50">IF(K50="","",IFERROR(IF(INDEX(Clientes!$D$5:$D$549,MATCH(K50,Clientes!$C$5:$C$549,0))&lt;&gt;"",INDEX(Clientes!$D$5:$D$549,MATCH(K50,Clientes!$C$5:$C$549,0)),TRIM(INDEX(Clientes!$E$5:$E$549,MATCH(K50,Clientes!$C$5:$C$549,0))&amp;" "&amp;INDEX(Clientes!$F$5:$F$549,MATCH(K50,Clientes!$C$5:$C$549,0)))),"NO EXISTE en Clientes"))</f>
        <v/>
      </c>
      <c r="M50" s="17" t="n"/>
      <c r="N50" s="17" t="n"/>
      <c r="O50" s="42" t="n"/>
      <c r="P50" s="39">
        <f>IF(O50&lt;&gt;"",DATE(YEAR(O50)+5,MONTH(O50),1),IF(AND(M50&lt;&gt;"",N50&lt;&gt;""),DATE(M50+5,N50,1),""))</f>
        <v/>
      </c>
      <c r="Q50" s="23" t="n"/>
      <c r="R50" s="17" t="n"/>
      <c r="S50" s="17" t="n"/>
      <c r="T50" s="17" t="n"/>
      <c r="U50" s="17" t="n"/>
      <c r="V50" s="23" t="n"/>
      <c r="W50" s="17" t="n"/>
      <c r="X50" s="17" t="inlineStr">
        <is>
          <t>PH ICP</t>
        </is>
      </c>
      <c r="Y50" s="28">
        <f>IF(B50&lt;&gt;"OK","","SELECT bal_crear_balon(p_codigo_balon =&gt; "&amp;IF(TRIM(C50&amp;"")="","NULL","'"&amp;SUBSTITUTE(TRIM(C50),"'","''")&amp;"'")&amp;", p_id_tipo_balon =&gt; "&amp;"(SELECT id FROM bal_tipo_balon WHERE upper(nombre) = upper('"&amp;SUBSTITUTE(TRIM(D50),"'","''")&amp;"') AND estado = 1 LIMIT 1)"&amp;", p_id_producto_gas =&gt; "&amp;"(SELECT id FROM pro_producto WHERE es_gas = TRUE AND upper(nombre) = upper('"&amp;SUBSTITUTE(TRIM(E50),"'","''")&amp;"') AND estado = 1 LIMIT 1)"&amp;", p_id_propietario =&gt; "&amp;IF(TRIM(F50&amp;"")="","NULL","(SELECT lo.id FROM gen_lista_opciones lo JOIN gen_lista l ON l.id = lo.id_lista WHERE l.nombre = 'PropietarioBalon' AND upper(lo.nombre) = upper('"&amp;SUBSTITUTE(TRIM(F50),"'","''")&amp;"') AND lo.estado = 1 LIMIT 1)")&amp;", p_id_cliente_propietario =&gt; "&amp;IF(F50="CLIENTE",IF(TRIM(G50&amp;"")="","NULL","(SELECT id FROM cli_clientes WHERE numero_documento = '"&amp;SUBSTITUTE(TRIM(G50),"'","''")&amp;"' AND estado = 1 LIMIT 1)"),"NULL")&amp;", p_id_planta =&gt; "&amp;IF(F50="PLANTA",IF(TRIM(G50&amp;"")="","NULL","(SELECT id FROM cli_clientes WHERE numero_documento = '"&amp;SUBSTITUTE(TRIM(G50),"'","''")&amp;"'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"&amp;IF(TRIM(J50&amp;"")="","NULL","(SELECT id FROM gen_almacen WHERE upper(nombre) = upper('"&amp;SUBSTITUTE(TRIM(J50),"'","''")&amp;"') AND estado = 1 LIMIT 1)")&amp;", p_id_cliente_ubicacion =&gt; "&amp;IF(TRIM(K50&amp;"")="","NULL","(SELECT id FROM cli_clientes WHERE numero_documento = '"&amp;SUBSTITUTE(TRIM(K50),"'","''")&amp;"' AND estado = 1 LIMIT 1)")&amp;", p_id_referencia =&gt; "&amp;IF(TRIM(J50&amp;"")&lt;&gt;"","(SELECT lo.id FROM gen_lista_opciones lo JOIN gen_lista l ON l.id = lo.id_lista WHERE l.nombre = 'ReferenciaCilindro' AND upper(lo.nombre) = 'ALMACEN' AND lo.estado = 1 LIMIT 1)",IF(TRIM(K50&amp;"")&lt;&gt;"","(SELECT lo.id FROM gen_lista_opciones lo JOIN gen_lista l ON l.id = lo.id_lista WHERE l.nombre = 'ReferenciaCilindro' AND upper(lo.nombre) = 'CLIENTE' AND lo.estado = 1 LIMIT 1)","NULL"))&amp;", p_anio_fabricacion =&gt; "&amp;IF(M50&amp;""="","NULL::smallint",M50&amp;"::smallint")&amp;", p_mes_fabricacion =&gt; "&amp;IF(N50&amp;""="","NULL::smallint",N50&amp;"::smallint")&amp;", p_fecha_ultima_prueba_hidrostatica =&gt; "&amp;IF(O50&amp;""="","NULL","'"&amp;YEAR(O50)&amp;"-"&amp;TEXT(MONTH(O50),"00")&amp;"-"&amp;TEXT(DAY(O50),"00")&amp;"'")&amp;", p_numero_serie =&gt; "&amp;IF(TRIM(Q50&amp;"")="","NULL","'"&amp;SUBSTITUTE(TRIM(Q50),"'","''")&amp;"'")&amp;", p_id_marca_cilindro =&gt; "&amp;IF(TRIM(R50&amp;"")="","NULL","(SELECT lo.id FROM gen_lista_opciones lo JOIN gen_lista l ON l.id = lo.id_lista WHERE l.nombre = 'MarcaCilindro' AND upper(lo.nombre) = upper('"&amp;SUBSTITUTE(TRIM(R50),"'","''")&amp;"') AND lo.estado = 1 LIMIT 1)")&amp;", p_id_organo_inspector =&gt; "&amp;IF(TRIM(S50&amp;"")="","NULL","(SELECT lo.id FROM gen_lista_opciones lo JOIN gen_lista l ON l.id = lo.id_lista WHERE l.nombre = 'OrganoInspectorCilindro' AND upper(lo.nombre) = upper('"&amp;SUBSTITUTE(TRIM(S50),"'","''")&amp;"') AND lo.estado = 1 LIMIT 1)")&amp;", p_organo_inspector_no_aplica =&gt; "&amp;IF(S50="NO_APLICA","TRUE","FALSE")&amp;", p_presion_actual =&gt; "&amp;IF(T50&amp;""="","NULL",SUBSTITUTE(T50&amp;"",",","."))&amp;", p_tipo_valvula =&gt; "&amp;IF(TRIM(U50&amp;"")="","NULL","'"&amp;SUBSTITUTE(TRIM(U50),"'","''")&amp;"'")&amp;", p_libro_cilindro =&gt; "&amp;IF(TRIM(V50&amp;"")="","NULL","'"&amp;SUBSTITUTE(TRIM(V50),"'","''")&amp;"'")&amp;", p_pagina_libro =&gt; "&amp;IF(W50&amp;""="","NULL",SUBSTITUTE(W50&amp;"",",","."))&amp;", p_observacion =&gt; "&amp;IF(TRIM(X50&amp;"")="","NULL","'"&amp;SUBSTITUTE(TRIM(X50),"'","''")&amp;"'")&amp;") AS resultado_balon_"&amp;ROW()&amp;";")</f>
        <v/>
      </c>
    </row>
    <row r="51" ht="15.75" customHeight="1" s="64">
      <c r="A51" s="36" t="inlineStr">
        <is>
          <t>47</t>
        </is>
      </c>
      <c r="B51" s="25">
        <f>IF(AND(C51="",D51="",E51=""),"",IF(C51="","FALTA código balón",IF(D51="","FALTA tipo balón",IF(E51="","FALTA gas",IF(F51="","FALTA propietario",IF(AND(C51&lt;&gt;"",SUMPRODUCT(--($C$5:$C$1200=C51))&gt;1),"CÓDIGO BALÓN DUPLICADO",IF(AND(OR(UPPER(F51)="PLANTA",UPPER(F51)="CLIENTE"),G51=""),"FALTA doc propietario/planta",IF(AND(UPPER(F51)="PLANTA",G51="10175332796"),"PLANTA no puede ser RUC empresa","OK"))))))))</f>
        <v/>
      </c>
      <c r="C51" s="23" t="inlineStr">
        <is>
          <t>20K304180</t>
        </is>
      </c>
      <c r="D51" s="17" t="inlineStr">
        <is>
          <t>Nitrógeno 10 m³</t>
        </is>
      </c>
      <c r="E51" s="17" t="inlineStr">
        <is>
          <t>NITROGENO</t>
        </is>
      </c>
      <c r="F51" s="17" t="inlineStr">
        <is>
          <t>EMPRESA</t>
        </is>
      </c>
      <c r="G51" s="23" t="inlineStr">
        <is>
          <t>10175332796</t>
        </is>
      </c>
      <c r="H51" s="25" t="inlineStr">
        <is>
          <t>OXIGENO SARITA</t>
        </is>
      </c>
      <c r="I51" s="17" t="inlineStr">
        <is>
          <t>EN_PODER_CLIENTE</t>
        </is>
      </c>
      <c r="J51" s="17" t="n"/>
      <c r="K51" s="47" t="inlineStr">
        <is>
          <t>20608006738</t>
        </is>
      </c>
      <c r="L51" s="25">
        <f t="array" ref="L51">IF(K51="","",IFERROR(IF(INDEX(Clientes!$D$5:$D$549,MATCH(K51,Clientes!$C$5:$C$549,0))&lt;&gt;"",INDEX(Clientes!$D$5:$D$549,MATCH(K51,Clientes!$C$5:$C$549,0)),TRIM(INDEX(Clientes!$E$5:$E$549,MATCH(K51,Clientes!$C$5:$C$549,0))&amp;" "&amp;INDEX(Clientes!$F$5:$F$549,MATCH(K51,Clientes!$C$5:$C$549,0)))),"NO EXISTE en Clientes"))</f>
        <v/>
      </c>
      <c r="M51" s="17" t="n"/>
      <c r="N51" s="17" t="n"/>
      <c r="O51" s="42" t="n"/>
      <c r="P51" s="39" t="n"/>
      <c r="Q51" s="23" t="n"/>
      <c r="R51" s="17" t="n"/>
      <c r="S51" s="17" t="n"/>
      <c r="T51" s="17" t="n"/>
      <c r="U51" s="17" t="n"/>
      <c r="V51" s="23" t="n"/>
      <c r="W51" s="17" t="n"/>
      <c r="X51" s="17" t="n"/>
      <c r="Y51" s="28">
        <f>IF(B51&lt;&gt;"OK","","SELECT bal_crear_balon(p_codigo_balon =&gt; "&amp;IF(TRIM(C51&amp;"")="","NULL","'"&amp;SUBSTITUTE(TRIM(C51),"'","''")&amp;"'")&amp;", p_id_tipo_balon =&gt; "&amp;"(SELECT id FROM bal_tipo_balon WHERE upper(nombre) = upper('"&amp;SUBSTITUTE(TRIM(D51),"'","''")&amp;"') AND estado = 1 LIMIT 1)"&amp;", p_id_producto_gas =&gt; "&amp;"(SELECT id FROM pro_producto WHERE es_gas = TRUE AND upper(nombre) = upper('"&amp;SUBSTITUTE(TRIM(E51),"'","''")&amp;"') AND estado = 1 LIMIT 1)"&amp;", p_id_propietario =&gt; "&amp;IF(TRIM(F51&amp;"")="","NULL","(SELECT lo.id FROM gen_lista_opciones lo JOIN gen_lista l ON l.id = lo.id_lista WHERE l.nombre = 'PropietarioBalon' AND upper(lo.nombre) = upper('"&amp;SUBSTITUTE(TRIM(F51),"'","''")&amp;"') AND lo.estado = 1 LIMIT 1)")&amp;", p_id_cliente_propietario =&gt; "&amp;IF(F51="CLIENTE",IF(TRIM(G51&amp;"")="","NULL","(SELECT id FROM cli_clientes WHERE numero_documento = '"&amp;SUBSTITUTE(TRIM(G51),"'","''")&amp;"' AND estado = 1 LIMIT 1)"),"NULL")&amp;", p_id_planta =&gt; "&amp;IF(F51="PLANTA",IF(TRIM(G51&amp;"")="","NULL","(SELECT id FROM cli_clientes WHERE numero_documento = '"&amp;SUBSTITUTE(TRIM(G51),"'","''")&amp;"'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"&amp;IF(TRIM(J51&amp;"")="","NULL","(SELECT id FROM gen_almacen WHERE upper(nombre) = upper('"&amp;SUBSTITUTE(TRIM(J51),"'","''")&amp;"') AND estado = 1 LIMIT 1)")&amp;", p_id_cliente_ubicacion =&gt; "&amp;IF(TRIM(K51&amp;"")="","NULL","(SELECT id FROM cli_clientes WHERE numero_documento = '"&amp;SUBSTITUTE(TRIM(K51),"'","''")&amp;"' AND estado = 1 LIMIT 1)")&amp;", p_id_referencia =&gt; "&amp;IF(TRIM(J51&amp;"")&lt;&gt;"","(SELECT lo.id FROM gen_lista_opciones lo JOIN gen_lista l ON l.id = lo.id_lista WHERE l.nombre = 'ReferenciaCilindro' AND upper(lo.nombre) = 'ALMACEN' AND lo.estado = 1 LIMIT 1)",IF(TRIM(K51&amp;"")&lt;&gt;"","(SELECT lo.id FROM gen_lista_opciones lo JOIN gen_lista l ON l.id = lo.id_lista WHERE l.nombre = 'ReferenciaCilindro' AND upper(lo.nombre) = 'CLIENTE' AND lo.estado = 1 LIMIT 1)","NULL"))&amp;", p_anio_fabricacion =&gt; "&amp;IF(M51&amp;""="","NULL::smallint",M51&amp;"::smallint")&amp;", p_mes_fabricacion =&gt; "&amp;IF(N51&amp;""="","NULL::smallint",N51&amp;"::smallint")&amp;", p_fecha_ultima_prueba_hidrostatica =&gt; "&amp;IF(O51&amp;""="","NULL","'"&amp;YEAR(O51)&amp;"-"&amp;TEXT(MONTH(O51),"00")&amp;"-"&amp;TEXT(DAY(O51),"00")&amp;"'")&amp;", p_numero_serie =&gt; "&amp;IF(TRIM(Q51&amp;"")="","NULL","'"&amp;SUBSTITUTE(TRIM(Q51),"'","''")&amp;"'")&amp;", p_id_marca_cilindro =&gt; "&amp;IF(TRIM(R51&amp;"")="","NULL","(SELECT lo.id FROM gen_lista_opciones lo JOIN gen_lista l ON l.id = lo.id_lista WHERE l.nombre = 'MarcaCilindro' AND upper(lo.nombre) = upper('"&amp;SUBSTITUTE(TRIM(R51),"'","''")&amp;"') AND lo.estado = 1 LIMIT 1)")&amp;", p_id_organo_inspector =&gt; "&amp;IF(TRIM(S51&amp;"")="","NULL","(SELECT lo.id FROM gen_lista_opciones lo JOIN gen_lista l ON l.id = lo.id_lista WHERE l.nombre = 'OrganoInspectorCilindro' AND upper(lo.nombre) = upper('"&amp;SUBSTITUTE(TRIM(S51),"'","''")&amp;"') AND lo.estado = 1 LIMIT 1)")&amp;", p_organo_inspector_no_aplica =&gt; "&amp;IF(S51="NO_APLICA","TRUE","FALSE")&amp;", p_presion_actual =&gt; "&amp;IF(T51&amp;""="","NULL",SUBSTITUTE(T51&amp;"",",","."))&amp;", p_tipo_valvula =&gt; "&amp;IF(TRIM(U51&amp;"")="","NULL","'"&amp;SUBSTITUTE(TRIM(U51),"'","''")&amp;"'")&amp;", p_libro_cilindro =&gt; "&amp;IF(TRIM(V51&amp;"")="","NULL","'"&amp;SUBSTITUTE(TRIM(V51),"'","''")&amp;"'")&amp;", p_pagina_libro =&gt; "&amp;IF(W51&amp;""="","NULL",SUBSTITUTE(W51&amp;"",",","."))&amp;", p_observacion =&gt; "&amp;IF(TRIM(X51&amp;"")="","NULL","'"&amp;SUBSTITUTE(TRIM(X51),"'","''")&amp;"'")&amp;") AS resultado_balon_"&amp;ROW()&amp;";")</f>
        <v/>
      </c>
    </row>
    <row r="52" ht="15.75" customHeight="1" s="64">
      <c r="A52" s="36" t="inlineStr">
        <is>
          <t>48</t>
        </is>
      </c>
      <c r="B52" s="25">
        <f>IF(AND(C52="",D52="",E52=""),"",IF(C52="","FALTA código balón",IF(D52="","FALTA tipo balón",IF(E52="","FALTA gas",IF(F52="","FALTA propietario",IF(AND(C52&lt;&gt;"",SUMPRODUCT(--($C$5:$C$1200=C52))&gt;1),"CÓDIGO BALÓN DUPLICADO",IF(AND(OR(UPPER(F52)="PLANTA",UPPER(F52)="CLIENTE"),G52=""),"FALTA doc propietario/planta",IF(AND(UPPER(F52)="PLANTA",G52="10175332796"),"PLANTA no puede ser RUC empresa","OK"))))))))</f>
        <v/>
      </c>
      <c r="C52" s="23" t="inlineStr">
        <is>
          <t>1052372</t>
        </is>
      </c>
      <c r="D52" s="17" t="inlineStr">
        <is>
          <t>Nitrógeno 10 m³</t>
        </is>
      </c>
      <c r="E52" s="17" t="inlineStr">
        <is>
          <t>NITROGENO</t>
        </is>
      </c>
      <c r="F52" s="17" t="inlineStr">
        <is>
          <t>EMPRESA</t>
        </is>
      </c>
      <c r="G52" s="23" t="inlineStr">
        <is>
          <t>10175332796</t>
        </is>
      </c>
      <c r="H52" s="25" t="inlineStr">
        <is>
          <t>OXIGENO SARITA</t>
        </is>
      </c>
      <c r="I52" s="17" t="inlineStr">
        <is>
          <t>EN_PODER_CLIENTE</t>
        </is>
      </c>
      <c r="J52" s="17" t="n"/>
      <c r="K52" s="26" t="inlineStr">
        <is>
          <t>20602694853</t>
        </is>
      </c>
      <c r="L52" s="25">
        <f t="array" ref="L52">IF(K52="","",IFERROR(IF(INDEX(Clientes!$D$5:$D$549,MATCH(K52,Clientes!$C$5:$C$549,0))&lt;&gt;"",INDEX(Clientes!$D$5:$D$549,MATCH(K52,Clientes!$C$5:$C$549,0)),TRIM(INDEX(Clientes!$E$5:$E$549,MATCH(K52,Clientes!$C$5:$C$549,0))&amp;" "&amp;INDEX(Clientes!$F$5:$F$549,MATCH(K52,Clientes!$C$5:$C$549,0)))),"NO EXISTE en Clientes"))</f>
        <v/>
      </c>
      <c r="M52" s="17" t="n"/>
      <c r="N52" s="17" t="n"/>
      <c r="O52" s="42" t="n"/>
      <c r="P52" s="39">
        <f>IF(O52&lt;&gt;"",DATE(YEAR(O52)+5,MONTH(O52),1),IF(AND(M52&lt;&gt;"",N52&lt;&gt;""),DATE(M52+5,N52,1),""))</f>
        <v/>
      </c>
      <c r="Q52" s="23" t="n"/>
      <c r="R52" s="17" t="n"/>
      <c r="S52" s="17" t="n"/>
      <c r="T52" s="17" t="n"/>
      <c r="U52" s="17" t="n"/>
      <c r="V52" s="23" t="n"/>
      <c r="W52" s="17" t="n"/>
      <c r="X52" s="17" t="n"/>
      <c r="Y52" s="28">
        <f>IF(B52&lt;&gt;"OK","","SELECT bal_crear_balon(p_codigo_balon =&gt; "&amp;IF(TRIM(C52&amp;"")="","NULL","'"&amp;SUBSTITUTE(TRIM(C52),"'","''")&amp;"'")&amp;", p_id_tipo_balon =&gt; "&amp;"(SELECT id FROM bal_tipo_balon WHERE upper(nombre) = upper('"&amp;SUBSTITUTE(TRIM(D52),"'","''")&amp;"') AND estado = 1 LIMIT 1)"&amp;", p_id_producto_gas =&gt; "&amp;"(SELECT id FROM pro_producto WHERE es_gas = TRUE AND upper(nombre) = upper('"&amp;SUBSTITUTE(TRIM(E52),"'","''")&amp;"') AND estado = 1 LIMIT 1)"&amp;", p_id_propietario =&gt; "&amp;IF(TRIM(F52&amp;"")="","NULL","(SELECT lo.id FROM gen_lista_opciones lo JOIN gen_lista l ON l.id = lo.id_lista WHERE l.nombre = 'PropietarioBalon' AND upper(lo.nombre) = upper('"&amp;SUBSTITUTE(TRIM(F52),"'","''")&amp;"') AND lo.estado = 1 LIMIT 1)")&amp;", p_id_cliente_propietario =&gt; "&amp;IF(F52="CLIENTE",IF(TRIM(G52&amp;"")="","NULL","(SELECT id FROM cli_clientes WHERE numero_documento = '"&amp;SUBSTITUTE(TRIM(G52),"'","''")&amp;"' AND estado = 1 LIMIT 1)"),"NULL")&amp;", p_id_planta =&gt; "&amp;IF(F52="PLANTA",IF(TRIM(G52&amp;"")="","NULL","(SELECT id FROM cli_clientes WHERE numero_documento = '"&amp;SUBSTITUTE(TRIM(G52),"'","''")&amp;"'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"&amp;IF(TRIM(J52&amp;"")="","NULL","(SELECT id FROM gen_almacen WHERE upper(nombre) = upper('"&amp;SUBSTITUTE(TRIM(J52),"'","''")&amp;"') AND estado = 1 LIMIT 1)")&amp;", p_id_cliente_ubicacion =&gt; "&amp;IF(TRIM(K52&amp;"")="","NULL","(SELECT id FROM cli_clientes WHERE numero_documento = '"&amp;SUBSTITUTE(TRIM(K52),"'","''")&amp;"' AND estado = 1 LIMIT 1)")&amp;", p_id_referencia =&gt; "&amp;IF(TRIM(J52&amp;"")&lt;&gt;"","(SELECT lo.id FROM gen_lista_opciones lo JOIN gen_lista l ON l.id = lo.id_lista WHERE l.nombre = 'ReferenciaCilindro' AND upper(lo.nombre) = 'ALMACEN' AND lo.estado = 1 LIMIT 1)",IF(TRIM(K52&amp;"")&lt;&gt;"","(SELECT lo.id FROM gen_lista_opciones lo JOIN gen_lista l ON l.id = lo.id_lista WHERE l.nombre = 'ReferenciaCilindro' AND upper(lo.nombre) = 'CLIENTE' AND lo.estado = 1 LIMIT 1)","NULL"))&amp;", p_anio_fabricacion =&gt; "&amp;IF(M52&amp;""="","NULL::smallint",M52&amp;"::smallint")&amp;", p_mes_fabricacion =&gt; "&amp;IF(N52&amp;""="","NULL::smallint",N52&amp;"::smallint")&amp;", p_fecha_ultima_prueba_hidrostatica =&gt; "&amp;IF(O52&amp;""="","NULL","'"&amp;YEAR(O52)&amp;"-"&amp;TEXT(MONTH(O52),"00")&amp;"-"&amp;TEXT(DAY(O52),"00")&amp;"'")&amp;", p_numero_serie =&gt; "&amp;IF(TRIM(Q52&amp;"")="","NULL","'"&amp;SUBSTITUTE(TRIM(Q52),"'","''")&amp;"'")&amp;", p_id_marca_cilindro =&gt; "&amp;IF(TRIM(R52&amp;"")="","NULL","(SELECT lo.id FROM gen_lista_opciones lo JOIN gen_lista l ON l.id = lo.id_lista WHERE l.nombre = 'MarcaCilindro' AND upper(lo.nombre) = upper('"&amp;SUBSTITUTE(TRIM(R52),"'","''")&amp;"') AND lo.estado = 1 LIMIT 1)")&amp;", p_id_organo_inspector =&gt; "&amp;IF(TRIM(S52&amp;"")="","NULL","(SELECT lo.id FROM gen_lista_opciones lo JOIN gen_lista l ON l.id = lo.id_lista WHERE l.nombre = 'OrganoInspectorCilindro' AND upper(lo.nombre) = upper('"&amp;SUBSTITUTE(TRIM(S52),"'","''")&amp;"') AND lo.estado = 1 LIMIT 1)")&amp;", p_organo_inspector_no_aplica =&gt; "&amp;IF(S52="NO_APLICA","TRUE","FALSE")&amp;", p_presion_actual =&gt; "&amp;IF(T52&amp;""="","NULL",SUBSTITUTE(T52&amp;"",",","."))&amp;", p_tipo_valvula =&gt; "&amp;IF(TRIM(U52&amp;"")="","NULL","'"&amp;SUBSTITUTE(TRIM(U52),"'","''")&amp;"'")&amp;", p_libro_cilindro =&gt; "&amp;IF(TRIM(V52&amp;"")="","NULL","'"&amp;SUBSTITUTE(TRIM(V52),"'","''")&amp;"'")&amp;", p_pagina_libro =&gt; "&amp;IF(W52&amp;""="","NULL",SUBSTITUTE(W52&amp;"",",","."))&amp;", p_observacion =&gt; "&amp;IF(TRIM(X52&amp;"")="","NULL","'"&amp;SUBSTITUTE(TRIM(X52),"'","''")&amp;"'")&amp;") AS resultado_balon_"&amp;ROW()&amp;";")</f>
        <v/>
      </c>
    </row>
    <row r="53" ht="15.75" customHeight="1" s="64">
      <c r="A53" s="36" t="inlineStr">
        <is>
          <t>49</t>
        </is>
      </c>
      <c r="B53" s="25">
        <f>IF(AND(C53="",D53="",E53=""),"",IF(C53="","FALTA código balón",IF(D53="","FALTA tipo balón",IF(E53="","FALTA gas",IF(F53="","FALTA propietario",IF(AND(C53&lt;&gt;"",SUMPRODUCT(--($C$5:$C$1200=C53))&gt;1),"CÓDIGO BALÓN DUPLICADO",IF(AND(OR(UPPER(F53)="PLANTA",UPPER(F53)="CLIENTE"),G53=""),"FALTA doc propietario/planta",IF(AND(UPPER(F53)="PLANTA",G53="10175332796"),"PLANTA no puede ser RUC empresa","OK"))))))))</f>
        <v/>
      </c>
      <c r="C53" s="23" t="inlineStr">
        <is>
          <t>20X153103</t>
        </is>
      </c>
      <c r="D53" s="17" t="inlineStr">
        <is>
          <t>Nitrógeno 10 m³</t>
        </is>
      </c>
      <c r="E53" s="17" t="inlineStr">
        <is>
          <t>NITROGENO</t>
        </is>
      </c>
      <c r="F53" s="17" t="inlineStr">
        <is>
          <t>EMPRESA</t>
        </is>
      </c>
      <c r="G53" s="23" t="inlineStr">
        <is>
          <t>10175332796</t>
        </is>
      </c>
      <c r="H53" s="25" t="inlineStr">
        <is>
          <t>OXIGENO SARITA</t>
        </is>
      </c>
      <c r="I53" s="17" t="inlineStr">
        <is>
          <t>EN_PODER_CLIENTE</t>
        </is>
      </c>
      <c r="J53" s="17" t="n"/>
      <c r="K53" s="26" t="inlineStr">
        <is>
          <t>20602694853</t>
        </is>
      </c>
      <c r="L53" s="25">
        <f t="array" ref="L53">IF(K53="","",IFERROR(IF(INDEX(Clientes!$D$5:$D$549,MATCH(K53,Clientes!$C$5:$C$549,0))&lt;&gt;"",INDEX(Clientes!$D$5:$D$549,MATCH(K53,Clientes!$C$5:$C$549,0)),TRIM(INDEX(Clientes!$E$5:$E$549,MATCH(K53,Clientes!$C$5:$C$549,0))&amp;" "&amp;INDEX(Clientes!$F$5:$F$549,MATCH(K53,Clientes!$C$5:$C$549,0)))),"NO EXISTE en Clientes"))</f>
        <v/>
      </c>
      <c r="M53" s="17" t="n"/>
      <c r="N53" s="17" t="n"/>
      <c r="O53" s="42" t="n"/>
      <c r="P53" s="39">
        <f>IF(O53&lt;&gt;"",DATE(YEAR(O53)+5,MONTH(O53),1),IF(AND(M53&lt;&gt;"",N53&lt;&gt;""),DATE(M53+5,N53,1),""))</f>
        <v/>
      </c>
      <c r="Q53" s="23" t="n"/>
      <c r="R53" s="17" t="n"/>
      <c r="S53" s="17" t="n"/>
      <c r="T53" s="17" t="n"/>
      <c r="U53" s="17" t="n"/>
      <c r="V53" s="23" t="n"/>
      <c r="W53" s="17" t="n"/>
      <c r="X53" s="17" t="n"/>
      <c r="Y53" s="28">
        <f>IF(B53&lt;&gt;"OK","","SELECT bal_crear_balon(p_codigo_balon =&gt; "&amp;IF(TRIM(C53&amp;"")="","NULL","'"&amp;SUBSTITUTE(TRIM(C53),"'","''")&amp;"'")&amp;", p_id_tipo_balon =&gt; "&amp;"(SELECT id FROM bal_tipo_balon WHERE upper(nombre) = upper('"&amp;SUBSTITUTE(TRIM(D53),"'","''")&amp;"') AND estado = 1 LIMIT 1)"&amp;", p_id_producto_gas =&gt; "&amp;"(SELECT id FROM pro_producto WHERE es_gas = TRUE AND upper(nombre) = upper('"&amp;SUBSTITUTE(TRIM(E53),"'","''")&amp;"') AND estado = 1 LIMIT 1)"&amp;", p_id_propietario =&gt; "&amp;IF(TRIM(F53&amp;"")="","NULL","(SELECT lo.id FROM gen_lista_opciones lo JOIN gen_lista l ON l.id = lo.id_lista WHERE l.nombre = 'PropietarioBalon' AND upper(lo.nombre) = upper('"&amp;SUBSTITUTE(TRIM(F53),"'","''")&amp;"') AND lo.estado = 1 LIMIT 1)")&amp;", p_id_cliente_propietario =&gt; "&amp;IF(F53="CLIENTE",IF(TRIM(G53&amp;"")="","NULL","(SELECT id FROM cli_clientes WHERE numero_documento = '"&amp;SUBSTITUTE(TRIM(G53),"'","''")&amp;"' AND estado = 1 LIMIT 1)"),"NULL")&amp;", p_id_planta =&gt; "&amp;IF(F53="PLANTA",IF(TRIM(G53&amp;"")="","NULL","(SELECT id FROM cli_clientes WHERE numero_documento = '"&amp;SUBSTITUTE(TRIM(G53),"'","''")&amp;"'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"&amp;IF(TRIM(J53&amp;"")="","NULL","(SELECT id FROM gen_almacen WHERE upper(nombre) = upper('"&amp;SUBSTITUTE(TRIM(J53),"'","''")&amp;"') AND estado = 1 LIMIT 1)")&amp;", p_id_cliente_ubicacion =&gt; "&amp;IF(TRIM(K53&amp;"")="","NULL","(SELECT id FROM cli_clientes WHERE numero_documento = '"&amp;SUBSTITUTE(TRIM(K53),"'","''")&amp;"' AND estado = 1 LIMIT 1)")&amp;", p_id_referencia =&gt; "&amp;IF(TRIM(J53&amp;"")&lt;&gt;"","(SELECT lo.id FROM gen_lista_opciones lo JOIN gen_lista l ON l.id = lo.id_lista WHERE l.nombre = 'ReferenciaCilindro' AND upper(lo.nombre) = 'ALMACEN' AND lo.estado = 1 LIMIT 1)",IF(TRIM(K53&amp;"")&lt;&gt;"","(SELECT lo.id FROM gen_lista_opciones lo JOIN gen_lista l ON l.id = lo.id_lista WHERE l.nombre = 'ReferenciaCilindro' AND upper(lo.nombre) = 'CLIENTE' AND lo.estado = 1 LIMIT 1)","NULL"))&amp;", p_anio_fabricacion =&gt; "&amp;IF(M53&amp;""="","NULL::smallint",M53&amp;"::smallint")&amp;", p_mes_fabricacion =&gt; "&amp;IF(N53&amp;""="","NULL::smallint",N53&amp;"::smallint")&amp;", p_fecha_ultima_prueba_hidrostatica =&gt; "&amp;IF(O53&amp;""="","NULL","'"&amp;YEAR(O53)&amp;"-"&amp;TEXT(MONTH(O53),"00")&amp;"-"&amp;TEXT(DAY(O53),"00")&amp;"'")&amp;", p_numero_serie =&gt; "&amp;IF(TRIM(Q53&amp;"")="","NULL","'"&amp;SUBSTITUTE(TRIM(Q53),"'","''")&amp;"'")&amp;", p_id_marca_cilindro =&gt; "&amp;IF(TRIM(R53&amp;"")="","NULL","(SELECT lo.id FROM gen_lista_opciones lo JOIN gen_lista l ON l.id = lo.id_lista WHERE l.nombre = 'MarcaCilindro' AND upper(lo.nombre) = upper('"&amp;SUBSTITUTE(TRIM(R53),"'","''")&amp;"') AND lo.estado = 1 LIMIT 1)")&amp;", p_id_organo_inspector =&gt; "&amp;IF(TRIM(S53&amp;"")="","NULL","(SELECT lo.id FROM gen_lista_opciones lo JOIN gen_lista l ON l.id = lo.id_lista WHERE l.nombre = 'OrganoInspectorCilindro' AND upper(lo.nombre) = upper('"&amp;SUBSTITUTE(TRIM(S53),"'","''")&amp;"') AND lo.estado = 1 LIMIT 1)")&amp;", p_organo_inspector_no_aplica =&gt; "&amp;IF(S53="NO_APLICA","TRUE","FALSE")&amp;", p_presion_actual =&gt; "&amp;IF(T53&amp;""="","NULL",SUBSTITUTE(T53&amp;"",",","."))&amp;", p_tipo_valvula =&gt; "&amp;IF(TRIM(U53&amp;"")="","NULL","'"&amp;SUBSTITUTE(TRIM(U53),"'","''")&amp;"'")&amp;", p_libro_cilindro =&gt; "&amp;IF(TRIM(V53&amp;"")="","NULL","'"&amp;SUBSTITUTE(TRIM(V53),"'","''")&amp;"'")&amp;", p_pagina_libro =&gt; "&amp;IF(W53&amp;""="","NULL",SUBSTITUTE(W53&amp;"",",","."))&amp;", p_observacion =&gt; "&amp;IF(TRIM(X53&amp;"")="","NULL","'"&amp;SUBSTITUTE(TRIM(X53),"'","''")&amp;"'")&amp;") AS resultado_balon_"&amp;ROW()&amp;";")</f>
        <v/>
      </c>
    </row>
    <row r="54" ht="15.75" customHeight="1" s="64">
      <c r="A54" s="36" t="inlineStr">
        <is>
          <t>50</t>
        </is>
      </c>
      <c r="B54" s="25">
        <f>IF(AND(C54="",D54="",E54=""),"",IF(C54="","FALTA código balón",IF(D54="","FALTA tipo balón",IF(E54="","FALTA gas",IF(F54="","FALTA propietario",IF(AND(C54&lt;&gt;"",SUMPRODUCT(--($C$5:$C$1200=C54))&gt;1),"CÓDIGO BALÓN DUPLICADO",IF(AND(OR(UPPER(F54)="PLANTA",UPPER(F54)="CLIENTE"),G54=""),"FALTA doc propietario/planta",IF(AND(UPPER(F54)="PLANTA",G54="10175332796"),"PLANTA no puede ser RUC empresa","OK"))))))))</f>
        <v/>
      </c>
      <c r="C54" s="23" t="inlineStr">
        <is>
          <t>20K463096</t>
        </is>
      </c>
      <c r="D54" s="17" t="inlineStr">
        <is>
          <t>Nitrógeno 10 m³</t>
        </is>
      </c>
      <c r="E54" s="17" t="inlineStr">
        <is>
          <t>NITROGENO</t>
        </is>
      </c>
      <c r="F54" s="17" t="inlineStr">
        <is>
          <t>EMPRESA</t>
        </is>
      </c>
      <c r="G54" s="23" t="inlineStr">
        <is>
          <t>10175332796</t>
        </is>
      </c>
      <c r="H54" s="25" t="inlineStr">
        <is>
          <t>OXIGENO SARITA</t>
        </is>
      </c>
      <c r="I54" s="17" t="inlineStr">
        <is>
          <t>EN_PODER_CLIENTE</t>
        </is>
      </c>
      <c r="J54" s="17" t="n"/>
      <c r="K54" s="26" t="inlineStr">
        <is>
          <t>20602694853</t>
        </is>
      </c>
      <c r="L54" s="25">
        <f t="array" ref="L54">IF(K54="","",IFERROR(IF(INDEX(Clientes!$D$5:$D$549,MATCH(K54,Clientes!$C$5:$C$549,0))&lt;&gt;"",INDEX(Clientes!$D$5:$D$549,MATCH(K54,Clientes!$C$5:$C$549,0)),TRIM(INDEX(Clientes!$E$5:$E$549,MATCH(K54,Clientes!$C$5:$C$549,0))&amp;" "&amp;INDEX(Clientes!$F$5:$F$549,MATCH(K54,Clientes!$C$5:$C$549,0)))),"NO EXISTE en Clientes"))</f>
        <v/>
      </c>
      <c r="M54" s="17" t="n"/>
      <c r="N54" s="17" t="n"/>
      <c r="O54" s="42" t="n"/>
      <c r="P54" s="39">
        <f>IF(O54&lt;&gt;"",DATE(YEAR(O54)+5,MONTH(O54),1),IF(AND(M54&lt;&gt;"",N54&lt;&gt;""),DATE(M54+5,N54,1),""))</f>
        <v/>
      </c>
      <c r="Q54" s="23" t="n"/>
      <c r="R54" s="17" t="n"/>
      <c r="S54" s="17" t="n"/>
      <c r="T54" s="17" t="n"/>
      <c r="U54" s="17" t="n"/>
      <c r="V54" s="23" t="n"/>
      <c r="W54" s="17" t="n"/>
      <c r="X54" s="17" t="n"/>
      <c r="Y54" s="28">
        <f>IF(B54&lt;&gt;"OK","","SELECT bal_crear_balon(p_codigo_balon =&gt; "&amp;IF(TRIM(C54&amp;"")="","NULL","'"&amp;SUBSTITUTE(TRIM(C54),"'","''")&amp;"'")&amp;", p_id_tipo_balon =&gt; "&amp;"(SELECT id FROM bal_tipo_balon WHERE upper(nombre) = upper('"&amp;SUBSTITUTE(TRIM(D54),"'","''")&amp;"') AND estado = 1 LIMIT 1)"&amp;", p_id_producto_gas =&gt; "&amp;"(SELECT id FROM pro_producto WHERE es_gas = TRUE AND upper(nombre) = upper('"&amp;SUBSTITUTE(TRIM(E54),"'","''")&amp;"') AND estado = 1 LIMIT 1)"&amp;", p_id_propietario =&gt; "&amp;IF(TRIM(F54&amp;"")="","NULL","(SELECT lo.id FROM gen_lista_opciones lo JOIN gen_lista l ON l.id = lo.id_lista WHERE l.nombre = 'PropietarioBalon' AND upper(lo.nombre) = upper('"&amp;SUBSTITUTE(TRIM(F54),"'","''")&amp;"') AND lo.estado = 1 LIMIT 1)")&amp;", p_id_cliente_propietario =&gt; "&amp;IF(F54="CLIENTE",IF(TRIM(G54&amp;"")="","NULL","(SELECT id FROM cli_clientes WHERE numero_documento = '"&amp;SUBSTITUTE(TRIM(G54),"'","''")&amp;"' AND estado = 1 LIMIT 1)"),"NULL")&amp;", p_id_planta =&gt; "&amp;IF(F54="PLANTA",IF(TRIM(G54&amp;"")="","NULL","(SELECT id FROM cli_clientes WHERE numero_documento = '"&amp;SUBSTITUTE(TRIM(G54),"'","''")&amp;"'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"&amp;IF(TRIM(J54&amp;"")="","NULL","(SELECT id FROM gen_almacen WHERE upper(nombre) = upper('"&amp;SUBSTITUTE(TRIM(J54),"'","''")&amp;"') AND estado = 1 LIMIT 1)")&amp;", p_id_cliente_ubicacion =&gt; "&amp;IF(TRIM(K54&amp;"")="","NULL","(SELECT id FROM cli_clientes WHERE numero_documento = '"&amp;SUBSTITUTE(TRIM(K54),"'","''")&amp;"' AND estado = 1 LIMIT 1)")&amp;", p_id_referencia =&gt; "&amp;IF(TRIM(J54&amp;"")&lt;&gt;"","(SELECT lo.id FROM gen_lista_opciones lo JOIN gen_lista l ON l.id = lo.id_lista WHERE l.nombre = 'ReferenciaCilindro' AND upper(lo.nombre) = 'ALMACEN' AND lo.estado = 1 LIMIT 1)",IF(TRIM(K54&amp;"")&lt;&gt;"","(SELECT lo.id FROM gen_lista_opciones lo JOIN gen_lista l ON l.id = lo.id_lista WHERE l.nombre = 'ReferenciaCilindro' AND upper(lo.nombre) = 'CLIENTE' AND lo.estado = 1 LIMIT 1)","NULL"))&amp;", p_anio_fabricacion =&gt; "&amp;IF(M54&amp;""="","NULL::smallint",M54&amp;"::smallint")&amp;", p_mes_fabricacion =&gt; "&amp;IF(N54&amp;""="","NULL::smallint",N54&amp;"::smallint")&amp;", p_fecha_ultima_prueba_hidrostatica =&gt; "&amp;IF(O54&amp;""="","NULL","'"&amp;YEAR(O54)&amp;"-"&amp;TEXT(MONTH(O54),"00")&amp;"-"&amp;TEXT(DAY(O54),"00")&amp;"'")&amp;", p_numero_serie =&gt; "&amp;IF(TRIM(Q54&amp;"")="","NULL","'"&amp;SUBSTITUTE(TRIM(Q54),"'","''")&amp;"'")&amp;", p_id_marca_cilindro =&gt; "&amp;IF(TRIM(R54&amp;"")="","NULL","(SELECT lo.id FROM gen_lista_opciones lo JOIN gen_lista l ON l.id = lo.id_lista WHERE l.nombre = 'MarcaCilindro' AND upper(lo.nombre) = upper('"&amp;SUBSTITUTE(TRIM(R54),"'","''")&amp;"') AND lo.estado = 1 LIMIT 1)")&amp;", p_id_organo_inspector =&gt; "&amp;IF(TRIM(S54&amp;"")="","NULL","(SELECT lo.id FROM gen_lista_opciones lo JOIN gen_lista l ON l.id = lo.id_lista WHERE l.nombre = 'OrganoInspectorCilindro' AND upper(lo.nombre) = upper('"&amp;SUBSTITUTE(TRIM(S54),"'","''")&amp;"') AND lo.estado = 1 LIMIT 1)")&amp;", p_organo_inspector_no_aplica =&gt; "&amp;IF(S54="NO_APLICA","TRUE","FALSE")&amp;", p_presion_actual =&gt; "&amp;IF(T54&amp;""="","NULL",SUBSTITUTE(T54&amp;"",",","."))&amp;", p_tipo_valvula =&gt; "&amp;IF(TRIM(U54&amp;"")="","NULL","'"&amp;SUBSTITUTE(TRIM(U54),"'","''")&amp;"'")&amp;", p_libro_cilindro =&gt; "&amp;IF(TRIM(V54&amp;"")="","NULL","'"&amp;SUBSTITUTE(TRIM(V54),"'","''")&amp;"'")&amp;", p_pagina_libro =&gt; "&amp;IF(W54&amp;""="","NULL",SUBSTITUTE(W54&amp;"",",","."))&amp;", p_observacion =&gt; "&amp;IF(TRIM(X54&amp;"")="","NULL","'"&amp;SUBSTITUTE(TRIM(X54),"'","''")&amp;"'")&amp;") AS resultado_balon_"&amp;ROW()&amp;";")</f>
        <v/>
      </c>
    </row>
    <row r="55" ht="15.75" customHeight="1" s="64">
      <c r="A55" s="36" t="inlineStr">
        <is>
          <t>51</t>
        </is>
      </c>
      <c r="B55" s="25">
        <f>IF(AND(C55="",D55="",E55=""),"",IF(C55="","FALTA código balón",IF(D55="","FALTA tipo balón",IF(E55="","FALTA gas",IF(F55="","FALTA propietario",IF(AND(C55&lt;&gt;"",SUMPRODUCT(--($C$5:$C$1200=C55))&gt;1),"CÓDIGO BALÓN DUPLICADO",IF(AND(OR(UPPER(F55)="PLANTA",UPPER(F55)="CLIENTE"),G55=""),"FALTA doc propietario/planta",IF(AND(UPPER(F55)="PLANTA",G55="10175332796"),"PLANTA no puede ser RUC empresa","OK"))))))))</f>
        <v/>
      </c>
      <c r="C55" s="23" t="inlineStr">
        <is>
          <t>22K034144</t>
        </is>
      </c>
      <c r="D55" s="17" t="inlineStr">
        <is>
          <t>Nitrógeno 10 m³</t>
        </is>
      </c>
      <c r="E55" s="17" t="inlineStr">
        <is>
          <t>NITROGENO</t>
        </is>
      </c>
      <c r="F55" s="17" t="inlineStr">
        <is>
          <t>EMPRESA</t>
        </is>
      </c>
      <c r="G55" s="23" t="inlineStr">
        <is>
          <t>10175332796</t>
        </is>
      </c>
      <c r="H55" s="25" t="inlineStr">
        <is>
          <t>OXIGENO SARITA</t>
        </is>
      </c>
      <c r="I55" s="17" t="inlineStr">
        <is>
          <t>EN_PODER_CLIENTE</t>
        </is>
      </c>
      <c r="J55" s="17" t="n"/>
      <c r="K55" s="26" t="inlineStr">
        <is>
          <t>20103626448</t>
        </is>
      </c>
      <c r="L55" s="25">
        <f t="array" ref="L55">IF(K55="","",IFERROR(IF(INDEX(Clientes!$D$5:$D$549,MATCH(K55,Clientes!$C$5:$C$549,0))&lt;&gt;"",INDEX(Clientes!$D$5:$D$549,MATCH(K55,Clientes!$C$5:$C$549,0)),TRIM(INDEX(Clientes!$E$5:$E$549,MATCH(K55,Clientes!$C$5:$C$549,0))&amp;" "&amp;INDEX(Clientes!$F$5:$F$549,MATCH(K55,Clientes!$C$5:$C$549,0)))),"NO EXISTE en Clientes"))</f>
        <v/>
      </c>
      <c r="M55" s="17" t="n"/>
      <c r="N55" s="17" t="n"/>
      <c r="O55" s="42" t="n"/>
      <c r="P55" s="39">
        <f>IF(O55&lt;&gt;"",DATE(YEAR(O55)+5,MONTH(O55),1),IF(AND(M55&lt;&gt;"",N55&lt;&gt;""),DATE(M55+5,N55,1),""))</f>
        <v/>
      </c>
      <c r="Q55" s="23" t="n"/>
      <c r="R55" s="17" t="n"/>
      <c r="S55" s="17" t="n"/>
      <c r="T55" s="17" t="n"/>
      <c r="U55" s="17" t="n"/>
      <c r="V55" s="23" t="n"/>
      <c r="W55" s="17" t="n"/>
      <c r="X55" s="17" t="n"/>
      <c r="Y55" s="28">
        <f>IF(B55&lt;&gt;"OK","","SELECT bal_crear_balon(p_codigo_balon =&gt; "&amp;IF(TRIM(C55&amp;"")="","NULL","'"&amp;SUBSTITUTE(TRIM(C55),"'","''")&amp;"'")&amp;", p_id_tipo_balon =&gt; "&amp;"(SELECT id FROM bal_tipo_balon WHERE upper(nombre) = upper('"&amp;SUBSTITUTE(TRIM(D55),"'","''")&amp;"') AND estado = 1 LIMIT 1)"&amp;", p_id_producto_gas =&gt; "&amp;"(SELECT id FROM pro_producto WHERE es_gas = TRUE AND upper(nombre) = upper('"&amp;SUBSTITUTE(TRIM(E55),"'","''")&amp;"') AND estado = 1 LIMIT 1)"&amp;", p_id_propietario =&gt; "&amp;IF(TRIM(F55&amp;"")="","NULL","(SELECT lo.id FROM gen_lista_opciones lo JOIN gen_lista l ON l.id = lo.id_lista WHERE l.nombre = 'PropietarioBalon' AND upper(lo.nombre) = upper('"&amp;SUBSTITUTE(TRIM(F55),"'","''")&amp;"') AND lo.estado = 1 LIMIT 1)")&amp;", p_id_cliente_propietario =&gt; "&amp;IF(F55="CLIENTE",IF(TRIM(G55&amp;"")="","NULL","(SELECT id FROM cli_clientes WHERE numero_documento = '"&amp;SUBSTITUTE(TRIM(G55),"'","''")&amp;"' AND estado = 1 LIMIT 1)"),"NULL")&amp;", p_id_planta =&gt; "&amp;IF(F55="PLANTA",IF(TRIM(G55&amp;"")="","NULL","(SELECT id FROM cli_clientes WHERE numero_documento = '"&amp;SUBSTITUTE(TRIM(G55),"'","''")&amp;"'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"&amp;IF(TRIM(J55&amp;"")="","NULL","(SELECT id FROM gen_almacen WHERE upper(nombre) = upper('"&amp;SUBSTITUTE(TRIM(J55),"'","''")&amp;"') AND estado = 1 LIMIT 1)")&amp;", p_id_cliente_ubicacion =&gt; "&amp;IF(TRIM(K55&amp;"")="","NULL","(SELECT id FROM cli_clientes WHERE numero_documento = '"&amp;SUBSTITUTE(TRIM(K55),"'","''")&amp;"' AND estado = 1 LIMIT 1)")&amp;", p_id_referencia =&gt; "&amp;IF(TRIM(J55&amp;"")&lt;&gt;"","(SELECT lo.id FROM gen_lista_opciones lo JOIN gen_lista l ON l.id = lo.id_lista WHERE l.nombre = 'ReferenciaCilindro' AND upper(lo.nombre) = 'ALMACEN' AND lo.estado = 1 LIMIT 1)",IF(TRIM(K55&amp;"")&lt;&gt;"","(SELECT lo.id FROM gen_lista_opciones lo JOIN gen_lista l ON l.id = lo.id_lista WHERE l.nombre = 'ReferenciaCilindro' AND upper(lo.nombre) = 'CLIENTE' AND lo.estado = 1 LIMIT 1)","NULL"))&amp;", p_anio_fabricacion =&gt; "&amp;IF(M55&amp;""="","NULL::smallint",M55&amp;"::smallint")&amp;", p_mes_fabricacion =&gt; "&amp;IF(N55&amp;""="","NULL::smallint",N55&amp;"::smallint")&amp;", p_fecha_ultima_prueba_hidrostatica =&gt; "&amp;IF(O55&amp;""="","NULL","'"&amp;YEAR(O55)&amp;"-"&amp;TEXT(MONTH(O55),"00")&amp;"-"&amp;TEXT(DAY(O55),"00")&amp;"'")&amp;", p_numero_serie =&gt; "&amp;IF(TRIM(Q55&amp;"")="","NULL","'"&amp;SUBSTITUTE(TRIM(Q55),"'","''")&amp;"'")&amp;", p_id_marca_cilindro =&gt; "&amp;IF(TRIM(R55&amp;"")="","NULL","(SELECT lo.id FROM gen_lista_opciones lo JOIN gen_lista l ON l.id = lo.id_lista WHERE l.nombre = 'MarcaCilindro' AND upper(lo.nombre) = upper('"&amp;SUBSTITUTE(TRIM(R55),"'","''")&amp;"') AND lo.estado = 1 LIMIT 1)")&amp;", p_id_organo_inspector =&gt; "&amp;IF(TRIM(S55&amp;"")="","NULL","(SELECT lo.id FROM gen_lista_opciones lo JOIN gen_lista l ON l.id = lo.id_lista WHERE l.nombre = 'OrganoInspectorCilindro' AND upper(lo.nombre) = upper('"&amp;SUBSTITUTE(TRIM(S55),"'","''")&amp;"') AND lo.estado = 1 LIMIT 1)")&amp;", p_organo_inspector_no_aplica =&gt; "&amp;IF(S55="NO_APLICA","TRUE","FALSE")&amp;", p_presion_actual =&gt; "&amp;IF(T55&amp;""="","NULL",SUBSTITUTE(T55&amp;"",",","."))&amp;", p_tipo_valvula =&gt; "&amp;IF(TRIM(U55&amp;"")="","NULL","'"&amp;SUBSTITUTE(TRIM(U55),"'","''")&amp;"'")&amp;", p_libro_cilindro =&gt; "&amp;IF(TRIM(V55&amp;"")="","NULL","'"&amp;SUBSTITUTE(TRIM(V55),"'","''")&amp;"'")&amp;", p_pagina_libro =&gt; "&amp;IF(W55&amp;""="","NULL",SUBSTITUTE(W55&amp;"",",","."))&amp;", p_observacion =&gt; "&amp;IF(TRIM(X55&amp;"")="","NULL","'"&amp;SUBSTITUTE(TRIM(X55),"'","''")&amp;"'")&amp;") AS resultado_balon_"&amp;ROW()&amp;";")</f>
        <v/>
      </c>
    </row>
    <row r="56" ht="15.75" customHeight="1" s="64">
      <c r="A56" s="36" t="inlineStr">
        <is>
          <t>52</t>
        </is>
      </c>
      <c r="B56" s="25">
        <f>IF(AND(C56="",D56="",E56=""),"",IF(C56="","FALTA código balón",IF(D56="","FALTA tipo balón",IF(E56="","FALTA gas",IF(F56="","FALTA propietario",IF(AND(C56&lt;&gt;"",SUMPRODUCT(--($C$5:$C$1200=C56))&gt;1),"CÓDIGO BALÓN DUPLICADO",IF(AND(OR(UPPER(F56)="PLANTA",UPPER(F56)="CLIENTE"),G56=""),"FALTA doc propietario/planta",IF(AND(UPPER(F56)="PLANTA",G56="10175332796"),"PLANTA no puede ser RUC empresa","OK"))))))))</f>
        <v/>
      </c>
      <c r="C56" s="23" t="inlineStr">
        <is>
          <t>20K625109</t>
        </is>
      </c>
      <c r="D56" s="17" t="inlineStr">
        <is>
          <t>Nitrógeno 10 m³</t>
        </is>
      </c>
      <c r="E56" s="17" t="inlineStr">
        <is>
          <t>NITROGENO</t>
        </is>
      </c>
      <c r="F56" s="17" t="inlineStr">
        <is>
          <t>EMPRESA</t>
        </is>
      </c>
      <c r="G56" s="23" t="inlineStr">
        <is>
          <t>10175332796</t>
        </is>
      </c>
      <c r="H56" s="25" t="inlineStr">
        <is>
          <t>OXIGENO SARITA</t>
        </is>
      </c>
      <c r="I56" s="17" t="inlineStr">
        <is>
          <t>EN_PODER_CLIENTE</t>
        </is>
      </c>
      <c r="J56" s="17" t="n"/>
      <c r="K56" s="26" t="inlineStr">
        <is>
          <t>20480725931</t>
        </is>
      </c>
      <c r="L56" s="25">
        <f t="array" ref="L56">IF(K56="","",IFERROR(IF(INDEX(Clientes!$D$5:$D$549,MATCH(K56,Clientes!$C$5:$C$549,0))&lt;&gt;"",INDEX(Clientes!$D$5:$D$549,MATCH(K56,Clientes!$C$5:$C$549,0)),TRIM(INDEX(Clientes!$E$5:$E$549,MATCH(K56,Clientes!$C$5:$C$549,0))&amp;" "&amp;INDEX(Clientes!$F$5:$F$549,MATCH(K56,Clientes!$C$5:$C$549,0)))),"NO EXISTE en Clientes"))</f>
        <v/>
      </c>
      <c r="M56" s="17" t="n"/>
      <c r="N56" s="17" t="n"/>
      <c r="O56" s="42" t="n"/>
      <c r="P56" s="39">
        <f>IF(O56&lt;&gt;"",DATE(YEAR(O56)+5,MONTH(O56),1),IF(AND(M56&lt;&gt;"",N56&lt;&gt;""),DATE(M56+5,N56,1),""))</f>
        <v/>
      </c>
      <c r="Q56" s="23" t="n"/>
      <c r="R56" s="17" t="n"/>
      <c r="S56" s="17" t="n"/>
      <c r="T56" s="17" t="n"/>
      <c r="U56" s="17" t="n"/>
      <c r="V56" s="23" t="n"/>
      <c r="W56" s="17" t="n"/>
      <c r="X56" s="17" t="n"/>
      <c r="Y56" s="28">
        <f>IF(B56&lt;&gt;"OK","","SELECT bal_crear_balon(p_codigo_balon =&gt; "&amp;IF(TRIM(C56&amp;"")="","NULL","'"&amp;SUBSTITUTE(TRIM(C56),"'","''")&amp;"'")&amp;", p_id_tipo_balon =&gt; "&amp;"(SELECT id FROM bal_tipo_balon WHERE upper(nombre) = upper('"&amp;SUBSTITUTE(TRIM(D56),"'","''")&amp;"') AND estado = 1 LIMIT 1)"&amp;", p_id_producto_gas =&gt; "&amp;"(SELECT id FROM pro_producto WHERE es_gas = TRUE AND upper(nombre) = upper('"&amp;SUBSTITUTE(TRIM(E56),"'","''")&amp;"') AND estado = 1 LIMIT 1)"&amp;", p_id_propietario =&gt; "&amp;IF(TRIM(F56&amp;"")="","NULL","(SELECT lo.id FROM gen_lista_opciones lo JOIN gen_lista l ON l.id = lo.id_lista WHERE l.nombre = 'PropietarioBalon' AND upper(lo.nombre) = upper('"&amp;SUBSTITUTE(TRIM(F56),"'","''")&amp;"') AND lo.estado = 1 LIMIT 1)")&amp;", p_id_cliente_propietario =&gt; "&amp;IF(F56="CLIENTE",IF(TRIM(G56&amp;"")="","NULL","(SELECT id FROM cli_clientes WHERE numero_documento = '"&amp;SUBSTITUTE(TRIM(G56),"'","''")&amp;"' AND estado = 1 LIMIT 1)"),"NULL")&amp;", p_id_planta =&gt; "&amp;IF(F56="PLANTA",IF(TRIM(G56&amp;"")="","NULL","(SELECT id FROM cli_clientes WHERE numero_documento = '"&amp;SUBSTITUTE(TRIM(G56),"'","''")&amp;"'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"&amp;IF(TRIM(J56&amp;"")="","NULL","(SELECT id FROM gen_almacen WHERE upper(nombre) = upper('"&amp;SUBSTITUTE(TRIM(J56),"'","''")&amp;"') AND estado = 1 LIMIT 1)")&amp;", p_id_cliente_ubicacion =&gt; "&amp;IF(TRIM(K56&amp;"")="","NULL","(SELECT id FROM cli_clientes WHERE numero_documento = '"&amp;SUBSTITUTE(TRIM(K56),"'","''")&amp;"' AND estado = 1 LIMIT 1)")&amp;", p_id_referencia =&gt; "&amp;IF(TRIM(J56&amp;"")&lt;&gt;"","(SELECT lo.id FROM gen_lista_opciones lo JOIN gen_lista l ON l.id = lo.id_lista WHERE l.nombre = 'ReferenciaCilindro' AND upper(lo.nombre) = 'ALMACEN' AND lo.estado = 1 LIMIT 1)",IF(TRIM(K56&amp;"")&lt;&gt;"","(SELECT lo.id FROM gen_lista_opciones lo JOIN gen_lista l ON l.id = lo.id_lista WHERE l.nombre = 'ReferenciaCilindro' AND upper(lo.nombre) = 'CLIENTE' AND lo.estado = 1 LIMIT 1)","NULL"))&amp;", p_anio_fabricacion =&gt; "&amp;IF(M56&amp;""="","NULL::smallint",M56&amp;"::smallint")&amp;", p_mes_fabricacion =&gt; "&amp;IF(N56&amp;""="","NULL::smallint",N56&amp;"::smallint")&amp;", p_fecha_ultima_prueba_hidrostatica =&gt; "&amp;IF(O56&amp;""="","NULL","'"&amp;YEAR(O56)&amp;"-"&amp;TEXT(MONTH(O56),"00")&amp;"-"&amp;TEXT(DAY(O56),"00")&amp;"'")&amp;", p_numero_serie =&gt; "&amp;IF(TRIM(Q56&amp;"")="","NULL","'"&amp;SUBSTITUTE(TRIM(Q56),"'","''")&amp;"'")&amp;", p_id_marca_cilindro =&gt; "&amp;IF(TRIM(R56&amp;"")="","NULL","(SELECT lo.id FROM gen_lista_opciones lo JOIN gen_lista l ON l.id = lo.id_lista WHERE l.nombre = 'MarcaCilindro' AND upper(lo.nombre) = upper('"&amp;SUBSTITUTE(TRIM(R56),"'","''")&amp;"') AND lo.estado = 1 LIMIT 1)")&amp;", p_id_organo_inspector =&gt; "&amp;IF(TRIM(S56&amp;"")="","NULL","(SELECT lo.id FROM gen_lista_opciones lo JOIN gen_lista l ON l.id = lo.id_lista WHERE l.nombre = 'OrganoInspectorCilindro' AND upper(lo.nombre) = upper('"&amp;SUBSTITUTE(TRIM(S56),"'","''")&amp;"') AND lo.estado = 1 LIMIT 1)")&amp;", p_organo_inspector_no_aplica =&gt; "&amp;IF(S56="NO_APLICA","TRUE","FALSE")&amp;", p_presion_actual =&gt; "&amp;IF(T56&amp;""="","NULL",SUBSTITUTE(T56&amp;"",",","."))&amp;", p_tipo_valvula =&gt; "&amp;IF(TRIM(U56&amp;"")="","NULL","'"&amp;SUBSTITUTE(TRIM(U56),"'","''")&amp;"'")&amp;", p_libro_cilindro =&gt; "&amp;IF(TRIM(V56&amp;"")="","NULL","'"&amp;SUBSTITUTE(TRIM(V56),"'","''")&amp;"'")&amp;", p_pagina_libro =&gt; "&amp;IF(W56&amp;""="","NULL",SUBSTITUTE(W56&amp;"",",","."))&amp;", p_observacion =&gt; "&amp;IF(TRIM(X56&amp;"")="","NULL","'"&amp;SUBSTITUTE(TRIM(X56),"'","''")&amp;"'")&amp;") AS resultado_balon_"&amp;ROW()&amp;";")</f>
        <v/>
      </c>
    </row>
    <row r="57" ht="15.75" customHeight="1" s="64">
      <c r="A57" s="36" t="inlineStr">
        <is>
          <t>53</t>
        </is>
      </c>
      <c r="B57" s="25">
        <f>IF(AND(C57="",D57="",E57=""),"",IF(C57="","FALTA código balón",IF(D57="","FALTA tipo balón",IF(E57="","FALTA gas",IF(F57="","FALTA propietario",IF(AND(C57&lt;&gt;"",SUMPRODUCT(--($C$5:$C$1200=C57))&gt;1),"CÓDIGO BALÓN DUPLICADO",IF(AND(OR(UPPER(F57)="PLANTA",UPPER(F57)="CLIENTE"),G57=""),"FALTA doc propietario/planta",IF(AND(UPPER(F57)="PLANTA",G57="10175332796"),"PLANTA no puede ser RUC empresa","OK"))))))))</f>
        <v/>
      </c>
      <c r="C57" s="23" t="inlineStr">
        <is>
          <t>K5409156</t>
        </is>
      </c>
      <c r="D57" s="17" t="inlineStr">
        <is>
          <t>Nitrógeno 10 m³</t>
        </is>
      </c>
      <c r="E57" s="17" t="inlineStr">
        <is>
          <t>NITROGENO</t>
        </is>
      </c>
      <c r="F57" s="17" t="inlineStr">
        <is>
          <t>EMPRESA</t>
        </is>
      </c>
      <c r="G57" s="23" t="inlineStr">
        <is>
          <t>10175332796</t>
        </is>
      </c>
      <c r="H57" s="25" t="inlineStr">
        <is>
          <t>OXIGENO SARITA</t>
        </is>
      </c>
      <c r="I57" s="17" t="inlineStr">
        <is>
          <t>DISPONIBLE</t>
        </is>
      </c>
      <c r="J57" s="17" t="inlineStr">
        <is>
          <t>ALMACEN PRINCIPAL</t>
        </is>
      </c>
      <c r="K57" s="26" t="n"/>
      <c r="L57" s="25">
        <f t="array" ref="L57">IF(K57="","",IFERROR(IF(INDEX(Clientes!$D$5:$D$549,MATCH(K57,Clientes!$C$5:$C$549,0))&lt;&gt;"",INDEX(Clientes!$D$5:$D$549,MATCH(K57,Clientes!$C$5:$C$549,0)),TRIM(INDEX(Clientes!$E$5:$E$549,MATCH(K57,Clientes!$C$5:$C$549,0))&amp;" "&amp;INDEX(Clientes!$F$5:$F$549,MATCH(K57,Clientes!$C$5:$C$549,0)))),"NO EXISTE en Clientes"))</f>
        <v/>
      </c>
      <c r="M57" s="17" t="n"/>
      <c r="N57" s="17" t="n"/>
      <c r="O57" s="42" t="n"/>
      <c r="P57" s="39">
        <f>IF(O57&lt;&gt;"",DATE(YEAR(O57)+5,MONTH(O57),1),IF(AND(M57&lt;&gt;"",N57&lt;&gt;""),DATE(M57+5,N57,1),""))</f>
        <v/>
      </c>
      <c r="Q57" s="23" t="n"/>
      <c r="R57" s="17" t="n"/>
      <c r="S57" s="17" t="n"/>
      <c r="T57" s="17" t="n"/>
      <c r="U57" s="17" t="n"/>
      <c r="V57" s="23" t="n"/>
      <c r="W57" s="17" t="n"/>
      <c r="X57" s="17" t="n"/>
      <c r="Y57" s="28">
        <f>IF(B57&lt;&gt;"OK","","SELECT bal_crear_balon(p_codigo_balon =&gt; "&amp;IF(TRIM(C57&amp;"")="","NULL","'"&amp;SUBSTITUTE(TRIM(C57),"'","''")&amp;"'")&amp;", p_id_tipo_balon =&gt; "&amp;"(SELECT id FROM bal_tipo_balon WHERE upper(nombre) = upper('"&amp;SUBSTITUTE(TRIM(D57),"'","''")&amp;"') AND estado = 1 LIMIT 1)"&amp;", p_id_producto_gas =&gt; "&amp;"(SELECT id FROM pro_producto WHERE es_gas = TRUE AND upper(nombre) = upper('"&amp;SUBSTITUTE(TRIM(E57),"'","''")&amp;"') AND estado = 1 LIMIT 1)"&amp;", p_id_propietario =&gt; "&amp;IF(TRIM(F57&amp;"")="","NULL","(SELECT lo.id FROM gen_lista_opciones lo JOIN gen_lista l ON l.id = lo.id_lista WHERE l.nombre = 'PropietarioBalon' AND upper(lo.nombre) = upper('"&amp;SUBSTITUTE(TRIM(F57),"'","''")&amp;"') AND lo.estado = 1 LIMIT 1)")&amp;", p_id_cliente_propietario =&gt; "&amp;IF(F57="CLIENTE",IF(TRIM(G57&amp;"")="","NULL","(SELECT id FROM cli_clientes WHERE numero_documento = '"&amp;SUBSTITUTE(TRIM(G57),"'","''")&amp;"' AND estado = 1 LIMIT 1)"),"NULL")&amp;", p_id_planta =&gt; "&amp;IF(F57="PLANTA",IF(TRIM(G57&amp;"")="","NULL","(SELECT id FROM cli_clientes WHERE numero_documento = '"&amp;SUBSTITUTE(TRIM(G57),"'","''")&amp;"'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"&amp;IF(TRIM(J57&amp;"")="","NULL","(SELECT id FROM gen_almacen WHERE upper(nombre) = upper('"&amp;SUBSTITUTE(TRIM(J57),"'","''")&amp;"') AND estado = 1 LIMIT 1)")&amp;", p_id_cliente_ubicacion =&gt; "&amp;IF(TRIM(K57&amp;"")="","NULL","(SELECT id FROM cli_clientes WHERE numero_documento = '"&amp;SUBSTITUTE(TRIM(K57),"'","''")&amp;"' AND estado = 1 LIMIT 1)")&amp;", p_id_referencia =&gt; "&amp;IF(TRIM(J57&amp;"")&lt;&gt;"","(SELECT lo.id FROM gen_lista_opciones lo JOIN gen_lista l ON l.id = lo.id_lista WHERE l.nombre = 'ReferenciaCilindro' AND upper(lo.nombre) = 'ALMACEN' AND lo.estado = 1 LIMIT 1)",IF(TRIM(K57&amp;"")&lt;&gt;"","(SELECT lo.id FROM gen_lista_opciones lo JOIN gen_lista l ON l.id = lo.id_lista WHERE l.nombre = 'ReferenciaCilindro' AND upper(lo.nombre) = 'CLIENTE' AND lo.estado = 1 LIMIT 1)","NULL"))&amp;", p_anio_fabricacion =&gt; "&amp;IF(M57&amp;""="","NULL::smallint",M57&amp;"::smallint")&amp;", p_mes_fabricacion =&gt; "&amp;IF(N57&amp;""="","NULL::smallint",N57&amp;"::smallint")&amp;", p_fecha_ultima_prueba_hidrostatica =&gt; "&amp;IF(O57&amp;""="","NULL","'"&amp;YEAR(O57)&amp;"-"&amp;TEXT(MONTH(O57),"00")&amp;"-"&amp;TEXT(DAY(O57),"00")&amp;"'")&amp;", p_numero_serie =&gt; "&amp;IF(TRIM(Q57&amp;"")="","NULL","'"&amp;SUBSTITUTE(TRIM(Q57),"'","''")&amp;"'")&amp;", p_id_marca_cilindro =&gt; "&amp;IF(TRIM(R57&amp;"")="","NULL","(SELECT lo.id FROM gen_lista_opciones lo JOIN gen_lista l ON l.id = lo.id_lista WHERE l.nombre = 'MarcaCilindro' AND upper(lo.nombre) = upper('"&amp;SUBSTITUTE(TRIM(R57),"'","''")&amp;"') AND lo.estado = 1 LIMIT 1)")&amp;", p_id_organo_inspector =&gt; "&amp;IF(TRIM(S57&amp;"")="","NULL","(SELECT lo.id FROM gen_lista_opciones lo JOIN gen_lista l ON l.id = lo.id_lista WHERE l.nombre = 'OrganoInspectorCilindro' AND upper(lo.nombre) = upper('"&amp;SUBSTITUTE(TRIM(S57),"'","''")&amp;"') AND lo.estado = 1 LIMIT 1)")&amp;", p_organo_inspector_no_aplica =&gt; "&amp;IF(S57="NO_APLICA","TRUE","FALSE")&amp;", p_presion_actual =&gt; "&amp;IF(T57&amp;""="","NULL",SUBSTITUTE(T57&amp;"",",","."))&amp;", p_tipo_valvula =&gt; "&amp;IF(TRIM(U57&amp;"")="","NULL","'"&amp;SUBSTITUTE(TRIM(U57),"'","''")&amp;"'")&amp;", p_libro_cilindro =&gt; "&amp;IF(TRIM(V57&amp;"")="","NULL","'"&amp;SUBSTITUTE(TRIM(V57),"'","''")&amp;"'")&amp;", p_pagina_libro =&gt; "&amp;IF(W57&amp;""="","NULL",SUBSTITUTE(W57&amp;"",",","."))&amp;", p_observacion =&gt; "&amp;IF(TRIM(X57&amp;"")="","NULL","'"&amp;SUBSTITUTE(TRIM(X57),"'","''")&amp;"'")&amp;") AS resultado_balon_"&amp;ROW()&amp;";")</f>
        <v/>
      </c>
    </row>
    <row r="58" ht="15.75" customHeight="1" s="64">
      <c r="A58" s="36" t="inlineStr">
        <is>
          <t>54</t>
        </is>
      </c>
      <c r="B58" s="25">
        <f>IF(AND(C58="",D58="",E58=""),"",IF(C58="","FALTA código balón",IF(D58="","FALTA tipo balón",IF(E58="","FALTA gas",IF(F58="","FALTA propietario",IF(AND(C58&lt;&gt;"",SUMPRODUCT(--($C$5:$C$1200=C58))&gt;1),"CÓDIGO BALÓN DUPLICADO",IF(AND(OR(UPPER(F58)="PLANTA",UPPER(F58)="CLIENTE"),G58=""),"FALTA doc propietario/planta",IF(AND(UPPER(F58)="PLANTA",G58="10175332796"),"PLANTA no puede ser RUC empresa","OK"))))))))</f>
        <v/>
      </c>
      <c r="C58" s="23" t="inlineStr">
        <is>
          <t>36774047</t>
        </is>
      </c>
      <c r="D58" s="17" t="inlineStr">
        <is>
          <t>Nitrógeno 10 m³</t>
        </is>
      </c>
      <c r="E58" s="17" t="inlineStr">
        <is>
          <t>NITROGENO</t>
        </is>
      </c>
      <c r="F58" s="17" t="inlineStr">
        <is>
          <t>EMPRESA</t>
        </is>
      </c>
      <c r="G58" s="23" t="inlineStr">
        <is>
          <t>10175332796</t>
        </is>
      </c>
      <c r="H58" s="25" t="inlineStr">
        <is>
          <t>OXIGENO SARITA</t>
        </is>
      </c>
      <c r="I58" s="17" t="inlineStr">
        <is>
          <t>EN_PODER_CLIENTE</t>
        </is>
      </c>
      <c r="J58" s="17" t="n"/>
      <c r="K58" s="26" t="inlineStr">
        <is>
          <t>20480725931</t>
        </is>
      </c>
      <c r="L58" s="25">
        <f t="array" ref="L58">IF(K58="","",IFERROR(IF(INDEX(Clientes!$D$5:$D$549,MATCH(K58,Clientes!$C$5:$C$549,0))&lt;&gt;"",INDEX(Clientes!$D$5:$D$549,MATCH(K58,Clientes!$C$5:$C$549,0)),TRIM(INDEX(Clientes!$E$5:$E$549,MATCH(K58,Clientes!$C$5:$C$549,0))&amp;" "&amp;INDEX(Clientes!$F$5:$F$549,MATCH(K58,Clientes!$C$5:$C$549,0)))),"NO EXISTE en Clientes"))</f>
        <v/>
      </c>
      <c r="M58" s="17" t="n"/>
      <c r="N58" s="17" t="n"/>
      <c r="O58" s="42" t="n"/>
      <c r="P58" s="39">
        <f>IF(O58&lt;&gt;"",DATE(YEAR(O58)+5,MONTH(O58),1),IF(AND(M58&lt;&gt;"",N58&lt;&gt;""),DATE(M58+5,N58,1),""))</f>
        <v/>
      </c>
      <c r="Q58" s="23" t="n"/>
      <c r="R58" s="17" t="n"/>
      <c r="S58" s="17" t="n"/>
      <c r="T58" s="17" t="n"/>
      <c r="U58" s="17" t="n"/>
      <c r="V58" s="23" t="n"/>
      <c r="W58" s="17" t="n"/>
      <c r="X58" s="17" t="n"/>
      <c r="Y58" s="28">
        <f>IF(B58&lt;&gt;"OK","","SELECT bal_crear_balon(p_codigo_balon =&gt; "&amp;IF(TRIM(C58&amp;"")="","NULL","'"&amp;SUBSTITUTE(TRIM(C58),"'","''")&amp;"'")&amp;", p_id_tipo_balon =&gt; "&amp;"(SELECT id FROM bal_tipo_balon WHERE upper(nombre) = upper('"&amp;SUBSTITUTE(TRIM(D58),"'","''")&amp;"') AND estado = 1 LIMIT 1)"&amp;", p_id_producto_gas =&gt; "&amp;"(SELECT id FROM pro_producto WHERE es_gas = TRUE AND upper(nombre) = upper('"&amp;SUBSTITUTE(TRIM(E58),"'","''")&amp;"') AND estado = 1 LIMIT 1)"&amp;", p_id_propietario =&gt; "&amp;IF(TRIM(F58&amp;"")="","NULL","(SELECT lo.id FROM gen_lista_opciones lo JOIN gen_lista l ON l.id = lo.id_lista WHERE l.nombre = 'PropietarioBalon' AND upper(lo.nombre) = upper('"&amp;SUBSTITUTE(TRIM(F58),"'","''")&amp;"') AND lo.estado = 1 LIMIT 1)")&amp;", p_id_cliente_propietario =&gt; "&amp;IF(F58="CLIENTE",IF(TRIM(G58&amp;"")="","NULL","(SELECT id FROM cli_clientes WHERE numero_documento = '"&amp;SUBSTITUTE(TRIM(G58),"'","''")&amp;"' AND estado = 1 LIMIT 1)"),"NULL")&amp;", p_id_planta =&gt; "&amp;IF(F58="PLANTA",IF(TRIM(G58&amp;"")="","NULL","(SELECT id FROM cli_clientes WHERE numero_documento = '"&amp;SUBSTITUTE(TRIM(G58),"'","''")&amp;"'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"&amp;IF(TRIM(J58&amp;"")="","NULL","(SELECT id FROM gen_almacen WHERE upper(nombre) = upper('"&amp;SUBSTITUTE(TRIM(J58),"'","''")&amp;"') AND estado = 1 LIMIT 1)")&amp;", p_id_cliente_ubicacion =&gt; "&amp;IF(TRIM(K58&amp;"")="","NULL","(SELECT id FROM cli_clientes WHERE numero_documento = '"&amp;SUBSTITUTE(TRIM(K58),"'","''")&amp;"' AND estado = 1 LIMIT 1)")&amp;", p_id_referencia =&gt; "&amp;IF(TRIM(J58&amp;"")&lt;&gt;"","(SELECT lo.id FROM gen_lista_opciones lo JOIN gen_lista l ON l.id = lo.id_lista WHERE l.nombre = 'ReferenciaCilindro' AND upper(lo.nombre) = 'ALMACEN' AND lo.estado = 1 LIMIT 1)",IF(TRIM(K58&amp;"")&lt;&gt;"","(SELECT lo.id FROM gen_lista_opciones lo JOIN gen_lista l ON l.id = lo.id_lista WHERE l.nombre = 'ReferenciaCilindro' AND upper(lo.nombre) = 'CLIENTE' AND lo.estado = 1 LIMIT 1)","NULL"))&amp;", p_anio_fabricacion =&gt; "&amp;IF(M58&amp;""="","NULL::smallint",M58&amp;"::smallint")&amp;", p_mes_fabricacion =&gt; "&amp;IF(N58&amp;""="","NULL::smallint",N58&amp;"::smallint")&amp;", p_fecha_ultima_prueba_hidrostatica =&gt; "&amp;IF(O58&amp;""="","NULL","'"&amp;YEAR(O58)&amp;"-"&amp;TEXT(MONTH(O58),"00")&amp;"-"&amp;TEXT(DAY(O58),"00")&amp;"'")&amp;", p_numero_serie =&gt; "&amp;IF(TRIM(Q58&amp;"")="","NULL","'"&amp;SUBSTITUTE(TRIM(Q58),"'","''")&amp;"'")&amp;", p_id_marca_cilindro =&gt; "&amp;IF(TRIM(R58&amp;"")="","NULL","(SELECT lo.id FROM gen_lista_opciones lo JOIN gen_lista l ON l.id = lo.id_lista WHERE l.nombre = 'MarcaCilindro' AND upper(lo.nombre) = upper('"&amp;SUBSTITUTE(TRIM(R58),"'","''")&amp;"') AND lo.estado = 1 LIMIT 1)")&amp;", p_id_organo_inspector =&gt; "&amp;IF(TRIM(S58&amp;"")="","NULL","(SELECT lo.id FROM gen_lista_opciones lo JOIN gen_lista l ON l.id = lo.id_lista WHERE l.nombre = 'OrganoInspectorCilindro' AND upper(lo.nombre) = upper('"&amp;SUBSTITUTE(TRIM(S58),"'","''")&amp;"') AND lo.estado = 1 LIMIT 1)")&amp;", p_organo_inspector_no_aplica =&gt; "&amp;IF(S58="NO_APLICA","TRUE","FALSE")&amp;", p_presion_actual =&gt; "&amp;IF(T58&amp;""="","NULL",SUBSTITUTE(T58&amp;"",",","."))&amp;", p_tipo_valvula =&gt; "&amp;IF(TRIM(U58&amp;"")="","NULL","'"&amp;SUBSTITUTE(TRIM(U58),"'","''")&amp;"'")&amp;", p_libro_cilindro =&gt; "&amp;IF(TRIM(V58&amp;"")="","NULL","'"&amp;SUBSTITUTE(TRIM(V58),"'","''")&amp;"'")&amp;", p_pagina_libro =&gt; "&amp;IF(W58&amp;""="","NULL",SUBSTITUTE(W58&amp;"",",","."))&amp;", p_observacion =&gt; "&amp;IF(TRIM(X58&amp;"")="","NULL","'"&amp;SUBSTITUTE(TRIM(X58),"'","''")&amp;"'")&amp;") AS resultado_balon_"&amp;ROW()&amp;";")</f>
        <v/>
      </c>
    </row>
    <row r="59" ht="15.75" customHeight="1" s="64">
      <c r="A59" s="36" t="inlineStr">
        <is>
          <t>55</t>
        </is>
      </c>
      <c r="B59" s="25">
        <f>IF(AND(C59="",D59="",E59=""),"",IF(C59="","FALTA código balón",IF(D59="","FALTA tipo balón",IF(E59="","FALTA gas",IF(F59="","FALTA propietario",IF(AND(C59&lt;&gt;"",SUMPRODUCT(--($C$5:$C$1200=C59))&gt;1),"CÓDIGO BALÓN DUPLICADO",IF(AND(OR(UPPER(F59)="PLANTA",UPPER(F59)="CLIENTE"),G59=""),"FALTA doc propietario/planta",IF(AND(UPPER(F59)="PLANTA",G59="10175332796"),"PLANTA no puede ser RUC empresa","OK"))))))))</f>
        <v/>
      </c>
      <c r="C59" s="23" t="inlineStr">
        <is>
          <t>20S290066</t>
        </is>
      </c>
      <c r="D59" s="17" t="inlineStr">
        <is>
          <t>Nitrógeno 6 m³</t>
        </is>
      </c>
      <c r="E59" s="17" t="inlineStr">
        <is>
          <t>NITROGENO</t>
        </is>
      </c>
      <c r="F59" s="17" t="inlineStr">
        <is>
          <t>EMPRESA</t>
        </is>
      </c>
      <c r="G59" s="23" t="inlineStr">
        <is>
          <t>10175332796</t>
        </is>
      </c>
      <c r="H59" s="25" t="inlineStr">
        <is>
          <t>OXIGENO SARITA</t>
        </is>
      </c>
      <c r="I59" s="17" t="inlineStr">
        <is>
          <t>EN_PODER_CLIENTE</t>
        </is>
      </c>
      <c r="J59" s="17" t="n"/>
      <c r="K59" s="26" t="inlineStr">
        <is>
          <t>20561169404</t>
        </is>
      </c>
      <c r="L59" s="25">
        <f t="array" ref="L59">IF(K59="","",IFERROR(IF(INDEX(Clientes!$D$5:$D$549,MATCH(K59,Clientes!$C$5:$C$549,0))&lt;&gt;"",INDEX(Clientes!$D$5:$D$549,MATCH(K59,Clientes!$C$5:$C$549,0)),TRIM(INDEX(Clientes!$E$5:$E$549,MATCH(K59,Clientes!$C$5:$C$549,0))&amp;" "&amp;INDEX(Clientes!$F$5:$F$549,MATCH(K59,Clientes!$C$5:$C$549,0)))),"NO EXISTE en Clientes"))</f>
        <v/>
      </c>
      <c r="M59" s="17" t="n"/>
      <c r="N59" s="17" t="n"/>
      <c r="O59" s="42" t="n"/>
      <c r="P59" s="39">
        <f>IF(O59&lt;&gt;"",DATE(YEAR(O59)+5,MONTH(O59),1),IF(AND(M59&lt;&gt;"",N59&lt;&gt;""),DATE(M59+5,N59,1),""))</f>
        <v/>
      </c>
      <c r="Q59" s="23" t="n"/>
      <c r="R59" s="17" t="n"/>
      <c r="S59" s="17" t="n"/>
      <c r="T59" s="17" t="n"/>
      <c r="U59" s="17" t="n"/>
      <c r="V59" s="23" t="n"/>
      <c r="W59" s="17" t="n"/>
      <c r="X59" s="17" t="n"/>
      <c r="Y59" s="28">
        <f>IF(B59&lt;&gt;"OK","","SELECT bal_crear_balon(p_codigo_balon =&gt; "&amp;IF(TRIM(C59&amp;"")="","NULL","'"&amp;SUBSTITUTE(TRIM(C59),"'","''")&amp;"'")&amp;", p_id_tipo_balon =&gt; "&amp;"(SELECT id FROM bal_tipo_balon WHERE upper(nombre) = upper('"&amp;SUBSTITUTE(TRIM(D59),"'","''")&amp;"') AND estado = 1 LIMIT 1)"&amp;", p_id_producto_gas =&gt; "&amp;"(SELECT id FROM pro_producto WHERE es_gas = TRUE AND upper(nombre) = upper('"&amp;SUBSTITUTE(TRIM(E59),"'","''")&amp;"') AND estado = 1 LIMIT 1)"&amp;", p_id_propietario =&gt; "&amp;IF(TRIM(F59&amp;"")="","NULL","(SELECT lo.id FROM gen_lista_opciones lo JOIN gen_lista l ON l.id = lo.id_lista WHERE l.nombre = 'PropietarioBalon' AND upper(lo.nombre) = upper('"&amp;SUBSTITUTE(TRIM(F59),"'","''")&amp;"') AND lo.estado = 1 LIMIT 1)")&amp;", p_id_cliente_propietario =&gt; "&amp;IF(F59="CLIENTE",IF(TRIM(G59&amp;"")="","NULL","(SELECT id FROM cli_clientes WHERE numero_documento = '"&amp;SUBSTITUTE(TRIM(G59),"'","''")&amp;"' AND estado = 1 LIMIT 1)"),"NULL")&amp;", p_id_planta =&gt; "&amp;IF(F59="PLANTA",IF(TRIM(G59&amp;"")="","NULL","(SELECT id FROM cli_clientes WHERE numero_documento = '"&amp;SUBSTITUTE(TRIM(G59),"'","''")&amp;"'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"&amp;IF(TRIM(J59&amp;"")="","NULL","(SELECT id FROM gen_almacen WHERE upper(nombre) = upper('"&amp;SUBSTITUTE(TRIM(J59),"'","''")&amp;"') AND estado = 1 LIMIT 1)")&amp;", p_id_cliente_ubicacion =&gt; "&amp;IF(TRIM(K59&amp;"")="","NULL","(SELECT id FROM cli_clientes WHERE numero_documento = '"&amp;SUBSTITUTE(TRIM(K59),"'","''")&amp;"' AND estado = 1 LIMIT 1)")&amp;", p_id_referencia =&gt; "&amp;IF(TRIM(J59&amp;"")&lt;&gt;"","(SELECT lo.id FROM gen_lista_opciones lo JOIN gen_lista l ON l.id = lo.id_lista WHERE l.nombre = 'ReferenciaCilindro' AND upper(lo.nombre) = 'ALMACEN' AND lo.estado = 1 LIMIT 1)",IF(TRIM(K59&amp;"")&lt;&gt;"","(SELECT lo.id FROM gen_lista_opciones lo JOIN gen_lista l ON l.id = lo.id_lista WHERE l.nombre = 'ReferenciaCilindro' AND upper(lo.nombre) = 'CLIENTE' AND lo.estado = 1 LIMIT 1)","NULL"))&amp;", p_anio_fabricacion =&gt; "&amp;IF(M59&amp;""="","NULL::smallint",M59&amp;"::smallint")&amp;", p_mes_fabricacion =&gt; "&amp;IF(N59&amp;""="","NULL::smallint",N59&amp;"::smallint")&amp;", p_fecha_ultima_prueba_hidrostatica =&gt; "&amp;IF(O59&amp;""="","NULL","'"&amp;YEAR(O59)&amp;"-"&amp;TEXT(MONTH(O59),"00")&amp;"-"&amp;TEXT(DAY(O59),"00")&amp;"'")&amp;", p_numero_serie =&gt; "&amp;IF(TRIM(Q59&amp;"")="","NULL","'"&amp;SUBSTITUTE(TRIM(Q59),"'","''")&amp;"'")&amp;", p_id_marca_cilindro =&gt; "&amp;IF(TRIM(R59&amp;"")="","NULL","(SELECT lo.id FROM gen_lista_opciones lo JOIN gen_lista l ON l.id = lo.id_lista WHERE l.nombre = 'MarcaCilindro' AND upper(lo.nombre) = upper('"&amp;SUBSTITUTE(TRIM(R59),"'","''")&amp;"') AND lo.estado = 1 LIMIT 1)")&amp;", p_id_organo_inspector =&gt; "&amp;IF(TRIM(S59&amp;"")="","NULL","(SELECT lo.id FROM gen_lista_opciones lo JOIN gen_lista l ON l.id = lo.id_lista WHERE l.nombre = 'OrganoInspectorCilindro' AND upper(lo.nombre) = upper('"&amp;SUBSTITUTE(TRIM(S59),"'","''")&amp;"') AND lo.estado = 1 LIMIT 1)")&amp;", p_organo_inspector_no_aplica =&gt; "&amp;IF(S59="NO_APLICA","TRUE","FALSE")&amp;", p_presion_actual =&gt; "&amp;IF(T59&amp;""="","NULL",SUBSTITUTE(T59&amp;"",",","."))&amp;", p_tipo_valvula =&gt; "&amp;IF(TRIM(U59&amp;"")="","NULL","'"&amp;SUBSTITUTE(TRIM(U59),"'","''")&amp;"'")&amp;", p_libro_cilindro =&gt; "&amp;IF(TRIM(V59&amp;"")="","NULL","'"&amp;SUBSTITUTE(TRIM(V59),"'","''")&amp;"'")&amp;", p_pagina_libro =&gt; "&amp;IF(W59&amp;""="","NULL",SUBSTITUTE(W59&amp;"",",","."))&amp;", p_observacion =&gt; "&amp;IF(TRIM(X59&amp;"")="","NULL","'"&amp;SUBSTITUTE(TRIM(X59),"'","''")&amp;"'")&amp;") AS resultado_balon_"&amp;ROW()&amp;";")</f>
        <v/>
      </c>
    </row>
    <row r="60" ht="15.75" customHeight="1" s="64">
      <c r="A60" s="36" t="inlineStr">
        <is>
          <t>56</t>
        </is>
      </c>
      <c r="B60" s="25">
        <f>IF(AND(C60="",D60="",E60=""),"",IF(C60="","FALTA código balón",IF(D60="","FALTA tipo balón",IF(E60="","FALTA gas",IF(F60="","FALTA propietario",IF(AND(C60&lt;&gt;"",SUMPRODUCT(--($C$5:$C$1200=C60))&gt;1),"CÓDIGO BALÓN DUPLICADO",IF(AND(OR(UPPER(F60)="PLANTA",UPPER(F60)="CLIENTE"),G60=""),"FALTA doc propietario/planta",IF(AND(UPPER(F60)="PLANTA",G60="10175332796"),"PLANTA no puede ser RUC empresa","OK"))))))))</f>
        <v/>
      </c>
      <c r="C60" s="23" t="inlineStr">
        <is>
          <t>9528490</t>
        </is>
      </c>
      <c r="D60" s="17" t="inlineStr">
        <is>
          <t>Nitrógeno 6 m³</t>
        </is>
      </c>
      <c r="E60" s="17" t="inlineStr">
        <is>
          <t>NITROGENO</t>
        </is>
      </c>
      <c r="F60" s="17" t="inlineStr">
        <is>
          <t>EMPRESA</t>
        </is>
      </c>
      <c r="G60" s="23" t="inlineStr">
        <is>
          <t>10175332796</t>
        </is>
      </c>
      <c r="H60" s="25" t="inlineStr">
        <is>
          <t>OXIGENO SARITA</t>
        </is>
      </c>
      <c r="I60" s="17" t="inlineStr">
        <is>
          <t>EN_PODER_CLIENTE</t>
        </is>
      </c>
      <c r="J60" s="17" t="n"/>
      <c r="K60" s="26" t="inlineStr">
        <is>
          <t>20609474671</t>
        </is>
      </c>
      <c r="L60" s="25">
        <f t="array" ref="L60">IF(K60="","",IFERROR(IF(INDEX(Clientes!$D$5:$D$549,MATCH(K60,Clientes!$C$5:$C$549,0))&lt;&gt;"",INDEX(Clientes!$D$5:$D$549,MATCH(K60,Clientes!$C$5:$C$549,0)),TRIM(INDEX(Clientes!$E$5:$E$549,MATCH(K60,Clientes!$C$5:$C$549,0))&amp;" "&amp;INDEX(Clientes!$F$5:$F$549,MATCH(K60,Clientes!$C$5:$C$549,0)))),"NO EXISTE en Clientes"))</f>
        <v/>
      </c>
      <c r="M60" s="17" t="n"/>
      <c r="N60" s="17" t="n"/>
      <c r="O60" s="42" t="n"/>
      <c r="P60" s="39">
        <f>IF(O60&lt;&gt;"",DATE(YEAR(O60)+5,MONTH(O60),1),IF(AND(M60&lt;&gt;"",N60&lt;&gt;""),DATE(M60+5,N60,1),""))</f>
        <v/>
      </c>
      <c r="Q60" s="23" t="n"/>
      <c r="R60" s="17" t="n"/>
      <c r="S60" s="17" t="n"/>
      <c r="T60" s="17" t="n"/>
      <c r="U60" s="17" t="n"/>
      <c r="V60" s="23" t="n"/>
      <c r="W60" s="17" t="n"/>
      <c r="X60" s="17" t="n"/>
      <c r="Y60" s="28">
        <f>IF(B60&lt;&gt;"OK","","SELECT bal_crear_balon(p_codigo_balon =&gt; "&amp;IF(TRIM(C60&amp;"")="","NULL","'"&amp;SUBSTITUTE(TRIM(C60),"'","''")&amp;"'")&amp;", p_id_tipo_balon =&gt; "&amp;"(SELECT id FROM bal_tipo_balon WHERE upper(nombre) = upper('"&amp;SUBSTITUTE(TRIM(D60),"'","''")&amp;"') AND estado = 1 LIMIT 1)"&amp;", p_id_producto_gas =&gt; "&amp;"(SELECT id FROM pro_producto WHERE es_gas = TRUE AND upper(nombre) = upper('"&amp;SUBSTITUTE(TRIM(E60),"'","''")&amp;"') AND estado = 1 LIMIT 1)"&amp;", p_id_propietario =&gt; "&amp;IF(TRIM(F60&amp;"")="","NULL","(SELECT lo.id FROM gen_lista_opciones lo JOIN gen_lista l ON l.id = lo.id_lista WHERE l.nombre = 'PropietarioBalon' AND upper(lo.nombre) = upper('"&amp;SUBSTITUTE(TRIM(F60),"'","''")&amp;"') AND lo.estado = 1 LIMIT 1)")&amp;", p_id_cliente_propietario =&gt; "&amp;IF(F60="CLIENTE",IF(TRIM(G60&amp;"")="","NULL","(SELECT id FROM cli_clientes WHERE numero_documento = '"&amp;SUBSTITUTE(TRIM(G60),"'","''")&amp;"' AND estado = 1 LIMIT 1)"),"NULL")&amp;", p_id_planta =&gt; "&amp;IF(F60="PLANTA",IF(TRIM(G60&amp;"")="","NULL","(SELECT id FROM cli_clientes WHERE numero_documento = '"&amp;SUBSTITUTE(TRIM(G60),"'","''")&amp;"'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"&amp;IF(TRIM(J60&amp;"")="","NULL","(SELECT id FROM gen_almacen WHERE upper(nombre) = upper('"&amp;SUBSTITUTE(TRIM(J60),"'","''")&amp;"') AND estado = 1 LIMIT 1)")&amp;", p_id_cliente_ubicacion =&gt; "&amp;IF(TRIM(K60&amp;"")="","NULL","(SELECT id FROM cli_clientes WHERE numero_documento = '"&amp;SUBSTITUTE(TRIM(K60),"'","''")&amp;"' AND estado = 1 LIMIT 1)")&amp;", p_id_referencia =&gt; "&amp;IF(TRIM(J60&amp;"")&lt;&gt;"","(SELECT lo.id FROM gen_lista_opciones lo JOIN gen_lista l ON l.id = lo.id_lista WHERE l.nombre = 'ReferenciaCilindro' AND upper(lo.nombre) = 'ALMACEN' AND lo.estado = 1 LIMIT 1)",IF(TRIM(K60&amp;"")&lt;&gt;"","(SELECT lo.id FROM gen_lista_opciones lo JOIN gen_lista l ON l.id = lo.id_lista WHERE l.nombre = 'ReferenciaCilindro' AND upper(lo.nombre) = 'CLIENTE' AND lo.estado = 1 LIMIT 1)","NULL"))&amp;", p_anio_fabricacion =&gt; "&amp;IF(M60&amp;""="","NULL::smallint",M60&amp;"::smallint")&amp;", p_mes_fabricacion =&gt; "&amp;IF(N60&amp;""="","NULL::smallint",N60&amp;"::smallint")&amp;", p_fecha_ultima_prueba_hidrostatica =&gt; "&amp;IF(O60&amp;""="","NULL","'"&amp;YEAR(O60)&amp;"-"&amp;TEXT(MONTH(O60),"00")&amp;"-"&amp;TEXT(DAY(O60),"00")&amp;"'")&amp;", p_numero_serie =&gt; "&amp;IF(TRIM(Q60&amp;"")="","NULL","'"&amp;SUBSTITUTE(TRIM(Q60),"'","''")&amp;"'")&amp;", p_id_marca_cilindro =&gt; "&amp;IF(TRIM(R60&amp;"")="","NULL","(SELECT lo.id FROM gen_lista_opciones lo JOIN gen_lista l ON l.id = lo.id_lista WHERE l.nombre = 'MarcaCilindro' AND upper(lo.nombre) = upper('"&amp;SUBSTITUTE(TRIM(R60),"'","''")&amp;"') AND lo.estado = 1 LIMIT 1)")&amp;", p_id_organo_inspector =&gt; "&amp;IF(TRIM(S60&amp;"")="","NULL","(SELECT lo.id FROM gen_lista_opciones lo JOIN gen_lista l ON l.id = lo.id_lista WHERE l.nombre = 'OrganoInspectorCilindro' AND upper(lo.nombre) = upper('"&amp;SUBSTITUTE(TRIM(S60),"'","''")&amp;"') AND lo.estado = 1 LIMIT 1)")&amp;", p_organo_inspector_no_aplica =&gt; "&amp;IF(S60="NO_APLICA","TRUE","FALSE")&amp;", p_presion_actual =&gt; "&amp;IF(T60&amp;""="","NULL",SUBSTITUTE(T60&amp;"",",","."))&amp;", p_tipo_valvula =&gt; "&amp;IF(TRIM(U60&amp;"")="","NULL","'"&amp;SUBSTITUTE(TRIM(U60),"'","''")&amp;"'")&amp;", p_libro_cilindro =&gt; "&amp;IF(TRIM(V60&amp;"")="","NULL","'"&amp;SUBSTITUTE(TRIM(V60),"'","''")&amp;"'")&amp;", p_pagina_libro =&gt; "&amp;IF(W60&amp;""="","NULL",SUBSTITUTE(W60&amp;"",",","."))&amp;", p_observacion =&gt; "&amp;IF(TRIM(X60&amp;"")="","NULL","'"&amp;SUBSTITUTE(TRIM(X60),"'","''")&amp;"'")&amp;") AS resultado_balon_"&amp;ROW()&amp;";")</f>
        <v/>
      </c>
    </row>
    <row r="61" ht="15.75" customHeight="1" s="64">
      <c r="A61" s="36" t="inlineStr">
        <is>
          <t>57</t>
        </is>
      </c>
      <c r="B61" s="25">
        <f>IF(AND(C61="",D61="",E61=""),"",IF(C61="","FALTA código balón",IF(D61="","FALTA tipo balón",IF(E61="","FALTA gas",IF(F61="","FALTA propietario",IF(AND(C61&lt;&gt;"",SUMPRODUCT(--($C$5:$C$1200=C61))&gt;1),"CÓDIGO BALÓN DUPLICADO",IF(AND(OR(UPPER(F61)="PLANTA",UPPER(F61)="CLIENTE"),G61=""),"FALTA doc propietario/planta",IF(AND(UPPER(F61)="PLANTA",G61="10175332796"),"PLANTA no puede ser RUC empresa","OK"))))))))</f>
        <v/>
      </c>
      <c r="C61" s="23" t="inlineStr">
        <is>
          <t>A2389001</t>
        </is>
      </c>
      <c r="D61" s="17" t="inlineStr">
        <is>
          <t>Nitrógeno 3 m³</t>
        </is>
      </c>
      <c r="E61" s="17" t="inlineStr">
        <is>
          <t>NITROGENO</t>
        </is>
      </c>
      <c r="F61" s="17" t="inlineStr">
        <is>
          <t>EMPRESA</t>
        </is>
      </c>
      <c r="G61" s="23" t="inlineStr">
        <is>
          <t>10175332796</t>
        </is>
      </c>
      <c r="H61" s="25" t="inlineStr">
        <is>
          <t>OXIGENO SARITA</t>
        </is>
      </c>
      <c r="I61" s="17" t="inlineStr">
        <is>
          <t>EN_PODER_CLIENTE</t>
        </is>
      </c>
      <c r="J61" s="17" t="n"/>
      <c r="K61" s="26" t="inlineStr">
        <is>
          <t>20609474671</t>
        </is>
      </c>
      <c r="L61" s="25">
        <f t="array" ref="L61">IF(K61="","",IFERROR(IF(INDEX(Clientes!$D$5:$D$549,MATCH(K61,Clientes!$C$5:$C$549,0))&lt;&gt;"",INDEX(Clientes!$D$5:$D$549,MATCH(K61,Clientes!$C$5:$C$549,0)),TRIM(INDEX(Clientes!$E$5:$E$549,MATCH(K61,Clientes!$C$5:$C$549,0))&amp;" "&amp;INDEX(Clientes!$F$5:$F$549,MATCH(K61,Clientes!$C$5:$C$549,0)))),"NO EXISTE en Clientes"))</f>
        <v/>
      </c>
      <c r="M61" s="17" t="n"/>
      <c r="N61" s="17" t="n"/>
      <c r="O61" s="42" t="n"/>
      <c r="P61" s="39">
        <f>IF(O61&lt;&gt;"",DATE(YEAR(O61)+5,MONTH(O61),1),IF(AND(M61&lt;&gt;"",N61&lt;&gt;""),DATE(M61+5,N61,1),""))</f>
        <v/>
      </c>
      <c r="Q61" s="23" t="n"/>
      <c r="R61" s="17" t="n"/>
      <c r="S61" s="17" t="n"/>
      <c r="T61" s="17" t="n"/>
      <c r="U61" s="17" t="n"/>
      <c r="V61" s="23" t="n"/>
      <c r="W61" s="17" t="n"/>
      <c r="X61" s="17" t="n"/>
      <c r="Y61" s="28">
        <f>IF(B61&lt;&gt;"OK","","SELECT bal_crear_balon(p_codigo_balon =&gt; "&amp;IF(TRIM(C61&amp;"")="","NULL","'"&amp;SUBSTITUTE(TRIM(C61),"'","''")&amp;"'")&amp;", p_id_tipo_balon =&gt; "&amp;"(SELECT id FROM bal_tipo_balon WHERE upper(nombre) = upper('"&amp;SUBSTITUTE(TRIM(D61),"'","''")&amp;"') AND estado = 1 LIMIT 1)"&amp;", p_id_producto_gas =&gt; "&amp;"(SELECT id FROM pro_producto WHERE es_gas = TRUE AND upper(nombre) = upper('"&amp;SUBSTITUTE(TRIM(E61),"'","''")&amp;"') AND estado = 1 LIMIT 1)"&amp;", p_id_propietario =&gt; "&amp;IF(TRIM(F61&amp;"")="","NULL","(SELECT lo.id FROM gen_lista_opciones lo JOIN gen_lista l ON l.id = lo.id_lista WHERE l.nombre = 'PropietarioBalon' AND upper(lo.nombre) = upper('"&amp;SUBSTITUTE(TRIM(F61),"'","''")&amp;"') AND lo.estado = 1 LIMIT 1)")&amp;", p_id_cliente_propietario =&gt; "&amp;IF(F61="CLIENTE",IF(TRIM(G61&amp;"")="","NULL","(SELECT id FROM cli_clientes WHERE numero_documento = '"&amp;SUBSTITUTE(TRIM(G61),"'","''")&amp;"' AND estado = 1 LIMIT 1)"),"NULL")&amp;", p_id_planta =&gt; "&amp;IF(F61="PLANTA",IF(TRIM(G61&amp;"")="","NULL","(SELECT id FROM cli_clientes WHERE numero_documento = '"&amp;SUBSTITUTE(TRIM(G61),"'","''")&amp;"'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"&amp;IF(TRIM(J61&amp;"")="","NULL","(SELECT id FROM gen_almacen WHERE upper(nombre) = upper('"&amp;SUBSTITUTE(TRIM(J61),"'","''")&amp;"') AND estado = 1 LIMIT 1)")&amp;", p_id_cliente_ubicacion =&gt; "&amp;IF(TRIM(K61&amp;"")="","NULL","(SELECT id FROM cli_clientes WHERE numero_documento = '"&amp;SUBSTITUTE(TRIM(K61),"'","''")&amp;"' AND estado = 1 LIMIT 1)")&amp;", p_id_referencia =&gt; "&amp;IF(TRIM(J61&amp;"")&lt;&gt;"","(SELECT lo.id FROM gen_lista_opciones lo JOIN gen_lista l ON l.id = lo.id_lista WHERE l.nombre = 'ReferenciaCilindro' AND upper(lo.nombre) = 'ALMACEN' AND lo.estado = 1 LIMIT 1)",IF(TRIM(K61&amp;"")&lt;&gt;"","(SELECT lo.id FROM gen_lista_opciones lo JOIN gen_lista l ON l.id = lo.id_lista WHERE l.nombre = 'ReferenciaCilindro' AND upper(lo.nombre) = 'CLIENTE' AND lo.estado = 1 LIMIT 1)","NULL"))&amp;", p_anio_fabricacion =&gt; "&amp;IF(M61&amp;""="","NULL::smallint",M61&amp;"::smallint")&amp;", p_mes_fabricacion =&gt; "&amp;IF(N61&amp;""="","NULL::smallint",N61&amp;"::smallint")&amp;", p_fecha_ultima_prueba_hidrostatica =&gt; "&amp;IF(O61&amp;""="","NULL","'"&amp;YEAR(O61)&amp;"-"&amp;TEXT(MONTH(O61),"00")&amp;"-"&amp;TEXT(DAY(O61),"00")&amp;"'")&amp;", p_numero_serie =&gt; "&amp;IF(TRIM(Q61&amp;"")="","NULL","'"&amp;SUBSTITUTE(TRIM(Q61),"'","''")&amp;"'")&amp;", p_id_marca_cilindro =&gt; "&amp;IF(TRIM(R61&amp;"")="","NULL","(SELECT lo.id FROM gen_lista_opciones lo JOIN gen_lista l ON l.id = lo.id_lista WHERE l.nombre = 'MarcaCilindro' AND upper(lo.nombre) = upper('"&amp;SUBSTITUTE(TRIM(R61),"'","''")&amp;"') AND lo.estado = 1 LIMIT 1)")&amp;", p_id_organo_inspector =&gt; "&amp;IF(TRIM(S61&amp;"")="","NULL","(SELECT lo.id FROM gen_lista_opciones lo JOIN gen_lista l ON l.id = lo.id_lista WHERE l.nombre = 'OrganoInspectorCilindro' AND upper(lo.nombre) = upper('"&amp;SUBSTITUTE(TRIM(S61),"'","''")&amp;"') AND lo.estado = 1 LIMIT 1)")&amp;", p_organo_inspector_no_aplica =&gt; "&amp;IF(S61="NO_APLICA","TRUE","FALSE")&amp;", p_presion_actual =&gt; "&amp;IF(T61&amp;""="","NULL",SUBSTITUTE(T61&amp;"",",","."))&amp;", p_tipo_valvula =&gt; "&amp;IF(TRIM(U61&amp;"")="","NULL","'"&amp;SUBSTITUTE(TRIM(U61),"'","''")&amp;"'")&amp;", p_libro_cilindro =&gt; "&amp;IF(TRIM(V61&amp;"")="","NULL","'"&amp;SUBSTITUTE(TRIM(V61),"'","''")&amp;"'")&amp;", p_pagina_libro =&gt; "&amp;IF(W61&amp;""="","NULL",SUBSTITUTE(W61&amp;"",",","."))&amp;", p_observacion =&gt; "&amp;IF(TRIM(X61&amp;"")="","NULL","'"&amp;SUBSTITUTE(TRIM(X61),"'","''")&amp;"'")&amp;") AS resultado_balon_"&amp;ROW()&amp;";")</f>
        <v/>
      </c>
    </row>
    <row r="62" ht="15.75" customHeight="1" s="64">
      <c r="A62" s="36" t="inlineStr">
        <is>
          <t>58</t>
        </is>
      </c>
      <c r="B62" s="25">
        <f>IF(AND(C62="",D62="",E62=""),"",IF(C62="","FALTA código balón",IF(D62="","FALTA tipo balón",IF(E62="","FALTA gas",IF(F62="","FALTA propietario",IF(AND(C62&lt;&gt;"",SUMPRODUCT(--($C$5:$C$1200=C62))&gt;1),"CÓDIGO BALÓN DUPLICADO",IF(AND(OR(UPPER(F62)="PLANTA",UPPER(F62)="CLIENTE"),G62=""),"FALTA doc propietario/planta",IF(AND(UPPER(F62)="PLANTA",G62="10175332796"),"PLANTA no puede ser RUC empresa","OK"))))))))</f>
        <v/>
      </c>
      <c r="C62" s="23" t="inlineStr">
        <is>
          <t>26CQ004140</t>
        </is>
      </c>
      <c r="D62" s="17" t="inlineStr">
        <is>
          <t>Nitrógeno 3 m³</t>
        </is>
      </c>
      <c r="E62" s="17" t="inlineStr">
        <is>
          <t>NITROGENO</t>
        </is>
      </c>
      <c r="F62" s="17" t="inlineStr">
        <is>
          <t>EMPRESA</t>
        </is>
      </c>
      <c r="G62" s="23" t="inlineStr">
        <is>
          <t>10175332796</t>
        </is>
      </c>
      <c r="H62" s="25" t="inlineStr">
        <is>
          <t>OXIGENO SARITA</t>
        </is>
      </c>
      <c r="I62" s="17" t="inlineStr">
        <is>
          <t>DISPONIBLE</t>
        </is>
      </c>
      <c r="J62" s="17" t="inlineStr">
        <is>
          <t>ALMACEN PRINCIPAL</t>
        </is>
      </c>
      <c r="K62" s="23" t="n"/>
      <c r="L62" s="25">
        <f t="array" ref="L62">IF(K62="","",IFERROR(IF(INDEX(Clientes!$D$5:$D$549,MATCH(K62,Clientes!$C$5:$C$549,0))&lt;&gt;"",INDEX(Clientes!$D$5:$D$549,MATCH(K62,Clientes!$C$5:$C$549,0)),TRIM(INDEX(Clientes!$E$5:$E$549,MATCH(K62,Clientes!$C$5:$C$549,0))&amp;" "&amp;INDEX(Clientes!$F$5:$F$549,MATCH(K62,Clientes!$C$5:$C$549,0)))),"NO EXISTE en Clientes"))</f>
        <v/>
      </c>
      <c r="M62" s="17" t="n"/>
      <c r="N62" s="17" t="n"/>
      <c r="O62" s="42" t="n"/>
      <c r="P62" s="39">
        <f>IF(O62&lt;&gt;"",DATE(YEAR(O62)+5,MONTH(O62),1),IF(AND(M62&lt;&gt;"",N62&lt;&gt;""),DATE(M62+5,N62,1),""))</f>
        <v/>
      </c>
      <c r="Q62" s="23" t="n"/>
      <c r="R62" s="17" t="n"/>
      <c r="S62" s="17" t="n"/>
      <c r="T62" s="17" t="n"/>
      <c r="U62" s="17" t="n"/>
      <c r="V62" s="23" t="n"/>
      <c r="W62" s="17" t="n"/>
      <c r="X62" s="17" t="n"/>
      <c r="Y62" s="28">
        <f>IF(B62&lt;&gt;"OK","","SELECT bal_crear_balon(p_codigo_balon =&gt; "&amp;IF(TRIM(C62&amp;"")="","NULL","'"&amp;SUBSTITUTE(TRIM(C62),"'","''")&amp;"'")&amp;", p_id_tipo_balon =&gt; "&amp;"(SELECT id FROM bal_tipo_balon WHERE upper(nombre) = upper('"&amp;SUBSTITUTE(TRIM(D62),"'","''")&amp;"') AND estado = 1 LIMIT 1)"&amp;", p_id_producto_gas =&gt; "&amp;"(SELECT id FROM pro_producto WHERE es_gas = TRUE AND upper(nombre) = upper('"&amp;SUBSTITUTE(TRIM(E62),"'","''")&amp;"') AND estado = 1 LIMIT 1)"&amp;", p_id_propietario =&gt; "&amp;IF(TRIM(F62&amp;"")="","NULL","(SELECT lo.id FROM gen_lista_opciones lo JOIN gen_lista l ON l.id = lo.id_lista WHERE l.nombre = 'PropietarioBalon' AND upper(lo.nombre) = upper('"&amp;SUBSTITUTE(TRIM(F62),"'","''")&amp;"') AND lo.estado = 1 LIMIT 1)")&amp;", p_id_cliente_propietario =&gt; "&amp;IF(F62="CLIENTE",IF(TRIM(G62&amp;"")="","NULL","(SELECT id FROM cli_clientes WHERE numero_documento = '"&amp;SUBSTITUTE(TRIM(G62),"'","''")&amp;"' AND estado = 1 LIMIT 1)"),"NULL")&amp;", p_id_planta =&gt; "&amp;IF(F62="PLANTA",IF(TRIM(G62&amp;"")="","NULL","(SELECT id FROM cli_clientes WHERE numero_documento = '"&amp;SUBSTITUTE(TRIM(G62),"'","''")&amp;"'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"&amp;IF(TRIM(J62&amp;"")="","NULL","(SELECT id FROM gen_almacen WHERE upper(nombre) = upper('"&amp;SUBSTITUTE(TRIM(J62),"'","''")&amp;"') AND estado = 1 LIMIT 1)")&amp;", p_id_cliente_ubicacion =&gt; "&amp;IF(TRIM(K62&amp;"")="","NULL","(SELECT id FROM cli_clientes WHERE numero_documento = '"&amp;SUBSTITUTE(TRIM(K62),"'","''")&amp;"' AND estado = 1 LIMIT 1)")&amp;", p_id_referencia =&gt; "&amp;IF(TRIM(J62&amp;"")&lt;&gt;"","(SELECT lo.id FROM gen_lista_opciones lo JOIN gen_lista l ON l.id = lo.id_lista WHERE l.nombre = 'ReferenciaCilindro' AND upper(lo.nombre) = 'ALMACEN' AND lo.estado = 1 LIMIT 1)",IF(TRIM(K62&amp;"")&lt;&gt;"","(SELECT lo.id FROM gen_lista_opciones lo JOIN gen_lista l ON l.id = lo.id_lista WHERE l.nombre = 'ReferenciaCilindro' AND upper(lo.nombre) = 'CLIENTE' AND lo.estado = 1 LIMIT 1)","NULL"))&amp;", p_anio_fabricacion =&gt; "&amp;IF(M62&amp;""="","NULL::smallint",M62&amp;"::smallint")&amp;", p_mes_fabricacion =&gt; "&amp;IF(N62&amp;""="","NULL::smallint",N62&amp;"::smallint")&amp;", p_fecha_ultima_prueba_hidrostatica =&gt; "&amp;IF(O62&amp;""="","NULL","'"&amp;YEAR(O62)&amp;"-"&amp;TEXT(MONTH(O62),"00")&amp;"-"&amp;TEXT(DAY(O62),"00")&amp;"'")&amp;", p_numero_serie =&gt; "&amp;IF(TRIM(Q62&amp;"")="","NULL","'"&amp;SUBSTITUTE(TRIM(Q62),"'","''")&amp;"'")&amp;", p_id_marca_cilindro =&gt; "&amp;IF(TRIM(R62&amp;"")="","NULL","(SELECT lo.id FROM gen_lista_opciones lo JOIN gen_lista l ON l.id = lo.id_lista WHERE l.nombre = 'MarcaCilindro' AND upper(lo.nombre) = upper('"&amp;SUBSTITUTE(TRIM(R62),"'","''")&amp;"') AND lo.estado = 1 LIMIT 1)")&amp;", p_id_organo_inspector =&gt; "&amp;IF(TRIM(S62&amp;"")="","NULL","(SELECT lo.id FROM gen_lista_opciones lo JOIN gen_lista l ON l.id = lo.id_lista WHERE l.nombre = 'OrganoInspectorCilindro' AND upper(lo.nombre) = upper('"&amp;SUBSTITUTE(TRIM(S62),"'","''")&amp;"') AND lo.estado = 1 LIMIT 1)")&amp;", p_organo_inspector_no_aplica =&gt; "&amp;IF(S62="NO_APLICA","TRUE","FALSE")&amp;", p_presion_actual =&gt; "&amp;IF(T62&amp;""="","NULL",SUBSTITUTE(T62&amp;"",",","."))&amp;", p_tipo_valvula =&gt; "&amp;IF(TRIM(U62&amp;"")="","NULL","'"&amp;SUBSTITUTE(TRIM(U62),"'","''")&amp;"'")&amp;", p_libro_cilindro =&gt; "&amp;IF(TRIM(V62&amp;"")="","NULL","'"&amp;SUBSTITUTE(TRIM(V62),"'","''")&amp;"'")&amp;", p_pagina_libro =&gt; "&amp;IF(W62&amp;""="","NULL",SUBSTITUTE(W62&amp;"",",","."))&amp;", p_observacion =&gt; "&amp;IF(TRIM(X62&amp;"")="","NULL","'"&amp;SUBSTITUTE(TRIM(X62),"'","''")&amp;"'")&amp;") AS resultado_balon_"&amp;ROW()&amp;";")</f>
        <v/>
      </c>
    </row>
    <row r="63" ht="15.75" customHeight="1" s="64">
      <c r="A63" s="36" t="inlineStr">
        <is>
          <t>59</t>
        </is>
      </c>
      <c r="B63" s="25">
        <f>IF(AND(C63="",D63="",E63=""),"",IF(C63="","FALTA código balón",IF(D63="","FALTA tipo balón",IF(E63="","FALTA gas",IF(F63="","FALTA propietario",IF(AND(C63&lt;&gt;"",SUMPRODUCT(--($C$5:$C$1200=C63))&gt;1),"CÓDIGO BALÓN DUPLICADO",IF(AND(OR(UPPER(F63)="PLANTA",UPPER(F63)="CLIENTE"),G63=""),"FALTA doc propietario/planta",IF(AND(UPPER(F63)="PLANTA",G63="10175332796"),"PLANTA no puede ser RUC empresa","OK"))))))))</f>
        <v/>
      </c>
      <c r="C63" s="23" t="inlineStr">
        <is>
          <t>LH03097</t>
        </is>
      </c>
      <c r="D63" s="17" t="inlineStr">
        <is>
          <t>Dióxido de carbono 30 kg</t>
        </is>
      </c>
      <c r="E63" s="17" t="inlineStr">
        <is>
          <t>DIÓXIDO DE CARBONO</t>
        </is>
      </c>
      <c r="F63" s="17" t="inlineStr">
        <is>
          <t>EMPRESA</t>
        </is>
      </c>
      <c r="G63" s="23" t="inlineStr">
        <is>
          <t>10175332796</t>
        </is>
      </c>
      <c r="H63" s="25" t="inlineStr">
        <is>
          <t>OXIGENO SARITA</t>
        </is>
      </c>
      <c r="I63" s="17" t="inlineStr">
        <is>
          <t>EN_PODER_CLIENTE</t>
        </is>
      </c>
      <c r="J63" s="17" t="n"/>
      <c r="K63" s="26" t="inlineStr">
        <is>
          <t>20612446106</t>
        </is>
      </c>
      <c r="L63" s="25">
        <f t="array" ref="L63">IF(K63="","",IFERROR(IF(INDEX(Clientes!$D$5:$D$549,MATCH(K63,Clientes!$C$5:$C$549,0))&lt;&gt;"",INDEX(Clientes!$D$5:$D$549,MATCH(K63,Clientes!$C$5:$C$549,0)),TRIM(INDEX(Clientes!$E$5:$E$549,MATCH(K63,Clientes!$C$5:$C$549,0))&amp;" "&amp;INDEX(Clientes!$F$5:$F$549,MATCH(K63,Clientes!$C$5:$C$549,0)))),"NO EXISTE en Clientes"))</f>
        <v/>
      </c>
      <c r="M63" s="17" t="n"/>
      <c r="N63" s="17" t="n"/>
      <c r="O63" s="42" t="n"/>
      <c r="P63" s="39">
        <f>IF(O63&lt;&gt;"",DATE(YEAR(O63)+5,MONTH(O63),1),IF(AND(M63&lt;&gt;"",N63&lt;&gt;""),DATE(M63+5,N63,1),""))</f>
        <v/>
      </c>
      <c r="Q63" s="23" t="n"/>
      <c r="R63" s="17" t="n"/>
      <c r="S63" s="17" t="n"/>
      <c r="T63" s="17" t="n"/>
      <c r="U63" s="17" t="n"/>
      <c r="V63" s="23" t="n"/>
      <c r="W63" s="17" t="n"/>
      <c r="X63" s="17" t="n"/>
      <c r="Y63" s="28">
        <f>IF(B63&lt;&gt;"OK","","SELECT bal_crear_balon(p_codigo_balon =&gt; "&amp;IF(TRIM(C63&amp;"")="","NULL","'"&amp;SUBSTITUTE(TRIM(C63),"'","''")&amp;"'")&amp;", p_id_tipo_balon =&gt; "&amp;"(SELECT id FROM bal_tipo_balon WHERE upper(nombre) = upper('"&amp;SUBSTITUTE(TRIM(D63),"'","''")&amp;"') AND estado = 1 LIMIT 1)"&amp;", p_id_producto_gas =&gt; "&amp;"(SELECT id FROM pro_producto WHERE es_gas = TRUE AND upper(nombre) = upper('"&amp;SUBSTITUTE(TRIM(E63),"'","''")&amp;"') AND estado = 1 LIMIT 1)"&amp;", p_id_propietario =&gt; "&amp;IF(TRIM(F63&amp;"")="","NULL","(SELECT lo.id FROM gen_lista_opciones lo JOIN gen_lista l ON l.id = lo.id_lista WHERE l.nombre = 'PropietarioBalon' AND upper(lo.nombre) = upper('"&amp;SUBSTITUTE(TRIM(F63),"'","''")&amp;"') AND lo.estado = 1 LIMIT 1)")&amp;", p_id_cliente_propietario =&gt; "&amp;IF(F63="CLIENTE",IF(TRIM(G63&amp;"")="","NULL","(SELECT id FROM cli_clientes WHERE numero_documento = '"&amp;SUBSTITUTE(TRIM(G63),"'","''")&amp;"' AND estado = 1 LIMIT 1)"),"NULL")&amp;", p_id_planta =&gt; "&amp;IF(F63="PLANTA",IF(TRIM(G63&amp;"")="","NULL","(SELECT id FROM cli_clientes WHERE numero_documento = '"&amp;SUBSTITUTE(TRIM(G63),"'","''")&amp;"'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"&amp;IF(TRIM(J63&amp;"")="","NULL","(SELECT id FROM gen_almacen WHERE upper(nombre) = upper('"&amp;SUBSTITUTE(TRIM(J63),"'","''")&amp;"') AND estado = 1 LIMIT 1)")&amp;", p_id_cliente_ubicacion =&gt; "&amp;IF(TRIM(K63&amp;"")="","NULL","(SELECT id FROM cli_clientes WHERE numero_documento = '"&amp;SUBSTITUTE(TRIM(K63),"'","''")&amp;"' AND estado = 1 LIMIT 1)")&amp;", p_id_referencia =&gt; "&amp;IF(TRIM(J63&amp;"")&lt;&gt;"","(SELECT lo.id FROM gen_lista_opciones lo JOIN gen_lista l ON l.id = lo.id_lista WHERE l.nombre = 'ReferenciaCilindro' AND upper(lo.nombre) = 'ALMACEN' AND lo.estado = 1 LIMIT 1)",IF(TRIM(K63&amp;"")&lt;&gt;"","(SELECT lo.id FROM gen_lista_opciones lo JOIN gen_lista l ON l.id = lo.id_lista WHERE l.nombre = 'ReferenciaCilindro' AND upper(lo.nombre) = 'CLIENTE' AND lo.estado = 1 LIMIT 1)","NULL"))&amp;", p_anio_fabricacion =&gt; "&amp;IF(M63&amp;""="","NULL::smallint",M63&amp;"::smallint")&amp;", p_mes_fabricacion =&gt; "&amp;IF(N63&amp;""="","NULL::smallint",N63&amp;"::smallint")&amp;", p_fecha_ultima_prueba_hidrostatica =&gt; "&amp;IF(O63&amp;""="","NULL","'"&amp;YEAR(O63)&amp;"-"&amp;TEXT(MONTH(O63),"00")&amp;"-"&amp;TEXT(DAY(O63),"00")&amp;"'")&amp;", p_numero_serie =&gt; "&amp;IF(TRIM(Q63&amp;"")="","NULL","'"&amp;SUBSTITUTE(TRIM(Q63),"'","''")&amp;"'")&amp;", p_id_marca_cilindro =&gt; "&amp;IF(TRIM(R63&amp;"")="","NULL","(SELECT lo.id FROM gen_lista_opciones lo JOIN gen_lista l ON l.id = lo.id_lista WHERE l.nombre = 'MarcaCilindro' AND upper(lo.nombre) = upper('"&amp;SUBSTITUTE(TRIM(R63),"'","''")&amp;"') AND lo.estado = 1 LIMIT 1)")&amp;", p_id_organo_inspector =&gt; "&amp;IF(TRIM(S63&amp;"")="","NULL","(SELECT lo.id FROM gen_lista_opciones lo JOIN gen_lista l ON l.id = lo.id_lista WHERE l.nombre = 'OrganoInspectorCilindro' AND upper(lo.nombre) = upper('"&amp;SUBSTITUTE(TRIM(S63),"'","''")&amp;"') AND lo.estado = 1 LIMIT 1)")&amp;", p_organo_inspector_no_aplica =&gt; "&amp;IF(S63="NO_APLICA","TRUE","FALSE")&amp;", p_presion_actual =&gt; "&amp;IF(T63&amp;""="","NULL",SUBSTITUTE(T63&amp;"",",","."))&amp;", p_tipo_valvula =&gt; "&amp;IF(TRIM(U63&amp;"")="","NULL","'"&amp;SUBSTITUTE(TRIM(U63),"'","''")&amp;"'")&amp;", p_libro_cilindro =&gt; "&amp;IF(TRIM(V63&amp;"")="","NULL","'"&amp;SUBSTITUTE(TRIM(V63),"'","''")&amp;"'")&amp;", p_pagina_libro =&gt; "&amp;IF(W63&amp;""="","NULL",SUBSTITUTE(W63&amp;"",",","."))&amp;", p_observacion =&gt; "&amp;IF(TRIM(X63&amp;"")="","NULL","'"&amp;SUBSTITUTE(TRIM(X63),"'","''")&amp;"'")&amp;") AS resultado_balon_"&amp;ROW()&amp;";")</f>
        <v/>
      </c>
    </row>
    <row r="64" ht="15.75" customHeight="1" s="64">
      <c r="A64" s="36" t="inlineStr">
        <is>
          <t>60</t>
        </is>
      </c>
      <c r="B64" s="25">
        <f>IF(AND(C64="",D64="",E64=""),"",IF(C64="","FALTA código balón",IF(D64="","FALTA tipo balón",IF(E64="","FALTA gas",IF(F64="","FALTA propietario",IF(AND(C64&lt;&gt;"",SUMPRODUCT(--($C$5:$C$1200=C64))&gt;1),"CÓDIGO BALÓN DUPLICADO",IF(AND(OR(UPPER(F64)="PLANTA",UPPER(F64)="CLIENTE"),G64=""),"FALTA doc propietario/planta",IF(AND(UPPER(F64)="PLANTA",G64="10175332796"),"PLANTA no puede ser RUC empresa","OK"))))))))</f>
        <v/>
      </c>
      <c r="C64" s="23" t="inlineStr">
        <is>
          <t>20K301185</t>
        </is>
      </c>
      <c r="D64" s="17" t="inlineStr">
        <is>
          <t>Dióxido de carbono 30 kg</t>
        </is>
      </c>
      <c r="E64" s="17" t="inlineStr">
        <is>
          <t>DIÓXIDO DE CARBONO</t>
        </is>
      </c>
      <c r="F64" s="17" t="inlineStr">
        <is>
          <t>EMPRESA</t>
        </is>
      </c>
      <c r="G64" s="23" t="inlineStr">
        <is>
          <t>10175332796</t>
        </is>
      </c>
      <c r="H64" s="25" t="inlineStr">
        <is>
          <t>OXIGENO SARITA</t>
        </is>
      </c>
      <c r="I64" s="17" t="inlineStr">
        <is>
          <t>EN_PODER_CLIENTE</t>
        </is>
      </c>
      <c r="J64" s="17" t="n"/>
      <c r="K64" s="26" t="inlineStr">
        <is>
          <t>20612446106</t>
        </is>
      </c>
      <c r="L64" s="25">
        <f t="array" ref="L64">IF(K64="","",IFERROR(IF(INDEX(Clientes!$D$5:$D$549,MATCH(K64,Clientes!$C$5:$C$549,0))&lt;&gt;"",INDEX(Clientes!$D$5:$D$549,MATCH(K64,Clientes!$C$5:$C$549,0)),TRIM(INDEX(Clientes!$E$5:$E$549,MATCH(K64,Clientes!$C$5:$C$549,0))&amp;" "&amp;INDEX(Clientes!$F$5:$F$549,MATCH(K64,Clientes!$C$5:$C$549,0)))),"NO EXISTE en Clientes"))</f>
        <v/>
      </c>
      <c r="M64" s="17" t="n"/>
      <c r="N64" s="17" t="n"/>
      <c r="O64" s="42" t="n"/>
      <c r="P64" s="39">
        <f>IF(O64&lt;&gt;"",DATE(YEAR(O64)+5,MONTH(O64),1),IF(AND(M64&lt;&gt;"",N64&lt;&gt;""),DATE(M64+5,N64,1),""))</f>
        <v/>
      </c>
      <c r="Q64" s="23" t="n"/>
      <c r="R64" s="17" t="n"/>
      <c r="S64" s="17" t="n"/>
      <c r="T64" s="17" t="n"/>
      <c r="U64" s="17" t="n"/>
      <c r="V64" s="23" t="n"/>
      <c r="W64" s="17" t="n"/>
      <c r="X64" s="17" t="n"/>
      <c r="Y64" s="28">
        <f>IF(B64&lt;&gt;"OK","","SELECT bal_crear_balon(p_codigo_balon =&gt; "&amp;IF(TRIM(C64&amp;"")="","NULL","'"&amp;SUBSTITUTE(TRIM(C64),"'","''")&amp;"'")&amp;", p_id_tipo_balon =&gt; "&amp;"(SELECT id FROM bal_tipo_balon WHERE upper(nombre) = upper('"&amp;SUBSTITUTE(TRIM(D64),"'","''")&amp;"') AND estado = 1 LIMIT 1)"&amp;", p_id_producto_gas =&gt; "&amp;"(SELECT id FROM pro_producto WHERE es_gas = TRUE AND upper(nombre) = upper('"&amp;SUBSTITUTE(TRIM(E64),"'","''")&amp;"') AND estado = 1 LIMIT 1)"&amp;", p_id_propietario =&gt; "&amp;IF(TRIM(F64&amp;"")="","NULL","(SELECT lo.id FROM gen_lista_opciones lo JOIN gen_lista l ON l.id = lo.id_lista WHERE l.nombre = 'PropietarioBalon' AND upper(lo.nombre) = upper('"&amp;SUBSTITUTE(TRIM(F64),"'","''")&amp;"') AND lo.estado = 1 LIMIT 1)")&amp;", p_id_cliente_propietario =&gt; "&amp;IF(F64="CLIENTE",IF(TRIM(G64&amp;"")="","NULL","(SELECT id FROM cli_clientes WHERE numero_documento = '"&amp;SUBSTITUTE(TRIM(G64),"'","''")&amp;"' AND estado = 1 LIMIT 1)"),"NULL")&amp;", p_id_planta =&gt; "&amp;IF(F64="PLANTA",IF(TRIM(G64&amp;"")="","NULL","(SELECT id FROM cli_clientes WHERE numero_documento = '"&amp;SUBSTITUTE(TRIM(G64),"'","''")&amp;"'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"&amp;IF(TRIM(J64&amp;"")="","NULL","(SELECT id FROM gen_almacen WHERE upper(nombre) = upper('"&amp;SUBSTITUTE(TRIM(J64),"'","''")&amp;"') AND estado = 1 LIMIT 1)")&amp;", p_id_cliente_ubicacion =&gt; "&amp;IF(TRIM(K64&amp;"")="","NULL","(SELECT id FROM cli_clientes WHERE numero_documento = '"&amp;SUBSTITUTE(TRIM(K64),"'","''")&amp;"' AND estado = 1 LIMIT 1)")&amp;", p_id_referencia =&gt; "&amp;IF(TRIM(J64&amp;"")&lt;&gt;"","(SELECT lo.id FROM gen_lista_opciones lo JOIN gen_lista l ON l.id = lo.id_lista WHERE l.nombre = 'ReferenciaCilindro' AND upper(lo.nombre) = 'ALMACEN' AND lo.estado = 1 LIMIT 1)",IF(TRIM(K64&amp;"")&lt;&gt;"","(SELECT lo.id FROM gen_lista_opciones lo JOIN gen_lista l ON l.id = lo.id_lista WHERE l.nombre = 'ReferenciaCilindro' AND upper(lo.nombre) = 'CLIENTE' AND lo.estado = 1 LIMIT 1)","NULL"))&amp;", p_anio_fabricacion =&gt; "&amp;IF(M64&amp;""="","NULL::smallint",M64&amp;"::smallint")&amp;", p_mes_fabricacion =&gt; "&amp;IF(N64&amp;""="","NULL::smallint",N64&amp;"::smallint")&amp;", p_fecha_ultima_prueba_hidrostatica =&gt; "&amp;IF(O64&amp;""="","NULL","'"&amp;YEAR(O64)&amp;"-"&amp;TEXT(MONTH(O64),"00")&amp;"-"&amp;TEXT(DAY(O64),"00")&amp;"'")&amp;", p_numero_serie =&gt; "&amp;IF(TRIM(Q64&amp;"")="","NULL","'"&amp;SUBSTITUTE(TRIM(Q64),"'","''")&amp;"'")&amp;", p_id_marca_cilindro =&gt; "&amp;IF(TRIM(R64&amp;"")="","NULL","(SELECT lo.id FROM gen_lista_opciones lo JOIN gen_lista l ON l.id = lo.id_lista WHERE l.nombre = 'MarcaCilindro' AND upper(lo.nombre) = upper('"&amp;SUBSTITUTE(TRIM(R64),"'","''")&amp;"') AND lo.estado = 1 LIMIT 1)")&amp;", p_id_organo_inspector =&gt; "&amp;IF(TRIM(S64&amp;"")="","NULL","(SELECT lo.id FROM gen_lista_opciones lo JOIN gen_lista l ON l.id = lo.id_lista WHERE l.nombre = 'OrganoInspectorCilindro' AND upper(lo.nombre) = upper('"&amp;SUBSTITUTE(TRIM(S64),"'","''")&amp;"') AND lo.estado = 1 LIMIT 1)")&amp;", p_organo_inspector_no_aplica =&gt; "&amp;IF(S64="NO_APLICA","TRUE","FALSE")&amp;", p_presion_actual =&gt; "&amp;IF(T64&amp;""="","NULL",SUBSTITUTE(T64&amp;"",",","."))&amp;", p_tipo_valvula =&gt; "&amp;IF(TRIM(U64&amp;"")="","NULL","'"&amp;SUBSTITUTE(TRIM(U64),"'","''")&amp;"'")&amp;", p_libro_cilindro =&gt; "&amp;IF(TRIM(V64&amp;"")="","NULL","'"&amp;SUBSTITUTE(TRIM(V64),"'","''")&amp;"'")&amp;", p_pagina_libro =&gt; "&amp;IF(W64&amp;""="","NULL",SUBSTITUTE(W64&amp;"",",","."))&amp;", p_observacion =&gt; "&amp;IF(TRIM(X64&amp;"")="","NULL","'"&amp;SUBSTITUTE(TRIM(X64),"'","''")&amp;"'")&amp;") AS resultado_balon_"&amp;ROW()&amp;";")</f>
        <v/>
      </c>
    </row>
    <row r="65" ht="15.75" customHeight="1" s="64">
      <c r="A65" s="36" t="inlineStr">
        <is>
          <t>61</t>
        </is>
      </c>
      <c r="B65" s="25">
        <f>IF(AND(C65="",D65="",E65=""),"",IF(C65="","FALTA código balón",IF(D65="","FALTA tipo balón",IF(E65="","FALTA gas",IF(F65="","FALTA propietario",IF(AND(C65&lt;&gt;"",SUMPRODUCT(--($C$5:$C$1200=C65))&gt;1),"CÓDIGO BALÓN DUPLICADO",IF(AND(OR(UPPER(F65)="PLANTA",UPPER(F65)="CLIENTE"),G65=""),"FALTA doc propietario/planta",IF(AND(UPPER(F65)="PLANTA",G65="10175332796"),"PLANTA no puede ser RUC empresa","OK"))))))))</f>
        <v/>
      </c>
      <c r="C65" s="23" t="inlineStr">
        <is>
          <t>22K035044</t>
        </is>
      </c>
      <c r="D65" s="17" t="inlineStr">
        <is>
          <t>Dióxido de carbono 30 kg</t>
        </is>
      </c>
      <c r="E65" s="17" t="inlineStr">
        <is>
          <t>DIÓXIDO DE CARBONO</t>
        </is>
      </c>
      <c r="F65" s="17" t="inlineStr">
        <is>
          <t>EMPRESA</t>
        </is>
      </c>
      <c r="G65" s="23" t="inlineStr">
        <is>
          <t>10175332796</t>
        </is>
      </c>
      <c r="H65" s="25" t="inlineStr">
        <is>
          <t>OXIGENO SARITA</t>
        </is>
      </c>
      <c r="I65" s="17" t="inlineStr">
        <is>
          <t>EN_PODER_CLIENTE</t>
        </is>
      </c>
      <c r="J65" s="17" t="n"/>
      <c r="K65" s="26" t="inlineStr">
        <is>
          <t>20612446106</t>
        </is>
      </c>
      <c r="L65" s="25">
        <f t="array" ref="L65">IF(K65="","",IFERROR(IF(INDEX(Clientes!$D$5:$D$549,MATCH(K65,Clientes!$C$5:$C$549,0))&lt;&gt;"",INDEX(Clientes!$D$5:$D$549,MATCH(K65,Clientes!$C$5:$C$549,0)),TRIM(INDEX(Clientes!$E$5:$E$549,MATCH(K65,Clientes!$C$5:$C$549,0))&amp;" "&amp;INDEX(Clientes!$F$5:$F$549,MATCH(K65,Clientes!$C$5:$C$549,0)))),"NO EXISTE en Clientes"))</f>
        <v/>
      </c>
      <c r="M65" s="17" t="n"/>
      <c r="N65" s="17" t="n"/>
      <c r="O65" s="42" t="n"/>
      <c r="P65" s="39">
        <f>IF(O65&lt;&gt;"",DATE(YEAR(O65)+5,MONTH(O65),1),IF(AND(M65&lt;&gt;"",N65&lt;&gt;""),DATE(M65+5,N65,1),""))</f>
        <v/>
      </c>
      <c r="Q65" s="23" t="n"/>
      <c r="R65" s="17" t="n"/>
      <c r="S65" s="17" t="n"/>
      <c r="T65" s="17" t="n"/>
      <c r="U65" s="17" t="n"/>
      <c r="V65" s="23" t="n"/>
      <c r="W65" s="17" t="n"/>
      <c r="X65" s="17" t="n"/>
      <c r="Y65" s="28">
        <f>IF(B65&lt;&gt;"OK","","SELECT bal_crear_balon(p_codigo_balon =&gt; "&amp;IF(TRIM(C65&amp;"")="","NULL","'"&amp;SUBSTITUTE(TRIM(C65),"'","''")&amp;"'")&amp;", p_id_tipo_balon =&gt; "&amp;"(SELECT id FROM bal_tipo_balon WHERE upper(nombre) = upper('"&amp;SUBSTITUTE(TRIM(D65),"'","''")&amp;"') AND estado = 1 LIMIT 1)"&amp;", p_id_producto_gas =&gt; "&amp;"(SELECT id FROM pro_producto WHERE es_gas = TRUE AND upper(nombre) = upper('"&amp;SUBSTITUTE(TRIM(E65),"'","''")&amp;"') AND estado = 1 LIMIT 1)"&amp;", p_id_propietario =&gt; "&amp;IF(TRIM(F65&amp;"")="","NULL","(SELECT lo.id FROM gen_lista_opciones lo JOIN gen_lista l ON l.id = lo.id_lista WHERE l.nombre = 'PropietarioBalon' AND upper(lo.nombre) = upper('"&amp;SUBSTITUTE(TRIM(F65),"'","''")&amp;"') AND lo.estado = 1 LIMIT 1)")&amp;", p_id_cliente_propietario =&gt; "&amp;IF(F65="CLIENTE",IF(TRIM(G65&amp;"")="","NULL","(SELECT id FROM cli_clientes WHERE numero_documento = '"&amp;SUBSTITUTE(TRIM(G65),"'","''")&amp;"' AND estado = 1 LIMIT 1)"),"NULL")&amp;", p_id_planta =&gt; "&amp;IF(F65="PLANTA",IF(TRIM(G65&amp;"")="","NULL","(SELECT id FROM cli_clientes WHERE numero_documento = '"&amp;SUBSTITUTE(TRIM(G65),"'","''")&amp;"'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"&amp;IF(TRIM(J65&amp;"")="","NULL","(SELECT id FROM gen_almacen WHERE upper(nombre) = upper('"&amp;SUBSTITUTE(TRIM(J65),"'","''")&amp;"') AND estado = 1 LIMIT 1)")&amp;", p_id_cliente_ubicacion =&gt; "&amp;IF(TRIM(K65&amp;"")="","NULL","(SELECT id FROM cli_clientes WHERE numero_documento = '"&amp;SUBSTITUTE(TRIM(K65),"'","''")&amp;"' AND estado = 1 LIMIT 1)")&amp;", p_id_referencia =&gt; "&amp;IF(TRIM(J65&amp;"")&lt;&gt;"","(SELECT lo.id FROM gen_lista_opciones lo JOIN gen_lista l ON l.id = lo.id_lista WHERE l.nombre = 'ReferenciaCilindro' AND upper(lo.nombre) = 'ALMACEN' AND lo.estado = 1 LIMIT 1)",IF(TRIM(K65&amp;"")&lt;&gt;"","(SELECT lo.id FROM gen_lista_opciones lo JOIN gen_lista l ON l.id = lo.id_lista WHERE l.nombre = 'ReferenciaCilindro' AND upper(lo.nombre) = 'CLIENTE' AND lo.estado = 1 LIMIT 1)","NULL"))&amp;", p_anio_fabricacion =&gt; "&amp;IF(M65&amp;""="","NULL::smallint",M65&amp;"::smallint")&amp;", p_mes_fabricacion =&gt; "&amp;IF(N65&amp;""="","NULL::smallint",N65&amp;"::smallint")&amp;", p_fecha_ultima_prueba_hidrostatica =&gt; "&amp;IF(O65&amp;""="","NULL","'"&amp;YEAR(O65)&amp;"-"&amp;TEXT(MONTH(O65),"00")&amp;"-"&amp;TEXT(DAY(O65),"00")&amp;"'")&amp;", p_numero_serie =&gt; "&amp;IF(TRIM(Q65&amp;"")="","NULL","'"&amp;SUBSTITUTE(TRIM(Q65),"'","''")&amp;"'")&amp;", p_id_marca_cilindro =&gt; "&amp;IF(TRIM(R65&amp;"")="","NULL","(SELECT lo.id FROM gen_lista_opciones lo JOIN gen_lista l ON l.id = lo.id_lista WHERE l.nombre = 'MarcaCilindro' AND upper(lo.nombre) = upper('"&amp;SUBSTITUTE(TRIM(R65),"'","''")&amp;"') AND lo.estado = 1 LIMIT 1)")&amp;", p_id_organo_inspector =&gt; "&amp;IF(TRIM(S65&amp;"")="","NULL","(SELECT lo.id FROM gen_lista_opciones lo JOIN gen_lista l ON l.id = lo.id_lista WHERE l.nombre = 'OrganoInspectorCilindro' AND upper(lo.nombre) = upper('"&amp;SUBSTITUTE(TRIM(S65),"'","''")&amp;"') AND lo.estado = 1 LIMIT 1)")&amp;", p_organo_inspector_no_aplica =&gt; "&amp;IF(S65="NO_APLICA","TRUE","FALSE")&amp;", p_presion_actual =&gt; "&amp;IF(T65&amp;""="","NULL",SUBSTITUTE(T65&amp;"",",","."))&amp;", p_tipo_valvula =&gt; "&amp;IF(TRIM(U65&amp;"")="","NULL","'"&amp;SUBSTITUTE(TRIM(U65),"'","''")&amp;"'")&amp;", p_libro_cilindro =&gt; "&amp;IF(TRIM(V65&amp;"")="","NULL","'"&amp;SUBSTITUTE(TRIM(V65),"'","''")&amp;"'")&amp;", p_pagina_libro =&gt; "&amp;IF(W65&amp;""="","NULL",SUBSTITUTE(W65&amp;"",",","."))&amp;", p_observacion =&gt; "&amp;IF(TRIM(X65&amp;"")="","NULL","'"&amp;SUBSTITUTE(TRIM(X65),"'","''")&amp;"'")&amp;") AS resultado_balon_"&amp;ROW()&amp;";")</f>
        <v/>
      </c>
    </row>
    <row r="66" ht="15.75" customHeight="1" s="64">
      <c r="A66" s="36" t="inlineStr">
        <is>
          <t>62</t>
        </is>
      </c>
      <c r="B66" s="25">
        <f>IF(AND(C66="",D66="",E66=""),"",IF(C66="","FALTA código balón",IF(D66="","FALTA tipo balón",IF(E66="","FALTA gas",IF(F66="","FALTA propietario",IF(AND(C66&lt;&gt;"",SUMPRODUCT(--($C$5:$C$1200=C66))&gt;1),"CÓDIGO BALÓN DUPLICADO",IF(AND(OR(UPPER(F66)="PLANTA",UPPER(F66)="CLIENTE"),G66=""),"FALTA doc propietario/planta",IF(AND(UPPER(F66)="PLANTA",G66="10175332796"),"PLANTA no puede ser RUC empresa","OK"))))))))</f>
        <v/>
      </c>
      <c r="C66" s="23" t="inlineStr">
        <is>
          <t>22K035087</t>
        </is>
      </c>
      <c r="D66" s="17" t="inlineStr">
        <is>
          <t>Dióxido de carbono 30 kg</t>
        </is>
      </c>
      <c r="E66" s="17" t="inlineStr">
        <is>
          <t>DIÓXIDO DE CARBONO</t>
        </is>
      </c>
      <c r="F66" s="17" t="inlineStr">
        <is>
          <t>EMPRESA</t>
        </is>
      </c>
      <c r="G66" s="23" t="inlineStr">
        <is>
          <t>10175332796</t>
        </is>
      </c>
      <c r="H66" s="25" t="inlineStr">
        <is>
          <t>OXIGENO SARITA</t>
        </is>
      </c>
      <c r="I66" s="17" t="inlineStr">
        <is>
          <t>EN_PODER_CLIENTE</t>
        </is>
      </c>
      <c r="J66" s="17" t="n"/>
      <c r="K66" s="26" t="inlineStr">
        <is>
          <t>20607980358</t>
        </is>
      </c>
      <c r="L66" s="25">
        <f t="array" ref="L66">IF(K66="","",IFERROR(IF(INDEX(Clientes!$D$5:$D$549,MATCH(K66,Clientes!$C$5:$C$549,0))&lt;&gt;"",INDEX(Clientes!$D$5:$D$549,MATCH(K66,Clientes!$C$5:$C$549,0)),TRIM(INDEX(Clientes!$E$5:$E$549,MATCH(K66,Clientes!$C$5:$C$549,0))&amp;" "&amp;INDEX(Clientes!$F$5:$F$549,MATCH(K66,Clientes!$C$5:$C$549,0)))),"NO EXISTE en Clientes"))</f>
        <v/>
      </c>
      <c r="M66" s="17" t="n"/>
      <c r="N66" s="17" t="n"/>
      <c r="O66" s="42" t="n"/>
      <c r="P66" s="39">
        <f>IF(O66&lt;&gt;"",DATE(YEAR(O66)+5,MONTH(O66),1),IF(AND(M66&lt;&gt;"",N66&lt;&gt;""),DATE(M66+5,N66,1),""))</f>
        <v/>
      </c>
      <c r="Q66" s="23" t="n"/>
      <c r="R66" s="17" t="n"/>
      <c r="S66" s="17" t="n"/>
      <c r="T66" s="17" t="n"/>
      <c r="U66" s="17" t="n"/>
      <c r="V66" s="23" t="n"/>
      <c r="W66" s="17" t="n"/>
      <c r="X66" s="17" t="n"/>
      <c r="Y66" s="28">
        <f>IF(B66&lt;&gt;"OK","","SELECT bal_crear_balon(p_codigo_balon =&gt; "&amp;IF(TRIM(C66&amp;"")="","NULL","'"&amp;SUBSTITUTE(TRIM(C66),"'","''")&amp;"'")&amp;", p_id_tipo_balon =&gt; "&amp;"(SELECT id FROM bal_tipo_balon WHERE upper(nombre) = upper('"&amp;SUBSTITUTE(TRIM(D66),"'","''")&amp;"') AND estado = 1 LIMIT 1)"&amp;", p_id_producto_gas =&gt; "&amp;"(SELECT id FROM pro_producto WHERE es_gas = TRUE AND upper(nombre) = upper('"&amp;SUBSTITUTE(TRIM(E66),"'","''")&amp;"') AND estado = 1 LIMIT 1)"&amp;", p_id_propietario =&gt; "&amp;IF(TRIM(F66&amp;"")="","NULL","(SELECT lo.id FROM gen_lista_opciones lo JOIN gen_lista l ON l.id = lo.id_lista WHERE l.nombre = 'PropietarioBalon' AND upper(lo.nombre) = upper('"&amp;SUBSTITUTE(TRIM(F66),"'","''")&amp;"') AND lo.estado = 1 LIMIT 1)")&amp;", p_id_cliente_propietario =&gt; "&amp;IF(F66="CLIENTE",IF(TRIM(G66&amp;"")="","NULL","(SELECT id FROM cli_clientes WHERE numero_documento = '"&amp;SUBSTITUTE(TRIM(G66),"'","''")&amp;"' AND estado = 1 LIMIT 1)"),"NULL")&amp;", p_id_planta =&gt; "&amp;IF(F66="PLANTA",IF(TRIM(G66&amp;"")="","NULL","(SELECT id FROM cli_clientes WHERE numero_documento = '"&amp;SUBSTITUTE(TRIM(G66),"'","''")&amp;"'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"&amp;IF(TRIM(J66&amp;"")="","NULL","(SELECT id FROM gen_almacen WHERE upper(nombre) = upper('"&amp;SUBSTITUTE(TRIM(J66),"'","''")&amp;"') AND estado = 1 LIMIT 1)")&amp;", p_id_cliente_ubicacion =&gt; "&amp;IF(TRIM(K66&amp;"")="","NULL","(SELECT id FROM cli_clientes WHERE numero_documento = '"&amp;SUBSTITUTE(TRIM(K66),"'","''")&amp;"' AND estado = 1 LIMIT 1)")&amp;", p_id_referencia =&gt; "&amp;IF(TRIM(J66&amp;"")&lt;&gt;"","(SELECT lo.id FROM gen_lista_opciones lo JOIN gen_lista l ON l.id = lo.id_lista WHERE l.nombre = 'ReferenciaCilindro' AND upper(lo.nombre) = 'ALMACEN' AND lo.estado = 1 LIMIT 1)",IF(TRIM(K66&amp;"")&lt;&gt;"","(SELECT lo.id FROM gen_lista_opciones lo JOIN gen_lista l ON l.id = lo.id_lista WHERE l.nombre = 'ReferenciaCilindro' AND upper(lo.nombre) = 'CLIENTE' AND lo.estado = 1 LIMIT 1)","NULL"))&amp;", p_anio_fabricacion =&gt; "&amp;IF(M66&amp;""="","NULL::smallint",M66&amp;"::smallint")&amp;", p_mes_fabricacion =&gt; "&amp;IF(N66&amp;""="","NULL::smallint",N66&amp;"::smallint")&amp;", p_fecha_ultima_prueba_hidrostatica =&gt; "&amp;IF(O66&amp;""="","NULL","'"&amp;YEAR(O66)&amp;"-"&amp;TEXT(MONTH(O66),"00")&amp;"-"&amp;TEXT(DAY(O66),"00")&amp;"'")&amp;", p_numero_serie =&gt; "&amp;IF(TRIM(Q66&amp;"")="","NULL","'"&amp;SUBSTITUTE(TRIM(Q66),"'","''")&amp;"'")&amp;", p_id_marca_cilindro =&gt; "&amp;IF(TRIM(R66&amp;"")="","NULL","(SELECT lo.id FROM gen_lista_opciones lo JOIN gen_lista l ON l.id = lo.id_lista WHERE l.nombre = 'MarcaCilindro' AND upper(lo.nombre) = upper('"&amp;SUBSTITUTE(TRIM(R66),"'","''")&amp;"') AND lo.estado = 1 LIMIT 1)")&amp;", p_id_organo_inspector =&gt; "&amp;IF(TRIM(S66&amp;"")="","NULL","(SELECT lo.id FROM gen_lista_opciones lo JOIN gen_lista l ON l.id = lo.id_lista WHERE l.nombre = 'OrganoInspectorCilindro' AND upper(lo.nombre) = upper('"&amp;SUBSTITUTE(TRIM(S66),"'","''")&amp;"') AND lo.estado = 1 LIMIT 1)")&amp;", p_organo_inspector_no_aplica =&gt; "&amp;IF(S66="NO_APLICA","TRUE","FALSE")&amp;", p_presion_actual =&gt; "&amp;IF(T66&amp;""="","NULL",SUBSTITUTE(T66&amp;"",",","."))&amp;", p_tipo_valvula =&gt; "&amp;IF(TRIM(U66&amp;"")="","NULL","'"&amp;SUBSTITUTE(TRIM(U66),"'","''")&amp;"'")&amp;", p_libro_cilindro =&gt; "&amp;IF(TRIM(V66&amp;"")="","NULL","'"&amp;SUBSTITUTE(TRIM(V66),"'","''")&amp;"'")&amp;", p_pagina_libro =&gt; "&amp;IF(W66&amp;""="","NULL",SUBSTITUTE(W66&amp;"",",","."))&amp;", p_observacion =&gt; "&amp;IF(TRIM(X66&amp;"")="","NULL","'"&amp;SUBSTITUTE(TRIM(X66),"'","''")&amp;"'")&amp;") AS resultado_balon_"&amp;ROW()&amp;";")</f>
        <v/>
      </c>
    </row>
    <row r="67" ht="15.75" customHeight="1" s="64">
      <c r="A67" s="36" t="inlineStr">
        <is>
          <t>63</t>
        </is>
      </c>
      <c r="B67" s="25">
        <f>IF(AND(C67="",D67="",E67=""),"",IF(C67="","FALTA código balón",IF(D67="","FALTA tipo balón",IF(E67="","FALTA gas",IF(F67="","FALTA propietario",IF(AND(C67&lt;&gt;"",SUMPRODUCT(--($C$5:$C$1200=C67))&gt;1),"CÓDIGO BALÓN DUPLICADO",IF(AND(OR(UPPER(F67)="PLANTA",UPPER(F67)="CLIENTE"),G67=""),"FALTA doc propietario/planta",IF(AND(UPPER(F67)="PLANTA",G67="10175332796"),"PLANTA no puede ser RUC empresa","OK"))))))))</f>
        <v/>
      </c>
      <c r="C67" s="23" t="inlineStr">
        <is>
          <t>6041A</t>
        </is>
      </c>
      <c r="D67" s="17" t="inlineStr">
        <is>
          <t>Dióxido de carbono 30 kg</t>
        </is>
      </c>
      <c r="E67" s="17" t="inlineStr">
        <is>
          <t>DIÓXIDO DE CARBONO</t>
        </is>
      </c>
      <c r="F67" s="17" t="inlineStr">
        <is>
          <t>EMPRESA</t>
        </is>
      </c>
      <c r="G67" s="23" t="inlineStr">
        <is>
          <t>10175332796</t>
        </is>
      </c>
      <c r="H67" s="25" t="inlineStr">
        <is>
          <t>OXIGENO SARITA</t>
        </is>
      </c>
      <c r="I67" s="17" t="inlineStr">
        <is>
          <t>EN_PODER_CLIENTE</t>
        </is>
      </c>
      <c r="J67" s="17" t="n"/>
      <c r="K67" s="26" t="inlineStr">
        <is>
          <t>20612446106</t>
        </is>
      </c>
      <c r="L67" s="25">
        <f t="array" ref="L67">IF(K67="","",IFERROR(IF(INDEX(Clientes!$D$5:$D$549,MATCH(K67,Clientes!$C$5:$C$549,0))&lt;&gt;"",INDEX(Clientes!$D$5:$D$549,MATCH(K67,Clientes!$C$5:$C$549,0)),TRIM(INDEX(Clientes!$E$5:$E$549,MATCH(K67,Clientes!$C$5:$C$549,0))&amp;" "&amp;INDEX(Clientes!$F$5:$F$549,MATCH(K67,Clientes!$C$5:$C$549,0)))),"NO EXISTE en Clientes"))</f>
        <v/>
      </c>
      <c r="M67" s="17" t="n"/>
      <c r="N67" s="17" t="n"/>
      <c r="O67" s="42" t="n"/>
      <c r="P67" s="39">
        <f>IF(O67&lt;&gt;"",DATE(YEAR(O67)+5,MONTH(O67),1),IF(AND(M67&lt;&gt;"",N67&lt;&gt;""),DATE(M67+5,N67,1),""))</f>
        <v/>
      </c>
      <c r="Q67" s="23" t="n"/>
      <c r="R67" s="17" t="n"/>
      <c r="S67" s="17" t="n"/>
      <c r="T67" s="17" t="n"/>
      <c r="U67" s="17" t="n"/>
      <c r="V67" s="23" t="n"/>
      <c r="W67" s="17" t="n"/>
      <c r="X67" s="17" t="n"/>
      <c r="Y67" s="28">
        <f>IF(B67&lt;&gt;"OK","","SELECT bal_crear_balon(p_codigo_balon =&gt; "&amp;IF(TRIM(C67&amp;"")="","NULL","'"&amp;SUBSTITUTE(TRIM(C67),"'","''")&amp;"'")&amp;", p_id_tipo_balon =&gt; "&amp;"(SELECT id FROM bal_tipo_balon WHERE upper(nombre) = upper('"&amp;SUBSTITUTE(TRIM(D67),"'","''")&amp;"') AND estado = 1 LIMIT 1)"&amp;", p_id_producto_gas =&gt; "&amp;"(SELECT id FROM pro_producto WHERE es_gas = TRUE AND upper(nombre) = upper('"&amp;SUBSTITUTE(TRIM(E67),"'","''")&amp;"') AND estado = 1 LIMIT 1)"&amp;", p_id_propietario =&gt; "&amp;IF(TRIM(F67&amp;"")="","NULL","(SELECT lo.id FROM gen_lista_opciones lo JOIN gen_lista l ON l.id = lo.id_lista WHERE l.nombre = 'PropietarioBalon' AND upper(lo.nombre) = upper('"&amp;SUBSTITUTE(TRIM(F67),"'","''")&amp;"') AND lo.estado = 1 LIMIT 1)")&amp;", p_id_cliente_propietario =&gt; "&amp;IF(F67="CLIENTE",IF(TRIM(G67&amp;"")="","NULL","(SELECT id FROM cli_clientes WHERE numero_documento = '"&amp;SUBSTITUTE(TRIM(G67),"'","''")&amp;"' AND estado = 1 LIMIT 1)"),"NULL")&amp;", p_id_planta =&gt; "&amp;IF(F67="PLANTA",IF(TRIM(G67&amp;"")="","NULL","(SELECT id FROM cli_clientes WHERE numero_documento = '"&amp;SUBSTITUTE(TRIM(G67),"'","''")&amp;"'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"&amp;IF(TRIM(J67&amp;"")="","NULL","(SELECT id FROM gen_almacen WHERE upper(nombre) = upper('"&amp;SUBSTITUTE(TRIM(J67),"'","''")&amp;"') AND estado = 1 LIMIT 1)")&amp;", p_id_cliente_ubicacion =&gt; "&amp;IF(TRIM(K67&amp;"")="","NULL","(SELECT id FROM cli_clientes WHERE numero_documento = '"&amp;SUBSTITUTE(TRIM(K67),"'","''")&amp;"' AND estado = 1 LIMIT 1)")&amp;", p_id_referencia =&gt; "&amp;IF(TRIM(J67&amp;"")&lt;&gt;"","(SELECT lo.id FROM gen_lista_opciones lo JOIN gen_lista l ON l.id = lo.id_lista WHERE l.nombre = 'ReferenciaCilindro' AND upper(lo.nombre) = 'ALMACEN' AND lo.estado = 1 LIMIT 1)",IF(TRIM(K67&amp;"")&lt;&gt;"","(SELECT lo.id FROM gen_lista_opciones lo JOIN gen_lista l ON l.id = lo.id_lista WHERE l.nombre = 'ReferenciaCilindro' AND upper(lo.nombre) = 'CLIENTE' AND lo.estado = 1 LIMIT 1)","NULL"))&amp;", p_anio_fabricacion =&gt; "&amp;IF(M67&amp;""="","NULL::smallint",M67&amp;"::smallint")&amp;", p_mes_fabricacion =&gt; "&amp;IF(N67&amp;""="","NULL::smallint",N67&amp;"::smallint")&amp;", p_fecha_ultima_prueba_hidrostatica =&gt; "&amp;IF(O67&amp;""="","NULL","'"&amp;YEAR(O67)&amp;"-"&amp;TEXT(MONTH(O67),"00")&amp;"-"&amp;TEXT(DAY(O67),"00")&amp;"'")&amp;", p_numero_serie =&gt; "&amp;IF(TRIM(Q67&amp;"")="","NULL","'"&amp;SUBSTITUTE(TRIM(Q67),"'","''")&amp;"'")&amp;", p_id_marca_cilindro =&gt; "&amp;IF(TRIM(R67&amp;"")="","NULL","(SELECT lo.id FROM gen_lista_opciones lo JOIN gen_lista l ON l.id = lo.id_lista WHERE l.nombre = 'MarcaCilindro' AND upper(lo.nombre) = upper('"&amp;SUBSTITUTE(TRIM(R67),"'","''")&amp;"') AND lo.estado = 1 LIMIT 1)")&amp;", p_id_organo_inspector =&gt; "&amp;IF(TRIM(S67&amp;"")="","NULL","(SELECT lo.id FROM gen_lista_opciones lo JOIN gen_lista l ON l.id = lo.id_lista WHERE l.nombre = 'OrganoInspectorCilindro' AND upper(lo.nombre) = upper('"&amp;SUBSTITUTE(TRIM(S67),"'","''")&amp;"') AND lo.estado = 1 LIMIT 1)")&amp;", p_organo_inspector_no_aplica =&gt; "&amp;IF(S67="NO_APLICA","TRUE","FALSE")&amp;", p_presion_actual =&gt; "&amp;IF(T67&amp;""="","NULL",SUBSTITUTE(T67&amp;"",",","."))&amp;", p_tipo_valvula =&gt; "&amp;IF(TRIM(U67&amp;"")="","NULL","'"&amp;SUBSTITUTE(TRIM(U67),"'","''")&amp;"'")&amp;", p_libro_cilindro =&gt; "&amp;IF(TRIM(V67&amp;"")="","NULL","'"&amp;SUBSTITUTE(TRIM(V67),"'","''")&amp;"'")&amp;", p_pagina_libro =&gt; "&amp;IF(W67&amp;""="","NULL",SUBSTITUTE(W67&amp;"",",","."))&amp;", p_observacion =&gt; "&amp;IF(TRIM(X67&amp;"")="","NULL","'"&amp;SUBSTITUTE(TRIM(X67),"'","''")&amp;"'")&amp;") AS resultado_balon_"&amp;ROW()&amp;";")</f>
        <v/>
      </c>
    </row>
    <row r="68" ht="15.75" customHeight="1" s="64">
      <c r="A68" s="36" t="inlineStr">
        <is>
          <t>64</t>
        </is>
      </c>
      <c r="B68" s="25">
        <f>IF(AND(C68="",D68="",E68=""),"",IF(C68="","FALTA código balón",IF(D68="","FALTA tipo balón",IF(E68="","FALTA gas",IF(F68="","FALTA propietario",IF(AND(C68&lt;&gt;"",SUMPRODUCT(--($C$5:$C$1200=C68))&gt;1),"CÓDIGO BALÓN DUPLICADO",IF(AND(OR(UPPER(F68)="PLANTA",UPPER(F68)="CLIENTE"),G68=""),"FALTA doc propietario/planta",IF(AND(UPPER(F68)="PLANTA",G68="10175332796"),"PLANTA no puede ser RUC empresa","OK"))))))))</f>
        <v/>
      </c>
      <c r="C68" s="23" t="inlineStr">
        <is>
          <t>161950</t>
        </is>
      </c>
      <c r="D68" s="17" t="inlineStr">
        <is>
          <t>Dióxido de carbono 30 kg</t>
        </is>
      </c>
      <c r="E68" s="17" t="inlineStr">
        <is>
          <t>DIÓXIDO DE CARBONO</t>
        </is>
      </c>
      <c r="F68" s="17" t="inlineStr">
        <is>
          <t>EMPRESA</t>
        </is>
      </c>
      <c r="G68" s="23" t="inlineStr">
        <is>
          <t>10175332796</t>
        </is>
      </c>
      <c r="H68" s="25" t="inlineStr">
        <is>
          <t>OXIGENO SARITA</t>
        </is>
      </c>
      <c r="I68" s="17" t="inlineStr">
        <is>
          <t>EN_PODER_CLIENTE</t>
        </is>
      </c>
      <c r="J68" s="17" t="n"/>
      <c r="K68" s="26" t="inlineStr">
        <is>
          <t>20612446106</t>
        </is>
      </c>
      <c r="L68" s="25">
        <f t="array" ref="L68">IF(K68="","",IFERROR(IF(INDEX(Clientes!$D$5:$D$549,MATCH(K68,Clientes!$C$5:$C$549,0))&lt;&gt;"",INDEX(Clientes!$D$5:$D$549,MATCH(K68,Clientes!$C$5:$C$549,0)),TRIM(INDEX(Clientes!$E$5:$E$549,MATCH(K68,Clientes!$C$5:$C$549,0))&amp;" "&amp;INDEX(Clientes!$F$5:$F$549,MATCH(K68,Clientes!$C$5:$C$549,0)))),"NO EXISTE en Clientes"))</f>
        <v/>
      </c>
      <c r="M68" s="17" t="n"/>
      <c r="N68" s="17" t="n"/>
      <c r="O68" s="42" t="n"/>
      <c r="P68" s="39">
        <f>IF(O68&lt;&gt;"",DATE(YEAR(O68)+5,MONTH(O68),1),IF(AND(M68&lt;&gt;"",N68&lt;&gt;""),DATE(M68+5,N68,1),""))</f>
        <v/>
      </c>
      <c r="Q68" s="23" t="n"/>
      <c r="R68" s="17" t="n"/>
      <c r="S68" s="17" t="n"/>
      <c r="T68" s="17" t="n"/>
      <c r="U68" s="17" t="n"/>
      <c r="V68" s="23" t="n"/>
      <c r="W68" s="17" t="n"/>
      <c r="X68" s="17" t="n"/>
      <c r="Y68" s="28">
        <f>IF(B68&lt;&gt;"OK","","SELECT bal_crear_balon(p_codigo_balon =&gt; "&amp;IF(TRIM(C68&amp;"")="","NULL","'"&amp;SUBSTITUTE(TRIM(C68),"'","''")&amp;"'")&amp;", p_id_tipo_balon =&gt; "&amp;"(SELECT id FROM bal_tipo_balon WHERE upper(nombre) = upper('"&amp;SUBSTITUTE(TRIM(D68),"'","''")&amp;"') AND estado = 1 LIMIT 1)"&amp;", p_id_producto_gas =&gt; "&amp;"(SELECT id FROM pro_producto WHERE es_gas = TRUE AND upper(nombre) = upper('"&amp;SUBSTITUTE(TRIM(E68),"'","''")&amp;"') AND estado = 1 LIMIT 1)"&amp;", p_id_propietario =&gt; "&amp;IF(TRIM(F68&amp;"")="","NULL","(SELECT lo.id FROM gen_lista_opciones lo JOIN gen_lista l ON l.id = lo.id_lista WHERE l.nombre = 'PropietarioBalon' AND upper(lo.nombre) = upper('"&amp;SUBSTITUTE(TRIM(F68),"'","''")&amp;"') AND lo.estado = 1 LIMIT 1)")&amp;", p_id_cliente_propietario =&gt; "&amp;IF(F68="CLIENTE",IF(TRIM(G68&amp;"")="","NULL","(SELECT id FROM cli_clientes WHERE numero_documento = '"&amp;SUBSTITUTE(TRIM(G68),"'","''")&amp;"' AND estado = 1 LIMIT 1)"),"NULL")&amp;", p_id_planta =&gt; "&amp;IF(F68="PLANTA",IF(TRIM(G68&amp;"")="","NULL","(SELECT id FROM cli_clientes WHERE numero_documento = '"&amp;SUBSTITUTE(TRIM(G68),"'","''")&amp;"'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"&amp;IF(TRIM(J68&amp;"")="","NULL","(SELECT id FROM gen_almacen WHERE upper(nombre) = upper('"&amp;SUBSTITUTE(TRIM(J68),"'","''")&amp;"') AND estado = 1 LIMIT 1)")&amp;", p_id_cliente_ubicacion =&gt; "&amp;IF(TRIM(K68&amp;"")="","NULL","(SELECT id FROM cli_clientes WHERE numero_documento = '"&amp;SUBSTITUTE(TRIM(K68),"'","''")&amp;"' AND estado = 1 LIMIT 1)")&amp;", p_id_referencia =&gt; "&amp;IF(TRIM(J68&amp;"")&lt;&gt;"","(SELECT lo.id FROM gen_lista_opciones lo JOIN gen_lista l ON l.id = lo.id_lista WHERE l.nombre = 'ReferenciaCilindro' AND upper(lo.nombre) = 'ALMACEN' AND lo.estado = 1 LIMIT 1)",IF(TRIM(K68&amp;"")&lt;&gt;"","(SELECT lo.id FROM gen_lista_opciones lo JOIN gen_lista l ON l.id = lo.id_lista WHERE l.nombre = 'ReferenciaCilindro' AND upper(lo.nombre) = 'CLIENTE' AND lo.estado = 1 LIMIT 1)","NULL"))&amp;", p_anio_fabricacion =&gt; "&amp;IF(M68&amp;""="","NULL::smallint",M68&amp;"::smallint")&amp;", p_mes_fabricacion =&gt; "&amp;IF(N68&amp;""="","NULL::smallint",N68&amp;"::smallint")&amp;", p_fecha_ultima_prueba_hidrostatica =&gt; "&amp;IF(O68&amp;""="","NULL","'"&amp;YEAR(O68)&amp;"-"&amp;TEXT(MONTH(O68),"00")&amp;"-"&amp;TEXT(DAY(O68),"00")&amp;"'")&amp;", p_numero_serie =&gt; "&amp;IF(TRIM(Q68&amp;"")="","NULL","'"&amp;SUBSTITUTE(TRIM(Q68),"'","''")&amp;"'")&amp;", p_id_marca_cilindro =&gt; "&amp;IF(TRIM(R68&amp;"")="","NULL","(SELECT lo.id FROM gen_lista_opciones lo JOIN gen_lista l ON l.id = lo.id_lista WHERE l.nombre = 'MarcaCilindro' AND upper(lo.nombre) = upper('"&amp;SUBSTITUTE(TRIM(R68),"'","''")&amp;"') AND lo.estado = 1 LIMIT 1)")&amp;", p_id_organo_inspector =&gt; "&amp;IF(TRIM(S68&amp;"")="","NULL","(SELECT lo.id FROM gen_lista_opciones lo JOIN gen_lista l ON l.id = lo.id_lista WHERE l.nombre = 'OrganoInspectorCilindro' AND upper(lo.nombre) = upper('"&amp;SUBSTITUTE(TRIM(S68),"'","''")&amp;"') AND lo.estado = 1 LIMIT 1)")&amp;", p_organo_inspector_no_aplica =&gt; "&amp;IF(S68="NO_APLICA","TRUE","FALSE")&amp;", p_presion_actual =&gt; "&amp;IF(T68&amp;""="","NULL",SUBSTITUTE(T68&amp;"",",","."))&amp;", p_tipo_valvula =&gt; "&amp;IF(TRIM(U68&amp;"")="","NULL","'"&amp;SUBSTITUTE(TRIM(U68),"'","''")&amp;"'")&amp;", p_libro_cilindro =&gt; "&amp;IF(TRIM(V68&amp;"")="","NULL","'"&amp;SUBSTITUTE(TRIM(V68),"'","''")&amp;"'")&amp;", p_pagina_libro =&gt; "&amp;IF(W68&amp;""="","NULL",SUBSTITUTE(W68&amp;"",",","."))&amp;", p_observacion =&gt; "&amp;IF(TRIM(X68&amp;"")="","NULL","'"&amp;SUBSTITUTE(TRIM(X68),"'","''")&amp;"'")&amp;") AS resultado_balon_"&amp;ROW()&amp;";")</f>
        <v/>
      </c>
    </row>
    <row r="69" ht="15.75" customHeight="1" s="64">
      <c r="A69" s="36" t="inlineStr">
        <is>
          <t>65</t>
        </is>
      </c>
      <c r="B69" s="25">
        <f>IF(AND(C69="",D69="",E69=""),"",IF(C69="","FALTA código balón",IF(D69="","FALTA tipo balón",IF(E69="","FALTA gas",IF(F69="","FALTA propietario",IF(AND(C69&lt;&gt;"",SUMPRODUCT(--($C$5:$C$1200=C69))&gt;1),"CÓDIGO BALÓN DUPLICADO",IF(AND(OR(UPPER(F69)="PLANTA",UPPER(F69)="CLIENTE"),G69=""),"FALTA doc propietario/planta",IF(AND(UPPER(F69)="PLANTA",G69="10175332796"),"PLANTA no puede ser RUC empresa","OK"))))))))</f>
        <v/>
      </c>
      <c r="C69" s="23" t="inlineStr">
        <is>
          <t>303206</t>
        </is>
      </c>
      <c r="D69" s="17" t="inlineStr">
        <is>
          <t>Dióxido de carbono 30 kg</t>
        </is>
      </c>
      <c r="E69" s="17" t="inlineStr">
        <is>
          <t>DIÓXIDO DE CARBONO</t>
        </is>
      </c>
      <c r="F69" s="17" t="inlineStr">
        <is>
          <t>EMPRESA</t>
        </is>
      </c>
      <c r="G69" s="23" t="inlineStr">
        <is>
          <t>10175332796</t>
        </is>
      </c>
      <c r="H69" s="25" t="inlineStr">
        <is>
          <t>OXIGENO SARITA</t>
        </is>
      </c>
      <c r="I69" s="17" t="inlineStr">
        <is>
          <t>EN_PODER_CLIENTE</t>
        </is>
      </c>
      <c r="J69" s="17" t="n"/>
      <c r="K69" s="26" t="inlineStr">
        <is>
          <t>20612446106</t>
        </is>
      </c>
      <c r="L69" s="25">
        <f t="array" ref="L69">IF(K69="","",IFERROR(IF(INDEX(Clientes!$D$5:$D$549,MATCH(K69,Clientes!$C$5:$C$549,0))&lt;&gt;"",INDEX(Clientes!$D$5:$D$549,MATCH(K69,Clientes!$C$5:$C$549,0)),TRIM(INDEX(Clientes!$E$5:$E$549,MATCH(K69,Clientes!$C$5:$C$549,0))&amp;" "&amp;INDEX(Clientes!$F$5:$F$549,MATCH(K69,Clientes!$C$5:$C$549,0)))),"NO EXISTE en Clientes"))</f>
        <v/>
      </c>
      <c r="M69" s="17" t="n"/>
      <c r="N69" s="17" t="n"/>
      <c r="O69" s="42" t="n"/>
      <c r="P69" s="39">
        <f>IF(O69&lt;&gt;"",DATE(YEAR(O69)+5,MONTH(O69),1),IF(AND(M69&lt;&gt;"",N69&lt;&gt;""),DATE(M69+5,N69,1),""))</f>
        <v/>
      </c>
      <c r="Q69" s="23" t="n"/>
      <c r="R69" s="17" t="n"/>
      <c r="S69" s="17" t="n"/>
      <c r="T69" s="17" t="n"/>
      <c r="U69" s="17" t="n"/>
      <c r="V69" s="23" t="n"/>
      <c r="W69" s="17" t="n"/>
      <c r="X69" s="17" t="n"/>
      <c r="Y69" s="28">
        <f>IF(B69&lt;&gt;"OK","","SELECT bal_crear_balon(p_codigo_balon =&gt; "&amp;IF(TRIM(C69&amp;"")="","NULL","'"&amp;SUBSTITUTE(TRIM(C69),"'","''")&amp;"'")&amp;", p_id_tipo_balon =&gt; "&amp;"(SELECT id FROM bal_tipo_balon WHERE upper(nombre) = upper('"&amp;SUBSTITUTE(TRIM(D69),"'","''")&amp;"') AND estado = 1 LIMIT 1)"&amp;", p_id_producto_gas =&gt; "&amp;"(SELECT id FROM pro_producto WHERE es_gas = TRUE AND upper(nombre) = upper('"&amp;SUBSTITUTE(TRIM(E69),"'","''")&amp;"') AND estado = 1 LIMIT 1)"&amp;", p_id_propietario =&gt; "&amp;IF(TRIM(F69&amp;"")="","NULL","(SELECT lo.id FROM gen_lista_opciones lo JOIN gen_lista l ON l.id = lo.id_lista WHERE l.nombre = 'PropietarioBalon' AND upper(lo.nombre) = upper('"&amp;SUBSTITUTE(TRIM(F69),"'","''")&amp;"') AND lo.estado = 1 LIMIT 1)")&amp;", p_id_cliente_propietario =&gt; "&amp;IF(F69="CLIENTE",IF(TRIM(G69&amp;"")="","NULL","(SELECT id FROM cli_clientes WHERE numero_documento = '"&amp;SUBSTITUTE(TRIM(G69),"'","''")&amp;"' AND estado = 1 LIMIT 1)"),"NULL")&amp;", p_id_planta =&gt; "&amp;IF(F69="PLANTA",IF(TRIM(G69&amp;"")="","NULL","(SELECT id FROM cli_clientes WHERE numero_documento = '"&amp;SUBSTITUTE(TRIM(G69),"'","''")&amp;"'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"&amp;IF(TRIM(J69&amp;"")="","NULL","(SELECT id FROM gen_almacen WHERE upper(nombre) = upper('"&amp;SUBSTITUTE(TRIM(J69),"'","''")&amp;"') AND estado = 1 LIMIT 1)")&amp;", p_id_cliente_ubicacion =&gt; "&amp;IF(TRIM(K69&amp;"")="","NULL","(SELECT id FROM cli_clientes WHERE numero_documento = '"&amp;SUBSTITUTE(TRIM(K69),"'","''")&amp;"' AND estado = 1 LIMIT 1)")&amp;", p_id_referencia =&gt; "&amp;IF(TRIM(J69&amp;"")&lt;&gt;"","(SELECT lo.id FROM gen_lista_opciones lo JOIN gen_lista l ON l.id = lo.id_lista WHERE l.nombre = 'ReferenciaCilindro' AND upper(lo.nombre) = 'ALMACEN' AND lo.estado = 1 LIMIT 1)",IF(TRIM(K69&amp;"")&lt;&gt;"","(SELECT lo.id FROM gen_lista_opciones lo JOIN gen_lista l ON l.id = lo.id_lista WHERE l.nombre = 'ReferenciaCilindro' AND upper(lo.nombre) = 'CLIENTE' AND lo.estado = 1 LIMIT 1)","NULL"))&amp;", p_anio_fabricacion =&gt; "&amp;IF(M69&amp;""="","NULL::smallint",M69&amp;"::smallint")&amp;", p_mes_fabricacion =&gt; "&amp;IF(N69&amp;""="","NULL::smallint",N69&amp;"::smallint")&amp;", p_fecha_ultima_prueba_hidrostatica =&gt; "&amp;IF(O69&amp;""="","NULL","'"&amp;YEAR(O69)&amp;"-"&amp;TEXT(MONTH(O69),"00")&amp;"-"&amp;TEXT(DAY(O69),"00")&amp;"'")&amp;", p_numero_serie =&gt; "&amp;IF(TRIM(Q69&amp;"")="","NULL","'"&amp;SUBSTITUTE(TRIM(Q69),"'","''")&amp;"'")&amp;", p_id_marca_cilindro =&gt; "&amp;IF(TRIM(R69&amp;"")="","NULL","(SELECT lo.id FROM gen_lista_opciones lo JOIN gen_lista l ON l.id = lo.id_lista WHERE l.nombre = 'MarcaCilindro' AND upper(lo.nombre) = upper('"&amp;SUBSTITUTE(TRIM(R69),"'","''")&amp;"') AND lo.estado = 1 LIMIT 1)")&amp;", p_id_organo_inspector =&gt; "&amp;IF(TRIM(S69&amp;"")="","NULL","(SELECT lo.id FROM gen_lista_opciones lo JOIN gen_lista l ON l.id = lo.id_lista WHERE l.nombre = 'OrganoInspectorCilindro' AND upper(lo.nombre) = upper('"&amp;SUBSTITUTE(TRIM(S69),"'","''")&amp;"') AND lo.estado = 1 LIMIT 1)")&amp;", p_organo_inspector_no_aplica =&gt; "&amp;IF(S69="NO_APLICA","TRUE","FALSE")&amp;", p_presion_actual =&gt; "&amp;IF(T69&amp;""="","NULL",SUBSTITUTE(T69&amp;"",",","."))&amp;", p_tipo_valvula =&gt; "&amp;IF(TRIM(U69&amp;"")="","NULL","'"&amp;SUBSTITUTE(TRIM(U69),"'","''")&amp;"'")&amp;", p_libro_cilindro =&gt; "&amp;IF(TRIM(V69&amp;"")="","NULL","'"&amp;SUBSTITUTE(TRIM(V69),"'","''")&amp;"'")&amp;", p_pagina_libro =&gt; "&amp;IF(W69&amp;""="","NULL",SUBSTITUTE(W69&amp;"",",","."))&amp;", p_observacion =&gt; "&amp;IF(TRIM(X69&amp;"")="","NULL","'"&amp;SUBSTITUTE(TRIM(X69),"'","''")&amp;"'")&amp;") AS resultado_balon_"&amp;ROW()&amp;";")</f>
        <v/>
      </c>
    </row>
    <row r="70" ht="15.75" customHeight="1" s="64">
      <c r="A70" s="36" t="inlineStr">
        <is>
          <t>66</t>
        </is>
      </c>
      <c r="B70" s="25">
        <f>IF(AND(C70="",D70="",E70=""),"",IF(C70="","FALTA código balón",IF(D70="","FALTA tipo balón",IF(E70="","FALTA gas",IF(F70="","FALTA propietario",IF(AND(C70&lt;&gt;"",SUMPRODUCT(--($C$5:$C$1200=C70))&gt;1),"CÓDIGO BALÓN DUPLICADO",IF(AND(OR(UPPER(F70)="PLANTA",UPPER(F70)="CLIENTE"),G70=""),"FALTA doc propietario/planta",IF(AND(UPPER(F70)="PLANTA",G70="10175332796"),"PLANTA no puede ser RUC empresa","OK"))))))))</f>
        <v/>
      </c>
      <c r="C70" s="23" t="inlineStr">
        <is>
          <t>GTA217110</t>
        </is>
      </c>
      <c r="D70" s="17" t="inlineStr">
        <is>
          <t>Dióxido de carbono 25 kg</t>
        </is>
      </c>
      <c r="E70" s="17" t="inlineStr">
        <is>
          <t>DIÓXIDO DE CARBONO</t>
        </is>
      </c>
      <c r="F70" s="17" t="inlineStr">
        <is>
          <t>EMPRESA</t>
        </is>
      </c>
      <c r="G70" s="23" t="inlineStr">
        <is>
          <t>10175332796</t>
        </is>
      </c>
      <c r="H70" s="25" t="inlineStr">
        <is>
          <t>OXIGENO SARITA</t>
        </is>
      </c>
      <c r="I70" s="17" t="inlineStr">
        <is>
          <t>EN_PODER_CLIENTE</t>
        </is>
      </c>
      <c r="J70" s="17" t="n"/>
      <c r="K70" s="26" t="inlineStr">
        <is>
          <t>20480192932</t>
        </is>
      </c>
      <c r="L70" s="25">
        <f t="array" ref="L70">IF(K70="","",IFERROR(IF(INDEX(Clientes!$D$5:$D$549,MATCH(K70,Clientes!$C$5:$C$549,0))&lt;&gt;"",INDEX(Clientes!$D$5:$D$549,MATCH(K70,Clientes!$C$5:$C$549,0)),TRIM(INDEX(Clientes!$E$5:$E$549,MATCH(K70,Clientes!$C$5:$C$549,0))&amp;" "&amp;INDEX(Clientes!$F$5:$F$549,MATCH(K70,Clientes!$C$5:$C$549,0)))),"NO EXISTE en Clientes"))</f>
        <v/>
      </c>
      <c r="M70" s="17" t="n"/>
      <c r="N70" s="17" t="n"/>
      <c r="O70" s="42" t="n"/>
      <c r="P70" s="39">
        <f>IF(O70&lt;&gt;"",DATE(YEAR(O70)+5,MONTH(O70),1),IF(AND(M70&lt;&gt;"",N70&lt;&gt;""),DATE(M70+5,N70,1),""))</f>
        <v/>
      </c>
      <c r="Q70" s="23" t="n"/>
      <c r="R70" s="17" t="n"/>
      <c r="S70" s="17" t="n"/>
      <c r="T70" s="17" t="n"/>
      <c r="U70" s="17" t="n"/>
      <c r="V70" s="23" t="n"/>
      <c r="W70" s="17" t="n"/>
      <c r="X70" s="17" t="n"/>
      <c r="Y70" s="28">
        <f>IF(B70&lt;&gt;"OK","","SELECT bal_crear_balon(p_codigo_balon =&gt; "&amp;IF(TRIM(C70&amp;"")="","NULL","'"&amp;SUBSTITUTE(TRIM(C70),"'","''")&amp;"'")&amp;", p_id_tipo_balon =&gt; "&amp;"(SELECT id FROM bal_tipo_balon WHERE upper(nombre) = upper('"&amp;SUBSTITUTE(TRIM(D70),"'","''")&amp;"') AND estado = 1 LIMIT 1)"&amp;", p_id_producto_gas =&gt; "&amp;"(SELECT id FROM pro_producto WHERE es_gas = TRUE AND upper(nombre) = upper('"&amp;SUBSTITUTE(TRIM(E70),"'","''")&amp;"') AND estado = 1 LIMIT 1)"&amp;", p_id_propietario =&gt; "&amp;IF(TRIM(F70&amp;"")="","NULL","(SELECT lo.id FROM gen_lista_opciones lo JOIN gen_lista l ON l.id = lo.id_lista WHERE l.nombre = 'PropietarioBalon' AND upper(lo.nombre) = upper('"&amp;SUBSTITUTE(TRIM(F70),"'","''")&amp;"') AND lo.estado = 1 LIMIT 1)")&amp;", p_id_cliente_propietario =&gt; "&amp;IF(F70="CLIENTE",IF(TRIM(G70&amp;"")="","NULL","(SELECT id FROM cli_clientes WHERE numero_documento = '"&amp;SUBSTITUTE(TRIM(G70),"'","''")&amp;"' AND estado = 1 LIMIT 1)"),"NULL")&amp;", p_id_planta =&gt; "&amp;IF(F70="PLANTA",IF(TRIM(G70&amp;"")="","NULL","(SELECT id FROM cli_clientes WHERE numero_documento = '"&amp;SUBSTITUTE(TRIM(G70),"'","''")&amp;"'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"&amp;IF(TRIM(J70&amp;"")="","NULL","(SELECT id FROM gen_almacen WHERE upper(nombre) = upper('"&amp;SUBSTITUTE(TRIM(J70),"'","''")&amp;"') AND estado = 1 LIMIT 1)")&amp;", p_id_cliente_ubicacion =&gt; "&amp;IF(TRIM(K70&amp;"")="","NULL","(SELECT id FROM cli_clientes WHERE numero_documento = '"&amp;SUBSTITUTE(TRIM(K70),"'","''")&amp;"' AND estado = 1 LIMIT 1)")&amp;", p_id_referencia =&gt; "&amp;IF(TRIM(J70&amp;"")&lt;&gt;"","(SELECT lo.id FROM gen_lista_opciones lo JOIN gen_lista l ON l.id = lo.id_lista WHERE l.nombre = 'ReferenciaCilindro' AND upper(lo.nombre) = 'ALMACEN' AND lo.estado = 1 LIMIT 1)",IF(TRIM(K70&amp;"")&lt;&gt;"","(SELECT lo.id FROM gen_lista_opciones lo JOIN gen_lista l ON l.id = lo.id_lista WHERE l.nombre = 'ReferenciaCilindro' AND upper(lo.nombre) = 'CLIENTE' AND lo.estado = 1 LIMIT 1)","NULL"))&amp;", p_anio_fabricacion =&gt; "&amp;IF(M70&amp;""="","NULL::smallint",M70&amp;"::smallint")&amp;", p_mes_fabricacion =&gt; "&amp;IF(N70&amp;""="","NULL::smallint",N70&amp;"::smallint")&amp;", p_fecha_ultima_prueba_hidrostatica =&gt; "&amp;IF(O70&amp;""="","NULL","'"&amp;YEAR(O70)&amp;"-"&amp;TEXT(MONTH(O70),"00")&amp;"-"&amp;TEXT(DAY(O70),"00")&amp;"'")&amp;", p_numero_serie =&gt; "&amp;IF(TRIM(Q70&amp;"")="","NULL","'"&amp;SUBSTITUTE(TRIM(Q70),"'","''")&amp;"'")&amp;", p_id_marca_cilindro =&gt; "&amp;IF(TRIM(R70&amp;"")="","NULL","(SELECT lo.id FROM gen_lista_opciones lo JOIN gen_lista l ON l.id = lo.id_lista WHERE l.nombre = 'MarcaCilindro' AND upper(lo.nombre) = upper('"&amp;SUBSTITUTE(TRIM(R70),"'","''")&amp;"') AND lo.estado = 1 LIMIT 1)")&amp;", p_id_organo_inspector =&gt; "&amp;IF(TRIM(S70&amp;"")="","NULL","(SELECT lo.id FROM gen_lista_opciones lo JOIN gen_lista l ON l.id = lo.id_lista WHERE l.nombre = 'OrganoInspectorCilindro' AND upper(lo.nombre) = upper('"&amp;SUBSTITUTE(TRIM(S70),"'","''")&amp;"') AND lo.estado = 1 LIMIT 1)")&amp;", p_organo_inspector_no_aplica =&gt; "&amp;IF(S70="NO_APLICA","TRUE","FALSE")&amp;", p_presion_actual =&gt; "&amp;IF(T70&amp;""="","NULL",SUBSTITUTE(T70&amp;"",",","."))&amp;", p_tipo_valvula =&gt; "&amp;IF(TRIM(U70&amp;"")="","NULL","'"&amp;SUBSTITUTE(TRIM(U70),"'","''")&amp;"'")&amp;", p_libro_cilindro =&gt; "&amp;IF(TRIM(V70&amp;"")="","NULL","'"&amp;SUBSTITUTE(TRIM(V70),"'","''")&amp;"'")&amp;", p_pagina_libro =&gt; "&amp;IF(W70&amp;""="","NULL",SUBSTITUTE(W70&amp;"",",","."))&amp;", p_observacion =&gt; "&amp;IF(TRIM(X70&amp;"")="","NULL","'"&amp;SUBSTITUTE(TRIM(X70),"'","''")&amp;"'")&amp;") AS resultado_balon_"&amp;ROW()&amp;";")</f>
        <v/>
      </c>
    </row>
    <row r="71" ht="15.75" customHeight="1" s="64">
      <c r="A71" s="36" t="inlineStr">
        <is>
          <t>67</t>
        </is>
      </c>
      <c r="B71" s="25">
        <f>IF(AND(C71="",D71="",E71=""),"",IF(C71="","FALTA código balón",IF(D71="","FALTA tipo balón",IF(E71="","FALTA gas",IF(F71="","FALTA propietario",IF(AND(C71&lt;&gt;"",SUMPRODUCT(--($C$5:$C$1200=C71))&gt;1),"CÓDIGO BALÓN DUPLICADO",IF(AND(OR(UPPER(F71)="PLANTA",UPPER(F71)="CLIENTE"),G71=""),"FALTA doc propietario/planta",IF(AND(UPPER(F71)="PLANTA",G71="10175332796"),"PLANTA no puede ser RUC empresa","OK"))))))))</f>
        <v/>
      </c>
      <c r="C71" s="23" t="inlineStr">
        <is>
          <t>21S495142</t>
        </is>
      </c>
      <c r="D71" s="17" t="inlineStr">
        <is>
          <t>Dióxido de carbono 13 kg</t>
        </is>
      </c>
      <c r="E71" s="17" t="inlineStr">
        <is>
          <t>DIÓXIDO DE CARBONO</t>
        </is>
      </c>
      <c r="F71" s="17" t="inlineStr">
        <is>
          <t>EMPRESA</t>
        </is>
      </c>
      <c r="G71" s="23" t="inlineStr">
        <is>
          <t>10175332796</t>
        </is>
      </c>
      <c r="H71" s="25" t="inlineStr">
        <is>
          <t>OXIGENO SARITA</t>
        </is>
      </c>
      <c r="I71" s="17" t="inlineStr">
        <is>
          <t>EN_PODER_CLIENTE</t>
        </is>
      </c>
      <c r="J71" s="17" t="n"/>
      <c r="K71" s="26" t="inlineStr">
        <is>
          <t>20555041137</t>
        </is>
      </c>
      <c r="L71" s="25">
        <f t="array" ref="L71">IF(K71="","",IFERROR(IF(INDEX(Clientes!$D$5:$D$549,MATCH(K71,Clientes!$C$5:$C$549,0))&lt;&gt;"",INDEX(Clientes!$D$5:$D$549,MATCH(K71,Clientes!$C$5:$C$549,0)),TRIM(INDEX(Clientes!$E$5:$E$549,MATCH(K71,Clientes!$C$5:$C$549,0))&amp;" "&amp;INDEX(Clientes!$F$5:$F$549,MATCH(K71,Clientes!$C$5:$C$549,0)))),"NO EXISTE en Clientes"))</f>
        <v/>
      </c>
      <c r="M71" s="17" t="n"/>
      <c r="N71" s="17" t="n"/>
      <c r="O71" s="42" t="n"/>
      <c r="P71" s="39">
        <f>IF(O71&lt;&gt;"",DATE(YEAR(O71)+5,MONTH(O71),1),IF(AND(M71&lt;&gt;"",N71&lt;&gt;""),DATE(M71+5,N71,1),""))</f>
        <v/>
      </c>
      <c r="Q71" s="23" t="n"/>
      <c r="R71" s="17" t="n"/>
      <c r="S71" s="17" t="n"/>
      <c r="T71" s="17" t="n"/>
      <c r="U71" s="17" t="n"/>
      <c r="V71" s="23" t="n"/>
      <c r="W71" s="17" t="n"/>
      <c r="X71" s="17" t="n"/>
      <c r="Y71" s="28">
        <f>IF(B71&lt;&gt;"OK","","SELECT bal_crear_balon(p_codigo_balon =&gt; "&amp;IF(TRIM(C71&amp;"")="","NULL","'"&amp;SUBSTITUTE(TRIM(C71),"'","''")&amp;"'")&amp;", p_id_tipo_balon =&gt; "&amp;"(SELECT id FROM bal_tipo_balon WHERE upper(nombre) = upper('"&amp;SUBSTITUTE(TRIM(D71),"'","''")&amp;"') AND estado = 1 LIMIT 1)"&amp;", p_id_producto_gas =&gt; "&amp;"(SELECT id FROM pro_producto WHERE es_gas = TRUE AND upper(nombre) = upper('"&amp;SUBSTITUTE(TRIM(E71),"'","''")&amp;"') AND estado = 1 LIMIT 1)"&amp;", p_id_propietario =&gt; "&amp;IF(TRIM(F71&amp;"")="","NULL","(SELECT lo.id FROM gen_lista_opciones lo JOIN gen_lista l ON l.id = lo.id_lista WHERE l.nombre = 'PropietarioBalon' AND upper(lo.nombre) = upper('"&amp;SUBSTITUTE(TRIM(F71),"'","''")&amp;"') AND lo.estado = 1 LIMIT 1)")&amp;", p_id_cliente_propietario =&gt; "&amp;IF(F71="CLIENTE",IF(TRIM(G71&amp;"")="","NULL","(SELECT id FROM cli_clientes WHERE numero_documento = '"&amp;SUBSTITUTE(TRIM(G71),"'","''")&amp;"' AND estado = 1 LIMIT 1)"),"NULL")&amp;", p_id_planta =&gt; "&amp;IF(F71="PLANTA",IF(TRIM(G71&amp;"")="","NULL","(SELECT id FROM cli_clientes WHERE numero_documento = '"&amp;SUBSTITUTE(TRIM(G71),"'","''")&amp;"'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"&amp;IF(TRIM(J71&amp;"")="","NULL","(SELECT id FROM gen_almacen WHERE upper(nombre) = upper('"&amp;SUBSTITUTE(TRIM(J71),"'","''")&amp;"') AND estado = 1 LIMIT 1)")&amp;", p_id_cliente_ubicacion =&gt; "&amp;IF(TRIM(K71&amp;"")="","NULL","(SELECT id FROM cli_clientes WHERE numero_documento = '"&amp;SUBSTITUTE(TRIM(K71),"'","''")&amp;"' AND estado = 1 LIMIT 1)")&amp;", p_id_referencia =&gt; "&amp;IF(TRIM(J71&amp;"")&lt;&gt;"","(SELECT lo.id FROM gen_lista_opciones lo JOIN gen_lista l ON l.id = lo.id_lista WHERE l.nombre = 'ReferenciaCilindro' AND upper(lo.nombre) = 'ALMACEN' AND lo.estado = 1 LIMIT 1)",IF(TRIM(K71&amp;"")&lt;&gt;"","(SELECT lo.id FROM gen_lista_opciones lo JOIN gen_lista l ON l.id = lo.id_lista WHERE l.nombre = 'ReferenciaCilindro' AND upper(lo.nombre) = 'CLIENTE' AND lo.estado = 1 LIMIT 1)","NULL"))&amp;", p_anio_fabricacion =&gt; "&amp;IF(M71&amp;""="","NULL::smallint",M71&amp;"::smallint")&amp;", p_mes_fabricacion =&gt; "&amp;IF(N71&amp;""="","NULL::smallint",N71&amp;"::smallint")&amp;", p_fecha_ultima_prueba_hidrostatica =&gt; "&amp;IF(O71&amp;""="","NULL","'"&amp;YEAR(O71)&amp;"-"&amp;TEXT(MONTH(O71),"00")&amp;"-"&amp;TEXT(DAY(O71),"00")&amp;"'")&amp;", p_numero_serie =&gt; "&amp;IF(TRIM(Q71&amp;"")="","NULL","'"&amp;SUBSTITUTE(TRIM(Q71),"'","''")&amp;"'")&amp;", p_id_marca_cilindro =&gt; "&amp;IF(TRIM(R71&amp;"")="","NULL","(SELECT lo.id FROM gen_lista_opciones lo JOIN gen_lista l ON l.id = lo.id_lista WHERE l.nombre = 'MarcaCilindro' AND upper(lo.nombre) = upper('"&amp;SUBSTITUTE(TRIM(R71),"'","''")&amp;"') AND lo.estado = 1 LIMIT 1)")&amp;", p_id_organo_inspector =&gt; "&amp;IF(TRIM(S71&amp;"")="","NULL","(SELECT lo.id FROM gen_lista_opciones lo JOIN gen_lista l ON l.id = lo.id_lista WHERE l.nombre = 'OrganoInspectorCilindro' AND upper(lo.nombre) = upper('"&amp;SUBSTITUTE(TRIM(S71),"'","''")&amp;"') AND lo.estado = 1 LIMIT 1)")&amp;", p_organo_inspector_no_aplica =&gt; "&amp;IF(S71="NO_APLICA","TRUE","FALSE")&amp;", p_presion_actual =&gt; "&amp;IF(T71&amp;""="","NULL",SUBSTITUTE(T71&amp;"",",","."))&amp;", p_tipo_valvula =&gt; "&amp;IF(TRIM(U71&amp;"")="","NULL","'"&amp;SUBSTITUTE(TRIM(U71),"'","''")&amp;"'")&amp;", p_libro_cilindro =&gt; "&amp;IF(TRIM(V71&amp;"")="","NULL","'"&amp;SUBSTITUTE(TRIM(V71),"'","''")&amp;"'")&amp;", p_pagina_libro =&gt; "&amp;IF(W71&amp;""="","NULL",SUBSTITUTE(W71&amp;"",",","."))&amp;", p_observacion =&gt; "&amp;IF(TRIM(X71&amp;"")="","NULL","'"&amp;SUBSTITUTE(TRIM(X71),"'","''")&amp;"'")&amp;") AS resultado_balon_"&amp;ROW()&amp;";")</f>
        <v/>
      </c>
    </row>
    <row r="72" ht="15.75" customHeight="1" s="64">
      <c r="A72" s="36" t="inlineStr">
        <is>
          <t>68</t>
        </is>
      </c>
      <c r="B72" s="25">
        <f>IF(AND(C72="",D72="",E72=""),"",IF(C72="","FALTA código balón",IF(D72="","FALTA tipo balón",IF(E72="","FALTA gas",IF(F72="","FALTA propietario",IF(AND(C72&lt;&gt;"",SUMPRODUCT(--($C$5:$C$1200=C72))&gt;1),"CÓDIGO BALÓN DUPLICADO",IF(AND(OR(UPPER(F72)="PLANTA",UPPER(F72)="CLIENTE"),G72=""),"FALTA doc propietario/planta",IF(AND(UPPER(F72)="PLANTA",G72="10175332796"),"PLANTA no puede ser RUC empresa","OK"))))))))</f>
        <v/>
      </c>
      <c r="C72" s="23" t="inlineStr">
        <is>
          <t>20Y455019</t>
        </is>
      </c>
      <c r="D72" s="17" t="inlineStr">
        <is>
          <t>Dióxido de carbono 30 kg</t>
        </is>
      </c>
      <c r="E72" s="17" t="inlineStr">
        <is>
          <t>DIÓXIDO DE CARBONO</t>
        </is>
      </c>
      <c r="F72" s="17" t="inlineStr">
        <is>
          <t>EMPRESA</t>
        </is>
      </c>
      <c r="G72" s="23" t="inlineStr">
        <is>
          <t>10175332796</t>
        </is>
      </c>
      <c r="H72" s="25" t="inlineStr">
        <is>
          <t>OXIGENO SARITA</t>
        </is>
      </c>
      <c r="I72" s="17" t="inlineStr">
        <is>
          <t>EN_RECARGA_EXTERNA</t>
        </is>
      </c>
      <c r="J72" s="17" t="n"/>
      <c r="K72" s="48" t="inlineStr">
        <is>
          <t>20536698834</t>
        </is>
      </c>
      <c r="L72" s="25">
        <f t="array" ref="L72">IF(K72="","",IFERROR(IF(INDEX(Clientes!$D$5:$D$549,MATCH(K72,Clientes!$C$5:$C$549,0))&lt;&gt;"",INDEX(Clientes!$D$5:$D$549,MATCH(K72,Clientes!$C$5:$C$549,0)),TRIM(INDEX(Clientes!$E$5:$E$549,MATCH(K72,Clientes!$C$5:$C$549,0))&amp;" "&amp;INDEX(Clientes!$F$5:$F$549,MATCH(K72,Clientes!$C$5:$C$549,0)))),"NO EXISTE en Clientes"))</f>
        <v/>
      </c>
      <c r="M72" s="17" t="n"/>
      <c r="N72" s="17" t="n"/>
      <c r="O72" s="42" t="n"/>
      <c r="P72" s="39">
        <f>IF(O72&lt;&gt;"",DATE(YEAR(O72)+5,MONTH(O72),1),IF(AND(M72&lt;&gt;"",N72&lt;&gt;""),DATE(M72+5,N72,1),""))</f>
        <v/>
      </c>
      <c r="Q72" s="23" t="n"/>
      <c r="R72" s="17" t="n"/>
      <c r="S72" s="17" t="n"/>
      <c r="T72" s="17" t="n"/>
      <c r="U72" s="17" t="n"/>
      <c r="V72" s="23" t="n"/>
      <c r="W72" s="17" t="n"/>
      <c r="X72" s="17" t="n"/>
      <c r="Y72" s="28">
        <f>IF(B72&lt;&gt;"OK","","SELECT bal_crear_balon(p_codigo_balon =&gt; "&amp;IF(TRIM(C72&amp;"")="","NULL","'"&amp;SUBSTITUTE(TRIM(C72),"'","''")&amp;"'")&amp;", p_id_tipo_balon =&gt; "&amp;"(SELECT id FROM bal_tipo_balon WHERE upper(nombre) = upper('"&amp;SUBSTITUTE(TRIM(D72),"'","''")&amp;"') AND estado = 1 LIMIT 1)"&amp;", p_id_producto_gas =&gt; "&amp;"(SELECT id FROM pro_producto WHERE es_gas = TRUE AND upper(nombre) = upper('"&amp;SUBSTITUTE(TRIM(E72),"'","''")&amp;"') AND estado = 1 LIMIT 1)"&amp;", p_id_propietario =&gt; "&amp;IF(TRIM(F72&amp;"")="","NULL","(SELECT lo.id FROM gen_lista_opciones lo JOIN gen_lista l ON l.id = lo.id_lista WHERE l.nombre = 'PropietarioBalon' AND upper(lo.nombre) = upper('"&amp;SUBSTITUTE(TRIM(F72),"'","''")&amp;"') AND lo.estado = 1 LIMIT 1)")&amp;", p_id_cliente_propietario =&gt; "&amp;IF(F72="CLIENTE",IF(TRIM(G72&amp;"")="","NULL","(SELECT id FROM cli_clientes WHERE numero_documento = '"&amp;SUBSTITUTE(TRIM(G72),"'","''")&amp;"' AND estado = 1 LIMIT 1)"),"NULL")&amp;", p_id_planta =&gt; "&amp;IF(F72="PLANTA",IF(TRIM(G72&amp;"")="","NULL","(SELECT id FROM cli_clientes WHERE numero_documento = '"&amp;SUBSTITUTE(TRIM(G72),"'","''")&amp;"'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"&amp;IF(TRIM(J72&amp;"")="","NULL","(SELECT id FROM gen_almacen WHERE upper(nombre) = upper('"&amp;SUBSTITUTE(TRIM(J72),"'","''")&amp;"') AND estado = 1 LIMIT 1)")&amp;", p_id_cliente_ubicacion =&gt; "&amp;IF(TRIM(K72&amp;"")="","NULL","(SELECT id FROM cli_clientes WHERE numero_documento = '"&amp;SUBSTITUTE(TRIM(K72),"'","''")&amp;"' AND estado = 1 LIMIT 1)")&amp;", p_id_referencia =&gt; "&amp;IF(TRIM(J72&amp;"")&lt;&gt;"","(SELECT lo.id FROM gen_lista_opciones lo JOIN gen_lista l ON l.id = lo.id_lista WHERE l.nombre = 'ReferenciaCilindro' AND upper(lo.nombre) = 'ALMACEN' AND lo.estado = 1 LIMIT 1)",IF(TRIM(K72&amp;"")&lt;&gt;"","(SELECT lo.id FROM gen_lista_opciones lo JOIN gen_lista l ON l.id = lo.id_lista WHERE l.nombre = 'ReferenciaCilindro' AND upper(lo.nombre) = 'CLIENTE' AND lo.estado = 1 LIMIT 1)","NULL"))&amp;", p_anio_fabricacion =&gt; "&amp;IF(M72&amp;""="","NULL::smallint",M72&amp;"::smallint")&amp;", p_mes_fabricacion =&gt; "&amp;IF(N72&amp;""="","NULL::smallint",N72&amp;"::smallint")&amp;", p_fecha_ultima_prueba_hidrostatica =&gt; "&amp;IF(O72&amp;""="","NULL","'"&amp;YEAR(O72)&amp;"-"&amp;TEXT(MONTH(O72),"00")&amp;"-"&amp;TEXT(DAY(O72),"00")&amp;"'")&amp;", p_numero_serie =&gt; "&amp;IF(TRIM(Q72&amp;"")="","NULL","'"&amp;SUBSTITUTE(TRIM(Q72),"'","''")&amp;"'")&amp;", p_id_marca_cilindro =&gt; "&amp;IF(TRIM(R72&amp;"")="","NULL","(SELECT lo.id FROM gen_lista_opciones lo JOIN gen_lista l ON l.id = lo.id_lista WHERE l.nombre = 'MarcaCilindro' AND upper(lo.nombre) = upper('"&amp;SUBSTITUTE(TRIM(R72),"'","''")&amp;"') AND lo.estado = 1 LIMIT 1)")&amp;", p_id_organo_inspector =&gt; "&amp;IF(TRIM(S72&amp;"")="","NULL","(SELECT lo.id FROM gen_lista_opciones lo JOIN gen_lista l ON l.id = lo.id_lista WHERE l.nombre = 'OrganoInspectorCilindro' AND upper(lo.nombre) = upper('"&amp;SUBSTITUTE(TRIM(S72),"'","''")&amp;"') AND lo.estado = 1 LIMIT 1)")&amp;", p_organo_inspector_no_aplica =&gt; "&amp;IF(S72="NO_APLICA","TRUE","FALSE")&amp;", p_presion_actual =&gt; "&amp;IF(T72&amp;""="","NULL",SUBSTITUTE(T72&amp;"",",","."))&amp;", p_tipo_valvula =&gt; "&amp;IF(TRIM(U72&amp;"")="","NULL","'"&amp;SUBSTITUTE(TRIM(U72),"'","''")&amp;"'")&amp;", p_libro_cilindro =&gt; "&amp;IF(TRIM(V72&amp;"")="","NULL","'"&amp;SUBSTITUTE(TRIM(V72),"'","''")&amp;"'")&amp;", p_pagina_libro =&gt; "&amp;IF(W72&amp;""="","NULL",SUBSTITUTE(W72&amp;"",",","."))&amp;", p_observacion =&gt; "&amp;IF(TRIM(X72&amp;"")="","NULL","'"&amp;SUBSTITUTE(TRIM(X72),"'","''")&amp;"'")&amp;") AS resultado_balon_"&amp;ROW()&amp;";")</f>
        <v/>
      </c>
    </row>
    <row r="73" ht="15.75" customHeight="1" s="64">
      <c r="A73" s="36" t="inlineStr">
        <is>
          <t>69</t>
        </is>
      </c>
      <c r="B73" s="25">
        <f>IF(AND(C73="",D73="",E73=""),"",IF(C73="","FALTA código balón",IF(D73="","FALTA tipo balón",IF(E73="","FALTA gas",IF(F73="","FALTA propietario",IF(AND(C73&lt;&gt;"",SUMPRODUCT(--($C$5:$C$1200=C73))&gt;1),"CÓDIGO BALÓN DUPLICADO",IF(AND(OR(UPPER(F73)="PLANTA",UPPER(F73)="CLIENTE"),G73=""),"FALTA doc propietario/planta",IF(AND(UPPER(F73)="PLANTA",G73="10175332796"),"PLANTA no puede ser RUC empresa","OK"))))))))</f>
        <v/>
      </c>
      <c r="C73" s="23" t="inlineStr">
        <is>
          <t>21X566177</t>
        </is>
      </c>
      <c r="D73" s="17" t="inlineStr">
        <is>
          <t>Argón Estándar 10 m3</t>
        </is>
      </c>
      <c r="E73" s="17" t="inlineStr">
        <is>
          <t>ARGON</t>
        </is>
      </c>
      <c r="F73" s="17" t="inlineStr">
        <is>
          <t>PLANTA</t>
        </is>
      </c>
      <c r="G73" s="23" t="inlineStr">
        <is>
          <t>20607948675</t>
        </is>
      </c>
      <c r="H73" s="25" t="inlineStr">
        <is>
          <t>INDUSTRIAS CRIOGENICAS DEL PERU S.A.C.</t>
        </is>
      </c>
      <c r="I73" s="17" t="inlineStr">
        <is>
          <t>DISPONIBLE</t>
        </is>
      </c>
      <c r="J73" s="17" t="inlineStr">
        <is>
          <t>ALMACEN PRINCIPAL</t>
        </is>
      </c>
      <c r="K73" s="23" t="n"/>
      <c r="L73" s="25">
        <f t="array" ref="L73">IF(K73="","",IFERROR(IF(INDEX(Clientes!$D$5:$D$549,MATCH(K73,Clientes!$C$5:$C$549,0))&lt;&gt;"",INDEX(Clientes!$D$5:$D$549,MATCH(K73,Clientes!$C$5:$C$549,0)),TRIM(INDEX(Clientes!$E$5:$E$549,MATCH(K73,Clientes!$C$5:$C$549,0))&amp;" "&amp;INDEX(Clientes!$F$5:$F$549,MATCH(K73,Clientes!$C$5:$C$549,0)))),"NO EXISTE en Clientes"))</f>
        <v/>
      </c>
      <c r="M73" s="17" t="n"/>
      <c r="N73" s="17" t="n"/>
      <c r="O73" s="42" t="n"/>
      <c r="P73" s="39">
        <f>IF(O73&lt;&gt;"",DATE(YEAR(O73)+5,MONTH(O73),1),IF(AND(M73&lt;&gt;"",N73&lt;&gt;""),DATE(M73+5,N73,1),""))</f>
        <v/>
      </c>
      <c r="Q73" s="23" t="n"/>
      <c r="R73" s="17" t="n"/>
      <c r="S73" s="17" t="n"/>
      <c r="T73" s="17" t="n"/>
      <c r="U73" s="17" t="n"/>
      <c r="V73" s="23" t="n"/>
      <c r="W73" s="17" t="n"/>
      <c r="X73" s="17" t="n"/>
      <c r="Y73" s="28">
        <f>IF(B73&lt;&gt;"OK","","SELECT bal_crear_balon(p_codigo_balon =&gt; "&amp;IF(TRIM(C73&amp;"")="","NULL","'"&amp;SUBSTITUTE(TRIM(C73),"'","''")&amp;"'")&amp;", p_id_tipo_balon =&gt; "&amp;"(SELECT id FROM bal_tipo_balon WHERE upper(nombre) = upper('"&amp;SUBSTITUTE(TRIM(D73),"'","''")&amp;"') AND estado = 1 LIMIT 1)"&amp;", p_id_producto_gas =&gt; "&amp;"(SELECT id FROM pro_producto WHERE es_gas = TRUE AND upper(nombre) = upper('"&amp;SUBSTITUTE(TRIM(E73),"'","''")&amp;"') AND estado = 1 LIMIT 1)"&amp;", p_id_propietario =&gt; "&amp;IF(TRIM(F73&amp;"")="","NULL","(SELECT lo.id FROM gen_lista_opciones lo JOIN gen_lista l ON l.id = lo.id_lista WHERE l.nombre = 'PropietarioBalon' AND upper(lo.nombre) = upper('"&amp;SUBSTITUTE(TRIM(F73),"'","''")&amp;"') AND lo.estado = 1 LIMIT 1)")&amp;", p_id_cliente_propietario =&gt; "&amp;IF(F73="CLIENTE",IF(TRIM(G73&amp;"")="","NULL","(SELECT id FROM cli_clientes WHERE numero_documento = '"&amp;SUBSTITUTE(TRIM(G73),"'","''")&amp;"' AND estado = 1 LIMIT 1)"),"NULL")&amp;", p_id_planta =&gt; "&amp;IF(F73="PLANTA",IF(TRIM(G73&amp;"")="","NULL","(SELECT id FROM cli_clientes WHERE numero_documento = '"&amp;SUBSTITUTE(TRIM(G73),"'","''")&amp;"'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"&amp;IF(TRIM(J73&amp;"")="","NULL","(SELECT id FROM gen_almacen WHERE upper(nombre) = upper('"&amp;SUBSTITUTE(TRIM(J73),"'","''")&amp;"') AND estado = 1 LIMIT 1)")&amp;", p_id_cliente_ubicacion =&gt; "&amp;IF(TRIM(K73&amp;"")="","NULL","(SELECT id FROM cli_clientes WHERE numero_documento = '"&amp;SUBSTITUTE(TRIM(K73),"'","''")&amp;"' AND estado = 1 LIMIT 1)")&amp;", p_id_referencia =&gt; "&amp;IF(TRIM(J73&amp;"")&lt;&gt;"","(SELECT lo.id FROM gen_lista_opciones lo JOIN gen_lista l ON l.id = lo.id_lista WHERE l.nombre = 'ReferenciaCilindro' AND upper(lo.nombre) = 'ALMACEN' AND lo.estado = 1 LIMIT 1)",IF(TRIM(K73&amp;"")&lt;&gt;"","(SELECT lo.id FROM gen_lista_opciones lo JOIN gen_lista l ON l.id = lo.id_lista WHERE l.nombre = 'ReferenciaCilindro' AND upper(lo.nombre) = 'CLIENTE' AND lo.estado = 1 LIMIT 1)","NULL"))&amp;", p_anio_fabricacion =&gt; "&amp;IF(M73&amp;""="","NULL::smallint",M73&amp;"::smallint")&amp;", p_mes_fabricacion =&gt; "&amp;IF(N73&amp;""="","NULL::smallint",N73&amp;"::smallint")&amp;", p_fecha_ultima_prueba_hidrostatica =&gt; "&amp;IF(O73&amp;""="","NULL","'"&amp;YEAR(O73)&amp;"-"&amp;TEXT(MONTH(O73),"00")&amp;"-"&amp;TEXT(DAY(O73),"00")&amp;"'")&amp;", p_numero_serie =&gt; "&amp;IF(TRIM(Q73&amp;"")="","NULL","'"&amp;SUBSTITUTE(TRIM(Q73),"'","''")&amp;"'")&amp;", p_id_marca_cilindro =&gt; "&amp;IF(TRIM(R73&amp;"")="","NULL","(SELECT lo.id FROM gen_lista_opciones lo JOIN gen_lista l ON l.id = lo.id_lista WHERE l.nombre = 'MarcaCilindro' AND upper(lo.nombre) = upper('"&amp;SUBSTITUTE(TRIM(R73),"'","''")&amp;"') AND lo.estado = 1 LIMIT 1)")&amp;", p_id_organo_inspector =&gt; "&amp;IF(TRIM(S73&amp;"")="","NULL","(SELECT lo.id FROM gen_lista_opciones lo JOIN gen_lista l ON l.id = lo.id_lista WHERE l.nombre = 'OrganoInspectorCilindro' AND upper(lo.nombre) = upper('"&amp;SUBSTITUTE(TRIM(S73),"'","''")&amp;"') AND lo.estado = 1 LIMIT 1)")&amp;", p_organo_inspector_no_aplica =&gt; "&amp;IF(S73="NO_APLICA","TRUE","FALSE")&amp;", p_presion_actual =&gt; "&amp;IF(T73&amp;""="","NULL",SUBSTITUTE(T73&amp;"",",","."))&amp;", p_tipo_valvula =&gt; "&amp;IF(TRIM(U73&amp;"")="","NULL","'"&amp;SUBSTITUTE(TRIM(U73),"'","''")&amp;"'")&amp;", p_libro_cilindro =&gt; "&amp;IF(TRIM(V73&amp;"")="","NULL","'"&amp;SUBSTITUTE(TRIM(V73),"'","''")&amp;"'")&amp;", p_pagina_libro =&gt; "&amp;IF(W73&amp;""="","NULL",SUBSTITUTE(W73&amp;"",",","."))&amp;", p_observacion =&gt; "&amp;IF(TRIM(X73&amp;"")="","NULL","'"&amp;SUBSTITUTE(TRIM(X73),"'","''")&amp;"'")&amp;") AS resultado_balon_"&amp;ROW()&amp;";")</f>
        <v/>
      </c>
    </row>
    <row r="74" ht="15.75" customHeight="1" s="64">
      <c r="A74" s="36" t="inlineStr">
        <is>
          <t>70</t>
        </is>
      </c>
      <c r="B74" s="25">
        <f>IF(AND(C74="",D74="",E74=""),"",IF(C74="","FALTA código balón",IF(D74="","FALTA tipo balón",IF(E74="","FALTA gas",IF(F74="","FALTA propietario",IF(AND(C74&lt;&gt;"",SUMPRODUCT(--($C$5:$C$1200=C74))&gt;1),"CÓDIGO BALÓN DUPLICADO",IF(AND(OR(UPPER(F74)="PLANTA",UPPER(F74)="CLIENTE"),G74=""),"FALTA doc propietario/planta",IF(AND(UPPER(F74)="PLANTA",G74="10175332796"),"PLANTA no puede ser RUC empresa","OK"))))))))</f>
        <v/>
      </c>
      <c r="C74" s="23" t="inlineStr">
        <is>
          <t>21X647144</t>
        </is>
      </c>
      <c r="D74" s="17" t="inlineStr">
        <is>
          <t>Nitrógeno 10 m³</t>
        </is>
      </c>
      <c r="E74" s="17" t="inlineStr">
        <is>
          <t>NITROGENO</t>
        </is>
      </c>
      <c r="F74" s="17" t="inlineStr">
        <is>
          <t>PLANTA</t>
        </is>
      </c>
      <c r="G74" s="23" t="inlineStr">
        <is>
          <t>20607948675</t>
        </is>
      </c>
      <c r="H74" s="25" t="inlineStr">
        <is>
          <t>INDUSTRIAS CRIOGENICAS DEL PERU S.A.C.</t>
        </is>
      </c>
      <c r="I74" s="17" t="inlineStr">
        <is>
          <t>DISPONIBLE</t>
        </is>
      </c>
      <c r="J74" s="17" t="inlineStr">
        <is>
          <t>ALMACEN PRINCIPAL</t>
        </is>
      </c>
      <c r="K74" s="23" t="n"/>
      <c r="L74" s="25">
        <f t="array" ref="L74">IF(K74="","",IFERROR(IF(INDEX(Clientes!$D$5:$D$549,MATCH(K74,Clientes!$C$5:$C$549,0))&lt;&gt;"",INDEX(Clientes!$D$5:$D$549,MATCH(K74,Clientes!$C$5:$C$549,0)),TRIM(INDEX(Clientes!$E$5:$E$549,MATCH(K74,Clientes!$C$5:$C$549,0))&amp;" "&amp;INDEX(Clientes!$F$5:$F$549,MATCH(K74,Clientes!$C$5:$C$549,0)))),"NO EXISTE en Clientes"))</f>
        <v/>
      </c>
      <c r="M74" s="17" t="n"/>
      <c r="N74" s="17" t="n"/>
      <c r="O74" s="42" t="n"/>
      <c r="P74" s="39">
        <f>IF(O74&lt;&gt;"",DATE(YEAR(O74)+5,MONTH(O74),1),IF(AND(M74&lt;&gt;"",N74&lt;&gt;""),DATE(M74+5,N74,1),""))</f>
        <v/>
      </c>
      <c r="Q74" s="23" t="n"/>
      <c r="R74" s="17" t="n"/>
      <c r="S74" s="17" t="n"/>
      <c r="T74" s="17" t="n"/>
      <c r="U74" s="17" t="n"/>
      <c r="V74" s="23" t="n"/>
      <c r="W74" s="17" t="n"/>
      <c r="X74" s="17" t="n"/>
      <c r="Y74" s="28">
        <f>IF(B74&lt;&gt;"OK","","SELECT bal_crear_balon(p_codigo_balon =&gt; "&amp;IF(TRIM(C74&amp;"")="","NULL","'"&amp;SUBSTITUTE(TRIM(C74),"'","''")&amp;"'")&amp;", p_id_tipo_balon =&gt; "&amp;"(SELECT id FROM bal_tipo_balon WHERE upper(nombre) = upper('"&amp;SUBSTITUTE(TRIM(D74),"'","''")&amp;"') AND estado = 1 LIMIT 1)"&amp;", p_id_producto_gas =&gt; "&amp;"(SELECT id FROM pro_producto WHERE es_gas = TRUE AND upper(nombre) = upper('"&amp;SUBSTITUTE(TRIM(E74),"'","''")&amp;"') AND estado = 1 LIMIT 1)"&amp;", p_id_propietario =&gt; "&amp;IF(TRIM(F74&amp;"")="","NULL","(SELECT lo.id FROM gen_lista_opciones lo JOIN gen_lista l ON l.id = lo.id_lista WHERE l.nombre = 'PropietarioBalon' AND upper(lo.nombre) = upper('"&amp;SUBSTITUTE(TRIM(F74),"'","''")&amp;"') AND lo.estado = 1 LIMIT 1)")&amp;", p_id_cliente_propietario =&gt; "&amp;IF(F74="CLIENTE",IF(TRIM(G74&amp;"")="","NULL","(SELECT id FROM cli_clientes WHERE numero_documento = '"&amp;SUBSTITUTE(TRIM(G74),"'","''")&amp;"' AND estado = 1 LIMIT 1)"),"NULL")&amp;", p_id_planta =&gt; "&amp;IF(F74="PLANTA",IF(TRIM(G74&amp;"")="","NULL","(SELECT id FROM cli_clientes WHERE numero_documento = '"&amp;SUBSTITUTE(TRIM(G74),"'","''")&amp;"'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"&amp;IF(TRIM(J74&amp;"")="","NULL","(SELECT id FROM gen_almacen WHERE upper(nombre) = upper('"&amp;SUBSTITUTE(TRIM(J74),"'","''")&amp;"') AND estado = 1 LIMIT 1)")&amp;", p_id_cliente_ubicacion =&gt; "&amp;IF(TRIM(K74&amp;"")="","NULL","(SELECT id FROM cli_clientes WHERE numero_documento = '"&amp;SUBSTITUTE(TRIM(K74),"'","''")&amp;"' AND estado = 1 LIMIT 1)")&amp;", p_id_referencia =&gt; "&amp;IF(TRIM(J74&amp;"")&lt;&gt;"","(SELECT lo.id FROM gen_lista_opciones lo JOIN gen_lista l ON l.id = lo.id_lista WHERE l.nombre = 'ReferenciaCilindro' AND upper(lo.nombre) = 'ALMACEN' AND lo.estado = 1 LIMIT 1)",IF(TRIM(K74&amp;"")&lt;&gt;"","(SELECT lo.id FROM gen_lista_opciones lo JOIN gen_lista l ON l.id = lo.id_lista WHERE l.nombre = 'ReferenciaCilindro' AND upper(lo.nombre) = 'CLIENTE' AND lo.estado = 1 LIMIT 1)","NULL"))&amp;", p_anio_fabricacion =&gt; "&amp;IF(M74&amp;""="","NULL::smallint",M74&amp;"::smallint")&amp;", p_mes_fabricacion =&gt; "&amp;IF(N74&amp;""="","NULL::smallint",N74&amp;"::smallint")&amp;", p_fecha_ultima_prueba_hidrostatica =&gt; "&amp;IF(O74&amp;""="","NULL","'"&amp;YEAR(O74)&amp;"-"&amp;TEXT(MONTH(O74),"00")&amp;"-"&amp;TEXT(DAY(O74),"00")&amp;"'")&amp;", p_numero_serie =&gt; "&amp;IF(TRIM(Q74&amp;"")="","NULL","'"&amp;SUBSTITUTE(TRIM(Q74),"'","''")&amp;"'")&amp;", p_id_marca_cilindro =&gt; "&amp;IF(TRIM(R74&amp;"")="","NULL","(SELECT lo.id FROM gen_lista_opciones lo JOIN gen_lista l ON l.id = lo.id_lista WHERE l.nombre = 'MarcaCilindro' AND upper(lo.nombre) = upper('"&amp;SUBSTITUTE(TRIM(R74),"'","''")&amp;"') AND lo.estado = 1 LIMIT 1)")&amp;", p_id_organo_inspector =&gt; "&amp;IF(TRIM(S74&amp;"")="","NULL","(SELECT lo.id FROM gen_lista_opciones lo JOIN gen_lista l ON l.id = lo.id_lista WHERE l.nombre = 'OrganoInspectorCilindro' AND upper(lo.nombre) = upper('"&amp;SUBSTITUTE(TRIM(S74),"'","''")&amp;"') AND lo.estado = 1 LIMIT 1)")&amp;", p_organo_inspector_no_aplica =&gt; "&amp;IF(S74="NO_APLICA","TRUE","FALSE")&amp;", p_presion_actual =&gt; "&amp;IF(T74&amp;""="","NULL",SUBSTITUTE(T74&amp;"",",","."))&amp;", p_tipo_valvula =&gt; "&amp;IF(TRIM(U74&amp;"")="","NULL","'"&amp;SUBSTITUTE(TRIM(U74),"'","''")&amp;"'")&amp;", p_libro_cilindro =&gt; "&amp;IF(TRIM(V74&amp;"")="","NULL","'"&amp;SUBSTITUTE(TRIM(V74),"'","''")&amp;"'")&amp;", p_pagina_libro =&gt; "&amp;IF(W74&amp;""="","NULL",SUBSTITUTE(W74&amp;"",",","."))&amp;", p_observacion =&gt; "&amp;IF(TRIM(X74&amp;"")="","NULL","'"&amp;SUBSTITUTE(TRIM(X74),"'","''")&amp;"'")&amp;") AS resultado_balon_"&amp;ROW()&amp;";")</f>
        <v/>
      </c>
    </row>
    <row r="75" ht="15.75" customHeight="1" s="64">
      <c r="A75" s="36" t="inlineStr">
        <is>
          <t>71</t>
        </is>
      </c>
      <c r="B75" s="25">
        <f>IF(AND(C75="",D75="",E75=""),"",IF(C75="","FALTA código balón",IF(D75="","FALTA tipo balón",IF(E75="","FALTA gas",IF(F75="","FALTA propietario",IF(AND(C75&lt;&gt;"",SUMPRODUCT(--($C$5:$C$1200=C75))&gt;1),"CÓDIGO BALÓN DUPLICADO",IF(AND(OR(UPPER(F75)="PLANTA",UPPER(F75)="CLIENTE"),G75=""),"FALTA doc propietario/planta",IF(AND(UPPER(F75)="PLANTA",G75="10175332796"),"PLANTA no puede ser RUC empresa","OK"))))))))</f>
        <v/>
      </c>
      <c r="C75" s="23" t="inlineStr">
        <is>
          <t>J25635113</t>
        </is>
      </c>
      <c r="D75" s="17" t="inlineStr">
        <is>
          <t>Nitrógeno 10 m³</t>
        </is>
      </c>
      <c r="E75" s="17" t="inlineStr">
        <is>
          <t>NITROGENO</t>
        </is>
      </c>
      <c r="F75" s="17" t="inlineStr">
        <is>
          <t>PLANTA</t>
        </is>
      </c>
      <c r="G75" s="23" t="inlineStr">
        <is>
          <t>20607948675</t>
        </is>
      </c>
      <c r="H75" s="25" t="inlineStr">
        <is>
          <t>INDUSTRIAS CRIOGENICAS DEL PERU S.A.C.</t>
        </is>
      </c>
      <c r="I75" s="17" t="inlineStr">
        <is>
          <t>DISPONIBLE</t>
        </is>
      </c>
      <c r="J75" s="17" t="inlineStr">
        <is>
          <t>ALMACEN PRINCIPAL</t>
        </is>
      </c>
      <c r="K75" s="23" t="n"/>
      <c r="L75" s="25">
        <f t="array" ref="L75">IF(K75="","",IFERROR(IF(INDEX(Clientes!$D$5:$D$549,MATCH(K75,Clientes!$C$5:$C$549,0))&lt;&gt;"",INDEX(Clientes!$D$5:$D$549,MATCH(K75,Clientes!$C$5:$C$549,0)),TRIM(INDEX(Clientes!$E$5:$E$549,MATCH(K75,Clientes!$C$5:$C$549,0))&amp;" "&amp;INDEX(Clientes!$F$5:$F$549,MATCH(K75,Clientes!$C$5:$C$549,0)))),"NO EXISTE en Clientes"))</f>
        <v/>
      </c>
      <c r="M75" s="17" t="n"/>
      <c r="N75" s="17" t="n"/>
      <c r="O75" s="42" t="n"/>
      <c r="P75" s="39">
        <f>IF(O75&lt;&gt;"",DATE(YEAR(O75)+5,MONTH(O75),1),IF(AND(M75&lt;&gt;"",N75&lt;&gt;""),DATE(M75+5,N75,1),""))</f>
        <v/>
      </c>
      <c r="Q75" s="23" t="n"/>
      <c r="R75" s="17" t="n"/>
      <c r="S75" s="17" t="n"/>
      <c r="T75" s="17" t="n"/>
      <c r="U75" s="17" t="n"/>
      <c r="V75" s="23" t="n"/>
      <c r="W75" s="17" t="n"/>
      <c r="X75" s="17" t="n"/>
      <c r="Y75" s="28">
        <f>IF(B75&lt;&gt;"OK","","SELECT bal_crear_balon(p_codigo_balon =&gt; "&amp;IF(TRIM(C75&amp;"")="","NULL","'"&amp;SUBSTITUTE(TRIM(C75),"'","''")&amp;"'")&amp;", p_id_tipo_balon =&gt; "&amp;"(SELECT id FROM bal_tipo_balon WHERE upper(nombre) = upper('"&amp;SUBSTITUTE(TRIM(D75),"'","''")&amp;"') AND estado = 1 LIMIT 1)"&amp;", p_id_producto_gas =&gt; "&amp;"(SELECT id FROM pro_producto WHERE es_gas = TRUE AND upper(nombre) = upper('"&amp;SUBSTITUTE(TRIM(E75),"'","''")&amp;"') AND estado = 1 LIMIT 1)"&amp;", p_id_propietario =&gt; "&amp;IF(TRIM(F75&amp;"")="","NULL","(SELECT lo.id FROM gen_lista_opciones lo JOIN gen_lista l ON l.id = lo.id_lista WHERE l.nombre = 'PropietarioBalon' AND upper(lo.nombre) = upper('"&amp;SUBSTITUTE(TRIM(F75),"'","''")&amp;"') AND lo.estado = 1 LIMIT 1)")&amp;", p_id_cliente_propietario =&gt; "&amp;IF(F75="CLIENTE",IF(TRIM(G75&amp;"")="","NULL","(SELECT id FROM cli_clientes WHERE numero_documento = '"&amp;SUBSTITUTE(TRIM(G75),"'","''")&amp;"' AND estado = 1 LIMIT 1)"),"NULL")&amp;", p_id_planta =&gt; "&amp;IF(F75="PLANTA",IF(TRIM(G75&amp;"")="","NULL","(SELECT id FROM cli_clientes WHERE numero_documento = '"&amp;SUBSTITUTE(TRIM(G75),"'","''")&amp;"'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"&amp;IF(TRIM(J75&amp;"")="","NULL","(SELECT id FROM gen_almacen WHERE upper(nombre) = upper('"&amp;SUBSTITUTE(TRIM(J75),"'","''")&amp;"') AND estado = 1 LIMIT 1)")&amp;", p_id_cliente_ubicacion =&gt; "&amp;IF(TRIM(K75&amp;"")="","NULL","(SELECT id FROM cli_clientes WHERE numero_documento = '"&amp;SUBSTITUTE(TRIM(K75),"'","''")&amp;"' AND estado = 1 LIMIT 1)")&amp;", p_id_referencia =&gt; "&amp;IF(TRIM(J75&amp;"")&lt;&gt;"","(SELECT lo.id FROM gen_lista_opciones lo JOIN gen_lista l ON l.id = lo.id_lista WHERE l.nombre = 'ReferenciaCilindro' AND upper(lo.nombre) = 'ALMACEN' AND lo.estado = 1 LIMIT 1)",IF(TRIM(K75&amp;"")&lt;&gt;"","(SELECT lo.id FROM gen_lista_opciones lo JOIN gen_lista l ON l.id = lo.id_lista WHERE l.nombre = 'ReferenciaCilindro' AND upper(lo.nombre) = 'CLIENTE' AND lo.estado = 1 LIMIT 1)","NULL"))&amp;", p_anio_fabricacion =&gt; "&amp;IF(M75&amp;""="","NULL::smallint",M75&amp;"::smallint")&amp;", p_mes_fabricacion =&gt; "&amp;IF(N75&amp;""="","NULL::smallint",N75&amp;"::smallint")&amp;", p_fecha_ultima_prueba_hidrostatica =&gt; "&amp;IF(O75&amp;""="","NULL","'"&amp;YEAR(O75)&amp;"-"&amp;TEXT(MONTH(O75),"00")&amp;"-"&amp;TEXT(DAY(O75),"00")&amp;"'")&amp;", p_numero_serie =&gt; "&amp;IF(TRIM(Q75&amp;"")="","NULL","'"&amp;SUBSTITUTE(TRIM(Q75),"'","''")&amp;"'")&amp;", p_id_marca_cilindro =&gt; "&amp;IF(TRIM(R75&amp;"")="","NULL","(SELECT lo.id FROM gen_lista_opciones lo JOIN gen_lista l ON l.id = lo.id_lista WHERE l.nombre = 'MarcaCilindro' AND upper(lo.nombre) = upper('"&amp;SUBSTITUTE(TRIM(R75),"'","''")&amp;"') AND lo.estado = 1 LIMIT 1)")&amp;", p_id_organo_inspector =&gt; "&amp;IF(TRIM(S75&amp;"")="","NULL","(SELECT lo.id FROM gen_lista_opciones lo JOIN gen_lista l ON l.id = lo.id_lista WHERE l.nombre = 'OrganoInspectorCilindro' AND upper(lo.nombre) = upper('"&amp;SUBSTITUTE(TRIM(S75),"'","''")&amp;"') AND lo.estado = 1 LIMIT 1)")&amp;", p_organo_inspector_no_aplica =&gt; "&amp;IF(S75="NO_APLICA","TRUE","FALSE")&amp;", p_presion_actual =&gt; "&amp;IF(T75&amp;""="","NULL",SUBSTITUTE(T75&amp;"",",","."))&amp;", p_tipo_valvula =&gt; "&amp;IF(TRIM(U75&amp;"")="","NULL","'"&amp;SUBSTITUTE(TRIM(U75),"'","''")&amp;"'")&amp;", p_libro_cilindro =&gt; "&amp;IF(TRIM(V75&amp;"")="","NULL","'"&amp;SUBSTITUTE(TRIM(V75),"'","''")&amp;"'")&amp;", p_pagina_libro =&gt; "&amp;IF(W75&amp;""="","NULL",SUBSTITUTE(W75&amp;"",",","."))&amp;", p_observacion =&gt; "&amp;IF(TRIM(X75&amp;"")="","NULL","'"&amp;SUBSTITUTE(TRIM(X75),"'","''")&amp;"'")&amp;") AS resultado_balon_"&amp;ROW()&amp;";")</f>
        <v/>
      </c>
    </row>
    <row r="76" ht="15.75" customHeight="1" s="64">
      <c r="A76" s="36" t="inlineStr">
        <is>
          <t>72</t>
        </is>
      </c>
      <c r="B76" s="25">
        <f>IF(AND(C76="",D76="",E76=""),"",IF(C76="","FALTA código balón",IF(D76="","FALTA tipo balón",IF(E76="","FALTA gas",IF(F76="","FALTA propietario",IF(AND(C76&lt;&gt;"",SUMPRODUCT(--($C$5:$C$1200=C76))&gt;1),"CÓDIGO BALÓN DUPLICADO",IF(AND(OR(UPPER(F76)="PLANTA",UPPER(F76)="CLIENTE"),G76=""),"FALTA doc propietario/planta",IF(AND(UPPER(F76)="PLANTA",G76="10175332796"),"PLANTA no puede ser RUC empresa","OK"))))))))</f>
        <v/>
      </c>
      <c r="C76" s="23" t="inlineStr">
        <is>
          <t>GTA217185</t>
        </is>
      </c>
      <c r="D76" s="17" t="inlineStr">
        <is>
          <t>Oxígeno Industrial 6 m³</t>
        </is>
      </c>
      <c r="E76" s="17" t="inlineStr">
        <is>
          <t>OXIGENO INDUSTRIAL</t>
        </is>
      </c>
      <c r="F76" s="17" t="inlineStr">
        <is>
          <t>EMPRESA</t>
        </is>
      </c>
      <c r="G76" s="23" t="inlineStr">
        <is>
          <t>10175332796</t>
        </is>
      </c>
      <c r="H76" s="25" t="inlineStr">
        <is>
          <t>OXIGENO SARITA</t>
        </is>
      </c>
      <c r="I76" s="17" t="inlineStr">
        <is>
          <t>DISPONIBLE</t>
        </is>
      </c>
      <c r="J76" s="17" t="inlineStr">
        <is>
          <t>ALMACEN PRINCIPAL</t>
        </is>
      </c>
      <c r="K76" s="23" t="n"/>
      <c r="L76" s="25">
        <f t="array" ref="L76">IF(K76="","",IFERROR(IF(INDEX(Clientes!$D$5:$D$549,MATCH(K76,Clientes!$C$5:$C$549,0))&lt;&gt;"",INDEX(Clientes!$D$5:$D$549,MATCH(K76,Clientes!$C$5:$C$549,0)),TRIM(INDEX(Clientes!$E$5:$E$549,MATCH(K76,Clientes!$C$5:$C$549,0))&amp;" "&amp;INDEX(Clientes!$F$5:$F$549,MATCH(K76,Clientes!$C$5:$C$549,0)))),"NO EXISTE en Clientes"))</f>
        <v/>
      </c>
      <c r="M76" s="17" t="n">
        <v>2020</v>
      </c>
      <c r="N76" s="17" t="n">
        <v>12</v>
      </c>
      <c r="O76" s="42" t="n">
        <v>44166</v>
      </c>
      <c r="P76" s="39">
        <f>IF(O76&lt;&gt;"",DATE(YEAR(O76)+10,MONTH(O76),1),IF(AND(M76&lt;&gt;"",N76&lt;&gt;""),DATE(M76+5,N76,1),""))</f>
        <v/>
      </c>
      <c r="Q76" s="23" t="n"/>
      <c r="R76" s="17" t="inlineStr">
        <is>
          <t>ALEMANA</t>
        </is>
      </c>
      <c r="S76" s="17" t="inlineStr">
        <is>
          <t>TS</t>
        </is>
      </c>
      <c r="T76" s="17" t="n">
        <v>2000</v>
      </c>
      <c r="U76" s="17" t="inlineStr">
        <is>
          <t>AMERICANA</t>
        </is>
      </c>
      <c r="V76" s="23" t="n"/>
      <c r="W76" s="17" t="n"/>
      <c r="X76" s="17" t="n"/>
      <c r="Y76" s="28">
        <f>IF(B76&lt;&gt;"OK","","SELECT bal_crear_balon(p_codigo_balon =&gt; "&amp;IF(TRIM(C76&amp;"")="","NULL","'"&amp;SUBSTITUTE(TRIM(C76),"'","''")&amp;"'")&amp;", p_id_tipo_balon =&gt; "&amp;"(SELECT id FROM bal_tipo_balon WHERE upper(nombre) = upper('"&amp;SUBSTITUTE(TRIM(D76),"'","''")&amp;"') AND estado = 1 LIMIT 1)"&amp;", p_id_producto_gas =&gt; "&amp;"(SELECT id FROM pro_producto WHERE es_gas = TRUE AND upper(nombre) = upper('"&amp;SUBSTITUTE(TRIM(E76),"'","''")&amp;"') AND estado = 1 LIMIT 1)"&amp;", p_id_propietario =&gt; "&amp;IF(TRIM(F76&amp;"")="","NULL","(SELECT lo.id FROM gen_lista_opciones lo JOIN gen_lista l ON l.id = lo.id_lista WHERE l.nombre = 'PropietarioBalon' AND upper(lo.nombre) = upper('"&amp;SUBSTITUTE(TRIM(F76),"'","''")&amp;"') AND lo.estado = 1 LIMIT 1)")&amp;", p_id_cliente_propietario =&gt; "&amp;IF(F76="CLIENTE",IF(TRIM(G76&amp;"")="","NULL","(SELECT id FROM cli_clientes WHERE numero_documento = '"&amp;SUBSTITUTE(TRIM(G76),"'","''")&amp;"' AND estado = 1 LIMIT 1)"),"NULL")&amp;", p_id_planta =&gt; "&amp;IF(F76="PLANTA",IF(TRIM(G76&amp;"")="","NULL","(SELECT id FROM cli_clientes WHERE numero_documento = '"&amp;SUBSTITUTE(TRIM(G76),"'","''")&amp;"'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"&amp;IF(TRIM(J76&amp;"")="","NULL","(SELECT id FROM gen_almacen WHERE upper(nombre) = upper('"&amp;SUBSTITUTE(TRIM(J76),"'","''")&amp;"') AND estado = 1 LIMIT 1)")&amp;", p_id_cliente_ubicacion =&gt; "&amp;IF(TRIM(K76&amp;"")="","NULL","(SELECT id FROM cli_clientes WHERE numero_documento = '"&amp;SUBSTITUTE(TRIM(K76),"'","''")&amp;"' AND estado = 1 LIMIT 1)")&amp;", p_id_referencia =&gt; "&amp;IF(TRIM(J76&amp;"")&lt;&gt;"","(SELECT lo.id FROM gen_lista_opciones lo JOIN gen_lista l ON l.id = lo.id_lista WHERE l.nombre = 'ReferenciaCilindro' AND upper(lo.nombre) = 'ALMACEN' AND lo.estado = 1 LIMIT 1)",IF(TRIM(K76&amp;"")&lt;&gt;"","(SELECT lo.id FROM gen_lista_opciones lo JOIN gen_lista l ON l.id = lo.id_lista WHERE l.nombre = 'ReferenciaCilindro' AND upper(lo.nombre) = 'CLIENTE' AND lo.estado = 1 LIMIT 1)","NULL"))&amp;", p_anio_fabricacion =&gt; "&amp;IF(M76&amp;""="","NULL::smallint",M76&amp;"::smallint")&amp;", p_mes_fabricacion =&gt; "&amp;IF(N76&amp;""="","NULL::smallint",N76&amp;"::smallint")&amp;", p_fecha_ultima_prueba_hidrostatica =&gt; "&amp;IF(O76&amp;""="","NULL","'"&amp;YEAR(O76)&amp;"-"&amp;TEXT(MONTH(O76),"00")&amp;"-"&amp;TEXT(DAY(O76),"00")&amp;"'")&amp;", p_numero_serie =&gt; "&amp;IF(TRIM(Q76&amp;"")="","NULL","'"&amp;SUBSTITUTE(TRIM(Q76),"'","''")&amp;"'")&amp;", p_id_marca_cilindro =&gt; "&amp;IF(TRIM(R76&amp;"")="","NULL","(SELECT lo.id FROM gen_lista_opciones lo JOIN gen_lista l ON l.id = lo.id_lista WHERE l.nombre = 'MarcaCilindro' AND upper(lo.nombre) = upper('"&amp;SUBSTITUTE(TRIM(R76),"'","''")&amp;"') AND lo.estado = 1 LIMIT 1)")&amp;", p_id_organo_inspector =&gt; "&amp;IF(TRIM(S76&amp;"")="","NULL","(SELECT lo.id FROM gen_lista_opciones lo JOIN gen_lista l ON l.id = lo.id_lista WHERE l.nombre = 'OrganoInspectorCilindro' AND upper(lo.nombre) = upper('"&amp;SUBSTITUTE(TRIM(S76),"'","''")&amp;"') AND lo.estado = 1 LIMIT 1)")&amp;", p_organo_inspector_no_aplica =&gt; "&amp;IF(S76="NO_APLICA","TRUE","FALSE")&amp;", p_presion_actual =&gt; "&amp;IF(T76&amp;""="","NULL",SUBSTITUTE(T76&amp;"",",","."))&amp;", p_tipo_valvula =&gt; "&amp;IF(TRIM(U76&amp;"")="","NULL","'"&amp;SUBSTITUTE(TRIM(U76),"'","''")&amp;"'")&amp;", p_libro_cilindro =&gt; "&amp;IF(TRIM(V76&amp;"")="","NULL","'"&amp;SUBSTITUTE(TRIM(V76),"'","''")&amp;"'")&amp;", p_pagina_libro =&gt; "&amp;IF(W76&amp;""="","NULL",SUBSTITUTE(W76&amp;"",",","."))&amp;", p_observacion =&gt; "&amp;IF(TRIM(X76&amp;"")="","NULL","'"&amp;SUBSTITUTE(TRIM(X76),"'","''")&amp;"'")&amp;") AS resultado_balon_"&amp;ROW()&amp;";")</f>
        <v/>
      </c>
    </row>
    <row r="77" ht="15.75" customHeight="1" s="64">
      <c r="A77" s="36" t="inlineStr">
        <is>
          <t>73</t>
        </is>
      </c>
      <c r="B77" s="25">
        <f>IF(AND(C77="",D77="",E77=""),"",IF(C77="","FALTA código balón",IF(D77="","FALTA tipo balón",IF(E77="","FALTA gas",IF(F77="","FALTA propietario",IF(AND(C77&lt;&gt;"",SUMPRODUCT(--($C$5:$C$1200=C77))&gt;1),"CÓDIGO BALÓN DUPLICADO",IF(AND(OR(UPPER(F77)="PLANTA",UPPER(F77)="CLIENTE"),G77=""),"FALTA doc propietario/planta",IF(AND(UPPER(F77)="PLANTA",G77="10175332796"),"PLANTA no puede ser RUC empresa","OK"))))))))</f>
        <v/>
      </c>
      <c r="C77" s="23" t="inlineStr">
        <is>
          <t>YA20Y120160</t>
        </is>
      </c>
      <c r="D77" s="17" t="inlineStr">
        <is>
          <t>Oxígeno Industrial 10 m³</t>
        </is>
      </c>
      <c r="E77" s="17" t="inlineStr">
        <is>
          <t>OXIGENO INDUSTRIAL</t>
        </is>
      </c>
      <c r="F77" s="17" t="inlineStr">
        <is>
          <t>EMPRESA</t>
        </is>
      </c>
      <c r="G77" s="23" t="inlineStr">
        <is>
          <t>10175332796</t>
        </is>
      </c>
      <c r="H77" s="25" t="inlineStr">
        <is>
          <t>OXIGENO SARITA</t>
        </is>
      </c>
      <c r="I77" s="17" t="inlineStr">
        <is>
          <t>DISPONIBLE</t>
        </is>
      </c>
      <c r="J77" s="17" t="inlineStr">
        <is>
          <t>ALMACEN PRINCIPAL</t>
        </is>
      </c>
      <c r="K77" s="23" t="n"/>
      <c r="L77" s="25">
        <f t="array" ref="L77">IF(K77="","",IFERROR(IF(INDEX(Clientes!$D$5:$D$549,MATCH(K77,Clientes!$C$5:$C$549,0))&lt;&gt;"",INDEX(Clientes!$D$5:$D$549,MATCH(K77,Clientes!$C$5:$C$549,0)),TRIM(INDEX(Clientes!$E$5:$E$549,MATCH(K77,Clientes!$C$5:$C$549,0))&amp;" "&amp;INDEX(Clientes!$F$5:$F$549,MATCH(K77,Clientes!$C$5:$C$549,0)))),"NO EXISTE en Clientes"))</f>
        <v/>
      </c>
      <c r="M77" s="17" t="n">
        <v>2020</v>
      </c>
      <c r="N77" s="17" t="n">
        <v>6</v>
      </c>
      <c r="O77" s="42" t="n">
        <v>43983</v>
      </c>
      <c r="P77" s="39">
        <f>IF(O77&lt;&gt;"",DATE(YEAR(O77)+10,MONTH(O77),1),IF(AND(M77&lt;&gt;"",N77&lt;&gt;""),DATE(M77+5,N77,1),""))</f>
        <v/>
      </c>
      <c r="Q77" s="23" t="n"/>
      <c r="R77" s="17" t="inlineStr">
        <is>
          <t>YA</t>
        </is>
      </c>
      <c r="S77" s="17" t="inlineStr">
        <is>
          <t>NO TIENE</t>
        </is>
      </c>
      <c r="T77" s="17" t="n">
        <v>2800</v>
      </c>
      <c r="U77" s="17" t="inlineStr">
        <is>
          <t>CHINA</t>
        </is>
      </c>
      <c r="V77" s="23" t="n"/>
      <c r="W77" s="17" t="n"/>
      <c r="X77" s="17" t="n"/>
      <c r="Y77" s="28">
        <f>IF(B77&lt;&gt;"OK","","SELECT bal_crear_balon(p_codigo_balon =&gt; "&amp;IF(TRIM(C77&amp;"")="","NULL","'"&amp;SUBSTITUTE(TRIM(C77),"'","''")&amp;"'")&amp;", p_id_tipo_balon =&gt; "&amp;"(SELECT id FROM bal_tipo_balon WHERE upper(nombre) = upper('"&amp;SUBSTITUTE(TRIM(D77),"'","''")&amp;"') AND estado = 1 LIMIT 1)"&amp;", p_id_producto_gas =&gt; "&amp;"(SELECT id FROM pro_producto WHERE es_gas = TRUE AND upper(nombre) = upper('"&amp;SUBSTITUTE(TRIM(E77),"'","''")&amp;"') AND estado = 1 LIMIT 1)"&amp;", p_id_propietario =&gt; "&amp;IF(TRIM(F77&amp;"")="","NULL","(SELECT lo.id FROM gen_lista_opciones lo JOIN gen_lista l ON l.id = lo.id_lista WHERE l.nombre = 'PropietarioBalon' AND upper(lo.nombre) = upper('"&amp;SUBSTITUTE(TRIM(F77),"'","''")&amp;"') AND lo.estado = 1 LIMIT 1)")&amp;", p_id_cliente_propietario =&gt; "&amp;IF(F77="CLIENTE",IF(TRIM(G77&amp;"")="","NULL","(SELECT id FROM cli_clientes WHERE numero_documento = '"&amp;SUBSTITUTE(TRIM(G77),"'","''")&amp;"' AND estado = 1 LIMIT 1)"),"NULL")&amp;", p_id_planta =&gt; "&amp;IF(F77="PLANTA",IF(TRIM(G77&amp;"")="","NULL","(SELECT id FROM cli_clientes WHERE numero_documento = '"&amp;SUBSTITUTE(TRIM(G77),"'","''")&amp;"'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"&amp;IF(TRIM(J77&amp;"")="","NULL","(SELECT id FROM gen_almacen WHERE upper(nombre) = upper('"&amp;SUBSTITUTE(TRIM(J77),"'","''")&amp;"') AND estado = 1 LIMIT 1)")&amp;", p_id_cliente_ubicacion =&gt; "&amp;IF(TRIM(K77&amp;"")="","NULL","(SELECT id FROM cli_clientes WHERE numero_documento = '"&amp;SUBSTITUTE(TRIM(K77),"'","''")&amp;"' AND estado = 1 LIMIT 1)")&amp;", p_id_referencia =&gt; "&amp;IF(TRIM(J77&amp;"")&lt;&gt;"","(SELECT lo.id FROM gen_lista_opciones lo JOIN gen_lista l ON l.id = lo.id_lista WHERE l.nombre = 'ReferenciaCilindro' AND upper(lo.nombre) = 'ALMACEN' AND lo.estado = 1 LIMIT 1)",IF(TRIM(K77&amp;"")&lt;&gt;"","(SELECT lo.id FROM gen_lista_opciones lo JOIN gen_lista l ON l.id = lo.id_lista WHERE l.nombre = 'ReferenciaCilindro' AND upper(lo.nombre) = 'CLIENTE' AND lo.estado = 1 LIMIT 1)","NULL"))&amp;", p_anio_fabricacion =&gt; "&amp;IF(M77&amp;""="","NULL::smallint",M77&amp;"::smallint")&amp;", p_mes_fabricacion =&gt; "&amp;IF(N77&amp;""="","NULL::smallint",N77&amp;"::smallint")&amp;", p_fecha_ultima_prueba_hidrostatica =&gt; "&amp;IF(O77&amp;""="","NULL","'"&amp;YEAR(O77)&amp;"-"&amp;TEXT(MONTH(O77),"00")&amp;"-"&amp;TEXT(DAY(O77),"00")&amp;"'")&amp;", p_numero_serie =&gt; "&amp;IF(TRIM(Q77&amp;"")="","NULL","'"&amp;SUBSTITUTE(TRIM(Q77),"'","''")&amp;"'")&amp;", p_id_marca_cilindro =&gt; "&amp;IF(TRIM(R77&amp;"")="","NULL","(SELECT lo.id FROM gen_lista_opciones lo JOIN gen_lista l ON l.id = lo.id_lista WHERE l.nombre = 'MarcaCilindro' AND upper(lo.nombre) = upper('"&amp;SUBSTITUTE(TRIM(R77),"'","''")&amp;"') AND lo.estado = 1 LIMIT 1)")&amp;", p_id_organo_inspector =&gt; "&amp;IF(TRIM(S77&amp;"")="","NULL","(SELECT lo.id FROM gen_lista_opciones lo JOIN gen_lista l ON l.id = lo.id_lista WHERE l.nombre = 'OrganoInspectorCilindro' AND upper(lo.nombre) = upper('"&amp;SUBSTITUTE(TRIM(S77),"'","''")&amp;"') AND lo.estado = 1 LIMIT 1)")&amp;", p_organo_inspector_no_aplica =&gt; "&amp;IF(S77="NO_APLICA","TRUE","FALSE")&amp;", p_presion_actual =&gt; "&amp;IF(T77&amp;""="","NULL",SUBSTITUTE(T77&amp;"",",","."))&amp;", p_tipo_valvula =&gt; "&amp;IF(TRIM(U77&amp;"")="","NULL","'"&amp;SUBSTITUTE(TRIM(U77),"'","''")&amp;"'")&amp;", p_libro_cilindro =&gt; "&amp;IF(TRIM(V77&amp;"")="","NULL","'"&amp;SUBSTITUTE(TRIM(V77),"'","''")&amp;"'")&amp;", p_pagina_libro =&gt; "&amp;IF(W77&amp;""="","NULL",SUBSTITUTE(W77&amp;"",",","."))&amp;", p_observacion =&gt; "&amp;IF(TRIM(X77&amp;"")="","NULL","'"&amp;SUBSTITUTE(TRIM(X77),"'","''")&amp;"'")&amp;") AS resultado_balon_"&amp;ROW()&amp;";")</f>
        <v/>
      </c>
    </row>
    <row r="78" ht="15.75" customHeight="1" s="64">
      <c r="A78" s="36" t="inlineStr">
        <is>
          <t>74</t>
        </is>
      </c>
      <c r="B78" s="25">
        <f>IF(AND(C78="",D78="",E78=""),"",IF(C78="","FALTA código balón",IF(D78="","FALTA tipo balón",IF(E78="","FALTA gas",IF(F78="","FALTA propietario",IF(AND(C78&lt;&gt;"",SUMPRODUCT(--($C$5:$C$1200=C78))&gt;1),"CÓDIGO BALÓN DUPLICADO",IF(AND(OR(UPPER(F78)="PLANTA",UPPER(F78)="CLIENTE"),G78=""),"FALTA doc propietario/planta",IF(AND(UPPER(F78)="PLANTA",G78="10175332796"),"PLANTA no puede ser RUC empresa","OK"))))))))</f>
        <v/>
      </c>
      <c r="C78" s="23" t="inlineStr">
        <is>
          <t>20S288088</t>
        </is>
      </c>
      <c r="D78" s="17" t="inlineStr">
        <is>
          <t>Oxígeno Industrial 6 m³</t>
        </is>
      </c>
      <c r="E78" s="17" t="inlineStr">
        <is>
          <t>OXIGENO INDUSTRIAL</t>
        </is>
      </c>
      <c r="F78" s="17" t="inlineStr">
        <is>
          <t>EMPRESA</t>
        </is>
      </c>
      <c r="G78" s="23" t="inlineStr">
        <is>
          <t>10175332796</t>
        </is>
      </c>
      <c r="H78" s="25" t="inlineStr">
        <is>
          <t>OXIGENO SARITA</t>
        </is>
      </c>
      <c r="I78" s="17" t="inlineStr">
        <is>
          <t>DISPONIBLE</t>
        </is>
      </c>
      <c r="J78" s="17" t="inlineStr">
        <is>
          <t>ALMACEN PRINCIPAL</t>
        </is>
      </c>
      <c r="K78" s="23" t="n"/>
      <c r="L78" s="25">
        <f t="array" ref="L78">IF(K78="","",IFERROR(IF(INDEX(Clientes!$D$5:$D$549,MATCH(K78,Clientes!$C$5:$C$549,0))&lt;&gt;"",INDEX(Clientes!$D$5:$D$549,MATCH(K78,Clientes!$C$5:$C$549,0)),TRIM(INDEX(Clientes!$E$5:$E$549,MATCH(K78,Clientes!$C$5:$C$549,0))&amp;" "&amp;INDEX(Clientes!$F$5:$F$549,MATCH(K78,Clientes!$C$5:$C$549,0)))),"NO EXISTE en Clientes"))</f>
        <v/>
      </c>
      <c r="M78" s="17" t="n">
        <v>2020</v>
      </c>
      <c r="N78" s="17" t="n">
        <v>9</v>
      </c>
      <c r="O78" s="42" t="n">
        <v>44075</v>
      </c>
      <c r="P78" s="39">
        <f>IF(O78&lt;&gt;"",DATE(YEAR(O78)+10,MONTH(O78),1),IF(AND(M78&lt;&gt;"",N78&lt;&gt;""),DATE(M78+5,N78,1),""))</f>
        <v/>
      </c>
      <c r="Q78" s="23" t="n"/>
      <c r="R78" s="17" t="inlineStr">
        <is>
          <t>JP</t>
        </is>
      </c>
      <c r="S78" s="17" t="inlineStr">
        <is>
          <t>TS</t>
        </is>
      </c>
      <c r="T78" s="17" t="n">
        <v>2000</v>
      </c>
      <c r="U78" s="17" t="inlineStr">
        <is>
          <t>AMERICANA</t>
        </is>
      </c>
      <c r="V78" s="23" t="n"/>
      <c r="W78" s="17" t="n"/>
      <c r="X78" s="17" t="n"/>
      <c r="Y78" s="28">
        <f>IF(B78&lt;&gt;"OK","","SELECT bal_crear_balon(p_codigo_balon =&gt; "&amp;IF(TRIM(C78&amp;"")="","NULL","'"&amp;SUBSTITUTE(TRIM(C78),"'","''")&amp;"'")&amp;", p_id_tipo_balon =&gt; "&amp;"(SELECT id FROM bal_tipo_balon WHERE upper(nombre) = upper('"&amp;SUBSTITUTE(TRIM(D78),"'","''")&amp;"') AND estado = 1 LIMIT 1)"&amp;", p_id_producto_gas =&gt; "&amp;"(SELECT id FROM pro_producto WHERE es_gas = TRUE AND upper(nombre) = upper('"&amp;SUBSTITUTE(TRIM(E78),"'","''")&amp;"') AND estado = 1 LIMIT 1)"&amp;", p_id_propietario =&gt; "&amp;IF(TRIM(F78&amp;"")="","NULL","(SELECT lo.id FROM gen_lista_opciones lo JOIN gen_lista l ON l.id = lo.id_lista WHERE l.nombre = 'PropietarioBalon' AND upper(lo.nombre) = upper('"&amp;SUBSTITUTE(TRIM(F78),"'","''")&amp;"') AND lo.estado = 1 LIMIT 1)")&amp;", p_id_cliente_propietario =&gt; "&amp;IF(F78="CLIENTE",IF(TRIM(G78&amp;"")="","NULL","(SELECT id FROM cli_clientes WHERE numero_documento = '"&amp;SUBSTITUTE(TRIM(G78),"'","''")&amp;"' AND estado = 1 LIMIT 1)"),"NULL")&amp;", p_id_planta =&gt; "&amp;IF(F78="PLANTA",IF(TRIM(G78&amp;"")="","NULL","(SELECT id FROM cli_clientes WHERE numero_documento = '"&amp;SUBSTITUTE(TRIM(G78),"'","''")&amp;"'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"&amp;IF(TRIM(J78&amp;"")="","NULL","(SELECT id FROM gen_almacen WHERE upper(nombre) = upper('"&amp;SUBSTITUTE(TRIM(J78),"'","''")&amp;"') AND estado = 1 LIMIT 1)")&amp;", p_id_cliente_ubicacion =&gt; "&amp;IF(TRIM(K78&amp;"")="","NULL","(SELECT id FROM cli_clientes WHERE numero_documento = '"&amp;SUBSTITUTE(TRIM(K78),"'","''")&amp;"' AND estado = 1 LIMIT 1)")&amp;", p_id_referencia =&gt; "&amp;IF(TRIM(J78&amp;"")&lt;&gt;"","(SELECT lo.id FROM gen_lista_opciones lo JOIN gen_lista l ON l.id = lo.id_lista WHERE l.nombre = 'ReferenciaCilindro' AND upper(lo.nombre) = 'ALMACEN' AND lo.estado = 1 LIMIT 1)",IF(TRIM(K78&amp;"")&lt;&gt;"","(SELECT lo.id FROM gen_lista_opciones lo JOIN gen_lista l ON l.id = lo.id_lista WHERE l.nombre = 'ReferenciaCilindro' AND upper(lo.nombre) = 'CLIENTE' AND lo.estado = 1 LIMIT 1)","NULL"))&amp;", p_anio_fabricacion =&gt; "&amp;IF(M78&amp;""="","NULL::smallint",M78&amp;"::smallint")&amp;", p_mes_fabricacion =&gt; "&amp;IF(N78&amp;""="","NULL::smallint",N78&amp;"::smallint")&amp;", p_fecha_ultima_prueba_hidrostatica =&gt; "&amp;IF(O78&amp;""="","NULL","'"&amp;YEAR(O78)&amp;"-"&amp;TEXT(MONTH(O78),"00")&amp;"-"&amp;TEXT(DAY(O78),"00")&amp;"'")&amp;", p_numero_serie =&gt; "&amp;IF(TRIM(Q78&amp;"")="","NULL","'"&amp;SUBSTITUTE(TRIM(Q78),"'","''")&amp;"'")&amp;", p_id_marca_cilindro =&gt; "&amp;IF(TRIM(R78&amp;"")="","NULL","(SELECT lo.id FROM gen_lista_opciones lo JOIN gen_lista l ON l.id = lo.id_lista WHERE l.nombre = 'MarcaCilindro' AND upper(lo.nombre) = upper('"&amp;SUBSTITUTE(TRIM(R78),"'","''")&amp;"') AND lo.estado = 1 LIMIT 1)")&amp;", p_id_organo_inspector =&gt; "&amp;IF(TRIM(S78&amp;"")="","NULL","(SELECT lo.id FROM gen_lista_opciones lo JOIN gen_lista l ON l.id = lo.id_lista WHERE l.nombre = 'OrganoInspectorCilindro' AND upper(lo.nombre) = upper('"&amp;SUBSTITUTE(TRIM(S78),"'","''")&amp;"') AND lo.estado = 1 LIMIT 1)")&amp;", p_organo_inspector_no_aplica =&gt; "&amp;IF(S78="NO_APLICA","TRUE","FALSE")&amp;", p_presion_actual =&gt; "&amp;IF(T78&amp;""="","NULL",SUBSTITUTE(T78&amp;"",",","."))&amp;", p_tipo_valvula =&gt; "&amp;IF(TRIM(U78&amp;"")="","NULL","'"&amp;SUBSTITUTE(TRIM(U78),"'","''")&amp;"'")&amp;", p_libro_cilindro =&gt; "&amp;IF(TRIM(V78&amp;"")="","NULL","'"&amp;SUBSTITUTE(TRIM(V78),"'","''")&amp;"'")&amp;", p_pagina_libro =&gt; "&amp;IF(W78&amp;""="","NULL",SUBSTITUTE(W78&amp;"",",","."))&amp;", p_observacion =&gt; "&amp;IF(TRIM(X78&amp;"")="","NULL","'"&amp;SUBSTITUTE(TRIM(X78),"'","''")&amp;"'")&amp;") AS resultado_balon_"&amp;ROW()&amp;";")</f>
        <v/>
      </c>
    </row>
    <row r="79" ht="15.75" customHeight="1" s="64">
      <c r="A79" s="36" t="inlineStr">
        <is>
          <t>75</t>
        </is>
      </c>
      <c r="B79" s="25">
        <f>IF(AND(C79="",D79="",E79=""),"",IF(C79="","FALTA código balón",IF(D79="","FALTA tipo balón",IF(E79="","FALTA gas",IF(F79="","FALTA propietario",IF(AND(C79&lt;&gt;"",SUMPRODUCT(--($C$5:$C$1200=C79))&gt;1),"CÓDIGO BALÓN DUPLICADO",IF(AND(OR(UPPER(F79)="PLANTA",UPPER(F79)="CLIENTE"),G79=""),"FALTA doc propietario/planta",IF(AND(UPPER(F79)="PLANTA",G79="10175332796"),"PLANTA no puede ser RUC empresa","OK"))))))))</f>
        <v/>
      </c>
      <c r="C79" s="23" t="inlineStr">
        <is>
          <t>20E458094</t>
        </is>
      </c>
      <c r="D79" s="17" t="inlineStr">
        <is>
          <t>Oxígeno Industrial 10 m³</t>
        </is>
      </c>
      <c r="E79" s="17" t="inlineStr">
        <is>
          <t>OXIGENO INDUSTRIAL</t>
        </is>
      </c>
      <c r="F79" s="17" t="inlineStr">
        <is>
          <t>EMPRESA</t>
        </is>
      </c>
      <c r="G79" s="23" t="inlineStr">
        <is>
          <t>10175332796</t>
        </is>
      </c>
      <c r="H79" s="25" t="inlineStr">
        <is>
          <t>OXIGENO SARITA</t>
        </is>
      </c>
      <c r="I79" s="17" t="inlineStr">
        <is>
          <t>DISPONIBLE</t>
        </is>
      </c>
      <c r="J79" s="17" t="inlineStr">
        <is>
          <t>ALMACEN PRINCIPAL</t>
        </is>
      </c>
      <c r="K79" s="23" t="n"/>
      <c r="L79" s="25">
        <f t="array" ref="L79">IF(K79="","",IFERROR(IF(INDEX(Clientes!$D$5:$D$549,MATCH(K79,Clientes!$C$5:$C$549,0))&lt;&gt;"",INDEX(Clientes!$D$5:$D$549,MATCH(K79,Clientes!$C$5:$C$549,0)),TRIM(INDEX(Clientes!$E$5:$E$549,MATCH(K79,Clientes!$C$5:$C$549,0))&amp;" "&amp;INDEX(Clientes!$F$5:$F$549,MATCH(K79,Clientes!$C$5:$C$549,0)))),"NO EXISTE en Clientes"))</f>
        <v/>
      </c>
      <c r="M79" s="17" t="n">
        <v>2020</v>
      </c>
      <c r="N79" s="17" t="n">
        <v>7</v>
      </c>
      <c r="O79" s="42" t="n">
        <v>44013</v>
      </c>
      <c r="P79" s="39">
        <f>IF(O79&lt;&gt;"",DATE(YEAR(O79)+10,MONTH(O79),1),IF(AND(M79&lt;&gt;"",N79&lt;&gt;""),DATE(M79+5,N79,1),""))</f>
        <v/>
      </c>
      <c r="Q79" s="23" t="n"/>
      <c r="R79" s="17" t="inlineStr">
        <is>
          <t>JP</t>
        </is>
      </c>
      <c r="S79" s="17" t="inlineStr">
        <is>
          <t>OTRO</t>
        </is>
      </c>
      <c r="T79" s="17" t="n">
        <v>2800</v>
      </c>
      <c r="U79" s="17" t="inlineStr">
        <is>
          <t>CHINA</t>
        </is>
      </c>
      <c r="V79" s="23" t="n"/>
      <c r="W79" s="17" t="n"/>
      <c r="X79" s="17" t="n"/>
      <c r="Y79" s="28">
        <f>IF(B79&lt;&gt;"OK","","SELECT bal_crear_balon(p_codigo_balon =&gt; "&amp;IF(TRIM(C79&amp;"")="","NULL","'"&amp;SUBSTITUTE(TRIM(C79),"'","''")&amp;"'")&amp;", p_id_tipo_balon =&gt; "&amp;"(SELECT id FROM bal_tipo_balon WHERE upper(nombre) = upper('"&amp;SUBSTITUTE(TRIM(D79),"'","''")&amp;"') AND estado = 1 LIMIT 1)"&amp;", p_id_producto_gas =&gt; "&amp;"(SELECT id FROM pro_producto WHERE es_gas = TRUE AND upper(nombre) = upper('"&amp;SUBSTITUTE(TRIM(E79),"'","''")&amp;"') AND estado = 1 LIMIT 1)"&amp;", p_id_propietario =&gt; "&amp;IF(TRIM(F79&amp;"")="","NULL","(SELECT lo.id FROM gen_lista_opciones lo JOIN gen_lista l ON l.id = lo.id_lista WHERE l.nombre = 'PropietarioBalon' AND upper(lo.nombre) = upper('"&amp;SUBSTITUTE(TRIM(F79),"'","''")&amp;"') AND lo.estado = 1 LIMIT 1)")&amp;", p_id_cliente_propietario =&gt; "&amp;IF(F79="CLIENTE",IF(TRIM(G79&amp;"")="","NULL","(SELECT id FROM cli_clientes WHERE numero_documento = '"&amp;SUBSTITUTE(TRIM(G79),"'","''")&amp;"' AND estado = 1 LIMIT 1)"),"NULL")&amp;", p_id_planta =&gt; "&amp;IF(F79="PLANTA",IF(TRIM(G79&amp;"")="","NULL","(SELECT id FROM cli_clientes WHERE numero_documento = '"&amp;SUBSTITUTE(TRIM(G79),"'","''")&amp;"'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"&amp;IF(TRIM(J79&amp;"")="","NULL","(SELECT id FROM gen_almacen WHERE upper(nombre) = upper('"&amp;SUBSTITUTE(TRIM(J79),"'","''")&amp;"') AND estado = 1 LIMIT 1)")&amp;", p_id_cliente_ubicacion =&gt; "&amp;IF(TRIM(K79&amp;"")="","NULL","(SELECT id FROM cli_clientes WHERE numero_documento = '"&amp;SUBSTITUTE(TRIM(K79),"'","''")&amp;"' AND estado = 1 LIMIT 1)")&amp;", p_id_referencia =&gt; "&amp;IF(TRIM(J79&amp;"")&lt;&gt;"","(SELECT lo.id FROM gen_lista_opciones lo JOIN gen_lista l ON l.id = lo.id_lista WHERE l.nombre = 'ReferenciaCilindro' AND upper(lo.nombre) = 'ALMACEN' AND lo.estado = 1 LIMIT 1)",IF(TRIM(K79&amp;"")&lt;&gt;"","(SELECT lo.id FROM gen_lista_opciones lo JOIN gen_lista l ON l.id = lo.id_lista WHERE l.nombre = 'ReferenciaCilindro' AND upper(lo.nombre) = 'CLIENTE' AND lo.estado = 1 LIMIT 1)","NULL"))&amp;", p_anio_fabricacion =&gt; "&amp;IF(M79&amp;""="","NULL::smallint",M79&amp;"::smallint")&amp;", p_mes_fabricacion =&gt; "&amp;IF(N79&amp;""="","NULL::smallint",N79&amp;"::smallint")&amp;", p_fecha_ultima_prueba_hidrostatica =&gt; "&amp;IF(O79&amp;""="","NULL","'"&amp;YEAR(O79)&amp;"-"&amp;TEXT(MONTH(O79),"00")&amp;"-"&amp;TEXT(DAY(O79),"00")&amp;"'")&amp;", p_numero_serie =&gt; "&amp;IF(TRIM(Q79&amp;"")="","NULL","'"&amp;SUBSTITUTE(TRIM(Q79),"'","''")&amp;"'")&amp;", p_id_marca_cilindro =&gt; "&amp;IF(TRIM(R79&amp;"")="","NULL","(SELECT lo.id FROM gen_lista_opciones lo JOIN gen_lista l ON l.id = lo.id_lista WHERE l.nombre = 'MarcaCilindro' AND upper(lo.nombre) = upper('"&amp;SUBSTITUTE(TRIM(R79),"'","''")&amp;"') AND lo.estado = 1 LIMIT 1)")&amp;", p_id_organo_inspector =&gt; "&amp;IF(TRIM(S79&amp;"")="","NULL","(SELECT lo.id FROM gen_lista_opciones lo JOIN gen_lista l ON l.id = lo.id_lista WHERE l.nombre = 'OrganoInspectorCilindro' AND upper(lo.nombre) = upper('"&amp;SUBSTITUTE(TRIM(S79),"'","''")&amp;"') AND lo.estado = 1 LIMIT 1)")&amp;", p_organo_inspector_no_aplica =&gt; "&amp;IF(S79="NO_APLICA","TRUE","FALSE")&amp;", p_presion_actual =&gt; "&amp;IF(T79&amp;""="","NULL",SUBSTITUTE(T79&amp;"",",","."))&amp;", p_tipo_valvula =&gt; "&amp;IF(TRIM(U79&amp;"")="","NULL","'"&amp;SUBSTITUTE(TRIM(U79),"'","''")&amp;"'")&amp;", p_libro_cilindro =&gt; "&amp;IF(TRIM(V79&amp;"")="","NULL","'"&amp;SUBSTITUTE(TRIM(V79),"'","''")&amp;"'")&amp;", p_pagina_libro =&gt; "&amp;IF(W79&amp;""="","NULL",SUBSTITUTE(W79&amp;"",",","."))&amp;", p_observacion =&gt; "&amp;IF(TRIM(X79&amp;"")="","NULL","'"&amp;SUBSTITUTE(TRIM(X79),"'","''")&amp;"'")&amp;") AS resultado_balon_"&amp;ROW()&amp;";")</f>
        <v/>
      </c>
    </row>
    <row r="80" ht="15.75" customHeight="1" s="64">
      <c r="A80" s="36" t="inlineStr">
        <is>
          <t>76</t>
        </is>
      </c>
      <c r="B80" s="25">
        <f>IF(AND(C80="",D80="",E80=""),"",IF(C80="","FALTA código balón",IF(D80="","FALTA tipo balón",IF(E80="","FALTA gas",IF(F80="","FALTA propietario",IF(AND(C80&lt;&gt;"",SUMPRODUCT(--($C$5:$C$1200=C80))&gt;1),"CÓDIGO BALÓN DUPLICADO",IF(AND(OR(UPPER(F80)="PLANTA",UPPER(F80)="CLIENTE"),G80=""),"FALTA doc propietario/planta",IF(AND(UPPER(F80)="PLANTA",G80="10175332796"),"PLANTA no puede ser RUC empresa","OK"))))))))</f>
        <v/>
      </c>
      <c r="C80" s="23" t="inlineStr">
        <is>
          <t>19S207165</t>
        </is>
      </c>
      <c r="D80" s="17" t="inlineStr">
        <is>
          <t>Oxígeno Industrial 6 m³</t>
        </is>
      </c>
      <c r="E80" s="17" t="inlineStr">
        <is>
          <t>OXIGENO INDUSTRIAL</t>
        </is>
      </c>
      <c r="F80" s="17" t="inlineStr">
        <is>
          <t>EMPRESA</t>
        </is>
      </c>
      <c r="G80" s="23" t="inlineStr">
        <is>
          <t>10175332796</t>
        </is>
      </c>
      <c r="H80" s="25" t="inlineStr">
        <is>
          <t>OXIGENO SARITA</t>
        </is>
      </c>
      <c r="I80" s="17" t="inlineStr">
        <is>
          <t>DISPONIBLE</t>
        </is>
      </c>
      <c r="J80" s="17" t="inlineStr">
        <is>
          <t>ALMACEN PRINCIPAL</t>
        </is>
      </c>
      <c r="K80" s="23" t="n"/>
      <c r="L80" s="25">
        <f t="array" ref="L80">IF(K80="","",IFERROR(IF(INDEX(Clientes!$D$5:$D$549,MATCH(K80,Clientes!$C$5:$C$549,0))&lt;&gt;"",INDEX(Clientes!$D$5:$D$549,MATCH(K80,Clientes!$C$5:$C$549,0)),TRIM(INDEX(Clientes!$E$5:$E$549,MATCH(K80,Clientes!$C$5:$C$549,0))&amp;" "&amp;INDEX(Clientes!$F$5:$F$549,MATCH(K80,Clientes!$C$5:$C$549,0)))),"NO EXISTE en Clientes"))</f>
        <v/>
      </c>
      <c r="M80" s="17" t="n">
        <v>2025</v>
      </c>
      <c r="N80" s="17" t="n">
        <v>2</v>
      </c>
      <c r="O80" s="42" t="n">
        <v>45689</v>
      </c>
      <c r="P80" s="39">
        <f>IF(O80&lt;&gt;"",DATE(YEAR(O80)+5,MONTH(O80),1),IF(AND(M80&lt;&gt;"",N80&lt;&gt;""),DATE(M80+5,N80,1),""))</f>
        <v/>
      </c>
      <c r="Q80" s="23" t="n"/>
      <c r="R80" s="17" t="inlineStr">
        <is>
          <t>JP</t>
        </is>
      </c>
      <c r="S80" s="17" t="inlineStr">
        <is>
          <t>OTRO</t>
        </is>
      </c>
      <c r="T80" s="17" t="n">
        <v>2000</v>
      </c>
      <c r="U80" s="17" t="inlineStr">
        <is>
          <t>AMERICANA</t>
        </is>
      </c>
      <c r="V80" s="23" t="n"/>
      <c r="W80" s="17" t="n"/>
      <c r="X80" s="17" t="n"/>
      <c r="Y80" s="28">
        <f>IF(B80&lt;&gt;"OK","","SELECT bal_crear_balon(p_codigo_balon =&gt; "&amp;IF(TRIM(C80&amp;"")="","NULL","'"&amp;SUBSTITUTE(TRIM(C80),"'","''")&amp;"'")&amp;", p_id_tipo_balon =&gt; "&amp;"(SELECT id FROM bal_tipo_balon WHERE upper(nombre) = upper('"&amp;SUBSTITUTE(TRIM(D80),"'","''")&amp;"') AND estado = 1 LIMIT 1)"&amp;", p_id_producto_gas =&gt; "&amp;"(SELECT id FROM pro_producto WHERE es_gas = TRUE AND upper(nombre) = upper('"&amp;SUBSTITUTE(TRIM(E80),"'","''")&amp;"') AND estado = 1 LIMIT 1)"&amp;", p_id_propietario =&gt; "&amp;IF(TRIM(F80&amp;"")="","NULL","(SELECT lo.id FROM gen_lista_opciones lo JOIN gen_lista l ON l.id = lo.id_lista WHERE l.nombre = 'PropietarioBalon' AND upper(lo.nombre) = upper('"&amp;SUBSTITUTE(TRIM(F80),"'","''")&amp;"') AND lo.estado = 1 LIMIT 1)")&amp;", p_id_cliente_propietario =&gt; "&amp;IF(F80="CLIENTE",IF(TRIM(G80&amp;"")="","NULL","(SELECT id FROM cli_clientes WHERE numero_documento = '"&amp;SUBSTITUTE(TRIM(G80),"'","''")&amp;"' AND estado = 1 LIMIT 1)"),"NULL")&amp;", p_id_planta =&gt; "&amp;IF(F80="PLANTA",IF(TRIM(G80&amp;"")="","NULL","(SELECT id FROM cli_clientes WHERE numero_documento = '"&amp;SUBSTITUTE(TRIM(G80),"'","''")&amp;"'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"&amp;IF(TRIM(J80&amp;"")="","NULL","(SELECT id FROM gen_almacen WHERE upper(nombre) = upper('"&amp;SUBSTITUTE(TRIM(J80),"'","''")&amp;"') AND estado = 1 LIMIT 1)")&amp;", p_id_cliente_ubicacion =&gt; "&amp;IF(TRIM(K80&amp;"")="","NULL","(SELECT id FROM cli_clientes WHERE numero_documento = '"&amp;SUBSTITUTE(TRIM(K80),"'","''")&amp;"' AND estado = 1 LIMIT 1)")&amp;", p_id_referencia =&gt; "&amp;IF(TRIM(J80&amp;"")&lt;&gt;"","(SELECT lo.id FROM gen_lista_opciones lo JOIN gen_lista l ON l.id = lo.id_lista WHERE l.nombre = 'ReferenciaCilindro' AND upper(lo.nombre) = 'ALMACEN' AND lo.estado = 1 LIMIT 1)",IF(TRIM(K80&amp;"")&lt;&gt;"","(SELECT lo.id FROM gen_lista_opciones lo JOIN gen_lista l ON l.id = lo.id_lista WHERE l.nombre = 'ReferenciaCilindro' AND upper(lo.nombre) = 'CLIENTE' AND lo.estado = 1 LIMIT 1)","NULL"))&amp;", p_anio_fabricacion =&gt; "&amp;IF(M80&amp;""="","NULL::smallint",M80&amp;"::smallint")&amp;", p_mes_fabricacion =&gt; "&amp;IF(N80&amp;""="","NULL::smallint",N80&amp;"::smallint")&amp;", p_fecha_ultima_prueba_hidrostatica =&gt; "&amp;IF(O80&amp;""="","NULL","'"&amp;YEAR(O80)&amp;"-"&amp;TEXT(MONTH(O80),"00")&amp;"-"&amp;TEXT(DAY(O80),"00")&amp;"'")&amp;", p_numero_serie =&gt; "&amp;IF(TRIM(Q80&amp;"")="","NULL","'"&amp;SUBSTITUTE(TRIM(Q80),"'","''")&amp;"'")&amp;", p_id_marca_cilindro =&gt; "&amp;IF(TRIM(R80&amp;"")="","NULL","(SELECT lo.id FROM gen_lista_opciones lo JOIN gen_lista l ON l.id = lo.id_lista WHERE l.nombre = 'MarcaCilindro' AND upper(lo.nombre) = upper('"&amp;SUBSTITUTE(TRIM(R80),"'","''")&amp;"') AND lo.estado = 1 LIMIT 1)")&amp;", p_id_organo_inspector =&gt; "&amp;IF(TRIM(S80&amp;"")="","NULL","(SELECT lo.id FROM gen_lista_opciones lo JOIN gen_lista l ON l.id = lo.id_lista WHERE l.nombre = 'OrganoInspectorCilindro' AND upper(lo.nombre) = upper('"&amp;SUBSTITUTE(TRIM(S80),"'","''")&amp;"') AND lo.estado = 1 LIMIT 1)")&amp;", p_organo_inspector_no_aplica =&gt; "&amp;IF(S80="NO_APLICA","TRUE","FALSE")&amp;", p_presion_actual =&gt; "&amp;IF(T80&amp;""="","NULL",SUBSTITUTE(T80&amp;"",",","."))&amp;", p_tipo_valvula =&gt; "&amp;IF(TRIM(U80&amp;"")="","NULL","'"&amp;SUBSTITUTE(TRIM(U80),"'","''")&amp;"'")&amp;", p_libro_cilindro =&gt; "&amp;IF(TRIM(V80&amp;"")="","NULL","'"&amp;SUBSTITUTE(TRIM(V80),"'","''")&amp;"'")&amp;", p_pagina_libro =&gt; "&amp;IF(W80&amp;""="","NULL",SUBSTITUTE(W80&amp;"",",","."))&amp;", p_observacion =&gt; "&amp;IF(TRIM(X80&amp;"")="","NULL","'"&amp;SUBSTITUTE(TRIM(X80),"'","''")&amp;"'")&amp;") AS resultado_balon_"&amp;ROW()&amp;";")</f>
        <v/>
      </c>
    </row>
    <row r="81" ht="15.75" customHeight="1" s="64">
      <c r="A81" s="36" t="inlineStr">
        <is>
          <t>77</t>
        </is>
      </c>
      <c r="B81" s="25">
        <f>IF(AND(C81="",D81="",E81=""),"",IF(C81="","FALTA código balón",IF(D81="","FALTA tipo balón",IF(E81="","FALTA gas",IF(F81="","FALTA propietario",IF(AND(C81&lt;&gt;"",SUMPRODUCT(--($C$5:$C$1200=C81))&gt;1),"CÓDIGO BALÓN DUPLICADO",IF(AND(OR(UPPER(F81)="PLANTA",UPPER(F81)="CLIENTE"),G81=""),"FALTA doc propietario/planta",IF(AND(UPPER(F81)="PLANTA",G81="10175332796"),"PLANTA no puede ser RUC empresa","OK"))))))))</f>
        <v/>
      </c>
      <c r="C81" s="23" t="inlineStr">
        <is>
          <t>539654</t>
        </is>
      </c>
      <c r="D81" s="17" t="inlineStr">
        <is>
          <t>Dióxido de carbono 25 kg</t>
        </is>
      </c>
      <c r="E81" s="17" t="inlineStr">
        <is>
          <t>DIÓXIDO DE CARBONO</t>
        </is>
      </c>
      <c r="F81" s="17" t="inlineStr">
        <is>
          <t>EMPRESA</t>
        </is>
      </c>
      <c r="G81" s="23" t="inlineStr">
        <is>
          <t>10175332796</t>
        </is>
      </c>
      <c r="H81" s="25" t="inlineStr">
        <is>
          <t>OXIGENO SARITA</t>
        </is>
      </c>
      <c r="I81" s="17" t="inlineStr">
        <is>
          <t>DISPONIBLE</t>
        </is>
      </c>
      <c r="J81" s="17" t="inlineStr">
        <is>
          <t>ALMACEN PRINCIPAL</t>
        </is>
      </c>
      <c r="K81" s="23" t="n"/>
      <c r="L81" s="25">
        <f t="array" ref="L81">IF(K81="","",IFERROR(IF(INDEX(Clientes!$D$5:$D$549,MATCH(K81,Clientes!$C$5:$C$549,0))&lt;&gt;"",INDEX(Clientes!$D$5:$D$549,MATCH(K81,Clientes!$C$5:$C$549,0)),TRIM(INDEX(Clientes!$E$5:$E$549,MATCH(K81,Clientes!$C$5:$C$549,0))&amp;" "&amp;INDEX(Clientes!$F$5:$F$549,MATCH(K81,Clientes!$C$5:$C$549,0)))),"NO EXISTE en Clientes"))</f>
        <v/>
      </c>
      <c r="M81" s="17" t="n">
        <v>2024</v>
      </c>
      <c r="N81" s="17" t="n">
        <v>5</v>
      </c>
      <c r="O81" s="42" t="n">
        <v>45413</v>
      </c>
      <c r="P81" s="39">
        <f>IF(O81&lt;&gt;"",DATE(YEAR(O81)+5,MONTH(O81),1),IF(AND(M81&lt;&gt;"",N81&lt;&gt;""),DATE(M81+5,N81,1),""))</f>
        <v/>
      </c>
      <c r="Q81" s="23" t="n"/>
      <c r="R81" s="17" t="inlineStr">
        <is>
          <t>DOT</t>
        </is>
      </c>
      <c r="S81" s="17" t="inlineStr">
        <is>
          <t>OTRO</t>
        </is>
      </c>
      <c r="T81" s="17" t="n"/>
      <c r="U81" s="17" t="inlineStr">
        <is>
          <t>AMERICANA</t>
        </is>
      </c>
      <c r="V81" s="23" t="n"/>
      <c r="W81" s="17" t="n"/>
      <c r="X81" s="17" t="inlineStr">
        <is>
          <t>PH DE LINDE</t>
        </is>
      </c>
      <c r="Y81" s="28">
        <f>IF(B81&lt;&gt;"OK","","SELECT bal_crear_balon(p_codigo_balon =&gt; "&amp;IF(TRIM(C81&amp;"")="","NULL","'"&amp;SUBSTITUTE(TRIM(C81),"'","''")&amp;"'")&amp;", p_id_tipo_balon =&gt; "&amp;"(SELECT id FROM bal_tipo_balon WHERE upper(nombre) = upper('"&amp;SUBSTITUTE(TRIM(D81),"'","''")&amp;"') AND estado = 1 LIMIT 1)"&amp;", p_id_producto_gas =&gt; "&amp;"(SELECT id FROM pro_producto WHERE es_gas = TRUE AND upper(nombre) = upper('"&amp;SUBSTITUTE(TRIM(E81),"'","''")&amp;"') AND estado = 1 LIMIT 1)"&amp;", p_id_propietario =&gt; "&amp;IF(TRIM(F81&amp;"")="","NULL","(SELECT lo.id FROM gen_lista_opciones lo JOIN gen_lista l ON l.id = lo.id_lista WHERE l.nombre = 'PropietarioBalon' AND upper(lo.nombre) = upper('"&amp;SUBSTITUTE(TRIM(F81),"'","''")&amp;"') AND lo.estado = 1 LIMIT 1)")&amp;", p_id_cliente_propietario =&gt; "&amp;IF(F81="CLIENTE",IF(TRIM(G81&amp;"")="","NULL","(SELECT id FROM cli_clientes WHERE numero_documento = '"&amp;SUBSTITUTE(TRIM(G81),"'","''")&amp;"' AND estado = 1 LIMIT 1)"),"NULL")&amp;", p_id_planta =&gt; "&amp;IF(F81="PLANTA",IF(TRIM(G81&amp;"")="","NULL","(SELECT id FROM cli_clientes WHERE numero_documento = '"&amp;SUBSTITUTE(TRIM(G81),"'","''")&amp;"'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"&amp;IF(TRIM(J81&amp;"")="","NULL","(SELECT id FROM gen_almacen WHERE upper(nombre) = upper('"&amp;SUBSTITUTE(TRIM(J81),"'","''")&amp;"') AND estado = 1 LIMIT 1)")&amp;", p_id_cliente_ubicacion =&gt; "&amp;IF(TRIM(K81&amp;"")="","NULL","(SELECT id FROM cli_clientes WHERE numero_documento = '"&amp;SUBSTITUTE(TRIM(K81),"'","''")&amp;"' AND estado = 1 LIMIT 1)")&amp;", p_id_referencia =&gt; "&amp;IF(TRIM(J81&amp;"")&lt;&gt;"","(SELECT lo.id FROM gen_lista_opciones lo JOIN gen_lista l ON l.id = lo.id_lista WHERE l.nombre = 'ReferenciaCilindro' AND upper(lo.nombre) = 'ALMACEN' AND lo.estado = 1 LIMIT 1)",IF(TRIM(K81&amp;"")&lt;&gt;"","(SELECT lo.id FROM gen_lista_opciones lo JOIN gen_lista l ON l.id = lo.id_lista WHERE l.nombre = 'ReferenciaCilindro' AND upper(lo.nombre) = 'CLIENTE' AND lo.estado = 1 LIMIT 1)","NULL"))&amp;", p_anio_fabricacion =&gt; "&amp;IF(M81&amp;""="","NULL::smallint",M81&amp;"::smallint")&amp;", p_mes_fabricacion =&gt; "&amp;IF(N81&amp;""="","NULL::smallint",N81&amp;"::smallint")&amp;", p_fecha_ultima_prueba_hidrostatica =&gt; "&amp;IF(O81&amp;""="","NULL","'"&amp;YEAR(O81)&amp;"-"&amp;TEXT(MONTH(O81),"00")&amp;"-"&amp;TEXT(DAY(O81),"00")&amp;"'")&amp;", p_numero_serie =&gt; "&amp;IF(TRIM(Q81&amp;"")="","NULL","'"&amp;SUBSTITUTE(TRIM(Q81),"'","''")&amp;"'")&amp;", p_id_marca_cilindro =&gt; "&amp;IF(TRIM(R81&amp;"")="","NULL","(SELECT lo.id FROM gen_lista_opciones lo JOIN gen_lista l ON l.id = lo.id_lista WHERE l.nombre = 'MarcaCilindro' AND upper(lo.nombre) = upper('"&amp;SUBSTITUTE(TRIM(R81),"'","''")&amp;"') AND lo.estado = 1 LIMIT 1)")&amp;", p_id_organo_inspector =&gt; "&amp;IF(TRIM(S81&amp;"")="","NULL","(SELECT lo.id FROM gen_lista_opciones lo JOIN gen_lista l ON l.id = lo.id_lista WHERE l.nombre = 'OrganoInspectorCilindro' AND upper(lo.nombre) = upper('"&amp;SUBSTITUTE(TRIM(S81),"'","''")&amp;"') AND lo.estado = 1 LIMIT 1)")&amp;", p_organo_inspector_no_aplica =&gt; "&amp;IF(S81="NO_APLICA","TRUE","FALSE")&amp;", p_presion_actual =&gt; "&amp;IF(T81&amp;""="","NULL",SUBSTITUTE(T81&amp;"",",","."))&amp;", p_tipo_valvula =&gt; "&amp;IF(TRIM(U81&amp;"")="","NULL","'"&amp;SUBSTITUTE(TRIM(U81),"'","''")&amp;"'")&amp;", p_libro_cilindro =&gt; "&amp;IF(TRIM(V81&amp;"")="","NULL","'"&amp;SUBSTITUTE(TRIM(V81),"'","''")&amp;"'")&amp;", p_pagina_libro =&gt; "&amp;IF(W81&amp;""="","NULL",SUBSTITUTE(W81&amp;"",",","."))&amp;", p_observacion =&gt; "&amp;IF(TRIM(X81&amp;"")="","NULL","'"&amp;SUBSTITUTE(TRIM(X81),"'","''")&amp;"'")&amp;") AS resultado_balon_"&amp;ROW()&amp;";")</f>
        <v/>
      </c>
    </row>
    <row r="82" ht="15.75" customHeight="1" s="64">
      <c r="A82" s="36" t="inlineStr">
        <is>
          <t>78</t>
        </is>
      </c>
      <c r="B82" s="25">
        <f>IF(AND(C82="",D82="",E82=""),"",IF(C82="","FALTA código balón",IF(D82="","FALTA tipo balón",IF(E82="","FALTA gas",IF(F82="","FALTA propietario",IF(AND(C82&lt;&gt;"",SUMPRODUCT(--($C$5:$C$1200=C82))&gt;1),"CÓDIGO BALÓN DUPLICADO",IF(AND(OR(UPPER(F82)="PLANTA",UPPER(F82)="CLIENTE"),G82=""),"FALTA doc propietario/planta",IF(AND(UPPER(F82)="PLANTA",G82="10175332796"),"PLANTA no puede ser RUC empresa","OK"))))))))</f>
        <v/>
      </c>
      <c r="C82" s="23" t="inlineStr">
        <is>
          <t>21Y734080</t>
        </is>
      </c>
      <c r="D82" s="17" t="inlineStr">
        <is>
          <t>Nitrógeno 10 m³</t>
        </is>
      </c>
      <c r="E82" s="17" t="inlineStr">
        <is>
          <t>NITROGENO</t>
        </is>
      </c>
      <c r="F82" s="17" t="inlineStr">
        <is>
          <t>PLANTA</t>
        </is>
      </c>
      <c r="G82" s="23" t="inlineStr">
        <is>
          <t>20607948675</t>
        </is>
      </c>
      <c r="H82" s="25">
        <f t="array" ref="H82">IF(G82="","",IFERROR(IF(INDEX(Clientes!$D$5:$D$549,MATCH(G82,Clientes!$C$5:$C$549,0))&lt;&gt;"",INDEX(Clientes!$D$5:$D$549,MATCH(G82,Clientes!$C$5:$C$549,0)),TRIM(INDEX(Clientes!$E$5:$E$549,MATCH(G82,Clientes!$C$5:$C$549,0))&amp;" "&amp;INDEX(Clientes!$F$5:$F$549,MATCH(G82,Clientes!$C$5:$C$549,0)))),"NO EXISTE en Clientes"))</f>
        <v/>
      </c>
      <c r="I82" s="17" t="inlineStr">
        <is>
          <t>DISPONIBLE</t>
        </is>
      </c>
      <c r="J82" s="17" t="inlineStr">
        <is>
          <t>ALMACEN PRINCIPAL</t>
        </is>
      </c>
      <c r="K82" s="23" t="n"/>
      <c r="L82" s="25">
        <f t="array" ref="L82">IF(K82="","",IFERROR(IF(INDEX(Clientes!$D$5:$D$549,MATCH(K82,Clientes!$C$5:$C$549,0))&lt;&gt;"",INDEX(Clientes!$D$5:$D$549,MATCH(K82,Clientes!$C$5:$C$549,0)),TRIM(INDEX(Clientes!$E$5:$E$549,MATCH(K82,Clientes!$C$5:$C$549,0))&amp;" "&amp;INDEX(Clientes!$F$5:$F$549,MATCH(K82,Clientes!$C$5:$C$549,0)))),"NO EXISTE en Clientes"))</f>
        <v/>
      </c>
      <c r="M82" s="17" t="n"/>
      <c r="N82" s="17" t="n"/>
      <c r="O82" s="42" t="n"/>
      <c r="P82" s="39">
        <f>IF(O82&lt;&gt;"",DATE(YEAR(O82)+5,MONTH(O82),1),IF(AND(M82&lt;&gt;"",N82&lt;&gt;""),DATE(M82+5,N82,1),""))</f>
        <v/>
      </c>
      <c r="Q82" s="23" t="n"/>
      <c r="R82" s="17" t="n"/>
      <c r="S82" s="17" t="n"/>
      <c r="T82" s="17" t="n"/>
      <c r="U82" s="17" t="n"/>
      <c r="V82" s="23" t="n"/>
      <c r="W82" s="17" t="n"/>
      <c r="X82" s="17" t="n"/>
      <c r="Y82" s="28">
        <f>IF(B82&lt;&gt;"OK","","SELECT bal_crear_balon(p_codigo_balon =&gt; "&amp;IF(TRIM(C82&amp;"")="","NULL","'"&amp;SUBSTITUTE(TRIM(C82),"'","''")&amp;"'")&amp;", p_id_tipo_balon =&gt; "&amp;"(SELECT id FROM bal_tipo_balon WHERE upper(nombre) = upper('"&amp;SUBSTITUTE(TRIM(D82),"'","''")&amp;"') AND estado = 1 LIMIT 1)"&amp;", p_id_producto_gas =&gt; "&amp;"(SELECT id FROM pro_producto WHERE es_gas = TRUE AND upper(nombre) = upper('"&amp;SUBSTITUTE(TRIM(E82),"'","''")&amp;"') AND estado = 1 LIMIT 1)"&amp;", p_id_propietario =&gt; "&amp;IF(TRIM(F82&amp;"")="","NULL","(SELECT lo.id FROM gen_lista_opciones lo JOIN gen_lista l ON l.id = lo.id_lista WHERE l.nombre = 'PropietarioBalon' AND upper(lo.nombre) = upper('"&amp;SUBSTITUTE(TRIM(F82),"'","''")&amp;"') AND lo.estado = 1 LIMIT 1)")&amp;", p_id_cliente_propietario =&gt; "&amp;IF(F82="CLIENTE",IF(TRIM(G82&amp;"")="","NULL","(SELECT id FROM cli_clientes WHERE numero_documento = '"&amp;SUBSTITUTE(TRIM(G82),"'","''")&amp;"' AND estado = 1 LIMIT 1)"),"NULL")&amp;", p_id_planta =&gt; "&amp;IF(F82="PLANTA",IF(TRIM(G82&amp;"")="","NULL","(SELECT id FROM cli_clientes WHERE numero_documento = '"&amp;SUBSTITUTE(TRIM(G82),"'","''")&amp;"'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"&amp;IF(TRIM(J82&amp;"")="","NULL","(SELECT id FROM gen_almacen WHERE upper(nombre) = upper('"&amp;SUBSTITUTE(TRIM(J82),"'","''")&amp;"') AND estado = 1 LIMIT 1)")&amp;", p_id_cliente_ubicacion =&gt; "&amp;IF(TRIM(K82&amp;"")="","NULL","(SELECT id FROM cli_clientes WHERE numero_documento = '"&amp;SUBSTITUTE(TRIM(K82),"'","''")&amp;"' AND estado = 1 LIMIT 1)")&amp;", p_id_referencia =&gt; "&amp;IF(TRIM(J82&amp;"")&lt;&gt;"","(SELECT lo.id FROM gen_lista_opciones lo JOIN gen_lista l ON l.id = lo.id_lista WHERE l.nombre = 'ReferenciaCilindro' AND upper(lo.nombre) = 'ALMACEN' AND lo.estado = 1 LIMIT 1)",IF(TRIM(K82&amp;"")&lt;&gt;"","(SELECT lo.id FROM gen_lista_opciones lo JOIN gen_lista l ON l.id = lo.id_lista WHERE l.nombre = 'ReferenciaCilindro' AND upper(lo.nombre) = 'CLIENTE' AND lo.estado = 1 LIMIT 1)","NULL"))&amp;", p_anio_fabricacion =&gt; "&amp;IF(M82&amp;""="","NULL::smallint",M82&amp;"::smallint")&amp;", p_mes_fabricacion =&gt; "&amp;IF(N82&amp;""="","NULL::smallint",N82&amp;"::smallint")&amp;", p_fecha_ultima_prueba_hidrostatica =&gt; "&amp;IF(O82&amp;""="","NULL","'"&amp;YEAR(O82)&amp;"-"&amp;TEXT(MONTH(O82),"00")&amp;"-"&amp;TEXT(DAY(O82),"00")&amp;"'")&amp;", p_numero_serie =&gt; "&amp;IF(TRIM(Q82&amp;"")="","NULL","'"&amp;SUBSTITUTE(TRIM(Q82),"'","''")&amp;"'")&amp;", p_id_marca_cilindro =&gt; "&amp;IF(TRIM(R82&amp;"")="","NULL","(SELECT lo.id FROM gen_lista_opciones lo JOIN gen_lista l ON l.id = lo.id_lista WHERE l.nombre = 'MarcaCilindro' AND upper(lo.nombre) = upper('"&amp;SUBSTITUTE(TRIM(R82),"'","''")&amp;"') AND lo.estado = 1 LIMIT 1)")&amp;", p_id_organo_inspector =&gt; "&amp;IF(TRIM(S82&amp;"")="","NULL","(SELECT lo.id FROM gen_lista_opciones lo JOIN gen_lista l ON l.id = lo.id_lista WHERE l.nombre = 'OrganoInspectorCilindro' AND upper(lo.nombre) = upper('"&amp;SUBSTITUTE(TRIM(S82),"'","''")&amp;"') AND lo.estado = 1 LIMIT 1)")&amp;", p_organo_inspector_no_aplica =&gt; "&amp;IF(S82="NO_APLICA","TRUE","FALSE")&amp;", p_presion_actual =&gt; "&amp;IF(T82&amp;""="","NULL",SUBSTITUTE(T82&amp;"",",","."))&amp;", p_tipo_valvula =&gt; "&amp;IF(TRIM(U82&amp;"")="","NULL","'"&amp;SUBSTITUTE(TRIM(U82),"'","''")&amp;"'")&amp;", p_libro_cilindro =&gt; "&amp;IF(TRIM(V82&amp;"")="","NULL","'"&amp;SUBSTITUTE(TRIM(V82),"'","''")&amp;"'")&amp;", p_pagina_libro =&gt; "&amp;IF(W82&amp;""="","NULL",SUBSTITUTE(W82&amp;"",",","."))&amp;", p_observacion =&gt; "&amp;IF(TRIM(X82&amp;"")="","NULL","'"&amp;SUBSTITUTE(TRIM(X82),"'","''")&amp;"'")&amp;") AS resultado_balon_"&amp;ROW()&amp;";")</f>
        <v/>
      </c>
    </row>
    <row r="83" ht="15.75" customHeight="1" s="64">
      <c r="A83" s="36" t="inlineStr">
        <is>
          <t>79</t>
        </is>
      </c>
      <c r="B83" s="25">
        <f>IF(AND(C83="",D83="",E83=""),"",IF(C83="","FALTA código balón",IF(D83="","FALTA tipo balón",IF(E83="","FALTA gas",IF(F83="","FALTA propietario",IF(AND(C83&lt;&gt;"",SUMPRODUCT(--($C$5:$C$1200=C83))&gt;1),"CÓDIGO BALÓN DUPLICADO",IF(AND(OR(UPPER(F83)="PLANTA",UPPER(F83)="CLIENTE"),G83=""),"FALTA doc propietario/planta",IF(AND(UPPER(F83)="PLANTA",G83="10175332796"),"PLANTA no puede ser RUC empresa","OK"))))))))</f>
        <v/>
      </c>
      <c r="C83" s="23" t="inlineStr">
        <is>
          <t>K4852107</t>
        </is>
      </c>
      <c r="D83" s="17" t="inlineStr">
        <is>
          <t>Oxígeno Industrial 10 m³</t>
        </is>
      </c>
      <c r="E83" s="17" t="inlineStr">
        <is>
          <t>OXIGENO INDUSTRIAL</t>
        </is>
      </c>
      <c r="F83" s="17" t="inlineStr">
        <is>
          <t>EMPRESA</t>
        </is>
      </c>
      <c r="G83" s="23" t="inlineStr">
        <is>
          <t>10175332796</t>
        </is>
      </c>
      <c r="H83" s="25">
        <f t="array" ref="H83">IF(G83="","",IFERROR(IF(INDEX(Clientes!$D$5:$D$549,MATCH(G83,Clientes!$C$5:$C$549,0))&lt;&gt;"",INDEX(Clientes!$D$5:$D$549,MATCH(G83,Clientes!$C$5:$C$549,0)),TRIM(INDEX(Clientes!$E$5:$E$549,MATCH(G83,Clientes!$C$5:$C$549,0))&amp;" "&amp;INDEX(Clientes!$F$5:$F$549,MATCH(G83,Clientes!$C$5:$C$549,0)))),"NO EXISTE en Clientes"))</f>
        <v/>
      </c>
      <c r="I83" s="17" t="inlineStr">
        <is>
          <t>DISPONIBLE</t>
        </is>
      </c>
      <c r="J83" s="17" t="inlineStr">
        <is>
          <t>ALMACEN PRINCIPAL</t>
        </is>
      </c>
      <c r="K83" s="23" t="n"/>
      <c r="L83" s="25">
        <f t="array" ref="L83">IF(K83="","",IFERROR(IF(INDEX(Clientes!$D$5:$D$549,MATCH(K83,Clientes!$C$5:$C$549,0))&lt;&gt;"",INDEX(Clientes!$D$5:$D$549,MATCH(K83,Clientes!$C$5:$C$549,0)),TRIM(INDEX(Clientes!$E$5:$E$549,MATCH(K83,Clientes!$C$5:$C$549,0))&amp;" "&amp;INDEX(Clientes!$F$5:$F$549,MATCH(K83,Clientes!$C$5:$C$549,0)))),"NO EXISTE en Clientes"))</f>
        <v/>
      </c>
      <c r="M83" s="17" t="n">
        <v>2020</v>
      </c>
      <c r="N83" s="17" t="n">
        <v>8</v>
      </c>
      <c r="O83" s="42" t="n">
        <v>44044</v>
      </c>
      <c r="P83" s="39">
        <f>IF(O83&lt;&gt;"",DATE(YEAR(O83)+10,MONTH(O83),1),IF(AND(M83&lt;&gt;"",N83&lt;&gt;""),DATE(M83+5,N83,1),""))</f>
        <v/>
      </c>
      <c r="Q83" s="23" t="n"/>
      <c r="R83" s="17" t="inlineStr">
        <is>
          <t>JD</t>
        </is>
      </c>
      <c r="S83" s="17" t="inlineStr">
        <is>
          <t>TS</t>
        </is>
      </c>
      <c r="T83" s="17" t="n"/>
      <c r="U83" s="17" t="inlineStr">
        <is>
          <t>AMERICANA</t>
        </is>
      </c>
      <c r="V83" s="23" t="n"/>
      <c r="W83" s="17" t="n"/>
      <c r="X83" s="17" t="n"/>
      <c r="Y83" s="28">
        <f>IF(B83&lt;&gt;"OK","","SELECT bal_crear_balon(p_codigo_balon =&gt; "&amp;IF(TRIM(C83&amp;"")="","NULL","'"&amp;SUBSTITUTE(TRIM(C83),"'","''")&amp;"'")&amp;", p_id_tipo_balon =&gt; "&amp;"(SELECT id FROM bal_tipo_balon WHERE upper(nombre) = upper('"&amp;SUBSTITUTE(TRIM(D83),"'","''")&amp;"') AND estado = 1 LIMIT 1)"&amp;", p_id_producto_gas =&gt; "&amp;"(SELECT id FROM pro_producto WHERE es_gas = TRUE AND upper(nombre) = upper('"&amp;SUBSTITUTE(TRIM(E83),"'","''")&amp;"') AND estado = 1 LIMIT 1)"&amp;", p_id_propietario =&gt; "&amp;IF(TRIM(F83&amp;"")="","NULL","(SELECT lo.id FROM gen_lista_opciones lo JOIN gen_lista l ON l.id = lo.id_lista WHERE l.nombre = 'PropietarioBalon' AND upper(lo.nombre) = upper('"&amp;SUBSTITUTE(TRIM(F83),"'","''")&amp;"') AND lo.estado = 1 LIMIT 1)")&amp;", p_id_cliente_propietario =&gt; "&amp;IF(F83="CLIENTE",IF(TRIM(G83&amp;"")="","NULL","(SELECT id FROM cli_clientes WHERE numero_documento = '"&amp;SUBSTITUTE(TRIM(G83),"'","''")&amp;"' AND estado = 1 LIMIT 1)"),"NULL")&amp;", p_id_planta =&gt; "&amp;IF(F83="PLANTA",IF(TRIM(G83&amp;"")="","NULL","(SELECT id FROM cli_clientes WHERE numero_documento = '"&amp;SUBSTITUTE(TRIM(G83),"'","''")&amp;"'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"&amp;IF(TRIM(J83&amp;"")="","NULL","(SELECT id FROM gen_almacen WHERE upper(nombre) = upper('"&amp;SUBSTITUTE(TRIM(J83),"'","''")&amp;"') AND estado = 1 LIMIT 1)")&amp;", p_id_cliente_ubicacion =&gt; "&amp;IF(TRIM(K83&amp;"")="","NULL","(SELECT id FROM cli_clientes WHERE numero_documento = '"&amp;SUBSTITUTE(TRIM(K83),"'","''")&amp;"' AND estado = 1 LIMIT 1)")&amp;", p_id_referencia =&gt; "&amp;IF(TRIM(J83&amp;"")&lt;&gt;"","(SELECT lo.id FROM gen_lista_opciones lo JOIN gen_lista l ON l.id = lo.id_lista WHERE l.nombre = 'ReferenciaCilindro' AND upper(lo.nombre) = 'ALMACEN' AND lo.estado = 1 LIMIT 1)",IF(TRIM(K83&amp;"")&lt;&gt;"","(SELECT lo.id FROM gen_lista_opciones lo JOIN gen_lista l ON l.id = lo.id_lista WHERE l.nombre = 'ReferenciaCilindro' AND upper(lo.nombre) = 'CLIENTE' AND lo.estado = 1 LIMIT 1)","NULL"))&amp;", p_anio_fabricacion =&gt; "&amp;IF(M83&amp;""="","NULL::smallint",M83&amp;"::smallint")&amp;", p_mes_fabricacion =&gt; "&amp;IF(N83&amp;""="","NULL::smallint",N83&amp;"::smallint")&amp;", p_fecha_ultima_prueba_hidrostatica =&gt; "&amp;IF(O83&amp;""="","NULL","'"&amp;YEAR(O83)&amp;"-"&amp;TEXT(MONTH(O83),"00")&amp;"-"&amp;TEXT(DAY(O83),"00")&amp;"'")&amp;", p_numero_serie =&gt; "&amp;IF(TRIM(Q83&amp;"")="","NULL","'"&amp;SUBSTITUTE(TRIM(Q83),"'","''")&amp;"'")&amp;", p_id_marca_cilindro =&gt; "&amp;IF(TRIM(R83&amp;"")="","NULL","(SELECT lo.id FROM gen_lista_opciones lo JOIN gen_lista l ON l.id = lo.id_lista WHERE l.nombre = 'MarcaCilindro' AND upper(lo.nombre) = upper('"&amp;SUBSTITUTE(TRIM(R83),"'","''")&amp;"') AND lo.estado = 1 LIMIT 1)")&amp;", p_id_organo_inspector =&gt; "&amp;IF(TRIM(S83&amp;"")="","NULL","(SELECT lo.id FROM gen_lista_opciones lo JOIN gen_lista l ON l.id = lo.id_lista WHERE l.nombre = 'OrganoInspectorCilindro' AND upper(lo.nombre) = upper('"&amp;SUBSTITUTE(TRIM(S83),"'","''")&amp;"') AND lo.estado = 1 LIMIT 1)")&amp;", p_organo_inspector_no_aplica =&gt; "&amp;IF(S83="NO_APLICA","TRUE","FALSE")&amp;", p_presion_actual =&gt; "&amp;IF(T83&amp;""="","NULL",SUBSTITUTE(T83&amp;"",",","."))&amp;", p_tipo_valvula =&gt; "&amp;IF(TRIM(U83&amp;"")="","NULL","'"&amp;SUBSTITUTE(TRIM(U83),"'","''")&amp;"'")&amp;", p_libro_cilindro =&gt; "&amp;IF(TRIM(V83&amp;"")="","NULL","'"&amp;SUBSTITUTE(TRIM(V83),"'","''")&amp;"'")&amp;", p_pagina_libro =&gt; "&amp;IF(W83&amp;""="","NULL",SUBSTITUTE(W83&amp;"",",","."))&amp;", p_observacion =&gt; "&amp;IF(TRIM(X83&amp;"")="","NULL","'"&amp;SUBSTITUTE(TRIM(X83),"'","''")&amp;"'")&amp;") AS resultado_balon_"&amp;ROW()&amp;";")</f>
        <v/>
      </c>
    </row>
    <row r="84" ht="15.75" customHeight="1" s="64">
      <c r="A84" s="36" t="inlineStr">
        <is>
          <t>80</t>
        </is>
      </c>
      <c r="B84" s="25">
        <f>IF(AND(C84="",D84="",E84=""),"",IF(C84="","FALTA código balón",IF(D84="","FALTA tipo balón",IF(E84="","FALTA gas",IF(F84="","FALTA propietario",IF(AND(C84&lt;&gt;"",SUMPRODUCT(--($C$5:$C$1200=C84))&gt;1),"CÓDIGO BALÓN DUPLICADO",IF(AND(OR(UPPER(F84)="PLANTA",UPPER(F84)="CLIENTE"),G84=""),"FALTA doc propietario/planta",IF(AND(UPPER(F84)="PLANTA",G84="10175332796"),"PLANTA no puede ser RUC empresa","OK"))))))))</f>
        <v/>
      </c>
      <c r="C84" s="23" t="inlineStr">
        <is>
          <t>YA20Y350143</t>
        </is>
      </c>
      <c r="D84" s="17" t="inlineStr">
        <is>
          <t>Oxígeno Industrial 10 m³</t>
        </is>
      </c>
      <c r="E84" s="17" t="inlineStr">
        <is>
          <t>OXIGENO INDUSTRIAL</t>
        </is>
      </c>
      <c r="F84" s="17" t="inlineStr">
        <is>
          <t>EMPRESA</t>
        </is>
      </c>
      <c r="G84" s="23" t="inlineStr">
        <is>
          <t>10175332796</t>
        </is>
      </c>
      <c r="H84" s="25">
        <f t="array" ref="H84">IF(G84="","",IFERROR(IF(INDEX(Clientes!$D$5:$D$549,MATCH(G84,Clientes!$C$5:$C$549,0))&lt;&gt;"",INDEX(Clientes!$D$5:$D$549,MATCH(G84,Clientes!$C$5:$C$549,0)),TRIM(INDEX(Clientes!$E$5:$E$549,MATCH(G84,Clientes!$C$5:$C$549,0))&amp;" "&amp;INDEX(Clientes!$F$5:$F$549,MATCH(G84,Clientes!$C$5:$C$549,0)))),"NO EXISTE en Clientes"))</f>
        <v/>
      </c>
      <c r="I84" s="17" t="inlineStr">
        <is>
          <t>DISPONIBLE</t>
        </is>
      </c>
      <c r="J84" s="17" t="inlineStr">
        <is>
          <t>ALMACEN PRINCIPAL</t>
        </is>
      </c>
      <c r="K84" s="23" t="n"/>
      <c r="L84" s="25">
        <f t="array" ref="L84">IF(K84="","",IFERROR(IF(INDEX(Clientes!$D$5:$D$549,MATCH(K84,Clientes!$C$5:$C$549,0))&lt;&gt;"",INDEX(Clientes!$D$5:$D$549,MATCH(K84,Clientes!$C$5:$C$549,0)),TRIM(INDEX(Clientes!$E$5:$E$549,MATCH(K84,Clientes!$C$5:$C$549,0))&amp;" "&amp;INDEX(Clientes!$F$5:$F$549,MATCH(K84,Clientes!$C$5:$C$549,0)))),"NO EXISTE en Clientes"))</f>
        <v/>
      </c>
      <c r="M84" s="17" t="n">
        <v>2025</v>
      </c>
      <c r="N84" s="17" t="n">
        <v>10</v>
      </c>
      <c r="O84" s="42" t="n">
        <v>45931</v>
      </c>
      <c r="P84" s="39">
        <f>IF(O84&lt;&gt;"",DATE(YEAR(O84)+10,MONTH(O84),1),IF(AND(M84&lt;&gt;"",N84&lt;&gt;""),DATE(M84+5,N84,1),""))</f>
        <v/>
      </c>
      <c r="Q84" s="23" t="n"/>
      <c r="R84" s="17" t="inlineStr">
        <is>
          <t>YA</t>
        </is>
      </c>
      <c r="S84" s="17" t="inlineStr">
        <is>
          <t>NO TIENE</t>
        </is>
      </c>
      <c r="T84" s="17" t="n">
        <v>2800</v>
      </c>
      <c r="U84" s="17" t="inlineStr">
        <is>
          <t>CHINA</t>
        </is>
      </c>
      <c r="V84" s="23" t="n"/>
      <c r="W84" s="17" t="n"/>
      <c r="X84" s="17" t="inlineStr">
        <is>
          <t>PH DE OXIGENO CRISTIAN</t>
        </is>
      </c>
      <c r="Y84" s="28">
        <f>IF(B84&lt;&gt;"OK","","SELECT bal_crear_balon(p_codigo_balon =&gt; "&amp;IF(TRIM(C84&amp;"")="","NULL","'"&amp;SUBSTITUTE(TRIM(C84),"'","''")&amp;"'")&amp;", p_id_tipo_balon =&gt; "&amp;"(SELECT id FROM bal_tipo_balon WHERE upper(nombre) = upper('"&amp;SUBSTITUTE(TRIM(D84),"'","''")&amp;"') AND estado = 1 LIMIT 1)"&amp;", p_id_producto_gas =&gt; "&amp;"(SELECT id FROM pro_producto WHERE es_gas = TRUE AND upper(nombre) = upper('"&amp;SUBSTITUTE(TRIM(E84),"'","''")&amp;"') AND estado = 1 LIMIT 1)"&amp;", p_id_propietario =&gt; "&amp;IF(TRIM(F84&amp;"")="","NULL","(SELECT lo.id FROM gen_lista_opciones lo JOIN gen_lista l ON l.id = lo.id_lista WHERE l.nombre = 'PropietarioBalon' AND upper(lo.nombre) = upper('"&amp;SUBSTITUTE(TRIM(F84),"'","''")&amp;"') AND lo.estado = 1 LIMIT 1)")&amp;", p_id_cliente_propietario =&gt; "&amp;IF(F84="CLIENTE",IF(TRIM(G84&amp;"")="","NULL","(SELECT id FROM cli_clientes WHERE numero_documento = '"&amp;SUBSTITUTE(TRIM(G84),"'","''")&amp;"' AND estado = 1 LIMIT 1)"),"NULL")&amp;", p_id_planta =&gt; "&amp;IF(F84="PLANTA",IF(TRIM(G84&amp;"")="","NULL","(SELECT id FROM cli_clientes WHERE numero_documento = '"&amp;SUBSTITUTE(TRIM(G84),"'","''")&amp;"'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"&amp;IF(TRIM(J84&amp;"")="","NULL","(SELECT id FROM gen_almacen WHERE upper(nombre) = upper('"&amp;SUBSTITUTE(TRIM(J84),"'","''")&amp;"') AND estado = 1 LIMIT 1)")&amp;", p_id_cliente_ubicacion =&gt; "&amp;IF(TRIM(K84&amp;"")="","NULL","(SELECT id FROM cli_clientes WHERE numero_documento = '"&amp;SUBSTITUTE(TRIM(K84),"'","''")&amp;"' AND estado = 1 LIMIT 1)")&amp;", p_id_referencia =&gt; "&amp;IF(TRIM(J84&amp;"")&lt;&gt;"","(SELECT lo.id FROM gen_lista_opciones lo JOIN gen_lista l ON l.id = lo.id_lista WHERE l.nombre = 'ReferenciaCilindro' AND upper(lo.nombre) = 'ALMACEN' AND lo.estado = 1 LIMIT 1)",IF(TRIM(K84&amp;"")&lt;&gt;"","(SELECT lo.id FROM gen_lista_opciones lo JOIN gen_lista l ON l.id = lo.id_lista WHERE l.nombre = 'ReferenciaCilindro' AND upper(lo.nombre) = 'CLIENTE' AND lo.estado = 1 LIMIT 1)","NULL"))&amp;", p_anio_fabricacion =&gt; "&amp;IF(M84&amp;""="","NULL::smallint",M84&amp;"::smallint")&amp;", p_mes_fabricacion =&gt; "&amp;IF(N84&amp;""="","NULL::smallint",N84&amp;"::smallint")&amp;", p_fecha_ultima_prueba_hidrostatica =&gt; "&amp;IF(O84&amp;""="","NULL","'"&amp;YEAR(O84)&amp;"-"&amp;TEXT(MONTH(O84),"00")&amp;"-"&amp;TEXT(DAY(O84),"00")&amp;"'")&amp;", p_numero_serie =&gt; "&amp;IF(TRIM(Q84&amp;"")="","NULL","'"&amp;SUBSTITUTE(TRIM(Q84),"'","''")&amp;"'")&amp;", p_id_marca_cilindro =&gt; "&amp;IF(TRIM(R84&amp;"")="","NULL","(SELECT lo.id FROM gen_lista_opciones lo JOIN gen_lista l ON l.id = lo.id_lista WHERE l.nombre = 'MarcaCilindro' AND upper(lo.nombre) = upper('"&amp;SUBSTITUTE(TRIM(R84),"'","''")&amp;"') AND lo.estado = 1 LIMIT 1)")&amp;", p_id_organo_inspector =&gt; "&amp;IF(TRIM(S84&amp;"")="","NULL","(SELECT lo.id FROM gen_lista_opciones lo JOIN gen_lista l ON l.id = lo.id_lista WHERE l.nombre = 'OrganoInspectorCilindro' AND upper(lo.nombre) = upper('"&amp;SUBSTITUTE(TRIM(S84),"'","''")&amp;"') AND lo.estado = 1 LIMIT 1)")&amp;", p_organo_inspector_no_aplica =&gt; "&amp;IF(S84="NO_APLICA","TRUE","FALSE")&amp;", p_presion_actual =&gt; "&amp;IF(T84&amp;""="","NULL",SUBSTITUTE(T84&amp;"",",","."))&amp;", p_tipo_valvula =&gt; "&amp;IF(TRIM(U84&amp;"")="","NULL","'"&amp;SUBSTITUTE(TRIM(U84),"'","''")&amp;"'")&amp;", p_libro_cilindro =&gt; "&amp;IF(TRIM(V84&amp;"")="","NULL","'"&amp;SUBSTITUTE(TRIM(V84),"'","''")&amp;"'")&amp;", p_pagina_libro =&gt; "&amp;IF(W84&amp;""="","NULL",SUBSTITUTE(W84&amp;"",",","."))&amp;", p_observacion =&gt; "&amp;IF(TRIM(X84&amp;"")="","NULL","'"&amp;SUBSTITUTE(TRIM(X84),"'","''")&amp;"'")&amp;") AS resultado_balon_"&amp;ROW()&amp;";")</f>
        <v/>
      </c>
    </row>
    <row r="85" ht="15.75" customHeight="1" s="64">
      <c r="A85" s="36" t="inlineStr">
        <is>
          <t>81</t>
        </is>
      </c>
      <c r="B85" s="25">
        <f>IF(AND(C85="",D85="",E85=""),"",IF(C85="","FALTA código balón",IF(D85="","FALTA tipo balón",IF(E85="","FALTA gas",IF(F85="","FALTA propietario",IF(AND(C85&lt;&gt;"",SUMPRODUCT(--($C$5:$C$1200=C85))&gt;1),"CÓDIGO BALÓN DUPLICADO",IF(AND(OR(UPPER(F85)="PLANTA",UPPER(F85)="CLIENTE"),G85=""),"FALTA doc propietario/planta",IF(AND(UPPER(F85)="PLANTA",G85="10175332796"),"PLANTA no puede ser RUC empresa","OK"))))))))</f>
        <v/>
      </c>
      <c r="C85" s="23" t="inlineStr">
        <is>
          <t>20K706112</t>
        </is>
      </c>
      <c r="D85" s="17" t="inlineStr">
        <is>
          <t>Stargold Estandar de 10 m3</t>
        </is>
      </c>
      <c r="E85" s="17" t="inlineStr">
        <is>
          <t>STARGOLD ESTANDAR</t>
        </is>
      </c>
      <c r="F85" s="17" t="inlineStr">
        <is>
          <t>CLIENTE</t>
        </is>
      </c>
      <c r="G85" s="23" t="inlineStr">
        <is>
          <t>20523386469</t>
        </is>
      </c>
      <c r="H85" s="25">
        <f t="array" ref="H85">IF(G85="","",IFERROR(IF(INDEX(Clientes!$D$5:$D$549,MATCH(G85,Clientes!$C$5:$C$549,0))&lt;&gt;"",INDEX(Clientes!$D$5:$D$549,MATCH(G85,Clientes!$C$5:$C$549,0)),TRIM(INDEX(Clientes!$E$5:$E$549,MATCH(G85,Clientes!$C$5:$C$549,0))&amp;" "&amp;INDEX(Clientes!$F$5:$F$549,MATCH(G85,Clientes!$C$5:$C$549,0)))),"NO EXISTE en Clientes"))</f>
        <v/>
      </c>
      <c r="I85" s="17" t="inlineStr">
        <is>
          <t>DISPONIBLE</t>
        </is>
      </c>
      <c r="J85" s="17" t="inlineStr">
        <is>
          <t>ALMACEN PRINCIPAL</t>
        </is>
      </c>
      <c r="K85" s="23" t="n"/>
      <c r="L85" s="25">
        <f t="array" ref="L85">IF(K85="","",IFERROR(IF(INDEX(Clientes!$D$5:$D$549,MATCH(K85,Clientes!$C$5:$C$549,0))&lt;&gt;"",INDEX(Clientes!$D$5:$D$549,MATCH(K85,Clientes!$C$5:$C$549,0)),TRIM(INDEX(Clientes!$E$5:$E$549,MATCH(K85,Clientes!$C$5:$C$549,0))&amp;" "&amp;INDEX(Clientes!$F$5:$F$549,MATCH(K85,Clientes!$C$5:$C$549,0)))),"NO EXISTE en Clientes"))</f>
        <v/>
      </c>
      <c r="M85" s="17" t="n"/>
      <c r="N85" s="17" t="n"/>
      <c r="O85" s="42" t="n"/>
      <c r="P85" s="39">
        <f>IF(O85&lt;&gt;"",DATE(YEAR(O85)+10,MONTH(O85),1),IF(AND(M85&lt;&gt;"",N85&lt;&gt;""),DATE(M85+5,N85,1),""))</f>
        <v/>
      </c>
      <c r="Q85" s="23" t="n"/>
      <c r="R85" s="17" t="n"/>
      <c r="S85" s="17" t="n"/>
      <c r="T85" s="17" t="n"/>
      <c r="U85" s="17" t="n"/>
      <c r="V85" s="23" t="n"/>
      <c r="W85" s="17" t="n"/>
      <c r="X85" s="17" t="n"/>
      <c r="Y85" s="28">
        <f>IF(B85&lt;&gt;"OK","","SELECT bal_crear_balon(p_codigo_balon =&gt; "&amp;IF(TRIM(C85&amp;"")="","NULL","'"&amp;SUBSTITUTE(TRIM(C85),"'","''")&amp;"'")&amp;", p_id_tipo_balon =&gt; "&amp;"(SELECT id FROM bal_tipo_balon WHERE upper(nombre) = upper('"&amp;SUBSTITUTE(TRIM(D85),"'","''")&amp;"') AND estado = 1 LIMIT 1)"&amp;", p_id_producto_gas =&gt; "&amp;"(SELECT id FROM pro_producto WHERE es_gas = TRUE AND upper(nombre) = upper('"&amp;SUBSTITUTE(TRIM(E85),"'","''")&amp;"') AND estado = 1 LIMIT 1)"&amp;", p_id_propietario =&gt; "&amp;IF(TRIM(F85&amp;"")="","NULL","(SELECT lo.id FROM gen_lista_opciones lo JOIN gen_lista l ON l.id = lo.id_lista WHERE l.nombre = 'PropietarioBalon' AND upper(lo.nombre) = upper('"&amp;SUBSTITUTE(TRIM(F85),"'","''")&amp;"') AND lo.estado = 1 LIMIT 1)")&amp;", p_id_cliente_propietario =&gt; "&amp;IF(F85="CLIENTE",IF(TRIM(G85&amp;"")="","NULL","(SELECT id FROM cli_clientes WHERE numero_documento = '"&amp;SUBSTITUTE(TRIM(G85),"'","''")&amp;"' AND estado = 1 LIMIT 1)"),"NULL")&amp;", p_id_planta =&gt; "&amp;IF(F85="PLANTA",IF(TRIM(G85&amp;"")="","NULL","(SELECT id FROM cli_clientes WHERE numero_documento = '"&amp;SUBSTITUTE(TRIM(G85),"'","''")&amp;"'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"&amp;IF(TRIM(J85&amp;"")="","NULL","(SELECT id FROM gen_almacen WHERE upper(nombre) = upper('"&amp;SUBSTITUTE(TRIM(J85),"'","''")&amp;"') AND estado = 1 LIMIT 1)")&amp;", p_id_cliente_ubicacion =&gt; "&amp;IF(TRIM(K85&amp;"")="","NULL","(SELECT id FROM cli_clientes WHERE numero_documento = '"&amp;SUBSTITUTE(TRIM(K85),"'","''")&amp;"' AND estado = 1 LIMIT 1)")&amp;", p_id_referencia =&gt; "&amp;IF(TRIM(J85&amp;"")&lt;&gt;"","(SELECT lo.id FROM gen_lista_opciones lo JOIN gen_lista l ON l.id = lo.id_lista WHERE l.nombre = 'ReferenciaCilindro' AND upper(lo.nombre) = 'ALMACEN' AND lo.estado = 1 LIMIT 1)",IF(TRIM(K85&amp;"")&lt;&gt;"","(SELECT lo.id FROM gen_lista_opciones lo JOIN gen_lista l ON l.id = lo.id_lista WHERE l.nombre = 'ReferenciaCilindro' AND upper(lo.nombre) = 'CLIENTE' AND lo.estado = 1 LIMIT 1)","NULL"))&amp;", p_anio_fabricacion =&gt; "&amp;IF(M85&amp;""="","NULL::smallint",M85&amp;"::smallint")&amp;", p_mes_fabricacion =&gt; "&amp;IF(N85&amp;""="","NULL::smallint",N85&amp;"::smallint")&amp;", p_fecha_ultima_prueba_hidrostatica =&gt; "&amp;IF(O85&amp;""="","NULL","'"&amp;YEAR(O85)&amp;"-"&amp;TEXT(MONTH(O85),"00")&amp;"-"&amp;TEXT(DAY(O85),"00")&amp;"'")&amp;", p_numero_serie =&gt; "&amp;IF(TRIM(Q85&amp;"")="","NULL","'"&amp;SUBSTITUTE(TRIM(Q85),"'","''")&amp;"'")&amp;", p_id_marca_cilindro =&gt; "&amp;IF(TRIM(R85&amp;"")="","NULL","(SELECT lo.id FROM gen_lista_opciones lo JOIN gen_lista l ON l.id = lo.id_lista WHERE l.nombre = 'MarcaCilindro' AND upper(lo.nombre) = upper('"&amp;SUBSTITUTE(TRIM(R85),"'","''")&amp;"') AND lo.estado = 1 LIMIT 1)")&amp;", p_id_organo_inspector =&gt; "&amp;IF(TRIM(S85&amp;"")="","NULL","(SELECT lo.id FROM gen_lista_opciones lo JOIN gen_lista l ON l.id = lo.id_lista WHERE l.nombre = 'OrganoInspectorCilindro' AND upper(lo.nombre) = upper('"&amp;SUBSTITUTE(TRIM(S85),"'","''")&amp;"') AND lo.estado = 1 LIMIT 1)")&amp;", p_organo_inspector_no_aplica =&gt; "&amp;IF(S85="NO_APLICA","TRUE","FALSE")&amp;", p_presion_actual =&gt; "&amp;IF(T85&amp;""="","NULL",SUBSTITUTE(T85&amp;"",",","."))&amp;", p_tipo_valvula =&gt; "&amp;IF(TRIM(U85&amp;"")="","NULL","'"&amp;SUBSTITUTE(TRIM(U85),"'","''")&amp;"'")&amp;", p_libro_cilindro =&gt; "&amp;IF(TRIM(V85&amp;"")="","NULL","'"&amp;SUBSTITUTE(TRIM(V85),"'","''")&amp;"'")&amp;", p_pagina_libro =&gt; "&amp;IF(W85&amp;""="","NULL",SUBSTITUTE(W85&amp;"",",","."))&amp;", p_observacion =&gt; "&amp;IF(TRIM(X85&amp;"")="","NULL","'"&amp;SUBSTITUTE(TRIM(X85),"'","''")&amp;"'")&amp;") AS resultado_balon_"&amp;ROW()&amp;";")</f>
        <v/>
      </c>
    </row>
    <row r="86" ht="15.75" customHeight="1" s="64">
      <c r="A86" s="36" t="inlineStr">
        <is>
          <t>82</t>
        </is>
      </c>
      <c r="B86" s="25">
        <f>IF(AND(C86="",D86="",E86=""),"",IF(C86="","FALTA código balón",IF(D86="","FALTA tipo balón",IF(E86="","FALTA gas",IF(F86="","FALTA propietario",IF(AND(C86&lt;&gt;"",SUMPRODUCT(--($C$5:$C$1200=C86))&gt;1),"CÓDIGO BALÓN DUPLICADO",IF(AND(OR(UPPER(F86)="PLANTA",UPPER(F86)="CLIENTE"),G86=""),"FALTA doc propietario/planta",IF(AND(UPPER(F86)="PLANTA",G86="10175332796"),"PLANTA no puede ser RUC empresa","OK"))))))))</f>
        <v/>
      </c>
      <c r="C86" s="23" t="inlineStr">
        <is>
          <t>2748</t>
        </is>
      </c>
      <c r="D86" s="17" t="inlineStr">
        <is>
          <t>Nitrógeno 6 m³</t>
        </is>
      </c>
      <c r="E86" s="17" t="inlineStr">
        <is>
          <t>NITROGENO</t>
        </is>
      </c>
      <c r="F86" s="17" t="inlineStr">
        <is>
          <t>EMPRESA</t>
        </is>
      </c>
      <c r="G86" s="23" t="inlineStr">
        <is>
          <t>10175332796</t>
        </is>
      </c>
      <c r="H86" s="25">
        <f t="array" ref="H86">IF(G86="","",IFERROR(IF(INDEX(Clientes!$D$5:$D$549,MATCH(G86,Clientes!$C$5:$C$549,0))&lt;&gt;"",INDEX(Clientes!$D$5:$D$549,MATCH(G86,Clientes!$C$5:$C$549,0)),TRIM(INDEX(Clientes!$E$5:$E$549,MATCH(G86,Clientes!$C$5:$C$549,0))&amp;" "&amp;INDEX(Clientes!$F$5:$F$549,MATCH(G86,Clientes!$C$5:$C$549,0)))),"NO EXISTE en Clientes"))</f>
        <v/>
      </c>
      <c r="I86" s="17" t="inlineStr">
        <is>
          <t>DISPONIBLE</t>
        </is>
      </c>
      <c r="J86" s="17" t="inlineStr">
        <is>
          <t>ALMACEN PRINCIPAL</t>
        </is>
      </c>
      <c r="K86" s="23" t="n"/>
      <c r="L86" s="25">
        <f t="array" ref="L86">IF(K86="","",IFERROR(IF(INDEX(Clientes!$D$5:$D$549,MATCH(K86,Clientes!$C$5:$C$549,0))&lt;&gt;"",INDEX(Clientes!$D$5:$D$549,MATCH(K86,Clientes!$C$5:$C$549,0)),TRIM(INDEX(Clientes!$E$5:$E$549,MATCH(K86,Clientes!$C$5:$C$549,0))&amp;" "&amp;INDEX(Clientes!$F$5:$F$549,MATCH(K86,Clientes!$C$5:$C$549,0)))),"NO EXISTE en Clientes"))</f>
        <v/>
      </c>
      <c r="M86" s="17" t="n">
        <v>2025</v>
      </c>
      <c r="N86" s="17" t="n">
        <v>8</v>
      </c>
      <c r="O86" s="42" t="n">
        <v>45870</v>
      </c>
      <c r="P86" s="39">
        <f>IF(O86&lt;&gt;"",DATE(YEAR(O86)+5,MONTH(O86),1),IF(AND(M86&lt;&gt;"",N86&lt;&gt;""),DATE(M86+5,N86,1),""))</f>
        <v/>
      </c>
      <c r="Q86" s="23" t="n"/>
      <c r="R86" s="17" t="inlineStr">
        <is>
          <t>AMERICANA</t>
        </is>
      </c>
      <c r="S86" s="17" t="inlineStr">
        <is>
          <t>NO TIENE</t>
        </is>
      </c>
      <c r="T86" s="17" t="n">
        <v>2000</v>
      </c>
      <c r="U86" s="17" t="n"/>
      <c r="V86" s="23" t="n"/>
      <c r="W86" s="17" t="n"/>
      <c r="X86" s="17" t="inlineStr">
        <is>
          <t>PH OXIGENO CRISTIAN</t>
        </is>
      </c>
      <c r="Y86" s="28">
        <f>IF(B86&lt;&gt;"OK","","SELECT bal_crear_balon(p_codigo_balon =&gt; "&amp;IF(TRIM(C86&amp;"")="","NULL","'"&amp;SUBSTITUTE(TRIM(C86),"'","''")&amp;"'")&amp;", p_id_tipo_balon =&gt; "&amp;"(SELECT id FROM bal_tipo_balon WHERE upper(nombre) = upper('"&amp;SUBSTITUTE(TRIM(D86),"'","''")&amp;"') AND estado = 1 LIMIT 1)"&amp;", p_id_producto_gas =&gt; "&amp;"(SELECT id FROM pro_producto WHERE es_gas = TRUE AND upper(nombre) = upper('"&amp;SUBSTITUTE(TRIM(E86),"'","''")&amp;"') AND estado = 1 LIMIT 1)"&amp;", p_id_propietario =&gt; "&amp;IF(TRIM(F86&amp;"")="","NULL","(SELECT lo.id FROM gen_lista_opciones lo JOIN gen_lista l ON l.id = lo.id_lista WHERE l.nombre = 'PropietarioBalon' AND upper(lo.nombre) = upper('"&amp;SUBSTITUTE(TRIM(F86),"'","''")&amp;"') AND lo.estado = 1 LIMIT 1)")&amp;", p_id_cliente_propietario =&gt; "&amp;IF(F86="CLIENTE",IF(TRIM(G86&amp;"")="","NULL","(SELECT id FROM cli_clientes WHERE numero_documento = '"&amp;SUBSTITUTE(TRIM(G86),"'","''")&amp;"' AND estado = 1 LIMIT 1)"),"NULL")&amp;", p_id_planta =&gt; "&amp;IF(F86="PLANTA",IF(TRIM(G86&amp;"")="","NULL","(SELECT id FROM cli_clientes WHERE numero_documento = '"&amp;SUBSTITUTE(TRIM(G86),"'","''")&amp;"'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"&amp;IF(TRIM(J86&amp;"")="","NULL","(SELECT id FROM gen_almacen WHERE upper(nombre) = upper('"&amp;SUBSTITUTE(TRIM(J86),"'","''")&amp;"') AND estado = 1 LIMIT 1)")&amp;", p_id_cliente_ubicacion =&gt; "&amp;IF(TRIM(K86&amp;"")="","NULL","(SELECT id FROM cli_clientes WHERE numero_documento = '"&amp;SUBSTITUTE(TRIM(K86),"'","''")&amp;"' AND estado = 1 LIMIT 1)")&amp;", p_id_referencia =&gt; "&amp;IF(TRIM(J86&amp;"")&lt;&gt;"","(SELECT lo.id FROM gen_lista_opciones lo JOIN gen_lista l ON l.id = lo.id_lista WHERE l.nombre = 'ReferenciaCilindro' AND upper(lo.nombre) = 'ALMACEN' AND lo.estado = 1 LIMIT 1)",IF(TRIM(K86&amp;"")&lt;&gt;"","(SELECT lo.id FROM gen_lista_opciones lo JOIN gen_lista l ON l.id = lo.id_lista WHERE l.nombre = 'ReferenciaCilindro' AND upper(lo.nombre) = 'CLIENTE' AND lo.estado = 1 LIMIT 1)","NULL"))&amp;", p_anio_fabricacion =&gt; "&amp;IF(M86&amp;""="","NULL::smallint",M86&amp;"::smallint")&amp;", p_mes_fabricacion =&gt; "&amp;IF(N86&amp;""="","NULL::smallint",N86&amp;"::smallint")&amp;", p_fecha_ultima_prueba_hidrostatica =&gt; "&amp;IF(O86&amp;""="","NULL","'"&amp;YEAR(O86)&amp;"-"&amp;TEXT(MONTH(O86),"00")&amp;"-"&amp;TEXT(DAY(O86),"00")&amp;"'")&amp;", p_numero_serie =&gt; "&amp;IF(TRIM(Q86&amp;"")="","NULL","'"&amp;SUBSTITUTE(TRIM(Q86),"'","''")&amp;"'")&amp;", p_id_marca_cilindro =&gt; "&amp;IF(TRIM(R86&amp;"")="","NULL","(SELECT lo.id FROM gen_lista_opciones lo JOIN gen_lista l ON l.id = lo.id_lista WHERE l.nombre = 'MarcaCilindro' AND upper(lo.nombre) = upper('"&amp;SUBSTITUTE(TRIM(R86),"'","''")&amp;"') AND lo.estado = 1 LIMIT 1)")&amp;", p_id_organo_inspector =&gt; "&amp;IF(TRIM(S86&amp;"")="","NULL","(SELECT lo.id FROM gen_lista_opciones lo JOIN gen_lista l ON l.id = lo.id_lista WHERE l.nombre = 'OrganoInspectorCilindro' AND upper(lo.nombre) = upper('"&amp;SUBSTITUTE(TRIM(S86),"'","''")&amp;"') AND lo.estado = 1 LIMIT 1)")&amp;", p_organo_inspector_no_aplica =&gt; "&amp;IF(S86="NO_APLICA","TRUE","FALSE")&amp;", p_presion_actual =&gt; "&amp;IF(T86&amp;""="","NULL",SUBSTITUTE(T86&amp;"",",","."))&amp;", p_tipo_valvula =&gt; "&amp;IF(TRIM(U86&amp;"")="","NULL","'"&amp;SUBSTITUTE(TRIM(U86),"'","''")&amp;"'")&amp;", p_libro_cilindro =&gt; "&amp;IF(TRIM(V86&amp;"")="","NULL","'"&amp;SUBSTITUTE(TRIM(V86),"'","''")&amp;"'")&amp;", p_pagina_libro =&gt; "&amp;IF(W86&amp;""="","NULL",SUBSTITUTE(W86&amp;"",",","."))&amp;", p_observacion =&gt; "&amp;IF(TRIM(X86&amp;"")="","NULL","'"&amp;SUBSTITUTE(TRIM(X86),"'","''")&amp;"'")&amp;") AS resultado_balon_"&amp;ROW()&amp;";")</f>
        <v/>
      </c>
    </row>
    <row r="87" ht="15.75" customHeight="1" s="64">
      <c r="A87" s="36" t="inlineStr">
        <is>
          <t>83</t>
        </is>
      </c>
      <c r="B87" s="25">
        <f>IF(AND(C87="",D87="",E87=""),"",IF(C87="","FALTA código balón",IF(D87="","FALTA tipo balón",IF(E87="","FALTA gas",IF(F87="","FALTA propietario",IF(AND(C87&lt;&gt;"",SUMPRODUCT(--($C$5:$C$1200=C87))&gt;1),"CÓDIGO BALÓN DUPLICADO",IF(AND(OR(UPPER(F87)="PLANTA",UPPER(F87)="CLIENTE"),G87=""),"FALTA doc propietario/planta",IF(AND(UPPER(F87)="PLANTA",G87="10175332796"),"PLANTA no puede ser RUC empresa","OK"))))))))</f>
        <v/>
      </c>
      <c r="C87" s="23" t="inlineStr">
        <is>
          <t>20K301091</t>
        </is>
      </c>
      <c r="D87" s="17" t="inlineStr">
        <is>
          <t>Nitrógeno 10 m³</t>
        </is>
      </c>
      <c r="E87" s="17" t="inlineStr">
        <is>
          <t>NITROGENO</t>
        </is>
      </c>
      <c r="F87" s="17" t="inlineStr">
        <is>
          <t>EMPRESA</t>
        </is>
      </c>
      <c r="G87" s="23" t="inlineStr">
        <is>
          <t>10175332796</t>
        </is>
      </c>
      <c r="H87" s="25">
        <f t="array" ref="H87">IF(G87="","",IFERROR(IF(INDEX(Clientes!$D$5:$D$549,MATCH(G87,Clientes!$C$5:$C$549,0))&lt;&gt;"",INDEX(Clientes!$D$5:$D$549,MATCH(G87,Clientes!$C$5:$C$549,0)),TRIM(INDEX(Clientes!$E$5:$E$549,MATCH(G87,Clientes!$C$5:$C$549,0))&amp;" "&amp;INDEX(Clientes!$F$5:$F$549,MATCH(G87,Clientes!$C$5:$C$549,0)))),"NO EXISTE en Clientes"))</f>
        <v/>
      </c>
      <c r="I87" s="17" t="inlineStr">
        <is>
          <t>DISPONIBLE</t>
        </is>
      </c>
      <c r="J87" s="17" t="inlineStr">
        <is>
          <t>ALMACEN PRINCIPAL</t>
        </is>
      </c>
      <c r="K87" s="23" t="n"/>
      <c r="L87" s="25">
        <f t="array" ref="L87">IF(K87="","",IFERROR(IF(INDEX(Clientes!$D$5:$D$549,MATCH(K87,Clientes!$C$5:$C$549,0))&lt;&gt;"",INDEX(Clientes!$D$5:$D$549,MATCH(K87,Clientes!$C$5:$C$549,0)),TRIM(INDEX(Clientes!$E$5:$E$549,MATCH(K87,Clientes!$C$5:$C$549,0))&amp;" "&amp;INDEX(Clientes!$F$5:$F$549,MATCH(K87,Clientes!$C$5:$C$549,0)))),"NO EXISTE en Clientes"))</f>
        <v/>
      </c>
      <c r="M87" s="17" t="n">
        <v>2025</v>
      </c>
      <c r="N87" s="17" t="n">
        <v>9</v>
      </c>
      <c r="O87" s="42" t="n">
        <v>45901</v>
      </c>
      <c r="P87" s="39">
        <f>IF(O87&lt;&gt;"",DATE(YEAR(O87)+10,MONTH(O87),1),IF(AND(M87&lt;&gt;"",N87&lt;&gt;""),DATE(M87+5,N87,1),""))</f>
        <v/>
      </c>
      <c r="Q87" s="23" t="n"/>
      <c r="R87" s="17" t="inlineStr">
        <is>
          <t>JP</t>
        </is>
      </c>
      <c r="S87" s="17" t="inlineStr">
        <is>
          <t>OTRO</t>
        </is>
      </c>
      <c r="T87" s="17" t="n">
        <v>2800</v>
      </c>
      <c r="U87" s="17" t="n"/>
      <c r="V87" s="23" t="n"/>
      <c r="W87" s="17" t="n"/>
      <c r="X87" s="17" t="inlineStr">
        <is>
          <t>PH OXIGENO CRISTIAN</t>
        </is>
      </c>
      <c r="Y87" s="28">
        <f>IF(B87&lt;&gt;"OK","","SELECT bal_crear_balon(p_codigo_balon =&gt; "&amp;IF(TRIM(C87&amp;"")="","NULL","'"&amp;SUBSTITUTE(TRIM(C87),"'","''")&amp;"'")&amp;", p_id_tipo_balon =&gt; "&amp;"(SELECT id FROM bal_tipo_balon WHERE upper(nombre) = upper('"&amp;SUBSTITUTE(TRIM(D87),"'","''")&amp;"') AND estado = 1 LIMIT 1)"&amp;", p_id_producto_gas =&gt; "&amp;"(SELECT id FROM pro_producto WHERE es_gas = TRUE AND upper(nombre) = upper('"&amp;SUBSTITUTE(TRIM(E87),"'","''")&amp;"') AND estado = 1 LIMIT 1)"&amp;", p_id_propietario =&gt; "&amp;IF(TRIM(F87&amp;"")="","NULL","(SELECT lo.id FROM gen_lista_opciones lo JOIN gen_lista l ON l.id = lo.id_lista WHERE l.nombre = 'PropietarioBalon' AND upper(lo.nombre) = upper('"&amp;SUBSTITUTE(TRIM(F87),"'","''")&amp;"') AND lo.estado = 1 LIMIT 1)")&amp;", p_id_cliente_propietario =&gt; "&amp;IF(F87="CLIENTE",IF(TRIM(G87&amp;"")="","NULL","(SELECT id FROM cli_clientes WHERE numero_documento = '"&amp;SUBSTITUTE(TRIM(G87),"'","''")&amp;"' AND estado = 1 LIMIT 1)"),"NULL")&amp;", p_id_planta =&gt; "&amp;IF(F87="PLANTA",IF(TRIM(G87&amp;"")="","NULL","(SELECT id FROM cli_clientes WHERE numero_documento = '"&amp;SUBSTITUTE(TRIM(G87),"'","''")&amp;"'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"&amp;IF(TRIM(J87&amp;"")="","NULL","(SELECT id FROM gen_almacen WHERE upper(nombre) = upper('"&amp;SUBSTITUTE(TRIM(J87),"'","''")&amp;"') AND estado = 1 LIMIT 1)")&amp;", p_id_cliente_ubicacion =&gt; "&amp;IF(TRIM(K87&amp;"")="","NULL","(SELECT id FROM cli_clientes WHERE numero_documento = '"&amp;SUBSTITUTE(TRIM(K87),"'","''")&amp;"' AND estado = 1 LIMIT 1)")&amp;", p_id_referencia =&gt; "&amp;IF(TRIM(J87&amp;"")&lt;&gt;"","(SELECT lo.id FROM gen_lista_opciones lo JOIN gen_lista l ON l.id = lo.id_lista WHERE l.nombre = 'ReferenciaCilindro' AND upper(lo.nombre) = 'ALMACEN' AND lo.estado = 1 LIMIT 1)",IF(TRIM(K87&amp;"")&lt;&gt;"","(SELECT lo.id FROM gen_lista_opciones lo JOIN gen_lista l ON l.id = lo.id_lista WHERE l.nombre = 'ReferenciaCilindro' AND upper(lo.nombre) = 'CLIENTE' AND lo.estado = 1 LIMIT 1)","NULL"))&amp;", p_anio_fabricacion =&gt; "&amp;IF(M87&amp;""="","NULL::smallint",M87&amp;"::smallint")&amp;", p_mes_fabricacion =&gt; "&amp;IF(N87&amp;""="","NULL::smallint",N87&amp;"::smallint")&amp;", p_fecha_ultima_prueba_hidrostatica =&gt; "&amp;IF(O87&amp;""="","NULL","'"&amp;YEAR(O87)&amp;"-"&amp;TEXT(MONTH(O87),"00")&amp;"-"&amp;TEXT(DAY(O87),"00")&amp;"'")&amp;", p_numero_serie =&gt; "&amp;IF(TRIM(Q87&amp;"")="","NULL","'"&amp;SUBSTITUTE(TRIM(Q87),"'","''")&amp;"'")&amp;", p_id_marca_cilindro =&gt; "&amp;IF(TRIM(R87&amp;"")="","NULL","(SELECT lo.id FROM gen_lista_opciones lo JOIN gen_lista l ON l.id = lo.id_lista WHERE l.nombre = 'MarcaCilindro' AND upper(lo.nombre) = upper('"&amp;SUBSTITUTE(TRIM(R87),"'","''")&amp;"') AND lo.estado = 1 LIMIT 1)")&amp;", p_id_organo_inspector =&gt; "&amp;IF(TRIM(S87&amp;"")="","NULL","(SELECT lo.id FROM gen_lista_opciones lo JOIN gen_lista l ON l.id = lo.id_lista WHERE l.nombre = 'OrganoInspectorCilindro' AND upper(lo.nombre) = upper('"&amp;SUBSTITUTE(TRIM(S87),"'","''")&amp;"') AND lo.estado = 1 LIMIT 1)")&amp;", p_organo_inspector_no_aplica =&gt; "&amp;IF(S87="NO_APLICA","TRUE","FALSE")&amp;", p_presion_actual =&gt; "&amp;IF(T87&amp;""="","NULL",SUBSTITUTE(T87&amp;"",",","."))&amp;", p_tipo_valvula =&gt; "&amp;IF(TRIM(U87&amp;"")="","NULL","'"&amp;SUBSTITUTE(TRIM(U87),"'","''")&amp;"'")&amp;", p_libro_cilindro =&gt; "&amp;IF(TRIM(V87&amp;"")="","NULL","'"&amp;SUBSTITUTE(TRIM(V87),"'","''")&amp;"'")&amp;", p_pagina_libro =&gt; "&amp;IF(W87&amp;""="","NULL",SUBSTITUTE(W87&amp;"",",","."))&amp;", p_observacion =&gt; "&amp;IF(TRIM(X87&amp;"")="","NULL","'"&amp;SUBSTITUTE(TRIM(X87),"'","''")&amp;"'")&amp;") AS resultado_balon_"&amp;ROW()&amp;";")</f>
        <v/>
      </c>
    </row>
    <row r="88" ht="15.75" customHeight="1" s="64">
      <c r="A88" s="36" t="inlineStr">
        <is>
          <t>84</t>
        </is>
      </c>
      <c r="B88" s="25">
        <f>IF(AND(C88="",D88="",E88=""),"",IF(C88="","FALTA código balón",IF(D88="","FALTA tipo balón",IF(E88="","FALTA gas",IF(F88="","FALTA propietario",IF(AND(C88&lt;&gt;"",SUMPRODUCT(--($C$5:$C$1200=C88))&gt;1),"CÓDIGO BALÓN DUPLICADO",IF(AND(OR(UPPER(F88)="PLANTA",UPPER(F88)="CLIENTE"),G88=""),"FALTA doc propietario/planta",IF(AND(UPPER(F88)="PLANTA",G88="10175332796"),"PLANTA no puede ser RUC empresa","OK"))))))))</f>
        <v/>
      </c>
      <c r="C88" s="23" t="inlineStr">
        <is>
          <t>1479</t>
        </is>
      </c>
      <c r="D88" s="17" t="inlineStr">
        <is>
          <t>Nitrógeno 6 m³</t>
        </is>
      </c>
      <c r="E88" s="17" t="inlineStr">
        <is>
          <t>NITROGENO</t>
        </is>
      </c>
      <c r="F88" s="17" t="inlineStr">
        <is>
          <t>EMPRESA</t>
        </is>
      </c>
      <c r="G88" s="23" t="inlineStr">
        <is>
          <t>10175332796</t>
        </is>
      </c>
      <c r="H88" s="25">
        <f t="array" ref="H88">IF(G88="","",IFERROR(IF(INDEX(Clientes!$D$5:$D$549,MATCH(G88,Clientes!$C$5:$C$549,0))&lt;&gt;"",INDEX(Clientes!$D$5:$D$549,MATCH(G88,Clientes!$C$5:$C$549,0)),TRIM(INDEX(Clientes!$E$5:$E$549,MATCH(G88,Clientes!$C$5:$C$549,0))&amp;" "&amp;INDEX(Clientes!$F$5:$F$549,MATCH(G88,Clientes!$C$5:$C$549,0)))),"NO EXISTE en Clientes"))</f>
        <v/>
      </c>
      <c r="I88" s="17" t="inlineStr">
        <is>
          <t>DISPONIBLE</t>
        </is>
      </c>
      <c r="J88" s="17" t="inlineStr">
        <is>
          <t>ALMACEN PRINCIPAL</t>
        </is>
      </c>
      <c r="K88" s="23" t="n"/>
      <c r="L88" s="25">
        <f t="array" ref="L88">IF(K88="","",IFERROR(IF(INDEX(Clientes!$D$5:$D$549,MATCH(K88,Clientes!$C$5:$C$549,0))&lt;&gt;"",INDEX(Clientes!$D$5:$D$549,MATCH(K88,Clientes!$C$5:$C$549,0)),TRIM(INDEX(Clientes!$E$5:$E$549,MATCH(K88,Clientes!$C$5:$C$549,0))&amp;" "&amp;INDEX(Clientes!$F$5:$F$549,MATCH(K88,Clientes!$C$5:$C$549,0)))),"NO EXISTE en Clientes"))</f>
        <v/>
      </c>
      <c r="M88" s="17" t="n">
        <v>2026</v>
      </c>
      <c r="N88" s="17" t="n">
        <v>3</v>
      </c>
      <c r="O88" s="42" t="n">
        <v>46082</v>
      </c>
      <c r="P88" s="39">
        <f>IF(O88&lt;&gt;"",DATE(YEAR(O88)+10,MONTH(O88),1),IF(AND(M88&lt;&gt;"",N88&lt;&gt;""),DATE(M88+5,N88,1),""))</f>
        <v/>
      </c>
      <c r="Q88" s="23" t="n"/>
      <c r="R88" s="17" t="inlineStr">
        <is>
          <t>AGA</t>
        </is>
      </c>
      <c r="S88" s="17" t="inlineStr">
        <is>
          <t>NO TIENE</t>
        </is>
      </c>
      <c r="T88" s="17" t="n">
        <v>2000</v>
      </c>
      <c r="U88" s="17" t="n"/>
      <c r="V88" s="23" t="n"/>
      <c r="W88" s="17" t="n"/>
      <c r="X88" s="17" t="inlineStr">
        <is>
          <t>PH OXIGENO CRISTIAN</t>
        </is>
      </c>
      <c r="Y88" s="28">
        <f>IF(B88&lt;&gt;"OK","","SELECT bal_crear_balon(p_codigo_balon =&gt; "&amp;IF(TRIM(C88&amp;"")="","NULL","'"&amp;SUBSTITUTE(TRIM(C88),"'","''")&amp;"'")&amp;", p_id_tipo_balon =&gt; "&amp;"(SELECT id FROM bal_tipo_balon WHERE upper(nombre) = upper('"&amp;SUBSTITUTE(TRIM(D88),"'","''")&amp;"') AND estado = 1 LIMIT 1)"&amp;", p_id_producto_gas =&gt; "&amp;"(SELECT id FROM pro_producto WHERE es_gas = TRUE AND upper(nombre) = upper('"&amp;SUBSTITUTE(TRIM(E88),"'","''")&amp;"') AND estado = 1 LIMIT 1)"&amp;", p_id_propietario =&gt; "&amp;IF(TRIM(F88&amp;"")="","NULL","(SELECT lo.id FROM gen_lista_opciones lo JOIN gen_lista l ON l.id = lo.id_lista WHERE l.nombre = 'PropietarioBalon' AND upper(lo.nombre) = upper('"&amp;SUBSTITUTE(TRIM(F88),"'","''")&amp;"') AND lo.estado = 1 LIMIT 1)")&amp;", p_id_cliente_propietario =&gt; "&amp;IF(F88="CLIENTE",IF(TRIM(G88&amp;"")="","NULL","(SELECT id FROM cli_clientes WHERE numero_documento = '"&amp;SUBSTITUTE(TRIM(G88),"'","''")&amp;"' AND estado = 1 LIMIT 1)"),"NULL")&amp;", p_id_planta =&gt; "&amp;IF(F88="PLANTA",IF(TRIM(G88&amp;"")="","NULL","(SELECT id FROM cli_clientes WHERE numero_documento = '"&amp;SUBSTITUTE(TRIM(G88),"'","''")&amp;"'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"&amp;IF(TRIM(J88&amp;"")="","NULL","(SELECT id FROM gen_almacen WHERE upper(nombre) = upper('"&amp;SUBSTITUTE(TRIM(J88),"'","''")&amp;"') AND estado = 1 LIMIT 1)")&amp;", p_id_cliente_ubicacion =&gt; "&amp;IF(TRIM(K88&amp;"")="","NULL","(SELECT id FROM cli_clientes WHERE numero_documento = '"&amp;SUBSTITUTE(TRIM(K88),"'","''")&amp;"' AND estado = 1 LIMIT 1)")&amp;", p_id_referencia =&gt; "&amp;IF(TRIM(J88&amp;"")&lt;&gt;"","(SELECT lo.id FROM gen_lista_opciones lo JOIN gen_lista l ON l.id = lo.id_lista WHERE l.nombre = 'ReferenciaCilindro' AND upper(lo.nombre) = 'ALMACEN' AND lo.estado = 1 LIMIT 1)",IF(TRIM(K88&amp;"")&lt;&gt;"","(SELECT lo.id FROM gen_lista_opciones lo JOIN gen_lista l ON l.id = lo.id_lista WHERE l.nombre = 'ReferenciaCilindro' AND upper(lo.nombre) = 'CLIENTE' AND lo.estado = 1 LIMIT 1)","NULL"))&amp;", p_anio_fabricacion =&gt; "&amp;IF(M88&amp;""="","NULL::smallint",M88&amp;"::smallint")&amp;", p_mes_fabricacion =&gt; "&amp;IF(N88&amp;""="","NULL::smallint",N88&amp;"::smallint")&amp;", p_fecha_ultima_prueba_hidrostatica =&gt; "&amp;IF(O88&amp;""="","NULL","'"&amp;YEAR(O88)&amp;"-"&amp;TEXT(MONTH(O88),"00")&amp;"-"&amp;TEXT(DAY(O88),"00")&amp;"'")&amp;", p_numero_serie =&gt; "&amp;IF(TRIM(Q88&amp;"")="","NULL","'"&amp;SUBSTITUTE(TRIM(Q88),"'","''")&amp;"'")&amp;", p_id_marca_cilindro =&gt; "&amp;IF(TRIM(R88&amp;"")="","NULL","(SELECT lo.id FROM gen_lista_opciones lo JOIN gen_lista l ON l.id = lo.id_lista WHERE l.nombre = 'MarcaCilindro' AND upper(lo.nombre) = upper('"&amp;SUBSTITUTE(TRIM(R88),"'","''")&amp;"') AND lo.estado = 1 LIMIT 1)")&amp;", p_id_organo_inspector =&gt; "&amp;IF(TRIM(S88&amp;"")="","NULL","(SELECT lo.id FROM gen_lista_opciones lo JOIN gen_lista l ON l.id = lo.id_lista WHERE l.nombre = 'OrganoInspectorCilindro' AND upper(lo.nombre) = upper('"&amp;SUBSTITUTE(TRIM(S88),"'","''")&amp;"') AND lo.estado = 1 LIMIT 1)")&amp;", p_organo_inspector_no_aplica =&gt; "&amp;IF(S88="NO_APLICA","TRUE","FALSE")&amp;", p_presion_actual =&gt; "&amp;IF(T88&amp;""="","NULL",SUBSTITUTE(T88&amp;"",",","."))&amp;", p_tipo_valvula =&gt; "&amp;IF(TRIM(U88&amp;"")="","NULL","'"&amp;SUBSTITUTE(TRIM(U88),"'","''")&amp;"'")&amp;", p_libro_cilindro =&gt; "&amp;IF(TRIM(V88&amp;"")="","NULL","'"&amp;SUBSTITUTE(TRIM(V88),"'","''")&amp;"'")&amp;", p_pagina_libro =&gt; "&amp;IF(W88&amp;""="","NULL",SUBSTITUTE(W88&amp;"",",","."))&amp;", p_observacion =&gt; "&amp;IF(TRIM(X88&amp;"")="","NULL","'"&amp;SUBSTITUTE(TRIM(X88),"'","''")&amp;"'")&amp;") AS resultado_balon_"&amp;ROW()&amp;";")</f>
        <v/>
      </c>
    </row>
    <row r="89" ht="15.75" customHeight="1" s="64">
      <c r="A89" s="36" t="inlineStr">
        <is>
          <t>85</t>
        </is>
      </c>
      <c r="B89" s="25">
        <f>IF(AND(C89="",D89="",E89=""),"",IF(C89="","FALTA código balón",IF(D89="","FALTA tipo balón",IF(E89="","FALTA gas",IF(F89="","FALTA propietario",IF(AND(C89&lt;&gt;"",SUMPRODUCT(--($C$5:$C$1200=C89))&gt;1),"CÓDIGO BALÓN DUPLICADO",IF(AND(OR(UPPER(F89)="PLANTA",UPPER(F89)="CLIENTE"),G89=""),"FALTA doc propietario/planta",IF(AND(UPPER(F89)="PLANTA",G89="10175332796"),"PLANTA no puede ser RUC empresa","OK"))))))))</f>
        <v/>
      </c>
      <c r="C89" s="23" t="inlineStr">
        <is>
          <t>1530927</t>
        </is>
      </c>
      <c r="D89" s="17" t="inlineStr">
        <is>
          <t>Nitrógeno 10 m³</t>
        </is>
      </c>
      <c r="E89" s="17" t="inlineStr">
        <is>
          <t>NITROGENO</t>
        </is>
      </c>
      <c r="F89" s="17" t="inlineStr">
        <is>
          <t>EMPRESA</t>
        </is>
      </c>
      <c r="G89" s="23" t="inlineStr">
        <is>
          <t>10175332796</t>
        </is>
      </c>
      <c r="H89" s="25">
        <f t="array" ref="H89">IF(G89="","",IFERROR(IF(INDEX(Clientes!$D$5:$D$549,MATCH(G89,Clientes!$C$5:$C$549,0))&lt;&gt;"",INDEX(Clientes!$D$5:$D$549,MATCH(G89,Clientes!$C$5:$C$549,0)),TRIM(INDEX(Clientes!$E$5:$E$549,MATCH(G89,Clientes!$C$5:$C$549,0))&amp;" "&amp;INDEX(Clientes!$F$5:$F$549,MATCH(G89,Clientes!$C$5:$C$549,0)))),"NO EXISTE en Clientes"))</f>
        <v/>
      </c>
      <c r="I89" s="17" t="inlineStr">
        <is>
          <t>DISPONIBLE</t>
        </is>
      </c>
      <c r="J89" s="17" t="inlineStr">
        <is>
          <t>ALMACEN PRINCIPAL</t>
        </is>
      </c>
      <c r="K89" s="23" t="n"/>
      <c r="L89" s="25">
        <f t="array" ref="L89">IF(K89="","",IFERROR(IF(INDEX(Clientes!$D$5:$D$549,MATCH(K89,Clientes!$C$5:$C$549,0))&lt;&gt;"",INDEX(Clientes!$D$5:$D$549,MATCH(K89,Clientes!$C$5:$C$549,0)),TRIM(INDEX(Clientes!$E$5:$E$549,MATCH(K89,Clientes!$C$5:$C$549,0))&amp;" "&amp;INDEX(Clientes!$F$5:$F$549,MATCH(K89,Clientes!$C$5:$C$549,0)))),"NO EXISTE en Clientes"))</f>
        <v/>
      </c>
      <c r="M89" s="17" t="n">
        <v>2025</v>
      </c>
      <c r="N89" s="17" t="n">
        <v>3</v>
      </c>
      <c r="O89" s="42" t="n">
        <v>45717</v>
      </c>
      <c r="P89" s="39">
        <f>IF(O89&lt;&gt;"",DATE(YEAR(O89)+10,MONTH(O89),1),IF(AND(M89&lt;&gt;"",N89&lt;&gt;""),DATE(M89+5,N89,1),""))</f>
        <v/>
      </c>
      <c r="Q89" s="23" t="n"/>
      <c r="R89" s="17" t="inlineStr">
        <is>
          <t>OTRA</t>
        </is>
      </c>
      <c r="S89" s="17" t="inlineStr">
        <is>
          <t>NO TIENE</t>
        </is>
      </c>
      <c r="T89" s="17" t="n">
        <v>2800</v>
      </c>
      <c r="U89" s="17" t="n"/>
      <c r="V89" s="23" t="n"/>
      <c r="W89" s="17" t="n"/>
      <c r="X89" s="17" t="inlineStr">
        <is>
          <t>PH OXIGENO CRISTIAN</t>
        </is>
      </c>
      <c r="Y89" s="28">
        <f>IF(B89&lt;&gt;"OK","","SELECT bal_crear_balon(p_codigo_balon =&gt; "&amp;IF(TRIM(C89&amp;"")="","NULL","'"&amp;SUBSTITUTE(TRIM(C89),"'","''")&amp;"'")&amp;", p_id_tipo_balon =&gt; "&amp;"(SELECT id FROM bal_tipo_balon WHERE upper(nombre) = upper('"&amp;SUBSTITUTE(TRIM(D89),"'","''")&amp;"') AND estado = 1 LIMIT 1)"&amp;", p_id_producto_gas =&gt; "&amp;"(SELECT id FROM pro_producto WHERE es_gas = TRUE AND upper(nombre) = upper('"&amp;SUBSTITUTE(TRIM(E89),"'","''")&amp;"') AND estado = 1 LIMIT 1)"&amp;", p_id_propietario =&gt; "&amp;IF(TRIM(F89&amp;"")="","NULL","(SELECT lo.id FROM gen_lista_opciones lo JOIN gen_lista l ON l.id = lo.id_lista WHERE l.nombre = 'PropietarioBalon' AND upper(lo.nombre) = upper('"&amp;SUBSTITUTE(TRIM(F89),"'","''")&amp;"') AND lo.estado = 1 LIMIT 1)")&amp;", p_id_cliente_propietario =&gt; "&amp;IF(F89="CLIENTE",IF(TRIM(G89&amp;"")="","NULL","(SELECT id FROM cli_clientes WHERE numero_documento = '"&amp;SUBSTITUTE(TRIM(G89),"'","''")&amp;"' AND estado = 1 LIMIT 1)"),"NULL")&amp;", p_id_planta =&gt; "&amp;IF(F89="PLANTA",IF(TRIM(G89&amp;"")="","NULL","(SELECT id FROM cli_clientes WHERE numero_documento = '"&amp;SUBSTITUTE(TRIM(G89),"'","''")&amp;"'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"&amp;IF(TRIM(J89&amp;"")="","NULL","(SELECT id FROM gen_almacen WHERE upper(nombre) = upper('"&amp;SUBSTITUTE(TRIM(J89),"'","''")&amp;"') AND estado = 1 LIMIT 1)")&amp;", p_id_cliente_ubicacion =&gt; "&amp;IF(TRIM(K89&amp;"")="","NULL","(SELECT id FROM cli_clientes WHERE numero_documento = '"&amp;SUBSTITUTE(TRIM(K89),"'","''")&amp;"' AND estado = 1 LIMIT 1)")&amp;", p_id_referencia =&gt; "&amp;IF(TRIM(J89&amp;"")&lt;&gt;"","(SELECT lo.id FROM gen_lista_opciones lo JOIN gen_lista l ON l.id = lo.id_lista WHERE l.nombre = 'ReferenciaCilindro' AND upper(lo.nombre) = 'ALMACEN' AND lo.estado = 1 LIMIT 1)",IF(TRIM(K89&amp;"")&lt;&gt;"","(SELECT lo.id FROM gen_lista_opciones lo JOIN gen_lista l ON l.id = lo.id_lista WHERE l.nombre = 'ReferenciaCilindro' AND upper(lo.nombre) = 'CLIENTE' AND lo.estado = 1 LIMIT 1)","NULL"))&amp;", p_anio_fabricacion =&gt; "&amp;IF(M89&amp;""="","NULL::smallint",M89&amp;"::smallint")&amp;", p_mes_fabricacion =&gt; "&amp;IF(N89&amp;""="","NULL::smallint",N89&amp;"::smallint")&amp;", p_fecha_ultima_prueba_hidrostatica =&gt; "&amp;IF(O89&amp;""="","NULL","'"&amp;YEAR(O89)&amp;"-"&amp;TEXT(MONTH(O89),"00")&amp;"-"&amp;TEXT(DAY(O89),"00")&amp;"'")&amp;", p_numero_serie =&gt; "&amp;IF(TRIM(Q89&amp;"")="","NULL","'"&amp;SUBSTITUTE(TRIM(Q89),"'","''")&amp;"'")&amp;", p_id_marca_cilindro =&gt; "&amp;IF(TRIM(R89&amp;"")="","NULL","(SELECT lo.id FROM gen_lista_opciones lo JOIN gen_lista l ON l.id = lo.id_lista WHERE l.nombre = 'MarcaCilindro' AND upper(lo.nombre) = upper('"&amp;SUBSTITUTE(TRIM(R89),"'","''")&amp;"') AND lo.estado = 1 LIMIT 1)")&amp;", p_id_organo_inspector =&gt; "&amp;IF(TRIM(S89&amp;"")="","NULL","(SELECT lo.id FROM gen_lista_opciones lo JOIN gen_lista l ON l.id = lo.id_lista WHERE l.nombre = 'OrganoInspectorCilindro' AND upper(lo.nombre) = upper('"&amp;SUBSTITUTE(TRIM(S89),"'","''")&amp;"') AND lo.estado = 1 LIMIT 1)")&amp;", p_organo_inspector_no_aplica =&gt; "&amp;IF(S89="NO_APLICA","TRUE","FALSE")&amp;", p_presion_actual =&gt; "&amp;IF(T89&amp;""="","NULL",SUBSTITUTE(T89&amp;"",",","."))&amp;", p_tipo_valvula =&gt; "&amp;IF(TRIM(U89&amp;"")="","NULL","'"&amp;SUBSTITUTE(TRIM(U89),"'","''")&amp;"'")&amp;", p_libro_cilindro =&gt; "&amp;IF(TRIM(V89&amp;"")="","NULL","'"&amp;SUBSTITUTE(TRIM(V89),"'","''")&amp;"'")&amp;", p_pagina_libro =&gt; "&amp;IF(W89&amp;""="","NULL",SUBSTITUTE(W89&amp;"",",","."))&amp;", p_observacion =&gt; "&amp;IF(TRIM(X89&amp;"")="","NULL","'"&amp;SUBSTITUTE(TRIM(X89),"'","''")&amp;"'")&amp;") AS resultado_balon_"&amp;ROW()&amp;";")</f>
        <v/>
      </c>
    </row>
    <row r="90" ht="15.75" customHeight="1" s="64">
      <c r="A90" s="36" t="inlineStr">
        <is>
          <t>86</t>
        </is>
      </c>
      <c r="B90" s="25">
        <f>IF(AND(C90="",D90="",E90=""),"",IF(C90="","FALTA código balón",IF(D90="","FALTA tipo balón",IF(E90="","FALTA gas",IF(F90="","FALTA propietario",IF(AND(C90&lt;&gt;"",SUMPRODUCT(--($C$5:$C$1200=C90))&gt;1),"CÓDIGO BALÓN DUPLICADO",IF(AND(OR(UPPER(F90)="PLANTA",UPPER(F90)="CLIENTE"),G90=""),"FALTA doc propietario/planta",IF(AND(UPPER(F90)="PLANTA",G90="10175332796"),"PLANTA no puede ser RUC empresa","OK"))))))))</f>
        <v/>
      </c>
      <c r="C90" s="23" t="inlineStr">
        <is>
          <t>785002</t>
        </is>
      </c>
      <c r="D90" s="17" t="inlineStr">
        <is>
          <t>Dióxido de carbono 25 kg</t>
        </is>
      </c>
      <c r="E90" s="17" t="inlineStr">
        <is>
          <t>DIÓXIDO DE CARBONO</t>
        </is>
      </c>
      <c r="F90" s="17" t="inlineStr">
        <is>
          <t>EMPRESA</t>
        </is>
      </c>
      <c r="G90" s="23" t="inlineStr">
        <is>
          <t>10175332796</t>
        </is>
      </c>
      <c r="H90" s="25">
        <f t="array" ref="H90">IF(G90="","",IFERROR(IF(INDEX(Clientes!$D$5:$D$549,MATCH(G90,Clientes!$C$5:$C$549,0))&lt;&gt;"",INDEX(Clientes!$D$5:$D$549,MATCH(G90,Clientes!$C$5:$C$549,0)),TRIM(INDEX(Clientes!$E$5:$E$549,MATCH(G90,Clientes!$C$5:$C$549,0))&amp;" "&amp;INDEX(Clientes!$F$5:$F$549,MATCH(G90,Clientes!$C$5:$C$549,0)))),"NO EXISTE en Clientes"))</f>
        <v/>
      </c>
      <c r="I90" s="17" t="inlineStr">
        <is>
          <t>DISPONIBLE</t>
        </is>
      </c>
      <c r="J90" s="17" t="inlineStr">
        <is>
          <t>ALMACEN PRINCIPAL</t>
        </is>
      </c>
      <c r="K90" s="23" t="n"/>
      <c r="L90" s="25">
        <f t="array" ref="L90">IF(K90="","",IFERROR(IF(INDEX(Clientes!$D$5:$D$549,MATCH(K90,Clientes!$C$5:$C$549,0))&lt;&gt;"",INDEX(Clientes!$D$5:$D$549,MATCH(K90,Clientes!$C$5:$C$549,0)),TRIM(INDEX(Clientes!$E$5:$E$549,MATCH(K90,Clientes!$C$5:$C$549,0))&amp;" "&amp;INDEX(Clientes!$F$5:$F$549,MATCH(K90,Clientes!$C$5:$C$549,0)))),"NO EXISTE en Clientes"))</f>
        <v/>
      </c>
      <c r="M90" s="17" t="n">
        <v>2026</v>
      </c>
      <c r="N90" s="17" t="n">
        <v>4</v>
      </c>
      <c r="O90" s="42" t="n">
        <v>46113</v>
      </c>
      <c r="P90" s="39">
        <f>IF(O90&lt;&gt;"",DATE(YEAR(O90)+5,MONTH(O90),1),IF(AND(M90&lt;&gt;"",N90&lt;&gt;""),DATE(M90+5,N90,1),""))</f>
        <v/>
      </c>
      <c r="Q90" s="23" t="n"/>
      <c r="R90" s="17" t="inlineStr">
        <is>
          <t>DOT</t>
        </is>
      </c>
      <c r="S90" s="17" t="inlineStr">
        <is>
          <t>OTRO</t>
        </is>
      </c>
      <c r="T90" s="17" t="n"/>
      <c r="U90" s="17" t="n"/>
      <c r="V90" s="23" t="n"/>
      <c r="W90" s="17" t="n"/>
      <c r="X90" s="17" t="inlineStr">
        <is>
          <t>PH OXIGENO CRISTIAN</t>
        </is>
      </c>
      <c r="Y90" s="28">
        <f>IF(B90&lt;&gt;"OK","","SELECT bal_crear_balon(p_codigo_balon =&gt; "&amp;IF(TRIM(C90&amp;"")="","NULL","'"&amp;SUBSTITUTE(TRIM(C90),"'","''")&amp;"'")&amp;", p_id_tipo_balon =&gt; "&amp;"(SELECT id FROM bal_tipo_balon WHERE upper(nombre) = upper('"&amp;SUBSTITUTE(TRIM(D90),"'","''")&amp;"') AND estado = 1 LIMIT 1)"&amp;", p_id_producto_gas =&gt; "&amp;"(SELECT id FROM pro_producto WHERE es_gas = TRUE AND upper(nombre) = upper('"&amp;SUBSTITUTE(TRIM(E90),"'","''")&amp;"') AND estado = 1 LIMIT 1)"&amp;", p_id_propietario =&gt; "&amp;IF(TRIM(F90&amp;"")="","NULL","(SELECT lo.id FROM gen_lista_opciones lo JOIN gen_lista l ON l.id = lo.id_lista WHERE l.nombre = 'PropietarioBalon' AND upper(lo.nombre) = upper('"&amp;SUBSTITUTE(TRIM(F90),"'","''")&amp;"') AND lo.estado = 1 LIMIT 1)")&amp;", p_id_cliente_propietario =&gt; "&amp;IF(F90="CLIENTE",IF(TRIM(G90&amp;"")="","NULL","(SELECT id FROM cli_clientes WHERE numero_documento = '"&amp;SUBSTITUTE(TRIM(G90),"'","''")&amp;"' AND estado = 1 LIMIT 1)"),"NULL")&amp;", p_id_planta =&gt; "&amp;IF(F90="PLANTA",IF(TRIM(G90&amp;"")="","NULL","(SELECT id FROM cli_clientes WHERE numero_documento = '"&amp;SUBSTITUTE(TRIM(G90),"'","''")&amp;"'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"&amp;IF(TRIM(J90&amp;"")="","NULL","(SELECT id FROM gen_almacen WHERE upper(nombre) = upper('"&amp;SUBSTITUTE(TRIM(J90),"'","''")&amp;"') AND estado = 1 LIMIT 1)")&amp;", p_id_cliente_ubicacion =&gt; "&amp;IF(TRIM(K90&amp;"")="","NULL","(SELECT id FROM cli_clientes WHERE numero_documento = '"&amp;SUBSTITUTE(TRIM(K90),"'","''")&amp;"' AND estado = 1 LIMIT 1)")&amp;", p_id_referencia =&gt; "&amp;IF(TRIM(J90&amp;"")&lt;&gt;"","(SELECT lo.id FROM gen_lista_opciones lo JOIN gen_lista l ON l.id = lo.id_lista WHERE l.nombre = 'ReferenciaCilindro' AND upper(lo.nombre) = 'ALMACEN' AND lo.estado = 1 LIMIT 1)",IF(TRIM(K90&amp;"")&lt;&gt;"","(SELECT lo.id FROM gen_lista_opciones lo JOIN gen_lista l ON l.id = lo.id_lista WHERE l.nombre = 'ReferenciaCilindro' AND upper(lo.nombre) = 'CLIENTE' AND lo.estado = 1 LIMIT 1)","NULL"))&amp;", p_anio_fabricacion =&gt; "&amp;IF(M90&amp;""="","NULL::smallint",M90&amp;"::smallint")&amp;", p_mes_fabricacion =&gt; "&amp;IF(N90&amp;""="","NULL::smallint",N90&amp;"::smallint")&amp;", p_fecha_ultima_prueba_hidrostatica =&gt; "&amp;IF(O90&amp;""="","NULL","'"&amp;YEAR(O90)&amp;"-"&amp;TEXT(MONTH(O90),"00")&amp;"-"&amp;TEXT(DAY(O90),"00")&amp;"'")&amp;", p_numero_serie =&gt; "&amp;IF(TRIM(Q90&amp;"")="","NULL","'"&amp;SUBSTITUTE(TRIM(Q90),"'","''")&amp;"'")&amp;", p_id_marca_cilindro =&gt; "&amp;IF(TRIM(R90&amp;"")="","NULL","(SELECT lo.id FROM gen_lista_opciones lo JOIN gen_lista l ON l.id = lo.id_lista WHERE l.nombre = 'MarcaCilindro' AND upper(lo.nombre) = upper('"&amp;SUBSTITUTE(TRIM(R90),"'","''")&amp;"') AND lo.estado = 1 LIMIT 1)")&amp;", p_id_organo_inspector =&gt; "&amp;IF(TRIM(S90&amp;"")="","NULL","(SELECT lo.id FROM gen_lista_opciones lo JOIN gen_lista l ON l.id = lo.id_lista WHERE l.nombre = 'OrganoInspectorCilindro' AND upper(lo.nombre) = upper('"&amp;SUBSTITUTE(TRIM(S90),"'","''")&amp;"') AND lo.estado = 1 LIMIT 1)")&amp;", p_organo_inspector_no_aplica =&gt; "&amp;IF(S90="NO_APLICA","TRUE","FALSE")&amp;", p_presion_actual =&gt; "&amp;IF(T90&amp;""="","NULL",SUBSTITUTE(T90&amp;"",",","."))&amp;", p_tipo_valvula =&gt; "&amp;IF(TRIM(U90&amp;"")="","NULL","'"&amp;SUBSTITUTE(TRIM(U90),"'","''")&amp;"'")&amp;", p_libro_cilindro =&gt; "&amp;IF(TRIM(V90&amp;"")="","NULL","'"&amp;SUBSTITUTE(TRIM(V90),"'","''")&amp;"'")&amp;", p_pagina_libro =&gt; "&amp;IF(W90&amp;""="","NULL",SUBSTITUTE(W90&amp;"",",","."))&amp;", p_observacion =&gt; "&amp;IF(TRIM(X90&amp;"")="","NULL","'"&amp;SUBSTITUTE(TRIM(X90),"'","''")&amp;"'")&amp;") AS resultado_balon_"&amp;ROW()&amp;";")</f>
        <v/>
      </c>
    </row>
    <row r="91" ht="15.75" customHeight="1" s="64">
      <c r="A91" s="36" t="inlineStr">
        <is>
          <t>87</t>
        </is>
      </c>
      <c r="B91" s="25">
        <f>IF(AND(C91="",D91="",E91=""),"",IF(C91="","FALTA código balón",IF(D91="","FALTA tipo balón",IF(E91="","FALTA gas",IF(F91="","FALTA propietario",IF(AND(C91&lt;&gt;"",SUMPRODUCT(--($C$5:$C$1200=C91))&gt;1),"CÓDIGO BALÓN DUPLICADO",IF(AND(OR(UPPER(F91)="PLANTA",UPPER(F91)="CLIENTE"),G91=""),"FALTA doc propietario/planta",IF(AND(UPPER(F91)="PLANTA",G91="10175332796"),"PLANTA no puede ser RUC empresa","OK"))))))))</f>
        <v/>
      </c>
      <c r="C91" s="23" t="inlineStr">
        <is>
          <t>774047</t>
        </is>
      </c>
      <c r="D91" s="17" t="inlineStr">
        <is>
          <t>Nitrógeno 10 m³</t>
        </is>
      </c>
      <c r="E91" s="17" t="inlineStr">
        <is>
          <t>NITROGENO</t>
        </is>
      </c>
      <c r="F91" s="17" t="inlineStr">
        <is>
          <t>EMPRESA</t>
        </is>
      </c>
      <c r="G91" s="23" t="inlineStr">
        <is>
          <t>10175332796</t>
        </is>
      </c>
      <c r="H91" s="25">
        <f t="array" ref="H91">IF(G91="","",IFERROR(IF(INDEX(Clientes!$D$5:$D$549,MATCH(G91,Clientes!$C$5:$C$549,0))&lt;&gt;"",INDEX(Clientes!$D$5:$D$549,MATCH(G91,Clientes!$C$5:$C$549,0)),TRIM(INDEX(Clientes!$E$5:$E$549,MATCH(G91,Clientes!$C$5:$C$549,0))&amp;" "&amp;INDEX(Clientes!$F$5:$F$549,MATCH(G91,Clientes!$C$5:$C$549,0)))),"NO EXISTE en Clientes"))</f>
        <v/>
      </c>
      <c r="I91" s="17" t="inlineStr">
        <is>
          <t>DISPONIBLE</t>
        </is>
      </c>
      <c r="J91" s="17" t="inlineStr">
        <is>
          <t>ALMACEN PRINCIPAL</t>
        </is>
      </c>
      <c r="K91" s="23" t="n"/>
      <c r="L91" s="25">
        <f t="array" ref="L91">IF(K91="","",IFERROR(IF(INDEX(Clientes!$D$5:$D$549,MATCH(K91,Clientes!$C$5:$C$549,0))&lt;&gt;"",INDEX(Clientes!$D$5:$D$549,MATCH(K91,Clientes!$C$5:$C$549,0)),TRIM(INDEX(Clientes!$E$5:$E$549,MATCH(K91,Clientes!$C$5:$C$549,0))&amp;" "&amp;INDEX(Clientes!$F$5:$F$549,MATCH(K91,Clientes!$C$5:$C$549,0)))),"NO EXISTE en Clientes"))</f>
        <v/>
      </c>
      <c r="M91" s="17" t="n">
        <v>2025</v>
      </c>
      <c r="N91" s="17" t="n">
        <v>3</v>
      </c>
      <c r="O91" s="42" t="n">
        <v>45717</v>
      </c>
      <c r="P91" s="39">
        <f>IF(O91&lt;&gt;"",DATE(YEAR(O91)+10,MONTH(O91),1),IF(AND(M91&lt;&gt;"",N91&lt;&gt;""),DATE(M91+5,N91,1),""))</f>
        <v/>
      </c>
      <c r="Q91" s="23" t="n"/>
      <c r="R91" s="17" t="inlineStr">
        <is>
          <t>JD</t>
        </is>
      </c>
      <c r="S91" s="17" t="inlineStr">
        <is>
          <t>NO TIENE</t>
        </is>
      </c>
      <c r="T91" s="17" t="n">
        <v>2800</v>
      </c>
      <c r="U91" s="17" t="n"/>
      <c r="V91" s="23" t="n"/>
      <c r="W91" s="17" t="n"/>
      <c r="X91" s="17" t="inlineStr">
        <is>
          <t>PH OXIGENO CRISTIAN</t>
        </is>
      </c>
      <c r="Y91" s="28">
        <f>IF(B91&lt;&gt;"OK","","SELECT bal_crear_balon(p_codigo_balon =&gt; "&amp;IF(TRIM(C91&amp;"")="","NULL","'"&amp;SUBSTITUTE(TRIM(C91),"'","''")&amp;"'")&amp;", p_id_tipo_balon =&gt; "&amp;"(SELECT id FROM bal_tipo_balon WHERE upper(nombre) = upper('"&amp;SUBSTITUTE(TRIM(D91),"'","''")&amp;"') AND estado = 1 LIMIT 1)"&amp;", p_id_producto_gas =&gt; "&amp;"(SELECT id FROM pro_producto WHERE es_gas = TRUE AND upper(nombre) = upper('"&amp;SUBSTITUTE(TRIM(E91),"'","''")&amp;"') AND estado = 1 LIMIT 1)"&amp;", p_id_propietario =&gt; "&amp;IF(TRIM(F91&amp;"")="","NULL","(SELECT lo.id FROM gen_lista_opciones lo JOIN gen_lista l ON l.id = lo.id_lista WHERE l.nombre = 'PropietarioBalon' AND upper(lo.nombre) = upper('"&amp;SUBSTITUTE(TRIM(F91),"'","''")&amp;"') AND lo.estado = 1 LIMIT 1)")&amp;", p_id_cliente_propietario =&gt; "&amp;IF(F91="CLIENTE",IF(TRIM(G91&amp;"")="","NULL","(SELECT id FROM cli_clientes WHERE numero_documento = '"&amp;SUBSTITUTE(TRIM(G91),"'","''")&amp;"' AND estado = 1 LIMIT 1)"),"NULL")&amp;", p_id_planta =&gt; "&amp;IF(F91="PLANTA",IF(TRIM(G91&amp;"")="","NULL","(SELECT id FROM cli_clientes WHERE numero_documento = '"&amp;SUBSTITUTE(TRIM(G91),"'","''")&amp;"'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"&amp;IF(TRIM(J91&amp;"")="","NULL","(SELECT id FROM gen_almacen WHERE upper(nombre) = upper('"&amp;SUBSTITUTE(TRIM(J91),"'","''")&amp;"') AND estado = 1 LIMIT 1)")&amp;", p_id_cliente_ubicacion =&gt; "&amp;IF(TRIM(K91&amp;"")="","NULL","(SELECT id FROM cli_clientes WHERE numero_documento = '"&amp;SUBSTITUTE(TRIM(K91),"'","''")&amp;"' AND estado = 1 LIMIT 1)")&amp;", p_id_referencia =&gt; "&amp;IF(TRIM(J91&amp;"")&lt;&gt;"","(SELECT lo.id FROM gen_lista_opciones lo JOIN gen_lista l ON l.id = lo.id_lista WHERE l.nombre = 'ReferenciaCilindro' AND upper(lo.nombre) = 'ALMACEN' AND lo.estado = 1 LIMIT 1)",IF(TRIM(K91&amp;"")&lt;&gt;"","(SELECT lo.id FROM gen_lista_opciones lo JOIN gen_lista l ON l.id = lo.id_lista WHERE l.nombre = 'ReferenciaCilindro' AND upper(lo.nombre) = 'CLIENTE' AND lo.estado = 1 LIMIT 1)","NULL"))&amp;", p_anio_fabricacion =&gt; "&amp;IF(M91&amp;""="","NULL::smallint",M91&amp;"::smallint")&amp;", p_mes_fabricacion =&gt; "&amp;IF(N91&amp;""="","NULL::smallint",N91&amp;"::smallint")&amp;", p_fecha_ultima_prueba_hidrostatica =&gt; "&amp;IF(O91&amp;""="","NULL","'"&amp;YEAR(O91)&amp;"-"&amp;TEXT(MONTH(O91),"00")&amp;"-"&amp;TEXT(DAY(O91),"00")&amp;"'")&amp;", p_numero_serie =&gt; "&amp;IF(TRIM(Q91&amp;"")="","NULL","'"&amp;SUBSTITUTE(TRIM(Q91),"'","''")&amp;"'")&amp;", p_id_marca_cilindro =&gt; "&amp;IF(TRIM(R91&amp;"")="","NULL","(SELECT lo.id FROM gen_lista_opciones lo JOIN gen_lista l ON l.id = lo.id_lista WHERE l.nombre = 'MarcaCilindro' AND upper(lo.nombre) = upper('"&amp;SUBSTITUTE(TRIM(R91),"'","''")&amp;"') AND lo.estado = 1 LIMIT 1)")&amp;", p_id_organo_inspector =&gt; "&amp;IF(TRIM(S91&amp;"")="","NULL","(SELECT lo.id FROM gen_lista_opciones lo JOIN gen_lista l ON l.id = lo.id_lista WHERE l.nombre = 'OrganoInspectorCilindro' AND upper(lo.nombre) = upper('"&amp;SUBSTITUTE(TRIM(S91),"'","''")&amp;"') AND lo.estado = 1 LIMIT 1)")&amp;", p_organo_inspector_no_aplica =&gt; "&amp;IF(S91="NO_APLICA","TRUE","FALSE")&amp;", p_presion_actual =&gt; "&amp;IF(T91&amp;""="","NULL",SUBSTITUTE(T91&amp;"",",","."))&amp;", p_tipo_valvula =&gt; "&amp;IF(TRIM(U91&amp;"")="","NULL","'"&amp;SUBSTITUTE(TRIM(U91),"'","''")&amp;"'")&amp;", p_libro_cilindro =&gt; "&amp;IF(TRIM(V91&amp;"")="","NULL","'"&amp;SUBSTITUTE(TRIM(V91),"'","''")&amp;"'")&amp;", p_pagina_libro =&gt; "&amp;IF(W91&amp;""="","NULL",SUBSTITUTE(W91&amp;"",",","."))&amp;", p_observacion =&gt; "&amp;IF(TRIM(X91&amp;"")="","NULL","'"&amp;SUBSTITUTE(TRIM(X91),"'","''")&amp;"'")&amp;") AS resultado_balon_"&amp;ROW()&amp;";")</f>
        <v/>
      </c>
    </row>
    <row r="92" ht="15.75" customHeight="1" s="64">
      <c r="A92" s="36" t="inlineStr">
        <is>
          <t>88</t>
        </is>
      </c>
      <c r="B92" s="25">
        <f>IF(AND(C92="",D92="",E92=""),"",IF(C92="","FALTA código balón",IF(D92="","FALTA tipo balón",IF(E92="","FALTA gas",IF(F92="","FALTA propietario",IF(AND(C92&lt;&gt;"",SUMPRODUCT(--($C$5:$C$1200=C92))&gt;1),"CÓDIGO BALÓN DUPLICADO",IF(AND(OR(UPPER(F92)="PLANTA",UPPER(F92)="CLIENTE"),G92=""),"FALTA doc propietario/planta",IF(AND(UPPER(F92)="PLANTA",G92="10175332796"),"PLANTA no puede ser RUC empresa","OK"))))))))</f>
        <v/>
      </c>
      <c r="C92" s="23" t="inlineStr">
        <is>
          <t>1203370Y</t>
        </is>
      </c>
      <c r="D92" s="17" t="inlineStr">
        <is>
          <t>Nitrógeno 6 m³</t>
        </is>
      </c>
      <c r="E92" s="17" t="inlineStr">
        <is>
          <t>NITROGENO</t>
        </is>
      </c>
      <c r="F92" s="17" t="inlineStr">
        <is>
          <t>EMPRESA</t>
        </is>
      </c>
      <c r="G92" s="23" t="inlineStr">
        <is>
          <t>10175332796</t>
        </is>
      </c>
      <c r="H92" s="25">
        <f t="array" ref="H92">IF(G92="","",IFERROR(IF(INDEX(Clientes!$D$5:$D$549,MATCH(G92,Clientes!$C$5:$C$549,0))&lt;&gt;"",INDEX(Clientes!$D$5:$D$549,MATCH(G92,Clientes!$C$5:$C$549,0)),TRIM(INDEX(Clientes!$E$5:$E$549,MATCH(G92,Clientes!$C$5:$C$549,0))&amp;" "&amp;INDEX(Clientes!$F$5:$F$549,MATCH(G92,Clientes!$C$5:$C$549,0)))),"NO EXISTE en Clientes"))</f>
        <v/>
      </c>
      <c r="I92" s="17" t="inlineStr">
        <is>
          <t>DISPONIBLE</t>
        </is>
      </c>
      <c r="J92" s="17" t="inlineStr">
        <is>
          <t>ALMACEN PRINCIPAL</t>
        </is>
      </c>
      <c r="K92" s="23" t="n"/>
      <c r="L92" s="25">
        <f t="array" ref="L92">IF(K92="","",IFERROR(IF(INDEX(Clientes!$D$5:$D$549,MATCH(K92,Clientes!$C$5:$C$549,0))&lt;&gt;"",INDEX(Clientes!$D$5:$D$549,MATCH(K92,Clientes!$C$5:$C$549,0)),TRIM(INDEX(Clientes!$E$5:$E$549,MATCH(K92,Clientes!$C$5:$C$549,0))&amp;" "&amp;INDEX(Clientes!$F$5:$F$549,MATCH(K92,Clientes!$C$5:$C$549,0)))),"NO EXISTE en Clientes"))</f>
        <v/>
      </c>
      <c r="M92" s="17" t="n">
        <v>2023</v>
      </c>
      <c r="N92" s="17" t="n">
        <v>10</v>
      </c>
      <c r="O92" s="42" t="n">
        <v>45200</v>
      </c>
      <c r="P92" s="39">
        <f>IF(O92&lt;&gt;"",DATE(YEAR(O92)+10,MONTH(O92),1),IF(AND(M92&lt;&gt;"",N92&lt;&gt;""),DATE(M92+5,N92,1),""))</f>
        <v/>
      </c>
      <c r="Q92" s="23" t="n"/>
      <c r="R92" s="17" t="inlineStr">
        <is>
          <t>AMERICANA</t>
        </is>
      </c>
      <c r="S92" s="17" t="inlineStr">
        <is>
          <t>OTRO</t>
        </is>
      </c>
      <c r="T92" s="17" t="n">
        <v>2400</v>
      </c>
      <c r="U92" s="17" t="n"/>
      <c r="V92" s="23" t="n"/>
      <c r="W92" s="17" t="n"/>
      <c r="X92" s="17" t="inlineStr">
        <is>
          <t>PH OXIGENO CRISTIAN</t>
        </is>
      </c>
      <c r="Y92" s="28">
        <f>IF(B92&lt;&gt;"OK","","SELECT bal_crear_balon(p_codigo_balon =&gt; "&amp;IF(TRIM(C92&amp;"")="","NULL","'"&amp;SUBSTITUTE(TRIM(C92),"'","''")&amp;"'")&amp;", p_id_tipo_balon =&gt; "&amp;"(SELECT id FROM bal_tipo_balon WHERE upper(nombre) = upper('"&amp;SUBSTITUTE(TRIM(D92),"'","''")&amp;"') AND estado = 1 LIMIT 1)"&amp;", p_id_producto_gas =&gt; "&amp;"(SELECT id FROM pro_producto WHERE es_gas = TRUE AND upper(nombre) = upper('"&amp;SUBSTITUTE(TRIM(E92),"'","''")&amp;"') AND estado = 1 LIMIT 1)"&amp;", p_id_propietario =&gt; "&amp;IF(TRIM(F92&amp;"")="","NULL","(SELECT lo.id FROM gen_lista_opciones lo JOIN gen_lista l ON l.id = lo.id_lista WHERE l.nombre = 'PropietarioBalon' AND upper(lo.nombre) = upper('"&amp;SUBSTITUTE(TRIM(F92),"'","''")&amp;"') AND lo.estado = 1 LIMIT 1)")&amp;", p_id_cliente_propietario =&gt; "&amp;IF(F92="CLIENTE",IF(TRIM(G92&amp;"")="","NULL","(SELECT id FROM cli_clientes WHERE numero_documento = '"&amp;SUBSTITUTE(TRIM(G92),"'","''")&amp;"' AND estado = 1 LIMIT 1)"),"NULL")&amp;", p_id_planta =&gt; "&amp;IF(F92="PLANTA",IF(TRIM(G92&amp;"")="","NULL","(SELECT id FROM cli_clientes WHERE numero_documento = '"&amp;SUBSTITUTE(TRIM(G92),"'","''")&amp;"'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"&amp;IF(TRIM(J92&amp;"")="","NULL","(SELECT id FROM gen_almacen WHERE upper(nombre) = upper('"&amp;SUBSTITUTE(TRIM(J92),"'","''")&amp;"') AND estado = 1 LIMIT 1)")&amp;", p_id_cliente_ubicacion =&gt; "&amp;IF(TRIM(K92&amp;"")="","NULL","(SELECT id FROM cli_clientes WHERE numero_documento = '"&amp;SUBSTITUTE(TRIM(K92),"'","''")&amp;"' AND estado = 1 LIMIT 1)")&amp;", p_id_referencia =&gt; "&amp;IF(TRIM(J92&amp;"")&lt;&gt;"","(SELECT lo.id FROM gen_lista_opciones lo JOIN gen_lista l ON l.id = lo.id_lista WHERE l.nombre = 'ReferenciaCilindro' AND upper(lo.nombre) = 'ALMACEN' AND lo.estado = 1 LIMIT 1)",IF(TRIM(K92&amp;"")&lt;&gt;"","(SELECT lo.id FROM gen_lista_opciones lo JOIN gen_lista l ON l.id = lo.id_lista WHERE l.nombre = 'ReferenciaCilindro' AND upper(lo.nombre) = 'CLIENTE' AND lo.estado = 1 LIMIT 1)","NULL"))&amp;", p_anio_fabricacion =&gt; "&amp;IF(M92&amp;""="","NULL::smallint",M92&amp;"::smallint")&amp;", p_mes_fabricacion =&gt; "&amp;IF(N92&amp;""="","NULL::smallint",N92&amp;"::smallint")&amp;", p_fecha_ultima_prueba_hidrostatica =&gt; "&amp;IF(O92&amp;""="","NULL","'"&amp;YEAR(O92)&amp;"-"&amp;TEXT(MONTH(O92),"00")&amp;"-"&amp;TEXT(DAY(O92),"00")&amp;"'")&amp;", p_numero_serie =&gt; "&amp;IF(TRIM(Q92&amp;"")="","NULL","'"&amp;SUBSTITUTE(TRIM(Q92),"'","''")&amp;"'")&amp;", p_id_marca_cilindro =&gt; "&amp;IF(TRIM(R92&amp;"")="","NULL","(SELECT lo.id FROM gen_lista_opciones lo JOIN gen_lista l ON l.id = lo.id_lista WHERE l.nombre = 'MarcaCilindro' AND upper(lo.nombre) = upper('"&amp;SUBSTITUTE(TRIM(R92),"'","''")&amp;"') AND lo.estado = 1 LIMIT 1)")&amp;", p_id_organo_inspector =&gt; "&amp;IF(TRIM(S92&amp;"")="","NULL","(SELECT lo.id FROM gen_lista_opciones lo JOIN gen_lista l ON l.id = lo.id_lista WHERE l.nombre = 'OrganoInspectorCilindro' AND upper(lo.nombre) = upper('"&amp;SUBSTITUTE(TRIM(S92),"'","''")&amp;"') AND lo.estado = 1 LIMIT 1)")&amp;", p_organo_inspector_no_aplica =&gt; "&amp;IF(S92="NO_APLICA","TRUE","FALSE")&amp;", p_presion_actual =&gt; "&amp;IF(T92&amp;""="","NULL",SUBSTITUTE(T92&amp;"",",","."))&amp;", p_tipo_valvula =&gt; "&amp;IF(TRIM(U92&amp;"")="","NULL","'"&amp;SUBSTITUTE(TRIM(U92),"'","''")&amp;"'")&amp;", p_libro_cilindro =&gt; "&amp;IF(TRIM(V92&amp;"")="","NULL","'"&amp;SUBSTITUTE(TRIM(V92),"'","''")&amp;"'")&amp;", p_pagina_libro =&gt; "&amp;IF(W92&amp;""="","NULL",SUBSTITUTE(W92&amp;"",",","."))&amp;", p_observacion =&gt; "&amp;IF(TRIM(X92&amp;"")="","NULL","'"&amp;SUBSTITUTE(TRIM(X92),"'","''")&amp;"'")&amp;") AS resultado_balon_"&amp;ROW()&amp;";")</f>
        <v/>
      </c>
    </row>
    <row r="93" ht="15.75" customHeight="1" s="64">
      <c r="A93" s="36" t="inlineStr">
        <is>
          <t>89</t>
        </is>
      </c>
      <c r="B93" s="25">
        <f>IF(AND(C93="",D93="",E93=""),"",IF(C93="","FALTA código balón",IF(D93="","FALTA tipo balón",IF(E93="","FALTA gas",IF(F93="","FALTA propietario",IF(AND(C93&lt;&gt;"",SUMPRODUCT(--($C$5:$C$1200=C93))&gt;1),"CÓDIGO BALÓN DUPLICADO",IF(AND(OR(UPPER(F93)="PLANTA",UPPER(F93)="CLIENTE"),G93=""),"FALTA doc propietario/planta",IF(AND(UPPER(F93)="PLANTA",G93="10175332796"),"PLANTA no puede ser RUC empresa","OK"))))))))</f>
        <v/>
      </c>
      <c r="C93" s="23" t="inlineStr">
        <is>
          <t>20K301125</t>
        </is>
      </c>
      <c r="D93" s="17" t="inlineStr">
        <is>
          <t>Stargold Estandar de 10 m3</t>
        </is>
      </c>
      <c r="E93" s="17" t="inlineStr">
        <is>
          <t>STARGOLD ESTANDAR</t>
        </is>
      </c>
      <c r="F93" s="17" t="inlineStr">
        <is>
          <t>EMPRESA</t>
        </is>
      </c>
      <c r="G93" s="23" t="inlineStr">
        <is>
          <t>10175332796</t>
        </is>
      </c>
      <c r="H93" s="25">
        <f t="array" ref="H93">IF(G93="","",IFERROR(IF(INDEX(Clientes!$D$5:$D$549,MATCH(G93,Clientes!$C$5:$C$549,0))&lt;&gt;"",INDEX(Clientes!$D$5:$D$549,MATCH(G93,Clientes!$C$5:$C$549,0)),TRIM(INDEX(Clientes!$E$5:$E$549,MATCH(G93,Clientes!$C$5:$C$549,0))&amp;" "&amp;INDEX(Clientes!$F$5:$F$549,MATCH(G93,Clientes!$C$5:$C$549,0)))),"NO EXISTE en Clientes"))</f>
        <v/>
      </c>
      <c r="I93" s="17" t="inlineStr">
        <is>
          <t>DISPONIBLE</t>
        </is>
      </c>
      <c r="J93" s="17" t="inlineStr">
        <is>
          <t>ALMACEN PRINCIPAL</t>
        </is>
      </c>
      <c r="K93" s="23" t="n"/>
      <c r="L93" s="25">
        <f t="array" ref="L93">IF(K93="","",IFERROR(IF(INDEX(Clientes!$D$5:$D$549,MATCH(K93,Clientes!$C$5:$C$549,0))&lt;&gt;"",INDEX(Clientes!$D$5:$D$549,MATCH(K93,Clientes!$C$5:$C$549,0)),TRIM(INDEX(Clientes!$E$5:$E$549,MATCH(K93,Clientes!$C$5:$C$549,0))&amp;" "&amp;INDEX(Clientes!$F$5:$F$549,MATCH(K93,Clientes!$C$5:$C$549,0)))),"NO EXISTE en Clientes"))</f>
        <v/>
      </c>
      <c r="M93" s="17" t="n">
        <v>2020</v>
      </c>
      <c r="N93" s="17" t="n">
        <v>5</v>
      </c>
      <c r="O93" s="42" t="n">
        <v>43952</v>
      </c>
      <c r="P93" s="39">
        <f>IF(O93&lt;&gt;"",DATE(YEAR(O93)+5,MONTH(O93),1),IF(AND(M93&lt;&gt;"",N93&lt;&gt;""),DATE(M93+5,N93,1),""))</f>
        <v/>
      </c>
      <c r="Q93" s="23" t="n"/>
      <c r="R93" s="17" t="inlineStr">
        <is>
          <t>JP</t>
        </is>
      </c>
      <c r="S93" s="17" t="inlineStr">
        <is>
          <t>OTRO</t>
        </is>
      </c>
      <c r="T93" s="17" t="n">
        <v>2800</v>
      </c>
      <c r="U93" s="17" t="n"/>
      <c r="V93" s="23" t="n"/>
      <c r="W93" s="17" t="n"/>
      <c r="X93" s="17" t="n"/>
      <c r="Y93" s="28">
        <f>IF(B93&lt;&gt;"OK","","SELECT bal_crear_balon(p_codigo_balon =&gt; "&amp;IF(TRIM(C93&amp;"")="","NULL","'"&amp;SUBSTITUTE(TRIM(C93),"'","''")&amp;"'")&amp;", p_id_tipo_balon =&gt; "&amp;"(SELECT id FROM bal_tipo_balon WHERE upper(nombre) = upper('"&amp;SUBSTITUTE(TRIM(D93),"'","''")&amp;"') AND estado = 1 LIMIT 1)"&amp;", p_id_producto_gas =&gt; "&amp;"(SELECT id FROM pro_producto WHERE es_gas = TRUE AND upper(nombre) = upper('"&amp;SUBSTITUTE(TRIM(E93),"'","''")&amp;"') AND estado = 1 LIMIT 1)"&amp;", p_id_propietario =&gt; "&amp;IF(TRIM(F93&amp;"")="","NULL","(SELECT lo.id FROM gen_lista_opciones lo JOIN gen_lista l ON l.id = lo.id_lista WHERE l.nombre = 'PropietarioBalon' AND upper(lo.nombre) = upper('"&amp;SUBSTITUTE(TRIM(F93),"'","''")&amp;"') AND lo.estado = 1 LIMIT 1)")&amp;", p_id_cliente_propietario =&gt; "&amp;IF(F93="CLIENTE",IF(TRIM(G93&amp;"")="","NULL","(SELECT id FROM cli_clientes WHERE numero_documento = '"&amp;SUBSTITUTE(TRIM(G93),"'","''")&amp;"' AND estado = 1 LIMIT 1)"),"NULL")&amp;", p_id_planta =&gt; "&amp;IF(F93="PLANTA",IF(TRIM(G93&amp;"")="","NULL","(SELECT id FROM cli_clientes WHERE numero_documento = '"&amp;SUBSTITUTE(TRIM(G93),"'","''")&amp;"'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"&amp;IF(TRIM(J93&amp;"")="","NULL","(SELECT id FROM gen_almacen WHERE upper(nombre) = upper('"&amp;SUBSTITUTE(TRIM(J93),"'","''")&amp;"') AND estado = 1 LIMIT 1)")&amp;", p_id_cliente_ubicacion =&gt; "&amp;IF(TRIM(K93&amp;"")="","NULL","(SELECT id FROM cli_clientes WHERE numero_documento = '"&amp;SUBSTITUTE(TRIM(K93),"'","''")&amp;"' AND estado = 1 LIMIT 1)")&amp;", p_id_referencia =&gt; "&amp;IF(TRIM(J93&amp;"")&lt;&gt;"","(SELECT lo.id FROM gen_lista_opciones lo JOIN gen_lista l ON l.id = lo.id_lista WHERE l.nombre = 'ReferenciaCilindro' AND upper(lo.nombre) = 'ALMACEN' AND lo.estado = 1 LIMIT 1)",IF(TRIM(K93&amp;"")&lt;&gt;"","(SELECT lo.id FROM gen_lista_opciones lo JOIN gen_lista l ON l.id = lo.id_lista WHERE l.nombre = 'ReferenciaCilindro' AND upper(lo.nombre) = 'CLIENTE' AND lo.estado = 1 LIMIT 1)","NULL"))&amp;", p_anio_fabricacion =&gt; "&amp;IF(M93&amp;""="","NULL::smallint",M93&amp;"::smallint")&amp;", p_mes_fabricacion =&gt; "&amp;IF(N93&amp;""="","NULL::smallint",N93&amp;"::smallint")&amp;", p_fecha_ultima_prueba_hidrostatica =&gt; "&amp;IF(O93&amp;""="","NULL","'"&amp;YEAR(O93)&amp;"-"&amp;TEXT(MONTH(O93),"00")&amp;"-"&amp;TEXT(DAY(O93),"00")&amp;"'")&amp;", p_numero_serie =&gt; "&amp;IF(TRIM(Q93&amp;"")="","NULL","'"&amp;SUBSTITUTE(TRIM(Q93),"'","''")&amp;"'")&amp;", p_id_marca_cilindro =&gt; "&amp;IF(TRIM(R93&amp;"")="","NULL","(SELECT lo.id FROM gen_lista_opciones lo JOIN gen_lista l ON l.id = lo.id_lista WHERE l.nombre = 'MarcaCilindro' AND upper(lo.nombre) = upper('"&amp;SUBSTITUTE(TRIM(R93),"'","''")&amp;"') AND lo.estado = 1 LIMIT 1)")&amp;", p_id_organo_inspector =&gt; "&amp;IF(TRIM(S93&amp;"")="","NULL","(SELECT lo.id FROM gen_lista_opciones lo JOIN gen_lista l ON l.id = lo.id_lista WHERE l.nombre = 'OrganoInspectorCilindro' AND upper(lo.nombre) = upper('"&amp;SUBSTITUTE(TRIM(S93),"'","''")&amp;"') AND lo.estado = 1 LIMIT 1)")&amp;", p_organo_inspector_no_aplica =&gt; "&amp;IF(S93="NO_APLICA","TRUE","FALSE")&amp;", p_presion_actual =&gt; "&amp;IF(T93&amp;""="","NULL",SUBSTITUTE(T93&amp;"",",","."))&amp;", p_tipo_valvula =&gt; "&amp;IF(TRIM(U93&amp;"")="","NULL","'"&amp;SUBSTITUTE(TRIM(U93),"'","''")&amp;"'")&amp;", p_libro_cilindro =&gt; "&amp;IF(TRIM(V93&amp;"")="","NULL","'"&amp;SUBSTITUTE(TRIM(V93),"'","''")&amp;"'")&amp;", p_pagina_libro =&gt; "&amp;IF(W93&amp;""="","NULL",SUBSTITUTE(W93&amp;"",",","."))&amp;", p_observacion =&gt; "&amp;IF(TRIM(X93&amp;"")="","NULL","'"&amp;SUBSTITUTE(TRIM(X93),"'","''")&amp;"'")&amp;") AS resultado_balon_"&amp;ROW()&amp;";")</f>
        <v/>
      </c>
    </row>
    <row r="94" ht="15.75" customHeight="1" s="64">
      <c r="A94" s="36" t="inlineStr">
        <is>
          <t>90</t>
        </is>
      </c>
      <c r="B94" s="25">
        <f>IF(AND(C94="",D94="",E94=""),"",IF(C94="","FALTA código balón",IF(D94="","FALTA tipo balón",IF(E94="","FALTA gas",IF(F94="","FALTA propietario",IF(AND(C94&lt;&gt;"",SUMPRODUCT(--($C$5:$C$1200=C94))&gt;1),"CÓDIGO BALÓN DUPLICADO",IF(AND(OR(UPPER(F94)="PLANTA",UPPER(F94)="CLIENTE"),G94=""),"FALTA doc propietario/planta",IF(AND(UPPER(F94)="PLANTA",G94="10175332796"),"PLANTA no puede ser RUC empresa","OK"))))))))</f>
        <v/>
      </c>
      <c r="C94" s="23" t="inlineStr">
        <is>
          <t>22K035041</t>
        </is>
      </c>
      <c r="D94" s="17" t="inlineStr">
        <is>
          <t>Dióxido de carbono 30 kg</t>
        </is>
      </c>
      <c r="E94" s="17" t="inlineStr">
        <is>
          <t>DIÓXIDO DE CARBONO</t>
        </is>
      </c>
      <c r="F94" s="17" t="inlineStr">
        <is>
          <t>EMPRESA</t>
        </is>
      </c>
      <c r="G94" s="23" t="inlineStr">
        <is>
          <t>10175332796</t>
        </is>
      </c>
      <c r="H94" s="25">
        <f t="array" ref="H94">IF(G94="","",IFERROR(IF(INDEX(Clientes!$D$5:$D$549,MATCH(G94,Clientes!$C$5:$C$549,0))&lt;&gt;"",INDEX(Clientes!$D$5:$D$549,MATCH(G94,Clientes!$C$5:$C$549,0)),TRIM(INDEX(Clientes!$E$5:$E$549,MATCH(G94,Clientes!$C$5:$C$549,0))&amp;" "&amp;INDEX(Clientes!$F$5:$F$549,MATCH(G94,Clientes!$C$5:$C$549,0)))),"NO EXISTE en Clientes"))</f>
        <v/>
      </c>
      <c r="I94" s="17" t="inlineStr">
        <is>
          <t>DISPONIBLE</t>
        </is>
      </c>
      <c r="J94" s="17" t="inlineStr">
        <is>
          <t>ALMACEN PRINCIPAL</t>
        </is>
      </c>
      <c r="K94" s="23" t="n"/>
      <c r="L94" s="25">
        <f t="array" ref="L94">IF(K94="","",IFERROR(IF(INDEX(Clientes!$D$5:$D$549,MATCH(K94,Clientes!$C$5:$C$549,0))&lt;&gt;"",INDEX(Clientes!$D$5:$D$549,MATCH(K94,Clientes!$C$5:$C$549,0)),TRIM(INDEX(Clientes!$E$5:$E$549,MATCH(K94,Clientes!$C$5:$C$549,0))&amp;" "&amp;INDEX(Clientes!$F$5:$F$549,MATCH(K94,Clientes!$C$5:$C$549,0)))),"NO EXISTE en Clientes"))</f>
        <v/>
      </c>
      <c r="M94" s="17" t="n">
        <v>2022</v>
      </c>
      <c r="N94" s="17" t="n">
        <v>1</v>
      </c>
      <c r="O94" s="42" t="n">
        <v>44562</v>
      </c>
      <c r="P94" s="39">
        <f>IF(O94&lt;&gt;"",DATE(YEAR(O94)+5,MONTH(O94),1),IF(AND(M94&lt;&gt;"",N94&lt;&gt;""),DATE(M94+5,N94,1),""))</f>
        <v/>
      </c>
      <c r="Q94" s="23" t="n"/>
      <c r="R94" s="17" t="inlineStr">
        <is>
          <t>JP</t>
        </is>
      </c>
      <c r="S94" s="17" t="inlineStr">
        <is>
          <t>OTRO</t>
        </is>
      </c>
      <c r="T94" s="17" t="n"/>
      <c r="U94" s="17" t="n"/>
      <c r="V94" s="23" t="n"/>
      <c r="W94" s="17" t="n"/>
      <c r="X94" s="17" t="n"/>
      <c r="Y94" s="28">
        <f>IF(B94&lt;&gt;"OK","","SELECT bal_crear_balon(p_codigo_balon =&gt; "&amp;IF(TRIM(C94&amp;"")="","NULL","'"&amp;SUBSTITUTE(TRIM(C94),"'","''")&amp;"'")&amp;", p_id_tipo_balon =&gt; "&amp;"(SELECT id FROM bal_tipo_balon WHERE upper(nombre) = upper('"&amp;SUBSTITUTE(TRIM(D94),"'","''")&amp;"') AND estado = 1 LIMIT 1)"&amp;", p_id_producto_gas =&gt; "&amp;"(SELECT id FROM pro_producto WHERE es_gas = TRUE AND upper(nombre) = upper('"&amp;SUBSTITUTE(TRIM(E94),"'","''")&amp;"') AND estado = 1 LIMIT 1)"&amp;", p_id_propietario =&gt; "&amp;IF(TRIM(F94&amp;"")="","NULL","(SELECT lo.id FROM gen_lista_opciones lo JOIN gen_lista l ON l.id = lo.id_lista WHERE l.nombre = 'PropietarioBalon' AND upper(lo.nombre) = upper('"&amp;SUBSTITUTE(TRIM(F94),"'","''")&amp;"') AND lo.estado = 1 LIMIT 1)")&amp;", p_id_cliente_propietario =&gt; "&amp;IF(F94="CLIENTE",IF(TRIM(G94&amp;"")="","NULL","(SELECT id FROM cli_clientes WHERE numero_documento = '"&amp;SUBSTITUTE(TRIM(G94),"'","''")&amp;"' AND estado = 1 LIMIT 1)"),"NULL")&amp;", p_id_planta =&gt; "&amp;IF(F94="PLANTA",IF(TRIM(G94&amp;"")="","NULL","(SELECT id FROM cli_clientes WHERE numero_documento = '"&amp;SUBSTITUTE(TRIM(G94),"'","''")&amp;"'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"&amp;IF(TRIM(J94&amp;"")="","NULL","(SELECT id FROM gen_almacen WHERE upper(nombre) = upper('"&amp;SUBSTITUTE(TRIM(J94),"'","''")&amp;"') AND estado = 1 LIMIT 1)")&amp;", p_id_cliente_ubicacion =&gt; "&amp;IF(TRIM(K94&amp;"")="","NULL","(SELECT id FROM cli_clientes WHERE numero_documento = '"&amp;SUBSTITUTE(TRIM(K94),"'","''")&amp;"' AND estado = 1 LIMIT 1)")&amp;", p_id_referencia =&gt; "&amp;IF(TRIM(J94&amp;"")&lt;&gt;"","(SELECT lo.id FROM gen_lista_opciones lo JOIN gen_lista l ON l.id = lo.id_lista WHERE l.nombre = 'ReferenciaCilindro' AND upper(lo.nombre) = 'ALMACEN' AND lo.estado = 1 LIMIT 1)",IF(TRIM(K94&amp;"")&lt;&gt;"","(SELECT lo.id FROM gen_lista_opciones lo JOIN gen_lista l ON l.id = lo.id_lista WHERE l.nombre = 'ReferenciaCilindro' AND upper(lo.nombre) = 'CLIENTE' AND lo.estado = 1 LIMIT 1)","NULL"))&amp;", p_anio_fabricacion =&gt; "&amp;IF(M94&amp;""="","NULL::smallint",M94&amp;"::smallint")&amp;", p_mes_fabricacion =&gt; "&amp;IF(N94&amp;""="","NULL::smallint",N94&amp;"::smallint")&amp;", p_fecha_ultima_prueba_hidrostatica =&gt; "&amp;IF(O94&amp;""="","NULL","'"&amp;YEAR(O94)&amp;"-"&amp;TEXT(MONTH(O94),"00")&amp;"-"&amp;TEXT(DAY(O94),"00")&amp;"'")&amp;", p_numero_serie =&gt; "&amp;IF(TRIM(Q94&amp;"")="","NULL","'"&amp;SUBSTITUTE(TRIM(Q94),"'","''")&amp;"'")&amp;", p_id_marca_cilindro =&gt; "&amp;IF(TRIM(R94&amp;"")="","NULL","(SELECT lo.id FROM gen_lista_opciones lo JOIN gen_lista l ON l.id = lo.id_lista WHERE l.nombre = 'MarcaCilindro' AND upper(lo.nombre) = upper('"&amp;SUBSTITUTE(TRIM(R94),"'","''")&amp;"') AND lo.estado = 1 LIMIT 1)")&amp;", p_id_organo_inspector =&gt; "&amp;IF(TRIM(S94&amp;"")="","NULL","(SELECT lo.id FROM gen_lista_opciones lo JOIN gen_lista l ON l.id = lo.id_lista WHERE l.nombre = 'OrganoInspectorCilindro' AND upper(lo.nombre) = upper('"&amp;SUBSTITUTE(TRIM(S94),"'","''")&amp;"') AND lo.estado = 1 LIMIT 1)")&amp;", p_organo_inspector_no_aplica =&gt; "&amp;IF(S94="NO_APLICA","TRUE","FALSE")&amp;", p_presion_actual =&gt; "&amp;IF(T94&amp;""="","NULL",SUBSTITUTE(T94&amp;"",",","."))&amp;", p_tipo_valvula =&gt; "&amp;IF(TRIM(U94&amp;"")="","NULL","'"&amp;SUBSTITUTE(TRIM(U94),"'","''")&amp;"'")&amp;", p_libro_cilindro =&gt; "&amp;IF(TRIM(V94&amp;"")="","NULL","'"&amp;SUBSTITUTE(TRIM(V94),"'","''")&amp;"'")&amp;", p_pagina_libro =&gt; "&amp;IF(W94&amp;""="","NULL",SUBSTITUTE(W94&amp;"",",","."))&amp;", p_observacion =&gt; "&amp;IF(TRIM(X94&amp;"")="","NULL","'"&amp;SUBSTITUTE(TRIM(X94),"'","''")&amp;"'")&amp;") AS resultado_balon_"&amp;ROW()&amp;";")</f>
        <v/>
      </c>
    </row>
    <row r="95" ht="15.75" customHeight="1" s="64">
      <c r="A95" s="36" t="inlineStr">
        <is>
          <t>91</t>
        </is>
      </c>
      <c r="B95" s="25">
        <f>IF(AND(C95="",D95="",E95=""),"",IF(C95="","FALTA código balón",IF(D95="","FALTA tipo balón",IF(E95="","FALTA gas",IF(F95="","FALTA propietario",IF(AND(C95&lt;&gt;"",SUMPRODUCT(--($C$5:$C$1200=C95))&gt;1),"CÓDIGO BALÓN DUPLICADO",IF(AND(OR(UPPER(F95)="PLANTA",UPPER(F95)="CLIENTE"),G95=""),"FALTA doc propietario/planta",IF(AND(UPPER(F95)="PLANTA",G95="10175332796"),"PLANTA no puede ser RUC empresa","OK"))))))))</f>
        <v/>
      </c>
      <c r="C95" s="23" t="inlineStr">
        <is>
          <t>V706007</t>
        </is>
      </c>
      <c r="D95" s="17" t="inlineStr">
        <is>
          <t>Dióxido de carbono 30 kg</t>
        </is>
      </c>
      <c r="E95" s="17" t="inlineStr">
        <is>
          <t>DIÓXIDO DE CARBONO</t>
        </is>
      </c>
      <c r="F95" s="17" t="inlineStr">
        <is>
          <t>EMPRESA</t>
        </is>
      </c>
      <c r="G95" s="23" t="inlineStr">
        <is>
          <t>10175332796</t>
        </is>
      </c>
      <c r="H95" s="25">
        <f t="array" ref="H95">IF(G95="","",IFERROR(IF(INDEX(Clientes!$D$5:$D$549,MATCH(G95,Clientes!$C$5:$C$549,0))&lt;&gt;"",INDEX(Clientes!$D$5:$D$549,MATCH(G95,Clientes!$C$5:$C$549,0)),TRIM(INDEX(Clientes!$E$5:$E$549,MATCH(G95,Clientes!$C$5:$C$549,0))&amp;" "&amp;INDEX(Clientes!$F$5:$F$549,MATCH(G95,Clientes!$C$5:$C$549,0)))),"NO EXISTE en Clientes"))</f>
        <v/>
      </c>
      <c r="I95" s="17" t="inlineStr">
        <is>
          <t>DISPONIBLE</t>
        </is>
      </c>
      <c r="J95" s="17" t="inlineStr">
        <is>
          <t>ALMACEN PRINCIPAL</t>
        </is>
      </c>
      <c r="K95" s="23" t="n"/>
      <c r="L95" s="25">
        <f t="array" ref="L95">IF(K95="","",IFERROR(IF(INDEX(Clientes!$D$5:$D$549,MATCH(K95,Clientes!$C$5:$C$549,0))&lt;&gt;"",INDEX(Clientes!$D$5:$D$549,MATCH(K95,Clientes!$C$5:$C$549,0)),TRIM(INDEX(Clientes!$E$5:$E$549,MATCH(K95,Clientes!$C$5:$C$549,0))&amp;" "&amp;INDEX(Clientes!$F$5:$F$549,MATCH(K95,Clientes!$C$5:$C$549,0)))),"NO EXISTE en Clientes"))</f>
        <v/>
      </c>
      <c r="M95" s="17" t="n">
        <v>2021</v>
      </c>
      <c r="N95" s="17" t="n">
        <v>5</v>
      </c>
      <c r="O95" s="42" t="n">
        <v>44317</v>
      </c>
      <c r="P95" s="39">
        <f>IF(O95&lt;&gt;"",DATE(YEAR(O95)+5,MONTH(O95),1),IF(AND(M95&lt;&gt;"",N95&lt;&gt;""),DATE(M95+5,N95,1),""))</f>
        <v/>
      </c>
      <c r="Q95" s="23" t="n"/>
      <c r="R95" s="17" t="inlineStr">
        <is>
          <t>JD</t>
        </is>
      </c>
      <c r="S95" s="17" t="inlineStr">
        <is>
          <t>TS</t>
        </is>
      </c>
      <c r="T95" s="17" t="n"/>
      <c r="U95" s="17" t="n"/>
      <c r="V95" s="23" t="n"/>
      <c r="W95" s="17" t="n"/>
      <c r="X95" s="17" t="n"/>
      <c r="Y95" s="28">
        <f>IF(B95&lt;&gt;"OK","","SELECT bal_crear_balon(p_codigo_balon =&gt; "&amp;IF(TRIM(C95&amp;"")="","NULL","'"&amp;SUBSTITUTE(TRIM(C95),"'","''")&amp;"'")&amp;", p_id_tipo_balon =&gt; "&amp;"(SELECT id FROM bal_tipo_balon WHERE upper(nombre) = upper('"&amp;SUBSTITUTE(TRIM(D95),"'","''")&amp;"') AND estado = 1 LIMIT 1)"&amp;", p_id_producto_gas =&gt; "&amp;"(SELECT id FROM pro_producto WHERE es_gas = TRUE AND upper(nombre) = upper('"&amp;SUBSTITUTE(TRIM(E95),"'","''")&amp;"') AND estado = 1 LIMIT 1)"&amp;", p_id_propietario =&gt; "&amp;IF(TRIM(F95&amp;"")="","NULL","(SELECT lo.id FROM gen_lista_opciones lo JOIN gen_lista l ON l.id = lo.id_lista WHERE l.nombre = 'PropietarioBalon' AND upper(lo.nombre) = upper('"&amp;SUBSTITUTE(TRIM(F95),"'","''")&amp;"') AND lo.estado = 1 LIMIT 1)")&amp;", p_id_cliente_propietario =&gt; "&amp;IF(F95="CLIENTE",IF(TRIM(G95&amp;"")="","NULL","(SELECT id FROM cli_clientes WHERE numero_documento = '"&amp;SUBSTITUTE(TRIM(G95),"'","''")&amp;"' AND estado = 1 LIMIT 1)"),"NULL")&amp;", p_id_planta =&gt; "&amp;IF(F95="PLANTA",IF(TRIM(G95&amp;"")="","NULL","(SELECT id FROM cli_clientes WHERE numero_documento = '"&amp;SUBSTITUTE(TRIM(G95),"'","''")&amp;"'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"&amp;IF(TRIM(J95&amp;"")="","NULL","(SELECT id FROM gen_almacen WHERE upper(nombre) = upper('"&amp;SUBSTITUTE(TRIM(J95),"'","''")&amp;"') AND estado = 1 LIMIT 1)")&amp;", p_id_cliente_ubicacion =&gt; "&amp;IF(TRIM(K95&amp;"")="","NULL","(SELECT id FROM cli_clientes WHERE numero_documento = '"&amp;SUBSTITUTE(TRIM(K95),"'","''")&amp;"' AND estado = 1 LIMIT 1)")&amp;", p_id_referencia =&gt; "&amp;IF(TRIM(J95&amp;"")&lt;&gt;"","(SELECT lo.id FROM gen_lista_opciones lo JOIN gen_lista l ON l.id = lo.id_lista WHERE l.nombre = 'ReferenciaCilindro' AND upper(lo.nombre) = 'ALMACEN' AND lo.estado = 1 LIMIT 1)",IF(TRIM(K95&amp;"")&lt;&gt;"","(SELECT lo.id FROM gen_lista_opciones lo JOIN gen_lista l ON l.id = lo.id_lista WHERE l.nombre = 'ReferenciaCilindro' AND upper(lo.nombre) = 'CLIENTE' AND lo.estado = 1 LIMIT 1)","NULL"))&amp;", p_anio_fabricacion =&gt; "&amp;IF(M95&amp;""="","NULL::smallint",M95&amp;"::smallint")&amp;", p_mes_fabricacion =&gt; "&amp;IF(N95&amp;""="","NULL::smallint",N95&amp;"::smallint")&amp;", p_fecha_ultima_prueba_hidrostatica =&gt; "&amp;IF(O95&amp;""="","NULL","'"&amp;YEAR(O95)&amp;"-"&amp;TEXT(MONTH(O95),"00")&amp;"-"&amp;TEXT(DAY(O95),"00")&amp;"'")&amp;", p_numero_serie =&gt; "&amp;IF(TRIM(Q95&amp;"")="","NULL","'"&amp;SUBSTITUTE(TRIM(Q95),"'","''")&amp;"'")&amp;", p_id_marca_cilindro =&gt; "&amp;IF(TRIM(R95&amp;"")="","NULL","(SELECT lo.id FROM gen_lista_opciones lo JOIN gen_lista l ON l.id = lo.id_lista WHERE l.nombre = 'MarcaCilindro' AND upper(lo.nombre) = upper('"&amp;SUBSTITUTE(TRIM(R95),"'","''")&amp;"') AND lo.estado = 1 LIMIT 1)")&amp;", p_id_organo_inspector =&gt; "&amp;IF(TRIM(S95&amp;"")="","NULL","(SELECT lo.id FROM gen_lista_opciones lo JOIN gen_lista l ON l.id = lo.id_lista WHERE l.nombre = 'OrganoInspectorCilindro' AND upper(lo.nombre) = upper('"&amp;SUBSTITUTE(TRIM(S95),"'","''")&amp;"') AND lo.estado = 1 LIMIT 1)")&amp;", p_organo_inspector_no_aplica =&gt; "&amp;IF(S95="NO_APLICA","TRUE","FALSE")&amp;", p_presion_actual =&gt; "&amp;IF(T95&amp;""="","NULL",SUBSTITUTE(T95&amp;"",",","."))&amp;", p_tipo_valvula =&gt; "&amp;IF(TRIM(U95&amp;"")="","NULL","'"&amp;SUBSTITUTE(TRIM(U95),"'","''")&amp;"'")&amp;", p_libro_cilindro =&gt; "&amp;IF(TRIM(V95&amp;"")="","NULL","'"&amp;SUBSTITUTE(TRIM(V95),"'","''")&amp;"'")&amp;", p_pagina_libro =&gt; "&amp;IF(W95&amp;""="","NULL",SUBSTITUTE(W95&amp;"",",","."))&amp;", p_observacion =&gt; "&amp;IF(TRIM(X95&amp;"")="","NULL","'"&amp;SUBSTITUTE(TRIM(X95),"'","''")&amp;"'")&amp;") AS resultado_balon_"&amp;ROW()&amp;";")</f>
        <v/>
      </c>
    </row>
    <row r="96" ht="15.75" customHeight="1" s="64">
      <c r="A96" s="36" t="inlineStr">
        <is>
          <t>92</t>
        </is>
      </c>
      <c r="B96" s="25">
        <f>IF(AND(C96="",D96="",E96=""),"",IF(C96="","FALTA código balón",IF(D96="","FALTA tipo balón",IF(E96="","FALTA gas",IF(F96="","FALTA propietario",IF(AND(C96&lt;&gt;"",SUMPRODUCT(--($C$5:$C$1200=C96))&gt;1),"CÓDIGO BALÓN DUPLICADO",IF(AND(OR(UPPER(F96)="PLANTA",UPPER(F96)="CLIENTE"),G96=""),"FALTA doc propietario/planta",IF(AND(UPPER(F96)="PLANTA",G96="10175332796"),"PLANTA no puede ser RUC empresa","OK"))))))))</f>
        <v/>
      </c>
      <c r="C96" s="23" t="inlineStr">
        <is>
          <t>263A</t>
        </is>
      </c>
      <c r="D96" s="17" t="inlineStr">
        <is>
          <t>Dióxido de carbono 30 kg</t>
        </is>
      </c>
      <c r="E96" s="17" t="inlineStr">
        <is>
          <t>DIÓXIDO DE CARBONO</t>
        </is>
      </c>
      <c r="F96" s="17" t="inlineStr">
        <is>
          <t>EMPRESA</t>
        </is>
      </c>
      <c r="G96" s="23" t="inlineStr">
        <is>
          <t>10175332796</t>
        </is>
      </c>
      <c r="H96" s="25">
        <f t="array" ref="H96">IF(G96="","",IFERROR(IF(INDEX(Clientes!$D$5:$D$549,MATCH(G96,Clientes!$C$5:$C$549,0))&lt;&gt;"",INDEX(Clientes!$D$5:$D$549,MATCH(G96,Clientes!$C$5:$C$549,0)),TRIM(INDEX(Clientes!$E$5:$E$549,MATCH(G96,Clientes!$C$5:$C$549,0))&amp;" "&amp;INDEX(Clientes!$F$5:$F$549,MATCH(G96,Clientes!$C$5:$C$549,0)))),"NO EXISTE en Clientes"))</f>
        <v/>
      </c>
      <c r="I96" s="17" t="inlineStr">
        <is>
          <t>DISPONIBLE</t>
        </is>
      </c>
      <c r="J96" s="17" t="inlineStr">
        <is>
          <t>ALMACEN PRINCIPAL</t>
        </is>
      </c>
      <c r="K96" s="23" t="n"/>
      <c r="L96" s="25">
        <f t="array" ref="L96">IF(K96="","",IFERROR(IF(INDEX(Clientes!$D$5:$D$549,MATCH(K96,Clientes!$C$5:$C$549,0))&lt;&gt;"",INDEX(Clientes!$D$5:$D$549,MATCH(K96,Clientes!$C$5:$C$549,0)),TRIM(INDEX(Clientes!$E$5:$E$549,MATCH(K96,Clientes!$C$5:$C$549,0))&amp;" "&amp;INDEX(Clientes!$F$5:$F$549,MATCH(K96,Clientes!$C$5:$C$549,0)))),"NO EXISTE en Clientes"))</f>
        <v/>
      </c>
      <c r="M96" s="17" t="n">
        <v>2023</v>
      </c>
      <c r="N96" s="17" t="n">
        <v>10</v>
      </c>
      <c r="O96" s="42" t="n">
        <v>45200</v>
      </c>
      <c r="P96" s="39">
        <f>IF(O96&lt;&gt;"",DATE(YEAR(O96)+5,MONTH(O96),1),IF(AND(M96&lt;&gt;"",N96&lt;&gt;""),DATE(M96+5,N96,1),""))</f>
        <v/>
      </c>
      <c r="Q96" s="23" t="n"/>
      <c r="R96" s="17" t="n"/>
      <c r="S96" s="17" t="n"/>
      <c r="T96" s="17" t="n"/>
      <c r="U96" s="17" t="n"/>
      <c r="V96" s="23" t="n"/>
      <c r="W96" s="17" t="n"/>
      <c r="X96" s="17" t="inlineStr">
        <is>
          <t>PH OXIGENO CRISTIAN</t>
        </is>
      </c>
      <c r="Y96" s="28">
        <f>IF(B96&lt;&gt;"OK","","SELECT bal_crear_balon(p_codigo_balon =&gt; "&amp;IF(TRIM(C96&amp;"")="","NULL","'"&amp;SUBSTITUTE(TRIM(C96),"'","''")&amp;"'")&amp;", p_id_tipo_balon =&gt; "&amp;"(SELECT id FROM bal_tipo_balon WHERE upper(nombre) = upper('"&amp;SUBSTITUTE(TRIM(D96),"'","''")&amp;"') AND estado = 1 LIMIT 1)"&amp;", p_id_producto_gas =&gt; "&amp;"(SELECT id FROM pro_producto WHERE es_gas = TRUE AND upper(nombre) = upper('"&amp;SUBSTITUTE(TRIM(E96),"'","''")&amp;"') AND estado = 1 LIMIT 1)"&amp;", p_id_propietario =&gt; "&amp;IF(TRIM(F96&amp;"")="","NULL","(SELECT lo.id FROM gen_lista_opciones lo JOIN gen_lista l ON l.id = lo.id_lista WHERE l.nombre = 'PropietarioBalon' AND upper(lo.nombre) = upper('"&amp;SUBSTITUTE(TRIM(F96),"'","''")&amp;"') AND lo.estado = 1 LIMIT 1)")&amp;", p_id_cliente_propietario =&gt; "&amp;IF(F96="CLIENTE",IF(TRIM(G96&amp;"")="","NULL","(SELECT id FROM cli_clientes WHERE numero_documento = '"&amp;SUBSTITUTE(TRIM(G96),"'","''")&amp;"' AND estado = 1 LIMIT 1)"),"NULL")&amp;", p_id_planta =&gt; "&amp;IF(F96="PLANTA",IF(TRIM(G96&amp;"")="","NULL","(SELECT id FROM cli_clientes WHERE numero_documento = '"&amp;SUBSTITUTE(TRIM(G96),"'","''")&amp;"'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"&amp;IF(TRIM(J96&amp;"")="","NULL","(SELECT id FROM gen_almacen WHERE upper(nombre) = upper('"&amp;SUBSTITUTE(TRIM(J96),"'","''")&amp;"') AND estado = 1 LIMIT 1)")&amp;", p_id_cliente_ubicacion =&gt; "&amp;IF(TRIM(K96&amp;"")="","NULL","(SELECT id FROM cli_clientes WHERE numero_documento = '"&amp;SUBSTITUTE(TRIM(K96),"'","''")&amp;"' AND estado = 1 LIMIT 1)")&amp;", p_id_referencia =&gt; "&amp;IF(TRIM(J96&amp;"")&lt;&gt;"","(SELECT lo.id FROM gen_lista_opciones lo JOIN gen_lista l ON l.id = lo.id_lista WHERE l.nombre = 'ReferenciaCilindro' AND upper(lo.nombre) = 'ALMACEN' AND lo.estado = 1 LIMIT 1)",IF(TRIM(K96&amp;"")&lt;&gt;"","(SELECT lo.id FROM gen_lista_opciones lo JOIN gen_lista l ON l.id = lo.id_lista WHERE l.nombre = 'ReferenciaCilindro' AND upper(lo.nombre) = 'CLIENTE' AND lo.estado = 1 LIMIT 1)","NULL"))&amp;", p_anio_fabricacion =&gt; "&amp;IF(M96&amp;""="","NULL::smallint",M96&amp;"::smallint")&amp;", p_mes_fabricacion =&gt; "&amp;IF(N96&amp;""="","NULL::smallint",N96&amp;"::smallint")&amp;", p_fecha_ultima_prueba_hidrostatica =&gt; "&amp;IF(O96&amp;""="","NULL","'"&amp;YEAR(O96)&amp;"-"&amp;TEXT(MONTH(O96),"00")&amp;"-"&amp;TEXT(DAY(O96),"00")&amp;"'")&amp;", p_numero_serie =&gt; "&amp;IF(TRIM(Q96&amp;"")="","NULL","'"&amp;SUBSTITUTE(TRIM(Q96),"'","''")&amp;"'")&amp;", p_id_marca_cilindro =&gt; "&amp;IF(TRIM(R96&amp;"")="","NULL","(SELECT lo.id FROM gen_lista_opciones lo JOIN gen_lista l ON l.id = lo.id_lista WHERE l.nombre = 'MarcaCilindro' AND upper(lo.nombre) = upper('"&amp;SUBSTITUTE(TRIM(R96),"'","''")&amp;"') AND lo.estado = 1 LIMIT 1)")&amp;", p_id_organo_inspector =&gt; "&amp;IF(TRIM(S96&amp;"")="","NULL","(SELECT lo.id FROM gen_lista_opciones lo JOIN gen_lista l ON l.id = lo.id_lista WHERE l.nombre = 'OrganoInspectorCilindro' AND upper(lo.nombre) = upper('"&amp;SUBSTITUTE(TRIM(S96),"'","''")&amp;"') AND lo.estado = 1 LIMIT 1)")&amp;", p_organo_inspector_no_aplica =&gt; "&amp;IF(S96="NO_APLICA","TRUE","FALSE")&amp;", p_presion_actual =&gt; "&amp;IF(T96&amp;""="","NULL",SUBSTITUTE(T96&amp;"",",","."))&amp;", p_tipo_valvula =&gt; "&amp;IF(TRIM(U96&amp;"")="","NULL","'"&amp;SUBSTITUTE(TRIM(U96),"'","''")&amp;"'")&amp;", p_libro_cilindro =&gt; "&amp;IF(TRIM(V96&amp;"")="","NULL","'"&amp;SUBSTITUTE(TRIM(V96),"'","''")&amp;"'")&amp;", p_pagina_libro =&gt; "&amp;IF(W96&amp;""="","NULL",SUBSTITUTE(W96&amp;"",",","."))&amp;", p_observacion =&gt; "&amp;IF(TRIM(X96&amp;"")="","NULL","'"&amp;SUBSTITUTE(TRIM(X96),"'","''")&amp;"'")&amp;") AS resultado_balon_"&amp;ROW()&amp;";")</f>
        <v/>
      </c>
    </row>
    <row r="97" ht="15.75" customHeight="1" s="64">
      <c r="A97" s="36" t="inlineStr">
        <is>
          <t>93</t>
        </is>
      </c>
      <c r="B97" s="25">
        <f>IF(AND(C97="",D97="",E97=""),"",IF(C97="","FALTA código balón",IF(D97="","FALTA tipo balón",IF(E97="","FALTA gas",IF(F97="","FALTA propietario",IF(AND(C97&lt;&gt;"",SUMPRODUCT(--($C$5:$C$1200=C97))&gt;1),"CÓDIGO BALÓN DUPLICADO",IF(AND(OR(UPPER(F97)="PLANTA",UPPER(F97)="CLIENTE"),G97=""),"FALTA doc propietario/planta",IF(AND(UPPER(F97)="PLANTA",G97="10175332796"),"PLANTA no puede ser RUC empresa","OK"))))))))</f>
        <v/>
      </c>
      <c r="C97" s="23" t="inlineStr">
        <is>
          <t>K4615199</t>
        </is>
      </c>
      <c r="D97" s="17" t="inlineStr">
        <is>
          <t>Dióxido de carbono 30 kg</t>
        </is>
      </c>
      <c r="E97" s="17" t="inlineStr">
        <is>
          <t>DIÓXIDO DE CARBONO</t>
        </is>
      </c>
      <c r="F97" s="17" t="inlineStr">
        <is>
          <t>EMPRESA</t>
        </is>
      </c>
      <c r="G97" s="23" t="inlineStr">
        <is>
          <t>10175332796</t>
        </is>
      </c>
      <c r="H97" s="25">
        <f t="array" ref="H97">IF(G97="","",IFERROR(IF(INDEX(Clientes!$D$5:$D$549,MATCH(G97,Clientes!$C$5:$C$549,0))&lt;&gt;"",INDEX(Clientes!$D$5:$D$549,MATCH(G97,Clientes!$C$5:$C$549,0)),TRIM(INDEX(Clientes!$E$5:$E$549,MATCH(G97,Clientes!$C$5:$C$549,0))&amp;" "&amp;INDEX(Clientes!$F$5:$F$549,MATCH(G97,Clientes!$C$5:$C$549,0)))),"NO EXISTE en Clientes"))</f>
        <v/>
      </c>
      <c r="I97" s="17" t="inlineStr">
        <is>
          <t>DISPONIBLE</t>
        </is>
      </c>
      <c r="J97" s="17" t="inlineStr">
        <is>
          <t>ALMACEN PRINCIPAL</t>
        </is>
      </c>
      <c r="K97" s="23" t="n"/>
      <c r="L97" s="25">
        <f t="array" ref="L97">IF(K97="","",IFERROR(IF(INDEX(Clientes!$D$5:$D$549,MATCH(K97,Clientes!$C$5:$C$549,0))&lt;&gt;"",INDEX(Clientes!$D$5:$D$549,MATCH(K97,Clientes!$C$5:$C$549,0)),TRIM(INDEX(Clientes!$E$5:$E$549,MATCH(K97,Clientes!$C$5:$C$549,0))&amp;" "&amp;INDEX(Clientes!$F$5:$F$549,MATCH(K97,Clientes!$C$5:$C$549,0)))),"NO EXISTE en Clientes"))</f>
        <v/>
      </c>
      <c r="M97" s="17" t="n">
        <v>2025</v>
      </c>
      <c r="N97" s="17" t="n">
        <v>10</v>
      </c>
      <c r="O97" s="42" t="n">
        <v>45931</v>
      </c>
      <c r="P97" s="39">
        <f>IF(O97&lt;&gt;"",DATE(YEAR(O97)+5,MONTH(O97),1),IF(AND(M97&lt;&gt;"",N97&lt;&gt;""),DATE(M97+5,N97,1),""))</f>
        <v/>
      </c>
      <c r="Q97" s="23" t="n"/>
      <c r="R97" s="17" t="inlineStr">
        <is>
          <t>JD</t>
        </is>
      </c>
      <c r="S97" s="17" t="inlineStr">
        <is>
          <t>TS</t>
        </is>
      </c>
      <c r="T97" s="17" t="n"/>
      <c r="U97" s="17" t="n"/>
      <c r="V97" s="23" t="n"/>
      <c r="W97" s="17" t="n"/>
      <c r="X97" s="17" t="inlineStr">
        <is>
          <t>PH OXIGENO CRISTIAN</t>
        </is>
      </c>
      <c r="Y97" s="28">
        <f>IF(B97&lt;&gt;"OK","","SELECT bal_crear_balon(p_codigo_balon =&gt; "&amp;IF(TRIM(C97&amp;"")="","NULL","'"&amp;SUBSTITUTE(TRIM(C97),"'","''")&amp;"'")&amp;", p_id_tipo_balon =&gt; "&amp;"(SELECT id FROM bal_tipo_balon WHERE upper(nombre) = upper('"&amp;SUBSTITUTE(TRIM(D97),"'","''")&amp;"') AND estado = 1 LIMIT 1)"&amp;", p_id_producto_gas =&gt; "&amp;"(SELECT id FROM pro_producto WHERE es_gas = TRUE AND upper(nombre) = upper('"&amp;SUBSTITUTE(TRIM(E97),"'","''")&amp;"') AND estado = 1 LIMIT 1)"&amp;", p_id_propietario =&gt; "&amp;IF(TRIM(F97&amp;"")="","NULL","(SELECT lo.id FROM gen_lista_opciones lo JOIN gen_lista l ON l.id = lo.id_lista WHERE l.nombre = 'PropietarioBalon' AND upper(lo.nombre) = upper('"&amp;SUBSTITUTE(TRIM(F97),"'","''")&amp;"') AND lo.estado = 1 LIMIT 1)")&amp;", p_id_cliente_propietario =&gt; "&amp;IF(F97="CLIENTE",IF(TRIM(G97&amp;"")="","NULL","(SELECT id FROM cli_clientes WHERE numero_documento = '"&amp;SUBSTITUTE(TRIM(G97),"'","''")&amp;"' AND estado = 1 LIMIT 1)"),"NULL")&amp;", p_id_planta =&gt; "&amp;IF(F97="PLANTA",IF(TRIM(G97&amp;"")="","NULL","(SELECT id FROM cli_clientes WHERE numero_documento = '"&amp;SUBSTITUTE(TRIM(G97),"'","''")&amp;"'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"&amp;IF(TRIM(J97&amp;"")="","NULL","(SELECT id FROM gen_almacen WHERE upper(nombre) = upper('"&amp;SUBSTITUTE(TRIM(J97),"'","''")&amp;"') AND estado = 1 LIMIT 1)")&amp;", p_id_cliente_ubicacion =&gt; "&amp;IF(TRIM(K97&amp;"")="","NULL","(SELECT id FROM cli_clientes WHERE numero_documento = '"&amp;SUBSTITUTE(TRIM(K97),"'","''")&amp;"' AND estado = 1 LIMIT 1)")&amp;", p_id_referencia =&gt; "&amp;IF(TRIM(J97&amp;"")&lt;&gt;"","(SELECT lo.id FROM gen_lista_opciones lo JOIN gen_lista l ON l.id = lo.id_lista WHERE l.nombre = 'ReferenciaCilindro' AND upper(lo.nombre) = 'ALMACEN' AND lo.estado = 1 LIMIT 1)",IF(TRIM(K97&amp;"")&lt;&gt;"","(SELECT lo.id FROM gen_lista_opciones lo JOIN gen_lista l ON l.id = lo.id_lista WHERE l.nombre = 'ReferenciaCilindro' AND upper(lo.nombre) = 'CLIENTE' AND lo.estado = 1 LIMIT 1)","NULL"))&amp;", p_anio_fabricacion =&gt; "&amp;IF(M97&amp;""="","NULL::smallint",M97&amp;"::smallint")&amp;", p_mes_fabricacion =&gt; "&amp;IF(N97&amp;""="","NULL::smallint",N97&amp;"::smallint")&amp;", p_fecha_ultima_prueba_hidrostatica =&gt; "&amp;IF(O97&amp;""="","NULL","'"&amp;YEAR(O97)&amp;"-"&amp;TEXT(MONTH(O97),"00")&amp;"-"&amp;TEXT(DAY(O97),"00")&amp;"'")&amp;", p_numero_serie =&gt; "&amp;IF(TRIM(Q97&amp;"")="","NULL","'"&amp;SUBSTITUTE(TRIM(Q97),"'","''")&amp;"'")&amp;", p_id_marca_cilindro =&gt; "&amp;IF(TRIM(R97&amp;"")="","NULL","(SELECT lo.id FROM gen_lista_opciones lo JOIN gen_lista l ON l.id = lo.id_lista WHERE l.nombre = 'MarcaCilindro' AND upper(lo.nombre) = upper('"&amp;SUBSTITUTE(TRIM(R97),"'","''")&amp;"') AND lo.estado = 1 LIMIT 1)")&amp;", p_id_organo_inspector =&gt; "&amp;IF(TRIM(S97&amp;"")="","NULL","(SELECT lo.id FROM gen_lista_opciones lo JOIN gen_lista l ON l.id = lo.id_lista WHERE l.nombre = 'OrganoInspectorCilindro' AND upper(lo.nombre) = upper('"&amp;SUBSTITUTE(TRIM(S97),"'","''")&amp;"') AND lo.estado = 1 LIMIT 1)")&amp;", p_organo_inspector_no_aplica =&gt; "&amp;IF(S97="NO_APLICA","TRUE","FALSE")&amp;", p_presion_actual =&gt; "&amp;IF(T97&amp;""="","NULL",SUBSTITUTE(T97&amp;"",",","."))&amp;", p_tipo_valvula =&gt; "&amp;IF(TRIM(U97&amp;"")="","NULL","'"&amp;SUBSTITUTE(TRIM(U97),"'","''")&amp;"'")&amp;", p_libro_cilindro =&gt; "&amp;IF(TRIM(V97&amp;"")="","NULL","'"&amp;SUBSTITUTE(TRIM(V97),"'","''")&amp;"'")&amp;", p_pagina_libro =&gt; "&amp;IF(W97&amp;""="","NULL",SUBSTITUTE(W97&amp;"",",","."))&amp;", p_observacion =&gt; "&amp;IF(TRIM(X97&amp;"")="","NULL","'"&amp;SUBSTITUTE(TRIM(X97),"'","''")&amp;"'")&amp;") AS resultado_balon_"&amp;ROW()&amp;";")</f>
        <v/>
      </c>
    </row>
    <row r="98" ht="15.75" customHeight="1" s="64">
      <c r="A98" s="36" t="inlineStr">
        <is>
          <t>94</t>
        </is>
      </c>
      <c r="B98" s="25">
        <f>IF(AND(C98="",D98="",E98=""),"",IF(C98="","FALTA código balón",IF(D98="","FALTA tipo balón",IF(E98="","FALTA gas",IF(F98="","FALTA propietario",IF(AND(C98&lt;&gt;"",SUMPRODUCT(--($C$5:$C$1200=C98))&gt;1),"CÓDIGO BALÓN DUPLICADO",IF(AND(OR(UPPER(F98)="PLANTA",UPPER(F98)="CLIENTE"),G98=""),"FALTA doc propietario/planta",IF(AND(UPPER(F98)="PLANTA",G98="10175332796"),"PLANTA no puede ser RUC empresa","OK"))))))))</f>
        <v/>
      </c>
      <c r="C98" s="23" t="inlineStr">
        <is>
          <t>336998</t>
        </is>
      </c>
      <c r="D98" s="17" t="inlineStr">
        <is>
          <t>Dióxido de carbono 30 kg</t>
        </is>
      </c>
      <c r="E98" s="17" t="inlineStr">
        <is>
          <t>DIÓXIDO DE CARBONO</t>
        </is>
      </c>
      <c r="F98" s="17" t="inlineStr">
        <is>
          <t>EMPRESA</t>
        </is>
      </c>
      <c r="G98" s="23" t="inlineStr">
        <is>
          <t>10175332796</t>
        </is>
      </c>
      <c r="H98" s="25">
        <f t="array" ref="H98">IF(G98="","",IFERROR(IF(INDEX(Clientes!$D$5:$D$549,MATCH(G98,Clientes!$C$5:$C$549,0))&lt;&gt;"",INDEX(Clientes!$D$5:$D$549,MATCH(G98,Clientes!$C$5:$C$549,0)),TRIM(INDEX(Clientes!$E$5:$E$549,MATCH(G98,Clientes!$C$5:$C$549,0))&amp;" "&amp;INDEX(Clientes!$F$5:$F$549,MATCH(G98,Clientes!$C$5:$C$549,0)))),"NO EXISTE en Clientes"))</f>
        <v/>
      </c>
      <c r="I98" s="17" t="inlineStr">
        <is>
          <t>DISPONIBLE</t>
        </is>
      </c>
      <c r="J98" s="17" t="inlineStr">
        <is>
          <t>ALMACEN PRINCIPAL</t>
        </is>
      </c>
      <c r="K98" s="23" t="n"/>
      <c r="L98" s="25">
        <f t="array" ref="L98">IF(K98="","",IFERROR(IF(INDEX(Clientes!$D$5:$D$549,MATCH(K98,Clientes!$C$5:$C$549,0))&lt;&gt;"",INDEX(Clientes!$D$5:$D$549,MATCH(K98,Clientes!$C$5:$C$549,0)),TRIM(INDEX(Clientes!$E$5:$E$549,MATCH(K98,Clientes!$C$5:$C$549,0))&amp;" "&amp;INDEX(Clientes!$F$5:$F$549,MATCH(K98,Clientes!$C$5:$C$549,0)))),"NO EXISTE en Clientes"))</f>
        <v/>
      </c>
      <c r="M98" s="17" t="n">
        <v>2025</v>
      </c>
      <c r="N98" s="17" t="n">
        <v>8</v>
      </c>
      <c r="O98" s="42" t="n">
        <v>45870</v>
      </c>
      <c r="P98" s="39">
        <f>IF(O98&lt;&gt;"",DATE(YEAR(O98)+5,MONTH(O98),1),IF(AND(M98&lt;&gt;"",N98&lt;&gt;""),DATE(M98+5,N98,1),""))</f>
        <v/>
      </c>
      <c r="Q98" s="23" t="n"/>
      <c r="R98" s="17" t="inlineStr">
        <is>
          <t>DOT</t>
        </is>
      </c>
      <c r="S98" s="17" t="inlineStr">
        <is>
          <t>OTRO</t>
        </is>
      </c>
      <c r="T98" s="17" t="n"/>
      <c r="U98" s="17" t="n"/>
      <c r="V98" s="23" t="n"/>
      <c r="W98" s="17" t="n"/>
      <c r="X98" s="17" t="inlineStr">
        <is>
          <t>PH OXIGENO CRISTIAN</t>
        </is>
      </c>
      <c r="Y98" s="28">
        <f>IF(B98&lt;&gt;"OK","","SELECT bal_crear_balon(p_codigo_balon =&gt; "&amp;IF(TRIM(C98&amp;"")="","NULL","'"&amp;SUBSTITUTE(TRIM(C98),"'","''")&amp;"'")&amp;", p_id_tipo_balon =&gt; "&amp;"(SELECT id FROM bal_tipo_balon WHERE upper(nombre) = upper('"&amp;SUBSTITUTE(TRIM(D98),"'","''")&amp;"') AND estado = 1 LIMIT 1)"&amp;", p_id_producto_gas =&gt; "&amp;"(SELECT id FROM pro_producto WHERE es_gas = TRUE AND upper(nombre) = upper('"&amp;SUBSTITUTE(TRIM(E98),"'","''")&amp;"') AND estado = 1 LIMIT 1)"&amp;", p_id_propietario =&gt; "&amp;IF(TRIM(F98&amp;"")="","NULL","(SELECT lo.id FROM gen_lista_opciones lo JOIN gen_lista l ON l.id = lo.id_lista WHERE l.nombre = 'PropietarioBalon' AND upper(lo.nombre) = upper('"&amp;SUBSTITUTE(TRIM(F98),"'","''")&amp;"') AND lo.estado = 1 LIMIT 1)")&amp;", p_id_cliente_propietario =&gt; "&amp;IF(F98="CLIENTE",IF(TRIM(G98&amp;"")="","NULL","(SELECT id FROM cli_clientes WHERE numero_documento = '"&amp;SUBSTITUTE(TRIM(G98),"'","''")&amp;"' AND estado = 1 LIMIT 1)"),"NULL")&amp;", p_id_planta =&gt; "&amp;IF(F98="PLANTA",IF(TRIM(G98&amp;"")="","NULL","(SELECT id FROM cli_clientes WHERE numero_documento = '"&amp;SUBSTITUTE(TRIM(G98),"'","''")&amp;"'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"&amp;IF(TRIM(J98&amp;"")="","NULL","(SELECT id FROM gen_almacen WHERE upper(nombre) = upper('"&amp;SUBSTITUTE(TRIM(J98),"'","''")&amp;"') AND estado = 1 LIMIT 1)")&amp;", p_id_cliente_ubicacion =&gt; "&amp;IF(TRIM(K98&amp;"")="","NULL","(SELECT id FROM cli_clientes WHERE numero_documento = '"&amp;SUBSTITUTE(TRIM(K98),"'","''")&amp;"' AND estado = 1 LIMIT 1)")&amp;", p_id_referencia =&gt; "&amp;IF(TRIM(J98&amp;"")&lt;&gt;"","(SELECT lo.id FROM gen_lista_opciones lo JOIN gen_lista l ON l.id = lo.id_lista WHERE l.nombre = 'ReferenciaCilindro' AND upper(lo.nombre) = 'ALMACEN' AND lo.estado = 1 LIMIT 1)",IF(TRIM(K98&amp;"")&lt;&gt;"","(SELECT lo.id FROM gen_lista_opciones lo JOIN gen_lista l ON l.id = lo.id_lista WHERE l.nombre = 'ReferenciaCilindro' AND upper(lo.nombre) = 'CLIENTE' AND lo.estado = 1 LIMIT 1)","NULL"))&amp;", p_anio_fabricacion =&gt; "&amp;IF(M98&amp;""="","NULL::smallint",M98&amp;"::smallint")&amp;", p_mes_fabricacion =&gt; "&amp;IF(N98&amp;""="","NULL::smallint",N98&amp;"::smallint")&amp;", p_fecha_ultima_prueba_hidrostatica =&gt; "&amp;IF(O98&amp;""="","NULL","'"&amp;YEAR(O98)&amp;"-"&amp;TEXT(MONTH(O98),"00")&amp;"-"&amp;TEXT(DAY(O98),"00")&amp;"'")&amp;", p_numero_serie =&gt; "&amp;IF(TRIM(Q98&amp;"")="","NULL","'"&amp;SUBSTITUTE(TRIM(Q98),"'","''")&amp;"'")&amp;", p_id_marca_cilindro =&gt; "&amp;IF(TRIM(R98&amp;"")="","NULL","(SELECT lo.id FROM gen_lista_opciones lo JOIN gen_lista l ON l.id = lo.id_lista WHERE l.nombre = 'MarcaCilindro' AND upper(lo.nombre) = upper('"&amp;SUBSTITUTE(TRIM(R98),"'","''")&amp;"') AND lo.estado = 1 LIMIT 1)")&amp;", p_id_organo_inspector =&gt; "&amp;IF(TRIM(S98&amp;"")="","NULL","(SELECT lo.id FROM gen_lista_opciones lo JOIN gen_lista l ON l.id = lo.id_lista WHERE l.nombre = 'OrganoInspectorCilindro' AND upper(lo.nombre) = upper('"&amp;SUBSTITUTE(TRIM(S98),"'","''")&amp;"') AND lo.estado = 1 LIMIT 1)")&amp;", p_organo_inspector_no_aplica =&gt; "&amp;IF(S98="NO_APLICA","TRUE","FALSE")&amp;", p_presion_actual =&gt; "&amp;IF(T98&amp;""="","NULL",SUBSTITUTE(T98&amp;"",",","."))&amp;", p_tipo_valvula =&gt; "&amp;IF(TRIM(U98&amp;"")="","NULL","'"&amp;SUBSTITUTE(TRIM(U98),"'","''")&amp;"'")&amp;", p_libro_cilindro =&gt; "&amp;IF(TRIM(V98&amp;"")="","NULL","'"&amp;SUBSTITUTE(TRIM(V98),"'","''")&amp;"'")&amp;", p_pagina_libro =&gt; "&amp;IF(W98&amp;""="","NULL",SUBSTITUTE(W98&amp;"",",","."))&amp;", p_observacion =&gt; "&amp;IF(TRIM(X98&amp;"")="","NULL","'"&amp;SUBSTITUTE(TRIM(X98),"'","''")&amp;"'")&amp;") AS resultado_balon_"&amp;ROW()&amp;";")</f>
        <v/>
      </c>
    </row>
    <row r="99" ht="15.75" customHeight="1" s="64">
      <c r="A99" s="36" t="inlineStr">
        <is>
          <t>95</t>
        </is>
      </c>
      <c r="B99" s="25">
        <f>IF(AND(C99="",D99="",E99=""),"",IF(C99="","FALTA código balón",IF(D99="","FALTA tipo balón",IF(E99="","FALTA gas",IF(F99="","FALTA propietario",IF(AND(C99&lt;&gt;"",SUMPRODUCT(--($C$5:$C$1200=C99))&gt;1),"CÓDIGO BALÓN DUPLICADO",IF(AND(OR(UPPER(F99)="PLANTA",UPPER(F99)="CLIENTE"),G99=""),"FALTA doc propietario/planta",IF(AND(UPPER(F99)="PLANTA",G99="10175332796"),"PLANTA no puede ser RUC empresa","OK"))))))))</f>
        <v/>
      </c>
      <c r="C99" s="23" t="inlineStr">
        <is>
          <t>J25635046</t>
        </is>
      </c>
      <c r="D99" s="17" t="inlineStr">
        <is>
          <t>Nitrógeno 10 m³</t>
        </is>
      </c>
      <c r="E99" s="17" t="inlineStr">
        <is>
          <t>NITROGENO</t>
        </is>
      </c>
      <c r="F99" s="17" t="inlineStr">
        <is>
          <t>PLANTA</t>
        </is>
      </c>
      <c r="G99" s="23" t="inlineStr">
        <is>
          <t>20607948675</t>
        </is>
      </c>
      <c r="H99" s="25">
        <f t="array" ref="H99">IF(G99="","",IFERROR(IF(INDEX(Clientes!$D$5:$D$549,MATCH(G99,Clientes!$C$5:$C$549,0))&lt;&gt;"",INDEX(Clientes!$D$5:$D$549,MATCH(G99,Clientes!$C$5:$C$549,0)),TRIM(INDEX(Clientes!$E$5:$E$549,MATCH(G99,Clientes!$C$5:$C$549,0))&amp;" "&amp;INDEX(Clientes!$F$5:$F$549,MATCH(G99,Clientes!$C$5:$C$549,0)))),"NO EXISTE en Clientes"))</f>
        <v/>
      </c>
      <c r="I99" s="17" t="inlineStr">
        <is>
          <t>DISPONIBLE</t>
        </is>
      </c>
      <c r="J99" s="17" t="inlineStr">
        <is>
          <t>ALMACEN PRINCIPAL</t>
        </is>
      </c>
      <c r="K99" s="23" t="n"/>
      <c r="L99" s="25">
        <f t="array" ref="L99">IF(K99="","",IFERROR(IF(INDEX(Clientes!$D$5:$D$549,MATCH(K99,Clientes!$C$5:$C$549,0))&lt;&gt;"",INDEX(Clientes!$D$5:$D$549,MATCH(K99,Clientes!$C$5:$C$549,0)),TRIM(INDEX(Clientes!$E$5:$E$549,MATCH(K99,Clientes!$C$5:$C$549,0))&amp;" "&amp;INDEX(Clientes!$F$5:$F$549,MATCH(K99,Clientes!$C$5:$C$549,0)))),"NO EXISTE en Clientes"))</f>
        <v/>
      </c>
      <c r="M99" s="17" t="n"/>
      <c r="N99" s="17" t="n"/>
      <c r="O99" s="42" t="n"/>
      <c r="P99" s="39">
        <f>IF(O99&lt;&gt;"",DATE(YEAR(O99)+5,MONTH(O99),1),IF(AND(M99&lt;&gt;"",N99&lt;&gt;""),DATE(M99+5,N99,1),""))</f>
        <v/>
      </c>
      <c r="Q99" s="23" t="n"/>
      <c r="R99" s="17" t="n"/>
      <c r="S99" s="17" t="n"/>
      <c r="T99" s="17" t="n"/>
      <c r="U99" s="17" t="n"/>
      <c r="V99" s="23" t="n"/>
      <c r="W99" s="17" t="n"/>
      <c r="X99" s="17" t="n"/>
      <c r="Y99" s="28">
        <f>IF(B99&lt;&gt;"OK","","SELECT bal_crear_balon(p_codigo_balon =&gt; "&amp;IF(TRIM(C99&amp;"")="","NULL","'"&amp;SUBSTITUTE(TRIM(C99),"'","''")&amp;"'")&amp;", p_id_tipo_balon =&gt; "&amp;"(SELECT id FROM bal_tipo_balon WHERE upper(nombre) = upper('"&amp;SUBSTITUTE(TRIM(D99),"'","''")&amp;"') AND estado = 1 LIMIT 1)"&amp;", p_id_producto_gas =&gt; "&amp;"(SELECT id FROM pro_producto WHERE es_gas = TRUE AND upper(nombre) = upper('"&amp;SUBSTITUTE(TRIM(E99),"'","''")&amp;"') AND estado = 1 LIMIT 1)"&amp;", p_id_propietario =&gt; "&amp;IF(TRIM(F99&amp;"")="","NULL","(SELECT lo.id FROM gen_lista_opciones lo JOIN gen_lista l ON l.id = lo.id_lista WHERE l.nombre = 'PropietarioBalon' AND upper(lo.nombre) = upper('"&amp;SUBSTITUTE(TRIM(F99),"'","''")&amp;"') AND lo.estado = 1 LIMIT 1)")&amp;", p_id_cliente_propietario =&gt; "&amp;IF(F99="CLIENTE",IF(TRIM(G99&amp;"")="","NULL","(SELECT id FROM cli_clientes WHERE numero_documento = '"&amp;SUBSTITUTE(TRIM(G99),"'","''")&amp;"' AND estado = 1 LIMIT 1)"),"NULL")&amp;", p_id_planta =&gt; "&amp;IF(F99="PLANTA",IF(TRIM(G99&amp;"")="","NULL","(SELECT id FROM cli_clientes WHERE numero_documento = '"&amp;SUBSTITUTE(TRIM(G99),"'","''")&amp;"'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"&amp;IF(TRIM(J99&amp;"")="","NULL","(SELECT id FROM gen_almacen WHERE upper(nombre) = upper('"&amp;SUBSTITUTE(TRIM(J99),"'","''")&amp;"') AND estado = 1 LIMIT 1)")&amp;", p_id_cliente_ubicacion =&gt; "&amp;IF(TRIM(K99&amp;"")="","NULL","(SELECT id FROM cli_clientes WHERE numero_documento = '"&amp;SUBSTITUTE(TRIM(K99),"'","''")&amp;"' AND estado = 1 LIMIT 1)")&amp;", p_id_referencia =&gt; "&amp;IF(TRIM(J99&amp;"")&lt;&gt;"","(SELECT lo.id FROM gen_lista_opciones lo JOIN gen_lista l ON l.id = lo.id_lista WHERE l.nombre = 'ReferenciaCilindro' AND upper(lo.nombre) = 'ALMACEN' AND lo.estado = 1 LIMIT 1)",IF(TRIM(K99&amp;"")&lt;&gt;"","(SELECT lo.id FROM gen_lista_opciones lo JOIN gen_lista l ON l.id = lo.id_lista WHERE l.nombre = 'ReferenciaCilindro' AND upper(lo.nombre) = 'CLIENTE' AND lo.estado = 1 LIMIT 1)","NULL"))&amp;", p_anio_fabricacion =&gt; "&amp;IF(M99&amp;""="","NULL::smallint",M99&amp;"::smallint")&amp;", p_mes_fabricacion =&gt; "&amp;IF(N99&amp;""="","NULL::smallint",N99&amp;"::smallint")&amp;", p_fecha_ultima_prueba_hidrostatica =&gt; "&amp;IF(O99&amp;""="","NULL","'"&amp;YEAR(O99)&amp;"-"&amp;TEXT(MONTH(O99),"00")&amp;"-"&amp;TEXT(DAY(O99),"00")&amp;"'")&amp;", p_numero_serie =&gt; "&amp;IF(TRIM(Q99&amp;"")="","NULL","'"&amp;SUBSTITUTE(TRIM(Q99),"'","''")&amp;"'")&amp;", p_id_marca_cilindro =&gt; "&amp;IF(TRIM(R99&amp;"")="","NULL","(SELECT lo.id FROM gen_lista_opciones lo JOIN gen_lista l ON l.id = lo.id_lista WHERE l.nombre = 'MarcaCilindro' AND upper(lo.nombre) = upper('"&amp;SUBSTITUTE(TRIM(R99),"'","''")&amp;"') AND lo.estado = 1 LIMIT 1)")&amp;", p_id_organo_inspector =&gt; "&amp;IF(TRIM(S99&amp;"")="","NULL","(SELECT lo.id FROM gen_lista_opciones lo JOIN gen_lista l ON l.id = lo.id_lista WHERE l.nombre = 'OrganoInspectorCilindro' AND upper(lo.nombre) = upper('"&amp;SUBSTITUTE(TRIM(S99),"'","''")&amp;"') AND lo.estado = 1 LIMIT 1)")&amp;", p_organo_inspector_no_aplica =&gt; "&amp;IF(S99="NO_APLICA","TRUE","FALSE")&amp;", p_presion_actual =&gt; "&amp;IF(T99&amp;""="","NULL",SUBSTITUTE(T99&amp;"",",","."))&amp;", p_tipo_valvula =&gt; "&amp;IF(TRIM(U99&amp;"")="","NULL","'"&amp;SUBSTITUTE(TRIM(U99),"'","''")&amp;"'")&amp;", p_libro_cilindro =&gt; "&amp;IF(TRIM(V99&amp;"")="","NULL","'"&amp;SUBSTITUTE(TRIM(V99),"'","''")&amp;"'")&amp;", p_pagina_libro =&gt; "&amp;IF(W99&amp;""="","NULL",SUBSTITUTE(W99&amp;"",",","."))&amp;", p_observacion =&gt; "&amp;IF(TRIM(X99&amp;"")="","NULL","'"&amp;SUBSTITUTE(TRIM(X99),"'","''")&amp;"'")&amp;") AS resultado_balon_"&amp;ROW()&amp;";")</f>
        <v/>
      </c>
    </row>
    <row r="100" ht="15.75" customHeight="1" s="64">
      <c r="A100" s="36" t="inlineStr">
        <is>
          <t>96</t>
        </is>
      </c>
      <c r="B100" s="25">
        <f>IF(AND(C100="",D100="",E100=""),"",IF(C100="","FALTA código balón",IF(D100="","FALTA tipo balón",IF(E100="","FALTA gas",IF(F100="","FALTA propietario",IF(AND(C100&lt;&gt;"",SUMPRODUCT(--($C$5:$C$1200=C100))&gt;1),"CÓDIGO BALÓN DUPLICADO",IF(AND(OR(UPPER(F100)="PLANTA",UPPER(F100)="CLIENTE"),G100=""),"FALTA doc propietario/planta",IF(AND(UPPER(F100)="PLANTA",G100="10175332796"),"PLANTA no puede ser RUC empresa","OK"))))))))</f>
        <v/>
      </c>
      <c r="C100" s="23" t="inlineStr">
        <is>
          <t>J25635025</t>
        </is>
      </c>
      <c r="D100" s="17" t="inlineStr">
        <is>
          <t>Nitrógeno 10 m³</t>
        </is>
      </c>
      <c r="E100" s="17" t="inlineStr">
        <is>
          <t>NITROGENO</t>
        </is>
      </c>
      <c r="F100" s="17" t="inlineStr">
        <is>
          <t>PLANTA</t>
        </is>
      </c>
      <c r="G100" s="23" t="inlineStr">
        <is>
          <t>20607948675</t>
        </is>
      </c>
      <c r="H100" s="25">
        <f t="array" ref="H100">IF(G100="","",IFERROR(IF(INDEX(Clientes!$D$5:$D$549,MATCH(G100,Clientes!$C$5:$C$549,0))&lt;&gt;"",INDEX(Clientes!$D$5:$D$549,MATCH(G100,Clientes!$C$5:$C$549,0)),TRIM(INDEX(Clientes!$E$5:$E$549,MATCH(G100,Clientes!$C$5:$C$549,0))&amp;" "&amp;INDEX(Clientes!$F$5:$F$549,MATCH(G100,Clientes!$C$5:$C$549,0)))),"NO EXISTE en Clientes"))</f>
        <v/>
      </c>
      <c r="I100" s="17" t="inlineStr">
        <is>
          <t>DISPONIBLE</t>
        </is>
      </c>
      <c r="J100" s="17" t="inlineStr">
        <is>
          <t>ALMACEN PRINCIPAL</t>
        </is>
      </c>
      <c r="K100" s="23" t="n"/>
      <c r="L100" s="25">
        <f t="array" ref="L100">IF(K100="","",IFERROR(IF(INDEX(Clientes!$D$5:$D$549,MATCH(K100,Clientes!$C$5:$C$549,0))&lt;&gt;"",INDEX(Clientes!$D$5:$D$549,MATCH(K100,Clientes!$C$5:$C$549,0)),TRIM(INDEX(Clientes!$E$5:$E$549,MATCH(K100,Clientes!$C$5:$C$549,0))&amp;" "&amp;INDEX(Clientes!$F$5:$F$549,MATCH(K100,Clientes!$C$5:$C$549,0)))),"NO EXISTE en Clientes"))</f>
        <v/>
      </c>
      <c r="M100" s="17" t="n"/>
      <c r="N100" s="17" t="n"/>
      <c r="O100" s="42" t="n"/>
      <c r="P100" s="39">
        <f>IF(O100&lt;&gt;"",DATE(YEAR(O100)+5,MONTH(O100),1),IF(AND(M100&lt;&gt;"",N100&lt;&gt;""),DATE(M100+5,N100,1),""))</f>
        <v/>
      </c>
      <c r="Q100" s="23" t="n"/>
      <c r="R100" s="17" t="n"/>
      <c r="S100" s="17" t="n"/>
      <c r="T100" s="17" t="n"/>
      <c r="U100" s="17" t="n"/>
      <c r="V100" s="23" t="n"/>
      <c r="W100" s="17" t="n"/>
      <c r="X100" s="17" t="n"/>
      <c r="Y100" s="28">
        <f>IF(B100&lt;&gt;"OK","","SELECT bal_crear_balon(p_codigo_balon =&gt; "&amp;IF(TRIM(C100&amp;"")="","NULL","'"&amp;SUBSTITUTE(TRIM(C100),"'","''")&amp;"'")&amp;", p_id_tipo_balon =&gt; "&amp;"(SELECT id FROM bal_tipo_balon WHERE upper(nombre) = upper('"&amp;SUBSTITUTE(TRIM(D100),"'","''")&amp;"') AND estado = 1 LIMIT 1)"&amp;", p_id_producto_gas =&gt; "&amp;"(SELECT id FROM pro_producto WHERE es_gas = TRUE AND upper(nombre) = upper('"&amp;SUBSTITUTE(TRIM(E100),"'","''")&amp;"') AND estado = 1 LIMIT 1)"&amp;", p_id_propietario =&gt; "&amp;IF(TRIM(F100&amp;"")="","NULL","(SELECT lo.id FROM gen_lista_opciones lo JOIN gen_lista l ON l.id = lo.id_lista WHERE l.nombre = 'PropietarioBalon' AND upper(lo.nombre) = upper('"&amp;SUBSTITUTE(TRIM(F100),"'","''")&amp;"') AND lo.estado = 1 LIMIT 1)")&amp;", p_id_cliente_propietario =&gt; "&amp;IF(F100="CLIENTE",IF(TRIM(G100&amp;"")="","NULL","(SELECT id FROM cli_clientes WHERE numero_documento = '"&amp;SUBSTITUTE(TRIM(G100),"'","''")&amp;"' AND estado = 1 LIMIT 1)"),"NULL")&amp;", p_id_planta =&gt; "&amp;IF(F100="PLANTA",IF(TRIM(G100&amp;"")="","NULL","(SELECT id FROM cli_clientes WHERE numero_documento = '"&amp;SUBSTITUTE(TRIM(G100),"'","''")&amp;"'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"&amp;IF(TRIM(J100&amp;"")="","NULL","(SELECT id FROM gen_almacen WHERE upper(nombre) = upper('"&amp;SUBSTITUTE(TRIM(J100),"'","''")&amp;"') AND estado = 1 LIMIT 1)")&amp;", p_id_cliente_ubicacion =&gt; "&amp;IF(TRIM(K100&amp;"")="","NULL","(SELECT id FROM cli_clientes WHERE numero_documento = '"&amp;SUBSTITUTE(TRIM(K100),"'","''")&amp;"' AND estado = 1 LIMIT 1)")&amp;", p_id_referencia =&gt; "&amp;IF(TRIM(J100&amp;"")&lt;&gt;"","(SELECT lo.id FROM gen_lista_opciones lo JOIN gen_lista l ON l.id = lo.id_lista WHERE l.nombre = 'ReferenciaCilindro' AND upper(lo.nombre) = 'ALMACEN' AND lo.estado = 1 LIMIT 1)",IF(TRIM(K100&amp;"")&lt;&gt;"","(SELECT lo.id FROM gen_lista_opciones lo JOIN gen_lista l ON l.id = lo.id_lista WHERE l.nombre = 'ReferenciaCilindro' AND upper(lo.nombre) = 'CLIENTE' AND lo.estado = 1 LIMIT 1)","NULL"))&amp;", p_anio_fabricacion =&gt; "&amp;IF(M100&amp;""="","NULL::smallint",M100&amp;"::smallint")&amp;", p_mes_fabricacion =&gt; "&amp;IF(N100&amp;""="","NULL::smallint",N100&amp;"::smallint")&amp;", p_fecha_ultima_prueba_hidrostatica =&gt; "&amp;IF(O100&amp;""="","NULL","'"&amp;YEAR(O100)&amp;"-"&amp;TEXT(MONTH(O100),"00")&amp;"-"&amp;TEXT(DAY(O100),"00")&amp;"'")&amp;", p_numero_serie =&gt; "&amp;IF(TRIM(Q100&amp;"")="","NULL","'"&amp;SUBSTITUTE(TRIM(Q100),"'","''")&amp;"'")&amp;", p_id_marca_cilindro =&gt; "&amp;IF(TRIM(R100&amp;"")="","NULL","(SELECT lo.id FROM gen_lista_opciones lo JOIN gen_lista l ON l.id = lo.id_lista WHERE l.nombre = 'MarcaCilindro' AND upper(lo.nombre) = upper('"&amp;SUBSTITUTE(TRIM(R100),"'","''")&amp;"') AND lo.estado = 1 LIMIT 1)")&amp;", p_id_organo_inspector =&gt; "&amp;IF(TRIM(S100&amp;"")="","NULL","(SELECT lo.id FROM gen_lista_opciones lo JOIN gen_lista l ON l.id = lo.id_lista WHERE l.nombre = 'OrganoInspectorCilindro' AND upper(lo.nombre) = upper('"&amp;SUBSTITUTE(TRIM(S100),"'","''")&amp;"') AND lo.estado = 1 LIMIT 1)")&amp;", p_organo_inspector_no_aplica =&gt; "&amp;IF(S100="NO_APLICA","TRUE","FALSE")&amp;", p_presion_actual =&gt; "&amp;IF(T100&amp;""="","NULL",SUBSTITUTE(T100&amp;"",",","."))&amp;", p_tipo_valvula =&gt; "&amp;IF(TRIM(U100&amp;"")="","NULL","'"&amp;SUBSTITUTE(TRIM(U100),"'","''")&amp;"'")&amp;", p_libro_cilindro =&gt; "&amp;IF(TRIM(V100&amp;"")="","NULL","'"&amp;SUBSTITUTE(TRIM(V100),"'","''")&amp;"'")&amp;", p_pagina_libro =&gt; "&amp;IF(W100&amp;""="","NULL",SUBSTITUTE(W100&amp;"",",","."))&amp;", p_observacion =&gt; "&amp;IF(TRIM(X100&amp;"")="","NULL","'"&amp;SUBSTITUTE(TRIM(X100),"'","''")&amp;"'")&amp;") AS resultado_balon_"&amp;ROW()&amp;";")</f>
        <v/>
      </c>
    </row>
    <row r="101" ht="15.75" customHeight="1" s="64">
      <c r="A101" s="36" t="inlineStr">
        <is>
          <t>97</t>
        </is>
      </c>
      <c r="B101" s="25">
        <f>IF(AND(C101="",D101="",E101=""),"",IF(C101="","FALTA código balón",IF(D101="","FALTA tipo balón",IF(E101="","FALTA gas",IF(F101="","FALTA propietario",IF(AND(C101&lt;&gt;"",SUMPRODUCT(--($C$5:$C$1200=C101))&gt;1),"CÓDIGO BALÓN DUPLICADO",IF(AND(OR(UPPER(F101)="PLANTA",UPPER(F101)="CLIENTE"),G101=""),"FALTA doc propietario/planta",IF(AND(UPPER(F101)="PLANTA",G101="10175332796"),"PLANTA no puede ser RUC empresa","OK"))))))))</f>
        <v/>
      </c>
      <c r="C101" s="23" t="inlineStr">
        <is>
          <t>K4860045</t>
        </is>
      </c>
      <c r="D101" s="17" t="inlineStr">
        <is>
          <t>Nitrógeno 10 m³</t>
        </is>
      </c>
      <c r="E101" s="17" t="inlineStr">
        <is>
          <t>NITROGENO</t>
        </is>
      </c>
      <c r="F101" s="17" t="inlineStr">
        <is>
          <t>EMPRESA</t>
        </is>
      </c>
      <c r="G101" s="23" t="inlineStr">
        <is>
          <t>10175332796</t>
        </is>
      </c>
      <c r="H101" s="25">
        <f t="array" ref="H101">IF(G101="","",IFERROR(IF(INDEX(Clientes!$D$5:$D$549,MATCH(G101,Clientes!$C$5:$C$549,0))&lt;&gt;"",INDEX(Clientes!$D$5:$D$549,MATCH(G101,Clientes!$C$5:$C$549,0)),TRIM(INDEX(Clientes!$E$5:$E$549,MATCH(G101,Clientes!$C$5:$C$549,0))&amp;" "&amp;INDEX(Clientes!$F$5:$F$549,MATCH(G101,Clientes!$C$5:$C$549,0)))),"NO EXISTE en Clientes"))</f>
        <v/>
      </c>
      <c r="I101" s="17" t="inlineStr">
        <is>
          <t>DISPONIBLE</t>
        </is>
      </c>
      <c r="J101" s="17" t="inlineStr">
        <is>
          <t>ALMACEN PRINCIPAL</t>
        </is>
      </c>
      <c r="K101" s="23" t="n"/>
      <c r="L101" s="25">
        <f t="array" ref="L101">IF(K101="","",IFERROR(IF(INDEX(Clientes!$D$5:$D$549,MATCH(K101,Clientes!$C$5:$C$549,0))&lt;&gt;"",INDEX(Clientes!$D$5:$D$549,MATCH(K101,Clientes!$C$5:$C$549,0)),TRIM(INDEX(Clientes!$E$5:$E$549,MATCH(K101,Clientes!$C$5:$C$549,0))&amp;" "&amp;INDEX(Clientes!$F$5:$F$549,MATCH(K101,Clientes!$C$5:$C$549,0)))),"NO EXISTE en Clientes"))</f>
        <v/>
      </c>
      <c r="M101" s="17" t="n">
        <v>2025</v>
      </c>
      <c r="N101" s="17" t="n">
        <v>9</v>
      </c>
      <c r="O101" s="42" t="n">
        <v>45901</v>
      </c>
      <c r="P101" s="39">
        <f>IF(O101&lt;&gt;"",DATE(YEAR(O101)+10,MONTH(O101),1),IF(AND(M101&lt;&gt;"",N101&lt;&gt;""),DATE(M101+5,N101,1),""))</f>
        <v/>
      </c>
      <c r="Q101" s="23" t="n"/>
      <c r="R101" s="17" t="inlineStr">
        <is>
          <t>JD</t>
        </is>
      </c>
      <c r="S101" s="17" t="inlineStr">
        <is>
          <t>OTRO</t>
        </is>
      </c>
      <c r="T101" s="17" t="n">
        <v>2800</v>
      </c>
      <c r="U101" s="17" t="n"/>
      <c r="V101" s="23" t="n"/>
      <c r="W101" s="17" t="n"/>
      <c r="X101" s="17" t="inlineStr">
        <is>
          <t>PH LINDE</t>
        </is>
      </c>
      <c r="Y101" s="28">
        <f>IF(B101&lt;&gt;"OK","","SELECT bal_crear_balon(p_codigo_balon =&gt; "&amp;IF(TRIM(C101&amp;"")="","NULL","'"&amp;SUBSTITUTE(TRIM(C101),"'","''")&amp;"'")&amp;", p_id_tipo_balon =&gt; "&amp;"(SELECT id FROM bal_tipo_balon WHERE upper(nombre) = upper('"&amp;SUBSTITUTE(TRIM(D101),"'","''")&amp;"') AND estado = 1 LIMIT 1)"&amp;", p_id_producto_gas =&gt; "&amp;"(SELECT id FROM pro_producto WHERE es_gas = TRUE AND upper(nombre) = upper('"&amp;SUBSTITUTE(TRIM(E101),"'","''")&amp;"') AND estado = 1 LIMIT 1)"&amp;", p_id_propietario =&gt; "&amp;IF(TRIM(F101&amp;"")="","NULL","(SELECT lo.id FROM gen_lista_opciones lo JOIN gen_lista l ON l.id = lo.id_lista WHERE l.nombre = 'PropietarioBalon' AND upper(lo.nombre) = upper('"&amp;SUBSTITUTE(TRIM(F101),"'","''")&amp;"') AND lo.estado = 1 LIMIT 1)")&amp;", p_id_cliente_propietario =&gt; "&amp;IF(F101="CLIENTE",IF(TRIM(G101&amp;"")="","NULL","(SELECT id FROM cli_clientes WHERE numero_documento = '"&amp;SUBSTITUTE(TRIM(G101),"'","''")&amp;"' AND estado = 1 LIMIT 1)"),"NULL")&amp;", p_id_planta =&gt; "&amp;IF(F101="PLANTA",IF(TRIM(G101&amp;"")="","NULL","(SELECT id FROM cli_clientes WHERE numero_documento = '"&amp;SUBSTITUTE(TRIM(G101),"'","''")&amp;"'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"&amp;IF(TRIM(J101&amp;"")="","NULL","(SELECT id FROM gen_almacen WHERE upper(nombre) = upper('"&amp;SUBSTITUTE(TRIM(J101),"'","''")&amp;"') AND estado = 1 LIMIT 1)")&amp;", p_id_cliente_ubicacion =&gt; "&amp;IF(TRIM(K101&amp;"")="","NULL","(SELECT id FROM cli_clientes WHERE numero_documento = '"&amp;SUBSTITUTE(TRIM(K101),"'","''")&amp;"' AND estado = 1 LIMIT 1)")&amp;", p_id_referencia =&gt; "&amp;IF(TRIM(J101&amp;"")&lt;&gt;"","(SELECT lo.id FROM gen_lista_opciones lo JOIN gen_lista l ON l.id = lo.id_lista WHERE l.nombre = 'ReferenciaCilindro' AND upper(lo.nombre) = 'ALMACEN' AND lo.estado = 1 LIMIT 1)",IF(TRIM(K101&amp;"")&lt;&gt;"","(SELECT lo.id FROM gen_lista_opciones lo JOIN gen_lista l ON l.id = lo.id_lista WHERE l.nombre = 'ReferenciaCilindro' AND upper(lo.nombre) = 'CLIENTE' AND lo.estado = 1 LIMIT 1)","NULL"))&amp;", p_anio_fabricacion =&gt; "&amp;IF(M101&amp;""="","NULL::smallint",M101&amp;"::smallint")&amp;", p_mes_fabricacion =&gt; "&amp;IF(N101&amp;""="","NULL::smallint",N101&amp;"::smallint")&amp;", p_fecha_ultima_prueba_hidrostatica =&gt; "&amp;IF(O101&amp;""="","NULL","'"&amp;YEAR(O101)&amp;"-"&amp;TEXT(MONTH(O101),"00")&amp;"-"&amp;TEXT(DAY(O101),"00")&amp;"'")&amp;", p_numero_serie =&gt; "&amp;IF(TRIM(Q101&amp;"")="","NULL","'"&amp;SUBSTITUTE(TRIM(Q101),"'","''")&amp;"'")&amp;", p_id_marca_cilindro =&gt; "&amp;IF(TRIM(R101&amp;"")="","NULL","(SELECT lo.id FROM gen_lista_opciones lo JOIN gen_lista l ON l.id = lo.id_lista WHERE l.nombre = 'MarcaCilindro' AND upper(lo.nombre) = upper('"&amp;SUBSTITUTE(TRIM(R101),"'","''")&amp;"') AND lo.estado = 1 LIMIT 1)")&amp;", p_id_organo_inspector =&gt; "&amp;IF(TRIM(S101&amp;"")="","NULL","(SELECT lo.id FROM gen_lista_opciones lo JOIN gen_lista l ON l.id = lo.id_lista WHERE l.nombre = 'OrganoInspectorCilindro' AND upper(lo.nombre) = upper('"&amp;SUBSTITUTE(TRIM(S101),"'","''")&amp;"') AND lo.estado = 1 LIMIT 1)")&amp;", p_organo_inspector_no_aplica =&gt; "&amp;IF(S101="NO_APLICA","TRUE","FALSE")&amp;", p_presion_actual =&gt; "&amp;IF(T101&amp;""="","NULL",SUBSTITUTE(T101&amp;"",",","."))&amp;", p_tipo_valvula =&gt; "&amp;IF(TRIM(U101&amp;"")="","NULL","'"&amp;SUBSTITUTE(TRIM(U101),"'","''")&amp;"'")&amp;", p_libro_cilindro =&gt; "&amp;IF(TRIM(V101&amp;"")="","NULL","'"&amp;SUBSTITUTE(TRIM(V101),"'","''")&amp;"'")&amp;", p_pagina_libro =&gt; "&amp;IF(W101&amp;""="","NULL",SUBSTITUTE(W101&amp;"",",","."))&amp;", p_observacion =&gt; "&amp;IF(TRIM(X101&amp;"")="","NULL","'"&amp;SUBSTITUTE(TRIM(X101),"'","''")&amp;"'")&amp;") AS resultado_balon_"&amp;ROW()&amp;";")</f>
        <v/>
      </c>
    </row>
    <row r="102" ht="15.75" customHeight="1" s="64">
      <c r="A102" s="36" t="inlineStr">
        <is>
          <t>98</t>
        </is>
      </c>
      <c r="B102" s="25">
        <f>IF(AND(C102="",D102="",E102=""),"",IF(C102="","FALTA código balón",IF(D102="","FALTA tipo balón",IF(E102="","FALTA gas",IF(F102="","FALTA propietario",IF(AND(C102&lt;&gt;"",SUMPRODUCT(--($C$5:$C$1200=C102))&gt;1),"CÓDIGO BALÓN DUPLICADO",IF(AND(OR(UPPER(F102)="PLANTA",UPPER(F102)="CLIENTE"),G102=""),"FALTA doc propietario/planta",IF(AND(UPPER(F102)="PLANTA",G102="10175332796"),"PLANTA no puede ser RUC empresa","OK"))))))))</f>
        <v/>
      </c>
      <c r="C102" s="23" t="inlineStr">
        <is>
          <t>22K035053</t>
        </is>
      </c>
      <c r="D102" s="17" t="inlineStr">
        <is>
          <t>Nitrógeno 10 m³</t>
        </is>
      </c>
      <c r="E102" s="17" t="inlineStr">
        <is>
          <t>NITROGENO</t>
        </is>
      </c>
      <c r="F102" s="17" t="inlineStr">
        <is>
          <t>EMPRESA</t>
        </is>
      </c>
      <c r="G102" s="23" t="inlineStr">
        <is>
          <t>10175332796</t>
        </is>
      </c>
      <c r="H102" s="25">
        <f t="array" ref="H102">IF(G102="","",IFERROR(IF(INDEX(Clientes!$D$5:$D$549,MATCH(G102,Clientes!$C$5:$C$549,0))&lt;&gt;"",INDEX(Clientes!$D$5:$D$549,MATCH(G102,Clientes!$C$5:$C$549,0)),TRIM(INDEX(Clientes!$E$5:$E$549,MATCH(G102,Clientes!$C$5:$C$549,0))&amp;" "&amp;INDEX(Clientes!$F$5:$F$549,MATCH(G102,Clientes!$C$5:$C$549,0)))),"NO EXISTE en Clientes"))</f>
        <v/>
      </c>
      <c r="I102" s="17" t="inlineStr">
        <is>
          <t>DISPONIBLE</t>
        </is>
      </c>
      <c r="J102" s="17" t="inlineStr">
        <is>
          <t>ALMACEN PRINCIPAL</t>
        </is>
      </c>
      <c r="K102" s="23" t="n"/>
      <c r="L102" s="25">
        <f t="array" ref="L102">IF(K102="","",IFERROR(IF(INDEX(Clientes!$D$5:$D$549,MATCH(K102,Clientes!$C$5:$C$549,0))&lt;&gt;"",INDEX(Clientes!$D$5:$D$549,MATCH(K102,Clientes!$C$5:$C$549,0)),TRIM(INDEX(Clientes!$E$5:$E$549,MATCH(K102,Clientes!$C$5:$C$549,0))&amp;" "&amp;INDEX(Clientes!$F$5:$F$549,MATCH(K102,Clientes!$C$5:$C$549,0)))),"NO EXISTE en Clientes"))</f>
        <v/>
      </c>
      <c r="M102" s="17" t="n">
        <v>2022</v>
      </c>
      <c r="N102" s="17" t="n">
        <v>1</v>
      </c>
      <c r="O102" s="42" t="n">
        <v>44562</v>
      </c>
      <c r="P102" s="39">
        <f>IF(O102&lt;&gt;"",DATE(YEAR(O102)+10,MONTH(O102),1),IF(AND(M102&lt;&gt;"",N102&lt;&gt;""),DATE(M102+5,N102,1),""))</f>
        <v/>
      </c>
      <c r="Q102" s="23" t="n"/>
      <c r="R102" s="17" t="inlineStr">
        <is>
          <t>JP</t>
        </is>
      </c>
      <c r="S102" s="17" t="inlineStr">
        <is>
          <t>OTRO</t>
        </is>
      </c>
      <c r="T102" s="17" t="n">
        <v>2800</v>
      </c>
      <c r="U102" s="17" t="n"/>
      <c r="V102" s="23" t="n"/>
      <c r="W102" s="17" t="n"/>
      <c r="X102" s="17" t="n"/>
      <c r="Y102" s="28">
        <f>IF(B102&lt;&gt;"OK","","SELECT bal_crear_balon(p_codigo_balon =&gt; "&amp;IF(TRIM(C102&amp;"")="","NULL","'"&amp;SUBSTITUTE(TRIM(C102),"'","''")&amp;"'")&amp;", p_id_tipo_balon =&gt; "&amp;"(SELECT id FROM bal_tipo_balon WHERE upper(nombre) = upper('"&amp;SUBSTITUTE(TRIM(D102),"'","''")&amp;"') AND estado = 1 LIMIT 1)"&amp;", p_id_producto_gas =&gt; "&amp;"(SELECT id FROM pro_producto WHERE es_gas = TRUE AND upper(nombre) = upper('"&amp;SUBSTITUTE(TRIM(E102),"'","''")&amp;"') AND estado = 1 LIMIT 1)"&amp;", p_id_propietario =&gt; "&amp;IF(TRIM(F102&amp;"")="","NULL","(SELECT lo.id FROM gen_lista_opciones lo JOIN gen_lista l ON l.id = lo.id_lista WHERE l.nombre = 'PropietarioBalon' AND upper(lo.nombre) = upper('"&amp;SUBSTITUTE(TRIM(F102),"'","''")&amp;"') AND lo.estado = 1 LIMIT 1)")&amp;", p_id_cliente_propietario =&gt; "&amp;IF(F102="CLIENTE",IF(TRIM(G102&amp;"")="","NULL","(SELECT id FROM cli_clientes WHERE numero_documento = '"&amp;SUBSTITUTE(TRIM(G102),"'","''")&amp;"' AND estado = 1 LIMIT 1)"),"NULL")&amp;", p_id_planta =&gt; "&amp;IF(F102="PLANTA",IF(TRIM(G102&amp;"")="","NULL","(SELECT id FROM cli_clientes WHERE numero_documento = '"&amp;SUBSTITUTE(TRIM(G102),"'","''")&amp;"'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"&amp;IF(TRIM(J102&amp;"")="","NULL","(SELECT id FROM gen_almacen WHERE upper(nombre) = upper('"&amp;SUBSTITUTE(TRIM(J102),"'","''")&amp;"') AND estado = 1 LIMIT 1)")&amp;", p_id_cliente_ubicacion =&gt; "&amp;IF(TRIM(K102&amp;"")="","NULL","(SELECT id FROM cli_clientes WHERE numero_documento = '"&amp;SUBSTITUTE(TRIM(K102),"'","''")&amp;"' AND estado = 1 LIMIT 1)")&amp;", p_id_referencia =&gt; "&amp;IF(TRIM(J102&amp;"")&lt;&gt;"","(SELECT lo.id FROM gen_lista_opciones lo JOIN gen_lista l ON l.id = lo.id_lista WHERE l.nombre = 'ReferenciaCilindro' AND upper(lo.nombre) = 'ALMACEN' AND lo.estado = 1 LIMIT 1)",IF(TRIM(K102&amp;"")&lt;&gt;"","(SELECT lo.id FROM gen_lista_opciones lo JOIN gen_lista l ON l.id = lo.id_lista WHERE l.nombre = 'ReferenciaCilindro' AND upper(lo.nombre) = 'CLIENTE' AND lo.estado = 1 LIMIT 1)","NULL"))&amp;", p_anio_fabricacion =&gt; "&amp;IF(M102&amp;""="","NULL::smallint",M102&amp;"::smallint")&amp;", p_mes_fabricacion =&gt; "&amp;IF(N102&amp;""="","NULL::smallint",N102&amp;"::smallint")&amp;", p_fecha_ultima_prueba_hidrostatica =&gt; "&amp;IF(O102&amp;""="","NULL","'"&amp;YEAR(O102)&amp;"-"&amp;TEXT(MONTH(O102),"00")&amp;"-"&amp;TEXT(DAY(O102),"00")&amp;"'")&amp;", p_numero_serie =&gt; "&amp;IF(TRIM(Q102&amp;"")="","NULL","'"&amp;SUBSTITUTE(TRIM(Q102),"'","''")&amp;"'")&amp;", p_id_marca_cilindro =&gt; "&amp;IF(TRIM(R102&amp;"")="","NULL","(SELECT lo.id FROM gen_lista_opciones lo JOIN gen_lista l ON l.id = lo.id_lista WHERE l.nombre = 'MarcaCilindro' AND upper(lo.nombre) = upper('"&amp;SUBSTITUTE(TRIM(R102),"'","''")&amp;"') AND lo.estado = 1 LIMIT 1)")&amp;", p_id_organo_inspector =&gt; "&amp;IF(TRIM(S102&amp;"")="","NULL","(SELECT lo.id FROM gen_lista_opciones lo JOIN gen_lista l ON l.id = lo.id_lista WHERE l.nombre = 'OrganoInspectorCilindro' AND upper(lo.nombre) = upper('"&amp;SUBSTITUTE(TRIM(S102),"'","''")&amp;"') AND lo.estado = 1 LIMIT 1)")&amp;", p_organo_inspector_no_aplica =&gt; "&amp;IF(S102="NO_APLICA","TRUE","FALSE")&amp;", p_presion_actual =&gt; "&amp;IF(T102&amp;""="","NULL",SUBSTITUTE(T102&amp;"",",","."))&amp;", p_tipo_valvula =&gt; "&amp;IF(TRIM(U102&amp;"")="","NULL","'"&amp;SUBSTITUTE(TRIM(U102),"'","''")&amp;"'")&amp;", p_libro_cilindro =&gt; "&amp;IF(TRIM(V102&amp;"")="","NULL","'"&amp;SUBSTITUTE(TRIM(V102),"'","''")&amp;"'")&amp;", p_pagina_libro =&gt; "&amp;IF(W102&amp;""="","NULL",SUBSTITUTE(W102&amp;"",",","."))&amp;", p_observacion =&gt; "&amp;IF(TRIM(X102&amp;"")="","NULL","'"&amp;SUBSTITUTE(TRIM(X102),"'","''")&amp;"'")&amp;") AS resultado_balon_"&amp;ROW()&amp;";")</f>
        <v/>
      </c>
    </row>
    <row r="103" ht="15.75" customHeight="1" s="64">
      <c r="A103" s="36" t="inlineStr">
        <is>
          <t>99</t>
        </is>
      </c>
      <c r="B103" s="25">
        <f>IF(AND(C103="",D103="",E103=""),"",IF(C103="","FALTA código balón",IF(D103="","FALTA tipo balón",IF(E103="","FALTA gas",IF(F103="","FALTA propietario",IF(AND(C103&lt;&gt;"",SUMPRODUCT(--($C$5:$C$1200=C103))&gt;1),"CÓDIGO BALÓN DUPLICADO",IF(AND(OR(UPPER(F103)="PLANTA",UPPER(F103)="CLIENTE"),G103=""),"FALTA doc propietario/planta",IF(AND(UPPER(F103)="PLANTA",G103="10175332796"),"PLANTA no puede ser RUC empresa","OK"))))))))</f>
        <v/>
      </c>
      <c r="C103" s="23" t="inlineStr">
        <is>
          <t>21Y592193</t>
        </is>
      </c>
      <c r="D103" s="17" t="inlineStr">
        <is>
          <t>Nitrógeno 10 m³</t>
        </is>
      </c>
      <c r="E103" s="17" t="inlineStr">
        <is>
          <t>NITROGENO</t>
        </is>
      </c>
      <c r="F103" s="17" t="inlineStr">
        <is>
          <t>CLIENTE</t>
        </is>
      </c>
      <c r="G103" s="26" t="inlineStr">
        <is>
          <t>20480725931</t>
        </is>
      </c>
      <c r="H103" s="25">
        <f t="array" ref="H103">IF(G103="","",IFERROR(IF(INDEX(Clientes!$D$5:$D$549,MATCH(G103,Clientes!$C$5:$C$549,0))&lt;&gt;"",INDEX(Clientes!$D$5:$D$549,MATCH(G103,Clientes!$C$5:$C$549,0)),TRIM(INDEX(Clientes!$E$5:$E$549,MATCH(G103,Clientes!$C$5:$C$549,0))&amp;" "&amp;INDEX(Clientes!$F$5:$F$549,MATCH(G103,Clientes!$C$5:$C$549,0)))),"NO EXISTE en Clientes"))</f>
        <v/>
      </c>
      <c r="I103" s="17" t="inlineStr">
        <is>
          <t>DISPONIBLE</t>
        </is>
      </c>
      <c r="J103" s="17" t="inlineStr">
        <is>
          <t>ALMACEN PRINCIPAL</t>
        </is>
      </c>
      <c r="K103" s="23" t="n"/>
      <c r="L103" s="25">
        <f t="array" ref="L103">IF(K103="","",IFERROR(IF(INDEX(Clientes!$D$5:$D$549,MATCH(K103,Clientes!$C$5:$C$549,0))&lt;&gt;"",INDEX(Clientes!$D$5:$D$549,MATCH(K103,Clientes!$C$5:$C$549,0)),TRIM(INDEX(Clientes!$E$5:$E$549,MATCH(K103,Clientes!$C$5:$C$549,0))&amp;" "&amp;INDEX(Clientes!$F$5:$F$549,MATCH(K103,Clientes!$C$5:$C$549,0)))),"NO EXISTE en Clientes"))</f>
        <v/>
      </c>
      <c r="M103" s="17" t="n"/>
      <c r="N103" s="17" t="n"/>
      <c r="O103" s="42" t="n"/>
      <c r="P103" s="39">
        <f>IF(O103&lt;&gt;"",DATE(YEAR(O103)+10,MONTH(O103),1),IF(AND(M103&lt;&gt;"",N103&lt;&gt;""),DATE(M103+5,N103,1),""))</f>
        <v/>
      </c>
      <c r="Q103" s="23" t="n"/>
      <c r="R103" s="17" t="n"/>
      <c r="S103" s="17" t="n"/>
      <c r="T103" s="17" t="n"/>
      <c r="U103" s="17" t="n"/>
      <c r="V103" s="23" t="n"/>
      <c r="W103" s="17" t="n"/>
      <c r="X103" s="17" t="n"/>
      <c r="Y103" s="28">
        <f>IF(B103&lt;&gt;"OK","","SELECT bal_crear_balon(p_codigo_balon =&gt; "&amp;IF(TRIM(C103&amp;"")="","NULL","'"&amp;SUBSTITUTE(TRIM(C103),"'","''")&amp;"'")&amp;", p_id_tipo_balon =&gt; "&amp;"(SELECT id FROM bal_tipo_balon WHERE upper(nombre) = upper('"&amp;SUBSTITUTE(TRIM(D103),"'","''")&amp;"') AND estado = 1 LIMIT 1)"&amp;", p_id_producto_gas =&gt; "&amp;"(SELECT id FROM pro_producto WHERE es_gas = TRUE AND upper(nombre) = upper('"&amp;SUBSTITUTE(TRIM(E103),"'","''")&amp;"') AND estado = 1 LIMIT 1)"&amp;", p_id_propietario =&gt; "&amp;IF(TRIM(F103&amp;"")="","NULL","(SELECT lo.id FROM gen_lista_opciones lo JOIN gen_lista l ON l.id = lo.id_lista WHERE l.nombre = 'PropietarioBalon' AND upper(lo.nombre) = upper('"&amp;SUBSTITUTE(TRIM(F103),"'","''")&amp;"') AND lo.estado = 1 LIMIT 1)")&amp;", p_id_cliente_propietario =&gt; "&amp;IF(F103="CLIENTE",IF(TRIM(G103&amp;"")="","NULL","(SELECT id FROM cli_clientes WHERE numero_documento = '"&amp;SUBSTITUTE(TRIM(G103),"'","''")&amp;"' AND estado = 1 LIMIT 1)"),"NULL")&amp;", p_id_planta =&gt; "&amp;IF(F103="PLANTA",IF(TRIM(G103&amp;"")="","NULL","(SELECT id FROM cli_clientes WHERE numero_documento = '"&amp;SUBSTITUTE(TRIM(G103),"'","''")&amp;"'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"&amp;IF(TRIM(J103&amp;"")="","NULL","(SELECT id FROM gen_almacen WHERE upper(nombre) = upper('"&amp;SUBSTITUTE(TRIM(J103),"'","''")&amp;"') AND estado = 1 LIMIT 1)")&amp;", p_id_cliente_ubicacion =&gt; "&amp;IF(TRIM(K103&amp;"")="","NULL","(SELECT id FROM cli_clientes WHERE numero_documento = '"&amp;SUBSTITUTE(TRIM(K103),"'","''")&amp;"' AND estado = 1 LIMIT 1)")&amp;", p_id_referencia =&gt; "&amp;IF(TRIM(J103&amp;"")&lt;&gt;"","(SELECT lo.id FROM gen_lista_opciones lo JOIN gen_lista l ON l.id = lo.id_lista WHERE l.nombre = 'ReferenciaCilindro' AND upper(lo.nombre) = 'ALMACEN' AND lo.estado = 1 LIMIT 1)",IF(TRIM(K103&amp;"")&lt;&gt;"","(SELECT lo.id FROM gen_lista_opciones lo JOIN gen_lista l ON l.id = lo.id_lista WHERE l.nombre = 'ReferenciaCilindro' AND upper(lo.nombre) = 'CLIENTE' AND lo.estado = 1 LIMIT 1)","NULL"))&amp;", p_anio_fabricacion =&gt; "&amp;IF(M103&amp;""="","NULL::smallint",M103&amp;"::smallint")&amp;", p_mes_fabricacion =&gt; "&amp;IF(N103&amp;""="","NULL::smallint",N103&amp;"::smallint")&amp;", p_fecha_ultima_prueba_hidrostatica =&gt; "&amp;IF(O103&amp;""="","NULL","'"&amp;YEAR(O103)&amp;"-"&amp;TEXT(MONTH(O103),"00")&amp;"-"&amp;TEXT(DAY(O103),"00")&amp;"'")&amp;", p_numero_serie =&gt; "&amp;IF(TRIM(Q103&amp;"")="","NULL","'"&amp;SUBSTITUTE(TRIM(Q103),"'","''")&amp;"'")&amp;", p_id_marca_cilindro =&gt; "&amp;IF(TRIM(R103&amp;"")="","NULL","(SELECT lo.id FROM gen_lista_opciones lo JOIN gen_lista l ON l.id = lo.id_lista WHERE l.nombre = 'MarcaCilindro' AND upper(lo.nombre) = upper('"&amp;SUBSTITUTE(TRIM(R103),"'","''")&amp;"') AND lo.estado = 1 LIMIT 1)")&amp;", p_id_organo_inspector =&gt; "&amp;IF(TRIM(S103&amp;"")="","NULL","(SELECT lo.id FROM gen_lista_opciones lo JOIN gen_lista l ON l.id = lo.id_lista WHERE l.nombre = 'OrganoInspectorCilindro' AND upper(lo.nombre) = upper('"&amp;SUBSTITUTE(TRIM(S103),"'","''")&amp;"') AND lo.estado = 1 LIMIT 1)")&amp;", p_organo_inspector_no_aplica =&gt; "&amp;IF(S103="NO_APLICA","TRUE","FALSE")&amp;", p_presion_actual =&gt; "&amp;IF(T103&amp;""="","NULL",SUBSTITUTE(T103&amp;"",",","."))&amp;", p_tipo_valvula =&gt; "&amp;IF(TRIM(U103&amp;"")="","NULL","'"&amp;SUBSTITUTE(TRIM(U103),"'","''")&amp;"'")&amp;", p_libro_cilindro =&gt; "&amp;IF(TRIM(V103&amp;"")="","NULL","'"&amp;SUBSTITUTE(TRIM(V103),"'","''")&amp;"'")&amp;", p_pagina_libro =&gt; "&amp;IF(W103&amp;""="","NULL",SUBSTITUTE(W103&amp;"",",","."))&amp;", p_observacion =&gt; "&amp;IF(TRIM(X103&amp;"")="","NULL","'"&amp;SUBSTITUTE(TRIM(X103),"'","''")&amp;"'")&amp;") AS resultado_balon_"&amp;ROW()&amp;";")</f>
        <v/>
      </c>
    </row>
    <row r="104" ht="15.75" customHeight="1" s="64">
      <c r="A104" s="36" t="inlineStr">
        <is>
          <t>100</t>
        </is>
      </c>
      <c r="B104" s="25">
        <f>IF(AND(C104="",D104="",E104=""),"",IF(C104="","FALTA código balón",IF(D104="","FALTA tipo balón",IF(E104="","FALTA gas",IF(F104="","FALTA propietario",IF(AND(C104&lt;&gt;"",SUMPRODUCT(--($C$5:$C$1200=C104))&gt;1),"CÓDIGO BALÓN DUPLICADO",IF(AND(OR(UPPER(F104)="PLANTA",UPPER(F104)="CLIENTE"),G104=""),"FALTA doc propietario/planta",IF(AND(UPPER(F104)="PLANTA",G104="10175332796"),"PLANTA no puede ser RUC empresa","OK"))))))))</f>
        <v/>
      </c>
      <c r="C104" s="23" t="inlineStr">
        <is>
          <t>K4780017</t>
        </is>
      </c>
      <c r="D104" s="17" t="inlineStr">
        <is>
          <t>Nitrógeno 10 m³</t>
        </is>
      </c>
      <c r="E104" s="17" t="inlineStr">
        <is>
          <t>NITROGENO</t>
        </is>
      </c>
      <c r="F104" s="17" t="inlineStr">
        <is>
          <t>EMPRESA</t>
        </is>
      </c>
      <c r="G104" s="23" t="inlineStr">
        <is>
          <t>10175332796</t>
        </is>
      </c>
      <c r="H104" s="25">
        <f t="array" ref="H104">IF(G104="","",IFERROR(IF(INDEX(Clientes!$D$5:$D$549,MATCH(G104,Clientes!$C$5:$C$549,0))&lt;&gt;"",INDEX(Clientes!$D$5:$D$549,MATCH(G104,Clientes!$C$5:$C$549,0)),TRIM(INDEX(Clientes!$E$5:$E$549,MATCH(G104,Clientes!$C$5:$C$549,0))&amp;" "&amp;INDEX(Clientes!$F$5:$F$549,MATCH(G104,Clientes!$C$5:$C$549,0)))),"NO EXISTE en Clientes"))</f>
        <v/>
      </c>
      <c r="I104" s="17" t="inlineStr">
        <is>
          <t>DISPONIBLE</t>
        </is>
      </c>
      <c r="J104" s="17" t="inlineStr">
        <is>
          <t>ALMACEN PRINCIPAL</t>
        </is>
      </c>
      <c r="K104" s="23" t="n"/>
      <c r="L104" s="25">
        <f t="array" ref="L104">IF(K104="","",IFERROR(IF(INDEX(Clientes!$D$5:$D$549,MATCH(K104,Clientes!$C$5:$C$549,0))&lt;&gt;"",INDEX(Clientes!$D$5:$D$549,MATCH(K104,Clientes!$C$5:$C$549,0)),TRIM(INDEX(Clientes!$E$5:$E$549,MATCH(K104,Clientes!$C$5:$C$549,0))&amp;" "&amp;INDEX(Clientes!$F$5:$F$549,MATCH(K104,Clientes!$C$5:$C$549,0)))),"NO EXISTE en Clientes"))</f>
        <v/>
      </c>
      <c r="M104" s="17" t="n">
        <v>2026</v>
      </c>
      <c r="N104" s="17" t="n">
        <v>4</v>
      </c>
      <c r="O104" s="42" t="n">
        <v>46113</v>
      </c>
      <c r="P104" s="39">
        <f>IF(O104&lt;&gt;"",DATE(YEAR(O104)+10,MONTH(O104),1),IF(AND(M104&lt;&gt;"",N104&lt;&gt;""),DATE(M104+5,N104,1),""))</f>
        <v/>
      </c>
      <c r="Q104" s="23" t="n"/>
      <c r="R104" s="17" t="inlineStr">
        <is>
          <t>YA</t>
        </is>
      </c>
      <c r="S104" s="17" t="inlineStr">
        <is>
          <t>TS</t>
        </is>
      </c>
      <c r="T104" s="17" t="n">
        <v>2800</v>
      </c>
      <c r="U104" s="17" t="n"/>
      <c r="V104" s="23" t="n"/>
      <c r="W104" s="17" t="n"/>
      <c r="X104" s="17" t="n"/>
      <c r="Y104" s="28">
        <f>IF(B104&lt;&gt;"OK","","SELECT bal_crear_balon(p_codigo_balon =&gt; "&amp;IF(TRIM(C104&amp;"")="","NULL","'"&amp;SUBSTITUTE(TRIM(C104),"'","''")&amp;"'")&amp;", p_id_tipo_balon =&gt; "&amp;"(SELECT id FROM bal_tipo_balon WHERE upper(nombre) = upper('"&amp;SUBSTITUTE(TRIM(D104),"'","''")&amp;"') AND estado = 1 LIMIT 1)"&amp;", p_id_producto_gas =&gt; "&amp;"(SELECT id FROM pro_producto WHERE es_gas = TRUE AND upper(nombre) = upper('"&amp;SUBSTITUTE(TRIM(E104),"'","''")&amp;"') AND estado = 1 LIMIT 1)"&amp;", p_id_propietario =&gt; "&amp;IF(TRIM(F104&amp;"")="","NULL","(SELECT lo.id FROM gen_lista_opciones lo JOIN gen_lista l ON l.id = lo.id_lista WHERE l.nombre = 'PropietarioBalon' AND upper(lo.nombre) = upper('"&amp;SUBSTITUTE(TRIM(F104),"'","''")&amp;"') AND lo.estado = 1 LIMIT 1)")&amp;", p_id_cliente_propietario =&gt; "&amp;IF(F104="CLIENTE",IF(TRIM(G104&amp;"")="","NULL","(SELECT id FROM cli_clientes WHERE numero_documento = '"&amp;SUBSTITUTE(TRIM(G104),"'","''")&amp;"' AND estado = 1 LIMIT 1)"),"NULL")&amp;", p_id_planta =&gt; "&amp;IF(F104="PLANTA",IF(TRIM(G104&amp;"")="","NULL","(SELECT id FROM cli_clientes WHERE numero_documento = '"&amp;SUBSTITUTE(TRIM(G104),"'","''")&amp;"'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"&amp;IF(TRIM(J104&amp;"")="","NULL","(SELECT id FROM gen_almacen WHERE upper(nombre) = upper('"&amp;SUBSTITUTE(TRIM(J104),"'","''")&amp;"') AND estado = 1 LIMIT 1)")&amp;", p_id_cliente_ubicacion =&gt; "&amp;IF(TRIM(K104&amp;"")="","NULL","(SELECT id FROM cli_clientes WHERE numero_documento = '"&amp;SUBSTITUTE(TRIM(K104),"'","''")&amp;"' AND estado = 1 LIMIT 1)")&amp;", p_id_referencia =&gt; "&amp;IF(TRIM(J104&amp;"")&lt;&gt;"","(SELECT lo.id FROM gen_lista_opciones lo JOIN gen_lista l ON l.id = lo.id_lista WHERE l.nombre = 'ReferenciaCilindro' AND upper(lo.nombre) = 'ALMACEN' AND lo.estado = 1 LIMIT 1)",IF(TRIM(K104&amp;"")&lt;&gt;"","(SELECT lo.id FROM gen_lista_opciones lo JOIN gen_lista l ON l.id = lo.id_lista WHERE l.nombre = 'ReferenciaCilindro' AND upper(lo.nombre) = 'CLIENTE' AND lo.estado = 1 LIMIT 1)","NULL"))&amp;", p_anio_fabricacion =&gt; "&amp;IF(M104&amp;""="","NULL::smallint",M104&amp;"::smallint")&amp;", p_mes_fabricacion =&gt; "&amp;IF(N104&amp;""="","NULL::smallint",N104&amp;"::smallint")&amp;", p_fecha_ultima_prueba_hidrostatica =&gt; "&amp;IF(O104&amp;""="","NULL","'"&amp;YEAR(O104)&amp;"-"&amp;TEXT(MONTH(O104),"00")&amp;"-"&amp;TEXT(DAY(O104),"00")&amp;"'")&amp;", p_numero_serie =&gt; "&amp;IF(TRIM(Q104&amp;"")="","NULL","'"&amp;SUBSTITUTE(TRIM(Q104),"'","''")&amp;"'")&amp;", p_id_marca_cilindro =&gt; "&amp;IF(TRIM(R104&amp;"")="","NULL","(SELECT lo.id FROM gen_lista_opciones lo JOIN gen_lista l ON l.id = lo.id_lista WHERE l.nombre = 'MarcaCilindro' AND upper(lo.nombre) = upper('"&amp;SUBSTITUTE(TRIM(R104),"'","''")&amp;"') AND lo.estado = 1 LIMIT 1)")&amp;", p_id_organo_inspector =&gt; "&amp;IF(TRIM(S104&amp;"")="","NULL","(SELECT lo.id FROM gen_lista_opciones lo JOIN gen_lista l ON l.id = lo.id_lista WHERE l.nombre = 'OrganoInspectorCilindro' AND upper(lo.nombre) = upper('"&amp;SUBSTITUTE(TRIM(S104),"'","''")&amp;"') AND lo.estado = 1 LIMIT 1)")&amp;", p_organo_inspector_no_aplica =&gt; "&amp;IF(S104="NO_APLICA","TRUE","FALSE")&amp;", p_presion_actual =&gt; "&amp;IF(T104&amp;""="","NULL",SUBSTITUTE(T104&amp;"",",","."))&amp;", p_tipo_valvula =&gt; "&amp;IF(TRIM(U104&amp;"")="","NULL","'"&amp;SUBSTITUTE(TRIM(U104),"'","''")&amp;"'")&amp;", p_libro_cilindro =&gt; "&amp;IF(TRIM(V104&amp;"")="","NULL","'"&amp;SUBSTITUTE(TRIM(V104),"'","''")&amp;"'")&amp;", p_pagina_libro =&gt; "&amp;IF(W104&amp;""="","NULL",SUBSTITUTE(W104&amp;"",",","."))&amp;", p_observacion =&gt; "&amp;IF(TRIM(X104&amp;"")="","NULL","'"&amp;SUBSTITUTE(TRIM(X104),"'","''")&amp;"'")&amp;") AS resultado_balon_"&amp;ROW()&amp;";")</f>
        <v/>
      </c>
    </row>
    <row r="105" ht="15.75" customHeight="1" s="64">
      <c r="A105" s="36" t="inlineStr">
        <is>
          <t>101</t>
        </is>
      </c>
      <c r="B105" s="25">
        <f>IF(AND(C105="",D105="",E105=""),"",IF(C105="","FALTA código balón",IF(D105="","FALTA tipo balón",IF(E105="","FALTA gas",IF(F105="","FALTA propietario",IF(AND(C105&lt;&gt;"",SUMPRODUCT(--($C$5:$C$1200=C105))&gt;1),"CÓDIGO BALÓN DUPLICADO",IF(AND(OR(UPPER(F105)="PLANTA",UPPER(F105)="CLIENTE"),G105=""),"FALTA doc propietario/planta",IF(AND(UPPER(F105)="PLANTA",G105="10175332796"),"PLANTA no puede ser RUC empresa","OK"))))))))</f>
        <v/>
      </c>
      <c r="C105" s="23" t="inlineStr">
        <is>
          <t>J25055143</t>
        </is>
      </c>
      <c r="D105" s="17" t="inlineStr">
        <is>
          <t>Nitrógeno 10 m³</t>
        </is>
      </c>
      <c r="E105" s="17" t="inlineStr">
        <is>
          <t>NITROGENO</t>
        </is>
      </c>
      <c r="F105" s="17" t="inlineStr">
        <is>
          <t>PLANTA</t>
        </is>
      </c>
      <c r="G105" s="23" t="inlineStr">
        <is>
          <t>20607948675</t>
        </is>
      </c>
      <c r="H105" s="25">
        <f t="array" ref="H105">IF(G105="","",IFERROR(IF(INDEX(Clientes!$D$5:$D$549,MATCH(G105,Clientes!$C$5:$C$549,0))&lt;&gt;"",INDEX(Clientes!$D$5:$D$549,MATCH(G105,Clientes!$C$5:$C$549,0)),TRIM(INDEX(Clientes!$E$5:$E$549,MATCH(G105,Clientes!$C$5:$C$549,0))&amp;" "&amp;INDEX(Clientes!$F$5:$F$549,MATCH(G105,Clientes!$C$5:$C$549,0)))),"NO EXISTE en Clientes"))</f>
        <v/>
      </c>
      <c r="I105" s="17" t="inlineStr">
        <is>
          <t>DISPONIBLE</t>
        </is>
      </c>
      <c r="J105" s="17" t="inlineStr">
        <is>
          <t>ALMACEN PRINCIPAL</t>
        </is>
      </c>
      <c r="K105" s="23" t="n"/>
      <c r="L105" s="25">
        <f t="array" ref="L105">IF(K105="","",IFERROR(IF(INDEX(Clientes!$D$5:$D$549,MATCH(K105,Clientes!$C$5:$C$549,0))&lt;&gt;"",INDEX(Clientes!$D$5:$D$549,MATCH(K105,Clientes!$C$5:$C$549,0)),TRIM(INDEX(Clientes!$E$5:$E$549,MATCH(K105,Clientes!$C$5:$C$549,0))&amp;" "&amp;INDEX(Clientes!$F$5:$F$549,MATCH(K105,Clientes!$C$5:$C$549,0)))),"NO EXISTE en Clientes"))</f>
        <v/>
      </c>
      <c r="M105" s="17" t="n"/>
      <c r="N105" s="17" t="n"/>
      <c r="O105" s="42" t="n"/>
      <c r="P105" s="39">
        <f>IF(O105&lt;&gt;"",DATE(YEAR(O105)+10,MONTH(O105),1),IF(AND(M105&lt;&gt;"",N105&lt;&gt;""),DATE(M105+5,N105,1),""))</f>
        <v/>
      </c>
      <c r="Q105" s="23" t="n"/>
      <c r="R105" s="17" t="n"/>
      <c r="S105" s="17" t="n"/>
      <c r="T105" s="17" t="n"/>
      <c r="U105" s="17" t="n"/>
      <c r="V105" s="23" t="n"/>
      <c r="W105" s="17" t="n"/>
      <c r="X105" s="17" t="n"/>
      <c r="Y105" s="28">
        <f>IF(B105&lt;&gt;"OK","","SELECT bal_crear_balon(p_codigo_balon =&gt; "&amp;IF(TRIM(C105&amp;"")="","NULL","'"&amp;SUBSTITUTE(TRIM(C105),"'","''")&amp;"'")&amp;", p_id_tipo_balon =&gt; "&amp;"(SELECT id FROM bal_tipo_balon WHERE upper(nombre) = upper('"&amp;SUBSTITUTE(TRIM(D105),"'","''")&amp;"') AND estado = 1 LIMIT 1)"&amp;", p_id_producto_gas =&gt; "&amp;"(SELECT id FROM pro_producto WHERE es_gas = TRUE AND upper(nombre) = upper('"&amp;SUBSTITUTE(TRIM(E105),"'","''")&amp;"') AND estado = 1 LIMIT 1)"&amp;", p_id_propietario =&gt; "&amp;IF(TRIM(F105&amp;"")="","NULL","(SELECT lo.id FROM gen_lista_opciones lo JOIN gen_lista l ON l.id = lo.id_lista WHERE l.nombre = 'PropietarioBalon' AND upper(lo.nombre) = upper('"&amp;SUBSTITUTE(TRIM(F105),"'","''")&amp;"') AND lo.estado = 1 LIMIT 1)")&amp;", p_id_cliente_propietario =&gt; "&amp;IF(F105="CLIENTE",IF(TRIM(G105&amp;"")="","NULL","(SELECT id FROM cli_clientes WHERE numero_documento = '"&amp;SUBSTITUTE(TRIM(G105),"'","''")&amp;"' AND estado = 1 LIMIT 1)"),"NULL")&amp;", p_id_planta =&gt; "&amp;IF(F105="PLANTA",IF(TRIM(G105&amp;"")="","NULL","(SELECT id FROM cli_clientes WHERE numero_documento = '"&amp;SUBSTITUTE(TRIM(G105),"'","''")&amp;"'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"&amp;IF(TRIM(J105&amp;"")="","NULL","(SELECT id FROM gen_almacen WHERE upper(nombre) = upper('"&amp;SUBSTITUTE(TRIM(J105),"'","''")&amp;"') AND estado = 1 LIMIT 1)")&amp;", p_id_cliente_ubicacion =&gt; "&amp;IF(TRIM(K105&amp;"")="","NULL","(SELECT id FROM cli_clientes WHERE numero_documento = '"&amp;SUBSTITUTE(TRIM(K105),"'","''")&amp;"' AND estado = 1 LIMIT 1)")&amp;", p_id_referencia =&gt; "&amp;IF(TRIM(J105&amp;"")&lt;&gt;"","(SELECT lo.id FROM gen_lista_opciones lo JOIN gen_lista l ON l.id = lo.id_lista WHERE l.nombre = 'ReferenciaCilindro' AND upper(lo.nombre) = 'ALMACEN' AND lo.estado = 1 LIMIT 1)",IF(TRIM(K105&amp;"")&lt;&gt;"","(SELECT lo.id FROM gen_lista_opciones lo JOIN gen_lista l ON l.id = lo.id_lista WHERE l.nombre = 'ReferenciaCilindro' AND upper(lo.nombre) = 'CLIENTE' AND lo.estado = 1 LIMIT 1)","NULL"))&amp;", p_anio_fabricacion =&gt; "&amp;IF(M105&amp;""="","NULL::smallint",M105&amp;"::smallint")&amp;", p_mes_fabricacion =&gt; "&amp;IF(N105&amp;""="","NULL::smallint",N105&amp;"::smallint")&amp;", p_fecha_ultima_prueba_hidrostatica =&gt; "&amp;IF(O105&amp;""="","NULL","'"&amp;YEAR(O105)&amp;"-"&amp;TEXT(MONTH(O105),"00")&amp;"-"&amp;TEXT(DAY(O105),"00")&amp;"'")&amp;", p_numero_serie =&gt; "&amp;IF(TRIM(Q105&amp;"")="","NULL","'"&amp;SUBSTITUTE(TRIM(Q105),"'","''")&amp;"'")&amp;", p_id_marca_cilindro =&gt; "&amp;IF(TRIM(R105&amp;"")="","NULL","(SELECT lo.id FROM gen_lista_opciones lo JOIN gen_lista l ON l.id = lo.id_lista WHERE l.nombre = 'MarcaCilindro' AND upper(lo.nombre) = upper('"&amp;SUBSTITUTE(TRIM(R105),"'","''")&amp;"') AND lo.estado = 1 LIMIT 1)")&amp;", p_id_organo_inspector =&gt; "&amp;IF(TRIM(S105&amp;"")="","NULL","(SELECT lo.id FROM gen_lista_opciones lo JOIN gen_lista l ON l.id = lo.id_lista WHERE l.nombre = 'OrganoInspectorCilindro' AND upper(lo.nombre) = upper('"&amp;SUBSTITUTE(TRIM(S105),"'","''")&amp;"') AND lo.estado = 1 LIMIT 1)")&amp;", p_organo_inspector_no_aplica =&gt; "&amp;IF(S105="NO_APLICA","TRUE","FALSE")&amp;", p_presion_actual =&gt; "&amp;IF(T105&amp;""="","NULL",SUBSTITUTE(T105&amp;"",",","."))&amp;", p_tipo_valvula =&gt; "&amp;IF(TRIM(U105&amp;"")="","NULL","'"&amp;SUBSTITUTE(TRIM(U105),"'","''")&amp;"'")&amp;", p_libro_cilindro =&gt; "&amp;IF(TRIM(V105&amp;"")="","NULL","'"&amp;SUBSTITUTE(TRIM(V105),"'","''")&amp;"'")&amp;", p_pagina_libro =&gt; "&amp;IF(W105&amp;""="","NULL",SUBSTITUTE(W105&amp;"",",","."))&amp;", p_observacion =&gt; "&amp;IF(TRIM(X105&amp;"")="","NULL","'"&amp;SUBSTITUTE(TRIM(X105),"'","''")&amp;"'")&amp;") AS resultado_balon_"&amp;ROW()&amp;";")</f>
        <v/>
      </c>
    </row>
    <row r="106" ht="15.75" customHeight="1" s="64">
      <c r="A106" s="36" t="inlineStr">
        <is>
          <t>102</t>
        </is>
      </c>
      <c r="B106" s="25">
        <f>IF(AND(C106="",D106="",E106=""),"",IF(C106="","FALTA código balón",IF(D106="","FALTA tipo balón",IF(E106="","FALTA gas",IF(F106="","FALTA propietario",IF(AND(C106&lt;&gt;"",SUMPRODUCT(--($C$5:$C$1200=C106))&gt;1),"CÓDIGO BALÓN DUPLICADO",IF(AND(OR(UPPER(F106)="PLANTA",UPPER(F106)="CLIENTE"),G106=""),"FALTA doc propietario/planta",IF(AND(UPPER(F106)="PLANTA",G106="10175332796"),"PLANTA no puede ser RUC empresa","OK"))))))))</f>
        <v/>
      </c>
      <c r="C106" s="23" t="inlineStr">
        <is>
          <t>780630</t>
        </is>
      </c>
      <c r="D106" s="17" t="inlineStr">
        <is>
          <t>Nitrógeno 10 m³</t>
        </is>
      </c>
      <c r="E106" s="17" t="inlineStr">
        <is>
          <t>NITROGENO</t>
        </is>
      </c>
      <c r="F106" s="17" t="inlineStr">
        <is>
          <t>EMPRESA</t>
        </is>
      </c>
      <c r="G106" s="23" t="inlineStr">
        <is>
          <t>10175332796</t>
        </is>
      </c>
      <c r="H106" s="25">
        <f t="array" ref="H106">IF(G106="","",IFERROR(IF(INDEX(Clientes!$D$5:$D$549,MATCH(G106,Clientes!$C$5:$C$549,0))&lt;&gt;"",INDEX(Clientes!$D$5:$D$549,MATCH(G106,Clientes!$C$5:$C$549,0)),TRIM(INDEX(Clientes!$E$5:$E$549,MATCH(G106,Clientes!$C$5:$C$549,0))&amp;" "&amp;INDEX(Clientes!$F$5:$F$549,MATCH(G106,Clientes!$C$5:$C$549,0)))),"NO EXISTE en Clientes"))</f>
        <v/>
      </c>
      <c r="I106" s="17" t="inlineStr">
        <is>
          <t>DISPONIBLE</t>
        </is>
      </c>
      <c r="J106" s="17" t="inlineStr">
        <is>
          <t>ALMACEN PRINCIPAL</t>
        </is>
      </c>
      <c r="K106" s="23" t="n"/>
      <c r="L106" s="25">
        <f t="array" ref="L106">IF(K106="","",IFERROR(IF(INDEX(Clientes!$D$5:$D$549,MATCH(K106,Clientes!$C$5:$C$549,0))&lt;&gt;"",INDEX(Clientes!$D$5:$D$549,MATCH(K106,Clientes!$C$5:$C$549,0)),TRIM(INDEX(Clientes!$E$5:$E$549,MATCH(K106,Clientes!$C$5:$C$549,0))&amp;" "&amp;INDEX(Clientes!$F$5:$F$549,MATCH(K106,Clientes!$C$5:$C$549,0)))),"NO EXISTE en Clientes"))</f>
        <v/>
      </c>
      <c r="M106" s="17" t="n">
        <v>2023</v>
      </c>
      <c r="N106" s="17" t="n">
        <v>7</v>
      </c>
      <c r="O106" s="42" t="n">
        <v>45108</v>
      </c>
      <c r="P106" s="39">
        <f>IF(O106&lt;&gt;"",DATE(YEAR(O106)+10,MONTH(O106),1),IF(AND(M106&lt;&gt;"",N106&lt;&gt;""),DATE(M106+5,N106,1),""))</f>
        <v/>
      </c>
      <c r="Q106" s="23" t="n"/>
      <c r="R106" s="17" t="inlineStr">
        <is>
          <t>BRASILERA</t>
        </is>
      </c>
      <c r="S106" s="17" t="inlineStr">
        <is>
          <t>OTRO</t>
        </is>
      </c>
      <c r="T106" s="17" t="n">
        <v>2800</v>
      </c>
      <c r="U106" s="17" t="n"/>
      <c r="V106" s="23" t="n"/>
      <c r="W106" s="17" t="n"/>
      <c r="X106" s="17" t="n"/>
      <c r="Y106" s="28">
        <f>IF(B106&lt;&gt;"OK","","SELECT bal_crear_balon(p_codigo_balon =&gt; "&amp;IF(TRIM(C106&amp;"")="","NULL","'"&amp;SUBSTITUTE(TRIM(C106),"'","''")&amp;"'")&amp;", p_id_tipo_balon =&gt; "&amp;"(SELECT id FROM bal_tipo_balon WHERE upper(nombre) = upper('"&amp;SUBSTITUTE(TRIM(D106),"'","''")&amp;"') AND estado = 1 LIMIT 1)"&amp;", p_id_producto_gas =&gt; "&amp;"(SELECT id FROM pro_producto WHERE es_gas = TRUE AND upper(nombre) = upper('"&amp;SUBSTITUTE(TRIM(E106),"'","''")&amp;"') AND estado = 1 LIMIT 1)"&amp;", p_id_propietario =&gt; "&amp;IF(TRIM(F106&amp;"")="","NULL","(SELECT lo.id FROM gen_lista_opciones lo JOIN gen_lista l ON l.id = lo.id_lista WHERE l.nombre = 'PropietarioBalon' AND upper(lo.nombre) = upper('"&amp;SUBSTITUTE(TRIM(F106),"'","''")&amp;"') AND lo.estado = 1 LIMIT 1)")&amp;", p_id_cliente_propietario =&gt; "&amp;IF(F106="CLIENTE",IF(TRIM(G106&amp;"")="","NULL","(SELECT id FROM cli_clientes WHERE numero_documento = '"&amp;SUBSTITUTE(TRIM(G106),"'","''")&amp;"' AND estado = 1 LIMIT 1)"),"NULL")&amp;", p_id_planta =&gt; "&amp;IF(F106="PLANTA",IF(TRIM(G106&amp;"")="","NULL","(SELECT id FROM cli_clientes WHERE numero_documento = '"&amp;SUBSTITUTE(TRIM(G106),"'","''")&amp;"'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"&amp;IF(TRIM(J106&amp;"")="","NULL","(SELECT id FROM gen_almacen WHERE upper(nombre) = upper('"&amp;SUBSTITUTE(TRIM(J106),"'","''")&amp;"') AND estado = 1 LIMIT 1)")&amp;", p_id_cliente_ubicacion =&gt; "&amp;IF(TRIM(K106&amp;"")="","NULL","(SELECT id FROM cli_clientes WHERE numero_documento = '"&amp;SUBSTITUTE(TRIM(K106),"'","''")&amp;"' AND estado = 1 LIMIT 1)")&amp;", p_id_referencia =&gt; "&amp;IF(TRIM(J106&amp;"")&lt;&gt;"","(SELECT lo.id FROM gen_lista_opciones lo JOIN gen_lista l ON l.id = lo.id_lista WHERE l.nombre = 'ReferenciaCilindro' AND upper(lo.nombre) = 'ALMACEN' AND lo.estado = 1 LIMIT 1)",IF(TRIM(K106&amp;"")&lt;&gt;"","(SELECT lo.id FROM gen_lista_opciones lo JOIN gen_lista l ON l.id = lo.id_lista WHERE l.nombre = 'ReferenciaCilindro' AND upper(lo.nombre) = 'CLIENTE' AND lo.estado = 1 LIMIT 1)","NULL"))&amp;", p_anio_fabricacion =&gt; "&amp;IF(M106&amp;""="","NULL::smallint",M106&amp;"::smallint")&amp;", p_mes_fabricacion =&gt; "&amp;IF(N106&amp;""="","NULL::smallint",N106&amp;"::smallint")&amp;", p_fecha_ultima_prueba_hidrostatica =&gt; "&amp;IF(O106&amp;""="","NULL","'"&amp;YEAR(O106)&amp;"-"&amp;TEXT(MONTH(O106),"00")&amp;"-"&amp;TEXT(DAY(O106),"00")&amp;"'")&amp;", p_numero_serie =&gt; "&amp;IF(TRIM(Q106&amp;"")="","NULL","'"&amp;SUBSTITUTE(TRIM(Q106),"'","''")&amp;"'")&amp;", p_id_marca_cilindro =&gt; "&amp;IF(TRIM(R106&amp;"")="","NULL","(SELECT lo.id FROM gen_lista_opciones lo JOIN gen_lista l ON l.id = lo.id_lista WHERE l.nombre = 'MarcaCilindro' AND upper(lo.nombre) = upper('"&amp;SUBSTITUTE(TRIM(R106),"'","''")&amp;"') AND lo.estado = 1 LIMIT 1)")&amp;", p_id_organo_inspector =&gt; "&amp;IF(TRIM(S106&amp;"")="","NULL","(SELECT lo.id FROM gen_lista_opciones lo JOIN gen_lista l ON l.id = lo.id_lista WHERE l.nombre = 'OrganoInspectorCilindro' AND upper(lo.nombre) = upper('"&amp;SUBSTITUTE(TRIM(S106),"'","''")&amp;"') AND lo.estado = 1 LIMIT 1)")&amp;", p_organo_inspector_no_aplica =&gt; "&amp;IF(S106="NO_APLICA","TRUE","FALSE")&amp;", p_presion_actual =&gt; "&amp;IF(T106&amp;""="","NULL",SUBSTITUTE(T106&amp;"",",","."))&amp;", p_tipo_valvula =&gt; "&amp;IF(TRIM(U106&amp;"")="","NULL","'"&amp;SUBSTITUTE(TRIM(U106),"'","''")&amp;"'")&amp;", p_libro_cilindro =&gt; "&amp;IF(TRIM(V106&amp;"")="","NULL","'"&amp;SUBSTITUTE(TRIM(V106),"'","''")&amp;"'")&amp;", p_pagina_libro =&gt; "&amp;IF(W106&amp;""="","NULL",SUBSTITUTE(W106&amp;"",",","."))&amp;", p_observacion =&gt; "&amp;IF(TRIM(X106&amp;"")="","NULL","'"&amp;SUBSTITUTE(TRIM(X106),"'","''")&amp;"'")&amp;") AS resultado_balon_"&amp;ROW()&amp;";")</f>
        <v/>
      </c>
    </row>
    <row r="107" ht="15.75" customHeight="1" s="64">
      <c r="A107" s="36" t="inlineStr">
        <is>
          <t>103</t>
        </is>
      </c>
      <c r="B107" s="25">
        <f>IF(AND(C107="",D107="",E107=""),"",IF(C107="","FALTA código balón",IF(D107="","FALTA tipo balón",IF(E107="","FALTA gas",IF(F107="","FALTA propietario",IF(AND(C107&lt;&gt;"",SUMPRODUCT(--($C$5:$C$1200=C107))&gt;1),"CÓDIGO BALÓN DUPLICADO",IF(AND(OR(UPPER(F107)="PLANTA",UPPER(F107)="CLIENTE"),G107=""),"FALTA doc propietario/planta",IF(AND(UPPER(F107)="PLANTA",G107="10175332796"),"PLANTA no puede ser RUC empresa","OK"))))))))</f>
        <v/>
      </c>
      <c r="C107" s="23" t="inlineStr">
        <is>
          <t>K4616006</t>
        </is>
      </c>
      <c r="D107" s="17" t="inlineStr">
        <is>
          <t>Nitrógeno 10 m³</t>
        </is>
      </c>
      <c r="E107" s="17" t="inlineStr">
        <is>
          <t>NITROGENO</t>
        </is>
      </c>
      <c r="F107" s="17" t="inlineStr">
        <is>
          <t>EMPRESA</t>
        </is>
      </c>
      <c r="G107" s="23" t="inlineStr">
        <is>
          <t>10175332796</t>
        </is>
      </c>
      <c r="H107" s="25">
        <f t="array" ref="H107">IF(G107="","",IFERROR(IF(INDEX(Clientes!$D$5:$D$549,MATCH(G107,Clientes!$C$5:$C$549,0))&lt;&gt;"",INDEX(Clientes!$D$5:$D$549,MATCH(G107,Clientes!$C$5:$C$549,0)),TRIM(INDEX(Clientes!$E$5:$E$549,MATCH(G107,Clientes!$C$5:$C$549,0))&amp;" "&amp;INDEX(Clientes!$F$5:$F$549,MATCH(G107,Clientes!$C$5:$C$549,0)))),"NO EXISTE en Clientes"))</f>
        <v/>
      </c>
      <c r="I107" s="17" t="inlineStr">
        <is>
          <t>DISPONIBLE</t>
        </is>
      </c>
      <c r="J107" s="17" t="inlineStr">
        <is>
          <t>ALMACEN PRINCIPAL</t>
        </is>
      </c>
      <c r="K107" s="23" t="n"/>
      <c r="L107" s="25">
        <f t="array" ref="L107">IF(K107="","",IFERROR(IF(INDEX(Clientes!$D$5:$D$549,MATCH(K107,Clientes!$C$5:$C$549,0))&lt;&gt;"",INDEX(Clientes!$D$5:$D$549,MATCH(K107,Clientes!$C$5:$C$549,0)),TRIM(INDEX(Clientes!$E$5:$E$549,MATCH(K107,Clientes!$C$5:$C$549,0))&amp;" "&amp;INDEX(Clientes!$F$5:$F$549,MATCH(K107,Clientes!$C$5:$C$549,0)))),"NO EXISTE en Clientes"))</f>
        <v/>
      </c>
      <c r="M107" s="17" t="n">
        <v>2020</v>
      </c>
      <c r="N107" s="17" t="n">
        <v>7</v>
      </c>
      <c r="O107" s="42" t="n">
        <v>44013</v>
      </c>
      <c r="P107" s="39">
        <f>IF(O107&lt;&gt;"",DATE(YEAR(O107)+10,MONTH(O107),1),IF(AND(M107&lt;&gt;"",N107&lt;&gt;""),DATE(M107+5,N107,1),""))</f>
        <v/>
      </c>
      <c r="Q107" s="23" t="n"/>
      <c r="R107" s="17" t="inlineStr">
        <is>
          <t>JD</t>
        </is>
      </c>
      <c r="S107" s="17" t="inlineStr">
        <is>
          <t>TS</t>
        </is>
      </c>
      <c r="T107" s="17" t="n">
        <v>2800</v>
      </c>
      <c r="U107" s="17" t="n"/>
      <c r="V107" s="23" t="n"/>
      <c r="W107" s="17" t="n"/>
      <c r="X107" s="17" t="n"/>
      <c r="Y107" s="28">
        <f>IF(B107&lt;&gt;"OK","","SELECT bal_crear_balon(p_codigo_balon =&gt; "&amp;IF(TRIM(C107&amp;"")="","NULL","'"&amp;SUBSTITUTE(TRIM(C107),"'","''")&amp;"'")&amp;", p_id_tipo_balon =&gt; "&amp;"(SELECT id FROM bal_tipo_balon WHERE upper(nombre) = upper('"&amp;SUBSTITUTE(TRIM(D107),"'","''")&amp;"') AND estado = 1 LIMIT 1)"&amp;", p_id_producto_gas =&gt; "&amp;"(SELECT id FROM pro_producto WHERE es_gas = TRUE AND upper(nombre) = upper('"&amp;SUBSTITUTE(TRIM(E107),"'","''")&amp;"') AND estado = 1 LIMIT 1)"&amp;", p_id_propietario =&gt; "&amp;IF(TRIM(F107&amp;"")="","NULL","(SELECT lo.id FROM gen_lista_opciones lo JOIN gen_lista l ON l.id = lo.id_lista WHERE l.nombre = 'PropietarioBalon' AND upper(lo.nombre) = upper('"&amp;SUBSTITUTE(TRIM(F107),"'","''")&amp;"') AND lo.estado = 1 LIMIT 1)")&amp;", p_id_cliente_propietario =&gt; "&amp;IF(F107="CLIENTE",IF(TRIM(G107&amp;"")="","NULL","(SELECT id FROM cli_clientes WHERE numero_documento = '"&amp;SUBSTITUTE(TRIM(G107),"'","''")&amp;"' AND estado = 1 LIMIT 1)"),"NULL")&amp;", p_id_planta =&gt; "&amp;IF(F107="PLANTA",IF(TRIM(G107&amp;"")="","NULL","(SELECT id FROM cli_clientes WHERE numero_documento = '"&amp;SUBSTITUTE(TRIM(G107),"'","''")&amp;"'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"&amp;IF(TRIM(J107&amp;"")="","NULL","(SELECT id FROM gen_almacen WHERE upper(nombre) = upper('"&amp;SUBSTITUTE(TRIM(J107),"'","''")&amp;"') AND estado = 1 LIMIT 1)")&amp;", p_id_cliente_ubicacion =&gt; "&amp;IF(TRIM(K107&amp;"")="","NULL","(SELECT id FROM cli_clientes WHERE numero_documento = '"&amp;SUBSTITUTE(TRIM(K107),"'","''")&amp;"' AND estado = 1 LIMIT 1)")&amp;", p_id_referencia =&gt; "&amp;IF(TRIM(J107&amp;"")&lt;&gt;"","(SELECT lo.id FROM gen_lista_opciones lo JOIN gen_lista l ON l.id = lo.id_lista WHERE l.nombre = 'ReferenciaCilindro' AND upper(lo.nombre) = 'ALMACEN' AND lo.estado = 1 LIMIT 1)",IF(TRIM(K107&amp;"")&lt;&gt;"","(SELECT lo.id FROM gen_lista_opciones lo JOIN gen_lista l ON l.id = lo.id_lista WHERE l.nombre = 'ReferenciaCilindro' AND upper(lo.nombre) = 'CLIENTE' AND lo.estado = 1 LIMIT 1)","NULL"))&amp;", p_anio_fabricacion =&gt; "&amp;IF(M107&amp;""="","NULL::smallint",M107&amp;"::smallint")&amp;", p_mes_fabricacion =&gt; "&amp;IF(N107&amp;""="","NULL::smallint",N107&amp;"::smallint")&amp;", p_fecha_ultima_prueba_hidrostatica =&gt; "&amp;IF(O107&amp;""="","NULL","'"&amp;YEAR(O107)&amp;"-"&amp;TEXT(MONTH(O107),"00")&amp;"-"&amp;TEXT(DAY(O107),"00")&amp;"'")&amp;", p_numero_serie =&gt; "&amp;IF(TRIM(Q107&amp;"")="","NULL","'"&amp;SUBSTITUTE(TRIM(Q107),"'","''")&amp;"'")&amp;", p_id_marca_cilindro =&gt; "&amp;IF(TRIM(R107&amp;"")="","NULL","(SELECT lo.id FROM gen_lista_opciones lo JOIN gen_lista l ON l.id = lo.id_lista WHERE l.nombre = 'MarcaCilindro' AND upper(lo.nombre) = upper('"&amp;SUBSTITUTE(TRIM(R107),"'","''")&amp;"') AND lo.estado = 1 LIMIT 1)")&amp;", p_id_organo_inspector =&gt; "&amp;IF(TRIM(S107&amp;"")="","NULL","(SELECT lo.id FROM gen_lista_opciones lo JOIN gen_lista l ON l.id = lo.id_lista WHERE l.nombre = 'OrganoInspectorCilindro' AND upper(lo.nombre) = upper('"&amp;SUBSTITUTE(TRIM(S107),"'","''")&amp;"') AND lo.estado = 1 LIMIT 1)")&amp;", p_organo_inspector_no_aplica =&gt; "&amp;IF(S107="NO_APLICA","TRUE","FALSE")&amp;", p_presion_actual =&gt; "&amp;IF(T107&amp;""="","NULL",SUBSTITUTE(T107&amp;"",",","."))&amp;", p_tipo_valvula =&gt; "&amp;IF(TRIM(U107&amp;"")="","NULL","'"&amp;SUBSTITUTE(TRIM(U107),"'","''")&amp;"'")&amp;", p_libro_cilindro =&gt; "&amp;IF(TRIM(V107&amp;"")="","NULL","'"&amp;SUBSTITUTE(TRIM(V107),"'","''")&amp;"'")&amp;", p_pagina_libro =&gt; "&amp;IF(W107&amp;""="","NULL",SUBSTITUTE(W107&amp;"",",","."))&amp;", p_observacion =&gt; "&amp;IF(TRIM(X107&amp;"")="","NULL","'"&amp;SUBSTITUTE(TRIM(X107),"'","''")&amp;"'")&amp;") AS resultado_balon_"&amp;ROW()&amp;";")</f>
        <v/>
      </c>
    </row>
    <row r="108" ht="15.75" customHeight="1" s="64">
      <c r="A108" s="36" t="inlineStr">
        <is>
          <t>104</t>
        </is>
      </c>
      <c r="B108" s="25">
        <f>IF(AND(C108="",D108="",E108=""),"",IF(C108="","FALTA código balón",IF(D108="","FALTA tipo balón",IF(E108="","FALTA gas",IF(F108="","FALTA propietario",IF(AND(C108&lt;&gt;"",SUMPRODUCT(--($C$5:$C$1200=C108))&gt;1),"CÓDIGO BALÓN DUPLICADO",IF(AND(OR(UPPER(F108)="PLANTA",UPPER(F108)="CLIENTE"),G108=""),"FALTA doc propietario/planta",IF(AND(UPPER(F108)="PLANTA",G108="10175332796"),"PLANTA no puede ser RUC empresa","OK"))))))))</f>
        <v/>
      </c>
      <c r="C108" s="23" t="inlineStr">
        <is>
          <t>21Y788153</t>
        </is>
      </c>
      <c r="D108" s="17" t="inlineStr">
        <is>
          <t>Nitrógeno 10 m³</t>
        </is>
      </c>
      <c r="E108" s="17" t="inlineStr">
        <is>
          <t>NITROGENO</t>
        </is>
      </c>
      <c r="F108" s="17" t="inlineStr">
        <is>
          <t>EMPRESA</t>
        </is>
      </c>
      <c r="G108" s="23" t="inlineStr">
        <is>
          <t>10175332796</t>
        </is>
      </c>
      <c r="H108" s="25">
        <f t="array" ref="H108">IF(G108="","",IFERROR(IF(INDEX(Clientes!$D$5:$D$549,MATCH(G108,Clientes!$C$5:$C$549,0))&lt;&gt;"",INDEX(Clientes!$D$5:$D$549,MATCH(G108,Clientes!$C$5:$C$549,0)),TRIM(INDEX(Clientes!$E$5:$E$549,MATCH(G108,Clientes!$C$5:$C$549,0))&amp;" "&amp;INDEX(Clientes!$F$5:$F$549,MATCH(G108,Clientes!$C$5:$C$549,0)))),"NO EXISTE en Clientes"))</f>
        <v/>
      </c>
      <c r="I108" s="17" t="inlineStr">
        <is>
          <t>DISPONIBLE</t>
        </is>
      </c>
      <c r="J108" s="17" t="inlineStr">
        <is>
          <t>ALMACEN PRINCIPAL</t>
        </is>
      </c>
      <c r="K108" s="23" t="n"/>
      <c r="L108" s="25">
        <f t="array" ref="L108">IF(K108="","",IFERROR(IF(INDEX(Clientes!$D$5:$D$549,MATCH(K108,Clientes!$C$5:$C$549,0))&lt;&gt;"",INDEX(Clientes!$D$5:$D$549,MATCH(K108,Clientes!$C$5:$C$549,0)),TRIM(INDEX(Clientes!$E$5:$E$549,MATCH(K108,Clientes!$C$5:$C$549,0))&amp;" "&amp;INDEX(Clientes!$F$5:$F$549,MATCH(K108,Clientes!$C$5:$C$549,0)))),"NO EXISTE en Clientes"))</f>
        <v/>
      </c>
      <c r="M108" s="17" t="n">
        <v>2022</v>
      </c>
      <c r="N108" s="17" t="n">
        <v>2</v>
      </c>
      <c r="O108" s="42" t="n">
        <v>44593</v>
      </c>
      <c r="P108" s="39">
        <f>IF(O108&lt;&gt;"",DATE(YEAR(O108)+10,MONTH(O108),1),IF(AND(M108&lt;&gt;"",N108&lt;&gt;""),DATE(M108+5,N108,1),""))</f>
        <v/>
      </c>
      <c r="Q108" s="23" t="n"/>
      <c r="R108" s="17" t="inlineStr">
        <is>
          <t>YA</t>
        </is>
      </c>
      <c r="S108" s="17" t="inlineStr">
        <is>
          <t>NO TIENE</t>
        </is>
      </c>
      <c r="T108" s="17" t="n">
        <v>2800</v>
      </c>
      <c r="U108" s="17" t="n"/>
      <c r="V108" s="23" t="n"/>
      <c r="W108" s="17" t="n"/>
      <c r="X108" s="17" t="inlineStr">
        <is>
          <t>PH OXIGENO CRISTIAN</t>
        </is>
      </c>
      <c r="Y108" s="28">
        <f>IF(B108&lt;&gt;"OK","","SELECT bal_crear_balon(p_codigo_balon =&gt; "&amp;IF(TRIM(C108&amp;"")="","NULL","'"&amp;SUBSTITUTE(TRIM(C108),"'","''")&amp;"'")&amp;", p_id_tipo_balon =&gt; "&amp;"(SELECT id FROM bal_tipo_balon WHERE upper(nombre) = upper('"&amp;SUBSTITUTE(TRIM(D108),"'","''")&amp;"') AND estado = 1 LIMIT 1)"&amp;", p_id_producto_gas =&gt; "&amp;"(SELECT id FROM pro_producto WHERE es_gas = TRUE AND upper(nombre) = upper('"&amp;SUBSTITUTE(TRIM(E108),"'","''")&amp;"') AND estado = 1 LIMIT 1)"&amp;", p_id_propietario =&gt; "&amp;IF(TRIM(F108&amp;"")="","NULL","(SELECT lo.id FROM gen_lista_opciones lo JOIN gen_lista l ON l.id = lo.id_lista WHERE l.nombre = 'PropietarioBalon' AND upper(lo.nombre) = upper('"&amp;SUBSTITUTE(TRIM(F108),"'","''")&amp;"') AND lo.estado = 1 LIMIT 1)")&amp;", p_id_cliente_propietario =&gt; "&amp;IF(F108="CLIENTE",IF(TRIM(G108&amp;"")="","NULL","(SELECT id FROM cli_clientes WHERE numero_documento = '"&amp;SUBSTITUTE(TRIM(G108),"'","''")&amp;"' AND estado = 1 LIMIT 1)"),"NULL")&amp;", p_id_planta =&gt; "&amp;IF(F108="PLANTA",IF(TRIM(G108&amp;"")="","NULL","(SELECT id FROM cli_clientes WHERE numero_documento = '"&amp;SUBSTITUTE(TRIM(G108),"'","''")&amp;"'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"&amp;IF(TRIM(J108&amp;"")="","NULL","(SELECT id FROM gen_almacen WHERE upper(nombre) = upper('"&amp;SUBSTITUTE(TRIM(J108),"'","''")&amp;"') AND estado = 1 LIMIT 1)")&amp;", p_id_cliente_ubicacion =&gt; "&amp;IF(TRIM(K108&amp;"")="","NULL","(SELECT id FROM cli_clientes WHERE numero_documento = '"&amp;SUBSTITUTE(TRIM(K108),"'","''")&amp;"' AND estado = 1 LIMIT 1)")&amp;", p_id_referencia =&gt; "&amp;IF(TRIM(J108&amp;"")&lt;&gt;"","(SELECT lo.id FROM gen_lista_opciones lo JOIN gen_lista l ON l.id = lo.id_lista WHERE l.nombre = 'ReferenciaCilindro' AND upper(lo.nombre) = 'ALMACEN' AND lo.estado = 1 LIMIT 1)",IF(TRIM(K108&amp;"")&lt;&gt;"","(SELECT lo.id FROM gen_lista_opciones lo JOIN gen_lista l ON l.id = lo.id_lista WHERE l.nombre = 'ReferenciaCilindro' AND upper(lo.nombre) = 'CLIENTE' AND lo.estado = 1 LIMIT 1)","NULL"))&amp;", p_anio_fabricacion =&gt; "&amp;IF(M108&amp;""="","NULL::smallint",M108&amp;"::smallint")&amp;", p_mes_fabricacion =&gt; "&amp;IF(N108&amp;""="","NULL::smallint",N108&amp;"::smallint")&amp;", p_fecha_ultima_prueba_hidrostatica =&gt; "&amp;IF(O108&amp;""="","NULL","'"&amp;YEAR(O108)&amp;"-"&amp;TEXT(MONTH(O108),"00")&amp;"-"&amp;TEXT(DAY(O108),"00")&amp;"'")&amp;", p_numero_serie =&gt; "&amp;IF(TRIM(Q108&amp;"")="","NULL","'"&amp;SUBSTITUTE(TRIM(Q108),"'","''")&amp;"'")&amp;", p_id_marca_cilindro =&gt; "&amp;IF(TRIM(R108&amp;"")="","NULL","(SELECT lo.id FROM gen_lista_opciones lo JOIN gen_lista l ON l.id = lo.id_lista WHERE l.nombre = 'MarcaCilindro' AND upper(lo.nombre) = upper('"&amp;SUBSTITUTE(TRIM(R108),"'","''")&amp;"') AND lo.estado = 1 LIMIT 1)")&amp;", p_id_organo_inspector =&gt; "&amp;IF(TRIM(S108&amp;"")="","NULL","(SELECT lo.id FROM gen_lista_opciones lo JOIN gen_lista l ON l.id = lo.id_lista WHERE l.nombre = 'OrganoInspectorCilindro' AND upper(lo.nombre) = upper('"&amp;SUBSTITUTE(TRIM(S108),"'","''")&amp;"') AND lo.estado = 1 LIMIT 1)")&amp;", p_organo_inspector_no_aplica =&gt; "&amp;IF(S108="NO_APLICA","TRUE","FALSE")&amp;", p_presion_actual =&gt; "&amp;IF(T108&amp;""="","NULL",SUBSTITUTE(T108&amp;"",",","."))&amp;", p_tipo_valvula =&gt; "&amp;IF(TRIM(U108&amp;"")="","NULL","'"&amp;SUBSTITUTE(TRIM(U108),"'","''")&amp;"'")&amp;", p_libro_cilindro =&gt; "&amp;IF(TRIM(V108&amp;"")="","NULL","'"&amp;SUBSTITUTE(TRIM(V108),"'","''")&amp;"'")&amp;", p_pagina_libro =&gt; "&amp;IF(W108&amp;""="","NULL",SUBSTITUTE(W108&amp;"",",","."))&amp;", p_observacion =&gt; "&amp;IF(TRIM(X108&amp;"")="","NULL","'"&amp;SUBSTITUTE(TRIM(X108),"'","''")&amp;"'")&amp;") AS resultado_balon_"&amp;ROW()&amp;";")</f>
        <v/>
      </c>
    </row>
    <row r="109" ht="15.75" customHeight="1" s="64">
      <c r="A109" s="36" t="inlineStr">
        <is>
          <t>105</t>
        </is>
      </c>
      <c r="B109" s="25">
        <f>IF(AND(C109="",D109="",E109=""),"",IF(C109="","FALTA código balón",IF(D109="","FALTA tipo balón",IF(E109="","FALTA gas",IF(F109="","FALTA propietario",IF(AND(C109&lt;&gt;"",SUMPRODUCT(--($C$5:$C$1200=C109))&gt;1),"CÓDIGO BALÓN DUPLICADO",IF(AND(OR(UPPER(F109)="PLANTA",UPPER(F109)="CLIENTE"),G109=""),"FALTA doc propietario/planta",IF(AND(UPPER(F109)="PLANTA",G109="10175332796"),"PLANTA no puede ser RUC empresa","OK"))))))))</f>
        <v/>
      </c>
      <c r="C109" s="23" t="inlineStr">
        <is>
          <t>22K034018</t>
        </is>
      </c>
      <c r="D109" s="17" t="inlineStr">
        <is>
          <t>Argón Estándar 10 m3</t>
        </is>
      </c>
      <c r="E109" s="17" t="inlineStr">
        <is>
          <t>ARGON</t>
        </is>
      </c>
      <c r="F109" s="17" t="inlineStr">
        <is>
          <t>EMPRESA</t>
        </is>
      </c>
      <c r="G109" s="23" t="inlineStr">
        <is>
          <t>10175332796</t>
        </is>
      </c>
      <c r="H109" s="25">
        <f t="array" ref="H109">IF(G109="","",IFERROR(IF(INDEX(Clientes!$D$5:$D$549,MATCH(G109,Clientes!$C$5:$C$549,0))&lt;&gt;"",INDEX(Clientes!$D$5:$D$549,MATCH(G109,Clientes!$C$5:$C$549,0)),TRIM(INDEX(Clientes!$E$5:$E$549,MATCH(G109,Clientes!$C$5:$C$549,0))&amp;" "&amp;INDEX(Clientes!$F$5:$F$549,MATCH(G109,Clientes!$C$5:$C$549,0)))),"NO EXISTE en Clientes"))</f>
        <v/>
      </c>
      <c r="I109" s="17" t="inlineStr">
        <is>
          <t>DISPONIBLE</t>
        </is>
      </c>
      <c r="J109" s="17" t="inlineStr">
        <is>
          <t>ALMACEN PRINCIPAL</t>
        </is>
      </c>
      <c r="K109" s="23" t="n"/>
      <c r="L109" s="25">
        <f t="array" ref="L109">IF(K109="","",IFERROR(IF(INDEX(Clientes!$D$5:$D$549,MATCH(K109,Clientes!$C$5:$C$549,0))&lt;&gt;"",INDEX(Clientes!$D$5:$D$549,MATCH(K109,Clientes!$C$5:$C$549,0)),TRIM(INDEX(Clientes!$E$5:$E$549,MATCH(K109,Clientes!$C$5:$C$549,0))&amp;" "&amp;INDEX(Clientes!$F$5:$F$549,MATCH(K109,Clientes!$C$5:$C$549,0)))),"NO EXISTE en Clientes"))</f>
        <v/>
      </c>
      <c r="M109" s="17" t="n">
        <v>2022</v>
      </c>
      <c r="N109" s="17" t="n">
        <v>1</v>
      </c>
      <c r="O109" s="42" t="n">
        <v>44562</v>
      </c>
      <c r="P109" s="39">
        <f>IF(O109&lt;&gt;"",DATE(YEAR(O109)+10,MONTH(O109),1),IF(AND(M109&lt;&gt;"",N109&lt;&gt;""),DATE(M109+5,N109,1),""))</f>
        <v/>
      </c>
      <c r="Q109" s="23" t="n"/>
      <c r="R109" s="17" t="inlineStr">
        <is>
          <t>JP</t>
        </is>
      </c>
      <c r="S109" s="17" t="inlineStr">
        <is>
          <t>OTRO</t>
        </is>
      </c>
      <c r="T109" s="17" t="n">
        <v>2800</v>
      </c>
      <c r="U109" s="17" t="n"/>
      <c r="V109" s="23" t="n"/>
      <c r="W109" s="17" t="n"/>
      <c r="X109" s="17" t="n"/>
      <c r="Y109" s="28">
        <f>IF(B109&lt;&gt;"OK","","SELECT bal_crear_balon(p_codigo_balon =&gt; "&amp;IF(TRIM(C109&amp;"")="","NULL","'"&amp;SUBSTITUTE(TRIM(C109),"'","''")&amp;"'")&amp;", p_id_tipo_balon =&gt; "&amp;"(SELECT id FROM bal_tipo_balon WHERE upper(nombre) = upper('"&amp;SUBSTITUTE(TRIM(D109),"'","''")&amp;"') AND estado = 1 LIMIT 1)"&amp;", p_id_producto_gas =&gt; "&amp;"(SELECT id FROM pro_producto WHERE es_gas = TRUE AND upper(nombre) = upper('"&amp;SUBSTITUTE(TRIM(E109),"'","''")&amp;"') AND estado = 1 LIMIT 1)"&amp;", p_id_propietario =&gt; "&amp;IF(TRIM(F109&amp;"")="","NULL","(SELECT lo.id FROM gen_lista_opciones lo JOIN gen_lista l ON l.id = lo.id_lista WHERE l.nombre = 'PropietarioBalon' AND upper(lo.nombre) = upper('"&amp;SUBSTITUTE(TRIM(F109),"'","''")&amp;"') AND lo.estado = 1 LIMIT 1)")&amp;", p_id_cliente_propietario =&gt; "&amp;IF(F109="CLIENTE",IF(TRIM(G109&amp;"")="","NULL","(SELECT id FROM cli_clientes WHERE numero_documento = '"&amp;SUBSTITUTE(TRIM(G109),"'","''")&amp;"' AND estado = 1 LIMIT 1)"),"NULL")&amp;", p_id_planta =&gt; "&amp;IF(F109="PLANTA",IF(TRIM(G109&amp;"")="","NULL","(SELECT id FROM cli_clientes WHERE numero_documento = '"&amp;SUBSTITUTE(TRIM(G109),"'","''")&amp;"'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"&amp;IF(TRIM(J109&amp;"")="","NULL","(SELECT id FROM gen_almacen WHERE upper(nombre) = upper('"&amp;SUBSTITUTE(TRIM(J109),"'","''")&amp;"') AND estado = 1 LIMIT 1)")&amp;", p_id_cliente_ubicacion =&gt; "&amp;IF(TRIM(K109&amp;"")="","NULL","(SELECT id FROM cli_clientes WHERE numero_documento = '"&amp;SUBSTITUTE(TRIM(K109),"'","''")&amp;"' AND estado = 1 LIMIT 1)")&amp;", p_id_referencia =&gt; "&amp;IF(TRIM(J109&amp;"")&lt;&gt;"","(SELECT lo.id FROM gen_lista_opciones lo JOIN gen_lista l ON l.id = lo.id_lista WHERE l.nombre = 'ReferenciaCilindro' AND upper(lo.nombre) = 'ALMACEN' AND lo.estado = 1 LIMIT 1)",IF(TRIM(K109&amp;"")&lt;&gt;"","(SELECT lo.id FROM gen_lista_opciones lo JOIN gen_lista l ON l.id = lo.id_lista WHERE l.nombre = 'ReferenciaCilindro' AND upper(lo.nombre) = 'CLIENTE' AND lo.estado = 1 LIMIT 1)","NULL"))&amp;", p_anio_fabricacion =&gt; "&amp;IF(M109&amp;""="","NULL::smallint",M109&amp;"::smallint")&amp;", p_mes_fabricacion =&gt; "&amp;IF(N109&amp;""="","NULL::smallint",N109&amp;"::smallint")&amp;", p_fecha_ultima_prueba_hidrostatica =&gt; "&amp;IF(O109&amp;""="","NULL","'"&amp;YEAR(O109)&amp;"-"&amp;TEXT(MONTH(O109),"00")&amp;"-"&amp;TEXT(DAY(O109),"00")&amp;"'")&amp;", p_numero_serie =&gt; "&amp;IF(TRIM(Q109&amp;"")="","NULL","'"&amp;SUBSTITUTE(TRIM(Q109),"'","''")&amp;"'")&amp;", p_id_marca_cilindro =&gt; "&amp;IF(TRIM(R109&amp;"")="","NULL","(SELECT lo.id FROM gen_lista_opciones lo JOIN gen_lista l ON l.id = lo.id_lista WHERE l.nombre = 'MarcaCilindro' AND upper(lo.nombre) = upper('"&amp;SUBSTITUTE(TRIM(R109),"'","''")&amp;"') AND lo.estado = 1 LIMIT 1)")&amp;", p_id_organo_inspector =&gt; "&amp;IF(TRIM(S109&amp;"")="","NULL","(SELECT lo.id FROM gen_lista_opciones lo JOIN gen_lista l ON l.id = lo.id_lista WHERE l.nombre = 'OrganoInspectorCilindro' AND upper(lo.nombre) = upper('"&amp;SUBSTITUTE(TRIM(S109),"'","''")&amp;"') AND lo.estado = 1 LIMIT 1)")&amp;", p_organo_inspector_no_aplica =&gt; "&amp;IF(S109="NO_APLICA","TRUE","FALSE")&amp;", p_presion_actual =&gt; "&amp;IF(T109&amp;""="","NULL",SUBSTITUTE(T109&amp;"",",","."))&amp;", p_tipo_valvula =&gt; "&amp;IF(TRIM(U109&amp;"")="","NULL","'"&amp;SUBSTITUTE(TRIM(U109),"'","''")&amp;"'")&amp;", p_libro_cilindro =&gt; "&amp;IF(TRIM(V109&amp;"")="","NULL","'"&amp;SUBSTITUTE(TRIM(V109),"'","''")&amp;"'")&amp;", p_pagina_libro =&gt; "&amp;IF(W109&amp;""="","NULL",SUBSTITUTE(W109&amp;"",",","."))&amp;", p_observacion =&gt; "&amp;IF(TRIM(X109&amp;"")="","NULL","'"&amp;SUBSTITUTE(TRIM(X109),"'","''")&amp;"'")&amp;") AS resultado_balon_"&amp;ROW()&amp;";")</f>
        <v/>
      </c>
    </row>
    <row r="110" ht="15.75" customHeight="1" s="64">
      <c r="A110" s="36" t="inlineStr">
        <is>
          <t>106</t>
        </is>
      </c>
      <c r="B110" s="25">
        <f>IF(AND(C110="",D110="",E110=""),"",IF(C110="","FALTA código balón",IF(D110="","FALTA tipo balón",IF(E110="","FALTA gas",IF(F110="","FALTA propietario",IF(AND(C110&lt;&gt;"",SUMPRODUCT(--($C$5:$C$1200=C110))&gt;1),"CÓDIGO BALÓN DUPLICADO",IF(AND(OR(UPPER(F110)="PLANTA",UPPER(F110)="CLIENTE"),G110=""),"FALTA doc propietario/planta",IF(AND(UPPER(F110)="PLANTA",G110="10175332796"),"PLANTA no puede ser RUC empresa","OK"))))))))</f>
        <v/>
      </c>
      <c r="C110" s="23" t="inlineStr">
        <is>
          <t>21Y735053</t>
        </is>
      </c>
      <c r="D110" s="17" t="inlineStr">
        <is>
          <t>Argón Estándar 10 m3</t>
        </is>
      </c>
      <c r="E110" s="17" t="inlineStr">
        <is>
          <t>ARGON</t>
        </is>
      </c>
      <c r="F110" s="17" t="inlineStr">
        <is>
          <t>PLANTA</t>
        </is>
      </c>
      <c r="G110" s="23" t="inlineStr">
        <is>
          <t>20607948675</t>
        </is>
      </c>
      <c r="H110" s="25">
        <f t="array" ref="H110">IF(G110="","",IFERROR(IF(INDEX(Clientes!$D$5:$D$549,MATCH(G110,Clientes!$C$5:$C$549,0))&lt;&gt;"",INDEX(Clientes!$D$5:$D$549,MATCH(G110,Clientes!$C$5:$C$549,0)),TRIM(INDEX(Clientes!$E$5:$E$549,MATCH(G110,Clientes!$C$5:$C$549,0))&amp;" "&amp;INDEX(Clientes!$F$5:$F$549,MATCH(G110,Clientes!$C$5:$C$549,0)))),"NO EXISTE en Clientes"))</f>
        <v/>
      </c>
      <c r="I110" s="17" t="inlineStr">
        <is>
          <t>DISPONIBLE</t>
        </is>
      </c>
      <c r="J110" s="17" t="inlineStr">
        <is>
          <t>ALMACEN PRINCIPAL</t>
        </is>
      </c>
      <c r="K110" s="23" t="n"/>
      <c r="L110" s="25">
        <f t="array" ref="L110">IF(K110="","",IFERROR(IF(INDEX(Clientes!$D$5:$D$549,MATCH(K110,Clientes!$C$5:$C$549,0))&lt;&gt;"",INDEX(Clientes!$D$5:$D$549,MATCH(K110,Clientes!$C$5:$C$549,0)),TRIM(INDEX(Clientes!$E$5:$E$549,MATCH(K110,Clientes!$C$5:$C$549,0))&amp;" "&amp;INDEX(Clientes!$F$5:$F$549,MATCH(K110,Clientes!$C$5:$C$549,0)))),"NO EXISTE en Clientes"))</f>
        <v/>
      </c>
      <c r="M110" s="17" t="n"/>
      <c r="N110" s="17" t="n"/>
      <c r="O110" s="42" t="n"/>
      <c r="P110" s="39">
        <f>IF(O110&lt;&gt;"",DATE(YEAR(O110)+10,MONTH(O110),1),IF(AND(M110&lt;&gt;"",N110&lt;&gt;""),DATE(M110+5,N110,1),""))</f>
        <v/>
      </c>
      <c r="Q110" s="23" t="n"/>
      <c r="R110" s="17" t="n"/>
      <c r="S110" s="17" t="n"/>
      <c r="T110" s="17" t="n"/>
      <c r="U110" s="17" t="n"/>
      <c r="V110" s="23" t="n"/>
      <c r="W110" s="17" t="n"/>
      <c r="X110" s="17" t="n"/>
      <c r="Y110" s="28">
        <f>IF(B110&lt;&gt;"OK","","SELECT bal_crear_balon(p_codigo_balon =&gt; "&amp;IF(TRIM(C110&amp;"")="","NULL","'"&amp;SUBSTITUTE(TRIM(C110),"'","''")&amp;"'")&amp;", p_id_tipo_balon =&gt; "&amp;"(SELECT id FROM bal_tipo_balon WHERE upper(nombre) = upper('"&amp;SUBSTITUTE(TRIM(D110),"'","''")&amp;"') AND estado = 1 LIMIT 1)"&amp;", p_id_producto_gas =&gt; "&amp;"(SELECT id FROM pro_producto WHERE es_gas = TRUE AND upper(nombre) = upper('"&amp;SUBSTITUTE(TRIM(E110),"'","''")&amp;"') AND estado = 1 LIMIT 1)"&amp;", p_id_propietario =&gt; "&amp;IF(TRIM(F110&amp;"")="","NULL","(SELECT lo.id FROM gen_lista_opciones lo JOIN gen_lista l ON l.id = lo.id_lista WHERE l.nombre = 'PropietarioBalon' AND upper(lo.nombre) = upper('"&amp;SUBSTITUTE(TRIM(F110),"'","''")&amp;"') AND lo.estado = 1 LIMIT 1)")&amp;", p_id_cliente_propietario =&gt; "&amp;IF(F110="CLIENTE",IF(TRIM(G110&amp;"")="","NULL","(SELECT id FROM cli_clientes WHERE numero_documento = '"&amp;SUBSTITUTE(TRIM(G110),"'","''")&amp;"' AND estado = 1 LIMIT 1)"),"NULL")&amp;", p_id_planta =&gt; "&amp;IF(F110="PLANTA",IF(TRIM(G110&amp;"")="","NULL","(SELECT id FROM cli_clientes WHERE numero_documento = '"&amp;SUBSTITUTE(TRIM(G110),"'","''")&amp;"'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"&amp;IF(TRIM(J110&amp;"")="","NULL","(SELECT id FROM gen_almacen WHERE upper(nombre) = upper('"&amp;SUBSTITUTE(TRIM(J110),"'","''")&amp;"') AND estado = 1 LIMIT 1)")&amp;", p_id_cliente_ubicacion =&gt; "&amp;IF(TRIM(K110&amp;"")="","NULL","(SELECT id FROM cli_clientes WHERE numero_documento = '"&amp;SUBSTITUTE(TRIM(K110),"'","''")&amp;"' AND estado = 1 LIMIT 1)")&amp;", p_id_referencia =&gt; "&amp;IF(TRIM(J110&amp;"")&lt;&gt;"","(SELECT lo.id FROM gen_lista_opciones lo JOIN gen_lista l ON l.id = lo.id_lista WHERE l.nombre = 'ReferenciaCilindro' AND upper(lo.nombre) = 'ALMACEN' AND lo.estado = 1 LIMIT 1)",IF(TRIM(K110&amp;"")&lt;&gt;"","(SELECT lo.id FROM gen_lista_opciones lo JOIN gen_lista l ON l.id = lo.id_lista WHERE l.nombre = 'ReferenciaCilindro' AND upper(lo.nombre) = 'CLIENTE' AND lo.estado = 1 LIMIT 1)","NULL"))&amp;", p_anio_fabricacion =&gt; "&amp;IF(M110&amp;""="","NULL::smallint",M110&amp;"::smallint")&amp;", p_mes_fabricacion =&gt; "&amp;IF(N110&amp;""="","NULL::smallint",N110&amp;"::smallint")&amp;", p_fecha_ultima_prueba_hidrostatica =&gt; "&amp;IF(O110&amp;""="","NULL","'"&amp;YEAR(O110)&amp;"-"&amp;TEXT(MONTH(O110),"00")&amp;"-"&amp;TEXT(DAY(O110),"00")&amp;"'")&amp;", p_numero_serie =&gt; "&amp;IF(TRIM(Q110&amp;"")="","NULL","'"&amp;SUBSTITUTE(TRIM(Q110),"'","''")&amp;"'")&amp;", p_id_marca_cilindro =&gt; "&amp;IF(TRIM(R110&amp;"")="","NULL","(SELECT lo.id FROM gen_lista_opciones lo JOIN gen_lista l ON l.id = lo.id_lista WHERE l.nombre = 'MarcaCilindro' AND upper(lo.nombre) = upper('"&amp;SUBSTITUTE(TRIM(R110),"'","''")&amp;"') AND lo.estado = 1 LIMIT 1)")&amp;", p_id_organo_inspector =&gt; "&amp;IF(TRIM(S110&amp;"")="","NULL","(SELECT lo.id FROM gen_lista_opciones lo JOIN gen_lista l ON l.id = lo.id_lista WHERE l.nombre = 'OrganoInspectorCilindro' AND upper(lo.nombre) = upper('"&amp;SUBSTITUTE(TRIM(S110),"'","''")&amp;"') AND lo.estado = 1 LIMIT 1)")&amp;", p_organo_inspector_no_aplica =&gt; "&amp;IF(S110="NO_APLICA","TRUE","FALSE")&amp;", p_presion_actual =&gt; "&amp;IF(T110&amp;""="","NULL",SUBSTITUTE(T110&amp;"",",","."))&amp;", p_tipo_valvula =&gt; "&amp;IF(TRIM(U110&amp;"")="","NULL","'"&amp;SUBSTITUTE(TRIM(U110),"'","''")&amp;"'")&amp;", p_libro_cilindro =&gt; "&amp;IF(TRIM(V110&amp;"")="","NULL","'"&amp;SUBSTITUTE(TRIM(V110),"'","''")&amp;"'")&amp;", p_pagina_libro =&gt; "&amp;IF(W110&amp;""="","NULL",SUBSTITUTE(W110&amp;"",",","."))&amp;", p_observacion =&gt; "&amp;IF(TRIM(X110&amp;"")="","NULL","'"&amp;SUBSTITUTE(TRIM(X110),"'","''")&amp;"'")&amp;") AS resultado_balon_"&amp;ROW()&amp;";")</f>
        <v/>
      </c>
    </row>
    <row r="111" ht="15.75" customHeight="1" s="64">
      <c r="A111" s="36" t="inlineStr">
        <is>
          <t>107</t>
        </is>
      </c>
      <c r="B111" s="25">
        <f>IF(AND(C111="",D111="",E111=""),"",IF(C111="","FALTA código balón",IF(D111="","FALTA tipo balón",IF(E111="","FALTA gas",IF(F111="","FALTA propietario",IF(AND(C111&lt;&gt;"",SUMPRODUCT(--($C$5:$C$1200=C111))&gt;1),"CÓDIGO BALÓN DUPLICADO",IF(AND(OR(UPPER(F111)="PLANTA",UPPER(F111)="CLIENTE"),G111=""),"FALTA doc propietario/planta",IF(AND(UPPER(F111)="PLANTA",G111="10175332796"),"PLANTA no puede ser RUC empresa","OK"))))))))</f>
        <v/>
      </c>
      <c r="C111" s="23" t="inlineStr">
        <is>
          <t>21X647186</t>
        </is>
      </c>
      <c r="D111" s="17" t="inlineStr">
        <is>
          <t>Argón Estándar 10 m3</t>
        </is>
      </c>
      <c r="E111" s="17" t="inlineStr">
        <is>
          <t>ARGON</t>
        </is>
      </c>
      <c r="F111" s="17" t="inlineStr">
        <is>
          <t>PLANTA</t>
        </is>
      </c>
      <c r="G111" s="23" t="inlineStr">
        <is>
          <t>20607948675</t>
        </is>
      </c>
      <c r="H111" s="25">
        <f t="array" ref="H111">IF(G111="","",IFERROR(IF(INDEX(Clientes!$D$5:$D$549,MATCH(G111,Clientes!$C$5:$C$549,0))&lt;&gt;"",INDEX(Clientes!$D$5:$D$549,MATCH(G111,Clientes!$C$5:$C$549,0)),TRIM(INDEX(Clientes!$E$5:$E$549,MATCH(G111,Clientes!$C$5:$C$549,0))&amp;" "&amp;INDEX(Clientes!$F$5:$F$549,MATCH(G111,Clientes!$C$5:$C$549,0)))),"NO EXISTE en Clientes"))</f>
        <v/>
      </c>
      <c r="I111" s="17" t="inlineStr">
        <is>
          <t>DISPONIBLE</t>
        </is>
      </c>
      <c r="J111" s="17" t="inlineStr">
        <is>
          <t>ALMACEN PRINCIPAL</t>
        </is>
      </c>
      <c r="K111" s="23" t="n"/>
      <c r="L111" s="25">
        <f t="array" ref="L111">IF(K111="","",IFERROR(IF(INDEX(Clientes!$D$5:$D$549,MATCH(K111,Clientes!$C$5:$C$549,0))&lt;&gt;"",INDEX(Clientes!$D$5:$D$549,MATCH(K111,Clientes!$C$5:$C$549,0)),TRIM(INDEX(Clientes!$E$5:$E$549,MATCH(K111,Clientes!$C$5:$C$549,0))&amp;" "&amp;INDEX(Clientes!$F$5:$F$549,MATCH(K111,Clientes!$C$5:$C$549,0)))),"NO EXISTE en Clientes"))</f>
        <v/>
      </c>
      <c r="M111" s="17" t="n"/>
      <c r="N111" s="17" t="n"/>
      <c r="O111" s="42" t="n"/>
      <c r="P111" s="39">
        <f>IF(O111&lt;&gt;"",DATE(YEAR(O111)+10,MONTH(O111),1),IF(AND(M111&lt;&gt;"",N111&lt;&gt;""),DATE(M111+5,N111,1),""))</f>
        <v/>
      </c>
      <c r="Q111" s="23" t="n"/>
      <c r="R111" s="17" t="n"/>
      <c r="S111" s="17" t="n"/>
      <c r="T111" s="17" t="n"/>
      <c r="U111" s="17" t="n"/>
      <c r="V111" s="23" t="n"/>
      <c r="W111" s="17" t="n"/>
      <c r="X111" s="17" t="n"/>
      <c r="Y111" s="28">
        <f>IF(B111&lt;&gt;"OK","","SELECT bal_crear_balon(p_codigo_balon =&gt; "&amp;IF(TRIM(C111&amp;"")="","NULL","'"&amp;SUBSTITUTE(TRIM(C111),"'","''")&amp;"'")&amp;", p_id_tipo_balon =&gt; "&amp;"(SELECT id FROM bal_tipo_balon WHERE upper(nombre) = upper('"&amp;SUBSTITUTE(TRIM(D111),"'","''")&amp;"') AND estado = 1 LIMIT 1)"&amp;", p_id_producto_gas =&gt; "&amp;"(SELECT id FROM pro_producto WHERE es_gas = TRUE AND upper(nombre) = upper('"&amp;SUBSTITUTE(TRIM(E111),"'","''")&amp;"') AND estado = 1 LIMIT 1)"&amp;", p_id_propietario =&gt; "&amp;IF(TRIM(F111&amp;"")="","NULL","(SELECT lo.id FROM gen_lista_opciones lo JOIN gen_lista l ON l.id = lo.id_lista WHERE l.nombre = 'PropietarioBalon' AND upper(lo.nombre) = upper('"&amp;SUBSTITUTE(TRIM(F111),"'","''")&amp;"') AND lo.estado = 1 LIMIT 1)")&amp;", p_id_cliente_propietario =&gt; "&amp;IF(F111="CLIENTE",IF(TRIM(G111&amp;"")="","NULL","(SELECT id FROM cli_clientes WHERE numero_documento = '"&amp;SUBSTITUTE(TRIM(G111),"'","''")&amp;"' AND estado = 1 LIMIT 1)"),"NULL")&amp;", p_id_planta =&gt; "&amp;IF(F111="PLANTA",IF(TRIM(G111&amp;"")="","NULL","(SELECT id FROM cli_clientes WHERE numero_documento = '"&amp;SUBSTITUTE(TRIM(G111),"'","''")&amp;"'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"&amp;IF(TRIM(J111&amp;"")="","NULL","(SELECT id FROM gen_almacen WHERE upper(nombre) = upper('"&amp;SUBSTITUTE(TRIM(J111),"'","''")&amp;"') AND estado = 1 LIMIT 1)")&amp;", p_id_cliente_ubicacion =&gt; "&amp;IF(TRIM(K111&amp;"")="","NULL","(SELECT id FROM cli_clientes WHERE numero_documento = '"&amp;SUBSTITUTE(TRIM(K111),"'","''")&amp;"' AND estado = 1 LIMIT 1)")&amp;", p_id_referencia =&gt; "&amp;IF(TRIM(J111&amp;"")&lt;&gt;"","(SELECT lo.id FROM gen_lista_opciones lo JOIN gen_lista l ON l.id = lo.id_lista WHERE l.nombre = 'ReferenciaCilindro' AND upper(lo.nombre) = 'ALMACEN' AND lo.estado = 1 LIMIT 1)",IF(TRIM(K111&amp;"")&lt;&gt;"","(SELECT lo.id FROM gen_lista_opciones lo JOIN gen_lista l ON l.id = lo.id_lista WHERE l.nombre = 'ReferenciaCilindro' AND upper(lo.nombre) = 'CLIENTE' AND lo.estado = 1 LIMIT 1)","NULL"))&amp;", p_anio_fabricacion =&gt; "&amp;IF(M111&amp;""="","NULL::smallint",M111&amp;"::smallint")&amp;", p_mes_fabricacion =&gt; "&amp;IF(N111&amp;""="","NULL::smallint",N111&amp;"::smallint")&amp;", p_fecha_ultima_prueba_hidrostatica =&gt; "&amp;IF(O111&amp;""="","NULL","'"&amp;YEAR(O111)&amp;"-"&amp;TEXT(MONTH(O111),"00")&amp;"-"&amp;TEXT(DAY(O111),"00")&amp;"'")&amp;", p_numero_serie =&gt; "&amp;IF(TRIM(Q111&amp;"")="","NULL","'"&amp;SUBSTITUTE(TRIM(Q111),"'","''")&amp;"'")&amp;", p_id_marca_cilindro =&gt; "&amp;IF(TRIM(R111&amp;"")="","NULL","(SELECT lo.id FROM gen_lista_opciones lo JOIN gen_lista l ON l.id = lo.id_lista WHERE l.nombre = 'MarcaCilindro' AND upper(lo.nombre) = upper('"&amp;SUBSTITUTE(TRIM(R111),"'","''")&amp;"') AND lo.estado = 1 LIMIT 1)")&amp;", p_id_organo_inspector =&gt; "&amp;IF(TRIM(S111&amp;"")="","NULL","(SELECT lo.id FROM gen_lista_opciones lo JOIN gen_lista l ON l.id = lo.id_lista WHERE l.nombre = 'OrganoInspectorCilindro' AND upper(lo.nombre) = upper('"&amp;SUBSTITUTE(TRIM(S111),"'","''")&amp;"') AND lo.estado = 1 LIMIT 1)")&amp;", p_organo_inspector_no_aplica =&gt; "&amp;IF(S111="NO_APLICA","TRUE","FALSE")&amp;", p_presion_actual =&gt; "&amp;IF(T111&amp;""="","NULL",SUBSTITUTE(T111&amp;"",",","."))&amp;", p_tipo_valvula =&gt; "&amp;IF(TRIM(U111&amp;"")="","NULL","'"&amp;SUBSTITUTE(TRIM(U111),"'","''")&amp;"'")&amp;", p_libro_cilindro =&gt; "&amp;IF(TRIM(V111&amp;"")="","NULL","'"&amp;SUBSTITUTE(TRIM(V111),"'","''")&amp;"'")&amp;", p_pagina_libro =&gt; "&amp;IF(W111&amp;""="","NULL",SUBSTITUTE(W111&amp;"",",","."))&amp;", p_observacion =&gt; "&amp;IF(TRIM(X111&amp;"")="","NULL","'"&amp;SUBSTITUTE(TRIM(X111),"'","''")&amp;"'")&amp;") AS resultado_balon_"&amp;ROW()&amp;";")</f>
        <v/>
      </c>
    </row>
    <row r="112" ht="15.75" customHeight="1" s="64">
      <c r="A112" s="36" t="inlineStr">
        <is>
          <t>108</t>
        </is>
      </c>
      <c r="B112" s="25">
        <f>IF(AND(C112="",D112="",E112=""),"",IF(C112="","FALTA código balón",IF(D112="","FALTA tipo balón",IF(E112="","FALTA gas",IF(F112="","FALTA propietario",IF(AND(C112&lt;&gt;"",SUMPRODUCT(--($C$5:$C$1200=C112))&gt;1),"CÓDIGO BALÓN DUPLICADO",IF(AND(OR(UPPER(F112)="PLANTA",UPPER(F112)="CLIENTE"),G112=""),"FALTA doc propietario/planta",IF(AND(UPPER(F112)="PLANTA",G112="10175332796"),"PLANTA no puede ser RUC empresa","OK"))))))))</f>
        <v/>
      </c>
      <c r="C112" s="23" t="inlineStr">
        <is>
          <t>21X631115</t>
        </is>
      </c>
      <c r="D112" s="17" t="inlineStr">
        <is>
          <t>Argón Estándar 10 m3</t>
        </is>
      </c>
      <c r="E112" s="17" t="inlineStr">
        <is>
          <t>ARGON</t>
        </is>
      </c>
      <c r="F112" s="17" t="inlineStr">
        <is>
          <t>PLANTA</t>
        </is>
      </c>
      <c r="G112" s="23" t="inlineStr">
        <is>
          <t>20607948675</t>
        </is>
      </c>
      <c r="H112" s="25">
        <f t="array" ref="H112">IF(G112="","",IFERROR(IF(INDEX(Clientes!$D$5:$D$549,MATCH(G112,Clientes!$C$5:$C$549,0))&lt;&gt;"",INDEX(Clientes!$D$5:$D$549,MATCH(G112,Clientes!$C$5:$C$549,0)),TRIM(INDEX(Clientes!$E$5:$E$549,MATCH(G112,Clientes!$C$5:$C$549,0))&amp;" "&amp;INDEX(Clientes!$F$5:$F$549,MATCH(G112,Clientes!$C$5:$C$549,0)))),"NO EXISTE en Clientes"))</f>
        <v/>
      </c>
      <c r="I112" s="17" t="inlineStr">
        <is>
          <t>DISPONIBLE</t>
        </is>
      </c>
      <c r="J112" s="17" t="inlineStr">
        <is>
          <t>ALMACEN PRINCIPAL</t>
        </is>
      </c>
      <c r="K112" s="23" t="n"/>
      <c r="L112" s="25">
        <f t="array" ref="L112">IF(K112="","",IFERROR(IF(INDEX(Clientes!$D$5:$D$549,MATCH(K112,Clientes!$C$5:$C$549,0))&lt;&gt;"",INDEX(Clientes!$D$5:$D$549,MATCH(K112,Clientes!$C$5:$C$549,0)),TRIM(INDEX(Clientes!$E$5:$E$549,MATCH(K112,Clientes!$C$5:$C$549,0))&amp;" "&amp;INDEX(Clientes!$F$5:$F$549,MATCH(K112,Clientes!$C$5:$C$549,0)))),"NO EXISTE en Clientes"))</f>
        <v/>
      </c>
      <c r="M112" s="17" t="n"/>
      <c r="N112" s="17" t="n"/>
      <c r="O112" s="42" t="n"/>
      <c r="P112" s="39">
        <f>IF(O112&lt;&gt;"",DATE(YEAR(O112)+10,MONTH(O112),1),IF(AND(M112&lt;&gt;"",N112&lt;&gt;""),DATE(M112+5,N112,1),""))</f>
        <v/>
      </c>
      <c r="Q112" s="23" t="n"/>
      <c r="R112" s="17" t="n"/>
      <c r="S112" s="17" t="n"/>
      <c r="T112" s="17" t="n"/>
      <c r="U112" s="17" t="n"/>
      <c r="V112" s="23" t="n"/>
      <c r="W112" s="17" t="n"/>
      <c r="X112" s="17" t="n"/>
      <c r="Y112" s="28">
        <f>IF(B112&lt;&gt;"OK","","SELECT bal_crear_balon(p_codigo_balon =&gt; "&amp;IF(TRIM(C112&amp;"")="","NULL","'"&amp;SUBSTITUTE(TRIM(C112),"'","''")&amp;"'")&amp;", p_id_tipo_balon =&gt; "&amp;"(SELECT id FROM bal_tipo_balon WHERE upper(nombre) = upper('"&amp;SUBSTITUTE(TRIM(D112),"'","''")&amp;"') AND estado = 1 LIMIT 1)"&amp;", p_id_producto_gas =&gt; "&amp;"(SELECT id FROM pro_producto WHERE es_gas = TRUE AND upper(nombre) = upper('"&amp;SUBSTITUTE(TRIM(E112),"'","''")&amp;"') AND estado = 1 LIMIT 1)"&amp;", p_id_propietario =&gt; "&amp;IF(TRIM(F112&amp;"")="","NULL","(SELECT lo.id FROM gen_lista_opciones lo JOIN gen_lista l ON l.id = lo.id_lista WHERE l.nombre = 'PropietarioBalon' AND upper(lo.nombre) = upper('"&amp;SUBSTITUTE(TRIM(F112),"'","''")&amp;"') AND lo.estado = 1 LIMIT 1)")&amp;", p_id_cliente_propietario =&gt; "&amp;IF(F112="CLIENTE",IF(TRIM(G112&amp;"")="","NULL","(SELECT id FROM cli_clientes WHERE numero_documento = '"&amp;SUBSTITUTE(TRIM(G112),"'","''")&amp;"' AND estado = 1 LIMIT 1)"),"NULL")&amp;", p_id_planta =&gt; "&amp;IF(F112="PLANTA",IF(TRIM(G112&amp;"")="","NULL","(SELECT id FROM cli_clientes WHERE numero_documento = '"&amp;SUBSTITUTE(TRIM(G112),"'","''")&amp;"'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"&amp;IF(TRIM(J112&amp;"")="","NULL","(SELECT id FROM gen_almacen WHERE upper(nombre) = upper('"&amp;SUBSTITUTE(TRIM(J112),"'","''")&amp;"') AND estado = 1 LIMIT 1)")&amp;", p_id_cliente_ubicacion =&gt; "&amp;IF(TRIM(K112&amp;"")="","NULL","(SELECT id FROM cli_clientes WHERE numero_documento = '"&amp;SUBSTITUTE(TRIM(K112),"'","''")&amp;"' AND estado = 1 LIMIT 1)")&amp;", p_id_referencia =&gt; "&amp;IF(TRIM(J112&amp;"")&lt;&gt;"","(SELECT lo.id FROM gen_lista_opciones lo JOIN gen_lista l ON l.id = lo.id_lista WHERE l.nombre = 'ReferenciaCilindro' AND upper(lo.nombre) = 'ALMACEN' AND lo.estado = 1 LIMIT 1)",IF(TRIM(K112&amp;"")&lt;&gt;"","(SELECT lo.id FROM gen_lista_opciones lo JOIN gen_lista l ON l.id = lo.id_lista WHERE l.nombre = 'ReferenciaCilindro' AND upper(lo.nombre) = 'CLIENTE' AND lo.estado = 1 LIMIT 1)","NULL"))&amp;", p_anio_fabricacion =&gt; "&amp;IF(M112&amp;""="","NULL::smallint",M112&amp;"::smallint")&amp;", p_mes_fabricacion =&gt; "&amp;IF(N112&amp;""="","NULL::smallint",N112&amp;"::smallint")&amp;", p_fecha_ultima_prueba_hidrostatica =&gt; "&amp;IF(O112&amp;""="","NULL","'"&amp;YEAR(O112)&amp;"-"&amp;TEXT(MONTH(O112),"00")&amp;"-"&amp;TEXT(DAY(O112),"00")&amp;"'")&amp;", p_numero_serie =&gt; "&amp;IF(TRIM(Q112&amp;"")="","NULL","'"&amp;SUBSTITUTE(TRIM(Q112),"'","''")&amp;"'")&amp;", p_id_marca_cilindro =&gt; "&amp;IF(TRIM(R112&amp;"")="","NULL","(SELECT lo.id FROM gen_lista_opciones lo JOIN gen_lista l ON l.id = lo.id_lista WHERE l.nombre = 'MarcaCilindro' AND upper(lo.nombre) = upper('"&amp;SUBSTITUTE(TRIM(R112),"'","''")&amp;"') AND lo.estado = 1 LIMIT 1)")&amp;", p_id_organo_inspector =&gt; "&amp;IF(TRIM(S112&amp;"")="","NULL","(SELECT lo.id FROM gen_lista_opciones lo JOIN gen_lista l ON l.id = lo.id_lista WHERE l.nombre = 'OrganoInspectorCilindro' AND upper(lo.nombre) = upper('"&amp;SUBSTITUTE(TRIM(S112),"'","''")&amp;"') AND lo.estado = 1 LIMIT 1)")&amp;", p_organo_inspector_no_aplica =&gt; "&amp;IF(S112="NO_APLICA","TRUE","FALSE")&amp;", p_presion_actual =&gt; "&amp;IF(T112&amp;""="","NULL",SUBSTITUTE(T112&amp;"",",","."))&amp;", p_tipo_valvula =&gt; "&amp;IF(TRIM(U112&amp;"")="","NULL","'"&amp;SUBSTITUTE(TRIM(U112),"'","''")&amp;"'")&amp;", p_libro_cilindro =&gt; "&amp;IF(TRIM(V112&amp;"")="","NULL","'"&amp;SUBSTITUTE(TRIM(V112),"'","''")&amp;"'")&amp;", p_pagina_libro =&gt; "&amp;IF(W112&amp;""="","NULL",SUBSTITUTE(W112&amp;"",",","."))&amp;", p_observacion =&gt; "&amp;IF(TRIM(X112&amp;"")="","NULL","'"&amp;SUBSTITUTE(TRIM(X112),"'","''")&amp;"'")&amp;") AS resultado_balon_"&amp;ROW()&amp;";")</f>
        <v/>
      </c>
    </row>
    <row r="113" ht="15.75" customHeight="1" s="64">
      <c r="A113" s="36" t="inlineStr">
        <is>
          <t>109</t>
        </is>
      </c>
      <c r="B113" s="25">
        <f>IF(AND(C113="",D113="",E113=""),"",IF(C113="","FALTA código balón",IF(D113="","FALTA tipo balón",IF(E113="","FALTA gas",IF(F113="","FALTA propietario",IF(AND(C113&lt;&gt;"",SUMPRODUCT(--($C$5:$C$1200=C113))&gt;1),"CÓDIGO BALÓN DUPLICADO",IF(AND(OR(UPPER(F113)="PLANTA",UPPER(F113)="CLIENTE"),G113=""),"FALTA doc propietario/planta",IF(AND(UPPER(F113)="PLANTA",G113="10175332796"),"PLANTA no puede ser RUC empresa","OK"))))))))</f>
        <v/>
      </c>
      <c r="C113" s="23" t="inlineStr">
        <is>
          <t>19S165083</t>
        </is>
      </c>
      <c r="D113" s="17" t="inlineStr">
        <is>
          <t>Oxígeno Industrial 6 m³</t>
        </is>
      </c>
      <c r="E113" s="17" t="inlineStr">
        <is>
          <t>OXIGENO INDUSTRIAL</t>
        </is>
      </c>
      <c r="F113" s="17" t="inlineStr">
        <is>
          <t>EMPRESA</t>
        </is>
      </c>
      <c r="G113" s="23" t="inlineStr">
        <is>
          <t>10175332796</t>
        </is>
      </c>
      <c r="H113" s="25">
        <f t="array" ref="H113">IF(G113="","",IFERROR(IF(INDEX(Clientes!$D$5:$D$549,MATCH(G113,Clientes!$C$5:$C$549,0))&lt;&gt;"",INDEX(Clientes!$D$5:$D$549,MATCH(G113,Clientes!$C$5:$C$549,0)),TRIM(INDEX(Clientes!$E$5:$E$549,MATCH(G113,Clientes!$C$5:$C$549,0))&amp;" "&amp;INDEX(Clientes!$F$5:$F$549,MATCH(G113,Clientes!$C$5:$C$549,0)))),"NO EXISTE en Clientes"))</f>
        <v/>
      </c>
      <c r="I113" s="17" t="inlineStr">
        <is>
          <t>DISPONIBLE</t>
        </is>
      </c>
      <c r="J113" s="17" t="inlineStr">
        <is>
          <t>ALMACEN PRINCIPAL</t>
        </is>
      </c>
      <c r="K113" s="23" t="n"/>
      <c r="L113" s="25">
        <f t="array" ref="L113">IF(K113="","",IFERROR(IF(INDEX(Clientes!$D$5:$D$549,MATCH(K113,Clientes!$C$5:$C$549,0))&lt;&gt;"",INDEX(Clientes!$D$5:$D$549,MATCH(K113,Clientes!$C$5:$C$549,0)),TRIM(INDEX(Clientes!$E$5:$E$549,MATCH(K113,Clientes!$C$5:$C$549,0))&amp;" "&amp;INDEX(Clientes!$F$5:$F$549,MATCH(K113,Clientes!$C$5:$C$549,0)))),"NO EXISTE en Clientes"))</f>
        <v/>
      </c>
      <c r="M113" s="17" t="n">
        <v>2025</v>
      </c>
      <c r="N113" s="17" t="n">
        <v>2</v>
      </c>
      <c r="O113" s="42" t="n">
        <v>45689</v>
      </c>
      <c r="P113" s="39">
        <f>IF(O113&lt;&gt;"",DATE(YEAR(O113)+10,MONTH(O113),1),IF(AND(M113&lt;&gt;"",N113&lt;&gt;""),DATE(M113+5,N113,1),""))</f>
        <v/>
      </c>
      <c r="Q113" s="23" t="n"/>
      <c r="R113" s="17" t="inlineStr">
        <is>
          <t>JP</t>
        </is>
      </c>
      <c r="S113" s="17" t="inlineStr">
        <is>
          <t>NO TIENE</t>
        </is>
      </c>
      <c r="T113" s="17" t="n">
        <v>2000</v>
      </c>
      <c r="U113" s="17" t="inlineStr">
        <is>
          <t>AMERICANA</t>
        </is>
      </c>
      <c r="V113" s="23" t="n"/>
      <c r="W113" s="17" t="n"/>
      <c r="X113" s="17" t="inlineStr">
        <is>
          <t>PH LINDE</t>
        </is>
      </c>
      <c r="Y113" s="28">
        <f>IF(B113&lt;&gt;"OK","","SELECT bal_crear_balon(p_codigo_balon =&gt; "&amp;IF(TRIM(C113&amp;"")="","NULL","'"&amp;SUBSTITUTE(TRIM(C113),"'","''")&amp;"'")&amp;", p_id_tipo_balon =&gt; "&amp;"(SELECT id FROM bal_tipo_balon WHERE upper(nombre) = upper('"&amp;SUBSTITUTE(TRIM(D113),"'","''")&amp;"') AND estado = 1 LIMIT 1)"&amp;", p_id_producto_gas =&gt; "&amp;"(SELECT id FROM pro_producto WHERE es_gas = TRUE AND upper(nombre) = upper('"&amp;SUBSTITUTE(TRIM(E113),"'","''")&amp;"') AND estado = 1 LIMIT 1)"&amp;", p_id_propietario =&gt; "&amp;IF(TRIM(F113&amp;"")="","NULL","(SELECT lo.id FROM gen_lista_opciones lo JOIN gen_lista l ON l.id = lo.id_lista WHERE l.nombre = 'PropietarioBalon' AND upper(lo.nombre) = upper('"&amp;SUBSTITUTE(TRIM(F113),"'","''")&amp;"') AND lo.estado = 1 LIMIT 1)")&amp;", p_id_cliente_propietario =&gt; "&amp;IF(F113="CLIENTE",IF(TRIM(G113&amp;"")="","NULL","(SELECT id FROM cli_clientes WHERE numero_documento = '"&amp;SUBSTITUTE(TRIM(G113),"'","''")&amp;"' AND estado = 1 LIMIT 1)"),"NULL")&amp;", p_id_planta =&gt; "&amp;IF(F113="PLANTA",IF(TRIM(G113&amp;"")="","NULL","(SELECT id FROM cli_clientes WHERE numero_documento = '"&amp;SUBSTITUTE(TRIM(G113),"'","''")&amp;"'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"&amp;IF(TRIM(J113&amp;"")="","NULL","(SELECT id FROM gen_almacen WHERE upper(nombre) = upper('"&amp;SUBSTITUTE(TRIM(J113),"'","''")&amp;"') AND estado = 1 LIMIT 1)")&amp;", p_id_cliente_ubicacion =&gt; "&amp;IF(TRIM(K113&amp;"")="","NULL","(SELECT id FROM cli_clientes WHERE numero_documento = '"&amp;SUBSTITUTE(TRIM(K113),"'","''")&amp;"' AND estado = 1 LIMIT 1)")&amp;", p_id_referencia =&gt; "&amp;IF(TRIM(J113&amp;"")&lt;&gt;"","(SELECT lo.id FROM gen_lista_opciones lo JOIN gen_lista l ON l.id = lo.id_lista WHERE l.nombre = 'ReferenciaCilindro' AND upper(lo.nombre) = 'ALMACEN' AND lo.estado = 1 LIMIT 1)",IF(TRIM(K113&amp;"")&lt;&gt;"","(SELECT lo.id FROM gen_lista_opciones lo JOIN gen_lista l ON l.id = lo.id_lista WHERE l.nombre = 'ReferenciaCilindro' AND upper(lo.nombre) = 'CLIENTE' AND lo.estado = 1 LIMIT 1)","NULL"))&amp;", p_anio_fabricacion =&gt; "&amp;IF(M113&amp;""="","NULL::smallint",M113&amp;"::smallint")&amp;", p_mes_fabricacion =&gt; "&amp;IF(N113&amp;""="","NULL::smallint",N113&amp;"::smallint")&amp;", p_fecha_ultima_prueba_hidrostatica =&gt; "&amp;IF(O113&amp;""="","NULL","'"&amp;YEAR(O113)&amp;"-"&amp;TEXT(MONTH(O113),"00")&amp;"-"&amp;TEXT(DAY(O113),"00")&amp;"'")&amp;", p_numero_serie =&gt; "&amp;IF(TRIM(Q113&amp;"")="","NULL","'"&amp;SUBSTITUTE(TRIM(Q113),"'","''")&amp;"'")&amp;", p_id_marca_cilindro =&gt; "&amp;IF(TRIM(R113&amp;"")="","NULL","(SELECT lo.id FROM gen_lista_opciones lo JOIN gen_lista l ON l.id = lo.id_lista WHERE l.nombre = 'MarcaCilindro' AND upper(lo.nombre) = upper('"&amp;SUBSTITUTE(TRIM(R113),"'","''")&amp;"') AND lo.estado = 1 LIMIT 1)")&amp;", p_id_organo_inspector =&gt; "&amp;IF(TRIM(S113&amp;"")="","NULL","(SELECT lo.id FROM gen_lista_opciones lo JOIN gen_lista l ON l.id = lo.id_lista WHERE l.nombre = 'OrganoInspectorCilindro' AND upper(lo.nombre) = upper('"&amp;SUBSTITUTE(TRIM(S113),"'","''")&amp;"') AND lo.estado = 1 LIMIT 1)")&amp;", p_organo_inspector_no_aplica =&gt; "&amp;IF(S113="NO_APLICA","TRUE","FALSE")&amp;", p_presion_actual =&gt; "&amp;IF(T113&amp;""="","NULL",SUBSTITUTE(T113&amp;"",",","."))&amp;", p_tipo_valvula =&gt; "&amp;IF(TRIM(U113&amp;"")="","NULL","'"&amp;SUBSTITUTE(TRIM(U113),"'","''")&amp;"'")&amp;", p_libro_cilindro =&gt; "&amp;IF(TRIM(V113&amp;"")="","NULL","'"&amp;SUBSTITUTE(TRIM(V113),"'","''")&amp;"'")&amp;", p_pagina_libro =&gt; "&amp;IF(W113&amp;""="","NULL",SUBSTITUTE(W113&amp;"",",","."))&amp;", p_observacion =&gt; "&amp;IF(TRIM(X113&amp;"")="","NULL","'"&amp;SUBSTITUTE(TRIM(X113),"'","''")&amp;"'")&amp;") AS resultado_balon_"&amp;ROW()&amp;";")</f>
        <v/>
      </c>
    </row>
    <row r="114" ht="15.75" customHeight="1" s="64">
      <c r="A114" s="36" t="inlineStr">
        <is>
          <t>110</t>
        </is>
      </c>
      <c r="B114" s="25">
        <f>IF(AND(C114="",D114="",E114=""),"",IF(C114="","FALTA código balón",IF(D114="","FALTA tipo balón",IF(E114="","FALTA gas",IF(F114="","FALTA propietario",IF(AND(C114&lt;&gt;"",SUMPRODUCT(--($C$5:$C$1200=C114))&gt;1),"CÓDIGO BALÓN DUPLICADO",IF(AND(OR(UPPER(F114)="PLANTA",UPPER(F114)="CLIENTE"),G114=""),"FALTA doc propietario/planta",IF(AND(UPPER(F114)="PLANTA",G114="10175332796"),"PLANTA no puede ser RUC empresa","OK"))))))))</f>
        <v/>
      </c>
      <c r="C114" s="23" t="inlineStr">
        <is>
          <t>358165</t>
        </is>
      </c>
      <c r="D114" s="17" t="inlineStr">
        <is>
          <t>Oxígeno Industrial 6 m³</t>
        </is>
      </c>
      <c r="E114" s="17" t="inlineStr">
        <is>
          <t>OXIGENO INDUSTRIAL</t>
        </is>
      </c>
      <c r="F114" s="17" t="inlineStr">
        <is>
          <t>EMPRESA</t>
        </is>
      </c>
      <c r="G114" s="23" t="inlineStr">
        <is>
          <t>10175332796</t>
        </is>
      </c>
      <c r="H114" s="25">
        <f t="array" ref="H114">IF(G114="","",IFERROR(IF(INDEX(Clientes!$D$5:$D$549,MATCH(G114,Clientes!$C$5:$C$549,0))&lt;&gt;"",INDEX(Clientes!$D$5:$D$549,MATCH(G114,Clientes!$C$5:$C$549,0)),TRIM(INDEX(Clientes!$E$5:$E$549,MATCH(G114,Clientes!$C$5:$C$549,0))&amp;" "&amp;INDEX(Clientes!$F$5:$F$549,MATCH(G114,Clientes!$C$5:$C$549,0)))),"NO EXISTE en Clientes"))</f>
        <v/>
      </c>
      <c r="I114" s="17" t="inlineStr">
        <is>
          <t>DISPONIBLE</t>
        </is>
      </c>
      <c r="J114" s="17" t="inlineStr">
        <is>
          <t>ALMACEN PRINCIPAL</t>
        </is>
      </c>
      <c r="K114" s="23" t="n"/>
      <c r="L114" s="25">
        <f t="array" ref="L114">IF(K114="","",IFERROR(IF(INDEX(Clientes!$D$5:$D$549,MATCH(K114,Clientes!$C$5:$C$549,0))&lt;&gt;"",INDEX(Clientes!$D$5:$D$549,MATCH(K114,Clientes!$C$5:$C$549,0)),TRIM(INDEX(Clientes!$E$5:$E$549,MATCH(K114,Clientes!$C$5:$C$549,0))&amp;" "&amp;INDEX(Clientes!$F$5:$F$549,MATCH(K114,Clientes!$C$5:$C$549,0)))),"NO EXISTE en Clientes"))</f>
        <v/>
      </c>
      <c r="M114" s="17" t="n"/>
      <c r="N114" s="17" t="n"/>
      <c r="O114" s="42" t="n"/>
      <c r="P114" s="39">
        <f>IF(O114&lt;&gt;"",DATE(YEAR(O114)+10,MONTH(O114),1),IF(AND(M114&lt;&gt;"",N114&lt;&gt;""),DATE(M114+5,N114,1),""))</f>
        <v/>
      </c>
      <c r="Q114" s="23" t="n"/>
      <c r="R114" s="17" t="n"/>
      <c r="S114" s="17" t="n"/>
      <c r="T114" s="17" t="n"/>
      <c r="U114" s="17" t="n"/>
      <c r="V114" s="23" t="n"/>
      <c r="W114" s="17" t="n"/>
      <c r="X114" s="17" t="inlineStr">
        <is>
          <t>PASADIZO</t>
        </is>
      </c>
      <c r="Y114" s="28">
        <f>IF(B114&lt;&gt;"OK","","SELECT bal_crear_balon(p_codigo_balon =&gt; "&amp;IF(TRIM(C114&amp;"")="","NULL","'"&amp;SUBSTITUTE(TRIM(C114),"'","''")&amp;"'")&amp;", p_id_tipo_balon =&gt; "&amp;"(SELECT id FROM bal_tipo_balon WHERE upper(nombre) = upper('"&amp;SUBSTITUTE(TRIM(D114),"'","''")&amp;"') AND estado = 1 LIMIT 1)"&amp;", p_id_producto_gas =&gt; "&amp;"(SELECT id FROM pro_producto WHERE es_gas = TRUE AND upper(nombre) = upper('"&amp;SUBSTITUTE(TRIM(E114),"'","''")&amp;"') AND estado = 1 LIMIT 1)"&amp;", p_id_propietario =&gt; "&amp;IF(TRIM(F114&amp;"")="","NULL","(SELECT lo.id FROM gen_lista_opciones lo JOIN gen_lista l ON l.id = lo.id_lista WHERE l.nombre = 'PropietarioBalon' AND upper(lo.nombre) = upper('"&amp;SUBSTITUTE(TRIM(F114),"'","''")&amp;"') AND lo.estado = 1 LIMIT 1)")&amp;", p_id_cliente_propietario =&gt; "&amp;IF(F114="CLIENTE",IF(TRIM(G114&amp;"")="","NULL","(SELECT id FROM cli_clientes WHERE numero_documento = '"&amp;SUBSTITUTE(TRIM(G114),"'","''")&amp;"' AND estado = 1 LIMIT 1)"),"NULL")&amp;", p_id_planta =&gt; "&amp;IF(F114="PLANTA",IF(TRIM(G114&amp;"")="","NULL","(SELECT id FROM cli_clientes WHERE numero_documento = '"&amp;SUBSTITUTE(TRIM(G114),"'","''")&amp;"'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"&amp;IF(TRIM(J114&amp;"")="","NULL","(SELECT id FROM gen_almacen WHERE upper(nombre) = upper('"&amp;SUBSTITUTE(TRIM(J114),"'","''")&amp;"') AND estado = 1 LIMIT 1)")&amp;", p_id_cliente_ubicacion =&gt; "&amp;IF(TRIM(K114&amp;"")="","NULL","(SELECT id FROM cli_clientes WHERE numero_documento = '"&amp;SUBSTITUTE(TRIM(K114),"'","''")&amp;"' AND estado = 1 LIMIT 1)")&amp;", p_id_referencia =&gt; "&amp;IF(TRIM(J114&amp;"")&lt;&gt;"","(SELECT lo.id FROM gen_lista_opciones lo JOIN gen_lista l ON l.id = lo.id_lista WHERE l.nombre = 'ReferenciaCilindro' AND upper(lo.nombre) = 'ALMACEN' AND lo.estado = 1 LIMIT 1)",IF(TRIM(K114&amp;"")&lt;&gt;"","(SELECT lo.id FROM gen_lista_opciones lo JOIN gen_lista l ON l.id = lo.id_lista WHERE l.nombre = 'ReferenciaCilindro' AND upper(lo.nombre) = 'CLIENTE' AND lo.estado = 1 LIMIT 1)","NULL"))&amp;", p_anio_fabricacion =&gt; "&amp;IF(M114&amp;""="","NULL::smallint",M114&amp;"::smallint")&amp;", p_mes_fabricacion =&gt; "&amp;IF(N114&amp;""="","NULL::smallint",N114&amp;"::smallint")&amp;", p_fecha_ultima_prueba_hidrostatica =&gt; "&amp;IF(O114&amp;""="","NULL","'"&amp;YEAR(O114)&amp;"-"&amp;TEXT(MONTH(O114),"00")&amp;"-"&amp;TEXT(DAY(O114),"00")&amp;"'")&amp;", p_numero_serie =&gt; "&amp;IF(TRIM(Q114&amp;"")="","NULL","'"&amp;SUBSTITUTE(TRIM(Q114),"'","''")&amp;"'")&amp;", p_id_marca_cilindro =&gt; "&amp;IF(TRIM(R114&amp;"")="","NULL","(SELECT lo.id FROM gen_lista_opciones lo JOIN gen_lista l ON l.id = lo.id_lista WHERE l.nombre = 'MarcaCilindro' AND upper(lo.nombre) = upper('"&amp;SUBSTITUTE(TRIM(R114),"'","''")&amp;"') AND lo.estado = 1 LIMIT 1)")&amp;", p_id_organo_inspector =&gt; "&amp;IF(TRIM(S114&amp;"")="","NULL","(SELECT lo.id FROM gen_lista_opciones lo JOIN gen_lista l ON l.id = lo.id_lista WHERE l.nombre = 'OrganoInspectorCilindro' AND upper(lo.nombre) = upper('"&amp;SUBSTITUTE(TRIM(S114),"'","''")&amp;"') AND lo.estado = 1 LIMIT 1)")&amp;", p_organo_inspector_no_aplica =&gt; "&amp;IF(S114="NO_APLICA","TRUE","FALSE")&amp;", p_presion_actual =&gt; "&amp;IF(T114&amp;""="","NULL",SUBSTITUTE(T114&amp;"",",","."))&amp;", p_tipo_valvula =&gt; "&amp;IF(TRIM(U114&amp;"")="","NULL","'"&amp;SUBSTITUTE(TRIM(U114),"'","''")&amp;"'")&amp;", p_libro_cilindro =&gt; "&amp;IF(TRIM(V114&amp;"")="","NULL","'"&amp;SUBSTITUTE(TRIM(V114),"'","''")&amp;"'")&amp;", p_pagina_libro =&gt; "&amp;IF(W114&amp;""="","NULL",SUBSTITUTE(W114&amp;"",",","."))&amp;", p_observacion =&gt; "&amp;IF(TRIM(X114&amp;"")="","NULL","'"&amp;SUBSTITUTE(TRIM(X114),"'","''")&amp;"'")&amp;") AS resultado_balon_"&amp;ROW()&amp;";")</f>
        <v/>
      </c>
    </row>
    <row r="115" ht="15.75" customHeight="1" s="64">
      <c r="A115" s="36" t="inlineStr">
        <is>
          <t>111</t>
        </is>
      </c>
      <c r="B115" s="25">
        <f>IF(AND(C115="",D115="",E115=""),"",IF(C115="","FALTA código balón",IF(D115="","FALTA tipo balón",IF(E115="","FALTA gas",IF(F115="","FALTA propietario",IF(AND(C115&lt;&gt;"",SUMPRODUCT(--($C$5:$C$1200=C115))&gt;1),"CÓDIGO BALÓN DUPLICADO",IF(AND(OR(UPPER(F115)="PLANTA",UPPER(F115)="CLIENTE"),G115=""),"FALTA doc propietario/planta",IF(AND(UPPER(F115)="PLANTA",G115="10175332796"),"PLANTA no puede ser RUC empresa","OK"))))))))</f>
        <v/>
      </c>
      <c r="C115" s="23" t="inlineStr">
        <is>
          <t>303195 (1475)</t>
        </is>
      </c>
      <c r="D115" s="17" t="inlineStr">
        <is>
          <t>Oxígeno Industrial 6 m³</t>
        </is>
      </c>
      <c r="E115" s="17" t="inlineStr">
        <is>
          <t>OXIGENO INDUSTRIAL</t>
        </is>
      </c>
      <c r="F115" s="17" t="inlineStr">
        <is>
          <t>EMPRESA</t>
        </is>
      </c>
      <c r="G115" s="23" t="inlineStr">
        <is>
          <t>10175332796</t>
        </is>
      </c>
      <c r="H115" s="25">
        <f t="array" ref="H115">IF(G115="","",IFERROR(IF(INDEX(Clientes!$D$5:$D$549,MATCH(G115,Clientes!$C$5:$C$549,0))&lt;&gt;"",INDEX(Clientes!$D$5:$D$549,MATCH(G115,Clientes!$C$5:$C$549,0)),TRIM(INDEX(Clientes!$E$5:$E$549,MATCH(G115,Clientes!$C$5:$C$549,0))&amp;" "&amp;INDEX(Clientes!$F$5:$F$549,MATCH(G115,Clientes!$C$5:$C$549,0)))),"NO EXISTE en Clientes"))</f>
        <v/>
      </c>
      <c r="I115" s="17" t="inlineStr">
        <is>
          <t>DISPONIBLE</t>
        </is>
      </c>
      <c r="J115" s="17" t="inlineStr">
        <is>
          <t>ALMACEN PRINCIPAL</t>
        </is>
      </c>
      <c r="K115" s="23" t="n"/>
      <c r="L115" s="25">
        <f t="array" ref="L115">IF(K115="","",IFERROR(IF(INDEX(Clientes!$D$5:$D$549,MATCH(K115,Clientes!$C$5:$C$549,0))&lt;&gt;"",INDEX(Clientes!$D$5:$D$549,MATCH(K115,Clientes!$C$5:$C$549,0)),TRIM(INDEX(Clientes!$E$5:$E$549,MATCH(K115,Clientes!$C$5:$C$549,0))&amp;" "&amp;INDEX(Clientes!$F$5:$F$549,MATCH(K115,Clientes!$C$5:$C$549,0)))),"NO EXISTE en Clientes"))</f>
        <v/>
      </c>
      <c r="M115" s="17" t="n"/>
      <c r="N115" s="17" t="n"/>
      <c r="O115" s="42" t="n"/>
      <c r="P115" s="39">
        <f>IF(O115&lt;&gt;"",DATE(YEAR(O115)+10,MONTH(O115),1),IF(AND(M115&lt;&gt;"",N115&lt;&gt;""),DATE(M115+5,N115,1),""))</f>
        <v/>
      </c>
      <c r="Q115" s="23" t="n"/>
      <c r="R115" s="17" t="n"/>
      <c r="S115" s="17" t="n"/>
      <c r="T115" s="17" t="n"/>
      <c r="U115" s="17" t="n"/>
      <c r="V115" s="23" t="n"/>
      <c r="W115" s="17" t="n"/>
      <c r="X115" s="17" t="inlineStr">
        <is>
          <t>PASADIZO</t>
        </is>
      </c>
      <c r="Y115" s="28">
        <f>IF(B115&lt;&gt;"OK","","SELECT bal_crear_balon(p_codigo_balon =&gt; "&amp;IF(TRIM(C115&amp;"")="","NULL","'"&amp;SUBSTITUTE(TRIM(C115),"'","''")&amp;"'")&amp;", p_id_tipo_balon =&gt; "&amp;"(SELECT id FROM bal_tipo_balon WHERE upper(nombre) = upper('"&amp;SUBSTITUTE(TRIM(D115),"'","''")&amp;"') AND estado = 1 LIMIT 1)"&amp;", p_id_producto_gas =&gt; "&amp;"(SELECT id FROM pro_producto WHERE es_gas = TRUE AND upper(nombre) = upper('"&amp;SUBSTITUTE(TRIM(E115),"'","''")&amp;"') AND estado = 1 LIMIT 1)"&amp;", p_id_propietario =&gt; "&amp;IF(TRIM(F115&amp;"")="","NULL","(SELECT lo.id FROM gen_lista_opciones lo JOIN gen_lista l ON l.id = lo.id_lista WHERE l.nombre = 'PropietarioBalon' AND upper(lo.nombre) = upper('"&amp;SUBSTITUTE(TRIM(F115),"'","''")&amp;"') AND lo.estado = 1 LIMIT 1)")&amp;", p_id_cliente_propietario =&gt; "&amp;IF(F115="CLIENTE",IF(TRIM(G115&amp;"")="","NULL","(SELECT id FROM cli_clientes WHERE numero_documento = '"&amp;SUBSTITUTE(TRIM(G115),"'","''")&amp;"' AND estado = 1 LIMIT 1)"),"NULL")&amp;", p_id_planta =&gt; "&amp;IF(F115="PLANTA",IF(TRIM(G115&amp;"")="","NULL","(SELECT id FROM cli_clientes WHERE numero_documento = '"&amp;SUBSTITUTE(TRIM(G115),"'","''")&amp;"'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"&amp;IF(TRIM(J115&amp;"")="","NULL","(SELECT id FROM gen_almacen WHERE upper(nombre) = upper('"&amp;SUBSTITUTE(TRIM(J115),"'","''")&amp;"') AND estado = 1 LIMIT 1)")&amp;", p_id_cliente_ubicacion =&gt; "&amp;IF(TRIM(K115&amp;"")="","NULL","(SELECT id FROM cli_clientes WHERE numero_documento = '"&amp;SUBSTITUTE(TRIM(K115),"'","''")&amp;"' AND estado = 1 LIMIT 1)")&amp;", p_id_referencia =&gt; "&amp;IF(TRIM(J115&amp;"")&lt;&gt;"","(SELECT lo.id FROM gen_lista_opciones lo JOIN gen_lista l ON l.id = lo.id_lista WHERE l.nombre = 'ReferenciaCilindro' AND upper(lo.nombre) = 'ALMACEN' AND lo.estado = 1 LIMIT 1)",IF(TRIM(K115&amp;"")&lt;&gt;"","(SELECT lo.id FROM gen_lista_opciones lo JOIN gen_lista l ON l.id = lo.id_lista WHERE l.nombre = 'ReferenciaCilindro' AND upper(lo.nombre) = 'CLIENTE' AND lo.estado = 1 LIMIT 1)","NULL"))&amp;", p_anio_fabricacion =&gt; "&amp;IF(M115&amp;""="","NULL::smallint",M115&amp;"::smallint")&amp;", p_mes_fabricacion =&gt; "&amp;IF(N115&amp;""="","NULL::smallint",N115&amp;"::smallint")&amp;", p_fecha_ultima_prueba_hidrostatica =&gt; "&amp;IF(O115&amp;""="","NULL","'"&amp;YEAR(O115)&amp;"-"&amp;TEXT(MONTH(O115),"00")&amp;"-"&amp;TEXT(DAY(O115),"00")&amp;"'")&amp;", p_numero_serie =&gt; "&amp;IF(TRIM(Q115&amp;"")="","NULL","'"&amp;SUBSTITUTE(TRIM(Q115),"'","''")&amp;"'")&amp;", p_id_marca_cilindro =&gt; "&amp;IF(TRIM(R115&amp;"")="","NULL","(SELECT lo.id FROM gen_lista_opciones lo JOIN gen_lista l ON l.id = lo.id_lista WHERE l.nombre = 'MarcaCilindro' AND upper(lo.nombre) = upper('"&amp;SUBSTITUTE(TRIM(R115),"'","''")&amp;"') AND lo.estado = 1 LIMIT 1)")&amp;", p_id_organo_inspector =&gt; "&amp;IF(TRIM(S115&amp;"")="","NULL","(SELECT lo.id FROM gen_lista_opciones lo JOIN gen_lista l ON l.id = lo.id_lista WHERE l.nombre = 'OrganoInspectorCilindro' AND upper(lo.nombre) = upper('"&amp;SUBSTITUTE(TRIM(S115),"'","''")&amp;"') AND lo.estado = 1 LIMIT 1)")&amp;", p_organo_inspector_no_aplica =&gt; "&amp;IF(S115="NO_APLICA","TRUE","FALSE")&amp;", p_presion_actual =&gt; "&amp;IF(T115&amp;""="","NULL",SUBSTITUTE(T115&amp;"",",","."))&amp;", p_tipo_valvula =&gt; "&amp;IF(TRIM(U115&amp;"")="","NULL","'"&amp;SUBSTITUTE(TRIM(U115),"'","''")&amp;"'")&amp;", p_libro_cilindro =&gt; "&amp;IF(TRIM(V115&amp;"")="","NULL","'"&amp;SUBSTITUTE(TRIM(V115),"'","''")&amp;"'")&amp;", p_pagina_libro =&gt; "&amp;IF(W115&amp;""="","NULL",SUBSTITUTE(W115&amp;"",",","."))&amp;", p_observacion =&gt; "&amp;IF(TRIM(X115&amp;"")="","NULL","'"&amp;SUBSTITUTE(TRIM(X115),"'","''")&amp;"'")&amp;") AS resultado_balon_"&amp;ROW()&amp;";")</f>
        <v/>
      </c>
    </row>
    <row r="116" ht="15.75" customHeight="1" s="64">
      <c r="A116" s="36" t="inlineStr">
        <is>
          <t>112</t>
        </is>
      </c>
      <c r="B116" s="25">
        <f>IF(AND(C116="",D116="",E116=""),"",IF(C116="","FALTA código balón",IF(D116="","FALTA tipo balón",IF(E116="","FALTA gas",IF(F116="","FALTA propietario",IF(AND(C116&lt;&gt;"",SUMPRODUCT(--($C$5:$C$1200=C116))&gt;1),"CÓDIGO BALÓN DUPLICADO",IF(AND(OR(UPPER(F116)="PLANTA",UPPER(F116)="CLIENTE"),G116=""),"FALTA doc propietario/planta",IF(AND(UPPER(F116)="PLANTA",G116="10175332796"),"PLANTA no puede ser RUC empresa","OK"))))))))</f>
        <v/>
      </c>
      <c r="C116" s="23" t="inlineStr">
        <is>
          <t>5068</t>
        </is>
      </c>
      <c r="D116" s="17" t="inlineStr">
        <is>
          <t>Oxígeno Industrial 6 m³</t>
        </is>
      </c>
      <c r="E116" s="17" t="inlineStr">
        <is>
          <t>OXIGENO INDUSTRIAL</t>
        </is>
      </c>
      <c r="F116" s="17" t="inlineStr">
        <is>
          <t>EMPRESA</t>
        </is>
      </c>
      <c r="G116" s="23" t="inlineStr">
        <is>
          <t>10175332796</t>
        </is>
      </c>
      <c r="H116" s="25">
        <f t="array" ref="H116">IF(G116="","",IFERROR(IF(INDEX(Clientes!$D$5:$D$549,MATCH(G116,Clientes!$C$5:$C$549,0))&lt;&gt;"",INDEX(Clientes!$D$5:$D$549,MATCH(G116,Clientes!$C$5:$C$549,0)),TRIM(INDEX(Clientes!$E$5:$E$549,MATCH(G116,Clientes!$C$5:$C$549,0))&amp;" "&amp;INDEX(Clientes!$F$5:$F$549,MATCH(G116,Clientes!$C$5:$C$549,0)))),"NO EXISTE en Clientes"))</f>
        <v/>
      </c>
      <c r="I116" s="17" t="inlineStr">
        <is>
          <t>DISPONIBLE</t>
        </is>
      </c>
      <c r="J116" s="17" t="inlineStr">
        <is>
          <t>ALMACEN PRINCIPAL</t>
        </is>
      </c>
      <c r="K116" s="23" t="n"/>
      <c r="L116" s="25">
        <f t="array" ref="L116">IF(K116="","",IFERROR(IF(INDEX(Clientes!$D$5:$D$549,MATCH(K116,Clientes!$C$5:$C$549,0))&lt;&gt;"",INDEX(Clientes!$D$5:$D$549,MATCH(K116,Clientes!$C$5:$C$549,0)),TRIM(INDEX(Clientes!$E$5:$E$549,MATCH(K116,Clientes!$C$5:$C$549,0))&amp;" "&amp;INDEX(Clientes!$F$5:$F$549,MATCH(K116,Clientes!$C$5:$C$549,0)))),"NO EXISTE en Clientes"))</f>
        <v/>
      </c>
      <c r="M116" s="17" t="n"/>
      <c r="N116" s="17" t="n"/>
      <c r="O116" s="42" t="n"/>
      <c r="P116" s="39">
        <f>IF(O116&lt;&gt;"",DATE(YEAR(O116)+10,MONTH(O116),1),IF(AND(M116&lt;&gt;"",N116&lt;&gt;""),DATE(M116+5,N116,1),""))</f>
        <v/>
      </c>
      <c r="Q116" s="23" t="n"/>
      <c r="R116" s="17" t="n"/>
      <c r="S116" s="17" t="n"/>
      <c r="T116" s="17" t="n"/>
      <c r="U116" s="17" t="n"/>
      <c r="V116" s="23" t="n"/>
      <c r="W116" s="17" t="n"/>
      <c r="X116" s="17" t="inlineStr">
        <is>
          <t>PASADIZO</t>
        </is>
      </c>
      <c r="Y116" s="28">
        <f>IF(B116&lt;&gt;"OK","","SELECT bal_crear_balon(p_codigo_balon =&gt; "&amp;IF(TRIM(C116&amp;"")="","NULL","'"&amp;SUBSTITUTE(TRIM(C116),"'","''")&amp;"'")&amp;", p_id_tipo_balon =&gt; "&amp;"(SELECT id FROM bal_tipo_balon WHERE upper(nombre) = upper('"&amp;SUBSTITUTE(TRIM(D116),"'","''")&amp;"') AND estado = 1 LIMIT 1)"&amp;", p_id_producto_gas =&gt; "&amp;"(SELECT id FROM pro_producto WHERE es_gas = TRUE AND upper(nombre) = upper('"&amp;SUBSTITUTE(TRIM(E116),"'","''")&amp;"') AND estado = 1 LIMIT 1)"&amp;", p_id_propietario =&gt; "&amp;IF(TRIM(F116&amp;"")="","NULL","(SELECT lo.id FROM gen_lista_opciones lo JOIN gen_lista l ON l.id = lo.id_lista WHERE l.nombre = 'PropietarioBalon' AND upper(lo.nombre) = upper('"&amp;SUBSTITUTE(TRIM(F116),"'","''")&amp;"') AND lo.estado = 1 LIMIT 1)")&amp;", p_id_cliente_propietario =&gt; "&amp;IF(F116="CLIENTE",IF(TRIM(G116&amp;"")="","NULL","(SELECT id FROM cli_clientes WHERE numero_documento = '"&amp;SUBSTITUTE(TRIM(G116),"'","''")&amp;"' AND estado = 1 LIMIT 1)"),"NULL")&amp;", p_id_planta =&gt; "&amp;IF(F116="PLANTA",IF(TRIM(G116&amp;"")="","NULL","(SELECT id FROM cli_clientes WHERE numero_documento = '"&amp;SUBSTITUTE(TRIM(G116),"'","''")&amp;"'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"&amp;IF(TRIM(J116&amp;"")="","NULL","(SELECT id FROM gen_almacen WHERE upper(nombre) = upper('"&amp;SUBSTITUTE(TRIM(J116),"'","''")&amp;"') AND estado = 1 LIMIT 1)")&amp;", p_id_cliente_ubicacion =&gt; "&amp;IF(TRIM(K116&amp;"")="","NULL","(SELECT id FROM cli_clientes WHERE numero_documento = '"&amp;SUBSTITUTE(TRIM(K116),"'","''")&amp;"' AND estado = 1 LIMIT 1)")&amp;", p_id_referencia =&gt; "&amp;IF(TRIM(J116&amp;"")&lt;&gt;"","(SELECT lo.id FROM gen_lista_opciones lo JOIN gen_lista l ON l.id = lo.id_lista WHERE l.nombre = 'ReferenciaCilindro' AND upper(lo.nombre) = 'ALMACEN' AND lo.estado = 1 LIMIT 1)",IF(TRIM(K116&amp;"")&lt;&gt;"","(SELECT lo.id FROM gen_lista_opciones lo JOIN gen_lista l ON l.id = lo.id_lista WHERE l.nombre = 'ReferenciaCilindro' AND upper(lo.nombre) = 'CLIENTE' AND lo.estado = 1 LIMIT 1)","NULL"))&amp;", p_anio_fabricacion =&gt; "&amp;IF(M116&amp;""="","NULL::smallint",M116&amp;"::smallint")&amp;", p_mes_fabricacion =&gt; "&amp;IF(N116&amp;""="","NULL::smallint",N116&amp;"::smallint")&amp;", p_fecha_ultima_prueba_hidrostatica =&gt; "&amp;IF(O116&amp;""="","NULL","'"&amp;YEAR(O116)&amp;"-"&amp;TEXT(MONTH(O116),"00")&amp;"-"&amp;TEXT(DAY(O116),"00")&amp;"'")&amp;", p_numero_serie =&gt; "&amp;IF(TRIM(Q116&amp;"")="","NULL","'"&amp;SUBSTITUTE(TRIM(Q116),"'","''")&amp;"'")&amp;", p_id_marca_cilindro =&gt; "&amp;IF(TRIM(R116&amp;"")="","NULL","(SELECT lo.id FROM gen_lista_opciones lo JOIN gen_lista l ON l.id = lo.id_lista WHERE l.nombre = 'MarcaCilindro' AND upper(lo.nombre) = upper('"&amp;SUBSTITUTE(TRIM(R116),"'","''")&amp;"') AND lo.estado = 1 LIMIT 1)")&amp;", p_id_organo_inspector =&gt; "&amp;IF(TRIM(S116&amp;"")="","NULL","(SELECT lo.id FROM gen_lista_opciones lo JOIN gen_lista l ON l.id = lo.id_lista WHERE l.nombre = 'OrganoInspectorCilindro' AND upper(lo.nombre) = upper('"&amp;SUBSTITUTE(TRIM(S116),"'","''")&amp;"') AND lo.estado = 1 LIMIT 1)")&amp;", p_organo_inspector_no_aplica =&gt; "&amp;IF(S116="NO_APLICA","TRUE","FALSE")&amp;", p_presion_actual =&gt; "&amp;IF(T116&amp;""="","NULL",SUBSTITUTE(T116&amp;"",",","."))&amp;", p_tipo_valvula =&gt; "&amp;IF(TRIM(U116&amp;"")="","NULL","'"&amp;SUBSTITUTE(TRIM(U116),"'","''")&amp;"'")&amp;", p_libro_cilindro =&gt; "&amp;IF(TRIM(V116&amp;"")="","NULL","'"&amp;SUBSTITUTE(TRIM(V116),"'","''")&amp;"'")&amp;", p_pagina_libro =&gt; "&amp;IF(W116&amp;""="","NULL",SUBSTITUTE(W116&amp;"",",","."))&amp;", p_observacion =&gt; "&amp;IF(TRIM(X116&amp;"")="","NULL","'"&amp;SUBSTITUTE(TRIM(X116),"'","''")&amp;"'")&amp;") AS resultado_balon_"&amp;ROW()&amp;";")</f>
        <v/>
      </c>
    </row>
    <row r="117" ht="15.75" customHeight="1" s="64">
      <c r="A117" s="36" t="inlineStr">
        <is>
          <t>113</t>
        </is>
      </c>
      <c r="B117" s="25">
        <f>IF(AND(C117="",D117="",E117=""),"",IF(C117="","FALTA código balón",IF(D117="","FALTA tipo balón",IF(E117="","FALTA gas",IF(F117="","FALTA propietario",IF(AND(C117&lt;&gt;"",SUMPRODUCT(--($C$5:$C$1200=C117))&gt;1),"CÓDIGO BALÓN DUPLICADO",IF(AND(OR(UPPER(F117)="PLANTA",UPPER(F117)="CLIENTE"),G117=""),"FALTA doc propietario/planta",IF(AND(UPPER(F117)="PLANTA",G117="10175332796"),"PLANTA no puede ser RUC empresa","OK"))))))))</f>
        <v/>
      </c>
      <c r="C117" s="23" t="inlineStr">
        <is>
          <t>303212</t>
        </is>
      </c>
      <c r="D117" s="17" t="inlineStr">
        <is>
          <t>Oxígeno Industrial 6 m³</t>
        </is>
      </c>
      <c r="E117" s="17" t="inlineStr">
        <is>
          <t>OXIGENO INDUSTRIAL</t>
        </is>
      </c>
      <c r="F117" s="17" t="inlineStr">
        <is>
          <t>EMPRESA</t>
        </is>
      </c>
      <c r="G117" s="23" t="inlineStr">
        <is>
          <t>10175332796</t>
        </is>
      </c>
      <c r="H117" s="25">
        <f t="array" ref="H117">IF(G117="","",IFERROR(IF(INDEX(Clientes!$D$5:$D$549,MATCH(G117,Clientes!$C$5:$C$549,0))&lt;&gt;"",INDEX(Clientes!$D$5:$D$549,MATCH(G117,Clientes!$C$5:$C$549,0)),TRIM(INDEX(Clientes!$E$5:$E$549,MATCH(G117,Clientes!$C$5:$C$549,0))&amp;" "&amp;INDEX(Clientes!$F$5:$F$549,MATCH(G117,Clientes!$C$5:$C$549,0)))),"NO EXISTE en Clientes"))</f>
        <v/>
      </c>
      <c r="I117" s="17" t="inlineStr">
        <is>
          <t>DISPONIBLE</t>
        </is>
      </c>
      <c r="J117" s="17" t="inlineStr">
        <is>
          <t>ALMACEN PRINCIPAL</t>
        </is>
      </c>
      <c r="K117" s="23" t="n"/>
      <c r="L117" s="25">
        <f t="array" ref="L117">IF(K117="","",IFERROR(IF(INDEX(Clientes!$D$5:$D$549,MATCH(K117,Clientes!$C$5:$C$549,0))&lt;&gt;"",INDEX(Clientes!$D$5:$D$549,MATCH(K117,Clientes!$C$5:$C$549,0)),TRIM(INDEX(Clientes!$E$5:$E$549,MATCH(K117,Clientes!$C$5:$C$549,0))&amp;" "&amp;INDEX(Clientes!$F$5:$F$549,MATCH(K117,Clientes!$C$5:$C$549,0)))),"NO EXISTE en Clientes"))</f>
        <v/>
      </c>
      <c r="M117" s="17" t="n"/>
      <c r="N117" s="17" t="n"/>
      <c r="O117" s="42" t="n"/>
      <c r="P117" s="39">
        <f>IF(O117&lt;&gt;"",DATE(YEAR(O117)+10,MONTH(O117),1),IF(AND(M117&lt;&gt;"",N117&lt;&gt;""),DATE(M117+5,N117,1),""))</f>
        <v/>
      </c>
      <c r="Q117" s="23" t="n"/>
      <c r="R117" s="17" t="n"/>
      <c r="S117" s="17" t="n"/>
      <c r="T117" s="17" t="n"/>
      <c r="U117" s="17" t="n"/>
      <c r="V117" s="23" t="n"/>
      <c r="W117" s="17" t="n"/>
      <c r="X117" s="17" t="inlineStr">
        <is>
          <t>PASADIZO</t>
        </is>
      </c>
      <c r="Y117" s="28">
        <f>IF(B117&lt;&gt;"OK","","SELECT bal_crear_balon(p_codigo_balon =&gt; "&amp;IF(TRIM(C117&amp;"")="","NULL","'"&amp;SUBSTITUTE(TRIM(C117),"'","''")&amp;"'")&amp;", p_id_tipo_balon =&gt; "&amp;"(SELECT id FROM bal_tipo_balon WHERE upper(nombre) = upper('"&amp;SUBSTITUTE(TRIM(D117),"'","''")&amp;"') AND estado = 1 LIMIT 1)"&amp;", p_id_producto_gas =&gt; "&amp;"(SELECT id FROM pro_producto WHERE es_gas = TRUE AND upper(nombre) = upper('"&amp;SUBSTITUTE(TRIM(E117),"'","''")&amp;"') AND estado = 1 LIMIT 1)"&amp;", p_id_propietario =&gt; "&amp;IF(TRIM(F117&amp;"")="","NULL","(SELECT lo.id FROM gen_lista_opciones lo JOIN gen_lista l ON l.id = lo.id_lista WHERE l.nombre = 'PropietarioBalon' AND upper(lo.nombre) = upper('"&amp;SUBSTITUTE(TRIM(F117),"'","''")&amp;"') AND lo.estado = 1 LIMIT 1)")&amp;", p_id_cliente_propietario =&gt; "&amp;IF(F117="CLIENTE",IF(TRIM(G117&amp;"")="","NULL","(SELECT id FROM cli_clientes WHERE numero_documento = '"&amp;SUBSTITUTE(TRIM(G117),"'","''")&amp;"' AND estado = 1 LIMIT 1)"),"NULL")&amp;", p_id_planta =&gt; "&amp;IF(F117="PLANTA",IF(TRIM(G117&amp;"")="","NULL","(SELECT id FROM cli_clientes WHERE numero_documento = '"&amp;SUBSTITUTE(TRIM(G117),"'","''")&amp;"'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"&amp;IF(TRIM(J117&amp;"")="","NULL","(SELECT id FROM gen_almacen WHERE upper(nombre) = upper('"&amp;SUBSTITUTE(TRIM(J117),"'","''")&amp;"') AND estado = 1 LIMIT 1)")&amp;", p_id_cliente_ubicacion =&gt; "&amp;IF(TRIM(K117&amp;"")="","NULL","(SELECT id FROM cli_clientes WHERE numero_documento = '"&amp;SUBSTITUTE(TRIM(K117),"'","''")&amp;"' AND estado = 1 LIMIT 1)")&amp;", p_id_referencia =&gt; "&amp;IF(TRIM(J117&amp;"")&lt;&gt;"","(SELECT lo.id FROM gen_lista_opciones lo JOIN gen_lista l ON l.id = lo.id_lista WHERE l.nombre = 'ReferenciaCilindro' AND upper(lo.nombre) = 'ALMACEN' AND lo.estado = 1 LIMIT 1)",IF(TRIM(K117&amp;"")&lt;&gt;"","(SELECT lo.id FROM gen_lista_opciones lo JOIN gen_lista l ON l.id = lo.id_lista WHERE l.nombre = 'ReferenciaCilindro' AND upper(lo.nombre) = 'CLIENTE' AND lo.estado = 1 LIMIT 1)","NULL"))&amp;", p_anio_fabricacion =&gt; "&amp;IF(M117&amp;""="","NULL::smallint",M117&amp;"::smallint")&amp;", p_mes_fabricacion =&gt; "&amp;IF(N117&amp;""="","NULL::smallint",N117&amp;"::smallint")&amp;", p_fecha_ultima_prueba_hidrostatica =&gt; "&amp;IF(O117&amp;""="","NULL","'"&amp;YEAR(O117)&amp;"-"&amp;TEXT(MONTH(O117),"00")&amp;"-"&amp;TEXT(DAY(O117),"00")&amp;"'")&amp;", p_numero_serie =&gt; "&amp;IF(TRIM(Q117&amp;"")="","NULL","'"&amp;SUBSTITUTE(TRIM(Q117),"'","''")&amp;"'")&amp;", p_id_marca_cilindro =&gt; "&amp;IF(TRIM(R117&amp;"")="","NULL","(SELECT lo.id FROM gen_lista_opciones lo JOIN gen_lista l ON l.id = lo.id_lista WHERE l.nombre = 'MarcaCilindro' AND upper(lo.nombre) = upper('"&amp;SUBSTITUTE(TRIM(R117),"'","''")&amp;"') AND lo.estado = 1 LIMIT 1)")&amp;", p_id_organo_inspector =&gt; "&amp;IF(TRIM(S117&amp;"")="","NULL","(SELECT lo.id FROM gen_lista_opciones lo JOIN gen_lista l ON l.id = lo.id_lista WHERE l.nombre = 'OrganoInspectorCilindro' AND upper(lo.nombre) = upper('"&amp;SUBSTITUTE(TRIM(S117),"'","''")&amp;"') AND lo.estado = 1 LIMIT 1)")&amp;", p_organo_inspector_no_aplica =&gt; "&amp;IF(S117="NO_APLICA","TRUE","FALSE")&amp;", p_presion_actual =&gt; "&amp;IF(T117&amp;""="","NULL",SUBSTITUTE(T117&amp;"",",","."))&amp;", p_tipo_valvula =&gt; "&amp;IF(TRIM(U117&amp;"")="","NULL","'"&amp;SUBSTITUTE(TRIM(U117),"'","''")&amp;"'")&amp;", p_libro_cilindro =&gt; "&amp;IF(TRIM(V117&amp;"")="","NULL","'"&amp;SUBSTITUTE(TRIM(V117),"'","''")&amp;"'")&amp;", p_pagina_libro =&gt; "&amp;IF(W117&amp;""="","NULL",SUBSTITUTE(W117&amp;"",",","."))&amp;", p_observacion =&gt; "&amp;IF(TRIM(X117&amp;"")="","NULL","'"&amp;SUBSTITUTE(TRIM(X117),"'","''")&amp;"'")&amp;") AS resultado_balon_"&amp;ROW()&amp;";")</f>
        <v/>
      </c>
    </row>
    <row r="118" ht="15.75" customHeight="1" s="64">
      <c r="A118" s="36" t="inlineStr">
        <is>
          <t>114</t>
        </is>
      </c>
      <c r="B118" s="25">
        <f>IF(AND(C118="",D118="",E118=""),"",IF(C118="","FALTA código balón",IF(D118="","FALTA tipo balón",IF(E118="","FALTA gas",IF(F118="","FALTA propietario",IF(AND(C118&lt;&gt;"",SUMPRODUCT(--($C$5:$C$1200=C118))&gt;1),"CÓDIGO BALÓN DUPLICADO",IF(AND(OR(UPPER(F118)="PLANTA",UPPER(F118)="CLIENTE"),G118=""),"FALTA doc propietario/planta",IF(AND(UPPER(F118)="PLANTA",G118="10175332796"),"PLANTA no puede ser RUC empresa","OK"))))))))</f>
        <v/>
      </c>
      <c r="C118" s="23" t="inlineStr">
        <is>
          <t>303198 (303108)</t>
        </is>
      </c>
      <c r="D118" s="17" t="inlineStr">
        <is>
          <t>Oxígeno Industrial 6 m³</t>
        </is>
      </c>
      <c r="E118" s="17" t="inlineStr">
        <is>
          <t>OXIGENO INDUSTRIAL</t>
        </is>
      </c>
      <c r="F118" s="17" t="inlineStr">
        <is>
          <t>EMPRESA</t>
        </is>
      </c>
      <c r="G118" s="23" t="inlineStr">
        <is>
          <t>10175332796</t>
        </is>
      </c>
      <c r="H118" s="25">
        <f t="array" ref="H118">IF(G118="","",IFERROR(IF(INDEX(Clientes!$D$5:$D$549,MATCH(G118,Clientes!$C$5:$C$549,0))&lt;&gt;"",INDEX(Clientes!$D$5:$D$549,MATCH(G118,Clientes!$C$5:$C$549,0)),TRIM(INDEX(Clientes!$E$5:$E$549,MATCH(G118,Clientes!$C$5:$C$549,0))&amp;" "&amp;INDEX(Clientes!$F$5:$F$549,MATCH(G118,Clientes!$C$5:$C$549,0)))),"NO EXISTE en Clientes"))</f>
        <v/>
      </c>
      <c r="I118" s="17" t="inlineStr">
        <is>
          <t>DISPONIBLE</t>
        </is>
      </c>
      <c r="J118" s="17" t="inlineStr">
        <is>
          <t>ALMACEN PRINCIPAL</t>
        </is>
      </c>
      <c r="K118" s="23" t="n"/>
      <c r="L118" s="25">
        <f t="array" ref="L118">IF(K118="","",IFERROR(IF(INDEX(Clientes!$D$5:$D$549,MATCH(K118,Clientes!$C$5:$C$549,0))&lt;&gt;"",INDEX(Clientes!$D$5:$D$549,MATCH(K118,Clientes!$C$5:$C$549,0)),TRIM(INDEX(Clientes!$E$5:$E$549,MATCH(K118,Clientes!$C$5:$C$549,0))&amp;" "&amp;INDEX(Clientes!$F$5:$F$549,MATCH(K118,Clientes!$C$5:$C$549,0)))),"NO EXISTE en Clientes"))</f>
        <v/>
      </c>
      <c r="M118" s="17" t="n"/>
      <c r="N118" s="17" t="n"/>
      <c r="O118" s="42" t="n"/>
      <c r="P118" s="39">
        <f>IF(O118&lt;&gt;"",DATE(YEAR(O118)+10,MONTH(O118),1),IF(AND(M118&lt;&gt;"",N118&lt;&gt;""),DATE(M118+5,N118,1),""))</f>
        <v/>
      </c>
      <c r="Q118" s="23" t="n"/>
      <c r="R118" s="17" t="n"/>
      <c r="S118" s="17" t="n"/>
      <c r="T118" s="17" t="n"/>
      <c r="U118" s="17" t="n"/>
      <c r="V118" s="23" t="n"/>
      <c r="W118" s="17" t="n"/>
      <c r="X118" s="17" t="inlineStr">
        <is>
          <t>PASADIZO</t>
        </is>
      </c>
      <c r="Y118" s="28">
        <f>IF(B118&lt;&gt;"OK","","SELECT bal_crear_balon(p_codigo_balon =&gt; "&amp;IF(TRIM(C118&amp;"")="","NULL","'"&amp;SUBSTITUTE(TRIM(C118),"'","''")&amp;"'")&amp;", p_id_tipo_balon =&gt; "&amp;"(SELECT id FROM bal_tipo_balon WHERE upper(nombre) = upper('"&amp;SUBSTITUTE(TRIM(D118),"'","''")&amp;"') AND estado = 1 LIMIT 1)"&amp;", p_id_producto_gas =&gt; "&amp;"(SELECT id FROM pro_producto WHERE es_gas = TRUE AND upper(nombre) = upper('"&amp;SUBSTITUTE(TRIM(E118),"'","''")&amp;"') AND estado = 1 LIMIT 1)"&amp;", p_id_propietario =&gt; "&amp;IF(TRIM(F118&amp;"")="","NULL","(SELECT lo.id FROM gen_lista_opciones lo JOIN gen_lista l ON l.id = lo.id_lista WHERE l.nombre = 'PropietarioBalon' AND upper(lo.nombre) = upper('"&amp;SUBSTITUTE(TRIM(F118),"'","''")&amp;"') AND lo.estado = 1 LIMIT 1)")&amp;", p_id_cliente_propietario =&gt; "&amp;IF(F118="CLIENTE",IF(TRIM(G118&amp;"")="","NULL","(SELECT id FROM cli_clientes WHERE numero_documento = '"&amp;SUBSTITUTE(TRIM(G118),"'","''")&amp;"' AND estado = 1 LIMIT 1)"),"NULL")&amp;", p_id_planta =&gt; "&amp;IF(F118="PLANTA",IF(TRIM(G118&amp;"")="","NULL","(SELECT id FROM cli_clientes WHERE numero_documento = '"&amp;SUBSTITUTE(TRIM(G118),"'","''")&amp;"'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"&amp;IF(TRIM(J118&amp;"")="","NULL","(SELECT id FROM gen_almacen WHERE upper(nombre) = upper('"&amp;SUBSTITUTE(TRIM(J118),"'","''")&amp;"') AND estado = 1 LIMIT 1)")&amp;", p_id_cliente_ubicacion =&gt; "&amp;IF(TRIM(K118&amp;"")="","NULL","(SELECT id FROM cli_clientes WHERE numero_documento = '"&amp;SUBSTITUTE(TRIM(K118),"'","''")&amp;"' AND estado = 1 LIMIT 1)")&amp;", p_id_referencia =&gt; "&amp;IF(TRIM(J118&amp;"")&lt;&gt;"","(SELECT lo.id FROM gen_lista_opciones lo JOIN gen_lista l ON l.id = lo.id_lista WHERE l.nombre = 'ReferenciaCilindro' AND upper(lo.nombre) = 'ALMACEN' AND lo.estado = 1 LIMIT 1)",IF(TRIM(K118&amp;"")&lt;&gt;"","(SELECT lo.id FROM gen_lista_opciones lo JOIN gen_lista l ON l.id = lo.id_lista WHERE l.nombre = 'ReferenciaCilindro' AND upper(lo.nombre) = 'CLIENTE' AND lo.estado = 1 LIMIT 1)","NULL"))&amp;", p_anio_fabricacion =&gt; "&amp;IF(M118&amp;""="","NULL::smallint",M118&amp;"::smallint")&amp;", p_mes_fabricacion =&gt; "&amp;IF(N118&amp;""="","NULL::smallint",N118&amp;"::smallint")&amp;", p_fecha_ultima_prueba_hidrostatica =&gt; "&amp;IF(O118&amp;""="","NULL","'"&amp;YEAR(O118)&amp;"-"&amp;TEXT(MONTH(O118),"00")&amp;"-"&amp;TEXT(DAY(O118),"00")&amp;"'")&amp;", p_numero_serie =&gt; "&amp;IF(TRIM(Q118&amp;"")="","NULL","'"&amp;SUBSTITUTE(TRIM(Q118),"'","''")&amp;"'")&amp;", p_id_marca_cilindro =&gt; "&amp;IF(TRIM(R118&amp;"")="","NULL","(SELECT lo.id FROM gen_lista_opciones lo JOIN gen_lista l ON l.id = lo.id_lista WHERE l.nombre = 'MarcaCilindro' AND upper(lo.nombre) = upper('"&amp;SUBSTITUTE(TRIM(R118),"'","''")&amp;"') AND lo.estado = 1 LIMIT 1)")&amp;", p_id_organo_inspector =&gt; "&amp;IF(TRIM(S118&amp;"")="","NULL","(SELECT lo.id FROM gen_lista_opciones lo JOIN gen_lista l ON l.id = lo.id_lista WHERE l.nombre = 'OrganoInspectorCilindro' AND upper(lo.nombre) = upper('"&amp;SUBSTITUTE(TRIM(S118),"'","''")&amp;"') AND lo.estado = 1 LIMIT 1)")&amp;", p_organo_inspector_no_aplica =&gt; "&amp;IF(S118="NO_APLICA","TRUE","FALSE")&amp;", p_presion_actual =&gt; "&amp;IF(T118&amp;""="","NULL",SUBSTITUTE(T118&amp;"",",","."))&amp;", p_tipo_valvula =&gt; "&amp;IF(TRIM(U118&amp;"")="","NULL","'"&amp;SUBSTITUTE(TRIM(U118),"'","''")&amp;"'")&amp;", p_libro_cilindro =&gt; "&amp;IF(TRIM(V118&amp;"")="","NULL","'"&amp;SUBSTITUTE(TRIM(V118),"'","''")&amp;"'")&amp;", p_pagina_libro =&gt; "&amp;IF(W118&amp;""="","NULL",SUBSTITUTE(W118&amp;"",",","."))&amp;", p_observacion =&gt; "&amp;IF(TRIM(X118&amp;"")="","NULL","'"&amp;SUBSTITUTE(TRIM(X118),"'","''")&amp;"'")&amp;") AS resultado_balon_"&amp;ROW()&amp;";")</f>
        <v/>
      </c>
    </row>
    <row r="119" ht="15.75" customHeight="1" s="64">
      <c r="A119" s="36" t="inlineStr">
        <is>
          <t>115</t>
        </is>
      </c>
      <c r="B119" s="25">
        <f>IF(AND(C119="",D119="",E119=""),"",IF(C119="","FALTA código balón",IF(D119="","FALTA tipo balón",IF(E119="","FALTA gas",IF(F119="","FALTA propietario",IF(AND(C119&lt;&gt;"",SUMPRODUCT(--($C$5:$C$1200=C119))&gt;1),"CÓDIGO BALÓN DUPLICADO",IF(AND(OR(UPPER(F119)="PLANTA",UPPER(F119)="CLIENTE"),G119=""),"FALTA doc propietario/planta",IF(AND(UPPER(F119)="PLANTA",G119="10175332796"),"PLANTA no puede ser RUC empresa","OK"))))))))</f>
        <v/>
      </c>
      <c r="C119" s="23" t="inlineStr">
        <is>
          <t>13841769</t>
        </is>
      </c>
      <c r="D119" s="17" t="inlineStr">
        <is>
          <t>Oxígeno Industrial 6 m³</t>
        </is>
      </c>
      <c r="E119" s="17" t="inlineStr">
        <is>
          <t>OXIGENO INDUSTRIAL</t>
        </is>
      </c>
      <c r="F119" s="17" t="inlineStr">
        <is>
          <t>EMPRESA</t>
        </is>
      </c>
      <c r="G119" s="23" t="inlineStr">
        <is>
          <t>10175332796</t>
        </is>
      </c>
      <c r="H119" s="25">
        <f t="array" ref="H119">IF(G119="","",IFERROR(IF(INDEX(Clientes!$D$5:$D$549,MATCH(G119,Clientes!$C$5:$C$549,0))&lt;&gt;"",INDEX(Clientes!$D$5:$D$549,MATCH(G119,Clientes!$C$5:$C$549,0)),TRIM(INDEX(Clientes!$E$5:$E$549,MATCH(G119,Clientes!$C$5:$C$549,0))&amp;" "&amp;INDEX(Clientes!$F$5:$F$549,MATCH(G119,Clientes!$C$5:$C$549,0)))),"NO EXISTE en Clientes"))</f>
        <v/>
      </c>
      <c r="I119" s="17" t="inlineStr">
        <is>
          <t>DISPONIBLE</t>
        </is>
      </c>
      <c r="J119" s="17" t="inlineStr">
        <is>
          <t>ALMACEN PRINCIPAL</t>
        </is>
      </c>
      <c r="K119" s="23" t="n"/>
      <c r="L119" s="25">
        <f t="array" ref="L119">IF(K119="","",IFERROR(IF(INDEX(Clientes!$D$5:$D$549,MATCH(K119,Clientes!$C$5:$C$549,0))&lt;&gt;"",INDEX(Clientes!$D$5:$D$549,MATCH(K119,Clientes!$C$5:$C$549,0)),TRIM(INDEX(Clientes!$E$5:$E$549,MATCH(K119,Clientes!$C$5:$C$549,0))&amp;" "&amp;INDEX(Clientes!$F$5:$F$549,MATCH(K119,Clientes!$C$5:$C$549,0)))),"NO EXISTE en Clientes"))</f>
        <v/>
      </c>
      <c r="M119" s="17" t="n"/>
      <c r="N119" s="17" t="n"/>
      <c r="O119" s="42" t="n"/>
      <c r="P119" s="39">
        <f>IF(O119&lt;&gt;"",DATE(YEAR(O119)+10,MONTH(O119),1),IF(AND(M119&lt;&gt;"",N119&lt;&gt;""),DATE(M119+5,N119,1),""))</f>
        <v/>
      </c>
      <c r="Q119" s="23" t="n"/>
      <c r="R119" s="17" t="n"/>
      <c r="S119" s="17" t="n"/>
      <c r="T119" s="17" t="n"/>
      <c r="U119" s="17" t="n"/>
      <c r="V119" s="23" t="n"/>
      <c r="W119" s="17" t="n"/>
      <c r="X119" s="17" t="inlineStr">
        <is>
          <t>PASADIZO</t>
        </is>
      </c>
      <c r="Y119" s="28">
        <f>IF(B119&lt;&gt;"OK","","SELECT bal_crear_balon(p_codigo_balon =&gt; "&amp;IF(TRIM(C119&amp;"")="","NULL","'"&amp;SUBSTITUTE(TRIM(C119),"'","''")&amp;"'")&amp;", p_id_tipo_balon =&gt; "&amp;"(SELECT id FROM bal_tipo_balon WHERE upper(nombre) = upper('"&amp;SUBSTITUTE(TRIM(D119),"'","''")&amp;"') AND estado = 1 LIMIT 1)"&amp;", p_id_producto_gas =&gt; "&amp;"(SELECT id FROM pro_producto WHERE es_gas = TRUE AND upper(nombre) = upper('"&amp;SUBSTITUTE(TRIM(E119),"'","''")&amp;"') AND estado = 1 LIMIT 1)"&amp;", p_id_propietario =&gt; "&amp;IF(TRIM(F119&amp;"")="","NULL","(SELECT lo.id FROM gen_lista_opciones lo JOIN gen_lista l ON l.id = lo.id_lista WHERE l.nombre = 'PropietarioBalon' AND upper(lo.nombre) = upper('"&amp;SUBSTITUTE(TRIM(F119),"'","''")&amp;"') AND lo.estado = 1 LIMIT 1)")&amp;", p_id_cliente_propietario =&gt; "&amp;IF(F119="CLIENTE",IF(TRIM(G119&amp;"")="","NULL","(SELECT id FROM cli_clientes WHERE numero_documento = '"&amp;SUBSTITUTE(TRIM(G119),"'","''")&amp;"' AND estado = 1 LIMIT 1)"),"NULL")&amp;", p_id_planta =&gt; "&amp;IF(F119="PLANTA",IF(TRIM(G119&amp;"")="","NULL","(SELECT id FROM cli_clientes WHERE numero_documento = '"&amp;SUBSTITUTE(TRIM(G119),"'","''")&amp;"'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"&amp;IF(TRIM(J119&amp;"")="","NULL","(SELECT id FROM gen_almacen WHERE upper(nombre) = upper('"&amp;SUBSTITUTE(TRIM(J119),"'","''")&amp;"') AND estado = 1 LIMIT 1)")&amp;", p_id_cliente_ubicacion =&gt; "&amp;IF(TRIM(K119&amp;"")="","NULL","(SELECT id FROM cli_clientes WHERE numero_documento = '"&amp;SUBSTITUTE(TRIM(K119),"'","''")&amp;"' AND estado = 1 LIMIT 1)")&amp;", p_id_referencia =&gt; "&amp;IF(TRIM(J119&amp;"")&lt;&gt;"","(SELECT lo.id FROM gen_lista_opciones lo JOIN gen_lista l ON l.id = lo.id_lista WHERE l.nombre = 'ReferenciaCilindro' AND upper(lo.nombre) = 'ALMACEN' AND lo.estado = 1 LIMIT 1)",IF(TRIM(K119&amp;"")&lt;&gt;"","(SELECT lo.id FROM gen_lista_opciones lo JOIN gen_lista l ON l.id = lo.id_lista WHERE l.nombre = 'ReferenciaCilindro' AND upper(lo.nombre) = 'CLIENTE' AND lo.estado = 1 LIMIT 1)","NULL"))&amp;", p_anio_fabricacion =&gt; "&amp;IF(M119&amp;""="","NULL::smallint",M119&amp;"::smallint")&amp;", p_mes_fabricacion =&gt; "&amp;IF(N119&amp;""="","NULL::smallint",N119&amp;"::smallint")&amp;", p_fecha_ultima_prueba_hidrostatica =&gt; "&amp;IF(O119&amp;""="","NULL","'"&amp;YEAR(O119)&amp;"-"&amp;TEXT(MONTH(O119),"00")&amp;"-"&amp;TEXT(DAY(O119),"00")&amp;"'")&amp;", p_numero_serie =&gt; "&amp;IF(TRIM(Q119&amp;"")="","NULL","'"&amp;SUBSTITUTE(TRIM(Q119),"'","''")&amp;"'")&amp;", p_id_marca_cilindro =&gt; "&amp;IF(TRIM(R119&amp;"")="","NULL","(SELECT lo.id FROM gen_lista_opciones lo JOIN gen_lista l ON l.id = lo.id_lista WHERE l.nombre = 'MarcaCilindro' AND upper(lo.nombre) = upper('"&amp;SUBSTITUTE(TRIM(R119),"'","''")&amp;"') AND lo.estado = 1 LIMIT 1)")&amp;", p_id_organo_inspector =&gt; "&amp;IF(TRIM(S119&amp;"")="","NULL","(SELECT lo.id FROM gen_lista_opciones lo JOIN gen_lista l ON l.id = lo.id_lista WHERE l.nombre = 'OrganoInspectorCilindro' AND upper(lo.nombre) = upper('"&amp;SUBSTITUTE(TRIM(S119),"'","''")&amp;"') AND lo.estado = 1 LIMIT 1)")&amp;", p_organo_inspector_no_aplica =&gt; "&amp;IF(S119="NO_APLICA","TRUE","FALSE")&amp;", p_presion_actual =&gt; "&amp;IF(T119&amp;""="","NULL",SUBSTITUTE(T119&amp;"",",","."))&amp;", p_tipo_valvula =&gt; "&amp;IF(TRIM(U119&amp;"")="","NULL","'"&amp;SUBSTITUTE(TRIM(U119),"'","''")&amp;"'")&amp;", p_libro_cilindro =&gt; "&amp;IF(TRIM(V119&amp;"")="","NULL","'"&amp;SUBSTITUTE(TRIM(V119),"'","''")&amp;"'")&amp;", p_pagina_libro =&gt; "&amp;IF(W119&amp;""="","NULL",SUBSTITUTE(W119&amp;"",",","."))&amp;", p_observacion =&gt; "&amp;IF(TRIM(X119&amp;"")="","NULL","'"&amp;SUBSTITUTE(TRIM(X119),"'","''")&amp;"'")&amp;") AS resultado_balon_"&amp;ROW()&amp;";")</f>
        <v/>
      </c>
    </row>
    <row r="120" ht="15.75" customHeight="1" s="64">
      <c r="A120" s="36" t="inlineStr">
        <is>
          <t>116</t>
        </is>
      </c>
      <c r="B120" s="25">
        <f>IF(AND(C120="",D120="",E120=""),"",IF(C120="","FALTA código balón",IF(D120="","FALTA tipo balón",IF(E120="","FALTA gas",IF(F120="","FALTA propietario",IF(AND(C120&lt;&gt;"",SUMPRODUCT(--($C$5:$C$1200=C120))&gt;1),"CÓDIGO BALÓN DUPLICADO",IF(AND(OR(UPPER(F120)="PLANTA",UPPER(F120)="CLIENTE"),G120=""),"FALTA doc propietario/planta",IF(AND(UPPER(F120)="PLANTA",G120="10175332796"),"PLANTA no puede ser RUC empresa","OK"))))))))</f>
        <v/>
      </c>
      <c r="C120" s="23" t="inlineStr">
        <is>
          <t>303187</t>
        </is>
      </c>
      <c r="D120" s="17" t="inlineStr">
        <is>
          <t>Oxígeno Industrial 6 m³</t>
        </is>
      </c>
      <c r="E120" s="17" t="inlineStr">
        <is>
          <t>OXIGENO INDUSTRIAL</t>
        </is>
      </c>
      <c r="F120" s="17" t="inlineStr">
        <is>
          <t>EMPRESA</t>
        </is>
      </c>
      <c r="G120" s="23" t="inlineStr">
        <is>
          <t>10175332796</t>
        </is>
      </c>
      <c r="H120" s="25">
        <f t="array" ref="H120">IF(G120="","",IFERROR(IF(INDEX(Clientes!$D$5:$D$549,MATCH(G120,Clientes!$C$5:$C$549,0))&lt;&gt;"",INDEX(Clientes!$D$5:$D$549,MATCH(G120,Clientes!$C$5:$C$549,0)),TRIM(INDEX(Clientes!$E$5:$E$549,MATCH(G120,Clientes!$C$5:$C$549,0))&amp;" "&amp;INDEX(Clientes!$F$5:$F$549,MATCH(G120,Clientes!$C$5:$C$549,0)))),"NO EXISTE en Clientes"))</f>
        <v/>
      </c>
      <c r="I120" s="17" t="inlineStr">
        <is>
          <t>DISPONIBLE</t>
        </is>
      </c>
      <c r="J120" s="17" t="inlineStr">
        <is>
          <t>ALMACEN PRINCIPAL</t>
        </is>
      </c>
      <c r="K120" s="23" t="n"/>
      <c r="L120" s="25">
        <f t="array" ref="L120">IF(K120="","",IFERROR(IF(INDEX(Clientes!$D$5:$D$549,MATCH(K120,Clientes!$C$5:$C$549,0))&lt;&gt;"",INDEX(Clientes!$D$5:$D$549,MATCH(K120,Clientes!$C$5:$C$549,0)),TRIM(INDEX(Clientes!$E$5:$E$549,MATCH(K120,Clientes!$C$5:$C$549,0))&amp;" "&amp;INDEX(Clientes!$F$5:$F$549,MATCH(K120,Clientes!$C$5:$C$549,0)))),"NO EXISTE en Clientes"))</f>
        <v/>
      </c>
      <c r="M120" s="17" t="n"/>
      <c r="N120" s="17" t="n"/>
      <c r="O120" s="42" t="n"/>
      <c r="P120" s="39">
        <f>IF(O120&lt;&gt;"",DATE(YEAR(O120)+10,MONTH(O120),1),IF(AND(M120&lt;&gt;"",N120&lt;&gt;""),DATE(M120+5,N120,1),""))</f>
        <v/>
      </c>
      <c r="Q120" s="23" t="n"/>
      <c r="R120" s="17" t="n"/>
      <c r="S120" s="17" t="n"/>
      <c r="T120" s="17" t="n"/>
      <c r="U120" s="17" t="n"/>
      <c r="V120" s="23" t="n"/>
      <c r="W120" s="17" t="n"/>
      <c r="X120" s="17" t="inlineStr">
        <is>
          <t>PASADIZO</t>
        </is>
      </c>
      <c r="Y120" s="28">
        <f>IF(B120&lt;&gt;"OK","","SELECT bal_crear_balon(p_codigo_balon =&gt; "&amp;IF(TRIM(C120&amp;"")="","NULL","'"&amp;SUBSTITUTE(TRIM(C120),"'","''")&amp;"'")&amp;", p_id_tipo_balon =&gt; "&amp;"(SELECT id FROM bal_tipo_balon WHERE upper(nombre) = upper('"&amp;SUBSTITUTE(TRIM(D120),"'","''")&amp;"') AND estado = 1 LIMIT 1)"&amp;", p_id_producto_gas =&gt; "&amp;"(SELECT id FROM pro_producto WHERE es_gas = TRUE AND upper(nombre) = upper('"&amp;SUBSTITUTE(TRIM(E120),"'","''")&amp;"') AND estado = 1 LIMIT 1)"&amp;", p_id_propietario =&gt; "&amp;IF(TRIM(F120&amp;"")="","NULL","(SELECT lo.id FROM gen_lista_opciones lo JOIN gen_lista l ON l.id = lo.id_lista WHERE l.nombre = 'PropietarioBalon' AND upper(lo.nombre) = upper('"&amp;SUBSTITUTE(TRIM(F120),"'","''")&amp;"') AND lo.estado = 1 LIMIT 1)")&amp;", p_id_cliente_propietario =&gt; "&amp;IF(F120="CLIENTE",IF(TRIM(G120&amp;"")="","NULL","(SELECT id FROM cli_clientes WHERE numero_documento = '"&amp;SUBSTITUTE(TRIM(G120),"'","''")&amp;"' AND estado = 1 LIMIT 1)"),"NULL")&amp;", p_id_planta =&gt; "&amp;IF(F120="PLANTA",IF(TRIM(G120&amp;"")="","NULL","(SELECT id FROM cli_clientes WHERE numero_documento = '"&amp;SUBSTITUTE(TRIM(G120),"'","''")&amp;"'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"&amp;IF(TRIM(J120&amp;"")="","NULL","(SELECT id FROM gen_almacen WHERE upper(nombre) = upper('"&amp;SUBSTITUTE(TRIM(J120),"'","''")&amp;"') AND estado = 1 LIMIT 1)")&amp;", p_id_cliente_ubicacion =&gt; "&amp;IF(TRIM(K120&amp;"")="","NULL","(SELECT id FROM cli_clientes WHERE numero_documento = '"&amp;SUBSTITUTE(TRIM(K120),"'","''")&amp;"' AND estado = 1 LIMIT 1)")&amp;", p_id_referencia =&gt; "&amp;IF(TRIM(J120&amp;"")&lt;&gt;"","(SELECT lo.id FROM gen_lista_opciones lo JOIN gen_lista l ON l.id = lo.id_lista WHERE l.nombre = 'ReferenciaCilindro' AND upper(lo.nombre) = 'ALMACEN' AND lo.estado = 1 LIMIT 1)",IF(TRIM(K120&amp;"")&lt;&gt;"","(SELECT lo.id FROM gen_lista_opciones lo JOIN gen_lista l ON l.id = lo.id_lista WHERE l.nombre = 'ReferenciaCilindro' AND upper(lo.nombre) = 'CLIENTE' AND lo.estado = 1 LIMIT 1)","NULL"))&amp;", p_anio_fabricacion =&gt; "&amp;IF(M120&amp;""="","NULL::smallint",M120&amp;"::smallint")&amp;", p_mes_fabricacion =&gt; "&amp;IF(N120&amp;""="","NULL::smallint",N120&amp;"::smallint")&amp;", p_fecha_ultima_prueba_hidrostatica =&gt; "&amp;IF(O120&amp;""="","NULL","'"&amp;YEAR(O120)&amp;"-"&amp;TEXT(MONTH(O120),"00")&amp;"-"&amp;TEXT(DAY(O120),"00")&amp;"'")&amp;", p_numero_serie =&gt; "&amp;IF(TRIM(Q120&amp;"")="","NULL","'"&amp;SUBSTITUTE(TRIM(Q120),"'","''")&amp;"'")&amp;", p_id_marca_cilindro =&gt; "&amp;IF(TRIM(R120&amp;"")="","NULL","(SELECT lo.id FROM gen_lista_opciones lo JOIN gen_lista l ON l.id = lo.id_lista WHERE l.nombre = 'MarcaCilindro' AND upper(lo.nombre) = upper('"&amp;SUBSTITUTE(TRIM(R120),"'","''")&amp;"') AND lo.estado = 1 LIMIT 1)")&amp;", p_id_organo_inspector =&gt; "&amp;IF(TRIM(S120&amp;"")="","NULL","(SELECT lo.id FROM gen_lista_opciones lo JOIN gen_lista l ON l.id = lo.id_lista WHERE l.nombre = 'OrganoInspectorCilindro' AND upper(lo.nombre) = upper('"&amp;SUBSTITUTE(TRIM(S120),"'","''")&amp;"') AND lo.estado = 1 LIMIT 1)")&amp;", p_organo_inspector_no_aplica =&gt; "&amp;IF(S120="NO_APLICA","TRUE","FALSE")&amp;", p_presion_actual =&gt; "&amp;IF(T120&amp;""="","NULL",SUBSTITUTE(T120&amp;"",",","."))&amp;", p_tipo_valvula =&gt; "&amp;IF(TRIM(U120&amp;"")="","NULL","'"&amp;SUBSTITUTE(TRIM(U120),"'","''")&amp;"'")&amp;", p_libro_cilindro =&gt; "&amp;IF(TRIM(V120&amp;"")="","NULL","'"&amp;SUBSTITUTE(TRIM(V120),"'","''")&amp;"'")&amp;", p_pagina_libro =&gt; "&amp;IF(W120&amp;""="","NULL",SUBSTITUTE(W120&amp;"",",","."))&amp;", p_observacion =&gt; "&amp;IF(TRIM(X120&amp;"")="","NULL","'"&amp;SUBSTITUTE(TRIM(X120),"'","''")&amp;"'")&amp;") AS resultado_balon_"&amp;ROW()&amp;";")</f>
        <v/>
      </c>
    </row>
    <row r="121" ht="15.75" customHeight="1" s="64">
      <c r="A121" s="36" t="inlineStr">
        <is>
          <t>117</t>
        </is>
      </c>
      <c r="B121" s="25">
        <f>IF(AND(C121="",D121="",E121=""),"",IF(C121="","FALTA código balón",IF(D121="","FALTA tipo balón",IF(E121="","FALTA gas",IF(F121="","FALTA propietario",IF(AND(C121&lt;&gt;"",SUMPRODUCT(--($C$5:$C$1200=C121))&gt;1),"CÓDIGO BALÓN DUPLICADO",IF(AND(OR(UPPER(F121)="PLANTA",UPPER(F121)="CLIENTE"),G121=""),"FALTA doc propietario/planta",IF(AND(UPPER(F121)="PLANTA",G121="10175332796"),"PLANTA no puede ser RUC empresa","OK"))))))))</f>
        <v/>
      </c>
      <c r="C121" s="23" t="inlineStr">
        <is>
          <t>206 (3A2015)</t>
        </is>
      </c>
      <c r="D121" s="17" t="inlineStr">
        <is>
          <t>Oxígeno Industrial 6 m³</t>
        </is>
      </c>
      <c r="E121" s="17" t="inlineStr">
        <is>
          <t>OXIGENO INDUSTRIAL</t>
        </is>
      </c>
      <c r="F121" s="17" t="inlineStr">
        <is>
          <t>EMPRESA</t>
        </is>
      </c>
      <c r="G121" s="23" t="inlineStr">
        <is>
          <t>10175332796</t>
        </is>
      </c>
      <c r="H121" s="25">
        <f t="array" ref="H121">IF(G121="","",IFERROR(IF(INDEX(Clientes!$D$5:$D$549,MATCH(G121,Clientes!$C$5:$C$549,0))&lt;&gt;"",INDEX(Clientes!$D$5:$D$549,MATCH(G121,Clientes!$C$5:$C$549,0)),TRIM(INDEX(Clientes!$E$5:$E$549,MATCH(G121,Clientes!$C$5:$C$549,0))&amp;" "&amp;INDEX(Clientes!$F$5:$F$549,MATCH(G121,Clientes!$C$5:$C$549,0)))),"NO EXISTE en Clientes"))</f>
        <v/>
      </c>
      <c r="I121" s="17" t="inlineStr">
        <is>
          <t>DISPONIBLE</t>
        </is>
      </c>
      <c r="J121" s="17" t="inlineStr">
        <is>
          <t>ALMACEN PRINCIPAL</t>
        </is>
      </c>
      <c r="K121" s="23" t="n"/>
      <c r="L121" s="25">
        <f t="array" ref="L121">IF(K121="","",IFERROR(IF(INDEX(Clientes!$D$5:$D$549,MATCH(K121,Clientes!$C$5:$C$549,0))&lt;&gt;"",INDEX(Clientes!$D$5:$D$549,MATCH(K121,Clientes!$C$5:$C$549,0)),TRIM(INDEX(Clientes!$E$5:$E$549,MATCH(K121,Clientes!$C$5:$C$549,0))&amp;" "&amp;INDEX(Clientes!$F$5:$F$549,MATCH(K121,Clientes!$C$5:$C$549,0)))),"NO EXISTE en Clientes"))</f>
        <v/>
      </c>
      <c r="M121" s="17" t="n"/>
      <c r="N121" s="17" t="n"/>
      <c r="O121" s="42" t="n"/>
      <c r="P121" s="39">
        <f>IF(O121&lt;&gt;"",DATE(YEAR(O121)+10,MONTH(O121),1),IF(AND(M121&lt;&gt;"",N121&lt;&gt;""),DATE(M121+5,N121,1),""))</f>
        <v/>
      </c>
      <c r="Q121" s="23" t="n"/>
      <c r="R121" s="17" t="n"/>
      <c r="S121" s="17" t="n"/>
      <c r="T121" s="17" t="n"/>
      <c r="U121" s="17" t="n"/>
      <c r="V121" s="23" t="n"/>
      <c r="W121" s="17" t="n"/>
      <c r="X121" s="17" t="inlineStr">
        <is>
          <t>PASADIZO</t>
        </is>
      </c>
      <c r="Y121" s="28">
        <f>IF(B121&lt;&gt;"OK","","SELECT bal_crear_balon(p_codigo_balon =&gt; "&amp;IF(TRIM(C121&amp;"")="","NULL","'"&amp;SUBSTITUTE(TRIM(C121),"'","''")&amp;"'")&amp;", p_id_tipo_balon =&gt; "&amp;"(SELECT id FROM bal_tipo_balon WHERE upper(nombre) = upper('"&amp;SUBSTITUTE(TRIM(D121),"'","''")&amp;"') AND estado = 1 LIMIT 1)"&amp;", p_id_producto_gas =&gt; "&amp;"(SELECT id FROM pro_producto WHERE es_gas = TRUE AND upper(nombre) = upper('"&amp;SUBSTITUTE(TRIM(E121),"'","''")&amp;"') AND estado = 1 LIMIT 1)"&amp;", p_id_propietario =&gt; "&amp;IF(TRIM(F121&amp;"")="","NULL","(SELECT lo.id FROM gen_lista_opciones lo JOIN gen_lista l ON l.id = lo.id_lista WHERE l.nombre = 'PropietarioBalon' AND upper(lo.nombre) = upper('"&amp;SUBSTITUTE(TRIM(F121),"'","''")&amp;"') AND lo.estado = 1 LIMIT 1)")&amp;", p_id_cliente_propietario =&gt; "&amp;IF(F121="CLIENTE",IF(TRIM(G121&amp;"")="","NULL","(SELECT id FROM cli_clientes WHERE numero_documento = '"&amp;SUBSTITUTE(TRIM(G121),"'","''")&amp;"' AND estado = 1 LIMIT 1)"),"NULL")&amp;", p_id_planta =&gt; "&amp;IF(F121="PLANTA",IF(TRIM(G121&amp;"")="","NULL","(SELECT id FROM cli_clientes WHERE numero_documento = '"&amp;SUBSTITUTE(TRIM(G121),"'","''")&amp;"'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"&amp;IF(TRIM(J121&amp;"")="","NULL","(SELECT id FROM gen_almacen WHERE upper(nombre) = upper('"&amp;SUBSTITUTE(TRIM(J121),"'","''")&amp;"') AND estado = 1 LIMIT 1)")&amp;", p_id_cliente_ubicacion =&gt; "&amp;IF(TRIM(K121&amp;"")="","NULL","(SELECT id FROM cli_clientes WHERE numero_documento = '"&amp;SUBSTITUTE(TRIM(K121),"'","''")&amp;"' AND estado = 1 LIMIT 1)")&amp;", p_id_referencia =&gt; "&amp;IF(TRIM(J121&amp;"")&lt;&gt;"","(SELECT lo.id FROM gen_lista_opciones lo JOIN gen_lista l ON l.id = lo.id_lista WHERE l.nombre = 'ReferenciaCilindro' AND upper(lo.nombre) = 'ALMACEN' AND lo.estado = 1 LIMIT 1)",IF(TRIM(K121&amp;"")&lt;&gt;"","(SELECT lo.id FROM gen_lista_opciones lo JOIN gen_lista l ON l.id = lo.id_lista WHERE l.nombre = 'ReferenciaCilindro' AND upper(lo.nombre) = 'CLIENTE' AND lo.estado = 1 LIMIT 1)","NULL"))&amp;", p_anio_fabricacion =&gt; "&amp;IF(M121&amp;""="","NULL::smallint",M121&amp;"::smallint")&amp;", p_mes_fabricacion =&gt; "&amp;IF(N121&amp;""="","NULL::smallint",N121&amp;"::smallint")&amp;", p_fecha_ultima_prueba_hidrostatica =&gt; "&amp;IF(O121&amp;""="","NULL","'"&amp;YEAR(O121)&amp;"-"&amp;TEXT(MONTH(O121),"00")&amp;"-"&amp;TEXT(DAY(O121),"00")&amp;"'")&amp;", p_numero_serie =&gt; "&amp;IF(TRIM(Q121&amp;"")="","NULL","'"&amp;SUBSTITUTE(TRIM(Q121),"'","''")&amp;"'")&amp;", p_id_marca_cilindro =&gt; "&amp;IF(TRIM(R121&amp;"")="","NULL","(SELECT lo.id FROM gen_lista_opciones lo JOIN gen_lista l ON l.id = lo.id_lista WHERE l.nombre = 'MarcaCilindro' AND upper(lo.nombre) = upper('"&amp;SUBSTITUTE(TRIM(R121),"'","''")&amp;"') AND lo.estado = 1 LIMIT 1)")&amp;", p_id_organo_inspector =&gt; "&amp;IF(TRIM(S121&amp;"")="","NULL","(SELECT lo.id FROM gen_lista_opciones lo JOIN gen_lista l ON l.id = lo.id_lista WHERE l.nombre = 'OrganoInspectorCilindro' AND upper(lo.nombre) = upper('"&amp;SUBSTITUTE(TRIM(S121),"'","''")&amp;"') AND lo.estado = 1 LIMIT 1)")&amp;", p_organo_inspector_no_aplica =&gt; "&amp;IF(S121="NO_APLICA","TRUE","FALSE")&amp;", p_presion_actual =&gt; "&amp;IF(T121&amp;""="","NULL",SUBSTITUTE(T121&amp;"",",","."))&amp;", p_tipo_valvula =&gt; "&amp;IF(TRIM(U121&amp;"")="","NULL","'"&amp;SUBSTITUTE(TRIM(U121),"'","''")&amp;"'")&amp;", p_libro_cilindro =&gt; "&amp;IF(TRIM(V121&amp;"")="","NULL","'"&amp;SUBSTITUTE(TRIM(V121),"'","''")&amp;"'")&amp;", p_pagina_libro =&gt; "&amp;IF(W121&amp;""="","NULL",SUBSTITUTE(W121&amp;"",",","."))&amp;", p_observacion =&gt; "&amp;IF(TRIM(X121&amp;"")="","NULL","'"&amp;SUBSTITUTE(TRIM(X121),"'","''")&amp;"'")&amp;") AS resultado_balon_"&amp;ROW()&amp;";")</f>
        <v/>
      </c>
    </row>
    <row r="122" ht="15.75" customHeight="1" s="64">
      <c r="A122" s="36" t="inlineStr">
        <is>
          <t>118</t>
        </is>
      </c>
      <c r="B122" s="25">
        <f>IF(AND(C122="",D122="",E122=""),"",IF(C122="","FALTA código balón",IF(D122="","FALTA tipo balón",IF(E122="","FALTA gas",IF(F122="","FALTA propietario",IF(AND(C122&lt;&gt;"",SUMPRODUCT(--($C$5:$C$1200=C122))&gt;1),"CÓDIGO BALÓN DUPLICADO",IF(AND(OR(UPPER(F122)="PLANTA",UPPER(F122)="CLIENTE"),G122=""),"FALTA doc propietario/planta",IF(AND(UPPER(F122)="PLANTA",G122="10175332796"),"PLANTA no puede ser RUC empresa","OK"))))))))</f>
        <v/>
      </c>
      <c r="C122" s="23" t="inlineStr">
        <is>
          <t>50421</t>
        </is>
      </c>
      <c r="D122" s="17" t="inlineStr">
        <is>
          <t>Oxígeno Industrial 6 m³</t>
        </is>
      </c>
      <c r="E122" s="17" t="inlineStr">
        <is>
          <t>OXIGENO INDUSTRIAL</t>
        </is>
      </c>
      <c r="F122" s="17" t="inlineStr">
        <is>
          <t>EMPRESA</t>
        </is>
      </c>
      <c r="G122" s="23" t="inlineStr">
        <is>
          <t>10175332796</t>
        </is>
      </c>
      <c r="H122" s="25">
        <f t="array" ref="H122">IF(G122="","",IFERROR(IF(INDEX(Clientes!$D$5:$D$549,MATCH(G122,Clientes!$C$5:$C$549,0))&lt;&gt;"",INDEX(Clientes!$D$5:$D$549,MATCH(G122,Clientes!$C$5:$C$549,0)),TRIM(INDEX(Clientes!$E$5:$E$549,MATCH(G122,Clientes!$C$5:$C$549,0))&amp;" "&amp;INDEX(Clientes!$F$5:$F$549,MATCH(G122,Clientes!$C$5:$C$549,0)))),"NO EXISTE en Clientes"))</f>
        <v/>
      </c>
      <c r="I122" s="17" t="inlineStr">
        <is>
          <t>DISPONIBLE</t>
        </is>
      </c>
      <c r="J122" s="17" t="inlineStr">
        <is>
          <t>ALMACEN PRINCIPAL</t>
        </is>
      </c>
      <c r="K122" s="23" t="n"/>
      <c r="L122" s="25">
        <f t="array" ref="L122">IF(K122="","",IFERROR(IF(INDEX(Clientes!$D$5:$D$549,MATCH(K122,Clientes!$C$5:$C$549,0))&lt;&gt;"",INDEX(Clientes!$D$5:$D$549,MATCH(K122,Clientes!$C$5:$C$549,0)),TRIM(INDEX(Clientes!$E$5:$E$549,MATCH(K122,Clientes!$C$5:$C$549,0))&amp;" "&amp;INDEX(Clientes!$F$5:$F$549,MATCH(K122,Clientes!$C$5:$C$549,0)))),"NO EXISTE en Clientes"))</f>
        <v/>
      </c>
      <c r="M122" s="17" t="n"/>
      <c r="N122" s="17" t="n"/>
      <c r="O122" s="42" t="n"/>
      <c r="P122" s="39">
        <f>IF(O122&lt;&gt;"",DATE(YEAR(O122)+10,MONTH(O122),1),IF(AND(M122&lt;&gt;"",N122&lt;&gt;""),DATE(M122+5,N122,1),""))</f>
        <v/>
      </c>
      <c r="Q122" s="23" t="n"/>
      <c r="R122" s="17" t="n"/>
      <c r="S122" s="17" t="n"/>
      <c r="T122" s="17" t="n"/>
      <c r="U122" s="17" t="n"/>
      <c r="V122" s="23" t="n"/>
      <c r="W122" s="17" t="n"/>
      <c r="X122" s="17" t="inlineStr">
        <is>
          <t>PASADIZO</t>
        </is>
      </c>
      <c r="Y122" s="28">
        <f>IF(B122&lt;&gt;"OK","","SELECT bal_crear_balon(p_codigo_balon =&gt; "&amp;IF(TRIM(C122&amp;"")="","NULL","'"&amp;SUBSTITUTE(TRIM(C122),"'","''")&amp;"'")&amp;", p_id_tipo_balon =&gt; "&amp;"(SELECT id FROM bal_tipo_balon WHERE upper(nombre) = upper('"&amp;SUBSTITUTE(TRIM(D122),"'","''")&amp;"') AND estado = 1 LIMIT 1)"&amp;", p_id_producto_gas =&gt; "&amp;"(SELECT id FROM pro_producto WHERE es_gas = TRUE AND upper(nombre) = upper('"&amp;SUBSTITUTE(TRIM(E122),"'","''")&amp;"') AND estado = 1 LIMIT 1)"&amp;", p_id_propietario =&gt; "&amp;IF(TRIM(F122&amp;"")="","NULL","(SELECT lo.id FROM gen_lista_opciones lo JOIN gen_lista l ON l.id = lo.id_lista WHERE l.nombre = 'PropietarioBalon' AND upper(lo.nombre) = upper('"&amp;SUBSTITUTE(TRIM(F122),"'","''")&amp;"') AND lo.estado = 1 LIMIT 1)")&amp;", p_id_cliente_propietario =&gt; "&amp;IF(F122="CLIENTE",IF(TRIM(G122&amp;"")="","NULL","(SELECT id FROM cli_clientes WHERE numero_documento = '"&amp;SUBSTITUTE(TRIM(G122),"'","''")&amp;"' AND estado = 1 LIMIT 1)"),"NULL")&amp;", p_id_planta =&gt; "&amp;IF(F122="PLANTA",IF(TRIM(G122&amp;"")="","NULL","(SELECT id FROM cli_clientes WHERE numero_documento = '"&amp;SUBSTITUTE(TRIM(G122),"'","''")&amp;"'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"&amp;IF(TRIM(J122&amp;"")="","NULL","(SELECT id FROM gen_almacen WHERE upper(nombre) = upper('"&amp;SUBSTITUTE(TRIM(J122),"'","''")&amp;"') AND estado = 1 LIMIT 1)")&amp;", p_id_cliente_ubicacion =&gt; "&amp;IF(TRIM(K122&amp;"")="","NULL","(SELECT id FROM cli_clientes WHERE numero_documento = '"&amp;SUBSTITUTE(TRIM(K122),"'","''")&amp;"' AND estado = 1 LIMIT 1)")&amp;", p_id_referencia =&gt; "&amp;IF(TRIM(J122&amp;"")&lt;&gt;"","(SELECT lo.id FROM gen_lista_opciones lo JOIN gen_lista l ON l.id = lo.id_lista WHERE l.nombre = 'ReferenciaCilindro' AND upper(lo.nombre) = 'ALMACEN' AND lo.estado = 1 LIMIT 1)",IF(TRIM(K122&amp;"")&lt;&gt;"","(SELECT lo.id FROM gen_lista_opciones lo JOIN gen_lista l ON l.id = lo.id_lista WHERE l.nombre = 'ReferenciaCilindro' AND upper(lo.nombre) = 'CLIENTE' AND lo.estado = 1 LIMIT 1)","NULL"))&amp;", p_anio_fabricacion =&gt; "&amp;IF(M122&amp;""="","NULL::smallint",M122&amp;"::smallint")&amp;", p_mes_fabricacion =&gt; "&amp;IF(N122&amp;""="","NULL::smallint",N122&amp;"::smallint")&amp;", p_fecha_ultima_prueba_hidrostatica =&gt; "&amp;IF(O122&amp;""="","NULL","'"&amp;YEAR(O122)&amp;"-"&amp;TEXT(MONTH(O122),"00")&amp;"-"&amp;TEXT(DAY(O122),"00")&amp;"'")&amp;", p_numero_serie =&gt; "&amp;IF(TRIM(Q122&amp;"")="","NULL","'"&amp;SUBSTITUTE(TRIM(Q122),"'","''")&amp;"'")&amp;", p_id_marca_cilindro =&gt; "&amp;IF(TRIM(R122&amp;"")="","NULL","(SELECT lo.id FROM gen_lista_opciones lo JOIN gen_lista l ON l.id = lo.id_lista WHERE l.nombre = 'MarcaCilindro' AND upper(lo.nombre) = upper('"&amp;SUBSTITUTE(TRIM(R122),"'","''")&amp;"') AND lo.estado = 1 LIMIT 1)")&amp;", p_id_organo_inspector =&gt; "&amp;IF(TRIM(S122&amp;"")="","NULL","(SELECT lo.id FROM gen_lista_opciones lo JOIN gen_lista l ON l.id = lo.id_lista WHERE l.nombre = 'OrganoInspectorCilindro' AND upper(lo.nombre) = upper('"&amp;SUBSTITUTE(TRIM(S122),"'","''")&amp;"') AND lo.estado = 1 LIMIT 1)")&amp;", p_organo_inspector_no_aplica =&gt; "&amp;IF(S122="NO_APLICA","TRUE","FALSE")&amp;", p_presion_actual =&gt; "&amp;IF(T122&amp;""="","NULL",SUBSTITUTE(T122&amp;"",",","."))&amp;", p_tipo_valvula =&gt; "&amp;IF(TRIM(U122&amp;"")="","NULL","'"&amp;SUBSTITUTE(TRIM(U122),"'","''")&amp;"'")&amp;", p_libro_cilindro =&gt; "&amp;IF(TRIM(V122&amp;"")="","NULL","'"&amp;SUBSTITUTE(TRIM(V122),"'","''")&amp;"'")&amp;", p_pagina_libro =&gt; "&amp;IF(W122&amp;""="","NULL",SUBSTITUTE(W122&amp;"",",","."))&amp;", p_observacion =&gt; "&amp;IF(TRIM(X122&amp;"")="","NULL","'"&amp;SUBSTITUTE(TRIM(X122),"'","''")&amp;"'")&amp;") AS resultado_balon_"&amp;ROW()&amp;";")</f>
        <v/>
      </c>
    </row>
    <row r="123" ht="15.75" customHeight="1" s="64">
      <c r="A123" s="36" t="inlineStr">
        <is>
          <t>119</t>
        </is>
      </c>
      <c r="B123" s="25">
        <f>IF(AND(C123="",D123="",E123=""),"",IF(C123="","FALTA código balón",IF(D123="","FALTA tipo balón",IF(E123="","FALTA gas",IF(F123="","FALTA propietario",IF(AND(C123&lt;&gt;"",SUMPRODUCT(--($C$5:$C$1200=C123))&gt;1),"CÓDIGO BALÓN DUPLICADO",IF(AND(OR(UPPER(F123)="PLANTA",UPPER(F123)="CLIENTE"),G123=""),"FALTA doc propietario/planta",IF(AND(UPPER(F123)="PLANTA",G123="10175332796"),"PLANTA no puede ser RUC empresa","OK"))))))))</f>
        <v/>
      </c>
      <c r="C123" s="23" t="inlineStr">
        <is>
          <t>21Y300121</t>
        </is>
      </c>
      <c r="D123" s="17" t="inlineStr">
        <is>
          <t>Oxígeno Medicinal 10 m³</t>
        </is>
      </c>
      <c r="E123" s="17" t="inlineStr">
        <is>
          <t>OXIGENO MEDICINAL</t>
        </is>
      </c>
      <c r="F123" s="17" t="inlineStr">
        <is>
          <t>CLIENTE</t>
        </is>
      </c>
      <c r="G123" s="23" t="n">
        <v>20608134001</v>
      </c>
      <c r="H123" s="25">
        <f t="array" ref="H123">IF(G123="","",IFERROR(IF(INDEX(Clientes!$D$5:$D$549,MATCH(G123,Clientes!$C$5:$C$549,0))&lt;&gt;"",INDEX(Clientes!$D$5:$D$549,MATCH(G123,Clientes!$C$5:$C$549,0)),TRIM(INDEX(Clientes!$E$5:$E$549,MATCH(G123,Clientes!$C$5:$C$549,0))&amp;" "&amp;INDEX(Clientes!$F$5:$F$549,MATCH(G123,Clientes!$C$5:$C$549,0)))),"NO EXISTE en Clientes"))</f>
        <v/>
      </c>
      <c r="I123" s="17" t="inlineStr">
        <is>
          <t>DISPONIBLE</t>
        </is>
      </c>
      <c r="J123" s="17" t="inlineStr">
        <is>
          <t>ALMACEN PRINCIPAL</t>
        </is>
      </c>
      <c r="K123" s="23" t="n"/>
      <c r="L123" s="25">
        <f t="array" ref="L123">IF(K123="","",IFERROR(IF(INDEX(Clientes!$D$5:$D$549,MATCH(K123,Clientes!$C$5:$C$549,0))&lt;&gt;"",INDEX(Clientes!$D$5:$D$549,MATCH(K123,Clientes!$C$5:$C$549,0)),TRIM(INDEX(Clientes!$E$5:$E$549,MATCH(K123,Clientes!$C$5:$C$549,0))&amp;" "&amp;INDEX(Clientes!$F$5:$F$549,MATCH(K123,Clientes!$C$5:$C$549,0)))),"NO EXISTE en Clientes"))</f>
        <v/>
      </c>
      <c r="M123" s="17" t="n"/>
      <c r="N123" s="17" t="n"/>
      <c r="O123" s="42" t="n"/>
      <c r="P123" s="39">
        <f>IF(O123&lt;&gt;"",DATE(YEAR(O123)+10,MONTH(O123),1),IF(AND(M123&lt;&gt;"",N123&lt;&gt;""),DATE(M123+5,N123,1),""))</f>
        <v/>
      </c>
      <c r="Q123" s="23" t="n"/>
      <c r="R123" s="17" t="n"/>
      <c r="S123" s="17" t="n"/>
      <c r="T123" s="17" t="n"/>
      <c r="U123" s="17" t="n"/>
      <c r="V123" s="23" t="n"/>
      <c r="W123" s="17" t="n"/>
      <c r="X123" s="17" t="inlineStr">
        <is>
          <t>CLINICA CURAY</t>
        </is>
      </c>
      <c r="Y123" s="28">
        <f>IF(B123&lt;&gt;"OK","","SELECT bal_crear_balon(p_codigo_balon =&gt; "&amp;IF(TRIM(C123&amp;"")="","NULL","'"&amp;SUBSTITUTE(TRIM(C123),"'","''")&amp;"'")&amp;", p_id_tipo_balon =&gt; "&amp;"(SELECT id FROM bal_tipo_balon WHERE upper(nombre) = upper('"&amp;SUBSTITUTE(TRIM(D123),"'","''")&amp;"') AND estado = 1 LIMIT 1)"&amp;", p_id_producto_gas =&gt; "&amp;"(SELECT id FROM pro_producto WHERE es_gas = TRUE AND upper(nombre) = upper('"&amp;SUBSTITUTE(TRIM(E123),"'","''")&amp;"') AND estado = 1 LIMIT 1)"&amp;", p_id_propietario =&gt; "&amp;IF(TRIM(F123&amp;"")="","NULL","(SELECT lo.id FROM gen_lista_opciones lo JOIN gen_lista l ON l.id = lo.id_lista WHERE l.nombre = 'PropietarioBalon' AND upper(lo.nombre) = upper('"&amp;SUBSTITUTE(TRIM(F123),"'","''")&amp;"') AND lo.estado = 1 LIMIT 1)")&amp;", p_id_cliente_propietario =&gt; "&amp;IF(F123="CLIENTE",IF(TRIM(G123&amp;"")="","NULL","(SELECT id FROM cli_clientes WHERE numero_documento = '"&amp;SUBSTITUTE(TRIM(G123),"'","''")&amp;"' AND estado = 1 LIMIT 1)"),"NULL")&amp;", p_id_planta =&gt; "&amp;IF(F123="PLANTA",IF(TRIM(G123&amp;"")="","NULL","(SELECT id FROM cli_clientes WHERE numero_documento = '"&amp;SUBSTITUTE(TRIM(G123),"'","''")&amp;"'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"&amp;IF(TRIM(J123&amp;"")="","NULL","(SELECT id FROM gen_almacen WHERE upper(nombre) = upper('"&amp;SUBSTITUTE(TRIM(J123),"'","''")&amp;"') AND estado = 1 LIMIT 1)")&amp;", p_id_cliente_ubicacion =&gt; "&amp;IF(TRIM(K123&amp;"")="","NULL","(SELECT id FROM cli_clientes WHERE numero_documento = '"&amp;SUBSTITUTE(TRIM(K123),"'","''")&amp;"' AND estado = 1 LIMIT 1)")&amp;", p_id_referencia =&gt; "&amp;IF(TRIM(J123&amp;"")&lt;&gt;"","(SELECT lo.id FROM gen_lista_opciones lo JOIN gen_lista l ON l.id = lo.id_lista WHERE l.nombre = 'ReferenciaCilindro' AND upper(lo.nombre) = 'ALMACEN' AND lo.estado = 1 LIMIT 1)",IF(TRIM(K123&amp;"")&lt;&gt;"","(SELECT lo.id FROM gen_lista_opciones lo JOIN gen_lista l ON l.id = lo.id_lista WHERE l.nombre = 'ReferenciaCilindro' AND upper(lo.nombre) = 'CLIENTE' AND lo.estado = 1 LIMIT 1)","NULL"))&amp;", p_anio_fabricacion =&gt; "&amp;IF(M123&amp;""="","NULL::smallint",M123&amp;"::smallint")&amp;", p_mes_fabricacion =&gt; "&amp;IF(N123&amp;""="","NULL::smallint",N123&amp;"::smallint")&amp;", p_fecha_ultima_prueba_hidrostatica =&gt; "&amp;IF(O123&amp;""="","NULL","'"&amp;YEAR(O123)&amp;"-"&amp;TEXT(MONTH(O123),"00")&amp;"-"&amp;TEXT(DAY(O123),"00")&amp;"'")&amp;", p_numero_serie =&gt; "&amp;IF(TRIM(Q123&amp;"")="","NULL","'"&amp;SUBSTITUTE(TRIM(Q123),"'","''")&amp;"'")&amp;", p_id_marca_cilindro =&gt; "&amp;IF(TRIM(R123&amp;"")="","NULL","(SELECT lo.id FROM gen_lista_opciones lo JOIN gen_lista l ON l.id = lo.id_lista WHERE l.nombre = 'MarcaCilindro' AND upper(lo.nombre) = upper('"&amp;SUBSTITUTE(TRIM(R123),"'","''")&amp;"') AND lo.estado = 1 LIMIT 1)")&amp;", p_id_organo_inspector =&gt; "&amp;IF(TRIM(S123&amp;"")="","NULL","(SELECT lo.id FROM gen_lista_opciones lo JOIN gen_lista l ON l.id = lo.id_lista WHERE l.nombre = 'OrganoInspectorCilindro' AND upper(lo.nombre) = upper('"&amp;SUBSTITUTE(TRIM(S123),"'","''")&amp;"') AND lo.estado = 1 LIMIT 1)")&amp;", p_organo_inspector_no_aplica =&gt; "&amp;IF(S123="NO_APLICA","TRUE","FALSE")&amp;", p_presion_actual =&gt; "&amp;IF(T123&amp;""="","NULL",SUBSTITUTE(T123&amp;"",",","."))&amp;", p_tipo_valvula =&gt; "&amp;IF(TRIM(U123&amp;"")="","NULL","'"&amp;SUBSTITUTE(TRIM(U123),"'","''")&amp;"'")&amp;", p_libro_cilindro =&gt; "&amp;IF(TRIM(V123&amp;"")="","NULL","'"&amp;SUBSTITUTE(TRIM(V123),"'","''")&amp;"'")&amp;", p_pagina_libro =&gt; "&amp;IF(W123&amp;""="","NULL",SUBSTITUTE(W123&amp;"",",","."))&amp;", p_observacion =&gt; "&amp;IF(TRIM(X123&amp;"")="","NULL","'"&amp;SUBSTITUTE(TRIM(X123),"'","''")&amp;"'")&amp;") AS resultado_balon_"&amp;ROW()&amp;";")</f>
        <v/>
      </c>
    </row>
    <row r="124" ht="15.75" customHeight="1" s="64">
      <c r="A124" s="36" t="inlineStr">
        <is>
          <t>120</t>
        </is>
      </c>
      <c r="B124" s="25">
        <f>IF(AND(C124="",D124="",E124=""),"",IF(C124="","FALTA código balón",IF(D124="","FALTA tipo balón",IF(E124="","FALTA gas",IF(F124="","FALTA propietario",IF(AND(C124&lt;&gt;"",SUMPRODUCT(--($C$5:$C$1200=C124))&gt;1),"CÓDIGO BALÓN DUPLICADO",IF(AND(OR(UPPER(F124)="PLANTA",UPPER(F124)="CLIENTE"),G124=""),"FALTA doc propietario/planta",IF(AND(UPPER(F124)="PLANTA",G124="10175332796"),"PLANTA no puede ser RUC empresa","OK"))))))))</f>
        <v/>
      </c>
      <c r="C124" s="23" t="inlineStr">
        <is>
          <t>K3481141</t>
        </is>
      </c>
      <c r="D124" s="17" t="inlineStr">
        <is>
          <t>Oxígeno Medicinal 10 m³</t>
        </is>
      </c>
      <c r="E124" s="17" t="inlineStr">
        <is>
          <t>OXIGENO MEDICINAL</t>
        </is>
      </c>
      <c r="F124" s="17" t="inlineStr">
        <is>
          <t>CLIENTE</t>
        </is>
      </c>
      <c r="G124" s="23" t="inlineStr">
        <is>
          <t>44556460</t>
        </is>
      </c>
      <c r="H124" s="25">
        <f t="array" ref="H124">IF(G124="","",IFERROR(IF(INDEX(Clientes!$D$5:$D$549,MATCH(G124,Clientes!$C$5:$C$549,0))&lt;&gt;"",INDEX(Clientes!$D$5:$D$549,MATCH(G124,Clientes!$C$5:$C$549,0)),TRIM(INDEX(Clientes!$E$5:$E$549,MATCH(G124,Clientes!$C$5:$C$549,0))&amp;" "&amp;INDEX(Clientes!$F$5:$F$549,MATCH(G124,Clientes!$C$5:$C$549,0)))),"NO EXISTE en Clientes"))</f>
        <v/>
      </c>
      <c r="I124" s="17" t="inlineStr">
        <is>
          <t>DISPONIBLE</t>
        </is>
      </c>
      <c r="J124" s="17" t="inlineStr">
        <is>
          <t>ALMACEN PRINCIPAL</t>
        </is>
      </c>
      <c r="K124" s="23" t="n"/>
      <c r="L124" s="25">
        <f t="array" ref="L124">IF(K124="","",IFERROR(IF(INDEX(Clientes!$D$5:$D$549,MATCH(K124,Clientes!$C$5:$C$549,0))&lt;&gt;"",INDEX(Clientes!$D$5:$D$549,MATCH(K124,Clientes!$C$5:$C$549,0)),TRIM(INDEX(Clientes!$E$5:$E$549,MATCH(K124,Clientes!$C$5:$C$549,0))&amp;" "&amp;INDEX(Clientes!$F$5:$F$549,MATCH(K124,Clientes!$C$5:$C$549,0)))),"NO EXISTE en Clientes"))</f>
        <v/>
      </c>
      <c r="M124" s="17" t="n"/>
      <c r="N124" s="17" t="n"/>
      <c r="O124" s="42" t="n"/>
      <c r="P124" s="39">
        <f>IF(O124&lt;&gt;"",DATE(YEAR(O124)+10,MONTH(O124),1),IF(AND(M124&lt;&gt;"",N124&lt;&gt;""),DATE(M124+5,N124,1),""))</f>
        <v/>
      </c>
      <c r="Q124" s="23" t="n"/>
      <c r="R124" s="17" t="n"/>
      <c r="S124" s="17" t="n"/>
      <c r="T124" s="17" t="n"/>
      <c r="U124" s="17" t="n"/>
      <c r="V124" s="23" t="n"/>
      <c r="W124" s="17" t="n"/>
      <c r="X124" s="17" t="n"/>
      <c r="Y124" s="28">
        <f>IF(B124&lt;&gt;"OK","","SELECT bal_crear_balon(p_codigo_balon =&gt; "&amp;IF(TRIM(C124&amp;"")="","NULL","'"&amp;SUBSTITUTE(TRIM(C124),"'","''")&amp;"'")&amp;", p_id_tipo_balon =&gt; "&amp;"(SELECT id FROM bal_tipo_balon WHERE upper(nombre) = upper('"&amp;SUBSTITUTE(TRIM(D124),"'","''")&amp;"') AND estado = 1 LIMIT 1)"&amp;", p_id_producto_gas =&gt; "&amp;"(SELECT id FROM pro_producto WHERE es_gas = TRUE AND upper(nombre) = upper('"&amp;SUBSTITUTE(TRIM(E124),"'","''")&amp;"') AND estado = 1 LIMIT 1)"&amp;", p_id_propietario =&gt; "&amp;IF(TRIM(F124&amp;"")="","NULL","(SELECT lo.id FROM gen_lista_opciones lo JOIN gen_lista l ON l.id = lo.id_lista WHERE l.nombre = 'PropietarioBalon' AND upper(lo.nombre) = upper('"&amp;SUBSTITUTE(TRIM(F124),"'","''")&amp;"') AND lo.estado = 1 LIMIT 1)")&amp;", p_id_cliente_propietario =&gt; "&amp;IF(F124="CLIENTE",IF(TRIM(G124&amp;"")="","NULL","(SELECT id FROM cli_clientes WHERE numero_documento = '"&amp;SUBSTITUTE(TRIM(G124),"'","''")&amp;"' AND estado = 1 LIMIT 1)"),"NULL")&amp;", p_id_planta =&gt; "&amp;IF(F124="PLANTA",IF(TRIM(G124&amp;"")="","NULL","(SELECT id FROM cli_clientes WHERE numero_documento = '"&amp;SUBSTITUTE(TRIM(G124),"'","''")&amp;"'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"&amp;IF(TRIM(J124&amp;"")="","NULL","(SELECT id FROM gen_almacen WHERE upper(nombre) = upper('"&amp;SUBSTITUTE(TRIM(J124),"'","''")&amp;"') AND estado = 1 LIMIT 1)")&amp;", p_id_cliente_ubicacion =&gt; "&amp;IF(TRIM(K124&amp;"")="","NULL","(SELECT id FROM cli_clientes WHERE numero_documento = '"&amp;SUBSTITUTE(TRIM(K124),"'","''")&amp;"' AND estado = 1 LIMIT 1)")&amp;", p_id_referencia =&gt; "&amp;IF(TRIM(J124&amp;"")&lt;&gt;"","(SELECT lo.id FROM gen_lista_opciones lo JOIN gen_lista l ON l.id = lo.id_lista WHERE l.nombre = 'ReferenciaCilindro' AND upper(lo.nombre) = 'ALMACEN' AND lo.estado = 1 LIMIT 1)",IF(TRIM(K124&amp;"")&lt;&gt;"","(SELECT lo.id FROM gen_lista_opciones lo JOIN gen_lista l ON l.id = lo.id_lista WHERE l.nombre = 'ReferenciaCilindro' AND upper(lo.nombre) = 'CLIENTE' AND lo.estado = 1 LIMIT 1)","NULL"))&amp;", p_anio_fabricacion =&gt; "&amp;IF(M124&amp;""="","NULL::smallint",M124&amp;"::smallint")&amp;", p_mes_fabricacion =&gt; "&amp;IF(N124&amp;""="","NULL::smallint",N124&amp;"::smallint")&amp;", p_fecha_ultima_prueba_hidrostatica =&gt; "&amp;IF(O124&amp;""="","NULL","'"&amp;YEAR(O124)&amp;"-"&amp;TEXT(MONTH(O124),"00")&amp;"-"&amp;TEXT(DAY(O124),"00")&amp;"'")&amp;", p_numero_serie =&gt; "&amp;IF(TRIM(Q124&amp;"")="","NULL","'"&amp;SUBSTITUTE(TRIM(Q124),"'","''")&amp;"'")&amp;", p_id_marca_cilindro =&gt; "&amp;IF(TRIM(R124&amp;"")="","NULL","(SELECT lo.id FROM gen_lista_opciones lo JOIN gen_lista l ON l.id = lo.id_lista WHERE l.nombre = 'MarcaCilindro' AND upper(lo.nombre) = upper('"&amp;SUBSTITUTE(TRIM(R124),"'","''")&amp;"') AND lo.estado = 1 LIMIT 1)")&amp;", p_id_organo_inspector =&gt; "&amp;IF(TRIM(S124&amp;"")="","NULL","(SELECT lo.id FROM gen_lista_opciones lo JOIN gen_lista l ON l.id = lo.id_lista WHERE l.nombre = 'OrganoInspectorCilindro' AND upper(lo.nombre) = upper('"&amp;SUBSTITUTE(TRIM(S124),"'","''")&amp;"') AND lo.estado = 1 LIMIT 1)")&amp;", p_organo_inspector_no_aplica =&gt; "&amp;IF(S124="NO_APLICA","TRUE","FALSE")&amp;", p_presion_actual =&gt; "&amp;IF(T124&amp;""="","NULL",SUBSTITUTE(T124&amp;"",",","."))&amp;", p_tipo_valvula =&gt; "&amp;IF(TRIM(U124&amp;"")="","NULL","'"&amp;SUBSTITUTE(TRIM(U124),"'","''")&amp;"'")&amp;", p_libro_cilindro =&gt; "&amp;IF(TRIM(V124&amp;"")="","NULL","'"&amp;SUBSTITUTE(TRIM(V124),"'","''")&amp;"'")&amp;", p_pagina_libro =&gt; "&amp;IF(W124&amp;""="","NULL",SUBSTITUTE(W124&amp;"",",","."))&amp;", p_observacion =&gt; "&amp;IF(TRIM(X124&amp;"")="","NULL","'"&amp;SUBSTITUTE(TRIM(X124),"'","''")&amp;"'")&amp;") AS resultado_balon_"&amp;ROW()&amp;";")</f>
        <v/>
      </c>
    </row>
    <row r="125" ht="15.75" customHeight="1" s="64">
      <c r="A125" s="36" t="inlineStr">
        <is>
          <t>121</t>
        </is>
      </c>
      <c r="B125" s="25">
        <f>IF(AND(C125="",D125="",E125=""),"",IF(C125="","FALTA código balón",IF(D125="","FALTA tipo balón",IF(E125="","FALTA gas",IF(F125="","FALTA propietario",IF(AND(C125&lt;&gt;"",SUMPRODUCT(--($C$5:$C$1200=C125))&gt;1),"CÓDIGO BALÓN DUPLICADO",IF(AND(OR(UPPER(F125)="PLANTA",UPPER(F125)="CLIENTE"),G125=""),"FALTA doc propietario/planta",IF(AND(UPPER(F125)="PLANTA",G125="10175332796"),"PLANTA no puede ser RUC empresa","OK"))))))))</f>
        <v/>
      </c>
      <c r="C125" s="23" t="inlineStr">
        <is>
          <t>4145</t>
        </is>
      </c>
      <c r="D125" s="17" t="inlineStr">
        <is>
          <t>Oxígeno Industrial 6 m³</t>
        </is>
      </c>
      <c r="E125" s="17" t="inlineStr">
        <is>
          <t>OXIGENO INDUSTRIAL</t>
        </is>
      </c>
      <c r="F125" s="17" t="inlineStr">
        <is>
          <t>EMPRESA</t>
        </is>
      </c>
      <c r="G125" s="23" t="inlineStr">
        <is>
          <t>10175332796</t>
        </is>
      </c>
      <c r="H125" s="25">
        <f t="array" ref="H125">IF(G125="","",IFERROR(IF(INDEX(Clientes!$D$5:$D$549,MATCH(G125,Clientes!$C$5:$C$549,0))&lt;&gt;"",INDEX(Clientes!$D$5:$D$549,MATCH(G125,Clientes!$C$5:$C$549,0)),TRIM(INDEX(Clientes!$E$5:$E$549,MATCH(G125,Clientes!$C$5:$C$549,0))&amp;" "&amp;INDEX(Clientes!$F$5:$F$549,MATCH(G125,Clientes!$C$5:$C$549,0)))),"NO EXISTE en Clientes"))</f>
        <v/>
      </c>
      <c r="I125" s="17" t="inlineStr">
        <is>
          <t>DISPONIBLE</t>
        </is>
      </c>
      <c r="J125" s="17" t="inlineStr">
        <is>
          <t>ALMACEN PRINCIPAL</t>
        </is>
      </c>
      <c r="K125" s="23" t="n"/>
      <c r="L125" s="25">
        <f t="array" ref="L125">IF(K125="","",IFERROR(IF(INDEX(Clientes!$D$5:$D$549,MATCH(K125,Clientes!$C$5:$C$549,0))&lt;&gt;"",INDEX(Clientes!$D$5:$D$549,MATCH(K125,Clientes!$C$5:$C$549,0)),TRIM(INDEX(Clientes!$E$5:$E$549,MATCH(K125,Clientes!$C$5:$C$549,0))&amp;" "&amp;INDEX(Clientes!$F$5:$F$549,MATCH(K125,Clientes!$C$5:$C$549,0)))),"NO EXISTE en Clientes"))</f>
        <v/>
      </c>
      <c r="M125" s="17" t="n"/>
      <c r="N125" s="17" t="n"/>
      <c r="O125" s="42" t="n"/>
      <c r="P125" s="39">
        <f>IF(O125&lt;&gt;"",DATE(YEAR(O125)+10,MONTH(O125),1),IF(AND(M125&lt;&gt;"",N125&lt;&gt;""),DATE(M125+5,N125,1),""))</f>
        <v/>
      </c>
      <c r="Q125" s="23" t="n"/>
      <c r="R125" s="17" t="n"/>
      <c r="S125" s="17" t="n"/>
      <c r="T125" s="17" t="n"/>
      <c r="U125" s="17" t="n"/>
      <c r="V125" s="23" t="n"/>
      <c r="W125" s="17" t="n"/>
      <c r="X125" s="17" t="inlineStr">
        <is>
          <t>PASADIZO</t>
        </is>
      </c>
      <c r="Y125" s="28">
        <f>IF(B125&lt;&gt;"OK","","SELECT bal_crear_balon(p_codigo_balon =&gt; "&amp;IF(TRIM(C125&amp;"")="","NULL","'"&amp;SUBSTITUTE(TRIM(C125),"'","''")&amp;"'")&amp;", p_id_tipo_balon =&gt; "&amp;"(SELECT id FROM bal_tipo_balon WHERE upper(nombre) = upper('"&amp;SUBSTITUTE(TRIM(D125),"'","''")&amp;"') AND estado = 1 LIMIT 1)"&amp;", p_id_producto_gas =&gt; "&amp;"(SELECT id FROM pro_producto WHERE es_gas = TRUE AND upper(nombre) = upper('"&amp;SUBSTITUTE(TRIM(E125),"'","''")&amp;"') AND estado = 1 LIMIT 1)"&amp;", p_id_propietario =&gt; "&amp;IF(TRIM(F125&amp;"")="","NULL","(SELECT lo.id FROM gen_lista_opciones lo JOIN gen_lista l ON l.id = lo.id_lista WHERE l.nombre = 'PropietarioBalon' AND upper(lo.nombre) = upper('"&amp;SUBSTITUTE(TRIM(F125),"'","''")&amp;"') AND lo.estado = 1 LIMIT 1)")&amp;", p_id_cliente_propietario =&gt; "&amp;IF(F125="CLIENTE",IF(TRIM(G125&amp;"")="","NULL","(SELECT id FROM cli_clientes WHERE numero_documento = '"&amp;SUBSTITUTE(TRIM(G125),"'","''")&amp;"' AND estado = 1 LIMIT 1)"),"NULL")&amp;", p_id_planta =&gt; "&amp;IF(F125="PLANTA",IF(TRIM(G125&amp;"")="","NULL","(SELECT id FROM cli_clientes WHERE numero_documento = '"&amp;SUBSTITUTE(TRIM(G125),"'","''")&amp;"'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"&amp;IF(TRIM(J125&amp;"")="","NULL","(SELECT id FROM gen_almacen WHERE upper(nombre) = upper('"&amp;SUBSTITUTE(TRIM(J125),"'","''")&amp;"') AND estado = 1 LIMIT 1)")&amp;", p_id_cliente_ubicacion =&gt; "&amp;IF(TRIM(K125&amp;"")="","NULL","(SELECT id FROM cli_clientes WHERE numero_documento = '"&amp;SUBSTITUTE(TRIM(K125),"'","''")&amp;"' AND estado = 1 LIMIT 1)")&amp;", p_id_referencia =&gt; "&amp;IF(TRIM(J125&amp;"")&lt;&gt;"","(SELECT lo.id FROM gen_lista_opciones lo JOIN gen_lista l ON l.id = lo.id_lista WHERE l.nombre = 'ReferenciaCilindro' AND upper(lo.nombre) = 'ALMACEN' AND lo.estado = 1 LIMIT 1)",IF(TRIM(K125&amp;"")&lt;&gt;"","(SELECT lo.id FROM gen_lista_opciones lo JOIN gen_lista l ON l.id = lo.id_lista WHERE l.nombre = 'ReferenciaCilindro' AND upper(lo.nombre) = 'CLIENTE' AND lo.estado = 1 LIMIT 1)","NULL"))&amp;", p_anio_fabricacion =&gt; "&amp;IF(M125&amp;""="","NULL::smallint",M125&amp;"::smallint")&amp;", p_mes_fabricacion =&gt; "&amp;IF(N125&amp;""="","NULL::smallint",N125&amp;"::smallint")&amp;", p_fecha_ultima_prueba_hidrostatica =&gt; "&amp;IF(O125&amp;""="","NULL","'"&amp;YEAR(O125)&amp;"-"&amp;TEXT(MONTH(O125),"00")&amp;"-"&amp;TEXT(DAY(O125),"00")&amp;"'")&amp;", p_numero_serie =&gt; "&amp;IF(TRIM(Q125&amp;"")="","NULL","'"&amp;SUBSTITUTE(TRIM(Q125),"'","''")&amp;"'")&amp;", p_id_marca_cilindro =&gt; "&amp;IF(TRIM(R125&amp;"")="","NULL","(SELECT lo.id FROM gen_lista_opciones lo JOIN gen_lista l ON l.id = lo.id_lista WHERE l.nombre = 'MarcaCilindro' AND upper(lo.nombre) = upper('"&amp;SUBSTITUTE(TRIM(R125),"'","''")&amp;"') AND lo.estado = 1 LIMIT 1)")&amp;", p_id_organo_inspector =&gt; "&amp;IF(TRIM(S125&amp;"")="","NULL","(SELECT lo.id FROM gen_lista_opciones lo JOIN gen_lista l ON l.id = lo.id_lista WHERE l.nombre = 'OrganoInspectorCilindro' AND upper(lo.nombre) = upper('"&amp;SUBSTITUTE(TRIM(S125),"'","''")&amp;"') AND lo.estado = 1 LIMIT 1)")&amp;", p_organo_inspector_no_aplica =&gt; "&amp;IF(S125="NO_APLICA","TRUE","FALSE")&amp;", p_presion_actual =&gt; "&amp;IF(T125&amp;""="","NULL",SUBSTITUTE(T125&amp;"",",","."))&amp;", p_tipo_valvula =&gt; "&amp;IF(TRIM(U125&amp;"")="","NULL","'"&amp;SUBSTITUTE(TRIM(U125),"'","''")&amp;"'")&amp;", p_libro_cilindro =&gt; "&amp;IF(TRIM(V125&amp;"")="","NULL","'"&amp;SUBSTITUTE(TRIM(V125),"'","''")&amp;"'")&amp;", p_pagina_libro =&gt; "&amp;IF(W125&amp;""="","NULL",SUBSTITUTE(W125&amp;"",",","."))&amp;", p_observacion =&gt; "&amp;IF(TRIM(X125&amp;"")="","NULL","'"&amp;SUBSTITUTE(TRIM(X125),"'","''")&amp;"'")&amp;") AS resultado_balon_"&amp;ROW()&amp;";")</f>
        <v/>
      </c>
    </row>
    <row r="126" ht="15.75" customHeight="1" s="64">
      <c r="A126" s="36" t="inlineStr">
        <is>
          <t>122</t>
        </is>
      </c>
      <c r="B126" s="25">
        <f>IF(AND(C126="",D126="",E126=""),"",IF(C126="","FALTA código balón",IF(D126="","FALTA tipo balón",IF(E126="","FALTA gas",IF(F126="","FALTA propietario",IF(AND(C126&lt;&gt;"",SUMPRODUCT(--($C$5:$C$1200=C126))&gt;1),"CÓDIGO BALÓN DUPLICADO",IF(AND(OR(UPPER(F126)="PLANTA",UPPER(F126)="CLIENTE"),G126=""),"FALTA doc propietario/planta",IF(AND(UPPER(F126)="PLANTA",G126="10175332796"),"PLANTA no puede ser RUC empresa","OK"))))))))</f>
        <v/>
      </c>
      <c r="C126" s="23" t="inlineStr">
        <is>
          <t>397845</t>
        </is>
      </c>
      <c r="D126" s="17" t="inlineStr">
        <is>
          <t>Oxígeno Industrial 6 m³</t>
        </is>
      </c>
      <c r="E126" s="17" t="inlineStr">
        <is>
          <t>OXIGENO INDUSTRIAL</t>
        </is>
      </c>
      <c r="F126" s="17" t="inlineStr">
        <is>
          <t>EMPRESA</t>
        </is>
      </c>
      <c r="G126" s="23" t="inlineStr">
        <is>
          <t>10175332796</t>
        </is>
      </c>
      <c r="H126" s="25">
        <f t="array" ref="H126">IF(G126="","",IFERROR(IF(INDEX(Clientes!$D$5:$D$549,MATCH(G126,Clientes!$C$5:$C$549,0))&lt;&gt;"",INDEX(Clientes!$D$5:$D$549,MATCH(G126,Clientes!$C$5:$C$549,0)),TRIM(INDEX(Clientes!$E$5:$E$549,MATCH(G126,Clientes!$C$5:$C$549,0))&amp;" "&amp;INDEX(Clientes!$F$5:$F$549,MATCH(G126,Clientes!$C$5:$C$549,0)))),"NO EXISTE en Clientes"))</f>
        <v/>
      </c>
      <c r="I126" s="17" t="inlineStr">
        <is>
          <t>DISPONIBLE</t>
        </is>
      </c>
      <c r="J126" s="17" t="inlineStr">
        <is>
          <t>ALMACEN PRINCIPAL</t>
        </is>
      </c>
      <c r="K126" s="23" t="n"/>
      <c r="L126" s="25">
        <f t="array" ref="L126">IF(K126="","",IFERROR(IF(INDEX(Clientes!$D$5:$D$549,MATCH(K126,Clientes!$C$5:$C$549,0))&lt;&gt;"",INDEX(Clientes!$D$5:$D$549,MATCH(K126,Clientes!$C$5:$C$549,0)),TRIM(INDEX(Clientes!$E$5:$E$549,MATCH(K126,Clientes!$C$5:$C$549,0))&amp;" "&amp;INDEX(Clientes!$F$5:$F$549,MATCH(K126,Clientes!$C$5:$C$549,0)))),"NO EXISTE en Clientes"))</f>
        <v/>
      </c>
      <c r="M126" s="17" t="n"/>
      <c r="N126" s="17" t="n"/>
      <c r="O126" s="42" t="n"/>
      <c r="P126" s="39">
        <f>IF(O126&lt;&gt;"",DATE(YEAR(O126)+10,MONTH(O126),1),IF(AND(M126&lt;&gt;"",N126&lt;&gt;""),DATE(M126+5,N126,1),""))</f>
        <v/>
      </c>
      <c r="Q126" s="23" t="n"/>
      <c r="R126" s="17" t="n"/>
      <c r="S126" s="17" t="n"/>
      <c r="T126" s="17" t="n"/>
      <c r="U126" s="17" t="n"/>
      <c r="V126" s="23" t="n"/>
      <c r="W126" s="17" t="n"/>
      <c r="X126" s="17" t="inlineStr">
        <is>
          <t>PASADIZO</t>
        </is>
      </c>
      <c r="Y126" s="28">
        <f>IF(B126&lt;&gt;"OK","","SELECT bal_crear_balon(p_codigo_balon =&gt; "&amp;IF(TRIM(C126&amp;"")="","NULL","'"&amp;SUBSTITUTE(TRIM(C126),"'","''")&amp;"'")&amp;", p_id_tipo_balon =&gt; "&amp;"(SELECT id FROM bal_tipo_balon WHERE upper(nombre) = upper('"&amp;SUBSTITUTE(TRIM(D126),"'","''")&amp;"') AND estado = 1 LIMIT 1)"&amp;", p_id_producto_gas =&gt; "&amp;"(SELECT id FROM pro_producto WHERE es_gas = TRUE AND upper(nombre) = upper('"&amp;SUBSTITUTE(TRIM(E126),"'","''")&amp;"') AND estado = 1 LIMIT 1)"&amp;", p_id_propietario =&gt; "&amp;IF(TRIM(F126&amp;"")="","NULL","(SELECT lo.id FROM gen_lista_opciones lo JOIN gen_lista l ON l.id = lo.id_lista WHERE l.nombre = 'PropietarioBalon' AND upper(lo.nombre) = upper('"&amp;SUBSTITUTE(TRIM(F126),"'","''")&amp;"') AND lo.estado = 1 LIMIT 1)")&amp;", p_id_cliente_propietario =&gt; "&amp;IF(F126="CLIENTE",IF(TRIM(G126&amp;"")="","NULL","(SELECT id FROM cli_clientes WHERE numero_documento = '"&amp;SUBSTITUTE(TRIM(G126),"'","''")&amp;"' AND estado = 1 LIMIT 1)"),"NULL")&amp;", p_id_planta =&gt; "&amp;IF(F126="PLANTA",IF(TRIM(G126&amp;"")="","NULL","(SELECT id FROM cli_clientes WHERE numero_documento = '"&amp;SUBSTITUTE(TRIM(G126),"'","''")&amp;"'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"&amp;IF(TRIM(J126&amp;"")="","NULL","(SELECT id FROM gen_almacen WHERE upper(nombre) = upper('"&amp;SUBSTITUTE(TRIM(J126),"'","''")&amp;"') AND estado = 1 LIMIT 1)")&amp;", p_id_cliente_ubicacion =&gt; "&amp;IF(TRIM(K126&amp;"")="","NULL","(SELECT id FROM cli_clientes WHERE numero_documento = '"&amp;SUBSTITUTE(TRIM(K126),"'","''")&amp;"' AND estado = 1 LIMIT 1)")&amp;", p_id_referencia =&gt; "&amp;IF(TRIM(J126&amp;"")&lt;&gt;"","(SELECT lo.id FROM gen_lista_opciones lo JOIN gen_lista l ON l.id = lo.id_lista WHERE l.nombre = 'ReferenciaCilindro' AND upper(lo.nombre) = 'ALMACEN' AND lo.estado = 1 LIMIT 1)",IF(TRIM(K126&amp;"")&lt;&gt;"","(SELECT lo.id FROM gen_lista_opciones lo JOIN gen_lista l ON l.id = lo.id_lista WHERE l.nombre = 'ReferenciaCilindro' AND upper(lo.nombre) = 'CLIENTE' AND lo.estado = 1 LIMIT 1)","NULL"))&amp;", p_anio_fabricacion =&gt; "&amp;IF(M126&amp;""="","NULL::smallint",M126&amp;"::smallint")&amp;", p_mes_fabricacion =&gt; "&amp;IF(N126&amp;""="","NULL::smallint",N126&amp;"::smallint")&amp;", p_fecha_ultima_prueba_hidrostatica =&gt; "&amp;IF(O126&amp;""="","NULL","'"&amp;YEAR(O126)&amp;"-"&amp;TEXT(MONTH(O126),"00")&amp;"-"&amp;TEXT(DAY(O126),"00")&amp;"'")&amp;", p_numero_serie =&gt; "&amp;IF(TRIM(Q126&amp;"")="","NULL","'"&amp;SUBSTITUTE(TRIM(Q126),"'","''")&amp;"'")&amp;", p_id_marca_cilindro =&gt; "&amp;IF(TRIM(R126&amp;"")="","NULL","(SELECT lo.id FROM gen_lista_opciones lo JOIN gen_lista l ON l.id = lo.id_lista WHERE l.nombre = 'MarcaCilindro' AND upper(lo.nombre) = upper('"&amp;SUBSTITUTE(TRIM(R126),"'","''")&amp;"') AND lo.estado = 1 LIMIT 1)")&amp;", p_id_organo_inspector =&gt; "&amp;IF(TRIM(S126&amp;"")="","NULL","(SELECT lo.id FROM gen_lista_opciones lo JOIN gen_lista l ON l.id = lo.id_lista WHERE l.nombre = 'OrganoInspectorCilindro' AND upper(lo.nombre) = upper('"&amp;SUBSTITUTE(TRIM(S126),"'","''")&amp;"') AND lo.estado = 1 LIMIT 1)")&amp;", p_organo_inspector_no_aplica =&gt; "&amp;IF(S126="NO_APLICA","TRUE","FALSE")&amp;", p_presion_actual =&gt; "&amp;IF(T126&amp;""="","NULL",SUBSTITUTE(T126&amp;"",",","."))&amp;", p_tipo_valvula =&gt; "&amp;IF(TRIM(U126&amp;"")="","NULL","'"&amp;SUBSTITUTE(TRIM(U126),"'","''")&amp;"'")&amp;", p_libro_cilindro =&gt; "&amp;IF(TRIM(V126&amp;"")="","NULL","'"&amp;SUBSTITUTE(TRIM(V126),"'","''")&amp;"'")&amp;", p_pagina_libro =&gt; "&amp;IF(W126&amp;""="","NULL",SUBSTITUTE(W126&amp;"",",","."))&amp;", p_observacion =&gt; "&amp;IF(TRIM(X126&amp;"")="","NULL","'"&amp;SUBSTITUTE(TRIM(X126),"'","''")&amp;"'")&amp;") AS resultado_balon_"&amp;ROW()&amp;";")</f>
        <v/>
      </c>
    </row>
    <row r="127" ht="15.75" customHeight="1" s="64">
      <c r="A127" s="36" t="inlineStr">
        <is>
          <t>123</t>
        </is>
      </c>
      <c r="B127" s="25">
        <f>IF(AND(C127="",D127="",E127=""),"",IF(C127="","FALTA código balón",IF(D127="","FALTA tipo balón",IF(E127="","FALTA gas",IF(F127="","FALTA propietario",IF(AND(C127&lt;&gt;"",SUMPRODUCT(--($C$5:$C$1200=C127))&gt;1),"CÓDIGO BALÓN DUPLICADO",IF(AND(OR(UPPER(F127)="PLANTA",UPPER(F127)="CLIENTE"),G127=""),"FALTA doc propietario/planta",IF(AND(UPPER(F127)="PLANTA",G127="10175332796"),"PLANTA no puede ser RUC empresa","OK"))))))))</f>
        <v/>
      </c>
      <c r="C127" s="23" t="inlineStr">
        <is>
          <t>3707</t>
        </is>
      </c>
      <c r="D127" s="17" t="inlineStr">
        <is>
          <t>Oxígeno Industrial 6 m³</t>
        </is>
      </c>
      <c r="E127" s="17" t="inlineStr">
        <is>
          <t>OXIGENO INDUSTRIAL</t>
        </is>
      </c>
      <c r="F127" s="17" t="inlineStr">
        <is>
          <t>EMPRESA</t>
        </is>
      </c>
      <c r="G127" s="23" t="inlineStr">
        <is>
          <t>10175332796</t>
        </is>
      </c>
      <c r="H127" s="25">
        <f t="array" ref="H127">IF(G127="","",IFERROR(IF(INDEX(Clientes!$D$5:$D$549,MATCH(G127,Clientes!$C$5:$C$549,0))&lt;&gt;"",INDEX(Clientes!$D$5:$D$549,MATCH(G127,Clientes!$C$5:$C$549,0)),TRIM(INDEX(Clientes!$E$5:$E$549,MATCH(G127,Clientes!$C$5:$C$549,0))&amp;" "&amp;INDEX(Clientes!$F$5:$F$549,MATCH(G127,Clientes!$C$5:$C$549,0)))),"NO EXISTE en Clientes"))</f>
        <v/>
      </c>
      <c r="I127" s="17" t="inlineStr">
        <is>
          <t>DISPONIBLE</t>
        </is>
      </c>
      <c r="J127" s="17" t="inlineStr">
        <is>
          <t>ALMACEN PRINCIPAL</t>
        </is>
      </c>
      <c r="K127" s="23" t="n"/>
      <c r="L127" s="25">
        <f t="array" ref="L127">IF(K127="","",IFERROR(IF(INDEX(Clientes!$D$5:$D$549,MATCH(K127,Clientes!$C$5:$C$549,0))&lt;&gt;"",INDEX(Clientes!$D$5:$D$549,MATCH(K127,Clientes!$C$5:$C$549,0)),TRIM(INDEX(Clientes!$E$5:$E$549,MATCH(K127,Clientes!$C$5:$C$549,0))&amp;" "&amp;INDEX(Clientes!$F$5:$F$549,MATCH(K127,Clientes!$C$5:$C$549,0)))),"NO EXISTE en Clientes"))</f>
        <v/>
      </c>
      <c r="M127" s="17" t="n"/>
      <c r="N127" s="17" t="n"/>
      <c r="O127" s="42" t="n"/>
      <c r="P127" s="39">
        <f>IF(O127&lt;&gt;"",DATE(YEAR(O127)+10,MONTH(O127),1),IF(AND(M127&lt;&gt;"",N127&lt;&gt;""),DATE(M127+5,N127,1),""))</f>
        <v/>
      </c>
      <c r="Q127" s="23" t="n"/>
      <c r="R127" s="17" t="n"/>
      <c r="S127" s="17" t="n"/>
      <c r="T127" s="17" t="n"/>
      <c r="U127" s="17" t="n"/>
      <c r="V127" s="23" t="n"/>
      <c r="W127" s="17" t="n"/>
      <c r="X127" s="17" t="inlineStr">
        <is>
          <t>PASADIZO</t>
        </is>
      </c>
      <c r="Y127" s="28">
        <f>IF(B127&lt;&gt;"OK","","SELECT bal_crear_balon(p_codigo_balon =&gt; "&amp;IF(TRIM(C127&amp;"")="","NULL","'"&amp;SUBSTITUTE(TRIM(C127),"'","''")&amp;"'")&amp;", p_id_tipo_balon =&gt; "&amp;"(SELECT id FROM bal_tipo_balon WHERE upper(nombre) = upper('"&amp;SUBSTITUTE(TRIM(D127),"'","''")&amp;"') AND estado = 1 LIMIT 1)"&amp;", p_id_producto_gas =&gt; "&amp;"(SELECT id FROM pro_producto WHERE es_gas = TRUE AND upper(nombre) = upper('"&amp;SUBSTITUTE(TRIM(E127),"'","''")&amp;"') AND estado = 1 LIMIT 1)"&amp;", p_id_propietario =&gt; "&amp;IF(TRIM(F127&amp;"")="","NULL","(SELECT lo.id FROM gen_lista_opciones lo JOIN gen_lista l ON l.id = lo.id_lista WHERE l.nombre = 'PropietarioBalon' AND upper(lo.nombre) = upper('"&amp;SUBSTITUTE(TRIM(F127),"'","''")&amp;"') AND lo.estado = 1 LIMIT 1)")&amp;", p_id_cliente_propietario =&gt; "&amp;IF(F127="CLIENTE",IF(TRIM(G127&amp;"")="","NULL","(SELECT id FROM cli_clientes WHERE numero_documento = '"&amp;SUBSTITUTE(TRIM(G127),"'","''")&amp;"' AND estado = 1 LIMIT 1)"),"NULL")&amp;", p_id_planta =&gt; "&amp;IF(F127="PLANTA",IF(TRIM(G127&amp;"")="","NULL","(SELECT id FROM cli_clientes WHERE numero_documento = '"&amp;SUBSTITUTE(TRIM(G127),"'","''")&amp;"'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"&amp;IF(TRIM(J127&amp;"")="","NULL","(SELECT id FROM gen_almacen WHERE upper(nombre) = upper('"&amp;SUBSTITUTE(TRIM(J127),"'","''")&amp;"') AND estado = 1 LIMIT 1)")&amp;", p_id_cliente_ubicacion =&gt; "&amp;IF(TRIM(K127&amp;"")="","NULL","(SELECT id FROM cli_clientes WHERE numero_documento = '"&amp;SUBSTITUTE(TRIM(K127),"'","''")&amp;"' AND estado = 1 LIMIT 1)")&amp;", p_id_referencia =&gt; "&amp;IF(TRIM(J127&amp;"")&lt;&gt;"","(SELECT lo.id FROM gen_lista_opciones lo JOIN gen_lista l ON l.id = lo.id_lista WHERE l.nombre = 'ReferenciaCilindro' AND upper(lo.nombre) = 'ALMACEN' AND lo.estado = 1 LIMIT 1)",IF(TRIM(K127&amp;"")&lt;&gt;"","(SELECT lo.id FROM gen_lista_opciones lo JOIN gen_lista l ON l.id = lo.id_lista WHERE l.nombre = 'ReferenciaCilindro' AND upper(lo.nombre) = 'CLIENTE' AND lo.estado = 1 LIMIT 1)","NULL"))&amp;", p_anio_fabricacion =&gt; "&amp;IF(M127&amp;""="","NULL::smallint",M127&amp;"::smallint")&amp;", p_mes_fabricacion =&gt; "&amp;IF(N127&amp;""="","NULL::smallint",N127&amp;"::smallint")&amp;", p_fecha_ultima_prueba_hidrostatica =&gt; "&amp;IF(O127&amp;""="","NULL","'"&amp;YEAR(O127)&amp;"-"&amp;TEXT(MONTH(O127),"00")&amp;"-"&amp;TEXT(DAY(O127),"00")&amp;"'")&amp;", p_numero_serie =&gt; "&amp;IF(TRIM(Q127&amp;"")="","NULL","'"&amp;SUBSTITUTE(TRIM(Q127),"'","''")&amp;"'")&amp;", p_id_marca_cilindro =&gt; "&amp;IF(TRIM(R127&amp;"")="","NULL","(SELECT lo.id FROM gen_lista_opciones lo JOIN gen_lista l ON l.id = lo.id_lista WHERE l.nombre = 'MarcaCilindro' AND upper(lo.nombre) = upper('"&amp;SUBSTITUTE(TRIM(R127),"'","''")&amp;"') AND lo.estado = 1 LIMIT 1)")&amp;", p_id_organo_inspector =&gt; "&amp;IF(TRIM(S127&amp;"")="","NULL","(SELECT lo.id FROM gen_lista_opciones lo JOIN gen_lista l ON l.id = lo.id_lista WHERE l.nombre = 'OrganoInspectorCilindro' AND upper(lo.nombre) = upper('"&amp;SUBSTITUTE(TRIM(S127),"'","''")&amp;"') AND lo.estado = 1 LIMIT 1)")&amp;", p_organo_inspector_no_aplica =&gt; "&amp;IF(S127="NO_APLICA","TRUE","FALSE")&amp;", p_presion_actual =&gt; "&amp;IF(T127&amp;""="","NULL",SUBSTITUTE(T127&amp;"",",","."))&amp;", p_tipo_valvula =&gt; "&amp;IF(TRIM(U127&amp;"")="","NULL","'"&amp;SUBSTITUTE(TRIM(U127),"'","''")&amp;"'")&amp;", p_libro_cilindro =&gt; "&amp;IF(TRIM(V127&amp;"")="","NULL","'"&amp;SUBSTITUTE(TRIM(V127),"'","''")&amp;"'")&amp;", p_pagina_libro =&gt; "&amp;IF(W127&amp;""="","NULL",SUBSTITUTE(W127&amp;"",",","."))&amp;", p_observacion =&gt; "&amp;IF(TRIM(X127&amp;"")="","NULL","'"&amp;SUBSTITUTE(TRIM(X127),"'","''")&amp;"'")&amp;") AS resultado_balon_"&amp;ROW()&amp;";")</f>
        <v/>
      </c>
    </row>
    <row r="128" ht="15.75" customHeight="1" s="64">
      <c r="A128" s="36" t="inlineStr">
        <is>
          <t>124</t>
        </is>
      </c>
      <c r="B128" s="25">
        <f>IF(AND(C128="",D128="",E128=""),"",IF(C128="","FALTA código balón",IF(D128="","FALTA tipo balón",IF(E128="","FALTA gas",IF(F128="","FALTA propietario",IF(AND(C128&lt;&gt;"",SUMPRODUCT(--($C$5:$C$1200=C128))&gt;1),"CÓDIGO BALÓN DUPLICADO",IF(AND(OR(UPPER(F128)="PLANTA",UPPER(F128)="CLIENTE"),G128=""),"FALTA doc propietario/planta",IF(AND(UPPER(F128)="PLANTA",G128="10175332796"),"PLANTA no puede ser RUC empresa","OK"))))))))</f>
        <v/>
      </c>
      <c r="C128" s="23" t="inlineStr">
        <is>
          <t>21X085082</t>
        </is>
      </c>
      <c r="D128" s="17" t="inlineStr">
        <is>
          <t>Oxígeno Industrial 10 m³</t>
        </is>
      </c>
      <c r="E128" s="17" t="inlineStr">
        <is>
          <t>OXIGENO INDUSTRIAL</t>
        </is>
      </c>
      <c r="F128" s="17" t="inlineStr">
        <is>
          <t>CLIENTE</t>
        </is>
      </c>
      <c r="G128" s="23" t="inlineStr">
        <is>
          <t>20615458440</t>
        </is>
      </c>
      <c r="H128" s="25">
        <f t="array" ref="H128">IF(G128="","",IFERROR(IF(INDEX(Clientes!$D$5:$D$549,MATCH(G128,Clientes!$C$5:$C$549,0))&lt;&gt;"",INDEX(Clientes!$D$5:$D$549,MATCH(G128,Clientes!$C$5:$C$549,0)),TRIM(INDEX(Clientes!$E$5:$E$549,MATCH(G128,Clientes!$C$5:$C$549,0))&amp;" "&amp;INDEX(Clientes!$F$5:$F$549,MATCH(G128,Clientes!$C$5:$C$549,0)))),"NO EXISTE en Clientes"))</f>
        <v/>
      </c>
      <c r="I128" s="17" t="inlineStr">
        <is>
          <t>DISPONIBLE</t>
        </is>
      </c>
      <c r="J128" s="17" t="inlineStr">
        <is>
          <t>ALMACEN PRINCIPAL</t>
        </is>
      </c>
      <c r="K128" s="23" t="n"/>
      <c r="L128" s="25">
        <f t="array" ref="L128">IF(K128="","",IFERROR(IF(INDEX(Clientes!$D$5:$D$549,MATCH(K128,Clientes!$C$5:$C$549,0))&lt;&gt;"",INDEX(Clientes!$D$5:$D$549,MATCH(K128,Clientes!$C$5:$C$549,0)),TRIM(INDEX(Clientes!$E$5:$E$549,MATCH(K128,Clientes!$C$5:$C$549,0))&amp;" "&amp;INDEX(Clientes!$F$5:$F$549,MATCH(K128,Clientes!$C$5:$C$549,0)))),"NO EXISTE en Clientes"))</f>
        <v/>
      </c>
      <c r="M128" s="17" t="n"/>
      <c r="N128" s="17" t="n"/>
      <c r="O128" s="42" t="n"/>
      <c r="P128" s="39">
        <f>IF(O128&lt;&gt;"",DATE(YEAR(O128)+10,MONTH(O128),1),IF(AND(M128&lt;&gt;"",N128&lt;&gt;""),DATE(M128+5,N128,1),""))</f>
        <v/>
      </c>
      <c r="Q128" s="23" t="n"/>
      <c r="R128" s="17" t="n"/>
      <c r="S128" s="17" t="n"/>
      <c r="T128" s="17" t="n"/>
      <c r="U128" s="17" t="n"/>
      <c r="V128" s="23" t="n"/>
      <c r="W128" s="17" t="n"/>
      <c r="X128" s="17" t="inlineStr">
        <is>
          <t>OYOTUN</t>
        </is>
      </c>
      <c r="Y128" s="28">
        <f>IF(B128&lt;&gt;"OK","","SELECT bal_crear_balon(p_codigo_balon =&gt; "&amp;IF(TRIM(C128&amp;"")="","NULL","'"&amp;SUBSTITUTE(TRIM(C128),"'","''")&amp;"'")&amp;", p_id_tipo_balon =&gt; "&amp;"(SELECT id FROM bal_tipo_balon WHERE upper(nombre) = upper('"&amp;SUBSTITUTE(TRIM(D128),"'","''")&amp;"') AND estado = 1 LIMIT 1)"&amp;", p_id_producto_gas =&gt; "&amp;"(SELECT id FROM pro_producto WHERE es_gas = TRUE AND upper(nombre) = upper('"&amp;SUBSTITUTE(TRIM(E128),"'","''")&amp;"') AND estado = 1 LIMIT 1)"&amp;", p_id_propietario =&gt; "&amp;IF(TRIM(F128&amp;"")="","NULL","(SELECT lo.id FROM gen_lista_opciones lo JOIN gen_lista l ON l.id = lo.id_lista WHERE l.nombre = 'PropietarioBalon' AND upper(lo.nombre) = upper('"&amp;SUBSTITUTE(TRIM(F128),"'","''")&amp;"') AND lo.estado = 1 LIMIT 1)")&amp;", p_id_cliente_propietario =&gt; "&amp;IF(F128="CLIENTE",IF(TRIM(G128&amp;"")="","NULL","(SELECT id FROM cli_clientes WHERE numero_documento = '"&amp;SUBSTITUTE(TRIM(G128),"'","''")&amp;"' AND estado = 1 LIMIT 1)"),"NULL")&amp;", p_id_planta =&gt; "&amp;IF(F128="PLANTA",IF(TRIM(G128&amp;"")="","NULL","(SELECT id FROM cli_clientes WHERE numero_documento = '"&amp;SUBSTITUTE(TRIM(G128),"'","''")&amp;"'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"&amp;IF(TRIM(J128&amp;"")="","NULL","(SELECT id FROM gen_almacen WHERE upper(nombre) = upper('"&amp;SUBSTITUTE(TRIM(J128),"'","''")&amp;"') AND estado = 1 LIMIT 1)")&amp;", p_id_cliente_ubicacion =&gt; "&amp;IF(TRIM(K128&amp;"")="","NULL","(SELECT id FROM cli_clientes WHERE numero_documento = '"&amp;SUBSTITUTE(TRIM(K128),"'","''")&amp;"' AND estado = 1 LIMIT 1)")&amp;", p_id_referencia =&gt; "&amp;IF(TRIM(J128&amp;"")&lt;&gt;"","(SELECT lo.id FROM gen_lista_opciones lo JOIN gen_lista l ON l.id = lo.id_lista WHERE l.nombre = 'ReferenciaCilindro' AND upper(lo.nombre) = 'ALMACEN' AND lo.estado = 1 LIMIT 1)",IF(TRIM(K128&amp;"")&lt;&gt;"","(SELECT lo.id FROM gen_lista_opciones lo JOIN gen_lista l ON l.id = lo.id_lista WHERE l.nombre = 'ReferenciaCilindro' AND upper(lo.nombre) = 'CLIENTE' AND lo.estado = 1 LIMIT 1)","NULL"))&amp;", p_anio_fabricacion =&gt; "&amp;IF(M128&amp;""="","NULL::smallint",M128&amp;"::smallint")&amp;", p_mes_fabricacion =&gt; "&amp;IF(N128&amp;""="","NULL::smallint",N128&amp;"::smallint")&amp;", p_fecha_ultima_prueba_hidrostatica =&gt; "&amp;IF(O128&amp;""="","NULL","'"&amp;YEAR(O128)&amp;"-"&amp;TEXT(MONTH(O128),"00")&amp;"-"&amp;TEXT(DAY(O128),"00")&amp;"'")&amp;", p_numero_serie =&gt; "&amp;IF(TRIM(Q128&amp;"")="","NULL","'"&amp;SUBSTITUTE(TRIM(Q128),"'","''")&amp;"'")&amp;", p_id_marca_cilindro =&gt; "&amp;IF(TRIM(R128&amp;"")="","NULL","(SELECT lo.id FROM gen_lista_opciones lo JOIN gen_lista l ON l.id = lo.id_lista WHERE l.nombre = 'MarcaCilindro' AND upper(lo.nombre) = upper('"&amp;SUBSTITUTE(TRIM(R128),"'","''")&amp;"') AND lo.estado = 1 LIMIT 1)")&amp;", p_id_organo_inspector =&gt; "&amp;IF(TRIM(S128&amp;"")="","NULL","(SELECT lo.id FROM gen_lista_opciones lo JOIN gen_lista l ON l.id = lo.id_lista WHERE l.nombre = 'OrganoInspectorCilindro' AND upper(lo.nombre) = upper('"&amp;SUBSTITUTE(TRIM(S128),"'","''")&amp;"') AND lo.estado = 1 LIMIT 1)")&amp;", p_organo_inspector_no_aplica =&gt; "&amp;IF(S128="NO_APLICA","TRUE","FALSE")&amp;", p_presion_actual =&gt; "&amp;IF(T128&amp;""="","NULL",SUBSTITUTE(T128&amp;"",",","."))&amp;", p_tipo_valvula =&gt; "&amp;IF(TRIM(U128&amp;"")="","NULL","'"&amp;SUBSTITUTE(TRIM(U128),"'","''")&amp;"'")&amp;", p_libro_cilindro =&gt; "&amp;IF(TRIM(V128&amp;"")="","NULL","'"&amp;SUBSTITUTE(TRIM(V128),"'","''")&amp;"'")&amp;", p_pagina_libro =&gt; "&amp;IF(W128&amp;""="","NULL",SUBSTITUTE(W128&amp;"",",","."))&amp;", p_observacion =&gt; "&amp;IF(TRIM(X128&amp;"")="","NULL","'"&amp;SUBSTITUTE(TRIM(X128),"'","''")&amp;"'")&amp;") AS resultado_balon_"&amp;ROW()&amp;";")</f>
        <v/>
      </c>
    </row>
    <row r="129" ht="15.75" customHeight="1" s="64">
      <c r="A129" s="36" t="inlineStr">
        <is>
          <t>125</t>
        </is>
      </c>
      <c r="B129" s="25">
        <f>IF(AND(C129="",D129="",E129=""),"",IF(C129="","FALTA código balón",IF(D129="","FALTA tipo balón",IF(E129="","FALTA gas",IF(F129="","FALTA propietario",IF(AND(C129&lt;&gt;"",SUMPRODUCT(--($C$5:$C$1200=C129))&gt;1),"CÓDIGO BALÓN DUPLICADO",IF(AND(OR(UPPER(F129)="PLANTA",UPPER(F129)="CLIENTE"),G129=""),"FALTA doc propietario/planta",IF(AND(UPPER(F129)="PLANTA",G129="10175332796"),"PLANTA no puede ser RUC empresa","OK"))))))))</f>
        <v/>
      </c>
      <c r="C129" s="23" t="inlineStr">
        <is>
          <t>121Y359059</t>
        </is>
      </c>
      <c r="D129" s="17" t="inlineStr">
        <is>
          <t>Oxígeno Industrial 10 m³</t>
        </is>
      </c>
      <c r="E129" s="17" t="inlineStr">
        <is>
          <t>OXIGENO INDUSTRIAL</t>
        </is>
      </c>
      <c r="F129" s="17" t="inlineStr">
        <is>
          <t>CLIENTE</t>
        </is>
      </c>
      <c r="G129" s="23" t="inlineStr">
        <is>
          <t>20615458440</t>
        </is>
      </c>
      <c r="H129" s="25">
        <f t="array" ref="H129">IF(G129="","",IFERROR(IF(INDEX(Clientes!$D$5:$D$549,MATCH(G129,Clientes!$C$5:$C$549,0))&lt;&gt;"",INDEX(Clientes!$D$5:$D$549,MATCH(G129,Clientes!$C$5:$C$549,0)),TRIM(INDEX(Clientes!$E$5:$E$549,MATCH(G129,Clientes!$C$5:$C$549,0))&amp;" "&amp;INDEX(Clientes!$F$5:$F$549,MATCH(G129,Clientes!$C$5:$C$549,0)))),"NO EXISTE en Clientes"))</f>
        <v/>
      </c>
      <c r="I129" s="17" t="inlineStr">
        <is>
          <t>DISPONIBLE</t>
        </is>
      </c>
      <c r="J129" s="17" t="inlineStr">
        <is>
          <t>ALMACEN PRINCIPAL</t>
        </is>
      </c>
      <c r="K129" s="23" t="n"/>
      <c r="L129" s="25">
        <f t="array" ref="L129">IF(K129="","",IFERROR(IF(INDEX(Clientes!$D$5:$D$549,MATCH(K129,Clientes!$C$5:$C$549,0))&lt;&gt;"",INDEX(Clientes!$D$5:$D$549,MATCH(K129,Clientes!$C$5:$C$549,0)),TRIM(INDEX(Clientes!$E$5:$E$549,MATCH(K129,Clientes!$C$5:$C$549,0))&amp;" "&amp;INDEX(Clientes!$F$5:$F$549,MATCH(K129,Clientes!$C$5:$C$549,0)))),"NO EXISTE en Clientes"))</f>
        <v/>
      </c>
      <c r="M129" s="17" t="n"/>
      <c r="N129" s="17" t="n"/>
      <c r="O129" s="42" t="n"/>
      <c r="P129" s="39">
        <f>IF(O129&lt;&gt;"",DATE(YEAR(O129)+10,MONTH(O129),1),IF(AND(M129&lt;&gt;"",N129&lt;&gt;""),DATE(M129+5,N129,1),""))</f>
        <v/>
      </c>
      <c r="Q129" s="23" t="n"/>
      <c r="R129" s="17" t="n"/>
      <c r="S129" s="17" t="n"/>
      <c r="T129" s="17" t="n"/>
      <c r="U129" s="17" t="n"/>
      <c r="V129" s="23" t="n"/>
      <c r="W129" s="17" t="n"/>
      <c r="X129" s="17" t="inlineStr">
        <is>
          <t>OYOTUN</t>
        </is>
      </c>
      <c r="Y129" s="28">
        <f>IF(B129&lt;&gt;"OK","","SELECT bal_crear_balon(p_codigo_balon =&gt; "&amp;IF(TRIM(C129&amp;"")="","NULL","'"&amp;SUBSTITUTE(TRIM(C129),"'","''")&amp;"'")&amp;", p_id_tipo_balon =&gt; "&amp;"(SELECT id FROM bal_tipo_balon WHERE upper(nombre) = upper('"&amp;SUBSTITUTE(TRIM(D129),"'","''")&amp;"') AND estado = 1 LIMIT 1)"&amp;", p_id_producto_gas =&gt; "&amp;"(SELECT id FROM pro_producto WHERE es_gas = TRUE AND upper(nombre) = upper('"&amp;SUBSTITUTE(TRIM(E129),"'","''")&amp;"') AND estado = 1 LIMIT 1)"&amp;", p_id_propietario =&gt; "&amp;IF(TRIM(F129&amp;"")="","NULL","(SELECT lo.id FROM gen_lista_opciones lo JOIN gen_lista l ON l.id = lo.id_lista WHERE l.nombre = 'PropietarioBalon' AND upper(lo.nombre) = upper('"&amp;SUBSTITUTE(TRIM(F129),"'","''")&amp;"') AND lo.estado = 1 LIMIT 1)")&amp;", p_id_cliente_propietario =&gt; "&amp;IF(F129="CLIENTE",IF(TRIM(G129&amp;"")="","NULL","(SELECT id FROM cli_clientes WHERE numero_documento = '"&amp;SUBSTITUTE(TRIM(G129),"'","''")&amp;"' AND estado = 1 LIMIT 1)"),"NULL")&amp;", p_id_planta =&gt; "&amp;IF(F129="PLANTA",IF(TRIM(G129&amp;"")="","NULL","(SELECT id FROM cli_clientes WHERE numero_documento = '"&amp;SUBSTITUTE(TRIM(G129),"'","''")&amp;"'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"&amp;IF(TRIM(J129&amp;"")="","NULL","(SELECT id FROM gen_almacen WHERE upper(nombre) = upper('"&amp;SUBSTITUTE(TRIM(J129),"'","''")&amp;"') AND estado = 1 LIMIT 1)")&amp;", p_id_cliente_ubicacion =&gt; "&amp;IF(TRIM(K129&amp;"")="","NULL","(SELECT id FROM cli_clientes WHERE numero_documento = '"&amp;SUBSTITUTE(TRIM(K129),"'","''")&amp;"' AND estado = 1 LIMIT 1)")&amp;", p_id_referencia =&gt; "&amp;IF(TRIM(J129&amp;"")&lt;&gt;"","(SELECT lo.id FROM gen_lista_opciones lo JOIN gen_lista l ON l.id = lo.id_lista WHERE l.nombre = 'ReferenciaCilindro' AND upper(lo.nombre) = 'ALMACEN' AND lo.estado = 1 LIMIT 1)",IF(TRIM(K129&amp;"")&lt;&gt;"","(SELECT lo.id FROM gen_lista_opciones lo JOIN gen_lista l ON l.id = lo.id_lista WHERE l.nombre = 'ReferenciaCilindro' AND upper(lo.nombre) = 'CLIENTE' AND lo.estado = 1 LIMIT 1)","NULL"))&amp;", p_anio_fabricacion =&gt; "&amp;IF(M129&amp;""="","NULL::smallint",M129&amp;"::smallint")&amp;", p_mes_fabricacion =&gt; "&amp;IF(N129&amp;""="","NULL::smallint",N129&amp;"::smallint")&amp;", p_fecha_ultima_prueba_hidrostatica =&gt; "&amp;IF(O129&amp;""="","NULL","'"&amp;YEAR(O129)&amp;"-"&amp;TEXT(MONTH(O129),"00")&amp;"-"&amp;TEXT(DAY(O129),"00")&amp;"'")&amp;", p_numero_serie =&gt; "&amp;IF(TRIM(Q129&amp;"")="","NULL","'"&amp;SUBSTITUTE(TRIM(Q129),"'","''")&amp;"'")&amp;", p_id_marca_cilindro =&gt; "&amp;IF(TRIM(R129&amp;"")="","NULL","(SELECT lo.id FROM gen_lista_opciones lo JOIN gen_lista l ON l.id = lo.id_lista WHERE l.nombre = 'MarcaCilindro' AND upper(lo.nombre) = upper('"&amp;SUBSTITUTE(TRIM(R129),"'","''")&amp;"') AND lo.estado = 1 LIMIT 1)")&amp;", p_id_organo_inspector =&gt; "&amp;IF(TRIM(S129&amp;"")="","NULL","(SELECT lo.id FROM gen_lista_opciones lo JOIN gen_lista l ON l.id = lo.id_lista WHERE l.nombre = 'OrganoInspectorCilindro' AND upper(lo.nombre) = upper('"&amp;SUBSTITUTE(TRIM(S129),"'","''")&amp;"') AND lo.estado = 1 LIMIT 1)")&amp;", p_organo_inspector_no_aplica =&gt; "&amp;IF(S129="NO_APLICA","TRUE","FALSE")&amp;", p_presion_actual =&gt; "&amp;IF(T129&amp;""="","NULL",SUBSTITUTE(T129&amp;"",",","."))&amp;", p_tipo_valvula =&gt; "&amp;IF(TRIM(U129&amp;"")="","NULL","'"&amp;SUBSTITUTE(TRIM(U129),"'","''")&amp;"'")&amp;", p_libro_cilindro =&gt; "&amp;IF(TRIM(V129&amp;"")="","NULL","'"&amp;SUBSTITUTE(TRIM(V129),"'","''")&amp;"'")&amp;", p_pagina_libro =&gt; "&amp;IF(W129&amp;""="","NULL",SUBSTITUTE(W129&amp;"",",","."))&amp;", p_observacion =&gt; "&amp;IF(TRIM(X129&amp;"")="","NULL","'"&amp;SUBSTITUTE(TRIM(X129),"'","''")&amp;"'")&amp;") AS resultado_balon_"&amp;ROW()&amp;";")</f>
        <v/>
      </c>
    </row>
    <row r="130" ht="15.75" customHeight="1" s="64">
      <c r="A130" s="36" t="inlineStr">
        <is>
          <t>126</t>
        </is>
      </c>
      <c r="B130" s="25">
        <f>IF(AND(C130="",D130="",E130=""),"",IF(C130="","FALTA código balón",IF(D130="","FALTA tipo balón",IF(E130="","FALTA gas",IF(F130="","FALTA propietario",IF(AND(C130&lt;&gt;"",SUMPRODUCT(--($C$5:$C$1200=C130))&gt;1),"CÓDIGO BALÓN DUPLICADO",IF(AND(OR(UPPER(F130)="PLANTA",UPPER(F130)="CLIENTE"),G130=""),"FALTA doc propietario/planta",IF(AND(UPPER(F130)="PLANTA",G130="10175332796"),"PLANTA no puede ser RUC empresa","OK"))))))))</f>
        <v/>
      </c>
      <c r="C130" s="23" t="inlineStr">
        <is>
          <t>K5416001</t>
        </is>
      </c>
      <c r="D130" s="17" t="inlineStr">
        <is>
          <t>Oxígeno Industrial 10 m³</t>
        </is>
      </c>
      <c r="E130" s="17" t="inlineStr">
        <is>
          <t>OXIGENO INDUSTRIAL</t>
        </is>
      </c>
      <c r="F130" s="17" t="inlineStr">
        <is>
          <t>CLIENTE</t>
        </is>
      </c>
      <c r="G130" s="23" t="inlineStr">
        <is>
          <t>20615458440</t>
        </is>
      </c>
      <c r="H130" s="25">
        <f t="array" ref="H130">IF(G130="","",IFERROR(IF(INDEX(Clientes!$D$5:$D$549,MATCH(G130,Clientes!$C$5:$C$549,0))&lt;&gt;"",INDEX(Clientes!$D$5:$D$549,MATCH(G130,Clientes!$C$5:$C$549,0)),TRIM(INDEX(Clientes!$E$5:$E$549,MATCH(G130,Clientes!$C$5:$C$549,0))&amp;" "&amp;INDEX(Clientes!$F$5:$F$549,MATCH(G130,Clientes!$C$5:$C$549,0)))),"NO EXISTE en Clientes"))</f>
        <v/>
      </c>
      <c r="I130" s="17" t="inlineStr">
        <is>
          <t>DISPONIBLE</t>
        </is>
      </c>
      <c r="J130" s="17" t="inlineStr">
        <is>
          <t>ALMACEN PRINCIPAL</t>
        </is>
      </c>
      <c r="K130" s="23" t="n"/>
      <c r="L130" s="25">
        <f t="array" ref="L130">IF(K130="","",IFERROR(IF(INDEX(Clientes!$D$5:$D$549,MATCH(K130,Clientes!$C$5:$C$549,0))&lt;&gt;"",INDEX(Clientes!$D$5:$D$549,MATCH(K130,Clientes!$C$5:$C$549,0)),TRIM(INDEX(Clientes!$E$5:$E$549,MATCH(K130,Clientes!$C$5:$C$549,0))&amp;" "&amp;INDEX(Clientes!$F$5:$F$549,MATCH(K130,Clientes!$C$5:$C$549,0)))),"NO EXISTE en Clientes"))</f>
        <v/>
      </c>
      <c r="M130" s="17" t="n"/>
      <c r="N130" s="17" t="n"/>
      <c r="O130" s="42" t="n"/>
      <c r="P130" s="39">
        <f>IF(O130&lt;&gt;"",DATE(YEAR(O130)+10,MONTH(O130),1),IF(AND(M130&lt;&gt;"",N130&lt;&gt;""),DATE(M130+5,N130,1),""))</f>
        <v/>
      </c>
      <c r="Q130" s="23" t="n"/>
      <c r="R130" s="17" t="n"/>
      <c r="S130" s="17" t="n"/>
      <c r="T130" s="17" t="n"/>
      <c r="U130" s="17" t="n"/>
      <c r="V130" s="23" t="n"/>
      <c r="W130" s="17" t="n"/>
      <c r="X130" s="17" t="inlineStr">
        <is>
          <t>OYOTUN</t>
        </is>
      </c>
      <c r="Y130" s="28">
        <f>IF(B130&lt;&gt;"OK","","SELECT bal_crear_balon(p_codigo_balon =&gt; "&amp;IF(TRIM(C130&amp;"")="","NULL","'"&amp;SUBSTITUTE(TRIM(C130),"'","''")&amp;"'")&amp;", p_id_tipo_balon =&gt; "&amp;"(SELECT id FROM bal_tipo_balon WHERE upper(nombre) = upper('"&amp;SUBSTITUTE(TRIM(D130),"'","''")&amp;"') AND estado = 1 LIMIT 1)"&amp;", p_id_producto_gas =&gt; "&amp;"(SELECT id FROM pro_producto WHERE es_gas = TRUE AND upper(nombre) = upper('"&amp;SUBSTITUTE(TRIM(E130),"'","''")&amp;"') AND estado = 1 LIMIT 1)"&amp;", p_id_propietario =&gt; "&amp;IF(TRIM(F130&amp;"")="","NULL","(SELECT lo.id FROM gen_lista_opciones lo JOIN gen_lista l ON l.id = lo.id_lista WHERE l.nombre = 'PropietarioBalon' AND upper(lo.nombre) = upper('"&amp;SUBSTITUTE(TRIM(F130),"'","''")&amp;"') AND lo.estado = 1 LIMIT 1)")&amp;", p_id_cliente_propietario =&gt; "&amp;IF(F130="CLIENTE",IF(TRIM(G130&amp;"")="","NULL","(SELECT id FROM cli_clientes WHERE numero_documento = '"&amp;SUBSTITUTE(TRIM(G130),"'","''")&amp;"' AND estado = 1 LIMIT 1)"),"NULL")&amp;", p_id_planta =&gt; "&amp;IF(F130="PLANTA",IF(TRIM(G130&amp;"")="","NULL","(SELECT id FROM cli_clientes WHERE numero_documento = '"&amp;SUBSTITUTE(TRIM(G130),"'","''")&amp;"'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"&amp;IF(TRIM(J130&amp;"")="","NULL","(SELECT id FROM gen_almacen WHERE upper(nombre) = upper('"&amp;SUBSTITUTE(TRIM(J130),"'","''")&amp;"') AND estado = 1 LIMIT 1)")&amp;", p_id_cliente_ubicacion =&gt; "&amp;IF(TRIM(K130&amp;"")="","NULL","(SELECT id FROM cli_clientes WHERE numero_documento = '"&amp;SUBSTITUTE(TRIM(K130),"'","''")&amp;"' AND estado = 1 LIMIT 1)")&amp;", p_id_referencia =&gt; "&amp;IF(TRIM(J130&amp;"")&lt;&gt;"","(SELECT lo.id FROM gen_lista_opciones lo JOIN gen_lista l ON l.id = lo.id_lista WHERE l.nombre = 'ReferenciaCilindro' AND upper(lo.nombre) = 'ALMACEN' AND lo.estado = 1 LIMIT 1)",IF(TRIM(K130&amp;"")&lt;&gt;"","(SELECT lo.id FROM gen_lista_opciones lo JOIN gen_lista l ON l.id = lo.id_lista WHERE l.nombre = 'ReferenciaCilindro' AND upper(lo.nombre) = 'CLIENTE' AND lo.estado = 1 LIMIT 1)","NULL"))&amp;", p_anio_fabricacion =&gt; "&amp;IF(M130&amp;""="","NULL::smallint",M130&amp;"::smallint")&amp;", p_mes_fabricacion =&gt; "&amp;IF(N130&amp;""="","NULL::smallint",N130&amp;"::smallint")&amp;", p_fecha_ultima_prueba_hidrostatica =&gt; "&amp;IF(O130&amp;""="","NULL","'"&amp;YEAR(O130)&amp;"-"&amp;TEXT(MONTH(O130),"00")&amp;"-"&amp;TEXT(DAY(O130),"00")&amp;"'")&amp;", p_numero_serie =&gt; "&amp;IF(TRIM(Q130&amp;"")="","NULL","'"&amp;SUBSTITUTE(TRIM(Q130),"'","''")&amp;"'")&amp;", p_id_marca_cilindro =&gt; "&amp;IF(TRIM(R130&amp;"")="","NULL","(SELECT lo.id FROM gen_lista_opciones lo JOIN gen_lista l ON l.id = lo.id_lista WHERE l.nombre = 'MarcaCilindro' AND upper(lo.nombre) = upper('"&amp;SUBSTITUTE(TRIM(R130),"'","''")&amp;"') AND lo.estado = 1 LIMIT 1)")&amp;", p_id_organo_inspector =&gt; "&amp;IF(TRIM(S130&amp;"")="","NULL","(SELECT lo.id FROM gen_lista_opciones lo JOIN gen_lista l ON l.id = lo.id_lista WHERE l.nombre = 'OrganoInspectorCilindro' AND upper(lo.nombre) = upper('"&amp;SUBSTITUTE(TRIM(S130),"'","''")&amp;"') AND lo.estado = 1 LIMIT 1)")&amp;", p_organo_inspector_no_aplica =&gt; "&amp;IF(S130="NO_APLICA","TRUE","FALSE")&amp;", p_presion_actual =&gt; "&amp;IF(T130&amp;""="","NULL",SUBSTITUTE(T130&amp;"",",","."))&amp;", p_tipo_valvula =&gt; "&amp;IF(TRIM(U130&amp;"")="","NULL","'"&amp;SUBSTITUTE(TRIM(U130),"'","''")&amp;"'")&amp;", p_libro_cilindro =&gt; "&amp;IF(TRIM(V130&amp;"")="","NULL","'"&amp;SUBSTITUTE(TRIM(V130),"'","''")&amp;"'")&amp;", p_pagina_libro =&gt; "&amp;IF(W130&amp;""="","NULL",SUBSTITUTE(W130&amp;"",",","."))&amp;", p_observacion =&gt; "&amp;IF(TRIM(X130&amp;"")="","NULL","'"&amp;SUBSTITUTE(TRIM(X130),"'","''")&amp;"'")&amp;") AS resultado_balon_"&amp;ROW()&amp;";")</f>
        <v/>
      </c>
    </row>
    <row r="131" ht="15.75" customHeight="1" s="64">
      <c r="A131" s="36" t="inlineStr">
        <is>
          <t>127</t>
        </is>
      </c>
      <c r="B131" s="25">
        <f>IF(AND(C131="",D131="",E131=""),"",IF(C131="","FALTA código balón",IF(D131="","FALTA tipo balón",IF(E131="","FALTA gas",IF(F131="","FALTA propietario",IF(AND(C131&lt;&gt;"",SUMPRODUCT(--($C$5:$C$1200=C131))&gt;1),"CÓDIGO BALÓN DUPLICADO",IF(AND(OR(UPPER(F131)="PLANTA",UPPER(F131)="CLIENTE"),G131=""),"FALTA doc propietario/planta",IF(AND(UPPER(F131)="PLANTA",G131="10175332796"),"PLANTA no puede ser RUC empresa","OK"))))))))</f>
        <v/>
      </c>
      <c r="C131" s="23" t="inlineStr">
        <is>
          <t>K5714056</t>
        </is>
      </c>
      <c r="D131" s="17" t="inlineStr">
        <is>
          <t>Oxígeno Industrial 10 m³</t>
        </is>
      </c>
      <c r="E131" s="17" t="inlineStr">
        <is>
          <t>OXIGENO INDUSTRIAL</t>
        </is>
      </c>
      <c r="F131" s="17" t="inlineStr">
        <is>
          <t>CLIENTE</t>
        </is>
      </c>
      <c r="G131" s="23" t="inlineStr">
        <is>
          <t>20615458440</t>
        </is>
      </c>
      <c r="H131" s="25">
        <f t="array" ref="H131">IF(G131="","",IFERROR(IF(INDEX(Clientes!$D$5:$D$549,MATCH(G131,Clientes!$C$5:$C$549,0))&lt;&gt;"",INDEX(Clientes!$D$5:$D$549,MATCH(G131,Clientes!$C$5:$C$549,0)),TRIM(INDEX(Clientes!$E$5:$E$549,MATCH(G131,Clientes!$C$5:$C$549,0))&amp;" "&amp;INDEX(Clientes!$F$5:$F$549,MATCH(G131,Clientes!$C$5:$C$549,0)))),"NO EXISTE en Clientes"))</f>
        <v/>
      </c>
      <c r="I131" s="17" t="inlineStr">
        <is>
          <t>DISPONIBLE</t>
        </is>
      </c>
      <c r="J131" s="17" t="inlineStr">
        <is>
          <t>ALMACEN PRINCIPAL</t>
        </is>
      </c>
      <c r="K131" s="23" t="n"/>
      <c r="L131" s="25">
        <f t="array" ref="L131">IF(K131="","",IFERROR(IF(INDEX(Clientes!$D$5:$D$549,MATCH(K131,Clientes!$C$5:$C$549,0))&lt;&gt;"",INDEX(Clientes!$D$5:$D$549,MATCH(K131,Clientes!$C$5:$C$549,0)),TRIM(INDEX(Clientes!$E$5:$E$549,MATCH(K131,Clientes!$C$5:$C$549,0))&amp;" "&amp;INDEX(Clientes!$F$5:$F$549,MATCH(K131,Clientes!$C$5:$C$549,0)))),"NO EXISTE en Clientes"))</f>
        <v/>
      </c>
      <c r="M131" s="17" t="n"/>
      <c r="N131" s="17" t="n"/>
      <c r="O131" s="42" t="n"/>
      <c r="P131" s="39">
        <f>IF(O131&lt;&gt;"",DATE(YEAR(O131)+10,MONTH(O131),1),IF(AND(M131&lt;&gt;"",N131&lt;&gt;""),DATE(M131+5,N131,1),""))</f>
        <v/>
      </c>
      <c r="Q131" s="23" t="n"/>
      <c r="R131" s="17" t="n"/>
      <c r="S131" s="17" t="n"/>
      <c r="T131" s="17" t="n"/>
      <c r="U131" s="17" t="n"/>
      <c r="V131" s="23" t="n"/>
      <c r="W131" s="17" t="n"/>
      <c r="X131" s="17" t="inlineStr">
        <is>
          <t>OYOTUN</t>
        </is>
      </c>
      <c r="Y131" s="28">
        <f>IF(B131&lt;&gt;"OK","","SELECT bal_crear_balon(p_codigo_balon =&gt; "&amp;IF(TRIM(C131&amp;"")="","NULL","'"&amp;SUBSTITUTE(TRIM(C131),"'","''")&amp;"'")&amp;", p_id_tipo_balon =&gt; "&amp;"(SELECT id FROM bal_tipo_balon WHERE upper(nombre) = upper('"&amp;SUBSTITUTE(TRIM(D131),"'","''")&amp;"') AND estado = 1 LIMIT 1)"&amp;", p_id_producto_gas =&gt; "&amp;"(SELECT id FROM pro_producto WHERE es_gas = TRUE AND upper(nombre) = upper('"&amp;SUBSTITUTE(TRIM(E131),"'","''")&amp;"') AND estado = 1 LIMIT 1)"&amp;", p_id_propietario =&gt; "&amp;IF(TRIM(F131&amp;"")="","NULL","(SELECT lo.id FROM gen_lista_opciones lo JOIN gen_lista l ON l.id = lo.id_lista WHERE l.nombre = 'PropietarioBalon' AND upper(lo.nombre) = upper('"&amp;SUBSTITUTE(TRIM(F131),"'","''")&amp;"') AND lo.estado = 1 LIMIT 1)")&amp;", p_id_cliente_propietario =&gt; "&amp;IF(F131="CLIENTE",IF(TRIM(G131&amp;"")="","NULL","(SELECT id FROM cli_clientes WHERE numero_documento = '"&amp;SUBSTITUTE(TRIM(G131),"'","''")&amp;"' AND estado = 1 LIMIT 1)"),"NULL")&amp;", p_id_planta =&gt; "&amp;IF(F131="PLANTA",IF(TRIM(G131&amp;"")="","NULL","(SELECT id FROM cli_clientes WHERE numero_documento = '"&amp;SUBSTITUTE(TRIM(G131),"'","''")&amp;"'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"&amp;IF(TRIM(J131&amp;"")="","NULL","(SELECT id FROM gen_almacen WHERE upper(nombre) = upper('"&amp;SUBSTITUTE(TRIM(J131),"'","''")&amp;"') AND estado = 1 LIMIT 1)")&amp;", p_id_cliente_ubicacion =&gt; "&amp;IF(TRIM(K131&amp;"")="","NULL","(SELECT id FROM cli_clientes WHERE numero_documento = '"&amp;SUBSTITUTE(TRIM(K131),"'","''")&amp;"' AND estado = 1 LIMIT 1)")&amp;", p_id_referencia =&gt; "&amp;IF(TRIM(J131&amp;"")&lt;&gt;"","(SELECT lo.id FROM gen_lista_opciones lo JOIN gen_lista l ON l.id = lo.id_lista WHERE l.nombre = 'ReferenciaCilindro' AND upper(lo.nombre) = 'ALMACEN' AND lo.estado = 1 LIMIT 1)",IF(TRIM(K131&amp;"")&lt;&gt;"","(SELECT lo.id FROM gen_lista_opciones lo JOIN gen_lista l ON l.id = lo.id_lista WHERE l.nombre = 'ReferenciaCilindro' AND upper(lo.nombre) = 'CLIENTE' AND lo.estado = 1 LIMIT 1)","NULL"))&amp;", p_anio_fabricacion =&gt; "&amp;IF(M131&amp;""="","NULL::smallint",M131&amp;"::smallint")&amp;", p_mes_fabricacion =&gt; "&amp;IF(N131&amp;""="","NULL::smallint",N131&amp;"::smallint")&amp;", p_fecha_ultima_prueba_hidrostatica =&gt; "&amp;IF(O131&amp;""="","NULL","'"&amp;YEAR(O131)&amp;"-"&amp;TEXT(MONTH(O131),"00")&amp;"-"&amp;TEXT(DAY(O131),"00")&amp;"'")&amp;", p_numero_serie =&gt; "&amp;IF(TRIM(Q131&amp;"")="","NULL","'"&amp;SUBSTITUTE(TRIM(Q131),"'","''")&amp;"'")&amp;", p_id_marca_cilindro =&gt; "&amp;IF(TRIM(R131&amp;"")="","NULL","(SELECT lo.id FROM gen_lista_opciones lo JOIN gen_lista l ON l.id = lo.id_lista WHERE l.nombre = 'MarcaCilindro' AND upper(lo.nombre) = upper('"&amp;SUBSTITUTE(TRIM(R131),"'","''")&amp;"') AND lo.estado = 1 LIMIT 1)")&amp;", p_id_organo_inspector =&gt; "&amp;IF(TRIM(S131&amp;"")="","NULL","(SELECT lo.id FROM gen_lista_opciones lo JOIN gen_lista l ON l.id = lo.id_lista WHERE l.nombre = 'OrganoInspectorCilindro' AND upper(lo.nombre) = upper('"&amp;SUBSTITUTE(TRIM(S131),"'","''")&amp;"') AND lo.estado = 1 LIMIT 1)")&amp;", p_organo_inspector_no_aplica =&gt; "&amp;IF(S131="NO_APLICA","TRUE","FALSE")&amp;", p_presion_actual =&gt; "&amp;IF(T131&amp;""="","NULL",SUBSTITUTE(T131&amp;"",",","."))&amp;", p_tipo_valvula =&gt; "&amp;IF(TRIM(U131&amp;"")="","NULL","'"&amp;SUBSTITUTE(TRIM(U131),"'","''")&amp;"'")&amp;", p_libro_cilindro =&gt; "&amp;IF(TRIM(V131&amp;"")="","NULL","'"&amp;SUBSTITUTE(TRIM(V131),"'","''")&amp;"'")&amp;", p_pagina_libro =&gt; "&amp;IF(W131&amp;""="","NULL",SUBSTITUTE(W131&amp;"",",","."))&amp;", p_observacion =&gt; "&amp;IF(TRIM(X131&amp;"")="","NULL","'"&amp;SUBSTITUTE(TRIM(X131),"'","''")&amp;"'")&amp;") AS resultado_balon_"&amp;ROW()&amp;";")</f>
        <v/>
      </c>
    </row>
    <row r="132" ht="15.75" customHeight="1" s="64">
      <c r="A132" s="36" t="inlineStr">
        <is>
          <t>128</t>
        </is>
      </c>
      <c r="B132" s="25">
        <f>IF(AND(C132="",D132="",E132=""),"",IF(C132="","FALTA código balón",IF(D132="","FALTA tipo balón",IF(E132="","FALTA gas",IF(F132="","FALTA propietario",IF(AND(C132&lt;&gt;"",SUMPRODUCT(--($C$5:$C$1200=C132))&gt;1),"CÓDIGO BALÓN DUPLICADO",IF(AND(OR(UPPER(F132)="PLANTA",UPPER(F132)="CLIENTE"),G132=""),"FALTA doc propietario/planta",IF(AND(UPPER(F132)="PLANTA",G132="10175332796"),"PLANTA no puede ser RUC empresa","OK"))))))))</f>
        <v/>
      </c>
      <c r="C132" s="23" t="inlineStr">
        <is>
          <t>3096270</t>
        </is>
      </c>
      <c r="D132" s="17" t="inlineStr">
        <is>
          <t>Nitrógeno 10 m³</t>
        </is>
      </c>
      <c r="E132" s="17" t="inlineStr">
        <is>
          <t>NITROGENO</t>
        </is>
      </c>
      <c r="F132" s="17" t="inlineStr">
        <is>
          <t>EMPRESA</t>
        </is>
      </c>
      <c r="G132" s="23" t="inlineStr">
        <is>
          <t>10175332796</t>
        </is>
      </c>
      <c r="H132" s="25">
        <f t="array" ref="H132">IF(G132="","",IFERROR(IF(INDEX(Clientes!$D$5:$D$549,MATCH(G132,Clientes!$C$5:$C$549,0))&lt;&gt;"",INDEX(Clientes!$D$5:$D$549,MATCH(G132,Clientes!$C$5:$C$549,0)),TRIM(INDEX(Clientes!$E$5:$E$549,MATCH(G132,Clientes!$C$5:$C$549,0))&amp;" "&amp;INDEX(Clientes!$F$5:$F$549,MATCH(G132,Clientes!$C$5:$C$549,0)))),"NO EXISTE en Clientes"))</f>
        <v/>
      </c>
      <c r="I132" s="17" t="inlineStr">
        <is>
          <t>DISPONIBLE</t>
        </is>
      </c>
      <c r="J132" s="17" t="inlineStr">
        <is>
          <t>ALMACEN PRINCIPAL</t>
        </is>
      </c>
      <c r="K132" s="23" t="n"/>
      <c r="L132" s="25">
        <f t="array" ref="L132">IF(K132="","",IFERROR(IF(INDEX(Clientes!$D$5:$D$549,MATCH(K132,Clientes!$C$5:$C$549,0))&lt;&gt;"",INDEX(Clientes!$D$5:$D$549,MATCH(K132,Clientes!$C$5:$C$549,0)),TRIM(INDEX(Clientes!$E$5:$E$549,MATCH(K132,Clientes!$C$5:$C$549,0))&amp;" "&amp;INDEX(Clientes!$F$5:$F$549,MATCH(K132,Clientes!$C$5:$C$549,0)))),"NO EXISTE en Clientes"))</f>
        <v/>
      </c>
      <c r="M132" s="17" t="n">
        <v>2023</v>
      </c>
      <c r="N132" s="17" t="n">
        <v>7</v>
      </c>
      <c r="O132" s="42" t="n">
        <v>45108</v>
      </c>
      <c r="P132" s="39">
        <f>IF(O132&lt;&gt;"",DATE(YEAR(O132)+10,MONTH(O132),1),IF(AND(M132&lt;&gt;"",N132&lt;&gt;""),DATE(M132+5,N132,1),""))</f>
        <v/>
      </c>
      <c r="Q132" s="23" t="n"/>
      <c r="R132" s="17" t="n"/>
      <c r="S132" s="17" t="n"/>
      <c r="T132" s="17" t="n"/>
      <c r="U132" s="17" t="n"/>
      <c r="V132" s="23" t="n"/>
      <c r="W132" s="17" t="n"/>
      <c r="X132" s="17" t="inlineStr">
        <is>
          <t>PH OXIGENO CRISTIAN</t>
        </is>
      </c>
      <c r="Y132" s="28">
        <f>IF(B132&lt;&gt;"OK","","SELECT bal_crear_balon(p_codigo_balon =&gt; "&amp;IF(TRIM(C132&amp;"")="","NULL","'"&amp;SUBSTITUTE(TRIM(C132),"'","''")&amp;"'")&amp;", p_id_tipo_balon =&gt; "&amp;"(SELECT id FROM bal_tipo_balon WHERE upper(nombre) = upper('"&amp;SUBSTITUTE(TRIM(D132),"'","''")&amp;"') AND estado = 1 LIMIT 1)"&amp;", p_id_producto_gas =&gt; "&amp;"(SELECT id FROM pro_producto WHERE es_gas = TRUE AND upper(nombre) = upper('"&amp;SUBSTITUTE(TRIM(E132),"'","''")&amp;"') AND estado = 1 LIMIT 1)"&amp;", p_id_propietario =&gt; "&amp;IF(TRIM(F132&amp;"")="","NULL","(SELECT lo.id FROM gen_lista_opciones lo JOIN gen_lista l ON l.id = lo.id_lista WHERE l.nombre = 'PropietarioBalon' AND upper(lo.nombre) = upper('"&amp;SUBSTITUTE(TRIM(F132),"'","''")&amp;"') AND lo.estado = 1 LIMIT 1)")&amp;", p_id_cliente_propietario =&gt; "&amp;IF(F132="CLIENTE",IF(TRIM(G132&amp;"")="","NULL","(SELECT id FROM cli_clientes WHERE numero_documento = '"&amp;SUBSTITUTE(TRIM(G132),"'","''")&amp;"' AND estado = 1 LIMIT 1)"),"NULL")&amp;", p_id_planta =&gt; "&amp;IF(F132="PLANTA",IF(TRIM(G132&amp;"")="","NULL","(SELECT id FROM cli_clientes WHERE numero_documento = '"&amp;SUBSTITUTE(TRIM(G132),"'","''")&amp;"'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"&amp;IF(TRIM(J132&amp;"")="","NULL","(SELECT id FROM gen_almacen WHERE upper(nombre) = upper('"&amp;SUBSTITUTE(TRIM(J132),"'","''")&amp;"') AND estado = 1 LIMIT 1)")&amp;", p_id_cliente_ubicacion =&gt; "&amp;IF(TRIM(K132&amp;"")="","NULL","(SELECT id FROM cli_clientes WHERE numero_documento = '"&amp;SUBSTITUTE(TRIM(K132),"'","''")&amp;"' AND estado = 1 LIMIT 1)")&amp;", p_id_referencia =&gt; "&amp;IF(TRIM(J132&amp;"")&lt;&gt;"","(SELECT lo.id FROM gen_lista_opciones lo JOIN gen_lista l ON l.id = lo.id_lista WHERE l.nombre = 'ReferenciaCilindro' AND upper(lo.nombre) = 'ALMACEN' AND lo.estado = 1 LIMIT 1)",IF(TRIM(K132&amp;"")&lt;&gt;"","(SELECT lo.id FROM gen_lista_opciones lo JOIN gen_lista l ON l.id = lo.id_lista WHERE l.nombre = 'ReferenciaCilindro' AND upper(lo.nombre) = 'CLIENTE' AND lo.estado = 1 LIMIT 1)","NULL"))&amp;", p_anio_fabricacion =&gt; "&amp;IF(M132&amp;""="","NULL::smallint",M132&amp;"::smallint")&amp;", p_mes_fabricacion =&gt; "&amp;IF(N132&amp;""="","NULL::smallint",N132&amp;"::smallint")&amp;", p_fecha_ultima_prueba_hidrostatica =&gt; "&amp;IF(O132&amp;""="","NULL","'"&amp;YEAR(O132)&amp;"-"&amp;TEXT(MONTH(O132),"00")&amp;"-"&amp;TEXT(DAY(O132),"00")&amp;"'")&amp;", p_numero_serie =&gt; "&amp;IF(TRIM(Q132&amp;"")="","NULL","'"&amp;SUBSTITUTE(TRIM(Q132),"'","''")&amp;"'")&amp;", p_id_marca_cilindro =&gt; "&amp;IF(TRIM(R132&amp;"")="","NULL","(SELECT lo.id FROM gen_lista_opciones lo JOIN gen_lista l ON l.id = lo.id_lista WHERE l.nombre = 'MarcaCilindro' AND upper(lo.nombre) = upper('"&amp;SUBSTITUTE(TRIM(R132),"'","''")&amp;"') AND lo.estado = 1 LIMIT 1)")&amp;", p_id_organo_inspector =&gt; "&amp;IF(TRIM(S132&amp;"")="","NULL","(SELECT lo.id FROM gen_lista_opciones lo JOIN gen_lista l ON l.id = lo.id_lista WHERE l.nombre = 'OrganoInspectorCilindro' AND upper(lo.nombre) = upper('"&amp;SUBSTITUTE(TRIM(S132),"'","''")&amp;"') AND lo.estado = 1 LIMIT 1)")&amp;", p_organo_inspector_no_aplica =&gt; "&amp;IF(S132="NO_APLICA","TRUE","FALSE")&amp;", p_presion_actual =&gt; "&amp;IF(T132&amp;""="","NULL",SUBSTITUTE(T132&amp;"",",","."))&amp;", p_tipo_valvula =&gt; "&amp;IF(TRIM(U132&amp;"")="","NULL","'"&amp;SUBSTITUTE(TRIM(U132),"'","''")&amp;"'")&amp;", p_libro_cilindro =&gt; "&amp;IF(TRIM(V132&amp;"")="","NULL","'"&amp;SUBSTITUTE(TRIM(V132),"'","''")&amp;"'")&amp;", p_pagina_libro =&gt; "&amp;IF(W132&amp;""="","NULL",SUBSTITUTE(W132&amp;"",",","."))&amp;", p_observacion =&gt; "&amp;IF(TRIM(X132&amp;"")="","NULL","'"&amp;SUBSTITUTE(TRIM(X132),"'","''")&amp;"'")&amp;") AS resultado_balon_"&amp;ROW()&amp;";")</f>
        <v/>
      </c>
    </row>
    <row r="133" ht="15.75" customHeight="1" s="64">
      <c r="A133" s="36" t="inlineStr">
        <is>
          <t>129</t>
        </is>
      </c>
      <c r="B133" s="25">
        <f>IF(AND(C133="",D133="",E133=""),"",IF(C133="","FALTA código balón",IF(D133="","FALTA tipo balón",IF(E133="","FALTA gas",IF(F133="","FALTA propietario",IF(AND(C133&lt;&gt;"",SUMPRODUCT(--($C$5:$C$1200=C133))&gt;1),"CÓDIGO BALÓN DUPLICADO",IF(AND(OR(UPPER(F133)="PLANTA",UPPER(F133)="CLIENTE"),G133=""),"FALTA doc propietario/planta",IF(AND(UPPER(F133)="PLANTA",G133="10175332796"),"PLANTA no puede ser RUC empresa","OK"))))))))</f>
        <v/>
      </c>
      <c r="C133" s="23" t="inlineStr">
        <is>
          <t>22X054098</t>
        </is>
      </c>
      <c r="D133" s="17" t="inlineStr">
        <is>
          <t>Etil 10 m³</t>
        </is>
      </c>
      <c r="E133" s="17" t="inlineStr">
        <is>
          <t>ETILENO</t>
        </is>
      </c>
      <c r="F133" s="17" t="inlineStr">
        <is>
          <t>PLANTA</t>
        </is>
      </c>
      <c r="G133" s="23" t="inlineStr">
        <is>
          <t>20607948675</t>
        </is>
      </c>
      <c r="H133" s="25">
        <f t="array" ref="H133">IF(G133="","",IFERROR(IF(INDEX(Clientes!$D$5:$D$549,MATCH(G133,Clientes!$C$5:$C$549,0))&lt;&gt;"",INDEX(Clientes!$D$5:$D$549,MATCH(G133,Clientes!$C$5:$C$549,0)),TRIM(INDEX(Clientes!$E$5:$E$549,MATCH(G133,Clientes!$C$5:$C$549,0))&amp;" "&amp;INDEX(Clientes!$F$5:$F$549,MATCH(G133,Clientes!$C$5:$C$549,0)))),"NO EXISTE en Clientes"))</f>
        <v/>
      </c>
      <c r="I133" s="17" t="inlineStr">
        <is>
          <t>DISPONIBLE</t>
        </is>
      </c>
      <c r="J133" s="17" t="inlineStr">
        <is>
          <t>ALMACEN PRINCIPAL</t>
        </is>
      </c>
      <c r="K133" s="23" t="n"/>
      <c r="L133" s="25">
        <f t="array" ref="L133">IF(K133="","",IFERROR(IF(INDEX(Clientes!$D$5:$D$549,MATCH(K133,Clientes!$C$5:$C$549,0))&lt;&gt;"",INDEX(Clientes!$D$5:$D$549,MATCH(K133,Clientes!$C$5:$C$549,0)),TRIM(INDEX(Clientes!$E$5:$E$549,MATCH(K133,Clientes!$C$5:$C$549,0))&amp;" "&amp;INDEX(Clientes!$F$5:$F$549,MATCH(K133,Clientes!$C$5:$C$549,0)))),"NO EXISTE en Clientes"))</f>
        <v/>
      </c>
      <c r="M133" s="17" t="n"/>
      <c r="N133" s="17" t="n"/>
      <c r="O133" s="42" t="n"/>
      <c r="P133" s="39">
        <f>IF(O133&lt;&gt;"",DATE(YEAR(O133)+10,MONTH(O133),1),IF(AND(M133&lt;&gt;"",N133&lt;&gt;""),DATE(M133+5,N133,1),""))</f>
        <v/>
      </c>
      <c r="Q133" s="23" t="n"/>
      <c r="R133" s="17" t="n"/>
      <c r="S133" s="17" t="n"/>
      <c r="T133" s="17" t="n"/>
      <c r="U133" s="17" t="n"/>
      <c r="V133" s="23" t="n"/>
      <c r="W133" s="17" t="n"/>
      <c r="X133" s="17" t="n"/>
      <c r="Y133" s="28">
        <f>IF(B133&lt;&gt;"OK","","SELECT bal_crear_balon(p_codigo_balon =&gt; "&amp;IF(TRIM(C133&amp;"")="","NULL","'"&amp;SUBSTITUTE(TRIM(C133),"'","''")&amp;"'")&amp;", p_id_tipo_balon =&gt; "&amp;"(SELECT id FROM bal_tipo_balon WHERE upper(nombre) = upper('"&amp;SUBSTITUTE(TRIM(D133),"'","''")&amp;"') AND estado = 1 LIMIT 1)"&amp;", p_id_producto_gas =&gt; "&amp;"(SELECT id FROM pro_producto WHERE es_gas = TRUE AND upper(nombre) = upper('"&amp;SUBSTITUTE(TRIM(E133),"'","''")&amp;"') AND estado = 1 LIMIT 1)"&amp;", p_id_propietario =&gt; "&amp;IF(TRIM(F133&amp;"")="","NULL","(SELECT lo.id FROM gen_lista_opciones lo JOIN gen_lista l ON l.id = lo.id_lista WHERE l.nombre = 'PropietarioBalon' AND upper(lo.nombre) = upper('"&amp;SUBSTITUTE(TRIM(F133),"'","''")&amp;"') AND lo.estado = 1 LIMIT 1)")&amp;", p_id_cliente_propietario =&gt; "&amp;IF(F133="CLIENTE",IF(TRIM(G133&amp;"")="","NULL","(SELECT id FROM cli_clientes WHERE numero_documento = '"&amp;SUBSTITUTE(TRIM(G133),"'","''")&amp;"' AND estado = 1 LIMIT 1)"),"NULL")&amp;", p_id_planta =&gt; "&amp;IF(F133="PLANTA",IF(TRIM(G133&amp;"")="","NULL","(SELECT id FROM cli_clientes WHERE numero_documento = '"&amp;SUBSTITUTE(TRIM(G133),"'","''")&amp;"'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"&amp;IF(TRIM(J133&amp;"")="","NULL","(SELECT id FROM gen_almacen WHERE upper(nombre) = upper('"&amp;SUBSTITUTE(TRIM(J133),"'","''")&amp;"') AND estado = 1 LIMIT 1)")&amp;", p_id_cliente_ubicacion =&gt; "&amp;IF(TRIM(K133&amp;"")="","NULL","(SELECT id FROM cli_clientes WHERE numero_documento = '"&amp;SUBSTITUTE(TRIM(K133),"'","''")&amp;"' AND estado = 1 LIMIT 1)")&amp;", p_id_referencia =&gt; "&amp;IF(TRIM(J133&amp;"")&lt;&gt;"","(SELECT lo.id FROM gen_lista_opciones lo JOIN gen_lista l ON l.id = lo.id_lista WHERE l.nombre = 'ReferenciaCilindro' AND upper(lo.nombre) = 'ALMACEN' AND lo.estado = 1 LIMIT 1)",IF(TRIM(K133&amp;"")&lt;&gt;"","(SELECT lo.id FROM gen_lista_opciones lo JOIN gen_lista l ON l.id = lo.id_lista WHERE l.nombre = 'ReferenciaCilindro' AND upper(lo.nombre) = 'CLIENTE' AND lo.estado = 1 LIMIT 1)","NULL"))&amp;", p_anio_fabricacion =&gt; "&amp;IF(M133&amp;""="","NULL::smallint",M133&amp;"::smallint")&amp;", p_mes_fabricacion =&gt; "&amp;IF(N133&amp;""="","NULL::smallint",N133&amp;"::smallint")&amp;", p_fecha_ultima_prueba_hidrostatica =&gt; "&amp;IF(O133&amp;""="","NULL","'"&amp;YEAR(O133)&amp;"-"&amp;TEXT(MONTH(O133),"00")&amp;"-"&amp;TEXT(DAY(O133),"00")&amp;"'")&amp;", p_numero_serie =&gt; "&amp;IF(TRIM(Q133&amp;"")="","NULL","'"&amp;SUBSTITUTE(TRIM(Q133),"'","''")&amp;"'")&amp;", p_id_marca_cilindro =&gt; "&amp;IF(TRIM(R133&amp;"")="","NULL","(SELECT lo.id FROM gen_lista_opciones lo JOIN gen_lista l ON l.id = lo.id_lista WHERE l.nombre = 'MarcaCilindro' AND upper(lo.nombre) = upper('"&amp;SUBSTITUTE(TRIM(R133),"'","''")&amp;"') AND lo.estado = 1 LIMIT 1)")&amp;", p_id_organo_inspector =&gt; "&amp;IF(TRIM(S133&amp;"")="","NULL","(SELECT lo.id FROM gen_lista_opciones lo JOIN gen_lista l ON l.id = lo.id_lista WHERE l.nombre = 'OrganoInspectorCilindro' AND upper(lo.nombre) = upper('"&amp;SUBSTITUTE(TRIM(S133),"'","''")&amp;"') AND lo.estado = 1 LIMIT 1)")&amp;", p_organo_inspector_no_aplica =&gt; "&amp;IF(S133="NO_APLICA","TRUE","FALSE")&amp;", p_presion_actual =&gt; "&amp;IF(T133&amp;""="","NULL",SUBSTITUTE(T133&amp;"",",","."))&amp;", p_tipo_valvula =&gt; "&amp;IF(TRIM(U133&amp;"")="","NULL","'"&amp;SUBSTITUTE(TRIM(U133),"'","''")&amp;"'")&amp;", p_libro_cilindro =&gt; "&amp;IF(TRIM(V133&amp;"")="","NULL","'"&amp;SUBSTITUTE(TRIM(V133),"'","''")&amp;"'")&amp;", p_pagina_libro =&gt; "&amp;IF(W133&amp;""="","NULL",SUBSTITUTE(W133&amp;"",",","."))&amp;", p_observacion =&gt; "&amp;IF(TRIM(X133&amp;"")="","NULL","'"&amp;SUBSTITUTE(TRIM(X133),"'","''")&amp;"'")&amp;") AS resultado_balon_"&amp;ROW()&amp;";")</f>
        <v/>
      </c>
    </row>
    <row r="134" ht="15.75" customHeight="1" s="64">
      <c r="A134" s="36" t="inlineStr">
        <is>
          <t>130</t>
        </is>
      </c>
      <c r="B134" s="25">
        <f>IF(AND(C134="",D134="",E134=""),"",IF(C134="","FALTA código balón",IF(D134="","FALTA tipo balón",IF(E134="","FALTA gas",IF(F134="","FALTA propietario",IF(AND(C134&lt;&gt;"",SUMPRODUCT(--($C$5:$C$1200=C134))&gt;1),"CÓDIGO BALÓN DUPLICADO",IF(AND(OR(UPPER(F134)="PLANTA",UPPER(F134)="CLIENTE"),G134=""),"FALTA doc propietario/planta",IF(AND(UPPER(F134)="PLANTA",G134="10175332796"),"PLANTA no puede ser RUC empresa","OK"))))))))</f>
        <v/>
      </c>
      <c r="C134" s="23" t="inlineStr">
        <is>
          <t>22X054048</t>
        </is>
      </c>
      <c r="D134" s="17" t="inlineStr">
        <is>
          <t>Etil 10 m³</t>
        </is>
      </c>
      <c r="E134" s="17" t="inlineStr">
        <is>
          <t>ETILENO</t>
        </is>
      </c>
      <c r="F134" s="17" t="inlineStr">
        <is>
          <t>PLANTA</t>
        </is>
      </c>
      <c r="G134" s="23" t="inlineStr">
        <is>
          <t>20607948675</t>
        </is>
      </c>
      <c r="H134" s="25">
        <f t="array" ref="H134">IF(G134="","",IFERROR(IF(INDEX(Clientes!$D$5:$D$549,MATCH(G134,Clientes!$C$5:$C$549,0))&lt;&gt;"",INDEX(Clientes!$D$5:$D$549,MATCH(G134,Clientes!$C$5:$C$549,0)),TRIM(INDEX(Clientes!$E$5:$E$549,MATCH(G134,Clientes!$C$5:$C$549,0))&amp;" "&amp;INDEX(Clientes!$F$5:$F$549,MATCH(G134,Clientes!$C$5:$C$549,0)))),"NO EXISTE en Clientes"))</f>
        <v/>
      </c>
      <c r="I134" s="17" t="inlineStr">
        <is>
          <t>DISPONIBLE</t>
        </is>
      </c>
      <c r="J134" s="17" t="inlineStr">
        <is>
          <t>ALMACEN PRINCIPAL</t>
        </is>
      </c>
      <c r="K134" s="23" t="n"/>
      <c r="L134" s="25">
        <f t="array" ref="L134">IF(K134="","",IFERROR(IF(INDEX(Clientes!$D$5:$D$549,MATCH(K134,Clientes!$C$5:$C$549,0))&lt;&gt;"",INDEX(Clientes!$D$5:$D$549,MATCH(K134,Clientes!$C$5:$C$549,0)),TRIM(INDEX(Clientes!$E$5:$E$549,MATCH(K134,Clientes!$C$5:$C$549,0))&amp;" "&amp;INDEX(Clientes!$F$5:$F$549,MATCH(K134,Clientes!$C$5:$C$549,0)))),"NO EXISTE en Clientes"))</f>
        <v/>
      </c>
      <c r="M134" s="17" t="n"/>
      <c r="N134" s="17" t="n"/>
      <c r="O134" s="42" t="n"/>
      <c r="P134" s="39">
        <f>IF(O134&lt;&gt;"",DATE(YEAR(O134)+10,MONTH(O134),1),IF(AND(M134&lt;&gt;"",N134&lt;&gt;""),DATE(M134+5,N134,1),""))</f>
        <v/>
      </c>
      <c r="Q134" s="23" t="n"/>
      <c r="R134" s="17" t="n"/>
      <c r="S134" s="17" t="n"/>
      <c r="T134" s="17" t="n"/>
      <c r="U134" s="17" t="n"/>
      <c r="V134" s="23" t="n"/>
      <c r="W134" s="17" t="n"/>
      <c r="X134" s="17" t="n"/>
      <c r="Y134" s="28">
        <f>IF(B134&lt;&gt;"OK","","SELECT bal_crear_balon(p_codigo_balon =&gt; "&amp;IF(TRIM(C134&amp;"")="","NULL","'"&amp;SUBSTITUTE(TRIM(C134),"'","''")&amp;"'")&amp;", p_id_tipo_balon =&gt; "&amp;"(SELECT id FROM bal_tipo_balon WHERE upper(nombre) = upper('"&amp;SUBSTITUTE(TRIM(D134),"'","''")&amp;"') AND estado = 1 LIMIT 1)"&amp;", p_id_producto_gas =&gt; "&amp;"(SELECT id FROM pro_producto WHERE es_gas = TRUE AND upper(nombre) = upper('"&amp;SUBSTITUTE(TRIM(E134),"'","''")&amp;"') AND estado = 1 LIMIT 1)"&amp;", p_id_propietario =&gt; "&amp;IF(TRIM(F134&amp;"")="","NULL","(SELECT lo.id FROM gen_lista_opciones lo JOIN gen_lista l ON l.id = lo.id_lista WHERE l.nombre = 'PropietarioBalon' AND upper(lo.nombre) = upper('"&amp;SUBSTITUTE(TRIM(F134),"'","''")&amp;"') AND lo.estado = 1 LIMIT 1)")&amp;", p_id_cliente_propietario =&gt; "&amp;IF(F134="CLIENTE",IF(TRIM(G134&amp;"")="","NULL","(SELECT id FROM cli_clientes WHERE numero_documento = '"&amp;SUBSTITUTE(TRIM(G134),"'","''")&amp;"' AND estado = 1 LIMIT 1)"),"NULL")&amp;", p_id_planta =&gt; "&amp;IF(F134="PLANTA",IF(TRIM(G134&amp;"")="","NULL","(SELECT id FROM cli_clientes WHERE numero_documento = '"&amp;SUBSTITUTE(TRIM(G134),"'","''")&amp;"'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"&amp;IF(TRIM(J134&amp;"")="","NULL","(SELECT id FROM gen_almacen WHERE upper(nombre) = upper('"&amp;SUBSTITUTE(TRIM(J134),"'","''")&amp;"') AND estado = 1 LIMIT 1)")&amp;", p_id_cliente_ubicacion =&gt; "&amp;IF(TRIM(K134&amp;"")="","NULL","(SELECT id FROM cli_clientes WHERE numero_documento = '"&amp;SUBSTITUTE(TRIM(K134),"'","''")&amp;"' AND estado = 1 LIMIT 1)")&amp;", p_id_referencia =&gt; "&amp;IF(TRIM(J134&amp;"")&lt;&gt;"","(SELECT lo.id FROM gen_lista_opciones lo JOIN gen_lista l ON l.id = lo.id_lista WHERE l.nombre = 'ReferenciaCilindro' AND upper(lo.nombre) = 'ALMACEN' AND lo.estado = 1 LIMIT 1)",IF(TRIM(K134&amp;"")&lt;&gt;"","(SELECT lo.id FROM gen_lista_opciones lo JOIN gen_lista l ON l.id = lo.id_lista WHERE l.nombre = 'ReferenciaCilindro' AND upper(lo.nombre) = 'CLIENTE' AND lo.estado = 1 LIMIT 1)","NULL"))&amp;", p_anio_fabricacion =&gt; "&amp;IF(M134&amp;""="","NULL::smallint",M134&amp;"::smallint")&amp;", p_mes_fabricacion =&gt; "&amp;IF(N134&amp;""="","NULL::smallint",N134&amp;"::smallint")&amp;", p_fecha_ultima_prueba_hidrostatica =&gt; "&amp;IF(O134&amp;""="","NULL","'"&amp;YEAR(O134)&amp;"-"&amp;TEXT(MONTH(O134),"00")&amp;"-"&amp;TEXT(DAY(O134),"00")&amp;"'")&amp;", p_numero_serie =&gt; "&amp;IF(TRIM(Q134&amp;"")="","NULL","'"&amp;SUBSTITUTE(TRIM(Q134),"'","''")&amp;"'")&amp;", p_id_marca_cilindro =&gt; "&amp;IF(TRIM(R134&amp;"")="","NULL","(SELECT lo.id FROM gen_lista_opciones lo JOIN gen_lista l ON l.id = lo.id_lista WHERE l.nombre = 'MarcaCilindro' AND upper(lo.nombre) = upper('"&amp;SUBSTITUTE(TRIM(R134),"'","''")&amp;"') AND lo.estado = 1 LIMIT 1)")&amp;", p_id_organo_inspector =&gt; "&amp;IF(TRIM(S134&amp;"")="","NULL","(SELECT lo.id FROM gen_lista_opciones lo JOIN gen_lista l ON l.id = lo.id_lista WHERE l.nombre = 'OrganoInspectorCilindro' AND upper(lo.nombre) = upper('"&amp;SUBSTITUTE(TRIM(S134),"'","''")&amp;"') AND lo.estado = 1 LIMIT 1)")&amp;", p_organo_inspector_no_aplica =&gt; "&amp;IF(S134="NO_APLICA","TRUE","FALSE")&amp;", p_presion_actual =&gt; "&amp;IF(T134&amp;""="","NULL",SUBSTITUTE(T134&amp;"",",","."))&amp;", p_tipo_valvula =&gt; "&amp;IF(TRIM(U134&amp;"")="","NULL","'"&amp;SUBSTITUTE(TRIM(U134),"'","''")&amp;"'")&amp;", p_libro_cilindro =&gt; "&amp;IF(TRIM(V134&amp;"")="","NULL","'"&amp;SUBSTITUTE(TRIM(V134),"'","''")&amp;"'")&amp;", p_pagina_libro =&gt; "&amp;IF(W134&amp;""="","NULL",SUBSTITUTE(W134&amp;"",",","."))&amp;", p_observacion =&gt; "&amp;IF(TRIM(X134&amp;"")="","NULL","'"&amp;SUBSTITUTE(TRIM(X134),"'","''")&amp;"'")&amp;") AS resultado_balon_"&amp;ROW()&amp;";")</f>
        <v/>
      </c>
    </row>
    <row r="135" ht="15.75" customHeight="1" s="64">
      <c r="A135" s="36" t="inlineStr">
        <is>
          <t>131</t>
        </is>
      </c>
      <c r="B135" s="25">
        <f>IF(AND(C135="",D135="",E135=""),"",IF(C135="","FALTA código balón",IF(D135="","FALTA tipo balón",IF(E135="","FALTA gas",IF(F135="","FALTA propietario",IF(AND(C135&lt;&gt;"",SUMPRODUCT(--($C$5:$C$1200=C135))&gt;1),"CÓDIGO BALÓN DUPLICADO",IF(AND(OR(UPPER(F135)="PLANTA",UPPER(F135)="CLIENTE"),G135=""),"FALTA doc propietario/planta",IF(AND(UPPER(F135)="PLANTA",G135="10175332796"),"PLANTA no puede ser RUC empresa","OK"))))))))</f>
        <v/>
      </c>
      <c r="C135" s="23" t="inlineStr">
        <is>
          <t>4193123</t>
        </is>
      </c>
      <c r="D135" s="17" t="inlineStr">
        <is>
          <t>Argón Estándar 10 m3</t>
        </is>
      </c>
      <c r="E135" s="17" t="inlineStr">
        <is>
          <t>ARGON</t>
        </is>
      </c>
      <c r="F135" s="17" t="inlineStr">
        <is>
          <t>EMPRESA</t>
        </is>
      </c>
      <c r="G135" s="23" t="inlineStr">
        <is>
          <t>10175332796</t>
        </is>
      </c>
      <c r="H135" s="25">
        <f t="array" ref="H135">IF(G135="","",IFERROR(IF(INDEX(Clientes!$D$5:$D$549,MATCH(G135,Clientes!$C$5:$C$549,0))&lt;&gt;"",INDEX(Clientes!$D$5:$D$549,MATCH(G135,Clientes!$C$5:$C$549,0)),TRIM(INDEX(Clientes!$E$5:$E$549,MATCH(G135,Clientes!$C$5:$C$549,0))&amp;" "&amp;INDEX(Clientes!$F$5:$F$549,MATCH(G135,Clientes!$C$5:$C$549,0)))),"NO EXISTE en Clientes"))</f>
        <v/>
      </c>
      <c r="I135" s="17" t="inlineStr">
        <is>
          <t>DISPONIBLE</t>
        </is>
      </c>
      <c r="J135" s="17" t="inlineStr">
        <is>
          <t>ALMACEN PRINCIPAL</t>
        </is>
      </c>
      <c r="K135" s="23" t="n"/>
      <c r="L135" s="25">
        <f t="array" ref="L135">IF(K135="","",IFERROR(IF(INDEX(Clientes!$D$5:$D$549,MATCH(K135,Clientes!$C$5:$C$549,0))&lt;&gt;"",INDEX(Clientes!$D$5:$D$549,MATCH(K135,Clientes!$C$5:$C$549,0)),TRIM(INDEX(Clientes!$E$5:$E$549,MATCH(K135,Clientes!$C$5:$C$549,0))&amp;" "&amp;INDEX(Clientes!$F$5:$F$549,MATCH(K135,Clientes!$C$5:$C$549,0)))),"NO EXISTE en Clientes"))</f>
        <v/>
      </c>
      <c r="M135" s="17" t="n">
        <v>2025</v>
      </c>
      <c r="N135" s="17" t="n">
        <v>1</v>
      </c>
      <c r="O135" s="42" t="n">
        <v>45658</v>
      </c>
      <c r="P135" s="39">
        <f>IF(O135&lt;&gt;"",DATE(YEAR(O135)+10,MONTH(O135),1),IF(AND(M135&lt;&gt;"",N135&lt;&gt;""),DATE(M135+5,N135,1),""))</f>
        <v/>
      </c>
      <c r="Q135" s="23" t="n"/>
      <c r="R135" s="17" t="inlineStr">
        <is>
          <t>JD</t>
        </is>
      </c>
      <c r="S135" s="17" t="inlineStr">
        <is>
          <t>NO TIENE</t>
        </is>
      </c>
      <c r="T135" s="17" t="n">
        <v>2800</v>
      </c>
      <c r="U135" s="17" t="n"/>
      <c r="V135" s="23" t="n"/>
      <c r="W135" s="17" t="n"/>
      <c r="X135" s="17" t="inlineStr">
        <is>
          <t>PH OXIGENO CRISTIAN</t>
        </is>
      </c>
      <c r="Y135" s="28">
        <f>IF(B135&lt;&gt;"OK","","SELECT bal_crear_balon(p_codigo_balon =&gt; "&amp;IF(TRIM(C135&amp;"")="","NULL","'"&amp;SUBSTITUTE(TRIM(C135),"'","''")&amp;"'")&amp;", p_id_tipo_balon =&gt; "&amp;"(SELECT id FROM bal_tipo_balon WHERE upper(nombre) = upper('"&amp;SUBSTITUTE(TRIM(D135),"'","''")&amp;"') AND estado = 1 LIMIT 1)"&amp;", p_id_producto_gas =&gt; "&amp;"(SELECT id FROM pro_producto WHERE es_gas = TRUE AND upper(nombre) = upper('"&amp;SUBSTITUTE(TRIM(E135),"'","''")&amp;"') AND estado = 1 LIMIT 1)"&amp;", p_id_propietario =&gt; "&amp;IF(TRIM(F135&amp;"")="","NULL","(SELECT lo.id FROM gen_lista_opciones lo JOIN gen_lista l ON l.id = lo.id_lista WHERE l.nombre = 'PropietarioBalon' AND upper(lo.nombre) = upper('"&amp;SUBSTITUTE(TRIM(F135),"'","''")&amp;"') AND lo.estado = 1 LIMIT 1)")&amp;", p_id_cliente_propietario =&gt; "&amp;IF(F135="CLIENTE",IF(TRIM(G135&amp;"")="","NULL","(SELECT id FROM cli_clientes WHERE numero_documento = '"&amp;SUBSTITUTE(TRIM(G135),"'","''")&amp;"' AND estado = 1 LIMIT 1)"),"NULL")&amp;", p_id_planta =&gt; "&amp;IF(F135="PLANTA",IF(TRIM(G135&amp;"")="","NULL","(SELECT id FROM cli_clientes WHERE numero_documento = '"&amp;SUBSTITUTE(TRIM(G135),"'","''")&amp;"'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"&amp;IF(TRIM(J135&amp;"")="","NULL","(SELECT id FROM gen_almacen WHERE upper(nombre) = upper('"&amp;SUBSTITUTE(TRIM(J135),"'","''")&amp;"') AND estado = 1 LIMIT 1)")&amp;", p_id_cliente_ubicacion =&gt; "&amp;IF(TRIM(K135&amp;"")="","NULL","(SELECT id FROM cli_clientes WHERE numero_documento = '"&amp;SUBSTITUTE(TRIM(K135),"'","''")&amp;"' AND estado = 1 LIMIT 1)")&amp;", p_id_referencia =&gt; "&amp;IF(TRIM(J135&amp;"")&lt;&gt;"","(SELECT lo.id FROM gen_lista_opciones lo JOIN gen_lista l ON l.id = lo.id_lista WHERE l.nombre = 'ReferenciaCilindro' AND upper(lo.nombre) = 'ALMACEN' AND lo.estado = 1 LIMIT 1)",IF(TRIM(K135&amp;"")&lt;&gt;"","(SELECT lo.id FROM gen_lista_opciones lo JOIN gen_lista l ON l.id = lo.id_lista WHERE l.nombre = 'ReferenciaCilindro' AND upper(lo.nombre) = 'CLIENTE' AND lo.estado = 1 LIMIT 1)","NULL"))&amp;", p_anio_fabricacion =&gt; "&amp;IF(M135&amp;""="","NULL::smallint",M135&amp;"::smallint")&amp;", p_mes_fabricacion =&gt; "&amp;IF(N135&amp;""="","NULL::smallint",N135&amp;"::smallint")&amp;", p_fecha_ultima_prueba_hidrostatica =&gt; "&amp;IF(O135&amp;""="","NULL","'"&amp;YEAR(O135)&amp;"-"&amp;TEXT(MONTH(O135),"00")&amp;"-"&amp;TEXT(DAY(O135),"00")&amp;"'")&amp;", p_numero_serie =&gt; "&amp;IF(TRIM(Q135&amp;"")="","NULL","'"&amp;SUBSTITUTE(TRIM(Q135),"'","''")&amp;"'")&amp;", p_id_marca_cilindro =&gt; "&amp;IF(TRIM(R135&amp;"")="","NULL","(SELECT lo.id FROM gen_lista_opciones lo JOIN gen_lista l ON l.id = lo.id_lista WHERE l.nombre = 'MarcaCilindro' AND upper(lo.nombre) = upper('"&amp;SUBSTITUTE(TRIM(R135),"'","''")&amp;"') AND lo.estado = 1 LIMIT 1)")&amp;", p_id_organo_inspector =&gt; "&amp;IF(TRIM(S135&amp;"")="","NULL","(SELECT lo.id FROM gen_lista_opciones lo JOIN gen_lista l ON l.id = lo.id_lista WHERE l.nombre = 'OrganoInspectorCilindro' AND upper(lo.nombre) = upper('"&amp;SUBSTITUTE(TRIM(S135),"'","''")&amp;"') AND lo.estado = 1 LIMIT 1)")&amp;", p_organo_inspector_no_aplica =&gt; "&amp;IF(S135="NO_APLICA","TRUE","FALSE")&amp;", p_presion_actual =&gt; "&amp;IF(T135&amp;""="","NULL",SUBSTITUTE(T135&amp;"",",","."))&amp;", p_tipo_valvula =&gt; "&amp;IF(TRIM(U135&amp;"")="","NULL","'"&amp;SUBSTITUTE(TRIM(U135),"'","''")&amp;"'")&amp;", p_libro_cilindro =&gt; "&amp;IF(TRIM(V135&amp;"")="","NULL","'"&amp;SUBSTITUTE(TRIM(V135),"'","''")&amp;"'")&amp;", p_pagina_libro =&gt; "&amp;IF(W135&amp;""="","NULL",SUBSTITUTE(W135&amp;"",",","."))&amp;", p_observacion =&gt; "&amp;IF(TRIM(X135&amp;"")="","NULL","'"&amp;SUBSTITUTE(TRIM(X135),"'","''")&amp;"'")&amp;") AS resultado_balon_"&amp;ROW()&amp;";")</f>
        <v/>
      </c>
    </row>
    <row r="136" ht="15.75" customHeight="1" s="64">
      <c r="A136" s="36" t="inlineStr">
        <is>
          <t>132</t>
        </is>
      </c>
      <c r="B136" s="25">
        <f>IF(AND(C136="",D136="",E136=""),"",IF(C136="","FALTA código balón",IF(D136="","FALTA tipo balón",IF(E136="","FALTA gas",IF(F136="","FALTA propietario",IF(AND(C136&lt;&gt;"",SUMPRODUCT(--($C$5:$C$1200=C136))&gt;1),"CÓDIGO BALÓN DUPLICADO",IF(AND(OR(UPPER(F136)="PLANTA",UPPER(F136)="CLIENTE"),G136=""),"FALTA doc propietario/planta",IF(AND(UPPER(F136)="PLANTA",G136="10175332796"),"PLANTA no puede ser RUC empresa","OK"))))))))</f>
        <v/>
      </c>
      <c r="C136" s="23" t="inlineStr">
        <is>
          <t>31041</t>
        </is>
      </c>
      <c r="D136" s="17" t="inlineStr">
        <is>
          <t>Oxígeno Industrial 6 m³</t>
        </is>
      </c>
      <c r="E136" s="17" t="inlineStr">
        <is>
          <t>OXIGENO INDUSTRIAL</t>
        </is>
      </c>
      <c r="F136" s="17" t="inlineStr">
        <is>
          <t>EMPRESA</t>
        </is>
      </c>
      <c r="G136" s="23" t="inlineStr">
        <is>
          <t>10175332796</t>
        </is>
      </c>
      <c r="H136" s="25">
        <f t="array" ref="H136">IF(G136="","",IFERROR(IF(INDEX(Clientes!$D$5:$D$549,MATCH(G136,Clientes!$C$5:$C$549,0))&lt;&gt;"",INDEX(Clientes!$D$5:$D$549,MATCH(G136,Clientes!$C$5:$C$549,0)),TRIM(INDEX(Clientes!$E$5:$E$549,MATCH(G136,Clientes!$C$5:$C$549,0))&amp;" "&amp;INDEX(Clientes!$F$5:$F$549,MATCH(G136,Clientes!$C$5:$C$549,0)))),"NO EXISTE en Clientes"))</f>
        <v/>
      </c>
      <c r="I136" s="17" t="inlineStr">
        <is>
          <t>DISPONIBLE</t>
        </is>
      </c>
      <c r="J136" s="17" t="inlineStr">
        <is>
          <t>ALMACEN PRINCIPAL</t>
        </is>
      </c>
      <c r="K136" s="23" t="n"/>
      <c r="L136" s="25">
        <f t="array" ref="L136">IF(K136="","",IFERROR(IF(INDEX(Clientes!$D$5:$D$549,MATCH(K136,Clientes!$C$5:$C$549,0))&lt;&gt;"",INDEX(Clientes!$D$5:$D$549,MATCH(K136,Clientes!$C$5:$C$549,0)),TRIM(INDEX(Clientes!$E$5:$E$549,MATCH(K136,Clientes!$C$5:$C$549,0))&amp;" "&amp;INDEX(Clientes!$F$5:$F$549,MATCH(K136,Clientes!$C$5:$C$549,0)))),"NO EXISTE en Clientes"))</f>
        <v/>
      </c>
      <c r="M136" s="17" t="n"/>
      <c r="N136" s="17" t="n"/>
      <c r="O136" s="42" t="n"/>
      <c r="P136" s="39">
        <f>IF(O136&lt;&gt;"",DATE(YEAR(O136)+10,MONTH(O136),1),IF(AND(M136&lt;&gt;"",N136&lt;&gt;""),DATE(M136+5,N136,1),""))</f>
        <v/>
      </c>
      <c r="Q136" s="23" t="n"/>
      <c r="R136" s="17" t="n"/>
      <c r="S136" s="17" t="n"/>
      <c r="T136" s="17" t="n"/>
      <c r="U136" s="17" t="n"/>
      <c r="V136" s="23" t="n"/>
      <c r="W136" s="17" t="n"/>
      <c r="X136" s="17" t="n"/>
      <c r="Y136" s="28">
        <f>IF(B136&lt;&gt;"OK","","SELECT bal_crear_balon(p_codigo_balon =&gt; "&amp;IF(TRIM(C136&amp;"")="","NULL","'"&amp;SUBSTITUTE(TRIM(C136),"'","''")&amp;"'")&amp;", p_id_tipo_balon =&gt; "&amp;"(SELECT id FROM bal_tipo_balon WHERE upper(nombre) = upper('"&amp;SUBSTITUTE(TRIM(D136),"'","''")&amp;"') AND estado = 1 LIMIT 1)"&amp;", p_id_producto_gas =&gt; "&amp;"(SELECT id FROM pro_producto WHERE es_gas = TRUE AND upper(nombre) = upper('"&amp;SUBSTITUTE(TRIM(E136),"'","''")&amp;"') AND estado = 1 LIMIT 1)"&amp;", p_id_propietario =&gt; "&amp;IF(TRIM(F136&amp;"")="","NULL","(SELECT lo.id FROM gen_lista_opciones lo JOIN gen_lista l ON l.id = lo.id_lista WHERE l.nombre = 'PropietarioBalon' AND upper(lo.nombre) = upper('"&amp;SUBSTITUTE(TRIM(F136),"'","''")&amp;"') AND lo.estado = 1 LIMIT 1)")&amp;", p_id_cliente_propietario =&gt; "&amp;IF(F136="CLIENTE",IF(TRIM(G136&amp;"")="","NULL","(SELECT id FROM cli_clientes WHERE numero_documento = '"&amp;SUBSTITUTE(TRIM(G136),"'","''")&amp;"' AND estado = 1 LIMIT 1)"),"NULL")&amp;", p_id_planta =&gt; "&amp;IF(F136="PLANTA",IF(TRIM(G136&amp;"")="","NULL","(SELECT id FROM cli_clientes WHERE numero_documento = '"&amp;SUBSTITUTE(TRIM(G136),"'","''")&amp;"'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"&amp;IF(TRIM(J136&amp;"")="","NULL","(SELECT id FROM gen_almacen WHERE upper(nombre) = upper('"&amp;SUBSTITUTE(TRIM(J136),"'","''")&amp;"') AND estado = 1 LIMIT 1)")&amp;", p_id_cliente_ubicacion =&gt; "&amp;IF(TRIM(K136&amp;"")="","NULL","(SELECT id FROM cli_clientes WHERE numero_documento = '"&amp;SUBSTITUTE(TRIM(K136),"'","''")&amp;"' AND estado = 1 LIMIT 1)")&amp;", p_id_referencia =&gt; "&amp;IF(TRIM(J136&amp;"")&lt;&gt;"","(SELECT lo.id FROM gen_lista_opciones lo JOIN gen_lista l ON l.id = lo.id_lista WHERE l.nombre = 'ReferenciaCilindro' AND upper(lo.nombre) = 'ALMACEN' AND lo.estado = 1 LIMIT 1)",IF(TRIM(K136&amp;"")&lt;&gt;"","(SELECT lo.id FROM gen_lista_opciones lo JOIN gen_lista l ON l.id = lo.id_lista WHERE l.nombre = 'ReferenciaCilindro' AND upper(lo.nombre) = 'CLIENTE' AND lo.estado = 1 LIMIT 1)","NULL"))&amp;", p_anio_fabricacion =&gt; "&amp;IF(M136&amp;""="","NULL::smallint",M136&amp;"::smallint")&amp;", p_mes_fabricacion =&gt; "&amp;IF(N136&amp;""="","NULL::smallint",N136&amp;"::smallint")&amp;", p_fecha_ultima_prueba_hidrostatica =&gt; "&amp;IF(O136&amp;""="","NULL","'"&amp;YEAR(O136)&amp;"-"&amp;TEXT(MONTH(O136),"00")&amp;"-"&amp;TEXT(DAY(O136),"00")&amp;"'")&amp;", p_numero_serie =&gt; "&amp;IF(TRIM(Q136&amp;"")="","NULL","'"&amp;SUBSTITUTE(TRIM(Q136),"'","''")&amp;"'")&amp;", p_id_marca_cilindro =&gt; "&amp;IF(TRIM(R136&amp;"")="","NULL","(SELECT lo.id FROM gen_lista_opciones lo JOIN gen_lista l ON l.id = lo.id_lista WHERE l.nombre = 'MarcaCilindro' AND upper(lo.nombre) = upper('"&amp;SUBSTITUTE(TRIM(R136),"'","''")&amp;"') AND lo.estado = 1 LIMIT 1)")&amp;", p_id_organo_inspector =&gt; "&amp;IF(TRIM(S136&amp;"")="","NULL","(SELECT lo.id FROM gen_lista_opciones lo JOIN gen_lista l ON l.id = lo.id_lista WHERE l.nombre = 'OrganoInspectorCilindro' AND upper(lo.nombre) = upper('"&amp;SUBSTITUTE(TRIM(S136),"'","''")&amp;"') AND lo.estado = 1 LIMIT 1)")&amp;", p_organo_inspector_no_aplica =&gt; "&amp;IF(S136="NO_APLICA","TRUE","FALSE")&amp;", p_presion_actual =&gt; "&amp;IF(T136&amp;""="","NULL",SUBSTITUTE(T136&amp;"",",","."))&amp;", p_tipo_valvula =&gt; "&amp;IF(TRIM(U136&amp;"")="","NULL","'"&amp;SUBSTITUTE(TRIM(U136),"'","''")&amp;"'")&amp;", p_libro_cilindro =&gt; "&amp;IF(TRIM(V136&amp;"")="","NULL","'"&amp;SUBSTITUTE(TRIM(V136),"'","''")&amp;"'")&amp;", p_pagina_libro =&gt; "&amp;IF(W136&amp;""="","NULL",SUBSTITUTE(W136&amp;"",",","."))&amp;", p_observacion =&gt; "&amp;IF(TRIM(X136&amp;"")="","NULL","'"&amp;SUBSTITUTE(TRIM(X136),"'","''")&amp;"'")&amp;") AS resultado_balon_"&amp;ROW()&amp;";")</f>
        <v/>
      </c>
    </row>
    <row r="137" ht="15.75" customHeight="1" s="64">
      <c r="A137" s="36" t="inlineStr">
        <is>
          <t>133</t>
        </is>
      </c>
      <c r="B137" s="25">
        <f>IF(AND(C137="",D137="",E137=""),"",IF(C137="","FALTA código balón",IF(D137="","FALTA tipo balón",IF(E137="","FALTA gas",IF(F137="","FALTA propietario",IF(AND(C137&lt;&gt;"",SUMPRODUCT(--($C$5:$C$1200=C137))&gt;1),"CÓDIGO BALÓN DUPLICADO",IF(AND(OR(UPPER(F137)="PLANTA",UPPER(F137)="CLIENTE"),G137=""),"FALTA doc propietario/planta",IF(AND(UPPER(F137)="PLANTA",G137="10175332796"),"PLANTA no puede ser RUC empresa","OK"))))))))</f>
        <v/>
      </c>
      <c r="C137" s="23" t="inlineStr">
        <is>
          <t>22K034058</t>
        </is>
      </c>
      <c r="D137" s="17" t="inlineStr">
        <is>
          <t>Dióxido de carbono 30 kg</t>
        </is>
      </c>
      <c r="E137" s="17" t="inlineStr">
        <is>
          <t>DIÓXIDO DE CARBONO</t>
        </is>
      </c>
      <c r="F137" s="17" t="inlineStr">
        <is>
          <t>CLIENTE</t>
        </is>
      </c>
      <c r="G137" s="26" t="inlineStr">
        <is>
          <t>20607980358</t>
        </is>
      </c>
      <c r="H137" s="25">
        <f t="array" ref="H137">IF(G137="","",IFERROR(IF(INDEX(Clientes!$D$5:$D$549,MATCH(G137,Clientes!$C$5:$C$549,0))&lt;&gt;"",INDEX(Clientes!$D$5:$D$549,MATCH(G137,Clientes!$C$5:$C$549,0)),TRIM(INDEX(Clientes!$E$5:$E$549,MATCH(G137,Clientes!$C$5:$C$549,0))&amp;" "&amp;INDEX(Clientes!$F$5:$F$549,MATCH(G137,Clientes!$C$5:$C$549,0)))),"NO EXISTE en Clientes"))</f>
        <v/>
      </c>
      <c r="I137" s="17" t="inlineStr">
        <is>
          <t>DISPONIBLE</t>
        </is>
      </c>
      <c r="J137" s="17" t="inlineStr">
        <is>
          <t>ALMACEN PRINCIPAL</t>
        </is>
      </c>
      <c r="K137" s="23" t="n"/>
      <c r="L137" s="25">
        <f t="array" ref="L137">IF(K137="","",IFERROR(IF(INDEX(Clientes!$D$5:$D$549,MATCH(K137,Clientes!$C$5:$C$549,0))&lt;&gt;"",INDEX(Clientes!$D$5:$D$549,MATCH(K137,Clientes!$C$5:$C$549,0)),TRIM(INDEX(Clientes!$E$5:$E$549,MATCH(K137,Clientes!$C$5:$C$549,0))&amp;" "&amp;INDEX(Clientes!$F$5:$F$549,MATCH(K137,Clientes!$C$5:$C$549,0)))),"NO EXISTE en Clientes"))</f>
        <v/>
      </c>
      <c r="M137" s="17" t="n"/>
      <c r="N137" s="17" t="n"/>
      <c r="O137" s="42" t="n"/>
      <c r="P137" s="39">
        <f>IF(O137&lt;&gt;"",DATE(YEAR(O137)+10,MONTH(O137),1),IF(AND(M137&lt;&gt;"",N137&lt;&gt;""),DATE(M137+5,N137,1),""))</f>
        <v/>
      </c>
      <c r="Q137" s="23" t="n"/>
      <c r="R137" s="17" t="n"/>
      <c r="S137" s="17" t="n"/>
      <c r="T137" s="17" t="n"/>
      <c r="U137" s="17" t="n"/>
      <c r="V137" s="23" t="n"/>
      <c r="W137" s="17" t="n"/>
      <c r="X137" s="17" t="n"/>
      <c r="Y137" s="28">
        <f>IF(B137&lt;&gt;"OK","","SELECT bal_crear_balon(p_codigo_balon =&gt; "&amp;IF(TRIM(C137&amp;"")="","NULL","'"&amp;SUBSTITUTE(TRIM(C137),"'","''")&amp;"'")&amp;", p_id_tipo_balon =&gt; "&amp;"(SELECT id FROM bal_tipo_balon WHERE upper(nombre) = upper('"&amp;SUBSTITUTE(TRIM(D137),"'","''")&amp;"') AND estado = 1 LIMIT 1)"&amp;", p_id_producto_gas =&gt; "&amp;"(SELECT id FROM pro_producto WHERE es_gas = TRUE AND upper(nombre) = upper('"&amp;SUBSTITUTE(TRIM(E137),"'","''")&amp;"') AND estado = 1 LIMIT 1)"&amp;", p_id_propietario =&gt; "&amp;IF(TRIM(F137&amp;"")="","NULL","(SELECT lo.id FROM gen_lista_opciones lo JOIN gen_lista l ON l.id = lo.id_lista WHERE l.nombre = 'PropietarioBalon' AND upper(lo.nombre) = upper('"&amp;SUBSTITUTE(TRIM(F137),"'","''")&amp;"') AND lo.estado = 1 LIMIT 1)")&amp;", p_id_cliente_propietario =&gt; "&amp;IF(F137="CLIENTE",IF(TRIM(G137&amp;"")="","NULL","(SELECT id FROM cli_clientes WHERE numero_documento = '"&amp;SUBSTITUTE(TRIM(G137),"'","''")&amp;"' AND estado = 1 LIMIT 1)"),"NULL")&amp;", p_id_planta =&gt; "&amp;IF(F137="PLANTA",IF(TRIM(G137&amp;"")="","NULL","(SELECT id FROM cli_clientes WHERE numero_documento = '"&amp;SUBSTITUTE(TRIM(G137),"'","''")&amp;"'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"&amp;IF(TRIM(J137&amp;"")="","NULL","(SELECT id FROM gen_almacen WHERE upper(nombre) = upper('"&amp;SUBSTITUTE(TRIM(J137),"'","''")&amp;"') AND estado = 1 LIMIT 1)")&amp;", p_id_cliente_ubicacion =&gt; "&amp;IF(TRIM(K137&amp;"")="","NULL","(SELECT id FROM cli_clientes WHERE numero_documento = '"&amp;SUBSTITUTE(TRIM(K137),"'","''")&amp;"' AND estado = 1 LIMIT 1)")&amp;", p_id_referencia =&gt; "&amp;IF(TRIM(J137&amp;"")&lt;&gt;"","(SELECT lo.id FROM gen_lista_opciones lo JOIN gen_lista l ON l.id = lo.id_lista WHERE l.nombre = 'ReferenciaCilindro' AND upper(lo.nombre) = 'ALMACEN' AND lo.estado = 1 LIMIT 1)",IF(TRIM(K137&amp;"")&lt;&gt;"","(SELECT lo.id FROM gen_lista_opciones lo JOIN gen_lista l ON l.id = lo.id_lista WHERE l.nombre = 'ReferenciaCilindro' AND upper(lo.nombre) = 'CLIENTE' AND lo.estado = 1 LIMIT 1)","NULL"))&amp;", p_anio_fabricacion =&gt; "&amp;IF(M137&amp;""="","NULL::smallint",M137&amp;"::smallint")&amp;", p_mes_fabricacion =&gt; "&amp;IF(N137&amp;""="","NULL::smallint",N137&amp;"::smallint")&amp;", p_fecha_ultima_prueba_hidrostatica =&gt; "&amp;IF(O137&amp;""="","NULL","'"&amp;YEAR(O137)&amp;"-"&amp;TEXT(MONTH(O137),"00")&amp;"-"&amp;TEXT(DAY(O137),"00")&amp;"'")&amp;", p_numero_serie =&gt; "&amp;IF(TRIM(Q137&amp;"")="","NULL","'"&amp;SUBSTITUTE(TRIM(Q137),"'","''")&amp;"'")&amp;", p_id_marca_cilindro =&gt; "&amp;IF(TRIM(R137&amp;"")="","NULL","(SELECT lo.id FROM gen_lista_opciones lo JOIN gen_lista l ON l.id = lo.id_lista WHERE l.nombre = 'MarcaCilindro' AND upper(lo.nombre) = upper('"&amp;SUBSTITUTE(TRIM(R137),"'","''")&amp;"') AND lo.estado = 1 LIMIT 1)")&amp;", p_id_organo_inspector =&gt; "&amp;IF(TRIM(S137&amp;"")="","NULL","(SELECT lo.id FROM gen_lista_opciones lo JOIN gen_lista l ON l.id = lo.id_lista WHERE l.nombre = 'OrganoInspectorCilindro' AND upper(lo.nombre) = upper('"&amp;SUBSTITUTE(TRIM(S137),"'","''")&amp;"') AND lo.estado = 1 LIMIT 1)")&amp;", p_organo_inspector_no_aplica =&gt; "&amp;IF(S137="NO_APLICA","TRUE","FALSE")&amp;", p_presion_actual =&gt; "&amp;IF(T137&amp;""="","NULL",SUBSTITUTE(T137&amp;"",",","."))&amp;", p_tipo_valvula =&gt; "&amp;IF(TRIM(U137&amp;"")="","NULL","'"&amp;SUBSTITUTE(TRIM(U137),"'","''")&amp;"'")&amp;", p_libro_cilindro =&gt; "&amp;IF(TRIM(V137&amp;"")="","NULL","'"&amp;SUBSTITUTE(TRIM(V137),"'","''")&amp;"'")&amp;", p_pagina_libro =&gt; "&amp;IF(W137&amp;""="","NULL",SUBSTITUTE(W137&amp;"",",","."))&amp;", p_observacion =&gt; "&amp;IF(TRIM(X137&amp;"")="","NULL","'"&amp;SUBSTITUTE(TRIM(X137),"'","''")&amp;"'")&amp;") AS resultado_balon_"&amp;ROW()&amp;";")</f>
        <v/>
      </c>
    </row>
    <row r="138" ht="15.75" customHeight="1" s="64">
      <c r="A138" s="36" t="inlineStr">
        <is>
          <t>134</t>
        </is>
      </c>
      <c r="B138" s="25">
        <f>IF(AND(C138="",D138="",E138=""),"",IF(C138="","FALTA código balón",IF(D138="","FALTA tipo balón",IF(E138="","FALTA gas",IF(F138="","FALTA propietario",IF(AND(C138&lt;&gt;"",SUMPRODUCT(--($C$5:$C$1200=C138))&gt;1),"CÓDIGO BALÓN DUPLICADO",IF(AND(OR(UPPER(F138)="PLANTA",UPPER(F138)="CLIENTE"),G138=""),"FALTA doc propietario/planta",IF(AND(UPPER(F138)="PLANTA",G138="10175332796"),"PLANTA no puede ser RUC empresa","OK"))))))))</f>
        <v/>
      </c>
      <c r="C138" s="23" t="inlineStr">
        <is>
          <t>1513416</t>
        </is>
      </c>
      <c r="D138" s="17" t="inlineStr">
        <is>
          <t>Nitrógeno 10 m³</t>
        </is>
      </c>
      <c r="E138" s="17" t="inlineStr">
        <is>
          <t>NITROGENO</t>
        </is>
      </c>
      <c r="F138" s="17" t="inlineStr">
        <is>
          <t>EMPRESA</t>
        </is>
      </c>
      <c r="G138" s="23" t="inlineStr">
        <is>
          <t>10175332796</t>
        </is>
      </c>
      <c r="H138" s="25">
        <f t="array" ref="H138">IF(G138="","",IFERROR(IF(INDEX(Clientes!$D$5:$D$549,MATCH(G138,Clientes!$C$5:$C$549,0))&lt;&gt;"",INDEX(Clientes!$D$5:$D$549,MATCH(G138,Clientes!$C$5:$C$549,0)),TRIM(INDEX(Clientes!$E$5:$E$549,MATCH(G138,Clientes!$C$5:$C$549,0))&amp;" "&amp;INDEX(Clientes!$F$5:$F$549,MATCH(G138,Clientes!$C$5:$C$549,0)))),"NO EXISTE en Clientes"))</f>
        <v/>
      </c>
      <c r="I138" s="17" t="inlineStr">
        <is>
          <t>DISPONIBLE</t>
        </is>
      </c>
      <c r="J138" s="17" t="inlineStr">
        <is>
          <t>ALMACEN PRINCIPAL</t>
        </is>
      </c>
      <c r="K138" s="23" t="n"/>
      <c r="L138" s="25">
        <f t="array" ref="L138">IF(K138="","",IFERROR(IF(INDEX(Clientes!$D$5:$D$549,MATCH(K138,Clientes!$C$5:$C$549,0))&lt;&gt;"",INDEX(Clientes!$D$5:$D$549,MATCH(K138,Clientes!$C$5:$C$549,0)),TRIM(INDEX(Clientes!$E$5:$E$549,MATCH(K138,Clientes!$C$5:$C$549,0))&amp;" "&amp;INDEX(Clientes!$F$5:$F$549,MATCH(K138,Clientes!$C$5:$C$549,0)))),"NO EXISTE en Clientes"))</f>
        <v/>
      </c>
      <c r="M138" s="17" t="n">
        <v>2025</v>
      </c>
      <c r="N138" s="17" t="n">
        <v>8</v>
      </c>
      <c r="O138" s="42" t="n">
        <v>45870</v>
      </c>
      <c r="P138" s="39">
        <f>IF(O138&lt;&gt;"",DATE(YEAR(O138)+10,MONTH(O138),1),IF(AND(M138&lt;&gt;"",N138&lt;&gt;""),DATE(M138+5,N138,1),""))</f>
        <v/>
      </c>
      <c r="Q138" s="23" t="n"/>
      <c r="R138" s="17" t="n"/>
      <c r="S138" s="17" t="n"/>
      <c r="T138" s="17" t="n"/>
      <c r="U138" s="17" t="n"/>
      <c r="V138" s="23" t="n"/>
      <c r="W138" s="17" t="n"/>
      <c r="X138" s="17" t="n"/>
      <c r="Y138" s="28">
        <f>IF(B138&lt;&gt;"OK","","SELECT bal_crear_balon(p_codigo_balon =&gt; "&amp;IF(TRIM(C138&amp;"")="","NULL","'"&amp;SUBSTITUTE(TRIM(C138),"'","''")&amp;"'")&amp;", p_id_tipo_balon =&gt; "&amp;"(SELECT id FROM bal_tipo_balon WHERE upper(nombre) = upper('"&amp;SUBSTITUTE(TRIM(D138),"'","''")&amp;"') AND estado = 1 LIMIT 1)"&amp;", p_id_producto_gas =&gt; "&amp;"(SELECT id FROM pro_producto WHERE es_gas = TRUE AND upper(nombre) = upper('"&amp;SUBSTITUTE(TRIM(E138),"'","''")&amp;"') AND estado = 1 LIMIT 1)"&amp;", p_id_propietario =&gt; "&amp;IF(TRIM(F138&amp;"")="","NULL","(SELECT lo.id FROM gen_lista_opciones lo JOIN gen_lista l ON l.id = lo.id_lista WHERE l.nombre = 'PropietarioBalon' AND upper(lo.nombre) = upper('"&amp;SUBSTITUTE(TRIM(F138),"'","''")&amp;"') AND lo.estado = 1 LIMIT 1)")&amp;", p_id_cliente_propietario =&gt; "&amp;IF(F138="CLIENTE",IF(TRIM(G138&amp;"")="","NULL","(SELECT id FROM cli_clientes WHERE numero_documento = '"&amp;SUBSTITUTE(TRIM(G138),"'","''")&amp;"' AND estado = 1 LIMIT 1)"),"NULL")&amp;", p_id_planta =&gt; "&amp;IF(F138="PLANTA",IF(TRIM(G138&amp;"")="","NULL","(SELECT id FROM cli_clientes WHERE numero_documento = '"&amp;SUBSTITUTE(TRIM(G138),"'","''")&amp;"'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"&amp;IF(TRIM(J138&amp;"")="","NULL","(SELECT id FROM gen_almacen WHERE upper(nombre) = upper('"&amp;SUBSTITUTE(TRIM(J138),"'","''")&amp;"') AND estado = 1 LIMIT 1)")&amp;", p_id_cliente_ubicacion =&gt; "&amp;IF(TRIM(K138&amp;"")="","NULL","(SELECT id FROM cli_clientes WHERE numero_documento = '"&amp;SUBSTITUTE(TRIM(K138),"'","''")&amp;"' AND estado = 1 LIMIT 1)")&amp;", p_id_referencia =&gt; "&amp;IF(TRIM(J138&amp;"")&lt;&gt;"","(SELECT lo.id FROM gen_lista_opciones lo JOIN gen_lista l ON l.id = lo.id_lista WHERE l.nombre = 'ReferenciaCilindro' AND upper(lo.nombre) = 'ALMACEN' AND lo.estado = 1 LIMIT 1)",IF(TRIM(K138&amp;"")&lt;&gt;"","(SELECT lo.id FROM gen_lista_opciones lo JOIN gen_lista l ON l.id = lo.id_lista WHERE l.nombre = 'ReferenciaCilindro' AND upper(lo.nombre) = 'CLIENTE' AND lo.estado = 1 LIMIT 1)","NULL"))&amp;", p_anio_fabricacion =&gt; "&amp;IF(M138&amp;""="","NULL::smallint",M138&amp;"::smallint")&amp;", p_mes_fabricacion =&gt; "&amp;IF(N138&amp;""="","NULL::smallint",N138&amp;"::smallint")&amp;", p_fecha_ultima_prueba_hidrostatica =&gt; "&amp;IF(O138&amp;""="","NULL","'"&amp;YEAR(O138)&amp;"-"&amp;TEXT(MONTH(O138),"00")&amp;"-"&amp;TEXT(DAY(O138),"00")&amp;"'")&amp;", p_numero_serie =&gt; "&amp;IF(TRIM(Q138&amp;"")="","NULL","'"&amp;SUBSTITUTE(TRIM(Q138),"'","''")&amp;"'")&amp;", p_id_marca_cilindro =&gt; "&amp;IF(TRIM(R138&amp;"")="","NULL","(SELECT lo.id FROM gen_lista_opciones lo JOIN gen_lista l ON l.id = lo.id_lista WHERE l.nombre = 'MarcaCilindro' AND upper(lo.nombre) = upper('"&amp;SUBSTITUTE(TRIM(R138),"'","''")&amp;"') AND lo.estado = 1 LIMIT 1)")&amp;", p_id_organo_inspector =&gt; "&amp;IF(TRIM(S138&amp;"")="","NULL","(SELECT lo.id FROM gen_lista_opciones lo JOIN gen_lista l ON l.id = lo.id_lista WHERE l.nombre = 'OrganoInspectorCilindro' AND upper(lo.nombre) = upper('"&amp;SUBSTITUTE(TRIM(S138),"'","''")&amp;"') AND lo.estado = 1 LIMIT 1)")&amp;", p_organo_inspector_no_aplica =&gt; "&amp;IF(S138="NO_APLICA","TRUE","FALSE")&amp;", p_presion_actual =&gt; "&amp;IF(T138&amp;""="","NULL",SUBSTITUTE(T138&amp;"",",","."))&amp;", p_tipo_valvula =&gt; "&amp;IF(TRIM(U138&amp;"")="","NULL","'"&amp;SUBSTITUTE(TRIM(U138),"'","''")&amp;"'")&amp;", p_libro_cilindro =&gt; "&amp;IF(TRIM(V138&amp;"")="","NULL","'"&amp;SUBSTITUTE(TRIM(V138),"'","''")&amp;"'")&amp;", p_pagina_libro =&gt; "&amp;IF(W138&amp;""="","NULL",SUBSTITUTE(W138&amp;"",",","."))&amp;", p_observacion =&gt; "&amp;IF(TRIM(X138&amp;"")="","NULL","'"&amp;SUBSTITUTE(TRIM(X138),"'","''")&amp;"'")&amp;") AS resultado_balon_"&amp;ROW()&amp;";")</f>
        <v/>
      </c>
    </row>
    <row r="139" ht="15.75" customHeight="1" s="64">
      <c r="A139" s="36" t="inlineStr">
        <is>
          <t>135</t>
        </is>
      </c>
      <c r="B139" s="25">
        <f>IF(AND(C139="",D139="",E139=""),"",IF(C139="","FALTA código balón",IF(D139="","FALTA tipo balón",IF(E139="","FALTA gas",IF(F139="","FALTA propietario",IF(AND(C139&lt;&gt;"",SUMPRODUCT(--($C$5:$C$1200=C139))&gt;1),"CÓDIGO BALÓN DUPLICADO",IF(AND(OR(UPPER(F139)="PLANTA",UPPER(F139)="CLIENTE"),G139=""),"FALTA doc propietario/planta",IF(AND(UPPER(F139)="PLANTA",G139="10175332796"),"PLANTA no puede ser RUC empresa","OK"))))))))</f>
        <v/>
      </c>
      <c r="C139" s="23" t="inlineStr">
        <is>
          <t>20Y180078</t>
        </is>
      </c>
      <c r="D139" s="17" t="inlineStr">
        <is>
          <t>Nitrógeno 10 m³</t>
        </is>
      </c>
      <c r="E139" s="17" t="inlineStr">
        <is>
          <t>NITROGENO</t>
        </is>
      </c>
      <c r="F139" s="17" t="inlineStr">
        <is>
          <t>CLIENTE</t>
        </is>
      </c>
      <c r="G139" s="26" t="inlineStr">
        <is>
          <t>20480725931</t>
        </is>
      </c>
      <c r="H139" s="25">
        <f t="array" ref="H139">IF(G139="","",IFERROR(IF(INDEX(Clientes!$D$5:$D$549,MATCH(G139,Clientes!$C$5:$C$549,0))&lt;&gt;"",INDEX(Clientes!$D$5:$D$549,MATCH(G139,Clientes!$C$5:$C$549,0)),TRIM(INDEX(Clientes!$E$5:$E$549,MATCH(G139,Clientes!$C$5:$C$549,0))&amp;" "&amp;INDEX(Clientes!$F$5:$F$549,MATCH(G139,Clientes!$C$5:$C$549,0)))),"NO EXISTE en Clientes"))</f>
        <v/>
      </c>
      <c r="I139" s="17" t="inlineStr">
        <is>
          <t>DISPONIBLE</t>
        </is>
      </c>
      <c r="J139" s="17" t="inlineStr">
        <is>
          <t>ALMACEN PRINCIPAL</t>
        </is>
      </c>
      <c r="K139" s="23" t="n"/>
      <c r="L139" s="25">
        <f t="array" ref="L139">IF(K139="","",IFERROR(IF(INDEX(Clientes!$D$5:$D$549,MATCH(K139,Clientes!$C$5:$C$549,0))&lt;&gt;"",INDEX(Clientes!$D$5:$D$549,MATCH(K139,Clientes!$C$5:$C$549,0)),TRIM(INDEX(Clientes!$E$5:$E$549,MATCH(K139,Clientes!$C$5:$C$549,0))&amp;" "&amp;INDEX(Clientes!$F$5:$F$549,MATCH(K139,Clientes!$C$5:$C$549,0)))),"NO EXISTE en Clientes"))</f>
        <v/>
      </c>
      <c r="M139" s="17" t="n"/>
      <c r="N139" s="17" t="n"/>
      <c r="O139" s="42" t="n"/>
      <c r="P139" s="39">
        <f>IF(O139&lt;&gt;"",DATE(YEAR(O139)+10,MONTH(O139),1),IF(AND(M139&lt;&gt;"",N139&lt;&gt;""),DATE(M139+5,N139,1),""))</f>
        <v/>
      </c>
      <c r="Q139" s="23" t="n"/>
      <c r="R139" s="17" t="n"/>
      <c r="S139" s="17" t="n"/>
      <c r="T139" s="17" t="n"/>
      <c r="U139" s="17" t="n"/>
      <c r="V139" s="23" t="n"/>
      <c r="W139" s="17" t="n"/>
      <c r="X139" s="17" t="n"/>
      <c r="Y139" s="28">
        <f>IF(B139&lt;&gt;"OK","","SELECT bal_crear_balon(p_codigo_balon =&gt; "&amp;IF(TRIM(C139&amp;"")="","NULL","'"&amp;SUBSTITUTE(TRIM(C139),"'","''")&amp;"'")&amp;", p_id_tipo_balon =&gt; "&amp;"(SELECT id FROM bal_tipo_balon WHERE upper(nombre) = upper('"&amp;SUBSTITUTE(TRIM(D139),"'","''")&amp;"') AND estado = 1 LIMIT 1)"&amp;", p_id_producto_gas =&gt; "&amp;"(SELECT id FROM pro_producto WHERE es_gas = TRUE AND upper(nombre) = upper('"&amp;SUBSTITUTE(TRIM(E139),"'","''")&amp;"') AND estado = 1 LIMIT 1)"&amp;", p_id_propietario =&gt; "&amp;IF(TRIM(F139&amp;"")="","NULL","(SELECT lo.id FROM gen_lista_opciones lo JOIN gen_lista l ON l.id = lo.id_lista WHERE l.nombre = 'PropietarioBalon' AND upper(lo.nombre) = upper('"&amp;SUBSTITUTE(TRIM(F139),"'","''")&amp;"') AND lo.estado = 1 LIMIT 1)")&amp;", p_id_cliente_propietario =&gt; "&amp;IF(F139="CLIENTE",IF(TRIM(G139&amp;"")="","NULL","(SELECT id FROM cli_clientes WHERE numero_documento = '"&amp;SUBSTITUTE(TRIM(G139),"'","''")&amp;"' AND estado = 1 LIMIT 1)"),"NULL")&amp;", p_id_planta =&gt; "&amp;IF(F139="PLANTA",IF(TRIM(G139&amp;"")="","NULL","(SELECT id FROM cli_clientes WHERE numero_documento = '"&amp;SUBSTITUTE(TRIM(G139),"'","''")&amp;"'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"&amp;IF(TRIM(J139&amp;"")="","NULL","(SELECT id FROM gen_almacen WHERE upper(nombre) = upper('"&amp;SUBSTITUTE(TRIM(J139),"'","''")&amp;"') AND estado = 1 LIMIT 1)")&amp;", p_id_cliente_ubicacion =&gt; "&amp;IF(TRIM(K139&amp;"")="","NULL","(SELECT id FROM cli_clientes WHERE numero_documento = '"&amp;SUBSTITUTE(TRIM(K139),"'","''")&amp;"' AND estado = 1 LIMIT 1)")&amp;", p_id_referencia =&gt; "&amp;IF(TRIM(J139&amp;"")&lt;&gt;"","(SELECT lo.id FROM gen_lista_opciones lo JOIN gen_lista l ON l.id = lo.id_lista WHERE l.nombre = 'ReferenciaCilindro' AND upper(lo.nombre) = 'ALMACEN' AND lo.estado = 1 LIMIT 1)",IF(TRIM(K139&amp;"")&lt;&gt;"","(SELECT lo.id FROM gen_lista_opciones lo JOIN gen_lista l ON l.id = lo.id_lista WHERE l.nombre = 'ReferenciaCilindro' AND upper(lo.nombre) = 'CLIENTE' AND lo.estado = 1 LIMIT 1)","NULL"))&amp;", p_anio_fabricacion =&gt; "&amp;IF(M139&amp;""="","NULL::smallint",M139&amp;"::smallint")&amp;", p_mes_fabricacion =&gt; "&amp;IF(N139&amp;""="","NULL::smallint",N139&amp;"::smallint")&amp;", p_fecha_ultima_prueba_hidrostatica =&gt; "&amp;IF(O139&amp;""="","NULL","'"&amp;YEAR(O139)&amp;"-"&amp;TEXT(MONTH(O139),"00")&amp;"-"&amp;TEXT(DAY(O139),"00")&amp;"'")&amp;", p_numero_serie =&gt; "&amp;IF(TRIM(Q139&amp;"")="","NULL","'"&amp;SUBSTITUTE(TRIM(Q139),"'","''")&amp;"'")&amp;", p_id_marca_cilindro =&gt; "&amp;IF(TRIM(R139&amp;"")="","NULL","(SELECT lo.id FROM gen_lista_opciones lo JOIN gen_lista l ON l.id = lo.id_lista WHERE l.nombre = 'MarcaCilindro' AND upper(lo.nombre) = upper('"&amp;SUBSTITUTE(TRIM(R139),"'","''")&amp;"') AND lo.estado = 1 LIMIT 1)")&amp;", p_id_organo_inspector =&gt; "&amp;IF(TRIM(S139&amp;"")="","NULL","(SELECT lo.id FROM gen_lista_opciones lo JOIN gen_lista l ON l.id = lo.id_lista WHERE l.nombre = 'OrganoInspectorCilindro' AND upper(lo.nombre) = upper('"&amp;SUBSTITUTE(TRIM(S139),"'","''")&amp;"') AND lo.estado = 1 LIMIT 1)")&amp;", p_organo_inspector_no_aplica =&gt; "&amp;IF(S139="NO_APLICA","TRUE","FALSE")&amp;", p_presion_actual =&gt; "&amp;IF(T139&amp;""="","NULL",SUBSTITUTE(T139&amp;"",",","."))&amp;", p_tipo_valvula =&gt; "&amp;IF(TRIM(U139&amp;"")="","NULL","'"&amp;SUBSTITUTE(TRIM(U139),"'","''")&amp;"'")&amp;", p_libro_cilindro =&gt; "&amp;IF(TRIM(V139&amp;"")="","NULL","'"&amp;SUBSTITUTE(TRIM(V139),"'","''")&amp;"'")&amp;", p_pagina_libro =&gt; "&amp;IF(W139&amp;""="","NULL",SUBSTITUTE(W139&amp;"",",","."))&amp;", p_observacion =&gt; "&amp;IF(TRIM(X139&amp;"")="","NULL","'"&amp;SUBSTITUTE(TRIM(X139),"'","''")&amp;"'")&amp;") AS resultado_balon_"&amp;ROW()&amp;";")</f>
        <v/>
      </c>
    </row>
    <row r="140" ht="15.75" customHeight="1" s="64">
      <c r="A140" s="36" t="inlineStr">
        <is>
          <t>136</t>
        </is>
      </c>
      <c r="B140" s="25">
        <f>IF(AND(C140="",D140="",E140=""),"",IF(C140="","FALTA código balón",IF(D140="","FALTA tipo balón",IF(E140="","FALTA gas",IF(F140="","FALTA propietario",IF(AND(C140&lt;&gt;"",SUMPRODUCT(--($C$5:$C$1200=C140))&gt;1),"CÓDIGO BALÓN DUPLICADO",IF(AND(OR(UPPER(F140)="PLANTA",UPPER(F140)="CLIENTE"),G140=""),"FALTA doc propietario/planta",IF(AND(UPPER(F140)="PLANTA",G140="10175332796"),"PLANTA no puede ser RUC empresa","OK"))))))))</f>
        <v/>
      </c>
      <c r="C140" s="23" t="inlineStr">
        <is>
          <t>15454330</t>
        </is>
      </c>
      <c r="D140" s="17" t="inlineStr">
        <is>
          <t>Nitrógeno 10 m³</t>
        </is>
      </c>
      <c r="E140" s="17" t="inlineStr">
        <is>
          <t>NITROGENO</t>
        </is>
      </c>
      <c r="F140" s="17" t="inlineStr">
        <is>
          <t>CLIENTE</t>
        </is>
      </c>
      <c r="G140" s="26" t="inlineStr">
        <is>
          <t>20480725931</t>
        </is>
      </c>
      <c r="H140" s="25">
        <f t="array" ref="H140">IF(G140="","",IFERROR(IF(INDEX(Clientes!$D$5:$D$549,MATCH(G140,Clientes!$C$5:$C$549,0))&lt;&gt;"",INDEX(Clientes!$D$5:$D$549,MATCH(G140,Clientes!$C$5:$C$549,0)),TRIM(INDEX(Clientes!$E$5:$E$549,MATCH(G140,Clientes!$C$5:$C$549,0))&amp;" "&amp;INDEX(Clientes!$F$5:$F$549,MATCH(G140,Clientes!$C$5:$C$549,0)))),"NO EXISTE en Clientes"))</f>
        <v/>
      </c>
      <c r="I140" s="17" t="inlineStr">
        <is>
          <t>DISPONIBLE</t>
        </is>
      </c>
      <c r="J140" s="17" t="inlineStr">
        <is>
          <t>ALMACEN PRINCIPAL</t>
        </is>
      </c>
      <c r="K140" s="23" t="n"/>
      <c r="L140" s="25">
        <f t="array" ref="L140">IF(K140="","",IFERROR(IF(INDEX(Clientes!$D$5:$D$549,MATCH(K140,Clientes!$C$5:$C$549,0))&lt;&gt;"",INDEX(Clientes!$D$5:$D$549,MATCH(K140,Clientes!$C$5:$C$549,0)),TRIM(INDEX(Clientes!$E$5:$E$549,MATCH(K140,Clientes!$C$5:$C$549,0))&amp;" "&amp;INDEX(Clientes!$F$5:$F$549,MATCH(K140,Clientes!$C$5:$C$549,0)))),"NO EXISTE en Clientes"))</f>
        <v/>
      </c>
      <c r="M140" s="17" t="n"/>
      <c r="N140" s="17" t="n"/>
      <c r="O140" s="42" t="n"/>
      <c r="P140" s="39">
        <f>IF(O140&lt;&gt;"",DATE(YEAR(O140)+10,MONTH(O140),1),IF(AND(M140&lt;&gt;"",N140&lt;&gt;""),DATE(M140+5,N140,1),""))</f>
        <v/>
      </c>
      <c r="Q140" s="23" t="n"/>
      <c r="R140" s="17" t="n"/>
      <c r="S140" s="17" t="n"/>
      <c r="T140" s="17" t="n"/>
      <c r="U140" s="17" t="n"/>
      <c r="V140" s="23" t="n"/>
      <c r="W140" s="17" t="n"/>
      <c r="X140" s="17" t="n"/>
      <c r="Y140" s="28">
        <f>IF(B140&lt;&gt;"OK","","SELECT bal_crear_balon(p_codigo_balon =&gt; "&amp;IF(TRIM(C140&amp;"")="","NULL","'"&amp;SUBSTITUTE(TRIM(C140),"'","''")&amp;"'")&amp;", p_id_tipo_balon =&gt; "&amp;"(SELECT id FROM bal_tipo_balon WHERE upper(nombre) = upper('"&amp;SUBSTITUTE(TRIM(D140),"'","''")&amp;"') AND estado = 1 LIMIT 1)"&amp;", p_id_producto_gas =&gt; "&amp;"(SELECT id FROM pro_producto WHERE es_gas = TRUE AND upper(nombre) = upper('"&amp;SUBSTITUTE(TRIM(E140),"'","''")&amp;"') AND estado = 1 LIMIT 1)"&amp;", p_id_propietario =&gt; "&amp;IF(TRIM(F140&amp;"")="","NULL","(SELECT lo.id FROM gen_lista_opciones lo JOIN gen_lista l ON l.id = lo.id_lista WHERE l.nombre = 'PropietarioBalon' AND upper(lo.nombre) = upper('"&amp;SUBSTITUTE(TRIM(F140),"'","''")&amp;"') AND lo.estado = 1 LIMIT 1)")&amp;", p_id_cliente_propietario =&gt; "&amp;IF(F140="CLIENTE",IF(TRIM(G140&amp;"")="","NULL","(SELECT id FROM cli_clientes WHERE numero_documento = '"&amp;SUBSTITUTE(TRIM(G140),"'","''")&amp;"' AND estado = 1 LIMIT 1)"),"NULL")&amp;", p_id_planta =&gt; "&amp;IF(F140="PLANTA",IF(TRIM(G140&amp;"")="","NULL","(SELECT id FROM cli_clientes WHERE numero_documento = '"&amp;SUBSTITUTE(TRIM(G140),"'","''")&amp;"'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"&amp;IF(TRIM(J140&amp;"")="","NULL","(SELECT id FROM gen_almacen WHERE upper(nombre) = upper('"&amp;SUBSTITUTE(TRIM(J140),"'","''")&amp;"') AND estado = 1 LIMIT 1)")&amp;", p_id_cliente_ubicacion =&gt; "&amp;IF(TRIM(K140&amp;"")="","NULL","(SELECT id FROM cli_clientes WHERE numero_documento = '"&amp;SUBSTITUTE(TRIM(K140),"'","''")&amp;"' AND estado = 1 LIMIT 1)")&amp;", p_id_referencia =&gt; "&amp;IF(TRIM(J140&amp;"")&lt;&gt;"","(SELECT lo.id FROM gen_lista_opciones lo JOIN gen_lista l ON l.id = lo.id_lista WHERE l.nombre = 'ReferenciaCilindro' AND upper(lo.nombre) = 'ALMACEN' AND lo.estado = 1 LIMIT 1)",IF(TRIM(K140&amp;"")&lt;&gt;"","(SELECT lo.id FROM gen_lista_opciones lo JOIN gen_lista l ON l.id = lo.id_lista WHERE l.nombre = 'ReferenciaCilindro' AND upper(lo.nombre) = 'CLIENTE' AND lo.estado = 1 LIMIT 1)","NULL"))&amp;", p_anio_fabricacion =&gt; "&amp;IF(M140&amp;""="","NULL::smallint",M140&amp;"::smallint")&amp;", p_mes_fabricacion =&gt; "&amp;IF(N140&amp;""="","NULL::smallint",N140&amp;"::smallint")&amp;", p_fecha_ultima_prueba_hidrostatica =&gt; "&amp;IF(O140&amp;""="","NULL","'"&amp;YEAR(O140)&amp;"-"&amp;TEXT(MONTH(O140),"00")&amp;"-"&amp;TEXT(DAY(O140),"00")&amp;"'")&amp;", p_numero_serie =&gt; "&amp;IF(TRIM(Q140&amp;"")="","NULL","'"&amp;SUBSTITUTE(TRIM(Q140),"'","''")&amp;"'")&amp;", p_id_marca_cilindro =&gt; "&amp;IF(TRIM(R140&amp;"")="","NULL","(SELECT lo.id FROM gen_lista_opciones lo JOIN gen_lista l ON l.id = lo.id_lista WHERE l.nombre = 'MarcaCilindro' AND upper(lo.nombre) = upper('"&amp;SUBSTITUTE(TRIM(R140),"'","''")&amp;"') AND lo.estado = 1 LIMIT 1)")&amp;", p_id_organo_inspector =&gt; "&amp;IF(TRIM(S140&amp;"")="","NULL","(SELECT lo.id FROM gen_lista_opciones lo JOIN gen_lista l ON l.id = lo.id_lista WHERE l.nombre = 'OrganoInspectorCilindro' AND upper(lo.nombre) = upper('"&amp;SUBSTITUTE(TRIM(S140),"'","''")&amp;"') AND lo.estado = 1 LIMIT 1)")&amp;", p_organo_inspector_no_aplica =&gt; "&amp;IF(S140="NO_APLICA","TRUE","FALSE")&amp;", p_presion_actual =&gt; "&amp;IF(T140&amp;""="","NULL",SUBSTITUTE(T140&amp;"",",","."))&amp;", p_tipo_valvula =&gt; "&amp;IF(TRIM(U140&amp;"")="","NULL","'"&amp;SUBSTITUTE(TRIM(U140),"'","''")&amp;"'")&amp;", p_libro_cilindro =&gt; "&amp;IF(TRIM(V140&amp;"")="","NULL","'"&amp;SUBSTITUTE(TRIM(V140),"'","''")&amp;"'")&amp;", p_pagina_libro =&gt; "&amp;IF(W140&amp;""="","NULL",SUBSTITUTE(W140&amp;"",",","."))&amp;", p_observacion =&gt; "&amp;IF(TRIM(X140&amp;"")="","NULL","'"&amp;SUBSTITUTE(TRIM(X140),"'","''")&amp;"'")&amp;") AS resultado_balon_"&amp;ROW()&amp;";")</f>
        <v/>
      </c>
    </row>
    <row r="141" ht="15.75" customHeight="1" s="64">
      <c r="A141" s="36" t="inlineStr">
        <is>
          <t>137</t>
        </is>
      </c>
      <c r="B141" s="25">
        <f>IF(AND(C141="",D141="",E141=""),"",IF(C141="","FALTA código balón",IF(D141="","FALTA tipo balón",IF(E141="","FALTA gas",IF(F141="","FALTA propietario",IF(AND(C141&lt;&gt;"",SUMPRODUCT(--($C$5:$C$1200=C141))&gt;1),"CÓDIGO BALÓN DUPLICADO",IF(AND(OR(UPPER(F141)="PLANTA",UPPER(F141)="CLIENTE"),G141=""),"FALTA doc propietario/planta",IF(AND(UPPER(F141)="PLANTA",G141="10175332796"),"PLANTA no puede ser RUC empresa","OK"))))))))</f>
        <v/>
      </c>
      <c r="C141" s="23" t="inlineStr">
        <is>
          <t>K5714095</t>
        </is>
      </c>
      <c r="D141" s="17" t="inlineStr">
        <is>
          <t>Oxígeno Industrial 10 m³</t>
        </is>
      </c>
      <c r="E141" s="17" t="inlineStr">
        <is>
          <t>OXIGENO INDUSTRIAL</t>
        </is>
      </c>
      <c r="F141" s="17" t="inlineStr">
        <is>
          <t>CLIENTE</t>
        </is>
      </c>
      <c r="G141" s="23" t="inlineStr">
        <is>
          <t>20615458440</t>
        </is>
      </c>
      <c r="H141" s="25">
        <f t="array" ref="H141">IF(G141="","",IFERROR(IF(INDEX(Clientes!$D$5:$D$549,MATCH(G141,Clientes!$C$5:$C$549,0))&lt;&gt;"",INDEX(Clientes!$D$5:$D$549,MATCH(G141,Clientes!$C$5:$C$549,0)),TRIM(INDEX(Clientes!$E$5:$E$549,MATCH(G141,Clientes!$C$5:$C$549,0))&amp;" "&amp;INDEX(Clientes!$F$5:$F$549,MATCH(G141,Clientes!$C$5:$C$549,0)))),"NO EXISTE en Clientes"))</f>
        <v/>
      </c>
      <c r="I141" s="17" t="inlineStr">
        <is>
          <t>DISPONIBLE</t>
        </is>
      </c>
      <c r="J141" s="17" t="inlineStr">
        <is>
          <t>ALMACEN PRINCIPAL</t>
        </is>
      </c>
      <c r="K141" s="23" t="n"/>
      <c r="L141" s="25">
        <f t="array" ref="L141">IF(K141="","",IFERROR(IF(INDEX(Clientes!$D$5:$D$549,MATCH(K141,Clientes!$C$5:$C$549,0))&lt;&gt;"",INDEX(Clientes!$D$5:$D$549,MATCH(K141,Clientes!$C$5:$C$549,0)),TRIM(INDEX(Clientes!$E$5:$E$549,MATCH(K141,Clientes!$C$5:$C$549,0))&amp;" "&amp;INDEX(Clientes!$F$5:$F$549,MATCH(K141,Clientes!$C$5:$C$549,0)))),"NO EXISTE en Clientes"))</f>
        <v/>
      </c>
      <c r="M141" s="17" t="n"/>
      <c r="N141" s="17" t="n"/>
      <c r="O141" s="42" t="n"/>
      <c r="P141" s="39">
        <f>IF(O141&lt;&gt;"",DATE(YEAR(O141)+10,MONTH(O141),1),IF(AND(M141&lt;&gt;"",N141&lt;&gt;""),DATE(M141+5,N141,1),""))</f>
        <v/>
      </c>
      <c r="Q141" s="23" t="n"/>
      <c r="R141" s="17" t="n"/>
      <c r="S141" s="17" t="n"/>
      <c r="T141" s="17" t="n"/>
      <c r="U141" s="17" t="n"/>
      <c r="V141" s="23" t="n"/>
      <c r="W141" s="17" t="n"/>
      <c r="X141" s="17" t="inlineStr">
        <is>
          <t>OYOTUN</t>
        </is>
      </c>
      <c r="Y141" s="28">
        <f>IF(B141&lt;&gt;"OK","","SELECT bal_crear_balon(p_codigo_balon =&gt; "&amp;IF(TRIM(C141&amp;"")="","NULL","'"&amp;SUBSTITUTE(TRIM(C141),"'","''")&amp;"'")&amp;", p_id_tipo_balon =&gt; "&amp;"(SELECT id FROM bal_tipo_balon WHERE upper(nombre) = upper('"&amp;SUBSTITUTE(TRIM(D141),"'","''")&amp;"') AND estado = 1 LIMIT 1)"&amp;", p_id_producto_gas =&gt; "&amp;"(SELECT id FROM pro_producto WHERE es_gas = TRUE AND upper(nombre) = upper('"&amp;SUBSTITUTE(TRIM(E141),"'","''")&amp;"') AND estado = 1 LIMIT 1)"&amp;", p_id_propietario =&gt; "&amp;IF(TRIM(F141&amp;"")="","NULL","(SELECT lo.id FROM gen_lista_opciones lo JOIN gen_lista l ON l.id = lo.id_lista WHERE l.nombre = 'PropietarioBalon' AND upper(lo.nombre) = upper('"&amp;SUBSTITUTE(TRIM(F141),"'","''")&amp;"') AND lo.estado = 1 LIMIT 1)")&amp;", p_id_cliente_propietario =&gt; "&amp;IF(F141="CLIENTE",IF(TRIM(G141&amp;"")="","NULL","(SELECT id FROM cli_clientes WHERE numero_documento = '"&amp;SUBSTITUTE(TRIM(G141),"'","''")&amp;"' AND estado = 1 LIMIT 1)"),"NULL")&amp;", p_id_planta =&gt; "&amp;IF(F141="PLANTA",IF(TRIM(G141&amp;"")="","NULL","(SELECT id FROM cli_clientes WHERE numero_documento = '"&amp;SUBSTITUTE(TRIM(G141),"'","''")&amp;"'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"&amp;IF(TRIM(J141&amp;"")="","NULL","(SELECT id FROM gen_almacen WHERE upper(nombre) = upper('"&amp;SUBSTITUTE(TRIM(J141),"'","''")&amp;"') AND estado = 1 LIMIT 1)")&amp;", p_id_cliente_ubicacion =&gt; "&amp;IF(TRIM(K141&amp;"")="","NULL","(SELECT id FROM cli_clientes WHERE numero_documento = '"&amp;SUBSTITUTE(TRIM(K141),"'","''")&amp;"' AND estado = 1 LIMIT 1)")&amp;", p_id_referencia =&gt; "&amp;IF(TRIM(J141&amp;"")&lt;&gt;"","(SELECT lo.id FROM gen_lista_opciones lo JOIN gen_lista l ON l.id = lo.id_lista WHERE l.nombre = 'ReferenciaCilindro' AND upper(lo.nombre) = 'ALMACEN' AND lo.estado = 1 LIMIT 1)",IF(TRIM(K141&amp;"")&lt;&gt;"","(SELECT lo.id FROM gen_lista_opciones lo JOIN gen_lista l ON l.id = lo.id_lista WHERE l.nombre = 'ReferenciaCilindro' AND upper(lo.nombre) = 'CLIENTE' AND lo.estado = 1 LIMIT 1)","NULL"))&amp;", p_anio_fabricacion =&gt; "&amp;IF(M141&amp;""="","NULL::smallint",M141&amp;"::smallint")&amp;", p_mes_fabricacion =&gt; "&amp;IF(N141&amp;""="","NULL::smallint",N141&amp;"::smallint")&amp;", p_fecha_ultima_prueba_hidrostatica =&gt; "&amp;IF(O141&amp;""="","NULL","'"&amp;YEAR(O141)&amp;"-"&amp;TEXT(MONTH(O141),"00")&amp;"-"&amp;TEXT(DAY(O141),"00")&amp;"'")&amp;", p_numero_serie =&gt; "&amp;IF(TRIM(Q141&amp;"")="","NULL","'"&amp;SUBSTITUTE(TRIM(Q141),"'","''")&amp;"'")&amp;", p_id_marca_cilindro =&gt; "&amp;IF(TRIM(R141&amp;"")="","NULL","(SELECT lo.id FROM gen_lista_opciones lo JOIN gen_lista l ON l.id = lo.id_lista WHERE l.nombre = 'MarcaCilindro' AND upper(lo.nombre) = upper('"&amp;SUBSTITUTE(TRIM(R141),"'","''")&amp;"') AND lo.estado = 1 LIMIT 1)")&amp;", p_id_organo_inspector =&gt; "&amp;IF(TRIM(S141&amp;"")="","NULL","(SELECT lo.id FROM gen_lista_opciones lo JOIN gen_lista l ON l.id = lo.id_lista WHERE l.nombre = 'OrganoInspectorCilindro' AND upper(lo.nombre) = upper('"&amp;SUBSTITUTE(TRIM(S141),"'","''")&amp;"') AND lo.estado = 1 LIMIT 1)")&amp;", p_organo_inspector_no_aplica =&gt; "&amp;IF(S141="NO_APLICA","TRUE","FALSE")&amp;", p_presion_actual =&gt; "&amp;IF(T141&amp;""="","NULL",SUBSTITUTE(T141&amp;"",",","."))&amp;", p_tipo_valvula =&gt; "&amp;IF(TRIM(U141&amp;"")="","NULL","'"&amp;SUBSTITUTE(TRIM(U141),"'","''")&amp;"'")&amp;", p_libro_cilindro =&gt; "&amp;IF(TRIM(V141&amp;"")="","NULL","'"&amp;SUBSTITUTE(TRIM(V141),"'","''")&amp;"'")&amp;", p_pagina_libro =&gt; "&amp;IF(W141&amp;""="","NULL",SUBSTITUTE(W141&amp;"",",","."))&amp;", p_observacion =&gt; "&amp;IF(TRIM(X141&amp;"")="","NULL","'"&amp;SUBSTITUTE(TRIM(X141),"'","''")&amp;"'")&amp;") AS resultado_balon_"&amp;ROW()&amp;";")</f>
        <v/>
      </c>
    </row>
    <row r="142" ht="15.75" customHeight="1" s="64">
      <c r="A142" s="36" t="inlineStr">
        <is>
          <t>138</t>
        </is>
      </c>
      <c r="B142" s="25">
        <f>IF(AND(C142="",D142="",E142=""),"",IF(C142="","FALTA código balón",IF(D142="","FALTA tipo balón",IF(E142="","FALTA gas",IF(F142="","FALTA propietario",IF(AND(C142&lt;&gt;"",SUMPRODUCT(--($C$5:$C$1200=C142))&gt;1),"CÓDIGO BALÓN DUPLICADO",IF(AND(OR(UPPER(F142)="PLANTA",UPPER(F142)="CLIENTE"),G142=""),"FALTA doc propietario/planta",IF(AND(UPPER(F142)="PLANTA",G142="10175332796"),"PLANTA no puede ser RUC empresa","OK"))))))))</f>
        <v/>
      </c>
      <c r="C142" s="23" t="inlineStr">
        <is>
          <t>21Y195129</t>
        </is>
      </c>
      <c r="D142" s="17" t="inlineStr">
        <is>
          <t>Oxígeno Industrial 10 m³</t>
        </is>
      </c>
      <c r="E142" s="17" t="inlineStr">
        <is>
          <t>OXIGENO INDUSTRIAL</t>
        </is>
      </c>
      <c r="F142" s="17" t="inlineStr">
        <is>
          <t>CLIENTE</t>
        </is>
      </c>
      <c r="G142" s="23" t="inlineStr">
        <is>
          <t>20615458440</t>
        </is>
      </c>
      <c r="H142" s="25">
        <f t="array" ref="H142">IF(G142="","",IFERROR(IF(INDEX(Clientes!$D$5:$D$549,MATCH(G142,Clientes!$C$5:$C$549,0))&lt;&gt;"",INDEX(Clientes!$D$5:$D$549,MATCH(G142,Clientes!$C$5:$C$549,0)),TRIM(INDEX(Clientes!$E$5:$E$549,MATCH(G142,Clientes!$C$5:$C$549,0))&amp;" "&amp;INDEX(Clientes!$F$5:$F$549,MATCH(G142,Clientes!$C$5:$C$549,0)))),"NO EXISTE en Clientes"))</f>
        <v/>
      </c>
      <c r="I142" s="17" t="inlineStr">
        <is>
          <t>DISPONIBLE</t>
        </is>
      </c>
      <c r="J142" s="17" t="inlineStr">
        <is>
          <t>ALMACEN PRINCIPAL</t>
        </is>
      </c>
      <c r="K142" s="23" t="n"/>
      <c r="L142" s="25">
        <f t="array" ref="L142">IF(K142="","",IFERROR(IF(INDEX(Clientes!$D$5:$D$549,MATCH(K142,Clientes!$C$5:$C$549,0))&lt;&gt;"",INDEX(Clientes!$D$5:$D$549,MATCH(K142,Clientes!$C$5:$C$549,0)),TRIM(INDEX(Clientes!$E$5:$E$549,MATCH(K142,Clientes!$C$5:$C$549,0))&amp;" "&amp;INDEX(Clientes!$F$5:$F$549,MATCH(K142,Clientes!$C$5:$C$549,0)))),"NO EXISTE en Clientes"))</f>
        <v/>
      </c>
      <c r="M142" s="17" t="n"/>
      <c r="N142" s="17" t="n"/>
      <c r="O142" s="42" t="n"/>
      <c r="P142" s="39">
        <f>IF(O142&lt;&gt;"",DATE(YEAR(O142)+10,MONTH(O142),1),IF(AND(M142&lt;&gt;"",N142&lt;&gt;""),DATE(M142+5,N142,1),""))</f>
        <v/>
      </c>
      <c r="Q142" s="23" t="n"/>
      <c r="R142" s="17" t="n"/>
      <c r="S142" s="17" t="n"/>
      <c r="T142" s="17" t="n"/>
      <c r="U142" s="17" t="n"/>
      <c r="V142" s="23" t="n"/>
      <c r="W142" s="17" t="n"/>
      <c r="X142" s="17" t="inlineStr">
        <is>
          <t>OYOTUN</t>
        </is>
      </c>
      <c r="Y142" s="28">
        <f>IF(B142&lt;&gt;"OK","","SELECT bal_crear_balon(p_codigo_balon =&gt; "&amp;IF(TRIM(C142&amp;"")="","NULL","'"&amp;SUBSTITUTE(TRIM(C142),"'","''")&amp;"'")&amp;", p_id_tipo_balon =&gt; "&amp;"(SELECT id FROM bal_tipo_balon WHERE upper(nombre) = upper('"&amp;SUBSTITUTE(TRIM(D142),"'","''")&amp;"') AND estado = 1 LIMIT 1)"&amp;", p_id_producto_gas =&gt; "&amp;"(SELECT id FROM pro_producto WHERE es_gas = TRUE AND upper(nombre) = upper('"&amp;SUBSTITUTE(TRIM(E142),"'","''")&amp;"') AND estado = 1 LIMIT 1)"&amp;", p_id_propietario =&gt; "&amp;IF(TRIM(F142&amp;"")="","NULL","(SELECT lo.id FROM gen_lista_opciones lo JOIN gen_lista l ON l.id = lo.id_lista WHERE l.nombre = 'PropietarioBalon' AND upper(lo.nombre) = upper('"&amp;SUBSTITUTE(TRIM(F142),"'","''")&amp;"') AND lo.estado = 1 LIMIT 1)")&amp;", p_id_cliente_propietario =&gt; "&amp;IF(F142="CLIENTE",IF(TRIM(G142&amp;"")="","NULL","(SELECT id FROM cli_clientes WHERE numero_documento = '"&amp;SUBSTITUTE(TRIM(G142),"'","''")&amp;"' AND estado = 1 LIMIT 1)"),"NULL")&amp;", p_id_planta =&gt; "&amp;IF(F142="PLANTA",IF(TRIM(G142&amp;"")="","NULL","(SELECT id FROM cli_clientes WHERE numero_documento = '"&amp;SUBSTITUTE(TRIM(G142),"'","''")&amp;"'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"&amp;IF(TRIM(J142&amp;"")="","NULL","(SELECT id FROM gen_almacen WHERE upper(nombre) = upper('"&amp;SUBSTITUTE(TRIM(J142),"'","''")&amp;"') AND estado = 1 LIMIT 1)")&amp;", p_id_cliente_ubicacion =&gt; "&amp;IF(TRIM(K142&amp;"")="","NULL","(SELECT id FROM cli_clientes WHERE numero_documento = '"&amp;SUBSTITUTE(TRIM(K142),"'","''")&amp;"' AND estado = 1 LIMIT 1)")&amp;", p_id_referencia =&gt; "&amp;IF(TRIM(J142&amp;"")&lt;&gt;"","(SELECT lo.id FROM gen_lista_opciones lo JOIN gen_lista l ON l.id = lo.id_lista WHERE l.nombre = 'ReferenciaCilindro' AND upper(lo.nombre) = 'ALMACEN' AND lo.estado = 1 LIMIT 1)",IF(TRIM(K142&amp;"")&lt;&gt;"","(SELECT lo.id FROM gen_lista_opciones lo JOIN gen_lista l ON l.id = lo.id_lista WHERE l.nombre = 'ReferenciaCilindro' AND upper(lo.nombre) = 'CLIENTE' AND lo.estado = 1 LIMIT 1)","NULL"))&amp;", p_anio_fabricacion =&gt; "&amp;IF(M142&amp;""="","NULL::smallint",M142&amp;"::smallint")&amp;", p_mes_fabricacion =&gt; "&amp;IF(N142&amp;""="","NULL::smallint",N142&amp;"::smallint")&amp;", p_fecha_ultima_prueba_hidrostatica =&gt; "&amp;IF(O142&amp;""="","NULL","'"&amp;YEAR(O142)&amp;"-"&amp;TEXT(MONTH(O142),"00")&amp;"-"&amp;TEXT(DAY(O142),"00")&amp;"'")&amp;", p_numero_serie =&gt; "&amp;IF(TRIM(Q142&amp;"")="","NULL","'"&amp;SUBSTITUTE(TRIM(Q142),"'","''")&amp;"'")&amp;", p_id_marca_cilindro =&gt; "&amp;IF(TRIM(R142&amp;"")="","NULL","(SELECT lo.id FROM gen_lista_opciones lo JOIN gen_lista l ON l.id = lo.id_lista WHERE l.nombre = 'MarcaCilindro' AND upper(lo.nombre) = upper('"&amp;SUBSTITUTE(TRIM(R142),"'","''")&amp;"') AND lo.estado = 1 LIMIT 1)")&amp;", p_id_organo_inspector =&gt; "&amp;IF(TRIM(S142&amp;"")="","NULL","(SELECT lo.id FROM gen_lista_opciones lo JOIN gen_lista l ON l.id = lo.id_lista WHERE l.nombre = 'OrganoInspectorCilindro' AND upper(lo.nombre) = upper('"&amp;SUBSTITUTE(TRIM(S142),"'","''")&amp;"') AND lo.estado = 1 LIMIT 1)")&amp;", p_organo_inspector_no_aplica =&gt; "&amp;IF(S142="NO_APLICA","TRUE","FALSE")&amp;", p_presion_actual =&gt; "&amp;IF(T142&amp;""="","NULL",SUBSTITUTE(T142&amp;"",",","."))&amp;", p_tipo_valvula =&gt; "&amp;IF(TRIM(U142&amp;"")="","NULL","'"&amp;SUBSTITUTE(TRIM(U142),"'","''")&amp;"'")&amp;", p_libro_cilindro =&gt; "&amp;IF(TRIM(V142&amp;"")="","NULL","'"&amp;SUBSTITUTE(TRIM(V142),"'","''")&amp;"'")&amp;", p_pagina_libro =&gt; "&amp;IF(W142&amp;""="","NULL",SUBSTITUTE(W142&amp;"",",","."))&amp;", p_observacion =&gt; "&amp;IF(TRIM(X142&amp;"")="","NULL","'"&amp;SUBSTITUTE(TRIM(X142),"'","''")&amp;"'")&amp;") AS resultado_balon_"&amp;ROW()&amp;";")</f>
        <v/>
      </c>
    </row>
    <row r="143" ht="15.75" customHeight="1" s="64">
      <c r="A143" s="36" t="inlineStr">
        <is>
          <t>139</t>
        </is>
      </c>
      <c r="B143" s="25">
        <f>IF(AND(C143="",D143="",E143=""),"",IF(C143="","FALTA código balón",IF(D143="","FALTA tipo balón",IF(E143="","FALTA gas",IF(F143="","FALTA propietario",IF(AND(C143&lt;&gt;"",SUMPRODUCT(--($C$5:$C$1200=C143))&gt;1),"CÓDIGO BALÓN DUPLICADO",IF(AND(OR(UPPER(F143)="PLANTA",UPPER(F143)="CLIENTE"),G143=""),"FALTA doc propietario/planta",IF(AND(UPPER(F143)="PLANTA",G143="10175332796"),"PLANTA no puede ser RUC empresa","OK"))))))))</f>
        <v/>
      </c>
      <c r="C143" s="23" t="inlineStr">
        <is>
          <t>121Y433048</t>
        </is>
      </c>
      <c r="D143" s="17" t="inlineStr">
        <is>
          <t>Nitrógeno 10 m³</t>
        </is>
      </c>
      <c r="E143" s="17" t="inlineStr">
        <is>
          <t>NITROGENO</t>
        </is>
      </c>
      <c r="F143" s="17" t="inlineStr">
        <is>
          <t>CLIENTE</t>
        </is>
      </c>
      <c r="G143" s="26" t="inlineStr">
        <is>
          <t>20602694853</t>
        </is>
      </c>
      <c r="H143" s="25">
        <f t="array" ref="H143">IF(G143="","",IFERROR(IF(INDEX(Clientes!$D$5:$D$549,MATCH(G143,Clientes!$C$5:$C$549,0))&lt;&gt;"",INDEX(Clientes!$D$5:$D$549,MATCH(G143,Clientes!$C$5:$C$549,0)),TRIM(INDEX(Clientes!$E$5:$E$549,MATCH(G143,Clientes!$C$5:$C$549,0))&amp;" "&amp;INDEX(Clientes!$F$5:$F$549,MATCH(G143,Clientes!$C$5:$C$549,0)))),"NO EXISTE en Clientes"))</f>
        <v/>
      </c>
      <c r="I143" s="17" t="inlineStr">
        <is>
          <t>DISPONIBLE</t>
        </is>
      </c>
      <c r="J143" s="17" t="inlineStr">
        <is>
          <t>ALMACEN PRINCIPAL</t>
        </is>
      </c>
      <c r="K143" s="23" t="n"/>
      <c r="L143" s="25">
        <f t="array" ref="L143">IF(K143="","",IFERROR(IF(INDEX(Clientes!$D$5:$D$549,MATCH(K143,Clientes!$C$5:$C$549,0))&lt;&gt;"",INDEX(Clientes!$D$5:$D$549,MATCH(K143,Clientes!$C$5:$C$549,0)),TRIM(INDEX(Clientes!$E$5:$E$549,MATCH(K143,Clientes!$C$5:$C$549,0))&amp;" "&amp;INDEX(Clientes!$F$5:$F$549,MATCH(K143,Clientes!$C$5:$C$549,0)))),"NO EXISTE en Clientes"))</f>
        <v/>
      </c>
      <c r="M143" s="17" t="n"/>
      <c r="N143" s="17" t="n"/>
      <c r="O143" s="42" t="n"/>
      <c r="P143" s="39">
        <f>IF(O143&lt;&gt;"",DATE(YEAR(O143)+10,MONTH(O143),1),IF(AND(M143&lt;&gt;"",N143&lt;&gt;""),DATE(M143+5,N143,1),""))</f>
        <v/>
      </c>
      <c r="Q143" s="23" t="n"/>
      <c r="R143" s="17" t="n"/>
      <c r="S143" s="17" t="n"/>
      <c r="T143" s="17" t="n"/>
      <c r="U143" s="17" t="n"/>
      <c r="V143" s="23" t="n"/>
      <c r="W143" s="17" t="n"/>
      <c r="X143" s="17" t="n"/>
      <c r="Y143" s="28">
        <f>IF(B143&lt;&gt;"OK","","SELECT bal_crear_balon(p_codigo_balon =&gt; "&amp;IF(TRIM(C143&amp;"")="","NULL","'"&amp;SUBSTITUTE(TRIM(C143),"'","''")&amp;"'")&amp;", p_id_tipo_balon =&gt; "&amp;"(SELECT id FROM bal_tipo_balon WHERE upper(nombre) = upper('"&amp;SUBSTITUTE(TRIM(D143),"'","''")&amp;"') AND estado = 1 LIMIT 1)"&amp;", p_id_producto_gas =&gt; "&amp;"(SELECT id FROM pro_producto WHERE es_gas = TRUE AND upper(nombre) = upper('"&amp;SUBSTITUTE(TRIM(E143),"'","''")&amp;"') AND estado = 1 LIMIT 1)"&amp;", p_id_propietario =&gt; "&amp;IF(TRIM(F143&amp;"")="","NULL","(SELECT lo.id FROM gen_lista_opciones lo JOIN gen_lista l ON l.id = lo.id_lista WHERE l.nombre = 'PropietarioBalon' AND upper(lo.nombre) = upper('"&amp;SUBSTITUTE(TRIM(F143),"'","''")&amp;"') AND lo.estado = 1 LIMIT 1)")&amp;", p_id_cliente_propietario =&gt; "&amp;IF(F143="CLIENTE",IF(TRIM(G143&amp;"")="","NULL","(SELECT id FROM cli_clientes WHERE numero_documento = '"&amp;SUBSTITUTE(TRIM(G143),"'","''")&amp;"' AND estado = 1 LIMIT 1)"),"NULL")&amp;", p_id_planta =&gt; "&amp;IF(F143="PLANTA",IF(TRIM(G143&amp;"")="","NULL","(SELECT id FROM cli_clientes WHERE numero_documento = '"&amp;SUBSTITUTE(TRIM(G143),"'","''")&amp;"'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"&amp;IF(TRIM(J143&amp;"")="","NULL","(SELECT id FROM gen_almacen WHERE upper(nombre) = upper('"&amp;SUBSTITUTE(TRIM(J143),"'","''")&amp;"') AND estado = 1 LIMIT 1)")&amp;", p_id_cliente_ubicacion =&gt; "&amp;IF(TRIM(K143&amp;"")="","NULL","(SELECT id FROM cli_clientes WHERE numero_documento = '"&amp;SUBSTITUTE(TRIM(K143),"'","''")&amp;"' AND estado = 1 LIMIT 1)")&amp;", p_id_referencia =&gt; "&amp;IF(TRIM(J143&amp;"")&lt;&gt;"","(SELECT lo.id FROM gen_lista_opciones lo JOIN gen_lista l ON l.id = lo.id_lista WHERE l.nombre = 'ReferenciaCilindro' AND upper(lo.nombre) = 'ALMACEN' AND lo.estado = 1 LIMIT 1)",IF(TRIM(K143&amp;"")&lt;&gt;"","(SELECT lo.id FROM gen_lista_opciones lo JOIN gen_lista l ON l.id = lo.id_lista WHERE l.nombre = 'ReferenciaCilindro' AND upper(lo.nombre) = 'CLIENTE' AND lo.estado = 1 LIMIT 1)","NULL"))&amp;", p_anio_fabricacion =&gt; "&amp;IF(M143&amp;""="","NULL::smallint",M143&amp;"::smallint")&amp;", p_mes_fabricacion =&gt; "&amp;IF(N143&amp;""="","NULL::smallint",N143&amp;"::smallint")&amp;", p_fecha_ultima_prueba_hidrostatica =&gt; "&amp;IF(O143&amp;""="","NULL","'"&amp;YEAR(O143)&amp;"-"&amp;TEXT(MONTH(O143),"00")&amp;"-"&amp;TEXT(DAY(O143),"00")&amp;"'")&amp;", p_numero_serie =&gt; "&amp;IF(TRIM(Q143&amp;"")="","NULL","'"&amp;SUBSTITUTE(TRIM(Q143),"'","''")&amp;"'")&amp;", p_id_marca_cilindro =&gt; "&amp;IF(TRIM(R143&amp;"")="","NULL","(SELECT lo.id FROM gen_lista_opciones lo JOIN gen_lista l ON l.id = lo.id_lista WHERE l.nombre = 'MarcaCilindro' AND upper(lo.nombre) = upper('"&amp;SUBSTITUTE(TRIM(R143),"'","''")&amp;"') AND lo.estado = 1 LIMIT 1)")&amp;", p_id_organo_inspector =&gt; "&amp;IF(TRIM(S143&amp;"")="","NULL","(SELECT lo.id FROM gen_lista_opciones lo JOIN gen_lista l ON l.id = lo.id_lista WHERE l.nombre = 'OrganoInspectorCilindro' AND upper(lo.nombre) = upper('"&amp;SUBSTITUTE(TRIM(S143),"'","''")&amp;"') AND lo.estado = 1 LIMIT 1)")&amp;", p_organo_inspector_no_aplica =&gt; "&amp;IF(S143="NO_APLICA","TRUE","FALSE")&amp;", p_presion_actual =&gt; "&amp;IF(T143&amp;""="","NULL",SUBSTITUTE(T143&amp;"",",","."))&amp;", p_tipo_valvula =&gt; "&amp;IF(TRIM(U143&amp;"")="","NULL","'"&amp;SUBSTITUTE(TRIM(U143),"'","''")&amp;"'")&amp;", p_libro_cilindro =&gt; "&amp;IF(TRIM(V143&amp;"")="","NULL","'"&amp;SUBSTITUTE(TRIM(V143),"'","''")&amp;"'")&amp;", p_pagina_libro =&gt; "&amp;IF(W143&amp;""="","NULL",SUBSTITUTE(W143&amp;"",",","."))&amp;", p_observacion =&gt; "&amp;IF(TRIM(X143&amp;"")="","NULL","'"&amp;SUBSTITUTE(TRIM(X143),"'","''")&amp;"'")&amp;") AS resultado_balon_"&amp;ROW()&amp;";")</f>
        <v/>
      </c>
    </row>
    <row r="144" ht="15.75" customHeight="1" s="64">
      <c r="A144" s="36" t="inlineStr">
        <is>
          <t>140</t>
        </is>
      </c>
      <c r="B144" s="25">
        <f>IF(AND(C144="",D144="",E144=""),"",IF(C144="","FALTA código balón",IF(D144="","FALTA tipo balón",IF(E144="","FALTA gas",IF(F144="","FALTA propietario",IF(AND(C144&lt;&gt;"",SUMPRODUCT(--($C$5:$C$1200=C144))&gt;1),"CÓDIGO BALÓN DUPLICADO",IF(AND(OR(UPPER(F144)="PLANTA",UPPER(F144)="CLIENTE"),G144=""),"FALTA doc propietario/planta",IF(AND(UPPER(F144)="PLANTA",G144="10175332796"),"PLANTA no puede ser RUC empresa","OK"))))))))</f>
        <v/>
      </c>
      <c r="C144" s="23" t="inlineStr">
        <is>
          <t>121Y252083</t>
        </is>
      </c>
      <c r="D144" s="17" t="inlineStr">
        <is>
          <t>Nitrógeno 10 m³</t>
        </is>
      </c>
      <c r="E144" s="17" t="inlineStr">
        <is>
          <t>NITROGENO</t>
        </is>
      </c>
      <c r="F144" s="17" t="inlineStr">
        <is>
          <t>CLIENTE</t>
        </is>
      </c>
      <c r="G144" s="26" t="inlineStr">
        <is>
          <t>20602694853</t>
        </is>
      </c>
      <c r="H144" s="25">
        <f t="array" ref="H144">IF(G144="","",IFERROR(IF(INDEX(Clientes!$D$5:$D$549,MATCH(G144,Clientes!$C$5:$C$549,0))&lt;&gt;"",INDEX(Clientes!$D$5:$D$549,MATCH(G144,Clientes!$C$5:$C$549,0)),TRIM(INDEX(Clientes!$E$5:$E$549,MATCH(G144,Clientes!$C$5:$C$549,0))&amp;" "&amp;INDEX(Clientes!$F$5:$F$549,MATCH(G144,Clientes!$C$5:$C$549,0)))),"NO EXISTE en Clientes"))</f>
        <v/>
      </c>
      <c r="I144" s="17" t="inlineStr">
        <is>
          <t>DISPONIBLE</t>
        </is>
      </c>
      <c r="J144" s="17" t="inlineStr">
        <is>
          <t>ALMACEN PRINCIPAL</t>
        </is>
      </c>
      <c r="K144" s="23" t="n"/>
      <c r="L144" s="25">
        <f t="array" ref="L144">IF(K144="","",IFERROR(IF(INDEX(Clientes!$D$5:$D$549,MATCH(K144,Clientes!$C$5:$C$549,0))&lt;&gt;"",INDEX(Clientes!$D$5:$D$549,MATCH(K144,Clientes!$C$5:$C$549,0)),TRIM(INDEX(Clientes!$E$5:$E$549,MATCH(K144,Clientes!$C$5:$C$549,0))&amp;" "&amp;INDEX(Clientes!$F$5:$F$549,MATCH(K144,Clientes!$C$5:$C$549,0)))),"NO EXISTE en Clientes"))</f>
        <v/>
      </c>
      <c r="M144" s="17" t="n"/>
      <c r="N144" s="17" t="n"/>
      <c r="O144" s="42" t="n"/>
      <c r="P144" s="39">
        <f>IF(O144&lt;&gt;"",DATE(YEAR(O144)+10,MONTH(O144),1),IF(AND(M144&lt;&gt;"",N144&lt;&gt;""),DATE(M144+5,N144,1),""))</f>
        <v/>
      </c>
      <c r="Q144" s="23" t="n"/>
      <c r="R144" s="17" t="n"/>
      <c r="S144" s="17" t="n"/>
      <c r="T144" s="17" t="n"/>
      <c r="U144" s="17" t="n"/>
      <c r="V144" s="23" t="n"/>
      <c r="W144" s="17" t="n"/>
      <c r="X144" s="17" t="n"/>
      <c r="Y144" s="28">
        <f>IF(B144&lt;&gt;"OK","","SELECT bal_crear_balon(p_codigo_balon =&gt; "&amp;IF(TRIM(C144&amp;"")="","NULL","'"&amp;SUBSTITUTE(TRIM(C144),"'","''")&amp;"'")&amp;", p_id_tipo_balon =&gt; "&amp;"(SELECT id FROM bal_tipo_balon WHERE upper(nombre) = upper('"&amp;SUBSTITUTE(TRIM(D144),"'","''")&amp;"') AND estado = 1 LIMIT 1)"&amp;", p_id_producto_gas =&gt; "&amp;"(SELECT id FROM pro_producto WHERE es_gas = TRUE AND upper(nombre) = upper('"&amp;SUBSTITUTE(TRIM(E144),"'","''")&amp;"') AND estado = 1 LIMIT 1)"&amp;", p_id_propietario =&gt; "&amp;IF(TRIM(F144&amp;"")="","NULL","(SELECT lo.id FROM gen_lista_opciones lo JOIN gen_lista l ON l.id = lo.id_lista WHERE l.nombre = 'PropietarioBalon' AND upper(lo.nombre) = upper('"&amp;SUBSTITUTE(TRIM(F144),"'","''")&amp;"') AND lo.estado = 1 LIMIT 1)")&amp;", p_id_cliente_propietario =&gt; "&amp;IF(F144="CLIENTE",IF(TRIM(G144&amp;"")="","NULL","(SELECT id FROM cli_clientes WHERE numero_documento = '"&amp;SUBSTITUTE(TRIM(G144),"'","''")&amp;"' AND estado = 1 LIMIT 1)"),"NULL")&amp;", p_id_planta =&gt; "&amp;IF(F144="PLANTA",IF(TRIM(G144&amp;"")="","NULL","(SELECT id FROM cli_clientes WHERE numero_documento = '"&amp;SUBSTITUTE(TRIM(G144),"'","''")&amp;"'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"&amp;IF(TRIM(J144&amp;"")="","NULL","(SELECT id FROM gen_almacen WHERE upper(nombre) = upper('"&amp;SUBSTITUTE(TRIM(J144),"'","''")&amp;"') AND estado = 1 LIMIT 1)")&amp;", p_id_cliente_ubicacion =&gt; "&amp;IF(TRIM(K144&amp;"")="","NULL","(SELECT id FROM cli_clientes WHERE numero_documento = '"&amp;SUBSTITUTE(TRIM(K144),"'","''")&amp;"' AND estado = 1 LIMIT 1)")&amp;", p_id_referencia =&gt; "&amp;IF(TRIM(J144&amp;"")&lt;&gt;"","(SELECT lo.id FROM gen_lista_opciones lo JOIN gen_lista l ON l.id = lo.id_lista WHERE l.nombre = 'ReferenciaCilindro' AND upper(lo.nombre) = 'ALMACEN' AND lo.estado = 1 LIMIT 1)",IF(TRIM(K144&amp;"")&lt;&gt;"","(SELECT lo.id FROM gen_lista_opciones lo JOIN gen_lista l ON l.id = lo.id_lista WHERE l.nombre = 'ReferenciaCilindro' AND upper(lo.nombre) = 'CLIENTE' AND lo.estado = 1 LIMIT 1)","NULL"))&amp;", p_anio_fabricacion =&gt; "&amp;IF(M144&amp;""="","NULL::smallint",M144&amp;"::smallint")&amp;", p_mes_fabricacion =&gt; "&amp;IF(N144&amp;""="","NULL::smallint",N144&amp;"::smallint")&amp;", p_fecha_ultima_prueba_hidrostatica =&gt; "&amp;IF(O144&amp;""="","NULL","'"&amp;YEAR(O144)&amp;"-"&amp;TEXT(MONTH(O144),"00")&amp;"-"&amp;TEXT(DAY(O144),"00")&amp;"'")&amp;", p_numero_serie =&gt; "&amp;IF(TRIM(Q144&amp;"")="","NULL","'"&amp;SUBSTITUTE(TRIM(Q144),"'","''")&amp;"'")&amp;", p_id_marca_cilindro =&gt; "&amp;IF(TRIM(R144&amp;"")="","NULL","(SELECT lo.id FROM gen_lista_opciones lo JOIN gen_lista l ON l.id = lo.id_lista WHERE l.nombre = 'MarcaCilindro' AND upper(lo.nombre) = upper('"&amp;SUBSTITUTE(TRIM(R144),"'","''")&amp;"') AND lo.estado = 1 LIMIT 1)")&amp;", p_id_organo_inspector =&gt; "&amp;IF(TRIM(S144&amp;"")="","NULL","(SELECT lo.id FROM gen_lista_opciones lo JOIN gen_lista l ON l.id = lo.id_lista WHERE l.nombre = 'OrganoInspectorCilindro' AND upper(lo.nombre) = upper('"&amp;SUBSTITUTE(TRIM(S144),"'","''")&amp;"') AND lo.estado = 1 LIMIT 1)")&amp;", p_organo_inspector_no_aplica =&gt; "&amp;IF(S144="NO_APLICA","TRUE","FALSE")&amp;", p_presion_actual =&gt; "&amp;IF(T144&amp;""="","NULL",SUBSTITUTE(T144&amp;"",",","."))&amp;", p_tipo_valvula =&gt; "&amp;IF(TRIM(U144&amp;"")="","NULL","'"&amp;SUBSTITUTE(TRIM(U144),"'","''")&amp;"'")&amp;", p_libro_cilindro =&gt; "&amp;IF(TRIM(V144&amp;"")="","NULL","'"&amp;SUBSTITUTE(TRIM(V144),"'","''")&amp;"'")&amp;", p_pagina_libro =&gt; "&amp;IF(W144&amp;""="","NULL",SUBSTITUTE(W144&amp;"",",","."))&amp;", p_observacion =&gt; "&amp;IF(TRIM(X144&amp;"")="","NULL","'"&amp;SUBSTITUTE(TRIM(X144),"'","''")&amp;"'")&amp;") AS resultado_balon_"&amp;ROW()&amp;";")</f>
        <v/>
      </c>
    </row>
    <row r="145" ht="15.75" customHeight="1" s="64">
      <c r="A145" s="36" t="inlineStr">
        <is>
          <t>141</t>
        </is>
      </c>
      <c r="B145" s="25">
        <f>IF(AND(C145="",D145="",E145=""),"",IF(C145="","FALTA código balón",IF(D145="","FALTA tipo balón",IF(E145="","FALTA gas",IF(F145="","FALTA propietario",IF(AND(C145&lt;&gt;"",SUMPRODUCT(--($C$5:$C$1200=C145))&gt;1),"CÓDIGO BALÓN DUPLICADO",IF(AND(OR(UPPER(F145)="PLANTA",UPPER(F145)="CLIENTE"),G145=""),"FALTA doc propietario/planta",IF(AND(UPPER(F145)="PLANTA",G145="10175332796"),"PLANTA no puede ser RUC empresa","OK"))))))))</f>
        <v/>
      </c>
      <c r="C145" s="23" t="inlineStr">
        <is>
          <t>121Y249091</t>
        </is>
      </c>
      <c r="D145" s="17" t="inlineStr">
        <is>
          <t>Nitrógeno 10 m³</t>
        </is>
      </c>
      <c r="E145" s="17" t="inlineStr">
        <is>
          <t>NITROGENO</t>
        </is>
      </c>
      <c r="F145" s="17" t="inlineStr">
        <is>
          <t>CLIENTE</t>
        </is>
      </c>
      <c r="G145" s="26" t="inlineStr">
        <is>
          <t>20602694853</t>
        </is>
      </c>
      <c r="H145" s="25">
        <f t="array" ref="H145">IF(G145="","",IFERROR(IF(INDEX(Clientes!$D$5:$D$549,MATCH(G145,Clientes!$C$5:$C$549,0))&lt;&gt;"",INDEX(Clientes!$D$5:$D$549,MATCH(G145,Clientes!$C$5:$C$549,0)),TRIM(INDEX(Clientes!$E$5:$E$549,MATCH(G145,Clientes!$C$5:$C$549,0))&amp;" "&amp;INDEX(Clientes!$F$5:$F$549,MATCH(G145,Clientes!$C$5:$C$549,0)))),"NO EXISTE en Clientes"))</f>
        <v/>
      </c>
      <c r="I145" s="17" t="inlineStr">
        <is>
          <t>DISPONIBLE</t>
        </is>
      </c>
      <c r="J145" s="17" t="inlineStr">
        <is>
          <t>ALMACEN PRINCIPAL</t>
        </is>
      </c>
      <c r="K145" s="23" t="n"/>
      <c r="L145" s="25">
        <f t="array" ref="L145">IF(K145="","",IFERROR(IF(INDEX(Clientes!$D$5:$D$549,MATCH(K145,Clientes!$C$5:$C$549,0))&lt;&gt;"",INDEX(Clientes!$D$5:$D$549,MATCH(K145,Clientes!$C$5:$C$549,0)),TRIM(INDEX(Clientes!$E$5:$E$549,MATCH(K145,Clientes!$C$5:$C$549,0))&amp;" "&amp;INDEX(Clientes!$F$5:$F$549,MATCH(K145,Clientes!$C$5:$C$549,0)))),"NO EXISTE en Clientes"))</f>
        <v/>
      </c>
      <c r="M145" s="17" t="n"/>
      <c r="N145" s="17" t="n"/>
      <c r="O145" s="42" t="n"/>
      <c r="P145" s="39">
        <f>IF(O145&lt;&gt;"",DATE(YEAR(O145)+10,MONTH(O145),1),IF(AND(M145&lt;&gt;"",N145&lt;&gt;""),DATE(M145+5,N145,1),""))</f>
        <v/>
      </c>
      <c r="Q145" s="23" t="n"/>
      <c r="R145" s="17" t="n"/>
      <c r="S145" s="17" t="n"/>
      <c r="T145" s="17" t="n"/>
      <c r="U145" s="17" t="n"/>
      <c r="V145" s="23" t="n"/>
      <c r="W145" s="17" t="n"/>
      <c r="X145" s="17" t="n"/>
      <c r="Y145" s="28">
        <f>IF(B145&lt;&gt;"OK","","SELECT bal_crear_balon(p_codigo_balon =&gt; "&amp;IF(TRIM(C145&amp;"")="","NULL","'"&amp;SUBSTITUTE(TRIM(C145),"'","''")&amp;"'")&amp;", p_id_tipo_balon =&gt; "&amp;"(SELECT id FROM bal_tipo_balon WHERE upper(nombre) = upper('"&amp;SUBSTITUTE(TRIM(D145),"'","''")&amp;"') AND estado = 1 LIMIT 1)"&amp;", p_id_producto_gas =&gt; "&amp;"(SELECT id FROM pro_producto WHERE es_gas = TRUE AND upper(nombre) = upper('"&amp;SUBSTITUTE(TRIM(E145),"'","''")&amp;"') AND estado = 1 LIMIT 1)"&amp;", p_id_propietario =&gt; "&amp;IF(TRIM(F145&amp;"")="","NULL","(SELECT lo.id FROM gen_lista_opciones lo JOIN gen_lista l ON l.id = lo.id_lista WHERE l.nombre = 'PropietarioBalon' AND upper(lo.nombre) = upper('"&amp;SUBSTITUTE(TRIM(F145),"'","''")&amp;"') AND lo.estado = 1 LIMIT 1)")&amp;", p_id_cliente_propietario =&gt; "&amp;IF(F145="CLIENTE",IF(TRIM(G145&amp;"")="","NULL","(SELECT id FROM cli_clientes WHERE numero_documento = '"&amp;SUBSTITUTE(TRIM(G145),"'","''")&amp;"' AND estado = 1 LIMIT 1)"),"NULL")&amp;", p_id_planta =&gt; "&amp;IF(F145="PLANTA",IF(TRIM(G145&amp;"")="","NULL","(SELECT id FROM cli_clientes WHERE numero_documento = '"&amp;SUBSTITUTE(TRIM(G145),"'","''")&amp;"'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"&amp;IF(TRIM(J145&amp;"")="","NULL","(SELECT id FROM gen_almacen WHERE upper(nombre) = upper('"&amp;SUBSTITUTE(TRIM(J145),"'","''")&amp;"') AND estado = 1 LIMIT 1)")&amp;", p_id_cliente_ubicacion =&gt; "&amp;IF(TRIM(K145&amp;"")="","NULL","(SELECT id FROM cli_clientes WHERE numero_documento = '"&amp;SUBSTITUTE(TRIM(K145),"'","''")&amp;"' AND estado = 1 LIMIT 1)")&amp;", p_id_referencia =&gt; "&amp;IF(TRIM(J145&amp;"")&lt;&gt;"","(SELECT lo.id FROM gen_lista_opciones lo JOIN gen_lista l ON l.id = lo.id_lista WHERE l.nombre = 'ReferenciaCilindro' AND upper(lo.nombre) = 'ALMACEN' AND lo.estado = 1 LIMIT 1)",IF(TRIM(K145&amp;"")&lt;&gt;"","(SELECT lo.id FROM gen_lista_opciones lo JOIN gen_lista l ON l.id = lo.id_lista WHERE l.nombre = 'ReferenciaCilindro' AND upper(lo.nombre) = 'CLIENTE' AND lo.estado = 1 LIMIT 1)","NULL"))&amp;", p_anio_fabricacion =&gt; "&amp;IF(M145&amp;""="","NULL::smallint",M145&amp;"::smallint")&amp;", p_mes_fabricacion =&gt; "&amp;IF(N145&amp;""="","NULL::smallint",N145&amp;"::smallint")&amp;", p_fecha_ultima_prueba_hidrostatica =&gt; "&amp;IF(O145&amp;""="","NULL","'"&amp;YEAR(O145)&amp;"-"&amp;TEXT(MONTH(O145),"00")&amp;"-"&amp;TEXT(DAY(O145),"00")&amp;"'")&amp;", p_numero_serie =&gt; "&amp;IF(TRIM(Q145&amp;"")="","NULL","'"&amp;SUBSTITUTE(TRIM(Q145),"'","''")&amp;"'")&amp;", p_id_marca_cilindro =&gt; "&amp;IF(TRIM(R145&amp;"")="","NULL","(SELECT lo.id FROM gen_lista_opciones lo JOIN gen_lista l ON l.id = lo.id_lista WHERE l.nombre = 'MarcaCilindro' AND upper(lo.nombre) = upper('"&amp;SUBSTITUTE(TRIM(R145),"'","''")&amp;"') AND lo.estado = 1 LIMIT 1)")&amp;", p_id_organo_inspector =&gt; "&amp;IF(TRIM(S145&amp;"")="","NULL","(SELECT lo.id FROM gen_lista_opciones lo JOIN gen_lista l ON l.id = lo.id_lista WHERE l.nombre = 'OrganoInspectorCilindro' AND upper(lo.nombre) = upper('"&amp;SUBSTITUTE(TRIM(S145),"'","''")&amp;"') AND lo.estado = 1 LIMIT 1)")&amp;", p_organo_inspector_no_aplica =&gt; "&amp;IF(S145="NO_APLICA","TRUE","FALSE")&amp;", p_presion_actual =&gt; "&amp;IF(T145&amp;""="","NULL",SUBSTITUTE(T145&amp;"",",","."))&amp;", p_tipo_valvula =&gt; "&amp;IF(TRIM(U145&amp;"")="","NULL","'"&amp;SUBSTITUTE(TRIM(U145),"'","''")&amp;"'")&amp;", p_libro_cilindro =&gt; "&amp;IF(TRIM(V145&amp;"")="","NULL","'"&amp;SUBSTITUTE(TRIM(V145),"'","''")&amp;"'")&amp;", p_pagina_libro =&gt; "&amp;IF(W145&amp;""="","NULL",SUBSTITUTE(W145&amp;"",",","."))&amp;", p_observacion =&gt; "&amp;IF(TRIM(X145&amp;"")="","NULL","'"&amp;SUBSTITUTE(TRIM(X145),"'","''")&amp;"'")&amp;") AS resultado_balon_"&amp;ROW()&amp;";")</f>
        <v/>
      </c>
    </row>
    <row r="146" ht="15.75" customHeight="1" s="64">
      <c r="A146" s="36" t="inlineStr">
        <is>
          <t>142</t>
        </is>
      </c>
      <c r="B146" s="25">
        <f>IF(AND(C146="",D146="",E146=""),"",IF(C146="","FALTA código balón",IF(D146="","FALTA tipo balón",IF(E146="","FALTA gas",IF(F146="","FALTA propietario",IF(AND(C146&lt;&gt;"",SUMPRODUCT(--($C$5:$C$1200=C146))&gt;1),"CÓDIGO BALÓN DUPLICADO",IF(AND(OR(UPPER(F146)="PLANTA",UPPER(F146)="CLIENTE"),G146=""),"FALTA doc propietario/planta",IF(AND(UPPER(F146)="PLANTA",G146="10175332796"),"PLANTA no puede ser RUC empresa","OK"))))))))</f>
        <v/>
      </c>
      <c r="C146" s="23" t="inlineStr">
        <is>
          <t>22K035123</t>
        </is>
      </c>
      <c r="D146" s="17" t="inlineStr">
        <is>
          <t>Nitrógeno 10 m³</t>
        </is>
      </c>
      <c r="E146" s="17" t="inlineStr">
        <is>
          <t>NITROGENO</t>
        </is>
      </c>
      <c r="F146" s="17" t="inlineStr">
        <is>
          <t>EMPRESA</t>
        </is>
      </c>
      <c r="G146" s="23" t="inlineStr">
        <is>
          <t>10175332796</t>
        </is>
      </c>
      <c r="H146" s="25">
        <f t="array" ref="H146">IF(G146="","",IFERROR(IF(INDEX(Clientes!$D$5:$D$549,MATCH(G146,Clientes!$C$5:$C$549,0))&lt;&gt;"",INDEX(Clientes!$D$5:$D$549,MATCH(G146,Clientes!$C$5:$C$549,0)),TRIM(INDEX(Clientes!$E$5:$E$549,MATCH(G146,Clientes!$C$5:$C$549,0))&amp;" "&amp;INDEX(Clientes!$F$5:$F$549,MATCH(G146,Clientes!$C$5:$C$549,0)))),"NO EXISTE en Clientes"))</f>
        <v/>
      </c>
      <c r="I146" s="17" t="inlineStr">
        <is>
          <t>DISPONIBLE</t>
        </is>
      </c>
      <c r="J146" s="17" t="inlineStr">
        <is>
          <t>ALMACEN PRINCIPAL</t>
        </is>
      </c>
      <c r="K146" s="23" t="n"/>
      <c r="L146" s="25">
        <f t="array" ref="L146">IF(K146="","",IFERROR(IF(INDEX(Clientes!$D$5:$D$549,MATCH(K146,Clientes!$C$5:$C$549,0))&lt;&gt;"",INDEX(Clientes!$D$5:$D$549,MATCH(K146,Clientes!$C$5:$C$549,0)),TRIM(INDEX(Clientes!$E$5:$E$549,MATCH(K146,Clientes!$C$5:$C$549,0))&amp;" "&amp;INDEX(Clientes!$F$5:$F$549,MATCH(K146,Clientes!$C$5:$C$549,0)))),"NO EXISTE en Clientes"))</f>
        <v/>
      </c>
      <c r="M146" s="17" t="n">
        <v>2022</v>
      </c>
      <c r="N146" s="17" t="n">
        <v>1</v>
      </c>
      <c r="O146" s="42" t="n">
        <v>44562</v>
      </c>
      <c r="P146" s="39">
        <f>IF(O146&lt;&gt;"",DATE(YEAR(O146)+10,MONTH(O146),1),IF(AND(M146&lt;&gt;"",N146&lt;&gt;""),DATE(M146+5,N146,1),""))</f>
        <v/>
      </c>
      <c r="Q146" s="23" t="n"/>
      <c r="R146" s="17" t="inlineStr">
        <is>
          <t>JP</t>
        </is>
      </c>
      <c r="S146" s="17" t="inlineStr">
        <is>
          <t>HEXAGONAL (0036)</t>
        </is>
      </c>
      <c r="T146" s="17" t="n">
        <v>2800</v>
      </c>
      <c r="U146" s="17" t="n"/>
      <c r="V146" s="23" t="n"/>
      <c r="W146" s="17" t="n"/>
      <c r="X146" s="17" t="n"/>
      <c r="Y146" s="28">
        <f>IF(B146&lt;&gt;"OK","","SELECT bal_crear_balon(p_codigo_balon =&gt; "&amp;IF(TRIM(C146&amp;"")="","NULL","'"&amp;SUBSTITUTE(TRIM(C146),"'","''")&amp;"'")&amp;", p_id_tipo_balon =&gt; "&amp;"(SELECT id FROM bal_tipo_balon WHERE upper(nombre) = upper('"&amp;SUBSTITUTE(TRIM(D146),"'","''")&amp;"') AND estado = 1 LIMIT 1)"&amp;", p_id_producto_gas =&gt; "&amp;"(SELECT id FROM pro_producto WHERE es_gas = TRUE AND upper(nombre) = upper('"&amp;SUBSTITUTE(TRIM(E146),"'","''")&amp;"') AND estado = 1 LIMIT 1)"&amp;", p_id_propietario =&gt; "&amp;IF(TRIM(F146&amp;"")="","NULL","(SELECT lo.id FROM gen_lista_opciones lo JOIN gen_lista l ON l.id = lo.id_lista WHERE l.nombre = 'PropietarioBalon' AND upper(lo.nombre) = upper('"&amp;SUBSTITUTE(TRIM(F146),"'","''")&amp;"') AND lo.estado = 1 LIMIT 1)")&amp;", p_id_cliente_propietario =&gt; "&amp;IF(F146="CLIENTE",IF(TRIM(G146&amp;"")="","NULL","(SELECT id FROM cli_clientes WHERE numero_documento = '"&amp;SUBSTITUTE(TRIM(G146),"'","''")&amp;"' AND estado = 1 LIMIT 1)"),"NULL")&amp;", p_id_planta =&gt; "&amp;IF(F146="PLANTA",IF(TRIM(G146&amp;"")="","NULL","(SELECT id FROM cli_clientes WHERE numero_documento = '"&amp;SUBSTITUTE(TRIM(G146),"'","''")&amp;"'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"&amp;IF(TRIM(J146&amp;"")="","NULL","(SELECT id FROM gen_almacen WHERE upper(nombre) = upper('"&amp;SUBSTITUTE(TRIM(J146),"'","''")&amp;"') AND estado = 1 LIMIT 1)")&amp;", p_id_cliente_ubicacion =&gt; "&amp;IF(TRIM(K146&amp;"")="","NULL","(SELECT id FROM cli_clientes WHERE numero_documento = '"&amp;SUBSTITUTE(TRIM(K146),"'","''")&amp;"' AND estado = 1 LIMIT 1)")&amp;", p_id_referencia =&gt; "&amp;IF(TRIM(J146&amp;"")&lt;&gt;"","(SELECT lo.id FROM gen_lista_opciones lo JOIN gen_lista l ON l.id = lo.id_lista WHERE l.nombre = 'ReferenciaCilindro' AND upper(lo.nombre) = 'ALMACEN' AND lo.estado = 1 LIMIT 1)",IF(TRIM(K146&amp;"")&lt;&gt;"","(SELECT lo.id FROM gen_lista_opciones lo JOIN gen_lista l ON l.id = lo.id_lista WHERE l.nombre = 'ReferenciaCilindro' AND upper(lo.nombre) = 'CLIENTE' AND lo.estado = 1 LIMIT 1)","NULL"))&amp;", p_anio_fabricacion =&gt; "&amp;IF(M146&amp;""="","NULL::smallint",M146&amp;"::smallint")&amp;", p_mes_fabricacion =&gt; "&amp;IF(N146&amp;""="","NULL::smallint",N146&amp;"::smallint")&amp;", p_fecha_ultima_prueba_hidrostatica =&gt; "&amp;IF(O146&amp;""="","NULL","'"&amp;YEAR(O146)&amp;"-"&amp;TEXT(MONTH(O146),"00")&amp;"-"&amp;TEXT(DAY(O146),"00")&amp;"'")&amp;", p_numero_serie =&gt; "&amp;IF(TRIM(Q146&amp;"")="","NULL","'"&amp;SUBSTITUTE(TRIM(Q146),"'","''")&amp;"'")&amp;", p_id_marca_cilindro =&gt; "&amp;IF(TRIM(R146&amp;"")="","NULL","(SELECT lo.id FROM gen_lista_opciones lo JOIN gen_lista l ON l.id = lo.id_lista WHERE l.nombre = 'MarcaCilindro' AND upper(lo.nombre) = upper('"&amp;SUBSTITUTE(TRIM(R146),"'","''")&amp;"') AND lo.estado = 1 LIMIT 1)")&amp;", p_id_organo_inspector =&gt; "&amp;IF(TRIM(S146&amp;"")="","NULL","(SELECT lo.id FROM gen_lista_opciones lo JOIN gen_lista l ON l.id = lo.id_lista WHERE l.nombre = 'OrganoInspectorCilindro' AND upper(lo.nombre) = upper('"&amp;SUBSTITUTE(TRIM(S146),"'","''")&amp;"') AND lo.estado = 1 LIMIT 1)")&amp;", p_organo_inspector_no_aplica =&gt; "&amp;IF(S146="NO_APLICA","TRUE","FALSE")&amp;", p_presion_actual =&gt; "&amp;IF(T146&amp;""="","NULL",SUBSTITUTE(T146&amp;"",",","."))&amp;", p_tipo_valvula =&gt; "&amp;IF(TRIM(U146&amp;"")="","NULL","'"&amp;SUBSTITUTE(TRIM(U146),"'","''")&amp;"'")&amp;", p_libro_cilindro =&gt; "&amp;IF(TRIM(V146&amp;"")="","NULL","'"&amp;SUBSTITUTE(TRIM(V146),"'","''")&amp;"'")&amp;", p_pagina_libro =&gt; "&amp;IF(W146&amp;""="","NULL",SUBSTITUTE(W146&amp;"",",","."))&amp;", p_observacion =&gt; "&amp;IF(TRIM(X146&amp;"")="","NULL","'"&amp;SUBSTITUTE(TRIM(X146),"'","''")&amp;"'")&amp;") AS resultado_balon_"&amp;ROW()&amp;";")</f>
        <v/>
      </c>
    </row>
    <row r="147" ht="15.75" customHeight="1" s="64">
      <c r="A147" s="36" t="inlineStr">
        <is>
          <t>143</t>
        </is>
      </c>
      <c r="B147" s="25">
        <f>IF(AND(C147="",D147="",E147=""),"",IF(C147="","FALTA código balón",IF(D147="","FALTA tipo balón",IF(E147="","FALTA gas",IF(F147="","FALTA propietario",IF(AND(C147&lt;&gt;"",SUMPRODUCT(--($C$5:$C$1200=C147))&gt;1),"CÓDIGO BALÓN DUPLICADO",IF(AND(OR(UPPER(F147)="PLANTA",UPPER(F147)="CLIENTE"),G147=""),"FALTA doc propietario/planta",IF(AND(UPPER(F147)="PLANTA",G147="10175332796"),"PLANTA no puede ser RUC empresa","OK"))))))))</f>
        <v/>
      </c>
      <c r="C147" s="23" t="inlineStr">
        <is>
          <t>20K646078</t>
        </is>
      </c>
      <c r="D147" s="17" t="inlineStr">
        <is>
          <t>Oxígeno Industrial 10 m³</t>
        </is>
      </c>
      <c r="E147" s="17" t="inlineStr">
        <is>
          <t>OXIGENO INDUSTRIAL</t>
        </is>
      </c>
      <c r="F147" s="17" t="inlineStr">
        <is>
          <t>EMPRESA</t>
        </is>
      </c>
      <c r="G147" s="23" t="inlineStr">
        <is>
          <t>10175332796</t>
        </is>
      </c>
      <c r="H147" s="25">
        <f t="array" ref="H147">IF(G147="","",IFERROR(IF(INDEX(Clientes!$D$5:$D$549,MATCH(G147,Clientes!$C$5:$C$549,0))&lt;&gt;"",INDEX(Clientes!$D$5:$D$549,MATCH(G147,Clientes!$C$5:$C$549,0)),TRIM(INDEX(Clientes!$E$5:$E$549,MATCH(G147,Clientes!$C$5:$C$549,0))&amp;" "&amp;INDEX(Clientes!$F$5:$F$549,MATCH(G147,Clientes!$C$5:$C$549,0)))),"NO EXISTE en Clientes"))</f>
        <v/>
      </c>
      <c r="I147" s="17" t="inlineStr">
        <is>
          <t>DISPONIBLE</t>
        </is>
      </c>
      <c r="J147" s="17" t="inlineStr">
        <is>
          <t>ALMACEN PRINCIPAL</t>
        </is>
      </c>
      <c r="K147" s="23" t="n"/>
      <c r="L147" s="25">
        <f t="array" ref="L147">IF(K147="","",IFERROR(IF(INDEX(Clientes!$D$5:$D$549,MATCH(K147,Clientes!$C$5:$C$549,0))&lt;&gt;"",INDEX(Clientes!$D$5:$D$549,MATCH(K147,Clientes!$C$5:$C$549,0)),TRIM(INDEX(Clientes!$E$5:$E$549,MATCH(K147,Clientes!$C$5:$C$549,0))&amp;" "&amp;INDEX(Clientes!$F$5:$F$549,MATCH(K147,Clientes!$C$5:$C$549,0)))),"NO EXISTE en Clientes"))</f>
        <v/>
      </c>
      <c r="M147" s="17" t="n">
        <v>2020</v>
      </c>
      <c r="N147" s="17" t="n">
        <v>9</v>
      </c>
      <c r="O147" s="42" t="n">
        <v>44075</v>
      </c>
      <c r="P147" s="39">
        <f>IF(O147&lt;&gt;"",DATE(YEAR(O147)+10,MONTH(O147),1),IF(AND(M147&lt;&gt;"",N147&lt;&gt;""),DATE(M147+5,N147,1),""))</f>
        <v/>
      </c>
      <c r="Q147" s="23" t="n"/>
      <c r="R147" s="17" t="inlineStr">
        <is>
          <t>JP</t>
        </is>
      </c>
      <c r="S147" s="17" t="inlineStr">
        <is>
          <t>OTRO</t>
        </is>
      </c>
      <c r="T147" s="17" t="n">
        <v>2800</v>
      </c>
      <c r="U147" s="17" t="inlineStr">
        <is>
          <t>AMERICANA</t>
        </is>
      </c>
      <c r="V147" s="23" t="n"/>
      <c r="W147" s="17" t="n"/>
      <c r="X147" s="17" t="n"/>
      <c r="Y147" s="28">
        <f>IF(B147&lt;&gt;"OK","","SELECT bal_crear_balon(p_codigo_balon =&gt; "&amp;IF(TRIM(C147&amp;"")="","NULL","'"&amp;SUBSTITUTE(TRIM(C147),"'","''")&amp;"'")&amp;", p_id_tipo_balon =&gt; "&amp;"(SELECT id FROM bal_tipo_balon WHERE upper(nombre) = upper('"&amp;SUBSTITUTE(TRIM(D147),"'","''")&amp;"') AND estado = 1 LIMIT 1)"&amp;", p_id_producto_gas =&gt; "&amp;"(SELECT id FROM pro_producto WHERE es_gas = TRUE AND upper(nombre) = upper('"&amp;SUBSTITUTE(TRIM(E147),"'","''")&amp;"') AND estado = 1 LIMIT 1)"&amp;", p_id_propietario =&gt; "&amp;IF(TRIM(F147&amp;"")="","NULL","(SELECT lo.id FROM gen_lista_opciones lo JOIN gen_lista l ON l.id = lo.id_lista WHERE l.nombre = 'PropietarioBalon' AND upper(lo.nombre) = upper('"&amp;SUBSTITUTE(TRIM(F147),"'","''")&amp;"') AND lo.estado = 1 LIMIT 1)")&amp;", p_id_cliente_propietario =&gt; "&amp;IF(F147="CLIENTE",IF(TRIM(G147&amp;"")="","NULL","(SELECT id FROM cli_clientes WHERE numero_documento = '"&amp;SUBSTITUTE(TRIM(G147),"'","''")&amp;"' AND estado = 1 LIMIT 1)"),"NULL")&amp;", p_id_planta =&gt; "&amp;IF(F147="PLANTA",IF(TRIM(G147&amp;"")="","NULL","(SELECT id FROM cli_clientes WHERE numero_documento = '"&amp;SUBSTITUTE(TRIM(G147),"'","''")&amp;"'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"&amp;IF(TRIM(J147&amp;"")="","NULL","(SELECT id FROM gen_almacen WHERE upper(nombre) = upper('"&amp;SUBSTITUTE(TRIM(J147),"'","''")&amp;"') AND estado = 1 LIMIT 1)")&amp;", p_id_cliente_ubicacion =&gt; "&amp;IF(TRIM(K147&amp;"")="","NULL","(SELECT id FROM cli_clientes WHERE numero_documento = '"&amp;SUBSTITUTE(TRIM(K147),"'","''")&amp;"' AND estado = 1 LIMIT 1)")&amp;", p_id_referencia =&gt; "&amp;IF(TRIM(J147&amp;"")&lt;&gt;"","(SELECT lo.id FROM gen_lista_opciones lo JOIN gen_lista l ON l.id = lo.id_lista WHERE l.nombre = 'ReferenciaCilindro' AND upper(lo.nombre) = 'ALMACEN' AND lo.estado = 1 LIMIT 1)",IF(TRIM(K147&amp;"")&lt;&gt;"","(SELECT lo.id FROM gen_lista_opciones lo JOIN gen_lista l ON l.id = lo.id_lista WHERE l.nombre = 'ReferenciaCilindro' AND upper(lo.nombre) = 'CLIENTE' AND lo.estado = 1 LIMIT 1)","NULL"))&amp;", p_anio_fabricacion =&gt; "&amp;IF(M147&amp;""="","NULL::smallint",M147&amp;"::smallint")&amp;", p_mes_fabricacion =&gt; "&amp;IF(N147&amp;""="","NULL::smallint",N147&amp;"::smallint")&amp;", p_fecha_ultima_prueba_hidrostatica =&gt; "&amp;IF(O147&amp;""="","NULL","'"&amp;YEAR(O147)&amp;"-"&amp;TEXT(MONTH(O147),"00")&amp;"-"&amp;TEXT(DAY(O147),"00")&amp;"'")&amp;", p_numero_serie =&gt; "&amp;IF(TRIM(Q147&amp;"")="","NULL","'"&amp;SUBSTITUTE(TRIM(Q147),"'","''")&amp;"'")&amp;", p_id_marca_cilindro =&gt; "&amp;IF(TRIM(R147&amp;"")="","NULL","(SELECT lo.id FROM gen_lista_opciones lo JOIN gen_lista l ON l.id = lo.id_lista WHERE l.nombre = 'MarcaCilindro' AND upper(lo.nombre) = upper('"&amp;SUBSTITUTE(TRIM(R147),"'","''")&amp;"') AND lo.estado = 1 LIMIT 1)")&amp;", p_id_organo_inspector =&gt; "&amp;IF(TRIM(S147&amp;"")="","NULL","(SELECT lo.id FROM gen_lista_opciones lo JOIN gen_lista l ON l.id = lo.id_lista WHERE l.nombre = 'OrganoInspectorCilindro' AND upper(lo.nombre) = upper('"&amp;SUBSTITUTE(TRIM(S147),"'","''")&amp;"') AND lo.estado = 1 LIMIT 1)")&amp;", p_organo_inspector_no_aplica =&gt; "&amp;IF(S147="NO_APLICA","TRUE","FALSE")&amp;", p_presion_actual =&gt; "&amp;IF(T147&amp;""="","NULL",SUBSTITUTE(T147&amp;"",",","."))&amp;", p_tipo_valvula =&gt; "&amp;IF(TRIM(U147&amp;"")="","NULL","'"&amp;SUBSTITUTE(TRIM(U147),"'","''")&amp;"'")&amp;", p_libro_cilindro =&gt; "&amp;IF(TRIM(V147&amp;"")="","NULL","'"&amp;SUBSTITUTE(TRIM(V147),"'","''")&amp;"'")&amp;", p_pagina_libro =&gt; "&amp;IF(W147&amp;""="","NULL",SUBSTITUTE(W147&amp;"",",","."))&amp;", p_observacion =&gt; "&amp;IF(TRIM(X147&amp;"")="","NULL","'"&amp;SUBSTITUTE(TRIM(X147),"'","''")&amp;"'")&amp;") AS resultado_balon_"&amp;ROW()&amp;";")</f>
        <v/>
      </c>
    </row>
    <row r="148" ht="15.75" customHeight="1" s="64">
      <c r="A148" s="36" t="inlineStr">
        <is>
          <t>144</t>
        </is>
      </c>
      <c r="B148" s="25">
        <f>IF(AND(C148="",D148="",E148=""),"",IF(C148="","FALTA código balón",IF(D148="","FALTA tipo balón",IF(E148="","FALTA gas",IF(F148="","FALTA propietario",IF(AND(C148&lt;&gt;"",SUMPRODUCT(--($C$5:$C$1200=C148))&gt;1),"CÓDIGO BALÓN DUPLICADO",IF(AND(OR(UPPER(F148)="PLANTA",UPPER(F148)="CLIENTE"),G148=""),"FALTA doc propietario/planta",IF(AND(UPPER(F148)="PLANTA",G148="10175332796"),"PLANTA no puede ser RUC empresa","OK"))))))))</f>
        <v/>
      </c>
      <c r="C148" s="23" t="inlineStr">
        <is>
          <t>6684734Y</t>
        </is>
      </c>
      <c r="D148" s="17" t="inlineStr">
        <is>
          <t>Oxígeno Industrial 10 m³</t>
        </is>
      </c>
      <c r="E148" s="17" t="inlineStr">
        <is>
          <t>OXIGENO INDUSTRIAL</t>
        </is>
      </c>
      <c r="F148" s="17" t="inlineStr">
        <is>
          <t>CLIENTE</t>
        </is>
      </c>
      <c r="G148" s="23" t="inlineStr">
        <is>
          <t>000001</t>
        </is>
      </c>
      <c r="H148" s="25">
        <f t="array" ref="H148">IF(G148="","",IFERROR(IF(INDEX(Clientes!$D$5:$D$549,MATCH(G148,Clientes!$C$5:$C$549,0))&lt;&gt;"",INDEX(Clientes!$D$5:$D$549,MATCH(G148,Clientes!$C$5:$C$549,0)),TRIM(INDEX(Clientes!$E$5:$E$549,MATCH(G148,Clientes!$C$5:$C$549,0))&amp;" "&amp;INDEX(Clientes!$F$5:$F$549,MATCH(G148,Clientes!$C$5:$C$549,0)))),"NO EXISTE en Clientes"))</f>
        <v/>
      </c>
      <c r="I148" s="17" t="inlineStr">
        <is>
          <t>DISPONIBLE</t>
        </is>
      </c>
      <c r="J148" s="17" t="inlineStr">
        <is>
          <t>ALMACEN PRINCIPAL</t>
        </is>
      </c>
      <c r="K148" s="23" t="n"/>
      <c r="L148" s="25">
        <f t="array" ref="L148">IF(K148="","",IFERROR(IF(INDEX(Clientes!$D$5:$D$549,MATCH(K148,Clientes!$C$5:$C$549,0))&lt;&gt;"",INDEX(Clientes!$D$5:$D$549,MATCH(K148,Clientes!$C$5:$C$549,0)),TRIM(INDEX(Clientes!$E$5:$E$549,MATCH(K148,Clientes!$C$5:$C$549,0))&amp;" "&amp;INDEX(Clientes!$F$5:$F$549,MATCH(K148,Clientes!$C$5:$C$549,0)))),"NO EXISTE en Clientes"))</f>
        <v/>
      </c>
      <c r="M148" s="17" t="n">
        <v>2020</v>
      </c>
      <c r="N148" s="17" t="n">
        <v>10</v>
      </c>
      <c r="O148" s="42" t="n">
        <v>44105</v>
      </c>
      <c r="P148" s="39">
        <f>IF(O148&lt;&gt;"",DATE(YEAR(O148)+10,MONTH(O148),1),IF(AND(M148&lt;&gt;"",N148&lt;&gt;""),DATE(M148+5,N148,1),""))</f>
        <v/>
      </c>
      <c r="Q148" s="23" t="n"/>
      <c r="R148" s="17" t="inlineStr">
        <is>
          <t>DOT</t>
        </is>
      </c>
      <c r="S148" s="17" t="inlineStr">
        <is>
          <t>OTRO</t>
        </is>
      </c>
      <c r="T148" s="17" t="n">
        <v>2800</v>
      </c>
      <c r="U148" s="17" t="inlineStr">
        <is>
          <t>AMERICANA</t>
        </is>
      </c>
      <c r="V148" s="23" t="n"/>
      <c r="W148" s="17" t="n"/>
      <c r="X148" s="17" t="n"/>
      <c r="Y148" s="28">
        <f>IF(B148&lt;&gt;"OK","","SELECT bal_crear_balon(p_codigo_balon =&gt; "&amp;IF(TRIM(C148&amp;"")="","NULL","'"&amp;SUBSTITUTE(TRIM(C148),"'","''")&amp;"'")&amp;", p_id_tipo_balon =&gt; "&amp;"(SELECT id FROM bal_tipo_balon WHERE upper(nombre) = upper('"&amp;SUBSTITUTE(TRIM(D148),"'","''")&amp;"') AND estado = 1 LIMIT 1)"&amp;", p_id_producto_gas =&gt; "&amp;"(SELECT id FROM pro_producto WHERE es_gas = TRUE AND upper(nombre) = upper('"&amp;SUBSTITUTE(TRIM(E148),"'","''")&amp;"') AND estado = 1 LIMIT 1)"&amp;", p_id_propietario =&gt; "&amp;IF(TRIM(F148&amp;"")="","NULL","(SELECT lo.id FROM gen_lista_opciones lo JOIN gen_lista l ON l.id = lo.id_lista WHERE l.nombre = 'PropietarioBalon' AND upper(lo.nombre) = upper('"&amp;SUBSTITUTE(TRIM(F148),"'","''")&amp;"') AND lo.estado = 1 LIMIT 1)")&amp;", p_id_cliente_propietario =&gt; "&amp;IF(F148="CLIENTE",IF(TRIM(G148&amp;"")="","NULL","(SELECT id FROM cli_clientes WHERE numero_documento = '"&amp;SUBSTITUTE(TRIM(G148),"'","''")&amp;"' AND estado = 1 LIMIT 1)"),"NULL")&amp;", p_id_planta =&gt; "&amp;IF(F148="PLANTA",IF(TRIM(G148&amp;"")="","NULL","(SELECT id FROM cli_clientes WHERE numero_documento = '"&amp;SUBSTITUTE(TRIM(G148),"'","''")&amp;"'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"&amp;IF(TRIM(J148&amp;"")="","NULL","(SELECT id FROM gen_almacen WHERE upper(nombre) = upper('"&amp;SUBSTITUTE(TRIM(J148),"'","''")&amp;"') AND estado = 1 LIMIT 1)")&amp;", p_id_cliente_ubicacion =&gt; "&amp;IF(TRIM(K148&amp;"")="","NULL","(SELECT id FROM cli_clientes WHERE numero_documento = '"&amp;SUBSTITUTE(TRIM(K148),"'","''")&amp;"' AND estado = 1 LIMIT 1)")&amp;", p_id_referencia =&gt; "&amp;IF(TRIM(J148&amp;"")&lt;&gt;"","(SELECT lo.id FROM gen_lista_opciones lo JOIN gen_lista l ON l.id = lo.id_lista WHERE l.nombre = 'ReferenciaCilindro' AND upper(lo.nombre) = 'ALMACEN' AND lo.estado = 1 LIMIT 1)",IF(TRIM(K148&amp;"")&lt;&gt;"","(SELECT lo.id FROM gen_lista_opciones lo JOIN gen_lista l ON l.id = lo.id_lista WHERE l.nombre = 'ReferenciaCilindro' AND upper(lo.nombre) = 'CLIENTE' AND lo.estado = 1 LIMIT 1)","NULL"))&amp;", p_anio_fabricacion =&gt; "&amp;IF(M148&amp;""="","NULL::smallint",M148&amp;"::smallint")&amp;", p_mes_fabricacion =&gt; "&amp;IF(N148&amp;""="","NULL::smallint",N148&amp;"::smallint")&amp;", p_fecha_ultima_prueba_hidrostatica =&gt; "&amp;IF(O148&amp;""="","NULL","'"&amp;YEAR(O148)&amp;"-"&amp;TEXT(MONTH(O148),"00")&amp;"-"&amp;TEXT(DAY(O148),"00")&amp;"'")&amp;", p_numero_serie =&gt; "&amp;IF(TRIM(Q148&amp;"")="","NULL","'"&amp;SUBSTITUTE(TRIM(Q148),"'","''")&amp;"'")&amp;", p_id_marca_cilindro =&gt; "&amp;IF(TRIM(R148&amp;"")="","NULL","(SELECT lo.id FROM gen_lista_opciones lo JOIN gen_lista l ON l.id = lo.id_lista WHERE l.nombre = 'MarcaCilindro' AND upper(lo.nombre) = upper('"&amp;SUBSTITUTE(TRIM(R148),"'","''")&amp;"') AND lo.estado = 1 LIMIT 1)")&amp;", p_id_organo_inspector =&gt; "&amp;IF(TRIM(S148&amp;"")="","NULL","(SELECT lo.id FROM gen_lista_opciones lo JOIN gen_lista l ON l.id = lo.id_lista WHERE l.nombre = 'OrganoInspectorCilindro' AND upper(lo.nombre) = upper('"&amp;SUBSTITUTE(TRIM(S148),"'","''")&amp;"') AND lo.estado = 1 LIMIT 1)")&amp;", p_organo_inspector_no_aplica =&gt; "&amp;IF(S148="NO_APLICA","TRUE","FALSE")&amp;", p_presion_actual =&gt; "&amp;IF(T148&amp;""="","NULL",SUBSTITUTE(T148&amp;"",",","."))&amp;", p_tipo_valvula =&gt; "&amp;IF(TRIM(U148&amp;"")="","NULL","'"&amp;SUBSTITUTE(TRIM(U148),"'","''")&amp;"'")&amp;", p_libro_cilindro =&gt; "&amp;IF(TRIM(V148&amp;"")="","NULL","'"&amp;SUBSTITUTE(TRIM(V148),"'","''")&amp;"'")&amp;", p_pagina_libro =&gt; "&amp;IF(W148&amp;""="","NULL",SUBSTITUTE(W148&amp;"",",","."))&amp;", p_observacion =&gt; "&amp;IF(TRIM(X148&amp;"")="","NULL","'"&amp;SUBSTITUTE(TRIM(X148),"'","''")&amp;"'")&amp;") AS resultado_balon_"&amp;ROW()&amp;";")</f>
        <v/>
      </c>
    </row>
    <row r="149" ht="15.75" customHeight="1" s="64">
      <c r="A149" s="36" t="inlineStr">
        <is>
          <t>145</t>
        </is>
      </c>
      <c r="B149" s="25">
        <f>IF(AND(C149="",D149="",E149=""),"",IF(C149="","FALTA código balón",IF(D149="","FALTA tipo balón",IF(E149="","FALTA gas",IF(F149="","FALTA propietario",IF(AND(C149&lt;&gt;"",SUMPRODUCT(--($C$5:$C$1200=C149))&gt;1),"CÓDIGO BALÓN DUPLICADO",IF(AND(OR(UPPER(F149)="PLANTA",UPPER(F149)="CLIENTE"),G149=""),"FALTA doc propietario/planta",IF(AND(UPPER(F149)="PLANTA",G149="10175332796"),"PLANTA no puede ser RUC empresa","OK"))))))))</f>
        <v/>
      </c>
      <c r="C149" s="23" t="inlineStr">
        <is>
          <t>20S287199</t>
        </is>
      </c>
      <c r="D149" s="17" t="inlineStr">
        <is>
          <t>Nitrógeno 10 m³</t>
        </is>
      </c>
      <c r="E149" s="17" t="inlineStr">
        <is>
          <t>NITROGENO</t>
        </is>
      </c>
      <c r="F149" s="17" t="inlineStr">
        <is>
          <t>EMPRESA</t>
        </is>
      </c>
      <c r="G149" s="23" t="inlineStr">
        <is>
          <t>10175332796</t>
        </is>
      </c>
      <c r="H149" s="25">
        <f t="array" ref="H149">IF(G149="","",IFERROR(IF(INDEX(Clientes!$D$5:$D$549,MATCH(G149,Clientes!$C$5:$C$549,0))&lt;&gt;"",INDEX(Clientes!$D$5:$D$549,MATCH(G149,Clientes!$C$5:$C$549,0)),TRIM(INDEX(Clientes!$E$5:$E$549,MATCH(G149,Clientes!$C$5:$C$549,0))&amp;" "&amp;INDEX(Clientes!$F$5:$F$549,MATCH(G149,Clientes!$C$5:$C$549,0)))),"NO EXISTE en Clientes"))</f>
        <v/>
      </c>
      <c r="I149" s="17" t="inlineStr">
        <is>
          <t>DISPONIBLE</t>
        </is>
      </c>
      <c r="J149" s="17" t="inlineStr">
        <is>
          <t>ALMACEN PRINCIPAL</t>
        </is>
      </c>
      <c r="K149" s="23" t="n"/>
      <c r="L149" s="25">
        <f t="array" ref="L149">IF(K149="","",IFERROR(IF(INDEX(Clientes!$D$5:$D$549,MATCH(K149,Clientes!$C$5:$C$549,0))&lt;&gt;"",INDEX(Clientes!$D$5:$D$549,MATCH(K149,Clientes!$C$5:$C$549,0)),TRIM(INDEX(Clientes!$E$5:$E$549,MATCH(K149,Clientes!$C$5:$C$549,0))&amp;" "&amp;INDEX(Clientes!$F$5:$F$549,MATCH(K149,Clientes!$C$5:$C$549,0)))),"NO EXISTE en Clientes"))</f>
        <v/>
      </c>
      <c r="M149" s="17" t="n"/>
      <c r="N149" s="17" t="n"/>
      <c r="O149" s="42" t="n"/>
      <c r="P149" s="39">
        <f>IF(O149&lt;&gt;"",DATE(YEAR(O149)+10,MONTH(O149),1),IF(AND(M149&lt;&gt;"",N149&lt;&gt;""),DATE(M149+5,N149,1),""))</f>
        <v/>
      </c>
      <c r="Q149" s="23" t="n"/>
      <c r="R149" s="17" t="n"/>
      <c r="S149" s="17" t="n"/>
      <c r="T149" s="17" t="n"/>
      <c r="U149" s="17" t="n"/>
      <c r="V149" s="23" t="n"/>
      <c r="W149" s="17" t="n"/>
      <c r="X149" s="17" t="n"/>
      <c r="Y149" s="28">
        <f>IF(B149&lt;&gt;"OK","","SELECT bal_crear_balon(p_codigo_balon =&gt; "&amp;IF(TRIM(C149&amp;"")="","NULL","'"&amp;SUBSTITUTE(TRIM(C149),"'","''")&amp;"'")&amp;", p_id_tipo_balon =&gt; "&amp;"(SELECT id FROM bal_tipo_balon WHERE upper(nombre) = upper('"&amp;SUBSTITUTE(TRIM(D149),"'","''")&amp;"') AND estado = 1 LIMIT 1)"&amp;", p_id_producto_gas =&gt; "&amp;"(SELECT id FROM pro_producto WHERE es_gas = TRUE AND upper(nombre) = upper('"&amp;SUBSTITUTE(TRIM(E149),"'","''")&amp;"') AND estado = 1 LIMIT 1)"&amp;", p_id_propietario =&gt; "&amp;IF(TRIM(F149&amp;"")="","NULL","(SELECT lo.id FROM gen_lista_opciones lo JOIN gen_lista l ON l.id = lo.id_lista WHERE l.nombre = 'PropietarioBalon' AND upper(lo.nombre) = upper('"&amp;SUBSTITUTE(TRIM(F149),"'","''")&amp;"') AND lo.estado = 1 LIMIT 1)")&amp;", p_id_cliente_propietario =&gt; "&amp;IF(F149="CLIENTE",IF(TRIM(G149&amp;"")="","NULL","(SELECT id FROM cli_clientes WHERE numero_documento = '"&amp;SUBSTITUTE(TRIM(G149),"'","''")&amp;"' AND estado = 1 LIMIT 1)"),"NULL")&amp;", p_id_planta =&gt; "&amp;IF(F149="PLANTA",IF(TRIM(G149&amp;"")="","NULL","(SELECT id FROM cli_clientes WHERE numero_documento = '"&amp;SUBSTITUTE(TRIM(G149),"'","''")&amp;"'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"&amp;IF(TRIM(J149&amp;"")="","NULL","(SELECT id FROM gen_almacen WHERE upper(nombre) = upper('"&amp;SUBSTITUTE(TRIM(J149),"'","''")&amp;"') AND estado = 1 LIMIT 1)")&amp;", p_id_cliente_ubicacion =&gt; "&amp;IF(TRIM(K149&amp;"")="","NULL","(SELECT id FROM cli_clientes WHERE numero_documento = '"&amp;SUBSTITUTE(TRIM(K149),"'","''")&amp;"' AND estado = 1 LIMIT 1)")&amp;", p_id_referencia =&gt; "&amp;IF(TRIM(J149&amp;"")&lt;&gt;"","(SELECT lo.id FROM gen_lista_opciones lo JOIN gen_lista l ON l.id = lo.id_lista WHERE l.nombre = 'ReferenciaCilindro' AND upper(lo.nombre) = 'ALMACEN' AND lo.estado = 1 LIMIT 1)",IF(TRIM(K149&amp;"")&lt;&gt;"","(SELECT lo.id FROM gen_lista_opciones lo JOIN gen_lista l ON l.id = lo.id_lista WHERE l.nombre = 'ReferenciaCilindro' AND upper(lo.nombre) = 'CLIENTE' AND lo.estado = 1 LIMIT 1)","NULL"))&amp;", p_anio_fabricacion =&gt; "&amp;IF(M149&amp;""="","NULL::smallint",M149&amp;"::smallint")&amp;", p_mes_fabricacion =&gt; "&amp;IF(N149&amp;""="","NULL::smallint",N149&amp;"::smallint")&amp;", p_fecha_ultima_prueba_hidrostatica =&gt; "&amp;IF(O149&amp;""="","NULL","'"&amp;YEAR(O149)&amp;"-"&amp;TEXT(MONTH(O149),"00")&amp;"-"&amp;TEXT(DAY(O149),"00")&amp;"'")&amp;", p_numero_serie =&gt; "&amp;IF(TRIM(Q149&amp;"")="","NULL","'"&amp;SUBSTITUTE(TRIM(Q149),"'","''")&amp;"'")&amp;", p_id_marca_cilindro =&gt; "&amp;IF(TRIM(R149&amp;"")="","NULL","(SELECT lo.id FROM gen_lista_opciones lo JOIN gen_lista l ON l.id = lo.id_lista WHERE l.nombre = 'MarcaCilindro' AND upper(lo.nombre) = upper('"&amp;SUBSTITUTE(TRIM(R149),"'","''")&amp;"') AND lo.estado = 1 LIMIT 1)")&amp;", p_id_organo_inspector =&gt; "&amp;IF(TRIM(S149&amp;"")="","NULL","(SELECT lo.id FROM gen_lista_opciones lo JOIN gen_lista l ON l.id = lo.id_lista WHERE l.nombre = 'OrganoInspectorCilindro' AND upper(lo.nombre) = upper('"&amp;SUBSTITUTE(TRIM(S149),"'","''")&amp;"') AND lo.estado = 1 LIMIT 1)")&amp;", p_organo_inspector_no_aplica =&gt; "&amp;IF(S149="NO_APLICA","TRUE","FALSE")&amp;", p_presion_actual =&gt; "&amp;IF(T149&amp;""="","NULL",SUBSTITUTE(T149&amp;"",",","."))&amp;", p_tipo_valvula =&gt; "&amp;IF(TRIM(U149&amp;"")="","NULL","'"&amp;SUBSTITUTE(TRIM(U149),"'","''")&amp;"'")&amp;", p_libro_cilindro =&gt; "&amp;IF(TRIM(V149&amp;"")="","NULL","'"&amp;SUBSTITUTE(TRIM(V149),"'","''")&amp;"'")&amp;", p_pagina_libro =&gt; "&amp;IF(W149&amp;""="","NULL",SUBSTITUTE(W149&amp;"",",","."))&amp;", p_observacion =&gt; "&amp;IF(TRIM(X149&amp;"")="","NULL","'"&amp;SUBSTITUTE(TRIM(X149),"'","''")&amp;"'")&amp;") AS resultado_balon_"&amp;ROW()&amp;";")</f>
        <v/>
      </c>
    </row>
    <row r="150" ht="15.75" customHeight="1" s="64">
      <c r="A150" s="36" t="inlineStr">
        <is>
          <t>146</t>
        </is>
      </c>
      <c r="B150" s="25">
        <f>IF(AND(C150="",D150="",E150=""),"",IF(C150="","FALTA código balón",IF(D150="","FALTA tipo balón",IF(E150="","FALTA gas",IF(F150="","FALTA propietario",IF(AND(C150&lt;&gt;"",SUMPRODUCT(--($C$5:$C$1200=C150))&gt;1),"CÓDIGO BALÓN DUPLICADO",IF(AND(OR(UPPER(F150)="PLANTA",UPPER(F150)="CLIENTE"),G150=""),"FALTA doc propietario/planta",IF(AND(UPPER(F150)="PLANTA",G150="10175332796"),"PLANTA no puede ser RUC empresa","OK"))))))))</f>
        <v/>
      </c>
      <c r="C150" s="23" t="inlineStr">
        <is>
          <t>Y303207</t>
        </is>
      </c>
      <c r="D150" s="17" t="inlineStr">
        <is>
          <t>Argón Estándar 10 m3</t>
        </is>
      </c>
      <c r="E150" s="17" t="inlineStr">
        <is>
          <t>ARGON</t>
        </is>
      </c>
      <c r="F150" s="17" t="inlineStr">
        <is>
          <t>EMPRESA</t>
        </is>
      </c>
      <c r="G150" s="23" t="inlineStr">
        <is>
          <t>10175332796</t>
        </is>
      </c>
      <c r="H150" s="25">
        <f t="array" ref="H150">IF(G150="","",IFERROR(IF(INDEX(Clientes!$D$5:$D$549,MATCH(G150,Clientes!$C$5:$C$549,0))&lt;&gt;"",INDEX(Clientes!$D$5:$D$549,MATCH(G150,Clientes!$C$5:$C$549,0)),TRIM(INDEX(Clientes!$E$5:$E$549,MATCH(G150,Clientes!$C$5:$C$549,0))&amp;" "&amp;INDEX(Clientes!$F$5:$F$549,MATCH(G150,Clientes!$C$5:$C$549,0)))),"NO EXISTE en Clientes"))</f>
        <v/>
      </c>
      <c r="I150" s="17" t="inlineStr">
        <is>
          <t>DISPONIBLE</t>
        </is>
      </c>
      <c r="J150" s="17" t="inlineStr">
        <is>
          <t>ALMACEN PRINCIPAL</t>
        </is>
      </c>
      <c r="K150" s="23" t="n"/>
      <c r="L150" s="25">
        <f t="array" ref="L150">IF(K150="","",IFERROR(IF(INDEX(Clientes!$D$5:$D$549,MATCH(K150,Clientes!$C$5:$C$549,0))&lt;&gt;"",INDEX(Clientes!$D$5:$D$549,MATCH(K150,Clientes!$C$5:$C$549,0)),TRIM(INDEX(Clientes!$E$5:$E$549,MATCH(K150,Clientes!$C$5:$C$549,0))&amp;" "&amp;INDEX(Clientes!$F$5:$F$549,MATCH(K150,Clientes!$C$5:$C$549,0)))),"NO EXISTE en Clientes"))</f>
        <v/>
      </c>
      <c r="M150" s="17" t="n">
        <v>2020</v>
      </c>
      <c r="N150" s="17" t="n">
        <v>10</v>
      </c>
      <c r="O150" s="42" t="n">
        <v>44105</v>
      </c>
      <c r="P150" s="39">
        <f>IF(O150&lt;&gt;"",DATE(YEAR(O150)+10,MONTH(O150),1),IF(AND(M150&lt;&gt;"",N150&lt;&gt;""),DATE(M150+5,N150,1),""))</f>
        <v/>
      </c>
      <c r="Q150" s="23" t="n"/>
      <c r="R150" s="17" t="inlineStr">
        <is>
          <t>DOT</t>
        </is>
      </c>
      <c r="S150" s="17" t="inlineStr">
        <is>
          <t>OTRO</t>
        </is>
      </c>
      <c r="T150" s="17" t="n"/>
      <c r="U150" s="17" t="inlineStr">
        <is>
          <t>AMERICANA</t>
        </is>
      </c>
      <c r="V150" s="23" t="n"/>
      <c r="W150" s="17" t="n"/>
      <c r="X150" s="17" t="inlineStr">
        <is>
          <t>PH OXIGENO CRISTIAN</t>
        </is>
      </c>
      <c r="Y150" s="28">
        <f>IF(B150&lt;&gt;"OK","","SELECT bal_crear_balon(p_codigo_balon =&gt; "&amp;IF(TRIM(C150&amp;"")="","NULL","'"&amp;SUBSTITUTE(TRIM(C150),"'","''")&amp;"'")&amp;", p_id_tipo_balon =&gt; "&amp;"(SELECT id FROM bal_tipo_balon WHERE upper(nombre) = upper('"&amp;SUBSTITUTE(TRIM(D150),"'","''")&amp;"') AND estado = 1 LIMIT 1)"&amp;", p_id_producto_gas =&gt; "&amp;"(SELECT id FROM pro_producto WHERE es_gas = TRUE AND upper(nombre) = upper('"&amp;SUBSTITUTE(TRIM(E150),"'","''")&amp;"') AND estado = 1 LIMIT 1)"&amp;", p_id_propietario =&gt; "&amp;IF(TRIM(F150&amp;"")="","NULL","(SELECT lo.id FROM gen_lista_opciones lo JOIN gen_lista l ON l.id = lo.id_lista WHERE l.nombre = 'PropietarioBalon' AND upper(lo.nombre) = upper('"&amp;SUBSTITUTE(TRIM(F150),"'","''")&amp;"') AND lo.estado = 1 LIMIT 1)")&amp;", p_id_cliente_propietario =&gt; "&amp;IF(F150="CLIENTE",IF(TRIM(G150&amp;"")="","NULL","(SELECT id FROM cli_clientes WHERE numero_documento = '"&amp;SUBSTITUTE(TRIM(G150),"'","''")&amp;"' AND estado = 1 LIMIT 1)"),"NULL")&amp;", p_id_planta =&gt; "&amp;IF(F150="PLANTA",IF(TRIM(G150&amp;"")="","NULL","(SELECT id FROM cli_clientes WHERE numero_documento = '"&amp;SUBSTITUTE(TRIM(G150),"'","''")&amp;"'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"&amp;IF(TRIM(J150&amp;"")="","NULL","(SELECT id FROM gen_almacen WHERE upper(nombre) = upper('"&amp;SUBSTITUTE(TRIM(J150),"'","''")&amp;"') AND estado = 1 LIMIT 1)")&amp;", p_id_cliente_ubicacion =&gt; "&amp;IF(TRIM(K150&amp;"")="","NULL","(SELECT id FROM cli_clientes WHERE numero_documento = '"&amp;SUBSTITUTE(TRIM(K150),"'","''")&amp;"' AND estado = 1 LIMIT 1)")&amp;", p_id_referencia =&gt; "&amp;IF(TRIM(J150&amp;"")&lt;&gt;"","(SELECT lo.id FROM gen_lista_opciones lo JOIN gen_lista l ON l.id = lo.id_lista WHERE l.nombre = 'ReferenciaCilindro' AND upper(lo.nombre) = 'ALMACEN' AND lo.estado = 1 LIMIT 1)",IF(TRIM(K150&amp;"")&lt;&gt;"","(SELECT lo.id FROM gen_lista_opciones lo JOIN gen_lista l ON l.id = lo.id_lista WHERE l.nombre = 'ReferenciaCilindro' AND upper(lo.nombre) = 'CLIENTE' AND lo.estado = 1 LIMIT 1)","NULL"))&amp;", p_anio_fabricacion =&gt; "&amp;IF(M150&amp;""="","NULL::smallint",M150&amp;"::smallint")&amp;", p_mes_fabricacion =&gt; "&amp;IF(N150&amp;""="","NULL::smallint",N150&amp;"::smallint")&amp;", p_fecha_ultima_prueba_hidrostatica =&gt; "&amp;IF(O150&amp;""="","NULL","'"&amp;YEAR(O150)&amp;"-"&amp;TEXT(MONTH(O150),"00")&amp;"-"&amp;TEXT(DAY(O150),"00")&amp;"'")&amp;", p_numero_serie =&gt; "&amp;IF(TRIM(Q150&amp;"")="","NULL","'"&amp;SUBSTITUTE(TRIM(Q150),"'","''")&amp;"'")&amp;", p_id_marca_cilindro =&gt; "&amp;IF(TRIM(R150&amp;"")="","NULL","(SELECT lo.id FROM gen_lista_opciones lo JOIN gen_lista l ON l.id = lo.id_lista WHERE l.nombre = 'MarcaCilindro' AND upper(lo.nombre) = upper('"&amp;SUBSTITUTE(TRIM(R150),"'","''")&amp;"') AND lo.estado = 1 LIMIT 1)")&amp;", p_id_organo_inspector =&gt; "&amp;IF(TRIM(S150&amp;"")="","NULL","(SELECT lo.id FROM gen_lista_opciones lo JOIN gen_lista l ON l.id = lo.id_lista WHERE l.nombre = 'OrganoInspectorCilindro' AND upper(lo.nombre) = upper('"&amp;SUBSTITUTE(TRIM(S150),"'","''")&amp;"') AND lo.estado = 1 LIMIT 1)")&amp;", p_organo_inspector_no_aplica =&gt; "&amp;IF(S150="NO_APLICA","TRUE","FALSE")&amp;", p_presion_actual =&gt; "&amp;IF(T150&amp;""="","NULL",SUBSTITUTE(T150&amp;"",",","."))&amp;", p_tipo_valvula =&gt; "&amp;IF(TRIM(U150&amp;"")="","NULL","'"&amp;SUBSTITUTE(TRIM(U150),"'","''")&amp;"'")&amp;", p_libro_cilindro =&gt; "&amp;IF(TRIM(V150&amp;"")="","NULL","'"&amp;SUBSTITUTE(TRIM(V150),"'","''")&amp;"'")&amp;", p_pagina_libro =&gt; "&amp;IF(W150&amp;""="","NULL",SUBSTITUTE(W150&amp;"",",","."))&amp;", p_observacion =&gt; "&amp;IF(TRIM(X150&amp;"")="","NULL","'"&amp;SUBSTITUTE(TRIM(X150),"'","''")&amp;"'")&amp;") AS resultado_balon_"&amp;ROW()&amp;";")</f>
        <v/>
      </c>
    </row>
    <row r="151" ht="15.75" customHeight="1" s="64">
      <c r="A151" s="36" t="inlineStr">
        <is>
          <t>147</t>
        </is>
      </c>
      <c r="B151" s="25">
        <f>IF(AND(C151="",D151="",E151=""),"",IF(C151="","FALTA código balón",IF(D151="","FALTA tipo balón",IF(E151="","FALTA gas",IF(F151="","FALTA propietario",IF(AND(C151&lt;&gt;"",SUMPRODUCT(--($C$5:$C$1200=C151))&gt;1),"CÓDIGO BALÓN DUPLICADO",IF(AND(OR(UPPER(F151)="PLANTA",UPPER(F151)="CLIENTE"),G151=""),"FALTA doc propietario/planta",IF(AND(UPPER(F151)="PLANTA",G151="10175332796"),"PLANTA no puede ser RUC empresa","OK"))))))))</f>
        <v/>
      </c>
      <c r="C151" s="23" t="inlineStr">
        <is>
          <t>20S129171</t>
        </is>
      </c>
      <c r="D151" s="17" t="inlineStr">
        <is>
          <t>Oxígeno Industrial 6 m³</t>
        </is>
      </c>
      <c r="E151" s="17" t="inlineStr">
        <is>
          <t>OXIGENO INDUSTRIAL</t>
        </is>
      </c>
      <c r="F151" s="17" t="inlineStr">
        <is>
          <t>EMPRESA</t>
        </is>
      </c>
      <c r="G151" s="23" t="inlineStr">
        <is>
          <t>10175332796</t>
        </is>
      </c>
      <c r="H151" s="25">
        <f t="array" ref="H151">IF(G151="","",IFERROR(IF(INDEX(Clientes!$D$5:$D$549,MATCH(G151,Clientes!$C$5:$C$549,0))&lt;&gt;"",INDEX(Clientes!$D$5:$D$549,MATCH(G151,Clientes!$C$5:$C$549,0)),TRIM(INDEX(Clientes!$E$5:$E$549,MATCH(G151,Clientes!$C$5:$C$549,0))&amp;" "&amp;INDEX(Clientes!$F$5:$F$549,MATCH(G151,Clientes!$C$5:$C$549,0)))),"NO EXISTE en Clientes"))</f>
        <v/>
      </c>
      <c r="I151" s="17" t="inlineStr">
        <is>
          <t>EN_PODER_CLIENTE</t>
        </is>
      </c>
      <c r="J151" s="17" t="n"/>
      <c r="K151" s="26" t="inlineStr">
        <is>
          <t>17621023</t>
        </is>
      </c>
      <c r="L151" s="25">
        <f t="array" ref="L151">IF(K151="","",IFERROR(IF(INDEX(Clientes!$D$5:$D$549,MATCH(K151,Clientes!$C$5:$C$549,0))&lt;&gt;"",INDEX(Clientes!$D$5:$D$549,MATCH(K151,Clientes!$C$5:$C$549,0)),TRIM(INDEX(Clientes!$E$5:$E$549,MATCH(K151,Clientes!$C$5:$C$549,0))&amp;" "&amp;INDEX(Clientes!$F$5:$F$549,MATCH(K151,Clientes!$C$5:$C$549,0)))),"NO EXISTE en Clientes"))</f>
        <v/>
      </c>
      <c r="M151" s="17" t="n">
        <v>2025</v>
      </c>
      <c r="N151" s="17" t="n">
        <v>7</v>
      </c>
      <c r="O151" s="42" t="n">
        <v>45839</v>
      </c>
      <c r="P151" s="39">
        <f>IF(O151&lt;&gt;"",DATE(YEAR(O151)+10,MONTH(O151),1),IF(AND(M151&lt;&gt;"",N151&lt;&gt;""),DATE(M151+5,N151,1),""))</f>
        <v/>
      </c>
      <c r="Q151" s="23" t="n"/>
      <c r="R151" s="17" t="inlineStr">
        <is>
          <t>JP</t>
        </is>
      </c>
      <c r="S151" s="17" t="inlineStr">
        <is>
          <t>HEXAGONAL (0036)</t>
        </is>
      </c>
      <c r="T151" s="17" t="n">
        <v>2000</v>
      </c>
      <c r="U151" s="17" t="inlineStr">
        <is>
          <t>AMERICANA</t>
        </is>
      </c>
      <c r="V151" s="23" t="n"/>
      <c r="W151" s="17" t="n"/>
      <c r="X151" s="17" t="inlineStr">
        <is>
          <t>PH LINDE</t>
        </is>
      </c>
      <c r="Y151" s="28">
        <f>IF(B151&lt;&gt;"OK","","SELECT bal_crear_balon(p_codigo_balon =&gt; "&amp;IF(TRIM(C151&amp;"")="","NULL","'"&amp;SUBSTITUTE(TRIM(C151),"'","''")&amp;"'")&amp;", p_id_tipo_balon =&gt; "&amp;"(SELECT id FROM bal_tipo_balon WHERE upper(nombre) = upper('"&amp;SUBSTITUTE(TRIM(D151),"'","''")&amp;"') AND estado = 1 LIMIT 1)"&amp;", p_id_producto_gas =&gt; "&amp;"(SELECT id FROM pro_producto WHERE es_gas = TRUE AND upper(nombre) = upper('"&amp;SUBSTITUTE(TRIM(E151),"'","''")&amp;"') AND estado = 1 LIMIT 1)"&amp;", p_id_propietario =&gt; "&amp;IF(TRIM(F151&amp;"")="","NULL","(SELECT lo.id FROM gen_lista_opciones lo JOIN gen_lista l ON l.id = lo.id_lista WHERE l.nombre = 'PropietarioBalon' AND upper(lo.nombre) = upper('"&amp;SUBSTITUTE(TRIM(F151),"'","''")&amp;"') AND lo.estado = 1 LIMIT 1)")&amp;", p_id_cliente_propietario =&gt; "&amp;IF(F151="CLIENTE",IF(TRIM(G151&amp;"")="","NULL","(SELECT id FROM cli_clientes WHERE numero_documento = '"&amp;SUBSTITUTE(TRIM(G151),"'","''")&amp;"' AND estado = 1 LIMIT 1)"),"NULL")&amp;", p_id_planta =&gt; "&amp;IF(F151="PLANTA",IF(TRIM(G151&amp;"")="","NULL","(SELECT id FROM cli_clientes WHERE numero_documento = '"&amp;SUBSTITUTE(TRIM(G151),"'","''")&amp;"'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"&amp;IF(TRIM(J151&amp;"")="","NULL","(SELECT id FROM gen_almacen WHERE upper(nombre) = upper('"&amp;SUBSTITUTE(TRIM(J151),"'","''")&amp;"') AND estado = 1 LIMIT 1)")&amp;", p_id_cliente_ubicacion =&gt; "&amp;IF(TRIM(K151&amp;"")="","NULL","(SELECT id FROM cli_clientes WHERE numero_documento = '"&amp;SUBSTITUTE(TRIM(K151),"'","''")&amp;"' AND estado = 1 LIMIT 1)")&amp;", p_id_referencia =&gt; "&amp;IF(TRIM(J151&amp;"")&lt;&gt;"","(SELECT lo.id FROM gen_lista_opciones lo JOIN gen_lista l ON l.id = lo.id_lista WHERE l.nombre = 'ReferenciaCilindro' AND upper(lo.nombre) = 'ALMACEN' AND lo.estado = 1 LIMIT 1)",IF(TRIM(K151&amp;"")&lt;&gt;"","(SELECT lo.id FROM gen_lista_opciones lo JOIN gen_lista l ON l.id = lo.id_lista WHERE l.nombre = 'ReferenciaCilindro' AND upper(lo.nombre) = 'CLIENTE' AND lo.estado = 1 LIMIT 1)","NULL"))&amp;", p_anio_fabricacion =&gt; "&amp;IF(M151&amp;""="","NULL::smallint",M151&amp;"::smallint")&amp;", p_mes_fabricacion =&gt; "&amp;IF(N151&amp;""="","NULL::smallint",N151&amp;"::smallint")&amp;", p_fecha_ultima_prueba_hidrostatica =&gt; "&amp;IF(O151&amp;""="","NULL","'"&amp;YEAR(O151)&amp;"-"&amp;TEXT(MONTH(O151),"00")&amp;"-"&amp;TEXT(DAY(O151),"00")&amp;"'")&amp;", p_numero_serie =&gt; "&amp;IF(TRIM(Q151&amp;"")="","NULL","'"&amp;SUBSTITUTE(TRIM(Q151),"'","''")&amp;"'")&amp;", p_id_marca_cilindro =&gt; "&amp;IF(TRIM(R151&amp;"")="","NULL","(SELECT lo.id FROM gen_lista_opciones lo JOIN gen_lista l ON l.id = lo.id_lista WHERE l.nombre = 'MarcaCilindro' AND upper(lo.nombre) = upper('"&amp;SUBSTITUTE(TRIM(R151),"'","''")&amp;"') AND lo.estado = 1 LIMIT 1)")&amp;", p_id_organo_inspector =&gt; "&amp;IF(TRIM(S151&amp;"")="","NULL","(SELECT lo.id FROM gen_lista_opciones lo JOIN gen_lista l ON l.id = lo.id_lista WHERE l.nombre = 'OrganoInspectorCilindro' AND upper(lo.nombre) = upper('"&amp;SUBSTITUTE(TRIM(S151),"'","''")&amp;"') AND lo.estado = 1 LIMIT 1)")&amp;", p_organo_inspector_no_aplica =&gt; "&amp;IF(S151="NO_APLICA","TRUE","FALSE")&amp;", p_presion_actual =&gt; "&amp;IF(T151&amp;""="","NULL",SUBSTITUTE(T151&amp;"",",","."))&amp;", p_tipo_valvula =&gt; "&amp;IF(TRIM(U151&amp;"")="","NULL","'"&amp;SUBSTITUTE(TRIM(U151),"'","''")&amp;"'")&amp;", p_libro_cilindro =&gt; "&amp;IF(TRIM(V151&amp;"")="","NULL","'"&amp;SUBSTITUTE(TRIM(V151),"'","''")&amp;"'")&amp;", p_pagina_libro =&gt; "&amp;IF(W151&amp;""="","NULL",SUBSTITUTE(W151&amp;"",",","."))&amp;", p_observacion =&gt; "&amp;IF(TRIM(X151&amp;"")="","NULL","'"&amp;SUBSTITUTE(TRIM(X151),"'","''")&amp;"'")&amp;") AS resultado_balon_"&amp;ROW()&amp;";")</f>
        <v/>
      </c>
    </row>
    <row r="152" ht="15.75" customHeight="1" s="64">
      <c r="A152" s="36" t="inlineStr">
        <is>
          <t>148</t>
        </is>
      </c>
      <c r="B152" s="25">
        <f>IF(AND(C152="",D152="",E152=""),"",IF(C152="","FALTA código balón",IF(D152="","FALTA tipo balón",IF(E152="","FALTA gas",IF(F152="","FALTA propietario",IF(AND(C152&lt;&gt;"",SUMPRODUCT(--($C$5:$C$1200=C152))&gt;1),"CÓDIGO BALÓN DUPLICADO",IF(AND(OR(UPPER(F152)="PLANTA",UPPER(F152)="CLIENTE"),G152=""),"FALTA doc propietario/planta",IF(AND(UPPER(F152)="PLANTA",G152="10175332796"),"PLANTA no puede ser RUC empresa","OK"))))))))</f>
        <v/>
      </c>
      <c r="C152" s="23" t="inlineStr">
        <is>
          <t>20S132010</t>
        </is>
      </c>
      <c r="D152" s="17" t="inlineStr">
        <is>
          <t>Oxígeno Industrial 6 m³</t>
        </is>
      </c>
      <c r="E152" s="17" t="inlineStr">
        <is>
          <t>OXIGENO INDUSTRIAL</t>
        </is>
      </c>
      <c r="F152" s="17" t="inlineStr">
        <is>
          <t>EMPRESA</t>
        </is>
      </c>
      <c r="G152" s="23" t="inlineStr">
        <is>
          <t>10175332796</t>
        </is>
      </c>
      <c r="H152" s="25">
        <f t="array" ref="H152">IF(G152="","",IFERROR(IF(INDEX(Clientes!$D$5:$D$549,MATCH(G152,Clientes!$C$5:$C$549,0))&lt;&gt;"",INDEX(Clientes!$D$5:$D$549,MATCH(G152,Clientes!$C$5:$C$549,0)),TRIM(INDEX(Clientes!$E$5:$E$549,MATCH(G152,Clientes!$C$5:$C$549,0))&amp;" "&amp;INDEX(Clientes!$F$5:$F$549,MATCH(G152,Clientes!$C$5:$C$549,0)))),"NO EXISTE en Clientes"))</f>
        <v/>
      </c>
      <c r="I152" s="17" t="inlineStr">
        <is>
          <t>DISPONIBLE</t>
        </is>
      </c>
      <c r="J152" s="17" t="inlineStr">
        <is>
          <t>ALMACEN PRINCIPAL</t>
        </is>
      </c>
      <c r="K152" s="23" t="n"/>
      <c r="L152" s="25">
        <f t="array" ref="L152">IF(K152="","",IFERROR(IF(INDEX(Clientes!$D$5:$D$549,MATCH(K152,Clientes!$C$5:$C$549,0))&lt;&gt;"",INDEX(Clientes!$D$5:$D$549,MATCH(K152,Clientes!$C$5:$C$549,0)),TRIM(INDEX(Clientes!$E$5:$E$549,MATCH(K152,Clientes!$C$5:$C$549,0))&amp;" "&amp;INDEX(Clientes!$F$5:$F$549,MATCH(K152,Clientes!$C$5:$C$549,0)))),"NO EXISTE en Clientes"))</f>
        <v/>
      </c>
      <c r="M152" s="17" t="n">
        <v>2025</v>
      </c>
      <c r="N152" s="17" t="n">
        <v>7</v>
      </c>
      <c r="O152" s="42" t="n">
        <v>45839</v>
      </c>
      <c r="P152" s="39">
        <f>IF(O152&lt;&gt;"",DATE(YEAR(O152)+10,MONTH(O152),1),IF(AND(M152&lt;&gt;"",N152&lt;&gt;""),DATE(M152+5,N152,1),""))</f>
        <v/>
      </c>
      <c r="Q152" s="23" t="n"/>
      <c r="R152" s="17" t="inlineStr">
        <is>
          <t>JP</t>
        </is>
      </c>
      <c r="S152" s="17" t="inlineStr">
        <is>
          <t>HEXAGONAL (T10)</t>
        </is>
      </c>
      <c r="T152" s="17" t="n">
        <v>2000</v>
      </c>
      <c r="U152" s="17" t="inlineStr">
        <is>
          <t>AMERICANA</t>
        </is>
      </c>
      <c r="V152" s="23" t="n"/>
      <c r="W152" s="17" t="n"/>
      <c r="X152" s="17" t="inlineStr">
        <is>
          <t>PH LINDE</t>
        </is>
      </c>
      <c r="Y152" s="28">
        <f>IF(B152&lt;&gt;"OK","","SELECT bal_crear_balon(p_codigo_balon =&gt; "&amp;IF(TRIM(C152&amp;"")="","NULL","'"&amp;SUBSTITUTE(TRIM(C152),"'","''")&amp;"'")&amp;", p_id_tipo_balon =&gt; "&amp;"(SELECT id FROM bal_tipo_balon WHERE upper(nombre) = upper('"&amp;SUBSTITUTE(TRIM(D152),"'","''")&amp;"') AND estado = 1 LIMIT 1)"&amp;", p_id_producto_gas =&gt; "&amp;"(SELECT id FROM pro_producto WHERE es_gas = TRUE AND upper(nombre) = upper('"&amp;SUBSTITUTE(TRIM(E152),"'","''")&amp;"') AND estado = 1 LIMIT 1)"&amp;", p_id_propietario =&gt; "&amp;IF(TRIM(F152&amp;"")="","NULL","(SELECT lo.id FROM gen_lista_opciones lo JOIN gen_lista l ON l.id = lo.id_lista WHERE l.nombre = 'PropietarioBalon' AND upper(lo.nombre) = upper('"&amp;SUBSTITUTE(TRIM(F152),"'","''")&amp;"') AND lo.estado = 1 LIMIT 1)")&amp;", p_id_cliente_propietario =&gt; "&amp;IF(F152="CLIENTE",IF(TRIM(G152&amp;"")="","NULL","(SELECT id FROM cli_clientes WHERE numero_documento = '"&amp;SUBSTITUTE(TRIM(G152),"'","''")&amp;"' AND estado = 1 LIMIT 1)"),"NULL")&amp;", p_id_planta =&gt; "&amp;IF(F152="PLANTA",IF(TRIM(G152&amp;"")="","NULL","(SELECT id FROM cli_clientes WHERE numero_documento = '"&amp;SUBSTITUTE(TRIM(G152),"'","''")&amp;"'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"&amp;IF(TRIM(J152&amp;"")="","NULL","(SELECT id FROM gen_almacen WHERE upper(nombre) = upper('"&amp;SUBSTITUTE(TRIM(J152),"'","''")&amp;"') AND estado = 1 LIMIT 1)")&amp;", p_id_cliente_ubicacion =&gt; "&amp;IF(TRIM(K152&amp;"")="","NULL","(SELECT id FROM cli_clientes WHERE numero_documento = '"&amp;SUBSTITUTE(TRIM(K152),"'","''")&amp;"' AND estado = 1 LIMIT 1)")&amp;", p_id_referencia =&gt; "&amp;IF(TRIM(J152&amp;"")&lt;&gt;"","(SELECT lo.id FROM gen_lista_opciones lo JOIN gen_lista l ON l.id = lo.id_lista WHERE l.nombre = 'ReferenciaCilindro' AND upper(lo.nombre) = 'ALMACEN' AND lo.estado = 1 LIMIT 1)",IF(TRIM(K152&amp;"")&lt;&gt;"","(SELECT lo.id FROM gen_lista_opciones lo JOIN gen_lista l ON l.id = lo.id_lista WHERE l.nombre = 'ReferenciaCilindro' AND upper(lo.nombre) = 'CLIENTE' AND lo.estado = 1 LIMIT 1)","NULL"))&amp;", p_anio_fabricacion =&gt; "&amp;IF(M152&amp;""="","NULL::smallint",M152&amp;"::smallint")&amp;", p_mes_fabricacion =&gt; "&amp;IF(N152&amp;""="","NULL::smallint",N152&amp;"::smallint")&amp;", p_fecha_ultima_prueba_hidrostatica =&gt; "&amp;IF(O152&amp;""="","NULL","'"&amp;YEAR(O152)&amp;"-"&amp;TEXT(MONTH(O152),"00")&amp;"-"&amp;TEXT(DAY(O152),"00")&amp;"'")&amp;", p_numero_serie =&gt; "&amp;IF(TRIM(Q152&amp;"")="","NULL","'"&amp;SUBSTITUTE(TRIM(Q152),"'","''")&amp;"'")&amp;", p_id_marca_cilindro =&gt; "&amp;IF(TRIM(R152&amp;"")="","NULL","(SELECT lo.id FROM gen_lista_opciones lo JOIN gen_lista l ON l.id = lo.id_lista WHERE l.nombre = 'MarcaCilindro' AND upper(lo.nombre) = upper('"&amp;SUBSTITUTE(TRIM(R152),"'","''")&amp;"') AND lo.estado = 1 LIMIT 1)")&amp;", p_id_organo_inspector =&gt; "&amp;IF(TRIM(S152&amp;"")="","NULL","(SELECT lo.id FROM gen_lista_opciones lo JOIN gen_lista l ON l.id = lo.id_lista WHERE l.nombre = 'OrganoInspectorCilindro' AND upper(lo.nombre) = upper('"&amp;SUBSTITUTE(TRIM(S152),"'","''")&amp;"') AND lo.estado = 1 LIMIT 1)")&amp;", p_organo_inspector_no_aplica =&gt; "&amp;IF(S152="NO_APLICA","TRUE","FALSE")&amp;", p_presion_actual =&gt; "&amp;IF(T152&amp;""="","NULL",SUBSTITUTE(T152&amp;"",",","."))&amp;", p_tipo_valvula =&gt; "&amp;IF(TRIM(U152&amp;"")="","NULL","'"&amp;SUBSTITUTE(TRIM(U152),"'","''")&amp;"'")&amp;", p_libro_cilindro =&gt; "&amp;IF(TRIM(V152&amp;"")="","NULL","'"&amp;SUBSTITUTE(TRIM(V152),"'","''")&amp;"'")&amp;", p_pagina_libro =&gt; "&amp;IF(W152&amp;""="","NULL",SUBSTITUTE(W152&amp;"",",","."))&amp;", p_observacion =&gt; "&amp;IF(TRIM(X152&amp;"")="","NULL","'"&amp;SUBSTITUTE(TRIM(X152),"'","''")&amp;"'")&amp;") AS resultado_balon_"&amp;ROW()&amp;";")</f>
        <v/>
      </c>
    </row>
    <row r="153" ht="15.75" customHeight="1" s="64">
      <c r="A153" s="36" t="inlineStr">
        <is>
          <t>149</t>
        </is>
      </c>
      <c r="B153" s="25">
        <f>IF(AND(C153="",D153="",E153=""),"",IF(C153="","FALTA código balón",IF(D153="","FALTA tipo balón",IF(E153="","FALTA gas",IF(F153="","FALTA propietario",IF(AND(C153&lt;&gt;"",SUMPRODUCT(--($C$5:$C$1200=C153))&gt;1),"CÓDIGO BALÓN DUPLICADO",IF(AND(OR(UPPER(F153)="PLANTA",UPPER(F153)="CLIENTE"),G153=""),"FALTA doc propietario/planta",IF(AND(UPPER(F153)="PLANTA",G153="10175332796"),"PLANTA no puede ser RUC empresa","OK"))))))))</f>
        <v/>
      </c>
      <c r="C153" s="23" t="inlineStr">
        <is>
          <t>20E528088</t>
        </is>
      </c>
      <c r="D153" s="17" t="inlineStr">
        <is>
          <t>Oxígeno Industrial 10 m³</t>
        </is>
      </c>
      <c r="E153" s="17" t="inlineStr">
        <is>
          <t>OXIGENO INDUSTRIAL</t>
        </is>
      </c>
      <c r="F153" s="17" t="inlineStr">
        <is>
          <t>EMPRESA</t>
        </is>
      </c>
      <c r="G153" s="23" t="inlineStr">
        <is>
          <t>10175332796</t>
        </is>
      </c>
      <c r="H153" s="25">
        <f t="array" ref="H153">IF(G153="","",IFERROR(IF(INDEX(Clientes!$D$5:$D$549,MATCH(G153,Clientes!$C$5:$C$549,0))&lt;&gt;"",INDEX(Clientes!$D$5:$D$549,MATCH(G153,Clientes!$C$5:$C$549,0)),TRIM(INDEX(Clientes!$E$5:$E$549,MATCH(G153,Clientes!$C$5:$C$549,0))&amp;" "&amp;INDEX(Clientes!$F$5:$F$549,MATCH(G153,Clientes!$C$5:$C$549,0)))),"NO EXISTE en Clientes"))</f>
        <v/>
      </c>
      <c r="I153" s="17" t="inlineStr">
        <is>
          <t>DISPONIBLE</t>
        </is>
      </c>
      <c r="J153" s="17" t="inlineStr">
        <is>
          <t>ALMACEN PRINCIPAL</t>
        </is>
      </c>
      <c r="K153" s="23" t="n"/>
      <c r="L153" s="25">
        <f t="array" ref="L153">IF(K153="","",IFERROR(IF(INDEX(Clientes!$D$5:$D$549,MATCH(K153,Clientes!$C$5:$C$549,0))&lt;&gt;"",INDEX(Clientes!$D$5:$D$549,MATCH(K153,Clientes!$C$5:$C$549,0)),TRIM(INDEX(Clientes!$E$5:$E$549,MATCH(K153,Clientes!$C$5:$C$549,0))&amp;" "&amp;INDEX(Clientes!$F$5:$F$549,MATCH(K153,Clientes!$C$5:$C$549,0)))),"NO EXISTE en Clientes"))</f>
        <v/>
      </c>
      <c r="M153" s="17" t="n">
        <v>2025</v>
      </c>
      <c r="N153" s="17" t="n">
        <v>10</v>
      </c>
      <c r="O153" s="42" t="n">
        <v>45931</v>
      </c>
      <c r="P153" s="39">
        <f>IF(O153&lt;&gt;"",DATE(YEAR(O153)+10,MONTH(O153),1),IF(AND(M153&lt;&gt;"",N153&lt;&gt;""),DATE(M153+5,N153,1),""))</f>
        <v/>
      </c>
      <c r="Q153" s="23" t="n"/>
      <c r="R153" s="17" t="inlineStr">
        <is>
          <t>SUIZA</t>
        </is>
      </c>
      <c r="S153" s="17" t="inlineStr">
        <is>
          <t>CIRCULO (J)</t>
        </is>
      </c>
      <c r="T153" s="17" t="n">
        <v>2800</v>
      </c>
      <c r="U153" s="17" t="n"/>
      <c r="V153" s="23" t="n"/>
      <c r="W153" s="17" t="n"/>
      <c r="X153" s="17" t="n"/>
      <c r="Y153" s="28">
        <f>IF(B153&lt;&gt;"OK","","SELECT bal_crear_balon(p_codigo_balon =&gt; "&amp;IF(TRIM(C153&amp;"")="","NULL","'"&amp;SUBSTITUTE(TRIM(C153),"'","''")&amp;"'")&amp;", p_id_tipo_balon =&gt; "&amp;"(SELECT id FROM bal_tipo_balon WHERE upper(nombre) = upper('"&amp;SUBSTITUTE(TRIM(D153),"'","''")&amp;"') AND estado = 1 LIMIT 1)"&amp;", p_id_producto_gas =&gt; "&amp;"(SELECT id FROM pro_producto WHERE es_gas = TRUE AND upper(nombre) = upper('"&amp;SUBSTITUTE(TRIM(E153),"'","''")&amp;"') AND estado = 1 LIMIT 1)"&amp;", p_id_propietario =&gt; "&amp;IF(TRIM(F153&amp;"")="","NULL","(SELECT lo.id FROM gen_lista_opciones lo JOIN gen_lista l ON l.id = lo.id_lista WHERE l.nombre = 'PropietarioBalon' AND upper(lo.nombre) = upper('"&amp;SUBSTITUTE(TRIM(F153),"'","''")&amp;"') AND lo.estado = 1 LIMIT 1)")&amp;", p_id_cliente_propietario =&gt; "&amp;IF(F153="CLIENTE",IF(TRIM(G153&amp;"")="","NULL","(SELECT id FROM cli_clientes WHERE numero_documento = '"&amp;SUBSTITUTE(TRIM(G153),"'","''")&amp;"' AND estado = 1 LIMIT 1)"),"NULL")&amp;", p_id_planta =&gt; "&amp;IF(F153="PLANTA",IF(TRIM(G153&amp;"")="","NULL","(SELECT id FROM cli_clientes WHERE numero_documento = '"&amp;SUBSTITUTE(TRIM(G153),"'","''")&amp;"'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"&amp;IF(TRIM(J153&amp;"")="","NULL","(SELECT id FROM gen_almacen WHERE upper(nombre) = upper('"&amp;SUBSTITUTE(TRIM(J153),"'","''")&amp;"') AND estado = 1 LIMIT 1)")&amp;", p_id_cliente_ubicacion =&gt; "&amp;IF(TRIM(K153&amp;"")="","NULL","(SELECT id FROM cli_clientes WHERE numero_documento = '"&amp;SUBSTITUTE(TRIM(K153),"'","''")&amp;"' AND estado = 1 LIMIT 1)")&amp;", p_id_referencia =&gt; "&amp;IF(TRIM(J153&amp;"")&lt;&gt;"","(SELECT lo.id FROM gen_lista_opciones lo JOIN gen_lista l ON l.id = lo.id_lista WHERE l.nombre = 'ReferenciaCilindro' AND upper(lo.nombre) = 'ALMACEN' AND lo.estado = 1 LIMIT 1)",IF(TRIM(K153&amp;"")&lt;&gt;"","(SELECT lo.id FROM gen_lista_opciones lo JOIN gen_lista l ON l.id = lo.id_lista WHERE l.nombre = 'ReferenciaCilindro' AND upper(lo.nombre) = 'CLIENTE' AND lo.estado = 1 LIMIT 1)","NULL"))&amp;", p_anio_fabricacion =&gt; "&amp;IF(M153&amp;""="","NULL::smallint",M153&amp;"::smallint")&amp;", p_mes_fabricacion =&gt; "&amp;IF(N153&amp;""="","NULL::smallint",N153&amp;"::smallint")&amp;", p_fecha_ultima_prueba_hidrostatica =&gt; "&amp;IF(O153&amp;""="","NULL","'"&amp;YEAR(O153)&amp;"-"&amp;TEXT(MONTH(O153),"00")&amp;"-"&amp;TEXT(DAY(O153),"00")&amp;"'")&amp;", p_numero_serie =&gt; "&amp;IF(TRIM(Q153&amp;"")="","NULL","'"&amp;SUBSTITUTE(TRIM(Q153),"'","''")&amp;"'")&amp;", p_id_marca_cilindro =&gt; "&amp;IF(TRIM(R153&amp;"")="","NULL","(SELECT lo.id FROM gen_lista_opciones lo JOIN gen_lista l ON l.id = lo.id_lista WHERE l.nombre = 'MarcaCilindro' AND upper(lo.nombre) = upper('"&amp;SUBSTITUTE(TRIM(R153),"'","''")&amp;"') AND lo.estado = 1 LIMIT 1)")&amp;", p_id_organo_inspector =&gt; "&amp;IF(TRIM(S153&amp;"")="","NULL","(SELECT lo.id FROM gen_lista_opciones lo JOIN gen_lista l ON l.id = lo.id_lista WHERE l.nombre = 'OrganoInspectorCilindro' AND upper(lo.nombre) = upper('"&amp;SUBSTITUTE(TRIM(S153),"'","''")&amp;"') AND lo.estado = 1 LIMIT 1)")&amp;", p_organo_inspector_no_aplica =&gt; "&amp;IF(S153="NO_APLICA","TRUE","FALSE")&amp;", p_presion_actual =&gt; "&amp;IF(T153&amp;""="","NULL",SUBSTITUTE(T153&amp;"",",","."))&amp;", p_tipo_valvula =&gt; "&amp;IF(TRIM(U153&amp;"")="","NULL","'"&amp;SUBSTITUTE(TRIM(U153),"'","''")&amp;"'")&amp;", p_libro_cilindro =&gt; "&amp;IF(TRIM(V153&amp;"")="","NULL","'"&amp;SUBSTITUTE(TRIM(V153),"'","''")&amp;"'")&amp;", p_pagina_libro =&gt; "&amp;IF(W153&amp;""="","NULL",SUBSTITUTE(W153&amp;"",",","."))&amp;", p_observacion =&gt; "&amp;IF(TRIM(X153&amp;"")="","NULL","'"&amp;SUBSTITUTE(TRIM(X153),"'","''")&amp;"'")&amp;") AS resultado_balon_"&amp;ROW()&amp;";")</f>
        <v/>
      </c>
    </row>
    <row r="154" ht="15.75" customHeight="1" s="64">
      <c r="A154" s="36" t="inlineStr">
        <is>
          <t>150</t>
        </is>
      </c>
      <c r="B154" s="25">
        <f>IF(AND(C154="",D154="",E154=""),"",IF(C154="","FALTA código balón",IF(D154="","FALTA tipo balón",IF(E154="","FALTA gas",IF(F154="","FALTA propietario",IF(AND(C154&lt;&gt;"",SUMPRODUCT(--($C$5:$C$1200=C154))&gt;1),"CÓDIGO BALÓN DUPLICADO",IF(AND(OR(UPPER(F154)="PLANTA",UPPER(F154)="CLIENTE"),G154=""),"FALTA doc propietario/planta",IF(AND(UPPER(F154)="PLANTA",G154="10175332796"),"PLANTA no puede ser RUC empresa","OK"))))))))</f>
        <v/>
      </c>
      <c r="C154" s="23" t="inlineStr">
        <is>
          <t>K4854158</t>
        </is>
      </c>
      <c r="D154" s="17" t="inlineStr">
        <is>
          <t>Oxígeno Industrial 10 m³</t>
        </is>
      </c>
      <c r="E154" s="17" t="inlineStr">
        <is>
          <t>OXIGENO INDUSTRIAL</t>
        </is>
      </c>
      <c r="F154" s="17" t="inlineStr">
        <is>
          <t>EMPRESA</t>
        </is>
      </c>
      <c r="G154" s="23" t="inlineStr">
        <is>
          <t>10175332796</t>
        </is>
      </c>
      <c r="H154" s="25">
        <f t="array" ref="H154">IF(G154="","",IFERROR(IF(INDEX(Clientes!$D$5:$D$549,MATCH(G154,Clientes!$C$5:$C$549,0))&lt;&gt;"",INDEX(Clientes!$D$5:$D$549,MATCH(G154,Clientes!$C$5:$C$549,0)),TRIM(INDEX(Clientes!$E$5:$E$549,MATCH(G154,Clientes!$C$5:$C$549,0))&amp;" "&amp;INDEX(Clientes!$F$5:$F$549,MATCH(G154,Clientes!$C$5:$C$549,0)))),"NO EXISTE en Clientes"))</f>
        <v/>
      </c>
      <c r="I154" s="17" t="inlineStr">
        <is>
          <t>DISPONIBLE</t>
        </is>
      </c>
      <c r="J154" s="17" t="inlineStr">
        <is>
          <t>ALMACEN PRINCIPAL</t>
        </is>
      </c>
      <c r="K154" s="23" t="n"/>
      <c r="L154" s="25">
        <f t="array" ref="L154">IF(K154="","",IFERROR(IF(INDEX(Clientes!$D$5:$D$549,MATCH(K154,Clientes!$C$5:$C$549,0))&lt;&gt;"",INDEX(Clientes!$D$5:$D$549,MATCH(K154,Clientes!$C$5:$C$549,0)),TRIM(INDEX(Clientes!$E$5:$E$549,MATCH(K154,Clientes!$C$5:$C$549,0))&amp;" "&amp;INDEX(Clientes!$F$5:$F$549,MATCH(K154,Clientes!$C$5:$C$549,0)))),"NO EXISTE en Clientes"))</f>
        <v/>
      </c>
      <c r="M154" s="17" t="n">
        <v>2025</v>
      </c>
      <c r="N154" s="17" t="n">
        <v>9</v>
      </c>
      <c r="O154" s="42" t="n">
        <v>45901</v>
      </c>
      <c r="P154" s="39">
        <f>IF(O154&lt;&gt;"",DATE(YEAR(O154)+10,MONTH(O154),1),IF(AND(M154&lt;&gt;"",N154&lt;&gt;""),DATE(M154+5,N154,1),""))</f>
        <v/>
      </c>
      <c r="Q154" s="23" t="n"/>
      <c r="R154" s="17" t="inlineStr">
        <is>
          <t>JD</t>
        </is>
      </c>
      <c r="S154" s="17" t="inlineStr">
        <is>
          <t>TS</t>
        </is>
      </c>
      <c r="T154" s="17" t="n">
        <v>2800</v>
      </c>
      <c r="U154" s="17" t="n"/>
      <c r="V154" s="23" t="n"/>
      <c r="W154" s="17" t="n"/>
      <c r="X154" s="17" t="inlineStr">
        <is>
          <t>PH LINDE</t>
        </is>
      </c>
      <c r="Y154" s="28">
        <f>IF(B154&lt;&gt;"OK","","SELECT bal_crear_balon(p_codigo_balon =&gt; "&amp;IF(TRIM(C154&amp;"")="","NULL","'"&amp;SUBSTITUTE(TRIM(C154),"'","''")&amp;"'")&amp;", p_id_tipo_balon =&gt; "&amp;"(SELECT id FROM bal_tipo_balon WHERE upper(nombre) = upper('"&amp;SUBSTITUTE(TRIM(D154),"'","''")&amp;"') AND estado = 1 LIMIT 1)"&amp;", p_id_producto_gas =&gt; "&amp;"(SELECT id FROM pro_producto WHERE es_gas = TRUE AND upper(nombre) = upper('"&amp;SUBSTITUTE(TRIM(E154),"'","''")&amp;"') AND estado = 1 LIMIT 1)"&amp;", p_id_propietario =&gt; "&amp;IF(TRIM(F154&amp;"")="","NULL","(SELECT lo.id FROM gen_lista_opciones lo JOIN gen_lista l ON l.id = lo.id_lista WHERE l.nombre = 'PropietarioBalon' AND upper(lo.nombre) = upper('"&amp;SUBSTITUTE(TRIM(F154),"'","''")&amp;"') AND lo.estado = 1 LIMIT 1)")&amp;", p_id_cliente_propietario =&gt; "&amp;IF(F154="CLIENTE",IF(TRIM(G154&amp;"")="","NULL","(SELECT id FROM cli_clientes WHERE numero_documento = '"&amp;SUBSTITUTE(TRIM(G154),"'","''")&amp;"' AND estado = 1 LIMIT 1)"),"NULL")&amp;", p_id_planta =&gt; "&amp;IF(F154="PLANTA",IF(TRIM(G154&amp;"")="","NULL","(SELECT id FROM cli_clientes WHERE numero_documento = '"&amp;SUBSTITUTE(TRIM(G154),"'","''")&amp;"'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"&amp;IF(TRIM(J154&amp;"")="","NULL","(SELECT id FROM gen_almacen WHERE upper(nombre) = upper('"&amp;SUBSTITUTE(TRIM(J154),"'","''")&amp;"') AND estado = 1 LIMIT 1)")&amp;", p_id_cliente_ubicacion =&gt; "&amp;IF(TRIM(K154&amp;"")="","NULL","(SELECT id FROM cli_clientes WHERE numero_documento = '"&amp;SUBSTITUTE(TRIM(K154),"'","''")&amp;"' AND estado = 1 LIMIT 1)")&amp;", p_id_referencia =&gt; "&amp;IF(TRIM(J154&amp;"")&lt;&gt;"","(SELECT lo.id FROM gen_lista_opciones lo JOIN gen_lista l ON l.id = lo.id_lista WHERE l.nombre = 'ReferenciaCilindro' AND upper(lo.nombre) = 'ALMACEN' AND lo.estado = 1 LIMIT 1)",IF(TRIM(K154&amp;"")&lt;&gt;"","(SELECT lo.id FROM gen_lista_opciones lo JOIN gen_lista l ON l.id = lo.id_lista WHERE l.nombre = 'ReferenciaCilindro' AND upper(lo.nombre) = 'CLIENTE' AND lo.estado = 1 LIMIT 1)","NULL"))&amp;", p_anio_fabricacion =&gt; "&amp;IF(M154&amp;""="","NULL::smallint",M154&amp;"::smallint")&amp;", p_mes_fabricacion =&gt; "&amp;IF(N154&amp;""="","NULL::smallint",N154&amp;"::smallint")&amp;", p_fecha_ultima_prueba_hidrostatica =&gt; "&amp;IF(O154&amp;""="","NULL","'"&amp;YEAR(O154)&amp;"-"&amp;TEXT(MONTH(O154),"00")&amp;"-"&amp;TEXT(DAY(O154),"00")&amp;"'")&amp;", p_numero_serie =&gt; "&amp;IF(TRIM(Q154&amp;"")="","NULL","'"&amp;SUBSTITUTE(TRIM(Q154),"'","''")&amp;"'")&amp;", p_id_marca_cilindro =&gt; "&amp;IF(TRIM(R154&amp;"")="","NULL","(SELECT lo.id FROM gen_lista_opciones lo JOIN gen_lista l ON l.id = lo.id_lista WHERE l.nombre = 'MarcaCilindro' AND upper(lo.nombre) = upper('"&amp;SUBSTITUTE(TRIM(R154),"'","''")&amp;"') AND lo.estado = 1 LIMIT 1)")&amp;", p_id_organo_inspector =&gt; "&amp;IF(TRIM(S154&amp;"")="","NULL","(SELECT lo.id FROM gen_lista_opciones lo JOIN gen_lista l ON l.id = lo.id_lista WHERE l.nombre = 'OrganoInspectorCilindro' AND upper(lo.nombre) = upper('"&amp;SUBSTITUTE(TRIM(S154),"'","''")&amp;"') AND lo.estado = 1 LIMIT 1)")&amp;", p_organo_inspector_no_aplica =&gt; "&amp;IF(S154="NO_APLICA","TRUE","FALSE")&amp;", p_presion_actual =&gt; "&amp;IF(T154&amp;""="","NULL",SUBSTITUTE(T154&amp;"",",","."))&amp;", p_tipo_valvula =&gt; "&amp;IF(TRIM(U154&amp;"")="","NULL","'"&amp;SUBSTITUTE(TRIM(U154),"'","''")&amp;"'")&amp;", p_libro_cilindro =&gt; "&amp;IF(TRIM(V154&amp;"")="","NULL","'"&amp;SUBSTITUTE(TRIM(V154),"'","''")&amp;"'")&amp;", p_pagina_libro =&gt; "&amp;IF(W154&amp;""="","NULL",SUBSTITUTE(W154&amp;"",",","."))&amp;", p_observacion =&gt; "&amp;IF(TRIM(X154&amp;"")="","NULL","'"&amp;SUBSTITUTE(TRIM(X154),"'","''")&amp;"'")&amp;") AS resultado_balon_"&amp;ROW()&amp;";")</f>
        <v/>
      </c>
    </row>
    <row r="155" ht="15.75" customHeight="1" s="64">
      <c r="A155" s="36" t="inlineStr">
        <is>
          <t>151</t>
        </is>
      </c>
      <c r="B155" s="25">
        <f>IF(AND(C155="",D155="",E155=""),"",IF(C155="","FALTA código balón",IF(D155="","FALTA tipo balón",IF(E155="","FALTA gas",IF(F155="","FALTA propietario",IF(AND(C155&lt;&gt;"",SUMPRODUCT(--($C$5:$C$1200=C155))&gt;1),"CÓDIGO BALÓN DUPLICADO",IF(AND(OR(UPPER(F155)="PLANTA",UPPER(F155)="CLIENTE"),G155=""),"FALTA doc propietario/planta",IF(AND(UPPER(F155)="PLANTA",G155="10175332796"),"PLANTA no puede ser RUC empresa","OK"))))))))</f>
        <v/>
      </c>
      <c r="C155" s="23" t="inlineStr">
        <is>
          <t>20K646182</t>
        </is>
      </c>
      <c r="D155" s="17" t="inlineStr">
        <is>
          <t>Oxígeno Industrial 10 m³</t>
        </is>
      </c>
      <c r="E155" s="17" t="inlineStr">
        <is>
          <t>OXIGENO INDUSTRIAL</t>
        </is>
      </c>
      <c r="F155" s="17" t="inlineStr">
        <is>
          <t>EMPRESA</t>
        </is>
      </c>
      <c r="G155" s="23" t="inlineStr">
        <is>
          <t>10175332796</t>
        </is>
      </c>
      <c r="H155" s="25">
        <f t="array" ref="H155">IF(G155="","",IFERROR(IF(INDEX(Clientes!$D$5:$D$549,MATCH(G155,Clientes!$C$5:$C$549,0))&lt;&gt;"",INDEX(Clientes!$D$5:$D$549,MATCH(G155,Clientes!$C$5:$C$549,0)),TRIM(INDEX(Clientes!$E$5:$E$549,MATCH(G155,Clientes!$C$5:$C$549,0))&amp;" "&amp;INDEX(Clientes!$F$5:$F$549,MATCH(G155,Clientes!$C$5:$C$549,0)))),"NO EXISTE en Clientes"))</f>
        <v/>
      </c>
      <c r="I155" s="17" t="inlineStr">
        <is>
          <t>DISPONIBLE</t>
        </is>
      </c>
      <c r="J155" s="17" t="inlineStr">
        <is>
          <t>ALMACEN PRINCIPAL</t>
        </is>
      </c>
      <c r="K155" s="23" t="n"/>
      <c r="L155" s="25">
        <f t="array" ref="L155">IF(K155="","",IFERROR(IF(INDEX(Clientes!$D$5:$D$549,MATCH(K155,Clientes!$C$5:$C$549,0))&lt;&gt;"",INDEX(Clientes!$D$5:$D$549,MATCH(K155,Clientes!$C$5:$C$549,0)),TRIM(INDEX(Clientes!$E$5:$E$549,MATCH(K155,Clientes!$C$5:$C$549,0))&amp;" "&amp;INDEX(Clientes!$F$5:$F$549,MATCH(K155,Clientes!$C$5:$C$549,0)))),"NO EXISTE en Clientes"))</f>
        <v/>
      </c>
      <c r="M155" s="17" t="n">
        <v>2020</v>
      </c>
      <c r="N155" s="17" t="n">
        <v>9</v>
      </c>
      <c r="O155" s="42" t="n">
        <v>44075</v>
      </c>
      <c r="P155" s="39">
        <f>IF(O155&lt;&gt;"",DATE(YEAR(O155)+10,MONTH(O155),1),IF(AND(M155&lt;&gt;"",N155&lt;&gt;""),DATE(M155+5,N155,1),""))</f>
        <v/>
      </c>
      <c r="Q155" s="23" t="n"/>
      <c r="R155" s="17" t="inlineStr">
        <is>
          <t>JP</t>
        </is>
      </c>
      <c r="S155" s="17" t="inlineStr">
        <is>
          <t>OTRO</t>
        </is>
      </c>
      <c r="T155" s="17" t="n">
        <v>2800</v>
      </c>
      <c r="U155" s="17" t="n"/>
      <c r="V155" s="23" t="n"/>
      <c r="W155" s="17" t="n"/>
      <c r="X155" s="17" t="n"/>
      <c r="Y155" s="28">
        <f>IF(B155&lt;&gt;"OK","","SELECT bal_crear_balon(p_codigo_balon =&gt; "&amp;IF(TRIM(C155&amp;"")="","NULL","'"&amp;SUBSTITUTE(TRIM(C155),"'","''")&amp;"'")&amp;", p_id_tipo_balon =&gt; "&amp;"(SELECT id FROM bal_tipo_balon WHERE upper(nombre) = upper('"&amp;SUBSTITUTE(TRIM(D155),"'","''")&amp;"') AND estado = 1 LIMIT 1)"&amp;", p_id_producto_gas =&gt; "&amp;"(SELECT id FROM pro_producto WHERE es_gas = TRUE AND upper(nombre) = upper('"&amp;SUBSTITUTE(TRIM(E155),"'","''")&amp;"') AND estado = 1 LIMIT 1)"&amp;", p_id_propietario =&gt; "&amp;IF(TRIM(F155&amp;"")="","NULL","(SELECT lo.id FROM gen_lista_opciones lo JOIN gen_lista l ON l.id = lo.id_lista WHERE l.nombre = 'PropietarioBalon' AND upper(lo.nombre) = upper('"&amp;SUBSTITUTE(TRIM(F155),"'","''")&amp;"') AND lo.estado = 1 LIMIT 1)")&amp;", p_id_cliente_propietario =&gt; "&amp;IF(F155="CLIENTE",IF(TRIM(G155&amp;"")="","NULL","(SELECT id FROM cli_clientes WHERE numero_documento = '"&amp;SUBSTITUTE(TRIM(G155),"'","''")&amp;"' AND estado = 1 LIMIT 1)"),"NULL")&amp;", p_id_planta =&gt; "&amp;IF(F155="PLANTA",IF(TRIM(G155&amp;"")="","NULL","(SELECT id FROM cli_clientes WHERE numero_documento = '"&amp;SUBSTITUTE(TRIM(G155),"'","''")&amp;"'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"&amp;IF(TRIM(J155&amp;"")="","NULL","(SELECT id FROM gen_almacen WHERE upper(nombre) = upper('"&amp;SUBSTITUTE(TRIM(J155),"'","''")&amp;"') AND estado = 1 LIMIT 1)")&amp;", p_id_cliente_ubicacion =&gt; "&amp;IF(TRIM(K155&amp;"")="","NULL","(SELECT id FROM cli_clientes WHERE numero_documento = '"&amp;SUBSTITUTE(TRIM(K155),"'","''")&amp;"' AND estado = 1 LIMIT 1)")&amp;", p_id_referencia =&gt; "&amp;IF(TRIM(J155&amp;"")&lt;&gt;"","(SELECT lo.id FROM gen_lista_opciones lo JOIN gen_lista l ON l.id = lo.id_lista WHERE l.nombre = 'ReferenciaCilindro' AND upper(lo.nombre) = 'ALMACEN' AND lo.estado = 1 LIMIT 1)",IF(TRIM(K155&amp;"")&lt;&gt;"","(SELECT lo.id FROM gen_lista_opciones lo JOIN gen_lista l ON l.id = lo.id_lista WHERE l.nombre = 'ReferenciaCilindro' AND upper(lo.nombre) = 'CLIENTE' AND lo.estado = 1 LIMIT 1)","NULL"))&amp;", p_anio_fabricacion =&gt; "&amp;IF(M155&amp;""="","NULL::smallint",M155&amp;"::smallint")&amp;", p_mes_fabricacion =&gt; "&amp;IF(N155&amp;""="","NULL::smallint",N155&amp;"::smallint")&amp;", p_fecha_ultima_prueba_hidrostatica =&gt; "&amp;IF(O155&amp;""="","NULL","'"&amp;YEAR(O155)&amp;"-"&amp;TEXT(MONTH(O155),"00")&amp;"-"&amp;TEXT(DAY(O155),"00")&amp;"'")&amp;", p_numero_serie =&gt; "&amp;IF(TRIM(Q155&amp;"")="","NULL","'"&amp;SUBSTITUTE(TRIM(Q155),"'","''")&amp;"'")&amp;", p_id_marca_cilindro =&gt; "&amp;IF(TRIM(R155&amp;"")="","NULL","(SELECT lo.id FROM gen_lista_opciones lo JOIN gen_lista l ON l.id = lo.id_lista WHERE l.nombre = 'MarcaCilindro' AND upper(lo.nombre) = upper('"&amp;SUBSTITUTE(TRIM(R155),"'","''")&amp;"') AND lo.estado = 1 LIMIT 1)")&amp;", p_id_organo_inspector =&gt; "&amp;IF(TRIM(S155&amp;"")="","NULL","(SELECT lo.id FROM gen_lista_opciones lo JOIN gen_lista l ON l.id = lo.id_lista WHERE l.nombre = 'OrganoInspectorCilindro' AND upper(lo.nombre) = upper('"&amp;SUBSTITUTE(TRIM(S155),"'","''")&amp;"') AND lo.estado = 1 LIMIT 1)")&amp;", p_organo_inspector_no_aplica =&gt; "&amp;IF(S155="NO_APLICA","TRUE","FALSE")&amp;", p_presion_actual =&gt; "&amp;IF(T155&amp;""="","NULL",SUBSTITUTE(T155&amp;"",",","."))&amp;", p_tipo_valvula =&gt; "&amp;IF(TRIM(U155&amp;"")="","NULL","'"&amp;SUBSTITUTE(TRIM(U155),"'","''")&amp;"'")&amp;", p_libro_cilindro =&gt; "&amp;IF(TRIM(V155&amp;"")="","NULL","'"&amp;SUBSTITUTE(TRIM(V155),"'","''")&amp;"'")&amp;", p_pagina_libro =&gt; "&amp;IF(W155&amp;""="","NULL",SUBSTITUTE(W155&amp;"",",","."))&amp;", p_observacion =&gt; "&amp;IF(TRIM(X155&amp;"")="","NULL","'"&amp;SUBSTITUTE(TRIM(X155),"'","''")&amp;"'")&amp;") AS resultado_balon_"&amp;ROW()&amp;";")</f>
        <v/>
      </c>
    </row>
    <row r="156" ht="15.75" customHeight="1" s="64">
      <c r="A156" s="36" t="inlineStr">
        <is>
          <t>152</t>
        </is>
      </c>
      <c r="B156" s="25">
        <f>IF(AND(C156="",D156="",E156=""),"",IF(C156="","FALTA código balón",IF(D156="","FALTA tipo balón",IF(E156="","FALTA gas",IF(F156="","FALTA propietario",IF(AND(C156&lt;&gt;"",SUMPRODUCT(--($C$5:$C$1200=C156))&gt;1),"CÓDIGO BALÓN DUPLICADO",IF(AND(OR(UPPER(F156)="PLANTA",UPPER(F156)="CLIENTE"),G156=""),"FALTA doc propietario/planta",IF(AND(UPPER(F156)="PLANTA",G156="10175332796"),"PLANTA no puede ser RUC empresa","OK"))))))))</f>
        <v/>
      </c>
      <c r="C156" s="23" t="inlineStr">
        <is>
          <t>N847171</t>
        </is>
      </c>
      <c r="D156" s="17" t="inlineStr">
        <is>
          <t>Oxígeno Industrial 10 m³</t>
        </is>
      </c>
      <c r="E156" s="17" t="inlineStr">
        <is>
          <t>OXIGENO INDUSTRIAL</t>
        </is>
      </c>
      <c r="F156" s="17" t="inlineStr">
        <is>
          <t>EMPRESA</t>
        </is>
      </c>
      <c r="G156" s="23" t="inlineStr">
        <is>
          <t>10175332796</t>
        </is>
      </c>
      <c r="H156" s="25">
        <f t="array" ref="H156">IF(G156="","",IFERROR(IF(INDEX(Clientes!$D$5:$D$549,MATCH(G156,Clientes!$C$5:$C$549,0))&lt;&gt;"",INDEX(Clientes!$D$5:$D$549,MATCH(G156,Clientes!$C$5:$C$549,0)),TRIM(INDEX(Clientes!$E$5:$E$549,MATCH(G156,Clientes!$C$5:$C$549,0))&amp;" "&amp;INDEX(Clientes!$F$5:$F$549,MATCH(G156,Clientes!$C$5:$C$549,0)))),"NO EXISTE en Clientes"))</f>
        <v/>
      </c>
      <c r="I156" s="17" t="inlineStr">
        <is>
          <t>DISPONIBLE</t>
        </is>
      </c>
      <c r="J156" s="17" t="inlineStr">
        <is>
          <t>ALMACEN PRINCIPAL</t>
        </is>
      </c>
      <c r="K156" s="23" t="n"/>
      <c r="L156" s="25">
        <f t="array" ref="L156">IF(K156="","",IFERROR(IF(INDEX(Clientes!$D$5:$D$549,MATCH(K156,Clientes!$C$5:$C$549,0))&lt;&gt;"",INDEX(Clientes!$D$5:$D$549,MATCH(K156,Clientes!$C$5:$C$549,0)),TRIM(INDEX(Clientes!$E$5:$E$549,MATCH(K156,Clientes!$C$5:$C$549,0))&amp;" "&amp;INDEX(Clientes!$F$5:$F$549,MATCH(K156,Clientes!$C$5:$C$549,0)))),"NO EXISTE en Clientes"))</f>
        <v/>
      </c>
      <c r="M156" s="17" t="n">
        <v>2020</v>
      </c>
      <c r="N156" s="17" t="n">
        <v>9</v>
      </c>
      <c r="O156" s="42" t="n">
        <v>44075</v>
      </c>
      <c r="P156" s="39">
        <f>IF(O156&lt;&gt;"",DATE(YEAR(O156)+10,MONTH(O156),1),IF(AND(M156&lt;&gt;"",N156&lt;&gt;""),DATE(M156+5,N156,1),""))</f>
        <v/>
      </c>
      <c r="Q156" s="23" t="n"/>
      <c r="R156" s="17" t="inlineStr">
        <is>
          <t>ARGENTINA</t>
        </is>
      </c>
      <c r="S156" s="17" t="inlineStr">
        <is>
          <t>OTRO</t>
        </is>
      </c>
      <c r="T156" s="17" t="n">
        <v>2800</v>
      </c>
      <c r="U156" s="17" t="n"/>
      <c r="V156" s="23" t="n"/>
      <c r="W156" s="17" t="n"/>
      <c r="X156" s="17" t="n"/>
      <c r="Y156" s="28">
        <f>IF(B156&lt;&gt;"OK","","SELECT bal_crear_balon(p_codigo_balon =&gt; "&amp;IF(TRIM(C156&amp;"")="","NULL","'"&amp;SUBSTITUTE(TRIM(C156),"'","''")&amp;"'")&amp;", p_id_tipo_balon =&gt; "&amp;"(SELECT id FROM bal_tipo_balon WHERE upper(nombre) = upper('"&amp;SUBSTITUTE(TRIM(D156),"'","''")&amp;"') AND estado = 1 LIMIT 1)"&amp;", p_id_producto_gas =&gt; "&amp;"(SELECT id FROM pro_producto WHERE es_gas = TRUE AND upper(nombre) = upper('"&amp;SUBSTITUTE(TRIM(E156),"'","''")&amp;"') AND estado = 1 LIMIT 1)"&amp;", p_id_propietario =&gt; "&amp;IF(TRIM(F156&amp;"")="","NULL","(SELECT lo.id FROM gen_lista_opciones lo JOIN gen_lista l ON l.id = lo.id_lista WHERE l.nombre = 'PropietarioBalon' AND upper(lo.nombre) = upper('"&amp;SUBSTITUTE(TRIM(F156),"'","''")&amp;"') AND lo.estado = 1 LIMIT 1)")&amp;", p_id_cliente_propietario =&gt; "&amp;IF(F156="CLIENTE",IF(TRIM(G156&amp;"")="","NULL","(SELECT id FROM cli_clientes WHERE numero_documento = '"&amp;SUBSTITUTE(TRIM(G156),"'","''")&amp;"' AND estado = 1 LIMIT 1)"),"NULL")&amp;", p_id_planta =&gt; "&amp;IF(F156="PLANTA",IF(TRIM(G156&amp;"")="","NULL","(SELECT id FROM cli_clientes WHERE numero_documento = '"&amp;SUBSTITUTE(TRIM(G156),"'","''")&amp;"'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"&amp;IF(TRIM(J156&amp;"")="","NULL","(SELECT id FROM gen_almacen WHERE upper(nombre) = upper('"&amp;SUBSTITUTE(TRIM(J156),"'","''")&amp;"') AND estado = 1 LIMIT 1)")&amp;", p_id_cliente_ubicacion =&gt; "&amp;IF(TRIM(K156&amp;"")="","NULL","(SELECT id FROM cli_clientes WHERE numero_documento = '"&amp;SUBSTITUTE(TRIM(K156),"'","''")&amp;"' AND estado = 1 LIMIT 1)")&amp;", p_id_referencia =&gt; "&amp;IF(TRIM(J156&amp;"")&lt;&gt;"","(SELECT lo.id FROM gen_lista_opciones lo JOIN gen_lista l ON l.id = lo.id_lista WHERE l.nombre = 'ReferenciaCilindro' AND upper(lo.nombre) = 'ALMACEN' AND lo.estado = 1 LIMIT 1)",IF(TRIM(K156&amp;"")&lt;&gt;"","(SELECT lo.id FROM gen_lista_opciones lo JOIN gen_lista l ON l.id = lo.id_lista WHERE l.nombre = 'ReferenciaCilindro' AND upper(lo.nombre) = 'CLIENTE' AND lo.estado = 1 LIMIT 1)","NULL"))&amp;", p_anio_fabricacion =&gt; "&amp;IF(M156&amp;""="","NULL::smallint",M156&amp;"::smallint")&amp;", p_mes_fabricacion =&gt; "&amp;IF(N156&amp;""="","NULL::smallint",N156&amp;"::smallint")&amp;", p_fecha_ultima_prueba_hidrostatica =&gt; "&amp;IF(O156&amp;""="","NULL","'"&amp;YEAR(O156)&amp;"-"&amp;TEXT(MONTH(O156),"00")&amp;"-"&amp;TEXT(DAY(O156),"00")&amp;"'")&amp;", p_numero_serie =&gt; "&amp;IF(TRIM(Q156&amp;"")="","NULL","'"&amp;SUBSTITUTE(TRIM(Q156),"'","''")&amp;"'")&amp;", p_id_marca_cilindro =&gt; "&amp;IF(TRIM(R156&amp;"")="","NULL","(SELECT lo.id FROM gen_lista_opciones lo JOIN gen_lista l ON l.id = lo.id_lista WHERE l.nombre = 'MarcaCilindro' AND upper(lo.nombre) = upper('"&amp;SUBSTITUTE(TRIM(R156),"'","''")&amp;"') AND lo.estado = 1 LIMIT 1)")&amp;", p_id_organo_inspector =&gt; "&amp;IF(TRIM(S156&amp;"")="","NULL","(SELECT lo.id FROM gen_lista_opciones lo JOIN gen_lista l ON l.id = lo.id_lista WHERE l.nombre = 'OrganoInspectorCilindro' AND upper(lo.nombre) = upper('"&amp;SUBSTITUTE(TRIM(S156),"'","''")&amp;"') AND lo.estado = 1 LIMIT 1)")&amp;", p_organo_inspector_no_aplica =&gt; "&amp;IF(S156="NO_APLICA","TRUE","FALSE")&amp;", p_presion_actual =&gt; "&amp;IF(T156&amp;""="","NULL",SUBSTITUTE(T156&amp;"",",","."))&amp;", p_tipo_valvula =&gt; "&amp;IF(TRIM(U156&amp;"")="","NULL","'"&amp;SUBSTITUTE(TRIM(U156),"'","''")&amp;"'")&amp;", p_libro_cilindro =&gt; "&amp;IF(TRIM(V156&amp;"")="","NULL","'"&amp;SUBSTITUTE(TRIM(V156),"'","''")&amp;"'")&amp;", p_pagina_libro =&gt; "&amp;IF(W156&amp;""="","NULL",SUBSTITUTE(W156&amp;"",",","."))&amp;", p_observacion =&gt; "&amp;IF(TRIM(X156&amp;"")="","NULL","'"&amp;SUBSTITUTE(TRIM(X156),"'","''")&amp;"'")&amp;") AS resultado_balon_"&amp;ROW()&amp;";")</f>
        <v/>
      </c>
    </row>
    <row r="157" ht="15.75" customHeight="1" s="64">
      <c r="A157" s="36" t="inlineStr">
        <is>
          <t>153</t>
        </is>
      </c>
      <c r="B157" s="25">
        <f>IF(AND(C157="",D157="",E157=""),"",IF(C157="","FALTA código balón",IF(D157="","FALTA tipo balón",IF(E157="","FALTA gas",IF(F157="","FALTA propietario",IF(AND(C157&lt;&gt;"",SUMPRODUCT(--($C$5:$C$1200=C157))&gt;1),"CÓDIGO BALÓN DUPLICADO",IF(AND(OR(UPPER(F157)="PLANTA",UPPER(F157)="CLIENTE"),G157=""),"FALTA doc propietario/planta",IF(AND(UPPER(F157)="PLANTA",G157="10175332796"),"PLANTA no puede ser RUC empresa","OK"))))))))</f>
        <v/>
      </c>
      <c r="C157" s="23" t="inlineStr">
        <is>
          <t>20K650053</t>
        </is>
      </c>
      <c r="D157" s="17" t="inlineStr">
        <is>
          <t>Oxígeno Industrial 10 m³</t>
        </is>
      </c>
      <c r="E157" s="17" t="inlineStr">
        <is>
          <t>OXIGENO INDUSTRIAL</t>
        </is>
      </c>
      <c r="F157" s="17" t="inlineStr">
        <is>
          <t>EMPRESA</t>
        </is>
      </c>
      <c r="G157" s="23" t="inlineStr">
        <is>
          <t>10175332796</t>
        </is>
      </c>
      <c r="H157" s="25">
        <f t="array" ref="H157">IF(G157="","",IFERROR(IF(INDEX(Clientes!$D$5:$D$549,MATCH(G157,Clientes!$C$5:$C$549,0))&lt;&gt;"",INDEX(Clientes!$D$5:$D$549,MATCH(G157,Clientes!$C$5:$C$549,0)),TRIM(INDEX(Clientes!$E$5:$E$549,MATCH(G157,Clientes!$C$5:$C$549,0))&amp;" "&amp;INDEX(Clientes!$F$5:$F$549,MATCH(G157,Clientes!$C$5:$C$549,0)))),"NO EXISTE en Clientes"))</f>
        <v/>
      </c>
      <c r="I157" s="17" t="inlineStr">
        <is>
          <t>DISPONIBLE</t>
        </is>
      </c>
      <c r="J157" s="17" t="inlineStr">
        <is>
          <t>ALMACEN PRINCIPAL</t>
        </is>
      </c>
      <c r="K157" s="23" t="n"/>
      <c r="L157" s="25">
        <f t="array" ref="L157">IF(K157="","",IFERROR(IF(INDEX(Clientes!$D$5:$D$549,MATCH(K157,Clientes!$C$5:$C$549,0))&lt;&gt;"",INDEX(Clientes!$D$5:$D$549,MATCH(K157,Clientes!$C$5:$C$549,0)),TRIM(INDEX(Clientes!$E$5:$E$549,MATCH(K157,Clientes!$C$5:$C$549,0))&amp;" "&amp;INDEX(Clientes!$F$5:$F$549,MATCH(K157,Clientes!$C$5:$C$549,0)))),"NO EXISTE en Clientes"))</f>
        <v/>
      </c>
      <c r="M157" s="17" t="n">
        <v>2020</v>
      </c>
      <c r="N157" s="17" t="n">
        <v>9</v>
      </c>
      <c r="O157" s="42" t="n">
        <v>44075</v>
      </c>
      <c r="P157" s="39">
        <f>IF(O157&lt;&gt;"",DATE(YEAR(O157)+10,MONTH(O157),1),IF(AND(M157&lt;&gt;"",N157&lt;&gt;""),DATE(M157+5,N157,1),""))</f>
        <v/>
      </c>
      <c r="Q157" s="23" t="n"/>
      <c r="R157" s="17" t="inlineStr">
        <is>
          <t>JP</t>
        </is>
      </c>
      <c r="S157" s="17" t="inlineStr">
        <is>
          <t>NO_APLICA</t>
        </is>
      </c>
      <c r="T157" s="17" t="n">
        <v>2800</v>
      </c>
      <c r="U157" s="17" t="n"/>
      <c r="V157" s="23" t="n"/>
      <c r="W157" s="17" t="n"/>
      <c r="X157" s="17" t="n"/>
      <c r="Y157" s="28">
        <f>IF(B157&lt;&gt;"OK","","SELECT bal_crear_balon(p_codigo_balon =&gt; "&amp;IF(TRIM(C157&amp;"")="","NULL","'"&amp;SUBSTITUTE(TRIM(C157),"'","''")&amp;"'")&amp;", p_id_tipo_balon =&gt; "&amp;"(SELECT id FROM bal_tipo_balon WHERE upper(nombre) = upper('"&amp;SUBSTITUTE(TRIM(D157),"'","''")&amp;"') AND estado = 1 LIMIT 1)"&amp;", p_id_producto_gas =&gt; "&amp;"(SELECT id FROM pro_producto WHERE es_gas = TRUE AND upper(nombre) = upper('"&amp;SUBSTITUTE(TRIM(E157),"'","''")&amp;"') AND estado = 1 LIMIT 1)"&amp;", p_id_propietario =&gt; "&amp;IF(TRIM(F157&amp;"")="","NULL","(SELECT lo.id FROM gen_lista_opciones lo JOIN gen_lista l ON l.id = lo.id_lista WHERE l.nombre = 'PropietarioBalon' AND upper(lo.nombre) = upper('"&amp;SUBSTITUTE(TRIM(F157),"'","''")&amp;"') AND lo.estado = 1 LIMIT 1)")&amp;", p_id_cliente_propietario =&gt; "&amp;IF(F157="CLIENTE",IF(TRIM(G157&amp;"")="","NULL","(SELECT id FROM cli_clientes WHERE numero_documento = '"&amp;SUBSTITUTE(TRIM(G157),"'","''")&amp;"' AND estado = 1 LIMIT 1)"),"NULL")&amp;", p_id_planta =&gt; "&amp;IF(F157="PLANTA",IF(TRIM(G157&amp;"")="","NULL","(SELECT id FROM cli_clientes WHERE numero_documento = '"&amp;SUBSTITUTE(TRIM(G157),"'","''")&amp;"'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"&amp;IF(TRIM(J157&amp;"")="","NULL","(SELECT id FROM gen_almacen WHERE upper(nombre) = upper('"&amp;SUBSTITUTE(TRIM(J157),"'","''")&amp;"') AND estado = 1 LIMIT 1)")&amp;", p_id_cliente_ubicacion =&gt; "&amp;IF(TRIM(K157&amp;"")="","NULL","(SELECT id FROM cli_clientes WHERE numero_documento = '"&amp;SUBSTITUTE(TRIM(K157),"'","''")&amp;"' AND estado = 1 LIMIT 1)")&amp;", p_id_referencia =&gt; "&amp;IF(TRIM(J157&amp;"")&lt;&gt;"","(SELECT lo.id FROM gen_lista_opciones lo JOIN gen_lista l ON l.id = lo.id_lista WHERE l.nombre = 'ReferenciaCilindro' AND upper(lo.nombre) = 'ALMACEN' AND lo.estado = 1 LIMIT 1)",IF(TRIM(K157&amp;"")&lt;&gt;"","(SELECT lo.id FROM gen_lista_opciones lo JOIN gen_lista l ON l.id = lo.id_lista WHERE l.nombre = 'ReferenciaCilindro' AND upper(lo.nombre) = 'CLIENTE' AND lo.estado = 1 LIMIT 1)","NULL"))&amp;", p_anio_fabricacion =&gt; "&amp;IF(M157&amp;""="","NULL::smallint",M157&amp;"::smallint")&amp;", p_mes_fabricacion =&gt; "&amp;IF(N157&amp;""="","NULL::smallint",N157&amp;"::smallint")&amp;", p_fecha_ultima_prueba_hidrostatica =&gt; "&amp;IF(O157&amp;""="","NULL","'"&amp;YEAR(O157)&amp;"-"&amp;TEXT(MONTH(O157),"00")&amp;"-"&amp;TEXT(DAY(O157),"00")&amp;"'")&amp;", p_numero_serie =&gt; "&amp;IF(TRIM(Q157&amp;"")="","NULL","'"&amp;SUBSTITUTE(TRIM(Q157),"'","''")&amp;"'")&amp;", p_id_marca_cilindro =&gt; "&amp;IF(TRIM(R157&amp;"")="","NULL","(SELECT lo.id FROM gen_lista_opciones lo JOIN gen_lista l ON l.id = lo.id_lista WHERE l.nombre = 'MarcaCilindro' AND upper(lo.nombre) = upper('"&amp;SUBSTITUTE(TRIM(R157),"'","''")&amp;"') AND lo.estado = 1 LIMIT 1)")&amp;", p_id_organo_inspector =&gt; "&amp;IF(TRIM(S157&amp;"")="","NULL","(SELECT lo.id FROM gen_lista_opciones lo JOIN gen_lista l ON l.id = lo.id_lista WHERE l.nombre = 'OrganoInspectorCilindro' AND upper(lo.nombre) = upper('"&amp;SUBSTITUTE(TRIM(S157),"'","''")&amp;"') AND lo.estado = 1 LIMIT 1)")&amp;", p_organo_inspector_no_aplica =&gt; "&amp;IF(S157="NO_APLICA","TRUE","FALSE")&amp;", p_presion_actual =&gt; "&amp;IF(T157&amp;""="","NULL",SUBSTITUTE(T157&amp;"",",","."))&amp;", p_tipo_valvula =&gt; "&amp;IF(TRIM(U157&amp;"")="","NULL","'"&amp;SUBSTITUTE(TRIM(U157),"'","''")&amp;"'")&amp;", p_libro_cilindro =&gt; "&amp;IF(TRIM(V157&amp;"")="","NULL","'"&amp;SUBSTITUTE(TRIM(V157),"'","''")&amp;"'")&amp;", p_pagina_libro =&gt; "&amp;IF(W157&amp;""="","NULL",SUBSTITUTE(W157&amp;"",",","."))&amp;", p_observacion =&gt; "&amp;IF(TRIM(X157&amp;"")="","NULL","'"&amp;SUBSTITUTE(TRIM(X157),"'","''")&amp;"'")&amp;") AS resultado_balon_"&amp;ROW()&amp;";")</f>
        <v/>
      </c>
    </row>
    <row r="158" ht="15.75" customHeight="1" s="64">
      <c r="A158" s="36" t="inlineStr">
        <is>
          <t>154</t>
        </is>
      </c>
      <c r="B158" s="25">
        <f>IF(AND(C158="",D158="",E158=""),"",IF(C158="","FALTA código balón",IF(D158="","FALTA tipo balón",IF(E158="","FALTA gas",IF(F158="","FALTA propietario",IF(AND(C158&lt;&gt;"",SUMPRODUCT(--($C$5:$C$1200=C158))&gt;1),"CÓDIGO BALÓN DUPLICADO",IF(AND(OR(UPPER(F158)="PLANTA",UPPER(F158)="CLIENTE"),G158=""),"FALTA doc propietario/planta",IF(AND(UPPER(F158)="PLANTA",G158="10175332796"),"PLANTA no puede ser RUC empresa","OK"))))))))</f>
        <v/>
      </c>
      <c r="C158" s="23" t="inlineStr">
        <is>
          <t>20K467113</t>
        </is>
      </c>
      <c r="D158" s="17" t="inlineStr">
        <is>
          <t>Oxígeno Industrial 10 m³</t>
        </is>
      </c>
      <c r="E158" s="17" t="inlineStr">
        <is>
          <t>OXIGENO INDUSTRIAL</t>
        </is>
      </c>
      <c r="F158" s="17" t="inlineStr">
        <is>
          <t>EMPRESA</t>
        </is>
      </c>
      <c r="G158" s="23" t="inlineStr">
        <is>
          <t>10175332796</t>
        </is>
      </c>
      <c r="H158" s="25">
        <f t="array" ref="H158">IF(G158="","",IFERROR(IF(INDEX(Clientes!$D$5:$D$549,MATCH(G158,Clientes!$C$5:$C$549,0))&lt;&gt;"",INDEX(Clientes!$D$5:$D$549,MATCH(G158,Clientes!$C$5:$C$549,0)),TRIM(INDEX(Clientes!$E$5:$E$549,MATCH(G158,Clientes!$C$5:$C$549,0))&amp;" "&amp;INDEX(Clientes!$F$5:$F$549,MATCH(G158,Clientes!$C$5:$C$549,0)))),"NO EXISTE en Clientes"))</f>
        <v/>
      </c>
      <c r="I158" s="17" t="inlineStr">
        <is>
          <t>DISPONIBLE</t>
        </is>
      </c>
      <c r="J158" s="17" t="inlineStr">
        <is>
          <t>ALMACEN PRINCIPAL</t>
        </is>
      </c>
      <c r="K158" s="23" t="n"/>
      <c r="L158" s="25">
        <f t="array" ref="L158">IF(K158="","",IFERROR(IF(INDEX(Clientes!$D$5:$D$549,MATCH(K158,Clientes!$C$5:$C$549,0))&lt;&gt;"",INDEX(Clientes!$D$5:$D$549,MATCH(K158,Clientes!$C$5:$C$549,0)),TRIM(INDEX(Clientes!$E$5:$E$549,MATCH(K158,Clientes!$C$5:$C$549,0))&amp;" "&amp;INDEX(Clientes!$F$5:$F$549,MATCH(K158,Clientes!$C$5:$C$549,0)))),"NO EXISTE en Clientes"))</f>
        <v/>
      </c>
      <c r="M158" s="17" t="n">
        <v>2020</v>
      </c>
      <c r="N158" s="17" t="n">
        <v>7</v>
      </c>
      <c r="O158" s="42" t="n">
        <v>44013</v>
      </c>
      <c r="P158" s="39">
        <f>IF(O158&lt;&gt;"",DATE(YEAR(O158)+10,MONTH(O158),1),IF(AND(M158&lt;&gt;"",N158&lt;&gt;""),DATE(M158+5,N158,1),""))</f>
        <v/>
      </c>
      <c r="Q158" s="23" t="n"/>
      <c r="R158" s="17" t="inlineStr">
        <is>
          <t>JP</t>
        </is>
      </c>
      <c r="S158" s="17" t="inlineStr">
        <is>
          <t>HEXAGONAL (0036)</t>
        </is>
      </c>
      <c r="T158" s="17" t="n">
        <v>2800</v>
      </c>
      <c r="U158" s="17" t="n"/>
      <c r="V158" s="23" t="n"/>
      <c r="W158" s="17" t="n"/>
      <c r="X158" s="17" t="n"/>
      <c r="Y158" s="28">
        <f>IF(B158&lt;&gt;"OK","","SELECT bal_crear_balon(p_codigo_balon =&gt; "&amp;IF(TRIM(C158&amp;"")="","NULL","'"&amp;SUBSTITUTE(TRIM(C158),"'","''")&amp;"'")&amp;", p_id_tipo_balon =&gt; "&amp;"(SELECT id FROM bal_tipo_balon WHERE upper(nombre) = upper('"&amp;SUBSTITUTE(TRIM(D158),"'","''")&amp;"') AND estado = 1 LIMIT 1)"&amp;", p_id_producto_gas =&gt; "&amp;"(SELECT id FROM pro_producto WHERE es_gas = TRUE AND upper(nombre) = upper('"&amp;SUBSTITUTE(TRIM(E158),"'","''")&amp;"') AND estado = 1 LIMIT 1)"&amp;", p_id_propietario =&gt; "&amp;IF(TRIM(F158&amp;"")="","NULL","(SELECT lo.id FROM gen_lista_opciones lo JOIN gen_lista l ON l.id = lo.id_lista WHERE l.nombre = 'PropietarioBalon' AND upper(lo.nombre) = upper('"&amp;SUBSTITUTE(TRIM(F158),"'","''")&amp;"') AND lo.estado = 1 LIMIT 1)")&amp;", p_id_cliente_propietario =&gt; "&amp;IF(F158="CLIENTE",IF(TRIM(G158&amp;"")="","NULL","(SELECT id FROM cli_clientes WHERE numero_documento = '"&amp;SUBSTITUTE(TRIM(G158),"'","''")&amp;"' AND estado = 1 LIMIT 1)"),"NULL")&amp;", p_id_planta =&gt; "&amp;IF(F158="PLANTA",IF(TRIM(G158&amp;"")="","NULL","(SELECT id FROM cli_clientes WHERE numero_documento = '"&amp;SUBSTITUTE(TRIM(G158),"'","''")&amp;"'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"&amp;IF(TRIM(J158&amp;"")="","NULL","(SELECT id FROM gen_almacen WHERE upper(nombre) = upper('"&amp;SUBSTITUTE(TRIM(J158),"'","''")&amp;"') AND estado = 1 LIMIT 1)")&amp;", p_id_cliente_ubicacion =&gt; "&amp;IF(TRIM(K158&amp;"")="","NULL","(SELECT id FROM cli_clientes WHERE numero_documento = '"&amp;SUBSTITUTE(TRIM(K158),"'","''")&amp;"' AND estado = 1 LIMIT 1)")&amp;", p_id_referencia =&gt; "&amp;IF(TRIM(J158&amp;"")&lt;&gt;"","(SELECT lo.id FROM gen_lista_opciones lo JOIN gen_lista l ON l.id = lo.id_lista WHERE l.nombre = 'ReferenciaCilindro' AND upper(lo.nombre) = 'ALMACEN' AND lo.estado = 1 LIMIT 1)",IF(TRIM(K158&amp;"")&lt;&gt;"","(SELECT lo.id FROM gen_lista_opciones lo JOIN gen_lista l ON l.id = lo.id_lista WHERE l.nombre = 'ReferenciaCilindro' AND upper(lo.nombre) = 'CLIENTE' AND lo.estado = 1 LIMIT 1)","NULL"))&amp;", p_anio_fabricacion =&gt; "&amp;IF(M158&amp;""="","NULL::smallint",M158&amp;"::smallint")&amp;", p_mes_fabricacion =&gt; "&amp;IF(N158&amp;""="","NULL::smallint",N158&amp;"::smallint")&amp;", p_fecha_ultima_prueba_hidrostatica =&gt; "&amp;IF(O158&amp;""="","NULL","'"&amp;YEAR(O158)&amp;"-"&amp;TEXT(MONTH(O158),"00")&amp;"-"&amp;TEXT(DAY(O158),"00")&amp;"'")&amp;", p_numero_serie =&gt; "&amp;IF(TRIM(Q158&amp;"")="","NULL","'"&amp;SUBSTITUTE(TRIM(Q158),"'","''")&amp;"'")&amp;", p_id_marca_cilindro =&gt; "&amp;IF(TRIM(R158&amp;"")="","NULL","(SELECT lo.id FROM gen_lista_opciones lo JOIN gen_lista l ON l.id = lo.id_lista WHERE l.nombre = 'MarcaCilindro' AND upper(lo.nombre) = upper('"&amp;SUBSTITUTE(TRIM(R158),"'","''")&amp;"') AND lo.estado = 1 LIMIT 1)")&amp;", p_id_organo_inspector =&gt; "&amp;IF(TRIM(S158&amp;"")="","NULL","(SELECT lo.id FROM gen_lista_opciones lo JOIN gen_lista l ON l.id = lo.id_lista WHERE l.nombre = 'OrganoInspectorCilindro' AND upper(lo.nombre) = upper('"&amp;SUBSTITUTE(TRIM(S158),"'","''")&amp;"') AND lo.estado = 1 LIMIT 1)")&amp;", p_organo_inspector_no_aplica =&gt; "&amp;IF(S158="NO_APLICA","TRUE","FALSE")&amp;", p_presion_actual =&gt; "&amp;IF(T158&amp;""="","NULL",SUBSTITUTE(T158&amp;"",",","."))&amp;", p_tipo_valvula =&gt; "&amp;IF(TRIM(U158&amp;"")="","NULL","'"&amp;SUBSTITUTE(TRIM(U158),"'","''")&amp;"'")&amp;", p_libro_cilindro =&gt; "&amp;IF(TRIM(V158&amp;"")="","NULL","'"&amp;SUBSTITUTE(TRIM(V158),"'","''")&amp;"'")&amp;", p_pagina_libro =&gt; "&amp;IF(W158&amp;""="","NULL",SUBSTITUTE(W158&amp;"",",","."))&amp;", p_observacion =&gt; "&amp;IF(TRIM(X158&amp;"")="","NULL","'"&amp;SUBSTITUTE(TRIM(X158),"'","''")&amp;"'")&amp;") AS resultado_balon_"&amp;ROW()&amp;";")</f>
        <v/>
      </c>
    </row>
    <row r="159" ht="15.75" customHeight="1" s="64">
      <c r="A159" s="36" t="inlineStr">
        <is>
          <t>155</t>
        </is>
      </c>
      <c r="B159" s="25">
        <f>IF(AND(C159="",D159="",E159=""),"",IF(C159="","FALTA código balón",IF(D159="","FALTA tipo balón",IF(E159="","FALTA gas",IF(F159="","FALTA propietario",IF(AND(C159&lt;&gt;"",SUMPRODUCT(--($C$5:$C$1200=C159))&gt;1),"CÓDIGO BALÓN DUPLICADO",IF(AND(OR(UPPER(F159)="PLANTA",UPPER(F159)="CLIENTE"),G159=""),"FALTA doc propietario/planta",IF(AND(UPPER(F159)="PLANTA",G159="10175332796"),"PLANTA no puede ser RUC empresa","OK"))))))))</f>
        <v/>
      </c>
      <c r="C159" s="23" t="inlineStr">
        <is>
          <t>101354P</t>
        </is>
      </c>
      <c r="D159" s="17" t="inlineStr">
        <is>
          <t>Oxígeno Industrial 10 m³</t>
        </is>
      </c>
      <c r="E159" s="17" t="inlineStr">
        <is>
          <t>OXIGENO INDUSTRIAL</t>
        </is>
      </c>
      <c r="F159" s="17" t="inlineStr">
        <is>
          <t>EMPRESA</t>
        </is>
      </c>
      <c r="G159" s="23" t="inlineStr">
        <is>
          <t>10175332796</t>
        </is>
      </c>
      <c r="H159" s="25">
        <f t="array" ref="H159">IF(G159="","",IFERROR(IF(INDEX(Clientes!$D$5:$D$549,MATCH(G159,Clientes!$C$5:$C$549,0))&lt;&gt;"",INDEX(Clientes!$D$5:$D$549,MATCH(G159,Clientes!$C$5:$C$549,0)),TRIM(INDEX(Clientes!$E$5:$E$549,MATCH(G159,Clientes!$C$5:$C$549,0))&amp;" "&amp;INDEX(Clientes!$F$5:$F$549,MATCH(G159,Clientes!$C$5:$C$549,0)))),"NO EXISTE en Clientes"))</f>
        <v/>
      </c>
      <c r="I159" s="17" t="inlineStr">
        <is>
          <t>DISPONIBLE</t>
        </is>
      </c>
      <c r="J159" s="17" t="inlineStr">
        <is>
          <t>ALMACEN PRINCIPAL</t>
        </is>
      </c>
      <c r="K159" s="23" t="n"/>
      <c r="L159" s="25">
        <f t="array" ref="L159">IF(K159="","",IFERROR(IF(INDEX(Clientes!$D$5:$D$549,MATCH(K159,Clientes!$C$5:$C$549,0))&lt;&gt;"",INDEX(Clientes!$D$5:$D$549,MATCH(K159,Clientes!$C$5:$C$549,0)),TRIM(INDEX(Clientes!$E$5:$E$549,MATCH(K159,Clientes!$C$5:$C$549,0))&amp;" "&amp;INDEX(Clientes!$F$5:$F$549,MATCH(K159,Clientes!$C$5:$C$549,0)))),"NO EXISTE en Clientes"))</f>
        <v/>
      </c>
      <c r="M159" s="17" t="n">
        <v>2020</v>
      </c>
      <c r="N159" s="17" t="n">
        <v>9</v>
      </c>
      <c r="O159" s="42" t="n">
        <v>44075</v>
      </c>
      <c r="P159" s="39">
        <f>IF(O159&lt;&gt;"",DATE(YEAR(O159)+10,MONTH(O159),1),IF(AND(M159&lt;&gt;"",N159&lt;&gt;""),DATE(M159+5,N159,1),""))</f>
        <v/>
      </c>
      <c r="Q159" s="23" t="n"/>
      <c r="R159" s="17" t="inlineStr">
        <is>
          <t>BRASILERA</t>
        </is>
      </c>
      <c r="S159" s="17" t="inlineStr">
        <is>
          <t>OTRO</t>
        </is>
      </c>
      <c r="T159" s="17" t="n">
        <v>2800</v>
      </c>
      <c r="U159" s="17" t="n"/>
      <c r="V159" s="23" t="n"/>
      <c r="W159" s="17" t="n"/>
      <c r="X159" s="17" t="n"/>
      <c r="Y159" s="28">
        <f>IF(B159&lt;&gt;"OK","","SELECT bal_crear_balon(p_codigo_balon =&gt; "&amp;IF(TRIM(C159&amp;"")="","NULL","'"&amp;SUBSTITUTE(TRIM(C159),"'","''")&amp;"'")&amp;", p_id_tipo_balon =&gt; "&amp;"(SELECT id FROM bal_tipo_balon WHERE upper(nombre) = upper('"&amp;SUBSTITUTE(TRIM(D159),"'","''")&amp;"') AND estado = 1 LIMIT 1)"&amp;", p_id_producto_gas =&gt; "&amp;"(SELECT id FROM pro_producto WHERE es_gas = TRUE AND upper(nombre) = upper('"&amp;SUBSTITUTE(TRIM(E159),"'","''")&amp;"') AND estado = 1 LIMIT 1)"&amp;", p_id_propietario =&gt; "&amp;IF(TRIM(F159&amp;"")="","NULL","(SELECT lo.id FROM gen_lista_opciones lo JOIN gen_lista l ON l.id = lo.id_lista WHERE l.nombre = 'PropietarioBalon' AND upper(lo.nombre) = upper('"&amp;SUBSTITUTE(TRIM(F159),"'","''")&amp;"') AND lo.estado = 1 LIMIT 1)")&amp;", p_id_cliente_propietario =&gt; "&amp;IF(F159="CLIENTE",IF(TRIM(G159&amp;"")="","NULL","(SELECT id FROM cli_clientes WHERE numero_documento = '"&amp;SUBSTITUTE(TRIM(G159),"'","''")&amp;"' AND estado = 1 LIMIT 1)"),"NULL")&amp;", p_id_planta =&gt; "&amp;IF(F159="PLANTA",IF(TRIM(G159&amp;"")="","NULL","(SELECT id FROM cli_clientes WHERE numero_documento = '"&amp;SUBSTITUTE(TRIM(G159),"'","''")&amp;"'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"&amp;IF(TRIM(J159&amp;"")="","NULL","(SELECT id FROM gen_almacen WHERE upper(nombre) = upper('"&amp;SUBSTITUTE(TRIM(J159),"'","''")&amp;"') AND estado = 1 LIMIT 1)")&amp;", p_id_cliente_ubicacion =&gt; "&amp;IF(TRIM(K159&amp;"")="","NULL","(SELECT id FROM cli_clientes WHERE numero_documento = '"&amp;SUBSTITUTE(TRIM(K159),"'","''")&amp;"' AND estado = 1 LIMIT 1)")&amp;", p_id_referencia =&gt; "&amp;IF(TRIM(J159&amp;"")&lt;&gt;"","(SELECT lo.id FROM gen_lista_opciones lo JOIN gen_lista l ON l.id = lo.id_lista WHERE l.nombre = 'ReferenciaCilindro' AND upper(lo.nombre) = 'ALMACEN' AND lo.estado = 1 LIMIT 1)",IF(TRIM(K159&amp;"")&lt;&gt;"","(SELECT lo.id FROM gen_lista_opciones lo JOIN gen_lista l ON l.id = lo.id_lista WHERE l.nombre = 'ReferenciaCilindro' AND upper(lo.nombre) = 'CLIENTE' AND lo.estado = 1 LIMIT 1)","NULL"))&amp;", p_anio_fabricacion =&gt; "&amp;IF(M159&amp;""="","NULL::smallint",M159&amp;"::smallint")&amp;", p_mes_fabricacion =&gt; "&amp;IF(N159&amp;""="","NULL::smallint",N159&amp;"::smallint")&amp;", p_fecha_ultima_prueba_hidrostatica =&gt; "&amp;IF(O159&amp;""="","NULL","'"&amp;YEAR(O159)&amp;"-"&amp;TEXT(MONTH(O159),"00")&amp;"-"&amp;TEXT(DAY(O159),"00")&amp;"'")&amp;", p_numero_serie =&gt; "&amp;IF(TRIM(Q159&amp;"")="","NULL","'"&amp;SUBSTITUTE(TRIM(Q159),"'","''")&amp;"'")&amp;", p_id_marca_cilindro =&gt; "&amp;IF(TRIM(R159&amp;"")="","NULL","(SELECT lo.id FROM gen_lista_opciones lo JOIN gen_lista l ON l.id = lo.id_lista WHERE l.nombre = 'MarcaCilindro' AND upper(lo.nombre) = upper('"&amp;SUBSTITUTE(TRIM(R159),"'","''")&amp;"') AND lo.estado = 1 LIMIT 1)")&amp;", p_id_organo_inspector =&gt; "&amp;IF(TRIM(S159&amp;"")="","NULL","(SELECT lo.id FROM gen_lista_opciones lo JOIN gen_lista l ON l.id = lo.id_lista WHERE l.nombre = 'OrganoInspectorCilindro' AND upper(lo.nombre) = upper('"&amp;SUBSTITUTE(TRIM(S159),"'","''")&amp;"') AND lo.estado = 1 LIMIT 1)")&amp;", p_organo_inspector_no_aplica =&gt; "&amp;IF(S159="NO_APLICA","TRUE","FALSE")&amp;", p_presion_actual =&gt; "&amp;IF(T159&amp;""="","NULL",SUBSTITUTE(T159&amp;"",",","."))&amp;", p_tipo_valvula =&gt; "&amp;IF(TRIM(U159&amp;"")="","NULL","'"&amp;SUBSTITUTE(TRIM(U159),"'","''")&amp;"'")&amp;", p_libro_cilindro =&gt; "&amp;IF(TRIM(V159&amp;"")="","NULL","'"&amp;SUBSTITUTE(TRIM(V159),"'","''")&amp;"'")&amp;", p_pagina_libro =&gt; "&amp;IF(W159&amp;""="","NULL",SUBSTITUTE(W159&amp;"",",","."))&amp;", p_observacion =&gt; "&amp;IF(TRIM(X159&amp;"")="","NULL","'"&amp;SUBSTITUTE(TRIM(X159),"'","''")&amp;"'")&amp;") AS resultado_balon_"&amp;ROW()&amp;";")</f>
        <v/>
      </c>
    </row>
    <row r="160" ht="15.75" customHeight="1" s="64">
      <c r="A160" s="36" t="inlineStr">
        <is>
          <t>156</t>
        </is>
      </c>
      <c r="B160" s="25">
        <f>IF(AND(C160="",D160="",E160=""),"",IF(C160="","FALTA código balón",IF(D160="","FALTA tipo balón",IF(E160="","FALTA gas",IF(F160="","FALTA propietario",IF(AND(C160&lt;&gt;"",SUMPRODUCT(--($C$5:$C$1200=C160))&gt;1),"CÓDIGO BALÓN DUPLICADO",IF(AND(OR(UPPER(F160)="PLANTA",UPPER(F160)="CLIENTE"),G160=""),"FALTA doc propietario/planta",IF(AND(UPPER(F160)="PLANTA",G160="10175332796"),"PLANTA no puede ser RUC empresa","OK"))))))))</f>
        <v/>
      </c>
      <c r="C160" s="23" t="inlineStr">
        <is>
          <t>20Y120137</t>
        </is>
      </c>
      <c r="D160" s="17" t="inlineStr">
        <is>
          <t>Oxígeno Industrial 10 m³</t>
        </is>
      </c>
      <c r="E160" s="17" t="inlineStr">
        <is>
          <t>OXIGENO INDUSTRIAL</t>
        </is>
      </c>
      <c r="F160" s="17" t="inlineStr">
        <is>
          <t>EMPRESA</t>
        </is>
      </c>
      <c r="G160" s="23" t="inlineStr">
        <is>
          <t>10175332796</t>
        </is>
      </c>
      <c r="H160" s="25">
        <f t="array" ref="H160">IF(G160="","",IFERROR(IF(INDEX(Clientes!$D$5:$D$549,MATCH(G160,Clientes!$C$5:$C$549,0))&lt;&gt;"",INDEX(Clientes!$D$5:$D$549,MATCH(G160,Clientes!$C$5:$C$549,0)),TRIM(INDEX(Clientes!$E$5:$E$549,MATCH(G160,Clientes!$C$5:$C$549,0))&amp;" "&amp;INDEX(Clientes!$F$5:$F$549,MATCH(G160,Clientes!$C$5:$C$549,0)))),"NO EXISTE en Clientes"))</f>
        <v/>
      </c>
      <c r="I160" s="17" t="inlineStr">
        <is>
          <t>DISPONIBLE</t>
        </is>
      </c>
      <c r="J160" s="17" t="inlineStr">
        <is>
          <t>ALMACEN PRINCIPAL</t>
        </is>
      </c>
      <c r="K160" s="23" t="n"/>
      <c r="L160" s="25">
        <f t="array" ref="L160">IF(K160="","",IFERROR(IF(INDEX(Clientes!$D$5:$D$549,MATCH(K160,Clientes!$C$5:$C$549,0))&lt;&gt;"",INDEX(Clientes!$D$5:$D$549,MATCH(K160,Clientes!$C$5:$C$549,0)),TRIM(INDEX(Clientes!$E$5:$E$549,MATCH(K160,Clientes!$C$5:$C$549,0))&amp;" "&amp;INDEX(Clientes!$F$5:$F$549,MATCH(K160,Clientes!$C$5:$C$549,0)))),"NO EXISTE en Clientes"))</f>
        <v/>
      </c>
      <c r="M160" s="17" t="n">
        <v>2023</v>
      </c>
      <c r="N160" s="17" t="n">
        <v>11</v>
      </c>
      <c r="O160" s="42" t="n">
        <v>45231</v>
      </c>
      <c r="P160" s="39">
        <f>IF(O160&lt;&gt;"",DATE(YEAR(O160)+10,MONTH(O160),1),IF(AND(M160&lt;&gt;"",N160&lt;&gt;""),DATE(M160+5,N160,1),""))</f>
        <v/>
      </c>
      <c r="Q160" s="23" t="n"/>
      <c r="R160" s="17" t="inlineStr">
        <is>
          <t>YA</t>
        </is>
      </c>
      <c r="S160" s="17" t="inlineStr">
        <is>
          <t>NO TIENE</t>
        </is>
      </c>
      <c r="T160" s="17" t="n">
        <v>2800</v>
      </c>
      <c r="U160" s="17" t="n"/>
      <c r="V160" s="23" t="n"/>
      <c r="W160" s="17" t="n"/>
      <c r="X160" s="17" t="inlineStr">
        <is>
          <t>PH LINDE</t>
        </is>
      </c>
      <c r="Y160" s="28">
        <f>IF(B160&lt;&gt;"OK","","SELECT bal_crear_balon(p_codigo_balon =&gt; "&amp;IF(TRIM(C160&amp;"")="","NULL","'"&amp;SUBSTITUTE(TRIM(C160),"'","''")&amp;"'")&amp;", p_id_tipo_balon =&gt; "&amp;"(SELECT id FROM bal_tipo_balon WHERE upper(nombre) = upper('"&amp;SUBSTITUTE(TRIM(D160),"'","''")&amp;"') AND estado = 1 LIMIT 1)"&amp;", p_id_producto_gas =&gt; "&amp;"(SELECT id FROM pro_producto WHERE es_gas = TRUE AND upper(nombre) = upper('"&amp;SUBSTITUTE(TRIM(E160),"'","''")&amp;"') AND estado = 1 LIMIT 1)"&amp;", p_id_propietario =&gt; "&amp;IF(TRIM(F160&amp;"")="","NULL","(SELECT lo.id FROM gen_lista_opciones lo JOIN gen_lista l ON l.id = lo.id_lista WHERE l.nombre = 'PropietarioBalon' AND upper(lo.nombre) = upper('"&amp;SUBSTITUTE(TRIM(F160),"'","''")&amp;"') AND lo.estado = 1 LIMIT 1)")&amp;", p_id_cliente_propietario =&gt; "&amp;IF(F160="CLIENTE",IF(TRIM(G160&amp;"")="","NULL","(SELECT id FROM cli_clientes WHERE numero_documento = '"&amp;SUBSTITUTE(TRIM(G160),"'","''")&amp;"' AND estado = 1 LIMIT 1)"),"NULL")&amp;", p_id_planta =&gt; "&amp;IF(F160="PLANTA",IF(TRIM(G160&amp;"")="","NULL","(SELECT id FROM cli_clientes WHERE numero_documento = '"&amp;SUBSTITUTE(TRIM(G160),"'","''")&amp;"'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"&amp;IF(TRIM(J160&amp;"")="","NULL","(SELECT id FROM gen_almacen WHERE upper(nombre) = upper('"&amp;SUBSTITUTE(TRIM(J160),"'","''")&amp;"') AND estado = 1 LIMIT 1)")&amp;", p_id_cliente_ubicacion =&gt; "&amp;IF(TRIM(K160&amp;"")="","NULL","(SELECT id FROM cli_clientes WHERE numero_documento = '"&amp;SUBSTITUTE(TRIM(K160),"'","''")&amp;"' AND estado = 1 LIMIT 1)")&amp;", p_id_referencia =&gt; "&amp;IF(TRIM(J160&amp;"")&lt;&gt;"","(SELECT lo.id FROM gen_lista_opciones lo JOIN gen_lista l ON l.id = lo.id_lista WHERE l.nombre = 'ReferenciaCilindro' AND upper(lo.nombre) = 'ALMACEN' AND lo.estado = 1 LIMIT 1)",IF(TRIM(K160&amp;"")&lt;&gt;"","(SELECT lo.id FROM gen_lista_opciones lo JOIN gen_lista l ON l.id = lo.id_lista WHERE l.nombre = 'ReferenciaCilindro' AND upper(lo.nombre) = 'CLIENTE' AND lo.estado = 1 LIMIT 1)","NULL"))&amp;", p_anio_fabricacion =&gt; "&amp;IF(M160&amp;""="","NULL::smallint",M160&amp;"::smallint")&amp;", p_mes_fabricacion =&gt; "&amp;IF(N160&amp;""="","NULL::smallint",N160&amp;"::smallint")&amp;", p_fecha_ultima_prueba_hidrostatica =&gt; "&amp;IF(O160&amp;""="","NULL","'"&amp;YEAR(O160)&amp;"-"&amp;TEXT(MONTH(O160),"00")&amp;"-"&amp;TEXT(DAY(O160),"00")&amp;"'")&amp;", p_numero_serie =&gt; "&amp;IF(TRIM(Q160&amp;"")="","NULL","'"&amp;SUBSTITUTE(TRIM(Q160),"'","''")&amp;"'")&amp;", p_id_marca_cilindro =&gt; "&amp;IF(TRIM(R160&amp;"")="","NULL","(SELECT lo.id FROM gen_lista_opciones lo JOIN gen_lista l ON l.id = lo.id_lista WHERE l.nombre = 'MarcaCilindro' AND upper(lo.nombre) = upper('"&amp;SUBSTITUTE(TRIM(R160),"'","''")&amp;"') AND lo.estado = 1 LIMIT 1)")&amp;", p_id_organo_inspector =&gt; "&amp;IF(TRIM(S160&amp;"")="","NULL","(SELECT lo.id FROM gen_lista_opciones lo JOIN gen_lista l ON l.id = lo.id_lista WHERE l.nombre = 'OrganoInspectorCilindro' AND upper(lo.nombre) = upper('"&amp;SUBSTITUTE(TRIM(S160),"'","''")&amp;"') AND lo.estado = 1 LIMIT 1)")&amp;", p_organo_inspector_no_aplica =&gt; "&amp;IF(S160="NO_APLICA","TRUE","FALSE")&amp;", p_presion_actual =&gt; "&amp;IF(T160&amp;""="","NULL",SUBSTITUTE(T160&amp;"",",","."))&amp;", p_tipo_valvula =&gt; "&amp;IF(TRIM(U160&amp;"")="","NULL","'"&amp;SUBSTITUTE(TRIM(U160),"'","''")&amp;"'")&amp;", p_libro_cilindro =&gt; "&amp;IF(TRIM(V160&amp;"")="","NULL","'"&amp;SUBSTITUTE(TRIM(V160),"'","''")&amp;"'")&amp;", p_pagina_libro =&gt; "&amp;IF(W160&amp;""="","NULL",SUBSTITUTE(W160&amp;"",",","."))&amp;", p_observacion =&gt; "&amp;IF(TRIM(X160&amp;"")="","NULL","'"&amp;SUBSTITUTE(TRIM(X160),"'","''")&amp;"'")&amp;") AS resultado_balon_"&amp;ROW()&amp;";")</f>
        <v/>
      </c>
    </row>
    <row r="161" ht="15.75" customHeight="1" s="64">
      <c r="A161" s="36" t="inlineStr">
        <is>
          <t>157</t>
        </is>
      </c>
      <c r="B161" s="25">
        <f>IF(AND(C161="",D161="",E161=""),"",IF(C161="","FALTA código balón",IF(D161="","FALTA tipo balón",IF(E161="","FALTA gas",IF(F161="","FALTA propietario",IF(AND(C161&lt;&gt;"",SUMPRODUCT(--($C$5:$C$1200=C161))&gt;1),"CÓDIGO BALÓN DUPLICADO",IF(AND(OR(UPPER(F161)="PLANTA",UPPER(F161)="CLIENTE"),G161=""),"FALTA doc propietario/planta",IF(AND(UPPER(F161)="PLANTA",G161="10175332796"),"PLANTA no puede ser RUC empresa","OK"))))))))</f>
        <v/>
      </c>
      <c r="C161" s="23" t="inlineStr">
        <is>
          <t>Y5204092</t>
        </is>
      </c>
      <c r="D161" s="17" t="inlineStr">
        <is>
          <t>Oxígeno Industrial 10 m³</t>
        </is>
      </c>
      <c r="E161" s="17" t="inlineStr">
        <is>
          <t>OXIGENO INDUSTRIAL</t>
        </is>
      </c>
      <c r="F161" s="17" t="inlineStr">
        <is>
          <t>PLANTA</t>
        </is>
      </c>
      <c r="G161" s="26" t="inlineStr">
        <is>
          <t>20536698834</t>
        </is>
      </c>
      <c r="H161" s="25">
        <f t="array" ref="H161">IF(G161="","",IFERROR(IF(INDEX(Clientes!$D$5:$D$549,MATCH(G161,Clientes!$C$5:$C$549,0))&lt;&gt;"",INDEX(Clientes!$D$5:$D$549,MATCH(G161,Clientes!$C$5:$C$549,0)),TRIM(INDEX(Clientes!$E$5:$E$549,MATCH(G161,Clientes!$C$5:$C$549,0))&amp;" "&amp;INDEX(Clientes!$F$5:$F$549,MATCH(G161,Clientes!$C$5:$C$549,0)))),"NO EXISTE en Clientes"))</f>
        <v/>
      </c>
      <c r="I161" s="17" t="inlineStr">
        <is>
          <t>DISPONIBLE</t>
        </is>
      </c>
      <c r="J161" s="17" t="inlineStr">
        <is>
          <t>ALMACEN PRINCIPAL</t>
        </is>
      </c>
      <c r="K161" s="23" t="n"/>
      <c r="L161" s="25">
        <f t="array" ref="L161">IF(K161="","",IFERROR(IF(INDEX(Clientes!$D$5:$D$549,MATCH(K161,Clientes!$C$5:$C$549,0))&lt;&gt;"",INDEX(Clientes!$D$5:$D$549,MATCH(K161,Clientes!$C$5:$C$549,0)),TRIM(INDEX(Clientes!$E$5:$E$549,MATCH(K161,Clientes!$C$5:$C$549,0))&amp;" "&amp;INDEX(Clientes!$F$5:$F$549,MATCH(K161,Clientes!$C$5:$C$549,0)))),"NO EXISTE en Clientes"))</f>
        <v/>
      </c>
      <c r="M161" s="17" t="n">
        <v>2025</v>
      </c>
      <c r="N161" s="17" t="n">
        <v>1</v>
      </c>
      <c r="O161" s="42" t="n">
        <v>45658</v>
      </c>
      <c r="P161" s="39">
        <f>IF(O161&lt;&gt;"",DATE(YEAR(O161)+10,MONTH(O161),1),IF(AND(M161&lt;&gt;"",N161&lt;&gt;""),DATE(M161+5,N161,1),""))</f>
        <v/>
      </c>
      <c r="Q161" s="23" t="n"/>
      <c r="R161" s="17" t="n"/>
      <c r="S161" s="17" t="n"/>
      <c r="T161" s="17" t="n"/>
      <c r="U161" s="17" t="n"/>
      <c r="V161" s="23" t="n"/>
      <c r="W161" s="17" t="n"/>
      <c r="X161" s="17" t="inlineStr">
        <is>
          <t>PH OXIGENO CRISTIAN</t>
        </is>
      </c>
      <c r="Y161" s="28">
        <f>IF(B161&lt;&gt;"OK","","SELECT bal_crear_balon(p_codigo_balon =&gt; "&amp;IF(TRIM(C161&amp;"")="","NULL","'"&amp;SUBSTITUTE(TRIM(C161),"'","''")&amp;"'")&amp;", p_id_tipo_balon =&gt; "&amp;"(SELECT id FROM bal_tipo_balon WHERE upper(nombre) = upper('"&amp;SUBSTITUTE(TRIM(D161),"'","''")&amp;"') AND estado = 1 LIMIT 1)"&amp;", p_id_producto_gas =&gt; "&amp;"(SELECT id FROM pro_producto WHERE es_gas = TRUE AND upper(nombre) = upper('"&amp;SUBSTITUTE(TRIM(E161),"'","''")&amp;"') AND estado = 1 LIMIT 1)"&amp;", p_id_propietario =&gt; "&amp;IF(TRIM(F161&amp;"")="","NULL","(SELECT lo.id FROM gen_lista_opciones lo JOIN gen_lista l ON l.id = lo.id_lista WHERE l.nombre = 'PropietarioBalon' AND upper(lo.nombre) = upper('"&amp;SUBSTITUTE(TRIM(F161),"'","''")&amp;"') AND lo.estado = 1 LIMIT 1)")&amp;", p_id_cliente_propietario =&gt; "&amp;IF(F161="CLIENTE",IF(TRIM(G161&amp;"")="","NULL","(SELECT id FROM cli_clientes WHERE numero_documento = '"&amp;SUBSTITUTE(TRIM(G161),"'","''")&amp;"' AND estado = 1 LIMIT 1)"),"NULL")&amp;", p_id_planta =&gt; "&amp;IF(F161="PLANTA",IF(TRIM(G161&amp;"")="","NULL","(SELECT id FROM cli_clientes WHERE numero_documento = '"&amp;SUBSTITUTE(TRIM(G161),"'","''")&amp;"'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"&amp;IF(TRIM(J161&amp;"")="","NULL","(SELECT id FROM gen_almacen WHERE upper(nombre) = upper('"&amp;SUBSTITUTE(TRIM(J161),"'","''")&amp;"') AND estado = 1 LIMIT 1)")&amp;", p_id_cliente_ubicacion =&gt; "&amp;IF(TRIM(K161&amp;"")="","NULL","(SELECT id FROM cli_clientes WHERE numero_documento = '"&amp;SUBSTITUTE(TRIM(K161),"'","''")&amp;"' AND estado = 1 LIMIT 1)")&amp;", p_id_referencia =&gt; "&amp;IF(TRIM(J161&amp;"")&lt;&gt;"","(SELECT lo.id FROM gen_lista_opciones lo JOIN gen_lista l ON l.id = lo.id_lista WHERE l.nombre = 'ReferenciaCilindro' AND upper(lo.nombre) = 'ALMACEN' AND lo.estado = 1 LIMIT 1)",IF(TRIM(K161&amp;"")&lt;&gt;"","(SELECT lo.id FROM gen_lista_opciones lo JOIN gen_lista l ON l.id = lo.id_lista WHERE l.nombre = 'ReferenciaCilindro' AND upper(lo.nombre) = 'CLIENTE' AND lo.estado = 1 LIMIT 1)","NULL"))&amp;", p_anio_fabricacion =&gt; "&amp;IF(M161&amp;""="","NULL::smallint",M161&amp;"::smallint")&amp;", p_mes_fabricacion =&gt; "&amp;IF(N161&amp;""="","NULL::smallint",N161&amp;"::smallint")&amp;", p_fecha_ultima_prueba_hidrostatica =&gt; "&amp;IF(O161&amp;""="","NULL","'"&amp;YEAR(O161)&amp;"-"&amp;TEXT(MONTH(O161),"00")&amp;"-"&amp;TEXT(DAY(O161),"00")&amp;"'")&amp;", p_numero_serie =&gt; "&amp;IF(TRIM(Q161&amp;"")="","NULL","'"&amp;SUBSTITUTE(TRIM(Q161),"'","''")&amp;"'")&amp;", p_id_marca_cilindro =&gt; "&amp;IF(TRIM(R161&amp;"")="","NULL","(SELECT lo.id FROM gen_lista_opciones lo JOIN gen_lista l ON l.id = lo.id_lista WHERE l.nombre = 'MarcaCilindro' AND upper(lo.nombre) = upper('"&amp;SUBSTITUTE(TRIM(R161),"'","''")&amp;"') AND lo.estado = 1 LIMIT 1)")&amp;", p_id_organo_inspector =&gt; "&amp;IF(TRIM(S161&amp;"")="","NULL","(SELECT lo.id FROM gen_lista_opciones lo JOIN gen_lista l ON l.id = lo.id_lista WHERE l.nombre = 'OrganoInspectorCilindro' AND upper(lo.nombre) = upper('"&amp;SUBSTITUTE(TRIM(S161),"'","''")&amp;"') AND lo.estado = 1 LIMIT 1)")&amp;", p_organo_inspector_no_aplica =&gt; "&amp;IF(S161="NO_APLICA","TRUE","FALSE")&amp;", p_presion_actual =&gt; "&amp;IF(T161&amp;""="","NULL",SUBSTITUTE(T161&amp;"",",","."))&amp;", p_tipo_valvula =&gt; "&amp;IF(TRIM(U161&amp;"")="","NULL","'"&amp;SUBSTITUTE(TRIM(U161),"'","''")&amp;"'")&amp;", p_libro_cilindro =&gt; "&amp;IF(TRIM(V161&amp;"")="","NULL","'"&amp;SUBSTITUTE(TRIM(V161),"'","''")&amp;"'")&amp;", p_pagina_libro =&gt; "&amp;IF(W161&amp;""="","NULL",SUBSTITUTE(W161&amp;"",",","."))&amp;", p_observacion =&gt; "&amp;IF(TRIM(X161&amp;"")="","NULL","'"&amp;SUBSTITUTE(TRIM(X161),"'","''")&amp;"'")&amp;") AS resultado_balon_"&amp;ROW()&amp;";")</f>
        <v/>
      </c>
    </row>
    <row r="162" ht="15.75" customHeight="1" s="64">
      <c r="A162" s="36" t="inlineStr">
        <is>
          <t>158</t>
        </is>
      </c>
      <c r="B162" s="25">
        <f>IF(AND(C162="",D162="",E162=""),"",IF(C162="","FALTA código balón",IF(D162="","FALTA tipo balón",IF(E162="","FALTA gas",IF(F162="","FALTA propietario",IF(AND(C162&lt;&gt;"",SUMPRODUCT(--($C$5:$C$1200=C162))&gt;1),"CÓDIGO BALÓN DUPLICADO",IF(AND(OR(UPPER(F162)="PLANTA",UPPER(F162)="CLIENTE"),G162=""),"FALTA doc propietario/planta",IF(AND(UPPER(F162)="PLANTA",G162="10175332796"),"PLANTA no puede ser RUC empresa","OK"))))))))</f>
        <v/>
      </c>
      <c r="C162" s="23" t="inlineStr">
        <is>
          <t>20K301120</t>
        </is>
      </c>
      <c r="D162" s="17" t="inlineStr">
        <is>
          <t>Nitrógeno 10 m³</t>
        </is>
      </c>
      <c r="E162" s="17" t="inlineStr">
        <is>
          <t>NITROGENO</t>
        </is>
      </c>
      <c r="F162" s="17" t="inlineStr">
        <is>
          <t>EMPRESA</t>
        </is>
      </c>
      <c r="G162" s="23" t="inlineStr">
        <is>
          <t>10175332796</t>
        </is>
      </c>
      <c r="H162" s="25">
        <f t="array" ref="H162">IF(G162="","",IFERROR(IF(INDEX(Clientes!$D$5:$D$549,MATCH(G162,Clientes!$C$5:$C$549,0))&lt;&gt;"",INDEX(Clientes!$D$5:$D$549,MATCH(G162,Clientes!$C$5:$C$549,0)),TRIM(INDEX(Clientes!$E$5:$E$549,MATCH(G162,Clientes!$C$5:$C$549,0))&amp;" "&amp;INDEX(Clientes!$F$5:$F$549,MATCH(G162,Clientes!$C$5:$C$549,0)))),"NO EXISTE en Clientes"))</f>
        <v/>
      </c>
      <c r="I162" s="17" t="inlineStr">
        <is>
          <t>DISPONIBLE</t>
        </is>
      </c>
      <c r="J162" s="17" t="inlineStr">
        <is>
          <t>ALMACEN PRINCIPAL</t>
        </is>
      </c>
      <c r="K162" s="23" t="n"/>
      <c r="L162" s="25">
        <f t="array" ref="L162">IF(K162="","",IFERROR(IF(INDEX(Clientes!$D$5:$D$549,MATCH(K162,Clientes!$C$5:$C$549,0))&lt;&gt;"",INDEX(Clientes!$D$5:$D$549,MATCH(K162,Clientes!$C$5:$C$549,0)),TRIM(INDEX(Clientes!$E$5:$E$549,MATCH(K162,Clientes!$C$5:$C$549,0))&amp;" "&amp;INDEX(Clientes!$F$5:$F$549,MATCH(K162,Clientes!$C$5:$C$549,0)))),"NO EXISTE en Clientes"))</f>
        <v/>
      </c>
      <c r="M162" s="17" t="n">
        <v>2025</v>
      </c>
      <c r="N162" s="17" t="n">
        <v>11</v>
      </c>
      <c r="O162" s="42" t="n">
        <v>45962</v>
      </c>
      <c r="P162" s="39">
        <f>IF(O162&lt;&gt;"",DATE(YEAR(O162)+10,MONTH(O162),1),IF(AND(M162&lt;&gt;"",N162&lt;&gt;""),DATE(M162+5,N162,1),""))</f>
        <v/>
      </c>
      <c r="Q162" s="23" t="n"/>
      <c r="R162" s="17" t="inlineStr">
        <is>
          <t>JP</t>
        </is>
      </c>
      <c r="S162" s="17" t="inlineStr">
        <is>
          <t>HEXAGONAL (0036)</t>
        </is>
      </c>
      <c r="T162" s="17" t="n">
        <v>2800</v>
      </c>
      <c r="U162" s="17" t="n"/>
      <c r="V162" s="23" t="n"/>
      <c r="W162" s="17" t="n"/>
      <c r="X162" s="17" t="inlineStr">
        <is>
          <t>PH OXIGENO CRISTIAN</t>
        </is>
      </c>
      <c r="Y162" s="28">
        <f>IF(B162&lt;&gt;"OK","","SELECT bal_crear_balon(p_codigo_balon =&gt; "&amp;IF(TRIM(C162&amp;"")="","NULL","'"&amp;SUBSTITUTE(TRIM(C162),"'","''")&amp;"'")&amp;", p_id_tipo_balon =&gt; "&amp;"(SELECT id FROM bal_tipo_balon WHERE upper(nombre) = upper('"&amp;SUBSTITUTE(TRIM(D162),"'","''")&amp;"') AND estado = 1 LIMIT 1)"&amp;", p_id_producto_gas =&gt; "&amp;"(SELECT id FROM pro_producto WHERE es_gas = TRUE AND upper(nombre) = upper('"&amp;SUBSTITUTE(TRIM(E162),"'","''")&amp;"') AND estado = 1 LIMIT 1)"&amp;", p_id_propietario =&gt; "&amp;IF(TRIM(F162&amp;"")="","NULL","(SELECT lo.id FROM gen_lista_opciones lo JOIN gen_lista l ON l.id = lo.id_lista WHERE l.nombre = 'PropietarioBalon' AND upper(lo.nombre) = upper('"&amp;SUBSTITUTE(TRIM(F162),"'","''")&amp;"') AND lo.estado = 1 LIMIT 1)")&amp;", p_id_cliente_propietario =&gt; "&amp;IF(F162="CLIENTE",IF(TRIM(G162&amp;"")="","NULL","(SELECT id FROM cli_clientes WHERE numero_documento = '"&amp;SUBSTITUTE(TRIM(G162),"'","''")&amp;"' AND estado = 1 LIMIT 1)"),"NULL")&amp;", p_id_planta =&gt; "&amp;IF(F162="PLANTA",IF(TRIM(G162&amp;"")="","NULL","(SELECT id FROM cli_clientes WHERE numero_documento = '"&amp;SUBSTITUTE(TRIM(G162),"'","''")&amp;"'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"&amp;IF(TRIM(J162&amp;"")="","NULL","(SELECT id FROM gen_almacen WHERE upper(nombre) = upper('"&amp;SUBSTITUTE(TRIM(J162),"'","''")&amp;"') AND estado = 1 LIMIT 1)")&amp;", p_id_cliente_ubicacion =&gt; "&amp;IF(TRIM(K162&amp;"")="","NULL","(SELECT id FROM cli_clientes WHERE numero_documento = '"&amp;SUBSTITUTE(TRIM(K162),"'","''")&amp;"' AND estado = 1 LIMIT 1)")&amp;", p_id_referencia =&gt; "&amp;IF(TRIM(J162&amp;"")&lt;&gt;"","(SELECT lo.id FROM gen_lista_opciones lo JOIN gen_lista l ON l.id = lo.id_lista WHERE l.nombre = 'ReferenciaCilindro' AND upper(lo.nombre) = 'ALMACEN' AND lo.estado = 1 LIMIT 1)",IF(TRIM(K162&amp;"")&lt;&gt;"","(SELECT lo.id FROM gen_lista_opciones lo JOIN gen_lista l ON l.id = lo.id_lista WHERE l.nombre = 'ReferenciaCilindro' AND upper(lo.nombre) = 'CLIENTE' AND lo.estado = 1 LIMIT 1)","NULL"))&amp;", p_anio_fabricacion =&gt; "&amp;IF(M162&amp;""="","NULL::smallint",M162&amp;"::smallint")&amp;", p_mes_fabricacion =&gt; "&amp;IF(N162&amp;""="","NULL::smallint",N162&amp;"::smallint")&amp;", p_fecha_ultima_prueba_hidrostatica =&gt; "&amp;IF(O162&amp;""="","NULL","'"&amp;YEAR(O162)&amp;"-"&amp;TEXT(MONTH(O162),"00")&amp;"-"&amp;TEXT(DAY(O162),"00")&amp;"'")&amp;", p_numero_serie =&gt; "&amp;IF(TRIM(Q162&amp;"")="","NULL","'"&amp;SUBSTITUTE(TRIM(Q162),"'","''")&amp;"'")&amp;", p_id_marca_cilindro =&gt; "&amp;IF(TRIM(R162&amp;"")="","NULL","(SELECT lo.id FROM gen_lista_opciones lo JOIN gen_lista l ON l.id = lo.id_lista WHERE l.nombre = 'MarcaCilindro' AND upper(lo.nombre) = upper('"&amp;SUBSTITUTE(TRIM(R162),"'","''")&amp;"') AND lo.estado = 1 LIMIT 1)")&amp;", p_id_organo_inspector =&gt; "&amp;IF(TRIM(S162&amp;"")="","NULL","(SELECT lo.id FROM gen_lista_opciones lo JOIN gen_lista l ON l.id = lo.id_lista WHERE l.nombre = 'OrganoInspectorCilindro' AND upper(lo.nombre) = upper('"&amp;SUBSTITUTE(TRIM(S162),"'","''")&amp;"') AND lo.estado = 1 LIMIT 1)")&amp;", p_organo_inspector_no_aplica =&gt; "&amp;IF(S162="NO_APLICA","TRUE","FALSE")&amp;", p_presion_actual =&gt; "&amp;IF(T162&amp;""="","NULL",SUBSTITUTE(T162&amp;"",",","."))&amp;", p_tipo_valvula =&gt; "&amp;IF(TRIM(U162&amp;"")="","NULL","'"&amp;SUBSTITUTE(TRIM(U162),"'","''")&amp;"'")&amp;", p_libro_cilindro =&gt; "&amp;IF(TRIM(V162&amp;"")="","NULL","'"&amp;SUBSTITUTE(TRIM(V162),"'","''")&amp;"'")&amp;", p_pagina_libro =&gt; "&amp;IF(W162&amp;""="","NULL",SUBSTITUTE(W162&amp;"",",","."))&amp;", p_observacion =&gt; "&amp;IF(TRIM(X162&amp;"")="","NULL","'"&amp;SUBSTITUTE(TRIM(X162),"'","''")&amp;"'")&amp;") AS resultado_balon_"&amp;ROW()&amp;";")</f>
        <v/>
      </c>
    </row>
    <row r="163" ht="15.75" customHeight="1" s="64">
      <c r="A163" s="36" t="inlineStr">
        <is>
          <t>159</t>
        </is>
      </c>
      <c r="B163" s="25">
        <f>IF(AND(C163="",D163="",E163=""),"",IF(C163="","FALTA código balón",IF(D163="","FALTA tipo balón",IF(E163="","FALTA gas",IF(F163="","FALTA propietario",IF(AND(C163&lt;&gt;"",SUMPRODUCT(--($C$5:$C$1200=C163))&gt;1),"CÓDIGO BALÓN DUPLICADO",IF(AND(OR(UPPER(F163)="PLANTA",UPPER(F163)="CLIENTE"),G163=""),"FALTA doc propietario/planta",IF(AND(UPPER(F163)="PLANTA",G163="10175332796"),"PLANTA no puede ser RUC empresa","OK"))))))))</f>
        <v/>
      </c>
      <c r="C163" s="23" t="inlineStr">
        <is>
          <t>FC018030</t>
        </is>
      </c>
      <c r="D163" s="17" t="inlineStr">
        <is>
          <t>Oxígeno Industrial 10 m³</t>
        </is>
      </c>
      <c r="E163" s="17" t="inlineStr">
        <is>
          <t>OXIGENO INDUSTRIAL</t>
        </is>
      </c>
      <c r="F163" s="17" t="inlineStr">
        <is>
          <t>EMPRESA</t>
        </is>
      </c>
      <c r="G163" s="23" t="inlineStr">
        <is>
          <t>10175332796</t>
        </is>
      </c>
      <c r="H163" s="25">
        <f t="array" ref="H163">IF(G163="","",IFERROR(IF(INDEX(Clientes!$D$5:$D$549,MATCH(G163,Clientes!$C$5:$C$549,0))&lt;&gt;"",INDEX(Clientes!$D$5:$D$549,MATCH(G163,Clientes!$C$5:$C$549,0)),TRIM(INDEX(Clientes!$E$5:$E$549,MATCH(G163,Clientes!$C$5:$C$549,0))&amp;" "&amp;INDEX(Clientes!$F$5:$F$549,MATCH(G163,Clientes!$C$5:$C$549,0)))),"NO EXISTE en Clientes"))</f>
        <v/>
      </c>
      <c r="I163" s="17" t="inlineStr">
        <is>
          <t>DISPONIBLE</t>
        </is>
      </c>
      <c r="J163" s="17" t="inlineStr">
        <is>
          <t>ALMACEN PRINCIPAL</t>
        </is>
      </c>
      <c r="K163" s="23" t="n"/>
      <c r="L163" s="25">
        <f t="array" ref="L163">IF(K163="","",IFERROR(IF(INDEX(Clientes!$D$5:$D$549,MATCH(K163,Clientes!$C$5:$C$549,0))&lt;&gt;"",INDEX(Clientes!$D$5:$D$549,MATCH(K163,Clientes!$C$5:$C$549,0)),TRIM(INDEX(Clientes!$E$5:$E$549,MATCH(K163,Clientes!$C$5:$C$549,0))&amp;" "&amp;INDEX(Clientes!$F$5:$F$549,MATCH(K163,Clientes!$C$5:$C$549,0)))),"NO EXISTE en Clientes"))</f>
        <v/>
      </c>
      <c r="M163" s="17" t="n">
        <v>2026</v>
      </c>
      <c r="N163" s="17" t="n">
        <v>8</v>
      </c>
      <c r="O163" s="42" t="n">
        <v>46235</v>
      </c>
      <c r="P163" s="39">
        <f>IF(O163&lt;&gt;"",DATE(YEAR(O163)+10,MONTH(O163),1),IF(AND(M163&lt;&gt;"",N163&lt;&gt;""),DATE(M163+5,N163,1),""))</f>
        <v/>
      </c>
      <c r="Q163" s="23" t="n"/>
      <c r="R163" s="17" t="inlineStr">
        <is>
          <t>LD</t>
        </is>
      </c>
      <c r="S163" s="17" t="inlineStr">
        <is>
          <t>HEXAGONAL (0036)</t>
        </is>
      </c>
      <c r="T163" s="17" t="n">
        <v>2800</v>
      </c>
      <c r="U163" s="17" t="n"/>
      <c r="V163" s="23" t="n"/>
      <c r="W163" s="17" t="n"/>
      <c r="X163" s="17" t="inlineStr">
        <is>
          <t>PH ICP</t>
        </is>
      </c>
      <c r="Y163" s="28">
        <f>IF(B163&lt;&gt;"OK","","SELECT bal_crear_balon(p_codigo_balon =&gt; "&amp;IF(TRIM(C163&amp;"")="","NULL","'"&amp;SUBSTITUTE(TRIM(C163),"'","''")&amp;"'")&amp;", p_id_tipo_balon =&gt; "&amp;"(SELECT id FROM bal_tipo_balon WHERE upper(nombre) = upper('"&amp;SUBSTITUTE(TRIM(D163),"'","''")&amp;"') AND estado = 1 LIMIT 1)"&amp;", p_id_producto_gas =&gt; "&amp;"(SELECT id FROM pro_producto WHERE es_gas = TRUE AND upper(nombre) = upper('"&amp;SUBSTITUTE(TRIM(E163),"'","''")&amp;"') AND estado = 1 LIMIT 1)"&amp;", p_id_propietario =&gt; "&amp;IF(TRIM(F163&amp;"")="","NULL","(SELECT lo.id FROM gen_lista_opciones lo JOIN gen_lista l ON l.id = lo.id_lista WHERE l.nombre = 'PropietarioBalon' AND upper(lo.nombre) = upper('"&amp;SUBSTITUTE(TRIM(F163),"'","''")&amp;"') AND lo.estado = 1 LIMIT 1)")&amp;", p_id_cliente_propietario =&gt; "&amp;IF(F163="CLIENTE",IF(TRIM(G163&amp;"")="","NULL","(SELECT id FROM cli_clientes WHERE numero_documento = '"&amp;SUBSTITUTE(TRIM(G163),"'","''")&amp;"' AND estado = 1 LIMIT 1)"),"NULL")&amp;", p_id_planta =&gt; "&amp;IF(F163="PLANTA",IF(TRIM(G163&amp;"")="","NULL","(SELECT id FROM cli_clientes WHERE numero_documento = '"&amp;SUBSTITUTE(TRIM(G163),"'","''")&amp;"'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"&amp;IF(TRIM(J163&amp;"")="","NULL","(SELECT id FROM gen_almacen WHERE upper(nombre) = upper('"&amp;SUBSTITUTE(TRIM(J163),"'","''")&amp;"') AND estado = 1 LIMIT 1)")&amp;", p_id_cliente_ubicacion =&gt; "&amp;IF(TRIM(K163&amp;"")="","NULL","(SELECT id FROM cli_clientes WHERE numero_documento = '"&amp;SUBSTITUTE(TRIM(K163),"'","''")&amp;"' AND estado = 1 LIMIT 1)")&amp;", p_id_referencia =&gt; "&amp;IF(TRIM(J163&amp;"")&lt;&gt;"","(SELECT lo.id FROM gen_lista_opciones lo JOIN gen_lista l ON l.id = lo.id_lista WHERE l.nombre = 'ReferenciaCilindro' AND upper(lo.nombre) = 'ALMACEN' AND lo.estado = 1 LIMIT 1)",IF(TRIM(K163&amp;"")&lt;&gt;"","(SELECT lo.id FROM gen_lista_opciones lo JOIN gen_lista l ON l.id = lo.id_lista WHERE l.nombre = 'ReferenciaCilindro' AND upper(lo.nombre) = 'CLIENTE' AND lo.estado = 1 LIMIT 1)","NULL"))&amp;", p_anio_fabricacion =&gt; "&amp;IF(M163&amp;""="","NULL::smallint",M163&amp;"::smallint")&amp;", p_mes_fabricacion =&gt; "&amp;IF(N163&amp;""="","NULL::smallint",N163&amp;"::smallint")&amp;", p_fecha_ultima_prueba_hidrostatica =&gt; "&amp;IF(O163&amp;""="","NULL","'"&amp;YEAR(O163)&amp;"-"&amp;TEXT(MONTH(O163),"00")&amp;"-"&amp;TEXT(DAY(O163),"00")&amp;"'")&amp;", p_numero_serie =&gt; "&amp;IF(TRIM(Q163&amp;"")="","NULL","'"&amp;SUBSTITUTE(TRIM(Q163),"'","''")&amp;"'")&amp;", p_id_marca_cilindro =&gt; "&amp;IF(TRIM(R163&amp;"")="","NULL","(SELECT lo.id FROM gen_lista_opciones lo JOIN gen_lista l ON l.id = lo.id_lista WHERE l.nombre = 'MarcaCilindro' AND upper(lo.nombre) = upper('"&amp;SUBSTITUTE(TRIM(R163),"'","''")&amp;"') AND lo.estado = 1 LIMIT 1)")&amp;", p_id_organo_inspector =&gt; "&amp;IF(TRIM(S163&amp;"")="","NULL","(SELECT lo.id FROM gen_lista_opciones lo JOIN gen_lista l ON l.id = lo.id_lista WHERE l.nombre = 'OrganoInspectorCilindro' AND upper(lo.nombre) = upper('"&amp;SUBSTITUTE(TRIM(S163),"'","''")&amp;"') AND lo.estado = 1 LIMIT 1)")&amp;", p_organo_inspector_no_aplica =&gt; "&amp;IF(S163="NO_APLICA","TRUE","FALSE")&amp;", p_presion_actual =&gt; "&amp;IF(T163&amp;""="","NULL",SUBSTITUTE(T163&amp;"",",","."))&amp;", p_tipo_valvula =&gt; "&amp;IF(TRIM(U163&amp;"")="","NULL","'"&amp;SUBSTITUTE(TRIM(U163),"'","''")&amp;"'")&amp;", p_libro_cilindro =&gt; "&amp;IF(TRIM(V163&amp;"")="","NULL","'"&amp;SUBSTITUTE(TRIM(V163),"'","''")&amp;"'")&amp;", p_pagina_libro =&gt; "&amp;IF(W163&amp;""="","NULL",SUBSTITUTE(W163&amp;"",",","."))&amp;", p_observacion =&gt; "&amp;IF(TRIM(X163&amp;"")="","NULL","'"&amp;SUBSTITUTE(TRIM(X163),"'","''")&amp;"'")&amp;") AS resultado_balon_"&amp;ROW()&amp;";")</f>
        <v/>
      </c>
    </row>
    <row r="164" ht="15.75" customHeight="1" s="64">
      <c r="A164" s="36" t="inlineStr">
        <is>
          <t>160</t>
        </is>
      </c>
      <c r="B164" s="25">
        <f>IF(AND(C164="",D164="",E164=""),"",IF(C164="","FALTA código balón",IF(D164="","FALTA tipo balón",IF(E164="","FALTA gas",IF(F164="","FALTA propietario",IF(AND(C164&lt;&gt;"",SUMPRODUCT(--($C$5:$C$1200=C164))&gt;1),"CÓDIGO BALÓN DUPLICADO",IF(AND(OR(UPPER(F164)="PLANTA",UPPER(F164)="CLIENTE"),G164=""),"FALTA doc propietario/planta",IF(AND(UPPER(F164)="PLANTA",G164="10175332796"),"PLANTA no puede ser RUC empresa","OK"))))))))</f>
        <v/>
      </c>
      <c r="C164" s="23" t="inlineStr">
        <is>
          <t>19S165153</t>
        </is>
      </c>
      <c r="D164" s="17" t="inlineStr">
        <is>
          <t>Oxígeno Industrial 6 m³</t>
        </is>
      </c>
      <c r="E164" s="17" t="inlineStr">
        <is>
          <t>OXIGENO INDUSTRIAL</t>
        </is>
      </c>
      <c r="F164" s="17" t="inlineStr">
        <is>
          <t>EMPRESA</t>
        </is>
      </c>
      <c r="G164" s="23" t="inlineStr">
        <is>
          <t>10175332796</t>
        </is>
      </c>
      <c r="H164" s="25">
        <f t="array" ref="H164">IF(G164="","",IFERROR(IF(INDEX(Clientes!$D$5:$D$549,MATCH(G164,Clientes!$C$5:$C$549,0))&lt;&gt;"",INDEX(Clientes!$D$5:$D$549,MATCH(G164,Clientes!$C$5:$C$549,0)),TRIM(INDEX(Clientes!$E$5:$E$549,MATCH(G164,Clientes!$C$5:$C$549,0))&amp;" "&amp;INDEX(Clientes!$F$5:$F$549,MATCH(G164,Clientes!$C$5:$C$549,0)))),"NO EXISTE en Clientes"))</f>
        <v/>
      </c>
      <c r="I164" s="17" t="inlineStr">
        <is>
          <t>DISPONIBLE</t>
        </is>
      </c>
      <c r="J164" s="17" t="inlineStr">
        <is>
          <t>ALMACEN PRINCIPAL</t>
        </is>
      </c>
      <c r="K164" s="23" t="n"/>
      <c r="L164" s="25">
        <f t="array" ref="L164">IF(K164="","",IFERROR(IF(INDEX(Clientes!$D$5:$D$549,MATCH(K164,Clientes!$C$5:$C$549,0))&lt;&gt;"",INDEX(Clientes!$D$5:$D$549,MATCH(K164,Clientes!$C$5:$C$549,0)),TRIM(INDEX(Clientes!$E$5:$E$549,MATCH(K164,Clientes!$C$5:$C$549,0))&amp;" "&amp;INDEX(Clientes!$F$5:$F$549,MATCH(K164,Clientes!$C$5:$C$549,0)))),"NO EXISTE en Clientes"))</f>
        <v/>
      </c>
      <c r="M164" s="17" t="n">
        <v>2025</v>
      </c>
      <c r="N164" s="17" t="n">
        <v>2</v>
      </c>
      <c r="O164" s="42" t="n">
        <v>45689</v>
      </c>
      <c r="P164" s="39">
        <f>IF(O164&lt;&gt;"",DATE(YEAR(O164)+10,MONTH(O164),1),IF(AND(M164&lt;&gt;"",N164&lt;&gt;""),DATE(M164+5,N164,1),""))</f>
        <v/>
      </c>
      <c r="Q164" s="23" t="n"/>
      <c r="R164" s="17" t="inlineStr">
        <is>
          <t>JP</t>
        </is>
      </c>
      <c r="S164" s="17" t="inlineStr">
        <is>
          <t>OTRO</t>
        </is>
      </c>
      <c r="T164" s="17" t="n">
        <v>2000</v>
      </c>
      <c r="U164" s="17" t="n"/>
      <c r="V164" s="23" t="n"/>
      <c r="W164" s="17" t="n"/>
      <c r="X164" s="17" t="inlineStr">
        <is>
          <t>PH LINDE</t>
        </is>
      </c>
      <c r="Y164" s="28">
        <f>IF(B164&lt;&gt;"OK","","SELECT bal_crear_balon(p_codigo_balon =&gt; "&amp;IF(TRIM(C164&amp;"")="","NULL","'"&amp;SUBSTITUTE(TRIM(C164),"'","''")&amp;"'")&amp;", p_id_tipo_balon =&gt; "&amp;"(SELECT id FROM bal_tipo_balon WHERE upper(nombre) = upper('"&amp;SUBSTITUTE(TRIM(D164),"'","''")&amp;"') AND estado = 1 LIMIT 1)"&amp;", p_id_producto_gas =&gt; "&amp;"(SELECT id FROM pro_producto WHERE es_gas = TRUE AND upper(nombre) = upper('"&amp;SUBSTITUTE(TRIM(E164),"'","''")&amp;"') AND estado = 1 LIMIT 1)"&amp;", p_id_propietario =&gt; "&amp;IF(TRIM(F164&amp;"")="","NULL","(SELECT lo.id FROM gen_lista_opciones lo JOIN gen_lista l ON l.id = lo.id_lista WHERE l.nombre = 'PropietarioBalon' AND upper(lo.nombre) = upper('"&amp;SUBSTITUTE(TRIM(F164),"'","''")&amp;"') AND lo.estado = 1 LIMIT 1)")&amp;", p_id_cliente_propietario =&gt; "&amp;IF(F164="CLIENTE",IF(TRIM(G164&amp;"")="","NULL","(SELECT id FROM cli_clientes WHERE numero_documento = '"&amp;SUBSTITUTE(TRIM(G164),"'","''")&amp;"' AND estado = 1 LIMIT 1)"),"NULL")&amp;", p_id_planta =&gt; "&amp;IF(F164="PLANTA",IF(TRIM(G164&amp;"")="","NULL","(SELECT id FROM cli_clientes WHERE numero_documento = '"&amp;SUBSTITUTE(TRIM(G164),"'","''")&amp;"'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"&amp;IF(TRIM(J164&amp;"")="","NULL","(SELECT id FROM gen_almacen WHERE upper(nombre) = upper('"&amp;SUBSTITUTE(TRIM(J164),"'","''")&amp;"') AND estado = 1 LIMIT 1)")&amp;", p_id_cliente_ubicacion =&gt; "&amp;IF(TRIM(K164&amp;"")="","NULL","(SELECT id FROM cli_clientes WHERE numero_documento = '"&amp;SUBSTITUTE(TRIM(K164),"'","''")&amp;"' AND estado = 1 LIMIT 1)")&amp;", p_id_referencia =&gt; "&amp;IF(TRIM(J164&amp;"")&lt;&gt;"","(SELECT lo.id FROM gen_lista_opciones lo JOIN gen_lista l ON l.id = lo.id_lista WHERE l.nombre = 'ReferenciaCilindro' AND upper(lo.nombre) = 'ALMACEN' AND lo.estado = 1 LIMIT 1)",IF(TRIM(K164&amp;"")&lt;&gt;"","(SELECT lo.id FROM gen_lista_opciones lo JOIN gen_lista l ON l.id = lo.id_lista WHERE l.nombre = 'ReferenciaCilindro' AND upper(lo.nombre) = 'CLIENTE' AND lo.estado = 1 LIMIT 1)","NULL"))&amp;", p_anio_fabricacion =&gt; "&amp;IF(M164&amp;""="","NULL::smallint",M164&amp;"::smallint")&amp;", p_mes_fabricacion =&gt; "&amp;IF(N164&amp;""="","NULL::smallint",N164&amp;"::smallint")&amp;", p_fecha_ultima_prueba_hidrostatica =&gt; "&amp;IF(O164&amp;""="","NULL","'"&amp;YEAR(O164)&amp;"-"&amp;TEXT(MONTH(O164),"00")&amp;"-"&amp;TEXT(DAY(O164),"00")&amp;"'")&amp;", p_numero_serie =&gt; "&amp;IF(TRIM(Q164&amp;"")="","NULL","'"&amp;SUBSTITUTE(TRIM(Q164),"'","''")&amp;"'")&amp;", p_id_marca_cilindro =&gt; "&amp;IF(TRIM(R164&amp;"")="","NULL","(SELECT lo.id FROM gen_lista_opciones lo JOIN gen_lista l ON l.id = lo.id_lista WHERE l.nombre = 'MarcaCilindro' AND upper(lo.nombre) = upper('"&amp;SUBSTITUTE(TRIM(R164),"'","''")&amp;"') AND lo.estado = 1 LIMIT 1)")&amp;", p_id_organo_inspector =&gt; "&amp;IF(TRIM(S164&amp;"")="","NULL","(SELECT lo.id FROM gen_lista_opciones lo JOIN gen_lista l ON l.id = lo.id_lista WHERE l.nombre = 'OrganoInspectorCilindro' AND upper(lo.nombre) = upper('"&amp;SUBSTITUTE(TRIM(S164),"'","''")&amp;"') AND lo.estado = 1 LIMIT 1)")&amp;", p_organo_inspector_no_aplica =&gt; "&amp;IF(S164="NO_APLICA","TRUE","FALSE")&amp;", p_presion_actual =&gt; "&amp;IF(T164&amp;""="","NULL",SUBSTITUTE(T164&amp;"",",","."))&amp;", p_tipo_valvula =&gt; "&amp;IF(TRIM(U164&amp;"")="","NULL","'"&amp;SUBSTITUTE(TRIM(U164),"'","''")&amp;"'")&amp;", p_libro_cilindro =&gt; "&amp;IF(TRIM(V164&amp;"")="","NULL","'"&amp;SUBSTITUTE(TRIM(V164),"'","''")&amp;"'")&amp;", p_pagina_libro =&gt; "&amp;IF(W164&amp;""="","NULL",SUBSTITUTE(W164&amp;"",",","."))&amp;", p_observacion =&gt; "&amp;IF(TRIM(X164&amp;"")="","NULL","'"&amp;SUBSTITUTE(TRIM(X164),"'","''")&amp;"'")&amp;") AS resultado_balon_"&amp;ROW()&amp;";")</f>
        <v/>
      </c>
    </row>
    <row r="165" ht="15.75" customHeight="1" s="64">
      <c r="A165" s="36" t="inlineStr">
        <is>
          <t>161</t>
        </is>
      </c>
      <c r="B165" s="25">
        <f>IF(AND(C165="",D165="",E165=""),"",IF(C165="","FALTA código balón",IF(D165="","FALTA tipo balón",IF(E165="","FALTA gas",IF(F165="","FALTA propietario",IF(AND(C165&lt;&gt;"",SUMPRODUCT(--($C$5:$C$1200=C165))&gt;1),"CÓDIGO BALÓN DUPLICADO",IF(AND(OR(UPPER(F165)="PLANTA",UPPER(F165)="CLIENTE"),G165=""),"FALTA doc propietario/planta",IF(AND(UPPER(F165)="PLANTA",G165="10175332796"),"PLANTA no puede ser RUC empresa","OK"))))))))</f>
        <v/>
      </c>
      <c r="C165" s="23" t="inlineStr">
        <is>
          <t>GA373195</t>
        </is>
      </c>
      <c r="D165" s="17" t="inlineStr">
        <is>
          <t>Oxígeno Industrial 6 m³</t>
        </is>
      </c>
      <c r="E165" s="17" t="inlineStr">
        <is>
          <t>OXIGENO INDUSTRIAL</t>
        </is>
      </c>
      <c r="F165" s="17" t="inlineStr">
        <is>
          <t>EMPRESA</t>
        </is>
      </c>
      <c r="G165" s="23" t="inlineStr">
        <is>
          <t>10175332796</t>
        </is>
      </c>
      <c r="H165" s="25">
        <f t="array" ref="H165">IF(G165="","",IFERROR(IF(INDEX(Clientes!$D$5:$D$549,MATCH(G165,Clientes!$C$5:$C$549,0))&lt;&gt;"",INDEX(Clientes!$D$5:$D$549,MATCH(G165,Clientes!$C$5:$C$549,0)),TRIM(INDEX(Clientes!$E$5:$E$549,MATCH(G165,Clientes!$C$5:$C$549,0))&amp;" "&amp;INDEX(Clientes!$F$5:$F$549,MATCH(G165,Clientes!$C$5:$C$549,0)))),"NO EXISTE en Clientes"))</f>
        <v/>
      </c>
      <c r="I165" s="17" t="inlineStr">
        <is>
          <t>EN_PODER_CLIENTE</t>
        </is>
      </c>
      <c r="J165" s="17" t="n"/>
      <c r="K165" s="52" t="inlineStr">
        <is>
          <t>10176242073</t>
        </is>
      </c>
      <c r="L165" s="25">
        <f t="array" ref="L165">IF(K165="","",IFERROR(IF(INDEX(Clientes!$D$5:$D$549,MATCH(K165,Clientes!$C$5:$C$549,0))&lt;&gt;"",INDEX(Clientes!$D$5:$D$549,MATCH(K165,Clientes!$C$5:$C$549,0)),TRIM(INDEX(Clientes!$E$5:$E$549,MATCH(K165,Clientes!$C$5:$C$549,0))&amp;" "&amp;INDEX(Clientes!$F$5:$F$549,MATCH(K165,Clientes!$C$5:$C$549,0)))),"NO EXISTE en Clientes"))</f>
        <v/>
      </c>
      <c r="M165" s="17" t="n">
        <v>2024</v>
      </c>
      <c r="N165" s="17" t="n">
        <v>2</v>
      </c>
      <c r="O165" s="42" t="n">
        <v>45323</v>
      </c>
      <c r="P165" s="39">
        <f>IF(O165&lt;&gt;"",DATE(YEAR(O165)+10,MONTH(O165),1),IF(AND(M165&lt;&gt;"",N165&lt;&gt;""),DATE(M165+5,N165,1),""))</f>
        <v/>
      </c>
      <c r="Q165" s="23" t="n"/>
      <c r="R165" s="17" t="inlineStr">
        <is>
          <t>JD</t>
        </is>
      </c>
      <c r="S165" s="17" t="inlineStr">
        <is>
          <t>OTRO</t>
        </is>
      </c>
      <c r="T165" s="17" t="n">
        <v>2000</v>
      </c>
      <c r="U165" s="17" t="n"/>
      <c r="V165" s="23" t="n"/>
      <c r="W165" s="17" t="n"/>
      <c r="X165" s="17" t="inlineStr">
        <is>
          <t>PH LINDE</t>
        </is>
      </c>
      <c r="Y165" s="28">
        <f>IF(B165&lt;&gt;"OK","","SELECT bal_crear_balon(p_codigo_balon =&gt; "&amp;IF(TRIM(C165&amp;"")="","NULL","'"&amp;SUBSTITUTE(TRIM(C165),"'","''")&amp;"'")&amp;", p_id_tipo_balon =&gt; "&amp;"(SELECT id FROM bal_tipo_balon WHERE upper(nombre) = upper('"&amp;SUBSTITUTE(TRIM(D165),"'","''")&amp;"') AND estado = 1 LIMIT 1)"&amp;", p_id_producto_gas =&gt; "&amp;"(SELECT id FROM pro_producto WHERE es_gas = TRUE AND upper(nombre) = upper('"&amp;SUBSTITUTE(TRIM(E165),"'","''")&amp;"') AND estado = 1 LIMIT 1)"&amp;", p_id_propietario =&gt; "&amp;IF(TRIM(F165&amp;"")="","NULL","(SELECT lo.id FROM gen_lista_opciones lo JOIN gen_lista l ON l.id = lo.id_lista WHERE l.nombre = 'PropietarioBalon' AND upper(lo.nombre) = upper('"&amp;SUBSTITUTE(TRIM(F165),"'","''")&amp;"') AND lo.estado = 1 LIMIT 1)")&amp;", p_id_cliente_propietario =&gt; "&amp;IF(F165="CLIENTE",IF(TRIM(G165&amp;"")="","NULL","(SELECT id FROM cli_clientes WHERE numero_documento = '"&amp;SUBSTITUTE(TRIM(G165),"'","''")&amp;"' AND estado = 1 LIMIT 1)"),"NULL")&amp;", p_id_planta =&gt; "&amp;IF(F165="PLANTA",IF(TRIM(G165&amp;"")="","NULL","(SELECT id FROM cli_clientes WHERE numero_documento = '"&amp;SUBSTITUTE(TRIM(G165),"'","''")&amp;"'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"&amp;IF(TRIM(J165&amp;"")="","NULL","(SELECT id FROM gen_almacen WHERE upper(nombre) = upper('"&amp;SUBSTITUTE(TRIM(J165),"'","''")&amp;"') AND estado = 1 LIMIT 1)")&amp;", p_id_cliente_ubicacion =&gt; "&amp;IF(TRIM(K165&amp;"")="","NULL","(SELECT id FROM cli_clientes WHERE numero_documento = '"&amp;SUBSTITUTE(TRIM(K165),"'","''")&amp;"' AND estado = 1 LIMIT 1)")&amp;", p_id_referencia =&gt; "&amp;IF(TRIM(J165&amp;"")&lt;&gt;"","(SELECT lo.id FROM gen_lista_opciones lo JOIN gen_lista l ON l.id = lo.id_lista WHERE l.nombre = 'ReferenciaCilindro' AND upper(lo.nombre) = 'ALMACEN' AND lo.estado = 1 LIMIT 1)",IF(TRIM(K165&amp;"")&lt;&gt;"","(SELECT lo.id FROM gen_lista_opciones lo JOIN gen_lista l ON l.id = lo.id_lista WHERE l.nombre = 'ReferenciaCilindro' AND upper(lo.nombre) = 'CLIENTE' AND lo.estado = 1 LIMIT 1)","NULL"))&amp;", p_anio_fabricacion =&gt; "&amp;IF(M165&amp;""="","NULL::smallint",M165&amp;"::smallint")&amp;", p_mes_fabricacion =&gt; "&amp;IF(N165&amp;""="","NULL::smallint",N165&amp;"::smallint")&amp;", p_fecha_ultima_prueba_hidrostatica =&gt; "&amp;IF(O165&amp;""="","NULL","'"&amp;YEAR(O165)&amp;"-"&amp;TEXT(MONTH(O165),"00")&amp;"-"&amp;TEXT(DAY(O165),"00")&amp;"'")&amp;", p_numero_serie =&gt; "&amp;IF(TRIM(Q165&amp;"")="","NULL","'"&amp;SUBSTITUTE(TRIM(Q165),"'","''")&amp;"'")&amp;", p_id_marca_cilindro =&gt; "&amp;IF(TRIM(R165&amp;"")="","NULL","(SELECT lo.id FROM gen_lista_opciones lo JOIN gen_lista l ON l.id = lo.id_lista WHERE l.nombre = 'MarcaCilindro' AND upper(lo.nombre) = upper('"&amp;SUBSTITUTE(TRIM(R165),"'","''")&amp;"') AND lo.estado = 1 LIMIT 1)")&amp;", p_id_organo_inspector =&gt; "&amp;IF(TRIM(S165&amp;"")="","NULL","(SELECT lo.id FROM gen_lista_opciones lo JOIN gen_lista l ON l.id = lo.id_lista WHERE l.nombre = 'OrganoInspectorCilindro' AND upper(lo.nombre) = upper('"&amp;SUBSTITUTE(TRIM(S165),"'","''")&amp;"') AND lo.estado = 1 LIMIT 1)")&amp;", p_organo_inspector_no_aplica =&gt; "&amp;IF(S165="NO_APLICA","TRUE","FALSE")&amp;", p_presion_actual =&gt; "&amp;IF(T165&amp;""="","NULL",SUBSTITUTE(T165&amp;"",",","."))&amp;", p_tipo_valvula =&gt; "&amp;IF(TRIM(U165&amp;"")="","NULL","'"&amp;SUBSTITUTE(TRIM(U165),"'","''")&amp;"'")&amp;", p_libro_cilindro =&gt; "&amp;IF(TRIM(V165&amp;"")="","NULL","'"&amp;SUBSTITUTE(TRIM(V165),"'","''")&amp;"'")&amp;", p_pagina_libro =&gt; "&amp;IF(W165&amp;""="","NULL",SUBSTITUTE(W165&amp;"",",","."))&amp;", p_observacion =&gt; "&amp;IF(TRIM(X165&amp;"")="","NULL","'"&amp;SUBSTITUTE(TRIM(X165),"'","''")&amp;"'")&amp;") AS resultado_balon_"&amp;ROW()&amp;";")</f>
        <v/>
      </c>
    </row>
    <row r="166" ht="15.75" customHeight="1" s="64">
      <c r="A166" s="36" t="inlineStr">
        <is>
          <t>162</t>
        </is>
      </c>
      <c r="B166" s="25">
        <f>IF(AND(C166="",D166="",E166=""),"",IF(C166="","FALTA código balón",IF(D166="","FALTA tipo balón",IF(E166="","FALTA gas",IF(F166="","FALTA propietario",IF(AND(C166&lt;&gt;"",SUMPRODUCT(--($C$5:$C$1200=C166))&gt;1),"CÓDIGO BALÓN DUPLICADO",IF(AND(OR(UPPER(F166)="PLANTA",UPPER(F166)="CLIENTE"),G166=""),"FALTA doc propietario/planta",IF(AND(UPPER(F166)="PLANTA",G166="10175332796"),"PLANTA no puede ser RUC empresa","OK"))))))))</f>
        <v/>
      </c>
      <c r="C166" s="23" t="inlineStr">
        <is>
          <t>GTA217122</t>
        </is>
      </c>
      <c r="D166" s="17" t="inlineStr">
        <is>
          <t>Oxígeno Industrial 6 m³</t>
        </is>
      </c>
      <c r="E166" s="17" t="inlineStr">
        <is>
          <t>OXIGENO INDUSTRIAL</t>
        </is>
      </c>
      <c r="F166" s="17" t="inlineStr">
        <is>
          <t>EMPRESA</t>
        </is>
      </c>
      <c r="G166" s="23" t="inlineStr">
        <is>
          <t>10175332796</t>
        </is>
      </c>
      <c r="H166" s="25">
        <f t="array" ref="H166">IF(G166="","",IFERROR(IF(INDEX(Clientes!$D$5:$D$549,MATCH(G166,Clientes!$C$5:$C$549,0))&lt;&gt;"",INDEX(Clientes!$D$5:$D$549,MATCH(G166,Clientes!$C$5:$C$549,0)),TRIM(INDEX(Clientes!$E$5:$E$549,MATCH(G166,Clientes!$C$5:$C$549,0))&amp;" "&amp;INDEX(Clientes!$F$5:$F$549,MATCH(G166,Clientes!$C$5:$C$549,0)))),"NO EXISTE en Clientes"))</f>
        <v/>
      </c>
      <c r="I166" s="17" t="inlineStr">
        <is>
          <t>EN_PODER_CLIENTE</t>
        </is>
      </c>
      <c r="J166" s="17" t="n"/>
      <c r="K166" s="52" t="inlineStr">
        <is>
          <t>10176242073</t>
        </is>
      </c>
      <c r="L166" s="25">
        <f t="array" ref="L166">IF(K166="","",IFERROR(IF(INDEX(Clientes!$D$5:$D$549,MATCH(K166,Clientes!$C$5:$C$549,0))&lt;&gt;"",INDEX(Clientes!$D$5:$D$549,MATCH(K166,Clientes!$C$5:$C$549,0)),TRIM(INDEX(Clientes!$E$5:$E$549,MATCH(K166,Clientes!$C$5:$C$549,0))&amp;" "&amp;INDEX(Clientes!$F$5:$F$549,MATCH(K166,Clientes!$C$5:$C$549,0)))),"NO EXISTE en Clientes"))</f>
        <v/>
      </c>
      <c r="M166" s="17" t="n">
        <v>2020</v>
      </c>
      <c r="N166" s="17" t="n">
        <v>12</v>
      </c>
      <c r="O166" s="42" t="n">
        <v>44166</v>
      </c>
      <c r="P166" s="39">
        <f>IF(O166&lt;&gt;"",DATE(YEAR(O166)+10,MONTH(O166),1),IF(AND(M166&lt;&gt;"",N166&lt;&gt;""),DATE(M166+5,N166,1),""))</f>
        <v/>
      </c>
      <c r="Q166" s="23" t="n"/>
      <c r="R166" s="17" t="inlineStr">
        <is>
          <t>JD</t>
        </is>
      </c>
      <c r="S166" s="17" t="inlineStr">
        <is>
          <t>TS</t>
        </is>
      </c>
      <c r="T166" s="17" t="n">
        <v>2000</v>
      </c>
      <c r="U166" s="17" t="n"/>
      <c r="V166" s="23" t="n"/>
      <c r="W166" s="17" t="n"/>
      <c r="X166" s="17" t="n"/>
      <c r="Y166" s="28">
        <f>IF(B166&lt;&gt;"OK","","SELECT bal_crear_balon(p_codigo_balon =&gt; "&amp;IF(TRIM(C166&amp;"")="","NULL","'"&amp;SUBSTITUTE(TRIM(C166),"'","''")&amp;"'")&amp;", p_id_tipo_balon =&gt; "&amp;"(SELECT id FROM bal_tipo_balon WHERE upper(nombre) = upper('"&amp;SUBSTITUTE(TRIM(D166),"'","''")&amp;"') AND estado = 1 LIMIT 1)"&amp;", p_id_producto_gas =&gt; "&amp;"(SELECT id FROM pro_producto WHERE es_gas = TRUE AND upper(nombre) = upper('"&amp;SUBSTITUTE(TRIM(E166),"'","''")&amp;"') AND estado = 1 LIMIT 1)"&amp;", p_id_propietario =&gt; "&amp;IF(TRIM(F166&amp;"")="","NULL","(SELECT lo.id FROM gen_lista_opciones lo JOIN gen_lista l ON l.id = lo.id_lista WHERE l.nombre = 'PropietarioBalon' AND upper(lo.nombre) = upper('"&amp;SUBSTITUTE(TRIM(F166),"'","''")&amp;"') AND lo.estado = 1 LIMIT 1)")&amp;", p_id_cliente_propietario =&gt; "&amp;IF(F166="CLIENTE",IF(TRIM(G166&amp;"")="","NULL","(SELECT id FROM cli_clientes WHERE numero_documento = '"&amp;SUBSTITUTE(TRIM(G166),"'","''")&amp;"' AND estado = 1 LIMIT 1)"),"NULL")&amp;", p_id_planta =&gt; "&amp;IF(F166="PLANTA",IF(TRIM(G166&amp;"")="","NULL","(SELECT id FROM cli_clientes WHERE numero_documento = '"&amp;SUBSTITUTE(TRIM(G166),"'","''")&amp;"'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"&amp;IF(TRIM(J166&amp;"")="","NULL","(SELECT id FROM gen_almacen WHERE upper(nombre) = upper('"&amp;SUBSTITUTE(TRIM(J166),"'","''")&amp;"') AND estado = 1 LIMIT 1)")&amp;", p_id_cliente_ubicacion =&gt; "&amp;IF(TRIM(K166&amp;"")="","NULL","(SELECT id FROM cli_clientes WHERE numero_documento = '"&amp;SUBSTITUTE(TRIM(K166),"'","''")&amp;"' AND estado = 1 LIMIT 1)")&amp;", p_id_referencia =&gt; "&amp;IF(TRIM(J166&amp;"")&lt;&gt;"","(SELECT lo.id FROM gen_lista_opciones lo JOIN gen_lista l ON l.id = lo.id_lista WHERE l.nombre = 'ReferenciaCilindro' AND upper(lo.nombre) = 'ALMACEN' AND lo.estado = 1 LIMIT 1)",IF(TRIM(K166&amp;"")&lt;&gt;"","(SELECT lo.id FROM gen_lista_opciones lo JOIN gen_lista l ON l.id = lo.id_lista WHERE l.nombre = 'ReferenciaCilindro' AND upper(lo.nombre) = 'CLIENTE' AND lo.estado = 1 LIMIT 1)","NULL"))&amp;", p_anio_fabricacion =&gt; "&amp;IF(M166&amp;""="","NULL::smallint",M166&amp;"::smallint")&amp;", p_mes_fabricacion =&gt; "&amp;IF(N166&amp;""="","NULL::smallint",N166&amp;"::smallint")&amp;", p_fecha_ultima_prueba_hidrostatica =&gt; "&amp;IF(O166&amp;""="","NULL","'"&amp;YEAR(O166)&amp;"-"&amp;TEXT(MONTH(O166),"00")&amp;"-"&amp;TEXT(DAY(O166),"00")&amp;"'")&amp;", p_numero_serie =&gt; "&amp;IF(TRIM(Q166&amp;"")="","NULL","'"&amp;SUBSTITUTE(TRIM(Q166),"'","''")&amp;"'")&amp;", p_id_marca_cilindro =&gt; "&amp;IF(TRIM(R166&amp;"")="","NULL","(SELECT lo.id FROM gen_lista_opciones lo JOIN gen_lista l ON l.id = lo.id_lista WHERE l.nombre = 'MarcaCilindro' AND upper(lo.nombre) = upper('"&amp;SUBSTITUTE(TRIM(R166),"'","''")&amp;"') AND lo.estado = 1 LIMIT 1)")&amp;", p_id_organo_inspector =&gt; "&amp;IF(TRIM(S166&amp;"")="","NULL","(SELECT lo.id FROM gen_lista_opciones lo JOIN gen_lista l ON l.id = lo.id_lista WHERE l.nombre = 'OrganoInspectorCilindro' AND upper(lo.nombre) = upper('"&amp;SUBSTITUTE(TRIM(S166),"'","''")&amp;"') AND lo.estado = 1 LIMIT 1)")&amp;", p_organo_inspector_no_aplica =&gt; "&amp;IF(S166="NO_APLICA","TRUE","FALSE")&amp;", p_presion_actual =&gt; "&amp;IF(T166&amp;""="","NULL",SUBSTITUTE(T166&amp;"",",","."))&amp;", p_tipo_valvula =&gt; "&amp;IF(TRIM(U166&amp;"")="","NULL","'"&amp;SUBSTITUTE(TRIM(U166),"'","''")&amp;"'")&amp;", p_libro_cilindro =&gt; "&amp;IF(TRIM(V166&amp;"")="","NULL","'"&amp;SUBSTITUTE(TRIM(V166),"'","''")&amp;"'")&amp;", p_pagina_libro =&gt; "&amp;IF(W166&amp;""="","NULL",SUBSTITUTE(W166&amp;"",",","."))&amp;", p_observacion =&gt; "&amp;IF(TRIM(X166&amp;"")="","NULL","'"&amp;SUBSTITUTE(TRIM(X166),"'","''")&amp;"'")&amp;") AS resultado_balon_"&amp;ROW()&amp;";")</f>
        <v/>
      </c>
    </row>
    <row r="167" ht="15.75" customHeight="1" s="64">
      <c r="A167" s="36" t="inlineStr">
        <is>
          <t>163</t>
        </is>
      </c>
      <c r="B167" s="25">
        <f>IF(AND(C167="",D167="",E167=""),"",IF(C167="","FALTA código balón",IF(D167="","FALTA tipo balón",IF(E167="","FALTA gas",IF(F167="","FALTA propietario",IF(AND(C167&lt;&gt;"",SUMPRODUCT(--($C$5:$C$1200=C167))&gt;1),"CÓDIGO BALÓN DUPLICADO",IF(AND(OR(UPPER(F167)="PLANTA",UPPER(F167)="CLIENTE"),G167=""),"FALTA doc propietario/planta",IF(AND(UPPER(F167)="PLANTA",G167="10175332796"),"PLANTA no puede ser RUC empresa","OK"))))))))</f>
        <v/>
      </c>
      <c r="C167" s="23" t="inlineStr">
        <is>
          <t>GA373132</t>
        </is>
      </c>
      <c r="D167" s="17" t="inlineStr">
        <is>
          <t>Oxígeno Industrial 6 m³</t>
        </is>
      </c>
      <c r="E167" s="17" t="inlineStr">
        <is>
          <t>OXIGENO INDUSTRIAL</t>
        </is>
      </c>
      <c r="F167" s="17" t="inlineStr">
        <is>
          <t>EMPRESA</t>
        </is>
      </c>
      <c r="G167" s="23" t="inlineStr">
        <is>
          <t>10175332796</t>
        </is>
      </c>
      <c r="H167" s="25">
        <f t="array" ref="H167">IF(G167="","",IFERROR(IF(INDEX(Clientes!$D$5:$D$549,MATCH(G167,Clientes!$C$5:$C$549,0))&lt;&gt;"",INDEX(Clientes!$D$5:$D$549,MATCH(G167,Clientes!$C$5:$C$549,0)),TRIM(INDEX(Clientes!$E$5:$E$549,MATCH(G167,Clientes!$C$5:$C$549,0))&amp;" "&amp;INDEX(Clientes!$F$5:$F$549,MATCH(G167,Clientes!$C$5:$C$549,0)))),"NO EXISTE en Clientes"))</f>
        <v/>
      </c>
      <c r="I167" s="17" t="inlineStr">
        <is>
          <t>DISPONIBLE</t>
        </is>
      </c>
      <c r="J167" s="17" t="inlineStr">
        <is>
          <t>ALMACEN PRINCIPAL</t>
        </is>
      </c>
      <c r="K167" s="23" t="n"/>
      <c r="L167" s="25">
        <f t="array" ref="L167">IF(K167="","",IFERROR(IF(INDEX(Clientes!$D$5:$D$549,MATCH(K167,Clientes!$C$5:$C$549,0))&lt;&gt;"",INDEX(Clientes!$D$5:$D$549,MATCH(K167,Clientes!$C$5:$C$549,0)),TRIM(INDEX(Clientes!$E$5:$E$549,MATCH(K167,Clientes!$C$5:$C$549,0))&amp;" "&amp;INDEX(Clientes!$F$5:$F$549,MATCH(K167,Clientes!$C$5:$C$549,0)))),"NO EXISTE en Clientes"))</f>
        <v/>
      </c>
      <c r="M167" s="17" t="n">
        <v>2024</v>
      </c>
      <c r="N167" s="17" t="n">
        <v>5</v>
      </c>
      <c r="O167" s="42" t="n">
        <v>45413</v>
      </c>
      <c r="P167" s="39">
        <f>IF(O167&lt;&gt;"",DATE(YEAR(O167)+10,MONTH(O167),1),IF(AND(M167&lt;&gt;"",N167&lt;&gt;""),DATE(M167+5,N167,1),""))</f>
        <v/>
      </c>
      <c r="Q167" s="23" t="n"/>
      <c r="R167" s="17" t="inlineStr">
        <is>
          <t>JD</t>
        </is>
      </c>
      <c r="S167" s="17" t="inlineStr">
        <is>
          <t>TS</t>
        </is>
      </c>
      <c r="T167" s="17" t="n">
        <v>2000</v>
      </c>
      <c r="U167" s="17" t="n"/>
      <c r="V167" s="23" t="n"/>
      <c r="W167" s="17" t="n"/>
      <c r="X167" s="17" t="inlineStr">
        <is>
          <t>PH LINDE</t>
        </is>
      </c>
      <c r="Y167" s="28">
        <f>IF(B167&lt;&gt;"OK","","SELECT bal_crear_balon(p_codigo_balon =&gt; "&amp;IF(TRIM(C167&amp;"")="","NULL","'"&amp;SUBSTITUTE(TRIM(C167),"'","''")&amp;"'")&amp;", p_id_tipo_balon =&gt; "&amp;"(SELECT id FROM bal_tipo_balon WHERE upper(nombre) = upper('"&amp;SUBSTITUTE(TRIM(D167),"'","''")&amp;"') AND estado = 1 LIMIT 1)"&amp;", p_id_producto_gas =&gt; "&amp;"(SELECT id FROM pro_producto WHERE es_gas = TRUE AND upper(nombre) = upper('"&amp;SUBSTITUTE(TRIM(E167),"'","''")&amp;"') AND estado = 1 LIMIT 1)"&amp;", p_id_propietario =&gt; "&amp;IF(TRIM(F167&amp;"")="","NULL","(SELECT lo.id FROM gen_lista_opciones lo JOIN gen_lista l ON l.id = lo.id_lista WHERE l.nombre = 'PropietarioBalon' AND upper(lo.nombre) = upper('"&amp;SUBSTITUTE(TRIM(F167),"'","''")&amp;"') AND lo.estado = 1 LIMIT 1)")&amp;", p_id_cliente_propietario =&gt; "&amp;IF(F167="CLIENTE",IF(TRIM(G167&amp;"")="","NULL","(SELECT id FROM cli_clientes WHERE numero_documento = '"&amp;SUBSTITUTE(TRIM(G167),"'","''")&amp;"' AND estado = 1 LIMIT 1)"),"NULL")&amp;", p_id_planta =&gt; "&amp;IF(F167="PLANTA",IF(TRIM(G167&amp;"")="","NULL","(SELECT id FROM cli_clientes WHERE numero_documento = '"&amp;SUBSTITUTE(TRIM(G167),"'","''")&amp;"'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"&amp;IF(TRIM(J167&amp;"")="","NULL","(SELECT id FROM gen_almacen WHERE upper(nombre) = upper('"&amp;SUBSTITUTE(TRIM(J167),"'","''")&amp;"') AND estado = 1 LIMIT 1)")&amp;", p_id_cliente_ubicacion =&gt; "&amp;IF(TRIM(K167&amp;"")="","NULL","(SELECT id FROM cli_clientes WHERE numero_documento = '"&amp;SUBSTITUTE(TRIM(K167),"'","''")&amp;"' AND estado = 1 LIMIT 1)")&amp;", p_id_referencia =&gt; "&amp;IF(TRIM(J167&amp;"")&lt;&gt;"","(SELECT lo.id FROM gen_lista_opciones lo JOIN gen_lista l ON l.id = lo.id_lista WHERE l.nombre = 'ReferenciaCilindro' AND upper(lo.nombre) = 'ALMACEN' AND lo.estado = 1 LIMIT 1)",IF(TRIM(K167&amp;"")&lt;&gt;"","(SELECT lo.id FROM gen_lista_opciones lo JOIN gen_lista l ON l.id = lo.id_lista WHERE l.nombre = 'ReferenciaCilindro' AND upper(lo.nombre) = 'CLIENTE' AND lo.estado = 1 LIMIT 1)","NULL"))&amp;", p_anio_fabricacion =&gt; "&amp;IF(M167&amp;""="","NULL::smallint",M167&amp;"::smallint")&amp;", p_mes_fabricacion =&gt; "&amp;IF(N167&amp;""="","NULL::smallint",N167&amp;"::smallint")&amp;", p_fecha_ultima_prueba_hidrostatica =&gt; "&amp;IF(O167&amp;""="","NULL","'"&amp;YEAR(O167)&amp;"-"&amp;TEXT(MONTH(O167),"00")&amp;"-"&amp;TEXT(DAY(O167),"00")&amp;"'")&amp;", p_numero_serie =&gt; "&amp;IF(TRIM(Q167&amp;"")="","NULL","'"&amp;SUBSTITUTE(TRIM(Q167),"'","''")&amp;"'")&amp;", p_id_marca_cilindro =&gt; "&amp;IF(TRIM(R167&amp;"")="","NULL","(SELECT lo.id FROM gen_lista_opciones lo JOIN gen_lista l ON l.id = lo.id_lista WHERE l.nombre = 'MarcaCilindro' AND upper(lo.nombre) = upper('"&amp;SUBSTITUTE(TRIM(R167),"'","''")&amp;"') AND lo.estado = 1 LIMIT 1)")&amp;", p_id_organo_inspector =&gt; "&amp;IF(TRIM(S167&amp;"")="","NULL","(SELECT lo.id FROM gen_lista_opciones lo JOIN gen_lista l ON l.id = lo.id_lista WHERE l.nombre = 'OrganoInspectorCilindro' AND upper(lo.nombre) = upper('"&amp;SUBSTITUTE(TRIM(S167),"'","''")&amp;"') AND lo.estado = 1 LIMIT 1)")&amp;", p_organo_inspector_no_aplica =&gt; "&amp;IF(S167="NO_APLICA","TRUE","FALSE")&amp;", p_presion_actual =&gt; "&amp;IF(T167&amp;""="","NULL",SUBSTITUTE(T167&amp;"",",","."))&amp;", p_tipo_valvula =&gt; "&amp;IF(TRIM(U167&amp;"")="","NULL","'"&amp;SUBSTITUTE(TRIM(U167),"'","''")&amp;"'")&amp;", p_libro_cilindro =&gt; "&amp;IF(TRIM(V167&amp;"")="","NULL","'"&amp;SUBSTITUTE(TRIM(V167),"'","''")&amp;"'")&amp;", p_pagina_libro =&gt; "&amp;IF(W167&amp;""="","NULL",SUBSTITUTE(W167&amp;"",",","."))&amp;", p_observacion =&gt; "&amp;IF(TRIM(X167&amp;"")="","NULL","'"&amp;SUBSTITUTE(TRIM(X167),"'","''")&amp;"'")&amp;") AS resultado_balon_"&amp;ROW()&amp;";")</f>
        <v/>
      </c>
    </row>
    <row r="168" ht="15.75" customHeight="1" s="64">
      <c r="A168" s="36" t="inlineStr">
        <is>
          <t>164</t>
        </is>
      </c>
      <c r="B168" s="25">
        <f>IF(AND(C168="",D168="",E168=""),"",IF(C168="","FALTA código balón",IF(D168="","FALTA tipo balón",IF(E168="","FALTA gas",IF(F168="","FALTA propietario",IF(AND(C168&lt;&gt;"",SUMPRODUCT(--($C$5:$C$1200=C168))&gt;1),"CÓDIGO BALÓN DUPLICADO",IF(AND(OR(UPPER(F168)="PLANTA",UPPER(F168)="CLIENTE"),G168=""),"FALTA doc propietario/planta",IF(AND(UPPER(F168)="PLANTA",G168="10175332796"),"PLANTA no puede ser RUC empresa","OK"))))))))</f>
        <v/>
      </c>
      <c r="C168" s="23" t="inlineStr">
        <is>
          <t>GTA217074</t>
        </is>
      </c>
      <c r="D168" s="17" t="inlineStr">
        <is>
          <t>Oxígeno Industrial 6 m³</t>
        </is>
      </c>
      <c r="E168" s="17" t="inlineStr">
        <is>
          <t>OXIGENO INDUSTRIAL</t>
        </is>
      </c>
      <c r="F168" s="17" t="inlineStr">
        <is>
          <t>EMPRESA</t>
        </is>
      </c>
      <c r="G168" s="23" t="inlineStr">
        <is>
          <t>10175332796</t>
        </is>
      </c>
      <c r="H168" s="25">
        <f t="array" ref="H168">IF(G168="","",IFERROR(IF(INDEX(Clientes!$D$5:$D$549,MATCH(G168,Clientes!$C$5:$C$549,0))&lt;&gt;"",INDEX(Clientes!$D$5:$D$549,MATCH(G168,Clientes!$C$5:$C$549,0)),TRIM(INDEX(Clientes!$E$5:$E$549,MATCH(G168,Clientes!$C$5:$C$549,0))&amp;" "&amp;INDEX(Clientes!$F$5:$F$549,MATCH(G168,Clientes!$C$5:$C$549,0)))),"NO EXISTE en Clientes"))</f>
        <v/>
      </c>
      <c r="I168" s="17" t="inlineStr">
        <is>
          <t>DISPONIBLE</t>
        </is>
      </c>
      <c r="J168" s="17" t="inlineStr">
        <is>
          <t>ALMACEN PRINCIPAL</t>
        </is>
      </c>
      <c r="K168" s="23" t="n"/>
      <c r="L168" s="25">
        <f t="array" ref="L168">IF(K168="","",IFERROR(IF(INDEX(Clientes!$D$5:$D$549,MATCH(K168,Clientes!$C$5:$C$549,0))&lt;&gt;"",INDEX(Clientes!$D$5:$D$549,MATCH(K168,Clientes!$C$5:$C$549,0)),TRIM(INDEX(Clientes!$E$5:$E$549,MATCH(K168,Clientes!$C$5:$C$549,0))&amp;" "&amp;INDEX(Clientes!$F$5:$F$549,MATCH(K168,Clientes!$C$5:$C$549,0)))),"NO EXISTE en Clientes"))</f>
        <v/>
      </c>
      <c r="M168" s="17" t="n">
        <v>2023</v>
      </c>
      <c r="N168" s="17" t="n">
        <v>11</v>
      </c>
      <c r="O168" s="42" t="n">
        <v>45231</v>
      </c>
      <c r="P168" s="39">
        <f>IF(O168&lt;&gt;"",DATE(YEAR(O168)+10,MONTH(O168),1),IF(AND(M168&lt;&gt;"",N168&lt;&gt;""),DATE(M168+5,N168,1),""))</f>
        <v/>
      </c>
      <c r="Q168" s="23" t="n"/>
      <c r="R168" s="17" t="inlineStr">
        <is>
          <t>JD</t>
        </is>
      </c>
      <c r="S168" s="17" t="inlineStr">
        <is>
          <t>NO_APLICA</t>
        </is>
      </c>
      <c r="T168" s="17" t="n">
        <v>2000</v>
      </c>
      <c r="U168" s="17" t="n"/>
      <c r="V168" s="23" t="n"/>
      <c r="W168" s="17" t="n"/>
      <c r="X168" s="17" t="inlineStr">
        <is>
          <t>PH LINDE</t>
        </is>
      </c>
      <c r="Y168" s="28">
        <f>IF(B168&lt;&gt;"OK","","SELECT bal_crear_balon(p_codigo_balon =&gt; "&amp;IF(TRIM(C168&amp;"")="","NULL","'"&amp;SUBSTITUTE(TRIM(C168),"'","''")&amp;"'")&amp;", p_id_tipo_balon =&gt; "&amp;"(SELECT id FROM bal_tipo_balon WHERE upper(nombre) = upper('"&amp;SUBSTITUTE(TRIM(D168),"'","''")&amp;"') AND estado = 1 LIMIT 1)"&amp;", p_id_producto_gas =&gt; "&amp;"(SELECT id FROM pro_producto WHERE es_gas = TRUE AND upper(nombre) = upper('"&amp;SUBSTITUTE(TRIM(E168),"'","''")&amp;"') AND estado = 1 LIMIT 1)"&amp;", p_id_propietario =&gt; "&amp;IF(TRIM(F168&amp;"")="","NULL","(SELECT lo.id FROM gen_lista_opciones lo JOIN gen_lista l ON l.id = lo.id_lista WHERE l.nombre = 'PropietarioBalon' AND upper(lo.nombre) = upper('"&amp;SUBSTITUTE(TRIM(F168),"'","''")&amp;"') AND lo.estado = 1 LIMIT 1)")&amp;", p_id_cliente_propietario =&gt; "&amp;IF(F168="CLIENTE",IF(TRIM(G168&amp;"")="","NULL","(SELECT id FROM cli_clientes WHERE numero_documento = '"&amp;SUBSTITUTE(TRIM(G168),"'","''")&amp;"' AND estado = 1 LIMIT 1)"),"NULL")&amp;", p_id_planta =&gt; "&amp;IF(F168="PLANTA",IF(TRIM(G168&amp;"")="","NULL","(SELECT id FROM cli_clientes WHERE numero_documento = '"&amp;SUBSTITUTE(TRIM(G168),"'","''")&amp;"'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"&amp;IF(TRIM(J168&amp;"")="","NULL","(SELECT id FROM gen_almacen WHERE upper(nombre) = upper('"&amp;SUBSTITUTE(TRIM(J168),"'","''")&amp;"') AND estado = 1 LIMIT 1)")&amp;", p_id_cliente_ubicacion =&gt; "&amp;IF(TRIM(K168&amp;"")="","NULL","(SELECT id FROM cli_clientes WHERE numero_documento = '"&amp;SUBSTITUTE(TRIM(K168),"'","''")&amp;"' AND estado = 1 LIMIT 1)")&amp;", p_id_referencia =&gt; "&amp;IF(TRIM(J168&amp;"")&lt;&gt;"","(SELECT lo.id FROM gen_lista_opciones lo JOIN gen_lista l ON l.id = lo.id_lista WHERE l.nombre = 'ReferenciaCilindro' AND upper(lo.nombre) = 'ALMACEN' AND lo.estado = 1 LIMIT 1)",IF(TRIM(K168&amp;"")&lt;&gt;"","(SELECT lo.id FROM gen_lista_opciones lo JOIN gen_lista l ON l.id = lo.id_lista WHERE l.nombre = 'ReferenciaCilindro' AND upper(lo.nombre) = 'CLIENTE' AND lo.estado = 1 LIMIT 1)","NULL"))&amp;", p_anio_fabricacion =&gt; "&amp;IF(M168&amp;""="","NULL::smallint",M168&amp;"::smallint")&amp;", p_mes_fabricacion =&gt; "&amp;IF(N168&amp;""="","NULL::smallint",N168&amp;"::smallint")&amp;", p_fecha_ultima_prueba_hidrostatica =&gt; "&amp;IF(O168&amp;""="","NULL","'"&amp;YEAR(O168)&amp;"-"&amp;TEXT(MONTH(O168),"00")&amp;"-"&amp;TEXT(DAY(O168),"00")&amp;"'")&amp;", p_numero_serie =&gt; "&amp;IF(TRIM(Q168&amp;"")="","NULL","'"&amp;SUBSTITUTE(TRIM(Q168),"'","''")&amp;"'")&amp;", p_id_marca_cilindro =&gt; "&amp;IF(TRIM(R168&amp;"")="","NULL","(SELECT lo.id FROM gen_lista_opciones lo JOIN gen_lista l ON l.id = lo.id_lista WHERE l.nombre = 'MarcaCilindro' AND upper(lo.nombre) = upper('"&amp;SUBSTITUTE(TRIM(R168),"'","''")&amp;"') AND lo.estado = 1 LIMIT 1)")&amp;", p_id_organo_inspector =&gt; "&amp;IF(TRIM(S168&amp;"")="","NULL","(SELECT lo.id FROM gen_lista_opciones lo JOIN gen_lista l ON l.id = lo.id_lista WHERE l.nombre = 'OrganoInspectorCilindro' AND upper(lo.nombre) = upper('"&amp;SUBSTITUTE(TRIM(S168),"'","''")&amp;"') AND lo.estado = 1 LIMIT 1)")&amp;", p_organo_inspector_no_aplica =&gt; "&amp;IF(S168="NO_APLICA","TRUE","FALSE")&amp;", p_presion_actual =&gt; "&amp;IF(T168&amp;""="","NULL",SUBSTITUTE(T168&amp;"",",","."))&amp;", p_tipo_valvula =&gt; "&amp;IF(TRIM(U168&amp;"")="","NULL","'"&amp;SUBSTITUTE(TRIM(U168),"'","''")&amp;"'")&amp;", p_libro_cilindro =&gt; "&amp;IF(TRIM(V168&amp;"")="","NULL","'"&amp;SUBSTITUTE(TRIM(V168),"'","''")&amp;"'")&amp;", p_pagina_libro =&gt; "&amp;IF(W168&amp;""="","NULL",SUBSTITUTE(W168&amp;"",",","."))&amp;", p_observacion =&gt; "&amp;IF(TRIM(X168&amp;"")="","NULL","'"&amp;SUBSTITUTE(TRIM(X168),"'","''")&amp;"'")&amp;") AS resultado_balon_"&amp;ROW()&amp;";")</f>
        <v/>
      </c>
    </row>
    <row r="169" ht="15.75" customHeight="1" s="64">
      <c r="A169" s="36" t="inlineStr">
        <is>
          <t>165</t>
        </is>
      </c>
      <c r="B169" s="25">
        <f>IF(AND(C169="",D169="",E169=""),"",IF(C169="","FALTA código balón",IF(D169="","FALTA tipo balón",IF(E169="","FALTA gas",IF(F169="","FALTA propietario",IF(AND(C169&lt;&gt;"",SUMPRODUCT(--($C$5:$C$1200=C169))&gt;1),"CÓDIGO BALÓN DUPLICADO",IF(AND(OR(UPPER(F169)="PLANTA",UPPER(F169)="CLIENTE"),G169=""),"FALTA doc propietario/planta",IF(AND(UPPER(F169)="PLANTA",G169="10175332796"),"PLANTA no puede ser RUC empresa","OK"))))))))</f>
        <v/>
      </c>
      <c r="C169" s="23" t="inlineStr">
        <is>
          <t>20S290016</t>
        </is>
      </c>
      <c r="D169" s="17" t="inlineStr">
        <is>
          <t>Oxígeno Industrial 6 m³</t>
        </is>
      </c>
      <c r="E169" s="17" t="inlineStr">
        <is>
          <t>OXIGENO INDUSTRIAL</t>
        </is>
      </c>
      <c r="F169" s="17" t="inlineStr">
        <is>
          <t>EMPRESA</t>
        </is>
      </c>
      <c r="G169" s="23" t="inlineStr">
        <is>
          <t>10175332796</t>
        </is>
      </c>
      <c r="H169" s="25">
        <f t="array" ref="H169">IF(G169="","",IFERROR(IF(INDEX(Clientes!$D$5:$D$549,MATCH(G169,Clientes!$C$5:$C$549,0))&lt;&gt;"",INDEX(Clientes!$D$5:$D$549,MATCH(G169,Clientes!$C$5:$C$549,0)),TRIM(INDEX(Clientes!$E$5:$E$549,MATCH(G169,Clientes!$C$5:$C$549,0))&amp;" "&amp;INDEX(Clientes!$F$5:$F$549,MATCH(G169,Clientes!$C$5:$C$549,0)))),"NO EXISTE en Clientes"))</f>
        <v/>
      </c>
      <c r="I169" s="17" t="inlineStr">
        <is>
          <t>DISPONIBLE</t>
        </is>
      </c>
      <c r="J169" s="17" t="inlineStr">
        <is>
          <t>ALMACEN PRINCIPAL</t>
        </is>
      </c>
      <c r="K169" s="23" t="n"/>
      <c r="L169" s="25">
        <f t="array" ref="L169">IF(K169="","",IFERROR(IF(INDEX(Clientes!$D$5:$D$549,MATCH(K169,Clientes!$C$5:$C$549,0))&lt;&gt;"",INDEX(Clientes!$D$5:$D$549,MATCH(K169,Clientes!$C$5:$C$549,0)),TRIM(INDEX(Clientes!$E$5:$E$549,MATCH(K169,Clientes!$C$5:$C$549,0))&amp;" "&amp;INDEX(Clientes!$F$5:$F$549,MATCH(K169,Clientes!$C$5:$C$549,0)))),"NO EXISTE en Clientes"))</f>
        <v/>
      </c>
      <c r="M169" s="17" t="n">
        <v>2020</v>
      </c>
      <c r="N169" s="17" t="n">
        <v>9</v>
      </c>
      <c r="O169" s="42" t="n">
        <v>44075</v>
      </c>
      <c r="P169" s="39">
        <f>IF(O169&lt;&gt;"",DATE(YEAR(O169)+10,MONTH(O169),1),IF(AND(M169&lt;&gt;"",N169&lt;&gt;""),DATE(M169+5,N169,1),""))</f>
        <v/>
      </c>
      <c r="Q169" s="23" t="n"/>
      <c r="R169" s="17" t="inlineStr">
        <is>
          <t>JP</t>
        </is>
      </c>
      <c r="S169" s="17" t="inlineStr">
        <is>
          <t>HEXAGONAL (T10)</t>
        </is>
      </c>
      <c r="T169" s="17" t="n">
        <v>2000</v>
      </c>
      <c r="U169" s="17" t="n"/>
      <c r="V169" s="23" t="n"/>
      <c r="W169" s="17" t="n"/>
      <c r="X169" s="17" t="n"/>
      <c r="Y169" s="28">
        <f>IF(B169&lt;&gt;"OK","","SELECT bal_crear_balon(p_codigo_balon =&gt; "&amp;IF(TRIM(C169&amp;"")="","NULL","'"&amp;SUBSTITUTE(TRIM(C169),"'","''")&amp;"'")&amp;", p_id_tipo_balon =&gt; "&amp;"(SELECT id FROM bal_tipo_balon WHERE upper(nombre) = upper('"&amp;SUBSTITUTE(TRIM(D169),"'","''")&amp;"') AND estado = 1 LIMIT 1)"&amp;", p_id_producto_gas =&gt; "&amp;"(SELECT id FROM pro_producto WHERE es_gas = TRUE AND upper(nombre) = upper('"&amp;SUBSTITUTE(TRIM(E169),"'","''")&amp;"') AND estado = 1 LIMIT 1)"&amp;", p_id_propietario =&gt; "&amp;IF(TRIM(F169&amp;"")="","NULL","(SELECT lo.id FROM gen_lista_opciones lo JOIN gen_lista l ON l.id = lo.id_lista WHERE l.nombre = 'PropietarioBalon' AND upper(lo.nombre) = upper('"&amp;SUBSTITUTE(TRIM(F169),"'","''")&amp;"') AND lo.estado = 1 LIMIT 1)")&amp;", p_id_cliente_propietario =&gt; "&amp;IF(F169="CLIENTE",IF(TRIM(G169&amp;"")="","NULL","(SELECT id FROM cli_clientes WHERE numero_documento = '"&amp;SUBSTITUTE(TRIM(G169),"'","''")&amp;"' AND estado = 1 LIMIT 1)"),"NULL")&amp;", p_id_planta =&gt; "&amp;IF(F169="PLANTA",IF(TRIM(G169&amp;"")="","NULL","(SELECT id FROM cli_clientes WHERE numero_documento = '"&amp;SUBSTITUTE(TRIM(G169),"'","''")&amp;"'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"&amp;IF(TRIM(J169&amp;"")="","NULL","(SELECT id FROM gen_almacen WHERE upper(nombre) = upper('"&amp;SUBSTITUTE(TRIM(J169),"'","''")&amp;"') AND estado = 1 LIMIT 1)")&amp;", p_id_cliente_ubicacion =&gt; "&amp;IF(TRIM(K169&amp;"")="","NULL","(SELECT id FROM cli_clientes WHERE numero_documento = '"&amp;SUBSTITUTE(TRIM(K169),"'","''")&amp;"' AND estado = 1 LIMIT 1)")&amp;", p_id_referencia =&gt; "&amp;IF(TRIM(J169&amp;"")&lt;&gt;"","(SELECT lo.id FROM gen_lista_opciones lo JOIN gen_lista l ON l.id = lo.id_lista WHERE l.nombre = 'ReferenciaCilindro' AND upper(lo.nombre) = 'ALMACEN' AND lo.estado = 1 LIMIT 1)",IF(TRIM(K169&amp;"")&lt;&gt;"","(SELECT lo.id FROM gen_lista_opciones lo JOIN gen_lista l ON l.id = lo.id_lista WHERE l.nombre = 'ReferenciaCilindro' AND upper(lo.nombre) = 'CLIENTE' AND lo.estado = 1 LIMIT 1)","NULL"))&amp;", p_anio_fabricacion =&gt; "&amp;IF(M169&amp;""="","NULL::smallint",M169&amp;"::smallint")&amp;", p_mes_fabricacion =&gt; "&amp;IF(N169&amp;""="","NULL::smallint",N169&amp;"::smallint")&amp;", p_fecha_ultima_prueba_hidrostatica =&gt; "&amp;IF(O169&amp;""="","NULL","'"&amp;YEAR(O169)&amp;"-"&amp;TEXT(MONTH(O169),"00")&amp;"-"&amp;TEXT(DAY(O169),"00")&amp;"'")&amp;", p_numero_serie =&gt; "&amp;IF(TRIM(Q169&amp;"")="","NULL","'"&amp;SUBSTITUTE(TRIM(Q169),"'","''")&amp;"'")&amp;", p_id_marca_cilindro =&gt; "&amp;IF(TRIM(R169&amp;"")="","NULL","(SELECT lo.id FROM gen_lista_opciones lo JOIN gen_lista l ON l.id = lo.id_lista WHERE l.nombre = 'MarcaCilindro' AND upper(lo.nombre) = upper('"&amp;SUBSTITUTE(TRIM(R169),"'","''")&amp;"') AND lo.estado = 1 LIMIT 1)")&amp;", p_id_organo_inspector =&gt; "&amp;IF(TRIM(S169&amp;"")="","NULL","(SELECT lo.id FROM gen_lista_opciones lo JOIN gen_lista l ON l.id = lo.id_lista WHERE l.nombre = 'OrganoInspectorCilindro' AND upper(lo.nombre) = upper('"&amp;SUBSTITUTE(TRIM(S169),"'","''")&amp;"') AND lo.estado = 1 LIMIT 1)")&amp;", p_organo_inspector_no_aplica =&gt; "&amp;IF(S169="NO_APLICA","TRUE","FALSE")&amp;", p_presion_actual =&gt; "&amp;IF(T169&amp;""="","NULL",SUBSTITUTE(T169&amp;"",",","."))&amp;", p_tipo_valvula =&gt; "&amp;IF(TRIM(U169&amp;"")="","NULL","'"&amp;SUBSTITUTE(TRIM(U169),"'","''")&amp;"'")&amp;", p_libro_cilindro =&gt; "&amp;IF(TRIM(V169&amp;"")="","NULL","'"&amp;SUBSTITUTE(TRIM(V169),"'","''")&amp;"'")&amp;", p_pagina_libro =&gt; "&amp;IF(W169&amp;""="","NULL",SUBSTITUTE(W169&amp;"",",","."))&amp;", p_observacion =&gt; "&amp;IF(TRIM(X169&amp;"")="","NULL","'"&amp;SUBSTITUTE(TRIM(X169),"'","''")&amp;"'")&amp;") AS resultado_balon_"&amp;ROW()&amp;";")</f>
        <v/>
      </c>
    </row>
    <row r="170" ht="15.75" customHeight="1" s="64">
      <c r="A170" s="36" t="inlineStr">
        <is>
          <t>166</t>
        </is>
      </c>
      <c r="B170" s="25">
        <f>IF(AND(C170="",D170="",E170=""),"",IF(C170="","FALTA código balón",IF(D170="","FALTA tipo balón",IF(E170="","FALTA gas",IF(F170="","FALTA propietario",IF(AND(C170&lt;&gt;"",SUMPRODUCT(--($C$5:$C$1200=C170))&gt;1),"CÓDIGO BALÓN DUPLICADO",IF(AND(OR(UPPER(F170)="PLANTA",UPPER(F170)="CLIENTE"),G170=""),"FALTA doc propietario/planta",IF(AND(UPPER(F170)="PLANTA",G170="10175332796"),"PLANTA no puede ser RUC empresa","OK"))))))))</f>
        <v/>
      </c>
      <c r="C170" s="23" t="inlineStr">
        <is>
          <t>GA373196</t>
        </is>
      </c>
      <c r="D170" s="17" t="inlineStr">
        <is>
          <t>Oxígeno Industrial 6 m³</t>
        </is>
      </c>
      <c r="E170" s="17" t="inlineStr">
        <is>
          <t>OXIGENO INDUSTRIAL</t>
        </is>
      </c>
      <c r="F170" s="17" t="inlineStr">
        <is>
          <t>EMPRESA</t>
        </is>
      </c>
      <c r="G170" s="23" t="inlineStr">
        <is>
          <t>10175332796</t>
        </is>
      </c>
      <c r="H170" s="25">
        <f t="array" ref="H170">IF(G170="","",IFERROR(IF(INDEX(Clientes!$D$5:$D$549,MATCH(G170,Clientes!$C$5:$C$549,0))&lt;&gt;"",INDEX(Clientes!$D$5:$D$549,MATCH(G170,Clientes!$C$5:$C$549,0)),TRIM(INDEX(Clientes!$E$5:$E$549,MATCH(G170,Clientes!$C$5:$C$549,0))&amp;" "&amp;INDEX(Clientes!$F$5:$F$549,MATCH(G170,Clientes!$C$5:$C$549,0)))),"NO EXISTE en Clientes"))</f>
        <v/>
      </c>
      <c r="I170" s="17" t="inlineStr">
        <is>
          <t>DISPONIBLE</t>
        </is>
      </c>
      <c r="J170" s="17" t="inlineStr">
        <is>
          <t>ALMACEN PRINCIPAL</t>
        </is>
      </c>
      <c r="K170" s="23" t="n"/>
      <c r="L170" s="25">
        <f t="array" ref="L170">IF(K170="","",IFERROR(IF(INDEX(Clientes!$D$5:$D$549,MATCH(K170,Clientes!$C$5:$C$549,0))&lt;&gt;"",INDEX(Clientes!$D$5:$D$549,MATCH(K170,Clientes!$C$5:$C$549,0)),TRIM(INDEX(Clientes!$E$5:$E$549,MATCH(K170,Clientes!$C$5:$C$549,0))&amp;" "&amp;INDEX(Clientes!$F$5:$F$549,MATCH(K170,Clientes!$C$5:$C$549,0)))),"NO EXISTE en Clientes"))</f>
        <v/>
      </c>
      <c r="M170" s="17" t="n">
        <v>2024</v>
      </c>
      <c r="N170" s="17" t="n">
        <v>5</v>
      </c>
      <c r="O170" s="42" t="n">
        <v>45413</v>
      </c>
      <c r="P170" s="39">
        <f>IF(O170&lt;&gt;"",DATE(YEAR(O170)+10,MONTH(O170),1),IF(AND(M170&lt;&gt;"",N170&lt;&gt;""),DATE(M170+5,N170,1),""))</f>
        <v/>
      </c>
      <c r="Q170" s="23" t="n"/>
      <c r="R170" s="17" t="inlineStr">
        <is>
          <t>JD</t>
        </is>
      </c>
      <c r="S170" s="17" t="inlineStr">
        <is>
          <t>TS</t>
        </is>
      </c>
      <c r="T170" s="17" t="n">
        <v>2000</v>
      </c>
      <c r="U170" s="17" t="n"/>
      <c r="V170" s="23" t="n"/>
      <c r="W170" s="17" t="n"/>
      <c r="X170" s="17" t="inlineStr">
        <is>
          <t>PH LINDE</t>
        </is>
      </c>
      <c r="Y170" s="28">
        <f>IF(B170&lt;&gt;"OK","","SELECT bal_crear_balon(p_codigo_balon =&gt; "&amp;IF(TRIM(C170&amp;"")="","NULL","'"&amp;SUBSTITUTE(TRIM(C170),"'","''")&amp;"'")&amp;", p_id_tipo_balon =&gt; "&amp;"(SELECT id FROM bal_tipo_balon WHERE upper(nombre) = upper('"&amp;SUBSTITUTE(TRIM(D170),"'","''")&amp;"') AND estado = 1 LIMIT 1)"&amp;", p_id_producto_gas =&gt; "&amp;"(SELECT id FROM pro_producto WHERE es_gas = TRUE AND upper(nombre) = upper('"&amp;SUBSTITUTE(TRIM(E170),"'","''")&amp;"') AND estado = 1 LIMIT 1)"&amp;", p_id_propietario =&gt; "&amp;IF(TRIM(F170&amp;"")="","NULL","(SELECT lo.id FROM gen_lista_opciones lo JOIN gen_lista l ON l.id = lo.id_lista WHERE l.nombre = 'PropietarioBalon' AND upper(lo.nombre) = upper('"&amp;SUBSTITUTE(TRIM(F170),"'","''")&amp;"') AND lo.estado = 1 LIMIT 1)")&amp;", p_id_cliente_propietario =&gt; "&amp;IF(F170="CLIENTE",IF(TRIM(G170&amp;"")="","NULL","(SELECT id FROM cli_clientes WHERE numero_documento = '"&amp;SUBSTITUTE(TRIM(G170),"'","''")&amp;"' AND estado = 1 LIMIT 1)"),"NULL")&amp;", p_id_planta =&gt; "&amp;IF(F170="PLANTA",IF(TRIM(G170&amp;"")="","NULL","(SELECT id FROM cli_clientes WHERE numero_documento = '"&amp;SUBSTITUTE(TRIM(G170),"'","''")&amp;"'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"&amp;IF(TRIM(J170&amp;"")="","NULL","(SELECT id FROM gen_almacen WHERE upper(nombre) = upper('"&amp;SUBSTITUTE(TRIM(J170),"'","''")&amp;"') AND estado = 1 LIMIT 1)")&amp;", p_id_cliente_ubicacion =&gt; "&amp;IF(TRIM(K170&amp;"")="","NULL","(SELECT id FROM cli_clientes WHERE numero_documento = '"&amp;SUBSTITUTE(TRIM(K170),"'","''")&amp;"' AND estado = 1 LIMIT 1)")&amp;", p_id_referencia =&gt; "&amp;IF(TRIM(J170&amp;"")&lt;&gt;"","(SELECT lo.id FROM gen_lista_opciones lo JOIN gen_lista l ON l.id = lo.id_lista WHERE l.nombre = 'ReferenciaCilindro' AND upper(lo.nombre) = 'ALMACEN' AND lo.estado = 1 LIMIT 1)",IF(TRIM(K170&amp;"")&lt;&gt;"","(SELECT lo.id FROM gen_lista_opciones lo JOIN gen_lista l ON l.id = lo.id_lista WHERE l.nombre = 'ReferenciaCilindro' AND upper(lo.nombre) = 'CLIENTE' AND lo.estado = 1 LIMIT 1)","NULL"))&amp;", p_anio_fabricacion =&gt; "&amp;IF(M170&amp;""="","NULL::smallint",M170&amp;"::smallint")&amp;", p_mes_fabricacion =&gt; "&amp;IF(N170&amp;""="","NULL::smallint",N170&amp;"::smallint")&amp;", p_fecha_ultima_prueba_hidrostatica =&gt; "&amp;IF(O170&amp;""="","NULL","'"&amp;YEAR(O170)&amp;"-"&amp;TEXT(MONTH(O170),"00")&amp;"-"&amp;TEXT(DAY(O170),"00")&amp;"'")&amp;", p_numero_serie =&gt; "&amp;IF(TRIM(Q170&amp;"")="","NULL","'"&amp;SUBSTITUTE(TRIM(Q170),"'","''")&amp;"'")&amp;", p_id_marca_cilindro =&gt; "&amp;IF(TRIM(R170&amp;"")="","NULL","(SELECT lo.id FROM gen_lista_opciones lo JOIN gen_lista l ON l.id = lo.id_lista WHERE l.nombre = 'MarcaCilindro' AND upper(lo.nombre) = upper('"&amp;SUBSTITUTE(TRIM(R170),"'","''")&amp;"') AND lo.estado = 1 LIMIT 1)")&amp;", p_id_organo_inspector =&gt; "&amp;IF(TRIM(S170&amp;"")="","NULL","(SELECT lo.id FROM gen_lista_opciones lo JOIN gen_lista l ON l.id = lo.id_lista WHERE l.nombre = 'OrganoInspectorCilindro' AND upper(lo.nombre) = upper('"&amp;SUBSTITUTE(TRIM(S170),"'","''")&amp;"') AND lo.estado = 1 LIMIT 1)")&amp;", p_organo_inspector_no_aplica =&gt; "&amp;IF(S170="NO_APLICA","TRUE","FALSE")&amp;", p_presion_actual =&gt; "&amp;IF(T170&amp;""="","NULL",SUBSTITUTE(T170&amp;"",",","."))&amp;", p_tipo_valvula =&gt; "&amp;IF(TRIM(U170&amp;"")="","NULL","'"&amp;SUBSTITUTE(TRIM(U170),"'","''")&amp;"'")&amp;", p_libro_cilindro =&gt; "&amp;IF(TRIM(V170&amp;"")="","NULL","'"&amp;SUBSTITUTE(TRIM(V170),"'","''")&amp;"'")&amp;", p_pagina_libro =&gt; "&amp;IF(W170&amp;""="","NULL",SUBSTITUTE(W170&amp;"",",","."))&amp;", p_observacion =&gt; "&amp;IF(TRIM(X170&amp;"")="","NULL","'"&amp;SUBSTITUTE(TRIM(X170),"'","''")&amp;"'")&amp;") AS resultado_balon_"&amp;ROW()&amp;";")</f>
        <v/>
      </c>
    </row>
    <row r="171" ht="15.75" customHeight="1" s="64">
      <c r="A171" s="36" t="inlineStr">
        <is>
          <t>167</t>
        </is>
      </c>
      <c r="B171" s="25">
        <f>IF(AND(C171="",D171="",E171=""),"",IF(C171="","FALTA código balón",IF(D171="","FALTA tipo balón",IF(E171="","FALTA gas",IF(F171="","FALTA propietario",IF(AND(C171&lt;&gt;"",SUMPRODUCT(--($C$5:$C$1200=C171))&gt;1),"CÓDIGO BALÓN DUPLICADO",IF(AND(OR(UPPER(F171)="PLANTA",UPPER(F171)="CLIENTE"),G171=""),"FALTA doc propietario/planta",IF(AND(UPPER(F171)="PLANTA",G171="10175332796"),"PLANTA no puede ser RUC empresa","OK"))))))))</f>
        <v/>
      </c>
      <c r="C171" s="23" t="inlineStr">
        <is>
          <t>GTA217090</t>
        </is>
      </c>
      <c r="D171" s="17" t="inlineStr">
        <is>
          <t>Oxígeno Industrial 6 m³</t>
        </is>
      </c>
      <c r="E171" s="17" t="inlineStr">
        <is>
          <t>OXIGENO INDUSTRIAL</t>
        </is>
      </c>
      <c r="F171" s="17" t="inlineStr">
        <is>
          <t>EMPRESA</t>
        </is>
      </c>
      <c r="G171" s="23" t="inlineStr">
        <is>
          <t>10175332796</t>
        </is>
      </c>
      <c r="H171" s="25">
        <f t="array" ref="H171">IF(G171="","",IFERROR(IF(INDEX(Clientes!$D$5:$D$549,MATCH(G171,Clientes!$C$5:$C$549,0))&lt;&gt;"",INDEX(Clientes!$D$5:$D$549,MATCH(G171,Clientes!$C$5:$C$549,0)),TRIM(INDEX(Clientes!$E$5:$E$549,MATCH(G171,Clientes!$C$5:$C$549,0))&amp;" "&amp;INDEX(Clientes!$F$5:$F$549,MATCH(G171,Clientes!$C$5:$C$549,0)))),"NO EXISTE en Clientes"))</f>
        <v/>
      </c>
      <c r="I171" s="17" t="inlineStr">
        <is>
          <t>DISPONIBLE</t>
        </is>
      </c>
      <c r="J171" s="17" t="inlineStr">
        <is>
          <t>ALMACEN PRINCIPAL</t>
        </is>
      </c>
      <c r="K171" s="23" t="n"/>
      <c r="L171" s="25">
        <f t="array" ref="L171">IF(K171="","",IFERROR(IF(INDEX(Clientes!$D$5:$D$549,MATCH(K171,Clientes!$C$5:$C$549,0))&lt;&gt;"",INDEX(Clientes!$D$5:$D$549,MATCH(K171,Clientes!$C$5:$C$549,0)),TRIM(INDEX(Clientes!$E$5:$E$549,MATCH(K171,Clientes!$C$5:$C$549,0))&amp;" "&amp;INDEX(Clientes!$F$5:$F$549,MATCH(K171,Clientes!$C$5:$C$549,0)))),"NO EXISTE en Clientes"))</f>
        <v/>
      </c>
      <c r="M171" s="17" t="n">
        <v>2023</v>
      </c>
      <c r="N171" s="17" t="n">
        <v>9</v>
      </c>
      <c r="O171" s="42" t="n">
        <v>45170</v>
      </c>
      <c r="P171" s="39">
        <f>IF(O171&lt;&gt;"",DATE(YEAR(O171)+10,MONTH(O171),1),IF(AND(M171&lt;&gt;"",N171&lt;&gt;""),DATE(M171+5,N171,1),""))</f>
        <v/>
      </c>
      <c r="Q171" s="23" t="n"/>
      <c r="R171" s="17" t="inlineStr">
        <is>
          <t>JP</t>
        </is>
      </c>
      <c r="S171" s="17" t="inlineStr">
        <is>
          <t>TS</t>
        </is>
      </c>
      <c r="T171" s="17" t="n">
        <v>2000</v>
      </c>
      <c r="U171" s="17" t="n"/>
      <c r="V171" s="23" t="n"/>
      <c r="W171" s="17" t="n"/>
      <c r="X171" s="17" t="inlineStr">
        <is>
          <t>PH LINDE</t>
        </is>
      </c>
      <c r="Y171" s="28">
        <f>IF(B171&lt;&gt;"OK","","SELECT bal_crear_balon(p_codigo_balon =&gt; "&amp;IF(TRIM(C171&amp;"")="","NULL","'"&amp;SUBSTITUTE(TRIM(C171),"'","''")&amp;"'")&amp;", p_id_tipo_balon =&gt; "&amp;"(SELECT id FROM bal_tipo_balon WHERE upper(nombre) = upper('"&amp;SUBSTITUTE(TRIM(D171),"'","''")&amp;"') AND estado = 1 LIMIT 1)"&amp;", p_id_producto_gas =&gt; "&amp;"(SELECT id FROM pro_producto WHERE es_gas = TRUE AND upper(nombre) = upper('"&amp;SUBSTITUTE(TRIM(E171),"'","''")&amp;"') AND estado = 1 LIMIT 1)"&amp;", p_id_propietario =&gt; "&amp;IF(TRIM(F171&amp;"")="","NULL","(SELECT lo.id FROM gen_lista_opciones lo JOIN gen_lista l ON l.id = lo.id_lista WHERE l.nombre = 'PropietarioBalon' AND upper(lo.nombre) = upper('"&amp;SUBSTITUTE(TRIM(F171),"'","''")&amp;"') AND lo.estado = 1 LIMIT 1)")&amp;", p_id_cliente_propietario =&gt; "&amp;IF(F171="CLIENTE",IF(TRIM(G171&amp;"")="","NULL","(SELECT id FROM cli_clientes WHERE numero_documento = '"&amp;SUBSTITUTE(TRIM(G171),"'","''")&amp;"' AND estado = 1 LIMIT 1)"),"NULL")&amp;", p_id_planta =&gt; "&amp;IF(F171="PLANTA",IF(TRIM(G171&amp;"")="","NULL","(SELECT id FROM cli_clientes WHERE numero_documento = '"&amp;SUBSTITUTE(TRIM(G171),"'","''")&amp;"'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"&amp;IF(TRIM(J171&amp;"")="","NULL","(SELECT id FROM gen_almacen WHERE upper(nombre) = upper('"&amp;SUBSTITUTE(TRIM(J171),"'","''")&amp;"') AND estado = 1 LIMIT 1)")&amp;", p_id_cliente_ubicacion =&gt; "&amp;IF(TRIM(K171&amp;"")="","NULL","(SELECT id FROM cli_clientes WHERE numero_documento = '"&amp;SUBSTITUTE(TRIM(K171),"'","''")&amp;"' AND estado = 1 LIMIT 1)")&amp;", p_id_referencia =&gt; "&amp;IF(TRIM(J171&amp;"")&lt;&gt;"","(SELECT lo.id FROM gen_lista_opciones lo JOIN gen_lista l ON l.id = lo.id_lista WHERE l.nombre = 'ReferenciaCilindro' AND upper(lo.nombre) = 'ALMACEN' AND lo.estado = 1 LIMIT 1)",IF(TRIM(K171&amp;"")&lt;&gt;"","(SELECT lo.id FROM gen_lista_opciones lo JOIN gen_lista l ON l.id = lo.id_lista WHERE l.nombre = 'ReferenciaCilindro' AND upper(lo.nombre) = 'CLIENTE' AND lo.estado = 1 LIMIT 1)","NULL"))&amp;", p_anio_fabricacion =&gt; "&amp;IF(M171&amp;""="","NULL::smallint",M171&amp;"::smallint")&amp;", p_mes_fabricacion =&gt; "&amp;IF(N171&amp;""="","NULL::smallint",N171&amp;"::smallint")&amp;", p_fecha_ultima_prueba_hidrostatica =&gt; "&amp;IF(O171&amp;""="","NULL","'"&amp;YEAR(O171)&amp;"-"&amp;TEXT(MONTH(O171),"00")&amp;"-"&amp;TEXT(DAY(O171),"00")&amp;"'")&amp;", p_numero_serie =&gt; "&amp;IF(TRIM(Q171&amp;"")="","NULL","'"&amp;SUBSTITUTE(TRIM(Q171),"'","''")&amp;"'")&amp;", p_id_marca_cilindro =&gt; "&amp;IF(TRIM(R171&amp;"")="","NULL","(SELECT lo.id FROM gen_lista_opciones lo JOIN gen_lista l ON l.id = lo.id_lista WHERE l.nombre = 'MarcaCilindro' AND upper(lo.nombre) = upper('"&amp;SUBSTITUTE(TRIM(R171),"'","''")&amp;"') AND lo.estado = 1 LIMIT 1)")&amp;", p_id_organo_inspector =&gt; "&amp;IF(TRIM(S171&amp;"")="","NULL","(SELECT lo.id FROM gen_lista_opciones lo JOIN gen_lista l ON l.id = lo.id_lista WHERE l.nombre = 'OrganoInspectorCilindro' AND upper(lo.nombre) = upper('"&amp;SUBSTITUTE(TRIM(S171),"'","''")&amp;"') AND lo.estado = 1 LIMIT 1)")&amp;", p_organo_inspector_no_aplica =&gt; "&amp;IF(S171="NO_APLICA","TRUE","FALSE")&amp;", p_presion_actual =&gt; "&amp;IF(T171&amp;""="","NULL",SUBSTITUTE(T171&amp;"",",","."))&amp;", p_tipo_valvula =&gt; "&amp;IF(TRIM(U171&amp;"")="","NULL","'"&amp;SUBSTITUTE(TRIM(U171),"'","''")&amp;"'")&amp;", p_libro_cilindro =&gt; "&amp;IF(TRIM(V171&amp;"")="","NULL","'"&amp;SUBSTITUTE(TRIM(V171),"'","''")&amp;"'")&amp;", p_pagina_libro =&gt; "&amp;IF(W171&amp;""="","NULL",SUBSTITUTE(W171&amp;"",",","."))&amp;", p_observacion =&gt; "&amp;IF(TRIM(X171&amp;"")="","NULL","'"&amp;SUBSTITUTE(TRIM(X171),"'","''")&amp;"'")&amp;") AS resultado_balon_"&amp;ROW()&amp;";")</f>
        <v/>
      </c>
    </row>
    <row r="172" ht="15.75" customHeight="1" s="64">
      <c r="A172" s="36" t="inlineStr">
        <is>
          <t>168</t>
        </is>
      </c>
      <c r="B172" s="25">
        <f>IF(AND(C172="",D172="",E172=""),"",IF(C172="","FALTA código balón",IF(D172="","FALTA tipo balón",IF(E172="","FALTA gas",IF(F172="","FALTA propietario",IF(AND(C172&lt;&gt;"",SUMPRODUCT(--($C$5:$C$1200=C172))&gt;1),"CÓDIGO BALÓN DUPLICADO",IF(AND(OR(UPPER(F172)="PLANTA",UPPER(F172)="CLIENTE"),G172=""),"FALTA doc propietario/planta",IF(AND(UPPER(F172)="PLANTA",G172="10175332796"),"PLANTA no puede ser RUC empresa","OK"))))))))</f>
        <v/>
      </c>
      <c r="C172" s="23" t="inlineStr">
        <is>
          <t>20S288030</t>
        </is>
      </c>
      <c r="D172" s="17" t="inlineStr">
        <is>
          <t>Oxígeno Industrial 6 m³</t>
        </is>
      </c>
      <c r="E172" s="17" t="inlineStr">
        <is>
          <t>OXIGENO INDUSTRIAL</t>
        </is>
      </c>
      <c r="F172" s="17" t="inlineStr">
        <is>
          <t>EMPRESA</t>
        </is>
      </c>
      <c r="G172" s="23" t="inlineStr">
        <is>
          <t>10175332796</t>
        </is>
      </c>
      <c r="H172" s="25">
        <f t="array" ref="H172">IF(G172="","",IFERROR(IF(INDEX(Clientes!$D$5:$D$549,MATCH(G172,Clientes!$C$5:$C$549,0))&lt;&gt;"",INDEX(Clientes!$D$5:$D$549,MATCH(G172,Clientes!$C$5:$C$549,0)),TRIM(INDEX(Clientes!$E$5:$E$549,MATCH(G172,Clientes!$C$5:$C$549,0))&amp;" "&amp;INDEX(Clientes!$F$5:$F$549,MATCH(G172,Clientes!$C$5:$C$549,0)))),"NO EXISTE en Clientes"))</f>
        <v/>
      </c>
      <c r="I172" s="17" t="inlineStr">
        <is>
          <t>DISPONIBLE</t>
        </is>
      </c>
      <c r="J172" s="17" t="inlineStr">
        <is>
          <t>ALMACEN PRINCIPAL</t>
        </is>
      </c>
      <c r="K172" s="23" t="n"/>
      <c r="L172" s="25">
        <f t="array" ref="L172">IF(K172="","",IFERROR(IF(INDEX(Clientes!$D$5:$D$549,MATCH(K172,Clientes!$C$5:$C$549,0))&lt;&gt;"",INDEX(Clientes!$D$5:$D$549,MATCH(K172,Clientes!$C$5:$C$549,0)),TRIM(INDEX(Clientes!$E$5:$E$549,MATCH(K172,Clientes!$C$5:$C$549,0))&amp;" "&amp;INDEX(Clientes!$F$5:$F$549,MATCH(K172,Clientes!$C$5:$C$549,0)))),"NO EXISTE en Clientes"))</f>
        <v/>
      </c>
      <c r="M172" s="17" t="n">
        <v>2020</v>
      </c>
      <c r="N172" s="17" t="n">
        <v>9</v>
      </c>
      <c r="O172" s="42" t="n">
        <v>44075</v>
      </c>
      <c r="P172" s="39">
        <f>IF(O172&lt;&gt;"",DATE(YEAR(O172)+10,MONTH(O172),1),IF(AND(M172&lt;&gt;"",N172&lt;&gt;""),DATE(M172+5,N172,1),""))</f>
        <v/>
      </c>
      <c r="Q172" s="23" t="n"/>
      <c r="R172" s="17" t="inlineStr">
        <is>
          <t>JP</t>
        </is>
      </c>
      <c r="S172" s="17" t="inlineStr">
        <is>
          <t>HEXAGONAL (T10)</t>
        </is>
      </c>
      <c r="T172" s="17" t="n">
        <v>2000</v>
      </c>
      <c r="U172" s="17" t="n"/>
      <c r="V172" s="23" t="n"/>
      <c r="W172" s="17" t="n"/>
      <c r="X172" s="17" t="n"/>
      <c r="Y172" s="28">
        <f>IF(B172&lt;&gt;"OK","","SELECT bal_crear_balon(p_codigo_balon =&gt; "&amp;IF(TRIM(C172&amp;"")="","NULL","'"&amp;SUBSTITUTE(TRIM(C172),"'","''")&amp;"'")&amp;", p_id_tipo_balon =&gt; "&amp;"(SELECT id FROM bal_tipo_balon WHERE upper(nombre) = upper('"&amp;SUBSTITUTE(TRIM(D172),"'","''")&amp;"') AND estado = 1 LIMIT 1)"&amp;", p_id_producto_gas =&gt; "&amp;"(SELECT id FROM pro_producto WHERE es_gas = TRUE AND upper(nombre) = upper('"&amp;SUBSTITUTE(TRIM(E172),"'","''")&amp;"') AND estado = 1 LIMIT 1)"&amp;", p_id_propietario =&gt; "&amp;IF(TRIM(F172&amp;"")="","NULL","(SELECT lo.id FROM gen_lista_opciones lo JOIN gen_lista l ON l.id = lo.id_lista WHERE l.nombre = 'PropietarioBalon' AND upper(lo.nombre) = upper('"&amp;SUBSTITUTE(TRIM(F172),"'","''")&amp;"') AND lo.estado = 1 LIMIT 1)")&amp;", p_id_cliente_propietario =&gt; "&amp;IF(F172="CLIENTE",IF(TRIM(G172&amp;"")="","NULL","(SELECT id FROM cli_clientes WHERE numero_documento = '"&amp;SUBSTITUTE(TRIM(G172),"'","''")&amp;"' AND estado = 1 LIMIT 1)"),"NULL")&amp;", p_id_planta =&gt; "&amp;IF(F172="PLANTA",IF(TRIM(G172&amp;"")="","NULL","(SELECT id FROM cli_clientes WHERE numero_documento = '"&amp;SUBSTITUTE(TRIM(G172),"'","''")&amp;"'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"&amp;IF(TRIM(J172&amp;"")="","NULL","(SELECT id FROM gen_almacen WHERE upper(nombre) = upper('"&amp;SUBSTITUTE(TRIM(J172),"'","''")&amp;"') AND estado = 1 LIMIT 1)")&amp;", p_id_cliente_ubicacion =&gt; "&amp;IF(TRIM(K172&amp;"")="","NULL","(SELECT id FROM cli_clientes WHERE numero_documento = '"&amp;SUBSTITUTE(TRIM(K172),"'","''")&amp;"' AND estado = 1 LIMIT 1)")&amp;", p_id_referencia =&gt; "&amp;IF(TRIM(J172&amp;"")&lt;&gt;"","(SELECT lo.id FROM gen_lista_opciones lo JOIN gen_lista l ON l.id = lo.id_lista WHERE l.nombre = 'ReferenciaCilindro' AND upper(lo.nombre) = 'ALMACEN' AND lo.estado = 1 LIMIT 1)",IF(TRIM(K172&amp;"")&lt;&gt;"","(SELECT lo.id FROM gen_lista_opciones lo JOIN gen_lista l ON l.id = lo.id_lista WHERE l.nombre = 'ReferenciaCilindro' AND upper(lo.nombre) = 'CLIENTE' AND lo.estado = 1 LIMIT 1)","NULL"))&amp;", p_anio_fabricacion =&gt; "&amp;IF(M172&amp;""="","NULL::smallint",M172&amp;"::smallint")&amp;", p_mes_fabricacion =&gt; "&amp;IF(N172&amp;""="","NULL::smallint",N172&amp;"::smallint")&amp;", p_fecha_ultima_prueba_hidrostatica =&gt; "&amp;IF(O172&amp;""="","NULL","'"&amp;YEAR(O172)&amp;"-"&amp;TEXT(MONTH(O172),"00")&amp;"-"&amp;TEXT(DAY(O172),"00")&amp;"'")&amp;", p_numero_serie =&gt; "&amp;IF(TRIM(Q172&amp;"")="","NULL","'"&amp;SUBSTITUTE(TRIM(Q172),"'","''")&amp;"'")&amp;", p_id_marca_cilindro =&gt; "&amp;IF(TRIM(R172&amp;"")="","NULL","(SELECT lo.id FROM gen_lista_opciones lo JOIN gen_lista l ON l.id = lo.id_lista WHERE l.nombre = 'MarcaCilindro' AND upper(lo.nombre) = upper('"&amp;SUBSTITUTE(TRIM(R172),"'","''")&amp;"') AND lo.estado = 1 LIMIT 1)")&amp;", p_id_organo_inspector =&gt; "&amp;IF(TRIM(S172&amp;"")="","NULL","(SELECT lo.id FROM gen_lista_opciones lo JOIN gen_lista l ON l.id = lo.id_lista WHERE l.nombre = 'OrganoInspectorCilindro' AND upper(lo.nombre) = upper('"&amp;SUBSTITUTE(TRIM(S172),"'","''")&amp;"') AND lo.estado = 1 LIMIT 1)")&amp;", p_organo_inspector_no_aplica =&gt; "&amp;IF(S172="NO_APLICA","TRUE","FALSE")&amp;", p_presion_actual =&gt; "&amp;IF(T172&amp;""="","NULL",SUBSTITUTE(T172&amp;"",",","."))&amp;", p_tipo_valvula =&gt; "&amp;IF(TRIM(U172&amp;"")="","NULL","'"&amp;SUBSTITUTE(TRIM(U172),"'","''")&amp;"'")&amp;", p_libro_cilindro =&gt; "&amp;IF(TRIM(V172&amp;"")="","NULL","'"&amp;SUBSTITUTE(TRIM(V172),"'","''")&amp;"'")&amp;", p_pagina_libro =&gt; "&amp;IF(W172&amp;""="","NULL",SUBSTITUTE(W172&amp;"",",","."))&amp;", p_observacion =&gt; "&amp;IF(TRIM(X172&amp;"")="","NULL","'"&amp;SUBSTITUTE(TRIM(X172),"'","''")&amp;"'")&amp;") AS resultado_balon_"&amp;ROW()&amp;";")</f>
        <v/>
      </c>
    </row>
    <row r="173" ht="15.75" customHeight="1" s="64">
      <c r="A173" s="36" t="inlineStr">
        <is>
          <t>169</t>
        </is>
      </c>
      <c r="B173" s="25">
        <f>IF(AND(C173="",D173="",E173=""),"",IF(C173="","FALTA código balón",IF(D173="","FALTA tipo balón",IF(E173="","FALTA gas",IF(F173="","FALTA propietario",IF(AND(C173&lt;&gt;"",SUMPRODUCT(--($C$5:$C$1200=C173))&gt;1),"CÓDIGO BALÓN DUPLICADO",IF(AND(OR(UPPER(F173)="PLANTA",UPPER(F173)="CLIENTE"),G173=""),"FALTA doc propietario/planta",IF(AND(UPPER(F173)="PLANTA",G173="10175332796"),"PLANTA no puede ser RUC empresa","OK"))))))))</f>
        <v/>
      </c>
      <c r="C173" s="23" t="inlineStr">
        <is>
          <t>GA546105</t>
        </is>
      </c>
      <c r="D173" s="17" t="inlineStr">
        <is>
          <t>Oxígeno Industrial 6 m³</t>
        </is>
      </c>
      <c r="E173" s="17" t="inlineStr">
        <is>
          <t>OXIGENO INDUSTRIAL</t>
        </is>
      </c>
      <c r="F173" s="17" t="inlineStr">
        <is>
          <t>EMPRESA</t>
        </is>
      </c>
      <c r="G173" s="23" t="inlineStr">
        <is>
          <t>10175332796</t>
        </is>
      </c>
      <c r="H173" s="25">
        <f t="array" ref="H173">IF(G173="","",IFERROR(IF(INDEX(Clientes!$D$5:$D$549,MATCH(G173,Clientes!$C$5:$C$549,0))&lt;&gt;"",INDEX(Clientes!$D$5:$D$549,MATCH(G173,Clientes!$C$5:$C$549,0)),TRIM(INDEX(Clientes!$E$5:$E$549,MATCH(G173,Clientes!$C$5:$C$549,0))&amp;" "&amp;INDEX(Clientes!$F$5:$F$549,MATCH(G173,Clientes!$C$5:$C$549,0)))),"NO EXISTE en Clientes"))</f>
        <v/>
      </c>
      <c r="I173" s="17" t="inlineStr">
        <is>
          <t>DISPONIBLE</t>
        </is>
      </c>
      <c r="J173" s="17" t="inlineStr">
        <is>
          <t>ALMACEN PRINCIPAL</t>
        </is>
      </c>
      <c r="K173" s="23" t="n"/>
      <c r="L173" s="25">
        <f t="array" ref="L173">IF(K173="","",IFERROR(IF(INDEX(Clientes!$D$5:$D$549,MATCH(K173,Clientes!$C$5:$C$549,0))&lt;&gt;"",INDEX(Clientes!$D$5:$D$549,MATCH(K173,Clientes!$C$5:$C$549,0)),TRIM(INDEX(Clientes!$E$5:$E$549,MATCH(K173,Clientes!$C$5:$C$549,0))&amp;" "&amp;INDEX(Clientes!$F$5:$F$549,MATCH(K173,Clientes!$C$5:$C$549,0)))),"NO EXISTE en Clientes"))</f>
        <v/>
      </c>
      <c r="M173" s="17" t="n">
        <v>2024</v>
      </c>
      <c r="N173" s="17" t="n">
        <v>3</v>
      </c>
      <c r="O173" s="42" t="n">
        <v>45352</v>
      </c>
      <c r="P173" s="39">
        <f>IF(O173&lt;&gt;"",DATE(YEAR(O173)+10,MONTH(O173),1),IF(AND(M173&lt;&gt;"",N173&lt;&gt;""),DATE(M173+5,N173,1),""))</f>
        <v/>
      </c>
      <c r="Q173" s="23" t="n"/>
      <c r="R173" s="17" t="inlineStr">
        <is>
          <t>JD</t>
        </is>
      </c>
      <c r="S173" s="17" t="inlineStr">
        <is>
          <t>OTRO</t>
        </is>
      </c>
      <c r="T173" s="17" t="n">
        <v>2000</v>
      </c>
      <c r="U173" s="17" t="n"/>
      <c r="V173" s="23" t="n"/>
      <c r="W173" s="17" t="n"/>
      <c r="X173" s="17" t="n"/>
      <c r="Y173" s="28">
        <f>IF(B173&lt;&gt;"OK","","SELECT bal_crear_balon(p_codigo_balon =&gt; "&amp;IF(TRIM(C173&amp;"")="","NULL","'"&amp;SUBSTITUTE(TRIM(C173),"'","''")&amp;"'")&amp;", p_id_tipo_balon =&gt; "&amp;"(SELECT id FROM bal_tipo_balon WHERE upper(nombre) = upper('"&amp;SUBSTITUTE(TRIM(D173),"'","''")&amp;"') AND estado = 1 LIMIT 1)"&amp;", p_id_producto_gas =&gt; "&amp;"(SELECT id FROM pro_producto WHERE es_gas = TRUE AND upper(nombre) = upper('"&amp;SUBSTITUTE(TRIM(E173),"'","''")&amp;"') AND estado = 1 LIMIT 1)"&amp;", p_id_propietario =&gt; "&amp;IF(TRIM(F173&amp;"")="","NULL","(SELECT lo.id FROM gen_lista_opciones lo JOIN gen_lista l ON l.id = lo.id_lista WHERE l.nombre = 'PropietarioBalon' AND upper(lo.nombre) = upper('"&amp;SUBSTITUTE(TRIM(F173),"'","''")&amp;"') AND lo.estado = 1 LIMIT 1)")&amp;", p_id_cliente_propietario =&gt; "&amp;IF(F173="CLIENTE",IF(TRIM(G173&amp;"")="","NULL","(SELECT id FROM cli_clientes WHERE numero_documento = '"&amp;SUBSTITUTE(TRIM(G173),"'","''")&amp;"' AND estado = 1 LIMIT 1)"),"NULL")&amp;", p_id_planta =&gt; "&amp;IF(F173="PLANTA",IF(TRIM(G173&amp;"")="","NULL","(SELECT id FROM cli_clientes WHERE numero_documento = '"&amp;SUBSTITUTE(TRIM(G173),"'","''")&amp;"'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"&amp;IF(TRIM(J173&amp;"")="","NULL","(SELECT id FROM gen_almacen WHERE upper(nombre) = upper('"&amp;SUBSTITUTE(TRIM(J173),"'","''")&amp;"') AND estado = 1 LIMIT 1)")&amp;", p_id_cliente_ubicacion =&gt; "&amp;IF(TRIM(K173&amp;"")="","NULL","(SELECT id FROM cli_clientes WHERE numero_documento = '"&amp;SUBSTITUTE(TRIM(K173),"'","''")&amp;"' AND estado = 1 LIMIT 1)")&amp;", p_id_referencia =&gt; "&amp;IF(TRIM(J173&amp;"")&lt;&gt;"","(SELECT lo.id FROM gen_lista_opciones lo JOIN gen_lista l ON l.id = lo.id_lista WHERE l.nombre = 'ReferenciaCilindro' AND upper(lo.nombre) = 'ALMACEN' AND lo.estado = 1 LIMIT 1)",IF(TRIM(K173&amp;"")&lt;&gt;"","(SELECT lo.id FROM gen_lista_opciones lo JOIN gen_lista l ON l.id = lo.id_lista WHERE l.nombre = 'ReferenciaCilindro' AND upper(lo.nombre) = 'CLIENTE' AND lo.estado = 1 LIMIT 1)","NULL"))&amp;", p_anio_fabricacion =&gt; "&amp;IF(M173&amp;""="","NULL::smallint",M173&amp;"::smallint")&amp;", p_mes_fabricacion =&gt; "&amp;IF(N173&amp;""="","NULL::smallint",N173&amp;"::smallint")&amp;", p_fecha_ultima_prueba_hidrostatica =&gt; "&amp;IF(O173&amp;""="","NULL","'"&amp;YEAR(O173)&amp;"-"&amp;TEXT(MONTH(O173),"00")&amp;"-"&amp;TEXT(DAY(O173),"00")&amp;"'")&amp;", p_numero_serie =&gt; "&amp;IF(TRIM(Q173&amp;"")="","NULL","'"&amp;SUBSTITUTE(TRIM(Q173),"'","''")&amp;"'")&amp;", p_id_marca_cilindro =&gt; "&amp;IF(TRIM(R173&amp;"")="","NULL","(SELECT lo.id FROM gen_lista_opciones lo JOIN gen_lista l ON l.id = lo.id_lista WHERE l.nombre = 'MarcaCilindro' AND upper(lo.nombre) = upper('"&amp;SUBSTITUTE(TRIM(R173),"'","''")&amp;"') AND lo.estado = 1 LIMIT 1)")&amp;", p_id_organo_inspector =&gt; "&amp;IF(TRIM(S173&amp;"")="","NULL","(SELECT lo.id FROM gen_lista_opciones lo JOIN gen_lista l ON l.id = lo.id_lista WHERE l.nombre = 'OrganoInspectorCilindro' AND upper(lo.nombre) = upper('"&amp;SUBSTITUTE(TRIM(S173),"'","''")&amp;"') AND lo.estado = 1 LIMIT 1)")&amp;", p_organo_inspector_no_aplica =&gt; "&amp;IF(S173="NO_APLICA","TRUE","FALSE")&amp;", p_presion_actual =&gt; "&amp;IF(T173&amp;""="","NULL",SUBSTITUTE(T173&amp;"",",","."))&amp;", p_tipo_valvula =&gt; "&amp;IF(TRIM(U173&amp;"")="","NULL","'"&amp;SUBSTITUTE(TRIM(U173),"'","''")&amp;"'")&amp;", p_libro_cilindro =&gt; "&amp;IF(TRIM(V173&amp;"")="","NULL","'"&amp;SUBSTITUTE(TRIM(V173),"'","''")&amp;"'")&amp;", p_pagina_libro =&gt; "&amp;IF(W173&amp;""="","NULL",SUBSTITUTE(W173&amp;"",",","."))&amp;", p_observacion =&gt; "&amp;IF(TRIM(X173&amp;"")="","NULL","'"&amp;SUBSTITUTE(TRIM(X173),"'","''")&amp;"'")&amp;") AS resultado_balon_"&amp;ROW()&amp;";")</f>
        <v/>
      </c>
    </row>
    <row r="174" ht="15.75" customHeight="1" s="64">
      <c r="A174" s="36" t="inlineStr">
        <is>
          <t>170</t>
        </is>
      </c>
      <c r="B174" s="25">
        <f>IF(AND(C174="",D174="",E174=""),"",IF(C174="","FALTA código balón",IF(D174="","FALTA tipo balón",IF(E174="","FALTA gas",IF(F174="","FALTA propietario",IF(AND(C174&lt;&gt;"",SUMPRODUCT(--($C$5:$C$1200=C174))&gt;1),"CÓDIGO BALÓN DUPLICADO",IF(AND(OR(UPPER(F174)="PLANTA",UPPER(F174)="CLIENTE"),G174=""),"FALTA doc propietario/planta",IF(AND(UPPER(F174)="PLANTA",G174="10175332796"),"PLANTA no puede ser RUC empresa","OK"))))))))</f>
        <v/>
      </c>
      <c r="C174" s="23" t="inlineStr">
        <is>
          <t>19S207125</t>
        </is>
      </c>
      <c r="D174" s="17" t="inlineStr">
        <is>
          <t>Oxígeno Industrial 6 m³</t>
        </is>
      </c>
      <c r="E174" s="17" t="inlineStr">
        <is>
          <t>OXIGENO INDUSTRIAL</t>
        </is>
      </c>
      <c r="F174" s="17" t="inlineStr">
        <is>
          <t>EMPRESA</t>
        </is>
      </c>
      <c r="G174" s="23" t="inlineStr">
        <is>
          <t>10175332796</t>
        </is>
      </c>
      <c r="H174" s="25">
        <f t="array" ref="H174">IF(G174="","",IFERROR(IF(INDEX(Clientes!$D$5:$D$549,MATCH(G174,Clientes!$C$5:$C$549,0))&lt;&gt;"",INDEX(Clientes!$D$5:$D$549,MATCH(G174,Clientes!$C$5:$C$549,0)),TRIM(INDEX(Clientes!$E$5:$E$549,MATCH(G174,Clientes!$C$5:$C$549,0))&amp;" "&amp;INDEX(Clientes!$F$5:$F$549,MATCH(G174,Clientes!$C$5:$C$549,0)))),"NO EXISTE en Clientes"))</f>
        <v/>
      </c>
      <c r="I174" s="17" t="inlineStr">
        <is>
          <t>DISPONIBLE</t>
        </is>
      </c>
      <c r="J174" s="17" t="inlineStr">
        <is>
          <t>ALMACEN PRINCIPAL</t>
        </is>
      </c>
      <c r="K174" s="23" t="n"/>
      <c r="L174" s="25">
        <f t="array" ref="L174">IF(K174="","",IFERROR(IF(INDEX(Clientes!$D$5:$D$549,MATCH(K174,Clientes!$C$5:$C$549,0))&lt;&gt;"",INDEX(Clientes!$D$5:$D$549,MATCH(K174,Clientes!$C$5:$C$549,0)),TRIM(INDEX(Clientes!$E$5:$E$549,MATCH(K174,Clientes!$C$5:$C$549,0))&amp;" "&amp;INDEX(Clientes!$F$5:$F$549,MATCH(K174,Clientes!$C$5:$C$549,0)))),"NO EXISTE en Clientes"))</f>
        <v/>
      </c>
      <c r="M174" s="17" t="n">
        <v>2025</v>
      </c>
      <c r="N174" s="17" t="n">
        <v>2</v>
      </c>
      <c r="O174" s="42" t="n">
        <v>45689</v>
      </c>
      <c r="P174" s="39">
        <f>IF(O174&lt;&gt;"",DATE(YEAR(O174)+10,MONTH(O174),1),IF(AND(M174&lt;&gt;"",N174&lt;&gt;""),DATE(M174+5,N174,1),""))</f>
        <v/>
      </c>
      <c r="Q174" s="23" t="n"/>
      <c r="R174" s="17" t="inlineStr">
        <is>
          <t>JP</t>
        </is>
      </c>
      <c r="S174" s="17" t="inlineStr">
        <is>
          <t>OTRO</t>
        </is>
      </c>
      <c r="T174" s="17" t="n">
        <v>2000</v>
      </c>
      <c r="U174" s="17" t="n"/>
      <c r="V174" s="23" t="n"/>
      <c r="W174" s="17" t="n"/>
      <c r="X174" s="17" t="n"/>
      <c r="Y174" s="28">
        <f>IF(B174&lt;&gt;"OK","","SELECT bal_crear_balon(p_codigo_balon =&gt; "&amp;IF(TRIM(C174&amp;"")="","NULL","'"&amp;SUBSTITUTE(TRIM(C174),"'","''")&amp;"'")&amp;", p_id_tipo_balon =&gt; "&amp;"(SELECT id FROM bal_tipo_balon WHERE upper(nombre) = upper('"&amp;SUBSTITUTE(TRIM(D174),"'","''")&amp;"') AND estado = 1 LIMIT 1)"&amp;", p_id_producto_gas =&gt; "&amp;"(SELECT id FROM pro_producto WHERE es_gas = TRUE AND upper(nombre) = upper('"&amp;SUBSTITUTE(TRIM(E174),"'","''")&amp;"') AND estado = 1 LIMIT 1)"&amp;", p_id_propietario =&gt; "&amp;IF(TRIM(F174&amp;"")="","NULL","(SELECT lo.id FROM gen_lista_opciones lo JOIN gen_lista l ON l.id = lo.id_lista WHERE l.nombre = 'PropietarioBalon' AND upper(lo.nombre) = upper('"&amp;SUBSTITUTE(TRIM(F174),"'","''")&amp;"') AND lo.estado = 1 LIMIT 1)")&amp;", p_id_cliente_propietario =&gt; "&amp;IF(F174="CLIENTE",IF(TRIM(G174&amp;"")="","NULL","(SELECT id FROM cli_clientes WHERE numero_documento = '"&amp;SUBSTITUTE(TRIM(G174),"'","''")&amp;"' AND estado = 1 LIMIT 1)"),"NULL")&amp;", p_id_planta =&gt; "&amp;IF(F174="PLANTA",IF(TRIM(G174&amp;"")="","NULL","(SELECT id FROM cli_clientes WHERE numero_documento = '"&amp;SUBSTITUTE(TRIM(G174),"'","''")&amp;"'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"&amp;IF(TRIM(J174&amp;"")="","NULL","(SELECT id FROM gen_almacen WHERE upper(nombre) = upper('"&amp;SUBSTITUTE(TRIM(J174),"'","''")&amp;"') AND estado = 1 LIMIT 1)")&amp;", p_id_cliente_ubicacion =&gt; "&amp;IF(TRIM(K174&amp;"")="","NULL","(SELECT id FROM cli_clientes WHERE numero_documento = '"&amp;SUBSTITUTE(TRIM(K174),"'","''")&amp;"' AND estado = 1 LIMIT 1)")&amp;", p_id_referencia =&gt; "&amp;IF(TRIM(J174&amp;"")&lt;&gt;"","(SELECT lo.id FROM gen_lista_opciones lo JOIN gen_lista l ON l.id = lo.id_lista WHERE l.nombre = 'ReferenciaCilindro' AND upper(lo.nombre) = 'ALMACEN' AND lo.estado = 1 LIMIT 1)",IF(TRIM(K174&amp;"")&lt;&gt;"","(SELECT lo.id FROM gen_lista_opciones lo JOIN gen_lista l ON l.id = lo.id_lista WHERE l.nombre = 'ReferenciaCilindro' AND upper(lo.nombre) = 'CLIENTE' AND lo.estado = 1 LIMIT 1)","NULL"))&amp;", p_anio_fabricacion =&gt; "&amp;IF(M174&amp;""="","NULL::smallint",M174&amp;"::smallint")&amp;", p_mes_fabricacion =&gt; "&amp;IF(N174&amp;""="","NULL::smallint",N174&amp;"::smallint")&amp;", p_fecha_ultima_prueba_hidrostatica =&gt; "&amp;IF(O174&amp;""="","NULL","'"&amp;YEAR(O174)&amp;"-"&amp;TEXT(MONTH(O174),"00")&amp;"-"&amp;TEXT(DAY(O174),"00")&amp;"'")&amp;", p_numero_serie =&gt; "&amp;IF(TRIM(Q174&amp;"")="","NULL","'"&amp;SUBSTITUTE(TRIM(Q174),"'","''")&amp;"'")&amp;", p_id_marca_cilindro =&gt; "&amp;IF(TRIM(R174&amp;"")="","NULL","(SELECT lo.id FROM gen_lista_opciones lo JOIN gen_lista l ON l.id = lo.id_lista WHERE l.nombre = 'MarcaCilindro' AND upper(lo.nombre) = upper('"&amp;SUBSTITUTE(TRIM(R174),"'","''")&amp;"') AND lo.estado = 1 LIMIT 1)")&amp;", p_id_organo_inspector =&gt; "&amp;IF(TRIM(S174&amp;"")="","NULL","(SELECT lo.id FROM gen_lista_opciones lo JOIN gen_lista l ON l.id = lo.id_lista WHERE l.nombre = 'OrganoInspectorCilindro' AND upper(lo.nombre) = upper('"&amp;SUBSTITUTE(TRIM(S174),"'","''")&amp;"') AND lo.estado = 1 LIMIT 1)")&amp;", p_organo_inspector_no_aplica =&gt; "&amp;IF(S174="NO_APLICA","TRUE","FALSE")&amp;", p_presion_actual =&gt; "&amp;IF(T174&amp;""="","NULL",SUBSTITUTE(T174&amp;"",",","."))&amp;", p_tipo_valvula =&gt; "&amp;IF(TRIM(U174&amp;"")="","NULL","'"&amp;SUBSTITUTE(TRIM(U174),"'","''")&amp;"'")&amp;", p_libro_cilindro =&gt; "&amp;IF(TRIM(V174&amp;"")="","NULL","'"&amp;SUBSTITUTE(TRIM(V174),"'","''")&amp;"'")&amp;", p_pagina_libro =&gt; "&amp;IF(W174&amp;""="","NULL",SUBSTITUTE(W174&amp;"",",","."))&amp;", p_observacion =&gt; "&amp;IF(TRIM(X174&amp;"")="","NULL","'"&amp;SUBSTITUTE(TRIM(X174),"'","''")&amp;"'")&amp;") AS resultado_balon_"&amp;ROW()&amp;";")</f>
        <v/>
      </c>
    </row>
    <row r="175" ht="15.75" customHeight="1" s="64">
      <c r="A175" s="36" t="inlineStr">
        <is>
          <t>171</t>
        </is>
      </c>
      <c r="B175" s="25">
        <f>IF(AND(C175="",D175="",E175=""),"",IF(C175="","FALTA código balón",IF(D175="","FALTA tipo balón",IF(E175="","FALTA gas",IF(F175="","FALTA propietario",IF(AND(C175&lt;&gt;"",SUMPRODUCT(--($C$5:$C$1200=C175))&gt;1),"CÓDIGO BALÓN DUPLICADO",IF(AND(OR(UPPER(F175)="PLANTA",UPPER(F175)="CLIENTE"),G175=""),"FALTA doc propietario/planta",IF(AND(UPPER(F175)="PLANTA",G175="10175332796"),"PLANTA no puede ser RUC empresa","OK"))))))))</f>
        <v/>
      </c>
      <c r="C175" s="23" t="inlineStr">
        <is>
          <t>GTA269186</t>
        </is>
      </c>
      <c r="D175" s="17" t="inlineStr">
        <is>
          <t>Oxígeno Industrial 6 m³</t>
        </is>
      </c>
      <c r="E175" s="17" t="inlineStr">
        <is>
          <t>OXIGENO INDUSTRIAL</t>
        </is>
      </c>
      <c r="F175" s="17" t="inlineStr">
        <is>
          <t>EMPRESA</t>
        </is>
      </c>
      <c r="G175" s="23" t="inlineStr">
        <is>
          <t>10175332796</t>
        </is>
      </c>
      <c r="H175" s="25">
        <f t="array" ref="H175">IF(G175="","",IFERROR(IF(INDEX(Clientes!$D$5:$D$549,MATCH(G175,Clientes!$C$5:$C$549,0))&lt;&gt;"",INDEX(Clientes!$D$5:$D$549,MATCH(G175,Clientes!$C$5:$C$549,0)),TRIM(INDEX(Clientes!$E$5:$E$549,MATCH(G175,Clientes!$C$5:$C$549,0))&amp;" "&amp;INDEX(Clientes!$F$5:$F$549,MATCH(G175,Clientes!$C$5:$C$549,0)))),"NO EXISTE en Clientes"))</f>
        <v/>
      </c>
      <c r="I175" s="17" t="inlineStr">
        <is>
          <t>DISPONIBLE</t>
        </is>
      </c>
      <c r="J175" s="17" t="inlineStr">
        <is>
          <t>ALMACEN PRINCIPAL</t>
        </is>
      </c>
      <c r="K175" s="23" t="n"/>
      <c r="L175" s="25">
        <f t="array" ref="L175">IF(K175="","",IFERROR(IF(INDEX(Clientes!$D$5:$D$549,MATCH(K175,Clientes!$C$5:$C$549,0))&lt;&gt;"",INDEX(Clientes!$D$5:$D$549,MATCH(K175,Clientes!$C$5:$C$549,0)),TRIM(INDEX(Clientes!$E$5:$E$549,MATCH(K175,Clientes!$C$5:$C$549,0))&amp;" "&amp;INDEX(Clientes!$F$5:$F$549,MATCH(K175,Clientes!$C$5:$C$549,0)))),"NO EXISTE en Clientes"))</f>
        <v/>
      </c>
      <c r="M175" s="17" t="n">
        <v>2016</v>
      </c>
      <c r="N175" s="17" t="n">
        <v>8</v>
      </c>
      <c r="O175" s="42" t="n">
        <v>42583</v>
      </c>
      <c r="P175" s="39">
        <f>IF(O175&lt;&gt;"",DATE(YEAR(O175)+10,MONTH(O175),1),IF(AND(M175&lt;&gt;"",N175&lt;&gt;""),DATE(M175+5,N175,1),""))</f>
        <v/>
      </c>
      <c r="Q175" s="23" t="n"/>
      <c r="R175" s="17" t="inlineStr">
        <is>
          <t>JD</t>
        </is>
      </c>
      <c r="S175" s="17" t="inlineStr">
        <is>
          <t>OTRO</t>
        </is>
      </c>
      <c r="T175" s="17" t="n">
        <v>2000</v>
      </c>
      <c r="U175" s="17" t="n"/>
      <c r="V175" s="23" t="n"/>
      <c r="W175" s="17" t="n"/>
      <c r="X175" s="17" t="n"/>
      <c r="Y175" s="28">
        <f>IF(B175&lt;&gt;"OK","","SELECT bal_crear_balon(p_codigo_balon =&gt; "&amp;IF(TRIM(C175&amp;"")="","NULL","'"&amp;SUBSTITUTE(TRIM(C175),"'","''")&amp;"'")&amp;", p_id_tipo_balon =&gt; "&amp;"(SELECT id FROM bal_tipo_balon WHERE upper(nombre) = upper('"&amp;SUBSTITUTE(TRIM(D175),"'","''")&amp;"') AND estado = 1 LIMIT 1)"&amp;", p_id_producto_gas =&gt; "&amp;"(SELECT id FROM pro_producto WHERE es_gas = TRUE AND upper(nombre) = upper('"&amp;SUBSTITUTE(TRIM(E175),"'","''")&amp;"') AND estado = 1 LIMIT 1)"&amp;", p_id_propietario =&gt; "&amp;IF(TRIM(F175&amp;"")="","NULL","(SELECT lo.id FROM gen_lista_opciones lo JOIN gen_lista l ON l.id = lo.id_lista WHERE l.nombre = 'PropietarioBalon' AND upper(lo.nombre) = upper('"&amp;SUBSTITUTE(TRIM(F175),"'","''")&amp;"') AND lo.estado = 1 LIMIT 1)")&amp;", p_id_cliente_propietario =&gt; "&amp;IF(F175="CLIENTE",IF(TRIM(G175&amp;"")="","NULL","(SELECT id FROM cli_clientes WHERE numero_documento = '"&amp;SUBSTITUTE(TRIM(G175),"'","''")&amp;"' AND estado = 1 LIMIT 1)"),"NULL")&amp;", p_id_planta =&gt; "&amp;IF(F175="PLANTA",IF(TRIM(G175&amp;"")="","NULL","(SELECT id FROM cli_clientes WHERE numero_documento = '"&amp;SUBSTITUTE(TRIM(G175),"'","''")&amp;"'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"&amp;IF(TRIM(J175&amp;"")="","NULL","(SELECT id FROM gen_almacen WHERE upper(nombre) = upper('"&amp;SUBSTITUTE(TRIM(J175),"'","''")&amp;"') AND estado = 1 LIMIT 1)")&amp;", p_id_cliente_ubicacion =&gt; "&amp;IF(TRIM(K175&amp;"")="","NULL","(SELECT id FROM cli_clientes WHERE numero_documento = '"&amp;SUBSTITUTE(TRIM(K175),"'","''")&amp;"' AND estado = 1 LIMIT 1)")&amp;", p_id_referencia =&gt; "&amp;IF(TRIM(J175&amp;"")&lt;&gt;"","(SELECT lo.id FROM gen_lista_opciones lo JOIN gen_lista l ON l.id = lo.id_lista WHERE l.nombre = 'ReferenciaCilindro' AND upper(lo.nombre) = 'ALMACEN' AND lo.estado = 1 LIMIT 1)",IF(TRIM(K175&amp;"")&lt;&gt;"","(SELECT lo.id FROM gen_lista_opciones lo JOIN gen_lista l ON l.id = lo.id_lista WHERE l.nombre = 'ReferenciaCilindro' AND upper(lo.nombre) = 'CLIENTE' AND lo.estado = 1 LIMIT 1)","NULL"))&amp;", p_anio_fabricacion =&gt; "&amp;IF(M175&amp;""="","NULL::smallint",M175&amp;"::smallint")&amp;", p_mes_fabricacion =&gt; "&amp;IF(N175&amp;""="","NULL::smallint",N175&amp;"::smallint")&amp;", p_fecha_ultima_prueba_hidrostatica =&gt; "&amp;IF(O175&amp;""="","NULL","'"&amp;YEAR(O175)&amp;"-"&amp;TEXT(MONTH(O175),"00")&amp;"-"&amp;TEXT(DAY(O175),"00")&amp;"'")&amp;", p_numero_serie =&gt; "&amp;IF(TRIM(Q175&amp;"")="","NULL","'"&amp;SUBSTITUTE(TRIM(Q175),"'","''")&amp;"'")&amp;", p_id_marca_cilindro =&gt; "&amp;IF(TRIM(R175&amp;"")="","NULL","(SELECT lo.id FROM gen_lista_opciones lo JOIN gen_lista l ON l.id = lo.id_lista WHERE l.nombre = 'MarcaCilindro' AND upper(lo.nombre) = upper('"&amp;SUBSTITUTE(TRIM(R175),"'","''")&amp;"') AND lo.estado = 1 LIMIT 1)")&amp;", p_id_organo_inspector =&gt; "&amp;IF(TRIM(S175&amp;"")="","NULL","(SELECT lo.id FROM gen_lista_opciones lo JOIN gen_lista l ON l.id = lo.id_lista WHERE l.nombre = 'OrganoInspectorCilindro' AND upper(lo.nombre) = upper('"&amp;SUBSTITUTE(TRIM(S175),"'","''")&amp;"') AND lo.estado = 1 LIMIT 1)")&amp;", p_organo_inspector_no_aplica =&gt; "&amp;IF(S175="NO_APLICA","TRUE","FALSE")&amp;", p_presion_actual =&gt; "&amp;IF(T175&amp;""="","NULL",SUBSTITUTE(T175&amp;"",",","."))&amp;", p_tipo_valvula =&gt; "&amp;IF(TRIM(U175&amp;"")="","NULL","'"&amp;SUBSTITUTE(TRIM(U175),"'","''")&amp;"'")&amp;", p_libro_cilindro =&gt; "&amp;IF(TRIM(V175&amp;"")="","NULL","'"&amp;SUBSTITUTE(TRIM(V175),"'","''")&amp;"'")&amp;", p_pagina_libro =&gt; "&amp;IF(W175&amp;""="","NULL",SUBSTITUTE(W175&amp;"",",","."))&amp;", p_observacion =&gt; "&amp;IF(TRIM(X175&amp;"")="","NULL","'"&amp;SUBSTITUTE(TRIM(X175),"'","''")&amp;"'")&amp;") AS resultado_balon_"&amp;ROW()&amp;";")</f>
        <v/>
      </c>
    </row>
    <row r="176" ht="15.75" customHeight="1" s="64">
      <c r="A176" s="36" t="inlineStr">
        <is>
          <t>172</t>
        </is>
      </c>
      <c r="B176" s="25">
        <f>IF(AND(C176="",D176="",E176=""),"",IF(C176="","FALTA código balón",IF(D176="","FALTA tipo balón",IF(E176="","FALTA gas",IF(F176="","FALTA propietario",IF(AND(C176&lt;&gt;"",SUMPRODUCT(--($C$5:$C$1200=C176))&gt;1),"CÓDIGO BALÓN DUPLICADO",IF(AND(OR(UPPER(F176)="PLANTA",UPPER(F176)="CLIENTE"),G176=""),"FALTA doc propietario/planta",IF(AND(UPPER(F176)="PLANTA",G176="10175332796"),"PLANTA no puede ser RUC empresa","OK"))))))))</f>
        <v/>
      </c>
      <c r="C176" s="23" t="inlineStr">
        <is>
          <t>1001104</t>
        </is>
      </c>
      <c r="D176" s="17" t="inlineStr">
        <is>
          <t>Oxígeno Industrial 6 m³</t>
        </is>
      </c>
      <c r="E176" s="17" t="inlineStr">
        <is>
          <t>OXIGENO INDUSTRIAL</t>
        </is>
      </c>
      <c r="F176" s="17" t="inlineStr">
        <is>
          <t>EMPRESA</t>
        </is>
      </c>
      <c r="G176" s="23" t="inlineStr">
        <is>
          <t>10175332796</t>
        </is>
      </c>
      <c r="H176" s="25">
        <f t="array" ref="H176">IF(G176="","",IFERROR(IF(INDEX(Clientes!$D$5:$D$549,MATCH(G176,Clientes!$C$5:$C$549,0))&lt;&gt;"",INDEX(Clientes!$D$5:$D$549,MATCH(G176,Clientes!$C$5:$C$549,0)),TRIM(INDEX(Clientes!$E$5:$E$549,MATCH(G176,Clientes!$C$5:$C$549,0))&amp;" "&amp;INDEX(Clientes!$F$5:$F$549,MATCH(G176,Clientes!$C$5:$C$549,0)))),"NO EXISTE en Clientes"))</f>
        <v/>
      </c>
      <c r="I176" s="17" t="inlineStr">
        <is>
          <t>DISPONIBLE</t>
        </is>
      </c>
      <c r="J176" s="17" t="inlineStr">
        <is>
          <t>ALMACEN PRINCIPAL</t>
        </is>
      </c>
      <c r="K176" s="23" t="n"/>
      <c r="L176" s="25">
        <f t="array" ref="L176">IF(K176="","",IFERROR(IF(INDEX(Clientes!$D$5:$D$549,MATCH(K176,Clientes!$C$5:$C$549,0))&lt;&gt;"",INDEX(Clientes!$D$5:$D$549,MATCH(K176,Clientes!$C$5:$C$549,0)),TRIM(INDEX(Clientes!$E$5:$E$549,MATCH(K176,Clientes!$C$5:$C$549,0))&amp;" "&amp;INDEX(Clientes!$F$5:$F$549,MATCH(K176,Clientes!$C$5:$C$549,0)))),"NO EXISTE en Clientes"))</f>
        <v/>
      </c>
      <c r="M176" s="17" t="n">
        <v>2023</v>
      </c>
      <c r="N176" s="17" t="n">
        <v>9</v>
      </c>
      <c r="O176" s="42" t="n">
        <v>45170</v>
      </c>
      <c r="P176" s="39">
        <f>IF(O176&lt;&gt;"",DATE(YEAR(O176)+10,MONTH(O176),1),IF(AND(M176&lt;&gt;"",N176&lt;&gt;""),DATE(M176+5,N176,1),""))</f>
        <v/>
      </c>
      <c r="Q176" s="23" t="n"/>
      <c r="R176" s="17" t="n"/>
      <c r="S176" s="17" t="n"/>
      <c r="T176" s="17" t="n"/>
      <c r="U176" s="17" t="n"/>
      <c r="V176" s="23" t="n"/>
      <c r="W176" s="17" t="n"/>
      <c r="X176" s="17" t="inlineStr">
        <is>
          <t>PH LINDE</t>
        </is>
      </c>
      <c r="Y176" s="28">
        <f>IF(B176&lt;&gt;"OK","","SELECT bal_crear_balon(p_codigo_balon =&gt; "&amp;IF(TRIM(C176&amp;"")="","NULL","'"&amp;SUBSTITUTE(TRIM(C176),"'","''")&amp;"'")&amp;", p_id_tipo_balon =&gt; "&amp;"(SELECT id FROM bal_tipo_balon WHERE upper(nombre) = upper('"&amp;SUBSTITUTE(TRIM(D176),"'","''")&amp;"') AND estado = 1 LIMIT 1)"&amp;", p_id_producto_gas =&gt; "&amp;"(SELECT id FROM pro_producto WHERE es_gas = TRUE AND upper(nombre) = upper('"&amp;SUBSTITUTE(TRIM(E176),"'","''")&amp;"') AND estado = 1 LIMIT 1)"&amp;", p_id_propietario =&gt; "&amp;IF(TRIM(F176&amp;"")="","NULL","(SELECT lo.id FROM gen_lista_opciones lo JOIN gen_lista l ON l.id = lo.id_lista WHERE l.nombre = 'PropietarioBalon' AND upper(lo.nombre) = upper('"&amp;SUBSTITUTE(TRIM(F176),"'","''")&amp;"') AND lo.estado = 1 LIMIT 1)")&amp;", p_id_cliente_propietario =&gt; "&amp;IF(F176="CLIENTE",IF(TRIM(G176&amp;"")="","NULL","(SELECT id FROM cli_clientes WHERE numero_documento = '"&amp;SUBSTITUTE(TRIM(G176),"'","''")&amp;"' AND estado = 1 LIMIT 1)"),"NULL")&amp;", p_id_planta =&gt; "&amp;IF(F176="PLANTA",IF(TRIM(G176&amp;"")="","NULL","(SELECT id FROM cli_clientes WHERE numero_documento = '"&amp;SUBSTITUTE(TRIM(G176),"'","''")&amp;"'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"&amp;IF(TRIM(J176&amp;"")="","NULL","(SELECT id FROM gen_almacen WHERE upper(nombre) = upper('"&amp;SUBSTITUTE(TRIM(J176),"'","''")&amp;"') AND estado = 1 LIMIT 1)")&amp;", p_id_cliente_ubicacion =&gt; "&amp;IF(TRIM(K176&amp;"")="","NULL","(SELECT id FROM cli_clientes WHERE numero_documento = '"&amp;SUBSTITUTE(TRIM(K176),"'","''")&amp;"' AND estado = 1 LIMIT 1)")&amp;", p_id_referencia =&gt; "&amp;IF(TRIM(J176&amp;"")&lt;&gt;"","(SELECT lo.id FROM gen_lista_opciones lo JOIN gen_lista l ON l.id = lo.id_lista WHERE l.nombre = 'ReferenciaCilindro' AND upper(lo.nombre) = 'ALMACEN' AND lo.estado = 1 LIMIT 1)",IF(TRIM(K176&amp;"")&lt;&gt;"","(SELECT lo.id FROM gen_lista_opciones lo JOIN gen_lista l ON l.id = lo.id_lista WHERE l.nombre = 'ReferenciaCilindro' AND upper(lo.nombre) = 'CLIENTE' AND lo.estado = 1 LIMIT 1)","NULL"))&amp;", p_anio_fabricacion =&gt; "&amp;IF(M176&amp;""="","NULL::smallint",M176&amp;"::smallint")&amp;", p_mes_fabricacion =&gt; "&amp;IF(N176&amp;""="","NULL::smallint",N176&amp;"::smallint")&amp;", p_fecha_ultima_prueba_hidrostatica =&gt; "&amp;IF(O176&amp;""="","NULL","'"&amp;YEAR(O176)&amp;"-"&amp;TEXT(MONTH(O176),"00")&amp;"-"&amp;TEXT(DAY(O176),"00")&amp;"'")&amp;", p_numero_serie =&gt; "&amp;IF(TRIM(Q176&amp;"")="","NULL","'"&amp;SUBSTITUTE(TRIM(Q176),"'","''")&amp;"'")&amp;", p_id_marca_cilindro =&gt; "&amp;IF(TRIM(R176&amp;"")="","NULL","(SELECT lo.id FROM gen_lista_opciones lo JOIN gen_lista l ON l.id = lo.id_lista WHERE l.nombre = 'MarcaCilindro' AND upper(lo.nombre) = upper('"&amp;SUBSTITUTE(TRIM(R176),"'","''")&amp;"') AND lo.estado = 1 LIMIT 1)")&amp;", p_id_organo_inspector =&gt; "&amp;IF(TRIM(S176&amp;"")="","NULL","(SELECT lo.id FROM gen_lista_opciones lo JOIN gen_lista l ON l.id = lo.id_lista WHERE l.nombre = 'OrganoInspectorCilindro' AND upper(lo.nombre) = upper('"&amp;SUBSTITUTE(TRIM(S176),"'","''")&amp;"') AND lo.estado = 1 LIMIT 1)")&amp;", p_organo_inspector_no_aplica =&gt; "&amp;IF(S176="NO_APLICA","TRUE","FALSE")&amp;", p_presion_actual =&gt; "&amp;IF(T176&amp;""="","NULL",SUBSTITUTE(T176&amp;"",",","."))&amp;", p_tipo_valvula =&gt; "&amp;IF(TRIM(U176&amp;"")="","NULL","'"&amp;SUBSTITUTE(TRIM(U176),"'","''")&amp;"'")&amp;", p_libro_cilindro =&gt; "&amp;IF(TRIM(V176&amp;"")="","NULL","'"&amp;SUBSTITUTE(TRIM(V176),"'","''")&amp;"'")&amp;", p_pagina_libro =&gt; "&amp;IF(W176&amp;""="","NULL",SUBSTITUTE(W176&amp;"",",","."))&amp;", p_observacion =&gt; "&amp;IF(TRIM(X176&amp;"")="","NULL","'"&amp;SUBSTITUTE(TRIM(X176),"'","''")&amp;"'")&amp;") AS resultado_balon_"&amp;ROW()&amp;";")</f>
        <v/>
      </c>
    </row>
    <row r="177" ht="15.75" customHeight="1" s="64">
      <c r="A177" s="36" t="inlineStr">
        <is>
          <t>173</t>
        </is>
      </c>
      <c r="B177" s="25">
        <f>IF(AND(C177="",D177="",E177=""),"",IF(C177="","FALTA código balón",IF(D177="","FALTA tipo balón",IF(E177="","FALTA gas",IF(F177="","FALTA propietario",IF(AND(C177&lt;&gt;"",SUMPRODUCT(--($C$5:$C$1200=C177))&gt;1),"CÓDIGO BALÓN DUPLICADO",IF(AND(OR(UPPER(F177)="PLANTA",UPPER(F177)="CLIENTE"),G177=""),"FALTA doc propietario/planta",IF(AND(UPPER(F177)="PLANTA",G177="10175332796"),"PLANTA no puede ser RUC empresa","OK"))))))))</f>
        <v/>
      </c>
      <c r="C177" s="23" t="inlineStr">
        <is>
          <t>6658179Y</t>
        </is>
      </c>
      <c r="D177" s="17" t="inlineStr">
        <is>
          <t>Oxígeno Medicinal 10 m³</t>
        </is>
      </c>
      <c r="E177" s="17" t="inlineStr">
        <is>
          <t>OXIGENO MEDICINAL</t>
        </is>
      </c>
      <c r="F177" s="17" t="inlineStr">
        <is>
          <t>EMPRESA</t>
        </is>
      </c>
      <c r="G177" s="23" t="inlineStr">
        <is>
          <t>10175332796</t>
        </is>
      </c>
      <c r="H177" s="25">
        <f t="array" ref="H177">IF(G177="","",IFERROR(IF(INDEX(Clientes!$D$5:$D$549,MATCH(G177,Clientes!$C$5:$C$549,0))&lt;&gt;"",INDEX(Clientes!$D$5:$D$549,MATCH(G177,Clientes!$C$5:$C$549,0)),TRIM(INDEX(Clientes!$E$5:$E$549,MATCH(G177,Clientes!$C$5:$C$549,0))&amp;" "&amp;INDEX(Clientes!$F$5:$F$549,MATCH(G177,Clientes!$C$5:$C$549,0)))),"NO EXISTE en Clientes"))</f>
        <v/>
      </c>
      <c r="I177" s="17" t="inlineStr">
        <is>
          <t>DISPONIBLE</t>
        </is>
      </c>
      <c r="J177" s="17" t="inlineStr">
        <is>
          <t>ALMACEN PRINCIPAL</t>
        </is>
      </c>
      <c r="K177" s="23" t="n"/>
      <c r="L177" s="25">
        <f t="array" ref="L177">IF(K177="","",IFERROR(IF(INDEX(Clientes!$D$5:$D$549,MATCH(K177,Clientes!$C$5:$C$549,0))&lt;&gt;"",INDEX(Clientes!$D$5:$D$549,MATCH(K177,Clientes!$C$5:$C$549,0)),TRIM(INDEX(Clientes!$E$5:$E$549,MATCH(K177,Clientes!$C$5:$C$549,0))&amp;" "&amp;INDEX(Clientes!$F$5:$F$549,MATCH(K177,Clientes!$C$5:$C$549,0)))),"NO EXISTE en Clientes"))</f>
        <v/>
      </c>
      <c r="M177" s="17" t="n">
        <v>2020</v>
      </c>
      <c r="N177" s="17" t="n">
        <v>8</v>
      </c>
      <c r="O177" s="42" t="n">
        <v>44044</v>
      </c>
      <c r="P177" s="39">
        <f>IF(O177&lt;&gt;"",DATE(YEAR(O177)+5,MONTH(O177),1),IF(AND(M177&lt;&gt;"",N177&lt;&gt;""),DATE(M177+5,N177,1),""))</f>
        <v/>
      </c>
      <c r="Q177" s="23" t="n"/>
      <c r="R177" s="17" t="inlineStr">
        <is>
          <t>DOT</t>
        </is>
      </c>
      <c r="S177" s="17" t="inlineStr">
        <is>
          <t>ESTRELLA</t>
        </is>
      </c>
      <c r="T177" s="17" t="n">
        <v>2800</v>
      </c>
      <c r="U177" s="17" t="inlineStr">
        <is>
          <t>AMERICANA</t>
        </is>
      </c>
      <c r="V177" s="23" t="n"/>
      <c r="W177" s="17" t="n"/>
      <c r="X177" s="17" t="inlineStr">
        <is>
          <t>PH ORIGINAL</t>
        </is>
      </c>
      <c r="Y177" s="28">
        <f>IF(B177&lt;&gt;"OK","","SELECT bal_crear_balon(p_codigo_balon =&gt; "&amp;IF(TRIM(C177&amp;"")="","NULL","'"&amp;SUBSTITUTE(TRIM(C177),"'","''")&amp;"'")&amp;", p_id_tipo_balon =&gt; "&amp;"(SELECT id FROM bal_tipo_balon WHERE upper(nombre) = upper('"&amp;SUBSTITUTE(TRIM(D177),"'","''")&amp;"') AND estado = 1 LIMIT 1)"&amp;", p_id_producto_gas =&gt; "&amp;"(SELECT id FROM pro_producto WHERE es_gas = TRUE AND upper(nombre) = upper('"&amp;SUBSTITUTE(TRIM(E177),"'","''")&amp;"') AND estado = 1 LIMIT 1)"&amp;", p_id_propietario =&gt; "&amp;IF(TRIM(F177&amp;"")="","NULL","(SELECT lo.id FROM gen_lista_opciones lo JOIN gen_lista l ON l.id = lo.id_lista WHERE l.nombre = 'PropietarioBalon' AND upper(lo.nombre) = upper('"&amp;SUBSTITUTE(TRIM(F177),"'","''")&amp;"') AND lo.estado = 1 LIMIT 1)")&amp;", p_id_cliente_propietario =&gt; "&amp;IF(F177="CLIENTE",IF(TRIM(G177&amp;"")="","NULL","(SELECT id FROM cli_clientes WHERE numero_documento = '"&amp;SUBSTITUTE(TRIM(G177),"'","''")&amp;"' AND estado = 1 LIMIT 1)"),"NULL")&amp;", p_id_planta =&gt; "&amp;IF(F177="PLANTA",IF(TRIM(G177&amp;"")="","NULL","(SELECT id FROM cli_clientes WHERE numero_documento = '"&amp;SUBSTITUTE(TRIM(G177),"'","''")&amp;"'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"&amp;IF(TRIM(J177&amp;"")="","NULL","(SELECT id FROM gen_almacen WHERE upper(nombre) = upper('"&amp;SUBSTITUTE(TRIM(J177),"'","''")&amp;"') AND estado = 1 LIMIT 1)")&amp;", p_id_cliente_ubicacion =&gt; "&amp;IF(TRIM(K177&amp;"")="","NULL","(SELECT id FROM cli_clientes WHERE numero_documento = '"&amp;SUBSTITUTE(TRIM(K177),"'","''")&amp;"' AND estado = 1 LIMIT 1)")&amp;", p_id_referencia =&gt; "&amp;IF(TRIM(J177&amp;"")&lt;&gt;"","(SELECT lo.id FROM gen_lista_opciones lo JOIN gen_lista l ON l.id = lo.id_lista WHERE l.nombre = 'ReferenciaCilindro' AND upper(lo.nombre) = 'ALMACEN' AND lo.estado = 1 LIMIT 1)",IF(TRIM(K177&amp;"")&lt;&gt;"","(SELECT lo.id FROM gen_lista_opciones lo JOIN gen_lista l ON l.id = lo.id_lista WHERE l.nombre = 'ReferenciaCilindro' AND upper(lo.nombre) = 'CLIENTE' AND lo.estado = 1 LIMIT 1)","NULL"))&amp;", p_anio_fabricacion =&gt; "&amp;IF(M177&amp;""="","NULL::smallint",M177&amp;"::smallint")&amp;", p_mes_fabricacion =&gt; "&amp;IF(N177&amp;""="","NULL::smallint",N177&amp;"::smallint")&amp;", p_fecha_ultima_prueba_hidrostatica =&gt; "&amp;IF(O177&amp;""="","NULL","'"&amp;YEAR(O177)&amp;"-"&amp;TEXT(MONTH(O177),"00")&amp;"-"&amp;TEXT(DAY(O177),"00")&amp;"'")&amp;", p_numero_serie =&gt; "&amp;IF(TRIM(Q177&amp;"")="","NULL","'"&amp;SUBSTITUTE(TRIM(Q177),"'","''")&amp;"'")&amp;", p_id_marca_cilindro =&gt; "&amp;IF(TRIM(R177&amp;"")="","NULL","(SELECT lo.id FROM gen_lista_opciones lo JOIN gen_lista l ON l.id = lo.id_lista WHERE l.nombre = 'MarcaCilindro' AND upper(lo.nombre) = upper('"&amp;SUBSTITUTE(TRIM(R177),"'","''")&amp;"') AND lo.estado = 1 LIMIT 1)")&amp;", p_id_organo_inspector =&gt; "&amp;IF(TRIM(S177&amp;"")="","NULL","(SELECT lo.id FROM gen_lista_opciones lo JOIN gen_lista l ON l.id = lo.id_lista WHERE l.nombre = 'OrganoInspectorCilindro' AND upper(lo.nombre) = upper('"&amp;SUBSTITUTE(TRIM(S177),"'","''")&amp;"') AND lo.estado = 1 LIMIT 1)")&amp;", p_organo_inspector_no_aplica =&gt; "&amp;IF(S177="NO_APLICA","TRUE","FALSE")&amp;", p_presion_actual =&gt; "&amp;IF(T177&amp;""="","NULL",SUBSTITUTE(T177&amp;"",",","."))&amp;", p_tipo_valvula =&gt; "&amp;IF(TRIM(U177&amp;"")="","NULL","'"&amp;SUBSTITUTE(TRIM(U177),"'","''")&amp;"'")&amp;", p_libro_cilindro =&gt; "&amp;IF(TRIM(V177&amp;"")="","NULL","'"&amp;SUBSTITUTE(TRIM(V177),"'","''")&amp;"'")&amp;", p_pagina_libro =&gt; "&amp;IF(W177&amp;""="","NULL",SUBSTITUTE(W177&amp;"",",","."))&amp;", p_observacion =&gt; "&amp;IF(TRIM(X177&amp;"")="","NULL","'"&amp;SUBSTITUTE(TRIM(X177),"'","''")&amp;"'")&amp;") AS resultado_balon_"&amp;ROW()&amp;";")</f>
        <v/>
      </c>
    </row>
    <row r="178" ht="15.75" customHeight="1" s="64">
      <c r="A178" s="36" t="inlineStr">
        <is>
          <t>174</t>
        </is>
      </c>
      <c r="B178" s="25">
        <f>IF(AND(C178="",D178="",E178=""),"",IF(C178="","FALTA código balón",IF(D178="","FALTA tipo balón",IF(E178="","FALTA gas",IF(F178="","FALTA propietario",IF(AND(C178&lt;&gt;"",SUMPRODUCT(--($C$5:$C$1200=C178))&gt;1),"CÓDIGO BALÓN DUPLICADO",IF(AND(OR(UPPER(F178)="PLANTA",UPPER(F178)="CLIENTE"),G178=""),"FALTA doc propietario/planta",IF(AND(UPPER(F178)="PLANTA",G178="10175332796"),"PLANTA no puede ser RUC empresa","OK"))))))))</f>
        <v/>
      </c>
      <c r="C178" s="23" t="inlineStr">
        <is>
          <t>J25642064</t>
        </is>
      </c>
      <c r="D178" s="17" t="inlineStr">
        <is>
          <t>Oxígeno Medicinal 10 m³</t>
        </is>
      </c>
      <c r="E178" s="17" t="inlineStr">
        <is>
          <t>OXIGENO MEDICINAL</t>
        </is>
      </c>
      <c r="F178" s="17" t="inlineStr">
        <is>
          <t>PLANTA</t>
        </is>
      </c>
      <c r="G178" s="23" t="inlineStr">
        <is>
          <t>20607948675</t>
        </is>
      </c>
      <c r="H178" s="25">
        <f t="array" ref="H178">IF(G178="","",IFERROR(IF(INDEX(Clientes!$D$5:$D$549,MATCH(G178,Clientes!$C$5:$C$549,0))&lt;&gt;"",INDEX(Clientes!$D$5:$D$549,MATCH(G178,Clientes!$C$5:$C$549,0)),TRIM(INDEX(Clientes!$E$5:$E$549,MATCH(G178,Clientes!$C$5:$C$549,0))&amp;" "&amp;INDEX(Clientes!$F$5:$F$549,MATCH(G178,Clientes!$C$5:$C$549,0)))),"NO EXISTE en Clientes"))</f>
        <v/>
      </c>
      <c r="I178" s="17" t="inlineStr">
        <is>
          <t>DISPONIBLE</t>
        </is>
      </c>
      <c r="J178" s="17" t="inlineStr">
        <is>
          <t>ALMACEN PRINCIPAL</t>
        </is>
      </c>
      <c r="K178" s="23" t="n"/>
      <c r="L178" s="25">
        <f t="array" ref="L178">IF(K178="","",IFERROR(IF(INDEX(Clientes!$D$5:$D$549,MATCH(K178,Clientes!$C$5:$C$549,0))&lt;&gt;"",INDEX(Clientes!$D$5:$D$549,MATCH(K178,Clientes!$C$5:$C$549,0)),TRIM(INDEX(Clientes!$E$5:$E$549,MATCH(K178,Clientes!$C$5:$C$549,0))&amp;" "&amp;INDEX(Clientes!$F$5:$F$549,MATCH(K178,Clientes!$C$5:$C$549,0)))),"NO EXISTE en Clientes"))</f>
        <v/>
      </c>
      <c r="M178" s="17" t="n"/>
      <c r="N178" s="17" t="n"/>
      <c r="O178" s="42" t="n"/>
      <c r="P178" s="39">
        <f>IF(O178&lt;&gt;"",DATE(YEAR(O178)+10,MONTH(O178),1),IF(AND(M178&lt;&gt;"",N178&lt;&gt;""),DATE(M178+5,N178,1),""))</f>
        <v/>
      </c>
      <c r="Q178" s="23" t="n"/>
      <c r="R178" s="17" t="n"/>
      <c r="S178" s="17" t="n"/>
      <c r="T178" s="17" t="n"/>
      <c r="U178" s="17" t="n"/>
      <c r="V178" s="23" t="n"/>
      <c r="W178" s="17" t="n"/>
      <c r="X178" s="17" t="n"/>
      <c r="Y178" s="28">
        <f>IF(B178&lt;&gt;"OK","","SELECT bal_crear_balon(p_codigo_balon =&gt; "&amp;IF(TRIM(C178&amp;"")="","NULL","'"&amp;SUBSTITUTE(TRIM(C178),"'","''")&amp;"'")&amp;", p_id_tipo_balon =&gt; "&amp;"(SELECT id FROM bal_tipo_balon WHERE upper(nombre) = upper('"&amp;SUBSTITUTE(TRIM(D178),"'","''")&amp;"') AND estado = 1 LIMIT 1)"&amp;", p_id_producto_gas =&gt; "&amp;"(SELECT id FROM pro_producto WHERE es_gas = TRUE AND upper(nombre) = upper('"&amp;SUBSTITUTE(TRIM(E178),"'","''")&amp;"') AND estado = 1 LIMIT 1)"&amp;", p_id_propietario =&gt; "&amp;IF(TRIM(F178&amp;"")="","NULL","(SELECT lo.id FROM gen_lista_opciones lo JOIN gen_lista l ON l.id = lo.id_lista WHERE l.nombre = 'PropietarioBalon' AND upper(lo.nombre) = upper('"&amp;SUBSTITUTE(TRIM(F178),"'","''")&amp;"') AND lo.estado = 1 LIMIT 1)")&amp;", p_id_cliente_propietario =&gt; "&amp;IF(F178="CLIENTE",IF(TRIM(G178&amp;"")="","NULL","(SELECT id FROM cli_clientes WHERE numero_documento = '"&amp;SUBSTITUTE(TRIM(G178),"'","''")&amp;"' AND estado = 1 LIMIT 1)"),"NULL")&amp;", p_id_planta =&gt; "&amp;IF(F178="PLANTA",IF(TRIM(G178&amp;"")="","NULL","(SELECT id FROM cli_clientes WHERE numero_documento = '"&amp;SUBSTITUTE(TRIM(G178),"'","''")&amp;"'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"&amp;IF(TRIM(J178&amp;"")="","NULL","(SELECT id FROM gen_almacen WHERE upper(nombre) = upper('"&amp;SUBSTITUTE(TRIM(J178),"'","''")&amp;"') AND estado = 1 LIMIT 1)")&amp;", p_id_cliente_ubicacion =&gt; "&amp;IF(TRIM(K178&amp;"")="","NULL","(SELECT id FROM cli_clientes WHERE numero_documento = '"&amp;SUBSTITUTE(TRIM(K178),"'","''")&amp;"' AND estado = 1 LIMIT 1)")&amp;", p_id_referencia =&gt; "&amp;IF(TRIM(J178&amp;"")&lt;&gt;"","(SELECT lo.id FROM gen_lista_opciones lo JOIN gen_lista l ON l.id = lo.id_lista WHERE l.nombre = 'ReferenciaCilindro' AND upper(lo.nombre) = 'ALMACEN' AND lo.estado = 1 LIMIT 1)",IF(TRIM(K178&amp;"")&lt;&gt;"","(SELECT lo.id FROM gen_lista_opciones lo JOIN gen_lista l ON l.id = lo.id_lista WHERE l.nombre = 'ReferenciaCilindro' AND upper(lo.nombre) = 'CLIENTE' AND lo.estado = 1 LIMIT 1)","NULL"))&amp;", p_anio_fabricacion =&gt; "&amp;IF(M178&amp;""="","NULL::smallint",M178&amp;"::smallint")&amp;", p_mes_fabricacion =&gt; "&amp;IF(N178&amp;""="","NULL::smallint",N178&amp;"::smallint")&amp;", p_fecha_ultima_prueba_hidrostatica =&gt; "&amp;IF(O178&amp;""="","NULL","'"&amp;YEAR(O178)&amp;"-"&amp;TEXT(MONTH(O178),"00")&amp;"-"&amp;TEXT(DAY(O178),"00")&amp;"'")&amp;", p_numero_serie =&gt; "&amp;IF(TRIM(Q178&amp;"")="","NULL","'"&amp;SUBSTITUTE(TRIM(Q178),"'","''")&amp;"'")&amp;", p_id_marca_cilindro =&gt; "&amp;IF(TRIM(R178&amp;"")="","NULL","(SELECT lo.id FROM gen_lista_opciones lo JOIN gen_lista l ON l.id = lo.id_lista WHERE l.nombre = 'MarcaCilindro' AND upper(lo.nombre) = upper('"&amp;SUBSTITUTE(TRIM(R178),"'","''")&amp;"') AND lo.estado = 1 LIMIT 1)")&amp;", p_id_organo_inspector =&gt; "&amp;IF(TRIM(S178&amp;"")="","NULL","(SELECT lo.id FROM gen_lista_opciones lo JOIN gen_lista l ON l.id = lo.id_lista WHERE l.nombre = 'OrganoInspectorCilindro' AND upper(lo.nombre) = upper('"&amp;SUBSTITUTE(TRIM(S178),"'","''")&amp;"') AND lo.estado = 1 LIMIT 1)")&amp;", p_organo_inspector_no_aplica =&gt; "&amp;IF(S178="NO_APLICA","TRUE","FALSE")&amp;", p_presion_actual =&gt; "&amp;IF(T178&amp;""="","NULL",SUBSTITUTE(T178&amp;"",",","."))&amp;", p_tipo_valvula =&gt; "&amp;IF(TRIM(U178&amp;"")="","NULL","'"&amp;SUBSTITUTE(TRIM(U178),"'","''")&amp;"'")&amp;", p_libro_cilindro =&gt; "&amp;IF(TRIM(V178&amp;"")="","NULL","'"&amp;SUBSTITUTE(TRIM(V178),"'","''")&amp;"'")&amp;", p_pagina_libro =&gt; "&amp;IF(W178&amp;""="","NULL",SUBSTITUTE(W178&amp;"",",","."))&amp;", p_observacion =&gt; "&amp;IF(TRIM(X178&amp;"")="","NULL","'"&amp;SUBSTITUTE(TRIM(X178),"'","''")&amp;"'")&amp;") AS resultado_balon_"&amp;ROW()&amp;";")</f>
        <v/>
      </c>
    </row>
    <row r="179" ht="15.75" customHeight="1" s="64">
      <c r="A179" s="36" t="inlineStr">
        <is>
          <t>175</t>
        </is>
      </c>
      <c r="B179" s="53">
        <f>IF(AND(C179="",D179="",E179=""),"",IF(C179="","FALTA código balón",IF(D179="","FALTA tipo balón",IF(E179="","FALTA gas",IF(F179="","FALTA propietario",IF(AND(C179&lt;&gt;"",SUMPRODUCT(--($C$5:$C$1200=C179))&gt;1),"CÓDIGO BALÓN DUPLICADO",IF(AND(OR(UPPER(F179)="PLANTA",UPPER(F179)="CLIENTE"),G179=""),"FALTA doc propietario/planta",IF(AND(UPPER(F179)="PLANTA",G179="10175332796"),"PLANTA no puede ser RUC empresa","OK"))))))))</f>
        <v/>
      </c>
      <c r="C179" s="54" t="inlineStr">
        <is>
          <t>20K646017</t>
        </is>
      </c>
      <c r="D179" s="55" t="inlineStr">
        <is>
          <t>Oxígeno Industrial 10 m³</t>
        </is>
      </c>
      <c r="E179" s="55" t="inlineStr">
        <is>
          <t>OXIGENO INDUSTRIAL</t>
        </is>
      </c>
      <c r="F179" s="55" t="inlineStr">
        <is>
          <t>EMPRESA</t>
        </is>
      </c>
      <c r="G179" s="54" t="inlineStr">
        <is>
          <t>10175332796</t>
        </is>
      </c>
      <c r="H179" s="53">
        <f t="array" ref="H179">IF(G179="","",IFERROR(IF(INDEX(Clientes!$D$5:$D$549,MATCH(G179,Clientes!$C$5:$C$549,0))&lt;&gt;"",INDEX(Clientes!$D$5:$D$549,MATCH(G179,Clientes!$C$5:$C$549,0)),TRIM(INDEX(Clientes!$E$5:$E$549,MATCH(G179,Clientes!$C$5:$C$549,0))&amp;" "&amp;INDEX(Clientes!$F$5:$F$549,MATCH(G179,Clientes!$C$5:$C$549,0)))),"NO EXISTE en Clientes"))</f>
        <v/>
      </c>
      <c r="I179" s="55" t="inlineStr">
        <is>
          <t>DISPONIBLE</t>
        </is>
      </c>
      <c r="J179" s="55" t="inlineStr">
        <is>
          <t>ALMACEN PRINCIPAL</t>
        </is>
      </c>
      <c r="K179" s="54" t="n"/>
      <c r="L179" s="25">
        <f t="array" ref="L179">IF(K179="","",IFERROR(IF(INDEX(Clientes!$D$5:$D$549,MATCH(K179,Clientes!$C$5:$C$549,0))&lt;&gt;"",INDEX(Clientes!$D$5:$D$549,MATCH(K179,Clientes!$C$5:$C$549,0)),TRIM(INDEX(Clientes!$E$5:$E$549,MATCH(K179,Clientes!$C$5:$C$549,0))&amp;" "&amp;INDEX(Clientes!$F$5:$F$549,MATCH(K179,Clientes!$C$5:$C$549,0)))),"NO EXISTE en Clientes"))</f>
        <v/>
      </c>
      <c r="M179" s="55" t="n">
        <v>2020</v>
      </c>
      <c r="N179" s="55" t="n">
        <v>9</v>
      </c>
      <c r="O179" s="56" t="n">
        <v>44075</v>
      </c>
      <c r="P179" s="57">
        <f>IF(O179&lt;&gt;"",DATE(YEAR(O179)+10,MONTH(O179),1),IF(AND(M179&lt;&gt;"",N179&lt;&gt;""),DATE(M179+5,N179,1),""))</f>
        <v/>
      </c>
      <c r="Q179" s="54" t="n"/>
      <c r="R179" s="55" t="inlineStr">
        <is>
          <t>JP</t>
        </is>
      </c>
      <c r="S179" s="55" t="inlineStr">
        <is>
          <t>OTRO</t>
        </is>
      </c>
      <c r="T179" s="55" t="n">
        <v>2800</v>
      </c>
      <c r="U179" s="55" t="inlineStr">
        <is>
          <t>AMERICANA</t>
        </is>
      </c>
      <c r="V179" s="54" t="n"/>
      <c r="W179" s="55" t="n"/>
      <c r="X179" s="55" t="inlineStr">
        <is>
          <t>PH ORIGINAL</t>
        </is>
      </c>
      <c r="Y179" s="58">
        <f>IF(B179&lt;&gt;"OK","","SELECT bal_crear_balon(p_codigo_balon =&gt; "&amp;IF(TRIM(C179&amp;"")="","NULL","'"&amp;SUBSTITUTE(TRIM(C179),"'","''")&amp;"'")&amp;", p_id_tipo_balon =&gt; "&amp;"(SELECT id FROM bal_tipo_balon WHERE upper(nombre) = upper('"&amp;SUBSTITUTE(TRIM(D179),"'","''")&amp;"') AND estado = 1 LIMIT 1)"&amp;", p_id_producto_gas =&gt; "&amp;"(SELECT id FROM pro_producto WHERE es_gas = TRUE AND upper(nombre) = upper('"&amp;SUBSTITUTE(TRIM(E179),"'","''")&amp;"') AND estado = 1 LIMIT 1)"&amp;", p_id_propietario =&gt; "&amp;IF(TRIM(F179&amp;"")="","NULL","(SELECT lo.id FROM gen_lista_opciones lo JOIN gen_lista l ON l.id = lo.id_lista WHERE l.nombre = 'PropietarioBalon' AND upper(lo.nombre) = upper('"&amp;SUBSTITUTE(TRIM(F179),"'","''")&amp;"') AND lo.estado = 1 LIMIT 1)")&amp;", p_id_cliente_propietario =&gt; "&amp;IF(F179="CLIENTE",IF(TRIM(G179&amp;"")="","NULL","(SELECT id FROM cli_clientes WHERE numero_documento = '"&amp;SUBSTITUTE(TRIM(G179),"'","''")&amp;"' AND estado = 1 LIMIT 1)"),"NULL")&amp;", p_id_planta =&gt; "&amp;IF(F179="PLANTA",IF(TRIM(G179&amp;"")="","NULL","(SELECT id FROM cli_clientes WHERE numero_documento = '"&amp;SUBSTITUTE(TRIM(G179),"'","''")&amp;"'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"&amp;IF(TRIM(J179&amp;"")="","NULL","(SELECT id FROM gen_almacen WHERE upper(nombre) = upper('"&amp;SUBSTITUTE(TRIM(J179),"'","''")&amp;"') AND estado = 1 LIMIT 1)")&amp;", p_id_cliente_ubicacion =&gt; "&amp;IF(TRIM(K179&amp;"")="","NULL","(SELECT id FROM cli_clientes WHERE numero_documento = '"&amp;SUBSTITUTE(TRIM(K179),"'","''")&amp;"' AND estado = 1 LIMIT 1)")&amp;", p_id_referencia =&gt; "&amp;IF(TRIM(J179&amp;"")&lt;&gt;"","(SELECT lo.id FROM gen_lista_opciones lo JOIN gen_lista l ON l.id = lo.id_lista WHERE l.nombre = 'ReferenciaCilindro' AND upper(lo.nombre) = 'ALMACEN' AND lo.estado = 1 LIMIT 1)",IF(TRIM(K179&amp;"")&lt;&gt;"","(SELECT lo.id FROM gen_lista_opciones lo JOIN gen_lista l ON l.id = lo.id_lista WHERE l.nombre = 'ReferenciaCilindro' AND upper(lo.nombre) = 'CLIENTE' AND lo.estado = 1 LIMIT 1)","NULL"))&amp;", p_anio_fabricacion =&gt; "&amp;IF(M179&amp;""="","NULL::smallint",M179&amp;"::smallint")&amp;", p_mes_fabricacion =&gt; "&amp;IF(N179&amp;""="","NULL::smallint",N179&amp;"::smallint")&amp;", p_fecha_ultima_prueba_hidrostatica =&gt; "&amp;IF(O179&amp;""="","NULL","'"&amp;YEAR(O179)&amp;"-"&amp;TEXT(MONTH(O179),"00")&amp;"-"&amp;TEXT(DAY(O179),"00")&amp;"'")&amp;", p_numero_serie =&gt; "&amp;IF(TRIM(Q179&amp;"")="","NULL","'"&amp;SUBSTITUTE(TRIM(Q179),"'","''")&amp;"'")&amp;", p_id_marca_cilindro =&gt; "&amp;IF(TRIM(R179&amp;"")="","NULL","(SELECT lo.id FROM gen_lista_opciones lo JOIN gen_lista l ON l.id = lo.id_lista WHERE l.nombre = 'MarcaCilindro' AND upper(lo.nombre) = upper('"&amp;SUBSTITUTE(TRIM(R179),"'","''")&amp;"') AND lo.estado = 1 LIMIT 1)")&amp;", p_id_organo_inspector =&gt; "&amp;IF(TRIM(S179&amp;"")="","NULL","(SELECT lo.id FROM gen_lista_opciones lo JOIN gen_lista l ON l.id = lo.id_lista WHERE l.nombre = 'OrganoInspectorCilindro' AND upper(lo.nombre) = upper('"&amp;SUBSTITUTE(TRIM(S179),"'","''")&amp;"') AND lo.estado = 1 LIMIT 1)")&amp;", p_organo_inspector_no_aplica =&gt; "&amp;IF(S179="NO_APLICA","TRUE","FALSE")&amp;", p_presion_actual =&gt; "&amp;IF(T179&amp;""="","NULL",SUBSTITUTE(T179&amp;"",",","."))&amp;", p_tipo_valvula =&gt; "&amp;IF(TRIM(U179&amp;"")="","NULL","'"&amp;SUBSTITUTE(TRIM(U179),"'","''")&amp;"'")&amp;", p_libro_cilindro =&gt; "&amp;IF(TRIM(V179&amp;"")="","NULL","'"&amp;SUBSTITUTE(TRIM(V179),"'","''")&amp;"'")&amp;", p_pagina_libro =&gt; "&amp;IF(W179&amp;""="","NULL",SUBSTITUTE(W179&amp;"",",","."))&amp;", p_observacion =&gt; "&amp;IF(TRIM(X179&amp;"")="","NULL","'"&amp;SUBSTITUTE(TRIM(X179),"'","''")&amp;"'")&amp;") AS resultado_balon_"&amp;ROW()&amp;";")</f>
        <v/>
      </c>
      <c r="Z179" s="59" t="n"/>
      <c r="AA179" s="59" t="n"/>
    </row>
    <row r="180" ht="15.75" customHeight="1" s="64">
      <c r="A180" s="36" t="inlineStr">
        <is>
          <t>176</t>
        </is>
      </c>
      <c r="B180" s="25">
        <f>IF(AND(C180="",D180="",E180=""),"",IF(C180="","FALTA código balón",IF(D180="","FALTA tipo balón",IF(E180="","FALTA gas",IF(F180="","FALTA propietario",IF(AND(C180&lt;&gt;"",SUMPRODUCT(--($C$5:$C$1200=C180))&gt;1),"CÓDIGO BALÓN DUPLICADO",IF(AND(OR(UPPER(F180)="PLANTA",UPPER(F180)="CLIENTE"),G180=""),"FALTA doc propietario/planta",IF(AND(UPPER(F180)="PLANTA",G180="10175332796"),"PLANTA no puede ser RUC empresa","OK"))))))))</f>
        <v/>
      </c>
      <c r="C180" s="23" t="inlineStr">
        <is>
          <t>K4860070</t>
        </is>
      </c>
      <c r="D180" s="17" t="inlineStr">
        <is>
          <t>Oxígeno Industrial 10 m³</t>
        </is>
      </c>
      <c r="E180" s="17" t="inlineStr">
        <is>
          <t>OXIGENO INDUSTRIAL</t>
        </is>
      </c>
      <c r="F180" s="17" t="inlineStr">
        <is>
          <t>EMPRESA</t>
        </is>
      </c>
      <c r="G180" s="23" t="inlineStr">
        <is>
          <t>10175332796</t>
        </is>
      </c>
      <c r="H180" s="25">
        <f t="array" ref="H180">IF(G180="","",IFERROR(IF(INDEX(Clientes!$D$5:$D$549,MATCH(G180,Clientes!$C$5:$C$549,0))&lt;&gt;"",INDEX(Clientes!$D$5:$D$549,MATCH(G180,Clientes!$C$5:$C$549,0)),TRIM(INDEX(Clientes!$E$5:$E$549,MATCH(G180,Clientes!$C$5:$C$549,0))&amp;" "&amp;INDEX(Clientes!$F$5:$F$549,MATCH(G180,Clientes!$C$5:$C$549,0)))),"NO EXISTE en Clientes"))</f>
        <v/>
      </c>
      <c r="I180" s="17" t="inlineStr">
        <is>
          <t>DISPONIBLE</t>
        </is>
      </c>
      <c r="J180" s="17" t="inlineStr">
        <is>
          <t>ALMACEN PRINCIPAL</t>
        </is>
      </c>
      <c r="K180" s="23" t="n"/>
      <c r="L180" s="25">
        <f t="array" ref="L180">IF(K180="","",IFERROR(IF(INDEX(Clientes!$D$5:$D$549,MATCH(K180,Clientes!$C$5:$C$549,0))&lt;&gt;"",INDEX(Clientes!$D$5:$D$549,MATCH(K180,Clientes!$C$5:$C$549,0)),TRIM(INDEX(Clientes!$E$5:$E$549,MATCH(K180,Clientes!$C$5:$C$549,0))&amp;" "&amp;INDEX(Clientes!$F$5:$F$549,MATCH(K180,Clientes!$C$5:$C$549,0)))),"NO EXISTE en Clientes"))</f>
        <v/>
      </c>
      <c r="M180" s="17" t="n">
        <v>2020</v>
      </c>
      <c r="N180" s="17" t="n">
        <v>8</v>
      </c>
      <c r="O180" s="42" t="n">
        <v>44044</v>
      </c>
      <c r="P180" s="39">
        <f>IF(O180&lt;&gt;"",DATE(YEAR(O180)+10,MONTH(O180),1),IF(AND(M180&lt;&gt;"",N180&lt;&gt;""),DATE(M180+5,N180,1),""))</f>
        <v/>
      </c>
      <c r="Q180" s="23" t="n"/>
      <c r="R180" s="17" t="inlineStr">
        <is>
          <t>JD</t>
        </is>
      </c>
      <c r="S180" s="17" t="inlineStr">
        <is>
          <t>TS</t>
        </is>
      </c>
      <c r="T180" s="17" t="n">
        <v>2800</v>
      </c>
      <c r="U180" s="17" t="inlineStr">
        <is>
          <t>AMERICANA</t>
        </is>
      </c>
      <c r="V180" s="23" t="n"/>
      <c r="W180" s="17" t="n"/>
      <c r="X180" s="17" t="inlineStr">
        <is>
          <t>PH ORIGINAL</t>
        </is>
      </c>
      <c r="Y180" s="28">
        <f>IF(B180&lt;&gt;"OK","","SELECT bal_crear_balon(p_codigo_balon =&gt; "&amp;IF(TRIM(C180&amp;"")="","NULL","'"&amp;SUBSTITUTE(TRIM(C180),"'","''")&amp;"'")&amp;", p_id_tipo_balon =&gt; "&amp;"(SELECT id FROM bal_tipo_balon WHERE upper(nombre) = upper('"&amp;SUBSTITUTE(TRIM(D180),"'","''")&amp;"') AND estado = 1 LIMIT 1)"&amp;", p_id_producto_gas =&gt; "&amp;"(SELECT id FROM pro_producto WHERE es_gas = TRUE AND upper(nombre) = upper('"&amp;SUBSTITUTE(TRIM(E180),"'","''")&amp;"') AND estado = 1 LIMIT 1)"&amp;", p_id_propietario =&gt; "&amp;IF(TRIM(F180&amp;"")="","NULL","(SELECT lo.id FROM gen_lista_opciones lo JOIN gen_lista l ON l.id = lo.id_lista WHERE l.nombre = 'PropietarioBalon' AND upper(lo.nombre) = upper('"&amp;SUBSTITUTE(TRIM(F180),"'","''")&amp;"') AND lo.estado = 1 LIMIT 1)")&amp;", p_id_cliente_propietario =&gt; "&amp;IF(F180="CLIENTE",IF(TRIM(G180&amp;"")="","NULL","(SELECT id FROM cli_clientes WHERE numero_documento = '"&amp;SUBSTITUTE(TRIM(G180),"'","''")&amp;"' AND estado = 1 LIMIT 1)"),"NULL")&amp;", p_id_planta =&gt; "&amp;IF(F180="PLANTA",IF(TRIM(G180&amp;"")="","NULL","(SELECT id FROM cli_clientes WHERE numero_documento = '"&amp;SUBSTITUTE(TRIM(G180),"'","''")&amp;"'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"&amp;IF(TRIM(J180&amp;"")="","NULL","(SELECT id FROM gen_almacen WHERE upper(nombre) = upper('"&amp;SUBSTITUTE(TRIM(J180),"'","''")&amp;"') AND estado = 1 LIMIT 1)")&amp;", p_id_cliente_ubicacion =&gt; "&amp;IF(TRIM(K180&amp;"")="","NULL","(SELECT id FROM cli_clientes WHERE numero_documento = '"&amp;SUBSTITUTE(TRIM(K180),"'","''")&amp;"' AND estado = 1 LIMIT 1)")&amp;", p_id_referencia =&gt; "&amp;IF(TRIM(J180&amp;"")&lt;&gt;"","(SELECT lo.id FROM gen_lista_opciones lo JOIN gen_lista l ON l.id = lo.id_lista WHERE l.nombre = 'ReferenciaCilindro' AND upper(lo.nombre) = 'ALMACEN' AND lo.estado = 1 LIMIT 1)",IF(TRIM(K180&amp;"")&lt;&gt;"","(SELECT lo.id FROM gen_lista_opciones lo JOIN gen_lista l ON l.id = lo.id_lista WHERE l.nombre = 'ReferenciaCilindro' AND upper(lo.nombre) = 'CLIENTE' AND lo.estado = 1 LIMIT 1)","NULL"))&amp;", p_anio_fabricacion =&gt; "&amp;IF(M180&amp;""="","NULL::smallint",M180&amp;"::smallint")&amp;", p_mes_fabricacion =&gt; "&amp;IF(N180&amp;""="","NULL::smallint",N180&amp;"::smallint")&amp;", p_fecha_ultima_prueba_hidrostatica =&gt; "&amp;IF(O180&amp;""="","NULL","'"&amp;YEAR(O180)&amp;"-"&amp;TEXT(MONTH(O180),"00")&amp;"-"&amp;TEXT(DAY(O180),"00")&amp;"'")&amp;", p_numero_serie =&gt; "&amp;IF(TRIM(Q180&amp;"")="","NULL","'"&amp;SUBSTITUTE(TRIM(Q180),"'","''")&amp;"'")&amp;", p_id_marca_cilindro =&gt; "&amp;IF(TRIM(R180&amp;"")="","NULL","(SELECT lo.id FROM gen_lista_opciones lo JOIN gen_lista l ON l.id = lo.id_lista WHERE l.nombre = 'MarcaCilindro' AND upper(lo.nombre) = upper('"&amp;SUBSTITUTE(TRIM(R180),"'","''")&amp;"') AND lo.estado = 1 LIMIT 1)")&amp;", p_id_organo_inspector =&gt; "&amp;IF(TRIM(S180&amp;"")="","NULL","(SELECT lo.id FROM gen_lista_opciones lo JOIN gen_lista l ON l.id = lo.id_lista WHERE l.nombre = 'OrganoInspectorCilindro' AND upper(lo.nombre) = upper('"&amp;SUBSTITUTE(TRIM(S180),"'","''")&amp;"') AND lo.estado = 1 LIMIT 1)")&amp;", p_organo_inspector_no_aplica =&gt; "&amp;IF(S180="NO_APLICA","TRUE","FALSE")&amp;", p_presion_actual =&gt; "&amp;IF(T180&amp;""="","NULL",SUBSTITUTE(T180&amp;"",",","."))&amp;", p_tipo_valvula =&gt; "&amp;IF(TRIM(U180&amp;"")="","NULL","'"&amp;SUBSTITUTE(TRIM(U180),"'","''")&amp;"'")&amp;", p_libro_cilindro =&gt; "&amp;IF(TRIM(V180&amp;"")="","NULL","'"&amp;SUBSTITUTE(TRIM(V180),"'","''")&amp;"'")&amp;", p_pagina_libro =&gt; "&amp;IF(W180&amp;""="","NULL",SUBSTITUTE(W180&amp;"",",","."))&amp;", p_observacion =&gt; "&amp;IF(TRIM(X180&amp;"")="","NULL","'"&amp;SUBSTITUTE(TRIM(X180),"'","''")&amp;"'")&amp;") AS resultado_balon_"&amp;ROW()&amp;";")</f>
        <v/>
      </c>
    </row>
    <row r="181" ht="15.75" customHeight="1" s="64">
      <c r="A181" s="36" t="inlineStr">
        <is>
          <t>177</t>
        </is>
      </c>
      <c r="B181" s="25">
        <f>IF(AND(C181="",D181="",E181=""),"",IF(C181="","FALTA código balón",IF(D181="","FALTA tipo balón",IF(E181="","FALTA gas",IF(F181="","FALTA propietario",IF(AND(C181&lt;&gt;"",SUMPRODUCT(--($C$5:$C$1200=C181))&gt;1),"CÓDIGO BALÓN DUPLICADO",IF(AND(OR(UPPER(F181)="PLANTA",UPPER(F181)="CLIENTE"),G181=""),"FALTA doc propietario/planta",IF(AND(UPPER(F181)="PLANTA",G181="10175332796"),"PLANTA no puede ser RUC empresa","OK"))))))))</f>
        <v/>
      </c>
      <c r="C181" s="23" t="inlineStr">
        <is>
          <t>FC019121</t>
        </is>
      </c>
      <c r="D181" s="17" t="inlineStr">
        <is>
          <t>Oxígeno Industrial 10 m³</t>
        </is>
      </c>
      <c r="E181" s="17" t="inlineStr">
        <is>
          <t>OXIGENO INDUSTRIAL</t>
        </is>
      </c>
      <c r="F181" s="17" t="inlineStr">
        <is>
          <t>EMPRESA</t>
        </is>
      </c>
      <c r="G181" s="23" t="inlineStr">
        <is>
          <t>10175332796</t>
        </is>
      </c>
      <c r="H181" s="25">
        <f t="array" ref="H181">IF(G181="","",IFERROR(IF(INDEX(Clientes!$D$5:$D$549,MATCH(G181,Clientes!$C$5:$C$549,0))&lt;&gt;"",INDEX(Clientes!$D$5:$D$549,MATCH(G181,Clientes!$C$5:$C$549,0)),TRIM(INDEX(Clientes!$E$5:$E$549,MATCH(G181,Clientes!$C$5:$C$549,0))&amp;" "&amp;INDEX(Clientes!$F$5:$F$549,MATCH(G181,Clientes!$C$5:$C$549,0)))),"NO EXISTE en Clientes"))</f>
        <v/>
      </c>
      <c r="I181" s="17" t="inlineStr">
        <is>
          <t>DISPONIBLE</t>
        </is>
      </c>
      <c r="J181" s="17" t="inlineStr">
        <is>
          <t>ALMACEN PRINCIPAL</t>
        </is>
      </c>
      <c r="K181" s="23" t="n"/>
      <c r="L181" s="25">
        <f t="array" ref="L181">IF(K181="","",IFERROR(IF(INDEX(Clientes!$D$5:$D$549,MATCH(K181,Clientes!$C$5:$C$549,0))&lt;&gt;"",INDEX(Clientes!$D$5:$D$549,MATCH(K181,Clientes!$C$5:$C$549,0)),TRIM(INDEX(Clientes!$E$5:$E$549,MATCH(K181,Clientes!$C$5:$C$549,0))&amp;" "&amp;INDEX(Clientes!$F$5:$F$549,MATCH(K181,Clientes!$C$5:$C$549,0)))),"NO EXISTE en Clientes"))</f>
        <v/>
      </c>
      <c r="M181" s="17" t="n">
        <v>2021</v>
      </c>
      <c r="N181" s="17" t="n">
        <v>3</v>
      </c>
      <c r="O181" s="42" t="n">
        <v>44256</v>
      </c>
      <c r="P181" s="39">
        <f>IF(O181&lt;&gt;"",DATE(YEAR(O181)+10,MONTH(O181),1),IF(AND(M181&lt;&gt;"",N181&lt;&gt;""),DATE(M181+5,N181,1),""))</f>
        <v/>
      </c>
      <c r="Q181" s="23" t="n"/>
      <c r="R181" s="17" t="inlineStr">
        <is>
          <t>LD</t>
        </is>
      </c>
      <c r="S181" s="17" t="inlineStr">
        <is>
          <t>HEXAGONAL (0036)</t>
        </is>
      </c>
      <c r="T181" s="17" t="n">
        <v>2800</v>
      </c>
      <c r="U181" s="17" t="inlineStr">
        <is>
          <t>AMERICANA</t>
        </is>
      </c>
      <c r="V181" s="23" t="n"/>
      <c r="W181" s="17" t="n"/>
      <c r="X181" s="17" t="inlineStr">
        <is>
          <t>PH ORIGINAL</t>
        </is>
      </c>
      <c r="Y181" s="28">
        <f>IF(B181&lt;&gt;"OK","","SELECT bal_crear_balon(p_codigo_balon =&gt; "&amp;IF(TRIM(C181&amp;"")="","NULL","'"&amp;SUBSTITUTE(TRIM(C181),"'","''")&amp;"'")&amp;", p_id_tipo_balon =&gt; "&amp;"(SELECT id FROM bal_tipo_balon WHERE upper(nombre) = upper('"&amp;SUBSTITUTE(TRIM(D181),"'","''")&amp;"') AND estado = 1 LIMIT 1)"&amp;", p_id_producto_gas =&gt; "&amp;"(SELECT id FROM pro_producto WHERE es_gas = TRUE AND upper(nombre) = upper('"&amp;SUBSTITUTE(TRIM(E181),"'","''")&amp;"') AND estado = 1 LIMIT 1)"&amp;", p_id_propietario =&gt; "&amp;IF(TRIM(F181&amp;"")="","NULL","(SELECT lo.id FROM gen_lista_opciones lo JOIN gen_lista l ON l.id = lo.id_lista WHERE l.nombre = 'PropietarioBalon' AND upper(lo.nombre) = upper('"&amp;SUBSTITUTE(TRIM(F181),"'","''")&amp;"') AND lo.estado = 1 LIMIT 1)")&amp;", p_id_cliente_propietario =&gt; "&amp;IF(F181="CLIENTE",IF(TRIM(G181&amp;"")="","NULL","(SELECT id FROM cli_clientes WHERE numero_documento = '"&amp;SUBSTITUTE(TRIM(G181),"'","''")&amp;"' AND estado = 1 LIMIT 1)"),"NULL")&amp;", p_id_planta =&gt; "&amp;IF(F181="PLANTA",IF(TRIM(G181&amp;"")="","NULL","(SELECT id FROM cli_clientes WHERE numero_documento = '"&amp;SUBSTITUTE(TRIM(G181),"'","''")&amp;"'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"&amp;IF(TRIM(J181&amp;"")="","NULL","(SELECT id FROM gen_almacen WHERE upper(nombre) = upper('"&amp;SUBSTITUTE(TRIM(J181),"'","''")&amp;"') AND estado = 1 LIMIT 1)")&amp;", p_id_cliente_ubicacion =&gt; "&amp;IF(TRIM(K181&amp;"")="","NULL","(SELECT id FROM cli_clientes WHERE numero_documento = '"&amp;SUBSTITUTE(TRIM(K181),"'","''")&amp;"' AND estado = 1 LIMIT 1)")&amp;", p_id_referencia =&gt; "&amp;IF(TRIM(J181&amp;"")&lt;&gt;"","(SELECT lo.id FROM gen_lista_opciones lo JOIN gen_lista l ON l.id = lo.id_lista WHERE l.nombre = 'ReferenciaCilindro' AND upper(lo.nombre) = 'ALMACEN' AND lo.estado = 1 LIMIT 1)",IF(TRIM(K181&amp;"")&lt;&gt;"","(SELECT lo.id FROM gen_lista_opciones lo JOIN gen_lista l ON l.id = lo.id_lista WHERE l.nombre = 'ReferenciaCilindro' AND upper(lo.nombre) = 'CLIENTE' AND lo.estado = 1 LIMIT 1)","NULL"))&amp;", p_anio_fabricacion =&gt; "&amp;IF(M181&amp;""="","NULL::smallint",M181&amp;"::smallint")&amp;", p_mes_fabricacion =&gt; "&amp;IF(N181&amp;""="","NULL::smallint",N181&amp;"::smallint")&amp;", p_fecha_ultima_prueba_hidrostatica =&gt; "&amp;IF(O181&amp;""="","NULL","'"&amp;YEAR(O181)&amp;"-"&amp;TEXT(MONTH(O181),"00")&amp;"-"&amp;TEXT(DAY(O181),"00")&amp;"'")&amp;", p_numero_serie =&gt; "&amp;IF(TRIM(Q181&amp;"")="","NULL","'"&amp;SUBSTITUTE(TRIM(Q181),"'","''")&amp;"'")&amp;", p_id_marca_cilindro =&gt; "&amp;IF(TRIM(R181&amp;"")="","NULL","(SELECT lo.id FROM gen_lista_opciones lo JOIN gen_lista l ON l.id = lo.id_lista WHERE l.nombre = 'MarcaCilindro' AND upper(lo.nombre) = upper('"&amp;SUBSTITUTE(TRIM(R181),"'","''")&amp;"') AND lo.estado = 1 LIMIT 1)")&amp;", p_id_organo_inspector =&gt; "&amp;IF(TRIM(S181&amp;"")="","NULL","(SELECT lo.id FROM gen_lista_opciones lo JOIN gen_lista l ON l.id = lo.id_lista WHERE l.nombre = 'OrganoInspectorCilindro' AND upper(lo.nombre) = upper('"&amp;SUBSTITUTE(TRIM(S181),"'","''")&amp;"') AND lo.estado = 1 LIMIT 1)")&amp;", p_organo_inspector_no_aplica =&gt; "&amp;IF(S181="NO_APLICA","TRUE","FALSE")&amp;", p_presion_actual =&gt; "&amp;IF(T181&amp;""="","NULL",SUBSTITUTE(T181&amp;"",",","."))&amp;", p_tipo_valvula =&gt; "&amp;IF(TRIM(U181&amp;"")="","NULL","'"&amp;SUBSTITUTE(TRIM(U181),"'","''")&amp;"'")&amp;", p_libro_cilindro =&gt; "&amp;IF(TRIM(V181&amp;"")="","NULL","'"&amp;SUBSTITUTE(TRIM(V181),"'","''")&amp;"'")&amp;", p_pagina_libro =&gt; "&amp;IF(W181&amp;""="","NULL",SUBSTITUTE(W181&amp;"",",","."))&amp;", p_observacion =&gt; "&amp;IF(TRIM(X181&amp;"")="","NULL","'"&amp;SUBSTITUTE(TRIM(X181),"'","''")&amp;"'")&amp;") AS resultado_balon_"&amp;ROW()&amp;";")</f>
        <v/>
      </c>
    </row>
    <row r="182" ht="15.75" customHeight="1" s="64">
      <c r="A182" s="36" t="inlineStr">
        <is>
          <t>178</t>
        </is>
      </c>
      <c r="B182" s="53">
        <f>IF(AND(C182="",D182="",E182=""),"",IF(C182="","FALTA código balón",IF(D182="","FALTA tipo balón",IF(E182="","FALTA gas",IF(F182="","FALTA propietario",IF(AND(C182&lt;&gt;"",SUMPRODUCT(--($C$5:$C$1200=C182))&gt;1),"CÓDIGO BALÓN DUPLICADO",IF(AND(OR(UPPER(F182)="PLANTA",UPPER(F182)="CLIENTE"),G182=""),"FALTA doc propietario/planta",IF(AND(UPPER(F182)="PLANTA",G182="10175332796"),"PLANTA no puede ser RUC empresa","OK"))))))))</f>
        <v/>
      </c>
      <c r="C182" s="54" t="inlineStr">
        <is>
          <t>K4852041</t>
        </is>
      </c>
      <c r="D182" s="55" t="inlineStr">
        <is>
          <t>Oxígeno Industrial 10 m³</t>
        </is>
      </c>
      <c r="E182" s="55" t="inlineStr">
        <is>
          <t>OXIGENO INDUSTRIAL</t>
        </is>
      </c>
      <c r="F182" s="55" t="inlineStr">
        <is>
          <t>EMPRESA</t>
        </is>
      </c>
      <c r="G182" s="54" t="inlineStr">
        <is>
          <t>10175332796</t>
        </is>
      </c>
      <c r="H182" s="53">
        <f t="array" ref="H182">IF(G182="","",IFERROR(IF(INDEX(Clientes!$D$5:$D$549,MATCH(G182,Clientes!$C$5:$C$549,0))&lt;&gt;"",INDEX(Clientes!$D$5:$D$549,MATCH(G182,Clientes!$C$5:$C$549,0)),TRIM(INDEX(Clientes!$E$5:$E$549,MATCH(G182,Clientes!$C$5:$C$549,0))&amp;" "&amp;INDEX(Clientes!$F$5:$F$549,MATCH(G182,Clientes!$C$5:$C$549,0)))),"NO EXISTE en Clientes"))</f>
        <v/>
      </c>
      <c r="I182" s="55" t="inlineStr">
        <is>
          <t>DISPONIBLE</t>
        </is>
      </c>
      <c r="J182" s="55" t="inlineStr">
        <is>
          <t>ALMACEN PRINCIPAL</t>
        </is>
      </c>
      <c r="K182" s="54" t="n"/>
      <c r="L182" s="25">
        <f t="array" ref="L182">IF(K182="","",IFERROR(IF(INDEX(Clientes!$D$5:$D$549,MATCH(K182,Clientes!$C$5:$C$549,0))&lt;&gt;"",INDEX(Clientes!$D$5:$D$549,MATCH(K182,Clientes!$C$5:$C$549,0)),TRIM(INDEX(Clientes!$E$5:$E$549,MATCH(K182,Clientes!$C$5:$C$549,0))&amp;" "&amp;INDEX(Clientes!$F$5:$F$549,MATCH(K182,Clientes!$C$5:$C$549,0)))),"NO EXISTE en Clientes"))</f>
        <v/>
      </c>
      <c r="M182" s="55" t="n">
        <v>2020</v>
      </c>
      <c r="N182" s="55" t="n">
        <v>8</v>
      </c>
      <c r="O182" s="56" t="n">
        <v>44044</v>
      </c>
      <c r="P182" s="57">
        <f>IF(O182&lt;&gt;"",DATE(YEAR(O182)+10,MONTH(O182),1),IF(AND(M182&lt;&gt;"",N182&lt;&gt;""),DATE(M182+5,N182,1),""))</f>
        <v/>
      </c>
      <c r="Q182" s="54" t="n"/>
      <c r="R182" s="55" t="inlineStr">
        <is>
          <t>JD</t>
        </is>
      </c>
      <c r="S182" s="55" t="inlineStr">
        <is>
          <t>TS</t>
        </is>
      </c>
      <c r="T182" s="55" t="n">
        <v>2800</v>
      </c>
      <c r="U182" s="55" t="inlineStr">
        <is>
          <t>AMERICANA</t>
        </is>
      </c>
      <c r="V182" s="54" t="n"/>
      <c r="W182" s="55" t="n"/>
      <c r="X182" s="55" t="inlineStr">
        <is>
          <t>PH ORIGINAL</t>
        </is>
      </c>
      <c r="Y182" s="58">
        <f>IF(B182&lt;&gt;"OK","","SELECT bal_crear_balon(p_codigo_balon =&gt; "&amp;IF(TRIM(C182&amp;"")="","NULL","'"&amp;SUBSTITUTE(TRIM(C182),"'","''")&amp;"'")&amp;", p_id_tipo_balon =&gt; "&amp;"(SELECT id FROM bal_tipo_balon WHERE upper(nombre) = upper('"&amp;SUBSTITUTE(TRIM(D182),"'","''")&amp;"') AND estado = 1 LIMIT 1)"&amp;", p_id_producto_gas =&gt; "&amp;"(SELECT id FROM pro_producto WHERE es_gas = TRUE AND upper(nombre) = upper('"&amp;SUBSTITUTE(TRIM(E182),"'","''")&amp;"') AND estado = 1 LIMIT 1)"&amp;", p_id_propietario =&gt; "&amp;IF(TRIM(F182&amp;"")="","NULL","(SELECT lo.id FROM gen_lista_opciones lo JOIN gen_lista l ON l.id = lo.id_lista WHERE l.nombre = 'PropietarioBalon' AND upper(lo.nombre) = upper('"&amp;SUBSTITUTE(TRIM(F182),"'","''")&amp;"') AND lo.estado = 1 LIMIT 1)")&amp;", p_id_cliente_propietario =&gt; "&amp;IF(F182="CLIENTE",IF(TRIM(G182&amp;"")="","NULL","(SELECT id FROM cli_clientes WHERE numero_documento = '"&amp;SUBSTITUTE(TRIM(G182),"'","''")&amp;"' AND estado = 1 LIMIT 1)"),"NULL")&amp;", p_id_planta =&gt; "&amp;IF(F182="PLANTA",IF(TRIM(G182&amp;"")="","NULL","(SELECT id FROM cli_clientes WHERE numero_documento = '"&amp;SUBSTITUTE(TRIM(G182),"'","''")&amp;"'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"&amp;IF(TRIM(J182&amp;"")="","NULL","(SELECT id FROM gen_almacen WHERE upper(nombre) = upper('"&amp;SUBSTITUTE(TRIM(J182),"'","''")&amp;"') AND estado = 1 LIMIT 1)")&amp;", p_id_cliente_ubicacion =&gt; "&amp;IF(TRIM(K182&amp;"")="","NULL","(SELECT id FROM cli_clientes WHERE numero_documento = '"&amp;SUBSTITUTE(TRIM(K182),"'","''")&amp;"' AND estado = 1 LIMIT 1)")&amp;", p_id_referencia =&gt; "&amp;IF(TRIM(J182&amp;"")&lt;&gt;"","(SELECT lo.id FROM gen_lista_opciones lo JOIN gen_lista l ON l.id = lo.id_lista WHERE l.nombre = 'ReferenciaCilindro' AND upper(lo.nombre) = 'ALMACEN' AND lo.estado = 1 LIMIT 1)",IF(TRIM(K182&amp;"")&lt;&gt;"","(SELECT lo.id FROM gen_lista_opciones lo JOIN gen_lista l ON l.id = lo.id_lista WHERE l.nombre = 'ReferenciaCilindro' AND upper(lo.nombre) = 'CLIENTE' AND lo.estado = 1 LIMIT 1)","NULL"))&amp;", p_anio_fabricacion =&gt; "&amp;IF(M182&amp;""="","NULL::smallint",M182&amp;"::smallint")&amp;", p_mes_fabricacion =&gt; "&amp;IF(N182&amp;""="","NULL::smallint",N182&amp;"::smallint")&amp;", p_fecha_ultima_prueba_hidrostatica =&gt; "&amp;IF(O182&amp;""="","NULL","'"&amp;YEAR(O182)&amp;"-"&amp;TEXT(MONTH(O182),"00")&amp;"-"&amp;TEXT(DAY(O182),"00")&amp;"'")&amp;", p_numero_serie =&gt; "&amp;IF(TRIM(Q182&amp;"")="","NULL","'"&amp;SUBSTITUTE(TRIM(Q182),"'","''")&amp;"'")&amp;", p_id_marca_cilindro =&gt; "&amp;IF(TRIM(R182&amp;"")="","NULL","(SELECT lo.id FROM gen_lista_opciones lo JOIN gen_lista l ON l.id = lo.id_lista WHERE l.nombre = 'MarcaCilindro' AND upper(lo.nombre) = upper('"&amp;SUBSTITUTE(TRIM(R182),"'","''")&amp;"') AND lo.estado = 1 LIMIT 1)")&amp;", p_id_organo_inspector =&gt; "&amp;IF(TRIM(S182&amp;"")="","NULL","(SELECT lo.id FROM gen_lista_opciones lo JOIN gen_lista l ON l.id = lo.id_lista WHERE l.nombre = 'OrganoInspectorCilindro' AND upper(lo.nombre) = upper('"&amp;SUBSTITUTE(TRIM(S182),"'","''")&amp;"') AND lo.estado = 1 LIMIT 1)")&amp;", p_organo_inspector_no_aplica =&gt; "&amp;IF(S182="NO_APLICA","TRUE","FALSE")&amp;", p_presion_actual =&gt; "&amp;IF(T182&amp;""="","NULL",SUBSTITUTE(T182&amp;"",",","."))&amp;", p_tipo_valvula =&gt; "&amp;IF(TRIM(U182&amp;"")="","NULL","'"&amp;SUBSTITUTE(TRIM(U182),"'","''")&amp;"'")&amp;", p_libro_cilindro =&gt; "&amp;IF(TRIM(V182&amp;"")="","NULL","'"&amp;SUBSTITUTE(TRIM(V182),"'","''")&amp;"'")&amp;", p_pagina_libro =&gt; "&amp;IF(W182&amp;""="","NULL",SUBSTITUTE(W182&amp;"",",","."))&amp;", p_observacion =&gt; "&amp;IF(TRIM(X182&amp;"")="","NULL","'"&amp;SUBSTITUTE(TRIM(X182),"'","''")&amp;"'")&amp;") AS resultado_balon_"&amp;ROW()&amp;";")</f>
        <v/>
      </c>
      <c r="Z182" s="59" t="n"/>
      <c r="AA182" s="59" t="n"/>
    </row>
    <row r="183" ht="15.75" customHeight="1" s="64">
      <c r="A183" s="36" t="inlineStr">
        <is>
          <t>179</t>
        </is>
      </c>
      <c r="B183" s="25">
        <f>IF(AND(C183="",D183="",E183=""),"",IF(C183="","FALTA código balón",IF(D183="","FALTA tipo balón",IF(E183="","FALTA gas",IF(F183="","FALTA propietario",IF(AND(C183&lt;&gt;"",SUMPRODUCT(--($C$5:$C$1200=C183))&gt;1),"CÓDIGO BALÓN DUPLICADO",IF(AND(OR(UPPER(F183)="PLANTA",UPPER(F183)="CLIENTE"),G183=""),"FALTA doc propietario/planta",IF(AND(UPPER(F183)="PLANTA",G183="10175332796"),"PLANTA no puede ser RUC empresa","OK"))))))))</f>
        <v/>
      </c>
      <c r="C183" s="23" t="inlineStr">
        <is>
          <t>K4871069</t>
        </is>
      </c>
      <c r="D183" s="17" t="inlineStr">
        <is>
          <t>Oxígeno Industrial 10 m³</t>
        </is>
      </c>
      <c r="E183" s="17" t="inlineStr">
        <is>
          <t>OXIGENO INDUSTRIAL</t>
        </is>
      </c>
      <c r="F183" s="17" t="inlineStr">
        <is>
          <t>EMPRESA</t>
        </is>
      </c>
      <c r="G183" s="23" t="inlineStr">
        <is>
          <t>10175332796</t>
        </is>
      </c>
      <c r="H183" s="25">
        <f t="array" ref="H183">IF(G183="","",IFERROR(IF(INDEX(Clientes!$D$5:$D$549,MATCH(G183,Clientes!$C$5:$C$549,0))&lt;&gt;"",INDEX(Clientes!$D$5:$D$549,MATCH(G183,Clientes!$C$5:$C$549,0)),TRIM(INDEX(Clientes!$E$5:$E$549,MATCH(G183,Clientes!$C$5:$C$549,0))&amp;" "&amp;INDEX(Clientes!$F$5:$F$549,MATCH(G183,Clientes!$C$5:$C$549,0)))),"NO EXISTE en Clientes"))</f>
        <v/>
      </c>
      <c r="I183" s="17" t="inlineStr">
        <is>
          <t>DISPONIBLE</t>
        </is>
      </c>
      <c r="J183" s="17" t="inlineStr">
        <is>
          <t>ALMACEN PRINCIPAL</t>
        </is>
      </c>
      <c r="K183" s="23" t="n"/>
      <c r="L183" s="25">
        <f t="array" ref="L183">IF(K183="","",IFERROR(IF(INDEX(Clientes!$D$5:$D$549,MATCH(K183,Clientes!$C$5:$C$549,0))&lt;&gt;"",INDEX(Clientes!$D$5:$D$549,MATCH(K183,Clientes!$C$5:$C$549,0)),TRIM(INDEX(Clientes!$E$5:$E$549,MATCH(K183,Clientes!$C$5:$C$549,0))&amp;" "&amp;INDEX(Clientes!$F$5:$F$549,MATCH(K183,Clientes!$C$5:$C$549,0)))),"NO EXISTE en Clientes"))</f>
        <v/>
      </c>
      <c r="M183" s="17" t="n">
        <v>2020</v>
      </c>
      <c r="N183" s="17" t="n">
        <v>9</v>
      </c>
      <c r="O183" s="42" t="n">
        <v>44075</v>
      </c>
      <c r="P183" s="39">
        <f>IF(O183&lt;&gt;"",DATE(YEAR(O183)+10,MONTH(O183),1),IF(AND(M183&lt;&gt;"",N183&lt;&gt;""),DATE(M183+5,N183,1),""))</f>
        <v/>
      </c>
      <c r="Q183" s="23" t="n"/>
      <c r="R183" s="17" t="inlineStr">
        <is>
          <t>JD</t>
        </is>
      </c>
      <c r="S183" s="17" t="inlineStr">
        <is>
          <t>TS</t>
        </is>
      </c>
      <c r="T183" s="17" t="n">
        <v>2800</v>
      </c>
      <c r="U183" s="17" t="inlineStr">
        <is>
          <t>AMERICANA</t>
        </is>
      </c>
      <c r="V183" s="23" t="n"/>
      <c r="W183" s="17" t="n"/>
      <c r="X183" s="17" t="inlineStr">
        <is>
          <t>PH ORIGINAL</t>
        </is>
      </c>
      <c r="Y183" s="28">
        <f>IF(B183&lt;&gt;"OK","","SELECT bal_crear_balon(p_codigo_balon =&gt; "&amp;IF(TRIM(C183&amp;"")="","NULL","'"&amp;SUBSTITUTE(TRIM(C183),"'","''")&amp;"'")&amp;", p_id_tipo_balon =&gt; "&amp;"(SELECT id FROM bal_tipo_balon WHERE upper(nombre) = upper('"&amp;SUBSTITUTE(TRIM(D183),"'","''")&amp;"') AND estado = 1 LIMIT 1)"&amp;", p_id_producto_gas =&gt; "&amp;"(SELECT id FROM pro_producto WHERE es_gas = TRUE AND upper(nombre) = upper('"&amp;SUBSTITUTE(TRIM(E183),"'","''")&amp;"') AND estado = 1 LIMIT 1)"&amp;", p_id_propietario =&gt; "&amp;IF(TRIM(F183&amp;"")="","NULL","(SELECT lo.id FROM gen_lista_opciones lo JOIN gen_lista l ON l.id = lo.id_lista WHERE l.nombre = 'PropietarioBalon' AND upper(lo.nombre) = upper('"&amp;SUBSTITUTE(TRIM(F183),"'","''")&amp;"') AND lo.estado = 1 LIMIT 1)")&amp;", p_id_cliente_propietario =&gt; "&amp;IF(F183="CLIENTE",IF(TRIM(G183&amp;"")="","NULL","(SELECT id FROM cli_clientes WHERE numero_documento = '"&amp;SUBSTITUTE(TRIM(G183),"'","''")&amp;"' AND estado = 1 LIMIT 1)"),"NULL")&amp;", p_id_planta =&gt; "&amp;IF(F183="PLANTA",IF(TRIM(G183&amp;"")="","NULL","(SELECT id FROM cli_clientes WHERE numero_documento = '"&amp;SUBSTITUTE(TRIM(G183),"'","''")&amp;"'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"&amp;IF(TRIM(J183&amp;"")="","NULL","(SELECT id FROM gen_almacen WHERE upper(nombre) = upper('"&amp;SUBSTITUTE(TRIM(J183),"'","''")&amp;"') AND estado = 1 LIMIT 1)")&amp;", p_id_cliente_ubicacion =&gt; "&amp;IF(TRIM(K183&amp;"")="","NULL","(SELECT id FROM cli_clientes WHERE numero_documento = '"&amp;SUBSTITUTE(TRIM(K183),"'","''")&amp;"' AND estado = 1 LIMIT 1)")&amp;", p_id_referencia =&gt; "&amp;IF(TRIM(J183&amp;"")&lt;&gt;"","(SELECT lo.id FROM gen_lista_opciones lo JOIN gen_lista l ON l.id = lo.id_lista WHERE l.nombre = 'ReferenciaCilindro' AND upper(lo.nombre) = 'ALMACEN' AND lo.estado = 1 LIMIT 1)",IF(TRIM(K183&amp;"")&lt;&gt;"","(SELECT lo.id FROM gen_lista_opciones lo JOIN gen_lista l ON l.id = lo.id_lista WHERE l.nombre = 'ReferenciaCilindro' AND upper(lo.nombre) = 'CLIENTE' AND lo.estado = 1 LIMIT 1)","NULL"))&amp;", p_anio_fabricacion =&gt; "&amp;IF(M183&amp;""="","NULL::smallint",M183&amp;"::smallint")&amp;", p_mes_fabricacion =&gt; "&amp;IF(N183&amp;""="","NULL::smallint",N183&amp;"::smallint")&amp;", p_fecha_ultima_prueba_hidrostatica =&gt; "&amp;IF(O183&amp;""="","NULL","'"&amp;YEAR(O183)&amp;"-"&amp;TEXT(MONTH(O183),"00")&amp;"-"&amp;TEXT(DAY(O183),"00")&amp;"'")&amp;", p_numero_serie =&gt; "&amp;IF(TRIM(Q183&amp;"")="","NULL","'"&amp;SUBSTITUTE(TRIM(Q183),"'","''")&amp;"'")&amp;", p_id_marca_cilindro =&gt; "&amp;IF(TRIM(R183&amp;"")="","NULL","(SELECT lo.id FROM gen_lista_opciones lo JOIN gen_lista l ON l.id = lo.id_lista WHERE l.nombre = 'MarcaCilindro' AND upper(lo.nombre) = upper('"&amp;SUBSTITUTE(TRIM(R183),"'","''")&amp;"') AND lo.estado = 1 LIMIT 1)")&amp;", p_id_organo_inspector =&gt; "&amp;IF(TRIM(S183&amp;"")="","NULL","(SELECT lo.id FROM gen_lista_opciones lo JOIN gen_lista l ON l.id = lo.id_lista WHERE l.nombre = 'OrganoInspectorCilindro' AND upper(lo.nombre) = upper('"&amp;SUBSTITUTE(TRIM(S183),"'","''")&amp;"') AND lo.estado = 1 LIMIT 1)")&amp;", p_organo_inspector_no_aplica =&gt; "&amp;IF(S183="NO_APLICA","TRUE","FALSE")&amp;", p_presion_actual =&gt; "&amp;IF(T183&amp;""="","NULL",SUBSTITUTE(T183&amp;"",",","."))&amp;", p_tipo_valvula =&gt; "&amp;IF(TRIM(U183&amp;"")="","NULL","'"&amp;SUBSTITUTE(TRIM(U183),"'","''")&amp;"'")&amp;", p_libro_cilindro =&gt; "&amp;IF(TRIM(V183&amp;"")="","NULL","'"&amp;SUBSTITUTE(TRIM(V183),"'","''")&amp;"'")&amp;", p_pagina_libro =&gt; "&amp;IF(W183&amp;""="","NULL",SUBSTITUTE(W183&amp;"",",","."))&amp;", p_observacion =&gt; "&amp;IF(TRIM(X183&amp;"")="","NULL","'"&amp;SUBSTITUTE(TRIM(X183),"'","''")&amp;"'")&amp;") AS resultado_balon_"&amp;ROW()&amp;";")</f>
        <v/>
      </c>
    </row>
    <row r="184" ht="15.75" customHeight="1" s="64">
      <c r="A184" s="36" t="inlineStr">
        <is>
          <t>180</t>
        </is>
      </c>
      <c r="B184" s="25">
        <f>IF(AND(C184="",D184="",E184=""),"",IF(C184="","FALTA código balón",IF(D184="","FALTA tipo balón",IF(E184="","FALTA gas",IF(F184="","FALTA propietario",IF(AND(C184&lt;&gt;"",SUMPRODUCT(--($C$5:$C$1200=C184))&gt;1),"CÓDIGO BALÓN DUPLICADO",IF(AND(OR(UPPER(F184)="PLANTA",UPPER(F184)="CLIENTE"),G184=""),"FALTA doc propietario/planta",IF(AND(UPPER(F184)="PLANTA",G184="10175332796"),"PLANTA no puede ser RUC empresa","OK"))))))))</f>
        <v/>
      </c>
      <c r="C184" s="23" t="inlineStr">
        <is>
          <t>21Y281015</t>
        </is>
      </c>
      <c r="D184" s="17" t="inlineStr">
        <is>
          <t>Oxígeno Industrial 10 m³</t>
        </is>
      </c>
      <c r="E184" s="17" t="inlineStr">
        <is>
          <t>OXIGENO INDUSTRIAL</t>
        </is>
      </c>
      <c r="F184" s="17" t="inlineStr">
        <is>
          <t>EMPRESA</t>
        </is>
      </c>
      <c r="G184" s="23" t="inlineStr">
        <is>
          <t>10175332796</t>
        </is>
      </c>
      <c r="H184" s="25">
        <f t="array" ref="H184">IF(G184="","",IFERROR(IF(INDEX(Clientes!$D$5:$D$549,MATCH(G184,Clientes!$C$5:$C$549,0))&lt;&gt;"",INDEX(Clientes!$D$5:$D$549,MATCH(G184,Clientes!$C$5:$C$549,0)),TRIM(INDEX(Clientes!$E$5:$E$549,MATCH(G184,Clientes!$C$5:$C$549,0))&amp;" "&amp;INDEX(Clientes!$F$5:$F$549,MATCH(G184,Clientes!$C$5:$C$549,0)))),"NO EXISTE en Clientes"))</f>
        <v/>
      </c>
      <c r="I184" s="17" t="inlineStr">
        <is>
          <t>DISPONIBLE</t>
        </is>
      </c>
      <c r="J184" s="17" t="inlineStr">
        <is>
          <t>ALMACEN PRINCIPAL</t>
        </is>
      </c>
      <c r="K184" s="23" t="n"/>
      <c r="L184" s="25">
        <f t="array" ref="L184">IF(K184="","",IFERROR(IF(INDEX(Clientes!$D$5:$D$549,MATCH(K184,Clientes!$C$5:$C$549,0))&lt;&gt;"",INDEX(Clientes!$D$5:$D$549,MATCH(K184,Clientes!$C$5:$C$549,0)),TRIM(INDEX(Clientes!$E$5:$E$549,MATCH(K184,Clientes!$C$5:$C$549,0))&amp;" "&amp;INDEX(Clientes!$F$5:$F$549,MATCH(K184,Clientes!$C$5:$C$549,0)))),"NO EXISTE en Clientes"))</f>
        <v/>
      </c>
      <c r="M184" s="17" t="n">
        <v>2021</v>
      </c>
      <c r="N184" s="17" t="n">
        <v>5</v>
      </c>
      <c r="O184" s="42" t="n">
        <v>44317</v>
      </c>
      <c r="P184" s="39">
        <f>IF(O184&lt;&gt;"",DATE(YEAR(O184)+10,MONTH(O184),1),IF(AND(M184&lt;&gt;"",N184&lt;&gt;""),DATE(M184+5,N184,1),""))</f>
        <v/>
      </c>
      <c r="Q184" s="23" t="n"/>
      <c r="R184" s="17" t="inlineStr">
        <is>
          <t>YA</t>
        </is>
      </c>
      <c r="S184" s="17" t="inlineStr">
        <is>
          <t>TRIANGULO</t>
        </is>
      </c>
      <c r="T184" s="17" t="n">
        <v>2800</v>
      </c>
      <c r="U184" s="17" t="inlineStr">
        <is>
          <t>CHINA</t>
        </is>
      </c>
      <c r="V184" s="23" t="n"/>
      <c r="W184" s="17" t="n"/>
      <c r="X184" s="17" t="inlineStr">
        <is>
          <t>PH ORIGINAL</t>
        </is>
      </c>
      <c r="Y184" s="28">
        <f>IF(B184&lt;&gt;"OK","","SELECT bal_crear_balon(p_codigo_balon =&gt; "&amp;IF(TRIM(C184&amp;"")="","NULL","'"&amp;SUBSTITUTE(TRIM(C184),"'","''")&amp;"'")&amp;", p_id_tipo_balon =&gt; "&amp;"(SELECT id FROM bal_tipo_balon WHERE upper(nombre) = upper('"&amp;SUBSTITUTE(TRIM(D184),"'","''")&amp;"') AND estado = 1 LIMIT 1)"&amp;", p_id_producto_gas =&gt; "&amp;"(SELECT id FROM pro_producto WHERE es_gas = TRUE AND upper(nombre) = upper('"&amp;SUBSTITUTE(TRIM(E184),"'","''")&amp;"') AND estado = 1 LIMIT 1)"&amp;", p_id_propietario =&gt; "&amp;IF(TRIM(F184&amp;"")="","NULL","(SELECT lo.id FROM gen_lista_opciones lo JOIN gen_lista l ON l.id = lo.id_lista WHERE l.nombre = 'PropietarioBalon' AND upper(lo.nombre) = upper('"&amp;SUBSTITUTE(TRIM(F184),"'","''")&amp;"') AND lo.estado = 1 LIMIT 1)")&amp;", p_id_cliente_propietario =&gt; "&amp;IF(F184="CLIENTE",IF(TRIM(G184&amp;"")="","NULL","(SELECT id FROM cli_clientes WHERE numero_documento = '"&amp;SUBSTITUTE(TRIM(G184),"'","''")&amp;"' AND estado = 1 LIMIT 1)"),"NULL")&amp;", p_id_planta =&gt; "&amp;IF(F184="PLANTA",IF(TRIM(G184&amp;"")="","NULL","(SELECT id FROM cli_clientes WHERE numero_documento = '"&amp;SUBSTITUTE(TRIM(G184),"'","''")&amp;"'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"&amp;IF(TRIM(J184&amp;"")="","NULL","(SELECT id FROM gen_almacen WHERE upper(nombre) = upper('"&amp;SUBSTITUTE(TRIM(J184),"'","''")&amp;"') AND estado = 1 LIMIT 1)")&amp;", p_id_cliente_ubicacion =&gt; "&amp;IF(TRIM(K184&amp;"")="","NULL","(SELECT id FROM cli_clientes WHERE numero_documento = '"&amp;SUBSTITUTE(TRIM(K184),"'","''")&amp;"' AND estado = 1 LIMIT 1)")&amp;", p_id_referencia =&gt; "&amp;IF(TRIM(J184&amp;"")&lt;&gt;"","(SELECT lo.id FROM gen_lista_opciones lo JOIN gen_lista l ON l.id = lo.id_lista WHERE l.nombre = 'ReferenciaCilindro' AND upper(lo.nombre) = 'ALMACEN' AND lo.estado = 1 LIMIT 1)",IF(TRIM(K184&amp;"")&lt;&gt;"","(SELECT lo.id FROM gen_lista_opciones lo JOIN gen_lista l ON l.id = lo.id_lista WHERE l.nombre = 'ReferenciaCilindro' AND upper(lo.nombre) = 'CLIENTE' AND lo.estado = 1 LIMIT 1)","NULL"))&amp;", p_anio_fabricacion =&gt; "&amp;IF(M184&amp;""="","NULL::smallint",M184&amp;"::smallint")&amp;", p_mes_fabricacion =&gt; "&amp;IF(N184&amp;""="","NULL::smallint",N184&amp;"::smallint")&amp;", p_fecha_ultima_prueba_hidrostatica =&gt; "&amp;IF(O184&amp;""="","NULL","'"&amp;YEAR(O184)&amp;"-"&amp;TEXT(MONTH(O184),"00")&amp;"-"&amp;TEXT(DAY(O184),"00")&amp;"'")&amp;", p_numero_serie =&gt; "&amp;IF(TRIM(Q184&amp;"")="","NULL","'"&amp;SUBSTITUTE(TRIM(Q184),"'","''")&amp;"'")&amp;", p_id_marca_cilindro =&gt; "&amp;IF(TRIM(R184&amp;"")="","NULL","(SELECT lo.id FROM gen_lista_opciones lo JOIN gen_lista l ON l.id = lo.id_lista WHERE l.nombre = 'MarcaCilindro' AND upper(lo.nombre) = upper('"&amp;SUBSTITUTE(TRIM(R184),"'","''")&amp;"') AND lo.estado = 1 LIMIT 1)")&amp;", p_id_organo_inspector =&gt; "&amp;IF(TRIM(S184&amp;"")="","NULL","(SELECT lo.id FROM gen_lista_opciones lo JOIN gen_lista l ON l.id = lo.id_lista WHERE l.nombre = 'OrganoInspectorCilindro' AND upper(lo.nombre) = upper('"&amp;SUBSTITUTE(TRIM(S184),"'","''")&amp;"') AND lo.estado = 1 LIMIT 1)")&amp;", p_organo_inspector_no_aplica =&gt; "&amp;IF(S184="NO_APLICA","TRUE","FALSE")&amp;", p_presion_actual =&gt; "&amp;IF(T184&amp;""="","NULL",SUBSTITUTE(T184&amp;"",",","."))&amp;", p_tipo_valvula =&gt; "&amp;IF(TRIM(U184&amp;"")="","NULL","'"&amp;SUBSTITUTE(TRIM(U184),"'","''")&amp;"'")&amp;", p_libro_cilindro =&gt; "&amp;IF(TRIM(V184&amp;"")="","NULL","'"&amp;SUBSTITUTE(TRIM(V184),"'","''")&amp;"'")&amp;", p_pagina_libro =&gt; "&amp;IF(W184&amp;""="","NULL",SUBSTITUTE(W184&amp;"",",","."))&amp;", p_observacion =&gt; "&amp;IF(TRIM(X184&amp;"")="","NULL","'"&amp;SUBSTITUTE(TRIM(X184),"'","''")&amp;"'")&amp;") AS resultado_balon_"&amp;ROW()&amp;";")</f>
        <v/>
      </c>
    </row>
    <row r="185" ht="15.75" customHeight="1" s="64">
      <c r="A185" s="36" t="inlineStr">
        <is>
          <t>181</t>
        </is>
      </c>
      <c r="B185" s="25">
        <f>IF(AND(C185="",D185="",E185=""),"",IF(C185="","FALTA código balón",IF(D185="","FALTA tipo balón",IF(E185="","FALTA gas",IF(F185="","FALTA propietario",IF(AND(C185&lt;&gt;"",SUMPRODUCT(--($C$5:$C$1200=C185))&gt;1),"CÓDIGO BALÓN DUPLICADO",IF(AND(OR(UPPER(F185)="PLANTA",UPPER(F185)="CLIENTE"),G185=""),"FALTA doc propietario/planta",IF(AND(UPPER(F185)="PLANTA",G185="10175332796"),"PLANTA no puede ser RUC empresa","OK"))))))))</f>
        <v/>
      </c>
      <c r="C185" s="23" t="inlineStr">
        <is>
          <t>19X218057</t>
        </is>
      </c>
      <c r="D185" s="17" t="inlineStr">
        <is>
          <t>Oxígeno Industrial 10 m³</t>
        </is>
      </c>
      <c r="E185" s="17" t="inlineStr">
        <is>
          <t>OXIGENO INDUSTRIAL</t>
        </is>
      </c>
      <c r="F185" s="17" t="inlineStr">
        <is>
          <t>EMPRESA</t>
        </is>
      </c>
      <c r="G185" s="23" t="inlineStr">
        <is>
          <t>10175332796</t>
        </is>
      </c>
      <c r="H185" s="25">
        <f t="array" ref="H185">IF(G185="","",IFERROR(IF(INDEX(Clientes!$D$5:$D$549,MATCH(G185,Clientes!$C$5:$C$549,0))&lt;&gt;"",INDEX(Clientes!$D$5:$D$549,MATCH(G185,Clientes!$C$5:$C$549,0)),TRIM(INDEX(Clientes!$E$5:$E$549,MATCH(G185,Clientes!$C$5:$C$549,0))&amp;" "&amp;INDEX(Clientes!$F$5:$F$549,MATCH(G185,Clientes!$C$5:$C$549,0)))),"NO EXISTE en Clientes"))</f>
        <v/>
      </c>
      <c r="I185" s="17" t="inlineStr">
        <is>
          <t>DISPONIBLE</t>
        </is>
      </c>
      <c r="J185" s="17" t="inlineStr">
        <is>
          <t>ALMACEN PRINCIPAL</t>
        </is>
      </c>
      <c r="K185" s="23" t="n"/>
      <c r="L185" s="25">
        <f t="array" ref="L185">IF(K185="","",IFERROR(IF(INDEX(Clientes!$D$5:$D$549,MATCH(K185,Clientes!$C$5:$C$549,0))&lt;&gt;"",INDEX(Clientes!$D$5:$D$549,MATCH(K185,Clientes!$C$5:$C$549,0)),TRIM(INDEX(Clientes!$E$5:$E$549,MATCH(K185,Clientes!$C$5:$C$549,0))&amp;" "&amp;INDEX(Clientes!$F$5:$F$549,MATCH(K185,Clientes!$C$5:$C$549,0)))),"NO EXISTE en Clientes"))</f>
        <v/>
      </c>
      <c r="M185" s="17" t="n">
        <v>2019</v>
      </c>
      <c r="N185" s="17" t="n">
        <v>9</v>
      </c>
      <c r="O185" s="42" t="n">
        <v>43709</v>
      </c>
      <c r="P185" s="39">
        <f>IF(O185&lt;&gt;"",DATE(YEAR(O185)+10,MONTH(O185),1),IF(AND(M185&lt;&gt;"",N185&lt;&gt;""),DATE(M185+5,N185,1),""))</f>
        <v/>
      </c>
      <c r="Q185" s="23" t="n"/>
      <c r="R185" s="17" t="inlineStr">
        <is>
          <t>OXIGENO CRISTIAN</t>
        </is>
      </c>
      <c r="S185" s="17" t="inlineStr">
        <is>
          <t>OTRO</t>
        </is>
      </c>
      <c r="T185" s="17" t="n">
        <v>2800</v>
      </c>
      <c r="U185" s="17" t="inlineStr">
        <is>
          <t>AMERICANA</t>
        </is>
      </c>
      <c r="V185" s="23" t="n"/>
      <c r="W185" s="17" t="n"/>
      <c r="X185" s="17" t="inlineStr">
        <is>
          <t>PH ORIGINAL</t>
        </is>
      </c>
      <c r="Y185" s="28">
        <f>IF(B185&lt;&gt;"OK","","SELECT bal_crear_balon(p_codigo_balon =&gt; "&amp;IF(TRIM(C185&amp;"")="","NULL","'"&amp;SUBSTITUTE(TRIM(C185),"'","''")&amp;"'")&amp;", p_id_tipo_balon =&gt; "&amp;"(SELECT id FROM bal_tipo_balon WHERE upper(nombre) = upper('"&amp;SUBSTITUTE(TRIM(D185),"'","''")&amp;"') AND estado = 1 LIMIT 1)"&amp;", p_id_producto_gas =&gt; "&amp;"(SELECT id FROM pro_producto WHERE es_gas = TRUE AND upper(nombre) = upper('"&amp;SUBSTITUTE(TRIM(E185),"'","''")&amp;"') AND estado = 1 LIMIT 1)"&amp;", p_id_propietario =&gt; "&amp;IF(TRIM(F185&amp;"")="","NULL","(SELECT lo.id FROM gen_lista_opciones lo JOIN gen_lista l ON l.id = lo.id_lista WHERE l.nombre = 'PropietarioBalon' AND upper(lo.nombre) = upper('"&amp;SUBSTITUTE(TRIM(F185),"'","''")&amp;"') AND lo.estado = 1 LIMIT 1)")&amp;", p_id_cliente_propietario =&gt; "&amp;IF(F185="CLIENTE",IF(TRIM(G185&amp;"")="","NULL","(SELECT id FROM cli_clientes WHERE numero_documento = '"&amp;SUBSTITUTE(TRIM(G185),"'","''")&amp;"' AND estado = 1 LIMIT 1)"),"NULL")&amp;", p_id_planta =&gt; "&amp;IF(F185="PLANTA",IF(TRIM(G185&amp;"")="","NULL","(SELECT id FROM cli_clientes WHERE numero_documento = '"&amp;SUBSTITUTE(TRIM(G185),"'","''")&amp;"'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"&amp;IF(TRIM(J185&amp;"")="","NULL","(SELECT id FROM gen_almacen WHERE upper(nombre) = upper('"&amp;SUBSTITUTE(TRIM(J185),"'","''")&amp;"') AND estado = 1 LIMIT 1)")&amp;", p_id_cliente_ubicacion =&gt; "&amp;IF(TRIM(K185&amp;"")="","NULL","(SELECT id FROM cli_clientes WHERE numero_documento = '"&amp;SUBSTITUTE(TRIM(K185),"'","''")&amp;"' AND estado = 1 LIMIT 1)")&amp;", p_id_referencia =&gt; "&amp;IF(TRIM(J185&amp;"")&lt;&gt;"","(SELECT lo.id FROM gen_lista_opciones lo JOIN gen_lista l ON l.id = lo.id_lista WHERE l.nombre = 'ReferenciaCilindro' AND upper(lo.nombre) = 'ALMACEN' AND lo.estado = 1 LIMIT 1)",IF(TRIM(K185&amp;"")&lt;&gt;"","(SELECT lo.id FROM gen_lista_opciones lo JOIN gen_lista l ON l.id = lo.id_lista WHERE l.nombre = 'ReferenciaCilindro' AND upper(lo.nombre) = 'CLIENTE' AND lo.estado = 1 LIMIT 1)","NULL"))&amp;", p_anio_fabricacion =&gt; "&amp;IF(M185&amp;""="","NULL::smallint",M185&amp;"::smallint")&amp;", p_mes_fabricacion =&gt; "&amp;IF(N185&amp;""="","NULL::smallint",N185&amp;"::smallint")&amp;", p_fecha_ultima_prueba_hidrostatica =&gt; "&amp;IF(O185&amp;""="","NULL","'"&amp;YEAR(O185)&amp;"-"&amp;TEXT(MONTH(O185),"00")&amp;"-"&amp;TEXT(DAY(O185),"00")&amp;"'")&amp;", p_numero_serie =&gt; "&amp;IF(TRIM(Q185&amp;"")="","NULL","'"&amp;SUBSTITUTE(TRIM(Q185),"'","''")&amp;"'")&amp;", p_id_marca_cilindro =&gt; "&amp;IF(TRIM(R185&amp;"")="","NULL","(SELECT lo.id FROM gen_lista_opciones lo JOIN gen_lista l ON l.id = lo.id_lista WHERE l.nombre = 'MarcaCilindro' AND upper(lo.nombre) = upper('"&amp;SUBSTITUTE(TRIM(R185),"'","''")&amp;"') AND lo.estado = 1 LIMIT 1)")&amp;", p_id_organo_inspector =&gt; "&amp;IF(TRIM(S185&amp;"")="","NULL","(SELECT lo.id FROM gen_lista_opciones lo JOIN gen_lista l ON l.id = lo.id_lista WHERE l.nombre = 'OrganoInspectorCilindro' AND upper(lo.nombre) = upper('"&amp;SUBSTITUTE(TRIM(S185),"'","''")&amp;"') AND lo.estado = 1 LIMIT 1)")&amp;", p_organo_inspector_no_aplica =&gt; "&amp;IF(S185="NO_APLICA","TRUE","FALSE")&amp;", p_presion_actual =&gt; "&amp;IF(T185&amp;""="","NULL",SUBSTITUTE(T185&amp;"",",","."))&amp;", p_tipo_valvula =&gt; "&amp;IF(TRIM(U185&amp;"")="","NULL","'"&amp;SUBSTITUTE(TRIM(U185),"'","''")&amp;"'")&amp;", p_libro_cilindro =&gt; "&amp;IF(TRIM(V185&amp;"")="","NULL","'"&amp;SUBSTITUTE(TRIM(V185),"'","''")&amp;"'")&amp;", p_pagina_libro =&gt; "&amp;IF(W185&amp;""="","NULL",SUBSTITUTE(W185&amp;"",",","."))&amp;", p_observacion =&gt; "&amp;IF(TRIM(X185&amp;"")="","NULL","'"&amp;SUBSTITUTE(TRIM(X185),"'","''")&amp;"'")&amp;") AS resultado_balon_"&amp;ROW()&amp;";")</f>
        <v/>
      </c>
    </row>
    <row r="186" ht="15.75" customHeight="1" s="64">
      <c r="A186" s="36" t="inlineStr">
        <is>
          <t>182</t>
        </is>
      </c>
      <c r="B186" s="25">
        <f>IF(AND(C186="",D186="",E186=""),"",IF(C186="","FALTA código balón",IF(D186="","FALTA tipo balón",IF(E186="","FALTA gas",IF(F186="","FALTA propietario",IF(AND(C186&lt;&gt;"",SUMPRODUCT(--($C$5:$C$1200=C186))&gt;1),"CÓDIGO BALÓN DUPLICADO",IF(AND(OR(UPPER(F186)="PLANTA",UPPER(F186)="CLIENTE"),G186=""),"FALTA doc propietario/planta",IF(AND(UPPER(F186)="PLANTA",G186="10175332796"),"PLANTA no puede ser RUC empresa","OK"))))))))</f>
        <v/>
      </c>
      <c r="C186" s="23" t="inlineStr">
        <is>
          <t>21K270141</t>
        </is>
      </c>
      <c r="D186" s="17" t="inlineStr">
        <is>
          <t>Oxígeno Industrial 10 m³</t>
        </is>
      </c>
      <c r="E186" s="17" t="inlineStr">
        <is>
          <t>OXIGENO INDUSTRIAL</t>
        </is>
      </c>
      <c r="F186" s="17" t="inlineStr">
        <is>
          <t>EMPRESA</t>
        </is>
      </c>
      <c r="G186" s="23" t="inlineStr">
        <is>
          <t>10175332796</t>
        </is>
      </c>
      <c r="H186" s="25">
        <f t="array" ref="H186">IF(G186="","",IFERROR(IF(INDEX(Clientes!$D$5:$D$549,MATCH(G186,Clientes!$C$5:$C$549,0))&lt;&gt;"",INDEX(Clientes!$D$5:$D$549,MATCH(G186,Clientes!$C$5:$C$549,0)),TRIM(INDEX(Clientes!$E$5:$E$549,MATCH(G186,Clientes!$C$5:$C$549,0))&amp;" "&amp;INDEX(Clientes!$F$5:$F$549,MATCH(G186,Clientes!$C$5:$C$549,0)))),"NO EXISTE en Clientes"))</f>
        <v/>
      </c>
      <c r="I186" s="17" t="inlineStr">
        <is>
          <t>DISPONIBLE</t>
        </is>
      </c>
      <c r="J186" s="17" t="inlineStr">
        <is>
          <t>ALMACEN PRINCIPAL</t>
        </is>
      </c>
      <c r="K186" s="23" t="n"/>
      <c r="L186" s="25">
        <f t="array" ref="L186">IF(K186="","",IFERROR(IF(INDEX(Clientes!$D$5:$D$549,MATCH(K186,Clientes!$C$5:$C$549,0))&lt;&gt;"",INDEX(Clientes!$D$5:$D$549,MATCH(K186,Clientes!$C$5:$C$549,0)),TRIM(INDEX(Clientes!$E$5:$E$549,MATCH(K186,Clientes!$C$5:$C$549,0))&amp;" "&amp;INDEX(Clientes!$F$5:$F$549,MATCH(K186,Clientes!$C$5:$C$549,0)))),"NO EXISTE en Clientes"))</f>
        <v/>
      </c>
      <c r="M186" s="17" t="n">
        <v>2021</v>
      </c>
      <c r="N186" s="17" t="n">
        <v>4</v>
      </c>
      <c r="O186" s="42" t="n">
        <v>44287</v>
      </c>
      <c r="P186" s="39">
        <f>IF(O186&lt;&gt;"",DATE(YEAR(O186)+10,MONTH(O186),1),IF(AND(M186&lt;&gt;"",N186&lt;&gt;""),DATE(M186+5,N186,1),""))</f>
        <v/>
      </c>
      <c r="Q186" s="23" t="n"/>
      <c r="R186" s="17" t="inlineStr">
        <is>
          <t>JP</t>
        </is>
      </c>
      <c r="S186" s="17" t="inlineStr">
        <is>
          <t>HEXAGONAL (0036)</t>
        </is>
      </c>
      <c r="T186" s="17" t="n">
        <v>2800</v>
      </c>
      <c r="U186" s="17" t="inlineStr">
        <is>
          <t>AMERICANA</t>
        </is>
      </c>
      <c r="V186" s="23" t="n"/>
      <c r="W186" s="17" t="n"/>
      <c r="X186" s="17" t="inlineStr">
        <is>
          <t>PH ORIGINAL</t>
        </is>
      </c>
      <c r="Y186" s="28">
        <f>IF(B186&lt;&gt;"OK","","SELECT bal_crear_balon(p_codigo_balon =&gt; "&amp;IF(TRIM(C186&amp;"")="","NULL","'"&amp;SUBSTITUTE(TRIM(C186),"'","''")&amp;"'")&amp;", p_id_tipo_balon =&gt; "&amp;"(SELECT id FROM bal_tipo_balon WHERE upper(nombre) = upper('"&amp;SUBSTITUTE(TRIM(D186),"'","''")&amp;"') AND estado = 1 LIMIT 1)"&amp;", p_id_producto_gas =&gt; "&amp;"(SELECT id FROM pro_producto WHERE es_gas = TRUE AND upper(nombre) = upper('"&amp;SUBSTITUTE(TRIM(E186),"'","''")&amp;"') AND estado = 1 LIMIT 1)"&amp;", p_id_propietario =&gt; "&amp;IF(TRIM(F186&amp;"")="","NULL","(SELECT lo.id FROM gen_lista_opciones lo JOIN gen_lista l ON l.id = lo.id_lista WHERE l.nombre = 'PropietarioBalon' AND upper(lo.nombre) = upper('"&amp;SUBSTITUTE(TRIM(F186),"'","''")&amp;"') AND lo.estado = 1 LIMIT 1)")&amp;", p_id_cliente_propietario =&gt; "&amp;IF(F186="CLIENTE",IF(TRIM(G186&amp;"")="","NULL","(SELECT id FROM cli_clientes WHERE numero_documento = '"&amp;SUBSTITUTE(TRIM(G186),"'","''")&amp;"' AND estado = 1 LIMIT 1)"),"NULL")&amp;", p_id_planta =&gt; "&amp;IF(F186="PLANTA",IF(TRIM(G186&amp;"")="","NULL","(SELECT id FROM cli_clientes WHERE numero_documento = '"&amp;SUBSTITUTE(TRIM(G186),"'","''")&amp;"'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"&amp;IF(TRIM(J186&amp;"")="","NULL","(SELECT id FROM gen_almacen WHERE upper(nombre) = upper('"&amp;SUBSTITUTE(TRIM(J186),"'","''")&amp;"') AND estado = 1 LIMIT 1)")&amp;", p_id_cliente_ubicacion =&gt; "&amp;IF(TRIM(K186&amp;"")="","NULL","(SELECT id FROM cli_clientes WHERE numero_documento = '"&amp;SUBSTITUTE(TRIM(K186),"'","''")&amp;"' AND estado = 1 LIMIT 1)")&amp;", p_id_referencia =&gt; "&amp;IF(TRIM(J186&amp;"")&lt;&gt;"","(SELECT lo.id FROM gen_lista_opciones lo JOIN gen_lista l ON l.id = lo.id_lista WHERE l.nombre = 'ReferenciaCilindro' AND upper(lo.nombre) = 'ALMACEN' AND lo.estado = 1 LIMIT 1)",IF(TRIM(K186&amp;"")&lt;&gt;"","(SELECT lo.id FROM gen_lista_opciones lo JOIN gen_lista l ON l.id = lo.id_lista WHERE l.nombre = 'ReferenciaCilindro' AND upper(lo.nombre) = 'CLIENTE' AND lo.estado = 1 LIMIT 1)","NULL"))&amp;", p_anio_fabricacion =&gt; "&amp;IF(M186&amp;""="","NULL::smallint",M186&amp;"::smallint")&amp;", p_mes_fabricacion =&gt; "&amp;IF(N186&amp;""="","NULL::smallint",N186&amp;"::smallint")&amp;", p_fecha_ultima_prueba_hidrostatica =&gt; "&amp;IF(O186&amp;""="","NULL","'"&amp;YEAR(O186)&amp;"-"&amp;TEXT(MONTH(O186),"00")&amp;"-"&amp;TEXT(DAY(O186),"00")&amp;"'")&amp;", p_numero_serie =&gt; "&amp;IF(TRIM(Q186&amp;"")="","NULL","'"&amp;SUBSTITUTE(TRIM(Q186),"'","''")&amp;"'")&amp;", p_id_marca_cilindro =&gt; "&amp;IF(TRIM(R186&amp;"")="","NULL","(SELECT lo.id FROM gen_lista_opciones lo JOIN gen_lista l ON l.id = lo.id_lista WHERE l.nombre = 'MarcaCilindro' AND upper(lo.nombre) = upper('"&amp;SUBSTITUTE(TRIM(R186),"'","''")&amp;"') AND lo.estado = 1 LIMIT 1)")&amp;", p_id_organo_inspector =&gt; "&amp;IF(TRIM(S186&amp;"")="","NULL","(SELECT lo.id FROM gen_lista_opciones lo JOIN gen_lista l ON l.id = lo.id_lista WHERE l.nombre = 'OrganoInspectorCilindro' AND upper(lo.nombre) = upper('"&amp;SUBSTITUTE(TRIM(S186),"'","''")&amp;"') AND lo.estado = 1 LIMIT 1)")&amp;", p_organo_inspector_no_aplica =&gt; "&amp;IF(S186="NO_APLICA","TRUE","FALSE")&amp;", p_presion_actual =&gt; "&amp;IF(T186&amp;""="","NULL",SUBSTITUTE(T186&amp;"",",","."))&amp;", p_tipo_valvula =&gt; "&amp;IF(TRIM(U186&amp;"")="","NULL","'"&amp;SUBSTITUTE(TRIM(U186),"'","''")&amp;"'")&amp;", p_libro_cilindro =&gt; "&amp;IF(TRIM(V186&amp;"")="","NULL","'"&amp;SUBSTITUTE(TRIM(V186),"'","''")&amp;"'")&amp;", p_pagina_libro =&gt; "&amp;IF(W186&amp;""="","NULL",SUBSTITUTE(W186&amp;"",",","."))&amp;", p_observacion =&gt; "&amp;IF(TRIM(X186&amp;"")="","NULL","'"&amp;SUBSTITUTE(TRIM(X186),"'","''")&amp;"'")&amp;") AS resultado_balon_"&amp;ROW()&amp;";")</f>
        <v/>
      </c>
    </row>
    <row r="187" ht="15.75" customHeight="1" s="64">
      <c r="A187" s="36" t="inlineStr">
        <is>
          <t>183</t>
        </is>
      </c>
      <c r="B187" s="25">
        <f>IF(AND(C187="",D187="",E187=""),"",IF(C187="","FALTA código balón",IF(D187="","FALTA tipo balón",IF(E187="","FALTA gas",IF(F187="","FALTA propietario",IF(AND(C187&lt;&gt;"",SUMPRODUCT(--($C$5:$C$1200=C187))&gt;1),"CÓDIGO BALÓN DUPLICADO",IF(AND(OR(UPPER(F187)="PLANTA",UPPER(F187)="CLIENTE"),G187=""),"FALTA doc propietario/planta",IF(AND(UPPER(F187)="PLANTA",G187="10175332796"),"PLANTA no puede ser RUC empresa","OK"))))))))</f>
        <v/>
      </c>
      <c r="C187" s="23" t="inlineStr">
        <is>
          <t>17K544050</t>
        </is>
      </c>
      <c r="D187" s="17" t="inlineStr">
        <is>
          <t>Oxígeno Industrial 10 m³</t>
        </is>
      </c>
      <c r="E187" s="17" t="inlineStr">
        <is>
          <t>OXIGENO INDUSTRIAL</t>
        </is>
      </c>
      <c r="F187" s="17" t="inlineStr">
        <is>
          <t>EMPRESA</t>
        </is>
      </c>
      <c r="G187" s="23" t="inlineStr">
        <is>
          <t>10175332796</t>
        </is>
      </c>
      <c r="H187" s="25">
        <f t="array" ref="H187">IF(G187="","",IFERROR(IF(INDEX(Clientes!$D$5:$D$549,MATCH(G187,Clientes!$C$5:$C$549,0))&lt;&gt;"",INDEX(Clientes!$D$5:$D$549,MATCH(G187,Clientes!$C$5:$C$549,0)),TRIM(INDEX(Clientes!$E$5:$E$549,MATCH(G187,Clientes!$C$5:$C$549,0))&amp;" "&amp;INDEX(Clientes!$F$5:$F$549,MATCH(G187,Clientes!$C$5:$C$549,0)))),"NO EXISTE en Clientes"))</f>
        <v/>
      </c>
      <c r="I187" s="17" t="inlineStr">
        <is>
          <t>DISPONIBLE</t>
        </is>
      </c>
      <c r="J187" s="17" t="inlineStr">
        <is>
          <t>ALMACEN PRINCIPAL</t>
        </is>
      </c>
      <c r="K187" s="23" t="n"/>
      <c r="L187" s="25">
        <f t="array" ref="L187">IF(K187="","",IFERROR(IF(INDEX(Clientes!$D$5:$D$549,MATCH(K187,Clientes!$C$5:$C$549,0))&lt;&gt;"",INDEX(Clientes!$D$5:$D$549,MATCH(K187,Clientes!$C$5:$C$549,0)),TRIM(INDEX(Clientes!$E$5:$E$549,MATCH(K187,Clientes!$C$5:$C$549,0))&amp;" "&amp;INDEX(Clientes!$F$5:$F$549,MATCH(K187,Clientes!$C$5:$C$549,0)))),"NO EXISTE en Clientes"))</f>
        <v/>
      </c>
      <c r="M187" s="17" t="n">
        <v>2025</v>
      </c>
      <c r="N187" s="17" t="n">
        <v>7</v>
      </c>
      <c r="O187" s="42" t="n">
        <v>45839</v>
      </c>
      <c r="P187" s="39">
        <f>IF(O187&lt;&gt;"",DATE(YEAR(O187)+10,MONTH(O187),1),IF(AND(M187&lt;&gt;"",N187&lt;&gt;""),DATE(M187+5,N187,1),""))</f>
        <v/>
      </c>
      <c r="Q187" s="23" t="n"/>
      <c r="R187" s="17" t="inlineStr">
        <is>
          <t>OXYGEN</t>
        </is>
      </c>
      <c r="S187" s="17" t="inlineStr">
        <is>
          <t>HEXAGONAL (0036)</t>
        </is>
      </c>
      <c r="T187" s="17" t="n">
        <v>2800</v>
      </c>
      <c r="U187" s="17" t="inlineStr">
        <is>
          <t>AMERICANA</t>
        </is>
      </c>
      <c r="V187" s="23" t="n"/>
      <c r="W187" s="17" t="n"/>
      <c r="X187" s="17" t="inlineStr">
        <is>
          <t>PH LINDE</t>
        </is>
      </c>
      <c r="Y187" s="28">
        <f>IF(B187&lt;&gt;"OK","","SELECT bal_crear_balon(p_codigo_balon =&gt; "&amp;IF(TRIM(C187&amp;"")="","NULL","'"&amp;SUBSTITUTE(TRIM(C187),"'","''")&amp;"'")&amp;", p_id_tipo_balon =&gt; "&amp;"(SELECT id FROM bal_tipo_balon WHERE upper(nombre) = upper('"&amp;SUBSTITUTE(TRIM(D187),"'","''")&amp;"') AND estado = 1 LIMIT 1)"&amp;", p_id_producto_gas =&gt; "&amp;"(SELECT id FROM pro_producto WHERE es_gas = TRUE AND upper(nombre) = upper('"&amp;SUBSTITUTE(TRIM(E187),"'","''")&amp;"') AND estado = 1 LIMIT 1)"&amp;", p_id_propietario =&gt; "&amp;IF(TRIM(F187&amp;"")="","NULL","(SELECT lo.id FROM gen_lista_opciones lo JOIN gen_lista l ON l.id = lo.id_lista WHERE l.nombre = 'PropietarioBalon' AND upper(lo.nombre) = upper('"&amp;SUBSTITUTE(TRIM(F187),"'","''")&amp;"') AND lo.estado = 1 LIMIT 1)")&amp;", p_id_cliente_propietario =&gt; "&amp;IF(F187="CLIENTE",IF(TRIM(G187&amp;"")="","NULL","(SELECT id FROM cli_clientes WHERE numero_documento = '"&amp;SUBSTITUTE(TRIM(G187),"'","''")&amp;"' AND estado = 1 LIMIT 1)"),"NULL")&amp;", p_id_planta =&gt; "&amp;IF(F187="PLANTA",IF(TRIM(G187&amp;"")="","NULL","(SELECT id FROM cli_clientes WHERE numero_documento = '"&amp;SUBSTITUTE(TRIM(G187),"'","''")&amp;"'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"&amp;IF(TRIM(J187&amp;"")="","NULL","(SELECT id FROM gen_almacen WHERE upper(nombre) = upper('"&amp;SUBSTITUTE(TRIM(J187),"'","''")&amp;"') AND estado = 1 LIMIT 1)")&amp;", p_id_cliente_ubicacion =&gt; "&amp;IF(TRIM(K187&amp;"")="","NULL","(SELECT id FROM cli_clientes WHERE numero_documento = '"&amp;SUBSTITUTE(TRIM(K187),"'","''")&amp;"' AND estado = 1 LIMIT 1)")&amp;", p_id_referencia =&gt; "&amp;IF(TRIM(J187&amp;"")&lt;&gt;"","(SELECT lo.id FROM gen_lista_opciones lo JOIN gen_lista l ON l.id = lo.id_lista WHERE l.nombre = 'ReferenciaCilindro' AND upper(lo.nombre) = 'ALMACEN' AND lo.estado = 1 LIMIT 1)",IF(TRIM(K187&amp;"")&lt;&gt;"","(SELECT lo.id FROM gen_lista_opciones lo JOIN gen_lista l ON l.id = lo.id_lista WHERE l.nombre = 'ReferenciaCilindro' AND upper(lo.nombre) = 'CLIENTE' AND lo.estado = 1 LIMIT 1)","NULL"))&amp;", p_anio_fabricacion =&gt; "&amp;IF(M187&amp;""="","NULL::smallint",M187&amp;"::smallint")&amp;", p_mes_fabricacion =&gt; "&amp;IF(N187&amp;""="","NULL::smallint",N187&amp;"::smallint")&amp;", p_fecha_ultima_prueba_hidrostatica =&gt; "&amp;IF(O187&amp;""="","NULL","'"&amp;YEAR(O187)&amp;"-"&amp;TEXT(MONTH(O187),"00")&amp;"-"&amp;TEXT(DAY(O187),"00")&amp;"'")&amp;", p_numero_serie =&gt; "&amp;IF(TRIM(Q187&amp;"")="","NULL","'"&amp;SUBSTITUTE(TRIM(Q187),"'","''")&amp;"'")&amp;", p_id_marca_cilindro =&gt; "&amp;IF(TRIM(R187&amp;"")="","NULL","(SELECT lo.id FROM gen_lista_opciones lo JOIN gen_lista l ON l.id = lo.id_lista WHERE l.nombre = 'MarcaCilindro' AND upper(lo.nombre) = upper('"&amp;SUBSTITUTE(TRIM(R187),"'","''")&amp;"') AND lo.estado = 1 LIMIT 1)")&amp;", p_id_organo_inspector =&gt; "&amp;IF(TRIM(S187&amp;"")="","NULL","(SELECT lo.id FROM gen_lista_opciones lo JOIN gen_lista l ON l.id = lo.id_lista WHERE l.nombre = 'OrganoInspectorCilindro' AND upper(lo.nombre) = upper('"&amp;SUBSTITUTE(TRIM(S187),"'","''")&amp;"') AND lo.estado = 1 LIMIT 1)")&amp;", p_organo_inspector_no_aplica =&gt; "&amp;IF(S187="NO_APLICA","TRUE","FALSE")&amp;", p_presion_actual =&gt; "&amp;IF(T187&amp;""="","NULL",SUBSTITUTE(T187&amp;"",",","."))&amp;", p_tipo_valvula =&gt; "&amp;IF(TRIM(U187&amp;"")="","NULL","'"&amp;SUBSTITUTE(TRIM(U187),"'","''")&amp;"'")&amp;", p_libro_cilindro =&gt; "&amp;IF(TRIM(V187&amp;"")="","NULL","'"&amp;SUBSTITUTE(TRIM(V187),"'","''")&amp;"'")&amp;", p_pagina_libro =&gt; "&amp;IF(W187&amp;""="","NULL",SUBSTITUTE(W187&amp;"",",","."))&amp;", p_observacion =&gt; "&amp;IF(TRIM(X187&amp;"")="","NULL","'"&amp;SUBSTITUTE(TRIM(X187),"'","''")&amp;"'")&amp;") AS resultado_balon_"&amp;ROW()&amp;";")</f>
        <v/>
      </c>
    </row>
    <row r="188" ht="15.75" customHeight="1" s="64">
      <c r="A188" s="36" t="inlineStr">
        <is>
          <t>184</t>
        </is>
      </c>
      <c r="B188" s="25">
        <f>IF(AND(C188="",D188="",E188=""),"",IF(C188="","FALTA código balón",IF(D188="","FALTA tipo balón",IF(E188="","FALTA gas",IF(F188="","FALTA propietario",IF(AND(C188&lt;&gt;"",SUMPRODUCT(--($C$5:$C$1200=C188))&gt;1),"CÓDIGO BALÓN DUPLICADO",IF(AND(OR(UPPER(F188)="PLANTA",UPPER(F188)="CLIENTE"),G188=""),"FALTA doc propietario/planta",IF(AND(UPPER(F188)="PLANTA",G188="10175332796"),"PLANTA no puede ser RUC empresa","OK"))))))))</f>
        <v/>
      </c>
      <c r="C188" s="23" t="inlineStr">
        <is>
          <t>K5409130</t>
        </is>
      </c>
      <c r="D188" s="17" t="inlineStr">
        <is>
          <t>Oxígeno Industrial 10 m³</t>
        </is>
      </c>
      <c r="E188" s="17" t="inlineStr">
        <is>
          <t>OXIGENO INDUSTRIAL</t>
        </is>
      </c>
      <c r="F188" s="17" t="inlineStr">
        <is>
          <t>EMPRESA</t>
        </is>
      </c>
      <c r="G188" s="23" t="inlineStr">
        <is>
          <t>10175332796</t>
        </is>
      </c>
      <c r="H188" s="25">
        <f t="array" ref="H188">IF(G188="","",IFERROR(IF(INDEX(Clientes!$D$5:$D$549,MATCH(G188,Clientes!$C$5:$C$549,0))&lt;&gt;"",INDEX(Clientes!$D$5:$D$549,MATCH(G188,Clientes!$C$5:$C$549,0)),TRIM(INDEX(Clientes!$E$5:$E$549,MATCH(G188,Clientes!$C$5:$C$549,0))&amp;" "&amp;INDEX(Clientes!$F$5:$F$549,MATCH(G188,Clientes!$C$5:$C$549,0)))),"NO EXISTE en Clientes"))</f>
        <v/>
      </c>
      <c r="I188" s="17" t="inlineStr">
        <is>
          <t>DISPONIBLE</t>
        </is>
      </c>
      <c r="J188" s="17" t="inlineStr">
        <is>
          <t>ALMACEN PRINCIPAL</t>
        </is>
      </c>
      <c r="K188" s="23" t="n"/>
      <c r="L188" s="25">
        <f t="array" ref="L188">IF(K188="","",IFERROR(IF(INDEX(Clientes!$D$5:$D$549,MATCH(K188,Clientes!$C$5:$C$549,0))&lt;&gt;"",INDEX(Clientes!$D$5:$D$549,MATCH(K188,Clientes!$C$5:$C$549,0)),TRIM(INDEX(Clientes!$E$5:$E$549,MATCH(K188,Clientes!$C$5:$C$549,0))&amp;" "&amp;INDEX(Clientes!$F$5:$F$549,MATCH(K188,Clientes!$C$5:$C$549,0)))),"NO EXISTE en Clientes"))</f>
        <v/>
      </c>
      <c r="M188" s="17" t="n">
        <v>2021</v>
      </c>
      <c r="N188" s="17" t="n">
        <v>2</v>
      </c>
      <c r="O188" s="42" t="n">
        <v>44228</v>
      </c>
      <c r="P188" s="39">
        <f>IF(O188&lt;&gt;"",DATE(YEAR(O188)+10,MONTH(O188),1),IF(AND(M188&lt;&gt;"",N188&lt;&gt;""),DATE(M188+5,N188,1),""))</f>
        <v/>
      </c>
      <c r="Q188" s="23" t="n"/>
      <c r="R188" s="17" t="inlineStr">
        <is>
          <t>OXYNET</t>
        </is>
      </c>
      <c r="S188" s="17" t="inlineStr">
        <is>
          <t>TS</t>
        </is>
      </c>
      <c r="T188" s="17" t="n">
        <v>2800</v>
      </c>
      <c r="U188" s="17" t="inlineStr">
        <is>
          <t>AMERICANA</t>
        </is>
      </c>
      <c r="V188" s="23" t="n"/>
      <c r="W188" s="17" t="n"/>
      <c r="X188" s="17" t="inlineStr">
        <is>
          <t>PH ORIGINAL</t>
        </is>
      </c>
      <c r="Y188" s="28">
        <f>IF(B188&lt;&gt;"OK","","SELECT bal_crear_balon(p_codigo_balon =&gt; "&amp;IF(TRIM(C188&amp;"")="","NULL","'"&amp;SUBSTITUTE(TRIM(C188),"'","''")&amp;"'")&amp;", p_id_tipo_balon =&gt; "&amp;"(SELECT id FROM bal_tipo_balon WHERE upper(nombre) = upper('"&amp;SUBSTITUTE(TRIM(D188),"'","''")&amp;"') AND estado = 1 LIMIT 1)"&amp;", p_id_producto_gas =&gt; "&amp;"(SELECT id FROM pro_producto WHERE es_gas = TRUE AND upper(nombre) = upper('"&amp;SUBSTITUTE(TRIM(E188),"'","''")&amp;"') AND estado = 1 LIMIT 1)"&amp;", p_id_propietario =&gt; "&amp;IF(TRIM(F188&amp;"")="","NULL","(SELECT lo.id FROM gen_lista_opciones lo JOIN gen_lista l ON l.id = lo.id_lista WHERE l.nombre = 'PropietarioBalon' AND upper(lo.nombre) = upper('"&amp;SUBSTITUTE(TRIM(F188),"'","''")&amp;"') AND lo.estado = 1 LIMIT 1)")&amp;", p_id_cliente_propietario =&gt; "&amp;IF(F188="CLIENTE",IF(TRIM(G188&amp;"")="","NULL","(SELECT id FROM cli_clientes WHERE numero_documento = '"&amp;SUBSTITUTE(TRIM(G188),"'","''")&amp;"' AND estado = 1 LIMIT 1)"),"NULL")&amp;", p_id_planta =&gt; "&amp;IF(F188="PLANTA",IF(TRIM(G188&amp;"")="","NULL","(SELECT id FROM cli_clientes WHERE numero_documento = '"&amp;SUBSTITUTE(TRIM(G188),"'","''")&amp;"'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"&amp;IF(TRIM(J188&amp;"")="","NULL","(SELECT id FROM gen_almacen WHERE upper(nombre) = upper('"&amp;SUBSTITUTE(TRIM(J188),"'","''")&amp;"') AND estado = 1 LIMIT 1)")&amp;", p_id_cliente_ubicacion =&gt; "&amp;IF(TRIM(K188&amp;"")="","NULL","(SELECT id FROM cli_clientes WHERE numero_documento = '"&amp;SUBSTITUTE(TRIM(K188),"'","''")&amp;"' AND estado = 1 LIMIT 1)")&amp;", p_id_referencia =&gt; "&amp;IF(TRIM(J188&amp;"")&lt;&gt;"","(SELECT lo.id FROM gen_lista_opciones lo JOIN gen_lista l ON l.id = lo.id_lista WHERE l.nombre = 'ReferenciaCilindro' AND upper(lo.nombre) = 'ALMACEN' AND lo.estado = 1 LIMIT 1)",IF(TRIM(K188&amp;"")&lt;&gt;"","(SELECT lo.id FROM gen_lista_opciones lo JOIN gen_lista l ON l.id = lo.id_lista WHERE l.nombre = 'ReferenciaCilindro' AND upper(lo.nombre) = 'CLIENTE' AND lo.estado = 1 LIMIT 1)","NULL"))&amp;", p_anio_fabricacion =&gt; "&amp;IF(M188&amp;""="","NULL::smallint",M188&amp;"::smallint")&amp;", p_mes_fabricacion =&gt; "&amp;IF(N188&amp;""="","NULL::smallint",N188&amp;"::smallint")&amp;", p_fecha_ultima_prueba_hidrostatica =&gt; "&amp;IF(O188&amp;""="","NULL","'"&amp;YEAR(O188)&amp;"-"&amp;TEXT(MONTH(O188),"00")&amp;"-"&amp;TEXT(DAY(O188),"00")&amp;"'")&amp;", p_numero_serie =&gt; "&amp;IF(TRIM(Q188&amp;"")="","NULL","'"&amp;SUBSTITUTE(TRIM(Q188),"'","''")&amp;"'")&amp;", p_id_marca_cilindro =&gt; "&amp;IF(TRIM(R188&amp;"")="","NULL","(SELECT lo.id FROM gen_lista_opciones lo JOIN gen_lista l ON l.id = lo.id_lista WHERE l.nombre = 'MarcaCilindro' AND upper(lo.nombre) = upper('"&amp;SUBSTITUTE(TRIM(R188),"'","''")&amp;"') AND lo.estado = 1 LIMIT 1)")&amp;", p_id_organo_inspector =&gt; "&amp;IF(TRIM(S188&amp;"")="","NULL","(SELECT lo.id FROM gen_lista_opciones lo JOIN gen_lista l ON l.id = lo.id_lista WHERE l.nombre = 'OrganoInspectorCilindro' AND upper(lo.nombre) = upper('"&amp;SUBSTITUTE(TRIM(S188),"'","''")&amp;"') AND lo.estado = 1 LIMIT 1)")&amp;", p_organo_inspector_no_aplica =&gt; "&amp;IF(S188="NO_APLICA","TRUE","FALSE")&amp;", p_presion_actual =&gt; "&amp;IF(T188&amp;""="","NULL",SUBSTITUTE(T188&amp;"",",","."))&amp;", p_tipo_valvula =&gt; "&amp;IF(TRIM(U188&amp;"")="","NULL","'"&amp;SUBSTITUTE(TRIM(U188),"'","''")&amp;"'")&amp;", p_libro_cilindro =&gt; "&amp;IF(TRIM(V188&amp;"")="","NULL","'"&amp;SUBSTITUTE(TRIM(V188),"'","''")&amp;"'")&amp;", p_pagina_libro =&gt; "&amp;IF(W188&amp;""="","NULL",SUBSTITUTE(W188&amp;"",",","."))&amp;", p_observacion =&gt; "&amp;IF(TRIM(X188&amp;"")="","NULL","'"&amp;SUBSTITUTE(TRIM(X188),"'","''")&amp;"'")&amp;") AS resultado_balon_"&amp;ROW()&amp;";")</f>
        <v/>
      </c>
    </row>
    <row r="189" ht="15.75" customHeight="1" s="64">
      <c r="A189" s="36" t="inlineStr">
        <is>
          <t>185</t>
        </is>
      </c>
      <c r="B189" s="25">
        <f>IF(AND(C189="",D189="",E189=""),"",IF(C189="","FALTA código balón",IF(D189="","FALTA tipo balón",IF(E189="","FALTA gas",IF(F189="","FALTA propietario",IF(AND(C189&lt;&gt;"",SUMPRODUCT(--($C$5:$C$1200=C189))&gt;1),"CÓDIGO BALÓN DUPLICADO",IF(AND(OR(UPPER(F189)="PLANTA",UPPER(F189)="CLIENTE"),G189=""),"FALTA doc propietario/planta",IF(AND(UPPER(F189)="PLANTA",G189="10175332796"),"PLANTA no puede ser RUC empresa","OK"))))))))</f>
        <v/>
      </c>
      <c r="C189" s="23" t="inlineStr">
        <is>
          <t>20Y319140</t>
        </is>
      </c>
      <c r="D189" s="17" t="inlineStr">
        <is>
          <t>Oxígeno Industrial 10 m³</t>
        </is>
      </c>
      <c r="E189" s="17" t="inlineStr">
        <is>
          <t>OXIGENO INDUSTRIAL</t>
        </is>
      </c>
      <c r="F189" s="17" t="inlineStr">
        <is>
          <t>EMPRESA</t>
        </is>
      </c>
      <c r="G189" s="23" t="inlineStr">
        <is>
          <t>10175332796</t>
        </is>
      </c>
      <c r="H189" s="25">
        <f t="array" ref="H189">IF(G189="","",IFERROR(IF(INDEX(Clientes!$D$5:$D$549,MATCH(G189,Clientes!$C$5:$C$549,0))&lt;&gt;"",INDEX(Clientes!$D$5:$D$549,MATCH(G189,Clientes!$C$5:$C$549,0)),TRIM(INDEX(Clientes!$E$5:$E$549,MATCH(G189,Clientes!$C$5:$C$549,0))&amp;" "&amp;INDEX(Clientes!$F$5:$F$549,MATCH(G189,Clientes!$C$5:$C$549,0)))),"NO EXISTE en Clientes"))</f>
        <v/>
      </c>
      <c r="I189" s="17" t="inlineStr">
        <is>
          <t>DISPONIBLE</t>
        </is>
      </c>
      <c r="J189" s="17" t="inlineStr">
        <is>
          <t>ALMACEN PRINCIPAL</t>
        </is>
      </c>
      <c r="K189" s="23" t="n"/>
      <c r="L189" s="25">
        <f t="array" ref="L189">IF(K189="","",IFERROR(IF(INDEX(Clientes!$D$5:$D$549,MATCH(K189,Clientes!$C$5:$C$549,0))&lt;&gt;"",INDEX(Clientes!$D$5:$D$549,MATCH(K189,Clientes!$C$5:$C$549,0)),TRIM(INDEX(Clientes!$E$5:$E$549,MATCH(K189,Clientes!$C$5:$C$549,0))&amp;" "&amp;INDEX(Clientes!$F$5:$F$549,MATCH(K189,Clientes!$C$5:$C$549,0)))),"NO EXISTE en Clientes"))</f>
        <v/>
      </c>
      <c r="M189" s="17" t="n">
        <v>2020</v>
      </c>
      <c r="N189" s="17" t="n">
        <v>8</v>
      </c>
      <c r="O189" s="42" t="n">
        <v>44044</v>
      </c>
      <c r="P189" s="39">
        <f>IF(O189&lt;&gt;"",DATE(YEAR(O189)+10,MONTH(O189),1),IF(AND(M189&lt;&gt;"",N189&lt;&gt;""),DATE(M189+5,N189,1),""))</f>
        <v/>
      </c>
      <c r="Q189" s="23" t="n"/>
      <c r="R189" s="17" t="inlineStr">
        <is>
          <t>WELDWELL</t>
        </is>
      </c>
      <c r="S189" s="17" t="inlineStr">
        <is>
          <t>HEXAGONAL (0036)</t>
        </is>
      </c>
      <c r="T189" s="17" t="n">
        <v>2800</v>
      </c>
      <c r="U189" s="17" t="inlineStr">
        <is>
          <t>CHINA</t>
        </is>
      </c>
      <c r="V189" s="23" t="n"/>
      <c r="W189" s="17" t="n"/>
      <c r="X189" s="17" t="n"/>
      <c r="Y189" s="28">
        <f>IF(B189&lt;&gt;"OK","","SELECT bal_crear_balon(p_codigo_balon =&gt; "&amp;IF(TRIM(C189&amp;"")="","NULL","'"&amp;SUBSTITUTE(TRIM(C189),"'","''")&amp;"'")&amp;", p_id_tipo_balon =&gt; "&amp;"(SELECT id FROM bal_tipo_balon WHERE upper(nombre) = upper('"&amp;SUBSTITUTE(TRIM(D189),"'","''")&amp;"') AND estado = 1 LIMIT 1)"&amp;", p_id_producto_gas =&gt; "&amp;"(SELECT id FROM pro_producto WHERE es_gas = TRUE AND upper(nombre) = upper('"&amp;SUBSTITUTE(TRIM(E189),"'","''")&amp;"') AND estado = 1 LIMIT 1)"&amp;", p_id_propietario =&gt; "&amp;IF(TRIM(F189&amp;"")="","NULL","(SELECT lo.id FROM gen_lista_opciones lo JOIN gen_lista l ON l.id = lo.id_lista WHERE l.nombre = 'PropietarioBalon' AND upper(lo.nombre) = upper('"&amp;SUBSTITUTE(TRIM(F189),"'","''")&amp;"') AND lo.estado = 1 LIMIT 1)")&amp;", p_id_cliente_propietario =&gt; "&amp;IF(F189="CLIENTE",IF(TRIM(G189&amp;"")="","NULL","(SELECT id FROM cli_clientes WHERE numero_documento = '"&amp;SUBSTITUTE(TRIM(G189),"'","''")&amp;"' AND estado = 1 LIMIT 1)"),"NULL")&amp;", p_id_planta =&gt; "&amp;IF(F189="PLANTA",IF(TRIM(G189&amp;"")="","NULL","(SELECT id FROM cli_clientes WHERE numero_documento = '"&amp;SUBSTITUTE(TRIM(G189),"'","''")&amp;"'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"&amp;IF(TRIM(J189&amp;"")="","NULL","(SELECT id FROM gen_almacen WHERE upper(nombre) = upper('"&amp;SUBSTITUTE(TRIM(J189),"'","''")&amp;"') AND estado = 1 LIMIT 1)")&amp;", p_id_cliente_ubicacion =&gt; "&amp;IF(TRIM(K189&amp;"")="","NULL","(SELECT id FROM cli_clientes WHERE numero_documento = '"&amp;SUBSTITUTE(TRIM(K189),"'","''")&amp;"' AND estado = 1 LIMIT 1)")&amp;", p_id_referencia =&gt; "&amp;IF(TRIM(J189&amp;"")&lt;&gt;"","(SELECT lo.id FROM gen_lista_opciones lo JOIN gen_lista l ON l.id = lo.id_lista WHERE l.nombre = 'ReferenciaCilindro' AND upper(lo.nombre) = 'ALMACEN' AND lo.estado = 1 LIMIT 1)",IF(TRIM(K189&amp;"")&lt;&gt;"","(SELECT lo.id FROM gen_lista_opciones lo JOIN gen_lista l ON l.id = lo.id_lista WHERE l.nombre = 'ReferenciaCilindro' AND upper(lo.nombre) = 'CLIENTE' AND lo.estado = 1 LIMIT 1)","NULL"))&amp;", p_anio_fabricacion =&gt; "&amp;IF(M189&amp;""="","NULL::smallint",M189&amp;"::smallint")&amp;", p_mes_fabricacion =&gt; "&amp;IF(N189&amp;""="","NULL::smallint",N189&amp;"::smallint")&amp;", p_fecha_ultima_prueba_hidrostatica =&gt; "&amp;IF(O189&amp;""="","NULL","'"&amp;YEAR(O189)&amp;"-"&amp;TEXT(MONTH(O189),"00")&amp;"-"&amp;TEXT(DAY(O189),"00")&amp;"'")&amp;", p_numero_serie =&gt; "&amp;IF(TRIM(Q189&amp;"")="","NULL","'"&amp;SUBSTITUTE(TRIM(Q189),"'","''")&amp;"'")&amp;", p_id_marca_cilindro =&gt; "&amp;IF(TRIM(R189&amp;"")="","NULL","(SELECT lo.id FROM gen_lista_opciones lo JOIN gen_lista l ON l.id = lo.id_lista WHERE l.nombre = 'MarcaCilindro' AND upper(lo.nombre) = upper('"&amp;SUBSTITUTE(TRIM(R189),"'","''")&amp;"') AND lo.estado = 1 LIMIT 1)")&amp;", p_id_organo_inspector =&gt; "&amp;IF(TRIM(S189&amp;"")="","NULL","(SELECT lo.id FROM gen_lista_opciones lo JOIN gen_lista l ON l.id = lo.id_lista WHERE l.nombre = 'OrganoInspectorCilindro' AND upper(lo.nombre) = upper('"&amp;SUBSTITUTE(TRIM(S189),"'","''")&amp;"') AND lo.estado = 1 LIMIT 1)")&amp;", p_organo_inspector_no_aplica =&gt; "&amp;IF(S189="NO_APLICA","TRUE","FALSE")&amp;", p_presion_actual =&gt; "&amp;IF(T189&amp;""="","NULL",SUBSTITUTE(T189&amp;"",",","."))&amp;", p_tipo_valvula =&gt; "&amp;IF(TRIM(U189&amp;"")="","NULL","'"&amp;SUBSTITUTE(TRIM(U189),"'","''")&amp;"'")&amp;", p_libro_cilindro =&gt; "&amp;IF(TRIM(V189&amp;"")="","NULL","'"&amp;SUBSTITUTE(TRIM(V189),"'","''")&amp;"'")&amp;", p_pagina_libro =&gt; "&amp;IF(W189&amp;""="","NULL",SUBSTITUTE(W189&amp;"",",","."))&amp;", p_observacion =&gt; "&amp;IF(TRIM(X189&amp;"")="","NULL","'"&amp;SUBSTITUTE(TRIM(X189),"'","''")&amp;"'")&amp;") AS resultado_balon_"&amp;ROW()&amp;";")</f>
        <v/>
      </c>
    </row>
    <row r="190" ht="15.75" customHeight="1" s="64">
      <c r="A190" s="36" t="inlineStr">
        <is>
          <t>186</t>
        </is>
      </c>
      <c r="B190" s="25">
        <f>IF(AND(C190="",D190="",E190=""),"",IF(C190="","FALTA código balón",IF(D190="","FALTA tipo balón",IF(E190="","FALTA gas",IF(F190="","FALTA propietario",IF(AND(C190&lt;&gt;"",SUMPRODUCT(--($C$5:$C$1200=C190))&gt;1),"CÓDIGO BALÓN DUPLICADO",IF(AND(OR(UPPER(F190)="PLANTA",UPPER(F190)="CLIENTE"),G190=""),"FALTA doc propietario/planta",IF(AND(UPPER(F190)="PLANTA",G190="10175332796"),"PLANTA no puede ser RUC empresa","OK"))))))))</f>
        <v/>
      </c>
      <c r="C190" s="23" t="inlineStr">
        <is>
          <t>20E623128</t>
        </is>
      </c>
      <c r="D190" s="17" t="inlineStr">
        <is>
          <t>Oxígeno Industrial 10 m³</t>
        </is>
      </c>
      <c r="E190" s="17" t="inlineStr">
        <is>
          <t>OXIGENO INDUSTRIAL</t>
        </is>
      </c>
      <c r="F190" s="17" t="inlineStr">
        <is>
          <t>EMPRESA</t>
        </is>
      </c>
      <c r="G190" s="23" t="inlineStr">
        <is>
          <t>10175332796</t>
        </is>
      </c>
      <c r="H190" s="25">
        <f t="array" ref="H190">IF(G190="","",IFERROR(IF(INDEX(Clientes!$D$5:$D$549,MATCH(G190,Clientes!$C$5:$C$549,0))&lt;&gt;"",INDEX(Clientes!$D$5:$D$549,MATCH(G190,Clientes!$C$5:$C$549,0)),TRIM(INDEX(Clientes!$E$5:$E$549,MATCH(G190,Clientes!$C$5:$C$549,0))&amp;" "&amp;INDEX(Clientes!$F$5:$F$549,MATCH(G190,Clientes!$C$5:$C$549,0)))),"NO EXISTE en Clientes"))</f>
        <v/>
      </c>
      <c r="I190" s="17" t="inlineStr">
        <is>
          <t>DISPONIBLE</t>
        </is>
      </c>
      <c r="J190" s="17" t="inlineStr">
        <is>
          <t>ALMACEN PRINCIPAL</t>
        </is>
      </c>
      <c r="K190" s="23" t="n"/>
      <c r="L190" s="25">
        <f t="array" ref="L190">IF(K190="","",IFERROR(IF(INDEX(Clientes!$D$5:$D$549,MATCH(K190,Clientes!$C$5:$C$549,0))&lt;&gt;"",INDEX(Clientes!$D$5:$D$549,MATCH(K190,Clientes!$C$5:$C$549,0)),TRIM(INDEX(Clientes!$E$5:$E$549,MATCH(K190,Clientes!$C$5:$C$549,0))&amp;" "&amp;INDEX(Clientes!$F$5:$F$549,MATCH(K190,Clientes!$C$5:$C$549,0)))),"NO EXISTE en Clientes"))</f>
        <v/>
      </c>
      <c r="M190" s="17" t="n">
        <v>2020</v>
      </c>
      <c r="N190" s="17" t="n">
        <v>9</v>
      </c>
      <c r="O190" s="42" t="n">
        <v>44075</v>
      </c>
      <c r="P190" s="39">
        <f>IF(O190&lt;&gt;"",DATE(YEAR(O190)+10,MONTH(O190),1),IF(AND(M190&lt;&gt;"",N190&lt;&gt;""),DATE(M190+5,N190,1),""))</f>
        <v/>
      </c>
      <c r="Q190" s="23" t="n"/>
      <c r="R190" s="17" t="inlineStr">
        <is>
          <t>SUIZA</t>
        </is>
      </c>
      <c r="S190" s="17" t="inlineStr">
        <is>
          <t>OTRO</t>
        </is>
      </c>
      <c r="T190" s="17" t="n">
        <v>2800</v>
      </c>
      <c r="U190" s="17" t="inlineStr">
        <is>
          <t>CHINA</t>
        </is>
      </c>
      <c r="V190" s="23" t="n"/>
      <c r="W190" s="17" t="n"/>
      <c r="X190" s="17" t="n"/>
      <c r="Y190" s="28">
        <f>IF(B190&lt;&gt;"OK","","SELECT bal_crear_balon(p_codigo_balon =&gt; "&amp;IF(TRIM(C190&amp;"")="","NULL","'"&amp;SUBSTITUTE(TRIM(C190),"'","''")&amp;"'")&amp;", p_id_tipo_balon =&gt; "&amp;"(SELECT id FROM bal_tipo_balon WHERE upper(nombre) = upper('"&amp;SUBSTITUTE(TRIM(D190),"'","''")&amp;"') AND estado = 1 LIMIT 1)"&amp;", p_id_producto_gas =&gt; "&amp;"(SELECT id FROM pro_producto WHERE es_gas = TRUE AND upper(nombre) = upper('"&amp;SUBSTITUTE(TRIM(E190),"'","''")&amp;"') AND estado = 1 LIMIT 1)"&amp;", p_id_propietario =&gt; "&amp;IF(TRIM(F190&amp;"")="","NULL","(SELECT lo.id FROM gen_lista_opciones lo JOIN gen_lista l ON l.id = lo.id_lista WHERE l.nombre = 'PropietarioBalon' AND upper(lo.nombre) = upper('"&amp;SUBSTITUTE(TRIM(F190),"'","''")&amp;"') AND lo.estado = 1 LIMIT 1)")&amp;", p_id_cliente_propietario =&gt; "&amp;IF(F190="CLIENTE",IF(TRIM(G190&amp;"")="","NULL","(SELECT id FROM cli_clientes WHERE numero_documento = '"&amp;SUBSTITUTE(TRIM(G190),"'","''")&amp;"' AND estado = 1 LIMIT 1)"),"NULL")&amp;", p_id_planta =&gt; "&amp;IF(F190="PLANTA",IF(TRIM(G190&amp;"")="","NULL","(SELECT id FROM cli_clientes WHERE numero_documento = '"&amp;SUBSTITUTE(TRIM(G190),"'","''")&amp;"'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"&amp;IF(TRIM(J190&amp;"")="","NULL","(SELECT id FROM gen_almacen WHERE upper(nombre) = upper('"&amp;SUBSTITUTE(TRIM(J190),"'","''")&amp;"') AND estado = 1 LIMIT 1)")&amp;", p_id_cliente_ubicacion =&gt; "&amp;IF(TRIM(K190&amp;"")="","NULL","(SELECT id FROM cli_clientes WHERE numero_documento = '"&amp;SUBSTITUTE(TRIM(K190),"'","''")&amp;"' AND estado = 1 LIMIT 1)")&amp;", p_id_referencia =&gt; "&amp;IF(TRIM(J190&amp;"")&lt;&gt;"","(SELECT lo.id FROM gen_lista_opciones lo JOIN gen_lista l ON l.id = lo.id_lista WHERE l.nombre = 'ReferenciaCilindro' AND upper(lo.nombre) = 'ALMACEN' AND lo.estado = 1 LIMIT 1)",IF(TRIM(K190&amp;"")&lt;&gt;"","(SELECT lo.id FROM gen_lista_opciones lo JOIN gen_lista l ON l.id = lo.id_lista WHERE l.nombre = 'ReferenciaCilindro' AND upper(lo.nombre) = 'CLIENTE' AND lo.estado = 1 LIMIT 1)","NULL"))&amp;", p_anio_fabricacion =&gt; "&amp;IF(M190&amp;""="","NULL::smallint",M190&amp;"::smallint")&amp;", p_mes_fabricacion =&gt; "&amp;IF(N190&amp;""="","NULL::smallint",N190&amp;"::smallint")&amp;", p_fecha_ultima_prueba_hidrostatica =&gt; "&amp;IF(O190&amp;""="","NULL","'"&amp;YEAR(O190)&amp;"-"&amp;TEXT(MONTH(O190),"00")&amp;"-"&amp;TEXT(DAY(O190),"00")&amp;"'")&amp;", p_numero_serie =&gt; "&amp;IF(TRIM(Q190&amp;"")="","NULL","'"&amp;SUBSTITUTE(TRIM(Q190),"'","''")&amp;"'")&amp;", p_id_marca_cilindro =&gt; "&amp;IF(TRIM(R190&amp;"")="","NULL","(SELECT lo.id FROM gen_lista_opciones lo JOIN gen_lista l ON l.id = lo.id_lista WHERE l.nombre = 'MarcaCilindro' AND upper(lo.nombre) = upper('"&amp;SUBSTITUTE(TRIM(R190),"'","''")&amp;"') AND lo.estado = 1 LIMIT 1)")&amp;", p_id_organo_inspector =&gt; "&amp;IF(TRIM(S190&amp;"")="","NULL","(SELECT lo.id FROM gen_lista_opciones lo JOIN gen_lista l ON l.id = lo.id_lista WHERE l.nombre = 'OrganoInspectorCilindro' AND upper(lo.nombre) = upper('"&amp;SUBSTITUTE(TRIM(S190),"'","''")&amp;"') AND lo.estado = 1 LIMIT 1)")&amp;", p_organo_inspector_no_aplica =&gt; "&amp;IF(S190="NO_APLICA","TRUE","FALSE")&amp;", p_presion_actual =&gt; "&amp;IF(T190&amp;""="","NULL",SUBSTITUTE(T190&amp;"",",","."))&amp;", p_tipo_valvula =&gt; "&amp;IF(TRIM(U190&amp;"")="","NULL","'"&amp;SUBSTITUTE(TRIM(U190),"'","''")&amp;"'")&amp;", p_libro_cilindro =&gt; "&amp;IF(TRIM(V190&amp;"")="","NULL","'"&amp;SUBSTITUTE(TRIM(V190),"'","''")&amp;"'")&amp;", p_pagina_libro =&gt; "&amp;IF(W190&amp;""="","NULL",SUBSTITUTE(W190&amp;"",",","."))&amp;", p_observacion =&gt; "&amp;IF(TRIM(X190&amp;"")="","NULL","'"&amp;SUBSTITUTE(TRIM(X190),"'","''")&amp;"'")&amp;") AS resultado_balon_"&amp;ROW()&amp;";")</f>
        <v/>
      </c>
    </row>
    <row r="191" ht="15.75" customHeight="1" s="64">
      <c r="A191" s="36" t="inlineStr">
        <is>
          <t>187</t>
        </is>
      </c>
      <c r="B191" s="25">
        <f>IF(AND(C191="",D191="",E191=""),"",IF(C191="","FALTA código balón",IF(D191="","FALTA tipo balón",IF(E191="","FALTA gas",IF(F191="","FALTA propietario",IF(AND(C191&lt;&gt;"",SUMPRODUCT(--($C$5:$C$1200=C191))&gt;1),"CÓDIGO BALÓN DUPLICADO",IF(AND(OR(UPPER(F191)="PLANTA",UPPER(F191)="CLIENTE"),G191=""),"FALTA doc propietario/planta",IF(AND(UPPER(F191)="PLANTA",G191="10175332796"),"PLANTA no puede ser RUC empresa","OK"))))))))</f>
        <v/>
      </c>
      <c r="C191" s="23" t="inlineStr">
        <is>
          <t>K5409170</t>
        </is>
      </c>
      <c r="D191" s="17" t="inlineStr">
        <is>
          <t>Oxígeno Industrial 10 m³</t>
        </is>
      </c>
      <c r="E191" s="17" t="inlineStr">
        <is>
          <t>OXIGENO INDUSTRIAL</t>
        </is>
      </c>
      <c r="F191" s="17" t="inlineStr">
        <is>
          <t>EMPRESA</t>
        </is>
      </c>
      <c r="G191" s="23" t="inlineStr">
        <is>
          <t>10175332796</t>
        </is>
      </c>
      <c r="H191" s="25">
        <f t="array" ref="H191">IF(G191="","",IFERROR(IF(INDEX(Clientes!$D$5:$D$549,MATCH(G191,Clientes!$C$5:$C$549,0))&lt;&gt;"",INDEX(Clientes!$D$5:$D$549,MATCH(G191,Clientes!$C$5:$C$549,0)),TRIM(INDEX(Clientes!$E$5:$E$549,MATCH(G191,Clientes!$C$5:$C$549,0))&amp;" "&amp;INDEX(Clientes!$F$5:$F$549,MATCH(G191,Clientes!$C$5:$C$549,0)))),"NO EXISTE en Clientes"))</f>
        <v/>
      </c>
      <c r="I191" s="17" t="inlineStr">
        <is>
          <t>DISPONIBLE</t>
        </is>
      </c>
      <c r="J191" s="17" t="inlineStr">
        <is>
          <t>ALMACEN PRINCIPAL</t>
        </is>
      </c>
      <c r="K191" s="23" t="n"/>
      <c r="L191" s="25">
        <f t="array" ref="L191">IF(K191="","",IFERROR(IF(INDEX(Clientes!$D$5:$D$549,MATCH(K191,Clientes!$C$5:$C$549,0))&lt;&gt;"",INDEX(Clientes!$D$5:$D$549,MATCH(K191,Clientes!$C$5:$C$549,0)),TRIM(INDEX(Clientes!$E$5:$E$549,MATCH(K191,Clientes!$C$5:$C$549,0))&amp;" "&amp;INDEX(Clientes!$F$5:$F$549,MATCH(K191,Clientes!$C$5:$C$549,0)))),"NO EXISTE en Clientes"))</f>
        <v/>
      </c>
      <c r="M191" s="17" t="n">
        <v>2021</v>
      </c>
      <c r="N191" s="17" t="n">
        <v>2</v>
      </c>
      <c r="O191" s="42" t="n">
        <v>44228</v>
      </c>
      <c r="P191" s="39">
        <f>IF(O191&lt;&gt;"",DATE(YEAR(O191)+10,MONTH(O191),1),IF(AND(M191&lt;&gt;"",N191&lt;&gt;""),DATE(M191+5,N191,1),""))</f>
        <v/>
      </c>
      <c r="Q191" s="23" t="n"/>
      <c r="R191" s="17" t="inlineStr">
        <is>
          <t>JD</t>
        </is>
      </c>
      <c r="S191" s="17" t="inlineStr">
        <is>
          <t>TS</t>
        </is>
      </c>
      <c r="T191" s="17" t="n">
        <v>2800</v>
      </c>
      <c r="U191" s="17" t="inlineStr">
        <is>
          <t>AMERICANA</t>
        </is>
      </c>
      <c r="V191" s="23" t="n"/>
      <c r="W191" s="17" t="n"/>
      <c r="X191" s="17" t="n"/>
      <c r="Y191" s="28">
        <f>IF(B191&lt;&gt;"OK","","SELECT bal_crear_balon(p_codigo_balon =&gt; "&amp;IF(TRIM(C191&amp;"")="","NULL","'"&amp;SUBSTITUTE(TRIM(C191),"'","''")&amp;"'")&amp;", p_id_tipo_balon =&gt; "&amp;"(SELECT id FROM bal_tipo_balon WHERE upper(nombre) = upper('"&amp;SUBSTITUTE(TRIM(D191),"'","''")&amp;"') AND estado = 1 LIMIT 1)"&amp;", p_id_producto_gas =&gt; "&amp;"(SELECT id FROM pro_producto WHERE es_gas = TRUE AND upper(nombre) = upper('"&amp;SUBSTITUTE(TRIM(E191),"'","''")&amp;"') AND estado = 1 LIMIT 1)"&amp;", p_id_propietario =&gt; "&amp;IF(TRIM(F191&amp;"")="","NULL","(SELECT lo.id FROM gen_lista_opciones lo JOIN gen_lista l ON l.id = lo.id_lista WHERE l.nombre = 'PropietarioBalon' AND upper(lo.nombre) = upper('"&amp;SUBSTITUTE(TRIM(F191),"'","''")&amp;"') AND lo.estado = 1 LIMIT 1)")&amp;", p_id_cliente_propietario =&gt; "&amp;IF(F191="CLIENTE",IF(TRIM(G191&amp;"")="","NULL","(SELECT id FROM cli_clientes WHERE numero_documento = '"&amp;SUBSTITUTE(TRIM(G191),"'","''")&amp;"' AND estado = 1 LIMIT 1)"),"NULL")&amp;", p_id_planta =&gt; "&amp;IF(F191="PLANTA",IF(TRIM(G191&amp;"")="","NULL","(SELECT id FROM cli_clientes WHERE numero_documento = '"&amp;SUBSTITUTE(TRIM(G191),"'","''")&amp;"'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"&amp;IF(TRIM(J191&amp;"")="","NULL","(SELECT id FROM gen_almacen WHERE upper(nombre) = upper('"&amp;SUBSTITUTE(TRIM(J191),"'","''")&amp;"') AND estado = 1 LIMIT 1)")&amp;", p_id_cliente_ubicacion =&gt; "&amp;IF(TRIM(K191&amp;"")="","NULL","(SELECT id FROM cli_clientes WHERE numero_documento = '"&amp;SUBSTITUTE(TRIM(K191),"'","''")&amp;"' AND estado = 1 LIMIT 1)")&amp;", p_id_referencia =&gt; "&amp;IF(TRIM(J191&amp;"")&lt;&gt;"","(SELECT lo.id FROM gen_lista_opciones lo JOIN gen_lista l ON l.id = lo.id_lista WHERE l.nombre = 'ReferenciaCilindro' AND upper(lo.nombre) = 'ALMACEN' AND lo.estado = 1 LIMIT 1)",IF(TRIM(K191&amp;"")&lt;&gt;"","(SELECT lo.id FROM gen_lista_opciones lo JOIN gen_lista l ON l.id = lo.id_lista WHERE l.nombre = 'ReferenciaCilindro' AND upper(lo.nombre) = 'CLIENTE' AND lo.estado = 1 LIMIT 1)","NULL"))&amp;", p_anio_fabricacion =&gt; "&amp;IF(M191&amp;""="","NULL::smallint",M191&amp;"::smallint")&amp;", p_mes_fabricacion =&gt; "&amp;IF(N191&amp;""="","NULL::smallint",N191&amp;"::smallint")&amp;", p_fecha_ultima_prueba_hidrostatica =&gt; "&amp;IF(O191&amp;""="","NULL","'"&amp;YEAR(O191)&amp;"-"&amp;TEXT(MONTH(O191),"00")&amp;"-"&amp;TEXT(DAY(O191),"00")&amp;"'")&amp;", p_numero_serie =&gt; "&amp;IF(TRIM(Q191&amp;"")="","NULL","'"&amp;SUBSTITUTE(TRIM(Q191),"'","''")&amp;"'")&amp;", p_id_marca_cilindro =&gt; "&amp;IF(TRIM(R191&amp;"")="","NULL","(SELECT lo.id FROM gen_lista_opciones lo JOIN gen_lista l ON l.id = lo.id_lista WHERE l.nombre = 'MarcaCilindro' AND upper(lo.nombre) = upper('"&amp;SUBSTITUTE(TRIM(R191),"'","''")&amp;"') AND lo.estado = 1 LIMIT 1)")&amp;", p_id_organo_inspector =&gt; "&amp;IF(TRIM(S191&amp;"")="","NULL","(SELECT lo.id FROM gen_lista_opciones lo JOIN gen_lista l ON l.id = lo.id_lista WHERE l.nombre = 'OrganoInspectorCilindro' AND upper(lo.nombre) = upper('"&amp;SUBSTITUTE(TRIM(S191),"'","''")&amp;"') AND lo.estado = 1 LIMIT 1)")&amp;", p_organo_inspector_no_aplica =&gt; "&amp;IF(S191="NO_APLICA","TRUE","FALSE")&amp;", p_presion_actual =&gt; "&amp;IF(T191&amp;""="","NULL",SUBSTITUTE(T191&amp;"",",","."))&amp;", p_tipo_valvula =&gt; "&amp;IF(TRIM(U191&amp;"")="","NULL","'"&amp;SUBSTITUTE(TRIM(U191),"'","''")&amp;"'")&amp;", p_libro_cilindro =&gt; "&amp;IF(TRIM(V191&amp;"")="","NULL","'"&amp;SUBSTITUTE(TRIM(V191),"'","''")&amp;"'")&amp;", p_pagina_libro =&gt; "&amp;IF(W191&amp;""="","NULL",SUBSTITUTE(W191&amp;"",",","."))&amp;", p_observacion =&gt; "&amp;IF(TRIM(X191&amp;"")="","NULL","'"&amp;SUBSTITUTE(TRIM(X191),"'","''")&amp;"'")&amp;") AS resultado_balon_"&amp;ROW()&amp;";")</f>
        <v/>
      </c>
    </row>
    <row r="192" ht="15.75" customHeight="1" s="64">
      <c r="A192" s="36" t="inlineStr">
        <is>
          <t>188</t>
        </is>
      </c>
      <c r="B192" s="25">
        <f>IF(AND(C192="",D192="",E192=""),"",IF(C192="","FALTA código balón",IF(D192="","FALTA tipo balón",IF(E192="","FALTA gas",IF(F192="","FALTA propietario",IF(AND(C192&lt;&gt;"",SUMPRODUCT(--($C$5:$C$1200=C192))&gt;1),"CÓDIGO BALÓN DUPLICADO",IF(AND(OR(UPPER(F192)="PLANTA",UPPER(F192)="CLIENTE"),G192=""),"FALTA doc propietario/planta",IF(AND(UPPER(F192)="PLANTA",G192="10175332796"),"PLANTA no puede ser RUC empresa","OK"))))))))</f>
        <v/>
      </c>
      <c r="C192" s="23" t="inlineStr">
        <is>
          <t>FC020080</t>
        </is>
      </c>
      <c r="D192" s="17" t="inlineStr">
        <is>
          <t>Oxígeno Industrial 10 m³</t>
        </is>
      </c>
      <c r="E192" s="17" t="inlineStr">
        <is>
          <t>OXIGENO INDUSTRIAL</t>
        </is>
      </c>
      <c r="F192" s="17" t="inlineStr">
        <is>
          <t>EMPRESA</t>
        </is>
      </c>
      <c r="G192" s="23" t="inlineStr">
        <is>
          <t>10175332796</t>
        </is>
      </c>
      <c r="H192" s="25">
        <f t="array" ref="H192">IF(G192="","",IFERROR(IF(INDEX(Clientes!$D$5:$D$549,MATCH(G192,Clientes!$C$5:$C$549,0))&lt;&gt;"",INDEX(Clientes!$D$5:$D$549,MATCH(G192,Clientes!$C$5:$C$549,0)),TRIM(INDEX(Clientes!$E$5:$E$549,MATCH(G192,Clientes!$C$5:$C$549,0))&amp;" "&amp;INDEX(Clientes!$F$5:$F$549,MATCH(G192,Clientes!$C$5:$C$549,0)))),"NO EXISTE en Clientes"))</f>
        <v/>
      </c>
      <c r="I192" s="17" t="inlineStr">
        <is>
          <t>DISPONIBLE</t>
        </is>
      </c>
      <c r="J192" s="17" t="inlineStr">
        <is>
          <t>ALMACEN PRINCIPAL</t>
        </is>
      </c>
      <c r="K192" s="23" t="n"/>
      <c r="L192" s="25">
        <f t="array" ref="L192">IF(K192="","",IFERROR(IF(INDEX(Clientes!$D$5:$D$549,MATCH(K192,Clientes!$C$5:$C$549,0))&lt;&gt;"",INDEX(Clientes!$D$5:$D$549,MATCH(K192,Clientes!$C$5:$C$549,0)),TRIM(INDEX(Clientes!$E$5:$E$549,MATCH(K192,Clientes!$C$5:$C$549,0))&amp;" "&amp;INDEX(Clientes!$F$5:$F$549,MATCH(K192,Clientes!$C$5:$C$549,0)))),"NO EXISTE en Clientes"))</f>
        <v/>
      </c>
      <c r="M192" s="17" t="n">
        <v>2021</v>
      </c>
      <c r="N192" s="17" t="n">
        <v>3</v>
      </c>
      <c r="O192" s="42" t="n">
        <v>44256</v>
      </c>
      <c r="P192" s="39">
        <f>IF(O192&lt;&gt;"",DATE(YEAR(O192)+10,MONTH(O192),1),IF(AND(M192&lt;&gt;"",N192&lt;&gt;""),DATE(M192+5,N192,1),""))</f>
        <v/>
      </c>
      <c r="Q192" s="23" t="n"/>
      <c r="R192" s="17" t="inlineStr">
        <is>
          <t>LD</t>
        </is>
      </c>
      <c r="S192" s="17" t="inlineStr">
        <is>
          <t>HEXAGONAL (0036)</t>
        </is>
      </c>
      <c r="T192" s="17" t="n">
        <v>2800</v>
      </c>
      <c r="U192" s="17" t="inlineStr">
        <is>
          <t>AMERICANA</t>
        </is>
      </c>
      <c r="V192" s="23" t="n"/>
      <c r="W192" s="17" t="n"/>
      <c r="X192" s="17" t="inlineStr">
        <is>
          <t>PH ORIGINAL</t>
        </is>
      </c>
      <c r="Y192" s="28">
        <f>IF(B192&lt;&gt;"OK","","SELECT bal_crear_balon(p_codigo_balon =&gt; "&amp;IF(TRIM(C192&amp;"")="","NULL","'"&amp;SUBSTITUTE(TRIM(C192),"'","''")&amp;"'")&amp;", p_id_tipo_balon =&gt; "&amp;"(SELECT id FROM bal_tipo_balon WHERE upper(nombre) = upper('"&amp;SUBSTITUTE(TRIM(D192),"'","''")&amp;"') AND estado = 1 LIMIT 1)"&amp;", p_id_producto_gas =&gt; "&amp;"(SELECT id FROM pro_producto WHERE es_gas = TRUE AND upper(nombre) = upper('"&amp;SUBSTITUTE(TRIM(E192),"'","''")&amp;"') AND estado = 1 LIMIT 1)"&amp;", p_id_propietario =&gt; "&amp;IF(TRIM(F192&amp;"")="","NULL","(SELECT lo.id FROM gen_lista_opciones lo JOIN gen_lista l ON l.id = lo.id_lista WHERE l.nombre = 'PropietarioBalon' AND upper(lo.nombre) = upper('"&amp;SUBSTITUTE(TRIM(F192),"'","''")&amp;"') AND lo.estado = 1 LIMIT 1)")&amp;", p_id_cliente_propietario =&gt; "&amp;IF(F192="CLIENTE",IF(TRIM(G192&amp;"")="","NULL","(SELECT id FROM cli_clientes WHERE numero_documento = '"&amp;SUBSTITUTE(TRIM(G192),"'","''")&amp;"' AND estado = 1 LIMIT 1)"),"NULL")&amp;", p_id_planta =&gt; "&amp;IF(F192="PLANTA",IF(TRIM(G192&amp;"")="","NULL","(SELECT id FROM cli_clientes WHERE numero_documento = '"&amp;SUBSTITUTE(TRIM(G192),"'","''")&amp;"'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"&amp;IF(TRIM(J192&amp;"")="","NULL","(SELECT id FROM gen_almacen WHERE upper(nombre) = upper('"&amp;SUBSTITUTE(TRIM(J192),"'","''")&amp;"') AND estado = 1 LIMIT 1)")&amp;", p_id_cliente_ubicacion =&gt; "&amp;IF(TRIM(K192&amp;"")="","NULL","(SELECT id FROM cli_clientes WHERE numero_documento = '"&amp;SUBSTITUTE(TRIM(K192),"'","''")&amp;"' AND estado = 1 LIMIT 1)")&amp;", p_id_referencia =&gt; "&amp;IF(TRIM(J192&amp;"")&lt;&gt;"","(SELECT lo.id FROM gen_lista_opciones lo JOIN gen_lista l ON l.id = lo.id_lista WHERE l.nombre = 'ReferenciaCilindro' AND upper(lo.nombre) = 'ALMACEN' AND lo.estado = 1 LIMIT 1)",IF(TRIM(K192&amp;"")&lt;&gt;"","(SELECT lo.id FROM gen_lista_opciones lo JOIN gen_lista l ON l.id = lo.id_lista WHERE l.nombre = 'ReferenciaCilindro' AND upper(lo.nombre) = 'CLIENTE' AND lo.estado = 1 LIMIT 1)","NULL"))&amp;", p_anio_fabricacion =&gt; "&amp;IF(M192&amp;""="","NULL::smallint",M192&amp;"::smallint")&amp;", p_mes_fabricacion =&gt; "&amp;IF(N192&amp;""="","NULL::smallint",N192&amp;"::smallint")&amp;", p_fecha_ultima_prueba_hidrostatica =&gt; "&amp;IF(O192&amp;""="","NULL","'"&amp;YEAR(O192)&amp;"-"&amp;TEXT(MONTH(O192),"00")&amp;"-"&amp;TEXT(DAY(O192),"00")&amp;"'")&amp;", p_numero_serie =&gt; "&amp;IF(TRIM(Q192&amp;"")="","NULL","'"&amp;SUBSTITUTE(TRIM(Q192),"'","''")&amp;"'")&amp;", p_id_marca_cilindro =&gt; "&amp;IF(TRIM(R192&amp;"")="","NULL","(SELECT lo.id FROM gen_lista_opciones lo JOIN gen_lista l ON l.id = lo.id_lista WHERE l.nombre = 'MarcaCilindro' AND upper(lo.nombre) = upper('"&amp;SUBSTITUTE(TRIM(R192),"'","''")&amp;"') AND lo.estado = 1 LIMIT 1)")&amp;", p_id_organo_inspector =&gt; "&amp;IF(TRIM(S192&amp;"")="","NULL","(SELECT lo.id FROM gen_lista_opciones lo JOIN gen_lista l ON l.id = lo.id_lista WHERE l.nombre = 'OrganoInspectorCilindro' AND upper(lo.nombre) = upper('"&amp;SUBSTITUTE(TRIM(S192),"'","''")&amp;"') AND lo.estado = 1 LIMIT 1)")&amp;", p_organo_inspector_no_aplica =&gt; "&amp;IF(S192="NO_APLICA","TRUE","FALSE")&amp;", p_presion_actual =&gt; "&amp;IF(T192&amp;""="","NULL",SUBSTITUTE(T192&amp;"",",","."))&amp;", p_tipo_valvula =&gt; "&amp;IF(TRIM(U192&amp;"")="","NULL","'"&amp;SUBSTITUTE(TRIM(U192),"'","''")&amp;"'")&amp;", p_libro_cilindro =&gt; "&amp;IF(TRIM(V192&amp;"")="","NULL","'"&amp;SUBSTITUTE(TRIM(V192),"'","''")&amp;"'")&amp;", p_pagina_libro =&gt; "&amp;IF(W192&amp;""="","NULL",SUBSTITUTE(W192&amp;"",",","."))&amp;", p_observacion =&gt; "&amp;IF(TRIM(X192&amp;"")="","NULL","'"&amp;SUBSTITUTE(TRIM(X192),"'","''")&amp;"'")&amp;") AS resultado_balon_"&amp;ROW()&amp;";")</f>
        <v/>
      </c>
    </row>
    <row r="193" ht="15.75" customHeight="1" s="64">
      <c r="A193" s="36" t="inlineStr">
        <is>
          <t>189</t>
        </is>
      </c>
      <c r="B193" s="25">
        <f>IF(AND(C193="",D193="",E193=""),"",IF(C193="","FALTA código balón",IF(D193="","FALTA tipo balón",IF(E193="","FALTA gas",IF(F193="","FALTA propietario",IF(AND(C193&lt;&gt;"",SUMPRODUCT(--($C$5:$C$1200=C193))&gt;1),"CÓDIGO BALÓN DUPLICADO",IF(AND(OR(UPPER(F193)="PLANTA",UPPER(F193)="CLIENTE"),G193=""),"FALTA doc propietario/planta",IF(AND(UPPER(F193)="PLANTA",G193="10175332796"),"PLANTA no puede ser RUC empresa","OK"))))))))</f>
        <v/>
      </c>
      <c r="C193" s="23" t="inlineStr">
        <is>
          <t>FC019183</t>
        </is>
      </c>
      <c r="D193" s="17" t="inlineStr">
        <is>
          <t>Oxígeno Industrial 10 m³</t>
        </is>
      </c>
      <c r="E193" s="17" t="inlineStr">
        <is>
          <t>OXIGENO INDUSTRIAL</t>
        </is>
      </c>
      <c r="F193" s="17" t="inlineStr">
        <is>
          <t>EMPRESA</t>
        </is>
      </c>
      <c r="G193" s="23" t="inlineStr">
        <is>
          <t>10175332796</t>
        </is>
      </c>
      <c r="H193" s="25">
        <f t="array" ref="H193">IF(G193="","",IFERROR(IF(INDEX(Clientes!$D$5:$D$549,MATCH(G193,Clientes!$C$5:$C$549,0))&lt;&gt;"",INDEX(Clientes!$D$5:$D$549,MATCH(G193,Clientes!$C$5:$C$549,0)),TRIM(INDEX(Clientes!$E$5:$E$549,MATCH(G193,Clientes!$C$5:$C$549,0))&amp;" "&amp;INDEX(Clientes!$F$5:$F$549,MATCH(G193,Clientes!$C$5:$C$549,0)))),"NO EXISTE en Clientes"))</f>
        <v/>
      </c>
      <c r="I193" s="17" t="inlineStr">
        <is>
          <t>DISPONIBLE</t>
        </is>
      </c>
      <c r="J193" s="17" t="inlineStr">
        <is>
          <t>ALMACEN PRINCIPAL</t>
        </is>
      </c>
      <c r="K193" s="23" t="n"/>
      <c r="L193" s="25">
        <f t="array" ref="L193">IF(K193="","",IFERROR(IF(INDEX(Clientes!$D$5:$D$549,MATCH(K193,Clientes!$C$5:$C$549,0))&lt;&gt;"",INDEX(Clientes!$D$5:$D$549,MATCH(K193,Clientes!$C$5:$C$549,0)),TRIM(INDEX(Clientes!$E$5:$E$549,MATCH(K193,Clientes!$C$5:$C$549,0))&amp;" "&amp;INDEX(Clientes!$F$5:$F$549,MATCH(K193,Clientes!$C$5:$C$549,0)))),"NO EXISTE en Clientes"))</f>
        <v/>
      </c>
      <c r="M193" s="17" t="n">
        <v>2021</v>
      </c>
      <c r="N193" s="17" t="n">
        <v>3</v>
      </c>
      <c r="O193" s="42" t="n">
        <v>44256</v>
      </c>
      <c r="P193" s="39">
        <f>IF(O193&lt;&gt;"",DATE(YEAR(O193)+10,MONTH(O193),1),IF(AND(M193&lt;&gt;"",N193&lt;&gt;""),DATE(M193+5,N193,1),""))</f>
        <v/>
      </c>
      <c r="Q193" s="23" t="n"/>
      <c r="R193" s="17" t="inlineStr">
        <is>
          <t>LD</t>
        </is>
      </c>
      <c r="S193" s="17" t="inlineStr">
        <is>
          <t>HEXAGONAL (0036)</t>
        </is>
      </c>
      <c r="T193" s="17" t="n">
        <v>2800</v>
      </c>
      <c r="U193" s="17" t="inlineStr">
        <is>
          <t>CHINA</t>
        </is>
      </c>
      <c r="V193" s="23" t="n"/>
      <c r="W193" s="17" t="n"/>
      <c r="X193" s="17" t="inlineStr">
        <is>
          <t>PH ORIGINAL</t>
        </is>
      </c>
      <c r="Y193" s="28">
        <f>IF(B193&lt;&gt;"OK","","SELECT bal_crear_balon(p_codigo_balon =&gt; "&amp;IF(TRIM(C193&amp;"")="","NULL","'"&amp;SUBSTITUTE(TRIM(C193),"'","''")&amp;"'")&amp;", p_id_tipo_balon =&gt; "&amp;"(SELECT id FROM bal_tipo_balon WHERE upper(nombre) = upper('"&amp;SUBSTITUTE(TRIM(D193),"'","''")&amp;"') AND estado = 1 LIMIT 1)"&amp;", p_id_producto_gas =&gt; "&amp;"(SELECT id FROM pro_producto WHERE es_gas = TRUE AND upper(nombre) = upper('"&amp;SUBSTITUTE(TRIM(E193),"'","''")&amp;"') AND estado = 1 LIMIT 1)"&amp;", p_id_propietario =&gt; "&amp;IF(TRIM(F193&amp;"")="","NULL","(SELECT lo.id FROM gen_lista_opciones lo JOIN gen_lista l ON l.id = lo.id_lista WHERE l.nombre = 'PropietarioBalon' AND upper(lo.nombre) = upper('"&amp;SUBSTITUTE(TRIM(F193),"'","''")&amp;"') AND lo.estado = 1 LIMIT 1)")&amp;", p_id_cliente_propietario =&gt; "&amp;IF(F193="CLIENTE",IF(TRIM(G193&amp;"")="","NULL","(SELECT id FROM cli_clientes WHERE numero_documento = '"&amp;SUBSTITUTE(TRIM(G193),"'","''")&amp;"' AND estado = 1 LIMIT 1)"),"NULL")&amp;", p_id_planta =&gt; "&amp;IF(F193="PLANTA",IF(TRIM(G193&amp;"")="","NULL","(SELECT id FROM cli_clientes WHERE numero_documento = '"&amp;SUBSTITUTE(TRIM(G193),"'","''")&amp;"'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"&amp;IF(TRIM(J193&amp;"")="","NULL","(SELECT id FROM gen_almacen WHERE upper(nombre) = upper('"&amp;SUBSTITUTE(TRIM(J193),"'","''")&amp;"') AND estado = 1 LIMIT 1)")&amp;", p_id_cliente_ubicacion =&gt; "&amp;IF(TRIM(K193&amp;"")="","NULL","(SELECT id FROM cli_clientes WHERE numero_documento = '"&amp;SUBSTITUTE(TRIM(K193),"'","''")&amp;"' AND estado = 1 LIMIT 1)")&amp;", p_id_referencia =&gt; "&amp;IF(TRIM(J193&amp;"")&lt;&gt;"","(SELECT lo.id FROM gen_lista_opciones lo JOIN gen_lista l ON l.id = lo.id_lista WHERE l.nombre = 'ReferenciaCilindro' AND upper(lo.nombre) = 'ALMACEN' AND lo.estado = 1 LIMIT 1)",IF(TRIM(K193&amp;"")&lt;&gt;"","(SELECT lo.id FROM gen_lista_opciones lo JOIN gen_lista l ON l.id = lo.id_lista WHERE l.nombre = 'ReferenciaCilindro' AND upper(lo.nombre) = 'CLIENTE' AND lo.estado = 1 LIMIT 1)","NULL"))&amp;", p_anio_fabricacion =&gt; "&amp;IF(M193&amp;""="","NULL::smallint",M193&amp;"::smallint")&amp;", p_mes_fabricacion =&gt; "&amp;IF(N193&amp;""="","NULL::smallint",N193&amp;"::smallint")&amp;", p_fecha_ultima_prueba_hidrostatica =&gt; "&amp;IF(O193&amp;""="","NULL","'"&amp;YEAR(O193)&amp;"-"&amp;TEXT(MONTH(O193),"00")&amp;"-"&amp;TEXT(DAY(O193),"00")&amp;"'")&amp;", p_numero_serie =&gt; "&amp;IF(TRIM(Q193&amp;"")="","NULL","'"&amp;SUBSTITUTE(TRIM(Q193),"'","''")&amp;"'")&amp;", p_id_marca_cilindro =&gt; "&amp;IF(TRIM(R193&amp;"")="","NULL","(SELECT lo.id FROM gen_lista_opciones lo JOIN gen_lista l ON l.id = lo.id_lista WHERE l.nombre = 'MarcaCilindro' AND upper(lo.nombre) = upper('"&amp;SUBSTITUTE(TRIM(R193),"'","''")&amp;"') AND lo.estado = 1 LIMIT 1)")&amp;", p_id_organo_inspector =&gt; "&amp;IF(TRIM(S193&amp;"")="","NULL","(SELECT lo.id FROM gen_lista_opciones lo JOIN gen_lista l ON l.id = lo.id_lista WHERE l.nombre = 'OrganoInspectorCilindro' AND upper(lo.nombre) = upper('"&amp;SUBSTITUTE(TRIM(S193),"'","''")&amp;"') AND lo.estado = 1 LIMIT 1)")&amp;", p_organo_inspector_no_aplica =&gt; "&amp;IF(S193="NO_APLICA","TRUE","FALSE")&amp;", p_presion_actual =&gt; "&amp;IF(T193&amp;""="","NULL",SUBSTITUTE(T193&amp;"",",","."))&amp;", p_tipo_valvula =&gt; "&amp;IF(TRIM(U193&amp;"")="","NULL","'"&amp;SUBSTITUTE(TRIM(U193),"'","''")&amp;"'")&amp;", p_libro_cilindro =&gt; "&amp;IF(TRIM(V193&amp;"")="","NULL","'"&amp;SUBSTITUTE(TRIM(V193),"'","''")&amp;"'")&amp;", p_pagina_libro =&gt; "&amp;IF(W193&amp;""="","NULL",SUBSTITUTE(W193&amp;"",",","."))&amp;", p_observacion =&gt; "&amp;IF(TRIM(X193&amp;"")="","NULL","'"&amp;SUBSTITUTE(TRIM(X193),"'","''")&amp;"'")&amp;") AS resultado_balon_"&amp;ROW()&amp;";")</f>
        <v/>
      </c>
    </row>
    <row r="194" ht="15.75" customHeight="1" s="64">
      <c r="A194" s="36" t="inlineStr">
        <is>
          <t>190</t>
        </is>
      </c>
      <c r="B194" s="25">
        <f>IF(AND(C194="",D194="",E194=""),"",IF(C194="","FALTA código balón",IF(D194="","FALTA tipo balón",IF(E194="","FALTA gas",IF(F194="","FALTA propietario",IF(AND(C194&lt;&gt;"",SUMPRODUCT(--($C$5:$C$1200=C194))&gt;1),"CÓDIGO BALÓN DUPLICADO",IF(AND(OR(UPPER(F194)="PLANTA",UPPER(F194)="CLIENTE"),G194=""),"FALTA doc propietario/planta",IF(AND(UPPER(F194)="PLANTA",G194="10175332796"),"PLANTA no puede ser RUC empresa","OK"))))))))</f>
        <v/>
      </c>
      <c r="C194" s="23" t="inlineStr">
        <is>
          <t>20X158065</t>
        </is>
      </c>
      <c r="D194" s="17" t="inlineStr">
        <is>
          <t>Oxígeno Industrial 10 m³</t>
        </is>
      </c>
      <c r="E194" s="17" t="inlineStr">
        <is>
          <t>OXIGENO INDUSTRIAL</t>
        </is>
      </c>
      <c r="F194" s="17" t="inlineStr">
        <is>
          <t>EMPRESA</t>
        </is>
      </c>
      <c r="G194" s="23" t="inlineStr">
        <is>
          <t>10175332796</t>
        </is>
      </c>
      <c r="H194" s="25">
        <f t="array" ref="H194">IF(G194="","",IFERROR(IF(INDEX(Clientes!$D$5:$D$549,MATCH(G194,Clientes!$C$5:$C$549,0))&lt;&gt;"",INDEX(Clientes!$D$5:$D$549,MATCH(G194,Clientes!$C$5:$C$549,0)),TRIM(INDEX(Clientes!$E$5:$E$549,MATCH(G194,Clientes!$C$5:$C$549,0))&amp;" "&amp;INDEX(Clientes!$F$5:$F$549,MATCH(G194,Clientes!$C$5:$C$549,0)))),"NO EXISTE en Clientes"))</f>
        <v/>
      </c>
      <c r="I194" s="17" t="inlineStr">
        <is>
          <t>DISPONIBLE</t>
        </is>
      </c>
      <c r="J194" s="17" t="inlineStr">
        <is>
          <t>ALMACEN PRINCIPAL</t>
        </is>
      </c>
      <c r="K194" s="23" t="n"/>
      <c r="L194" s="25">
        <f t="array" ref="L194">IF(K194="","",IFERROR(IF(INDEX(Clientes!$D$5:$D$549,MATCH(K194,Clientes!$C$5:$C$549,0))&lt;&gt;"",INDEX(Clientes!$D$5:$D$549,MATCH(K194,Clientes!$C$5:$C$549,0)),TRIM(INDEX(Clientes!$E$5:$E$549,MATCH(K194,Clientes!$C$5:$C$549,0))&amp;" "&amp;INDEX(Clientes!$F$5:$F$549,MATCH(K194,Clientes!$C$5:$C$549,0)))),"NO EXISTE en Clientes"))</f>
        <v/>
      </c>
      <c r="M194" s="17" t="n">
        <v>2020</v>
      </c>
      <c r="N194" s="17" t="n">
        <v>7</v>
      </c>
      <c r="O194" s="42" t="n">
        <v>44013</v>
      </c>
      <c r="P194" s="39">
        <f>IF(O194&lt;&gt;"",DATE(YEAR(O194)+10,MONTH(O194),1),IF(AND(M194&lt;&gt;"",N194&lt;&gt;""),DATE(M194+5,N194,1),""))</f>
        <v/>
      </c>
      <c r="Q194" s="23" t="n"/>
      <c r="R194" s="17" t="inlineStr">
        <is>
          <t>YA</t>
        </is>
      </c>
      <c r="S194" s="17" t="inlineStr">
        <is>
          <t>OTRO</t>
        </is>
      </c>
      <c r="T194" s="17" t="n">
        <v>2800</v>
      </c>
      <c r="U194" s="17" t="inlineStr">
        <is>
          <t>AMERICANA</t>
        </is>
      </c>
      <c r="V194" s="23" t="n"/>
      <c r="W194" s="17" t="n"/>
      <c r="X194" s="17" t="n"/>
      <c r="Y194" s="28">
        <f>IF(B194&lt;&gt;"OK","","SELECT bal_crear_balon(p_codigo_balon =&gt; "&amp;IF(TRIM(C194&amp;"")="","NULL","'"&amp;SUBSTITUTE(TRIM(C194),"'","''")&amp;"'")&amp;", p_id_tipo_balon =&gt; "&amp;"(SELECT id FROM bal_tipo_balon WHERE upper(nombre) = upper('"&amp;SUBSTITUTE(TRIM(D194),"'","''")&amp;"') AND estado = 1 LIMIT 1)"&amp;", p_id_producto_gas =&gt; "&amp;"(SELECT id FROM pro_producto WHERE es_gas = TRUE AND upper(nombre) = upper('"&amp;SUBSTITUTE(TRIM(E194),"'","''")&amp;"') AND estado = 1 LIMIT 1)"&amp;", p_id_propietario =&gt; "&amp;IF(TRIM(F194&amp;"")="","NULL","(SELECT lo.id FROM gen_lista_opciones lo JOIN gen_lista l ON l.id = lo.id_lista WHERE l.nombre = 'PropietarioBalon' AND upper(lo.nombre) = upper('"&amp;SUBSTITUTE(TRIM(F194),"'","''")&amp;"') AND lo.estado = 1 LIMIT 1)")&amp;", p_id_cliente_propietario =&gt; "&amp;IF(F194="CLIENTE",IF(TRIM(G194&amp;"")="","NULL","(SELECT id FROM cli_clientes WHERE numero_documento = '"&amp;SUBSTITUTE(TRIM(G194),"'","''")&amp;"' AND estado = 1 LIMIT 1)"),"NULL")&amp;", p_id_planta =&gt; "&amp;IF(F194="PLANTA",IF(TRIM(G194&amp;"")="","NULL","(SELECT id FROM cli_clientes WHERE numero_documento = '"&amp;SUBSTITUTE(TRIM(G194),"'","''")&amp;"'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"&amp;IF(TRIM(J194&amp;"")="","NULL","(SELECT id FROM gen_almacen WHERE upper(nombre) = upper('"&amp;SUBSTITUTE(TRIM(J194),"'","''")&amp;"') AND estado = 1 LIMIT 1)")&amp;", p_id_cliente_ubicacion =&gt; "&amp;IF(TRIM(K194&amp;"")="","NULL","(SELECT id FROM cli_clientes WHERE numero_documento = '"&amp;SUBSTITUTE(TRIM(K194),"'","''")&amp;"' AND estado = 1 LIMIT 1)")&amp;", p_id_referencia =&gt; "&amp;IF(TRIM(J194&amp;"")&lt;&gt;"","(SELECT lo.id FROM gen_lista_opciones lo JOIN gen_lista l ON l.id = lo.id_lista WHERE l.nombre = 'ReferenciaCilindro' AND upper(lo.nombre) = 'ALMACEN' AND lo.estado = 1 LIMIT 1)",IF(TRIM(K194&amp;"")&lt;&gt;"","(SELECT lo.id FROM gen_lista_opciones lo JOIN gen_lista l ON l.id = lo.id_lista WHERE l.nombre = 'ReferenciaCilindro' AND upper(lo.nombre) = 'CLIENTE' AND lo.estado = 1 LIMIT 1)","NULL"))&amp;", p_anio_fabricacion =&gt; "&amp;IF(M194&amp;""="","NULL::smallint",M194&amp;"::smallint")&amp;", p_mes_fabricacion =&gt; "&amp;IF(N194&amp;""="","NULL::smallint",N194&amp;"::smallint")&amp;", p_fecha_ultima_prueba_hidrostatica =&gt; "&amp;IF(O194&amp;""="","NULL","'"&amp;YEAR(O194)&amp;"-"&amp;TEXT(MONTH(O194),"00")&amp;"-"&amp;TEXT(DAY(O194),"00")&amp;"'")&amp;", p_numero_serie =&gt; "&amp;IF(TRIM(Q194&amp;"")="","NULL","'"&amp;SUBSTITUTE(TRIM(Q194),"'","''")&amp;"'")&amp;", p_id_marca_cilindro =&gt; "&amp;IF(TRIM(R194&amp;"")="","NULL","(SELECT lo.id FROM gen_lista_opciones lo JOIN gen_lista l ON l.id = lo.id_lista WHERE l.nombre = 'MarcaCilindro' AND upper(lo.nombre) = upper('"&amp;SUBSTITUTE(TRIM(R194),"'","''")&amp;"') AND lo.estado = 1 LIMIT 1)")&amp;", p_id_organo_inspector =&gt; "&amp;IF(TRIM(S194&amp;"")="","NULL","(SELECT lo.id FROM gen_lista_opciones lo JOIN gen_lista l ON l.id = lo.id_lista WHERE l.nombre = 'OrganoInspectorCilindro' AND upper(lo.nombre) = upper('"&amp;SUBSTITUTE(TRIM(S194),"'","''")&amp;"') AND lo.estado = 1 LIMIT 1)")&amp;", p_organo_inspector_no_aplica =&gt; "&amp;IF(S194="NO_APLICA","TRUE","FALSE")&amp;", p_presion_actual =&gt; "&amp;IF(T194&amp;""="","NULL",SUBSTITUTE(T194&amp;"",",","."))&amp;", p_tipo_valvula =&gt; "&amp;IF(TRIM(U194&amp;"")="","NULL","'"&amp;SUBSTITUTE(TRIM(U194),"'","''")&amp;"'")&amp;", p_libro_cilindro =&gt; "&amp;IF(TRIM(V194&amp;"")="","NULL","'"&amp;SUBSTITUTE(TRIM(V194),"'","''")&amp;"'")&amp;", p_pagina_libro =&gt; "&amp;IF(W194&amp;""="","NULL",SUBSTITUTE(W194&amp;"",",","."))&amp;", p_observacion =&gt; "&amp;IF(TRIM(X194&amp;"")="","NULL","'"&amp;SUBSTITUTE(TRIM(X194),"'","''")&amp;"'")&amp;") AS resultado_balon_"&amp;ROW()&amp;";")</f>
        <v/>
      </c>
    </row>
    <row r="195" ht="15.75" customHeight="1" s="64">
      <c r="A195" s="36" t="inlineStr">
        <is>
          <t>191</t>
        </is>
      </c>
      <c r="B195" s="25">
        <f>IF(AND(C195="",D195="",E195=""),"",IF(C195="","FALTA código balón",IF(D195="","FALTA tipo balón",IF(E195="","FALTA gas",IF(F195="","FALTA propietario",IF(AND(C195&lt;&gt;"",SUMPRODUCT(--($C$5:$C$1200=C195))&gt;1),"CÓDIGO BALÓN DUPLICADO",IF(AND(OR(UPPER(F195)="PLANTA",UPPER(F195)="CLIENTE"),G195=""),"FALTA doc propietario/planta",IF(AND(UPPER(F195)="PLANTA",G195="10175332796"),"PLANTA no puede ser RUC empresa","OK"))))))))</f>
        <v/>
      </c>
      <c r="C195" s="23" t="inlineStr">
        <is>
          <t>K4853068</t>
        </is>
      </c>
      <c r="D195" s="17" t="inlineStr">
        <is>
          <t>Oxígeno Industrial 10 m³</t>
        </is>
      </c>
      <c r="E195" s="17" t="inlineStr">
        <is>
          <t>OXIGENO INDUSTRIAL</t>
        </is>
      </c>
      <c r="F195" s="17" t="inlineStr">
        <is>
          <t>EMPRESA</t>
        </is>
      </c>
      <c r="G195" s="23" t="inlineStr">
        <is>
          <t>10175332796</t>
        </is>
      </c>
      <c r="H195" s="25">
        <f t="array" ref="H195">IF(G195="","",IFERROR(IF(INDEX(Clientes!$D$5:$D$549,MATCH(G195,Clientes!$C$5:$C$549,0))&lt;&gt;"",INDEX(Clientes!$D$5:$D$549,MATCH(G195,Clientes!$C$5:$C$549,0)),TRIM(INDEX(Clientes!$E$5:$E$549,MATCH(G195,Clientes!$C$5:$C$549,0))&amp;" "&amp;INDEX(Clientes!$F$5:$F$549,MATCH(G195,Clientes!$C$5:$C$549,0)))),"NO EXISTE en Clientes"))</f>
        <v/>
      </c>
      <c r="I195" s="17" t="inlineStr">
        <is>
          <t>DISPONIBLE</t>
        </is>
      </c>
      <c r="J195" s="17" t="inlineStr">
        <is>
          <t>ALMACEN PRINCIPAL</t>
        </is>
      </c>
      <c r="K195" s="23" t="n"/>
      <c r="L195" s="25">
        <f t="array" ref="L195">IF(K195="","",IFERROR(IF(INDEX(Clientes!$D$5:$D$549,MATCH(K195,Clientes!$C$5:$C$549,0))&lt;&gt;"",INDEX(Clientes!$D$5:$D$549,MATCH(K195,Clientes!$C$5:$C$549,0)),TRIM(INDEX(Clientes!$E$5:$E$549,MATCH(K195,Clientes!$C$5:$C$549,0))&amp;" "&amp;INDEX(Clientes!$F$5:$F$549,MATCH(K195,Clientes!$C$5:$C$549,0)))),"NO EXISTE en Clientes"))</f>
        <v/>
      </c>
      <c r="M195" s="17" t="n">
        <v>2020</v>
      </c>
      <c r="N195" s="17" t="n">
        <v>8</v>
      </c>
      <c r="O195" s="42" t="n">
        <v>44044</v>
      </c>
      <c r="P195" s="39">
        <f>IF(O195&lt;&gt;"",DATE(YEAR(O195)+10,MONTH(O195),1),IF(AND(M195&lt;&gt;"",N195&lt;&gt;""),DATE(M195+5,N195,1),""))</f>
        <v/>
      </c>
      <c r="Q195" s="23" t="n"/>
      <c r="R195" s="17" t="inlineStr">
        <is>
          <t>JD</t>
        </is>
      </c>
      <c r="S195" s="17" t="inlineStr">
        <is>
          <t>TS</t>
        </is>
      </c>
      <c r="T195" s="17" t="n">
        <v>2800</v>
      </c>
      <c r="U195" s="17" t="inlineStr">
        <is>
          <t>AMERICANA</t>
        </is>
      </c>
      <c r="V195" s="23" t="n"/>
      <c r="W195" s="17" t="n"/>
      <c r="X195" s="17" t="n"/>
      <c r="Y195" s="28">
        <f>IF(B195&lt;&gt;"OK","","SELECT bal_crear_balon(p_codigo_balon =&gt; "&amp;IF(TRIM(C195&amp;"")="","NULL","'"&amp;SUBSTITUTE(TRIM(C195),"'","''")&amp;"'")&amp;", p_id_tipo_balon =&gt; "&amp;"(SELECT id FROM bal_tipo_balon WHERE upper(nombre) = upper('"&amp;SUBSTITUTE(TRIM(D195),"'","''")&amp;"') AND estado = 1 LIMIT 1)"&amp;", p_id_producto_gas =&gt; "&amp;"(SELECT id FROM pro_producto WHERE es_gas = TRUE AND upper(nombre) = upper('"&amp;SUBSTITUTE(TRIM(E195),"'","''")&amp;"') AND estado = 1 LIMIT 1)"&amp;", p_id_propietario =&gt; "&amp;IF(TRIM(F195&amp;"")="","NULL","(SELECT lo.id FROM gen_lista_opciones lo JOIN gen_lista l ON l.id = lo.id_lista WHERE l.nombre = 'PropietarioBalon' AND upper(lo.nombre) = upper('"&amp;SUBSTITUTE(TRIM(F195),"'","''")&amp;"') AND lo.estado = 1 LIMIT 1)")&amp;", p_id_cliente_propietario =&gt; "&amp;IF(F195="CLIENTE",IF(TRIM(G195&amp;"")="","NULL","(SELECT id FROM cli_clientes WHERE numero_documento = '"&amp;SUBSTITUTE(TRIM(G195),"'","''")&amp;"' AND estado = 1 LIMIT 1)"),"NULL")&amp;", p_id_planta =&gt; "&amp;IF(F195="PLANTA",IF(TRIM(G195&amp;"")="","NULL","(SELECT id FROM cli_clientes WHERE numero_documento = '"&amp;SUBSTITUTE(TRIM(G195),"'","''")&amp;"'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"&amp;IF(TRIM(J195&amp;"")="","NULL","(SELECT id FROM gen_almacen WHERE upper(nombre) = upper('"&amp;SUBSTITUTE(TRIM(J195),"'","''")&amp;"') AND estado = 1 LIMIT 1)")&amp;", p_id_cliente_ubicacion =&gt; "&amp;IF(TRIM(K195&amp;"")="","NULL","(SELECT id FROM cli_clientes WHERE numero_documento = '"&amp;SUBSTITUTE(TRIM(K195),"'","''")&amp;"' AND estado = 1 LIMIT 1)")&amp;", p_id_referencia =&gt; "&amp;IF(TRIM(J195&amp;"")&lt;&gt;"","(SELECT lo.id FROM gen_lista_opciones lo JOIN gen_lista l ON l.id = lo.id_lista WHERE l.nombre = 'ReferenciaCilindro' AND upper(lo.nombre) = 'ALMACEN' AND lo.estado = 1 LIMIT 1)",IF(TRIM(K195&amp;"")&lt;&gt;"","(SELECT lo.id FROM gen_lista_opciones lo JOIN gen_lista l ON l.id = lo.id_lista WHERE l.nombre = 'ReferenciaCilindro' AND upper(lo.nombre) = 'CLIENTE' AND lo.estado = 1 LIMIT 1)","NULL"))&amp;", p_anio_fabricacion =&gt; "&amp;IF(M195&amp;""="","NULL::smallint",M195&amp;"::smallint")&amp;", p_mes_fabricacion =&gt; "&amp;IF(N195&amp;""="","NULL::smallint",N195&amp;"::smallint")&amp;", p_fecha_ultima_prueba_hidrostatica =&gt; "&amp;IF(O195&amp;""="","NULL","'"&amp;YEAR(O195)&amp;"-"&amp;TEXT(MONTH(O195),"00")&amp;"-"&amp;TEXT(DAY(O195),"00")&amp;"'")&amp;", p_numero_serie =&gt; "&amp;IF(TRIM(Q195&amp;"")="","NULL","'"&amp;SUBSTITUTE(TRIM(Q195),"'","''")&amp;"'")&amp;", p_id_marca_cilindro =&gt; "&amp;IF(TRIM(R195&amp;"")="","NULL","(SELECT lo.id FROM gen_lista_opciones lo JOIN gen_lista l ON l.id = lo.id_lista WHERE l.nombre = 'MarcaCilindro' AND upper(lo.nombre) = upper('"&amp;SUBSTITUTE(TRIM(R195),"'","''")&amp;"') AND lo.estado = 1 LIMIT 1)")&amp;", p_id_organo_inspector =&gt; "&amp;IF(TRIM(S195&amp;"")="","NULL","(SELECT lo.id FROM gen_lista_opciones lo JOIN gen_lista l ON l.id = lo.id_lista WHERE l.nombre = 'OrganoInspectorCilindro' AND upper(lo.nombre) = upper('"&amp;SUBSTITUTE(TRIM(S195),"'","''")&amp;"') AND lo.estado = 1 LIMIT 1)")&amp;", p_organo_inspector_no_aplica =&gt; "&amp;IF(S195="NO_APLICA","TRUE","FALSE")&amp;", p_presion_actual =&gt; "&amp;IF(T195&amp;""="","NULL",SUBSTITUTE(T195&amp;"",",","."))&amp;", p_tipo_valvula =&gt; "&amp;IF(TRIM(U195&amp;"")="","NULL","'"&amp;SUBSTITUTE(TRIM(U195),"'","''")&amp;"'")&amp;", p_libro_cilindro =&gt; "&amp;IF(TRIM(V195&amp;"")="","NULL","'"&amp;SUBSTITUTE(TRIM(V195),"'","''")&amp;"'")&amp;", p_pagina_libro =&gt; "&amp;IF(W195&amp;""="","NULL",SUBSTITUTE(W195&amp;"",",","."))&amp;", p_observacion =&gt; "&amp;IF(TRIM(X195&amp;"")="","NULL","'"&amp;SUBSTITUTE(TRIM(X195),"'","''")&amp;"'")&amp;") AS resultado_balon_"&amp;ROW()&amp;";")</f>
        <v/>
      </c>
    </row>
    <row r="196" ht="15.75" customHeight="1" s="64">
      <c r="A196" s="36" t="inlineStr">
        <is>
          <t>192</t>
        </is>
      </c>
      <c r="B196" s="25">
        <f>IF(AND(C196="",D196="",E196=""),"",IF(C196="","FALTA código balón",IF(D196="","FALTA tipo balón",IF(E196="","FALTA gas",IF(F196="","FALTA propietario",IF(AND(C196&lt;&gt;"",SUMPRODUCT(--($C$5:$C$1200=C196))&gt;1),"CÓDIGO BALÓN DUPLICADO",IF(AND(OR(UPPER(F196)="PLANTA",UPPER(F196)="CLIENTE"),G196=""),"FALTA doc propietario/planta",IF(AND(UPPER(F196)="PLANTA",G196="10175332796"),"PLANTA no puede ser RUC empresa","OK"))))))))</f>
        <v/>
      </c>
      <c r="C196" s="23" t="inlineStr">
        <is>
          <t>A2389040</t>
        </is>
      </c>
      <c r="D196" s="17" t="inlineStr">
        <is>
          <t>Oxígeno Medicinal 3 m³</t>
        </is>
      </c>
      <c r="E196" s="17" t="inlineStr">
        <is>
          <t>OXIGENO MEDICINAL</t>
        </is>
      </c>
      <c r="F196" s="17" t="inlineStr">
        <is>
          <t>EMPRESA</t>
        </is>
      </c>
      <c r="G196" s="23" t="inlineStr">
        <is>
          <t>10175332796</t>
        </is>
      </c>
      <c r="H196" s="25">
        <f t="array" ref="H196">IF(G196="","",IFERROR(IF(INDEX(Clientes!$D$5:$D$549,MATCH(G196,Clientes!$C$5:$C$549,0))&lt;&gt;"",INDEX(Clientes!$D$5:$D$549,MATCH(G196,Clientes!$C$5:$C$549,0)),TRIM(INDEX(Clientes!$E$5:$E$549,MATCH(G196,Clientes!$C$5:$C$549,0))&amp;" "&amp;INDEX(Clientes!$F$5:$F$549,MATCH(G196,Clientes!$C$5:$C$549,0)))),"NO EXISTE en Clientes"))</f>
        <v/>
      </c>
      <c r="I196" s="17" t="inlineStr">
        <is>
          <t>DISPONIBLE</t>
        </is>
      </c>
      <c r="J196" s="17" t="inlineStr">
        <is>
          <t>ALMACEN PRINCIPAL</t>
        </is>
      </c>
      <c r="K196" s="23" t="n"/>
      <c r="L196" s="25">
        <f t="array" ref="L196">IF(K196="","",IFERROR(IF(INDEX(Clientes!$D$5:$D$549,MATCH(K196,Clientes!$C$5:$C$549,0))&lt;&gt;"",INDEX(Clientes!$D$5:$D$549,MATCH(K196,Clientes!$C$5:$C$549,0)),TRIM(INDEX(Clientes!$E$5:$E$549,MATCH(K196,Clientes!$C$5:$C$549,0))&amp;" "&amp;INDEX(Clientes!$F$5:$F$549,MATCH(K196,Clientes!$C$5:$C$549,0)))),"NO EXISTE en Clientes"))</f>
        <v/>
      </c>
      <c r="M196" s="17" t="n">
        <v>2018</v>
      </c>
      <c r="N196" s="17" t="n">
        <v>5</v>
      </c>
      <c r="O196" s="42" t="n">
        <v>43221</v>
      </c>
      <c r="P196" s="39">
        <f>IF(O196&lt;&gt;"",DATE(YEAR(O196)+10,MONTH(O196),1),IF(AND(M196&lt;&gt;"",N196&lt;&gt;""),DATE(M196+5,N196,1),""))</f>
        <v/>
      </c>
      <c r="Q196" s="23" t="n"/>
      <c r="R196" s="17" t="inlineStr">
        <is>
          <t>JD</t>
        </is>
      </c>
      <c r="S196" s="17" t="inlineStr">
        <is>
          <t>TS</t>
        </is>
      </c>
      <c r="T196" s="17" t="n">
        <v>2000</v>
      </c>
      <c r="U196" s="17" t="inlineStr">
        <is>
          <t>AMERICANA</t>
        </is>
      </c>
      <c r="V196" s="23" t="n"/>
      <c r="W196" s="17" t="n"/>
      <c r="X196" s="17" t="inlineStr">
        <is>
          <t>PH LINDE</t>
        </is>
      </c>
      <c r="Y196" s="28">
        <f>IF(B196&lt;&gt;"OK","","SELECT bal_crear_balon(p_codigo_balon =&gt; "&amp;IF(TRIM(C196&amp;"")="","NULL","'"&amp;SUBSTITUTE(TRIM(C196),"'","''")&amp;"'")&amp;", p_id_tipo_balon =&gt; "&amp;"(SELECT id FROM bal_tipo_balon WHERE upper(nombre) = upper('"&amp;SUBSTITUTE(TRIM(D196),"'","''")&amp;"') AND estado = 1 LIMIT 1)"&amp;", p_id_producto_gas =&gt; "&amp;"(SELECT id FROM pro_producto WHERE es_gas = TRUE AND upper(nombre) = upper('"&amp;SUBSTITUTE(TRIM(E196),"'","''")&amp;"') AND estado = 1 LIMIT 1)"&amp;", p_id_propietario =&gt; "&amp;IF(TRIM(F196&amp;"")="","NULL","(SELECT lo.id FROM gen_lista_opciones lo JOIN gen_lista l ON l.id = lo.id_lista WHERE l.nombre = 'PropietarioBalon' AND upper(lo.nombre) = upper('"&amp;SUBSTITUTE(TRIM(F196),"'","''")&amp;"') AND lo.estado = 1 LIMIT 1)")&amp;", p_id_cliente_propietario =&gt; "&amp;IF(F196="CLIENTE",IF(TRIM(G196&amp;"")="","NULL","(SELECT id FROM cli_clientes WHERE numero_documento = '"&amp;SUBSTITUTE(TRIM(G196),"'","''")&amp;"' AND estado = 1 LIMIT 1)"),"NULL")&amp;", p_id_planta =&gt; "&amp;IF(F196="PLANTA",IF(TRIM(G196&amp;"")="","NULL","(SELECT id FROM cli_clientes WHERE numero_documento = '"&amp;SUBSTITUTE(TRIM(G196),"'","''")&amp;"'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"&amp;IF(TRIM(J196&amp;"")="","NULL","(SELECT id FROM gen_almacen WHERE upper(nombre) = upper('"&amp;SUBSTITUTE(TRIM(J196),"'","''")&amp;"') AND estado = 1 LIMIT 1)")&amp;", p_id_cliente_ubicacion =&gt; "&amp;IF(TRIM(K196&amp;"")="","NULL","(SELECT id FROM cli_clientes WHERE numero_documento = '"&amp;SUBSTITUTE(TRIM(K196),"'","''")&amp;"' AND estado = 1 LIMIT 1)")&amp;", p_id_referencia =&gt; "&amp;IF(TRIM(J196&amp;"")&lt;&gt;"","(SELECT lo.id FROM gen_lista_opciones lo JOIN gen_lista l ON l.id = lo.id_lista WHERE l.nombre = 'ReferenciaCilindro' AND upper(lo.nombre) = 'ALMACEN' AND lo.estado = 1 LIMIT 1)",IF(TRIM(K196&amp;"")&lt;&gt;"","(SELECT lo.id FROM gen_lista_opciones lo JOIN gen_lista l ON l.id = lo.id_lista WHERE l.nombre = 'ReferenciaCilindro' AND upper(lo.nombre) = 'CLIENTE' AND lo.estado = 1 LIMIT 1)","NULL"))&amp;", p_anio_fabricacion =&gt; "&amp;IF(M196&amp;""="","NULL::smallint",M196&amp;"::smallint")&amp;", p_mes_fabricacion =&gt; "&amp;IF(N196&amp;""="","NULL::smallint",N196&amp;"::smallint")&amp;", p_fecha_ultima_prueba_hidrostatica =&gt; "&amp;IF(O196&amp;""="","NULL","'"&amp;YEAR(O196)&amp;"-"&amp;TEXT(MONTH(O196),"00")&amp;"-"&amp;TEXT(DAY(O196),"00")&amp;"'")&amp;", p_numero_serie =&gt; "&amp;IF(TRIM(Q196&amp;"")="","NULL","'"&amp;SUBSTITUTE(TRIM(Q196),"'","''")&amp;"'")&amp;", p_id_marca_cilindro =&gt; "&amp;IF(TRIM(R196&amp;"")="","NULL","(SELECT lo.id FROM gen_lista_opciones lo JOIN gen_lista l ON l.id = lo.id_lista WHERE l.nombre = 'MarcaCilindro' AND upper(lo.nombre) = upper('"&amp;SUBSTITUTE(TRIM(R196),"'","''")&amp;"') AND lo.estado = 1 LIMIT 1)")&amp;", p_id_organo_inspector =&gt; "&amp;IF(TRIM(S196&amp;"")="","NULL","(SELECT lo.id FROM gen_lista_opciones lo JOIN gen_lista l ON l.id = lo.id_lista WHERE l.nombre = 'OrganoInspectorCilindro' AND upper(lo.nombre) = upper('"&amp;SUBSTITUTE(TRIM(S196),"'","''")&amp;"') AND lo.estado = 1 LIMIT 1)")&amp;", p_organo_inspector_no_aplica =&gt; "&amp;IF(S196="NO_APLICA","TRUE","FALSE")&amp;", p_presion_actual =&gt; "&amp;IF(T196&amp;""="","NULL",SUBSTITUTE(T196&amp;"",",","."))&amp;", p_tipo_valvula =&gt; "&amp;IF(TRIM(U196&amp;"")="","NULL","'"&amp;SUBSTITUTE(TRIM(U196),"'","''")&amp;"'")&amp;", p_libro_cilindro =&gt; "&amp;IF(TRIM(V196&amp;"")="","NULL","'"&amp;SUBSTITUTE(TRIM(V196),"'","''")&amp;"'")&amp;", p_pagina_libro =&gt; "&amp;IF(W196&amp;""="","NULL",SUBSTITUTE(W196&amp;"",",","."))&amp;", p_observacion =&gt; "&amp;IF(TRIM(X196&amp;"")="","NULL","'"&amp;SUBSTITUTE(TRIM(X196),"'","''")&amp;"'")&amp;") AS resultado_balon_"&amp;ROW()&amp;";")</f>
        <v/>
      </c>
    </row>
    <row r="197" ht="15.75" customHeight="1" s="64">
      <c r="A197" s="36" t="inlineStr">
        <is>
          <t>193</t>
        </is>
      </c>
      <c r="B197" s="25">
        <f>IF(AND(C197="",D197="",E197=""),"",IF(C197="","FALTA código balón",IF(D197="","FALTA tipo balón",IF(E197="","FALTA gas",IF(F197="","FALTA propietario",IF(AND(C197&lt;&gt;"",SUMPRODUCT(--($C$5:$C$1200=C197))&gt;1),"CÓDIGO BALÓN DUPLICADO",IF(AND(OR(UPPER(F197)="PLANTA",UPPER(F197)="CLIENTE"),G197=""),"FALTA doc propietario/planta",IF(AND(UPPER(F197)="PLANTA",G197="10175332796"),"PLANTA no puede ser RUC empresa","OK"))))))))</f>
        <v/>
      </c>
      <c r="C197" s="23" t="inlineStr">
        <is>
          <t>A2389122</t>
        </is>
      </c>
      <c r="D197" s="17" t="inlineStr">
        <is>
          <t>Oxígeno Medicinal 3 m³</t>
        </is>
      </c>
      <c r="E197" s="17" t="inlineStr">
        <is>
          <t>OXIGENO MEDICINAL</t>
        </is>
      </c>
      <c r="F197" s="17" t="inlineStr">
        <is>
          <t>EMPRESA</t>
        </is>
      </c>
      <c r="G197" s="23" t="inlineStr">
        <is>
          <t>10175332796</t>
        </is>
      </c>
      <c r="H197" s="25">
        <f t="array" ref="H197">IF(G197="","",IFERROR(IF(INDEX(Clientes!$D$5:$D$549,MATCH(G197,Clientes!$C$5:$C$549,0))&lt;&gt;"",INDEX(Clientes!$D$5:$D$549,MATCH(G197,Clientes!$C$5:$C$549,0)),TRIM(INDEX(Clientes!$E$5:$E$549,MATCH(G197,Clientes!$C$5:$C$549,0))&amp;" "&amp;INDEX(Clientes!$F$5:$F$549,MATCH(G197,Clientes!$C$5:$C$549,0)))),"NO EXISTE en Clientes"))</f>
        <v/>
      </c>
      <c r="I197" s="17" t="inlineStr">
        <is>
          <t>DISPONIBLE</t>
        </is>
      </c>
      <c r="J197" s="17" t="inlineStr">
        <is>
          <t>ALMACEN PRINCIPAL</t>
        </is>
      </c>
      <c r="K197" s="23" t="n"/>
      <c r="L197" s="25">
        <f t="array" ref="L197">IF(K197="","",IFERROR(IF(INDEX(Clientes!$D$5:$D$549,MATCH(K197,Clientes!$C$5:$C$549,0))&lt;&gt;"",INDEX(Clientes!$D$5:$D$549,MATCH(K197,Clientes!$C$5:$C$549,0)),TRIM(INDEX(Clientes!$E$5:$E$549,MATCH(K197,Clientes!$C$5:$C$549,0))&amp;" "&amp;INDEX(Clientes!$F$5:$F$549,MATCH(K197,Clientes!$C$5:$C$549,0)))),"NO EXISTE en Clientes"))</f>
        <v/>
      </c>
      <c r="M197" s="17" t="n">
        <v>2018</v>
      </c>
      <c r="N197" s="17" t="n">
        <v>6</v>
      </c>
      <c r="O197" s="42" t="n">
        <v>43313</v>
      </c>
      <c r="P197" s="39">
        <f>IF(O197&lt;&gt;"",DATE(YEAR(O197)+10,MONTH(O197),1),IF(AND(M197&lt;&gt;"",N197&lt;&gt;""),DATE(M197+5,N197,1),""))</f>
        <v/>
      </c>
      <c r="Q197" s="23" t="n"/>
      <c r="R197" s="17" t="inlineStr">
        <is>
          <t>JD</t>
        </is>
      </c>
      <c r="S197" s="17" t="inlineStr">
        <is>
          <t>TS</t>
        </is>
      </c>
      <c r="T197" s="17" t="n">
        <v>2000</v>
      </c>
      <c r="U197" s="17" t="inlineStr">
        <is>
          <t>AMERICANA</t>
        </is>
      </c>
      <c r="V197" s="23" t="n"/>
      <c r="W197" s="17" t="n"/>
      <c r="X197" s="17" t="inlineStr">
        <is>
          <t>PH LINDE</t>
        </is>
      </c>
      <c r="Y197" s="28">
        <f>IF(B197&lt;&gt;"OK","","SELECT bal_crear_balon(p_codigo_balon =&gt; "&amp;IF(TRIM(C197&amp;"")="","NULL","'"&amp;SUBSTITUTE(TRIM(C197),"'","''")&amp;"'")&amp;", p_id_tipo_balon =&gt; "&amp;"(SELECT id FROM bal_tipo_balon WHERE upper(nombre) = upper('"&amp;SUBSTITUTE(TRIM(D197),"'","''")&amp;"') AND estado = 1 LIMIT 1)"&amp;", p_id_producto_gas =&gt; "&amp;"(SELECT id FROM pro_producto WHERE es_gas = TRUE AND upper(nombre) = upper('"&amp;SUBSTITUTE(TRIM(E197),"'","''")&amp;"') AND estado = 1 LIMIT 1)"&amp;", p_id_propietario =&gt; "&amp;IF(TRIM(F197&amp;"")="","NULL","(SELECT lo.id FROM gen_lista_opciones lo JOIN gen_lista l ON l.id = lo.id_lista WHERE l.nombre = 'PropietarioBalon' AND upper(lo.nombre) = upper('"&amp;SUBSTITUTE(TRIM(F197),"'","''")&amp;"') AND lo.estado = 1 LIMIT 1)")&amp;", p_id_cliente_propietario =&gt; "&amp;IF(F197="CLIENTE",IF(TRIM(G197&amp;"")="","NULL","(SELECT id FROM cli_clientes WHERE numero_documento = '"&amp;SUBSTITUTE(TRIM(G197),"'","''")&amp;"' AND estado = 1 LIMIT 1)"),"NULL")&amp;", p_id_planta =&gt; "&amp;IF(F197="PLANTA",IF(TRIM(G197&amp;"")="","NULL","(SELECT id FROM cli_clientes WHERE numero_documento = '"&amp;SUBSTITUTE(TRIM(G197),"'","''")&amp;"'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"&amp;IF(TRIM(J197&amp;"")="","NULL","(SELECT id FROM gen_almacen WHERE upper(nombre) = upper('"&amp;SUBSTITUTE(TRIM(J197),"'","''")&amp;"') AND estado = 1 LIMIT 1)")&amp;", p_id_cliente_ubicacion =&gt; "&amp;IF(TRIM(K197&amp;"")="","NULL","(SELECT id FROM cli_clientes WHERE numero_documento = '"&amp;SUBSTITUTE(TRIM(K197),"'","''")&amp;"' AND estado = 1 LIMIT 1)")&amp;", p_id_referencia =&gt; "&amp;IF(TRIM(J197&amp;"")&lt;&gt;"","(SELECT lo.id FROM gen_lista_opciones lo JOIN gen_lista l ON l.id = lo.id_lista WHERE l.nombre = 'ReferenciaCilindro' AND upper(lo.nombre) = 'ALMACEN' AND lo.estado = 1 LIMIT 1)",IF(TRIM(K197&amp;"")&lt;&gt;"","(SELECT lo.id FROM gen_lista_opciones lo JOIN gen_lista l ON l.id = lo.id_lista WHERE l.nombre = 'ReferenciaCilindro' AND upper(lo.nombre) = 'CLIENTE' AND lo.estado = 1 LIMIT 1)","NULL"))&amp;", p_anio_fabricacion =&gt; "&amp;IF(M197&amp;""="","NULL::smallint",M197&amp;"::smallint")&amp;", p_mes_fabricacion =&gt; "&amp;IF(N197&amp;""="","NULL::smallint",N197&amp;"::smallint")&amp;", p_fecha_ultima_prueba_hidrostatica =&gt; "&amp;IF(O197&amp;""="","NULL","'"&amp;YEAR(O197)&amp;"-"&amp;TEXT(MONTH(O197),"00")&amp;"-"&amp;TEXT(DAY(O197),"00")&amp;"'")&amp;", p_numero_serie =&gt; "&amp;IF(TRIM(Q197&amp;"")="","NULL","'"&amp;SUBSTITUTE(TRIM(Q197),"'","''")&amp;"'")&amp;", p_id_marca_cilindro =&gt; "&amp;IF(TRIM(R197&amp;"")="","NULL","(SELECT lo.id FROM gen_lista_opciones lo JOIN gen_lista l ON l.id = lo.id_lista WHERE l.nombre = 'MarcaCilindro' AND upper(lo.nombre) = upper('"&amp;SUBSTITUTE(TRIM(R197),"'","''")&amp;"') AND lo.estado = 1 LIMIT 1)")&amp;", p_id_organo_inspector =&gt; "&amp;IF(TRIM(S197&amp;"")="","NULL","(SELECT lo.id FROM gen_lista_opciones lo JOIN gen_lista l ON l.id = lo.id_lista WHERE l.nombre = 'OrganoInspectorCilindro' AND upper(lo.nombre) = upper('"&amp;SUBSTITUTE(TRIM(S197),"'","''")&amp;"') AND lo.estado = 1 LIMIT 1)")&amp;", p_organo_inspector_no_aplica =&gt; "&amp;IF(S197="NO_APLICA","TRUE","FALSE")&amp;", p_presion_actual =&gt; "&amp;IF(T197&amp;""="","NULL",SUBSTITUTE(T197&amp;"",",","."))&amp;", p_tipo_valvula =&gt; "&amp;IF(TRIM(U197&amp;"")="","NULL","'"&amp;SUBSTITUTE(TRIM(U197),"'","''")&amp;"'")&amp;", p_libro_cilindro =&gt; "&amp;IF(TRIM(V197&amp;"")="","NULL","'"&amp;SUBSTITUTE(TRIM(V197),"'","''")&amp;"'")&amp;", p_pagina_libro =&gt; "&amp;IF(W197&amp;""="","NULL",SUBSTITUTE(W197&amp;"",",","."))&amp;", p_observacion =&gt; "&amp;IF(TRIM(X197&amp;"")="","NULL","'"&amp;SUBSTITUTE(TRIM(X197),"'","''")&amp;"'")&amp;") AS resultado_balon_"&amp;ROW()&amp;";")</f>
        <v/>
      </c>
    </row>
    <row r="198" ht="15.75" customHeight="1" s="64">
      <c r="A198" s="36" t="inlineStr">
        <is>
          <t>194</t>
        </is>
      </c>
      <c r="B198" s="25">
        <f>IF(AND(C198="",D198="",E198=""),"",IF(C198="","FALTA código balón",IF(D198="","FALTA tipo balón",IF(E198="","FALTA gas",IF(F198="","FALTA propietario",IF(AND(C198&lt;&gt;"",SUMPRODUCT(--($C$5:$C$1200=C198))&gt;1),"CÓDIGO BALÓN DUPLICADO",IF(AND(OR(UPPER(F198)="PLANTA",UPPER(F198)="CLIENTE"),G198=""),"FALTA doc propietario/planta",IF(AND(UPPER(F198)="PLANTA",G198="10175332796"),"PLANTA no puede ser RUC empresa","OK"))))))))</f>
        <v/>
      </c>
      <c r="C198" s="23" t="inlineStr">
        <is>
          <t>16927</t>
        </is>
      </c>
      <c r="D198" s="17" t="inlineStr">
        <is>
          <t>Oxigeno Industrial 3 m³</t>
        </is>
      </c>
      <c r="E198" s="17" t="inlineStr">
        <is>
          <t>OXIGENO INDUSTRIAL</t>
        </is>
      </c>
      <c r="F198" s="17" t="inlineStr">
        <is>
          <t>EMPRESA</t>
        </is>
      </c>
      <c r="G198" s="23" t="inlineStr">
        <is>
          <t>10175332796</t>
        </is>
      </c>
      <c r="H198" s="25">
        <f t="array" ref="H198">IF(G198="","",IFERROR(IF(INDEX(Clientes!$D$5:$D$549,MATCH(G198,Clientes!$C$5:$C$549,0))&lt;&gt;"",INDEX(Clientes!$D$5:$D$549,MATCH(G198,Clientes!$C$5:$C$549,0)),TRIM(INDEX(Clientes!$E$5:$E$549,MATCH(G198,Clientes!$C$5:$C$549,0))&amp;" "&amp;INDEX(Clientes!$F$5:$F$549,MATCH(G198,Clientes!$C$5:$C$549,0)))),"NO EXISTE en Clientes"))</f>
        <v/>
      </c>
      <c r="I198" s="17" t="inlineStr">
        <is>
          <t>DISPONIBLE</t>
        </is>
      </c>
      <c r="J198" s="17" t="inlineStr">
        <is>
          <t>ALMACEN PRINCIPAL</t>
        </is>
      </c>
      <c r="K198" s="23" t="n"/>
      <c r="L198" s="25">
        <f t="array" ref="L198">IF(K198="","",IFERROR(IF(INDEX(Clientes!$D$5:$D$549,MATCH(K198,Clientes!$C$5:$C$549,0))&lt;&gt;"",INDEX(Clientes!$D$5:$D$549,MATCH(K198,Clientes!$C$5:$C$549,0)),TRIM(INDEX(Clientes!$E$5:$E$549,MATCH(K198,Clientes!$C$5:$C$549,0))&amp;" "&amp;INDEX(Clientes!$F$5:$F$549,MATCH(K198,Clientes!$C$5:$C$549,0)))),"NO EXISTE en Clientes"))</f>
        <v/>
      </c>
      <c r="M198" s="17" t="n"/>
      <c r="N198" s="17" t="n"/>
      <c r="O198" s="42" t="n"/>
      <c r="P198" s="39">
        <f>IF(O198&lt;&gt;"",DATE(YEAR(O198)+10,MONTH(O198),1),IF(AND(M198&lt;&gt;"",N198&lt;&gt;""),DATE(M198+5,N198,1),""))</f>
        <v/>
      </c>
      <c r="Q198" s="23" t="n"/>
      <c r="R198" s="17" t="n"/>
      <c r="S198" s="17" t="n"/>
      <c r="T198" s="17" t="n"/>
      <c r="U198" s="17" t="inlineStr">
        <is>
          <t>CHINA</t>
        </is>
      </c>
      <c r="V198" s="23" t="n"/>
      <c r="W198" s="17" t="n"/>
      <c r="X198" s="17" t="inlineStr">
        <is>
          <t>CILINDROS PARA CANJE</t>
        </is>
      </c>
      <c r="Y198" s="28">
        <f>IF(B198&lt;&gt;"OK","","SELECT bal_crear_balon(p_codigo_balon =&gt; "&amp;IF(TRIM(C198&amp;"")="","NULL","'"&amp;SUBSTITUTE(TRIM(C198),"'","''")&amp;"'")&amp;", p_id_tipo_balon =&gt; "&amp;"(SELECT id FROM bal_tipo_balon WHERE upper(nombre) = upper('"&amp;SUBSTITUTE(TRIM(D198),"'","''")&amp;"') AND estado = 1 LIMIT 1)"&amp;", p_id_producto_gas =&gt; "&amp;"(SELECT id FROM pro_producto WHERE es_gas = TRUE AND upper(nombre) = upper('"&amp;SUBSTITUTE(TRIM(E198),"'","''")&amp;"') AND estado = 1 LIMIT 1)"&amp;", p_id_propietario =&gt; "&amp;IF(TRIM(F198&amp;"")="","NULL","(SELECT lo.id FROM gen_lista_opciones lo JOIN gen_lista l ON l.id = lo.id_lista WHERE l.nombre = 'PropietarioBalon' AND upper(lo.nombre) = upper('"&amp;SUBSTITUTE(TRIM(F198),"'","''")&amp;"') AND lo.estado = 1 LIMIT 1)")&amp;", p_id_cliente_propietario =&gt; "&amp;IF(F198="CLIENTE",IF(TRIM(G198&amp;"")="","NULL","(SELECT id FROM cli_clientes WHERE numero_documento = '"&amp;SUBSTITUTE(TRIM(G198),"'","''")&amp;"' AND estado = 1 LIMIT 1)"),"NULL")&amp;", p_id_planta =&gt; "&amp;IF(F198="PLANTA",IF(TRIM(G198&amp;"")="","NULL","(SELECT id FROM cli_clientes WHERE numero_documento = '"&amp;SUBSTITUTE(TRIM(G198),"'","''")&amp;"'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"&amp;IF(TRIM(J198&amp;"")="","NULL","(SELECT id FROM gen_almacen WHERE upper(nombre) = upper('"&amp;SUBSTITUTE(TRIM(J198),"'","''")&amp;"') AND estado = 1 LIMIT 1)")&amp;", p_id_cliente_ubicacion =&gt; "&amp;IF(TRIM(K198&amp;"")="","NULL","(SELECT id FROM cli_clientes WHERE numero_documento = '"&amp;SUBSTITUTE(TRIM(K198),"'","''")&amp;"' AND estado = 1 LIMIT 1)")&amp;", p_id_referencia =&gt; "&amp;IF(TRIM(J198&amp;"")&lt;&gt;"","(SELECT lo.id FROM gen_lista_opciones lo JOIN gen_lista l ON l.id = lo.id_lista WHERE l.nombre = 'ReferenciaCilindro' AND upper(lo.nombre) = 'ALMACEN' AND lo.estado = 1 LIMIT 1)",IF(TRIM(K198&amp;"")&lt;&gt;"","(SELECT lo.id FROM gen_lista_opciones lo JOIN gen_lista l ON l.id = lo.id_lista WHERE l.nombre = 'ReferenciaCilindro' AND upper(lo.nombre) = 'CLIENTE' AND lo.estado = 1 LIMIT 1)","NULL"))&amp;", p_anio_fabricacion =&gt; "&amp;IF(M198&amp;""="","NULL::smallint",M198&amp;"::smallint")&amp;", p_mes_fabricacion =&gt; "&amp;IF(N198&amp;""="","NULL::smallint",N198&amp;"::smallint")&amp;", p_fecha_ultima_prueba_hidrostatica =&gt; "&amp;IF(O198&amp;""="","NULL","'"&amp;YEAR(O198)&amp;"-"&amp;TEXT(MONTH(O198),"00")&amp;"-"&amp;TEXT(DAY(O198),"00")&amp;"'")&amp;", p_numero_serie =&gt; "&amp;IF(TRIM(Q198&amp;"")="","NULL","'"&amp;SUBSTITUTE(TRIM(Q198),"'","''")&amp;"'")&amp;", p_id_marca_cilindro =&gt; "&amp;IF(TRIM(R198&amp;"")="","NULL","(SELECT lo.id FROM gen_lista_opciones lo JOIN gen_lista l ON l.id = lo.id_lista WHERE l.nombre = 'MarcaCilindro' AND upper(lo.nombre) = upper('"&amp;SUBSTITUTE(TRIM(R198),"'","''")&amp;"') AND lo.estado = 1 LIMIT 1)")&amp;", p_id_organo_inspector =&gt; "&amp;IF(TRIM(S198&amp;"")="","NULL","(SELECT lo.id FROM gen_lista_opciones lo JOIN gen_lista l ON l.id = lo.id_lista WHERE l.nombre = 'OrganoInspectorCilindro' AND upper(lo.nombre) = upper('"&amp;SUBSTITUTE(TRIM(S198),"'","''")&amp;"') AND lo.estado = 1 LIMIT 1)")&amp;", p_organo_inspector_no_aplica =&gt; "&amp;IF(S198="NO_APLICA","TRUE","FALSE")&amp;", p_presion_actual =&gt; "&amp;IF(T198&amp;""="","NULL",SUBSTITUTE(T198&amp;"",",","."))&amp;", p_tipo_valvula =&gt; "&amp;IF(TRIM(U198&amp;"")="","NULL","'"&amp;SUBSTITUTE(TRIM(U198),"'","''")&amp;"'")&amp;", p_libro_cilindro =&gt; "&amp;IF(TRIM(V198&amp;"")="","NULL","'"&amp;SUBSTITUTE(TRIM(V198),"'","''")&amp;"'")&amp;", p_pagina_libro =&gt; "&amp;IF(W198&amp;""="","NULL",SUBSTITUTE(W198&amp;"",",","."))&amp;", p_observacion =&gt; "&amp;IF(TRIM(X198&amp;"")="","NULL","'"&amp;SUBSTITUTE(TRIM(X198),"'","''")&amp;"'")&amp;") AS resultado_balon_"&amp;ROW()&amp;";")</f>
        <v/>
      </c>
    </row>
    <row r="199" ht="15.75" customHeight="1" s="64">
      <c r="A199" s="36" t="inlineStr">
        <is>
          <t>195</t>
        </is>
      </c>
      <c r="B199" s="25">
        <f>IF(AND(C199="",D199="",E199=""),"",IF(C199="","FALTA código balón",IF(D199="","FALTA tipo balón",IF(E199="","FALTA gas",IF(F199="","FALTA propietario",IF(AND(C199&lt;&gt;"",SUMPRODUCT(--($C$5:$C$1200=C199))&gt;1),"CÓDIGO BALÓN DUPLICADO",IF(AND(OR(UPPER(F199)="PLANTA",UPPER(F199)="CLIENTE"),G199=""),"FALTA doc propietario/planta",IF(AND(UPPER(F199)="PLANTA",G199="10175332796"),"PLANTA no puede ser RUC empresa","OK"))))))))</f>
        <v/>
      </c>
      <c r="C199" s="23" t="inlineStr">
        <is>
          <t>A2389158</t>
        </is>
      </c>
      <c r="D199" s="17" t="inlineStr">
        <is>
          <t>Oxígeno Medicinal 3 m³</t>
        </is>
      </c>
      <c r="E199" s="17" t="inlineStr">
        <is>
          <t>OXIGENO MEDICINAL</t>
        </is>
      </c>
      <c r="F199" s="17" t="inlineStr">
        <is>
          <t>EMPRESA</t>
        </is>
      </c>
      <c r="G199" s="23" t="inlineStr">
        <is>
          <t>10175332796</t>
        </is>
      </c>
      <c r="H199" s="25">
        <f t="array" ref="H199">IF(G199="","",IFERROR(IF(INDEX(Clientes!$D$5:$D$549,MATCH(G199,Clientes!$C$5:$C$549,0))&lt;&gt;"",INDEX(Clientes!$D$5:$D$549,MATCH(G199,Clientes!$C$5:$C$549,0)),TRIM(INDEX(Clientes!$E$5:$E$549,MATCH(G199,Clientes!$C$5:$C$549,0))&amp;" "&amp;INDEX(Clientes!$F$5:$F$549,MATCH(G199,Clientes!$C$5:$C$549,0)))),"NO EXISTE en Clientes"))</f>
        <v/>
      </c>
      <c r="I199" s="17" t="inlineStr">
        <is>
          <t>DISPONIBLE</t>
        </is>
      </c>
      <c r="J199" s="17" t="inlineStr">
        <is>
          <t>ALMACEN PRINCIPAL</t>
        </is>
      </c>
      <c r="K199" s="23" t="n"/>
      <c r="L199" s="25">
        <f t="array" ref="L199">IF(K199="","",IFERROR(IF(INDEX(Clientes!$D$5:$D$549,MATCH(K199,Clientes!$C$5:$C$549,0))&lt;&gt;"",INDEX(Clientes!$D$5:$D$549,MATCH(K199,Clientes!$C$5:$C$549,0)),TRIM(INDEX(Clientes!$E$5:$E$549,MATCH(K199,Clientes!$C$5:$C$549,0))&amp;" "&amp;INDEX(Clientes!$F$5:$F$549,MATCH(K199,Clientes!$C$5:$C$549,0)))),"NO EXISTE en Clientes"))</f>
        <v/>
      </c>
      <c r="M199" s="17" t="n">
        <v>2018</v>
      </c>
      <c r="N199" s="17" t="n">
        <v>7</v>
      </c>
      <c r="O199" s="42" t="n">
        <v>43282</v>
      </c>
      <c r="P199" s="39">
        <f>IF(O199&lt;&gt;"",DATE(YEAR(O199)+10,MONTH(O199),1),IF(AND(M199&lt;&gt;"",N199&lt;&gt;""),DATE(M199+5,N199,1),""))</f>
        <v/>
      </c>
      <c r="Q199" s="23" t="n"/>
      <c r="R199" s="17" t="inlineStr">
        <is>
          <t>JD</t>
        </is>
      </c>
      <c r="S199" s="17" t="inlineStr">
        <is>
          <t>TS</t>
        </is>
      </c>
      <c r="T199" s="17" t="n">
        <v>2000</v>
      </c>
      <c r="U199" s="17" t="n"/>
      <c r="V199" s="23" t="n"/>
      <c r="W199" s="17" t="n"/>
      <c r="X199" s="17" t="inlineStr">
        <is>
          <t>PH LINDE</t>
        </is>
      </c>
      <c r="Y199" s="28">
        <f>IF(B199&lt;&gt;"OK","","SELECT bal_crear_balon(p_codigo_balon =&gt; "&amp;IF(TRIM(C199&amp;"")="","NULL","'"&amp;SUBSTITUTE(TRIM(C199),"'","''")&amp;"'")&amp;", p_id_tipo_balon =&gt; "&amp;"(SELECT id FROM bal_tipo_balon WHERE upper(nombre) = upper('"&amp;SUBSTITUTE(TRIM(D199),"'","''")&amp;"') AND estado = 1 LIMIT 1)"&amp;", p_id_producto_gas =&gt; "&amp;"(SELECT id FROM pro_producto WHERE es_gas = TRUE AND upper(nombre) = upper('"&amp;SUBSTITUTE(TRIM(E199),"'","''")&amp;"') AND estado = 1 LIMIT 1)"&amp;", p_id_propietario =&gt; "&amp;IF(TRIM(F199&amp;"")="","NULL","(SELECT lo.id FROM gen_lista_opciones lo JOIN gen_lista l ON l.id = lo.id_lista WHERE l.nombre = 'PropietarioBalon' AND upper(lo.nombre) = upper('"&amp;SUBSTITUTE(TRIM(F199),"'","''")&amp;"') AND lo.estado = 1 LIMIT 1)")&amp;", p_id_cliente_propietario =&gt; "&amp;IF(F199="CLIENTE",IF(TRIM(G199&amp;"")="","NULL","(SELECT id FROM cli_clientes WHERE numero_documento = '"&amp;SUBSTITUTE(TRIM(G199),"'","''")&amp;"' AND estado = 1 LIMIT 1)"),"NULL")&amp;", p_id_planta =&gt; "&amp;IF(F199="PLANTA",IF(TRIM(G199&amp;"")="","NULL","(SELECT id FROM cli_clientes WHERE numero_documento = '"&amp;SUBSTITUTE(TRIM(G199),"'","''")&amp;"'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"&amp;IF(TRIM(J199&amp;"")="","NULL","(SELECT id FROM gen_almacen WHERE upper(nombre) = upper('"&amp;SUBSTITUTE(TRIM(J199),"'","''")&amp;"') AND estado = 1 LIMIT 1)")&amp;", p_id_cliente_ubicacion =&gt; "&amp;IF(TRIM(K199&amp;"")="","NULL","(SELECT id FROM cli_clientes WHERE numero_documento = '"&amp;SUBSTITUTE(TRIM(K199),"'","''")&amp;"' AND estado = 1 LIMIT 1)")&amp;", p_id_referencia =&gt; "&amp;IF(TRIM(J199&amp;"")&lt;&gt;"","(SELECT lo.id FROM gen_lista_opciones lo JOIN gen_lista l ON l.id = lo.id_lista WHERE l.nombre = 'ReferenciaCilindro' AND upper(lo.nombre) = 'ALMACEN' AND lo.estado = 1 LIMIT 1)",IF(TRIM(K199&amp;"")&lt;&gt;"","(SELECT lo.id FROM gen_lista_opciones lo JOIN gen_lista l ON l.id = lo.id_lista WHERE l.nombre = 'ReferenciaCilindro' AND upper(lo.nombre) = 'CLIENTE' AND lo.estado = 1 LIMIT 1)","NULL"))&amp;", p_anio_fabricacion =&gt; "&amp;IF(M199&amp;""="","NULL::smallint",M199&amp;"::smallint")&amp;", p_mes_fabricacion =&gt; "&amp;IF(N199&amp;""="","NULL::smallint",N199&amp;"::smallint")&amp;", p_fecha_ultima_prueba_hidrostatica =&gt; "&amp;IF(O199&amp;""="","NULL","'"&amp;YEAR(O199)&amp;"-"&amp;TEXT(MONTH(O199),"00")&amp;"-"&amp;TEXT(DAY(O199),"00")&amp;"'")&amp;", p_numero_serie =&gt; "&amp;IF(TRIM(Q199&amp;"")="","NULL","'"&amp;SUBSTITUTE(TRIM(Q199),"'","''")&amp;"'")&amp;", p_id_marca_cilindro =&gt; "&amp;IF(TRIM(R199&amp;"")="","NULL","(SELECT lo.id FROM gen_lista_opciones lo JOIN gen_lista l ON l.id = lo.id_lista WHERE l.nombre = 'MarcaCilindro' AND upper(lo.nombre) = upper('"&amp;SUBSTITUTE(TRIM(R199),"'","''")&amp;"') AND lo.estado = 1 LIMIT 1)")&amp;", p_id_organo_inspector =&gt; "&amp;IF(TRIM(S199&amp;"")="","NULL","(SELECT lo.id FROM gen_lista_opciones lo JOIN gen_lista l ON l.id = lo.id_lista WHERE l.nombre = 'OrganoInspectorCilindro' AND upper(lo.nombre) = upper('"&amp;SUBSTITUTE(TRIM(S199),"'","''")&amp;"') AND lo.estado = 1 LIMIT 1)")&amp;", p_organo_inspector_no_aplica =&gt; "&amp;IF(S199="NO_APLICA","TRUE","FALSE")&amp;", p_presion_actual =&gt; "&amp;IF(T199&amp;""="","NULL",SUBSTITUTE(T199&amp;"",",","."))&amp;", p_tipo_valvula =&gt; "&amp;IF(TRIM(U199&amp;"")="","NULL","'"&amp;SUBSTITUTE(TRIM(U199),"'","''")&amp;"'")&amp;", p_libro_cilindro =&gt; "&amp;IF(TRIM(V199&amp;"")="","NULL","'"&amp;SUBSTITUTE(TRIM(V199),"'","''")&amp;"'")&amp;", p_pagina_libro =&gt; "&amp;IF(W199&amp;""="","NULL",SUBSTITUTE(W199&amp;"",",","."))&amp;", p_observacion =&gt; "&amp;IF(TRIM(X199&amp;"")="","NULL","'"&amp;SUBSTITUTE(TRIM(X199),"'","''")&amp;"'")&amp;") AS resultado_balon_"&amp;ROW()&amp;";")</f>
        <v/>
      </c>
    </row>
    <row r="200" ht="15.75" customHeight="1" s="64">
      <c r="A200" s="36" t="inlineStr">
        <is>
          <t>196</t>
        </is>
      </c>
      <c r="B200" s="25">
        <f>IF(AND(C200="",D200="",E200=""),"",IF(C200="","FALTA código balón",IF(D200="","FALTA tipo balón",IF(E200="","FALTA gas",IF(F200="","FALTA propietario",IF(AND(C200&lt;&gt;"",SUMPRODUCT(--($C$5:$C$1200=C200))&gt;1),"CÓDIGO BALÓN DUPLICADO",IF(AND(OR(UPPER(F200)="PLANTA",UPPER(F200)="CLIENTE"),G200=""),"FALTA doc propietario/planta",IF(AND(UPPER(F200)="PLANTA",G200="10175332796"),"PLANTA no puede ser RUC empresa","OK"))))))))</f>
        <v/>
      </c>
      <c r="C200" s="23" t="inlineStr">
        <is>
          <t>20Y446006</t>
        </is>
      </c>
      <c r="D200" s="17" t="inlineStr">
        <is>
          <t>Oxígeno Medicinal 10 m³</t>
        </is>
      </c>
      <c r="E200" s="17" t="inlineStr">
        <is>
          <t>OXIGENO MEDICINAL</t>
        </is>
      </c>
      <c r="F200" s="17" t="inlineStr">
        <is>
          <t>EMPRESA</t>
        </is>
      </c>
      <c r="G200" s="23" t="inlineStr">
        <is>
          <t>10175332796</t>
        </is>
      </c>
      <c r="H200" s="25">
        <f t="array" ref="H200">IF(G200="","",IFERROR(IF(INDEX(Clientes!$D$5:$D$549,MATCH(G200,Clientes!$C$5:$C$549,0))&lt;&gt;"",INDEX(Clientes!$D$5:$D$549,MATCH(G200,Clientes!$C$5:$C$549,0)),TRIM(INDEX(Clientes!$E$5:$E$549,MATCH(G200,Clientes!$C$5:$C$549,0))&amp;" "&amp;INDEX(Clientes!$F$5:$F$549,MATCH(G200,Clientes!$C$5:$C$549,0)))),"NO EXISTE en Clientes"))</f>
        <v/>
      </c>
      <c r="I200" s="17" t="inlineStr">
        <is>
          <t>EN_PODER_CLIENTE</t>
        </is>
      </c>
      <c r="J200" s="17" t="n"/>
      <c r="K200" s="23" t="inlineStr">
        <is>
          <t>41390177</t>
        </is>
      </c>
      <c r="L200" s="25">
        <f t="array" ref="L200">IF(K200="","",IFERROR(IF(INDEX(Clientes!$D$5:$D$549,MATCH(K200,Clientes!$C$5:$C$549,0))&lt;&gt;"",INDEX(Clientes!$D$5:$D$549,MATCH(K200,Clientes!$C$5:$C$549,0)),TRIM(INDEX(Clientes!$E$5:$E$549,MATCH(K200,Clientes!$C$5:$C$549,0))&amp;" "&amp;INDEX(Clientes!$F$5:$F$549,MATCH(K200,Clientes!$C$5:$C$549,0)))),"NO EXISTE en Clientes"))</f>
        <v/>
      </c>
      <c r="M200" s="17" t="n"/>
      <c r="N200" s="17" t="n"/>
      <c r="O200" s="42" t="n"/>
      <c r="P200" s="39">
        <f>IF(O200&lt;&gt;"",DATE(YEAR(O200)+10,MONTH(O200),1),IF(AND(M200&lt;&gt;"",N200&lt;&gt;""),DATE(M200+5,N200,1),""))</f>
        <v/>
      </c>
      <c r="Q200" s="23" t="n"/>
      <c r="R200" s="17" t="n"/>
      <c r="S200" s="17" t="n"/>
      <c r="T200" s="17" t="n"/>
      <c r="U200" s="17" t="n"/>
      <c r="V200" s="23" t="n"/>
      <c r="W200" s="17" t="n"/>
      <c r="X200" s="17" t="n"/>
      <c r="Y200" s="28">
        <f>IF(B200&lt;&gt;"OK","","SELECT bal_crear_balon(p_codigo_balon =&gt; "&amp;IF(TRIM(C200&amp;"")="","NULL","'"&amp;SUBSTITUTE(TRIM(C200),"'","''")&amp;"'")&amp;", p_id_tipo_balon =&gt; "&amp;"(SELECT id FROM bal_tipo_balon WHERE upper(nombre) = upper('"&amp;SUBSTITUTE(TRIM(D200),"'","''")&amp;"') AND estado = 1 LIMIT 1)"&amp;", p_id_producto_gas =&gt; "&amp;"(SELECT id FROM pro_producto WHERE es_gas = TRUE AND upper(nombre) = upper('"&amp;SUBSTITUTE(TRIM(E200),"'","''")&amp;"') AND estado = 1 LIMIT 1)"&amp;", p_id_propietario =&gt; "&amp;IF(TRIM(F200&amp;"")="","NULL","(SELECT lo.id FROM gen_lista_opciones lo JOIN gen_lista l ON l.id = lo.id_lista WHERE l.nombre = 'PropietarioBalon' AND upper(lo.nombre) = upper('"&amp;SUBSTITUTE(TRIM(F200),"'","''")&amp;"') AND lo.estado = 1 LIMIT 1)")&amp;", p_id_cliente_propietario =&gt; "&amp;IF(F200="CLIENTE",IF(TRIM(G200&amp;"")="","NULL","(SELECT id FROM cli_clientes WHERE numero_documento = '"&amp;SUBSTITUTE(TRIM(G200),"'","''")&amp;"' AND estado = 1 LIMIT 1)"),"NULL")&amp;", p_id_planta =&gt; "&amp;IF(F200="PLANTA",IF(TRIM(G200&amp;"")="","NULL","(SELECT id FROM cli_clientes WHERE numero_documento = '"&amp;SUBSTITUTE(TRIM(G200),"'","''")&amp;"'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"&amp;IF(TRIM(J200&amp;"")="","NULL","(SELECT id FROM gen_almacen WHERE upper(nombre) = upper('"&amp;SUBSTITUTE(TRIM(J200),"'","''")&amp;"') AND estado = 1 LIMIT 1)")&amp;", p_id_cliente_ubicacion =&gt; "&amp;IF(TRIM(K200&amp;"")="","NULL","(SELECT id FROM cli_clientes WHERE numero_documento = '"&amp;SUBSTITUTE(TRIM(K200),"'","''")&amp;"' AND estado = 1 LIMIT 1)")&amp;", p_id_referencia =&gt; "&amp;IF(TRIM(J200&amp;"")&lt;&gt;"","(SELECT lo.id FROM gen_lista_opciones lo JOIN gen_lista l ON l.id = lo.id_lista WHERE l.nombre = 'ReferenciaCilindro' AND upper(lo.nombre) = 'ALMACEN' AND lo.estado = 1 LIMIT 1)",IF(TRIM(K200&amp;"")&lt;&gt;"","(SELECT lo.id FROM gen_lista_opciones lo JOIN gen_lista l ON l.id = lo.id_lista WHERE l.nombre = 'ReferenciaCilindro' AND upper(lo.nombre) = 'CLIENTE' AND lo.estado = 1 LIMIT 1)","NULL"))&amp;", p_anio_fabricacion =&gt; "&amp;IF(M200&amp;""="","NULL::smallint",M200&amp;"::smallint")&amp;", p_mes_fabricacion =&gt; "&amp;IF(N200&amp;""="","NULL::smallint",N200&amp;"::smallint")&amp;", p_fecha_ultima_prueba_hidrostatica =&gt; "&amp;IF(O200&amp;""="","NULL","'"&amp;YEAR(O200)&amp;"-"&amp;TEXT(MONTH(O200),"00")&amp;"-"&amp;TEXT(DAY(O200),"00")&amp;"'")&amp;", p_numero_serie =&gt; "&amp;IF(TRIM(Q200&amp;"")="","NULL","'"&amp;SUBSTITUTE(TRIM(Q200),"'","''")&amp;"'")&amp;", p_id_marca_cilindro =&gt; "&amp;IF(TRIM(R200&amp;"")="","NULL","(SELECT lo.id FROM gen_lista_opciones lo JOIN gen_lista l ON l.id = lo.id_lista WHERE l.nombre = 'MarcaCilindro' AND upper(lo.nombre) = upper('"&amp;SUBSTITUTE(TRIM(R200),"'","''")&amp;"') AND lo.estado = 1 LIMIT 1)")&amp;", p_id_organo_inspector =&gt; "&amp;IF(TRIM(S200&amp;"")="","NULL","(SELECT lo.id FROM gen_lista_opciones lo JOIN gen_lista l ON l.id = lo.id_lista WHERE l.nombre = 'OrganoInspectorCilindro' AND upper(lo.nombre) = upper('"&amp;SUBSTITUTE(TRIM(S200),"'","''")&amp;"') AND lo.estado = 1 LIMIT 1)")&amp;", p_organo_inspector_no_aplica =&gt; "&amp;IF(S200="NO_APLICA","TRUE","FALSE")&amp;", p_presion_actual =&gt; "&amp;IF(T200&amp;""="","NULL",SUBSTITUTE(T200&amp;"",",","."))&amp;", p_tipo_valvula =&gt; "&amp;IF(TRIM(U200&amp;"")="","NULL","'"&amp;SUBSTITUTE(TRIM(U200),"'","''")&amp;"'")&amp;", p_libro_cilindro =&gt; "&amp;IF(TRIM(V200&amp;"")="","NULL","'"&amp;SUBSTITUTE(TRIM(V200),"'","''")&amp;"'")&amp;", p_pagina_libro =&gt; "&amp;IF(W200&amp;""="","NULL",SUBSTITUTE(W200&amp;"",",","."))&amp;", p_observacion =&gt; "&amp;IF(TRIM(X200&amp;"")="","NULL","'"&amp;SUBSTITUTE(TRIM(X200),"'","''")&amp;"'")&amp;") AS resultado_balon_"&amp;ROW()&amp;";")</f>
        <v/>
      </c>
    </row>
    <row r="201" ht="15.75" customHeight="1" s="64">
      <c r="A201" s="36" t="inlineStr">
        <is>
          <t>197</t>
        </is>
      </c>
      <c r="B201" s="25">
        <f>IF(AND(C201="",D201="",E201=""),"",IF(C201="","FALTA código balón",IF(D201="","FALTA tipo balón",IF(E201="","FALTA gas",IF(F201="","FALTA propietario",IF(AND(C201&lt;&gt;"",SUMPRODUCT(--($C$5:$C$1200=C201))&gt;1),"CÓDIGO BALÓN DUPLICADO",IF(AND(OR(UPPER(F201)="PLANTA",UPPER(F201)="CLIENTE"),G201=""),"FALTA doc propietario/planta",IF(AND(UPPER(F201)="PLANTA",G201="10175332796"),"PLANTA no puede ser RUC empresa","OK"))))))))</f>
        <v/>
      </c>
      <c r="C201" s="23" t="inlineStr">
        <is>
          <t>K4860100</t>
        </is>
      </c>
      <c r="D201" s="17" t="inlineStr">
        <is>
          <t>Oxígeno Medicinal 10 m³</t>
        </is>
      </c>
      <c r="E201" s="17" t="inlineStr">
        <is>
          <t>OXIGENO MEDICINAL</t>
        </is>
      </c>
      <c r="F201" s="17" t="inlineStr">
        <is>
          <t>EMPRESA</t>
        </is>
      </c>
      <c r="G201" s="23" t="inlineStr">
        <is>
          <t>10175332796</t>
        </is>
      </c>
      <c r="H201" s="25">
        <f t="array" ref="H201">IF(G201="","",IFERROR(IF(INDEX(Clientes!$D$5:$D$549,MATCH(G201,Clientes!$C$5:$C$549,0))&lt;&gt;"",INDEX(Clientes!$D$5:$D$549,MATCH(G201,Clientes!$C$5:$C$549,0)),TRIM(INDEX(Clientes!$E$5:$E$549,MATCH(G201,Clientes!$C$5:$C$549,0))&amp;" "&amp;INDEX(Clientes!$F$5:$F$549,MATCH(G201,Clientes!$C$5:$C$549,0)))),"NO EXISTE en Clientes"))</f>
        <v/>
      </c>
      <c r="I201" s="17" t="inlineStr">
        <is>
          <t>EN_PODER_CLIENTE</t>
        </is>
      </c>
      <c r="J201" s="17" t="n"/>
      <c r="K201" s="23" t="inlineStr">
        <is>
          <t>41037767</t>
        </is>
      </c>
      <c r="L201" s="25">
        <f t="array" ref="L201">IF(K201="","",IFERROR(IF(INDEX(Clientes!$D$5:$D$549,MATCH(K201,Clientes!$C$5:$C$549,0))&lt;&gt;"",INDEX(Clientes!$D$5:$D$549,MATCH(K201,Clientes!$C$5:$C$549,0)),TRIM(INDEX(Clientes!$E$5:$E$549,MATCH(K201,Clientes!$C$5:$C$549,0))&amp;" "&amp;INDEX(Clientes!$F$5:$F$549,MATCH(K201,Clientes!$C$5:$C$549,0)))),"NO EXISTE en Clientes"))</f>
        <v/>
      </c>
      <c r="M201" s="17" t="n"/>
      <c r="N201" s="17" t="n"/>
      <c r="O201" s="42" t="n"/>
      <c r="P201" s="39">
        <f>IF(O201&lt;&gt;"",DATE(YEAR(O201)+10,MONTH(O201),1),IF(AND(M201&lt;&gt;"",N201&lt;&gt;""),DATE(M201+5,N201,1),""))</f>
        <v/>
      </c>
      <c r="Q201" s="23" t="n"/>
      <c r="R201" s="17" t="n"/>
      <c r="S201" s="17" t="n"/>
      <c r="T201" s="17" t="n"/>
      <c r="U201" s="17" t="n"/>
      <c r="V201" s="23" t="n"/>
      <c r="W201" s="17" t="n"/>
      <c r="X201" s="17" t="n"/>
      <c r="Y201" s="28">
        <f>IF(B201&lt;&gt;"OK","","SELECT bal_crear_balon(p_codigo_balon =&gt; "&amp;IF(TRIM(C201&amp;"")="","NULL","'"&amp;SUBSTITUTE(TRIM(C201),"'","''")&amp;"'")&amp;", p_id_tipo_balon =&gt; "&amp;"(SELECT id FROM bal_tipo_balon WHERE upper(nombre) = upper('"&amp;SUBSTITUTE(TRIM(D201),"'","''")&amp;"') AND estado = 1 LIMIT 1)"&amp;", p_id_producto_gas =&gt; "&amp;"(SELECT id FROM pro_producto WHERE es_gas = TRUE AND upper(nombre) = upper('"&amp;SUBSTITUTE(TRIM(E201),"'","''")&amp;"') AND estado = 1 LIMIT 1)"&amp;", p_id_propietario =&gt; "&amp;IF(TRIM(F201&amp;"")="","NULL","(SELECT lo.id FROM gen_lista_opciones lo JOIN gen_lista l ON l.id = lo.id_lista WHERE l.nombre = 'PropietarioBalon' AND upper(lo.nombre) = upper('"&amp;SUBSTITUTE(TRIM(F201),"'","''")&amp;"') AND lo.estado = 1 LIMIT 1)")&amp;", p_id_cliente_propietario =&gt; "&amp;IF(F201="CLIENTE",IF(TRIM(G201&amp;"")="","NULL","(SELECT id FROM cli_clientes WHERE numero_documento = '"&amp;SUBSTITUTE(TRIM(G201),"'","''")&amp;"' AND estado = 1 LIMIT 1)"),"NULL")&amp;", p_id_planta =&gt; "&amp;IF(F201="PLANTA",IF(TRIM(G201&amp;"")="","NULL","(SELECT id FROM cli_clientes WHERE numero_documento = '"&amp;SUBSTITUTE(TRIM(G201),"'","''")&amp;"'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"&amp;IF(TRIM(J201&amp;"")="","NULL","(SELECT id FROM gen_almacen WHERE upper(nombre) = upper('"&amp;SUBSTITUTE(TRIM(J201),"'","''")&amp;"') AND estado = 1 LIMIT 1)")&amp;", p_id_cliente_ubicacion =&gt; "&amp;IF(TRIM(K201&amp;"")="","NULL","(SELECT id FROM cli_clientes WHERE numero_documento = '"&amp;SUBSTITUTE(TRIM(K201),"'","''")&amp;"' AND estado = 1 LIMIT 1)")&amp;", p_id_referencia =&gt; "&amp;IF(TRIM(J201&amp;"")&lt;&gt;"","(SELECT lo.id FROM gen_lista_opciones lo JOIN gen_lista l ON l.id = lo.id_lista WHERE l.nombre = 'ReferenciaCilindro' AND upper(lo.nombre) = 'ALMACEN' AND lo.estado = 1 LIMIT 1)",IF(TRIM(K201&amp;"")&lt;&gt;"","(SELECT lo.id FROM gen_lista_opciones lo JOIN gen_lista l ON l.id = lo.id_lista WHERE l.nombre = 'ReferenciaCilindro' AND upper(lo.nombre) = 'CLIENTE' AND lo.estado = 1 LIMIT 1)","NULL"))&amp;", p_anio_fabricacion =&gt; "&amp;IF(M201&amp;""="","NULL::smallint",M201&amp;"::smallint")&amp;", p_mes_fabricacion =&gt; "&amp;IF(N201&amp;""="","NULL::smallint",N201&amp;"::smallint")&amp;", p_fecha_ultima_prueba_hidrostatica =&gt; "&amp;IF(O201&amp;""="","NULL","'"&amp;YEAR(O201)&amp;"-"&amp;TEXT(MONTH(O201),"00")&amp;"-"&amp;TEXT(DAY(O201),"00")&amp;"'")&amp;", p_numero_serie =&gt; "&amp;IF(TRIM(Q201&amp;"")="","NULL","'"&amp;SUBSTITUTE(TRIM(Q201),"'","''")&amp;"'")&amp;", p_id_marca_cilindro =&gt; "&amp;IF(TRIM(R201&amp;"")="","NULL","(SELECT lo.id FROM gen_lista_opciones lo JOIN gen_lista l ON l.id = lo.id_lista WHERE l.nombre = 'MarcaCilindro' AND upper(lo.nombre) = upper('"&amp;SUBSTITUTE(TRIM(R201),"'","''")&amp;"') AND lo.estado = 1 LIMIT 1)")&amp;", p_id_organo_inspector =&gt; "&amp;IF(TRIM(S201&amp;"")="","NULL","(SELECT lo.id FROM gen_lista_opciones lo JOIN gen_lista l ON l.id = lo.id_lista WHERE l.nombre = 'OrganoInspectorCilindro' AND upper(lo.nombre) = upper('"&amp;SUBSTITUTE(TRIM(S201),"'","''")&amp;"') AND lo.estado = 1 LIMIT 1)")&amp;", p_organo_inspector_no_aplica =&gt; "&amp;IF(S201="NO_APLICA","TRUE","FALSE")&amp;", p_presion_actual =&gt; "&amp;IF(T201&amp;""="","NULL",SUBSTITUTE(T201&amp;"",",","."))&amp;", p_tipo_valvula =&gt; "&amp;IF(TRIM(U201&amp;"")="","NULL","'"&amp;SUBSTITUTE(TRIM(U201),"'","''")&amp;"'")&amp;", p_libro_cilindro =&gt; "&amp;IF(TRIM(V201&amp;"")="","NULL","'"&amp;SUBSTITUTE(TRIM(V201),"'","''")&amp;"'")&amp;", p_pagina_libro =&gt; "&amp;IF(W201&amp;""="","NULL",SUBSTITUTE(W201&amp;"",",","."))&amp;", p_observacion =&gt; "&amp;IF(TRIM(X201&amp;"")="","NULL","'"&amp;SUBSTITUTE(TRIM(X201),"'","''")&amp;"'")&amp;") AS resultado_balon_"&amp;ROW()&amp;";")</f>
        <v/>
      </c>
    </row>
    <row r="202" ht="15.75" customHeight="1" s="64">
      <c r="A202" s="36" t="inlineStr">
        <is>
          <t>198</t>
        </is>
      </c>
      <c r="B202" s="25">
        <f>IF(AND(C202="",D202="",E202=""),"",IF(C202="","FALTA código balón",IF(D202="","FALTA tipo balón",IF(E202="","FALTA gas",IF(F202="","FALTA propietario",IF(AND(C202&lt;&gt;"",SUMPRODUCT(--($C$5:$C$1200=C202))&gt;1),"CÓDIGO BALÓN DUPLICADO",IF(AND(OR(UPPER(F202)="PLANTA",UPPER(F202)="CLIENTE"),G202=""),"FALTA doc propietario/planta",IF(AND(UPPER(F202)="PLANTA",G202="10175332796"),"PLANTA no puede ser RUC empresa","OK"))))))))</f>
        <v/>
      </c>
      <c r="C202" s="23" t="inlineStr">
        <is>
          <t>121Y319060</t>
        </is>
      </c>
      <c r="D202" s="17" t="inlineStr">
        <is>
          <t>Oxígeno Medicinal 10 m³</t>
        </is>
      </c>
      <c r="E202" s="17" t="inlineStr">
        <is>
          <t>OXIGENO MEDICINAL</t>
        </is>
      </c>
      <c r="F202" s="17" t="inlineStr">
        <is>
          <t>EMPRESA</t>
        </is>
      </c>
      <c r="G202" s="23" t="inlineStr">
        <is>
          <t>10175332796</t>
        </is>
      </c>
      <c r="H202" s="25">
        <f t="array" ref="H202">IF(G202="","",IFERROR(IF(INDEX(Clientes!$D$5:$D$549,MATCH(G202,Clientes!$C$5:$C$549,0))&lt;&gt;"",INDEX(Clientes!$D$5:$D$549,MATCH(G202,Clientes!$C$5:$C$549,0)),TRIM(INDEX(Clientes!$E$5:$E$549,MATCH(G202,Clientes!$C$5:$C$549,0))&amp;" "&amp;INDEX(Clientes!$F$5:$F$549,MATCH(G202,Clientes!$C$5:$C$549,0)))),"NO EXISTE en Clientes"))</f>
        <v/>
      </c>
      <c r="I202" s="17" t="inlineStr">
        <is>
          <t>EN_PODER_CLIENTE</t>
        </is>
      </c>
      <c r="J202" s="17" t="n"/>
      <c r="K202" s="23" t="inlineStr">
        <is>
          <t>16482081</t>
        </is>
      </c>
      <c r="L202" s="25">
        <f t="array" ref="L202">IF(K202="","",IFERROR(IF(INDEX(Clientes!$D$5:$D$549,MATCH(K202,Clientes!$C$5:$C$549,0))&lt;&gt;"",INDEX(Clientes!$D$5:$D$549,MATCH(K202,Clientes!$C$5:$C$549,0)),TRIM(INDEX(Clientes!$E$5:$E$549,MATCH(K202,Clientes!$C$5:$C$549,0))&amp;" "&amp;INDEX(Clientes!$F$5:$F$549,MATCH(K202,Clientes!$C$5:$C$549,0)))),"NO EXISTE en Clientes"))</f>
        <v/>
      </c>
      <c r="M202" s="17" t="n"/>
      <c r="N202" s="17" t="n"/>
      <c r="O202" s="42" t="n"/>
      <c r="P202" s="39">
        <f>IF(O202&lt;&gt;"",DATE(YEAR(O202)+10,MONTH(O202),1),IF(AND(M202&lt;&gt;"",N202&lt;&gt;""),DATE(M202+5,N202,1),""))</f>
        <v/>
      </c>
      <c r="Q202" s="23" t="n"/>
      <c r="R202" s="17" t="n"/>
      <c r="S202" s="17" t="n"/>
      <c r="T202" s="17" t="n"/>
      <c r="U202" s="17" t="n"/>
      <c r="V202" s="23" t="n"/>
      <c r="W202" s="17" t="n"/>
      <c r="X202" s="17" t="n"/>
      <c r="Y202" s="28">
        <f>IF(B202&lt;&gt;"OK","","SELECT bal_crear_balon(p_codigo_balon =&gt; "&amp;IF(TRIM(C202&amp;"")="","NULL","'"&amp;SUBSTITUTE(TRIM(C202),"'","''")&amp;"'")&amp;", p_id_tipo_balon =&gt; "&amp;"(SELECT id FROM bal_tipo_balon WHERE upper(nombre) = upper('"&amp;SUBSTITUTE(TRIM(D202),"'","''")&amp;"') AND estado = 1 LIMIT 1)"&amp;", p_id_producto_gas =&gt; "&amp;"(SELECT id FROM pro_producto WHERE es_gas = TRUE AND upper(nombre) = upper('"&amp;SUBSTITUTE(TRIM(E202),"'","''")&amp;"') AND estado = 1 LIMIT 1)"&amp;", p_id_propietario =&gt; "&amp;IF(TRIM(F202&amp;"")="","NULL","(SELECT lo.id FROM gen_lista_opciones lo JOIN gen_lista l ON l.id = lo.id_lista WHERE l.nombre = 'PropietarioBalon' AND upper(lo.nombre) = upper('"&amp;SUBSTITUTE(TRIM(F202),"'","''")&amp;"') AND lo.estado = 1 LIMIT 1)")&amp;", p_id_cliente_propietario =&gt; "&amp;IF(F202="CLIENTE",IF(TRIM(G202&amp;"")="","NULL","(SELECT id FROM cli_clientes WHERE numero_documento = '"&amp;SUBSTITUTE(TRIM(G202),"'","''")&amp;"' AND estado = 1 LIMIT 1)"),"NULL")&amp;", p_id_planta =&gt; "&amp;IF(F202="PLANTA",IF(TRIM(G202&amp;"")="","NULL","(SELECT id FROM cli_clientes WHERE numero_documento = '"&amp;SUBSTITUTE(TRIM(G202),"'","''")&amp;"'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"&amp;IF(TRIM(J202&amp;"")="","NULL","(SELECT id FROM gen_almacen WHERE upper(nombre) = upper('"&amp;SUBSTITUTE(TRIM(J202),"'","''")&amp;"') AND estado = 1 LIMIT 1)")&amp;", p_id_cliente_ubicacion =&gt; "&amp;IF(TRIM(K202&amp;"")="","NULL","(SELECT id FROM cli_clientes WHERE numero_documento = '"&amp;SUBSTITUTE(TRIM(K202),"'","''")&amp;"' AND estado = 1 LIMIT 1)")&amp;", p_id_referencia =&gt; "&amp;IF(TRIM(J202&amp;"")&lt;&gt;"","(SELECT lo.id FROM gen_lista_opciones lo JOIN gen_lista l ON l.id = lo.id_lista WHERE l.nombre = 'ReferenciaCilindro' AND upper(lo.nombre) = 'ALMACEN' AND lo.estado = 1 LIMIT 1)",IF(TRIM(K202&amp;"")&lt;&gt;"","(SELECT lo.id FROM gen_lista_opciones lo JOIN gen_lista l ON l.id = lo.id_lista WHERE l.nombre = 'ReferenciaCilindro' AND upper(lo.nombre) = 'CLIENTE' AND lo.estado = 1 LIMIT 1)","NULL"))&amp;", p_anio_fabricacion =&gt; "&amp;IF(M202&amp;""="","NULL::smallint",M202&amp;"::smallint")&amp;", p_mes_fabricacion =&gt; "&amp;IF(N202&amp;""="","NULL::smallint",N202&amp;"::smallint")&amp;", p_fecha_ultima_prueba_hidrostatica =&gt; "&amp;IF(O202&amp;""="","NULL","'"&amp;YEAR(O202)&amp;"-"&amp;TEXT(MONTH(O202),"00")&amp;"-"&amp;TEXT(DAY(O202),"00")&amp;"'")&amp;", p_numero_serie =&gt; "&amp;IF(TRIM(Q202&amp;"")="","NULL","'"&amp;SUBSTITUTE(TRIM(Q202),"'","''")&amp;"'")&amp;", p_id_marca_cilindro =&gt; "&amp;IF(TRIM(R202&amp;"")="","NULL","(SELECT lo.id FROM gen_lista_opciones lo JOIN gen_lista l ON l.id = lo.id_lista WHERE l.nombre = 'MarcaCilindro' AND upper(lo.nombre) = upper('"&amp;SUBSTITUTE(TRIM(R202),"'","''")&amp;"') AND lo.estado = 1 LIMIT 1)")&amp;", p_id_organo_inspector =&gt; "&amp;IF(TRIM(S202&amp;"")="","NULL","(SELECT lo.id FROM gen_lista_opciones lo JOIN gen_lista l ON l.id = lo.id_lista WHERE l.nombre = 'OrganoInspectorCilindro' AND upper(lo.nombre) = upper('"&amp;SUBSTITUTE(TRIM(S202),"'","''")&amp;"') AND lo.estado = 1 LIMIT 1)")&amp;", p_organo_inspector_no_aplica =&gt; "&amp;IF(S202="NO_APLICA","TRUE","FALSE")&amp;", p_presion_actual =&gt; "&amp;IF(T202&amp;""="","NULL",SUBSTITUTE(T202&amp;"",",","."))&amp;", p_tipo_valvula =&gt; "&amp;IF(TRIM(U202&amp;"")="","NULL","'"&amp;SUBSTITUTE(TRIM(U202),"'","''")&amp;"'")&amp;", p_libro_cilindro =&gt; "&amp;IF(TRIM(V202&amp;"")="","NULL","'"&amp;SUBSTITUTE(TRIM(V202),"'","''")&amp;"'")&amp;", p_pagina_libro =&gt; "&amp;IF(W202&amp;""="","NULL",SUBSTITUTE(W202&amp;"",",","."))&amp;", p_observacion =&gt; "&amp;IF(TRIM(X202&amp;"")="","NULL","'"&amp;SUBSTITUTE(TRIM(X202),"'","''")&amp;"'")&amp;") AS resultado_balon_"&amp;ROW()&amp;";")</f>
        <v/>
      </c>
    </row>
    <row r="203" ht="15.75" customHeight="1" s="64">
      <c r="A203" s="36" t="inlineStr">
        <is>
          <t>199</t>
        </is>
      </c>
      <c r="B203" s="25">
        <f>IF(AND(C203="",D203="",E203=""),"",IF(C203="","FALTA código balón",IF(D203="","FALTA tipo balón",IF(E203="","FALTA gas",IF(F203="","FALTA propietario",IF(AND(C203&lt;&gt;"",SUMPRODUCT(--($C$5:$C$1200=C203))&gt;1),"CÓDIGO BALÓN DUPLICADO",IF(AND(OR(UPPER(F203)="PLANTA",UPPER(F203)="CLIENTE"),G203=""),"FALTA doc propietario/planta",IF(AND(UPPER(F203)="PLANTA",G203="10175332796"),"PLANTA no puede ser RUC empresa","OK"))))))))</f>
        <v/>
      </c>
      <c r="C203" s="23" t="inlineStr">
        <is>
          <t>303173</t>
        </is>
      </c>
      <c r="D203" s="17" t="inlineStr">
        <is>
          <t>Oxígeno Industrial 6 m³</t>
        </is>
      </c>
      <c r="E203" s="17" t="inlineStr">
        <is>
          <t>OXIGENO INDUSTRIAL</t>
        </is>
      </c>
      <c r="F203" s="17" t="inlineStr">
        <is>
          <t>EMPRESA</t>
        </is>
      </c>
      <c r="G203" s="23" t="inlineStr">
        <is>
          <t>10175332796</t>
        </is>
      </c>
      <c r="H203" s="25">
        <f t="array" ref="H203">IF(G203="","",IFERROR(IF(INDEX(Clientes!$D$5:$D$549,MATCH(G203,Clientes!$C$5:$C$549,0))&lt;&gt;"",INDEX(Clientes!$D$5:$D$549,MATCH(G203,Clientes!$C$5:$C$549,0)),TRIM(INDEX(Clientes!$E$5:$E$549,MATCH(G203,Clientes!$C$5:$C$549,0))&amp;" "&amp;INDEX(Clientes!$F$5:$F$549,MATCH(G203,Clientes!$C$5:$C$549,0)))),"NO EXISTE en Clientes"))</f>
        <v/>
      </c>
      <c r="I203" s="17" t="inlineStr">
        <is>
          <t>DISPONIBLE</t>
        </is>
      </c>
      <c r="J203" s="17" t="inlineStr">
        <is>
          <t>ALMACEN PRINCIPAL</t>
        </is>
      </c>
      <c r="K203" s="23" t="n"/>
      <c r="L203" s="25">
        <f t="array" ref="L203">IF(K203="","",IFERROR(IF(INDEX(Clientes!$D$5:$D$549,MATCH(K203,Clientes!$C$5:$C$549,0))&lt;&gt;"",INDEX(Clientes!$D$5:$D$549,MATCH(K203,Clientes!$C$5:$C$549,0)),TRIM(INDEX(Clientes!$E$5:$E$549,MATCH(K203,Clientes!$C$5:$C$549,0))&amp;" "&amp;INDEX(Clientes!$F$5:$F$549,MATCH(K203,Clientes!$C$5:$C$549,0)))),"NO EXISTE en Clientes"))</f>
        <v/>
      </c>
      <c r="M203" s="17" t="n">
        <v>1997</v>
      </c>
      <c r="N203" s="17" t="n">
        <v>5</v>
      </c>
      <c r="O203" s="42" t="n">
        <v>35551</v>
      </c>
      <c r="P203" s="39">
        <f>IF(O203&lt;&gt;"",DATE(YEAR(O203)+10,MONTH(O203),1),IF(AND(M203&lt;&gt;"",N203&lt;&gt;""),DATE(M203+5,N203,1),""))</f>
        <v/>
      </c>
      <c r="Q203" s="23" t="n"/>
      <c r="R203" s="17" t="n"/>
      <c r="S203" s="17" t="n"/>
      <c r="T203" s="17" t="n"/>
      <c r="U203" s="17" t="inlineStr">
        <is>
          <t>AMERICANA</t>
        </is>
      </c>
      <c r="V203" s="23" t="n"/>
      <c r="W203" s="17" t="n"/>
      <c r="X203" s="17" t="inlineStr">
        <is>
          <t>CILINDROS PARA CANJE</t>
        </is>
      </c>
      <c r="Y203" s="28">
        <f>IF(B203&lt;&gt;"OK","","SELECT bal_crear_balon(p_codigo_balon =&gt; "&amp;IF(TRIM(C203&amp;"")="","NULL","'"&amp;SUBSTITUTE(TRIM(C203),"'","''")&amp;"'")&amp;", p_id_tipo_balon =&gt; "&amp;"(SELECT id FROM bal_tipo_balon WHERE upper(nombre) = upper('"&amp;SUBSTITUTE(TRIM(D203),"'","''")&amp;"') AND estado = 1 LIMIT 1)"&amp;", p_id_producto_gas =&gt; "&amp;"(SELECT id FROM pro_producto WHERE es_gas = TRUE AND upper(nombre) = upper('"&amp;SUBSTITUTE(TRIM(E203),"'","''")&amp;"') AND estado = 1 LIMIT 1)"&amp;", p_id_propietario =&gt; "&amp;IF(TRIM(F203&amp;"")="","NULL","(SELECT lo.id FROM gen_lista_opciones lo JOIN gen_lista l ON l.id = lo.id_lista WHERE l.nombre = 'PropietarioBalon' AND upper(lo.nombre) = upper('"&amp;SUBSTITUTE(TRIM(F203),"'","''")&amp;"') AND lo.estado = 1 LIMIT 1)")&amp;", p_id_cliente_propietario =&gt; "&amp;IF(F203="CLIENTE",IF(TRIM(G203&amp;"")="","NULL","(SELECT id FROM cli_clientes WHERE numero_documento = '"&amp;SUBSTITUTE(TRIM(G203),"'","''")&amp;"' AND estado = 1 LIMIT 1)"),"NULL")&amp;", p_id_planta =&gt; "&amp;IF(F203="PLANTA",IF(TRIM(G203&amp;"")="","NULL","(SELECT id FROM cli_clientes WHERE numero_documento = '"&amp;SUBSTITUTE(TRIM(G203),"'","''")&amp;"'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"&amp;IF(TRIM(J203&amp;"")="","NULL","(SELECT id FROM gen_almacen WHERE upper(nombre) = upper('"&amp;SUBSTITUTE(TRIM(J203),"'","''")&amp;"') AND estado = 1 LIMIT 1)")&amp;", p_id_cliente_ubicacion =&gt; "&amp;IF(TRIM(K203&amp;"")="","NULL","(SELECT id FROM cli_clientes WHERE numero_documento = '"&amp;SUBSTITUTE(TRIM(K203),"'","''")&amp;"' AND estado = 1 LIMIT 1)")&amp;", p_id_referencia =&gt; "&amp;IF(TRIM(J203&amp;"")&lt;&gt;"","(SELECT lo.id FROM gen_lista_opciones lo JOIN gen_lista l ON l.id = lo.id_lista WHERE l.nombre = 'ReferenciaCilindro' AND upper(lo.nombre) = 'ALMACEN' AND lo.estado = 1 LIMIT 1)",IF(TRIM(K203&amp;"")&lt;&gt;"","(SELECT lo.id FROM gen_lista_opciones lo JOIN gen_lista l ON l.id = lo.id_lista WHERE l.nombre = 'ReferenciaCilindro' AND upper(lo.nombre) = 'CLIENTE' AND lo.estado = 1 LIMIT 1)","NULL"))&amp;", p_anio_fabricacion =&gt; "&amp;IF(M203&amp;""="","NULL::smallint",M203&amp;"::smallint")&amp;", p_mes_fabricacion =&gt; "&amp;IF(N203&amp;""="","NULL::smallint",N203&amp;"::smallint")&amp;", p_fecha_ultima_prueba_hidrostatica =&gt; "&amp;IF(O203&amp;""="","NULL","'"&amp;YEAR(O203)&amp;"-"&amp;TEXT(MONTH(O203),"00")&amp;"-"&amp;TEXT(DAY(O203),"00")&amp;"'")&amp;", p_numero_serie =&gt; "&amp;IF(TRIM(Q203&amp;"")="","NULL","'"&amp;SUBSTITUTE(TRIM(Q203),"'","''")&amp;"'")&amp;", p_id_marca_cilindro =&gt; "&amp;IF(TRIM(R203&amp;"")="","NULL","(SELECT lo.id FROM gen_lista_opciones lo JOIN gen_lista l ON l.id = lo.id_lista WHERE l.nombre = 'MarcaCilindro' AND upper(lo.nombre) = upper('"&amp;SUBSTITUTE(TRIM(R203),"'","''")&amp;"') AND lo.estado = 1 LIMIT 1)")&amp;", p_id_organo_inspector =&gt; "&amp;IF(TRIM(S203&amp;"")="","NULL","(SELECT lo.id FROM gen_lista_opciones lo JOIN gen_lista l ON l.id = lo.id_lista WHERE l.nombre = 'OrganoInspectorCilindro' AND upper(lo.nombre) = upper('"&amp;SUBSTITUTE(TRIM(S203),"'","''")&amp;"') AND lo.estado = 1 LIMIT 1)")&amp;", p_organo_inspector_no_aplica =&gt; "&amp;IF(S203="NO_APLICA","TRUE","FALSE")&amp;", p_presion_actual =&gt; "&amp;IF(T203&amp;""="","NULL",SUBSTITUTE(T203&amp;"",",","."))&amp;", p_tipo_valvula =&gt; "&amp;IF(TRIM(U203&amp;"")="","NULL","'"&amp;SUBSTITUTE(TRIM(U203),"'","''")&amp;"'")&amp;", p_libro_cilindro =&gt; "&amp;IF(TRIM(V203&amp;"")="","NULL","'"&amp;SUBSTITUTE(TRIM(V203),"'","''")&amp;"'")&amp;", p_pagina_libro =&gt; "&amp;IF(W203&amp;""="","NULL",SUBSTITUTE(W203&amp;"",",","."))&amp;", p_observacion =&gt; "&amp;IF(TRIM(X203&amp;"")="","NULL","'"&amp;SUBSTITUTE(TRIM(X203),"'","''")&amp;"'")&amp;") AS resultado_balon_"&amp;ROW()&amp;";")</f>
        <v/>
      </c>
    </row>
    <row r="204" ht="15.75" customHeight="1" s="64">
      <c r="A204" s="36" t="inlineStr">
        <is>
          <t>200</t>
        </is>
      </c>
      <c r="B204" s="25">
        <f>IF(AND(C204="",D204="",E204=""),"",IF(C204="","FALTA código balón",IF(D204="","FALTA tipo balón",IF(E204="","FALTA gas",IF(F204="","FALTA propietario",IF(AND(C204&lt;&gt;"",SUMPRODUCT(--($C$5:$C$1200=C204))&gt;1),"CÓDIGO BALÓN DUPLICADO",IF(AND(OR(UPPER(F204)="PLANTA",UPPER(F204)="CLIENTE"),G204=""),"FALTA doc propietario/planta",IF(AND(UPPER(F204)="PLANTA",G204="10175332796"),"PLANTA no puede ser RUC empresa","OK"))))))))</f>
        <v/>
      </c>
      <c r="C204" s="23" t="inlineStr">
        <is>
          <t>K4046581</t>
        </is>
      </c>
      <c r="D204" s="17" t="inlineStr">
        <is>
          <t>Oxígeno Industrial 6 m³</t>
        </is>
      </c>
      <c r="E204" s="17" t="inlineStr">
        <is>
          <t>OXIGENO INDUSTRIAL</t>
        </is>
      </c>
      <c r="F204" s="17" t="inlineStr">
        <is>
          <t>EMPRESA</t>
        </is>
      </c>
      <c r="G204" s="23" t="inlineStr">
        <is>
          <t>10175332796</t>
        </is>
      </c>
      <c r="H204" s="25">
        <f t="array" ref="H204">IF(G204="","",IFERROR(IF(INDEX(Clientes!$D$5:$D$549,MATCH(G204,Clientes!$C$5:$C$549,0))&lt;&gt;"",INDEX(Clientes!$D$5:$D$549,MATCH(G204,Clientes!$C$5:$C$549,0)),TRIM(INDEX(Clientes!$E$5:$E$549,MATCH(G204,Clientes!$C$5:$C$549,0))&amp;" "&amp;INDEX(Clientes!$F$5:$F$549,MATCH(G204,Clientes!$C$5:$C$549,0)))),"NO EXISTE en Clientes"))</f>
        <v/>
      </c>
      <c r="I204" s="17" t="inlineStr">
        <is>
          <t>DISPONIBLE</t>
        </is>
      </c>
      <c r="J204" s="17" t="inlineStr">
        <is>
          <t>ALMACEN PRINCIPAL</t>
        </is>
      </c>
      <c r="K204" s="23" t="n"/>
      <c r="L204" s="25">
        <f t="array" ref="L204">IF(K204="","",IFERROR(IF(INDEX(Clientes!$D$5:$D$549,MATCH(K204,Clientes!$C$5:$C$549,0))&lt;&gt;"",INDEX(Clientes!$D$5:$D$549,MATCH(K204,Clientes!$C$5:$C$549,0)),TRIM(INDEX(Clientes!$E$5:$E$549,MATCH(K204,Clientes!$C$5:$C$549,0))&amp;" "&amp;INDEX(Clientes!$F$5:$F$549,MATCH(K204,Clientes!$C$5:$C$549,0)))),"NO EXISTE en Clientes"))</f>
        <v/>
      </c>
      <c r="M204" s="17" t="n">
        <v>2026</v>
      </c>
      <c r="N204" s="17" t="n">
        <v>7</v>
      </c>
      <c r="O204" s="42" t="n">
        <v>46204</v>
      </c>
      <c r="P204" s="39">
        <f>IF(O204&lt;&gt;"",DATE(YEAR(O204)+10,MONTH(O204),1),IF(AND(M204&lt;&gt;"",N204&lt;&gt;""),DATE(M204+5,N204,1),""))</f>
        <v/>
      </c>
      <c r="Q204" s="23" t="n"/>
      <c r="R204" s="17" t="n"/>
      <c r="S204" s="17" t="n"/>
      <c r="T204" s="17" t="n"/>
      <c r="U204" s="17" t="inlineStr">
        <is>
          <t>AMERICANA</t>
        </is>
      </c>
      <c r="V204" s="23" t="n"/>
      <c r="W204" s="17" t="n"/>
      <c r="X204" s="17" t="inlineStr">
        <is>
          <t>CILINDROS PARA CANJE</t>
        </is>
      </c>
      <c r="Y204" s="28">
        <f>IF(B204&lt;&gt;"OK","","SELECT bal_crear_balon(p_codigo_balon =&gt; "&amp;IF(TRIM(C204&amp;"")="","NULL","'"&amp;SUBSTITUTE(TRIM(C204),"'","''")&amp;"'")&amp;", p_id_tipo_balon =&gt; "&amp;"(SELECT id FROM bal_tipo_balon WHERE upper(nombre) = upper('"&amp;SUBSTITUTE(TRIM(D204),"'","''")&amp;"') AND estado = 1 LIMIT 1)"&amp;", p_id_producto_gas =&gt; "&amp;"(SELECT id FROM pro_producto WHERE es_gas = TRUE AND upper(nombre) = upper('"&amp;SUBSTITUTE(TRIM(E204),"'","''")&amp;"') AND estado = 1 LIMIT 1)"&amp;", p_id_propietario =&gt; "&amp;IF(TRIM(F204&amp;"")="","NULL","(SELECT lo.id FROM gen_lista_opciones lo JOIN gen_lista l ON l.id = lo.id_lista WHERE l.nombre = 'PropietarioBalon' AND upper(lo.nombre) = upper('"&amp;SUBSTITUTE(TRIM(F204),"'","''")&amp;"') AND lo.estado = 1 LIMIT 1)")&amp;", p_id_cliente_propietario =&gt; "&amp;IF(F204="CLIENTE",IF(TRIM(G204&amp;"")="","NULL","(SELECT id FROM cli_clientes WHERE numero_documento = '"&amp;SUBSTITUTE(TRIM(G204),"'","''")&amp;"' AND estado = 1 LIMIT 1)"),"NULL")&amp;", p_id_planta =&gt; "&amp;IF(F204="PLANTA",IF(TRIM(G204&amp;"")="","NULL","(SELECT id FROM cli_clientes WHERE numero_documento = '"&amp;SUBSTITUTE(TRIM(G204),"'","''")&amp;"'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"&amp;IF(TRIM(J204&amp;"")="","NULL","(SELECT id FROM gen_almacen WHERE upper(nombre) = upper('"&amp;SUBSTITUTE(TRIM(J204),"'","''")&amp;"') AND estado = 1 LIMIT 1)")&amp;", p_id_cliente_ubicacion =&gt; "&amp;IF(TRIM(K204&amp;"")="","NULL","(SELECT id FROM cli_clientes WHERE numero_documento = '"&amp;SUBSTITUTE(TRIM(K204),"'","''")&amp;"' AND estado = 1 LIMIT 1)")&amp;", p_id_referencia =&gt; "&amp;IF(TRIM(J204&amp;"")&lt;&gt;"","(SELECT lo.id FROM gen_lista_opciones lo JOIN gen_lista l ON l.id = lo.id_lista WHERE l.nombre = 'ReferenciaCilindro' AND upper(lo.nombre) = 'ALMACEN' AND lo.estado = 1 LIMIT 1)",IF(TRIM(K204&amp;"")&lt;&gt;"","(SELECT lo.id FROM gen_lista_opciones lo JOIN gen_lista l ON l.id = lo.id_lista WHERE l.nombre = 'ReferenciaCilindro' AND upper(lo.nombre) = 'CLIENTE' AND lo.estado = 1 LIMIT 1)","NULL"))&amp;", p_anio_fabricacion =&gt; "&amp;IF(M204&amp;""="","NULL::smallint",M204&amp;"::smallint")&amp;", p_mes_fabricacion =&gt; "&amp;IF(N204&amp;""="","NULL::smallint",N204&amp;"::smallint")&amp;", p_fecha_ultima_prueba_hidrostatica =&gt; "&amp;IF(O204&amp;""="","NULL","'"&amp;YEAR(O204)&amp;"-"&amp;TEXT(MONTH(O204),"00")&amp;"-"&amp;TEXT(DAY(O204),"00")&amp;"'")&amp;", p_numero_serie =&gt; "&amp;IF(TRIM(Q204&amp;"")="","NULL","'"&amp;SUBSTITUTE(TRIM(Q204),"'","''")&amp;"'")&amp;", p_id_marca_cilindro =&gt; "&amp;IF(TRIM(R204&amp;"")="","NULL","(SELECT lo.id FROM gen_lista_opciones lo JOIN gen_lista l ON l.id = lo.id_lista WHERE l.nombre = 'MarcaCilindro' AND upper(lo.nombre) = upper('"&amp;SUBSTITUTE(TRIM(R204),"'","''")&amp;"') AND lo.estado = 1 LIMIT 1)")&amp;", p_id_organo_inspector =&gt; "&amp;IF(TRIM(S204&amp;"")="","NULL","(SELECT lo.id FROM gen_lista_opciones lo JOIN gen_lista l ON l.id = lo.id_lista WHERE l.nombre = 'OrganoInspectorCilindro' AND upper(lo.nombre) = upper('"&amp;SUBSTITUTE(TRIM(S204),"'","''")&amp;"') AND lo.estado = 1 LIMIT 1)")&amp;", p_organo_inspector_no_aplica =&gt; "&amp;IF(S204="NO_APLICA","TRUE","FALSE")&amp;", p_presion_actual =&gt; "&amp;IF(T204&amp;""="","NULL",SUBSTITUTE(T204&amp;"",",","."))&amp;", p_tipo_valvula =&gt; "&amp;IF(TRIM(U204&amp;"")="","NULL","'"&amp;SUBSTITUTE(TRIM(U204),"'","''")&amp;"'")&amp;", p_libro_cilindro =&gt; "&amp;IF(TRIM(V204&amp;"")="","NULL","'"&amp;SUBSTITUTE(TRIM(V204),"'","''")&amp;"'")&amp;", p_pagina_libro =&gt; "&amp;IF(W204&amp;""="","NULL",SUBSTITUTE(W204&amp;"",",","."))&amp;", p_observacion =&gt; "&amp;IF(TRIM(X204&amp;"")="","NULL","'"&amp;SUBSTITUTE(TRIM(X204),"'","''")&amp;"'")&amp;") AS resultado_balon_"&amp;ROW()&amp;";")</f>
        <v/>
      </c>
    </row>
    <row r="205" ht="15.75" customHeight="1" s="64">
      <c r="A205" s="36" t="inlineStr">
        <is>
          <t>201</t>
        </is>
      </c>
      <c r="B205" s="25">
        <f>IF(AND(C205="",D205="",E205=""),"",IF(C205="","FALTA código balón",IF(D205="","FALTA tipo balón",IF(E205="","FALTA gas",IF(F205="","FALTA propietario",IF(AND(C205&lt;&gt;"",SUMPRODUCT(--($C$5:$C$1200=C205))&gt;1),"CÓDIGO BALÓN DUPLICADO",IF(AND(OR(UPPER(F205)="PLANTA",UPPER(F205)="CLIENTE"),G205=""),"FALTA doc propietario/planta",IF(AND(UPPER(F205)="PLANTA",G205="10175332796"),"PLANTA no puede ser RUC empresa","OK"))))))))</f>
        <v/>
      </c>
      <c r="C205" s="23" t="inlineStr">
        <is>
          <t>694554</t>
        </is>
      </c>
      <c r="D205" s="17" t="inlineStr">
        <is>
          <t>Oxígeno Industrial 6 m³</t>
        </is>
      </c>
      <c r="E205" s="17" t="inlineStr">
        <is>
          <t>OXIGENO INDUSTRIAL</t>
        </is>
      </c>
      <c r="F205" s="17" t="inlineStr">
        <is>
          <t>EMPRESA</t>
        </is>
      </c>
      <c r="G205" s="23" t="inlineStr">
        <is>
          <t>10175332796</t>
        </is>
      </c>
      <c r="H205" s="25">
        <f t="array" ref="H205">IF(G205="","",IFERROR(IF(INDEX(Clientes!$D$5:$D$549,MATCH(G205,Clientes!$C$5:$C$549,0))&lt;&gt;"",INDEX(Clientes!$D$5:$D$549,MATCH(G205,Clientes!$C$5:$C$549,0)),TRIM(INDEX(Clientes!$E$5:$E$549,MATCH(G205,Clientes!$C$5:$C$549,0))&amp;" "&amp;INDEX(Clientes!$F$5:$F$549,MATCH(G205,Clientes!$C$5:$C$549,0)))),"NO EXISTE en Clientes"))</f>
        <v/>
      </c>
      <c r="I205" s="17" t="inlineStr">
        <is>
          <t>DISPONIBLE</t>
        </is>
      </c>
      <c r="J205" s="17" t="inlineStr">
        <is>
          <t>ALMACEN PRINCIPAL</t>
        </is>
      </c>
      <c r="K205" s="23" t="n"/>
      <c r="L205" s="25">
        <f t="array" ref="L205">IF(K205="","",IFERROR(IF(INDEX(Clientes!$D$5:$D$549,MATCH(K205,Clientes!$C$5:$C$549,0))&lt;&gt;"",INDEX(Clientes!$D$5:$D$549,MATCH(K205,Clientes!$C$5:$C$549,0)),TRIM(INDEX(Clientes!$E$5:$E$549,MATCH(K205,Clientes!$C$5:$C$549,0))&amp;" "&amp;INDEX(Clientes!$F$5:$F$549,MATCH(K205,Clientes!$C$5:$C$549,0)))),"NO EXISTE en Clientes"))</f>
        <v/>
      </c>
      <c r="M205" s="17" t="n">
        <v>2018</v>
      </c>
      <c r="N205" s="17" t="n">
        <v>5</v>
      </c>
      <c r="O205" s="42" t="n">
        <v>43221</v>
      </c>
      <c r="P205" s="39">
        <f>IF(O205&lt;&gt;"",DATE(YEAR(O205)+10,MONTH(O205),1),IF(AND(M205&lt;&gt;"",N205&lt;&gt;""),DATE(M205+5,N205,1),""))</f>
        <v/>
      </c>
      <c r="Q205" s="23" t="n"/>
      <c r="R205" s="17" t="inlineStr">
        <is>
          <t>ARGENTINA</t>
        </is>
      </c>
      <c r="S205" s="17" t="n"/>
      <c r="T205" s="17" t="n"/>
      <c r="U205" s="17" t="inlineStr">
        <is>
          <t>AMERICANA</t>
        </is>
      </c>
      <c r="V205" s="23" t="n"/>
      <c r="W205" s="17" t="n"/>
      <c r="X205" s="17" t="inlineStr">
        <is>
          <t>CILINDROS PARA CANJE</t>
        </is>
      </c>
      <c r="Y205" s="28">
        <f>IF(B205&lt;&gt;"OK","","SELECT bal_crear_balon(p_codigo_balon =&gt; "&amp;IF(TRIM(C205&amp;"")="","NULL","'"&amp;SUBSTITUTE(TRIM(C205),"'","''")&amp;"'")&amp;", p_id_tipo_balon =&gt; "&amp;"(SELECT id FROM bal_tipo_balon WHERE upper(nombre) = upper('"&amp;SUBSTITUTE(TRIM(D205),"'","''")&amp;"') AND estado = 1 LIMIT 1)"&amp;", p_id_producto_gas =&gt; "&amp;"(SELECT id FROM pro_producto WHERE es_gas = TRUE AND upper(nombre) = upper('"&amp;SUBSTITUTE(TRIM(E205),"'","''")&amp;"') AND estado = 1 LIMIT 1)"&amp;", p_id_propietario =&gt; "&amp;IF(TRIM(F205&amp;"")="","NULL","(SELECT lo.id FROM gen_lista_opciones lo JOIN gen_lista l ON l.id = lo.id_lista WHERE l.nombre = 'PropietarioBalon' AND upper(lo.nombre) = upper('"&amp;SUBSTITUTE(TRIM(F205),"'","''")&amp;"') AND lo.estado = 1 LIMIT 1)")&amp;", p_id_cliente_propietario =&gt; "&amp;IF(F205="CLIENTE",IF(TRIM(G205&amp;"")="","NULL","(SELECT id FROM cli_clientes WHERE numero_documento = '"&amp;SUBSTITUTE(TRIM(G205),"'","''")&amp;"' AND estado = 1 LIMIT 1)"),"NULL")&amp;", p_id_planta =&gt; "&amp;IF(F205="PLANTA",IF(TRIM(G205&amp;"")="","NULL","(SELECT id FROM cli_clientes WHERE numero_documento = '"&amp;SUBSTITUTE(TRIM(G205),"'","''")&amp;"'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"&amp;IF(TRIM(J205&amp;"")="","NULL","(SELECT id FROM gen_almacen WHERE upper(nombre) = upper('"&amp;SUBSTITUTE(TRIM(J205),"'","''")&amp;"') AND estado = 1 LIMIT 1)")&amp;", p_id_cliente_ubicacion =&gt; "&amp;IF(TRIM(K205&amp;"")="","NULL","(SELECT id FROM cli_clientes WHERE numero_documento = '"&amp;SUBSTITUTE(TRIM(K205),"'","''")&amp;"' AND estado = 1 LIMIT 1)")&amp;", p_id_referencia =&gt; "&amp;IF(TRIM(J205&amp;"")&lt;&gt;"","(SELECT lo.id FROM gen_lista_opciones lo JOIN gen_lista l ON l.id = lo.id_lista WHERE l.nombre = 'ReferenciaCilindro' AND upper(lo.nombre) = 'ALMACEN' AND lo.estado = 1 LIMIT 1)",IF(TRIM(K205&amp;"")&lt;&gt;"","(SELECT lo.id FROM gen_lista_opciones lo JOIN gen_lista l ON l.id = lo.id_lista WHERE l.nombre = 'ReferenciaCilindro' AND upper(lo.nombre) = 'CLIENTE' AND lo.estado = 1 LIMIT 1)","NULL"))&amp;", p_anio_fabricacion =&gt; "&amp;IF(M205&amp;""="","NULL::smallint",M205&amp;"::smallint")&amp;", p_mes_fabricacion =&gt; "&amp;IF(N205&amp;""="","NULL::smallint",N205&amp;"::smallint")&amp;", p_fecha_ultima_prueba_hidrostatica =&gt; "&amp;IF(O205&amp;""="","NULL","'"&amp;YEAR(O205)&amp;"-"&amp;TEXT(MONTH(O205),"00")&amp;"-"&amp;TEXT(DAY(O205),"00")&amp;"'")&amp;", p_numero_serie =&gt; "&amp;IF(TRIM(Q205&amp;"")="","NULL","'"&amp;SUBSTITUTE(TRIM(Q205),"'","''")&amp;"'")&amp;", p_id_marca_cilindro =&gt; "&amp;IF(TRIM(R205&amp;"")="","NULL","(SELECT lo.id FROM gen_lista_opciones lo JOIN gen_lista l ON l.id = lo.id_lista WHERE l.nombre = 'MarcaCilindro' AND upper(lo.nombre) = upper('"&amp;SUBSTITUTE(TRIM(R205),"'","''")&amp;"') AND lo.estado = 1 LIMIT 1)")&amp;", p_id_organo_inspector =&gt; "&amp;IF(TRIM(S205&amp;"")="","NULL","(SELECT lo.id FROM gen_lista_opciones lo JOIN gen_lista l ON l.id = lo.id_lista WHERE l.nombre = 'OrganoInspectorCilindro' AND upper(lo.nombre) = upper('"&amp;SUBSTITUTE(TRIM(S205),"'","''")&amp;"') AND lo.estado = 1 LIMIT 1)")&amp;", p_organo_inspector_no_aplica =&gt; "&amp;IF(S205="NO_APLICA","TRUE","FALSE")&amp;", p_presion_actual =&gt; "&amp;IF(T205&amp;""="","NULL",SUBSTITUTE(T205&amp;"",",","."))&amp;", p_tipo_valvula =&gt; "&amp;IF(TRIM(U205&amp;"")="","NULL","'"&amp;SUBSTITUTE(TRIM(U205),"'","''")&amp;"'")&amp;", p_libro_cilindro =&gt; "&amp;IF(TRIM(V205&amp;"")="","NULL","'"&amp;SUBSTITUTE(TRIM(V205),"'","''")&amp;"'")&amp;", p_pagina_libro =&gt; "&amp;IF(W205&amp;""="","NULL",SUBSTITUTE(W205&amp;"",",","."))&amp;", p_observacion =&gt; "&amp;IF(TRIM(X205&amp;"")="","NULL","'"&amp;SUBSTITUTE(TRIM(X205),"'","''")&amp;"'")&amp;") AS resultado_balon_"&amp;ROW()&amp;";")</f>
        <v/>
      </c>
    </row>
    <row r="206" ht="15.75" customHeight="1" s="64">
      <c r="A206" s="36" t="inlineStr">
        <is>
          <t>202</t>
        </is>
      </c>
      <c r="B206" s="25">
        <f>IF(AND(C206="",D206="",E206=""),"",IF(C206="","FALTA código balón",IF(D206="","FALTA tipo balón",IF(E206="","FALTA gas",IF(F206="","FALTA propietario",IF(AND(C206&lt;&gt;"",SUMPRODUCT(--($C$5:$C$1200=C206))&gt;1),"CÓDIGO BALÓN DUPLICADO",IF(AND(OR(UPPER(F206)="PLANTA",UPPER(F206)="CLIENTE"),G206=""),"FALTA doc propietario/planta",IF(AND(UPPER(F206)="PLANTA",G206="10175332796"),"PLANTA no puede ser RUC empresa","OK"))))))))</f>
        <v/>
      </c>
      <c r="C206" s="23" t="inlineStr">
        <is>
          <t>18532</t>
        </is>
      </c>
      <c r="D206" s="17" t="inlineStr">
        <is>
          <t>Oxígeno Industrial 6 m³</t>
        </is>
      </c>
      <c r="E206" s="17" t="inlineStr">
        <is>
          <t>OXIGENO INDUSTRIAL</t>
        </is>
      </c>
      <c r="F206" s="17" t="inlineStr">
        <is>
          <t>EMPRESA</t>
        </is>
      </c>
      <c r="G206" s="23" t="inlineStr">
        <is>
          <t>10175332796</t>
        </is>
      </c>
      <c r="H206" s="25">
        <f t="array" ref="H206">IF(G206="","",IFERROR(IF(INDEX(Clientes!$D$5:$D$549,MATCH(G206,Clientes!$C$5:$C$549,0))&lt;&gt;"",INDEX(Clientes!$D$5:$D$549,MATCH(G206,Clientes!$C$5:$C$549,0)),TRIM(INDEX(Clientes!$E$5:$E$549,MATCH(G206,Clientes!$C$5:$C$549,0))&amp;" "&amp;INDEX(Clientes!$F$5:$F$549,MATCH(G206,Clientes!$C$5:$C$549,0)))),"NO EXISTE en Clientes"))</f>
        <v/>
      </c>
      <c r="I206" s="17" t="inlineStr">
        <is>
          <t>DISPONIBLE</t>
        </is>
      </c>
      <c r="J206" s="17" t="inlineStr">
        <is>
          <t>ALMACEN PRINCIPAL</t>
        </is>
      </c>
      <c r="K206" s="23" t="n"/>
      <c r="L206" s="25">
        <f t="array" ref="L206">IF(K206="","",IFERROR(IF(INDEX(Clientes!$D$5:$D$549,MATCH(K206,Clientes!$C$5:$C$549,0))&lt;&gt;"",INDEX(Clientes!$D$5:$D$549,MATCH(K206,Clientes!$C$5:$C$549,0)),TRIM(INDEX(Clientes!$E$5:$E$549,MATCH(K206,Clientes!$C$5:$C$549,0))&amp;" "&amp;INDEX(Clientes!$F$5:$F$549,MATCH(K206,Clientes!$C$5:$C$549,0)))),"NO EXISTE en Clientes"))</f>
        <v/>
      </c>
      <c r="M206" s="17" t="n">
        <v>2016</v>
      </c>
      <c r="N206" s="17" t="n">
        <v>1</v>
      </c>
      <c r="O206" s="42" t="n">
        <v>42370</v>
      </c>
      <c r="P206" s="39">
        <f>IF(O206&lt;&gt;"",DATE(YEAR(O206)+10,MONTH(O206),1),IF(AND(M206&lt;&gt;"",N206&lt;&gt;""),DATE(M206+5,N206,1),""))</f>
        <v/>
      </c>
      <c r="Q206" s="23" t="n"/>
      <c r="R206" s="17" t="n"/>
      <c r="S206" s="17" t="n"/>
      <c r="T206" s="17" t="n"/>
      <c r="U206" s="17" t="inlineStr">
        <is>
          <t>AMERICANA</t>
        </is>
      </c>
      <c r="V206" s="23" t="n"/>
      <c r="W206" s="17" t="n"/>
      <c r="X206" s="17" t="inlineStr">
        <is>
          <t>CILINDROS PARA CANJE</t>
        </is>
      </c>
      <c r="Y206" s="28">
        <f>IF(B206&lt;&gt;"OK","","SELECT bal_crear_balon(p_codigo_balon =&gt; "&amp;IF(TRIM(C206&amp;"")="","NULL","'"&amp;SUBSTITUTE(TRIM(C206),"'","''")&amp;"'")&amp;", p_id_tipo_balon =&gt; "&amp;"(SELECT id FROM bal_tipo_balon WHERE upper(nombre) = upper('"&amp;SUBSTITUTE(TRIM(D206),"'","''")&amp;"') AND estado = 1 LIMIT 1)"&amp;", p_id_producto_gas =&gt; "&amp;"(SELECT id FROM pro_producto WHERE es_gas = TRUE AND upper(nombre) = upper('"&amp;SUBSTITUTE(TRIM(E206),"'","''")&amp;"') AND estado = 1 LIMIT 1)"&amp;", p_id_propietario =&gt; "&amp;IF(TRIM(F206&amp;"")="","NULL","(SELECT lo.id FROM gen_lista_opciones lo JOIN gen_lista l ON l.id = lo.id_lista WHERE l.nombre = 'PropietarioBalon' AND upper(lo.nombre) = upper('"&amp;SUBSTITUTE(TRIM(F206),"'","''")&amp;"') AND lo.estado = 1 LIMIT 1)")&amp;", p_id_cliente_propietario =&gt; "&amp;IF(F206="CLIENTE",IF(TRIM(G206&amp;"")="","NULL","(SELECT id FROM cli_clientes WHERE numero_documento = '"&amp;SUBSTITUTE(TRIM(G206),"'","''")&amp;"' AND estado = 1 LIMIT 1)"),"NULL")&amp;", p_id_planta =&gt; "&amp;IF(F206="PLANTA",IF(TRIM(G206&amp;"")="","NULL","(SELECT id FROM cli_clientes WHERE numero_documento = '"&amp;SUBSTITUTE(TRIM(G206),"'","''")&amp;"'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"&amp;IF(TRIM(J206&amp;"")="","NULL","(SELECT id FROM gen_almacen WHERE upper(nombre) = upper('"&amp;SUBSTITUTE(TRIM(J206),"'","''")&amp;"') AND estado = 1 LIMIT 1)")&amp;", p_id_cliente_ubicacion =&gt; "&amp;IF(TRIM(K206&amp;"")="","NULL","(SELECT id FROM cli_clientes WHERE numero_documento = '"&amp;SUBSTITUTE(TRIM(K206),"'","''")&amp;"' AND estado = 1 LIMIT 1)")&amp;", p_id_referencia =&gt; "&amp;IF(TRIM(J206&amp;"")&lt;&gt;"","(SELECT lo.id FROM gen_lista_opciones lo JOIN gen_lista l ON l.id = lo.id_lista WHERE l.nombre = 'ReferenciaCilindro' AND upper(lo.nombre) = 'ALMACEN' AND lo.estado = 1 LIMIT 1)",IF(TRIM(K206&amp;"")&lt;&gt;"","(SELECT lo.id FROM gen_lista_opciones lo JOIN gen_lista l ON l.id = lo.id_lista WHERE l.nombre = 'ReferenciaCilindro' AND upper(lo.nombre) = 'CLIENTE' AND lo.estado = 1 LIMIT 1)","NULL"))&amp;", p_anio_fabricacion =&gt; "&amp;IF(M206&amp;""="","NULL::smallint",M206&amp;"::smallint")&amp;", p_mes_fabricacion =&gt; "&amp;IF(N206&amp;""="","NULL::smallint",N206&amp;"::smallint")&amp;", p_fecha_ultima_prueba_hidrostatica =&gt; "&amp;IF(O206&amp;""="","NULL","'"&amp;YEAR(O206)&amp;"-"&amp;TEXT(MONTH(O206),"00")&amp;"-"&amp;TEXT(DAY(O206),"00")&amp;"'")&amp;", p_numero_serie =&gt; "&amp;IF(TRIM(Q206&amp;"")="","NULL","'"&amp;SUBSTITUTE(TRIM(Q206),"'","''")&amp;"'")&amp;", p_id_marca_cilindro =&gt; "&amp;IF(TRIM(R206&amp;"")="","NULL","(SELECT lo.id FROM gen_lista_opciones lo JOIN gen_lista l ON l.id = lo.id_lista WHERE l.nombre = 'MarcaCilindro' AND upper(lo.nombre) = upper('"&amp;SUBSTITUTE(TRIM(R206),"'","''")&amp;"') AND lo.estado = 1 LIMIT 1)")&amp;", p_id_organo_inspector =&gt; "&amp;IF(TRIM(S206&amp;"")="","NULL","(SELECT lo.id FROM gen_lista_opciones lo JOIN gen_lista l ON l.id = lo.id_lista WHERE l.nombre = 'OrganoInspectorCilindro' AND upper(lo.nombre) = upper('"&amp;SUBSTITUTE(TRIM(S206),"'","''")&amp;"') AND lo.estado = 1 LIMIT 1)")&amp;", p_organo_inspector_no_aplica =&gt; "&amp;IF(S206="NO_APLICA","TRUE","FALSE")&amp;", p_presion_actual =&gt; "&amp;IF(T206&amp;""="","NULL",SUBSTITUTE(T206&amp;"",",","."))&amp;", p_tipo_valvula =&gt; "&amp;IF(TRIM(U206&amp;"")="","NULL","'"&amp;SUBSTITUTE(TRIM(U206),"'","''")&amp;"'")&amp;", p_libro_cilindro =&gt; "&amp;IF(TRIM(V206&amp;"")="","NULL","'"&amp;SUBSTITUTE(TRIM(V206),"'","''")&amp;"'")&amp;", p_pagina_libro =&gt; "&amp;IF(W206&amp;""="","NULL",SUBSTITUTE(W206&amp;"",",","."))&amp;", p_observacion =&gt; "&amp;IF(TRIM(X206&amp;"")="","NULL","'"&amp;SUBSTITUTE(TRIM(X206),"'","''")&amp;"'")&amp;") AS resultado_balon_"&amp;ROW()&amp;";")</f>
        <v/>
      </c>
    </row>
    <row r="207" ht="15.75" customHeight="1" s="64">
      <c r="A207" s="36" t="inlineStr">
        <is>
          <t>203</t>
        </is>
      </c>
      <c r="B207" s="25">
        <f>IF(AND(C207="",D207="",E207=""),"",IF(C207="","FALTA código balón",IF(D207="","FALTA tipo balón",IF(E207="","FALTA gas",IF(F207="","FALTA propietario",IF(AND(C207&lt;&gt;"",SUMPRODUCT(--($C$5:$C$1200=C207))&gt;1),"CÓDIGO BALÓN DUPLICADO",IF(AND(OR(UPPER(F207)="PLANTA",UPPER(F207)="CLIENTE"),G207=""),"FALTA doc propietario/planta",IF(AND(UPPER(F207)="PLANTA",G207="10175332796"),"PLANTA no puede ser RUC empresa","OK"))))))))</f>
        <v/>
      </c>
      <c r="C207" s="23" t="inlineStr">
        <is>
          <t>413467</t>
        </is>
      </c>
      <c r="D207" s="17" t="inlineStr">
        <is>
          <t>Oxígeno Industrial 6 m³</t>
        </is>
      </c>
      <c r="E207" s="17" t="inlineStr">
        <is>
          <t>OXIGENO INDUSTRIAL</t>
        </is>
      </c>
      <c r="F207" s="17" t="inlineStr">
        <is>
          <t>EMPRESA</t>
        </is>
      </c>
      <c r="G207" s="23" t="inlineStr">
        <is>
          <t>10175332796</t>
        </is>
      </c>
      <c r="H207" s="25">
        <f t="array" ref="H207">IF(G207="","",IFERROR(IF(INDEX(Clientes!$D$5:$D$549,MATCH(G207,Clientes!$C$5:$C$549,0))&lt;&gt;"",INDEX(Clientes!$D$5:$D$549,MATCH(G207,Clientes!$C$5:$C$549,0)),TRIM(INDEX(Clientes!$E$5:$E$549,MATCH(G207,Clientes!$C$5:$C$549,0))&amp;" "&amp;INDEX(Clientes!$F$5:$F$549,MATCH(G207,Clientes!$C$5:$C$549,0)))),"NO EXISTE en Clientes"))</f>
        <v/>
      </c>
      <c r="I207" s="17" t="inlineStr">
        <is>
          <t>EN_PODER_CLIENTE</t>
        </is>
      </c>
      <c r="J207" s="17" t="n"/>
      <c r="K207" s="23" t="inlineStr">
        <is>
          <t>41554093</t>
        </is>
      </c>
      <c r="L207" s="25">
        <f t="array" ref="L207">IF(K207="","",IFERROR(IF(INDEX(Clientes!$D$5:$D$549,MATCH(K207,Clientes!$C$5:$C$549,0))&lt;&gt;"",INDEX(Clientes!$D$5:$D$549,MATCH(K207,Clientes!$C$5:$C$549,0)),TRIM(INDEX(Clientes!$E$5:$E$549,MATCH(K207,Clientes!$C$5:$C$549,0))&amp;" "&amp;INDEX(Clientes!$F$5:$F$549,MATCH(K207,Clientes!$C$5:$C$549,0)))),"NO EXISTE en Clientes"))</f>
        <v/>
      </c>
      <c r="M207" s="17" t="n">
        <v>2016</v>
      </c>
      <c r="N207" s="17" t="n">
        <v>10</v>
      </c>
      <c r="O207" s="42" t="n">
        <v>42644</v>
      </c>
      <c r="P207" s="39">
        <f>IF(O207&lt;&gt;"",DATE(YEAR(O207)+10,MONTH(O207),1),IF(AND(M207&lt;&gt;"",N207&lt;&gt;""),DATE(M207+5,N207,1),""))</f>
        <v/>
      </c>
      <c r="Q207" s="23" t="n"/>
      <c r="R207" s="17" t="n"/>
      <c r="S207" s="17" t="n"/>
      <c r="T207" s="17" t="n"/>
      <c r="U207" s="17" t="inlineStr">
        <is>
          <t>AMERICANA</t>
        </is>
      </c>
      <c r="V207" s="23" t="n"/>
      <c r="W207" s="17" t="n"/>
      <c r="X207" s="17" t="inlineStr">
        <is>
          <t>CILINDROS PARA CANJE</t>
        </is>
      </c>
      <c r="Y207" s="28">
        <f>IF(B207&lt;&gt;"OK","","SELECT bal_crear_balon(p_codigo_balon =&gt; "&amp;IF(TRIM(C207&amp;"")="","NULL","'"&amp;SUBSTITUTE(TRIM(C207),"'","''")&amp;"'")&amp;", p_id_tipo_balon =&gt; "&amp;"(SELECT id FROM bal_tipo_balon WHERE upper(nombre) = upper('"&amp;SUBSTITUTE(TRIM(D207),"'","''")&amp;"') AND estado = 1 LIMIT 1)"&amp;", p_id_producto_gas =&gt; "&amp;"(SELECT id FROM pro_producto WHERE es_gas = TRUE AND upper(nombre) = upper('"&amp;SUBSTITUTE(TRIM(E207),"'","''")&amp;"') AND estado = 1 LIMIT 1)"&amp;", p_id_propietario =&gt; "&amp;IF(TRIM(F207&amp;"")="","NULL","(SELECT lo.id FROM gen_lista_opciones lo JOIN gen_lista l ON l.id = lo.id_lista WHERE l.nombre = 'PropietarioBalon' AND upper(lo.nombre) = upper('"&amp;SUBSTITUTE(TRIM(F207),"'","''")&amp;"') AND lo.estado = 1 LIMIT 1)")&amp;", p_id_cliente_propietario =&gt; "&amp;IF(F207="CLIENTE",IF(TRIM(G207&amp;"")="","NULL","(SELECT id FROM cli_clientes WHERE numero_documento = '"&amp;SUBSTITUTE(TRIM(G207),"'","''")&amp;"' AND estado = 1 LIMIT 1)"),"NULL")&amp;", p_id_planta =&gt; "&amp;IF(F207="PLANTA",IF(TRIM(G207&amp;"")="","NULL","(SELECT id FROM cli_clientes WHERE numero_documento = '"&amp;SUBSTITUTE(TRIM(G207),"'","''")&amp;"'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"&amp;IF(TRIM(J207&amp;"")="","NULL","(SELECT id FROM gen_almacen WHERE upper(nombre) = upper('"&amp;SUBSTITUTE(TRIM(J207),"'","''")&amp;"') AND estado = 1 LIMIT 1)")&amp;", p_id_cliente_ubicacion =&gt; "&amp;IF(TRIM(K207&amp;"")="","NULL","(SELECT id FROM cli_clientes WHERE numero_documento = '"&amp;SUBSTITUTE(TRIM(K207),"'","''")&amp;"' AND estado = 1 LIMIT 1)")&amp;", p_id_referencia =&gt; "&amp;IF(TRIM(J207&amp;"")&lt;&gt;"","(SELECT lo.id FROM gen_lista_opciones lo JOIN gen_lista l ON l.id = lo.id_lista WHERE l.nombre = 'ReferenciaCilindro' AND upper(lo.nombre) = 'ALMACEN' AND lo.estado = 1 LIMIT 1)",IF(TRIM(K207&amp;"")&lt;&gt;"","(SELECT lo.id FROM gen_lista_opciones lo JOIN gen_lista l ON l.id = lo.id_lista WHERE l.nombre = 'ReferenciaCilindro' AND upper(lo.nombre) = 'CLIENTE' AND lo.estado = 1 LIMIT 1)","NULL"))&amp;", p_anio_fabricacion =&gt; "&amp;IF(M207&amp;""="","NULL::smallint",M207&amp;"::smallint")&amp;", p_mes_fabricacion =&gt; "&amp;IF(N207&amp;""="","NULL::smallint",N207&amp;"::smallint")&amp;", p_fecha_ultima_prueba_hidrostatica =&gt; "&amp;IF(O207&amp;""="","NULL","'"&amp;YEAR(O207)&amp;"-"&amp;TEXT(MONTH(O207),"00")&amp;"-"&amp;TEXT(DAY(O207),"00")&amp;"'")&amp;", p_numero_serie =&gt; "&amp;IF(TRIM(Q207&amp;"")="","NULL","'"&amp;SUBSTITUTE(TRIM(Q207),"'","''")&amp;"'")&amp;", p_id_marca_cilindro =&gt; "&amp;IF(TRIM(R207&amp;"")="","NULL","(SELECT lo.id FROM gen_lista_opciones lo JOIN gen_lista l ON l.id = lo.id_lista WHERE l.nombre = 'MarcaCilindro' AND upper(lo.nombre) = upper('"&amp;SUBSTITUTE(TRIM(R207),"'","''")&amp;"') AND lo.estado = 1 LIMIT 1)")&amp;", p_id_organo_inspector =&gt; "&amp;IF(TRIM(S207&amp;"")="","NULL","(SELECT lo.id FROM gen_lista_opciones lo JOIN gen_lista l ON l.id = lo.id_lista WHERE l.nombre = 'OrganoInspectorCilindro' AND upper(lo.nombre) = upper('"&amp;SUBSTITUTE(TRIM(S207),"'","''")&amp;"') AND lo.estado = 1 LIMIT 1)")&amp;", p_organo_inspector_no_aplica =&gt; "&amp;IF(S207="NO_APLICA","TRUE","FALSE")&amp;", p_presion_actual =&gt; "&amp;IF(T207&amp;""="","NULL",SUBSTITUTE(T207&amp;"",",","."))&amp;", p_tipo_valvula =&gt; "&amp;IF(TRIM(U207&amp;"")="","NULL","'"&amp;SUBSTITUTE(TRIM(U207),"'","''")&amp;"'")&amp;", p_libro_cilindro =&gt; "&amp;IF(TRIM(V207&amp;"")="","NULL","'"&amp;SUBSTITUTE(TRIM(V207),"'","''")&amp;"'")&amp;", p_pagina_libro =&gt; "&amp;IF(W207&amp;""="","NULL",SUBSTITUTE(W207&amp;"",",","."))&amp;", p_observacion =&gt; "&amp;IF(TRIM(X207&amp;"")="","NULL","'"&amp;SUBSTITUTE(TRIM(X207),"'","''")&amp;"'")&amp;") AS resultado_balon_"&amp;ROW()&amp;";")</f>
        <v/>
      </c>
    </row>
    <row r="208" ht="15.75" customHeight="1" s="64">
      <c r="A208" s="36" t="inlineStr">
        <is>
          <t>204</t>
        </is>
      </c>
      <c r="B208" s="25">
        <f>IF(AND(C208="",D208="",E208=""),"",IF(C208="","FALTA código balón",IF(D208="","FALTA tipo balón",IF(E208="","FALTA gas",IF(F208="","FALTA propietario",IF(AND(C208&lt;&gt;"",SUMPRODUCT(--($C$5:$C$1200=C208))&gt;1),"CÓDIGO BALÓN DUPLICADO",IF(AND(OR(UPPER(F208)="PLANTA",UPPER(F208)="CLIENTE"),G208=""),"FALTA doc propietario/planta",IF(AND(UPPER(F208)="PLANTA",G208="10175332796"),"PLANTA no puede ser RUC empresa","OK"))))))))</f>
        <v/>
      </c>
      <c r="C208" s="23" t="inlineStr">
        <is>
          <t>20S290047</t>
        </is>
      </c>
      <c r="D208" s="17" t="inlineStr">
        <is>
          <t>Oxígeno Medicinal 6 m³</t>
        </is>
      </c>
      <c r="E208" s="17" t="inlineStr">
        <is>
          <t>OXIGENO MEDICINAL</t>
        </is>
      </c>
      <c r="F208" s="17" t="inlineStr">
        <is>
          <t>EMPRESA</t>
        </is>
      </c>
      <c r="G208" s="23" t="inlineStr">
        <is>
          <t>10175332796</t>
        </is>
      </c>
      <c r="H208" s="25">
        <f t="array" ref="H208">IF(G208="","",IFERROR(IF(INDEX(Clientes!$D$5:$D$549,MATCH(G208,Clientes!$C$5:$C$549,0))&lt;&gt;"",INDEX(Clientes!$D$5:$D$549,MATCH(G208,Clientes!$C$5:$C$549,0)),TRIM(INDEX(Clientes!$E$5:$E$549,MATCH(G208,Clientes!$C$5:$C$549,0))&amp;" "&amp;INDEX(Clientes!$F$5:$F$549,MATCH(G208,Clientes!$C$5:$C$549,0)))),"NO EXISTE en Clientes"))</f>
        <v/>
      </c>
      <c r="I208" s="17" t="inlineStr">
        <is>
          <t>DISPONIBLE</t>
        </is>
      </c>
      <c r="J208" s="17" t="inlineStr">
        <is>
          <t>ALMACEN PRINCIPAL</t>
        </is>
      </c>
      <c r="K208" s="23" t="n"/>
      <c r="L208" s="25" t="n"/>
      <c r="M208" s="17" t="n">
        <v>2020</v>
      </c>
      <c r="N208" s="17" t="n">
        <v>9</v>
      </c>
      <c r="O208" s="42" t="n">
        <v>44075</v>
      </c>
      <c r="P208" s="39">
        <f>IF(O208&lt;&gt;"",DATE(YEAR(O208)+10,MONTH(O208),1),IF(AND(M208&lt;&gt;"",N208&lt;&gt;""),DATE(M208+5,N208,1),""))</f>
        <v/>
      </c>
      <c r="Q208" s="23" t="n"/>
      <c r="R208" s="17" t="inlineStr">
        <is>
          <t>JP</t>
        </is>
      </c>
      <c r="S208" s="17" t="inlineStr">
        <is>
          <t>HEXAGONAL (T10)</t>
        </is>
      </c>
      <c r="T208" s="17" t="n"/>
      <c r="U208" s="17" t="inlineStr">
        <is>
          <t>AMERICANA</t>
        </is>
      </c>
      <c r="V208" s="23" t="n"/>
      <c r="W208" s="17" t="n"/>
      <c r="X208" s="17" t="inlineStr">
        <is>
          <t>PH LINDE</t>
        </is>
      </c>
      <c r="Y208" s="28">
        <f>IF(B208&lt;&gt;"OK","","SELECT bal_crear_balon(p_codigo_balon =&gt; "&amp;IF(TRIM(C208&amp;"")="","NULL","'"&amp;SUBSTITUTE(TRIM(C208),"'","''")&amp;"'")&amp;", p_id_tipo_balon =&gt; "&amp;"(SELECT id FROM bal_tipo_balon WHERE upper(nombre) = upper('"&amp;SUBSTITUTE(TRIM(D208),"'","''")&amp;"') AND estado = 1 LIMIT 1)"&amp;", p_id_producto_gas =&gt; "&amp;"(SELECT id FROM pro_producto WHERE es_gas = TRUE AND upper(nombre) = upper('"&amp;SUBSTITUTE(TRIM(E208),"'","''")&amp;"') AND estado = 1 LIMIT 1)"&amp;", p_id_propietario =&gt; "&amp;IF(TRIM(F208&amp;"")="","NULL","(SELECT lo.id FROM gen_lista_opciones lo JOIN gen_lista l ON l.id = lo.id_lista WHERE l.nombre = 'PropietarioBalon' AND upper(lo.nombre) = upper('"&amp;SUBSTITUTE(TRIM(F208),"'","''")&amp;"') AND lo.estado = 1 LIMIT 1)")&amp;", p_id_cliente_propietario =&gt; "&amp;IF(F208="CLIENTE",IF(TRIM(G208&amp;"")="","NULL","(SELECT id FROM cli_clientes WHERE numero_documento = '"&amp;SUBSTITUTE(TRIM(G208),"'","''")&amp;"' AND estado = 1 LIMIT 1)"),"NULL")&amp;", p_id_planta =&gt; "&amp;IF(F208="PLANTA",IF(TRIM(G208&amp;"")="","NULL","(SELECT id FROM cli_clientes WHERE numero_documento = '"&amp;SUBSTITUTE(TRIM(G208),"'","''")&amp;"'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"&amp;IF(TRIM(J208&amp;"")="","NULL","(SELECT id FROM gen_almacen WHERE upper(nombre) = upper('"&amp;SUBSTITUTE(TRIM(J208),"'","''")&amp;"') AND estado = 1 LIMIT 1)")&amp;", p_id_cliente_ubicacion =&gt; "&amp;IF(TRIM(K208&amp;"")="","NULL","(SELECT id FROM cli_clientes WHERE numero_documento = '"&amp;SUBSTITUTE(TRIM(K208),"'","''")&amp;"' AND estado = 1 LIMIT 1)")&amp;", p_id_referencia =&gt; "&amp;IF(TRIM(J208&amp;"")&lt;&gt;"","(SELECT lo.id FROM gen_lista_opciones lo JOIN gen_lista l ON l.id = lo.id_lista WHERE l.nombre = 'ReferenciaCilindro' AND upper(lo.nombre) = 'ALMACEN' AND lo.estado = 1 LIMIT 1)",IF(TRIM(K208&amp;"")&lt;&gt;"","(SELECT lo.id FROM gen_lista_opciones lo JOIN gen_lista l ON l.id = lo.id_lista WHERE l.nombre = 'ReferenciaCilindro' AND upper(lo.nombre) = 'CLIENTE' AND lo.estado = 1 LIMIT 1)","NULL"))&amp;", p_anio_fabricacion =&gt; "&amp;IF(M208&amp;""="","NULL::smallint",M208&amp;"::smallint")&amp;", p_mes_fabricacion =&gt; "&amp;IF(N208&amp;""="","NULL::smallint",N208&amp;"::smallint")&amp;", p_fecha_ultima_prueba_hidrostatica =&gt; "&amp;IF(O208&amp;""="","NULL","'"&amp;YEAR(O208)&amp;"-"&amp;TEXT(MONTH(O208),"00")&amp;"-"&amp;TEXT(DAY(O208),"00")&amp;"'")&amp;", p_numero_serie =&gt; "&amp;IF(TRIM(Q208&amp;"")="","NULL","'"&amp;SUBSTITUTE(TRIM(Q208),"'","''")&amp;"'")&amp;", p_id_marca_cilindro =&gt; "&amp;IF(TRIM(R208&amp;"")="","NULL","(SELECT lo.id FROM gen_lista_opciones lo JOIN gen_lista l ON l.id = lo.id_lista WHERE l.nombre = 'MarcaCilindro' AND upper(lo.nombre) = upper('"&amp;SUBSTITUTE(TRIM(R208),"'","''")&amp;"') AND lo.estado = 1 LIMIT 1)")&amp;", p_id_organo_inspector =&gt; "&amp;IF(TRIM(S208&amp;"")="","NULL","(SELECT lo.id FROM gen_lista_opciones lo JOIN gen_lista l ON l.id = lo.id_lista WHERE l.nombre = 'OrganoInspectorCilindro' AND upper(lo.nombre) = upper('"&amp;SUBSTITUTE(TRIM(S208),"'","''")&amp;"') AND lo.estado = 1 LIMIT 1)")&amp;", p_organo_inspector_no_aplica =&gt; "&amp;IF(S208="NO_APLICA","TRUE","FALSE")&amp;", p_presion_actual =&gt; "&amp;IF(T208&amp;""="","NULL",SUBSTITUTE(T208&amp;"",",","."))&amp;", p_tipo_valvula =&gt; "&amp;IF(TRIM(U208&amp;"")="","NULL","'"&amp;SUBSTITUTE(TRIM(U208),"'","''")&amp;"'")&amp;", p_libro_cilindro =&gt; "&amp;IF(TRIM(V208&amp;"")="","NULL","'"&amp;SUBSTITUTE(TRIM(V208),"'","''")&amp;"'")&amp;", p_pagina_libro =&gt; "&amp;IF(W208&amp;""="","NULL",SUBSTITUTE(W208&amp;"",",","."))&amp;", p_observacion =&gt; "&amp;IF(TRIM(X208&amp;"")="","NULL","'"&amp;SUBSTITUTE(TRIM(X208),"'","''")&amp;"'")&amp;") AS resultado_balon_"&amp;ROW()&amp;";")</f>
        <v/>
      </c>
    </row>
    <row r="209" ht="15.75" customHeight="1" s="64">
      <c r="A209" s="36" t="inlineStr">
        <is>
          <t>205</t>
        </is>
      </c>
      <c r="B209" s="25">
        <f>IF(AND(C209="",D209="",E209=""),"",IF(C209="","FALTA código balón",IF(D209="","FALTA tipo balón",IF(E209="","FALTA gas",IF(F209="","FALTA propietario",IF(AND(C209&lt;&gt;"",SUMPRODUCT(--($C$5:$C$1200=C209))&gt;1),"CÓDIGO BALÓN DUPLICADO",IF(AND(OR(UPPER(F209)="PLANTA",UPPER(F209)="CLIENTE"),G209=""),"FALTA doc propietario/planta",IF(AND(UPPER(F209)="PLANTA",G209="10175332796"),"PLANTA no puede ser RUC empresa","OK"))))))))</f>
        <v/>
      </c>
      <c r="C209" s="23" t="inlineStr">
        <is>
          <t>331883</t>
        </is>
      </c>
      <c r="D209" s="17" t="inlineStr">
        <is>
          <t>Oxígeno Industrial 6 m³</t>
        </is>
      </c>
      <c r="E209" s="17" t="inlineStr">
        <is>
          <t>OXIGENO INDUSTRIAL</t>
        </is>
      </c>
      <c r="F209" s="17" t="inlineStr">
        <is>
          <t>EMPRESA</t>
        </is>
      </c>
      <c r="G209" s="23" t="inlineStr">
        <is>
          <t>10175332796</t>
        </is>
      </c>
      <c r="H209" s="25">
        <f t="array" ref="H209">IF(G209="","",IFERROR(IF(INDEX(Clientes!$D$5:$D$549,MATCH(G209,Clientes!$C$5:$C$549,0))&lt;&gt;"",INDEX(Clientes!$D$5:$D$549,MATCH(G209,Clientes!$C$5:$C$549,0)),TRIM(INDEX(Clientes!$E$5:$E$549,MATCH(G209,Clientes!$C$5:$C$549,0))&amp;" "&amp;INDEX(Clientes!$F$5:$F$549,MATCH(G209,Clientes!$C$5:$C$549,0)))),"NO EXISTE en Clientes"))</f>
        <v/>
      </c>
      <c r="I209" s="17" t="inlineStr">
        <is>
          <t>DISPONIBLE</t>
        </is>
      </c>
      <c r="J209" s="17" t="inlineStr">
        <is>
          <t>ALMACEN PRINCIPAL</t>
        </is>
      </c>
      <c r="K209" s="23" t="n"/>
      <c r="L209" s="25" t="n"/>
      <c r="M209" s="17" t="n">
        <v>2019</v>
      </c>
      <c r="N209" s="17" t="n">
        <v>12</v>
      </c>
      <c r="O209" s="42" t="n">
        <v>43800</v>
      </c>
      <c r="P209" s="39">
        <f>IF(O209&lt;&gt;"",DATE(YEAR(O209)+10,MONTH(O209),1),IF(AND(M209&lt;&gt;"",N209&lt;&gt;""),DATE(M209+5,N209,1),""))</f>
        <v/>
      </c>
      <c r="Q209" s="23" t="n"/>
      <c r="R209" s="17" t="inlineStr">
        <is>
          <t>AGA</t>
        </is>
      </c>
      <c r="S209" s="17" t="n"/>
      <c r="T209" s="17" t="n"/>
      <c r="U209" s="17" t="inlineStr">
        <is>
          <t>AMERICANA</t>
        </is>
      </c>
      <c r="V209" s="23" t="n"/>
      <c r="W209" s="17" t="n"/>
      <c r="X209" s="17" t="inlineStr">
        <is>
          <t>CILINDROS PARA CANJE</t>
        </is>
      </c>
      <c r="Y209" s="28">
        <f>IF(B209&lt;&gt;"OK","","SELECT bal_crear_balon(p_codigo_balon =&gt; "&amp;IF(TRIM(C209&amp;"")="","NULL","'"&amp;SUBSTITUTE(TRIM(C209),"'","''")&amp;"'")&amp;", p_id_tipo_balon =&gt; "&amp;"(SELECT id FROM bal_tipo_balon WHERE upper(nombre) = upper('"&amp;SUBSTITUTE(TRIM(D209),"'","''")&amp;"') AND estado = 1 LIMIT 1)"&amp;", p_id_producto_gas =&gt; "&amp;"(SELECT id FROM pro_producto WHERE es_gas = TRUE AND upper(nombre) = upper('"&amp;SUBSTITUTE(TRIM(E209),"'","''")&amp;"') AND estado = 1 LIMIT 1)"&amp;", p_id_propietario =&gt; "&amp;IF(TRIM(F209&amp;"")="","NULL","(SELECT lo.id FROM gen_lista_opciones lo JOIN gen_lista l ON l.id = lo.id_lista WHERE l.nombre = 'PropietarioBalon' AND upper(lo.nombre) = upper('"&amp;SUBSTITUTE(TRIM(F209),"'","''")&amp;"') AND lo.estado = 1 LIMIT 1)")&amp;", p_id_cliente_propietario =&gt; "&amp;IF(F209="CLIENTE",IF(TRIM(G209&amp;"")="","NULL","(SELECT id FROM cli_clientes WHERE numero_documento = '"&amp;SUBSTITUTE(TRIM(G209),"'","''")&amp;"' AND estado = 1 LIMIT 1)"),"NULL")&amp;", p_id_planta =&gt; "&amp;IF(F209="PLANTA",IF(TRIM(G209&amp;"")="","NULL","(SELECT id FROM cli_clientes WHERE numero_documento = '"&amp;SUBSTITUTE(TRIM(G209),"'","''")&amp;"'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"&amp;IF(TRIM(J209&amp;"")="","NULL","(SELECT id FROM gen_almacen WHERE upper(nombre) = upper('"&amp;SUBSTITUTE(TRIM(J209),"'","''")&amp;"') AND estado = 1 LIMIT 1)")&amp;", p_id_cliente_ubicacion =&gt; "&amp;IF(TRIM(K209&amp;"")="","NULL","(SELECT id FROM cli_clientes WHERE numero_documento = '"&amp;SUBSTITUTE(TRIM(K209),"'","''")&amp;"' AND estado = 1 LIMIT 1)")&amp;", p_id_referencia =&gt; "&amp;IF(TRIM(J209&amp;"")&lt;&gt;"","(SELECT lo.id FROM gen_lista_opciones lo JOIN gen_lista l ON l.id = lo.id_lista WHERE l.nombre = 'ReferenciaCilindro' AND upper(lo.nombre) = 'ALMACEN' AND lo.estado = 1 LIMIT 1)",IF(TRIM(K209&amp;"")&lt;&gt;"","(SELECT lo.id FROM gen_lista_opciones lo JOIN gen_lista l ON l.id = lo.id_lista WHERE l.nombre = 'ReferenciaCilindro' AND upper(lo.nombre) = 'CLIENTE' AND lo.estado = 1 LIMIT 1)","NULL"))&amp;", p_anio_fabricacion =&gt; "&amp;IF(M209&amp;""="","NULL::smallint",M209&amp;"::smallint")&amp;", p_mes_fabricacion =&gt; "&amp;IF(N209&amp;""="","NULL::smallint",N209&amp;"::smallint")&amp;", p_fecha_ultima_prueba_hidrostatica =&gt; "&amp;IF(O209&amp;""="","NULL","'"&amp;YEAR(O209)&amp;"-"&amp;TEXT(MONTH(O209),"00")&amp;"-"&amp;TEXT(DAY(O209),"00")&amp;"'")&amp;", p_numero_serie =&gt; "&amp;IF(TRIM(Q209&amp;"")="","NULL","'"&amp;SUBSTITUTE(TRIM(Q209),"'","''")&amp;"'")&amp;", p_id_marca_cilindro =&gt; "&amp;IF(TRIM(R209&amp;"")="","NULL","(SELECT lo.id FROM gen_lista_opciones lo JOIN gen_lista l ON l.id = lo.id_lista WHERE l.nombre = 'MarcaCilindro' AND upper(lo.nombre) = upper('"&amp;SUBSTITUTE(TRIM(R209),"'","''")&amp;"') AND lo.estado = 1 LIMIT 1)")&amp;", p_id_organo_inspector =&gt; "&amp;IF(TRIM(S209&amp;"")="","NULL","(SELECT lo.id FROM gen_lista_opciones lo JOIN gen_lista l ON l.id = lo.id_lista WHERE l.nombre = 'OrganoInspectorCilindro' AND upper(lo.nombre) = upper('"&amp;SUBSTITUTE(TRIM(S209),"'","''")&amp;"') AND lo.estado = 1 LIMIT 1)")&amp;", p_organo_inspector_no_aplica =&gt; "&amp;IF(S209="NO_APLICA","TRUE","FALSE")&amp;", p_presion_actual =&gt; "&amp;IF(T209&amp;""="","NULL",SUBSTITUTE(T209&amp;"",",","."))&amp;", p_tipo_valvula =&gt; "&amp;IF(TRIM(U209&amp;"")="","NULL","'"&amp;SUBSTITUTE(TRIM(U209),"'","''")&amp;"'")&amp;", p_libro_cilindro =&gt; "&amp;IF(TRIM(V209&amp;"")="","NULL","'"&amp;SUBSTITUTE(TRIM(V209),"'","''")&amp;"'")&amp;", p_pagina_libro =&gt; "&amp;IF(W209&amp;""="","NULL",SUBSTITUTE(W209&amp;"",",","."))&amp;", p_observacion =&gt; "&amp;IF(TRIM(X209&amp;"")="","NULL","'"&amp;SUBSTITUTE(TRIM(X209),"'","''")&amp;"'")&amp;") AS resultado_balon_"&amp;ROW()&amp;";")</f>
        <v/>
      </c>
    </row>
    <row r="210" ht="15.75" customHeight="1" s="64">
      <c r="A210" s="36" t="inlineStr">
        <is>
          <t>206</t>
        </is>
      </c>
      <c r="B210" s="25">
        <f>IF(AND(C210="",D210="",E210=""),"",IF(C210="","FALTA código balón",IF(D210="","FALTA tipo balón",IF(E210="","FALTA gas",IF(F210="","FALTA propietario",IF(AND(C210&lt;&gt;"",SUMPRODUCT(--($C$5:$C$1200=C210))&gt;1),"CÓDIGO BALÓN DUPLICADO",IF(AND(OR(UPPER(F210)="PLANTA",UPPER(F210)="CLIENTE"),G210=""),"FALTA doc propietario/planta",IF(AND(UPPER(F210)="PLANTA",G210="10175332796"),"PLANTA no puede ser RUC empresa","OK"))))))))</f>
        <v/>
      </c>
      <c r="C210" s="23" t="inlineStr">
        <is>
          <t>2156</t>
        </is>
      </c>
      <c r="D210" s="17" t="inlineStr">
        <is>
          <t>Oxígeno Industrial 6 m³</t>
        </is>
      </c>
      <c r="E210" s="17" t="inlineStr">
        <is>
          <t>OXIGENO INDUSTRIAL</t>
        </is>
      </c>
      <c r="F210" s="17" t="inlineStr">
        <is>
          <t>EMPRESA</t>
        </is>
      </c>
      <c r="G210" s="23" t="inlineStr">
        <is>
          <t>10175332796</t>
        </is>
      </c>
      <c r="H210" s="25">
        <f t="array" ref="H210">IF(G210="","",IFERROR(IF(INDEX(Clientes!$D$5:$D$549,MATCH(G210,Clientes!$C$5:$C$549,0))&lt;&gt;"",INDEX(Clientes!$D$5:$D$549,MATCH(G210,Clientes!$C$5:$C$549,0)),TRIM(INDEX(Clientes!$E$5:$E$549,MATCH(G210,Clientes!$C$5:$C$549,0))&amp;" "&amp;INDEX(Clientes!$F$5:$F$549,MATCH(G210,Clientes!$C$5:$C$549,0)))),"NO EXISTE en Clientes"))</f>
        <v/>
      </c>
      <c r="I210" s="17" t="inlineStr">
        <is>
          <t>DISPONIBLE</t>
        </is>
      </c>
      <c r="J210" s="17" t="inlineStr">
        <is>
          <t>ALMACEN PRINCIPAL</t>
        </is>
      </c>
      <c r="K210" s="23" t="n"/>
      <c r="L210" s="25" t="n"/>
      <c r="M210" s="17" t="n"/>
      <c r="N210" s="17" t="n"/>
      <c r="O210" s="42" t="n"/>
      <c r="P210" s="39">
        <f>IF(O210&lt;&gt;"",DATE(YEAR(O210)+10,MONTH(O210),1),IF(AND(M210&lt;&gt;"",N210&lt;&gt;""),DATE(M210+5,N210,1),""))</f>
        <v/>
      </c>
      <c r="Q210" s="23" t="n"/>
      <c r="R210" s="17" t="inlineStr">
        <is>
          <t>AMERICANA</t>
        </is>
      </c>
      <c r="S210" s="17" t="n"/>
      <c r="T210" s="17" t="n"/>
      <c r="U210" s="17" t="inlineStr">
        <is>
          <t>AMERICANA</t>
        </is>
      </c>
      <c r="V210" s="23" t="n"/>
      <c r="W210" s="17" t="n"/>
      <c r="X210" s="17" t="inlineStr">
        <is>
          <t>CILINDROS PARA CANJE</t>
        </is>
      </c>
      <c r="Y210" s="28">
        <f>IF(B210&lt;&gt;"OK","","SELECT bal_crear_balon(p_codigo_balon =&gt; "&amp;IF(TRIM(C210&amp;"")="","NULL","'"&amp;SUBSTITUTE(TRIM(C210),"'","''")&amp;"'")&amp;", p_id_tipo_balon =&gt; "&amp;"(SELECT id FROM bal_tipo_balon WHERE upper(nombre) = upper('"&amp;SUBSTITUTE(TRIM(D210),"'","''")&amp;"') AND estado = 1 LIMIT 1)"&amp;", p_id_producto_gas =&gt; "&amp;"(SELECT id FROM pro_producto WHERE es_gas = TRUE AND upper(nombre) = upper('"&amp;SUBSTITUTE(TRIM(E210),"'","''")&amp;"') AND estado = 1 LIMIT 1)"&amp;", p_id_propietario =&gt; "&amp;IF(TRIM(F210&amp;"")="","NULL","(SELECT lo.id FROM gen_lista_opciones lo JOIN gen_lista l ON l.id = lo.id_lista WHERE l.nombre = 'PropietarioBalon' AND upper(lo.nombre) = upper('"&amp;SUBSTITUTE(TRIM(F210),"'","''")&amp;"') AND lo.estado = 1 LIMIT 1)")&amp;", p_id_cliente_propietario =&gt; "&amp;IF(F210="CLIENTE",IF(TRIM(G210&amp;"")="","NULL","(SELECT id FROM cli_clientes WHERE numero_documento = '"&amp;SUBSTITUTE(TRIM(G210),"'","''")&amp;"' AND estado = 1 LIMIT 1)"),"NULL")&amp;", p_id_planta =&gt; "&amp;IF(F210="PLANTA",IF(TRIM(G210&amp;"")="","NULL","(SELECT id FROM cli_clientes WHERE numero_documento = '"&amp;SUBSTITUTE(TRIM(G210),"'","''")&amp;"'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"&amp;IF(TRIM(J210&amp;"")="","NULL","(SELECT id FROM gen_almacen WHERE upper(nombre) = upper('"&amp;SUBSTITUTE(TRIM(J210),"'","''")&amp;"') AND estado = 1 LIMIT 1)")&amp;", p_id_cliente_ubicacion =&gt; "&amp;IF(TRIM(K210&amp;"")="","NULL","(SELECT id FROM cli_clientes WHERE numero_documento = '"&amp;SUBSTITUTE(TRIM(K210),"'","''")&amp;"' AND estado = 1 LIMIT 1)")&amp;", p_id_referencia =&gt; "&amp;IF(TRIM(J210&amp;"")&lt;&gt;"","(SELECT lo.id FROM gen_lista_opciones lo JOIN gen_lista l ON l.id = lo.id_lista WHERE l.nombre = 'ReferenciaCilindro' AND upper(lo.nombre) = 'ALMACEN' AND lo.estado = 1 LIMIT 1)",IF(TRIM(K210&amp;"")&lt;&gt;"","(SELECT lo.id FROM gen_lista_opciones lo JOIN gen_lista l ON l.id = lo.id_lista WHERE l.nombre = 'ReferenciaCilindro' AND upper(lo.nombre) = 'CLIENTE' AND lo.estado = 1 LIMIT 1)","NULL"))&amp;", p_anio_fabricacion =&gt; "&amp;IF(M210&amp;""="","NULL::smallint",M210&amp;"::smallint")&amp;", p_mes_fabricacion =&gt; "&amp;IF(N210&amp;""="","NULL::smallint",N210&amp;"::smallint")&amp;", p_fecha_ultima_prueba_hidrostatica =&gt; "&amp;IF(O210&amp;""="","NULL","'"&amp;YEAR(O210)&amp;"-"&amp;TEXT(MONTH(O210),"00")&amp;"-"&amp;TEXT(DAY(O210),"00")&amp;"'")&amp;", p_numero_serie =&gt; "&amp;IF(TRIM(Q210&amp;"")="","NULL","'"&amp;SUBSTITUTE(TRIM(Q210),"'","''")&amp;"'")&amp;", p_id_marca_cilindro =&gt; "&amp;IF(TRIM(R210&amp;"")="","NULL","(SELECT lo.id FROM gen_lista_opciones lo JOIN gen_lista l ON l.id = lo.id_lista WHERE l.nombre = 'MarcaCilindro' AND upper(lo.nombre) = upper('"&amp;SUBSTITUTE(TRIM(R210),"'","''")&amp;"') AND lo.estado = 1 LIMIT 1)")&amp;", p_id_organo_inspector =&gt; "&amp;IF(TRIM(S210&amp;"")="","NULL","(SELECT lo.id FROM gen_lista_opciones lo JOIN gen_lista l ON l.id = lo.id_lista WHERE l.nombre = 'OrganoInspectorCilindro' AND upper(lo.nombre) = upper('"&amp;SUBSTITUTE(TRIM(S210),"'","''")&amp;"') AND lo.estado = 1 LIMIT 1)")&amp;", p_organo_inspector_no_aplica =&gt; "&amp;IF(S210="NO_APLICA","TRUE","FALSE")&amp;", p_presion_actual =&gt; "&amp;IF(T210&amp;""="","NULL",SUBSTITUTE(T210&amp;"",",","."))&amp;", p_tipo_valvula =&gt; "&amp;IF(TRIM(U210&amp;"")="","NULL","'"&amp;SUBSTITUTE(TRIM(U210),"'","''")&amp;"'")&amp;", p_libro_cilindro =&gt; "&amp;IF(TRIM(V210&amp;"")="","NULL","'"&amp;SUBSTITUTE(TRIM(V210),"'","''")&amp;"'")&amp;", p_pagina_libro =&gt; "&amp;IF(W210&amp;""="","NULL",SUBSTITUTE(W210&amp;"",",","."))&amp;", p_observacion =&gt; "&amp;IF(TRIM(X210&amp;"")="","NULL","'"&amp;SUBSTITUTE(TRIM(X210),"'","''")&amp;"'")&amp;") AS resultado_balon_"&amp;ROW()&amp;";")</f>
        <v/>
      </c>
    </row>
    <row r="211" ht="15.75" customHeight="1" s="64">
      <c r="A211" s="36" t="inlineStr">
        <is>
          <t>207</t>
        </is>
      </c>
      <c r="B211" s="25">
        <f>IF(AND(C211="",D211="",E211=""),"",IF(C211="","FALTA código balón",IF(D211="","FALTA tipo balón",IF(E211="","FALTA gas",IF(F211="","FALTA propietario",IF(AND(C211&lt;&gt;"",SUMPRODUCT(--($C$5:$C$1200=C211))&gt;1),"CÓDIGO BALÓN DUPLICADO",IF(AND(OR(UPPER(F211)="PLANTA",UPPER(F211)="CLIENTE"),G211=""),"FALTA doc propietario/planta",IF(AND(UPPER(F211)="PLANTA",G211="10175332796"),"PLANTA no puede ser RUC empresa","OK"))))))))</f>
        <v/>
      </c>
      <c r="C211" s="23" t="inlineStr">
        <is>
          <t>21E426004</t>
        </is>
      </c>
      <c r="D211" s="17" t="inlineStr">
        <is>
          <t>Oxígeno Medicinal 10 m³</t>
        </is>
      </c>
      <c r="E211" s="17" t="inlineStr">
        <is>
          <t>OXIGENO MEDICINAL</t>
        </is>
      </c>
      <c r="F211" s="17" t="inlineStr">
        <is>
          <t>EMPRESA</t>
        </is>
      </c>
      <c r="G211" s="23" t="inlineStr">
        <is>
          <t>10175332796</t>
        </is>
      </c>
      <c r="H211" s="25">
        <f t="array" ref="H211">IF(G211="","",IFERROR(IF(INDEX(Clientes!$D$5:$D$549,MATCH(G211,Clientes!$C$5:$C$549,0))&lt;&gt;"",INDEX(Clientes!$D$5:$D$549,MATCH(G211,Clientes!$C$5:$C$549,0)),TRIM(INDEX(Clientes!$E$5:$E$549,MATCH(G211,Clientes!$C$5:$C$549,0))&amp;" "&amp;INDEX(Clientes!$F$5:$F$549,MATCH(G211,Clientes!$C$5:$C$549,0)))),"NO EXISTE en Clientes"))</f>
        <v/>
      </c>
      <c r="I211" s="17" t="inlineStr">
        <is>
          <t>DISPONIBLE</t>
        </is>
      </c>
      <c r="J211" s="17" t="inlineStr">
        <is>
          <t>ALMACEN PRINCIPAL</t>
        </is>
      </c>
      <c r="K211" s="23" t="n"/>
      <c r="L211" s="25">
        <f t="array" ref="L211">IF(K211="","",IFERROR(IF(INDEX(Clientes!$D$5:$D$549,MATCH(K211,Clientes!$C$5:$C$549,0))&lt;&gt;"",INDEX(Clientes!$D$5:$D$549,MATCH(K211,Clientes!$C$5:$C$549,0)),TRIM(INDEX(Clientes!$E$5:$E$549,MATCH(K211,Clientes!$C$5:$C$549,0))&amp;" "&amp;INDEX(Clientes!$F$5:$F$549,MATCH(K211,Clientes!$C$5:$C$549,0)))),"NO EXISTE en Clientes"))</f>
        <v/>
      </c>
      <c r="M211" s="17" t="n">
        <v>2026</v>
      </c>
      <c r="N211" s="17" t="n">
        <v>9</v>
      </c>
      <c r="O211" s="42" t="n">
        <v>46266</v>
      </c>
      <c r="P211" s="39">
        <f>IF(O211&lt;&gt;"",DATE(YEAR(O211)+10,MONTH(O211),1),IF(AND(M211&lt;&gt;"",N211&lt;&gt;""),DATE(M211+5,N211,1),""))</f>
        <v/>
      </c>
      <c r="Q211" s="23" t="n"/>
      <c r="R211" s="17" t="inlineStr">
        <is>
          <t>SUIZA</t>
        </is>
      </c>
      <c r="S211" s="17" t="inlineStr">
        <is>
          <t>OTRO</t>
        </is>
      </c>
      <c r="T211" s="17" t="n"/>
      <c r="U211" s="17" t="inlineStr">
        <is>
          <t>CHINA</t>
        </is>
      </c>
      <c r="V211" s="23" t="n"/>
      <c r="W211" s="17" t="n"/>
      <c r="X211" s="17" t="inlineStr">
        <is>
          <t>PH OXIGENO CRISTIAN</t>
        </is>
      </c>
      <c r="Y211" s="28">
        <f>IF(B211&lt;&gt;"OK","","SELECT bal_crear_balon(p_codigo_balon =&gt; "&amp;IF(TRIM(C211&amp;"")="","NULL","'"&amp;SUBSTITUTE(TRIM(C211),"'","''")&amp;"'")&amp;", p_id_tipo_balon =&gt; "&amp;"(SELECT id FROM bal_tipo_balon WHERE upper(nombre) = upper('"&amp;SUBSTITUTE(TRIM(D211),"'","''")&amp;"') AND estado = 1 LIMIT 1)"&amp;", p_id_producto_gas =&gt; "&amp;"(SELECT id FROM pro_producto WHERE es_gas = TRUE AND upper(nombre) = upper('"&amp;SUBSTITUTE(TRIM(E211),"'","''")&amp;"') AND estado = 1 LIMIT 1)"&amp;", p_id_propietario =&gt; "&amp;IF(TRIM(F211&amp;"")="","NULL","(SELECT lo.id FROM gen_lista_opciones lo JOIN gen_lista l ON l.id = lo.id_lista WHERE l.nombre = 'PropietarioBalon' AND upper(lo.nombre) = upper('"&amp;SUBSTITUTE(TRIM(F211),"'","''")&amp;"') AND lo.estado = 1 LIMIT 1)")&amp;", p_id_cliente_propietario =&gt; "&amp;IF(F211="CLIENTE",IF(TRIM(G211&amp;"")="","NULL","(SELECT id FROM cli_clientes WHERE numero_documento = '"&amp;SUBSTITUTE(TRIM(G211),"'","''")&amp;"' AND estado = 1 LIMIT 1)"),"NULL")&amp;", p_id_planta =&gt; "&amp;IF(F211="PLANTA",IF(TRIM(G211&amp;"")="","NULL","(SELECT id FROM cli_clientes WHERE numero_documento = '"&amp;SUBSTITUTE(TRIM(G211),"'","''")&amp;"'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"&amp;IF(TRIM(J211&amp;"")="","NULL","(SELECT id FROM gen_almacen WHERE upper(nombre) = upper('"&amp;SUBSTITUTE(TRIM(J211),"'","''")&amp;"') AND estado = 1 LIMIT 1)")&amp;", p_id_cliente_ubicacion =&gt; "&amp;IF(TRIM(K211&amp;"")="","NULL","(SELECT id FROM cli_clientes WHERE numero_documento = '"&amp;SUBSTITUTE(TRIM(K211),"'","''")&amp;"' AND estado = 1 LIMIT 1)")&amp;", p_id_referencia =&gt; "&amp;IF(TRIM(J211&amp;"")&lt;&gt;"","(SELECT lo.id FROM gen_lista_opciones lo JOIN gen_lista l ON l.id = lo.id_lista WHERE l.nombre = 'ReferenciaCilindro' AND upper(lo.nombre) = 'ALMACEN' AND lo.estado = 1 LIMIT 1)",IF(TRIM(K211&amp;"")&lt;&gt;"","(SELECT lo.id FROM gen_lista_opciones lo JOIN gen_lista l ON l.id = lo.id_lista WHERE l.nombre = 'ReferenciaCilindro' AND upper(lo.nombre) = 'CLIENTE' AND lo.estado = 1 LIMIT 1)","NULL"))&amp;", p_anio_fabricacion =&gt; "&amp;IF(M211&amp;""="","NULL::smallint",M211&amp;"::smallint")&amp;", p_mes_fabricacion =&gt; "&amp;IF(N211&amp;""="","NULL::smallint",N211&amp;"::smallint")&amp;", p_fecha_ultima_prueba_hidrostatica =&gt; "&amp;IF(O211&amp;""="","NULL","'"&amp;YEAR(O211)&amp;"-"&amp;TEXT(MONTH(O211),"00")&amp;"-"&amp;TEXT(DAY(O211),"00")&amp;"'")&amp;", p_numero_serie =&gt; "&amp;IF(TRIM(Q211&amp;"")="","NULL","'"&amp;SUBSTITUTE(TRIM(Q211),"'","''")&amp;"'")&amp;", p_id_marca_cilindro =&gt; "&amp;IF(TRIM(R211&amp;"")="","NULL","(SELECT lo.id FROM gen_lista_opciones lo JOIN gen_lista l ON l.id = lo.id_lista WHERE l.nombre = 'MarcaCilindro' AND upper(lo.nombre) = upper('"&amp;SUBSTITUTE(TRIM(R211),"'","''")&amp;"') AND lo.estado = 1 LIMIT 1)")&amp;", p_id_organo_inspector =&gt; "&amp;IF(TRIM(S211&amp;"")="","NULL","(SELECT lo.id FROM gen_lista_opciones lo JOIN gen_lista l ON l.id = lo.id_lista WHERE l.nombre = 'OrganoInspectorCilindro' AND upper(lo.nombre) = upper('"&amp;SUBSTITUTE(TRIM(S211),"'","''")&amp;"') AND lo.estado = 1 LIMIT 1)")&amp;", p_organo_inspector_no_aplica =&gt; "&amp;IF(S211="NO_APLICA","TRUE","FALSE")&amp;", p_presion_actual =&gt; "&amp;IF(T211&amp;""="","NULL",SUBSTITUTE(T211&amp;"",",","."))&amp;", p_tipo_valvula =&gt; "&amp;IF(TRIM(U211&amp;"")="","NULL","'"&amp;SUBSTITUTE(TRIM(U211),"'","''")&amp;"'")&amp;", p_libro_cilindro =&gt; "&amp;IF(TRIM(V211&amp;"")="","NULL","'"&amp;SUBSTITUTE(TRIM(V211),"'","''")&amp;"'")&amp;", p_pagina_libro =&gt; "&amp;IF(W211&amp;""="","NULL",SUBSTITUTE(W211&amp;"",",","."))&amp;", p_observacion =&gt; "&amp;IF(TRIM(X211&amp;"")="","NULL","'"&amp;SUBSTITUTE(TRIM(X211),"'","''")&amp;"'")&amp;") AS resultado_balon_"&amp;ROW()&amp;";")</f>
        <v/>
      </c>
    </row>
    <row r="212" ht="15.75" customHeight="1" s="64">
      <c r="A212" s="36" t="inlineStr">
        <is>
          <t>208</t>
        </is>
      </c>
      <c r="B212" s="25">
        <f>IF(AND(C212="",D212="",E212=""),"",IF(C212="","FALTA código balón",IF(D212="","FALTA tipo balón",IF(E212="","FALTA gas",IF(F212="","FALTA propietario",IF(AND(C212&lt;&gt;"",SUMPRODUCT(--($C$5:$C$1200=C212))&gt;1),"CÓDIGO BALÓN DUPLICADO",IF(AND(OR(UPPER(F212)="PLANTA",UPPER(F212)="CLIENTE"),G212=""),"FALTA doc propietario/planta",IF(AND(UPPER(F212)="PLANTA",G212="10175332796"),"PLANTA no puede ser RUC empresa","OK"))))))))</f>
        <v/>
      </c>
      <c r="C212" s="23" t="inlineStr">
        <is>
          <t>380950</t>
        </is>
      </c>
      <c r="D212" s="17" t="inlineStr">
        <is>
          <t>Oxígeno Industrial 6 m³</t>
        </is>
      </c>
      <c r="E212" s="17" t="inlineStr">
        <is>
          <t>OXIGENO INDUSTRIAL</t>
        </is>
      </c>
      <c r="F212" s="17" t="inlineStr">
        <is>
          <t>EMPRESA</t>
        </is>
      </c>
      <c r="G212" s="23" t="inlineStr">
        <is>
          <t>10175332796</t>
        </is>
      </c>
      <c r="H212" s="25">
        <f t="array" ref="H212">IF(G212="","",IFERROR(IF(INDEX(Clientes!$D$5:$D$549,MATCH(G212,Clientes!$C$5:$C$549,0))&lt;&gt;"",INDEX(Clientes!$D$5:$D$549,MATCH(G212,Clientes!$C$5:$C$549,0)),TRIM(INDEX(Clientes!$E$5:$E$549,MATCH(G212,Clientes!$C$5:$C$549,0))&amp;" "&amp;INDEX(Clientes!$F$5:$F$549,MATCH(G212,Clientes!$C$5:$C$549,0)))),"NO EXISTE en Clientes"))</f>
        <v/>
      </c>
      <c r="I212" s="17" t="inlineStr">
        <is>
          <t>DISPONIBLE</t>
        </is>
      </c>
      <c r="J212" s="17" t="inlineStr">
        <is>
          <t>ALMACEN PRINCIPAL</t>
        </is>
      </c>
      <c r="K212" s="23" t="n"/>
      <c r="L212" s="25" t="n"/>
      <c r="M212" s="17" t="n"/>
      <c r="N212" s="17" t="n"/>
      <c r="O212" s="42" t="n"/>
      <c r="P212" s="39">
        <f>IF(O212&lt;&gt;"",DATE(YEAR(O212)+10,MONTH(O212),1),IF(AND(M212&lt;&gt;"",N212&lt;&gt;""),DATE(M212+5,N212,1),""))</f>
        <v/>
      </c>
      <c r="Q212" s="23" t="n"/>
      <c r="R212" s="17" t="n"/>
      <c r="S212" s="17" t="n"/>
      <c r="T212" s="17" t="n"/>
      <c r="U212" s="17" t="inlineStr">
        <is>
          <t>CHINA</t>
        </is>
      </c>
      <c r="V212" s="23" t="n"/>
      <c r="W212" s="17" t="n"/>
      <c r="X212" s="17" t="n"/>
      <c r="Y212" s="28">
        <f>IF(B212&lt;&gt;"OK","","SELECT bal_crear_balon(p_codigo_balon =&gt; "&amp;IF(TRIM(C212&amp;"")="","NULL","'"&amp;SUBSTITUTE(TRIM(C212),"'","''")&amp;"'")&amp;", p_id_tipo_balon =&gt; "&amp;"(SELECT id FROM bal_tipo_balon WHERE upper(nombre) = upper('"&amp;SUBSTITUTE(TRIM(D212),"'","''")&amp;"') AND estado = 1 LIMIT 1)"&amp;", p_id_producto_gas =&gt; "&amp;"(SELECT id FROM pro_producto WHERE es_gas = TRUE AND upper(nombre) = upper('"&amp;SUBSTITUTE(TRIM(E212),"'","''")&amp;"') AND estado = 1 LIMIT 1)"&amp;", p_id_propietario =&gt; "&amp;IF(TRIM(F212&amp;"")="","NULL","(SELECT lo.id FROM gen_lista_opciones lo JOIN gen_lista l ON l.id = lo.id_lista WHERE l.nombre = 'PropietarioBalon' AND upper(lo.nombre) = upper('"&amp;SUBSTITUTE(TRIM(F212),"'","''")&amp;"') AND lo.estado = 1 LIMIT 1)")&amp;", p_id_cliente_propietario =&gt; "&amp;IF(F212="CLIENTE",IF(TRIM(G212&amp;"")="","NULL","(SELECT id FROM cli_clientes WHERE numero_documento = '"&amp;SUBSTITUTE(TRIM(G212),"'","''")&amp;"' AND estado = 1 LIMIT 1)"),"NULL")&amp;", p_id_planta =&gt; "&amp;IF(F212="PLANTA",IF(TRIM(G212&amp;"")="","NULL","(SELECT id FROM cli_clientes WHERE numero_documento = '"&amp;SUBSTITUTE(TRIM(G212),"'","''")&amp;"'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"&amp;IF(TRIM(J212&amp;"")="","NULL","(SELECT id FROM gen_almacen WHERE upper(nombre) = upper('"&amp;SUBSTITUTE(TRIM(J212),"'","''")&amp;"') AND estado = 1 LIMIT 1)")&amp;", p_id_cliente_ubicacion =&gt; "&amp;IF(TRIM(K212&amp;"")="","NULL","(SELECT id FROM cli_clientes WHERE numero_documento = '"&amp;SUBSTITUTE(TRIM(K212),"'","''")&amp;"' AND estado = 1 LIMIT 1)")&amp;", p_id_referencia =&gt; "&amp;IF(TRIM(J212&amp;"")&lt;&gt;"","(SELECT lo.id FROM gen_lista_opciones lo JOIN gen_lista l ON l.id = lo.id_lista WHERE l.nombre = 'ReferenciaCilindro' AND upper(lo.nombre) = 'ALMACEN' AND lo.estado = 1 LIMIT 1)",IF(TRIM(K212&amp;"")&lt;&gt;"","(SELECT lo.id FROM gen_lista_opciones lo JOIN gen_lista l ON l.id = lo.id_lista WHERE l.nombre = 'ReferenciaCilindro' AND upper(lo.nombre) = 'CLIENTE' AND lo.estado = 1 LIMIT 1)","NULL"))&amp;", p_anio_fabricacion =&gt; "&amp;IF(M212&amp;""="","NULL::smallint",M212&amp;"::smallint")&amp;", p_mes_fabricacion =&gt; "&amp;IF(N212&amp;""="","NULL::smallint",N212&amp;"::smallint")&amp;", p_fecha_ultima_prueba_hidrostatica =&gt; "&amp;IF(O212&amp;""="","NULL","'"&amp;YEAR(O212)&amp;"-"&amp;TEXT(MONTH(O212),"00")&amp;"-"&amp;TEXT(DAY(O212),"00")&amp;"'")&amp;", p_numero_serie =&gt; "&amp;IF(TRIM(Q212&amp;"")="","NULL","'"&amp;SUBSTITUTE(TRIM(Q212),"'","''")&amp;"'")&amp;", p_id_marca_cilindro =&gt; "&amp;IF(TRIM(R212&amp;"")="","NULL","(SELECT lo.id FROM gen_lista_opciones lo JOIN gen_lista l ON l.id = lo.id_lista WHERE l.nombre = 'MarcaCilindro' AND upper(lo.nombre) = upper('"&amp;SUBSTITUTE(TRIM(R212),"'","''")&amp;"') AND lo.estado = 1 LIMIT 1)")&amp;", p_id_organo_inspector =&gt; "&amp;IF(TRIM(S212&amp;"")="","NULL","(SELECT lo.id FROM gen_lista_opciones lo JOIN gen_lista l ON l.id = lo.id_lista WHERE l.nombre = 'OrganoInspectorCilindro' AND upper(lo.nombre) = upper('"&amp;SUBSTITUTE(TRIM(S212),"'","''")&amp;"') AND lo.estado = 1 LIMIT 1)")&amp;", p_organo_inspector_no_aplica =&gt; "&amp;IF(S212="NO_APLICA","TRUE","FALSE")&amp;", p_presion_actual =&gt; "&amp;IF(T212&amp;""="","NULL",SUBSTITUTE(T212&amp;"",",","."))&amp;", p_tipo_valvula =&gt; "&amp;IF(TRIM(U212&amp;"")="","NULL","'"&amp;SUBSTITUTE(TRIM(U212),"'","''")&amp;"'")&amp;", p_libro_cilindro =&gt; "&amp;IF(TRIM(V212&amp;"")="","NULL","'"&amp;SUBSTITUTE(TRIM(V212),"'","''")&amp;"'")&amp;", p_pagina_libro =&gt; "&amp;IF(W212&amp;""="","NULL",SUBSTITUTE(W212&amp;"",",","."))&amp;", p_observacion =&gt; "&amp;IF(TRIM(X212&amp;"")="","NULL","'"&amp;SUBSTITUTE(TRIM(X212),"'","''")&amp;"'")&amp;") AS resultado_balon_"&amp;ROW()&amp;";")</f>
        <v/>
      </c>
    </row>
    <row r="213" ht="15.75" customHeight="1" s="64">
      <c r="A213" s="36" t="inlineStr">
        <is>
          <t>209</t>
        </is>
      </c>
      <c r="B213" s="25">
        <f>IF(AND(C213="",D213="",E213=""),"",IF(C213="","FALTA código balón",IF(D213="","FALTA tipo balón",IF(E213="","FALTA gas",IF(F213="","FALTA propietario",IF(AND(C213&lt;&gt;"",SUMPRODUCT(--($C$5:$C$1200=C213))&gt;1),"CÓDIGO BALÓN DUPLICADO",IF(AND(OR(UPPER(F213)="PLANTA",UPPER(F213)="CLIENTE"),G213=""),"FALTA doc propietario/planta",IF(AND(UPPER(F213)="PLANTA",G213="10175332796"),"PLANTA no puede ser RUC empresa","OK"))))))))</f>
        <v/>
      </c>
      <c r="C213" s="23" t="inlineStr">
        <is>
          <t>1869</t>
        </is>
      </c>
      <c r="D213" s="17" t="inlineStr">
        <is>
          <t>Oxígeno Industrial 6 m³</t>
        </is>
      </c>
      <c r="E213" s="17" t="inlineStr">
        <is>
          <t>OXIGENO INDUSTRIAL</t>
        </is>
      </c>
      <c r="F213" s="17" t="inlineStr">
        <is>
          <t>EMPRESA</t>
        </is>
      </c>
      <c r="G213" s="23" t="inlineStr">
        <is>
          <t>10175332796</t>
        </is>
      </c>
      <c r="H213" s="25">
        <f t="array" ref="H213">IF(G213="","",IFERROR(IF(INDEX(Clientes!$D$5:$D$549,MATCH(G213,Clientes!$C$5:$C$549,0))&lt;&gt;"",INDEX(Clientes!$D$5:$D$549,MATCH(G213,Clientes!$C$5:$C$549,0)),TRIM(INDEX(Clientes!$E$5:$E$549,MATCH(G213,Clientes!$C$5:$C$549,0))&amp;" "&amp;INDEX(Clientes!$F$5:$F$549,MATCH(G213,Clientes!$C$5:$C$549,0)))),"NO EXISTE en Clientes"))</f>
        <v/>
      </c>
      <c r="I213" s="17" t="inlineStr">
        <is>
          <t>DISPONIBLE</t>
        </is>
      </c>
      <c r="J213" s="17" t="inlineStr">
        <is>
          <t>ALMACEN PRINCIPAL</t>
        </is>
      </c>
      <c r="K213" s="23" t="n"/>
      <c r="L213" s="25">
        <f t="array" ref="L213">IF(K213="","",IFERROR(IF(INDEX(Clientes!$D$5:$D$549,MATCH(K213,Clientes!$C$5:$C$549,0))&lt;&gt;"",INDEX(Clientes!$D$5:$D$549,MATCH(K213,Clientes!$C$5:$C$549,0)),TRIM(INDEX(Clientes!$E$5:$E$549,MATCH(K213,Clientes!$C$5:$C$549,0))&amp;" "&amp;INDEX(Clientes!$F$5:$F$549,MATCH(K213,Clientes!$C$5:$C$549,0)))),"NO EXISTE en Clientes"))</f>
        <v/>
      </c>
      <c r="M213" s="17" t="n">
        <v>2018</v>
      </c>
      <c r="N213" s="17" t="n">
        <v>5</v>
      </c>
      <c r="O213" s="42" t="n">
        <v>43221</v>
      </c>
      <c r="P213" s="39">
        <f>IF(O213&lt;&gt;"",DATE(YEAR(O213)+10,MONTH(O213),1),IF(AND(M213&lt;&gt;"",N213&lt;&gt;""),DATE(M213+5,N213,1),""))</f>
        <v/>
      </c>
      <c r="Q213" s="23" t="n"/>
      <c r="R213" s="17" t="inlineStr">
        <is>
          <t>AGA</t>
        </is>
      </c>
      <c r="S213" s="17" t="n"/>
      <c r="T213" s="17" t="n"/>
      <c r="U213" s="17" t="inlineStr">
        <is>
          <t>AMERICANA</t>
        </is>
      </c>
      <c r="V213" s="23" t="n"/>
      <c r="W213" s="17" t="n"/>
      <c r="X213" s="17" t="n"/>
      <c r="Y213" s="28">
        <f>IF(B213&lt;&gt;"OK","","SELECT bal_crear_balon(p_codigo_balon =&gt; "&amp;IF(TRIM(C213&amp;"")="","NULL","'"&amp;SUBSTITUTE(TRIM(C213),"'","''")&amp;"'")&amp;", p_id_tipo_balon =&gt; "&amp;"(SELECT id FROM bal_tipo_balon WHERE upper(nombre) = upper('"&amp;SUBSTITUTE(TRIM(D213),"'","''")&amp;"') AND estado = 1 LIMIT 1)"&amp;", p_id_producto_gas =&gt; "&amp;"(SELECT id FROM pro_producto WHERE es_gas = TRUE AND upper(nombre) = upper('"&amp;SUBSTITUTE(TRIM(E213),"'","''")&amp;"') AND estado = 1 LIMIT 1)"&amp;", p_id_propietario =&gt; "&amp;IF(TRIM(F213&amp;"")="","NULL","(SELECT lo.id FROM gen_lista_opciones lo JOIN gen_lista l ON l.id = lo.id_lista WHERE l.nombre = 'PropietarioBalon' AND upper(lo.nombre) = upper('"&amp;SUBSTITUTE(TRIM(F213),"'","''")&amp;"') AND lo.estado = 1 LIMIT 1)")&amp;", p_id_cliente_propietario =&gt; "&amp;IF(F213="CLIENTE",IF(TRIM(G213&amp;"")="","NULL","(SELECT id FROM cli_clientes WHERE numero_documento = '"&amp;SUBSTITUTE(TRIM(G213),"'","''")&amp;"' AND estado = 1 LIMIT 1)"),"NULL")&amp;", p_id_planta =&gt; "&amp;IF(F213="PLANTA",IF(TRIM(G213&amp;"")="","NULL","(SELECT id FROM cli_clientes WHERE numero_documento = '"&amp;SUBSTITUTE(TRIM(G213),"'","''")&amp;"'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"&amp;IF(TRIM(J213&amp;"")="","NULL","(SELECT id FROM gen_almacen WHERE upper(nombre) = upper('"&amp;SUBSTITUTE(TRIM(J213),"'","''")&amp;"') AND estado = 1 LIMIT 1)")&amp;", p_id_cliente_ubicacion =&gt; "&amp;IF(TRIM(K213&amp;"")="","NULL","(SELECT id FROM cli_clientes WHERE numero_documento = '"&amp;SUBSTITUTE(TRIM(K213),"'","''")&amp;"' AND estado = 1 LIMIT 1)")&amp;", p_id_referencia =&gt; "&amp;IF(TRIM(J213&amp;"")&lt;&gt;"","(SELECT lo.id FROM gen_lista_opciones lo JOIN gen_lista l ON l.id = lo.id_lista WHERE l.nombre = 'ReferenciaCilindro' AND upper(lo.nombre) = 'ALMACEN' AND lo.estado = 1 LIMIT 1)",IF(TRIM(K213&amp;"")&lt;&gt;"","(SELECT lo.id FROM gen_lista_opciones lo JOIN gen_lista l ON l.id = lo.id_lista WHERE l.nombre = 'ReferenciaCilindro' AND upper(lo.nombre) = 'CLIENTE' AND lo.estado = 1 LIMIT 1)","NULL"))&amp;", p_anio_fabricacion =&gt; "&amp;IF(M213&amp;""="","NULL::smallint",M213&amp;"::smallint")&amp;", p_mes_fabricacion =&gt; "&amp;IF(N213&amp;""="","NULL::smallint",N213&amp;"::smallint")&amp;", p_fecha_ultima_prueba_hidrostatica =&gt; "&amp;IF(O213&amp;""="","NULL","'"&amp;YEAR(O213)&amp;"-"&amp;TEXT(MONTH(O213),"00")&amp;"-"&amp;TEXT(DAY(O213),"00")&amp;"'")&amp;", p_numero_serie =&gt; "&amp;IF(TRIM(Q213&amp;"")="","NULL","'"&amp;SUBSTITUTE(TRIM(Q213),"'","''")&amp;"'")&amp;", p_id_marca_cilindro =&gt; "&amp;IF(TRIM(R213&amp;"")="","NULL","(SELECT lo.id FROM gen_lista_opciones lo JOIN gen_lista l ON l.id = lo.id_lista WHERE l.nombre = 'MarcaCilindro' AND upper(lo.nombre) = upper('"&amp;SUBSTITUTE(TRIM(R213),"'","''")&amp;"') AND lo.estado = 1 LIMIT 1)")&amp;", p_id_organo_inspector =&gt; "&amp;IF(TRIM(S213&amp;"")="","NULL","(SELECT lo.id FROM gen_lista_opciones lo JOIN gen_lista l ON l.id = lo.id_lista WHERE l.nombre = 'OrganoInspectorCilindro' AND upper(lo.nombre) = upper('"&amp;SUBSTITUTE(TRIM(S213),"'","''")&amp;"') AND lo.estado = 1 LIMIT 1)")&amp;", p_organo_inspector_no_aplica =&gt; "&amp;IF(S213="NO_APLICA","TRUE","FALSE")&amp;", p_presion_actual =&gt; "&amp;IF(T213&amp;""="","NULL",SUBSTITUTE(T213&amp;"",",","."))&amp;", p_tipo_valvula =&gt; "&amp;IF(TRIM(U213&amp;"")="","NULL","'"&amp;SUBSTITUTE(TRIM(U213),"'","''")&amp;"'")&amp;", p_libro_cilindro =&gt; "&amp;IF(TRIM(V213&amp;"")="","NULL","'"&amp;SUBSTITUTE(TRIM(V213),"'","''")&amp;"'")&amp;", p_pagina_libro =&gt; "&amp;IF(W213&amp;""="","NULL",SUBSTITUTE(W213&amp;"",",","."))&amp;", p_observacion =&gt; "&amp;IF(TRIM(X213&amp;"")="","NULL","'"&amp;SUBSTITUTE(TRIM(X213),"'","''")&amp;"'")&amp;") AS resultado_balon_"&amp;ROW()&amp;";")</f>
        <v/>
      </c>
    </row>
    <row r="214" ht="15.75" customHeight="1" s="64">
      <c r="A214" s="36" t="inlineStr">
        <is>
          <t>210</t>
        </is>
      </c>
      <c r="B214" s="25">
        <f>IF(AND(C214="",D214="",E214=""),"",IF(C214="","FALTA código balón",IF(D214="","FALTA tipo balón",IF(E214="","FALTA gas",IF(F214="","FALTA propietario",IF(AND(C214&lt;&gt;"",SUMPRODUCT(--($C$5:$C$1200=C214))&gt;1),"CÓDIGO BALÓN DUPLICADO",IF(AND(OR(UPPER(F214)="PLANTA",UPPER(F214)="CLIENTE"),G214=""),"FALTA doc propietario/planta",IF(AND(UPPER(F214)="PLANTA",G214="10175332796"),"PLANTA no puede ser RUC empresa","OK"))))))))</f>
        <v/>
      </c>
      <c r="C214" s="60" t="inlineStr">
        <is>
          <t>977491</t>
        </is>
      </c>
      <c r="D214" s="17" t="inlineStr">
        <is>
          <t>DIOXIDO DE CARBONO 9 KG</t>
        </is>
      </c>
      <c r="E214" s="17" t="inlineStr">
        <is>
          <t>DIÓXIDO DE CARBONO</t>
        </is>
      </c>
      <c r="F214" s="17" t="inlineStr">
        <is>
          <t>CLIENTE</t>
        </is>
      </c>
      <c r="G214" s="26" t="inlineStr">
        <is>
          <t>20555041137</t>
        </is>
      </c>
      <c r="H214" s="25">
        <f t="array" ref="H214">IF(G214="","",IFERROR(IF(INDEX(Clientes!$D$5:$D$549,MATCH(G214,Clientes!$C$5:$C$549,0))&lt;&gt;"",INDEX(Clientes!$D$5:$D$549,MATCH(G214,Clientes!$C$5:$C$549,0)),TRIM(INDEX(Clientes!$E$5:$E$549,MATCH(G214,Clientes!$C$5:$C$549,0))&amp;" "&amp;INDEX(Clientes!$F$5:$F$549,MATCH(G214,Clientes!$C$5:$C$549,0)))),"NO EXISTE en Clientes"))</f>
        <v/>
      </c>
      <c r="I214" s="17" t="inlineStr">
        <is>
          <t>DISPONIBLE</t>
        </is>
      </c>
      <c r="J214" s="17" t="inlineStr">
        <is>
          <t>ALMACEN PRINCIPAL</t>
        </is>
      </c>
      <c r="K214" s="23" t="n"/>
      <c r="L214" s="25" t="n"/>
      <c r="M214" s="17" t="n"/>
      <c r="N214" s="17" t="n"/>
      <c r="O214" s="42" t="n"/>
      <c r="P214" s="39">
        <f>IF(O214&lt;&gt;"",DATE(YEAR(O214)+10,MONTH(O214),1),IF(AND(M214&lt;&gt;"",N214&lt;&gt;""),DATE(M214+5,N214,1),""))</f>
        <v/>
      </c>
      <c r="Q214" s="23" t="n"/>
      <c r="R214" s="17" t="n"/>
      <c r="S214" s="17" t="n"/>
      <c r="T214" s="17" t="n"/>
      <c r="U214" s="17" t="n"/>
      <c r="V214" s="23" t="n"/>
      <c r="W214" s="17" t="n"/>
      <c r="X214" s="17" t="n"/>
      <c r="Y214" s="28">
        <f>IF(B214&lt;&gt;"OK","","SELECT bal_crear_balon(p_codigo_balon =&gt; "&amp;IF(TRIM(C214&amp;"")="","NULL","'"&amp;SUBSTITUTE(TRIM(C214),"'","''")&amp;"'")&amp;", p_id_tipo_balon =&gt; "&amp;"(SELECT id FROM bal_tipo_balon WHERE upper(nombre) = upper('"&amp;SUBSTITUTE(TRIM(D214),"'","''")&amp;"') AND estado = 1 LIMIT 1)"&amp;", p_id_producto_gas =&gt; "&amp;"(SELECT id FROM pro_producto WHERE es_gas = TRUE AND upper(nombre) = upper('"&amp;SUBSTITUTE(TRIM(E214),"'","''")&amp;"') AND estado = 1 LIMIT 1)"&amp;", p_id_propietario =&gt; "&amp;IF(TRIM(F214&amp;"")="","NULL","(SELECT lo.id FROM gen_lista_opciones lo JOIN gen_lista l ON l.id = lo.id_lista WHERE l.nombre = 'PropietarioBalon' AND upper(lo.nombre) = upper('"&amp;SUBSTITUTE(TRIM(F214),"'","''")&amp;"') AND lo.estado = 1 LIMIT 1)")&amp;", p_id_cliente_propietario =&gt; "&amp;IF(F214="CLIENTE",IF(TRIM(G214&amp;"")="","NULL","(SELECT id FROM cli_clientes WHERE numero_documento = '"&amp;SUBSTITUTE(TRIM(G214),"'","''")&amp;"' AND estado = 1 LIMIT 1)"),"NULL")&amp;", p_id_planta =&gt; "&amp;IF(F214="PLANTA",IF(TRIM(G214&amp;"")="","NULL","(SELECT id FROM cli_clientes WHERE numero_documento = '"&amp;SUBSTITUTE(TRIM(G214),"'","''")&amp;"'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"&amp;IF(TRIM(J214&amp;"")="","NULL","(SELECT id FROM gen_almacen WHERE upper(nombre) = upper('"&amp;SUBSTITUTE(TRIM(J214),"'","''")&amp;"') AND estado = 1 LIMIT 1)")&amp;", p_id_cliente_ubicacion =&gt; "&amp;IF(TRIM(K214&amp;"")="","NULL","(SELECT id FROM cli_clientes WHERE numero_documento = '"&amp;SUBSTITUTE(TRIM(K214),"'","''")&amp;"' AND estado = 1 LIMIT 1)")&amp;", p_id_referencia =&gt; "&amp;IF(TRIM(J214&amp;"")&lt;&gt;"","(SELECT lo.id FROM gen_lista_opciones lo JOIN gen_lista l ON l.id = lo.id_lista WHERE l.nombre = 'ReferenciaCilindro' AND upper(lo.nombre) = 'ALMACEN' AND lo.estado = 1 LIMIT 1)",IF(TRIM(K214&amp;"")&lt;&gt;"","(SELECT lo.id FROM gen_lista_opciones lo JOIN gen_lista l ON l.id = lo.id_lista WHERE l.nombre = 'ReferenciaCilindro' AND upper(lo.nombre) = 'CLIENTE' AND lo.estado = 1 LIMIT 1)","NULL"))&amp;", p_anio_fabricacion =&gt; "&amp;IF(M214&amp;""="","NULL::smallint",M214&amp;"::smallint")&amp;", p_mes_fabricacion =&gt; "&amp;IF(N214&amp;""="","NULL::smallint",N214&amp;"::smallint")&amp;", p_fecha_ultima_prueba_hidrostatica =&gt; "&amp;IF(O214&amp;""="","NULL","'"&amp;YEAR(O214)&amp;"-"&amp;TEXT(MONTH(O214),"00")&amp;"-"&amp;TEXT(DAY(O214),"00")&amp;"'")&amp;", p_numero_serie =&gt; "&amp;IF(TRIM(Q214&amp;"")="","NULL","'"&amp;SUBSTITUTE(TRIM(Q214),"'","''")&amp;"'")&amp;", p_id_marca_cilindro =&gt; "&amp;IF(TRIM(R214&amp;"")="","NULL","(SELECT lo.id FROM gen_lista_opciones lo JOIN gen_lista l ON l.id = lo.id_lista WHERE l.nombre = 'MarcaCilindro' AND upper(lo.nombre) = upper('"&amp;SUBSTITUTE(TRIM(R214),"'","''")&amp;"') AND lo.estado = 1 LIMIT 1)")&amp;", p_id_organo_inspector =&gt; "&amp;IF(TRIM(S214&amp;"")="","NULL","(SELECT lo.id FROM gen_lista_opciones lo JOIN gen_lista l ON l.id = lo.id_lista WHERE l.nombre = 'OrganoInspectorCilindro' AND upper(lo.nombre) = upper('"&amp;SUBSTITUTE(TRIM(S214),"'","''")&amp;"') AND lo.estado = 1 LIMIT 1)")&amp;", p_organo_inspector_no_aplica =&gt; "&amp;IF(S214="NO_APLICA","TRUE","FALSE")&amp;", p_presion_actual =&gt; "&amp;IF(T214&amp;""="","NULL",SUBSTITUTE(T214&amp;"",",","."))&amp;", p_tipo_valvula =&gt; "&amp;IF(TRIM(U214&amp;"")="","NULL","'"&amp;SUBSTITUTE(TRIM(U214),"'","''")&amp;"'")&amp;", p_libro_cilindro =&gt; "&amp;IF(TRIM(V214&amp;"")="","NULL","'"&amp;SUBSTITUTE(TRIM(V214),"'","''")&amp;"'")&amp;", p_pagina_libro =&gt; "&amp;IF(W214&amp;""="","NULL",SUBSTITUTE(W214&amp;"",",","."))&amp;", p_observacion =&gt; "&amp;IF(TRIM(X214&amp;"")="","NULL","'"&amp;SUBSTITUTE(TRIM(X214),"'","''")&amp;"'")&amp;") AS resultado_balon_"&amp;ROW()&amp;";")</f>
        <v/>
      </c>
    </row>
    <row r="215" ht="15.75" customHeight="1" s="64">
      <c r="A215" s="36" t="inlineStr">
        <is>
          <t>211</t>
        </is>
      </c>
      <c r="B215" s="25">
        <f>IF(AND(C215="",D215="",E215=""),"",IF(C215="","FALTA código balón",IF(D215="","FALTA tipo balón",IF(E215="","FALTA gas",IF(F215="","FALTA propietario",IF(AND(C215&lt;&gt;"",SUMPRODUCT(--($C$5:$C$1200=C215))&gt;1),"CÓDIGO BALÓN DUPLICADO",IF(AND(OR(UPPER(F215)="PLANTA",UPPER(F215)="CLIENTE"),G215=""),"FALTA doc propietario/planta",IF(AND(UPPER(F215)="PLANTA",G215="10175332796"),"PLANTA no puede ser RUC empresa","OK"))))))))</f>
        <v/>
      </c>
      <c r="C215" s="54" t="inlineStr">
        <is>
          <t>250034034</t>
        </is>
      </c>
      <c r="D215" s="17" t="inlineStr">
        <is>
          <t>Acetileno de 8kg</t>
        </is>
      </c>
      <c r="E215" s="17" t="inlineStr">
        <is>
          <t xml:space="preserve">ACETILENO ESPECIAL </t>
        </is>
      </c>
      <c r="F215" s="17" t="inlineStr">
        <is>
          <t>CLIENTE</t>
        </is>
      </c>
      <c r="G215" s="23" t="inlineStr">
        <is>
          <t>20451534107</t>
        </is>
      </c>
      <c r="H215" s="25">
        <f t="array" ref="H215">IF(G215="","",IFERROR(IF(INDEX(Clientes!$D$5:$D$549,MATCH(G215,Clientes!$C$5:$C$549,0))&lt;&gt;"",INDEX(Clientes!$D$5:$D$549,MATCH(G215,Clientes!$C$5:$C$549,0)),TRIM(INDEX(Clientes!$E$5:$E$549,MATCH(G215,Clientes!$C$5:$C$549,0))&amp;" "&amp;INDEX(Clientes!$F$5:$F$549,MATCH(G215,Clientes!$C$5:$C$549,0)))),"NO EXISTE en Clientes"))</f>
        <v/>
      </c>
      <c r="I215" s="17" t="inlineStr">
        <is>
          <t>EN_PODER_CLIENTE</t>
        </is>
      </c>
      <c r="J215" s="17" t="n"/>
      <c r="K215" s="23" t="inlineStr">
        <is>
          <t>20451534107</t>
        </is>
      </c>
      <c r="L215" s="25">
        <f t="array" ref="L215">IF(K215="","",IFERROR(IF(INDEX(Clientes!$D$5:$D$549,MATCH(K215,Clientes!$C$5:$C$549,0))&lt;&gt;"",INDEX(Clientes!$D$5:$D$549,MATCH(K215,Clientes!$C$5:$C$549,0)),TRIM(INDEX(Clientes!$E$5:$E$549,MATCH(K215,Clientes!$C$5:$C$549,0))&amp;" "&amp;INDEX(Clientes!$F$5:$F$549,MATCH(K215,Clientes!$C$5:$C$549,0)))),"NO EXISTE en Clientes"))</f>
        <v/>
      </c>
      <c r="M215" s="17" t="n"/>
      <c r="N215" s="17" t="n"/>
      <c r="O215" s="42" t="n"/>
      <c r="P215" s="39">
        <f>IF(O215&lt;&gt;"",DATE(YEAR(O215)+10,MONTH(O215),1),IF(AND(M215&lt;&gt;"",N215&lt;&gt;""),DATE(M215+5,N215,1),""))</f>
        <v/>
      </c>
      <c r="Q215" s="23" t="n"/>
      <c r="R215" s="17" t="n"/>
      <c r="S215" s="17" t="n"/>
      <c r="T215" s="17" t="n"/>
      <c r="U215" s="17" t="n"/>
      <c r="V215" s="23" t="n"/>
      <c r="W215" s="17" t="n"/>
      <c r="X215" s="17" t="n"/>
      <c r="Y215" s="28">
        <f>IF(B215&lt;&gt;"OK","","SELECT bal_crear_balon(p_codigo_balon =&gt; "&amp;IF(TRIM(C215&amp;"")="","NULL","'"&amp;SUBSTITUTE(TRIM(C215),"'","''")&amp;"'")&amp;", p_id_tipo_balon =&gt; "&amp;"(SELECT id FROM bal_tipo_balon WHERE upper(nombre) = upper('"&amp;SUBSTITUTE(TRIM(D215),"'","''")&amp;"') AND estado = 1 LIMIT 1)"&amp;", p_id_producto_gas =&gt; "&amp;"(SELECT id FROM pro_producto WHERE es_gas = TRUE AND upper(nombre) = upper('"&amp;SUBSTITUTE(TRIM(E215),"'","''")&amp;"') AND estado = 1 LIMIT 1)"&amp;", p_id_propietario =&gt; "&amp;IF(TRIM(F215&amp;"")="","NULL","(SELECT lo.id FROM gen_lista_opciones lo JOIN gen_lista l ON l.id = lo.id_lista WHERE l.nombre = 'PropietarioBalon' AND upper(lo.nombre) = upper('"&amp;SUBSTITUTE(TRIM(F215),"'","''")&amp;"') AND lo.estado = 1 LIMIT 1)")&amp;", p_id_cliente_propietario =&gt; "&amp;IF(F215="CLIENTE",IF(TRIM(G215&amp;"")="","NULL","(SELECT id FROM cli_clientes WHERE numero_documento = '"&amp;SUBSTITUTE(TRIM(G215),"'","''")&amp;"' AND estado = 1 LIMIT 1)"),"NULL")&amp;", p_id_planta =&gt; "&amp;IF(F215="PLANTA",IF(TRIM(G215&amp;"")="","NULL","(SELECT id FROM cli_clientes WHERE numero_documento = '"&amp;SUBSTITUTE(TRIM(G215),"'","''")&amp;"'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"&amp;IF(TRIM(J215&amp;"")="","NULL","(SELECT id FROM gen_almacen WHERE upper(nombre) = upper('"&amp;SUBSTITUTE(TRIM(J215),"'","''")&amp;"') AND estado = 1 LIMIT 1)")&amp;", p_id_cliente_ubicacion =&gt; "&amp;IF(TRIM(K215&amp;"")="","NULL","(SELECT id FROM cli_clientes WHERE numero_documento = '"&amp;SUBSTITUTE(TRIM(K215),"'","''")&amp;"' AND estado = 1 LIMIT 1)")&amp;", p_id_referencia =&gt; "&amp;IF(TRIM(J215&amp;"")&lt;&gt;"","(SELECT lo.id FROM gen_lista_opciones lo JOIN gen_lista l ON l.id = lo.id_lista WHERE l.nombre = 'ReferenciaCilindro' AND upper(lo.nombre) = 'ALMACEN' AND lo.estado = 1 LIMIT 1)",IF(TRIM(K215&amp;"")&lt;&gt;"","(SELECT lo.id FROM gen_lista_opciones lo JOIN gen_lista l ON l.id = lo.id_lista WHERE l.nombre = 'ReferenciaCilindro' AND upper(lo.nombre) = 'CLIENTE' AND lo.estado = 1 LIMIT 1)","NULL"))&amp;", p_anio_fabricacion =&gt; "&amp;IF(M215&amp;""="","NULL::smallint",M215&amp;"::smallint")&amp;", p_mes_fabricacion =&gt; "&amp;IF(N215&amp;""="","NULL::smallint",N215&amp;"::smallint")&amp;", p_fecha_ultima_prueba_hidrostatica =&gt; "&amp;IF(O215&amp;""="","NULL","'"&amp;YEAR(O215)&amp;"-"&amp;TEXT(MONTH(O215),"00")&amp;"-"&amp;TEXT(DAY(O215),"00")&amp;"'")&amp;", p_numero_serie =&gt; "&amp;IF(TRIM(Q215&amp;"")="","NULL","'"&amp;SUBSTITUTE(TRIM(Q215),"'","''")&amp;"'")&amp;", p_id_marca_cilindro =&gt; "&amp;IF(TRIM(R215&amp;"")="","NULL","(SELECT lo.id FROM gen_lista_opciones lo JOIN gen_lista l ON l.id = lo.id_lista WHERE l.nombre = 'MarcaCilindro' AND upper(lo.nombre) = upper('"&amp;SUBSTITUTE(TRIM(R215),"'","''")&amp;"') AND lo.estado = 1 LIMIT 1)")&amp;", p_id_organo_inspector =&gt; "&amp;IF(TRIM(S215&amp;"")="","NULL","(SELECT lo.id FROM gen_lista_opciones lo JOIN gen_lista l ON l.id = lo.id_lista WHERE l.nombre = 'OrganoInspectorCilindro' AND upper(lo.nombre) = upper('"&amp;SUBSTITUTE(TRIM(S215),"'","''")&amp;"') AND lo.estado = 1 LIMIT 1)")&amp;", p_organo_inspector_no_aplica =&gt; "&amp;IF(S215="NO_APLICA","TRUE","FALSE")&amp;", p_presion_actual =&gt; "&amp;IF(T215&amp;""="","NULL",SUBSTITUTE(T215&amp;"",",","."))&amp;", p_tipo_valvula =&gt; "&amp;IF(TRIM(U215&amp;"")="","NULL","'"&amp;SUBSTITUTE(TRIM(U215),"'","''")&amp;"'")&amp;", p_libro_cilindro =&gt; "&amp;IF(TRIM(V215&amp;"")="","NULL","'"&amp;SUBSTITUTE(TRIM(V215),"'","''")&amp;"'")&amp;", p_pagina_libro =&gt; "&amp;IF(W215&amp;""="","NULL",SUBSTITUTE(W215&amp;"",",","."))&amp;", p_observacion =&gt; "&amp;IF(TRIM(X215&amp;"")="","NULL","'"&amp;SUBSTITUTE(TRIM(X215),"'","''")&amp;"'")&amp;") AS resultado_balon_"&amp;ROW()&amp;";")</f>
        <v/>
      </c>
    </row>
    <row r="216" ht="15.75" customHeight="1" s="64">
      <c r="A216" s="36" t="inlineStr">
        <is>
          <t>212</t>
        </is>
      </c>
      <c r="B216" s="25">
        <f>IF(AND(C216="",D216="",E216=""),"",IF(C216="","FALTA código balón",IF(D216="","FALTA tipo balón",IF(E216="","FALTA gas",IF(F216="","FALTA propietario",IF(AND(C216&lt;&gt;"",SUMPRODUCT(--($C$5:$C$1200=C216))&gt;1),"CÓDIGO BALÓN DUPLICADO",IF(AND(OR(UPPER(F216)="PLANTA",UPPER(F216)="CLIENTE"),G216=""),"FALTA doc propietario/planta",IF(AND(UPPER(F216)="PLANTA",G216="10175332796"),"PLANTA no puede ser RUC empresa","OK"))))))))</f>
        <v/>
      </c>
      <c r="C216" s="60" t="inlineStr">
        <is>
          <t>5502016</t>
        </is>
      </c>
      <c r="D216" s="17" t="inlineStr">
        <is>
          <t>Acetileno de 1 - 4 kg</t>
        </is>
      </c>
      <c r="E216" s="17" t="inlineStr">
        <is>
          <t>ACETILENO ESTANDAR</t>
        </is>
      </c>
      <c r="F216" s="17" t="inlineStr">
        <is>
          <t>CLIENTE</t>
        </is>
      </c>
      <c r="G216" s="23" t="inlineStr">
        <is>
          <t>20103448591</t>
        </is>
      </c>
      <c r="H216" s="25">
        <f t="array" ref="H216">IF(G216="","",IFERROR(IF(INDEX(Clientes!$D$5:$D$549,MATCH(G216,Clientes!$C$5:$C$549,0))&lt;&gt;"",INDEX(Clientes!$D$5:$D$549,MATCH(G216,Clientes!$C$5:$C$549,0)),TRIM(INDEX(Clientes!$E$5:$E$549,MATCH(G216,Clientes!$C$5:$C$549,0))&amp;" "&amp;INDEX(Clientes!$F$5:$F$549,MATCH(G216,Clientes!$C$5:$C$549,0)))),"NO EXISTE en Clientes"))</f>
        <v/>
      </c>
      <c r="I216" s="17" t="inlineStr">
        <is>
          <t>DISPONIBLE</t>
        </is>
      </c>
      <c r="J216" s="17" t="inlineStr">
        <is>
          <t>ALMACEN PRINCIPAL</t>
        </is>
      </c>
      <c r="K216" s="23" t="n"/>
      <c r="L216" s="25" t="n"/>
      <c r="M216" s="17" t="n"/>
      <c r="N216" s="17" t="n"/>
      <c r="O216" s="42" t="n"/>
      <c r="P216" s="39">
        <f>IF(O216&lt;&gt;"",DATE(YEAR(O216)+10,MONTH(O216),1),IF(AND(M216&lt;&gt;"",N216&lt;&gt;""),DATE(M216+5,N216,1),""))</f>
        <v/>
      </c>
      <c r="Q216" s="23" t="n"/>
      <c r="R216" s="17" t="n"/>
      <c r="S216" s="17" t="n"/>
      <c r="T216" s="17" t="n"/>
      <c r="U216" s="17" t="n"/>
      <c r="V216" s="23" t="n"/>
      <c r="W216" s="17" t="n"/>
      <c r="X216" s="17" t="n"/>
      <c r="Y216" s="28">
        <f>IF(B216&lt;&gt;"OK","","SELECT bal_crear_balon(p_codigo_balon =&gt; "&amp;IF(TRIM(C216&amp;"")="","NULL","'"&amp;SUBSTITUTE(TRIM(C216),"'","''")&amp;"'")&amp;", p_id_tipo_balon =&gt; "&amp;"(SELECT id FROM bal_tipo_balon WHERE upper(nombre) = upper('"&amp;SUBSTITUTE(TRIM(D216),"'","''")&amp;"') AND estado = 1 LIMIT 1)"&amp;", p_id_producto_gas =&gt; "&amp;"(SELECT id FROM pro_producto WHERE es_gas = TRUE AND upper(nombre) = upper('"&amp;SUBSTITUTE(TRIM(E216),"'","''")&amp;"') AND estado = 1 LIMIT 1)"&amp;", p_id_propietario =&gt; "&amp;IF(TRIM(F216&amp;"")="","NULL","(SELECT lo.id FROM gen_lista_opciones lo JOIN gen_lista l ON l.id = lo.id_lista WHERE l.nombre = 'PropietarioBalon' AND upper(lo.nombre) = upper('"&amp;SUBSTITUTE(TRIM(F216),"'","''")&amp;"') AND lo.estado = 1 LIMIT 1)")&amp;", p_id_cliente_propietario =&gt; "&amp;IF(F216="CLIENTE",IF(TRIM(G216&amp;"")="","NULL","(SELECT id FROM cli_clientes WHERE numero_documento = '"&amp;SUBSTITUTE(TRIM(G216),"'","''")&amp;"' AND estado = 1 LIMIT 1)"),"NULL")&amp;", p_id_planta =&gt; "&amp;IF(F216="PLANTA",IF(TRIM(G216&amp;"")="","NULL","(SELECT id FROM cli_clientes WHERE numero_documento = '"&amp;SUBSTITUTE(TRIM(G216),"'","''")&amp;"'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"&amp;IF(TRIM(J216&amp;"")="","NULL","(SELECT id FROM gen_almacen WHERE upper(nombre) = upper('"&amp;SUBSTITUTE(TRIM(J216),"'","''")&amp;"') AND estado = 1 LIMIT 1)")&amp;", p_id_cliente_ubicacion =&gt; "&amp;IF(TRIM(K216&amp;"")="","NULL","(SELECT id FROM cli_clientes WHERE numero_documento = '"&amp;SUBSTITUTE(TRIM(K216),"'","''")&amp;"' AND estado = 1 LIMIT 1)")&amp;", p_id_referencia =&gt; "&amp;IF(TRIM(J216&amp;"")&lt;&gt;"","(SELECT lo.id FROM gen_lista_opciones lo JOIN gen_lista l ON l.id = lo.id_lista WHERE l.nombre = 'ReferenciaCilindro' AND upper(lo.nombre) = 'ALMACEN' AND lo.estado = 1 LIMIT 1)",IF(TRIM(K216&amp;"")&lt;&gt;"","(SELECT lo.id FROM gen_lista_opciones lo JOIN gen_lista l ON l.id = lo.id_lista WHERE l.nombre = 'ReferenciaCilindro' AND upper(lo.nombre) = 'CLIENTE' AND lo.estado = 1 LIMIT 1)","NULL"))&amp;", p_anio_fabricacion =&gt; "&amp;IF(M216&amp;""="","NULL::smallint",M216&amp;"::smallint")&amp;", p_mes_fabricacion =&gt; "&amp;IF(N216&amp;""="","NULL::smallint",N216&amp;"::smallint")&amp;", p_fecha_ultima_prueba_hidrostatica =&gt; "&amp;IF(O216&amp;""="","NULL","'"&amp;YEAR(O216)&amp;"-"&amp;TEXT(MONTH(O216),"00")&amp;"-"&amp;TEXT(DAY(O216),"00")&amp;"'")&amp;", p_numero_serie =&gt; "&amp;IF(TRIM(Q216&amp;"")="","NULL","'"&amp;SUBSTITUTE(TRIM(Q216),"'","''")&amp;"'")&amp;", p_id_marca_cilindro =&gt; "&amp;IF(TRIM(R216&amp;"")="","NULL","(SELECT lo.id FROM gen_lista_opciones lo JOIN gen_lista l ON l.id = lo.id_lista WHERE l.nombre = 'MarcaCilindro' AND upper(lo.nombre) = upper('"&amp;SUBSTITUTE(TRIM(R216),"'","''")&amp;"') AND lo.estado = 1 LIMIT 1)")&amp;", p_id_organo_inspector =&gt; "&amp;IF(TRIM(S216&amp;"")="","NULL","(SELECT lo.id FROM gen_lista_opciones lo JOIN gen_lista l ON l.id = lo.id_lista WHERE l.nombre = 'OrganoInspectorCilindro' AND upper(lo.nombre) = upper('"&amp;SUBSTITUTE(TRIM(S216),"'","''")&amp;"') AND lo.estado = 1 LIMIT 1)")&amp;", p_organo_inspector_no_aplica =&gt; "&amp;IF(S216="NO_APLICA","TRUE","FALSE")&amp;", p_presion_actual =&gt; "&amp;IF(T216&amp;""="","NULL",SUBSTITUTE(T216&amp;"",",","."))&amp;", p_tipo_valvula =&gt; "&amp;IF(TRIM(U216&amp;"")="","NULL","'"&amp;SUBSTITUTE(TRIM(U216),"'","''")&amp;"'")&amp;", p_libro_cilindro =&gt; "&amp;IF(TRIM(V216&amp;"")="","NULL","'"&amp;SUBSTITUTE(TRIM(V216),"'","''")&amp;"'")&amp;", p_pagina_libro =&gt; "&amp;IF(W216&amp;""="","NULL",SUBSTITUTE(W216&amp;"",",","."))&amp;", p_observacion =&gt; "&amp;IF(TRIM(X216&amp;"")="","NULL","'"&amp;SUBSTITUTE(TRIM(X216),"'","''")&amp;"'")&amp;") AS resultado_balon_"&amp;ROW()&amp;";")</f>
        <v/>
      </c>
    </row>
    <row r="217" ht="15.75" customHeight="1" s="64">
      <c r="A217" s="36" t="inlineStr">
        <is>
          <t>213</t>
        </is>
      </c>
      <c r="B217" s="25">
        <f>IF(AND(C217="",D217="",E217=""),"",IF(C217="","FALTA código balón",IF(D217="","FALTA tipo balón",IF(E217="","FALTA gas",IF(F217="","FALTA propietario",IF(AND(C217&lt;&gt;"",SUMPRODUCT(--($C$5:$C$1200=C217))&gt;1),"CÓDIGO BALÓN DUPLICADO",IF(AND(OR(UPPER(F217)="PLANTA",UPPER(F217)="CLIENTE"),G217=""),"FALTA doc propietario/planta",IF(AND(UPPER(F217)="PLANTA",G217="10175332796"),"PLANTA no puede ser RUC empresa","OK"))))))))</f>
        <v/>
      </c>
      <c r="C217" s="54" t="inlineStr">
        <is>
          <t>N22650 (M411193)</t>
        </is>
      </c>
      <c r="D217" s="17" t="inlineStr">
        <is>
          <t>Acetileno de 1 - 4 kg</t>
        </is>
      </c>
      <c r="E217" s="17" t="inlineStr">
        <is>
          <t>ACETILENO ESTANDAR</t>
        </is>
      </c>
      <c r="F217" s="17" t="inlineStr">
        <is>
          <t>CLIENTE</t>
        </is>
      </c>
      <c r="G217" s="23" t="inlineStr">
        <is>
          <t>17430623</t>
        </is>
      </c>
      <c r="H217" s="25">
        <f t="array" ref="H217">IF(G217="","",IFERROR(IF(INDEX(Clientes!$D$5:$D$549,MATCH(G217,Clientes!$C$5:$C$549,0))&lt;&gt;"",INDEX(Clientes!$D$5:$D$549,MATCH(G217,Clientes!$C$5:$C$549,0)),TRIM(INDEX(Clientes!$E$5:$E$549,MATCH(G217,Clientes!$C$5:$C$549,0))&amp;" "&amp;INDEX(Clientes!$F$5:$F$549,MATCH(G217,Clientes!$C$5:$C$549,0)))),"NO EXISTE en Clientes"))</f>
        <v/>
      </c>
      <c r="I217" s="17" t="inlineStr">
        <is>
          <t>DISPONIBLE</t>
        </is>
      </c>
      <c r="J217" s="17" t="inlineStr">
        <is>
          <t>ALMACEN PRINCIPAL</t>
        </is>
      </c>
      <c r="K217" s="23" t="n"/>
      <c r="L217" s="25" t="n"/>
      <c r="M217" s="17" t="n"/>
      <c r="N217" s="17" t="n"/>
      <c r="O217" s="42" t="n"/>
      <c r="P217" s="39">
        <f>IF(O217&lt;&gt;"",DATE(YEAR(O217)+10,MONTH(O217),1),IF(AND(M217&lt;&gt;"",N217&lt;&gt;""),DATE(M217+5,N217,1),""))</f>
        <v/>
      </c>
      <c r="Q217" s="23" t="n"/>
      <c r="R217" s="17" t="n"/>
      <c r="S217" s="17" t="n"/>
      <c r="T217" s="17" t="n"/>
      <c r="U217" s="17" t="n"/>
      <c r="V217" s="23" t="n"/>
      <c r="W217" s="17" t="n"/>
      <c r="X217" s="17" t="n"/>
      <c r="Y217" s="28">
        <f>IF(B217&lt;&gt;"OK","","SELECT bal_crear_balon(p_codigo_balon =&gt; "&amp;IF(TRIM(C217&amp;"")="","NULL","'"&amp;SUBSTITUTE(TRIM(C217),"'","''")&amp;"'")&amp;", p_id_tipo_balon =&gt; "&amp;"(SELECT id FROM bal_tipo_balon WHERE upper(nombre) = upper('"&amp;SUBSTITUTE(TRIM(D217),"'","''")&amp;"') AND estado = 1 LIMIT 1)"&amp;", p_id_producto_gas =&gt; "&amp;"(SELECT id FROM pro_producto WHERE es_gas = TRUE AND upper(nombre) = upper('"&amp;SUBSTITUTE(TRIM(E217),"'","''")&amp;"') AND estado = 1 LIMIT 1)"&amp;", p_id_propietario =&gt; "&amp;IF(TRIM(F217&amp;"")="","NULL","(SELECT lo.id FROM gen_lista_opciones lo JOIN gen_lista l ON l.id = lo.id_lista WHERE l.nombre = 'PropietarioBalon' AND upper(lo.nombre) = upper('"&amp;SUBSTITUTE(TRIM(F217),"'","''")&amp;"') AND lo.estado = 1 LIMIT 1)")&amp;", p_id_cliente_propietario =&gt; "&amp;IF(F217="CLIENTE",IF(TRIM(G217&amp;"")="","NULL","(SELECT id FROM cli_clientes WHERE numero_documento = '"&amp;SUBSTITUTE(TRIM(G217),"'","''")&amp;"' AND estado = 1 LIMIT 1)"),"NULL")&amp;", p_id_planta =&gt; "&amp;IF(F217="PLANTA",IF(TRIM(G217&amp;"")="","NULL","(SELECT id FROM cli_clientes WHERE numero_documento = '"&amp;SUBSTITUTE(TRIM(G217),"'","''")&amp;"'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"&amp;IF(TRIM(J217&amp;"")="","NULL","(SELECT id FROM gen_almacen WHERE upper(nombre) = upper('"&amp;SUBSTITUTE(TRIM(J217),"'","''")&amp;"') AND estado = 1 LIMIT 1)")&amp;", p_id_cliente_ubicacion =&gt; "&amp;IF(TRIM(K217&amp;"")="","NULL","(SELECT id FROM cli_clientes WHERE numero_documento = '"&amp;SUBSTITUTE(TRIM(K217),"'","''")&amp;"' AND estado = 1 LIMIT 1)")&amp;", p_id_referencia =&gt; "&amp;IF(TRIM(J217&amp;"")&lt;&gt;"","(SELECT lo.id FROM gen_lista_opciones lo JOIN gen_lista l ON l.id = lo.id_lista WHERE l.nombre = 'ReferenciaCilindro' AND upper(lo.nombre) = 'ALMACEN' AND lo.estado = 1 LIMIT 1)",IF(TRIM(K217&amp;"")&lt;&gt;"","(SELECT lo.id FROM gen_lista_opciones lo JOIN gen_lista l ON l.id = lo.id_lista WHERE l.nombre = 'ReferenciaCilindro' AND upper(lo.nombre) = 'CLIENTE' AND lo.estado = 1 LIMIT 1)","NULL"))&amp;", p_anio_fabricacion =&gt; "&amp;IF(M217&amp;""="","NULL::smallint",M217&amp;"::smallint")&amp;", p_mes_fabricacion =&gt; "&amp;IF(N217&amp;""="","NULL::smallint",N217&amp;"::smallint")&amp;", p_fecha_ultima_prueba_hidrostatica =&gt; "&amp;IF(O217&amp;""="","NULL","'"&amp;YEAR(O217)&amp;"-"&amp;TEXT(MONTH(O217),"00")&amp;"-"&amp;TEXT(DAY(O217),"00")&amp;"'")&amp;", p_numero_serie =&gt; "&amp;IF(TRIM(Q217&amp;"")="","NULL","'"&amp;SUBSTITUTE(TRIM(Q217),"'","''")&amp;"'")&amp;", p_id_marca_cilindro =&gt; "&amp;IF(TRIM(R217&amp;"")="","NULL","(SELECT lo.id FROM gen_lista_opciones lo JOIN gen_lista l ON l.id = lo.id_lista WHERE l.nombre = 'MarcaCilindro' AND upper(lo.nombre) = upper('"&amp;SUBSTITUTE(TRIM(R217),"'","''")&amp;"') AND lo.estado = 1 LIMIT 1)")&amp;", p_id_organo_inspector =&gt; "&amp;IF(TRIM(S217&amp;"")="","NULL","(SELECT lo.id FROM gen_lista_opciones lo JOIN gen_lista l ON l.id = lo.id_lista WHERE l.nombre = 'OrganoInspectorCilindro' AND upper(lo.nombre) = upper('"&amp;SUBSTITUTE(TRIM(S217),"'","''")&amp;"') AND lo.estado = 1 LIMIT 1)")&amp;", p_organo_inspector_no_aplica =&gt; "&amp;IF(S217="NO_APLICA","TRUE","FALSE")&amp;", p_presion_actual =&gt; "&amp;IF(T217&amp;""="","NULL",SUBSTITUTE(T217&amp;"",",","."))&amp;", p_tipo_valvula =&gt; "&amp;IF(TRIM(U217&amp;"")="","NULL","'"&amp;SUBSTITUTE(TRIM(U217),"'","''")&amp;"'")&amp;", p_libro_cilindro =&gt; "&amp;IF(TRIM(V217&amp;"")="","NULL","'"&amp;SUBSTITUTE(TRIM(V217),"'","''")&amp;"'")&amp;", p_pagina_libro =&gt; "&amp;IF(W217&amp;""="","NULL",SUBSTITUTE(W217&amp;"",",","."))&amp;", p_observacion =&gt; "&amp;IF(TRIM(X217&amp;"")="","NULL","'"&amp;SUBSTITUTE(TRIM(X217),"'","''")&amp;"'")&amp;") AS resultado_balon_"&amp;ROW()&amp;";")</f>
        <v/>
      </c>
    </row>
    <row r="218" ht="15.75" customHeight="1" s="64">
      <c r="A218" s="36" t="inlineStr">
        <is>
          <t>214</t>
        </is>
      </c>
      <c r="B218" s="25">
        <f>IF(AND(C218="",D218="",E218=""),"",IF(C218="","FALTA código balón",IF(D218="","FALTA tipo balón",IF(E218="","FALTA gas",IF(F218="","FALTA propietario",IF(AND(C218&lt;&gt;"",SUMPRODUCT(--($C$5:$C$1200=C218))&gt;1),"CÓDIGO BALÓN DUPLICADO",IF(AND(OR(UPPER(F218)="PLANTA",UPPER(F218)="CLIENTE"),G218=""),"FALTA doc propietario/planta",IF(AND(UPPER(F218)="PLANTA",G218="10175332796"),"PLANTA no puede ser RUC empresa","OK"))))))))</f>
        <v/>
      </c>
      <c r="C218" s="60" t="inlineStr">
        <is>
          <t>M559533</t>
        </is>
      </c>
      <c r="D218" s="17" t="inlineStr">
        <is>
          <t>Acetileno de 3.5 - 5 kg</t>
        </is>
      </c>
      <c r="E218" s="17" t="inlineStr">
        <is>
          <t>ACETILENO ESTANDAR</t>
        </is>
      </c>
      <c r="F218" s="17" t="inlineStr">
        <is>
          <t>EMPRESA</t>
        </is>
      </c>
      <c r="G218" s="23" t="inlineStr">
        <is>
          <t>10175332796</t>
        </is>
      </c>
      <c r="H218" s="25">
        <f t="array" ref="H218">IF(G218="","",IFERROR(IF(INDEX(Clientes!$D$5:$D$549,MATCH(G218,Clientes!$C$5:$C$549,0))&lt;&gt;"",INDEX(Clientes!$D$5:$D$549,MATCH(G218,Clientes!$C$5:$C$549,0)),TRIM(INDEX(Clientes!$E$5:$E$549,MATCH(G218,Clientes!$C$5:$C$549,0))&amp;" "&amp;INDEX(Clientes!$F$5:$F$549,MATCH(G218,Clientes!$C$5:$C$549,0)))),"NO EXISTE en Clientes"))</f>
        <v/>
      </c>
      <c r="I218" s="17" t="inlineStr">
        <is>
          <t>DISPONIBLE</t>
        </is>
      </c>
      <c r="J218" s="17" t="inlineStr">
        <is>
          <t>ALMACEN PRINCIPAL</t>
        </is>
      </c>
      <c r="K218" s="23" t="n"/>
      <c r="L218" s="25">
        <f t="array" ref="L218">IF(K218="","",IFERROR(IF(INDEX(Clientes!$D$5:$D$549,MATCH(K218,Clientes!$C$5:$C$549,0))&lt;&gt;"",INDEX(Clientes!$D$5:$D$549,MATCH(K218,Clientes!$C$5:$C$549,0)),TRIM(INDEX(Clientes!$E$5:$E$549,MATCH(K218,Clientes!$C$5:$C$549,0))&amp;" "&amp;INDEX(Clientes!$F$5:$F$549,MATCH(K218,Clientes!$C$5:$C$549,0)))),"NO EXISTE en Clientes"))</f>
        <v/>
      </c>
      <c r="M218" s="17" t="n"/>
      <c r="N218" s="17" t="n"/>
      <c r="O218" s="42" t="n"/>
      <c r="P218" s="39">
        <f>IF(O218&lt;&gt;"",DATE(YEAR(O218)+5,MONTH(O218),1),IF(AND(M218&lt;&gt;"",N218&lt;&gt;""),DATE(M218+5,N218,1),""))</f>
        <v/>
      </c>
      <c r="Q218" s="23" t="n"/>
      <c r="R218" s="17" t="n"/>
      <c r="S218" s="17" t="n"/>
      <c r="T218" s="17" t="n"/>
      <c r="U218" s="17" t="n"/>
      <c r="V218" s="23" t="n"/>
      <c r="W218" s="17" t="n"/>
      <c r="X218" s="17" t="n"/>
      <c r="Y218" s="28">
        <f>IF(B218&lt;&gt;"OK","","SELECT bal_crear_balon(p_codigo_balon =&gt; "&amp;IF(TRIM(C218&amp;"")="","NULL","'"&amp;SUBSTITUTE(TRIM(C218),"'","''")&amp;"'")&amp;", p_id_tipo_balon =&gt; "&amp;"(SELECT id FROM bal_tipo_balon WHERE upper(nombre) = upper('"&amp;SUBSTITUTE(TRIM(D218),"'","''")&amp;"') AND estado = 1 LIMIT 1)"&amp;", p_id_producto_gas =&gt; "&amp;"(SELECT id FROM pro_producto WHERE es_gas = TRUE AND upper(nombre) = upper('"&amp;SUBSTITUTE(TRIM(E218),"'","''")&amp;"') AND estado = 1 LIMIT 1)"&amp;", p_id_propietario =&gt; "&amp;IF(TRIM(F218&amp;"")="","NULL","(SELECT lo.id FROM gen_lista_opciones lo JOIN gen_lista l ON l.id = lo.id_lista WHERE l.nombre = 'PropietarioBalon' AND upper(lo.nombre) = upper('"&amp;SUBSTITUTE(TRIM(F218),"'","''")&amp;"') AND lo.estado = 1 LIMIT 1)")&amp;", p_id_cliente_propietario =&gt; "&amp;IF(F218="CLIENTE",IF(TRIM(G218&amp;"")="","NULL","(SELECT id FROM cli_clientes WHERE numero_documento = '"&amp;SUBSTITUTE(TRIM(G218),"'","''")&amp;"' AND estado = 1 LIMIT 1)"),"NULL")&amp;", p_id_planta =&gt; "&amp;IF(F218="PLANTA",IF(TRIM(G218&amp;"")="","NULL","(SELECT id FROM cli_clientes WHERE numero_documento = '"&amp;SUBSTITUTE(TRIM(G218),"'","''")&amp;"'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"&amp;IF(TRIM(J218&amp;"")="","NULL","(SELECT id FROM gen_almacen WHERE upper(nombre) = upper('"&amp;SUBSTITUTE(TRIM(J218),"'","''")&amp;"') AND estado = 1 LIMIT 1)")&amp;", p_id_cliente_ubicacion =&gt; "&amp;IF(TRIM(K218&amp;"")="","NULL","(SELECT id FROM cli_clientes WHERE numero_documento = '"&amp;SUBSTITUTE(TRIM(K218),"'","''")&amp;"' AND estado = 1 LIMIT 1)")&amp;", p_id_referencia =&gt; "&amp;IF(TRIM(J218&amp;"")&lt;&gt;"","(SELECT lo.id FROM gen_lista_opciones lo JOIN gen_lista l ON l.id = lo.id_lista WHERE l.nombre = 'ReferenciaCilindro' AND upper(lo.nombre) = 'ALMACEN' AND lo.estado = 1 LIMIT 1)",IF(TRIM(K218&amp;"")&lt;&gt;"","(SELECT lo.id FROM gen_lista_opciones lo JOIN gen_lista l ON l.id = lo.id_lista WHERE l.nombre = 'ReferenciaCilindro' AND upper(lo.nombre) = 'CLIENTE' AND lo.estado = 1 LIMIT 1)","NULL"))&amp;", p_anio_fabricacion =&gt; "&amp;IF(M218&amp;""="","NULL::smallint",M218&amp;"::smallint")&amp;", p_mes_fabricacion =&gt; "&amp;IF(N218&amp;""="","NULL::smallint",N218&amp;"::smallint")&amp;", p_fecha_ultima_prueba_hidrostatica =&gt; "&amp;IF(O218&amp;""="","NULL","'"&amp;YEAR(O218)&amp;"-"&amp;TEXT(MONTH(O218),"00")&amp;"-"&amp;TEXT(DAY(O218),"00")&amp;"'")&amp;", p_numero_serie =&gt; "&amp;IF(TRIM(Q218&amp;"")="","NULL","'"&amp;SUBSTITUTE(TRIM(Q218),"'","''")&amp;"'")&amp;", p_id_marca_cilindro =&gt; "&amp;IF(TRIM(R218&amp;"")="","NULL","(SELECT lo.id FROM gen_lista_opciones lo JOIN gen_lista l ON l.id = lo.id_lista WHERE l.nombre = 'MarcaCilindro' AND upper(lo.nombre) = upper('"&amp;SUBSTITUTE(TRIM(R218),"'","''")&amp;"') AND lo.estado = 1 LIMIT 1)")&amp;", p_id_organo_inspector =&gt; "&amp;IF(TRIM(S218&amp;"")="","NULL","(SELECT lo.id FROM gen_lista_opciones lo JOIN gen_lista l ON l.id = lo.id_lista WHERE l.nombre = 'OrganoInspectorCilindro' AND upper(lo.nombre) = upper('"&amp;SUBSTITUTE(TRIM(S218),"'","''")&amp;"') AND lo.estado = 1 LIMIT 1)")&amp;", p_organo_inspector_no_aplica =&gt; "&amp;IF(S218="NO_APLICA","TRUE","FALSE")&amp;", p_presion_actual =&gt; "&amp;IF(T218&amp;""="","NULL",SUBSTITUTE(T218&amp;"",",","."))&amp;", p_tipo_valvula =&gt; "&amp;IF(TRIM(U218&amp;"")="","NULL","'"&amp;SUBSTITUTE(TRIM(U218),"'","''")&amp;"'")&amp;", p_libro_cilindro =&gt; "&amp;IF(TRIM(V218&amp;"")="","NULL","'"&amp;SUBSTITUTE(TRIM(V218),"'","''")&amp;"'")&amp;", p_pagina_libro =&gt; "&amp;IF(W218&amp;""="","NULL",SUBSTITUTE(W218&amp;"",",","."))&amp;", p_observacion =&gt; "&amp;IF(TRIM(X218&amp;"")="","NULL","'"&amp;SUBSTITUTE(TRIM(X218),"'","''")&amp;"'")&amp;") AS resultado_balon_"&amp;ROW()&amp;";")</f>
        <v/>
      </c>
    </row>
    <row r="219" ht="15.75" customHeight="1" s="64">
      <c r="A219" s="36" t="inlineStr">
        <is>
          <t>215</t>
        </is>
      </c>
      <c r="B219" s="25">
        <f>IF(AND(C219="",D219="",E219=""),"",IF(C219="","FALTA código balón",IF(D219="","FALTA tipo balón",IF(E219="","FALTA gas",IF(F219="","FALTA propietario",IF(AND(C219&lt;&gt;"",SUMPRODUCT(--($C$5:$C$1200=C219))&gt;1),"CÓDIGO BALÓN DUPLICADO",IF(AND(OR(UPPER(F219)="PLANTA",UPPER(F219)="CLIENTE"),G219=""),"FALTA doc propietario/planta",IF(AND(UPPER(F219)="PLANTA",G219="10175332796"),"PLANTA no puede ser RUC empresa","OK"))))))))</f>
        <v/>
      </c>
      <c r="C219" s="60" t="inlineStr">
        <is>
          <t>7352270</t>
        </is>
      </c>
      <c r="D219" s="17" t="inlineStr">
        <is>
          <t>Acetileno de 8 - 10 kg</t>
        </is>
      </c>
      <c r="E219" s="17" t="inlineStr">
        <is>
          <t>ACETILENO ESTANDAR</t>
        </is>
      </c>
      <c r="F219" s="17" t="inlineStr">
        <is>
          <t>EMPRESA</t>
        </is>
      </c>
      <c r="G219" s="23" t="inlineStr">
        <is>
          <t>10175332796</t>
        </is>
      </c>
      <c r="H219" s="25">
        <f t="array" ref="H219">IF(G219="","",IFERROR(IF(INDEX(Clientes!$D$5:$D$549,MATCH(G219,Clientes!$C$5:$C$549,0))&lt;&gt;"",INDEX(Clientes!$D$5:$D$549,MATCH(G219,Clientes!$C$5:$C$549,0)),TRIM(INDEX(Clientes!$E$5:$E$549,MATCH(G219,Clientes!$C$5:$C$549,0))&amp;" "&amp;INDEX(Clientes!$F$5:$F$549,MATCH(G219,Clientes!$C$5:$C$549,0)))),"NO EXISTE en Clientes"))</f>
        <v/>
      </c>
      <c r="I219" s="17" t="inlineStr">
        <is>
          <t>DISPONIBLE</t>
        </is>
      </c>
      <c r="J219" s="17" t="inlineStr">
        <is>
          <t>ALMACEN PRINCIPAL</t>
        </is>
      </c>
      <c r="K219" s="23" t="n"/>
      <c r="L219" s="25">
        <f t="array" ref="L219">IF(K219="","",IFERROR(IF(INDEX(Clientes!$D$5:$D$549,MATCH(K219,Clientes!$C$5:$C$549,0))&lt;&gt;"",INDEX(Clientes!$D$5:$D$549,MATCH(K219,Clientes!$C$5:$C$549,0)),TRIM(INDEX(Clientes!$E$5:$E$549,MATCH(K219,Clientes!$C$5:$C$549,0))&amp;" "&amp;INDEX(Clientes!$F$5:$F$549,MATCH(K219,Clientes!$C$5:$C$549,0)))),"NO EXISTE en Clientes"))</f>
        <v/>
      </c>
      <c r="M219" s="17" t="n">
        <v>2017</v>
      </c>
      <c r="N219" s="17" t="n">
        <v>1</v>
      </c>
      <c r="O219" s="42" t="n">
        <v>42736</v>
      </c>
      <c r="P219" s="57">
        <f>IF(O219&lt;&gt;"",DATE(YEAR(O219)+5,MONTH(O219),1),IF(AND(M219&lt;&gt;"",N219&lt;&gt;""),DATE(M219+5,N219,1),""))</f>
        <v/>
      </c>
      <c r="Q219" s="23" t="n"/>
      <c r="R219" s="17" t="n"/>
      <c r="S219" s="17" t="n"/>
      <c r="T219" s="17" t="n"/>
      <c r="U219" s="17" t="n"/>
      <c r="V219" s="23" t="n"/>
      <c r="W219" s="17" t="n"/>
      <c r="X219" s="17" t="inlineStr">
        <is>
          <t>VERIFICAR EL PH</t>
        </is>
      </c>
      <c r="Y219" s="28">
        <f>IF(B219&lt;&gt;"OK","","SELECT bal_crear_balon(p_codigo_balon =&gt; "&amp;IF(TRIM(C219&amp;"")="","NULL","'"&amp;SUBSTITUTE(TRIM(C219),"'","''")&amp;"'")&amp;", p_id_tipo_balon =&gt; "&amp;"(SELECT id FROM bal_tipo_balon WHERE upper(nombre) = upper('"&amp;SUBSTITUTE(TRIM(D219),"'","''")&amp;"') AND estado = 1 LIMIT 1)"&amp;", p_id_producto_gas =&gt; "&amp;"(SELECT id FROM pro_producto WHERE es_gas = TRUE AND upper(nombre) = upper('"&amp;SUBSTITUTE(TRIM(E219),"'","''")&amp;"') AND estado = 1 LIMIT 1)"&amp;", p_id_propietario =&gt; "&amp;IF(TRIM(F219&amp;"")="","NULL","(SELECT lo.id FROM gen_lista_opciones lo JOIN gen_lista l ON l.id = lo.id_lista WHERE l.nombre = 'PropietarioBalon' AND upper(lo.nombre) = upper('"&amp;SUBSTITUTE(TRIM(F219),"'","''")&amp;"') AND lo.estado = 1 LIMIT 1)")&amp;", p_id_cliente_propietario =&gt; "&amp;IF(F219="CLIENTE",IF(TRIM(G219&amp;"")="","NULL","(SELECT id FROM cli_clientes WHERE numero_documento = '"&amp;SUBSTITUTE(TRIM(G219),"'","''")&amp;"' AND estado = 1 LIMIT 1)"),"NULL")&amp;", p_id_planta =&gt; "&amp;IF(F219="PLANTA",IF(TRIM(G219&amp;"")="","NULL","(SELECT id FROM cli_clientes WHERE numero_documento = '"&amp;SUBSTITUTE(TRIM(G219),"'","''")&amp;"'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"&amp;IF(TRIM(J219&amp;"")="","NULL","(SELECT id FROM gen_almacen WHERE upper(nombre) = upper('"&amp;SUBSTITUTE(TRIM(J219),"'","''")&amp;"') AND estado = 1 LIMIT 1)")&amp;", p_id_cliente_ubicacion =&gt; "&amp;IF(TRIM(K219&amp;"")="","NULL","(SELECT id FROM cli_clientes WHERE numero_documento = '"&amp;SUBSTITUTE(TRIM(K219),"'","''")&amp;"' AND estado = 1 LIMIT 1)")&amp;", p_id_referencia =&gt; "&amp;IF(TRIM(J219&amp;"")&lt;&gt;"","(SELECT lo.id FROM gen_lista_opciones lo JOIN gen_lista l ON l.id = lo.id_lista WHERE l.nombre = 'ReferenciaCilindro' AND upper(lo.nombre) = 'ALMACEN' AND lo.estado = 1 LIMIT 1)",IF(TRIM(K219&amp;"")&lt;&gt;"","(SELECT lo.id FROM gen_lista_opciones lo JOIN gen_lista l ON l.id = lo.id_lista WHERE l.nombre = 'ReferenciaCilindro' AND upper(lo.nombre) = 'CLIENTE' AND lo.estado = 1 LIMIT 1)","NULL"))&amp;", p_anio_fabricacion =&gt; "&amp;IF(M219&amp;""="","NULL::smallint",M219&amp;"::smallint")&amp;", p_mes_fabricacion =&gt; "&amp;IF(N219&amp;""="","NULL::smallint",N219&amp;"::smallint")&amp;", p_fecha_ultima_prueba_hidrostatica =&gt; "&amp;IF(O219&amp;""="","NULL","'"&amp;YEAR(O219)&amp;"-"&amp;TEXT(MONTH(O219),"00")&amp;"-"&amp;TEXT(DAY(O219),"00")&amp;"'")&amp;", p_numero_serie =&gt; "&amp;IF(TRIM(Q219&amp;"")="","NULL","'"&amp;SUBSTITUTE(TRIM(Q219),"'","''")&amp;"'")&amp;", p_id_marca_cilindro =&gt; "&amp;IF(TRIM(R219&amp;"")="","NULL","(SELECT lo.id FROM gen_lista_opciones lo JOIN gen_lista l ON l.id = lo.id_lista WHERE l.nombre = 'MarcaCilindro' AND upper(lo.nombre) = upper('"&amp;SUBSTITUTE(TRIM(R219),"'","''")&amp;"') AND lo.estado = 1 LIMIT 1)")&amp;", p_id_organo_inspector =&gt; "&amp;IF(TRIM(S219&amp;"")="","NULL","(SELECT lo.id FROM gen_lista_opciones lo JOIN gen_lista l ON l.id = lo.id_lista WHERE l.nombre = 'OrganoInspectorCilindro' AND upper(lo.nombre) = upper('"&amp;SUBSTITUTE(TRIM(S219),"'","''")&amp;"') AND lo.estado = 1 LIMIT 1)")&amp;", p_organo_inspector_no_aplica =&gt; "&amp;IF(S219="NO_APLICA","TRUE","FALSE")&amp;", p_presion_actual =&gt; "&amp;IF(T219&amp;""="","NULL",SUBSTITUTE(T219&amp;"",",","."))&amp;", p_tipo_valvula =&gt; "&amp;IF(TRIM(U219&amp;"")="","NULL","'"&amp;SUBSTITUTE(TRIM(U219),"'","''")&amp;"'")&amp;", p_libro_cilindro =&gt; "&amp;IF(TRIM(V219&amp;"")="","NULL","'"&amp;SUBSTITUTE(TRIM(V219),"'","''")&amp;"'")&amp;", p_pagina_libro =&gt; "&amp;IF(W219&amp;""="","NULL",SUBSTITUTE(W219&amp;"",",","."))&amp;", p_observacion =&gt; "&amp;IF(TRIM(X219&amp;"")="","NULL","'"&amp;SUBSTITUTE(TRIM(X219),"'","''")&amp;"'")&amp;") AS resultado_balon_"&amp;ROW()&amp;";")</f>
        <v/>
      </c>
    </row>
    <row r="220" ht="15.75" customHeight="1" s="64">
      <c r="A220" s="36" t="inlineStr">
        <is>
          <t>216</t>
        </is>
      </c>
      <c r="B220" s="25">
        <f>IF(AND(C220="",D220="",E220=""),"",IF(C220="","FALTA código balón",IF(D220="","FALTA tipo balón",IF(E220="","FALTA gas",IF(F220="","FALTA propietario",IF(AND(C220&lt;&gt;"",SUMPRODUCT(--($C$5:$C$1200=C220))&gt;1),"CÓDIGO BALÓN DUPLICADO",IF(AND(OR(UPPER(F220)="PLANTA",UPPER(F220)="CLIENTE"),G220=""),"FALTA doc propietario/planta",IF(AND(UPPER(F220)="PLANTA",G220="10175332796"),"PLANTA no puede ser RUC empresa","OK"))))))))</f>
        <v/>
      </c>
      <c r="C220" s="60" t="inlineStr">
        <is>
          <t>M559503</t>
        </is>
      </c>
      <c r="D220" s="17" t="inlineStr">
        <is>
          <t>Acetileno 1 - 3 kg</t>
        </is>
      </c>
      <c r="E220" s="17" t="inlineStr">
        <is>
          <t>ACETILENO ESTANDAR</t>
        </is>
      </c>
      <c r="F220" s="17" t="inlineStr">
        <is>
          <t>EMPRESA</t>
        </is>
      </c>
      <c r="G220" s="23" t="inlineStr">
        <is>
          <t>10175332796</t>
        </is>
      </c>
      <c r="H220" s="25">
        <f t="array" ref="H220">IF(G220="","",IFERROR(IF(INDEX(Clientes!$D$5:$D$549,MATCH(G220,Clientes!$C$5:$C$549,0))&lt;&gt;"",INDEX(Clientes!$D$5:$D$549,MATCH(G220,Clientes!$C$5:$C$549,0)),TRIM(INDEX(Clientes!$E$5:$E$549,MATCH(G220,Clientes!$C$5:$C$549,0))&amp;" "&amp;INDEX(Clientes!$F$5:$F$549,MATCH(G220,Clientes!$C$5:$C$549,0)))),"NO EXISTE en Clientes"))</f>
        <v/>
      </c>
      <c r="I220" s="17" t="inlineStr">
        <is>
          <t>DISPONIBLE</t>
        </is>
      </c>
      <c r="J220" s="17" t="inlineStr">
        <is>
          <t>ALMACEN PRINCIPAL</t>
        </is>
      </c>
      <c r="K220" s="23" t="n"/>
      <c r="L220" s="25">
        <f t="array" ref="L220">IF(K220="","",IFERROR(IF(INDEX(Clientes!$D$5:$D$549,MATCH(K220,Clientes!$C$5:$C$549,0))&lt;&gt;"",INDEX(Clientes!$D$5:$D$549,MATCH(K220,Clientes!$C$5:$C$549,0)),TRIM(INDEX(Clientes!$E$5:$E$549,MATCH(K220,Clientes!$C$5:$C$549,0))&amp;" "&amp;INDEX(Clientes!$F$5:$F$549,MATCH(K220,Clientes!$C$5:$C$549,0)))),"NO EXISTE en Clientes"))</f>
        <v/>
      </c>
      <c r="M220" s="17" t="n"/>
      <c r="N220" s="17" t="n"/>
      <c r="O220" s="42" t="n"/>
      <c r="P220" s="39">
        <f>IF(O220&lt;&gt;"",DATE(YEAR(O220)+5,MONTH(O220),1),IF(AND(M220&lt;&gt;"",N220&lt;&gt;""),DATE(M220+5,N220,1),""))</f>
        <v/>
      </c>
      <c r="Q220" s="23" t="n"/>
      <c r="R220" s="17" t="n"/>
      <c r="S220" s="17" t="n"/>
      <c r="T220" s="17" t="n"/>
      <c r="U220" s="17" t="n"/>
      <c r="V220" s="23" t="n"/>
      <c r="W220" s="17" t="n"/>
      <c r="X220" s="17" t="n"/>
      <c r="Y220" s="28">
        <f>IF(B220&lt;&gt;"OK","","SELECT bal_crear_balon(p_codigo_balon =&gt; "&amp;IF(TRIM(C220&amp;"")="","NULL","'"&amp;SUBSTITUTE(TRIM(C220),"'","''")&amp;"'")&amp;", p_id_tipo_balon =&gt; "&amp;"(SELECT id FROM bal_tipo_balon WHERE upper(nombre) = upper('"&amp;SUBSTITUTE(TRIM(D220),"'","''")&amp;"') AND estado = 1 LIMIT 1)"&amp;", p_id_producto_gas =&gt; "&amp;"(SELECT id FROM pro_producto WHERE es_gas = TRUE AND upper(nombre) = upper('"&amp;SUBSTITUTE(TRIM(E220),"'","''")&amp;"') AND estado = 1 LIMIT 1)"&amp;", p_id_propietario =&gt; "&amp;IF(TRIM(F220&amp;"")="","NULL","(SELECT lo.id FROM gen_lista_opciones lo JOIN gen_lista l ON l.id = lo.id_lista WHERE l.nombre = 'PropietarioBalon' AND upper(lo.nombre) = upper('"&amp;SUBSTITUTE(TRIM(F220),"'","''")&amp;"') AND lo.estado = 1 LIMIT 1)")&amp;", p_id_cliente_propietario =&gt; "&amp;IF(F220="CLIENTE",IF(TRIM(G220&amp;"")="","NULL","(SELECT id FROM cli_clientes WHERE numero_documento = '"&amp;SUBSTITUTE(TRIM(G220),"'","''")&amp;"' AND estado = 1 LIMIT 1)"),"NULL")&amp;", p_id_planta =&gt; "&amp;IF(F220="PLANTA",IF(TRIM(G220&amp;"")="","NULL","(SELECT id FROM cli_clientes WHERE numero_documento = '"&amp;SUBSTITUTE(TRIM(G220),"'","''")&amp;"'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"&amp;IF(TRIM(J220&amp;"")="","NULL","(SELECT id FROM gen_almacen WHERE upper(nombre) = upper('"&amp;SUBSTITUTE(TRIM(J220),"'","''")&amp;"') AND estado = 1 LIMIT 1)")&amp;", p_id_cliente_ubicacion =&gt; "&amp;IF(TRIM(K220&amp;"")="","NULL","(SELECT id FROM cli_clientes WHERE numero_documento = '"&amp;SUBSTITUTE(TRIM(K220),"'","''")&amp;"' AND estado = 1 LIMIT 1)")&amp;", p_id_referencia =&gt; "&amp;IF(TRIM(J220&amp;"")&lt;&gt;"","(SELECT lo.id FROM gen_lista_opciones lo JOIN gen_lista l ON l.id = lo.id_lista WHERE l.nombre = 'ReferenciaCilindro' AND upper(lo.nombre) = 'ALMACEN' AND lo.estado = 1 LIMIT 1)",IF(TRIM(K220&amp;"")&lt;&gt;"","(SELECT lo.id FROM gen_lista_opciones lo JOIN gen_lista l ON l.id = lo.id_lista WHERE l.nombre = 'ReferenciaCilindro' AND upper(lo.nombre) = 'CLIENTE' AND lo.estado = 1 LIMIT 1)","NULL"))&amp;", p_anio_fabricacion =&gt; "&amp;IF(M220&amp;""="","NULL::smallint",M220&amp;"::smallint")&amp;", p_mes_fabricacion =&gt; "&amp;IF(N220&amp;""="","NULL::smallint",N220&amp;"::smallint")&amp;", p_fecha_ultima_prueba_hidrostatica =&gt; "&amp;IF(O220&amp;""="","NULL","'"&amp;YEAR(O220)&amp;"-"&amp;TEXT(MONTH(O220),"00")&amp;"-"&amp;TEXT(DAY(O220),"00")&amp;"'")&amp;", p_numero_serie =&gt; "&amp;IF(TRIM(Q220&amp;"")="","NULL","'"&amp;SUBSTITUTE(TRIM(Q220),"'","''")&amp;"'")&amp;", p_id_marca_cilindro =&gt; "&amp;IF(TRIM(R220&amp;"")="","NULL","(SELECT lo.id FROM gen_lista_opciones lo JOIN gen_lista l ON l.id = lo.id_lista WHERE l.nombre = 'MarcaCilindro' AND upper(lo.nombre) = upper('"&amp;SUBSTITUTE(TRIM(R220),"'","''")&amp;"') AND lo.estado = 1 LIMIT 1)")&amp;", p_id_organo_inspector =&gt; "&amp;IF(TRIM(S220&amp;"")="","NULL","(SELECT lo.id FROM gen_lista_opciones lo JOIN gen_lista l ON l.id = lo.id_lista WHERE l.nombre = 'OrganoInspectorCilindro' AND upper(lo.nombre) = upper('"&amp;SUBSTITUTE(TRIM(S220),"'","''")&amp;"') AND lo.estado = 1 LIMIT 1)")&amp;", p_organo_inspector_no_aplica =&gt; "&amp;IF(S220="NO_APLICA","TRUE","FALSE")&amp;", p_presion_actual =&gt; "&amp;IF(T220&amp;""="","NULL",SUBSTITUTE(T220&amp;"",",","."))&amp;", p_tipo_valvula =&gt; "&amp;IF(TRIM(U220&amp;"")="","NULL","'"&amp;SUBSTITUTE(TRIM(U220),"'","''")&amp;"'")&amp;", p_libro_cilindro =&gt; "&amp;IF(TRIM(V220&amp;"")="","NULL","'"&amp;SUBSTITUTE(TRIM(V220),"'","''")&amp;"'")&amp;", p_pagina_libro =&gt; "&amp;IF(W220&amp;""="","NULL",SUBSTITUTE(W220&amp;"",",","."))&amp;", p_observacion =&gt; "&amp;IF(TRIM(X220&amp;"")="","NULL","'"&amp;SUBSTITUTE(TRIM(X220),"'","''")&amp;"'")&amp;") AS resultado_balon_"&amp;ROW()&amp;";")</f>
        <v/>
      </c>
    </row>
    <row r="221" ht="15.75" customHeight="1" s="64">
      <c r="A221" s="36" t="inlineStr">
        <is>
          <t>217</t>
        </is>
      </c>
      <c r="B221" s="25">
        <f>IF(AND(C221="",D221="",E221=""),"",IF(C221="","FALTA código balón",IF(D221="","FALTA tipo balón",IF(E221="","FALTA gas",IF(F221="","FALTA propietario",IF(AND(C221&lt;&gt;"",SUMPRODUCT(--($C$5:$C$1200=C221))&gt;1),"CÓDIGO BALÓN DUPLICADO",IF(AND(OR(UPPER(F221)="PLANTA",UPPER(F221)="CLIENTE"),G221=""),"FALTA doc propietario/planta",IF(AND(UPPER(F221)="PLANTA",G221="10175332796"),"PLANTA no puede ser RUC empresa","OK"))))))))</f>
        <v/>
      </c>
      <c r="C221" s="60" t="inlineStr">
        <is>
          <t>M559499</t>
        </is>
      </c>
      <c r="D221" s="17" t="inlineStr">
        <is>
          <t>Acetileno 1 - 3 kg</t>
        </is>
      </c>
      <c r="E221" s="17" t="inlineStr">
        <is>
          <t>ACETILENO ESTANDAR</t>
        </is>
      </c>
      <c r="F221" s="17" t="inlineStr">
        <is>
          <t>EMPRESA</t>
        </is>
      </c>
      <c r="G221" s="23" t="inlineStr">
        <is>
          <t>10175332796</t>
        </is>
      </c>
      <c r="H221" s="25">
        <f t="array" ref="H221">IF(G221="","",IFERROR(IF(INDEX(Clientes!$D$5:$D$549,MATCH(G221,Clientes!$C$5:$C$549,0))&lt;&gt;"",INDEX(Clientes!$D$5:$D$549,MATCH(G221,Clientes!$C$5:$C$549,0)),TRIM(INDEX(Clientes!$E$5:$E$549,MATCH(G221,Clientes!$C$5:$C$549,0))&amp;" "&amp;INDEX(Clientes!$F$5:$F$549,MATCH(G221,Clientes!$C$5:$C$549,0)))),"NO EXISTE en Clientes"))</f>
        <v/>
      </c>
      <c r="I221" s="17" t="inlineStr">
        <is>
          <t>POR VERIFICAR</t>
        </is>
      </c>
      <c r="J221" s="17" t="n"/>
      <c r="K221" s="23" t="n"/>
      <c r="L221" s="25">
        <f t="array" ref="L221">IF(K221="","",IFERROR(IF(INDEX(Clientes!$D$5:$D$549,MATCH(K221,Clientes!$C$5:$C$549,0))&lt;&gt;"",INDEX(Clientes!$D$5:$D$549,MATCH(K221,Clientes!$C$5:$C$549,0)),TRIM(INDEX(Clientes!$E$5:$E$549,MATCH(K221,Clientes!$C$5:$C$549,0))&amp;" "&amp;INDEX(Clientes!$F$5:$F$549,MATCH(K221,Clientes!$C$5:$C$549,0)))),"NO EXISTE en Clientes"))</f>
        <v/>
      </c>
      <c r="M221" s="17" t="n"/>
      <c r="N221" s="17" t="n"/>
      <c r="O221" s="42" t="n"/>
      <c r="P221" s="39">
        <f>IF(O221&lt;&gt;"",DATE(YEAR(O221)+5,MONTH(O221),1),IF(AND(M221&lt;&gt;"",N221&lt;&gt;""),DATE(M221+5,N221,1),""))</f>
        <v/>
      </c>
      <c r="Q221" s="23" t="n"/>
      <c r="R221" s="17" t="n"/>
      <c r="S221" s="17" t="n"/>
      <c r="T221" s="17" t="n"/>
      <c r="U221" s="17" t="n"/>
      <c r="V221" s="23" t="n"/>
      <c r="W221" s="17" t="n"/>
      <c r="X221" s="17" t="inlineStr">
        <is>
          <t>NO SE ENCUENTRA EN ALMACÉN- EXCEL TIENE FECHA DE ÚLTIMO MOVIMIENTO 12-10-23</t>
        </is>
      </c>
      <c r="Y221" s="28">
        <f>IF(B221&lt;&gt;"OK","","SELECT bal_crear_balon(p_codigo_balon =&gt; "&amp;IF(TRIM(C221&amp;"")="","NULL","'"&amp;SUBSTITUTE(TRIM(C221),"'","''")&amp;"'")&amp;", p_id_tipo_balon =&gt; "&amp;"(SELECT id FROM bal_tipo_balon WHERE upper(nombre) = upper('"&amp;SUBSTITUTE(TRIM(D221),"'","''")&amp;"') AND estado = 1 LIMIT 1)"&amp;", p_id_producto_gas =&gt; "&amp;"(SELECT id FROM pro_producto WHERE es_gas = TRUE AND upper(nombre) = upper('"&amp;SUBSTITUTE(TRIM(E221),"'","''")&amp;"') AND estado = 1 LIMIT 1)"&amp;", p_id_propietario =&gt; "&amp;IF(TRIM(F221&amp;"")="","NULL","(SELECT lo.id FROM gen_lista_opciones lo JOIN gen_lista l ON l.id = lo.id_lista WHERE l.nombre = 'PropietarioBalon' AND upper(lo.nombre) = upper('"&amp;SUBSTITUTE(TRIM(F221),"'","''")&amp;"') AND lo.estado = 1 LIMIT 1)")&amp;", p_id_cliente_propietario =&gt; "&amp;IF(F221="CLIENTE",IF(TRIM(G221&amp;"")="","NULL","(SELECT id FROM cli_clientes WHERE numero_documento = '"&amp;SUBSTITUTE(TRIM(G221),"'","''")&amp;"' AND estado = 1 LIMIT 1)"),"NULL")&amp;", p_id_planta =&gt; "&amp;IF(F221="PLANTA",IF(TRIM(G221&amp;"")="","NULL","(SELECT id FROM cli_clientes WHERE numero_documento = '"&amp;SUBSTITUTE(TRIM(G221),"'","''")&amp;"'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"&amp;IF(TRIM(J221&amp;"")="","NULL","(SELECT id FROM gen_almacen WHERE upper(nombre) = upper('"&amp;SUBSTITUTE(TRIM(J221),"'","''")&amp;"') AND estado = 1 LIMIT 1)")&amp;", p_id_cliente_ubicacion =&gt; "&amp;IF(TRIM(K221&amp;"")="","NULL","(SELECT id FROM cli_clientes WHERE numero_documento = '"&amp;SUBSTITUTE(TRIM(K221),"'","''")&amp;"' AND estado = 1 LIMIT 1)")&amp;", p_id_referencia =&gt; "&amp;IF(TRIM(J221&amp;"")&lt;&gt;"","(SELECT lo.id FROM gen_lista_opciones lo JOIN gen_lista l ON l.id = lo.id_lista WHERE l.nombre = 'ReferenciaCilindro' AND upper(lo.nombre) = 'ALMACEN' AND lo.estado = 1 LIMIT 1)",IF(TRIM(K221&amp;"")&lt;&gt;"","(SELECT lo.id FROM gen_lista_opciones lo JOIN gen_lista l ON l.id = lo.id_lista WHERE l.nombre = 'ReferenciaCilindro' AND upper(lo.nombre) = 'CLIENTE' AND lo.estado = 1 LIMIT 1)","NULL"))&amp;", p_anio_fabricacion =&gt; "&amp;IF(M221&amp;""="","NULL::smallint",M221&amp;"::smallint")&amp;", p_mes_fabricacion =&gt; "&amp;IF(N221&amp;""="","NULL::smallint",N221&amp;"::smallint")&amp;", p_fecha_ultima_prueba_hidrostatica =&gt; "&amp;IF(O221&amp;""="","NULL","'"&amp;YEAR(O221)&amp;"-"&amp;TEXT(MONTH(O221),"00")&amp;"-"&amp;TEXT(DAY(O221),"00")&amp;"'")&amp;", p_numero_serie =&gt; "&amp;IF(TRIM(Q221&amp;"")="","NULL","'"&amp;SUBSTITUTE(TRIM(Q221),"'","''")&amp;"'")&amp;", p_id_marca_cilindro =&gt; "&amp;IF(TRIM(R221&amp;"")="","NULL","(SELECT lo.id FROM gen_lista_opciones lo JOIN gen_lista l ON l.id = lo.id_lista WHERE l.nombre = 'MarcaCilindro' AND upper(lo.nombre) = upper('"&amp;SUBSTITUTE(TRIM(R221),"'","''")&amp;"') AND lo.estado = 1 LIMIT 1)")&amp;", p_id_organo_inspector =&gt; "&amp;IF(TRIM(S221&amp;"")="","NULL","(SELECT lo.id FROM gen_lista_opciones lo JOIN gen_lista l ON l.id = lo.id_lista WHERE l.nombre = 'OrganoInspectorCilindro' AND upper(lo.nombre) = upper('"&amp;SUBSTITUTE(TRIM(S221),"'","''")&amp;"') AND lo.estado = 1 LIMIT 1)")&amp;", p_organo_inspector_no_aplica =&gt; "&amp;IF(S221="NO_APLICA","TRUE","FALSE")&amp;", p_presion_actual =&gt; "&amp;IF(T221&amp;""="","NULL",SUBSTITUTE(T221&amp;"",",","."))&amp;", p_tipo_valvula =&gt; "&amp;IF(TRIM(U221&amp;"")="","NULL","'"&amp;SUBSTITUTE(TRIM(U221),"'","''")&amp;"'")&amp;", p_libro_cilindro =&gt; "&amp;IF(TRIM(V221&amp;"")="","NULL","'"&amp;SUBSTITUTE(TRIM(V221),"'","''")&amp;"'")&amp;", p_pagina_libro =&gt; "&amp;IF(W221&amp;""="","NULL",SUBSTITUTE(W221&amp;"",",","."))&amp;", p_observacion =&gt; "&amp;IF(TRIM(X221&amp;"")="","NULL","'"&amp;SUBSTITUTE(TRIM(X221),"'","''")&amp;"'")&amp;") AS resultado_balon_"&amp;ROW()&amp;";")</f>
        <v/>
      </c>
    </row>
    <row r="222" ht="15.75" customHeight="1" s="64">
      <c r="A222" s="36" t="inlineStr">
        <is>
          <t>218</t>
        </is>
      </c>
      <c r="B222" s="25">
        <f>IF(AND(C222="",D222="",E222=""),"",IF(C222="","FALTA código balón",IF(D222="","FALTA tipo balón",IF(E222="","FALTA gas",IF(F222="","FALTA propietario",IF(AND(C222&lt;&gt;"",SUMPRODUCT(--($C$5:$C$1200=C222))&gt;1),"CÓDIGO BALÓN DUPLICADO",IF(AND(OR(UPPER(F222)="PLANTA",UPPER(F222)="CLIENTE"),G222=""),"FALTA doc propietario/planta",IF(AND(UPPER(F222)="PLANTA",G222="10175332796"),"PLANTA no puede ser RUC empresa","OK"))))))))</f>
        <v/>
      </c>
      <c r="C222" s="60" t="inlineStr">
        <is>
          <t>M559508</t>
        </is>
      </c>
      <c r="D222" s="17" t="inlineStr">
        <is>
          <t>Acetileno 0 kg</t>
        </is>
      </c>
      <c r="E222" s="17" t="inlineStr">
        <is>
          <t>ACETILENO ESTANDAR</t>
        </is>
      </c>
      <c r="F222" s="17" t="inlineStr">
        <is>
          <t>EMPRESA</t>
        </is>
      </c>
      <c r="G222" s="23" t="inlineStr">
        <is>
          <t>10175332796</t>
        </is>
      </c>
      <c r="H222" s="25">
        <f t="array" ref="H222">IF(G222="","",IFERROR(IF(INDEX(Clientes!$D$5:$D$549,MATCH(G222,Clientes!$C$5:$C$549,0))&lt;&gt;"",INDEX(Clientes!$D$5:$D$549,MATCH(G222,Clientes!$C$5:$C$549,0)),TRIM(INDEX(Clientes!$E$5:$E$549,MATCH(G222,Clientes!$C$5:$C$549,0))&amp;" "&amp;INDEX(Clientes!$F$5:$F$549,MATCH(G222,Clientes!$C$5:$C$549,0)))),"NO EXISTE en Clientes"))</f>
        <v/>
      </c>
      <c r="I222" s="17" t="inlineStr">
        <is>
          <t>ALMACEN EXTRAVIADO</t>
        </is>
      </c>
      <c r="J222" s="17" t="n"/>
      <c r="K222" s="23" t="n"/>
      <c r="L222" s="25">
        <f t="array" ref="L222">IF(K222="","",IFERROR(IF(INDEX(Clientes!$D$5:$D$549,MATCH(K222,Clientes!$C$5:$C$549,0))&lt;&gt;"",INDEX(Clientes!$D$5:$D$549,MATCH(K222,Clientes!$C$5:$C$549,0)),TRIM(INDEX(Clientes!$E$5:$E$549,MATCH(K222,Clientes!$C$5:$C$549,0))&amp;" "&amp;INDEX(Clientes!$F$5:$F$549,MATCH(K222,Clientes!$C$5:$C$549,0)))),"NO EXISTE en Clientes"))</f>
        <v/>
      </c>
      <c r="M222" s="17" t="n"/>
      <c r="N222" s="17" t="n"/>
      <c r="O222" s="42" t="n"/>
      <c r="P222" s="39">
        <f>IF(O222&lt;&gt;"",DATE(YEAR(O222)+5,MONTH(O222),1),IF(AND(M222&lt;&gt;"",N222&lt;&gt;""),DATE(M222+5,N222,1),""))</f>
        <v/>
      </c>
      <c r="Q222" s="23" t="n"/>
      <c r="R222" s="17" t="n"/>
      <c r="S222" s="17" t="n"/>
      <c r="T222" s="17" t="n"/>
      <c r="U222" s="17" t="n"/>
      <c r="V222" s="23" t="n"/>
      <c r="W222" s="17" t="n"/>
      <c r="X222" s="17" t="n"/>
      <c r="Y222" s="28">
        <f>IF(B222&lt;&gt;"OK","","SELECT bal_crear_balon(p_codigo_balon =&gt; "&amp;IF(TRIM(C222&amp;"")="","NULL","'"&amp;SUBSTITUTE(TRIM(C222),"'","''")&amp;"'")&amp;", p_id_tipo_balon =&gt; "&amp;"(SELECT id FROM bal_tipo_balon WHERE upper(nombre) = upper('"&amp;SUBSTITUTE(TRIM(D222),"'","''")&amp;"') AND estado = 1 LIMIT 1)"&amp;", p_id_producto_gas =&gt; "&amp;"(SELECT id FROM pro_producto WHERE es_gas = TRUE AND upper(nombre) = upper('"&amp;SUBSTITUTE(TRIM(E222),"'","''")&amp;"') AND estado = 1 LIMIT 1)"&amp;", p_id_propietario =&gt; "&amp;IF(TRIM(F222&amp;"")="","NULL","(SELECT lo.id FROM gen_lista_opciones lo JOIN gen_lista l ON l.id = lo.id_lista WHERE l.nombre = 'PropietarioBalon' AND upper(lo.nombre) = upper('"&amp;SUBSTITUTE(TRIM(F222),"'","''")&amp;"') AND lo.estado = 1 LIMIT 1)")&amp;", p_id_cliente_propietario =&gt; "&amp;IF(F222="CLIENTE",IF(TRIM(G222&amp;"")="","NULL","(SELECT id FROM cli_clientes WHERE numero_documento = '"&amp;SUBSTITUTE(TRIM(G222),"'","''")&amp;"' AND estado = 1 LIMIT 1)"),"NULL")&amp;", p_id_planta =&gt; "&amp;IF(F222="PLANTA",IF(TRIM(G222&amp;"")="","NULL","(SELECT id FROM cli_clientes WHERE numero_documento = '"&amp;SUBSTITUTE(TRIM(G222),"'","''")&amp;"'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"&amp;IF(TRIM(J222&amp;"")="","NULL","(SELECT id FROM gen_almacen WHERE upper(nombre) = upper('"&amp;SUBSTITUTE(TRIM(J222),"'","''")&amp;"') AND estado = 1 LIMIT 1)")&amp;", p_id_cliente_ubicacion =&gt; "&amp;IF(TRIM(K222&amp;"")="","NULL","(SELECT id FROM cli_clientes WHERE numero_documento = '"&amp;SUBSTITUTE(TRIM(K222),"'","''")&amp;"' AND estado = 1 LIMIT 1)")&amp;", p_id_referencia =&gt; "&amp;IF(TRIM(J222&amp;"")&lt;&gt;"","(SELECT lo.id FROM gen_lista_opciones lo JOIN gen_lista l ON l.id = lo.id_lista WHERE l.nombre = 'ReferenciaCilindro' AND upper(lo.nombre) = 'ALMACEN' AND lo.estado = 1 LIMIT 1)",IF(TRIM(K222&amp;"")&lt;&gt;"","(SELECT lo.id FROM gen_lista_opciones lo JOIN gen_lista l ON l.id = lo.id_lista WHERE l.nombre = 'ReferenciaCilindro' AND upper(lo.nombre) = 'CLIENTE' AND lo.estado = 1 LIMIT 1)","NULL"))&amp;", p_anio_fabricacion =&gt; "&amp;IF(M222&amp;""="","NULL::smallint",M222&amp;"::smallint")&amp;", p_mes_fabricacion =&gt; "&amp;IF(N222&amp;""="","NULL::smallint",N222&amp;"::smallint")&amp;", p_fecha_ultima_prueba_hidrostatica =&gt; "&amp;IF(O222&amp;""="","NULL","'"&amp;YEAR(O222)&amp;"-"&amp;TEXT(MONTH(O222),"00")&amp;"-"&amp;TEXT(DAY(O222),"00")&amp;"'")&amp;", p_numero_serie =&gt; "&amp;IF(TRIM(Q222&amp;"")="","NULL","'"&amp;SUBSTITUTE(TRIM(Q222),"'","''")&amp;"'")&amp;", p_id_marca_cilindro =&gt; "&amp;IF(TRIM(R222&amp;"")="","NULL","(SELECT lo.id FROM gen_lista_opciones lo JOIN gen_lista l ON l.id = lo.id_lista WHERE l.nombre = 'MarcaCilindro' AND upper(lo.nombre) = upper('"&amp;SUBSTITUTE(TRIM(R222),"'","''")&amp;"') AND lo.estado = 1 LIMIT 1)")&amp;", p_id_organo_inspector =&gt; "&amp;IF(TRIM(S222&amp;"")="","NULL","(SELECT lo.id FROM gen_lista_opciones lo JOIN gen_lista l ON l.id = lo.id_lista WHERE l.nombre = 'OrganoInspectorCilindro' AND upper(lo.nombre) = upper('"&amp;SUBSTITUTE(TRIM(S222),"'","''")&amp;"') AND lo.estado = 1 LIMIT 1)")&amp;", p_organo_inspector_no_aplica =&gt; "&amp;IF(S222="NO_APLICA","TRUE","FALSE")&amp;", p_presion_actual =&gt; "&amp;IF(T222&amp;""="","NULL",SUBSTITUTE(T222&amp;"",",","."))&amp;", p_tipo_valvula =&gt; "&amp;IF(TRIM(U222&amp;"")="","NULL","'"&amp;SUBSTITUTE(TRIM(U222),"'","''")&amp;"'")&amp;", p_libro_cilindro =&gt; "&amp;IF(TRIM(V222&amp;"")="","NULL","'"&amp;SUBSTITUTE(TRIM(V222),"'","''")&amp;"'")&amp;", p_pagina_libro =&gt; "&amp;IF(W222&amp;""="","NULL",SUBSTITUTE(W222&amp;"",",","."))&amp;", p_observacion =&gt; "&amp;IF(TRIM(X222&amp;"")="","NULL","'"&amp;SUBSTITUTE(TRIM(X222),"'","''")&amp;"'")&amp;") AS resultado_balon_"&amp;ROW()&amp;";")</f>
        <v/>
      </c>
    </row>
    <row r="223" ht="15.75" customHeight="1" s="64">
      <c r="A223" s="36" t="inlineStr">
        <is>
          <t>219</t>
        </is>
      </c>
      <c r="B223" s="25">
        <f>IF(AND(C223="",D223="",E223=""),"",IF(C223="","FALTA código balón",IF(D223="","FALTA tipo balón",IF(E223="","FALTA gas",IF(F223="","FALTA propietario",IF(AND(C223&lt;&gt;"",SUMPRODUCT(--($C$5:$C$1200=C223))&gt;1),"CÓDIGO BALÓN DUPLICADO",IF(AND(OR(UPPER(F223)="PLANTA",UPPER(F223)="CLIENTE"),G223=""),"FALTA doc propietario/planta",IF(AND(UPPER(F223)="PLANTA",G223="10175332796"),"PLANTA no puede ser RUC empresa","OK"))))))))</f>
        <v/>
      </c>
      <c r="C223" s="17" t="inlineStr">
        <is>
          <t>15908</t>
        </is>
      </c>
      <c r="D223" s="17" t="inlineStr">
        <is>
          <t>Acetileno 0 kg</t>
        </is>
      </c>
      <c r="E223" s="17" t="inlineStr">
        <is>
          <t>ACETILENO ESTANDAR</t>
        </is>
      </c>
      <c r="F223" s="17" t="inlineStr">
        <is>
          <t>EMPRESA</t>
        </is>
      </c>
      <c r="G223" s="23" t="inlineStr">
        <is>
          <t>10175332796</t>
        </is>
      </c>
      <c r="H223" s="25">
        <f t="array" ref="H223">IF(G223="","",IFERROR(IF(INDEX(Clientes!$D$5:$D$549,MATCH(G223,Clientes!$C$5:$C$549,0))&lt;&gt;"",INDEX(Clientes!$D$5:$D$549,MATCH(G223,Clientes!$C$5:$C$549,0)),TRIM(INDEX(Clientes!$E$5:$E$549,MATCH(G223,Clientes!$C$5:$C$549,0))&amp;" "&amp;INDEX(Clientes!$F$5:$F$549,MATCH(G223,Clientes!$C$5:$C$549,0)))),"NO EXISTE en Clientes"))</f>
        <v/>
      </c>
      <c r="I223" s="17" t="inlineStr">
        <is>
          <t>CLIENTE EXTRAVIADO</t>
        </is>
      </c>
      <c r="J223" s="17" t="n"/>
      <c r="K223" s="23" t="n"/>
      <c r="L223" s="25">
        <f t="array" ref="L223">IF(K223="","",IFERROR(IF(INDEX(Clientes!$D$5:$D$549,MATCH(K223,Clientes!$C$5:$C$549,0))&lt;&gt;"",INDEX(Clientes!$D$5:$D$549,MATCH(K223,Clientes!$C$5:$C$549,0)),TRIM(INDEX(Clientes!$E$5:$E$549,MATCH(K223,Clientes!$C$5:$C$549,0))&amp;" "&amp;INDEX(Clientes!$F$5:$F$549,MATCH(K223,Clientes!$C$5:$C$549,0)))),"NO EXISTE en Clientes"))</f>
        <v/>
      </c>
      <c r="M223" s="17" t="n"/>
      <c r="N223" s="17" t="n"/>
      <c r="O223" s="42" t="n"/>
      <c r="P223" s="39">
        <f>IF(O223&lt;&gt;"",DATE(YEAR(O223)+5,MONTH(O223),1),IF(AND(M223&lt;&gt;"",N223&lt;&gt;""),DATE(M223+5,N223,1),""))</f>
        <v/>
      </c>
      <c r="Q223" s="23" t="n"/>
      <c r="R223" s="17" t="n"/>
      <c r="S223" s="17" t="n"/>
      <c r="T223" s="17" t="n"/>
      <c r="U223" s="17" t="n"/>
      <c r="V223" s="23" t="n"/>
      <c r="W223" s="17" t="n"/>
      <c r="X223" s="17" t="inlineStr">
        <is>
          <t>PACHECO NILTON 24-2-2026</t>
        </is>
      </c>
      <c r="Y223" s="28">
        <f>IF(B223&lt;&gt;"OK","","SELECT bal_crear_balon(p_codigo_balon =&gt; "&amp;IF(TRIM(C223&amp;"")="","NULL","'"&amp;SUBSTITUTE(TRIM(C223),"'","''")&amp;"'")&amp;", p_id_tipo_balon =&gt; "&amp;"(SELECT id FROM bal_tipo_balon WHERE upper(nombre) = upper('"&amp;SUBSTITUTE(TRIM(D223),"'","''")&amp;"') AND estado = 1 LIMIT 1)"&amp;", p_id_producto_gas =&gt; "&amp;"(SELECT id FROM pro_producto WHERE es_gas = TRUE AND upper(nombre) = upper('"&amp;SUBSTITUTE(TRIM(E223),"'","''")&amp;"') AND estado = 1 LIMIT 1)"&amp;", p_id_propietario =&gt; "&amp;IF(TRIM(F223&amp;"")="","NULL","(SELECT lo.id FROM gen_lista_opciones lo JOIN gen_lista l ON l.id = lo.id_lista WHERE l.nombre = 'PropietarioBalon' AND upper(lo.nombre) = upper('"&amp;SUBSTITUTE(TRIM(F223),"'","''")&amp;"') AND lo.estado = 1 LIMIT 1)")&amp;", p_id_cliente_propietario =&gt; "&amp;IF(F223="CLIENTE",IF(TRIM(G223&amp;"")="","NULL","(SELECT id FROM cli_clientes WHERE numero_documento = '"&amp;SUBSTITUTE(TRIM(G223),"'","''")&amp;"' AND estado = 1 LIMIT 1)"),"NULL")&amp;", p_id_planta =&gt; "&amp;IF(F223="PLANTA",IF(TRIM(G223&amp;"")="","NULL","(SELECT id FROM cli_clientes WHERE numero_documento = '"&amp;SUBSTITUTE(TRIM(G223),"'","''")&amp;"'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"&amp;IF(TRIM(J223&amp;"")="","NULL","(SELECT id FROM gen_almacen WHERE upper(nombre) = upper('"&amp;SUBSTITUTE(TRIM(J223),"'","''")&amp;"') AND estado = 1 LIMIT 1)")&amp;", p_id_cliente_ubicacion =&gt; "&amp;IF(TRIM(K223&amp;"")="","NULL","(SELECT id FROM cli_clientes WHERE numero_documento = '"&amp;SUBSTITUTE(TRIM(K223),"'","''")&amp;"' AND estado = 1 LIMIT 1)")&amp;", p_id_referencia =&gt; "&amp;IF(TRIM(J223&amp;"")&lt;&gt;"","(SELECT lo.id FROM gen_lista_opciones lo JOIN gen_lista l ON l.id = lo.id_lista WHERE l.nombre = 'ReferenciaCilindro' AND upper(lo.nombre) = 'ALMACEN' AND lo.estado = 1 LIMIT 1)",IF(TRIM(K223&amp;"")&lt;&gt;"","(SELECT lo.id FROM gen_lista_opciones lo JOIN gen_lista l ON l.id = lo.id_lista WHERE l.nombre = 'ReferenciaCilindro' AND upper(lo.nombre) = 'CLIENTE' AND lo.estado = 1 LIMIT 1)","NULL"))&amp;", p_anio_fabricacion =&gt; "&amp;IF(M223&amp;""="","NULL::smallint",M223&amp;"::smallint")&amp;", p_mes_fabricacion =&gt; "&amp;IF(N223&amp;""="","NULL::smallint",N223&amp;"::smallint")&amp;", p_fecha_ultima_prueba_hidrostatica =&gt; "&amp;IF(O223&amp;""="","NULL","'"&amp;YEAR(O223)&amp;"-"&amp;TEXT(MONTH(O223),"00")&amp;"-"&amp;TEXT(DAY(O223),"00")&amp;"'")&amp;", p_numero_serie =&gt; "&amp;IF(TRIM(Q223&amp;"")="","NULL","'"&amp;SUBSTITUTE(TRIM(Q223),"'","''")&amp;"'")&amp;", p_id_marca_cilindro =&gt; "&amp;IF(TRIM(R223&amp;"")="","NULL","(SELECT lo.id FROM gen_lista_opciones lo JOIN gen_lista l ON l.id = lo.id_lista WHERE l.nombre = 'MarcaCilindro' AND upper(lo.nombre) = upper('"&amp;SUBSTITUTE(TRIM(R223),"'","''")&amp;"') AND lo.estado = 1 LIMIT 1)")&amp;", p_id_organo_inspector =&gt; "&amp;IF(TRIM(S223&amp;"")="","NULL","(SELECT lo.id FROM gen_lista_opciones lo JOIN gen_lista l ON l.id = lo.id_lista WHERE l.nombre = 'OrganoInspectorCilindro' AND upper(lo.nombre) = upper('"&amp;SUBSTITUTE(TRIM(S223),"'","''")&amp;"') AND lo.estado = 1 LIMIT 1)")&amp;", p_organo_inspector_no_aplica =&gt; "&amp;IF(S223="NO_APLICA","TRUE","FALSE")&amp;", p_presion_actual =&gt; "&amp;IF(T223&amp;""="","NULL",SUBSTITUTE(T223&amp;"",",","."))&amp;", p_tipo_valvula =&gt; "&amp;IF(TRIM(U223&amp;"")="","NULL","'"&amp;SUBSTITUTE(TRIM(U223),"'","''")&amp;"'")&amp;", p_libro_cilindro =&gt; "&amp;IF(TRIM(V223&amp;"")="","NULL","'"&amp;SUBSTITUTE(TRIM(V223),"'","''")&amp;"'")&amp;", p_pagina_libro =&gt; "&amp;IF(W223&amp;""="","NULL",SUBSTITUTE(W223&amp;"",",","."))&amp;", p_observacion =&gt; "&amp;IF(TRIM(X223&amp;"")="","NULL","'"&amp;SUBSTITUTE(TRIM(X223),"'","''")&amp;"'")&amp;") AS resultado_balon_"&amp;ROW()&amp;";")</f>
        <v/>
      </c>
    </row>
    <row r="224" ht="15.75" customHeight="1" s="64">
      <c r="A224" s="36" t="inlineStr">
        <is>
          <t>220</t>
        </is>
      </c>
      <c r="B224" s="25">
        <f>IF(AND(C224="",D224="",E224=""),"",IF(C224="","FALTA código balón",IF(D224="","FALTA tipo balón",IF(E224="","FALTA gas",IF(F224="","FALTA propietario",IF(AND(C224&lt;&gt;"",SUMPRODUCT(--($C$5:$C$1200=C224))&gt;1),"CÓDIGO BALÓN DUPLICADO",IF(AND(OR(UPPER(F224)="PLANTA",UPPER(F224)="CLIENTE"),G224=""),"FALTA doc propietario/planta",IF(AND(UPPER(F224)="PLANTA",G224="10175332796"),"PLANTA no puede ser RUC empresa","OK"))))))))</f>
        <v/>
      </c>
      <c r="C224" s="60" t="inlineStr">
        <is>
          <t>143525ED</t>
        </is>
      </c>
      <c r="D224" s="17" t="inlineStr">
        <is>
          <t>Acetileno de 3.5 - 5 kg</t>
        </is>
      </c>
      <c r="E224" s="17" t="inlineStr">
        <is>
          <t>ACETILENO ESTANDAR</t>
        </is>
      </c>
      <c r="F224" s="17" t="inlineStr">
        <is>
          <t>EMPRESA</t>
        </is>
      </c>
      <c r="G224" s="23" t="inlineStr">
        <is>
          <t>10175332796</t>
        </is>
      </c>
      <c r="H224" s="25">
        <f t="array" ref="H224">IF(G224="","",IFERROR(IF(INDEX(Clientes!$D$5:$D$549,MATCH(G224,Clientes!$C$5:$C$549,0))&lt;&gt;"",INDEX(Clientes!$D$5:$D$549,MATCH(G224,Clientes!$C$5:$C$549,0)),TRIM(INDEX(Clientes!$E$5:$E$549,MATCH(G224,Clientes!$C$5:$C$549,0))&amp;" "&amp;INDEX(Clientes!$F$5:$F$549,MATCH(G224,Clientes!$C$5:$C$549,0)))),"NO EXISTE en Clientes"))</f>
        <v/>
      </c>
      <c r="I224" s="17" t="inlineStr">
        <is>
          <t>EN_PODER_CLIENTE</t>
        </is>
      </c>
      <c r="J224" s="17" t="n"/>
      <c r="K224" s="23" t="inlineStr">
        <is>
          <t>20270453679</t>
        </is>
      </c>
      <c r="L224" s="25">
        <f t="array" ref="L224">IF(K224="","",IFERROR(IF(INDEX(Clientes!$D$5:$D$549,MATCH(K224,Clientes!$C$5:$C$549,0))&lt;&gt;"",INDEX(Clientes!$D$5:$D$549,MATCH(K224,Clientes!$C$5:$C$549,0)),TRIM(INDEX(Clientes!$E$5:$E$549,MATCH(K224,Clientes!$C$5:$C$549,0))&amp;" "&amp;INDEX(Clientes!$F$5:$F$549,MATCH(K224,Clientes!$C$5:$C$549,0)))),"NO EXISTE en Clientes"))</f>
        <v/>
      </c>
      <c r="M224" s="17" t="n"/>
      <c r="N224" s="17" t="n"/>
      <c r="O224" s="42" t="n"/>
      <c r="P224" s="39">
        <f>IF(O224&lt;&gt;"",DATE(YEAR(O224)+5,MONTH(O224),1),IF(AND(M224&lt;&gt;"",N224&lt;&gt;""),DATE(M224+5,N224,1),""))</f>
        <v/>
      </c>
      <c r="Q224" s="23" t="n"/>
      <c r="R224" s="17" t="n"/>
      <c r="S224" s="17" t="n"/>
      <c r="T224" s="17" t="n"/>
      <c r="U224" s="17" t="n"/>
      <c r="V224" s="23" t="n"/>
      <c r="W224" s="17" t="n"/>
      <c r="X224" s="17" t="inlineStr">
        <is>
          <t>PODER DE CLIENTE DESDE 6-11-2025</t>
        </is>
      </c>
      <c r="Y224" s="28">
        <f>IF(B224&lt;&gt;"OK","","SELECT bal_crear_balon(p_codigo_balon =&gt; "&amp;IF(TRIM(C224&amp;"")="","NULL","'"&amp;SUBSTITUTE(TRIM(C224),"'","''")&amp;"'")&amp;", p_id_tipo_balon =&gt; "&amp;"(SELECT id FROM bal_tipo_balon WHERE upper(nombre) = upper('"&amp;SUBSTITUTE(TRIM(D224),"'","''")&amp;"') AND estado = 1 LIMIT 1)"&amp;", p_id_producto_gas =&gt; "&amp;"(SELECT id FROM pro_producto WHERE es_gas = TRUE AND upper(nombre) = upper('"&amp;SUBSTITUTE(TRIM(E224),"'","''")&amp;"') AND estado = 1 LIMIT 1)"&amp;", p_id_propietario =&gt; "&amp;IF(TRIM(F224&amp;"")="","NULL","(SELECT lo.id FROM gen_lista_opciones lo JOIN gen_lista l ON l.id = lo.id_lista WHERE l.nombre = 'PropietarioBalon' AND upper(lo.nombre) = upper('"&amp;SUBSTITUTE(TRIM(F224),"'","''")&amp;"') AND lo.estado = 1 LIMIT 1)")&amp;", p_id_cliente_propietario =&gt; "&amp;IF(F224="CLIENTE",IF(TRIM(G224&amp;"")="","NULL","(SELECT id FROM cli_clientes WHERE numero_documento = '"&amp;SUBSTITUTE(TRIM(G224),"'","''")&amp;"' AND estado = 1 LIMIT 1)"),"NULL")&amp;", p_id_planta =&gt; "&amp;IF(F224="PLANTA",IF(TRIM(G224&amp;"")="","NULL","(SELECT id FROM cli_clientes WHERE numero_documento = '"&amp;SUBSTITUTE(TRIM(G224),"'","''")&amp;"'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"&amp;IF(TRIM(J224&amp;"")="","NULL","(SELECT id FROM gen_almacen WHERE upper(nombre) = upper('"&amp;SUBSTITUTE(TRIM(J224),"'","''")&amp;"') AND estado = 1 LIMIT 1)")&amp;", p_id_cliente_ubicacion =&gt; "&amp;IF(TRIM(K224&amp;"")="","NULL","(SELECT id FROM cli_clientes WHERE numero_documento = '"&amp;SUBSTITUTE(TRIM(K224),"'","''")&amp;"' AND estado = 1 LIMIT 1)")&amp;", p_id_referencia =&gt; "&amp;IF(TRIM(J224&amp;"")&lt;&gt;"","(SELECT lo.id FROM gen_lista_opciones lo JOIN gen_lista l ON l.id = lo.id_lista WHERE l.nombre = 'ReferenciaCilindro' AND upper(lo.nombre) = 'ALMACEN' AND lo.estado = 1 LIMIT 1)",IF(TRIM(K224&amp;"")&lt;&gt;"","(SELECT lo.id FROM gen_lista_opciones lo JOIN gen_lista l ON l.id = lo.id_lista WHERE l.nombre = 'ReferenciaCilindro' AND upper(lo.nombre) = 'CLIENTE' AND lo.estado = 1 LIMIT 1)","NULL"))&amp;", p_anio_fabricacion =&gt; "&amp;IF(M224&amp;""="","NULL::smallint",M224&amp;"::smallint")&amp;", p_mes_fabricacion =&gt; "&amp;IF(N224&amp;""="","NULL::smallint",N224&amp;"::smallint")&amp;", p_fecha_ultima_prueba_hidrostatica =&gt; "&amp;IF(O224&amp;""="","NULL","'"&amp;YEAR(O224)&amp;"-"&amp;TEXT(MONTH(O224),"00")&amp;"-"&amp;TEXT(DAY(O224),"00")&amp;"'")&amp;", p_numero_serie =&gt; "&amp;IF(TRIM(Q224&amp;"")="","NULL","'"&amp;SUBSTITUTE(TRIM(Q224),"'","''")&amp;"'")&amp;", p_id_marca_cilindro =&gt; "&amp;IF(TRIM(R224&amp;"")="","NULL","(SELECT lo.id FROM gen_lista_opciones lo JOIN gen_lista l ON l.id = lo.id_lista WHERE l.nombre = 'MarcaCilindro' AND upper(lo.nombre) = upper('"&amp;SUBSTITUTE(TRIM(R224),"'","''")&amp;"') AND lo.estado = 1 LIMIT 1)")&amp;", p_id_organo_inspector =&gt; "&amp;IF(TRIM(S224&amp;"")="","NULL","(SELECT lo.id FROM gen_lista_opciones lo JOIN gen_lista l ON l.id = lo.id_lista WHERE l.nombre = 'OrganoInspectorCilindro' AND upper(lo.nombre) = upper('"&amp;SUBSTITUTE(TRIM(S224),"'","''")&amp;"') AND lo.estado = 1 LIMIT 1)")&amp;", p_organo_inspector_no_aplica =&gt; "&amp;IF(S224="NO_APLICA","TRUE","FALSE")&amp;", p_presion_actual =&gt; "&amp;IF(T224&amp;""="","NULL",SUBSTITUTE(T224&amp;"",",","."))&amp;", p_tipo_valvula =&gt; "&amp;IF(TRIM(U224&amp;"")="","NULL","'"&amp;SUBSTITUTE(TRIM(U224),"'","''")&amp;"'")&amp;", p_libro_cilindro =&gt; "&amp;IF(TRIM(V224&amp;"")="","NULL","'"&amp;SUBSTITUTE(TRIM(V224),"'","''")&amp;"'")&amp;", p_pagina_libro =&gt; "&amp;IF(W224&amp;""="","NULL",SUBSTITUTE(W224&amp;"",",","."))&amp;", p_observacion =&gt; "&amp;IF(TRIM(X224&amp;"")="","NULL","'"&amp;SUBSTITUTE(TRIM(X224),"'","''")&amp;"'")&amp;") AS resultado_balon_"&amp;ROW()&amp;";")</f>
        <v/>
      </c>
    </row>
    <row r="225" ht="15.75" customHeight="1" s="64">
      <c r="A225" s="36" t="inlineStr">
        <is>
          <t>221</t>
        </is>
      </c>
      <c r="B225" s="25">
        <f>IF(AND(C225="",D225="",E225=""),"",IF(C225="","FALTA código balón",IF(D225="","FALTA tipo balón",IF(E225="","FALTA gas",IF(F225="","FALTA propietario",IF(AND(C225&lt;&gt;"",SUMPRODUCT(--($C$5:$C$1200=C225))&gt;1),"CÓDIGO BALÓN DUPLICADO",IF(AND(OR(UPPER(F225)="PLANTA",UPPER(F225)="CLIENTE"),G225=""),"FALTA doc propietario/planta",IF(AND(UPPER(F225)="PLANTA",G225="10175332796"),"PLANTA no puede ser RUC empresa","OK"))))))))</f>
        <v/>
      </c>
      <c r="C225" s="60" t="inlineStr">
        <is>
          <t>611437</t>
        </is>
      </c>
      <c r="D225" s="17" t="inlineStr">
        <is>
          <t>Acetileno de 8 - 10 kg</t>
        </is>
      </c>
      <c r="E225" s="17" t="inlineStr">
        <is>
          <t>ACETILENO ESTANDAR</t>
        </is>
      </c>
      <c r="F225" s="17" t="inlineStr">
        <is>
          <t>EMPRESA</t>
        </is>
      </c>
      <c r="G225" s="23" t="inlineStr">
        <is>
          <t>10175332796</t>
        </is>
      </c>
      <c r="H225" s="25">
        <f t="array" ref="H225">IF(G225="","",IFERROR(IF(INDEX(Clientes!$D$5:$D$549,MATCH(G225,Clientes!$C$5:$C$549,0))&lt;&gt;"",INDEX(Clientes!$D$5:$D$549,MATCH(G225,Clientes!$C$5:$C$549,0)),TRIM(INDEX(Clientes!$E$5:$E$549,MATCH(G225,Clientes!$C$5:$C$549,0))&amp;" "&amp;INDEX(Clientes!$F$5:$F$549,MATCH(G225,Clientes!$C$5:$C$549,0)))),"NO EXISTE en Clientes"))</f>
        <v/>
      </c>
      <c r="I225" s="17" t="inlineStr">
        <is>
          <t>DISPONIBLE</t>
        </is>
      </c>
      <c r="J225" s="17" t="inlineStr">
        <is>
          <t>ALMACEN PRINCIPAL</t>
        </is>
      </c>
      <c r="K225" s="23" t="n"/>
      <c r="L225" s="25">
        <f t="array" ref="L225">IF(K225="","",IFERROR(IF(INDEX(Clientes!$D$5:$D$549,MATCH(K225,Clientes!$C$5:$C$549,0))&lt;&gt;"",INDEX(Clientes!$D$5:$D$549,MATCH(K225,Clientes!$C$5:$C$549,0)),TRIM(INDEX(Clientes!$E$5:$E$549,MATCH(K225,Clientes!$C$5:$C$549,0))&amp;" "&amp;INDEX(Clientes!$F$5:$F$549,MATCH(K225,Clientes!$C$5:$C$549,0)))),"NO EXISTE en Clientes"))</f>
        <v/>
      </c>
      <c r="M225" s="17" t="n"/>
      <c r="N225" s="17" t="n"/>
      <c r="O225" s="42" t="n"/>
      <c r="P225" s="39">
        <f>IF(O225&lt;&gt;"",DATE(YEAR(O225)+5,MONTH(O225),1),IF(AND(M225&lt;&gt;"",N225&lt;&gt;""),DATE(M225+5,N225,1),""))</f>
        <v/>
      </c>
      <c r="Q225" s="23" t="n"/>
      <c r="R225" s="17" t="n"/>
      <c r="S225" s="17" t="n"/>
      <c r="T225" s="17" t="n"/>
      <c r="U225" s="17" t="n"/>
      <c r="V225" s="23" t="n"/>
      <c r="W225" s="17" t="n"/>
      <c r="X225" s="17" t="n"/>
      <c r="Y225" s="28">
        <f>IF(B225&lt;&gt;"OK","","SELECT bal_crear_balon(p_codigo_balon =&gt; "&amp;IF(TRIM(C225&amp;"")="","NULL","'"&amp;SUBSTITUTE(TRIM(C225),"'","''")&amp;"'")&amp;", p_id_tipo_balon =&gt; "&amp;"(SELECT id FROM bal_tipo_balon WHERE upper(nombre) = upper('"&amp;SUBSTITUTE(TRIM(D225),"'","''")&amp;"') AND estado = 1 LIMIT 1)"&amp;", p_id_producto_gas =&gt; "&amp;"(SELECT id FROM pro_producto WHERE es_gas = TRUE AND upper(nombre) = upper('"&amp;SUBSTITUTE(TRIM(E225),"'","''")&amp;"') AND estado = 1 LIMIT 1)"&amp;", p_id_propietario =&gt; "&amp;IF(TRIM(F225&amp;"")="","NULL","(SELECT lo.id FROM gen_lista_opciones lo JOIN gen_lista l ON l.id = lo.id_lista WHERE l.nombre = 'PropietarioBalon' AND upper(lo.nombre) = upper('"&amp;SUBSTITUTE(TRIM(F225),"'","''")&amp;"') AND lo.estado = 1 LIMIT 1)")&amp;", p_id_cliente_propietario =&gt; "&amp;IF(F225="CLIENTE",IF(TRIM(G225&amp;"")="","NULL","(SELECT id FROM cli_clientes WHERE numero_documento = '"&amp;SUBSTITUTE(TRIM(G225),"'","''")&amp;"' AND estado = 1 LIMIT 1)"),"NULL")&amp;", p_id_planta =&gt; "&amp;IF(F225="PLANTA",IF(TRIM(G225&amp;"")="","NULL","(SELECT id FROM cli_clientes WHERE numero_documento = '"&amp;SUBSTITUTE(TRIM(G225),"'","''")&amp;"'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"&amp;IF(TRIM(J225&amp;"")="","NULL","(SELECT id FROM gen_almacen WHERE upper(nombre) = upper('"&amp;SUBSTITUTE(TRIM(J225),"'","''")&amp;"') AND estado = 1 LIMIT 1)")&amp;", p_id_cliente_ubicacion =&gt; "&amp;IF(TRIM(K225&amp;"")="","NULL","(SELECT id FROM cli_clientes WHERE numero_documento = '"&amp;SUBSTITUTE(TRIM(K225),"'","''")&amp;"' AND estado = 1 LIMIT 1)")&amp;", p_id_referencia =&gt; "&amp;IF(TRIM(J225&amp;"")&lt;&gt;"","(SELECT lo.id FROM gen_lista_opciones lo JOIN gen_lista l ON l.id = lo.id_lista WHERE l.nombre = 'ReferenciaCilindro' AND upper(lo.nombre) = 'ALMACEN' AND lo.estado = 1 LIMIT 1)",IF(TRIM(K225&amp;"")&lt;&gt;"","(SELECT lo.id FROM gen_lista_opciones lo JOIN gen_lista l ON l.id = lo.id_lista WHERE l.nombre = 'ReferenciaCilindro' AND upper(lo.nombre) = 'CLIENTE' AND lo.estado = 1 LIMIT 1)","NULL"))&amp;", p_anio_fabricacion =&gt; "&amp;IF(M225&amp;""="","NULL::smallint",M225&amp;"::smallint")&amp;", p_mes_fabricacion =&gt; "&amp;IF(N225&amp;""="","NULL::smallint",N225&amp;"::smallint")&amp;", p_fecha_ultima_prueba_hidrostatica =&gt; "&amp;IF(O225&amp;""="","NULL","'"&amp;YEAR(O225)&amp;"-"&amp;TEXT(MONTH(O225),"00")&amp;"-"&amp;TEXT(DAY(O225),"00")&amp;"'")&amp;", p_numero_serie =&gt; "&amp;IF(TRIM(Q225&amp;"")="","NULL","'"&amp;SUBSTITUTE(TRIM(Q225),"'","''")&amp;"'")&amp;", p_id_marca_cilindro =&gt; "&amp;IF(TRIM(R225&amp;"")="","NULL","(SELECT lo.id FROM gen_lista_opciones lo JOIN gen_lista l ON l.id = lo.id_lista WHERE l.nombre = 'MarcaCilindro' AND upper(lo.nombre) = upper('"&amp;SUBSTITUTE(TRIM(R225),"'","''")&amp;"') AND lo.estado = 1 LIMIT 1)")&amp;", p_id_organo_inspector =&gt; "&amp;IF(TRIM(S225&amp;"")="","NULL","(SELECT lo.id FROM gen_lista_opciones lo JOIN gen_lista l ON l.id = lo.id_lista WHERE l.nombre = 'OrganoInspectorCilindro' AND upper(lo.nombre) = upper('"&amp;SUBSTITUTE(TRIM(S225),"'","''")&amp;"') AND lo.estado = 1 LIMIT 1)")&amp;", p_organo_inspector_no_aplica =&gt; "&amp;IF(S225="NO_APLICA","TRUE","FALSE")&amp;", p_presion_actual =&gt; "&amp;IF(T225&amp;""="","NULL",SUBSTITUTE(T225&amp;"",",","."))&amp;", p_tipo_valvula =&gt; "&amp;IF(TRIM(U225&amp;"")="","NULL","'"&amp;SUBSTITUTE(TRIM(U225),"'","''")&amp;"'")&amp;", p_libro_cilindro =&gt; "&amp;IF(TRIM(V225&amp;"")="","NULL","'"&amp;SUBSTITUTE(TRIM(V225),"'","''")&amp;"'")&amp;", p_pagina_libro =&gt; "&amp;IF(W225&amp;""="","NULL",SUBSTITUTE(W225&amp;"",",","."))&amp;", p_observacion =&gt; "&amp;IF(TRIM(X225&amp;"")="","NULL","'"&amp;SUBSTITUTE(TRIM(X225),"'","''")&amp;"'")&amp;") AS resultado_balon_"&amp;ROW()&amp;";")</f>
        <v/>
      </c>
    </row>
    <row r="226" ht="15.75" customHeight="1" s="64">
      <c r="A226" s="36" t="inlineStr">
        <is>
          <t>222</t>
        </is>
      </c>
      <c r="B226" s="25">
        <f>IF(AND(C226="",D226="",E226=""),"",IF(C226="","FALTA código balón",IF(D226="","FALTA tipo balón",IF(E226="","FALTA gas",IF(F226="","FALTA propietario",IF(AND(C226&lt;&gt;"",SUMPRODUCT(--($C$5:$C$1200=C226))&gt;1),"CÓDIGO BALÓN DUPLICADO",IF(AND(OR(UPPER(F226)="PLANTA",UPPER(F226)="CLIENTE"),G226=""),"FALTA doc propietario/planta",IF(AND(UPPER(F226)="PLANTA",G226="10175332796"),"PLANTA no puede ser RUC empresa","OK"))))))))</f>
        <v/>
      </c>
      <c r="C226" s="60" t="inlineStr">
        <is>
          <t>M735872</t>
        </is>
      </c>
      <c r="D226" s="17" t="inlineStr">
        <is>
          <t>Acetileno de 3.5 - 5.5 kg</t>
        </is>
      </c>
      <c r="E226" s="17" t="inlineStr">
        <is>
          <t>ACETILENO ESTANDAR</t>
        </is>
      </c>
      <c r="F226" s="17" t="inlineStr">
        <is>
          <t>EMPRESA</t>
        </is>
      </c>
      <c r="G226" s="23" t="inlineStr">
        <is>
          <t>10175332796</t>
        </is>
      </c>
      <c r="H226" s="25">
        <f t="array" ref="H226">IF(G226="","",IFERROR(IF(INDEX(Clientes!$D$5:$D$549,MATCH(G226,Clientes!$C$5:$C$549,0))&lt;&gt;"",INDEX(Clientes!$D$5:$D$549,MATCH(G226,Clientes!$C$5:$C$549,0)),TRIM(INDEX(Clientes!$E$5:$E$549,MATCH(G226,Clientes!$C$5:$C$549,0))&amp;" "&amp;INDEX(Clientes!$F$5:$F$549,MATCH(G226,Clientes!$C$5:$C$549,0)))),"NO EXISTE en Clientes"))</f>
        <v/>
      </c>
      <c r="I226" s="17" t="inlineStr">
        <is>
          <t>EN_PODER_CLIENTE</t>
        </is>
      </c>
      <c r="J226" s="17" t="n"/>
      <c r="K226" s="23" t="inlineStr">
        <is>
          <t>20604078866</t>
        </is>
      </c>
      <c r="L226" s="25">
        <f t="array" ref="L226">IF(K226="","",IFERROR(IF(INDEX(Clientes!$D$5:$D$549,MATCH(K226,Clientes!$C$5:$C$549,0))&lt;&gt;"",INDEX(Clientes!$D$5:$D$549,MATCH(K226,Clientes!$C$5:$C$549,0)),TRIM(INDEX(Clientes!$E$5:$E$549,MATCH(K226,Clientes!$C$5:$C$549,0))&amp;" "&amp;INDEX(Clientes!$F$5:$F$549,MATCH(K226,Clientes!$C$5:$C$549,0)))),"NO EXISTE en Clientes"))</f>
        <v/>
      </c>
      <c r="M226" s="17" t="n"/>
      <c r="N226" s="17" t="n"/>
      <c r="O226" s="42" t="n"/>
      <c r="P226" s="39">
        <f>IF(O226&lt;&gt;"",DATE(YEAR(O226)+5,MONTH(O226),1),IF(AND(M226&lt;&gt;"",N226&lt;&gt;""),DATE(M226+5,N226,1),""))</f>
        <v/>
      </c>
      <c r="Q226" s="23" t="n"/>
      <c r="R226" s="17" t="n"/>
      <c r="S226" s="17" t="n"/>
      <c r="T226" s="17" t="n"/>
      <c r="U226" s="17" t="n"/>
      <c r="V226" s="23" t="n"/>
      <c r="W226" s="17" t="n"/>
      <c r="X226" s="17" t="inlineStr">
        <is>
          <t>PODER DE CLIENTE DESDE 5-01-2026</t>
        </is>
      </c>
      <c r="Y226" s="28">
        <f>IF(B226&lt;&gt;"OK","","SELECT bal_crear_balon(p_codigo_balon =&gt; "&amp;IF(TRIM(C226&amp;"")="","NULL","'"&amp;SUBSTITUTE(TRIM(C226),"'","''")&amp;"'")&amp;", p_id_tipo_balon =&gt; "&amp;"(SELECT id FROM bal_tipo_balon WHERE upper(nombre) = upper('"&amp;SUBSTITUTE(TRIM(D226),"'","''")&amp;"') AND estado = 1 LIMIT 1)"&amp;", p_id_producto_gas =&gt; "&amp;"(SELECT id FROM pro_producto WHERE es_gas = TRUE AND upper(nombre) = upper('"&amp;SUBSTITUTE(TRIM(E226),"'","''")&amp;"') AND estado = 1 LIMIT 1)"&amp;", p_id_propietario =&gt; "&amp;IF(TRIM(F226&amp;"")="","NULL","(SELECT lo.id FROM gen_lista_opciones lo JOIN gen_lista l ON l.id = lo.id_lista WHERE l.nombre = 'PropietarioBalon' AND upper(lo.nombre) = upper('"&amp;SUBSTITUTE(TRIM(F226),"'","''")&amp;"') AND lo.estado = 1 LIMIT 1)")&amp;", p_id_cliente_propietario =&gt; "&amp;IF(F226="CLIENTE",IF(TRIM(G226&amp;"")="","NULL","(SELECT id FROM cli_clientes WHERE numero_documento = '"&amp;SUBSTITUTE(TRIM(G226),"'","''")&amp;"' AND estado = 1 LIMIT 1)"),"NULL")&amp;", p_id_planta =&gt; "&amp;IF(F226="PLANTA",IF(TRIM(G226&amp;"")="","NULL","(SELECT id FROM cli_clientes WHERE numero_documento = '"&amp;SUBSTITUTE(TRIM(G226),"'","''")&amp;"'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"&amp;IF(TRIM(J226&amp;"")="","NULL","(SELECT id FROM gen_almacen WHERE upper(nombre) = upper('"&amp;SUBSTITUTE(TRIM(J226),"'","''")&amp;"') AND estado = 1 LIMIT 1)")&amp;", p_id_cliente_ubicacion =&gt; "&amp;IF(TRIM(K226&amp;"")="","NULL","(SELECT id FROM cli_clientes WHERE numero_documento = '"&amp;SUBSTITUTE(TRIM(K226),"'","''")&amp;"' AND estado = 1 LIMIT 1)")&amp;", p_id_referencia =&gt; "&amp;IF(TRIM(J226&amp;"")&lt;&gt;"","(SELECT lo.id FROM gen_lista_opciones lo JOIN gen_lista l ON l.id = lo.id_lista WHERE l.nombre = 'ReferenciaCilindro' AND upper(lo.nombre) = 'ALMACEN' AND lo.estado = 1 LIMIT 1)",IF(TRIM(K226&amp;"")&lt;&gt;"","(SELECT lo.id FROM gen_lista_opciones lo JOIN gen_lista l ON l.id = lo.id_lista WHERE l.nombre = 'ReferenciaCilindro' AND upper(lo.nombre) = 'CLIENTE' AND lo.estado = 1 LIMIT 1)","NULL"))&amp;", p_anio_fabricacion =&gt; "&amp;IF(M226&amp;""="","NULL::smallint",M226&amp;"::smallint")&amp;", p_mes_fabricacion =&gt; "&amp;IF(N226&amp;""="","NULL::smallint",N226&amp;"::smallint")&amp;", p_fecha_ultima_prueba_hidrostatica =&gt; "&amp;IF(O226&amp;""="","NULL","'"&amp;YEAR(O226)&amp;"-"&amp;TEXT(MONTH(O226),"00")&amp;"-"&amp;TEXT(DAY(O226),"00")&amp;"'")&amp;", p_numero_serie =&gt; "&amp;IF(TRIM(Q226&amp;"")="","NULL","'"&amp;SUBSTITUTE(TRIM(Q226),"'","''")&amp;"'")&amp;", p_id_marca_cilindro =&gt; "&amp;IF(TRIM(R226&amp;"")="","NULL","(SELECT lo.id FROM gen_lista_opciones lo JOIN gen_lista l ON l.id = lo.id_lista WHERE l.nombre = 'MarcaCilindro' AND upper(lo.nombre) = upper('"&amp;SUBSTITUTE(TRIM(R226),"'","''")&amp;"') AND lo.estado = 1 LIMIT 1)")&amp;", p_id_organo_inspector =&gt; "&amp;IF(TRIM(S226&amp;"")="","NULL","(SELECT lo.id FROM gen_lista_opciones lo JOIN gen_lista l ON l.id = lo.id_lista WHERE l.nombre = 'OrganoInspectorCilindro' AND upper(lo.nombre) = upper('"&amp;SUBSTITUTE(TRIM(S226),"'","''")&amp;"') AND lo.estado = 1 LIMIT 1)")&amp;", p_organo_inspector_no_aplica =&gt; "&amp;IF(S226="NO_APLICA","TRUE","FALSE")&amp;", p_presion_actual =&gt; "&amp;IF(T226&amp;""="","NULL",SUBSTITUTE(T226&amp;"",",","."))&amp;", p_tipo_valvula =&gt; "&amp;IF(TRIM(U226&amp;"")="","NULL","'"&amp;SUBSTITUTE(TRIM(U226),"'","''")&amp;"'")&amp;", p_libro_cilindro =&gt; "&amp;IF(TRIM(V226&amp;"")="","NULL","'"&amp;SUBSTITUTE(TRIM(V226),"'","''")&amp;"'")&amp;", p_pagina_libro =&gt; "&amp;IF(W226&amp;""="","NULL",SUBSTITUTE(W226&amp;"",",","."))&amp;", p_observacion =&gt; "&amp;IF(TRIM(X226&amp;"")="","NULL","'"&amp;SUBSTITUTE(TRIM(X226),"'","''")&amp;"'")&amp;") AS resultado_balon_"&amp;ROW()&amp;";")</f>
        <v/>
      </c>
    </row>
    <row r="227" ht="15.75" customHeight="1" s="64">
      <c r="A227" s="36" t="inlineStr">
        <is>
          <t>223</t>
        </is>
      </c>
      <c r="B227" s="25">
        <f>IF(AND(C227="",D227="",E227=""),"",IF(C227="","FALTA código balón",IF(D227="","FALTA tipo balón",IF(E227="","FALTA gas",IF(F227="","FALTA propietario",IF(AND(C227&lt;&gt;"",SUMPRODUCT(--($C$5:$C$1200=C227))&gt;1),"CÓDIGO BALÓN DUPLICADO",IF(AND(OR(UPPER(F227)="PLANTA",UPPER(F227)="CLIENTE"),G227=""),"FALTA doc propietario/planta",IF(AND(UPPER(F227)="PLANTA",G227="10175332796"),"PLANTA no puede ser RUC empresa","OK"))))))))</f>
        <v/>
      </c>
      <c r="C227" s="60" t="inlineStr">
        <is>
          <t>6046</t>
        </is>
      </c>
      <c r="D227" s="17" t="inlineStr">
        <is>
          <t>Acetileno de 6 - 8 kg</t>
        </is>
      </c>
      <c r="E227" s="17" t="inlineStr">
        <is>
          <t>ACETILENO ESTANDAR</t>
        </is>
      </c>
      <c r="F227" s="17" t="inlineStr">
        <is>
          <t>EMPRESA</t>
        </is>
      </c>
      <c r="G227" s="23" t="inlineStr">
        <is>
          <t>10175332796</t>
        </is>
      </c>
      <c r="H227" s="25">
        <f t="array" ref="H227">IF(G227="","",IFERROR(IF(INDEX(Clientes!$D$5:$D$549,MATCH(G227,Clientes!$C$5:$C$549,0))&lt;&gt;"",INDEX(Clientes!$D$5:$D$549,MATCH(G227,Clientes!$C$5:$C$549,0)),TRIM(INDEX(Clientes!$E$5:$E$549,MATCH(G227,Clientes!$C$5:$C$549,0))&amp;" "&amp;INDEX(Clientes!$F$5:$F$549,MATCH(G227,Clientes!$C$5:$C$549,0)))),"NO EXISTE en Clientes"))</f>
        <v/>
      </c>
      <c r="I227" s="17" t="inlineStr">
        <is>
          <t>DISPONIBLE</t>
        </is>
      </c>
      <c r="J227" s="17" t="inlineStr">
        <is>
          <t>ALMACEN PRINCIPAL</t>
        </is>
      </c>
      <c r="K227" s="23" t="n"/>
      <c r="L227" s="25">
        <f t="array" ref="L227">IF(K227="","",IFERROR(IF(INDEX(Clientes!$D$5:$D$549,MATCH(K227,Clientes!$C$5:$C$549,0))&lt;&gt;"",INDEX(Clientes!$D$5:$D$549,MATCH(K227,Clientes!$C$5:$C$549,0)),TRIM(INDEX(Clientes!$E$5:$E$549,MATCH(K227,Clientes!$C$5:$C$549,0))&amp;" "&amp;INDEX(Clientes!$F$5:$F$549,MATCH(K227,Clientes!$C$5:$C$549,0)))),"NO EXISTE en Clientes"))</f>
        <v/>
      </c>
      <c r="M227" s="17" t="n"/>
      <c r="N227" s="17" t="n"/>
      <c r="O227" s="42" t="n"/>
      <c r="P227" s="39">
        <f>IF(O227&lt;&gt;"",DATE(YEAR(O227)+5,MONTH(O227),1),IF(AND(M227&lt;&gt;"",N227&lt;&gt;""),DATE(M227+5,N227,1),""))</f>
        <v/>
      </c>
      <c r="Q227" s="23" t="n"/>
      <c r="R227" s="17" t="n"/>
      <c r="S227" s="17" t="n"/>
      <c r="T227" s="17" t="n"/>
      <c r="U227" s="17" t="n"/>
      <c r="V227" s="23" t="n"/>
      <c r="W227" s="17" t="n"/>
      <c r="X227" s="17" t="n"/>
      <c r="Y227" s="28">
        <f>IF(B227&lt;&gt;"OK","","SELECT bal_crear_balon(p_codigo_balon =&gt; "&amp;IF(TRIM(C227&amp;"")="","NULL","'"&amp;SUBSTITUTE(TRIM(C227),"'","''")&amp;"'")&amp;", p_id_tipo_balon =&gt; "&amp;"(SELECT id FROM bal_tipo_balon WHERE upper(nombre) = upper('"&amp;SUBSTITUTE(TRIM(D227),"'","''")&amp;"') AND estado = 1 LIMIT 1)"&amp;", p_id_producto_gas =&gt; "&amp;"(SELECT id FROM pro_producto WHERE es_gas = TRUE AND upper(nombre) = upper('"&amp;SUBSTITUTE(TRIM(E227),"'","''")&amp;"') AND estado = 1 LIMIT 1)"&amp;", p_id_propietario =&gt; "&amp;IF(TRIM(F227&amp;"")="","NULL","(SELECT lo.id FROM gen_lista_opciones lo JOIN gen_lista l ON l.id = lo.id_lista WHERE l.nombre = 'PropietarioBalon' AND upper(lo.nombre) = upper('"&amp;SUBSTITUTE(TRIM(F227),"'","''")&amp;"') AND lo.estado = 1 LIMIT 1)")&amp;", p_id_cliente_propietario =&gt; "&amp;IF(F227="CLIENTE",IF(TRIM(G227&amp;"")="","NULL","(SELECT id FROM cli_clientes WHERE numero_documento = '"&amp;SUBSTITUTE(TRIM(G227),"'","''")&amp;"' AND estado = 1 LIMIT 1)"),"NULL")&amp;", p_id_planta =&gt; "&amp;IF(F227="PLANTA",IF(TRIM(G227&amp;"")="","NULL","(SELECT id FROM cli_clientes WHERE numero_documento = '"&amp;SUBSTITUTE(TRIM(G227),"'","''")&amp;"'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"&amp;IF(TRIM(J227&amp;"")="","NULL","(SELECT id FROM gen_almacen WHERE upper(nombre) = upper('"&amp;SUBSTITUTE(TRIM(J227),"'","''")&amp;"') AND estado = 1 LIMIT 1)")&amp;", p_id_cliente_ubicacion =&gt; "&amp;IF(TRIM(K227&amp;"")="","NULL","(SELECT id FROM cli_clientes WHERE numero_documento = '"&amp;SUBSTITUTE(TRIM(K227),"'","''")&amp;"' AND estado = 1 LIMIT 1)")&amp;", p_id_referencia =&gt; "&amp;IF(TRIM(J227&amp;"")&lt;&gt;"","(SELECT lo.id FROM gen_lista_opciones lo JOIN gen_lista l ON l.id = lo.id_lista WHERE l.nombre = 'ReferenciaCilindro' AND upper(lo.nombre) = 'ALMACEN' AND lo.estado = 1 LIMIT 1)",IF(TRIM(K227&amp;"")&lt;&gt;"","(SELECT lo.id FROM gen_lista_opciones lo JOIN gen_lista l ON l.id = lo.id_lista WHERE l.nombre = 'ReferenciaCilindro' AND upper(lo.nombre) = 'CLIENTE' AND lo.estado = 1 LIMIT 1)","NULL"))&amp;", p_anio_fabricacion =&gt; "&amp;IF(M227&amp;""="","NULL::smallint",M227&amp;"::smallint")&amp;", p_mes_fabricacion =&gt; "&amp;IF(N227&amp;""="","NULL::smallint",N227&amp;"::smallint")&amp;", p_fecha_ultima_prueba_hidrostatica =&gt; "&amp;IF(O227&amp;""="","NULL","'"&amp;YEAR(O227)&amp;"-"&amp;TEXT(MONTH(O227),"00")&amp;"-"&amp;TEXT(DAY(O227),"00")&amp;"'")&amp;", p_numero_serie =&gt; "&amp;IF(TRIM(Q227&amp;"")="","NULL","'"&amp;SUBSTITUTE(TRIM(Q227),"'","''")&amp;"'")&amp;", p_id_marca_cilindro =&gt; "&amp;IF(TRIM(R227&amp;"")="","NULL","(SELECT lo.id FROM gen_lista_opciones lo JOIN gen_lista l ON l.id = lo.id_lista WHERE l.nombre = 'MarcaCilindro' AND upper(lo.nombre) = upper('"&amp;SUBSTITUTE(TRIM(R227),"'","''")&amp;"') AND lo.estado = 1 LIMIT 1)")&amp;", p_id_organo_inspector =&gt; "&amp;IF(TRIM(S227&amp;"")="","NULL","(SELECT lo.id FROM gen_lista_opciones lo JOIN gen_lista l ON l.id = lo.id_lista WHERE l.nombre = 'OrganoInspectorCilindro' AND upper(lo.nombre) = upper('"&amp;SUBSTITUTE(TRIM(S227),"'","''")&amp;"') AND lo.estado = 1 LIMIT 1)")&amp;", p_organo_inspector_no_aplica =&gt; "&amp;IF(S227="NO_APLICA","TRUE","FALSE")&amp;", p_presion_actual =&gt; "&amp;IF(T227&amp;""="","NULL",SUBSTITUTE(T227&amp;"",",","."))&amp;", p_tipo_valvula =&gt; "&amp;IF(TRIM(U227&amp;"")="","NULL","'"&amp;SUBSTITUTE(TRIM(U227),"'","''")&amp;"'")&amp;", p_libro_cilindro =&gt; "&amp;IF(TRIM(V227&amp;"")="","NULL","'"&amp;SUBSTITUTE(TRIM(V227),"'","''")&amp;"'")&amp;", p_pagina_libro =&gt; "&amp;IF(W227&amp;""="","NULL",SUBSTITUTE(W227&amp;"",",","."))&amp;", p_observacion =&gt; "&amp;IF(TRIM(X227&amp;"")="","NULL","'"&amp;SUBSTITUTE(TRIM(X227),"'","''")&amp;"'")&amp;") AS resultado_balon_"&amp;ROW()&amp;";")</f>
        <v/>
      </c>
    </row>
    <row r="228" ht="15.75" customHeight="1" s="64">
      <c r="A228" s="36" t="inlineStr">
        <is>
          <t>224</t>
        </is>
      </c>
      <c r="B228" s="25">
        <f>IF(AND(C228="",D228="",E228=""),"",IF(C228="","FALTA código balón",IF(D228="","FALTA tipo balón",IF(E228="","FALTA gas",IF(F228="","FALTA propietario",IF(AND(C228&lt;&gt;"",SUMPRODUCT(--($C$5:$C$1200=C228))&gt;1),"CÓDIGO BALÓN DUPLICADO",IF(AND(OR(UPPER(F228)="PLANTA",UPPER(F228)="CLIENTE"),G228=""),"FALTA doc propietario/planta",IF(AND(UPPER(F228)="PLANTA",G228="10175332796"),"PLANTA no puede ser RUC empresa","OK"))))))))</f>
        <v/>
      </c>
      <c r="C228" s="60" t="inlineStr">
        <is>
          <t>331161</t>
        </is>
      </c>
      <c r="D228" s="17" t="inlineStr">
        <is>
          <t>Acetileno de 6 - 7.5 kg</t>
        </is>
      </c>
      <c r="E228" s="17" t="inlineStr">
        <is>
          <t>ACETILENO ESTANDAR</t>
        </is>
      </c>
      <c r="F228" s="17" t="inlineStr">
        <is>
          <t>EMPRESA</t>
        </is>
      </c>
      <c r="G228" s="23" t="inlineStr">
        <is>
          <t>10175332796</t>
        </is>
      </c>
      <c r="H228" s="25">
        <f t="array" ref="H228">IF(G228="","",IFERROR(IF(INDEX(Clientes!$D$5:$D$549,MATCH(G228,Clientes!$C$5:$C$549,0))&lt;&gt;"",INDEX(Clientes!$D$5:$D$549,MATCH(G228,Clientes!$C$5:$C$549,0)),TRIM(INDEX(Clientes!$E$5:$E$549,MATCH(G228,Clientes!$C$5:$C$549,0))&amp;" "&amp;INDEX(Clientes!$F$5:$F$549,MATCH(G228,Clientes!$C$5:$C$549,0)))),"NO EXISTE en Clientes"))</f>
        <v/>
      </c>
      <c r="I228" s="17" t="inlineStr">
        <is>
          <t>EN_PODER_CLIENTE</t>
        </is>
      </c>
      <c r="J228" s="17" t="n"/>
      <c r="K228" s="23" t="inlineStr">
        <is>
          <t>20144364059</t>
        </is>
      </c>
      <c r="L228" s="25">
        <f t="array" ref="L228">IF(K228="","",IFERROR(IF(INDEX(Clientes!$D$5:$D$549,MATCH(K228,Clientes!$C$5:$C$549,0))&lt;&gt;"",INDEX(Clientes!$D$5:$D$549,MATCH(K228,Clientes!$C$5:$C$549,0)),TRIM(INDEX(Clientes!$E$5:$E$549,MATCH(K228,Clientes!$C$5:$C$549,0))&amp;" "&amp;INDEX(Clientes!$F$5:$F$549,MATCH(K228,Clientes!$C$5:$C$549,0)))),"NO EXISTE en Clientes"))</f>
        <v/>
      </c>
      <c r="M228" s="17" t="n"/>
      <c r="N228" s="17" t="n"/>
      <c r="O228" s="42" t="n"/>
      <c r="P228" s="39">
        <f>IF(O228&lt;&gt;"",DATE(YEAR(O228)+5,MONTH(O228),1),IF(AND(M228&lt;&gt;"",N228&lt;&gt;""),DATE(M228+5,N228,1),""))</f>
        <v/>
      </c>
      <c r="Q228" s="23" t="n"/>
      <c r="R228" s="17" t="n"/>
      <c r="S228" s="17" t="n"/>
      <c r="T228" s="17" t="n"/>
      <c r="U228" s="17" t="n"/>
      <c r="V228" s="23" t="n"/>
      <c r="W228" s="17" t="n"/>
      <c r="X228" s="17" t="n"/>
      <c r="Y228" s="28">
        <f>IF(B228&lt;&gt;"OK","","SELECT bal_crear_balon(p_codigo_balon =&gt; "&amp;IF(TRIM(C228&amp;"")="","NULL","'"&amp;SUBSTITUTE(TRIM(C228),"'","''")&amp;"'")&amp;", p_id_tipo_balon =&gt; "&amp;"(SELECT id FROM bal_tipo_balon WHERE upper(nombre) = upper('"&amp;SUBSTITUTE(TRIM(D228),"'","''")&amp;"') AND estado = 1 LIMIT 1)"&amp;", p_id_producto_gas =&gt; "&amp;"(SELECT id FROM pro_producto WHERE es_gas = TRUE AND upper(nombre) = upper('"&amp;SUBSTITUTE(TRIM(E228),"'","''")&amp;"') AND estado = 1 LIMIT 1)"&amp;", p_id_propietario =&gt; "&amp;IF(TRIM(F228&amp;"")="","NULL","(SELECT lo.id FROM gen_lista_opciones lo JOIN gen_lista l ON l.id = lo.id_lista WHERE l.nombre = 'PropietarioBalon' AND upper(lo.nombre) = upper('"&amp;SUBSTITUTE(TRIM(F228),"'","''")&amp;"') AND lo.estado = 1 LIMIT 1)")&amp;", p_id_cliente_propietario =&gt; "&amp;IF(F228="CLIENTE",IF(TRIM(G228&amp;"")="","NULL","(SELECT id FROM cli_clientes WHERE numero_documento = '"&amp;SUBSTITUTE(TRIM(G228),"'","''")&amp;"' AND estado = 1 LIMIT 1)"),"NULL")&amp;", p_id_planta =&gt; "&amp;IF(F228="PLANTA",IF(TRIM(G228&amp;"")="","NULL","(SELECT id FROM cli_clientes WHERE numero_documento = '"&amp;SUBSTITUTE(TRIM(G228),"'","''")&amp;"'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"&amp;IF(TRIM(J228&amp;"")="","NULL","(SELECT id FROM gen_almacen WHERE upper(nombre) = upper('"&amp;SUBSTITUTE(TRIM(J228),"'","''")&amp;"') AND estado = 1 LIMIT 1)")&amp;", p_id_cliente_ubicacion =&gt; "&amp;IF(TRIM(K228&amp;"")="","NULL","(SELECT id FROM cli_clientes WHERE numero_documento = '"&amp;SUBSTITUTE(TRIM(K228),"'","''")&amp;"' AND estado = 1 LIMIT 1)")&amp;", p_id_referencia =&gt; "&amp;IF(TRIM(J228&amp;"")&lt;&gt;"","(SELECT lo.id FROM gen_lista_opciones lo JOIN gen_lista l ON l.id = lo.id_lista WHERE l.nombre = 'ReferenciaCilindro' AND upper(lo.nombre) = 'ALMACEN' AND lo.estado = 1 LIMIT 1)",IF(TRIM(K228&amp;"")&lt;&gt;"","(SELECT lo.id FROM gen_lista_opciones lo JOIN gen_lista l ON l.id = lo.id_lista WHERE l.nombre = 'ReferenciaCilindro' AND upper(lo.nombre) = 'CLIENTE' AND lo.estado = 1 LIMIT 1)","NULL"))&amp;", p_anio_fabricacion =&gt; "&amp;IF(M228&amp;""="","NULL::smallint",M228&amp;"::smallint")&amp;", p_mes_fabricacion =&gt; "&amp;IF(N228&amp;""="","NULL::smallint",N228&amp;"::smallint")&amp;", p_fecha_ultima_prueba_hidrostatica =&gt; "&amp;IF(O228&amp;""="","NULL","'"&amp;YEAR(O228)&amp;"-"&amp;TEXT(MONTH(O228),"00")&amp;"-"&amp;TEXT(DAY(O228),"00")&amp;"'")&amp;", p_numero_serie =&gt; "&amp;IF(TRIM(Q228&amp;"")="","NULL","'"&amp;SUBSTITUTE(TRIM(Q228),"'","''")&amp;"'")&amp;", p_id_marca_cilindro =&gt; "&amp;IF(TRIM(R228&amp;"")="","NULL","(SELECT lo.id FROM gen_lista_opciones lo JOIN gen_lista l ON l.id = lo.id_lista WHERE l.nombre = 'MarcaCilindro' AND upper(lo.nombre) = upper('"&amp;SUBSTITUTE(TRIM(R228),"'","''")&amp;"') AND lo.estado = 1 LIMIT 1)")&amp;", p_id_organo_inspector =&gt; "&amp;IF(TRIM(S228&amp;"")="","NULL","(SELECT lo.id FROM gen_lista_opciones lo JOIN gen_lista l ON l.id = lo.id_lista WHERE l.nombre = 'OrganoInspectorCilindro' AND upper(lo.nombre) = upper('"&amp;SUBSTITUTE(TRIM(S228),"'","''")&amp;"') AND lo.estado = 1 LIMIT 1)")&amp;", p_organo_inspector_no_aplica =&gt; "&amp;IF(S228="NO_APLICA","TRUE","FALSE")&amp;", p_presion_actual =&gt; "&amp;IF(T228&amp;""="","NULL",SUBSTITUTE(T228&amp;"",",","."))&amp;", p_tipo_valvula =&gt; "&amp;IF(TRIM(U228&amp;"")="","NULL","'"&amp;SUBSTITUTE(TRIM(U228),"'","''")&amp;"'")&amp;", p_libro_cilindro =&gt; "&amp;IF(TRIM(V228&amp;"")="","NULL","'"&amp;SUBSTITUTE(TRIM(V228),"'","''")&amp;"'")&amp;", p_pagina_libro =&gt; "&amp;IF(W228&amp;""="","NULL",SUBSTITUTE(W228&amp;"",",","."))&amp;", p_observacion =&gt; "&amp;IF(TRIM(X228&amp;"")="","NULL","'"&amp;SUBSTITUTE(TRIM(X228),"'","''")&amp;"'")&amp;") AS resultado_balon_"&amp;ROW()&amp;";")</f>
        <v/>
      </c>
    </row>
    <row r="229" ht="15.75" customHeight="1" s="64">
      <c r="A229" s="36" t="inlineStr">
        <is>
          <t>225</t>
        </is>
      </c>
      <c r="B229" s="25">
        <f>IF(AND(C229="",D229="",E229=""),"",IF(C229="","FALTA código balón",IF(D229="","FALTA tipo balón",IF(E229="","FALTA gas",IF(F229="","FALTA propietario",IF(AND(C229&lt;&gt;"",SUMPRODUCT(--($C$5:$C$1200=C229))&gt;1),"CÓDIGO BALÓN DUPLICADO",IF(AND(OR(UPPER(F229)="PLANTA",UPPER(F229)="CLIENTE"),G229=""),"FALTA doc propietario/planta",IF(AND(UPPER(F229)="PLANTA",G229="10175332796"),"PLANTA no puede ser RUC empresa","OK"))))))))</f>
        <v/>
      </c>
      <c r="C229" s="60" t="inlineStr">
        <is>
          <t>0213336</t>
        </is>
      </c>
      <c r="D229" s="17" t="inlineStr">
        <is>
          <t>Acetileno de 6 - 7.5 kg</t>
        </is>
      </c>
      <c r="E229" s="17" t="inlineStr">
        <is>
          <t>ACETILENO ESTANDAR</t>
        </is>
      </c>
      <c r="F229" s="17" t="inlineStr">
        <is>
          <t>EMPRESA</t>
        </is>
      </c>
      <c r="G229" s="23" t="inlineStr">
        <is>
          <t>10175332796</t>
        </is>
      </c>
      <c r="H229" s="25">
        <f t="array" ref="H229">IF(G229="","",IFERROR(IF(INDEX(Clientes!$D$5:$D$549,MATCH(G229,Clientes!$C$5:$C$549,0))&lt;&gt;"",INDEX(Clientes!$D$5:$D$549,MATCH(G229,Clientes!$C$5:$C$549,0)),TRIM(INDEX(Clientes!$E$5:$E$549,MATCH(G229,Clientes!$C$5:$C$549,0))&amp;" "&amp;INDEX(Clientes!$F$5:$F$549,MATCH(G229,Clientes!$C$5:$C$549,0)))),"NO EXISTE en Clientes"))</f>
        <v/>
      </c>
      <c r="I229" s="17" t="inlineStr">
        <is>
          <t>EN_PODER_CLIENTE</t>
        </is>
      </c>
      <c r="J229" s="17" t="n"/>
      <c r="K229" s="23" t="inlineStr">
        <is>
          <t>10190310839</t>
        </is>
      </c>
      <c r="L229" s="25">
        <f t="array" ref="L229">IF(K229="","",IFERROR(IF(INDEX(Clientes!$D$5:$D$549,MATCH(K229,Clientes!$C$5:$C$549,0))&lt;&gt;"",INDEX(Clientes!$D$5:$D$549,MATCH(K229,Clientes!$C$5:$C$549,0)),TRIM(INDEX(Clientes!$E$5:$E$549,MATCH(K229,Clientes!$C$5:$C$549,0))&amp;" "&amp;INDEX(Clientes!$F$5:$F$549,MATCH(K229,Clientes!$C$5:$C$549,0)))),"NO EXISTE en Clientes"))</f>
        <v/>
      </c>
      <c r="M229" s="17" t="n"/>
      <c r="N229" s="17" t="n"/>
      <c r="O229" s="42" t="n"/>
      <c r="P229" s="39">
        <f>IF(O229&lt;&gt;"",DATE(YEAR(O229)+5,MONTH(O229),1),IF(AND(M229&lt;&gt;"",N229&lt;&gt;""),DATE(M229+5,N229,1),""))</f>
        <v/>
      </c>
      <c r="Q229" s="23" t="n"/>
      <c r="R229" s="17" t="n"/>
      <c r="S229" s="17" t="n"/>
      <c r="T229" s="17" t="n"/>
      <c r="U229" s="17" t="n"/>
      <c r="V229" s="23" t="n"/>
      <c r="W229" s="17" t="n"/>
      <c r="X229" s="17" t="n"/>
      <c r="Y229" s="28">
        <f>IF(B229&lt;&gt;"OK","","SELECT bal_crear_balon(p_codigo_balon =&gt; "&amp;IF(TRIM(C229&amp;"")="","NULL","'"&amp;SUBSTITUTE(TRIM(C229),"'","''")&amp;"'")&amp;", p_id_tipo_balon =&gt; "&amp;"(SELECT id FROM bal_tipo_balon WHERE upper(nombre) = upper('"&amp;SUBSTITUTE(TRIM(D229),"'","''")&amp;"') AND estado = 1 LIMIT 1)"&amp;", p_id_producto_gas =&gt; "&amp;"(SELECT id FROM pro_producto WHERE es_gas = TRUE AND upper(nombre) = upper('"&amp;SUBSTITUTE(TRIM(E229),"'","''")&amp;"') AND estado = 1 LIMIT 1)"&amp;", p_id_propietario =&gt; "&amp;IF(TRIM(F229&amp;"")="","NULL","(SELECT lo.id FROM gen_lista_opciones lo JOIN gen_lista l ON l.id = lo.id_lista WHERE l.nombre = 'PropietarioBalon' AND upper(lo.nombre) = upper('"&amp;SUBSTITUTE(TRIM(F229),"'","''")&amp;"') AND lo.estado = 1 LIMIT 1)")&amp;", p_id_cliente_propietario =&gt; "&amp;IF(F229="CLIENTE",IF(TRIM(G229&amp;"")="","NULL","(SELECT id FROM cli_clientes WHERE numero_documento = '"&amp;SUBSTITUTE(TRIM(G229),"'","''")&amp;"' AND estado = 1 LIMIT 1)"),"NULL")&amp;", p_id_planta =&gt; "&amp;IF(F229="PLANTA",IF(TRIM(G229&amp;"")="","NULL","(SELECT id FROM cli_clientes WHERE numero_documento = '"&amp;SUBSTITUTE(TRIM(G229),"'","''")&amp;"'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"&amp;IF(TRIM(J229&amp;"")="","NULL","(SELECT id FROM gen_almacen WHERE upper(nombre) = upper('"&amp;SUBSTITUTE(TRIM(J229),"'","''")&amp;"') AND estado = 1 LIMIT 1)")&amp;", p_id_cliente_ubicacion =&gt; "&amp;IF(TRIM(K229&amp;"")="","NULL","(SELECT id FROM cli_clientes WHERE numero_documento = '"&amp;SUBSTITUTE(TRIM(K229),"'","''")&amp;"' AND estado = 1 LIMIT 1)")&amp;", p_id_referencia =&gt; "&amp;IF(TRIM(J229&amp;"")&lt;&gt;"","(SELECT lo.id FROM gen_lista_opciones lo JOIN gen_lista l ON l.id = lo.id_lista WHERE l.nombre = 'ReferenciaCilindro' AND upper(lo.nombre) = 'ALMACEN' AND lo.estado = 1 LIMIT 1)",IF(TRIM(K229&amp;"")&lt;&gt;"","(SELECT lo.id FROM gen_lista_opciones lo JOIN gen_lista l ON l.id = lo.id_lista WHERE l.nombre = 'ReferenciaCilindro' AND upper(lo.nombre) = 'CLIENTE' AND lo.estado = 1 LIMIT 1)","NULL"))&amp;", p_anio_fabricacion =&gt; "&amp;IF(M229&amp;""="","NULL::smallint",M229&amp;"::smallint")&amp;", p_mes_fabricacion =&gt; "&amp;IF(N229&amp;""="","NULL::smallint",N229&amp;"::smallint")&amp;", p_fecha_ultima_prueba_hidrostatica =&gt; "&amp;IF(O229&amp;""="","NULL","'"&amp;YEAR(O229)&amp;"-"&amp;TEXT(MONTH(O229),"00")&amp;"-"&amp;TEXT(DAY(O229),"00")&amp;"'")&amp;", p_numero_serie =&gt; "&amp;IF(TRIM(Q229&amp;"")="","NULL","'"&amp;SUBSTITUTE(TRIM(Q229),"'","''")&amp;"'")&amp;", p_id_marca_cilindro =&gt; "&amp;IF(TRIM(R229&amp;"")="","NULL","(SELECT lo.id FROM gen_lista_opciones lo JOIN gen_lista l ON l.id = lo.id_lista WHERE l.nombre = 'MarcaCilindro' AND upper(lo.nombre) = upper('"&amp;SUBSTITUTE(TRIM(R229),"'","''")&amp;"') AND lo.estado = 1 LIMIT 1)")&amp;", p_id_organo_inspector =&gt; "&amp;IF(TRIM(S229&amp;"")="","NULL","(SELECT lo.id FROM gen_lista_opciones lo JOIN gen_lista l ON l.id = lo.id_lista WHERE l.nombre = 'OrganoInspectorCilindro' AND upper(lo.nombre) = upper('"&amp;SUBSTITUTE(TRIM(S229),"'","''")&amp;"') AND lo.estado = 1 LIMIT 1)")&amp;", p_organo_inspector_no_aplica =&gt; "&amp;IF(S229="NO_APLICA","TRUE","FALSE")&amp;", p_presion_actual =&gt; "&amp;IF(T229&amp;""="","NULL",SUBSTITUTE(T229&amp;"",",","."))&amp;", p_tipo_valvula =&gt; "&amp;IF(TRIM(U229&amp;"")="","NULL","'"&amp;SUBSTITUTE(TRIM(U229),"'","''")&amp;"'")&amp;", p_libro_cilindro =&gt; "&amp;IF(TRIM(V229&amp;"")="","NULL","'"&amp;SUBSTITUTE(TRIM(V229),"'","''")&amp;"'")&amp;", p_pagina_libro =&gt; "&amp;IF(W229&amp;""="","NULL",SUBSTITUTE(W229&amp;"",",","."))&amp;", p_observacion =&gt; "&amp;IF(TRIM(X229&amp;"")="","NULL","'"&amp;SUBSTITUTE(TRIM(X229),"'","''")&amp;"'")&amp;") AS resultado_balon_"&amp;ROW()&amp;";")</f>
        <v/>
      </c>
    </row>
    <row r="230" ht="13.5" customHeight="1" s="64">
      <c r="A230" s="36" t="inlineStr">
        <is>
          <t>226</t>
        </is>
      </c>
      <c r="B230" s="25">
        <f>IF(AND(C230="",D230="",E230=""),"",IF(C230="","FALTA código balón",IF(D230="","FALTA tipo balón",IF(E230="","FALTA gas",IF(F230="","FALTA propietario",IF(AND(C230&lt;&gt;"",SUMPRODUCT(--($C$5:$C$1200=C230))&gt;1),"CÓDIGO BALÓN DUPLICADO",IF(AND(OR(UPPER(F230)="PLANTA",UPPER(F230)="CLIENTE"),G230=""),"FALTA doc propietario/planta",IF(AND(UPPER(F230)="PLANTA",G230="10175332796"),"PLANTA no puede ser RUC empresa","OK"))))))))</f>
        <v/>
      </c>
      <c r="C230" s="60" t="inlineStr">
        <is>
          <t>673384</t>
        </is>
      </c>
      <c r="D230" s="17" t="inlineStr">
        <is>
          <t>Acetileno de 7 - 9 kg</t>
        </is>
      </c>
      <c r="E230" s="17" t="inlineStr">
        <is>
          <t>ACETILENO ESTANDAR</t>
        </is>
      </c>
      <c r="F230" s="17" t="inlineStr">
        <is>
          <t>EMPRESA</t>
        </is>
      </c>
      <c r="G230" s="23" t="inlineStr">
        <is>
          <t>10175332796</t>
        </is>
      </c>
      <c r="H230" s="25">
        <f t="array" ref="H230">IF(G230="","",IFERROR(IF(INDEX(Clientes!$D$5:$D$549,MATCH(G230,Clientes!$C$5:$C$549,0))&lt;&gt;"",INDEX(Clientes!$D$5:$D$549,MATCH(G230,Clientes!$C$5:$C$549,0)),TRIM(INDEX(Clientes!$E$5:$E$549,MATCH(G230,Clientes!$C$5:$C$549,0))&amp;" "&amp;INDEX(Clientes!$F$5:$F$549,MATCH(G230,Clientes!$C$5:$C$549,0)))),"NO EXISTE en Clientes"))</f>
        <v/>
      </c>
      <c r="I230" s="17" t="inlineStr">
        <is>
          <t>EN_PODER_CLIENTE</t>
        </is>
      </c>
      <c r="J230" s="17" t="n"/>
      <c r="K230" s="23" t="inlineStr">
        <is>
          <t>20103448591</t>
        </is>
      </c>
      <c r="L230" s="25">
        <f t="array" ref="L230">IF(K230="","",IFERROR(IF(INDEX(Clientes!$D$5:$D$549,MATCH(K230,Clientes!$C$5:$C$549,0))&lt;&gt;"",INDEX(Clientes!$D$5:$D$549,MATCH(K230,Clientes!$C$5:$C$549,0)),TRIM(INDEX(Clientes!$E$5:$E$549,MATCH(K230,Clientes!$C$5:$C$549,0))&amp;" "&amp;INDEX(Clientes!$F$5:$F$549,MATCH(K230,Clientes!$C$5:$C$549,0)))),"NO EXISTE en Clientes"))</f>
        <v/>
      </c>
      <c r="M230" s="17" t="n"/>
      <c r="N230" s="17" t="n"/>
      <c r="O230" s="42" t="n"/>
      <c r="P230" s="39">
        <f>IF(O230&lt;&gt;"",DATE(YEAR(O230)+5,MONTH(O230),1),IF(AND(M230&lt;&gt;"",N230&lt;&gt;""),DATE(M230+5,N230,1),""))</f>
        <v/>
      </c>
      <c r="Q230" s="23" t="n"/>
      <c r="R230" s="17" t="n"/>
      <c r="S230" s="17" t="n"/>
      <c r="T230" s="17" t="n"/>
      <c r="U230" s="17" t="n"/>
      <c r="V230" s="23" t="n"/>
      <c r="W230" s="17" t="n"/>
      <c r="X230" s="17" t="n"/>
      <c r="Y230" s="28">
        <f>IF(B230&lt;&gt;"OK","","SELECT bal_crear_balon(p_codigo_balon =&gt; "&amp;IF(TRIM(C230&amp;"")="","NULL","'"&amp;SUBSTITUTE(TRIM(C230),"'","''")&amp;"'")&amp;", p_id_tipo_balon =&gt; "&amp;"(SELECT id FROM bal_tipo_balon WHERE upper(nombre) = upper('"&amp;SUBSTITUTE(TRIM(D230),"'","''")&amp;"') AND estado = 1 LIMIT 1)"&amp;", p_id_producto_gas =&gt; "&amp;"(SELECT id FROM pro_producto WHERE es_gas = TRUE AND upper(nombre) = upper('"&amp;SUBSTITUTE(TRIM(E230),"'","''")&amp;"') AND estado = 1 LIMIT 1)"&amp;", p_id_propietario =&gt; "&amp;IF(TRIM(F230&amp;"")="","NULL","(SELECT lo.id FROM gen_lista_opciones lo JOIN gen_lista l ON l.id = lo.id_lista WHERE l.nombre = 'PropietarioBalon' AND upper(lo.nombre) = upper('"&amp;SUBSTITUTE(TRIM(F230),"'","''")&amp;"') AND lo.estado = 1 LIMIT 1)")&amp;", p_id_cliente_propietario =&gt; "&amp;IF(F230="CLIENTE",IF(TRIM(G230&amp;"")="","NULL","(SELECT id FROM cli_clientes WHERE numero_documento = '"&amp;SUBSTITUTE(TRIM(G230),"'","''")&amp;"' AND estado = 1 LIMIT 1)"),"NULL")&amp;", p_id_planta =&gt; "&amp;IF(F230="PLANTA",IF(TRIM(G230&amp;"")="","NULL","(SELECT id FROM cli_clientes WHERE numero_documento = '"&amp;SUBSTITUTE(TRIM(G230),"'","''")&amp;"'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"&amp;IF(TRIM(J230&amp;"")="","NULL","(SELECT id FROM gen_almacen WHERE upper(nombre) = upper('"&amp;SUBSTITUTE(TRIM(J230),"'","''")&amp;"') AND estado = 1 LIMIT 1)")&amp;", p_id_cliente_ubicacion =&gt; "&amp;IF(TRIM(K230&amp;"")="","NULL","(SELECT id FROM cli_clientes WHERE numero_documento = '"&amp;SUBSTITUTE(TRIM(K230),"'","''")&amp;"' AND estado = 1 LIMIT 1)")&amp;", p_id_referencia =&gt; "&amp;IF(TRIM(J230&amp;"")&lt;&gt;"","(SELECT lo.id FROM gen_lista_opciones lo JOIN gen_lista l ON l.id = lo.id_lista WHERE l.nombre = 'ReferenciaCilindro' AND upper(lo.nombre) = 'ALMACEN' AND lo.estado = 1 LIMIT 1)",IF(TRIM(K230&amp;"")&lt;&gt;"","(SELECT lo.id FROM gen_lista_opciones lo JOIN gen_lista l ON l.id = lo.id_lista WHERE l.nombre = 'ReferenciaCilindro' AND upper(lo.nombre) = 'CLIENTE' AND lo.estado = 1 LIMIT 1)","NULL"))&amp;", p_anio_fabricacion =&gt; "&amp;IF(M230&amp;""="","NULL::smallint",M230&amp;"::smallint")&amp;", p_mes_fabricacion =&gt; "&amp;IF(N230&amp;""="","NULL::smallint",N230&amp;"::smallint")&amp;", p_fecha_ultima_prueba_hidrostatica =&gt; "&amp;IF(O230&amp;""="","NULL","'"&amp;YEAR(O230)&amp;"-"&amp;TEXT(MONTH(O230),"00")&amp;"-"&amp;TEXT(DAY(O230),"00")&amp;"'")&amp;", p_numero_serie =&gt; "&amp;IF(TRIM(Q230&amp;"")="","NULL","'"&amp;SUBSTITUTE(TRIM(Q230),"'","''")&amp;"'")&amp;", p_id_marca_cilindro =&gt; "&amp;IF(TRIM(R230&amp;"")="","NULL","(SELECT lo.id FROM gen_lista_opciones lo JOIN gen_lista l ON l.id = lo.id_lista WHERE l.nombre = 'MarcaCilindro' AND upper(lo.nombre) = upper('"&amp;SUBSTITUTE(TRIM(R230),"'","''")&amp;"') AND lo.estado = 1 LIMIT 1)")&amp;", p_id_organo_inspector =&gt; "&amp;IF(TRIM(S230&amp;"")="","NULL","(SELECT lo.id FROM gen_lista_opciones lo JOIN gen_lista l ON l.id = lo.id_lista WHERE l.nombre = 'OrganoInspectorCilindro' AND upper(lo.nombre) = upper('"&amp;SUBSTITUTE(TRIM(S230),"'","''")&amp;"') AND lo.estado = 1 LIMIT 1)")&amp;", p_organo_inspector_no_aplica =&gt; "&amp;IF(S230="NO_APLICA","TRUE","FALSE")&amp;", p_presion_actual =&gt; "&amp;IF(T230&amp;""="","NULL",SUBSTITUTE(T230&amp;"",",","."))&amp;", p_tipo_valvula =&gt; "&amp;IF(TRIM(U230&amp;"")="","NULL","'"&amp;SUBSTITUTE(TRIM(U230),"'","''")&amp;"'")&amp;", p_libro_cilindro =&gt; "&amp;IF(TRIM(V230&amp;"")="","NULL","'"&amp;SUBSTITUTE(TRIM(V230),"'","''")&amp;"'")&amp;", p_pagina_libro =&gt; "&amp;IF(W230&amp;""="","NULL",SUBSTITUTE(W230&amp;"",",","."))&amp;", p_observacion =&gt; "&amp;IF(TRIM(X230&amp;"")="","NULL","'"&amp;SUBSTITUTE(TRIM(X230),"'","''")&amp;"'")&amp;") AS resultado_balon_"&amp;ROW()&amp;";")</f>
        <v/>
      </c>
    </row>
    <row r="231" ht="15.75" customHeight="1" s="64">
      <c r="A231" s="36" t="inlineStr">
        <is>
          <t>227</t>
        </is>
      </c>
      <c r="B231" s="25">
        <f>IF(AND(C231="",D231="",E231=""),"",IF(C231="","FALTA código balón",IF(D231="","FALTA tipo balón",IF(E231="","FALTA gas",IF(F231="","FALTA propietario",IF(AND(C231&lt;&gt;"",SUMPRODUCT(--($C$5:$C$1200=C231))&gt;1),"CÓDIGO BALÓN DUPLICADO",IF(AND(OR(UPPER(F231)="PLANTA",UPPER(F231)="CLIENTE"),G231=""),"FALTA doc propietario/planta",IF(AND(UPPER(F231)="PLANTA",G231="10175332796"),"PLANTA no puede ser RUC empresa","OK"))))))))</f>
        <v/>
      </c>
      <c r="C231" s="60" t="inlineStr">
        <is>
          <t>666062</t>
        </is>
      </c>
      <c r="D231" s="17" t="inlineStr">
        <is>
          <t>Acetileno de 7 - 9 kg</t>
        </is>
      </c>
      <c r="E231" s="17" t="inlineStr">
        <is>
          <t>ACETILENO ESTANDAR</t>
        </is>
      </c>
      <c r="F231" s="17" t="inlineStr">
        <is>
          <t>EMPRESA</t>
        </is>
      </c>
      <c r="G231" s="23" t="inlineStr">
        <is>
          <t>10175332796</t>
        </is>
      </c>
      <c r="H231" s="25">
        <f t="array" ref="H231">IF(G231="","",IFERROR(IF(INDEX(Clientes!$D$5:$D$549,MATCH(G231,Clientes!$C$5:$C$549,0))&lt;&gt;"",INDEX(Clientes!$D$5:$D$549,MATCH(G231,Clientes!$C$5:$C$549,0)),TRIM(INDEX(Clientes!$E$5:$E$549,MATCH(G231,Clientes!$C$5:$C$549,0))&amp;" "&amp;INDEX(Clientes!$F$5:$F$549,MATCH(G231,Clientes!$C$5:$C$549,0)))),"NO EXISTE en Clientes"))</f>
        <v/>
      </c>
      <c r="I231" s="17" t="inlineStr">
        <is>
          <t>EN_PODER_CLIENTE</t>
        </is>
      </c>
      <c r="J231" s="17" t="n"/>
      <c r="K231" s="23" t="inlineStr">
        <is>
          <t>20526140151</t>
        </is>
      </c>
      <c r="L231" s="25">
        <f t="array" ref="L231">IF(K231="","",IFERROR(IF(INDEX(Clientes!$D$5:$D$549,MATCH(K231,Clientes!$C$5:$C$549,0))&lt;&gt;"",INDEX(Clientes!$D$5:$D$549,MATCH(K231,Clientes!$C$5:$C$549,0)),TRIM(INDEX(Clientes!$E$5:$E$549,MATCH(K231,Clientes!$C$5:$C$549,0))&amp;" "&amp;INDEX(Clientes!$F$5:$F$549,MATCH(K231,Clientes!$C$5:$C$549,0)))),"NO EXISTE en Clientes"))</f>
        <v/>
      </c>
      <c r="M231" s="17" t="n"/>
      <c r="N231" s="17" t="n"/>
      <c r="O231" s="42" t="n"/>
      <c r="P231" s="39">
        <f>IF(O231&lt;&gt;"",DATE(YEAR(O231)+5,MONTH(O231),1),IF(AND(M231&lt;&gt;"",N231&lt;&gt;""),DATE(M231+5,N231,1),""))</f>
        <v/>
      </c>
      <c r="Q231" s="23" t="n"/>
      <c r="R231" s="17" t="n"/>
      <c r="S231" s="17" t="n"/>
      <c r="T231" s="17" t="n"/>
      <c r="U231" s="17" t="n"/>
      <c r="V231" s="23" t="n"/>
      <c r="W231" s="17" t="n"/>
      <c r="X231" s="17" t="n"/>
      <c r="Y231" s="28">
        <f>IF(B231&lt;&gt;"OK","","SELECT bal_crear_balon(p_codigo_balon =&gt; "&amp;IF(TRIM(C231&amp;"")="","NULL","'"&amp;SUBSTITUTE(TRIM(C231),"'","''")&amp;"'")&amp;", p_id_tipo_balon =&gt; "&amp;"(SELECT id FROM bal_tipo_balon WHERE upper(nombre) = upper('"&amp;SUBSTITUTE(TRIM(D231),"'","''")&amp;"') AND estado = 1 LIMIT 1)"&amp;", p_id_producto_gas =&gt; "&amp;"(SELECT id FROM pro_producto WHERE es_gas = TRUE AND upper(nombre) = upper('"&amp;SUBSTITUTE(TRIM(E231),"'","''")&amp;"') AND estado = 1 LIMIT 1)"&amp;", p_id_propietario =&gt; "&amp;IF(TRIM(F231&amp;"")="","NULL","(SELECT lo.id FROM gen_lista_opciones lo JOIN gen_lista l ON l.id = lo.id_lista WHERE l.nombre = 'PropietarioBalon' AND upper(lo.nombre) = upper('"&amp;SUBSTITUTE(TRIM(F231),"'","''")&amp;"') AND lo.estado = 1 LIMIT 1)")&amp;", p_id_cliente_propietario =&gt; "&amp;IF(F231="CLIENTE",IF(TRIM(G231&amp;"")="","NULL","(SELECT id FROM cli_clientes WHERE numero_documento = '"&amp;SUBSTITUTE(TRIM(G231),"'","''")&amp;"' AND estado = 1 LIMIT 1)"),"NULL")&amp;", p_id_planta =&gt; "&amp;IF(F231="PLANTA",IF(TRIM(G231&amp;"")="","NULL","(SELECT id FROM cli_clientes WHERE numero_documento = '"&amp;SUBSTITUTE(TRIM(G231),"'","''")&amp;"'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"&amp;IF(TRIM(J231&amp;"")="","NULL","(SELECT id FROM gen_almacen WHERE upper(nombre) = upper('"&amp;SUBSTITUTE(TRIM(J231),"'","''")&amp;"') AND estado = 1 LIMIT 1)")&amp;", p_id_cliente_ubicacion =&gt; "&amp;IF(TRIM(K231&amp;"")="","NULL","(SELECT id FROM cli_clientes WHERE numero_documento = '"&amp;SUBSTITUTE(TRIM(K231),"'","''")&amp;"' AND estado = 1 LIMIT 1)")&amp;", p_id_referencia =&gt; "&amp;IF(TRIM(J231&amp;"")&lt;&gt;"","(SELECT lo.id FROM gen_lista_opciones lo JOIN gen_lista l ON l.id = lo.id_lista WHERE l.nombre = 'ReferenciaCilindro' AND upper(lo.nombre) = 'ALMACEN' AND lo.estado = 1 LIMIT 1)",IF(TRIM(K231&amp;"")&lt;&gt;"","(SELECT lo.id FROM gen_lista_opciones lo JOIN gen_lista l ON l.id = lo.id_lista WHERE l.nombre = 'ReferenciaCilindro' AND upper(lo.nombre) = 'CLIENTE' AND lo.estado = 1 LIMIT 1)","NULL"))&amp;", p_anio_fabricacion =&gt; "&amp;IF(M231&amp;""="","NULL::smallint",M231&amp;"::smallint")&amp;", p_mes_fabricacion =&gt; "&amp;IF(N231&amp;""="","NULL::smallint",N231&amp;"::smallint")&amp;", p_fecha_ultima_prueba_hidrostatica =&gt; "&amp;IF(O231&amp;""="","NULL","'"&amp;YEAR(O231)&amp;"-"&amp;TEXT(MONTH(O231),"00")&amp;"-"&amp;TEXT(DAY(O231),"00")&amp;"'")&amp;", p_numero_serie =&gt; "&amp;IF(TRIM(Q231&amp;"")="","NULL","'"&amp;SUBSTITUTE(TRIM(Q231),"'","''")&amp;"'")&amp;", p_id_marca_cilindro =&gt; "&amp;IF(TRIM(R231&amp;"")="","NULL","(SELECT lo.id FROM gen_lista_opciones lo JOIN gen_lista l ON l.id = lo.id_lista WHERE l.nombre = 'MarcaCilindro' AND upper(lo.nombre) = upper('"&amp;SUBSTITUTE(TRIM(R231),"'","''")&amp;"') AND lo.estado = 1 LIMIT 1)")&amp;", p_id_organo_inspector =&gt; "&amp;IF(TRIM(S231&amp;"")="","NULL","(SELECT lo.id FROM gen_lista_opciones lo JOIN gen_lista l ON l.id = lo.id_lista WHERE l.nombre = 'OrganoInspectorCilindro' AND upper(lo.nombre) = upper('"&amp;SUBSTITUTE(TRIM(S231),"'","''")&amp;"') AND lo.estado = 1 LIMIT 1)")&amp;", p_organo_inspector_no_aplica =&gt; "&amp;IF(S231="NO_APLICA","TRUE","FALSE")&amp;", p_presion_actual =&gt; "&amp;IF(T231&amp;""="","NULL",SUBSTITUTE(T231&amp;"",",","."))&amp;", p_tipo_valvula =&gt; "&amp;IF(TRIM(U231&amp;"")="","NULL","'"&amp;SUBSTITUTE(TRIM(U231),"'","''")&amp;"'")&amp;", p_libro_cilindro =&gt; "&amp;IF(TRIM(V231&amp;"")="","NULL","'"&amp;SUBSTITUTE(TRIM(V231),"'","''")&amp;"'")&amp;", p_pagina_libro =&gt; "&amp;IF(W231&amp;""="","NULL",SUBSTITUTE(W231&amp;"",",","."))&amp;", p_observacion =&gt; "&amp;IF(TRIM(X231&amp;"")="","NULL","'"&amp;SUBSTITUTE(TRIM(X231),"'","''")&amp;"'")&amp;") AS resultado_balon_"&amp;ROW()&amp;";")</f>
        <v/>
      </c>
    </row>
    <row r="232" ht="15.75" customHeight="1" s="64">
      <c r="A232" s="36" t="inlineStr">
        <is>
          <t>228</t>
        </is>
      </c>
      <c r="B232" s="25">
        <f>IF(AND(C232="",D232="",E232=""),"",IF(C232="","FALTA código balón",IF(D232="","FALTA tipo balón",IF(E232="","FALTA gas",IF(F232="","FALTA propietario",IF(AND(C232&lt;&gt;"",SUMPRODUCT(--($C$5:$C$1200=C232))&gt;1),"CÓDIGO BALÓN DUPLICADO",IF(AND(OR(UPPER(F232)="PLANTA",UPPER(F232)="CLIENTE"),G232=""),"FALTA doc propietario/planta",IF(AND(UPPER(F232)="PLANTA",G232="10175332796"),"PLANTA no puede ser RUC empresa","OK"))))))))</f>
        <v/>
      </c>
      <c r="C232" s="60" t="inlineStr">
        <is>
          <t>21748</t>
        </is>
      </c>
      <c r="D232" s="17" t="inlineStr">
        <is>
          <t>Acetileno de 8 - 10 kg</t>
        </is>
      </c>
      <c r="E232" s="17" t="inlineStr">
        <is>
          <t>ACETILENO ESTANDAR</t>
        </is>
      </c>
      <c r="F232" s="17" t="inlineStr">
        <is>
          <t>EMPRESA</t>
        </is>
      </c>
      <c r="G232" s="23" t="inlineStr">
        <is>
          <t>10175332796</t>
        </is>
      </c>
      <c r="H232" s="25">
        <f t="array" ref="H232">IF(G232="","",IFERROR(IF(INDEX(Clientes!$D$5:$D$549,MATCH(G232,Clientes!$C$5:$C$549,0))&lt;&gt;"",INDEX(Clientes!$D$5:$D$549,MATCH(G232,Clientes!$C$5:$C$549,0)),TRIM(INDEX(Clientes!$E$5:$E$549,MATCH(G232,Clientes!$C$5:$C$549,0))&amp;" "&amp;INDEX(Clientes!$F$5:$F$549,MATCH(G232,Clientes!$C$5:$C$549,0)))),"NO EXISTE en Clientes"))</f>
        <v/>
      </c>
      <c r="I232" s="17" t="inlineStr">
        <is>
          <t>EN_PODER_CLIENTE</t>
        </is>
      </c>
      <c r="J232" s="17" t="n"/>
      <c r="K232" s="23" t="inlineStr">
        <is>
          <t>20615458440</t>
        </is>
      </c>
      <c r="L232" s="25">
        <f t="array" ref="L232">IF(K232="","",IFERROR(IF(INDEX(Clientes!$D$5:$D$549,MATCH(K232,Clientes!$C$5:$C$549,0))&lt;&gt;"",INDEX(Clientes!$D$5:$D$549,MATCH(K232,Clientes!$C$5:$C$549,0)),TRIM(INDEX(Clientes!$E$5:$E$549,MATCH(K232,Clientes!$C$5:$C$549,0))&amp;" "&amp;INDEX(Clientes!$F$5:$F$549,MATCH(K232,Clientes!$C$5:$C$549,0)))),"NO EXISTE en Clientes"))</f>
        <v/>
      </c>
      <c r="M232" s="17" t="n"/>
      <c r="N232" s="17" t="n"/>
      <c r="O232" s="42" t="n"/>
      <c r="P232" s="39">
        <f>IF(O232&lt;&gt;"",DATE(YEAR(O232)+5,MONTH(O232),1),IF(AND(M232&lt;&gt;"",N232&lt;&gt;""),DATE(M232+5,N232,1),""))</f>
        <v/>
      </c>
      <c r="Q232" s="23" t="n"/>
      <c r="R232" s="17" t="n"/>
      <c r="S232" s="17" t="n"/>
      <c r="T232" s="17" t="n"/>
      <c r="U232" s="17" t="n"/>
      <c r="V232" s="23" t="n"/>
      <c r="W232" s="17" t="n"/>
      <c r="X232" s="17" t="n"/>
      <c r="Y232" s="28">
        <f>IF(B232&lt;&gt;"OK","","SELECT bal_crear_balon(p_codigo_balon =&gt; "&amp;IF(TRIM(C232&amp;"")="","NULL","'"&amp;SUBSTITUTE(TRIM(C232),"'","''")&amp;"'")&amp;", p_id_tipo_balon =&gt; "&amp;"(SELECT id FROM bal_tipo_balon WHERE upper(nombre) = upper('"&amp;SUBSTITUTE(TRIM(D232),"'","''")&amp;"') AND estado = 1 LIMIT 1)"&amp;", p_id_producto_gas =&gt; "&amp;"(SELECT id FROM pro_producto WHERE es_gas = TRUE AND upper(nombre) = upper('"&amp;SUBSTITUTE(TRIM(E232),"'","''")&amp;"') AND estado = 1 LIMIT 1)"&amp;", p_id_propietario =&gt; "&amp;IF(TRIM(F232&amp;"")="","NULL","(SELECT lo.id FROM gen_lista_opciones lo JOIN gen_lista l ON l.id = lo.id_lista WHERE l.nombre = 'PropietarioBalon' AND upper(lo.nombre) = upper('"&amp;SUBSTITUTE(TRIM(F232),"'","''")&amp;"') AND lo.estado = 1 LIMIT 1)")&amp;", p_id_cliente_propietario =&gt; "&amp;IF(F232="CLIENTE",IF(TRIM(G232&amp;"")="","NULL","(SELECT id FROM cli_clientes WHERE numero_documento = '"&amp;SUBSTITUTE(TRIM(G232),"'","''")&amp;"' AND estado = 1 LIMIT 1)"),"NULL")&amp;", p_id_planta =&gt; "&amp;IF(F232="PLANTA",IF(TRIM(G232&amp;"")="","NULL","(SELECT id FROM cli_clientes WHERE numero_documento = '"&amp;SUBSTITUTE(TRIM(G232),"'","''")&amp;"'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"&amp;IF(TRIM(J232&amp;"")="","NULL","(SELECT id FROM gen_almacen WHERE upper(nombre) = upper('"&amp;SUBSTITUTE(TRIM(J232),"'","''")&amp;"') AND estado = 1 LIMIT 1)")&amp;", p_id_cliente_ubicacion =&gt; "&amp;IF(TRIM(K232&amp;"")="","NULL","(SELECT id FROM cli_clientes WHERE numero_documento = '"&amp;SUBSTITUTE(TRIM(K232),"'","''")&amp;"' AND estado = 1 LIMIT 1)")&amp;", p_id_referencia =&gt; "&amp;IF(TRIM(J232&amp;"")&lt;&gt;"","(SELECT lo.id FROM gen_lista_opciones lo JOIN gen_lista l ON l.id = lo.id_lista WHERE l.nombre = 'ReferenciaCilindro' AND upper(lo.nombre) = 'ALMACEN' AND lo.estado = 1 LIMIT 1)",IF(TRIM(K232&amp;"")&lt;&gt;"","(SELECT lo.id FROM gen_lista_opciones lo JOIN gen_lista l ON l.id = lo.id_lista WHERE l.nombre = 'ReferenciaCilindro' AND upper(lo.nombre) = 'CLIENTE' AND lo.estado = 1 LIMIT 1)","NULL"))&amp;", p_anio_fabricacion =&gt; "&amp;IF(M232&amp;""="","NULL::smallint",M232&amp;"::smallint")&amp;", p_mes_fabricacion =&gt; "&amp;IF(N232&amp;""="","NULL::smallint",N232&amp;"::smallint")&amp;", p_fecha_ultima_prueba_hidrostatica =&gt; "&amp;IF(O232&amp;""="","NULL","'"&amp;YEAR(O232)&amp;"-"&amp;TEXT(MONTH(O232),"00")&amp;"-"&amp;TEXT(DAY(O232),"00")&amp;"'")&amp;", p_numero_serie =&gt; "&amp;IF(TRIM(Q232&amp;"")="","NULL","'"&amp;SUBSTITUTE(TRIM(Q232),"'","''")&amp;"'")&amp;", p_id_marca_cilindro =&gt; "&amp;IF(TRIM(R232&amp;"")="","NULL","(SELECT lo.id FROM gen_lista_opciones lo JOIN gen_lista l ON l.id = lo.id_lista WHERE l.nombre = 'MarcaCilindro' AND upper(lo.nombre) = upper('"&amp;SUBSTITUTE(TRIM(R232),"'","''")&amp;"') AND lo.estado = 1 LIMIT 1)")&amp;", p_id_organo_inspector =&gt; "&amp;IF(TRIM(S232&amp;"")="","NULL","(SELECT lo.id FROM gen_lista_opciones lo JOIN gen_lista l ON l.id = lo.id_lista WHERE l.nombre = 'OrganoInspectorCilindro' AND upper(lo.nombre) = upper('"&amp;SUBSTITUTE(TRIM(S232),"'","''")&amp;"') AND lo.estado = 1 LIMIT 1)")&amp;", p_organo_inspector_no_aplica =&gt; "&amp;IF(S232="NO_APLICA","TRUE","FALSE")&amp;", p_presion_actual =&gt; "&amp;IF(T232&amp;""="","NULL",SUBSTITUTE(T232&amp;"",",","."))&amp;", p_tipo_valvula =&gt; "&amp;IF(TRIM(U232&amp;"")="","NULL","'"&amp;SUBSTITUTE(TRIM(U232),"'","''")&amp;"'")&amp;", p_libro_cilindro =&gt; "&amp;IF(TRIM(V232&amp;"")="","NULL","'"&amp;SUBSTITUTE(TRIM(V232),"'","''")&amp;"'")&amp;", p_pagina_libro =&gt; "&amp;IF(W232&amp;""="","NULL",SUBSTITUTE(W232&amp;"",",","."))&amp;", p_observacion =&gt; "&amp;IF(TRIM(X232&amp;"")="","NULL","'"&amp;SUBSTITUTE(TRIM(X232),"'","''")&amp;"'")&amp;") AS resultado_balon_"&amp;ROW()&amp;";")</f>
        <v/>
      </c>
    </row>
    <row r="233" ht="15.75" customHeight="1" s="64">
      <c r="A233" s="36" t="inlineStr">
        <is>
          <t>229</t>
        </is>
      </c>
      <c r="B233" s="25">
        <f>IF(AND(C233="",D233="",E233=""),"",IF(C233="","FALTA código balón",IF(D233="","FALTA tipo balón",IF(E233="","FALTA gas",IF(F233="","FALTA propietario",IF(AND(C233&lt;&gt;"",SUMPRODUCT(--($C$5:$C$1200=C233))&gt;1),"CÓDIGO BALÓN DUPLICADO",IF(AND(OR(UPPER(F233)="PLANTA",UPPER(F233)="CLIENTE"),G233=""),"FALTA doc propietario/planta",IF(AND(UPPER(F233)="PLANTA",G233="10175332796"),"PLANTA no puede ser RUC empresa","OK"))))))))</f>
        <v/>
      </c>
      <c r="C233" s="60" t="inlineStr">
        <is>
          <t>M559512</t>
        </is>
      </c>
      <c r="D233" s="17" t="inlineStr">
        <is>
          <t>Acetileno de 3.5 - 5 kg</t>
        </is>
      </c>
      <c r="E233" s="17" t="inlineStr">
        <is>
          <t>ACETILENO ESTANDAR</t>
        </is>
      </c>
      <c r="F233" s="17" t="inlineStr">
        <is>
          <t>EMPRESA</t>
        </is>
      </c>
      <c r="G233" s="23" t="inlineStr">
        <is>
          <t>10175332796</t>
        </is>
      </c>
      <c r="H233" s="25" t="inlineStr">
        <is>
          <t>OXIGENO SARITA</t>
        </is>
      </c>
      <c r="I233" s="17" t="inlineStr">
        <is>
          <t>EN_RECARGA_EXTERNA</t>
        </is>
      </c>
      <c r="J233" s="17" t="n"/>
      <c r="K233" s="23" t="inlineStr">
        <is>
          <t>20604549401</t>
        </is>
      </c>
      <c r="L233" s="25">
        <f t="array" ref="L233">IF(K233="","",IFERROR(IF(INDEX(Clientes!$D$5:$D$549,MATCH(K233,Clientes!$C$5:$C$549,0))&lt;&gt;"",INDEX(Clientes!$D$5:$D$549,MATCH(K233,Clientes!$C$5:$C$549,0)),TRIM(INDEX(Clientes!$E$5:$E$549,MATCH(K233,Clientes!$C$5:$C$549,0))&amp;" "&amp;INDEX(Clientes!$F$5:$F$549,MATCH(K233,Clientes!$C$5:$C$549,0)))),"NO EXISTE en Clientes"))</f>
        <v/>
      </c>
      <c r="M233" s="17" t="n"/>
      <c r="N233" s="17" t="n"/>
      <c r="O233" s="42" t="n"/>
      <c r="P233" s="39">
        <f>IF(O233&lt;&gt;"",DATE(YEAR(O233)+5,MONTH(O233),1),IF(AND(M233&lt;&gt;"",N233&lt;&gt;""),DATE(M233+5,N233,1),""))</f>
        <v/>
      </c>
      <c r="Q233" s="23" t="n"/>
      <c r="R233" s="17" t="n"/>
      <c r="S233" s="17" t="n"/>
      <c r="T233" s="17" t="n"/>
      <c r="U233" s="17" t="n"/>
      <c r="V233" s="23" t="n"/>
      <c r="W233" s="17" t="n"/>
      <c r="X233" s="17" t="n"/>
      <c r="Y233" s="28">
        <f>IF(B233&lt;&gt;"OK","","SELECT bal_crear_balon(p_codigo_balon =&gt; "&amp;IF(TRIM(C233&amp;"")="","NULL","'"&amp;SUBSTITUTE(TRIM(C233),"'","''")&amp;"'")&amp;", p_id_tipo_balon =&gt; "&amp;"(SELECT id FROM bal_tipo_balon WHERE upper(nombre) = upper('"&amp;SUBSTITUTE(TRIM(D233),"'","''")&amp;"') AND estado = 1 LIMIT 1)"&amp;", p_id_producto_gas =&gt; "&amp;"(SELECT id FROM pro_producto WHERE es_gas = TRUE AND upper(nombre) = upper('"&amp;SUBSTITUTE(TRIM(E233),"'","''")&amp;"') AND estado = 1 LIMIT 1)"&amp;", p_id_propietario =&gt; "&amp;IF(TRIM(F233&amp;"")="","NULL","(SELECT lo.id FROM gen_lista_opciones lo JOIN gen_lista l ON l.id = lo.id_lista WHERE l.nombre = 'PropietarioBalon' AND upper(lo.nombre) = upper('"&amp;SUBSTITUTE(TRIM(F233),"'","''")&amp;"') AND lo.estado = 1 LIMIT 1)")&amp;", p_id_cliente_propietario =&gt; "&amp;IF(F233="CLIENTE",IF(TRIM(G233&amp;"")="","NULL","(SELECT id FROM cli_clientes WHERE numero_documento = '"&amp;SUBSTITUTE(TRIM(G233),"'","''")&amp;"' AND estado = 1 LIMIT 1)"),"NULL")&amp;", p_id_planta =&gt; "&amp;IF(F233="PLANTA",IF(TRIM(G233&amp;"")="","NULL","(SELECT id FROM cli_clientes WHERE numero_documento = '"&amp;SUBSTITUTE(TRIM(G233),"'","''")&amp;"'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"&amp;IF(TRIM(J233&amp;"")="","NULL","(SELECT id FROM gen_almacen WHERE upper(nombre) = upper('"&amp;SUBSTITUTE(TRIM(J233),"'","''")&amp;"') AND estado = 1 LIMIT 1)")&amp;", p_id_cliente_ubicacion =&gt; "&amp;IF(TRIM(K233&amp;"")="","NULL","(SELECT id FROM cli_clientes WHERE numero_documento = '"&amp;SUBSTITUTE(TRIM(K233),"'","''")&amp;"' AND estado = 1 LIMIT 1)")&amp;", p_id_referencia =&gt; "&amp;IF(TRIM(J233&amp;"")&lt;&gt;"","(SELECT lo.id FROM gen_lista_opciones lo JOIN gen_lista l ON l.id = lo.id_lista WHERE l.nombre = 'ReferenciaCilindro' AND upper(lo.nombre) = 'ALMACEN' AND lo.estado = 1 LIMIT 1)",IF(TRIM(K233&amp;"")&lt;&gt;"","(SELECT lo.id FROM gen_lista_opciones lo JOIN gen_lista l ON l.id = lo.id_lista WHERE l.nombre = 'ReferenciaCilindro' AND upper(lo.nombre) = 'CLIENTE' AND lo.estado = 1 LIMIT 1)","NULL"))&amp;", p_anio_fabricacion =&gt; "&amp;IF(M233&amp;""="","NULL::smallint",M233&amp;"::smallint")&amp;", p_mes_fabricacion =&gt; "&amp;IF(N233&amp;""="","NULL::smallint",N233&amp;"::smallint")&amp;", p_fecha_ultima_prueba_hidrostatica =&gt; "&amp;IF(O233&amp;""="","NULL","'"&amp;YEAR(O233)&amp;"-"&amp;TEXT(MONTH(O233),"00")&amp;"-"&amp;TEXT(DAY(O233),"00")&amp;"'")&amp;", p_numero_serie =&gt; "&amp;IF(TRIM(Q233&amp;"")="","NULL","'"&amp;SUBSTITUTE(TRIM(Q233),"'","''")&amp;"'")&amp;", p_id_marca_cilindro =&gt; "&amp;IF(TRIM(R233&amp;"")="","NULL","(SELECT lo.id FROM gen_lista_opciones lo JOIN gen_lista l ON l.id = lo.id_lista WHERE l.nombre = 'MarcaCilindro' AND upper(lo.nombre) = upper('"&amp;SUBSTITUTE(TRIM(R233),"'","''")&amp;"') AND lo.estado = 1 LIMIT 1)")&amp;", p_id_organo_inspector =&gt; "&amp;IF(TRIM(S233&amp;"")="","NULL","(SELECT lo.id FROM gen_lista_opciones lo JOIN gen_lista l ON l.id = lo.id_lista WHERE l.nombre = 'OrganoInspectorCilindro' AND upper(lo.nombre) = upper('"&amp;SUBSTITUTE(TRIM(S233),"'","''")&amp;"') AND lo.estado = 1 LIMIT 1)")&amp;", p_organo_inspector_no_aplica =&gt; "&amp;IF(S233="NO_APLICA","TRUE","FALSE")&amp;", p_presion_actual =&gt; "&amp;IF(T233&amp;""="","NULL",SUBSTITUTE(T233&amp;"",",","."))&amp;", p_tipo_valvula =&gt; "&amp;IF(TRIM(U233&amp;"")="","NULL","'"&amp;SUBSTITUTE(TRIM(U233),"'","''")&amp;"'")&amp;", p_libro_cilindro =&gt; "&amp;IF(TRIM(V233&amp;"")="","NULL","'"&amp;SUBSTITUTE(TRIM(V233),"'","''")&amp;"'")&amp;", p_pagina_libro =&gt; "&amp;IF(W233&amp;""="","NULL",SUBSTITUTE(W233&amp;"",",","."))&amp;", p_observacion =&gt; "&amp;IF(TRIM(X233&amp;"")="","NULL","'"&amp;SUBSTITUTE(TRIM(X233),"'","''")&amp;"'")&amp;") AS resultado_balon_"&amp;ROW()&amp;";")</f>
        <v/>
      </c>
    </row>
    <row r="234" ht="15.75" customHeight="1" s="64">
      <c r="A234" s="36" t="inlineStr">
        <is>
          <t>230</t>
        </is>
      </c>
      <c r="B234" s="25">
        <f>IF(AND(C234="",D234="",E234=""),"",IF(C234="","FALTA código balón",IF(D234="","FALTA tipo balón",IF(E234="","FALTA gas",IF(F234="","FALTA propietario",IF(AND(C234&lt;&gt;"",SUMPRODUCT(--($C$5:$C$1200=C234))&gt;1),"CÓDIGO BALÓN DUPLICADO",IF(AND(OR(UPPER(F234)="PLANTA",UPPER(F234)="CLIENTE"),G234=""),"FALTA doc propietario/planta",IF(AND(UPPER(F234)="PLANTA",G234="10175332796"),"PLANTA no puede ser RUC empresa","OK"))))))))</f>
        <v/>
      </c>
      <c r="C234" s="60" t="inlineStr">
        <is>
          <t>434097</t>
        </is>
      </c>
      <c r="D234" s="17" t="inlineStr">
        <is>
          <t>Acetileno de 4 kg</t>
        </is>
      </c>
      <c r="E234" s="17" t="inlineStr">
        <is>
          <t>ACETILENO ESTANDAR</t>
        </is>
      </c>
      <c r="F234" s="17" t="inlineStr">
        <is>
          <t>EMPRESA</t>
        </is>
      </c>
      <c r="G234" s="23" t="inlineStr">
        <is>
          <t>10175332796</t>
        </is>
      </c>
      <c r="H234" s="25" t="inlineStr">
        <is>
          <t>OXIGENO SARITA</t>
        </is>
      </c>
      <c r="I234" s="17" t="inlineStr">
        <is>
          <t>EN_PODER_CLIENTE</t>
        </is>
      </c>
      <c r="J234" s="17" t="n"/>
      <c r="K234" s="26" t="inlineStr">
        <is>
          <t>20480725931</t>
        </is>
      </c>
      <c r="L234" s="25">
        <f t="array" ref="L234">IF(K234="","",IFERROR(IF(INDEX(Clientes!$D$5:$D$549,MATCH(K234,Clientes!$C$5:$C$549,0))&lt;&gt;"",INDEX(Clientes!$D$5:$D$549,MATCH(K234,Clientes!$C$5:$C$549,0)),TRIM(INDEX(Clientes!$E$5:$E$549,MATCH(K234,Clientes!$C$5:$C$549,0))&amp;" "&amp;INDEX(Clientes!$F$5:$F$549,MATCH(K234,Clientes!$C$5:$C$549,0)))),"NO EXISTE en Clientes"))</f>
        <v/>
      </c>
      <c r="M234" s="17" t="n"/>
      <c r="N234" s="17" t="n"/>
      <c r="O234" s="42" t="n"/>
      <c r="P234" s="39">
        <f>IF(O234&lt;&gt;"",DATE(YEAR(O234)+5,MONTH(O234),1),IF(AND(M234&lt;&gt;"",N234&lt;&gt;""),DATE(M234+5,N234,1),""))</f>
        <v/>
      </c>
      <c r="Q234" s="23" t="n"/>
      <c r="R234" s="17" t="n"/>
      <c r="S234" s="17" t="n"/>
      <c r="T234" s="17" t="n"/>
      <c r="U234" s="17" t="n"/>
      <c r="V234" s="23" t="n"/>
      <c r="W234" s="17" t="n"/>
      <c r="X234" s="17" t="n"/>
      <c r="Y234" s="28">
        <f>IF(B234&lt;&gt;"OK","","SELECT bal_crear_balon(p_codigo_balon =&gt; "&amp;IF(TRIM(C234&amp;"")="","NULL","'"&amp;SUBSTITUTE(TRIM(C234),"'","''")&amp;"'")&amp;", p_id_tipo_balon =&gt; "&amp;"(SELECT id FROM bal_tipo_balon WHERE upper(nombre) = upper('"&amp;SUBSTITUTE(TRIM(D234),"'","''")&amp;"') AND estado = 1 LIMIT 1)"&amp;", p_id_producto_gas =&gt; "&amp;"(SELECT id FROM pro_producto WHERE es_gas = TRUE AND upper(nombre) = upper('"&amp;SUBSTITUTE(TRIM(E234),"'","''")&amp;"') AND estado = 1 LIMIT 1)"&amp;", p_id_propietario =&gt; "&amp;IF(TRIM(F234&amp;"")="","NULL","(SELECT lo.id FROM gen_lista_opciones lo JOIN gen_lista l ON l.id = lo.id_lista WHERE l.nombre = 'PropietarioBalon' AND upper(lo.nombre) = upper('"&amp;SUBSTITUTE(TRIM(F234),"'","''")&amp;"') AND lo.estado = 1 LIMIT 1)")&amp;", p_id_cliente_propietario =&gt; "&amp;IF(F234="CLIENTE",IF(TRIM(G234&amp;"")="","NULL","(SELECT id FROM cli_clientes WHERE numero_documento = '"&amp;SUBSTITUTE(TRIM(G234),"'","''")&amp;"' AND estado = 1 LIMIT 1)"),"NULL")&amp;", p_id_planta =&gt; "&amp;IF(F234="PLANTA",IF(TRIM(G234&amp;"")="","NULL","(SELECT id FROM cli_clientes WHERE numero_documento = '"&amp;SUBSTITUTE(TRIM(G234),"'","''")&amp;"'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"&amp;IF(TRIM(J234&amp;"")="","NULL","(SELECT id FROM gen_almacen WHERE upper(nombre) = upper('"&amp;SUBSTITUTE(TRIM(J234),"'","''")&amp;"') AND estado = 1 LIMIT 1)")&amp;", p_id_cliente_ubicacion =&gt; "&amp;IF(TRIM(K234&amp;"")="","NULL","(SELECT id FROM cli_clientes WHERE numero_documento = '"&amp;SUBSTITUTE(TRIM(K234),"'","''")&amp;"' AND estado = 1 LIMIT 1)")&amp;", p_id_referencia =&gt; "&amp;IF(TRIM(J234&amp;"")&lt;&gt;"","(SELECT lo.id FROM gen_lista_opciones lo JOIN gen_lista l ON l.id = lo.id_lista WHERE l.nombre = 'ReferenciaCilindro' AND upper(lo.nombre) = 'ALMACEN' AND lo.estado = 1 LIMIT 1)",IF(TRIM(K234&amp;"")&lt;&gt;"","(SELECT lo.id FROM gen_lista_opciones lo JOIN gen_lista l ON l.id = lo.id_lista WHERE l.nombre = 'ReferenciaCilindro' AND upper(lo.nombre) = 'CLIENTE' AND lo.estado = 1 LIMIT 1)","NULL"))&amp;", p_anio_fabricacion =&gt; "&amp;IF(M234&amp;""="","NULL::smallint",M234&amp;"::smallint")&amp;", p_mes_fabricacion =&gt; "&amp;IF(N234&amp;""="","NULL::smallint",N234&amp;"::smallint")&amp;", p_fecha_ultima_prueba_hidrostatica =&gt; "&amp;IF(O234&amp;""="","NULL","'"&amp;YEAR(O234)&amp;"-"&amp;TEXT(MONTH(O234),"00")&amp;"-"&amp;TEXT(DAY(O234),"00")&amp;"'")&amp;", p_numero_serie =&gt; "&amp;IF(TRIM(Q234&amp;"")="","NULL","'"&amp;SUBSTITUTE(TRIM(Q234),"'","''")&amp;"'")&amp;", p_id_marca_cilindro =&gt; "&amp;IF(TRIM(R234&amp;"")="","NULL","(SELECT lo.id FROM gen_lista_opciones lo JOIN gen_lista l ON l.id = lo.id_lista WHERE l.nombre = 'MarcaCilindro' AND upper(lo.nombre) = upper('"&amp;SUBSTITUTE(TRIM(R234),"'","''")&amp;"') AND lo.estado = 1 LIMIT 1)")&amp;", p_id_organo_inspector =&gt; "&amp;IF(TRIM(S234&amp;"")="","NULL","(SELECT lo.id FROM gen_lista_opciones lo JOIN gen_lista l ON l.id = lo.id_lista WHERE l.nombre = 'OrganoInspectorCilindro' AND upper(lo.nombre) = upper('"&amp;SUBSTITUTE(TRIM(S234),"'","''")&amp;"') AND lo.estado = 1 LIMIT 1)")&amp;", p_organo_inspector_no_aplica =&gt; "&amp;IF(S234="NO_APLICA","TRUE","FALSE")&amp;", p_presion_actual =&gt; "&amp;IF(T234&amp;""="","NULL",SUBSTITUTE(T234&amp;"",",","."))&amp;", p_tipo_valvula =&gt; "&amp;IF(TRIM(U234&amp;"")="","NULL","'"&amp;SUBSTITUTE(TRIM(U234),"'","''")&amp;"'")&amp;", p_libro_cilindro =&gt; "&amp;IF(TRIM(V234&amp;"")="","NULL","'"&amp;SUBSTITUTE(TRIM(V234),"'","''")&amp;"'")&amp;", p_pagina_libro =&gt; "&amp;IF(W234&amp;""="","NULL",SUBSTITUTE(W234&amp;"",",","."))&amp;", p_observacion =&gt; "&amp;IF(TRIM(X234&amp;"")="","NULL","'"&amp;SUBSTITUTE(TRIM(X234),"'","''")&amp;"'")&amp;") AS resultado_balon_"&amp;ROW()&amp;";")</f>
        <v/>
      </c>
    </row>
    <row r="235" ht="15.75" customHeight="1" s="64">
      <c r="A235" s="36" t="inlineStr">
        <is>
          <t>231</t>
        </is>
      </c>
      <c r="B235" s="25">
        <f>IF(AND(C235="",D235="",E235=""),"",IF(C235="","FALTA código balón",IF(D235="","FALTA tipo balón",IF(E235="","FALTA gas",IF(F235="","FALTA propietario",IF(AND(C235&lt;&gt;"",SUMPRODUCT(--($C$5:$C$1200=C235))&gt;1),"CÓDIGO BALÓN DUPLICADO",IF(AND(OR(UPPER(F235)="PLANTA",UPPER(F235)="CLIENTE"),G235=""),"FALTA doc propietario/planta",IF(AND(UPPER(F235)="PLANTA",G235="10175332796"),"PLANTA no puede ser RUC empresa","OK"))))))))</f>
        <v/>
      </c>
      <c r="C235" s="60" t="inlineStr">
        <is>
          <t>735228</t>
        </is>
      </c>
      <c r="D235" s="17" t="inlineStr">
        <is>
          <t>Acetileno de 8 - 10 kg</t>
        </is>
      </c>
      <c r="E235" s="17" t="inlineStr">
        <is>
          <t>ACETILENO ESTANDAR</t>
        </is>
      </c>
      <c r="F235" s="17" t="inlineStr">
        <is>
          <t>EMPRESA</t>
        </is>
      </c>
      <c r="G235" s="23" t="inlineStr">
        <is>
          <t>10175332796</t>
        </is>
      </c>
      <c r="H235" s="25" t="inlineStr">
        <is>
          <t>OXIGENO SARITA</t>
        </is>
      </c>
      <c r="I235" s="17" t="inlineStr">
        <is>
          <t>EN_PODER_CLIENTE</t>
        </is>
      </c>
      <c r="J235" s="17" t="n"/>
      <c r="K235" s="26" t="inlineStr">
        <is>
          <t>20103626448</t>
        </is>
      </c>
      <c r="L235" s="25">
        <f t="array" ref="L235">IF(K235="","",IFERROR(IF(INDEX(Clientes!$D$5:$D$549,MATCH(K235,Clientes!$C$5:$C$549,0))&lt;&gt;"",INDEX(Clientes!$D$5:$D$549,MATCH(K235,Clientes!$C$5:$C$549,0)),TRIM(INDEX(Clientes!$E$5:$E$549,MATCH(K235,Clientes!$C$5:$C$549,0))&amp;" "&amp;INDEX(Clientes!$F$5:$F$549,MATCH(K235,Clientes!$C$5:$C$549,0)))),"NO EXISTE en Clientes"))</f>
        <v/>
      </c>
      <c r="M235" s="17" t="n"/>
      <c r="N235" s="17" t="n"/>
      <c r="O235" s="42" t="n"/>
      <c r="P235" s="39">
        <f>IF(O235&lt;&gt;"",DATE(YEAR(O235)+5,MONTH(O235),1),IF(AND(M235&lt;&gt;"",N235&lt;&gt;""),DATE(M235+5,N235,1),""))</f>
        <v/>
      </c>
      <c r="Q235" s="23" t="n"/>
      <c r="R235" s="17" t="n"/>
      <c r="S235" s="17" t="n"/>
      <c r="T235" s="17" t="n"/>
      <c r="U235" s="17" t="n"/>
      <c r="V235" s="23" t="n"/>
      <c r="W235" s="17" t="n"/>
      <c r="X235" s="17" t="n"/>
      <c r="Y235" s="28">
        <f>IF(B235&lt;&gt;"OK","","SELECT bal_crear_balon(p_codigo_balon =&gt; "&amp;IF(TRIM(C235&amp;"")="","NULL","'"&amp;SUBSTITUTE(TRIM(C235),"'","''")&amp;"'")&amp;", p_id_tipo_balon =&gt; "&amp;"(SELECT id FROM bal_tipo_balon WHERE upper(nombre) = upper('"&amp;SUBSTITUTE(TRIM(D235),"'","''")&amp;"') AND estado = 1 LIMIT 1)"&amp;", p_id_producto_gas =&gt; "&amp;"(SELECT id FROM pro_producto WHERE es_gas = TRUE AND upper(nombre) = upper('"&amp;SUBSTITUTE(TRIM(E235),"'","''")&amp;"') AND estado = 1 LIMIT 1)"&amp;", p_id_propietario =&gt; "&amp;IF(TRIM(F235&amp;"")="","NULL","(SELECT lo.id FROM gen_lista_opciones lo JOIN gen_lista l ON l.id = lo.id_lista WHERE l.nombre = 'PropietarioBalon' AND upper(lo.nombre) = upper('"&amp;SUBSTITUTE(TRIM(F235),"'","''")&amp;"') AND lo.estado = 1 LIMIT 1)")&amp;", p_id_cliente_propietario =&gt; "&amp;IF(F235="CLIENTE",IF(TRIM(G235&amp;"")="","NULL","(SELECT id FROM cli_clientes WHERE numero_documento = '"&amp;SUBSTITUTE(TRIM(G235),"'","''")&amp;"' AND estado = 1 LIMIT 1)"),"NULL")&amp;", p_id_planta =&gt; "&amp;IF(F235="PLANTA",IF(TRIM(G235&amp;"")="","NULL","(SELECT id FROM cli_clientes WHERE numero_documento = '"&amp;SUBSTITUTE(TRIM(G235),"'","''")&amp;"'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"&amp;IF(TRIM(J235&amp;"")="","NULL","(SELECT id FROM gen_almacen WHERE upper(nombre) = upper('"&amp;SUBSTITUTE(TRIM(J235),"'","''")&amp;"') AND estado = 1 LIMIT 1)")&amp;", p_id_cliente_ubicacion =&gt; "&amp;IF(TRIM(K235&amp;"")="","NULL","(SELECT id FROM cli_clientes WHERE numero_documento = '"&amp;SUBSTITUTE(TRIM(K235),"'","''")&amp;"' AND estado = 1 LIMIT 1)")&amp;", p_id_referencia =&gt; "&amp;IF(TRIM(J235&amp;"")&lt;&gt;"","(SELECT lo.id FROM gen_lista_opciones lo JOIN gen_lista l ON l.id = lo.id_lista WHERE l.nombre = 'ReferenciaCilindro' AND upper(lo.nombre) = 'ALMACEN' AND lo.estado = 1 LIMIT 1)",IF(TRIM(K235&amp;"")&lt;&gt;"","(SELECT lo.id FROM gen_lista_opciones lo JOIN gen_lista l ON l.id = lo.id_lista WHERE l.nombre = 'ReferenciaCilindro' AND upper(lo.nombre) = 'CLIENTE' AND lo.estado = 1 LIMIT 1)","NULL"))&amp;", p_anio_fabricacion =&gt; "&amp;IF(M235&amp;""="","NULL::smallint",M235&amp;"::smallint")&amp;", p_mes_fabricacion =&gt; "&amp;IF(N235&amp;""="","NULL::smallint",N235&amp;"::smallint")&amp;", p_fecha_ultima_prueba_hidrostatica =&gt; "&amp;IF(O235&amp;""="","NULL","'"&amp;YEAR(O235)&amp;"-"&amp;TEXT(MONTH(O235),"00")&amp;"-"&amp;TEXT(DAY(O235),"00")&amp;"'")&amp;", p_numero_serie =&gt; "&amp;IF(TRIM(Q235&amp;"")="","NULL","'"&amp;SUBSTITUTE(TRIM(Q235),"'","''")&amp;"'")&amp;", p_id_marca_cilindro =&gt; "&amp;IF(TRIM(R235&amp;"")="","NULL","(SELECT lo.id FROM gen_lista_opciones lo JOIN gen_lista l ON l.id = lo.id_lista WHERE l.nombre = 'MarcaCilindro' AND upper(lo.nombre) = upper('"&amp;SUBSTITUTE(TRIM(R235),"'","''")&amp;"') AND lo.estado = 1 LIMIT 1)")&amp;", p_id_organo_inspector =&gt; "&amp;IF(TRIM(S235&amp;"")="","NULL","(SELECT lo.id FROM gen_lista_opciones lo JOIN gen_lista l ON l.id = lo.id_lista WHERE l.nombre = 'OrganoInspectorCilindro' AND upper(lo.nombre) = upper('"&amp;SUBSTITUTE(TRIM(S235),"'","''")&amp;"') AND lo.estado = 1 LIMIT 1)")&amp;", p_organo_inspector_no_aplica =&gt; "&amp;IF(S235="NO_APLICA","TRUE","FALSE")&amp;", p_presion_actual =&gt; "&amp;IF(T235&amp;""="","NULL",SUBSTITUTE(T235&amp;"",",","."))&amp;", p_tipo_valvula =&gt; "&amp;IF(TRIM(U235&amp;"")="","NULL","'"&amp;SUBSTITUTE(TRIM(U235),"'","''")&amp;"'")&amp;", p_libro_cilindro =&gt; "&amp;IF(TRIM(V235&amp;"")="","NULL","'"&amp;SUBSTITUTE(TRIM(V235),"'","''")&amp;"'")&amp;", p_pagina_libro =&gt; "&amp;IF(W235&amp;""="","NULL",SUBSTITUTE(W235&amp;"",",","."))&amp;", p_observacion =&gt; "&amp;IF(TRIM(X235&amp;"")="","NULL","'"&amp;SUBSTITUTE(TRIM(X235),"'","''")&amp;"'")&amp;") AS resultado_balon_"&amp;ROW()&amp;";")</f>
        <v/>
      </c>
    </row>
    <row r="236" ht="15.75" customHeight="1" s="64">
      <c r="A236" s="36" t="inlineStr">
        <is>
          <t>232</t>
        </is>
      </c>
      <c r="B236" s="25">
        <f>IF(AND(C236="",D236="",E236=""),"",IF(C236="","FALTA código balón",IF(D236="","FALTA tipo balón",IF(E236="","FALTA gas",IF(F236="","FALTA propietario",IF(AND(C236&lt;&gt;"",SUMPRODUCT(--($C$5:$C$1200=C236))&gt;1),"CÓDIGO BALÓN DUPLICADO",IF(AND(OR(UPPER(F236)="PLANTA",UPPER(F236)="CLIENTE"),G236=""),"FALTA doc propietario/planta",IF(AND(UPPER(F236)="PLANTA",G236="10175332796"),"PLANTA no puede ser RUC empresa","OK"))))))))</f>
        <v/>
      </c>
      <c r="C236" s="60" t="inlineStr">
        <is>
          <t>135</t>
        </is>
      </c>
      <c r="D236" s="17" t="inlineStr">
        <is>
          <t>Acetileno 5 kg</t>
        </is>
      </c>
      <c r="E236" s="17" t="inlineStr">
        <is>
          <t>ACETILENO ESTANDAR</t>
        </is>
      </c>
      <c r="F236" s="17" t="inlineStr">
        <is>
          <t>EMPRESA</t>
        </is>
      </c>
      <c r="G236" s="23" t="inlineStr">
        <is>
          <t>10175332796</t>
        </is>
      </c>
      <c r="H236" s="25" t="inlineStr">
        <is>
          <t>OXIGENO SARITA</t>
        </is>
      </c>
      <c r="I236" s="17" t="inlineStr">
        <is>
          <t>EN_PODER_CLIENTE</t>
        </is>
      </c>
      <c r="J236" s="17" t="n"/>
      <c r="K236" s="26" t="inlineStr">
        <is>
          <t>20480192932</t>
        </is>
      </c>
      <c r="L236" s="25">
        <f t="array" ref="L236">IF(K236="","",IFERROR(IF(INDEX(Clientes!$D$5:$D$549,MATCH(K236,Clientes!$C$5:$C$549,0))&lt;&gt;"",INDEX(Clientes!$D$5:$D$549,MATCH(K236,Clientes!$C$5:$C$549,0)),TRIM(INDEX(Clientes!$E$5:$E$549,MATCH(K236,Clientes!$C$5:$C$549,0))&amp;" "&amp;INDEX(Clientes!$F$5:$F$549,MATCH(K236,Clientes!$C$5:$C$549,0)))),"NO EXISTE en Clientes"))</f>
        <v/>
      </c>
      <c r="M236" s="17" t="n"/>
      <c r="N236" s="17" t="n"/>
      <c r="O236" s="42" t="n"/>
      <c r="P236" s="39">
        <f>IF(O236&lt;&gt;"",DATE(YEAR(O236)+5,MONTH(O236),1),IF(AND(M236&lt;&gt;"",N236&lt;&gt;""),DATE(M236+5,N236,1),""))</f>
        <v/>
      </c>
      <c r="Q236" s="23" t="n"/>
      <c r="R236" s="17" t="n"/>
      <c r="S236" s="17" t="n"/>
      <c r="T236" s="17" t="n"/>
      <c r="U236" s="17" t="n"/>
      <c r="V236" s="23" t="n"/>
      <c r="W236" s="17" t="n"/>
      <c r="X236" s="17" t="n"/>
      <c r="Y236" s="28">
        <f>IF(B236&lt;&gt;"OK","","SELECT bal_crear_balon(p_codigo_balon =&gt; "&amp;IF(TRIM(C236&amp;"")="","NULL","'"&amp;SUBSTITUTE(TRIM(C236),"'","''")&amp;"'")&amp;", p_id_tipo_balon =&gt; "&amp;"(SELECT id FROM bal_tipo_balon WHERE upper(nombre) = upper('"&amp;SUBSTITUTE(TRIM(D236),"'","''")&amp;"') AND estado = 1 LIMIT 1)"&amp;", p_id_producto_gas =&gt; "&amp;"(SELECT id FROM pro_producto WHERE es_gas = TRUE AND upper(nombre) = upper('"&amp;SUBSTITUTE(TRIM(E236),"'","''")&amp;"') AND estado = 1 LIMIT 1)"&amp;", p_id_propietario =&gt; "&amp;IF(TRIM(F236&amp;"")="","NULL","(SELECT lo.id FROM gen_lista_opciones lo JOIN gen_lista l ON l.id = lo.id_lista WHERE l.nombre = 'PropietarioBalon' AND upper(lo.nombre) = upper('"&amp;SUBSTITUTE(TRIM(F236),"'","''")&amp;"') AND lo.estado = 1 LIMIT 1)")&amp;", p_id_cliente_propietario =&gt; "&amp;IF(F236="CLIENTE",IF(TRIM(G236&amp;"")="","NULL","(SELECT id FROM cli_clientes WHERE numero_documento = '"&amp;SUBSTITUTE(TRIM(G236),"'","''")&amp;"' AND estado = 1 LIMIT 1)"),"NULL")&amp;", p_id_planta =&gt; "&amp;IF(F236="PLANTA",IF(TRIM(G236&amp;"")="","NULL","(SELECT id FROM cli_clientes WHERE numero_documento = '"&amp;SUBSTITUTE(TRIM(G236),"'","''")&amp;"'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"&amp;IF(TRIM(J236&amp;"")="","NULL","(SELECT id FROM gen_almacen WHERE upper(nombre) = upper('"&amp;SUBSTITUTE(TRIM(J236),"'","''")&amp;"') AND estado = 1 LIMIT 1)")&amp;", p_id_cliente_ubicacion =&gt; "&amp;IF(TRIM(K236&amp;"")="","NULL","(SELECT id FROM cli_clientes WHERE numero_documento = '"&amp;SUBSTITUTE(TRIM(K236),"'","''")&amp;"' AND estado = 1 LIMIT 1)")&amp;", p_id_referencia =&gt; "&amp;IF(TRIM(J236&amp;"")&lt;&gt;"","(SELECT lo.id FROM gen_lista_opciones lo JOIN gen_lista l ON l.id = lo.id_lista WHERE l.nombre = 'ReferenciaCilindro' AND upper(lo.nombre) = 'ALMACEN' AND lo.estado = 1 LIMIT 1)",IF(TRIM(K236&amp;"")&lt;&gt;"","(SELECT lo.id FROM gen_lista_opciones lo JOIN gen_lista l ON l.id = lo.id_lista WHERE l.nombre = 'ReferenciaCilindro' AND upper(lo.nombre) = 'CLIENTE' AND lo.estado = 1 LIMIT 1)","NULL"))&amp;", p_anio_fabricacion =&gt; "&amp;IF(M236&amp;""="","NULL::smallint",M236&amp;"::smallint")&amp;", p_mes_fabricacion =&gt; "&amp;IF(N236&amp;""="","NULL::smallint",N236&amp;"::smallint")&amp;", p_fecha_ultima_prueba_hidrostatica =&gt; "&amp;IF(O236&amp;""="","NULL","'"&amp;YEAR(O236)&amp;"-"&amp;TEXT(MONTH(O236),"00")&amp;"-"&amp;TEXT(DAY(O236),"00")&amp;"'")&amp;", p_numero_serie =&gt; "&amp;IF(TRIM(Q236&amp;"")="","NULL","'"&amp;SUBSTITUTE(TRIM(Q236),"'","''")&amp;"'")&amp;", p_id_marca_cilindro =&gt; "&amp;IF(TRIM(R236&amp;"")="","NULL","(SELECT lo.id FROM gen_lista_opciones lo JOIN gen_lista l ON l.id = lo.id_lista WHERE l.nombre = 'MarcaCilindro' AND upper(lo.nombre) = upper('"&amp;SUBSTITUTE(TRIM(R236),"'","''")&amp;"') AND lo.estado = 1 LIMIT 1)")&amp;", p_id_organo_inspector =&gt; "&amp;IF(TRIM(S236&amp;"")="","NULL","(SELECT lo.id FROM gen_lista_opciones lo JOIN gen_lista l ON l.id = lo.id_lista WHERE l.nombre = 'OrganoInspectorCilindro' AND upper(lo.nombre) = upper('"&amp;SUBSTITUTE(TRIM(S236),"'","''")&amp;"') AND lo.estado = 1 LIMIT 1)")&amp;", p_organo_inspector_no_aplica =&gt; "&amp;IF(S236="NO_APLICA","TRUE","FALSE")&amp;", p_presion_actual =&gt; "&amp;IF(T236&amp;""="","NULL",SUBSTITUTE(T236&amp;"",",","."))&amp;", p_tipo_valvula =&gt; "&amp;IF(TRIM(U236&amp;"")="","NULL","'"&amp;SUBSTITUTE(TRIM(U236),"'","''")&amp;"'")&amp;", p_libro_cilindro =&gt; "&amp;IF(TRIM(V236&amp;"")="","NULL","'"&amp;SUBSTITUTE(TRIM(V236),"'","''")&amp;"'")&amp;", p_pagina_libro =&gt; "&amp;IF(W236&amp;""="","NULL",SUBSTITUTE(W236&amp;"",",","."))&amp;", p_observacion =&gt; "&amp;IF(TRIM(X236&amp;"")="","NULL","'"&amp;SUBSTITUTE(TRIM(X236),"'","''")&amp;"'")&amp;") AS resultado_balon_"&amp;ROW()&amp;";")</f>
        <v/>
      </c>
    </row>
    <row r="237" ht="15.75" customHeight="1" s="64">
      <c r="A237" s="36" t="inlineStr">
        <is>
          <t>233</t>
        </is>
      </c>
      <c r="B237" s="25">
        <f>IF(AND(C237="",D237="",E237=""),"",IF(C237="","FALTA código balón",IF(D237="","FALTA tipo balón",IF(E237="","FALTA gas",IF(F237="","FALTA propietario",IF(AND(C237&lt;&gt;"",SUMPRODUCT(--($C$5:$C$1200=C237))&gt;1),"CÓDIGO BALÓN DUPLICADO",IF(AND(OR(UPPER(F237)="PLANTA",UPPER(F237)="CLIENTE"),G237=""),"FALTA doc propietario/planta",IF(AND(UPPER(F237)="PLANTA",G237="10175332796"),"PLANTA no puede ser RUC empresa","OK"))))))))</f>
        <v/>
      </c>
      <c r="C237" s="60" t="inlineStr">
        <is>
          <t>143451ED</t>
        </is>
      </c>
      <c r="D237" s="17" t="inlineStr">
        <is>
          <t>Acetileno de 3.5 - 5 kg</t>
        </is>
      </c>
      <c r="E237" s="17" t="inlineStr">
        <is>
          <t>ACETILENO ESTANDAR</t>
        </is>
      </c>
      <c r="F237" s="17" t="inlineStr">
        <is>
          <t>EMPRESA</t>
        </is>
      </c>
      <c r="G237" s="23" t="inlineStr">
        <is>
          <t>10175332796</t>
        </is>
      </c>
      <c r="H237" s="25" t="inlineStr">
        <is>
          <t>OXIGENO SARITA</t>
        </is>
      </c>
      <c r="I237" s="17" t="inlineStr">
        <is>
          <t>EN_PODER_CLIENTE</t>
        </is>
      </c>
      <c r="J237" s="17" t="n"/>
      <c r="K237" s="23" t="inlineStr">
        <is>
          <t>20518304233</t>
        </is>
      </c>
      <c r="L237" s="25">
        <f t="array" ref="L237">IF(K237="","",IFERROR(IF(INDEX(Clientes!$D$5:$D$549,MATCH(K237,Clientes!$C$5:$C$549,0))&lt;&gt;"",INDEX(Clientes!$D$5:$D$549,MATCH(K237,Clientes!$C$5:$C$549,0)),TRIM(INDEX(Clientes!$E$5:$E$549,MATCH(K237,Clientes!$C$5:$C$549,0))&amp;" "&amp;INDEX(Clientes!$F$5:$F$549,MATCH(K237,Clientes!$C$5:$C$549,0)))),"NO EXISTE en Clientes"))</f>
        <v/>
      </c>
      <c r="M237" s="17" t="n"/>
      <c r="N237" s="17" t="n"/>
      <c r="O237" s="42" t="n"/>
      <c r="P237" s="39">
        <f>IF(O237&lt;&gt;"",DATE(YEAR(O237)+5,MONTH(O237),1),IF(AND(M237&lt;&gt;"",N237&lt;&gt;""),DATE(M237+5,N237,1),""))</f>
        <v/>
      </c>
      <c r="Q237" s="23" t="n"/>
      <c r="R237" s="17" t="n"/>
      <c r="S237" s="17" t="n"/>
      <c r="T237" s="17" t="n"/>
      <c r="U237" s="17" t="n"/>
      <c r="V237" s="23" t="n"/>
      <c r="W237" s="17" t="n"/>
      <c r="X237" s="17" t="n"/>
      <c r="Y237" s="28">
        <f>IF(B237&lt;&gt;"OK","","SELECT bal_crear_balon(p_codigo_balon =&gt; "&amp;IF(TRIM(C237&amp;"")="","NULL","'"&amp;SUBSTITUTE(TRIM(C237),"'","''")&amp;"'")&amp;", p_id_tipo_balon =&gt; "&amp;"(SELECT id FROM bal_tipo_balon WHERE upper(nombre) = upper('"&amp;SUBSTITUTE(TRIM(D237),"'","''")&amp;"') AND estado = 1 LIMIT 1)"&amp;", p_id_producto_gas =&gt; "&amp;"(SELECT id FROM pro_producto WHERE es_gas = TRUE AND upper(nombre) = upper('"&amp;SUBSTITUTE(TRIM(E237),"'","''")&amp;"') AND estado = 1 LIMIT 1)"&amp;", p_id_propietario =&gt; "&amp;IF(TRIM(F237&amp;"")="","NULL","(SELECT lo.id FROM gen_lista_opciones lo JOIN gen_lista l ON l.id = lo.id_lista WHERE l.nombre = 'PropietarioBalon' AND upper(lo.nombre) = upper('"&amp;SUBSTITUTE(TRIM(F237),"'","''")&amp;"') AND lo.estado = 1 LIMIT 1)")&amp;", p_id_cliente_propietario =&gt; "&amp;IF(F237="CLIENTE",IF(TRIM(G237&amp;"")="","NULL","(SELECT id FROM cli_clientes WHERE numero_documento = '"&amp;SUBSTITUTE(TRIM(G237),"'","''")&amp;"' AND estado = 1 LIMIT 1)"),"NULL")&amp;", p_id_planta =&gt; "&amp;IF(F237="PLANTA",IF(TRIM(G237&amp;"")="","NULL","(SELECT id FROM cli_clientes WHERE numero_documento = '"&amp;SUBSTITUTE(TRIM(G237),"'","''")&amp;"'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"&amp;IF(TRIM(J237&amp;"")="","NULL","(SELECT id FROM gen_almacen WHERE upper(nombre) = upper('"&amp;SUBSTITUTE(TRIM(J237),"'","''")&amp;"') AND estado = 1 LIMIT 1)")&amp;", p_id_cliente_ubicacion =&gt; "&amp;IF(TRIM(K237&amp;"")="","NULL","(SELECT id FROM cli_clientes WHERE numero_documento = '"&amp;SUBSTITUTE(TRIM(K237),"'","''")&amp;"' AND estado = 1 LIMIT 1)")&amp;", p_id_referencia =&gt; "&amp;IF(TRIM(J237&amp;"")&lt;&gt;"","(SELECT lo.id FROM gen_lista_opciones lo JOIN gen_lista l ON l.id = lo.id_lista WHERE l.nombre = 'ReferenciaCilindro' AND upper(lo.nombre) = 'ALMACEN' AND lo.estado = 1 LIMIT 1)",IF(TRIM(K237&amp;"")&lt;&gt;"","(SELECT lo.id FROM gen_lista_opciones lo JOIN gen_lista l ON l.id = lo.id_lista WHERE l.nombre = 'ReferenciaCilindro' AND upper(lo.nombre) = 'CLIENTE' AND lo.estado = 1 LIMIT 1)","NULL"))&amp;", p_anio_fabricacion =&gt; "&amp;IF(M237&amp;""="","NULL::smallint",M237&amp;"::smallint")&amp;", p_mes_fabricacion =&gt; "&amp;IF(N237&amp;""="","NULL::smallint",N237&amp;"::smallint")&amp;", p_fecha_ultima_prueba_hidrostatica =&gt; "&amp;IF(O237&amp;""="","NULL","'"&amp;YEAR(O237)&amp;"-"&amp;TEXT(MONTH(O237),"00")&amp;"-"&amp;TEXT(DAY(O237),"00")&amp;"'")&amp;", p_numero_serie =&gt; "&amp;IF(TRIM(Q237&amp;"")="","NULL","'"&amp;SUBSTITUTE(TRIM(Q237),"'","''")&amp;"'")&amp;", p_id_marca_cilindro =&gt; "&amp;IF(TRIM(R237&amp;"")="","NULL","(SELECT lo.id FROM gen_lista_opciones lo JOIN gen_lista l ON l.id = lo.id_lista WHERE l.nombre = 'MarcaCilindro' AND upper(lo.nombre) = upper('"&amp;SUBSTITUTE(TRIM(R237),"'","''")&amp;"') AND lo.estado = 1 LIMIT 1)")&amp;", p_id_organo_inspector =&gt; "&amp;IF(TRIM(S237&amp;"")="","NULL","(SELECT lo.id FROM gen_lista_opciones lo JOIN gen_lista l ON l.id = lo.id_lista WHERE l.nombre = 'OrganoInspectorCilindro' AND upper(lo.nombre) = upper('"&amp;SUBSTITUTE(TRIM(S237),"'","''")&amp;"') AND lo.estado = 1 LIMIT 1)")&amp;", p_organo_inspector_no_aplica =&gt; "&amp;IF(S237="NO_APLICA","TRUE","FALSE")&amp;", p_presion_actual =&gt; "&amp;IF(T237&amp;""="","NULL",SUBSTITUTE(T237&amp;"",",","."))&amp;", p_tipo_valvula =&gt; "&amp;IF(TRIM(U237&amp;"")="","NULL","'"&amp;SUBSTITUTE(TRIM(U237),"'","''")&amp;"'")&amp;", p_libro_cilindro =&gt; "&amp;IF(TRIM(V237&amp;"")="","NULL","'"&amp;SUBSTITUTE(TRIM(V237),"'","''")&amp;"'")&amp;", p_pagina_libro =&gt; "&amp;IF(W237&amp;""="","NULL",SUBSTITUTE(W237&amp;"",",","."))&amp;", p_observacion =&gt; "&amp;IF(TRIM(X237&amp;"")="","NULL","'"&amp;SUBSTITUTE(TRIM(X237),"'","''")&amp;"'")&amp;") AS resultado_balon_"&amp;ROW()&amp;";")</f>
        <v/>
      </c>
    </row>
    <row r="238" ht="15.75" customHeight="1" s="64">
      <c r="A238" s="36" t="inlineStr">
        <is>
          <t>234</t>
        </is>
      </c>
      <c r="B238" s="25">
        <f>IF(AND(C238="",D238="",E238=""),"",IF(C238="","FALTA código balón",IF(D238="","FALTA tipo balón",IF(E238="","FALTA gas",IF(F238="","FALTA propietario",IF(AND(C238&lt;&gt;"",SUMPRODUCT(--($C$5:$C$1200=C238))&gt;1),"CÓDIGO BALÓN DUPLICADO",IF(AND(OR(UPPER(F238)="PLANTA",UPPER(F238)="CLIENTE"),G238=""),"FALTA doc propietario/planta",IF(AND(UPPER(F238)="PLANTA",G238="10175332796"),"PLANTA no puede ser RUC empresa","OK"))))))))</f>
        <v/>
      </c>
      <c r="C238" s="60" t="inlineStr">
        <is>
          <t>M559534</t>
        </is>
      </c>
      <c r="D238" s="17" t="inlineStr">
        <is>
          <t>Acetileno de 6 - 7.5 kg</t>
        </is>
      </c>
      <c r="E238" s="17" t="inlineStr">
        <is>
          <t>ACETILENO ESTANDAR</t>
        </is>
      </c>
      <c r="F238" s="17" t="inlineStr">
        <is>
          <t>EMPRESA</t>
        </is>
      </c>
      <c r="G238" s="23" t="inlineStr">
        <is>
          <t>10175332796</t>
        </is>
      </c>
      <c r="H238" s="25" t="inlineStr">
        <is>
          <t>OXIGENO SARITA</t>
        </is>
      </c>
      <c r="I238" s="17" t="inlineStr">
        <is>
          <t>EN_PODER_CLIENTE</t>
        </is>
      </c>
      <c r="J238" s="17" t="n"/>
      <c r="K238" s="23" t="inlineStr">
        <is>
          <t>20103448591</t>
        </is>
      </c>
      <c r="L238" s="25">
        <f t="array" ref="L238">IF(K238="","",IFERROR(IF(INDEX(Clientes!$D$5:$D$549,MATCH(K238,Clientes!$C$5:$C$549,0))&lt;&gt;"",INDEX(Clientes!$D$5:$D$549,MATCH(K238,Clientes!$C$5:$C$549,0)),TRIM(INDEX(Clientes!$E$5:$E$549,MATCH(K238,Clientes!$C$5:$C$549,0))&amp;" "&amp;INDEX(Clientes!$F$5:$F$549,MATCH(K238,Clientes!$C$5:$C$549,0)))),"NO EXISTE en Clientes"))</f>
        <v/>
      </c>
      <c r="M238" s="17" t="n"/>
      <c r="N238" s="17" t="n"/>
      <c r="O238" s="42" t="n"/>
      <c r="P238" s="39">
        <f>IF(O238&lt;&gt;"",DATE(YEAR(O238)+5,MONTH(O238),1),IF(AND(M238&lt;&gt;"",N238&lt;&gt;""),DATE(M238+5,N238,1),""))</f>
        <v/>
      </c>
      <c r="Q238" s="23" t="n"/>
      <c r="R238" s="17" t="n"/>
      <c r="S238" s="17" t="n"/>
      <c r="T238" s="17" t="n"/>
      <c r="U238" s="17" t="n"/>
      <c r="V238" s="23" t="n"/>
      <c r="W238" s="17" t="n"/>
      <c r="X238" s="17" t="n"/>
      <c r="Y238" s="28">
        <f>IF(B238&lt;&gt;"OK","","SELECT bal_crear_balon(p_codigo_balon =&gt; "&amp;IF(TRIM(C238&amp;"")="","NULL","'"&amp;SUBSTITUTE(TRIM(C238),"'","''")&amp;"'")&amp;", p_id_tipo_balon =&gt; "&amp;"(SELECT id FROM bal_tipo_balon WHERE upper(nombre) = upper('"&amp;SUBSTITUTE(TRIM(D238),"'","''")&amp;"') AND estado = 1 LIMIT 1)"&amp;", p_id_producto_gas =&gt; "&amp;"(SELECT id FROM pro_producto WHERE es_gas = TRUE AND upper(nombre) = upper('"&amp;SUBSTITUTE(TRIM(E238),"'","''")&amp;"') AND estado = 1 LIMIT 1)"&amp;", p_id_propietario =&gt; "&amp;IF(TRIM(F238&amp;"")="","NULL","(SELECT lo.id FROM gen_lista_opciones lo JOIN gen_lista l ON l.id = lo.id_lista WHERE l.nombre = 'PropietarioBalon' AND upper(lo.nombre) = upper('"&amp;SUBSTITUTE(TRIM(F238),"'","''")&amp;"') AND lo.estado = 1 LIMIT 1)")&amp;", p_id_cliente_propietario =&gt; "&amp;IF(F238="CLIENTE",IF(TRIM(G238&amp;"")="","NULL","(SELECT id FROM cli_clientes WHERE numero_documento = '"&amp;SUBSTITUTE(TRIM(G238),"'","''")&amp;"' AND estado = 1 LIMIT 1)"),"NULL")&amp;", p_id_planta =&gt; "&amp;IF(F238="PLANTA",IF(TRIM(G238&amp;"")="","NULL","(SELECT id FROM cli_clientes WHERE numero_documento = '"&amp;SUBSTITUTE(TRIM(G238),"'","''")&amp;"'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"&amp;IF(TRIM(J238&amp;"")="","NULL","(SELECT id FROM gen_almacen WHERE upper(nombre) = upper('"&amp;SUBSTITUTE(TRIM(J238),"'","''")&amp;"') AND estado = 1 LIMIT 1)")&amp;", p_id_cliente_ubicacion =&gt; "&amp;IF(TRIM(K238&amp;"")="","NULL","(SELECT id FROM cli_clientes WHERE numero_documento = '"&amp;SUBSTITUTE(TRIM(K238),"'","''")&amp;"' AND estado = 1 LIMIT 1)")&amp;", p_id_referencia =&gt; "&amp;IF(TRIM(J238&amp;"")&lt;&gt;"","(SELECT lo.id FROM gen_lista_opciones lo JOIN gen_lista l ON l.id = lo.id_lista WHERE l.nombre = 'ReferenciaCilindro' AND upper(lo.nombre) = 'ALMACEN' AND lo.estado = 1 LIMIT 1)",IF(TRIM(K238&amp;"")&lt;&gt;"","(SELECT lo.id FROM gen_lista_opciones lo JOIN gen_lista l ON l.id = lo.id_lista WHERE l.nombre = 'ReferenciaCilindro' AND upper(lo.nombre) = 'CLIENTE' AND lo.estado = 1 LIMIT 1)","NULL"))&amp;", p_anio_fabricacion =&gt; "&amp;IF(M238&amp;""="","NULL::smallint",M238&amp;"::smallint")&amp;", p_mes_fabricacion =&gt; "&amp;IF(N238&amp;""="","NULL::smallint",N238&amp;"::smallint")&amp;", p_fecha_ultima_prueba_hidrostatica =&gt; "&amp;IF(O238&amp;""="","NULL","'"&amp;YEAR(O238)&amp;"-"&amp;TEXT(MONTH(O238),"00")&amp;"-"&amp;TEXT(DAY(O238),"00")&amp;"'")&amp;", p_numero_serie =&gt; "&amp;IF(TRIM(Q238&amp;"")="","NULL","'"&amp;SUBSTITUTE(TRIM(Q238),"'","''")&amp;"'")&amp;", p_id_marca_cilindro =&gt; "&amp;IF(TRIM(R238&amp;"")="","NULL","(SELECT lo.id FROM gen_lista_opciones lo JOIN gen_lista l ON l.id = lo.id_lista WHERE l.nombre = 'MarcaCilindro' AND upper(lo.nombre) = upper('"&amp;SUBSTITUTE(TRIM(R238),"'","''")&amp;"') AND lo.estado = 1 LIMIT 1)")&amp;", p_id_organo_inspector =&gt; "&amp;IF(TRIM(S238&amp;"")="","NULL","(SELECT lo.id FROM gen_lista_opciones lo JOIN gen_lista l ON l.id = lo.id_lista WHERE l.nombre = 'OrganoInspectorCilindro' AND upper(lo.nombre) = upper('"&amp;SUBSTITUTE(TRIM(S238),"'","''")&amp;"') AND lo.estado = 1 LIMIT 1)")&amp;", p_organo_inspector_no_aplica =&gt; "&amp;IF(S238="NO_APLICA","TRUE","FALSE")&amp;", p_presion_actual =&gt; "&amp;IF(T238&amp;""="","NULL",SUBSTITUTE(T238&amp;"",",","."))&amp;", p_tipo_valvula =&gt; "&amp;IF(TRIM(U238&amp;"")="","NULL","'"&amp;SUBSTITUTE(TRIM(U238),"'","''")&amp;"'")&amp;", p_libro_cilindro =&gt; "&amp;IF(TRIM(V238&amp;"")="","NULL","'"&amp;SUBSTITUTE(TRIM(V238),"'","''")&amp;"'")&amp;", p_pagina_libro =&gt; "&amp;IF(W238&amp;""="","NULL",SUBSTITUTE(W238&amp;"",",","."))&amp;", p_observacion =&gt; "&amp;IF(TRIM(X238&amp;"")="","NULL","'"&amp;SUBSTITUTE(TRIM(X238),"'","''")&amp;"'")&amp;") AS resultado_balon_"&amp;ROW()&amp;";")</f>
        <v/>
      </c>
    </row>
    <row r="239" ht="15.75" customHeight="1" s="64">
      <c r="A239" s="36" t="inlineStr">
        <is>
          <t>235</t>
        </is>
      </c>
      <c r="B239" s="25">
        <f>IF(AND(C239="",D239="",E239=""),"",IF(C239="","FALTA código balón",IF(D239="","FALTA tipo balón",IF(E239="","FALTA gas",IF(F239="","FALTA propietario",IF(AND(C239&lt;&gt;"",SUMPRODUCT(--($C$5:$C$1200=C239))&gt;1),"CÓDIGO BALÓN DUPLICADO",IF(AND(OR(UPPER(F239)="PLANTA",UPPER(F239)="CLIENTE"),G239=""),"FALTA doc propietario/planta",IF(AND(UPPER(F239)="PLANTA",G239="10175332796"),"PLANTA no puede ser RUC empresa","OK"))))))))</f>
        <v/>
      </c>
      <c r="C239" s="60" t="inlineStr">
        <is>
          <t>M427046</t>
        </is>
      </c>
      <c r="D239" s="17" t="inlineStr">
        <is>
          <t>Acetileno de 8 - 10 kg</t>
        </is>
      </c>
      <c r="E239" s="17" t="inlineStr">
        <is>
          <t>ACETILENO ESTANDAR</t>
        </is>
      </c>
      <c r="F239" s="17" t="inlineStr">
        <is>
          <t>EMPRESA</t>
        </is>
      </c>
      <c r="G239" s="23" t="inlineStr">
        <is>
          <t>10175332796</t>
        </is>
      </c>
      <c r="H239" s="25" t="inlineStr">
        <is>
          <t>OXIGENO SARITA</t>
        </is>
      </c>
      <c r="I239" s="17" t="inlineStr">
        <is>
          <t>EN_PODER_CLIENTE</t>
        </is>
      </c>
      <c r="J239" s="17" t="n"/>
      <c r="K239" s="23" t="inlineStr">
        <is>
          <t>20615458440</t>
        </is>
      </c>
      <c r="L239" s="25">
        <f t="array" ref="L239">IF(K239="","",IFERROR(IF(INDEX(Clientes!$D$5:$D$549,MATCH(K239,Clientes!$C$5:$C$549,0))&lt;&gt;"",INDEX(Clientes!$D$5:$D$549,MATCH(K239,Clientes!$C$5:$C$549,0)),TRIM(INDEX(Clientes!$E$5:$E$549,MATCH(K239,Clientes!$C$5:$C$549,0))&amp;" "&amp;INDEX(Clientes!$F$5:$F$549,MATCH(K239,Clientes!$C$5:$C$549,0)))),"NO EXISTE en Clientes"))</f>
        <v/>
      </c>
      <c r="M239" s="17" t="n"/>
      <c r="N239" s="17" t="n"/>
      <c r="O239" s="42" t="n"/>
      <c r="P239" s="39">
        <f>IF(O239&lt;&gt;"",DATE(YEAR(O239)+5,MONTH(O239),1),IF(AND(M239&lt;&gt;"",N239&lt;&gt;""),DATE(M239+5,N239,1),""))</f>
        <v/>
      </c>
      <c r="Q239" s="23" t="n"/>
      <c r="R239" s="17" t="n"/>
      <c r="S239" s="17" t="n"/>
      <c r="T239" s="17" t="n"/>
      <c r="U239" s="17" t="n"/>
      <c r="V239" s="23" t="n"/>
      <c r="W239" s="17" t="n"/>
      <c r="X239" s="17" t="n"/>
      <c r="Y239" s="28">
        <f>IF(B239&lt;&gt;"OK","","SELECT bal_crear_balon(p_codigo_balon =&gt; "&amp;IF(TRIM(C239&amp;"")="","NULL","'"&amp;SUBSTITUTE(TRIM(C239),"'","''")&amp;"'")&amp;", p_id_tipo_balon =&gt; "&amp;"(SELECT id FROM bal_tipo_balon WHERE upper(nombre) = upper('"&amp;SUBSTITUTE(TRIM(D239),"'","''")&amp;"') AND estado = 1 LIMIT 1)"&amp;", p_id_producto_gas =&gt; "&amp;"(SELECT id FROM pro_producto WHERE es_gas = TRUE AND upper(nombre) = upper('"&amp;SUBSTITUTE(TRIM(E239),"'","''")&amp;"') AND estado = 1 LIMIT 1)"&amp;", p_id_propietario =&gt; "&amp;IF(TRIM(F239&amp;"")="","NULL","(SELECT lo.id FROM gen_lista_opciones lo JOIN gen_lista l ON l.id = lo.id_lista WHERE l.nombre = 'PropietarioBalon' AND upper(lo.nombre) = upper('"&amp;SUBSTITUTE(TRIM(F239),"'","''")&amp;"') AND lo.estado = 1 LIMIT 1)")&amp;", p_id_cliente_propietario =&gt; "&amp;IF(F239="CLIENTE",IF(TRIM(G239&amp;"")="","NULL","(SELECT id FROM cli_clientes WHERE numero_documento = '"&amp;SUBSTITUTE(TRIM(G239),"'","''")&amp;"' AND estado = 1 LIMIT 1)"),"NULL")&amp;", p_id_planta =&gt; "&amp;IF(F239="PLANTA",IF(TRIM(G239&amp;"")="","NULL","(SELECT id FROM cli_clientes WHERE numero_documento = '"&amp;SUBSTITUTE(TRIM(G239),"'","''")&amp;"'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"&amp;IF(TRIM(J239&amp;"")="","NULL","(SELECT id FROM gen_almacen WHERE upper(nombre) = upper('"&amp;SUBSTITUTE(TRIM(J239),"'","''")&amp;"') AND estado = 1 LIMIT 1)")&amp;", p_id_cliente_ubicacion =&gt; "&amp;IF(TRIM(K239&amp;"")="","NULL","(SELECT id FROM cli_clientes WHERE numero_documento = '"&amp;SUBSTITUTE(TRIM(K239),"'","''")&amp;"' AND estado = 1 LIMIT 1)")&amp;", p_id_referencia =&gt; "&amp;IF(TRIM(J239&amp;"")&lt;&gt;"","(SELECT lo.id FROM gen_lista_opciones lo JOIN gen_lista l ON l.id = lo.id_lista WHERE l.nombre = 'ReferenciaCilindro' AND upper(lo.nombre) = 'ALMACEN' AND lo.estado = 1 LIMIT 1)",IF(TRIM(K239&amp;"")&lt;&gt;"","(SELECT lo.id FROM gen_lista_opciones lo JOIN gen_lista l ON l.id = lo.id_lista WHERE l.nombre = 'ReferenciaCilindro' AND upper(lo.nombre) = 'CLIENTE' AND lo.estado = 1 LIMIT 1)","NULL"))&amp;", p_anio_fabricacion =&gt; "&amp;IF(M239&amp;""="","NULL::smallint",M239&amp;"::smallint")&amp;", p_mes_fabricacion =&gt; "&amp;IF(N239&amp;""="","NULL::smallint",N239&amp;"::smallint")&amp;", p_fecha_ultima_prueba_hidrostatica =&gt; "&amp;IF(O239&amp;""="","NULL","'"&amp;YEAR(O239)&amp;"-"&amp;TEXT(MONTH(O239),"00")&amp;"-"&amp;TEXT(DAY(O239),"00")&amp;"'")&amp;", p_numero_serie =&gt; "&amp;IF(TRIM(Q239&amp;"")="","NULL","'"&amp;SUBSTITUTE(TRIM(Q239),"'","''")&amp;"'")&amp;", p_id_marca_cilindro =&gt; "&amp;IF(TRIM(R239&amp;"")="","NULL","(SELECT lo.id FROM gen_lista_opciones lo JOIN gen_lista l ON l.id = lo.id_lista WHERE l.nombre = 'MarcaCilindro' AND upper(lo.nombre) = upper('"&amp;SUBSTITUTE(TRIM(R239),"'","''")&amp;"') AND lo.estado = 1 LIMIT 1)")&amp;", p_id_organo_inspector =&gt; "&amp;IF(TRIM(S239&amp;"")="","NULL","(SELECT lo.id FROM gen_lista_opciones lo JOIN gen_lista l ON l.id = lo.id_lista WHERE l.nombre = 'OrganoInspectorCilindro' AND upper(lo.nombre) = upper('"&amp;SUBSTITUTE(TRIM(S239),"'","''")&amp;"') AND lo.estado = 1 LIMIT 1)")&amp;", p_organo_inspector_no_aplica =&gt; "&amp;IF(S239="NO_APLICA","TRUE","FALSE")&amp;", p_presion_actual =&gt; "&amp;IF(T239&amp;""="","NULL",SUBSTITUTE(T239&amp;"",",","."))&amp;", p_tipo_valvula =&gt; "&amp;IF(TRIM(U239&amp;"")="","NULL","'"&amp;SUBSTITUTE(TRIM(U239),"'","''")&amp;"'")&amp;", p_libro_cilindro =&gt; "&amp;IF(TRIM(V239&amp;"")="","NULL","'"&amp;SUBSTITUTE(TRIM(V239),"'","''")&amp;"'")&amp;", p_pagina_libro =&gt; "&amp;IF(W239&amp;""="","NULL",SUBSTITUTE(W239&amp;"",",","."))&amp;", p_observacion =&gt; "&amp;IF(TRIM(X239&amp;"")="","NULL","'"&amp;SUBSTITUTE(TRIM(X239),"'","''")&amp;"'")&amp;") AS resultado_balon_"&amp;ROW()&amp;";")</f>
        <v/>
      </c>
    </row>
    <row r="240" ht="15.75" customHeight="1" s="64">
      <c r="A240" s="36" t="inlineStr">
        <is>
          <t>236</t>
        </is>
      </c>
      <c r="B240" s="25">
        <f>IF(AND(C240="",D240="",E240=""),"",IF(C240="","FALTA código balón",IF(D240="","FALTA tipo balón",IF(E240="","FALTA gas",IF(F240="","FALTA propietario",IF(AND(C240&lt;&gt;"",SUMPRODUCT(--($C$5:$C$1200=C240))&gt;1),"CÓDIGO BALÓN DUPLICADO",IF(AND(OR(UPPER(F240)="PLANTA",UPPER(F240)="CLIENTE"),G240=""),"FALTA doc propietario/planta",IF(AND(UPPER(F240)="PLANTA",G240="10175332796"),"PLANTA no puede ser RUC empresa","OK"))))))))</f>
        <v/>
      </c>
      <c r="C240" s="60" t="inlineStr">
        <is>
          <t>666042</t>
        </is>
      </c>
      <c r="D240" s="17" t="inlineStr">
        <is>
          <t>Acetileno de 7 - 9 kg</t>
        </is>
      </c>
      <c r="E240" s="17" t="inlineStr">
        <is>
          <t>ACETILENO ESTANDAR</t>
        </is>
      </c>
      <c r="F240" s="17" t="inlineStr">
        <is>
          <t>EMPRESA</t>
        </is>
      </c>
      <c r="G240" s="23" t="inlineStr">
        <is>
          <t>10175332796</t>
        </is>
      </c>
      <c r="H240" s="25" t="inlineStr">
        <is>
          <t>OXIGENO SARITA</t>
        </is>
      </c>
      <c r="I240" s="17" t="inlineStr">
        <is>
          <t>DISPONIBLE</t>
        </is>
      </c>
      <c r="J240" s="17" t="inlineStr">
        <is>
          <t>ALMACEN PRINCIPAL</t>
        </is>
      </c>
      <c r="K240" s="26" t="n"/>
      <c r="L240" s="25">
        <f t="array" ref="L240">IF(K240="","",IFERROR(IF(INDEX(Clientes!$D$5:$D$549,MATCH(K240,Clientes!$C$5:$C$549,0))&lt;&gt;"",INDEX(Clientes!$D$5:$D$549,MATCH(K240,Clientes!$C$5:$C$549,0)),TRIM(INDEX(Clientes!$E$5:$E$549,MATCH(K240,Clientes!$C$5:$C$549,0))&amp;" "&amp;INDEX(Clientes!$F$5:$F$549,MATCH(K240,Clientes!$C$5:$C$549,0)))),"NO EXISTE en Clientes"))</f>
        <v/>
      </c>
      <c r="M240" s="17" t="n"/>
      <c r="N240" s="17" t="n"/>
      <c r="O240" s="42" t="n"/>
      <c r="P240" s="39">
        <f>IF(O240&lt;&gt;"",DATE(YEAR(O240)+5,MONTH(O240),1),IF(AND(M240&lt;&gt;"",N240&lt;&gt;""),DATE(M240+5,N240,1),""))</f>
        <v/>
      </c>
      <c r="Q240" s="23" t="n"/>
      <c r="R240" s="17" t="n"/>
      <c r="S240" s="17" t="n"/>
      <c r="T240" s="17" t="n"/>
      <c r="U240" s="17" t="n"/>
      <c r="V240" s="23" t="n"/>
      <c r="W240" s="17" t="n"/>
      <c r="X240" s="17" t="n"/>
      <c r="Y240" s="28">
        <f>IF(B240&lt;&gt;"OK","","SELECT bal_crear_balon(p_codigo_balon =&gt; "&amp;IF(TRIM(C240&amp;"")="","NULL","'"&amp;SUBSTITUTE(TRIM(C240),"'","''")&amp;"'")&amp;", p_id_tipo_balon =&gt; "&amp;"(SELECT id FROM bal_tipo_balon WHERE upper(nombre) = upper('"&amp;SUBSTITUTE(TRIM(D240),"'","''")&amp;"') AND estado = 1 LIMIT 1)"&amp;", p_id_producto_gas =&gt; "&amp;"(SELECT id FROM pro_producto WHERE es_gas = TRUE AND upper(nombre) = upper('"&amp;SUBSTITUTE(TRIM(E240),"'","''")&amp;"') AND estado = 1 LIMIT 1)"&amp;", p_id_propietario =&gt; "&amp;IF(TRIM(F240&amp;"")="","NULL","(SELECT lo.id FROM gen_lista_opciones lo JOIN gen_lista l ON l.id = lo.id_lista WHERE l.nombre = 'PropietarioBalon' AND upper(lo.nombre) = upper('"&amp;SUBSTITUTE(TRIM(F240),"'","''")&amp;"') AND lo.estado = 1 LIMIT 1)")&amp;", p_id_cliente_propietario =&gt; "&amp;IF(F240="CLIENTE",IF(TRIM(G240&amp;"")="","NULL","(SELECT id FROM cli_clientes WHERE numero_documento = '"&amp;SUBSTITUTE(TRIM(G240),"'","''")&amp;"' AND estado = 1 LIMIT 1)"),"NULL")&amp;", p_id_planta =&gt; "&amp;IF(F240="PLANTA",IF(TRIM(G240&amp;"")="","NULL","(SELECT id FROM cli_clientes WHERE numero_documento = '"&amp;SUBSTITUTE(TRIM(G240),"'","''")&amp;"'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"&amp;IF(TRIM(J240&amp;"")="","NULL","(SELECT id FROM gen_almacen WHERE upper(nombre) = upper('"&amp;SUBSTITUTE(TRIM(J240),"'","''")&amp;"') AND estado = 1 LIMIT 1)")&amp;", p_id_cliente_ubicacion =&gt; "&amp;IF(TRIM(K240&amp;"")="","NULL","(SELECT id FROM cli_clientes WHERE numero_documento = '"&amp;SUBSTITUTE(TRIM(K240),"'","''")&amp;"' AND estado = 1 LIMIT 1)")&amp;", p_id_referencia =&gt; "&amp;IF(TRIM(J240&amp;"")&lt;&gt;"","(SELECT lo.id FROM gen_lista_opciones lo JOIN gen_lista l ON l.id = lo.id_lista WHERE l.nombre = 'ReferenciaCilindro' AND upper(lo.nombre) = 'ALMACEN' AND lo.estado = 1 LIMIT 1)",IF(TRIM(K240&amp;"")&lt;&gt;"","(SELECT lo.id FROM gen_lista_opciones lo JOIN gen_lista l ON l.id = lo.id_lista WHERE l.nombre = 'ReferenciaCilindro' AND upper(lo.nombre) = 'CLIENTE' AND lo.estado = 1 LIMIT 1)","NULL"))&amp;", p_anio_fabricacion =&gt; "&amp;IF(M240&amp;""="","NULL::smallint",M240&amp;"::smallint")&amp;", p_mes_fabricacion =&gt; "&amp;IF(N240&amp;""="","NULL::smallint",N240&amp;"::smallint")&amp;", p_fecha_ultima_prueba_hidrostatica =&gt; "&amp;IF(O240&amp;""="","NULL","'"&amp;YEAR(O240)&amp;"-"&amp;TEXT(MONTH(O240),"00")&amp;"-"&amp;TEXT(DAY(O240),"00")&amp;"'")&amp;", p_numero_serie =&gt; "&amp;IF(TRIM(Q240&amp;"")="","NULL","'"&amp;SUBSTITUTE(TRIM(Q240),"'","''")&amp;"'")&amp;", p_id_marca_cilindro =&gt; "&amp;IF(TRIM(R240&amp;"")="","NULL","(SELECT lo.id FROM gen_lista_opciones lo JOIN gen_lista l ON l.id = lo.id_lista WHERE l.nombre = 'MarcaCilindro' AND upper(lo.nombre) = upper('"&amp;SUBSTITUTE(TRIM(R240),"'","''")&amp;"') AND lo.estado = 1 LIMIT 1)")&amp;", p_id_organo_inspector =&gt; "&amp;IF(TRIM(S240&amp;"")="","NULL","(SELECT lo.id FROM gen_lista_opciones lo JOIN gen_lista l ON l.id = lo.id_lista WHERE l.nombre = 'OrganoInspectorCilindro' AND upper(lo.nombre) = upper('"&amp;SUBSTITUTE(TRIM(S240),"'","''")&amp;"') AND lo.estado = 1 LIMIT 1)")&amp;", p_organo_inspector_no_aplica =&gt; "&amp;IF(S240="NO_APLICA","TRUE","FALSE")&amp;", p_presion_actual =&gt; "&amp;IF(T240&amp;""="","NULL",SUBSTITUTE(T240&amp;"",",","."))&amp;", p_tipo_valvula =&gt; "&amp;IF(TRIM(U240&amp;"")="","NULL","'"&amp;SUBSTITUTE(TRIM(U240),"'","''")&amp;"'")&amp;", p_libro_cilindro =&gt; "&amp;IF(TRIM(V240&amp;"")="","NULL","'"&amp;SUBSTITUTE(TRIM(V240),"'","''")&amp;"'")&amp;", p_pagina_libro =&gt; "&amp;IF(W240&amp;""="","NULL",SUBSTITUTE(W240&amp;"",",","."))&amp;", p_observacion =&gt; "&amp;IF(TRIM(X240&amp;"")="","NULL","'"&amp;SUBSTITUTE(TRIM(X240),"'","''")&amp;"'")&amp;") AS resultado_balon_"&amp;ROW()&amp;";")</f>
        <v/>
      </c>
    </row>
    <row r="241" ht="15.75" customHeight="1" s="64">
      <c r="A241" s="36" t="inlineStr">
        <is>
          <t>237</t>
        </is>
      </c>
      <c r="B241" s="25">
        <f>IF(AND(C241="",D241="",E241=""),"",IF(C241="","FALTA código balón",IF(D241="","FALTA tipo balón",IF(E241="","FALTA gas",IF(F241="","FALTA propietario",IF(AND(C241&lt;&gt;"",SUMPRODUCT(--($C$5:$C$1200=C241))&gt;1),"CÓDIGO BALÓN DUPLICADO",IF(AND(OR(UPPER(F241)="PLANTA",UPPER(F241)="CLIENTE"),G241=""),"FALTA doc propietario/planta",IF(AND(UPPER(F241)="PLANTA",G241="10175332796"),"PLANTA no puede ser RUC empresa","OK"))))))))</f>
        <v/>
      </c>
      <c r="C241" s="60" t="inlineStr">
        <is>
          <t xml:space="preserve">661053
</t>
        </is>
      </c>
      <c r="D241" s="17" t="inlineStr">
        <is>
          <t>Acetileno de 1 - 4 kg</t>
        </is>
      </c>
      <c r="E241" s="17" t="inlineStr">
        <is>
          <t>ACETILENO ESTANDAR</t>
        </is>
      </c>
      <c r="F241" s="17" t="inlineStr">
        <is>
          <t>EMPRESA</t>
        </is>
      </c>
      <c r="G241" s="23" t="inlineStr">
        <is>
          <t>10175332796</t>
        </is>
      </c>
      <c r="H241" s="25" t="inlineStr">
        <is>
          <t>OXIGENO SARITA</t>
        </is>
      </c>
      <c r="I241" s="17" t="inlineStr">
        <is>
          <t>EN_RECARGA_EXTERNA</t>
        </is>
      </c>
      <c r="J241" s="17" t="n"/>
      <c r="K241" s="23" t="inlineStr">
        <is>
          <t>20604549401</t>
        </is>
      </c>
      <c r="L241" s="25">
        <f t="array" ref="L241">IF(K241="","",IFERROR(IF(INDEX(Clientes!$D$5:$D$549,MATCH(K241,Clientes!$C$5:$C$549,0))&lt;&gt;"",INDEX(Clientes!$D$5:$D$549,MATCH(K241,Clientes!$C$5:$C$549,0)),TRIM(INDEX(Clientes!$E$5:$E$549,MATCH(K241,Clientes!$C$5:$C$549,0))&amp;" "&amp;INDEX(Clientes!$F$5:$F$549,MATCH(K241,Clientes!$C$5:$C$549,0)))),"NO EXISTE en Clientes"))</f>
        <v/>
      </c>
      <c r="M241" s="17" t="n"/>
      <c r="N241" s="17" t="n"/>
      <c r="O241" s="42" t="n"/>
      <c r="P241" s="39">
        <f>IF(O241&lt;&gt;"",DATE(YEAR(O241)+5,MONTH(O241),1),IF(AND(M241&lt;&gt;"",N241&lt;&gt;""),DATE(M241+5,N241,1),""))</f>
        <v/>
      </c>
      <c r="Q241" s="23" t="n"/>
      <c r="R241" s="17" t="n"/>
      <c r="S241" s="17" t="n"/>
      <c r="T241" s="17" t="n"/>
      <c r="U241" s="17" t="n"/>
      <c r="V241" s="23" t="n"/>
      <c r="W241" s="17" t="n"/>
      <c r="X241" s="17" t="n"/>
      <c r="Y241" s="28">
        <f>IF(B241&lt;&gt;"OK","","SELECT bal_crear_balon(p_codigo_balon =&gt; "&amp;IF(TRIM(C241&amp;"")="","NULL","'"&amp;SUBSTITUTE(TRIM(C241),"'","''")&amp;"'")&amp;", p_id_tipo_balon =&gt; "&amp;"(SELECT id FROM bal_tipo_balon WHERE upper(nombre) = upper('"&amp;SUBSTITUTE(TRIM(D241),"'","''")&amp;"') AND estado = 1 LIMIT 1)"&amp;", p_id_producto_gas =&gt; "&amp;"(SELECT id FROM pro_producto WHERE es_gas = TRUE AND upper(nombre) = upper('"&amp;SUBSTITUTE(TRIM(E241),"'","''")&amp;"') AND estado = 1 LIMIT 1)"&amp;", p_id_propietario =&gt; "&amp;IF(TRIM(F241&amp;"")="","NULL","(SELECT lo.id FROM gen_lista_opciones lo JOIN gen_lista l ON l.id = lo.id_lista WHERE l.nombre = 'PropietarioBalon' AND upper(lo.nombre) = upper('"&amp;SUBSTITUTE(TRIM(F241),"'","''")&amp;"') AND lo.estado = 1 LIMIT 1)")&amp;", p_id_cliente_propietario =&gt; "&amp;IF(F241="CLIENTE",IF(TRIM(G241&amp;"")="","NULL","(SELECT id FROM cli_clientes WHERE numero_documento = '"&amp;SUBSTITUTE(TRIM(G241),"'","''")&amp;"' AND estado = 1 LIMIT 1)"),"NULL")&amp;", p_id_planta =&gt; "&amp;IF(F241="PLANTA",IF(TRIM(G241&amp;"")="","NULL","(SELECT id FROM cli_clientes WHERE numero_documento = '"&amp;SUBSTITUTE(TRIM(G241),"'","''")&amp;"'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"&amp;IF(TRIM(J241&amp;"")="","NULL","(SELECT id FROM gen_almacen WHERE upper(nombre) = upper('"&amp;SUBSTITUTE(TRIM(J241),"'","''")&amp;"') AND estado = 1 LIMIT 1)")&amp;", p_id_cliente_ubicacion =&gt; "&amp;IF(TRIM(K241&amp;"")="","NULL","(SELECT id FROM cli_clientes WHERE numero_documento = '"&amp;SUBSTITUTE(TRIM(K241),"'","''")&amp;"' AND estado = 1 LIMIT 1)")&amp;", p_id_referencia =&gt; "&amp;IF(TRIM(J241&amp;"")&lt;&gt;"","(SELECT lo.id FROM gen_lista_opciones lo JOIN gen_lista l ON l.id = lo.id_lista WHERE l.nombre = 'ReferenciaCilindro' AND upper(lo.nombre) = 'ALMACEN' AND lo.estado = 1 LIMIT 1)",IF(TRIM(K241&amp;"")&lt;&gt;"","(SELECT lo.id FROM gen_lista_opciones lo JOIN gen_lista l ON l.id = lo.id_lista WHERE l.nombre = 'ReferenciaCilindro' AND upper(lo.nombre) = 'CLIENTE' AND lo.estado = 1 LIMIT 1)","NULL"))&amp;", p_anio_fabricacion =&gt; "&amp;IF(M241&amp;""="","NULL::smallint",M241&amp;"::smallint")&amp;", p_mes_fabricacion =&gt; "&amp;IF(N241&amp;""="","NULL::smallint",N241&amp;"::smallint")&amp;", p_fecha_ultima_prueba_hidrostatica =&gt; "&amp;IF(O241&amp;""="","NULL","'"&amp;YEAR(O241)&amp;"-"&amp;TEXT(MONTH(O241),"00")&amp;"-"&amp;TEXT(DAY(O241),"00")&amp;"'")&amp;", p_numero_serie =&gt; "&amp;IF(TRIM(Q241&amp;"")="","NULL","'"&amp;SUBSTITUTE(TRIM(Q241),"'","''")&amp;"'")&amp;", p_id_marca_cilindro =&gt; "&amp;IF(TRIM(R241&amp;"")="","NULL","(SELECT lo.id FROM gen_lista_opciones lo JOIN gen_lista l ON l.id = lo.id_lista WHERE l.nombre = 'MarcaCilindro' AND upper(lo.nombre) = upper('"&amp;SUBSTITUTE(TRIM(R241),"'","''")&amp;"') AND lo.estado = 1 LIMIT 1)")&amp;", p_id_organo_inspector =&gt; "&amp;IF(TRIM(S241&amp;"")="","NULL","(SELECT lo.id FROM gen_lista_opciones lo JOIN gen_lista l ON l.id = lo.id_lista WHERE l.nombre = 'OrganoInspectorCilindro' AND upper(lo.nombre) = upper('"&amp;SUBSTITUTE(TRIM(S241),"'","''")&amp;"') AND lo.estado = 1 LIMIT 1)")&amp;", p_organo_inspector_no_aplica =&gt; "&amp;IF(S241="NO_APLICA","TRUE","FALSE")&amp;", p_presion_actual =&gt; "&amp;IF(T241&amp;""="","NULL",SUBSTITUTE(T241&amp;"",",","."))&amp;", p_tipo_valvula =&gt; "&amp;IF(TRIM(U241&amp;"")="","NULL","'"&amp;SUBSTITUTE(TRIM(U241),"'","''")&amp;"'")&amp;", p_libro_cilindro =&gt; "&amp;IF(TRIM(V241&amp;"")="","NULL","'"&amp;SUBSTITUTE(TRIM(V241),"'","''")&amp;"'")&amp;", p_pagina_libro =&gt; "&amp;IF(W241&amp;""="","NULL",SUBSTITUTE(W241&amp;"",",","."))&amp;", p_observacion =&gt; "&amp;IF(TRIM(X241&amp;"")="","NULL","'"&amp;SUBSTITUTE(TRIM(X241),"'","''")&amp;"'")&amp;") AS resultado_balon_"&amp;ROW()&amp;";")</f>
        <v/>
      </c>
    </row>
    <row r="242" ht="15.75" customHeight="1" s="64">
      <c r="A242" s="36" t="inlineStr">
        <is>
          <t>238</t>
        </is>
      </c>
      <c r="B242" s="25">
        <f>IF(AND(C242="",D242="",E242=""),"",IF(C242="","FALTA código balón",IF(D242="","FALTA tipo balón",IF(E242="","FALTA gas",IF(F242="","FALTA propietario",IF(AND(C242&lt;&gt;"",SUMPRODUCT(--($C$5:$C$1200=C242))&gt;1),"CÓDIGO BALÓN DUPLICADO",IF(AND(OR(UPPER(F242)="PLANTA",UPPER(F242)="CLIENTE"),G242=""),"FALTA doc propietario/planta",IF(AND(UPPER(F242)="PLANTA",G242="10175332796"),"PLANTA no puede ser RUC empresa","OK"))))))))</f>
        <v/>
      </c>
      <c r="C242" s="60" t="inlineStr">
        <is>
          <t>673238</t>
        </is>
      </c>
      <c r="D242" s="17" t="inlineStr">
        <is>
          <t>Acetileno de 7 - 9 kg</t>
        </is>
      </c>
      <c r="E242" s="17" t="inlineStr">
        <is>
          <t>ACETILENO ESTANDAR</t>
        </is>
      </c>
      <c r="F242" s="17" t="inlineStr">
        <is>
          <t>EMPRESA</t>
        </is>
      </c>
      <c r="G242" s="23" t="inlineStr">
        <is>
          <t>10175332796</t>
        </is>
      </c>
      <c r="H242" s="25" t="inlineStr">
        <is>
          <t>OXIGENO SARITA</t>
        </is>
      </c>
      <c r="I242" s="17" t="inlineStr">
        <is>
          <t>EN_RECARGA_EXTERNA</t>
        </is>
      </c>
      <c r="J242" s="17" t="n"/>
      <c r="K242" s="23" t="inlineStr">
        <is>
          <t>20604549401</t>
        </is>
      </c>
      <c r="L242" s="25">
        <f t="array" ref="L242">IF(K242="","",IFERROR(IF(INDEX(Clientes!$D$5:$D$549,MATCH(K242,Clientes!$C$5:$C$549,0))&lt;&gt;"",INDEX(Clientes!$D$5:$D$549,MATCH(K242,Clientes!$C$5:$C$549,0)),TRIM(INDEX(Clientes!$E$5:$E$549,MATCH(K242,Clientes!$C$5:$C$549,0))&amp;" "&amp;INDEX(Clientes!$F$5:$F$549,MATCH(K242,Clientes!$C$5:$C$549,0)))),"NO EXISTE en Clientes"))</f>
        <v/>
      </c>
      <c r="M242" s="17" t="n"/>
      <c r="N242" s="17" t="n"/>
      <c r="O242" s="42" t="n"/>
      <c r="P242" s="39">
        <f>IF(O242&lt;&gt;"",DATE(YEAR(O242)+5,MONTH(O242),1),IF(AND(M242&lt;&gt;"",N242&lt;&gt;""),DATE(M242+5,N242,1),""))</f>
        <v/>
      </c>
      <c r="Q242" s="23" t="n"/>
      <c r="R242" s="17" t="n"/>
      <c r="S242" s="17" t="n"/>
      <c r="T242" s="17" t="n"/>
      <c r="U242" s="17" t="n"/>
      <c r="V242" s="23" t="n"/>
      <c r="W242" s="17" t="n"/>
      <c r="X242" s="17" t="n"/>
      <c r="Y242" s="28">
        <f>IF(B242&lt;&gt;"OK","","SELECT bal_crear_balon(p_codigo_balon =&gt; "&amp;IF(TRIM(C242&amp;"")="","NULL","'"&amp;SUBSTITUTE(TRIM(C242),"'","''")&amp;"'")&amp;", p_id_tipo_balon =&gt; "&amp;"(SELECT id FROM bal_tipo_balon WHERE upper(nombre) = upper('"&amp;SUBSTITUTE(TRIM(D242),"'","''")&amp;"') AND estado = 1 LIMIT 1)"&amp;", p_id_producto_gas =&gt; "&amp;"(SELECT id FROM pro_producto WHERE es_gas = TRUE AND upper(nombre) = upper('"&amp;SUBSTITUTE(TRIM(E242),"'","''")&amp;"') AND estado = 1 LIMIT 1)"&amp;", p_id_propietario =&gt; "&amp;IF(TRIM(F242&amp;"")="","NULL","(SELECT lo.id FROM gen_lista_opciones lo JOIN gen_lista l ON l.id = lo.id_lista WHERE l.nombre = 'PropietarioBalon' AND upper(lo.nombre) = upper('"&amp;SUBSTITUTE(TRIM(F242),"'","''")&amp;"') AND lo.estado = 1 LIMIT 1)")&amp;", p_id_cliente_propietario =&gt; "&amp;IF(F242="CLIENTE",IF(TRIM(G242&amp;"")="","NULL","(SELECT id FROM cli_clientes WHERE numero_documento = '"&amp;SUBSTITUTE(TRIM(G242),"'","''")&amp;"' AND estado = 1 LIMIT 1)"),"NULL")&amp;", p_id_planta =&gt; "&amp;IF(F242="PLANTA",IF(TRIM(G242&amp;"")="","NULL","(SELECT id FROM cli_clientes WHERE numero_documento = '"&amp;SUBSTITUTE(TRIM(G242),"'","''")&amp;"'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"&amp;IF(TRIM(J242&amp;"")="","NULL","(SELECT id FROM gen_almacen WHERE upper(nombre) = upper('"&amp;SUBSTITUTE(TRIM(J242),"'","''")&amp;"') AND estado = 1 LIMIT 1)")&amp;", p_id_cliente_ubicacion =&gt; "&amp;IF(TRIM(K242&amp;"")="","NULL","(SELECT id FROM cli_clientes WHERE numero_documento = '"&amp;SUBSTITUTE(TRIM(K242),"'","''")&amp;"' AND estado = 1 LIMIT 1)")&amp;", p_id_referencia =&gt; "&amp;IF(TRIM(J242&amp;"")&lt;&gt;"","(SELECT lo.id FROM gen_lista_opciones lo JOIN gen_lista l ON l.id = lo.id_lista WHERE l.nombre = 'ReferenciaCilindro' AND upper(lo.nombre) = 'ALMACEN' AND lo.estado = 1 LIMIT 1)",IF(TRIM(K242&amp;"")&lt;&gt;"","(SELECT lo.id FROM gen_lista_opciones lo JOIN gen_lista l ON l.id = lo.id_lista WHERE l.nombre = 'ReferenciaCilindro' AND upper(lo.nombre) = 'CLIENTE' AND lo.estado = 1 LIMIT 1)","NULL"))&amp;", p_anio_fabricacion =&gt; "&amp;IF(M242&amp;""="","NULL::smallint",M242&amp;"::smallint")&amp;", p_mes_fabricacion =&gt; "&amp;IF(N242&amp;""="","NULL::smallint",N242&amp;"::smallint")&amp;", p_fecha_ultima_prueba_hidrostatica =&gt; "&amp;IF(O242&amp;""="","NULL","'"&amp;YEAR(O242)&amp;"-"&amp;TEXT(MONTH(O242),"00")&amp;"-"&amp;TEXT(DAY(O242),"00")&amp;"'")&amp;", p_numero_serie =&gt; "&amp;IF(TRIM(Q242&amp;"")="","NULL","'"&amp;SUBSTITUTE(TRIM(Q242),"'","''")&amp;"'")&amp;", p_id_marca_cilindro =&gt; "&amp;IF(TRIM(R242&amp;"")="","NULL","(SELECT lo.id FROM gen_lista_opciones lo JOIN gen_lista l ON l.id = lo.id_lista WHERE l.nombre = 'MarcaCilindro' AND upper(lo.nombre) = upper('"&amp;SUBSTITUTE(TRIM(R242),"'","''")&amp;"') AND lo.estado = 1 LIMIT 1)")&amp;", p_id_organo_inspector =&gt; "&amp;IF(TRIM(S242&amp;"")="","NULL","(SELECT lo.id FROM gen_lista_opciones lo JOIN gen_lista l ON l.id = lo.id_lista WHERE l.nombre = 'OrganoInspectorCilindro' AND upper(lo.nombre) = upper('"&amp;SUBSTITUTE(TRIM(S242),"'","''")&amp;"') AND lo.estado = 1 LIMIT 1)")&amp;", p_organo_inspector_no_aplica =&gt; "&amp;IF(S242="NO_APLICA","TRUE","FALSE")&amp;", p_presion_actual =&gt; "&amp;IF(T242&amp;""="","NULL",SUBSTITUTE(T242&amp;"",",","."))&amp;", p_tipo_valvula =&gt; "&amp;IF(TRIM(U242&amp;"")="","NULL","'"&amp;SUBSTITUTE(TRIM(U242),"'","''")&amp;"'")&amp;", p_libro_cilindro =&gt; "&amp;IF(TRIM(V242&amp;"")="","NULL","'"&amp;SUBSTITUTE(TRIM(V242),"'","''")&amp;"'")&amp;", p_pagina_libro =&gt; "&amp;IF(W242&amp;""="","NULL",SUBSTITUTE(W242&amp;"",",","."))&amp;", p_observacion =&gt; "&amp;IF(TRIM(X242&amp;"")="","NULL","'"&amp;SUBSTITUTE(TRIM(X242),"'","''")&amp;"'")&amp;") AS resultado_balon_"&amp;ROW()&amp;";")</f>
        <v/>
      </c>
    </row>
    <row r="243" ht="15.75" customHeight="1" s="64">
      <c r="A243" s="36" t="inlineStr">
        <is>
          <t>239</t>
        </is>
      </c>
      <c r="B243" s="25">
        <f>IF(AND(C243="",D243="",E243=""),"",IF(C243="","FALTA código balón",IF(D243="","FALTA tipo balón",IF(E243="","FALTA gas",IF(F243="","FALTA propietario",IF(AND(C243&lt;&gt;"",SUMPRODUCT(--($C$5:$C$1200=C243))&gt;1),"CÓDIGO BALÓN DUPLICADO",IF(AND(OR(UPPER(F243)="PLANTA",UPPER(F243)="CLIENTE"),G243=""),"FALTA doc propietario/planta",IF(AND(UPPER(F243)="PLANTA",G243="10175332796"),"PLANTA no puede ser RUC empresa","OK"))))))))</f>
        <v/>
      </c>
      <c r="C243" s="60" t="inlineStr">
        <is>
          <t>735229</t>
        </is>
      </c>
      <c r="D243" s="17" t="inlineStr">
        <is>
          <t>Acetileno de 8 - 10 kg</t>
        </is>
      </c>
      <c r="E243" s="17" t="inlineStr">
        <is>
          <t>ACETILENO ESTANDAR</t>
        </is>
      </c>
      <c r="F243" s="17" t="inlineStr">
        <is>
          <t>EMPRESA</t>
        </is>
      </c>
      <c r="G243" s="23" t="inlineStr">
        <is>
          <t>10175332796</t>
        </is>
      </c>
      <c r="H243" s="25" t="inlineStr">
        <is>
          <t>OXIGENO SARITA</t>
        </is>
      </c>
      <c r="I243" s="17" t="inlineStr">
        <is>
          <t>EN_RECARGA_EXTERNA</t>
        </is>
      </c>
      <c r="J243" s="17" t="n"/>
      <c r="K243" s="23" t="inlineStr">
        <is>
          <t>20604549401</t>
        </is>
      </c>
      <c r="L243" s="25">
        <f t="array" ref="L243">IF(K243="","",IFERROR(IF(INDEX(Clientes!$D$5:$D$549,MATCH(K243,Clientes!$C$5:$C$549,0))&lt;&gt;"",INDEX(Clientes!$D$5:$D$549,MATCH(K243,Clientes!$C$5:$C$549,0)),TRIM(INDEX(Clientes!$E$5:$E$549,MATCH(K243,Clientes!$C$5:$C$549,0))&amp;" "&amp;INDEX(Clientes!$F$5:$F$549,MATCH(K243,Clientes!$C$5:$C$549,0)))),"NO EXISTE en Clientes"))</f>
        <v/>
      </c>
      <c r="M243" s="17" t="n"/>
      <c r="N243" s="17" t="n"/>
      <c r="O243" s="42" t="n"/>
      <c r="P243" s="39">
        <f>IF(O243&lt;&gt;"",DATE(YEAR(O243)+5,MONTH(O243),1),IF(AND(M243&lt;&gt;"",N243&lt;&gt;""),DATE(M243+5,N243,1),""))</f>
        <v/>
      </c>
      <c r="Q243" s="23" t="n"/>
      <c r="R243" s="17" t="n"/>
      <c r="S243" s="17" t="n"/>
      <c r="T243" s="17" t="n"/>
      <c r="U243" s="17" t="n"/>
      <c r="V243" s="23" t="n"/>
      <c r="W243" s="17" t="n"/>
      <c r="X243" s="17" t="n"/>
      <c r="Y243" s="28">
        <f>IF(B243&lt;&gt;"OK","","SELECT bal_crear_balon(p_codigo_balon =&gt; "&amp;IF(TRIM(C243&amp;"")="","NULL","'"&amp;SUBSTITUTE(TRIM(C243),"'","''")&amp;"'")&amp;", p_id_tipo_balon =&gt; "&amp;"(SELECT id FROM bal_tipo_balon WHERE upper(nombre) = upper('"&amp;SUBSTITUTE(TRIM(D243),"'","''")&amp;"') AND estado = 1 LIMIT 1)"&amp;", p_id_producto_gas =&gt; "&amp;"(SELECT id FROM pro_producto WHERE es_gas = TRUE AND upper(nombre) = upper('"&amp;SUBSTITUTE(TRIM(E243),"'","''")&amp;"') AND estado = 1 LIMIT 1)"&amp;", p_id_propietario =&gt; "&amp;IF(TRIM(F243&amp;"")="","NULL","(SELECT lo.id FROM gen_lista_opciones lo JOIN gen_lista l ON l.id = lo.id_lista WHERE l.nombre = 'PropietarioBalon' AND upper(lo.nombre) = upper('"&amp;SUBSTITUTE(TRIM(F243),"'","''")&amp;"') AND lo.estado = 1 LIMIT 1)")&amp;", p_id_cliente_propietario =&gt; "&amp;IF(F243="CLIENTE",IF(TRIM(G243&amp;"")="","NULL","(SELECT id FROM cli_clientes WHERE numero_documento = '"&amp;SUBSTITUTE(TRIM(G243),"'","''")&amp;"' AND estado = 1 LIMIT 1)"),"NULL")&amp;", p_id_planta =&gt; "&amp;IF(F243="PLANTA",IF(TRIM(G243&amp;"")="","NULL","(SELECT id FROM cli_clientes WHERE numero_documento = '"&amp;SUBSTITUTE(TRIM(G243),"'","''")&amp;"'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"&amp;IF(TRIM(J243&amp;"")="","NULL","(SELECT id FROM gen_almacen WHERE upper(nombre) = upper('"&amp;SUBSTITUTE(TRIM(J243),"'","''")&amp;"') AND estado = 1 LIMIT 1)")&amp;", p_id_cliente_ubicacion =&gt; "&amp;IF(TRIM(K243&amp;"")="","NULL","(SELECT id FROM cli_clientes WHERE numero_documento = '"&amp;SUBSTITUTE(TRIM(K243),"'","''")&amp;"' AND estado = 1 LIMIT 1)")&amp;", p_id_referencia =&gt; "&amp;IF(TRIM(J243&amp;"")&lt;&gt;"","(SELECT lo.id FROM gen_lista_opciones lo JOIN gen_lista l ON l.id = lo.id_lista WHERE l.nombre = 'ReferenciaCilindro' AND upper(lo.nombre) = 'ALMACEN' AND lo.estado = 1 LIMIT 1)",IF(TRIM(K243&amp;"")&lt;&gt;"","(SELECT lo.id FROM gen_lista_opciones lo JOIN gen_lista l ON l.id = lo.id_lista WHERE l.nombre = 'ReferenciaCilindro' AND upper(lo.nombre) = 'CLIENTE' AND lo.estado = 1 LIMIT 1)","NULL"))&amp;", p_anio_fabricacion =&gt; "&amp;IF(M243&amp;""="","NULL::smallint",M243&amp;"::smallint")&amp;", p_mes_fabricacion =&gt; "&amp;IF(N243&amp;""="","NULL::smallint",N243&amp;"::smallint")&amp;", p_fecha_ultima_prueba_hidrostatica =&gt; "&amp;IF(O243&amp;""="","NULL","'"&amp;YEAR(O243)&amp;"-"&amp;TEXT(MONTH(O243),"00")&amp;"-"&amp;TEXT(DAY(O243),"00")&amp;"'")&amp;", p_numero_serie =&gt; "&amp;IF(TRIM(Q243&amp;"")="","NULL","'"&amp;SUBSTITUTE(TRIM(Q243),"'","''")&amp;"'")&amp;", p_id_marca_cilindro =&gt; "&amp;IF(TRIM(R243&amp;"")="","NULL","(SELECT lo.id FROM gen_lista_opciones lo JOIN gen_lista l ON l.id = lo.id_lista WHERE l.nombre = 'MarcaCilindro' AND upper(lo.nombre) = upper('"&amp;SUBSTITUTE(TRIM(R243),"'","''")&amp;"') AND lo.estado = 1 LIMIT 1)")&amp;", p_id_organo_inspector =&gt; "&amp;IF(TRIM(S243&amp;"")="","NULL","(SELECT lo.id FROM gen_lista_opciones lo JOIN gen_lista l ON l.id = lo.id_lista WHERE l.nombre = 'OrganoInspectorCilindro' AND upper(lo.nombre) = upper('"&amp;SUBSTITUTE(TRIM(S243),"'","''")&amp;"') AND lo.estado = 1 LIMIT 1)")&amp;", p_organo_inspector_no_aplica =&gt; "&amp;IF(S243="NO_APLICA","TRUE","FALSE")&amp;", p_presion_actual =&gt; "&amp;IF(T243&amp;""="","NULL",SUBSTITUTE(T243&amp;"",",","."))&amp;", p_tipo_valvula =&gt; "&amp;IF(TRIM(U243&amp;"")="","NULL","'"&amp;SUBSTITUTE(TRIM(U243),"'","''")&amp;"'")&amp;", p_libro_cilindro =&gt; "&amp;IF(TRIM(V243&amp;"")="","NULL","'"&amp;SUBSTITUTE(TRIM(V243),"'","''")&amp;"'")&amp;", p_pagina_libro =&gt; "&amp;IF(W243&amp;""="","NULL",SUBSTITUTE(W243&amp;"",",","."))&amp;", p_observacion =&gt; "&amp;IF(TRIM(X243&amp;"")="","NULL","'"&amp;SUBSTITUTE(TRIM(X243),"'","''")&amp;"'")&amp;") AS resultado_balon_"&amp;ROW()&amp;";")</f>
        <v/>
      </c>
    </row>
    <row r="244" ht="15.75" customHeight="1" s="64">
      <c r="A244" s="36" t="inlineStr">
        <is>
          <t>240</t>
        </is>
      </c>
      <c r="B244" s="25">
        <f>IF(AND(C244="",D244="",E244=""),"",IF(C244="","FALTA código balón",IF(D244="","FALTA tipo balón",IF(E244="","FALTA gas",IF(F244="","FALTA propietario",IF(AND(C244&lt;&gt;"",SUMPRODUCT(--($C$5:$C$1200=C244))&gt;1),"CÓDIGO BALÓN DUPLICADO",IF(AND(OR(UPPER(F244)="PLANTA",UPPER(F244)="CLIENTE"),G244=""),"FALTA doc propietario/planta",IF(AND(UPPER(F244)="PLANTA",G244="10175332796"),"PLANTA no puede ser RUC empresa","OK"))))))))</f>
        <v/>
      </c>
      <c r="C244" s="60" t="inlineStr">
        <is>
          <t>58022</t>
        </is>
      </c>
      <c r="D244" s="17" t="inlineStr">
        <is>
          <t>Acetileno de 6 - 7.5 kg</t>
        </is>
      </c>
      <c r="E244" s="17" t="inlineStr">
        <is>
          <t>ACETILENO ESTANDAR</t>
        </is>
      </c>
      <c r="F244" s="17" t="inlineStr">
        <is>
          <t>EMPRESA</t>
        </is>
      </c>
      <c r="G244" s="23" t="inlineStr">
        <is>
          <t>10175332796</t>
        </is>
      </c>
      <c r="H244" s="25" t="inlineStr">
        <is>
          <t>OXIGENO SARITA</t>
        </is>
      </c>
      <c r="I244" s="17" t="inlineStr">
        <is>
          <t>EN_PODER_CLIENTE</t>
        </is>
      </c>
      <c r="J244" s="17" t="n"/>
      <c r="K244" s="23" t="inlineStr">
        <is>
          <t>20480823860</t>
        </is>
      </c>
      <c r="L244" s="25">
        <f t="array" ref="L244">IF(K244="","",IFERROR(IF(INDEX(Clientes!$D$5:$D$549,MATCH(K244,Clientes!$C$5:$C$549,0))&lt;&gt;"",INDEX(Clientes!$D$5:$D$549,MATCH(K244,Clientes!$C$5:$C$549,0)),TRIM(INDEX(Clientes!$E$5:$E$549,MATCH(K244,Clientes!$C$5:$C$549,0))&amp;" "&amp;INDEX(Clientes!$F$5:$F$549,MATCH(K244,Clientes!$C$5:$C$549,0)))),"NO EXISTE en Clientes"))</f>
        <v/>
      </c>
      <c r="M244" s="17" t="n"/>
      <c r="N244" s="17" t="n"/>
      <c r="O244" s="42" t="n"/>
      <c r="P244" s="39">
        <f>IF(O244&lt;&gt;"",DATE(YEAR(O244)+5,MONTH(O244),1),IF(AND(M244&lt;&gt;"",N244&lt;&gt;""),DATE(M244+5,N244,1),""))</f>
        <v/>
      </c>
      <c r="Q244" s="23" t="n"/>
      <c r="R244" s="17" t="n"/>
      <c r="S244" s="17" t="n"/>
      <c r="T244" s="17" t="n"/>
      <c r="U244" s="17" t="n"/>
      <c r="V244" s="23" t="n"/>
      <c r="W244" s="17" t="n"/>
      <c r="X244" s="17" t="n"/>
      <c r="Y244" s="28">
        <f>IF(B244&lt;&gt;"OK","","SELECT bal_crear_balon(p_codigo_balon =&gt; "&amp;IF(TRIM(C244&amp;"")="","NULL","'"&amp;SUBSTITUTE(TRIM(C244),"'","''")&amp;"'")&amp;", p_id_tipo_balon =&gt; "&amp;"(SELECT id FROM bal_tipo_balon WHERE upper(nombre) = upper('"&amp;SUBSTITUTE(TRIM(D244),"'","''")&amp;"') AND estado = 1 LIMIT 1)"&amp;", p_id_producto_gas =&gt; "&amp;"(SELECT id FROM pro_producto WHERE es_gas = TRUE AND upper(nombre) = upper('"&amp;SUBSTITUTE(TRIM(E244),"'","''")&amp;"') AND estado = 1 LIMIT 1)"&amp;", p_id_propietario =&gt; "&amp;IF(TRIM(F244&amp;"")="","NULL","(SELECT lo.id FROM gen_lista_opciones lo JOIN gen_lista l ON l.id = lo.id_lista WHERE l.nombre = 'PropietarioBalon' AND upper(lo.nombre) = upper('"&amp;SUBSTITUTE(TRIM(F244),"'","''")&amp;"') AND lo.estado = 1 LIMIT 1)")&amp;", p_id_cliente_propietario =&gt; "&amp;IF(F244="CLIENTE",IF(TRIM(G244&amp;"")="","NULL","(SELECT id FROM cli_clientes WHERE numero_documento = '"&amp;SUBSTITUTE(TRIM(G244),"'","''")&amp;"' AND estado = 1 LIMIT 1)"),"NULL")&amp;", p_id_planta =&gt; "&amp;IF(F244="PLANTA",IF(TRIM(G244&amp;"")="","NULL","(SELECT id FROM cli_clientes WHERE numero_documento = '"&amp;SUBSTITUTE(TRIM(G244),"'","''")&amp;"'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"&amp;IF(TRIM(J244&amp;"")="","NULL","(SELECT id FROM gen_almacen WHERE upper(nombre) = upper('"&amp;SUBSTITUTE(TRIM(J244),"'","''")&amp;"') AND estado = 1 LIMIT 1)")&amp;", p_id_cliente_ubicacion =&gt; "&amp;IF(TRIM(K244&amp;"")="","NULL","(SELECT id FROM cli_clientes WHERE numero_documento = '"&amp;SUBSTITUTE(TRIM(K244),"'","''")&amp;"' AND estado = 1 LIMIT 1)")&amp;", p_id_referencia =&gt; "&amp;IF(TRIM(J244&amp;"")&lt;&gt;"","(SELECT lo.id FROM gen_lista_opciones lo JOIN gen_lista l ON l.id = lo.id_lista WHERE l.nombre = 'ReferenciaCilindro' AND upper(lo.nombre) = 'ALMACEN' AND lo.estado = 1 LIMIT 1)",IF(TRIM(K244&amp;"")&lt;&gt;"","(SELECT lo.id FROM gen_lista_opciones lo JOIN gen_lista l ON l.id = lo.id_lista WHERE l.nombre = 'ReferenciaCilindro' AND upper(lo.nombre) = 'CLIENTE' AND lo.estado = 1 LIMIT 1)","NULL"))&amp;", p_anio_fabricacion =&gt; "&amp;IF(M244&amp;""="","NULL::smallint",M244&amp;"::smallint")&amp;", p_mes_fabricacion =&gt; "&amp;IF(N244&amp;""="","NULL::smallint",N244&amp;"::smallint")&amp;", p_fecha_ultima_prueba_hidrostatica =&gt; "&amp;IF(O244&amp;""="","NULL","'"&amp;YEAR(O244)&amp;"-"&amp;TEXT(MONTH(O244),"00")&amp;"-"&amp;TEXT(DAY(O244),"00")&amp;"'")&amp;", p_numero_serie =&gt; "&amp;IF(TRIM(Q244&amp;"")="","NULL","'"&amp;SUBSTITUTE(TRIM(Q244),"'","''")&amp;"'")&amp;", p_id_marca_cilindro =&gt; "&amp;IF(TRIM(R244&amp;"")="","NULL","(SELECT lo.id FROM gen_lista_opciones lo JOIN gen_lista l ON l.id = lo.id_lista WHERE l.nombre = 'MarcaCilindro' AND upper(lo.nombre) = upper('"&amp;SUBSTITUTE(TRIM(R244),"'","''")&amp;"') AND lo.estado = 1 LIMIT 1)")&amp;", p_id_organo_inspector =&gt; "&amp;IF(TRIM(S244&amp;"")="","NULL","(SELECT lo.id FROM gen_lista_opciones lo JOIN gen_lista l ON l.id = lo.id_lista WHERE l.nombre = 'OrganoInspectorCilindro' AND upper(lo.nombre) = upper('"&amp;SUBSTITUTE(TRIM(S244),"'","''")&amp;"') AND lo.estado = 1 LIMIT 1)")&amp;", p_organo_inspector_no_aplica =&gt; "&amp;IF(S244="NO_APLICA","TRUE","FALSE")&amp;", p_presion_actual =&gt; "&amp;IF(T244&amp;""="","NULL",SUBSTITUTE(T244&amp;"",",","."))&amp;", p_tipo_valvula =&gt; "&amp;IF(TRIM(U244&amp;"")="","NULL","'"&amp;SUBSTITUTE(TRIM(U244),"'","''")&amp;"'")&amp;", p_libro_cilindro =&gt; "&amp;IF(TRIM(V244&amp;"")="","NULL","'"&amp;SUBSTITUTE(TRIM(V244),"'","''")&amp;"'")&amp;", p_pagina_libro =&gt; "&amp;IF(W244&amp;""="","NULL",SUBSTITUTE(W244&amp;"",",","."))&amp;", p_observacion =&gt; "&amp;IF(TRIM(X244&amp;"")="","NULL","'"&amp;SUBSTITUTE(TRIM(X244),"'","''")&amp;"'")&amp;") AS resultado_balon_"&amp;ROW()&amp;";")</f>
        <v/>
      </c>
    </row>
    <row r="245" ht="15.75" customHeight="1" s="64">
      <c r="A245" s="36" t="inlineStr">
        <is>
          <t>241</t>
        </is>
      </c>
      <c r="B245" s="25">
        <f>IF(AND(C245="",D245="",E245=""),"",IF(C245="","FALTA código balón",IF(D245="","FALTA tipo balón",IF(E245="","FALTA gas",IF(F245="","FALTA propietario",IF(AND(C245&lt;&gt;"",SUMPRODUCT(--($C$5:$C$1200=C245))&gt;1),"CÓDIGO BALÓN DUPLICADO",IF(AND(OR(UPPER(F245)="PLANTA",UPPER(F245)="CLIENTE"),G245=""),"FALTA doc propietario/planta",IF(AND(UPPER(F245)="PLANTA",G245="10175332796"),"PLANTA no puede ser RUC empresa","OK"))))))))</f>
        <v/>
      </c>
      <c r="C245" s="60" t="inlineStr">
        <is>
          <t>143493ED</t>
        </is>
      </c>
      <c r="D245" s="17" t="inlineStr">
        <is>
          <t>Acetileno 1 - 3 kg</t>
        </is>
      </c>
      <c r="E245" s="17" t="inlineStr">
        <is>
          <t>ACETILENO ESTANDAR</t>
        </is>
      </c>
      <c r="F245" s="17" t="inlineStr">
        <is>
          <t>EMPRESA</t>
        </is>
      </c>
      <c r="G245" s="23" t="inlineStr">
        <is>
          <t>10175332796</t>
        </is>
      </c>
      <c r="H245" s="25" t="inlineStr">
        <is>
          <t>OXIGENO SARITA</t>
        </is>
      </c>
      <c r="I245" s="17" t="inlineStr">
        <is>
          <t>DISPONIBLE</t>
        </is>
      </c>
      <c r="J245" s="17" t="inlineStr">
        <is>
          <t>ALMACEN PRINCIPAL</t>
        </is>
      </c>
      <c r="K245" s="23" t="n"/>
      <c r="L245" s="25">
        <f t="array" ref="L245">IF(K245="","",IFERROR(IF(INDEX(Clientes!$D$5:$D$549,MATCH(K245,Clientes!$C$5:$C$549,0))&lt;&gt;"",INDEX(Clientes!$D$5:$D$549,MATCH(K245,Clientes!$C$5:$C$549,0)),TRIM(INDEX(Clientes!$E$5:$E$549,MATCH(K245,Clientes!$C$5:$C$549,0))&amp;" "&amp;INDEX(Clientes!$F$5:$F$549,MATCH(K245,Clientes!$C$5:$C$549,0)))),"NO EXISTE en Clientes"))</f>
        <v/>
      </c>
      <c r="M245" s="17" t="n">
        <v>2014</v>
      </c>
      <c r="N245" s="17" t="n">
        <v>11</v>
      </c>
      <c r="O245" s="42" t="n"/>
      <c r="P245" s="39">
        <f>IF(O245&lt;&gt;"",DATE(YEAR(O245)+5,MONTH(O245),1),IF(AND(M245&lt;&gt;"",N245&lt;&gt;""),DATE(M245+5,N245,1),""))</f>
        <v/>
      </c>
      <c r="Q245" s="23" t="n"/>
      <c r="R245" s="17" t="n"/>
      <c r="S245" s="17" t="n"/>
      <c r="T245" s="17" t="n"/>
      <c r="U245" s="17" t="n"/>
      <c r="V245" s="23" t="n"/>
      <c r="W245" s="17" t="n"/>
      <c r="X245" s="17" t="inlineStr">
        <is>
          <t>REVISAR PH</t>
        </is>
      </c>
      <c r="Y245" s="28">
        <f>IF(B245&lt;&gt;"OK","","SELECT bal_crear_balon(p_codigo_balon =&gt; "&amp;IF(TRIM(C245&amp;"")="","NULL","'"&amp;SUBSTITUTE(TRIM(C245),"'","''")&amp;"'")&amp;", p_id_tipo_balon =&gt; "&amp;"(SELECT id FROM bal_tipo_balon WHERE upper(nombre) = upper('"&amp;SUBSTITUTE(TRIM(D245),"'","''")&amp;"') AND estado = 1 LIMIT 1)"&amp;", p_id_producto_gas =&gt; "&amp;"(SELECT id FROM pro_producto WHERE es_gas = TRUE AND upper(nombre) = upper('"&amp;SUBSTITUTE(TRIM(E245),"'","''")&amp;"') AND estado = 1 LIMIT 1)"&amp;", p_id_propietario =&gt; "&amp;IF(TRIM(F245&amp;"")="","NULL","(SELECT lo.id FROM gen_lista_opciones lo JOIN gen_lista l ON l.id = lo.id_lista WHERE l.nombre = 'PropietarioBalon' AND upper(lo.nombre) = upper('"&amp;SUBSTITUTE(TRIM(F245),"'","''")&amp;"') AND lo.estado = 1 LIMIT 1)")&amp;", p_id_cliente_propietario =&gt; "&amp;IF(F245="CLIENTE",IF(TRIM(G245&amp;"")="","NULL","(SELECT id FROM cli_clientes WHERE numero_documento = '"&amp;SUBSTITUTE(TRIM(G245),"'","''")&amp;"' AND estado = 1 LIMIT 1)"),"NULL")&amp;", p_id_planta =&gt; "&amp;IF(F245="PLANTA",IF(TRIM(G245&amp;"")="","NULL","(SELECT id FROM cli_clientes WHERE numero_documento = '"&amp;SUBSTITUTE(TRIM(G245),"'","''")&amp;"'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"&amp;IF(TRIM(J245&amp;"")="","NULL","(SELECT id FROM gen_almacen WHERE upper(nombre) = upper('"&amp;SUBSTITUTE(TRIM(J245),"'","''")&amp;"') AND estado = 1 LIMIT 1)")&amp;", p_id_cliente_ubicacion =&gt; "&amp;IF(TRIM(K245&amp;"")="","NULL","(SELECT id FROM cli_clientes WHERE numero_documento = '"&amp;SUBSTITUTE(TRIM(K245),"'","''")&amp;"' AND estado = 1 LIMIT 1)")&amp;", p_id_referencia =&gt; "&amp;IF(TRIM(J245&amp;"")&lt;&gt;"","(SELECT lo.id FROM gen_lista_opciones lo JOIN gen_lista l ON l.id = lo.id_lista WHERE l.nombre = 'ReferenciaCilindro' AND upper(lo.nombre) = 'ALMACEN' AND lo.estado = 1 LIMIT 1)",IF(TRIM(K245&amp;"")&lt;&gt;"","(SELECT lo.id FROM gen_lista_opciones lo JOIN gen_lista l ON l.id = lo.id_lista WHERE l.nombre = 'ReferenciaCilindro' AND upper(lo.nombre) = 'CLIENTE' AND lo.estado = 1 LIMIT 1)","NULL"))&amp;", p_anio_fabricacion =&gt; "&amp;IF(M245&amp;""="","NULL::smallint",M245&amp;"::smallint")&amp;", p_mes_fabricacion =&gt; "&amp;IF(N245&amp;""="","NULL::smallint",N245&amp;"::smallint")&amp;", p_fecha_ultima_prueba_hidrostatica =&gt; "&amp;IF(O245&amp;""="","NULL","'"&amp;YEAR(O245)&amp;"-"&amp;TEXT(MONTH(O245),"00")&amp;"-"&amp;TEXT(DAY(O245),"00")&amp;"'")&amp;", p_numero_serie =&gt; "&amp;IF(TRIM(Q245&amp;"")="","NULL","'"&amp;SUBSTITUTE(TRIM(Q245),"'","''")&amp;"'")&amp;", p_id_marca_cilindro =&gt; "&amp;IF(TRIM(R245&amp;"")="","NULL","(SELECT lo.id FROM gen_lista_opciones lo JOIN gen_lista l ON l.id = lo.id_lista WHERE l.nombre = 'MarcaCilindro' AND upper(lo.nombre) = upper('"&amp;SUBSTITUTE(TRIM(R245),"'","''")&amp;"') AND lo.estado = 1 LIMIT 1)")&amp;", p_id_organo_inspector =&gt; "&amp;IF(TRIM(S245&amp;"")="","NULL","(SELECT lo.id FROM gen_lista_opciones lo JOIN gen_lista l ON l.id = lo.id_lista WHERE l.nombre = 'OrganoInspectorCilindro' AND upper(lo.nombre) = upper('"&amp;SUBSTITUTE(TRIM(S245),"'","''")&amp;"') AND lo.estado = 1 LIMIT 1)")&amp;", p_organo_inspector_no_aplica =&gt; "&amp;IF(S245="NO_APLICA","TRUE","FALSE")&amp;", p_presion_actual =&gt; "&amp;IF(T245&amp;""="","NULL",SUBSTITUTE(T245&amp;"",",","."))&amp;", p_tipo_valvula =&gt; "&amp;IF(TRIM(U245&amp;"")="","NULL","'"&amp;SUBSTITUTE(TRIM(U245),"'","''")&amp;"'")&amp;", p_libro_cilindro =&gt; "&amp;IF(TRIM(V245&amp;"")="","NULL","'"&amp;SUBSTITUTE(TRIM(V245),"'","''")&amp;"'")&amp;", p_pagina_libro =&gt; "&amp;IF(W245&amp;""="","NULL",SUBSTITUTE(W245&amp;"",",","."))&amp;", p_observacion =&gt; "&amp;IF(TRIM(X245&amp;"")="","NULL","'"&amp;SUBSTITUTE(TRIM(X245),"'","''")&amp;"'")&amp;") AS resultado_balon_"&amp;ROW()&amp;";")</f>
        <v/>
      </c>
    </row>
    <row r="246" ht="15.75" customHeight="1" s="64">
      <c r="A246" s="36" t="inlineStr">
        <is>
          <t>242</t>
        </is>
      </c>
      <c r="B246" s="25">
        <f>IF(AND(C246="",D246="",E246=""),"",IF(C246="","FALTA código balón",IF(D246="","FALTA tipo balón",IF(E246="","FALTA gas",IF(F246="","FALTA propietario",IF(AND(C246&lt;&gt;"",SUMPRODUCT(--($C$5:$C$1200=C246))&gt;1),"CÓDIGO BALÓN DUPLICADO",IF(AND(OR(UPPER(F246)="PLANTA",UPPER(F246)="CLIENTE"),G246=""),"FALTA doc propietario/planta",IF(AND(UPPER(F246)="PLANTA",G246="10175332796"),"PLANTA no puede ser RUC empresa","OK"))))))))</f>
        <v/>
      </c>
      <c r="C246" s="60" t="inlineStr">
        <is>
          <t>666070</t>
        </is>
      </c>
      <c r="D246" s="17" t="inlineStr">
        <is>
          <t>Acetileno de 7 - 9 kg</t>
        </is>
      </c>
      <c r="E246" s="17" t="inlineStr">
        <is>
          <t>ACETILENO ESTANDAR</t>
        </is>
      </c>
      <c r="F246" s="17" t="inlineStr">
        <is>
          <t>EMPRESA</t>
        </is>
      </c>
      <c r="G246" s="23" t="inlineStr">
        <is>
          <t>10175332796</t>
        </is>
      </c>
      <c r="H246" s="25" t="inlineStr">
        <is>
          <t>OXIGENO SARITA</t>
        </is>
      </c>
      <c r="I246" s="17" t="inlineStr">
        <is>
          <t>EN_RECARGA_EXTERNA</t>
        </is>
      </c>
      <c r="J246" s="17" t="n"/>
      <c r="K246" s="23" t="inlineStr">
        <is>
          <t>20604549401</t>
        </is>
      </c>
      <c r="L246" s="25">
        <f t="array" ref="L246">IF(K246="","",IFERROR(IF(INDEX(Clientes!$D$5:$D$549,MATCH(K246,Clientes!$C$5:$C$549,0))&lt;&gt;"",INDEX(Clientes!$D$5:$D$549,MATCH(K246,Clientes!$C$5:$C$549,0)),TRIM(INDEX(Clientes!$E$5:$E$549,MATCH(K246,Clientes!$C$5:$C$549,0))&amp;" "&amp;INDEX(Clientes!$F$5:$F$549,MATCH(K246,Clientes!$C$5:$C$549,0)))),"NO EXISTE en Clientes"))</f>
        <v/>
      </c>
      <c r="M246" s="17" t="n"/>
      <c r="N246" s="17" t="n"/>
      <c r="O246" s="42" t="n"/>
      <c r="P246" s="39">
        <f>IF(O246&lt;&gt;"",DATE(YEAR(O246)+5,MONTH(O246),1),IF(AND(M246&lt;&gt;"",N246&lt;&gt;""),DATE(M246+5,N246,1),""))</f>
        <v/>
      </c>
      <c r="Q246" s="23" t="n"/>
      <c r="R246" s="17" t="n"/>
      <c r="S246" s="17" t="n"/>
      <c r="T246" s="17" t="n"/>
      <c r="U246" s="17" t="n"/>
      <c r="V246" s="23" t="n"/>
      <c r="W246" s="17" t="n"/>
      <c r="X246" s="17" t="n"/>
      <c r="Y246" s="28">
        <f>IF(B246&lt;&gt;"OK","","SELECT bal_crear_balon(p_codigo_balon =&gt; "&amp;IF(TRIM(C246&amp;"")="","NULL","'"&amp;SUBSTITUTE(TRIM(C246),"'","''")&amp;"'")&amp;", p_id_tipo_balon =&gt; "&amp;"(SELECT id FROM bal_tipo_balon WHERE upper(nombre) = upper('"&amp;SUBSTITUTE(TRIM(D246),"'","''")&amp;"') AND estado = 1 LIMIT 1)"&amp;", p_id_producto_gas =&gt; "&amp;"(SELECT id FROM pro_producto WHERE es_gas = TRUE AND upper(nombre) = upper('"&amp;SUBSTITUTE(TRIM(E246),"'","''")&amp;"') AND estado = 1 LIMIT 1)"&amp;", p_id_propietario =&gt; "&amp;IF(TRIM(F246&amp;"")="","NULL","(SELECT lo.id FROM gen_lista_opciones lo JOIN gen_lista l ON l.id = lo.id_lista WHERE l.nombre = 'PropietarioBalon' AND upper(lo.nombre) = upper('"&amp;SUBSTITUTE(TRIM(F246),"'","''")&amp;"') AND lo.estado = 1 LIMIT 1)")&amp;", p_id_cliente_propietario =&gt; "&amp;IF(F246="CLIENTE",IF(TRIM(G246&amp;"")="","NULL","(SELECT id FROM cli_clientes WHERE numero_documento = '"&amp;SUBSTITUTE(TRIM(G246),"'","''")&amp;"' AND estado = 1 LIMIT 1)"),"NULL")&amp;", p_id_planta =&gt; "&amp;IF(F246="PLANTA",IF(TRIM(G246&amp;"")="","NULL","(SELECT id FROM cli_clientes WHERE numero_documento = '"&amp;SUBSTITUTE(TRIM(G246),"'","''")&amp;"'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"&amp;IF(TRIM(J246&amp;"")="","NULL","(SELECT id FROM gen_almacen WHERE upper(nombre) = upper('"&amp;SUBSTITUTE(TRIM(J246),"'","''")&amp;"') AND estado = 1 LIMIT 1)")&amp;", p_id_cliente_ubicacion =&gt; "&amp;IF(TRIM(K246&amp;"")="","NULL","(SELECT id FROM cli_clientes WHERE numero_documento = '"&amp;SUBSTITUTE(TRIM(K246),"'","''")&amp;"' AND estado = 1 LIMIT 1)")&amp;", p_id_referencia =&gt; "&amp;IF(TRIM(J246&amp;"")&lt;&gt;"","(SELECT lo.id FROM gen_lista_opciones lo JOIN gen_lista l ON l.id = lo.id_lista WHERE l.nombre = 'ReferenciaCilindro' AND upper(lo.nombre) = 'ALMACEN' AND lo.estado = 1 LIMIT 1)",IF(TRIM(K246&amp;"")&lt;&gt;"","(SELECT lo.id FROM gen_lista_opciones lo JOIN gen_lista l ON l.id = lo.id_lista WHERE l.nombre = 'ReferenciaCilindro' AND upper(lo.nombre) = 'CLIENTE' AND lo.estado = 1 LIMIT 1)","NULL"))&amp;", p_anio_fabricacion =&gt; "&amp;IF(M246&amp;""="","NULL::smallint",M246&amp;"::smallint")&amp;", p_mes_fabricacion =&gt; "&amp;IF(N246&amp;""="","NULL::smallint",N246&amp;"::smallint")&amp;", p_fecha_ultima_prueba_hidrostatica =&gt; "&amp;IF(O246&amp;""="","NULL","'"&amp;YEAR(O246)&amp;"-"&amp;TEXT(MONTH(O246),"00")&amp;"-"&amp;TEXT(DAY(O246),"00")&amp;"'")&amp;", p_numero_serie =&gt; "&amp;IF(TRIM(Q246&amp;"")="","NULL","'"&amp;SUBSTITUTE(TRIM(Q246),"'","''")&amp;"'")&amp;", p_id_marca_cilindro =&gt; "&amp;IF(TRIM(R246&amp;"")="","NULL","(SELECT lo.id FROM gen_lista_opciones lo JOIN gen_lista l ON l.id = lo.id_lista WHERE l.nombre = 'MarcaCilindro' AND upper(lo.nombre) = upper('"&amp;SUBSTITUTE(TRIM(R246),"'","''")&amp;"') AND lo.estado = 1 LIMIT 1)")&amp;", p_id_organo_inspector =&gt; "&amp;IF(TRIM(S246&amp;"")="","NULL","(SELECT lo.id FROM gen_lista_opciones lo JOIN gen_lista l ON l.id = lo.id_lista WHERE l.nombre = 'OrganoInspectorCilindro' AND upper(lo.nombre) = upper('"&amp;SUBSTITUTE(TRIM(S246),"'","''")&amp;"') AND lo.estado = 1 LIMIT 1)")&amp;", p_organo_inspector_no_aplica =&gt; "&amp;IF(S246="NO_APLICA","TRUE","FALSE")&amp;", p_presion_actual =&gt; "&amp;IF(T246&amp;""="","NULL",SUBSTITUTE(T246&amp;"",",","."))&amp;", p_tipo_valvula =&gt; "&amp;IF(TRIM(U246&amp;"")="","NULL","'"&amp;SUBSTITUTE(TRIM(U246),"'","''")&amp;"'")&amp;", p_libro_cilindro =&gt; "&amp;IF(TRIM(V246&amp;"")="","NULL","'"&amp;SUBSTITUTE(TRIM(V246),"'","''")&amp;"'")&amp;", p_pagina_libro =&gt; "&amp;IF(W246&amp;""="","NULL",SUBSTITUTE(W246&amp;"",",","."))&amp;", p_observacion =&gt; "&amp;IF(TRIM(X246&amp;"")="","NULL","'"&amp;SUBSTITUTE(TRIM(X246),"'","''")&amp;"'")&amp;") AS resultado_balon_"&amp;ROW()&amp;";")</f>
        <v/>
      </c>
    </row>
    <row r="247" ht="15.75" customHeight="1" s="64">
      <c r="A247" s="36" t="inlineStr">
        <is>
          <t>243</t>
        </is>
      </c>
      <c r="B247" s="25">
        <f>IF(AND(C247="",D247="",E247=""),"",IF(C247="","FALTA código balón",IF(D247="","FALTA tipo balón",IF(E247="","FALTA gas",IF(F247="","FALTA propietario",IF(AND(C247&lt;&gt;"",SUMPRODUCT(--($C$5:$C$1200=C247))&gt;1),"CÓDIGO BALÓN DUPLICADO",IF(AND(OR(UPPER(F247)="PLANTA",UPPER(F247)="CLIENTE"),G247=""),"FALTA doc propietario/planta",IF(AND(UPPER(F247)="PLANTA",G247="10175332796"),"PLANTA no puede ser RUC empresa","OK"))))))))</f>
        <v/>
      </c>
      <c r="C247" s="54" t="inlineStr">
        <is>
          <t xml:space="preserve">242649
</t>
        </is>
      </c>
      <c r="D247" s="17" t="inlineStr">
        <is>
          <t>Stargold Estandar de 10 m3</t>
        </is>
      </c>
      <c r="E247" s="17" t="inlineStr">
        <is>
          <t>STARGOLD ESTANDAR</t>
        </is>
      </c>
      <c r="F247" s="17" t="inlineStr">
        <is>
          <t>EMPRESA</t>
        </is>
      </c>
      <c r="G247" s="23" t="inlineStr">
        <is>
          <t>10175332796</t>
        </is>
      </c>
      <c r="H247" s="25" t="inlineStr">
        <is>
          <t>OXIGENO SARITA</t>
        </is>
      </c>
      <c r="I247" s="17" t="inlineStr">
        <is>
          <t>EN_RECARGA_EXTERNA</t>
        </is>
      </c>
      <c r="J247" s="17" t="n"/>
      <c r="K247" s="48" t="inlineStr">
        <is>
          <t>20536698834</t>
        </is>
      </c>
      <c r="L247" s="25">
        <f t="array" ref="L247">IF(K247="","",IFERROR(IF(INDEX(Clientes!$D$5:$D$549,MATCH(K247,Clientes!$C$5:$C$549,0))&lt;&gt;"",INDEX(Clientes!$D$5:$D$549,MATCH(K247,Clientes!$C$5:$C$549,0)),TRIM(INDEX(Clientes!$E$5:$E$549,MATCH(K247,Clientes!$C$5:$C$549,0))&amp;" "&amp;INDEX(Clientes!$F$5:$F$549,MATCH(K247,Clientes!$C$5:$C$549,0)))),"NO EXISTE en Clientes"))</f>
        <v/>
      </c>
      <c r="M247" s="17" t="n"/>
      <c r="N247" s="17" t="n"/>
      <c r="O247" s="42" t="n"/>
      <c r="P247" s="39">
        <f>IF(O247&lt;&gt;"",DATE(YEAR(O247)+5,MONTH(O247),1),IF(AND(M247&lt;&gt;"",N247&lt;&gt;""),DATE(M247+5,N247,1),""))</f>
        <v/>
      </c>
      <c r="Q247" s="23" t="n"/>
      <c r="R247" s="17" t="n"/>
      <c r="S247" s="17" t="n"/>
      <c r="T247" s="17" t="n"/>
      <c r="U247" s="17" t="n"/>
      <c r="V247" s="23" t="n"/>
      <c r="W247" s="17" t="n"/>
      <c r="X247" s="17" t="n"/>
      <c r="Y247" s="28">
        <f>IF(B247&lt;&gt;"OK","","SELECT bal_crear_balon(p_codigo_balon =&gt; "&amp;IF(TRIM(C247&amp;"")="","NULL","'"&amp;SUBSTITUTE(TRIM(C247),"'","''")&amp;"'")&amp;", p_id_tipo_balon =&gt; "&amp;"(SELECT id FROM bal_tipo_balon WHERE upper(nombre) = upper('"&amp;SUBSTITUTE(TRIM(D247),"'","''")&amp;"') AND estado = 1 LIMIT 1)"&amp;", p_id_producto_gas =&gt; "&amp;"(SELECT id FROM pro_producto WHERE es_gas = TRUE AND upper(nombre) = upper('"&amp;SUBSTITUTE(TRIM(E247),"'","''")&amp;"') AND estado = 1 LIMIT 1)"&amp;", p_id_propietario =&gt; "&amp;IF(TRIM(F247&amp;"")="","NULL","(SELECT lo.id FROM gen_lista_opciones lo JOIN gen_lista l ON l.id = lo.id_lista WHERE l.nombre = 'PropietarioBalon' AND upper(lo.nombre) = upper('"&amp;SUBSTITUTE(TRIM(F247),"'","''")&amp;"') AND lo.estado = 1 LIMIT 1)")&amp;", p_id_cliente_propietario =&gt; "&amp;IF(F247="CLIENTE",IF(TRIM(G247&amp;"")="","NULL","(SELECT id FROM cli_clientes WHERE numero_documento = '"&amp;SUBSTITUTE(TRIM(G247),"'","''")&amp;"' AND estado = 1 LIMIT 1)"),"NULL")&amp;", p_id_planta =&gt; "&amp;IF(F247="PLANTA",IF(TRIM(G247&amp;"")="","NULL","(SELECT id FROM cli_clientes WHERE numero_documento = '"&amp;SUBSTITUTE(TRIM(G247),"'","''")&amp;"'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"&amp;IF(TRIM(J247&amp;"")="","NULL","(SELECT id FROM gen_almacen WHERE upper(nombre) = upper('"&amp;SUBSTITUTE(TRIM(J247),"'","''")&amp;"') AND estado = 1 LIMIT 1)")&amp;", p_id_cliente_ubicacion =&gt; "&amp;IF(TRIM(K247&amp;"")="","NULL","(SELECT id FROM cli_clientes WHERE numero_documento = '"&amp;SUBSTITUTE(TRIM(K247),"'","''")&amp;"' AND estado = 1 LIMIT 1)")&amp;", p_id_referencia =&gt; "&amp;IF(TRIM(J247&amp;"")&lt;&gt;"","(SELECT lo.id FROM gen_lista_opciones lo JOIN gen_lista l ON l.id = lo.id_lista WHERE l.nombre = 'ReferenciaCilindro' AND upper(lo.nombre) = 'ALMACEN' AND lo.estado = 1 LIMIT 1)",IF(TRIM(K247&amp;"")&lt;&gt;"","(SELECT lo.id FROM gen_lista_opciones lo JOIN gen_lista l ON l.id = lo.id_lista WHERE l.nombre = 'ReferenciaCilindro' AND upper(lo.nombre) = 'CLIENTE' AND lo.estado = 1 LIMIT 1)","NULL"))&amp;", p_anio_fabricacion =&gt; "&amp;IF(M247&amp;""="","NULL::smallint",M247&amp;"::smallint")&amp;", p_mes_fabricacion =&gt; "&amp;IF(N247&amp;""="","NULL::smallint",N247&amp;"::smallint")&amp;", p_fecha_ultima_prueba_hidrostatica =&gt; "&amp;IF(O247&amp;""="","NULL","'"&amp;YEAR(O247)&amp;"-"&amp;TEXT(MONTH(O247),"00")&amp;"-"&amp;TEXT(DAY(O247),"00")&amp;"'")&amp;", p_numero_serie =&gt; "&amp;IF(TRIM(Q247&amp;"")="","NULL","'"&amp;SUBSTITUTE(TRIM(Q247),"'","''")&amp;"'")&amp;", p_id_marca_cilindro =&gt; "&amp;IF(TRIM(R247&amp;"")="","NULL","(SELECT lo.id FROM gen_lista_opciones lo JOIN gen_lista l ON l.id = lo.id_lista WHERE l.nombre = 'MarcaCilindro' AND upper(lo.nombre) = upper('"&amp;SUBSTITUTE(TRIM(R247),"'","''")&amp;"') AND lo.estado = 1 LIMIT 1)")&amp;", p_id_organo_inspector =&gt; "&amp;IF(TRIM(S247&amp;"")="","NULL","(SELECT lo.id FROM gen_lista_opciones lo JOIN gen_lista l ON l.id = lo.id_lista WHERE l.nombre = 'OrganoInspectorCilindro' AND upper(lo.nombre) = upper('"&amp;SUBSTITUTE(TRIM(S247),"'","''")&amp;"') AND lo.estado = 1 LIMIT 1)")&amp;", p_organo_inspector_no_aplica =&gt; "&amp;IF(S247="NO_APLICA","TRUE","FALSE")&amp;", p_presion_actual =&gt; "&amp;IF(T247&amp;""="","NULL",SUBSTITUTE(T247&amp;"",",","."))&amp;", p_tipo_valvula =&gt; "&amp;IF(TRIM(U247&amp;"")="","NULL","'"&amp;SUBSTITUTE(TRIM(U247),"'","''")&amp;"'")&amp;", p_libro_cilindro =&gt; "&amp;IF(TRIM(V247&amp;"")="","NULL","'"&amp;SUBSTITUTE(TRIM(V247),"'","''")&amp;"'")&amp;", p_pagina_libro =&gt; "&amp;IF(W247&amp;""="","NULL",SUBSTITUTE(W247&amp;"",",","."))&amp;", p_observacion =&gt; "&amp;IF(TRIM(X247&amp;"")="","NULL","'"&amp;SUBSTITUTE(TRIM(X247),"'","''")&amp;"'")&amp;") AS resultado_balon_"&amp;ROW()&amp;";")</f>
        <v/>
      </c>
    </row>
    <row r="248" ht="15.75" customHeight="1" s="64">
      <c r="A248" s="36" t="inlineStr">
        <is>
          <t>244</t>
        </is>
      </c>
      <c r="B248" s="25">
        <f>IF(AND(C248="",D248="",E248=""),"",IF(C248="","FALTA código balón",IF(D248="","FALTA tipo balón",IF(E248="","FALTA gas",IF(F248="","FALTA propietario",IF(AND(C248&lt;&gt;"",SUMPRODUCT(--($C$5:$C$1200=C248))&gt;1),"CÓDIGO BALÓN DUPLICADO",IF(AND(OR(UPPER(F248)="PLANTA",UPPER(F248)="CLIENTE"),G248=""),"FALTA doc propietario/planta",IF(AND(UPPER(F248)="PLANTA",G248="10175332796"),"PLANTA no puede ser RUC empresa","OK"))))))))</f>
        <v/>
      </c>
      <c r="C248" s="54" t="inlineStr">
        <is>
          <t>GA373138</t>
        </is>
      </c>
      <c r="D248" s="17" t="inlineStr">
        <is>
          <t>Stargold Estandar de 7 m3</t>
        </is>
      </c>
      <c r="E248" s="17" t="inlineStr">
        <is>
          <t>STARGOLD ESTANDAR</t>
        </is>
      </c>
      <c r="F248" s="17" t="inlineStr">
        <is>
          <t>EMPRESA</t>
        </is>
      </c>
      <c r="G248" s="23" t="inlineStr">
        <is>
          <t>10175332796</t>
        </is>
      </c>
      <c r="H248" s="25" t="inlineStr">
        <is>
          <t>OXIGENO SARITA</t>
        </is>
      </c>
      <c r="I248" s="17" t="inlineStr">
        <is>
          <t>EN_PODER_CLIENTE</t>
        </is>
      </c>
      <c r="J248" s="17" t="n"/>
      <c r="K248" s="23" t="inlineStr">
        <is>
          <t>16671957</t>
        </is>
      </c>
      <c r="L248" s="25">
        <f t="array" ref="L248">IF(K248="","",IFERROR(IF(INDEX(Clientes!$D$5:$D$549,MATCH(K248,Clientes!$C$5:$C$549,0))&lt;&gt;"",INDEX(Clientes!$D$5:$D$549,MATCH(K248,Clientes!$C$5:$C$549,0)),TRIM(INDEX(Clientes!$E$5:$E$549,MATCH(K248,Clientes!$C$5:$C$549,0))&amp;" "&amp;INDEX(Clientes!$F$5:$F$549,MATCH(K248,Clientes!$C$5:$C$549,0)))),"NO EXISTE en Clientes"))</f>
        <v/>
      </c>
      <c r="M248" s="17" t="n"/>
      <c r="N248" s="17" t="n"/>
      <c r="O248" s="42" t="n"/>
      <c r="P248" s="39">
        <f>IF(O248&lt;&gt;"",DATE(YEAR(O248)+5,MONTH(O248),1),IF(AND(M248&lt;&gt;"",N248&lt;&gt;""),DATE(M248+5,N248,1),""))</f>
        <v/>
      </c>
      <c r="Q248" s="23" t="n"/>
      <c r="R248" s="17" t="n"/>
      <c r="S248" s="17" t="n"/>
      <c r="T248" s="17" t="n"/>
      <c r="U248" s="17" t="n"/>
      <c r="V248" s="23" t="n"/>
      <c r="W248" s="17" t="n"/>
      <c r="X248" s="17" t="n"/>
      <c r="Y248" s="28">
        <f>IF(B248&lt;&gt;"OK","","SELECT bal_crear_balon(p_codigo_balon =&gt; "&amp;IF(TRIM(C248&amp;"")="","NULL","'"&amp;SUBSTITUTE(TRIM(C248),"'","''")&amp;"'")&amp;", p_id_tipo_balon =&gt; "&amp;"(SELECT id FROM bal_tipo_balon WHERE upper(nombre) = upper('"&amp;SUBSTITUTE(TRIM(D248),"'","''")&amp;"') AND estado = 1 LIMIT 1)"&amp;", p_id_producto_gas =&gt; "&amp;"(SELECT id FROM pro_producto WHERE es_gas = TRUE AND upper(nombre) = upper('"&amp;SUBSTITUTE(TRIM(E248),"'","''")&amp;"') AND estado = 1 LIMIT 1)"&amp;", p_id_propietario =&gt; "&amp;IF(TRIM(F248&amp;"")="","NULL","(SELECT lo.id FROM gen_lista_opciones lo JOIN gen_lista l ON l.id = lo.id_lista WHERE l.nombre = 'PropietarioBalon' AND upper(lo.nombre) = upper('"&amp;SUBSTITUTE(TRIM(F248),"'","''")&amp;"') AND lo.estado = 1 LIMIT 1)")&amp;", p_id_cliente_propietario =&gt; "&amp;IF(F248="CLIENTE",IF(TRIM(G248&amp;"")="","NULL","(SELECT id FROM cli_clientes WHERE numero_documento = '"&amp;SUBSTITUTE(TRIM(G248),"'","''")&amp;"' AND estado = 1 LIMIT 1)"),"NULL")&amp;", p_id_planta =&gt; "&amp;IF(F248="PLANTA",IF(TRIM(G248&amp;"")="","NULL","(SELECT id FROM cli_clientes WHERE numero_documento = '"&amp;SUBSTITUTE(TRIM(G248),"'","''")&amp;"'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"&amp;IF(TRIM(J248&amp;"")="","NULL","(SELECT id FROM gen_almacen WHERE upper(nombre) = upper('"&amp;SUBSTITUTE(TRIM(J248),"'","''")&amp;"') AND estado = 1 LIMIT 1)")&amp;", p_id_cliente_ubicacion =&gt; "&amp;IF(TRIM(K248&amp;"")="","NULL","(SELECT id FROM cli_clientes WHERE numero_documento = '"&amp;SUBSTITUTE(TRIM(K248),"'","''")&amp;"' AND estado = 1 LIMIT 1)")&amp;", p_id_referencia =&gt; "&amp;IF(TRIM(J248&amp;"")&lt;&gt;"","(SELECT lo.id FROM gen_lista_opciones lo JOIN gen_lista l ON l.id = lo.id_lista WHERE l.nombre = 'ReferenciaCilindro' AND upper(lo.nombre) = 'ALMACEN' AND lo.estado = 1 LIMIT 1)",IF(TRIM(K248&amp;"")&lt;&gt;"","(SELECT lo.id FROM gen_lista_opciones lo JOIN gen_lista l ON l.id = lo.id_lista WHERE l.nombre = 'ReferenciaCilindro' AND upper(lo.nombre) = 'CLIENTE' AND lo.estado = 1 LIMIT 1)","NULL"))&amp;", p_anio_fabricacion =&gt; "&amp;IF(M248&amp;""="","NULL::smallint",M248&amp;"::smallint")&amp;", p_mes_fabricacion =&gt; "&amp;IF(N248&amp;""="","NULL::smallint",N248&amp;"::smallint")&amp;", p_fecha_ultima_prueba_hidrostatica =&gt; "&amp;IF(O248&amp;""="","NULL","'"&amp;YEAR(O248)&amp;"-"&amp;TEXT(MONTH(O248),"00")&amp;"-"&amp;TEXT(DAY(O248),"00")&amp;"'")&amp;", p_numero_serie =&gt; "&amp;IF(TRIM(Q248&amp;"")="","NULL","'"&amp;SUBSTITUTE(TRIM(Q248),"'","''")&amp;"'")&amp;", p_id_marca_cilindro =&gt; "&amp;IF(TRIM(R248&amp;"")="","NULL","(SELECT lo.id FROM gen_lista_opciones lo JOIN gen_lista l ON l.id = lo.id_lista WHERE l.nombre = 'MarcaCilindro' AND upper(lo.nombre) = upper('"&amp;SUBSTITUTE(TRIM(R248),"'","''")&amp;"') AND lo.estado = 1 LIMIT 1)")&amp;", p_id_organo_inspector =&gt; "&amp;IF(TRIM(S248&amp;"")="","NULL","(SELECT lo.id FROM gen_lista_opciones lo JOIN gen_lista l ON l.id = lo.id_lista WHERE l.nombre = 'OrganoInspectorCilindro' AND upper(lo.nombre) = upper('"&amp;SUBSTITUTE(TRIM(S248),"'","''")&amp;"') AND lo.estado = 1 LIMIT 1)")&amp;", p_organo_inspector_no_aplica =&gt; "&amp;IF(S248="NO_APLICA","TRUE","FALSE")&amp;", p_presion_actual =&gt; "&amp;IF(T248&amp;""="","NULL",SUBSTITUTE(T248&amp;"",",","."))&amp;", p_tipo_valvula =&gt; "&amp;IF(TRIM(U248&amp;"")="","NULL","'"&amp;SUBSTITUTE(TRIM(U248),"'","''")&amp;"'")&amp;", p_libro_cilindro =&gt; "&amp;IF(TRIM(V248&amp;"")="","NULL","'"&amp;SUBSTITUTE(TRIM(V248),"'","''")&amp;"'")&amp;", p_pagina_libro =&gt; "&amp;IF(W248&amp;""="","NULL",SUBSTITUTE(W248&amp;"",",","."))&amp;", p_observacion =&gt; "&amp;IF(TRIM(X248&amp;"")="","NULL","'"&amp;SUBSTITUTE(TRIM(X248),"'","''")&amp;"'")&amp;") AS resultado_balon_"&amp;ROW()&amp;";")</f>
        <v/>
      </c>
    </row>
    <row r="249" ht="15.75" customHeight="1" s="64">
      <c r="A249" s="36" t="inlineStr">
        <is>
          <t>245</t>
        </is>
      </c>
      <c r="B249" s="25">
        <f>IF(AND(C249="",D249="",E249=""),"",IF(C249="","FALTA código balón",IF(D249="","FALTA tipo balón",IF(E249="","FALTA gas",IF(F249="","FALTA propietario",IF(AND(C249&lt;&gt;"",SUMPRODUCT(--($C$5:$C$1200=C249))&gt;1),"CÓDIGO BALÓN DUPLICADO",IF(AND(OR(UPPER(F249)="PLANTA",UPPER(F249)="CLIENTE"),G249=""),"FALTA doc propietario/planta",IF(AND(UPPER(F249)="PLANTA",G249="10175332796"),"PLANTA no puede ser RUC empresa","OK"))))))))</f>
        <v/>
      </c>
      <c r="C249" s="54" t="inlineStr">
        <is>
          <t>N846419</t>
        </is>
      </c>
      <c r="D249" s="17" t="inlineStr">
        <is>
          <t>Stargold Estandar de 10 m3</t>
        </is>
      </c>
      <c r="E249" s="17" t="inlineStr">
        <is>
          <t>STARGOLD ESTANDAR</t>
        </is>
      </c>
      <c r="F249" s="17" t="inlineStr">
        <is>
          <t>EMPRESA</t>
        </is>
      </c>
      <c r="G249" s="23" t="inlineStr">
        <is>
          <t>10175332796</t>
        </is>
      </c>
      <c r="H249" s="25" t="inlineStr">
        <is>
          <t>OXIGENO SARITA</t>
        </is>
      </c>
      <c r="I249" s="17" t="inlineStr">
        <is>
          <t>EN_PODER_CLIENTE</t>
        </is>
      </c>
      <c r="J249" s="17" t="n"/>
      <c r="K249" s="26" t="inlineStr">
        <is>
          <t>20174513245</t>
        </is>
      </c>
      <c r="L249" s="25">
        <f t="array" ref="L249">IF(K249="","",IFERROR(IF(INDEX(Clientes!$D$5:$D$549,MATCH(K249,Clientes!$C$5:$C$549,0))&lt;&gt;"",INDEX(Clientes!$D$5:$D$549,MATCH(K249,Clientes!$C$5:$C$549,0)),TRIM(INDEX(Clientes!$E$5:$E$549,MATCH(K249,Clientes!$C$5:$C$549,0))&amp;" "&amp;INDEX(Clientes!$F$5:$F$549,MATCH(K249,Clientes!$C$5:$C$549,0)))),"NO EXISTE en Clientes"))</f>
        <v/>
      </c>
      <c r="M249" s="17" t="n"/>
      <c r="N249" s="17" t="n"/>
      <c r="O249" s="42" t="n"/>
      <c r="P249" s="39">
        <f>IF(O249&lt;&gt;"",DATE(YEAR(O249)+5,MONTH(O249),1),IF(AND(M249&lt;&gt;"",N249&lt;&gt;""),DATE(M249+5,N249,1),""))</f>
        <v/>
      </c>
      <c r="Q249" s="23" t="n"/>
      <c r="R249" s="17" t="n"/>
      <c r="S249" s="17" t="n"/>
      <c r="T249" s="17" t="n"/>
      <c r="U249" s="17" t="n"/>
      <c r="V249" s="23" t="n"/>
      <c r="W249" s="17" t="n"/>
      <c r="X249" s="17" t="n"/>
      <c r="Y249" s="28">
        <f>IF(B249&lt;&gt;"OK","","SELECT bal_crear_balon(p_codigo_balon =&gt; "&amp;IF(TRIM(C249&amp;"")="","NULL","'"&amp;SUBSTITUTE(TRIM(C249),"'","''")&amp;"'")&amp;", p_id_tipo_balon =&gt; "&amp;"(SELECT id FROM bal_tipo_balon WHERE upper(nombre) = upper('"&amp;SUBSTITUTE(TRIM(D249),"'","''")&amp;"') AND estado = 1 LIMIT 1)"&amp;", p_id_producto_gas =&gt; "&amp;"(SELECT id FROM pro_producto WHERE es_gas = TRUE AND upper(nombre) = upper('"&amp;SUBSTITUTE(TRIM(E249),"'","''")&amp;"') AND estado = 1 LIMIT 1)"&amp;", p_id_propietario =&gt; "&amp;IF(TRIM(F249&amp;"")="","NULL","(SELECT lo.id FROM gen_lista_opciones lo JOIN gen_lista l ON l.id = lo.id_lista WHERE l.nombre = 'PropietarioBalon' AND upper(lo.nombre) = upper('"&amp;SUBSTITUTE(TRIM(F249),"'","''")&amp;"') AND lo.estado = 1 LIMIT 1)")&amp;", p_id_cliente_propietario =&gt; "&amp;IF(F249="CLIENTE",IF(TRIM(G249&amp;"")="","NULL","(SELECT id FROM cli_clientes WHERE numero_documento = '"&amp;SUBSTITUTE(TRIM(G249),"'","''")&amp;"' AND estado = 1 LIMIT 1)"),"NULL")&amp;", p_id_planta =&gt; "&amp;IF(F249="PLANTA",IF(TRIM(G249&amp;"")="","NULL","(SELECT id FROM cli_clientes WHERE numero_documento = '"&amp;SUBSTITUTE(TRIM(G249),"'","''")&amp;"'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"&amp;IF(TRIM(J249&amp;"")="","NULL","(SELECT id FROM gen_almacen WHERE upper(nombre) = upper('"&amp;SUBSTITUTE(TRIM(J249),"'","''")&amp;"') AND estado = 1 LIMIT 1)")&amp;", p_id_cliente_ubicacion =&gt; "&amp;IF(TRIM(K249&amp;"")="","NULL","(SELECT id FROM cli_clientes WHERE numero_documento = '"&amp;SUBSTITUTE(TRIM(K249),"'","''")&amp;"' AND estado = 1 LIMIT 1)")&amp;", p_id_referencia =&gt; "&amp;IF(TRIM(J249&amp;"")&lt;&gt;"","(SELECT lo.id FROM gen_lista_opciones lo JOIN gen_lista l ON l.id = lo.id_lista WHERE l.nombre = 'ReferenciaCilindro' AND upper(lo.nombre) = 'ALMACEN' AND lo.estado = 1 LIMIT 1)",IF(TRIM(K249&amp;"")&lt;&gt;"","(SELECT lo.id FROM gen_lista_opciones lo JOIN gen_lista l ON l.id = lo.id_lista WHERE l.nombre = 'ReferenciaCilindro' AND upper(lo.nombre) = 'CLIENTE' AND lo.estado = 1 LIMIT 1)","NULL"))&amp;", p_anio_fabricacion =&gt; "&amp;IF(M249&amp;""="","NULL::smallint",M249&amp;"::smallint")&amp;", p_mes_fabricacion =&gt; "&amp;IF(N249&amp;""="","NULL::smallint",N249&amp;"::smallint")&amp;", p_fecha_ultima_prueba_hidrostatica =&gt; "&amp;IF(O249&amp;""="","NULL","'"&amp;YEAR(O249)&amp;"-"&amp;TEXT(MONTH(O249),"00")&amp;"-"&amp;TEXT(DAY(O249),"00")&amp;"'")&amp;", p_numero_serie =&gt; "&amp;IF(TRIM(Q249&amp;"")="","NULL","'"&amp;SUBSTITUTE(TRIM(Q249),"'","''")&amp;"'")&amp;", p_id_marca_cilindro =&gt; "&amp;IF(TRIM(R249&amp;"")="","NULL","(SELECT lo.id FROM gen_lista_opciones lo JOIN gen_lista l ON l.id = lo.id_lista WHERE l.nombre = 'MarcaCilindro' AND upper(lo.nombre) = upper('"&amp;SUBSTITUTE(TRIM(R249),"'","''")&amp;"') AND lo.estado = 1 LIMIT 1)")&amp;", p_id_organo_inspector =&gt; "&amp;IF(TRIM(S249&amp;"")="","NULL","(SELECT lo.id FROM gen_lista_opciones lo JOIN gen_lista l ON l.id = lo.id_lista WHERE l.nombre = 'OrganoInspectorCilindro' AND upper(lo.nombre) = upper('"&amp;SUBSTITUTE(TRIM(S249),"'","''")&amp;"') AND lo.estado = 1 LIMIT 1)")&amp;", p_organo_inspector_no_aplica =&gt; "&amp;IF(S249="NO_APLICA","TRUE","FALSE")&amp;", p_presion_actual =&gt; "&amp;IF(T249&amp;""="","NULL",SUBSTITUTE(T249&amp;"",",","."))&amp;", p_tipo_valvula =&gt; "&amp;IF(TRIM(U249&amp;"")="","NULL","'"&amp;SUBSTITUTE(TRIM(U249),"'","''")&amp;"'")&amp;", p_libro_cilindro =&gt; "&amp;IF(TRIM(V249&amp;"")="","NULL","'"&amp;SUBSTITUTE(TRIM(V249),"'","''")&amp;"'")&amp;", p_pagina_libro =&gt; "&amp;IF(W249&amp;""="","NULL",SUBSTITUTE(W249&amp;"",",","."))&amp;", p_observacion =&gt; "&amp;IF(TRIM(X249&amp;"")="","NULL","'"&amp;SUBSTITUTE(TRIM(X249),"'","''")&amp;"'")&amp;") AS resultado_balon_"&amp;ROW()&amp;";")</f>
        <v/>
      </c>
    </row>
    <row r="250" ht="15.75" customHeight="1" s="64">
      <c r="A250" s="36" t="inlineStr">
        <is>
          <t>246</t>
        </is>
      </c>
      <c r="B250" s="25">
        <f>IF(AND(C250="",D250="",E250=""),"",IF(C250="","FALTA código balón",IF(D250="","FALTA tipo balón",IF(E250="","FALTA gas",IF(F250="","FALTA propietario",IF(AND(C250&lt;&gt;"",SUMPRODUCT(--($C$5:$C$1200=C250))&gt;1),"CÓDIGO BALÓN DUPLICADO",IF(AND(OR(UPPER(F250)="PLANTA",UPPER(F250)="CLIENTE"),G250=""),"FALTA doc propietario/planta",IF(AND(UPPER(F250)="PLANTA",G250="10175332796"),"PLANTA no puede ser RUC empresa","OK"))))))))</f>
        <v/>
      </c>
      <c r="C250" s="54" t="inlineStr">
        <is>
          <t xml:space="preserve">GA972046
</t>
        </is>
      </c>
      <c r="D250" s="17" t="inlineStr">
        <is>
          <t>Stargold Estandar de 7 m3</t>
        </is>
      </c>
      <c r="E250" s="17" t="inlineStr">
        <is>
          <t>STARGOLD ESTANDAR</t>
        </is>
      </c>
      <c r="F250" s="17" t="inlineStr">
        <is>
          <t>EMPRESA</t>
        </is>
      </c>
      <c r="G250" s="23" t="inlineStr">
        <is>
          <t>10175332796</t>
        </is>
      </c>
      <c r="H250" s="25" t="inlineStr">
        <is>
          <t>OXIGENO SARITA</t>
        </is>
      </c>
      <c r="I250" s="17" t="inlineStr">
        <is>
          <t>EN_PODER_CLIENTE</t>
        </is>
      </c>
      <c r="J250" s="17" t="n"/>
      <c r="K250" s="23" t="inlineStr">
        <is>
          <t>20602257470</t>
        </is>
      </c>
      <c r="L250" s="25">
        <f t="array" ref="L250">IF(K250="","",IFERROR(IF(INDEX(Clientes!$D$5:$D$549,MATCH(K250,Clientes!$C$5:$C$549,0))&lt;&gt;"",INDEX(Clientes!$D$5:$D$549,MATCH(K250,Clientes!$C$5:$C$549,0)),TRIM(INDEX(Clientes!$E$5:$E$549,MATCH(K250,Clientes!$C$5:$C$549,0))&amp;" "&amp;INDEX(Clientes!$F$5:$F$549,MATCH(K250,Clientes!$C$5:$C$549,0)))),"NO EXISTE en Clientes"))</f>
        <v/>
      </c>
      <c r="M250" s="17" t="n"/>
      <c r="N250" s="17" t="n"/>
      <c r="O250" s="42" t="n"/>
      <c r="P250" s="39">
        <f>IF(O250&lt;&gt;"",DATE(YEAR(O250)+5,MONTH(O250),1),IF(AND(M250&lt;&gt;"",N250&lt;&gt;""),DATE(M250+5,N250,1),""))</f>
        <v/>
      </c>
      <c r="Q250" s="23" t="n"/>
      <c r="R250" s="17" t="n"/>
      <c r="S250" s="17" t="n"/>
      <c r="T250" s="17" t="n"/>
      <c r="U250" s="17" t="n"/>
      <c r="V250" s="23" t="n"/>
      <c r="W250" s="17" t="n"/>
      <c r="X250" s="17" t="n"/>
      <c r="Y250" s="28">
        <f>IF(B250&lt;&gt;"OK","","SELECT bal_crear_balon(p_codigo_balon =&gt; "&amp;IF(TRIM(C250&amp;"")="","NULL","'"&amp;SUBSTITUTE(TRIM(C250),"'","''")&amp;"'")&amp;", p_id_tipo_balon =&gt; "&amp;"(SELECT id FROM bal_tipo_balon WHERE upper(nombre) = upper('"&amp;SUBSTITUTE(TRIM(D250),"'","''")&amp;"') AND estado = 1 LIMIT 1)"&amp;", p_id_producto_gas =&gt; "&amp;"(SELECT id FROM pro_producto WHERE es_gas = TRUE AND upper(nombre) = upper('"&amp;SUBSTITUTE(TRIM(E250),"'","''")&amp;"') AND estado = 1 LIMIT 1)"&amp;", p_id_propietario =&gt; "&amp;IF(TRIM(F250&amp;"")="","NULL","(SELECT lo.id FROM gen_lista_opciones lo JOIN gen_lista l ON l.id = lo.id_lista WHERE l.nombre = 'PropietarioBalon' AND upper(lo.nombre) = upper('"&amp;SUBSTITUTE(TRIM(F250),"'","''")&amp;"') AND lo.estado = 1 LIMIT 1)")&amp;", p_id_cliente_propietario =&gt; "&amp;IF(F250="CLIENTE",IF(TRIM(G250&amp;"")="","NULL","(SELECT id FROM cli_clientes WHERE numero_documento = '"&amp;SUBSTITUTE(TRIM(G250),"'","''")&amp;"' AND estado = 1 LIMIT 1)"),"NULL")&amp;", p_id_planta =&gt; "&amp;IF(F250="PLANTA",IF(TRIM(G250&amp;"")="","NULL","(SELECT id FROM cli_clientes WHERE numero_documento = '"&amp;SUBSTITUTE(TRIM(G250),"'","''")&amp;"'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"&amp;IF(TRIM(J250&amp;"")="","NULL","(SELECT id FROM gen_almacen WHERE upper(nombre) = upper('"&amp;SUBSTITUTE(TRIM(J250),"'","''")&amp;"') AND estado = 1 LIMIT 1)")&amp;", p_id_cliente_ubicacion =&gt; "&amp;IF(TRIM(K250&amp;"")="","NULL","(SELECT id FROM cli_clientes WHERE numero_documento = '"&amp;SUBSTITUTE(TRIM(K250),"'","''")&amp;"' AND estado = 1 LIMIT 1)")&amp;", p_id_referencia =&gt; "&amp;IF(TRIM(J250&amp;"")&lt;&gt;"","(SELECT lo.id FROM gen_lista_opciones lo JOIN gen_lista l ON l.id = lo.id_lista WHERE l.nombre = 'ReferenciaCilindro' AND upper(lo.nombre) = 'ALMACEN' AND lo.estado = 1 LIMIT 1)",IF(TRIM(K250&amp;"")&lt;&gt;"","(SELECT lo.id FROM gen_lista_opciones lo JOIN gen_lista l ON l.id = lo.id_lista WHERE l.nombre = 'ReferenciaCilindro' AND upper(lo.nombre) = 'CLIENTE' AND lo.estado = 1 LIMIT 1)","NULL"))&amp;", p_anio_fabricacion =&gt; "&amp;IF(M250&amp;""="","NULL::smallint",M250&amp;"::smallint")&amp;", p_mes_fabricacion =&gt; "&amp;IF(N250&amp;""="","NULL::smallint",N250&amp;"::smallint")&amp;", p_fecha_ultima_prueba_hidrostatica =&gt; "&amp;IF(O250&amp;""="","NULL","'"&amp;YEAR(O250)&amp;"-"&amp;TEXT(MONTH(O250),"00")&amp;"-"&amp;TEXT(DAY(O250),"00")&amp;"'")&amp;", p_numero_serie =&gt; "&amp;IF(TRIM(Q250&amp;"")="","NULL","'"&amp;SUBSTITUTE(TRIM(Q250),"'","''")&amp;"'")&amp;", p_id_marca_cilindro =&gt; "&amp;IF(TRIM(R250&amp;"")="","NULL","(SELECT lo.id FROM gen_lista_opciones lo JOIN gen_lista l ON l.id = lo.id_lista WHERE l.nombre = 'MarcaCilindro' AND upper(lo.nombre) = upper('"&amp;SUBSTITUTE(TRIM(R250),"'","''")&amp;"') AND lo.estado = 1 LIMIT 1)")&amp;", p_id_organo_inspector =&gt; "&amp;IF(TRIM(S250&amp;"")="","NULL","(SELECT lo.id FROM gen_lista_opciones lo JOIN gen_lista l ON l.id = lo.id_lista WHERE l.nombre = 'OrganoInspectorCilindro' AND upper(lo.nombre) = upper('"&amp;SUBSTITUTE(TRIM(S250),"'","''")&amp;"') AND lo.estado = 1 LIMIT 1)")&amp;", p_organo_inspector_no_aplica =&gt; "&amp;IF(S250="NO_APLICA","TRUE","FALSE")&amp;", p_presion_actual =&gt; "&amp;IF(T250&amp;""="","NULL",SUBSTITUTE(T250&amp;"",",","."))&amp;", p_tipo_valvula =&gt; "&amp;IF(TRIM(U250&amp;"")="","NULL","'"&amp;SUBSTITUTE(TRIM(U250),"'","''")&amp;"'")&amp;", p_libro_cilindro =&gt; "&amp;IF(TRIM(V250&amp;"")="","NULL","'"&amp;SUBSTITUTE(TRIM(V250),"'","''")&amp;"'")&amp;", p_pagina_libro =&gt; "&amp;IF(W250&amp;""="","NULL",SUBSTITUTE(W250&amp;"",",","."))&amp;", p_observacion =&gt; "&amp;IF(TRIM(X250&amp;"")="","NULL","'"&amp;SUBSTITUTE(TRIM(X250),"'","''")&amp;"'")&amp;") AS resultado_balon_"&amp;ROW()&amp;";")</f>
        <v/>
      </c>
    </row>
    <row r="251" ht="15.75" customHeight="1" s="64">
      <c r="A251" s="36" t="inlineStr">
        <is>
          <t>247</t>
        </is>
      </c>
      <c r="B251" s="25">
        <f>IF(AND(C251="",D251="",E251=""),"",IF(C251="","FALTA código balón",IF(D251="","FALTA tipo balón",IF(E251="","FALTA gas",IF(F251="","FALTA propietario",IF(AND(C251&lt;&gt;"",SUMPRODUCT(--($C$5:$C$1200=C251))&gt;1),"CÓDIGO BALÓN DUPLICADO",IF(AND(OR(UPPER(F251)="PLANTA",UPPER(F251)="CLIENTE"),G251=""),"FALTA doc propietario/planta",IF(AND(UPPER(F251)="PLANTA",G251="10175332796"),"PLANTA no puede ser RUC empresa","OK"))))))))</f>
        <v/>
      </c>
      <c r="C251" s="54" t="inlineStr">
        <is>
          <t>114323</t>
        </is>
      </c>
      <c r="D251" s="17" t="inlineStr">
        <is>
          <t>Stargold Estandar de 6 m3</t>
        </is>
      </c>
      <c r="E251" s="17" t="inlineStr">
        <is>
          <t>STARGOLD ESTANDAR</t>
        </is>
      </c>
      <c r="F251" s="17" t="inlineStr">
        <is>
          <t>EMPRESA</t>
        </is>
      </c>
      <c r="G251" s="23" t="inlineStr">
        <is>
          <t>10175332796</t>
        </is>
      </c>
      <c r="H251" s="25" t="inlineStr">
        <is>
          <t>OXIGENO SARITA</t>
        </is>
      </c>
      <c r="I251" s="17" t="inlineStr">
        <is>
          <t>EN_PODER_CLIENTE</t>
        </is>
      </c>
      <c r="J251" s="17" t="n"/>
      <c r="K251" s="23" t="inlineStr">
        <is>
          <t>10439328482</t>
        </is>
      </c>
      <c r="L251" s="25">
        <f t="array" ref="L251">IF(K251="","",IFERROR(IF(INDEX(Clientes!$D$5:$D$549,MATCH(K251,Clientes!$C$5:$C$549,0))&lt;&gt;"",INDEX(Clientes!$D$5:$D$549,MATCH(K251,Clientes!$C$5:$C$549,0)),TRIM(INDEX(Clientes!$E$5:$E$549,MATCH(K251,Clientes!$C$5:$C$549,0))&amp;" "&amp;INDEX(Clientes!$F$5:$F$549,MATCH(K251,Clientes!$C$5:$C$549,0)))),"NO EXISTE en Clientes"))</f>
        <v/>
      </c>
      <c r="M251" s="17" t="n"/>
      <c r="N251" s="17" t="n"/>
      <c r="O251" s="42" t="n"/>
      <c r="P251" s="39">
        <f>IF(O251&lt;&gt;"",DATE(YEAR(O251)+5,MONTH(O251),1),IF(AND(M251&lt;&gt;"",N251&lt;&gt;""),DATE(M251+5,N251,1),""))</f>
        <v/>
      </c>
      <c r="Q251" s="23" t="n"/>
      <c r="R251" s="17" t="n"/>
      <c r="S251" s="17" t="n"/>
      <c r="T251" s="17" t="n"/>
      <c r="U251" s="17" t="n"/>
      <c r="V251" s="23" t="n"/>
      <c r="W251" s="17" t="n"/>
      <c r="X251" s="17" t="n"/>
      <c r="Y251" s="28">
        <f>IF(B251&lt;&gt;"OK","","SELECT bal_crear_balon(p_codigo_balon =&gt; "&amp;IF(TRIM(C251&amp;"")="","NULL","'"&amp;SUBSTITUTE(TRIM(C251),"'","''")&amp;"'")&amp;", p_id_tipo_balon =&gt; "&amp;"(SELECT id FROM bal_tipo_balon WHERE upper(nombre) = upper('"&amp;SUBSTITUTE(TRIM(D251),"'","''")&amp;"') AND estado = 1 LIMIT 1)"&amp;", p_id_producto_gas =&gt; "&amp;"(SELECT id FROM pro_producto WHERE es_gas = TRUE AND upper(nombre) = upper('"&amp;SUBSTITUTE(TRIM(E251),"'","''")&amp;"') AND estado = 1 LIMIT 1)"&amp;", p_id_propietario =&gt; "&amp;IF(TRIM(F251&amp;"")="","NULL","(SELECT lo.id FROM gen_lista_opciones lo JOIN gen_lista l ON l.id = lo.id_lista WHERE l.nombre = 'PropietarioBalon' AND upper(lo.nombre) = upper('"&amp;SUBSTITUTE(TRIM(F251),"'","''")&amp;"') AND lo.estado = 1 LIMIT 1)")&amp;", p_id_cliente_propietario =&gt; "&amp;IF(F251="CLIENTE",IF(TRIM(G251&amp;"")="","NULL","(SELECT id FROM cli_clientes WHERE numero_documento = '"&amp;SUBSTITUTE(TRIM(G251),"'","''")&amp;"' AND estado = 1 LIMIT 1)"),"NULL")&amp;", p_id_planta =&gt; "&amp;IF(F251="PLANTA",IF(TRIM(G251&amp;"")="","NULL","(SELECT id FROM cli_clientes WHERE numero_documento = '"&amp;SUBSTITUTE(TRIM(G251),"'","''")&amp;"'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"&amp;IF(TRIM(J251&amp;"")="","NULL","(SELECT id FROM gen_almacen WHERE upper(nombre) = upper('"&amp;SUBSTITUTE(TRIM(J251),"'","''")&amp;"') AND estado = 1 LIMIT 1)")&amp;", p_id_cliente_ubicacion =&gt; "&amp;IF(TRIM(K251&amp;"")="","NULL","(SELECT id FROM cli_clientes WHERE numero_documento = '"&amp;SUBSTITUTE(TRIM(K251),"'","''")&amp;"' AND estado = 1 LIMIT 1)")&amp;", p_id_referencia =&gt; "&amp;IF(TRIM(J251&amp;"")&lt;&gt;"","(SELECT lo.id FROM gen_lista_opciones lo JOIN gen_lista l ON l.id = lo.id_lista WHERE l.nombre = 'ReferenciaCilindro' AND upper(lo.nombre) = 'ALMACEN' AND lo.estado = 1 LIMIT 1)",IF(TRIM(K251&amp;"")&lt;&gt;"","(SELECT lo.id FROM gen_lista_opciones lo JOIN gen_lista l ON l.id = lo.id_lista WHERE l.nombre = 'ReferenciaCilindro' AND upper(lo.nombre) = 'CLIENTE' AND lo.estado = 1 LIMIT 1)","NULL"))&amp;", p_anio_fabricacion =&gt; "&amp;IF(M251&amp;""="","NULL::smallint",M251&amp;"::smallint")&amp;", p_mes_fabricacion =&gt; "&amp;IF(N251&amp;""="","NULL::smallint",N251&amp;"::smallint")&amp;", p_fecha_ultima_prueba_hidrostatica =&gt; "&amp;IF(O251&amp;""="","NULL","'"&amp;YEAR(O251)&amp;"-"&amp;TEXT(MONTH(O251),"00")&amp;"-"&amp;TEXT(DAY(O251),"00")&amp;"'")&amp;", p_numero_serie =&gt; "&amp;IF(TRIM(Q251&amp;"")="","NULL","'"&amp;SUBSTITUTE(TRIM(Q251),"'","''")&amp;"'")&amp;", p_id_marca_cilindro =&gt; "&amp;IF(TRIM(R251&amp;"")="","NULL","(SELECT lo.id FROM gen_lista_opciones lo JOIN gen_lista l ON l.id = lo.id_lista WHERE l.nombre = 'MarcaCilindro' AND upper(lo.nombre) = upper('"&amp;SUBSTITUTE(TRIM(R251),"'","''")&amp;"') AND lo.estado = 1 LIMIT 1)")&amp;", p_id_organo_inspector =&gt; "&amp;IF(TRIM(S251&amp;"")="","NULL","(SELECT lo.id FROM gen_lista_opciones lo JOIN gen_lista l ON l.id = lo.id_lista WHERE l.nombre = 'OrganoInspectorCilindro' AND upper(lo.nombre) = upper('"&amp;SUBSTITUTE(TRIM(S251),"'","''")&amp;"') AND lo.estado = 1 LIMIT 1)")&amp;", p_organo_inspector_no_aplica =&gt; "&amp;IF(S251="NO_APLICA","TRUE","FALSE")&amp;", p_presion_actual =&gt; "&amp;IF(T251&amp;""="","NULL",SUBSTITUTE(T251&amp;"",",","."))&amp;", p_tipo_valvula =&gt; "&amp;IF(TRIM(U251&amp;"")="","NULL","'"&amp;SUBSTITUTE(TRIM(U251),"'","''")&amp;"'")&amp;", p_libro_cilindro =&gt; "&amp;IF(TRIM(V251&amp;"")="","NULL","'"&amp;SUBSTITUTE(TRIM(V251),"'","''")&amp;"'")&amp;", p_pagina_libro =&gt; "&amp;IF(W251&amp;""="","NULL",SUBSTITUTE(W251&amp;"",",","."))&amp;", p_observacion =&gt; "&amp;IF(TRIM(X251&amp;"")="","NULL","'"&amp;SUBSTITUTE(TRIM(X251),"'","''")&amp;"'")&amp;") AS resultado_balon_"&amp;ROW()&amp;";")</f>
        <v/>
      </c>
    </row>
    <row r="252" ht="15.75" customHeight="1" s="64">
      <c r="A252" s="36" t="inlineStr">
        <is>
          <t>248</t>
        </is>
      </c>
      <c r="B252" s="25">
        <f>IF(AND(C252="",D252="",E252=""),"",IF(C252="","FALTA código balón",IF(D252="","FALTA tipo balón",IF(E252="","FALTA gas",IF(F252="","FALTA propietario",IF(AND(C252&lt;&gt;"",SUMPRODUCT(--($C$5:$C$1200=C252))&gt;1),"CÓDIGO BALÓN DUPLICADO",IF(AND(OR(UPPER(F252)="PLANTA",UPPER(F252)="CLIENTE"),G252=""),"FALTA doc propietario/planta",IF(AND(UPPER(F252)="PLANTA",G252="10175332796"),"PLANTA no puede ser RUC empresa","OK"))))))))</f>
        <v/>
      </c>
      <c r="C252" s="54" t="inlineStr">
        <is>
          <t>20K301188</t>
        </is>
      </c>
      <c r="D252" s="17" t="inlineStr">
        <is>
          <t>Stargold Estandar de 10 m3</t>
        </is>
      </c>
      <c r="E252" s="17" t="inlineStr">
        <is>
          <t>STARGOLD ESTANDAR</t>
        </is>
      </c>
      <c r="F252" s="17" t="inlineStr">
        <is>
          <t>EMPRESA</t>
        </is>
      </c>
      <c r="G252" s="23" t="inlineStr">
        <is>
          <t>10175332796</t>
        </is>
      </c>
      <c r="H252" s="25" t="inlineStr">
        <is>
          <t>OXIGENO SARITA</t>
        </is>
      </c>
      <c r="I252" s="17" t="inlineStr">
        <is>
          <t>EN_PODER_CLIENTE</t>
        </is>
      </c>
      <c r="J252" s="17" t="n"/>
      <c r="K252" s="23" t="inlineStr">
        <is>
          <t>20607756121</t>
        </is>
      </c>
      <c r="L252" s="25">
        <f t="array" ref="L252">IF(K252="","",IFERROR(IF(INDEX(Clientes!$D$5:$D$549,MATCH(K252,Clientes!$C$5:$C$549,0))&lt;&gt;"",INDEX(Clientes!$D$5:$D$549,MATCH(K252,Clientes!$C$5:$C$549,0)),TRIM(INDEX(Clientes!$E$5:$E$549,MATCH(K252,Clientes!$C$5:$C$549,0))&amp;" "&amp;INDEX(Clientes!$F$5:$F$549,MATCH(K252,Clientes!$C$5:$C$549,0)))),"NO EXISTE en Clientes"))</f>
        <v/>
      </c>
      <c r="M252" s="17" t="n"/>
      <c r="N252" s="17" t="n"/>
      <c r="O252" s="42" t="n"/>
      <c r="P252" s="39">
        <f>IF(O252&lt;&gt;"",DATE(YEAR(O252)+5,MONTH(O252),1),IF(AND(M252&lt;&gt;"",N252&lt;&gt;""),DATE(M252+5,N252,1),""))</f>
        <v/>
      </c>
      <c r="Q252" s="23" t="n"/>
      <c r="R252" s="17" t="n"/>
      <c r="S252" s="17" t="n"/>
      <c r="T252" s="17" t="n"/>
      <c r="U252" s="17" t="n"/>
      <c r="V252" s="23" t="n"/>
      <c r="W252" s="17" t="n"/>
      <c r="X252" s="17" t="n"/>
      <c r="Y252" s="28">
        <f>IF(B252&lt;&gt;"OK","","SELECT bal_crear_balon(p_codigo_balon =&gt; "&amp;IF(TRIM(C252&amp;"")="","NULL","'"&amp;SUBSTITUTE(TRIM(C252),"'","''")&amp;"'")&amp;", p_id_tipo_balon =&gt; "&amp;"(SELECT id FROM bal_tipo_balon WHERE upper(nombre) = upper('"&amp;SUBSTITUTE(TRIM(D252),"'","''")&amp;"') AND estado = 1 LIMIT 1)"&amp;", p_id_producto_gas =&gt; "&amp;"(SELECT id FROM pro_producto WHERE es_gas = TRUE AND upper(nombre) = upper('"&amp;SUBSTITUTE(TRIM(E252),"'","''")&amp;"') AND estado = 1 LIMIT 1)"&amp;", p_id_propietario =&gt; "&amp;IF(TRIM(F252&amp;"")="","NULL","(SELECT lo.id FROM gen_lista_opciones lo JOIN gen_lista l ON l.id = lo.id_lista WHERE l.nombre = 'PropietarioBalon' AND upper(lo.nombre) = upper('"&amp;SUBSTITUTE(TRIM(F252),"'","''")&amp;"') AND lo.estado = 1 LIMIT 1)")&amp;", p_id_cliente_propietario =&gt; "&amp;IF(F252="CLIENTE",IF(TRIM(G252&amp;"")="","NULL","(SELECT id FROM cli_clientes WHERE numero_documento = '"&amp;SUBSTITUTE(TRIM(G252),"'","''")&amp;"' AND estado = 1 LIMIT 1)"),"NULL")&amp;", p_id_planta =&gt; "&amp;IF(F252="PLANTA",IF(TRIM(G252&amp;"")="","NULL","(SELECT id FROM cli_clientes WHERE numero_documento = '"&amp;SUBSTITUTE(TRIM(G252),"'","''")&amp;"'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"&amp;IF(TRIM(J252&amp;"")="","NULL","(SELECT id FROM gen_almacen WHERE upper(nombre) = upper('"&amp;SUBSTITUTE(TRIM(J252),"'","''")&amp;"') AND estado = 1 LIMIT 1)")&amp;", p_id_cliente_ubicacion =&gt; "&amp;IF(TRIM(K252&amp;"")="","NULL","(SELECT id FROM cli_clientes WHERE numero_documento = '"&amp;SUBSTITUTE(TRIM(K252),"'","''")&amp;"' AND estado = 1 LIMIT 1)")&amp;", p_id_referencia =&gt; "&amp;IF(TRIM(J252&amp;"")&lt;&gt;"","(SELECT lo.id FROM gen_lista_opciones lo JOIN gen_lista l ON l.id = lo.id_lista WHERE l.nombre = 'ReferenciaCilindro' AND upper(lo.nombre) = 'ALMACEN' AND lo.estado = 1 LIMIT 1)",IF(TRIM(K252&amp;"")&lt;&gt;"","(SELECT lo.id FROM gen_lista_opciones lo JOIN gen_lista l ON l.id = lo.id_lista WHERE l.nombre = 'ReferenciaCilindro' AND upper(lo.nombre) = 'CLIENTE' AND lo.estado = 1 LIMIT 1)","NULL"))&amp;", p_anio_fabricacion =&gt; "&amp;IF(M252&amp;""="","NULL::smallint",M252&amp;"::smallint")&amp;", p_mes_fabricacion =&gt; "&amp;IF(N252&amp;""="","NULL::smallint",N252&amp;"::smallint")&amp;", p_fecha_ultima_prueba_hidrostatica =&gt; "&amp;IF(O252&amp;""="","NULL","'"&amp;YEAR(O252)&amp;"-"&amp;TEXT(MONTH(O252),"00")&amp;"-"&amp;TEXT(DAY(O252),"00")&amp;"'")&amp;", p_numero_serie =&gt; "&amp;IF(TRIM(Q252&amp;"")="","NULL","'"&amp;SUBSTITUTE(TRIM(Q252),"'","''")&amp;"'")&amp;", p_id_marca_cilindro =&gt; "&amp;IF(TRIM(R252&amp;"")="","NULL","(SELECT lo.id FROM gen_lista_opciones lo JOIN gen_lista l ON l.id = lo.id_lista WHERE l.nombre = 'MarcaCilindro' AND upper(lo.nombre) = upper('"&amp;SUBSTITUTE(TRIM(R252),"'","''")&amp;"') AND lo.estado = 1 LIMIT 1)")&amp;", p_id_organo_inspector =&gt; "&amp;IF(TRIM(S252&amp;"")="","NULL","(SELECT lo.id FROM gen_lista_opciones lo JOIN gen_lista l ON l.id = lo.id_lista WHERE l.nombre = 'OrganoInspectorCilindro' AND upper(lo.nombre) = upper('"&amp;SUBSTITUTE(TRIM(S252),"'","''")&amp;"') AND lo.estado = 1 LIMIT 1)")&amp;", p_organo_inspector_no_aplica =&gt; "&amp;IF(S252="NO_APLICA","TRUE","FALSE")&amp;", p_presion_actual =&gt; "&amp;IF(T252&amp;""="","NULL",SUBSTITUTE(T252&amp;"",",","."))&amp;", p_tipo_valvula =&gt; "&amp;IF(TRIM(U252&amp;"")="","NULL","'"&amp;SUBSTITUTE(TRIM(U252),"'","''")&amp;"'")&amp;", p_libro_cilindro =&gt; "&amp;IF(TRIM(V252&amp;"")="","NULL","'"&amp;SUBSTITUTE(TRIM(V252),"'","''")&amp;"'")&amp;", p_pagina_libro =&gt; "&amp;IF(W252&amp;""="","NULL",SUBSTITUTE(W252&amp;"",",","."))&amp;", p_observacion =&gt; "&amp;IF(TRIM(X252&amp;"")="","NULL","'"&amp;SUBSTITUTE(TRIM(X252),"'","''")&amp;"'")&amp;") AS resultado_balon_"&amp;ROW()&amp;";")</f>
        <v/>
      </c>
    </row>
    <row r="253" ht="15.75" customHeight="1" s="64">
      <c r="A253" s="61" t="inlineStr">
        <is>
          <t>249</t>
        </is>
      </c>
      <c r="B253" s="53">
        <f>IF(AND(C253="",D253="",E253=""),"",IF(C253="","FALTA código balón",IF(D253="","FALTA tipo balón",IF(E253="","FALTA gas",IF(F253="","FALTA propietario",IF(AND(C253&lt;&gt;"",SUMPRODUCT(--($C$5:$C$1200=C253))&gt;1),"CÓDIGO BALÓN DUPLICADO",IF(AND(OR(UPPER(F253)="PLANTA",UPPER(F253)="CLIENTE"),G253=""),"FALTA doc propietario/planta",IF(AND(UPPER(F253)="PLANTA",G253="10175332796"),"PLANTA no puede ser RUC empresa","OK"))))))))</f>
        <v/>
      </c>
      <c r="C253" s="54" t="inlineStr">
        <is>
          <t>21K028015</t>
        </is>
      </c>
      <c r="D253" s="55" t="inlineStr">
        <is>
          <t>Stargold Estandar de 10 m3</t>
        </is>
      </c>
      <c r="E253" s="55" t="inlineStr">
        <is>
          <t>STARGOLD ESTANDAR</t>
        </is>
      </c>
      <c r="F253" s="55" t="inlineStr">
        <is>
          <t>EMPRESA</t>
        </is>
      </c>
      <c r="G253" s="54" t="inlineStr">
        <is>
          <t>10175332796</t>
        </is>
      </c>
      <c r="H253" s="53" t="inlineStr">
        <is>
          <t>OXIGENO SARITA</t>
        </is>
      </c>
      <c r="I253" s="55" t="inlineStr">
        <is>
          <t>EN_PODER_CLIENTE</t>
        </is>
      </c>
      <c r="J253" s="55" t="n"/>
      <c r="K253" s="54" t="inlineStr">
        <is>
          <t>10448235012</t>
        </is>
      </c>
      <c r="L253" s="53">
        <f t="array" ref="L253">IF(K253="","",IFERROR(IF(INDEX(Clientes!$D$5:$D$549,MATCH(K253,Clientes!$C$5:$C$549,0))&lt;&gt;"",INDEX(Clientes!$D$5:$D$549,MATCH(K253,Clientes!$C$5:$C$549,0)),TRIM(INDEX(Clientes!$E$5:$E$549,MATCH(K253,Clientes!$C$5:$C$549,0))&amp;" "&amp;INDEX(Clientes!$F$5:$F$549,MATCH(K253,Clientes!$C$5:$C$549,0)))),"NO EXISTE en Clientes"))</f>
        <v/>
      </c>
      <c r="M253" s="55" t="n"/>
      <c r="N253" s="55" t="n"/>
      <c r="O253" s="56" t="n"/>
      <c r="P253" s="57">
        <f>IF(O253&lt;&gt;"",DATE(YEAR(O253)+5,MONTH(O253),1),IF(AND(M253&lt;&gt;"",N253&lt;&gt;""),DATE(M253+5,N253,1),""))</f>
        <v/>
      </c>
      <c r="Q253" s="54" t="n"/>
      <c r="R253" s="55" t="n"/>
      <c r="S253" s="55" t="n"/>
      <c r="T253" s="55" t="n"/>
      <c r="U253" s="55" t="n"/>
      <c r="V253" s="54" t="n"/>
      <c r="W253" s="55" t="n"/>
      <c r="X253" s="55" t="n"/>
      <c r="Y253" s="58">
        <f>IF(B253&lt;&gt;"OK","","SELECT bal_crear_balon(p_codigo_balon =&gt; "&amp;IF(TRIM(C253&amp;"")="","NULL","'"&amp;SUBSTITUTE(TRIM(C253),"'","''")&amp;"'")&amp;", p_id_tipo_balon =&gt; "&amp;"(SELECT id FROM bal_tipo_balon WHERE upper(nombre) = upper('"&amp;SUBSTITUTE(TRIM(D253),"'","''")&amp;"') AND estado = 1 LIMIT 1)"&amp;", p_id_producto_gas =&gt; "&amp;"(SELECT id FROM pro_producto WHERE es_gas = TRUE AND upper(nombre) = upper('"&amp;SUBSTITUTE(TRIM(E253),"'","''")&amp;"') AND estado = 1 LIMIT 1)"&amp;", p_id_propietario =&gt; "&amp;IF(TRIM(F253&amp;"")="","NULL","(SELECT lo.id FROM gen_lista_opciones lo JOIN gen_lista l ON l.id = lo.id_lista WHERE l.nombre = 'PropietarioBalon' AND upper(lo.nombre) = upper('"&amp;SUBSTITUTE(TRIM(F253),"'","''")&amp;"') AND lo.estado = 1 LIMIT 1)")&amp;", p_id_cliente_propietario =&gt; "&amp;IF(F253="CLIENTE",IF(TRIM(G253&amp;"")="","NULL","(SELECT id FROM cli_clientes WHERE numero_documento = '"&amp;SUBSTITUTE(TRIM(G253),"'","''")&amp;"' AND estado = 1 LIMIT 1)"),"NULL")&amp;", p_id_planta =&gt; "&amp;IF(F253="PLANTA",IF(TRIM(G253&amp;"")="","NULL","(SELECT id FROM cli_clientes WHERE numero_documento = '"&amp;SUBSTITUTE(TRIM(G253),"'","''")&amp;"'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"&amp;IF(TRIM(J253&amp;"")="","NULL","(SELECT id FROM gen_almacen WHERE upper(nombre) = upper('"&amp;SUBSTITUTE(TRIM(J253),"'","''")&amp;"') AND estado = 1 LIMIT 1)")&amp;", p_id_cliente_ubicacion =&gt; "&amp;IF(TRIM(K253&amp;"")="","NULL","(SELECT id FROM cli_clientes WHERE numero_documento = '"&amp;SUBSTITUTE(TRIM(K253),"'","''")&amp;"' AND estado = 1 LIMIT 1)")&amp;", p_id_referencia =&gt; "&amp;IF(TRIM(J253&amp;"")&lt;&gt;"","(SELECT lo.id FROM gen_lista_opciones lo JOIN gen_lista l ON l.id = lo.id_lista WHERE l.nombre = 'ReferenciaCilindro' AND upper(lo.nombre) = 'ALMACEN' AND lo.estado = 1 LIMIT 1)",IF(TRIM(K253&amp;"")&lt;&gt;"","(SELECT lo.id FROM gen_lista_opciones lo JOIN gen_lista l ON l.id = lo.id_lista WHERE l.nombre = 'ReferenciaCilindro' AND upper(lo.nombre) = 'CLIENTE' AND lo.estado = 1 LIMIT 1)","NULL"))&amp;", p_anio_fabricacion =&gt; "&amp;IF(M253&amp;""="","NULL::smallint",M253&amp;"::smallint")&amp;", p_mes_fabricacion =&gt; "&amp;IF(N253&amp;""="","NULL::smallint",N253&amp;"::smallint")&amp;", p_fecha_ultima_prueba_hidrostatica =&gt; "&amp;IF(O253&amp;""="","NULL","'"&amp;YEAR(O253)&amp;"-"&amp;TEXT(MONTH(O253),"00")&amp;"-"&amp;TEXT(DAY(O253),"00")&amp;"'")&amp;", p_numero_serie =&gt; "&amp;IF(TRIM(Q253&amp;"")="","NULL","'"&amp;SUBSTITUTE(TRIM(Q253),"'","''")&amp;"'")&amp;", p_id_marca_cilindro =&gt; "&amp;IF(TRIM(R253&amp;"")="","NULL","(SELECT lo.id FROM gen_lista_opciones lo JOIN gen_lista l ON l.id = lo.id_lista WHERE l.nombre = 'MarcaCilindro' AND upper(lo.nombre) = upper('"&amp;SUBSTITUTE(TRIM(R253),"'","''")&amp;"') AND lo.estado = 1 LIMIT 1)")&amp;", p_id_organo_inspector =&gt; "&amp;IF(TRIM(S253&amp;"")="","NULL","(SELECT lo.id FROM gen_lista_opciones lo JOIN gen_lista l ON l.id = lo.id_lista WHERE l.nombre = 'OrganoInspectorCilindro' AND upper(lo.nombre) = upper('"&amp;SUBSTITUTE(TRIM(S253),"'","''")&amp;"') AND lo.estado = 1 LIMIT 1)")&amp;", p_organo_inspector_no_aplica =&gt; "&amp;IF(S253="NO_APLICA","TRUE","FALSE")&amp;", p_presion_actual =&gt; "&amp;IF(T253&amp;""="","NULL",SUBSTITUTE(T253&amp;"",",","."))&amp;", p_tipo_valvula =&gt; "&amp;IF(TRIM(U253&amp;"")="","NULL","'"&amp;SUBSTITUTE(TRIM(U253),"'","''")&amp;"'")&amp;", p_libro_cilindro =&gt; "&amp;IF(TRIM(V253&amp;"")="","NULL","'"&amp;SUBSTITUTE(TRIM(V253),"'","''")&amp;"'")&amp;", p_pagina_libro =&gt; "&amp;IF(W253&amp;""="","NULL",SUBSTITUTE(W253&amp;"",",","."))&amp;", p_observacion =&gt; "&amp;IF(TRIM(X253&amp;"")="","NULL","'"&amp;SUBSTITUTE(TRIM(X253),"'","''")&amp;"'")&amp;") AS resultado_balon_"&amp;ROW()&amp;";")</f>
        <v/>
      </c>
      <c r="Z253" s="59" t="n"/>
      <c r="AA253" s="59" t="n"/>
    </row>
    <row r="254" ht="15.75" customHeight="1" s="64">
      <c r="A254" s="36" t="inlineStr">
        <is>
          <t>250</t>
        </is>
      </c>
      <c r="B254" s="25">
        <f>IF(AND(C254="",D254="",E254=""),"",IF(C254="","FALTA código balón",IF(D254="","FALTA tipo balón",IF(E254="","FALTA gas",IF(F254="","FALTA propietario",IF(AND(C254&lt;&gt;"",SUMPRODUCT(--($C$5:$C$1200=C254))&gt;1),"CÓDIGO BALÓN DUPLICADO",IF(AND(OR(UPPER(F254)="PLANTA",UPPER(F254)="CLIENTE"),G254=""),"FALTA doc propietario/planta",IF(AND(UPPER(F254)="PLANTA",G254="10175332796"),"PLANTA no puede ser RUC empresa","OK"))))))))</f>
        <v/>
      </c>
      <c r="C254" s="54" t="inlineStr">
        <is>
          <t>973008</t>
        </is>
      </c>
      <c r="D254" s="17" t="inlineStr">
        <is>
          <t>Stargold Estandar de 7 m3</t>
        </is>
      </c>
      <c r="E254" s="17" t="inlineStr">
        <is>
          <t>STARGOLD ESTANDAR</t>
        </is>
      </c>
      <c r="F254" s="17" t="inlineStr">
        <is>
          <t>EMPRESA</t>
        </is>
      </c>
      <c r="G254" s="23" t="inlineStr">
        <is>
          <t>10175332796</t>
        </is>
      </c>
      <c r="H254" s="25" t="inlineStr">
        <is>
          <t>OXIGENO SARITA</t>
        </is>
      </c>
      <c r="I254" s="17" t="inlineStr">
        <is>
          <t>EN_PODER_CLIENTE</t>
        </is>
      </c>
      <c r="J254" s="17" t="n"/>
      <c r="K254" s="23" t="inlineStr">
        <is>
          <t>20480748710</t>
        </is>
      </c>
      <c r="L254" s="25">
        <f t="array" ref="L254">IF(K254="","",IFERROR(IF(INDEX(Clientes!$D$5:$D$549,MATCH(K254,Clientes!$C$5:$C$549,0))&lt;&gt;"",INDEX(Clientes!$D$5:$D$549,MATCH(K254,Clientes!$C$5:$C$549,0)),TRIM(INDEX(Clientes!$E$5:$E$549,MATCH(K254,Clientes!$C$5:$C$549,0))&amp;" "&amp;INDEX(Clientes!$F$5:$F$549,MATCH(K254,Clientes!$C$5:$C$549,0)))),"NO EXISTE en Clientes"))</f>
        <v/>
      </c>
      <c r="M254" s="17" t="n"/>
      <c r="N254" s="17" t="n"/>
      <c r="O254" s="42" t="n"/>
      <c r="P254" s="39">
        <f>IF(O254&lt;&gt;"",DATE(YEAR(O254)+5,MONTH(O254),1),IF(AND(M254&lt;&gt;"",N254&lt;&gt;""),DATE(M254+5,N254,1),""))</f>
        <v/>
      </c>
      <c r="Q254" s="23" t="n"/>
      <c r="R254" s="17" t="n"/>
      <c r="S254" s="17" t="n"/>
      <c r="T254" s="17" t="n"/>
      <c r="U254" s="17" t="n"/>
      <c r="V254" s="23" t="n"/>
      <c r="W254" s="17" t="n"/>
      <c r="X254" s="17" t="n"/>
      <c r="Y254" s="28">
        <f>IF(B254&lt;&gt;"OK","","SELECT bal_crear_balon(p_codigo_balon =&gt; "&amp;IF(TRIM(C254&amp;"")="","NULL","'"&amp;SUBSTITUTE(TRIM(C254),"'","''")&amp;"'")&amp;", p_id_tipo_balon =&gt; "&amp;"(SELECT id FROM bal_tipo_balon WHERE upper(nombre) = upper('"&amp;SUBSTITUTE(TRIM(D254),"'","''")&amp;"') AND estado = 1 LIMIT 1)"&amp;", p_id_producto_gas =&gt; "&amp;"(SELECT id FROM pro_producto WHERE es_gas = TRUE AND upper(nombre) = upper('"&amp;SUBSTITUTE(TRIM(E254),"'","''")&amp;"') AND estado = 1 LIMIT 1)"&amp;", p_id_propietario =&gt; "&amp;IF(TRIM(F254&amp;"")="","NULL","(SELECT lo.id FROM gen_lista_opciones lo JOIN gen_lista l ON l.id = lo.id_lista WHERE l.nombre = 'PropietarioBalon' AND upper(lo.nombre) = upper('"&amp;SUBSTITUTE(TRIM(F254),"'","''")&amp;"') AND lo.estado = 1 LIMIT 1)")&amp;", p_id_cliente_propietario =&gt; "&amp;IF(F254="CLIENTE",IF(TRIM(G254&amp;"")="","NULL","(SELECT id FROM cli_clientes WHERE numero_documento = '"&amp;SUBSTITUTE(TRIM(G254),"'","''")&amp;"' AND estado = 1 LIMIT 1)"),"NULL")&amp;", p_id_planta =&gt; "&amp;IF(F254="PLANTA",IF(TRIM(G254&amp;"")="","NULL","(SELECT id FROM cli_clientes WHERE numero_documento = '"&amp;SUBSTITUTE(TRIM(G254),"'","''")&amp;"'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"&amp;IF(TRIM(J254&amp;"")="","NULL","(SELECT id FROM gen_almacen WHERE upper(nombre) = upper('"&amp;SUBSTITUTE(TRIM(J254),"'","''")&amp;"') AND estado = 1 LIMIT 1)")&amp;", p_id_cliente_ubicacion =&gt; "&amp;IF(TRIM(K254&amp;"")="","NULL","(SELECT id FROM cli_clientes WHERE numero_documento = '"&amp;SUBSTITUTE(TRIM(K254),"'","''")&amp;"' AND estado = 1 LIMIT 1)")&amp;", p_id_referencia =&gt; "&amp;IF(TRIM(J254&amp;"")&lt;&gt;"","(SELECT lo.id FROM gen_lista_opciones lo JOIN gen_lista l ON l.id = lo.id_lista WHERE l.nombre = 'ReferenciaCilindro' AND upper(lo.nombre) = 'ALMACEN' AND lo.estado = 1 LIMIT 1)",IF(TRIM(K254&amp;"")&lt;&gt;"","(SELECT lo.id FROM gen_lista_opciones lo JOIN gen_lista l ON l.id = lo.id_lista WHERE l.nombre = 'ReferenciaCilindro' AND upper(lo.nombre) = 'CLIENTE' AND lo.estado = 1 LIMIT 1)","NULL"))&amp;", p_anio_fabricacion =&gt; "&amp;IF(M254&amp;""="","NULL::smallint",M254&amp;"::smallint")&amp;", p_mes_fabricacion =&gt; "&amp;IF(N254&amp;""="","NULL::smallint",N254&amp;"::smallint")&amp;", p_fecha_ultima_prueba_hidrostatica =&gt; "&amp;IF(O254&amp;""="","NULL","'"&amp;YEAR(O254)&amp;"-"&amp;TEXT(MONTH(O254),"00")&amp;"-"&amp;TEXT(DAY(O254),"00")&amp;"'")&amp;", p_numero_serie =&gt; "&amp;IF(TRIM(Q254&amp;"")="","NULL","'"&amp;SUBSTITUTE(TRIM(Q254),"'","''")&amp;"'")&amp;", p_id_marca_cilindro =&gt; "&amp;IF(TRIM(R254&amp;"")="","NULL","(SELECT lo.id FROM gen_lista_opciones lo JOIN gen_lista l ON l.id = lo.id_lista WHERE l.nombre = 'MarcaCilindro' AND upper(lo.nombre) = upper('"&amp;SUBSTITUTE(TRIM(R254),"'","''")&amp;"') AND lo.estado = 1 LIMIT 1)")&amp;", p_id_organo_inspector =&gt; "&amp;IF(TRIM(S254&amp;"")="","NULL","(SELECT lo.id FROM gen_lista_opciones lo JOIN gen_lista l ON l.id = lo.id_lista WHERE l.nombre = 'OrganoInspectorCilindro' AND upper(lo.nombre) = upper('"&amp;SUBSTITUTE(TRIM(S254),"'","''")&amp;"') AND lo.estado = 1 LIMIT 1)")&amp;", p_organo_inspector_no_aplica =&gt; "&amp;IF(S254="NO_APLICA","TRUE","FALSE")&amp;", p_presion_actual =&gt; "&amp;IF(T254&amp;""="","NULL",SUBSTITUTE(T254&amp;"",",","."))&amp;", p_tipo_valvula =&gt; "&amp;IF(TRIM(U254&amp;"")="","NULL","'"&amp;SUBSTITUTE(TRIM(U254),"'","''")&amp;"'")&amp;", p_libro_cilindro =&gt; "&amp;IF(TRIM(V254&amp;"")="","NULL","'"&amp;SUBSTITUTE(TRIM(V254),"'","''")&amp;"'")&amp;", p_pagina_libro =&gt; "&amp;IF(W254&amp;""="","NULL",SUBSTITUTE(W254&amp;"",",","."))&amp;", p_observacion =&gt; "&amp;IF(TRIM(X254&amp;"")="","NULL","'"&amp;SUBSTITUTE(TRIM(X254),"'","''")&amp;"'")&amp;") AS resultado_balon_"&amp;ROW()&amp;";")</f>
        <v/>
      </c>
    </row>
    <row r="255" ht="15.75" customHeight="1" s="64">
      <c r="A255" s="36" t="inlineStr">
        <is>
          <t>251</t>
        </is>
      </c>
      <c r="B255" s="25">
        <f>IF(AND(C255="",D255="",E255=""),"",IF(C255="","FALTA código balón",IF(D255="","FALTA tipo balón",IF(E255="","FALTA gas",IF(F255="","FALTA propietario",IF(AND(C255&lt;&gt;"",SUMPRODUCT(--($C$5:$C$1200=C255))&gt;1),"CÓDIGO BALÓN DUPLICADO",IF(AND(OR(UPPER(F255)="PLANTA",UPPER(F255)="CLIENTE"),G255=""),"FALTA doc propietario/planta",IF(AND(UPPER(F255)="PLANTA",G255="10175332796"),"PLANTA no puede ser RUC empresa","OK"))))))))</f>
        <v/>
      </c>
      <c r="C255" s="54" t="inlineStr">
        <is>
          <t>20S129200</t>
        </is>
      </c>
      <c r="D255" s="17" t="inlineStr">
        <is>
          <t>Stargold Estandar de 6 m3</t>
        </is>
      </c>
      <c r="E255" s="17" t="inlineStr">
        <is>
          <t>STARGOLD ESTANDAR</t>
        </is>
      </c>
      <c r="F255" s="17" t="inlineStr">
        <is>
          <t>EMPRESA</t>
        </is>
      </c>
      <c r="G255" s="23" t="inlineStr">
        <is>
          <t>10175332796</t>
        </is>
      </c>
      <c r="H255" s="25" t="inlineStr">
        <is>
          <t>OXIGENO SARITA</t>
        </is>
      </c>
      <c r="I255" s="17" t="inlineStr">
        <is>
          <t>EN_PODER_CLIENTE</t>
        </is>
      </c>
      <c r="J255" s="17" t="n"/>
      <c r="K255" s="26" t="inlineStr">
        <is>
          <t>10471465572</t>
        </is>
      </c>
      <c r="L255" s="25">
        <f t="array" ref="L255">IF(K255="","",IFERROR(IF(INDEX(Clientes!$D$5:$D$549,MATCH(K255,Clientes!$C$5:$C$549,0))&lt;&gt;"",INDEX(Clientes!$D$5:$D$549,MATCH(K255,Clientes!$C$5:$C$549,0)),TRIM(INDEX(Clientes!$E$5:$E$549,MATCH(K255,Clientes!$C$5:$C$549,0))&amp;" "&amp;INDEX(Clientes!$F$5:$F$549,MATCH(K255,Clientes!$C$5:$C$549,0)))),"NO EXISTE en Clientes"))</f>
        <v/>
      </c>
      <c r="M255" s="17" t="n"/>
      <c r="N255" s="17" t="n"/>
      <c r="O255" s="42" t="n"/>
      <c r="P255" s="39">
        <f>IF(O255&lt;&gt;"",DATE(YEAR(O255)+5,MONTH(O255),1),IF(AND(M255&lt;&gt;"",N255&lt;&gt;""),DATE(M255+5,N255,1),""))</f>
        <v/>
      </c>
      <c r="Q255" s="23" t="n"/>
      <c r="R255" s="17" t="n"/>
      <c r="S255" s="17" t="n"/>
      <c r="T255" s="17" t="n"/>
      <c r="U255" s="17" t="n"/>
      <c r="V255" s="23" t="n"/>
      <c r="W255" s="17" t="n"/>
      <c r="X255" s="17" t="n"/>
      <c r="Y255" s="28">
        <f>IF(B255&lt;&gt;"OK","","SELECT bal_crear_balon(p_codigo_balon =&gt; "&amp;IF(TRIM(C255&amp;"")="","NULL","'"&amp;SUBSTITUTE(TRIM(C255),"'","''")&amp;"'")&amp;", p_id_tipo_balon =&gt; "&amp;"(SELECT id FROM bal_tipo_balon WHERE upper(nombre) = upper('"&amp;SUBSTITUTE(TRIM(D255),"'","''")&amp;"') AND estado = 1 LIMIT 1)"&amp;", p_id_producto_gas =&gt; "&amp;"(SELECT id FROM pro_producto WHERE es_gas = TRUE AND upper(nombre) = upper('"&amp;SUBSTITUTE(TRIM(E255),"'","''")&amp;"') AND estado = 1 LIMIT 1)"&amp;", p_id_propietario =&gt; "&amp;IF(TRIM(F255&amp;"")="","NULL","(SELECT lo.id FROM gen_lista_opciones lo JOIN gen_lista l ON l.id = lo.id_lista WHERE l.nombre = 'PropietarioBalon' AND upper(lo.nombre) = upper('"&amp;SUBSTITUTE(TRIM(F255),"'","''")&amp;"') AND lo.estado = 1 LIMIT 1)")&amp;", p_id_cliente_propietario =&gt; "&amp;IF(F255="CLIENTE",IF(TRIM(G255&amp;"")="","NULL","(SELECT id FROM cli_clientes WHERE numero_documento = '"&amp;SUBSTITUTE(TRIM(G255),"'","''")&amp;"' AND estado = 1 LIMIT 1)"),"NULL")&amp;", p_id_planta =&gt; "&amp;IF(F255="PLANTA",IF(TRIM(G255&amp;"")="","NULL","(SELECT id FROM cli_clientes WHERE numero_documento = '"&amp;SUBSTITUTE(TRIM(G255),"'","''")&amp;"'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"&amp;IF(TRIM(J255&amp;"")="","NULL","(SELECT id FROM gen_almacen WHERE upper(nombre) = upper('"&amp;SUBSTITUTE(TRIM(J255),"'","''")&amp;"') AND estado = 1 LIMIT 1)")&amp;", p_id_cliente_ubicacion =&gt; "&amp;IF(TRIM(K255&amp;"")="","NULL","(SELECT id FROM cli_clientes WHERE numero_documento = '"&amp;SUBSTITUTE(TRIM(K255),"'","''")&amp;"' AND estado = 1 LIMIT 1)")&amp;", p_id_referencia =&gt; "&amp;IF(TRIM(J255&amp;"")&lt;&gt;"","(SELECT lo.id FROM gen_lista_opciones lo JOIN gen_lista l ON l.id = lo.id_lista WHERE l.nombre = 'ReferenciaCilindro' AND upper(lo.nombre) = 'ALMACEN' AND lo.estado = 1 LIMIT 1)",IF(TRIM(K255&amp;"")&lt;&gt;"","(SELECT lo.id FROM gen_lista_opciones lo JOIN gen_lista l ON l.id = lo.id_lista WHERE l.nombre = 'ReferenciaCilindro' AND upper(lo.nombre) = 'CLIENTE' AND lo.estado = 1 LIMIT 1)","NULL"))&amp;", p_anio_fabricacion =&gt; "&amp;IF(M255&amp;""="","NULL::smallint",M255&amp;"::smallint")&amp;", p_mes_fabricacion =&gt; "&amp;IF(N255&amp;""="","NULL::smallint",N255&amp;"::smallint")&amp;", p_fecha_ultima_prueba_hidrostatica =&gt; "&amp;IF(O255&amp;""="","NULL","'"&amp;YEAR(O255)&amp;"-"&amp;TEXT(MONTH(O255),"00")&amp;"-"&amp;TEXT(DAY(O255),"00")&amp;"'")&amp;", p_numero_serie =&gt; "&amp;IF(TRIM(Q255&amp;"")="","NULL","'"&amp;SUBSTITUTE(TRIM(Q255),"'","''")&amp;"'")&amp;", p_id_marca_cilindro =&gt; "&amp;IF(TRIM(R255&amp;"")="","NULL","(SELECT lo.id FROM gen_lista_opciones lo JOIN gen_lista l ON l.id = lo.id_lista WHERE l.nombre = 'MarcaCilindro' AND upper(lo.nombre) = upper('"&amp;SUBSTITUTE(TRIM(R255),"'","''")&amp;"') AND lo.estado = 1 LIMIT 1)")&amp;", p_id_organo_inspector =&gt; "&amp;IF(TRIM(S255&amp;"")="","NULL","(SELECT lo.id FROM gen_lista_opciones lo JOIN gen_lista l ON l.id = lo.id_lista WHERE l.nombre = 'OrganoInspectorCilindro' AND upper(lo.nombre) = upper('"&amp;SUBSTITUTE(TRIM(S255),"'","''")&amp;"') AND lo.estado = 1 LIMIT 1)")&amp;", p_organo_inspector_no_aplica =&gt; "&amp;IF(S255="NO_APLICA","TRUE","FALSE")&amp;", p_presion_actual =&gt; "&amp;IF(T255&amp;""="","NULL",SUBSTITUTE(T255&amp;"",",","."))&amp;", p_tipo_valvula =&gt; "&amp;IF(TRIM(U255&amp;"")="","NULL","'"&amp;SUBSTITUTE(TRIM(U255),"'","''")&amp;"'")&amp;", p_libro_cilindro =&gt; "&amp;IF(TRIM(V255&amp;"")="","NULL","'"&amp;SUBSTITUTE(TRIM(V255),"'","''")&amp;"'")&amp;", p_pagina_libro =&gt; "&amp;IF(W255&amp;""="","NULL",SUBSTITUTE(W255&amp;"",",","."))&amp;", p_observacion =&gt; "&amp;IF(TRIM(X255&amp;"")="","NULL","'"&amp;SUBSTITUTE(TRIM(X255),"'","''")&amp;"'")&amp;") AS resultado_balon_"&amp;ROW()&amp;";")</f>
        <v/>
      </c>
    </row>
    <row r="256" ht="15.75" customHeight="1" s="64">
      <c r="A256" s="61" t="inlineStr">
        <is>
          <t>252</t>
        </is>
      </c>
      <c r="B256" s="53">
        <f>IF(AND(C256="",D256="",E256=""),"",IF(C256="","FALTA código balón",IF(D256="","FALTA tipo balón",IF(E256="","FALTA gas",IF(F256="","FALTA propietario",IF(AND(C256&lt;&gt;"",SUMPRODUCT(--($C$5:$C$1200=C256))&gt;1),"CÓDIGO BALÓN DUPLICADO",IF(AND(OR(UPPER(F256)="PLANTA",UPPER(F256)="CLIENTE"),G256=""),"FALTA doc propietario/planta",IF(AND(UPPER(F256)="PLANTA",G256="10175332796"),"PLANTA no puede ser RUC empresa","OK"))))))))</f>
        <v/>
      </c>
      <c r="C256" s="54" t="inlineStr">
        <is>
          <t>1222302</t>
        </is>
      </c>
      <c r="D256" s="55" t="inlineStr">
        <is>
          <t>Stargold Estandar de 10 m3</t>
        </is>
      </c>
      <c r="E256" s="55" t="inlineStr">
        <is>
          <t>STARGOLD ESTANDAR</t>
        </is>
      </c>
      <c r="F256" s="55" t="inlineStr">
        <is>
          <t>EMPRESA</t>
        </is>
      </c>
      <c r="G256" s="54" t="inlineStr">
        <is>
          <t>10175332796</t>
        </is>
      </c>
      <c r="H256" s="53" t="inlineStr">
        <is>
          <t>OXIGENO SARITA</t>
        </is>
      </c>
      <c r="I256" s="55" t="inlineStr">
        <is>
          <t>EN_PODER_CLIENTE</t>
        </is>
      </c>
      <c r="J256" s="55" t="n"/>
      <c r="K256" s="54" t="inlineStr">
        <is>
          <t>10448235012</t>
        </is>
      </c>
      <c r="L256" s="53">
        <f t="array" ref="L256">IF(K256="","",IFERROR(IF(INDEX(Clientes!$D$5:$D$549,MATCH(K256,Clientes!$C$5:$C$549,0))&lt;&gt;"",INDEX(Clientes!$D$5:$D$549,MATCH(K256,Clientes!$C$5:$C$549,0)),TRIM(INDEX(Clientes!$E$5:$E$549,MATCH(K256,Clientes!$C$5:$C$549,0))&amp;" "&amp;INDEX(Clientes!$F$5:$F$549,MATCH(K256,Clientes!$C$5:$C$549,0)))),"NO EXISTE en Clientes"))</f>
        <v/>
      </c>
      <c r="M256" s="55" t="n"/>
      <c r="N256" s="55" t="n"/>
      <c r="O256" s="56" t="n"/>
      <c r="P256" s="57">
        <f>IF(O256&lt;&gt;"",DATE(YEAR(O256)+5,MONTH(O256),1),IF(AND(M256&lt;&gt;"",N256&lt;&gt;""),DATE(M256+5,N256,1),""))</f>
        <v/>
      </c>
      <c r="Q256" s="54" t="n"/>
      <c r="R256" s="55" t="n"/>
      <c r="S256" s="55" t="n"/>
      <c r="T256" s="55" t="n"/>
      <c r="U256" s="55" t="n"/>
      <c r="V256" s="54" t="n"/>
      <c r="W256" s="55" t="n"/>
      <c r="X256" s="55" t="n"/>
      <c r="Y256" s="58">
        <f>IF(B256&lt;&gt;"OK","","SELECT bal_crear_balon(p_codigo_balon =&gt; "&amp;IF(TRIM(C256&amp;"")="","NULL","'"&amp;SUBSTITUTE(TRIM(C256),"'","''")&amp;"'")&amp;", p_id_tipo_balon =&gt; "&amp;"(SELECT id FROM bal_tipo_balon WHERE upper(nombre) = upper('"&amp;SUBSTITUTE(TRIM(D256),"'","''")&amp;"') AND estado = 1 LIMIT 1)"&amp;", p_id_producto_gas =&gt; "&amp;"(SELECT id FROM pro_producto WHERE es_gas = TRUE AND upper(nombre) = upper('"&amp;SUBSTITUTE(TRIM(E256),"'","''")&amp;"') AND estado = 1 LIMIT 1)"&amp;", p_id_propietario =&gt; "&amp;IF(TRIM(F256&amp;"")="","NULL","(SELECT lo.id FROM gen_lista_opciones lo JOIN gen_lista l ON l.id = lo.id_lista WHERE l.nombre = 'PropietarioBalon' AND upper(lo.nombre) = upper('"&amp;SUBSTITUTE(TRIM(F256),"'","''")&amp;"') AND lo.estado = 1 LIMIT 1)")&amp;", p_id_cliente_propietario =&gt; "&amp;IF(F256="CLIENTE",IF(TRIM(G256&amp;"")="","NULL","(SELECT id FROM cli_clientes WHERE numero_documento = '"&amp;SUBSTITUTE(TRIM(G256),"'","''")&amp;"' AND estado = 1 LIMIT 1)"),"NULL")&amp;", p_id_planta =&gt; "&amp;IF(F256="PLANTA",IF(TRIM(G256&amp;"")="","NULL","(SELECT id FROM cli_clientes WHERE numero_documento = '"&amp;SUBSTITUTE(TRIM(G256),"'","''")&amp;"'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"&amp;IF(TRIM(J256&amp;"")="","NULL","(SELECT id FROM gen_almacen WHERE upper(nombre) = upper('"&amp;SUBSTITUTE(TRIM(J256),"'","''")&amp;"') AND estado = 1 LIMIT 1)")&amp;", p_id_cliente_ubicacion =&gt; "&amp;IF(TRIM(K256&amp;"")="","NULL","(SELECT id FROM cli_clientes WHERE numero_documento = '"&amp;SUBSTITUTE(TRIM(K256),"'","''")&amp;"' AND estado = 1 LIMIT 1)")&amp;", p_id_referencia =&gt; "&amp;IF(TRIM(J256&amp;"")&lt;&gt;"","(SELECT lo.id FROM gen_lista_opciones lo JOIN gen_lista l ON l.id = lo.id_lista WHERE l.nombre = 'ReferenciaCilindro' AND upper(lo.nombre) = 'ALMACEN' AND lo.estado = 1 LIMIT 1)",IF(TRIM(K256&amp;"")&lt;&gt;"","(SELECT lo.id FROM gen_lista_opciones lo JOIN gen_lista l ON l.id = lo.id_lista WHERE l.nombre = 'ReferenciaCilindro' AND upper(lo.nombre) = 'CLIENTE' AND lo.estado = 1 LIMIT 1)","NULL"))&amp;", p_anio_fabricacion =&gt; "&amp;IF(M256&amp;""="","NULL::smallint",M256&amp;"::smallint")&amp;", p_mes_fabricacion =&gt; "&amp;IF(N256&amp;""="","NULL::smallint",N256&amp;"::smallint")&amp;", p_fecha_ultima_prueba_hidrostatica =&gt; "&amp;IF(O256&amp;""="","NULL","'"&amp;YEAR(O256)&amp;"-"&amp;TEXT(MONTH(O256),"00")&amp;"-"&amp;TEXT(DAY(O256),"00")&amp;"'")&amp;", p_numero_serie =&gt; "&amp;IF(TRIM(Q256&amp;"")="","NULL","'"&amp;SUBSTITUTE(TRIM(Q256),"'","''")&amp;"'")&amp;", p_id_marca_cilindro =&gt; "&amp;IF(TRIM(R256&amp;"")="","NULL","(SELECT lo.id FROM gen_lista_opciones lo JOIN gen_lista l ON l.id = lo.id_lista WHERE l.nombre = 'MarcaCilindro' AND upper(lo.nombre) = upper('"&amp;SUBSTITUTE(TRIM(R256),"'","''")&amp;"') AND lo.estado = 1 LIMIT 1)")&amp;", p_id_organo_inspector =&gt; "&amp;IF(TRIM(S256&amp;"")="","NULL","(SELECT lo.id FROM gen_lista_opciones lo JOIN gen_lista l ON l.id = lo.id_lista WHERE l.nombre = 'OrganoInspectorCilindro' AND upper(lo.nombre) = upper('"&amp;SUBSTITUTE(TRIM(S256),"'","''")&amp;"') AND lo.estado = 1 LIMIT 1)")&amp;", p_organo_inspector_no_aplica =&gt; "&amp;IF(S256="NO_APLICA","TRUE","FALSE")&amp;", p_presion_actual =&gt; "&amp;IF(T256&amp;""="","NULL",SUBSTITUTE(T256&amp;"",",","."))&amp;", p_tipo_valvula =&gt; "&amp;IF(TRIM(U256&amp;"")="","NULL","'"&amp;SUBSTITUTE(TRIM(U256),"'","''")&amp;"'")&amp;", p_libro_cilindro =&gt; "&amp;IF(TRIM(V256&amp;"")="","NULL","'"&amp;SUBSTITUTE(TRIM(V256),"'","''")&amp;"'")&amp;", p_pagina_libro =&gt; "&amp;IF(W256&amp;""="","NULL",SUBSTITUTE(W256&amp;"",",","."))&amp;", p_observacion =&gt; "&amp;IF(TRIM(X256&amp;"")="","NULL","'"&amp;SUBSTITUTE(TRIM(X256),"'","''")&amp;"'")&amp;") AS resultado_balon_"&amp;ROW()&amp;";")</f>
        <v/>
      </c>
      <c r="Z256" s="59" t="n"/>
      <c r="AA256" s="59" t="n"/>
    </row>
    <row r="257" ht="15.75" customHeight="1" s="64">
      <c r="A257" s="61" t="inlineStr">
        <is>
          <t>253</t>
        </is>
      </c>
      <c r="B257" s="53">
        <f>IF(AND(C257="",D257="",E257=""),"",IF(C257="","FALTA código balón",IF(D257="","FALTA tipo balón",IF(E257="","FALTA gas",IF(F257="","FALTA propietario",IF(AND(C257&lt;&gt;"",SUMPRODUCT(--($C$5:$C$1200=C257))&gt;1),"CÓDIGO BALÓN DUPLICADO",IF(AND(OR(UPPER(F257)="PLANTA",UPPER(F257)="CLIENTE"),G257=""),"FALTA doc propietario/planta",IF(AND(UPPER(F257)="PLANTA",G257="10175332796"),"PLANTA no puede ser RUC empresa","OK"))))))))</f>
        <v/>
      </c>
      <c r="C257" s="54" t="inlineStr">
        <is>
          <t>20K304134</t>
        </is>
      </c>
      <c r="D257" s="55" t="inlineStr">
        <is>
          <t>Stargold Estandar de 10 m3</t>
        </is>
      </c>
      <c r="E257" s="55" t="inlineStr">
        <is>
          <t>STARGOLD ESTANDAR</t>
        </is>
      </c>
      <c r="F257" s="55" t="inlineStr">
        <is>
          <t>EMPRESA</t>
        </is>
      </c>
      <c r="G257" s="54" t="inlineStr">
        <is>
          <t>10175332796</t>
        </is>
      </c>
      <c r="H257" s="53" t="inlineStr">
        <is>
          <t>OXIGENO SARITA</t>
        </is>
      </c>
      <c r="I257" s="55" t="inlineStr">
        <is>
          <t>EN_PODER_CLIENTE</t>
        </is>
      </c>
      <c r="J257" s="55" t="n"/>
      <c r="K257" s="54" t="inlineStr">
        <is>
          <t>10448235012</t>
        </is>
      </c>
      <c r="L257" s="53">
        <f t="array" ref="L257">IF(K257="","",IFERROR(IF(INDEX(Clientes!$D$5:$D$549,MATCH(K257,Clientes!$C$5:$C$549,0))&lt;&gt;"",INDEX(Clientes!$D$5:$D$549,MATCH(K257,Clientes!$C$5:$C$549,0)),TRIM(INDEX(Clientes!$E$5:$E$549,MATCH(K257,Clientes!$C$5:$C$549,0))&amp;" "&amp;INDEX(Clientes!$F$5:$F$549,MATCH(K257,Clientes!$C$5:$C$549,0)))),"NO EXISTE en Clientes"))</f>
        <v/>
      </c>
      <c r="M257" s="55" t="n"/>
      <c r="N257" s="55" t="n"/>
      <c r="O257" s="56" t="n"/>
      <c r="P257" s="57">
        <f>IF(O257&lt;&gt;"",DATE(YEAR(O257)+5,MONTH(O257),1),IF(AND(M257&lt;&gt;"",N257&lt;&gt;""),DATE(M257+5,N257,1),""))</f>
        <v/>
      </c>
      <c r="Q257" s="54" t="n"/>
      <c r="R257" s="55" t="n"/>
      <c r="S257" s="55" t="n"/>
      <c r="T257" s="55" t="n"/>
      <c r="U257" s="55" t="n"/>
      <c r="V257" s="54" t="n"/>
      <c r="W257" s="55" t="n"/>
      <c r="X257" s="55" t="n"/>
      <c r="Y257" s="58">
        <f>IF(B257&lt;&gt;"OK","","SELECT bal_crear_balon(p_codigo_balon =&gt; "&amp;IF(TRIM(C257&amp;"")="","NULL","'"&amp;SUBSTITUTE(TRIM(C257),"'","''")&amp;"'")&amp;", p_id_tipo_balon =&gt; "&amp;"(SELECT id FROM bal_tipo_balon WHERE upper(nombre) = upper('"&amp;SUBSTITUTE(TRIM(D257),"'","''")&amp;"') AND estado = 1 LIMIT 1)"&amp;", p_id_producto_gas =&gt; "&amp;"(SELECT id FROM pro_producto WHERE es_gas = TRUE AND upper(nombre) = upper('"&amp;SUBSTITUTE(TRIM(E257),"'","''")&amp;"') AND estado = 1 LIMIT 1)"&amp;", p_id_propietario =&gt; "&amp;IF(TRIM(F257&amp;"")="","NULL","(SELECT lo.id FROM gen_lista_opciones lo JOIN gen_lista l ON l.id = lo.id_lista WHERE l.nombre = 'PropietarioBalon' AND upper(lo.nombre) = upper('"&amp;SUBSTITUTE(TRIM(F257),"'","''")&amp;"') AND lo.estado = 1 LIMIT 1)")&amp;", p_id_cliente_propietario =&gt; "&amp;IF(F257="CLIENTE",IF(TRIM(G257&amp;"")="","NULL","(SELECT id FROM cli_clientes WHERE numero_documento = '"&amp;SUBSTITUTE(TRIM(G257),"'","''")&amp;"' AND estado = 1 LIMIT 1)"),"NULL")&amp;", p_id_planta =&gt; "&amp;IF(F257="PLANTA",IF(TRIM(G257&amp;"")="","NULL","(SELECT id FROM cli_clientes WHERE numero_documento = '"&amp;SUBSTITUTE(TRIM(G257),"'","''")&amp;"'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"&amp;IF(TRIM(J257&amp;"")="","NULL","(SELECT id FROM gen_almacen WHERE upper(nombre) = upper('"&amp;SUBSTITUTE(TRIM(J257),"'","''")&amp;"') AND estado = 1 LIMIT 1)")&amp;", p_id_cliente_ubicacion =&gt; "&amp;IF(TRIM(K257&amp;"")="","NULL","(SELECT id FROM cli_clientes WHERE numero_documento = '"&amp;SUBSTITUTE(TRIM(K257),"'","''")&amp;"' AND estado = 1 LIMIT 1)")&amp;", p_id_referencia =&gt; "&amp;IF(TRIM(J257&amp;"")&lt;&gt;"","(SELECT lo.id FROM gen_lista_opciones lo JOIN gen_lista l ON l.id = lo.id_lista WHERE l.nombre = 'ReferenciaCilindro' AND upper(lo.nombre) = 'ALMACEN' AND lo.estado = 1 LIMIT 1)",IF(TRIM(K257&amp;"")&lt;&gt;"","(SELECT lo.id FROM gen_lista_opciones lo JOIN gen_lista l ON l.id = lo.id_lista WHERE l.nombre = 'ReferenciaCilindro' AND upper(lo.nombre) = 'CLIENTE' AND lo.estado = 1 LIMIT 1)","NULL"))&amp;", p_anio_fabricacion =&gt; "&amp;IF(M257&amp;""="","NULL::smallint",M257&amp;"::smallint")&amp;", p_mes_fabricacion =&gt; "&amp;IF(N257&amp;""="","NULL::smallint",N257&amp;"::smallint")&amp;", p_fecha_ultima_prueba_hidrostatica =&gt; "&amp;IF(O257&amp;""="","NULL","'"&amp;YEAR(O257)&amp;"-"&amp;TEXT(MONTH(O257),"00")&amp;"-"&amp;TEXT(DAY(O257),"00")&amp;"'")&amp;", p_numero_serie =&gt; "&amp;IF(TRIM(Q257&amp;"")="","NULL","'"&amp;SUBSTITUTE(TRIM(Q257),"'","''")&amp;"'")&amp;", p_id_marca_cilindro =&gt; "&amp;IF(TRIM(R257&amp;"")="","NULL","(SELECT lo.id FROM gen_lista_opciones lo JOIN gen_lista l ON l.id = lo.id_lista WHERE l.nombre = 'MarcaCilindro' AND upper(lo.nombre) = upper('"&amp;SUBSTITUTE(TRIM(R257),"'","''")&amp;"') AND lo.estado = 1 LIMIT 1)")&amp;", p_id_organo_inspector =&gt; "&amp;IF(TRIM(S257&amp;"")="","NULL","(SELECT lo.id FROM gen_lista_opciones lo JOIN gen_lista l ON l.id = lo.id_lista WHERE l.nombre = 'OrganoInspectorCilindro' AND upper(lo.nombre) = upper('"&amp;SUBSTITUTE(TRIM(S257),"'","''")&amp;"') AND lo.estado = 1 LIMIT 1)")&amp;", p_organo_inspector_no_aplica =&gt; "&amp;IF(S257="NO_APLICA","TRUE","FALSE")&amp;", p_presion_actual =&gt; "&amp;IF(T257&amp;""="","NULL",SUBSTITUTE(T257&amp;"",",","."))&amp;", p_tipo_valvula =&gt; "&amp;IF(TRIM(U257&amp;"")="","NULL","'"&amp;SUBSTITUTE(TRIM(U257),"'","''")&amp;"'")&amp;", p_libro_cilindro =&gt; "&amp;IF(TRIM(V257&amp;"")="","NULL","'"&amp;SUBSTITUTE(TRIM(V257),"'","''")&amp;"'")&amp;", p_pagina_libro =&gt; "&amp;IF(W257&amp;""="","NULL",SUBSTITUTE(W257&amp;"",",","."))&amp;", p_observacion =&gt; "&amp;IF(TRIM(X257&amp;"")="","NULL","'"&amp;SUBSTITUTE(TRIM(X257),"'","''")&amp;"'")&amp;") AS resultado_balon_"&amp;ROW()&amp;";")</f>
        <v/>
      </c>
      <c r="Z257" s="59" t="n"/>
      <c r="AA257" s="59" t="n"/>
    </row>
    <row r="258" ht="15.75" customHeight="1" s="64">
      <c r="A258" s="36" t="inlineStr">
        <is>
          <t>254</t>
        </is>
      </c>
      <c r="B258" s="25">
        <f>IF(AND(C258="",D258="",E258=""),"",IF(C258="","FALTA código balón",IF(D258="","FALTA tipo balón",IF(E258="","FALTA gas",IF(F258="","FALTA propietario",IF(AND(C258&lt;&gt;"",SUMPRODUCT(--($C$5:$C$1200=C258))&gt;1),"CÓDIGO BALÓN DUPLICADO",IF(AND(OR(UPPER(F258)="PLANTA",UPPER(F258)="CLIENTE"),G258=""),"FALTA doc propietario/planta",IF(AND(UPPER(F258)="PLANTA",G258="10175332796"),"PLANTA no puede ser RUC empresa","OK"))))))))</f>
        <v/>
      </c>
      <c r="C258" s="54" t="inlineStr">
        <is>
          <t>291379 (2265)</t>
        </is>
      </c>
      <c r="D258" s="17" t="inlineStr">
        <is>
          <t>Stargold Estandar de 6 m3</t>
        </is>
      </c>
      <c r="E258" s="17" t="inlineStr">
        <is>
          <t>STARGOLD ESTANDAR</t>
        </is>
      </c>
      <c r="F258" s="17" t="inlineStr">
        <is>
          <t>EMPRESA</t>
        </is>
      </c>
      <c r="G258" s="23" t="inlineStr">
        <is>
          <t>10175332796</t>
        </is>
      </c>
      <c r="H258" s="25" t="inlineStr">
        <is>
          <t>OXIGENO SARITA</t>
        </is>
      </c>
      <c r="I258" s="17" t="inlineStr">
        <is>
          <t>DISPONIBLE</t>
        </is>
      </c>
      <c r="J258" s="17" t="inlineStr">
        <is>
          <t>ALMACEN PRINCIPAL</t>
        </is>
      </c>
      <c r="K258" s="48" t="n"/>
      <c r="L258" s="25">
        <f t="array" ref="L258">IF(K258="","",IFERROR(IF(INDEX(Clientes!$D$5:$D$549,MATCH(K258,Clientes!$C$5:$C$549,0))&lt;&gt;"",INDEX(Clientes!$D$5:$D$549,MATCH(K258,Clientes!$C$5:$C$549,0)),TRIM(INDEX(Clientes!$E$5:$E$549,MATCH(K258,Clientes!$C$5:$C$549,0))&amp;" "&amp;INDEX(Clientes!$F$5:$F$549,MATCH(K258,Clientes!$C$5:$C$549,0)))),"NO EXISTE en Clientes"))</f>
        <v/>
      </c>
      <c r="M258" s="17" t="n"/>
      <c r="N258" s="17" t="n"/>
      <c r="O258" s="42" t="n"/>
      <c r="P258" s="39">
        <f>IF(O258&lt;&gt;"",DATE(YEAR(O258)+5,MONTH(O258),1),IF(AND(M258&lt;&gt;"",N258&lt;&gt;""),DATE(M258+5,N258,1),""))</f>
        <v/>
      </c>
      <c r="Q258" s="23" t="n"/>
      <c r="R258" s="17" t="n"/>
      <c r="S258" s="17" t="n"/>
      <c r="T258" s="17" t="n"/>
      <c r="U258" s="17" t="n"/>
      <c r="V258" s="23" t="n"/>
      <c r="W258" s="17" t="n"/>
      <c r="X258" s="17" t="n"/>
      <c r="Y258" s="28">
        <f>IF(B258&lt;&gt;"OK","","SELECT bal_crear_balon(p_codigo_balon =&gt; "&amp;IF(TRIM(C258&amp;"")="","NULL","'"&amp;SUBSTITUTE(TRIM(C258),"'","''")&amp;"'")&amp;", p_id_tipo_balon =&gt; "&amp;"(SELECT id FROM bal_tipo_balon WHERE upper(nombre) = upper('"&amp;SUBSTITUTE(TRIM(D258),"'","''")&amp;"') AND estado = 1 LIMIT 1)"&amp;", p_id_producto_gas =&gt; "&amp;"(SELECT id FROM pro_producto WHERE es_gas = TRUE AND upper(nombre) = upper('"&amp;SUBSTITUTE(TRIM(E258),"'","''")&amp;"') AND estado = 1 LIMIT 1)"&amp;", p_id_propietario =&gt; "&amp;IF(TRIM(F258&amp;"")="","NULL","(SELECT lo.id FROM gen_lista_opciones lo JOIN gen_lista l ON l.id = lo.id_lista WHERE l.nombre = 'PropietarioBalon' AND upper(lo.nombre) = upper('"&amp;SUBSTITUTE(TRIM(F258),"'","''")&amp;"') AND lo.estado = 1 LIMIT 1)")&amp;", p_id_cliente_propietario =&gt; "&amp;IF(F258="CLIENTE",IF(TRIM(G258&amp;"")="","NULL","(SELECT id FROM cli_clientes WHERE numero_documento = '"&amp;SUBSTITUTE(TRIM(G258),"'","''")&amp;"' AND estado = 1 LIMIT 1)"),"NULL")&amp;", p_id_planta =&gt; "&amp;IF(F258="PLANTA",IF(TRIM(G258&amp;"")="","NULL","(SELECT id FROM cli_clientes WHERE numero_documento = '"&amp;SUBSTITUTE(TRIM(G258),"'","''")&amp;"'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"&amp;IF(TRIM(J258&amp;"")="","NULL","(SELECT id FROM gen_almacen WHERE upper(nombre) = upper('"&amp;SUBSTITUTE(TRIM(J258),"'","''")&amp;"') AND estado = 1 LIMIT 1)")&amp;", p_id_cliente_ubicacion =&gt; "&amp;IF(TRIM(K258&amp;"")="","NULL","(SELECT id FROM cli_clientes WHERE numero_documento = '"&amp;SUBSTITUTE(TRIM(K258),"'","''")&amp;"' AND estado = 1 LIMIT 1)")&amp;", p_id_referencia =&gt; "&amp;IF(TRIM(J258&amp;"")&lt;&gt;"","(SELECT lo.id FROM gen_lista_opciones lo JOIN gen_lista l ON l.id = lo.id_lista WHERE l.nombre = 'ReferenciaCilindro' AND upper(lo.nombre) = 'ALMACEN' AND lo.estado = 1 LIMIT 1)",IF(TRIM(K258&amp;"")&lt;&gt;"","(SELECT lo.id FROM gen_lista_opciones lo JOIN gen_lista l ON l.id = lo.id_lista WHERE l.nombre = 'ReferenciaCilindro' AND upper(lo.nombre) = 'CLIENTE' AND lo.estado = 1 LIMIT 1)","NULL"))&amp;", p_anio_fabricacion =&gt; "&amp;IF(M258&amp;""="","NULL::smallint",M258&amp;"::smallint")&amp;", p_mes_fabricacion =&gt; "&amp;IF(N258&amp;""="","NULL::smallint",N258&amp;"::smallint")&amp;", p_fecha_ultima_prueba_hidrostatica =&gt; "&amp;IF(O258&amp;""="","NULL","'"&amp;YEAR(O258)&amp;"-"&amp;TEXT(MONTH(O258),"00")&amp;"-"&amp;TEXT(DAY(O258),"00")&amp;"'")&amp;", p_numero_serie =&gt; "&amp;IF(TRIM(Q258&amp;"")="","NULL","'"&amp;SUBSTITUTE(TRIM(Q258),"'","''")&amp;"'")&amp;", p_id_marca_cilindro =&gt; "&amp;IF(TRIM(R258&amp;"")="","NULL","(SELECT lo.id FROM gen_lista_opciones lo JOIN gen_lista l ON l.id = lo.id_lista WHERE l.nombre = 'MarcaCilindro' AND upper(lo.nombre) = upper('"&amp;SUBSTITUTE(TRIM(R258),"'","''")&amp;"') AND lo.estado = 1 LIMIT 1)")&amp;", p_id_organo_inspector =&gt; "&amp;IF(TRIM(S258&amp;"")="","NULL","(SELECT lo.id FROM gen_lista_opciones lo JOIN gen_lista l ON l.id = lo.id_lista WHERE l.nombre = 'OrganoInspectorCilindro' AND upper(lo.nombre) = upper('"&amp;SUBSTITUTE(TRIM(S258),"'","''")&amp;"') AND lo.estado = 1 LIMIT 1)")&amp;", p_organo_inspector_no_aplica =&gt; "&amp;IF(S258="NO_APLICA","TRUE","FALSE")&amp;", p_presion_actual =&gt; "&amp;IF(T258&amp;""="","NULL",SUBSTITUTE(T258&amp;"",",","."))&amp;", p_tipo_valvula =&gt; "&amp;IF(TRIM(U258&amp;"")="","NULL","'"&amp;SUBSTITUTE(TRIM(U258),"'","''")&amp;"'")&amp;", p_libro_cilindro =&gt; "&amp;IF(TRIM(V258&amp;"")="","NULL","'"&amp;SUBSTITUTE(TRIM(V258),"'","''")&amp;"'")&amp;", p_pagina_libro =&gt; "&amp;IF(W258&amp;""="","NULL",SUBSTITUTE(W258&amp;"",",","."))&amp;", p_observacion =&gt; "&amp;IF(TRIM(X258&amp;"")="","NULL","'"&amp;SUBSTITUTE(TRIM(X258),"'","''")&amp;"'")&amp;") AS resultado_balon_"&amp;ROW()&amp;";")</f>
        <v/>
      </c>
    </row>
    <row r="259" ht="15.75" customHeight="1" s="64">
      <c r="A259" s="36" t="inlineStr">
        <is>
          <t>255</t>
        </is>
      </c>
      <c r="B259" s="25">
        <f>IF(AND(C259="",D259="",E259=""),"",IF(C259="","FALTA código balón",IF(D259="","FALTA tipo balón",IF(E259="","FALTA gas",IF(F259="","FALTA propietario",IF(AND(C259&lt;&gt;"",SUMPRODUCT(--($C$5:$C$1200=C259))&gt;1),"CÓDIGO BALÓN DUPLICADO",IF(AND(OR(UPPER(F259)="PLANTA",UPPER(F259)="CLIENTE"),G259=""),"FALTA doc propietario/planta",IF(AND(UPPER(F259)="PLANTA",G259="10175332796"),"PLANTA no puede ser RUC empresa","OK"))))))))</f>
        <v/>
      </c>
      <c r="C259" s="54" t="inlineStr">
        <is>
          <t>303214</t>
        </is>
      </c>
      <c r="D259" s="17" t="inlineStr">
        <is>
          <t>Stargold Estandar de 10 m3</t>
        </is>
      </c>
      <c r="E259" s="17" t="inlineStr">
        <is>
          <t>STARGOLD ESTANDAR</t>
        </is>
      </c>
      <c r="F259" s="17" t="inlineStr">
        <is>
          <t>EMPRESA</t>
        </is>
      </c>
      <c r="G259" s="23" t="inlineStr">
        <is>
          <t>10175332796</t>
        </is>
      </c>
      <c r="H259" s="25" t="inlineStr">
        <is>
          <t>OXIGENO SARITA</t>
        </is>
      </c>
      <c r="I259" s="17" t="inlineStr">
        <is>
          <t>EN_PODER_CLIENTE</t>
        </is>
      </c>
      <c r="J259" s="17" t="n"/>
      <c r="K259" s="23" t="inlineStr">
        <is>
          <t>20604078866</t>
        </is>
      </c>
      <c r="L259" s="25">
        <f t="array" ref="L259">IF(K259="","",IFERROR(IF(INDEX(Clientes!$D$5:$D$549,MATCH(K259,Clientes!$C$5:$C$549,0))&lt;&gt;"",INDEX(Clientes!$D$5:$D$549,MATCH(K259,Clientes!$C$5:$C$549,0)),TRIM(INDEX(Clientes!$E$5:$E$549,MATCH(K259,Clientes!$C$5:$C$549,0))&amp;" "&amp;INDEX(Clientes!$F$5:$F$549,MATCH(K259,Clientes!$C$5:$C$549,0)))),"NO EXISTE en Clientes"))</f>
        <v/>
      </c>
      <c r="M259" s="17" t="n"/>
      <c r="N259" s="17" t="n"/>
      <c r="O259" s="42" t="n"/>
      <c r="P259" s="39">
        <f>IF(O259&lt;&gt;"",DATE(YEAR(O259)+5,MONTH(O259),1),IF(AND(M259&lt;&gt;"",N259&lt;&gt;""),DATE(M259+5,N259,1),""))</f>
        <v/>
      </c>
      <c r="Q259" s="23" t="n"/>
      <c r="R259" s="17" t="n"/>
      <c r="S259" s="17" t="n"/>
      <c r="T259" s="17" t="n"/>
      <c r="U259" s="17" t="n"/>
      <c r="V259" s="23" t="n"/>
      <c r="W259" s="17" t="n"/>
      <c r="X259" s="17" t="n"/>
      <c r="Y259" s="28">
        <f>IF(B259&lt;&gt;"OK","","SELECT bal_crear_balon(p_codigo_balon =&gt; "&amp;IF(TRIM(C259&amp;"")="","NULL","'"&amp;SUBSTITUTE(TRIM(C259),"'","''")&amp;"'")&amp;", p_id_tipo_balon =&gt; "&amp;"(SELECT id FROM bal_tipo_balon WHERE upper(nombre) = upper('"&amp;SUBSTITUTE(TRIM(D259),"'","''")&amp;"') AND estado = 1 LIMIT 1)"&amp;", p_id_producto_gas =&gt; "&amp;"(SELECT id FROM pro_producto WHERE es_gas = TRUE AND upper(nombre) = upper('"&amp;SUBSTITUTE(TRIM(E259),"'","''")&amp;"') AND estado = 1 LIMIT 1)"&amp;", p_id_propietario =&gt; "&amp;IF(TRIM(F259&amp;"")="","NULL","(SELECT lo.id FROM gen_lista_opciones lo JOIN gen_lista l ON l.id = lo.id_lista WHERE l.nombre = 'PropietarioBalon' AND upper(lo.nombre) = upper('"&amp;SUBSTITUTE(TRIM(F259),"'","''")&amp;"') AND lo.estado = 1 LIMIT 1)")&amp;", p_id_cliente_propietario =&gt; "&amp;IF(F259="CLIENTE",IF(TRIM(G259&amp;"")="","NULL","(SELECT id FROM cli_clientes WHERE numero_documento = '"&amp;SUBSTITUTE(TRIM(G259),"'","''")&amp;"' AND estado = 1 LIMIT 1)"),"NULL")&amp;", p_id_planta =&gt; "&amp;IF(F259="PLANTA",IF(TRIM(G259&amp;"")="","NULL","(SELECT id FROM cli_clientes WHERE numero_documento = '"&amp;SUBSTITUTE(TRIM(G259),"'","''")&amp;"'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"&amp;IF(TRIM(J259&amp;"")="","NULL","(SELECT id FROM gen_almacen WHERE upper(nombre) = upper('"&amp;SUBSTITUTE(TRIM(J259),"'","''")&amp;"') AND estado = 1 LIMIT 1)")&amp;", p_id_cliente_ubicacion =&gt; "&amp;IF(TRIM(K259&amp;"")="","NULL","(SELECT id FROM cli_clientes WHERE numero_documento = '"&amp;SUBSTITUTE(TRIM(K259),"'","''")&amp;"' AND estado = 1 LIMIT 1)")&amp;", p_id_referencia =&gt; "&amp;IF(TRIM(J259&amp;"")&lt;&gt;"","(SELECT lo.id FROM gen_lista_opciones lo JOIN gen_lista l ON l.id = lo.id_lista WHERE l.nombre = 'ReferenciaCilindro' AND upper(lo.nombre) = 'ALMACEN' AND lo.estado = 1 LIMIT 1)",IF(TRIM(K259&amp;"")&lt;&gt;"","(SELECT lo.id FROM gen_lista_opciones lo JOIN gen_lista l ON l.id = lo.id_lista WHERE l.nombre = 'ReferenciaCilindro' AND upper(lo.nombre) = 'CLIENTE' AND lo.estado = 1 LIMIT 1)","NULL"))&amp;", p_anio_fabricacion =&gt; "&amp;IF(M259&amp;""="","NULL::smallint",M259&amp;"::smallint")&amp;", p_mes_fabricacion =&gt; "&amp;IF(N259&amp;""="","NULL::smallint",N259&amp;"::smallint")&amp;", p_fecha_ultima_prueba_hidrostatica =&gt; "&amp;IF(O259&amp;""="","NULL","'"&amp;YEAR(O259)&amp;"-"&amp;TEXT(MONTH(O259),"00")&amp;"-"&amp;TEXT(DAY(O259),"00")&amp;"'")&amp;", p_numero_serie =&gt; "&amp;IF(TRIM(Q259&amp;"")="","NULL","'"&amp;SUBSTITUTE(TRIM(Q259),"'","''")&amp;"'")&amp;", p_id_marca_cilindro =&gt; "&amp;IF(TRIM(R259&amp;"")="","NULL","(SELECT lo.id FROM gen_lista_opciones lo JOIN gen_lista l ON l.id = lo.id_lista WHERE l.nombre = 'MarcaCilindro' AND upper(lo.nombre) = upper('"&amp;SUBSTITUTE(TRIM(R259),"'","''")&amp;"') AND lo.estado = 1 LIMIT 1)")&amp;", p_id_organo_inspector =&gt; "&amp;IF(TRIM(S259&amp;"")="","NULL","(SELECT lo.id FROM gen_lista_opciones lo JOIN gen_lista l ON l.id = lo.id_lista WHERE l.nombre = 'OrganoInspectorCilindro' AND upper(lo.nombre) = upper('"&amp;SUBSTITUTE(TRIM(S259),"'","''")&amp;"') AND lo.estado = 1 LIMIT 1)")&amp;", p_organo_inspector_no_aplica =&gt; "&amp;IF(S259="NO_APLICA","TRUE","FALSE")&amp;", p_presion_actual =&gt; "&amp;IF(T259&amp;""="","NULL",SUBSTITUTE(T259&amp;"",",","."))&amp;", p_tipo_valvula =&gt; "&amp;IF(TRIM(U259&amp;"")="","NULL","'"&amp;SUBSTITUTE(TRIM(U259),"'","''")&amp;"'")&amp;", p_libro_cilindro =&gt; "&amp;IF(TRIM(V259&amp;"")="","NULL","'"&amp;SUBSTITUTE(TRIM(V259),"'","''")&amp;"'")&amp;", p_pagina_libro =&gt; "&amp;IF(W259&amp;""="","NULL",SUBSTITUTE(W259&amp;"",",","."))&amp;", p_observacion =&gt; "&amp;IF(TRIM(X259&amp;"")="","NULL","'"&amp;SUBSTITUTE(TRIM(X259),"'","''")&amp;"'")&amp;") AS resultado_balon_"&amp;ROW()&amp;";")</f>
        <v/>
      </c>
    </row>
    <row r="260" ht="15.75" customHeight="1" s="64">
      <c r="A260" s="36" t="inlineStr">
        <is>
          <t>256</t>
        </is>
      </c>
      <c r="B260" s="25">
        <f>IF(AND(C260="",D260="",E260=""),"",IF(C260="","FALTA código balón",IF(D260="","FALTA tipo balón",IF(E260="","FALTA gas",IF(F260="","FALTA propietario",IF(AND(C260&lt;&gt;"",SUMPRODUCT(--($C$5:$C$1200=C260))&gt;1),"CÓDIGO BALÓN DUPLICADO",IF(AND(OR(UPPER(F260)="PLANTA",UPPER(F260)="CLIENTE"),G260=""),"FALTA doc propietario/planta",IF(AND(UPPER(F260)="PLANTA",G260="10175332796"),"PLANTA no puede ser RUC empresa","OK"))))))))</f>
        <v/>
      </c>
      <c r="C260" s="54" t="inlineStr">
        <is>
          <t>20S130154</t>
        </is>
      </c>
      <c r="D260" s="17" t="inlineStr">
        <is>
          <t>Stargold Estandar de 7 m3</t>
        </is>
      </c>
      <c r="E260" s="17" t="inlineStr">
        <is>
          <t>STARGOLD ESTANDAR</t>
        </is>
      </c>
      <c r="F260" s="17" t="inlineStr">
        <is>
          <t>EMPRESA</t>
        </is>
      </c>
      <c r="G260" s="23" t="inlineStr">
        <is>
          <t>10175332796</t>
        </is>
      </c>
      <c r="H260" s="25" t="inlineStr">
        <is>
          <t>OXIGENO SARITA</t>
        </is>
      </c>
      <c r="I260" s="17" t="inlineStr">
        <is>
          <t>DISPONIBLE</t>
        </is>
      </c>
      <c r="J260" s="17" t="inlineStr">
        <is>
          <t>ALMACEN PRINCIPAL</t>
        </is>
      </c>
      <c r="K260" s="23" t="n"/>
      <c r="L260" s="25">
        <f t="array" ref="L260">IF(K260="","",IFERROR(IF(INDEX(Clientes!$D$5:$D$549,MATCH(K260,Clientes!$C$5:$C$549,0))&lt;&gt;"",INDEX(Clientes!$D$5:$D$549,MATCH(K260,Clientes!$C$5:$C$549,0)),TRIM(INDEX(Clientes!$E$5:$E$549,MATCH(K260,Clientes!$C$5:$C$549,0))&amp;" "&amp;INDEX(Clientes!$F$5:$F$549,MATCH(K260,Clientes!$C$5:$C$549,0)))),"NO EXISTE en Clientes"))</f>
        <v/>
      </c>
      <c r="M260" s="17" t="n"/>
      <c r="N260" s="17" t="n"/>
      <c r="O260" s="42" t="n"/>
      <c r="P260" s="39">
        <f>IF(O260&lt;&gt;"",DATE(YEAR(O260)+5,MONTH(O260),1),IF(AND(M260&lt;&gt;"",N260&lt;&gt;""),DATE(M260+5,N260,1),""))</f>
        <v/>
      </c>
      <c r="Q260" s="23" t="n"/>
      <c r="R260" s="17" t="n"/>
      <c r="S260" s="17" t="n"/>
      <c r="T260" s="17" t="n"/>
      <c r="U260" s="17" t="n"/>
      <c r="V260" s="23" t="n"/>
      <c r="W260" s="17" t="n"/>
      <c r="X260" s="17" t="n"/>
      <c r="Y260" s="28">
        <f>IF(B260&lt;&gt;"OK","","SELECT bal_crear_balon(p_codigo_balon =&gt; "&amp;IF(TRIM(C260&amp;"")="","NULL","'"&amp;SUBSTITUTE(TRIM(C260),"'","''")&amp;"'")&amp;", p_id_tipo_balon =&gt; "&amp;"(SELECT id FROM bal_tipo_balon WHERE upper(nombre) = upper('"&amp;SUBSTITUTE(TRIM(D260),"'","''")&amp;"') AND estado = 1 LIMIT 1)"&amp;", p_id_producto_gas =&gt; "&amp;"(SELECT id FROM pro_producto WHERE es_gas = TRUE AND upper(nombre) = upper('"&amp;SUBSTITUTE(TRIM(E260),"'","''")&amp;"') AND estado = 1 LIMIT 1)"&amp;", p_id_propietario =&gt; "&amp;IF(TRIM(F260&amp;"")="","NULL","(SELECT lo.id FROM gen_lista_opciones lo JOIN gen_lista l ON l.id = lo.id_lista WHERE l.nombre = 'PropietarioBalon' AND upper(lo.nombre) = upper('"&amp;SUBSTITUTE(TRIM(F260),"'","''")&amp;"') AND lo.estado = 1 LIMIT 1)")&amp;", p_id_cliente_propietario =&gt; "&amp;IF(F260="CLIENTE",IF(TRIM(G260&amp;"")="","NULL","(SELECT id FROM cli_clientes WHERE numero_documento = '"&amp;SUBSTITUTE(TRIM(G260),"'","''")&amp;"' AND estado = 1 LIMIT 1)"),"NULL")&amp;", p_id_planta =&gt; "&amp;IF(F260="PLANTA",IF(TRIM(G260&amp;"")="","NULL","(SELECT id FROM cli_clientes WHERE numero_documento = '"&amp;SUBSTITUTE(TRIM(G260),"'","''")&amp;"'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"&amp;IF(TRIM(J260&amp;"")="","NULL","(SELECT id FROM gen_almacen WHERE upper(nombre) = upper('"&amp;SUBSTITUTE(TRIM(J260),"'","''")&amp;"') AND estado = 1 LIMIT 1)")&amp;", p_id_cliente_ubicacion =&gt; "&amp;IF(TRIM(K260&amp;"")="","NULL","(SELECT id FROM cli_clientes WHERE numero_documento = '"&amp;SUBSTITUTE(TRIM(K260),"'","''")&amp;"' AND estado = 1 LIMIT 1)")&amp;", p_id_referencia =&gt; "&amp;IF(TRIM(J260&amp;"")&lt;&gt;"","(SELECT lo.id FROM gen_lista_opciones lo JOIN gen_lista l ON l.id = lo.id_lista WHERE l.nombre = 'ReferenciaCilindro' AND upper(lo.nombre) = 'ALMACEN' AND lo.estado = 1 LIMIT 1)",IF(TRIM(K260&amp;"")&lt;&gt;"","(SELECT lo.id FROM gen_lista_opciones lo JOIN gen_lista l ON l.id = lo.id_lista WHERE l.nombre = 'ReferenciaCilindro' AND upper(lo.nombre) = 'CLIENTE' AND lo.estado = 1 LIMIT 1)","NULL"))&amp;", p_anio_fabricacion =&gt; "&amp;IF(M260&amp;""="","NULL::smallint",M260&amp;"::smallint")&amp;", p_mes_fabricacion =&gt; "&amp;IF(N260&amp;""="","NULL::smallint",N260&amp;"::smallint")&amp;", p_fecha_ultima_prueba_hidrostatica =&gt; "&amp;IF(O260&amp;""="","NULL","'"&amp;YEAR(O260)&amp;"-"&amp;TEXT(MONTH(O260),"00")&amp;"-"&amp;TEXT(DAY(O260),"00")&amp;"'")&amp;", p_numero_serie =&gt; "&amp;IF(TRIM(Q260&amp;"")="","NULL","'"&amp;SUBSTITUTE(TRIM(Q260),"'","''")&amp;"'")&amp;", p_id_marca_cilindro =&gt; "&amp;IF(TRIM(R260&amp;"")="","NULL","(SELECT lo.id FROM gen_lista_opciones lo JOIN gen_lista l ON l.id = lo.id_lista WHERE l.nombre = 'MarcaCilindro' AND upper(lo.nombre) = upper('"&amp;SUBSTITUTE(TRIM(R260),"'","''")&amp;"') AND lo.estado = 1 LIMIT 1)")&amp;", p_id_organo_inspector =&gt; "&amp;IF(TRIM(S260&amp;"")="","NULL","(SELECT lo.id FROM gen_lista_opciones lo JOIN gen_lista l ON l.id = lo.id_lista WHERE l.nombre = 'OrganoInspectorCilindro' AND upper(lo.nombre) = upper('"&amp;SUBSTITUTE(TRIM(S260),"'","''")&amp;"') AND lo.estado = 1 LIMIT 1)")&amp;", p_organo_inspector_no_aplica =&gt; "&amp;IF(S260="NO_APLICA","TRUE","FALSE")&amp;", p_presion_actual =&gt; "&amp;IF(T260&amp;""="","NULL",SUBSTITUTE(T260&amp;"",",","."))&amp;", p_tipo_valvula =&gt; "&amp;IF(TRIM(U260&amp;"")="","NULL","'"&amp;SUBSTITUTE(TRIM(U260),"'","''")&amp;"'")&amp;", p_libro_cilindro =&gt; "&amp;IF(TRIM(V260&amp;"")="","NULL","'"&amp;SUBSTITUTE(TRIM(V260),"'","''")&amp;"'")&amp;", p_pagina_libro =&gt; "&amp;IF(W260&amp;""="","NULL",SUBSTITUTE(W260&amp;"",",","."))&amp;", p_observacion =&gt; "&amp;IF(TRIM(X260&amp;"")="","NULL","'"&amp;SUBSTITUTE(TRIM(X260),"'","''")&amp;"'")&amp;") AS resultado_balon_"&amp;ROW()&amp;";")</f>
        <v/>
      </c>
    </row>
    <row r="261" ht="15.75" customHeight="1" s="64">
      <c r="A261" s="36" t="inlineStr">
        <is>
          <t>257</t>
        </is>
      </c>
      <c r="B261" s="25">
        <f>IF(AND(C261="",D261="",E261=""),"",IF(C261="","FALTA código balón",IF(D261="","FALTA tipo balón",IF(E261="","FALTA gas",IF(F261="","FALTA propietario",IF(AND(C261&lt;&gt;"",SUMPRODUCT(--($C$5:$C$1200=C261))&gt;1),"CÓDIGO BALÓN DUPLICADO",IF(AND(OR(UPPER(F261)="PLANTA",UPPER(F261)="CLIENTE"),G261=""),"FALTA doc propietario/planta",IF(AND(UPPER(F261)="PLANTA",G261="10175332796"),"PLANTA no puede ser RUC empresa","OK"))))))))</f>
        <v/>
      </c>
      <c r="C261" s="54" t="inlineStr">
        <is>
          <t>K4852081</t>
        </is>
      </c>
      <c r="D261" s="17" t="inlineStr">
        <is>
          <t>Stargold Estandar de 10 m3</t>
        </is>
      </c>
      <c r="E261" s="17" t="inlineStr">
        <is>
          <t>STARGOLD ESTANDAR</t>
        </is>
      </c>
      <c r="F261" s="17" t="inlineStr">
        <is>
          <t>EMPRESA</t>
        </is>
      </c>
      <c r="G261" s="23" t="inlineStr">
        <is>
          <t>10175332796</t>
        </is>
      </c>
      <c r="H261" s="25" t="inlineStr">
        <is>
          <t>OXIGENO SARITA</t>
        </is>
      </c>
      <c r="I261" s="17" t="inlineStr">
        <is>
          <t>EN_PODER_CLIENTE</t>
        </is>
      </c>
      <c r="J261" s="17" t="n"/>
      <c r="K261" s="23" t="inlineStr">
        <is>
          <t>20523386469</t>
        </is>
      </c>
      <c r="L261" s="25">
        <f t="array" ref="L261">IF(K261="","",IFERROR(IF(INDEX(Clientes!$D$5:$D$549,MATCH(K261,Clientes!$C$5:$C$549,0))&lt;&gt;"",INDEX(Clientes!$D$5:$D$549,MATCH(K261,Clientes!$C$5:$C$549,0)),TRIM(INDEX(Clientes!$E$5:$E$549,MATCH(K261,Clientes!$C$5:$C$549,0))&amp;" "&amp;INDEX(Clientes!$F$5:$F$549,MATCH(K261,Clientes!$C$5:$C$549,0)))),"NO EXISTE en Clientes"))</f>
        <v/>
      </c>
      <c r="M261" s="17" t="n"/>
      <c r="N261" s="17" t="n"/>
      <c r="O261" s="42" t="n"/>
      <c r="P261" s="39">
        <f>IF(O261&lt;&gt;"",DATE(YEAR(O261)+5,MONTH(O261),1),IF(AND(M261&lt;&gt;"",N261&lt;&gt;""),DATE(M261+5,N261,1),""))</f>
        <v/>
      </c>
      <c r="Q261" s="23" t="n"/>
      <c r="R261" s="17" t="n"/>
      <c r="S261" s="17" t="n"/>
      <c r="T261" s="17" t="n"/>
      <c r="U261" s="17" t="n"/>
      <c r="V261" s="23" t="n"/>
      <c r="W261" s="17" t="n"/>
      <c r="X261" s="17" t="n"/>
      <c r="Y261" s="28">
        <f>IF(B261&lt;&gt;"OK","","SELECT bal_crear_balon(p_codigo_balon =&gt; "&amp;IF(TRIM(C261&amp;"")="","NULL","'"&amp;SUBSTITUTE(TRIM(C261),"'","''")&amp;"'")&amp;", p_id_tipo_balon =&gt; "&amp;"(SELECT id FROM bal_tipo_balon WHERE upper(nombre) = upper('"&amp;SUBSTITUTE(TRIM(D261),"'","''")&amp;"') AND estado = 1 LIMIT 1)"&amp;", p_id_producto_gas =&gt; "&amp;"(SELECT id FROM pro_producto WHERE es_gas = TRUE AND upper(nombre) = upper('"&amp;SUBSTITUTE(TRIM(E261),"'","''")&amp;"') AND estado = 1 LIMIT 1)"&amp;", p_id_propietario =&gt; "&amp;IF(TRIM(F261&amp;"")="","NULL","(SELECT lo.id FROM gen_lista_opciones lo JOIN gen_lista l ON l.id = lo.id_lista WHERE l.nombre = 'PropietarioBalon' AND upper(lo.nombre) = upper('"&amp;SUBSTITUTE(TRIM(F261),"'","''")&amp;"') AND lo.estado = 1 LIMIT 1)")&amp;", p_id_cliente_propietario =&gt; "&amp;IF(F261="CLIENTE",IF(TRIM(G261&amp;"")="","NULL","(SELECT id FROM cli_clientes WHERE numero_documento = '"&amp;SUBSTITUTE(TRIM(G261),"'","''")&amp;"' AND estado = 1 LIMIT 1)"),"NULL")&amp;", p_id_planta =&gt; "&amp;IF(F261="PLANTA",IF(TRIM(G261&amp;"")="","NULL","(SELECT id FROM cli_clientes WHERE numero_documento = '"&amp;SUBSTITUTE(TRIM(G261),"'","''")&amp;"'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"&amp;IF(TRIM(J261&amp;"")="","NULL","(SELECT id FROM gen_almacen WHERE upper(nombre) = upper('"&amp;SUBSTITUTE(TRIM(J261),"'","''")&amp;"') AND estado = 1 LIMIT 1)")&amp;", p_id_cliente_ubicacion =&gt; "&amp;IF(TRIM(K261&amp;"")="","NULL","(SELECT id FROM cli_clientes WHERE numero_documento = '"&amp;SUBSTITUTE(TRIM(K261),"'","''")&amp;"' AND estado = 1 LIMIT 1)")&amp;", p_id_referencia =&gt; "&amp;IF(TRIM(J261&amp;"")&lt;&gt;"","(SELECT lo.id FROM gen_lista_opciones lo JOIN gen_lista l ON l.id = lo.id_lista WHERE l.nombre = 'ReferenciaCilindro' AND upper(lo.nombre) = 'ALMACEN' AND lo.estado = 1 LIMIT 1)",IF(TRIM(K261&amp;"")&lt;&gt;"","(SELECT lo.id FROM gen_lista_opciones lo JOIN gen_lista l ON l.id = lo.id_lista WHERE l.nombre = 'ReferenciaCilindro' AND upper(lo.nombre) = 'CLIENTE' AND lo.estado = 1 LIMIT 1)","NULL"))&amp;", p_anio_fabricacion =&gt; "&amp;IF(M261&amp;""="","NULL::smallint",M261&amp;"::smallint")&amp;", p_mes_fabricacion =&gt; "&amp;IF(N261&amp;""="","NULL::smallint",N261&amp;"::smallint")&amp;", p_fecha_ultima_prueba_hidrostatica =&gt; "&amp;IF(O261&amp;""="","NULL","'"&amp;YEAR(O261)&amp;"-"&amp;TEXT(MONTH(O261),"00")&amp;"-"&amp;TEXT(DAY(O261),"00")&amp;"'")&amp;", p_numero_serie =&gt; "&amp;IF(TRIM(Q261&amp;"")="","NULL","'"&amp;SUBSTITUTE(TRIM(Q261),"'","''")&amp;"'")&amp;", p_id_marca_cilindro =&gt; "&amp;IF(TRIM(R261&amp;"")="","NULL","(SELECT lo.id FROM gen_lista_opciones lo JOIN gen_lista l ON l.id = lo.id_lista WHERE l.nombre = 'MarcaCilindro' AND upper(lo.nombre) = upper('"&amp;SUBSTITUTE(TRIM(R261),"'","''")&amp;"') AND lo.estado = 1 LIMIT 1)")&amp;", p_id_organo_inspector =&gt; "&amp;IF(TRIM(S261&amp;"")="","NULL","(SELECT lo.id FROM gen_lista_opciones lo JOIN gen_lista l ON l.id = lo.id_lista WHERE l.nombre = 'OrganoInspectorCilindro' AND upper(lo.nombre) = upper('"&amp;SUBSTITUTE(TRIM(S261),"'","''")&amp;"') AND lo.estado = 1 LIMIT 1)")&amp;", p_organo_inspector_no_aplica =&gt; "&amp;IF(S261="NO_APLICA","TRUE","FALSE")&amp;", p_presion_actual =&gt; "&amp;IF(T261&amp;""="","NULL",SUBSTITUTE(T261&amp;"",",","."))&amp;", p_tipo_valvula =&gt; "&amp;IF(TRIM(U261&amp;"")="","NULL","'"&amp;SUBSTITUTE(TRIM(U261),"'","''")&amp;"'")&amp;", p_libro_cilindro =&gt; "&amp;IF(TRIM(V261&amp;"")="","NULL","'"&amp;SUBSTITUTE(TRIM(V261),"'","''")&amp;"'")&amp;", p_pagina_libro =&gt; "&amp;IF(W261&amp;""="","NULL",SUBSTITUTE(W261&amp;"",",","."))&amp;", p_observacion =&gt; "&amp;IF(TRIM(X261&amp;"")="","NULL","'"&amp;SUBSTITUTE(TRIM(X261),"'","''")&amp;"'")&amp;") AS resultado_balon_"&amp;ROW()&amp;";")</f>
        <v/>
      </c>
    </row>
    <row r="262" ht="15.75" customHeight="1" s="64">
      <c r="A262" s="36" t="inlineStr">
        <is>
          <t>258</t>
        </is>
      </c>
      <c r="B262" s="25">
        <f>IF(AND(C262="",D262="",E262=""),"",IF(C262="","FALTA código balón",IF(D262="","FALTA tipo balón",IF(E262="","FALTA gas",IF(F262="","FALTA propietario",IF(AND(C262&lt;&gt;"",SUMPRODUCT(--($C$5:$C$1200=C262))&gt;1),"CÓDIGO BALÓN DUPLICADO",IF(AND(OR(UPPER(F262)="PLANTA",UPPER(F262)="CLIENTE"),G262=""),"FALTA doc propietario/planta",IF(AND(UPPER(F262)="PLANTA",G262="10175332796"),"PLANTA no puede ser RUC empresa","OK"))))))))</f>
        <v/>
      </c>
      <c r="C262" s="54" t="inlineStr">
        <is>
          <t>Y8893054</t>
        </is>
      </c>
      <c r="D262" s="60" t="inlineStr">
        <is>
          <t>Stargold Estandar de 10 m3</t>
        </is>
      </c>
      <c r="E262" s="17" t="inlineStr">
        <is>
          <t>STARGOLD ESTANDAR</t>
        </is>
      </c>
      <c r="F262" s="17" t="inlineStr">
        <is>
          <t>EMPRESA</t>
        </is>
      </c>
      <c r="G262" s="23" t="inlineStr">
        <is>
          <t>10175332796</t>
        </is>
      </c>
      <c r="H262" s="25" t="inlineStr">
        <is>
          <t>OXIGENO SARITA</t>
        </is>
      </c>
      <c r="I262" s="17" t="inlineStr">
        <is>
          <t>DISPONIBLE</t>
        </is>
      </c>
      <c r="J262" s="17" t="inlineStr">
        <is>
          <t>ALMACEN PRINCIPAL</t>
        </is>
      </c>
      <c r="K262" s="23" t="n"/>
      <c r="L262" s="25">
        <f t="array" ref="L262">IF(K262="","",IFERROR(IF(INDEX(Clientes!$D$5:$D$549,MATCH(K262,Clientes!$C$5:$C$549,0))&lt;&gt;"",INDEX(Clientes!$D$5:$D$549,MATCH(K262,Clientes!$C$5:$C$549,0)),TRIM(INDEX(Clientes!$E$5:$E$549,MATCH(K262,Clientes!$C$5:$C$549,0))&amp;" "&amp;INDEX(Clientes!$F$5:$F$549,MATCH(K262,Clientes!$C$5:$C$549,0)))),"NO EXISTE en Clientes"))</f>
        <v/>
      </c>
      <c r="M262" s="17" t="n"/>
      <c r="N262" s="17" t="n"/>
      <c r="O262" s="42" t="n"/>
      <c r="P262" s="39">
        <f>IF(O262&lt;&gt;"",DATE(YEAR(O262)+5,MONTH(O262),1),IF(AND(M262&lt;&gt;"",N262&lt;&gt;""),DATE(M262+5,N262,1),""))</f>
        <v/>
      </c>
      <c r="Q262" s="23" t="n"/>
      <c r="R262" s="17" t="n"/>
      <c r="S262" s="17" t="n"/>
      <c r="T262" s="17" t="n"/>
      <c r="U262" s="17" t="n"/>
      <c r="V262" s="23" t="n"/>
      <c r="W262" s="17" t="n"/>
      <c r="X262" s="17" t="n"/>
      <c r="Y262" s="28">
        <f>IF(B262&lt;&gt;"OK","","SELECT bal_crear_balon(p_codigo_balon =&gt; "&amp;IF(TRIM(C262&amp;"")="","NULL","'"&amp;SUBSTITUTE(TRIM(C262),"'","''")&amp;"'")&amp;", p_id_tipo_balon =&gt; "&amp;"(SELECT id FROM bal_tipo_balon WHERE upper(nombre) = upper('"&amp;SUBSTITUTE(TRIM(D262),"'","''")&amp;"') AND estado = 1 LIMIT 1)"&amp;", p_id_producto_gas =&gt; "&amp;"(SELECT id FROM pro_producto WHERE es_gas = TRUE AND upper(nombre) = upper('"&amp;SUBSTITUTE(TRIM(E262),"'","''")&amp;"') AND estado = 1 LIMIT 1)"&amp;", p_id_propietario =&gt; "&amp;IF(TRIM(F262&amp;"")="","NULL","(SELECT lo.id FROM gen_lista_opciones lo JOIN gen_lista l ON l.id = lo.id_lista WHERE l.nombre = 'PropietarioBalon' AND upper(lo.nombre) = upper('"&amp;SUBSTITUTE(TRIM(F262),"'","''")&amp;"') AND lo.estado = 1 LIMIT 1)")&amp;", p_id_cliente_propietario =&gt; "&amp;IF(F262="CLIENTE",IF(TRIM(G262&amp;"")="","NULL","(SELECT id FROM cli_clientes WHERE numero_documento = '"&amp;SUBSTITUTE(TRIM(G262),"'","''")&amp;"' AND estado = 1 LIMIT 1)"),"NULL")&amp;", p_id_planta =&gt; "&amp;IF(F262="PLANTA",IF(TRIM(G262&amp;"")="","NULL","(SELECT id FROM cli_clientes WHERE numero_documento = '"&amp;SUBSTITUTE(TRIM(G262),"'","''")&amp;"'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"&amp;IF(TRIM(J262&amp;"")="","NULL","(SELECT id FROM gen_almacen WHERE upper(nombre) = upper('"&amp;SUBSTITUTE(TRIM(J262),"'","''")&amp;"') AND estado = 1 LIMIT 1)")&amp;", p_id_cliente_ubicacion =&gt; "&amp;IF(TRIM(K262&amp;"")="","NULL","(SELECT id FROM cli_clientes WHERE numero_documento = '"&amp;SUBSTITUTE(TRIM(K262),"'","''")&amp;"' AND estado = 1 LIMIT 1)")&amp;", p_id_referencia =&gt; "&amp;IF(TRIM(J262&amp;"")&lt;&gt;"","(SELECT lo.id FROM gen_lista_opciones lo JOIN gen_lista l ON l.id = lo.id_lista WHERE l.nombre = 'ReferenciaCilindro' AND upper(lo.nombre) = 'ALMACEN' AND lo.estado = 1 LIMIT 1)",IF(TRIM(K262&amp;"")&lt;&gt;"","(SELECT lo.id FROM gen_lista_opciones lo JOIN gen_lista l ON l.id = lo.id_lista WHERE l.nombre = 'ReferenciaCilindro' AND upper(lo.nombre) = 'CLIENTE' AND lo.estado = 1 LIMIT 1)","NULL"))&amp;", p_anio_fabricacion =&gt; "&amp;IF(M262&amp;""="","NULL::smallint",M262&amp;"::smallint")&amp;", p_mes_fabricacion =&gt; "&amp;IF(N262&amp;""="","NULL::smallint",N262&amp;"::smallint")&amp;", p_fecha_ultima_prueba_hidrostatica =&gt; "&amp;IF(O262&amp;""="","NULL","'"&amp;YEAR(O262)&amp;"-"&amp;TEXT(MONTH(O262),"00")&amp;"-"&amp;TEXT(DAY(O262),"00")&amp;"'")&amp;", p_numero_serie =&gt; "&amp;IF(TRIM(Q262&amp;"")="","NULL","'"&amp;SUBSTITUTE(TRIM(Q262),"'","''")&amp;"'")&amp;", p_id_marca_cilindro =&gt; "&amp;IF(TRIM(R262&amp;"")="","NULL","(SELECT lo.id FROM gen_lista_opciones lo JOIN gen_lista l ON l.id = lo.id_lista WHERE l.nombre = 'MarcaCilindro' AND upper(lo.nombre) = upper('"&amp;SUBSTITUTE(TRIM(R262),"'","''")&amp;"') AND lo.estado = 1 LIMIT 1)")&amp;", p_id_organo_inspector =&gt; "&amp;IF(TRIM(S262&amp;"")="","NULL","(SELECT lo.id FROM gen_lista_opciones lo JOIN gen_lista l ON l.id = lo.id_lista WHERE l.nombre = 'OrganoInspectorCilindro' AND upper(lo.nombre) = upper('"&amp;SUBSTITUTE(TRIM(S262),"'","''")&amp;"') AND lo.estado = 1 LIMIT 1)")&amp;", p_organo_inspector_no_aplica =&gt; "&amp;IF(S262="NO_APLICA","TRUE","FALSE")&amp;", p_presion_actual =&gt; "&amp;IF(T262&amp;""="","NULL",SUBSTITUTE(T262&amp;"",",","."))&amp;", p_tipo_valvula =&gt; "&amp;IF(TRIM(U262&amp;"")="","NULL","'"&amp;SUBSTITUTE(TRIM(U262),"'","''")&amp;"'")&amp;", p_libro_cilindro =&gt; "&amp;IF(TRIM(V262&amp;"")="","NULL","'"&amp;SUBSTITUTE(TRIM(V262),"'","''")&amp;"'")&amp;", p_pagina_libro =&gt; "&amp;IF(W262&amp;""="","NULL",SUBSTITUTE(W262&amp;"",",","."))&amp;", p_observacion =&gt; "&amp;IF(TRIM(X262&amp;"")="","NULL","'"&amp;SUBSTITUTE(TRIM(X262),"'","''")&amp;"'")&amp;") AS resultado_balon_"&amp;ROW()&amp;";")</f>
        <v/>
      </c>
    </row>
    <row r="263" ht="15.75" customHeight="1" s="64">
      <c r="A263" s="36" t="inlineStr">
        <is>
          <t>259</t>
        </is>
      </c>
      <c r="B263" s="25">
        <f>IF(AND(C263="",D263="",E263=""),"",IF(C263="","FALTA código balón",IF(D263="","FALTA tipo balón",IF(E263="","FALTA gas",IF(F263="","FALTA propietario",IF(AND(C263&lt;&gt;"",SUMPRODUCT(--($C$5:$C$1200=C263))&gt;1),"CÓDIGO BALÓN DUPLICADO",IF(AND(OR(UPPER(F263)="PLANTA",UPPER(F263)="CLIENTE"),G263=""),"FALTA doc propietario/planta",IF(AND(UPPER(F263)="PLANTA",G263="10175332796"),"PLANTA no puede ser RUC empresa","OK"))))))))</f>
        <v/>
      </c>
      <c r="C263" s="54" t="inlineStr">
        <is>
          <t>21Y737164</t>
        </is>
      </c>
      <c r="D263" s="17" t="inlineStr">
        <is>
          <t>Stargold Estandar de 10 m3</t>
        </is>
      </c>
      <c r="E263" s="17" t="inlineStr">
        <is>
          <t>STARGOLD ESTANDAR</t>
        </is>
      </c>
      <c r="F263" s="17" t="inlineStr">
        <is>
          <t>EMPRESA</t>
        </is>
      </c>
      <c r="G263" s="23" t="inlineStr">
        <is>
          <t>10175332796</t>
        </is>
      </c>
      <c r="H263" s="25" t="inlineStr">
        <is>
          <t>OXIGENO SARITA</t>
        </is>
      </c>
      <c r="I263" s="17" t="inlineStr">
        <is>
          <t>EN_PODER_CLIENTE</t>
        </is>
      </c>
      <c r="J263" s="17" t="n"/>
      <c r="K263" s="23" t="inlineStr">
        <is>
          <t>20610651691</t>
        </is>
      </c>
      <c r="L263" s="25">
        <f t="array" ref="L263">IF(K263="","",IFERROR(IF(INDEX(Clientes!$D$5:$D$549,MATCH(K263,Clientes!$C$5:$C$549,0))&lt;&gt;"",INDEX(Clientes!$D$5:$D$549,MATCH(K263,Clientes!$C$5:$C$549,0)),TRIM(INDEX(Clientes!$E$5:$E$549,MATCH(K263,Clientes!$C$5:$C$549,0))&amp;" "&amp;INDEX(Clientes!$F$5:$F$549,MATCH(K263,Clientes!$C$5:$C$549,0)))),"NO EXISTE en Clientes"))</f>
        <v/>
      </c>
      <c r="M263" s="17" t="n"/>
      <c r="N263" s="17" t="n"/>
      <c r="O263" s="42" t="n"/>
      <c r="P263" s="39">
        <f>IF(O263&lt;&gt;"",DATE(YEAR(O263)+5,MONTH(O263),1),IF(AND(M263&lt;&gt;"",N263&lt;&gt;""),DATE(M263+5,N263,1),""))</f>
        <v/>
      </c>
      <c r="Q263" s="23" t="n"/>
      <c r="R263" s="17" t="n"/>
      <c r="S263" s="17" t="n"/>
      <c r="T263" s="17" t="n"/>
      <c r="U263" s="17" t="n"/>
      <c r="V263" s="23" t="n"/>
      <c r="W263" s="17" t="n"/>
      <c r="X263" s="17" t="n"/>
      <c r="Y263" s="28">
        <f>IF(B263&lt;&gt;"OK","","SELECT bal_crear_balon(p_codigo_balon =&gt; "&amp;IF(TRIM(C263&amp;"")="","NULL","'"&amp;SUBSTITUTE(TRIM(C263),"'","''")&amp;"'")&amp;", p_id_tipo_balon =&gt; "&amp;"(SELECT id FROM bal_tipo_balon WHERE upper(nombre) = upper('"&amp;SUBSTITUTE(TRIM(D263),"'","''")&amp;"') AND estado = 1 LIMIT 1)"&amp;", p_id_producto_gas =&gt; "&amp;"(SELECT id FROM pro_producto WHERE es_gas = TRUE AND upper(nombre) = upper('"&amp;SUBSTITUTE(TRIM(E263),"'","''")&amp;"') AND estado = 1 LIMIT 1)"&amp;", p_id_propietario =&gt; "&amp;IF(TRIM(F263&amp;"")="","NULL","(SELECT lo.id FROM gen_lista_opciones lo JOIN gen_lista l ON l.id = lo.id_lista WHERE l.nombre = 'PropietarioBalon' AND upper(lo.nombre) = upper('"&amp;SUBSTITUTE(TRIM(F263),"'","''")&amp;"') AND lo.estado = 1 LIMIT 1)")&amp;", p_id_cliente_propietario =&gt; "&amp;IF(F263="CLIENTE",IF(TRIM(G263&amp;"")="","NULL","(SELECT id FROM cli_clientes WHERE numero_documento = '"&amp;SUBSTITUTE(TRIM(G263),"'","''")&amp;"' AND estado = 1 LIMIT 1)"),"NULL")&amp;", p_id_planta =&gt; "&amp;IF(F263="PLANTA",IF(TRIM(G263&amp;"")="","NULL","(SELECT id FROM cli_clientes WHERE numero_documento = '"&amp;SUBSTITUTE(TRIM(G263),"'","''")&amp;"'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"&amp;IF(TRIM(J263&amp;"")="","NULL","(SELECT id FROM gen_almacen WHERE upper(nombre) = upper('"&amp;SUBSTITUTE(TRIM(J263),"'","''")&amp;"') AND estado = 1 LIMIT 1)")&amp;", p_id_cliente_ubicacion =&gt; "&amp;IF(TRIM(K263&amp;"")="","NULL","(SELECT id FROM cli_clientes WHERE numero_documento = '"&amp;SUBSTITUTE(TRIM(K263),"'","''")&amp;"' AND estado = 1 LIMIT 1)")&amp;", p_id_referencia =&gt; "&amp;IF(TRIM(J263&amp;"")&lt;&gt;"","(SELECT lo.id FROM gen_lista_opciones lo JOIN gen_lista l ON l.id = lo.id_lista WHERE l.nombre = 'ReferenciaCilindro' AND upper(lo.nombre) = 'ALMACEN' AND lo.estado = 1 LIMIT 1)",IF(TRIM(K263&amp;"")&lt;&gt;"","(SELECT lo.id FROM gen_lista_opciones lo JOIN gen_lista l ON l.id = lo.id_lista WHERE l.nombre = 'ReferenciaCilindro' AND upper(lo.nombre) = 'CLIENTE' AND lo.estado = 1 LIMIT 1)","NULL"))&amp;", p_anio_fabricacion =&gt; "&amp;IF(M263&amp;""="","NULL::smallint",M263&amp;"::smallint")&amp;", p_mes_fabricacion =&gt; "&amp;IF(N263&amp;""="","NULL::smallint",N263&amp;"::smallint")&amp;", p_fecha_ultima_prueba_hidrostatica =&gt; "&amp;IF(O263&amp;""="","NULL","'"&amp;YEAR(O263)&amp;"-"&amp;TEXT(MONTH(O263),"00")&amp;"-"&amp;TEXT(DAY(O263),"00")&amp;"'")&amp;", p_numero_serie =&gt; "&amp;IF(TRIM(Q263&amp;"")="","NULL","'"&amp;SUBSTITUTE(TRIM(Q263),"'","''")&amp;"'")&amp;", p_id_marca_cilindro =&gt; "&amp;IF(TRIM(R263&amp;"")="","NULL","(SELECT lo.id FROM gen_lista_opciones lo JOIN gen_lista l ON l.id = lo.id_lista WHERE l.nombre = 'MarcaCilindro' AND upper(lo.nombre) = upper('"&amp;SUBSTITUTE(TRIM(R263),"'","''")&amp;"') AND lo.estado = 1 LIMIT 1)")&amp;", p_id_organo_inspector =&gt; "&amp;IF(TRIM(S263&amp;"")="","NULL","(SELECT lo.id FROM gen_lista_opciones lo JOIN gen_lista l ON l.id = lo.id_lista WHERE l.nombre = 'OrganoInspectorCilindro' AND upper(lo.nombre) = upper('"&amp;SUBSTITUTE(TRIM(S263),"'","''")&amp;"') AND lo.estado = 1 LIMIT 1)")&amp;", p_organo_inspector_no_aplica =&gt; "&amp;IF(S263="NO_APLICA","TRUE","FALSE")&amp;", p_presion_actual =&gt; "&amp;IF(T263&amp;""="","NULL",SUBSTITUTE(T263&amp;"",",","."))&amp;", p_tipo_valvula =&gt; "&amp;IF(TRIM(U263&amp;"")="","NULL","'"&amp;SUBSTITUTE(TRIM(U263),"'","''")&amp;"'")&amp;", p_libro_cilindro =&gt; "&amp;IF(TRIM(V263&amp;"")="","NULL","'"&amp;SUBSTITUTE(TRIM(V263),"'","''")&amp;"'")&amp;", p_pagina_libro =&gt; "&amp;IF(W263&amp;""="","NULL",SUBSTITUTE(W263&amp;"",",","."))&amp;", p_observacion =&gt; "&amp;IF(TRIM(X263&amp;"")="","NULL","'"&amp;SUBSTITUTE(TRIM(X263),"'","''")&amp;"'")&amp;") AS resultado_balon_"&amp;ROW()&amp;";")</f>
        <v/>
      </c>
    </row>
    <row r="264" ht="15.75" customHeight="1" s="64">
      <c r="A264" s="36" t="inlineStr">
        <is>
          <t>260</t>
        </is>
      </c>
      <c r="B264" s="25">
        <f>IF(AND(C264="",D264="",E264=""),"",IF(C264="","FALTA código balón",IF(D264="","FALTA tipo balón",IF(E264="","FALTA gas",IF(F264="","FALTA propietario",IF(AND(C264&lt;&gt;"",SUMPRODUCT(--($C$5:$C$1200=C264))&gt;1),"CÓDIGO BALÓN DUPLICADO",IF(AND(OR(UPPER(F264)="PLANTA",UPPER(F264)="CLIENTE"),G264=""),"FALTA doc propietario/planta",IF(AND(UPPER(F264)="PLANTA",G264="10175332796"),"PLANTA no puede ser RUC empresa","OK"))))))))</f>
        <v/>
      </c>
      <c r="C264" s="54" t="inlineStr">
        <is>
          <t>26CQ002107</t>
        </is>
      </c>
      <c r="D264" s="17" t="inlineStr">
        <is>
          <t>Stargold Estandar de 3 m3</t>
        </is>
      </c>
      <c r="E264" s="17" t="inlineStr">
        <is>
          <t>STARGOLD ESTANDAR</t>
        </is>
      </c>
      <c r="F264" s="17" t="inlineStr">
        <is>
          <t>EMPRESA</t>
        </is>
      </c>
      <c r="G264" s="23" t="inlineStr">
        <is>
          <t>10175332796</t>
        </is>
      </c>
      <c r="H264" s="25" t="inlineStr">
        <is>
          <t>OXIGENO SARITA</t>
        </is>
      </c>
      <c r="I264" s="17" t="inlineStr">
        <is>
          <t>EN_PODER_CLIENTE</t>
        </is>
      </c>
      <c r="J264" s="17" t="n"/>
      <c r="K264" s="23" t="inlineStr">
        <is>
          <t>20610025707</t>
        </is>
      </c>
      <c r="L264" s="25">
        <f t="array" ref="L264">IF(K264="","",IFERROR(IF(INDEX(Clientes!$D$5:$D$549,MATCH(K264,Clientes!$C$5:$C$549,0))&lt;&gt;"",INDEX(Clientes!$D$5:$D$549,MATCH(K264,Clientes!$C$5:$C$549,0)),TRIM(INDEX(Clientes!$E$5:$E$549,MATCH(K264,Clientes!$C$5:$C$549,0))&amp;" "&amp;INDEX(Clientes!$F$5:$F$549,MATCH(K264,Clientes!$C$5:$C$549,0)))),"NO EXISTE en Clientes"))</f>
        <v/>
      </c>
      <c r="M264" s="17" t="n"/>
      <c r="N264" s="17" t="n"/>
      <c r="O264" s="42" t="n"/>
      <c r="P264" s="39">
        <f>IF(O264&lt;&gt;"",DATE(YEAR(O264)+5,MONTH(O264),1),IF(AND(M264&lt;&gt;"",N264&lt;&gt;""),DATE(M264+5,N264,1),""))</f>
        <v/>
      </c>
      <c r="Q264" s="23" t="n"/>
      <c r="R264" s="17" t="n"/>
      <c r="S264" s="17" t="n"/>
      <c r="T264" s="17" t="n"/>
      <c r="U264" s="17" t="n"/>
      <c r="V264" s="23" t="n"/>
      <c r="W264" s="17" t="n"/>
      <c r="X264" s="17" t="n"/>
      <c r="Y264" s="28">
        <f>IF(B264&lt;&gt;"OK","","SELECT bal_crear_balon(p_codigo_balon =&gt; "&amp;IF(TRIM(C264&amp;"")="","NULL","'"&amp;SUBSTITUTE(TRIM(C264),"'","''")&amp;"'")&amp;", p_id_tipo_balon =&gt; "&amp;"(SELECT id FROM bal_tipo_balon WHERE upper(nombre) = upper('"&amp;SUBSTITUTE(TRIM(D264),"'","''")&amp;"') AND estado = 1 LIMIT 1)"&amp;", p_id_producto_gas =&gt; "&amp;"(SELECT id FROM pro_producto WHERE es_gas = TRUE AND upper(nombre) = upper('"&amp;SUBSTITUTE(TRIM(E264),"'","''")&amp;"') AND estado = 1 LIMIT 1)"&amp;", p_id_propietario =&gt; "&amp;IF(TRIM(F264&amp;"")="","NULL","(SELECT lo.id FROM gen_lista_opciones lo JOIN gen_lista l ON l.id = lo.id_lista WHERE l.nombre = 'PropietarioBalon' AND upper(lo.nombre) = upper('"&amp;SUBSTITUTE(TRIM(F264),"'","''")&amp;"') AND lo.estado = 1 LIMIT 1)")&amp;", p_id_cliente_propietario =&gt; "&amp;IF(F264="CLIENTE",IF(TRIM(G264&amp;"")="","NULL","(SELECT id FROM cli_clientes WHERE numero_documento = '"&amp;SUBSTITUTE(TRIM(G264),"'","''")&amp;"' AND estado = 1 LIMIT 1)"),"NULL")&amp;", p_id_planta =&gt; "&amp;IF(F264="PLANTA",IF(TRIM(G264&amp;"")="","NULL","(SELECT id FROM cli_clientes WHERE numero_documento = '"&amp;SUBSTITUTE(TRIM(G264),"'","''")&amp;"'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"&amp;IF(TRIM(J264&amp;"")="","NULL","(SELECT id FROM gen_almacen WHERE upper(nombre) = upper('"&amp;SUBSTITUTE(TRIM(J264),"'","''")&amp;"') AND estado = 1 LIMIT 1)")&amp;", p_id_cliente_ubicacion =&gt; "&amp;IF(TRIM(K264&amp;"")="","NULL","(SELECT id FROM cli_clientes WHERE numero_documento = '"&amp;SUBSTITUTE(TRIM(K264),"'","''")&amp;"' AND estado = 1 LIMIT 1)")&amp;", p_id_referencia =&gt; "&amp;IF(TRIM(J264&amp;"")&lt;&gt;"","(SELECT lo.id FROM gen_lista_opciones lo JOIN gen_lista l ON l.id = lo.id_lista WHERE l.nombre = 'ReferenciaCilindro' AND upper(lo.nombre) = 'ALMACEN' AND lo.estado = 1 LIMIT 1)",IF(TRIM(K264&amp;"")&lt;&gt;"","(SELECT lo.id FROM gen_lista_opciones lo JOIN gen_lista l ON l.id = lo.id_lista WHERE l.nombre = 'ReferenciaCilindro' AND upper(lo.nombre) = 'CLIENTE' AND lo.estado = 1 LIMIT 1)","NULL"))&amp;", p_anio_fabricacion =&gt; "&amp;IF(M264&amp;""="","NULL::smallint",M264&amp;"::smallint")&amp;", p_mes_fabricacion =&gt; "&amp;IF(N264&amp;""="","NULL::smallint",N264&amp;"::smallint")&amp;", p_fecha_ultima_prueba_hidrostatica =&gt; "&amp;IF(O264&amp;""="","NULL","'"&amp;YEAR(O264)&amp;"-"&amp;TEXT(MONTH(O264),"00")&amp;"-"&amp;TEXT(DAY(O264),"00")&amp;"'")&amp;", p_numero_serie =&gt; "&amp;IF(TRIM(Q264&amp;"")="","NULL","'"&amp;SUBSTITUTE(TRIM(Q264),"'","''")&amp;"'")&amp;", p_id_marca_cilindro =&gt; "&amp;IF(TRIM(R264&amp;"")="","NULL","(SELECT lo.id FROM gen_lista_opciones lo JOIN gen_lista l ON l.id = lo.id_lista WHERE l.nombre = 'MarcaCilindro' AND upper(lo.nombre) = upper('"&amp;SUBSTITUTE(TRIM(R264),"'","''")&amp;"') AND lo.estado = 1 LIMIT 1)")&amp;", p_id_organo_inspector =&gt; "&amp;IF(TRIM(S264&amp;"")="","NULL","(SELECT lo.id FROM gen_lista_opciones lo JOIN gen_lista l ON l.id = lo.id_lista WHERE l.nombre = 'OrganoInspectorCilindro' AND upper(lo.nombre) = upper('"&amp;SUBSTITUTE(TRIM(S264),"'","''")&amp;"') AND lo.estado = 1 LIMIT 1)")&amp;", p_organo_inspector_no_aplica =&gt; "&amp;IF(S264="NO_APLICA","TRUE","FALSE")&amp;", p_presion_actual =&gt; "&amp;IF(T264&amp;""="","NULL",SUBSTITUTE(T264&amp;"",",","."))&amp;", p_tipo_valvula =&gt; "&amp;IF(TRIM(U264&amp;"")="","NULL","'"&amp;SUBSTITUTE(TRIM(U264),"'","''")&amp;"'")&amp;", p_libro_cilindro =&gt; "&amp;IF(TRIM(V264&amp;"")="","NULL","'"&amp;SUBSTITUTE(TRIM(V264),"'","''")&amp;"'")&amp;", p_pagina_libro =&gt; "&amp;IF(W264&amp;""="","NULL",SUBSTITUTE(W264&amp;"",",","."))&amp;", p_observacion =&gt; "&amp;IF(TRIM(X264&amp;"")="","NULL","'"&amp;SUBSTITUTE(TRIM(X264),"'","''")&amp;"'")&amp;") AS resultado_balon_"&amp;ROW()&amp;";")</f>
        <v/>
      </c>
    </row>
    <row r="265" ht="15.75" customHeight="1" s="64">
      <c r="A265" s="36" t="inlineStr">
        <is>
          <t>261</t>
        </is>
      </c>
      <c r="B265" s="25">
        <f>IF(AND(C265="",D265="",E265=""),"",IF(C265="","FALTA código balón",IF(D265="","FALTA tipo balón",IF(E265="","FALTA gas",IF(F265="","FALTA propietario",IF(AND(C265&lt;&gt;"",SUMPRODUCT(--($C$5:$C$1200=C265))&gt;1),"CÓDIGO BALÓN DUPLICADO",IF(AND(OR(UPPER(F265)="PLANTA",UPPER(F265)="CLIENTE"),G265=""),"FALTA doc propietario/planta",IF(AND(UPPER(F265)="PLANTA",G265="10175332796"),"PLANTA no puede ser RUC empresa","OK"))))))))</f>
        <v/>
      </c>
      <c r="C265" s="60" t="inlineStr">
        <is>
          <t>143441ED</t>
        </is>
      </c>
      <c r="D265" s="17" t="inlineStr">
        <is>
          <t>Acetileno de 3.5 - 5 kg</t>
        </is>
      </c>
      <c r="E265" s="17" t="inlineStr">
        <is>
          <t>ACETILENO ESTANDAR</t>
        </is>
      </c>
      <c r="F265" s="17" t="inlineStr">
        <is>
          <t>EMPRESA</t>
        </is>
      </c>
      <c r="G265" s="23" t="inlineStr">
        <is>
          <t>10175332796</t>
        </is>
      </c>
      <c r="H265" s="25" t="inlineStr">
        <is>
          <t>OXIGENO SARITA</t>
        </is>
      </c>
      <c r="I265" s="17" t="inlineStr">
        <is>
          <t>EN_RECARGA_EXTERNA</t>
        </is>
      </c>
      <c r="J265" s="17" t="n"/>
      <c r="K265" s="23" t="inlineStr">
        <is>
          <t>20604549401</t>
        </is>
      </c>
      <c r="L265" s="25">
        <f t="array" ref="L265">IF(K265="","",IFERROR(IF(INDEX(Clientes!$D$5:$D$549,MATCH(K265,Clientes!$C$5:$C$549,0))&lt;&gt;"",INDEX(Clientes!$D$5:$D$549,MATCH(K265,Clientes!$C$5:$C$549,0)),TRIM(INDEX(Clientes!$E$5:$E$549,MATCH(K265,Clientes!$C$5:$C$549,0))&amp;" "&amp;INDEX(Clientes!$F$5:$F$549,MATCH(K265,Clientes!$C$5:$C$549,0)))),"NO EXISTE en Clientes"))</f>
        <v/>
      </c>
      <c r="M265" s="17" t="n"/>
      <c r="N265" s="17" t="n"/>
      <c r="O265" s="42" t="n"/>
      <c r="P265" s="39">
        <f>IF(O265&lt;&gt;"",DATE(YEAR(O265)+5,MONTH(O265),1),IF(AND(M265&lt;&gt;"",N265&lt;&gt;""),DATE(M265+5,N265,1),""))</f>
        <v/>
      </c>
      <c r="Q265" s="23" t="n"/>
      <c r="R265" s="17" t="n"/>
      <c r="S265" s="17" t="n"/>
      <c r="T265" s="17" t="n"/>
      <c r="U265" s="17" t="n"/>
      <c r="V265" s="23" t="n"/>
      <c r="W265" s="17" t="n"/>
      <c r="X265" s="17" t="n"/>
      <c r="Y265" s="28">
        <f>IF(B265&lt;&gt;"OK","","SELECT bal_crear_balon(p_codigo_balon =&gt; "&amp;IF(TRIM(C265&amp;"")="","NULL","'"&amp;SUBSTITUTE(TRIM(C265),"'","''")&amp;"'")&amp;", p_id_tipo_balon =&gt; "&amp;"(SELECT id FROM bal_tipo_balon WHERE upper(nombre) = upper('"&amp;SUBSTITUTE(TRIM(D265),"'","''")&amp;"') AND estado = 1 LIMIT 1)"&amp;", p_id_producto_gas =&gt; "&amp;"(SELECT id FROM pro_producto WHERE es_gas = TRUE AND upper(nombre) = upper('"&amp;SUBSTITUTE(TRIM(E265),"'","''")&amp;"') AND estado = 1 LIMIT 1)"&amp;", p_id_propietario =&gt; "&amp;IF(TRIM(F265&amp;"")="","NULL","(SELECT lo.id FROM gen_lista_opciones lo JOIN gen_lista l ON l.id = lo.id_lista WHERE l.nombre = 'PropietarioBalon' AND upper(lo.nombre) = upper('"&amp;SUBSTITUTE(TRIM(F265),"'","''")&amp;"') AND lo.estado = 1 LIMIT 1)")&amp;", p_id_cliente_propietario =&gt; "&amp;IF(F265="CLIENTE",IF(TRIM(G265&amp;"")="","NULL","(SELECT id FROM cli_clientes WHERE numero_documento = '"&amp;SUBSTITUTE(TRIM(G265),"'","''")&amp;"' AND estado = 1 LIMIT 1)"),"NULL")&amp;", p_id_planta =&gt; "&amp;IF(F265="PLANTA",IF(TRIM(G265&amp;"")="","NULL","(SELECT id FROM cli_clientes WHERE numero_documento = '"&amp;SUBSTITUTE(TRIM(G265),"'","''")&amp;"'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"&amp;IF(TRIM(J265&amp;"")="","NULL","(SELECT id FROM gen_almacen WHERE upper(nombre) = upper('"&amp;SUBSTITUTE(TRIM(J265),"'","''")&amp;"') AND estado = 1 LIMIT 1)")&amp;", p_id_cliente_ubicacion =&gt; "&amp;IF(TRIM(K265&amp;"")="","NULL","(SELECT id FROM cli_clientes WHERE numero_documento = '"&amp;SUBSTITUTE(TRIM(K265),"'","''")&amp;"' AND estado = 1 LIMIT 1)")&amp;", p_id_referencia =&gt; "&amp;IF(TRIM(J265&amp;"")&lt;&gt;"","(SELECT lo.id FROM gen_lista_opciones lo JOIN gen_lista l ON l.id = lo.id_lista WHERE l.nombre = 'ReferenciaCilindro' AND upper(lo.nombre) = 'ALMACEN' AND lo.estado = 1 LIMIT 1)",IF(TRIM(K265&amp;"")&lt;&gt;"","(SELECT lo.id FROM gen_lista_opciones lo JOIN gen_lista l ON l.id = lo.id_lista WHERE l.nombre = 'ReferenciaCilindro' AND upper(lo.nombre) = 'CLIENTE' AND lo.estado = 1 LIMIT 1)","NULL"))&amp;", p_anio_fabricacion =&gt; "&amp;IF(M265&amp;""="","NULL::smallint",M265&amp;"::smallint")&amp;", p_mes_fabricacion =&gt; "&amp;IF(N265&amp;""="","NULL::smallint",N265&amp;"::smallint")&amp;", p_fecha_ultima_prueba_hidrostatica =&gt; "&amp;IF(O265&amp;""="","NULL","'"&amp;YEAR(O265)&amp;"-"&amp;TEXT(MONTH(O265),"00")&amp;"-"&amp;TEXT(DAY(O265),"00")&amp;"'")&amp;", p_numero_serie =&gt; "&amp;IF(TRIM(Q265&amp;"")="","NULL","'"&amp;SUBSTITUTE(TRIM(Q265),"'","''")&amp;"'")&amp;", p_id_marca_cilindro =&gt; "&amp;IF(TRIM(R265&amp;"")="","NULL","(SELECT lo.id FROM gen_lista_opciones lo JOIN gen_lista l ON l.id = lo.id_lista WHERE l.nombre = 'MarcaCilindro' AND upper(lo.nombre) = upper('"&amp;SUBSTITUTE(TRIM(R265),"'","''")&amp;"') AND lo.estado = 1 LIMIT 1)")&amp;", p_id_organo_inspector =&gt; "&amp;IF(TRIM(S265&amp;"")="","NULL","(SELECT lo.id FROM gen_lista_opciones lo JOIN gen_lista l ON l.id = lo.id_lista WHERE l.nombre = 'OrganoInspectorCilindro' AND upper(lo.nombre) = upper('"&amp;SUBSTITUTE(TRIM(S265),"'","''")&amp;"') AND lo.estado = 1 LIMIT 1)")&amp;", p_organo_inspector_no_aplica =&gt; "&amp;IF(S265="NO_APLICA","TRUE","FALSE")&amp;", p_presion_actual =&gt; "&amp;IF(T265&amp;""="","NULL",SUBSTITUTE(T265&amp;"",",","."))&amp;", p_tipo_valvula =&gt; "&amp;IF(TRIM(U265&amp;"")="","NULL","'"&amp;SUBSTITUTE(TRIM(U265),"'","''")&amp;"'")&amp;", p_libro_cilindro =&gt; "&amp;IF(TRIM(V265&amp;"")="","NULL","'"&amp;SUBSTITUTE(TRIM(V265),"'","''")&amp;"'")&amp;", p_pagina_libro =&gt; "&amp;IF(W265&amp;""="","NULL",SUBSTITUTE(W265&amp;"",",","."))&amp;", p_observacion =&gt; "&amp;IF(TRIM(X265&amp;"")="","NULL","'"&amp;SUBSTITUTE(TRIM(X265),"'","''")&amp;"'")&amp;") AS resultado_balon_"&amp;ROW()&amp;";")</f>
        <v/>
      </c>
    </row>
    <row r="266" ht="15.75" customHeight="1" s="64">
      <c r="A266" s="36" t="inlineStr">
        <is>
          <t>262</t>
        </is>
      </c>
      <c r="B266" s="25">
        <f>IF(AND(C266="",D266="",E266=""),"",IF(C266="","FALTA código balón",IF(D266="","FALTA tipo balón",IF(E266="","FALTA gas",IF(F266="","FALTA propietario",IF(AND(C266&lt;&gt;"",SUMPRODUCT(--($C$5:$C$1200=C266))&gt;1),"CÓDIGO BALÓN DUPLICADO",IF(AND(OR(UPPER(F266)="PLANTA",UPPER(F266)="CLIENTE"),G266=""),"FALTA doc propietario/planta",IF(AND(UPPER(F266)="PLANTA",G266="10175332796"),"PLANTA no puede ser RUC empresa","OK"))))))))</f>
        <v/>
      </c>
      <c r="C266" s="60" t="inlineStr">
        <is>
          <t>673174</t>
        </is>
      </c>
      <c r="D266" s="17" t="inlineStr">
        <is>
          <t>Acetileno de 7 - 9 kg</t>
        </is>
      </c>
      <c r="E266" s="17" t="inlineStr">
        <is>
          <t>ACETILENO ESTANDAR</t>
        </is>
      </c>
      <c r="F266" s="17" t="inlineStr">
        <is>
          <t>EMPRESA</t>
        </is>
      </c>
      <c r="G266" s="23" t="inlineStr">
        <is>
          <t>10175332796</t>
        </is>
      </c>
      <c r="H266" s="25" t="inlineStr">
        <is>
          <t>OXIGENO SARITA</t>
        </is>
      </c>
      <c r="I266" s="17" t="inlineStr">
        <is>
          <t>EN_RECARGA_EXTERNA</t>
        </is>
      </c>
      <c r="J266" s="17" t="n"/>
      <c r="K266" s="23" t="inlineStr">
        <is>
          <t>20604549401</t>
        </is>
      </c>
      <c r="L266" s="25">
        <f t="array" ref="L266">IF(K266="","",IFERROR(IF(INDEX(Clientes!$D$5:$D$549,MATCH(K266,Clientes!$C$5:$C$549,0))&lt;&gt;"",INDEX(Clientes!$D$5:$D$549,MATCH(K266,Clientes!$C$5:$C$549,0)),TRIM(INDEX(Clientes!$E$5:$E$549,MATCH(K266,Clientes!$C$5:$C$549,0))&amp;" "&amp;INDEX(Clientes!$F$5:$F$549,MATCH(K266,Clientes!$C$5:$C$549,0)))),"NO EXISTE en Clientes"))</f>
        <v/>
      </c>
      <c r="M266" s="17" t="n"/>
      <c r="N266" s="17" t="n"/>
      <c r="O266" s="42" t="n"/>
      <c r="P266" s="39">
        <f>IF(O266&lt;&gt;"",DATE(YEAR(O266)+5,MONTH(O266),1),IF(AND(M266&lt;&gt;"",N266&lt;&gt;""),DATE(M266+5,N266,1),""))</f>
        <v/>
      </c>
      <c r="Q266" s="23" t="n"/>
      <c r="R266" s="17" t="n"/>
      <c r="S266" s="17" t="n"/>
      <c r="T266" s="17" t="n"/>
      <c r="U266" s="17" t="n"/>
      <c r="V266" s="23" t="n"/>
      <c r="W266" s="17" t="n"/>
      <c r="X266" s="17" t="n"/>
      <c r="Y266" s="28">
        <f>IF(B266&lt;&gt;"OK","","SELECT bal_crear_balon(p_codigo_balon =&gt; "&amp;IF(TRIM(C266&amp;"")="","NULL","'"&amp;SUBSTITUTE(TRIM(C266),"'","''")&amp;"'")&amp;", p_id_tipo_balon =&gt; "&amp;"(SELECT id FROM bal_tipo_balon WHERE upper(nombre) = upper('"&amp;SUBSTITUTE(TRIM(D266),"'","''")&amp;"') AND estado = 1 LIMIT 1)"&amp;", p_id_producto_gas =&gt; "&amp;"(SELECT id FROM pro_producto WHERE es_gas = TRUE AND upper(nombre) = upper('"&amp;SUBSTITUTE(TRIM(E266),"'","''")&amp;"') AND estado = 1 LIMIT 1)"&amp;", p_id_propietario =&gt; "&amp;IF(TRIM(F266&amp;"")="","NULL","(SELECT lo.id FROM gen_lista_opciones lo JOIN gen_lista l ON l.id = lo.id_lista WHERE l.nombre = 'PropietarioBalon' AND upper(lo.nombre) = upper('"&amp;SUBSTITUTE(TRIM(F266),"'","''")&amp;"') AND lo.estado = 1 LIMIT 1)")&amp;", p_id_cliente_propietario =&gt; "&amp;IF(F266="CLIENTE",IF(TRIM(G266&amp;"")="","NULL","(SELECT id FROM cli_clientes WHERE numero_documento = '"&amp;SUBSTITUTE(TRIM(G266),"'","''")&amp;"' AND estado = 1 LIMIT 1)"),"NULL")&amp;", p_id_planta =&gt; "&amp;IF(F266="PLANTA",IF(TRIM(G266&amp;"")="","NULL","(SELECT id FROM cli_clientes WHERE numero_documento = '"&amp;SUBSTITUTE(TRIM(G266),"'","''")&amp;"'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"&amp;IF(TRIM(J266&amp;"")="","NULL","(SELECT id FROM gen_almacen WHERE upper(nombre) = upper('"&amp;SUBSTITUTE(TRIM(J266),"'","''")&amp;"') AND estado = 1 LIMIT 1)")&amp;", p_id_cliente_ubicacion =&gt; "&amp;IF(TRIM(K266&amp;"")="","NULL","(SELECT id FROM cli_clientes WHERE numero_documento = '"&amp;SUBSTITUTE(TRIM(K266),"'","''")&amp;"' AND estado = 1 LIMIT 1)")&amp;", p_id_referencia =&gt; "&amp;IF(TRIM(J266&amp;"")&lt;&gt;"","(SELECT lo.id FROM gen_lista_opciones lo JOIN gen_lista l ON l.id = lo.id_lista WHERE l.nombre = 'ReferenciaCilindro' AND upper(lo.nombre) = 'ALMACEN' AND lo.estado = 1 LIMIT 1)",IF(TRIM(K266&amp;"")&lt;&gt;"","(SELECT lo.id FROM gen_lista_opciones lo JOIN gen_lista l ON l.id = lo.id_lista WHERE l.nombre = 'ReferenciaCilindro' AND upper(lo.nombre) = 'CLIENTE' AND lo.estado = 1 LIMIT 1)","NULL"))&amp;", p_anio_fabricacion =&gt; "&amp;IF(M266&amp;""="","NULL::smallint",M266&amp;"::smallint")&amp;", p_mes_fabricacion =&gt; "&amp;IF(N266&amp;""="","NULL::smallint",N266&amp;"::smallint")&amp;", p_fecha_ultima_prueba_hidrostatica =&gt; "&amp;IF(O266&amp;""="","NULL","'"&amp;YEAR(O266)&amp;"-"&amp;TEXT(MONTH(O266),"00")&amp;"-"&amp;TEXT(DAY(O266),"00")&amp;"'")&amp;", p_numero_serie =&gt; "&amp;IF(TRIM(Q266&amp;"")="","NULL","'"&amp;SUBSTITUTE(TRIM(Q266),"'","''")&amp;"'")&amp;", p_id_marca_cilindro =&gt; "&amp;IF(TRIM(R266&amp;"")="","NULL","(SELECT lo.id FROM gen_lista_opciones lo JOIN gen_lista l ON l.id = lo.id_lista WHERE l.nombre = 'MarcaCilindro' AND upper(lo.nombre) = upper('"&amp;SUBSTITUTE(TRIM(R266),"'","''")&amp;"') AND lo.estado = 1 LIMIT 1)")&amp;", p_id_organo_inspector =&gt; "&amp;IF(TRIM(S266&amp;"")="","NULL","(SELECT lo.id FROM gen_lista_opciones lo JOIN gen_lista l ON l.id = lo.id_lista WHERE l.nombre = 'OrganoInspectorCilindro' AND upper(lo.nombre) = upper('"&amp;SUBSTITUTE(TRIM(S266),"'","''")&amp;"') AND lo.estado = 1 LIMIT 1)")&amp;", p_organo_inspector_no_aplica =&gt; "&amp;IF(S266="NO_APLICA","TRUE","FALSE")&amp;", p_presion_actual =&gt; "&amp;IF(T266&amp;""="","NULL",SUBSTITUTE(T266&amp;"",",","."))&amp;", p_tipo_valvula =&gt; "&amp;IF(TRIM(U266&amp;"")="","NULL","'"&amp;SUBSTITUTE(TRIM(U266),"'","''")&amp;"'")&amp;", p_libro_cilindro =&gt; "&amp;IF(TRIM(V266&amp;"")="","NULL","'"&amp;SUBSTITUTE(TRIM(V266),"'","''")&amp;"'")&amp;", p_pagina_libro =&gt; "&amp;IF(W266&amp;""="","NULL",SUBSTITUTE(W266&amp;"",",","."))&amp;", p_observacion =&gt; "&amp;IF(TRIM(X266&amp;"")="","NULL","'"&amp;SUBSTITUTE(TRIM(X266),"'","''")&amp;"'")&amp;") AS resultado_balon_"&amp;ROW()&amp;";")</f>
        <v/>
      </c>
    </row>
    <row r="267" ht="15.75" customHeight="1" s="64">
      <c r="A267" s="36" t="inlineStr">
        <is>
          <t>263</t>
        </is>
      </c>
      <c r="B267" s="25">
        <f>IF(AND(C267="",D267="",E267=""),"",IF(C267="","FALTA código balón",IF(D267="","FALTA tipo balón",IF(E267="","FALTA gas",IF(F267="","FALTA propietario",IF(AND(C267&lt;&gt;"",SUMPRODUCT(--($C$5:$C$1200=C267))&gt;1),"CÓDIGO BALÓN DUPLICADO",IF(AND(OR(UPPER(F267)="PLANTA",UPPER(F267)="CLIENTE"),G267=""),"FALTA doc propietario/planta",IF(AND(UPPER(F267)="PLANTA",G267="10175332796"),"PLANTA no puede ser RUC empresa","OK"))))))))</f>
        <v/>
      </c>
      <c r="C267" s="60" t="inlineStr">
        <is>
          <t>M559522</t>
        </is>
      </c>
      <c r="D267" s="17" t="inlineStr">
        <is>
          <t>Acetileno de 3.5 - 5 kg</t>
        </is>
      </c>
      <c r="E267" s="17" t="inlineStr">
        <is>
          <t>ACETILENO ESTANDAR</t>
        </is>
      </c>
      <c r="F267" s="17" t="inlineStr">
        <is>
          <t>EMPRESA</t>
        </is>
      </c>
      <c r="G267" s="23" t="inlineStr">
        <is>
          <t>10175332796</t>
        </is>
      </c>
      <c r="H267" s="25" t="inlineStr">
        <is>
          <t>OXIGENO SARITA</t>
        </is>
      </c>
      <c r="I267" s="17" t="inlineStr">
        <is>
          <t>EN_RECARGA_EXTERNA</t>
        </is>
      </c>
      <c r="J267" s="17" t="n"/>
      <c r="K267" s="23" t="inlineStr">
        <is>
          <t>20604549401</t>
        </is>
      </c>
      <c r="L267" s="25">
        <f t="array" ref="L267">IF(K267="","",IFERROR(IF(INDEX(Clientes!$D$5:$D$549,MATCH(K267,Clientes!$C$5:$C$549,0))&lt;&gt;"",INDEX(Clientes!$D$5:$D$549,MATCH(K267,Clientes!$C$5:$C$549,0)),TRIM(INDEX(Clientes!$E$5:$E$549,MATCH(K267,Clientes!$C$5:$C$549,0))&amp;" "&amp;INDEX(Clientes!$F$5:$F$549,MATCH(K267,Clientes!$C$5:$C$549,0)))),"NO EXISTE en Clientes"))</f>
        <v/>
      </c>
      <c r="M267" s="17" t="n"/>
      <c r="N267" s="17" t="n"/>
      <c r="O267" s="42" t="n"/>
      <c r="P267" s="39">
        <f>IF(O267&lt;&gt;"",DATE(YEAR(O267)+5,MONTH(O267),1),IF(AND(M267&lt;&gt;"",N267&lt;&gt;""),DATE(M267+5,N267,1),""))</f>
        <v/>
      </c>
      <c r="Q267" s="23" t="n"/>
      <c r="R267" s="17" t="n"/>
      <c r="S267" s="17" t="n"/>
      <c r="T267" s="17" t="n"/>
      <c r="U267" s="17" t="n"/>
      <c r="V267" s="23" t="n"/>
      <c r="W267" s="17" t="n"/>
      <c r="X267" s="17" t="n"/>
      <c r="Y267" s="28">
        <f>IF(B267&lt;&gt;"OK","","SELECT bal_crear_balon(p_codigo_balon =&gt; "&amp;IF(TRIM(C267&amp;"")="","NULL","'"&amp;SUBSTITUTE(TRIM(C267),"'","''")&amp;"'")&amp;", p_id_tipo_balon =&gt; "&amp;"(SELECT id FROM bal_tipo_balon WHERE upper(nombre) = upper('"&amp;SUBSTITUTE(TRIM(D267),"'","''")&amp;"') AND estado = 1 LIMIT 1)"&amp;", p_id_producto_gas =&gt; "&amp;"(SELECT id FROM pro_producto WHERE es_gas = TRUE AND upper(nombre) = upper('"&amp;SUBSTITUTE(TRIM(E267),"'","''")&amp;"') AND estado = 1 LIMIT 1)"&amp;", p_id_propietario =&gt; "&amp;IF(TRIM(F267&amp;"")="","NULL","(SELECT lo.id FROM gen_lista_opciones lo JOIN gen_lista l ON l.id = lo.id_lista WHERE l.nombre = 'PropietarioBalon' AND upper(lo.nombre) = upper('"&amp;SUBSTITUTE(TRIM(F267),"'","''")&amp;"') AND lo.estado = 1 LIMIT 1)")&amp;", p_id_cliente_propietario =&gt; "&amp;IF(F267="CLIENTE",IF(TRIM(G267&amp;"")="","NULL","(SELECT id FROM cli_clientes WHERE numero_documento = '"&amp;SUBSTITUTE(TRIM(G267),"'","''")&amp;"' AND estado = 1 LIMIT 1)"),"NULL")&amp;", p_id_planta =&gt; "&amp;IF(F267="PLANTA",IF(TRIM(G267&amp;"")="","NULL","(SELECT id FROM cli_clientes WHERE numero_documento = '"&amp;SUBSTITUTE(TRIM(G267),"'","''")&amp;"'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"&amp;IF(TRIM(J267&amp;"")="","NULL","(SELECT id FROM gen_almacen WHERE upper(nombre) = upper('"&amp;SUBSTITUTE(TRIM(J267),"'","''")&amp;"') AND estado = 1 LIMIT 1)")&amp;", p_id_cliente_ubicacion =&gt; "&amp;IF(TRIM(K267&amp;"")="","NULL","(SELECT id FROM cli_clientes WHERE numero_documento = '"&amp;SUBSTITUTE(TRIM(K267),"'","''")&amp;"' AND estado = 1 LIMIT 1)")&amp;", p_id_referencia =&gt; "&amp;IF(TRIM(J267&amp;"")&lt;&gt;"","(SELECT lo.id FROM gen_lista_opciones lo JOIN gen_lista l ON l.id = lo.id_lista WHERE l.nombre = 'ReferenciaCilindro' AND upper(lo.nombre) = 'ALMACEN' AND lo.estado = 1 LIMIT 1)",IF(TRIM(K267&amp;"")&lt;&gt;"","(SELECT lo.id FROM gen_lista_opciones lo JOIN gen_lista l ON l.id = lo.id_lista WHERE l.nombre = 'ReferenciaCilindro' AND upper(lo.nombre) = 'CLIENTE' AND lo.estado = 1 LIMIT 1)","NULL"))&amp;", p_anio_fabricacion =&gt; "&amp;IF(M267&amp;""="","NULL::smallint",M267&amp;"::smallint")&amp;", p_mes_fabricacion =&gt; "&amp;IF(N267&amp;""="","NULL::smallint",N267&amp;"::smallint")&amp;", p_fecha_ultima_prueba_hidrostatica =&gt; "&amp;IF(O267&amp;""="","NULL","'"&amp;YEAR(O267)&amp;"-"&amp;TEXT(MONTH(O267),"00")&amp;"-"&amp;TEXT(DAY(O267),"00")&amp;"'")&amp;", p_numero_serie =&gt; "&amp;IF(TRIM(Q267&amp;"")="","NULL","'"&amp;SUBSTITUTE(TRIM(Q267),"'","''")&amp;"'")&amp;", p_id_marca_cilindro =&gt; "&amp;IF(TRIM(R267&amp;"")="","NULL","(SELECT lo.id FROM gen_lista_opciones lo JOIN gen_lista l ON l.id = lo.id_lista WHERE l.nombre = 'MarcaCilindro' AND upper(lo.nombre) = upper('"&amp;SUBSTITUTE(TRIM(R267),"'","''")&amp;"') AND lo.estado = 1 LIMIT 1)")&amp;", p_id_organo_inspector =&gt; "&amp;IF(TRIM(S267&amp;"")="","NULL","(SELECT lo.id FROM gen_lista_opciones lo JOIN gen_lista l ON l.id = lo.id_lista WHERE l.nombre = 'OrganoInspectorCilindro' AND upper(lo.nombre) = upper('"&amp;SUBSTITUTE(TRIM(S267),"'","''")&amp;"') AND lo.estado = 1 LIMIT 1)")&amp;", p_organo_inspector_no_aplica =&gt; "&amp;IF(S267="NO_APLICA","TRUE","FALSE")&amp;", p_presion_actual =&gt; "&amp;IF(T267&amp;""="","NULL",SUBSTITUTE(T267&amp;"",",","."))&amp;", p_tipo_valvula =&gt; "&amp;IF(TRIM(U267&amp;"")="","NULL","'"&amp;SUBSTITUTE(TRIM(U267),"'","''")&amp;"'")&amp;", p_libro_cilindro =&gt; "&amp;IF(TRIM(V267&amp;"")="","NULL","'"&amp;SUBSTITUTE(TRIM(V267),"'","''")&amp;"'")&amp;", p_pagina_libro =&gt; "&amp;IF(W267&amp;""="","NULL",SUBSTITUTE(W267&amp;"",",","."))&amp;", p_observacion =&gt; "&amp;IF(TRIM(X267&amp;"")="","NULL","'"&amp;SUBSTITUTE(TRIM(X267),"'","''")&amp;"'")&amp;") AS resultado_balon_"&amp;ROW()&amp;";")</f>
        <v/>
      </c>
    </row>
    <row r="268" ht="15.75" customHeight="1" s="64">
      <c r="A268" s="36" t="inlineStr">
        <is>
          <t>264</t>
        </is>
      </c>
      <c r="B268" s="25">
        <f>IF(AND(C268="",D268="",E268=""),"",IF(C268="","FALTA código balón",IF(D268="","FALTA tipo balón",IF(E268="","FALTA gas",IF(F268="","FALTA propietario",IF(AND(C268&lt;&gt;"",SUMPRODUCT(--($C$5:$C$1200=C268))&gt;1),"CÓDIGO BALÓN DUPLICADO",IF(AND(OR(UPPER(F268)="PLANTA",UPPER(F268)="CLIENTE"),G268=""),"FALTA doc propietario/planta",IF(AND(UPPER(F268)="PLANTA",G268="10175332796"),"PLANTA no puede ser RUC empresa","OK"))))))))</f>
        <v/>
      </c>
      <c r="C268" s="60" t="inlineStr">
        <is>
          <t>251367</t>
        </is>
      </c>
      <c r="D268" s="17" t="inlineStr">
        <is>
          <t>Acetileno de 6 - 7.5 kg</t>
        </is>
      </c>
      <c r="E268" s="17" t="inlineStr">
        <is>
          <t>ACETILENO ESTANDAR</t>
        </is>
      </c>
      <c r="F268" s="17" t="inlineStr">
        <is>
          <t>EMPRESA</t>
        </is>
      </c>
      <c r="G268" s="23" t="inlineStr">
        <is>
          <t>10175332796</t>
        </is>
      </c>
      <c r="H268" s="25">
        <f t="array" ref="H268">IF(G268="","",IFERROR(IF(INDEX(Clientes!$D$5:$D$549,MATCH(G268,Clientes!$C$5:$C$549,0))&lt;&gt;"",INDEX(Clientes!$D$5:$D$549,MATCH(G268,Clientes!$C$5:$C$549,0)),TRIM(INDEX(Clientes!$E$5:$E$549,MATCH(G268,Clientes!$C$5:$C$549,0))&amp;" "&amp;INDEX(Clientes!$F$5:$F$549,MATCH(G268,Clientes!$C$5:$C$549,0)))),"NO EXISTE en Clientes"))</f>
        <v/>
      </c>
      <c r="I268" s="17" t="inlineStr">
        <is>
          <t>EN_RECARGA_EXTERNA</t>
        </is>
      </c>
      <c r="J268" s="17" t="n"/>
      <c r="K268" s="23" t="inlineStr">
        <is>
          <t>20604549401</t>
        </is>
      </c>
      <c r="L268" s="25">
        <f t="array" ref="L268">IF(K268="","",IFERROR(IF(INDEX(Clientes!$D$5:$D$549,MATCH(K268,Clientes!$C$5:$C$549,0))&lt;&gt;"",INDEX(Clientes!$D$5:$D$549,MATCH(K268,Clientes!$C$5:$C$549,0)),TRIM(INDEX(Clientes!$E$5:$E$549,MATCH(K268,Clientes!$C$5:$C$549,0))&amp;" "&amp;INDEX(Clientes!$F$5:$F$549,MATCH(K268,Clientes!$C$5:$C$549,0)))),"NO EXISTE en Clientes"))</f>
        <v/>
      </c>
      <c r="M268" s="17" t="n"/>
      <c r="N268" s="17" t="n"/>
      <c r="O268" s="42" t="n"/>
      <c r="P268" s="39">
        <f>IF(O268&lt;&gt;"",DATE(YEAR(O268)+5,MONTH(O268),1),IF(AND(M268&lt;&gt;"",N268&lt;&gt;""),DATE(M268+5,N268,1),""))</f>
        <v/>
      </c>
      <c r="Q268" s="23" t="n"/>
      <c r="R268" s="17" t="n"/>
      <c r="S268" s="17" t="n"/>
      <c r="T268" s="17" t="n"/>
      <c r="U268" s="17" t="n"/>
      <c r="V268" s="23" t="n"/>
      <c r="W268" s="17" t="n"/>
      <c r="X268" s="17" t="n"/>
      <c r="Y268" s="28">
        <f>IF(B268&lt;&gt;"OK","","SELECT bal_crear_balon(p_codigo_balon =&gt; "&amp;IF(TRIM(C268&amp;"")="","NULL","'"&amp;SUBSTITUTE(TRIM(C268),"'","''")&amp;"'")&amp;", p_id_tipo_balon =&gt; "&amp;"(SELECT id FROM bal_tipo_balon WHERE upper(nombre) = upper('"&amp;SUBSTITUTE(TRIM(D268),"'","''")&amp;"') AND estado = 1 LIMIT 1)"&amp;", p_id_producto_gas =&gt; "&amp;"(SELECT id FROM pro_producto WHERE es_gas = TRUE AND upper(nombre) = upper('"&amp;SUBSTITUTE(TRIM(E268),"'","''")&amp;"') AND estado = 1 LIMIT 1)"&amp;", p_id_propietario =&gt; "&amp;IF(TRIM(F268&amp;"")="","NULL","(SELECT lo.id FROM gen_lista_opciones lo JOIN gen_lista l ON l.id = lo.id_lista WHERE l.nombre = 'PropietarioBalon' AND upper(lo.nombre) = upper('"&amp;SUBSTITUTE(TRIM(F268),"'","''")&amp;"') AND lo.estado = 1 LIMIT 1)")&amp;", p_id_cliente_propietario =&gt; "&amp;IF(F268="CLIENTE",IF(TRIM(G268&amp;"")="","NULL","(SELECT id FROM cli_clientes WHERE numero_documento = '"&amp;SUBSTITUTE(TRIM(G268),"'","''")&amp;"' AND estado = 1 LIMIT 1)"),"NULL")&amp;", p_id_planta =&gt; "&amp;IF(F268="PLANTA",IF(TRIM(G268&amp;"")="","NULL","(SELECT id FROM cli_clientes WHERE numero_documento = '"&amp;SUBSTITUTE(TRIM(G268),"'","''")&amp;"'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"&amp;IF(TRIM(J268&amp;"")="","NULL","(SELECT id FROM gen_almacen WHERE upper(nombre) = upper('"&amp;SUBSTITUTE(TRIM(J268),"'","''")&amp;"') AND estado = 1 LIMIT 1)")&amp;", p_id_cliente_ubicacion =&gt; "&amp;IF(TRIM(K268&amp;"")="","NULL","(SELECT id FROM cli_clientes WHERE numero_documento = '"&amp;SUBSTITUTE(TRIM(K268),"'","''")&amp;"' AND estado = 1 LIMIT 1)")&amp;", p_id_referencia =&gt; "&amp;IF(TRIM(J268&amp;"")&lt;&gt;"","(SELECT lo.id FROM gen_lista_opciones lo JOIN gen_lista l ON l.id = lo.id_lista WHERE l.nombre = 'ReferenciaCilindro' AND upper(lo.nombre) = 'ALMACEN' AND lo.estado = 1 LIMIT 1)",IF(TRIM(K268&amp;"")&lt;&gt;"","(SELECT lo.id FROM gen_lista_opciones lo JOIN gen_lista l ON l.id = lo.id_lista WHERE l.nombre = 'ReferenciaCilindro' AND upper(lo.nombre) = 'CLIENTE' AND lo.estado = 1 LIMIT 1)","NULL"))&amp;", p_anio_fabricacion =&gt; "&amp;IF(M268&amp;""="","NULL::smallint",M268&amp;"::smallint")&amp;", p_mes_fabricacion =&gt; "&amp;IF(N268&amp;""="","NULL::smallint",N268&amp;"::smallint")&amp;", p_fecha_ultima_prueba_hidrostatica =&gt; "&amp;IF(O268&amp;""="","NULL","'"&amp;YEAR(O268)&amp;"-"&amp;TEXT(MONTH(O268),"00")&amp;"-"&amp;TEXT(DAY(O268),"00")&amp;"'")&amp;", p_numero_serie =&gt; "&amp;IF(TRIM(Q268&amp;"")="","NULL","'"&amp;SUBSTITUTE(TRIM(Q268),"'","''")&amp;"'")&amp;", p_id_marca_cilindro =&gt; "&amp;IF(TRIM(R268&amp;"")="","NULL","(SELECT lo.id FROM gen_lista_opciones lo JOIN gen_lista l ON l.id = lo.id_lista WHERE l.nombre = 'MarcaCilindro' AND upper(lo.nombre) = upper('"&amp;SUBSTITUTE(TRIM(R268),"'","''")&amp;"') AND lo.estado = 1 LIMIT 1)")&amp;", p_id_organo_inspector =&gt; "&amp;IF(TRIM(S268&amp;"")="","NULL","(SELECT lo.id FROM gen_lista_opciones lo JOIN gen_lista l ON l.id = lo.id_lista WHERE l.nombre = 'OrganoInspectorCilindro' AND upper(lo.nombre) = upper('"&amp;SUBSTITUTE(TRIM(S268),"'","''")&amp;"') AND lo.estado = 1 LIMIT 1)")&amp;", p_organo_inspector_no_aplica =&gt; "&amp;IF(S268="NO_APLICA","TRUE","FALSE")&amp;", p_presion_actual =&gt; "&amp;IF(T268&amp;""="","NULL",SUBSTITUTE(T268&amp;"",",","."))&amp;", p_tipo_valvula =&gt; "&amp;IF(TRIM(U268&amp;"")="","NULL","'"&amp;SUBSTITUTE(TRIM(U268),"'","''")&amp;"'")&amp;", p_libro_cilindro =&gt; "&amp;IF(TRIM(V268&amp;"")="","NULL","'"&amp;SUBSTITUTE(TRIM(V268),"'","''")&amp;"'")&amp;", p_pagina_libro =&gt; "&amp;IF(W268&amp;""="","NULL",SUBSTITUTE(W268&amp;"",",","."))&amp;", p_observacion =&gt; "&amp;IF(TRIM(X268&amp;"")="","NULL","'"&amp;SUBSTITUTE(TRIM(X268),"'","''")&amp;"'")&amp;") AS resultado_balon_"&amp;ROW()&amp;";")</f>
        <v/>
      </c>
    </row>
    <row r="269" ht="15.75" customHeight="1" s="64">
      <c r="A269" s="36" t="inlineStr">
        <is>
          <t>265</t>
        </is>
      </c>
      <c r="B269" s="25">
        <f>IF(AND(C269="",D269="",E269=""),"",IF(C269="","FALTA código balón",IF(D269="","FALTA tipo balón",IF(E269="","FALTA gas",IF(F269="","FALTA propietario",IF(AND(C269&lt;&gt;"",SUMPRODUCT(--($C$5:$C$1200=C269))&gt;1),"CÓDIGO BALÓN DUPLICADO",IF(AND(OR(UPPER(F269)="PLANTA",UPPER(F269)="CLIENTE"),G269=""),"FALTA doc propietario/planta",IF(AND(UPPER(F269)="PLANTA",G269="10175332796"),"PLANTA no puede ser RUC empresa","OK"))))))))</f>
        <v/>
      </c>
      <c r="C269" s="60" t="inlineStr">
        <is>
          <t>M735785</t>
        </is>
      </c>
      <c r="D269" s="17" t="inlineStr">
        <is>
          <t>Acetileno de 3.5 - 5 kg</t>
        </is>
      </c>
      <c r="E269" s="17" t="inlineStr">
        <is>
          <t>ACETILENO ESTANDAR</t>
        </is>
      </c>
      <c r="F269" s="17" t="inlineStr">
        <is>
          <t>EMPRESA</t>
        </is>
      </c>
      <c r="G269" s="23" t="inlineStr">
        <is>
          <t>10175332796</t>
        </is>
      </c>
      <c r="H269" s="25">
        <f t="array" ref="H269">IF(G269="","",IFERROR(IF(INDEX(Clientes!$D$5:$D$549,MATCH(G269,Clientes!$C$5:$C$549,0))&lt;&gt;"",INDEX(Clientes!$D$5:$D$549,MATCH(G269,Clientes!$C$5:$C$549,0)),TRIM(INDEX(Clientes!$E$5:$E$549,MATCH(G269,Clientes!$C$5:$C$549,0))&amp;" "&amp;INDEX(Clientes!$F$5:$F$549,MATCH(G269,Clientes!$C$5:$C$549,0)))),"NO EXISTE en Clientes"))</f>
        <v/>
      </c>
      <c r="I269" s="17" t="inlineStr">
        <is>
          <t>DISPONIBLE</t>
        </is>
      </c>
      <c r="J269" s="17" t="inlineStr">
        <is>
          <t>ALMACEN PRINCIPAL</t>
        </is>
      </c>
      <c r="K269" s="23" t="n"/>
      <c r="L269" s="25">
        <f t="array" ref="L269">IF(K269="","",IFERROR(IF(INDEX(Clientes!$D$5:$D$549,MATCH(K269,Clientes!$C$5:$C$549,0))&lt;&gt;"",INDEX(Clientes!$D$5:$D$549,MATCH(K269,Clientes!$C$5:$C$549,0)),TRIM(INDEX(Clientes!$E$5:$E$549,MATCH(K269,Clientes!$C$5:$C$549,0))&amp;" "&amp;INDEX(Clientes!$F$5:$F$549,MATCH(K269,Clientes!$C$5:$C$549,0)))),"NO EXISTE en Clientes"))</f>
        <v/>
      </c>
      <c r="M269" s="17" t="n"/>
      <c r="N269" s="17" t="n"/>
      <c r="O269" s="42" t="n"/>
      <c r="P269" s="39">
        <f>IF(O269&lt;&gt;"",DATE(YEAR(O269)+5,MONTH(O269),1),IF(AND(M269&lt;&gt;"",N269&lt;&gt;""),DATE(M269+5,N269,1),""))</f>
        <v/>
      </c>
      <c r="Q269" s="23" t="n"/>
      <c r="R269" s="17" t="n"/>
      <c r="S269" s="17" t="n"/>
      <c r="T269" s="17" t="n"/>
      <c r="U269" s="17" t="n"/>
      <c r="V269" s="23" t="n"/>
      <c r="W269" s="17" t="n"/>
      <c r="X269" s="17" t="inlineStr">
        <is>
          <t>REVISAR PH</t>
        </is>
      </c>
      <c r="Y269" s="28">
        <f>IF(B269&lt;&gt;"OK","","SELECT bal_crear_balon(p_codigo_balon =&gt; "&amp;IF(TRIM(C269&amp;"")="","NULL","'"&amp;SUBSTITUTE(TRIM(C269),"'","''")&amp;"'")&amp;", p_id_tipo_balon =&gt; "&amp;"(SELECT id FROM bal_tipo_balon WHERE upper(nombre) = upper('"&amp;SUBSTITUTE(TRIM(D269),"'","''")&amp;"') AND estado = 1 LIMIT 1)"&amp;", p_id_producto_gas =&gt; "&amp;"(SELECT id FROM pro_producto WHERE es_gas = TRUE AND upper(nombre) = upper('"&amp;SUBSTITUTE(TRIM(E269),"'","''")&amp;"') AND estado = 1 LIMIT 1)"&amp;", p_id_propietario =&gt; "&amp;IF(TRIM(F269&amp;"")="","NULL","(SELECT lo.id FROM gen_lista_opciones lo JOIN gen_lista l ON l.id = lo.id_lista WHERE l.nombre = 'PropietarioBalon' AND upper(lo.nombre) = upper('"&amp;SUBSTITUTE(TRIM(F269),"'","''")&amp;"') AND lo.estado = 1 LIMIT 1)")&amp;", p_id_cliente_propietario =&gt; "&amp;IF(F269="CLIENTE",IF(TRIM(G269&amp;"")="","NULL","(SELECT id FROM cli_clientes WHERE numero_documento = '"&amp;SUBSTITUTE(TRIM(G269),"'","''")&amp;"' AND estado = 1 LIMIT 1)"),"NULL")&amp;", p_id_planta =&gt; "&amp;IF(F269="PLANTA",IF(TRIM(G269&amp;"")="","NULL","(SELECT id FROM cli_clientes WHERE numero_documento = '"&amp;SUBSTITUTE(TRIM(G269),"'","''")&amp;"'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"&amp;IF(TRIM(J269&amp;"")="","NULL","(SELECT id FROM gen_almacen WHERE upper(nombre) = upper('"&amp;SUBSTITUTE(TRIM(J269),"'","''")&amp;"') AND estado = 1 LIMIT 1)")&amp;", p_id_cliente_ubicacion =&gt; "&amp;IF(TRIM(K269&amp;"")="","NULL","(SELECT id FROM cli_clientes WHERE numero_documento = '"&amp;SUBSTITUTE(TRIM(K269),"'","''")&amp;"' AND estado = 1 LIMIT 1)")&amp;", p_id_referencia =&gt; "&amp;IF(TRIM(J269&amp;"")&lt;&gt;"","(SELECT lo.id FROM gen_lista_opciones lo JOIN gen_lista l ON l.id = lo.id_lista WHERE l.nombre = 'ReferenciaCilindro' AND upper(lo.nombre) = 'ALMACEN' AND lo.estado = 1 LIMIT 1)",IF(TRIM(K269&amp;"")&lt;&gt;"","(SELECT lo.id FROM gen_lista_opciones lo JOIN gen_lista l ON l.id = lo.id_lista WHERE l.nombre = 'ReferenciaCilindro' AND upper(lo.nombre) = 'CLIENTE' AND lo.estado = 1 LIMIT 1)","NULL"))&amp;", p_anio_fabricacion =&gt; "&amp;IF(M269&amp;""="","NULL::smallint",M269&amp;"::smallint")&amp;", p_mes_fabricacion =&gt; "&amp;IF(N269&amp;""="","NULL::smallint",N269&amp;"::smallint")&amp;", p_fecha_ultima_prueba_hidrostatica =&gt; "&amp;IF(O269&amp;""="","NULL","'"&amp;YEAR(O269)&amp;"-"&amp;TEXT(MONTH(O269),"00")&amp;"-"&amp;TEXT(DAY(O269),"00")&amp;"'")&amp;", p_numero_serie =&gt; "&amp;IF(TRIM(Q269&amp;"")="","NULL","'"&amp;SUBSTITUTE(TRIM(Q269),"'","''")&amp;"'")&amp;", p_id_marca_cilindro =&gt; "&amp;IF(TRIM(R269&amp;"")="","NULL","(SELECT lo.id FROM gen_lista_opciones lo JOIN gen_lista l ON l.id = lo.id_lista WHERE l.nombre = 'MarcaCilindro' AND upper(lo.nombre) = upper('"&amp;SUBSTITUTE(TRIM(R269),"'","''")&amp;"') AND lo.estado = 1 LIMIT 1)")&amp;", p_id_organo_inspector =&gt; "&amp;IF(TRIM(S269&amp;"")="","NULL","(SELECT lo.id FROM gen_lista_opciones lo JOIN gen_lista l ON l.id = lo.id_lista WHERE l.nombre = 'OrganoInspectorCilindro' AND upper(lo.nombre) = upper('"&amp;SUBSTITUTE(TRIM(S269),"'","''")&amp;"') AND lo.estado = 1 LIMIT 1)")&amp;", p_organo_inspector_no_aplica =&gt; "&amp;IF(S269="NO_APLICA","TRUE","FALSE")&amp;", p_presion_actual =&gt; "&amp;IF(T269&amp;""="","NULL",SUBSTITUTE(T269&amp;"",",","."))&amp;", p_tipo_valvula =&gt; "&amp;IF(TRIM(U269&amp;"")="","NULL","'"&amp;SUBSTITUTE(TRIM(U269),"'","''")&amp;"'")&amp;", p_libro_cilindro =&gt; "&amp;IF(TRIM(V269&amp;"")="","NULL","'"&amp;SUBSTITUTE(TRIM(V269),"'","''")&amp;"'")&amp;", p_pagina_libro =&gt; "&amp;IF(W269&amp;""="","NULL",SUBSTITUTE(W269&amp;"",",","."))&amp;", p_observacion =&gt; "&amp;IF(TRIM(X269&amp;"")="","NULL","'"&amp;SUBSTITUTE(TRIM(X269),"'","''")&amp;"'")&amp;") AS resultado_balon_"&amp;ROW()&amp;";")</f>
        <v/>
      </c>
    </row>
    <row r="270" ht="15.75" customHeight="1" s="64">
      <c r="A270" s="36" t="inlineStr">
        <is>
          <t>266</t>
        </is>
      </c>
      <c r="B270" s="25">
        <f>IF(AND(C270="",D270="",E270=""),"",IF(C270="","FALTA código balón",IF(D270="","FALTA tipo balón",IF(E270="","FALTA gas",IF(F270="","FALTA propietario",IF(AND(C270&lt;&gt;"",SUMPRODUCT(--($C$5:$C$1200=C270))&gt;1),"CÓDIGO BALÓN DUPLICADO",IF(AND(OR(UPPER(F270)="PLANTA",UPPER(F270)="CLIENTE"),G270=""),"FALTA doc propietario/planta",IF(AND(UPPER(F270)="PLANTA",G270="10175332796"),"PLANTA no puede ser RUC empresa","OK"))))))))</f>
        <v/>
      </c>
      <c r="C270" s="60" t="inlineStr">
        <is>
          <t>661088</t>
        </is>
      </c>
      <c r="D270" s="17" t="inlineStr">
        <is>
          <t>Acetileno de 1 - 4 kg</t>
        </is>
      </c>
      <c r="E270" s="17" t="inlineStr">
        <is>
          <t>ACETILENO ESTANDAR</t>
        </is>
      </c>
      <c r="F270" s="17" t="inlineStr">
        <is>
          <t>EMPRESA</t>
        </is>
      </c>
      <c r="G270" s="23" t="inlineStr">
        <is>
          <t>10175332796</t>
        </is>
      </c>
      <c r="H270" s="25">
        <f t="array" ref="H270">IF(G270="","",IFERROR(IF(INDEX(Clientes!$D$5:$D$549,MATCH(G270,Clientes!$C$5:$C$549,0))&lt;&gt;"",INDEX(Clientes!$D$5:$D$549,MATCH(G270,Clientes!$C$5:$C$549,0)),TRIM(INDEX(Clientes!$E$5:$E$549,MATCH(G270,Clientes!$C$5:$C$549,0))&amp;" "&amp;INDEX(Clientes!$F$5:$F$549,MATCH(G270,Clientes!$C$5:$C$549,0)))),"NO EXISTE en Clientes"))</f>
        <v/>
      </c>
      <c r="I270" s="17" t="inlineStr">
        <is>
          <t>DISPONIBLE</t>
        </is>
      </c>
      <c r="J270" s="17" t="inlineStr">
        <is>
          <t>ALMACEN PRINCIPAL</t>
        </is>
      </c>
      <c r="K270" s="23" t="n"/>
      <c r="L270" s="25">
        <f t="array" ref="L270">IF(K270="","",IFERROR(IF(INDEX(Clientes!$D$5:$D$549,MATCH(K270,Clientes!$C$5:$C$549,0))&lt;&gt;"",INDEX(Clientes!$D$5:$D$549,MATCH(K270,Clientes!$C$5:$C$549,0)),TRIM(INDEX(Clientes!$E$5:$E$549,MATCH(K270,Clientes!$C$5:$C$549,0))&amp;" "&amp;INDEX(Clientes!$F$5:$F$549,MATCH(K270,Clientes!$C$5:$C$549,0)))),"NO EXISTE en Clientes"))</f>
        <v/>
      </c>
      <c r="M270" s="17" t="n"/>
      <c r="N270" s="17" t="n"/>
      <c r="O270" s="42" t="n"/>
      <c r="P270" s="39">
        <f>IF(O270&lt;&gt;"",DATE(YEAR(O270)+5,MONTH(O270),1),IF(AND(M270&lt;&gt;"",N270&lt;&gt;""),DATE(M270+5,N270,1),""))</f>
        <v/>
      </c>
      <c r="Q270" s="23" t="n"/>
      <c r="R270" s="17" t="n"/>
      <c r="S270" s="17" t="n"/>
      <c r="T270" s="17" t="n"/>
      <c r="U270" s="17" t="n"/>
      <c r="V270" s="23" t="n"/>
      <c r="W270" s="17" t="n"/>
      <c r="X270" s="17" t="n"/>
      <c r="Y270" s="28">
        <f>IF(B270&lt;&gt;"OK","","SELECT bal_crear_balon(p_codigo_balon =&gt; "&amp;IF(TRIM(C270&amp;"")="","NULL","'"&amp;SUBSTITUTE(TRIM(C270),"'","''")&amp;"'")&amp;", p_id_tipo_balon =&gt; "&amp;"(SELECT id FROM bal_tipo_balon WHERE upper(nombre) = upper('"&amp;SUBSTITUTE(TRIM(D270),"'","''")&amp;"') AND estado = 1 LIMIT 1)"&amp;", p_id_producto_gas =&gt; "&amp;"(SELECT id FROM pro_producto WHERE es_gas = TRUE AND upper(nombre) = upper('"&amp;SUBSTITUTE(TRIM(E270),"'","''")&amp;"') AND estado = 1 LIMIT 1)"&amp;", p_id_propietario =&gt; "&amp;IF(TRIM(F270&amp;"")="","NULL","(SELECT lo.id FROM gen_lista_opciones lo JOIN gen_lista l ON l.id = lo.id_lista WHERE l.nombre = 'PropietarioBalon' AND upper(lo.nombre) = upper('"&amp;SUBSTITUTE(TRIM(F270),"'","''")&amp;"') AND lo.estado = 1 LIMIT 1)")&amp;", p_id_cliente_propietario =&gt; "&amp;IF(F270="CLIENTE",IF(TRIM(G270&amp;"")="","NULL","(SELECT id FROM cli_clientes WHERE numero_documento = '"&amp;SUBSTITUTE(TRIM(G270),"'","''")&amp;"' AND estado = 1 LIMIT 1)"),"NULL")&amp;", p_id_planta =&gt; "&amp;IF(F270="PLANTA",IF(TRIM(G270&amp;"")="","NULL","(SELECT id FROM cli_clientes WHERE numero_documento = '"&amp;SUBSTITUTE(TRIM(G270),"'","''")&amp;"'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"&amp;IF(TRIM(J270&amp;"")="","NULL","(SELECT id FROM gen_almacen WHERE upper(nombre) = upper('"&amp;SUBSTITUTE(TRIM(J270),"'","''")&amp;"') AND estado = 1 LIMIT 1)")&amp;", p_id_cliente_ubicacion =&gt; "&amp;IF(TRIM(K270&amp;"")="","NULL","(SELECT id FROM cli_clientes WHERE numero_documento = '"&amp;SUBSTITUTE(TRIM(K270),"'","''")&amp;"' AND estado = 1 LIMIT 1)")&amp;", p_id_referencia =&gt; "&amp;IF(TRIM(J270&amp;"")&lt;&gt;"","(SELECT lo.id FROM gen_lista_opciones lo JOIN gen_lista l ON l.id = lo.id_lista WHERE l.nombre = 'ReferenciaCilindro' AND upper(lo.nombre) = 'ALMACEN' AND lo.estado = 1 LIMIT 1)",IF(TRIM(K270&amp;"")&lt;&gt;"","(SELECT lo.id FROM gen_lista_opciones lo JOIN gen_lista l ON l.id = lo.id_lista WHERE l.nombre = 'ReferenciaCilindro' AND upper(lo.nombre) = 'CLIENTE' AND lo.estado = 1 LIMIT 1)","NULL"))&amp;", p_anio_fabricacion =&gt; "&amp;IF(M270&amp;""="","NULL::smallint",M270&amp;"::smallint")&amp;", p_mes_fabricacion =&gt; "&amp;IF(N270&amp;""="","NULL::smallint",N270&amp;"::smallint")&amp;", p_fecha_ultima_prueba_hidrostatica =&gt; "&amp;IF(O270&amp;""="","NULL","'"&amp;YEAR(O270)&amp;"-"&amp;TEXT(MONTH(O270),"00")&amp;"-"&amp;TEXT(DAY(O270),"00")&amp;"'")&amp;", p_numero_serie =&gt; "&amp;IF(TRIM(Q270&amp;"")="","NULL","'"&amp;SUBSTITUTE(TRIM(Q270),"'","''")&amp;"'")&amp;", p_id_marca_cilindro =&gt; "&amp;IF(TRIM(R270&amp;"")="","NULL","(SELECT lo.id FROM gen_lista_opciones lo JOIN gen_lista l ON l.id = lo.id_lista WHERE l.nombre = 'MarcaCilindro' AND upper(lo.nombre) = upper('"&amp;SUBSTITUTE(TRIM(R270),"'","''")&amp;"') AND lo.estado = 1 LIMIT 1)")&amp;", p_id_organo_inspector =&gt; "&amp;IF(TRIM(S270&amp;"")="","NULL","(SELECT lo.id FROM gen_lista_opciones lo JOIN gen_lista l ON l.id = lo.id_lista WHERE l.nombre = 'OrganoInspectorCilindro' AND upper(lo.nombre) = upper('"&amp;SUBSTITUTE(TRIM(S270),"'","''")&amp;"') AND lo.estado = 1 LIMIT 1)")&amp;", p_organo_inspector_no_aplica =&gt; "&amp;IF(S270="NO_APLICA","TRUE","FALSE")&amp;", p_presion_actual =&gt; "&amp;IF(T270&amp;""="","NULL",SUBSTITUTE(T270&amp;"",",","."))&amp;", p_tipo_valvula =&gt; "&amp;IF(TRIM(U270&amp;"")="","NULL","'"&amp;SUBSTITUTE(TRIM(U270),"'","''")&amp;"'")&amp;", p_libro_cilindro =&gt; "&amp;IF(TRIM(V270&amp;"")="","NULL","'"&amp;SUBSTITUTE(TRIM(V270),"'","''")&amp;"'")&amp;", p_pagina_libro =&gt; "&amp;IF(W270&amp;""="","NULL",SUBSTITUTE(W270&amp;"",",","."))&amp;", p_observacion =&gt; "&amp;IF(TRIM(X270&amp;"")="","NULL","'"&amp;SUBSTITUTE(TRIM(X270),"'","''")&amp;"'")&amp;") AS resultado_balon_"&amp;ROW()&amp;";")</f>
        <v/>
      </c>
    </row>
    <row r="271" ht="15.75" customHeight="1" s="64">
      <c r="A271" s="36" t="inlineStr">
        <is>
          <t>267</t>
        </is>
      </c>
      <c r="B271" s="25">
        <f>IF(AND(C271="",D271="",E271=""),"",IF(C271="","FALTA código balón",IF(D271="","FALTA tipo balón",IF(E271="","FALTA gas",IF(F271="","FALTA propietario",IF(AND(C271&lt;&gt;"",SUMPRODUCT(--($C$5:$C$1200=C271))&gt;1),"CÓDIGO BALÓN DUPLICADO",IF(AND(OR(UPPER(F271)="PLANTA",UPPER(F271)="CLIENTE"),G271=""),"FALTA doc propietario/planta",IF(AND(UPPER(F271)="PLANTA",G271="10175332796"),"PLANTA no puede ser RUC empresa","OK"))))))))</f>
        <v/>
      </c>
      <c r="C271" s="60" t="inlineStr">
        <is>
          <t>661036</t>
        </is>
      </c>
      <c r="D271" s="17" t="inlineStr">
        <is>
          <t>Acetileno de 1 - 4 kg</t>
        </is>
      </c>
      <c r="E271" s="17" t="inlineStr">
        <is>
          <t>ACETILENO ESTANDAR</t>
        </is>
      </c>
      <c r="F271" s="17" t="inlineStr">
        <is>
          <t>EMPRESA</t>
        </is>
      </c>
      <c r="G271" s="23" t="inlineStr">
        <is>
          <t>10175332796</t>
        </is>
      </c>
      <c r="H271" s="25">
        <f t="array" ref="H271">IF(G271="","",IFERROR(IF(INDEX(Clientes!$D$5:$D$549,MATCH(G271,Clientes!$C$5:$C$549,0))&lt;&gt;"",INDEX(Clientes!$D$5:$D$549,MATCH(G271,Clientes!$C$5:$C$549,0)),TRIM(INDEX(Clientes!$E$5:$E$549,MATCH(G271,Clientes!$C$5:$C$549,0))&amp;" "&amp;INDEX(Clientes!$F$5:$F$549,MATCH(G271,Clientes!$C$5:$C$549,0)))),"NO EXISTE en Clientes"))</f>
        <v/>
      </c>
      <c r="I271" s="17" t="inlineStr">
        <is>
          <t>EN_RECARGA_EXTERNA</t>
        </is>
      </c>
      <c r="J271" s="17" t="n"/>
      <c r="K271" s="23" t="inlineStr">
        <is>
          <t>20604549401</t>
        </is>
      </c>
      <c r="L271" s="25">
        <f t="array" ref="L271">IF(K271="","",IFERROR(IF(INDEX(Clientes!$D$5:$D$549,MATCH(K271,Clientes!$C$5:$C$549,0))&lt;&gt;"",INDEX(Clientes!$D$5:$D$549,MATCH(K271,Clientes!$C$5:$C$549,0)),TRIM(INDEX(Clientes!$E$5:$E$549,MATCH(K271,Clientes!$C$5:$C$549,0))&amp;" "&amp;INDEX(Clientes!$F$5:$F$549,MATCH(K271,Clientes!$C$5:$C$549,0)))),"NO EXISTE en Clientes"))</f>
        <v/>
      </c>
      <c r="M271" s="17" t="n"/>
      <c r="N271" s="17" t="n"/>
      <c r="O271" s="42" t="n"/>
      <c r="P271" s="39">
        <f>IF(O271&lt;&gt;"",DATE(YEAR(O271)+5,MONTH(O271),1),IF(AND(M271&lt;&gt;"",N271&lt;&gt;""),DATE(M271+5,N271,1),""))</f>
        <v/>
      </c>
      <c r="Q271" s="23" t="n"/>
      <c r="R271" s="17" t="n"/>
      <c r="S271" s="17" t="n"/>
      <c r="T271" s="17" t="n"/>
      <c r="U271" s="17" t="n"/>
      <c r="V271" s="23" t="n"/>
      <c r="W271" s="17" t="n"/>
      <c r="X271" s="17" t="n"/>
      <c r="Y271" s="28">
        <f>IF(B271&lt;&gt;"OK","","SELECT bal_crear_balon(p_codigo_balon =&gt; "&amp;IF(TRIM(C271&amp;"")="","NULL","'"&amp;SUBSTITUTE(TRIM(C271),"'","''")&amp;"'")&amp;", p_id_tipo_balon =&gt; "&amp;"(SELECT id FROM bal_tipo_balon WHERE upper(nombre) = upper('"&amp;SUBSTITUTE(TRIM(D271),"'","''")&amp;"') AND estado = 1 LIMIT 1)"&amp;", p_id_producto_gas =&gt; "&amp;"(SELECT id FROM pro_producto WHERE es_gas = TRUE AND upper(nombre) = upper('"&amp;SUBSTITUTE(TRIM(E271),"'","''")&amp;"') AND estado = 1 LIMIT 1)"&amp;", p_id_propietario =&gt; "&amp;IF(TRIM(F271&amp;"")="","NULL","(SELECT lo.id FROM gen_lista_opciones lo JOIN gen_lista l ON l.id = lo.id_lista WHERE l.nombre = 'PropietarioBalon' AND upper(lo.nombre) = upper('"&amp;SUBSTITUTE(TRIM(F271),"'","''")&amp;"') AND lo.estado = 1 LIMIT 1)")&amp;", p_id_cliente_propietario =&gt; "&amp;IF(F271="CLIENTE",IF(TRIM(G271&amp;"")="","NULL","(SELECT id FROM cli_clientes WHERE numero_documento = '"&amp;SUBSTITUTE(TRIM(G271),"'","''")&amp;"' AND estado = 1 LIMIT 1)"),"NULL")&amp;", p_id_planta =&gt; "&amp;IF(F271="PLANTA",IF(TRIM(G271&amp;"")="","NULL","(SELECT id FROM cli_clientes WHERE numero_documento = '"&amp;SUBSTITUTE(TRIM(G271),"'","''")&amp;"'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"&amp;IF(TRIM(J271&amp;"")="","NULL","(SELECT id FROM gen_almacen WHERE upper(nombre) = upper('"&amp;SUBSTITUTE(TRIM(J271),"'","''")&amp;"') AND estado = 1 LIMIT 1)")&amp;", p_id_cliente_ubicacion =&gt; "&amp;IF(TRIM(K271&amp;"")="","NULL","(SELECT id FROM cli_clientes WHERE numero_documento = '"&amp;SUBSTITUTE(TRIM(K271),"'","''")&amp;"' AND estado = 1 LIMIT 1)")&amp;", p_id_referencia =&gt; "&amp;IF(TRIM(J271&amp;"")&lt;&gt;"","(SELECT lo.id FROM gen_lista_opciones lo JOIN gen_lista l ON l.id = lo.id_lista WHERE l.nombre = 'ReferenciaCilindro' AND upper(lo.nombre) = 'ALMACEN' AND lo.estado = 1 LIMIT 1)",IF(TRIM(K271&amp;"")&lt;&gt;"","(SELECT lo.id FROM gen_lista_opciones lo JOIN gen_lista l ON l.id = lo.id_lista WHERE l.nombre = 'ReferenciaCilindro' AND upper(lo.nombre) = 'CLIENTE' AND lo.estado = 1 LIMIT 1)","NULL"))&amp;", p_anio_fabricacion =&gt; "&amp;IF(M271&amp;""="","NULL::smallint",M271&amp;"::smallint")&amp;", p_mes_fabricacion =&gt; "&amp;IF(N271&amp;""="","NULL::smallint",N271&amp;"::smallint")&amp;", p_fecha_ultima_prueba_hidrostatica =&gt; "&amp;IF(O271&amp;""="","NULL","'"&amp;YEAR(O271)&amp;"-"&amp;TEXT(MONTH(O271),"00")&amp;"-"&amp;TEXT(DAY(O271),"00")&amp;"'")&amp;", p_numero_serie =&gt; "&amp;IF(TRIM(Q271&amp;"")="","NULL","'"&amp;SUBSTITUTE(TRIM(Q271),"'","''")&amp;"'")&amp;", p_id_marca_cilindro =&gt; "&amp;IF(TRIM(R271&amp;"")="","NULL","(SELECT lo.id FROM gen_lista_opciones lo JOIN gen_lista l ON l.id = lo.id_lista WHERE l.nombre = 'MarcaCilindro' AND upper(lo.nombre) = upper('"&amp;SUBSTITUTE(TRIM(R271),"'","''")&amp;"') AND lo.estado = 1 LIMIT 1)")&amp;", p_id_organo_inspector =&gt; "&amp;IF(TRIM(S271&amp;"")="","NULL","(SELECT lo.id FROM gen_lista_opciones lo JOIN gen_lista l ON l.id = lo.id_lista WHERE l.nombre = 'OrganoInspectorCilindro' AND upper(lo.nombre) = upper('"&amp;SUBSTITUTE(TRIM(S271),"'","''")&amp;"') AND lo.estado = 1 LIMIT 1)")&amp;", p_organo_inspector_no_aplica =&gt; "&amp;IF(S271="NO_APLICA","TRUE","FALSE")&amp;", p_presion_actual =&gt; "&amp;IF(T271&amp;""="","NULL",SUBSTITUTE(T271&amp;"",",","."))&amp;", p_tipo_valvula =&gt; "&amp;IF(TRIM(U271&amp;"")="","NULL","'"&amp;SUBSTITUTE(TRIM(U271),"'","''")&amp;"'")&amp;", p_libro_cilindro =&gt; "&amp;IF(TRIM(V271&amp;"")="","NULL","'"&amp;SUBSTITUTE(TRIM(V271),"'","''")&amp;"'")&amp;", p_pagina_libro =&gt; "&amp;IF(W271&amp;""="","NULL",SUBSTITUTE(W271&amp;"",",","."))&amp;", p_observacion =&gt; "&amp;IF(TRIM(X271&amp;"")="","NULL","'"&amp;SUBSTITUTE(TRIM(X271),"'","''")&amp;"'")&amp;") AS resultado_balon_"&amp;ROW()&amp;";")</f>
        <v/>
      </c>
    </row>
    <row r="272" ht="15.75" customHeight="1" s="64">
      <c r="A272" s="36" t="inlineStr">
        <is>
          <t>268</t>
        </is>
      </c>
      <c r="B272" s="25">
        <f>IF(AND(C272="",D272="",E272=""),"",IF(C272="","FALTA código balón",IF(D272="","FALTA tipo balón",IF(E272="","FALTA gas",IF(F272="","FALTA propietario",IF(AND(C272&lt;&gt;"",SUMPRODUCT(--($C$5:$C$1200=C272))&gt;1),"CÓDIGO BALÓN DUPLICADO",IF(AND(OR(UPPER(F272)="PLANTA",UPPER(F272)="CLIENTE"),G272=""),"FALTA doc propietario/planta",IF(AND(UPPER(F272)="PLANTA",G272="10175332796"),"PLANTA no puede ser RUC empresa","OK"))))))))</f>
        <v/>
      </c>
      <c r="C272" s="60" t="inlineStr">
        <is>
          <t>22323</t>
        </is>
      </c>
      <c r="D272" s="17" t="inlineStr">
        <is>
          <t>Acetileno de 8 - 10 kg</t>
        </is>
      </c>
      <c r="E272" s="17" t="inlineStr">
        <is>
          <t>ACETILENO ESTANDAR</t>
        </is>
      </c>
      <c r="F272" s="17" t="inlineStr">
        <is>
          <t>EMPRESA</t>
        </is>
      </c>
      <c r="G272" s="23" t="inlineStr">
        <is>
          <t>10175332796</t>
        </is>
      </c>
      <c r="H272" s="25">
        <f t="array" ref="H272">IF(G272="","",IFERROR(IF(INDEX(Clientes!$D$5:$D$549,MATCH(G272,Clientes!$C$5:$C$549,0))&lt;&gt;"",INDEX(Clientes!$D$5:$D$549,MATCH(G272,Clientes!$C$5:$C$549,0)),TRIM(INDEX(Clientes!$E$5:$E$549,MATCH(G272,Clientes!$C$5:$C$549,0))&amp;" "&amp;INDEX(Clientes!$F$5:$F$549,MATCH(G272,Clientes!$C$5:$C$549,0)))),"NO EXISTE en Clientes"))</f>
        <v/>
      </c>
      <c r="I272" s="17" t="inlineStr">
        <is>
          <t>EN_RECARGA_EXTERNA</t>
        </is>
      </c>
      <c r="J272" s="17" t="n"/>
      <c r="K272" s="23" t="inlineStr">
        <is>
          <t>20604549401</t>
        </is>
      </c>
      <c r="L272" s="25">
        <f t="array" ref="L272">IF(K272="","",IFERROR(IF(INDEX(Clientes!$D$5:$D$549,MATCH(K272,Clientes!$C$5:$C$549,0))&lt;&gt;"",INDEX(Clientes!$D$5:$D$549,MATCH(K272,Clientes!$C$5:$C$549,0)),TRIM(INDEX(Clientes!$E$5:$E$549,MATCH(K272,Clientes!$C$5:$C$549,0))&amp;" "&amp;INDEX(Clientes!$F$5:$F$549,MATCH(K272,Clientes!$C$5:$C$549,0)))),"NO EXISTE en Clientes"))</f>
        <v/>
      </c>
      <c r="M272" s="17" t="n"/>
      <c r="N272" s="17" t="n"/>
      <c r="O272" s="42" t="n"/>
      <c r="P272" s="39">
        <f>IF(O272&lt;&gt;"",DATE(YEAR(O272)+5,MONTH(O272),1),IF(AND(M272&lt;&gt;"",N272&lt;&gt;""),DATE(M272+5,N272,1),""))</f>
        <v/>
      </c>
      <c r="Q272" s="23" t="n"/>
      <c r="R272" s="17" t="n"/>
      <c r="S272" s="17" t="n"/>
      <c r="T272" s="17" t="n"/>
      <c r="U272" s="17" t="n"/>
      <c r="V272" s="23" t="n"/>
      <c r="W272" s="17" t="n"/>
      <c r="X272" s="17" t="n"/>
      <c r="Y272" s="28">
        <f>IF(B272&lt;&gt;"OK","","SELECT bal_crear_balon(p_codigo_balon =&gt; "&amp;IF(TRIM(C272&amp;"")="","NULL","'"&amp;SUBSTITUTE(TRIM(C272),"'","''")&amp;"'")&amp;", p_id_tipo_balon =&gt; "&amp;"(SELECT id FROM bal_tipo_balon WHERE upper(nombre) = upper('"&amp;SUBSTITUTE(TRIM(D272),"'","''")&amp;"') AND estado = 1 LIMIT 1)"&amp;", p_id_producto_gas =&gt; "&amp;"(SELECT id FROM pro_producto WHERE es_gas = TRUE AND upper(nombre) = upper('"&amp;SUBSTITUTE(TRIM(E272),"'","''")&amp;"') AND estado = 1 LIMIT 1)"&amp;", p_id_propietario =&gt; "&amp;IF(TRIM(F272&amp;"")="","NULL","(SELECT lo.id FROM gen_lista_opciones lo JOIN gen_lista l ON l.id = lo.id_lista WHERE l.nombre = 'PropietarioBalon' AND upper(lo.nombre) = upper('"&amp;SUBSTITUTE(TRIM(F272),"'","''")&amp;"') AND lo.estado = 1 LIMIT 1)")&amp;", p_id_cliente_propietario =&gt; "&amp;IF(F272="CLIENTE",IF(TRIM(G272&amp;"")="","NULL","(SELECT id FROM cli_clientes WHERE numero_documento = '"&amp;SUBSTITUTE(TRIM(G272),"'","''")&amp;"' AND estado = 1 LIMIT 1)"),"NULL")&amp;", p_id_planta =&gt; "&amp;IF(F272="PLANTA",IF(TRIM(G272&amp;"")="","NULL","(SELECT id FROM cli_clientes WHERE numero_documento = '"&amp;SUBSTITUTE(TRIM(G272),"'","''")&amp;"'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"&amp;IF(TRIM(J272&amp;"")="","NULL","(SELECT id FROM gen_almacen WHERE upper(nombre) = upper('"&amp;SUBSTITUTE(TRIM(J272),"'","''")&amp;"') AND estado = 1 LIMIT 1)")&amp;", p_id_cliente_ubicacion =&gt; "&amp;IF(TRIM(K272&amp;"")="","NULL","(SELECT id FROM cli_clientes WHERE numero_documento = '"&amp;SUBSTITUTE(TRIM(K272),"'","''")&amp;"' AND estado = 1 LIMIT 1)")&amp;", p_id_referencia =&gt; "&amp;IF(TRIM(J272&amp;"")&lt;&gt;"","(SELECT lo.id FROM gen_lista_opciones lo JOIN gen_lista l ON l.id = lo.id_lista WHERE l.nombre = 'ReferenciaCilindro' AND upper(lo.nombre) = 'ALMACEN' AND lo.estado = 1 LIMIT 1)",IF(TRIM(K272&amp;"")&lt;&gt;"","(SELECT lo.id FROM gen_lista_opciones lo JOIN gen_lista l ON l.id = lo.id_lista WHERE l.nombre = 'ReferenciaCilindro' AND upper(lo.nombre) = 'CLIENTE' AND lo.estado = 1 LIMIT 1)","NULL"))&amp;", p_anio_fabricacion =&gt; "&amp;IF(M272&amp;""="","NULL::smallint",M272&amp;"::smallint")&amp;", p_mes_fabricacion =&gt; "&amp;IF(N272&amp;""="","NULL::smallint",N272&amp;"::smallint")&amp;", p_fecha_ultima_prueba_hidrostatica =&gt; "&amp;IF(O272&amp;""="","NULL","'"&amp;YEAR(O272)&amp;"-"&amp;TEXT(MONTH(O272),"00")&amp;"-"&amp;TEXT(DAY(O272),"00")&amp;"'")&amp;", p_numero_serie =&gt; "&amp;IF(TRIM(Q272&amp;"")="","NULL","'"&amp;SUBSTITUTE(TRIM(Q272),"'","''")&amp;"'")&amp;", p_id_marca_cilindro =&gt; "&amp;IF(TRIM(R272&amp;"")="","NULL","(SELECT lo.id FROM gen_lista_opciones lo JOIN gen_lista l ON l.id = lo.id_lista WHERE l.nombre = 'MarcaCilindro' AND upper(lo.nombre) = upper('"&amp;SUBSTITUTE(TRIM(R272),"'","''")&amp;"') AND lo.estado = 1 LIMIT 1)")&amp;", p_id_organo_inspector =&gt; "&amp;IF(TRIM(S272&amp;"")="","NULL","(SELECT lo.id FROM gen_lista_opciones lo JOIN gen_lista l ON l.id = lo.id_lista WHERE l.nombre = 'OrganoInspectorCilindro' AND upper(lo.nombre) = upper('"&amp;SUBSTITUTE(TRIM(S272),"'","''")&amp;"') AND lo.estado = 1 LIMIT 1)")&amp;", p_organo_inspector_no_aplica =&gt; "&amp;IF(S272="NO_APLICA","TRUE","FALSE")&amp;", p_presion_actual =&gt; "&amp;IF(T272&amp;""="","NULL",SUBSTITUTE(T272&amp;"",",","."))&amp;", p_tipo_valvula =&gt; "&amp;IF(TRIM(U272&amp;"")="","NULL","'"&amp;SUBSTITUTE(TRIM(U272),"'","''")&amp;"'")&amp;", p_libro_cilindro =&gt; "&amp;IF(TRIM(V272&amp;"")="","NULL","'"&amp;SUBSTITUTE(TRIM(V272),"'","''")&amp;"'")&amp;", p_pagina_libro =&gt; "&amp;IF(W272&amp;""="","NULL",SUBSTITUTE(W272&amp;"",",","."))&amp;", p_observacion =&gt; "&amp;IF(TRIM(X272&amp;"")="","NULL","'"&amp;SUBSTITUTE(TRIM(X272),"'","''")&amp;"'")&amp;") AS resultado_balon_"&amp;ROW()&amp;";")</f>
        <v/>
      </c>
    </row>
    <row r="273" ht="15.75" customHeight="1" s="64">
      <c r="A273" s="61" t="inlineStr">
        <is>
          <t>269</t>
        </is>
      </c>
      <c r="B273" s="53">
        <f>IF(AND(C273="",D273="",E273=""),"",IF(C273="","FALTA código balón",IF(D273="","FALTA tipo balón",IF(E273="","FALTA gas",IF(F273="","FALTA propietario",IF(AND(C273&lt;&gt;"",SUMPRODUCT(--($C$5:$C$1200=C273))&gt;1),"CÓDIGO BALÓN DUPLICADO",IF(AND(OR(UPPER(F273)="PLANTA",UPPER(F273)="CLIENTE"),G273=""),"FALTA doc propietario/planta",IF(AND(UPPER(F273)="PLANTA",G273="10175332796"),"PLANTA no puede ser RUC empresa","OK"))))))))</f>
        <v/>
      </c>
      <c r="C273" s="54" t="inlineStr">
        <is>
          <t>20E0457074</t>
        </is>
      </c>
      <c r="D273" s="55" t="inlineStr">
        <is>
          <t>Stargold Estandar de 6 m3</t>
        </is>
      </c>
      <c r="E273" s="55" t="inlineStr">
        <is>
          <t>STARGOLD ESTANDAR</t>
        </is>
      </c>
      <c r="F273" s="55" t="inlineStr">
        <is>
          <t>EMPRESA</t>
        </is>
      </c>
      <c r="G273" s="54" t="inlineStr">
        <is>
          <t>10175332796</t>
        </is>
      </c>
      <c r="H273" s="53">
        <f t="array" ref="H273">IF(G273="","",IFERROR(IF(INDEX(Clientes!$D$5:$D$549,MATCH(G273,Clientes!$C$5:$C$549,0))&lt;&gt;"",INDEX(Clientes!$D$5:$D$549,MATCH(G273,Clientes!$C$5:$C$549,0)),TRIM(INDEX(Clientes!$E$5:$E$549,MATCH(G273,Clientes!$C$5:$C$549,0))&amp;" "&amp;INDEX(Clientes!$F$5:$F$549,MATCH(G273,Clientes!$C$5:$C$549,0)))),"NO EXISTE en Clientes"))</f>
        <v/>
      </c>
      <c r="I273" s="55" t="inlineStr">
        <is>
          <t>DISPONIBLE</t>
        </is>
      </c>
      <c r="J273" s="55" t="inlineStr">
        <is>
          <t>ALMACEN PRINCIPAL</t>
        </is>
      </c>
      <c r="K273" s="54" t="n"/>
      <c r="L273" s="53">
        <f t="array" ref="L273">IF(K273="","",IFERROR(IF(INDEX(Clientes!$D$5:$D$549,MATCH(K273,Clientes!$C$5:$C$549,0))&lt;&gt;"",INDEX(Clientes!$D$5:$D$549,MATCH(K273,Clientes!$C$5:$C$549,0)),TRIM(INDEX(Clientes!$E$5:$E$549,MATCH(K273,Clientes!$C$5:$C$549,0))&amp;" "&amp;INDEX(Clientes!$F$5:$F$549,MATCH(K273,Clientes!$C$5:$C$549,0)))),"NO EXISTE en Clientes"))</f>
        <v/>
      </c>
      <c r="M273" s="55" t="n"/>
      <c r="N273" s="55" t="n"/>
      <c r="O273" s="56" t="n"/>
      <c r="P273" s="57">
        <f>IF(O273&lt;&gt;"",DATE(YEAR(O273)+5,MONTH(O273),1),IF(AND(M273&lt;&gt;"",N273&lt;&gt;""),DATE(M273+5,N273,1),""))</f>
        <v/>
      </c>
      <c r="Q273" s="54" t="n"/>
      <c r="R273" s="55" t="n"/>
      <c r="S273" s="55" t="n"/>
      <c r="T273" s="55" t="n"/>
      <c r="U273" s="55" t="n"/>
      <c r="V273" s="54" t="n"/>
      <c r="W273" s="55" t="n"/>
      <c r="X273" s="55" t="n"/>
      <c r="Y273" s="58">
        <f>IF(B273&lt;&gt;"OK","","SELECT bal_crear_balon(p_codigo_balon =&gt; "&amp;IF(TRIM(C273&amp;"")="","NULL","'"&amp;SUBSTITUTE(TRIM(C273),"'","''")&amp;"'")&amp;", p_id_tipo_balon =&gt; "&amp;"(SELECT id FROM bal_tipo_balon WHERE upper(nombre) = upper('"&amp;SUBSTITUTE(TRIM(D273),"'","''")&amp;"') AND estado = 1 LIMIT 1)"&amp;", p_id_producto_gas =&gt; "&amp;"(SELECT id FROM pro_producto WHERE es_gas = TRUE AND upper(nombre) = upper('"&amp;SUBSTITUTE(TRIM(E273),"'","''")&amp;"') AND estado = 1 LIMIT 1)"&amp;", p_id_propietario =&gt; "&amp;IF(TRIM(F273&amp;"")="","NULL","(SELECT lo.id FROM gen_lista_opciones lo JOIN gen_lista l ON l.id = lo.id_lista WHERE l.nombre = 'PropietarioBalon' AND upper(lo.nombre) = upper('"&amp;SUBSTITUTE(TRIM(F273),"'","''")&amp;"') AND lo.estado = 1 LIMIT 1)")&amp;", p_id_cliente_propietario =&gt; "&amp;IF(F273="CLIENTE",IF(TRIM(G273&amp;"")="","NULL","(SELECT id FROM cli_clientes WHERE numero_documento = '"&amp;SUBSTITUTE(TRIM(G273),"'","''")&amp;"' AND estado = 1 LIMIT 1)"),"NULL")&amp;", p_id_planta =&gt; "&amp;IF(F273="PLANTA",IF(TRIM(G273&amp;"")="","NULL","(SELECT id FROM cli_clientes WHERE numero_documento = '"&amp;SUBSTITUTE(TRIM(G273),"'","''")&amp;"'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"&amp;IF(TRIM(J273&amp;"")="","NULL","(SELECT id FROM gen_almacen WHERE upper(nombre) = upper('"&amp;SUBSTITUTE(TRIM(J273),"'","''")&amp;"') AND estado = 1 LIMIT 1)")&amp;", p_id_cliente_ubicacion =&gt; "&amp;IF(TRIM(K273&amp;"")="","NULL","(SELECT id FROM cli_clientes WHERE numero_documento = '"&amp;SUBSTITUTE(TRIM(K273),"'","''")&amp;"' AND estado = 1 LIMIT 1)")&amp;", p_id_referencia =&gt; "&amp;IF(TRIM(J273&amp;"")&lt;&gt;"","(SELECT lo.id FROM gen_lista_opciones lo JOIN gen_lista l ON l.id = lo.id_lista WHERE l.nombre = 'ReferenciaCilindro' AND upper(lo.nombre) = 'ALMACEN' AND lo.estado = 1 LIMIT 1)",IF(TRIM(K273&amp;"")&lt;&gt;"","(SELECT lo.id FROM gen_lista_opciones lo JOIN gen_lista l ON l.id = lo.id_lista WHERE l.nombre = 'ReferenciaCilindro' AND upper(lo.nombre) = 'CLIENTE' AND lo.estado = 1 LIMIT 1)","NULL"))&amp;", p_anio_fabricacion =&gt; "&amp;IF(M273&amp;""="","NULL::smallint",M273&amp;"::smallint")&amp;", p_mes_fabricacion =&gt; "&amp;IF(N273&amp;""="","NULL::smallint",N273&amp;"::smallint")&amp;", p_fecha_ultima_prueba_hidrostatica =&gt; "&amp;IF(O273&amp;""="","NULL","'"&amp;YEAR(O273)&amp;"-"&amp;TEXT(MONTH(O273),"00")&amp;"-"&amp;TEXT(DAY(O273),"00")&amp;"'")&amp;", p_numero_serie =&gt; "&amp;IF(TRIM(Q273&amp;"")="","NULL","'"&amp;SUBSTITUTE(TRIM(Q273),"'","''")&amp;"'")&amp;", p_id_marca_cilindro =&gt; "&amp;IF(TRIM(R273&amp;"")="","NULL","(SELECT lo.id FROM gen_lista_opciones lo JOIN gen_lista l ON l.id = lo.id_lista WHERE l.nombre = 'MarcaCilindro' AND upper(lo.nombre) = upper('"&amp;SUBSTITUTE(TRIM(R273),"'","''")&amp;"') AND lo.estado = 1 LIMIT 1)")&amp;", p_id_organo_inspector =&gt; "&amp;IF(TRIM(S273&amp;"")="","NULL","(SELECT lo.id FROM gen_lista_opciones lo JOIN gen_lista l ON l.id = lo.id_lista WHERE l.nombre = 'OrganoInspectorCilindro' AND upper(lo.nombre) = upper('"&amp;SUBSTITUTE(TRIM(S273),"'","''")&amp;"') AND lo.estado = 1 LIMIT 1)")&amp;", p_organo_inspector_no_aplica =&gt; "&amp;IF(S273="NO_APLICA","TRUE","FALSE")&amp;", p_presion_actual =&gt; "&amp;IF(T273&amp;""="","NULL",SUBSTITUTE(T273&amp;"",",","."))&amp;", p_tipo_valvula =&gt; "&amp;IF(TRIM(U273&amp;"")="","NULL","'"&amp;SUBSTITUTE(TRIM(U273),"'","''")&amp;"'")&amp;", p_libro_cilindro =&gt; "&amp;IF(TRIM(V273&amp;"")="","NULL","'"&amp;SUBSTITUTE(TRIM(V273),"'","''")&amp;"'")&amp;", p_pagina_libro =&gt; "&amp;IF(W273&amp;""="","NULL",SUBSTITUTE(W273&amp;"",",","."))&amp;", p_observacion =&gt; "&amp;IF(TRIM(X273&amp;"")="","NULL","'"&amp;SUBSTITUTE(TRIM(X273),"'","''")&amp;"'")&amp;") AS resultado_balon_"&amp;ROW()&amp;";")</f>
        <v/>
      </c>
      <c r="Z273" s="59" t="n"/>
      <c r="AA273" s="59" t="n"/>
    </row>
    <row r="274" ht="15.75" customHeight="1" s="64">
      <c r="A274" s="36" t="inlineStr">
        <is>
          <t>270</t>
        </is>
      </c>
      <c r="B274" s="25">
        <f>IF(AND(C274="",D274="",E274=""),"",IF(C274="","FALTA código balón",IF(D274="","FALTA tipo balón",IF(E274="","FALTA gas",IF(F274="","FALTA propietario",IF(AND(C274&lt;&gt;"",SUMPRODUCT(--($C$5:$C$1200=C274))&gt;1),"CÓDIGO BALÓN DUPLICADO",IF(AND(OR(UPPER(F274)="PLANTA",UPPER(F274)="CLIENTE"),G274=""),"FALTA doc propietario/planta",IF(AND(UPPER(F274)="PLANTA",G274="10175332796"),"PLANTA no puede ser RUC empresa","OK"))))))))</f>
        <v/>
      </c>
      <c r="C274" s="54" t="inlineStr">
        <is>
          <t>20S130147</t>
        </is>
      </c>
      <c r="D274" s="17" t="inlineStr">
        <is>
          <t>Stargold Estandar de 6 m3</t>
        </is>
      </c>
      <c r="E274" s="17" t="inlineStr">
        <is>
          <t>STARGOLD ESTANDAR</t>
        </is>
      </c>
      <c r="F274" s="17" t="inlineStr">
        <is>
          <t>EMPRESA</t>
        </is>
      </c>
      <c r="G274" s="23" t="inlineStr">
        <is>
          <t>10175332796</t>
        </is>
      </c>
      <c r="H274" s="25">
        <f t="array" ref="H274">IF(G274="","",IFERROR(IF(INDEX(Clientes!$D$5:$D$549,MATCH(G274,Clientes!$C$5:$C$549,0))&lt;&gt;"",INDEX(Clientes!$D$5:$D$549,MATCH(G274,Clientes!$C$5:$C$549,0)),TRIM(INDEX(Clientes!$E$5:$E$549,MATCH(G274,Clientes!$C$5:$C$549,0))&amp;" "&amp;INDEX(Clientes!$F$5:$F$549,MATCH(G274,Clientes!$C$5:$C$549,0)))),"NO EXISTE en Clientes"))</f>
        <v/>
      </c>
      <c r="I274" s="17" t="inlineStr">
        <is>
          <t>EN_PODER_CLIENTE</t>
        </is>
      </c>
      <c r="J274" s="17" t="n"/>
      <c r="K274" s="23" t="inlineStr">
        <is>
          <t>20563657376</t>
        </is>
      </c>
      <c r="L274" s="25">
        <f t="array" ref="L274">IF(K274="","",IFERROR(IF(INDEX(Clientes!$D$5:$D$549,MATCH(K274,Clientes!$C$5:$C$549,0))&lt;&gt;"",INDEX(Clientes!$D$5:$D$549,MATCH(K274,Clientes!$C$5:$C$549,0)),TRIM(INDEX(Clientes!$E$5:$E$549,MATCH(K274,Clientes!$C$5:$C$549,0))&amp;" "&amp;INDEX(Clientes!$F$5:$F$549,MATCH(K274,Clientes!$C$5:$C$549,0)))),"NO EXISTE en Clientes"))</f>
        <v/>
      </c>
      <c r="M274" s="17" t="n"/>
      <c r="N274" s="17" t="n"/>
      <c r="O274" s="42" t="n"/>
      <c r="P274" s="39">
        <f>IF(O274&lt;&gt;"",DATE(YEAR(O274)+5,MONTH(O274),1),IF(AND(M274&lt;&gt;"",N274&lt;&gt;""),DATE(M274+5,N274,1),""))</f>
        <v/>
      </c>
      <c r="Q274" s="23" t="n"/>
      <c r="R274" s="17" t="n"/>
      <c r="S274" s="17" t="n"/>
      <c r="T274" s="17" t="n"/>
      <c r="U274" s="17" t="n"/>
      <c r="V274" s="23" t="n"/>
      <c r="W274" s="17" t="n"/>
      <c r="X274" s="17" t="n"/>
      <c r="Y274" s="28">
        <f>IF(B274&lt;&gt;"OK","","SELECT bal_crear_balon(p_codigo_balon =&gt; "&amp;IF(TRIM(C274&amp;"")="","NULL","'"&amp;SUBSTITUTE(TRIM(C274),"'","''")&amp;"'")&amp;", p_id_tipo_balon =&gt; "&amp;"(SELECT id FROM bal_tipo_balon WHERE upper(nombre) = upper('"&amp;SUBSTITUTE(TRIM(D274),"'","''")&amp;"') AND estado = 1 LIMIT 1)"&amp;", p_id_producto_gas =&gt; "&amp;"(SELECT id FROM pro_producto WHERE es_gas = TRUE AND upper(nombre) = upper('"&amp;SUBSTITUTE(TRIM(E274),"'","''")&amp;"') AND estado = 1 LIMIT 1)"&amp;", p_id_propietario =&gt; "&amp;IF(TRIM(F274&amp;"")="","NULL","(SELECT lo.id FROM gen_lista_opciones lo JOIN gen_lista l ON l.id = lo.id_lista WHERE l.nombre = 'PropietarioBalon' AND upper(lo.nombre) = upper('"&amp;SUBSTITUTE(TRIM(F274),"'","''")&amp;"') AND lo.estado = 1 LIMIT 1)")&amp;", p_id_cliente_propietario =&gt; "&amp;IF(F274="CLIENTE",IF(TRIM(G274&amp;"")="","NULL","(SELECT id FROM cli_clientes WHERE numero_documento = '"&amp;SUBSTITUTE(TRIM(G274),"'","''")&amp;"' AND estado = 1 LIMIT 1)"),"NULL")&amp;", p_id_planta =&gt; "&amp;IF(F274="PLANTA",IF(TRIM(G274&amp;"")="","NULL","(SELECT id FROM cli_clientes WHERE numero_documento = '"&amp;SUBSTITUTE(TRIM(G274),"'","''")&amp;"'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"&amp;IF(TRIM(J274&amp;"")="","NULL","(SELECT id FROM gen_almacen WHERE upper(nombre) = upper('"&amp;SUBSTITUTE(TRIM(J274),"'","''")&amp;"') AND estado = 1 LIMIT 1)")&amp;", p_id_cliente_ubicacion =&gt; "&amp;IF(TRIM(K274&amp;"")="","NULL","(SELECT id FROM cli_clientes WHERE numero_documento = '"&amp;SUBSTITUTE(TRIM(K274),"'","''")&amp;"' AND estado = 1 LIMIT 1)")&amp;", p_id_referencia =&gt; "&amp;IF(TRIM(J274&amp;"")&lt;&gt;"","(SELECT lo.id FROM gen_lista_opciones lo JOIN gen_lista l ON l.id = lo.id_lista WHERE l.nombre = 'ReferenciaCilindro' AND upper(lo.nombre) = 'ALMACEN' AND lo.estado = 1 LIMIT 1)",IF(TRIM(K274&amp;"")&lt;&gt;"","(SELECT lo.id FROM gen_lista_opciones lo JOIN gen_lista l ON l.id = lo.id_lista WHERE l.nombre = 'ReferenciaCilindro' AND upper(lo.nombre) = 'CLIENTE' AND lo.estado = 1 LIMIT 1)","NULL"))&amp;", p_anio_fabricacion =&gt; "&amp;IF(M274&amp;""="","NULL::smallint",M274&amp;"::smallint")&amp;", p_mes_fabricacion =&gt; "&amp;IF(N274&amp;""="","NULL::smallint",N274&amp;"::smallint")&amp;", p_fecha_ultima_prueba_hidrostatica =&gt; "&amp;IF(O274&amp;""="","NULL","'"&amp;YEAR(O274)&amp;"-"&amp;TEXT(MONTH(O274),"00")&amp;"-"&amp;TEXT(DAY(O274),"00")&amp;"'")&amp;", p_numero_serie =&gt; "&amp;IF(TRIM(Q274&amp;"")="","NULL","'"&amp;SUBSTITUTE(TRIM(Q274),"'","''")&amp;"'")&amp;", p_id_marca_cilindro =&gt; "&amp;IF(TRIM(R274&amp;"")="","NULL","(SELECT lo.id FROM gen_lista_opciones lo JOIN gen_lista l ON l.id = lo.id_lista WHERE l.nombre = 'MarcaCilindro' AND upper(lo.nombre) = upper('"&amp;SUBSTITUTE(TRIM(R274),"'","''")&amp;"') AND lo.estado = 1 LIMIT 1)")&amp;", p_id_organo_inspector =&gt; "&amp;IF(TRIM(S274&amp;"")="","NULL","(SELECT lo.id FROM gen_lista_opciones lo JOIN gen_lista l ON l.id = lo.id_lista WHERE l.nombre = 'OrganoInspectorCilindro' AND upper(lo.nombre) = upper('"&amp;SUBSTITUTE(TRIM(S274),"'","''")&amp;"') AND lo.estado = 1 LIMIT 1)")&amp;", p_organo_inspector_no_aplica =&gt; "&amp;IF(S274="NO_APLICA","TRUE","FALSE")&amp;", p_presion_actual =&gt; "&amp;IF(T274&amp;""="","NULL",SUBSTITUTE(T274&amp;"",",","."))&amp;", p_tipo_valvula =&gt; "&amp;IF(TRIM(U274&amp;"")="","NULL","'"&amp;SUBSTITUTE(TRIM(U274),"'","''")&amp;"'")&amp;", p_libro_cilindro =&gt; "&amp;IF(TRIM(V274&amp;"")="","NULL","'"&amp;SUBSTITUTE(TRIM(V274),"'","''")&amp;"'")&amp;", p_pagina_libro =&gt; "&amp;IF(W274&amp;""="","NULL",SUBSTITUTE(W274&amp;"",",","."))&amp;", p_observacion =&gt; "&amp;IF(TRIM(X274&amp;"")="","NULL","'"&amp;SUBSTITUTE(TRIM(X274),"'","''")&amp;"'")&amp;") AS resultado_balon_"&amp;ROW()&amp;";")</f>
        <v/>
      </c>
    </row>
    <row r="275" ht="15.75" customHeight="1" s="64">
      <c r="A275" s="36" t="inlineStr">
        <is>
          <t>271</t>
        </is>
      </c>
      <c r="B275" s="25">
        <f>IF(AND(C275="",D275="",E275=""),"",IF(C275="","FALTA código balón",IF(D275="","FALTA tipo balón",IF(E275="","FALTA gas",IF(F275="","FALTA propietario",IF(AND(C275&lt;&gt;"",SUMPRODUCT(--($C$5:$C$1200=C275))&gt;1),"CÓDIGO BALÓN DUPLICADO",IF(AND(OR(UPPER(F275)="PLANTA",UPPER(F275)="CLIENTE"),G275=""),"FALTA doc propietario/planta",IF(AND(UPPER(F275)="PLANTA",G275="10175332796"),"PLANTA no puede ser RUC empresa","OK"))))))))</f>
        <v/>
      </c>
      <c r="C275" s="54" t="inlineStr">
        <is>
          <t>20K304015</t>
        </is>
      </c>
      <c r="D275" s="17" t="inlineStr">
        <is>
          <t>Stargold Estandar de 10 m3</t>
        </is>
      </c>
      <c r="E275" s="17" t="inlineStr">
        <is>
          <t>STARGOLD ESTANDAR</t>
        </is>
      </c>
      <c r="F275" s="17" t="inlineStr">
        <is>
          <t>EMPRESA</t>
        </is>
      </c>
      <c r="G275" s="23" t="inlineStr">
        <is>
          <t>10175332796</t>
        </is>
      </c>
      <c r="H275" s="25">
        <f t="array" ref="H275">IF(G275="","",IFERROR(IF(INDEX(Clientes!$D$5:$D$549,MATCH(G275,Clientes!$C$5:$C$549,0))&lt;&gt;"",INDEX(Clientes!$D$5:$D$549,MATCH(G275,Clientes!$C$5:$C$549,0)),TRIM(INDEX(Clientes!$E$5:$E$549,MATCH(G275,Clientes!$C$5:$C$549,0))&amp;" "&amp;INDEX(Clientes!$F$5:$F$549,MATCH(G275,Clientes!$C$5:$C$549,0)))),"NO EXISTE en Clientes"))</f>
        <v/>
      </c>
      <c r="I275" s="17" t="inlineStr">
        <is>
          <t>DISPONIBLE</t>
        </is>
      </c>
      <c r="J275" s="17" t="inlineStr">
        <is>
          <t>ALMACEN PRINCIPAL</t>
        </is>
      </c>
      <c r="K275" s="23" t="n"/>
      <c r="L275" s="25">
        <f t="array" ref="L275">IF(K275="","",IFERROR(IF(INDEX(Clientes!$D$5:$D$549,MATCH(K275,Clientes!$C$5:$C$549,0))&lt;&gt;"",INDEX(Clientes!$D$5:$D$549,MATCH(K275,Clientes!$C$5:$C$549,0)),TRIM(INDEX(Clientes!$E$5:$E$549,MATCH(K275,Clientes!$C$5:$C$549,0))&amp;" "&amp;INDEX(Clientes!$F$5:$F$549,MATCH(K275,Clientes!$C$5:$C$549,0)))),"NO EXISTE en Clientes"))</f>
        <v/>
      </c>
      <c r="M275" s="17" t="n"/>
      <c r="N275" s="17" t="n"/>
      <c r="O275" s="42" t="n"/>
      <c r="P275" s="39">
        <f>IF(O275&lt;&gt;"",DATE(YEAR(O275)+5,MONTH(O275),1),IF(AND(M275&lt;&gt;"",N275&lt;&gt;""),DATE(M275+5,N275,1),""))</f>
        <v/>
      </c>
      <c r="Q275" s="23" t="n"/>
      <c r="R275" s="17" t="n"/>
      <c r="S275" s="17" t="n"/>
      <c r="T275" s="17" t="n"/>
      <c r="U275" s="17" t="n"/>
      <c r="V275" s="23" t="n"/>
      <c r="W275" s="17" t="n"/>
      <c r="X275" s="17" t="n"/>
      <c r="Y275" s="28">
        <f>IF(B275&lt;&gt;"OK","","SELECT bal_crear_balon(p_codigo_balon =&gt; "&amp;IF(TRIM(C275&amp;"")="","NULL","'"&amp;SUBSTITUTE(TRIM(C275),"'","''")&amp;"'")&amp;", p_id_tipo_balon =&gt; "&amp;"(SELECT id FROM bal_tipo_balon WHERE upper(nombre) = upper('"&amp;SUBSTITUTE(TRIM(D275),"'","''")&amp;"') AND estado = 1 LIMIT 1)"&amp;", p_id_producto_gas =&gt; "&amp;"(SELECT id FROM pro_producto WHERE es_gas = TRUE AND upper(nombre) = upper('"&amp;SUBSTITUTE(TRIM(E275),"'","''")&amp;"') AND estado = 1 LIMIT 1)"&amp;", p_id_propietario =&gt; "&amp;IF(TRIM(F275&amp;"")="","NULL","(SELECT lo.id FROM gen_lista_opciones lo JOIN gen_lista l ON l.id = lo.id_lista WHERE l.nombre = 'PropietarioBalon' AND upper(lo.nombre) = upper('"&amp;SUBSTITUTE(TRIM(F275),"'","''")&amp;"') AND lo.estado = 1 LIMIT 1)")&amp;", p_id_cliente_propietario =&gt; "&amp;IF(F275="CLIENTE",IF(TRIM(G275&amp;"")="","NULL","(SELECT id FROM cli_clientes WHERE numero_documento = '"&amp;SUBSTITUTE(TRIM(G275),"'","''")&amp;"' AND estado = 1 LIMIT 1)"),"NULL")&amp;", p_id_planta =&gt; "&amp;IF(F275="PLANTA",IF(TRIM(G275&amp;"")="","NULL","(SELECT id FROM cli_clientes WHERE numero_documento = '"&amp;SUBSTITUTE(TRIM(G275),"'","''")&amp;"'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"&amp;IF(TRIM(J275&amp;"")="","NULL","(SELECT id FROM gen_almacen WHERE upper(nombre) = upper('"&amp;SUBSTITUTE(TRIM(J275),"'","''")&amp;"') AND estado = 1 LIMIT 1)")&amp;", p_id_cliente_ubicacion =&gt; "&amp;IF(TRIM(K275&amp;"")="","NULL","(SELECT id FROM cli_clientes WHERE numero_documento = '"&amp;SUBSTITUTE(TRIM(K275),"'","''")&amp;"' AND estado = 1 LIMIT 1)")&amp;", p_id_referencia =&gt; "&amp;IF(TRIM(J275&amp;"")&lt;&gt;"","(SELECT lo.id FROM gen_lista_opciones lo JOIN gen_lista l ON l.id = lo.id_lista WHERE l.nombre = 'ReferenciaCilindro' AND upper(lo.nombre) = 'ALMACEN' AND lo.estado = 1 LIMIT 1)",IF(TRIM(K275&amp;"")&lt;&gt;"","(SELECT lo.id FROM gen_lista_opciones lo JOIN gen_lista l ON l.id = lo.id_lista WHERE l.nombre = 'ReferenciaCilindro' AND upper(lo.nombre) = 'CLIENTE' AND lo.estado = 1 LIMIT 1)","NULL"))&amp;", p_anio_fabricacion =&gt; "&amp;IF(M275&amp;""="","NULL::smallint",M275&amp;"::smallint")&amp;", p_mes_fabricacion =&gt; "&amp;IF(N275&amp;""="","NULL::smallint",N275&amp;"::smallint")&amp;", p_fecha_ultima_prueba_hidrostatica =&gt; "&amp;IF(O275&amp;""="","NULL","'"&amp;YEAR(O275)&amp;"-"&amp;TEXT(MONTH(O275),"00")&amp;"-"&amp;TEXT(DAY(O275),"00")&amp;"'")&amp;", p_numero_serie =&gt; "&amp;IF(TRIM(Q275&amp;"")="","NULL","'"&amp;SUBSTITUTE(TRIM(Q275),"'","''")&amp;"'")&amp;", p_id_marca_cilindro =&gt; "&amp;IF(TRIM(R275&amp;"")="","NULL","(SELECT lo.id FROM gen_lista_opciones lo JOIN gen_lista l ON l.id = lo.id_lista WHERE l.nombre = 'MarcaCilindro' AND upper(lo.nombre) = upper('"&amp;SUBSTITUTE(TRIM(R275),"'","''")&amp;"') AND lo.estado = 1 LIMIT 1)")&amp;", p_id_organo_inspector =&gt; "&amp;IF(TRIM(S275&amp;"")="","NULL","(SELECT lo.id FROM gen_lista_opciones lo JOIN gen_lista l ON l.id = lo.id_lista WHERE l.nombre = 'OrganoInspectorCilindro' AND upper(lo.nombre) = upper('"&amp;SUBSTITUTE(TRIM(S275),"'","''")&amp;"') AND lo.estado = 1 LIMIT 1)")&amp;", p_organo_inspector_no_aplica =&gt; "&amp;IF(S275="NO_APLICA","TRUE","FALSE")&amp;", p_presion_actual =&gt; "&amp;IF(T275&amp;""="","NULL",SUBSTITUTE(T275&amp;"",",","."))&amp;", p_tipo_valvula =&gt; "&amp;IF(TRIM(U275&amp;"")="","NULL","'"&amp;SUBSTITUTE(TRIM(U275),"'","''")&amp;"'")&amp;", p_libro_cilindro =&gt; "&amp;IF(TRIM(V275&amp;"")="","NULL","'"&amp;SUBSTITUTE(TRIM(V275),"'","''")&amp;"'")&amp;", p_pagina_libro =&gt; "&amp;IF(W275&amp;""="","NULL",SUBSTITUTE(W275&amp;"",",","."))&amp;", p_observacion =&gt; "&amp;IF(TRIM(X275&amp;"")="","NULL","'"&amp;SUBSTITUTE(TRIM(X275),"'","''")&amp;"'")&amp;") AS resultado_balon_"&amp;ROW()&amp;";")</f>
        <v/>
      </c>
    </row>
    <row r="276" ht="15.75" customHeight="1" s="64">
      <c r="A276" s="36" t="inlineStr">
        <is>
          <t>272</t>
        </is>
      </c>
      <c r="B276" s="25">
        <f>IF(AND(C276="",D276="",E276=""),"",IF(C276="","FALTA código balón",IF(D276="","FALTA tipo balón",IF(E276="","FALTA gas",IF(F276="","FALTA propietario",IF(AND(C276&lt;&gt;"",SUMPRODUCT(--($C$5:$C$1200=C276))&gt;1),"CÓDIGO BALÓN DUPLICADO",IF(AND(OR(UPPER(F276)="PLANTA",UPPER(F276)="CLIENTE"),G276=""),"FALTA doc propietario/planta",IF(AND(UPPER(F276)="PLANTA",G276="10175332796"),"PLANTA no puede ser RUC empresa","OK"))))))))</f>
        <v/>
      </c>
      <c r="C276" s="54" t="inlineStr">
        <is>
          <t>265039</t>
        </is>
      </c>
      <c r="D276" s="17" t="inlineStr">
        <is>
          <t>Stargold Estandar de 6 m3</t>
        </is>
      </c>
      <c r="E276" s="17" t="inlineStr">
        <is>
          <t>STARGOLD ESTANDAR</t>
        </is>
      </c>
      <c r="F276" s="17" t="inlineStr">
        <is>
          <t>EMPRESA</t>
        </is>
      </c>
      <c r="G276" s="23" t="inlineStr">
        <is>
          <t>10175332796</t>
        </is>
      </c>
      <c r="H276" s="25">
        <f t="array" ref="H276">IF(G276="","",IFERROR(IF(INDEX(Clientes!$D$5:$D$549,MATCH(G276,Clientes!$C$5:$C$549,0))&lt;&gt;"",INDEX(Clientes!$D$5:$D$549,MATCH(G276,Clientes!$C$5:$C$549,0)),TRIM(INDEX(Clientes!$E$5:$E$549,MATCH(G276,Clientes!$C$5:$C$549,0))&amp;" "&amp;INDEX(Clientes!$F$5:$F$549,MATCH(G276,Clientes!$C$5:$C$549,0)))),"NO EXISTE en Clientes"))</f>
        <v/>
      </c>
      <c r="I276" s="17" t="inlineStr">
        <is>
          <t>DISPONIBLE</t>
        </is>
      </c>
      <c r="J276" s="17" t="inlineStr">
        <is>
          <t>ALMACEN PRINCIPAL</t>
        </is>
      </c>
      <c r="K276" s="23" t="n"/>
      <c r="L276" s="25">
        <f t="array" ref="L276">IF(K276="","",IFERROR(IF(INDEX(Clientes!$D$5:$D$549,MATCH(K276,Clientes!$C$5:$C$549,0))&lt;&gt;"",INDEX(Clientes!$D$5:$D$549,MATCH(K276,Clientes!$C$5:$C$549,0)),TRIM(INDEX(Clientes!$E$5:$E$549,MATCH(K276,Clientes!$C$5:$C$549,0))&amp;" "&amp;INDEX(Clientes!$F$5:$F$549,MATCH(K276,Clientes!$C$5:$C$549,0)))),"NO EXISTE en Clientes"))</f>
        <v/>
      </c>
      <c r="M276" s="17" t="n"/>
      <c r="N276" s="17" t="n"/>
      <c r="O276" s="42" t="n"/>
      <c r="P276" s="39">
        <f>IF(O276&lt;&gt;"",DATE(YEAR(O276)+5,MONTH(O276),1),IF(AND(M276&lt;&gt;"",N276&lt;&gt;""),DATE(M276+5,N276,1),""))</f>
        <v/>
      </c>
      <c r="Q276" s="23" t="n"/>
      <c r="R276" s="17" t="n"/>
      <c r="S276" s="17" t="n"/>
      <c r="T276" s="17" t="n"/>
      <c r="U276" s="17" t="n"/>
      <c r="V276" s="23" t="n"/>
      <c r="W276" s="17" t="n"/>
      <c r="X276" s="17" t="n"/>
      <c r="Y276" s="28">
        <f>IF(B276&lt;&gt;"OK","","SELECT bal_crear_balon(p_codigo_balon =&gt; "&amp;IF(TRIM(C276&amp;"")="","NULL","'"&amp;SUBSTITUTE(TRIM(C276),"'","''")&amp;"'")&amp;", p_id_tipo_balon =&gt; "&amp;"(SELECT id FROM bal_tipo_balon WHERE upper(nombre) = upper('"&amp;SUBSTITUTE(TRIM(D276),"'","''")&amp;"') AND estado = 1 LIMIT 1)"&amp;", p_id_producto_gas =&gt; "&amp;"(SELECT id FROM pro_producto WHERE es_gas = TRUE AND upper(nombre) = upper('"&amp;SUBSTITUTE(TRIM(E276),"'","''")&amp;"') AND estado = 1 LIMIT 1)"&amp;", p_id_propietario =&gt; "&amp;IF(TRIM(F276&amp;"")="","NULL","(SELECT lo.id FROM gen_lista_opciones lo JOIN gen_lista l ON l.id = lo.id_lista WHERE l.nombre = 'PropietarioBalon' AND upper(lo.nombre) = upper('"&amp;SUBSTITUTE(TRIM(F276),"'","''")&amp;"') AND lo.estado = 1 LIMIT 1)")&amp;", p_id_cliente_propietario =&gt; "&amp;IF(F276="CLIENTE",IF(TRIM(G276&amp;"")="","NULL","(SELECT id FROM cli_clientes WHERE numero_documento = '"&amp;SUBSTITUTE(TRIM(G276),"'","''")&amp;"' AND estado = 1 LIMIT 1)"),"NULL")&amp;", p_id_planta =&gt; "&amp;IF(F276="PLANTA",IF(TRIM(G276&amp;"")="","NULL","(SELECT id FROM cli_clientes WHERE numero_documento = '"&amp;SUBSTITUTE(TRIM(G276),"'","''")&amp;"'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"&amp;IF(TRIM(J276&amp;"")="","NULL","(SELECT id FROM gen_almacen WHERE upper(nombre) = upper('"&amp;SUBSTITUTE(TRIM(J276),"'","''")&amp;"') AND estado = 1 LIMIT 1)")&amp;", p_id_cliente_ubicacion =&gt; "&amp;IF(TRIM(K276&amp;"")="","NULL","(SELECT id FROM cli_clientes WHERE numero_documento = '"&amp;SUBSTITUTE(TRIM(K276),"'","''")&amp;"' AND estado = 1 LIMIT 1)")&amp;", p_id_referencia =&gt; "&amp;IF(TRIM(J276&amp;"")&lt;&gt;"","(SELECT lo.id FROM gen_lista_opciones lo JOIN gen_lista l ON l.id = lo.id_lista WHERE l.nombre = 'ReferenciaCilindro' AND upper(lo.nombre) = 'ALMACEN' AND lo.estado = 1 LIMIT 1)",IF(TRIM(K276&amp;"")&lt;&gt;"","(SELECT lo.id FROM gen_lista_opciones lo JOIN gen_lista l ON l.id = lo.id_lista WHERE l.nombre = 'ReferenciaCilindro' AND upper(lo.nombre) = 'CLIENTE' AND lo.estado = 1 LIMIT 1)","NULL"))&amp;", p_anio_fabricacion =&gt; "&amp;IF(M276&amp;""="","NULL::smallint",M276&amp;"::smallint")&amp;", p_mes_fabricacion =&gt; "&amp;IF(N276&amp;""="","NULL::smallint",N276&amp;"::smallint")&amp;", p_fecha_ultima_prueba_hidrostatica =&gt; "&amp;IF(O276&amp;""="","NULL","'"&amp;YEAR(O276)&amp;"-"&amp;TEXT(MONTH(O276),"00")&amp;"-"&amp;TEXT(DAY(O276),"00")&amp;"'")&amp;", p_numero_serie =&gt; "&amp;IF(TRIM(Q276&amp;"")="","NULL","'"&amp;SUBSTITUTE(TRIM(Q276),"'","''")&amp;"'")&amp;", p_id_marca_cilindro =&gt; "&amp;IF(TRIM(R276&amp;"")="","NULL","(SELECT lo.id FROM gen_lista_opciones lo JOIN gen_lista l ON l.id = lo.id_lista WHERE l.nombre = 'MarcaCilindro' AND upper(lo.nombre) = upper('"&amp;SUBSTITUTE(TRIM(R276),"'","''")&amp;"') AND lo.estado = 1 LIMIT 1)")&amp;", p_id_organo_inspector =&gt; "&amp;IF(TRIM(S276&amp;"")="","NULL","(SELECT lo.id FROM gen_lista_opciones lo JOIN gen_lista l ON l.id = lo.id_lista WHERE l.nombre = 'OrganoInspectorCilindro' AND upper(lo.nombre) = upper('"&amp;SUBSTITUTE(TRIM(S276),"'","''")&amp;"') AND lo.estado = 1 LIMIT 1)")&amp;", p_organo_inspector_no_aplica =&gt; "&amp;IF(S276="NO_APLICA","TRUE","FALSE")&amp;", p_presion_actual =&gt; "&amp;IF(T276&amp;""="","NULL",SUBSTITUTE(T276&amp;"",",","."))&amp;", p_tipo_valvula =&gt; "&amp;IF(TRIM(U276&amp;"")="","NULL","'"&amp;SUBSTITUTE(TRIM(U276),"'","''")&amp;"'")&amp;", p_libro_cilindro =&gt; "&amp;IF(TRIM(V276&amp;"")="","NULL","'"&amp;SUBSTITUTE(TRIM(V276),"'","''")&amp;"'")&amp;", p_pagina_libro =&gt; "&amp;IF(W276&amp;""="","NULL",SUBSTITUTE(W276&amp;"",",","."))&amp;", p_observacion =&gt; "&amp;IF(TRIM(X276&amp;"")="","NULL","'"&amp;SUBSTITUTE(TRIM(X276),"'","''")&amp;"'")&amp;") AS resultado_balon_"&amp;ROW()&amp;";")</f>
        <v/>
      </c>
    </row>
    <row r="277" ht="15.75" customHeight="1" s="64">
      <c r="A277" s="36" t="inlineStr">
        <is>
          <t>273</t>
        </is>
      </c>
      <c r="B277" s="25">
        <f>IF(AND(C277="",D277="",E277=""),"",IF(C277="","FALTA código balón",IF(D277="","FALTA tipo balón",IF(E277="","FALTA gas",IF(F277="","FALTA propietario",IF(AND(C277&lt;&gt;"",SUMPRODUCT(--($C$5:$C$1200=C277))&gt;1),"CÓDIGO BALÓN DUPLICADO",IF(AND(OR(UPPER(F277)="PLANTA",UPPER(F277)="CLIENTE"),G277=""),"FALTA doc propietario/planta",IF(AND(UPPER(F277)="PLANTA",G277="10175332796"),"PLANTA no puede ser RUC empresa","OK"))))))))</f>
        <v/>
      </c>
      <c r="C277" s="54" t="inlineStr">
        <is>
          <t>K4853185</t>
        </is>
      </c>
      <c r="D277" s="17" t="inlineStr">
        <is>
          <t>Stargold Estandar de 10 m3</t>
        </is>
      </c>
      <c r="E277" s="17" t="inlineStr">
        <is>
          <t>STARGOLD ESTANDAR</t>
        </is>
      </c>
      <c r="F277" s="17" t="inlineStr">
        <is>
          <t>EMPRESA</t>
        </is>
      </c>
      <c r="G277" s="23" t="inlineStr">
        <is>
          <t>10175332796</t>
        </is>
      </c>
      <c r="H277" s="25">
        <f t="array" ref="H277">IF(G277="","",IFERROR(IF(INDEX(Clientes!$D$5:$D$549,MATCH(G277,Clientes!$C$5:$C$549,0))&lt;&gt;"",INDEX(Clientes!$D$5:$D$549,MATCH(G277,Clientes!$C$5:$C$549,0)),TRIM(INDEX(Clientes!$E$5:$E$549,MATCH(G277,Clientes!$C$5:$C$549,0))&amp;" "&amp;INDEX(Clientes!$F$5:$F$549,MATCH(G277,Clientes!$C$5:$C$549,0)))),"NO EXISTE en Clientes"))</f>
        <v/>
      </c>
      <c r="I277" s="17" t="inlineStr">
        <is>
          <t>EN_PODER_CLIENTE</t>
        </is>
      </c>
      <c r="J277" s="17" t="n"/>
      <c r="K277" s="23" t="inlineStr">
        <is>
          <t>42080968</t>
        </is>
      </c>
      <c r="L277" s="25">
        <f t="array" ref="L277">IF(K277="","",IFERROR(IF(INDEX(Clientes!$D$5:$D$549,MATCH(K277,Clientes!$C$5:$C$549,0))&lt;&gt;"",INDEX(Clientes!$D$5:$D$549,MATCH(K277,Clientes!$C$5:$C$549,0)),TRIM(INDEX(Clientes!$E$5:$E$549,MATCH(K277,Clientes!$C$5:$C$549,0))&amp;" "&amp;INDEX(Clientes!$F$5:$F$549,MATCH(K277,Clientes!$C$5:$C$549,0)))),"NO EXISTE en Clientes"))</f>
        <v/>
      </c>
      <c r="M277" s="17" t="n"/>
      <c r="N277" s="17" t="n"/>
      <c r="O277" s="42" t="n"/>
      <c r="P277" s="39">
        <f>IF(O277&lt;&gt;"",DATE(YEAR(O277)+5,MONTH(O277),1),IF(AND(M277&lt;&gt;"",N277&lt;&gt;""),DATE(M277+5,N277,1),""))</f>
        <v/>
      </c>
      <c r="Q277" s="23" t="n"/>
      <c r="R277" s="17" t="n"/>
      <c r="S277" s="17" t="n"/>
      <c r="T277" s="17" t="n"/>
      <c r="U277" s="17" t="n"/>
      <c r="V277" s="23" t="n"/>
      <c r="W277" s="17" t="n"/>
      <c r="X277" s="17" t="n"/>
      <c r="Y277" s="28">
        <f>IF(B277&lt;&gt;"OK","","SELECT bal_crear_balon(p_codigo_balon =&gt; "&amp;IF(TRIM(C277&amp;"")="","NULL","'"&amp;SUBSTITUTE(TRIM(C277),"'","''")&amp;"'")&amp;", p_id_tipo_balon =&gt; "&amp;"(SELECT id FROM bal_tipo_balon WHERE upper(nombre) = upper('"&amp;SUBSTITUTE(TRIM(D277),"'","''")&amp;"') AND estado = 1 LIMIT 1)"&amp;", p_id_producto_gas =&gt; "&amp;"(SELECT id FROM pro_producto WHERE es_gas = TRUE AND upper(nombre) = upper('"&amp;SUBSTITUTE(TRIM(E277),"'","''")&amp;"') AND estado = 1 LIMIT 1)"&amp;", p_id_propietario =&gt; "&amp;IF(TRIM(F277&amp;"")="","NULL","(SELECT lo.id FROM gen_lista_opciones lo JOIN gen_lista l ON l.id = lo.id_lista WHERE l.nombre = 'PropietarioBalon' AND upper(lo.nombre) = upper('"&amp;SUBSTITUTE(TRIM(F277),"'","''")&amp;"') AND lo.estado = 1 LIMIT 1)")&amp;", p_id_cliente_propietario =&gt; "&amp;IF(F277="CLIENTE",IF(TRIM(G277&amp;"")="","NULL","(SELECT id FROM cli_clientes WHERE numero_documento = '"&amp;SUBSTITUTE(TRIM(G277),"'","''")&amp;"' AND estado = 1 LIMIT 1)"),"NULL")&amp;", p_id_planta =&gt; "&amp;IF(F277="PLANTA",IF(TRIM(G277&amp;"")="","NULL","(SELECT id FROM cli_clientes WHERE numero_documento = '"&amp;SUBSTITUTE(TRIM(G277),"'","''")&amp;"'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"&amp;IF(TRIM(J277&amp;"")="","NULL","(SELECT id FROM gen_almacen WHERE upper(nombre) = upper('"&amp;SUBSTITUTE(TRIM(J277),"'","''")&amp;"') AND estado = 1 LIMIT 1)")&amp;", p_id_cliente_ubicacion =&gt; "&amp;IF(TRIM(K277&amp;"")="","NULL","(SELECT id FROM cli_clientes WHERE numero_documento = '"&amp;SUBSTITUTE(TRIM(K277),"'","''")&amp;"' AND estado = 1 LIMIT 1)")&amp;", p_id_referencia =&gt; "&amp;IF(TRIM(J277&amp;"")&lt;&gt;"","(SELECT lo.id FROM gen_lista_opciones lo JOIN gen_lista l ON l.id = lo.id_lista WHERE l.nombre = 'ReferenciaCilindro' AND upper(lo.nombre) = 'ALMACEN' AND lo.estado = 1 LIMIT 1)",IF(TRIM(K277&amp;"")&lt;&gt;"","(SELECT lo.id FROM gen_lista_opciones lo JOIN gen_lista l ON l.id = lo.id_lista WHERE l.nombre = 'ReferenciaCilindro' AND upper(lo.nombre) = 'CLIENTE' AND lo.estado = 1 LIMIT 1)","NULL"))&amp;", p_anio_fabricacion =&gt; "&amp;IF(M277&amp;""="","NULL::smallint",M277&amp;"::smallint")&amp;", p_mes_fabricacion =&gt; "&amp;IF(N277&amp;""="","NULL::smallint",N277&amp;"::smallint")&amp;", p_fecha_ultima_prueba_hidrostatica =&gt; "&amp;IF(O277&amp;""="","NULL","'"&amp;YEAR(O277)&amp;"-"&amp;TEXT(MONTH(O277),"00")&amp;"-"&amp;TEXT(DAY(O277),"00")&amp;"'")&amp;", p_numero_serie =&gt; "&amp;IF(TRIM(Q277&amp;"")="","NULL","'"&amp;SUBSTITUTE(TRIM(Q277),"'","''")&amp;"'")&amp;", p_id_marca_cilindro =&gt; "&amp;IF(TRIM(R277&amp;"")="","NULL","(SELECT lo.id FROM gen_lista_opciones lo JOIN gen_lista l ON l.id = lo.id_lista WHERE l.nombre = 'MarcaCilindro' AND upper(lo.nombre) = upper('"&amp;SUBSTITUTE(TRIM(R277),"'","''")&amp;"') AND lo.estado = 1 LIMIT 1)")&amp;", p_id_organo_inspector =&gt; "&amp;IF(TRIM(S277&amp;"")="","NULL","(SELECT lo.id FROM gen_lista_opciones lo JOIN gen_lista l ON l.id = lo.id_lista WHERE l.nombre = 'OrganoInspectorCilindro' AND upper(lo.nombre) = upper('"&amp;SUBSTITUTE(TRIM(S277),"'","''")&amp;"') AND lo.estado = 1 LIMIT 1)")&amp;", p_organo_inspector_no_aplica =&gt; "&amp;IF(S277="NO_APLICA","TRUE","FALSE")&amp;", p_presion_actual =&gt; "&amp;IF(T277&amp;""="","NULL",SUBSTITUTE(T277&amp;"",",","."))&amp;", p_tipo_valvula =&gt; "&amp;IF(TRIM(U277&amp;"")="","NULL","'"&amp;SUBSTITUTE(TRIM(U277),"'","''")&amp;"'")&amp;", p_libro_cilindro =&gt; "&amp;IF(TRIM(V277&amp;"")="","NULL","'"&amp;SUBSTITUTE(TRIM(V277),"'","''")&amp;"'")&amp;", p_pagina_libro =&gt; "&amp;IF(W277&amp;""="","NULL",SUBSTITUTE(W277&amp;"",",","."))&amp;", p_observacion =&gt; "&amp;IF(TRIM(X277&amp;"")="","NULL","'"&amp;SUBSTITUTE(TRIM(X277),"'","''")&amp;"'")&amp;") AS resultado_balon_"&amp;ROW()&amp;";")</f>
        <v/>
      </c>
    </row>
    <row r="278" ht="15.75" customHeight="1" s="64">
      <c r="A278" s="36" t="inlineStr">
        <is>
          <t>274</t>
        </is>
      </c>
      <c r="B278" s="25">
        <f>IF(AND(C278="",D278="",E278=""),"",IF(C278="","FALTA código balón",IF(D278="","FALTA tipo balón",IF(E278="","FALTA gas",IF(F278="","FALTA propietario",IF(AND(C278&lt;&gt;"",SUMPRODUCT(--($C$5:$C$1200=C278))&gt;1),"CÓDIGO BALÓN DUPLICADO",IF(AND(OR(UPPER(F278)="PLANTA",UPPER(F278)="CLIENTE"),G278=""),"FALTA doc propietario/planta",IF(AND(UPPER(F278)="PLANTA",G278="10175332796"),"PLANTA no puede ser RUC empresa","OK"))))))))</f>
        <v/>
      </c>
      <c r="C278" s="54" t="inlineStr">
        <is>
          <t>GTA217086</t>
        </is>
      </c>
      <c r="D278" s="17" t="inlineStr">
        <is>
          <t>Stargold Estandar de 7 m3</t>
        </is>
      </c>
      <c r="E278" s="17" t="inlineStr">
        <is>
          <t>STARGOLD ESTANDAR</t>
        </is>
      </c>
      <c r="F278" s="17" t="inlineStr">
        <is>
          <t>EMPRESA</t>
        </is>
      </c>
      <c r="G278" s="23" t="inlineStr">
        <is>
          <t>10175332796</t>
        </is>
      </c>
      <c r="H278" s="25">
        <f t="array" ref="H278">IF(G278="","",IFERROR(IF(INDEX(Clientes!$D$5:$D$549,MATCH(G278,Clientes!$C$5:$C$549,0))&lt;&gt;"",INDEX(Clientes!$D$5:$D$549,MATCH(G278,Clientes!$C$5:$C$549,0)),TRIM(INDEX(Clientes!$E$5:$E$549,MATCH(G278,Clientes!$C$5:$C$549,0))&amp;" "&amp;INDEX(Clientes!$F$5:$F$549,MATCH(G278,Clientes!$C$5:$C$549,0)))),"NO EXISTE en Clientes"))</f>
        <v/>
      </c>
      <c r="I278" s="17" t="inlineStr">
        <is>
          <t>DISPONIBLE</t>
        </is>
      </c>
      <c r="J278" s="17" t="inlineStr">
        <is>
          <t>ALMACEN PRINCIPAL</t>
        </is>
      </c>
      <c r="K278" s="23" t="n"/>
      <c r="L278" s="25">
        <f t="array" ref="L278">IF(K278="","",IFERROR(IF(INDEX(Clientes!$D$5:$D$549,MATCH(K278,Clientes!$C$5:$C$549,0))&lt;&gt;"",INDEX(Clientes!$D$5:$D$549,MATCH(K278,Clientes!$C$5:$C$549,0)),TRIM(INDEX(Clientes!$E$5:$E$549,MATCH(K278,Clientes!$C$5:$C$549,0))&amp;" "&amp;INDEX(Clientes!$F$5:$F$549,MATCH(K278,Clientes!$C$5:$C$549,0)))),"NO EXISTE en Clientes"))</f>
        <v/>
      </c>
      <c r="M278" s="17" t="n"/>
      <c r="N278" s="17" t="n"/>
      <c r="O278" s="42" t="n"/>
      <c r="P278" s="39">
        <f>IF(O278&lt;&gt;"",DATE(YEAR(O278)+5,MONTH(O278),1),IF(AND(M278&lt;&gt;"",N278&lt;&gt;""),DATE(M278+5,N278,1),""))</f>
        <v/>
      </c>
      <c r="Q278" s="23" t="n"/>
      <c r="R278" s="17" t="n"/>
      <c r="S278" s="17" t="n"/>
      <c r="T278" s="17" t="n"/>
      <c r="U278" s="17" t="n"/>
      <c r="V278" s="23" t="n"/>
      <c r="W278" s="17" t="n"/>
      <c r="X278" s="17" t="n"/>
      <c r="Y278" s="28">
        <f>IF(B278&lt;&gt;"OK","","SELECT bal_crear_balon(p_codigo_balon =&gt; "&amp;IF(TRIM(C278&amp;"")="","NULL","'"&amp;SUBSTITUTE(TRIM(C278),"'","''")&amp;"'")&amp;", p_id_tipo_balon =&gt; "&amp;"(SELECT id FROM bal_tipo_balon WHERE upper(nombre) = upper('"&amp;SUBSTITUTE(TRIM(D278),"'","''")&amp;"') AND estado = 1 LIMIT 1)"&amp;", p_id_producto_gas =&gt; "&amp;"(SELECT id FROM pro_producto WHERE es_gas = TRUE AND upper(nombre) = upper('"&amp;SUBSTITUTE(TRIM(E278),"'","''")&amp;"') AND estado = 1 LIMIT 1)"&amp;", p_id_propietario =&gt; "&amp;IF(TRIM(F278&amp;"")="","NULL","(SELECT lo.id FROM gen_lista_opciones lo JOIN gen_lista l ON l.id = lo.id_lista WHERE l.nombre = 'PropietarioBalon' AND upper(lo.nombre) = upper('"&amp;SUBSTITUTE(TRIM(F278),"'","''")&amp;"') AND lo.estado = 1 LIMIT 1)")&amp;", p_id_cliente_propietario =&gt; "&amp;IF(F278="CLIENTE",IF(TRIM(G278&amp;"")="","NULL","(SELECT id FROM cli_clientes WHERE numero_documento = '"&amp;SUBSTITUTE(TRIM(G278),"'","''")&amp;"' AND estado = 1 LIMIT 1)"),"NULL")&amp;", p_id_planta =&gt; "&amp;IF(F278="PLANTA",IF(TRIM(G278&amp;"")="","NULL","(SELECT id FROM cli_clientes WHERE numero_documento = '"&amp;SUBSTITUTE(TRIM(G278),"'","''")&amp;"'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"&amp;IF(TRIM(J278&amp;"")="","NULL","(SELECT id FROM gen_almacen WHERE upper(nombre) = upper('"&amp;SUBSTITUTE(TRIM(J278),"'","''")&amp;"') AND estado = 1 LIMIT 1)")&amp;", p_id_cliente_ubicacion =&gt; "&amp;IF(TRIM(K278&amp;"")="","NULL","(SELECT id FROM cli_clientes WHERE numero_documento = '"&amp;SUBSTITUTE(TRIM(K278),"'","''")&amp;"' AND estado = 1 LIMIT 1)")&amp;", p_id_referencia =&gt; "&amp;IF(TRIM(J278&amp;"")&lt;&gt;"","(SELECT lo.id FROM gen_lista_opciones lo JOIN gen_lista l ON l.id = lo.id_lista WHERE l.nombre = 'ReferenciaCilindro' AND upper(lo.nombre) = 'ALMACEN' AND lo.estado = 1 LIMIT 1)",IF(TRIM(K278&amp;"")&lt;&gt;"","(SELECT lo.id FROM gen_lista_opciones lo JOIN gen_lista l ON l.id = lo.id_lista WHERE l.nombre = 'ReferenciaCilindro' AND upper(lo.nombre) = 'CLIENTE' AND lo.estado = 1 LIMIT 1)","NULL"))&amp;", p_anio_fabricacion =&gt; "&amp;IF(M278&amp;""="","NULL::smallint",M278&amp;"::smallint")&amp;", p_mes_fabricacion =&gt; "&amp;IF(N278&amp;""="","NULL::smallint",N278&amp;"::smallint")&amp;", p_fecha_ultima_prueba_hidrostatica =&gt; "&amp;IF(O278&amp;""="","NULL","'"&amp;YEAR(O278)&amp;"-"&amp;TEXT(MONTH(O278),"00")&amp;"-"&amp;TEXT(DAY(O278),"00")&amp;"'")&amp;", p_numero_serie =&gt; "&amp;IF(TRIM(Q278&amp;"")="","NULL","'"&amp;SUBSTITUTE(TRIM(Q278),"'","''")&amp;"'")&amp;", p_id_marca_cilindro =&gt; "&amp;IF(TRIM(R278&amp;"")="","NULL","(SELECT lo.id FROM gen_lista_opciones lo JOIN gen_lista l ON l.id = lo.id_lista WHERE l.nombre = 'MarcaCilindro' AND upper(lo.nombre) = upper('"&amp;SUBSTITUTE(TRIM(R278),"'","''")&amp;"') AND lo.estado = 1 LIMIT 1)")&amp;", p_id_organo_inspector =&gt; "&amp;IF(TRIM(S278&amp;"")="","NULL","(SELECT lo.id FROM gen_lista_opciones lo JOIN gen_lista l ON l.id = lo.id_lista WHERE l.nombre = 'OrganoInspectorCilindro' AND upper(lo.nombre) = upper('"&amp;SUBSTITUTE(TRIM(S278),"'","''")&amp;"') AND lo.estado = 1 LIMIT 1)")&amp;", p_organo_inspector_no_aplica =&gt; "&amp;IF(S278="NO_APLICA","TRUE","FALSE")&amp;", p_presion_actual =&gt; "&amp;IF(T278&amp;""="","NULL",SUBSTITUTE(T278&amp;"",",","."))&amp;", p_tipo_valvula =&gt; "&amp;IF(TRIM(U278&amp;"")="","NULL","'"&amp;SUBSTITUTE(TRIM(U278),"'","''")&amp;"'")&amp;", p_libro_cilindro =&gt; "&amp;IF(TRIM(V278&amp;"")="","NULL","'"&amp;SUBSTITUTE(TRIM(V278),"'","''")&amp;"'")&amp;", p_pagina_libro =&gt; "&amp;IF(W278&amp;""="","NULL",SUBSTITUTE(W278&amp;"",",","."))&amp;", p_observacion =&gt; "&amp;IF(TRIM(X278&amp;"")="","NULL","'"&amp;SUBSTITUTE(TRIM(X278),"'","''")&amp;"'")&amp;") AS resultado_balon_"&amp;ROW()&amp;";")</f>
        <v/>
      </c>
    </row>
    <row r="279" ht="15.75" customHeight="1" s="64">
      <c r="A279" s="36" t="inlineStr">
        <is>
          <t>275</t>
        </is>
      </c>
      <c r="B279" s="25">
        <f>IF(AND(C279="",D279="",E279=""),"",IF(C279="","FALTA código balón",IF(D279="","FALTA tipo balón",IF(E279="","FALTA gas",IF(F279="","FALTA propietario",IF(AND(C279&lt;&gt;"",SUMPRODUCT(--($C$5:$C$1200=C279))&gt;1),"CÓDIGO BALÓN DUPLICADO",IF(AND(OR(UPPER(F279)="PLANTA",UPPER(F279)="CLIENTE"),G279=""),"FALTA doc propietario/planta",IF(AND(UPPER(F279)="PLANTA",G279="10175332796"),"PLANTA no puede ser RUC empresa","OK"))))))))</f>
        <v/>
      </c>
      <c r="C279" s="54" t="inlineStr">
        <is>
          <t>K4616082</t>
        </is>
      </c>
      <c r="D279" s="17" t="inlineStr">
        <is>
          <t>Stargold Estandar de 10 m3</t>
        </is>
      </c>
      <c r="E279" s="17" t="inlineStr">
        <is>
          <t>STARGOLD ESTANDAR</t>
        </is>
      </c>
      <c r="F279" s="17" t="inlineStr">
        <is>
          <t>EMPRESA</t>
        </is>
      </c>
      <c r="G279" s="23" t="inlineStr">
        <is>
          <t>10175332796</t>
        </is>
      </c>
      <c r="H279" s="25">
        <f t="array" ref="H279">IF(G279="","",IFERROR(IF(INDEX(Clientes!$D$5:$D$549,MATCH(G279,Clientes!$C$5:$C$549,0))&lt;&gt;"",INDEX(Clientes!$D$5:$D$549,MATCH(G279,Clientes!$C$5:$C$549,0)),TRIM(INDEX(Clientes!$E$5:$E$549,MATCH(G279,Clientes!$C$5:$C$549,0))&amp;" "&amp;INDEX(Clientes!$F$5:$F$549,MATCH(G279,Clientes!$C$5:$C$549,0)))),"NO EXISTE en Clientes"))</f>
        <v/>
      </c>
      <c r="I279" s="17" t="inlineStr">
        <is>
          <t>DISPONIBLE</t>
        </is>
      </c>
      <c r="J279" s="17" t="inlineStr">
        <is>
          <t>ALMACEN PRINCIPAL</t>
        </is>
      </c>
      <c r="K279" s="23" t="n"/>
      <c r="L279" s="25">
        <f t="array" ref="L279">IF(K279="","",IFERROR(IF(INDEX(Clientes!$D$5:$D$549,MATCH(K279,Clientes!$C$5:$C$549,0))&lt;&gt;"",INDEX(Clientes!$D$5:$D$549,MATCH(K279,Clientes!$C$5:$C$549,0)),TRIM(INDEX(Clientes!$E$5:$E$549,MATCH(K279,Clientes!$C$5:$C$549,0))&amp;" "&amp;INDEX(Clientes!$F$5:$F$549,MATCH(K279,Clientes!$C$5:$C$549,0)))),"NO EXISTE en Clientes"))</f>
        <v/>
      </c>
      <c r="M279" s="17" t="n"/>
      <c r="N279" s="17" t="n"/>
      <c r="O279" s="42" t="n"/>
      <c r="P279" s="39">
        <f>IF(O279&lt;&gt;"",DATE(YEAR(O279)+5,MONTH(O279),1),IF(AND(M279&lt;&gt;"",N279&lt;&gt;""),DATE(M279+5,N279,1),""))</f>
        <v/>
      </c>
      <c r="Q279" s="23" t="n"/>
      <c r="R279" s="17" t="n"/>
      <c r="S279" s="17" t="n"/>
      <c r="T279" s="17" t="n"/>
      <c r="U279" s="17" t="n"/>
      <c r="V279" s="23" t="n"/>
      <c r="W279" s="17" t="n"/>
      <c r="X279" s="17" t="n"/>
      <c r="Y279" s="28">
        <f>IF(B279&lt;&gt;"OK","","SELECT bal_crear_balon(p_codigo_balon =&gt; "&amp;IF(TRIM(C279&amp;"")="","NULL","'"&amp;SUBSTITUTE(TRIM(C279),"'","''")&amp;"'")&amp;", p_id_tipo_balon =&gt; "&amp;"(SELECT id FROM bal_tipo_balon WHERE upper(nombre) = upper('"&amp;SUBSTITUTE(TRIM(D279),"'","''")&amp;"') AND estado = 1 LIMIT 1)"&amp;", p_id_producto_gas =&gt; "&amp;"(SELECT id FROM pro_producto WHERE es_gas = TRUE AND upper(nombre) = upper('"&amp;SUBSTITUTE(TRIM(E279),"'","''")&amp;"') AND estado = 1 LIMIT 1)"&amp;", p_id_propietario =&gt; "&amp;IF(TRIM(F279&amp;"")="","NULL","(SELECT lo.id FROM gen_lista_opciones lo JOIN gen_lista l ON l.id = lo.id_lista WHERE l.nombre = 'PropietarioBalon' AND upper(lo.nombre) = upper('"&amp;SUBSTITUTE(TRIM(F279),"'","''")&amp;"') AND lo.estado = 1 LIMIT 1)")&amp;", p_id_cliente_propietario =&gt; "&amp;IF(F279="CLIENTE",IF(TRIM(G279&amp;"")="","NULL","(SELECT id FROM cli_clientes WHERE numero_documento = '"&amp;SUBSTITUTE(TRIM(G279),"'","''")&amp;"' AND estado = 1 LIMIT 1)"),"NULL")&amp;", p_id_planta =&gt; "&amp;IF(F279="PLANTA",IF(TRIM(G279&amp;"")="","NULL","(SELECT id FROM cli_clientes WHERE numero_documento = '"&amp;SUBSTITUTE(TRIM(G279),"'","''")&amp;"'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"&amp;IF(TRIM(J279&amp;"")="","NULL","(SELECT id FROM gen_almacen WHERE upper(nombre) = upper('"&amp;SUBSTITUTE(TRIM(J279),"'","''")&amp;"') AND estado = 1 LIMIT 1)")&amp;", p_id_cliente_ubicacion =&gt; "&amp;IF(TRIM(K279&amp;"")="","NULL","(SELECT id FROM cli_clientes WHERE numero_documento = '"&amp;SUBSTITUTE(TRIM(K279),"'","''")&amp;"' AND estado = 1 LIMIT 1)")&amp;", p_id_referencia =&gt; "&amp;IF(TRIM(J279&amp;"")&lt;&gt;"","(SELECT lo.id FROM gen_lista_opciones lo JOIN gen_lista l ON l.id = lo.id_lista WHERE l.nombre = 'ReferenciaCilindro' AND upper(lo.nombre) = 'ALMACEN' AND lo.estado = 1 LIMIT 1)",IF(TRIM(K279&amp;"")&lt;&gt;"","(SELECT lo.id FROM gen_lista_opciones lo JOIN gen_lista l ON l.id = lo.id_lista WHERE l.nombre = 'ReferenciaCilindro' AND upper(lo.nombre) = 'CLIENTE' AND lo.estado = 1 LIMIT 1)","NULL"))&amp;", p_anio_fabricacion =&gt; "&amp;IF(M279&amp;""="","NULL::smallint",M279&amp;"::smallint")&amp;", p_mes_fabricacion =&gt; "&amp;IF(N279&amp;""="","NULL::smallint",N279&amp;"::smallint")&amp;", p_fecha_ultima_prueba_hidrostatica =&gt; "&amp;IF(O279&amp;""="","NULL","'"&amp;YEAR(O279)&amp;"-"&amp;TEXT(MONTH(O279),"00")&amp;"-"&amp;TEXT(DAY(O279),"00")&amp;"'")&amp;", p_numero_serie =&gt; "&amp;IF(TRIM(Q279&amp;"")="","NULL","'"&amp;SUBSTITUTE(TRIM(Q279),"'","''")&amp;"'")&amp;", p_id_marca_cilindro =&gt; "&amp;IF(TRIM(R279&amp;"")="","NULL","(SELECT lo.id FROM gen_lista_opciones lo JOIN gen_lista l ON l.id = lo.id_lista WHERE l.nombre = 'MarcaCilindro' AND upper(lo.nombre) = upper('"&amp;SUBSTITUTE(TRIM(R279),"'","''")&amp;"') AND lo.estado = 1 LIMIT 1)")&amp;", p_id_organo_inspector =&gt; "&amp;IF(TRIM(S279&amp;"")="","NULL","(SELECT lo.id FROM gen_lista_opciones lo JOIN gen_lista l ON l.id = lo.id_lista WHERE l.nombre = 'OrganoInspectorCilindro' AND upper(lo.nombre) = upper('"&amp;SUBSTITUTE(TRIM(S279),"'","''")&amp;"') AND lo.estado = 1 LIMIT 1)")&amp;", p_organo_inspector_no_aplica =&gt; "&amp;IF(S279="NO_APLICA","TRUE","FALSE")&amp;", p_presion_actual =&gt; "&amp;IF(T279&amp;""="","NULL",SUBSTITUTE(T279&amp;"",",","."))&amp;", p_tipo_valvula =&gt; "&amp;IF(TRIM(U279&amp;"")="","NULL","'"&amp;SUBSTITUTE(TRIM(U279),"'","''")&amp;"'")&amp;", p_libro_cilindro =&gt; "&amp;IF(TRIM(V279&amp;"")="","NULL","'"&amp;SUBSTITUTE(TRIM(V279),"'","''")&amp;"'")&amp;", p_pagina_libro =&gt; "&amp;IF(W279&amp;""="","NULL",SUBSTITUTE(W279&amp;"",",","."))&amp;", p_observacion =&gt; "&amp;IF(TRIM(X279&amp;"")="","NULL","'"&amp;SUBSTITUTE(TRIM(X279),"'","''")&amp;"'")&amp;") AS resultado_balon_"&amp;ROW()&amp;";")</f>
        <v/>
      </c>
    </row>
    <row r="280" ht="15.75" customHeight="1" s="64">
      <c r="A280" s="36" t="inlineStr">
        <is>
          <t>276</t>
        </is>
      </c>
      <c r="B280" s="25">
        <f>IF(AND(C280="",D280="",E280=""),"",IF(C280="","FALTA código balón",IF(D280="","FALTA tipo balón",IF(E280="","FALTA gas",IF(F280="","FALTA propietario",IF(AND(C280&lt;&gt;"",SUMPRODUCT(--($C$5:$C$1200=C280))&gt;1),"CÓDIGO BALÓN DUPLICADO",IF(AND(OR(UPPER(F280)="PLANTA",UPPER(F280)="CLIENTE"),G280=""),"FALTA doc propietario/planta",IF(AND(UPPER(F280)="PLANTA",G280="10175332796"),"PLANTA no puede ser RUC empresa","OK"))))))))</f>
        <v/>
      </c>
      <c r="C280" s="54" t="inlineStr">
        <is>
          <t>6187</t>
        </is>
      </c>
      <c r="D280" s="17" t="inlineStr">
        <is>
          <t>Stargold Estandar de 6 m3</t>
        </is>
      </c>
      <c r="E280" s="17" t="inlineStr">
        <is>
          <t>STARGOLD ESTANDAR</t>
        </is>
      </c>
      <c r="F280" s="17" t="inlineStr">
        <is>
          <t>EMPRESA</t>
        </is>
      </c>
      <c r="G280" s="23" t="inlineStr">
        <is>
          <t>10175332796</t>
        </is>
      </c>
      <c r="H280" s="25">
        <f t="array" ref="H280">IF(G280="","",IFERROR(IF(INDEX(Clientes!$D$5:$D$549,MATCH(G280,Clientes!$C$5:$C$549,0))&lt;&gt;"",INDEX(Clientes!$D$5:$D$549,MATCH(G280,Clientes!$C$5:$C$549,0)),TRIM(INDEX(Clientes!$E$5:$E$549,MATCH(G280,Clientes!$C$5:$C$549,0))&amp;" "&amp;INDEX(Clientes!$F$5:$F$549,MATCH(G280,Clientes!$C$5:$C$549,0)))),"NO EXISTE en Clientes"))</f>
        <v/>
      </c>
      <c r="I280" s="17" t="inlineStr">
        <is>
          <t>DISPONIBLE</t>
        </is>
      </c>
      <c r="J280" s="17" t="inlineStr">
        <is>
          <t>ALMACEN PRINCIPAL</t>
        </is>
      </c>
      <c r="K280" s="23" t="n"/>
      <c r="L280" s="25">
        <f t="array" ref="L280">IF(K280="","",IFERROR(IF(INDEX(Clientes!$D$5:$D$549,MATCH(K280,Clientes!$C$5:$C$549,0))&lt;&gt;"",INDEX(Clientes!$D$5:$D$549,MATCH(K280,Clientes!$C$5:$C$549,0)),TRIM(INDEX(Clientes!$E$5:$E$549,MATCH(K280,Clientes!$C$5:$C$549,0))&amp;" "&amp;INDEX(Clientes!$F$5:$F$549,MATCH(K280,Clientes!$C$5:$C$549,0)))),"NO EXISTE en Clientes"))</f>
        <v/>
      </c>
      <c r="M280" s="17" t="n"/>
      <c r="N280" s="17" t="n"/>
      <c r="O280" s="42" t="n"/>
      <c r="P280" s="39">
        <f>IF(O280&lt;&gt;"",DATE(YEAR(O280)+5,MONTH(O280),1),IF(AND(M280&lt;&gt;"",N280&lt;&gt;""),DATE(M280+5,N280,1),""))</f>
        <v/>
      </c>
      <c r="Q280" s="23" t="n"/>
      <c r="R280" s="17" t="n"/>
      <c r="S280" s="17" t="n"/>
      <c r="T280" s="17" t="n"/>
      <c r="U280" s="17" t="n"/>
      <c r="V280" s="23" t="n"/>
      <c r="W280" s="17" t="n"/>
      <c r="X280" s="17" t="n"/>
      <c r="Y280" s="28">
        <f>IF(B280&lt;&gt;"OK","","SELECT bal_crear_balon(p_codigo_balon =&gt; "&amp;IF(TRIM(C280&amp;"")="","NULL","'"&amp;SUBSTITUTE(TRIM(C280),"'","''")&amp;"'")&amp;", p_id_tipo_balon =&gt; "&amp;"(SELECT id FROM bal_tipo_balon WHERE upper(nombre) = upper('"&amp;SUBSTITUTE(TRIM(D280),"'","''")&amp;"') AND estado = 1 LIMIT 1)"&amp;", p_id_producto_gas =&gt; "&amp;"(SELECT id FROM pro_producto WHERE es_gas = TRUE AND upper(nombre) = upper('"&amp;SUBSTITUTE(TRIM(E280),"'","''")&amp;"') AND estado = 1 LIMIT 1)"&amp;", p_id_propietario =&gt; "&amp;IF(TRIM(F280&amp;"")="","NULL","(SELECT lo.id FROM gen_lista_opciones lo JOIN gen_lista l ON l.id = lo.id_lista WHERE l.nombre = 'PropietarioBalon' AND upper(lo.nombre) = upper('"&amp;SUBSTITUTE(TRIM(F280),"'","''")&amp;"') AND lo.estado = 1 LIMIT 1)")&amp;", p_id_cliente_propietario =&gt; "&amp;IF(F280="CLIENTE",IF(TRIM(G280&amp;"")="","NULL","(SELECT id FROM cli_clientes WHERE numero_documento = '"&amp;SUBSTITUTE(TRIM(G280),"'","''")&amp;"' AND estado = 1 LIMIT 1)"),"NULL")&amp;", p_id_planta =&gt; "&amp;IF(F280="PLANTA",IF(TRIM(G280&amp;"")="","NULL","(SELECT id FROM cli_clientes WHERE numero_documento = '"&amp;SUBSTITUTE(TRIM(G280),"'","''")&amp;"'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"&amp;IF(TRIM(J280&amp;"")="","NULL","(SELECT id FROM gen_almacen WHERE upper(nombre) = upper('"&amp;SUBSTITUTE(TRIM(J280),"'","''")&amp;"') AND estado = 1 LIMIT 1)")&amp;", p_id_cliente_ubicacion =&gt; "&amp;IF(TRIM(K280&amp;"")="","NULL","(SELECT id FROM cli_clientes WHERE numero_documento = '"&amp;SUBSTITUTE(TRIM(K280),"'","''")&amp;"' AND estado = 1 LIMIT 1)")&amp;", p_id_referencia =&gt; "&amp;IF(TRIM(J280&amp;"")&lt;&gt;"","(SELECT lo.id FROM gen_lista_opciones lo JOIN gen_lista l ON l.id = lo.id_lista WHERE l.nombre = 'ReferenciaCilindro' AND upper(lo.nombre) = 'ALMACEN' AND lo.estado = 1 LIMIT 1)",IF(TRIM(K280&amp;"")&lt;&gt;"","(SELECT lo.id FROM gen_lista_opciones lo JOIN gen_lista l ON l.id = lo.id_lista WHERE l.nombre = 'ReferenciaCilindro' AND upper(lo.nombre) = 'CLIENTE' AND lo.estado = 1 LIMIT 1)","NULL"))&amp;", p_anio_fabricacion =&gt; "&amp;IF(M280&amp;""="","NULL::smallint",M280&amp;"::smallint")&amp;", p_mes_fabricacion =&gt; "&amp;IF(N280&amp;""="","NULL::smallint",N280&amp;"::smallint")&amp;", p_fecha_ultima_prueba_hidrostatica =&gt; "&amp;IF(O280&amp;""="","NULL","'"&amp;YEAR(O280)&amp;"-"&amp;TEXT(MONTH(O280),"00")&amp;"-"&amp;TEXT(DAY(O280),"00")&amp;"'")&amp;", p_numero_serie =&gt; "&amp;IF(TRIM(Q280&amp;"")="","NULL","'"&amp;SUBSTITUTE(TRIM(Q280),"'","''")&amp;"'")&amp;", p_id_marca_cilindro =&gt; "&amp;IF(TRIM(R280&amp;"")="","NULL","(SELECT lo.id FROM gen_lista_opciones lo JOIN gen_lista l ON l.id = lo.id_lista WHERE l.nombre = 'MarcaCilindro' AND upper(lo.nombre) = upper('"&amp;SUBSTITUTE(TRIM(R280),"'","''")&amp;"') AND lo.estado = 1 LIMIT 1)")&amp;", p_id_organo_inspector =&gt; "&amp;IF(TRIM(S280&amp;"")="","NULL","(SELECT lo.id FROM gen_lista_opciones lo JOIN gen_lista l ON l.id = lo.id_lista WHERE l.nombre = 'OrganoInspectorCilindro' AND upper(lo.nombre) = upper('"&amp;SUBSTITUTE(TRIM(S280),"'","''")&amp;"') AND lo.estado = 1 LIMIT 1)")&amp;", p_organo_inspector_no_aplica =&gt; "&amp;IF(S280="NO_APLICA","TRUE","FALSE")&amp;", p_presion_actual =&gt; "&amp;IF(T280&amp;""="","NULL",SUBSTITUTE(T280&amp;"",",","."))&amp;", p_tipo_valvula =&gt; "&amp;IF(TRIM(U280&amp;"")="","NULL","'"&amp;SUBSTITUTE(TRIM(U280),"'","''")&amp;"'")&amp;", p_libro_cilindro =&gt; "&amp;IF(TRIM(V280&amp;"")="","NULL","'"&amp;SUBSTITUTE(TRIM(V280),"'","''")&amp;"'")&amp;", p_pagina_libro =&gt; "&amp;IF(W280&amp;""="","NULL",SUBSTITUTE(W280&amp;"",",","."))&amp;", p_observacion =&gt; "&amp;IF(TRIM(X280&amp;"")="","NULL","'"&amp;SUBSTITUTE(TRIM(X280),"'","''")&amp;"'")&amp;") AS resultado_balon_"&amp;ROW()&amp;";")</f>
        <v/>
      </c>
    </row>
    <row r="281" ht="15.75" customHeight="1" s="64">
      <c r="A281" s="36" t="inlineStr">
        <is>
          <t>277</t>
        </is>
      </c>
      <c r="B281" s="25">
        <f>IF(AND(C281="",D281="",E281=""),"",IF(C281="","FALTA código balón",IF(D281="","FALTA tipo balón",IF(E281="","FALTA gas",IF(F281="","FALTA propietario",IF(AND(C281&lt;&gt;"",SUMPRODUCT(--($C$5:$C$1200=C281))&gt;1),"CÓDIGO BALÓN DUPLICADO",IF(AND(OR(UPPER(F281)="PLANTA",UPPER(F281)="CLIENTE"),G281=""),"FALTA doc propietario/planta",IF(AND(UPPER(F281)="PLANTA",G281="10175332796"),"PLANTA no puede ser RUC empresa","OK"))))))))</f>
        <v/>
      </c>
      <c r="C281" s="54" t="inlineStr">
        <is>
          <t>K4616094</t>
        </is>
      </c>
      <c r="D281" s="17" t="inlineStr">
        <is>
          <t>Stargold Estandar de 10 m3</t>
        </is>
      </c>
      <c r="E281" s="17" t="inlineStr">
        <is>
          <t>STARGOLD ESTANDAR</t>
        </is>
      </c>
      <c r="F281" s="17" t="inlineStr">
        <is>
          <t>EMPRESA</t>
        </is>
      </c>
      <c r="G281" s="23" t="inlineStr">
        <is>
          <t>10175332796</t>
        </is>
      </c>
      <c r="H281" s="25">
        <f t="array" ref="H281">IF(G281="","",IFERROR(IF(INDEX(Clientes!$D$5:$D$549,MATCH(G281,Clientes!$C$5:$C$549,0))&lt;&gt;"",INDEX(Clientes!$D$5:$D$549,MATCH(G281,Clientes!$C$5:$C$549,0)),TRIM(INDEX(Clientes!$E$5:$E$549,MATCH(G281,Clientes!$C$5:$C$549,0))&amp;" "&amp;INDEX(Clientes!$F$5:$F$549,MATCH(G281,Clientes!$C$5:$C$549,0)))),"NO EXISTE en Clientes"))</f>
        <v/>
      </c>
      <c r="I281" s="17" t="inlineStr">
        <is>
          <t>DISPONIBLE</t>
        </is>
      </c>
      <c r="J281" s="17" t="inlineStr">
        <is>
          <t>ALMACEN PRINCIPAL</t>
        </is>
      </c>
      <c r="K281" s="23" t="n"/>
      <c r="L281" s="25">
        <f t="array" ref="L281">IF(K281="","",IFERROR(IF(INDEX(Clientes!$D$5:$D$549,MATCH(K281,Clientes!$C$5:$C$549,0))&lt;&gt;"",INDEX(Clientes!$D$5:$D$549,MATCH(K281,Clientes!$C$5:$C$549,0)),TRIM(INDEX(Clientes!$E$5:$E$549,MATCH(K281,Clientes!$C$5:$C$549,0))&amp;" "&amp;INDEX(Clientes!$F$5:$F$549,MATCH(K281,Clientes!$C$5:$C$549,0)))),"NO EXISTE en Clientes"))</f>
        <v/>
      </c>
      <c r="M281" s="17" t="n"/>
      <c r="N281" s="17" t="n"/>
      <c r="O281" s="42" t="n"/>
      <c r="P281" s="39">
        <f>IF(O281&lt;&gt;"",DATE(YEAR(O281)+5,MONTH(O281),1),IF(AND(M281&lt;&gt;"",N281&lt;&gt;""),DATE(M281+5,N281,1),""))</f>
        <v/>
      </c>
      <c r="Q281" s="23" t="n"/>
      <c r="R281" s="17" t="n"/>
      <c r="S281" s="17" t="n"/>
      <c r="T281" s="17" t="n"/>
      <c r="U281" s="17" t="n"/>
      <c r="V281" s="23" t="n"/>
      <c r="W281" s="17" t="n"/>
      <c r="X281" s="17" t="n"/>
      <c r="Y281" s="28">
        <f>IF(B281&lt;&gt;"OK","","SELECT bal_crear_balon(p_codigo_balon =&gt; "&amp;IF(TRIM(C281&amp;"")="","NULL","'"&amp;SUBSTITUTE(TRIM(C281),"'","''")&amp;"'")&amp;", p_id_tipo_balon =&gt; "&amp;"(SELECT id FROM bal_tipo_balon WHERE upper(nombre) = upper('"&amp;SUBSTITUTE(TRIM(D281),"'","''")&amp;"') AND estado = 1 LIMIT 1)"&amp;", p_id_producto_gas =&gt; "&amp;"(SELECT id FROM pro_producto WHERE es_gas = TRUE AND upper(nombre) = upper('"&amp;SUBSTITUTE(TRIM(E281),"'","''")&amp;"') AND estado = 1 LIMIT 1)"&amp;", p_id_propietario =&gt; "&amp;IF(TRIM(F281&amp;"")="","NULL","(SELECT lo.id FROM gen_lista_opciones lo JOIN gen_lista l ON l.id = lo.id_lista WHERE l.nombre = 'PropietarioBalon' AND upper(lo.nombre) = upper('"&amp;SUBSTITUTE(TRIM(F281),"'","''")&amp;"') AND lo.estado = 1 LIMIT 1)")&amp;", p_id_cliente_propietario =&gt; "&amp;IF(F281="CLIENTE",IF(TRIM(G281&amp;"")="","NULL","(SELECT id FROM cli_clientes WHERE numero_documento = '"&amp;SUBSTITUTE(TRIM(G281),"'","''")&amp;"' AND estado = 1 LIMIT 1)"),"NULL")&amp;", p_id_planta =&gt; "&amp;IF(F281="PLANTA",IF(TRIM(G281&amp;"")="","NULL","(SELECT id FROM cli_clientes WHERE numero_documento = '"&amp;SUBSTITUTE(TRIM(G281),"'","''")&amp;"'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"&amp;IF(TRIM(J281&amp;"")="","NULL","(SELECT id FROM gen_almacen WHERE upper(nombre) = upper('"&amp;SUBSTITUTE(TRIM(J281),"'","''")&amp;"') AND estado = 1 LIMIT 1)")&amp;", p_id_cliente_ubicacion =&gt; "&amp;IF(TRIM(K281&amp;"")="","NULL","(SELECT id FROM cli_clientes WHERE numero_documento = '"&amp;SUBSTITUTE(TRIM(K281),"'","''")&amp;"' AND estado = 1 LIMIT 1)")&amp;", p_id_referencia =&gt; "&amp;IF(TRIM(J281&amp;"")&lt;&gt;"","(SELECT lo.id FROM gen_lista_opciones lo JOIN gen_lista l ON l.id = lo.id_lista WHERE l.nombre = 'ReferenciaCilindro' AND upper(lo.nombre) = 'ALMACEN' AND lo.estado = 1 LIMIT 1)",IF(TRIM(K281&amp;"")&lt;&gt;"","(SELECT lo.id FROM gen_lista_opciones lo JOIN gen_lista l ON l.id = lo.id_lista WHERE l.nombre = 'ReferenciaCilindro' AND upper(lo.nombre) = 'CLIENTE' AND lo.estado = 1 LIMIT 1)","NULL"))&amp;", p_anio_fabricacion =&gt; "&amp;IF(M281&amp;""="","NULL::smallint",M281&amp;"::smallint")&amp;", p_mes_fabricacion =&gt; "&amp;IF(N281&amp;""="","NULL::smallint",N281&amp;"::smallint")&amp;", p_fecha_ultima_prueba_hidrostatica =&gt; "&amp;IF(O281&amp;""="","NULL","'"&amp;YEAR(O281)&amp;"-"&amp;TEXT(MONTH(O281),"00")&amp;"-"&amp;TEXT(DAY(O281),"00")&amp;"'")&amp;", p_numero_serie =&gt; "&amp;IF(TRIM(Q281&amp;"")="","NULL","'"&amp;SUBSTITUTE(TRIM(Q281),"'","''")&amp;"'")&amp;", p_id_marca_cilindro =&gt; "&amp;IF(TRIM(R281&amp;"")="","NULL","(SELECT lo.id FROM gen_lista_opciones lo JOIN gen_lista l ON l.id = lo.id_lista WHERE l.nombre = 'MarcaCilindro' AND upper(lo.nombre) = upper('"&amp;SUBSTITUTE(TRIM(R281),"'","''")&amp;"') AND lo.estado = 1 LIMIT 1)")&amp;", p_id_organo_inspector =&gt; "&amp;IF(TRIM(S281&amp;"")="","NULL","(SELECT lo.id FROM gen_lista_opciones lo JOIN gen_lista l ON l.id = lo.id_lista WHERE l.nombre = 'OrganoInspectorCilindro' AND upper(lo.nombre) = upper('"&amp;SUBSTITUTE(TRIM(S281),"'","''")&amp;"') AND lo.estado = 1 LIMIT 1)")&amp;", p_organo_inspector_no_aplica =&gt; "&amp;IF(S281="NO_APLICA","TRUE","FALSE")&amp;", p_presion_actual =&gt; "&amp;IF(T281&amp;""="","NULL",SUBSTITUTE(T281&amp;"",",","."))&amp;", p_tipo_valvula =&gt; "&amp;IF(TRIM(U281&amp;"")="","NULL","'"&amp;SUBSTITUTE(TRIM(U281),"'","''")&amp;"'")&amp;", p_libro_cilindro =&gt; "&amp;IF(TRIM(V281&amp;"")="","NULL","'"&amp;SUBSTITUTE(TRIM(V281),"'","''")&amp;"'")&amp;", p_pagina_libro =&gt; "&amp;IF(W281&amp;""="","NULL",SUBSTITUTE(W281&amp;"",",","."))&amp;", p_observacion =&gt; "&amp;IF(TRIM(X281&amp;"")="","NULL","'"&amp;SUBSTITUTE(TRIM(X281),"'","''")&amp;"'")&amp;") AS resultado_balon_"&amp;ROW()&amp;";")</f>
        <v/>
      </c>
    </row>
    <row r="282" ht="15.75" customHeight="1" s="64">
      <c r="A282" s="36" t="inlineStr">
        <is>
          <t>278</t>
        </is>
      </c>
      <c r="B282" s="25">
        <f>IF(AND(C282="",D282="",E282=""),"",IF(C282="","FALTA código balón",IF(D282="","FALTA tipo balón",IF(E282="","FALTA gas",IF(F282="","FALTA propietario",IF(AND(C282&lt;&gt;"",SUMPRODUCT(--($C$5:$C$1200=C282))&gt;1),"CÓDIGO BALÓN DUPLICADO",IF(AND(OR(UPPER(F282)="PLANTA",UPPER(F282)="CLIENTE"),G282=""),"FALTA doc propietario/planta",IF(AND(UPPER(F282)="PLANTA",G282="10175332796"),"PLANTA no puede ser RUC empresa","OK"))))))))</f>
        <v/>
      </c>
      <c r="C282" s="54" t="inlineStr">
        <is>
          <t>P126117</t>
        </is>
      </c>
      <c r="D282" s="17" t="inlineStr">
        <is>
          <t>Stargold Estandar de 10 m3</t>
        </is>
      </c>
      <c r="E282" s="17" t="inlineStr">
        <is>
          <t>STARGOLD ESTANDAR</t>
        </is>
      </c>
      <c r="F282" s="17" t="inlineStr">
        <is>
          <t>EMPRESA</t>
        </is>
      </c>
      <c r="G282" s="23" t="inlineStr">
        <is>
          <t>10175332796</t>
        </is>
      </c>
      <c r="H282" s="25">
        <f t="array" ref="H282">IF(G282="","",IFERROR(IF(INDEX(Clientes!$D$5:$D$549,MATCH(G282,Clientes!$C$5:$C$549,0))&lt;&gt;"",INDEX(Clientes!$D$5:$D$549,MATCH(G282,Clientes!$C$5:$C$549,0)),TRIM(INDEX(Clientes!$E$5:$E$549,MATCH(G282,Clientes!$C$5:$C$549,0))&amp;" "&amp;INDEX(Clientes!$F$5:$F$549,MATCH(G282,Clientes!$C$5:$C$549,0)))),"NO EXISTE en Clientes"))</f>
        <v/>
      </c>
      <c r="I282" s="17" t="inlineStr">
        <is>
          <t>DISPONIBLE</t>
        </is>
      </c>
      <c r="J282" s="17" t="inlineStr">
        <is>
          <t>ALMACEN PRINCIPAL</t>
        </is>
      </c>
      <c r="K282" s="23" t="n"/>
      <c r="L282" s="25">
        <f t="array" ref="L282">IF(K282="","",IFERROR(IF(INDEX(Clientes!$D$5:$D$549,MATCH(K282,Clientes!$C$5:$C$549,0))&lt;&gt;"",INDEX(Clientes!$D$5:$D$549,MATCH(K282,Clientes!$C$5:$C$549,0)),TRIM(INDEX(Clientes!$E$5:$E$549,MATCH(K282,Clientes!$C$5:$C$549,0))&amp;" "&amp;INDEX(Clientes!$F$5:$F$549,MATCH(K282,Clientes!$C$5:$C$549,0)))),"NO EXISTE en Clientes"))</f>
        <v/>
      </c>
      <c r="M282" s="17" t="n"/>
      <c r="N282" s="17" t="n"/>
      <c r="O282" s="42" t="n"/>
      <c r="P282" s="39">
        <f>IF(O282&lt;&gt;"",DATE(YEAR(O282)+5,MONTH(O282),1),IF(AND(M282&lt;&gt;"",N282&lt;&gt;""),DATE(M282+5,N282,1),""))</f>
        <v/>
      </c>
      <c r="Q282" s="23" t="n"/>
      <c r="R282" s="17" t="n"/>
      <c r="S282" s="17" t="n"/>
      <c r="T282" s="17" t="n"/>
      <c r="U282" s="17" t="n"/>
      <c r="V282" s="23" t="n"/>
      <c r="W282" s="17" t="n"/>
      <c r="X282" s="17" t="n"/>
      <c r="Y282" s="28">
        <f>IF(B282&lt;&gt;"OK","","SELECT bal_crear_balon(p_codigo_balon =&gt; "&amp;IF(TRIM(C282&amp;"")="","NULL","'"&amp;SUBSTITUTE(TRIM(C282),"'","''")&amp;"'")&amp;", p_id_tipo_balon =&gt; "&amp;"(SELECT id FROM bal_tipo_balon WHERE upper(nombre) = upper('"&amp;SUBSTITUTE(TRIM(D282),"'","''")&amp;"') AND estado = 1 LIMIT 1)"&amp;", p_id_producto_gas =&gt; "&amp;"(SELECT id FROM pro_producto WHERE es_gas = TRUE AND upper(nombre) = upper('"&amp;SUBSTITUTE(TRIM(E282),"'","''")&amp;"') AND estado = 1 LIMIT 1)"&amp;", p_id_propietario =&gt; "&amp;IF(TRIM(F282&amp;"")="","NULL","(SELECT lo.id FROM gen_lista_opciones lo JOIN gen_lista l ON l.id = lo.id_lista WHERE l.nombre = 'PropietarioBalon' AND upper(lo.nombre) = upper('"&amp;SUBSTITUTE(TRIM(F282),"'","''")&amp;"') AND lo.estado = 1 LIMIT 1)")&amp;", p_id_cliente_propietario =&gt; "&amp;IF(F282="CLIENTE",IF(TRIM(G282&amp;"")="","NULL","(SELECT id FROM cli_clientes WHERE numero_documento = '"&amp;SUBSTITUTE(TRIM(G282),"'","''")&amp;"' AND estado = 1 LIMIT 1)"),"NULL")&amp;", p_id_planta =&gt; "&amp;IF(F282="PLANTA",IF(TRIM(G282&amp;"")="","NULL","(SELECT id FROM cli_clientes WHERE numero_documento = '"&amp;SUBSTITUTE(TRIM(G282),"'","''")&amp;"'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"&amp;IF(TRIM(J282&amp;"")="","NULL","(SELECT id FROM gen_almacen WHERE upper(nombre) = upper('"&amp;SUBSTITUTE(TRIM(J282),"'","''")&amp;"') AND estado = 1 LIMIT 1)")&amp;", p_id_cliente_ubicacion =&gt; "&amp;IF(TRIM(K282&amp;"")="","NULL","(SELECT id FROM cli_clientes WHERE numero_documento = '"&amp;SUBSTITUTE(TRIM(K282),"'","''")&amp;"' AND estado = 1 LIMIT 1)")&amp;", p_id_referencia =&gt; "&amp;IF(TRIM(J282&amp;"")&lt;&gt;"","(SELECT lo.id FROM gen_lista_opciones lo JOIN gen_lista l ON l.id = lo.id_lista WHERE l.nombre = 'ReferenciaCilindro' AND upper(lo.nombre) = 'ALMACEN' AND lo.estado = 1 LIMIT 1)",IF(TRIM(K282&amp;"")&lt;&gt;"","(SELECT lo.id FROM gen_lista_opciones lo JOIN gen_lista l ON l.id = lo.id_lista WHERE l.nombre = 'ReferenciaCilindro' AND upper(lo.nombre) = 'CLIENTE' AND lo.estado = 1 LIMIT 1)","NULL"))&amp;", p_anio_fabricacion =&gt; "&amp;IF(M282&amp;""="","NULL::smallint",M282&amp;"::smallint")&amp;", p_mes_fabricacion =&gt; "&amp;IF(N282&amp;""="","NULL::smallint",N282&amp;"::smallint")&amp;", p_fecha_ultima_prueba_hidrostatica =&gt; "&amp;IF(O282&amp;""="","NULL","'"&amp;YEAR(O282)&amp;"-"&amp;TEXT(MONTH(O282),"00")&amp;"-"&amp;TEXT(DAY(O282),"00")&amp;"'")&amp;", p_numero_serie =&gt; "&amp;IF(TRIM(Q282&amp;"")="","NULL","'"&amp;SUBSTITUTE(TRIM(Q282),"'","''")&amp;"'")&amp;", p_id_marca_cilindro =&gt; "&amp;IF(TRIM(R282&amp;"")="","NULL","(SELECT lo.id FROM gen_lista_opciones lo JOIN gen_lista l ON l.id = lo.id_lista WHERE l.nombre = 'MarcaCilindro' AND upper(lo.nombre) = upper('"&amp;SUBSTITUTE(TRIM(R282),"'","''")&amp;"') AND lo.estado = 1 LIMIT 1)")&amp;", p_id_organo_inspector =&gt; "&amp;IF(TRIM(S282&amp;"")="","NULL","(SELECT lo.id FROM gen_lista_opciones lo JOIN gen_lista l ON l.id = lo.id_lista WHERE l.nombre = 'OrganoInspectorCilindro' AND upper(lo.nombre) = upper('"&amp;SUBSTITUTE(TRIM(S282),"'","''")&amp;"') AND lo.estado = 1 LIMIT 1)")&amp;", p_organo_inspector_no_aplica =&gt; "&amp;IF(S282="NO_APLICA","TRUE","FALSE")&amp;", p_presion_actual =&gt; "&amp;IF(T282&amp;""="","NULL",SUBSTITUTE(T282&amp;"",",","."))&amp;", p_tipo_valvula =&gt; "&amp;IF(TRIM(U282&amp;"")="","NULL","'"&amp;SUBSTITUTE(TRIM(U282),"'","''")&amp;"'")&amp;", p_libro_cilindro =&gt; "&amp;IF(TRIM(V282&amp;"")="","NULL","'"&amp;SUBSTITUTE(TRIM(V282),"'","''")&amp;"'")&amp;", p_pagina_libro =&gt; "&amp;IF(W282&amp;""="","NULL",SUBSTITUTE(W282&amp;"",",","."))&amp;", p_observacion =&gt; "&amp;IF(TRIM(X282&amp;"")="","NULL","'"&amp;SUBSTITUTE(TRIM(X282),"'","''")&amp;"'")&amp;") AS resultado_balon_"&amp;ROW()&amp;";")</f>
        <v/>
      </c>
    </row>
    <row r="283" ht="15.75" customHeight="1" s="64">
      <c r="A283" s="36" t="inlineStr">
        <is>
          <t>279</t>
        </is>
      </c>
      <c r="B283" s="25">
        <f>IF(AND(C283="",D283="",E283=""),"",IF(C283="","FALTA código balón",IF(D283="","FALTA tipo balón",IF(E283="","FALTA gas",IF(F283="","FALTA propietario",IF(AND(C283&lt;&gt;"",SUMPRODUCT(--($C$5:$C$1200=C283))&gt;1),"CÓDIGO BALÓN DUPLICADO",IF(AND(OR(UPPER(F283)="PLANTA",UPPER(F283)="CLIENTE"),G283=""),"FALTA doc propietario/planta",IF(AND(UPPER(F283)="PLANTA",G283="10175332796"),"PLANTA no puede ser RUC empresa","OK"))))))))</f>
        <v/>
      </c>
      <c r="C283" s="23" t="inlineStr">
        <is>
          <t>21X631099</t>
        </is>
      </c>
      <c r="D283" s="17" t="inlineStr">
        <is>
          <t>Argón Estándar 10 m3</t>
        </is>
      </c>
      <c r="E283" s="17" t="inlineStr">
        <is>
          <t>ARGON</t>
        </is>
      </c>
      <c r="F283" s="17" t="inlineStr">
        <is>
          <t>EMPRESA</t>
        </is>
      </c>
      <c r="G283" s="23" t="inlineStr">
        <is>
          <t>10175332796</t>
        </is>
      </c>
      <c r="H283" s="25">
        <f t="array" ref="H283">IF(G283="","",IFERROR(IF(INDEX(Clientes!$D$5:$D$549,MATCH(G283,Clientes!$C$5:$C$549,0))&lt;&gt;"",INDEX(Clientes!$D$5:$D$549,MATCH(G283,Clientes!$C$5:$C$549,0)),TRIM(INDEX(Clientes!$E$5:$E$549,MATCH(G283,Clientes!$C$5:$C$549,0))&amp;" "&amp;INDEX(Clientes!$F$5:$F$549,MATCH(G283,Clientes!$C$5:$C$549,0)))),"NO EXISTE en Clientes"))</f>
        <v/>
      </c>
      <c r="I283" s="17" t="inlineStr">
        <is>
          <t>DISPONIBLE</t>
        </is>
      </c>
      <c r="J283" s="17" t="inlineStr">
        <is>
          <t>ALMACEN PRINCIPAL</t>
        </is>
      </c>
      <c r="K283" s="23" t="n"/>
      <c r="L283" s="25">
        <f t="array" ref="L283">IF(K283="","",IFERROR(IF(INDEX(Clientes!$D$5:$D$549,MATCH(K283,Clientes!$C$5:$C$549,0))&lt;&gt;"",INDEX(Clientes!$D$5:$D$549,MATCH(K283,Clientes!$C$5:$C$549,0)),TRIM(INDEX(Clientes!$E$5:$E$549,MATCH(K283,Clientes!$C$5:$C$549,0))&amp;" "&amp;INDEX(Clientes!$F$5:$F$549,MATCH(K283,Clientes!$C$5:$C$549,0)))),"NO EXISTE en Clientes"))</f>
        <v/>
      </c>
      <c r="M283" s="17" t="n"/>
      <c r="N283" s="17" t="n"/>
      <c r="O283" s="42" t="n"/>
      <c r="P283" s="39">
        <f>IF(O283&lt;&gt;"",DATE(YEAR(O283)+5,MONTH(O283),1),IF(AND(M283&lt;&gt;"",N283&lt;&gt;""),DATE(M283+5,N283,1),""))</f>
        <v/>
      </c>
      <c r="Q283" s="23" t="n"/>
      <c r="R283" s="17" t="n"/>
      <c r="S283" s="17" t="n"/>
      <c r="T283" s="17" t="n"/>
      <c r="U283" s="17" t="n"/>
      <c r="V283" s="23" t="n"/>
      <c r="W283" s="17" t="n"/>
      <c r="X283" s="17" t="n"/>
      <c r="Y283" s="28">
        <f>IF(B283&lt;&gt;"OK","","SELECT bal_crear_balon(p_codigo_balon =&gt; "&amp;IF(TRIM(C283&amp;"")="","NULL","'"&amp;SUBSTITUTE(TRIM(C283),"'","''")&amp;"'")&amp;", p_id_tipo_balon =&gt; "&amp;"(SELECT id FROM bal_tipo_balon WHERE upper(nombre) = upper('"&amp;SUBSTITUTE(TRIM(D283),"'","''")&amp;"') AND estado = 1 LIMIT 1)"&amp;", p_id_producto_gas =&gt; "&amp;"(SELECT id FROM pro_producto WHERE es_gas = TRUE AND upper(nombre) = upper('"&amp;SUBSTITUTE(TRIM(E283),"'","''")&amp;"') AND estado = 1 LIMIT 1)"&amp;", p_id_propietario =&gt; "&amp;IF(TRIM(F283&amp;"")="","NULL","(SELECT lo.id FROM gen_lista_opciones lo JOIN gen_lista l ON l.id = lo.id_lista WHERE l.nombre = 'PropietarioBalon' AND upper(lo.nombre) = upper('"&amp;SUBSTITUTE(TRIM(F283),"'","''")&amp;"') AND lo.estado = 1 LIMIT 1)")&amp;", p_id_cliente_propietario =&gt; "&amp;IF(F283="CLIENTE",IF(TRIM(G283&amp;"")="","NULL","(SELECT id FROM cli_clientes WHERE numero_documento = '"&amp;SUBSTITUTE(TRIM(G283),"'","''")&amp;"' AND estado = 1 LIMIT 1)"),"NULL")&amp;", p_id_planta =&gt; "&amp;IF(F283="PLANTA",IF(TRIM(G283&amp;"")="","NULL","(SELECT id FROM cli_clientes WHERE numero_documento = '"&amp;SUBSTITUTE(TRIM(G283),"'","''")&amp;"'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"&amp;IF(TRIM(J283&amp;"")="","NULL","(SELECT id FROM gen_almacen WHERE upper(nombre) = upper('"&amp;SUBSTITUTE(TRIM(J283),"'","''")&amp;"') AND estado = 1 LIMIT 1)")&amp;", p_id_cliente_ubicacion =&gt; "&amp;IF(TRIM(K283&amp;"")="","NULL","(SELECT id FROM cli_clientes WHERE numero_documento = '"&amp;SUBSTITUTE(TRIM(K283),"'","''")&amp;"' AND estado = 1 LIMIT 1)")&amp;", p_id_referencia =&gt; "&amp;IF(TRIM(J283&amp;"")&lt;&gt;"","(SELECT lo.id FROM gen_lista_opciones lo JOIN gen_lista l ON l.id = lo.id_lista WHERE l.nombre = 'ReferenciaCilindro' AND upper(lo.nombre) = 'ALMACEN' AND lo.estado = 1 LIMIT 1)",IF(TRIM(K283&amp;"")&lt;&gt;"","(SELECT lo.id FROM gen_lista_opciones lo JOIN gen_lista l ON l.id = lo.id_lista WHERE l.nombre = 'ReferenciaCilindro' AND upper(lo.nombre) = 'CLIENTE' AND lo.estado = 1 LIMIT 1)","NULL"))&amp;", p_anio_fabricacion =&gt; "&amp;IF(M283&amp;""="","NULL::smallint",M283&amp;"::smallint")&amp;", p_mes_fabricacion =&gt; "&amp;IF(N283&amp;""="","NULL::smallint",N283&amp;"::smallint")&amp;", p_fecha_ultima_prueba_hidrostatica =&gt; "&amp;IF(O283&amp;""="","NULL","'"&amp;YEAR(O283)&amp;"-"&amp;TEXT(MONTH(O283),"00")&amp;"-"&amp;TEXT(DAY(O283),"00")&amp;"'")&amp;", p_numero_serie =&gt; "&amp;IF(TRIM(Q283&amp;"")="","NULL","'"&amp;SUBSTITUTE(TRIM(Q283),"'","''")&amp;"'")&amp;", p_id_marca_cilindro =&gt; "&amp;IF(TRIM(R283&amp;"")="","NULL","(SELECT lo.id FROM gen_lista_opciones lo JOIN gen_lista l ON l.id = lo.id_lista WHERE l.nombre = 'MarcaCilindro' AND upper(lo.nombre) = upper('"&amp;SUBSTITUTE(TRIM(R283),"'","''")&amp;"') AND lo.estado = 1 LIMIT 1)")&amp;", p_id_organo_inspector =&gt; "&amp;IF(TRIM(S283&amp;"")="","NULL","(SELECT lo.id FROM gen_lista_opciones lo JOIN gen_lista l ON l.id = lo.id_lista WHERE l.nombre = 'OrganoInspectorCilindro' AND upper(lo.nombre) = upper('"&amp;SUBSTITUTE(TRIM(S283),"'","''")&amp;"') AND lo.estado = 1 LIMIT 1)")&amp;", p_organo_inspector_no_aplica =&gt; "&amp;IF(S283="NO_APLICA","TRUE","FALSE")&amp;", p_presion_actual =&gt; "&amp;IF(T283&amp;""="","NULL",SUBSTITUTE(T283&amp;"",",","."))&amp;", p_tipo_valvula =&gt; "&amp;IF(TRIM(U283&amp;"")="","NULL","'"&amp;SUBSTITUTE(TRIM(U283),"'","''")&amp;"'")&amp;", p_libro_cilindro =&gt; "&amp;IF(TRIM(V283&amp;"")="","NULL","'"&amp;SUBSTITUTE(TRIM(V283),"'","''")&amp;"'")&amp;", p_pagina_libro =&gt; "&amp;IF(W283&amp;""="","NULL",SUBSTITUTE(W283&amp;"",",","."))&amp;", p_observacion =&gt; "&amp;IF(TRIM(X283&amp;"")="","NULL","'"&amp;SUBSTITUTE(TRIM(X283),"'","''")&amp;"'")&amp;") AS resultado_balon_"&amp;ROW()&amp;";")</f>
        <v/>
      </c>
    </row>
    <row r="284" ht="15.75" customHeight="1" s="64">
      <c r="A284" s="36" t="inlineStr">
        <is>
          <t>280</t>
        </is>
      </c>
      <c r="B284" s="25">
        <f>IF(AND(C284="",D284="",E284=""),"",IF(C284="","FALTA código balón",IF(D284="","FALTA tipo balón",IF(E284="","FALTA gas",IF(F284="","FALTA propietario",IF(AND(C284&lt;&gt;"",SUMPRODUCT(--($C$5:$C$1200=C284))&gt;1),"CÓDIGO BALÓN DUPLICADO",IF(AND(OR(UPPER(F284)="PLANTA",UPPER(F284)="CLIENTE"),G284=""),"FALTA doc propietario/planta",IF(AND(UPPER(F284)="PLANTA",G284="10175332796"),"PLANTA no puede ser RUC empresa","OK"))))))))</f>
        <v/>
      </c>
      <c r="C284" s="23" t="inlineStr">
        <is>
          <t>K4854098</t>
        </is>
      </c>
      <c r="D284" s="17" t="inlineStr">
        <is>
          <t>Oxígeno Industrial 10 m³</t>
        </is>
      </c>
      <c r="E284" s="17" t="inlineStr">
        <is>
          <t>OXIGENO INDUSTRIAL</t>
        </is>
      </c>
      <c r="F284" s="17" t="inlineStr">
        <is>
          <t>EMPRESA</t>
        </is>
      </c>
      <c r="G284" s="23" t="inlineStr">
        <is>
          <t>10175332796</t>
        </is>
      </c>
      <c r="H284" s="25">
        <f t="array" ref="H284">IF(G284="","",IFERROR(IF(INDEX(Clientes!$D$5:$D$549,MATCH(G284,Clientes!$C$5:$C$549,0))&lt;&gt;"",INDEX(Clientes!$D$5:$D$549,MATCH(G284,Clientes!$C$5:$C$549,0)),TRIM(INDEX(Clientes!$E$5:$E$549,MATCH(G284,Clientes!$C$5:$C$549,0))&amp;" "&amp;INDEX(Clientes!$F$5:$F$549,MATCH(G284,Clientes!$C$5:$C$549,0)))),"NO EXISTE en Clientes"))</f>
        <v/>
      </c>
      <c r="I284" s="17" t="inlineStr">
        <is>
          <t>DISPONIBLE</t>
        </is>
      </c>
      <c r="J284" s="17" t="inlineStr">
        <is>
          <t>ALMACEN PRINCIPAL</t>
        </is>
      </c>
      <c r="K284" s="23" t="n"/>
      <c r="L284" s="25">
        <f t="array" ref="L284">IF(K284="","",IFERROR(IF(INDEX(Clientes!$D$5:$D$549,MATCH(K284,Clientes!$C$5:$C$549,0))&lt;&gt;"",INDEX(Clientes!$D$5:$D$549,MATCH(K284,Clientes!$C$5:$C$549,0)),TRIM(INDEX(Clientes!$E$5:$E$549,MATCH(K284,Clientes!$C$5:$C$549,0))&amp;" "&amp;INDEX(Clientes!$F$5:$F$549,MATCH(K284,Clientes!$C$5:$C$549,0)))),"NO EXISTE en Clientes"))</f>
        <v/>
      </c>
      <c r="M284" s="17" t="n"/>
      <c r="N284" s="17" t="n"/>
      <c r="O284" s="42" t="n"/>
      <c r="P284" s="39">
        <f>IF(O284&lt;&gt;"",DATE(YEAR(O284)+5,MONTH(O284),1),IF(AND(M284&lt;&gt;"",N284&lt;&gt;""),DATE(M284+5,N284,1),""))</f>
        <v/>
      </c>
      <c r="Q284" s="23" t="n"/>
      <c r="R284" s="17" t="n"/>
      <c r="S284" s="17" t="n"/>
      <c r="T284" s="17" t="n"/>
      <c r="U284" s="17" t="n"/>
      <c r="V284" s="23" t="n"/>
      <c r="W284" s="17" t="n"/>
      <c r="X284" s="17" t="n"/>
      <c r="Y284" s="28">
        <f>IF(B284&lt;&gt;"OK","","SELECT bal_crear_balon(p_codigo_balon =&gt; "&amp;IF(TRIM(C284&amp;"")="","NULL","'"&amp;SUBSTITUTE(TRIM(C284),"'","''")&amp;"'")&amp;", p_id_tipo_balon =&gt; "&amp;"(SELECT id FROM bal_tipo_balon WHERE upper(nombre) = upper('"&amp;SUBSTITUTE(TRIM(D284),"'","''")&amp;"') AND estado = 1 LIMIT 1)"&amp;", p_id_producto_gas =&gt; "&amp;"(SELECT id FROM pro_producto WHERE es_gas = TRUE AND upper(nombre) = upper('"&amp;SUBSTITUTE(TRIM(E284),"'","''")&amp;"') AND estado = 1 LIMIT 1)"&amp;", p_id_propietario =&gt; "&amp;IF(TRIM(F284&amp;"")="","NULL","(SELECT lo.id FROM gen_lista_opciones lo JOIN gen_lista l ON l.id = lo.id_lista WHERE l.nombre = 'PropietarioBalon' AND upper(lo.nombre) = upper('"&amp;SUBSTITUTE(TRIM(F284),"'","''")&amp;"') AND lo.estado = 1 LIMIT 1)")&amp;", p_id_cliente_propietario =&gt; "&amp;IF(F284="CLIENTE",IF(TRIM(G284&amp;"")="","NULL","(SELECT id FROM cli_clientes WHERE numero_documento = '"&amp;SUBSTITUTE(TRIM(G284),"'","''")&amp;"' AND estado = 1 LIMIT 1)"),"NULL")&amp;", p_id_planta =&gt; "&amp;IF(F284="PLANTA",IF(TRIM(G284&amp;"")="","NULL","(SELECT id FROM cli_clientes WHERE numero_documento = '"&amp;SUBSTITUTE(TRIM(G284),"'","''")&amp;"'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"&amp;IF(TRIM(J284&amp;"")="","NULL","(SELECT id FROM gen_almacen WHERE upper(nombre) = upper('"&amp;SUBSTITUTE(TRIM(J284),"'","''")&amp;"') AND estado = 1 LIMIT 1)")&amp;", p_id_cliente_ubicacion =&gt; "&amp;IF(TRIM(K284&amp;"")="","NULL","(SELECT id FROM cli_clientes WHERE numero_documento = '"&amp;SUBSTITUTE(TRIM(K284),"'","''")&amp;"' AND estado = 1 LIMIT 1)")&amp;", p_id_referencia =&gt; "&amp;IF(TRIM(J284&amp;"")&lt;&gt;"","(SELECT lo.id FROM gen_lista_opciones lo JOIN gen_lista l ON l.id = lo.id_lista WHERE l.nombre = 'ReferenciaCilindro' AND upper(lo.nombre) = 'ALMACEN' AND lo.estado = 1 LIMIT 1)",IF(TRIM(K284&amp;"")&lt;&gt;"","(SELECT lo.id FROM gen_lista_opciones lo JOIN gen_lista l ON l.id = lo.id_lista WHERE l.nombre = 'ReferenciaCilindro' AND upper(lo.nombre) = 'CLIENTE' AND lo.estado = 1 LIMIT 1)","NULL"))&amp;", p_anio_fabricacion =&gt; "&amp;IF(M284&amp;""="","NULL::smallint",M284&amp;"::smallint")&amp;", p_mes_fabricacion =&gt; "&amp;IF(N284&amp;""="","NULL::smallint",N284&amp;"::smallint")&amp;", p_fecha_ultima_prueba_hidrostatica =&gt; "&amp;IF(O284&amp;""="","NULL","'"&amp;YEAR(O284)&amp;"-"&amp;TEXT(MONTH(O284),"00")&amp;"-"&amp;TEXT(DAY(O284),"00")&amp;"'")&amp;", p_numero_serie =&gt; "&amp;IF(TRIM(Q284&amp;"")="","NULL","'"&amp;SUBSTITUTE(TRIM(Q284),"'","''")&amp;"'")&amp;", p_id_marca_cilindro =&gt; "&amp;IF(TRIM(R284&amp;"")="","NULL","(SELECT lo.id FROM gen_lista_opciones lo JOIN gen_lista l ON l.id = lo.id_lista WHERE l.nombre = 'MarcaCilindro' AND upper(lo.nombre) = upper('"&amp;SUBSTITUTE(TRIM(R284),"'","''")&amp;"') AND lo.estado = 1 LIMIT 1)")&amp;", p_id_organo_inspector =&gt; "&amp;IF(TRIM(S284&amp;"")="","NULL","(SELECT lo.id FROM gen_lista_opciones lo JOIN gen_lista l ON l.id = lo.id_lista WHERE l.nombre = 'OrganoInspectorCilindro' AND upper(lo.nombre) = upper('"&amp;SUBSTITUTE(TRIM(S284),"'","''")&amp;"') AND lo.estado = 1 LIMIT 1)")&amp;", p_organo_inspector_no_aplica =&gt; "&amp;IF(S284="NO_APLICA","TRUE","FALSE")&amp;", p_presion_actual =&gt; "&amp;IF(T284&amp;""="","NULL",SUBSTITUTE(T284&amp;"",",","."))&amp;", p_tipo_valvula =&gt; "&amp;IF(TRIM(U284&amp;"")="","NULL","'"&amp;SUBSTITUTE(TRIM(U284),"'","''")&amp;"'")&amp;", p_libro_cilindro =&gt; "&amp;IF(TRIM(V284&amp;"")="","NULL","'"&amp;SUBSTITUTE(TRIM(V284),"'","''")&amp;"'")&amp;", p_pagina_libro =&gt; "&amp;IF(W284&amp;""="","NULL",SUBSTITUTE(W284&amp;"",",","."))&amp;", p_observacion =&gt; "&amp;IF(TRIM(X284&amp;"")="","NULL","'"&amp;SUBSTITUTE(TRIM(X284),"'","''")&amp;"'")&amp;") AS resultado_balon_"&amp;ROW()&amp;";")</f>
        <v/>
      </c>
    </row>
    <row r="285" ht="15.75" customHeight="1" s="64">
      <c r="A285" s="36" t="inlineStr">
        <is>
          <t>281</t>
        </is>
      </c>
      <c r="B285" s="25">
        <f>IF(AND(C285="",D285="",E285=""),"",IF(C285="","FALTA código balón",IF(D285="","FALTA tipo balón",IF(E285="","FALTA gas",IF(F285="","FALTA propietario",IF(AND(C285&lt;&gt;"",SUMPRODUCT(--($C$5:$C$1200=C285))&gt;1),"CÓDIGO BALÓN DUPLICADO",IF(AND(OR(UPPER(F285)="PLANTA",UPPER(F285)="CLIENTE"),G285=""),"FALTA doc propietario/planta",IF(AND(UPPER(F285)="PLANTA",G285="10175332796"),"PLANTA no puede ser RUC empresa","OK"))))))))</f>
        <v/>
      </c>
      <c r="C285" s="23" t="inlineStr">
        <is>
          <t>FC018186</t>
        </is>
      </c>
      <c r="D285" s="17" t="inlineStr">
        <is>
          <t>Oxígeno Medicinal 10 m³</t>
        </is>
      </c>
      <c r="E285" s="17" t="inlineStr">
        <is>
          <t>OXIGENO MEDICINAL</t>
        </is>
      </c>
      <c r="F285" s="17" t="inlineStr">
        <is>
          <t>EMPRESA</t>
        </is>
      </c>
      <c r="G285" s="23" t="inlineStr">
        <is>
          <t>10175332796</t>
        </is>
      </c>
      <c r="H285" s="25">
        <f t="array" ref="H285">IF(G285="","",IFERROR(IF(INDEX(Clientes!$D$5:$D$549,MATCH(G285,Clientes!$C$5:$C$549,0))&lt;&gt;"",INDEX(Clientes!$D$5:$D$549,MATCH(G285,Clientes!$C$5:$C$549,0)),TRIM(INDEX(Clientes!$E$5:$E$549,MATCH(G285,Clientes!$C$5:$C$549,0))&amp;" "&amp;INDEX(Clientes!$F$5:$F$549,MATCH(G285,Clientes!$C$5:$C$549,0)))),"NO EXISTE en Clientes"))</f>
        <v/>
      </c>
      <c r="I285" s="17" t="inlineStr">
        <is>
          <t>DISPONIBLE</t>
        </is>
      </c>
      <c r="J285" s="17" t="inlineStr">
        <is>
          <t>ALMACEN PRINCIPAL</t>
        </is>
      </c>
      <c r="K285" s="23" t="n"/>
      <c r="L285" s="25">
        <f t="array" ref="L285">IF(K285="","",IFERROR(IF(INDEX(Clientes!$D$5:$D$549,MATCH(K285,Clientes!$C$5:$C$549,0))&lt;&gt;"",INDEX(Clientes!$D$5:$D$549,MATCH(K285,Clientes!$C$5:$C$549,0)),TRIM(INDEX(Clientes!$E$5:$E$549,MATCH(K285,Clientes!$C$5:$C$549,0))&amp;" "&amp;INDEX(Clientes!$F$5:$F$549,MATCH(K285,Clientes!$C$5:$C$549,0)))),"NO EXISTE en Clientes"))</f>
        <v/>
      </c>
      <c r="M285" s="17" t="n"/>
      <c r="N285" s="17" t="n"/>
      <c r="O285" s="42" t="n"/>
      <c r="P285" s="39">
        <f>IF(O285&lt;&gt;"",DATE(YEAR(O285)+5,MONTH(O285),1),IF(AND(M285&lt;&gt;"",N285&lt;&gt;""),DATE(M285+5,N285,1),""))</f>
        <v/>
      </c>
      <c r="Q285" s="23" t="n"/>
      <c r="R285" s="17" t="n"/>
      <c r="S285" s="17" t="n"/>
      <c r="T285" s="17" t="n"/>
      <c r="U285" s="17" t="n"/>
      <c r="V285" s="23" t="n"/>
      <c r="W285" s="17" t="n"/>
      <c r="X285" s="17" t="n"/>
      <c r="Y285" s="28">
        <f>IF(B285&lt;&gt;"OK","","SELECT bal_crear_balon(p_codigo_balon =&gt; "&amp;IF(TRIM(C285&amp;"")="","NULL","'"&amp;SUBSTITUTE(TRIM(C285),"'","''")&amp;"'")&amp;", p_id_tipo_balon =&gt; "&amp;"(SELECT id FROM bal_tipo_balon WHERE upper(nombre) = upper('"&amp;SUBSTITUTE(TRIM(D285),"'","''")&amp;"') AND estado = 1 LIMIT 1)"&amp;", p_id_producto_gas =&gt; "&amp;"(SELECT id FROM pro_producto WHERE es_gas = TRUE AND upper(nombre) = upper('"&amp;SUBSTITUTE(TRIM(E285),"'","''")&amp;"') AND estado = 1 LIMIT 1)"&amp;", p_id_propietario =&gt; "&amp;IF(TRIM(F285&amp;"")="","NULL","(SELECT lo.id FROM gen_lista_opciones lo JOIN gen_lista l ON l.id = lo.id_lista WHERE l.nombre = 'PropietarioBalon' AND upper(lo.nombre) = upper('"&amp;SUBSTITUTE(TRIM(F285),"'","''")&amp;"') AND lo.estado = 1 LIMIT 1)")&amp;", p_id_cliente_propietario =&gt; "&amp;IF(F285="CLIENTE",IF(TRIM(G285&amp;"")="","NULL","(SELECT id FROM cli_clientes WHERE numero_documento = '"&amp;SUBSTITUTE(TRIM(G285),"'","''")&amp;"' AND estado = 1 LIMIT 1)"),"NULL")&amp;", p_id_planta =&gt; "&amp;IF(F285="PLANTA",IF(TRIM(G285&amp;"")="","NULL","(SELECT id FROM cli_clientes WHERE numero_documento = '"&amp;SUBSTITUTE(TRIM(G285),"'","''")&amp;"'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"&amp;IF(TRIM(J285&amp;"")="","NULL","(SELECT id FROM gen_almacen WHERE upper(nombre) = upper('"&amp;SUBSTITUTE(TRIM(J285),"'","''")&amp;"') AND estado = 1 LIMIT 1)")&amp;", p_id_cliente_ubicacion =&gt; "&amp;IF(TRIM(K285&amp;"")="","NULL","(SELECT id FROM cli_clientes WHERE numero_documento = '"&amp;SUBSTITUTE(TRIM(K285),"'","''")&amp;"' AND estado = 1 LIMIT 1)")&amp;", p_id_referencia =&gt; "&amp;IF(TRIM(J285&amp;"")&lt;&gt;"","(SELECT lo.id FROM gen_lista_opciones lo JOIN gen_lista l ON l.id = lo.id_lista WHERE l.nombre = 'ReferenciaCilindro' AND upper(lo.nombre) = 'ALMACEN' AND lo.estado = 1 LIMIT 1)",IF(TRIM(K285&amp;"")&lt;&gt;"","(SELECT lo.id FROM gen_lista_opciones lo JOIN gen_lista l ON l.id = lo.id_lista WHERE l.nombre = 'ReferenciaCilindro' AND upper(lo.nombre) = 'CLIENTE' AND lo.estado = 1 LIMIT 1)","NULL"))&amp;", p_anio_fabricacion =&gt; "&amp;IF(M285&amp;""="","NULL::smallint",M285&amp;"::smallint")&amp;", p_mes_fabricacion =&gt; "&amp;IF(N285&amp;""="","NULL::smallint",N285&amp;"::smallint")&amp;", p_fecha_ultima_prueba_hidrostatica =&gt; "&amp;IF(O285&amp;""="","NULL","'"&amp;YEAR(O285)&amp;"-"&amp;TEXT(MONTH(O285),"00")&amp;"-"&amp;TEXT(DAY(O285),"00")&amp;"'")&amp;", p_numero_serie =&gt; "&amp;IF(TRIM(Q285&amp;"")="","NULL","'"&amp;SUBSTITUTE(TRIM(Q285),"'","''")&amp;"'")&amp;", p_id_marca_cilindro =&gt; "&amp;IF(TRIM(R285&amp;"")="","NULL","(SELECT lo.id FROM gen_lista_opciones lo JOIN gen_lista l ON l.id = lo.id_lista WHERE l.nombre = 'MarcaCilindro' AND upper(lo.nombre) = upper('"&amp;SUBSTITUTE(TRIM(R285),"'","''")&amp;"') AND lo.estado = 1 LIMIT 1)")&amp;", p_id_organo_inspector =&gt; "&amp;IF(TRIM(S285&amp;"")="","NULL","(SELECT lo.id FROM gen_lista_opciones lo JOIN gen_lista l ON l.id = lo.id_lista WHERE l.nombre = 'OrganoInspectorCilindro' AND upper(lo.nombre) = upper('"&amp;SUBSTITUTE(TRIM(S285),"'","''")&amp;"') AND lo.estado = 1 LIMIT 1)")&amp;", p_organo_inspector_no_aplica =&gt; "&amp;IF(S285="NO_APLICA","TRUE","FALSE")&amp;", p_presion_actual =&gt; "&amp;IF(T285&amp;""="","NULL",SUBSTITUTE(T285&amp;"",",","."))&amp;", p_tipo_valvula =&gt; "&amp;IF(TRIM(U285&amp;"")="","NULL","'"&amp;SUBSTITUTE(TRIM(U285),"'","''")&amp;"'")&amp;", p_libro_cilindro =&gt; "&amp;IF(TRIM(V285&amp;"")="","NULL","'"&amp;SUBSTITUTE(TRIM(V285),"'","''")&amp;"'")&amp;", p_pagina_libro =&gt; "&amp;IF(W285&amp;""="","NULL",SUBSTITUTE(W285&amp;"",",","."))&amp;", p_observacion =&gt; "&amp;IF(TRIM(X285&amp;"")="","NULL","'"&amp;SUBSTITUTE(TRIM(X285),"'","''")&amp;"'")&amp;") AS resultado_balon_"&amp;ROW()&amp;";")</f>
        <v/>
      </c>
    </row>
    <row r="286" ht="15.75" customHeight="1" s="64">
      <c r="A286" s="36" t="inlineStr">
        <is>
          <t>282</t>
        </is>
      </c>
      <c r="B286" s="25">
        <f>IF(AND(C286="",D286="",E286=""),"",IF(C286="","FALTA código balón",IF(D286="","FALTA tipo balón",IF(E286="","FALTA gas",IF(F286="","FALTA propietario",IF(AND(C286&lt;&gt;"",SUMPRODUCT(--($C$5:$C$1200=C286))&gt;1),"CÓDIGO BALÓN DUPLICADO",IF(AND(OR(UPPER(F286)="PLANTA",UPPER(F286)="CLIENTE"),G286=""),"FALTA doc propietario/planta",IF(AND(UPPER(F286)="PLANTA",G286="10175332796"),"PLANTA no puede ser RUC empresa","OK"))))))))</f>
        <v/>
      </c>
      <c r="C286" s="23" t="inlineStr">
        <is>
          <t>116795</t>
        </is>
      </c>
      <c r="D286" s="17" t="inlineStr">
        <is>
          <t>Oxígeno Medicinal 10 m³</t>
        </is>
      </c>
      <c r="E286" s="17" t="inlineStr">
        <is>
          <t>OXIGENO MEDICINAL</t>
        </is>
      </c>
      <c r="F286" s="17" t="inlineStr">
        <is>
          <t>EMPRESA</t>
        </is>
      </c>
      <c r="G286" s="23" t="inlineStr">
        <is>
          <t>10175332796</t>
        </is>
      </c>
      <c r="H286" s="25">
        <f t="array" ref="H286">IF(G286="","",IFERROR(IF(INDEX(Clientes!$D$5:$D$549,MATCH(G286,Clientes!$C$5:$C$549,0))&lt;&gt;"",INDEX(Clientes!$D$5:$D$549,MATCH(G286,Clientes!$C$5:$C$549,0)),TRIM(INDEX(Clientes!$E$5:$E$549,MATCH(G286,Clientes!$C$5:$C$549,0))&amp;" "&amp;INDEX(Clientes!$F$5:$F$549,MATCH(G286,Clientes!$C$5:$C$549,0)))),"NO EXISTE en Clientes"))</f>
        <v/>
      </c>
      <c r="I286" s="17" t="inlineStr">
        <is>
          <t>DISPONIBLE</t>
        </is>
      </c>
      <c r="J286" s="17" t="inlineStr">
        <is>
          <t>ALMACEN PRINCIPAL</t>
        </is>
      </c>
      <c r="K286" s="23" t="n"/>
      <c r="L286" s="25">
        <f t="array" ref="L286">IF(K286="","",IFERROR(IF(INDEX(Clientes!$D$5:$D$549,MATCH(K286,Clientes!$C$5:$C$549,0))&lt;&gt;"",INDEX(Clientes!$D$5:$D$549,MATCH(K286,Clientes!$C$5:$C$549,0)),TRIM(INDEX(Clientes!$E$5:$E$549,MATCH(K286,Clientes!$C$5:$C$549,0))&amp;" "&amp;INDEX(Clientes!$F$5:$F$549,MATCH(K286,Clientes!$C$5:$C$549,0)))),"NO EXISTE en Clientes"))</f>
        <v/>
      </c>
      <c r="M286" s="17" t="n"/>
      <c r="N286" s="17" t="n"/>
      <c r="O286" s="42" t="n"/>
      <c r="P286" s="39">
        <f>IF(O286&lt;&gt;"",DATE(YEAR(O286)+5,MONTH(O286),1),IF(AND(M286&lt;&gt;"",N286&lt;&gt;""),DATE(M286+5,N286,1),""))</f>
        <v/>
      </c>
      <c r="Q286" s="23" t="n"/>
      <c r="R286" s="17" t="n"/>
      <c r="S286" s="17" t="n"/>
      <c r="T286" s="17" t="n"/>
      <c r="U286" s="17" t="n"/>
      <c r="V286" s="23" t="n"/>
      <c r="W286" s="17" t="n"/>
      <c r="X286" s="17" t="n"/>
      <c r="Y286" s="28">
        <f>IF(B286&lt;&gt;"OK","","SELECT bal_crear_balon(p_codigo_balon =&gt; "&amp;IF(TRIM(C286&amp;"")="","NULL","'"&amp;SUBSTITUTE(TRIM(C286),"'","''")&amp;"'")&amp;", p_id_tipo_balon =&gt; "&amp;"(SELECT id FROM bal_tipo_balon WHERE upper(nombre) = upper('"&amp;SUBSTITUTE(TRIM(D286),"'","''")&amp;"') AND estado = 1 LIMIT 1)"&amp;", p_id_producto_gas =&gt; "&amp;"(SELECT id FROM pro_producto WHERE es_gas = TRUE AND upper(nombre) = upper('"&amp;SUBSTITUTE(TRIM(E286),"'","''")&amp;"') AND estado = 1 LIMIT 1)"&amp;", p_id_propietario =&gt; "&amp;IF(TRIM(F286&amp;"")="","NULL","(SELECT lo.id FROM gen_lista_opciones lo JOIN gen_lista l ON l.id = lo.id_lista WHERE l.nombre = 'PropietarioBalon' AND upper(lo.nombre) = upper('"&amp;SUBSTITUTE(TRIM(F286),"'","''")&amp;"') AND lo.estado = 1 LIMIT 1)")&amp;", p_id_cliente_propietario =&gt; "&amp;IF(F286="CLIENTE",IF(TRIM(G286&amp;"")="","NULL","(SELECT id FROM cli_clientes WHERE numero_documento = '"&amp;SUBSTITUTE(TRIM(G286),"'","''")&amp;"' AND estado = 1 LIMIT 1)"),"NULL")&amp;", p_id_planta =&gt; "&amp;IF(F286="PLANTA",IF(TRIM(G286&amp;"")="","NULL","(SELECT id FROM cli_clientes WHERE numero_documento = '"&amp;SUBSTITUTE(TRIM(G286),"'","''")&amp;"'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"&amp;IF(TRIM(J286&amp;"")="","NULL","(SELECT id FROM gen_almacen WHERE upper(nombre) = upper('"&amp;SUBSTITUTE(TRIM(J286),"'","''")&amp;"') AND estado = 1 LIMIT 1)")&amp;", p_id_cliente_ubicacion =&gt; "&amp;IF(TRIM(K286&amp;"")="","NULL","(SELECT id FROM cli_clientes WHERE numero_documento = '"&amp;SUBSTITUTE(TRIM(K286),"'","''")&amp;"' AND estado = 1 LIMIT 1)")&amp;", p_id_referencia =&gt; "&amp;IF(TRIM(J286&amp;"")&lt;&gt;"","(SELECT lo.id FROM gen_lista_opciones lo JOIN gen_lista l ON l.id = lo.id_lista WHERE l.nombre = 'ReferenciaCilindro' AND upper(lo.nombre) = 'ALMACEN' AND lo.estado = 1 LIMIT 1)",IF(TRIM(K286&amp;"")&lt;&gt;"","(SELECT lo.id FROM gen_lista_opciones lo JOIN gen_lista l ON l.id = lo.id_lista WHERE l.nombre = 'ReferenciaCilindro' AND upper(lo.nombre) = 'CLIENTE' AND lo.estado = 1 LIMIT 1)","NULL"))&amp;", p_anio_fabricacion =&gt; "&amp;IF(M286&amp;""="","NULL::smallint",M286&amp;"::smallint")&amp;", p_mes_fabricacion =&gt; "&amp;IF(N286&amp;""="","NULL::smallint",N286&amp;"::smallint")&amp;", p_fecha_ultima_prueba_hidrostatica =&gt; "&amp;IF(O286&amp;""="","NULL","'"&amp;YEAR(O286)&amp;"-"&amp;TEXT(MONTH(O286),"00")&amp;"-"&amp;TEXT(DAY(O286),"00")&amp;"'")&amp;", p_numero_serie =&gt; "&amp;IF(TRIM(Q286&amp;"")="","NULL","'"&amp;SUBSTITUTE(TRIM(Q286),"'","''")&amp;"'")&amp;", p_id_marca_cilindro =&gt; "&amp;IF(TRIM(R286&amp;"")="","NULL","(SELECT lo.id FROM gen_lista_opciones lo JOIN gen_lista l ON l.id = lo.id_lista WHERE l.nombre = 'MarcaCilindro' AND upper(lo.nombre) = upper('"&amp;SUBSTITUTE(TRIM(R286),"'","''")&amp;"') AND lo.estado = 1 LIMIT 1)")&amp;", p_id_organo_inspector =&gt; "&amp;IF(TRIM(S286&amp;"")="","NULL","(SELECT lo.id FROM gen_lista_opciones lo JOIN gen_lista l ON l.id = lo.id_lista WHERE l.nombre = 'OrganoInspectorCilindro' AND upper(lo.nombre) = upper('"&amp;SUBSTITUTE(TRIM(S286),"'","''")&amp;"') AND lo.estado = 1 LIMIT 1)")&amp;", p_organo_inspector_no_aplica =&gt; "&amp;IF(S286="NO_APLICA","TRUE","FALSE")&amp;", p_presion_actual =&gt; "&amp;IF(T286&amp;""="","NULL",SUBSTITUTE(T286&amp;"",",","."))&amp;", p_tipo_valvula =&gt; "&amp;IF(TRIM(U286&amp;"")="","NULL","'"&amp;SUBSTITUTE(TRIM(U286),"'","''")&amp;"'")&amp;", p_libro_cilindro =&gt; "&amp;IF(TRIM(V286&amp;"")="","NULL","'"&amp;SUBSTITUTE(TRIM(V286),"'","''")&amp;"'")&amp;", p_pagina_libro =&gt; "&amp;IF(W286&amp;""="","NULL",SUBSTITUTE(W286&amp;"",",","."))&amp;", p_observacion =&gt; "&amp;IF(TRIM(X286&amp;"")="","NULL","'"&amp;SUBSTITUTE(TRIM(X286),"'","''")&amp;"'")&amp;") AS resultado_balon_"&amp;ROW()&amp;";")</f>
        <v/>
      </c>
    </row>
    <row r="287" ht="15.75" customHeight="1" s="64">
      <c r="A287" s="36" t="inlineStr">
        <is>
          <t>283</t>
        </is>
      </c>
      <c r="B287" s="25">
        <f>IF(AND(C287="",D287="",E287=""),"",IF(C287="","FALTA código balón",IF(D287="","FALTA tipo balón",IF(E287="","FALTA gas",IF(F287="","FALTA propietario",IF(AND(C287&lt;&gt;"",SUMPRODUCT(--($C$5:$C$1200=C287))&gt;1),"CÓDIGO BALÓN DUPLICADO",IF(AND(OR(UPPER(F287)="PLANTA",UPPER(F287)="CLIENTE"),G287=""),"FALTA doc propietario/planta",IF(AND(UPPER(F287)="PLANTA",G287="10175332796"),"PLANTA no puede ser RUC empresa","OK"))))))))</f>
        <v/>
      </c>
      <c r="C287" s="23" t="inlineStr">
        <is>
          <t>6641000Y</t>
        </is>
      </c>
      <c r="D287" s="17" t="inlineStr">
        <is>
          <t>Oxígeno Medicinal 10 m³</t>
        </is>
      </c>
      <c r="E287" s="17" t="inlineStr">
        <is>
          <t>OXIGENO MEDICINAL</t>
        </is>
      </c>
      <c r="F287" s="17" t="inlineStr">
        <is>
          <t>EMPRESA</t>
        </is>
      </c>
      <c r="G287" s="23" t="inlineStr">
        <is>
          <t>10175332796</t>
        </is>
      </c>
      <c r="H287" s="25">
        <f t="array" ref="H287">IF(G287="","",IFERROR(IF(INDEX(Clientes!$D$5:$D$549,MATCH(G287,Clientes!$C$5:$C$549,0))&lt;&gt;"",INDEX(Clientes!$D$5:$D$549,MATCH(G287,Clientes!$C$5:$C$549,0)),TRIM(INDEX(Clientes!$E$5:$E$549,MATCH(G287,Clientes!$C$5:$C$549,0))&amp;" "&amp;INDEX(Clientes!$F$5:$F$549,MATCH(G287,Clientes!$C$5:$C$549,0)))),"NO EXISTE en Clientes"))</f>
        <v/>
      </c>
      <c r="I287" s="17" t="inlineStr">
        <is>
          <t>DISPONIBLE</t>
        </is>
      </c>
      <c r="J287" s="17" t="inlineStr">
        <is>
          <t>ALMACEN PRINCIPAL</t>
        </is>
      </c>
      <c r="K287" s="23" t="n"/>
      <c r="L287" s="25">
        <f t="array" ref="L287">IF(K287="","",IFERROR(IF(INDEX(Clientes!$D$5:$D$549,MATCH(K287,Clientes!$C$5:$C$549,0))&lt;&gt;"",INDEX(Clientes!$D$5:$D$549,MATCH(K287,Clientes!$C$5:$C$549,0)),TRIM(INDEX(Clientes!$E$5:$E$549,MATCH(K287,Clientes!$C$5:$C$549,0))&amp;" "&amp;INDEX(Clientes!$F$5:$F$549,MATCH(K287,Clientes!$C$5:$C$549,0)))),"NO EXISTE en Clientes"))</f>
        <v/>
      </c>
      <c r="M287" s="17" t="n"/>
      <c r="N287" s="17" t="n"/>
      <c r="O287" s="42" t="n"/>
      <c r="P287" s="39">
        <f>IF(O287&lt;&gt;"",DATE(YEAR(O287)+5,MONTH(O287),1),IF(AND(M287&lt;&gt;"",N287&lt;&gt;""),DATE(M287+5,N287,1),""))</f>
        <v/>
      </c>
      <c r="Q287" s="23" t="n"/>
      <c r="R287" s="17" t="n"/>
      <c r="S287" s="17" t="n"/>
      <c r="T287" s="17" t="n"/>
      <c r="U287" s="17" t="n"/>
      <c r="V287" s="23" t="n"/>
      <c r="W287" s="17" t="n"/>
      <c r="X287" s="17" t="n"/>
      <c r="Y287" s="28">
        <f>IF(B287&lt;&gt;"OK","","SELECT bal_crear_balon(p_codigo_balon =&gt; "&amp;IF(TRIM(C287&amp;"")="","NULL","'"&amp;SUBSTITUTE(TRIM(C287),"'","''")&amp;"'")&amp;", p_id_tipo_balon =&gt; "&amp;"(SELECT id FROM bal_tipo_balon WHERE upper(nombre) = upper('"&amp;SUBSTITUTE(TRIM(D287),"'","''")&amp;"') AND estado = 1 LIMIT 1)"&amp;", p_id_producto_gas =&gt; "&amp;"(SELECT id FROM pro_producto WHERE es_gas = TRUE AND upper(nombre) = upper('"&amp;SUBSTITUTE(TRIM(E287),"'","''")&amp;"') AND estado = 1 LIMIT 1)"&amp;", p_id_propietario =&gt; "&amp;IF(TRIM(F287&amp;"")="","NULL","(SELECT lo.id FROM gen_lista_opciones lo JOIN gen_lista l ON l.id = lo.id_lista WHERE l.nombre = 'PropietarioBalon' AND upper(lo.nombre) = upper('"&amp;SUBSTITUTE(TRIM(F287),"'","''")&amp;"') AND lo.estado = 1 LIMIT 1)")&amp;", p_id_cliente_propietario =&gt; "&amp;IF(F287="CLIENTE",IF(TRIM(G287&amp;"")="","NULL","(SELECT id FROM cli_clientes WHERE numero_documento = '"&amp;SUBSTITUTE(TRIM(G287),"'","''")&amp;"' AND estado = 1 LIMIT 1)"),"NULL")&amp;", p_id_planta =&gt; "&amp;IF(F287="PLANTA",IF(TRIM(G287&amp;"")="","NULL","(SELECT id FROM cli_clientes WHERE numero_documento = '"&amp;SUBSTITUTE(TRIM(G287),"'","''")&amp;"'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"&amp;IF(TRIM(J287&amp;"")="","NULL","(SELECT id FROM gen_almacen WHERE upper(nombre) = upper('"&amp;SUBSTITUTE(TRIM(J287),"'","''")&amp;"') AND estado = 1 LIMIT 1)")&amp;", p_id_cliente_ubicacion =&gt; "&amp;IF(TRIM(K287&amp;"")="","NULL","(SELECT id FROM cli_clientes WHERE numero_documento = '"&amp;SUBSTITUTE(TRIM(K287),"'","''")&amp;"' AND estado = 1 LIMIT 1)")&amp;", p_id_referencia =&gt; "&amp;IF(TRIM(J287&amp;"")&lt;&gt;"","(SELECT lo.id FROM gen_lista_opciones lo JOIN gen_lista l ON l.id = lo.id_lista WHERE l.nombre = 'ReferenciaCilindro' AND upper(lo.nombre) = 'ALMACEN' AND lo.estado = 1 LIMIT 1)",IF(TRIM(K287&amp;"")&lt;&gt;"","(SELECT lo.id FROM gen_lista_opciones lo JOIN gen_lista l ON l.id = lo.id_lista WHERE l.nombre = 'ReferenciaCilindro' AND upper(lo.nombre) = 'CLIENTE' AND lo.estado = 1 LIMIT 1)","NULL"))&amp;", p_anio_fabricacion =&gt; "&amp;IF(M287&amp;""="","NULL::smallint",M287&amp;"::smallint")&amp;", p_mes_fabricacion =&gt; "&amp;IF(N287&amp;""="","NULL::smallint",N287&amp;"::smallint")&amp;", p_fecha_ultima_prueba_hidrostatica =&gt; "&amp;IF(O287&amp;""="","NULL","'"&amp;YEAR(O287)&amp;"-"&amp;TEXT(MONTH(O287),"00")&amp;"-"&amp;TEXT(DAY(O287),"00")&amp;"'")&amp;", p_numero_serie =&gt; "&amp;IF(TRIM(Q287&amp;"")="","NULL","'"&amp;SUBSTITUTE(TRIM(Q287),"'","''")&amp;"'")&amp;", p_id_marca_cilindro =&gt; "&amp;IF(TRIM(R287&amp;"")="","NULL","(SELECT lo.id FROM gen_lista_opciones lo JOIN gen_lista l ON l.id = lo.id_lista WHERE l.nombre = 'MarcaCilindro' AND upper(lo.nombre) = upper('"&amp;SUBSTITUTE(TRIM(R287),"'","''")&amp;"') AND lo.estado = 1 LIMIT 1)")&amp;", p_id_organo_inspector =&gt; "&amp;IF(TRIM(S287&amp;"")="","NULL","(SELECT lo.id FROM gen_lista_opciones lo JOIN gen_lista l ON l.id = lo.id_lista WHERE l.nombre = 'OrganoInspectorCilindro' AND upper(lo.nombre) = upper('"&amp;SUBSTITUTE(TRIM(S287),"'","''")&amp;"') AND lo.estado = 1 LIMIT 1)")&amp;", p_organo_inspector_no_aplica =&gt; "&amp;IF(S287="NO_APLICA","TRUE","FALSE")&amp;", p_presion_actual =&gt; "&amp;IF(T287&amp;""="","NULL",SUBSTITUTE(T287&amp;"",",","."))&amp;", p_tipo_valvula =&gt; "&amp;IF(TRIM(U287&amp;"")="","NULL","'"&amp;SUBSTITUTE(TRIM(U287),"'","''")&amp;"'")&amp;", p_libro_cilindro =&gt; "&amp;IF(TRIM(V287&amp;"")="","NULL","'"&amp;SUBSTITUTE(TRIM(V287),"'","''")&amp;"'")&amp;", p_pagina_libro =&gt; "&amp;IF(W287&amp;""="","NULL",SUBSTITUTE(W287&amp;"",",","."))&amp;", p_observacion =&gt; "&amp;IF(TRIM(X287&amp;"")="","NULL","'"&amp;SUBSTITUTE(TRIM(X287),"'","''")&amp;"'")&amp;") AS resultado_balon_"&amp;ROW()&amp;";")</f>
        <v/>
      </c>
    </row>
    <row r="288" ht="15.75" customHeight="1" s="64">
      <c r="A288" s="36" t="inlineStr">
        <is>
          <t>284</t>
        </is>
      </c>
      <c r="B288" s="25">
        <f>IF(AND(C288="",D288="",E288=""),"",IF(C288="","FALTA código balón",IF(D288="","FALTA tipo balón",IF(E288="","FALTA gas",IF(F288="","FALTA propietario",IF(AND(C288&lt;&gt;"",SUMPRODUCT(--($C$5:$C$1200=C288))&gt;1),"CÓDIGO BALÓN DUPLICADO",IF(AND(OR(UPPER(F288)="PLANTA",UPPER(F288)="CLIENTE"),G288=""),"FALTA doc propietario/planta",IF(AND(UPPER(F288)="PLANTA",G288="10175332796"),"PLANTA no puede ser RUC empresa","OK"))))))))</f>
        <v/>
      </c>
      <c r="C288" s="23" t="inlineStr">
        <is>
          <t>K4852153</t>
        </is>
      </c>
      <c r="D288" s="17" t="inlineStr">
        <is>
          <t>Oxígeno Medicinal 10 m³</t>
        </is>
      </c>
      <c r="E288" s="17" t="inlineStr">
        <is>
          <t>OXIGENO MEDICINAL</t>
        </is>
      </c>
      <c r="F288" s="17" t="inlineStr">
        <is>
          <t>EMPRESA</t>
        </is>
      </c>
      <c r="G288" s="23" t="inlineStr">
        <is>
          <t>10175332796</t>
        </is>
      </c>
      <c r="H288" s="25">
        <f t="array" ref="H288">IF(G288="","",IFERROR(IF(INDEX(Clientes!$D$5:$D$549,MATCH(G288,Clientes!$C$5:$C$549,0))&lt;&gt;"",INDEX(Clientes!$D$5:$D$549,MATCH(G288,Clientes!$C$5:$C$549,0)),TRIM(INDEX(Clientes!$E$5:$E$549,MATCH(G288,Clientes!$C$5:$C$549,0))&amp;" "&amp;INDEX(Clientes!$F$5:$F$549,MATCH(G288,Clientes!$C$5:$C$549,0)))),"NO EXISTE en Clientes"))</f>
        <v/>
      </c>
      <c r="I288" s="17" t="inlineStr">
        <is>
          <t>DISPONIBLE</t>
        </is>
      </c>
      <c r="J288" s="17" t="inlineStr">
        <is>
          <t>ALMACEN PRINCIPAL</t>
        </is>
      </c>
      <c r="K288" s="23" t="n"/>
      <c r="L288" s="25">
        <f t="array" ref="L288">IF(K288="","",IFERROR(IF(INDEX(Clientes!$D$5:$D$549,MATCH(K288,Clientes!$C$5:$C$549,0))&lt;&gt;"",INDEX(Clientes!$D$5:$D$549,MATCH(K288,Clientes!$C$5:$C$549,0)),TRIM(INDEX(Clientes!$E$5:$E$549,MATCH(K288,Clientes!$C$5:$C$549,0))&amp;" "&amp;INDEX(Clientes!$F$5:$F$549,MATCH(K288,Clientes!$C$5:$C$549,0)))),"NO EXISTE en Clientes"))</f>
        <v/>
      </c>
      <c r="M288" s="17" t="n"/>
      <c r="N288" s="17" t="n"/>
      <c r="O288" s="42" t="n"/>
      <c r="P288" s="39">
        <f>IF(O288&lt;&gt;"",DATE(YEAR(O288)+5,MONTH(O288),1),IF(AND(M288&lt;&gt;"",N288&lt;&gt;""),DATE(M288+5,N288,1),""))</f>
        <v/>
      </c>
      <c r="Q288" s="23" t="n"/>
      <c r="R288" s="17" t="n"/>
      <c r="S288" s="17" t="n"/>
      <c r="T288" s="17" t="n"/>
      <c r="U288" s="17" t="n"/>
      <c r="V288" s="23" t="n"/>
      <c r="W288" s="17" t="n"/>
      <c r="X288" s="17" t="n"/>
      <c r="Y288" s="28">
        <f>IF(B288&lt;&gt;"OK","","SELECT bal_crear_balon(p_codigo_balon =&gt; "&amp;IF(TRIM(C288&amp;"")="","NULL","'"&amp;SUBSTITUTE(TRIM(C288),"'","''")&amp;"'")&amp;", p_id_tipo_balon =&gt; "&amp;"(SELECT id FROM bal_tipo_balon WHERE upper(nombre) = upper('"&amp;SUBSTITUTE(TRIM(D288),"'","''")&amp;"') AND estado = 1 LIMIT 1)"&amp;", p_id_producto_gas =&gt; "&amp;"(SELECT id FROM pro_producto WHERE es_gas = TRUE AND upper(nombre) = upper('"&amp;SUBSTITUTE(TRIM(E288),"'","''")&amp;"') AND estado = 1 LIMIT 1)"&amp;", p_id_propietario =&gt; "&amp;IF(TRIM(F288&amp;"")="","NULL","(SELECT lo.id FROM gen_lista_opciones lo JOIN gen_lista l ON l.id = lo.id_lista WHERE l.nombre = 'PropietarioBalon' AND upper(lo.nombre) = upper('"&amp;SUBSTITUTE(TRIM(F288),"'","''")&amp;"') AND lo.estado = 1 LIMIT 1)")&amp;", p_id_cliente_propietario =&gt; "&amp;IF(F288="CLIENTE",IF(TRIM(G288&amp;"")="","NULL","(SELECT id FROM cli_clientes WHERE numero_documento = '"&amp;SUBSTITUTE(TRIM(G288),"'","''")&amp;"' AND estado = 1 LIMIT 1)"),"NULL")&amp;", p_id_planta =&gt; "&amp;IF(F288="PLANTA",IF(TRIM(G288&amp;"")="","NULL","(SELECT id FROM cli_clientes WHERE numero_documento = '"&amp;SUBSTITUTE(TRIM(G288),"'","''")&amp;"'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"&amp;IF(TRIM(J288&amp;"")="","NULL","(SELECT id FROM gen_almacen WHERE upper(nombre) = upper('"&amp;SUBSTITUTE(TRIM(J288),"'","''")&amp;"') AND estado = 1 LIMIT 1)")&amp;", p_id_cliente_ubicacion =&gt; "&amp;IF(TRIM(K288&amp;"")="","NULL","(SELECT id FROM cli_clientes WHERE numero_documento = '"&amp;SUBSTITUTE(TRIM(K288),"'","''")&amp;"' AND estado = 1 LIMIT 1)")&amp;", p_id_referencia =&gt; "&amp;IF(TRIM(J288&amp;"")&lt;&gt;"","(SELECT lo.id FROM gen_lista_opciones lo JOIN gen_lista l ON l.id = lo.id_lista WHERE l.nombre = 'ReferenciaCilindro' AND upper(lo.nombre) = 'ALMACEN' AND lo.estado = 1 LIMIT 1)",IF(TRIM(K288&amp;"")&lt;&gt;"","(SELECT lo.id FROM gen_lista_opciones lo JOIN gen_lista l ON l.id = lo.id_lista WHERE l.nombre = 'ReferenciaCilindro' AND upper(lo.nombre) = 'CLIENTE' AND lo.estado = 1 LIMIT 1)","NULL"))&amp;", p_anio_fabricacion =&gt; "&amp;IF(M288&amp;""="","NULL::smallint",M288&amp;"::smallint")&amp;", p_mes_fabricacion =&gt; "&amp;IF(N288&amp;""="","NULL::smallint",N288&amp;"::smallint")&amp;", p_fecha_ultima_prueba_hidrostatica =&gt; "&amp;IF(O288&amp;""="","NULL","'"&amp;YEAR(O288)&amp;"-"&amp;TEXT(MONTH(O288),"00")&amp;"-"&amp;TEXT(DAY(O288),"00")&amp;"'")&amp;", p_numero_serie =&gt; "&amp;IF(TRIM(Q288&amp;"")="","NULL","'"&amp;SUBSTITUTE(TRIM(Q288),"'","''")&amp;"'")&amp;", p_id_marca_cilindro =&gt; "&amp;IF(TRIM(R288&amp;"")="","NULL","(SELECT lo.id FROM gen_lista_opciones lo JOIN gen_lista l ON l.id = lo.id_lista WHERE l.nombre = 'MarcaCilindro' AND upper(lo.nombre) = upper('"&amp;SUBSTITUTE(TRIM(R288),"'","''")&amp;"') AND lo.estado = 1 LIMIT 1)")&amp;", p_id_organo_inspector =&gt; "&amp;IF(TRIM(S288&amp;"")="","NULL","(SELECT lo.id FROM gen_lista_opciones lo JOIN gen_lista l ON l.id = lo.id_lista WHERE l.nombre = 'OrganoInspectorCilindro' AND upper(lo.nombre) = upper('"&amp;SUBSTITUTE(TRIM(S288),"'","''")&amp;"') AND lo.estado = 1 LIMIT 1)")&amp;", p_organo_inspector_no_aplica =&gt; "&amp;IF(S288="NO_APLICA","TRUE","FALSE")&amp;", p_presion_actual =&gt; "&amp;IF(T288&amp;""="","NULL",SUBSTITUTE(T288&amp;"",",","."))&amp;", p_tipo_valvula =&gt; "&amp;IF(TRIM(U288&amp;"")="","NULL","'"&amp;SUBSTITUTE(TRIM(U288),"'","''")&amp;"'")&amp;", p_libro_cilindro =&gt; "&amp;IF(TRIM(V288&amp;"")="","NULL","'"&amp;SUBSTITUTE(TRIM(V288),"'","''")&amp;"'")&amp;", p_pagina_libro =&gt; "&amp;IF(W288&amp;""="","NULL",SUBSTITUTE(W288&amp;"",",","."))&amp;", p_observacion =&gt; "&amp;IF(TRIM(X288&amp;"")="","NULL","'"&amp;SUBSTITUTE(TRIM(X288),"'","''")&amp;"'")&amp;") AS resultado_balon_"&amp;ROW()&amp;";")</f>
        <v/>
      </c>
    </row>
    <row r="289" ht="15.75" customHeight="1" s="64">
      <c r="A289" s="36" t="inlineStr">
        <is>
          <t>285</t>
        </is>
      </c>
      <c r="B289" s="25">
        <f>IF(AND(C289="",D289="",E289=""),"",IF(C289="","FALTA código balón",IF(D289="","FALTA tipo balón",IF(E289="","FALTA gas",IF(F289="","FALTA propietario",IF(AND(C289&lt;&gt;"",SUMPRODUCT(--($C$5:$C$1200=C289))&gt;1),"CÓDIGO BALÓN DUPLICADO",IF(AND(OR(UPPER(F289)="PLANTA",UPPER(F289)="CLIENTE"),G289=""),"FALTA doc propietario/planta",IF(AND(UPPER(F289)="PLANTA",G289="10175332796"),"PLANTA no puede ser RUC empresa","OK"))))))))</f>
        <v/>
      </c>
      <c r="C289" s="23" t="inlineStr">
        <is>
          <t>672991</t>
        </is>
      </c>
      <c r="D289" s="17" t="inlineStr">
        <is>
          <t>Oxígeno Industrial 6 m³</t>
        </is>
      </c>
      <c r="E289" s="17" t="inlineStr">
        <is>
          <t>OXIGENO INDUSTRIAL</t>
        </is>
      </c>
      <c r="F289" s="17" t="inlineStr">
        <is>
          <t>EMPRESA</t>
        </is>
      </c>
      <c r="G289" s="23" t="inlineStr">
        <is>
          <t>10175332796</t>
        </is>
      </c>
      <c r="H289" s="25">
        <f t="array" ref="H289">IF(G289="","",IFERROR(IF(INDEX(Clientes!$D$5:$D$549,MATCH(G289,Clientes!$C$5:$C$549,0))&lt;&gt;"",INDEX(Clientes!$D$5:$D$549,MATCH(G289,Clientes!$C$5:$C$549,0)),TRIM(INDEX(Clientes!$E$5:$E$549,MATCH(G289,Clientes!$C$5:$C$549,0))&amp;" "&amp;INDEX(Clientes!$F$5:$F$549,MATCH(G289,Clientes!$C$5:$C$549,0)))),"NO EXISTE en Clientes"))</f>
        <v/>
      </c>
      <c r="I289" s="17" t="inlineStr">
        <is>
          <t>DISPONIBLE</t>
        </is>
      </c>
      <c r="J289" s="17" t="inlineStr">
        <is>
          <t>ALMACEN PRINCIPAL</t>
        </is>
      </c>
      <c r="K289" s="23" t="n"/>
      <c r="L289" s="25">
        <f t="array" ref="L289">IF(K289="","",IFERROR(IF(INDEX(Clientes!$D$5:$D$549,MATCH(K289,Clientes!$C$5:$C$549,0))&lt;&gt;"",INDEX(Clientes!$D$5:$D$549,MATCH(K289,Clientes!$C$5:$C$549,0)),TRIM(INDEX(Clientes!$E$5:$E$549,MATCH(K289,Clientes!$C$5:$C$549,0))&amp;" "&amp;INDEX(Clientes!$F$5:$F$549,MATCH(K289,Clientes!$C$5:$C$549,0)))),"NO EXISTE en Clientes"))</f>
        <v/>
      </c>
      <c r="M289" s="17" t="n"/>
      <c r="N289" s="17" t="n"/>
      <c r="O289" s="42" t="n"/>
      <c r="P289" s="39">
        <f>IF(O289&lt;&gt;"",DATE(YEAR(O289)+5,MONTH(O289),1),IF(AND(M289&lt;&gt;"",N289&lt;&gt;""),DATE(M289+5,N289,1),""))</f>
        <v/>
      </c>
      <c r="Q289" s="23" t="n"/>
      <c r="R289" s="17" t="n"/>
      <c r="S289" s="17" t="n"/>
      <c r="T289" s="17" t="n"/>
      <c r="U289" s="17" t="n"/>
      <c r="V289" s="23" t="n"/>
      <c r="W289" s="17" t="n"/>
      <c r="X289" s="17" t="n"/>
      <c r="Y289" s="28">
        <f>IF(B289&lt;&gt;"OK","","SELECT bal_crear_balon(p_codigo_balon =&gt; "&amp;IF(TRIM(C289&amp;"")="","NULL","'"&amp;SUBSTITUTE(TRIM(C289),"'","''")&amp;"'")&amp;", p_id_tipo_balon =&gt; "&amp;"(SELECT id FROM bal_tipo_balon WHERE upper(nombre) = upper('"&amp;SUBSTITUTE(TRIM(D289),"'","''")&amp;"') AND estado = 1 LIMIT 1)"&amp;", p_id_producto_gas =&gt; "&amp;"(SELECT id FROM pro_producto WHERE es_gas = TRUE AND upper(nombre) = upper('"&amp;SUBSTITUTE(TRIM(E289),"'","''")&amp;"') AND estado = 1 LIMIT 1)"&amp;", p_id_propietario =&gt; "&amp;IF(TRIM(F289&amp;"")="","NULL","(SELECT lo.id FROM gen_lista_opciones lo JOIN gen_lista l ON l.id = lo.id_lista WHERE l.nombre = 'PropietarioBalon' AND upper(lo.nombre) = upper('"&amp;SUBSTITUTE(TRIM(F289),"'","''")&amp;"') AND lo.estado = 1 LIMIT 1)")&amp;", p_id_cliente_propietario =&gt; "&amp;IF(F289="CLIENTE",IF(TRIM(G289&amp;"")="","NULL","(SELECT id FROM cli_clientes WHERE numero_documento = '"&amp;SUBSTITUTE(TRIM(G289),"'","''")&amp;"' AND estado = 1 LIMIT 1)"),"NULL")&amp;", p_id_planta =&gt; "&amp;IF(F289="PLANTA",IF(TRIM(G289&amp;"")="","NULL","(SELECT id FROM cli_clientes WHERE numero_documento = '"&amp;SUBSTITUTE(TRIM(G289),"'","''")&amp;"'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"&amp;IF(TRIM(J289&amp;"")="","NULL","(SELECT id FROM gen_almacen WHERE upper(nombre) = upper('"&amp;SUBSTITUTE(TRIM(J289),"'","''")&amp;"') AND estado = 1 LIMIT 1)")&amp;", p_id_cliente_ubicacion =&gt; "&amp;IF(TRIM(K289&amp;"")="","NULL","(SELECT id FROM cli_clientes WHERE numero_documento = '"&amp;SUBSTITUTE(TRIM(K289),"'","''")&amp;"' AND estado = 1 LIMIT 1)")&amp;", p_id_referencia =&gt; "&amp;IF(TRIM(J289&amp;"")&lt;&gt;"","(SELECT lo.id FROM gen_lista_opciones lo JOIN gen_lista l ON l.id = lo.id_lista WHERE l.nombre = 'ReferenciaCilindro' AND upper(lo.nombre) = 'ALMACEN' AND lo.estado = 1 LIMIT 1)",IF(TRIM(K289&amp;"")&lt;&gt;"","(SELECT lo.id FROM gen_lista_opciones lo JOIN gen_lista l ON l.id = lo.id_lista WHERE l.nombre = 'ReferenciaCilindro' AND upper(lo.nombre) = 'CLIENTE' AND lo.estado = 1 LIMIT 1)","NULL"))&amp;", p_anio_fabricacion =&gt; "&amp;IF(M289&amp;""="","NULL::smallint",M289&amp;"::smallint")&amp;", p_mes_fabricacion =&gt; "&amp;IF(N289&amp;""="","NULL::smallint",N289&amp;"::smallint")&amp;", p_fecha_ultima_prueba_hidrostatica =&gt; "&amp;IF(O289&amp;""="","NULL","'"&amp;YEAR(O289)&amp;"-"&amp;TEXT(MONTH(O289),"00")&amp;"-"&amp;TEXT(DAY(O289),"00")&amp;"'")&amp;", p_numero_serie =&gt; "&amp;IF(TRIM(Q289&amp;"")="","NULL","'"&amp;SUBSTITUTE(TRIM(Q289),"'","''")&amp;"'")&amp;", p_id_marca_cilindro =&gt; "&amp;IF(TRIM(R289&amp;"")="","NULL","(SELECT lo.id FROM gen_lista_opciones lo JOIN gen_lista l ON l.id = lo.id_lista WHERE l.nombre = 'MarcaCilindro' AND upper(lo.nombre) = upper('"&amp;SUBSTITUTE(TRIM(R289),"'","''")&amp;"') AND lo.estado = 1 LIMIT 1)")&amp;", p_id_organo_inspector =&gt; "&amp;IF(TRIM(S289&amp;"")="","NULL","(SELECT lo.id FROM gen_lista_opciones lo JOIN gen_lista l ON l.id = lo.id_lista WHERE l.nombre = 'OrganoInspectorCilindro' AND upper(lo.nombre) = upper('"&amp;SUBSTITUTE(TRIM(S289),"'","''")&amp;"') AND lo.estado = 1 LIMIT 1)")&amp;", p_organo_inspector_no_aplica =&gt; "&amp;IF(S289="NO_APLICA","TRUE","FALSE")&amp;", p_presion_actual =&gt; "&amp;IF(T289&amp;""="","NULL",SUBSTITUTE(T289&amp;"",",","."))&amp;", p_tipo_valvula =&gt; "&amp;IF(TRIM(U289&amp;"")="","NULL","'"&amp;SUBSTITUTE(TRIM(U289),"'","''")&amp;"'")&amp;", p_libro_cilindro =&gt; "&amp;IF(TRIM(V289&amp;"")="","NULL","'"&amp;SUBSTITUTE(TRIM(V289),"'","''")&amp;"'")&amp;", p_pagina_libro =&gt; "&amp;IF(W289&amp;""="","NULL",SUBSTITUTE(W289&amp;"",",","."))&amp;", p_observacion =&gt; "&amp;IF(TRIM(X289&amp;"")="","NULL","'"&amp;SUBSTITUTE(TRIM(X289),"'","''")&amp;"'")&amp;") AS resultado_balon_"&amp;ROW()&amp;";")</f>
        <v/>
      </c>
    </row>
    <row r="290" ht="15.75" customHeight="1" s="64">
      <c r="A290" s="36" t="inlineStr">
        <is>
          <t>286</t>
        </is>
      </c>
      <c r="B290" s="25">
        <f>IF(AND(C290="",D290="",E290=""),"",IF(C290="","FALTA código balón",IF(D290="","FALTA tipo balón",IF(E290="","FALTA gas",IF(F290="","FALTA propietario",IF(AND(C290&lt;&gt;"",SUMPRODUCT(--($C$5:$C$1200=C290))&gt;1),"CÓDIGO BALÓN DUPLICADO",IF(AND(OR(UPPER(F290)="PLANTA",UPPER(F290)="CLIENTE"),G290=""),"FALTA doc propietario/planta",IF(AND(UPPER(F290)="PLANTA",G290="10175332796"),"PLANTA no puede ser RUC empresa","OK"))))))))</f>
        <v/>
      </c>
      <c r="C290" s="23" t="inlineStr">
        <is>
          <t>50456</t>
        </is>
      </c>
      <c r="D290" s="17" t="inlineStr">
        <is>
          <t>Oxígeno Industrial 6 m³</t>
        </is>
      </c>
      <c r="E290" s="17" t="inlineStr">
        <is>
          <t>OXIGENO INDUSTRIAL</t>
        </is>
      </c>
      <c r="F290" s="17" t="inlineStr">
        <is>
          <t>EMPRESA</t>
        </is>
      </c>
      <c r="G290" s="23" t="inlineStr">
        <is>
          <t>10175332796</t>
        </is>
      </c>
      <c r="H290" s="25">
        <f t="array" ref="H290">IF(G290="","",IFERROR(IF(INDEX(Clientes!$D$5:$D$549,MATCH(G290,Clientes!$C$5:$C$549,0))&lt;&gt;"",INDEX(Clientes!$D$5:$D$549,MATCH(G290,Clientes!$C$5:$C$549,0)),TRIM(INDEX(Clientes!$E$5:$E$549,MATCH(G290,Clientes!$C$5:$C$549,0))&amp;" "&amp;INDEX(Clientes!$F$5:$F$549,MATCH(G290,Clientes!$C$5:$C$549,0)))),"NO EXISTE en Clientes"))</f>
        <v/>
      </c>
      <c r="I290" s="17" t="inlineStr">
        <is>
          <t>DISPONIBLE</t>
        </is>
      </c>
      <c r="J290" s="17" t="inlineStr">
        <is>
          <t>ALMACEN PRINCIPAL</t>
        </is>
      </c>
      <c r="K290" s="23" t="n"/>
      <c r="L290" s="25">
        <f t="array" ref="L290">IF(K290="","",IFERROR(IF(INDEX(Clientes!$D$5:$D$549,MATCH(K290,Clientes!$C$5:$C$549,0))&lt;&gt;"",INDEX(Clientes!$D$5:$D$549,MATCH(K290,Clientes!$C$5:$C$549,0)),TRIM(INDEX(Clientes!$E$5:$E$549,MATCH(K290,Clientes!$C$5:$C$549,0))&amp;" "&amp;INDEX(Clientes!$F$5:$F$549,MATCH(K290,Clientes!$C$5:$C$549,0)))),"NO EXISTE en Clientes"))</f>
        <v/>
      </c>
      <c r="M290" s="17" t="n">
        <v>2008</v>
      </c>
      <c r="N290" s="17" t="n">
        <v>4</v>
      </c>
      <c r="O290" s="42" t="n">
        <v>39539</v>
      </c>
      <c r="P290" s="39">
        <f>IF(O290&lt;&gt;"",DATE(YEAR(O290)+10,MONTH(O290),1),IF(AND(M290&lt;&gt;"",N290&lt;&gt;""),DATE(M290+5,N290,1),""))</f>
        <v/>
      </c>
      <c r="Q290" s="23" t="n"/>
      <c r="R290" s="17" t="inlineStr">
        <is>
          <t>DOT</t>
        </is>
      </c>
      <c r="S290" s="17" t="n"/>
      <c r="T290" s="17" t="n"/>
      <c r="U290" s="17" t="n"/>
      <c r="V290" s="23" t="n"/>
      <c r="W290" s="17" t="n"/>
      <c r="X290" s="17" t="n"/>
      <c r="Y290" s="28">
        <f>IF(B290&lt;&gt;"OK","","SELECT bal_crear_balon(p_codigo_balon =&gt; "&amp;IF(TRIM(C290&amp;"")="","NULL","'"&amp;SUBSTITUTE(TRIM(C290),"'","''")&amp;"'")&amp;", p_id_tipo_balon =&gt; "&amp;"(SELECT id FROM bal_tipo_balon WHERE upper(nombre) = upper('"&amp;SUBSTITUTE(TRIM(D290),"'","''")&amp;"') AND estado = 1 LIMIT 1)"&amp;", p_id_producto_gas =&gt; "&amp;"(SELECT id FROM pro_producto WHERE es_gas = TRUE AND upper(nombre) = upper('"&amp;SUBSTITUTE(TRIM(E290),"'","''")&amp;"') AND estado = 1 LIMIT 1)"&amp;", p_id_propietario =&gt; "&amp;IF(TRIM(F290&amp;"")="","NULL","(SELECT lo.id FROM gen_lista_opciones lo JOIN gen_lista l ON l.id = lo.id_lista WHERE l.nombre = 'PropietarioBalon' AND upper(lo.nombre) = upper('"&amp;SUBSTITUTE(TRIM(F290),"'","''")&amp;"') AND lo.estado = 1 LIMIT 1)")&amp;", p_id_cliente_propietario =&gt; "&amp;IF(F290="CLIENTE",IF(TRIM(G290&amp;"")="","NULL","(SELECT id FROM cli_clientes WHERE numero_documento = '"&amp;SUBSTITUTE(TRIM(G290),"'","''")&amp;"' AND estado = 1 LIMIT 1)"),"NULL")&amp;", p_id_planta =&gt; "&amp;IF(F290="PLANTA",IF(TRIM(G290&amp;"")="","NULL","(SELECT id FROM cli_clientes WHERE numero_documento = '"&amp;SUBSTITUTE(TRIM(G290),"'","''")&amp;"'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"&amp;IF(TRIM(J290&amp;"")="","NULL","(SELECT id FROM gen_almacen WHERE upper(nombre) = upper('"&amp;SUBSTITUTE(TRIM(J290),"'","''")&amp;"') AND estado = 1 LIMIT 1)")&amp;", p_id_cliente_ubicacion =&gt; "&amp;IF(TRIM(K290&amp;"")="","NULL","(SELECT id FROM cli_clientes WHERE numero_documento = '"&amp;SUBSTITUTE(TRIM(K290),"'","''")&amp;"' AND estado = 1 LIMIT 1)")&amp;", p_id_referencia =&gt; "&amp;IF(TRIM(J290&amp;"")&lt;&gt;"","(SELECT lo.id FROM gen_lista_opciones lo JOIN gen_lista l ON l.id = lo.id_lista WHERE l.nombre = 'ReferenciaCilindro' AND upper(lo.nombre) = 'ALMACEN' AND lo.estado = 1 LIMIT 1)",IF(TRIM(K290&amp;"")&lt;&gt;"","(SELECT lo.id FROM gen_lista_opciones lo JOIN gen_lista l ON l.id = lo.id_lista WHERE l.nombre = 'ReferenciaCilindro' AND upper(lo.nombre) = 'CLIENTE' AND lo.estado = 1 LIMIT 1)","NULL"))&amp;", p_anio_fabricacion =&gt; "&amp;IF(M290&amp;""="","NULL::smallint",M290&amp;"::smallint")&amp;", p_mes_fabricacion =&gt; "&amp;IF(N290&amp;""="","NULL::smallint",N290&amp;"::smallint")&amp;", p_fecha_ultima_prueba_hidrostatica =&gt; "&amp;IF(O290&amp;""="","NULL","'"&amp;YEAR(O290)&amp;"-"&amp;TEXT(MONTH(O290),"00")&amp;"-"&amp;TEXT(DAY(O290),"00")&amp;"'")&amp;", p_numero_serie =&gt; "&amp;IF(TRIM(Q290&amp;"")="","NULL","'"&amp;SUBSTITUTE(TRIM(Q290),"'","''")&amp;"'")&amp;", p_id_marca_cilindro =&gt; "&amp;IF(TRIM(R290&amp;"")="","NULL","(SELECT lo.id FROM gen_lista_opciones lo JOIN gen_lista l ON l.id = lo.id_lista WHERE l.nombre = 'MarcaCilindro' AND upper(lo.nombre) = upper('"&amp;SUBSTITUTE(TRIM(R290),"'","''")&amp;"') AND lo.estado = 1 LIMIT 1)")&amp;", p_id_organo_inspector =&gt; "&amp;IF(TRIM(S290&amp;"")="","NULL","(SELECT lo.id FROM gen_lista_opciones lo JOIN gen_lista l ON l.id = lo.id_lista WHERE l.nombre = 'OrganoInspectorCilindro' AND upper(lo.nombre) = upper('"&amp;SUBSTITUTE(TRIM(S290),"'","''")&amp;"') AND lo.estado = 1 LIMIT 1)")&amp;", p_organo_inspector_no_aplica =&gt; "&amp;IF(S290="NO_APLICA","TRUE","FALSE")&amp;", p_presion_actual =&gt; "&amp;IF(T290&amp;""="","NULL",SUBSTITUTE(T290&amp;"",",","."))&amp;", p_tipo_valvula =&gt; "&amp;IF(TRIM(U290&amp;"")="","NULL","'"&amp;SUBSTITUTE(TRIM(U290),"'","''")&amp;"'")&amp;", p_libro_cilindro =&gt; "&amp;IF(TRIM(V290&amp;"")="","NULL","'"&amp;SUBSTITUTE(TRIM(V290),"'","''")&amp;"'")&amp;", p_pagina_libro =&gt; "&amp;IF(W290&amp;""="","NULL",SUBSTITUTE(W290&amp;"",",","."))&amp;", p_observacion =&gt; "&amp;IF(TRIM(X290&amp;"")="","NULL","'"&amp;SUBSTITUTE(TRIM(X290),"'","''")&amp;"'")&amp;") AS resultado_balon_"&amp;ROW()&amp;";")</f>
        <v/>
      </c>
    </row>
    <row r="291" ht="15.75" customHeight="1" s="64">
      <c r="A291" s="36" t="inlineStr">
        <is>
          <t>287</t>
        </is>
      </c>
      <c r="B291" s="25">
        <f>IF(AND(C291="",D291="",E291=""),"",IF(C291="","FALTA código balón",IF(D291="","FALTA tipo balón",IF(E291="","FALTA gas",IF(F291="","FALTA propietario",IF(AND(C291&lt;&gt;"",SUMPRODUCT(--($C$5:$C$1200=C291))&gt;1),"CÓDIGO BALÓN DUPLICADO",IF(AND(OR(UPPER(F291)="PLANTA",UPPER(F291)="CLIENTE"),G291=""),"FALTA doc propietario/planta",IF(AND(UPPER(F291)="PLANTA",G291="10175332796"),"PLANTA no puede ser RUC empresa","OK"))))))))</f>
        <v/>
      </c>
      <c r="C291" s="23" t="inlineStr">
        <is>
          <t>653901</t>
        </is>
      </c>
      <c r="D291" s="17" t="inlineStr">
        <is>
          <t>Oxígeno Industrial 6 m³</t>
        </is>
      </c>
      <c r="E291" s="17" t="inlineStr">
        <is>
          <t>OXIGENO INDUSTRIAL</t>
        </is>
      </c>
      <c r="F291" s="17" t="inlineStr">
        <is>
          <t>EMPRESA</t>
        </is>
      </c>
      <c r="G291" s="23" t="inlineStr">
        <is>
          <t>10175332796</t>
        </is>
      </c>
      <c r="H291" s="25">
        <f t="array" ref="H291">IF(G291="","",IFERROR(IF(INDEX(Clientes!$D$5:$D$549,MATCH(G291,Clientes!$C$5:$C$549,0))&lt;&gt;"",INDEX(Clientes!$D$5:$D$549,MATCH(G291,Clientes!$C$5:$C$549,0)),TRIM(INDEX(Clientes!$E$5:$E$549,MATCH(G291,Clientes!$C$5:$C$549,0))&amp;" "&amp;INDEX(Clientes!$F$5:$F$549,MATCH(G291,Clientes!$C$5:$C$549,0)))),"NO EXISTE en Clientes"))</f>
        <v/>
      </c>
      <c r="I291" s="17" t="inlineStr">
        <is>
          <t>DISPONIBLE</t>
        </is>
      </c>
      <c r="J291" s="17" t="inlineStr">
        <is>
          <t>ALMACEN PRINCIPAL</t>
        </is>
      </c>
      <c r="K291" s="23" t="n"/>
      <c r="L291" s="25">
        <f t="array" ref="L291">IF(K291="","",IFERROR(IF(INDEX(Clientes!$D$5:$D$549,MATCH(K291,Clientes!$C$5:$C$549,0))&lt;&gt;"",INDEX(Clientes!$D$5:$D$549,MATCH(K291,Clientes!$C$5:$C$549,0)),TRIM(INDEX(Clientes!$E$5:$E$549,MATCH(K291,Clientes!$C$5:$C$549,0))&amp;" "&amp;INDEX(Clientes!$F$5:$F$549,MATCH(K291,Clientes!$C$5:$C$549,0)))),"NO EXISTE en Clientes"))</f>
        <v/>
      </c>
      <c r="M291" s="17" t="n">
        <v>2011</v>
      </c>
      <c r="N291" s="17" t="n">
        <v>5</v>
      </c>
      <c r="O291" s="42" t="n">
        <v>40664</v>
      </c>
      <c r="P291" s="39">
        <f>IF(O291&lt;&gt;"",DATE(YEAR(O291)+10,MONTH(O291),1),IF(AND(M291&lt;&gt;"",N291&lt;&gt;""),DATE(M291+5,N291,1),""))</f>
        <v/>
      </c>
      <c r="Q291" s="23" t="n"/>
      <c r="R291" s="17" t="n"/>
      <c r="S291" s="17" t="n"/>
      <c r="T291" s="17" t="n"/>
      <c r="U291" s="17" t="inlineStr">
        <is>
          <t>AMERICANA</t>
        </is>
      </c>
      <c r="V291" s="23" t="n"/>
      <c r="W291" s="17" t="n"/>
      <c r="X291" s="17" t="n"/>
      <c r="Y291" s="28">
        <f>IF(B291&lt;&gt;"OK","","SELECT bal_crear_balon(p_codigo_balon =&gt; "&amp;IF(TRIM(C291&amp;"")="","NULL","'"&amp;SUBSTITUTE(TRIM(C291),"'","''")&amp;"'")&amp;", p_id_tipo_balon =&gt; "&amp;"(SELECT id FROM bal_tipo_balon WHERE upper(nombre) = upper('"&amp;SUBSTITUTE(TRIM(D291),"'","''")&amp;"') AND estado = 1 LIMIT 1)"&amp;", p_id_producto_gas =&gt; "&amp;"(SELECT id FROM pro_producto WHERE es_gas = TRUE AND upper(nombre) = upper('"&amp;SUBSTITUTE(TRIM(E291),"'","''")&amp;"') AND estado = 1 LIMIT 1)"&amp;", p_id_propietario =&gt; "&amp;IF(TRIM(F291&amp;"")="","NULL","(SELECT lo.id FROM gen_lista_opciones lo JOIN gen_lista l ON l.id = lo.id_lista WHERE l.nombre = 'PropietarioBalon' AND upper(lo.nombre) = upper('"&amp;SUBSTITUTE(TRIM(F291),"'","''")&amp;"') AND lo.estado = 1 LIMIT 1)")&amp;", p_id_cliente_propietario =&gt; "&amp;IF(F291="CLIENTE",IF(TRIM(G291&amp;"")="","NULL","(SELECT id FROM cli_clientes WHERE numero_documento = '"&amp;SUBSTITUTE(TRIM(G291),"'","''")&amp;"' AND estado = 1 LIMIT 1)"),"NULL")&amp;", p_id_planta =&gt; "&amp;IF(F291="PLANTA",IF(TRIM(G291&amp;"")="","NULL","(SELECT id FROM cli_clientes WHERE numero_documento = '"&amp;SUBSTITUTE(TRIM(G291),"'","''")&amp;"'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"&amp;IF(TRIM(J291&amp;"")="","NULL","(SELECT id FROM gen_almacen WHERE upper(nombre) = upper('"&amp;SUBSTITUTE(TRIM(J291),"'","''")&amp;"') AND estado = 1 LIMIT 1)")&amp;", p_id_cliente_ubicacion =&gt; "&amp;IF(TRIM(K291&amp;"")="","NULL","(SELECT id FROM cli_clientes WHERE numero_documento = '"&amp;SUBSTITUTE(TRIM(K291),"'","''")&amp;"' AND estado = 1 LIMIT 1)")&amp;", p_id_referencia =&gt; "&amp;IF(TRIM(J291&amp;"")&lt;&gt;"","(SELECT lo.id FROM gen_lista_opciones lo JOIN gen_lista l ON l.id = lo.id_lista WHERE l.nombre = 'ReferenciaCilindro' AND upper(lo.nombre) = 'ALMACEN' AND lo.estado = 1 LIMIT 1)",IF(TRIM(K291&amp;"")&lt;&gt;"","(SELECT lo.id FROM gen_lista_opciones lo JOIN gen_lista l ON l.id = lo.id_lista WHERE l.nombre = 'ReferenciaCilindro' AND upper(lo.nombre) = 'CLIENTE' AND lo.estado = 1 LIMIT 1)","NULL"))&amp;", p_anio_fabricacion =&gt; "&amp;IF(M291&amp;""="","NULL::smallint",M291&amp;"::smallint")&amp;", p_mes_fabricacion =&gt; "&amp;IF(N291&amp;""="","NULL::smallint",N291&amp;"::smallint")&amp;", p_fecha_ultima_prueba_hidrostatica =&gt; "&amp;IF(O291&amp;""="","NULL","'"&amp;YEAR(O291)&amp;"-"&amp;TEXT(MONTH(O291),"00")&amp;"-"&amp;TEXT(DAY(O291),"00")&amp;"'")&amp;", p_numero_serie =&gt; "&amp;IF(TRIM(Q291&amp;"")="","NULL","'"&amp;SUBSTITUTE(TRIM(Q291),"'","''")&amp;"'")&amp;", p_id_marca_cilindro =&gt; "&amp;IF(TRIM(R291&amp;"")="","NULL","(SELECT lo.id FROM gen_lista_opciones lo JOIN gen_lista l ON l.id = lo.id_lista WHERE l.nombre = 'MarcaCilindro' AND upper(lo.nombre) = upper('"&amp;SUBSTITUTE(TRIM(R291),"'","''")&amp;"') AND lo.estado = 1 LIMIT 1)")&amp;", p_id_organo_inspector =&gt; "&amp;IF(TRIM(S291&amp;"")="","NULL","(SELECT lo.id FROM gen_lista_opciones lo JOIN gen_lista l ON l.id = lo.id_lista WHERE l.nombre = 'OrganoInspectorCilindro' AND upper(lo.nombre) = upper('"&amp;SUBSTITUTE(TRIM(S291),"'","''")&amp;"') AND lo.estado = 1 LIMIT 1)")&amp;", p_organo_inspector_no_aplica =&gt; "&amp;IF(S291="NO_APLICA","TRUE","FALSE")&amp;", p_presion_actual =&gt; "&amp;IF(T291&amp;""="","NULL",SUBSTITUTE(T291&amp;"",",","."))&amp;", p_tipo_valvula =&gt; "&amp;IF(TRIM(U291&amp;"")="","NULL","'"&amp;SUBSTITUTE(TRIM(U291),"'","''")&amp;"'")&amp;", p_libro_cilindro =&gt; "&amp;IF(TRIM(V291&amp;"")="","NULL","'"&amp;SUBSTITUTE(TRIM(V291),"'","''")&amp;"'")&amp;", p_pagina_libro =&gt; "&amp;IF(W291&amp;""="","NULL",SUBSTITUTE(W291&amp;"",",","."))&amp;", p_observacion =&gt; "&amp;IF(TRIM(X291&amp;"")="","NULL","'"&amp;SUBSTITUTE(TRIM(X291),"'","''")&amp;"'")&amp;") AS resultado_balon_"&amp;ROW()&amp;";")</f>
        <v/>
      </c>
    </row>
    <row r="292" ht="15.75" customHeight="1" s="64">
      <c r="A292" s="36" t="inlineStr">
        <is>
          <t>288</t>
        </is>
      </c>
      <c r="B292" s="25">
        <f>IF(AND(C292="",D292="",E292=""),"",IF(C292="","FALTA código balón",IF(D292="","FALTA tipo balón",IF(E292="","FALTA gas",IF(F292="","FALTA propietario",IF(AND(C292&lt;&gt;"",SUMPRODUCT(--($C$5:$C$1200=C292))&gt;1),"CÓDIGO BALÓN DUPLICADO",IF(AND(OR(UPPER(F292)="PLANTA",UPPER(F292)="CLIENTE"),G292=""),"FALTA doc propietario/planta",IF(AND(UPPER(F292)="PLANTA",G292="10175332796"),"PLANTA no puede ser RUC empresa","OK"))))))))</f>
        <v/>
      </c>
      <c r="C292" s="23" t="inlineStr">
        <is>
          <t>1393</t>
        </is>
      </c>
      <c r="D292" s="17" t="inlineStr">
        <is>
          <t>Oxígeno Industrial 6 m³</t>
        </is>
      </c>
      <c r="E292" s="17" t="inlineStr">
        <is>
          <t>OXIGENO INDUSTRIAL</t>
        </is>
      </c>
      <c r="F292" s="17" t="inlineStr">
        <is>
          <t>EMPRESA</t>
        </is>
      </c>
      <c r="G292" s="23" t="inlineStr">
        <is>
          <t>10175332796</t>
        </is>
      </c>
      <c r="H292" s="25">
        <f t="array" ref="H292">IF(G292="","",IFERROR(IF(INDEX(Clientes!$D$5:$D$549,MATCH(G292,Clientes!$C$5:$C$549,0))&lt;&gt;"",INDEX(Clientes!$D$5:$D$549,MATCH(G292,Clientes!$C$5:$C$549,0)),TRIM(INDEX(Clientes!$E$5:$E$549,MATCH(G292,Clientes!$C$5:$C$549,0))&amp;" "&amp;INDEX(Clientes!$F$5:$F$549,MATCH(G292,Clientes!$C$5:$C$549,0)))),"NO EXISTE en Clientes"))</f>
        <v/>
      </c>
      <c r="I292" s="17" t="inlineStr">
        <is>
          <t>DISPONIBLE</t>
        </is>
      </c>
      <c r="J292" s="17" t="inlineStr">
        <is>
          <t>ALMACEN PRINCIPAL</t>
        </is>
      </c>
      <c r="K292" s="23" t="n"/>
      <c r="L292" s="25">
        <f t="array" ref="L292">IF(K292="","",IFERROR(IF(INDEX(Clientes!$D$5:$D$549,MATCH(K292,Clientes!$C$5:$C$549,0))&lt;&gt;"",INDEX(Clientes!$D$5:$D$549,MATCH(K292,Clientes!$C$5:$C$549,0)),TRIM(INDEX(Clientes!$E$5:$E$549,MATCH(K292,Clientes!$C$5:$C$549,0))&amp;" "&amp;INDEX(Clientes!$F$5:$F$549,MATCH(K292,Clientes!$C$5:$C$549,0)))),"NO EXISTE en Clientes"))</f>
        <v/>
      </c>
      <c r="M292" s="17" t="n">
        <v>2015</v>
      </c>
      <c r="N292" s="17" t="n">
        <v>8</v>
      </c>
      <c r="O292" s="42" t="n">
        <v>42217</v>
      </c>
      <c r="P292" s="39">
        <f>IF(O292&lt;&gt;"",DATE(YEAR(O292)+10,MONTH(O292),1),IF(AND(M292&lt;&gt;"",N292&lt;&gt;""),DATE(M292+5,N292,1),""))</f>
        <v/>
      </c>
      <c r="Q292" s="23" t="n"/>
      <c r="R292" s="17" t="inlineStr">
        <is>
          <t>AGA</t>
        </is>
      </c>
      <c r="S292" s="17" t="n"/>
      <c r="T292" s="17" t="n"/>
      <c r="U292" s="17" t="n"/>
      <c r="V292" s="23" t="n"/>
      <c r="W292" s="17" t="n"/>
      <c r="X292" s="17" t="n"/>
      <c r="Y292" s="28">
        <f>IF(B292&lt;&gt;"OK","","SELECT bal_crear_balon(p_codigo_balon =&gt; "&amp;IF(TRIM(C292&amp;"")="","NULL","'"&amp;SUBSTITUTE(TRIM(C292),"'","''")&amp;"'")&amp;", p_id_tipo_balon =&gt; "&amp;"(SELECT id FROM bal_tipo_balon WHERE upper(nombre) = upper('"&amp;SUBSTITUTE(TRIM(D292),"'","''")&amp;"') AND estado = 1 LIMIT 1)"&amp;", p_id_producto_gas =&gt; "&amp;"(SELECT id FROM pro_producto WHERE es_gas = TRUE AND upper(nombre) = upper('"&amp;SUBSTITUTE(TRIM(E292),"'","''")&amp;"') AND estado = 1 LIMIT 1)"&amp;", p_id_propietario =&gt; "&amp;IF(TRIM(F292&amp;"")="","NULL","(SELECT lo.id FROM gen_lista_opciones lo JOIN gen_lista l ON l.id = lo.id_lista WHERE l.nombre = 'PropietarioBalon' AND upper(lo.nombre) = upper('"&amp;SUBSTITUTE(TRIM(F292),"'","''")&amp;"') AND lo.estado = 1 LIMIT 1)")&amp;", p_id_cliente_propietario =&gt; "&amp;IF(F292="CLIENTE",IF(TRIM(G292&amp;"")="","NULL","(SELECT id FROM cli_clientes WHERE numero_documento = '"&amp;SUBSTITUTE(TRIM(G292),"'","''")&amp;"' AND estado = 1 LIMIT 1)"),"NULL")&amp;", p_id_planta =&gt; "&amp;IF(F292="PLANTA",IF(TRIM(G292&amp;"")="","NULL","(SELECT id FROM cli_clientes WHERE numero_documento = '"&amp;SUBSTITUTE(TRIM(G292),"'","''")&amp;"'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"&amp;IF(TRIM(J292&amp;"")="","NULL","(SELECT id FROM gen_almacen WHERE upper(nombre) = upper('"&amp;SUBSTITUTE(TRIM(J292),"'","''")&amp;"') AND estado = 1 LIMIT 1)")&amp;", p_id_cliente_ubicacion =&gt; "&amp;IF(TRIM(K292&amp;"")="","NULL","(SELECT id FROM cli_clientes WHERE numero_documento = '"&amp;SUBSTITUTE(TRIM(K292),"'","''")&amp;"' AND estado = 1 LIMIT 1)")&amp;", p_id_referencia =&gt; "&amp;IF(TRIM(J292&amp;"")&lt;&gt;"","(SELECT lo.id FROM gen_lista_opciones lo JOIN gen_lista l ON l.id = lo.id_lista WHERE l.nombre = 'ReferenciaCilindro' AND upper(lo.nombre) = 'ALMACEN' AND lo.estado = 1 LIMIT 1)",IF(TRIM(K292&amp;"")&lt;&gt;"","(SELECT lo.id FROM gen_lista_opciones lo JOIN gen_lista l ON l.id = lo.id_lista WHERE l.nombre = 'ReferenciaCilindro' AND upper(lo.nombre) = 'CLIENTE' AND lo.estado = 1 LIMIT 1)","NULL"))&amp;", p_anio_fabricacion =&gt; "&amp;IF(M292&amp;""="","NULL::smallint",M292&amp;"::smallint")&amp;", p_mes_fabricacion =&gt; "&amp;IF(N292&amp;""="","NULL::smallint",N292&amp;"::smallint")&amp;", p_fecha_ultima_prueba_hidrostatica =&gt; "&amp;IF(O292&amp;""="","NULL","'"&amp;YEAR(O292)&amp;"-"&amp;TEXT(MONTH(O292),"00")&amp;"-"&amp;TEXT(DAY(O292),"00")&amp;"'")&amp;", p_numero_serie =&gt; "&amp;IF(TRIM(Q292&amp;"")="","NULL","'"&amp;SUBSTITUTE(TRIM(Q292),"'","''")&amp;"'")&amp;", p_id_marca_cilindro =&gt; "&amp;IF(TRIM(R292&amp;"")="","NULL","(SELECT lo.id FROM gen_lista_opciones lo JOIN gen_lista l ON l.id = lo.id_lista WHERE l.nombre = 'MarcaCilindro' AND upper(lo.nombre) = upper('"&amp;SUBSTITUTE(TRIM(R292),"'","''")&amp;"') AND lo.estado = 1 LIMIT 1)")&amp;", p_id_organo_inspector =&gt; "&amp;IF(TRIM(S292&amp;"")="","NULL","(SELECT lo.id FROM gen_lista_opciones lo JOIN gen_lista l ON l.id = lo.id_lista WHERE l.nombre = 'OrganoInspectorCilindro' AND upper(lo.nombre) = upper('"&amp;SUBSTITUTE(TRIM(S292),"'","''")&amp;"') AND lo.estado = 1 LIMIT 1)")&amp;", p_organo_inspector_no_aplica =&gt; "&amp;IF(S292="NO_APLICA","TRUE","FALSE")&amp;", p_presion_actual =&gt; "&amp;IF(T292&amp;""="","NULL",SUBSTITUTE(T292&amp;"",",","."))&amp;", p_tipo_valvula =&gt; "&amp;IF(TRIM(U292&amp;"")="","NULL","'"&amp;SUBSTITUTE(TRIM(U292),"'","''")&amp;"'")&amp;", p_libro_cilindro =&gt; "&amp;IF(TRIM(V292&amp;"")="","NULL","'"&amp;SUBSTITUTE(TRIM(V292),"'","''")&amp;"'")&amp;", p_pagina_libro =&gt; "&amp;IF(W292&amp;""="","NULL",SUBSTITUTE(W292&amp;"",",","."))&amp;", p_observacion =&gt; "&amp;IF(TRIM(X292&amp;"")="","NULL","'"&amp;SUBSTITUTE(TRIM(X292),"'","''")&amp;"'")&amp;") AS resultado_balon_"&amp;ROW()&amp;";")</f>
        <v/>
      </c>
    </row>
    <row r="293" ht="15.75" customHeight="1" s="64">
      <c r="A293" s="36" t="inlineStr">
        <is>
          <t>289</t>
        </is>
      </c>
      <c r="B293" s="25">
        <f>IF(AND(C293="",D293="",E293=""),"",IF(C293="","FALTA código balón",IF(COUNTIF($C$5:$C$692,C293)&gt;1,"CÓDIGO DUPLICADO",IF(D293="","FALTA tipo balón",IF(E293="","FALTA gas",IF(AND(OR(F293="CLIENTE",F293="PLANTA"),G293=""),"FALTA doc. cliente propietario",IF(H293="NO EXISTE en Clientes","PROPIETARIO no está en hoja Clientes",IF(L293="NO EXISTE en Clientes","UBICACIÓN no está en hoja Clientes",IF(AND(J293&lt;&gt;"",K293&lt;&gt;""),"Indique almacén O cliente, no ambos",IF(AND(N293&lt;&gt;"",M293=""),"Falta año de fabricación","OK"))))))))))</f>
        <v/>
      </c>
      <c r="C293" s="23" t="n"/>
      <c r="D293" s="17" t="n"/>
      <c r="E293" s="17" t="n"/>
      <c r="F293" s="17" t="n"/>
      <c r="G293" s="23" t="n"/>
      <c r="H293" s="25" t="n"/>
      <c r="I293" s="17" t="n"/>
      <c r="J293" s="17" t="n"/>
      <c r="K293" s="23" t="n"/>
      <c r="L293" s="25" t="n"/>
      <c r="M293" s="17" t="n"/>
      <c r="N293" s="17" t="n"/>
      <c r="O293" s="42" t="n"/>
      <c r="P293" s="39" t="n"/>
      <c r="Q293" s="23" t="n"/>
      <c r="R293" s="17" t="n"/>
      <c r="S293" s="17" t="n"/>
      <c r="T293" s="17" t="n"/>
      <c r="U293" s="17" t="n"/>
      <c r="V293" s="23" t="n"/>
      <c r="W293" s="17" t="n"/>
      <c r="X293" s="17" t="n"/>
      <c r="Y293" s="28">
        <f>IF(B293&lt;&gt;"OK","","SELECT bal_crear_balon(p_codigo_balon =&gt; "&amp;IF(TRIM(C293&amp;"")="","NULL","'"&amp;SUBSTITUTE(TRIM(C293),"'","''")&amp;"'")&amp;", p_id_tipo_balon =&gt; "&amp;"(SELECT id FROM bal_tipo_balon WHERE upper(nombre) = upper('"&amp;SUBSTITUTE(TRIM(D293),"'","''")&amp;"') AND estado = 1 LIMIT 1)"&amp;", p_id_producto_gas =&gt; "&amp;"(SELECT id FROM pro_producto WHERE es_gas = TRUE AND upper(nombre) = upper('"&amp;SUBSTITUTE(TRIM(E293),"'","''")&amp;"') AND estado = 1 LIMIT 1)"&amp;", p_id_propietario =&gt; "&amp;IF(TRIM(F293&amp;"")="","NULL","(SELECT lo.id FROM gen_lista_opciones lo JOIN gen_lista l ON l.id = lo.id_lista WHERE l.nombre = 'PropietarioBalon' AND upper(lo.nombre) = upper('"&amp;SUBSTITUTE(TRIM(F293),"'","''")&amp;"') AND lo.estado = 1 LIMIT 1)")&amp;", p_id_cliente_propietario =&gt; "&amp;IF(F293="CLIENTE",IF(TRIM(G293&amp;"")="","NULL","(SELECT id FROM cli_clientes WHERE numero_documento = '"&amp;SUBSTITUTE(TRIM(G293),"'","''")&amp;"' AND estado = 1 LIMIT 1)"),"NULL")&amp;", p_id_planta =&gt; "&amp;IF(F293="PLANTA",IF(TRIM(G293&amp;"")="","NULL","(SELECT id FROM cli_clientes WHERE numero_documento = '"&amp;SUBSTITUTE(TRIM(G293),"'","''")&amp;"' AND estado = 1 LIMIT 1)"),"NULL")&amp;", p_id_estado_balon =&gt; "&amp;IF(TRIM(I293&amp;"")="","NULL","(SELECT lo.id FROM gen_lista_opciones lo JOIN gen_lista l ON l.id = lo.id_lista WHERE l.nombre = 'EstadoBalon' AND upper(lo.nombre) = upper('"&amp;SUBSTITUTE(TRIM(I293),"'","''")&amp;"') AND lo.estado = 1 LIMIT 1)")&amp;", p_id_almacen =&gt; "&amp;IF(TRIM(J293&amp;"")="","NULL","(SELECT id FROM gen_almacen WHERE upper(nombre) = upper('"&amp;SUBSTITUTE(TRIM(J293),"'","''")&amp;"') AND estado = 1 LIMIT 1)")&amp;", p_id_cliente_ubicacion =&gt; "&amp;IF(TRIM(K293&amp;"")="","NULL","(SELECT id FROM cli_clientes WHERE numero_documento = '"&amp;SUBSTITUTE(TRIM(K293),"'","''")&amp;"' AND estado = 1 LIMIT 1)")&amp;", p_id_referencia =&gt; "&amp;IF(TRIM(J293&amp;"")&lt;&gt;"","(SELECT lo.id FROM gen_lista_opciones lo JOIN gen_lista l ON l.id = lo.id_lista WHERE l.nombre = 'ReferenciaCilindro' AND upper(lo.nombre) = 'ALMACEN' AND lo.estado = 1 LIMIT 1)",IF(TRIM(K293&amp;"")&lt;&gt;"","(SELECT lo.id FROM gen_lista_opciones lo JOIN gen_lista l ON l.id = lo.id_lista WHERE l.nombre = 'ReferenciaCilindro' AND upper(lo.nombre) = 'CLIENTE' AND lo.estado = 1 LIMIT 1)","NULL"))&amp;", p_anio_fabricacion =&gt; "&amp;IF(M293&amp;""="","NULL::smallint",M293&amp;"::smallint")&amp;", p_mes_fabricacion =&gt; "&amp;IF(N293&amp;""="","NULL::smallint",N293&amp;"::smallint")&amp;", p_fecha_ultima_prueba_hidrostatica =&gt; "&amp;IF(O293&amp;""="","NULL","'"&amp;YEAR(O293)&amp;"-"&amp;TEXT(MONTH(O293),"00")&amp;"-"&amp;TEXT(DAY(O293),"00")&amp;"'")&amp;", p_numero_serie =&gt; "&amp;IF(TRIM(Q293&amp;"")="","NULL","'"&amp;SUBSTITUTE(TRIM(Q293),"'","''")&amp;"'")&amp;", p_id_marca_cilindro =&gt; "&amp;IF(TRIM(R293&amp;"")="","NULL","(SELECT lo.id FROM gen_lista_opciones lo JOIN gen_lista l ON l.id = lo.id_lista WHERE l.nombre = 'MarcaCilindro' AND upper(lo.nombre) = upper('"&amp;SUBSTITUTE(TRIM(R293),"'","''")&amp;"') AND lo.estado = 1 LIMIT 1)")&amp;", p_id_organo_inspector =&gt; "&amp;IF(TRIM(S293&amp;"")="","NULL","(SELECT lo.id FROM gen_lista_opciones lo JOIN gen_lista l ON l.id = lo.id_lista WHERE l.nombre = 'OrganoInspectorCilindro' AND upper(lo.nombre) = upper('"&amp;SUBSTITUTE(TRIM(S293),"'","''")&amp;"') AND lo.estado = 1 LIMIT 1)")&amp;", p_organo_inspector_no_aplica =&gt; "&amp;IF(S293="NO_APLICA","TRUE","FALSE")&amp;", p_presion_actual =&gt; "&amp;IF(T293&amp;""="","NULL",SUBSTITUTE(T293&amp;"",",","."))&amp;", p_tipo_valvula =&gt; "&amp;IF(TRIM(U293&amp;"")="","NULL","'"&amp;SUBSTITUTE(TRIM(U293),"'","''")&amp;"'")&amp;", p_libro_cilindro =&gt; "&amp;IF(TRIM(V293&amp;"")="","NULL","'"&amp;SUBSTITUTE(TRIM(V293),"'","''")&amp;"'")&amp;", p_pagina_libro =&gt; "&amp;IF(W293&amp;""="","NULL",SUBSTITUTE(W293&amp;"",",","."))&amp;", p_observacion =&gt; "&amp;IF(TRIM(X293&amp;"")="","NULL","'"&amp;SUBSTITUTE(TRIM(X293),"'","''")&amp;"'")&amp;") AS resultado_balon_"&amp;166&amp;";")</f>
        <v/>
      </c>
    </row>
    <row r="294" ht="15.75" customHeight="1" s="64">
      <c r="A294" s="36" t="inlineStr">
        <is>
          <t>290</t>
        </is>
      </c>
      <c r="B294" s="25">
        <f>IF(AND(C294="",D294="",E294=""),"",IF(C294="","FALTA código balón",IF(D294="","FALTA tipo balón",IF(E294="","FALTA gas",IF(F294="","FALTA propietario",IF(AND(C294&lt;&gt;"",SUMPRODUCT(--($C$5:$C$1200=C294))&gt;1),"CÓDIGO BALÓN DUPLICADO",IF(AND(OR(UPPER(F294)="PLANTA",UPPER(F294)="CLIENTE"),G294=""),"FALTA doc propietario/planta",IF(AND(UPPER(F294)="PLANTA",G294="10175332796"),"PLANTA no puede ser RUC empresa","OK"))))))))</f>
        <v/>
      </c>
      <c r="C294" s="23" t="inlineStr">
        <is>
          <t>303174</t>
        </is>
      </c>
      <c r="D294" s="17" t="inlineStr">
        <is>
          <t>Oxigeno Industrial 8 m³</t>
        </is>
      </c>
      <c r="E294" s="17" t="inlineStr">
        <is>
          <t>OXIGENO INDUSTRIAL</t>
        </is>
      </c>
      <c r="F294" s="17" t="inlineStr">
        <is>
          <t>EMPRESA</t>
        </is>
      </c>
      <c r="G294" s="23" t="inlineStr">
        <is>
          <t>10175332796</t>
        </is>
      </c>
      <c r="H294" s="25">
        <f t="array" ref="H294">IF(G294="","",IFERROR(IF(INDEX(Clientes!$D$5:$D$549,MATCH(G294,Clientes!$C$5:$C$549,0))&lt;&gt;"",INDEX(Clientes!$D$5:$D$549,MATCH(G294,Clientes!$C$5:$C$549,0)),TRIM(INDEX(Clientes!$E$5:$E$549,MATCH(G294,Clientes!$C$5:$C$549,0))&amp;" "&amp;INDEX(Clientes!$F$5:$F$549,MATCH(G294,Clientes!$C$5:$C$549,0)))),"NO EXISTE en Clientes"))</f>
        <v/>
      </c>
      <c r="I294" s="17" t="inlineStr">
        <is>
          <t>DISPONIBLE</t>
        </is>
      </c>
      <c r="J294" s="17" t="inlineStr">
        <is>
          <t>ALMACEN PRINCIPAL</t>
        </is>
      </c>
      <c r="K294" s="23" t="n"/>
      <c r="L294" s="25">
        <f t="array" ref="L294">IF(K294="","",IFERROR(IF(INDEX(Clientes!$D$5:$D$549,MATCH(K294,Clientes!$C$5:$C$549,0))&lt;&gt;"",INDEX(Clientes!$D$5:$D$549,MATCH(K294,Clientes!$C$5:$C$549,0)),TRIM(INDEX(Clientes!$E$5:$E$549,MATCH(K294,Clientes!$C$5:$C$549,0))&amp;" "&amp;INDEX(Clientes!$F$5:$F$549,MATCH(K294,Clientes!$C$5:$C$549,0)))),"NO EXISTE en Clientes"))</f>
        <v/>
      </c>
      <c r="M294" s="17" t="n">
        <v>2023</v>
      </c>
      <c r="N294" s="17" t="n">
        <v>11</v>
      </c>
      <c r="O294" s="42" t="n">
        <v>45231</v>
      </c>
      <c r="P294" s="39">
        <f>IF(O294&lt;&gt;"",DATE(YEAR(O294)+10,MONTH(O294),1),IF(AND(M294&lt;&gt;"",N294&lt;&gt;""),DATE(M294+5,N294,1),""))</f>
        <v/>
      </c>
      <c r="Q294" s="23" t="n"/>
      <c r="R294" s="17" t="n"/>
      <c r="S294" s="17" t="n"/>
      <c r="T294" s="17" t="n"/>
      <c r="U294" s="17" t="inlineStr">
        <is>
          <t>AMERICANA</t>
        </is>
      </c>
      <c r="V294" s="23" t="n"/>
      <c r="W294" s="17" t="n"/>
      <c r="X294" s="17" t="inlineStr">
        <is>
          <t>PH ORIGINAL</t>
        </is>
      </c>
      <c r="Y294" s="28">
        <f>IF(B294&lt;&gt;"OK","","SELECT bal_crear_balon(p_codigo_balon =&gt; "&amp;IF(TRIM(C294&amp;"")="","NULL","'"&amp;SUBSTITUTE(TRIM(C294),"'","''")&amp;"'")&amp;", p_id_tipo_balon =&gt; "&amp;"(SELECT id FROM bal_tipo_balon WHERE upper(nombre) = upper('"&amp;SUBSTITUTE(TRIM(D294),"'","''")&amp;"') AND estado = 1 LIMIT 1)"&amp;", p_id_producto_gas =&gt; "&amp;"(SELECT id FROM pro_producto WHERE es_gas = TRUE AND upper(nombre) = upper('"&amp;SUBSTITUTE(TRIM(E294),"'","''")&amp;"') AND estado = 1 LIMIT 1)"&amp;", p_id_propietario =&gt; "&amp;IF(TRIM(F294&amp;"")="","NULL","(SELECT lo.id FROM gen_lista_opciones lo JOIN gen_lista l ON l.id = lo.id_lista WHERE l.nombre = 'PropietarioBalon' AND upper(lo.nombre) = upper('"&amp;SUBSTITUTE(TRIM(F294),"'","''")&amp;"') AND lo.estado = 1 LIMIT 1)")&amp;", p_id_cliente_propietario =&gt; "&amp;IF(F294="CLIENTE",IF(TRIM(G294&amp;"")="","NULL","(SELECT id FROM cli_clientes WHERE numero_documento = '"&amp;SUBSTITUTE(TRIM(G294),"'","''")&amp;"' AND estado = 1 LIMIT 1)"),"NULL")&amp;", p_id_planta =&gt; "&amp;IF(F294="PLANTA",IF(TRIM(G294&amp;"")="","NULL","(SELECT id FROM cli_clientes WHERE numero_documento = '"&amp;SUBSTITUTE(TRIM(G294),"'","''")&amp;"'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"&amp;IF(TRIM(J294&amp;"")="","NULL","(SELECT id FROM gen_almacen WHERE upper(nombre) = upper('"&amp;SUBSTITUTE(TRIM(J294),"'","''")&amp;"') AND estado = 1 LIMIT 1)")&amp;", p_id_cliente_ubicacion =&gt; "&amp;IF(TRIM(K294&amp;"")="","NULL","(SELECT id FROM cli_clientes WHERE numero_documento = '"&amp;SUBSTITUTE(TRIM(K294),"'","''")&amp;"' AND estado = 1 LIMIT 1)")&amp;", p_id_referencia =&gt; "&amp;IF(TRIM(J294&amp;"")&lt;&gt;"","(SELECT lo.id FROM gen_lista_opciones lo JOIN gen_lista l ON l.id = lo.id_lista WHERE l.nombre = 'ReferenciaCilindro' AND upper(lo.nombre) = 'ALMACEN' AND lo.estado = 1 LIMIT 1)",IF(TRIM(K294&amp;"")&lt;&gt;"","(SELECT lo.id FROM gen_lista_opciones lo JOIN gen_lista l ON l.id = lo.id_lista WHERE l.nombre = 'ReferenciaCilindro' AND upper(lo.nombre) = 'CLIENTE' AND lo.estado = 1 LIMIT 1)","NULL"))&amp;", p_anio_fabricacion =&gt; "&amp;IF(M294&amp;""="","NULL::smallint",M294&amp;"::smallint")&amp;", p_mes_fabricacion =&gt; "&amp;IF(N294&amp;""="","NULL::smallint",N294&amp;"::smallint")&amp;", p_fecha_ultima_prueba_hidrostatica =&gt; "&amp;IF(O294&amp;""="","NULL","'"&amp;YEAR(O294)&amp;"-"&amp;TEXT(MONTH(O294),"00")&amp;"-"&amp;TEXT(DAY(O294),"00")&amp;"'")&amp;", p_numero_serie =&gt; "&amp;IF(TRIM(Q294&amp;"")="","NULL","'"&amp;SUBSTITUTE(TRIM(Q294),"'","''")&amp;"'")&amp;", p_id_marca_cilindro =&gt; "&amp;IF(TRIM(R294&amp;"")="","NULL","(SELECT lo.id FROM gen_lista_opciones lo JOIN gen_lista l ON l.id = lo.id_lista WHERE l.nombre = 'MarcaCilindro' AND upper(lo.nombre) = upper('"&amp;SUBSTITUTE(TRIM(R294),"'","''")&amp;"') AND lo.estado = 1 LIMIT 1)")&amp;", p_id_organo_inspector =&gt; "&amp;IF(TRIM(S294&amp;"")="","NULL","(SELECT lo.id FROM gen_lista_opciones lo JOIN gen_lista l ON l.id = lo.id_lista WHERE l.nombre = 'OrganoInspectorCilindro' AND upper(lo.nombre) = upper('"&amp;SUBSTITUTE(TRIM(S294),"'","''")&amp;"') AND lo.estado = 1 LIMIT 1)")&amp;", p_organo_inspector_no_aplica =&gt; "&amp;IF(S294="NO_APLICA","TRUE","FALSE")&amp;", p_presion_actual =&gt; "&amp;IF(T294&amp;""="","NULL",SUBSTITUTE(T294&amp;"",",","."))&amp;", p_tipo_valvula =&gt; "&amp;IF(TRIM(U294&amp;"")="","NULL","'"&amp;SUBSTITUTE(TRIM(U294),"'","''")&amp;"'")&amp;", p_libro_cilindro =&gt; "&amp;IF(TRIM(V294&amp;"")="","NULL","'"&amp;SUBSTITUTE(TRIM(V294),"'","''")&amp;"'")&amp;", p_pagina_libro =&gt; "&amp;IF(W294&amp;""="","NULL",SUBSTITUTE(W294&amp;"",",","."))&amp;", p_observacion =&gt; "&amp;IF(TRIM(X294&amp;"")="","NULL","'"&amp;SUBSTITUTE(TRIM(X294),"'","''")&amp;"'")&amp;") AS resultado_balon_"&amp;ROW()&amp;";")</f>
        <v/>
      </c>
    </row>
    <row r="295" ht="15.75" customHeight="1" s="64">
      <c r="A295" s="36" t="inlineStr">
        <is>
          <t>291</t>
        </is>
      </c>
      <c r="B295" s="25">
        <f>IF(AND(C295="",D295="",E295=""),"",IF(C295="","FALTA código balón",IF(D295="","FALTA tipo balón",IF(E295="","FALTA gas",IF(F295="","FALTA propietario",IF(AND(C295&lt;&gt;"",SUMPRODUCT(--($C$5:$C$1200=C295))&gt;1),"CÓDIGO BALÓN DUPLICADO",IF(AND(OR(UPPER(F295)="PLANTA",UPPER(F295)="CLIENTE"),G295=""),"FALTA doc propietario/planta",IF(AND(UPPER(F295)="PLANTA",G295="10175332796"),"PLANTA no puede ser RUC empresa","OK"))))))))</f>
        <v/>
      </c>
      <c r="C295" s="23" t="inlineStr">
        <is>
          <t>14858</t>
        </is>
      </c>
      <c r="D295" s="17" t="inlineStr">
        <is>
          <t>Oxigeno Industrial 8 m³</t>
        </is>
      </c>
      <c r="E295" s="17" t="inlineStr">
        <is>
          <t>OXIGENO INDUSTRIAL</t>
        </is>
      </c>
      <c r="F295" s="17" t="inlineStr">
        <is>
          <t>EMPRESA</t>
        </is>
      </c>
      <c r="G295" s="23" t="inlineStr">
        <is>
          <t>10175332796</t>
        </is>
      </c>
      <c r="H295" s="25">
        <f t="array" ref="H295">IF(G295="","",IFERROR(IF(INDEX(Clientes!$D$5:$D$549,MATCH(G295,Clientes!$C$5:$C$549,0))&lt;&gt;"",INDEX(Clientes!$D$5:$D$549,MATCH(G295,Clientes!$C$5:$C$549,0)),TRIM(INDEX(Clientes!$E$5:$E$549,MATCH(G295,Clientes!$C$5:$C$549,0))&amp;" "&amp;INDEX(Clientes!$F$5:$F$549,MATCH(G295,Clientes!$C$5:$C$549,0)))),"NO EXISTE en Clientes"))</f>
        <v/>
      </c>
      <c r="I295" s="17" t="inlineStr">
        <is>
          <t>DISPONIBLE</t>
        </is>
      </c>
      <c r="J295" s="17" t="inlineStr">
        <is>
          <t>ALMACEN PRINCIPAL</t>
        </is>
      </c>
      <c r="K295" s="23" t="n"/>
      <c r="L295" s="25">
        <f t="array" ref="L295">IF(K295="","",IFERROR(IF(INDEX(Clientes!$D$5:$D$549,MATCH(K295,Clientes!$C$5:$C$549,0))&lt;&gt;"",INDEX(Clientes!$D$5:$D$549,MATCH(K295,Clientes!$C$5:$C$549,0)),TRIM(INDEX(Clientes!$E$5:$E$549,MATCH(K295,Clientes!$C$5:$C$549,0))&amp;" "&amp;INDEX(Clientes!$F$5:$F$549,MATCH(K295,Clientes!$C$5:$C$549,0)))),"NO EXISTE en Clientes"))</f>
        <v/>
      </c>
      <c r="M295" s="17" t="n">
        <v>2023</v>
      </c>
      <c r="N295" s="17" t="n">
        <v>11</v>
      </c>
      <c r="O295" s="42" t="n">
        <v>45232</v>
      </c>
      <c r="P295" s="39">
        <f>IF(O295&lt;&gt;"",DATE(YEAR(O295)+10,MONTH(O295),1),IF(AND(M295&lt;&gt;"",N295&lt;&gt;""),DATE(M295+5,N295,1),""))</f>
        <v/>
      </c>
      <c r="Q295" s="23" t="n"/>
      <c r="R295" s="17" t="inlineStr">
        <is>
          <t>DOT</t>
        </is>
      </c>
      <c r="S295" s="17" t="inlineStr">
        <is>
          <t>OTRO</t>
        </is>
      </c>
      <c r="T295" s="17" t="n"/>
      <c r="U295" s="17" t="inlineStr">
        <is>
          <t>AMERICANA</t>
        </is>
      </c>
      <c r="V295" s="23" t="n"/>
      <c r="W295" s="17" t="n"/>
      <c r="X295" s="17" t="inlineStr">
        <is>
          <t>PH LINDE</t>
        </is>
      </c>
      <c r="Y295" s="28">
        <f>IF(B295&lt;&gt;"OK","","SELECT bal_crear_balon(p_codigo_balon =&gt; "&amp;IF(TRIM(C295&amp;"")="","NULL","'"&amp;SUBSTITUTE(TRIM(C295),"'","''")&amp;"'")&amp;", p_id_tipo_balon =&gt; "&amp;"(SELECT id FROM bal_tipo_balon WHERE upper(nombre) = upper('"&amp;SUBSTITUTE(TRIM(D295),"'","''")&amp;"') AND estado = 1 LIMIT 1)"&amp;", p_id_producto_gas =&gt; "&amp;"(SELECT id FROM pro_producto WHERE es_gas = TRUE AND upper(nombre) = upper('"&amp;SUBSTITUTE(TRIM(E295),"'","''")&amp;"') AND estado = 1 LIMIT 1)"&amp;", p_id_propietario =&gt; "&amp;IF(TRIM(F295&amp;"")="","NULL","(SELECT lo.id FROM gen_lista_opciones lo JOIN gen_lista l ON l.id = lo.id_lista WHERE l.nombre = 'PropietarioBalon' AND upper(lo.nombre) = upper('"&amp;SUBSTITUTE(TRIM(F295),"'","''")&amp;"') AND lo.estado = 1 LIMIT 1)")&amp;", p_id_cliente_propietario =&gt; "&amp;IF(F295="CLIENTE",IF(TRIM(G295&amp;"")="","NULL","(SELECT id FROM cli_clientes WHERE numero_documento = '"&amp;SUBSTITUTE(TRIM(G295),"'","''")&amp;"' AND estado = 1 LIMIT 1)"),"NULL")&amp;", p_id_planta =&gt; "&amp;IF(F295="PLANTA",IF(TRIM(G295&amp;"")="","NULL","(SELECT id FROM cli_clientes WHERE numero_documento = '"&amp;SUBSTITUTE(TRIM(G295),"'","''")&amp;"'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"&amp;IF(TRIM(J295&amp;"")="","NULL","(SELECT id FROM gen_almacen WHERE upper(nombre) = upper('"&amp;SUBSTITUTE(TRIM(J295),"'","''")&amp;"') AND estado = 1 LIMIT 1)")&amp;", p_id_cliente_ubicacion =&gt; "&amp;IF(TRIM(K295&amp;"")="","NULL","(SELECT id FROM cli_clientes WHERE numero_documento = '"&amp;SUBSTITUTE(TRIM(K295),"'","''")&amp;"' AND estado = 1 LIMIT 1)")&amp;", p_id_referencia =&gt; "&amp;IF(TRIM(J295&amp;"")&lt;&gt;"","(SELECT lo.id FROM gen_lista_opciones lo JOIN gen_lista l ON l.id = lo.id_lista WHERE l.nombre = 'ReferenciaCilindro' AND upper(lo.nombre) = 'ALMACEN' AND lo.estado = 1 LIMIT 1)",IF(TRIM(K295&amp;"")&lt;&gt;"","(SELECT lo.id FROM gen_lista_opciones lo JOIN gen_lista l ON l.id = lo.id_lista WHERE l.nombre = 'ReferenciaCilindro' AND upper(lo.nombre) = 'CLIENTE' AND lo.estado = 1 LIMIT 1)","NULL"))&amp;", p_anio_fabricacion =&gt; "&amp;IF(M295&amp;""="","NULL::smallint",M295&amp;"::smallint")&amp;", p_mes_fabricacion =&gt; "&amp;IF(N295&amp;""="","NULL::smallint",N295&amp;"::smallint")&amp;", p_fecha_ultima_prueba_hidrostatica =&gt; "&amp;IF(O295&amp;""="","NULL","'"&amp;YEAR(O295)&amp;"-"&amp;TEXT(MONTH(O295),"00")&amp;"-"&amp;TEXT(DAY(O295),"00")&amp;"'")&amp;", p_numero_serie =&gt; "&amp;IF(TRIM(Q295&amp;"")="","NULL","'"&amp;SUBSTITUTE(TRIM(Q295),"'","''")&amp;"'")&amp;", p_id_marca_cilindro =&gt; "&amp;IF(TRIM(R295&amp;"")="","NULL","(SELECT lo.id FROM gen_lista_opciones lo JOIN gen_lista l ON l.id = lo.id_lista WHERE l.nombre = 'MarcaCilindro' AND upper(lo.nombre) = upper('"&amp;SUBSTITUTE(TRIM(R295),"'","''")&amp;"') AND lo.estado = 1 LIMIT 1)")&amp;", p_id_organo_inspector =&gt; "&amp;IF(TRIM(S295&amp;"")="","NULL","(SELECT lo.id FROM gen_lista_opciones lo JOIN gen_lista l ON l.id = lo.id_lista WHERE l.nombre = 'OrganoInspectorCilindro' AND upper(lo.nombre) = upper('"&amp;SUBSTITUTE(TRIM(S295),"'","''")&amp;"') AND lo.estado = 1 LIMIT 1)")&amp;", p_organo_inspector_no_aplica =&gt; "&amp;IF(S295="NO_APLICA","TRUE","FALSE")&amp;", p_presion_actual =&gt; "&amp;IF(T295&amp;""="","NULL",SUBSTITUTE(T295&amp;"",",","."))&amp;", p_tipo_valvula =&gt; "&amp;IF(TRIM(U295&amp;"")="","NULL","'"&amp;SUBSTITUTE(TRIM(U295),"'","''")&amp;"'")&amp;", p_libro_cilindro =&gt; "&amp;IF(TRIM(V295&amp;"")="","NULL","'"&amp;SUBSTITUTE(TRIM(V295),"'","''")&amp;"'")&amp;", p_pagina_libro =&gt; "&amp;IF(W295&amp;""="","NULL",SUBSTITUTE(W295&amp;"",",","."))&amp;", p_observacion =&gt; "&amp;IF(TRIM(X295&amp;"")="","NULL","'"&amp;SUBSTITUTE(TRIM(X295),"'","''")&amp;"'")&amp;") AS resultado_balon_"&amp;ROW()&amp;";")</f>
        <v/>
      </c>
    </row>
    <row r="296" ht="15.75" customHeight="1" s="64">
      <c r="A296" s="36" t="inlineStr">
        <is>
          <t>292</t>
        </is>
      </c>
      <c r="B296" s="25">
        <f>IF(AND(C296="",D296="",E296=""),"",IF(C296="","FALTA código balón",IF(D296="","FALTA tipo balón",IF(E296="","FALTA gas",IF(F296="","FALTA propietario",IF(AND(C296&lt;&gt;"",SUMPRODUCT(--($C$5:$C$1200=C296))&gt;1),"CÓDIGO BALÓN DUPLICADO",IF(AND(OR(UPPER(F296)="PLANTA",UPPER(F296)="CLIENTE"),G296=""),"FALTA doc propietario/planta",IF(AND(UPPER(F296)="PLANTA",G296="10175332796"),"PLANTA no puede ser RUC empresa","OK"))))))))</f>
        <v/>
      </c>
      <c r="C296" s="23" t="inlineStr">
        <is>
          <t>K4852168</t>
        </is>
      </c>
      <c r="D296" s="17" t="inlineStr">
        <is>
          <t>Oxígeno Industrial 10 m³</t>
        </is>
      </c>
      <c r="E296" s="17" t="inlineStr">
        <is>
          <t>OXIGENO INDUSTRIAL</t>
        </is>
      </c>
      <c r="F296" s="17" t="inlineStr">
        <is>
          <t>EMPRESA</t>
        </is>
      </c>
      <c r="G296" s="23" t="inlineStr">
        <is>
          <t>10175332796</t>
        </is>
      </c>
      <c r="H296" s="25">
        <f t="array" ref="H296">IF(G296="","",IFERROR(IF(INDEX(Clientes!$D$5:$D$549,MATCH(G296,Clientes!$C$5:$C$549,0))&lt;&gt;"",INDEX(Clientes!$D$5:$D$549,MATCH(G296,Clientes!$C$5:$C$549,0)),TRIM(INDEX(Clientes!$E$5:$E$549,MATCH(G296,Clientes!$C$5:$C$549,0))&amp;" "&amp;INDEX(Clientes!$F$5:$F$549,MATCH(G296,Clientes!$C$5:$C$549,0)))),"NO EXISTE en Clientes"))</f>
        <v/>
      </c>
      <c r="I296" s="17" t="inlineStr">
        <is>
          <t>DISPONIBLE</t>
        </is>
      </c>
      <c r="J296" s="17" t="inlineStr">
        <is>
          <t>ALMACEN PRINCIPAL</t>
        </is>
      </c>
      <c r="K296" s="23" t="n"/>
      <c r="L296" s="25">
        <f t="array" ref="L296">IF(K296="","",IFERROR(IF(INDEX(Clientes!$D$5:$D$549,MATCH(K296,Clientes!$C$5:$C$549,0))&lt;&gt;"",INDEX(Clientes!$D$5:$D$549,MATCH(K296,Clientes!$C$5:$C$549,0)),TRIM(INDEX(Clientes!$E$5:$E$549,MATCH(K296,Clientes!$C$5:$C$549,0))&amp;" "&amp;INDEX(Clientes!$F$5:$F$549,MATCH(K296,Clientes!$C$5:$C$549,0)))),"NO EXISTE en Clientes"))</f>
        <v/>
      </c>
      <c r="M296" s="17" t="n">
        <v>2025</v>
      </c>
      <c r="N296" s="17" t="n">
        <v>7</v>
      </c>
      <c r="O296" s="42" t="n">
        <v>45839</v>
      </c>
      <c r="P296" s="39">
        <f>IF(O296&lt;&gt;"",DATE(YEAR(O296)+10,MONTH(O296),1),IF(AND(M296&lt;&gt;"",N296&lt;&gt;""),DATE(M296+5,N296,1),""))</f>
        <v/>
      </c>
      <c r="Q296" s="23" t="n"/>
      <c r="R296" s="17" t="inlineStr">
        <is>
          <t>JD</t>
        </is>
      </c>
      <c r="S296" s="17" t="inlineStr">
        <is>
          <t>TS</t>
        </is>
      </c>
      <c r="T296" s="17" t="n"/>
      <c r="U296" s="17" t="inlineStr">
        <is>
          <t>AMERICANA</t>
        </is>
      </c>
      <c r="V296" s="23" t="n"/>
      <c r="W296" s="17" t="n"/>
      <c r="X296" s="17" t="inlineStr">
        <is>
          <t>PH LINDE</t>
        </is>
      </c>
      <c r="Y296" s="28">
        <f>IF(B296&lt;&gt;"OK","","SELECT bal_crear_balon(p_codigo_balon =&gt; "&amp;IF(TRIM(C296&amp;"")="","NULL","'"&amp;SUBSTITUTE(TRIM(C296),"'","''")&amp;"'")&amp;", p_id_tipo_balon =&gt; "&amp;"(SELECT id FROM bal_tipo_balon WHERE upper(nombre) = upper('"&amp;SUBSTITUTE(TRIM(D296),"'","''")&amp;"') AND estado = 1 LIMIT 1)"&amp;", p_id_producto_gas =&gt; "&amp;"(SELECT id FROM pro_producto WHERE es_gas = TRUE AND upper(nombre) = upper('"&amp;SUBSTITUTE(TRIM(E296),"'","''")&amp;"') AND estado = 1 LIMIT 1)"&amp;", p_id_propietario =&gt; "&amp;IF(TRIM(F296&amp;"")="","NULL","(SELECT lo.id FROM gen_lista_opciones lo JOIN gen_lista l ON l.id = lo.id_lista WHERE l.nombre = 'PropietarioBalon' AND upper(lo.nombre) = upper('"&amp;SUBSTITUTE(TRIM(F296),"'","''")&amp;"') AND lo.estado = 1 LIMIT 1)")&amp;", p_id_cliente_propietario =&gt; "&amp;IF(F296="CLIENTE",IF(TRIM(G296&amp;"")="","NULL","(SELECT id FROM cli_clientes WHERE numero_documento = '"&amp;SUBSTITUTE(TRIM(G296),"'","''")&amp;"' AND estado = 1 LIMIT 1)"),"NULL")&amp;", p_id_planta =&gt; "&amp;IF(F296="PLANTA",IF(TRIM(G296&amp;"")="","NULL","(SELECT id FROM cli_clientes WHERE numero_documento = '"&amp;SUBSTITUTE(TRIM(G296),"'","''")&amp;"'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"&amp;IF(TRIM(J296&amp;"")="","NULL","(SELECT id FROM gen_almacen WHERE upper(nombre) = upper('"&amp;SUBSTITUTE(TRIM(J296),"'","''")&amp;"') AND estado = 1 LIMIT 1)")&amp;", p_id_cliente_ubicacion =&gt; "&amp;IF(TRIM(K296&amp;"")="","NULL","(SELECT id FROM cli_clientes WHERE numero_documento = '"&amp;SUBSTITUTE(TRIM(K296),"'","''")&amp;"' AND estado = 1 LIMIT 1)")&amp;", p_id_referencia =&gt; "&amp;IF(TRIM(J296&amp;"")&lt;&gt;"","(SELECT lo.id FROM gen_lista_opciones lo JOIN gen_lista l ON l.id = lo.id_lista WHERE l.nombre = 'ReferenciaCilindro' AND upper(lo.nombre) = 'ALMACEN' AND lo.estado = 1 LIMIT 1)",IF(TRIM(K296&amp;"")&lt;&gt;"","(SELECT lo.id FROM gen_lista_opciones lo JOIN gen_lista l ON l.id = lo.id_lista WHERE l.nombre = 'ReferenciaCilindro' AND upper(lo.nombre) = 'CLIENTE' AND lo.estado = 1 LIMIT 1)","NULL"))&amp;", p_anio_fabricacion =&gt; "&amp;IF(M296&amp;""="","NULL::smallint",M296&amp;"::smallint")&amp;", p_mes_fabricacion =&gt; "&amp;IF(N296&amp;""="","NULL::smallint",N296&amp;"::smallint")&amp;", p_fecha_ultima_prueba_hidrostatica =&gt; "&amp;IF(O296&amp;""="","NULL","'"&amp;YEAR(O296)&amp;"-"&amp;TEXT(MONTH(O296),"00")&amp;"-"&amp;TEXT(DAY(O296),"00")&amp;"'")&amp;", p_numero_serie =&gt; "&amp;IF(TRIM(Q296&amp;"")="","NULL","'"&amp;SUBSTITUTE(TRIM(Q296),"'","''")&amp;"'")&amp;", p_id_marca_cilindro =&gt; "&amp;IF(TRIM(R296&amp;"")="","NULL","(SELECT lo.id FROM gen_lista_opciones lo JOIN gen_lista l ON l.id = lo.id_lista WHERE l.nombre = 'MarcaCilindro' AND upper(lo.nombre) = upper('"&amp;SUBSTITUTE(TRIM(R296),"'","''")&amp;"') AND lo.estado = 1 LIMIT 1)")&amp;", p_id_organo_inspector =&gt; "&amp;IF(TRIM(S296&amp;"")="","NULL","(SELECT lo.id FROM gen_lista_opciones lo JOIN gen_lista l ON l.id = lo.id_lista WHERE l.nombre = 'OrganoInspectorCilindro' AND upper(lo.nombre) = upper('"&amp;SUBSTITUTE(TRIM(S296),"'","''")&amp;"') AND lo.estado = 1 LIMIT 1)")&amp;", p_organo_inspector_no_aplica =&gt; "&amp;IF(S296="NO_APLICA","TRUE","FALSE")&amp;", p_presion_actual =&gt; "&amp;IF(T296&amp;""="","NULL",SUBSTITUTE(T296&amp;"",",","."))&amp;", p_tipo_valvula =&gt; "&amp;IF(TRIM(U296&amp;"")="","NULL","'"&amp;SUBSTITUTE(TRIM(U296),"'","''")&amp;"'")&amp;", p_libro_cilindro =&gt; "&amp;IF(TRIM(V296&amp;"")="","NULL","'"&amp;SUBSTITUTE(TRIM(V296),"'","''")&amp;"'")&amp;", p_pagina_libro =&gt; "&amp;IF(W296&amp;""="","NULL",SUBSTITUTE(W296&amp;"",",","."))&amp;", p_observacion =&gt; "&amp;IF(TRIM(X296&amp;"")="","NULL","'"&amp;SUBSTITUTE(TRIM(X296),"'","''")&amp;"'")&amp;") AS resultado_balon_"&amp;ROW()&amp;";")</f>
        <v/>
      </c>
    </row>
    <row r="297" ht="15.75" customHeight="1" s="64">
      <c r="A297" s="36" t="inlineStr">
        <is>
          <t>293</t>
        </is>
      </c>
      <c r="B297" s="25">
        <f>IF(AND(C297="",D297="",E297=""),"",IF(C297="","FALTA código balón",IF(D297="","FALTA tipo balón",IF(E297="","FALTA gas",IF(F297="","FALTA propietario",IF(AND(C297&lt;&gt;"",SUMPRODUCT(--($C$5:$C$1200=C297))&gt;1),"CÓDIGO BALÓN DUPLICADO",IF(AND(OR(UPPER(F297)="PLANTA",UPPER(F297)="CLIENTE"),G297=""),"FALTA doc propietario/planta",IF(AND(UPPER(F297)="PLANTA",G297="10175332796"),"PLANTA no puede ser RUC empresa","OK"))))))))</f>
        <v/>
      </c>
      <c r="C297" s="23" t="inlineStr">
        <is>
          <t>20K624180</t>
        </is>
      </c>
      <c r="D297" s="17" t="inlineStr">
        <is>
          <t>Oxígeno Industrial 10 m³</t>
        </is>
      </c>
      <c r="E297" s="17" t="inlineStr">
        <is>
          <t>OXIGENO INDUSTRIAL</t>
        </is>
      </c>
      <c r="F297" s="17" t="inlineStr">
        <is>
          <t>EMPRESA</t>
        </is>
      </c>
      <c r="G297" s="23" t="inlineStr">
        <is>
          <t>10175332796</t>
        </is>
      </c>
      <c r="H297" s="25">
        <f t="array" ref="H297">IF(G297="","",IFERROR(IF(INDEX(Clientes!$D$5:$D$549,MATCH(G297,Clientes!$C$5:$C$549,0))&lt;&gt;"",INDEX(Clientes!$D$5:$D$549,MATCH(G297,Clientes!$C$5:$C$549,0)),TRIM(INDEX(Clientes!$E$5:$E$549,MATCH(G297,Clientes!$C$5:$C$549,0))&amp;" "&amp;INDEX(Clientes!$F$5:$F$549,MATCH(G297,Clientes!$C$5:$C$549,0)))),"NO EXISTE en Clientes"))</f>
        <v/>
      </c>
      <c r="I297" s="17" t="inlineStr">
        <is>
          <t>DISPONIBLE</t>
        </is>
      </c>
      <c r="J297" s="17" t="inlineStr">
        <is>
          <t>ALMACEN PRINCIPAL</t>
        </is>
      </c>
      <c r="K297" s="23" t="n"/>
      <c r="L297" s="25">
        <f t="array" ref="L297">IF(K297="","",IFERROR(IF(INDEX(Clientes!$D$5:$D$549,MATCH(K297,Clientes!$C$5:$C$549,0))&lt;&gt;"",INDEX(Clientes!$D$5:$D$549,MATCH(K297,Clientes!$C$5:$C$549,0)),TRIM(INDEX(Clientes!$E$5:$E$549,MATCH(K297,Clientes!$C$5:$C$549,0))&amp;" "&amp;INDEX(Clientes!$F$5:$F$549,MATCH(K297,Clientes!$C$5:$C$549,0)))),"NO EXISTE en Clientes"))</f>
        <v/>
      </c>
      <c r="M297" s="17" t="n">
        <v>2020</v>
      </c>
      <c r="N297" s="17" t="n">
        <v>9</v>
      </c>
      <c r="O297" s="42" t="n">
        <v>44075</v>
      </c>
      <c r="P297" s="39">
        <f>IF(O297&lt;&gt;"",DATE(YEAR(O297)+10,MONTH(O297),1),IF(AND(M297&lt;&gt;"",N297&lt;&gt;""),DATE(M297+5,N297,1),""))</f>
        <v/>
      </c>
      <c r="Q297" s="23" t="n"/>
      <c r="R297" s="17" t="inlineStr">
        <is>
          <t>JP</t>
        </is>
      </c>
      <c r="S297" s="17" t="inlineStr">
        <is>
          <t>HEXAGONAL (0036)</t>
        </is>
      </c>
      <c r="T297" s="17" t="n"/>
      <c r="U297" s="17" t="inlineStr">
        <is>
          <t>AMERICANA</t>
        </is>
      </c>
      <c r="V297" s="23" t="n"/>
      <c r="W297" s="17" t="n"/>
      <c r="X297" s="17" t="inlineStr">
        <is>
          <t>PH ORIGINAL</t>
        </is>
      </c>
      <c r="Y297" s="28">
        <f>IF(B297&lt;&gt;"OK","","SELECT bal_crear_balon(p_codigo_balon =&gt; "&amp;IF(TRIM(C297&amp;"")="","NULL","'"&amp;SUBSTITUTE(TRIM(C297),"'","''")&amp;"'")&amp;", p_id_tipo_balon =&gt; "&amp;"(SELECT id FROM bal_tipo_balon WHERE upper(nombre) = upper('"&amp;SUBSTITUTE(TRIM(D297),"'","''")&amp;"') AND estado = 1 LIMIT 1)"&amp;", p_id_producto_gas =&gt; "&amp;"(SELECT id FROM pro_producto WHERE es_gas = TRUE AND upper(nombre) = upper('"&amp;SUBSTITUTE(TRIM(E297),"'","''")&amp;"') AND estado = 1 LIMIT 1)"&amp;", p_id_propietario =&gt; "&amp;IF(TRIM(F297&amp;"")="","NULL","(SELECT lo.id FROM gen_lista_opciones lo JOIN gen_lista l ON l.id = lo.id_lista WHERE l.nombre = 'PropietarioBalon' AND upper(lo.nombre) = upper('"&amp;SUBSTITUTE(TRIM(F297),"'","''")&amp;"') AND lo.estado = 1 LIMIT 1)")&amp;", p_id_cliente_propietario =&gt; "&amp;IF(F297="CLIENTE",IF(TRIM(G297&amp;"")="","NULL","(SELECT id FROM cli_clientes WHERE numero_documento = '"&amp;SUBSTITUTE(TRIM(G297),"'","''")&amp;"' AND estado = 1 LIMIT 1)"),"NULL")&amp;", p_id_planta =&gt; "&amp;IF(F297="PLANTA",IF(TRIM(G297&amp;"")="","NULL","(SELECT id FROM cli_clientes WHERE numero_documento = '"&amp;SUBSTITUTE(TRIM(G297),"'","''")&amp;"'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"&amp;IF(TRIM(J297&amp;"")="","NULL","(SELECT id FROM gen_almacen WHERE upper(nombre) = upper('"&amp;SUBSTITUTE(TRIM(J297),"'","''")&amp;"') AND estado = 1 LIMIT 1)")&amp;", p_id_cliente_ubicacion =&gt; "&amp;IF(TRIM(K297&amp;"")="","NULL","(SELECT id FROM cli_clientes WHERE numero_documento = '"&amp;SUBSTITUTE(TRIM(K297),"'","''")&amp;"' AND estado = 1 LIMIT 1)")&amp;", p_id_referencia =&gt; "&amp;IF(TRIM(J297&amp;"")&lt;&gt;"","(SELECT lo.id FROM gen_lista_opciones lo JOIN gen_lista l ON l.id = lo.id_lista WHERE l.nombre = 'ReferenciaCilindro' AND upper(lo.nombre) = 'ALMACEN' AND lo.estado = 1 LIMIT 1)",IF(TRIM(K297&amp;"")&lt;&gt;"","(SELECT lo.id FROM gen_lista_opciones lo JOIN gen_lista l ON l.id = lo.id_lista WHERE l.nombre = 'ReferenciaCilindro' AND upper(lo.nombre) = 'CLIENTE' AND lo.estado = 1 LIMIT 1)","NULL"))&amp;", p_anio_fabricacion =&gt; "&amp;IF(M297&amp;""="","NULL::smallint",M297&amp;"::smallint")&amp;", p_mes_fabricacion =&gt; "&amp;IF(N297&amp;""="","NULL::smallint",N297&amp;"::smallint")&amp;", p_fecha_ultima_prueba_hidrostatica =&gt; "&amp;IF(O297&amp;""="","NULL","'"&amp;YEAR(O297)&amp;"-"&amp;TEXT(MONTH(O297),"00")&amp;"-"&amp;TEXT(DAY(O297),"00")&amp;"'")&amp;", p_numero_serie =&gt; "&amp;IF(TRIM(Q297&amp;"")="","NULL","'"&amp;SUBSTITUTE(TRIM(Q297),"'","''")&amp;"'")&amp;", p_id_marca_cilindro =&gt; "&amp;IF(TRIM(R297&amp;"")="","NULL","(SELECT lo.id FROM gen_lista_opciones lo JOIN gen_lista l ON l.id = lo.id_lista WHERE l.nombre = 'MarcaCilindro' AND upper(lo.nombre) = upper('"&amp;SUBSTITUTE(TRIM(R297),"'","''")&amp;"') AND lo.estado = 1 LIMIT 1)")&amp;", p_id_organo_inspector =&gt; "&amp;IF(TRIM(S297&amp;"")="","NULL","(SELECT lo.id FROM gen_lista_opciones lo JOIN gen_lista l ON l.id = lo.id_lista WHERE l.nombre = 'OrganoInspectorCilindro' AND upper(lo.nombre) = upper('"&amp;SUBSTITUTE(TRIM(S297),"'","''")&amp;"') AND lo.estado = 1 LIMIT 1)")&amp;", p_organo_inspector_no_aplica =&gt; "&amp;IF(S297="NO_APLICA","TRUE","FALSE")&amp;", p_presion_actual =&gt; "&amp;IF(T297&amp;""="","NULL",SUBSTITUTE(T297&amp;"",",","."))&amp;", p_tipo_valvula =&gt; "&amp;IF(TRIM(U297&amp;"")="","NULL","'"&amp;SUBSTITUTE(TRIM(U297),"'","''")&amp;"'")&amp;", p_libro_cilindro =&gt; "&amp;IF(TRIM(V297&amp;"")="","NULL","'"&amp;SUBSTITUTE(TRIM(V297),"'","''")&amp;"'")&amp;", p_pagina_libro =&gt; "&amp;IF(W297&amp;""="","NULL",SUBSTITUTE(W297&amp;"",",","."))&amp;", p_observacion =&gt; "&amp;IF(TRIM(X297&amp;"")="","NULL","'"&amp;SUBSTITUTE(TRIM(X297),"'","''")&amp;"'")&amp;") AS resultado_balon_"&amp;ROW()&amp;";")</f>
        <v/>
      </c>
    </row>
    <row r="298" ht="15.75" customHeight="1" s="64">
      <c r="A298" s="36" t="inlineStr">
        <is>
          <t>294</t>
        </is>
      </c>
      <c r="B298" s="25">
        <f>IF(AND(C298="",D298="",E298=""),"",IF(C298="","FALTA código balón",IF(D298="","FALTA tipo balón",IF(E298="","FALTA gas",IF(F298="","FALTA propietario",IF(AND(C298&lt;&gt;"",SUMPRODUCT(--($C$5:$C$1200=C298))&gt;1),"CÓDIGO BALÓN DUPLICADO",IF(AND(OR(UPPER(F298)="PLANTA",UPPER(F298)="CLIENTE"),G298=""),"FALTA doc propietario/planta",IF(AND(UPPER(F298)="PLANTA",G298="10175332796"),"PLANTA no puede ser RUC empresa","OK"))))))))</f>
        <v/>
      </c>
      <c r="C298" s="23" t="inlineStr">
        <is>
          <t>K4806045</t>
        </is>
      </c>
      <c r="D298" s="17" t="inlineStr">
        <is>
          <t>Oxígeno Industrial 10 m³</t>
        </is>
      </c>
      <c r="E298" s="17" t="inlineStr">
        <is>
          <t>OXIGENO INDUSTRIAL</t>
        </is>
      </c>
      <c r="F298" s="17" t="inlineStr">
        <is>
          <t>EMPRESA</t>
        </is>
      </c>
      <c r="G298" s="23" t="inlineStr">
        <is>
          <t>10175332796</t>
        </is>
      </c>
      <c r="H298" s="25">
        <f t="array" ref="H298">IF(G298="","",IFERROR(IF(INDEX(Clientes!$D$5:$D$549,MATCH(G298,Clientes!$C$5:$C$549,0))&lt;&gt;"",INDEX(Clientes!$D$5:$D$549,MATCH(G298,Clientes!$C$5:$C$549,0)),TRIM(INDEX(Clientes!$E$5:$E$549,MATCH(G298,Clientes!$C$5:$C$549,0))&amp;" "&amp;INDEX(Clientes!$F$5:$F$549,MATCH(G298,Clientes!$C$5:$C$549,0)))),"NO EXISTE en Clientes"))</f>
        <v/>
      </c>
      <c r="I298" s="17" t="inlineStr">
        <is>
          <t>DISPONIBLE</t>
        </is>
      </c>
      <c r="J298" s="17" t="inlineStr">
        <is>
          <t>ALMACEN PRINCIPAL</t>
        </is>
      </c>
      <c r="K298" s="23" t="n"/>
      <c r="L298" s="25">
        <f t="array" ref="L298">IF(K298="","",IFERROR(IF(INDEX(Clientes!$D$5:$D$549,MATCH(K298,Clientes!$C$5:$C$549,0))&lt;&gt;"",INDEX(Clientes!$D$5:$D$549,MATCH(K298,Clientes!$C$5:$C$549,0)),TRIM(INDEX(Clientes!$E$5:$E$549,MATCH(K298,Clientes!$C$5:$C$549,0))&amp;" "&amp;INDEX(Clientes!$F$5:$F$549,MATCH(K298,Clientes!$C$5:$C$549,0)))),"NO EXISTE en Clientes"))</f>
        <v/>
      </c>
      <c r="M298" s="17" t="n">
        <v>2020</v>
      </c>
      <c r="N298" s="17" t="n">
        <v>8</v>
      </c>
      <c r="O298" s="42" t="n">
        <v>44044</v>
      </c>
      <c r="P298" s="39">
        <f>IF(O298&lt;&gt;"",DATE(YEAR(O298)+10,MONTH(O298),1),IF(AND(M298&lt;&gt;"",N298&lt;&gt;""),DATE(M298+5,N298,1),""))</f>
        <v/>
      </c>
      <c r="Q298" s="23" t="n"/>
      <c r="R298" s="17" t="inlineStr">
        <is>
          <t>JD</t>
        </is>
      </c>
      <c r="S298" s="17" t="inlineStr">
        <is>
          <t>TS</t>
        </is>
      </c>
      <c r="T298" s="17" t="n"/>
      <c r="U298" s="17" t="inlineStr">
        <is>
          <t>AMERICANA</t>
        </is>
      </c>
      <c r="V298" s="23" t="n"/>
      <c r="W298" s="17" t="n"/>
      <c r="X298" s="17" t="inlineStr">
        <is>
          <t>PH ORIGINAL</t>
        </is>
      </c>
      <c r="Y298" s="28">
        <f>IF(B298&lt;&gt;"OK","","SELECT bal_crear_balon(p_codigo_balon =&gt; "&amp;IF(TRIM(C298&amp;"")="","NULL","'"&amp;SUBSTITUTE(TRIM(C298),"'","''")&amp;"'")&amp;", p_id_tipo_balon =&gt; "&amp;"(SELECT id FROM bal_tipo_balon WHERE upper(nombre) = upper('"&amp;SUBSTITUTE(TRIM(D298),"'","''")&amp;"') AND estado = 1 LIMIT 1)"&amp;", p_id_producto_gas =&gt; "&amp;"(SELECT id FROM pro_producto WHERE es_gas = TRUE AND upper(nombre) = upper('"&amp;SUBSTITUTE(TRIM(E298),"'","''")&amp;"') AND estado = 1 LIMIT 1)"&amp;", p_id_propietario =&gt; "&amp;IF(TRIM(F298&amp;"")="","NULL","(SELECT lo.id FROM gen_lista_opciones lo JOIN gen_lista l ON l.id = lo.id_lista WHERE l.nombre = 'PropietarioBalon' AND upper(lo.nombre) = upper('"&amp;SUBSTITUTE(TRIM(F298),"'","''")&amp;"') AND lo.estado = 1 LIMIT 1)")&amp;", p_id_cliente_propietario =&gt; "&amp;IF(F298="CLIENTE",IF(TRIM(G298&amp;"")="","NULL","(SELECT id FROM cli_clientes WHERE numero_documento = '"&amp;SUBSTITUTE(TRIM(G298),"'","''")&amp;"' AND estado = 1 LIMIT 1)"),"NULL")&amp;", p_id_planta =&gt; "&amp;IF(F298="PLANTA",IF(TRIM(G298&amp;"")="","NULL","(SELECT id FROM cli_clientes WHERE numero_documento = '"&amp;SUBSTITUTE(TRIM(G298),"'","''")&amp;"'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"&amp;IF(TRIM(J298&amp;"")="","NULL","(SELECT id FROM gen_almacen WHERE upper(nombre) = upper('"&amp;SUBSTITUTE(TRIM(J298),"'","''")&amp;"') AND estado = 1 LIMIT 1)")&amp;", p_id_cliente_ubicacion =&gt; "&amp;IF(TRIM(K298&amp;"")="","NULL","(SELECT id FROM cli_clientes WHERE numero_documento = '"&amp;SUBSTITUTE(TRIM(K298),"'","''")&amp;"' AND estado = 1 LIMIT 1)")&amp;", p_id_referencia =&gt; "&amp;IF(TRIM(J298&amp;"")&lt;&gt;"","(SELECT lo.id FROM gen_lista_opciones lo JOIN gen_lista l ON l.id = lo.id_lista WHERE l.nombre = 'ReferenciaCilindro' AND upper(lo.nombre) = 'ALMACEN' AND lo.estado = 1 LIMIT 1)",IF(TRIM(K298&amp;"")&lt;&gt;"","(SELECT lo.id FROM gen_lista_opciones lo JOIN gen_lista l ON l.id = lo.id_lista WHERE l.nombre = 'ReferenciaCilindro' AND upper(lo.nombre) = 'CLIENTE' AND lo.estado = 1 LIMIT 1)","NULL"))&amp;", p_anio_fabricacion =&gt; "&amp;IF(M298&amp;""="","NULL::smallint",M298&amp;"::smallint")&amp;", p_mes_fabricacion =&gt; "&amp;IF(N298&amp;""="","NULL::smallint",N298&amp;"::smallint")&amp;", p_fecha_ultima_prueba_hidrostatica =&gt; "&amp;IF(O298&amp;""="","NULL","'"&amp;YEAR(O298)&amp;"-"&amp;TEXT(MONTH(O298),"00")&amp;"-"&amp;TEXT(DAY(O298),"00")&amp;"'")&amp;", p_numero_serie =&gt; "&amp;IF(TRIM(Q298&amp;"")="","NULL","'"&amp;SUBSTITUTE(TRIM(Q298),"'","''")&amp;"'")&amp;", p_id_marca_cilindro =&gt; "&amp;IF(TRIM(R298&amp;"")="","NULL","(SELECT lo.id FROM gen_lista_opciones lo JOIN gen_lista l ON l.id = lo.id_lista WHERE l.nombre = 'MarcaCilindro' AND upper(lo.nombre) = upper('"&amp;SUBSTITUTE(TRIM(R298),"'","''")&amp;"') AND lo.estado = 1 LIMIT 1)")&amp;", p_id_organo_inspector =&gt; "&amp;IF(TRIM(S298&amp;"")="","NULL","(SELECT lo.id FROM gen_lista_opciones lo JOIN gen_lista l ON l.id = lo.id_lista WHERE l.nombre = 'OrganoInspectorCilindro' AND upper(lo.nombre) = upper('"&amp;SUBSTITUTE(TRIM(S298),"'","''")&amp;"') AND lo.estado = 1 LIMIT 1)")&amp;", p_organo_inspector_no_aplica =&gt; "&amp;IF(S298="NO_APLICA","TRUE","FALSE")&amp;", p_presion_actual =&gt; "&amp;IF(T298&amp;""="","NULL",SUBSTITUTE(T298&amp;"",",","."))&amp;", p_tipo_valvula =&gt; "&amp;IF(TRIM(U298&amp;"")="","NULL","'"&amp;SUBSTITUTE(TRIM(U298),"'","''")&amp;"'")&amp;", p_libro_cilindro =&gt; "&amp;IF(TRIM(V298&amp;"")="","NULL","'"&amp;SUBSTITUTE(TRIM(V298),"'","''")&amp;"'")&amp;", p_pagina_libro =&gt; "&amp;IF(W298&amp;""="","NULL",SUBSTITUTE(W298&amp;"",",","."))&amp;", p_observacion =&gt; "&amp;IF(TRIM(X298&amp;"")="","NULL","'"&amp;SUBSTITUTE(TRIM(X298),"'","''")&amp;"'")&amp;") AS resultado_balon_"&amp;ROW()&amp;";")</f>
        <v/>
      </c>
    </row>
    <row r="299" ht="15.75" customHeight="1" s="64">
      <c r="A299" s="36" t="inlineStr">
        <is>
          <t>295</t>
        </is>
      </c>
      <c r="B299" s="25">
        <f>IF(AND(C299="",D299="",E299=""),"",IF(C299="","FALTA código balón",IF(D299="","FALTA tipo balón",IF(E299="","FALTA gas",IF(F299="","FALTA propietario",IF(AND(C299&lt;&gt;"",SUMPRODUCT(--($C$5:$C$1200=C299))&gt;1),"CÓDIGO BALÓN DUPLICADO",IF(AND(OR(UPPER(F299)="PLANTA",UPPER(F299)="CLIENTE"),G299=""),"FALTA doc propietario/planta",IF(AND(UPPER(F299)="PLANTA",G299="10175332796"),"PLANTA no puede ser RUC empresa","OK"))))))))</f>
        <v/>
      </c>
      <c r="C299" s="54" t="inlineStr">
        <is>
          <t>FC0190675</t>
        </is>
      </c>
      <c r="D299" s="17" t="inlineStr">
        <is>
          <t>Oxígeno Industrial 10 m³</t>
        </is>
      </c>
      <c r="E299" s="17" t="inlineStr">
        <is>
          <t>OXIGENO INDUSTRIAL</t>
        </is>
      </c>
      <c r="F299" s="17" t="inlineStr">
        <is>
          <t>EMPRESA</t>
        </is>
      </c>
      <c r="G299" s="23" t="inlineStr">
        <is>
          <t>10175332796</t>
        </is>
      </c>
      <c r="H299" s="25">
        <f t="array" ref="H299">IF(G299="","",IFERROR(IF(INDEX(Clientes!$D$5:$D$549,MATCH(G299,Clientes!$C$5:$C$549,0))&lt;&gt;"",INDEX(Clientes!$D$5:$D$549,MATCH(G299,Clientes!$C$5:$C$549,0)),TRIM(INDEX(Clientes!$E$5:$E$549,MATCH(G299,Clientes!$C$5:$C$549,0))&amp;" "&amp;INDEX(Clientes!$F$5:$F$549,MATCH(G299,Clientes!$C$5:$C$549,0)))),"NO EXISTE en Clientes"))</f>
        <v/>
      </c>
      <c r="I299" s="17" t="inlineStr">
        <is>
          <t>DISPONIBLE</t>
        </is>
      </c>
      <c r="J299" s="17" t="inlineStr">
        <is>
          <t>ALMACEN PRINCIPAL</t>
        </is>
      </c>
      <c r="K299" s="23" t="n"/>
      <c r="L299" s="25">
        <f t="array" ref="L299">IF(K299="","",IFERROR(IF(INDEX(Clientes!$D$5:$D$549,MATCH(K299,Clientes!$C$5:$C$549,0))&lt;&gt;"",INDEX(Clientes!$D$5:$D$549,MATCH(K299,Clientes!$C$5:$C$549,0)),TRIM(INDEX(Clientes!$E$5:$E$549,MATCH(K299,Clientes!$C$5:$C$549,0))&amp;" "&amp;INDEX(Clientes!$F$5:$F$549,MATCH(K299,Clientes!$C$5:$C$549,0)))),"NO EXISTE en Clientes"))</f>
        <v/>
      </c>
      <c r="M299" s="17" t="n">
        <v>2021</v>
      </c>
      <c r="N299" s="17" t="n">
        <v>3</v>
      </c>
      <c r="O299" s="42" t="n">
        <v>44256</v>
      </c>
      <c r="P299" s="39">
        <f>IF(O299&lt;&gt;"",DATE(YEAR(O299)+10,MONTH(O299),1),IF(AND(M299&lt;&gt;"",N299&lt;&gt;""),DATE(M299+5,N299,1),""))</f>
        <v/>
      </c>
      <c r="Q299" s="23" t="n"/>
      <c r="R299" s="17" t="inlineStr">
        <is>
          <t>LD</t>
        </is>
      </c>
      <c r="S299" s="17" t="inlineStr">
        <is>
          <t>HEXAGONAL (0036)</t>
        </is>
      </c>
      <c r="T299" s="17" t="n"/>
      <c r="U299" s="17" t="inlineStr">
        <is>
          <t>AMERICANA</t>
        </is>
      </c>
      <c r="V299" s="23" t="n"/>
      <c r="W299" s="17" t="n"/>
      <c r="X299" s="17" t="inlineStr">
        <is>
          <t>PH ORIGINAL</t>
        </is>
      </c>
      <c r="Y299" s="28">
        <f>IF(B299&lt;&gt;"OK","","SELECT bal_crear_balon(p_codigo_balon =&gt; "&amp;IF(TRIM(C299&amp;"")="","NULL","'"&amp;SUBSTITUTE(TRIM(C299),"'","''")&amp;"'")&amp;", p_id_tipo_balon =&gt; "&amp;"(SELECT id FROM bal_tipo_balon WHERE upper(nombre) = upper('"&amp;SUBSTITUTE(TRIM(D299),"'","''")&amp;"') AND estado = 1 LIMIT 1)"&amp;", p_id_producto_gas =&gt; "&amp;"(SELECT id FROM pro_producto WHERE es_gas = TRUE AND upper(nombre) = upper('"&amp;SUBSTITUTE(TRIM(E299),"'","''")&amp;"') AND estado = 1 LIMIT 1)"&amp;", p_id_propietario =&gt; "&amp;IF(TRIM(F299&amp;"")="","NULL","(SELECT lo.id FROM gen_lista_opciones lo JOIN gen_lista l ON l.id = lo.id_lista WHERE l.nombre = 'PropietarioBalon' AND upper(lo.nombre) = upper('"&amp;SUBSTITUTE(TRIM(F299),"'","''")&amp;"') AND lo.estado = 1 LIMIT 1)")&amp;", p_id_cliente_propietario =&gt; "&amp;IF(F299="CLIENTE",IF(TRIM(G299&amp;"")="","NULL","(SELECT id FROM cli_clientes WHERE numero_documento = '"&amp;SUBSTITUTE(TRIM(G299),"'","''")&amp;"' AND estado = 1 LIMIT 1)"),"NULL")&amp;", p_id_planta =&gt; "&amp;IF(F299="PLANTA",IF(TRIM(G299&amp;"")="","NULL","(SELECT id FROM cli_clientes WHERE numero_documento = '"&amp;SUBSTITUTE(TRIM(G299),"'","''")&amp;"'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"&amp;IF(TRIM(J299&amp;"")="","NULL","(SELECT id FROM gen_almacen WHERE upper(nombre) = upper('"&amp;SUBSTITUTE(TRIM(J299),"'","''")&amp;"') AND estado = 1 LIMIT 1)")&amp;", p_id_cliente_ubicacion =&gt; "&amp;IF(TRIM(K299&amp;"")="","NULL","(SELECT id FROM cli_clientes WHERE numero_documento = '"&amp;SUBSTITUTE(TRIM(K299),"'","''")&amp;"' AND estado = 1 LIMIT 1)")&amp;", p_id_referencia =&gt; "&amp;IF(TRIM(J299&amp;"")&lt;&gt;"","(SELECT lo.id FROM gen_lista_opciones lo JOIN gen_lista l ON l.id = lo.id_lista WHERE l.nombre = 'ReferenciaCilindro' AND upper(lo.nombre) = 'ALMACEN' AND lo.estado = 1 LIMIT 1)",IF(TRIM(K299&amp;"")&lt;&gt;"","(SELECT lo.id FROM gen_lista_opciones lo JOIN gen_lista l ON l.id = lo.id_lista WHERE l.nombre = 'ReferenciaCilindro' AND upper(lo.nombre) = 'CLIENTE' AND lo.estado = 1 LIMIT 1)","NULL"))&amp;", p_anio_fabricacion =&gt; "&amp;IF(M299&amp;""="","NULL::smallint",M299&amp;"::smallint")&amp;", p_mes_fabricacion =&gt; "&amp;IF(N299&amp;""="","NULL::smallint",N299&amp;"::smallint")&amp;", p_fecha_ultima_prueba_hidrostatica =&gt; "&amp;IF(O299&amp;""="","NULL","'"&amp;YEAR(O299)&amp;"-"&amp;TEXT(MONTH(O299),"00")&amp;"-"&amp;TEXT(DAY(O299),"00")&amp;"'")&amp;", p_numero_serie =&gt; "&amp;IF(TRIM(Q299&amp;"")="","NULL","'"&amp;SUBSTITUTE(TRIM(Q299),"'","''")&amp;"'")&amp;", p_id_marca_cilindro =&gt; "&amp;IF(TRIM(R299&amp;"")="","NULL","(SELECT lo.id FROM gen_lista_opciones lo JOIN gen_lista l ON l.id = lo.id_lista WHERE l.nombre = 'MarcaCilindro' AND upper(lo.nombre) = upper('"&amp;SUBSTITUTE(TRIM(R299),"'","''")&amp;"') AND lo.estado = 1 LIMIT 1)")&amp;", p_id_organo_inspector =&gt; "&amp;IF(TRIM(S299&amp;"")="","NULL","(SELECT lo.id FROM gen_lista_opciones lo JOIN gen_lista l ON l.id = lo.id_lista WHERE l.nombre = 'OrganoInspectorCilindro' AND upper(lo.nombre) = upper('"&amp;SUBSTITUTE(TRIM(S299),"'","''")&amp;"') AND lo.estado = 1 LIMIT 1)")&amp;", p_organo_inspector_no_aplica =&gt; "&amp;IF(S299="NO_APLICA","TRUE","FALSE")&amp;", p_presion_actual =&gt; "&amp;IF(T299&amp;""="","NULL",SUBSTITUTE(T299&amp;"",",","."))&amp;", p_tipo_valvula =&gt; "&amp;IF(TRIM(U299&amp;"")="","NULL","'"&amp;SUBSTITUTE(TRIM(U299),"'","''")&amp;"'")&amp;", p_libro_cilindro =&gt; "&amp;IF(TRIM(V299&amp;"")="","NULL","'"&amp;SUBSTITUTE(TRIM(V299),"'","''")&amp;"'")&amp;", p_pagina_libro =&gt; "&amp;IF(W299&amp;""="","NULL",SUBSTITUTE(W299&amp;"",",","."))&amp;", p_observacion =&gt; "&amp;IF(TRIM(X299&amp;"")="","NULL","'"&amp;SUBSTITUTE(TRIM(X299),"'","''")&amp;"'")&amp;") AS resultado_balon_"&amp;ROW()&amp;";")</f>
        <v/>
      </c>
    </row>
    <row r="300" ht="15.75" customHeight="1" s="64">
      <c r="A300" s="36" t="inlineStr">
        <is>
          <t>296</t>
        </is>
      </c>
      <c r="B300" s="25">
        <f>IF(AND(C300="",D300="",E300=""),"",IF(C300="","FALTA código balón",IF(D300="","FALTA tipo balón",IF(E300="","FALTA gas",IF(F300="","FALTA propietario",IF(AND(C300&lt;&gt;"",SUMPRODUCT(--($C$5:$C$1200=C300))&gt;1),"CÓDIGO BALÓN DUPLICADO",IF(AND(OR(UPPER(F300)="PLANTA",UPPER(F300)="CLIENTE"),G300=""),"FALTA doc propietario/planta",IF(AND(UPPER(F300)="PLANTA",G300="10175332796"),"PLANTA no puede ser RUC empresa","OK"))))))))</f>
        <v/>
      </c>
      <c r="C300" s="23" t="inlineStr">
        <is>
          <t>8892053</t>
        </is>
      </c>
      <c r="D300" s="17" t="inlineStr">
        <is>
          <t>Argón Estándar 10 m3</t>
        </is>
      </c>
      <c r="E300" s="17" t="inlineStr">
        <is>
          <t>ARGON</t>
        </is>
      </c>
      <c r="F300" s="17" t="inlineStr">
        <is>
          <t>EMPRESA</t>
        </is>
      </c>
      <c r="G300" s="23" t="inlineStr">
        <is>
          <t>10175332796</t>
        </is>
      </c>
      <c r="H300" s="25">
        <f t="array" ref="H300">IF(G300="","",IFERROR(IF(INDEX(Clientes!$D$5:$D$549,MATCH(G300,Clientes!$C$5:$C$549,0))&lt;&gt;"",INDEX(Clientes!$D$5:$D$549,MATCH(G300,Clientes!$C$5:$C$549,0)),TRIM(INDEX(Clientes!$E$5:$E$549,MATCH(G300,Clientes!$C$5:$C$549,0))&amp;" "&amp;INDEX(Clientes!$F$5:$F$549,MATCH(G300,Clientes!$C$5:$C$549,0)))),"NO EXISTE en Clientes"))</f>
        <v/>
      </c>
      <c r="I300" s="17" t="inlineStr">
        <is>
          <t>DISPONIBLE</t>
        </is>
      </c>
      <c r="J300" s="17" t="inlineStr">
        <is>
          <t>ALMACEN PRINCIPAL</t>
        </is>
      </c>
      <c r="K300" s="23" t="n"/>
      <c r="L300" s="25">
        <f t="array" ref="L300">IF(K300="","",IFERROR(IF(INDEX(Clientes!$D$5:$D$549,MATCH(K300,Clientes!$C$5:$C$549,0))&lt;&gt;"",INDEX(Clientes!$D$5:$D$549,MATCH(K300,Clientes!$C$5:$C$549,0)),TRIM(INDEX(Clientes!$E$5:$E$549,MATCH(K300,Clientes!$C$5:$C$549,0))&amp;" "&amp;INDEX(Clientes!$F$5:$F$549,MATCH(K300,Clientes!$C$5:$C$549,0)))),"NO EXISTE en Clientes"))</f>
        <v/>
      </c>
      <c r="M300" s="17" t="n">
        <v>2022</v>
      </c>
      <c r="N300" s="17" t="n">
        <v>7</v>
      </c>
      <c r="O300" s="42" t="n">
        <v>44743</v>
      </c>
      <c r="P300" s="39">
        <f>IF(O300&lt;&gt;"",DATE(YEAR(O300)+10,MONTH(O300),1),IF(AND(M300&lt;&gt;"",N300&lt;&gt;""),DATE(M300+5,N300,1),""))</f>
        <v/>
      </c>
      <c r="Q300" s="23" t="n"/>
      <c r="R300" s="17" t="n"/>
      <c r="S300" s="17" t="n"/>
      <c r="T300" s="17" t="n"/>
      <c r="U300" s="17" t="inlineStr">
        <is>
          <t>AMERICANA</t>
        </is>
      </c>
      <c r="V300" s="23" t="n"/>
      <c r="W300" s="17" t="n"/>
      <c r="X300" s="17" t="inlineStr">
        <is>
          <t>PH OXIGENO CRISTIAN</t>
        </is>
      </c>
      <c r="Y300" s="28">
        <f>IF(B300&lt;&gt;"OK","","SELECT bal_crear_balon(p_codigo_balon =&gt; "&amp;IF(TRIM(C300&amp;"")="","NULL","'"&amp;SUBSTITUTE(TRIM(C300),"'","''")&amp;"'")&amp;", p_id_tipo_balon =&gt; "&amp;"(SELECT id FROM bal_tipo_balon WHERE upper(nombre) = upper('"&amp;SUBSTITUTE(TRIM(D300),"'","''")&amp;"') AND estado = 1 LIMIT 1)"&amp;", p_id_producto_gas =&gt; "&amp;"(SELECT id FROM pro_producto WHERE es_gas = TRUE AND upper(nombre) = upper('"&amp;SUBSTITUTE(TRIM(E300),"'","''")&amp;"') AND estado = 1 LIMIT 1)"&amp;", p_id_propietario =&gt; "&amp;IF(TRIM(F300&amp;"")="","NULL","(SELECT lo.id FROM gen_lista_opciones lo JOIN gen_lista l ON l.id = lo.id_lista WHERE l.nombre = 'PropietarioBalon' AND upper(lo.nombre) = upper('"&amp;SUBSTITUTE(TRIM(F300),"'","''")&amp;"') AND lo.estado = 1 LIMIT 1)")&amp;", p_id_cliente_propietario =&gt; "&amp;IF(F300="CLIENTE",IF(TRIM(G300&amp;"")="","NULL","(SELECT id FROM cli_clientes WHERE numero_documento = '"&amp;SUBSTITUTE(TRIM(G300),"'","''")&amp;"' AND estado = 1 LIMIT 1)"),"NULL")&amp;", p_id_planta =&gt; "&amp;IF(F300="PLANTA",IF(TRIM(G300&amp;"")="","NULL","(SELECT id FROM cli_clientes WHERE numero_documento = '"&amp;SUBSTITUTE(TRIM(G300),"'","''")&amp;"'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"&amp;IF(TRIM(J300&amp;"")="","NULL","(SELECT id FROM gen_almacen WHERE upper(nombre) = upper('"&amp;SUBSTITUTE(TRIM(J300),"'","''")&amp;"') AND estado = 1 LIMIT 1)")&amp;", p_id_cliente_ubicacion =&gt; "&amp;IF(TRIM(K300&amp;"")="","NULL","(SELECT id FROM cli_clientes WHERE numero_documento = '"&amp;SUBSTITUTE(TRIM(K300),"'","''")&amp;"' AND estado = 1 LIMIT 1)")&amp;", p_id_referencia =&gt; "&amp;IF(TRIM(J300&amp;"")&lt;&gt;"","(SELECT lo.id FROM gen_lista_opciones lo JOIN gen_lista l ON l.id = lo.id_lista WHERE l.nombre = 'ReferenciaCilindro' AND upper(lo.nombre) = 'ALMACEN' AND lo.estado = 1 LIMIT 1)",IF(TRIM(K300&amp;"")&lt;&gt;"","(SELECT lo.id FROM gen_lista_opciones lo JOIN gen_lista l ON l.id = lo.id_lista WHERE l.nombre = 'ReferenciaCilindro' AND upper(lo.nombre) = 'CLIENTE' AND lo.estado = 1 LIMIT 1)","NULL"))&amp;", p_anio_fabricacion =&gt; "&amp;IF(M300&amp;""="","NULL::smallint",M300&amp;"::smallint")&amp;", p_mes_fabricacion =&gt; "&amp;IF(N300&amp;""="","NULL::smallint",N300&amp;"::smallint")&amp;", p_fecha_ultima_prueba_hidrostatica =&gt; "&amp;IF(O300&amp;""="","NULL","'"&amp;YEAR(O300)&amp;"-"&amp;TEXT(MONTH(O300),"00")&amp;"-"&amp;TEXT(DAY(O300),"00")&amp;"'")&amp;", p_numero_serie =&gt; "&amp;IF(TRIM(Q300&amp;"")="","NULL","'"&amp;SUBSTITUTE(TRIM(Q300),"'","''")&amp;"'")&amp;", p_id_marca_cilindro =&gt; "&amp;IF(TRIM(R300&amp;"")="","NULL","(SELECT lo.id FROM gen_lista_opciones lo JOIN gen_lista l ON l.id = lo.id_lista WHERE l.nombre = 'MarcaCilindro' AND upper(lo.nombre) = upper('"&amp;SUBSTITUTE(TRIM(R300),"'","''")&amp;"') AND lo.estado = 1 LIMIT 1)")&amp;", p_id_organo_inspector =&gt; "&amp;IF(TRIM(S300&amp;"")="","NULL","(SELECT lo.id FROM gen_lista_opciones lo JOIN gen_lista l ON l.id = lo.id_lista WHERE l.nombre = 'OrganoInspectorCilindro' AND upper(lo.nombre) = upper('"&amp;SUBSTITUTE(TRIM(S300),"'","''")&amp;"') AND lo.estado = 1 LIMIT 1)")&amp;", p_organo_inspector_no_aplica =&gt; "&amp;IF(S300="NO_APLICA","TRUE","FALSE")&amp;", p_presion_actual =&gt; "&amp;IF(T300&amp;""="","NULL",SUBSTITUTE(T300&amp;"",",","."))&amp;", p_tipo_valvula =&gt; "&amp;IF(TRIM(U300&amp;"")="","NULL","'"&amp;SUBSTITUTE(TRIM(U300),"'","''")&amp;"'")&amp;", p_libro_cilindro =&gt; "&amp;IF(TRIM(V300&amp;"")="","NULL","'"&amp;SUBSTITUTE(TRIM(V300),"'","''")&amp;"'")&amp;", p_pagina_libro =&gt; "&amp;IF(W300&amp;""="","NULL",SUBSTITUTE(W300&amp;"",",","."))&amp;", p_observacion =&gt; "&amp;IF(TRIM(X300&amp;"")="","NULL","'"&amp;SUBSTITUTE(TRIM(X300),"'","''")&amp;"'")&amp;") AS resultado_balon_"&amp;ROW()&amp;";")</f>
        <v/>
      </c>
    </row>
    <row r="301" ht="15.75" customHeight="1" s="64">
      <c r="A301" s="36" t="inlineStr">
        <is>
          <t>297</t>
        </is>
      </c>
      <c r="B301" s="25">
        <f>IF(AND(C301="",D301="",E301=""),"",IF(C301="","FALTA código balón",IF(D301="","FALTA tipo balón",IF(E301="","FALTA gas",IF(F301="","FALTA propietario",IF(AND(C301&lt;&gt;"",SUMPRODUCT(--($C$5:$C$1200=C301))&gt;1),"CÓDIGO BALÓN DUPLICADO",IF(AND(OR(UPPER(F301)="PLANTA",UPPER(F301)="CLIENTE"),G301=""),"FALTA doc propietario/planta",IF(AND(UPPER(F301)="PLANTA",G301="10175332796"),"PLANTA no puede ser RUC empresa","OK"))))))))</f>
        <v/>
      </c>
      <c r="C301" s="23" t="n"/>
      <c r="D301" s="17" t="n"/>
      <c r="E301" s="17" t="n"/>
      <c r="F301" s="17" t="n"/>
      <c r="G301" s="23" t="n"/>
      <c r="H301" s="25" t="n"/>
      <c r="I301" s="17" t="n"/>
      <c r="J301" s="17" t="n"/>
      <c r="K301" s="23" t="n"/>
      <c r="L301" s="25">
        <f t="array" ref="L301">IF(K301="","",IFERROR(IF(INDEX(Clientes!$D$5:$D$549,MATCH(K301,Clientes!$C$5:$C$549,0))&lt;&gt;"",INDEX(Clientes!$D$5:$D$549,MATCH(K301,Clientes!$C$5:$C$549,0)),TRIM(INDEX(Clientes!$E$5:$E$549,MATCH(K301,Clientes!$C$5:$C$549,0))&amp;" "&amp;INDEX(Clientes!$F$5:$F$549,MATCH(K301,Clientes!$C$5:$C$549,0)))),"NO EXISTE en Clientes"))</f>
        <v/>
      </c>
      <c r="M301" s="17" t="n"/>
      <c r="N301" s="17" t="n"/>
      <c r="O301" s="42" t="n"/>
      <c r="P301" s="39" t="n"/>
      <c r="Q301" s="23" t="n"/>
      <c r="R301" s="17" t="n"/>
      <c r="S301" s="17" t="n"/>
      <c r="T301" s="17" t="n"/>
      <c r="U301" s="17" t="n"/>
      <c r="V301" s="23" t="n"/>
      <c r="W301" s="17" t="n"/>
      <c r="X301" s="17" t="n"/>
      <c r="Y301" s="28">
        <f>IF(B301&lt;&gt;"OK","","SELECT bal_crear_balon(p_codigo_balon =&gt; "&amp;IF(TRIM(C301&amp;"")="","NULL","'"&amp;SUBSTITUTE(TRIM(C301),"'","''")&amp;"'")&amp;", p_id_tipo_balon =&gt; "&amp;"(SELECT id FROM bal_tipo_balon WHERE upper(nombre) = upper('"&amp;SUBSTITUTE(TRIM(D301),"'","''")&amp;"') AND estado = 1 LIMIT 1)"&amp;", p_id_producto_gas =&gt; "&amp;"(SELECT id FROM pro_producto WHERE es_gas = TRUE AND upper(nombre) = upper('"&amp;SUBSTITUTE(TRIM(E301),"'","''")&amp;"') AND estado = 1 LIMIT 1)"&amp;", p_id_propietario =&gt; "&amp;IF(TRIM(F301&amp;"")="","NULL","(SELECT lo.id FROM gen_lista_opciones lo JOIN gen_lista l ON l.id = lo.id_lista WHERE l.nombre = 'PropietarioBalon' AND upper(lo.nombre) = upper('"&amp;SUBSTITUTE(TRIM(F301),"'","''")&amp;"') AND lo.estado = 1 LIMIT 1)")&amp;", p_id_cliente_propietario =&gt; "&amp;IF(F301="CLIENTE",IF(TRIM(G301&amp;"")="","NULL","(SELECT id FROM cli_clientes WHERE numero_documento = '"&amp;SUBSTITUTE(TRIM(G301),"'","''")&amp;"' AND estado = 1 LIMIT 1)"),"NULL")&amp;", p_id_planta =&gt; "&amp;IF(F301="PLANTA",IF(TRIM(G301&amp;"")="","NULL","(SELECT id FROM cli_clientes WHERE numero_documento = '"&amp;SUBSTITUTE(TRIM(G301),"'","''")&amp;"'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"&amp;IF(TRIM(J301&amp;"")="","NULL","(SELECT id FROM gen_almacen WHERE upper(nombre) = upper('"&amp;SUBSTITUTE(TRIM(J301),"'","''")&amp;"') AND estado = 1 LIMIT 1)")&amp;", p_id_cliente_ubicacion =&gt; "&amp;IF(TRIM(K301&amp;"")="","NULL","(SELECT id FROM cli_clientes WHERE numero_documento = '"&amp;SUBSTITUTE(TRIM(K301),"'","''")&amp;"' AND estado = 1 LIMIT 1)")&amp;", p_id_referencia =&gt; "&amp;IF(TRIM(J301&amp;"")&lt;&gt;"","(SELECT lo.id FROM gen_lista_opciones lo JOIN gen_lista l ON l.id = lo.id_lista WHERE l.nombre = 'ReferenciaCilindro' AND upper(lo.nombre) = 'ALMACEN' AND lo.estado = 1 LIMIT 1)",IF(TRIM(K301&amp;"")&lt;&gt;"","(SELECT lo.id FROM gen_lista_opciones lo JOIN gen_lista l ON l.id = lo.id_lista WHERE l.nombre = 'ReferenciaCilindro' AND upper(lo.nombre) = 'CLIENTE' AND lo.estado = 1 LIMIT 1)","NULL"))&amp;", p_anio_fabricacion =&gt; "&amp;IF(M301&amp;""="","NULL::smallint",M301&amp;"::smallint")&amp;", p_mes_fabricacion =&gt; "&amp;IF(N301&amp;""="","NULL::smallint",N301&amp;"::smallint")&amp;", p_fecha_ultima_prueba_hidrostatica =&gt; "&amp;IF(O301&amp;""="","NULL","'"&amp;YEAR(O301)&amp;"-"&amp;TEXT(MONTH(O301),"00")&amp;"-"&amp;TEXT(DAY(O301),"00")&amp;"'")&amp;", p_numero_serie =&gt; "&amp;IF(TRIM(Q301&amp;"")="","NULL","'"&amp;SUBSTITUTE(TRIM(Q301),"'","''")&amp;"'")&amp;", p_id_marca_cilindro =&gt; "&amp;IF(TRIM(R301&amp;"")="","NULL","(SELECT lo.id FROM gen_lista_opciones lo JOIN gen_lista l ON l.id = lo.id_lista WHERE l.nombre = 'MarcaCilindro' AND upper(lo.nombre) = upper('"&amp;SUBSTITUTE(TRIM(R301),"'","''")&amp;"') AND lo.estado = 1 LIMIT 1)")&amp;", p_id_organo_inspector =&gt; "&amp;IF(TRIM(S301&amp;"")="","NULL","(SELECT lo.id FROM gen_lista_opciones lo JOIN gen_lista l ON l.id = lo.id_lista WHERE l.nombre = 'OrganoInspectorCilindro' AND upper(lo.nombre) = upper('"&amp;SUBSTITUTE(TRIM(S301),"'","''")&amp;"') AND lo.estado = 1 LIMIT 1)")&amp;", p_organo_inspector_no_aplica =&gt; "&amp;IF(S301="NO_APLICA","TRUE","FALSE")&amp;", p_presion_actual =&gt; "&amp;IF(T301&amp;""="","NULL",SUBSTITUTE(T301&amp;"",",","."))&amp;", p_tipo_valvula =&gt; "&amp;IF(TRIM(U301&amp;"")="","NULL","'"&amp;SUBSTITUTE(TRIM(U301),"'","''")&amp;"'")&amp;", p_libro_cilindro =&gt; "&amp;IF(TRIM(V301&amp;"")="","NULL","'"&amp;SUBSTITUTE(TRIM(V301),"'","''")&amp;"'")&amp;", p_pagina_libro =&gt; "&amp;IF(W301&amp;""="","NULL",SUBSTITUTE(W301&amp;"",",","."))&amp;", p_observacion =&gt; "&amp;IF(TRIM(X301&amp;"")="","NULL","'"&amp;SUBSTITUTE(TRIM(X301),"'","''")&amp;"'")&amp;") AS resultado_balon_"&amp;ROW()&amp;";")</f>
        <v/>
      </c>
    </row>
    <row r="302" ht="15.75" customHeight="1" s="64">
      <c r="A302" s="36" t="inlineStr">
        <is>
          <t>298</t>
        </is>
      </c>
      <c r="B302" s="25">
        <f>IF(AND(C302="",D302="",E302=""),"",IF(C302="","FALTA código balón",IF(D302="","FALTA tipo balón",IF(E302="","FALTA gas",IF(F302="","FALTA propietario",IF(AND(C302&lt;&gt;"",SUMPRODUCT(--($C$5:$C$1200=C302))&gt;1),"CÓDIGO BALÓN DUPLICADO",IF(AND(OR(UPPER(F302)="PLANTA",UPPER(F302)="CLIENTE"),G302=""),"FALTA doc propietario/planta",IF(AND(UPPER(F302)="PLANTA",G302="10175332796"),"PLANTA no puede ser RUC empresa","OK"))))))))</f>
        <v/>
      </c>
      <c r="C302" s="23" t="inlineStr">
        <is>
          <t>22K035139</t>
        </is>
      </c>
      <c r="D302" s="17" t="inlineStr">
        <is>
          <t>Argón Estándar 10 m3</t>
        </is>
      </c>
      <c r="E302" s="17" t="inlineStr">
        <is>
          <t>ARGON</t>
        </is>
      </c>
      <c r="F302" s="17" t="inlineStr">
        <is>
          <t>EMPRESA</t>
        </is>
      </c>
      <c r="G302" s="23" t="inlineStr">
        <is>
          <t>10175332796</t>
        </is>
      </c>
      <c r="H302" s="25">
        <f t="array" ref="H302">IF(G302="","",IFERROR(IF(INDEX(Clientes!$D$5:$D$549,MATCH(G302,Clientes!$C$5:$C$549,0))&lt;&gt;"",INDEX(Clientes!$D$5:$D$549,MATCH(G302,Clientes!$C$5:$C$549,0)),TRIM(INDEX(Clientes!$E$5:$E$549,MATCH(G302,Clientes!$C$5:$C$549,0))&amp;" "&amp;INDEX(Clientes!$F$5:$F$549,MATCH(G302,Clientes!$C$5:$C$549,0)))),"NO EXISTE en Clientes"))</f>
        <v/>
      </c>
      <c r="I302" s="17" t="inlineStr">
        <is>
          <t>DISPONIBLE</t>
        </is>
      </c>
      <c r="J302" s="17" t="inlineStr">
        <is>
          <t>ALMACEN PRINCIPAL</t>
        </is>
      </c>
      <c r="K302" s="23" t="n"/>
      <c r="L302" s="25">
        <f t="array" ref="L302">IF(K302="","",IFERROR(IF(INDEX(Clientes!$D$5:$D$549,MATCH(K302,Clientes!$C$5:$C$549,0))&lt;&gt;"",INDEX(Clientes!$D$5:$D$549,MATCH(K302,Clientes!$C$5:$C$549,0)),TRIM(INDEX(Clientes!$E$5:$E$549,MATCH(K302,Clientes!$C$5:$C$549,0))&amp;" "&amp;INDEX(Clientes!$F$5:$F$549,MATCH(K302,Clientes!$C$5:$C$549,0)))),"NO EXISTE en Clientes"))</f>
        <v/>
      </c>
      <c r="M302" s="17" t="n">
        <v>2022</v>
      </c>
      <c r="N302" s="17" t="n">
        <v>1</v>
      </c>
      <c r="O302" s="42" t="n">
        <v>44562</v>
      </c>
      <c r="P302" s="39">
        <f>IF(O302&lt;&gt;"",DATE(YEAR(O302)+10,MONTH(O302),1),IF(AND(M302&lt;&gt;"",N302&lt;&gt;""),DATE(M302+5,N302,1),""))</f>
        <v/>
      </c>
      <c r="Q302" s="23" t="n"/>
      <c r="R302" s="17" t="inlineStr">
        <is>
          <t>JP</t>
        </is>
      </c>
      <c r="S302" s="17" t="inlineStr">
        <is>
          <t>HEXAGONAL (0036)</t>
        </is>
      </c>
      <c r="T302" s="17" t="n"/>
      <c r="U302" s="17" t="inlineStr">
        <is>
          <t>AMERICANA</t>
        </is>
      </c>
      <c r="V302" s="23" t="n"/>
      <c r="W302" s="17" t="n"/>
      <c r="X302" s="17" t="inlineStr">
        <is>
          <t>PH ORIGINAL</t>
        </is>
      </c>
      <c r="Y302" s="28">
        <f>IF(B302&lt;&gt;"OK","","SELECT bal_crear_balon(p_codigo_balon =&gt; "&amp;IF(TRIM(C302&amp;"")="","NULL","'"&amp;SUBSTITUTE(TRIM(C302),"'","''")&amp;"'")&amp;", p_id_tipo_balon =&gt; "&amp;"(SELECT id FROM bal_tipo_balon WHERE upper(nombre) = upper('"&amp;SUBSTITUTE(TRIM(D302),"'","''")&amp;"') AND estado = 1 LIMIT 1)"&amp;", p_id_producto_gas =&gt; "&amp;"(SELECT id FROM pro_producto WHERE es_gas = TRUE AND upper(nombre) = upper('"&amp;SUBSTITUTE(TRIM(E302),"'","''")&amp;"') AND estado = 1 LIMIT 1)"&amp;", p_id_propietario =&gt; "&amp;IF(TRIM(F302&amp;"")="","NULL","(SELECT lo.id FROM gen_lista_opciones lo JOIN gen_lista l ON l.id = lo.id_lista WHERE l.nombre = 'PropietarioBalon' AND upper(lo.nombre) = upper('"&amp;SUBSTITUTE(TRIM(F302),"'","''")&amp;"') AND lo.estado = 1 LIMIT 1)")&amp;", p_id_cliente_propietario =&gt; "&amp;IF(F302="CLIENTE",IF(TRIM(G302&amp;"")="","NULL","(SELECT id FROM cli_clientes WHERE numero_documento = '"&amp;SUBSTITUTE(TRIM(G302),"'","''")&amp;"' AND estado = 1 LIMIT 1)"),"NULL")&amp;", p_id_planta =&gt; "&amp;IF(F302="PLANTA",IF(TRIM(G302&amp;"")="","NULL","(SELECT id FROM cli_clientes WHERE numero_documento = '"&amp;SUBSTITUTE(TRIM(G302),"'","''")&amp;"'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"&amp;IF(TRIM(J302&amp;"")="","NULL","(SELECT id FROM gen_almacen WHERE upper(nombre) = upper('"&amp;SUBSTITUTE(TRIM(J302),"'","''")&amp;"') AND estado = 1 LIMIT 1)")&amp;", p_id_cliente_ubicacion =&gt; "&amp;IF(TRIM(K302&amp;"")="","NULL","(SELECT id FROM cli_clientes WHERE numero_documento = '"&amp;SUBSTITUTE(TRIM(K302),"'","''")&amp;"' AND estado = 1 LIMIT 1)")&amp;", p_id_referencia =&gt; "&amp;IF(TRIM(J302&amp;"")&lt;&gt;"","(SELECT lo.id FROM gen_lista_opciones lo JOIN gen_lista l ON l.id = lo.id_lista WHERE l.nombre = 'ReferenciaCilindro' AND upper(lo.nombre) = 'ALMACEN' AND lo.estado = 1 LIMIT 1)",IF(TRIM(K302&amp;"")&lt;&gt;"","(SELECT lo.id FROM gen_lista_opciones lo JOIN gen_lista l ON l.id = lo.id_lista WHERE l.nombre = 'ReferenciaCilindro' AND upper(lo.nombre) = 'CLIENTE' AND lo.estado = 1 LIMIT 1)","NULL"))&amp;", p_anio_fabricacion =&gt; "&amp;IF(M302&amp;""="","NULL::smallint",M302&amp;"::smallint")&amp;", p_mes_fabricacion =&gt; "&amp;IF(N302&amp;""="","NULL::smallint",N302&amp;"::smallint")&amp;", p_fecha_ultima_prueba_hidrostatica =&gt; "&amp;IF(O302&amp;""="","NULL","'"&amp;YEAR(O302)&amp;"-"&amp;TEXT(MONTH(O302),"00")&amp;"-"&amp;TEXT(DAY(O302),"00")&amp;"'")&amp;", p_numero_serie =&gt; "&amp;IF(TRIM(Q302&amp;"")="","NULL","'"&amp;SUBSTITUTE(TRIM(Q302),"'","''")&amp;"'")&amp;", p_id_marca_cilindro =&gt; "&amp;IF(TRIM(R302&amp;"")="","NULL","(SELECT lo.id FROM gen_lista_opciones lo JOIN gen_lista l ON l.id = lo.id_lista WHERE l.nombre = 'MarcaCilindro' AND upper(lo.nombre) = upper('"&amp;SUBSTITUTE(TRIM(R302),"'","''")&amp;"') AND lo.estado = 1 LIMIT 1)")&amp;", p_id_organo_inspector =&gt; "&amp;IF(TRIM(S302&amp;"")="","NULL","(SELECT lo.id FROM gen_lista_opciones lo JOIN gen_lista l ON l.id = lo.id_lista WHERE l.nombre = 'OrganoInspectorCilindro' AND upper(lo.nombre) = upper('"&amp;SUBSTITUTE(TRIM(S302),"'","''")&amp;"') AND lo.estado = 1 LIMIT 1)")&amp;", p_organo_inspector_no_aplica =&gt; "&amp;IF(S302="NO_APLICA","TRUE","FALSE")&amp;", p_presion_actual =&gt; "&amp;IF(T302&amp;""="","NULL",SUBSTITUTE(T302&amp;"",",","."))&amp;", p_tipo_valvula =&gt; "&amp;IF(TRIM(U302&amp;"")="","NULL","'"&amp;SUBSTITUTE(TRIM(U302),"'","''")&amp;"'")&amp;", p_libro_cilindro =&gt; "&amp;IF(TRIM(V302&amp;"")="","NULL","'"&amp;SUBSTITUTE(TRIM(V302),"'","''")&amp;"'")&amp;", p_pagina_libro =&gt; "&amp;IF(W302&amp;""="","NULL",SUBSTITUTE(W302&amp;"",",","."))&amp;", p_observacion =&gt; "&amp;IF(TRIM(X302&amp;"")="","NULL","'"&amp;SUBSTITUTE(TRIM(X302),"'","''")&amp;"'")&amp;") AS resultado_balon_"&amp;ROW()&amp;";")</f>
        <v/>
      </c>
    </row>
    <row r="303" ht="15.75" customHeight="1" s="64">
      <c r="A303" s="36" t="inlineStr">
        <is>
          <t>299</t>
        </is>
      </c>
      <c r="B303" s="25">
        <f>IF(AND(C303="",D303="",E303=""),"",IF(C303="","FALTA código balón",IF(D303="","FALTA tipo balón",IF(E303="","FALTA gas",IF(F303="","FALTA propietario",IF(AND(C303&lt;&gt;"",SUMPRODUCT(--($C$5:$C$1200=C303))&gt;1),"CÓDIGO BALÓN DUPLICADO",IF(AND(OR(UPPER(F303)="PLANTA",UPPER(F303)="CLIENTE"),G303=""),"FALTA doc propietario/planta",IF(AND(UPPER(F303)="PLANTA",G303="10175332796"),"PLANTA no puede ser RUC empresa","OK"))))))))</f>
        <v/>
      </c>
      <c r="C303" s="23" t="inlineStr">
        <is>
          <t>22K036051</t>
        </is>
      </c>
      <c r="D303" s="17" t="inlineStr">
        <is>
          <t>Nitrógeno 10 m³</t>
        </is>
      </c>
      <c r="E303" s="17" t="inlineStr">
        <is>
          <t>NITROGENO</t>
        </is>
      </c>
      <c r="F303" s="17" t="inlineStr">
        <is>
          <t>EMPRESA</t>
        </is>
      </c>
      <c r="G303" s="23" t="inlineStr">
        <is>
          <t>10175332796</t>
        </is>
      </c>
      <c r="H303" s="25">
        <f t="array" ref="H303">IF(G303="","",IFERROR(IF(INDEX(Clientes!$D$5:$D$549,MATCH(G303,Clientes!$C$5:$C$549,0))&lt;&gt;"",INDEX(Clientes!$D$5:$D$549,MATCH(G303,Clientes!$C$5:$C$549,0)),TRIM(INDEX(Clientes!$E$5:$E$549,MATCH(G303,Clientes!$C$5:$C$549,0))&amp;" "&amp;INDEX(Clientes!$F$5:$F$549,MATCH(G303,Clientes!$C$5:$C$549,0)))),"NO EXISTE en Clientes"))</f>
        <v/>
      </c>
      <c r="I303" s="17" t="inlineStr">
        <is>
          <t>DISPONIBLE</t>
        </is>
      </c>
      <c r="J303" s="17" t="inlineStr">
        <is>
          <t>ALMACEN PRINCIPAL</t>
        </is>
      </c>
      <c r="K303" s="23" t="n"/>
      <c r="L303" s="25">
        <f t="array" ref="L303">IF(K303="","",IFERROR(IF(INDEX(Clientes!$D$5:$D$549,MATCH(K303,Clientes!$C$5:$C$549,0))&lt;&gt;"",INDEX(Clientes!$D$5:$D$549,MATCH(K303,Clientes!$C$5:$C$549,0)),TRIM(INDEX(Clientes!$E$5:$E$549,MATCH(K303,Clientes!$C$5:$C$549,0))&amp;" "&amp;INDEX(Clientes!$F$5:$F$549,MATCH(K303,Clientes!$C$5:$C$549,0)))),"NO EXISTE en Clientes"))</f>
        <v/>
      </c>
      <c r="M303" s="17" t="n">
        <v>2022</v>
      </c>
      <c r="N303" s="17" t="n">
        <v>1</v>
      </c>
      <c r="O303" s="42" t="n">
        <v>44562</v>
      </c>
      <c r="P303" s="39">
        <f>IF(O303&lt;&gt;"",DATE(YEAR(O303)+10,MONTH(O303),1),IF(AND(M303&lt;&gt;"",N303&lt;&gt;""),DATE(M303+5,N303,1),""))</f>
        <v/>
      </c>
      <c r="Q303" s="23" t="n"/>
      <c r="R303" s="17" t="inlineStr">
        <is>
          <t>JP</t>
        </is>
      </c>
      <c r="S303" s="17" t="inlineStr">
        <is>
          <t>HEXAGONAL (0036)</t>
        </is>
      </c>
      <c r="T303" s="17" t="n"/>
      <c r="U303" s="17" t="inlineStr">
        <is>
          <t>AMERICANA</t>
        </is>
      </c>
      <c r="V303" s="23" t="n"/>
      <c r="W303" s="17" t="n"/>
      <c r="X303" s="17" t="inlineStr">
        <is>
          <t>PH OXIGENO CRISTIAN</t>
        </is>
      </c>
      <c r="Y303" s="28">
        <f>IF(B303&lt;&gt;"OK","","SELECT bal_crear_balon(p_codigo_balon =&gt; "&amp;IF(TRIM(C303&amp;"")="","NULL","'"&amp;SUBSTITUTE(TRIM(C303),"'","''")&amp;"'")&amp;", p_id_tipo_balon =&gt; "&amp;"(SELECT id FROM bal_tipo_balon WHERE upper(nombre) = upper('"&amp;SUBSTITUTE(TRIM(D303),"'","''")&amp;"') AND estado = 1 LIMIT 1)"&amp;", p_id_producto_gas =&gt; "&amp;"(SELECT id FROM pro_producto WHERE es_gas = TRUE AND upper(nombre) = upper('"&amp;SUBSTITUTE(TRIM(E303),"'","''")&amp;"') AND estado = 1 LIMIT 1)"&amp;", p_id_propietario =&gt; "&amp;IF(TRIM(F303&amp;"")="","NULL","(SELECT lo.id FROM gen_lista_opciones lo JOIN gen_lista l ON l.id = lo.id_lista WHERE l.nombre = 'PropietarioBalon' AND upper(lo.nombre) = upper('"&amp;SUBSTITUTE(TRIM(F303),"'","''")&amp;"') AND lo.estado = 1 LIMIT 1)")&amp;", p_id_cliente_propietario =&gt; "&amp;IF(F303="CLIENTE",IF(TRIM(G303&amp;"")="","NULL","(SELECT id FROM cli_clientes WHERE numero_documento = '"&amp;SUBSTITUTE(TRIM(G303),"'","''")&amp;"' AND estado = 1 LIMIT 1)"),"NULL")&amp;", p_id_planta =&gt; "&amp;IF(F303="PLANTA",IF(TRIM(G303&amp;"")="","NULL","(SELECT id FROM cli_clientes WHERE numero_documento = '"&amp;SUBSTITUTE(TRIM(G303),"'","''")&amp;"'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"&amp;IF(TRIM(J303&amp;"")="","NULL","(SELECT id FROM gen_almacen WHERE upper(nombre) = upper('"&amp;SUBSTITUTE(TRIM(J303),"'","''")&amp;"') AND estado = 1 LIMIT 1)")&amp;", p_id_cliente_ubicacion =&gt; "&amp;IF(TRIM(K303&amp;"")="","NULL","(SELECT id FROM cli_clientes WHERE numero_documento = '"&amp;SUBSTITUTE(TRIM(K303),"'","''")&amp;"' AND estado = 1 LIMIT 1)")&amp;", p_id_referencia =&gt; "&amp;IF(TRIM(J303&amp;"")&lt;&gt;"","(SELECT lo.id FROM gen_lista_opciones lo JOIN gen_lista l ON l.id = lo.id_lista WHERE l.nombre = 'ReferenciaCilindro' AND upper(lo.nombre) = 'ALMACEN' AND lo.estado = 1 LIMIT 1)",IF(TRIM(K303&amp;"")&lt;&gt;"","(SELECT lo.id FROM gen_lista_opciones lo JOIN gen_lista l ON l.id = lo.id_lista WHERE l.nombre = 'ReferenciaCilindro' AND upper(lo.nombre) = 'CLIENTE' AND lo.estado = 1 LIMIT 1)","NULL"))&amp;", p_anio_fabricacion =&gt; "&amp;IF(M303&amp;""="","NULL::smallint",M303&amp;"::smallint")&amp;", p_mes_fabricacion =&gt; "&amp;IF(N303&amp;""="","NULL::smallint",N303&amp;"::smallint")&amp;", p_fecha_ultima_prueba_hidrostatica =&gt; "&amp;IF(O303&amp;""="","NULL","'"&amp;YEAR(O303)&amp;"-"&amp;TEXT(MONTH(O303),"00")&amp;"-"&amp;TEXT(DAY(O303),"00")&amp;"'")&amp;", p_numero_serie =&gt; "&amp;IF(TRIM(Q303&amp;"")="","NULL","'"&amp;SUBSTITUTE(TRIM(Q303),"'","''")&amp;"'")&amp;", p_id_marca_cilindro =&gt; "&amp;IF(TRIM(R303&amp;"")="","NULL","(SELECT lo.id FROM gen_lista_opciones lo JOIN gen_lista l ON l.id = lo.id_lista WHERE l.nombre = 'MarcaCilindro' AND upper(lo.nombre) = upper('"&amp;SUBSTITUTE(TRIM(R303),"'","''")&amp;"') AND lo.estado = 1 LIMIT 1)")&amp;", p_id_organo_inspector =&gt; "&amp;IF(TRIM(S303&amp;"")="","NULL","(SELECT lo.id FROM gen_lista_opciones lo JOIN gen_lista l ON l.id = lo.id_lista WHERE l.nombre = 'OrganoInspectorCilindro' AND upper(lo.nombre) = upper('"&amp;SUBSTITUTE(TRIM(S303),"'","''")&amp;"') AND lo.estado = 1 LIMIT 1)")&amp;", p_organo_inspector_no_aplica =&gt; "&amp;IF(S303="NO_APLICA","TRUE","FALSE")&amp;", p_presion_actual =&gt; "&amp;IF(T303&amp;""="","NULL",SUBSTITUTE(T303&amp;"",",","."))&amp;", p_tipo_valvula =&gt; "&amp;IF(TRIM(U303&amp;"")="","NULL","'"&amp;SUBSTITUTE(TRIM(U303),"'","''")&amp;"'")&amp;", p_libro_cilindro =&gt; "&amp;IF(TRIM(V303&amp;"")="","NULL","'"&amp;SUBSTITUTE(TRIM(V303),"'","''")&amp;"'")&amp;", p_pagina_libro =&gt; "&amp;IF(W303&amp;""="","NULL",SUBSTITUTE(W303&amp;"",",","."))&amp;", p_observacion =&gt; "&amp;IF(TRIM(X303&amp;"")="","NULL","'"&amp;SUBSTITUTE(TRIM(X303),"'","''")&amp;"'")&amp;") AS resultado_balon_"&amp;ROW()&amp;";")</f>
        <v/>
      </c>
    </row>
    <row r="304" ht="15.75" customHeight="1" s="64">
      <c r="A304" s="36" t="inlineStr">
        <is>
          <t>300</t>
        </is>
      </c>
      <c r="B304" s="25">
        <f>IF(AND(C304="",D304="",E304=""),"",IF(C304="","FALTA código balón",IF(D304="","FALTA tipo balón",IF(E304="","FALTA gas",IF(F304="","FALTA propietario",IF(AND(C304&lt;&gt;"",SUMPRODUCT(--($C$5:$C$1200=C304))&gt;1),"CÓDIGO BALÓN DUPLICADO",IF(AND(OR(UPPER(F304)="PLANTA",UPPER(F304)="CLIENTE"),G304=""),"FALTA doc propietario/planta",IF(AND(UPPER(F304)="PLANTA",G304="10175332796"),"PLANTA no puede ser RUC empresa","OK"))))))))</f>
        <v/>
      </c>
      <c r="C304" s="23" t="inlineStr">
        <is>
          <t>21Y593075</t>
        </is>
      </c>
      <c r="D304" s="17" t="inlineStr">
        <is>
          <t>Nitrógeno 10 m³</t>
        </is>
      </c>
      <c r="E304" s="17" t="inlineStr">
        <is>
          <t>NITROGENO</t>
        </is>
      </c>
      <c r="F304" s="17" t="inlineStr">
        <is>
          <t>EMPRESA</t>
        </is>
      </c>
      <c r="G304" s="23" t="inlineStr">
        <is>
          <t>10175332796</t>
        </is>
      </c>
      <c r="H304" s="25">
        <f t="array" ref="H304">IF(G304="","",IFERROR(IF(INDEX(Clientes!$D$5:$D$549,MATCH(G304,Clientes!$C$5:$C$549,0))&lt;&gt;"",INDEX(Clientes!$D$5:$D$549,MATCH(G304,Clientes!$C$5:$C$549,0)),TRIM(INDEX(Clientes!$E$5:$E$549,MATCH(G304,Clientes!$C$5:$C$549,0))&amp;" "&amp;INDEX(Clientes!$F$5:$F$549,MATCH(G304,Clientes!$C$5:$C$549,0)))),"NO EXISTE en Clientes"))</f>
        <v/>
      </c>
      <c r="I304" s="17" t="inlineStr">
        <is>
          <t>DISPONIBLE</t>
        </is>
      </c>
      <c r="J304" s="17" t="inlineStr">
        <is>
          <t>ALMACEN PRINCIPAL</t>
        </is>
      </c>
      <c r="K304" s="23" t="n"/>
      <c r="L304" s="25">
        <f t="array" ref="L304">IF(K304="","",IFERROR(IF(INDEX(Clientes!$D$5:$D$549,MATCH(K304,Clientes!$C$5:$C$549,0))&lt;&gt;"",INDEX(Clientes!$D$5:$D$549,MATCH(K304,Clientes!$C$5:$C$549,0)),TRIM(INDEX(Clientes!$E$5:$E$549,MATCH(K304,Clientes!$C$5:$C$549,0))&amp;" "&amp;INDEX(Clientes!$F$5:$F$549,MATCH(K304,Clientes!$C$5:$C$549,0)))),"NO EXISTE en Clientes"))</f>
        <v/>
      </c>
      <c r="M304" s="17" t="n">
        <v>2022</v>
      </c>
      <c r="N304" s="17" t="n">
        <v>2</v>
      </c>
      <c r="O304" s="42" t="n">
        <v>44593</v>
      </c>
      <c r="P304" s="39">
        <f>IF(O304&lt;&gt;"",DATE(YEAR(O304)+10,MONTH(O304),1),IF(AND(M304&lt;&gt;"",N304&lt;&gt;""),DATE(M304+5,N304,1),""))</f>
        <v/>
      </c>
      <c r="Q304" s="23" t="n"/>
      <c r="R304" s="17" t="inlineStr">
        <is>
          <t>YA</t>
        </is>
      </c>
      <c r="S304" s="17" t="n"/>
      <c r="T304" s="17" t="n"/>
      <c r="U304" s="17" t="inlineStr">
        <is>
          <t>AMERICANA</t>
        </is>
      </c>
      <c r="V304" s="23" t="n"/>
      <c r="W304" s="17" t="n"/>
      <c r="X304" s="17" t="inlineStr">
        <is>
          <t>PH LINDE</t>
        </is>
      </c>
      <c r="Y304" s="28">
        <f>IF(B304&lt;&gt;"OK","","SELECT bal_crear_balon(p_codigo_balon =&gt; "&amp;IF(TRIM(C304&amp;"")="","NULL","'"&amp;SUBSTITUTE(TRIM(C304),"'","''")&amp;"'")&amp;", p_id_tipo_balon =&gt; "&amp;"(SELECT id FROM bal_tipo_balon WHERE upper(nombre) = upper('"&amp;SUBSTITUTE(TRIM(D304),"'","''")&amp;"') AND estado = 1 LIMIT 1)"&amp;", p_id_producto_gas =&gt; "&amp;"(SELECT id FROM pro_producto WHERE es_gas = TRUE AND upper(nombre) = upper('"&amp;SUBSTITUTE(TRIM(E304),"'","''")&amp;"') AND estado = 1 LIMIT 1)"&amp;", p_id_propietario =&gt; "&amp;IF(TRIM(F304&amp;"")="","NULL","(SELECT lo.id FROM gen_lista_opciones lo JOIN gen_lista l ON l.id = lo.id_lista WHERE l.nombre = 'PropietarioBalon' AND upper(lo.nombre) = upper('"&amp;SUBSTITUTE(TRIM(F304),"'","''")&amp;"') AND lo.estado = 1 LIMIT 1)")&amp;", p_id_cliente_propietario =&gt; "&amp;IF(F304="CLIENTE",IF(TRIM(G304&amp;"")="","NULL","(SELECT id FROM cli_clientes WHERE numero_documento = '"&amp;SUBSTITUTE(TRIM(G304),"'","''")&amp;"' AND estado = 1 LIMIT 1)"),"NULL")&amp;", p_id_planta =&gt; "&amp;IF(F304="PLANTA",IF(TRIM(G304&amp;"")="","NULL","(SELECT id FROM cli_clientes WHERE numero_documento = '"&amp;SUBSTITUTE(TRIM(G304),"'","''")&amp;"'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"&amp;IF(TRIM(J304&amp;"")="","NULL","(SELECT id FROM gen_almacen WHERE upper(nombre) = upper('"&amp;SUBSTITUTE(TRIM(J304),"'","''")&amp;"') AND estado = 1 LIMIT 1)")&amp;", p_id_cliente_ubicacion =&gt; "&amp;IF(TRIM(K304&amp;"")="","NULL","(SELECT id FROM cli_clientes WHERE numero_documento = '"&amp;SUBSTITUTE(TRIM(K304),"'","''")&amp;"' AND estado = 1 LIMIT 1)")&amp;", p_id_referencia =&gt; "&amp;IF(TRIM(J304&amp;"")&lt;&gt;"","(SELECT lo.id FROM gen_lista_opciones lo JOIN gen_lista l ON l.id = lo.id_lista WHERE l.nombre = 'ReferenciaCilindro' AND upper(lo.nombre) = 'ALMACEN' AND lo.estado = 1 LIMIT 1)",IF(TRIM(K304&amp;"")&lt;&gt;"","(SELECT lo.id FROM gen_lista_opciones lo JOIN gen_lista l ON l.id = lo.id_lista WHERE l.nombre = 'ReferenciaCilindro' AND upper(lo.nombre) = 'CLIENTE' AND lo.estado = 1 LIMIT 1)","NULL"))&amp;", p_anio_fabricacion =&gt; "&amp;IF(M304&amp;""="","NULL::smallint",M304&amp;"::smallint")&amp;", p_mes_fabricacion =&gt; "&amp;IF(N304&amp;""="","NULL::smallint",N304&amp;"::smallint")&amp;", p_fecha_ultima_prueba_hidrostatica =&gt; "&amp;IF(O304&amp;""="","NULL","'"&amp;YEAR(O304)&amp;"-"&amp;TEXT(MONTH(O304),"00")&amp;"-"&amp;TEXT(DAY(O304),"00")&amp;"'")&amp;", p_numero_serie =&gt; "&amp;IF(TRIM(Q304&amp;"")="","NULL","'"&amp;SUBSTITUTE(TRIM(Q304),"'","''")&amp;"'")&amp;", p_id_marca_cilindro =&gt; "&amp;IF(TRIM(R304&amp;"")="","NULL","(SELECT lo.id FROM gen_lista_opciones lo JOIN gen_lista l ON l.id = lo.id_lista WHERE l.nombre = 'MarcaCilindro' AND upper(lo.nombre) = upper('"&amp;SUBSTITUTE(TRIM(R304),"'","''")&amp;"') AND lo.estado = 1 LIMIT 1)")&amp;", p_id_organo_inspector =&gt; "&amp;IF(TRIM(S304&amp;"")="","NULL","(SELECT lo.id FROM gen_lista_opciones lo JOIN gen_lista l ON l.id = lo.id_lista WHERE l.nombre = 'OrganoInspectorCilindro' AND upper(lo.nombre) = upper('"&amp;SUBSTITUTE(TRIM(S304),"'","''")&amp;"') AND lo.estado = 1 LIMIT 1)")&amp;", p_organo_inspector_no_aplica =&gt; "&amp;IF(S304="NO_APLICA","TRUE","FALSE")&amp;", p_presion_actual =&gt; "&amp;IF(T304&amp;""="","NULL",SUBSTITUTE(T304&amp;"",",","."))&amp;", p_tipo_valvula =&gt; "&amp;IF(TRIM(U304&amp;"")="","NULL","'"&amp;SUBSTITUTE(TRIM(U304),"'","''")&amp;"'")&amp;", p_libro_cilindro =&gt; "&amp;IF(TRIM(V304&amp;"")="","NULL","'"&amp;SUBSTITUTE(TRIM(V304),"'","''")&amp;"'")&amp;", p_pagina_libro =&gt; "&amp;IF(W304&amp;""="","NULL",SUBSTITUTE(W304&amp;"",",","."))&amp;", p_observacion =&gt; "&amp;IF(TRIM(X304&amp;"")="","NULL","'"&amp;SUBSTITUTE(TRIM(X304),"'","''")&amp;"'")&amp;") AS resultado_balon_"&amp;ROW()&amp;";")</f>
        <v/>
      </c>
    </row>
    <row r="305" ht="15.75" customHeight="1" s="64">
      <c r="A305" s="36" t="inlineStr">
        <is>
          <t>301</t>
        </is>
      </c>
      <c r="B305" s="25">
        <f>IF(AND(C305="",D305="",E305=""),"",IF(C305="","FALTA código balón",IF(D305="","FALTA tipo balón",IF(E305="","FALTA gas",IF(F305="","FALTA propietario",IF(AND(C305&lt;&gt;"",SUMPRODUCT(--($C$5:$C$1200=C305))&gt;1),"CÓDIGO BALÓN DUPLICADO",IF(AND(OR(UPPER(F305)="PLANTA",UPPER(F305)="CLIENTE"),G305=""),"FALTA doc propietario/planta",IF(AND(UPPER(F305)="PLANTA",G305="10175332796"),"PLANTA no puede ser RUC empresa","OK"))))))))</f>
        <v/>
      </c>
      <c r="C305" s="23" t="inlineStr">
        <is>
          <t>20K301197</t>
        </is>
      </c>
      <c r="D305" s="17" t="inlineStr">
        <is>
          <t>Nitrógeno 10 m³</t>
        </is>
      </c>
      <c r="E305" s="17" t="inlineStr">
        <is>
          <t>NITROGENO</t>
        </is>
      </c>
      <c r="F305" s="17" t="inlineStr">
        <is>
          <t>EMPRESA</t>
        </is>
      </c>
      <c r="G305" s="23" t="inlineStr">
        <is>
          <t>10175332796</t>
        </is>
      </c>
      <c r="H305" s="25">
        <f t="array" ref="H305">IF(G305="","",IFERROR(IF(INDEX(Clientes!$D$5:$D$549,MATCH(G305,Clientes!$C$5:$C$549,0))&lt;&gt;"",INDEX(Clientes!$D$5:$D$549,MATCH(G305,Clientes!$C$5:$C$549,0)),TRIM(INDEX(Clientes!$E$5:$E$549,MATCH(G305,Clientes!$C$5:$C$549,0))&amp;" "&amp;INDEX(Clientes!$F$5:$F$549,MATCH(G305,Clientes!$C$5:$C$549,0)))),"NO EXISTE en Clientes"))</f>
        <v/>
      </c>
      <c r="I305" s="17" t="inlineStr">
        <is>
          <t>DISPONIBLE</t>
        </is>
      </c>
      <c r="J305" s="17" t="inlineStr">
        <is>
          <t>ALMACEN PRINCIPAL</t>
        </is>
      </c>
      <c r="K305" s="23" t="n"/>
      <c r="L305" s="25">
        <f t="array" ref="L305">IF(K305="","",IFERROR(IF(INDEX(Clientes!$D$5:$D$549,MATCH(K305,Clientes!$C$5:$C$549,0))&lt;&gt;"",INDEX(Clientes!$D$5:$D$549,MATCH(K305,Clientes!$C$5:$C$549,0)),TRIM(INDEX(Clientes!$E$5:$E$549,MATCH(K305,Clientes!$C$5:$C$549,0))&amp;" "&amp;INDEX(Clientes!$F$5:$F$549,MATCH(K305,Clientes!$C$5:$C$549,0)))),"NO EXISTE en Clientes"))</f>
        <v/>
      </c>
      <c r="M305" s="17" t="n">
        <v>2025</v>
      </c>
      <c r="N305" s="17" t="n">
        <v>9</v>
      </c>
      <c r="O305" s="42" t="n">
        <v>45901</v>
      </c>
      <c r="P305" s="39">
        <f>IF(O305&lt;&gt;"",DATE(YEAR(O305)+10,MONTH(O305),1),IF(AND(M305&lt;&gt;"",N305&lt;&gt;""),DATE(M305+5,N305,1),""))</f>
        <v/>
      </c>
      <c r="Q305" s="23" t="n"/>
      <c r="R305" s="17" t="inlineStr">
        <is>
          <t>JP</t>
        </is>
      </c>
      <c r="S305" s="17" t="inlineStr">
        <is>
          <t>HEXAGONAL (0036)</t>
        </is>
      </c>
      <c r="T305" s="17" t="n"/>
      <c r="U305" s="17" t="inlineStr">
        <is>
          <t>AMERICANA</t>
        </is>
      </c>
      <c r="V305" s="23" t="n"/>
      <c r="W305" s="17" t="n"/>
      <c r="X305" s="17" t="inlineStr">
        <is>
          <t>PH ORIGINAL</t>
        </is>
      </c>
      <c r="Y305" s="28">
        <f>IF(B305&lt;&gt;"OK","","SELECT bal_crear_balon(p_codigo_balon =&gt; "&amp;IF(TRIM(C305&amp;"")="","NULL","'"&amp;SUBSTITUTE(TRIM(C305),"'","''")&amp;"'")&amp;", p_id_tipo_balon =&gt; "&amp;"(SELECT id FROM bal_tipo_balon WHERE upper(nombre) = upper('"&amp;SUBSTITUTE(TRIM(D305),"'","''")&amp;"') AND estado = 1 LIMIT 1)"&amp;", p_id_producto_gas =&gt; "&amp;"(SELECT id FROM pro_producto WHERE es_gas = TRUE AND upper(nombre) = upper('"&amp;SUBSTITUTE(TRIM(E305),"'","''")&amp;"') AND estado = 1 LIMIT 1)"&amp;", p_id_propietario =&gt; "&amp;IF(TRIM(F305&amp;"")="","NULL","(SELECT lo.id FROM gen_lista_opciones lo JOIN gen_lista l ON l.id = lo.id_lista WHERE l.nombre = 'PropietarioBalon' AND upper(lo.nombre) = upper('"&amp;SUBSTITUTE(TRIM(F305),"'","''")&amp;"') AND lo.estado = 1 LIMIT 1)")&amp;", p_id_cliente_propietario =&gt; "&amp;IF(F305="CLIENTE",IF(TRIM(G305&amp;"")="","NULL","(SELECT id FROM cli_clientes WHERE numero_documento = '"&amp;SUBSTITUTE(TRIM(G305),"'","''")&amp;"' AND estado = 1 LIMIT 1)"),"NULL")&amp;", p_id_planta =&gt; "&amp;IF(F305="PLANTA",IF(TRIM(G305&amp;"")="","NULL","(SELECT id FROM cli_clientes WHERE numero_documento = '"&amp;SUBSTITUTE(TRIM(G305),"'","''")&amp;"'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"&amp;IF(TRIM(J305&amp;"")="","NULL","(SELECT id FROM gen_almacen WHERE upper(nombre) = upper('"&amp;SUBSTITUTE(TRIM(J305),"'","''")&amp;"') AND estado = 1 LIMIT 1)")&amp;", p_id_cliente_ubicacion =&gt; "&amp;IF(TRIM(K305&amp;"")="","NULL","(SELECT id FROM cli_clientes WHERE numero_documento = '"&amp;SUBSTITUTE(TRIM(K305),"'","''")&amp;"' AND estado = 1 LIMIT 1)")&amp;", p_id_referencia =&gt; "&amp;IF(TRIM(J305&amp;"")&lt;&gt;"","(SELECT lo.id FROM gen_lista_opciones lo JOIN gen_lista l ON l.id = lo.id_lista WHERE l.nombre = 'ReferenciaCilindro' AND upper(lo.nombre) = 'ALMACEN' AND lo.estado = 1 LIMIT 1)",IF(TRIM(K305&amp;"")&lt;&gt;"","(SELECT lo.id FROM gen_lista_opciones lo JOIN gen_lista l ON l.id = lo.id_lista WHERE l.nombre = 'ReferenciaCilindro' AND upper(lo.nombre) = 'CLIENTE' AND lo.estado = 1 LIMIT 1)","NULL"))&amp;", p_anio_fabricacion =&gt; "&amp;IF(M305&amp;""="","NULL::smallint",M305&amp;"::smallint")&amp;", p_mes_fabricacion =&gt; "&amp;IF(N305&amp;""="","NULL::smallint",N305&amp;"::smallint")&amp;", p_fecha_ultima_prueba_hidrostatica =&gt; "&amp;IF(O305&amp;""="","NULL","'"&amp;YEAR(O305)&amp;"-"&amp;TEXT(MONTH(O305),"00")&amp;"-"&amp;TEXT(DAY(O305),"00")&amp;"'")&amp;", p_numero_serie =&gt; "&amp;IF(TRIM(Q305&amp;"")="","NULL","'"&amp;SUBSTITUTE(TRIM(Q305),"'","''")&amp;"'")&amp;", p_id_marca_cilindro =&gt; "&amp;IF(TRIM(R305&amp;"")="","NULL","(SELECT lo.id FROM gen_lista_opciones lo JOIN gen_lista l ON l.id = lo.id_lista WHERE l.nombre = 'MarcaCilindro' AND upper(lo.nombre) = upper('"&amp;SUBSTITUTE(TRIM(R305),"'","''")&amp;"') AND lo.estado = 1 LIMIT 1)")&amp;", p_id_organo_inspector =&gt; "&amp;IF(TRIM(S305&amp;"")="","NULL","(SELECT lo.id FROM gen_lista_opciones lo JOIN gen_lista l ON l.id = lo.id_lista WHERE l.nombre = 'OrganoInspectorCilindro' AND upper(lo.nombre) = upper('"&amp;SUBSTITUTE(TRIM(S305),"'","''")&amp;"') AND lo.estado = 1 LIMIT 1)")&amp;", p_organo_inspector_no_aplica =&gt; "&amp;IF(S305="NO_APLICA","TRUE","FALSE")&amp;", p_presion_actual =&gt; "&amp;IF(T305&amp;""="","NULL",SUBSTITUTE(T305&amp;"",",","."))&amp;", p_tipo_valvula =&gt; "&amp;IF(TRIM(U305&amp;"")="","NULL","'"&amp;SUBSTITUTE(TRIM(U305),"'","''")&amp;"'")&amp;", p_libro_cilindro =&gt; "&amp;IF(TRIM(V305&amp;"")="","NULL","'"&amp;SUBSTITUTE(TRIM(V305),"'","''")&amp;"'")&amp;", p_pagina_libro =&gt; "&amp;IF(W305&amp;""="","NULL",SUBSTITUTE(W305&amp;"",",","."))&amp;", p_observacion =&gt; "&amp;IF(TRIM(X305&amp;"")="","NULL","'"&amp;SUBSTITUTE(TRIM(X305),"'","''")&amp;"'")&amp;") AS resultado_balon_"&amp;ROW()&amp;";")</f>
        <v/>
      </c>
    </row>
    <row r="306" ht="15.75" customHeight="1" s="64">
      <c r="A306" s="36" t="inlineStr">
        <is>
          <t>302</t>
        </is>
      </c>
      <c r="B306" s="25">
        <f>IF(AND(C306="",D306="",E306=""),"",IF(C306="","FALTA código balón",IF(D306="","FALTA tipo balón",IF(E306="","FALTA gas",IF(F306="","FALTA propietario",IF(AND(C306&lt;&gt;"",SUMPRODUCT(--($C$5:$C$1200=C306))&gt;1),"CÓDIGO BALÓN DUPLICADO",IF(AND(OR(UPPER(F306)="PLANTA",UPPER(F306)="CLIENTE"),G306=""),"FALTA doc propietario/planta",IF(AND(UPPER(F306)="PLANTA",G306="10175332796"),"PLANTA no puede ser RUC empresa","OK"))))))))</f>
        <v/>
      </c>
      <c r="C306" s="23" t="inlineStr">
        <is>
          <t>22K035132</t>
        </is>
      </c>
      <c r="D306" s="17" t="inlineStr">
        <is>
          <t>Nitrógeno 10 m³</t>
        </is>
      </c>
      <c r="E306" s="17" t="inlineStr">
        <is>
          <t>NITROGENO</t>
        </is>
      </c>
      <c r="F306" s="17" t="inlineStr">
        <is>
          <t>EMPRESA</t>
        </is>
      </c>
      <c r="G306" s="23" t="inlineStr">
        <is>
          <t>10175332796</t>
        </is>
      </c>
      <c r="H306" s="25">
        <f t="array" ref="H306">IF(G306="","",IFERROR(IF(INDEX(Clientes!$D$5:$D$549,MATCH(G306,Clientes!$C$5:$C$549,0))&lt;&gt;"",INDEX(Clientes!$D$5:$D$549,MATCH(G306,Clientes!$C$5:$C$549,0)),TRIM(INDEX(Clientes!$E$5:$E$549,MATCH(G306,Clientes!$C$5:$C$549,0))&amp;" "&amp;INDEX(Clientes!$F$5:$F$549,MATCH(G306,Clientes!$C$5:$C$549,0)))),"NO EXISTE en Clientes"))</f>
        <v/>
      </c>
      <c r="I306" s="17" t="inlineStr">
        <is>
          <t>DISPONIBLE</t>
        </is>
      </c>
      <c r="J306" s="17" t="inlineStr">
        <is>
          <t>ALMACEN PRINCIPAL</t>
        </is>
      </c>
      <c r="K306" s="23" t="n"/>
      <c r="L306" s="25">
        <f t="array" ref="L306">IF(K306="","",IFERROR(IF(INDEX(Clientes!$D$5:$D$549,MATCH(K306,Clientes!$C$5:$C$549,0))&lt;&gt;"",INDEX(Clientes!$D$5:$D$549,MATCH(K306,Clientes!$C$5:$C$549,0)),TRIM(INDEX(Clientes!$E$5:$E$549,MATCH(K306,Clientes!$C$5:$C$549,0))&amp;" "&amp;INDEX(Clientes!$F$5:$F$549,MATCH(K306,Clientes!$C$5:$C$549,0)))),"NO EXISTE en Clientes"))</f>
        <v/>
      </c>
      <c r="M306" s="17" t="n">
        <v>2022</v>
      </c>
      <c r="N306" s="17" t="n">
        <v>1</v>
      </c>
      <c r="O306" s="42" t="n">
        <v>44562</v>
      </c>
      <c r="P306" s="39">
        <f>IF(O306&lt;&gt;"",DATE(YEAR(O306)+10,MONTH(O306),1),IF(AND(M306&lt;&gt;"",N306&lt;&gt;""),DATE(M306+5,N306,1),""))</f>
        <v/>
      </c>
      <c r="Q306" s="23" t="n"/>
      <c r="R306" s="17" t="inlineStr">
        <is>
          <t>JP</t>
        </is>
      </c>
      <c r="S306" s="17" t="inlineStr">
        <is>
          <t>HEXAGONAL (0036)</t>
        </is>
      </c>
      <c r="T306" s="17" t="n"/>
      <c r="U306" s="17" t="inlineStr">
        <is>
          <t>AMERICANA</t>
        </is>
      </c>
      <c r="V306" s="23" t="n"/>
      <c r="W306" s="17" t="n"/>
      <c r="X306" s="17" t="inlineStr">
        <is>
          <t>PH OXIGENO CRISTIAN</t>
        </is>
      </c>
      <c r="Y306" s="28">
        <f>IF(B306&lt;&gt;"OK","","SELECT bal_crear_balon(p_codigo_balon =&gt; "&amp;IF(TRIM(C306&amp;"")="","NULL","'"&amp;SUBSTITUTE(TRIM(C306),"'","''")&amp;"'")&amp;", p_id_tipo_balon =&gt; "&amp;"(SELECT id FROM bal_tipo_balon WHERE upper(nombre) = upper('"&amp;SUBSTITUTE(TRIM(D306),"'","''")&amp;"') AND estado = 1 LIMIT 1)"&amp;", p_id_producto_gas =&gt; "&amp;"(SELECT id FROM pro_producto WHERE es_gas = TRUE AND upper(nombre) = upper('"&amp;SUBSTITUTE(TRIM(E306),"'","''")&amp;"') AND estado = 1 LIMIT 1)"&amp;", p_id_propietario =&gt; "&amp;IF(TRIM(F306&amp;"")="","NULL","(SELECT lo.id FROM gen_lista_opciones lo JOIN gen_lista l ON l.id = lo.id_lista WHERE l.nombre = 'PropietarioBalon' AND upper(lo.nombre) = upper('"&amp;SUBSTITUTE(TRIM(F306),"'","''")&amp;"') AND lo.estado = 1 LIMIT 1)")&amp;", p_id_cliente_propietario =&gt; "&amp;IF(F306="CLIENTE",IF(TRIM(G306&amp;"")="","NULL","(SELECT id FROM cli_clientes WHERE numero_documento = '"&amp;SUBSTITUTE(TRIM(G306),"'","''")&amp;"' AND estado = 1 LIMIT 1)"),"NULL")&amp;", p_id_planta =&gt; "&amp;IF(F306="PLANTA",IF(TRIM(G306&amp;"")="","NULL","(SELECT id FROM cli_clientes WHERE numero_documento = '"&amp;SUBSTITUTE(TRIM(G306),"'","''")&amp;"'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"&amp;IF(TRIM(J306&amp;"")="","NULL","(SELECT id FROM gen_almacen WHERE upper(nombre) = upper('"&amp;SUBSTITUTE(TRIM(J306),"'","''")&amp;"') AND estado = 1 LIMIT 1)")&amp;", p_id_cliente_ubicacion =&gt; "&amp;IF(TRIM(K306&amp;"")="","NULL","(SELECT id FROM cli_clientes WHERE numero_documento = '"&amp;SUBSTITUTE(TRIM(K306),"'","''")&amp;"' AND estado = 1 LIMIT 1)")&amp;", p_id_referencia =&gt; "&amp;IF(TRIM(J306&amp;"")&lt;&gt;"","(SELECT lo.id FROM gen_lista_opciones lo JOIN gen_lista l ON l.id = lo.id_lista WHERE l.nombre = 'ReferenciaCilindro' AND upper(lo.nombre) = 'ALMACEN' AND lo.estado = 1 LIMIT 1)",IF(TRIM(K306&amp;"")&lt;&gt;"","(SELECT lo.id FROM gen_lista_opciones lo JOIN gen_lista l ON l.id = lo.id_lista WHERE l.nombre = 'ReferenciaCilindro' AND upper(lo.nombre) = 'CLIENTE' AND lo.estado = 1 LIMIT 1)","NULL"))&amp;", p_anio_fabricacion =&gt; "&amp;IF(M306&amp;""="","NULL::smallint",M306&amp;"::smallint")&amp;", p_mes_fabricacion =&gt; "&amp;IF(N306&amp;""="","NULL::smallint",N306&amp;"::smallint")&amp;", p_fecha_ultima_prueba_hidrostatica =&gt; "&amp;IF(O306&amp;""="","NULL","'"&amp;YEAR(O306)&amp;"-"&amp;TEXT(MONTH(O306),"00")&amp;"-"&amp;TEXT(DAY(O306),"00")&amp;"'")&amp;", p_numero_serie =&gt; "&amp;IF(TRIM(Q306&amp;"")="","NULL","'"&amp;SUBSTITUTE(TRIM(Q306),"'","''")&amp;"'")&amp;", p_id_marca_cilindro =&gt; "&amp;IF(TRIM(R306&amp;"")="","NULL","(SELECT lo.id FROM gen_lista_opciones lo JOIN gen_lista l ON l.id = lo.id_lista WHERE l.nombre = 'MarcaCilindro' AND upper(lo.nombre) = upper('"&amp;SUBSTITUTE(TRIM(R306),"'","''")&amp;"') AND lo.estado = 1 LIMIT 1)")&amp;", p_id_organo_inspector =&gt; "&amp;IF(TRIM(S306&amp;"")="","NULL","(SELECT lo.id FROM gen_lista_opciones lo JOIN gen_lista l ON l.id = lo.id_lista WHERE l.nombre = 'OrganoInspectorCilindro' AND upper(lo.nombre) = upper('"&amp;SUBSTITUTE(TRIM(S306),"'","''")&amp;"') AND lo.estado = 1 LIMIT 1)")&amp;", p_organo_inspector_no_aplica =&gt; "&amp;IF(S306="NO_APLICA","TRUE","FALSE")&amp;", p_presion_actual =&gt; "&amp;IF(T306&amp;""="","NULL",SUBSTITUTE(T306&amp;"",",","."))&amp;", p_tipo_valvula =&gt; "&amp;IF(TRIM(U306&amp;"")="","NULL","'"&amp;SUBSTITUTE(TRIM(U306),"'","''")&amp;"'")&amp;", p_libro_cilindro =&gt; "&amp;IF(TRIM(V306&amp;"")="","NULL","'"&amp;SUBSTITUTE(TRIM(V306),"'","''")&amp;"'")&amp;", p_pagina_libro =&gt; "&amp;IF(W306&amp;""="","NULL",SUBSTITUTE(W306&amp;"",",","."))&amp;", p_observacion =&gt; "&amp;IF(TRIM(X306&amp;"")="","NULL","'"&amp;SUBSTITUTE(TRIM(X306),"'","''")&amp;"'")&amp;") AS resultado_balon_"&amp;ROW()&amp;";")</f>
        <v/>
      </c>
    </row>
    <row r="307" ht="15.75" customHeight="1" s="64">
      <c r="A307" s="36" t="inlineStr">
        <is>
          <t>303</t>
        </is>
      </c>
      <c r="B307" s="25">
        <f>IF(AND(C307="",D307="",E307=""),"",IF(C307="","FALTA código balón",IF(D307="","FALTA tipo balón",IF(E307="","FALTA gas",IF(F307="","FALTA propietario",IF(AND(C307&lt;&gt;"",SUMPRODUCT(--($C$5:$C$1200=C307))&gt;1),"CÓDIGO BALÓN DUPLICADO",IF(AND(OR(UPPER(F307)="PLANTA",UPPER(F307)="CLIENTE"),G307=""),"FALTA doc propietario/planta",IF(AND(UPPER(F307)="PLANTA",G307="10175332796"),"PLANTA no puede ser RUC empresa","OK"))))))))</f>
        <v/>
      </c>
      <c r="C307" s="23" t="inlineStr">
        <is>
          <t>396522</t>
        </is>
      </c>
      <c r="D307" s="17" t="inlineStr">
        <is>
          <t>Nitrógeno 10 m³</t>
        </is>
      </c>
      <c r="E307" s="17" t="inlineStr">
        <is>
          <t>NITROGENO</t>
        </is>
      </c>
      <c r="F307" s="17" t="inlineStr">
        <is>
          <t>EMPRESA</t>
        </is>
      </c>
      <c r="G307" s="23" t="inlineStr">
        <is>
          <t>10175332796</t>
        </is>
      </c>
      <c r="H307" s="25">
        <f t="array" ref="H307">IF(G307="","",IFERROR(IF(INDEX(Clientes!$D$5:$D$549,MATCH(G307,Clientes!$C$5:$C$549,0))&lt;&gt;"",INDEX(Clientes!$D$5:$D$549,MATCH(G307,Clientes!$C$5:$C$549,0)),TRIM(INDEX(Clientes!$E$5:$E$549,MATCH(G307,Clientes!$C$5:$C$549,0))&amp;" "&amp;INDEX(Clientes!$F$5:$F$549,MATCH(G307,Clientes!$C$5:$C$549,0)))),"NO EXISTE en Clientes"))</f>
        <v/>
      </c>
      <c r="I307" s="17" t="inlineStr">
        <is>
          <t>DISPONIBLE</t>
        </is>
      </c>
      <c r="J307" s="17" t="inlineStr">
        <is>
          <t>ALMACEN PRINCIPAL</t>
        </is>
      </c>
      <c r="K307" s="23" t="n"/>
      <c r="L307" s="25">
        <f t="array" ref="L307">IF(K307="","",IFERROR(IF(INDEX(Clientes!$D$5:$D$549,MATCH(K307,Clientes!$C$5:$C$549,0))&lt;&gt;"",INDEX(Clientes!$D$5:$D$549,MATCH(K307,Clientes!$C$5:$C$549,0)),TRIM(INDEX(Clientes!$E$5:$E$549,MATCH(K307,Clientes!$C$5:$C$549,0))&amp;" "&amp;INDEX(Clientes!$F$5:$F$549,MATCH(K307,Clientes!$C$5:$C$549,0)))),"NO EXISTE en Clientes"))</f>
        <v/>
      </c>
      <c r="M307" s="17" t="n">
        <v>2025</v>
      </c>
      <c r="N307" s="17" t="n">
        <v>2</v>
      </c>
      <c r="O307" s="42" t="n">
        <v>45689</v>
      </c>
      <c r="P307" s="39">
        <f>IF(O307&lt;&gt;"",DATE(YEAR(O307)+10,MONTH(O307),1),IF(AND(M307&lt;&gt;"",N307&lt;&gt;""),DATE(M307+5,N307,1),""))</f>
        <v/>
      </c>
      <c r="Q307" s="23" t="n"/>
      <c r="R307" s="17" t="inlineStr">
        <is>
          <t>DOT</t>
        </is>
      </c>
      <c r="S307" s="17" t="n"/>
      <c r="T307" s="17" t="n"/>
      <c r="U307" s="17" t="inlineStr">
        <is>
          <t>AMERICANA</t>
        </is>
      </c>
      <c r="V307" s="23" t="n"/>
      <c r="W307" s="17" t="n"/>
      <c r="X307" s="17" t="inlineStr">
        <is>
          <t>PH OXIGENO CRISTIAN</t>
        </is>
      </c>
      <c r="Y307" s="28">
        <f>IF(B307&lt;&gt;"OK","","SELECT bal_crear_balon(p_codigo_balon =&gt; "&amp;IF(TRIM(C307&amp;"")="","NULL","'"&amp;SUBSTITUTE(TRIM(C307),"'","''")&amp;"'")&amp;", p_id_tipo_balon =&gt; "&amp;"(SELECT id FROM bal_tipo_balon WHERE upper(nombre) = upper('"&amp;SUBSTITUTE(TRIM(D307),"'","''")&amp;"') AND estado = 1 LIMIT 1)"&amp;", p_id_producto_gas =&gt; "&amp;"(SELECT id FROM pro_producto WHERE es_gas = TRUE AND upper(nombre) = upper('"&amp;SUBSTITUTE(TRIM(E307),"'","''")&amp;"') AND estado = 1 LIMIT 1)"&amp;", p_id_propietario =&gt; "&amp;IF(TRIM(F307&amp;"")="","NULL","(SELECT lo.id FROM gen_lista_opciones lo JOIN gen_lista l ON l.id = lo.id_lista WHERE l.nombre = 'PropietarioBalon' AND upper(lo.nombre) = upper('"&amp;SUBSTITUTE(TRIM(F307),"'","''")&amp;"') AND lo.estado = 1 LIMIT 1)")&amp;", p_id_cliente_propietario =&gt; "&amp;IF(F307="CLIENTE",IF(TRIM(G307&amp;"")="","NULL","(SELECT id FROM cli_clientes WHERE numero_documento = '"&amp;SUBSTITUTE(TRIM(G307),"'","''")&amp;"' AND estado = 1 LIMIT 1)"),"NULL")&amp;", p_id_planta =&gt; "&amp;IF(F307="PLANTA",IF(TRIM(G307&amp;"")="","NULL","(SELECT id FROM cli_clientes WHERE numero_documento = '"&amp;SUBSTITUTE(TRIM(G307),"'","''")&amp;"'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"&amp;IF(TRIM(J307&amp;"")="","NULL","(SELECT id FROM gen_almacen WHERE upper(nombre) = upper('"&amp;SUBSTITUTE(TRIM(J307),"'","''")&amp;"') AND estado = 1 LIMIT 1)")&amp;", p_id_cliente_ubicacion =&gt; "&amp;IF(TRIM(K307&amp;"")="","NULL","(SELECT id FROM cli_clientes WHERE numero_documento = '"&amp;SUBSTITUTE(TRIM(K307),"'","''")&amp;"' AND estado = 1 LIMIT 1)")&amp;", p_id_referencia =&gt; "&amp;IF(TRIM(J307&amp;"")&lt;&gt;"","(SELECT lo.id FROM gen_lista_opciones lo JOIN gen_lista l ON l.id = lo.id_lista WHERE l.nombre = 'ReferenciaCilindro' AND upper(lo.nombre) = 'ALMACEN' AND lo.estado = 1 LIMIT 1)",IF(TRIM(K307&amp;"")&lt;&gt;"","(SELECT lo.id FROM gen_lista_opciones lo JOIN gen_lista l ON l.id = lo.id_lista WHERE l.nombre = 'ReferenciaCilindro' AND upper(lo.nombre) = 'CLIENTE' AND lo.estado = 1 LIMIT 1)","NULL"))&amp;", p_anio_fabricacion =&gt; "&amp;IF(M307&amp;""="","NULL::smallint",M307&amp;"::smallint")&amp;", p_mes_fabricacion =&gt; "&amp;IF(N307&amp;""="","NULL::smallint",N307&amp;"::smallint")&amp;", p_fecha_ultima_prueba_hidrostatica =&gt; "&amp;IF(O307&amp;""="","NULL","'"&amp;YEAR(O307)&amp;"-"&amp;TEXT(MONTH(O307),"00")&amp;"-"&amp;TEXT(DAY(O307),"00")&amp;"'")&amp;", p_numero_serie =&gt; "&amp;IF(TRIM(Q307&amp;"")="","NULL","'"&amp;SUBSTITUTE(TRIM(Q307),"'","''")&amp;"'")&amp;", p_id_marca_cilindro =&gt; "&amp;IF(TRIM(R307&amp;"")="","NULL","(SELECT lo.id FROM gen_lista_opciones lo JOIN gen_lista l ON l.id = lo.id_lista WHERE l.nombre = 'MarcaCilindro' AND upper(lo.nombre) = upper('"&amp;SUBSTITUTE(TRIM(R307),"'","''")&amp;"') AND lo.estado = 1 LIMIT 1)")&amp;", p_id_organo_inspector =&gt; "&amp;IF(TRIM(S307&amp;"")="","NULL","(SELECT lo.id FROM gen_lista_opciones lo JOIN gen_lista l ON l.id = lo.id_lista WHERE l.nombre = 'OrganoInspectorCilindro' AND upper(lo.nombre) = upper('"&amp;SUBSTITUTE(TRIM(S307),"'","''")&amp;"') AND lo.estado = 1 LIMIT 1)")&amp;", p_organo_inspector_no_aplica =&gt; "&amp;IF(S307="NO_APLICA","TRUE","FALSE")&amp;", p_presion_actual =&gt; "&amp;IF(T307&amp;""="","NULL",SUBSTITUTE(T307&amp;"",",","."))&amp;", p_tipo_valvula =&gt; "&amp;IF(TRIM(U307&amp;"")="","NULL","'"&amp;SUBSTITUTE(TRIM(U307),"'","''")&amp;"'")&amp;", p_libro_cilindro =&gt; "&amp;IF(TRIM(V307&amp;"")="","NULL","'"&amp;SUBSTITUTE(TRIM(V307),"'","''")&amp;"'")&amp;", p_pagina_libro =&gt; "&amp;IF(W307&amp;""="","NULL",SUBSTITUTE(W307&amp;"",",","."))&amp;", p_observacion =&gt; "&amp;IF(TRIM(X307&amp;"")="","NULL","'"&amp;SUBSTITUTE(TRIM(X307),"'","''")&amp;"'")&amp;") AS resultado_balon_"&amp;ROW()&amp;";")</f>
        <v/>
      </c>
    </row>
    <row r="308" ht="15.75" customHeight="1" s="64">
      <c r="A308" s="36" t="inlineStr">
        <is>
          <t>304</t>
        </is>
      </c>
      <c r="B308" s="25">
        <f>IF(AND(C308="",D308="",E308=""),"",IF(C308="","FALTA código balón",IF(D308="","FALTA tipo balón",IF(E308="","FALTA gas",IF(F308="","FALTA propietario",IF(AND(C308&lt;&gt;"",SUMPRODUCT(--($C$5:$C$1200=C308))&gt;1),"CÓDIGO BALÓN DUPLICADO",IF(AND(OR(UPPER(F308)="PLANTA",UPPER(F308)="CLIENTE"),G308=""),"FALTA doc propietario/planta",IF(AND(UPPER(F308)="PLANTA",G308="10175332796"),"PLANTA no puede ser RUC empresa","OK"))))))))</f>
        <v/>
      </c>
      <c r="C308" s="23" t="inlineStr">
        <is>
          <t>157298</t>
        </is>
      </c>
      <c r="D308" s="17" t="inlineStr">
        <is>
          <t>Nitrógeno 10 m³</t>
        </is>
      </c>
      <c r="E308" s="17" t="inlineStr">
        <is>
          <t>NITROGENO</t>
        </is>
      </c>
      <c r="F308" s="17" t="inlineStr">
        <is>
          <t>EMPRESA</t>
        </is>
      </c>
      <c r="G308" s="23" t="inlineStr">
        <is>
          <t>10175332796</t>
        </is>
      </c>
      <c r="H308" s="25">
        <f t="array" ref="H308">IF(G308="","",IFERROR(IF(INDEX(Clientes!$D$5:$D$549,MATCH(G308,Clientes!$C$5:$C$549,0))&lt;&gt;"",INDEX(Clientes!$D$5:$D$549,MATCH(G308,Clientes!$C$5:$C$549,0)),TRIM(INDEX(Clientes!$E$5:$E$549,MATCH(G308,Clientes!$C$5:$C$549,0))&amp;" "&amp;INDEX(Clientes!$F$5:$F$549,MATCH(G308,Clientes!$C$5:$C$549,0)))),"NO EXISTE en Clientes"))</f>
        <v/>
      </c>
      <c r="I308" s="17" t="inlineStr">
        <is>
          <t>DISPONIBLE</t>
        </is>
      </c>
      <c r="J308" s="17" t="inlineStr">
        <is>
          <t>ALMACEN PRINCIPAL</t>
        </is>
      </c>
      <c r="K308" s="23" t="n"/>
      <c r="L308" s="25">
        <f t="array" ref="L308">IF(K308="","",IFERROR(IF(INDEX(Clientes!$D$5:$D$549,MATCH(K308,Clientes!$C$5:$C$549,0))&lt;&gt;"",INDEX(Clientes!$D$5:$D$549,MATCH(K308,Clientes!$C$5:$C$549,0)),TRIM(INDEX(Clientes!$E$5:$E$549,MATCH(K308,Clientes!$C$5:$C$549,0))&amp;" "&amp;INDEX(Clientes!$F$5:$F$549,MATCH(K308,Clientes!$C$5:$C$549,0)))),"NO EXISTE en Clientes"))</f>
        <v/>
      </c>
      <c r="M308" s="17" t="n">
        <v>2025</v>
      </c>
      <c r="N308" s="17" t="n">
        <v>7</v>
      </c>
      <c r="O308" s="42" t="n">
        <v>45839</v>
      </c>
      <c r="P308" s="39">
        <f>IF(O308&lt;&gt;"",DATE(YEAR(O308)+10,MONTH(O308),1),IF(AND(M308&lt;&gt;"",N308&lt;&gt;""),DATE(M308+5,N308,1),""))</f>
        <v/>
      </c>
      <c r="Q308" s="23" t="n"/>
      <c r="R308" s="17" t="inlineStr">
        <is>
          <t>AGA</t>
        </is>
      </c>
      <c r="S308" s="17" t="inlineStr">
        <is>
          <t>OTRO</t>
        </is>
      </c>
      <c r="T308" s="17" t="n"/>
      <c r="U308" s="17" t="inlineStr">
        <is>
          <t>AMERICANA</t>
        </is>
      </c>
      <c r="V308" s="23" t="n"/>
      <c r="W308" s="17" t="n"/>
      <c r="X308" s="17" t="inlineStr">
        <is>
          <t>PH ORIGINAL</t>
        </is>
      </c>
      <c r="Y308" s="28">
        <f>IF(B308&lt;&gt;"OK","","SELECT bal_crear_balon(p_codigo_balon =&gt; "&amp;IF(TRIM(C308&amp;"")="","NULL","'"&amp;SUBSTITUTE(TRIM(C308),"'","''")&amp;"'")&amp;", p_id_tipo_balon =&gt; "&amp;"(SELECT id FROM bal_tipo_balon WHERE upper(nombre) = upper('"&amp;SUBSTITUTE(TRIM(D308),"'","''")&amp;"') AND estado = 1 LIMIT 1)"&amp;", p_id_producto_gas =&gt; "&amp;"(SELECT id FROM pro_producto WHERE es_gas = TRUE AND upper(nombre) = upper('"&amp;SUBSTITUTE(TRIM(E308),"'","''")&amp;"') AND estado = 1 LIMIT 1)"&amp;", p_id_propietario =&gt; "&amp;IF(TRIM(F308&amp;"")="","NULL","(SELECT lo.id FROM gen_lista_opciones lo JOIN gen_lista l ON l.id = lo.id_lista WHERE l.nombre = 'PropietarioBalon' AND upper(lo.nombre) = upper('"&amp;SUBSTITUTE(TRIM(F308),"'","''")&amp;"') AND lo.estado = 1 LIMIT 1)")&amp;", p_id_cliente_propietario =&gt; "&amp;IF(F308="CLIENTE",IF(TRIM(G308&amp;"")="","NULL","(SELECT id FROM cli_clientes WHERE numero_documento = '"&amp;SUBSTITUTE(TRIM(G308),"'","''")&amp;"' AND estado = 1 LIMIT 1)"),"NULL")&amp;", p_id_planta =&gt; "&amp;IF(F308="PLANTA",IF(TRIM(G308&amp;"")="","NULL","(SELECT id FROM cli_clientes WHERE numero_documento = '"&amp;SUBSTITUTE(TRIM(G308),"'","''")&amp;"'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"&amp;IF(TRIM(J308&amp;"")="","NULL","(SELECT id FROM gen_almacen WHERE upper(nombre) = upper('"&amp;SUBSTITUTE(TRIM(J308),"'","''")&amp;"') AND estado = 1 LIMIT 1)")&amp;", p_id_cliente_ubicacion =&gt; "&amp;IF(TRIM(K308&amp;"")="","NULL","(SELECT id FROM cli_clientes WHERE numero_documento = '"&amp;SUBSTITUTE(TRIM(K308),"'","''")&amp;"' AND estado = 1 LIMIT 1)")&amp;", p_id_referencia =&gt; "&amp;IF(TRIM(J308&amp;"")&lt;&gt;"","(SELECT lo.id FROM gen_lista_opciones lo JOIN gen_lista l ON l.id = lo.id_lista WHERE l.nombre = 'ReferenciaCilindro' AND upper(lo.nombre) = 'ALMACEN' AND lo.estado = 1 LIMIT 1)",IF(TRIM(K308&amp;"")&lt;&gt;"","(SELECT lo.id FROM gen_lista_opciones lo JOIN gen_lista l ON l.id = lo.id_lista WHERE l.nombre = 'ReferenciaCilindro' AND upper(lo.nombre) = 'CLIENTE' AND lo.estado = 1 LIMIT 1)","NULL"))&amp;", p_anio_fabricacion =&gt; "&amp;IF(M308&amp;""="","NULL::smallint",M308&amp;"::smallint")&amp;", p_mes_fabricacion =&gt; "&amp;IF(N308&amp;""="","NULL::smallint",N308&amp;"::smallint")&amp;", p_fecha_ultima_prueba_hidrostatica =&gt; "&amp;IF(O308&amp;""="","NULL","'"&amp;YEAR(O308)&amp;"-"&amp;TEXT(MONTH(O308),"00")&amp;"-"&amp;TEXT(DAY(O308),"00")&amp;"'")&amp;", p_numero_serie =&gt; "&amp;IF(TRIM(Q308&amp;"")="","NULL","'"&amp;SUBSTITUTE(TRIM(Q308),"'","''")&amp;"'")&amp;", p_id_marca_cilindro =&gt; "&amp;IF(TRIM(R308&amp;"")="","NULL","(SELECT lo.id FROM gen_lista_opciones lo JOIN gen_lista l ON l.id = lo.id_lista WHERE l.nombre = 'MarcaCilindro' AND upper(lo.nombre) = upper('"&amp;SUBSTITUTE(TRIM(R308),"'","''")&amp;"') AND lo.estado = 1 LIMIT 1)")&amp;", p_id_organo_inspector =&gt; "&amp;IF(TRIM(S308&amp;"")="","NULL","(SELECT lo.id FROM gen_lista_opciones lo JOIN gen_lista l ON l.id = lo.id_lista WHERE l.nombre = 'OrganoInspectorCilindro' AND upper(lo.nombre) = upper('"&amp;SUBSTITUTE(TRIM(S308),"'","''")&amp;"') AND lo.estado = 1 LIMIT 1)")&amp;", p_organo_inspector_no_aplica =&gt; "&amp;IF(S308="NO_APLICA","TRUE","FALSE")&amp;", p_presion_actual =&gt; "&amp;IF(T308&amp;""="","NULL",SUBSTITUTE(T308&amp;"",",","."))&amp;", p_tipo_valvula =&gt; "&amp;IF(TRIM(U308&amp;"")="","NULL","'"&amp;SUBSTITUTE(TRIM(U308),"'","''")&amp;"'")&amp;", p_libro_cilindro =&gt; "&amp;IF(TRIM(V308&amp;"")="","NULL","'"&amp;SUBSTITUTE(TRIM(V308),"'","''")&amp;"'")&amp;", p_pagina_libro =&gt; "&amp;IF(W308&amp;""="","NULL",SUBSTITUTE(W308&amp;"",",","."))&amp;", p_observacion =&gt; "&amp;IF(TRIM(X308&amp;"")="","NULL","'"&amp;SUBSTITUTE(TRIM(X308),"'","''")&amp;"'")&amp;") AS resultado_balon_"&amp;ROW()&amp;";")</f>
        <v/>
      </c>
    </row>
    <row r="309" ht="15.75" customHeight="1" s="64">
      <c r="A309" s="36" t="inlineStr">
        <is>
          <t>305</t>
        </is>
      </c>
      <c r="B309" s="25">
        <f>IF(AND(C309="",D309="",E309=""),"",IF(C309="","FALTA código balón",IF(D309="","FALTA tipo balón",IF(E309="","FALTA gas",IF(F309="","FALTA propietario",IF(AND(C309&lt;&gt;"",SUMPRODUCT(--($C$5:$C$1200=C309))&gt;1),"CÓDIGO BALÓN DUPLICADO",IF(AND(OR(UPPER(F309)="PLANTA",UPPER(F309)="CLIENTE"),G309=""),"FALTA doc propietario/planta",IF(AND(UPPER(F309)="PLANTA",G309="10175332796"),"PLANTA no puede ser RUC empresa","OK"))))))))</f>
        <v/>
      </c>
      <c r="C309" s="23" t="inlineStr">
        <is>
          <t>K4852112</t>
        </is>
      </c>
      <c r="D309" s="17" t="inlineStr">
        <is>
          <t>Nitrógeno 10 m³</t>
        </is>
      </c>
      <c r="E309" s="17" t="inlineStr">
        <is>
          <t>NITROGENO</t>
        </is>
      </c>
      <c r="F309" s="17" t="inlineStr">
        <is>
          <t>EMPRESA</t>
        </is>
      </c>
      <c r="G309" s="23" t="inlineStr">
        <is>
          <t>10175332796</t>
        </is>
      </c>
      <c r="H309" s="25">
        <f t="array" ref="H309">IF(G309="","",IFERROR(IF(INDEX(Clientes!$D$5:$D$549,MATCH(G309,Clientes!$C$5:$C$549,0))&lt;&gt;"",INDEX(Clientes!$D$5:$D$549,MATCH(G309,Clientes!$C$5:$C$549,0)),TRIM(INDEX(Clientes!$E$5:$E$549,MATCH(G309,Clientes!$C$5:$C$549,0))&amp;" "&amp;INDEX(Clientes!$F$5:$F$549,MATCH(G309,Clientes!$C$5:$C$549,0)))),"NO EXISTE en Clientes"))</f>
        <v/>
      </c>
      <c r="I309" s="17" t="inlineStr">
        <is>
          <t>DISPONIBLE</t>
        </is>
      </c>
      <c r="J309" s="17" t="inlineStr">
        <is>
          <t>ALMACEN PRINCIPAL</t>
        </is>
      </c>
      <c r="K309" s="23" t="n"/>
      <c r="L309" s="25">
        <f t="array" ref="L309">IF(K309="","",IFERROR(IF(INDEX(Clientes!$D$5:$D$549,MATCH(K309,Clientes!$C$5:$C$549,0))&lt;&gt;"",INDEX(Clientes!$D$5:$D$549,MATCH(K309,Clientes!$C$5:$C$549,0)),TRIM(INDEX(Clientes!$E$5:$E$549,MATCH(K309,Clientes!$C$5:$C$549,0))&amp;" "&amp;INDEX(Clientes!$F$5:$F$549,MATCH(K309,Clientes!$C$5:$C$549,0)))),"NO EXISTE en Clientes"))</f>
        <v/>
      </c>
      <c r="M309" s="17" t="n">
        <v>2020</v>
      </c>
      <c r="N309" s="17" t="n">
        <v>8</v>
      </c>
      <c r="O309" s="42" t="n">
        <v>44044</v>
      </c>
      <c r="P309" s="39">
        <f>IF(O309&lt;&gt;"",DATE(YEAR(O309)+10,MONTH(O309),1),IF(AND(M309&lt;&gt;"",N309&lt;&gt;""),DATE(M309+5,N309,1),""))</f>
        <v/>
      </c>
      <c r="Q309" s="23" t="n"/>
      <c r="R309" s="17" t="inlineStr">
        <is>
          <t>JD</t>
        </is>
      </c>
      <c r="S309" s="17" t="inlineStr">
        <is>
          <t>TS</t>
        </is>
      </c>
      <c r="T309" s="17" t="n"/>
      <c r="U309" s="17" t="inlineStr">
        <is>
          <t>AMERICANA</t>
        </is>
      </c>
      <c r="V309" s="23" t="n"/>
      <c r="W309" s="17" t="n"/>
      <c r="X309" s="17" t="inlineStr">
        <is>
          <t>PH ORIGINAL</t>
        </is>
      </c>
      <c r="Y309" s="28">
        <f>IF(B309&lt;&gt;"OK","","SELECT bal_crear_balon(p_codigo_balon =&gt; "&amp;IF(TRIM(C309&amp;"")="","NULL","'"&amp;SUBSTITUTE(TRIM(C309),"'","''")&amp;"'")&amp;", p_id_tipo_balon =&gt; "&amp;"(SELECT id FROM bal_tipo_balon WHERE upper(nombre) = upper('"&amp;SUBSTITUTE(TRIM(D309),"'","''")&amp;"') AND estado = 1 LIMIT 1)"&amp;", p_id_producto_gas =&gt; "&amp;"(SELECT id FROM pro_producto WHERE es_gas = TRUE AND upper(nombre) = upper('"&amp;SUBSTITUTE(TRIM(E309),"'","''")&amp;"') AND estado = 1 LIMIT 1)"&amp;", p_id_propietario =&gt; "&amp;IF(TRIM(F309&amp;"")="","NULL","(SELECT lo.id FROM gen_lista_opciones lo JOIN gen_lista l ON l.id = lo.id_lista WHERE l.nombre = 'PropietarioBalon' AND upper(lo.nombre) = upper('"&amp;SUBSTITUTE(TRIM(F309),"'","''")&amp;"') AND lo.estado = 1 LIMIT 1)")&amp;", p_id_cliente_propietario =&gt; "&amp;IF(F309="CLIENTE",IF(TRIM(G309&amp;"")="","NULL","(SELECT id FROM cli_clientes WHERE numero_documento = '"&amp;SUBSTITUTE(TRIM(G309),"'","''")&amp;"' AND estado = 1 LIMIT 1)"),"NULL")&amp;", p_id_planta =&gt; "&amp;IF(F309="PLANTA",IF(TRIM(G309&amp;"")="","NULL","(SELECT id FROM cli_clientes WHERE numero_documento = '"&amp;SUBSTITUTE(TRIM(G309),"'","''")&amp;"'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"&amp;IF(TRIM(J309&amp;"")="","NULL","(SELECT id FROM gen_almacen WHERE upper(nombre) = upper('"&amp;SUBSTITUTE(TRIM(J309),"'","''")&amp;"') AND estado = 1 LIMIT 1)")&amp;", p_id_cliente_ubicacion =&gt; "&amp;IF(TRIM(K309&amp;"")="","NULL","(SELECT id FROM cli_clientes WHERE numero_documento = '"&amp;SUBSTITUTE(TRIM(K309),"'","''")&amp;"' AND estado = 1 LIMIT 1)")&amp;", p_id_referencia =&gt; "&amp;IF(TRIM(J309&amp;"")&lt;&gt;"","(SELECT lo.id FROM gen_lista_opciones lo JOIN gen_lista l ON l.id = lo.id_lista WHERE l.nombre = 'ReferenciaCilindro' AND upper(lo.nombre) = 'ALMACEN' AND lo.estado = 1 LIMIT 1)",IF(TRIM(K309&amp;"")&lt;&gt;"","(SELECT lo.id FROM gen_lista_opciones lo JOIN gen_lista l ON l.id = lo.id_lista WHERE l.nombre = 'ReferenciaCilindro' AND upper(lo.nombre) = 'CLIENTE' AND lo.estado = 1 LIMIT 1)","NULL"))&amp;", p_anio_fabricacion =&gt; "&amp;IF(M309&amp;""="","NULL::smallint",M309&amp;"::smallint")&amp;", p_mes_fabricacion =&gt; "&amp;IF(N309&amp;""="","NULL::smallint",N309&amp;"::smallint")&amp;", p_fecha_ultima_prueba_hidrostatica =&gt; "&amp;IF(O309&amp;""="","NULL","'"&amp;YEAR(O309)&amp;"-"&amp;TEXT(MONTH(O309),"00")&amp;"-"&amp;TEXT(DAY(O309),"00")&amp;"'")&amp;", p_numero_serie =&gt; "&amp;IF(TRIM(Q309&amp;"")="","NULL","'"&amp;SUBSTITUTE(TRIM(Q309),"'","''")&amp;"'")&amp;", p_id_marca_cilindro =&gt; "&amp;IF(TRIM(R309&amp;"")="","NULL","(SELECT lo.id FROM gen_lista_opciones lo JOIN gen_lista l ON l.id = lo.id_lista WHERE l.nombre = 'MarcaCilindro' AND upper(lo.nombre) = upper('"&amp;SUBSTITUTE(TRIM(R309),"'","''")&amp;"') AND lo.estado = 1 LIMIT 1)")&amp;", p_id_organo_inspector =&gt; "&amp;IF(TRIM(S309&amp;"")="","NULL","(SELECT lo.id FROM gen_lista_opciones lo JOIN gen_lista l ON l.id = lo.id_lista WHERE l.nombre = 'OrganoInspectorCilindro' AND upper(lo.nombre) = upper('"&amp;SUBSTITUTE(TRIM(S309),"'","''")&amp;"') AND lo.estado = 1 LIMIT 1)")&amp;", p_organo_inspector_no_aplica =&gt; "&amp;IF(S309="NO_APLICA","TRUE","FALSE")&amp;", p_presion_actual =&gt; "&amp;IF(T309&amp;""="","NULL",SUBSTITUTE(T309&amp;"",",","."))&amp;", p_tipo_valvula =&gt; "&amp;IF(TRIM(U309&amp;"")="","NULL","'"&amp;SUBSTITUTE(TRIM(U309),"'","''")&amp;"'")&amp;", p_libro_cilindro =&gt; "&amp;IF(TRIM(V309&amp;"")="","NULL","'"&amp;SUBSTITUTE(TRIM(V309),"'","''")&amp;"'")&amp;", p_pagina_libro =&gt; "&amp;IF(W309&amp;""="","NULL",SUBSTITUTE(W309&amp;"",",","."))&amp;", p_observacion =&gt; "&amp;IF(TRIM(X309&amp;"")="","NULL","'"&amp;SUBSTITUTE(TRIM(X309),"'","''")&amp;"'")&amp;") AS resultado_balon_"&amp;ROW()&amp;";")</f>
        <v/>
      </c>
    </row>
    <row r="310" ht="15.75" customHeight="1" s="64">
      <c r="A310" s="36" t="inlineStr">
        <is>
          <t>306</t>
        </is>
      </c>
      <c r="B310" s="25">
        <f>IF(AND(C310="",D310="",E310=""),"",IF(C310="","FALTA código balón",IF(D310="","FALTA tipo balón",IF(E310="","FALTA gas",IF(F310="","FALTA propietario",IF(AND(C310&lt;&gt;"",SUMPRODUCT(--($C$5:$C$1200=C310))&gt;1),"CÓDIGO BALÓN DUPLICADO",IF(AND(OR(UPPER(F310)="PLANTA",UPPER(F310)="CLIENTE"),G310=""),"FALTA doc propietario/planta",IF(AND(UPPER(F310)="PLANTA",G310="10175332796"),"PLANTA no puede ser RUC empresa","OK"))))))))</f>
        <v/>
      </c>
      <c r="C310" s="23" t="n"/>
      <c r="D310" s="17" t="n"/>
      <c r="E310" s="17" t="n"/>
      <c r="F310" s="17" t="n"/>
      <c r="G310" s="23" t="n"/>
      <c r="H310" s="25" t="n"/>
      <c r="I310" s="17" t="n"/>
      <c r="J310" s="17" t="n"/>
      <c r="K310" s="23" t="n"/>
      <c r="L310" s="25">
        <f t="array" ref="L310">IF(K310="","",IFERROR(IF(INDEX(Clientes!$D$5:$D$549,MATCH(K310,Clientes!$C$5:$C$549,0))&lt;&gt;"",INDEX(Clientes!$D$5:$D$549,MATCH(K310,Clientes!$C$5:$C$549,0)),TRIM(INDEX(Clientes!$E$5:$E$549,MATCH(K310,Clientes!$C$5:$C$549,0))&amp;" "&amp;INDEX(Clientes!$F$5:$F$549,MATCH(K310,Clientes!$C$5:$C$549,0)))),"NO EXISTE en Clientes"))</f>
        <v/>
      </c>
      <c r="M310" s="17" t="n"/>
      <c r="N310" s="17" t="n"/>
      <c r="O310" s="42" t="n"/>
      <c r="P310" s="39" t="n"/>
      <c r="Q310" s="23" t="n"/>
      <c r="R310" s="17" t="n"/>
      <c r="S310" s="17" t="n"/>
      <c r="T310" s="17" t="n"/>
      <c r="U310" s="17" t="n"/>
      <c r="V310" s="23" t="n"/>
      <c r="W310" s="17" t="n"/>
      <c r="X310" s="17" t="n"/>
      <c r="Y310" s="28">
        <f>IF(B310&lt;&gt;"OK","","SELECT bal_crear_balon(p_codigo_balon =&gt; "&amp;IF(TRIM(C310&amp;"")="","NULL","'"&amp;SUBSTITUTE(TRIM(C310),"'","''")&amp;"'")&amp;", p_id_tipo_balon =&gt; "&amp;"(SELECT id FROM bal_tipo_balon WHERE upper(nombre) = upper('"&amp;SUBSTITUTE(TRIM(D310),"'","''")&amp;"') AND estado = 1 LIMIT 1)"&amp;", p_id_producto_gas =&gt; "&amp;"(SELECT id FROM pro_producto WHERE es_gas = TRUE AND upper(nombre) = upper('"&amp;SUBSTITUTE(TRIM(E310),"'","''")&amp;"') AND estado = 1 LIMIT 1)"&amp;", p_id_propietario =&gt; "&amp;IF(TRIM(F310&amp;"")="","NULL","(SELECT lo.id FROM gen_lista_opciones lo JOIN gen_lista l ON l.id = lo.id_lista WHERE l.nombre = 'PropietarioBalon' AND upper(lo.nombre) = upper('"&amp;SUBSTITUTE(TRIM(F310),"'","''")&amp;"') AND lo.estado = 1 LIMIT 1)")&amp;", p_id_cliente_propietario =&gt; "&amp;IF(F310="CLIENTE",IF(TRIM(G310&amp;"")="","NULL","(SELECT id FROM cli_clientes WHERE numero_documento = '"&amp;SUBSTITUTE(TRIM(G310),"'","''")&amp;"' AND estado = 1 LIMIT 1)"),"NULL")&amp;", p_id_planta =&gt; "&amp;IF(F310="PLANTA",IF(TRIM(G310&amp;"")="","NULL","(SELECT id FROM cli_clientes WHERE numero_documento = '"&amp;SUBSTITUTE(TRIM(G310),"'","''")&amp;"'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"&amp;IF(TRIM(J310&amp;"")="","NULL","(SELECT id FROM gen_almacen WHERE upper(nombre) = upper('"&amp;SUBSTITUTE(TRIM(J310),"'","''")&amp;"') AND estado = 1 LIMIT 1)")&amp;", p_id_cliente_ubicacion =&gt; "&amp;IF(TRIM(K310&amp;"")="","NULL","(SELECT id FROM cli_clientes WHERE numero_documento = '"&amp;SUBSTITUTE(TRIM(K310),"'","''")&amp;"' AND estado = 1 LIMIT 1)")&amp;", p_id_referencia =&gt; "&amp;IF(TRIM(J310&amp;"")&lt;&gt;"","(SELECT lo.id FROM gen_lista_opciones lo JOIN gen_lista l ON l.id = lo.id_lista WHERE l.nombre = 'ReferenciaCilindro' AND upper(lo.nombre) = 'ALMACEN' AND lo.estado = 1 LIMIT 1)",IF(TRIM(K310&amp;"")&lt;&gt;"","(SELECT lo.id FROM gen_lista_opciones lo JOIN gen_lista l ON l.id = lo.id_lista WHERE l.nombre = 'ReferenciaCilindro' AND upper(lo.nombre) = 'CLIENTE' AND lo.estado = 1 LIMIT 1)","NULL"))&amp;", p_anio_fabricacion =&gt; "&amp;IF(M310&amp;""="","NULL::smallint",M310&amp;"::smallint")&amp;", p_mes_fabricacion =&gt; "&amp;IF(N310&amp;""="","NULL::smallint",N310&amp;"::smallint")&amp;", p_fecha_ultima_prueba_hidrostatica =&gt; "&amp;IF(O310&amp;""="","NULL","'"&amp;YEAR(O310)&amp;"-"&amp;TEXT(MONTH(O310),"00")&amp;"-"&amp;TEXT(DAY(O310),"00")&amp;"'")&amp;", p_numero_serie =&gt; "&amp;IF(TRIM(Q310&amp;"")="","NULL","'"&amp;SUBSTITUTE(TRIM(Q310),"'","''")&amp;"'")&amp;", p_id_marca_cilindro =&gt; "&amp;IF(TRIM(R310&amp;"")="","NULL","(SELECT lo.id FROM gen_lista_opciones lo JOIN gen_lista l ON l.id = lo.id_lista WHERE l.nombre = 'MarcaCilindro' AND upper(lo.nombre) = upper('"&amp;SUBSTITUTE(TRIM(R310),"'","''")&amp;"') AND lo.estado = 1 LIMIT 1)")&amp;", p_id_organo_inspector =&gt; "&amp;IF(TRIM(S310&amp;"")="","NULL","(SELECT lo.id FROM gen_lista_opciones lo JOIN gen_lista l ON l.id = lo.id_lista WHERE l.nombre = 'OrganoInspectorCilindro' AND upper(lo.nombre) = upper('"&amp;SUBSTITUTE(TRIM(S310),"'","''")&amp;"') AND lo.estado = 1 LIMIT 1)")&amp;", p_organo_inspector_no_aplica =&gt; "&amp;IF(S310="NO_APLICA","TRUE","FALSE")&amp;", p_presion_actual =&gt; "&amp;IF(T310&amp;""="","NULL",SUBSTITUTE(T310&amp;"",",","."))&amp;", p_tipo_valvula =&gt; "&amp;IF(TRIM(U310&amp;"")="","NULL","'"&amp;SUBSTITUTE(TRIM(U310),"'","''")&amp;"'")&amp;", p_libro_cilindro =&gt; "&amp;IF(TRIM(V310&amp;"")="","NULL","'"&amp;SUBSTITUTE(TRIM(V310),"'","''")&amp;"'")&amp;", p_pagina_libro =&gt; "&amp;IF(W310&amp;""="","NULL",SUBSTITUTE(W310&amp;"",",","."))&amp;", p_observacion =&gt; "&amp;IF(TRIM(X310&amp;"")="","NULL","'"&amp;SUBSTITUTE(TRIM(X310),"'","''")&amp;"'")&amp;") AS resultado_balon_"&amp;ROW()&amp;";")</f>
        <v/>
      </c>
    </row>
    <row r="311" ht="15.75" customHeight="1" s="64">
      <c r="A311" s="36" t="inlineStr">
        <is>
          <t>307</t>
        </is>
      </c>
      <c r="B311" s="25">
        <f>IF(AND(C311="",D311="",E311=""),"",IF(C311="","FALTA código balón",IF(D311="","FALTA tipo balón",IF(E311="","FALTA gas",IF(F311="","FALTA propietario",IF(AND(C311&lt;&gt;"",SUMPRODUCT(--($C$5:$C$1200=C311))&gt;1),"CÓDIGO BALÓN DUPLICADO",IF(AND(OR(UPPER(F311)="PLANTA",UPPER(F311)="CLIENTE"),G311=""),"FALTA doc propietario/planta",IF(AND(UPPER(F311)="PLANTA",G311="10175332796"),"PLANTA no puede ser RUC empresa","OK"))))))))</f>
        <v/>
      </c>
      <c r="C311" s="23" t="inlineStr">
        <is>
          <t>20K646094</t>
        </is>
      </c>
      <c r="D311" s="17" t="inlineStr">
        <is>
          <t>Nitrógeno 10 m³</t>
        </is>
      </c>
      <c r="E311" s="17" t="inlineStr">
        <is>
          <t>NITROGENO</t>
        </is>
      </c>
      <c r="F311" s="17" t="inlineStr">
        <is>
          <t>EMPRESA</t>
        </is>
      </c>
      <c r="G311" s="23" t="inlineStr">
        <is>
          <t>10175332796</t>
        </is>
      </c>
      <c r="H311" s="25">
        <f t="array" ref="H311">IF(G311="","",IFERROR(IF(INDEX(Clientes!$D$5:$D$549,MATCH(G311,Clientes!$C$5:$C$549,0))&lt;&gt;"",INDEX(Clientes!$D$5:$D$549,MATCH(G311,Clientes!$C$5:$C$549,0)),TRIM(INDEX(Clientes!$E$5:$E$549,MATCH(G311,Clientes!$C$5:$C$549,0))&amp;" "&amp;INDEX(Clientes!$F$5:$F$549,MATCH(G311,Clientes!$C$5:$C$549,0)))),"NO EXISTE en Clientes"))</f>
        <v/>
      </c>
      <c r="I311" s="17" t="inlineStr">
        <is>
          <t>DISPONIBLE</t>
        </is>
      </c>
      <c r="J311" s="17" t="inlineStr">
        <is>
          <t>ALMACEN PRINCIPAL</t>
        </is>
      </c>
      <c r="K311" s="23" t="n"/>
      <c r="L311" s="25">
        <f t="array" ref="L311">IF(K311="","",IFERROR(IF(INDEX(Clientes!$D$5:$D$549,MATCH(K311,Clientes!$C$5:$C$549,0))&lt;&gt;"",INDEX(Clientes!$D$5:$D$549,MATCH(K311,Clientes!$C$5:$C$549,0)),TRIM(INDEX(Clientes!$E$5:$E$549,MATCH(K311,Clientes!$C$5:$C$549,0))&amp;" "&amp;INDEX(Clientes!$F$5:$F$549,MATCH(K311,Clientes!$C$5:$C$549,0)))),"NO EXISTE en Clientes"))</f>
        <v/>
      </c>
      <c r="M311" s="17" t="n">
        <v>2026</v>
      </c>
      <c r="N311" s="17" t="n">
        <v>4</v>
      </c>
      <c r="O311" s="42" t="n">
        <v>46113</v>
      </c>
      <c r="P311" s="39">
        <f>IF(O311&lt;&gt;"",DATE(YEAR(O311)+10,MONTH(O311),1),IF(AND(M311&lt;&gt;"",N311&lt;&gt;""),DATE(M311+5,N311,1),""))</f>
        <v/>
      </c>
      <c r="Q311" s="23" t="n"/>
      <c r="R311" s="17" t="inlineStr">
        <is>
          <t>JP</t>
        </is>
      </c>
      <c r="S311" s="17" t="n"/>
      <c r="T311" s="17" t="n"/>
      <c r="U311" s="17" t="inlineStr">
        <is>
          <t>AMERICANA</t>
        </is>
      </c>
      <c r="V311" s="23" t="n"/>
      <c r="W311" s="17" t="n"/>
      <c r="X311" s="17" t="inlineStr">
        <is>
          <t>PH SWISSGAS</t>
        </is>
      </c>
      <c r="Y311" s="28">
        <f>IF(B311&lt;&gt;"OK","","SELECT bal_crear_balon(p_codigo_balon =&gt; "&amp;IF(TRIM(C311&amp;"")="","NULL","'"&amp;SUBSTITUTE(TRIM(C311),"'","''")&amp;"'")&amp;", p_id_tipo_balon =&gt; "&amp;"(SELECT id FROM bal_tipo_balon WHERE upper(nombre) = upper('"&amp;SUBSTITUTE(TRIM(D311),"'","''")&amp;"') AND estado = 1 LIMIT 1)"&amp;", p_id_producto_gas =&gt; "&amp;"(SELECT id FROM pro_producto WHERE es_gas = TRUE AND upper(nombre) = upper('"&amp;SUBSTITUTE(TRIM(E311),"'","''")&amp;"') AND estado = 1 LIMIT 1)"&amp;", p_id_propietario =&gt; "&amp;IF(TRIM(F311&amp;"")="","NULL","(SELECT lo.id FROM gen_lista_opciones lo JOIN gen_lista l ON l.id = lo.id_lista WHERE l.nombre = 'PropietarioBalon' AND upper(lo.nombre) = upper('"&amp;SUBSTITUTE(TRIM(F311),"'","''")&amp;"') AND lo.estado = 1 LIMIT 1)")&amp;", p_id_cliente_propietario =&gt; "&amp;IF(F311="CLIENTE",IF(TRIM(G311&amp;"")="","NULL","(SELECT id FROM cli_clientes WHERE numero_documento = '"&amp;SUBSTITUTE(TRIM(G311),"'","''")&amp;"' AND estado = 1 LIMIT 1)"),"NULL")&amp;", p_id_planta =&gt; "&amp;IF(F311="PLANTA",IF(TRIM(G311&amp;"")="","NULL","(SELECT id FROM cli_clientes WHERE numero_documento = '"&amp;SUBSTITUTE(TRIM(G311),"'","''")&amp;"'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"&amp;IF(TRIM(J311&amp;"")="","NULL","(SELECT id FROM gen_almacen WHERE upper(nombre) = upper('"&amp;SUBSTITUTE(TRIM(J311),"'","''")&amp;"') AND estado = 1 LIMIT 1)")&amp;", p_id_cliente_ubicacion =&gt; "&amp;IF(TRIM(K311&amp;"")="","NULL","(SELECT id FROM cli_clientes WHERE numero_documento = '"&amp;SUBSTITUTE(TRIM(K311),"'","''")&amp;"' AND estado = 1 LIMIT 1)")&amp;", p_id_referencia =&gt; "&amp;IF(TRIM(J311&amp;"")&lt;&gt;"","(SELECT lo.id FROM gen_lista_opciones lo JOIN gen_lista l ON l.id = lo.id_lista WHERE l.nombre = 'ReferenciaCilindro' AND upper(lo.nombre) = 'ALMACEN' AND lo.estado = 1 LIMIT 1)",IF(TRIM(K311&amp;"")&lt;&gt;"","(SELECT lo.id FROM gen_lista_opciones lo JOIN gen_lista l ON l.id = lo.id_lista WHERE l.nombre = 'ReferenciaCilindro' AND upper(lo.nombre) = 'CLIENTE' AND lo.estado = 1 LIMIT 1)","NULL"))&amp;", p_anio_fabricacion =&gt; "&amp;IF(M311&amp;""="","NULL::smallint",M311&amp;"::smallint")&amp;", p_mes_fabricacion =&gt; "&amp;IF(N311&amp;""="","NULL::smallint",N311&amp;"::smallint")&amp;", p_fecha_ultima_prueba_hidrostatica =&gt; "&amp;IF(O311&amp;""="","NULL","'"&amp;YEAR(O311)&amp;"-"&amp;TEXT(MONTH(O311),"00")&amp;"-"&amp;TEXT(DAY(O311),"00")&amp;"'")&amp;", p_numero_serie =&gt; "&amp;IF(TRIM(Q311&amp;"")="","NULL","'"&amp;SUBSTITUTE(TRIM(Q311),"'","''")&amp;"'")&amp;", p_id_marca_cilindro =&gt; "&amp;IF(TRIM(R311&amp;"")="","NULL","(SELECT lo.id FROM gen_lista_opciones lo JOIN gen_lista l ON l.id = lo.id_lista WHERE l.nombre = 'MarcaCilindro' AND upper(lo.nombre) = upper('"&amp;SUBSTITUTE(TRIM(R311),"'","''")&amp;"') AND lo.estado = 1 LIMIT 1)")&amp;", p_id_organo_inspector =&gt; "&amp;IF(TRIM(S311&amp;"")="","NULL","(SELECT lo.id FROM gen_lista_opciones lo JOIN gen_lista l ON l.id = lo.id_lista WHERE l.nombre = 'OrganoInspectorCilindro' AND upper(lo.nombre) = upper('"&amp;SUBSTITUTE(TRIM(S311),"'","''")&amp;"') AND lo.estado = 1 LIMIT 1)")&amp;", p_organo_inspector_no_aplica =&gt; "&amp;IF(S311="NO_APLICA","TRUE","FALSE")&amp;", p_presion_actual =&gt; "&amp;IF(T311&amp;""="","NULL",SUBSTITUTE(T311&amp;"",",","."))&amp;", p_tipo_valvula =&gt; "&amp;IF(TRIM(U311&amp;"")="","NULL","'"&amp;SUBSTITUTE(TRIM(U311),"'","''")&amp;"'")&amp;", p_libro_cilindro =&gt; "&amp;IF(TRIM(V311&amp;"")="","NULL","'"&amp;SUBSTITUTE(TRIM(V311),"'","''")&amp;"'")&amp;", p_pagina_libro =&gt; "&amp;IF(W311&amp;""="","NULL",SUBSTITUTE(W311&amp;"",",","."))&amp;", p_observacion =&gt; "&amp;IF(TRIM(X311&amp;"")="","NULL","'"&amp;SUBSTITUTE(TRIM(X311),"'","''")&amp;"'")&amp;") AS resultado_balon_"&amp;ROW()&amp;";")</f>
        <v/>
      </c>
    </row>
    <row r="312" ht="15.75" customHeight="1" s="64">
      <c r="A312" s="36" t="inlineStr">
        <is>
          <t>308</t>
        </is>
      </c>
      <c r="B312" s="25">
        <f>IF(AND(C312="",D312="",E312=""),"",IF(C312="","FALTA código balón",IF(D312="","FALTA tipo balón",IF(E312="","FALTA gas",IF(F312="","FALTA propietario",IF(AND(C312&lt;&gt;"",SUMPRODUCT(--($C$5:$C$1200=C312))&gt;1),"CÓDIGO BALÓN DUPLICADO",IF(AND(OR(UPPER(F312)="PLANTA",UPPER(F312)="CLIENTE"),G312=""),"FALTA doc propietario/planta",IF(AND(UPPER(F312)="PLANTA",G312="10175332796"),"PLANTA no puede ser RUC empresa","OK"))))))))</f>
        <v/>
      </c>
      <c r="C312" s="23" t="inlineStr">
        <is>
          <t>22K035154</t>
        </is>
      </c>
      <c r="D312" s="17" t="inlineStr">
        <is>
          <t>Nitrógeno 10 m³</t>
        </is>
      </c>
      <c r="E312" s="17" t="inlineStr">
        <is>
          <t>NITROGENO</t>
        </is>
      </c>
      <c r="F312" s="17" t="inlineStr">
        <is>
          <t>EMPRESA</t>
        </is>
      </c>
      <c r="G312" s="23" t="inlineStr">
        <is>
          <t>10175332796</t>
        </is>
      </c>
      <c r="H312" s="25">
        <f t="array" ref="H312">IF(G312="","",IFERROR(IF(INDEX(Clientes!$D$5:$D$549,MATCH(G312,Clientes!$C$5:$C$549,0))&lt;&gt;"",INDEX(Clientes!$D$5:$D$549,MATCH(G312,Clientes!$C$5:$C$549,0)),TRIM(INDEX(Clientes!$E$5:$E$549,MATCH(G312,Clientes!$C$5:$C$549,0))&amp;" "&amp;INDEX(Clientes!$F$5:$F$549,MATCH(G312,Clientes!$C$5:$C$549,0)))),"NO EXISTE en Clientes"))</f>
        <v/>
      </c>
      <c r="I312" s="17" t="inlineStr">
        <is>
          <t>DISPONIBLE</t>
        </is>
      </c>
      <c r="J312" s="17" t="inlineStr">
        <is>
          <t>ALMACEN PRINCIPAL</t>
        </is>
      </c>
      <c r="K312" s="23" t="n"/>
      <c r="L312" s="25">
        <f t="array" ref="L312">IF(K312="","",IFERROR(IF(INDEX(Clientes!$D$5:$D$549,MATCH(K312,Clientes!$C$5:$C$549,0))&lt;&gt;"",INDEX(Clientes!$D$5:$D$549,MATCH(K312,Clientes!$C$5:$C$549,0)),TRIM(INDEX(Clientes!$E$5:$E$549,MATCH(K312,Clientes!$C$5:$C$549,0))&amp;" "&amp;INDEX(Clientes!$F$5:$F$549,MATCH(K312,Clientes!$C$5:$C$549,0)))),"NO EXISTE en Clientes"))</f>
        <v/>
      </c>
      <c r="M312" s="17" t="n">
        <v>2022</v>
      </c>
      <c r="N312" s="17" t="n">
        <v>1</v>
      </c>
      <c r="O312" s="42" t="n">
        <v>44562</v>
      </c>
      <c r="P312" s="39">
        <f>IF(O312&lt;&gt;"",DATE(YEAR(O312)+10,MONTH(O312),1),IF(AND(M312&lt;&gt;"",N312&lt;&gt;""),DATE(M312+5,N312,1),""))</f>
        <v/>
      </c>
      <c r="Q312" s="23" t="n"/>
      <c r="R312" s="17" t="inlineStr">
        <is>
          <t>JP</t>
        </is>
      </c>
      <c r="S312" s="17" t="inlineStr">
        <is>
          <t>HEXAGONAL (0036)</t>
        </is>
      </c>
      <c r="T312" s="17" t="n"/>
      <c r="U312" s="17" t="inlineStr">
        <is>
          <t>AMERICANA</t>
        </is>
      </c>
      <c r="V312" s="23" t="n"/>
      <c r="W312" s="17" t="n"/>
      <c r="X312" s="17" t="inlineStr">
        <is>
          <t>PH ORIGINAL</t>
        </is>
      </c>
      <c r="Y312" s="28">
        <f>IF(B312&lt;&gt;"OK","","SELECT bal_crear_balon(p_codigo_balon =&gt; "&amp;IF(TRIM(C312&amp;"")="","NULL","'"&amp;SUBSTITUTE(TRIM(C312),"'","''")&amp;"'")&amp;", p_id_tipo_balon =&gt; "&amp;"(SELECT id FROM bal_tipo_balon WHERE upper(nombre) = upper('"&amp;SUBSTITUTE(TRIM(D312),"'","''")&amp;"') AND estado = 1 LIMIT 1)"&amp;", p_id_producto_gas =&gt; "&amp;"(SELECT id FROM pro_producto WHERE es_gas = TRUE AND upper(nombre) = upper('"&amp;SUBSTITUTE(TRIM(E312),"'","''")&amp;"') AND estado = 1 LIMIT 1)"&amp;", p_id_propietario =&gt; "&amp;IF(TRIM(F312&amp;"")="","NULL","(SELECT lo.id FROM gen_lista_opciones lo JOIN gen_lista l ON l.id = lo.id_lista WHERE l.nombre = 'PropietarioBalon' AND upper(lo.nombre) = upper('"&amp;SUBSTITUTE(TRIM(F312),"'","''")&amp;"') AND lo.estado = 1 LIMIT 1)")&amp;", p_id_cliente_propietario =&gt; "&amp;IF(F312="CLIENTE",IF(TRIM(G312&amp;"")="","NULL","(SELECT id FROM cli_clientes WHERE numero_documento = '"&amp;SUBSTITUTE(TRIM(G312),"'","''")&amp;"' AND estado = 1 LIMIT 1)"),"NULL")&amp;", p_id_planta =&gt; "&amp;IF(F312="PLANTA",IF(TRIM(G312&amp;"")="","NULL","(SELECT id FROM cli_clientes WHERE numero_documento = '"&amp;SUBSTITUTE(TRIM(G312),"'","''")&amp;"'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"&amp;IF(TRIM(J312&amp;"")="","NULL","(SELECT id FROM gen_almacen WHERE upper(nombre) = upper('"&amp;SUBSTITUTE(TRIM(J312),"'","''")&amp;"') AND estado = 1 LIMIT 1)")&amp;", p_id_cliente_ubicacion =&gt; "&amp;IF(TRIM(K312&amp;"")="","NULL","(SELECT id FROM cli_clientes WHERE numero_documento = '"&amp;SUBSTITUTE(TRIM(K312),"'","''")&amp;"' AND estado = 1 LIMIT 1)")&amp;", p_id_referencia =&gt; "&amp;IF(TRIM(J312&amp;"")&lt;&gt;"","(SELECT lo.id FROM gen_lista_opciones lo JOIN gen_lista l ON l.id = lo.id_lista WHERE l.nombre = 'ReferenciaCilindro' AND upper(lo.nombre) = 'ALMACEN' AND lo.estado = 1 LIMIT 1)",IF(TRIM(K312&amp;"")&lt;&gt;"","(SELECT lo.id FROM gen_lista_opciones lo JOIN gen_lista l ON l.id = lo.id_lista WHERE l.nombre = 'ReferenciaCilindro' AND upper(lo.nombre) = 'CLIENTE' AND lo.estado = 1 LIMIT 1)","NULL"))&amp;", p_anio_fabricacion =&gt; "&amp;IF(M312&amp;""="","NULL::smallint",M312&amp;"::smallint")&amp;", p_mes_fabricacion =&gt; "&amp;IF(N312&amp;""="","NULL::smallint",N312&amp;"::smallint")&amp;", p_fecha_ultima_prueba_hidrostatica =&gt; "&amp;IF(O312&amp;""="","NULL","'"&amp;YEAR(O312)&amp;"-"&amp;TEXT(MONTH(O312),"00")&amp;"-"&amp;TEXT(DAY(O312),"00")&amp;"'")&amp;", p_numero_serie =&gt; "&amp;IF(TRIM(Q312&amp;"")="","NULL","'"&amp;SUBSTITUTE(TRIM(Q312),"'","''")&amp;"'")&amp;", p_id_marca_cilindro =&gt; "&amp;IF(TRIM(R312&amp;"")="","NULL","(SELECT lo.id FROM gen_lista_opciones lo JOIN gen_lista l ON l.id = lo.id_lista WHERE l.nombre = 'MarcaCilindro' AND upper(lo.nombre) = upper('"&amp;SUBSTITUTE(TRIM(R312),"'","''")&amp;"') AND lo.estado = 1 LIMIT 1)")&amp;", p_id_organo_inspector =&gt; "&amp;IF(TRIM(S312&amp;"")="","NULL","(SELECT lo.id FROM gen_lista_opciones lo JOIN gen_lista l ON l.id = lo.id_lista WHERE l.nombre = 'OrganoInspectorCilindro' AND upper(lo.nombre) = upper('"&amp;SUBSTITUTE(TRIM(S312),"'","''")&amp;"') AND lo.estado = 1 LIMIT 1)")&amp;", p_organo_inspector_no_aplica =&gt; "&amp;IF(S312="NO_APLICA","TRUE","FALSE")&amp;", p_presion_actual =&gt; "&amp;IF(T312&amp;""="","NULL",SUBSTITUTE(T312&amp;"",",","."))&amp;", p_tipo_valvula =&gt; "&amp;IF(TRIM(U312&amp;"")="","NULL","'"&amp;SUBSTITUTE(TRIM(U312),"'","''")&amp;"'")&amp;", p_libro_cilindro =&gt; "&amp;IF(TRIM(V312&amp;"")="","NULL","'"&amp;SUBSTITUTE(TRIM(V312),"'","''")&amp;"'")&amp;", p_pagina_libro =&gt; "&amp;IF(W312&amp;""="","NULL",SUBSTITUTE(W312&amp;"",",","."))&amp;", p_observacion =&gt; "&amp;IF(TRIM(X312&amp;"")="","NULL","'"&amp;SUBSTITUTE(TRIM(X312),"'","''")&amp;"'")&amp;") AS resultado_balon_"&amp;ROW()&amp;";")</f>
        <v/>
      </c>
    </row>
    <row r="313" ht="15.75" customHeight="1" s="64">
      <c r="A313" s="36" t="inlineStr">
        <is>
          <t>309</t>
        </is>
      </c>
      <c r="B313" s="25">
        <f>IF(AND(C313="",D313="",E313=""),"",IF(C313="","FALTA código balón",IF(D313="","FALTA tipo balón",IF(E313="","FALTA gas",IF(F313="","FALTA propietario",IF(AND(C313&lt;&gt;"",SUMPRODUCT(--($C$5:$C$1200=C313))&gt;1),"CÓDIGO BALÓN DUPLICADO",IF(AND(OR(UPPER(F313)="PLANTA",UPPER(F313)="CLIENTE"),G313=""),"FALTA doc propietario/planta",IF(AND(UPPER(F313)="PLANTA",G313="10175332796"),"PLANTA no puede ser RUC empresa","OK"))))))))</f>
        <v/>
      </c>
      <c r="C313" s="23" t="inlineStr">
        <is>
          <t>2071169013</t>
        </is>
      </c>
      <c r="D313" s="17" t="inlineStr">
        <is>
          <t>Oxígeno Industrial 6 m³</t>
        </is>
      </c>
      <c r="E313" s="17" t="inlineStr">
        <is>
          <t>OXIGENO INDUSTRIAL</t>
        </is>
      </c>
      <c r="F313" s="17" t="inlineStr">
        <is>
          <t>EMPRESA</t>
        </is>
      </c>
      <c r="G313" s="23" t="inlineStr">
        <is>
          <t>10175332796</t>
        </is>
      </c>
      <c r="H313" s="25">
        <f t="array" ref="H313">IF(G313="","",IFERROR(IF(INDEX(Clientes!$D$5:$D$549,MATCH(G313,Clientes!$C$5:$C$549,0))&lt;&gt;"",INDEX(Clientes!$D$5:$D$549,MATCH(G313,Clientes!$C$5:$C$549,0)),TRIM(INDEX(Clientes!$E$5:$E$549,MATCH(G313,Clientes!$C$5:$C$549,0))&amp;" "&amp;INDEX(Clientes!$F$5:$F$549,MATCH(G313,Clientes!$C$5:$C$549,0)))),"NO EXISTE en Clientes"))</f>
        <v/>
      </c>
      <c r="I313" s="17" t="inlineStr">
        <is>
          <t>DISPONIBLE</t>
        </is>
      </c>
      <c r="J313" s="17" t="inlineStr">
        <is>
          <t>ALMACEN PRINCIPAL</t>
        </is>
      </c>
      <c r="K313" s="23" t="n"/>
      <c r="L313" s="25">
        <f t="array" ref="L313">IF(K313="","",IFERROR(IF(INDEX(Clientes!$D$5:$D$549,MATCH(K313,Clientes!$C$5:$C$549,0))&lt;&gt;"",INDEX(Clientes!$D$5:$D$549,MATCH(K313,Clientes!$C$5:$C$549,0)),TRIM(INDEX(Clientes!$E$5:$E$549,MATCH(K313,Clientes!$C$5:$C$549,0))&amp;" "&amp;INDEX(Clientes!$F$5:$F$549,MATCH(K313,Clientes!$C$5:$C$549,0)))),"NO EXISTE en Clientes"))</f>
        <v/>
      </c>
      <c r="M313" s="17" t="n">
        <v>2023</v>
      </c>
      <c r="N313" s="17" t="n">
        <v>9</v>
      </c>
      <c r="O313" s="42" t="n">
        <v>45170</v>
      </c>
      <c r="P313" s="39">
        <f>IF(O313&lt;&gt;"",DATE(YEAR(O313)+10,MONTH(O313),1),IF(AND(M313&lt;&gt;"",N313&lt;&gt;""),DATE(M313+5,N313,1),""))</f>
        <v/>
      </c>
      <c r="Q313" s="23" t="n"/>
      <c r="R313" s="17" t="inlineStr">
        <is>
          <t>YA</t>
        </is>
      </c>
      <c r="S313" s="17" t="n"/>
      <c r="T313" s="17" t="n"/>
      <c r="U313" s="17" t="n"/>
      <c r="V313" s="23" t="n"/>
      <c r="W313" s="17" t="n"/>
      <c r="X313" s="17" t="n"/>
      <c r="Y313" s="28">
        <f>IF(B313&lt;&gt;"OK","","SELECT bal_crear_balon(p_codigo_balon =&gt; "&amp;IF(TRIM(C313&amp;"")="","NULL","'"&amp;SUBSTITUTE(TRIM(C313),"'","''")&amp;"'")&amp;", p_id_tipo_balon =&gt; "&amp;"(SELECT id FROM bal_tipo_balon WHERE upper(nombre) = upper('"&amp;SUBSTITUTE(TRIM(D313),"'","''")&amp;"') AND estado = 1 LIMIT 1)"&amp;", p_id_producto_gas =&gt; "&amp;"(SELECT id FROM pro_producto WHERE es_gas = TRUE AND upper(nombre) = upper('"&amp;SUBSTITUTE(TRIM(E313),"'","''")&amp;"') AND estado = 1 LIMIT 1)"&amp;", p_id_propietario =&gt; "&amp;IF(TRIM(F313&amp;"")="","NULL","(SELECT lo.id FROM gen_lista_opciones lo JOIN gen_lista l ON l.id = lo.id_lista WHERE l.nombre = 'PropietarioBalon' AND upper(lo.nombre) = upper('"&amp;SUBSTITUTE(TRIM(F313),"'","''")&amp;"') AND lo.estado = 1 LIMIT 1)")&amp;", p_id_cliente_propietario =&gt; "&amp;IF(F313="CLIENTE",IF(TRIM(G313&amp;"")="","NULL","(SELECT id FROM cli_clientes WHERE numero_documento = '"&amp;SUBSTITUTE(TRIM(G313),"'","''")&amp;"' AND estado = 1 LIMIT 1)"),"NULL")&amp;", p_id_planta =&gt; "&amp;IF(F313="PLANTA",IF(TRIM(G313&amp;"")="","NULL","(SELECT id FROM cli_clientes WHERE numero_documento = '"&amp;SUBSTITUTE(TRIM(G313),"'","''")&amp;"'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"&amp;IF(TRIM(J313&amp;"")="","NULL","(SELECT id FROM gen_almacen WHERE upper(nombre) = upper('"&amp;SUBSTITUTE(TRIM(J313),"'","''")&amp;"') AND estado = 1 LIMIT 1)")&amp;", p_id_cliente_ubicacion =&gt; "&amp;IF(TRIM(K313&amp;"")="","NULL","(SELECT id FROM cli_clientes WHERE numero_documento = '"&amp;SUBSTITUTE(TRIM(K313),"'","''")&amp;"' AND estado = 1 LIMIT 1)")&amp;", p_id_referencia =&gt; "&amp;IF(TRIM(J313&amp;"")&lt;&gt;"","(SELECT lo.id FROM gen_lista_opciones lo JOIN gen_lista l ON l.id = lo.id_lista WHERE l.nombre = 'ReferenciaCilindro' AND upper(lo.nombre) = 'ALMACEN' AND lo.estado = 1 LIMIT 1)",IF(TRIM(K313&amp;"")&lt;&gt;"","(SELECT lo.id FROM gen_lista_opciones lo JOIN gen_lista l ON l.id = lo.id_lista WHERE l.nombre = 'ReferenciaCilindro' AND upper(lo.nombre) = 'CLIENTE' AND lo.estado = 1 LIMIT 1)","NULL"))&amp;", p_anio_fabricacion =&gt; "&amp;IF(M313&amp;""="","NULL::smallint",M313&amp;"::smallint")&amp;", p_mes_fabricacion =&gt; "&amp;IF(N313&amp;""="","NULL::smallint",N313&amp;"::smallint")&amp;", p_fecha_ultima_prueba_hidrostatica =&gt; "&amp;IF(O313&amp;""="","NULL","'"&amp;YEAR(O313)&amp;"-"&amp;TEXT(MONTH(O313),"00")&amp;"-"&amp;TEXT(DAY(O313),"00")&amp;"'")&amp;", p_numero_serie =&gt; "&amp;IF(TRIM(Q313&amp;"")="","NULL","'"&amp;SUBSTITUTE(TRIM(Q313),"'","''")&amp;"'")&amp;", p_id_marca_cilindro =&gt; "&amp;IF(TRIM(R313&amp;"")="","NULL","(SELECT lo.id FROM gen_lista_opciones lo JOIN gen_lista l ON l.id = lo.id_lista WHERE l.nombre = 'MarcaCilindro' AND upper(lo.nombre) = upper('"&amp;SUBSTITUTE(TRIM(R313),"'","''")&amp;"') AND lo.estado = 1 LIMIT 1)")&amp;", p_id_organo_inspector =&gt; "&amp;IF(TRIM(S313&amp;"")="","NULL","(SELECT lo.id FROM gen_lista_opciones lo JOIN gen_lista l ON l.id = lo.id_lista WHERE l.nombre = 'OrganoInspectorCilindro' AND upper(lo.nombre) = upper('"&amp;SUBSTITUTE(TRIM(S313),"'","''")&amp;"') AND lo.estado = 1 LIMIT 1)")&amp;", p_organo_inspector_no_aplica =&gt; "&amp;IF(S313="NO_APLICA","TRUE","FALSE")&amp;", p_presion_actual =&gt; "&amp;IF(T313&amp;""="","NULL",SUBSTITUTE(T313&amp;"",",","."))&amp;", p_tipo_valvula =&gt; "&amp;IF(TRIM(U313&amp;"")="","NULL","'"&amp;SUBSTITUTE(TRIM(U313),"'","''")&amp;"'")&amp;", p_libro_cilindro =&gt; "&amp;IF(TRIM(V313&amp;"")="","NULL","'"&amp;SUBSTITUTE(TRIM(V313),"'","''")&amp;"'")&amp;", p_pagina_libro =&gt; "&amp;IF(W313&amp;""="","NULL",SUBSTITUTE(W313&amp;"",",","."))&amp;", p_observacion =&gt; "&amp;IF(TRIM(X313&amp;"")="","NULL","'"&amp;SUBSTITUTE(TRIM(X313),"'","''")&amp;"'")&amp;") AS resultado_balon_"&amp;ROW()&amp;";")</f>
        <v/>
      </c>
    </row>
    <row r="314" ht="15.75" customHeight="1" s="64">
      <c r="A314" s="36" t="inlineStr">
        <is>
          <t>310</t>
        </is>
      </c>
      <c r="B314" s="25">
        <f>IF(AND(C314="",D314="",E314=""),"",IF(C314="","FALTA código balón",IF(D314="","FALTA tipo balón",IF(E314="","FALTA gas",IF(F314="","FALTA propietario",IF(AND(C314&lt;&gt;"",SUMPRODUCT(--($C$5:$C$1200=C314))&gt;1),"CÓDIGO BALÓN DUPLICADO",IF(AND(OR(UPPER(F314)="PLANTA",UPPER(F314)="CLIENTE"),G314=""),"FALTA doc propietario/planta",IF(AND(UPPER(F314)="PLANTA",G314="10175332796"),"PLANTA no puede ser RUC empresa","OK"))))))))</f>
        <v/>
      </c>
      <c r="C314" s="23" t="inlineStr">
        <is>
          <t>Y9679078</t>
        </is>
      </c>
      <c r="D314" s="17" t="inlineStr">
        <is>
          <t>Oxígeno Medicinal 10 m³</t>
        </is>
      </c>
      <c r="E314" s="17" t="inlineStr">
        <is>
          <t>OXIGENO MEDICINAL</t>
        </is>
      </c>
      <c r="F314" s="17" t="inlineStr">
        <is>
          <t>EMPRESA</t>
        </is>
      </c>
      <c r="G314" s="23" t="inlineStr">
        <is>
          <t>10175332796</t>
        </is>
      </c>
      <c r="H314" s="25">
        <f t="array" ref="H314">IF(G314="","",IFERROR(IF(INDEX(Clientes!$D$5:$D$549,MATCH(G314,Clientes!$C$5:$C$549,0))&lt;&gt;"",INDEX(Clientes!$D$5:$D$549,MATCH(G314,Clientes!$C$5:$C$549,0)),TRIM(INDEX(Clientes!$E$5:$E$549,MATCH(G314,Clientes!$C$5:$C$549,0))&amp;" "&amp;INDEX(Clientes!$F$5:$F$549,MATCH(G314,Clientes!$C$5:$C$549,0)))),"NO EXISTE en Clientes"))</f>
        <v/>
      </c>
      <c r="I314" s="17" t="inlineStr">
        <is>
          <t>DISPONIBLE</t>
        </is>
      </c>
      <c r="J314" s="17" t="inlineStr">
        <is>
          <t>ALMACEN PRINCIPAL</t>
        </is>
      </c>
      <c r="K314" s="23" t="n"/>
      <c r="L314" s="25">
        <f t="array" ref="L314">IF(K314="","",IFERROR(IF(INDEX(Clientes!$D$5:$D$549,MATCH(K314,Clientes!$C$5:$C$549,0))&lt;&gt;"",INDEX(Clientes!$D$5:$D$549,MATCH(K314,Clientes!$C$5:$C$549,0)),TRIM(INDEX(Clientes!$E$5:$E$549,MATCH(K314,Clientes!$C$5:$C$549,0))&amp;" "&amp;INDEX(Clientes!$F$5:$F$549,MATCH(K314,Clientes!$C$5:$C$549,0)))),"NO EXISTE en Clientes"))</f>
        <v/>
      </c>
      <c r="M314" s="17" t="n">
        <v>2024</v>
      </c>
      <c r="N314" s="17" t="n">
        <v>11</v>
      </c>
      <c r="O314" s="42" t="n">
        <v>45597</v>
      </c>
      <c r="P314" s="39">
        <f>IF(O314&lt;&gt;"",DATE(YEAR(O314)+5,MONTH(O314),1),IF(AND(M314&lt;&gt;"",N314&lt;&gt;""),DATE(M314+5,N314,1),""))</f>
        <v/>
      </c>
      <c r="Q314" s="23" t="n"/>
      <c r="R314" s="17" t="inlineStr">
        <is>
          <t>JD</t>
        </is>
      </c>
      <c r="S314" s="17" t="inlineStr">
        <is>
          <t>OTRO</t>
        </is>
      </c>
      <c r="T314" s="17" t="n"/>
      <c r="U314" s="17" t="n"/>
      <c r="V314" s="23" t="n"/>
      <c r="W314" s="17" t="n"/>
      <c r="X314" s="17" t="inlineStr">
        <is>
          <t>PH LINDE</t>
        </is>
      </c>
      <c r="Y314" s="28">
        <f>IF(B314&lt;&gt;"OK","","SELECT bal_crear_balon(p_codigo_balon =&gt; "&amp;IF(TRIM(C314&amp;"")="","NULL","'"&amp;SUBSTITUTE(TRIM(C314),"'","''")&amp;"'")&amp;", p_id_tipo_balon =&gt; "&amp;"(SELECT id FROM bal_tipo_balon WHERE upper(nombre) = upper('"&amp;SUBSTITUTE(TRIM(D314),"'","''")&amp;"') AND estado = 1 LIMIT 1)"&amp;", p_id_producto_gas =&gt; "&amp;"(SELECT id FROM pro_producto WHERE es_gas = TRUE AND upper(nombre) = upper('"&amp;SUBSTITUTE(TRIM(E314),"'","''")&amp;"') AND estado = 1 LIMIT 1)"&amp;", p_id_propietario =&gt; "&amp;IF(TRIM(F314&amp;"")="","NULL","(SELECT lo.id FROM gen_lista_opciones lo JOIN gen_lista l ON l.id = lo.id_lista WHERE l.nombre = 'PropietarioBalon' AND upper(lo.nombre) = upper('"&amp;SUBSTITUTE(TRIM(F314),"'","''")&amp;"') AND lo.estado = 1 LIMIT 1)")&amp;", p_id_cliente_propietario =&gt; "&amp;IF(F314="CLIENTE",IF(TRIM(G314&amp;"")="","NULL","(SELECT id FROM cli_clientes WHERE numero_documento = '"&amp;SUBSTITUTE(TRIM(G314),"'","''")&amp;"' AND estado = 1 LIMIT 1)"),"NULL")&amp;", p_id_planta =&gt; "&amp;IF(F314="PLANTA",IF(TRIM(G314&amp;"")="","NULL","(SELECT id FROM cli_clientes WHERE numero_documento = '"&amp;SUBSTITUTE(TRIM(G314),"'","''")&amp;"'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"&amp;IF(TRIM(J314&amp;"")="","NULL","(SELECT id FROM gen_almacen WHERE upper(nombre) = upper('"&amp;SUBSTITUTE(TRIM(J314),"'","''")&amp;"') AND estado = 1 LIMIT 1)")&amp;", p_id_cliente_ubicacion =&gt; "&amp;IF(TRIM(K314&amp;"")="","NULL","(SELECT id FROM cli_clientes WHERE numero_documento = '"&amp;SUBSTITUTE(TRIM(K314),"'","''")&amp;"' AND estado = 1 LIMIT 1)")&amp;", p_id_referencia =&gt; "&amp;IF(TRIM(J314&amp;"")&lt;&gt;"","(SELECT lo.id FROM gen_lista_opciones lo JOIN gen_lista l ON l.id = lo.id_lista WHERE l.nombre = 'ReferenciaCilindro' AND upper(lo.nombre) = 'ALMACEN' AND lo.estado = 1 LIMIT 1)",IF(TRIM(K314&amp;"")&lt;&gt;"","(SELECT lo.id FROM gen_lista_opciones lo JOIN gen_lista l ON l.id = lo.id_lista WHERE l.nombre = 'ReferenciaCilindro' AND upper(lo.nombre) = 'CLIENTE' AND lo.estado = 1 LIMIT 1)","NULL"))&amp;", p_anio_fabricacion =&gt; "&amp;IF(M314&amp;""="","NULL::smallint",M314&amp;"::smallint")&amp;", p_mes_fabricacion =&gt; "&amp;IF(N314&amp;""="","NULL::smallint",N314&amp;"::smallint")&amp;", p_fecha_ultima_prueba_hidrostatica =&gt; "&amp;IF(O314&amp;""="","NULL","'"&amp;YEAR(O314)&amp;"-"&amp;TEXT(MONTH(O314),"00")&amp;"-"&amp;TEXT(DAY(O314),"00")&amp;"'")&amp;", p_numero_serie =&gt; "&amp;IF(TRIM(Q314&amp;"")="","NULL","'"&amp;SUBSTITUTE(TRIM(Q314),"'","''")&amp;"'")&amp;", p_id_marca_cilindro =&gt; "&amp;IF(TRIM(R314&amp;"")="","NULL","(SELECT lo.id FROM gen_lista_opciones lo JOIN gen_lista l ON l.id = lo.id_lista WHERE l.nombre = 'MarcaCilindro' AND upper(lo.nombre) = upper('"&amp;SUBSTITUTE(TRIM(R314),"'","''")&amp;"') AND lo.estado = 1 LIMIT 1)")&amp;", p_id_organo_inspector =&gt; "&amp;IF(TRIM(S314&amp;"")="","NULL","(SELECT lo.id FROM gen_lista_opciones lo JOIN gen_lista l ON l.id = lo.id_lista WHERE l.nombre = 'OrganoInspectorCilindro' AND upper(lo.nombre) = upper('"&amp;SUBSTITUTE(TRIM(S314),"'","''")&amp;"') AND lo.estado = 1 LIMIT 1)")&amp;", p_organo_inspector_no_aplica =&gt; "&amp;IF(S314="NO_APLICA","TRUE","FALSE")&amp;", p_presion_actual =&gt; "&amp;IF(T314&amp;""="","NULL",SUBSTITUTE(T314&amp;"",",","."))&amp;", p_tipo_valvula =&gt; "&amp;IF(TRIM(U314&amp;"")="","NULL","'"&amp;SUBSTITUTE(TRIM(U314),"'","''")&amp;"'")&amp;", p_libro_cilindro =&gt; "&amp;IF(TRIM(V314&amp;"")="","NULL","'"&amp;SUBSTITUTE(TRIM(V314),"'","''")&amp;"'")&amp;", p_pagina_libro =&gt; "&amp;IF(W314&amp;""="","NULL",SUBSTITUTE(W314&amp;"",",","."))&amp;", p_observacion =&gt; "&amp;IF(TRIM(X314&amp;"")="","NULL","'"&amp;SUBSTITUTE(TRIM(X314),"'","''")&amp;"'")&amp;") AS resultado_balon_"&amp;ROW()&amp;";")</f>
        <v/>
      </c>
    </row>
    <row r="315" ht="15.75" customHeight="1" s="64">
      <c r="A315" s="36" t="inlineStr">
        <is>
          <t>311</t>
        </is>
      </c>
      <c r="B315" s="25">
        <f>IF(AND(C315="",D315="",E315=""),"",IF(C315="","FALTA código balón",IF(D315="","FALTA tipo balón",IF(E315="","FALTA gas",IF(F315="","FALTA propietario",IF(AND(C315&lt;&gt;"",SUMPRODUCT(--($C$5:$C$1200=C315))&gt;1),"CÓDIGO BALÓN DUPLICADO",IF(AND(OR(UPPER(F315)="PLANTA",UPPER(F315)="CLIENTE"),G315=""),"FALTA doc propietario/planta",IF(AND(UPPER(F315)="PLANTA",G315="10175332796"),"PLANTA no puede ser RUC empresa","OK"))))))))</f>
        <v/>
      </c>
      <c r="C315" s="23" t="inlineStr">
        <is>
          <t>21K022182</t>
        </is>
      </c>
      <c r="D315" s="17" t="inlineStr">
        <is>
          <t>Oxígeno Medicinal 10 m³</t>
        </is>
      </c>
      <c r="E315" s="17" t="inlineStr">
        <is>
          <t>OXIGENO MEDICINAL</t>
        </is>
      </c>
      <c r="F315" s="17" t="inlineStr">
        <is>
          <t>EMPRESA</t>
        </is>
      </c>
      <c r="G315" s="23" t="inlineStr">
        <is>
          <t>10175332796</t>
        </is>
      </c>
      <c r="H315" s="25">
        <f t="array" ref="H315">IF(G315="","",IFERROR(IF(INDEX(Clientes!$D$5:$D$549,MATCH(G315,Clientes!$C$5:$C$549,0))&lt;&gt;"",INDEX(Clientes!$D$5:$D$549,MATCH(G315,Clientes!$C$5:$C$549,0)),TRIM(INDEX(Clientes!$E$5:$E$549,MATCH(G315,Clientes!$C$5:$C$549,0))&amp;" "&amp;INDEX(Clientes!$F$5:$F$549,MATCH(G315,Clientes!$C$5:$C$549,0)))),"NO EXISTE en Clientes"))</f>
        <v/>
      </c>
      <c r="I315" s="17" t="inlineStr">
        <is>
          <t>DISPONIBLE</t>
        </is>
      </c>
      <c r="J315" s="17" t="inlineStr">
        <is>
          <t>ALMACEN PRINCIPAL</t>
        </is>
      </c>
      <c r="K315" s="23" t="n"/>
      <c r="L315" s="25">
        <f t="array" ref="L315">IF(K315="","",IFERROR(IF(INDEX(Clientes!$D$5:$D$549,MATCH(K315,Clientes!$C$5:$C$549,0))&lt;&gt;"",INDEX(Clientes!$D$5:$D$549,MATCH(K315,Clientes!$C$5:$C$549,0)),TRIM(INDEX(Clientes!$E$5:$E$549,MATCH(K315,Clientes!$C$5:$C$549,0))&amp;" "&amp;INDEX(Clientes!$F$5:$F$549,MATCH(K315,Clientes!$C$5:$C$549,0)))),"NO EXISTE en Clientes"))</f>
        <v/>
      </c>
      <c r="M315" s="17" t="n">
        <v>2021</v>
      </c>
      <c r="N315" s="17" t="n">
        <v>1</v>
      </c>
      <c r="O315" s="42" t="n">
        <v>44197</v>
      </c>
      <c r="P315" s="39">
        <f>IF(O315&lt;&gt;"",DATE(YEAR(O315)+5,MONTH(O315),1),IF(AND(M315&lt;&gt;"",N315&lt;&gt;""),DATE(M315+5,N315,1),""))</f>
        <v/>
      </c>
      <c r="Q315" s="23" t="n"/>
      <c r="R315" s="17" t="inlineStr">
        <is>
          <t>JP</t>
        </is>
      </c>
      <c r="S315" s="17" t="inlineStr">
        <is>
          <t>OTRO</t>
        </is>
      </c>
      <c r="T315" s="17" t="n"/>
      <c r="U315" s="17" t="n"/>
      <c r="V315" s="23" t="n"/>
      <c r="W315" s="17" t="n"/>
      <c r="X315" s="17" t="n"/>
      <c r="Y315" s="28">
        <f>IF(B315&lt;&gt;"OK","","SELECT bal_crear_balon(p_codigo_balon =&gt; "&amp;IF(TRIM(C315&amp;"")="","NULL","'"&amp;SUBSTITUTE(TRIM(C315),"'","''")&amp;"'")&amp;", p_id_tipo_balon =&gt; "&amp;"(SELECT id FROM bal_tipo_balon WHERE upper(nombre) = upper('"&amp;SUBSTITUTE(TRIM(D315),"'","''")&amp;"') AND estado = 1 LIMIT 1)"&amp;", p_id_producto_gas =&gt; "&amp;"(SELECT id FROM pro_producto WHERE es_gas = TRUE AND upper(nombre) = upper('"&amp;SUBSTITUTE(TRIM(E315),"'","''")&amp;"') AND estado = 1 LIMIT 1)"&amp;", p_id_propietario =&gt; "&amp;IF(TRIM(F315&amp;"")="","NULL","(SELECT lo.id FROM gen_lista_opciones lo JOIN gen_lista l ON l.id = lo.id_lista WHERE l.nombre = 'PropietarioBalon' AND upper(lo.nombre) = upper('"&amp;SUBSTITUTE(TRIM(F315),"'","''")&amp;"') AND lo.estado = 1 LIMIT 1)")&amp;", p_id_cliente_propietario =&gt; "&amp;IF(F315="CLIENTE",IF(TRIM(G315&amp;"")="","NULL","(SELECT id FROM cli_clientes WHERE numero_documento = '"&amp;SUBSTITUTE(TRIM(G315),"'","''")&amp;"' AND estado = 1 LIMIT 1)"),"NULL")&amp;", p_id_planta =&gt; "&amp;IF(F315="PLANTA",IF(TRIM(G315&amp;"")="","NULL","(SELECT id FROM cli_clientes WHERE numero_documento = '"&amp;SUBSTITUTE(TRIM(G315),"'","''")&amp;"'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"&amp;IF(TRIM(J315&amp;"")="","NULL","(SELECT id FROM gen_almacen WHERE upper(nombre) = upper('"&amp;SUBSTITUTE(TRIM(J315),"'","''")&amp;"') AND estado = 1 LIMIT 1)")&amp;", p_id_cliente_ubicacion =&gt; "&amp;IF(TRIM(K315&amp;"")="","NULL","(SELECT id FROM cli_clientes WHERE numero_documento = '"&amp;SUBSTITUTE(TRIM(K315),"'","''")&amp;"' AND estado = 1 LIMIT 1)")&amp;", p_id_referencia =&gt; "&amp;IF(TRIM(J315&amp;"")&lt;&gt;"","(SELECT lo.id FROM gen_lista_opciones lo JOIN gen_lista l ON l.id = lo.id_lista WHERE l.nombre = 'ReferenciaCilindro' AND upper(lo.nombre) = 'ALMACEN' AND lo.estado = 1 LIMIT 1)",IF(TRIM(K315&amp;"")&lt;&gt;"","(SELECT lo.id FROM gen_lista_opciones lo JOIN gen_lista l ON l.id = lo.id_lista WHERE l.nombre = 'ReferenciaCilindro' AND upper(lo.nombre) = 'CLIENTE' AND lo.estado = 1 LIMIT 1)","NULL"))&amp;", p_anio_fabricacion =&gt; "&amp;IF(M315&amp;""="","NULL::smallint",M315&amp;"::smallint")&amp;", p_mes_fabricacion =&gt; "&amp;IF(N315&amp;""="","NULL::smallint",N315&amp;"::smallint")&amp;", p_fecha_ultima_prueba_hidrostatica =&gt; "&amp;IF(O315&amp;""="","NULL","'"&amp;YEAR(O315)&amp;"-"&amp;TEXT(MONTH(O315),"00")&amp;"-"&amp;TEXT(DAY(O315),"00")&amp;"'")&amp;", p_numero_serie =&gt; "&amp;IF(TRIM(Q315&amp;"")="","NULL","'"&amp;SUBSTITUTE(TRIM(Q315),"'","''")&amp;"'")&amp;", p_id_marca_cilindro =&gt; "&amp;IF(TRIM(R315&amp;"")="","NULL","(SELECT lo.id FROM gen_lista_opciones lo JOIN gen_lista l ON l.id = lo.id_lista WHERE l.nombre = 'MarcaCilindro' AND upper(lo.nombre) = upper('"&amp;SUBSTITUTE(TRIM(R315),"'","''")&amp;"') AND lo.estado = 1 LIMIT 1)")&amp;", p_id_organo_inspector =&gt; "&amp;IF(TRIM(S315&amp;"")="","NULL","(SELECT lo.id FROM gen_lista_opciones lo JOIN gen_lista l ON l.id = lo.id_lista WHERE l.nombre = 'OrganoInspectorCilindro' AND upper(lo.nombre) = upper('"&amp;SUBSTITUTE(TRIM(S315),"'","''")&amp;"') AND lo.estado = 1 LIMIT 1)")&amp;", p_organo_inspector_no_aplica =&gt; "&amp;IF(S315="NO_APLICA","TRUE","FALSE")&amp;", p_presion_actual =&gt; "&amp;IF(T315&amp;""="","NULL",SUBSTITUTE(T315&amp;"",",","."))&amp;", p_tipo_valvula =&gt; "&amp;IF(TRIM(U315&amp;"")="","NULL","'"&amp;SUBSTITUTE(TRIM(U315),"'","''")&amp;"'")&amp;", p_libro_cilindro =&gt; "&amp;IF(TRIM(V315&amp;"")="","NULL","'"&amp;SUBSTITUTE(TRIM(V315),"'","''")&amp;"'")&amp;", p_pagina_libro =&gt; "&amp;IF(W315&amp;""="","NULL",SUBSTITUTE(W315&amp;"",",","."))&amp;", p_observacion =&gt; "&amp;IF(TRIM(X315&amp;"")="","NULL","'"&amp;SUBSTITUTE(TRIM(X315),"'","''")&amp;"'")&amp;") AS resultado_balon_"&amp;ROW()&amp;";")</f>
        <v/>
      </c>
    </row>
    <row r="316" ht="15.75" customHeight="1" s="64">
      <c r="A316" s="36" t="inlineStr">
        <is>
          <t>312</t>
        </is>
      </c>
      <c r="B316" s="25">
        <f>IF(AND(C316="",D316="",E316=""),"",IF(C316="","FALTA código balón",IF(D316="","FALTA tipo balón",IF(E316="","FALTA gas",IF(F316="","FALTA propietario",IF(AND(C316&lt;&gt;"",SUMPRODUCT(--($C$5:$C$1200=C316))&gt;1),"CÓDIGO BALÓN DUPLICADO",IF(AND(OR(UPPER(F316)="PLANTA",UPPER(F316)="CLIENTE"),G316=""),"FALTA doc propietario/planta",IF(AND(UPPER(F316)="PLANTA",G316="10175332796"),"PLANTA no puede ser RUC empresa","OK"))))))))</f>
        <v/>
      </c>
      <c r="C316" s="23" t="inlineStr">
        <is>
          <t>20Y345150</t>
        </is>
      </c>
      <c r="D316" s="17" t="inlineStr">
        <is>
          <t>Oxígeno Industrial 10 m³</t>
        </is>
      </c>
      <c r="E316" s="17" t="inlineStr">
        <is>
          <t>OXIGENO INDUSTRIAL</t>
        </is>
      </c>
      <c r="F316" s="17" t="inlineStr">
        <is>
          <t>EMPRESA</t>
        </is>
      </c>
      <c r="G316" s="23" t="inlineStr">
        <is>
          <t>10175332796</t>
        </is>
      </c>
      <c r="H316" s="25">
        <f t="array" ref="H316">IF(G316="","",IFERROR(IF(INDEX(Clientes!$D$5:$D$549,MATCH(G316,Clientes!$C$5:$C$549,0))&lt;&gt;"",INDEX(Clientes!$D$5:$D$549,MATCH(G316,Clientes!$C$5:$C$549,0)),TRIM(INDEX(Clientes!$E$5:$E$549,MATCH(G316,Clientes!$C$5:$C$549,0))&amp;" "&amp;INDEX(Clientes!$F$5:$F$549,MATCH(G316,Clientes!$C$5:$C$549,0)))),"NO EXISTE en Clientes"))</f>
        <v/>
      </c>
      <c r="I316" s="17" t="inlineStr">
        <is>
          <t>DISPONIBLE</t>
        </is>
      </c>
      <c r="J316" s="17" t="inlineStr">
        <is>
          <t>ALMACEN PRINCIPAL</t>
        </is>
      </c>
      <c r="K316" s="23" t="n"/>
      <c r="L316" s="25">
        <f t="array" ref="L316">IF(K316="","",IFERROR(IF(INDEX(Clientes!$D$5:$D$549,MATCH(K316,Clientes!$C$5:$C$549,0))&lt;&gt;"",INDEX(Clientes!$D$5:$D$549,MATCH(K316,Clientes!$C$5:$C$549,0)),TRIM(INDEX(Clientes!$E$5:$E$549,MATCH(K316,Clientes!$C$5:$C$549,0))&amp;" "&amp;INDEX(Clientes!$F$5:$F$549,MATCH(K316,Clientes!$C$5:$C$549,0)))),"NO EXISTE en Clientes"))</f>
        <v/>
      </c>
      <c r="M316" s="17" t="n">
        <v>2025</v>
      </c>
      <c r="N316" s="17" t="n">
        <v>10</v>
      </c>
      <c r="O316" s="42" t="n">
        <v>45931</v>
      </c>
      <c r="P316" s="39">
        <f>IF(O316&lt;&gt;"",DATE(YEAR(O316)+10,MONTH(O316),1),IF(AND(M316&lt;&gt;"",N316&lt;&gt;""),DATE(M316+5,N316,1),""))</f>
        <v/>
      </c>
      <c r="Q316" s="23" t="n"/>
      <c r="R316" s="17" t="inlineStr">
        <is>
          <t>YA</t>
        </is>
      </c>
      <c r="S316" s="17" t="n"/>
      <c r="T316" s="17" t="n"/>
      <c r="U316" s="17" t="n"/>
      <c r="V316" s="23" t="n"/>
      <c r="W316" s="17" t="n"/>
      <c r="X316" s="17" t="n"/>
      <c r="Y316" s="28">
        <f>IF(B316&lt;&gt;"OK","","SELECT bal_crear_balon(p_codigo_balon =&gt; "&amp;IF(TRIM(C316&amp;"")="","NULL","'"&amp;SUBSTITUTE(TRIM(C316),"'","''")&amp;"'")&amp;", p_id_tipo_balon =&gt; "&amp;"(SELECT id FROM bal_tipo_balon WHERE upper(nombre) = upper('"&amp;SUBSTITUTE(TRIM(D316),"'","''")&amp;"') AND estado = 1 LIMIT 1)"&amp;", p_id_producto_gas =&gt; "&amp;"(SELECT id FROM pro_producto WHERE es_gas = TRUE AND upper(nombre) = upper('"&amp;SUBSTITUTE(TRIM(E316),"'","''")&amp;"') AND estado = 1 LIMIT 1)"&amp;", p_id_propietario =&gt; "&amp;IF(TRIM(F316&amp;"")="","NULL","(SELECT lo.id FROM gen_lista_opciones lo JOIN gen_lista l ON l.id = lo.id_lista WHERE l.nombre = 'PropietarioBalon' AND upper(lo.nombre) = upper('"&amp;SUBSTITUTE(TRIM(F316),"'","''")&amp;"') AND lo.estado = 1 LIMIT 1)")&amp;", p_id_cliente_propietario =&gt; "&amp;IF(F316="CLIENTE",IF(TRIM(G316&amp;"")="","NULL","(SELECT id FROM cli_clientes WHERE numero_documento = '"&amp;SUBSTITUTE(TRIM(G316),"'","''")&amp;"' AND estado = 1 LIMIT 1)"),"NULL")&amp;", p_id_planta =&gt; "&amp;IF(F316="PLANTA",IF(TRIM(G316&amp;"")="","NULL","(SELECT id FROM cli_clientes WHERE numero_documento = '"&amp;SUBSTITUTE(TRIM(G316),"'","''")&amp;"'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"&amp;IF(TRIM(J316&amp;"")="","NULL","(SELECT id FROM gen_almacen WHERE upper(nombre) = upper('"&amp;SUBSTITUTE(TRIM(J316),"'","''")&amp;"') AND estado = 1 LIMIT 1)")&amp;", p_id_cliente_ubicacion =&gt; "&amp;IF(TRIM(K316&amp;"")="","NULL","(SELECT id FROM cli_clientes WHERE numero_documento = '"&amp;SUBSTITUTE(TRIM(K316),"'","''")&amp;"' AND estado = 1 LIMIT 1)")&amp;", p_id_referencia =&gt; "&amp;IF(TRIM(J316&amp;"")&lt;&gt;"","(SELECT lo.id FROM gen_lista_opciones lo JOIN gen_lista l ON l.id = lo.id_lista WHERE l.nombre = 'ReferenciaCilindro' AND upper(lo.nombre) = 'ALMACEN' AND lo.estado = 1 LIMIT 1)",IF(TRIM(K316&amp;"")&lt;&gt;"","(SELECT lo.id FROM gen_lista_opciones lo JOIN gen_lista l ON l.id = lo.id_lista WHERE l.nombre = 'ReferenciaCilindro' AND upper(lo.nombre) = 'CLIENTE' AND lo.estado = 1 LIMIT 1)","NULL"))&amp;", p_anio_fabricacion =&gt; "&amp;IF(M316&amp;""="","NULL::smallint",M316&amp;"::smallint")&amp;", p_mes_fabricacion =&gt; "&amp;IF(N316&amp;""="","NULL::smallint",N316&amp;"::smallint")&amp;", p_fecha_ultima_prueba_hidrostatica =&gt; "&amp;IF(O316&amp;""="","NULL","'"&amp;YEAR(O316)&amp;"-"&amp;TEXT(MONTH(O316),"00")&amp;"-"&amp;TEXT(DAY(O316),"00")&amp;"'")&amp;", p_numero_serie =&gt; "&amp;IF(TRIM(Q316&amp;"")="","NULL","'"&amp;SUBSTITUTE(TRIM(Q316),"'","''")&amp;"'")&amp;", p_id_marca_cilindro =&gt; "&amp;IF(TRIM(R316&amp;"")="","NULL","(SELECT lo.id FROM gen_lista_opciones lo JOIN gen_lista l ON l.id = lo.id_lista WHERE l.nombre = 'MarcaCilindro' AND upper(lo.nombre) = upper('"&amp;SUBSTITUTE(TRIM(R316),"'","''")&amp;"') AND lo.estado = 1 LIMIT 1)")&amp;", p_id_organo_inspector =&gt; "&amp;IF(TRIM(S316&amp;"")="","NULL","(SELECT lo.id FROM gen_lista_opciones lo JOIN gen_lista l ON l.id = lo.id_lista WHERE l.nombre = 'OrganoInspectorCilindro' AND upper(lo.nombre) = upper('"&amp;SUBSTITUTE(TRIM(S316),"'","''")&amp;"') AND lo.estado = 1 LIMIT 1)")&amp;", p_organo_inspector_no_aplica =&gt; "&amp;IF(S316="NO_APLICA","TRUE","FALSE")&amp;", p_presion_actual =&gt; "&amp;IF(T316&amp;""="","NULL",SUBSTITUTE(T316&amp;"",",","."))&amp;", p_tipo_valvula =&gt; "&amp;IF(TRIM(U316&amp;"")="","NULL","'"&amp;SUBSTITUTE(TRIM(U316),"'","''")&amp;"'")&amp;", p_libro_cilindro =&gt; "&amp;IF(TRIM(V316&amp;"")="","NULL","'"&amp;SUBSTITUTE(TRIM(V316),"'","''")&amp;"'")&amp;", p_pagina_libro =&gt; "&amp;IF(W316&amp;""="","NULL",SUBSTITUTE(W316&amp;"",",","."))&amp;", p_observacion =&gt; "&amp;IF(TRIM(X316&amp;"")="","NULL","'"&amp;SUBSTITUTE(TRIM(X316),"'","''")&amp;"'")&amp;") AS resultado_balon_"&amp;ROW()&amp;";")</f>
        <v/>
      </c>
    </row>
    <row r="317" ht="15.75" customHeight="1" s="64">
      <c r="A317" s="36" t="inlineStr">
        <is>
          <t>313</t>
        </is>
      </c>
      <c r="B317" s="25">
        <f>IF(AND(C317="",D317="",E317=""),"",IF(C317="","FALTA código balón",IF(D317="","FALTA tipo balón",IF(E317="","FALTA gas",IF(F317="","FALTA propietario",IF(AND(C317&lt;&gt;"",SUMPRODUCT(--($C$5:$C$1200=C317))&gt;1),"CÓDIGO BALÓN DUPLICADO",IF(AND(OR(UPPER(F317)="PLANTA",UPPER(F317)="CLIENTE"),G317=""),"FALTA doc propietario/planta",IF(AND(UPPER(F317)="PLANTA",G317="10175332796"),"PLANTA no puede ser RUC empresa","OK"))))))))</f>
        <v/>
      </c>
      <c r="C317" s="23" t="inlineStr">
        <is>
          <t>303179</t>
        </is>
      </c>
      <c r="D317" s="17" t="inlineStr">
        <is>
          <t>Oxigeno Industrial 7 m³</t>
        </is>
      </c>
      <c r="E317" s="17" t="inlineStr">
        <is>
          <t>OXIGENO INDUSTRIAL</t>
        </is>
      </c>
      <c r="F317" s="17" t="inlineStr">
        <is>
          <t>EMPRESA</t>
        </is>
      </c>
      <c r="G317" s="23" t="inlineStr">
        <is>
          <t>10175332796</t>
        </is>
      </c>
      <c r="H317" s="25">
        <f t="array" ref="H317">IF(G317="","",IFERROR(IF(INDEX(Clientes!$D$5:$D$549,MATCH(G317,Clientes!$C$5:$C$549,0))&lt;&gt;"",INDEX(Clientes!$D$5:$D$549,MATCH(G317,Clientes!$C$5:$C$549,0)),TRIM(INDEX(Clientes!$E$5:$E$549,MATCH(G317,Clientes!$C$5:$C$549,0))&amp;" "&amp;INDEX(Clientes!$F$5:$F$549,MATCH(G317,Clientes!$C$5:$C$549,0)))),"NO EXISTE en Clientes"))</f>
        <v/>
      </c>
      <c r="I317" s="17" t="inlineStr">
        <is>
          <t>DISPONIBLE</t>
        </is>
      </c>
      <c r="J317" s="17" t="inlineStr">
        <is>
          <t>ALMACEN PRINCIPAL</t>
        </is>
      </c>
      <c r="K317" s="23" t="n"/>
      <c r="L317" s="25">
        <f t="array" ref="L317">IF(K317="","",IFERROR(IF(INDEX(Clientes!$D$5:$D$549,MATCH(K317,Clientes!$C$5:$C$549,0))&lt;&gt;"",INDEX(Clientes!$D$5:$D$549,MATCH(K317,Clientes!$C$5:$C$549,0)),TRIM(INDEX(Clientes!$E$5:$E$549,MATCH(K317,Clientes!$C$5:$C$549,0))&amp;" "&amp;INDEX(Clientes!$F$5:$F$549,MATCH(K317,Clientes!$C$5:$C$549,0)))),"NO EXISTE en Clientes"))</f>
        <v/>
      </c>
      <c r="M317" s="17" t="n">
        <v>2023</v>
      </c>
      <c r="N317" s="17" t="n">
        <v>11</v>
      </c>
      <c r="O317" s="42" t="n">
        <v>45231</v>
      </c>
      <c r="P317" s="39">
        <f>IF(O317&lt;&gt;"",DATE(YEAR(O317)+10,MONTH(O317),1),IF(AND(M317&lt;&gt;"",N317&lt;&gt;""),DATE(M317+5,N317,1),""))</f>
        <v/>
      </c>
      <c r="Q317" s="23" t="n"/>
      <c r="R317" s="17" t="inlineStr">
        <is>
          <t>AMERICANA</t>
        </is>
      </c>
      <c r="S317" s="17" t="inlineStr">
        <is>
          <t>OTRO</t>
        </is>
      </c>
      <c r="T317" s="17" t="n"/>
      <c r="U317" s="17" t="n"/>
      <c r="V317" s="23" t="n"/>
      <c r="W317" s="17" t="n"/>
      <c r="X317" s="17" t="inlineStr">
        <is>
          <t>PH LINDE</t>
        </is>
      </c>
      <c r="Y317" s="28">
        <f>IF(B317&lt;&gt;"OK","","SELECT bal_crear_balon(p_codigo_balon =&gt; "&amp;IF(TRIM(C317&amp;"")="","NULL","'"&amp;SUBSTITUTE(TRIM(C317),"'","''")&amp;"'")&amp;", p_id_tipo_balon =&gt; "&amp;"(SELECT id FROM bal_tipo_balon WHERE upper(nombre) = upper('"&amp;SUBSTITUTE(TRIM(D317),"'","''")&amp;"') AND estado = 1 LIMIT 1)"&amp;", p_id_producto_gas =&gt; "&amp;"(SELECT id FROM pro_producto WHERE es_gas = TRUE AND upper(nombre) = upper('"&amp;SUBSTITUTE(TRIM(E317),"'","''")&amp;"') AND estado = 1 LIMIT 1)"&amp;", p_id_propietario =&gt; "&amp;IF(TRIM(F317&amp;"")="","NULL","(SELECT lo.id FROM gen_lista_opciones lo JOIN gen_lista l ON l.id = lo.id_lista WHERE l.nombre = 'PropietarioBalon' AND upper(lo.nombre) = upper('"&amp;SUBSTITUTE(TRIM(F317),"'","''")&amp;"') AND lo.estado = 1 LIMIT 1)")&amp;", p_id_cliente_propietario =&gt; "&amp;IF(F317="CLIENTE",IF(TRIM(G317&amp;"")="","NULL","(SELECT id FROM cli_clientes WHERE numero_documento = '"&amp;SUBSTITUTE(TRIM(G317),"'","''")&amp;"' AND estado = 1 LIMIT 1)"),"NULL")&amp;", p_id_planta =&gt; "&amp;IF(F317="PLANTA",IF(TRIM(G317&amp;"")="","NULL","(SELECT id FROM cli_clientes WHERE numero_documento = '"&amp;SUBSTITUTE(TRIM(G317),"'","''")&amp;"'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"&amp;IF(TRIM(J317&amp;"")="","NULL","(SELECT id FROM gen_almacen WHERE upper(nombre) = upper('"&amp;SUBSTITUTE(TRIM(J317),"'","''")&amp;"') AND estado = 1 LIMIT 1)")&amp;", p_id_cliente_ubicacion =&gt; "&amp;IF(TRIM(K317&amp;"")="","NULL","(SELECT id FROM cli_clientes WHERE numero_documento = '"&amp;SUBSTITUTE(TRIM(K317),"'","''")&amp;"' AND estado = 1 LIMIT 1)")&amp;", p_id_referencia =&gt; "&amp;IF(TRIM(J317&amp;"")&lt;&gt;"","(SELECT lo.id FROM gen_lista_opciones lo JOIN gen_lista l ON l.id = lo.id_lista WHERE l.nombre = 'ReferenciaCilindro' AND upper(lo.nombre) = 'ALMACEN' AND lo.estado = 1 LIMIT 1)",IF(TRIM(K317&amp;"")&lt;&gt;"","(SELECT lo.id FROM gen_lista_opciones lo JOIN gen_lista l ON l.id = lo.id_lista WHERE l.nombre = 'ReferenciaCilindro' AND upper(lo.nombre) = 'CLIENTE' AND lo.estado = 1 LIMIT 1)","NULL"))&amp;", p_anio_fabricacion =&gt; "&amp;IF(M317&amp;""="","NULL::smallint",M317&amp;"::smallint")&amp;", p_mes_fabricacion =&gt; "&amp;IF(N317&amp;""="","NULL::smallint",N317&amp;"::smallint")&amp;", p_fecha_ultima_prueba_hidrostatica =&gt; "&amp;IF(O317&amp;""="","NULL","'"&amp;YEAR(O317)&amp;"-"&amp;TEXT(MONTH(O317),"00")&amp;"-"&amp;TEXT(DAY(O317),"00")&amp;"'")&amp;", p_numero_serie =&gt; "&amp;IF(TRIM(Q317&amp;"")="","NULL","'"&amp;SUBSTITUTE(TRIM(Q317),"'","''")&amp;"'")&amp;", p_id_marca_cilindro =&gt; "&amp;IF(TRIM(R317&amp;"")="","NULL","(SELECT lo.id FROM gen_lista_opciones lo JOIN gen_lista l ON l.id = lo.id_lista WHERE l.nombre = 'MarcaCilindro' AND upper(lo.nombre) = upper('"&amp;SUBSTITUTE(TRIM(R317),"'","''")&amp;"') AND lo.estado = 1 LIMIT 1)")&amp;", p_id_organo_inspector =&gt; "&amp;IF(TRIM(S317&amp;"")="","NULL","(SELECT lo.id FROM gen_lista_opciones lo JOIN gen_lista l ON l.id = lo.id_lista WHERE l.nombre = 'OrganoInspectorCilindro' AND upper(lo.nombre) = upper('"&amp;SUBSTITUTE(TRIM(S317),"'","''")&amp;"') AND lo.estado = 1 LIMIT 1)")&amp;", p_organo_inspector_no_aplica =&gt; "&amp;IF(S317="NO_APLICA","TRUE","FALSE")&amp;", p_presion_actual =&gt; "&amp;IF(T317&amp;""="","NULL",SUBSTITUTE(T317&amp;"",",","."))&amp;", p_tipo_valvula =&gt; "&amp;IF(TRIM(U317&amp;"")="","NULL","'"&amp;SUBSTITUTE(TRIM(U317),"'","''")&amp;"'")&amp;", p_libro_cilindro =&gt; "&amp;IF(TRIM(V317&amp;"")="","NULL","'"&amp;SUBSTITUTE(TRIM(V317),"'","''")&amp;"'")&amp;", p_pagina_libro =&gt; "&amp;IF(W317&amp;""="","NULL",SUBSTITUTE(W317&amp;"",",","."))&amp;", p_observacion =&gt; "&amp;IF(TRIM(X317&amp;"")="","NULL","'"&amp;SUBSTITUTE(TRIM(X317),"'","''")&amp;"'")&amp;") AS resultado_balon_"&amp;ROW()&amp;";")</f>
        <v/>
      </c>
    </row>
    <row r="318" ht="15.75" customHeight="1" s="64">
      <c r="A318" s="36" t="inlineStr">
        <is>
          <t>314</t>
        </is>
      </c>
      <c r="B318" s="25">
        <f>IF(AND(C318="",D318="",E318=""),"",IF(C318="","FALTA código balón",IF(D318="","FALTA tipo balón",IF(E318="","FALTA gas",IF(F318="","FALTA propietario",IF(AND(C318&lt;&gt;"",SUMPRODUCT(--($C$5:$C$1200=C318))&gt;1),"CÓDIGO BALÓN DUPLICADO",IF(AND(OR(UPPER(F318)="PLANTA",UPPER(F318)="CLIENTE"),G318=""),"FALTA doc propietario/planta",IF(AND(UPPER(F318)="PLANTA",G318="10175332796"),"PLANTA no puede ser RUC empresa","OK"))))))))</f>
        <v/>
      </c>
      <c r="C318" s="23" t="inlineStr">
        <is>
          <t>158900</t>
        </is>
      </c>
      <c r="D318" s="17" t="inlineStr">
        <is>
          <t>Oxigeno Industrial 8 m³</t>
        </is>
      </c>
      <c r="E318" s="17" t="inlineStr">
        <is>
          <t>OXIGENO INDUSTRIAL</t>
        </is>
      </c>
      <c r="F318" s="17" t="inlineStr">
        <is>
          <t>EMPRESA</t>
        </is>
      </c>
      <c r="G318" s="23" t="inlineStr">
        <is>
          <t>10175332796</t>
        </is>
      </c>
      <c r="H318" s="25">
        <f t="array" ref="H318">IF(G318="","",IFERROR(IF(INDEX(Clientes!$D$5:$D$549,MATCH(G318,Clientes!$C$5:$C$549,0))&lt;&gt;"",INDEX(Clientes!$D$5:$D$549,MATCH(G318,Clientes!$C$5:$C$549,0)),TRIM(INDEX(Clientes!$E$5:$E$549,MATCH(G318,Clientes!$C$5:$C$549,0))&amp;" "&amp;INDEX(Clientes!$F$5:$F$549,MATCH(G318,Clientes!$C$5:$C$549,0)))),"NO EXISTE en Clientes"))</f>
        <v/>
      </c>
      <c r="I318" s="17" t="inlineStr">
        <is>
          <t>DISPONIBLE</t>
        </is>
      </c>
      <c r="J318" s="17" t="inlineStr">
        <is>
          <t>ALMACEN PRINCIPAL</t>
        </is>
      </c>
      <c r="K318" s="23" t="n"/>
      <c r="L318" s="25">
        <f t="array" ref="L318">IF(K318="","",IFERROR(IF(INDEX(Clientes!$D$5:$D$549,MATCH(K318,Clientes!$C$5:$C$549,0))&lt;&gt;"",INDEX(Clientes!$D$5:$D$549,MATCH(K318,Clientes!$C$5:$C$549,0)),TRIM(INDEX(Clientes!$E$5:$E$549,MATCH(K318,Clientes!$C$5:$C$549,0))&amp;" "&amp;INDEX(Clientes!$F$5:$F$549,MATCH(K318,Clientes!$C$5:$C$549,0)))),"NO EXISTE en Clientes"))</f>
        <v/>
      </c>
      <c r="M318" s="17" t="n">
        <v>2022</v>
      </c>
      <c r="N318" s="17" t="n">
        <v>7</v>
      </c>
      <c r="O318" s="42" t="n">
        <v>44743</v>
      </c>
      <c r="P318" s="39">
        <f>IF(O318&lt;&gt;"",DATE(YEAR(O318)+10,MONTH(O318),1),IF(AND(M318&lt;&gt;"",N318&lt;&gt;""),DATE(M318+5,N318,1),""))</f>
        <v/>
      </c>
      <c r="Q318" s="23" t="n"/>
      <c r="R318" s="17" t="inlineStr">
        <is>
          <t>DOT</t>
        </is>
      </c>
      <c r="S318" s="17" t="n"/>
      <c r="T318" s="17" t="n"/>
      <c r="U318" s="17" t="n"/>
      <c r="V318" s="23" t="n"/>
      <c r="W318" s="17" t="n"/>
      <c r="X318" s="17" t="n"/>
      <c r="Y318" s="28">
        <f>IF(B318&lt;&gt;"OK","","SELECT bal_crear_balon(p_codigo_balon =&gt; "&amp;IF(TRIM(C318&amp;"")="","NULL","'"&amp;SUBSTITUTE(TRIM(C318),"'","''")&amp;"'")&amp;", p_id_tipo_balon =&gt; "&amp;"(SELECT id FROM bal_tipo_balon WHERE upper(nombre) = upper('"&amp;SUBSTITUTE(TRIM(D318),"'","''")&amp;"') AND estado = 1 LIMIT 1)"&amp;", p_id_producto_gas =&gt; "&amp;"(SELECT id FROM pro_producto WHERE es_gas = TRUE AND upper(nombre) = upper('"&amp;SUBSTITUTE(TRIM(E318),"'","''")&amp;"') AND estado = 1 LIMIT 1)"&amp;", p_id_propietario =&gt; "&amp;IF(TRIM(F318&amp;"")="","NULL","(SELECT lo.id FROM gen_lista_opciones lo JOIN gen_lista l ON l.id = lo.id_lista WHERE l.nombre = 'PropietarioBalon' AND upper(lo.nombre) = upper('"&amp;SUBSTITUTE(TRIM(F318),"'","''")&amp;"') AND lo.estado = 1 LIMIT 1)")&amp;", p_id_cliente_propietario =&gt; "&amp;IF(F318="CLIENTE",IF(TRIM(G318&amp;"")="","NULL","(SELECT id FROM cli_clientes WHERE numero_documento = '"&amp;SUBSTITUTE(TRIM(G318),"'","''")&amp;"' AND estado = 1 LIMIT 1)"),"NULL")&amp;", p_id_planta =&gt; "&amp;IF(F318="PLANTA",IF(TRIM(G318&amp;"")="","NULL","(SELECT id FROM cli_clientes WHERE numero_documento = '"&amp;SUBSTITUTE(TRIM(G318),"'","''")&amp;"'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"&amp;IF(TRIM(J318&amp;"")="","NULL","(SELECT id FROM gen_almacen WHERE upper(nombre) = upper('"&amp;SUBSTITUTE(TRIM(J318),"'","''")&amp;"') AND estado = 1 LIMIT 1)")&amp;", p_id_cliente_ubicacion =&gt; "&amp;IF(TRIM(K318&amp;"")="","NULL","(SELECT id FROM cli_clientes WHERE numero_documento = '"&amp;SUBSTITUTE(TRIM(K318),"'","''")&amp;"' AND estado = 1 LIMIT 1)")&amp;", p_id_referencia =&gt; "&amp;IF(TRIM(J318&amp;"")&lt;&gt;"","(SELECT lo.id FROM gen_lista_opciones lo JOIN gen_lista l ON l.id = lo.id_lista WHERE l.nombre = 'ReferenciaCilindro' AND upper(lo.nombre) = 'ALMACEN' AND lo.estado = 1 LIMIT 1)",IF(TRIM(K318&amp;"")&lt;&gt;"","(SELECT lo.id FROM gen_lista_opciones lo JOIN gen_lista l ON l.id = lo.id_lista WHERE l.nombre = 'ReferenciaCilindro' AND upper(lo.nombre) = 'CLIENTE' AND lo.estado = 1 LIMIT 1)","NULL"))&amp;", p_anio_fabricacion =&gt; "&amp;IF(M318&amp;""="","NULL::smallint",M318&amp;"::smallint")&amp;", p_mes_fabricacion =&gt; "&amp;IF(N318&amp;""="","NULL::smallint",N318&amp;"::smallint")&amp;", p_fecha_ultima_prueba_hidrostatica =&gt; "&amp;IF(O318&amp;""="","NULL","'"&amp;YEAR(O318)&amp;"-"&amp;TEXT(MONTH(O318),"00")&amp;"-"&amp;TEXT(DAY(O318),"00")&amp;"'")&amp;", p_numero_serie =&gt; "&amp;IF(TRIM(Q318&amp;"")="","NULL","'"&amp;SUBSTITUTE(TRIM(Q318),"'","''")&amp;"'")&amp;", p_id_marca_cilindro =&gt; "&amp;IF(TRIM(R318&amp;"")="","NULL","(SELECT lo.id FROM gen_lista_opciones lo JOIN gen_lista l ON l.id = lo.id_lista WHERE l.nombre = 'MarcaCilindro' AND upper(lo.nombre) = upper('"&amp;SUBSTITUTE(TRIM(R318),"'","''")&amp;"') AND lo.estado = 1 LIMIT 1)")&amp;", p_id_organo_inspector =&gt; "&amp;IF(TRIM(S318&amp;"")="","NULL","(SELECT lo.id FROM gen_lista_opciones lo JOIN gen_lista l ON l.id = lo.id_lista WHERE l.nombre = 'OrganoInspectorCilindro' AND upper(lo.nombre) = upper('"&amp;SUBSTITUTE(TRIM(S318),"'","''")&amp;"') AND lo.estado = 1 LIMIT 1)")&amp;", p_organo_inspector_no_aplica =&gt; "&amp;IF(S318="NO_APLICA","TRUE","FALSE")&amp;", p_presion_actual =&gt; "&amp;IF(T318&amp;""="","NULL",SUBSTITUTE(T318&amp;"",",","."))&amp;", p_tipo_valvula =&gt; "&amp;IF(TRIM(U318&amp;"")="","NULL","'"&amp;SUBSTITUTE(TRIM(U318),"'","''")&amp;"'")&amp;", p_libro_cilindro =&gt; "&amp;IF(TRIM(V318&amp;"")="","NULL","'"&amp;SUBSTITUTE(TRIM(V318),"'","''")&amp;"'")&amp;", p_pagina_libro =&gt; "&amp;IF(W318&amp;""="","NULL",SUBSTITUTE(W318&amp;"",",","."))&amp;", p_observacion =&gt; "&amp;IF(TRIM(X318&amp;"")="","NULL","'"&amp;SUBSTITUTE(TRIM(X318),"'","''")&amp;"'")&amp;") AS resultado_balon_"&amp;ROW()&amp;";")</f>
        <v/>
      </c>
    </row>
    <row r="319" ht="15.75" customHeight="1" s="64">
      <c r="A319" s="36" t="inlineStr">
        <is>
          <t>315</t>
        </is>
      </c>
      <c r="B319" s="25">
        <f>IF(AND(C319="",D319="",E319=""),"",IF(C319="","FALTA código balón",IF(D319="","FALTA tipo balón",IF(E319="","FALTA gas",IF(F319="","FALTA propietario",IF(AND(C319&lt;&gt;"",SUMPRODUCT(--($C$5:$C$1200=C319))&gt;1),"CÓDIGO BALÓN DUPLICADO",IF(AND(OR(UPPER(F319)="PLANTA",UPPER(F319)="CLIENTE"),G319=""),"FALTA doc propietario/planta",IF(AND(UPPER(F319)="PLANTA",G319="10175332796"),"PLANTA no puede ser RUC empresa","OK"))))))))</f>
        <v/>
      </c>
      <c r="C319" s="23" t="inlineStr">
        <is>
          <t>N1003176</t>
        </is>
      </c>
      <c r="D319" s="17" t="inlineStr">
        <is>
          <t>Oxigeno Industrial 8 m³</t>
        </is>
      </c>
      <c r="E319" s="17" t="inlineStr">
        <is>
          <t>OXIGENO INDUSTRIAL</t>
        </is>
      </c>
      <c r="F319" s="17" t="inlineStr">
        <is>
          <t>EMPRESA</t>
        </is>
      </c>
      <c r="G319" s="23" t="inlineStr">
        <is>
          <t>10175332796</t>
        </is>
      </c>
      <c r="H319" s="25">
        <f t="array" ref="H319">IF(G319="","",IFERROR(IF(INDEX(Clientes!$D$5:$D$549,MATCH(G319,Clientes!$C$5:$C$549,0))&lt;&gt;"",INDEX(Clientes!$D$5:$D$549,MATCH(G319,Clientes!$C$5:$C$549,0)),TRIM(INDEX(Clientes!$E$5:$E$549,MATCH(G319,Clientes!$C$5:$C$549,0))&amp;" "&amp;INDEX(Clientes!$F$5:$F$549,MATCH(G319,Clientes!$C$5:$C$549,0)))),"NO EXISTE en Clientes"))</f>
        <v/>
      </c>
      <c r="I319" s="17" t="inlineStr">
        <is>
          <t>DISPONIBLE</t>
        </is>
      </c>
      <c r="J319" s="17" t="inlineStr">
        <is>
          <t>ALMACEN PRINCIPAL</t>
        </is>
      </c>
      <c r="K319" s="23" t="n"/>
      <c r="L319" s="25">
        <f t="array" ref="L319">IF(K319="","",IFERROR(IF(INDEX(Clientes!$D$5:$D$549,MATCH(K319,Clientes!$C$5:$C$549,0))&lt;&gt;"",INDEX(Clientes!$D$5:$D$549,MATCH(K319,Clientes!$C$5:$C$549,0)),TRIM(INDEX(Clientes!$E$5:$E$549,MATCH(K319,Clientes!$C$5:$C$549,0))&amp;" "&amp;INDEX(Clientes!$F$5:$F$549,MATCH(K319,Clientes!$C$5:$C$549,0)))),"NO EXISTE en Clientes"))</f>
        <v/>
      </c>
      <c r="M319" s="17" t="n">
        <v>2021</v>
      </c>
      <c r="N319" s="17" t="n">
        <v>2</v>
      </c>
      <c r="O319" s="42" t="n">
        <v>44228</v>
      </c>
      <c r="P319" s="39">
        <f>IF(O319&lt;&gt;"",DATE(YEAR(O319)+10,MONTH(O319),1),IF(AND(M319&lt;&gt;"",N319&lt;&gt;""),DATE(M319+5,N319,1),""))</f>
        <v/>
      </c>
      <c r="Q319" s="23" t="n"/>
      <c r="R319" s="17" t="n"/>
      <c r="S319" s="17" t="n"/>
      <c r="T319" s="17" t="n"/>
      <c r="U319" s="17" t="n"/>
      <c r="V319" s="23" t="n"/>
      <c r="W319" s="17" t="n"/>
      <c r="X319" s="17" t="n"/>
      <c r="Y319" s="28">
        <f>IF(B319&lt;&gt;"OK","","SELECT bal_crear_balon(p_codigo_balon =&gt; "&amp;IF(TRIM(C319&amp;"")="","NULL","'"&amp;SUBSTITUTE(TRIM(C319),"'","''")&amp;"'")&amp;", p_id_tipo_balon =&gt; "&amp;"(SELECT id FROM bal_tipo_balon WHERE upper(nombre) = upper('"&amp;SUBSTITUTE(TRIM(D319),"'","''")&amp;"') AND estado = 1 LIMIT 1)"&amp;", p_id_producto_gas =&gt; "&amp;"(SELECT id FROM pro_producto WHERE es_gas = TRUE AND upper(nombre) = upper('"&amp;SUBSTITUTE(TRIM(E319),"'","''")&amp;"') AND estado = 1 LIMIT 1)"&amp;", p_id_propietario =&gt; "&amp;IF(TRIM(F319&amp;"")="","NULL","(SELECT lo.id FROM gen_lista_opciones lo JOIN gen_lista l ON l.id = lo.id_lista WHERE l.nombre = 'PropietarioBalon' AND upper(lo.nombre) = upper('"&amp;SUBSTITUTE(TRIM(F319),"'","''")&amp;"') AND lo.estado = 1 LIMIT 1)")&amp;", p_id_cliente_propietario =&gt; "&amp;IF(F319="CLIENTE",IF(TRIM(G319&amp;"")="","NULL","(SELECT id FROM cli_clientes WHERE numero_documento = '"&amp;SUBSTITUTE(TRIM(G319),"'","''")&amp;"' AND estado = 1 LIMIT 1)"),"NULL")&amp;", p_id_planta =&gt; "&amp;IF(F319="PLANTA",IF(TRIM(G319&amp;"")="","NULL","(SELECT id FROM cli_clientes WHERE numero_documento = '"&amp;SUBSTITUTE(TRIM(G319),"'","''")&amp;"'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"&amp;IF(TRIM(J319&amp;"")="","NULL","(SELECT id FROM gen_almacen WHERE upper(nombre) = upper('"&amp;SUBSTITUTE(TRIM(J319),"'","''")&amp;"') AND estado = 1 LIMIT 1)")&amp;", p_id_cliente_ubicacion =&gt; "&amp;IF(TRIM(K319&amp;"")="","NULL","(SELECT id FROM cli_clientes WHERE numero_documento = '"&amp;SUBSTITUTE(TRIM(K319),"'","''")&amp;"' AND estado = 1 LIMIT 1)")&amp;", p_id_referencia =&gt; "&amp;IF(TRIM(J319&amp;"")&lt;&gt;"","(SELECT lo.id FROM gen_lista_opciones lo JOIN gen_lista l ON l.id = lo.id_lista WHERE l.nombre = 'ReferenciaCilindro' AND upper(lo.nombre) = 'ALMACEN' AND lo.estado = 1 LIMIT 1)",IF(TRIM(K319&amp;"")&lt;&gt;"","(SELECT lo.id FROM gen_lista_opciones lo JOIN gen_lista l ON l.id = lo.id_lista WHERE l.nombre = 'ReferenciaCilindro' AND upper(lo.nombre) = 'CLIENTE' AND lo.estado = 1 LIMIT 1)","NULL"))&amp;", p_anio_fabricacion =&gt; "&amp;IF(M319&amp;""="","NULL::smallint",M319&amp;"::smallint")&amp;", p_mes_fabricacion =&gt; "&amp;IF(N319&amp;""="","NULL::smallint",N319&amp;"::smallint")&amp;", p_fecha_ultima_prueba_hidrostatica =&gt; "&amp;IF(O319&amp;""="","NULL","'"&amp;YEAR(O319)&amp;"-"&amp;TEXT(MONTH(O319),"00")&amp;"-"&amp;TEXT(DAY(O319),"00")&amp;"'")&amp;", p_numero_serie =&gt; "&amp;IF(TRIM(Q319&amp;"")="","NULL","'"&amp;SUBSTITUTE(TRIM(Q319),"'","''")&amp;"'")&amp;", p_id_marca_cilindro =&gt; "&amp;IF(TRIM(R319&amp;"")="","NULL","(SELECT lo.id FROM gen_lista_opciones lo JOIN gen_lista l ON l.id = lo.id_lista WHERE l.nombre = 'MarcaCilindro' AND upper(lo.nombre) = upper('"&amp;SUBSTITUTE(TRIM(R319),"'","''")&amp;"') AND lo.estado = 1 LIMIT 1)")&amp;", p_id_organo_inspector =&gt; "&amp;IF(TRIM(S319&amp;"")="","NULL","(SELECT lo.id FROM gen_lista_opciones lo JOIN gen_lista l ON l.id = lo.id_lista WHERE l.nombre = 'OrganoInspectorCilindro' AND upper(lo.nombre) = upper('"&amp;SUBSTITUTE(TRIM(S319),"'","''")&amp;"') AND lo.estado = 1 LIMIT 1)")&amp;", p_organo_inspector_no_aplica =&gt; "&amp;IF(S319="NO_APLICA","TRUE","FALSE")&amp;", p_presion_actual =&gt; "&amp;IF(T319&amp;""="","NULL",SUBSTITUTE(T319&amp;"",",","."))&amp;", p_tipo_valvula =&gt; "&amp;IF(TRIM(U319&amp;"")="","NULL","'"&amp;SUBSTITUTE(TRIM(U319),"'","''")&amp;"'")&amp;", p_libro_cilindro =&gt; "&amp;IF(TRIM(V319&amp;"")="","NULL","'"&amp;SUBSTITUTE(TRIM(V319),"'","''")&amp;"'")&amp;", p_pagina_libro =&gt; "&amp;IF(W319&amp;""="","NULL",SUBSTITUTE(W319&amp;"",",","."))&amp;", p_observacion =&gt; "&amp;IF(TRIM(X319&amp;"")="","NULL","'"&amp;SUBSTITUTE(TRIM(X319),"'","''")&amp;"'")&amp;") AS resultado_balon_"&amp;ROW()&amp;";")</f>
        <v/>
      </c>
    </row>
    <row r="320" ht="15.75" customHeight="1" s="64">
      <c r="A320" s="36" t="inlineStr">
        <is>
          <t>316</t>
        </is>
      </c>
      <c r="B320" s="25">
        <f>IF(AND(C320="",D320="",E320=""),"",IF(C320="","FALTA código balón",IF(D320="","FALTA tipo balón",IF(E320="","FALTA gas",IF(F320="","FALTA propietario",IF(AND(C320&lt;&gt;"",SUMPRODUCT(--($C$5:$C$1200=C320))&gt;1),"CÓDIGO BALÓN DUPLICADO",IF(AND(OR(UPPER(F320)="PLANTA",UPPER(F320)="CLIENTE"),G320=""),"FALTA doc propietario/planta",IF(AND(UPPER(F320)="PLANTA",G320="10175332796"),"PLANTA no puede ser RUC empresa","OK"))))))))</f>
        <v/>
      </c>
      <c r="C320" s="23" t="inlineStr">
        <is>
          <t>349527</t>
        </is>
      </c>
      <c r="D320" s="17" t="inlineStr">
        <is>
          <t>Oxigeno Industrial 8 m³</t>
        </is>
      </c>
      <c r="E320" s="17" t="inlineStr">
        <is>
          <t>OXIGENO INDUSTRIAL</t>
        </is>
      </c>
      <c r="F320" s="17" t="inlineStr">
        <is>
          <t>EMPRESA</t>
        </is>
      </c>
      <c r="G320" s="23" t="inlineStr">
        <is>
          <t>10175332796</t>
        </is>
      </c>
      <c r="H320" s="25">
        <f t="array" ref="H320">IF(G320="","",IFERROR(IF(INDEX(Clientes!$D$5:$D$549,MATCH(G320,Clientes!$C$5:$C$549,0))&lt;&gt;"",INDEX(Clientes!$D$5:$D$549,MATCH(G320,Clientes!$C$5:$C$549,0)),TRIM(INDEX(Clientes!$E$5:$E$549,MATCH(G320,Clientes!$C$5:$C$549,0))&amp;" "&amp;INDEX(Clientes!$F$5:$F$549,MATCH(G320,Clientes!$C$5:$C$549,0)))),"NO EXISTE en Clientes"))</f>
        <v/>
      </c>
      <c r="I320" s="17" t="inlineStr">
        <is>
          <t>DISPONIBLE</t>
        </is>
      </c>
      <c r="J320" s="17" t="inlineStr">
        <is>
          <t>ALMACEN PRINCIPAL</t>
        </is>
      </c>
      <c r="K320" s="23" t="n"/>
      <c r="L320" s="25">
        <f t="array" ref="L320">IF(K320="","",IFERROR(IF(INDEX(Clientes!$D$5:$D$549,MATCH(K320,Clientes!$C$5:$C$549,0))&lt;&gt;"",INDEX(Clientes!$D$5:$D$549,MATCH(K320,Clientes!$C$5:$C$549,0)),TRIM(INDEX(Clientes!$E$5:$E$549,MATCH(K320,Clientes!$C$5:$C$549,0))&amp;" "&amp;INDEX(Clientes!$F$5:$F$549,MATCH(K320,Clientes!$C$5:$C$549,0)))),"NO EXISTE en Clientes"))</f>
        <v/>
      </c>
      <c r="M320" s="17" t="n"/>
      <c r="N320" s="17" t="n"/>
      <c r="O320" s="42" t="n"/>
      <c r="P320" s="39">
        <f>IF(O320&lt;&gt;"",DATE(YEAR(O320)+5,MONTH(O320),1),IF(AND(M320&lt;&gt;"",N320&lt;&gt;""),DATE(M320+5,N320,1),""))</f>
        <v/>
      </c>
      <c r="Q320" s="23" t="n"/>
      <c r="R320" s="17" t="n"/>
      <c r="S320" s="17" t="n"/>
      <c r="T320" s="17" t="n"/>
      <c r="U320" s="17" t="n"/>
      <c r="V320" s="23" t="n"/>
      <c r="W320" s="17" t="n"/>
      <c r="X320" s="17" t="n"/>
      <c r="Y320" s="28">
        <f>IF(B320&lt;&gt;"OK","","SELECT bal_crear_balon(p_codigo_balon =&gt; "&amp;IF(TRIM(C320&amp;"")="","NULL","'"&amp;SUBSTITUTE(TRIM(C320),"'","''")&amp;"'")&amp;", p_id_tipo_balon =&gt; "&amp;"(SELECT id FROM bal_tipo_balon WHERE upper(nombre) = upper('"&amp;SUBSTITUTE(TRIM(D320),"'","''")&amp;"') AND estado = 1 LIMIT 1)"&amp;", p_id_producto_gas =&gt; "&amp;"(SELECT id FROM pro_producto WHERE es_gas = TRUE AND upper(nombre) = upper('"&amp;SUBSTITUTE(TRIM(E320),"'","''")&amp;"') AND estado = 1 LIMIT 1)"&amp;", p_id_propietario =&gt; "&amp;IF(TRIM(F320&amp;"")="","NULL","(SELECT lo.id FROM gen_lista_opciones lo JOIN gen_lista l ON l.id = lo.id_lista WHERE l.nombre = 'PropietarioBalon' AND upper(lo.nombre) = upper('"&amp;SUBSTITUTE(TRIM(F320),"'","''")&amp;"') AND lo.estado = 1 LIMIT 1)")&amp;", p_id_cliente_propietario =&gt; "&amp;IF(F320="CLIENTE",IF(TRIM(G320&amp;"")="","NULL","(SELECT id FROM cli_clientes WHERE numero_documento = '"&amp;SUBSTITUTE(TRIM(G320),"'","''")&amp;"' AND estado = 1 LIMIT 1)"),"NULL")&amp;", p_id_planta =&gt; "&amp;IF(F320="PLANTA",IF(TRIM(G320&amp;"")="","NULL","(SELECT id FROM cli_clientes WHERE numero_documento = '"&amp;SUBSTITUTE(TRIM(G320),"'","''")&amp;"'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"&amp;IF(TRIM(J320&amp;"")="","NULL","(SELECT id FROM gen_almacen WHERE upper(nombre) = upper('"&amp;SUBSTITUTE(TRIM(J320),"'","''")&amp;"') AND estado = 1 LIMIT 1)")&amp;", p_id_cliente_ubicacion =&gt; "&amp;IF(TRIM(K320&amp;"")="","NULL","(SELECT id FROM cli_clientes WHERE numero_documento = '"&amp;SUBSTITUTE(TRIM(K320),"'","''")&amp;"' AND estado = 1 LIMIT 1)")&amp;", p_id_referencia =&gt; "&amp;IF(TRIM(J320&amp;"")&lt;&gt;"","(SELECT lo.id FROM gen_lista_opciones lo JOIN gen_lista l ON l.id = lo.id_lista WHERE l.nombre = 'ReferenciaCilindro' AND upper(lo.nombre) = 'ALMACEN' AND lo.estado = 1 LIMIT 1)",IF(TRIM(K320&amp;"")&lt;&gt;"","(SELECT lo.id FROM gen_lista_opciones lo JOIN gen_lista l ON l.id = lo.id_lista WHERE l.nombre = 'ReferenciaCilindro' AND upper(lo.nombre) = 'CLIENTE' AND lo.estado = 1 LIMIT 1)","NULL"))&amp;", p_anio_fabricacion =&gt; "&amp;IF(M320&amp;""="","NULL::smallint",M320&amp;"::smallint")&amp;", p_mes_fabricacion =&gt; "&amp;IF(N320&amp;""="","NULL::smallint",N320&amp;"::smallint")&amp;", p_fecha_ultima_prueba_hidrostatica =&gt; "&amp;IF(O320&amp;""="","NULL","'"&amp;YEAR(O320)&amp;"-"&amp;TEXT(MONTH(O320),"00")&amp;"-"&amp;TEXT(DAY(O320),"00")&amp;"'")&amp;", p_numero_serie =&gt; "&amp;IF(TRIM(Q320&amp;"")="","NULL","'"&amp;SUBSTITUTE(TRIM(Q320),"'","''")&amp;"'")&amp;", p_id_marca_cilindro =&gt; "&amp;IF(TRIM(R320&amp;"")="","NULL","(SELECT lo.id FROM gen_lista_opciones lo JOIN gen_lista l ON l.id = lo.id_lista WHERE l.nombre = 'MarcaCilindro' AND upper(lo.nombre) = upper('"&amp;SUBSTITUTE(TRIM(R320),"'","''")&amp;"') AND lo.estado = 1 LIMIT 1)")&amp;", p_id_organo_inspector =&gt; "&amp;IF(TRIM(S320&amp;"")="","NULL","(SELECT lo.id FROM gen_lista_opciones lo JOIN gen_lista l ON l.id = lo.id_lista WHERE l.nombre = 'OrganoInspectorCilindro' AND upper(lo.nombre) = upper('"&amp;SUBSTITUTE(TRIM(S320),"'","''")&amp;"') AND lo.estado = 1 LIMIT 1)")&amp;", p_organo_inspector_no_aplica =&gt; "&amp;IF(S320="NO_APLICA","TRUE","FALSE")&amp;", p_presion_actual =&gt; "&amp;IF(T320&amp;""="","NULL",SUBSTITUTE(T320&amp;"",",","."))&amp;", p_tipo_valvula =&gt; "&amp;IF(TRIM(U320&amp;"")="","NULL","'"&amp;SUBSTITUTE(TRIM(U320),"'","''")&amp;"'")&amp;", p_libro_cilindro =&gt; "&amp;IF(TRIM(V320&amp;"")="","NULL","'"&amp;SUBSTITUTE(TRIM(V320),"'","''")&amp;"'")&amp;", p_pagina_libro =&gt; "&amp;IF(W320&amp;""="","NULL",SUBSTITUTE(W320&amp;"",",","."))&amp;", p_observacion =&gt; "&amp;IF(TRIM(X320&amp;"")="","NULL","'"&amp;SUBSTITUTE(TRIM(X320),"'","''")&amp;"'")&amp;") AS resultado_balon_"&amp;ROW()&amp;";")</f>
        <v/>
      </c>
    </row>
    <row r="321" ht="15.75" customHeight="1" s="64">
      <c r="A321" s="36" t="inlineStr">
        <is>
          <t>317</t>
        </is>
      </c>
      <c r="B321" s="25">
        <f>IF(AND(C321="",D321="",E321=""),"",IF(C321="","FALTA código balón",IF(D321="","FALTA tipo balón",IF(E321="","FALTA gas",IF(F321="","FALTA propietario",IF(AND(C321&lt;&gt;"",SUMPRODUCT(--($C$5:$C$1200=C321))&gt;1),"CÓDIGO BALÓN DUPLICADO",IF(AND(OR(UPPER(F321)="PLANTA",UPPER(F321)="CLIENTE"),G321=""),"FALTA doc propietario/planta",IF(AND(UPPER(F321)="PLANTA",G321="10175332796"),"PLANTA no puede ser RUC empresa","OK"))))))))</f>
        <v/>
      </c>
      <c r="C321" s="23" t="inlineStr">
        <is>
          <t>Y8894060</t>
        </is>
      </c>
      <c r="D321" s="17" t="inlineStr">
        <is>
          <t>Oxígeno Medicinal 10 m³</t>
        </is>
      </c>
      <c r="E321" s="17" t="inlineStr">
        <is>
          <t>OXIGENO MEDICINAL</t>
        </is>
      </c>
      <c r="F321" s="17" t="inlineStr">
        <is>
          <t>EMPRESA</t>
        </is>
      </c>
      <c r="G321" s="23" t="inlineStr">
        <is>
          <t>10175332796</t>
        </is>
      </c>
      <c r="H321" s="25">
        <f t="array" ref="H321">IF(G321="","",IFERROR(IF(INDEX(Clientes!$D$5:$D$549,MATCH(G321,Clientes!$C$5:$C$549,0))&lt;&gt;"",INDEX(Clientes!$D$5:$D$549,MATCH(G321,Clientes!$C$5:$C$549,0)),TRIM(INDEX(Clientes!$E$5:$E$549,MATCH(G321,Clientes!$C$5:$C$549,0))&amp;" "&amp;INDEX(Clientes!$F$5:$F$549,MATCH(G321,Clientes!$C$5:$C$549,0)))),"NO EXISTE en Clientes"))</f>
        <v/>
      </c>
      <c r="I321" s="17" t="inlineStr">
        <is>
          <t>DISPONIBLE</t>
        </is>
      </c>
      <c r="J321" s="17" t="inlineStr">
        <is>
          <t>ALMACEN PRINCIPAL</t>
        </is>
      </c>
      <c r="K321" s="23" t="n"/>
      <c r="L321" s="25">
        <f t="array" ref="L321">IF(K321="","",IFERROR(IF(INDEX(Clientes!$D$5:$D$549,MATCH(K321,Clientes!$C$5:$C$549,0))&lt;&gt;"",INDEX(Clientes!$D$5:$D$549,MATCH(K321,Clientes!$C$5:$C$549,0)),TRIM(INDEX(Clientes!$E$5:$E$549,MATCH(K321,Clientes!$C$5:$C$549,0))&amp;" "&amp;INDEX(Clientes!$F$5:$F$549,MATCH(K321,Clientes!$C$5:$C$549,0)))),"NO EXISTE en Clientes"))</f>
        <v/>
      </c>
      <c r="M321" s="17" t="n"/>
      <c r="N321" s="17" t="n"/>
      <c r="O321" s="42" t="n"/>
      <c r="P321" s="39">
        <f>IF(O321&lt;&gt;"",DATE(YEAR(O321)+5,MONTH(O321),1),IF(AND(M321&lt;&gt;"",N321&lt;&gt;""),DATE(M321+5,N321,1),""))</f>
        <v/>
      </c>
      <c r="Q321" s="23" t="n"/>
      <c r="R321" s="17" t="n"/>
      <c r="S321" s="17" t="n"/>
      <c r="T321" s="17" t="n"/>
      <c r="U321" s="17" t="n"/>
      <c r="V321" s="23" t="n"/>
      <c r="W321" s="17" t="n"/>
      <c r="X321" s="17" t="n"/>
      <c r="Y321" s="28">
        <f>IF(B321&lt;&gt;"OK","","SELECT bal_crear_balon(p_codigo_balon =&gt; "&amp;IF(TRIM(C321&amp;"")="","NULL","'"&amp;SUBSTITUTE(TRIM(C321),"'","''")&amp;"'")&amp;", p_id_tipo_balon =&gt; "&amp;"(SELECT id FROM bal_tipo_balon WHERE upper(nombre) = upper('"&amp;SUBSTITUTE(TRIM(D321),"'","''")&amp;"') AND estado = 1 LIMIT 1)"&amp;", p_id_producto_gas =&gt; "&amp;"(SELECT id FROM pro_producto WHERE es_gas = TRUE AND upper(nombre) = upper('"&amp;SUBSTITUTE(TRIM(E321),"'","''")&amp;"') AND estado = 1 LIMIT 1)"&amp;", p_id_propietario =&gt; "&amp;IF(TRIM(F321&amp;"")="","NULL","(SELECT lo.id FROM gen_lista_opciones lo JOIN gen_lista l ON l.id = lo.id_lista WHERE l.nombre = 'PropietarioBalon' AND upper(lo.nombre) = upper('"&amp;SUBSTITUTE(TRIM(F321),"'","''")&amp;"') AND lo.estado = 1 LIMIT 1)")&amp;", p_id_cliente_propietario =&gt; "&amp;IF(F321="CLIENTE",IF(TRIM(G321&amp;"")="","NULL","(SELECT id FROM cli_clientes WHERE numero_documento = '"&amp;SUBSTITUTE(TRIM(G321),"'","''")&amp;"' AND estado = 1 LIMIT 1)"),"NULL")&amp;", p_id_planta =&gt; "&amp;IF(F321="PLANTA",IF(TRIM(G321&amp;"")="","NULL","(SELECT id FROM cli_clientes WHERE numero_documento = '"&amp;SUBSTITUTE(TRIM(G321),"'","''")&amp;"'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"&amp;IF(TRIM(J321&amp;"")="","NULL","(SELECT id FROM gen_almacen WHERE upper(nombre) = upper('"&amp;SUBSTITUTE(TRIM(J321),"'","''")&amp;"') AND estado = 1 LIMIT 1)")&amp;", p_id_cliente_ubicacion =&gt; "&amp;IF(TRIM(K321&amp;"")="","NULL","(SELECT id FROM cli_clientes WHERE numero_documento = '"&amp;SUBSTITUTE(TRIM(K321),"'","''")&amp;"' AND estado = 1 LIMIT 1)")&amp;", p_id_referencia =&gt; "&amp;IF(TRIM(J321&amp;"")&lt;&gt;"","(SELECT lo.id FROM gen_lista_opciones lo JOIN gen_lista l ON l.id = lo.id_lista WHERE l.nombre = 'ReferenciaCilindro' AND upper(lo.nombre) = 'ALMACEN' AND lo.estado = 1 LIMIT 1)",IF(TRIM(K321&amp;"")&lt;&gt;"","(SELECT lo.id FROM gen_lista_opciones lo JOIN gen_lista l ON l.id = lo.id_lista WHERE l.nombre = 'ReferenciaCilindro' AND upper(lo.nombre) = 'CLIENTE' AND lo.estado = 1 LIMIT 1)","NULL"))&amp;", p_anio_fabricacion =&gt; "&amp;IF(M321&amp;""="","NULL::smallint",M321&amp;"::smallint")&amp;", p_mes_fabricacion =&gt; "&amp;IF(N321&amp;""="","NULL::smallint",N321&amp;"::smallint")&amp;", p_fecha_ultima_prueba_hidrostatica =&gt; "&amp;IF(O321&amp;""="","NULL","'"&amp;YEAR(O321)&amp;"-"&amp;TEXT(MONTH(O321),"00")&amp;"-"&amp;TEXT(DAY(O321),"00")&amp;"'")&amp;", p_numero_serie =&gt; "&amp;IF(TRIM(Q321&amp;"")="","NULL","'"&amp;SUBSTITUTE(TRIM(Q321),"'","''")&amp;"'")&amp;", p_id_marca_cilindro =&gt; "&amp;IF(TRIM(R321&amp;"")="","NULL","(SELECT lo.id FROM gen_lista_opciones lo JOIN gen_lista l ON l.id = lo.id_lista WHERE l.nombre = 'MarcaCilindro' AND upper(lo.nombre) = upper('"&amp;SUBSTITUTE(TRIM(R321),"'","''")&amp;"') AND lo.estado = 1 LIMIT 1)")&amp;", p_id_organo_inspector =&gt; "&amp;IF(TRIM(S321&amp;"")="","NULL","(SELECT lo.id FROM gen_lista_opciones lo JOIN gen_lista l ON l.id = lo.id_lista WHERE l.nombre = 'OrganoInspectorCilindro' AND upper(lo.nombre) = upper('"&amp;SUBSTITUTE(TRIM(S321),"'","''")&amp;"') AND lo.estado = 1 LIMIT 1)")&amp;", p_organo_inspector_no_aplica =&gt; "&amp;IF(S321="NO_APLICA","TRUE","FALSE")&amp;", p_presion_actual =&gt; "&amp;IF(T321&amp;""="","NULL",SUBSTITUTE(T321&amp;"",",","."))&amp;", p_tipo_valvula =&gt; "&amp;IF(TRIM(U321&amp;"")="","NULL","'"&amp;SUBSTITUTE(TRIM(U321),"'","''")&amp;"'")&amp;", p_libro_cilindro =&gt; "&amp;IF(TRIM(V321&amp;"")="","NULL","'"&amp;SUBSTITUTE(TRIM(V321),"'","''")&amp;"'")&amp;", p_pagina_libro =&gt; "&amp;IF(W321&amp;""="","NULL",SUBSTITUTE(W321&amp;"",",","."))&amp;", p_observacion =&gt; "&amp;IF(TRIM(X321&amp;"")="","NULL","'"&amp;SUBSTITUTE(TRIM(X321),"'","''")&amp;"'")&amp;") AS resultado_balon_"&amp;ROW()&amp;";")</f>
        <v/>
      </c>
    </row>
    <row r="322" ht="15.75" customHeight="1" s="64">
      <c r="A322" s="36" t="inlineStr">
        <is>
          <t>318</t>
        </is>
      </c>
      <c r="B322" s="25">
        <f>IF(AND(C322="",D322="",E322=""),"",IF(C322="","FALTA código balón",IF(D322="","FALTA tipo balón",IF(E322="","FALTA gas",IF(F322="","FALTA propietario",IF(AND(C322&lt;&gt;"",SUMPRODUCT(--($C$5:$C$1200=C322))&gt;1),"CÓDIGO BALÓN DUPLICADO",IF(AND(OR(UPPER(F322)="PLANTA",UPPER(F322)="CLIENTE"),G322=""),"FALTA doc propietario/planta",IF(AND(UPPER(F322)="PLANTA",G322="10175332796"),"PLANTA no puede ser RUC empresa","OK"))))))))</f>
        <v/>
      </c>
      <c r="C322" s="23" t="inlineStr">
        <is>
          <t>K2020272</t>
        </is>
      </c>
      <c r="D322" s="17" t="inlineStr">
        <is>
          <t>Oxígeno Medicinal 10 m³</t>
        </is>
      </c>
      <c r="E322" s="17" t="inlineStr">
        <is>
          <t>OXIGENO MEDICINAL</t>
        </is>
      </c>
      <c r="F322" s="17" t="inlineStr">
        <is>
          <t>EMPRESA</t>
        </is>
      </c>
      <c r="G322" s="23" t="inlineStr">
        <is>
          <t>10175332796</t>
        </is>
      </c>
      <c r="H322" s="25">
        <f t="array" ref="H322">IF(G322="","",IFERROR(IF(INDEX(Clientes!$D$5:$D$549,MATCH(G322,Clientes!$C$5:$C$549,0))&lt;&gt;"",INDEX(Clientes!$D$5:$D$549,MATCH(G322,Clientes!$C$5:$C$549,0)),TRIM(INDEX(Clientes!$E$5:$E$549,MATCH(G322,Clientes!$C$5:$C$549,0))&amp;" "&amp;INDEX(Clientes!$F$5:$F$549,MATCH(G322,Clientes!$C$5:$C$549,0)))),"NO EXISTE en Clientes"))</f>
        <v/>
      </c>
      <c r="I322" s="17" t="inlineStr">
        <is>
          <t>DISPONIBLE</t>
        </is>
      </c>
      <c r="J322" s="17" t="inlineStr">
        <is>
          <t>ALMACEN PRINCIPAL</t>
        </is>
      </c>
      <c r="K322" s="23" t="n"/>
      <c r="L322" s="25">
        <f t="array" ref="L322">IF(K322="","",IFERROR(IF(INDEX(Clientes!$D$5:$D$549,MATCH(K322,Clientes!$C$5:$C$549,0))&lt;&gt;"",INDEX(Clientes!$D$5:$D$549,MATCH(K322,Clientes!$C$5:$C$549,0)),TRIM(INDEX(Clientes!$E$5:$E$549,MATCH(K322,Clientes!$C$5:$C$549,0))&amp;" "&amp;INDEX(Clientes!$F$5:$F$549,MATCH(K322,Clientes!$C$5:$C$549,0)))),"NO EXISTE en Clientes"))</f>
        <v/>
      </c>
      <c r="M322" s="17" t="n"/>
      <c r="N322" s="17" t="n"/>
      <c r="O322" s="42" t="n"/>
      <c r="P322" s="39">
        <f>IF(O322&lt;&gt;"",DATE(YEAR(O322)+5,MONTH(O322),1),IF(AND(M322&lt;&gt;"",N322&lt;&gt;""),DATE(M322+5,N322,1),""))</f>
        <v/>
      </c>
      <c r="Q322" s="23" t="n"/>
      <c r="R322" s="17" t="n"/>
      <c r="S322" s="17" t="n"/>
      <c r="T322" s="17" t="n"/>
      <c r="U322" s="17" t="n"/>
      <c r="V322" s="23" t="n"/>
      <c r="W322" s="17" t="n"/>
      <c r="X322" s="17" t="n"/>
      <c r="Y322" s="28">
        <f>IF(B322&lt;&gt;"OK","","SELECT bal_crear_balon(p_codigo_balon =&gt; "&amp;IF(TRIM(C322&amp;"")="","NULL","'"&amp;SUBSTITUTE(TRIM(C322),"'","''")&amp;"'")&amp;", p_id_tipo_balon =&gt; "&amp;"(SELECT id FROM bal_tipo_balon WHERE upper(nombre) = upper('"&amp;SUBSTITUTE(TRIM(D322),"'","''")&amp;"') AND estado = 1 LIMIT 1)"&amp;", p_id_producto_gas =&gt; "&amp;"(SELECT id FROM pro_producto WHERE es_gas = TRUE AND upper(nombre) = upper('"&amp;SUBSTITUTE(TRIM(E322),"'","''")&amp;"') AND estado = 1 LIMIT 1)"&amp;", p_id_propietario =&gt; "&amp;IF(TRIM(F322&amp;"")="","NULL","(SELECT lo.id FROM gen_lista_opciones lo JOIN gen_lista l ON l.id = lo.id_lista WHERE l.nombre = 'PropietarioBalon' AND upper(lo.nombre) = upper('"&amp;SUBSTITUTE(TRIM(F322),"'","''")&amp;"') AND lo.estado = 1 LIMIT 1)")&amp;", p_id_cliente_propietario =&gt; "&amp;IF(F322="CLIENTE",IF(TRIM(G322&amp;"")="","NULL","(SELECT id FROM cli_clientes WHERE numero_documento = '"&amp;SUBSTITUTE(TRIM(G322),"'","''")&amp;"' AND estado = 1 LIMIT 1)"),"NULL")&amp;", p_id_planta =&gt; "&amp;IF(F322="PLANTA",IF(TRIM(G322&amp;"")="","NULL","(SELECT id FROM cli_clientes WHERE numero_documento = '"&amp;SUBSTITUTE(TRIM(G322),"'","''")&amp;"'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"&amp;IF(TRIM(J322&amp;"")="","NULL","(SELECT id FROM gen_almacen WHERE upper(nombre) = upper('"&amp;SUBSTITUTE(TRIM(J322),"'","''")&amp;"') AND estado = 1 LIMIT 1)")&amp;", p_id_cliente_ubicacion =&gt; "&amp;IF(TRIM(K322&amp;"")="","NULL","(SELECT id FROM cli_clientes WHERE numero_documento = '"&amp;SUBSTITUTE(TRIM(K322),"'","''")&amp;"' AND estado = 1 LIMIT 1)")&amp;", p_id_referencia =&gt; "&amp;IF(TRIM(J322&amp;"")&lt;&gt;"","(SELECT lo.id FROM gen_lista_opciones lo JOIN gen_lista l ON l.id = lo.id_lista WHERE l.nombre = 'ReferenciaCilindro' AND upper(lo.nombre) = 'ALMACEN' AND lo.estado = 1 LIMIT 1)",IF(TRIM(K322&amp;"")&lt;&gt;"","(SELECT lo.id FROM gen_lista_opciones lo JOIN gen_lista l ON l.id = lo.id_lista WHERE l.nombre = 'ReferenciaCilindro' AND upper(lo.nombre) = 'CLIENTE' AND lo.estado = 1 LIMIT 1)","NULL"))&amp;", p_anio_fabricacion =&gt; "&amp;IF(M322&amp;""="","NULL::smallint",M322&amp;"::smallint")&amp;", p_mes_fabricacion =&gt; "&amp;IF(N322&amp;""="","NULL::smallint",N322&amp;"::smallint")&amp;", p_fecha_ultima_prueba_hidrostatica =&gt; "&amp;IF(O322&amp;""="","NULL","'"&amp;YEAR(O322)&amp;"-"&amp;TEXT(MONTH(O322),"00")&amp;"-"&amp;TEXT(DAY(O322),"00")&amp;"'")&amp;", p_numero_serie =&gt; "&amp;IF(TRIM(Q322&amp;"")="","NULL","'"&amp;SUBSTITUTE(TRIM(Q322),"'","''")&amp;"'")&amp;", p_id_marca_cilindro =&gt; "&amp;IF(TRIM(R322&amp;"")="","NULL","(SELECT lo.id FROM gen_lista_opciones lo JOIN gen_lista l ON l.id = lo.id_lista WHERE l.nombre = 'MarcaCilindro' AND upper(lo.nombre) = upper('"&amp;SUBSTITUTE(TRIM(R322),"'","''")&amp;"') AND lo.estado = 1 LIMIT 1)")&amp;", p_id_organo_inspector =&gt; "&amp;IF(TRIM(S322&amp;"")="","NULL","(SELECT lo.id FROM gen_lista_opciones lo JOIN gen_lista l ON l.id = lo.id_lista WHERE l.nombre = 'OrganoInspectorCilindro' AND upper(lo.nombre) = upper('"&amp;SUBSTITUTE(TRIM(S322),"'","''")&amp;"') AND lo.estado = 1 LIMIT 1)")&amp;", p_organo_inspector_no_aplica =&gt; "&amp;IF(S322="NO_APLICA","TRUE","FALSE")&amp;", p_presion_actual =&gt; "&amp;IF(T322&amp;""="","NULL",SUBSTITUTE(T322&amp;"",",","."))&amp;", p_tipo_valvula =&gt; "&amp;IF(TRIM(U322&amp;"")="","NULL","'"&amp;SUBSTITUTE(TRIM(U322),"'","''")&amp;"'")&amp;", p_libro_cilindro =&gt; "&amp;IF(TRIM(V322&amp;"")="","NULL","'"&amp;SUBSTITUTE(TRIM(V322),"'","''")&amp;"'")&amp;", p_pagina_libro =&gt; "&amp;IF(W322&amp;""="","NULL",SUBSTITUTE(W322&amp;"",",","."))&amp;", p_observacion =&gt; "&amp;IF(TRIM(X322&amp;"")="","NULL","'"&amp;SUBSTITUTE(TRIM(X322),"'","''")&amp;"'")&amp;") AS resultado_balon_"&amp;ROW()&amp;";")</f>
        <v/>
      </c>
    </row>
    <row r="323" ht="15.75" customHeight="1" s="64">
      <c r="A323" s="36" t="inlineStr">
        <is>
          <t>319</t>
        </is>
      </c>
      <c r="B323" s="25">
        <f>IF(AND(C323="",D323="",E323=""),"",IF(C323="","FALTA código balón",IF(D323="","FALTA tipo balón",IF(E323="","FALTA gas",IF(F323="","FALTA propietario",IF(AND(C323&lt;&gt;"",SUMPRODUCT(--($C$5:$C$1200=C323))&gt;1),"CÓDIGO BALÓN DUPLICADO",IF(AND(OR(UPPER(F323)="PLANTA",UPPER(F323)="CLIENTE"),G323=""),"FALTA doc propietario/planta",IF(AND(UPPER(F323)="PLANTA",G323="10175332796"),"PLANTA no puede ser RUC empresa","OK"))))))))</f>
        <v/>
      </c>
      <c r="C323" s="23" t="inlineStr">
        <is>
          <t>303213 (M850112)</t>
        </is>
      </c>
      <c r="D323" s="17" t="inlineStr">
        <is>
          <t>Oxígeno Medicinal 10 m³</t>
        </is>
      </c>
      <c r="E323" s="17" t="inlineStr">
        <is>
          <t>OXIGENO MEDICINAL</t>
        </is>
      </c>
      <c r="F323" s="17" t="inlineStr">
        <is>
          <t>EMPRESA</t>
        </is>
      </c>
      <c r="G323" s="23" t="inlineStr">
        <is>
          <t>10175332796</t>
        </is>
      </c>
      <c r="H323" s="25">
        <f t="array" ref="H323">IF(G323="","",IFERROR(IF(INDEX(Clientes!$D$5:$D$549,MATCH(G323,Clientes!$C$5:$C$549,0))&lt;&gt;"",INDEX(Clientes!$D$5:$D$549,MATCH(G323,Clientes!$C$5:$C$549,0)),TRIM(INDEX(Clientes!$E$5:$E$549,MATCH(G323,Clientes!$C$5:$C$549,0))&amp;" "&amp;INDEX(Clientes!$F$5:$F$549,MATCH(G323,Clientes!$C$5:$C$549,0)))),"NO EXISTE en Clientes"))</f>
        <v/>
      </c>
      <c r="I323" s="17" t="inlineStr">
        <is>
          <t>DISPONIBLE</t>
        </is>
      </c>
      <c r="J323" s="17" t="inlineStr">
        <is>
          <t>ALMACEN PRINCIPAL</t>
        </is>
      </c>
      <c r="K323" s="23" t="n"/>
      <c r="L323" s="25">
        <f t="array" ref="L323">IF(K323="","",IFERROR(IF(INDEX(Clientes!$D$5:$D$549,MATCH(K323,Clientes!$C$5:$C$549,0))&lt;&gt;"",INDEX(Clientes!$D$5:$D$549,MATCH(K323,Clientes!$C$5:$C$549,0)),TRIM(INDEX(Clientes!$E$5:$E$549,MATCH(K323,Clientes!$C$5:$C$549,0))&amp;" "&amp;INDEX(Clientes!$F$5:$F$549,MATCH(K323,Clientes!$C$5:$C$549,0)))),"NO EXISTE en Clientes"))</f>
        <v/>
      </c>
      <c r="M323" s="17" t="n"/>
      <c r="N323" s="17" t="n"/>
      <c r="O323" s="42" t="n"/>
      <c r="P323" s="39">
        <f>IF(O323&lt;&gt;"",DATE(YEAR(O323)+5,MONTH(O323),1),IF(AND(M323&lt;&gt;"",N323&lt;&gt;""),DATE(M323+5,N323,1),""))</f>
        <v/>
      </c>
      <c r="Q323" s="23" t="n"/>
      <c r="R323" s="17" t="n"/>
      <c r="S323" s="17" t="n"/>
      <c r="T323" s="17" t="n"/>
      <c r="U323" s="17" t="n"/>
      <c r="V323" s="23" t="n"/>
      <c r="W323" s="17" t="n"/>
      <c r="X323" s="17" t="n"/>
      <c r="Y323" s="28">
        <f>IF(B323&lt;&gt;"OK","","SELECT bal_crear_balon(p_codigo_balon =&gt; "&amp;IF(TRIM(C323&amp;"")="","NULL","'"&amp;SUBSTITUTE(TRIM(C323),"'","''")&amp;"'")&amp;", p_id_tipo_balon =&gt; "&amp;"(SELECT id FROM bal_tipo_balon WHERE upper(nombre) = upper('"&amp;SUBSTITUTE(TRIM(D323),"'","''")&amp;"') AND estado = 1 LIMIT 1)"&amp;", p_id_producto_gas =&gt; "&amp;"(SELECT id FROM pro_producto WHERE es_gas = TRUE AND upper(nombre) = upper('"&amp;SUBSTITUTE(TRIM(E323),"'","''")&amp;"') AND estado = 1 LIMIT 1)"&amp;", p_id_propietario =&gt; "&amp;IF(TRIM(F323&amp;"")="","NULL","(SELECT lo.id FROM gen_lista_opciones lo JOIN gen_lista l ON l.id = lo.id_lista WHERE l.nombre = 'PropietarioBalon' AND upper(lo.nombre) = upper('"&amp;SUBSTITUTE(TRIM(F323),"'","''")&amp;"') AND lo.estado = 1 LIMIT 1)")&amp;", p_id_cliente_propietario =&gt; "&amp;IF(F323="CLIENTE",IF(TRIM(G323&amp;"")="","NULL","(SELECT id FROM cli_clientes WHERE numero_documento = '"&amp;SUBSTITUTE(TRIM(G323),"'","''")&amp;"' AND estado = 1 LIMIT 1)"),"NULL")&amp;", p_id_planta =&gt; "&amp;IF(F323="PLANTA",IF(TRIM(G323&amp;"")="","NULL","(SELECT id FROM cli_clientes WHERE numero_documento = '"&amp;SUBSTITUTE(TRIM(G323),"'","''")&amp;"'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"&amp;IF(TRIM(J323&amp;"")="","NULL","(SELECT id FROM gen_almacen WHERE upper(nombre) = upper('"&amp;SUBSTITUTE(TRIM(J323),"'","''")&amp;"') AND estado = 1 LIMIT 1)")&amp;", p_id_cliente_ubicacion =&gt; "&amp;IF(TRIM(K323&amp;"")="","NULL","(SELECT id FROM cli_clientes WHERE numero_documento = '"&amp;SUBSTITUTE(TRIM(K323),"'","''")&amp;"' AND estado = 1 LIMIT 1)")&amp;", p_id_referencia =&gt; "&amp;IF(TRIM(J323&amp;"")&lt;&gt;"","(SELECT lo.id FROM gen_lista_opciones lo JOIN gen_lista l ON l.id = lo.id_lista WHERE l.nombre = 'ReferenciaCilindro' AND upper(lo.nombre) = 'ALMACEN' AND lo.estado = 1 LIMIT 1)",IF(TRIM(K323&amp;"")&lt;&gt;"","(SELECT lo.id FROM gen_lista_opciones lo JOIN gen_lista l ON l.id = lo.id_lista WHERE l.nombre = 'ReferenciaCilindro' AND upper(lo.nombre) = 'CLIENTE' AND lo.estado = 1 LIMIT 1)","NULL"))&amp;", p_anio_fabricacion =&gt; "&amp;IF(M323&amp;""="","NULL::smallint",M323&amp;"::smallint")&amp;", p_mes_fabricacion =&gt; "&amp;IF(N323&amp;""="","NULL::smallint",N323&amp;"::smallint")&amp;", p_fecha_ultima_prueba_hidrostatica =&gt; "&amp;IF(O323&amp;""="","NULL","'"&amp;YEAR(O323)&amp;"-"&amp;TEXT(MONTH(O323),"00")&amp;"-"&amp;TEXT(DAY(O323),"00")&amp;"'")&amp;", p_numero_serie =&gt; "&amp;IF(TRIM(Q323&amp;"")="","NULL","'"&amp;SUBSTITUTE(TRIM(Q323),"'","''")&amp;"'")&amp;", p_id_marca_cilindro =&gt; "&amp;IF(TRIM(R323&amp;"")="","NULL","(SELECT lo.id FROM gen_lista_opciones lo JOIN gen_lista l ON l.id = lo.id_lista WHERE l.nombre = 'MarcaCilindro' AND upper(lo.nombre) = upper('"&amp;SUBSTITUTE(TRIM(R323),"'","''")&amp;"') AND lo.estado = 1 LIMIT 1)")&amp;", p_id_organo_inspector =&gt; "&amp;IF(TRIM(S323&amp;"")="","NULL","(SELECT lo.id FROM gen_lista_opciones lo JOIN gen_lista l ON l.id = lo.id_lista WHERE l.nombre = 'OrganoInspectorCilindro' AND upper(lo.nombre) = upper('"&amp;SUBSTITUTE(TRIM(S323),"'","''")&amp;"') AND lo.estado = 1 LIMIT 1)")&amp;", p_organo_inspector_no_aplica =&gt; "&amp;IF(S323="NO_APLICA","TRUE","FALSE")&amp;", p_presion_actual =&gt; "&amp;IF(T323&amp;""="","NULL",SUBSTITUTE(T323&amp;"",",","."))&amp;", p_tipo_valvula =&gt; "&amp;IF(TRIM(U323&amp;"")="","NULL","'"&amp;SUBSTITUTE(TRIM(U323),"'","''")&amp;"'")&amp;", p_libro_cilindro =&gt; "&amp;IF(TRIM(V323&amp;"")="","NULL","'"&amp;SUBSTITUTE(TRIM(V323),"'","''")&amp;"'")&amp;", p_pagina_libro =&gt; "&amp;IF(W323&amp;""="","NULL",SUBSTITUTE(W323&amp;"",",","."))&amp;", p_observacion =&gt; "&amp;IF(TRIM(X323&amp;"")="","NULL","'"&amp;SUBSTITUTE(TRIM(X323),"'","''")&amp;"'")&amp;") AS resultado_balon_"&amp;ROW()&amp;";")</f>
        <v/>
      </c>
    </row>
    <row r="324" ht="15.75" customHeight="1" s="64">
      <c r="A324" s="36" t="inlineStr">
        <is>
          <t>320</t>
        </is>
      </c>
      <c r="B324" s="25">
        <f>IF(AND(C324="",D324="",E324=""),"",IF(C324="","FALTA código balón",IF(D324="","FALTA tipo balón",IF(E324="","FALTA gas",IF(F324="","FALTA propietario",IF(AND(C324&lt;&gt;"",SUMPRODUCT(--($C$5:$C$1200=C324))&gt;1),"CÓDIGO BALÓN DUPLICADO",IF(AND(OR(UPPER(F324)="PLANTA",UPPER(F324)="CLIENTE"),G324=""),"FALTA doc propietario/planta",IF(AND(UPPER(F324)="PLANTA",G324="10175332796"),"PLANTA no puede ser RUC empresa","OK"))))))))</f>
        <v/>
      </c>
      <c r="C324" s="23" t="inlineStr">
        <is>
          <t>K5378169</t>
        </is>
      </c>
      <c r="D324" s="17" t="inlineStr">
        <is>
          <t>Oxígeno Medicinal 10 m³</t>
        </is>
      </c>
      <c r="E324" s="17" t="inlineStr">
        <is>
          <t>OXIGENO MEDICINAL</t>
        </is>
      </c>
      <c r="F324" s="17" t="inlineStr">
        <is>
          <t>EMPRESA</t>
        </is>
      </c>
      <c r="G324" s="23" t="inlineStr">
        <is>
          <t>10175332796</t>
        </is>
      </c>
      <c r="H324" s="25">
        <f t="array" ref="H324">IF(G324="","",IFERROR(IF(INDEX(Clientes!$D$5:$D$549,MATCH(G324,Clientes!$C$5:$C$549,0))&lt;&gt;"",INDEX(Clientes!$D$5:$D$549,MATCH(G324,Clientes!$C$5:$C$549,0)),TRIM(INDEX(Clientes!$E$5:$E$549,MATCH(G324,Clientes!$C$5:$C$549,0))&amp;" "&amp;INDEX(Clientes!$F$5:$F$549,MATCH(G324,Clientes!$C$5:$C$549,0)))),"NO EXISTE en Clientes"))</f>
        <v/>
      </c>
      <c r="I324" s="17" t="inlineStr">
        <is>
          <t>DISPONIBLE</t>
        </is>
      </c>
      <c r="J324" s="17" t="inlineStr">
        <is>
          <t>ALMACEN PRINCIPAL</t>
        </is>
      </c>
      <c r="K324" s="23" t="n"/>
      <c r="L324" s="25">
        <f t="array" ref="L324">IF(K324="","",IFERROR(IF(INDEX(Clientes!$D$5:$D$549,MATCH(K324,Clientes!$C$5:$C$549,0))&lt;&gt;"",INDEX(Clientes!$D$5:$D$549,MATCH(K324,Clientes!$C$5:$C$549,0)),TRIM(INDEX(Clientes!$E$5:$E$549,MATCH(K324,Clientes!$C$5:$C$549,0))&amp;" "&amp;INDEX(Clientes!$F$5:$F$549,MATCH(K324,Clientes!$C$5:$C$549,0)))),"NO EXISTE en Clientes"))</f>
        <v/>
      </c>
      <c r="M324" s="17" t="n"/>
      <c r="N324" s="17" t="n"/>
      <c r="O324" s="42" t="n"/>
      <c r="P324" s="39">
        <f>IF(O324&lt;&gt;"",DATE(YEAR(O324)+5,MONTH(O324),1),IF(AND(M324&lt;&gt;"",N324&lt;&gt;""),DATE(M324+5,N324,1),""))</f>
        <v/>
      </c>
      <c r="Q324" s="23" t="n"/>
      <c r="R324" s="17" t="n"/>
      <c r="S324" s="17" t="n"/>
      <c r="T324" s="17" t="n"/>
      <c r="U324" s="17" t="n"/>
      <c r="V324" s="23" t="n"/>
      <c r="W324" s="17" t="n"/>
      <c r="X324" s="17" t="n"/>
      <c r="Y324" s="28">
        <f>IF(B324&lt;&gt;"OK","","SELECT bal_crear_balon(p_codigo_balon =&gt; "&amp;IF(TRIM(C324&amp;"")="","NULL","'"&amp;SUBSTITUTE(TRIM(C324),"'","''")&amp;"'")&amp;", p_id_tipo_balon =&gt; "&amp;"(SELECT id FROM bal_tipo_balon WHERE upper(nombre) = upper('"&amp;SUBSTITUTE(TRIM(D324),"'","''")&amp;"') AND estado = 1 LIMIT 1)"&amp;", p_id_producto_gas =&gt; "&amp;"(SELECT id FROM pro_producto WHERE es_gas = TRUE AND upper(nombre) = upper('"&amp;SUBSTITUTE(TRIM(E324),"'","''")&amp;"') AND estado = 1 LIMIT 1)"&amp;", p_id_propietario =&gt; "&amp;IF(TRIM(F324&amp;"")="","NULL","(SELECT lo.id FROM gen_lista_opciones lo JOIN gen_lista l ON l.id = lo.id_lista WHERE l.nombre = 'PropietarioBalon' AND upper(lo.nombre) = upper('"&amp;SUBSTITUTE(TRIM(F324),"'","''")&amp;"') AND lo.estado = 1 LIMIT 1)")&amp;", p_id_cliente_propietario =&gt; "&amp;IF(F324="CLIENTE",IF(TRIM(G324&amp;"")="","NULL","(SELECT id FROM cli_clientes WHERE numero_documento = '"&amp;SUBSTITUTE(TRIM(G324),"'","''")&amp;"' AND estado = 1 LIMIT 1)"),"NULL")&amp;", p_id_planta =&gt; "&amp;IF(F324="PLANTA",IF(TRIM(G324&amp;"")="","NULL","(SELECT id FROM cli_clientes WHERE numero_documento = '"&amp;SUBSTITUTE(TRIM(G324),"'","''")&amp;"'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"&amp;IF(TRIM(J324&amp;"")="","NULL","(SELECT id FROM gen_almacen WHERE upper(nombre) = upper('"&amp;SUBSTITUTE(TRIM(J324),"'","''")&amp;"') AND estado = 1 LIMIT 1)")&amp;", p_id_cliente_ubicacion =&gt; "&amp;IF(TRIM(K324&amp;"")="","NULL","(SELECT id FROM cli_clientes WHERE numero_documento = '"&amp;SUBSTITUTE(TRIM(K324),"'","''")&amp;"' AND estado = 1 LIMIT 1)")&amp;", p_id_referencia =&gt; "&amp;IF(TRIM(J324&amp;"")&lt;&gt;"","(SELECT lo.id FROM gen_lista_opciones lo JOIN gen_lista l ON l.id = lo.id_lista WHERE l.nombre = 'ReferenciaCilindro' AND upper(lo.nombre) = 'ALMACEN' AND lo.estado = 1 LIMIT 1)",IF(TRIM(K324&amp;"")&lt;&gt;"","(SELECT lo.id FROM gen_lista_opciones lo JOIN gen_lista l ON l.id = lo.id_lista WHERE l.nombre = 'ReferenciaCilindro' AND upper(lo.nombre) = 'CLIENTE' AND lo.estado = 1 LIMIT 1)","NULL"))&amp;", p_anio_fabricacion =&gt; "&amp;IF(M324&amp;""="","NULL::smallint",M324&amp;"::smallint")&amp;", p_mes_fabricacion =&gt; "&amp;IF(N324&amp;""="","NULL::smallint",N324&amp;"::smallint")&amp;", p_fecha_ultima_prueba_hidrostatica =&gt; "&amp;IF(O324&amp;""="","NULL","'"&amp;YEAR(O324)&amp;"-"&amp;TEXT(MONTH(O324),"00")&amp;"-"&amp;TEXT(DAY(O324),"00")&amp;"'")&amp;", p_numero_serie =&gt; "&amp;IF(TRIM(Q324&amp;"")="","NULL","'"&amp;SUBSTITUTE(TRIM(Q324),"'","''")&amp;"'")&amp;", p_id_marca_cilindro =&gt; "&amp;IF(TRIM(R324&amp;"")="","NULL","(SELECT lo.id FROM gen_lista_opciones lo JOIN gen_lista l ON l.id = lo.id_lista WHERE l.nombre = 'MarcaCilindro' AND upper(lo.nombre) = upper('"&amp;SUBSTITUTE(TRIM(R324),"'","''")&amp;"') AND lo.estado = 1 LIMIT 1)")&amp;", p_id_organo_inspector =&gt; "&amp;IF(TRIM(S324&amp;"")="","NULL","(SELECT lo.id FROM gen_lista_opciones lo JOIN gen_lista l ON l.id = lo.id_lista WHERE l.nombre = 'OrganoInspectorCilindro' AND upper(lo.nombre) = upper('"&amp;SUBSTITUTE(TRIM(S324),"'","''")&amp;"') AND lo.estado = 1 LIMIT 1)")&amp;", p_organo_inspector_no_aplica =&gt; "&amp;IF(S324="NO_APLICA","TRUE","FALSE")&amp;", p_presion_actual =&gt; "&amp;IF(T324&amp;""="","NULL",SUBSTITUTE(T324&amp;"",",","."))&amp;", p_tipo_valvula =&gt; "&amp;IF(TRIM(U324&amp;"")="","NULL","'"&amp;SUBSTITUTE(TRIM(U324),"'","''")&amp;"'")&amp;", p_libro_cilindro =&gt; "&amp;IF(TRIM(V324&amp;"")="","NULL","'"&amp;SUBSTITUTE(TRIM(V324),"'","''")&amp;"'")&amp;", p_pagina_libro =&gt; "&amp;IF(W324&amp;""="","NULL",SUBSTITUTE(W324&amp;"",",","."))&amp;", p_observacion =&gt; "&amp;IF(TRIM(X324&amp;"")="","NULL","'"&amp;SUBSTITUTE(TRIM(X324),"'","''")&amp;"'")&amp;") AS resultado_balon_"&amp;ROW()&amp;";")</f>
        <v/>
      </c>
    </row>
    <row r="325" ht="15.75" customHeight="1" s="64">
      <c r="A325" s="36" t="inlineStr">
        <is>
          <t>321</t>
        </is>
      </c>
      <c r="B325" s="25">
        <f>IF(AND(C325="",D325="",E325=""),"",IF(C325="","FALTA código balón",IF(D325="","FALTA tipo balón",IF(E325="","FALTA gas",IF(F325="","FALTA propietario",IF(AND(C325&lt;&gt;"",SUMPRODUCT(--($C$5:$C$1200=C325))&gt;1),"CÓDIGO BALÓN DUPLICADO",IF(AND(OR(UPPER(F325)="PLANTA",UPPER(F325)="CLIENTE"),G325=""),"FALTA doc propietario/planta",IF(AND(UPPER(F325)="PLANTA",G325="10175332796"),"PLANTA no puede ser RUC empresa","OK"))))))))</f>
        <v/>
      </c>
      <c r="C325" s="23" t="inlineStr">
        <is>
          <t>K4852090</t>
        </is>
      </c>
      <c r="D325" s="17" t="inlineStr">
        <is>
          <t>Oxígeno Medicinal 10 m³</t>
        </is>
      </c>
      <c r="E325" s="17" t="inlineStr">
        <is>
          <t>OXIGENO MEDICINAL</t>
        </is>
      </c>
      <c r="F325" s="17" t="inlineStr">
        <is>
          <t>EMPRESA</t>
        </is>
      </c>
      <c r="G325" s="23" t="inlineStr">
        <is>
          <t>10175332796</t>
        </is>
      </c>
      <c r="H325" s="25">
        <f t="array" ref="H325">IF(G325="","",IFERROR(IF(INDEX(Clientes!$D$5:$D$549,MATCH(G325,Clientes!$C$5:$C$549,0))&lt;&gt;"",INDEX(Clientes!$D$5:$D$549,MATCH(G325,Clientes!$C$5:$C$549,0)),TRIM(INDEX(Clientes!$E$5:$E$549,MATCH(G325,Clientes!$C$5:$C$549,0))&amp;" "&amp;INDEX(Clientes!$F$5:$F$549,MATCH(G325,Clientes!$C$5:$C$549,0)))),"NO EXISTE en Clientes"))</f>
        <v/>
      </c>
      <c r="I325" s="17" t="inlineStr">
        <is>
          <t>DISPONIBLE</t>
        </is>
      </c>
      <c r="J325" s="17" t="inlineStr">
        <is>
          <t>ALMACEN PRINCIPAL</t>
        </is>
      </c>
      <c r="K325" s="23" t="n"/>
      <c r="L325" s="25">
        <f t="array" ref="L325">IF(K325="","",IFERROR(IF(INDEX(Clientes!$D$5:$D$549,MATCH(K325,Clientes!$C$5:$C$549,0))&lt;&gt;"",INDEX(Clientes!$D$5:$D$549,MATCH(K325,Clientes!$C$5:$C$549,0)),TRIM(INDEX(Clientes!$E$5:$E$549,MATCH(K325,Clientes!$C$5:$C$549,0))&amp;" "&amp;INDEX(Clientes!$F$5:$F$549,MATCH(K325,Clientes!$C$5:$C$549,0)))),"NO EXISTE en Clientes"))</f>
        <v/>
      </c>
      <c r="M325" s="17" t="n"/>
      <c r="N325" s="17" t="n"/>
      <c r="O325" s="42" t="n"/>
      <c r="P325" s="39">
        <f>IF(O325&lt;&gt;"",DATE(YEAR(O325)+5,MONTH(O325),1),IF(AND(M325&lt;&gt;"",N325&lt;&gt;""),DATE(M325+5,N325,1),""))</f>
        <v/>
      </c>
      <c r="Q325" s="23" t="n"/>
      <c r="R325" s="17" t="n"/>
      <c r="S325" s="17" t="n"/>
      <c r="T325" s="17" t="n"/>
      <c r="U325" s="17" t="n"/>
      <c r="V325" s="23" t="n"/>
      <c r="W325" s="17" t="n"/>
      <c r="X325" s="17" t="n"/>
      <c r="Y325" s="28">
        <f>IF(B325&lt;&gt;"OK","","SELECT bal_crear_balon(p_codigo_balon =&gt; "&amp;IF(TRIM(C325&amp;"")="","NULL","'"&amp;SUBSTITUTE(TRIM(C325),"'","''")&amp;"'")&amp;", p_id_tipo_balon =&gt; "&amp;"(SELECT id FROM bal_tipo_balon WHERE upper(nombre) = upper('"&amp;SUBSTITUTE(TRIM(D325),"'","''")&amp;"') AND estado = 1 LIMIT 1)"&amp;", p_id_producto_gas =&gt; "&amp;"(SELECT id FROM pro_producto WHERE es_gas = TRUE AND upper(nombre) = upper('"&amp;SUBSTITUTE(TRIM(E325),"'","''")&amp;"') AND estado = 1 LIMIT 1)"&amp;", p_id_propietario =&gt; "&amp;IF(TRIM(F325&amp;"")="","NULL","(SELECT lo.id FROM gen_lista_opciones lo JOIN gen_lista l ON l.id = lo.id_lista WHERE l.nombre = 'PropietarioBalon' AND upper(lo.nombre) = upper('"&amp;SUBSTITUTE(TRIM(F325),"'","''")&amp;"') AND lo.estado = 1 LIMIT 1)")&amp;", p_id_cliente_propietario =&gt; "&amp;IF(F325="CLIENTE",IF(TRIM(G325&amp;"")="","NULL","(SELECT id FROM cli_clientes WHERE numero_documento = '"&amp;SUBSTITUTE(TRIM(G325),"'","''")&amp;"' AND estado = 1 LIMIT 1)"),"NULL")&amp;", p_id_planta =&gt; "&amp;IF(F325="PLANTA",IF(TRIM(G325&amp;"")="","NULL","(SELECT id FROM cli_clientes WHERE numero_documento = '"&amp;SUBSTITUTE(TRIM(G325),"'","''")&amp;"'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"&amp;IF(TRIM(J325&amp;"")="","NULL","(SELECT id FROM gen_almacen WHERE upper(nombre) = upper('"&amp;SUBSTITUTE(TRIM(J325),"'","''")&amp;"') AND estado = 1 LIMIT 1)")&amp;", p_id_cliente_ubicacion =&gt; "&amp;IF(TRIM(K325&amp;"")="","NULL","(SELECT id FROM cli_clientes WHERE numero_documento = '"&amp;SUBSTITUTE(TRIM(K325),"'","''")&amp;"' AND estado = 1 LIMIT 1)")&amp;", p_id_referencia =&gt; "&amp;IF(TRIM(J325&amp;"")&lt;&gt;"","(SELECT lo.id FROM gen_lista_opciones lo JOIN gen_lista l ON l.id = lo.id_lista WHERE l.nombre = 'ReferenciaCilindro' AND upper(lo.nombre) = 'ALMACEN' AND lo.estado = 1 LIMIT 1)",IF(TRIM(K325&amp;"")&lt;&gt;"","(SELECT lo.id FROM gen_lista_opciones lo JOIN gen_lista l ON l.id = lo.id_lista WHERE l.nombre = 'ReferenciaCilindro' AND upper(lo.nombre) = 'CLIENTE' AND lo.estado = 1 LIMIT 1)","NULL"))&amp;", p_anio_fabricacion =&gt; "&amp;IF(M325&amp;""="","NULL::smallint",M325&amp;"::smallint")&amp;", p_mes_fabricacion =&gt; "&amp;IF(N325&amp;""="","NULL::smallint",N325&amp;"::smallint")&amp;", p_fecha_ultima_prueba_hidrostatica =&gt; "&amp;IF(O325&amp;""="","NULL","'"&amp;YEAR(O325)&amp;"-"&amp;TEXT(MONTH(O325),"00")&amp;"-"&amp;TEXT(DAY(O325),"00")&amp;"'")&amp;", p_numero_serie =&gt; "&amp;IF(TRIM(Q325&amp;"")="","NULL","'"&amp;SUBSTITUTE(TRIM(Q325),"'","''")&amp;"'")&amp;", p_id_marca_cilindro =&gt; "&amp;IF(TRIM(R325&amp;"")="","NULL","(SELECT lo.id FROM gen_lista_opciones lo JOIN gen_lista l ON l.id = lo.id_lista WHERE l.nombre = 'MarcaCilindro' AND upper(lo.nombre) = upper('"&amp;SUBSTITUTE(TRIM(R325),"'","''")&amp;"') AND lo.estado = 1 LIMIT 1)")&amp;", p_id_organo_inspector =&gt; "&amp;IF(TRIM(S325&amp;"")="","NULL","(SELECT lo.id FROM gen_lista_opciones lo JOIN gen_lista l ON l.id = lo.id_lista WHERE l.nombre = 'OrganoInspectorCilindro' AND upper(lo.nombre) = upper('"&amp;SUBSTITUTE(TRIM(S325),"'","''")&amp;"') AND lo.estado = 1 LIMIT 1)")&amp;", p_organo_inspector_no_aplica =&gt; "&amp;IF(S325="NO_APLICA","TRUE","FALSE")&amp;", p_presion_actual =&gt; "&amp;IF(T325&amp;""="","NULL",SUBSTITUTE(T325&amp;"",",","."))&amp;", p_tipo_valvula =&gt; "&amp;IF(TRIM(U325&amp;"")="","NULL","'"&amp;SUBSTITUTE(TRIM(U325),"'","''")&amp;"'")&amp;", p_libro_cilindro =&gt; "&amp;IF(TRIM(V325&amp;"")="","NULL","'"&amp;SUBSTITUTE(TRIM(V325),"'","''")&amp;"'")&amp;", p_pagina_libro =&gt; "&amp;IF(W325&amp;""="","NULL",SUBSTITUTE(W325&amp;"",",","."))&amp;", p_observacion =&gt; "&amp;IF(TRIM(X325&amp;"")="","NULL","'"&amp;SUBSTITUTE(TRIM(X325),"'","''")&amp;"'")&amp;") AS resultado_balon_"&amp;ROW()&amp;";")</f>
        <v/>
      </c>
    </row>
    <row r="326" ht="15.75" customHeight="1" s="64">
      <c r="A326" s="36" t="inlineStr">
        <is>
          <t>322</t>
        </is>
      </c>
      <c r="B326" s="25">
        <f>IF(AND(C326="",D326="",E326=""),"",IF(C326="","FALTA código balón",IF(D326="","FALTA tipo balón",IF(E326="","FALTA gas",IF(F326="","FALTA propietario",IF(AND(C326&lt;&gt;"",SUMPRODUCT(--($C$5:$C$1200=C326))&gt;1),"CÓDIGO BALÓN DUPLICADO",IF(AND(OR(UPPER(F326)="PLANTA",UPPER(F326)="CLIENTE"),G326=""),"FALTA doc propietario/planta",IF(AND(UPPER(F326)="PLANTA",G326="10175332796"),"PLANTA no puede ser RUC empresa","OK"))))))))</f>
        <v/>
      </c>
      <c r="C326" s="23" t="inlineStr">
        <is>
          <t>K5606096</t>
        </is>
      </c>
      <c r="D326" s="17" t="inlineStr">
        <is>
          <t>Oxígeno Medicinal 10 m³</t>
        </is>
      </c>
      <c r="E326" s="17" t="inlineStr">
        <is>
          <t>OXIGENO MEDICINAL</t>
        </is>
      </c>
      <c r="F326" s="17" t="inlineStr">
        <is>
          <t>EMPRESA</t>
        </is>
      </c>
      <c r="G326" s="23" t="inlineStr">
        <is>
          <t>10175332796</t>
        </is>
      </c>
      <c r="H326" s="25">
        <f t="array" ref="H326">IF(G326="","",IFERROR(IF(INDEX(Clientes!$D$5:$D$549,MATCH(G326,Clientes!$C$5:$C$549,0))&lt;&gt;"",INDEX(Clientes!$D$5:$D$549,MATCH(G326,Clientes!$C$5:$C$549,0)),TRIM(INDEX(Clientes!$E$5:$E$549,MATCH(G326,Clientes!$C$5:$C$549,0))&amp;" "&amp;INDEX(Clientes!$F$5:$F$549,MATCH(G326,Clientes!$C$5:$C$549,0)))),"NO EXISTE en Clientes"))</f>
        <v/>
      </c>
      <c r="I326" s="17" t="inlineStr">
        <is>
          <t>DISPONIBLE</t>
        </is>
      </c>
      <c r="J326" s="17" t="inlineStr">
        <is>
          <t>ALMACEN PRINCIPAL</t>
        </is>
      </c>
      <c r="K326" s="23" t="n"/>
      <c r="L326" s="25">
        <f t="array" ref="L326">IF(K326="","",IFERROR(IF(INDEX(Clientes!$D$5:$D$549,MATCH(K326,Clientes!$C$5:$C$549,0))&lt;&gt;"",INDEX(Clientes!$D$5:$D$549,MATCH(K326,Clientes!$C$5:$C$549,0)),TRIM(INDEX(Clientes!$E$5:$E$549,MATCH(K326,Clientes!$C$5:$C$549,0))&amp;" "&amp;INDEX(Clientes!$F$5:$F$549,MATCH(K326,Clientes!$C$5:$C$549,0)))),"NO EXISTE en Clientes"))</f>
        <v/>
      </c>
      <c r="M326" s="17" t="n"/>
      <c r="N326" s="17" t="n"/>
      <c r="O326" s="42" t="n"/>
      <c r="P326" s="39">
        <f>IF(O326&lt;&gt;"",DATE(YEAR(O326)+5,MONTH(O326),1),IF(AND(M326&lt;&gt;"",N326&lt;&gt;""),DATE(M326+5,N326,1),""))</f>
        <v/>
      </c>
      <c r="Q326" s="23" t="n"/>
      <c r="R326" s="17" t="n"/>
      <c r="S326" s="17" t="n"/>
      <c r="T326" s="17" t="n"/>
      <c r="U326" s="17" t="n"/>
      <c r="V326" s="23" t="n"/>
      <c r="W326" s="17" t="n"/>
      <c r="X326" s="17" t="n"/>
      <c r="Y326" s="28">
        <f>IF(B326&lt;&gt;"OK","","SELECT bal_crear_balon(p_codigo_balon =&gt; "&amp;IF(TRIM(C326&amp;"")="","NULL","'"&amp;SUBSTITUTE(TRIM(C326),"'","''")&amp;"'")&amp;", p_id_tipo_balon =&gt; "&amp;"(SELECT id FROM bal_tipo_balon WHERE upper(nombre) = upper('"&amp;SUBSTITUTE(TRIM(D326),"'","''")&amp;"') AND estado = 1 LIMIT 1)"&amp;", p_id_producto_gas =&gt; "&amp;"(SELECT id FROM pro_producto WHERE es_gas = TRUE AND upper(nombre) = upper('"&amp;SUBSTITUTE(TRIM(E326),"'","''")&amp;"') AND estado = 1 LIMIT 1)"&amp;", p_id_propietario =&gt; "&amp;IF(TRIM(F326&amp;"")="","NULL","(SELECT lo.id FROM gen_lista_opciones lo JOIN gen_lista l ON l.id = lo.id_lista WHERE l.nombre = 'PropietarioBalon' AND upper(lo.nombre) = upper('"&amp;SUBSTITUTE(TRIM(F326),"'","''")&amp;"') AND lo.estado = 1 LIMIT 1)")&amp;", p_id_cliente_propietario =&gt; "&amp;IF(F326="CLIENTE",IF(TRIM(G326&amp;"")="","NULL","(SELECT id FROM cli_clientes WHERE numero_documento = '"&amp;SUBSTITUTE(TRIM(G326),"'","''")&amp;"' AND estado = 1 LIMIT 1)"),"NULL")&amp;", p_id_planta =&gt; "&amp;IF(F326="PLANTA",IF(TRIM(G326&amp;"")="","NULL","(SELECT id FROM cli_clientes WHERE numero_documento = '"&amp;SUBSTITUTE(TRIM(G326),"'","''")&amp;"'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"&amp;IF(TRIM(J326&amp;"")="","NULL","(SELECT id FROM gen_almacen WHERE upper(nombre) = upper('"&amp;SUBSTITUTE(TRIM(J326),"'","''")&amp;"') AND estado = 1 LIMIT 1)")&amp;", p_id_cliente_ubicacion =&gt; "&amp;IF(TRIM(K326&amp;"")="","NULL","(SELECT id FROM cli_clientes WHERE numero_documento = '"&amp;SUBSTITUTE(TRIM(K326),"'","''")&amp;"' AND estado = 1 LIMIT 1)")&amp;", p_id_referencia =&gt; "&amp;IF(TRIM(J326&amp;"")&lt;&gt;"","(SELECT lo.id FROM gen_lista_opciones lo JOIN gen_lista l ON l.id = lo.id_lista WHERE l.nombre = 'ReferenciaCilindro' AND upper(lo.nombre) = 'ALMACEN' AND lo.estado = 1 LIMIT 1)",IF(TRIM(K326&amp;"")&lt;&gt;"","(SELECT lo.id FROM gen_lista_opciones lo JOIN gen_lista l ON l.id = lo.id_lista WHERE l.nombre = 'ReferenciaCilindro' AND upper(lo.nombre) = 'CLIENTE' AND lo.estado = 1 LIMIT 1)","NULL"))&amp;", p_anio_fabricacion =&gt; "&amp;IF(M326&amp;""="","NULL::smallint",M326&amp;"::smallint")&amp;", p_mes_fabricacion =&gt; "&amp;IF(N326&amp;""="","NULL::smallint",N326&amp;"::smallint")&amp;", p_fecha_ultima_prueba_hidrostatica =&gt; "&amp;IF(O326&amp;""="","NULL","'"&amp;YEAR(O326)&amp;"-"&amp;TEXT(MONTH(O326),"00")&amp;"-"&amp;TEXT(DAY(O326),"00")&amp;"'")&amp;", p_numero_serie =&gt; "&amp;IF(TRIM(Q326&amp;"")="","NULL","'"&amp;SUBSTITUTE(TRIM(Q326),"'","''")&amp;"'")&amp;", p_id_marca_cilindro =&gt; "&amp;IF(TRIM(R326&amp;"")="","NULL","(SELECT lo.id FROM gen_lista_opciones lo JOIN gen_lista l ON l.id = lo.id_lista WHERE l.nombre = 'MarcaCilindro' AND upper(lo.nombre) = upper('"&amp;SUBSTITUTE(TRIM(R326),"'","''")&amp;"') AND lo.estado = 1 LIMIT 1)")&amp;", p_id_organo_inspector =&gt; "&amp;IF(TRIM(S326&amp;"")="","NULL","(SELECT lo.id FROM gen_lista_opciones lo JOIN gen_lista l ON l.id = lo.id_lista WHERE l.nombre = 'OrganoInspectorCilindro' AND upper(lo.nombre) = upper('"&amp;SUBSTITUTE(TRIM(S326),"'","''")&amp;"') AND lo.estado = 1 LIMIT 1)")&amp;", p_organo_inspector_no_aplica =&gt; "&amp;IF(S326="NO_APLICA","TRUE","FALSE")&amp;", p_presion_actual =&gt; "&amp;IF(T326&amp;""="","NULL",SUBSTITUTE(T326&amp;"",",","."))&amp;", p_tipo_valvula =&gt; "&amp;IF(TRIM(U326&amp;"")="","NULL","'"&amp;SUBSTITUTE(TRIM(U326),"'","''")&amp;"'")&amp;", p_libro_cilindro =&gt; "&amp;IF(TRIM(V326&amp;"")="","NULL","'"&amp;SUBSTITUTE(TRIM(V326),"'","''")&amp;"'")&amp;", p_pagina_libro =&gt; "&amp;IF(W326&amp;""="","NULL",SUBSTITUTE(W326&amp;"",",","."))&amp;", p_observacion =&gt; "&amp;IF(TRIM(X326&amp;"")="","NULL","'"&amp;SUBSTITUTE(TRIM(X326),"'","''")&amp;"'")&amp;") AS resultado_balon_"&amp;ROW()&amp;";")</f>
        <v/>
      </c>
    </row>
    <row r="327" ht="15.75" customHeight="1" s="64">
      <c r="A327" s="36" t="inlineStr">
        <is>
          <t>323</t>
        </is>
      </c>
      <c r="B327" s="25">
        <f>IF(AND(C327="",D327="",E327=""),"",IF(C327="","FALTA código balón",IF(D327="","FALTA tipo balón",IF(E327="","FALTA gas",IF(F327="","FALTA propietario",IF(AND(C327&lt;&gt;"",SUMPRODUCT(--($C$5:$C$1200=C327))&gt;1),"CÓDIGO BALÓN DUPLICADO",IF(AND(OR(UPPER(F327)="PLANTA",UPPER(F327)="CLIENTE"),G327=""),"FALTA doc propietario/planta",IF(AND(UPPER(F327)="PLANTA",G327="10175332796"),"PLANTA no puede ser RUC empresa","OK"))))))))</f>
        <v/>
      </c>
      <c r="C327" s="23" t="inlineStr">
        <is>
          <t>20X160062 (P22567)</t>
        </is>
      </c>
      <c r="D327" s="17" t="inlineStr">
        <is>
          <t>Oxígeno Medicinal 10 m³</t>
        </is>
      </c>
      <c r="E327" s="17" t="inlineStr">
        <is>
          <t>OXIGENO MEDICINAL</t>
        </is>
      </c>
      <c r="F327" s="17" t="inlineStr">
        <is>
          <t>EMPRESA</t>
        </is>
      </c>
      <c r="G327" s="23" t="inlineStr">
        <is>
          <t>10175332796</t>
        </is>
      </c>
      <c r="H327" s="25">
        <f t="array" ref="H327">IF(G327="","",IFERROR(IF(INDEX(Clientes!$D$5:$D$549,MATCH(G327,Clientes!$C$5:$C$549,0))&lt;&gt;"",INDEX(Clientes!$D$5:$D$549,MATCH(G327,Clientes!$C$5:$C$549,0)),TRIM(INDEX(Clientes!$E$5:$E$549,MATCH(G327,Clientes!$C$5:$C$549,0))&amp;" "&amp;INDEX(Clientes!$F$5:$F$549,MATCH(G327,Clientes!$C$5:$C$549,0)))),"NO EXISTE en Clientes"))</f>
        <v/>
      </c>
      <c r="I327" s="17" t="inlineStr">
        <is>
          <t>DISPONIBLE</t>
        </is>
      </c>
      <c r="J327" s="17" t="inlineStr">
        <is>
          <t>ALMACEN PRINCIPAL</t>
        </is>
      </c>
      <c r="K327" s="23" t="n"/>
      <c r="L327" s="25">
        <f t="array" ref="L327">IF(K327="","",IFERROR(IF(INDEX(Clientes!$D$5:$D$549,MATCH(K327,Clientes!$C$5:$C$549,0))&lt;&gt;"",INDEX(Clientes!$D$5:$D$549,MATCH(K327,Clientes!$C$5:$C$549,0)),TRIM(INDEX(Clientes!$E$5:$E$549,MATCH(K327,Clientes!$C$5:$C$549,0))&amp;" "&amp;INDEX(Clientes!$F$5:$F$549,MATCH(K327,Clientes!$C$5:$C$549,0)))),"NO EXISTE en Clientes"))</f>
        <v/>
      </c>
      <c r="M327" s="17" t="n"/>
      <c r="N327" s="17" t="n"/>
      <c r="O327" s="42" t="n"/>
      <c r="P327" s="39">
        <f>IF(O327&lt;&gt;"",DATE(YEAR(O327)+5,MONTH(O327),1),IF(AND(M327&lt;&gt;"",N327&lt;&gt;""),DATE(M327+5,N327,1),""))</f>
        <v/>
      </c>
      <c r="Q327" s="23" t="n"/>
      <c r="R327" s="17" t="n"/>
      <c r="S327" s="17" t="n"/>
      <c r="T327" s="17" t="n"/>
      <c r="U327" s="17" t="n"/>
      <c r="V327" s="23" t="n"/>
      <c r="W327" s="17" t="n"/>
      <c r="X327" s="17" t="n"/>
      <c r="Y327" s="28">
        <f>IF(B327&lt;&gt;"OK","","SELECT bal_crear_balon(p_codigo_balon =&gt; "&amp;IF(TRIM(C327&amp;"")="","NULL","'"&amp;SUBSTITUTE(TRIM(C327),"'","''")&amp;"'")&amp;", p_id_tipo_balon =&gt; "&amp;"(SELECT id FROM bal_tipo_balon WHERE upper(nombre) = upper('"&amp;SUBSTITUTE(TRIM(D327),"'","''")&amp;"') AND estado = 1 LIMIT 1)"&amp;", p_id_producto_gas =&gt; "&amp;"(SELECT id FROM pro_producto WHERE es_gas = TRUE AND upper(nombre) = upper('"&amp;SUBSTITUTE(TRIM(E327),"'","''")&amp;"') AND estado = 1 LIMIT 1)"&amp;", p_id_propietario =&gt; "&amp;IF(TRIM(F327&amp;"")="","NULL","(SELECT lo.id FROM gen_lista_opciones lo JOIN gen_lista l ON l.id = lo.id_lista WHERE l.nombre = 'PropietarioBalon' AND upper(lo.nombre) = upper('"&amp;SUBSTITUTE(TRIM(F327),"'","''")&amp;"') AND lo.estado = 1 LIMIT 1)")&amp;", p_id_cliente_propietario =&gt; "&amp;IF(F327="CLIENTE",IF(TRIM(G327&amp;"")="","NULL","(SELECT id FROM cli_clientes WHERE numero_documento = '"&amp;SUBSTITUTE(TRIM(G327),"'","''")&amp;"' AND estado = 1 LIMIT 1)"),"NULL")&amp;", p_id_planta =&gt; "&amp;IF(F327="PLANTA",IF(TRIM(G327&amp;"")="","NULL","(SELECT id FROM cli_clientes WHERE numero_documento = '"&amp;SUBSTITUTE(TRIM(G327),"'","''")&amp;"'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"&amp;IF(TRIM(J327&amp;"")="","NULL","(SELECT id FROM gen_almacen WHERE upper(nombre) = upper('"&amp;SUBSTITUTE(TRIM(J327),"'","''")&amp;"') AND estado = 1 LIMIT 1)")&amp;", p_id_cliente_ubicacion =&gt; "&amp;IF(TRIM(K327&amp;"")="","NULL","(SELECT id FROM cli_clientes WHERE numero_documento = '"&amp;SUBSTITUTE(TRIM(K327),"'","''")&amp;"' AND estado = 1 LIMIT 1)")&amp;", p_id_referencia =&gt; "&amp;IF(TRIM(J327&amp;"")&lt;&gt;"","(SELECT lo.id FROM gen_lista_opciones lo JOIN gen_lista l ON l.id = lo.id_lista WHERE l.nombre = 'ReferenciaCilindro' AND upper(lo.nombre) = 'ALMACEN' AND lo.estado = 1 LIMIT 1)",IF(TRIM(K327&amp;"")&lt;&gt;"","(SELECT lo.id FROM gen_lista_opciones lo JOIN gen_lista l ON l.id = lo.id_lista WHERE l.nombre = 'ReferenciaCilindro' AND upper(lo.nombre) = 'CLIENTE' AND lo.estado = 1 LIMIT 1)","NULL"))&amp;", p_anio_fabricacion =&gt; "&amp;IF(M327&amp;""="","NULL::smallint",M327&amp;"::smallint")&amp;", p_mes_fabricacion =&gt; "&amp;IF(N327&amp;""="","NULL::smallint",N327&amp;"::smallint")&amp;", p_fecha_ultima_prueba_hidrostatica =&gt; "&amp;IF(O327&amp;""="","NULL","'"&amp;YEAR(O327)&amp;"-"&amp;TEXT(MONTH(O327),"00")&amp;"-"&amp;TEXT(DAY(O327),"00")&amp;"'")&amp;", p_numero_serie =&gt; "&amp;IF(TRIM(Q327&amp;"")="","NULL","'"&amp;SUBSTITUTE(TRIM(Q327),"'","''")&amp;"'")&amp;", p_id_marca_cilindro =&gt; "&amp;IF(TRIM(R327&amp;"")="","NULL","(SELECT lo.id FROM gen_lista_opciones lo JOIN gen_lista l ON l.id = lo.id_lista WHERE l.nombre = 'MarcaCilindro' AND upper(lo.nombre) = upper('"&amp;SUBSTITUTE(TRIM(R327),"'","''")&amp;"') AND lo.estado = 1 LIMIT 1)")&amp;", p_id_organo_inspector =&gt; "&amp;IF(TRIM(S327&amp;"")="","NULL","(SELECT lo.id FROM gen_lista_opciones lo JOIN gen_lista l ON l.id = lo.id_lista WHERE l.nombre = 'OrganoInspectorCilindro' AND upper(lo.nombre) = upper('"&amp;SUBSTITUTE(TRIM(S327),"'","''")&amp;"') AND lo.estado = 1 LIMIT 1)")&amp;", p_organo_inspector_no_aplica =&gt; "&amp;IF(S327="NO_APLICA","TRUE","FALSE")&amp;", p_presion_actual =&gt; "&amp;IF(T327&amp;""="","NULL",SUBSTITUTE(T327&amp;"",",","."))&amp;", p_tipo_valvula =&gt; "&amp;IF(TRIM(U327&amp;"")="","NULL","'"&amp;SUBSTITUTE(TRIM(U327),"'","''")&amp;"'")&amp;", p_libro_cilindro =&gt; "&amp;IF(TRIM(V327&amp;"")="","NULL","'"&amp;SUBSTITUTE(TRIM(V327),"'","''")&amp;"'")&amp;", p_pagina_libro =&gt; "&amp;IF(W327&amp;""="","NULL",SUBSTITUTE(W327&amp;"",",","."))&amp;", p_observacion =&gt; "&amp;IF(TRIM(X327&amp;"")="","NULL","'"&amp;SUBSTITUTE(TRIM(X327),"'","''")&amp;"'")&amp;") AS resultado_balon_"&amp;ROW()&amp;";")</f>
        <v/>
      </c>
    </row>
    <row r="328" ht="15.75" customHeight="1" s="64">
      <c r="A328" s="36" t="inlineStr">
        <is>
          <t>324</t>
        </is>
      </c>
      <c r="B328" s="25">
        <f>IF(AND(C328="",D328="",E328=""),"",IF(C328="","FALTA código balón",IF(D328="","FALTA tipo balón",IF(E328="","FALTA gas",IF(F328="","FALTA propietario",IF(AND(C328&lt;&gt;"",SUMPRODUCT(--($C$5:$C$1200=C328))&gt;1),"CÓDIGO BALÓN DUPLICADO",IF(AND(OR(UPPER(F328)="PLANTA",UPPER(F328)="CLIENTE"),G328=""),"FALTA doc propietario/planta",IF(AND(UPPER(F328)="PLANTA",G328="10175332796"),"PLANTA no puede ser RUC empresa","OK"))))))))</f>
        <v/>
      </c>
      <c r="C328" s="23" t="inlineStr">
        <is>
          <t>121Y320130</t>
        </is>
      </c>
      <c r="D328" s="17" t="inlineStr">
        <is>
          <t>Oxígeno Medicinal 10 m³</t>
        </is>
      </c>
      <c r="E328" s="17" t="inlineStr">
        <is>
          <t>OXIGENO MEDICINAL</t>
        </is>
      </c>
      <c r="F328" s="17" t="inlineStr">
        <is>
          <t>EMPRESA</t>
        </is>
      </c>
      <c r="G328" s="23" t="inlineStr">
        <is>
          <t>10175332796</t>
        </is>
      </c>
      <c r="H328" s="25">
        <f t="array" ref="H328">IF(G328="","",IFERROR(IF(INDEX(Clientes!$D$5:$D$549,MATCH(G328,Clientes!$C$5:$C$549,0))&lt;&gt;"",INDEX(Clientes!$D$5:$D$549,MATCH(G328,Clientes!$C$5:$C$549,0)),TRIM(INDEX(Clientes!$E$5:$E$549,MATCH(G328,Clientes!$C$5:$C$549,0))&amp;" "&amp;INDEX(Clientes!$F$5:$F$549,MATCH(G328,Clientes!$C$5:$C$549,0)))),"NO EXISTE en Clientes"))</f>
        <v/>
      </c>
      <c r="I328" s="17" t="inlineStr">
        <is>
          <t>DISPONIBLE</t>
        </is>
      </c>
      <c r="J328" s="17" t="inlineStr">
        <is>
          <t>ALMACEN PRINCIPAL</t>
        </is>
      </c>
      <c r="K328" s="23" t="n"/>
      <c r="L328" s="25">
        <f t="array" ref="L328">IF(K328="","",IFERROR(IF(INDEX(Clientes!$D$5:$D$549,MATCH(K328,Clientes!$C$5:$C$549,0))&lt;&gt;"",INDEX(Clientes!$D$5:$D$549,MATCH(K328,Clientes!$C$5:$C$549,0)),TRIM(INDEX(Clientes!$E$5:$E$549,MATCH(K328,Clientes!$C$5:$C$549,0))&amp;" "&amp;INDEX(Clientes!$F$5:$F$549,MATCH(K328,Clientes!$C$5:$C$549,0)))),"NO EXISTE en Clientes"))</f>
        <v/>
      </c>
      <c r="M328" s="17" t="n"/>
      <c r="N328" s="17" t="n"/>
      <c r="O328" s="42" t="n"/>
      <c r="P328" s="39">
        <f>IF(O328&lt;&gt;"",DATE(YEAR(O328)+5,MONTH(O328),1),IF(AND(M328&lt;&gt;"",N328&lt;&gt;""),DATE(M328+5,N328,1),""))</f>
        <v/>
      </c>
      <c r="Q328" s="23" t="n"/>
      <c r="R328" s="17" t="n"/>
      <c r="S328" s="17" t="n"/>
      <c r="T328" s="17" t="n"/>
      <c r="U328" s="17" t="n"/>
      <c r="V328" s="23" t="n"/>
      <c r="W328" s="17" t="n"/>
      <c r="X328" s="17" t="n"/>
      <c r="Y328" s="28">
        <f>IF(B328&lt;&gt;"OK","","SELECT bal_crear_balon(p_codigo_balon =&gt; "&amp;IF(TRIM(C328&amp;"")="","NULL","'"&amp;SUBSTITUTE(TRIM(C328),"'","''")&amp;"'")&amp;", p_id_tipo_balon =&gt; "&amp;"(SELECT id FROM bal_tipo_balon WHERE upper(nombre) = upper('"&amp;SUBSTITUTE(TRIM(D328),"'","''")&amp;"') AND estado = 1 LIMIT 1)"&amp;", p_id_producto_gas =&gt; "&amp;"(SELECT id FROM pro_producto WHERE es_gas = TRUE AND upper(nombre) = upper('"&amp;SUBSTITUTE(TRIM(E328),"'","''")&amp;"') AND estado = 1 LIMIT 1)"&amp;", p_id_propietario =&gt; "&amp;IF(TRIM(F328&amp;"")="","NULL","(SELECT lo.id FROM gen_lista_opciones lo JOIN gen_lista l ON l.id = lo.id_lista WHERE l.nombre = 'PropietarioBalon' AND upper(lo.nombre) = upper('"&amp;SUBSTITUTE(TRIM(F328),"'","''")&amp;"') AND lo.estado = 1 LIMIT 1)")&amp;", p_id_cliente_propietario =&gt; "&amp;IF(F328="CLIENTE",IF(TRIM(G328&amp;"")="","NULL","(SELECT id FROM cli_clientes WHERE numero_documento = '"&amp;SUBSTITUTE(TRIM(G328),"'","''")&amp;"' AND estado = 1 LIMIT 1)"),"NULL")&amp;", p_id_planta =&gt; "&amp;IF(F328="PLANTA",IF(TRIM(G328&amp;"")="","NULL","(SELECT id FROM cli_clientes WHERE numero_documento = '"&amp;SUBSTITUTE(TRIM(G328),"'","''")&amp;"'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"&amp;IF(TRIM(J328&amp;"")="","NULL","(SELECT id FROM gen_almacen WHERE upper(nombre) = upper('"&amp;SUBSTITUTE(TRIM(J328),"'","''")&amp;"') AND estado = 1 LIMIT 1)")&amp;", p_id_cliente_ubicacion =&gt; "&amp;IF(TRIM(K328&amp;"")="","NULL","(SELECT id FROM cli_clientes WHERE numero_documento = '"&amp;SUBSTITUTE(TRIM(K328),"'","''")&amp;"' AND estado = 1 LIMIT 1)")&amp;", p_id_referencia =&gt; "&amp;IF(TRIM(J328&amp;"")&lt;&gt;"","(SELECT lo.id FROM gen_lista_opciones lo JOIN gen_lista l ON l.id = lo.id_lista WHERE l.nombre = 'ReferenciaCilindro' AND upper(lo.nombre) = 'ALMACEN' AND lo.estado = 1 LIMIT 1)",IF(TRIM(K328&amp;"")&lt;&gt;"","(SELECT lo.id FROM gen_lista_opciones lo JOIN gen_lista l ON l.id = lo.id_lista WHERE l.nombre = 'ReferenciaCilindro' AND upper(lo.nombre) = 'CLIENTE' AND lo.estado = 1 LIMIT 1)","NULL"))&amp;", p_anio_fabricacion =&gt; "&amp;IF(M328&amp;""="","NULL::smallint",M328&amp;"::smallint")&amp;", p_mes_fabricacion =&gt; "&amp;IF(N328&amp;""="","NULL::smallint",N328&amp;"::smallint")&amp;", p_fecha_ultima_prueba_hidrostatica =&gt; "&amp;IF(O328&amp;""="","NULL","'"&amp;YEAR(O328)&amp;"-"&amp;TEXT(MONTH(O328),"00")&amp;"-"&amp;TEXT(DAY(O328),"00")&amp;"'")&amp;", p_numero_serie =&gt; "&amp;IF(TRIM(Q328&amp;"")="","NULL","'"&amp;SUBSTITUTE(TRIM(Q328),"'","''")&amp;"'")&amp;", p_id_marca_cilindro =&gt; "&amp;IF(TRIM(R328&amp;"")="","NULL","(SELECT lo.id FROM gen_lista_opciones lo JOIN gen_lista l ON l.id = lo.id_lista WHERE l.nombre = 'MarcaCilindro' AND upper(lo.nombre) = upper('"&amp;SUBSTITUTE(TRIM(R328),"'","''")&amp;"') AND lo.estado = 1 LIMIT 1)")&amp;", p_id_organo_inspector =&gt; "&amp;IF(TRIM(S328&amp;"")="","NULL","(SELECT lo.id FROM gen_lista_opciones lo JOIN gen_lista l ON l.id = lo.id_lista WHERE l.nombre = 'OrganoInspectorCilindro' AND upper(lo.nombre) = upper('"&amp;SUBSTITUTE(TRIM(S328),"'","''")&amp;"') AND lo.estado = 1 LIMIT 1)")&amp;", p_organo_inspector_no_aplica =&gt; "&amp;IF(S328="NO_APLICA","TRUE","FALSE")&amp;", p_presion_actual =&gt; "&amp;IF(T328&amp;""="","NULL",SUBSTITUTE(T328&amp;"",",","."))&amp;", p_tipo_valvula =&gt; "&amp;IF(TRIM(U328&amp;"")="","NULL","'"&amp;SUBSTITUTE(TRIM(U328),"'","''")&amp;"'")&amp;", p_libro_cilindro =&gt; "&amp;IF(TRIM(V328&amp;"")="","NULL","'"&amp;SUBSTITUTE(TRIM(V328),"'","''")&amp;"'")&amp;", p_pagina_libro =&gt; "&amp;IF(W328&amp;""="","NULL",SUBSTITUTE(W328&amp;"",",","."))&amp;", p_observacion =&gt; "&amp;IF(TRIM(X328&amp;"")="","NULL","'"&amp;SUBSTITUTE(TRIM(X328),"'","''")&amp;"'")&amp;") AS resultado_balon_"&amp;ROW()&amp;";")</f>
        <v/>
      </c>
    </row>
    <row r="329" ht="15.75" customHeight="1" s="64">
      <c r="A329" s="36" t="inlineStr">
        <is>
          <t>325</t>
        </is>
      </c>
      <c r="B329" s="25">
        <f>IF(AND(C329="",D329="",E329=""),"",IF(C329="","FALTA código balón",IF(D329="","FALTA tipo balón",IF(E329="","FALTA gas",IF(F329="","FALTA propietario",IF(AND(C329&lt;&gt;"",SUMPRODUCT(--($C$5:$C$1200=C329))&gt;1),"CÓDIGO BALÓN DUPLICADO",IF(AND(OR(UPPER(F329)="PLANTA",UPPER(F329)="CLIENTE"),G329=""),"FALTA doc propietario/planta",IF(AND(UPPER(F329)="PLANTA",G329="10175332796"),"PLANTA no puede ser RUC empresa","OK"))))))))</f>
        <v/>
      </c>
      <c r="C329" s="23" t="inlineStr">
        <is>
          <t>121Y318115</t>
        </is>
      </c>
      <c r="D329" s="17" t="inlineStr">
        <is>
          <t>Oxígeno Medicinal 10 m³</t>
        </is>
      </c>
      <c r="E329" s="17" t="inlineStr">
        <is>
          <t>OXIGENO MEDICINAL</t>
        </is>
      </c>
      <c r="F329" s="17" t="inlineStr">
        <is>
          <t>EMPRESA</t>
        </is>
      </c>
      <c r="G329" s="23" t="inlineStr">
        <is>
          <t>10175332796</t>
        </is>
      </c>
      <c r="H329" s="25">
        <f t="array" ref="H329">IF(G329="","",IFERROR(IF(INDEX(Clientes!$D$5:$D$549,MATCH(G329,Clientes!$C$5:$C$549,0))&lt;&gt;"",INDEX(Clientes!$D$5:$D$549,MATCH(G329,Clientes!$C$5:$C$549,0)),TRIM(INDEX(Clientes!$E$5:$E$549,MATCH(G329,Clientes!$C$5:$C$549,0))&amp;" "&amp;INDEX(Clientes!$F$5:$F$549,MATCH(G329,Clientes!$C$5:$C$549,0)))),"NO EXISTE en Clientes"))</f>
        <v/>
      </c>
      <c r="I329" s="17" t="inlineStr">
        <is>
          <t>DISPONIBLE</t>
        </is>
      </c>
      <c r="J329" s="17" t="inlineStr">
        <is>
          <t>ALMACEN PRINCIPAL</t>
        </is>
      </c>
      <c r="K329" s="23" t="n"/>
      <c r="L329" s="25">
        <f t="array" ref="L329">IF(K329="","",IFERROR(IF(INDEX(Clientes!$D$5:$D$549,MATCH(K329,Clientes!$C$5:$C$549,0))&lt;&gt;"",INDEX(Clientes!$D$5:$D$549,MATCH(K329,Clientes!$C$5:$C$549,0)),TRIM(INDEX(Clientes!$E$5:$E$549,MATCH(K329,Clientes!$C$5:$C$549,0))&amp;" "&amp;INDEX(Clientes!$F$5:$F$549,MATCH(K329,Clientes!$C$5:$C$549,0)))),"NO EXISTE en Clientes"))</f>
        <v/>
      </c>
      <c r="M329" s="17" t="n"/>
      <c r="N329" s="17" t="n"/>
      <c r="O329" s="42" t="n"/>
      <c r="P329" s="39">
        <f>IF(O329&lt;&gt;"",DATE(YEAR(O329)+5,MONTH(O329),1),IF(AND(M329&lt;&gt;"",N329&lt;&gt;""),DATE(M329+5,N329,1),""))</f>
        <v/>
      </c>
      <c r="Q329" s="23" t="n"/>
      <c r="R329" s="17" t="n"/>
      <c r="S329" s="17" t="n"/>
      <c r="T329" s="17" t="n"/>
      <c r="U329" s="17" t="n"/>
      <c r="V329" s="23" t="n"/>
      <c r="W329" s="17" t="n"/>
      <c r="X329" s="17" t="n"/>
      <c r="Y329" s="28">
        <f>IF(B329&lt;&gt;"OK","","SELECT bal_crear_balon(p_codigo_balon =&gt; "&amp;IF(TRIM(C329&amp;"")="","NULL","'"&amp;SUBSTITUTE(TRIM(C329),"'","''")&amp;"'")&amp;", p_id_tipo_balon =&gt; "&amp;"(SELECT id FROM bal_tipo_balon WHERE upper(nombre) = upper('"&amp;SUBSTITUTE(TRIM(D329),"'","''")&amp;"') AND estado = 1 LIMIT 1)"&amp;", p_id_producto_gas =&gt; "&amp;"(SELECT id FROM pro_producto WHERE es_gas = TRUE AND upper(nombre) = upper('"&amp;SUBSTITUTE(TRIM(E329),"'","''")&amp;"') AND estado = 1 LIMIT 1)"&amp;", p_id_propietario =&gt; "&amp;IF(TRIM(F329&amp;"")="","NULL","(SELECT lo.id FROM gen_lista_opciones lo JOIN gen_lista l ON l.id = lo.id_lista WHERE l.nombre = 'PropietarioBalon' AND upper(lo.nombre) = upper('"&amp;SUBSTITUTE(TRIM(F329),"'","''")&amp;"') AND lo.estado = 1 LIMIT 1)")&amp;", p_id_cliente_propietario =&gt; "&amp;IF(F329="CLIENTE",IF(TRIM(G329&amp;"")="","NULL","(SELECT id FROM cli_clientes WHERE numero_documento = '"&amp;SUBSTITUTE(TRIM(G329),"'","''")&amp;"' AND estado = 1 LIMIT 1)"),"NULL")&amp;", p_id_planta =&gt; "&amp;IF(F329="PLANTA",IF(TRIM(G329&amp;"")="","NULL","(SELECT id FROM cli_clientes WHERE numero_documento = '"&amp;SUBSTITUTE(TRIM(G329),"'","''")&amp;"'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"&amp;IF(TRIM(J329&amp;"")="","NULL","(SELECT id FROM gen_almacen WHERE upper(nombre) = upper('"&amp;SUBSTITUTE(TRIM(J329),"'","''")&amp;"') AND estado = 1 LIMIT 1)")&amp;", p_id_cliente_ubicacion =&gt; "&amp;IF(TRIM(K329&amp;"")="","NULL","(SELECT id FROM cli_clientes WHERE numero_documento = '"&amp;SUBSTITUTE(TRIM(K329),"'","''")&amp;"' AND estado = 1 LIMIT 1)")&amp;", p_id_referencia =&gt; "&amp;IF(TRIM(J329&amp;"")&lt;&gt;"","(SELECT lo.id FROM gen_lista_opciones lo JOIN gen_lista l ON l.id = lo.id_lista WHERE l.nombre = 'ReferenciaCilindro' AND upper(lo.nombre) = 'ALMACEN' AND lo.estado = 1 LIMIT 1)",IF(TRIM(K329&amp;"")&lt;&gt;"","(SELECT lo.id FROM gen_lista_opciones lo JOIN gen_lista l ON l.id = lo.id_lista WHERE l.nombre = 'ReferenciaCilindro' AND upper(lo.nombre) = 'CLIENTE' AND lo.estado = 1 LIMIT 1)","NULL"))&amp;", p_anio_fabricacion =&gt; "&amp;IF(M329&amp;""="","NULL::smallint",M329&amp;"::smallint")&amp;", p_mes_fabricacion =&gt; "&amp;IF(N329&amp;""="","NULL::smallint",N329&amp;"::smallint")&amp;", p_fecha_ultima_prueba_hidrostatica =&gt; "&amp;IF(O329&amp;""="","NULL","'"&amp;YEAR(O329)&amp;"-"&amp;TEXT(MONTH(O329),"00")&amp;"-"&amp;TEXT(DAY(O329),"00")&amp;"'")&amp;", p_numero_serie =&gt; "&amp;IF(TRIM(Q329&amp;"")="","NULL","'"&amp;SUBSTITUTE(TRIM(Q329),"'","''")&amp;"'")&amp;", p_id_marca_cilindro =&gt; "&amp;IF(TRIM(R329&amp;"")="","NULL","(SELECT lo.id FROM gen_lista_opciones lo JOIN gen_lista l ON l.id = lo.id_lista WHERE l.nombre = 'MarcaCilindro' AND upper(lo.nombre) = upper('"&amp;SUBSTITUTE(TRIM(R329),"'","''")&amp;"') AND lo.estado = 1 LIMIT 1)")&amp;", p_id_organo_inspector =&gt; "&amp;IF(TRIM(S329&amp;"")="","NULL","(SELECT lo.id FROM gen_lista_opciones lo JOIN gen_lista l ON l.id = lo.id_lista WHERE l.nombre = 'OrganoInspectorCilindro' AND upper(lo.nombre) = upper('"&amp;SUBSTITUTE(TRIM(S329),"'","''")&amp;"') AND lo.estado = 1 LIMIT 1)")&amp;", p_organo_inspector_no_aplica =&gt; "&amp;IF(S329="NO_APLICA","TRUE","FALSE")&amp;", p_presion_actual =&gt; "&amp;IF(T329&amp;""="","NULL",SUBSTITUTE(T329&amp;"",",","."))&amp;", p_tipo_valvula =&gt; "&amp;IF(TRIM(U329&amp;"")="","NULL","'"&amp;SUBSTITUTE(TRIM(U329),"'","''")&amp;"'")&amp;", p_libro_cilindro =&gt; "&amp;IF(TRIM(V329&amp;"")="","NULL","'"&amp;SUBSTITUTE(TRIM(V329),"'","''")&amp;"'")&amp;", p_pagina_libro =&gt; "&amp;IF(W329&amp;""="","NULL",SUBSTITUTE(W329&amp;"",",","."))&amp;", p_observacion =&gt; "&amp;IF(TRIM(X329&amp;"")="","NULL","'"&amp;SUBSTITUTE(TRIM(X329),"'","''")&amp;"'")&amp;") AS resultado_balon_"&amp;ROW()&amp;";")</f>
        <v/>
      </c>
    </row>
    <row r="330" ht="15.75" customHeight="1" s="64">
      <c r="A330" s="36" t="inlineStr">
        <is>
          <t>326</t>
        </is>
      </c>
      <c r="B330" s="25">
        <f>IF(AND(C330="",D330="",E330=""),"",IF(C330="","FALTA código balón",IF(D330="","FALTA tipo balón",IF(E330="","FALTA gas",IF(F330="","FALTA propietario",IF(AND(C330&lt;&gt;"",SUMPRODUCT(--($C$5:$C$1200=C330))&gt;1),"CÓDIGO BALÓN DUPLICADO",IF(AND(OR(UPPER(F330)="PLANTA",UPPER(F330)="CLIENTE"),G330=""),"FALTA doc propietario/planta",IF(AND(UPPER(F330)="PLANTA",G330="10175332796"),"PLANTA no puede ser RUC empresa","OK"))))))))</f>
        <v/>
      </c>
      <c r="C330" s="23" t="inlineStr">
        <is>
          <t>150838</t>
        </is>
      </c>
      <c r="D330" s="17" t="inlineStr">
        <is>
          <t>Oxígeno Medicinal 10 m³</t>
        </is>
      </c>
      <c r="E330" s="17" t="inlineStr">
        <is>
          <t>OXIGENO MEDICINAL</t>
        </is>
      </c>
      <c r="F330" s="17" t="inlineStr">
        <is>
          <t>EMPRESA</t>
        </is>
      </c>
      <c r="G330" s="23" t="inlineStr">
        <is>
          <t>10175332796</t>
        </is>
      </c>
      <c r="H330" s="25">
        <f t="array" ref="H330">IF(G330="","",IFERROR(IF(INDEX(Clientes!$D$5:$D$549,MATCH(G330,Clientes!$C$5:$C$549,0))&lt;&gt;"",INDEX(Clientes!$D$5:$D$549,MATCH(G330,Clientes!$C$5:$C$549,0)),TRIM(INDEX(Clientes!$E$5:$E$549,MATCH(G330,Clientes!$C$5:$C$549,0))&amp;" "&amp;INDEX(Clientes!$F$5:$F$549,MATCH(G330,Clientes!$C$5:$C$549,0)))),"NO EXISTE en Clientes"))</f>
        <v/>
      </c>
      <c r="I330" s="17" t="inlineStr">
        <is>
          <t>DISPONIBLE</t>
        </is>
      </c>
      <c r="J330" s="17" t="inlineStr">
        <is>
          <t>ALMACEN PRINCIPAL</t>
        </is>
      </c>
      <c r="K330" s="23" t="n"/>
      <c r="L330" s="25">
        <f t="array" ref="L330">IF(K330="","",IFERROR(IF(INDEX(Clientes!$D$5:$D$549,MATCH(K330,Clientes!$C$5:$C$549,0))&lt;&gt;"",INDEX(Clientes!$D$5:$D$549,MATCH(K330,Clientes!$C$5:$C$549,0)),TRIM(INDEX(Clientes!$E$5:$E$549,MATCH(K330,Clientes!$C$5:$C$549,0))&amp;" "&amp;INDEX(Clientes!$F$5:$F$549,MATCH(K330,Clientes!$C$5:$C$549,0)))),"NO EXISTE en Clientes"))</f>
        <v/>
      </c>
      <c r="M330" s="17" t="n"/>
      <c r="N330" s="17" t="n"/>
      <c r="O330" s="42" t="n"/>
      <c r="P330" s="39">
        <f>IF(O330&lt;&gt;"",DATE(YEAR(O330)+5,MONTH(O330),1),IF(AND(M330&lt;&gt;"",N330&lt;&gt;""),DATE(M330+5,N330,1),""))</f>
        <v/>
      </c>
      <c r="Q330" s="23" t="n"/>
      <c r="R330" s="17" t="n"/>
      <c r="S330" s="17" t="n"/>
      <c r="T330" s="17" t="n"/>
      <c r="U330" s="17" t="n"/>
      <c r="V330" s="23" t="n"/>
      <c r="W330" s="17" t="n"/>
      <c r="X330" s="17" t="n"/>
      <c r="Y330" s="28">
        <f>IF(B330&lt;&gt;"OK","","SELECT bal_crear_balon(p_codigo_balon =&gt; "&amp;IF(TRIM(C330&amp;"")="","NULL","'"&amp;SUBSTITUTE(TRIM(C330),"'","''")&amp;"'")&amp;", p_id_tipo_balon =&gt; "&amp;"(SELECT id FROM bal_tipo_balon WHERE upper(nombre) = upper('"&amp;SUBSTITUTE(TRIM(D330),"'","''")&amp;"') AND estado = 1 LIMIT 1)"&amp;", p_id_producto_gas =&gt; "&amp;"(SELECT id FROM pro_producto WHERE es_gas = TRUE AND upper(nombre) = upper('"&amp;SUBSTITUTE(TRIM(E330),"'","''")&amp;"') AND estado = 1 LIMIT 1)"&amp;", p_id_propietario =&gt; "&amp;IF(TRIM(F330&amp;"")="","NULL","(SELECT lo.id FROM gen_lista_opciones lo JOIN gen_lista l ON l.id = lo.id_lista WHERE l.nombre = 'PropietarioBalon' AND upper(lo.nombre) = upper('"&amp;SUBSTITUTE(TRIM(F330),"'","''")&amp;"') AND lo.estado = 1 LIMIT 1)")&amp;", p_id_cliente_propietario =&gt; "&amp;IF(F330="CLIENTE",IF(TRIM(G330&amp;"")="","NULL","(SELECT id FROM cli_clientes WHERE numero_documento = '"&amp;SUBSTITUTE(TRIM(G330),"'","''")&amp;"' AND estado = 1 LIMIT 1)"),"NULL")&amp;", p_id_planta =&gt; "&amp;IF(F330="PLANTA",IF(TRIM(G330&amp;"")="","NULL","(SELECT id FROM cli_clientes WHERE numero_documento = '"&amp;SUBSTITUTE(TRIM(G330),"'","''")&amp;"'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"&amp;IF(TRIM(J330&amp;"")="","NULL","(SELECT id FROM gen_almacen WHERE upper(nombre) = upper('"&amp;SUBSTITUTE(TRIM(J330),"'","''")&amp;"') AND estado = 1 LIMIT 1)")&amp;", p_id_cliente_ubicacion =&gt; "&amp;IF(TRIM(K330&amp;"")="","NULL","(SELECT id FROM cli_clientes WHERE numero_documento = '"&amp;SUBSTITUTE(TRIM(K330),"'","''")&amp;"' AND estado = 1 LIMIT 1)")&amp;", p_id_referencia =&gt; "&amp;IF(TRIM(J330&amp;"")&lt;&gt;"","(SELECT lo.id FROM gen_lista_opciones lo JOIN gen_lista l ON l.id = lo.id_lista WHERE l.nombre = 'ReferenciaCilindro' AND upper(lo.nombre) = 'ALMACEN' AND lo.estado = 1 LIMIT 1)",IF(TRIM(K330&amp;"")&lt;&gt;"","(SELECT lo.id FROM gen_lista_opciones lo JOIN gen_lista l ON l.id = lo.id_lista WHERE l.nombre = 'ReferenciaCilindro' AND upper(lo.nombre) = 'CLIENTE' AND lo.estado = 1 LIMIT 1)","NULL"))&amp;", p_anio_fabricacion =&gt; "&amp;IF(M330&amp;""="","NULL::smallint",M330&amp;"::smallint")&amp;", p_mes_fabricacion =&gt; "&amp;IF(N330&amp;""="","NULL::smallint",N330&amp;"::smallint")&amp;", p_fecha_ultima_prueba_hidrostatica =&gt; "&amp;IF(O330&amp;""="","NULL","'"&amp;YEAR(O330)&amp;"-"&amp;TEXT(MONTH(O330),"00")&amp;"-"&amp;TEXT(DAY(O330),"00")&amp;"'")&amp;", p_numero_serie =&gt; "&amp;IF(TRIM(Q330&amp;"")="","NULL","'"&amp;SUBSTITUTE(TRIM(Q330),"'","''")&amp;"'")&amp;", p_id_marca_cilindro =&gt; "&amp;IF(TRIM(R330&amp;"")="","NULL","(SELECT lo.id FROM gen_lista_opciones lo JOIN gen_lista l ON l.id = lo.id_lista WHERE l.nombre = 'MarcaCilindro' AND upper(lo.nombre) = upper('"&amp;SUBSTITUTE(TRIM(R330),"'","''")&amp;"') AND lo.estado = 1 LIMIT 1)")&amp;", p_id_organo_inspector =&gt; "&amp;IF(TRIM(S330&amp;"")="","NULL","(SELECT lo.id FROM gen_lista_opciones lo JOIN gen_lista l ON l.id = lo.id_lista WHERE l.nombre = 'OrganoInspectorCilindro' AND upper(lo.nombre) = upper('"&amp;SUBSTITUTE(TRIM(S330),"'","''")&amp;"') AND lo.estado = 1 LIMIT 1)")&amp;", p_organo_inspector_no_aplica =&gt; "&amp;IF(S330="NO_APLICA","TRUE","FALSE")&amp;", p_presion_actual =&gt; "&amp;IF(T330&amp;""="","NULL",SUBSTITUTE(T330&amp;"",",","."))&amp;", p_tipo_valvula =&gt; "&amp;IF(TRIM(U330&amp;"")="","NULL","'"&amp;SUBSTITUTE(TRIM(U330),"'","''")&amp;"'")&amp;", p_libro_cilindro =&gt; "&amp;IF(TRIM(V330&amp;"")="","NULL","'"&amp;SUBSTITUTE(TRIM(V330),"'","''")&amp;"'")&amp;", p_pagina_libro =&gt; "&amp;IF(W330&amp;""="","NULL",SUBSTITUTE(W330&amp;"",",","."))&amp;", p_observacion =&gt; "&amp;IF(TRIM(X330&amp;"")="","NULL","'"&amp;SUBSTITUTE(TRIM(X330),"'","''")&amp;"'")&amp;") AS resultado_balon_"&amp;ROW()&amp;";")</f>
        <v/>
      </c>
    </row>
    <row r="331" ht="15.75" customHeight="1" s="64">
      <c r="A331" s="36" t="inlineStr">
        <is>
          <t>327</t>
        </is>
      </c>
      <c r="B331" s="25">
        <f>IF(AND(C331="",D331="",E331=""),"",IF(C331="","FALTA código balón",IF(D331="","FALTA tipo balón",IF(E331="","FALTA gas",IF(F331="","FALTA propietario",IF(AND(C331&lt;&gt;"",SUMPRODUCT(--($C$5:$C$1200=C331))&gt;1),"CÓDIGO BALÓN DUPLICADO",IF(AND(OR(UPPER(F331)="PLANTA",UPPER(F331)="CLIENTE"),G331=""),"FALTA doc propietario/planta",IF(AND(UPPER(F331)="PLANTA",G331="10175332796"),"PLANTA no puede ser RUC empresa","OK"))))))))</f>
        <v/>
      </c>
      <c r="C331" s="23" t="inlineStr">
        <is>
          <t>K4867013</t>
        </is>
      </c>
      <c r="D331" s="17" t="inlineStr">
        <is>
          <t>Oxígeno Medicinal 10 m³</t>
        </is>
      </c>
      <c r="E331" s="17" t="inlineStr">
        <is>
          <t>OXIGENO MEDICINAL</t>
        </is>
      </c>
      <c r="F331" s="17" t="inlineStr">
        <is>
          <t>EMPRESA</t>
        </is>
      </c>
      <c r="G331" s="23" t="inlineStr">
        <is>
          <t>10175332796</t>
        </is>
      </c>
      <c r="H331" s="25">
        <f t="array" ref="H331">IF(G331="","",IFERROR(IF(INDEX(Clientes!$D$5:$D$549,MATCH(G331,Clientes!$C$5:$C$549,0))&lt;&gt;"",INDEX(Clientes!$D$5:$D$549,MATCH(G331,Clientes!$C$5:$C$549,0)),TRIM(INDEX(Clientes!$E$5:$E$549,MATCH(G331,Clientes!$C$5:$C$549,0))&amp;" "&amp;INDEX(Clientes!$F$5:$F$549,MATCH(G331,Clientes!$C$5:$C$549,0)))),"NO EXISTE en Clientes"))</f>
        <v/>
      </c>
      <c r="I331" s="17" t="inlineStr">
        <is>
          <t>DISPONIBLE</t>
        </is>
      </c>
      <c r="J331" s="17" t="inlineStr">
        <is>
          <t>ALMACEN PRINCIPAL</t>
        </is>
      </c>
      <c r="K331" s="23" t="n"/>
      <c r="L331" s="25">
        <f t="array" ref="L331">IF(K331="","",IFERROR(IF(INDEX(Clientes!$D$5:$D$549,MATCH(K331,Clientes!$C$5:$C$549,0))&lt;&gt;"",INDEX(Clientes!$D$5:$D$549,MATCH(K331,Clientes!$C$5:$C$549,0)),TRIM(INDEX(Clientes!$E$5:$E$549,MATCH(K331,Clientes!$C$5:$C$549,0))&amp;" "&amp;INDEX(Clientes!$F$5:$F$549,MATCH(K331,Clientes!$C$5:$C$549,0)))),"NO EXISTE en Clientes"))</f>
        <v/>
      </c>
      <c r="M331" s="17" t="n"/>
      <c r="N331" s="17" t="n"/>
      <c r="O331" s="42" t="n"/>
      <c r="P331" s="39">
        <f>IF(O331&lt;&gt;"",DATE(YEAR(O331)+5,MONTH(O331),1),IF(AND(M331&lt;&gt;"",N331&lt;&gt;""),DATE(M331+5,N331,1),""))</f>
        <v/>
      </c>
      <c r="Q331" s="23" t="n"/>
      <c r="R331" s="17" t="n"/>
      <c r="S331" s="17" t="n"/>
      <c r="T331" s="17" t="n"/>
      <c r="U331" s="17" t="n"/>
      <c r="V331" s="23" t="n"/>
      <c r="W331" s="17" t="n"/>
      <c r="X331" s="17" t="n"/>
      <c r="Y331" s="28">
        <f>IF(B331&lt;&gt;"OK","","SELECT bal_crear_balon(p_codigo_balon =&gt; "&amp;IF(TRIM(C331&amp;"")="","NULL","'"&amp;SUBSTITUTE(TRIM(C331),"'","''")&amp;"'")&amp;", p_id_tipo_balon =&gt; "&amp;"(SELECT id FROM bal_tipo_balon WHERE upper(nombre) = upper('"&amp;SUBSTITUTE(TRIM(D331),"'","''")&amp;"') AND estado = 1 LIMIT 1)"&amp;", p_id_producto_gas =&gt; "&amp;"(SELECT id FROM pro_producto WHERE es_gas = TRUE AND upper(nombre) = upper('"&amp;SUBSTITUTE(TRIM(E331),"'","''")&amp;"') AND estado = 1 LIMIT 1)"&amp;", p_id_propietario =&gt; "&amp;IF(TRIM(F331&amp;"")="","NULL","(SELECT lo.id FROM gen_lista_opciones lo JOIN gen_lista l ON l.id = lo.id_lista WHERE l.nombre = 'PropietarioBalon' AND upper(lo.nombre) = upper('"&amp;SUBSTITUTE(TRIM(F331),"'","''")&amp;"') AND lo.estado = 1 LIMIT 1)")&amp;", p_id_cliente_propietario =&gt; "&amp;IF(F331="CLIENTE",IF(TRIM(G331&amp;"")="","NULL","(SELECT id FROM cli_clientes WHERE numero_documento = '"&amp;SUBSTITUTE(TRIM(G331),"'","''")&amp;"' AND estado = 1 LIMIT 1)"),"NULL")&amp;", p_id_planta =&gt; "&amp;IF(F331="PLANTA",IF(TRIM(G331&amp;"")="","NULL","(SELECT id FROM cli_clientes WHERE numero_documento = '"&amp;SUBSTITUTE(TRIM(G331),"'","''")&amp;"'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"&amp;IF(TRIM(J331&amp;"")="","NULL","(SELECT id FROM gen_almacen WHERE upper(nombre) = upper('"&amp;SUBSTITUTE(TRIM(J331),"'","''")&amp;"') AND estado = 1 LIMIT 1)")&amp;", p_id_cliente_ubicacion =&gt; "&amp;IF(TRIM(K331&amp;"")="","NULL","(SELECT id FROM cli_clientes WHERE numero_documento = '"&amp;SUBSTITUTE(TRIM(K331),"'","''")&amp;"' AND estado = 1 LIMIT 1)")&amp;", p_id_referencia =&gt; "&amp;IF(TRIM(J331&amp;"")&lt;&gt;"","(SELECT lo.id FROM gen_lista_opciones lo JOIN gen_lista l ON l.id = lo.id_lista WHERE l.nombre = 'ReferenciaCilindro' AND upper(lo.nombre) = 'ALMACEN' AND lo.estado = 1 LIMIT 1)",IF(TRIM(K331&amp;"")&lt;&gt;"","(SELECT lo.id FROM gen_lista_opciones lo JOIN gen_lista l ON l.id = lo.id_lista WHERE l.nombre = 'ReferenciaCilindro' AND upper(lo.nombre) = 'CLIENTE' AND lo.estado = 1 LIMIT 1)","NULL"))&amp;", p_anio_fabricacion =&gt; "&amp;IF(M331&amp;""="","NULL::smallint",M331&amp;"::smallint")&amp;", p_mes_fabricacion =&gt; "&amp;IF(N331&amp;""="","NULL::smallint",N331&amp;"::smallint")&amp;", p_fecha_ultima_prueba_hidrostatica =&gt; "&amp;IF(O331&amp;""="","NULL","'"&amp;YEAR(O331)&amp;"-"&amp;TEXT(MONTH(O331),"00")&amp;"-"&amp;TEXT(DAY(O331),"00")&amp;"'")&amp;", p_numero_serie =&gt; "&amp;IF(TRIM(Q331&amp;"")="","NULL","'"&amp;SUBSTITUTE(TRIM(Q331),"'","''")&amp;"'")&amp;", p_id_marca_cilindro =&gt; "&amp;IF(TRIM(R331&amp;"")="","NULL","(SELECT lo.id FROM gen_lista_opciones lo JOIN gen_lista l ON l.id = lo.id_lista WHERE l.nombre = 'MarcaCilindro' AND upper(lo.nombre) = upper('"&amp;SUBSTITUTE(TRIM(R331),"'","''")&amp;"') AND lo.estado = 1 LIMIT 1)")&amp;", p_id_organo_inspector =&gt; "&amp;IF(TRIM(S331&amp;"")="","NULL","(SELECT lo.id FROM gen_lista_opciones lo JOIN gen_lista l ON l.id = lo.id_lista WHERE l.nombre = 'OrganoInspectorCilindro' AND upper(lo.nombre) = upper('"&amp;SUBSTITUTE(TRIM(S331),"'","''")&amp;"') AND lo.estado = 1 LIMIT 1)")&amp;", p_organo_inspector_no_aplica =&gt; "&amp;IF(S331="NO_APLICA","TRUE","FALSE")&amp;", p_presion_actual =&gt; "&amp;IF(T331&amp;""="","NULL",SUBSTITUTE(T331&amp;"",",","."))&amp;", p_tipo_valvula =&gt; "&amp;IF(TRIM(U331&amp;"")="","NULL","'"&amp;SUBSTITUTE(TRIM(U331),"'","''")&amp;"'")&amp;", p_libro_cilindro =&gt; "&amp;IF(TRIM(V331&amp;"")="","NULL","'"&amp;SUBSTITUTE(TRIM(V331),"'","''")&amp;"'")&amp;", p_pagina_libro =&gt; "&amp;IF(W331&amp;""="","NULL",SUBSTITUTE(W331&amp;"",",","."))&amp;", p_observacion =&gt; "&amp;IF(TRIM(X331&amp;"")="","NULL","'"&amp;SUBSTITUTE(TRIM(X331),"'","''")&amp;"'")&amp;") AS resultado_balon_"&amp;ROW()&amp;";")</f>
        <v/>
      </c>
    </row>
    <row r="332" ht="15.75" customHeight="1" s="64">
      <c r="A332" s="36" t="inlineStr">
        <is>
          <t>328</t>
        </is>
      </c>
      <c r="B332" s="25">
        <f>IF(AND(C332="",D332="",E332=""),"",IF(C332="","FALTA código balón",IF(D332="","FALTA tipo balón",IF(E332="","FALTA gas",IF(F332="","FALTA propietario",IF(AND(C332&lt;&gt;"",SUMPRODUCT(--($C$5:$C$1200=C332))&gt;1),"CÓDIGO BALÓN DUPLICADO",IF(AND(OR(UPPER(F332)="PLANTA",UPPER(F332)="CLIENTE"),G332=""),"FALTA doc propietario/planta",IF(AND(UPPER(F332)="PLANTA",G332="10175332796"),"PLANTA no puede ser RUC empresa","OK"))))))))</f>
        <v/>
      </c>
      <c r="C332" s="23" t="inlineStr">
        <is>
          <t>K4852042</t>
        </is>
      </c>
      <c r="D332" s="17" t="inlineStr">
        <is>
          <t>Oxígeno Medicinal 10 m³</t>
        </is>
      </c>
      <c r="E332" s="17" t="inlineStr">
        <is>
          <t>OXIGENO MEDICINAL</t>
        </is>
      </c>
      <c r="F332" s="17" t="inlineStr">
        <is>
          <t>EMPRESA</t>
        </is>
      </c>
      <c r="G332" s="23" t="inlineStr">
        <is>
          <t>10175332796</t>
        </is>
      </c>
      <c r="H332" s="25">
        <f t="array" ref="H332">IF(G332="","",IFERROR(IF(INDEX(Clientes!$D$5:$D$549,MATCH(G332,Clientes!$C$5:$C$549,0))&lt;&gt;"",INDEX(Clientes!$D$5:$D$549,MATCH(G332,Clientes!$C$5:$C$549,0)),TRIM(INDEX(Clientes!$E$5:$E$549,MATCH(G332,Clientes!$C$5:$C$549,0))&amp;" "&amp;INDEX(Clientes!$F$5:$F$549,MATCH(G332,Clientes!$C$5:$C$549,0)))),"NO EXISTE en Clientes"))</f>
        <v/>
      </c>
      <c r="I332" s="17" t="inlineStr">
        <is>
          <t>DISPONIBLE</t>
        </is>
      </c>
      <c r="J332" s="17" t="inlineStr">
        <is>
          <t>ALMACEN PRINCIPAL</t>
        </is>
      </c>
      <c r="K332" s="23" t="n"/>
      <c r="L332" s="25">
        <f t="array" ref="L332">IF(K332="","",IFERROR(IF(INDEX(Clientes!$D$5:$D$549,MATCH(K332,Clientes!$C$5:$C$549,0))&lt;&gt;"",INDEX(Clientes!$D$5:$D$549,MATCH(K332,Clientes!$C$5:$C$549,0)),TRIM(INDEX(Clientes!$E$5:$E$549,MATCH(K332,Clientes!$C$5:$C$549,0))&amp;" "&amp;INDEX(Clientes!$F$5:$F$549,MATCH(K332,Clientes!$C$5:$C$549,0)))),"NO EXISTE en Clientes"))</f>
        <v/>
      </c>
      <c r="M332" s="17" t="n"/>
      <c r="N332" s="17" t="n"/>
      <c r="O332" s="42" t="n"/>
      <c r="P332" s="39">
        <f>IF(O332&lt;&gt;"",DATE(YEAR(O332)+5,MONTH(O332),1),IF(AND(M332&lt;&gt;"",N332&lt;&gt;""),DATE(M332+5,N332,1),""))</f>
        <v/>
      </c>
      <c r="Q332" s="23" t="n"/>
      <c r="R332" s="17" t="n"/>
      <c r="S332" s="17" t="n"/>
      <c r="T332" s="17" t="n"/>
      <c r="U332" s="17" t="n"/>
      <c r="V332" s="23" t="n"/>
      <c r="W332" s="17" t="n"/>
      <c r="X332" s="17" t="n"/>
      <c r="Y332" s="28">
        <f>IF(B332&lt;&gt;"OK","","SELECT bal_crear_balon(p_codigo_balon =&gt; "&amp;IF(TRIM(C332&amp;"")="","NULL","'"&amp;SUBSTITUTE(TRIM(C332),"'","''")&amp;"'")&amp;", p_id_tipo_balon =&gt; "&amp;"(SELECT id FROM bal_tipo_balon WHERE upper(nombre) = upper('"&amp;SUBSTITUTE(TRIM(D332),"'","''")&amp;"') AND estado = 1 LIMIT 1)"&amp;", p_id_producto_gas =&gt; "&amp;"(SELECT id FROM pro_producto WHERE es_gas = TRUE AND upper(nombre) = upper('"&amp;SUBSTITUTE(TRIM(E332),"'","''")&amp;"') AND estado = 1 LIMIT 1)"&amp;", p_id_propietario =&gt; "&amp;IF(TRIM(F332&amp;"")="","NULL","(SELECT lo.id FROM gen_lista_opciones lo JOIN gen_lista l ON l.id = lo.id_lista WHERE l.nombre = 'PropietarioBalon' AND upper(lo.nombre) = upper('"&amp;SUBSTITUTE(TRIM(F332),"'","''")&amp;"') AND lo.estado = 1 LIMIT 1)")&amp;", p_id_cliente_propietario =&gt; "&amp;IF(F332="CLIENTE",IF(TRIM(G332&amp;"")="","NULL","(SELECT id FROM cli_clientes WHERE numero_documento = '"&amp;SUBSTITUTE(TRIM(G332),"'","''")&amp;"' AND estado = 1 LIMIT 1)"),"NULL")&amp;", p_id_planta =&gt; "&amp;IF(F332="PLANTA",IF(TRIM(G332&amp;"")="","NULL","(SELECT id FROM cli_clientes WHERE numero_documento = '"&amp;SUBSTITUTE(TRIM(G332),"'","''")&amp;"'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"&amp;IF(TRIM(J332&amp;"")="","NULL","(SELECT id FROM gen_almacen WHERE upper(nombre) = upper('"&amp;SUBSTITUTE(TRIM(J332),"'","''")&amp;"') AND estado = 1 LIMIT 1)")&amp;", p_id_cliente_ubicacion =&gt; "&amp;IF(TRIM(K332&amp;"")="","NULL","(SELECT id FROM cli_clientes WHERE numero_documento = '"&amp;SUBSTITUTE(TRIM(K332),"'","''")&amp;"' AND estado = 1 LIMIT 1)")&amp;", p_id_referencia =&gt; "&amp;IF(TRIM(J332&amp;"")&lt;&gt;"","(SELECT lo.id FROM gen_lista_opciones lo JOIN gen_lista l ON l.id = lo.id_lista WHERE l.nombre = 'ReferenciaCilindro' AND upper(lo.nombre) = 'ALMACEN' AND lo.estado = 1 LIMIT 1)",IF(TRIM(K332&amp;"")&lt;&gt;"","(SELECT lo.id FROM gen_lista_opciones lo JOIN gen_lista l ON l.id = lo.id_lista WHERE l.nombre = 'ReferenciaCilindro' AND upper(lo.nombre) = 'CLIENTE' AND lo.estado = 1 LIMIT 1)","NULL"))&amp;", p_anio_fabricacion =&gt; "&amp;IF(M332&amp;""="","NULL::smallint",M332&amp;"::smallint")&amp;", p_mes_fabricacion =&gt; "&amp;IF(N332&amp;""="","NULL::smallint",N332&amp;"::smallint")&amp;", p_fecha_ultima_prueba_hidrostatica =&gt; "&amp;IF(O332&amp;""="","NULL","'"&amp;YEAR(O332)&amp;"-"&amp;TEXT(MONTH(O332),"00")&amp;"-"&amp;TEXT(DAY(O332),"00")&amp;"'")&amp;", p_numero_serie =&gt; "&amp;IF(TRIM(Q332&amp;"")="","NULL","'"&amp;SUBSTITUTE(TRIM(Q332),"'","''")&amp;"'")&amp;", p_id_marca_cilindro =&gt; "&amp;IF(TRIM(R332&amp;"")="","NULL","(SELECT lo.id FROM gen_lista_opciones lo JOIN gen_lista l ON l.id = lo.id_lista WHERE l.nombre = 'MarcaCilindro' AND upper(lo.nombre) = upper('"&amp;SUBSTITUTE(TRIM(R332),"'","''")&amp;"') AND lo.estado = 1 LIMIT 1)")&amp;", p_id_organo_inspector =&gt; "&amp;IF(TRIM(S332&amp;"")="","NULL","(SELECT lo.id FROM gen_lista_opciones lo JOIN gen_lista l ON l.id = lo.id_lista WHERE l.nombre = 'OrganoInspectorCilindro' AND upper(lo.nombre) = upper('"&amp;SUBSTITUTE(TRIM(S332),"'","''")&amp;"') AND lo.estado = 1 LIMIT 1)")&amp;", p_organo_inspector_no_aplica =&gt; "&amp;IF(S332="NO_APLICA","TRUE","FALSE")&amp;", p_presion_actual =&gt; "&amp;IF(T332&amp;""="","NULL",SUBSTITUTE(T332&amp;"",",","."))&amp;", p_tipo_valvula =&gt; "&amp;IF(TRIM(U332&amp;"")="","NULL","'"&amp;SUBSTITUTE(TRIM(U332),"'","''")&amp;"'")&amp;", p_libro_cilindro =&gt; "&amp;IF(TRIM(V332&amp;"")="","NULL","'"&amp;SUBSTITUTE(TRIM(V332),"'","''")&amp;"'")&amp;", p_pagina_libro =&gt; "&amp;IF(W332&amp;""="","NULL",SUBSTITUTE(W332&amp;"",",","."))&amp;", p_observacion =&gt; "&amp;IF(TRIM(X332&amp;"")="","NULL","'"&amp;SUBSTITUTE(TRIM(X332),"'","''")&amp;"'")&amp;") AS resultado_balon_"&amp;ROW()&amp;";")</f>
        <v/>
      </c>
    </row>
    <row r="333" ht="15.75" customHeight="1" s="64">
      <c r="A333" s="36" t="inlineStr">
        <is>
          <t>329</t>
        </is>
      </c>
      <c r="B333" s="25">
        <f>IF(AND(C333="",D333="",E333=""),"",IF(C333="","FALTA código balón",IF(D333="","FALTA tipo balón",IF(E333="","FALTA gas",IF(F333="","FALTA propietario",IF(AND(C333&lt;&gt;"",SUMPRODUCT(--($C$5:$C$1200=C333))&gt;1),"CÓDIGO BALÓN DUPLICADO",IF(AND(OR(UPPER(F333)="PLANTA",UPPER(F333)="CLIENTE"),G333=""),"FALTA doc propietario/planta",IF(AND(UPPER(F333)="PLANTA",G333="10175332796"),"PLANTA no puede ser RUC empresa","OK"))))))))</f>
        <v/>
      </c>
      <c r="C333" s="23" t="inlineStr">
        <is>
          <t>20K646126</t>
        </is>
      </c>
      <c r="D333" s="17" t="inlineStr">
        <is>
          <t>Oxígeno Medicinal 10 m³</t>
        </is>
      </c>
      <c r="E333" s="17" t="inlineStr">
        <is>
          <t>OXIGENO MEDICINAL</t>
        </is>
      </c>
      <c r="F333" s="17" t="inlineStr">
        <is>
          <t>EMPRESA</t>
        </is>
      </c>
      <c r="G333" s="23" t="inlineStr">
        <is>
          <t>10175332796</t>
        </is>
      </c>
      <c r="H333" s="25">
        <f t="array" ref="H333">IF(G333="","",IFERROR(IF(INDEX(Clientes!$D$5:$D$549,MATCH(G333,Clientes!$C$5:$C$549,0))&lt;&gt;"",INDEX(Clientes!$D$5:$D$549,MATCH(G333,Clientes!$C$5:$C$549,0)),TRIM(INDEX(Clientes!$E$5:$E$549,MATCH(G333,Clientes!$C$5:$C$549,0))&amp;" "&amp;INDEX(Clientes!$F$5:$F$549,MATCH(G333,Clientes!$C$5:$C$549,0)))),"NO EXISTE en Clientes"))</f>
        <v/>
      </c>
      <c r="I333" s="17" t="inlineStr">
        <is>
          <t>DISPONIBLE</t>
        </is>
      </c>
      <c r="J333" s="17" t="inlineStr">
        <is>
          <t>ALMACEN PRINCIPAL</t>
        </is>
      </c>
      <c r="K333" s="23" t="n"/>
      <c r="L333" s="25">
        <f t="array" ref="L333">IF(K333="","",IFERROR(IF(INDEX(Clientes!$D$5:$D$549,MATCH(K333,Clientes!$C$5:$C$549,0))&lt;&gt;"",INDEX(Clientes!$D$5:$D$549,MATCH(K333,Clientes!$C$5:$C$549,0)),TRIM(INDEX(Clientes!$E$5:$E$549,MATCH(K333,Clientes!$C$5:$C$549,0))&amp;" "&amp;INDEX(Clientes!$F$5:$F$549,MATCH(K333,Clientes!$C$5:$C$549,0)))),"NO EXISTE en Clientes"))</f>
        <v/>
      </c>
      <c r="M333" s="17" t="n"/>
      <c r="N333" s="17" t="n"/>
      <c r="O333" s="42" t="n"/>
      <c r="P333" s="39">
        <f>IF(O333&lt;&gt;"",DATE(YEAR(O333)+5,MONTH(O333),1),IF(AND(M333&lt;&gt;"",N333&lt;&gt;""),DATE(M333+5,N333,1),""))</f>
        <v/>
      </c>
      <c r="Q333" s="23" t="n"/>
      <c r="R333" s="17" t="n"/>
      <c r="S333" s="17" t="n"/>
      <c r="T333" s="17" t="n"/>
      <c r="U333" s="17" t="n"/>
      <c r="V333" s="23" t="n"/>
      <c r="W333" s="17" t="n"/>
      <c r="X333" s="17" t="n"/>
      <c r="Y333" s="28">
        <f>IF(B333&lt;&gt;"OK","","SELECT bal_crear_balon(p_codigo_balon =&gt; "&amp;IF(TRIM(C333&amp;"")="","NULL","'"&amp;SUBSTITUTE(TRIM(C333),"'","''")&amp;"'")&amp;", p_id_tipo_balon =&gt; "&amp;"(SELECT id FROM bal_tipo_balon WHERE upper(nombre) = upper('"&amp;SUBSTITUTE(TRIM(D333),"'","''")&amp;"') AND estado = 1 LIMIT 1)"&amp;", p_id_producto_gas =&gt; "&amp;"(SELECT id FROM pro_producto WHERE es_gas = TRUE AND upper(nombre) = upper('"&amp;SUBSTITUTE(TRIM(E333),"'","''")&amp;"') AND estado = 1 LIMIT 1)"&amp;", p_id_propietario =&gt; "&amp;IF(TRIM(F333&amp;"")="","NULL","(SELECT lo.id FROM gen_lista_opciones lo JOIN gen_lista l ON l.id = lo.id_lista WHERE l.nombre = 'PropietarioBalon' AND upper(lo.nombre) = upper('"&amp;SUBSTITUTE(TRIM(F333),"'","''")&amp;"') AND lo.estado = 1 LIMIT 1)")&amp;", p_id_cliente_propietario =&gt; "&amp;IF(F333="CLIENTE",IF(TRIM(G333&amp;"")="","NULL","(SELECT id FROM cli_clientes WHERE numero_documento = '"&amp;SUBSTITUTE(TRIM(G333),"'","''")&amp;"' AND estado = 1 LIMIT 1)"),"NULL")&amp;", p_id_planta =&gt; "&amp;IF(F333="PLANTA",IF(TRIM(G333&amp;"")="","NULL","(SELECT id FROM cli_clientes WHERE numero_documento = '"&amp;SUBSTITUTE(TRIM(G333),"'","''")&amp;"'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"&amp;IF(TRIM(J333&amp;"")="","NULL","(SELECT id FROM gen_almacen WHERE upper(nombre) = upper('"&amp;SUBSTITUTE(TRIM(J333),"'","''")&amp;"') AND estado = 1 LIMIT 1)")&amp;", p_id_cliente_ubicacion =&gt; "&amp;IF(TRIM(K333&amp;"")="","NULL","(SELECT id FROM cli_clientes WHERE numero_documento = '"&amp;SUBSTITUTE(TRIM(K333),"'","''")&amp;"' AND estado = 1 LIMIT 1)")&amp;", p_id_referencia =&gt; "&amp;IF(TRIM(J333&amp;"")&lt;&gt;"","(SELECT lo.id FROM gen_lista_opciones lo JOIN gen_lista l ON l.id = lo.id_lista WHERE l.nombre = 'ReferenciaCilindro' AND upper(lo.nombre) = 'ALMACEN' AND lo.estado = 1 LIMIT 1)",IF(TRIM(K333&amp;"")&lt;&gt;"","(SELECT lo.id FROM gen_lista_opciones lo JOIN gen_lista l ON l.id = lo.id_lista WHERE l.nombre = 'ReferenciaCilindro' AND upper(lo.nombre) = 'CLIENTE' AND lo.estado = 1 LIMIT 1)","NULL"))&amp;", p_anio_fabricacion =&gt; "&amp;IF(M333&amp;""="","NULL::smallint",M333&amp;"::smallint")&amp;", p_mes_fabricacion =&gt; "&amp;IF(N333&amp;""="","NULL::smallint",N333&amp;"::smallint")&amp;", p_fecha_ultima_prueba_hidrostatica =&gt; "&amp;IF(O333&amp;""="","NULL","'"&amp;YEAR(O333)&amp;"-"&amp;TEXT(MONTH(O333),"00")&amp;"-"&amp;TEXT(DAY(O333),"00")&amp;"'")&amp;", p_numero_serie =&gt; "&amp;IF(TRIM(Q333&amp;"")="","NULL","'"&amp;SUBSTITUTE(TRIM(Q333),"'","''")&amp;"'")&amp;", p_id_marca_cilindro =&gt; "&amp;IF(TRIM(R333&amp;"")="","NULL","(SELECT lo.id FROM gen_lista_opciones lo JOIN gen_lista l ON l.id = lo.id_lista WHERE l.nombre = 'MarcaCilindro' AND upper(lo.nombre) = upper('"&amp;SUBSTITUTE(TRIM(R333),"'","''")&amp;"') AND lo.estado = 1 LIMIT 1)")&amp;", p_id_organo_inspector =&gt; "&amp;IF(TRIM(S333&amp;"")="","NULL","(SELECT lo.id FROM gen_lista_opciones lo JOIN gen_lista l ON l.id = lo.id_lista WHERE l.nombre = 'OrganoInspectorCilindro' AND upper(lo.nombre) = upper('"&amp;SUBSTITUTE(TRIM(S333),"'","''")&amp;"') AND lo.estado = 1 LIMIT 1)")&amp;", p_organo_inspector_no_aplica =&gt; "&amp;IF(S333="NO_APLICA","TRUE","FALSE")&amp;", p_presion_actual =&gt; "&amp;IF(T333&amp;""="","NULL",SUBSTITUTE(T333&amp;"",",","."))&amp;", p_tipo_valvula =&gt; "&amp;IF(TRIM(U333&amp;"")="","NULL","'"&amp;SUBSTITUTE(TRIM(U333),"'","''")&amp;"'")&amp;", p_libro_cilindro =&gt; "&amp;IF(TRIM(V333&amp;"")="","NULL","'"&amp;SUBSTITUTE(TRIM(V333),"'","''")&amp;"'")&amp;", p_pagina_libro =&gt; "&amp;IF(W333&amp;""="","NULL",SUBSTITUTE(W333&amp;"",",","."))&amp;", p_observacion =&gt; "&amp;IF(TRIM(X333&amp;"")="","NULL","'"&amp;SUBSTITUTE(TRIM(X333),"'","''")&amp;"'")&amp;") AS resultado_balon_"&amp;ROW()&amp;";")</f>
        <v/>
      </c>
    </row>
    <row r="334" ht="15.75" customHeight="1" s="64">
      <c r="A334" s="36" t="inlineStr">
        <is>
          <t>330</t>
        </is>
      </c>
      <c r="B334" s="25">
        <f>IF(AND(C334="",D334="",E334=""),"",IF(C334="","FALTA código balón",IF(D334="","FALTA tipo balón",IF(E334="","FALTA gas",IF(F334="","FALTA propietario",IF(AND(C334&lt;&gt;"",SUMPRODUCT(--($C$5:$C$1200=C334))&gt;1),"CÓDIGO BALÓN DUPLICADO",IF(AND(OR(UPPER(F334)="PLANTA",UPPER(F334)="CLIENTE"),G334=""),"FALTA doc propietario/planta",IF(AND(UPPER(F334)="PLANTA",G334="10175332796"),"PLANTA no puede ser RUC empresa","OK"))))))))</f>
        <v/>
      </c>
      <c r="C334" s="23" t="inlineStr">
        <is>
          <t>121Y319045</t>
        </is>
      </c>
      <c r="D334" s="17" t="inlineStr">
        <is>
          <t>Oxígeno Medicinal 10 m³</t>
        </is>
      </c>
      <c r="E334" s="17" t="inlineStr">
        <is>
          <t>OXIGENO MEDICINAL</t>
        </is>
      </c>
      <c r="F334" s="17" t="inlineStr">
        <is>
          <t>EMPRESA</t>
        </is>
      </c>
      <c r="G334" s="23" t="inlineStr">
        <is>
          <t>10175332796</t>
        </is>
      </c>
      <c r="H334" s="25">
        <f t="array" ref="H334">IF(G334="","",IFERROR(IF(INDEX(Clientes!$D$5:$D$549,MATCH(G334,Clientes!$C$5:$C$549,0))&lt;&gt;"",INDEX(Clientes!$D$5:$D$549,MATCH(G334,Clientes!$C$5:$C$549,0)),TRIM(INDEX(Clientes!$E$5:$E$549,MATCH(G334,Clientes!$C$5:$C$549,0))&amp;" "&amp;INDEX(Clientes!$F$5:$F$549,MATCH(G334,Clientes!$C$5:$C$549,0)))),"NO EXISTE en Clientes"))</f>
        <v/>
      </c>
      <c r="I334" s="17" t="inlineStr">
        <is>
          <t>DISPONIBLE</t>
        </is>
      </c>
      <c r="J334" s="17" t="inlineStr">
        <is>
          <t>ALMACEN PRINCIPAL</t>
        </is>
      </c>
      <c r="K334" s="23" t="n"/>
      <c r="L334" s="25">
        <f t="array" ref="L334">IF(K334="","",IFERROR(IF(INDEX(Clientes!$D$5:$D$549,MATCH(K334,Clientes!$C$5:$C$549,0))&lt;&gt;"",INDEX(Clientes!$D$5:$D$549,MATCH(K334,Clientes!$C$5:$C$549,0)),TRIM(INDEX(Clientes!$E$5:$E$549,MATCH(K334,Clientes!$C$5:$C$549,0))&amp;" "&amp;INDEX(Clientes!$F$5:$F$549,MATCH(K334,Clientes!$C$5:$C$549,0)))),"NO EXISTE en Clientes"))</f>
        <v/>
      </c>
      <c r="M334" s="17" t="n"/>
      <c r="N334" s="17" t="n"/>
      <c r="O334" s="42" t="n"/>
      <c r="P334" s="39">
        <f>IF(O334&lt;&gt;"",DATE(YEAR(O334)+5,MONTH(O334),1),IF(AND(M334&lt;&gt;"",N334&lt;&gt;""),DATE(M334+5,N334,1),""))</f>
        <v/>
      </c>
      <c r="Q334" s="23" t="n"/>
      <c r="R334" s="17" t="n"/>
      <c r="S334" s="17" t="n"/>
      <c r="T334" s="17" t="n"/>
      <c r="U334" s="17" t="n"/>
      <c r="V334" s="23" t="n"/>
      <c r="W334" s="17" t="n"/>
      <c r="X334" s="17" t="n"/>
      <c r="Y334" s="28">
        <f>IF(B334&lt;&gt;"OK","","SELECT bal_crear_balon(p_codigo_balon =&gt; "&amp;IF(TRIM(C334&amp;"")="","NULL","'"&amp;SUBSTITUTE(TRIM(C334),"'","''")&amp;"'")&amp;", p_id_tipo_balon =&gt; "&amp;"(SELECT id FROM bal_tipo_balon WHERE upper(nombre) = upper('"&amp;SUBSTITUTE(TRIM(D334),"'","''")&amp;"') AND estado = 1 LIMIT 1)"&amp;", p_id_producto_gas =&gt; "&amp;"(SELECT id FROM pro_producto WHERE es_gas = TRUE AND upper(nombre) = upper('"&amp;SUBSTITUTE(TRIM(E334),"'","''")&amp;"') AND estado = 1 LIMIT 1)"&amp;", p_id_propietario =&gt; "&amp;IF(TRIM(F334&amp;"")="","NULL","(SELECT lo.id FROM gen_lista_opciones lo JOIN gen_lista l ON l.id = lo.id_lista WHERE l.nombre = 'PropietarioBalon' AND upper(lo.nombre) = upper('"&amp;SUBSTITUTE(TRIM(F334),"'","''")&amp;"') AND lo.estado = 1 LIMIT 1)")&amp;", p_id_cliente_propietario =&gt; "&amp;IF(F334="CLIENTE",IF(TRIM(G334&amp;"")="","NULL","(SELECT id FROM cli_clientes WHERE numero_documento = '"&amp;SUBSTITUTE(TRIM(G334),"'","''")&amp;"' AND estado = 1 LIMIT 1)"),"NULL")&amp;", p_id_planta =&gt; "&amp;IF(F334="PLANTA",IF(TRIM(G334&amp;"")="","NULL","(SELECT id FROM cli_clientes WHERE numero_documento = '"&amp;SUBSTITUTE(TRIM(G334),"'","''")&amp;"'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"&amp;IF(TRIM(J334&amp;"")="","NULL","(SELECT id FROM gen_almacen WHERE upper(nombre) = upper('"&amp;SUBSTITUTE(TRIM(J334),"'","''")&amp;"') AND estado = 1 LIMIT 1)")&amp;", p_id_cliente_ubicacion =&gt; "&amp;IF(TRIM(K334&amp;"")="","NULL","(SELECT id FROM cli_clientes WHERE numero_documento = '"&amp;SUBSTITUTE(TRIM(K334),"'","''")&amp;"' AND estado = 1 LIMIT 1)")&amp;", p_id_referencia =&gt; "&amp;IF(TRIM(J334&amp;"")&lt;&gt;"","(SELECT lo.id FROM gen_lista_opciones lo JOIN gen_lista l ON l.id = lo.id_lista WHERE l.nombre = 'ReferenciaCilindro' AND upper(lo.nombre) = 'ALMACEN' AND lo.estado = 1 LIMIT 1)",IF(TRIM(K334&amp;"")&lt;&gt;"","(SELECT lo.id FROM gen_lista_opciones lo JOIN gen_lista l ON l.id = lo.id_lista WHERE l.nombre = 'ReferenciaCilindro' AND upper(lo.nombre) = 'CLIENTE' AND lo.estado = 1 LIMIT 1)","NULL"))&amp;", p_anio_fabricacion =&gt; "&amp;IF(M334&amp;""="","NULL::smallint",M334&amp;"::smallint")&amp;", p_mes_fabricacion =&gt; "&amp;IF(N334&amp;""="","NULL::smallint",N334&amp;"::smallint")&amp;", p_fecha_ultima_prueba_hidrostatica =&gt; "&amp;IF(O334&amp;""="","NULL","'"&amp;YEAR(O334)&amp;"-"&amp;TEXT(MONTH(O334),"00")&amp;"-"&amp;TEXT(DAY(O334),"00")&amp;"'")&amp;", p_numero_serie =&gt; "&amp;IF(TRIM(Q334&amp;"")="","NULL","'"&amp;SUBSTITUTE(TRIM(Q334),"'","''")&amp;"'")&amp;", p_id_marca_cilindro =&gt; "&amp;IF(TRIM(R334&amp;"")="","NULL","(SELECT lo.id FROM gen_lista_opciones lo JOIN gen_lista l ON l.id = lo.id_lista WHERE l.nombre = 'MarcaCilindro' AND upper(lo.nombre) = upper('"&amp;SUBSTITUTE(TRIM(R334),"'","''")&amp;"') AND lo.estado = 1 LIMIT 1)")&amp;", p_id_organo_inspector =&gt; "&amp;IF(TRIM(S334&amp;"")="","NULL","(SELECT lo.id FROM gen_lista_opciones lo JOIN gen_lista l ON l.id = lo.id_lista WHERE l.nombre = 'OrganoInspectorCilindro' AND upper(lo.nombre) = upper('"&amp;SUBSTITUTE(TRIM(S334),"'","''")&amp;"') AND lo.estado = 1 LIMIT 1)")&amp;", p_organo_inspector_no_aplica =&gt; "&amp;IF(S334="NO_APLICA","TRUE","FALSE")&amp;", p_presion_actual =&gt; "&amp;IF(T334&amp;""="","NULL",SUBSTITUTE(T334&amp;"",",","."))&amp;", p_tipo_valvula =&gt; "&amp;IF(TRIM(U334&amp;"")="","NULL","'"&amp;SUBSTITUTE(TRIM(U334),"'","''")&amp;"'")&amp;", p_libro_cilindro =&gt; "&amp;IF(TRIM(V334&amp;"")="","NULL","'"&amp;SUBSTITUTE(TRIM(V334),"'","''")&amp;"'")&amp;", p_pagina_libro =&gt; "&amp;IF(W334&amp;""="","NULL",SUBSTITUTE(W334&amp;"",",","."))&amp;", p_observacion =&gt; "&amp;IF(TRIM(X334&amp;"")="","NULL","'"&amp;SUBSTITUTE(TRIM(X334),"'","''")&amp;"'")&amp;") AS resultado_balon_"&amp;ROW()&amp;";")</f>
        <v/>
      </c>
    </row>
    <row r="335" ht="15.75" customHeight="1" s="64">
      <c r="A335" s="36" t="inlineStr">
        <is>
          <t>331</t>
        </is>
      </c>
      <c r="B335" s="25">
        <f>IF(AND(C335="",D335="",E335=""),"",IF(C335="","FALTA código balón",IF(D335="","FALTA tipo balón",IF(E335="","FALTA gas",IF(F335="","FALTA propietario",IF(AND(C335&lt;&gt;"",SUMPRODUCT(--($C$5:$C$1200=C335))&gt;1),"CÓDIGO BALÓN DUPLICADO",IF(AND(OR(UPPER(F335)="PLANTA",UPPER(F335)="CLIENTE"),G335=""),"FALTA doc propietario/planta",IF(AND(UPPER(F335)="PLANTA",G335="10175332796"),"PLANTA no puede ser RUC empresa","OK"))))))))</f>
        <v/>
      </c>
      <c r="C335" s="23" t="inlineStr">
        <is>
          <t>K4860200</t>
        </is>
      </c>
      <c r="D335" s="17" t="inlineStr">
        <is>
          <t>Oxígeno Medicinal 10 m³</t>
        </is>
      </c>
      <c r="E335" s="17" t="inlineStr">
        <is>
          <t>OXIGENO MEDICINAL</t>
        </is>
      </c>
      <c r="F335" s="17" t="inlineStr">
        <is>
          <t>EMPRESA</t>
        </is>
      </c>
      <c r="G335" s="23" t="inlineStr">
        <is>
          <t>10175332796</t>
        </is>
      </c>
      <c r="H335" s="25">
        <f t="array" ref="H335">IF(G335="","",IFERROR(IF(INDEX(Clientes!$D$5:$D$549,MATCH(G335,Clientes!$C$5:$C$549,0))&lt;&gt;"",INDEX(Clientes!$D$5:$D$549,MATCH(G335,Clientes!$C$5:$C$549,0)),TRIM(INDEX(Clientes!$E$5:$E$549,MATCH(G335,Clientes!$C$5:$C$549,0))&amp;" "&amp;INDEX(Clientes!$F$5:$F$549,MATCH(G335,Clientes!$C$5:$C$549,0)))),"NO EXISTE en Clientes"))</f>
        <v/>
      </c>
      <c r="I335" s="17" t="inlineStr">
        <is>
          <t>DISPONIBLE</t>
        </is>
      </c>
      <c r="J335" s="17" t="inlineStr">
        <is>
          <t>ALMACEN PRINCIPAL</t>
        </is>
      </c>
      <c r="K335" s="23" t="n"/>
      <c r="L335" s="25">
        <f t="array" ref="L335">IF(K335="","",IFERROR(IF(INDEX(Clientes!$D$5:$D$549,MATCH(K335,Clientes!$C$5:$C$549,0))&lt;&gt;"",INDEX(Clientes!$D$5:$D$549,MATCH(K335,Clientes!$C$5:$C$549,0)),TRIM(INDEX(Clientes!$E$5:$E$549,MATCH(K335,Clientes!$C$5:$C$549,0))&amp;" "&amp;INDEX(Clientes!$F$5:$F$549,MATCH(K335,Clientes!$C$5:$C$549,0)))),"NO EXISTE en Clientes"))</f>
        <v/>
      </c>
      <c r="M335" s="17" t="n"/>
      <c r="N335" s="17" t="n"/>
      <c r="O335" s="42" t="n"/>
      <c r="P335" s="39">
        <f>IF(O335&lt;&gt;"",DATE(YEAR(O335)+5,MONTH(O335),1),IF(AND(M335&lt;&gt;"",N335&lt;&gt;""),DATE(M335+5,N335,1),""))</f>
        <v/>
      </c>
      <c r="Q335" s="23" t="n"/>
      <c r="R335" s="17" t="n"/>
      <c r="S335" s="17" t="n"/>
      <c r="T335" s="17" t="n"/>
      <c r="U335" s="17" t="n"/>
      <c r="V335" s="23" t="n"/>
      <c r="W335" s="17" t="n"/>
      <c r="X335" s="17" t="n"/>
      <c r="Y335" s="28">
        <f>IF(B335&lt;&gt;"OK","","SELECT bal_crear_balon(p_codigo_balon =&gt; "&amp;IF(TRIM(C335&amp;"")="","NULL","'"&amp;SUBSTITUTE(TRIM(C335),"'","''")&amp;"'")&amp;", p_id_tipo_balon =&gt; "&amp;"(SELECT id FROM bal_tipo_balon WHERE upper(nombre) = upper('"&amp;SUBSTITUTE(TRIM(D335),"'","''")&amp;"') AND estado = 1 LIMIT 1)"&amp;", p_id_producto_gas =&gt; "&amp;"(SELECT id FROM pro_producto WHERE es_gas = TRUE AND upper(nombre) = upper('"&amp;SUBSTITUTE(TRIM(E335),"'","''")&amp;"') AND estado = 1 LIMIT 1)"&amp;", p_id_propietario =&gt; "&amp;IF(TRIM(F335&amp;"")="","NULL","(SELECT lo.id FROM gen_lista_opciones lo JOIN gen_lista l ON l.id = lo.id_lista WHERE l.nombre = 'PropietarioBalon' AND upper(lo.nombre) = upper('"&amp;SUBSTITUTE(TRIM(F335),"'","''")&amp;"') AND lo.estado = 1 LIMIT 1)")&amp;", p_id_cliente_propietario =&gt; "&amp;IF(F335="CLIENTE",IF(TRIM(G335&amp;"")="","NULL","(SELECT id FROM cli_clientes WHERE numero_documento = '"&amp;SUBSTITUTE(TRIM(G335),"'","''")&amp;"' AND estado = 1 LIMIT 1)"),"NULL")&amp;", p_id_planta =&gt; "&amp;IF(F335="PLANTA",IF(TRIM(G335&amp;"")="","NULL","(SELECT id FROM cli_clientes WHERE numero_documento = '"&amp;SUBSTITUTE(TRIM(G335),"'","''")&amp;"'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"&amp;IF(TRIM(J335&amp;"")="","NULL","(SELECT id FROM gen_almacen WHERE upper(nombre) = upper('"&amp;SUBSTITUTE(TRIM(J335),"'","''")&amp;"') AND estado = 1 LIMIT 1)")&amp;", p_id_cliente_ubicacion =&gt; "&amp;IF(TRIM(K335&amp;"")="","NULL","(SELECT id FROM cli_clientes WHERE numero_documento = '"&amp;SUBSTITUTE(TRIM(K335),"'","''")&amp;"' AND estado = 1 LIMIT 1)")&amp;", p_id_referencia =&gt; "&amp;IF(TRIM(J335&amp;"")&lt;&gt;"","(SELECT lo.id FROM gen_lista_opciones lo JOIN gen_lista l ON l.id = lo.id_lista WHERE l.nombre = 'ReferenciaCilindro' AND upper(lo.nombre) = 'ALMACEN' AND lo.estado = 1 LIMIT 1)",IF(TRIM(K335&amp;"")&lt;&gt;"","(SELECT lo.id FROM gen_lista_opciones lo JOIN gen_lista l ON l.id = lo.id_lista WHERE l.nombre = 'ReferenciaCilindro' AND upper(lo.nombre) = 'CLIENTE' AND lo.estado = 1 LIMIT 1)","NULL"))&amp;", p_anio_fabricacion =&gt; "&amp;IF(M335&amp;""="","NULL::smallint",M335&amp;"::smallint")&amp;", p_mes_fabricacion =&gt; "&amp;IF(N335&amp;""="","NULL::smallint",N335&amp;"::smallint")&amp;", p_fecha_ultima_prueba_hidrostatica =&gt; "&amp;IF(O335&amp;""="","NULL","'"&amp;YEAR(O335)&amp;"-"&amp;TEXT(MONTH(O335),"00")&amp;"-"&amp;TEXT(DAY(O335),"00")&amp;"'")&amp;", p_numero_serie =&gt; "&amp;IF(TRIM(Q335&amp;"")="","NULL","'"&amp;SUBSTITUTE(TRIM(Q335),"'","''")&amp;"'")&amp;", p_id_marca_cilindro =&gt; "&amp;IF(TRIM(R335&amp;"")="","NULL","(SELECT lo.id FROM gen_lista_opciones lo JOIN gen_lista l ON l.id = lo.id_lista WHERE l.nombre = 'MarcaCilindro' AND upper(lo.nombre) = upper('"&amp;SUBSTITUTE(TRIM(R335),"'","''")&amp;"') AND lo.estado = 1 LIMIT 1)")&amp;", p_id_organo_inspector =&gt; "&amp;IF(TRIM(S335&amp;"")="","NULL","(SELECT lo.id FROM gen_lista_opciones lo JOIN gen_lista l ON l.id = lo.id_lista WHERE l.nombre = 'OrganoInspectorCilindro' AND upper(lo.nombre) = upper('"&amp;SUBSTITUTE(TRIM(S335),"'","''")&amp;"') AND lo.estado = 1 LIMIT 1)")&amp;", p_organo_inspector_no_aplica =&gt; "&amp;IF(S335="NO_APLICA","TRUE","FALSE")&amp;", p_presion_actual =&gt; "&amp;IF(T335&amp;""="","NULL",SUBSTITUTE(T335&amp;"",",","."))&amp;", p_tipo_valvula =&gt; "&amp;IF(TRIM(U335&amp;"")="","NULL","'"&amp;SUBSTITUTE(TRIM(U335),"'","''")&amp;"'")&amp;", p_libro_cilindro =&gt; "&amp;IF(TRIM(V335&amp;"")="","NULL","'"&amp;SUBSTITUTE(TRIM(V335),"'","''")&amp;"'")&amp;", p_pagina_libro =&gt; "&amp;IF(W335&amp;""="","NULL",SUBSTITUTE(W335&amp;"",",","."))&amp;", p_observacion =&gt; "&amp;IF(TRIM(X335&amp;"")="","NULL","'"&amp;SUBSTITUTE(TRIM(X335),"'","''")&amp;"'")&amp;") AS resultado_balon_"&amp;ROW()&amp;";")</f>
        <v/>
      </c>
    </row>
    <row r="336" ht="15.75" customHeight="1" s="64">
      <c r="A336" s="36" t="inlineStr">
        <is>
          <t>332</t>
        </is>
      </c>
      <c r="B336" s="25">
        <f>IF(AND(C336="",D336="",E336=""),"",IF(C336="","FALTA código balón",IF(D336="","FALTA tipo balón",IF(E336="","FALTA gas",IF(F336="","FALTA propietario",IF(AND(C336&lt;&gt;"",SUMPRODUCT(--($C$5:$C$1200=C336))&gt;1),"CÓDIGO BALÓN DUPLICADO",IF(AND(OR(UPPER(F336)="PLANTA",UPPER(F336)="CLIENTE"),G336=""),"FALTA doc propietario/planta",IF(AND(UPPER(F336)="PLANTA",G336="10175332796"),"PLANTA no puede ser RUC empresa","OK"))))))))</f>
        <v/>
      </c>
      <c r="C336" s="23" t="inlineStr">
        <is>
          <t>LJD9041</t>
        </is>
      </c>
      <c r="D336" s="17" t="inlineStr">
        <is>
          <t>Oxígeno Medicinal 10 m³</t>
        </is>
      </c>
      <c r="E336" s="17" t="inlineStr">
        <is>
          <t>OXIGENO MEDICINAL</t>
        </is>
      </c>
      <c r="F336" s="17" t="inlineStr">
        <is>
          <t>EMPRESA</t>
        </is>
      </c>
      <c r="G336" s="23" t="inlineStr">
        <is>
          <t>10175332796</t>
        </is>
      </c>
      <c r="H336" s="25">
        <f t="array" ref="H336">IF(G336="","",IFERROR(IF(INDEX(Clientes!$D$5:$D$549,MATCH(G336,Clientes!$C$5:$C$549,0))&lt;&gt;"",INDEX(Clientes!$D$5:$D$549,MATCH(G336,Clientes!$C$5:$C$549,0)),TRIM(INDEX(Clientes!$E$5:$E$549,MATCH(G336,Clientes!$C$5:$C$549,0))&amp;" "&amp;INDEX(Clientes!$F$5:$F$549,MATCH(G336,Clientes!$C$5:$C$549,0)))),"NO EXISTE en Clientes"))</f>
        <v/>
      </c>
      <c r="I336" s="17" t="inlineStr">
        <is>
          <t>DISPONIBLE</t>
        </is>
      </c>
      <c r="J336" s="17" t="inlineStr">
        <is>
          <t>ALMACEN PRINCIPAL</t>
        </is>
      </c>
      <c r="K336" s="23" t="n"/>
      <c r="L336" s="25">
        <f t="array" ref="L336">IF(K336="","",IFERROR(IF(INDEX(Clientes!$D$5:$D$549,MATCH(K336,Clientes!$C$5:$C$549,0))&lt;&gt;"",INDEX(Clientes!$D$5:$D$549,MATCH(K336,Clientes!$C$5:$C$549,0)),TRIM(INDEX(Clientes!$E$5:$E$549,MATCH(K336,Clientes!$C$5:$C$549,0))&amp;" "&amp;INDEX(Clientes!$F$5:$F$549,MATCH(K336,Clientes!$C$5:$C$549,0)))),"NO EXISTE en Clientes"))</f>
        <v/>
      </c>
      <c r="M336" s="17" t="n"/>
      <c r="N336" s="17" t="n"/>
      <c r="O336" s="42" t="n"/>
      <c r="P336" s="39">
        <f>IF(O336&lt;&gt;"",DATE(YEAR(O336)+5,MONTH(O336),1),IF(AND(M336&lt;&gt;"",N336&lt;&gt;""),DATE(M336+5,N336,1),""))</f>
        <v/>
      </c>
      <c r="Q336" s="23" t="n"/>
      <c r="R336" s="17" t="n"/>
      <c r="S336" s="17" t="n"/>
      <c r="T336" s="17" t="n"/>
      <c r="U336" s="17" t="n"/>
      <c r="V336" s="23" t="n"/>
      <c r="W336" s="17" t="n"/>
      <c r="X336" s="17" t="n"/>
      <c r="Y336" s="28">
        <f>IF(B336&lt;&gt;"OK","","SELECT bal_crear_balon(p_codigo_balon =&gt; "&amp;IF(TRIM(C336&amp;"")="","NULL","'"&amp;SUBSTITUTE(TRIM(C336),"'","''")&amp;"'")&amp;", p_id_tipo_balon =&gt; "&amp;"(SELECT id FROM bal_tipo_balon WHERE upper(nombre) = upper('"&amp;SUBSTITUTE(TRIM(D336),"'","''")&amp;"') AND estado = 1 LIMIT 1)"&amp;", p_id_producto_gas =&gt; "&amp;"(SELECT id FROM pro_producto WHERE es_gas = TRUE AND upper(nombre) = upper('"&amp;SUBSTITUTE(TRIM(E336),"'","''")&amp;"') AND estado = 1 LIMIT 1)"&amp;", p_id_propietario =&gt; "&amp;IF(TRIM(F336&amp;"")="","NULL","(SELECT lo.id FROM gen_lista_opciones lo JOIN gen_lista l ON l.id = lo.id_lista WHERE l.nombre = 'PropietarioBalon' AND upper(lo.nombre) = upper('"&amp;SUBSTITUTE(TRIM(F336),"'","''")&amp;"') AND lo.estado = 1 LIMIT 1)")&amp;", p_id_cliente_propietario =&gt; "&amp;IF(F336="CLIENTE",IF(TRIM(G336&amp;"")="","NULL","(SELECT id FROM cli_clientes WHERE numero_documento = '"&amp;SUBSTITUTE(TRIM(G336),"'","''")&amp;"' AND estado = 1 LIMIT 1)"),"NULL")&amp;", p_id_planta =&gt; "&amp;IF(F336="PLANTA",IF(TRIM(G336&amp;"")="","NULL","(SELECT id FROM cli_clientes WHERE numero_documento = '"&amp;SUBSTITUTE(TRIM(G336),"'","''")&amp;"'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"&amp;IF(TRIM(J336&amp;"")="","NULL","(SELECT id FROM gen_almacen WHERE upper(nombre) = upper('"&amp;SUBSTITUTE(TRIM(J336),"'","''")&amp;"') AND estado = 1 LIMIT 1)")&amp;", p_id_cliente_ubicacion =&gt; "&amp;IF(TRIM(K336&amp;"")="","NULL","(SELECT id FROM cli_clientes WHERE numero_documento = '"&amp;SUBSTITUTE(TRIM(K336),"'","''")&amp;"' AND estado = 1 LIMIT 1)")&amp;", p_id_referencia =&gt; "&amp;IF(TRIM(J336&amp;"")&lt;&gt;"","(SELECT lo.id FROM gen_lista_opciones lo JOIN gen_lista l ON l.id = lo.id_lista WHERE l.nombre = 'ReferenciaCilindro' AND upper(lo.nombre) = 'ALMACEN' AND lo.estado = 1 LIMIT 1)",IF(TRIM(K336&amp;"")&lt;&gt;"","(SELECT lo.id FROM gen_lista_opciones lo JOIN gen_lista l ON l.id = lo.id_lista WHERE l.nombre = 'ReferenciaCilindro' AND upper(lo.nombre) = 'CLIENTE' AND lo.estado = 1 LIMIT 1)","NULL"))&amp;", p_anio_fabricacion =&gt; "&amp;IF(M336&amp;""="","NULL::smallint",M336&amp;"::smallint")&amp;", p_mes_fabricacion =&gt; "&amp;IF(N336&amp;""="","NULL::smallint",N336&amp;"::smallint")&amp;", p_fecha_ultima_prueba_hidrostatica =&gt; "&amp;IF(O336&amp;""="","NULL","'"&amp;YEAR(O336)&amp;"-"&amp;TEXT(MONTH(O336),"00")&amp;"-"&amp;TEXT(DAY(O336),"00")&amp;"'")&amp;", p_numero_serie =&gt; "&amp;IF(TRIM(Q336&amp;"")="","NULL","'"&amp;SUBSTITUTE(TRIM(Q336),"'","''")&amp;"'")&amp;", p_id_marca_cilindro =&gt; "&amp;IF(TRIM(R336&amp;"")="","NULL","(SELECT lo.id FROM gen_lista_opciones lo JOIN gen_lista l ON l.id = lo.id_lista WHERE l.nombre = 'MarcaCilindro' AND upper(lo.nombre) = upper('"&amp;SUBSTITUTE(TRIM(R336),"'","''")&amp;"') AND lo.estado = 1 LIMIT 1)")&amp;", p_id_organo_inspector =&gt; "&amp;IF(TRIM(S336&amp;"")="","NULL","(SELECT lo.id FROM gen_lista_opciones lo JOIN gen_lista l ON l.id = lo.id_lista WHERE l.nombre = 'OrganoInspectorCilindro' AND upper(lo.nombre) = upper('"&amp;SUBSTITUTE(TRIM(S336),"'","''")&amp;"') AND lo.estado = 1 LIMIT 1)")&amp;", p_organo_inspector_no_aplica =&gt; "&amp;IF(S336="NO_APLICA","TRUE","FALSE")&amp;", p_presion_actual =&gt; "&amp;IF(T336&amp;""="","NULL",SUBSTITUTE(T336&amp;"",",","."))&amp;", p_tipo_valvula =&gt; "&amp;IF(TRIM(U336&amp;"")="","NULL","'"&amp;SUBSTITUTE(TRIM(U336),"'","''")&amp;"'")&amp;", p_libro_cilindro =&gt; "&amp;IF(TRIM(V336&amp;"")="","NULL","'"&amp;SUBSTITUTE(TRIM(V336),"'","''")&amp;"'")&amp;", p_pagina_libro =&gt; "&amp;IF(W336&amp;""="","NULL",SUBSTITUTE(W336&amp;"",",","."))&amp;", p_observacion =&gt; "&amp;IF(TRIM(X336&amp;"")="","NULL","'"&amp;SUBSTITUTE(TRIM(X336),"'","''")&amp;"'")&amp;") AS resultado_balon_"&amp;ROW()&amp;";")</f>
        <v/>
      </c>
    </row>
    <row r="337" ht="15.75" customHeight="1" s="64">
      <c r="A337" s="36" t="inlineStr">
        <is>
          <t>333</t>
        </is>
      </c>
      <c r="B337" s="25">
        <f>IF(AND(C337="",D337="",E337=""),"",IF(C337="","FALTA código balón",IF(D337="","FALTA tipo balón",IF(E337="","FALTA gas",IF(F337="","FALTA propietario",IF(AND(C337&lt;&gt;"",SUMPRODUCT(--($C$5:$C$1200=C337))&gt;1),"CÓDIGO BALÓN DUPLICADO",IF(AND(OR(UPPER(F337)="PLANTA",UPPER(F337)="CLIENTE"),G337=""),"FALTA doc propietario/planta",IF(AND(UPPER(F337)="PLANTA",G337="10175332796"),"PLANTA no puede ser RUC empresa","OK"))))))))</f>
        <v/>
      </c>
      <c r="C337" s="23" t="inlineStr">
        <is>
          <t>20K647080</t>
        </is>
      </c>
      <c r="D337" s="17" t="inlineStr">
        <is>
          <t>Oxígeno Medicinal 10 m³</t>
        </is>
      </c>
      <c r="E337" s="17" t="inlineStr">
        <is>
          <t>OXIGENO MEDICINAL</t>
        </is>
      </c>
      <c r="F337" s="17" t="inlineStr">
        <is>
          <t>EMPRESA</t>
        </is>
      </c>
      <c r="G337" s="23" t="inlineStr">
        <is>
          <t>10175332796</t>
        </is>
      </c>
      <c r="H337" s="25">
        <f t="array" ref="H337">IF(G337="","",IFERROR(IF(INDEX(Clientes!$D$5:$D$549,MATCH(G337,Clientes!$C$5:$C$549,0))&lt;&gt;"",INDEX(Clientes!$D$5:$D$549,MATCH(G337,Clientes!$C$5:$C$549,0)),TRIM(INDEX(Clientes!$E$5:$E$549,MATCH(G337,Clientes!$C$5:$C$549,0))&amp;" "&amp;INDEX(Clientes!$F$5:$F$549,MATCH(G337,Clientes!$C$5:$C$549,0)))),"NO EXISTE en Clientes"))</f>
        <v/>
      </c>
      <c r="I337" s="17" t="inlineStr">
        <is>
          <t>DISPONIBLE</t>
        </is>
      </c>
      <c r="J337" s="17" t="inlineStr">
        <is>
          <t>ALMACEN PRINCIPAL</t>
        </is>
      </c>
      <c r="K337" s="23" t="n"/>
      <c r="L337" s="25">
        <f t="array" ref="L337">IF(K337="","",IFERROR(IF(INDEX(Clientes!$D$5:$D$549,MATCH(K337,Clientes!$C$5:$C$549,0))&lt;&gt;"",INDEX(Clientes!$D$5:$D$549,MATCH(K337,Clientes!$C$5:$C$549,0)),TRIM(INDEX(Clientes!$E$5:$E$549,MATCH(K337,Clientes!$C$5:$C$549,0))&amp;" "&amp;INDEX(Clientes!$F$5:$F$549,MATCH(K337,Clientes!$C$5:$C$549,0)))),"NO EXISTE en Clientes"))</f>
        <v/>
      </c>
      <c r="M337" s="17" t="n"/>
      <c r="N337" s="17" t="n"/>
      <c r="O337" s="42" t="n"/>
      <c r="P337" s="39">
        <f>IF(O337&lt;&gt;"",DATE(YEAR(O337)+5,MONTH(O337),1),IF(AND(M337&lt;&gt;"",N337&lt;&gt;""),DATE(M337+5,N337,1),""))</f>
        <v/>
      </c>
      <c r="Q337" s="23" t="n"/>
      <c r="R337" s="17" t="n"/>
      <c r="S337" s="17" t="n"/>
      <c r="T337" s="17" t="n"/>
      <c r="U337" s="17" t="n"/>
      <c r="V337" s="23" t="n"/>
      <c r="W337" s="17" t="n"/>
      <c r="X337" s="17" t="n"/>
      <c r="Y337" s="28">
        <f>IF(B337&lt;&gt;"OK","","SELECT bal_crear_balon(p_codigo_balon =&gt; "&amp;IF(TRIM(C337&amp;"")="","NULL","'"&amp;SUBSTITUTE(TRIM(C337),"'","''")&amp;"'")&amp;", p_id_tipo_balon =&gt; "&amp;"(SELECT id FROM bal_tipo_balon WHERE upper(nombre) = upper('"&amp;SUBSTITUTE(TRIM(D337),"'","''")&amp;"') AND estado = 1 LIMIT 1)"&amp;", p_id_producto_gas =&gt; "&amp;"(SELECT id FROM pro_producto WHERE es_gas = TRUE AND upper(nombre) = upper('"&amp;SUBSTITUTE(TRIM(E337),"'","''")&amp;"') AND estado = 1 LIMIT 1)"&amp;", p_id_propietario =&gt; "&amp;IF(TRIM(F337&amp;"")="","NULL","(SELECT lo.id FROM gen_lista_opciones lo JOIN gen_lista l ON l.id = lo.id_lista WHERE l.nombre = 'PropietarioBalon' AND upper(lo.nombre) = upper('"&amp;SUBSTITUTE(TRIM(F337),"'","''")&amp;"') AND lo.estado = 1 LIMIT 1)")&amp;", p_id_cliente_propietario =&gt; "&amp;IF(F337="CLIENTE",IF(TRIM(G337&amp;"")="","NULL","(SELECT id FROM cli_clientes WHERE numero_documento = '"&amp;SUBSTITUTE(TRIM(G337),"'","''")&amp;"' AND estado = 1 LIMIT 1)"),"NULL")&amp;", p_id_planta =&gt; "&amp;IF(F337="PLANTA",IF(TRIM(G337&amp;"")="","NULL","(SELECT id FROM cli_clientes WHERE numero_documento = '"&amp;SUBSTITUTE(TRIM(G337),"'","''")&amp;"'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"&amp;IF(TRIM(J337&amp;"")="","NULL","(SELECT id FROM gen_almacen WHERE upper(nombre) = upper('"&amp;SUBSTITUTE(TRIM(J337),"'","''")&amp;"') AND estado = 1 LIMIT 1)")&amp;", p_id_cliente_ubicacion =&gt; "&amp;IF(TRIM(K337&amp;"")="","NULL","(SELECT id FROM cli_clientes WHERE numero_documento = '"&amp;SUBSTITUTE(TRIM(K337),"'","''")&amp;"' AND estado = 1 LIMIT 1)")&amp;", p_id_referencia =&gt; "&amp;IF(TRIM(J337&amp;"")&lt;&gt;"","(SELECT lo.id FROM gen_lista_opciones lo JOIN gen_lista l ON l.id = lo.id_lista WHERE l.nombre = 'ReferenciaCilindro' AND upper(lo.nombre) = 'ALMACEN' AND lo.estado = 1 LIMIT 1)",IF(TRIM(K337&amp;"")&lt;&gt;"","(SELECT lo.id FROM gen_lista_opciones lo JOIN gen_lista l ON l.id = lo.id_lista WHERE l.nombre = 'ReferenciaCilindro' AND upper(lo.nombre) = 'CLIENTE' AND lo.estado = 1 LIMIT 1)","NULL"))&amp;", p_anio_fabricacion =&gt; "&amp;IF(M337&amp;""="","NULL::smallint",M337&amp;"::smallint")&amp;", p_mes_fabricacion =&gt; "&amp;IF(N337&amp;""="","NULL::smallint",N337&amp;"::smallint")&amp;", p_fecha_ultima_prueba_hidrostatica =&gt; "&amp;IF(O337&amp;""="","NULL","'"&amp;YEAR(O337)&amp;"-"&amp;TEXT(MONTH(O337),"00")&amp;"-"&amp;TEXT(DAY(O337),"00")&amp;"'")&amp;", p_numero_serie =&gt; "&amp;IF(TRIM(Q337&amp;"")="","NULL","'"&amp;SUBSTITUTE(TRIM(Q337),"'","''")&amp;"'")&amp;", p_id_marca_cilindro =&gt; "&amp;IF(TRIM(R337&amp;"")="","NULL","(SELECT lo.id FROM gen_lista_opciones lo JOIN gen_lista l ON l.id = lo.id_lista WHERE l.nombre = 'MarcaCilindro' AND upper(lo.nombre) = upper('"&amp;SUBSTITUTE(TRIM(R337),"'","''")&amp;"') AND lo.estado = 1 LIMIT 1)")&amp;", p_id_organo_inspector =&gt; "&amp;IF(TRIM(S337&amp;"")="","NULL","(SELECT lo.id FROM gen_lista_opciones lo JOIN gen_lista l ON l.id = lo.id_lista WHERE l.nombre = 'OrganoInspectorCilindro' AND upper(lo.nombre) = upper('"&amp;SUBSTITUTE(TRIM(S337),"'","''")&amp;"') AND lo.estado = 1 LIMIT 1)")&amp;", p_organo_inspector_no_aplica =&gt; "&amp;IF(S337="NO_APLICA","TRUE","FALSE")&amp;", p_presion_actual =&gt; "&amp;IF(T337&amp;""="","NULL",SUBSTITUTE(T337&amp;"",",","."))&amp;", p_tipo_valvula =&gt; "&amp;IF(TRIM(U337&amp;"")="","NULL","'"&amp;SUBSTITUTE(TRIM(U337),"'","''")&amp;"'")&amp;", p_libro_cilindro =&gt; "&amp;IF(TRIM(V337&amp;"")="","NULL","'"&amp;SUBSTITUTE(TRIM(V337),"'","''")&amp;"'")&amp;", p_pagina_libro =&gt; "&amp;IF(W337&amp;""="","NULL",SUBSTITUTE(W337&amp;"",",","."))&amp;", p_observacion =&gt; "&amp;IF(TRIM(X337&amp;"")="","NULL","'"&amp;SUBSTITUTE(TRIM(X337),"'","''")&amp;"'")&amp;") AS resultado_balon_"&amp;ROW()&amp;";")</f>
        <v/>
      </c>
    </row>
    <row r="338" ht="15.75" customHeight="1" s="64">
      <c r="A338" s="36" t="inlineStr">
        <is>
          <t>334</t>
        </is>
      </c>
      <c r="B338" s="25">
        <f>IF(AND(C338="",D338="",E338=""),"",IF(C338="","FALTA código balón",IF(D338="","FALTA tipo balón",IF(E338="","FALTA gas",IF(F338="","FALTA propietario",IF(AND(C338&lt;&gt;"",SUMPRODUCT(--($C$5:$C$1200=C338))&gt;1),"CÓDIGO BALÓN DUPLICADO",IF(AND(OR(UPPER(F338)="PLANTA",UPPER(F338)="CLIENTE"),G338=""),"FALTA doc propietario/planta",IF(AND(UPPER(F338)="PLANTA",G338="10175332796"),"PLANTA no puede ser RUC empresa","OK"))))))))</f>
        <v/>
      </c>
      <c r="C338" s="23" t="inlineStr">
        <is>
          <t>6666931Y (6666931)</t>
        </is>
      </c>
      <c r="D338" s="17" t="inlineStr">
        <is>
          <t>Oxígeno Medicinal 10 m³</t>
        </is>
      </c>
      <c r="E338" s="17" t="inlineStr">
        <is>
          <t>OXIGENO MEDICINAL</t>
        </is>
      </c>
      <c r="F338" s="17" t="inlineStr">
        <is>
          <t>EMPRESA</t>
        </is>
      </c>
      <c r="G338" s="23" t="inlineStr">
        <is>
          <t>10175332796</t>
        </is>
      </c>
      <c r="H338" s="25">
        <f t="array" ref="H338">IF(G338="","",IFERROR(IF(INDEX(Clientes!$D$5:$D$549,MATCH(G338,Clientes!$C$5:$C$549,0))&lt;&gt;"",INDEX(Clientes!$D$5:$D$549,MATCH(G338,Clientes!$C$5:$C$549,0)),TRIM(INDEX(Clientes!$E$5:$E$549,MATCH(G338,Clientes!$C$5:$C$549,0))&amp;" "&amp;INDEX(Clientes!$F$5:$F$549,MATCH(G338,Clientes!$C$5:$C$549,0)))),"NO EXISTE en Clientes"))</f>
        <v/>
      </c>
      <c r="I338" s="17" t="inlineStr">
        <is>
          <t>DISPONIBLE</t>
        </is>
      </c>
      <c r="J338" s="17" t="inlineStr">
        <is>
          <t>ALMACEN PRINCIPAL</t>
        </is>
      </c>
      <c r="K338" s="23" t="n"/>
      <c r="L338" s="25">
        <f t="array" ref="L338">IF(K338="","",IFERROR(IF(INDEX(Clientes!$D$5:$D$549,MATCH(K338,Clientes!$C$5:$C$549,0))&lt;&gt;"",INDEX(Clientes!$D$5:$D$549,MATCH(K338,Clientes!$C$5:$C$549,0)),TRIM(INDEX(Clientes!$E$5:$E$549,MATCH(K338,Clientes!$C$5:$C$549,0))&amp;" "&amp;INDEX(Clientes!$F$5:$F$549,MATCH(K338,Clientes!$C$5:$C$549,0)))),"NO EXISTE en Clientes"))</f>
        <v/>
      </c>
      <c r="M338" s="17" t="n"/>
      <c r="N338" s="17" t="n"/>
      <c r="O338" s="42" t="n"/>
      <c r="P338" s="39">
        <f>IF(O338&lt;&gt;"",DATE(YEAR(O338)+5,MONTH(O338),1),IF(AND(M338&lt;&gt;"",N338&lt;&gt;""),DATE(M338+5,N338,1),""))</f>
        <v/>
      </c>
      <c r="Q338" s="23" t="n"/>
      <c r="R338" s="17" t="n"/>
      <c r="S338" s="17" t="n"/>
      <c r="T338" s="17" t="n"/>
      <c r="U338" s="17" t="n"/>
      <c r="V338" s="23" t="n"/>
      <c r="W338" s="17" t="n"/>
      <c r="X338" s="17" t="n"/>
      <c r="Y338" s="28">
        <f>IF(B338&lt;&gt;"OK","","SELECT bal_crear_balon(p_codigo_balon =&gt; "&amp;IF(TRIM(C338&amp;"")="","NULL","'"&amp;SUBSTITUTE(TRIM(C338),"'","''")&amp;"'")&amp;", p_id_tipo_balon =&gt; "&amp;"(SELECT id FROM bal_tipo_balon WHERE upper(nombre) = upper('"&amp;SUBSTITUTE(TRIM(D338),"'","''")&amp;"') AND estado = 1 LIMIT 1)"&amp;", p_id_producto_gas =&gt; "&amp;"(SELECT id FROM pro_producto WHERE es_gas = TRUE AND upper(nombre) = upper('"&amp;SUBSTITUTE(TRIM(E338),"'","''")&amp;"') AND estado = 1 LIMIT 1)"&amp;", p_id_propietario =&gt; "&amp;IF(TRIM(F338&amp;"")="","NULL","(SELECT lo.id FROM gen_lista_opciones lo JOIN gen_lista l ON l.id = lo.id_lista WHERE l.nombre = 'PropietarioBalon' AND upper(lo.nombre) = upper('"&amp;SUBSTITUTE(TRIM(F338),"'","''")&amp;"') AND lo.estado = 1 LIMIT 1)")&amp;", p_id_cliente_propietario =&gt; "&amp;IF(F338="CLIENTE",IF(TRIM(G338&amp;"")="","NULL","(SELECT id FROM cli_clientes WHERE numero_documento = '"&amp;SUBSTITUTE(TRIM(G338),"'","''")&amp;"' AND estado = 1 LIMIT 1)"),"NULL")&amp;", p_id_planta =&gt; "&amp;IF(F338="PLANTA",IF(TRIM(G338&amp;"")="","NULL","(SELECT id FROM cli_clientes WHERE numero_documento = '"&amp;SUBSTITUTE(TRIM(G338),"'","''")&amp;"'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"&amp;IF(TRIM(J338&amp;"")="","NULL","(SELECT id FROM gen_almacen WHERE upper(nombre) = upper('"&amp;SUBSTITUTE(TRIM(J338),"'","''")&amp;"') AND estado = 1 LIMIT 1)")&amp;", p_id_cliente_ubicacion =&gt; "&amp;IF(TRIM(K338&amp;"")="","NULL","(SELECT id FROM cli_clientes WHERE numero_documento = '"&amp;SUBSTITUTE(TRIM(K338),"'","''")&amp;"' AND estado = 1 LIMIT 1)")&amp;", p_id_referencia =&gt; "&amp;IF(TRIM(J338&amp;"")&lt;&gt;"","(SELECT lo.id FROM gen_lista_opciones lo JOIN gen_lista l ON l.id = lo.id_lista WHERE l.nombre = 'ReferenciaCilindro' AND upper(lo.nombre) = 'ALMACEN' AND lo.estado = 1 LIMIT 1)",IF(TRIM(K338&amp;"")&lt;&gt;"","(SELECT lo.id FROM gen_lista_opciones lo JOIN gen_lista l ON l.id = lo.id_lista WHERE l.nombre = 'ReferenciaCilindro' AND upper(lo.nombre) = 'CLIENTE' AND lo.estado = 1 LIMIT 1)","NULL"))&amp;", p_anio_fabricacion =&gt; "&amp;IF(M338&amp;""="","NULL::smallint",M338&amp;"::smallint")&amp;", p_mes_fabricacion =&gt; "&amp;IF(N338&amp;""="","NULL::smallint",N338&amp;"::smallint")&amp;", p_fecha_ultima_prueba_hidrostatica =&gt; "&amp;IF(O338&amp;""="","NULL","'"&amp;YEAR(O338)&amp;"-"&amp;TEXT(MONTH(O338),"00")&amp;"-"&amp;TEXT(DAY(O338),"00")&amp;"'")&amp;", p_numero_serie =&gt; "&amp;IF(TRIM(Q338&amp;"")="","NULL","'"&amp;SUBSTITUTE(TRIM(Q338),"'","''")&amp;"'")&amp;", p_id_marca_cilindro =&gt; "&amp;IF(TRIM(R338&amp;"")="","NULL","(SELECT lo.id FROM gen_lista_opciones lo JOIN gen_lista l ON l.id = lo.id_lista WHERE l.nombre = 'MarcaCilindro' AND upper(lo.nombre) = upper('"&amp;SUBSTITUTE(TRIM(R338),"'","''")&amp;"') AND lo.estado = 1 LIMIT 1)")&amp;", p_id_organo_inspector =&gt; "&amp;IF(TRIM(S338&amp;"")="","NULL","(SELECT lo.id FROM gen_lista_opciones lo JOIN gen_lista l ON l.id = lo.id_lista WHERE l.nombre = 'OrganoInspectorCilindro' AND upper(lo.nombre) = upper('"&amp;SUBSTITUTE(TRIM(S338),"'","''")&amp;"') AND lo.estado = 1 LIMIT 1)")&amp;", p_organo_inspector_no_aplica =&gt; "&amp;IF(S338="NO_APLICA","TRUE","FALSE")&amp;", p_presion_actual =&gt; "&amp;IF(T338&amp;""="","NULL",SUBSTITUTE(T338&amp;"",",","."))&amp;", p_tipo_valvula =&gt; "&amp;IF(TRIM(U338&amp;"")="","NULL","'"&amp;SUBSTITUTE(TRIM(U338),"'","''")&amp;"'")&amp;", p_libro_cilindro =&gt; "&amp;IF(TRIM(V338&amp;"")="","NULL","'"&amp;SUBSTITUTE(TRIM(V338),"'","''")&amp;"'")&amp;", p_pagina_libro =&gt; "&amp;IF(W338&amp;""="","NULL",SUBSTITUTE(W338&amp;"",",","."))&amp;", p_observacion =&gt; "&amp;IF(TRIM(X338&amp;"")="","NULL","'"&amp;SUBSTITUTE(TRIM(X338),"'","''")&amp;"'")&amp;") AS resultado_balon_"&amp;ROW()&amp;";")</f>
        <v/>
      </c>
    </row>
    <row r="339" ht="15.75" customHeight="1" s="64">
      <c r="A339" s="36" t="inlineStr">
        <is>
          <t>335</t>
        </is>
      </c>
      <c r="B339" s="25">
        <f>IF(AND(C339="",D339="",E339=""),"",IF(C339="","FALTA código balón",IF(D339="","FALTA tipo balón",IF(E339="","FALTA gas",IF(F339="","FALTA propietario",IF(AND(C339&lt;&gt;"",SUMPRODUCT(--($C$5:$C$1200=C339))&gt;1),"CÓDIGO BALÓN DUPLICADO",IF(AND(OR(UPPER(F339)="PLANTA",UPPER(F339)="CLIENTE"),G339=""),"FALTA doc propietario/planta",IF(AND(UPPER(F339)="PLANTA",G339="10175332796"),"PLANTA no puede ser RUC empresa","OK"))))))))</f>
        <v/>
      </c>
      <c r="C339" s="23" t="inlineStr">
        <is>
          <t>121Y319019</t>
        </is>
      </c>
      <c r="D339" s="17" t="inlineStr">
        <is>
          <t>Oxígeno Medicinal 10 m³</t>
        </is>
      </c>
      <c r="E339" s="17" t="inlineStr">
        <is>
          <t>OXIGENO MEDICINAL</t>
        </is>
      </c>
      <c r="F339" s="17" t="inlineStr">
        <is>
          <t>EMPRESA</t>
        </is>
      </c>
      <c r="G339" s="23" t="inlineStr">
        <is>
          <t>10175332796</t>
        </is>
      </c>
      <c r="H339" s="25">
        <f t="array" ref="H339">IF(G339="","",IFERROR(IF(INDEX(Clientes!$D$5:$D$549,MATCH(G339,Clientes!$C$5:$C$549,0))&lt;&gt;"",INDEX(Clientes!$D$5:$D$549,MATCH(G339,Clientes!$C$5:$C$549,0)),TRIM(INDEX(Clientes!$E$5:$E$549,MATCH(G339,Clientes!$C$5:$C$549,0))&amp;" "&amp;INDEX(Clientes!$F$5:$F$549,MATCH(G339,Clientes!$C$5:$C$549,0)))),"NO EXISTE en Clientes"))</f>
        <v/>
      </c>
      <c r="I339" s="17" t="inlineStr">
        <is>
          <t>DISPONIBLE</t>
        </is>
      </c>
      <c r="J339" s="17" t="inlineStr">
        <is>
          <t>ALMACEN PRINCIPAL</t>
        </is>
      </c>
      <c r="K339" s="23" t="n"/>
      <c r="L339" s="25">
        <f t="array" ref="L339">IF(K339="","",IFERROR(IF(INDEX(Clientes!$D$5:$D$549,MATCH(K339,Clientes!$C$5:$C$549,0))&lt;&gt;"",INDEX(Clientes!$D$5:$D$549,MATCH(K339,Clientes!$C$5:$C$549,0)),TRIM(INDEX(Clientes!$E$5:$E$549,MATCH(K339,Clientes!$C$5:$C$549,0))&amp;" "&amp;INDEX(Clientes!$F$5:$F$549,MATCH(K339,Clientes!$C$5:$C$549,0)))),"NO EXISTE en Clientes"))</f>
        <v/>
      </c>
      <c r="M339" s="17" t="n"/>
      <c r="N339" s="17" t="n"/>
      <c r="O339" s="42" t="n"/>
      <c r="P339" s="39">
        <f>IF(O339&lt;&gt;"",DATE(YEAR(O339)+5,MONTH(O339),1),IF(AND(M339&lt;&gt;"",N339&lt;&gt;""),DATE(M339+5,N339,1),""))</f>
        <v/>
      </c>
      <c r="Q339" s="23" t="n"/>
      <c r="R339" s="17" t="n"/>
      <c r="S339" s="17" t="n"/>
      <c r="T339" s="17" t="n"/>
      <c r="U339" s="17" t="n"/>
      <c r="V339" s="23" t="n"/>
      <c r="W339" s="17" t="n"/>
      <c r="X339" s="17" t="n"/>
      <c r="Y339" s="28">
        <f>IF(B339&lt;&gt;"OK","","SELECT bal_crear_balon(p_codigo_balon =&gt; "&amp;IF(TRIM(C339&amp;"")="","NULL","'"&amp;SUBSTITUTE(TRIM(C339),"'","''")&amp;"'")&amp;", p_id_tipo_balon =&gt; "&amp;"(SELECT id FROM bal_tipo_balon WHERE upper(nombre) = upper('"&amp;SUBSTITUTE(TRIM(D339),"'","''")&amp;"') AND estado = 1 LIMIT 1)"&amp;", p_id_producto_gas =&gt; "&amp;"(SELECT id FROM pro_producto WHERE es_gas = TRUE AND upper(nombre) = upper('"&amp;SUBSTITUTE(TRIM(E339),"'","''")&amp;"') AND estado = 1 LIMIT 1)"&amp;", p_id_propietario =&gt; "&amp;IF(TRIM(F339&amp;"")="","NULL","(SELECT lo.id FROM gen_lista_opciones lo JOIN gen_lista l ON l.id = lo.id_lista WHERE l.nombre = 'PropietarioBalon' AND upper(lo.nombre) = upper('"&amp;SUBSTITUTE(TRIM(F339),"'","''")&amp;"') AND lo.estado = 1 LIMIT 1)")&amp;", p_id_cliente_propietario =&gt; "&amp;IF(F339="CLIENTE",IF(TRIM(G339&amp;"")="","NULL","(SELECT id FROM cli_clientes WHERE numero_documento = '"&amp;SUBSTITUTE(TRIM(G339),"'","''")&amp;"' AND estado = 1 LIMIT 1)"),"NULL")&amp;", p_id_planta =&gt; "&amp;IF(F339="PLANTA",IF(TRIM(G339&amp;"")="","NULL","(SELECT id FROM cli_clientes WHERE numero_documento = '"&amp;SUBSTITUTE(TRIM(G339),"'","''")&amp;"'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"&amp;IF(TRIM(J339&amp;"")="","NULL","(SELECT id FROM gen_almacen WHERE upper(nombre) = upper('"&amp;SUBSTITUTE(TRIM(J339),"'","''")&amp;"') AND estado = 1 LIMIT 1)")&amp;", p_id_cliente_ubicacion =&gt; "&amp;IF(TRIM(K339&amp;"")="","NULL","(SELECT id FROM cli_clientes WHERE numero_documento = '"&amp;SUBSTITUTE(TRIM(K339),"'","''")&amp;"' AND estado = 1 LIMIT 1)")&amp;", p_id_referencia =&gt; "&amp;IF(TRIM(J339&amp;"")&lt;&gt;"","(SELECT lo.id FROM gen_lista_opciones lo JOIN gen_lista l ON l.id = lo.id_lista WHERE l.nombre = 'ReferenciaCilindro' AND upper(lo.nombre) = 'ALMACEN' AND lo.estado = 1 LIMIT 1)",IF(TRIM(K339&amp;"")&lt;&gt;"","(SELECT lo.id FROM gen_lista_opciones lo JOIN gen_lista l ON l.id = lo.id_lista WHERE l.nombre = 'ReferenciaCilindro' AND upper(lo.nombre) = 'CLIENTE' AND lo.estado = 1 LIMIT 1)","NULL"))&amp;", p_anio_fabricacion =&gt; "&amp;IF(M339&amp;""="","NULL::smallint",M339&amp;"::smallint")&amp;", p_mes_fabricacion =&gt; "&amp;IF(N339&amp;""="","NULL::smallint",N339&amp;"::smallint")&amp;", p_fecha_ultima_prueba_hidrostatica =&gt; "&amp;IF(O339&amp;""="","NULL","'"&amp;YEAR(O339)&amp;"-"&amp;TEXT(MONTH(O339),"00")&amp;"-"&amp;TEXT(DAY(O339),"00")&amp;"'")&amp;", p_numero_serie =&gt; "&amp;IF(TRIM(Q339&amp;"")="","NULL","'"&amp;SUBSTITUTE(TRIM(Q339),"'","''")&amp;"'")&amp;", p_id_marca_cilindro =&gt; "&amp;IF(TRIM(R339&amp;"")="","NULL","(SELECT lo.id FROM gen_lista_opciones lo JOIN gen_lista l ON l.id = lo.id_lista WHERE l.nombre = 'MarcaCilindro' AND upper(lo.nombre) = upper('"&amp;SUBSTITUTE(TRIM(R339),"'","''")&amp;"') AND lo.estado = 1 LIMIT 1)")&amp;", p_id_organo_inspector =&gt; "&amp;IF(TRIM(S339&amp;"")="","NULL","(SELECT lo.id FROM gen_lista_opciones lo JOIN gen_lista l ON l.id = lo.id_lista WHERE l.nombre = 'OrganoInspectorCilindro' AND upper(lo.nombre) = upper('"&amp;SUBSTITUTE(TRIM(S339),"'","''")&amp;"') AND lo.estado = 1 LIMIT 1)")&amp;", p_organo_inspector_no_aplica =&gt; "&amp;IF(S339="NO_APLICA","TRUE","FALSE")&amp;", p_presion_actual =&gt; "&amp;IF(T339&amp;""="","NULL",SUBSTITUTE(T339&amp;"",",","."))&amp;", p_tipo_valvula =&gt; "&amp;IF(TRIM(U339&amp;"")="","NULL","'"&amp;SUBSTITUTE(TRIM(U339),"'","''")&amp;"'")&amp;", p_libro_cilindro =&gt; "&amp;IF(TRIM(V339&amp;"")="","NULL","'"&amp;SUBSTITUTE(TRIM(V339),"'","''")&amp;"'")&amp;", p_pagina_libro =&gt; "&amp;IF(W339&amp;""="","NULL",SUBSTITUTE(W339&amp;"",",","."))&amp;", p_observacion =&gt; "&amp;IF(TRIM(X339&amp;"")="","NULL","'"&amp;SUBSTITUTE(TRIM(X339),"'","''")&amp;"'")&amp;") AS resultado_balon_"&amp;ROW()&amp;";")</f>
        <v/>
      </c>
    </row>
    <row r="340" ht="15.75" customHeight="1" s="64">
      <c r="A340" s="36" t="inlineStr">
        <is>
          <t>336</t>
        </is>
      </c>
      <c r="B340" s="25">
        <f>IF(AND(C340="",D340="",E340=""),"",IF(C340="","FALTA código balón",IF(D340="","FALTA tipo balón",IF(E340="","FALTA gas",IF(F340="","FALTA propietario",IF(AND(C340&lt;&gt;"",SUMPRODUCT(--($C$5:$C$1200=C340))&gt;1),"CÓDIGO BALÓN DUPLICADO",IF(AND(OR(UPPER(F340)="PLANTA",UPPER(F340)="CLIENTE"),G340=""),"FALTA doc propietario/planta",IF(AND(UPPER(F340)="PLANTA",G340="10175332796"),"PLANTA no puede ser RUC empresa","OK"))))))))</f>
        <v/>
      </c>
      <c r="C340" s="23" t="inlineStr">
        <is>
          <t>26Y066073</t>
        </is>
      </c>
      <c r="D340" s="17" t="inlineStr">
        <is>
          <t>Oxígeno Medicinal 10 m³</t>
        </is>
      </c>
      <c r="E340" s="17" t="inlineStr">
        <is>
          <t>OXIGENO MEDICINAL</t>
        </is>
      </c>
      <c r="F340" s="17" t="inlineStr">
        <is>
          <t>EMPRESA</t>
        </is>
      </c>
      <c r="G340" s="23" t="inlineStr">
        <is>
          <t>10175332796</t>
        </is>
      </c>
      <c r="H340" s="25">
        <f t="array" ref="H340">IF(G340="","",IFERROR(IF(INDEX(Clientes!$D$5:$D$549,MATCH(G340,Clientes!$C$5:$C$549,0))&lt;&gt;"",INDEX(Clientes!$D$5:$D$549,MATCH(G340,Clientes!$C$5:$C$549,0)),TRIM(INDEX(Clientes!$E$5:$E$549,MATCH(G340,Clientes!$C$5:$C$549,0))&amp;" "&amp;INDEX(Clientes!$F$5:$F$549,MATCH(G340,Clientes!$C$5:$C$549,0)))),"NO EXISTE en Clientes"))</f>
        <v/>
      </c>
      <c r="I340" s="17" t="inlineStr">
        <is>
          <t>DISPONIBLE</t>
        </is>
      </c>
      <c r="J340" s="17" t="inlineStr">
        <is>
          <t>ALMACEN PRINCIPAL</t>
        </is>
      </c>
      <c r="K340" s="23" t="n"/>
      <c r="L340" s="25">
        <f t="array" ref="L340">IF(K340="","",IFERROR(IF(INDEX(Clientes!$D$5:$D$549,MATCH(K340,Clientes!$C$5:$C$549,0))&lt;&gt;"",INDEX(Clientes!$D$5:$D$549,MATCH(K340,Clientes!$C$5:$C$549,0)),TRIM(INDEX(Clientes!$E$5:$E$549,MATCH(K340,Clientes!$C$5:$C$549,0))&amp;" "&amp;INDEX(Clientes!$F$5:$F$549,MATCH(K340,Clientes!$C$5:$C$549,0)))),"NO EXISTE en Clientes"))</f>
        <v/>
      </c>
      <c r="M340" s="17" t="n"/>
      <c r="N340" s="17" t="n"/>
      <c r="O340" s="42" t="n"/>
      <c r="P340" s="39">
        <f>IF(O340&lt;&gt;"",DATE(YEAR(O340)+5,MONTH(O340),1),IF(AND(M340&lt;&gt;"",N340&lt;&gt;""),DATE(M340+5,N340,1),""))</f>
        <v/>
      </c>
      <c r="Q340" s="23" t="n"/>
      <c r="R340" s="17" t="n"/>
      <c r="S340" s="17" t="n"/>
      <c r="T340" s="17" t="n"/>
      <c r="U340" s="17" t="n"/>
      <c r="V340" s="23" t="n"/>
      <c r="W340" s="17" t="n"/>
      <c r="X340" s="17" t="n"/>
      <c r="Y340" s="28">
        <f>IF(B340&lt;&gt;"OK","","SELECT bal_crear_balon(p_codigo_balon =&gt; "&amp;IF(TRIM(C340&amp;"")="","NULL","'"&amp;SUBSTITUTE(TRIM(C340),"'","''")&amp;"'")&amp;", p_id_tipo_balon =&gt; "&amp;"(SELECT id FROM bal_tipo_balon WHERE upper(nombre) = upper('"&amp;SUBSTITUTE(TRIM(D340),"'","''")&amp;"') AND estado = 1 LIMIT 1)"&amp;", p_id_producto_gas =&gt; "&amp;"(SELECT id FROM pro_producto WHERE es_gas = TRUE AND upper(nombre) = upper('"&amp;SUBSTITUTE(TRIM(E340),"'","''")&amp;"') AND estado = 1 LIMIT 1)"&amp;", p_id_propietario =&gt; "&amp;IF(TRIM(F340&amp;"")="","NULL","(SELECT lo.id FROM gen_lista_opciones lo JOIN gen_lista l ON l.id = lo.id_lista WHERE l.nombre = 'PropietarioBalon' AND upper(lo.nombre) = upper('"&amp;SUBSTITUTE(TRIM(F340),"'","''")&amp;"') AND lo.estado = 1 LIMIT 1)")&amp;", p_id_cliente_propietario =&gt; "&amp;IF(F340="CLIENTE",IF(TRIM(G340&amp;"")="","NULL","(SELECT id FROM cli_clientes WHERE numero_documento = '"&amp;SUBSTITUTE(TRIM(G340),"'","''")&amp;"' AND estado = 1 LIMIT 1)"),"NULL")&amp;", p_id_planta =&gt; "&amp;IF(F340="PLANTA",IF(TRIM(G340&amp;"")="","NULL","(SELECT id FROM cli_clientes WHERE numero_documento = '"&amp;SUBSTITUTE(TRIM(G340),"'","''")&amp;"'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"&amp;IF(TRIM(J340&amp;"")="","NULL","(SELECT id FROM gen_almacen WHERE upper(nombre) = upper('"&amp;SUBSTITUTE(TRIM(J340),"'","''")&amp;"') AND estado = 1 LIMIT 1)")&amp;", p_id_cliente_ubicacion =&gt; "&amp;IF(TRIM(K340&amp;"")="","NULL","(SELECT id FROM cli_clientes WHERE numero_documento = '"&amp;SUBSTITUTE(TRIM(K340),"'","''")&amp;"' AND estado = 1 LIMIT 1)")&amp;", p_id_referencia =&gt; "&amp;IF(TRIM(J340&amp;"")&lt;&gt;"","(SELECT lo.id FROM gen_lista_opciones lo JOIN gen_lista l ON l.id = lo.id_lista WHERE l.nombre = 'ReferenciaCilindro' AND upper(lo.nombre) = 'ALMACEN' AND lo.estado = 1 LIMIT 1)",IF(TRIM(K340&amp;"")&lt;&gt;"","(SELECT lo.id FROM gen_lista_opciones lo JOIN gen_lista l ON l.id = lo.id_lista WHERE l.nombre = 'ReferenciaCilindro' AND upper(lo.nombre) = 'CLIENTE' AND lo.estado = 1 LIMIT 1)","NULL"))&amp;", p_anio_fabricacion =&gt; "&amp;IF(M340&amp;""="","NULL::smallint",M340&amp;"::smallint")&amp;", p_mes_fabricacion =&gt; "&amp;IF(N340&amp;""="","NULL::smallint",N340&amp;"::smallint")&amp;", p_fecha_ultima_prueba_hidrostatica =&gt; "&amp;IF(O340&amp;""="","NULL","'"&amp;YEAR(O340)&amp;"-"&amp;TEXT(MONTH(O340),"00")&amp;"-"&amp;TEXT(DAY(O340),"00")&amp;"'")&amp;", p_numero_serie =&gt; "&amp;IF(TRIM(Q340&amp;"")="","NULL","'"&amp;SUBSTITUTE(TRIM(Q340),"'","''")&amp;"'")&amp;", p_id_marca_cilindro =&gt; "&amp;IF(TRIM(R340&amp;"")="","NULL","(SELECT lo.id FROM gen_lista_opciones lo JOIN gen_lista l ON l.id = lo.id_lista WHERE l.nombre = 'MarcaCilindro' AND upper(lo.nombre) = upper('"&amp;SUBSTITUTE(TRIM(R340),"'","''")&amp;"') AND lo.estado = 1 LIMIT 1)")&amp;", p_id_organo_inspector =&gt; "&amp;IF(TRIM(S340&amp;"")="","NULL","(SELECT lo.id FROM gen_lista_opciones lo JOIN gen_lista l ON l.id = lo.id_lista WHERE l.nombre = 'OrganoInspectorCilindro' AND upper(lo.nombre) = upper('"&amp;SUBSTITUTE(TRIM(S340),"'","''")&amp;"') AND lo.estado = 1 LIMIT 1)")&amp;", p_organo_inspector_no_aplica =&gt; "&amp;IF(S340="NO_APLICA","TRUE","FALSE")&amp;", p_presion_actual =&gt; "&amp;IF(T340&amp;""="","NULL",SUBSTITUTE(T340&amp;"",",","."))&amp;", p_tipo_valvula =&gt; "&amp;IF(TRIM(U340&amp;"")="","NULL","'"&amp;SUBSTITUTE(TRIM(U340),"'","''")&amp;"'")&amp;", p_libro_cilindro =&gt; "&amp;IF(TRIM(V340&amp;"")="","NULL","'"&amp;SUBSTITUTE(TRIM(V340),"'","''")&amp;"'")&amp;", p_pagina_libro =&gt; "&amp;IF(W340&amp;""="","NULL",SUBSTITUTE(W340&amp;"",",","."))&amp;", p_observacion =&gt; "&amp;IF(TRIM(X340&amp;"")="","NULL","'"&amp;SUBSTITUTE(TRIM(X340),"'","''")&amp;"'")&amp;") AS resultado_balon_"&amp;ROW()&amp;";")</f>
        <v/>
      </c>
    </row>
    <row r="341" ht="15.75" customHeight="1" s="64">
      <c r="A341" s="36" t="inlineStr">
        <is>
          <t>337</t>
        </is>
      </c>
      <c r="B341" s="25">
        <f>IF(AND(C341="",D341="",E341=""),"",IF(C341="","FALTA código balón",IF(D341="","FALTA tipo balón",IF(E341="","FALTA gas",IF(F341="","FALTA propietario",IF(AND(C341&lt;&gt;"",SUMPRODUCT(--($C$5:$C$1200=C341))&gt;1),"CÓDIGO BALÓN DUPLICADO",IF(AND(OR(UPPER(F341)="PLANTA",UPPER(F341)="CLIENTE"),G341=""),"FALTA doc propietario/planta",IF(AND(UPPER(F341)="PLANTA",G341="10175332796"),"PLANTA no puede ser RUC empresa","OK"))))))))</f>
        <v/>
      </c>
      <c r="C341" s="23" t="inlineStr">
        <is>
          <t>26Y066009</t>
        </is>
      </c>
      <c r="D341" s="17" t="inlineStr">
        <is>
          <t>Oxígeno Medicinal 10 m³</t>
        </is>
      </c>
      <c r="E341" s="17" t="inlineStr">
        <is>
          <t>OXIGENO MEDICINAL</t>
        </is>
      </c>
      <c r="F341" s="17" t="inlineStr">
        <is>
          <t>EMPRESA</t>
        </is>
      </c>
      <c r="G341" s="23" t="inlineStr">
        <is>
          <t>10175332796</t>
        </is>
      </c>
      <c r="H341" s="25">
        <f t="array" ref="H341">IF(G341="","",IFERROR(IF(INDEX(Clientes!$D$5:$D$549,MATCH(G341,Clientes!$C$5:$C$549,0))&lt;&gt;"",INDEX(Clientes!$D$5:$D$549,MATCH(G341,Clientes!$C$5:$C$549,0)),TRIM(INDEX(Clientes!$E$5:$E$549,MATCH(G341,Clientes!$C$5:$C$549,0))&amp;" "&amp;INDEX(Clientes!$F$5:$F$549,MATCH(G341,Clientes!$C$5:$C$549,0)))),"NO EXISTE en Clientes"))</f>
        <v/>
      </c>
      <c r="I341" s="17" t="inlineStr">
        <is>
          <t>DISPONIBLE</t>
        </is>
      </c>
      <c r="J341" s="17" t="inlineStr">
        <is>
          <t>ALMACEN PRINCIPAL</t>
        </is>
      </c>
      <c r="K341" s="23" t="n"/>
      <c r="L341" s="25">
        <f t="array" ref="L341">IF(K341="","",IFERROR(IF(INDEX(Clientes!$D$5:$D$549,MATCH(K341,Clientes!$C$5:$C$549,0))&lt;&gt;"",INDEX(Clientes!$D$5:$D$549,MATCH(K341,Clientes!$C$5:$C$549,0)),TRIM(INDEX(Clientes!$E$5:$E$549,MATCH(K341,Clientes!$C$5:$C$549,0))&amp;" "&amp;INDEX(Clientes!$F$5:$F$549,MATCH(K341,Clientes!$C$5:$C$549,0)))),"NO EXISTE en Clientes"))</f>
        <v/>
      </c>
      <c r="M341" s="17" t="n"/>
      <c r="N341" s="17" t="n"/>
      <c r="O341" s="42" t="n"/>
      <c r="P341" s="39">
        <f>IF(O341&lt;&gt;"",DATE(YEAR(O341)+5,MONTH(O341),1),IF(AND(M341&lt;&gt;"",N341&lt;&gt;""),DATE(M341+5,N341,1),""))</f>
        <v/>
      </c>
      <c r="Q341" s="23" t="n"/>
      <c r="R341" s="17" t="n"/>
      <c r="S341" s="17" t="n"/>
      <c r="T341" s="17" t="n"/>
      <c r="U341" s="17" t="n"/>
      <c r="V341" s="23" t="n"/>
      <c r="W341" s="17" t="n"/>
      <c r="X341" s="17" t="n"/>
      <c r="Y341" s="28">
        <f>IF(B341&lt;&gt;"OK","","SELECT bal_crear_balon(p_codigo_balon =&gt; "&amp;IF(TRIM(C341&amp;"")="","NULL","'"&amp;SUBSTITUTE(TRIM(C341),"'","''")&amp;"'")&amp;", p_id_tipo_balon =&gt; "&amp;"(SELECT id FROM bal_tipo_balon WHERE upper(nombre) = upper('"&amp;SUBSTITUTE(TRIM(D341),"'","''")&amp;"') AND estado = 1 LIMIT 1)"&amp;", p_id_producto_gas =&gt; "&amp;"(SELECT id FROM pro_producto WHERE es_gas = TRUE AND upper(nombre) = upper('"&amp;SUBSTITUTE(TRIM(E341),"'","''")&amp;"') AND estado = 1 LIMIT 1)"&amp;", p_id_propietario =&gt; "&amp;IF(TRIM(F341&amp;"")="","NULL","(SELECT lo.id FROM gen_lista_opciones lo JOIN gen_lista l ON l.id = lo.id_lista WHERE l.nombre = 'PropietarioBalon' AND upper(lo.nombre) = upper('"&amp;SUBSTITUTE(TRIM(F341),"'","''")&amp;"') AND lo.estado = 1 LIMIT 1)")&amp;", p_id_cliente_propietario =&gt; "&amp;IF(F341="CLIENTE",IF(TRIM(G341&amp;"")="","NULL","(SELECT id FROM cli_clientes WHERE numero_documento = '"&amp;SUBSTITUTE(TRIM(G341),"'","''")&amp;"' AND estado = 1 LIMIT 1)"),"NULL")&amp;", p_id_planta =&gt; "&amp;IF(F341="PLANTA",IF(TRIM(G341&amp;"")="","NULL","(SELECT id FROM cli_clientes WHERE numero_documento = '"&amp;SUBSTITUTE(TRIM(G341),"'","''")&amp;"'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"&amp;IF(TRIM(J341&amp;"")="","NULL","(SELECT id FROM gen_almacen WHERE upper(nombre) = upper('"&amp;SUBSTITUTE(TRIM(J341),"'","''")&amp;"') AND estado = 1 LIMIT 1)")&amp;", p_id_cliente_ubicacion =&gt; "&amp;IF(TRIM(K341&amp;"")="","NULL","(SELECT id FROM cli_clientes WHERE numero_documento = '"&amp;SUBSTITUTE(TRIM(K341),"'","''")&amp;"' AND estado = 1 LIMIT 1)")&amp;", p_id_referencia =&gt; "&amp;IF(TRIM(J341&amp;"")&lt;&gt;"","(SELECT lo.id FROM gen_lista_opciones lo JOIN gen_lista l ON l.id = lo.id_lista WHERE l.nombre = 'ReferenciaCilindro' AND upper(lo.nombre) = 'ALMACEN' AND lo.estado = 1 LIMIT 1)",IF(TRIM(K341&amp;"")&lt;&gt;"","(SELECT lo.id FROM gen_lista_opciones lo JOIN gen_lista l ON l.id = lo.id_lista WHERE l.nombre = 'ReferenciaCilindro' AND upper(lo.nombre) = 'CLIENTE' AND lo.estado = 1 LIMIT 1)","NULL"))&amp;", p_anio_fabricacion =&gt; "&amp;IF(M341&amp;""="","NULL::smallint",M341&amp;"::smallint")&amp;", p_mes_fabricacion =&gt; "&amp;IF(N341&amp;""="","NULL::smallint",N341&amp;"::smallint")&amp;", p_fecha_ultima_prueba_hidrostatica =&gt; "&amp;IF(O341&amp;""="","NULL","'"&amp;YEAR(O341)&amp;"-"&amp;TEXT(MONTH(O341),"00")&amp;"-"&amp;TEXT(DAY(O341),"00")&amp;"'")&amp;", p_numero_serie =&gt; "&amp;IF(TRIM(Q341&amp;"")="","NULL","'"&amp;SUBSTITUTE(TRIM(Q341),"'","''")&amp;"'")&amp;", p_id_marca_cilindro =&gt; "&amp;IF(TRIM(R341&amp;"")="","NULL","(SELECT lo.id FROM gen_lista_opciones lo JOIN gen_lista l ON l.id = lo.id_lista WHERE l.nombre = 'MarcaCilindro' AND upper(lo.nombre) = upper('"&amp;SUBSTITUTE(TRIM(R341),"'","''")&amp;"') AND lo.estado = 1 LIMIT 1)")&amp;", p_id_organo_inspector =&gt; "&amp;IF(TRIM(S341&amp;"")="","NULL","(SELECT lo.id FROM gen_lista_opciones lo JOIN gen_lista l ON l.id = lo.id_lista WHERE l.nombre = 'OrganoInspectorCilindro' AND upper(lo.nombre) = upper('"&amp;SUBSTITUTE(TRIM(S341),"'","''")&amp;"') AND lo.estado = 1 LIMIT 1)")&amp;", p_organo_inspector_no_aplica =&gt; "&amp;IF(S341="NO_APLICA","TRUE","FALSE")&amp;", p_presion_actual =&gt; "&amp;IF(T341&amp;""="","NULL",SUBSTITUTE(T341&amp;"",",","."))&amp;", p_tipo_valvula =&gt; "&amp;IF(TRIM(U341&amp;"")="","NULL","'"&amp;SUBSTITUTE(TRIM(U341),"'","''")&amp;"'")&amp;", p_libro_cilindro =&gt; "&amp;IF(TRIM(V341&amp;"")="","NULL","'"&amp;SUBSTITUTE(TRIM(V341),"'","''")&amp;"'")&amp;", p_pagina_libro =&gt; "&amp;IF(W341&amp;""="","NULL",SUBSTITUTE(W341&amp;"",",","."))&amp;", p_observacion =&gt; "&amp;IF(TRIM(X341&amp;"")="","NULL","'"&amp;SUBSTITUTE(TRIM(X341),"'","''")&amp;"'")&amp;") AS resultado_balon_"&amp;ROW()&amp;";")</f>
        <v/>
      </c>
    </row>
    <row r="342" ht="15.75" customHeight="1" s="64">
      <c r="A342" s="36" t="inlineStr">
        <is>
          <t>338</t>
        </is>
      </c>
      <c r="B342" s="25">
        <f>IF(AND(C342="",D342="",E342=""),"",IF(C342="","FALTA código balón",IF(D342="","FALTA tipo balón",IF(E342="","FALTA gas",IF(F342="","FALTA propietario",IF(AND(C342&lt;&gt;"",SUMPRODUCT(--($C$5:$C$1200=C342))&gt;1),"CÓDIGO BALÓN DUPLICADO",IF(AND(OR(UPPER(F342)="PLANTA",UPPER(F342)="CLIENTE"),G342=""),"FALTA doc propietario/planta",IF(AND(UPPER(F342)="PLANTA",G342="10175332796"),"PLANTA no puede ser RUC empresa","OK"))))))))</f>
        <v/>
      </c>
      <c r="C342" s="23" t="inlineStr">
        <is>
          <t>26Y066045</t>
        </is>
      </c>
      <c r="D342" s="17" t="inlineStr">
        <is>
          <t>Oxígeno Medicinal 10 m³</t>
        </is>
      </c>
      <c r="E342" s="17" t="inlineStr">
        <is>
          <t>OXIGENO MEDICINAL</t>
        </is>
      </c>
      <c r="F342" s="17" t="inlineStr">
        <is>
          <t>EMPRESA</t>
        </is>
      </c>
      <c r="G342" s="23" t="inlineStr">
        <is>
          <t>10175332796</t>
        </is>
      </c>
      <c r="H342" s="25">
        <f t="array" ref="H342">IF(G342="","",IFERROR(IF(INDEX(Clientes!$D$5:$D$549,MATCH(G342,Clientes!$C$5:$C$549,0))&lt;&gt;"",INDEX(Clientes!$D$5:$D$549,MATCH(G342,Clientes!$C$5:$C$549,0)),TRIM(INDEX(Clientes!$E$5:$E$549,MATCH(G342,Clientes!$C$5:$C$549,0))&amp;" "&amp;INDEX(Clientes!$F$5:$F$549,MATCH(G342,Clientes!$C$5:$C$549,0)))),"NO EXISTE en Clientes"))</f>
        <v/>
      </c>
      <c r="I342" s="17" t="inlineStr">
        <is>
          <t>DISPONIBLE</t>
        </is>
      </c>
      <c r="J342" s="17" t="inlineStr">
        <is>
          <t>ALMACEN PRINCIPAL</t>
        </is>
      </c>
      <c r="K342" s="23" t="n"/>
      <c r="L342" s="25">
        <f t="array" ref="L342">IF(K342="","",IFERROR(IF(INDEX(Clientes!$D$5:$D$549,MATCH(K342,Clientes!$C$5:$C$549,0))&lt;&gt;"",INDEX(Clientes!$D$5:$D$549,MATCH(K342,Clientes!$C$5:$C$549,0)),TRIM(INDEX(Clientes!$E$5:$E$549,MATCH(K342,Clientes!$C$5:$C$549,0))&amp;" "&amp;INDEX(Clientes!$F$5:$F$549,MATCH(K342,Clientes!$C$5:$C$549,0)))),"NO EXISTE en Clientes"))</f>
        <v/>
      </c>
      <c r="M342" s="17" t="n"/>
      <c r="N342" s="17" t="n"/>
      <c r="O342" s="42" t="n"/>
      <c r="P342" s="39">
        <f>IF(O342&lt;&gt;"",DATE(YEAR(O342)+5,MONTH(O342),1),IF(AND(M342&lt;&gt;"",N342&lt;&gt;""),DATE(M342+5,N342,1),""))</f>
        <v/>
      </c>
      <c r="Q342" s="23" t="n"/>
      <c r="R342" s="17" t="n"/>
      <c r="S342" s="17" t="n"/>
      <c r="T342" s="17" t="n"/>
      <c r="U342" s="17" t="n"/>
      <c r="V342" s="23" t="n"/>
      <c r="W342" s="17" t="n"/>
      <c r="X342" s="17" t="n"/>
      <c r="Y342" s="28">
        <f>IF(B342&lt;&gt;"OK","","SELECT bal_crear_balon(p_codigo_balon =&gt; "&amp;IF(TRIM(C342&amp;"")="","NULL","'"&amp;SUBSTITUTE(TRIM(C342),"'","''")&amp;"'")&amp;", p_id_tipo_balon =&gt; "&amp;"(SELECT id FROM bal_tipo_balon WHERE upper(nombre) = upper('"&amp;SUBSTITUTE(TRIM(D342),"'","''")&amp;"') AND estado = 1 LIMIT 1)"&amp;", p_id_producto_gas =&gt; "&amp;"(SELECT id FROM pro_producto WHERE es_gas = TRUE AND upper(nombre) = upper('"&amp;SUBSTITUTE(TRIM(E342),"'","''")&amp;"') AND estado = 1 LIMIT 1)"&amp;", p_id_propietario =&gt; "&amp;IF(TRIM(F342&amp;"")="","NULL","(SELECT lo.id FROM gen_lista_opciones lo JOIN gen_lista l ON l.id = lo.id_lista WHERE l.nombre = 'PropietarioBalon' AND upper(lo.nombre) = upper('"&amp;SUBSTITUTE(TRIM(F342),"'","''")&amp;"') AND lo.estado = 1 LIMIT 1)")&amp;", p_id_cliente_propietario =&gt; "&amp;IF(F342="CLIENTE",IF(TRIM(G342&amp;"")="","NULL","(SELECT id FROM cli_clientes WHERE numero_documento = '"&amp;SUBSTITUTE(TRIM(G342),"'","''")&amp;"' AND estado = 1 LIMIT 1)"),"NULL")&amp;", p_id_planta =&gt; "&amp;IF(F342="PLANTA",IF(TRIM(G342&amp;"")="","NULL","(SELECT id FROM cli_clientes WHERE numero_documento = '"&amp;SUBSTITUTE(TRIM(G342),"'","''")&amp;"'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"&amp;IF(TRIM(J342&amp;"")="","NULL","(SELECT id FROM gen_almacen WHERE upper(nombre) = upper('"&amp;SUBSTITUTE(TRIM(J342),"'","''")&amp;"') AND estado = 1 LIMIT 1)")&amp;", p_id_cliente_ubicacion =&gt; "&amp;IF(TRIM(K342&amp;"")="","NULL","(SELECT id FROM cli_clientes WHERE numero_documento = '"&amp;SUBSTITUTE(TRIM(K342),"'","''")&amp;"' AND estado = 1 LIMIT 1)")&amp;", p_id_referencia =&gt; "&amp;IF(TRIM(J342&amp;"")&lt;&gt;"","(SELECT lo.id FROM gen_lista_opciones lo JOIN gen_lista l ON l.id = lo.id_lista WHERE l.nombre = 'ReferenciaCilindro' AND upper(lo.nombre) = 'ALMACEN' AND lo.estado = 1 LIMIT 1)",IF(TRIM(K342&amp;"")&lt;&gt;"","(SELECT lo.id FROM gen_lista_opciones lo JOIN gen_lista l ON l.id = lo.id_lista WHERE l.nombre = 'ReferenciaCilindro' AND upper(lo.nombre) = 'CLIENTE' AND lo.estado = 1 LIMIT 1)","NULL"))&amp;", p_anio_fabricacion =&gt; "&amp;IF(M342&amp;""="","NULL::smallint",M342&amp;"::smallint")&amp;", p_mes_fabricacion =&gt; "&amp;IF(N342&amp;""="","NULL::smallint",N342&amp;"::smallint")&amp;", p_fecha_ultima_prueba_hidrostatica =&gt; "&amp;IF(O342&amp;""="","NULL","'"&amp;YEAR(O342)&amp;"-"&amp;TEXT(MONTH(O342),"00")&amp;"-"&amp;TEXT(DAY(O342),"00")&amp;"'")&amp;", p_numero_serie =&gt; "&amp;IF(TRIM(Q342&amp;"")="","NULL","'"&amp;SUBSTITUTE(TRIM(Q342),"'","''")&amp;"'")&amp;", p_id_marca_cilindro =&gt; "&amp;IF(TRIM(R342&amp;"")="","NULL","(SELECT lo.id FROM gen_lista_opciones lo JOIN gen_lista l ON l.id = lo.id_lista WHERE l.nombre = 'MarcaCilindro' AND upper(lo.nombre) = upper('"&amp;SUBSTITUTE(TRIM(R342),"'","''")&amp;"') AND lo.estado = 1 LIMIT 1)")&amp;", p_id_organo_inspector =&gt; "&amp;IF(TRIM(S342&amp;"")="","NULL","(SELECT lo.id FROM gen_lista_opciones lo JOIN gen_lista l ON l.id = lo.id_lista WHERE l.nombre = 'OrganoInspectorCilindro' AND upper(lo.nombre) = upper('"&amp;SUBSTITUTE(TRIM(S342),"'","''")&amp;"') AND lo.estado = 1 LIMIT 1)")&amp;", p_organo_inspector_no_aplica =&gt; "&amp;IF(S342="NO_APLICA","TRUE","FALSE")&amp;", p_presion_actual =&gt; "&amp;IF(T342&amp;""="","NULL",SUBSTITUTE(T342&amp;"",",","."))&amp;", p_tipo_valvula =&gt; "&amp;IF(TRIM(U342&amp;"")="","NULL","'"&amp;SUBSTITUTE(TRIM(U342),"'","''")&amp;"'")&amp;", p_libro_cilindro =&gt; "&amp;IF(TRIM(V342&amp;"")="","NULL","'"&amp;SUBSTITUTE(TRIM(V342),"'","''")&amp;"'")&amp;", p_pagina_libro =&gt; "&amp;IF(W342&amp;""="","NULL",SUBSTITUTE(W342&amp;"",",","."))&amp;", p_observacion =&gt; "&amp;IF(TRIM(X342&amp;"")="","NULL","'"&amp;SUBSTITUTE(TRIM(X342),"'","''")&amp;"'")&amp;") AS resultado_balon_"&amp;ROW()&amp;";")</f>
        <v/>
      </c>
    </row>
    <row r="343" ht="15.75" customHeight="1" s="64">
      <c r="A343" s="36" t="inlineStr">
        <is>
          <t>339</t>
        </is>
      </c>
      <c r="B343" s="25">
        <f>IF(AND(C343="",D343="",E343=""),"",IF(C343="","FALTA código balón",IF(D343="","FALTA tipo balón",IF(E343="","FALTA gas",IF(F343="","FALTA propietario",IF(AND(C343&lt;&gt;"",SUMPRODUCT(--($C$5:$C$1200=C343))&gt;1),"CÓDIGO BALÓN DUPLICADO",IF(AND(OR(UPPER(F343)="PLANTA",UPPER(F343)="CLIENTE"),G343=""),"FALTA doc propietario/planta",IF(AND(UPPER(F343)="PLANTA",G343="10175332796"),"PLANTA no puede ser RUC empresa","OK"))))))))</f>
        <v/>
      </c>
      <c r="C343" s="23" t="inlineStr">
        <is>
          <t>26Y066014</t>
        </is>
      </c>
      <c r="D343" s="17" t="inlineStr">
        <is>
          <t>Oxígeno Medicinal 10 m³</t>
        </is>
      </c>
      <c r="E343" s="17" t="inlineStr">
        <is>
          <t>OXIGENO MEDICINAL</t>
        </is>
      </c>
      <c r="F343" s="17" t="inlineStr">
        <is>
          <t>EMPRESA</t>
        </is>
      </c>
      <c r="G343" s="23" t="inlineStr">
        <is>
          <t>10175332796</t>
        </is>
      </c>
      <c r="H343" s="25">
        <f t="array" ref="H343">IF(G343="","",IFERROR(IF(INDEX(Clientes!$D$5:$D$549,MATCH(G343,Clientes!$C$5:$C$549,0))&lt;&gt;"",INDEX(Clientes!$D$5:$D$549,MATCH(G343,Clientes!$C$5:$C$549,0)),TRIM(INDEX(Clientes!$E$5:$E$549,MATCH(G343,Clientes!$C$5:$C$549,0))&amp;" "&amp;INDEX(Clientes!$F$5:$F$549,MATCH(G343,Clientes!$C$5:$C$549,0)))),"NO EXISTE en Clientes"))</f>
        <v/>
      </c>
      <c r="I343" s="17" t="inlineStr">
        <is>
          <t>DISPONIBLE</t>
        </is>
      </c>
      <c r="J343" s="17" t="inlineStr">
        <is>
          <t>ALMACEN PRINCIPAL</t>
        </is>
      </c>
      <c r="K343" s="23" t="n"/>
      <c r="L343" s="25">
        <f t="array" ref="L343">IF(K343="","",IFERROR(IF(INDEX(Clientes!$D$5:$D$549,MATCH(K343,Clientes!$C$5:$C$549,0))&lt;&gt;"",INDEX(Clientes!$D$5:$D$549,MATCH(K343,Clientes!$C$5:$C$549,0)),TRIM(INDEX(Clientes!$E$5:$E$549,MATCH(K343,Clientes!$C$5:$C$549,0))&amp;" "&amp;INDEX(Clientes!$F$5:$F$549,MATCH(K343,Clientes!$C$5:$C$549,0)))),"NO EXISTE en Clientes"))</f>
        <v/>
      </c>
      <c r="M343" s="17" t="n"/>
      <c r="N343" s="17" t="n"/>
      <c r="O343" s="42" t="n"/>
      <c r="P343" s="39">
        <f>IF(O343&lt;&gt;"",DATE(YEAR(O343)+5,MONTH(O343),1),IF(AND(M343&lt;&gt;"",N343&lt;&gt;""),DATE(M343+5,N343,1),""))</f>
        <v/>
      </c>
      <c r="Q343" s="23" t="n"/>
      <c r="R343" s="17" t="n"/>
      <c r="S343" s="17" t="n"/>
      <c r="T343" s="17" t="n"/>
      <c r="U343" s="17" t="n"/>
      <c r="V343" s="23" t="n"/>
      <c r="W343" s="17" t="n"/>
      <c r="X343" s="17" t="n"/>
      <c r="Y343" s="28">
        <f>IF(B343&lt;&gt;"OK","","SELECT bal_crear_balon(p_codigo_balon =&gt; "&amp;IF(TRIM(C343&amp;"")="","NULL","'"&amp;SUBSTITUTE(TRIM(C343),"'","''")&amp;"'")&amp;", p_id_tipo_balon =&gt; "&amp;"(SELECT id FROM bal_tipo_balon WHERE upper(nombre) = upper('"&amp;SUBSTITUTE(TRIM(D343),"'","''")&amp;"') AND estado = 1 LIMIT 1)"&amp;", p_id_producto_gas =&gt; "&amp;"(SELECT id FROM pro_producto WHERE es_gas = TRUE AND upper(nombre) = upper('"&amp;SUBSTITUTE(TRIM(E343),"'","''")&amp;"') AND estado = 1 LIMIT 1)"&amp;", p_id_propietario =&gt; "&amp;IF(TRIM(F343&amp;"")="","NULL","(SELECT lo.id FROM gen_lista_opciones lo JOIN gen_lista l ON l.id = lo.id_lista WHERE l.nombre = 'PropietarioBalon' AND upper(lo.nombre) = upper('"&amp;SUBSTITUTE(TRIM(F343),"'","''")&amp;"') AND lo.estado = 1 LIMIT 1)")&amp;", p_id_cliente_propietario =&gt; "&amp;IF(F343="CLIENTE",IF(TRIM(G343&amp;"")="","NULL","(SELECT id FROM cli_clientes WHERE numero_documento = '"&amp;SUBSTITUTE(TRIM(G343),"'","''")&amp;"' AND estado = 1 LIMIT 1)"),"NULL")&amp;", p_id_planta =&gt; "&amp;IF(F343="PLANTA",IF(TRIM(G343&amp;"")="","NULL","(SELECT id FROM cli_clientes WHERE numero_documento = '"&amp;SUBSTITUTE(TRIM(G343),"'","''")&amp;"'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"&amp;IF(TRIM(J343&amp;"")="","NULL","(SELECT id FROM gen_almacen WHERE upper(nombre) = upper('"&amp;SUBSTITUTE(TRIM(J343),"'","''")&amp;"') AND estado = 1 LIMIT 1)")&amp;", p_id_cliente_ubicacion =&gt; "&amp;IF(TRIM(K343&amp;"")="","NULL","(SELECT id FROM cli_clientes WHERE numero_documento = '"&amp;SUBSTITUTE(TRIM(K343),"'","''")&amp;"' AND estado = 1 LIMIT 1)")&amp;", p_id_referencia =&gt; "&amp;IF(TRIM(J343&amp;"")&lt;&gt;"","(SELECT lo.id FROM gen_lista_opciones lo JOIN gen_lista l ON l.id = lo.id_lista WHERE l.nombre = 'ReferenciaCilindro' AND upper(lo.nombre) = 'ALMACEN' AND lo.estado = 1 LIMIT 1)",IF(TRIM(K343&amp;"")&lt;&gt;"","(SELECT lo.id FROM gen_lista_opciones lo JOIN gen_lista l ON l.id = lo.id_lista WHERE l.nombre = 'ReferenciaCilindro' AND upper(lo.nombre) = 'CLIENTE' AND lo.estado = 1 LIMIT 1)","NULL"))&amp;", p_anio_fabricacion =&gt; "&amp;IF(M343&amp;""="","NULL::smallint",M343&amp;"::smallint")&amp;", p_mes_fabricacion =&gt; "&amp;IF(N343&amp;""="","NULL::smallint",N343&amp;"::smallint")&amp;", p_fecha_ultima_prueba_hidrostatica =&gt; "&amp;IF(O343&amp;""="","NULL","'"&amp;YEAR(O343)&amp;"-"&amp;TEXT(MONTH(O343),"00")&amp;"-"&amp;TEXT(DAY(O343),"00")&amp;"'")&amp;", p_numero_serie =&gt; "&amp;IF(TRIM(Q343&amp;"")="","NULL","'"&amp;SUBSTITUTE(TRIM(Q343),"'","''")&amp;"'")&amp;", p_id_marca_cilindro =&gt; "&amp;IF(TRIM(R343&amp;"")="","NULL","(SELECT lo.id FROM gen_lista_opciones lo JOIN gen_lista l ON l.id = lo.id_lista WHERE l.nombre = 'MarcaCilindro' AND upper(lo.nombre) = upper('"&amp;SUBSTITUTE(TRIM(R343),"'","''")&amp;"') AND lo.estado = 1 LIMIT 1)")&amp;", p_id_organo_inspector =&gt; "&amp;IF(TRIM(S343&amp;"")="","NULL","(SELECT lo.id FROM gen_lista_opciones lo JOIN gen_lista l ON l.id = lo.id_lista WHERE l.nombre = 'OrganoInspectorCilindro' AND upper(lo.nombre) = upper('"&amp;SUBSTITUTE(TRIM(S343),"'","''")&amp;"') AND lo.estado = 1 LIMIT 1)")&amp;", p_organo_inspector_no_aplica =&gt; "&amp;IF(S343="NO_APLICA","TRUE","FALSE")&amp;", p_presion_actual =&gt; "&amp;IF(T343&amp;""="","NULL",SUBSTITUTE(T343&amp;"",",","."))&amp;", p_tipo_valvula =&gt; "&amp;IF(TRIM(U343&amp;"")="","NULL","'"&amp;SUBSTITUTE(TRIM(U343),"'","''")&amp;"'")&amp;", p_libro_cilindro =&gt; "&amp;IF(TRIM(V343&amp;"")="","NULL","'"&amp;SUBSTITUTE(TRIM(V343),"'","''")&amp;"'")&amp;", p_pagina_libro =&gt; "&amp;IF(W343&amp;""="","NULL",SUBSTITUTE(W343&amp;"",",","."))&amp;", p_observacion =&gt; "&amp;IF(TRIM(X343&amp;"")="","NULL","'"&amp;SUBSTITUTE(TRIM(X343),"'","''")&amp;"'")&amp;") AS resultado_balon_"&amp;ROW()&amp;";")</f>
        <v/>
      </c>
    </row>
    <row r="344" ht="15.75" customHeight="1" s="64">
      <c r="A344" s="36" t="inlineStr">
        <is>
          <t>340</t>
        </is>
      </c>
      <c r="B344" s="25">
        <f>IF(AND(C344="",D344="",E344=""),"",IF(C344="","FALTA código balón",IF(D344="","FALTA tipo balón",IF(E344="","FALTA gas",IF(F344="","FALTA propietario",IF(AND(C344&lt;&gt;"",SUMPRODUCT(--($C$5:$C$1200=C344))&gt;1),"CÓDIGO BALÓN DUPLICADO",IF(AND(OR(UPPER(F344)="PLANTA",UPPER(F344)="CLIENTE"),G344=""),"FALTA doc propietario/planta",IF(AND(UPPER(F344)="PLANTA",G344="10175332796"),"PLANTA no puede ser RUC empresa","OK"))))))))</f>
        <v/>
      </c>
      <c r="C344" s="23" t="inlineStr">
        <is>
          <t>260360093</t>
        </is>
      </c>
      <c r="D344" s="17" t="inlineStr">
        <is>
          <t>Oxigeno Medicinal 1.5 m³</t>
        </is>
      </c>
      <c r="E344" s="17" t="inlineStr">
        <is>
          <t>OXIGENO MEDICINAL</t>
        </is>
      </c>
      <c r="F344" s="17" t="inlineStr">
        <is>
          <t>EMPRESA</t>
        </is>
      </c>
      <c r="G344" s="23" t="inlineStr">
        <is>
          <t>10175332796</t>
        </is>
      </c>
      <c r="H344" s="25">
        <f t="array" ref="H344">IF(G344="","",IFERROR(IF(INDEX(Clientes!$D$5:$D$549,MATCH(G344,Clientes!$C$5:$C$549,0))&lt;&gt;"",INDEX(Clientes!$D$5:$D$549,MATCH(G344,Clientes!$C$5:$C$549,0)),TRIM(INDEX(Clientes!$E$5:$E$549,MATCH(G344,Clientes!$C$5:$C$549,0))&amp;" "&amp;INDEX(Clientes!$F$5:$F$549,MATCH(G344,Clientes!$C$5:$C$549,0)))),"NO EXISTE en Clientes"))</f>
        <v/>
      </c>
      <c r="I344" s="17" t="inlineStr">
        <is>
          <t>DISPONIBLE</t>
        </is>
      </c>
      <c r="J344" s="17" t="inlineStr">
        <is>
          <t>ALMACEN PRINCIPAL</t>
        </is>
      </c>
      <c r="K344" s="23" t="n"/>
      <c r="L344" s="25">
        <f t="array" ref="L344">IF(K344="","",IFERROR(IF(INDEX(Clientes!$D$5:$D$549,MATCH(K344,Clientes!$C$5:$C$549,0))&lt;&gt;"",INDEX(Clientes!$D$5:$D$549,MATCH(K344,Clientes!$C$5:$C$549,0)),TRIM(INDEX(Clientes!$E$5:$E$549,MATCH(K344,Clientes!$C$5:$C$549,0))&amp;" "&amp;INDEX(Clientes!$F$5:$F$549,MATCH(K344,Clientes!$C$5:$C$549,0)))),"NO EXISTE en Clientes"))</f>
        <v/>
      </c>
      <c r="M344" s="17" t="n"/>
      <c r="N344" s="17" t="n"/>
      <c r="O344" s="42" t="n"/>
      <c r="P344" s="39">
        <f>IF(O344&lt;&gt;"",DATE(YEAR(O344)+5,MONTH(O344),1),IF(AND(M344&lt;&gt;"",N344&lt;&gt;""),DATE(M344+5,N344,1),""))</f>
        <v/>
      </c>
      <c r="Q344" s="23" t="n"/>
      <c r="R344" s="17" t="n"/>
      <c r="S344" s="17" t="n"/>
      <c r="T344" s="17" t="n"/>
      <c r="U344" s="17" t="n"/>
      <c r="V344" s="23" t="n"/>
      <c r="W344" s="17" t="n"/>
      <c r="X344" s="17" t="n"/>
      <c r="Y344" s="28">
        <f>IF(B344&lt;&gt;"OK","","SELECT bal_crear_balon(p_codigo_balon =&gt; "&amp;IF(TRIM(C344&amp;"")="","NULL","'"&amp;SUBSTITUTE(TRIM(C344),"'","''")&amp;"'")&amp;", p_id_tipo_balon =&gt; "&amp;"(SELECT id FROM bal_tipo_balon WHERE upper(nombre) = upper('"&amp;SUBSTITUTE(TRIM(D344),"'","''")&amp;"') AND estado = 1 LIMIT 1)"&amp;", p_id_producto_gas =&gt; "&amp;"(SELECT id FROM pro_producto WHERE es_gas = TRUE AND upper(nombre) = upper('"&amp;SUBSTITUTE(TRIM(E344),"'","''")&amp;"') AND estado = 1 LIMIT 1)"&amp;", p_id_propietario =&gt; "&amp;IF(TRIM(F344&amp;"")="","NULL","(SELECT lo.id FROM gen_lista_opciones lo JOIN gen_lista l ON l.id = lo.id_lista WHERE l.nombre = 'PropietarioBalon' AND upper(lo.nombre) = upper('"&amp;SUBSTITUTE(TRIM(F344),"'","''")&amp;"') AND lo.estado = 1 LIMIT 1)")&amp;", p_id_cliente_propietario =&gt; "&amp;IF(F344="CLIENTE",IF(TRIM(G344&amp;"")="","NULL","(SELECT id FROM cli_clientes WHERE numero_documento = '"&amp;SUBSTITUTE(TRIM(G344),"'","''")&amp;"' AND estado = 1 LIMIT 1)"),"NULL")&amp;", p_id_planta =&gt; "&amp;IF(F344="PLANTA",IF(TRIM(G344&amp;"")="","NULL","(SELECT id FROM cli_clientes WHERE numero_documento = '"&amp;SUBSTITUTE(TRIM(G344),"'","''")&amp;"'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"&amp;IF(TRIM(J344&amp;"")="","NULL","(SELECT id FROM gen_almacen WHERE upper(nombre) = upper('"&amp;SUBSTITUTE(TRIM(J344),"'","''")&amp;"') AND estado = 1 LIMIT 1)")&amp;", p_id_cliente_ubicacion =&gt; "&amp;IF(TRIM(K344&amp;"")="","NULL","(SELECT id FROM cli_clientes WHERE numero_documento = '"&amp;SUBSTITUTE(TRIM(K344),"'","''")&amp;"' AND estado = 1 LIMIT 1)")&amp;", p_id_referencia =&gt; "&amp;IF(TRIM(J344&amp;"")&lt;&gt;"","(SELECT lo.id FROM gen_lista_opciones lo JOIN gen_lista l ON l.id = lo.id_lista WHERE l.nombre = 'ReferenciaCilindro' AND upper(lo.nombre) = 'ALMACEN' AND lo.estado = 1 LIMIT 1)",IF(TRIM(K344&amp;"")&lt;&gt;"","(SELECT lo.id FROM gen_lista_opciones lo JOIN gen_lista l ON l.id = lo.id_lista WHERE l.nombre = 'ReferenciaCilindro' AND upper(lo.nombre) = 'CLIENTE' AND lo.estado = 1 LIMIT 1)","NULL"))&amp;", p_anio_fabricacion =&gt; "&amp;IF(M344&amp;""="","NULL::smallint",M344&amp;"::smallint")&amp;", p_mes_fabricacion =&gt; "&amp;IF(N344&amp;""="","NULL::smallint",N344&amp;"::smallint")&amp;", p_fecha_ultima_prueba_hidrostatica =&gt; "&amp;IF(O344&amp;""="","NULL","'"&amp;YEAR(O344)&amp;"-"&amp;TEXT(MONTH(O344),"00")&amp;"-"&amp;TEXT(DAY(O344),"00")&amp;"'")&amp;", p_numero_serie =&gt; "&amp;IF(TRIM(Q344&amp;"")="","NULL","'"&amp;SUBSTITUTE(TRIM(Q344),"'","''")&amp;"'")&amp;", p_id_marca_cilindro =&gt; "&amp;IF(TRIM(R344&amp;"")="","NULL","(SELECT lo.id FROM gen_lista_opciones lo JOIN gen_lista l ON l.id = lo.id_lista WHERE l.nombre = 'MarcaCilindro' AND upper(lo.nombre) = upper('"&amp;SUBSTITUTE(TRIM(R344),"'","''")&amp;"') AND lo.estado = 1 LIMIT 1)")&amp;", p_id_organo_inspector =&gt; "&amp;IF(TRIM(S344&amp;"")="","NULL","(SELECT lo.id FROM gen_lista_opciones lo JOIN gen_lista l ON l.id = lo.id_lista WHERE l.nombre = 'OrganoInspectorCilindro' AND upper(lo.nombre) = upper('"&amp;SUBSTITUTE(TRIM(S344),"'","''")&amp;"') AND lo.estado = 1 LIMIT 1)")&amp;", p_organo_inspector_no_aplica =&gt; "&amp;IF(S344="NO_APLICA","TRUE","FALSE")&amp;", p_presion_actual =&gt; "&amp;IF(T344&amp;""="","NULL",SUBSTITUTE(T344&amp;"",",","."))&amp;", p_tipo_valvula =&gt; "&amp;IF(TRIM(U344&amp;"")="","NULL","'"&amp;SUBSTITUTE(TRIM(U344),"'","''")&amp;"'")&amp;", p_libro_cilindro =&gt; "&amp;IF(TRIM(V344&amp;"")="","NULL","'"&amp;SUBSTITUTE(TRIM(V344),"'","''")&amp;"'")&amp;", p_pagina_libro =&gt; "&amp;IF(W344&amp;""="","NULL",SUBSTITUTE(W344&amp;"",",","."))&amp;", p_observacion =&gt; "&amp;IF(TRIM(X344&amp;"")="","NULL","'"&amp;SUBSTITUTE(TRIM(X344),"'","''")&amp;"'")&amp;") AS resultado_balon_"&amp;ROW()&amp;";")</f>
        <v/>
      </c>
    </row>
    <row r="345" ht="15.75" customHeight="1" s="64">
      <c r="A345" s="36" t="inlineStr">
        <is>
          <t>341</t>
        </is>
      </c>
      <c r="B345" s="25">
        <f>IF(AND(C345="",D345="",E345=""),"",IF(C345="","FALTA código balón",IF(D345="","FALTA tipo balón",IF(E345="","FALTA gas",IF(F345="","FALTA propietario",IF(AND(C345&lt;&gt;"",SUMPRODUCT(--($C$5:$C$1200=C345))&gt;1),"CÓDIGO BALÓN DUPLICADO",IF(AND(OR(UPPER(F345)="PLANTA",UPPER(F345)="CLIENTE"),G345=""),"FALTA doc propietario/planta",IF(AND(UPPER(F345)="PLANTA",G345="10175332796"),"PLANTA no puede ser RUC empresa","OK"))))))))</f>
        <v/>
      </c>
      <c r="C345" s="23" t="inlineStr">
        <is>
          <t>20590</t>
        </is>
      </c>
      <c r="D345" s="17" t="inlineStr">
        <is>
          <t>Oxígeno Industrial 6 m³</t>
        </is>
      </c>
      <c r="E345" s="17" t="inlineStr">
        <is>
          <t>OXIGENO INDUSTRIAL</t>
        </is>
      </c>
      <c r="F345" s="17" t="inlineStr">
        <is>
          <t>EMPRESA</t>
        </is>
      </c>
      <c r="G345" s="23" t="inlineStr">
        <is>
          <t>10175332796</t>
        </is>
      </c>
      <c r="H345" s="25">
        <f t="array" ref="H345">IF(G345="","",IFERROR(IF(INDEX(Clientes!$D$5:$D$549,MATCH(G345,Clientes!$C$5:$C$549,0))&lt;&gt;"",INDEX(Clientes!$D$5:$D$549,MATCH(G345,Clientes!$C$5:$C$549,0)),TRIM(INDEX(Clientes!$E$5:$E$549,MATCH(G345,Clientes!$C$5:$C$549,0))&amp;" "&amp;INDEX(Clientes!$F$5:$F$549,MATCH(G345,Clientes!$C$5:$C$549,0)))),"NO EXISTE en Clientes"))</f>
        <v/>
      </c>
      <c r="I345" s="17" t="inlineStr">
        <is>
          <t>ALMACEN EXTRAVIADO</t>
        </is>
      </c>
      <c r="J345" s="17" t="n"/>
      <c r="K345" s="23" t="n"/>
      <c r="L345" s="25">
        <f t="array" ref="L345">IF(K345="","",IFERROR(IF(INDEX(Clientes!$D$5:$D$549,MATCH(K345,Clientes!$C$5:$C$549,0))&lt;&gt;"",INDEX(Clientes!$D$5:$D$549,MATCH(K345,Clientes!$C$5:$C$549,0)),TRIM(INDEX(Clientes!$E$5:$E$549,MATCH(K345,Clientes!$C$5:$C$549,0))&amp;" "&amp;INDEX(Clientes!$F$5:$F$549,MATCH(K345,Clientes!$C$5:$C$549,0)))),"NO EXISTE en Clientes"))</f>
        <v/>
      </c>
      <c r="M345" s="17" t="n"/>
      <c r="N345" s="17" t="n"/>
      <c r="O345" s="42" t="n"/>
      <c r="P345" s="39">
        <f>IF(O345&lt;&gt;"",DATE(YEAR(O345)+5,MONTH(O345),1),IF(AND(M345&lt;&gt;"",N345&lt;&gt;""),DATE(M345+5,N345,1),""))</f>
        <v/>
      </c>
      <c r="Q345" s="23" t="n"/>
      <c r="R345" s="17" t="n"/>
      <c r="S345" s="17" t="n"/>
      <c r="T345" s="17" t="n"/>
      <c r="U345" s="17" t="n"/>
      <c r="V345" s="23" t="n"/>
      <c r="W345" s="17" t="n"/>
      <c r="X345" s="17" t="n"/>
      <c r="Y345" s="28">
        <f>IF(B345&lt;&gt;"OK","","SELECT bal_crear_balon(p_codigo_balon =&gt; "&amp;IF(TRIM(C345&amp;"")="","NULL","'"&amp;SUBSTITUTE(TRIM(C345),"'","''")&amp;"'")&amp;", p_id_tipo_balon =&gt; "&amp;"(SELECT id FROM bal_tipo_balon WHERE upper(nombre) = upper('"&amp;SUBSTITUTE(TRIM(D345),"'","''")&amp;"') AND estado = 1 LIMIT 1)"&amp;", p_id_producto_gas =&gt; "&amp;"(SELECT id FROM pro_producto WHERE es_gas = TRUE AND upper(nombre) = upper('"&amp;SUBSTITUTE(TRIM(E345),"'","''")&amp;"') AND estado = 1 LIMIT 1)"&amp;", p_id_propietario =&gt; "&amp;IF(TRIM(F345&amp;"")="","NULL","(SELECT lo.id FROM gen_lista_opciones lo JOIN gen_lista l ON l.id = lo.id_lista WHERE l.nombre = 'PropietarioBalon' AND upper(lo.nombre) = upper('"&amp;SUBSTITUTE(TRIM(F345),"'","''")&amp;"') AND lo.estado = 1 LIMIT 1)")&amp;", p_id_cliente_propietario =&gt; "&amp;IF(F345="CLIENTE",IF(TRIM(G345&amp;"")="","NULL","(SELECT id FROM cli_clientes WHERE numero_documento = '"&amp;SUBSTITUTE(TRIM(G345),"'","''")&amp;"' AND estado = 1 LIMIT 1)"),"NULL")&amp;", p_id_planta =&gt; "&amp;IF(F345="PLANTA",IF(TRIM(G345&amp;"")="","NULL","(SELECT id FROM cli_clientes WHERE numero_documento = '"&amp;SUBSTITUTE(TRIM(G345),"'","''")&amp;"'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"&amp;IF(TRIM(J345&amp;"")="","NULL","(SELECT id FROM gen_almacen WHERE upper(nombre) = upper('"&amp;SUBSTITUTE(TRIM(J345),"'","''")&amp;"') AND estado = 1 LIMIT 1)")&amp;", p_id_cliente_ubicacion =&gt; "&amp;IF(TRIM(K345&amp;"")="","NULL","(SELECT id FROM cli_clientes WHERE numero_documento = '"&amp;SUBSTITUTE(TRIM(K345),"'","''")&amp;"' AND estado = 1 LIMIT 1)")&amp;", p_id_referencia =&gt; "&amp;IF(TRIM(J345&amp;"")&lt;&gt;"","(SELECT lo.id FROM gen_lista_opciones lo JOIN gen_lista l ON l.id = lo.id_lista WHERE l.nombre = 'ReferenciaCilindro' AND upper(lo.nombre) = 'ALMACEN' AND lo.estado = 1 LIMIT 1)",IF(TRIM(K345&amp;"")&lt;&gt;"","(SELECT lo.id FROM gen_lista_opciones lo JOIN gen_lista l ON l.id = lo.id_lista WHERE l.nombre = 'ReferenciaCilindro' AND upper(lo.nombre) = 'CLIENTE' AND lo.estado = 1 LIMIT 1)","NULL"))&amp;", p_anio_fabricacion =&gt; "&amp;IF(M345&amp;""="","NULL::smallint",M345&amp;"::smallint")&amp;", p_mes_fabricacion =&gt; "&amp;IF(N345&amp;""="","NULL::smallint",N345&amp;"::smallint")&amp;", p_fecha_ultima_prueba_hidrostatica =&gt; "&amp;IF(O345&amp;""="","NULL","'"&amp;YEAR(O345)&amp;"-"&amp;TEXT(MONTH(O345),"00")&amp;"-"&amp;TEXT(DAY(O345),"00")&amp;"'")&amp;", p_numero_serie =&gt; "&amp;IF(TRIM(Q345&amp;"")="","NULL","'"&amp;SUBSTITUTE(TRIM(Q345),"'","''")&amp;"'")&amp;", p_id_marca_cilindro =&gt; "&amp;IF(TRIM(R345&amp;"")="","NULL","(SELECT lo.id FROM gen_lista_opciones lo JOIN gen_lista l ON l.id = lo.id_lista WHERE l.nombre = 'MarcaCilindro' AND upper(lo.nombre) = upper('"&amp;SUBSTITUTE(TRIM(R345),"'","''")&amp;"') AND lo.estado = 1 LIMIT 1)")&amp;", p_id_organo_inspector =&gt; "&amp;IF(TRIM(S345&amp;"")="","NULL","(SELECT lo.id FROM gen_lista_opciones lo JOIN gen_lista l ON l.id = lo.id_lista WHERE l.nombre = 'OrganoInspectorCilindro' AND upper(lo.nombre) = upper('"&amp;SUBSTITUTE(TRIM(S345),"'","''")&amp;"') AND lo.estado = 1 LIMIT 1)")&amp;", p_organo_inspector_no_aplica =&gt; "&amp;IF(S345="NO_APLICA","TRUE","FALSE")&amp;", p_presion_actual =&gt; "&amp;IF(T345&amp;""="","NULL",SUBSTITUTE(T345&amp;"",",","."))&amp;", p_tipo_valvula =&gt; "&amp;IF(TRIM(U345&amp;"")="","NULL","'"&amp;SUBSTITUTE(TRIM(U345),"'","''")&amp;"'")&amp;", p_libro_cilindro =&gt; "&amp;IF(TRIM(V345&amp;"")="","NULL","'"&amp;SUBSTITUTE(TRIM(V345),"'","''")&amp;"'")&amp;", p_pagina_libro =&gt; "&amp;IF(W345&amp;""="","NULL",SUBSTITUTE(W345&amp;"",",","."))&amp;", p_observacion =&gt; "&amp;IF(TRIM(X345&amp;"")="","NULL","'"&amp;SUBSTITUTE(TRIM(X345),"'","''")&amp;"'")&amp;") AS resultado_balon_"&amp;ROW()&amp;";")</f>
        <v/>
      </c>
    </row>
    <row r="346" ht="15.75" customHeight="1" s="64">
      <c r="A346" s="36" t="inlineStr">
        <is>
          <t>342</t>
        </is>
      </c>
      <c r="B346" s="25">
        <f>IF(AND(C346="",D346="",E346=""),"",IF(C346="","FALTA código balón",IF(D346="","FALTA tipo balón",IF(E346="","FALTA gas",IF(F346="","FALTA propietario",IF(AND(C346&lt;&gt;"",SUMPRODUCT(--($C$5:$C$1200=C346))&gt;1),"CÓDIGO BALÓN DUPLICADO",IF(AND(OR(UPPER(F346)="PLANTA",UPPER(F346)="CLIENTE"),G346=""),"FALTA doc propietario/planta",IF(AND(UPPER(F346)="PLANTA",G346="10175332796"),"PLANTA no puede ser RUC empresa","OK"))))))))</f>
        <v/>
      </c>
      <c r="C346" s="23" t="inlineStr">
        <is>
          <t>FC017176</t>
        </is>
      </c>
      <c r="D346" s="17" t="inlineStr">
        <is>
          <t>Oxígeno Industrial 10 m³</t>
        </is>
      </c>
      <c r="E346" s="17" t="inlineStr">
        <is>
          <t>OXIGENO INDUSTRIAL</t>
        </is>
      </c>
      <c r="F346" s="17" t="inlineStr">
        <is>
          <t>EMPRESA</t>
        </is>
      </c>
      <c r="G346" s="23" t="inlineStr">
        <is>
          <t>10175332796</t>
        </is>
      </c>
      <c r="H346" s="25">
        <f t="array" ref="H346">IF(G346="","",IFERROR(IF(INDEX(Clientes!$D$5:$D$549,MATCH(G346,Clientes!$C$5:$C$549,0))&lt;&gt;"",INDEX(Clientes!$D$5:$D$549,MATCH(G346,Clientes!$C$5:$C$549,0)),TRIM(INDEX(Clientes!$E$5:$E$549,MATCH(G346,Clientes!$C$5:$C$549,0))&amp;" "&amp;INDEX(Clientes!$F$5:$F$549,MATCH(G346,Clientes!$C$5:$C$549,0)))),"NO EXISTE en Clientes"))</f>
        <v/>
      </c>
      <c r="I346" s="17" t="inlineStr">
        <is>
          <t>DISPONIBLE</t>
        </is>
      </c>
      <c r="J346" s="17" t="inlineStr">
        <is>
          <t>ALMACEN PRINCIPAL</t>
        </is>
      </c>
      <c r="K346" s="23" t="n"/>
      <c r="L346" s="25">
        <f t="array" ref="L346">IF(K346="","",IFERROR(IF(INDEX(Clientes!$D$5:$D$549,MATCH(K346,Clientes!$C$5:$C$549,0))&lt;&gt;"",INDEX(Clientes!$D$5:$D$549,MATCH(K346,Clientes!$C$5:$C$549,0)),TRIM(INDEX(Clientes!$E$5:$E$549,MATCH(K346,Clientes!$C$5:$C$549,0))&amp;" "&amp;INDEX(Clientes!$F$5:$F$549,MATCH(K346,Clientes!$C$5:$C$549,0)))),"NO EXISTE en Clientes"))</f>
        <v/>
      </c>
      <c r="M346" s="17" t="n"/>
      <c r="N346" s="17" t="n"/>
      <c r="O346" s="42" t="n"/>
      <c r="P346" s="39">
        <f>IF(O346&lt;&gt;"",DATE(YEAR(O346)+5,MONTH(O346),1),IF(AND(M346&lt;&gt;"",N346&lt;&gt;""),DATE(M346+5,N346,1),""))</f>
        <v/>
      </c>
      <c r="Q346" s="23" t="n"/>
      <c r="R346" s="17" t="n"/>
      <c r="S346" s="17" t="n"/>
      <c r="T346" s="17" t="n"/>
      <c r="U346" s="17" t="n"/>
      <c r="V346" s="23" t="n"/>
      <c r="W346" s="17" t="n"/>
      <c r="X346" s="17" t="n"/>
      <c r="Y346" s="28">
        <f>IF(B346&lt;&gt;"OK","","SELECT bal_crear_balon(p_codigo_balon =&gt; "&amp;IF(TRIM(C346&amp;"")="","NULL","'"&amp;SUBSTITUTE(TRIM(C346),"'","''")&amp;"'")&amp;", p_id_tipo_balon =&gt; "&amp;"(SELECT id FROM bal_tipo_balon WHERE upper(nombre) = upper('"&amp;SUBSTITUTE(TRIM(D346),"'","''")&amp;"') AND estado = 1 LIMIT 1)"&amp;", p_id_producto_gas =&gt; "&amp;"(SELECT id FROM pro_producto WHERE es_gas = TRUE AND upper(nombre) = upper('"&amp;SUBSTITUTE(TRIM(E346),"'","''")&amp;"') AND estado = 1 LIMIT 1)"&amp;", p_id_propietario =&gt; "&amp;IF(TRIM(F346&amp;"")="","NULL","(SELECT lo.id FROM gen_lista_opciones lo JOIN gen_lista l ON l.id = lo.id_lista WHERE l.nombre = 'PropietarioBalon' AND upper(lo.nombre) = upper('"&amp;SUBSTITUTE(TRIM(F346),"'","''")&amp;"') AND lo.estado = 1 LIMIT 1)")&amp;", p_id_cliente_propietario =&gt; "&amp;IF(F346="CLIENTE",IF(TRIM(G346&amp;"")="","NULL","(SELECT id FROM cli_clientes WHERE numero_documento = '"&amp;SUBSTITUTE(TRIM(G346),"'","''")&amp;"' AND estado = 1 LIMIT 1)"),"NULL")&amp;", p_id_planta =&gt; "&amp;IF(F346="PLANTA",IF(TRIM(G346&amp;"")="","NULL","(SELECT id FROM cli_clientes WHERE numero_documento = '"&amp;SUBSTITUTE(TRIM(G346),"'","''")&amp;"'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"&amp;IF(TRIM(J346&amp;"")="","NULL","(SELECT id FROM gen_almacen WHERE upper(nombre) = upper('"&amp;SUBSTITUTE(TRIM(J346),"'","''")&amp;"') AND estado = 1 LIMIT 1)")&amp;", p_id_cliente_ubicacion =&gt; "&amp;IF(TRIM(K346&amp;"")="","NULL","(SELECT id FROM cli_clientes WHERE numero_documento = '"&amp;SUBSTITUTE(TRIM(K346),"'","''")&amp;"' AND estado = 1 LIMIT 1)")&amp;", p_id_referencia =&gt; "&amp;IF(TRIM(J346&amp;"")&lt;&gt;"","(SELECT lo.id FROM gen_lista_opciones lo JOIN gen_lista l ON l.id = lo.id_lista WHERE l.nombre = 'ReferenciaCilindro' AND upper(lo.nombre) = 'ALMACEN' AND lo.estado = 1 LIMIT 1)",IF(TRIM(K346&amp;"")&lt;&gt;"","(SELECT lo.id FROM gen_lista_opciones lo JOIN gen_lista l ON l.id = lo.id_lista WHERE l.nombre = 'ReferenciaCilindro' AND upper(lo.nombre) = 'CLIENTE' AND lo.estado = 1 LIMIT 1)","NULL"))&amp;", p_anio_fabricacion =&gt; "&amp;IF(M346&amp;""="","NULL::smallint",M346&amp;"::smallint")&amp;", p_mes_fabricacion =&gt; "&amp;IF(N346&amp;""="","NULL::smallint",N346&amp;"::smallint")&amp;", p_fecha_ultima_prueba_hidrostatica =&gt; "&amp;IF(O346&amp;""="","NULL","'"&amp;YEAR(O346)&amp;"-"&amp;TEXT(MONTH(O346),"00")&amp;"-"&amp;TEXT(DAY(O346),"00")&amp;"'")&amp;", p_numero_serie =&gt; "&amp;IF(TRIM(Q346&amp;"")="","NULL","'"&amp;SUBSTITUTE(TRIM(Q346),"'","''")&amp;"'")&amp;", p_id_marca_cilindro =&gt; "&amp;IF(TRIM(R346&amp;"")="","NULL","(SELECT lo.id FROM gen_lista_opciones lo JOIN gen_lista l ON l.id = lo.id_lista WHERE l.nombre = 'MarcaCilindro' AND upper(lo.nombre) = upper('"&amp;SUBSTITUTE(TRIM(R346),"'","''")&amp;"') AND lo.estado = 1 LIMIT 1)")&amp;", p_id_organo_inspector =&gt; "&amp;IF(TRIM(S346&amp;"")="","NULL","(SELECT lo.id FROM gen_lista_opciones lo JOIN gen_lista l ON l.id = lo.id_lista WHERE l.nombre = 'OrganoInspectorCilindro' AND upper(lo.nombre) = upper('"&amp;SUBSTITUTE(TRIM(S346),"'","''")&amp;"') AND lo.estado = 1 LIMIT 1)")&amp;", p_organo_inspector_no_aplica =&gt; "&amp;IF(S346="NO_APLICA","TRUE","FALSE")&amp;", p_presion_actual =&gt; "&amp;IF(T346&amp;""="","NULL",SUBSTITUTE(T346&amp;"",",","."))&amp;", p_tipo_valvula =&gt; "&amp;IF(TRIM(U346&amp;"")="","NULL","'"&amp;SUBSTITUTE(TRIM(U346),"'","''")&amp;"'")&amp;", p_libro_cilindro =&gt; "&amp;IF(TRIM(V346&amp;"")="","NULL","'"&amp;SUBSTITUTE(TRIM(V346),"'","''")&amp;"'")&amp;", p_pagina_libro =&gt; "&amp;IF(W346&amp;""="","NULL",SUBSTITUTE(W346&amp;"",",","."))&amp;", p_observacion =&gt; "&amp;IF(TRIM(X346&amp;"")="","NULL","'"&amp;SUBSTITUTE(TRIM(X346),"'","''")&amp;"'")&amp;") AS resultado_balon_"&amp;ROW()&amp;";")</f>
        <v/>
      </c>
    </row>
    <row r="347" ht="15.75" customHeight="1" s="64">
      <c r="A347" s="36" t="inlineStr">
        <is>
          <t>343</t>
        </is>
      </c>
      <c r="B347" s="25">
        <f>IF(AND(C347="",D347="",E347=""),"",IF(C347="","FALTA código balón",IF(D347="","FALTA tipo balón",IF(E347="","FALTA gas",IF(F347="","FALTA propietario",IF(AND(C347&lt;&gt;"",SUMPRODUCT(--($C$5:$C$1200=C347))&gt;1),"CÓDIGO BALÓN DUPLICADO",IF(AND(OR(UPPER(F347)="PLANTA",UPPER(F347)="CLIENTE"),G347=""),"FALTA doc propietario/planta",IF(AND(UPPER(F347)="PLANTA",G347="10175332796"),"PLANTA no puede ser RUC empresa","OK"))))))))</f>
        <v/>
      </c>
      <c r="C347" s="23" t="inlineStr">
        <is>
          <t>FC019150</t>
        </is>
      </c>
      <c r="D347" s="17" t="inlineStr">
        <is>
          <t>Oxígeno Industrial 10 m³</t>
        </is>
      </c>
      <c r="E347" s="17" t="inlineStr">
        <is>
          <t>OXIGENO INDUSTRIAL</t>
        </is>
      </c>
      <c r="F347" s="17" t="inlineStr">
        <is>
          <t>EMPRESA</t>
        </is>
      </c>
      <c r="G347" s="23" t="inlineStr">
        <is>
          <t>10175332796</t>
        </is>
      </c>
      <c r="H347" s="25">
        <f t="array" ref="H347">IF(G347="","",IFERROR(IF(INDEX(Clientes!$D$5:$D$549,MATCH(G347,Clientes!$C$5:$C$549,0))&lt;&gt;"",INDEX(Clientes!$D$5:$D$549,MATCH(G347,Clientes!$C$5:$C$549,0)),TRIM(INDEX(Clientes!$E$5:$E$549,MATCH(G347,Clientes!$C$5:$C$549,0))&amp;" "&amp;INDEX(Clientes!$F$5:$F$549,MATCH(G347,Clientes!$C$5:$C$549,0)))),"NO EXISTE en Clientes"))</f>
        <v/>
      </c>
      <c r="I347" s="17" t="inlineStr">
        <is>
          <t>DISPONIBLE</t>
        </is>
      </c>
      <c r="J347" s="17" t="inlineStr">
        <is>
          <t>ALMACEN PRINCIPAL</t>
        </is>
      </c>
      <c r="K347" s="23" t="n"/>
      <c r="L347" s="25">
        <f t="array" ref="L347">IF(K347="","",IFERROR(IF(INDEX(Clientes!$D$5:$D$549,MATCH(K347,Clientes!$C$5:$C$549,0))&lt;&gt;"",INDEX(Clientes!$D$5:$D$549,MATCH(K347,Clientes!$C$5:$C$549,0)),TRIM(INDEX(Clientes!$E$5:$E$549,MATCH(K347,Clientes!$C$5:$C$549,0))&amp;" "&amp;INDEX(Clientes!$F$5:$F$549,MATCH(K347,Clientes!$C$5:$C$549,0)))),"NO EXISTE en Clientes"))</f>
        <v/>
      </c>
      <c r="M347" s="17" t="n"/>
      <c r="N347" s="17" t="n"/>
      <c r="O347" s="42" t="n"/>
      <c r="P347" s="39">
        <f>IF(O347&lt;&gt;"",DATE(YEAR(O347)+5,MONTH(O347),1),IF(AND(M347&lt;&gt;"",N347&lt;&gt;""),DATE(M347+5,N347,1),""))</f>
        <v/>
      </c>
      <c r="Q347" s="23" t="n"/>
      <c r="R347" s="17" t="n"/>
      <c r="S347" s="17" t="n"/>
      <c r="T347" s="17" t="n"/>
      <c r="U347" s="17" t="n"/>
      <c r="V347" s="23" t="n"/>
      <c r="W347" s="17" t="n"/>
      <c r="X347" s="17" t="n"/>
      <c r="Y347" s="28">
        <f>IF(B347&lt;&gt;"OK","","SELECT bal_crear_balon(p_codigo_balon =&gt; "&amp;IF(TRIM(C347&amp;"")="","NULL","'"&amp;SUBSTITUTE(TRIM(C347),"'","''")&amp;"'")&amp;", p_id_tipo_balon =&gt; "&amp;"(SELECT id FROM bal_tipo_balon WHERE upper(nombre) = upper('"&amp;SUBSTITUTE(TRIM(D347),"'","''")&amp;"') AND estado = 1 LIMIT 1)"&amp;", p_id_producto_gas =&gt; "&amp;"(SELECT id FROM pro_producto WHERE es_gas = TRUE AND upper(nombre) = upper('"&amp;SUBSTITUTE(TRIM(E347),"'","''")&amp;"') AND estado = 1 LIMIT 1)"&amp;", p_id_propietario =&gt; "&amp;IF(TRIM(F347&amp;"")="","NULL","(SELECT lo.id FROM gen_lista_opciones lo JOIN gen_lista l ON l.id = lo.id_lista WHERE l.nombre = 'PropietarioBalon' AND upper(lo.nombre) = upper('"&amp;SUBSTITUTE(TRIM(F347),"'","''")&amp;"') AND lo.estado = 1 LIMIT 1)")&amp;", p_id_cliente_propietario =&gt; "&amp;IF(F347="CLIENTE",IF(TRIM(G347&amp;"")="","NULL","(SELECT id FROM cli_clientes WHERE numero_documento = '"&amp;SUBSTITUTE(TRIM(G347),"'","''")&amp;"' AND estado = 1 LIMIT 1)"),"NULL")&amp;", p_id_planta =&gt; "&amp;IF(F347="PLANTA",IF(TRIM(G347&amp;"")="","NULL","(SELECT id FROM cli_clientes WHERE numero_documento = '"&amp;SUBSTITUTE(TRIM(G347),"'","''")&amp;"'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"&amp;IF(TRIM(J347&amp;"")="","NULL","(SELECT id FROM gen_almacen WHERE upper(nombre) = upper('"&amp;SUBSTITUTE(TRIM(J347),"'","''")&amp;"') AND estado = 1 LIMIT 1)")&amp;", p_id_cliente_ubicacion =&gt; "&amp;IF(TRIM(K347&amp;"")="","NULL","(SELECT id FROM cli_clientes WHERE numero_documento = '"&amp;SUBSTITUTE(TRIM(K347),"'","''")&amp;"' AND estado = 1 LIMIT 1)")&amp;", p_id_referencia =&gt; "&amp;IF(TRIM(J347&amp;"")&lt;&gt;"","(SELECT lo.id FROM gen_lista_opciones lo JOIN gen_lista l ON l.id = lo.id_lista WHERE l.nombre = 'ReferenciaCilindro' AND upper(lo.nombre) = 'ALMACEN' AND lo.estado = 1 LIMIT 1)",IF(TRIM(K347&amp;"")&lt;&gt;"","(SELECT lo.id FROM gen_lista_opciones lo JOIN gen_lista l ON l.id = lo.id_lista WHERE l.nombre = 'ReferenciaCilindro' AND upper(lo.nombre) = 'CLIENTE' AND lo.estado = 1 LIMIT 1)","NULL"))&amp;", p_anio_fabricacion =&gt; "&amp;IF(M347&amp;""="","NULL::smallint",M347&amp;"::smallint")&amp;", p_mes_fabricacion =&gt; "&amp;IF(N347&amp;""="","NULL::smallint",N347&amp;"::smallint")&amp;", p_fecha_ultima_prueba_hidrostatica =&gt; "&amp;IF(O347&amp;""="","NULL","'"&amp;YEAR(O347)&amp;"-"&amp;TEXT(MONTH(O347),"00")&amp;"-"&amp;TEXT(DAY(O347),"00")&amp;"'")&amp;", p_numero_serie =&gt; "&amp;IF(TRIM(Q347&amp;"")="","NULL","'"&amp;SUBSTITUTE(TRIM(Q347),"'","''")&amp;"'")&amp;", p_id_marca_cilindro =&gt; "&amp;IF(TRIM(R347&amp;"")="","NULL","(SELECT lo.id FROM gen_lista_opciones lo JOIN gen_lista l ON l.id = lo.id_lista WHERE l.nombre = 'MarcaCilindro' AND upper(lo.nombre) = upper('"&amp;SUBSTITUTE(TRIM(R347),"'","''")&amp;"') AND lo.estado = 1 LIMIT 1)")&amp;", p_id_organo_inspector =&gt; "&amp;IF(TRIM(S347&amp;"")="","NULL","(SELECT lo.id FROM gen_lista_opciones lo JOIN gen_lista l ON l.id = lo.id_lista WHERE l.nombre = 'OrganoInspectorCilindro' AND upper(lo.nombre) = upper('"&amp;SUBSTITUTE(TRIM(S347),"'","''")&amp;"') AND lo.estado = 1 LIMIT 1)")&amp;", p_organo_inspector_no_aplica =&gt; "&amp;IF(S347="NO_APLICA","TRUE","FALSE")&amp;", p_presion_actual =&gt; "&amp;IF(T347&amp;""="","NULL",SUBSTITUTE(T347&amp;"",",","."))&amp;", p_tipo_valvula =&gt; "&amp;IF(TRIM(U347&amp;"")="","NULL","'"&amp;SUBSTITUTE(TRIM(U347),"'","''")&amp;"'")&amp;", p_libro_cilindro =&gt; "&amp;IF(TRIM(V347&amp;"")="","NULL","'"&amp;SUBSTITUTE(TRIM(V347),"'","''")&amp;"'")&amp;", p_pagina_libro =&gt; "&amp;IF(W347&amp;""="","NULL",SUBSTITUTE(W347&amp;"",",","."))&amp;", p_observacion =&gt; "&amp;IF(TRIM(X347&amp;"")="","NULL","'"&amp;SUBSTITUTE(TRIM(X347),"'","''")&amp;"'")&amp;") AS resultado_balon_"&amp;ROW()&amp;";")</f>
        <v/>
      </c>
    </row>
    <row r="348" ht="15.75" customHeight="1" s="64">
      <c r="A348" s="36" t="inlineStr">
        <is>
          <t>344</t>
        </is>
      </c>
      <c r="B348" s="25">
        <f>IF(AND(C348="",D348="",E348=""),"",IF(C348="","FALTA código balón",IF(D348="","FALTA tipo balón",IF(E348="","FALTA gas",IF(F348="","FALTA propietario",IF(AND(C348&lt;&gt;"",SUMPRODUCT(--($C$5:$C$1200=C348))&gt;1),"CÓDIGO BALÓN DUPLICADO",IF(AND(OR(UPPER(F348)="PLANTA",UPPER(F348)="CLIENTE"),G348=""),"FALTA doc propietario/planta",IF(AND(UPPER(F348)="PLANTA",G348="10175332796"),"PLANTA no puede ser RUC empresa","OK"))))))))</f>
        <v/>
      </c>
      <c r="C348" s="23" t="inlineStr">
        <is>
          <t>FC019067</t>
        </is>
      </c>
      <c r="D348" s="17" t="inlineStr">
        <is>
          <t>Oxígeno Industrial 10 m³</t>
        </is>
      </c>
      <c r="E348" s="17" t="inlineStr">
        <is>
          <t>OXIGENO INDUSTRIAL</t>
        </is>
      </c>
      <c r="F348" s="17" t="inlineStr">
        <is>
          <t>EMPRESA</t>
        </is>
      </c>
      <c r="G348" s="23" t="inlineStr">
        <is>
          <t>10175332796</t>
        </is>
      </c>
      <c r="H348" s="25">
        <f t="array" ref="H348">IF(G348="","",IFERROR(IF(INDEX(Clientes!$D$5:$D$549,MATCH(G348,Clientes!$C$5:$C$549,0))&lt;&gt;"",INDEX(Clientes!$D$5:$D$549,MATCH(G348,Clientes!$C$5:$C$549,0)),TRIM(INDEX(Clientes!$E$5:$E$549,MATCH(G348,Clientes!$C$5:$C$549,0))&amp;" "&amp;INDEX(Clientes!$F$5:$F$549,MATCH(G348,Clientes!$C$5:$C$549,0)))),"NO EXISTE en Clientes"))</f>
        <v/>
      </c>
      <c r="I348" s="17" t="inlineStr">
        <is>
          <t>DISPONIBLE</t>
        </is>
      </c>
      <c r="J348" s="17" t="inlineStr">
        <is>
          <t>ALMACEN PRINCIPAL</t>
        </is>
      </c>
      <c r="K348" s="23" t="n"/>
      <c r="L348" s="25">
        <f t="array" ref="L348">IF(K348="","",IFERROR(IF(INDEX(Clientes!$D$5:$D$549,MATCH(K348,Clientes!$C$5:$C$549,0))&lt;&gt;"",INDEX(Clientes!$D$5:$D$549,MATCH(K348,Clientes!$C$5:$C$549,0)),TRIM(INDEX(Clientes!$E$5:$E$549,MATCH(K348,Clientes!$C$5:$C$549,0))&amp;" "&amp;INDEX(Clientes!$F$5:$F$549,MATCH(K348,Clientes!$C$5:$C$549,0)))),"NO EXISTE en Clientes"))</f>
        <v/>
      </c>
      <c r="M348" s="17" t="n"/>
      <c r="N348" s="17" t="n"/>
      <c r="O348" s="42" t="n"/>
      <c r="P348" s="39">
        <f>IF(O348&lt;&gt;"",DATE(YEAR(O348)+5,MONTH(O348),1),IF(AND(M348&lt;&gt;"",N348&lt;&gt;""),DATE(M348+5,N348,1),""))</f>
        <v/>
      </c>
      <c r="Q348" s="23" t="n"/>
      <c r="R348" s="17" t="n"/>
      <c r="S348" s="17" t="n"/>
      <c r="T348" s="17" t="n"/>
      <c r="U348" s="17" t="n"/>
      <c r="V348" s="23" t="n"/>
      <c r="W348" s="17" t="n"/>
      <c r="X348" s="17" t="n"/>
      <c r="Y348" s="28">
        <f>IF(B348&lt;&gt;"OK","","SELECT bal_crear_balon(p_codigo_balon =&gt; "&amp;IF(TRIM(C348&amp;"")="","NULL","'"&amp;SUBSTITUTE(TRIM(C348),"'","''")&amp;"'")&amp;", p_id_tipo_balon =&gt; "&amp;"(SELECT id FROM bal_tipo_balon WHERE upper(nombre) = upper('"&amp;SUBSTITUTE(TRIM(D348),"'","''")&amp;"') AND estado = 1 LIMIT 1)"&amp;", p_id_producto_gas =&gt; "&amp;"(SELECT id FROM pro_producto WHERE es_gas = TRUE AND upper(nombre) = upper('"&amp;SUBSTITUTE(TRIM(E348),"'","''")&amp;"') AND estado = 1 LIMIT 1)"&amp;", p_id_propietario =&gt; "&amp;IF(TRIM(F348&amp;"")="","NULL","(SELECT lo.id FROM gen_lista_opciones lo JOIN gen_lista l ON l.id = lo.id_lista WHERE l.nombre = 'PropietarioBalon' AND upper(lo.nombre) = upper('"&amp;SUBSTITUTE(TRIM(F348),"'","''")&amp;"') AND lo.estado = 1 LIMIT 1)")&amp;", p_id_cliente_propietario =&gt; "&amp;IF(F348="CLIENTE",IF(TRIM(G348&amp;"")="","NULL","(SELECT id FROM cli_clientes WHERE numero_documento = '"&amp;SUBSTITUTE(TRIM(G348),"'","''")&amp;"' AND estado = 1 LIMIT 1)"),"NULL")&amp;", p_id_planta =&gt; "&amp;IF(F348="PLANTA",IF(TRIM(G348&amp;"")="","NULL","(SELECT id FROM cli_clientes WHERE numero_documento = '"&amp;SUBSTITUTE(TRIM(G348),"'","''")&amp;"'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"&amp;IF(TRIM(J348&amp;"")="","NULL","(SELECT id FROM gen_almacen WHERE upper(nombre) = upper('"&amp;SUBSTITUTE(TRIM(J348),"'","''")&amp;"') AND estado = 1 LIMIT 1)")&amp;", p_id_cliente_ubicacion =&gt; "&amp;IF(TRIM(K348&amp;"")="","NULL","(SELECT id FROM cli_clientes WHERE numero_documento = '"&amp;SUBSTITUTE(TRIM(K348),"'","''")&amp;"' AND estado = 1 LIMIT 1)")&amp;", p_id_referencia =&gt; "&amp;IF(TRIM(J348&amp;"")&lt;&gt;"","(SELECT lo.id FROM gen_lista_opciones lo JOIN gen_lista l ON l.id = lo.id_lista WHERE l.nombre = 'ReferenciaCilindro' AND upper(lo.nombre) = 'ALMACEN' AND lo.estado = 1 LIMIT 1)",IF(TRIM(K348&amp;"")&lt;&gt;"","(SELECT lo.id FROM gen_lista_opciones lo JOIN gen_lista l ON l.id = lo.id_lista WHERE l.nombre = 'ReferenciaCilindro' AND upper(lo.nombre) = 'CLIENTE' AND lo.estado = 1 LIMIT 1)","NULL"))&amp;", p_anio_fabricacion =&gt; "&amp;IF(M348&amp;""="","NULL::smallint",M348&amp;"::smallint")&amp;", p_mes_fabricacion =&gt; "&amp;IF(N348&amp;""="","NULL::smallint",N348&amp;"::smallint")&amp;", p_fecha_ultima_prueba_hidrostatica =&gt; "&amp;IF(O348&amp;""="","NULL","'"&amp;YEAR(O348)&amp;"-"&amp;TEXT(MONTH(O348),"00")&amp;"-"&amp;TEXT(DAY(O348),"00")&amp;"'")&amp;", p_numero_serie =&gt; "&amp;IF(TRIM(Q348&amp;"")="","NULL","'"&amp;SUBSTITUTE(TRIM(Q348),"'","''")&amp;"'")&amp;", p_id_marca_cilindro =&gt; "&amp;IF(TRIM(R348&amp;"")="","NULL","(SELECT lo.id FROM gen_lista_opciones lo JOIN gen_lista l ON l.id = lo.id_lista WHERE l.nombre = 'MarcaCilindro' AND upper(lo.nombre) = upper('"&amp;SUBSTITUTE(TRIM(R348),"'","''")&amp;"') AND lo.estado = 1 LIMIT 1)")&amp;", p_id_organo_inspector =&gt; "&amp;IF(TRIM(S348&amp;"")="","NULL","(SELECT lo.id FROM gen_lista_opciones lo JOIN gen_lista l ON l.id = lo.id_lista WHERE l.nombre = 'OrganoInspectorCilindro' AND upper(lo.nombre) = upper('"&amp;SUBSTITUTE(TRIM(S348),"'","''")&amp;"') AND lo.estado = 1 LIMIT 1)")&amp;", p_organo_inspector_no_aplica =&gt; "&amp;IF(S348="NO_APLICA","TRUE","FALSE")&amp;", p_presion_actual =&gt; "&amp;IF(T348&amp;""="","NULL",SUBSTITUTE(T348&amp;"",",","."))&amp;", p_tipo_valvula =&gt; "&amp;IF(TRIM(U348&amp;"")="","NULL","'"&amp;SUBSTITUTE(TRIM(U348),"'","''")&amp;"'")&amp;", p_libro_cilindro =&gt; "&amp;IF(TRIM(V348&amp;"")="","NULL","'"&amp;SUBSTITUTE(TRIM(V348),"'","''")&amp;"'")&amp;", p_pagina_libro =&gt; "&amp;IF(W348&amp;""="","NULL",SUBSTITUTE(W348&amp;"",",","."))&amp;", p_observacion =&gt; "&amp;IF(TRIM(X348&amp;"")="","NULL","'"&amp;SUBSTITUTE(TRIM(X348),"'","''")&amp;"'")&amp;") AS resultado_balon_"&amp;ROW()&amp;";")</f>
        <v/>
      </c>
    </row>
    <row r="349" ht="15.75" customHeight="1" s="64">
      <c r="A349" s="36" t="inlineStr">
        <is>
          <t>345</t>
        </is>
      </c>
      <c r="B349" s="25">
        <f>IF(AND(C349="",D349="",E349=""),"",IF(C349="","FALTA código balón",IF(D349="","FALTA tipo balón",IF(E349="","FALTA gas",IF(F349="","FALTA propietario",IF(AND(C349&lt;&gt;"",SUMPRODUCT(--($C$5:$C$1200=C349))&gt;1),"CÓDIGO BALÓN DUPLICADO",IF(AND(OR(UPPER(F349)="PLANTA",UPPER(F349)="CLIENTE"),G349=""),"FALTA doc propietario/planta",IF(AND(UPPER(F349)="PLANTA",G349="10175332796"),"PLANTA no puede ser RUC empresa","OK"))))))))</f>
        <v/>
      </c>
      <c r="C349" s="23" t="inlineStr">
        <is>
          <t>18444</t>
        </is>
      </c>
      <c r="D349" s="17" t="inlineStr">
        <is>
          <t>Oxígeno Industrial 6 m³</t>
        </is>
      </c>
      <c r="E349" s="17" t="inlineStr">
        <is>
          <t>OXIGENO INDUSTRIAL</t>
        </is>
      </c>
      <c r="F349" s="17" t="inlineStr">
        <is>
          <t>EMPRESA</t>
        </is>
      </c>
      <c r="G349" s="23" t="inlineStr">
        <is>
          <t>10175332796</t>
        </is>
      </c>
      <c r="H349" s="25">
        <f t="array" ref="H349">IF(G349="","",IFERROR(IF(INDEX(Clientes!$D$5:$D$549,MATCH(G349,Clientes!$C$5:$C$549,0))&lt;&gt;"",INDEX(Clientes!$D$5:$D$549,MATCH(G349,Clientes!$C$5:$C$549,0)),TRIM(INDEX(Clientes!$E$5:$E$549,MATCH(G349,Clientes!$C$5:$C$549,0))&amp;" "&amp;INDEX(Clientes!$F$5:$F$549,MATCH(G349,Clientes!$C$5:$C$549,0)))),"NO EXISTE en Clientes"))</f>
        <v/>
      </c>
      <c r="I349" s="17" t="inlineStr">
        <is>
          <t>ALMACEN EXTRAVIADO</t>
        </is>
      </c>
      <c r="J349" s="17" t="n"/>
      <c r="K349" s="23" t="n"/>
      <c r="L349" s="25">
        <f t="array" ref="L349">IF(K349="","",IFERROR(IF(INDEX(Clientes!$D$5:$D$549,MATCH(K349,Clientes!$C$5:$C$549,0))&lt;&gt;"",INDEX(Clientes!$D$5:$D$549,MATCH(K349,Clientes!$C$5:$C$549,0)),TRIM(INDEX(Clientes!$E$5:$E$549,MATCH(K349,Clientes!$C$5:$C$549,0))&amp;" "&amp;INDEX(Clientes!$F$5:$F$549,MATCH(K349,Clientes!$C$5:$C$549,0)))),"NO EXISTE en Clientes"))</f>
        <v/>
      </c>
      <c r="M349" s="17" t="n"/>
      <c r="N349" s="17" t="n"/>
      <c r="O349" s="42" t="n"/>
      <c r="P349" s="39">
        <f>IF(O349&lt;&gt;"",DATE(YEAR(O349)+5,MONTH(O349),1),IF(AND(M349&lt;&gt;"",N349&lt;&gt;""),DATE(M349+5,N349,1),""))</f>
        <v/>
      </c>
      <c r="Q349" s="23" t="n"/>
      <c r="R349" s="17" t="n"/>
      <c r="S349" s="17" t="n"/>
      <c r="T349" s="17" t="n"/>
      <c r="U349" s="17" t="n"/>
      <c r="V349" s="23" t="n"/>
      <c r="W349" s="17" t="n"/>
      <c r="X349" s="17" t="n"/>
      <c r="Y349" s="28">
        <f>IF(B349&lt;&gt;"OK","","SELECT bal_crear_balon(p_codigo_balon =&gt; "&amp;IF(TRIM(C349&amp;"")="","NULL","'"&amp;SUBSTITUTE(TRIM(C349),"'","''")&amp;"'")&amp;", p_id_tipo_balon =&gt; "&amp;"(SELECT id FROM bal_tipo_balon WHERE upper(nombre) = upper('"&amp;SUBSTITUTE(TRIM(D349),"'","''")&amp;"') AND estado = 1 LIMIT 1)"&amp;", p_id_producto_gas =&gt; "&amp;"(SELECT id FROM pro_producto WHERE es_gas = TRUE AND upper(nombre) = upper('"&amp;SUBSTITUTE(TRIM(E349),"'","''")&amp;"') AND estado = 1 LIMIT 1)"&amp;", p_id_propietario =&gt; "&amp;IF(TRIM(F349&amp;"")="","NULL","(SELECT lo.id FROM gen_lista_opciones lo JOIN gen_lista l ON l.id = lo.id_lista WHERE l.nombre = 'PropietarioBalon' AND upper(lo.nombre) = upper('"&amp;SUBSTITUTE(TRIM(F349),"'","''")&amp;"') AND lo.estado = 1 LIMIT 1)")&amp;", p_id_cliente_propietario =&gt; "&amp;IF(F349="CLIENTE",IF(TRIM(G349&amp;"")="","NULL","(SELECT id FROM cli_clientes WHERE numero_documento = '"&amp;SUBSTITUTE(TRIM(G349),"'","''")&amp;"' AND estado = 1 LIMIT 1)"),"NULL")&amp;", p_id_planta =&gt; "&amp;IF(F349="PLANTA",IF(TRIM(G349&amp;"")="","NULL","(SELECT id FROM cli_clientes WHERE numero_documento = '"&amp;SUBSTITUTE(TRIM(G349),"'","''")&amp;"'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"&amp;IF(TRIM(J349&amp;"")="","NULL","(SELECT id FROM gen_almacen WHERE upper(nombre) = upper('"&amp;SUBSTITUTE(TRIM(J349),"'","''")&amp;"') AND estado = 1 LIMIT 1)")&amp;", p_id_cliente_ubicacion =&gt; "&amp;IF(TRIM(K349&amp;"")="","NULL","(SELECT id FROM cli_clientes WHERE numero_documento = '"&amp;SUBSTITUTE(TRIM(K349),"'","''")&amp;"' AND estado = 1 LIMIT 1)")&amp;", p_id_referencia =&gt; "&amp;IF(TRIM(J349&amp;"")&lt;&gt;"","(SELECT lo.id FROM gen_lista_opciones lo JOIN gen_lista l ON l.id = lo.id_lista WHERE l.nombre = 'ReferenciaCilindro' AND upper(lo.nombre) = 'ALMACEN' AND lo.estado = 1 LIMIT 1)",IF(TRIM(K349&amp;"")&lt;&gt;"","(SELECT lo.id FROM gen_lista_opciones lo JOIN gen_lista l ON l.id = lo.id_lista WHERE l.nombre = 'ReferenciaCilindro' AND upper(lo.nombre) = 'CLIENTE' AND lo.estado = 1 LIMIT 1)","NULL"))&amp;", p_anio_fabricacion =&gt; "&amp;IF(M349&amp;""="","NULL::smallint",M349&amp;"::smallint")&amp;", p_mes_fabricacion =&gt; "&amp;IF(N349&amp;""="","NULL::smallint",N349&amp;"::smallint")&amp;", p_fecha_ultima_prueba_hidrostatica =&gt; "&amp;IF(O349&amp;""="","NULL","'"&amp;YEAR(O349)&amp;"-"&amp;TEXT(MONTH(O349),"00")&amp;"-"&amp;TEXT(DAY(O349),"00")&amp;"'")&amp;", p_numero_serie =&gt; "&amp;IF(TRIM(Q349&amp;"")="","NULL","'"&amp;SUBSTITUTE(TRIM(Q349),"'","''")&amp;"'")&amp;", p_id_marca_cilindro =&gt; "&amp;IF(TRIM(R349&amp;"")="","NULL","(SELECT lo.id FROM gen_lista_opciones lo JOIN gen_lista l ON l.id = lo.id_lista WHERE l.nombre = 'MarcaCilindro' AND upper(lo.nombre) = upper('"&amp;SUBSTITUTE(TRIM(R349),"'","''")&amp;"') AND lo.estado = 1 LIMIT 1)")&amp;", p_id_organo_inspector =&gt; "&amp;IF(TRIM(S349&amp;"")="","NULL","(SELECT lo.id FROM gen_lista_opciones lo JOIN gen_lista l ON l.id = lo.id_lista WHERE l.nombre = 'OrganoInspectorCilindro' AND upper(lo.nombre) = upper('"&amp;SUBSTITUTE(TRIM(S349),"'","''")&amp;"') AND lo.estado = 1 LIMIT 1)")&amp;", p_organo_inspector_no_aplica =&gt; "&amp;IF(S349="NO_APLICA","TRUE","FALSE")&amp;", p_presion_actual =&gt; "&amp;IF(T349&amp;""="","NULL",SUBSTITUTE(T349&amp;"",",","."))&amp;", p_tipo_valvula =&gt; "&amp;IF(TRIM(U349&amp;"")="","NULL","'"&amp;SUBSTITUTE(TRIM(U349),"'","''")&amp;"'")&amp;", p_libro_cilindro =&gt; "&amp;IF(TRIM(V349&amp;"")="","NULL","'"&amp;SUBSTITUTE(TRIM(V349),"'","''")&amp;"'")&amp;", p_pagina_libro =&gt; "&amp;IF(W349&amp;""="","NULL",SUBSTITUTE(W349&amp;"",",","."))&amp;", p_observacion =&gt; "&amp;IF(TRIM(X349&amp;"")="","NULL","'"&amp;SUBSTITUTE(TRIM(X349),"'","''")&amp;"'")&amp;") AS resultado_balon_"&amp;ROW()&amp;";")</f>
        <v/>
      </c>
    </row>
    <row r="350" ht="15.75" customHeight="1" s="64">
      <c r="A350" s="36" t="inlineStr">
        <is>
          <t>346</t>
        </is>
      </c>
      <c r="B350" s="25">
        <f>IF(AND(C350="",D350="",E350=""),"",IF(C350="","FALTA código balón",IF(D350="","FALTA tipo balón",IF(E350="","FALTA gas",IF(F350="","FALTA propietario",IF(AND(C350&lt;&gt;"",SUMPRODUCT(--($C$5:$C$1200=C350))&gt;1),"CÓDIGO BALÓN DUPLICADO",IF(AND(OR(UPPER(F350)="PLANTA",UPPER(F350)="CLIENTE"),G350=""),"FALTA doc propietario/planta",IF(AND(UPPER(F350)="PLANTA",G350="10175332796"),"PLANTA no puede ser RUC empresa","OK"))))))))</f>
        <v/>
      </c>
      <c r="C350" s="23" t="inlineStr">
        <is>
          <t>12121435</t>
        </is>
      </c>
      <c r="D350" s="17" t="inlineStr">
        <is>
          <t>Oxigeno Industrial 8 m³</t>
        </is>
      </c>
      <c r="E350" s="17" t="inlineStr">
        <is>
          <t>OXIGENO INDUSTRIAL</t>
        </is>
      </c>
      <c r="F350" s="17" t="inlineStr">
        <is>
          <t>EMPRESA</t>
        </is>
      </c>
      <c r="G350" s="23" t="inlineStr">
        <is>
          <t>10175332796</t>
        </is>
      </c>
      <c r="H350" s="25">
        <f t="array" ref="H350">IF(G350="","",IFERROR(IF(INDEX(Clientes!$D$5:$D$549,MATCH(G350,Clientes!$C$5:$C$549,0))&lt;&gt;"",INDEX(Clientes!$D$5:$D$549,MATCH(G350,Clientes!$C$5:$C$549,0)),TRIM(INDEX(Clientes!$E$5:$E$549,MATCH(G350,Clientes!$C$5:$C$549,0))&amp;" "&amp;INDEX(Clientes!$F$5:$F$549,MATCH(G350,Clientes!$C$5:$C$549,0)))),"NO EXISTE en Clientes"))</f>
        <v/>
      </c>
      <c r="I350" s="17" t="inlineStr">
        <is>
          <t>ALMACEN EXTRAVIADO</t>
        </is>
      </c>
      <c r="J350" s="17" t="n"/>
      <c r="K350" s="23" t="n"/>
      <c r="L350" s="25">
        <f t="array" ref="L350">IF(K350="","",IFERROR(IF(INDEX(Clientes!$D$5:$D$549,MATCH(K350,Clientes!$C$5:$C$549,0))&lt;&gt;"",INDEX(Clientes!$D$5:$D$549,MATCH(K350,Clientes!$C$5:$C$549,0)),TRIM(INDEX(Clientes!$E$5:$E$549,MATCH(K350,Clientes!$C$5:$C$549,0))&amp;" "&amp;INDEX(Clientes!$F$5:$F$549,MATCH(K350,Clientes!$C$5:$C$549,0)))),"NO EXISTE en Clientes"))</f>
        <v/>
      </c>
      <c r="M350" s="17" t="n"/>
      <c r="N350" s="17" t="n"/>
      <c r="O350" s="42" t="n"/>
      <c r="P350" s="39">
        <f>IF(O350&lt;&gt;"",DATE(YEAR(O350)+5,MONTH(O350),1),IF(AND(M350&lt;&gt;"",N350&lt;&gt;""),DATE(M350+5,N350,1),""))</f>
        <v/>
      </c>
      <c r="Q350" s="23" t="n"/>
      <c r="R350" s="17" t="n"/>
      <c r="S350" s="17" t="n"/>
      <c r="T350" s="17" t="n"/>
      <c r="U350" s="17" t="n"/>
      <c r="V350" s="23" t="n"/>
      <c r="W350" s="17" t="n"/>
      <c r="X350" s="17" t="n"/>
      <c r="Y350" s="28">
        <f>IF(B350&lt;&gt;"OK","","SELECT bal_crear_balon(p_codigo_balon =&gt; "&amp;IF(TRIM(C350&amp;"")="","NULL","'"&amp;SUBSTITUTE(TRIM(C350),"'","''")&amp;"'")&amp;", p_id_tipo_balon =&gt; "&amp;"(SELECT id FROM bal_tipo_balon WHERE upper(nombre) = upper('"&amp;SUBSTITUTE(TRIM(D350),"'","''")&amp;"') AND estado = 1 LIMIT 1)"&amp;", p_id_producto_gas =&gt; "&amp;"(SELECT id FROM pro_producto WHERE es_gas = TRUE AND upper(nombre) = upper('"&amp;SUBSTITUTE(TRIM(E350),"'","''")&amp;"') AND estado = 1 LIMIT 1)"&amp;", p_id_propietario =&gt; "&amp;IF(TRIM(F350&amp;"")="","NULL","(SELECT lo.id FROM gen_lista_opciones lo JOIN gen_lista l ON l.id = lo.id_lista WHERE l.nombre = 'PropietarioBalon' AND upper(lo.nombre) = upper('"&amp;SUBSTITUTE(TRIM(F350),"'","''")&amp;"') AND lo.estado = 1 LIMIT 1)")&amp;", p_id_cliente_propietario =&gt; "&amp;IF(F350="CLIENTE",IF(TRIM(G350&amp;"")="","NULL","(SELECT id FROM cli_clientes WHERE numero_documento = '"&amp;SUBSTITUTE(TRIM(G350),"'","''")&amp;"' AND estado = 1 LIMIT 1)"),"NULL")&amp;", p_id_planta =&gt; "&amp;IF(F350="PLANTA",IF(TRIM(G350&amp;"")="","NULL","(SELECT id FROM cli_clientes WHERE numero_documento = '"&amp;SUBSTITUTE(TRIM(G350),"'","''")&amp;"'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"&amp;IF(TRIM(J350&amp;"")="","NULL","(SELECT id FROM gen_almacen WHERE upper(nombre) = upper('"&amp;SUBSTITUTE(TRIM(J350),"'","''")&amp;"') AND estado = 1 LIMIT 1)")&amp;", p_id_cliente_ubicacion =&gt; "&amp;IF(TRIM(K350&amp;"")="","NULL","(SELECT id FROM cli_clientes WHERE numero_documento = '"&amp;SUBSTITUTE(TRIM(K350),"'","''")&amp;"' AND estado = 1 LIMIT 1)")&amp;", p_id_referencia =&gt; "&amp;IF(TRIM(J350&amp;"")&lt;&gt;"","(SELECT lo.id FROM gen_lista_opciones lo JOIN gen_lista l ON l.id = lo.id_lista WHERE l.nombre = 'ReferenciaCilindro' AND upper(lo.nombre) = 'ALMACEN' AND lo.estado = 1 LIMIT 1)",IF(TRIM(K350&amp;"")&lt;&gt;"","(SELECT lo.id FROM gen_lista_opciones lo JOIN gen_lista l ON l.id = lo.id_lista WHERE l.nombre = 'ReferenciaCilindro' AND upper(lo.nombre) = 'CLIENTE' AND lo.estado = 1 LIMIT 1)","NULL"))&amp;", p_anio_fabricacion =&gt; "&amp;IF(M350&amp;""="","NULL::smallint",M350&amp;"::smallint")&amp;", p_mes_fabricacion =&gt; "&amp;IF(N350&amp;""="","NULL::smallint",N350&amp;"::smallint")&amp;", p_fecha_ultima_prueba_hidrostatica =&gt; "&amp;IF(O350&amp;""="","NULL","'"&amp;YEAR(O350)&amp;"-"&amp;TEXT(MONTH(O350),"00")&amp;"-"&amp;TEXT(DAY(O350),"00")&amp;"'")&amp;", p_numero_serie =&gt; "&amp;IF(TRIM(Q350&amp;"")="","NULL","'"&amp;SUBSTITUTE(TRIM(Q350),"'","''")&amp;"'")&amp;", p_id_marca_cilindro =&gt; "&amp;IF(TRIM(R350&amp;"")="","NULL","(SELECT lo.id FROM gen_lista_opciones lo JOIN gen_lista l ON l.id = lo.id_lista WHERE l.nombre = 'MarcaCilindro' AND upper(lo.nombre) = upper('"&amp;SUBSTITUTE(TRIM(R350),"'","''")&amp;"') AND lo.estado = 1 LIMIT 1)")&amp;", p_id_organo_inspector =&gt; "&amp;IF(TRIM(S350&amp;"")="","NULL","(SELECT lo.id FROM gen_lista_opciones lo JOIN gen_lista l ON l.id = lo.id_lista WHERE l.nombre = 'OrganoInspectorCilindro' AND upper(lo.nombre) = upper('"&amp;SUBSTITUTE(TRIM(S350),"'","''")&amp;"') AND lo.estado = 1 LIMIT 1)")&amp;", p_organo_inspector_no_aplica =&gt; "&amp;IF(S350="NO_APLICA","TRUE","FALSE")&amp;", p_presion_actual =&gt; "&amp;IF(T350&amp;""="","NULL",SUBSTITUTE(T350&amp;"",",","."))&amp;", p_tipo_valvula =&gt; "&amp;IF(TRIM(U350&amp;"")="","NULL","'"&amp;SUBSTITUTE(TRIM(U350),"'","''")&amp;"'")&amp;", p_libro_cilindro =&gt; "&amp;IF(TRIM(V350&amp;"")="","NULL","'"&amp;SUBSTITUTE(TRIM(V350),"'","''")&amp;"'")&amp;", p_pagina_libro =&gt; "&amp;IF(W350&amp;""="","NULL",SUBSTITUTE(W350&amp;"",",","."))&amp;", p_observacion =&gt; "&amp;IF(TRIM(X350&amp;"")="","NULL","'"&amp;SUBSTITUTE(TRIM(X350),"'","''")&amp;"'")&amp;") AS resultado_balon_"&amp;ROW()&amp;";")</f>
        <v/>
      </c>
    </row>
    <row r="351" ht="15.75" customHeight="1" s="64">
      <c r="A351" s="36" t="inlineStr">
        <is>
          <t>347</t>
        </is>
      </c>
      <c r="B351" s="25">
        <f>IF(AND(C351="",D351="",E351=""),"",IF(C351="","FALTA código balón",IF(D351="","FALTA tipo balón",IF(E351="","FALTA gas",IF(F351="","FALTA propietario",IF(AND(C351&lt;&gt;"",SUMPRODUCT(--($C$5:$C$1200=C351))&gt;1),"CÓDIGO BALÓN DUPLICADO",IF(AND(OR(UPPER(F351)="PLANTA",UPPER(F351)="CLIENTE"),G351=""),"FALTA doc propietario/planta",IF(AND(UPPER(F351)="PLANTA",G351="10175332796"),"PLANTA no puede ser RUC empresa","OK"))))))))</f>
        <v/>
      </c>
      <c r="C351" s="23" t="inlineStr">
        <is>
          <t>303182</t>
        </is>
      </c>
      <c r="D351" s="17" t="inlineStr">
        <is>
          <t>Oxígeno Industrial 6 m³</t>
        </is>
      </c>
      <c r="E351" s="17" t="inlineStr">
        <is>
          <t>OXIGENO INDUSTRIAL</t>
        </is>
      </c>
      <c r="F351" s="17" t="inlineStr">
        <is>
          <t>EMPRESA</t>
        </is>
      </c>
      <c r="G351" s="23" t="inlineStr">
        <is>
          <t>10175332796</t>
        </is>
      </c>
      <c r="H351" s="25">
        <f t="array" ref="H351">IF(G351="","",IFERROR(IF(INDEX(Clientes!$D$5:$D$549,MATCH(G351,Clientes!$C$5:$C$549,0))&lt;&gt;"",INDEX(Clientes!$D$5:$D$549,MATCH(G351,Clientes!$C$5:$C$549,0)),TRIM(INDEX(Clientes!$E$5:$E$549,MATCH(G351,Clientes!$C$5:$C$549,0))&amp;" "&amp;INDEX(Clientes!$F$5:$F$549,MATCH(G351,Clientes!$C$5:$C$549,0)))),"NO EXISTE en Clientes"))</f>
        <v/>
      </c>
      <c r="I351" s="17" t="inlineStr">
        <is>
          <t>ALMACEN EXTRAVIADO</t>
        </is>
      </c>
      <c r="J351" s="17" t="n"/>
      <c r="K351" s="23" t="n"/>
      <c r="L351" s="25">
        <f t="array" ref="L351">IF(K351="","",IFERROR(IF(INDEX(Clientes!$D$5:$D$549,MATCH(K351,Clientes!$C$5:$C$549,0))&lt;&gt;"",INDEX(Clientes!$D$5:$D$549,MATCH(K351,Clientes!$C$5:$C$549,0)),TRIM(INDEX(Clientes!$E$5:$E$549,MATCH(K351,Clientes!$C$5:$C$549,0))&amp;" "&amp;INDEX(Clientes!$F$5:$F$549,MATCH(K351,Clientes!$C$5:$C$549,0)))),"NO EXISTE en Clientes"))</f>
        <v/>
      </c>
      <c r="M351" s="17" t="n"/>
      <c r="N351" s="17" t="n"/>
      <c r="O351" s="42" t="n"/>
      <c r="P351" s="39">
        <f>IF(O351&lt;&gt;"",DATE(YEAR(O351)+5,MONTH(O351),1),IF(AND(M351&lt;&gt;"",N351&lt;&gt;""),DATE(M351+5,N351,1),""))</f>
        <v/>
      </c>
      <c r="Q351" s="23" t="n"/>
      <c r="R351" s="17" t="n"/>
      <c r="S351" s="17" t="n"/>
      <c r="T351" s="17" t="n"/>
      <c r="U351" s="17" t="n"/>
      <c r="V351" s="23" t="n"/>
      <c r="W351" s="17" t="n"/>
      <c r="X351" s="17" t="n"/>
      <c r="Y351" s="28">
        <f>IF(B351&lt;&gt;"OK","","SELECT bal_crear_balon(p_codigo_balon =&gt; "&amp;IF(TRIM(C351&amp;"")="","NULL","'"&amp;SUBSTITUTE(TRIM(C351),"'","''")&amp;"'")&amp;", p_id_tipo_balon =&gt; "&amp;"(SELECT id FROM bal_tipo_balon WHERE upper(nombre) = upper('"&amp;SUBSTITUTE(TRIM(D351),"'","''")&amp;"') AND estado = 1 LIMIT 1)"&amp;", p_id_producto_gas =&gt; "&amp;"(SELECT id FROM pro_producto WHERE es_gas = TRUE AND upper(nombre) = upper('"&amp;SUBSTITUTE(TRIM(E351),"'","''")&amp;"') AND estado = 1 LIMIT 1)"&amp;", p_id_propietario =&gt; "&amp;IF(TRIM(F351&amp;"")="","NULL","(SELECT lo.id FROM gen_lista_opciones lo JOIN gen_lista l ON l.id = lo.id_lista WHERE l.nombre = 'PropietarioBalon' AND upper(lo.nombre) = upper('"&amp;SUBSTITUTE(TRIM(F351),"'","''")&amp;"') AND lo.estado = 1 LIMIT 1)")&amp;", p_id_cliente_propietario =&gt; "&amp;IF(F351="CLIENTE",IF(TRIM(G351&amp;"")="","NULL","(SELECT id FROM cli_clientes WHERE numero_documento = '"&amp;SUBSTITUTE(TRIM(G351),"'","''")&amp;"' AND estado = 1 LIMIT 1)"),"NULL")&amp;", p_id_planta =&gt; "&amp;IF(F351="PLANTA",IF(TRIM(G351&amp;"")="","NULL","(SELECT id FROM cli_clientes WHERE numero_documento = '"&amp;SUBSTITUTE(TRIM(G351),"'","''")&amp;"'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"&amp;IF(TRIM(J351&amp;"")="","NULL","(SELECT id FROM gen_almacen WHERE upper(nombre) = upper('"&amp;SUBSTITUTE(TRIM(J351),"'","''")&amp;"') AND estado = 1 LIMIT 1)")&amp;", p_id_cliente_ubicacion =&gt; "&amp;IF(TRIM(K351&amp;"")="","NULL","(SELECT id FROM cli_clientes WHERE numero_documento = '"&amp;SUBSTITUTE(TRIM(K351),"'","''")&amp;"' AND estado = 1 LIMIT 1)")&amp;", p_id_referencia =&gt; "&amp;IF(TRIM(J351&amp;"")&lt;&gt;"","(SELECT lo.id FROM gen_lista_opciones lo JOIN gen_lista l ON l.id = lo.id_lista WHERE l.nombre = 'ReferenciaCilindro' AND upper(lo.nombre) = 'ALMACEN' AND lo.estado = 1 LIMIT 1)",IF(TRIM(K351&amp;"")&lt;&gt;"","(SELECT lo.id FROM gen_lista_opciones lo JOIN gen_lista l ON l.id = lo.id_lista WHERE l.nombre = 'ReferenciaCilindro' AND upper(lo.nombre) = 'CLIENTE' AND lo.estado = 1 LIMIT 1)","NULL"))&amp;", p_anio_fabricacion =&gt; "&amp;IF(M351&amp;""="","NULL::smallint",M351&amp;"::smallint")&amp;", p_mes_fabricacion =&gt; "&amp;IF(N351&amp;""="","NULL::smallint",N351&amp;"::smallint")&amp;", p_fecha_ultima_prueba_hidrostatica =&gt; "&amp;IF(O351&amp;""="","NULL","'"&amp;YEAR(O351)&amp;"-"&amp;TEXT(MONTH(O351),"00")&amp;"-"&amp;TEXT(DAY(O351),"00")&amp;"'")&amp;", p_numero_serie =&gt; "&amp;IF(TRIM(Q351&amp;"")="","NULL","'"&amp;SUBSTITUTE(TRIM(Q351),"'","''")&amp;"'")&amp;", p_id_marca_cilindro =&gt; "&amp;IF(TRIM(R351&amp;"")="","NULL","(SELECT lo.id FROM gen_lista_opciones lo JOIN gen_lista l ON l.id = lo.id_lista WHERE l.nombre = 'MarcaCilindro' AND upper(lo.nombre) = upper('"&amp;SUBSTITUTE(TRIM(R351),"'","''")&amp;"') AND lo.estado = 1 LIMIT 1)")&amp;", p_id_organo_inspector =&gt; "&amp;IF(TRIM(S351&amp;"")="","NULL","(SELECT lo.id FROM gen_lista_opciones lo JOIN gen_lista l ON l.id = lo.id_lista WHERE l.nombre = 'OrganoInspectorCilindro' AND upper(lo.nombre) = upper('"&amp;SUBSTITUTE(TRIM(S351),"'","''")&amp;"') AND lo.estado = 1 LIMIT 1)")&amp;", p_organo_inspector_no_aplica =&gt; "&amp;IF(S351="NO_APLICA","TRUE","FALSE")&amp;", p_presion_actual =&gt; "&amp;IF(T351&amp;""="","NULL",SUBSTITUTE(T351&amp;"",",","."))&amp;", p_tipo_valvula =&gt; "&amp;IF(TRIM(U351&amp;"")="","NULL","'"&amp;SUBSTITUTE(TRIM(U351),"'","''")&amp;"'")&amp;", p_libro_cilindro =&gt; "&amp;IF(TRIM(V351&amp;"")="","NULL","'"&amp;SUBSTITUTE(TRIM(V351),"'","''")&amp;"'")&amp;", p_pagina_libro =&gt; "&amp;IF(W351&amp;""="","NULL",SUBSTITUTE(W351&amp;"",",","."))&amp;", p_observacion =&gt; "&amp;IF(TRIM(X351&amp;"")="","NULL","'"&amp;SUBSTITUTE(TRIM(X351),"'","''")&amp;"'")&amp;") AS resultado_balon_"&amp;ROW()&amp;";")</f>
        <v/>
      </c>
    </row>
    <row r="352" ht="15.75" customHeight="1" s="64">
      <c r="A352" s="36" t="inlineStr">
        <is>
          <t>348</t>
        </is>
      </c>
      <c r="B352" s="25">
        <f>IF(AND(C352="",D352="",E352=""),"",IF(C352="","FALTA código balón",IF(D352="","FALTA tipo balón",IF(E352="","FALTA gas",IF(F352="","FALTA propietario",IF(AND(C352&lt;&gt;"",SUMPRODUCT(--($C$5:$C$1200=C352))&gt;1),"CÓDIGO BALÓN DUPLICADO",IF(AND(OR(UPPER(F352)="PLANTA",UPPER(F352)="CLIENTE"),G352=""),"FALTA doc propietario/planta",IF(AND(UPPER(F352)="PLANTA",G352="10175332796"),"PLANTA no puede ser RUC empresa","OK"))))))))</f>
        <v/>
      </c>
      <c r="C352" s="23" t="inlineStr">
        <is>
          <t>20K646066</t>
        </is>
      </c>
      <c r="D352" s="17" t="inlineStr">
        <is>
          <t>Oxígeno Industrial 10 m³</t>
        </is>
      </c>
      <c r="E352" s="17" t="inlineStr">
        <is>
          <t>OXIGENO INDUSTRIAL</t>
        </is>
      </c>
      <c r="F352" s="17" t="inlineStr">
        <is>
          <t>EMPRESA</t>
        </is>
      </c>
      <c r="G352" s="23" t="inlineStr">
        <is>
          <t>10175332796</t>
        </is>
      </c>
      <c r="H352" s="25">
        <f t="array" ref="H352">IF(G352="","",IFERROR(IF(INDEX(Clientes!$D$5:$D$549,MATCH(G352,Clientes!$C$5:$C$549,0))&lt;&gt;"",INDEX(Clientes!$D$5:$D$549,MATCH(G352,Clientes!$C$5:$C$549,0)),TRIM(INDEX(Clientes!$E$5:$E$549,MATCH(G352,Clientes!$C$5:$C$549,0))&amp;" "&amp;INDEX(Clientes!$F$5:$F$549,MATCH(G352,Clientes!$C$5:$C$549,0)))),"NO EXISTE en Clientes"))</f>
        <v/>
      </c>
      <c r="I352" s="17" t="inlineStr">
        <is>
          <t>ALMACEN EXTRAVIADO</t>
        </is>
      </c>
      <c r="J352" s="17" t="n"/>
      <c r="K352" s="23" t="n"/>
      <c r="L352" s="25">
        <f t="array" ref="L352">IF(K352="","",IFERROR(IF(INDEX(Clientes!$D$5:$D$549,MATCH(K352,Clientes!$C$5:$C$549,0))&lt;&gt;"",INDEX(Clientes!$D$5:$D$549,MATCH(K352,Clientes!$C$5:$C$549,0)),TRIM(INDEX(Clientes!$E$5:$E$549,MATCH(K352,Clientes!$C$5:$C$549,0))&amp;" "&amp;INDEX(Clientes!$F$5:$F$549,MATCH(K352,Clientes!$C$5:$C$549,0)))),"NO EXISTE en Clientes"))</f>
        <v/>
      </c>
      <c r="M352" s="17" t="n"/>
      <c r="N352" s="17" t="n"/>
      <c r="O352" s="42" t="n"/>
      <c r="P352" s="39">
        <f>IF(O352&lt;&gt;"",DATE(YEAR(O352)+5,MONTH(O352),1),IF(AND(M352&lt;&gt;"",N352&lt;&gt;""),DATE(M352+5,N352,1),""))</f>
        <v/>
      </c>
      <c r="Q352" s="23" t="n"/>
      <c r="R352" s="17" t="n"/>
      <c r="S352" s="17" t="n"/>
      <c r="T352" s="17" t="n"/>
      <c r="U352" s="17" t="n"/>
      <c r="V352" s="23" t="n"/>
      <c r="W352" s="17" t="n"/>
      <c r="X352" s="17" t="n"/>
      <c r="Y352" s="28">
        <f>IF(B352&lt;&gt;"OK","","SELECT bal_crear_balon(p_codigo_balon =&gt; "&amp;IF(TRIM(C352&amp;"")="","NULL","'"&amp;SUBSTITUTE(TRIM(C352),"'","''")&amp;"'")&amp;", p_id_tipo_balon =&gt; "&amp;"(SELECT id FROM bal_tipo_balon WHERE upper(nombre) = upper('"&amp;SUBSTITUTE(TRIM(D352),"'","''")&amp;"') AND estado = 1 LIMIT 1)"&amp;", p_id_producto_gas =&gt; "&amp;"(SELECT id FROM pro_producto WHERE es_gas = TRUE AND upper(nombre) = upper('"&amp;SUBSTITUTE(TRIM(E352),"'","''")&amp;"') AND estado = 1 LIMIT 1)"&amp;", p_id_propietario =&gt; "&amp;IF(TRIM(F352&amp;"")="","NULL","(SELECT lo.id FROM gen_lista_opciones lo JOIN gen_lista l ON l.id = lo.id_lista WHERE l.nombre = 'PropietarioBalon' AND upper(lo.nombre) = upper('"&amp;SUBSTITUTE(TRIM(F352),"'","''")&amp;"') AND lo.estado = 1 LIMIT 1)")&amp;", p_id_cliente_propietario =&gt; "&amp;IF(F352="CLIENTE",IF(TRIM(G352&amp;"")="","NULL","(SELECT id FROM cli_clientes WHERE numero_documento = '"&amp;SUBSTITUTE(TRIM(G352),"'","''")&amp;"' AND estado = 1 LIMIT 1)"),"NULL")&amp;", p_id_planta =&gt; "&amp;IF(F352="PLANTA",IF(TRIM(G352&amp;"")="","NULL","(SELECT id FROM cli_clientes WHERE numero_documento = '"&amp;SUBSTITUTE(TRIM(G352),"'","''")&amp;"'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"&amp;IF(TRIM(J352&amp;"")="","NULL","(SELECT id FROM gen_almacen WHERE upper(nombre) = upper('"&amp;SUBSTITUTE(TRIM(J352),"'","''")&amp;"') AND estado = 1 LIMIT 1)")&amp;", p_id_cliente_ubicacion =&gt; "&amp;IF(TRIM(K352&amp;"")="","NULL","(SELECT id FROM cli_clientes WHERE numero_documento = '"&amp;SUBSTITUTE(TRIM(K352),"'","''")&amp;"' AND estado = 1 LIMIT 1)")&amp;", p_id_referencia =&gt; "&amp;IF(TRIM(J352&amp;"")&lt;&gt;"","(SELECT lo.id FROM gen_lista_opciones lo JOIN gen_lista l ON l.id = lo.id_lista WHERE l.nombre = 'ReferenciaCilindro' AND upper(lo.nombre) = 'ALMACEN' AND lo.estado = 1 LIMIT 1)",IF(TRIM(K352&amp;"")&lt;&gt;"","(SELECT lo.id FROM gen_lista_opciones lo JOIN gen_lista l ON l.id = lo.id_lista WHERE l.nombre = 'ReferenciaCilindro' AND upper(lo.nombre) = 'CLIENTE' AND lo.estado = 1 LIMIT 1)","NULL"))&amp;", p_anio_fabricacion =&gt; "&amp;IF(M352&amp;""="","NULL::smallint",M352&amp;"::smallint")&amp;", p_mes_fabricacion =&gt; "&amp;IF(N352&amp;""="","NULL::smallint",N352&amp;"::smallint")&amp;", p_fecha_ultima_prueba_hidrostatica =&gt; "&amp;IF(O352&amp;""="","NULL","'"&amp;YEAR(O352)&amp;"-"&amp;TEXT(MONTH(O352),"00")&amp;"-"&amp;TEXT(DAY(O352),"00")&amp;"'")&amp;", p_numero_serie =&gt; "&amp;IF(TRIM(Q352&amp;"")="","NULL","'"&amp;SUBSTITUTE(TRIM(Q352),"'","''")&amp;"'")&amp;", p_id_marca_cilindro =&gt; "&amp;IF(TRIM(R352&amp;"")="","NULL","(SELECT lo.id FROM gen_lista_opciones lo JOIN gen_lista l ON l.id = lo.id_lista WHERE l.nombre = 'MarcaCilindro' AND upper(lo.nombre) = upper('"&amp;SUBSTITUTE(TRIM(R352),"'","''")&amp;"') AND lo.estado = 1 LIMIT 1)")&amp;", p_id_organo_inspector =&gt; "&amp;IF(TRIM(S352&amp;"")="","NULL","(SELECT lo.id FROM gen_lista_opciones lo JOIN gen_lista l ON l.id = lo.id_lista WHERE l.nombre = 'OrganoInspectorCilindro' AND upper(lo.nombre) = upper('"&amp;SUBSTITUTE(TRIM(S352),"'","''")&amp;"') AND lo.estado = 1 LIMIT 1)")&amp;", p_organo_inspector_no_aplica =&gt; "&amp;IF(S352="NO_APLICA","TRUE","FALSE")&amp;", p_presion_actual =&gt; "&amp;IF(T352&amp;""="","NULL",SUBSTITUTE(T352&amp;"",",","."))&amp;", p_tipo_valvula =&gt; "&amp;IF(TRIM(U352&amp;"")="","NULL","'"&amp;SUBSTITUTE(TRIM(U352),"'","''")&amp;"'")&amp;", p_libro_cilindro =&gt; "&amp;IF(TRIM(V352&amp;"")="","NULL","'"&amp;SUBSTITUTE(TRIM(V352),"'","''")&amp;"'")&amp;", p_pagina_libro =&gt; "&amp;IF(W352&amp;""="","NULL",SUBSTITUTE(W352&amp;"",",","."))&amp;", p_observacion =&gt; "&amp;IF(TRIM(X352&amp;"")="","NULL","'"&amp;SUBSTITUTE(TRIM(X352),"'","''")&amp;"'")&amp;") AS resultado_balon_"&amp;ROW()&amp;";")</f>
        <v/>
      </c>
    </row>
    <row r="353" ht="15.75" customHeight="1" s="64">
      <c r="A353" s="36" t="inlineStr">
        <is>
          <t>349</t>
        </is>
      </c>
      <c r="B353" s="25">
        <f>IF(AND(C353="",D353="",E353=""),"",IF(C353="","FALTA código balón",IF(D353="","FALTA tipo balón",IF(E353="","FALTA gas",IF(F353="","FALTA propietario",IF(AND(C353&lt;&gt;"",SUMPRODUCT(--($C$5:$C$1200=C353))&gt;1),"CÓDIGO BALÓN DUPLICADO",IF(AND(OR(UPPER(F353)="PLANTA",UPPER(F353)="CLIENTE"),G353=""),"FALTA doc propietario/planta",IF(AND(UPPER(F353)="PLANTA",G353="10175332796"),"PLANTA no puede ser RUC empresa","OK"))))))))</f>
        <v/>
      </c>
      <c r="C353" s="23" t="inlineStr">
        <is>
          <t>K4854028</t>
        </is>
      </c>
      <c r="D353" s="17" t="inlineStr">
        <is>
          <t>Oxígeno Industrial 10 m³</t>
        </is>
      </c>
      <c r="E353" s="17" t="inlineStr">
        <is>
          <t>OXIGENO INDUSTRIAL</t>
        </is>
      </c>
      <c r="F353" s="17" t="inlineStr">
        <is>
          <t>EMPRESA</t>
        </is>
      </c>
      <c r="G353" s="23" t="inlineStr">
        <is>
          <t>10175332796</t>
        </is>
      </c>
      <c r="H353" s="25">
        <f t="array" ref="H353">IF(G353="","",IFERROR(IF(INDEX(Clientes!$D$5:$D$549,MATCH(G353,Clientes!$C$5:$C$549,0))&lt;&gt;"",INDEX(Clientes!$D$5:$D$549,MATCH(G353,Clientes!$C$5:$C$549,0)),TRIM(INDEX(Clientes!$E$5:$E$549,MATCH(G353,Clientes!$C$5:$C$549,0))&amp;" "&amp;INDEX(Clientes!$F$5:$F$549,MATCH(G353,Clientes!$C$5:$C$549,0)))),"NO EXISTE en Clientes"))</f>
        <v/>
      </c>
      <c r="I353" s="17" t="inlineStr">
        <is>
          <t>ALMACEN EXTRAVIADO</t>
        </is>
      </c>
      <c r="J353" s="17" t="n"/>
      <c r="K353" s="23" t="n"/>
      <c r="L353" s="25">
        <f t="array" ref="L353">IF(K353="","",IFERROR(IF(INDEX(Clientes!$D$5:$D$549,MATCH(K353,Clientes!$C$5:$C$549,0))&lt;&gt;"",INDEX(Clientes!$D$5:$D$549,MATCH(K353,Clientes!$C$5:$C$549,0)),TRIM(INDEX(Clientes!$E$5:$E$549,MATCH(K353,Clientes!$C$5:$C$549,0))&amp;" "&amp;INDEX(Clientes!$F$5:$F$549,MATCH(K353,Clientes!$C$5:$C$549,0)))),"NO EXISTE en Clientes"))</f>
        <v/>
      </c>
      <c r="M353" s="17" t="n"/>
      <c r="N353" s="17" t="n"/>
      <c r="O353" s="42" t="n"/>
      <c r="P353" s="39">
        <f>IF(O353&lt;&gt;"",DATE(YEAR(O353)+5,MONTH(O353),1),IF(AND(M353&lt;&gt;"",N353&lt;&gt;""),DATE(M353+5,N353,1),""))</f>
        <v/>
      </c>
      <c r="Q353" s="23" t="n"/>
      <c r="R353" s="17" t="n"/>
      <c r="S353" s="17" t="n"/>
      <c r="T353" s="17" t="n"/>
      <c r="U353" s="17" t="n"/>
      <c r="V353" s="23" t="n"/>
      <c r="W353" s="17" t="n"/>
      <c r="X353" s="17" t="n"/>
      <c r="Y353" s="28">
        <f>IF(B353&lt;&gt;"OK","","SELECT bal_crear_balon(p_codigo_balon =&gt; "&amp;IF(TRIM(C353&amp;"")="","NULL","'"&amp;SUBSTITUTE(TRIM(C353),"'","''")&amp;"'")&amp;", p_id_tipo_balon =&gt; "&amp;"(SELECT id FROM bal_tipo_balon WHERE upper(nombre) = upper('"&amp;SUBSTITUTE(TRIM(D353),"'","''")&amp;"') AND estado = 1 LIMIT 1)"&amp;", p_id_producto_gas =&gt; "&amp;"(SELECT id FROM pro_producto WHERE es_gas = TRUE AND upper(nombre) = upper('"&amp;SUBSTITUTE(TRIM(E353),"'","''")&amp;"') AND estado = 1 LIMIT 1)"&amp;", p_id_propietario =&gt; "&amp;IF(TRIM(F353&amp;"")="","NULL","(SELECT lo.id FROM gen_lista_opciones lo JOIN gen_lista l ON l.id = lo.id_lista WHERE l.nombre = 'PropietarioBalon' AND upper(lo.nombre) = upper('"&amp;SUBSTITUTE(TRIM(F353),"'","''")&amp;"') AND lo.estado = 1 LIMIT 1)")&amp;", p_id_cliente_propietario =&gt; "&amp;IF(F353="CLIENTE",IF(TRIM(G353&amp;"")="","NULL","(SELECT id FROM cli_clientes WHERE numero_documento = '"&amp;SUBSTITUTE(TRIM(G353),"'","''")&amp;"' AND estado = 1 LIMIT 1)"),"NULL")&amp;", p_id_planta =&gt; "&amp;IF(F353="PLANTA",IF(TRIM(G353&amp;"")="","NULL","(SELECT id FROM cli_clientes WHERE numero_documento = '"&amp;SUBSTITUTE(TRIM(G353),"'","''")&amp;"'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"&amp;IF(TRIM(J353&amp;"")="","NULL","(SELECT id FROM gen_almacen WHERE upper(nombre) = upper('"&amp;SUBSTITUTE(TRIM(J353),"'","''")&amp;"') AND estado = 1 LIMIT 1)")&amp;", p_id_cliente_ubicacion =&gt; "&amp;IF(TRIM(K353&amp;"")="","NULL","(SELECT id FROM cli_clientes WHERE numero_documento = '"&amp;SUBSTITUTE(TRIM(K353),"'","''")&amp;"' AND estado = 1 LIMIT 1)")&amp;", p_id_referencia =&gt; "&amp;IF(TRIM(J353&amp;"")&lt;&gt;"","(SELECT lo.id FROM gen_lista_opciones lo JOIN gen_lista l ON l.id = lo.id_lista WHERE l.nombre = 'ReferenciaCilindro' AND upper(lo.nombre) = 'ALMACEN' AND lo.estado = 1 LIMIT 1)",IF(TRIM(K353&amp;"")&lt;&gt;"","(SELECT lo.id FROM gen_lista_opciones lo JOIN gen_lista l ON l.id = lo.id_lista WHERE l.nombre = 'ReferenciaCilindro' AND upper(lo.nombre) = 'CLIENTE' AND lo.estado = 1 LIMIT 1)","NULL"))&amp;", p_anio_fabricacion =&gt; "&amp;IF(M353&amp;""="","NULL::smallint",M353&amp;"::smallint")&amp;", p_mes_fabricacion =&gt; "&amp;IF(N353&amp;""="","NULL::smallint",N353&amp;"::smallint")&amp;", p_fecha_ultima_prueba_hidrostatica =&gt; "&amp;IF(O353&amp;""="","NULL","'"&amp;YEAR(O353)&amp;"-"&amp;TEXT(MONTH(O353),"00")&amp;"-"&amp;TEXT(DAY(O353),"00")&amp;"'")&amp;", p_numero_serie =&gt; "&amp;IF(TRIM(Q353&amp;"")="","NULL","'"&amp;SUBSTITUTE(TRIM(Q353),"'","''")&amp;"'")&amp;", p_id_marca_cilindro =&gt; "&amp;IF(TRIM(R353&amp;"")="","NULL","(SELECT lo.id FROM gen_lista_opciones lo JOIN gen_lista l ON l.id = lo.id_lista WHERE l.nombre = 'MarcaCilindro' AND upper(lo.nombre) = upper('"&amp;SUBSTITUTE(TRIM(R353),"'","''")&amp;"') AND lo.estado = 1 LIMIT 1)")&amp;", p_id_organo_inspector =&gt; "&amp;IF(TRIM(S353&amp;"")="","NULL","(SELECT lo.id FROM gen_lista_opciones lo JOIN gen_lista l ON l.id = lo.id_lista WHERE l.nombre = 'OrganoInspectorCilindro' AND upper(lo.nombre) = upper('"&amp;SUBSTITUTE(TRIM(S353),"'","''")&amp;"') AND lo.estado = 1 LIMIT 1)")&amp;", p_organo_inspector_no_aplica =&gt; "&amp;IF(S353="NO_APLICA","TRUE","FALSE")&amp;", p_presion_actual =&gt; "&amp;IF(T353&amp;""="","NULL",SUBSTITUTE(T353&amp;"",",","."))&amp;", p_tipo_valvula =&gt; "&amp;IF(TRIM(U353&amp;"")="","NULL","'"&amp;SUBSTITUTE(TRIM(U353),"'","''")&amp;"'")&amp;", p_libro_cilindro =&gt; "&amp;IF(TRIM(V353&amp;"")="","NULL","'"&amp;SUBSTITUTE(TRIM(V353),"'","''")&amp;"'")&amp;", p_pagina_libro =&gt; "&amp;IF(W353&amp;""="","NULL",SUBSTITUTE(W353&amp;"",",","."))&amp;", p_observacion =&gt; "&amp;IF(TRIM(X353&amp;"")="","NULL","'"&amp;SUBSTITUTE(TRIM(X353),"'","''")&amp;"'")&amp;") AS resultado_balon_"&amp;ROW()&amp;";")</f>
        <v/>
      </c>
    </row>
    <row r="354" ht="15.75" customHeight="1" s="64">
      <c r="A354" s="36" t="inlineStr">
        <is>
          <t>350</t>
        </is>
      </c>
      <c r="B354" s="25">
        <f>IF(AND(C354="",D354="",E354=""),"",IF(C354="","FALTA código balón",IF(D354="","FALTA tipo balón",IF(E354="","FALTA gas",IF(F354="","FALTA propietario",IF(AND(C354&lt;&gt;"",SUMPRODUCT(--($C$5:$C$1200=C354))&gt;1),"CÓDIGO BALÓN DUPLICADO",IF(AND(OR(UPPER(F354)="PLANTA",UPPER(F354)="CLIENTE"),G354=""),"FALTA doc propietario/planta",IF(AND(UPPER(F354)="PLANTA",G354="10175332796"),"PLANTA no puede ser RUC empresa","OK"))))))))</f>
        <v/>
      </c>
      <c r="C354" s="23" t="inlineStr">
        <is>
          <t>K4615164</t>
        </is>
      </c>
      <c r="D354" s="17" t="inlineStr">
        <is>
          <t>Oxígeno Industrial 10 m³</t>
        </is>
      </c>
      <c r="E354" s="17" t="inlineStr">
        <is>
          <t>OXIGENO INDUSTRIAL</t>
        </is>
      </c>
      <c r="F354" s="17" t="inlineStr">
        <is>
          <t>EMPRESA</t>
        </is>
      </c>
      <c r="G354" s="23" t="inlineStr">
        <is>
          <t>10175332796</t>
        </is>
      </c>
      <c r="H354" s="25">
        <f t="array" ref="H354">IF(G354="","",IFERROR(IF(INDEX(Clientes!$D$5:$D$549,MATCH(G354,Clientes!$C$5:$C$549,0))&lt;&gt;"",INDEX(Clientes!$D$5:$D$549,MATCH(G354,Clientes!$C$5:$C$549,0)),TRIM(INDEX(Clientes!$E$5:$E$549,MATCH(G354,Clientes!$C$5:$C$549,0))&amp;" "&amp;INDEX(Clientes!$F$5:$F$549,MATCH(G354,Clientes!$C$5:$C$549,0)))),"NO EXISTE en Clientes"))</f>
        <v/>
      </c>
      <c r="I354" s="17" t="inlineStr">
        <is>
          <t>ALMACEN EXTRAVIADO</t>
        </is>
      </c>
      <c r="J354" s="17" t="n"/>
      <c r="K354" s="23" t="n"/>
      <c r="L354" s="25">
        <f t="array" ref="L354">IF(K354="","",IFERROR(IF(INDEX(Clientes!$D$5:$D$549,MATCH(K354,Clientes!$C$5:$C$549,0))&lt;&gt;"",INDEX(Clientes!$D$5:$D$549,MATCH(K354,Clientes!$C$5:$C$549,0)),TRIM(INDEX(Clientes!$E$5:$E$549,MATCH(K354,Clientes!$C$5:$C$549,0))&amp;" "&amp;INDEX(Clientes!$F$5:$F$549,MATCH(K354,Clientes!$C$5:$C$549,0)))),"NO EXISTE en Clientes"))</f>
        <v/>
      </c>
      <c r="M354" s="17" t="n"/>
      <c r="N354" s="17" t="n"/>
      <c r="O354" s="42" t="n"/>
      <c r="P354" s="39">
        <f>IF(O354&lt;&gt;"",DATE(YEAR(O354)+5,MONTH(O354),1),IF(AND(M354&lt;&gt;"",N354&lt;&gt;""),DATE(M354+5,N354,1),""))</f>
        <v/>
      </c>
      <c r="Q354" s="23" t="n"/>
      <c r="R354" s="17" t="n"/>
      <c r="S354" s="17" t="n"/>
      <c r="T354" s="17" t="n"/>
      <c r="U354" s="17" t="n"/>
      <c r="V354" s="23" t="n"/>
      <c r="W354" s="17" t="n"/>
      <c r="X354" s="17" t="n"/>
      <c r="Y354" s="28">
        <f>IF(B354&lt;&gt;"OK","","SELECT bal_crear_balon(p_codigo_balon =&gt; "&amp;IF(TRIM(C354&amp;"")="","NULL","'"&amp;SUBSTITUTE(TRIM(C354),"'","''")&amp;"'")&amp;", p_id_tipo_balon =&gt; "&amp;"(SELECT id FROM bal_tipo_balon WHERE upper(nombre) = upper('"&amp;SUBSTITUTE(TRIM(D354),"'","''")&amp;"') AND estado = 1 LIMIT 1)"&amp;", p_id_producto_gas =&gt; "&amp;"(SELECT id FROM pro_producto WHERE es_gas = TRUE AND upper(nombre) = upper('"&amp;SUBSTITUTE(TRIM(E354),"'","''")&amp;"') AND estado = 1 LIMIT 1)"&amp;", p_id_propietario =&gt; "&amp;IF(TRIM(F354&amp;"")="","NULL","(SELECT lo.id FROM gen_lista_opciones lo JOIN gen_lista l ON l.id = lo.id_lista WHERE l.nombre = 'PropietarioBalon' AND upper(lo.nombre) = upper('"&amp;SUBSTITUTE(TRIM(F354),"'","''")&amp;"') AND lo.estado = 1 LIMIT 1)")&amp;", p_id_cliente_propietario =&gt; "&amp;IF(F354="CLIENTE",IF(TRIM(G354&amp;"")="","NULL","(SELECT id FROM cli_clientes WHERE numero_documento = '"&amp;SUBSTITUTE(TRIM(G354),"'","''")&amp;"' AND estado = 1 LIMIT 1)"),"NULL")&amp;", p_id_planta =&gt; "&amp;IF(F354="PLANTA",IF(TRIM(G354&amp;"")="","NULL","(SELECT id FROM cli_clientes WHERE numero_documento = '"&amp;SUBSTITUTE(TRIM(G354),"'","''")&amp;"'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"&amp;IF(TRIM(J354&amp;"")="","NULL","(SELECT id FROM gen_almacen WHERE upper(nombre) = upper('"&amp;SUBSTITUTE(TRIM(J354),"'","''")&amp;"') AND estado = 1 LIMIT 1)")&amp;", p_id_cliente_ubicacion =&gt; "&amp;IF(TRIM(K354&amp;"")="","NULL","(SELECT id FROM cli_clientes WHERE numero_documento = '"&amp;SUBSTITUTE(TRIM(K354),"'","''")&amp;"' AND estado = 1 LIMIT 1)")&amp;", p_id_referencia =&gt; "&amp;IF(TRIM(J354&amp;"")&lt;&gt;"","(SELECT lo.id FROM gen_lista_opciones lo JOIN gen_lista l ON l.id = lo.id_lista WHERE l.nombre = 'ReferenciaCilindro' AND upper(lo.nombre) = 'ALMACEN' AND lo.estado = 1 LIMIT 1)",IF(TRIM(K354&amp;"")&lt;&gt;"","(SELECT lo.id FROM gen_lista_opciones lo JOIN gen_lista l ON l.id = lo.id_lista WHERE l.nombre = 'ReferenciaCilindro' AND upper(lo.nombre) = 'CLIENTE' AND lo.estado = 1 LIMIT 1)","NULL"))&amp;", p_anio_fabricacion =&gt; "&amp;IF(M354&amp;""="","NULL::smallint",M354&amp;"::smallint")&amp;", p_mes_fabricacion =&gt; "&amp;IF(N354&amp;""="","NULL::smallint",N354&amp;"::smallint")&amp;", p_fecha_ultima_prueba_hidrostatica =&gt; "&amp;IF(O354&amp;""="","NULL","'"&amp;YEAR(O354)&amp;"-"&amp;TEXT(MONTH(O354),"00")&amp;"-"&amp;TEXT(DAY(O354),"00")&amp;"'")&amp;", p_numero_serie =&gt; "&amp;IF(TRIM(Q354&amp;"")="","NULL","'"&amp;SUBSTITUTE(TRIM(Q354),"'","''")&amp;"'")&amp;", p_id_marca_cilindro =&gt; "&amp;IF(TRIM(R354&amp;"")="","NULL","(SELECT lo.id FROM gen_lista_opciones lo JOIN gen_lista l ON l.id = lo.id_lista WHERE l.nombre = 'MarcaCilindro' AND upper(lo.nombre) = upper('"&amp;SUBSTITUTE(TRIM(R354),"'","''")&amp;"') AND lo.estado = 1 LIMIT 1)")&amp;", p_id_organo_inspector =&gt; "&amp;IF(TRIM(S354&amp;"")="","NULL","(SELECT lo.id FROM gen_lista_opciones lo JOIN gen_lista l ON l.id = lo.id_lista WHERE l.nombre = 'OrganoInspectorCilindro' AND upper(lo.nombre) = upper('"&amp;SUBSTITUTE(TRIM(S354),"'","''")&amp;"') AND lo.estado = 1 LIMIT 1)")&amp;", p_organo_inspector_no_aplica =&gt; "&amp;IF(S354="NO_APLICA","TRUE","FALSE")&amp;", p_presion_actual =&gt; "&amp;IF(T354&amp;""="","NULL",SUBSTITUTE(T354&amp;"",",","."))&amp;", p_tipo_valvula =&gt; "&amp;IF(TRIM(U354&amp;"")="","NULL","'"&amp;SUBSTITUTE(TRIM(U354),"'","''")&amp;"'")&amp;", p_libro_cilindro =&gt; "&amp;IF(TRIM(V354&amp;"")="","NULL","'"&amp;SUBSTITUTE(TRIM(V354),"'","''")&amp;"'")&amp;", p_pagina_libro =&gt; "&amp;IF(W354&amp;""="","NULL",SUBSTITUTE(W354&amp;"",",","."))&amp;", p_observacion =&gt; "&amp;IF(TRIM(X354&amp;"")="","NULL","'"&amp;SUBSTITUTE(TRIM(X354),"'","''")&amp;"'")&amp;") AS resultado_balon_"&amp;ROW()&amp;";")</f>
        <v/>
      </c>
    </row>
    <row r="355" ht="15.75" customHeight="1" s="64">
      <c r="A355" s="36" t="inlineStr">
        <is>
          <t>351</t>
        </is>
      </c>
      <c r="B355" s="25">
        <f>IF(AND(C355="",D355="",E355=""),"",IF(C355="","FALTA código balón",IF(D355="","FALTA tipo balón",IF(E355="","FALTA gas",IF(F355="","FALTA propietario",IF(AND(C355&lt;&gt;"",SUMPRODUCT(--($C$5:$C$1200=C355))&gt;1),"CÓDIGO BALÓN DUPLICADO",IF(AND(OR(UPPER(F355)="PLANTA",UPPER(F355)="CLIENTE"),G355=""),"FALTA doc propietario/planta",IF(AND(UPPER(F355)="PLANTA",G355="10175332796"),"PLANTA no puede ser RUC empresa","OK"))))))))</f>
        <v/>
      </c>
      <c r="C355" s="23" t="inlineStr">
        <is>
          <t>K4852091</t>
        </is>
      </c>
      <c r="D355" s="17" t="inlineStr">
        <is>
          <t>Oxígeno Industrial 10 m³</t>
        </is>
      </c>
      <c r="E355" s="17" t="inlineStr">
        <is>
          <t>OXIGENO INDUSTRIAL</t>
        </is>
      </c>
      <c r="F355" s="17" t="inlineStr">
        <is>
          <t>EMPRESA</t>
        </is>
      </c>
      <c r="G355" s="23" t="inlineStr">
        <is>
          <t>10175332796</t>
        </is>
      </c>
      <c r="H355" s="25">
        <f t="array" ref="H355">IF(G355="","",IFERROR(IF(INDEX(Clientes!$D$5:$D$549,MATCH(G355,Clientes!$C$5:$C$549,0))&lt;&gt;"",INDEX(Clientes!$D$5:$D$549,MATCH(G355,Clientes!$C$5:$C$549,0)),TRIM(INDEX(Clientes!$E$5:$E$549,MATCH(G355,Clientes!$C$5:$C$549,0))&amp;" "&amp;INDEX(Clientes!$F$5:$F$549,MATCH(G355,Clientes!$C$5:$C$549,0)))),"NO EXISTE en Clientes"))</f>
        <v/>
      </c>
      <c r="I355" s="17" t="inlineStr">
        <is>
          <t>ALMACEN EXTRAVIADO</t>
        </is>
      </c>
      <c r="J355" s="17" t="n"/>
      <c r="K355" s="23" t="n"/>
      <c r="L355" s="25">
        <f t="array" ref="L355">IF(K355="","",IFERROR(IF(INDEX(Clientes!$D$5:$D$549,MATCH(K355,Clientes!$C$5:$C$549,0))&lt;&gt;"",INDEX(Clientes!$D$5:$D$549,MATCH(K355,Clientes!$C$5:$C$549,0)),TRIM(INDEX(Clientes!$E$5:$E$549,MATCH(K355,Clientes!$C$5:$C$549,0))&amp;" "&amp;INDEX(Clientes!$F$5:$F$549,MATCH(K355,Clientes!$C$5:$C$549,0)))),"NO EXISTE en Clientes"))</f>
        <v/>
      </c>
      <c r="M355" s="17" t="n"/>
      <c r="N355" s="17" t="n"/>
      <c r="O355" s="42" t="n"/>
      <c r="P355" s="39">
        <f>IF(O355&lt;&gt;"",DATE(YEAR(O355)+5,MONTH(O355),1),IF(AND(M355&lt;&gt;"",N355&lt;&gt;""),DATE(M355+5,N355,1),""))</f>
        <v/>
      </c>
      <c r="Q355" s="23" t="n"/>
      <c r="R355" s="17" t="n"/>
      <c r="S355" s="17" t="n"/>
      <c r="T355" s="17" t="n"/>
      <c r="U355" s="17" t="n"/>
      <c r="V355" s="23" t="n"/>
      <c r="W355" s="17" t="n"/>
      <c r="X355" s="17" t="n"/>
      <c r="Y355" s="28">
        <f>IF(B355&lt;&gt;"OK","","SELECT bal_crear_balon(p_codigo_balon =&gt; "&amp;IF(TRIM(C355&amp;"")="","NULL","'"&amp;SUBSTITUTE(TRIM(C355),"'","''")&amp;"'")&amp;", p_id_tipo_balon =&gt; "&amp;"(SELECT id FROM bal_tipo_balon WHERE upper(nombre) = upper('"&amp;SUBSTITUTE(TRIM(D355),"'","''")&amp;"') AND estado = 1 LIMIT 1)"&amp;", p_id_producto_gas =&gt; "&amp;"(SELECT id FROM pro_producto WHERE es_gas = TRUE AND upper(nombre) = upper('"&amp;SUBSTITUTE(TRIM(E355),"'","''")&amp;"') AND estado = 1 LIMIT 1)"&amp;", p_id_propietario =&gt; "&amp;IF(TRIM(F355&amp;"")="","NULL","(SELECT lo.id FROM gen_lista_opciones lo JOIN gen_lista l ON l.id = lo.id_lista WHERE l.nombre = 'PropietarioBalon' AND upper(lo.nombre) = upper('"&amp;SUBSTITUTE(TRIM(F355),"'","''")&amp;"') AND lo.estado = 1 LIMIT 1)")&amp;", p_id_cliente_propietario =&gt; "&amp;IF(F355="CLIENTE",IF(TRIM(G355&amp;"")="","NULL","(SELECT id FROM cli_clientes WHERE numero_documento = '"&amp;SUBSTITUTE(TRIM(G355),"'","''")&amp;"' AND estado = 1 LIMIT 1)"),"NULL")&amp;", p_id_planta =&gt; "&amp;IF(F355="PLANTA",IF(TRIM(G355&amp;"")="","NULL","(SELECT id FROM cli_clientes WHERE numero_documento = '"&amp;SUBSTITUTE(TRIM(G355),"'","''")&amp;"'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"&amp;IF(TRIM(J355&amp;"")="","NULL","(SELECT id FROM gen_almacen WHERE upper(nombre) = upper('"&amp;SUBSTITUTE(TRIM(J355),"'","''")&amp;"') AND estado = 1 LIMIT 1)")&amp;", p_id_cliente_ubicacion =&gt; "&amp;IF(TRIM(K355&amp;"")="","NULL","(SELECT id FROM cli_clientes WHERE numero_documento = '"&amp;SUBSTITUTE(TRIM(K355),"'","''")&amp;"' AND estado = 1 LIMIT 1)")&amp;", p_id_referencia =&gt; "&amp;IF(TRIM(J355&amp;"")&lt;&gt;"","(SELECT lo.id FROM gen_lista_opciones lo JOIN gen_lista l ON l.id = lo.id_lista WHERE l.nombre = 'ReferenciaCilindro' AND upper(lo.nombre) = 'ALMACEN' AND lo.estado = 1 LIMIT 1)",IF(TRIM(K355&amp;"")&lt;&gt;"","(SELECT lo.id FROM gen_lista_opciones lo JOIN gen_lista l ON l.id = lo.id_lista WHERE l.nombre = 'ReferenciaCilindro' AND upper(lo.nombre) = 'CLIENTE' AND lo.estado = 1 LIMIT 1)","NULL"))&amp;", p_anio_fabricacion =&gt; "&amp;IF(M355&amp;""="","NULL::smallint",M355&amp;"::smallint")&amp;", p_mes_fabricacion =&gt; "&amp;IF(N355&amp;""="","NULL::smallint",N355&amp;"::smallint")&amp;", p_fecha_ultima_prueba_hidrostatica =&gt; "&amp;IF(O355&amp;""="","NULL","'"&amp;YEAR(O355)&amp;"-"&amp;TEXT(MONTH(O355),"00")&amp;"-"&amp;TEXT(DAY(O355),"00")&amp;"'")&amp;", p_numero_serie =&gt; "&amp;IF(TRIM(Q355&amp;"")="","NULL","'"&amp;SUBSTITUTE(TRIM(Q355),"'","''")&amp;"'")&amp;", p_id_marca_cilindro =&gt; "&amp;IF(TRIM(R355&amp;"")="","NULL","(SELECT lo.id FROM gen_lista_opciones lo JOIN gen_lista l ON l.id = lo.id_lista WHERE l.nombre = 'MarcaCilindro' AND upper(lo.nombre) = upper('"&amp;SUBSTITUTE(TRIM(R355),"'","''")&amp;"') AND lo.estado = 1 LIMIT 1)")&amp;", p_id_organo_inspector =&gt; "&amp;IF(TRIM(S355&amp;"")="","NULL","(SELECT lo.id FROM gen_lista_opciones lo JOIN gen_lista l ON l.id = lo.id_lista WHERE l.nombre = 'OrganoInspectorCilindro' AND upper(lo.nombre) = upper('"&amp;SUBSTITUTE(TRIM(S355),"'","''")&amp;"') AND lo.estado = 1 LIMIT 1)")&amp;", p_organo_inspector_no_aplica =&gt; "&amp;IF(S355="NO_APLICA","TRUE","FALSE")&amp;", p_presion_actual =&gt; "&amp;IF(T355&amp;""="","NULL",SUBSTITUTE(T355&amp;"",",","."))&amp;", p_tipo_valvula =&gt; "&amp;IF(TRIM(U355&amp;"")="","NULL","'"&amp;SUBSTITUTE(TRIM(U355),"'","''")&amp;"'")&amp;", p_libro_cilindro =&gt; "&amp;IF(TRIM(V355&amp;"")="","NULL","'"&amp;SUBSTITUTE(TRIM(V355),"'","''")&amp;"'")&amp;", p_pagina_libro =&gt; "&amp;IF(W355&amp;""="","NULL",SUBSTITUTE(W355&amp;"",",","."))&amp;", p_observacion =&gt; "&amp;IF(TRIM(X355&amp;"")="","NULL","'"&amp;SUBSTITUTE(TRIM(X355),"'","''")&amp;"'")&amp;") AS resultado_balon_"&amp;ROW()&amp;";")</f>
        <v/>
      </c>
    </row>
    <row r="356" ht="15.75" customHeight="1" s="64">
      <c r="A356" s="36" t="inlineStr">
        <is>
          <t>352</t>
        </is>
      </c>
      <c r="B356" s="25">
        <f>IF(AND(C356="",D356="",E356=""),"",IF(C356="","FALTA código balón",IF(D356="","FALTA tipo balón",IF(E356="","FALTA gas",IF(F356="","FALTA propietario",IF(AND(C356&lt;&gt;"",SUMPRODUCT(--($C$5:$C$1200=C356))&gt;1),"CÓDIGO BALÓN DUPLICADO",IF(AND(OR(UPPER(F356)="PLANTA",UPPER(F356)="CLIENTE"),G356=""),"FALTA doc propietario/planta",IF(AND(UPPER(F356)="PLANTA",G356="10175332796"),"PLANTA no puede ser RUC empresa","OK"))))))))</f>
        <v/>
      </c>
      <c r="C356" s="23" t="inlineStr">
        <is>
          <t>20K646055</t>
        </is>
      </c>
      <c r="D356" s="17" t="inlineStr">
        <is>
          <t>Oxígeno Industrial 10 m³</t>
        </is>
      </c>
      <c r="E356" s="17" t="inlineStr">
        <is>
          <t>OXIGENO INDUSTRIAL</t>
        </is>
      </c>
      <c r="F356" s="17" t="inlineStr">
        <is>
          <t>EMPRESA</t>
        </is>
      </c>
      <c r="G356" s="23" t="inlineStr">
        <is>
          <t>10175332796</t>
        </is>
      </c>
      <c r="H356" s="25">
        <f t="array" ref="H356">IF(G356="","",IFERROR(IF(INDEX(Clientes!$D$5:$D$549,MATCH(G356,Clientes!$C$5:$C$549,0))&lt;&gt;"",INDEX(Clientes!$D$5:$D$549,MATCH(G356,Clientes!$C$5:$C$549,0)),TRIM(INDEX(Clientes!$E$5:$E$549,MATCH(G356,Clientes!$C$5:$C$549,0))&amp;" "&amp;INDEX(Clientes!$F$5:$F$549,MATCH(G356,Clientes!$C$5:$C$549,0)))),"NO EXISTE en Clientes"))</f>
        <v/>
      </c>
      <c r="I356" s="17" t="inlineStr">
        <is>
          <t>ALMACEN EXTRAVIADO</t>
        </is>
      </c>
      <c r="J356" s="17" t="n"/>
      <c r="K356" s="23" t="n"/>
      <c r="L356" s="25">
        <f t="array" ref="L356">IF(K356="","",IFERROR(IF(INDEX(Clientes!$D$5:$D$549,MATCH(K356,Clientes!$C$5:$C$549,0))&lt;&gt;"",INDEX(Clientes!$D$5:$D$549,MATCH(K356,Clientes!$C$5:$C$549,0)),TRIM(INDEX(Clientes!$E$5:$E$549,MATCH(K356,Clientes!$C$5:$C$549,0))&amp;" "&amp;INDEX(Clientes!$F$5:$F$549,MATCH(K356,Clientes!$C$5:$C$549,0)))),"NO EXISTE en Clientes"))</f>
        <v/>
      </c>
      <c r="M356" s="17" t="n"/>
      <c r="N356" s="17" t="n"/>
      <c r="O356" s="42" t="n"/>
      <c r="P356" s="39">
        <f>IF(O356&lt;&gt;"",DATE(YEAR(O356)+5,MONTH(O356),1),IF(AND(M356&lt;&gt;"",N356&lt;&gt;""),DATE(M356+5,N356,1),""))</f>
        <v/>
      </c>
      <c r="Q356" s="23" t="n"/>
      <c r="R356" s="17" t="n"/>
      <c r="S356" s="17" t="n"/>
      <c r="T356" s="17" t="n"/>
      <c r="U356" s="17" t="n"/>
      <c r="V356" s="23" t="n"/>
      <c r="W356" s="17" t="n"/>
      <c r="X356" s="17" t="n"/>
      <c r="Y356" s="28">
        <f>IF(B356&lt;&gt;"OK","","SELECT bal_crear_balon(p_codigo_balon =&gt; "&amp;IF(TRIM(C356&amp;"")="","NULL","'"&amp;SUBSTITUTE(TRIM(C356),"'","''")&amp;"'")&amp;", p_id_tipo_balon =&gt; "&amp;"(SELECT id FROM bal_tipo_balon WHERE upper(nombre) = upper('"&amp;SUBSTITUTE(TRIM(D356),"'","''")&amp;"') AND estado = 1 LIMIT 1)"&amp;", p_id_producto_gas =&gt; "&amp;"(SELECT id FROM pro_producto WHERE es_gas = TRUE AND upper(nombre) = upper('"&amp;SUBSTITUTE(TRIM(E356),"'","''")&amp;"') AND estado = 1 LIMIT 1)"&amp;", p_id_propietario =&gt; "&amp;IF(TRIM(F356&amp;"")="","NULL","(SELECT lo.id FROM gen_lista_opciones lo JOIN gen_lista l ON l.id = lo.id_lista WHERE l.nombre = 'PropietarioBalon' AND upper(lo.nombre) = upper('"&amp;SUBSTITUTE(TRIM(F356),"'","''")&amp;"') AND lo.estado = 1 LIMIT 1)")&amp;", p_id_cliente_propietario =&gt; "&amp;IF(F356="CLIENTE",IF(TRIM(G356&amp;"")="","NULL","(SELECT id FROM cli_clientes WHERE numero_documento = '"&amp;SUBSTITUTE(TRIM(G356),"'","''")&amp;"' AND estado = 1 LIMIT 1)"),"NULL")&amp;", p_id_planta =&gt; "&amp;IF(F356="PLANTA",IF(TRIM(G356&amp;"")="","NULL","(SELECT id FROM cli_clientes WHERE numero_documento = '"&amp;SUBSTITUTE(TRIM(G356),"'","''")&amp;"'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"&amp;IF(TRIM(J356&amp;"")="","NULL","(SELECT id FROM gen_almacen WHERE upper(nombre) = upper('"&amp;SUBSTITUTE(TRIM(J356),"'","''")&amp;"') AND estado = 1 LIMIT 1)")&amp;", p_id_cliente_ubicacion =&gt; "&amp;IF(TRIM(K356&amp;"")="","NULL","(SELECT id FROM cli_clientes WHERE numero_documento = '"&amp;SUBSTITUTE(TRIM(K356),"'","''")&amp;"' AND estado = 1 LIMIT 1)")&amp;", p_id_referencia =&gt; "&amp;IF(TRIM(J356&amp;"")&lt;&gt;"","(SELECT lo.id FROM gen_lista_opciones lo JOIN gen_lista l ON l.id = lo.id_lista WHERE l.nombre = 'ReferenciaCilindro' AND upper(lo.nombre) = 'ALMACEN' AND lo.estado = 1 LIMIT 1)",IF(TRIM(K356&amp;"")&lt;&gt;"","(SELECT lo.id FROM gen_lista_opciones lo JOIN gen_lista l ON l.id = lo.id_lista WHERE l.nombre = 'ReferenciaCilindro' AND upper(lo.nombre) = 'CLIENTE' AND lo.estado = 1 LIMIT 1)","NULL"))&amp;", p_anio_fabricacion =&gt; "&amp;IF(M356&amp;""="","NULL::smallint",M356&amp;"::smallint")&amp;", p_mes_fabricacion =&gt; "&amp;IF(N356&amp;""="","NULL::smallint",N356&amp;"::smallint")&amp;", p_fecha_ultima_prueba_hidrostatica =&gt; "&amp;IF(O356&amp;""="","NULL","'"&amp;YEAR(O356)&amp;"-"&amp;TEXT(MONTH(O356),"00")&amp;"-"&amp;TEXT(DAY(O356),"00")&amp;"'")&amp;", p_numero_serie =&gt; "&amp;IF(TRIM(Q356&amp;"")="","NULL","'"&amp;SUBSTITUTE(TRIM(Q356),"'","''")&amp;"'")&amp;", p_id_marca_cilindro =&gt; "&amp;IF(TRIM(R356&amp;"")="","NULL","(SELECT lo.id FROM gen_lista_opciones lo JOIN gen_lista l ON l.id = lo.id_lista WHERE l.nombre = 'MarcaCilindro' AND upper(lo.nombre) = upper('"&amp;SUBSTITUTE(TRIM(R356),"'","''")&amp;"') AND lo.estado = 1 LIMIT 1)")&amp;", p_id_organo_inspector =&gt; "&amp;IF(TRIM(S356&amp;"")="","NULL","(SELECT lo.id FROM gen_lista_opciones lo JOIN gen_lista l ON l.id = lo.id_lista WHERE l.nombre = 'OrganoInspectorCilindro' AND upper(lo.nombre) = upper('"&amp;SUBSTITUTE(TRIM(S356),"'","''")&amp;"') AND lo.estado = 1 LIMIT 1)")&amp;", p_organo_inspector_no_aplica =&gt; "&amp;IF(S356="NO_APLICA","TRUE","FALSE")&amp;", p_presion_actual =&gt; "&amp;IF(T356&amp;""="","NULL",SUBSTITUTE(T356&amp;"",",","."))&amp;", p_tipo_valvula =&gt; "&amp;IF(TRIM(U356&amp;"")="","NULL","'"&amp;SUBSTITUTE(TRIM(U356),"'","''")&amp;"'")&amp;", p_libro_cilindro =&gt; "&amp;IF(TRIM(V356&amp;"")="","NULL","'"&amp;SUBSTITUTE(TRIM(V356),"'","''")&amp;"'")&amp;", p_pagina_libro =&gt; "&amp;IF(W356&amp;""="","NULL",SUBSTITUTE(W356&amp;"",",","."))&amp;", p_observacion =&gt; "&amp;IF(TRIM(X356&amp;"")="","NULL","'"&amp;SUBSTITUTE(TRIM(X356),"'","''")&amp;"'")&amp;") AS resultado_balon_"&amp;ROW()&amp;";")</f>
        <v/>
      </c>
    </row>
    <row r="357" ht="15.75" customHeight="1" s="64">
      <c r="A357" s="36" t="inlineStr">
        <is>
          <t>353</t>
        </is>
      </c>
      <c r="B357" s="25">
        <f>IF(AND(C357="",D357="",E357=""),"",IF(C357="","FALTA código balón",IF(D357="","FALTA tipo balón",IF(E357="","FALTA gas",IF(F357="","FALTA propietario",IF(AND(C357&lt;&gt;"",SUMPRODUCT(--($C$5:$C$1200=C357))&gt;1),"CÓDIGO BALÓN DUPLICADO",IF(AND(OR(UPPER(F357)="PLANTA",UPPER(F357)="CLIENTE"),G357=""),"FALTA doc propietario/planta",IF(AND(UPPER(F357)="PLANTA",G357="10175332796"),"PLANTA no puede ser RUC empresa","OK"))))))))</f>
        <v/>
      </c>
      <c r="C357" s="23" t="inlineStr">
        <is>
          <t>K4860142</t>
        </is>
      </c>
      <c r="D357" s="17" t="inlineStr">
        <is>
          <t>Oxígeno Industrial 10 m³</t>
        </is>
      </c>
      <c r="E357" s="17" t="inlineStr">
        <is>
          <t>OXIGENO INDUSTRIAL</t>
        </is>
      </c>
      <c r="F357" s="17" t="inlineStr">
        <is>
          <t>EMPRESA</t>
        </is>
      </c>
      <c r="G357" s="23" t="inlineStr">
        <is>
          <t>10175332796</t>
        </is>
      </c>
      <c r="H357" s="25">
        <f t="array" ref="H357">IF(G357="","",IFERROR(IF(INDEX(Clientes!$D$5:$D$549,MATCH(G357,Clientes!$C$5:$C$549,0))&lt;&gt;"",INDEX(Clientes!$D$5:$D$549,MATCH(G357,Clientes!$C$5:$C$549,0)),TRIM(INDEX(Clientes!$E$5:$E$549,MATCH(G357,Clientes!$C$5:$C$549,0))&amp;" "&amp;INDEX(Clientes!$F$5:$F$549,MATCH(G357,Clientes!$C$5:$C$549,0)))),"NO EXISTE en Clientes"))</f>
        <v/>
      </c>
      <c r="I357" s="17" t="inlineStr">
        <is>
          <t>ALMACEN EXTRAVIADO</t>
        </is>
      </c>
      <c r="J357" s="17" t="n"/>
      <c r="K357" s="23" t="n"/>
      <c r="L357" s="25">
        <f t="array" ref="L357">IF(K357="","",IFERROR(IF(INDEX(Clientes!$D$5:$D$549,MATCH(K357,Clientes!$C$5:$C$549,0))&lt;&gt;"",INDEX(Clientes!$D$5:$D$549,MATCH(K357,Clientes!$C$5:$C$549,0)),TRIM(INDEX(Clientes!$E$5:$E$549,MATCH(K357,Clientes!$C$5:$C$549,0))&amp;" "&amp;INDEX(Clientes!$F$5:$F$549,MATCH(K357,Clientes!$C$5:$C$549,0)))),"NO EXISTE en Clientes"))</f>
        <v/>
      </c>
      <c r="M357" s="17" t="n"/>
      <c r="N357" s="17" t="n"/>
      <c r="O357" s="42" t="n"/>
      <c r="P357" s="39">
        <f>IF(O357&lt;&gt;"",DATE(YEAR(O357)+5,MONTH(O357),1),IF(AND(M357&lt;&gt;"",N357&lt;&gt;""),DATE(M357+5,N357,1),""))</f>
        <v/>
      </c>
      <c r="Q357" s="23" t="n"/>
      <c r="R357" s="17" t="n"/>
      <c r="S357" s="17" t="n"/>
      <c r="T357" s="17" t="n"/>
      <c r="U357" s="17" t="n"/>
      <c r="V357" s="23" t="n"/>
      <c r="W357" s="17" t="n"/>
      <c r="X357" s="17" t="n"/>
      <c r="Y357" s="28">
        <f>IF(B357&lt;&gt;"OK","","SELECT bal_crear_balon(p_codigo_balon =&gt; "&amp;IF(TRIM(C357&amp;"")="","NULL","'"&amp;SUBSTITUTE(TRIM(C357),"'","''")&amp;"'")&amp;", p_id_tipo_balon =&gt; "&amp;"(SELECT id FROM bal_tipo_balon WHERE upper(nombre) = upper('"&amp;SUBSTITUTE(TRIM(D357),"'","''")&amp;"') AND estado = 1 LIMIT 1)"&amp;", p_id_producto_gas =&gt; "&amp;"(SELECT id FROM pro_producto WHERE es_gas = TRUE AND upper(nombre) = upper('"&amp;SUBSTITUTE(TRIM(E357),"'","''")&amp;"') AND estado = 1 LIMIT 1)"&amp;", p_id_propietario =&gt; "&amp;IF(TRIM(F357&amp;"")="","NULL","(SELECT lo.id FROM gen_lista_opciones lo JOIN gen_lista l ON l.id = lo.id_lista WHERE l.nombre = 'PropietarioBalon' AND upper(lo.nombre) = upper('"&amp;SUBSTITUTE(TRIM(F357),"'","''")&amp;"') AND lo.estado = 1 LIMIT 1)")&amp;", p_id_cliente_propietario =&gt; "&amp;IF(F357="CLIENTE",IF(TRIM(G357&amp;"")="","NULL","(SELECT id FROM cli_clientes WHERE numero_documento = '"&amp;SUBSTITUTE(TRIM(G357),"'","''")&amp;"' AND estado = 1 LIMIT 1)"),"NULL")&amp;", p_id_planta =&gt; "&amp;IF(F357="PLANTA",IF(TRIM(G357&amp;"")="","NULL","(SELECT id FROM cli_clientes WHERE numero_documento = '"&amp;SUBSTITUTE(TRIM(G357),"'","''")&amp;"'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"&amp;IF(TRIM(J357&amp;"")="","NULL","(SELECT id FROM gen_almacen WHERE upper(nombre) = upper('"&amp;SUBSTITUTE(TRIM(J357),"'","''")&amp;"') AND estado = 1 LIMIT 1)")&amp;", p_id_cliente_ubicacion =&gt; "&amp;IF(TRIM(K357&amp;"")="","NULL","(SELECT id FROM cli_clientes WHERE numero_documento = '"&amp;SUBSTITUTE(TRIM(K357),"'","''")&amp;"' AND estado = 1 LIMIT 1)")&amp;", p_id_referencia =&gt; "&amp;IF(TRIM(J357&amp;"")&lt;&gt;"","(SELECT lo.id FROM gen_lista_opciones lo JOIN gen_lista l ON l.id = lo.id_lista WHERE l.nombre = 'ReferenciaCilindro' AND upper(lo.nombre) = 'ALMACEN' AND lo.estado = 1 LIMIT 1)",IF(TRIM(K357&amp;"")&lt;&gt;"","(SELECT lo.id FROM gen_lista_opciones lo JOIN gen_lista l ON l.id = lo.id_lista WHERE l.nombre = 'ReferenciaCilindro' AND upper(lo.nombre) = 'CLIENTE' AND lo.estado = 1 LIMIT 1)","NULL"))&amp;", p_anio_fabricacion =&gt; "&amp;IF(M357&amp;""="","NULL::smallint",M357&amp;"::smallint")&amp;", p_mes_fabricacion =&gt; "&amp;IF(N357&amp;""="","NULL::smallint",N357&amp;"::smallint")&amp;", p_fecha_ultima_prueba_hidrostatica =&gt; "&amp;IF(O357&amp;""="","NULL","'"&amp;YEAR(O357)&amp;"-"&amp;TEXT(MONTH(O357),"00")&amp;"-"&amp;TEXT(DAY(O357),"00")&amp;"'")&amp;", p_numero_serie =&gt; "&amp;IF(TRIM(Q357&amp;"")="","NULL","'"&amp;SUBSTITUTE(TRIM(Q357),"'","''")&amp;"'")&amp;", p_id_marca_cilindro =&gt; "&amp;IF(TRIM(R357&amp;"")="","NULL","(SELECT lo.id FROM gen_lista_opciones lo JOIN gen_lista l ON l.id = lo.id_lista WHERE l.nombre = 'MarcaCilindro' AND upper(lo.nombre) = upper('"&amp;SUBSTITUTE(TRIM(R357),"'","''")&amp;"') AND lo.estado = 1 LIMIT 1)")&amp;", p_id_organo_inspector =&gt; "&amp;IF(TRIM(S357&amp;"")="","NULL","(SELECT lo.id FROM gen_lista_opciones lo JOIN gen_lista l ON l.id = lo.id_lista WHERE l.nombre = 'OrganoInspectorCilindro' AND upper(lo.nombre) = upper('"&amp;SUBSTITUTE(TRIM(S357),"'","''")&amp;"') AND lo.estado = 1 LIMIT 1)")&amp;", p_organo_inspector_no_aplica =&gt; "&amp;IF(S357="NO_APLICA","TRUE","FALSE")&amp;", p_presion_actual =&gt; "&amp;IF(T357&amp;""="","NULL",SUBSTITUTE(T357&amp;"",",","."))&amp;", p_tipo_valvula =&gt; "&amp;IF(TRIM(U357&amp;"")="","NULL","'"&amp;SUBSTITUTE(TRIM(U357),"'","''")&amp;"'")&amp;", p_libro_cilindro =&gt; "&amp;IF(TRIM(V357&amp;"")="","NULL","'"&amp;SUBSTITUTE(TRIM(V357),"'","''")&amp;"'")&amp;", p_pagina_libro =&gt; "&amp;IF(W357&amp;""="","NULL",SUBSTITUTE(W357&amp;"",",","."))&amp;", p_observacion =&gt; "&amp;IF(TRIM(X357&amp;"")="","NULL","'"&amp;SUBSTITUTE(TRIM(X357),"'","''")&amp;"'")&amp;") AS resultado_balon_"&amp;ROW()&amp;";")</f>
        <v/>
      </c>
    </row>
    <row r="358" ht="15.75" customHeight="1" s="64">
      <c r="A358" s="36" t="inlineStr">
        <is>
          <t>354</t>
        </is>
      </c>
      <c r="B358" s="25">
        <f>IF(AND(C358="",D358="",E358=""),"",IF(C358="","FALTA código balón",IF(D358="","FALTA tipo balón",IF(E358="","FALTA gas",IF(F358="","FALTA propietario",IF(AND(C358&lt;&gt;"",SUMPRODUCT(--($C$5:$C$1200=C358))&gt;1),"CÓDIGO BALÓN DUPLICADO",IF(AND(OR(UPPER(F358)="PLANTA",UPPER(F358)="CLIENTE"),G358=""),"FALTA doc propietario/planta",IF(AND(UPPER(F358)="PLANTA",G358="10175332796"),"PLANTA no puede ser RUC empresa","OK"))))))))</f>
        <v/>
      </c>
      <c r="C358" s="23" t="inlineStr">
        <is>
          <t>20K650076</t>
        </is>
      </c>
      <c r="D358" s="17" t="inlineStr">
        <is>
          <t>Oxígeno Industrial 10 m³</t>
        </is>
      </c>
      <c r="E358" s="17" t="inlineStr">
        <is>
          <t>OXIGENO INDUSTRIAL</t>
        </is>
      </c>
      <c r="F358" s="17" t="inlineStr">
        <is>
          <t>EMPRESA</t>
        </is>
      </c>
      <c r="G358" s="23" t="inlineStr">
        <is>
          <t>10175332796</t>
        </is>
      </c>
      <c r="H358" s="25">
        <f t="array" ref="H358">IF(G358="","",IFERROR(IF(INDEX(Clientes!$D$5:$D$549,MATCH(G358,Clientes!$C$5:$C$549,0))&lt;&gt;"",INDEX(Clientes!$D$5:$D$549,MATCH(G358,Clientes!$C$5:$C$549,0)),TRIM(INDEX(Clientes!$E$5:$E$549,MATCH(G358,Clientes!$C$5:$C$549,0))&amp;" "&amp;INDEX(Clientes!$F$5:$F$549,MATCH(G358,Clientes!$C$5:$C$549,0)))),"NO EXISTE en Clientes"))</f>
        <v/>
      </c>
      <c r="I358" s="17" t="inlineStr">
        <is>
          <t>DISPONIBLE</t>
        </is>
      </c>
      <c r="J358" s="17" t="inlineStr">
        <is>
          <t>ALMACEN LAMBAYEQUE</t>
        </is>
      </c>
      <c r="K358" s="23" t="n"/>
      <c r="L358" s="25">
        <f t="array" ref="L358">IF(K358="","",IFERROR(IF(INDEX(Clientes!$D$5:$D$549,MATCH(K358,Clientes!$C$5:$C$549,0))&lt;&gt;"",INDEX(Clientes!$D$5:$D$549,MATCH(K358,Clientes!$C$5:$C$549,0)),TRIM(INDEX(Clientes!$E$5:$E$549,MATCH(K358,Clientes!$C$5:$C$549,0))&amp;" "&amp;INDEX(Clientes!$F$5:$F$549,MATCH(K358,Clientes!$C$5:$C$549,0)))),"NO EXISTE en Clientes"))</f>
        <v/>
      </c>
      <c r="M358" s="17" t="n"/>
      <c r="N358" s="17" t="n"/>
      <c r="O358" s="42" t="n"/>
      <c r="P358" s="39">
        <f>IF(O358&lt;&gt;"",DATE(YEAR(O358)+5,MONTH(O358),1),IF(AND(M358&lt;&gt;"",N358&lt;&gt;""),DATE(M358+5,N358,1),""))</f>
        <v/>
      </c>
      <c r="Q358" s="23" t="n"/>
      <c r="R358" s="17" t="n"/>
      <c r="S358" s="17" t="n"/>
      <c r="T358" s="17" t="n"/>
      <c r="U358" s="17" t="n"/>
      <c r="V358" s="23" t="n"/>
      <c r="W358" s="17" t="n"/>
      <c r="X358" s="17" t="n"/>
      <c r="Y358" s="28">
        <f>IF(B358&lt;&gt;"OK","","SELECT bal_crear_balon(p_codigo_balon =&gt; "&amp;IF(TRIM(C358&amp;"")="","NULL","'"&amp;SUBSTITUTE(TRIM(C358),"'","''")&amp;"'")&amp;", p_id_tipo_balon =&gt; "&amp;"(SELECT id FROM bal_tipo_balon WHERE upper(nombre) = upper('"&amp;SUBSTITUTE(TRIM(D358),"'","''")&amp;"') AND estado = 1 LIMIT 1)"&amp;", p_id_producto_gas =&gt; "&amp;"(SELECT id FROM pro_producto WHERE es_gas = TRUE AND upper(nombre) = upper('"&amp;SUBSTITUTE(TRIM(E358),"'","''")&amp;"') AND estado = 1 LIMIT 1)"&amp;", p_id_propietario =&gt; "&amp;IF(TRIM(F358&amp;"")="","NULL","(SELECT lo.id FROM gen_lista_opciones lo JOIN gen_lista l ON l.id = lo.id_lista WHERE l.nombre = 'PropietarioBalon' AND upper(lo.nombre) = upper('"&amp;SUBSTITUTE(TRIM(F358),"'","''")&amp;"') AND lo.estado = 1 LIMIT 1)")&amp;", p_id_cliente_propietario =&gt; "&amp;IF(F358="CLIENTE",IF(TRIM(G358&amp;"")="","NULL","(SELECT id FROM cli_clientes WHERE numero_documento = '"&amp;SUBSTITUTE(TRIM(G358),"'","''")&amp;"' AND estado = 1 LIMIT 1)"),"NULL")&amp;", p_id_planta =&gt; "&amp;IF(F358="PLANTA",IF(TRIM(G358&amp;"")="","NULL","(SELECT id FROM cli_clientes WHERE numero_documento = '"&amp;SUBSTITUTE(TRIM(G358),"'","''")&amp;"'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"&amp;IF(TRIM(J358&amp;"")="","NULL","(SELECT id FROM gen_almacen WHERE upper(nombre) = upper('"&amp;SUBSTITUTE(TRIM(J358),"'","''")&amp;"') AND estado = 1 LIMIT 1)")&amp;", p_id_cliente_ubicacion =&gt; "&amp;IF(TRIM(K358&amp;"")="","NULL","(SELECT id FROM cli_clientes WHERE numero_documento = '"&amp;SUBSTITUTE(TRIM(K358),"'","''")&amp;"' AND estado = 1 LIMIT 1)")&amp;", p_id_referencia =&gt; "&amp;IF(TRIM(J358&amp;"")&lt;&gt;"","(SELECT lo.id FROM gen_lista_opciones lo JOIN gen_lista l ON l.id = lo.id_lista WHERE l.nombre = 'ReferenciaCilindro' AND upper(lo.nombre) = 'ALMACEN' AND lo.estado = 1 LIMIT 1)",IF(TRIM(K358&amp;"")&lt;&gt;"","(SELECT lo.id FROM gen_lista_opciones lo JOIN gen_lista l ON l.id = lo.id_lista WHERE l.nombre = 'ReferenciaCilindro' AND upper(lo.nombre) = 'CLIENTE' AND lo.estado = 1 LIMIT 1)","NULL"))&amp;", p_anio_fabricacion =&gt; "&amp;IF(M358&amp;""="","NULL::smallint",M358&amp;"::smallint")&amp;", p_mes_fabricacion =&gt; "&amp;IF(N358&amp;""="","NULL::smallint",N358&amp;"::smallint")&amp;", p_fecha_ultima_prueba_hidrostatica =&gt; "&amp;IF(O358&amp;""="","NULL","'"&amp;YEAR(O358)&amp;"-"&amp;TEXT(MONTH(O358),"00")&amp;"-"&amp;TEXT(DAY(O358),"00")&amp;"'")&amp;", p_numero_serie =&gt; "&amp;IF(TRIM(Q358&amp;"")="","NULL","'"&amp;SUBSTITUTE(TRIM(Q358),"'","''")&amp;"'")&amp;", p_id_marca_cilindro =&gt; "&amp;IF(TRIM(R358&amp;"")="","NULL","(SELECT lo.id FROM gen_lista_opciones lo JOIN gen_lista l ON l.id = lo.id_lista WHERE l.nombre = 'MarcaCilindro' AND upper(lo.nombre) = upper('"&amp;SUBSTITUTE(TRIM(R358),"'","''")&amp;"') AND lo.estado = 1 LIMIT 1)")&amp;", p_id_organo_inspector =&gt; "&amp;IF(TRIM(S358&amp;"")="","NULL","(SELECT lo.id FROM gen_lista_opciones lo JOIN gen_lista l ON l.id = lo.id_lista WHERE l.nombre = 'OrganoInspectorCilindro' AND upper(lo.nombre) = upper('"&amp;SUBSTITUTE(TRIM(S358),"'","''")&amp;"') AND lo.estado = 1 LIMIT 1)")&amp;", p_organo_inspector_no_aplica =&gt; "&amp;IF(S358="NO_APLICA","TRUE","FALSE")&amp;", p_presion_actual =&gt; "&amp;IF(T358&amp;""="","NULL",SUBSTITUTE(T358&amp;"",",","."))&amp;", p_tipo_valvula =&gt; "&amp;IF(TRIM(U358&amp;"")="","NULL","'"&amp;SUBSTITUTE(TRIM(U358),"'","''")&amp;"'")&amp;", p_libro_cilindro =&gt; "&amp;IF(TRIM(V358&amp;"")="","NULL","'"&amp;SUBSTITUTE(TRIM(V358),"'","''")&amp;"'")&amp;", p_pagina_libro =&gt; "&amp;IF(W358&amp;""="","NULL",SUBSTITUTE(W358&amp;"",",","."))&amp;", p_observacion =&gt; "&amp;IF(TRIM(X358&amp;"")="","NULL","'"&amp;SUBSTITUTE(TRIM(X358),"'","''")&amp;"'")&amp;") AS resultado_balon_"&amp;ROW()&amp;";")</f>
        <v/>
      </c>
    </row>
    <row r="359" ht="15.75" customHeight="1" s="64">
      <c r="A359" s="36" t="inlineStr">
        <is>
          <t>355</t>
        </is>
      </c>
      <c r="B359" s="25">
        <f>IF(AND(C359="",D359="",E359=""),"",IF(C359="","FALTA código balón",IF(D359="","FALTA tipo balón",IF(E359="","FALTA gas",IF(F359="","FALTA propietario",IF(AND(C359&lt;&gt;"",SUMPRODUCT(--($C$5:$C$1200=C359))&gt;1),"CÓDIGO BALÓN DUPLICADO",IF(AND(OR(UPPER(F359)="PLANTA",UPPER(F359)="CLIENTE"),G359=""),"FALTA doc propietario/planta",IF(AND(UPPER(F359)="PLANTA",G359="10175332796"),"PLANTA no puede ser RUC empresa","OK"))))))))</f>
        <v/>
      </c>
      <c r="C359" s="23" t="inlineStr">
        <is>
          <t>498L</t>
        </is>
      </c>
      <c r="D359" s="17" t="inlineStr">
        <is>
          <t>Oxígeno Industrial 10 m³</t>
        </is>
      </c>
      <c r="E359" s="17" t="inlineStr">
        <is>
          <t>OXIGENO INDUSTRIAL</t>
        </is>
      </c>
      <c r="F359" s="17" t="inlineStr">
        <is>
          <t>EMPRESA</t>
        </is>
      </c>
      <c r="G359" s="23" t="inlineStr">
        <is>
          <t>10175332796</t>
        </is>
      </c>
      <c r="H359" s="25">
        <f t="array" ref="H359">IF(G359="","",IFERROR(IF(INDEX(Clientes!$D$5:$D$549,MATCH(G359,Clientes!$C$5:$C$549,0))&lt;&gt;"",INDEX(Clientes!$D$5:$D$549,MATCH(G359,Clientes!$C$5:$C$549,0)),TRIM(INDEX(Clientes!$E$5:$E$549,MATCH(G359,Clientes!$C$5:$C$549,0))&amp;" "&amp;INDEX(Clientes!$F$5:$F$549,MATCH(G359,Clientes!$C$5:$C$549,0)))),"NO EXISTE en Clientes"))</f>
        <v/>
      </c>
      <c r="I359" s="17" t="inlineStr">
        <is>
          <t>DISPONIBLE</t>
        </is>
      </c>
      <c r="J359" s="17" t="inlineStr">
        <is>
          <t>ALMACEN PRINCIPAL</t>
        </is>
      </c>
      <c r="K359" s="23" t="n"/>
      <c r="L359" s="25">
        <f t="array" ref="L359">IF(K359="","",IFERROR(IF(INDEX(Clientes!$D$5:$D$549,MATCH(K359,Clientes!$C$5:$C$549,0))&lt;&gt;"",INDEX(Clientes!$D$5:$D$549,MATCH(K359,Clientes!$C$5:$C$549,0)),TRIM(INDEX(Clientes!$E$5:$E$549,MATCH(K359,Clientes!$C$5:$C$549,0))&amp;" "&amp;INDEX(Clientes!$F$5:$F$549,MATCH(K359,Clientes!$C$5:$C$549,0)))),"NO EXISTE en Clientes"))</f>
        <v/>
      </c>
      <c r="M359" s="17" t="n"/>
      <c r="N359" s="17" t="n"/>
      <c r="O359" s="42" t="n"/>
      <c r="P359" s="39">
        <f>IF(O359&lt;&gt;"",DATE(YEAR(O359)+5,MONTH(O359),1),IF(AND(M359&lt;&gt;"",N359&lt;&gt;""),DATE(M359+5,N359,1),""))</f>
        <v/>
      </c>
      <c r="Q359" s="23" t="n"/>
      <c r="R359" s="17" t="n"/>
      <c r="S359" s="17" t="n"/>
      <c r="T359" s="17" t="n"/>
      <c r="U359" s="17" t="n"/>
      <c r="V359" s="23" t="n"/>
      <c r="W359" s="17" t="n"/>
      <c r="X359" s="17" t="n"/>
      <c r="Y359" s="28">
        <f>IF(B359&lt;&gt;"OK","","SELECT bal_crear_balon(p_codigo_balon =&gt; "&amp;IF(TRIM(C359&amp;"")="","NULL","'"&amp;SUBSTITUTE(TRIM(C359),"'","''")&amp;"'")&amp;", p_id_tipo_balon =&gt; "&amp;"(SELECT id FROM bal_tipo_balon WHERE upper(nombre) = upper('"&amp;SUBSTITUTE(TRIM(D359),"'","''")&amp;"') AND estado = 1 LIMIT 1)"&amp;", p_id_producto_gas =&gt; "&amp;"(SELECT id FROM pro_producto WHERE es_gas = TRUE AND upper(nombre) = upper('"&amp;SUBSTITUTE(TRIM(E359),"'","''")&amp;"') AND estado = 1 LIMIT 1)"&amp;", p_id_propietario =&gt; "&amp;IF(TRIM(F359&amp;"")="","NULL","(SELECT lo.id FROM gen_lista_opciones lo JOIN gen_lista l ON l.id = lo.id_lista WHERE l.nombre = 'PropietarioBalon' AND upper(lo.nombre) = upper('"&amp;SUBSTITUTE(TRIM(F359),"'","''")&amp;"') AND lo.estado = 1 LIMIT 1)")&amp;", p_id_cliente_propietario =&gt; "&amp;IF(F359="CLIENTE",IF(TRIM(G359&amp;"")="","NULL","(SELECT id FROM cli_clientes WHERE numero_documento = '"&amp;SUBSTITUTE(TRIM(G359),"'","''")&amp;"' AND estado = 1 LIMIT 1)"),"NULL")&amp;", p_id_planta =&gt; "&amp;IF(F359="PLANTA",IF(TRIM(G359&amp;"")="","NULL","(SELECT id FROM cli_clientes WHERE numero_documento = '"&amp;SUBSTITUTE(TRIM(G359),"'","''")&amp;"'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"&amp;IF(TRIM(J359&amp;"")="","NULL","(SELECT id FROM gen_almacen WHERE upper(nombre) = upper('"&amp;SUBSTITUTE(TRIM(J359),"'","''")&amp;"') AND estado = 1 LIMIT 1)")&amp;", p_id_cliente_ubicacion =&gt; "&amp;IF(TRIM(K359&amp;"")="","NULL","(SELECT id FROM cli_clientes WHERE numero_documento = '"&amp;SUBSTITUTE(TRIM(K359),"'","''")&amp;"' AND estado = 1 LIMIT 1)")&amp;", p_id_referencia =&gt; "&amp;IF(TRIM(J359&amp;"")&lt;&gt;"","(SELECT lo.id FROM gen_lista_opciones lo JOIN gen_lista l ON l.id = lo.id_lista WHERE l.nombre = 'ReferenciaCilindro' AND upper(lo.nombre) = 'ALMACEN' AND lo.estado = 1 LIMIT 1)",IF(TRIM(K359&amp;"")&lt;&gt;"","(SELECT lo.id FROM gen_lista_opciones lo JOIN gen_lista l ON l.id = lo.id_lista WHERE l.nombre = 'ReferenciaCilindro' AND upper(lo.nombre) = 'CLIENTE' AND lo.estado = 1 LIMIT 1)","NULL"))&amp;", p_anio_fabricacion =&gt; "&amp;IF(M359&amp;""="","NULL::smallint",M359&amp;"::smallint")&amp;", p_mes_fabricacion =&gt; "&amp;IF(N359&amp;""="","NULL::smallint",N359&amp;"::smallint")&amp;", p_fecha_ultima_prueba_hidrostatica =&gt; "&amp;IF(O359&amp;""="","NULL","'"&amp;YEAR(O359)&amp;"-"&amp;TEXT(MONTH(O359),"00")&amp;"-"&amp;TEXT(DAY(O359),"00")&amp;"'")&amp;", p_numero_serie =&gt; "&amp;IF(TRIM(Q359&amp;"")="","NULL","'"&amp;SUBSTITUTE(TRIM(Q359),"'","''")&amp;"'")&amp;", p_id_marca_cilindro =&gt; "&amp;IF(TRIM(R359&amp;"")="","NULL","(SELECT lo.id FROM gen_lista_opciones lo JOIN gen_lista l ON l.id = lo.id_lista WHERE l.nombre = 'MarcaCilindro' AND upper(lo.nombre) = upper('"&amp;SUBSTITUTE(TRIM(R359),"'","''")&amp;"') AND lo.estado = 1 LIMIT 1)")&amp;", p_id_organo_inspector =&gt; "&amp;IF(TRIM(S359&amp;"")="","NULL","(SELECT lo.id FROM gen_lista_opciones lo JOIN gen_lista l ON l.id = lo.id_lista WHERE l.nombre = 'OrganoInspectorCilindro' AND upper(lo.nombre) = upper('"&amp;SUBSTITUTE(TRIM(S359),"'","''")&amp;"') AND lo.estado = 1 LIMIT 1)")&amp;", p_organo_inspector_no_aplica =&gt; "&amp;IF(S359="NO_APLICA","TRUE","FALSE")&amp;", p_presion_actual =&gt; "&amp;IF(T359&amp;""="","NULL",SUBSTITUTE(T359&amp;"",",","."))&amp;", p_tipo_valvula =&gt; "&amp;IF(TRIM(U359&amp;"")="","NULL","'"&amp;SUBSTITUTE(TRIM(U359),"'","''")&amp;"'")&amp;", p_libro_cilindro =&gt; "&amp;IF(TRIM(V359&amp;"")="","NULL","'"&amp;SUBSTITUTE(TRIM(V359),"'","''")&amp;"'")&amp;", p_pagina_libro =&gt; "&amp;IF(W359&amp;""="","NULL",SUBSTITUTE(W359&amp;"",",","."))&amp;", p_observacion =&gt; "&amp;IF(TRIM(X359&amp;"")="","NULL","'"&amp;SUBSTITUTE(TRIM(X359),"'","''")&amp;"'")&amp;") AS resultado_balon_"&amp;ROW()&amp;";")</f>
        <v/>
      </c>
    </row>
    <row r="360" ht="15.75" customHeight="1" s="64">
      <c r="A360" s="36" t="inlineStr">
        <is>
          <t>356</t>
        </is>
      </c>
      <c r="B360" s="25">
        <f>IF(AND(C360="",D360="",E360=""),"",IF(C360="","FALTA código balón",IF(D360="","FALTA tipo balón",IF(E360="","FALTA gas",IF(F360="","FALTA propietario",IF(AND(C360&lt;&gt;"",SUMPRODUCT(--($C$5:$C$1200=C360))&gt;1),"CÓDIGO BALÓN DUPLICADO",IF(AND(OR(UPPER(F360)="PLANTA",UPPER(F360)="CLIENTE"),G360=""),"FALTA doc propietario/planta",IF(AND(UPPER(F360)="PLANTA",G360="10175332796"),"PLANTA no puede ser RUC empresa","OK"))))))))</f>
        <v/>
      </c>
      <c r="C360" s="23" t="inlineStr">
        <is>
          <t>MG1227</t>
        </is>
      </c>
      <c r="D360" s="17" t="inlineStr">
        <is>
          <t>Oxigeno Industrial 3 m³</t>
        </is>
      </c>
      <c r="E360" s="17" t="inlineStr">
        <is>
          <t>OXIGENO INDUSTRIAL</t>
        </is>
      </c>
      <c r="F360" s="17" t="inlineStr">
        <is>
          <t>EMPRESA</t>
        </is>
      </c>
      <c r="G360" s="23" t="inlineStr">
        <is>
          <t>10175332796</t>
        </is>
      </c>
      <c r="H360" s="25">
        <f t="array" ref="H360">IF(G360="","",IFERROR(IF(INDEX(Clientes!$D$5:$D$549,MATCH(G360,Clientes!$C$5:$C$549,0))&lt;&gt;"",INDEX(Clientes!$D$5:$D$549,MATCH(G360,Clientes!$C$5:$C$549,0)),TRIM(INDEX(Clientes!$E$5:$E$549,MATCH(G360,Clientes!$C$5:$C$549,0))&amp;" "&amp;INDEX(Clientes!$F$5:$F$549,MATCH(G360,Clientes!$C$5:$C$549,0)))),"NO EXISTE en Clientes"))</f>
        <v/>
      </c>
      <c r="I360" s="17" t="inlineStr">
        <is>
          <t>DISPONIBLE</t>
        </is>
      </c>
      <c r="J360" s="17" t="inlineStr">
        <is>
          <t>ALMACEN PRINCIPAL</t>
        </is>
      </c>
      <c r="K360" s="23" t="n"/>
      <c r="L360" s="25">
        <f t="array" ref="L360">IF(K360="","",IFERROR(IF(INDEX(Clientes!$D$5:$D$549,MATCH(K360,Clientes!$C$5:$C$549,0))&lt;&gt;"",INDEX(Clientes!$D$5:$D$549,MATCH(K360,Clientes!$C$5:$C$549,0)),TRIM(INDEX(Clientes!$E$5:$E$549,MATCH(K360,Clientes!$C$5:$C$549,0))&amp;" "&amp;INDEX(Clientes!$F$5:$F$549,MATCH(K360,Clientes!$C$5:$C$549,0)))),"NO EXISTE en Clientes"))</f>
        <v/>
      </c>
      <c r="M360" s="17" t="n"/>
      <c r="N360" s="17" t="n"/>
      <c r="O360" s="42" t="n"/>
      <c r="P360" s="39">
        <f>IF(O360&lt;&gt;"",DATE(YEAR(O360)+5,MONTH(O360),1),IF(AND(M360&lt;&gt;"",N360&lt;&gt;""),DATE(M360+5,N360,1),""))</f>
        <v/>
      </c>
      <c r="Q360" s="23" t="n"/>
      <c r="R360" s="17" t="n"/>
      <c r="S360" s="17" t="n"/>
      <c r="T360" s="17" t="n"/>
      <c r="U360" s="17" t="n"/>
      <c r="V360" s="23" t="n"/>
      <c r="W360" s="17" t="n"/>
      <c r="X360" s="17" t="n"/>
      <c r="Y360" s="28">
        <f>IF(B360&lt;&gt;"OK","","SELECT bal_crear_balon(p_codigo_balon =&gt; "&amp;IF(TRIM(C360&amp;"")="","NULL","'"&amp;SUBSTITUTE(TRIM(C360),"'","''")&amp;"'")&amp;", p_id_tipo_balon =&gt; "&amp;"(SELECT id FROM bal_tipo_balon WHERE upper(nombre) = upper('"&amp;SUBSTITUTE(TRIM(D360),"'","''")&amp;"') AND estado = 1 LIMIT 1)"&amp;", p_id_producto_gas =&gt; "&amp;"(SELECT id FROM pro_producto WHERE es_gas = TRUE AND upper(nombre) = upper('"&amp;SUBSTITUTE(TRIM(E360),"'","''")&amp;"') AND estado = 1 LIMIT 1)"&amp;", p_id_propietario =&gt; "&amp;IF(TRIM(F360&amp;"")="","NULL","(SELECT lo.id FROM gen_lista_opciones lo JOIN gen_lista l ON l.id = lo.id_lista WHERE l.nombre = 'PropietarioBalon' AND upper(lo.nombre) = upper('"&amp;SUBSTITUTE(TRIM(F360),"'","''")&amp;"') AND lo.estado = 1 LIMIT 1)")&amp;", p_id_cliente_propietario =&gt; "&amp;IF(F360="CLIENTE",IF(TRIM(G360&amp;"")="","NULL","(SELECT id FROM cli_clientes WHERE numero_documento = '"&amp;SUBSTITUTE(TRIM(G360),"'","''")&amp;"' AND estado = 1 LIMIT 1)"),"NULL")&amp;", p_id_planta =&gt; "&amp;IF(F360="PLANTA",IF(TRIM(G360&amp;"")="","NULL","(SELECT id FROM cli_clientes WHERE numero_documento = '"&amp;SUBSTITUTE(TRIM(G360),"'","''")&amp;"'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"&amp;IF(TRIM(J360&amp;"")="","NULL","(SELECT id FROM gen_almacen WHERE upper(nombre) = upper('"&amp;SUBSTITUTE(TRIM(J360),"'","''")&amp;"') AND estado = 1 LIMIT 1)")&amp;", p_id_cliente_ubicacion =&gt; "&amp;IF(TRIM(K360&amp;"")="","NULL","(SELECT id FROM cli_clientes WHERE numero_documento = '"&amp;SUBSTITUTE(TRIM(K360),"'","''")&amp;"' AND estado = 1 LIMIT 1)")&amp;", p_id_referencia =&gt; "&amp;IF(TRIM(J360&amp;"")&lt;&gt;"","(SELECT lo.id FROM gen_lista_opciones lo JOIN gen_lista l ON l.id = lo.id_lista WHERE l.nombre = 'ReferenciaCilindro' AND upper(lo.nombre) = 'ALMACEN' AND lo.estado = 1 LIMIT 1)",IF(TRIM(K360&amp;"")&lt;&gt;"","(SELECT lo.id FROM gen_lista_opciones lo JOIN gen_lista l ON l.id = lo.id_lista WHERE l.nombre = 'ReferenciaCilindro' AND upper(lo.nombre) = 'CLIENTE' AND lo.estado = 1 LIMIT 1)","NULL"))&amp;", p_anio_fabricacion =&gt; "&amp;IF(M360&amp;""="","NULL::smallint",M360&amp;"::smallint")&amp;", p_mes_fabricacion =&gt; "&amp;IF(N360&amp;""="","NULL::smallint",N360&amp;"::smallint")&amp;", p_fecha_ultima_prueba_hidrostatica =&gt; "&amp;IF(O360&amp;""="","NULL","'"&amp;YEAR(O360)&amp;"-"&amp;TEXT(MONTH(O360),"00")&amp;"-"&amp;TEXT(DAY(O360),"00")&amp;"'")&amp;", p_numero_serie =&gt; "&amp;IF(TRIM(Q360&amp;"")="","NULL","'"&amp;SUBSTITUTE(TRIM(Q360),"'","''")&amp;"'")&amp;", p_id_marca_cilindro =&gt; "&amp;IF(TRIM(R360&amp;"")="","NULL","(SELECT lo.id FROM gen_lista_opciones lo JOIN gen_lista l ON l.id = lo.id_lista WHERE l.nombre = 'MarcaCilindro' AND upper(lo.nombre) = upper('"&amp;SUBSTITUTE(TRIM(R360),"'","''")&amp;"') AND lo.estado = 1 LIMIT 1)")&amp;", p_id_organo_inspector =&gt; "&amp;IF(TRIM(S360&amp;"")="","NULL","(SELECT lo.id FROM gen_lista_opciones lo JOIN gen_lista l ON l.id = lo.id_lista WHERE l.nombre = 'OrganoInspectorCilindro' AND upper(lo.nombre) = upper('"&amp;SUBSTITUTE(TRIM(S360),"'","''")&amp;"') AND lo.estado = 1 LIMIT 1)")&amp;", p_organo_inspector_no_aplica =&gt; "&amp;IF(S360="NO_APLICA","TRUE","FALSE")&amp;", p_presion_actual =&gt; "&amp;IF(T360&amp;""="","NULL",SUBSTITUTE(T360&amp;"",",","."))&amp;", p_tipo_valvula =&gt; "&amp;IF(TRIM(U360&amp;"")="","NULL","'"&amp;SUBSTITUTE(TRIM(U360),"'","''")&amp;"'")&amp;", p_libro_cilindro =&gt; "&amp;IF(TRIM(V360&amp;"")="","NULL","'"&amp;SUBSTITUTE(TRIM(V360),"'","''")&amp;"'")&amp;", p_pagina_libro =&gt; "&amp;IF(W360&amp;""="","NULL",SUBSTITUTE(W360&amp;"",",","."))&amp;", p_observacion =&gt; "&amp;IF(TRIM(X360&amp;"")="","NULL","'"&amp;SUBSTITUTE(TRIM(X360),"'","''")&amp;"'")&amp;") AS resultado_balon_"&amp;ROW()&amp;";")</f>
        <v/>
      </c>
    </row>
    <row r="361" ht="15.75" customHeight="1" s="64">
      <c r="A361" s="36" t="inlineStr">
        <is>
          <t>357</t>
        </is>
      </c>
      <c r="B361" s="25">
        <f>IF(AND(C361="",D361="",E361=""),"",IF(C361="","FALTA código balón",IF(D361="","FALTA tipo balón",IF(E361="","FALTA gas",IF(F361="","FALTA propietario",IF(AND(C361&lt;&gt;"",SUMPRODUCT(--($C$5:$C$1200=C361))&gt;1),"CÓDIGO BALÓN DUPLICADO",IF(AND(OR(UPPER(F361)="PLANTA",UPPER(F361)="CLIENTE"),G361=""),"FALTA doc propietario/planta",IF(AND(UPPER(F361)="PLANTA",G361="10175332796"),"PLANTA no puede ser RUC empresa","OK"))))))))</f>
        <v/>
      </c>
      <c r="C361" s="23" t="inlineStr">
        <is>
          <t>K4860001</t>
        </is>
      </c>
      <c r="D361" s="17" t="inlineStr">
        <is>
          <t>Oxígeno Industrial 10 m³</t>
        </is>
      </c>
      <c r="E361" s="17" t="inlineStr">
        <is>
          <t>OXIGENO INDUSTRIAL</t>
        </is>
      </c>
      <c r="F361" s="17" t="inlineStr">
        <is>
          <t>EMPRESA</t>
        </is>
      </c>
      <c r="G361" s="23" t="inlineStr">
        <is>
          <t>10175332796</t>
        </is>
      </c>
      <c r="H361" s="25">
        <f t="array" ref="H361">IF(G361="","",IFERROR(IF(INDEX(Clientes!$D$5:$D$549,MATCH(G361,Clientes!$C$5:$C$549,0))&lt;&gt;"",INDEX(Clientes!$D$5:$D$549,MATCH(G361,Clientes!$C$5:$C$549,0)),TRIM(INDEX(Clientes!$E$5:$E$549,MATCH(G361,Clientes!$C$5:$C$549,0))&amp;" "&amp;INDEX(Clientes!$F$5:$F$549,MATCH(G361,Clientes!$C$5:$C$549,0)))),"NO EXISTE en Clientes"))</f>
        <v/>
      </c>
      <c r="I361" s="17" t="inlineStr">
        <is>
          <t>ALMACEN EXTRAVIADO</t>
        </is>
      </c>
      <c r="J361" s="17" t="n"/>
      <c r="K361" s="23" t="n"/>
      <c r="L361" s="25">
        <f t="array" ref="L361">IF(K361="","",IFERROR(IF(INDEX(Clientes!$D$5:$D$549,MATCH(K361,Clientes!$C$5:$C$549,0))&lt;&gt;"",INDEX(Clientes!$D$5:$D$549,MATCH(K361,Clientes!$C$5:$C$549,0)),TRIM(INDEX(Clientes!$E$5:$E$549,MATCH(K361,Clientes!$C$5:$C$549,0))&amp;" "&amp;INDEX(Clientes!$F$5:$F$549,MATCH(K361,Clientes!$C$5:$C$549,0)))),"NO EXISTE en Clientes"))</f>
        <v/>
      </c>
      <c r="M361" s="17" t="n"/>
      <c r="N361" s="17" t="n"/>
      <c r="O361" s="42" t="n"/>
      <c r="P361" s="39">
        <f>IF(O361&lt;&gt;"",DATE(YEAR(O361)+5,MONTH(O361),1),IF(AND(M361&lt;&gt;"",N361&lt;&gt;""),DATE(M361+5,N361,1),""))</f>
        <v/>
      </c>
      <c r="Q361" s="23" t="n"/>
      <c r="R361" s="17" t="n"/>
      <c r="S361" s="17" t="n"/>
      <c r="T361" s="17" t="n"/>
      <c r="U361" s="17" t="n"/>
      <c r="V361" s="23" t="n"/>
      <c r="W361" s="17" t="n"/>
      <c r="X361" s="17" t="n"/>
      <c r="Y361" s="28">
        <f>IF(B361&lt;&gt;"OK","","SELECT bal_crear_balon(p_codigo_balon =&gt; "&amp;IF(TRIM(C361&amp;"")="","NULL","'"&amp;SUBSTITUTE(TRIM(C361),"'","''")&amp;"'")&amp;", p_id_tipo_balon =&gt; "&amp;"(SELECT id FROM bal_tipo_balon WHERE upper(nombre) = upper('"&amp;SUBSTITUTE(TRIM(D361),"'","''")&amp;"') AND estado = 1 LIMIT 1)"&amp;", p_id_producto_gas =&gt; "&amp;"(SELECT id FROM pro_producto WHERE es_gas = TRUE AND upper(nombre) = upper('"&amp;SUBSTITUTE(TRIM(E361),"'","''")&amp;"') AND estado = 1 LIMIT 1)"&amp;", p_id_propietario =&gt; "&amp;IF(TRIM(F361&amp;"")="","NULL","(SELECT lo.id FROM gen_lista_opciones lo JOIN gen_lista l ON l.id = lo.id_lista WHERE l.nombre = 'PropietarioBalon' AND upper(lo.nombre) = upper('"&amp;SUBSTITUTE(TRIM(F361),"'","''")&amp;"') AND lo.estado = 1 LIMIT 1)")&amp;", p_id_cliente_propietario =&gt; "&amp;IF(F361="CLIENTE",IF(TRIM(G361&amp;"")="","NULL","(SELECT id FROM cli_clientes WHERE numero_documento = '"&amp;SUBSTITUTE(TRIM(G361),"'","''")&amp;"' AND estado = 1 LIMIT 1)"),"NULL")&amp;", p_id_planta =&gt; "&amp;IF(F361="PLANTA",IF(TRIM(G361&amp;"")="","NULL","(SELECT id FROM cli_clientes WHERE numero_documento = '"&amp;SUBSTITUTE(TRIM(G361),"'","''")&amp;"'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"&amp;IF(TRIM(J361&amp;"")="","NULL","(SELECT id FROM gen_almacen WHERE upper(nombre) = upper('"&amp;SUBSTITUTE(TRIM(J361),"'","''")&amp;"') AND estado = 1 LIMIT 1)")&amp;", p_id_cliente_ubicacion =&gt; "&amp;IF(TRIM(K361&amp;"")="","NULL","(SELECT id FROM cli_clientes WHERE numero_documento = '"&amp;SUBSTITUTE(TRIM(K361),"'","''")&amp;"' AND estado = 1 LIMIT 1)")&amp;", p_id_referencia =&gt; "&amp;IF(TRIM(J361&amp;"")&lt;&gt;"","(SELECT lo.id FROM gen_lista_opciones lo JOIN gen_lista l ON l.id = lo.id_lista WHERE l.nombre = 'ReferenciaCilindro' AND upper(lo.nombre) = 'ALMACEN' AND lo.estado = 1 LIMIT 1)",IF(TRIM(K361&amp;"")&lt;&gt;"","(SELECT lo.id FROM gen_lista_opciones lo JOIN gen_lista l ON l.id = lo.id_lista WHERE l.nombre = 'ReferenciaCilindro' AND upper(lo.nombre) = 'CLIENTE' AND lo.estado = 1 LIMIT 1)","NULL"))&amp;", p_anio_fabricacion =&gt; "&amp;IF(M361&amp;""="","NULL::smallint",M361&amp;"::smallint")&amp;", p_mes_fabricacion =&gt; "&amp;IF(N361&amp;""="","NULL::smallint",N361&amp;"::smallint")&amp;", p_fecha_ultima_prueba_hidrostatica =&gt; "&amp;IF(O361&amp;""="","NULL","'"&amp;YEAR(O361)&amp;"-"&amp;TEXT(MONTH(O361),"00")&amp;"-"&amp;TEXT(DAY(O361),"00")&amp;"'")&amp;", p_numero_serie =&gt; "&amp;IF(TRIM(Q361&amp;"")="","NULL","'"&amp;SUBSTITUTE(TRIM(Q361),"'","''")&amp;"'")&amp;", p_id_marca_cilindro =&gt; "&amp;IF(TRIM(R361&amp;"")="","NULL","(SELECT lo.id FROM gen_lista_opciones lo JOIN gen_lista l ON l.id = lo.id_lista WHERE l.nombre = 'MarcaCilindro' AND upper(lo.nombre) = upper('"&amp;SUBSTITUTE(TRIM(R361),"'","''")&amp;"') AND lo.estado = 1 LIMIT 1)")&amp;", p_id_organo_inspector =&gt; "&amp;IF(TRIM(S361&amp;"")="","NULL","(SELECT lo.id FROM gen_lista_opciones lo JOIN gen_lista l ON l.id = lo.id_lista WHERE l.nombre = 'OrganoInspectorCilindro' AND upper(lo.nombre) = upper('"&amp;SUBSTITUTE(TRIM(S361),"'","''")&amp;"') AND lo.estado = 1 LIMIT 1)")&amp;", p_organo_inspector_no_aplica =&gt; "&amp;IF(S361="NO_APLICA","TRUE","FALSE")&amp;", p_presion_actual =&gt; "&amp;IF(T361&amp;""="","NULL",SUBSTITUTE(T361&amp;"",",","."))&amp;", p_tipo_valvula =&gt; "&amp;IF(TRIM(U361&amp;"")="","NULL","'"&amp;SUBSTITUTE(TRIM(U361),"'","''")&amp;"'")&amp;", p_libro_cilindro =&gt; "&amp;IF(TRIM(V361&amp;"")="","NULL","'"&amp;SUBSTITUTE(TRIM(V361),"'","''")&amp;"'")&amp;", p_pagina_libro =&gt; "&amp;IF(W361&amp;""="","NULL",SUBSTITUTE(W361&amp;"",",","."))&amp;", p_observacion =&gt; "&amp;IF(TRIM(X361&amp;"")="","NULL","'"&amp;SUBSTITUTE(TRIM(X361),"'","''")&amp;"'")&amp;") AS resultado_balon_"&amp;ROW()&amp;";")</f>
        <v/>
      </c>
    </row>
    <row r="362" ht="15.75" customHeight="1" s="64">
      <c r="A362" s="36" t="inlineStr">
        <is>
          <t>358</t>
        </is>
      </c>
      <c r="B362" s="25">
        <f>IF(AND(C362="",D362="",E362=""),"",IF(C362="","FALTA código balón",IF(D362="","FALTA tipo balón",IF(E362="","FALTA gas",IF(F362="","FALTA propietario",IF(AND(C362&lt;&gt;"",SUMPRODUCT(--($C$5:$C$1200=C362))&gt;1),"CÓDIGO BALÓN DUPLICADO",IF(AND(OR(UPPER(F362)="PLANTA",UPPER(F362)="CLIENTE"),G362=""),"FALTA doc propietario/planta",IF(AND(UPPER(F362)="PLANTA",G362="10175332796"),"PLANTA no puede ser RUC empresa","OK"))))))))</f>
        <v/>
      </c>
      <c r="C362" s="23" t="inlineStr">
        <is>
          <t>481861</t>
        </is>
      </c>
      <c r="D362" s="17" t="inlineStr">
        <is>
          <t>Oxigeno Medicinal 1.5 m³</t>
        </is>
      </c>
      <c r="E362" s="17" t="inlineStr">
        <is>
          <t>OXIGENO MEDICINAL</t>
        </is>
      </c>
      <c r="F362" s="17" t="inlineStr">
        <is>
          <t>EMPRESA</t>
        </is>
      </c>
      <c r="G362" s="23" t="inlineStr">
        <is>
          <t>10175332796</t>
        </is>
      </c>
      <c r="H362" s="25">
        <f t="array" ref="H362">IF(G362="","",IFERROR(IF(INDEX(Clientes!$D$5:$D$549,MATCH(G362,Clientes!$C$5:$C$549,0))&lt;&gt;"",INDEX(Clientes!$D$5:$D$549,MATCH(G362,Clientes!$C$5:$C$549,0)),TRIM(INDEX(Clientes!$E$5:$E$549,MATCH(G362,Clientes!$C$5:$C$549,0))&amp;" "&amp;INDEX(Clientes!$F$5:$F$549,MATCH(G362,Clientes!$C$5:$C$549,0)))),"NO EXISTE en Clientes"))</f>
        <v/>
      </c>
      <c r="I362" s="17" t="inlineStr">
        <is>
          <t>DISPONIBLE</t>
        </is>
      </c>
      <c r="J362" s="17" t="inlineStr">
        <is>
          <t>ALMACEN LAMBAYEQUE</t>
        </is>
      </c>
      <c r="K362" s="23" t="n"/>
      <c r="L362" s="25">
        <f t="array" ref="L362">IF(K362="","",IFERROR(IF(INDEX(Clientes!$D$5:$D$549,MATCH(K362,Clientes!$C$5:$C$549,0))&lt;&gt;"",INDEX(Clientes!$D$5:$D$549,MATCH(K362,Clientes!$C$5:$C$549,0)),TRIM(INDEX(Clientes!$E$5:$E$549,MATCH(K362,Clientes!$C$5:$C$549,0))&amp;" "&amp;INDEX(Clientes!$F$5:$F$549,MATCH(K362,Clientes!$C$5:$C$549,0)))),"NO EXISTE en Clientes"))</f>
        <v/>
      </c>
      <c r="M362" s="17" t="n"/>
      <c r="N362" s="17" t="n"/>
      <c r="O362" s="42" t="n"/>
      <c r="P362" s="39">
        <f>IF(O362&lt;&gt;"",DATE(YEAR(O362)+5,MONTH(O362),1),IF(AND(M362&lt;&gt;"",N362&lt;&gt;""),DATE(M362+5,N362,1),""))</f>
        <v/>
      </c>
      <c r="Q362" s="23" t="n"/>
      <c r="R362" s="17" t="n"/>
      <c r="S362" s="17" t="n"/>
      <c r="T362" s="17" t="n"/>
      <c r="U362" s="17" t="n"/>
      <c r="V362" s="23" t="n"/>
      <c r="W362" s="17" t="n"/>
      <c r="X362" s="17" t="n"/>
      <c r="Y362" s="28">
        <f>IF(B362&lt;&gt;"OK","","SELECT bal_crear_balon(p_codigo_balon =&gt; "&amp;IF(TRIM(C362&amp;"")="","NULL","'"&amp;SUBSTITUTE(TRIM(C362),"'","''")&amp;"'")&amp;", p_id_tipo_balon =&gt; "&amp;"(SELECT id FROM bal_tipo_balon WHERE upper(nombre) = upper('"&amp;SUBSTITUTE(TRIM(D362),"'","''")&amp;"') AND estado = 1 LIMIT 1)"&amp;", p_id_producto_gas =&gt; "&amp;"(SELECT id FROM pro_producto WHERE es_gas = TRUE AND upper(nombre) = upper('"&amp;SUBSTITUTE(TRIM(E362),"'","''")&amp;"') AND estado = 1 LIMIT 1)"&amp;", p_id_propietario =&gt; "&amp;IF(TRIM(F362&amp;"")="","NULL","(SELECT lo.id FROM gen_lista_opciones lo JOIN gen_lista l ON l.id = lo.id_lista WHERE l.nombre = 'PropietarioBalon' AND upper(lo.nombre) = upper('"&amp;SUBSTITUTE(TRIM(F362),"'","''")&amp;"') AND lo.estado = 1 LIMIT 1)")&amp;", p_id_cliente_propietario =&gt; "&amp;IF(F362="CLIENTE",IF(TRIM(G362&amp;"")="","NULL","(SELECT id FROM cli_clientes WHERE numero_documento = '"&amp;SUBSTITUTE(TRIM(G362),"'","''")&amp;"' AND estado = 1 LIMIT 1)"),"NULL")&amp;", p_id_planta =&gt; "&amp;IF(F362="PLANTA",IF(TRIM(G362&amp;"")="","NULL","(SELECT id FROM cli_clientes WHERE numero_documento = '"&amp;SUBSTITUTE(TRIM(G362),"'","''")&amp;"'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"&amp;IF(TRIM(J362&amp;"")="","NULL","(SELECT id FROM gen_almacen WHERE upper(nombre) = upper('"&amp;SUBSTITUTE(TRIM(J362),"'","''")&amp;"') AND estado = 1 LIMIT 1)")&amp;", p_id_cliente_ubicacion =&gt; "&amp;IF(TRIM(K362&amp;"")="","NULL","(SELECT id FROM cli_clientes WHERE numero_documento = '"&amp;SUBSTITUTE(TRIM(K362),"'","''")&amp;"' AND estado = 1 LIMIT 1)")&amp;", p_id_referencia =&gt; "&amp;IF(TRIM(J362&amp;"")&lt;&gt;"","(SELECT lo.id FROM gen_lista_opciones lo JOIN gen_lista l ON l.id = lo.id_lista WHERE l.nombre = 'ReferenciaCilindro' AND upper(lo.nombre) = 'ALMACEN' AND lo.estado = 1 LIMIT 1)",IF(TRIM(K362&amp;"")&lt;&gt;"","(SELECT lo.id FROM gen_lista_opciones lo JOIN gen_lista l ON l.id = lo.id_lista WHERE l.nombre = 'ReferenciaCilindro' AND upper(lo.nombre) = 'CLIENTE' AND lo.estado = 1 LIMIT 1)","NULL"))&amp;", p_anio_fabricacion =&gt; "&amp;IF(M362&amp;""="","NULL::smallint",M362&amp;"::smallint")&amp;", p_mes_fabricacion =&gt; "&amp;IF(N362&amp;""="","NULL::smallint",N362&amp;"::smallint")&amp;", p_fecha_ultima_prueba_hidrostatica =&gt; "&amp;IF(O362&amp;""="","NULL","'"&amp;YEAR(O362)&amp;"-"&amp;TEXT(MONTH(O362),"00")&amp;"-"&amp;TEXT(DAY(O362),"00")&amp;"'")&amp;", p_numero_serie =&gt; "&amp;IF(TRIM(Q362&amp;"")="","NULL","'"&amp;SUBSTITUTE(TRIM(Q362),"'","''")&amp;"'")&amp;", p_id_marca_cilindro =&gt; "&amp;IF(TRIM(R362&amp;"")="","NULL","(SELECT lo.id FROM gen_lista_opciones lo JOIN gen_lista l ON l.id = lo.id_lista WHERE l.nombre = 'MarcaCilindro' AND upper(lo.nombre) = upper('"&amp;SUBSTITUTE(TRIM(R362),"'","''")&amp;"') AND lo.estado = 1 LIMIT 1)")&amp;", p_id_organo_inspector =&gt; "&amp;IF(TRIM(S362&amp;"")="","NULL","(SELECT lo.id FROM gen_lista_opciones lo JOIN gen_lista l ON l.id = lo.id_lista WHERE l.nombre = 'OrganoInspectorCilindro' AND upper(lo.nombre) = upper('"&amp;SUBSTITUTE(TRIM(S362),"'","''")&amp;"') AND lo.estado = 1 LIMIT 1)")&amp;", p_organo_inspector_no_aplica =&gt; "&amp;IF(S362="NO_APLICA","TRUE","FALSE")&amp;", p_presion_actual =&gt; "&amp;IF(T362&amp;""="","NULL",SUBSTITUTE(T362&amp;"",",","."))&amp;", p_tipo_valvula =&gt; "&amp;IF(TRIM(U362&amp;"")="","NULL","'"&amp;SUBSTITUTE(TRIM(U362),"'","''")&amp;"'")&amp;", p_libro_cilindro =&gt; "&amp;IF(TRIM(V362&amp;"")="","NULL","'"&amp;SUBSTITUTE(TRIM(V362),"'","''")&amp;"'")&amp;", p_pagina_libro =&gt; "&amp;IF(W362&amp;""="","NULL",SUBSTITUTE(W362&amp;"",",","."))&amp;", p_observacion =&gt; "&amp;IF(TRIM(X362&amp;"")="","NULL","'"&amp;SUBSTITUTE(TRIM(X362),"'","''")&amp;"'")&amp;") AS resultado_balon_"&amp;ROW()&amp;";")</f>
        <v/>
      </c>
    </row>
    <row r="363" ht="15.75" customHeight="1" s="64">
      <c r="A363" s="36" t="inlineStr">
        <is>
          <t>359</t>
        </is>
      </c>
      <c r="B363" s="25">
        <f>IF(AND(C363="",D363="",E363=""),"",IF(C363="","FALTA código balón",IF(D363="","FALTA tipo balón",IF(E363="","FALTA gas",IF(F363="","FALTA propietario",IF(AND(C363&lt;&gt;"",SUMPRODUCT(--($C$5:$C$1200=C363))&gt;1),"CÓDIGO BALÓN DUPLICADO",IF(AND(OR(UPPER(F363)="PLANTA",UPPER(F363)="CLIENTE"),G363=""),"FALTA doc propietario/planta",IF(AND(UPPER(F363)="PLANTA",G363="10175332796"),"PLANTA no puede ser RUC empresa","OK"))))))))</f>
        <v/>
      </c>
      <c r="C363" s="23" t="inlineStr">
        <is>
          <t>1867438Y</t>
        </is>
      </c>
      <c r="D363" s="17" t="inlineStr">
        <is>
          <t>Oxígeno Industrial 6 m³</t>
        </is>
      </c>
      <c r="E363" s="17" t="inlineStr">
        <is>
          <t>OXIGENO INDUSTRIAL</t>
        </is>
      </c>
      <c r="F363" s="17" t="inlineStr">
        <is>
          <t>EMPRESA</t>
        </is>
      </c>
      <c r="G363" s="23" t="inlineStr">
        <is>
          <t>10175332796</t>
        </is>
      </c>
      <c r="H363" s="25">
        <f t="array" ref="H363">IF(G363="","",IFERROR(IF(INDEX(Clientes!$D$5:$D$549,MATCH(G363,Clientes!$C$5:$C$549,0))&lt;&gt;"",INDEX(Clientes!$D$5:$D$549,MATCH(G363,Clientes!$C$5:$C$549,0)),TRIM(INDEX(Clientes!$E$5:$E$549,MATCH(G363,Clientes!$C$5:$C$549,0))&amp;" "&amp;INDEX(Clientes!$F$5:$F$549,MATCH(G363,Clientes!$C$5:$C$549,0)))),"NO EXISTE en Clientes"))</f>
        <v/>
      </c>
      <c r="I363" s="17" t="inlineStr">
        <is>
          <t>DISPONIBLE</t>
        </is>
      </c>
      <c r="J363" s="17" t="inlineStr">
        <is>
          <t>ALMACEN LAMBAYEQUE</t>
        </is>
      </c>
      <c r="K363" s="23" t="n"/>
      <c r="L363" s="25">
        <f t="array" ref="L363">IF(K363="","",IFERROR(IF(INDEX(Clientes!$D$5:$D$549,MATCH(K363,Clientes!$C$5:$C$549,0))&lt;&gt;"",INDEX(Clientes!$D$5:$D$549,MATCH(K363,Clientes!$C$5:$C$549,0)),TRIM(INDEX(Clientes!$E$5:$E$549,MATCH(K363,Clientes!$C$5:$C$549,0))&amp;" "&amp;INDEX(Clientes!$F$5:$F$549,MATCH(K363,Clientes!$C$5:$C$549,0)))),"NO EXISTE en Clientes"))</f>
        <v/>
      </c>
      <c r="M363" s="17" t="n"/>
      <c r="N363" s="17" t="n"/>
      <c r="O363" s="42" t="n"/>
      <c r="P363" s="39">
        <f>IF(O363&lt;&gt;"",DATE(YEAR(O363)+5,MONTH(O363),1),IF(AND(M363&lt;&gt;"",N363&lt;&gt;""),DATE(M363+5,N363,1),""))</f>
        <v/>
      </c>
      <c r="Q363" s="23" t="n"/>
      <c r="R363" s="17" t="n"/>
      <c r="S363" s="17" t="n"/>
      <c r="T363" s="17" t="n"/>
      <c r="U363" s="17" t="n"/>
      <c r="V363" s="23" t="n"/>
      <c r="W363" s="17" t="n"/>
      <c r="X363" s="17" t="n"/>
      <c r="Y363" s="28">
        <f>IF(B363&lt;&gt;"OK","","SELECT bal_crear_balon(p_codigo_balon =&gt; "&amp;IF(TRIM(C363&amp;"")="","NULL","'"&amp;SUBSTITUTE(TRIM(C363),"'","''")&amp;"'")&amp;", p_id_tipo_balon =&gt; "&amp;"(SELECT id FROM bal_tipo_balon WHERE upper(nombre) = upper('"&amp;SUBSTITUTE(TRIM(D363),"'","''")&amp;"') AND estado = 1 LIMIT 1)"&amp;", p_id_producto_gas =&gt; "&amp;"(SELECT id FROM pro_producto WHERE es_gas = TRUE AND upper(nombre) = upper('"&amp;SUBSTITUTE(TRIM(E363),"'","''")&amp;"') AND estado = 1 LIMIT 1)"&amp;", p_id_propietario =&gt; "&amp;IF(TRIM(F363&amp;"")="","NULL","(SELECT lo.id FROM gen_lista_opciones lo JOIN gen_lista l ON l.id = lo.id_lista WHERE l.nombre = 'PropietarioBalon' AND upper(lo.nombre) = upper('"&amp;SUBSTITUTE(TRIM(F363),"'","''")&amp;"') AND lo.estado = 1 LIMIT 1)")&amp;", p_id_cliente_propietario =&gt; "&amp;IF(F363="CLIENTE",IF(TRIM(G363&amp;"")="","NULL","(SELECT id FROM cli_clientes WHERE numero_documento = '"&amp;SUBSTITUTE(TRIM(G363),"'","''")&amp;"' AND estado = 1 LIMIT 1)"),"NULL")&amp;", p_id_planta =&gt; "&amp;IF(F363="PLANTA",IF(TRIM(G363&amp;"")="","NULL","(SELECT id FROM cli_clientes WHERE numero_documento = '"&amp;SUBSTITUTE(TRIM(G363),"'","''")&amp;"'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"&amp;IF(TRIM(J363&amp;"")="","NULL","(SELECT id FROM gen_almacen WHERE upper(nombre) = upper('"&amp;SUBSTITUTE(TRIM(J363),"'","''")&amp;"') AND estado = 1 LIMIT 1)")&amp;", p_id_cliente_ubicacion =&gt; "&amp;IF(TRIM(K363&amp;"")="","NULL","(SELECT id FROM cli_clientes WHERE numero_documento = '"&amp;SUBSTITUTE(TRIM(K363),"'","''")&amp;"' AND estado = 1 LIMIT 1)")&amp;", p_id_referencia =&gt; "&amp;IF(TRIM(J363&amp;"")&lt;&gt;"","(SELECT lo.id FROM gen_lista_opciones lo JOIN gen_lista l ON l.id = lo.id_lista WHERE l.nombre = 'ReferenciaCilindro' AND upper(lo.nombre) = 'ALMACEN' AND lo.estado = 1 LIMIT 1)",IF(TRIM(K363&amp;"")&lt;&gt;"","(SELECT lo.id FROM gen_lista_opciones lo JOIN gen_lista l ON l.id = lo.id_lista WHERE l.nombre = 'ReferenciaCilindro' AND upper(lo.nombre) = 'CLIENTE' AND lo.estado = 1 LIMIT 1)","NULL"))&amp;", p_anio_fabricacion =&gt; "&amp;IF(M363&amp;""="","NULL::smallint",M363&amp;"::smallint")&amp;", p_mes_fabricacion =&gt; "&amp;IF(N363&amp;""="","NULL::smallint",N363&amp;"::smallint")&amp;", p_fecha_ultima_prueba_hidrostatica =&gt; "&amp;IF(O363&amp;""="","NULL","'"&amp;YEAR(O363)&amp;"-"&amp;TEXT(MONTH(O363),"00")&amp;"-"&amp;TEXT(DAY(O363),"00")&amp;"'")&amp;", p_numero_serie =&gt; "&amp;IF(TRIM(Q363&amp;"")="","NULL","'"&amp;SUBSTITUTE(TRIM(Q363),"'","''")&amp;"'")&amp;", p_id_marca_cilindro =&gt; "&amp;IF(TRIM(R363&amp;"")="","NULL","(SELECT lo.id FROM gen_lista_opciones lo JOIN gen_lista l ON l.id = lo.id_lista WHERE l.nombre = 'MarcaCilindro' AND upper(lo.nombre) = upper('"&amp;SUBSTITUTE(TRIM(R363),"'","''")&amp;"') AND lo.estado = 1 LIMIT 1)")&amp;", p_id_organo_inspector =&gt; "&amp;IF(TRIM(S363&amp;"")="","NULL","(SELECT lo.id FROM gen_lista_opciones lo JOIN gen_lista l ON l.id = lo.id_lista WHERE l.nombre = 'OrganoInspectorCilindro' AND upper(lo.nombre) = upper('"&amp;SUBSTITUTE(TRIM(S363),"'","''")&amp;"') AND lo.estado = 1 LIMIT 1)")&amp;", p_organo_inspector_no_aplica =&gt; "&amp;IF(S363="NO_APLICA","TRUE","FALSE")&amp;", p_presion_actual =&gt; "&amp;IF(T363&amp;""="","NULL",SUBSTITUTE(T363&amp;"",",","."))&amp;", p_tipo_valvula =&gt; "&amp;IF(TRIM(U363&amp;"")="","NULL","'"&amp;SUBSTITUTE(TRIM(U363),"'","''")&amp;"'")&amp;", p_libro_cilindro =&gt; "&amp;IF(TRIM(V363&amp;"")="","NULL","'"&amp;SUBSTITUTE(TRIM(V363),"'","''")&amp;"'")&amp;", p_pagina_libro =&gt; "&amp;IF(W363&amp;""="","NULL",SUBSTITUTE(W363&amp;"",",","."))&amp;", p_observacion =&gt; "&amp;IF(TRIM(X363&amp;"")="","NULL","'"&amp;SUBSTITUTE(TRIM(X363),"'","''")&amp;"'")&amp;") AS resultado_balon_"&amp;ROW()&amp;";")</f>
        <v/>
      </c>
    </row>
    <row r="364" ht="15.75" customHeight="1" s="64">
      <c r="A364" s="36" t="inlineStr">
        <is>
          <t>360</t>
        </is>
      </c>
      <c r="B364" s="25">
        <f>IF(AND(C364="",D364="",E364=""),"",IF(C364="","FALTA código balón",IF(D364="","FALTA tipo balón",IF(E364="","FALTA gas",IF(F364="","FALTA propietario",IF(AND(C364&lt;&gt;"",SUMPRODUCT(--($C$5:$C$1200=C364))&gt;1),"CÓDIGO BALÓN DUPLICADO",IF(AND(OR(UPPER(F364)="PLANTA",UPPER(F364)="CLIENTE"),G364=""),"FALTA doc propietario/planta",IF(AND(UPPER(F364)="PLANTA",G364="10175332796"),"PLANTA no puede ser RUC empresa","OK"))))))))</f>
        <v/>
      </c>
      <c r="C364" s="23" t="inlineStr">
        <is>
          <t>K5392023</t>
        </is>
      </c>
      <c r="D364" s="17" t="inlineStr">
        <is>
          <t>Oxígeno Medicinal 10 m³</t>
        </is>
      </c>
      <c r="E364" s="17" t="inlineStr">
        <is>
          <t>OXIGENO MEDICINAL</t>
        </is>
      </c>
      <c r="F364" s="17" t="inlineStr">
        <is>
          <t>EMPRESA</t>
        </is>
      </c>
      <c r="G364" s="23" t="inlineStr">
        <is>
          <t>10175332796</t>
        </is>
      </c>
      <c r="H364" s="25">
        <f t="array" ref="H364">IF(G364="","",IFERROR(IF(INDEX(Clientes!$D$5:$D$549,MATCH(G364,Clientes!$C$5:$C$549,0))&lt;&gt;"",INDEX(Clientes!$D$5:$D$549,MATCH(G364,Clientes!$C$5:$C$549,0)),TRIM(INDEX(Clientes!$E$5:$E$549,MATCH(G364,Clientes!$C$5:$C$549,0))&amp;" "&amp;INDEX(Clientes!$F$5:$F$549,MATCH(G364,Clientes!$C$5:$C$549,0)))),"NO EXISTE en Clientes"))</f>
        <v/>
      </c>
      <c r="I364" s="17" t="inlineStr">
        <is>
          <t>DISPONIBLE</t>
        </is>
      </c>
      <c r="J364" s="17" t="inlineStr">
        <is>
          <t>ALMACEN PRINCIPAL</t>
        </is>
      </c>
      <c r="K364" s="23" t="n"/>
      <c r="L364" s="25">
        <f t="array" ref="L364">IF(K364="","",IFERROR(IF(INDEX(Clientes!$D$5:$D$549,MATCH(K364,Clientes!$C$5:$C$549,0))&lt;&gt;"",INDEX(Clientes!$D$5:$D$549,MATCH(K364,Clientes!$C$5:$C$549,0)),TRIM(INDEX(Clientes!$E$5:$E$549,MATCH(K364,Clientes!$C$5:$C$549,0))&amp;" "&amp;INDEX(Clientes!$F$5:$F$549,MATCH(K364,Clientes!$C$5:$C$549,0)))),"NO EXISTE en Clientes"))</f>
        <v/>
      </c>
      <c r="M364" s="17" t="n"/>
      <c r="N364" s="17" t="n"/>
      <c r="O364" s="42" t="n"/>
      <c r="P364" s="39">
        <f>IF(O364&lt;&gt;"",DATE(YEAR(O364)+5,MONTH(O364),1),IF(AND(M364&lt;&gt;"",N364&lt;&gt;""),DATE(M364+5,N364,1),""))</f>
        <v/>
      </c>
      <c r="Q364" s="23" t="n"/>
      <c r="R364" s="17" t="n"/>
      <c r="S364" s="17" t="n"/>
      <c r="T364" s="17" t="n"/>
      <c r="U364" s="17" t="n"/>
      <c r="V364" s="23" t="n"/>
      <c r="W364" s="17" t="n"/>
      <c r="X364" s="17" t="n"/>
      <c r="Y364" s="28">
        <f>IF(B364&lt;&gt;"OK","","SELECT bal_crear_balon(p_codigo_balon =&gt; "&amp;IF(TRIM(C364&amp;"")="","NULL","'"&amp;SUBSTITUTE(TRIM(C364),"'","''")&amp;"'")&amp;", p_id_tipo_balon =&gt; "&amp;"(SELECT id FROM bal_tipo_balon WHERE upper(nombre) = upper('"&amp;SUBSTITUTE(TRIM(D364),"'","''")&amp;"') AND estado = 1 LIMIT 1)"&amp;", p_id_producto_gas =&gt; "&amp;"(SELECT id FROM pro_producto WHERE es_gas = TRUE AND upper(nombre) = upper('"&amp;SUBSTITUTE(TRIM(E364),"'","''")&amp;"') AND estado = 1 LIMIT 1)"&amp;", p_id_propietario =&gt; "&amp;IF(TRIM(F364&amp;"")="","NULL","(SELECT lo.id FROM gen_lista_opciones lo JOIN gen_lista l ON l.id = lo.id_lista WHERE l.nombre = 'PropietarioBalon' AND upper(lo.nombre) = upper('"&amp;SUBSTITUTE(TRIM(F364),"'","''")&amp;"') AND lo.estado = 1 LIMIT 1)")&amp;", p_id_cliente_propietario =&gt; "&amp;IF(F364="CLIENTE",IF(TRIM(G364&amp;"")="","NULL","(SELECT id FROM cli_clientes WHERE numero_documento = '"&amp;SUBSTITUTE(TRIM(G364),"'","''")&amp;"' AND estado = 1 LIMIT 1)"),"NULL")&amp;", p_id_planta =&gt; "&amp;IF(F364="PLANTA",IF(TRIM(G364&amp;"")="","NULL","(SELECT id FROM cli_clientes WHERE numero_documento = '"&amp;SUBSTITUTE(TRIM(G364),"'","''")&amp;"'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"&amp;IF(TRIM(J364&amp;"")="","NULL","(SELECT id FROM gen_almacen WHERE upper(nombre) = upper('"&amp;SUBSTITUTE(TRIM(J364),"'","''")&amp;"') AND estado = 1 LIMIT 1)")&amp;", p_id_cliente_ubicacion =&gt; "&amp;IF(TRIM(K364&amp;"")="","NULL","(SELECT id FROM cli_clientes WHERE numero_documento = '"&amp;SUBSTITUTE(TRIM(K364),"'","''")&amp;"' AND estado = 1 LIMIT 1)")&amp;", p_id_referencia =&gt; "&amp;IF(TRIM(J364&amp;"")&lt;&gt;"","(SELECT lo.id FROM gen_lista_opciones lo JOIN gen_lista l ON l.id = lo.id_lista WHERE l.nombre = 'ReferenciaCilindro' AND upper(lo.nombre) = 'ALMACEN' AND lo.estado = 1 LIMIT 1)",IF(TRIM(K364&amp;"")&lt;&gt;"","(SELECT lo.id FROM gen_lista_opciones lo JOIN gen_lista l ON l.id = lo.id_lista WHERE l.nombre = 'ReferenciaCilindro' AND upper(lo.nombre) = 'CLIENTE' AND lo.estado = 1 LIMIT 1)","NULL"))&amp;", p_anio_fabricacion =&gt; "&amp;IF(M364&amp;""="","NULL::smallint",M364&amp;"::smallint")&amp;", p_mes_fabricacion =&gt; "&amp;IF(N364&amp;""="","NULL::smallint",N364&amp;"::smallint")&amp;", p_fecha_ultima_prueba_hidrostatica =&gt; "&amp;IF(O364&amp;""="","NULL","'"&amp;YEAR(O364)&amp;"-"&amp;TEXT(MONTH(O364),"00")&amp;"-"&amp;TEXT(DAY(O364),"00")&amp;"'")&amp;", p_numero_serie =&gt; "&amp;IF(TRIM(Q364&amp;"")="","NULL","'"&amp;SUBSTITUTE(TRIM(Q364),"'","''")&amp;"'")&amp;", p_id_marca_cilindro =&gt; "&amp;IF(TRIM(R364&amp;"")="","NULL","(SELECT lo.id FROM gen_lista_opciones lo JOIN gen_lista l ON l.id = lo.id_lista WHERE l.nombre = 'MarcaCilindro' AND upper(lo.nombre) = upper('"&amp;SUBSTITUTE(TRIM(R364),"'","''")&amp;"') AND lo.estado = 1 LIMIT 1)")&amp;", p_id_organo_inspector =&gt; "&amp;IF(TRIM(S364&amp;"")="","NULL","(SELECT lo.id FROM gen_lista_opciones lo JOIN gen_lista l ON l.id = lo.id_lista WHERE l.nombre = 'OrganoInspectorCilindro' AND upper(lo.nombre) = upper('"&amp;SUBSTITUTE(TRIM(S364),"'","''")&amp;"') AND lo.estado = 1 LIMIT 1)")&amp;", p_organo_inspector_no_aplica =&gt; "&amp;IF(S364="NO_APLICA","TRUE","FALSE")&amp;", p_presion_actual =&gt; "&amp;IF(T364&amp;""="","NULL",SUBSTITUTE(T364&amp;"",",","."))&amp;", p_tipo_valvula =&gt; "&amp;IF(TRIM(U364&amp;"")="","NULL","'"&amp;SUBSTITUTE(TRIM(U364),"'","''")&amp;"'")&amp;", p_libro_cilindro =&gt; "&amp;IF(TRIM(V364&amp;"")="","NULL","'"&amp;SUBSTITUTE(TRIM(V364),"'","''")&amp;"'")&amp;", p_pagina_libro =&gt; "&amp;IF(W364&amp;""="","NULL",SUBSTITUTE(W364&amp;"",",","."))&amp;", p_observacion =&gt; "&amp;IF(TRIM(X364&amp;"")="","NULL","'"&amp;SUBSTITUTE(TRIM(X364),"'","''")&amp;"'")&amp;") AS resultado_balon_"&amp;ROW()&amp;";")</f>
        <v/>
      </c>
    </row>
    <row r="365" ht="15.75" customHeight="1" s="64">
      <c r="A365" s="36" t="inlineStr">
        <is>
          <t>361</t>
        </is>
      </c>
      <c r="B365" s="25">
        <f>IF(AND(C365="",D365="",E365=""),"",IF(C365="","FALTA código balón",IF(D365="","FALTA tipo balón",IF(E365="","FALTA gas",IF(F365="","FALTA propietario",IF(AND(C365&lt;&gt;"",SUMPRODUCT(--($C$5:$C$1200=C365))&gt;1),"CÓDIGO BALÓN DUPLICADO",IF(AND(OR(UPPER(F365)="PLANTA",UPPER(F365)="CLIENTE"),G365=""),"FALTA doc propietario/planta",IF(AND(UPPER(F365)="PLANTA",G365="10175332796"),"PLANTA no puede ser RUC empresa","OK"))))))))</f>
        <v/>
      </c>
      <c r="C365" s="23" t="inlineStr">
        <is>
          <t>AS1401411</t>
        </is>
      </c>
      <c r="D365" s="17" t="inlineStr">
        <is>
          <t>Oxigeno Medicinal 1 m³</t>
        </is>
      </c>
      <c r="E365" s="17" t="inlineStr">
        <is>
          <t>OXIGENO MEDICINAL</t>
        </is>
      </c>
      <c r="F365" s="17" t="inlineStr">
        <is>
          <t>EMPRESA</t>
        </is>
      </c>
      <c r="G365" s="23" t="inlineStr">
        <is>
          <t>10175332796</t>
        </is>
      </c>
      <c r="H365" s="25">
        <f t="array" ref="H365">IF(G365="","",IFERROR(IF(INDEX(Clientes!$D$5:$D$549,MATCH(G365,Clientes!$C$5:$C$549,0))&lt;&gt;"",INDEX(Clientes!$D$5:$D$549,MATCH(G365,Clientes!$C$5:$C$549,0)),TRIM(INDEX(Clientes!$E$5:$E$549,MATCH(G365,Clientes!$C$5:$C$549,0))&amp;" "&amp;INDEX(Clientes!$F$5:$F$549,MATCH(G365,Clientes!$C$5:$C$549,0)))),"NO EXISTE en Clientes"))</f>
        <v/>
      </c>
      <c r="I365" s="17" t="inlineStr">
        <is>
          <t>DISPONIBLE</t>
        </is>
      </c>
      <c r="J365" s="17" t="inlineStr">
        <is>
          <t>ALMACEN PRINCIPAL</t>
        </is>
      </c>
      <c r="K365" s="23" t="n"/>
      <c r="L365" s="25">
        <f t="array" ref="L365">IF(K365="","",IFERROR(IF(INDEX(Clientes!$D$5:$D$549,MATCH(K365,Clientes!$C$5:$C$549,0))&lt;&gt;"",INDEX(Clientes!$D$5:$D$549,MATCH(K365,Clientes!$C$5:$C$549,0)),TRIM(INDEX(Clientes!$E$5:$E$549,MATCH(K365,Clientes!$C$5:$C$549,0))&amp;" "&amp;INDEX(Clientes!$F$5:$F$549,MATCH(K365,Clientes!$C$5:$C$549,0)))),"NO EXISTE en Clientes"))</f>
        <v/>
      </c>
      <c r="M365" s="17" t="n"/>
      <c r="N365" s="17" t="n"/>
      <c r="O365" s="42" t="n"/>
      <c r="P365" s="39">
        <f>IF(O365&lt;&gt;"",DATE(YEAR(O365)+5,MONTH(O365),1),IF(AND(M365&lt;&gt;"",N365&lt;&gt;""),DATE(M365+5,N365,1),""))</f>
        <v/>
      </c>
      <c r="Q365" s="23" t="n"/>
      <c r="R365" s="17" t="n"/>
      <c r="S365" s="17" t="n"/>
      <c r="T365" s="17" t="n"/>
      <c r="U365" s="17" t="n"/>
      <c r="V365" s="23" t="n"/>
      <c r="W365" s="17" t="n"/>
      <c r="X365" s="17" t="n"/>
      <c r="Y365" s="28">
        <f>IF(B365&lt;&gt;"OK","","SELECT bal_crear_balon(p_codigo_balon =&gt; "&amp;IF(TRIM(C365&amp;"")="","NULL","'"&amp;SUBSTITUTE(TRIM(C365),"'","''")&amp;"'")&amp;", p_id_tipo_balon =&gt; "&amp;"(SELECT id FROM bal_tipo_balon WHERE upper(nombre) = upper('"&amp;SUBSTITUTE(TRIM(D365),"'","''")&amp;"') AND estado = 1 LIMIT 1)"&amp;", p_id_producto_gas =&gt; "&amp;"(SELECT id FROM pro_producto WHERE es_gas = TRUE AND upper(nombre) = upper('"&amp;SUBSTITUTE(TRIM(E365),"'","''")&amp;"') AND estado = 1 LIMIT 1)"&amp;", p_id_propietario =&gt; "&amp;IF(TRIM(F365&amp;"")="","NULL","(SELECT lo.id FROM gen_lista_opciones lo JOIN gen_lista l ON l.id = lo.id_lista WHERE l.nombre = 'PropietarioBalon' AND upper(lo.nombre) = upper('"&amp;SUBSTITUTE(TRIM(F365),"'","''")&amp;"') AND lo.estado = 1 LIMIT 1)")&amp;", p_id_cliente_propietario =&gt; "&amp;IF(F365="CLIENTE",IF(TRIM(G365&amp;"")="","NULL","(SELECT id FROM cli_clientes WHERE numero_documento = '"&amp;SUBSTITUTE(TRIM(G365),"'","''")&amp;"' AND estado = 1 LIMIT 1)"),"NULL")&amp;", p_id_planta =&gt; "&amp;IF(F365="PLANTA",IF(TRIM(G365&amp;"")="","NULL","(SELECT id FROM cli_clientes WHERE numero_documento = '"&amp;SUBSTITUTE(TRIM(G365),"'","''")&amp;"'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"&amp;IF(TRIM(J365&amp;"")="","NULL","(SELECT id FROM gen_almacen WHERE upper(nombre) = upper('"&amp;SUBSTITUTE(TRIM(J365),"'","''")&amp;"') AND estado = 1 LIMIT 1)")&amp;", p_id_cliente_ubicacion =&gt; "&amp;IF(TRIM(K365&amp;"")="","NULL","(SELECT id FROM cli_clientes WHERE numero_documento = '"&amp;SUBSTITUTE(TRIM(K365),"'","''")&amp;"' AND estado = 1 LIMIT 1)")&amp;", p_id_referencia =&gt; "&amp;IF(TRIM(J365&amp;"")&lt;&gt;"","(SELECT lo.id FROM gen_lista_opciones lo JOIN gen_lista l ON l.id = lo.id_lista WHERE l.nombre = 'ReferenciaCilindro' AND upper(lo.nombre) = 'ALMACEN' AND lo.estado = 1 LIMIT 1)",IF(TRIM(K365&amp;"")&lt;&gt;"","(SELECT lo.id FROM gen_lista_opciones lo JOIN gen_lista l ON l.id = lo.id_lista WHERE l.nombre = 'ReferenciaCilindro' AND upper(lo.nombre) = 'CLIENTE' AND lo.estado = 1 LIMIT 1)","NULL"))&amp;", p_anio_fabricacion =&gt; "&amp;IF(M365&amp;""="","NULL::smallint",M365&amp;"::smallint")&amp;", p_mes_fabricacion =&gt; "&amp;IF(N365&amp;""="","NULL::smallint",N365&amp;"::smallint")&amp;", p_fecha_ultima_prueba_hidrostatica =&gt; "&amp;IF(O365&amp;""="","NULL","'"&amp;YEAR(O365)&amp;"-"&amp;TEXT(MONTH(O365),"00")&amp;"-"&amp;TEXT(DAY(O365),"00")&amp;"'")&amp;", p_numero_serie =&gt; "&amp;IF(TRIM(Q365&amp;"")="","NULL","'"&amp;SUBSTITUTE(TRIM(Q365),"'","''")&amp;"'")&amp;", p_id_marca_cilindro =&gt; "&amp;IF(TRIM(R365&amp;"")="","NULL","(SELECT lo.id FROM gen_lista_opciones lo JOIN gen_lista l ON l.id = lo.id_lista WHERE l.nombre = 'MarcaCilindro' AND upper(lo.nombre) = upper('"&amp;SUBSTITUTE(TRIM(R365),"'","''")&amp;"') AND lo.estado = 1 LIMIT 1)")&amp;", p_id_organo_inspector =&gt; "&amp;IF(TRIM(S365&amp;"")="","NULL","(SELECT lo.id FROM gen_lista_opciones lo JOIN gen_lista l ON l.id = lo.id_lista WHERE l.nombre = 'OrganoInspectorCilindro' AND upper(lo.nombre) = upper('"&amp;SUBSTITUTE(TRIM(S365),"'","''")&amp;"') AND lo.estado = 1 LIMIT 1)")&amp;", p_organo_inspector_no_aplica =&gt; "&amp;IF(S365="NO_APLICA","TRUE","FALSE")&amp;", p_presion_actual =&gt; "&amp;IF(T365&amp;""="","NULL",SUBSTITUTE(T365&amp;"",",","."))&amp;", p_tipo_valvula =&gt; "&amp;IF(TRIM(U365&amp;"")="","NULL","'"&amp;SUBSTITUTE(TRIM(U365),"'","''")&amp;"'")&amp;", p_libro_cilindro =&gt; "&amp;IF(TRIM(V365&amp;"")="","NULL","'"&amp;SUBSTITUTE(TRIM(V365),"'","''")&amp;"'")&amp;", p_pagina_libro =&gt; "&amp;IF(W365&amp;""="","NULL",SUBSTITUTE(W365&amp;"",",","."))&amp;", p_observacion =&gt; "&amp;IF(TRIM(X365&amp;"")="","NULL","'"&amp;SUBSTITUTE(TRIM(X365),"'","''")&amp;"'")&amp;") AS resultado_balon_"&amp;ROW()&amp;";")</f>
        <v/>
      </c>
    </row>
    <row r="366" ht="15.75" customHeight="1" s="64">
      <c r="A366" s="36" t="inlineStr">
        <is>
          <t>362</t>
        </is>
      </c>
      <c r="B366" s="25">
        <f>IF(AND(C366="",D366="",E366=""),"",IF(C366="","FALTA código balón",IF(D366="","FALTA tipo balón",IF(E366="","FALTA gas",IF(F366="","FALTA propietario",IF(AND(C366&lt;&gt;"",SUMPRODUCT(--($C$5:$C$1200=C366))&gt;1),"CÓDIGO BALÓN DUPLICADO",IF(AND(OR(UPPER(F366)="PLANTA",UPPER(F366)="CLIENTE"),G366=""),"FALTA doc propietario/planta",IF(AND(UPPER(F366)="PLANTA",G366="10175332796"),"PLANTA no puede ser RUC empresa","OK"))))))))</f>
        <v/>
      </c>
      <c r="C366" s="23" t="inlineStr">
        <is>
          <t>E055</t>
        </is>
      </c>
      <c r="D366" s="17" t="inlineStr">
        <is>
          <t>Oxigeno Industrial 1 m³</t>
        </is>
      </c>
      <c r="E366" s="17" t="inlineStr">
        <is>
          <t>OXIGENO INDUSTRIAL</t>
        </is>
      </c>
      <c r="F366" s="17" t="inlineStr">
        <is>
          <t>EMPRESA</t>
        </is>
      </c>
      <c r="G366" s="23" t="inlineStr">
        <is>
          <t>10175332796</t>
        </is>
      </c>
      <c r="H366" s="25">
        <f t="array" ref="H366">IF(G366="","",IFERROR(IF(INDEX(Clientes!$D$5:$D$549,MATCH(G366,Clientes!$C$5:$C$549,0))&lt;&gt;"",INDEX(Clientes!$D$5:$D$549,MATCH(G366,Clientes!$C$5:$C$549,0)),TRIM(INDEX(Clientes!$E$5:$E$549,MATCH(G366,Clientes!$C$5:$C$549,0))&amp;" "&amp;INDEX(Clientes!$F$5:$F$549,MATCH(G366,Clientes!$C$5:$C$549,0)))),"NO EXISTE en Clientes"))</f>
        <v/>
      </c>
      <c r="I366" s="17" t="inlineStr">
        <is>
          <t>DISPONIBLE</t>
        </is>
      </c>
      <c r="J366" s="17" t="inlineStr">
        <is>
          <t>ALMACEN PRINCIPAL</t>
        </is>
      </c>
      <c r="K366" s="23" t="n"/>
      <c r="L366" s="25">
        <f t="array" ref="L366">IF(K366="","",IFERROR(IF(INDEX(Clientes!$D$5:$D$549,MATCH(K366,Clientes!$C$5:$C$549,0))&lt;&gt;"",INDEX(Clientes!$D$5:$D$549,MATCH(K366,Clientes!$C$5:$C$549,0)),TRIM(INDEX(Clientes!$E$5:$E$549,MATCH(K366,Clientes!$C$5:$C$549,0))&amp;" "&amp;INDEX(Clientes!$F$5:$F$549,MATCH(K366,Clientes!$C$5:$C$549,0)))),"NO EXISTE en Clientes"))</f>
        <v/>
      </c>
      <c r="M366" s="17" t="n"/>
      <c r="N366" s="17" t="n"/>
      <c r="O366" s="42" t="n"/>
      <c r="P366" s="39">
        <f>IF(O366&lt;&gt;"",DATE(YEAR(O366)+5,MONTH(O366),1),IF(AND(M366&lt;&gt;"",N366&lt;&gt;""),DATE(M366+5,N366,1),""))</f>
        <v/>
      </c>
      <c r="Q366" s="23" t="n"/>
      <c r="R366" s="17" t="n"/>
      <c r="S366" s="17" t="n"/>
      <c r="T366" s="17" t="n"/>
      <c r="U366" s="17" t="n"/>
      <c r="V366" s="23" t="n"/>
      <c r="W366" s="17" t="n"/>
      <c r="X366" s="17" t="n"/>
      <c r="Y366" s="28">
        <f>IF(B366&lt;&gt;"OK","","SELECT bal_crear_balon(p_codigo_balon =&gt; "&amp;IF(TRIM(C366&amp;"")="","NULL","'"&amp;SUBSTITUTE(TRIM(C366),"'","''")&amp;"'")&amp;", p_id_tipo_balon =&gt; "&amp;"(SELECT id FROM bal_tipo_balon WHERE upper(nombre) = upper('"&amp;SUBSTITUTE(TRIM(D366),"'","''")&amp;"') AND estado = 1 LIMIT 1)"&amp;", p_id_producto_gas =&gt; "&amp;"(SELECT id FROM pro_producto WHERE es_gas = TRUE AND upper(nombre) = upper('"&amp;SUBSTITUTE(TRIM(E366),"'","''")&amp;"') AND estado = 1 LIMIT 1)"&amp;", p_id_propietario =&gt; "&amp;IF(TRIM(F366&amp;"")="","NULL","(SELECT lo.id FROM gen_lista_opciones lo JOIN gen_lista l ON l.id = lo.id_lista WHERE l.nombre = 'PropietarioBalon' AND upper(lo.nombre) = upper('"&amp;SUBSTITUTE(TRIM(F366),"'","''")&amp;"') AND lo.estado = 1 LIMIT 1)")&amp;", p_id_cliente_propietario =&gt; "&amp;IF(F366="CLIENTE",IF(TRIM(G366&amp;"")="","NULL","(SELECT id FROM cli_clientes WHERE numero_documento = '"&amp;SUBSTITUTE(TRIM(G366),"'","''")&amp;"' AND estado = 1 LIMIT 1)"),"NULL")&amp;", p_id_planta =&gt; "&amp;IF(F366="PLANTA",IF(TRIM(G366&amp;"")="","NULL","(SELECT id FROM cli_clientes WHERE numero_documento = '"&amp;SUBSTITUTE(TRIM(G366),"'","''")&amp;"'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"&amp;IF(TRIM(J366&amp;"")="","NULL","(SELECT id FROM gen_almacen WHERE upper(nombre) = upper('"&amp;SUBSTITUTE(TRIM(J366),"'","''")&amp;"') AND estado = 1 LIMIT 1)")&amp;", p_id_cliente_ubicacion =&gt; "&amp;IF(TRIM(K366&amp;"")="","NULL","(SELECT id FROM cli_clientes WHERE numero_documento = '"&amp;SUBSTITUTE(TRIM(K366),"'","''")&amp;"' AND estado = 1 LIMIT 1)")&amp;", p_id_referencia =&gt; "&amp;IF(TRIM(J366&amp;"")&lt;&gt;"","(SELECT lo.id FROM gen_lista_opciones lo JOIN gen_lista l ON l.id = lo.id_lista WHERE l.nombre = 'ReferenciaCilindro' AND upper(lo.nombre) = 'ALMACEN' AND lo.estado = 1 LIMIT 1)",IF(TRIM(K366&amp;"")&lt;&gt;"","(SELECT lo.id FROM gen_lista_opciones lo JOIN gen_lista l ON l.id = lo.id_lista WHERE l.nombre = 'ReferenciaCilindro' AND upper(lo.nombre) = 'CLIENTE' AND lo.estado = 1 LIMIT 1)","NULL"))&amp;", p_anio_fabricacion =&gt; "&amp;IF(M366&amp;""="","NULL::smallint",M366&amp;"::smallint")&amp;", p_mes_fabricacion =&gt; "&amp;IF(N366&amp;""="","NULL::smallint",N366&amp;"::smallint")&amp;", p_fecha_ultima_prueba_hidrostatica =&gt; "&amp;IF(O366&amp;""="","NULL","'"&amp;YEAR(O366)&amp;"-"&amp;TEXT(MONTH(O366),"00")&amp;"-"&amp;TEXT(DAY(O366),"00")&amp;"'")&amp;", p_numero_serie =&gt; "&amp;IF(TRIM(Q366&amp;"")="","NULL","'"&amp;SUBSTITUTE(TRIM(Q366),"'","''")&amp;"'")&amp;", p_id_marca_cilindro =&gt; "&amp;IF(TRIM(R366&amp;"")="","NULL","(SELECT lo.id FROM gen_lista_opciones lo JOIN gen_lista l ON l.id = lo.id_lista WHERE l.nombre = 'MarcaCilindro' AND upper(lo.nombre) = upper('"&amp;SUBSTITUTE(TRIM(R366),"'","''")&amp;"') AND lo.estado = 1 LIMIT 1)")&amp;", p_id_organo_inspector =&gt; "&amp;IF(TRIM(S366&amp;"")="","NULL","(SELECT lo.id FROM gen_lista_opciones lo JOIN gen_lista l ON l.id = lo.id_lista WHERE l.nombre = 'OrganoInspectorCilindro' AND upper(lo.nombre) = upper('"&amp;SUBSTITUTE(TRIM(S366),"'","''")&amp;"') AND lo.estado = 1 LIMIT 1)")&amp;", p_organo_inspector_no_aplica =&gt; "&amp;IF(S366="NO_APLICA","TRUE","FALSE")&amp;", p_presion_actual =&gt; "&amp;IF(T366&amp;""="","NULL",SUBSTITUTE(T366&amp;"",",","."))&amp;", p_tipo_valvula =&gt; "&amp;IF(TRIM(U366&amp;"")="","NULL","'"&amp;SUBSTITUTE(TRIM(U366),"'","''")&amp;"'")&amp;", p_libro_cilindro =&gt; "&amp;IF(TRIM(V366&amp;"")="","NULL","'"&amp;SUBSTITUTE(TRIM(V366),"'","''")&amp;"'")&amp;", p_pagina_libro =&gt; "&amp;IF(W366&amp;""="","NULL",SUBSTITUTE(W366&amp;"",",","."))&amp;", p_observacion =&gt; "&amp;IF(TRIM(X366&amp;"")="","NULL","'"&amp;SUBSTITUTE(TRIM(X366),"'","''")&amp;"'")&amp;") AS resultado_balon_"&amp;ROW()&amp;";")</f>
        <v/>
      </c>
    </row>
    <row r="367" ht="15.75" customHeight="1" s="64">
      <c r="A367" s="36" t="inlineStr">
        <is>
          <t>363</t>
        </is>
      </c>
      <c r="B367" s="25">
        <f>IF(AND(C367="",D367="",E367=""),"",IF(C367="","FALTA código balón",IF(D367="","FALTA tipo balón",IF(E367="","FALTA gas",IF(F367="","FALTA propietario",IF(AND(C367&lt;&gt;"",SUMPRODUCT(--($C$5:$C$1200=C367))&gt;1),"CÓDIGO BALÓN DUPLICADO",IF(AND(OR(UPPER(F367)="PLANTA",UPPER(F367)="CLIENTE"),G367=""),"FALTA doc propietario/planta",IF(AND(UPPER(F367)="PLANTA",G367="10175332796"),"PLANTA no puede ser RUC empresa","OK"))))))))</f>
        <v/>
      </c>
      <c r="C367" s="23" t="inlineStr">
        <is>
          <t>PG16288</t>
        </is>
      </c>
      <c r="D367" s="17" t="inlineStr">
        <is>
          <t>Oxigeno Medicinal 1.5 m³</t>
        </is>
      </c>
      <c r="E367" s="17" t="inlineStr">
        <is>
          <t>OXIGENO MEDICINAL</t>
        </is>
      </c>
      <c r="F367" s="17" t="inlineStr">
        <is>
          <t>EMPRESA</t>
        </is>
      </c>
      <c r="G367" s="23" t="inlineStr">
        <is>
          <t>10175332796</t>
        </is>
      </c>
      <c r="H367" s="25">
        <f t="array" ref="H367">IF(G367="","",IFERROR(IF(INDEX(Clientes!$D$5:$D$549,MATCH(G367,Clientes!$C$5:$C$549,0))&lt;&gt;"",INDEX(Clientes!$D$5:$D$549,MATCH(G367,Clientes!$C$5:$C$549,0)),TRIM(INDEX(Clientes!$E$5:$E$549,MATCH(G367,Clientes!$C$5:$C$549,0))&amp;" "&amp;INDEX(Clientes!$F$5:$F$549,MATCH(G367,Clientes!$C$5:$C$549,0)))),"NO EXISTE en Clientes"))</f>
        <v/>
      </c>
      <c r="I367" s="17" t="inlineStr">
        <is>
          <t>DISPONIBLE</t>
        </is>
      </c>
      <c r="J367" s="17" t="inlineStr">
        <is>
          <t>ALMACEN PRINCIPAL</t>
        </is>
      </c>
      <c r="K367" s="23" t="n"/>
      <c r="L367" s="25">
        <f t="array" ref="L367">IF(K367="","",IFERROR(IF(INDEX(Clientes!$D$5:$D$549,MATCH(K367,Clientes!$C$5:$C$549,0))&lt;&gt;"",INDEX(Clientes!$D$5:$D$549,MATCH(K367,Clientes!$C$5:$C$549,0)),TRIM(INDEX(Clientes!$E$5:$E$549,MATCH(K367,Clientes!$C$5:$C$549,0))&amp;" "&amp;INDEX(Clientes!$F$5:$F$549,MATCH(K367,Clientes!$C$5:$C$549,0)))),"NO EXISTE en Clientes"))</f>
        <v/>
      </c>
      <c r="M367" s="17" t="n"/>
      <c r="N367" s="17" t="n"/>
      <c r="O367" s="42" t="n"/>
      <c r="P367" s="39">
        <f>IF(O367&lt;&gt;"",DATE(YEAR(O367)+5,MONTH(O367),1),IF(AND(M367&lt;&gt;"",N367&lt;&gt;""),DATE(M367+5,N367,1),""))</f>
        <v/>
      </c>
      <c r="Q367" s="23" t="n"/>
      <c r="R367" s="17" t="n"/>
      <c r="S367" s="17" t="n"/>
      <c r="T367" s="17" t="n"/>
      <c r="U367" s="17" t="n"/>
      <c r="V367" s="23" t="n"/>
      <c r="W367" s="17" t="n"/>
      <c r="X367" s="17" t="n"/>
      <c r="Y367" s="28">
        <f>IF(B367&lt;&gt;"OK","","SELECT bal_crear_balon(p_codigo_balon =&gt; "&amp;IF(TRIM(C367&amp;"")="","NULL","'"&amp;SUBSTITUTE(TRIM(C367),"'","''")&amp;"'")&amp;", p_id_tipo_balon =&gt; "&amp;"(SELECT id FROM bal_tipo_balon WHERE upper(nombre) = upper('"&amp;SUBSTITUTE(TRIM(D367),"'","''")&amp;"') AND estado = 1 LIMIT 1)"&amp;", p_id_producto_gas =&gt; "&amp;"(SELECT id FROM pro_producto WHERE es_gas = TRUE AND upper(nombre) = upper('"&amp;SUBSTITUTE(TRIM(E367),"'","''")&amp;"') AND estado = 1 LIMIT 1)"&amp;", p_id_propietario =&gt; "&amp;IF(TRIM(F367&amp;"")="","NULL","(SELECT lo.id FROM gen_lista_opciones lo JOIN gen_lista l ON l.id = lo.id_lista WHERE l.nombre = 'PropietarioBalon' AND upper(lo.nombre) = upper('"&amp;SUBSTITUTE(TRIM(F367),"'","''")&amp;"') AND lo.estado = 1 LIMIT 1)")&amp;", p_id_cliente_propietario =&gt; "&amp;IF(F367="CLIENTE",IF(TRIM(G367&amp;"")="","NULL","(SELECT id FROM cli_clientes WHERE numero_documento = '"&amp;SUBSTITUTE(TRIM(G367),"'","''")&amp;"' AND estado = 1 LIMIT 1)"),"NULL")&amp;", p_id_planta =&gt; "&amp;IF(F367="PLANTA",IF(TRIM(G367&amp;"")="","NULL","(SELECT id FROM cli_clientes WHERE numero_documento = '"&amp;SUBSTITUTE(TRIM(G367),"'","''")&amp;"'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"&amp;IF(TRIM(J367&amp;"")="","NULL","(SELECT id FROM gen_almacen WHERE upper(nombre) = upper('"&amp;SUBSTITUTE(TRIM(J367),"'","''")&amp;"') AND estado = 1 LIMIT 1)")&amp;", p_id_cliente_ubicacion =&gt; "&amp;IF(TRIM(K367&amp;"")="","NULL","(SELECT id FROM cli_clientes WHERE numero_documento = '"&amp;SUBSTITUTE(TRIM(K367),"'","''")&amp;"' AND estado = 1 LIMIT 1)")&amp;", p_id_referencia =&gt; "&amp;IF(TRIM(J367&amp;"")&lt;&gt;"","(SELECT lo.id FROM gen_lista_opciones lo JOIN gen_lista l ON l.id = lo.id_lista WHERE l.nombre = 'ReferenciaCilindro' AND upper(lo.nombre) = 'ALMACEN' AND lo.estado = 1 LIMIT 1)",IF(TRIM(K367&amp;"")&lt;&gt;"","(SELECT lo.id FROM gen_lista_opciones lo JOIN gen_lista l ON l.id = lo.id_lista WHERE l.nombre = 'ReferenciaCilindro' AND upper(lo.nombre) = 'CLIENTE' AND lo.estado = 1 LIMIT 1)","NULL"))&amp;", p_anio_fabricacion =&gt; "&amp;IF(M367&amp;""="","NULL::smallint",M367&amp;"::smallint")&amp;", p_mes_fabricacion =&gt; "&amp;IF(N367&amp;""="","NULL::smallint",N367&amp;"::smallint")&amp;", p_fecha_ultima_prueba_hidrostatica =&gt; "&amp;IF(O367&amp;""="","NULL","'"&amp;YEAR(O367)&amp;"-"&amp;TEXT(MONTH(O367),"00")&amp;"-"&amp;TEXT(DAY(O367),"00")&amp;"'")&amp;", p_numero_serie =&gt; "&amp;IF(TRIM(Q367&amp;"")="","NULL","'"&amp;SUBSTITUTE(TRIM(Q367),"'","''")&amp;"'")&amp;", p_id_marca_cilindro =&gt; "&amp;IF(TRIM(R367&amp;"")="","NULL","(SELECT lo.id FROM gen_lista_opciones lo JOIN gen_lista l ON l.id = lo.id_lista WHERE l.nombre = 'MarcaCilindro' AND upper(lo.nombre) = upper('"&amp;SUBSTITUTE(TRIM(R367),"'","''")&amp;"') AND lo.estado = 1 LIMIT 1)")&amp;", p_id_organo_inspector =&gt; "&amp;IF(TRIM(S367&amp;"")="","NULL","(SELECT lo.id FROM gen_lista_opciones lo JOIN gen_lista l ON l.id = lo.id_lista WHERE l.nombre = 'OrganoInspectorCilindro' AND upper(lo.nombre) = upper('"&amp;SUBSTITUTE(TRIM(S367),"'","''")&amp;"') AND lo.estado = 1 LIMIT 1)")&amp;", p_organo_inspector_no_aplica =&gt; "&amp;IF(S367="NO_APLICA","TRUE","FALSE")&amp;", p_presion_actual =&gt; "&amp;IF(T367&amp;""="","NULL",SUBSTITUTE(T367&amp;"",",","."))&amp;", p_tipo_valvula =&gt; "&amp;IF(TRIM(U367&amp;"")="","NULL","'"&amp;SUBSTITUTE(TRIM(U367),"'","''")&amp;"'")&amp;", p_libro_cilindro =&gt; "&amp;IF(TRIM(V367&amp;"")="","NULL","'"&amp;SUBSTITUTE(TRIM(V367),"'","''")&amp;"'")&amp;", p_pagina_libro =&gt; "&amp;IF(W367&amp;""="","NULL",SUBSTITUTE(W367&amp;"",",","."))&amp;", p_observacion =&gt; "&amp;IF(TRIM(X367&amp;"")="","NULL","'"&amp;SUBSTITUTE(TRIM(X367),"'","''")&amp;"'")&amp;") AS resultado_balon_"&amp;ROW()&amp;";")</f>
        <v/>
      </c>
    </row>
    <row r="368" ht="15.75" customHeight="1" s="64">
      <c r="A368" s="36" t="inlineStr">
        <is>
          <t>364</t>
        </is>
      </c>
      <c r="B368" s="25">
        <f>IF(AND(C368="",D368="",E368=""),"",IF(C368="","FALTA código balón",IF(D368="","FALTA tipo balón",IF(E368="","FALTA gas",IF(F368="","FALTA propietario",IF(AND(C368&lt;&gt;"",SUMPRODUCT(--($C$5:$C$1200=C368))&gt;1),"CÓDIGO BALÓN DUPLICADO",IF(AND(OR(UPPER(F368)="PLANTA",UPPER(F368)="CLIENTE"),G368=""),"FALTA doc propietario/planta",IF(AND(UPPER(F368)="PLANTA",G368="10175332796"),"PLANTA no puede ser RUC empresa","OK"))))))))</f>
        <v/>
      </c>
      <c r="C368" s="23" t="inlineStr">
        <is>
          <t>40819</t>
        </is>
      </c>
      <c r="D368" s="17" t="inlineStr">
        <is>
          <t>Oxigeno Medicinal 1.5 m³</t>
        </is>
      </c>
      <c r="E368" s="17" t="inlineStr">
        <is>
          <t>OXIGENO MEDICINAL</t>
        </is>
      </c>
      <c r="F368" s="17" t="inlineStr">
        <is>
          <t>EMPRESA</t>
        </is>
      </c>
      <c r="G368" s="23" t="inlineStr">
        <is>
          <t>10175332796</t>
        </is>
      </c>
      <c r="H368" s="25">
        <f t="array" ref="H368">IF(G368="","",IFERROR(IF(INDEX(Clientes!$D$5:$D$549,MATCH(G368,Clientes!$C$5:$C$549,0))&lt;&gt;"",INDEX(Clientes!$D$5:$D$549,MATCH(G368,Clientes!$C$5:$C$549,0)),TRIM(INDEX(Clientes!$E$5:$E$549,MATCH(G368,Clientes!$C$5:$C$549,0))&amp;" "&amp;INDEX(Clientes!$F$5:$F$549,MATCH(G368,Clientes!$C$5:$C$549,0)))),"NO EXISTE en Clientes"))</f>
        <v/>
      </c>
      <c r="I368" s="17" t="inlineStr">
        <is>
          <t>DISPONIBLE</t>
        </is>
      </c>
      <c r="J368" s="17" t="inlineStr">
        <is>
          <t>ALMACEN PRINCIPAL</t>
        </is>
      </c>
      <c r="K368" s="23" t="n"/>
      <c r="L368" s="25">
        <f t="array" ref="L368">IF(K368="","",IFERROR(IF(INDEX(Clientes!$D$5:$D$549,MATCH(K368,Clientes!$C$5:$C$549,0))&lt;&gt;"",INDEX(Clientes!$D$5:$D$549,MATCH(K368,Clientes!$C$5:$C$549,0)),TRIM(INDEX(Clientes!$E$5:$E$549,MATCH(K368,Clientes!$C$5:$C$549,0))&amp;" "&amp;INDEX(Clientes!$F$5:$F$549,MATCH(K368,Clientes!$C$5:$C$549,0)))),"NO EXISTE en Clientes"))</f>
        <v/>
      </c>
      <c r="M368" s="17" t="n"/>
      <c r="N368" s="17" t="n"/>
      <c r="O368" s="42" t="n"/>
      <c r="P368" s="39">
        <f>IF(O368&lt;&gt;"",DATE(YEAR(O368)+5,MONTH(O368),1),IF(AND(M368&lt;&gt;"",N368&lt;&gt;""),DATE(M368+5,N368,1),""))</f>
        <v/>
      </c>
      <c r="Q368" s="23" t="n"/>
      <c r="R368" s="17" t="n"/>
      <c r="S368" s="17" t="n"/>
      <c r="T368" s="17" t="n"/>
      <c r="U368" s="17" t="n"/>
      <c r="V368" s="23" t="n"/>
      <c r="W368" s="17" t="n"/>
      <c r="X368" s="17" t="n"/>
      <c r="Y368" s="28">
        <f>IF(B368&lt;&gt;"OK","","SELECT bal_crear_balon(p_codigo_balon =&gt; "&amp;IF(TRIM(C368&amp;"")="","NULL","'"&amp;SUBSTITUTE(TRIM(C368),"'","''")&amp;"'")&amp;", p_id_tipo_balon =&gt; "&amp;"(SELECT id FROM bal_tipo_balon WHERE upper(nombre) = upper('"&amp;SUBSTITUTE(TRIM(D368),"'","''")&amp;"') AND estado = 1 LIMIT 1)"&amp;", p_id_producto_gas =&gt; "&amp;"(SELECT id FROM pro_producto WHERE es_gas = TRUE AND upper(nombre) = upper('"&amp;SUBSTITUTE(TRIM(E368),"'","''")&amp;"') AND estado = 1 LIMIT 1)"&amp;", p_id_propietario =&gt; "&amp;IF(TRIM(F368&amp;"")="","NULL","(SELECT lo.id FROM gen_lista_opciones lo JOIN gen_lista l ON l.id = lo.id_lista WHERE l.nombre = 'PropietarioBalon' AND upper(lo.nombre) = upper('"&amp;SUBSTITUTE(TRIM(F368),"'","''")&amp;"') AND lo.estado = 1 LIMIT 1)")&amp;", p_id_cliente_propietario =&gt; "&amp;IF(F368="CLIENTE",IF(TRIM(G368&amp;"")="","NULL","(SELECT id FROM cli_clientes WHERE numero_documento = '"&amp;SUBSTITUTE(TRIM(G368),"'","''")&amp;"' AND estado = 1 LIMIT 1)"),"NULL")&amp;", p_id_planta =&gt; "&amp;IF(F368="PLANTA",IF(TRIM(G368&amp;"")="","NULL","(SELECT id FROM cli_clientes WHERE numero_documento = '"&amp;SUBSTITUTE(TRIM(G368),"'","''")&amp;"'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"&amp;IF(TRIM(J368&amp;"")="","NULL","(SELECT id FROM gen_almacen WHERE upper(nombre) = upper('"&amp;SUBSTITUTE(TRIM(J368),"'","''")&amp;"') AND estado = 1 LIMIT 1)")&amp;", p_id_cliente_ubicacion =&gt; "&amp;IF(TRIM(K368&amp;"")="","NULL","(SELECT id FROM cli_clientes WHERE numero_documento = '"&amp;SUBSTITUTE(TRIM(K368),"'","''")&amp;"' AND estado = 1 LIMIT 1)")&amp;", p_id_referencia =&gt; "&amp;IF(TRIM(J368&amp;"")&lt;&gt;"","(SELECT lo.id FROM gen_lista_opciones lo JOIN gen_lista l ON l.id = lo.id_lista WHERE l.nombre = 'ReferenciaCilindro' AND upper(lo.nombre) = 'ALMACEN' AND lo.estado = 1 LIMIT 1)",IF(TRIM(K368&amp;"")&lt;&gt;"","(SELECT lo.id FROM gen_lista_opciones lo JOIN gen_lista l ON l.id = lo.id_lista WHERE l.nombre = 'ReferenciaCilindro' AND upper(lo.nombre) = 'CLIENTE' AND lo.estado = 1 LIMIT 1)","NULL"))&amp;", p_anio_fabricacion =&gt; "&amp;IF(M368&amp;""="","NULL::smallint",M368&amp;"::smallint")&amp;", p_mes_fabricacion =&gt; "&amp;IF(N368&amp;""="","NULL::smallint",N368&amp;"::smallint")&amp;", p_fecha_ultima_prueba_hidrostatica =&gt; "&amp;IF(O368&amp;""="","NULL","'"&amp;YEAR(O368)&amp;"-"&amp;TEXT(MONTH(O368),"00")&amp;"-"&amp;TEXT(DAY(O368),"00")&amp;"'")&amp;", p_numero_serie =&gt; "&amp;IF(TRIM(Q368&amp;"")="","NULL","'"&amp;SUBSTITUTE(TRIM(Q368),"'","''")&amp;"'")&amp;", p_id_marca_cilindro =&gt; "&amp;IF(TRIM(R368&amp;"")="","NULL","(SELECT lo.id FROM gen_lista_opciones lo JOIN gen_lista l ON l.id = lo.id_lista WHERE l.nombre = 'MarcaCilindro' AND upper(lo.nombre) = upper('"&amp;SUBSTITUTE(TRIM(R368),"'","''")&amp;"') AND lo.estado = 1 LIMIT 1)")&amp;", p_id_organo_inspector =&gt; "&amp;IF(TRIM(S368&amp;"")="","NULL","(SELECT lo.id FROM gen_lista_opciones lo JOIN gen_lista l ON l.id = lo.id_lista WHERE l.nombre = 'OrganoInspectorCilindro' AND upper(lo.nombre) = upper('"&amp;SUBSTITUTE(TRIM(S368),"'","''")&amp;"') AND lo.estado = 1 LIMIT 1)")&amp;", p_organo_inspector_no_aplica =&gt; "&amp;IF(S368="NO_APLICA","TRUE","FALSE")&amp;", p_presion_actual =&gt; "&amp;IF(T368&amp;""="","NULL",SUBSTITUTE(T368&amp;"",",","."))&amp;", p_tipo_valvula =&gt; "&amp;IF(TRIM(U368&amp;"")="","NULL","'"&amp;SUBSTITUTE(TRIM(U368),"'","''")&amp;"'")&amp;", p_libro_cilindro =&gt; "&amp;IF(TRIM(V368&amp;"")="","NULL","'"&amp;SUBSTITUTE(TRIM(V368),"'","''")&amp;"'")&amp;", p_pagina_libro =&gt; "&amp;IF(W368&amp;""="","NULL",SUBSTITUTE(W368&amp;"",",","."))&amp;", p_observacion =&gt; "&amp;IF(TRIM(X368&amp;"")="","NULL","'"&amp;SUBSTITUTE(TRIM(X368),"'","''")&amp;"'")&amp;") AS resultado_balon_"&amp;ROW()&amp;";")</f>
        <v/>
      </c>
    </row>
    <row r="369" ht="15.75" customHeight="1" s="64">
      <c r="A369" s="36" t="inlineStr">
        <is>
          <t>365</t>
        </is>
      </c>
      <c r="B369" s="25">
        <f>IF(AND(C369="",D369="",E369=""),"",IF(C369="","FALTA código balón",IF(D369="","FALTA tipo balón",IF(E369="","FALTA gas",IF(F369="","FALTA propietario",IF(AND(C369&lt;&gt;"",SUMPRODUCT(--($C$5:$C$1200=C369))&gt;1),"CÓDIGO BALÓN DUPLICADO",IF(AND(OR(UPPER(F369)="PLANTA",UPPER(F369)="CLIENTE"),G369=""),"FALTA doc propietario/planta",IF(AND(UPPER(F369)="PLANTA",G369="10175332796"),"PLANTA no puede ser RUC empresa","OK"))))))))</f>
        <v/>
      </c>
      <c r="C369" s="23" t="inlineStr">
        <is>
          <t>943251</t>
        </is>
      </c>
      <c r="D369" s="17" t="inlineStr">
        <is>
          <t>Oxígeno Industrial 6 m³</t>
        </is>
      </c>
      <c r="E369" s="17" t="inlineStr">
        <is>
          <t>OXIGENO INDUSTRIAL</t>
        </is>
      </c>
      <c r="F369" s="17" t="inlineStr">
        <is>
          <t>EMPRESA</t>
        </is>
      </c>
      <c r="G369" s="23" t="inlineStr">
        <is>
          <t>10175332796</t>
        </is>
      </c>
      <c r="H369" s="25">
        <f t="array" ref="H369">IF(G369="","",IFERROR(IF(INDEX(Clientes!$D$5:$D$549,MATCH(G369,Clientes!$C$5:$C$549,0))&lt;&gt;"",INDEX(Clientes!$D$5:$D$549,MATCH(G369,Clientes!$C$5:$C$549,0)),TRIM(INDEX(Clientes!$E$5:$E$549,MATCH(G369,Clientes!$C$5:$C$549,0))&amp;" "&amp;INDEX(Clientes!$F$5:$F$549,MATCH(G369,Clientes!$C$5:$C$549,0)))),"NO EXISTE en Clientes"))</f>
        <v/>
      </c>
      <c r="I369" s="17" t="inlineStr">
        <is>
          <t>DISPONIBLE</t>
        </is>
      </c>
      <c r="J369" s="17" t="inlineStr">
        <is>
          <t>ALMACEN PRINCIPAL</t>
        </is>
      </c>
      <c r="K369" s="23" t="n"/>
      <c r="L369" s="25">
        <f t="array" ref="L369">IF(K369="","",IFERROR(IF(INDEX(Clientes!$D$5:$D$549,MATCH(K369,Clientes!$C$5:$C$549,0))&lt;&gt;"",INDEX(Clientes!$D$5:$D$549,MATCH(K369,Clientes!$C$5:$C$549,0)),TRIM(INDEX(Clientes!$E$5:$E$549,MATCH(K369,Clientes!$C$5:$C$549,0))&amp;" "&amp;INDEX(Clientes!$F$5:$F$549,MATCH(K369,Clientes!$C$5:$C$549,0)))),"NO EXISTE en Clientes"))</f>
        <v/>
      </c>
      <c r="M369" s="17" t="n"/>
      <c r="N369" s="17" t="n"/>
      <c r="O369" s="42" t="n"/>
      <c r="P369" s="39">
        <f>IF(O369&lt;&gt;"",DATE(YEAR(O369)+5,MONTH(O369),1),IF(AND(M369&lt;&gt;"",N369&lt;&gt;""),DATE(M369+5,N369,1),""))</f>
        <v/>
      </c>
      <c r="Q369" s="23" t="n"/>
      <c r="R369" s="17" t="n"/>
      <c r="S369" s="17" t="n"/>
      <c r="T369" s="17" t="n"/>
      <c r="U369" s="17" t="n"/>
      <c r="V369" s="23" t="n"/>
      <c r="W369" s="17" t="n"/>
      <c r="X369" s="17" t="n"/>
      <c r="Y369" s="28">
        <f>IF(B369&lt;&gt;"OK","","SELECT bal_crear_balon(p_codigo_balon =&gt; "&amp;IF(TRIM(C369&amp;"")="","NULL","'"&amp;SUBSTITUTE(TRIM(C369),"'","''")&amp;"'")&amp;", p_id_tipo_balon =&gt; "&amp;"(SELECT id FROM bal_tipo_balon WHERE upper(nombre) = upper('"&amp;SUBSTITUTE(TRIM(D369),"'","''")&amp;"') AND estado = 1 LIMIT 1)"&amp;", p_id_producto_gas =&gt; "&amp;"(SELECT id FROM pro_producto WHERE es_gas = TRUE AND upper(nombre) = upper('"&amp;SUBSTITUTE(TRIM(E369),"'","''")&amp;"') AND estado = 1 LIMIT 1)"&amp;", p_id_propietario =&gt; "&amp;IF(TRIM(F369&amp;"")="","NULL","(SELECT lo.id FROM gen_lista_opciones lo JOIN gen_lista l ON l.id = lo.id_lista WHERE l.nombre = 'PropietarioBalon' AND upper(lo.nombre) = upper('"&amp;SUBSTITUTE(TRIM(F369),"'","''")&amp;"') AND lo.estado = 1 LIMIT 1)")&amp;", p_id_cliente_propietario =&gt; "&amp;IF(F369="CLIENTE",IF(TRIM(G369&amp;"")="","NULL","(SELECT id FROM cli_clientes WHERE numero_documento = '"&amp;SUBSTITUTE(TRIM(G369),"'","''")&amp;"' AND estado = 1 LIMIT 1)"),"NULL")&amp;", p_id_planta =&gt; "&amp;IF(F369="PLANTA",IF(TRIM(G369&amp;"")="","NULL","(SELECT id FROM cli_clientes WHERE numero_documento = '"&amp;SUBSTITUTE(TRIM(G369),"'","''")&amp;"'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"&amp;IF(TRIM(J369&amp;"")="","NULL","(SELECT id FROM gen_almacen WHERE upper(nombre) = upper('"&amp;SUBSTITUTE(TRIM(J369),"'","''")&amp;"') AND estado = 1 LIMIT 1)")&amp;", p_id_cliente_ubicacion =&gt; "&amp;IF(TRIM(K369&amp;"")="","NULL","(SELECT id FROM cli_clientes WHERE numero_documento = '"&amp;SUBSTITUTE(TRIM(K369),"'","''")&amp;"' AND estado = 1 LIMIT 1)")&amp;", p_id_referencia =&gt; "&amp;IF(TRIM(J369&amp;"")&lt;&gt;"","(SELECT lo.id FROM gen_lista_opciones lo JOIN gen_lista l ON l.id = lo.id_lista WHERE l.nombre = 'ReferenciaCilindro' AND upper(lo.nombre) = 'ALMACEN' AND lo.estado = 1 LIMIT 1)",IF(TRIM(K369&amp;"")&lt;&gt;"","(SELECT lo.id FROM gen_lista_opciones lo JOIN gen_lista l ON l.id = lo.id_lista WHERE l.nombre = 'ReferenciaCilindro' AND upper(lo.nombre) = 'CLIENTE' AND lo.estado = 1 LIMIT 1)","NULL"))&amp;", p_anio_fabricacion =&gt; "&amp;IF(M369&amp;""="","NULL::smallint",M369&amp;"::smallint")&amp;", p_mes_fabricacion =&gt; "&amp;IF(N369&amp;""="","NULL::smallint",N369&amp;"::smallint")&amp;", p_fecha_ultima_prueba_hidrostatica =&gt; "&amp;IF(O369&amp;""="","NULL","'"&amp;YEAR(O369)&amp;"-"&amp;TEXT(MONTH(O369),"00")&amp;"-"&amp;TEXT(DAY(O369),"00")&amp;"'")&amp;", p_numero_serie =&gt; "&amp;IF(TRIM(Q369&amp;"")="","NULL","'"&amp;SUBSTITUTE(TRIM(Q369),"'","''")&amp;"'")&amp;", p_id_marca_cilindro =&gt; "&amp;IF(TRIM(R369&amp;"")="","NULL","(SELECT lo.id FROM gen_lista_opciones lo JOIN gen_lista l ON l.id = lo.id_lista WHERE l.nombre = 'MarcaCilindro' AND upper(lo.nombre) = upper('"&amp;SUBSTITUTE(TRIM(R369),"'","''")&amp;"') AND lo.estado = 1 LIMIT 1)")&amp;", p_id_organo_inspector =&gt; "&amp;IF(TRIM(S369&amp;"")="","NULL","(SELECT lo.id FROM gen_lista_opciones lo JOIN gen_lista l ON l.id = lo.id_lista WHERE l.nombre = 'OrganoInspectorCilindro' AND upper(lo.nombre) = upper('"&amp;SUBSTITUTE(TRIM(S369),"'","''")&amp;"') AND lo.estado = 1 LIMIT 1)")&amp;", p_organo_inspector_no_aplica =&gt; "&amp;IF(S369="NO_APLICA","TRUE","FALSE")&amp;", p_presion_actual =&gt; "&amp;IF(T369&amp;""="","NULL",SUBSTITUTE(T369&amp;"",",","."))&amp;", p_tipo_valvula =&gt; "&amp;IF(TRIM(U369&amp;"")="","NULL","'"&amp;SUBSTITUTE(TRIM(U369),"'","''")&amp;"'")&amp;", p_libro_cilindro =&gt; "&amp;IF(TRIM(V369&amp;"")="","NULL","'"&amp;SUBSTITUTE(TRIM(V369),"'","''")&amp;"'")&amp;", p_pagina_libro =&gt; "&amp;IF(W369&amp;""="","NULL",SUBSTITUTE(W369&amp;"",",","."))&amp;", p_observacion =&gt; "&amp;IF(TRIM(X369&amp;"")="","NULL","'"&amp;SUBSTITUTE(TRIM(X369),"'","''")&amp;"'")&amp;") AS resultado_balon_"&amp;ROW()&amp;";")</f>
        <v/>
      </c>
    </row>
    <row r="370" ht="15.75" customHeight="1" s="64">
      <c r="A370" s="36" t="inlineStr">
        <is>
          <t>366</t>
        </is>
      </c>
      <c r="B370" s="25">
        <f>IF(AND(C370="",D370="",E370=""),"",IF(C370="","FALTA código balón",IF(D370="","FALTA tipo balón",IF(E370="","FALTA gas",IF(F370="","FALTA propietario",IF(AND(C370&lt;&gt;"",SUMPRODUCT(--($C$5:$C$1200=C370))&gt;1),"CÓDIGO BALÓN DUPLICADO",IF(AND(OR(UPPER(F370)="PLANTA",UPPER(F370)="CLIENTE"),G370=""),"FALTA doc propietario/planta",IF(AND(UPPER(F370)="PLANTA",G370="10175332796"),"PLANTA no puede ser RUC empresa","OK"))))))))</f>
        <v/>
      </c>
      <c r="C370" s="23" t="inlineStr">
        <is>
          <t>20S290101</t>
        </is>
      </c>
      <c r="D370" s="17" t="inlineStr">
        <is>
          <t>Oxígeno Medicinal 6 m³</t>
        </is>
      </c>
      <c r="E370" s="17" t="inlineStr">
        <is>
          <t>OXIGENO MEDICINAL</t>
        </is>
      </c>
      <c r="F370" s="17" t="inlineStr">
        <is>
          <t>EMPRESA</t>
        </is>
      </c>
      <c r="G370" s="23" t="inlineStr">
        <is>
          <t>10175332796</t>
        </is>
      </c>
      <c r="H370" s="25">
        <f t="array" ref="H370">IF(G370="","",IFERROR(IF(INDEX(Clientes!$D$5:$D$549,MATCH(G370,Clientes!$C$5:$C$549,0))&lt;&gt;"",INDEX(Clientes!$D$5:$D$549,MATCH(G370,Clientes!$C$5:$C$549,0)),TRIM(INDEX(Clientes!$E$5:$E$549,MATCH(G370,Clientes!$C$5:$C$549,0))&amp;" "&amp;INDEX(Clientes!$F$5:$F$549,MATCH(G370,Clientes!$C$5:$C$549,0)))),"NO EXISTE en Clientes"))</f>
        <v/>
      </c>
      <c r="I370" s="17" t="inlineStr">
        <is>
          <t>DISPONIBLE</t>
        </is>
      </c>
      <c r="J370" s="17" t="inlineStr">
        <is>
          <t>ALMACEN PRINCIPAL</t>
        </is>
      </c>
      <c r="K370" s="23" t="n"/>
      <c r="L370" s="25">
        <f t="array" ref="L370">IF(K370="","",IFERROR(IF(INDEX(Clientes!$D$5:$D$549,MATCH(K370,Clientes!$C$5:$C$549,0))&lt;&gt;"",INDEX(Clientes!$D$5:$D$549,MATCH(K370,Clientes!$C$5:$C$549,0)),TRIM(INDEX(Clientes!$E$5:$E$549,MATCH(K370,Clientes!$C$5:$C$549,0))&amp;" "&amp;INDEX(Clientes!$F$5:$F$549,MATCH(K370,Clientes!$C$5:$C$549,0)))),"NO EXISTE en Clientes"))</f>
        <v/>
      </c>
      <c r="M370" s="17" t="n"/>
      <c r="N370" s="17" t="n"/>
      <c r="O370" s="42" t="n"/>
      <c r="P370" s="39">
        <f>IF(O370&lt;&gt;"",DATE(YEAR(O370)+5,MONTH(O370),1),IF(AND(M370&lt;&gt;"",N370&lt;&gt;""),DATE(M370+5,N370,1),""))</f>
        <v/>
      </c>
      <c r="Q370" s="23" t="n"/>
      <c r="R370" s="17" t="n"/>
      <c r="S370" s="17" t="n"/>
      <c r="T370" s="17" t="n"/>
      <c r="U370" s="17" t="n"/>
      <c r="V370" s="23" t="n"/>
      <c r="W370" s="17" t="n"/>
      <c r="X370" s="17" t="n"/>
      <c r="Y370" s="28">
        <f>IF(B370&lt;&gt;"OK","","SELECT bal_crear_balon(p_codigo_balon =&gt; "&amp;IF(TRIM(C370&amp;"")="","NULL","'"&amp;SUBSTITUTE(TRIM(C370),"'","''")&amp;"'")&amp;", p_id_tipo_balon =&gt; "&amp;"(SELECT id FROM bal_tipo_balon WHERE upper(nombre) = upper('"&amp;SUBSTITUTE(TRIM(D370),"'","''")&amp;"') AND estado = 1 LIMIT 1)"&amp;", p_id_producto_gas =&gt; "&amp;"(SELECT id FROM pro_producto WHERE es_gas = TRUE AND upper(nombre) = upper('"&amp;SUBSTITUTE(TRIM(E370),"'","''")&amp;"') AND estado = 1 LIMIT 1)"&amp;", p_id_propietario =&gt; "&amp;IF(TRIM(F370&amp;"")="","NULL","(SELECT lo.id FROM gen_lista_opciones lo JOIN gen_lista l ON l.id = lo.id_lista WHERE l.nombre = 'PropietarioBalon' AND upper(lo.nombre) = upper('"&amp;SUBSTITUTE(TRIM(F370),"'","''")&amp;"') AND lo.estado = 1 LIMIT 1)")&amp;", p_id_cliente_propietario =&gt; "&amp;IF(F370="CLIENTE",IF(TRIM(G370&amp;"")="","NULL","(SELECT id FROM cli_clientes WHERE numero_documento = '"&amp;SUBSTITUTE(TRIM(G370),"'","''")&amp;"' AND estado = 1 LIMIT 1)"),"NULL")&amp;", p_id_planta =&gt; "&amp;IF(F370="PLANTA",IF(TRIM(G370&amp;"")="","NULL","(SELECT id FROM cli_clientes WHERE numero_documento = '"&amp;SUBSTITUTE(TRIM(G370),"'","''")&amp;"'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"&amp;IF(TRIM(J370&amp;"")="","NULL","(SELECT id FROM gen_almacen WHERE upper(nombre) = upper('"&amp;SUBSTITUTE(TRIM(J370),"'","''")&amp;"') AND estado = 1 LIMIT 1)")&amp;", p_id_cliente_ubicacion =&gt; "&amp;IF(TRIM(K370&amp;"")="","NULL","(SELECT id FROM cli_clientes WHERE numero_documento = '"&amp;SUBSTITUTE(TRIM(K370),"'","''")&amp;"' AND estado = 1 LIMIT 1)")&amp;", p_id_referencia =&gt; "&amp;IF(TRIM(J370&amp;"")&lt;&gt;"","(SELECT lo.id FROM gen_lista_opciones lo JOIN gen_lista l ON l.id = lo.id_lista WHERE l.nombre = 'ReferenciaCilindro' AND upper(lo.nombre) = 'ALMACEN' AND lo.estado = 1 LIMIT 1)",IF(TRIM(K370&amp;"")&lt;&gt;"","(SELECT lo.id FROM gen_lista_opciones lo JOIN gen_lista l ON l.id = lo.id_lista WHERE l.nombre = 'ReferenciaCilindro' AND upper(lo.nombre) = 'CLIENTE' AND lo.estado = 1 LIMIT 1)","NULL"))&amp;", p_anio_fabricacion =&gt; "&amp;IF(M370&amp;""="","NULL::smallint",M370&amp;"::smallint")&amp;", p_mes_fabricacion =&gt; "&amp;IF(N370&amp;""="","NULL::smallint",N370&amp;"::smallint")&amp;", p_fecha_ultima_prueba_hidrostatica =&gt; "&amp;IF(O370&amp;""="","NULL","'"&amp;YEAR(O370)&amp;"-"&amp;TEXT(MONTH(O370),"00")&amp;"-"&amp;TEXT(DAY(O370),"00")&amp;"'")&amp;", p_numero_serie =&gt; "&amp;IF(TRIM(Q370&amp;"")="","NULL","'"&amp;SUBSTITUTE(TRIM(Q370),"'","''")&amp;"'")&amp;", p_id_marca_cilindro =&gt; "&amp;IF(TRIM(R370&amp;"")="","NULL","(SELECT lo.id FROM gen_lista_opciones lo JOIN gen_lista l ON l.id = lo.id_lista WHERE l.nombre = 'MarcaCilindro' AND upper(lo.nombre) = upper('"&amp;SUBSTITUTE(TRIM(R370),"'","''")&amp;"') AND lo.estado = 1 LIMIT 1)")&amp;", p_id_organo_inspector =&gt; "&amp;IF(TRIM(S370&amp;"")="","NULL","(SELECT lo.id FROM gen_lista_opciones lo JOIN gen_lista l ON l.id = lo.id_lista WHERE l.nombre = 'OrganoInspectorCilindro' AND upper(lo.nombre) = upper('"&amp;SUBSTITUTE(TRIM(S370),"'","''")&amp;"') AND lo.estado = 1 LIMIT 1)")&amp;", p_organo_inspector_no_aplica =&gt; "&amp;IF(S370="NO_APLICA","TRUE","FALSE")&amp;", p_presion_actual =&gt; "&amp;IF(T370&amp;""="","NULL",SUBSTITUTE(T370&amp;"",",","."))&amp;", p_tipo_valvula =&gt; "&amp;IF(TRIM(U370&amp;"")="","NULL","'"&amp;SUBSTITUTE(TRIM(U370),"'","''")&amp;"'")&amp;", p_libro_cilindro =&gt; "&amp;IF(TRIM(V370&amp;"")="","NULL","'"&amp;SUBSTITUTE(TRIM(V370),"'","''")&amp;"'")&amp;", p_pagina_libro =&gt; "&amp;IF(W370&amp;""="","NULL",SUBSTITUTE(W370&amp;"",",","."))&amp;", p_observacion =&gt; "&amp;IF(TRIM(X370&amp;"")="","NULL","'"&amp;SUBSTITUTE(TRIM(X370),"'","''")&amp;"'")&amp;") AS resultado_balon_"&amp;ROW()&amp;";")</f>
        <v/>
      </c>
    </row>
    <row r="371" ht="15.75" customHeight="1" s="64">
      <c r="A371" s="36" t="inlineStr">
        <is>
          <t>367</t>
        </is>
      </c>
      <c r="B371" s="25">
        <f>IF(AND(C371="",D371="",E371=""),"",IF(C371="","FALTA código balón",IF(D371="","FALTA tipo balón",IF(E371="","FALTA gas",IF(F371="","FALTA propietario",IF(AND(C371&lt;&gt;"",SUMPRODUCT(--($C$5:$C$1200=C371))&gt;1),"CÓDIGO BALÓN DUPLICADO",IF(AND(OR(UPPER(F371)="PLANTA",UPPER(F371)="CLIENTE"),G371=""),"FALTA doc propietario/planta",IF(AND(UPPER(F371)="PLANTA",G371="10175332796"),"PLANTA no puede ser RUC empresa","OK"))))))))</f>
        <v/>
      </c>
      <c r="C371" s="23" t="inlineStr">
        <is>
          <t>BW880448</t>
        </is>
      </c>
      <c r="D371" s="17" t="inlineStr">
        <is>
          <t>Oxigeno Medicinal 1 m³</t>
        </is>
      </c>
      <c r="E371" s="17" t="inlineStr">
        <is>
          <t>OXIGENO MEDICINAL</t>
        </is>
      </c>
      <c r="F371" s="17" t="inlineStr">
        <is>
          <t>EMPRESA</t>
        </is>
      </c>
      <c r="G371" s="23" t="inlineStr">
        <is>
          <t>10175332796</t>
        </is>
      </c>
      <c r="H371" s="25">
        <f t="array" ref="H371">IF(G371="","",IFERROR(IF(INDEX(Clientes!$D$5:$D$549,MATCH(G371,Clientes!$C$5:$C$549,0))&lt;&gt;"",INDEX(Clientes!$D$5:$D$549,MATCH(G371,Clientes!$C$5:$C$549,0)),TRIM(INDEX(Clientes!$E$5:$E$549,MATCH(G371,Clientes!$C$5:$C$549,0))&amp;" "&amp;INDEX(Clientes!$F$5:$F$549,MATCH(G371,Clientes!$C$5:$C$549,0)))),"NO EXISTE en Clientes"))</f>
        <v/>
      </c>
      <c r="I371" s="17" t="inlineStr">
        <is>
          <t>DISPONIBLE</t>
        </is>
      </c>
      <c r="J371" s="17" t="inlineStr">
        <is>
          <t>ALMACEN PRINCIPAL</t>
        </is>
      </c>
      <c r="K371" s="23" t="n"/>
      <c r="L371" s="25">
        <f t="array" ref="L371">IF(K371="","",IFERROR(IF(INDEX(Clientes!$D$5:$D$549,MATCH(K371,Clientes!$C$5:$C$549,0))&lt;&gt;"",INDEX(Clientes!$D$5:$D$549,MATCH(K371,Clientes!$C$5:$C$549,0)),TRIM(INDEX(Clientes!$E$5:$E$549,MATCH(K371,Clientes!$C$5:$C$549,0))&amp;" "&amp;INDEX(Clientes!$F$5:$F$549,MATCH(K371,Clientes!$C$5:$C$549,0)))),"NO EXISTE en Clientes"))</f>
        <v/>
      </c>
      <c r="M371" s="17" t="n"/>
      <c r="N371" s="17" t="n"/>
      <c r="O371" s="42" t="n"/>
      <c r="P371" s="39">
        <f>IF(O371&lt;&gt;"",DATE(YEAR(O371)+5,MONTH(O371),1),IF(AND(M371&lt;&gt;"",N371&lt;&gt;""),DATE(M371+5,N371,1),""))</f>
        <v/>
      </c>
      <c r="Q371" s="23" t="n"/>
      <c r="R371" s="17" t="n"/>
      <c r="S371" s="17" t="n"/>
      <c r="T371" s="17" t="n"/>
      <c r="U371" s="17" t="n"/>
      <c r="V371" s="23" t="n"/>
      <c r="W371" s="17" t="n"/>
      <c r="X371" s="17" t="n"/>
      <c r="Y371" s="28">
        <f>IF(B371&lt;&gt;"OK","","SELECT bal_crear_balon(p_codigo_balon =&gt; "&amp;IF(TRIM(C371&amp;"")="","NULL","'"&amp;SUBSTITUTE(TRIM(C371),"'","''")&amp;"'")&amp;", p_id_tipo_balon =&gt; "&amp;"(SELECT id FROM bal_tipo_balon WHERE upper(nombre) = upper('"&amp;SUBSTITUTE(TRIM(D371),"'","''")&amp;"') AND estado = 1 LIMIT 1)"&amp;", p_id_producto_gas =&gt; "&amp;"(SELECT id FROM pro_producto WHERE es_gas = TRUE AND upper(nombre) = upper('"&amp;SUBSTITUTE(TRIM(E371),"'","''")&amp;"') AND estado = 1 LIMIT 1)"&amp;", p_id_propietario =&gt; "&amp;IF(TRIM(F371&amp;"")="","NULL","(SELECT lo.id FROM gen_lista_opciones lo JOIN gen_lista l ON l.id = lo.id_lista WHERE l.nombre = 'PropietarioBalon' AND upper(lo.nombre) = upper('"&amp;SUBSTITUTE(TRIM(F371),"'","''")&amp;"') AND lo.estado = 1 LIMIT 1)")&amp;", p_id_cliente_propietario =&gt; "&amp;IF(F371="CLIENTE",IF(TRIM(G371&amp;"")="","NULL","(SELECT id FROM cli_clientes WHERE numero_documento = '"&amp;SUBSTITUTE(TRIM(G371),"'","''")&amp;"' AND estado = 1 LIMIT 1)"),"NULL")&amp;", p_id_planta =&gt; "&amp;IF(F371="PLANTA",IF(TRIM(G371&amp;"")="","NULL","(SELECT id FROM cli_clientes WHERE numero_documento = '"&amp;SUBSTITUTE(TRIM(G371),"'","''")&amp;"'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"&amp;IF(TRIM(J371&amp;"")="","NULL","(SELECT id FROM gen_almacen WHERE upper(nombre) = upper('"&amp;SUBSTITUTE(TRIM(J371),"'","''")&amp;"') AND estado = 1 LIMIT 1)")&amp;", p_id_cliente_ubicacion =&gt; "&amp;IF(TRIM(K371&amp;"")="","NULL","(SELECT id FROM cli_clientes WHERE numero_documento = '"&amp;SUBSTITUTE(TRIM(K371),"'","''")&amp;"' AND estado = 1 LIMIT 1)")&amp;", p_id_referencia =&gt; "&amp;IF(TRIM(J371&amp;"")&lt;&gt;"","(SELECT lo.id FROM gen_lista_opciones lo JOIN gen_lista l ON l.id = lo.id_lista WHERE l.nombre = 'ReferenciaCilindro' AND upper(lo.nombre) = 'ALMACEN' AND lo.estado = 1 LIMIT 1)",IF(TRIM(K371&amp;"")&lt;&gt;"","(SELECT lo.id FROM gen_lista_opciones lo JOIN gen_lista l ON l.id = lo.id_lista WHERE l.nombre = 'ReferenciaCilindro' AND upper(lo.nombre) = 'CLIENTE' AND lo.estado = 1 LIMIT 1)","NULL"))&amp;", p_anio_fabricacion =&gt; "&amp;IF(M371&amp;""="","NULL::smallint",M371&amp;"::smallint")&amp;", p_mes_fabricacion =&gt; "&amp;IF(N371&amp;""="","NULL::smallint",N371&amp;"::smallint")&amp;", p_fecha_ultima_prueba_hidrostatica =&gt; "&amp;IF(O371&amp;""="","NULL","'"&amp;YEAR(O371)&amp;"-"&amp;TEXT(MONTH(O371),"00")&amp;"-"&amp;TEXT(DAY(O371),"00")&amp;"'")&amp;", p_numero_serie =&gt; "&amp;IF(TRIM(Q371&amp;"")="","NULL","'"&amp;SUBSTITUTE(TRIM(Q371),"'","''")&amp;"'")&amp;", p_id_marca_cilindro =&gt; "&amp;IF(TRIM(R371&amp;"")="","NULL","(SELECT lo.id FROM gen_lista_opciones lo JOIN gen_lista l ON l.id = lo.id_lista WHERE l.nombre = 'MarcaCilindro' AND upper(lo.nombre) = upper('"&amp;SUBSTITUTE(TRIM(R371),"'","''")&amp;"') AND lo.estado = 1 LIMIT 1)")&amp;", p_id_organo_inspector =&gt; "&amp;IF(TRIM(S371&amp;"")="","NULL","(SELECT lo.id FROM gen_lista_opciones lo JOIN gen_lista l ON l.id = lo.id_lista WHERE l.nombre = 'OrganoInspectorCilindro' AND upper(lo.nombre) = upper('"&amp;SUBSTITUTE(TRIM(S371),"'","''")&amp;"') AND lo.estado = 1 LIMIT 1)")&amp;", p_organo_inspector_no_aplica =&gt; "&amp;IF(S371="NO_APLICA","TRUE","FALSE")&amp;", p_presion_actual =&gt; "&amp;IF(T371&amp;""="","NULL",SUBSTITUTE(T371&amp;"",",","."))&amp;", p_tipo_valvula =&gt; "&amp;IF(TRIM(U371&amp;"")="","NULL","'"&amp;SUBSTITUTE(TRIM(U371),"'","''")&amp;"'")&amp;", p_libro_cilindro =&gt; "&amp;IF(TRIM(V371&amp;"")="","NULL","'"&amp;SUBSTITUTE(TRIM(V371),"'","''")&amp;"'")&amp;", p_pagina_libro =&gt; "&amp;IF(W371&amp;""="","NULL",SUBSTITUTE(W371&amp;"",",","."))&amp;", p_observacion =&gt; "&amp;IF(TRIM(X371&amp;"")="","NULL","'"&amp;SUBSTITUTE(TRIM(X371),"'","''")&amp;"'")&amp;") AS resultado_balon_"&amp;ROW()&amp;";")</f>
        <v/>
      </c>
    </row>
    <row r="372" ht="15.75" customHeight="1" s="64">
      <c r="A372" s="36" t="inlineStr">
        <is>
          <t>368</t>
        </is>
      </c>
      <c r="B372" s="25">
        <f>IF(AND(C372="",D372="",E372=""),"",IF(C372="","FALTA código balón",IF(D372="","FALTA tipo balón",IF(E372="","FALTA gas",IF(F372="","FALTA propietario",IF(AND(C372&lt;&gt;"",SUMPRODUCT(--($C$5:$C$1200=C372))&gt;1),"CÓDIGO BALÓN DUPLICADO",IF(AND(OR(UPPER(F372)="PLANTA",UPPER(F372)="CLIENTE"),G372=""),"FALTA doc propietario/planta",IF(AND(UPPER(F372)="PLANTA",G372="10175332796"),"PLANTA no puede ser RUC empresa","OK"))))))))</f>
        <v/>
      </c>
      <c r="C372" s="23" t="inlineStr">
        <is>
          <t>BW880483</t>
        </is>
      </c>
      <c r="D372" s="17" t="inlineStr">
        <is>
          <t>Oxigeno Medicinal 1 m³</t>
        </is>
      </c>
      <c r="E372" s="17" t="inlineStr">
        <is>
          <t>OXIGENO MEDICINAL</t>
        </is>
      </c>
      <c r="F372" s="17" t="inlineStr">
        <is>
          <t>EMPRESA</t>
        </is>
      </c>
      <c r="G372" s="23" t="inlineStr">
        <is>
          <t>10175332796</t>
        </is>
      </c>
      <c r="H372" s="25">
        <f t="array" ref="H372">IF(G372="","",IFERROR(IF(INDEX(Clientes!$D$5:$D$549,MATCH(G372,Clientes!$C$5:$C$549,0))&lt;&gt;"",INDEX(Clientes!$D$5:$D$549,MATCH(G372,Clientes!$C$5:$C$549,0)),TRIM(INDEX(Clientes!$E$5:$E$549,MATCH(G372,Clientes!$C$5:$C$549,0))&amp;" "&amp;INDEX(Clientes!$F$5:$F$549,MATCH(G372,Clientes!$C$5:$C$549,0)))),"NO EXISTE en Clientes"))</f>
        <v/>
      </c>
      <c r="I372" s="17" t="inlineStr">
        <is>
          <t>DISPONIBLE</t>
        </is>
      </c>
      <c r="J372" s="17" t="inlineStr">
        <is>
          <t>ALMACEN PRINCIPAL</t>
        </is>
      </c>
      <c r="K372" s="23" t="n"/>
      <c r="L372" s="25">
        <f t="array" ref="L372">IF(K372="","",IFERROR(IF(INDEX(Clientes!$D$5:$D$549,MATCH(K372,Clientes!$C$5:$C$549,0))&lt;&gt;"",INDEX(Clientes!$D$5:$D$549,MATCH(K372,Clientes!$C$5:$C$549,0)),TRIM(INDEX(Clientes!$E$5:$E$549,MATCH(K372,Clientes!$C$5:$C$549,0))&amp;" "&amp;INDEX(Clientes!$F$5:$F$549,MATCH(K372,Clientes!$C$5:$C$549,0)))),"NO EXISTE en Clientes"))</f>
        <v/>
      </c>
      <c r="M372" s="17" t="n"/>
      <c r="N372" s="17" t="n"/>
      <c r="O372" s="42" t="n"/>
      <c r="P372" s="39">
        <f>IF(O372&lt;&gt;"",DATE(YEAR(O372)+5,MONTH(O372),1),IF(AND(M372&lt;&gt;"",N372&lt;&gt;""),DATE(M372+5,N372,1),""))</f>
        <v/>
      </c>
      <c r="Q372" s="23" t="n"/>
      <c r="R372" s="17" t="n"/>
      <c r="S372" s="17" t="n"/>
      <c r="T372" s="17" t="n"/>
      <c r="U372" s="17" t="n"/>
      <c r="V372" s="23" t="n"/>
      <c r="W372" s="17" t="n"/>
      <c r="X372" s="17" t="n"/>
      <c r="Y372" s="28">
        <f>IF(B372&lt;&gt;"OK","","SELECT bal_crear_balon(p_codigo_balon =&gt; "&amp;IF(TRIM(C372&amp;"")="","NULL","'"&amp;SUBSTITUTE(TRIM(C372),"'","''")&amp;"'")&amp;", p_id_tipo_balon =&gt; "&amp;"(SELECT id FROM bal_tipo_balon WHERE upper(nombre) = upper('"&amp;SUBSTITUTE(TRIM(D372),"'","''")&amp;"') AND estado = 1 LIMIT 1)"&amp;", p_id_producto_gas =&gt; "&amp;"(SELECT id FROM pro_producto WHERE es_gas = TRUE AND upper(nombre) = upper('"&amp;SUBSTITUTE(TRIM(E372),"'","''")&amp;"') AND estado = 1 LIMIT 1)"&amp;", p_id_propietario =&gt; "&amp;IF(TRIM(F372&amp;"")="","NULL","(SELECT lo.id FROM gen_lista_opciones lo JOIN gen_lista l ON l.id = lo.id_lista WHERE l.nombre = 'PropietarioBalon' AND upper(lo.nombre) = upper('"&amp;SUBSTITUTE(TRIM(F372),"'","''")&amp;"') AND lo.estado = 1 LIMIT 1)")&amp;", p_id_cliente_propietario =&gt; "&amp;IF(F372="CLIENTE",IF(TRIM(G372&amp;"")="","NULL","(SELECT id FROM cli_clientes WHERE numero_documento = '"&amp;SUBSTITUTE(TRIM(G372),"'","''")&amp;"' AND estado = 1 LIMIT 1)"),"NULL")&amp;", p_id_planta =&gt; "&amp;IF(F372="PLANTA",IF(TRIM(G372&amp;"")="","NULL","(SELECT id FROM cli_clientes WHERE numero_documento = '"&amp;SUBSTITUTE(TRIM(G372),"'","''")&amp;"'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"&amp;IF(TRIM(J372&amp;"")="","NULL","(SELECT id FROM gen_almacen WHERE upper(nombre) = upper('"&amp;SUBSTITUTE(TRIM(J372),"'","''")&amp;"') AND estado = 1 LIMIT 1)")&amp;", p_id_cliente_ubicacion =&gt; "&amp;IF(TRIM(K372&amp;"")="","NULL","(SELECT id FROM cli_clientes WHERE numero_documento = '"&amp;SUBSTITUTE(TRIM(K372),"'","''")&amp;"' AND estado = 1 LIMIT 1)")&amp;", p_id_referencia =&gt; "&amp;IF(TRIM(J372&amp;"")&lt;&gt;"","(SELECT lo.id FROM gen_lista_opciones lo JOIN gen_lista l ON l.id = lo.id_lista WHERE l.nombre = 'ReferenciaCilindro' AND upper(lo.nombre) = 'ALMACEN' AND lo.estado = 1 LIMIT 1)",IF(TRIM(K372&amp;"")&lt;&gt;"","(SELECT lo.id FROM gen_lista_opciones lo JOIN gen_lista l ON l.id = lo.id_lista WHERE l.nombre = 'ReferenciaCilindro' AND upper(lo.nombre) = 'CLIENTE' AND lo.estado = 1 LIMIT 1)","NULL"))&amp;", p_anio_fabricacion =&gt; "&amp;IF(M372&amp;""="","NULL::smallint",M372&amp;"::smallint")&amp;", p_mes_fabricacion =&gt; "&amp;IF(N372&amp;""="","NULL::smallint",N372&amp;"::smallint")&amp;", p_fecha_ultima_prueba_hidrostatica =&gt; "&amp;IF(O372&amp;""="","NULL","'"&amp;YEAR(O372)&amp;"-"&amp;TEXT(MONTH(O372),"00")&amp;"-"&amp;TEXT(DAY(O372),"00")&amp;"'")&amp;", p_numero_serie =&gt; "&amp;IF(TRIM(Q372&amp;"")="","NULL","'"&amp;SUBSTITUTE(TRIM(Q372),"'","''")&amp;"'")&amp;", p_id_marca_cilindro =&gt; "&amp;IF(TRIM(R372&amp;"")="","NULL","(SELECT lo.id FROM gen_lista_opciones lo JOIN gen_lista l ON l.id = lo.id_lista WHERE l.nombre = 'MarcaCilindro' AND upper(lo.nombre) = upper('"&amp;SUBSTITUTE(TRIM(R372),"'","''")&amp;"') AND lo.estado = 1 LIMIT 1)")&amp;", p_id_organo_inspector =&gt; "&amp;IF(TRIM(S372&amp;"")="","NULL","(SELECT lo.id FROM gen_lista_opciones lo JOIN gen_lista l ON l.id = lo.id_lista WHERE l.nombre = 'OrganoInspectorCilindro' AND upper(lo.nombre) = upper('"&amp;SUBSTITUTE(TRIM(S372),"'","''")&amp;"') AND lo.estado = 1 LIMIT 1)")&amp;", p_organo_inspector_no_aplica =&gt; "&amp;IF(S372="NO_APLICA","TRUE","FALSE")&amp;", p_presion_actual =&gt; "&amp;IF(T372&amp;""="","NULL",SUBSTITUTE(T372&amp;"",",","."))&amp;", p_tipo_valvula =&gt; "&amp;IF(TRIM(U372&amp;"")="","NULL","'"&amp;SUBSTITUTE(TRIM(U372),"'","''")&amp;"'")&amp;", p_libro_cilindro =&gt; "&amp;IF(TRIM(V372&amp;"")="","NULL","'"&amp;SUBSTITUTE(TRIM(V372),"'","''")&amp;"'")&amp;", p_pagina_libro =&gt; "&amp;IF(W372&amp;""="","NULL",SUBSTITUTE(W372&amp;"",",","."))&amp;", p_observacion =&gt; "&amp;IF(TRIM(X372&amp;"")="","NULL","'"&amp;SUBSTITUTE(TRIM(X372),"'","''")&amp;"'")&amp;") AS resultado_balon_"&amp;ROW()&amp;";")</f>
        <v/>
      </c>
    </row>
    <row r="373" ht="15.75" customHeight="1" s="64">
      <c r="A373" s="36" t="inlineStr">
        <is>
          <t>369</t>
        </is>
      </c>
      <c r="B373" s="25">
        <f>IF(AND(C373="",D373="",E373=""),"",IF(C373="","FALTA código balón",IF(D373="","FALTA tipo balón",IF(E373="","FALTA gas",IF(F373="","FALTA propietario",IF(AND(C373&lt;&gt;"",SUMPRODUCT(--($C$5:$C$1200=C373))&gt;1),"CÓDIGO BALÓN DUPLICADO",IF(AND(OR(UPPER(F373)="PLANTA",UPPER(F373)="CLIENTE"),G373=""),"FALTA doc propietario/planta",IF(AND(UPPER(F373)="PLANTA",G373="10175332796"),"PLANTA no puede ser RUC empresa","OK"))))))))</f>
        <v/>
      </c>
      <c r="C373" s="23" t="inlineStr">
        <is>
          <t>K4616007</t>
        </is>
      </c>
      <c r="D373" s="17" t="inlineStr">
        <is>
          <t>Oxígeno Medicinal 10 m³</t>
        </is>
      </c>
      <c r="E373" s="17" t="inlineStr">
        <is>
          <t>OXIGENO MEDICINAL</t>
        </is>
      </c>
      <c r="F373" s="17" t="inlineStr">
        <is>
          <t>EMPRESA</t>
        </is>
      </c>
      <c r="G373" s="23" t="inlineStr">
        <is>
          <t>10175332796</t>
        </is>
      </c>
      <c r="H373" s="25">
        <f t="array" ref="H373">IF(G373="","",IFERROR(IF(INDEX(Clientes!$D$5:$D$549,MATCH(G373,Clientes!$C$5:$C$549,0))&lt;&gt;"",INDEX(Clientes!$D$5:$D$549,MATCH(G373,Clientes!$C$5:$C$549,0)),TRIM(INDEX(Clientes!$E$5:$E$549,MATCH(G373,Clientes!$C$5:$C$549,0))&amp;" "&amp;INDEX(Clientes!$F$5:$F$549,MATCH(G373,Clientes!$C$5:$C$549,0)))),"NO EXISTE en Clientes"))</f>
        <v/>
      </c>
      <c r="I373" s="17" t="inlineStr">
        <is>
          <t>DISPONIBLE</t>
        </is>
      </c>
      <c r="J373" s="17" t="inlineStr">
        <is>
          <t>ALMACEN PRINCIPAL</t>
        </is>
      </c>
      <c r="K373" s="23" t="n"/>
      <c r="L373" s="25">
        <f t="array" ref="L373">IF(K373="","",IFERROR(IF(INDEX(Clientes!$D$5:$D$549,MATCH(K373,Clientes!$C$5:$C$549,0))&lt;&gt;"",INDEX(Clientes!$D$5:$D$549,MATCH(K373,Clientes!$C$5:$C$549,0)),TRIM(INDEX(Clientes!$E$5:$E$549,MATCH(K373,Clientes!$C$5:$C$549,0))&amp;" "&amp;INDEX(Clientes!$F$5:$F$549,MATCH(K373,Clientes!$C$5:$C$549,0)))),"NO EXISTE en Clientes"))</f>
        <v/>
      </c>
      <c r="M373" s="17" t="n"/>
      <c r="N373" s="17" t="n"/>
      <c r="O373" s="42" t="n"/>
      <c r="P373" s="39">
        <f>IF(O373&lt;&gt;"",DATE(YEAR(O373)+5,MONTH(O373),1),IF(AND(M373&lt;&gt;"",N373&lt;&gt;""),DATE(M373+5,N373,1),""))</f>
        <v/>
      </c>
      <c r="Q373" s="23" t="n"/>
      <c r="R373" s="17" t="n"/>
      <c r="S373" s="17" t="n"/>
      <c r="T373" s="17" t="n"/>
      <c r="U373" s="17" t="n"/>
      <c r="V373" s="23" t="n"/>
      <c r="W373" s="17" t="n"/>
      <c r="X373" s="17" t="n"/>
      <c r="Y373" s="28">
        <f>IF(B373&lt;&gt;"OK","","SELECT bal_crear_balon(p_codigo_balon =&gt; "&amp;IF(TRIM(C373&amp;"")="","NULL","'"&amp;SUBSTITUTE(TRIM(C373),"'","''")&amp;"'")&amp;", p_id_tipo_balon =&gt; "&amp;"(SELECT id FROM bal_tipo_balon WHERE upper(nombre) = upper('"&amp;SUBSTITUTE(TRIM(D373),"'","''")&amp;"') AND estado = 1 LIMIT 1)"&amp;", p_id_producto_gas =&gt; "&amp;"(SELECT id FROM pro_producto WHERE es_gas = TRUE AND upper(nombre) = upper('"&amp;SUBSTITUTE(TRIM(E373),"'","''")&amp;"') AND estado = 1 LIMIT 1)"&amp;", p_id_propietario =&gt; "&amp;IF(TRIM(F373&amp;"")="","NULL","(SELECT lo.id FROM gen_lista_opciones lo JOIN gen_lista l ON l.id = lo.id_lista WHERE l.nombre = 'PropietarioBalon' AND upper(lo.nombre) = upper('"&amp;SUBSTITUTE(TRIM(F373),"'","''")&amp;"') AND lo.estado = 1 LIMIT 1)")&amp;", p_id_cliente_propietario =&gt; "&amp;IF(F373="CLIENTE",IF(TRIM(G373&amp;"")="","NULL","(SELECT id FROM cli_clientes WHERE numero_documento = '"&amp;SUBSTITUTE(TRIM(G373),"'","''")&amp;"' AND estado = 1 LIMIT 1)"),"NULL")&amp;", p_id_planta =&gt; "&amp;IF(F373="PLANTA",IF(TRIM(G373&amp;"")="","NULL","(SELECT id FROM cli_clientes WHERE numero_documento = '"&amp;SUBSTITUTE(TRIM(G373),"'","''")&amp;"'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"&amp;IF(TRIM(J373&amp;"")="","NULL","(SELECT id FROM gen_almacen WHERE upper(nombre) = upper('"&amp;SUBSTITUTE(TRIM(J373),"'","''")&amp;"') AND estado = 1 LIMIT 1)")&amp;", p_id_cliente_ubicacion =&gt; "&amp;IF(TRIM(K373&amp;"")="","NULL","(SELECT id FROM cli_clientes WHERE numero_documento = '"&amp;SUBSTITUTE(TRIM(K373),"'","''")&amp;"' AND estado = 1 LIMIT 1)")&amp;", p_id_referencia =&gt; "&amp;IF(TRIM(J373&amp;"")&lt;&gt;"","(SELECT lo.id FROM gen_lista_opciones lo JOIN gen_lista l ON l.id = lo.id_lista WHERE l.nombre = 'ReferenciaCilindro' AND upper(lo.nombre) = 'ALMACEN' AND lo.estado = 1 LIMIT 1)",IF(TRIM(K373&amp;"")&lt;&gt;"","(SELECT lo.id FROM gen_lista_opciones lo JOIN gen_lista l ON l.id = lo.id_lista WHERE l.nombre = 'ReferenciaCilindro' AND upper(lo.nombre) = 'CLIENTE' AND lo.estado = 1 LIMIT 1)","NULL"))&amp;", p_anio_fabricacion =&gt; "&amp;IF(M373&amp;""="","NULL::smallint",M373&amp;"::smallint")&amp;", p_mes_fabricacion =&gt; "&amp;IF(N373&amp;""="","NULL::smallint",N373&amp;"::smallint")&amp;", p_fecha_ultima_prueba_hidrostatica =&gt; "&amp;IF(O373&amp;""="","NULL","'"&amp;YEAR(O373)&amp;"-"&amp;TEXT(MONTH(O373),"00")&amp;"-"&amp;TEXT(DAY(O373),"00")&amp;"'")&amp;", p_numero_serie =&gt; "&amp;IF(TRIM(Q373&amp;"")="","NULL","'"&amp;SUBSTITUTE(TRIM(Q373),"'","''")&amp;"'")&amp;", p_id_marca_cilindro =&gt; "&amp;IF(TRIM(R373&amp;"")="","NULL","(SELECT lo.id FROM gen_lista_opciones lo JOIN gen_lista l ON l.id = lo.id_lista WHERE l.nombre = 'MarcaCilindro' AND upper(lo.nombre) = upper('"&amp;SUBSTITUTE(TRIM(R373),"'","''")&amp;"') AND lo.estado = 1 LIMIT 1)")&amp;", p_id_organo_inspector =&gt; "&amp;IF(TRIM(S373&amp;"")="","NULL","(SELECT lo.id FROM gen_lista_opciones lo JOIN gen_lista l ON l.id = lo.id_lista WHERE l.nombre = 'OrganoInspectorCilindro' AND upper(lo.nombre) = upper('"&amp;SUBSTITUTE(TRIM(S373),"'","''")&amp;"') AND lo.estado = 1 LIMIT 1)")&amp;", p_organo_inspector_no_aplica =&gt; "&amp;IF(S373="NO_APLICA","TRUE","FALSE")&amp;", p_presion_actual =&gt; "&amp;IF(T373&amp;""="","NULL",SUBSTITUTE(T373&amp;"",",","."))&amp;", p_tipo_valvula =&gt; "&amp;IF(TRIM(U373&amp;"")="","NULL","'"&amp;SUBSTITUTE(TRIM(U373),"'","''")&amp;"'")&amp;", p_libro_cilindro =&gt; "&amp;IF(TRIM(V373&amp;"")="","NULL","'"&amp;SUBSTITUTE(TRIM(V373),"'","''")&amp;"'")&amp;", p_pagina_libro =&gt; "&amp;IF(W373&amp;""="","NULL",SUBSTITUTE(W373&amp;"",",","."))&amp;", p_observacion =&gt; "&amp;IF(TRIM(X373&amp;"")="","NULL","'"&amp;SUBSTITUTE(TRIM(X373),"'","''")&amp;"'")&amp;") AS resultado_balon_"&amp;ROW()&amp;";")</f>
        <v/>
      </c>
    </row>
    <row r="374" ht="15.75" customHeight="1" s="64">
      <c r="A374" s="36" t="inlineStr">
        <is>
          <t>370</t>
        </is>
      </c>
      <c r="B374" s="25">
        <f>IF(AND(C374="",D374="",E374=""),"",IF(C374="","FALTA código balón",IF(D374="","FALTA tipo balón",IF(E374="","FALTA gas",IF(F374="","FALTA propietario",IF(AND(C374&lt;&gt;"",SUMPRODUCT(--($C$5:$C$1200=C374))&gt;1),"CÓDIGO BALÓN DUPLICADO",IF(AND(OR(UPPER(F374)="PLANTA",UPPER(F374)="CLIENTE"),G374=""),"FALTA doc propietario/planta",IF(AND(UPPER(F374)="PLANTA",G374="10175332796"),"PLANTA no puede ser RUC empresa","OK"))))))))</f>
        <v/>
      </c>
      <c r="C374" s="23" t="inlineStr">
        <is>
          <t>19S205108</t>
        </is>
      </c>
      <c r="D374" s="17" t="inlineStr">
        <is>
          <t>Oxígeno Medicinal 6 m³</t>
        </is>
      </c>
      <c r="E374" s="17" t="inlineStr">
        <is>
          <t>OXIGENO MEDICINAL</t>
        </is>
      </c>
      <c r="F374" s="17" t="inlineStr">
        <is>
          <t>EMPRESA</t>
        </is>
      </c>
      <c r="G374" s="23" t="inlineStr">
        <is>
          <t>10175332796</t>
        </is>
      </c>
      <c r="H374" s="25">
        <f t="array" ref="H374">IF(G374="","",IFERROR(IF(INDEX(Clientes!$D$5:$D$549,MATCH(G374,Clientes!$C$5:$C$549,0))&lt;&gt;"",INDEX(Clientes!$D$5:$D$549,MATCH(G374,Clientes!$C$5:$C$549,0)),TRIM(INDEX(Clientes!$E$5:$E$549,MATCH(G374,Clientes!$C$5:$C$549,0))&amp;" "&amp;INDEX(Clientes!$F$5:$F$549,MATCH(G374,Clientes!$C$5:$C$549,0)))),"NO EXISTE en Clientes"))</f>
        <v/>
      </c>
      <c r="I374" s="17" t="inlineStr">
        <is>
          <t>EN_RECARGA_EXTERNA</t>
        </is>
      </c>
      <c r="J374" s="17" t="n"/>
      <c r="K374" s="26" t="inlineStr">
        <is>
          <t>20536698834</t>
        </is>
      </c>
      <c r="L374" s="25">
        <f t="array" ref="L374">IF(K374="","",IFERROR(IF(INDEX(Clientes!$D$5:$D$549,MATCH(K374,Clientes!$C$5:$C$549,0))&lt;&gt;"",INDEX(Clientes!$D$5:$D$549,MATCH(K374,Clientes!$C$5:$C$549,0)),TRIM(INDEX(Clientes!$E$5:$E$549,MATCH(K374,Clientes!$C$5:$C$549,0))&amp;" "&amp;INDEX(Clientes!$F$5:$F$549,MATCH(K374,Clientes!$C$5:$C$549,0)))),"NO EXISTE en Clientes"))</f>
        <v/>
      </c>
      <c r="M374" s="17" t="n"/>
      <c r="N374" s="17" t="n"/>
      <c r="O374" s="42" t="n"/>
      <c r="P374" s="39">
        <f>IF(O374&lt;&gt;"",DATE(YEAR(O374)+5,MONTH(O374),1),IF(AND(M374&lt;&gt;"",N374&lt;&gt;""),DATE(M374+5,N374,1),""))</f>
        <v/>
      </c>
      <c r="Q374" s="23" t="n"/>
      <c r="R374" s="17" t="n"/>
      <c r="S374" s="17" t="n"/>
      <c r="T374" s="17" t="n"/>
      <c r="U374" s="17" t="n"/>
      <c r="V374" s="23" t="n"/>
      <c r="W374" s="17" t="n"/>
      <c r="X374" s="17" t="n"/>
      <c r="Y374" s="28">
        <f>IF(B374&lt;&gt;"OK","","SELECT bal_crear_balon(p_codigo_balon =&gt; "&amp;IF(TRIM(C374&amp;"")="","NULL","'"&amp;SUBSTITUTE(TRIM(C374),"'","''")&amp;"'")&amp;", p_id_tipo_balon =&gt; "&amp;"(SELECT id FROM bal_tipo_balon WHERE upper(nombre) = upper('"&amp;SUBSTITUTE(TRIM(D374),"'","''")&amp;"') AND estado = 1 LIMIT 1)"&amp;", p_id_producto_gas =&gt; "&amp;"(SELECT id FROM pro_producto WHERE es_gas = TRUE AND upper(nombre) = upper('"&amp;SUBSTITUTE(TRIM(E374),"'","''")&amp;"') AND estado = 1 LIMIT 1)"&amp;", p_id_propietario =&gt; "&amp;IF(TRIM(F374&amp;"")="","NULL","(SELECT lo.id FROM gen_lista_opciones lo JOIN gen_lista l ON l.id = lo.id_lista WHERE l.nombre = 'PropietarioBalon' AND upper(lo.nombre) = upper('"&amp;SUBSTITUTE(TRIM(F374),"'","''")&amp;"') AND lo.estado = 1 LIMIT 1)")&amp;", p_id_cliente_propietario =&gt; "&amp;IF(F374="CLIENTE",IF(TRIM(G374&amp;"")="","NULL","(SELECT id FROM cli_clientes WHERE numero_documento = '"&amp;SUBSTITUTE(TRIM(G374),"'","''")&amp;"' AND estado = 1 LIMIT 1)"),"NULL")&amp;", p_id_planta =&gt; "&amp;IF(F374="PLANTA",IF(TRIM(G374&amp;"")="","NULL","(SELECT id FROM cli_clientes WHERE numero_documento = '"&amp;SUBSTITUTE(TRIM(G374),"'","''")&amp;"'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"&amp;IF(TRIM(J374&amp;"")="","NULL","(SELECT id FROM gen_almacen WHERE upper(nombre) = upper('"&amp;SUBSTITUTE(TRIM(J374),"'","''")&amp;"') AND estado = 1 LIMIT 1)")&amp;", p_id_cliente_ubicacion =&gt; "&amp;IF(TRIM(K374&amp;"")="","NULL","(SELECT id FROM cli_clientes WHERE numero_documento = '"&amp;SUBSTITUTE(TRIM(K374),"'","''")&amp;"' AND estado = 1 LIMIT 1)")&amp;", p_id_referencia =&gt; "&amp;IF(TRIM(J374&amp;"")&lt;&gt;"","(SELECT lo.id FROM gen_lista_opciones lo JOIN gen_lista l ON l.id = lo.id_lista WHERE l.nombre = 'ReferenciaCilindro' AND upper(lo.nombre) = 'ALMACEN' AND lo.estado = 1 LIMIT 1)",IF(TRIM(K374&amp;"")&lt;&gt;"","(SELECT lo.id FROM gen_lista_opciones lo JOIN gen_lista l ON l.id = lo.id_lista WHERE l.nombre = 'ReferenciaCilindro' AND upper(lo.nombre) = 'CLIENTE' AND lo.estado = 1 LIMIT 1)","NULL"))&amp;", p_anio_fabricacion =&gt; "&amp;IF(M374&amp;""="","NULL::smallint",M374&amp;"::smallint")&amp;", p_mes_fabricacion =&gt; "&amp;IF(N374&amp;""="","NULL::smallint",N374&amp;"::smallint")&amp;", p_fecha_ultima_prueba_hidrostatica =&gt; "&amp;IF(O374&amp;""="","NULL","'"&amp;YEAR(O374)&amp;"-"&amp;TEXT(MONTH(O374),"00")&amp;"-"&amp;TEXT(DAY(O374),"00")&amp;"'")&amp;", p_numero_serie =&gt; "&amp;IF(TRIM(Q374&amp;"")="","NULL","'"&amp;SUBSTITUTE(TRIM(Q374),"'","''")&amp;"'")&amp;", p_id_marca_cilindro =&gt; "&amp;IF(TRIM(R374&amp;"")="","NULL","(SELECT lo.id FROM gen_lista_opciones lo JOIN gen_lista l ON l.id = lo.id_lista WHERE l.nombre = 'MarcaCilindro' AND upper(lo.nombre) = upper('"&amp;SUBSTITUTE(TRIM(R374),"'","''")&amp;"') AND lo.estado = 1 LIMIT 1)")&amp;", p_id_organo_inspector =&gt; "&amp;IF(TRIM(S374&amp;"")="","NULL","(SELECT lo.id FROM gen_lista_opciones lo JOIN gen_lista l ON l.id = lo.id_lista WHERE l.nombre = 'OrganoInspectorCilindro' AND upper(lo.nombre) = upper('"&amp;SUBSTITUTE(TRIM(S374),"'","''")&amp;"') AND lo.estado = 1 LIMIT 1)")&amp;", p_organo_inspector_no_aplica =&gt; "&amp;IF(S374="NO_APLICA","TRUE","FALSE")&amp;", p_presion_actual =&gt; "&amp;IF(T374&amp;""="","NULL",SUBSTITUTE(T374&amp;"",",","."))&amp;", p_tipo_valvula =&gt; "&amp;IF(TRIM(U374&amp;"")="","NULL","'"&amp;SUBSTITUTE(TRIM(U374),"'","''")&amp;"'")&amp;", p_libro_cilindro =&gt; "&amp;IF(TRIM(V374&amp;"")="","NULL","'"&amp;SUBSTITUTE(TRIM(V374),"'","''")&amp;"'")&amp;", p_pagina_libro =&gt; "&amp;IF(W374&amp;""="","NULL",SUBSTITUTE(W374&amp;"",",","."))&amp;", p_observacion =&gt; "&amp;IF(TRIM(X374&amp;"")="","NULL","'"&amp;SUBSTITUTE(TRIM(X374),"'","''")&amp;"'")&amp;") AS resultado_balon_"&amp;ROW()&amp;";")</f>
        <v/>
      </c>
    </row>
    <row r="375" ht="15.75" customHeight="1" s="64">
      <c r="A375" s="36" t="inlineStr">
        <is>
          <t>371</t>
        </is>
      </c>
      <c r="B375" s="25">
        <f>IF(AND(C375="",D375="",E375=""),"",IF(C375="","FALTA código balón",IF(D375="","FALTA tipo balón",IF(E375="","FALTA gas",IF(F375="","FALTA propietario",IF(AND(C375&lt;&gt;"",SUMPRODUCT(--($C$5:$C$1200=C375))&gt;1),"CÓDIGO BALÓN DUPLICADO",IF(AND(OR(UPPER(F375)="PLANTA",UPPER(F375)="CLIENTE"),G375=""),"FALTA doc propietario/planta",IF(AND(UPPER(F375)="PLANTA",G375="10175332796"),"PLANTA no puede ser RUC empresa","OK"))))))))</f>
        <v/>
      </c>
      <c r="C375" s="23" t="inlineStr">
        <is>
          <t>149385</t>
        </is>
      </c>
      <c r="D375" s="17" t="inlineStr">
        <is>
          <t>Oxigeno Industrial 3 m³</t>
        </is>
      </c>
      <c r="E375" s="17" t="inlineStr">
        <is>
          <t>OXIGENO INDUSTRIAL</t>
        </is>
      </c>
      <c r="F375" s="17" t="inlineStr">
        <is>
          <t>EMPRESA</t>
        </is>
      </c>
      <c r="G375" s="23" t="inlineStr">
        <is>
          <t>10175332796</t>
        </is>
      </c>
      <c r="H375" s="25">
        <f t="array" ref="H375">IF(G375="","",IFERROR(IF(INDEX(Clientes!$D$5:$D$549,MATCH(G375,Clientes!$C$5:$C$549,0))&lt;&gt;"",INDEX(Clientes!$D$5:$D$549,MATCH(G375,Clientes!$C$5:$C$549,0)),TRIM(INDEX(Clientes!$E$5:$E$549,MATCH(G375,Clientes!$C$5:$C$549,0))&amp;" "&amp;INDEX(Clientes!$F$5:$F$549,MATCH(G375,Clientes!$C$5:$C$549,0)))),"NO EXISTE en Clientes"))</f>
        <v/>
      </c>
      <c r="I375" s="17" t="inlineStr">
        <is>
          <t>DISPONIBLE</t>
        </is>
      </c>
      <c r="J375" s="17" t="inlineStr">
        <is>
          <t>ALMACEN PRINCIPAL</t>
        </is>
      </c>
      <c r="K375" s="23" t="n"/>
      <c r="L375" s="25">
        <f t="array" ref="L375">IF(K375="","",IFERROR(IF(INDEX(Clientes!$D$5:$D$549,MATCH(K375,Clientes!$C$5:$C$549,0))&lt;&gt;"",INDEX(Clientes!$D$5:$D$549,MATCH(K375,Clientes!$C$5:$C$549,0)),TRIM(INDEX(Clientes!$E$5:$E$549,MATCH(K375,Clientes!$C$5:$C$549,0))&amp;" "&amp;INDEX(Clientes!$F$5:$F$549,MATCH(K375,Clientes!$C$5:$C$549,0)))),"NO EXISTE en Clientes"))</f>
        <v/>
      </c>
      <c r="M375" s="17" t="n"/>
      <c r="N375" s="17" t="n"/>
      <c r="O375" s="42" t="n"/>
      <c r="P375" s="39">
        <f>IF(O375&lt;&gt;"",DATE(YEAR(O375)+5,MONTH(O375),1),IF(AND(M375&lt;&gt;"",N375&lt;&gt;""),DATE(M375+5,N375,1),""))</f>
        <v/>
      </c>
      <c r="Q375" s="23" t="n"/>
      <c r="R375" s="17" t="n"/>
      <c r="S375" s="17" t="n"/>
      <c r="T375" s="17" t="n"/>
      <c r="U375" s="17" t="n"/>
      <c r="V375" s="23" t="n"/>
      <c r="W375" s="17" t="n"/>
      <c r="X375" s="17" t="n"/>
      <c r="Y375" s="28">
        <f>IF(B375&lt;&gt;"OK","","SELECT bal_crear_balon(p_codigo_balon =&gt; "&amp;IF(TRIM(C375&amp;"")="","NULL","'"&amp;SUBSTITUTE(TRIM(C375),"'","''")&amp;"'")&amp;", p_id_tipo_balon =&gt; "&amp;"(SELECT id FROM bal_tipo_balon WHERE upper(nombre) = upper('"&amp;SUBSTITUTE(TRIM(D375),"'","''")&amp;"') AND estado = 1 LIMIT 1)"&amp;", p_id_producto_gas =&gt; "&amp;"(SELECT id FROM pro_producto WHERE es_gas = TRUE AND upper(nombre) = upper('"&amp;SUBSTITUTE(TRIM(E375),"'","''")&amp;"') AND estado = 1 LIMIT 1)"&amp;", p_id_propietario =&gt; "&amp;IF(TRIM(F375&amp;"")="","NULL","(SELECT lo.id FROM gen_lista_opciones lo JOIN gen_lista l ON l.id = lo.id_lista WHERE l.nombre = 'PropietarioBalon' AND upper(lo.nombre) = upper('"&amp;SUBSTITUTE(TRIM(F375),"'","''")&amp;"') AND lo.estado = 1 LIMIT 1)")&amp;", p_id_cliente_propietario =&gt; "&amp;IF(F375="CLIENTE",IF(TRIM(G375&amp;"")="","NULL","(SELECT id FROM cli_clientes WHERE numero_documento = '"&amp;SUBSTITUTE(TRIM(G375),"'","''")&amp;"' AND estado = 1 LIMIT 1)"),"NULL")&amp;", p_id_planta =&gt; "&amp;IF(F375="PLANTA",IF(TRIM(G375&amp;"")="","NULL","(SELECT id FROM cli_clientes WHERE numero_documento = '"&amp;SUBSTITUTE(TRIM(G375),"'","''")&amp;"'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"&amp;IF(TRIM(J375&amp;"")="","NULL","(SELECT id FROM gen_almacen WHERE upper(nombre) = upper('"&amp;SUBSTITUTE(TRIM(J375),"'","''")&amp;"') AND estado = 1 LIMIT 1)")&amp;", p_id_cliente_ubicacion =&gt; "&amp;IF(TRIM(K375&amp;"")="","NULL","(SELECT id FROM cli_clientes WHERE numero_documento = '"&amp;SUBSTITUTE(TRIM(K375),"'","''")&amp;"' AND estado = 1 LIMIT 1)")&amp;", p_id_referencia =&gt; "&amp;IF(TRIM(J375&amp;"")&lt;&gt;"","(SELECT lo.id FROM gen_lista_opciones lo JOIN gen_lista l ON l.id = lo.id_lista WHERE l.nombre = 'ReferenciaCilindro' AND upper(lo.nombre) = 'ALMACEN' AND lo.estado = 1 LIMIT 1)",IF(TRIM(K375&amp;"")&lt;&gt;"","(SELECT lo.id FROM gen_lista_opciones lo JOIN gen_lista l ON l.id = lo.id_lista WHERE l.nombre = 'ReferenciaCilindro' AND upper(lo.nombre) = 'CLIENTE' AND lo.estado = 1 LIMIT 1)","NULL"))&amp;", p_anio_fabricacion =&gt; "&amp;IF(M375&amp;""="","NULL::smallint",M375&amp;"::smallint")&amp;", p_mes_fabricacion =&gt; "&amp;IF(N375&amp;""="","NULL::smallint",N375&amp;"::smallint")&amp;", p_fecha_ultima_prueba_hidrostatica =&gt; "&amp;IF(O375&amp;""="","NULL","'"&amp;YEAR(O375)&amp;"-"&amp;TEXT(MONTH(O375),"00")&amp;"-"&amp;TEXT(DAY(O375),"00")&amp;"'")&amp;", p_numero_serie =&gt; "&amp;IF(TRIM(Q375&amp;"")="","NULL","'"&amp;SUBSTITUTE(TRIM(Q375),"'","''")&amp;"'")&amp;", p_id_marca_cilindro =&gt; "&amp;IF(TRIM(R375&amp;"")="","NULL","(SELECT lo.id FROM gen_lista_opciones lo JOIN gen_lista l ON l.id = lo.id_lista WHERE l.nombre = 'MarcaCilindro' AND upper(lo.nombre) = upper('"&amp;SUBSTITUTE(TRIM(R375),"'","''")&amp;"') AND lo.estado = 1 LIMIT 1)")&amp;", p_id_organo_inspector =&gt; "&amp;IF(TRIM(S375&amp;"")="","NULL","(SELECT lo.id FROM gen_lista_opciones lo JOIN gen_lista l ON l.id = lo.id_lista WHERE l.nombre = 'OrganoInspectorCilindro' AND upper(lo.nombre) = upper('"&amp;SUBSTITUTE(TRIM(S375),"'","''")&amp;"') AND lo.estado = 1 LIMIT 1)")&amp;", p_organo_inspector_no_aplica =&gt; "&amp;IF(S375="NO_APLICA","TRUE","FALSE")&amp;", p_presion_actual =&gt; "&amp;IF(T375&amp;""="","NULL",SUBSTITUTE(T375&amp;"",",","."))&amp;", p_tipo_valvula =&gt; "&amp;IF(TRIM(U375&amp;"")="","NULL","'"&amp;SUBSTITUTE(TRIM(U375),"'","''")&amp;"'")&amp;", p_libro_cilindro =&gt; "&amp;IF(TRIM(V375&amp;"")="","NULL","'"&amp;SUBSTITUTE(TRIM(V375),"'","''")&amp;"'")&amp;", p_pagina_libro =&gt; "&amp;IF(W375&amp;""="","NULL",SUBSTITUTE(W375&amp;"",",","."))&amp;", p_observacion =&gt; "&amp;IF(TRIM(X375&amp;"")="","NULL","'"&amp;SUBSTITUTE(TRIM(X375),"'","''")&amp;"'")&amp;") AS resultado_balon_"&amp;ROW()&amp;";")</f>
        <v/>
      </c>
    </row>
    <row r="376" ht="15.75" customHeight="1" s="64">
      <c r="A376" s="36" t="inlineStr">
        <is>
          <t>372</t>
        </is>
      </c>
      <c r="B376" s="25">
        <f>IF(AND(C376="",D376="",E376=""),"",IF(C376="","FALTA código balón",IF(D376="","FALTA tipo balón",IF(E376="","FALTA gas",IF(F376="","FALTA propietario",IF(AND(C376&lt;&gt;"",SUMPRODUCT(--($C$5:$C$1200=C376))&gt;1),"CÓDIGO BALÓN DUPLICADO",IF(AND(OR(UPPER(F376)="PLANTA",UPPER(F376)="CLIENTE"),G376=""),"FALTA doc propietario/planta",IF(AND(UPPER(F376)="PLANTA",G376="10175332796"),"PLANTA no puede ser RUC empresa","OK"))))))))</f>
        <v/>
      </c>
      <c r="C376" s="23" t="inlineStr">
        <is>
          <t>GTA048048</t>
        </is>
      </c>
      <c r="D376" s="17" t="inlineStr">
        <is>
          <t>Oxigeno Industrial 3 m³</t>
        </is>
      </c>
      <c r="E376" s="17" t="inlineStr">
        <is>
          <t>OXIGENO INDUSTRIAL</t>
        </is>
      </c>
      <c r="F376" s="17" t="inlineStr">
        <is>
          <t>EMPRESA</t>
        </is>
      </c>
      <c r="G376" s="23" t="inlineStr">
        <is>
          <t>10175332796</t>
        </is>
      </c>
      <c r="H376" s="25">
        <f t="array" ref="H376">IF(G376="","",IFERROR(IF(INDEX(Clientes!$D$5:$D$549,MATCH(G376,Clientes!$C$5:$C$549,0))&lt;&gt;"",INDEX(Clientes!$D$5:$D$549,MATCH(G376,Clientes!$C$5:$C$549,0)),TRIM(INDEX(Clientes!$E$5:$E$549,MATCH(G376,Clientes!$C$5:$C$549,0))&amp;" "&amp;INDEX(Clientes!$F$5:$F$549,MATCH(G376,Clientes!$C$5:$C$549,0)))),"NO EXISTE en Clientes"))</f>
        <v/>
      </c>
      <c r="I376" s="17" t="inlineStr">
        <is>
          <t>DISPONIBLE</t>
        </is>
      </c>
      <c r="J376" s="17" t="inlineStr">
        <is>
          <t>ALMACEN PRINCIPAL</t>
        </is>
      </c>
      <c r="K376" s="23" t="n"/>
      <c r="L376" s="25">
        <f t="array" ref="L376">IF(K376="","",IFERROR(IF(INDEX(Clientes!$D$5:$D$549,MATCH(K376,Clientes!$C$5:$C$549,0))&lt;&gt;"",INDEX(Clientes!$D$5:$D$549,MATCH(K376,Clientes!$C$5:$C$549,0)),TRIM(INDEX(Clientes!$E$5:$E$549,MATCH(K376,Clientes!$C$5:$C$549,0))&amp;" "&amp;INDEX(Clientes!$F$5:$F$549,MATCH(K376,Clientes!$C$5:$C$549,0)))),"NO EXISTE en Clientes"))</f>
        <v/>
      </c>
      <c r="M376" s="17" t="n"/>
      <c r="N376" s="17" t="n"/>
      <c r="O376" s="42" t="n"/>
      <c r="P376" s="39">
        <f>IF(O376&lt;&gt;"",DATE(YEAR(O376)+5,MONTH(O376),1),IF(AND(M376&lt;&gt;"",N376&lt;&gt;""),DATE(M376+5,N376,1),""))</f>
        <v/>
      </c>
      <c r="Q376" s="23" t="n"/>
      <c r="R376" s="17" t="n"/>
      <c r="S376" s="17" t="n"/>
      <c r="T376" s="17" t="n"/>
      <c r="U376" s="17" t="n"/>
      <c r="V376" s="23" t="n"/>
      <c r="W376" s="17" t="n"/>
      <c r="X376" s="17" t="n"/>
      <c r="Y376" s="28">
        <f>IF(B376&lt;&gt;"OK","","SELECT bal_crear_balon(p_codigo_balon =&gt; "&amp;IF(TRIM(C376&amp;"")="","NULL","'"&amp;SUBSTITUTE(TRIM(C376),"'","''")&amp;"'")&amp;", p_id_tipo_balon =&gt; "&amp;"(SELECT id FROM bal_tipo_balon WHERE upper(nombre) = upper('"&amp;SUBSTITUTE(TRIM(D376),"'","''")&amp;"') AND estado = 1 LIMIT 1)"&amp;", p_id_producto_gas =&gt; "&amp;"(SELECT id FROM pro_producto WHERE es_gas = TRUE AND upper(nombre) = upper('"&amp;SUBSTITUTE(TRIM(E376),"'","''")&amp;"') AND estado = 1 LIMIT 1)"&amp;", p_id_propietario =&gt; "&amp;IF(TRIM(F376&amp;"")="","NULL","(SELECT lo.id FROM gen_lista_opciones lo JOIN gen_lista l ON l.id = lo.id_lista WHERE l.nombre = 'PropietarioBalon' AND upper(lo.nombre) = upper('"&amp;SUBSTITUTE(TRIM(F376),"'","''")&amp;"') AND lo.estado = 1 LIMIT 1)")&amp;", p_id_cliente_propietario =&gt; "&amp;IF(F376="CLIENTE",IF(TRIM(G376&amp;"")="","NULL","(SELECT id FROM cli_clientes WHERE numero_documento = '"&amp;SUBSTITUTE(TRIM(G376),"'","''")&amp;"' AND estado = 1 LIMIT 1)"),"NULL")&amp;", p_id_planta =&gt; "&amp;IF(F376="PLANTA",IF(TRIM(G376&amp;"")="","NULL","(SELECT id FROM cli_clientes WHERE numero_documento = '"&amp;SUBSTITUTE(TRIM(G376),"'","''")&amp;"'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"&amp;IF(TRIM(J376&amp;"")="","NULL","(SELECT id FROM gen_almacen WHERE upper(nombre) = upper('"&amp;SUBSTITUTE(TRIM(J376),"'","''")&amp;"') AND estado = 1 LIMIT 1)")&amp;", p_id_cliente_ubicacion =&gt; "&amp;IF(TRIM(K376&amp;"")="","NULL","(SELECT id FROM cli_clientes WHERE numero_documento = '"&amp;SUBSTITUTE(TRIM(K376),"'","''")&amp;"' AND estado = 1 LIMIT 1)")&amp;", p_id_referencia =&gt; "&amp;IF(TRIM(J376&amp;"")&lt;&gt;"","(SELECT lo.id FROM gen_lista_opciones lo JOIN gen_lista l ON l.id = lo.id_lista WHERE l.nombre = 'ReferenciaCilindro' AND upper(lo.nombre) = 'ALMACEN' AND lo.estado = 1 LIMIT 1)",IF(TRIM(K376&amp;"")&lt;&gt;"","(SELECT lo.id FROM gen_lista_opciones lo JOIN gen_lista l ON l.id = lo.id_lista WHERE l.nombre = 'ReferenciaCilindro' AND upper(lo.nombre) = 'CLIENTE' AND lo.estado = 1 LIMIT 1)","NULL"))&amp;", p_anio_fabricacion =&gt; "&amp;IF(M376&amp;""="","NULL::smallint",M376&amp;"::smallint")&amp;", p_mes_fabricacion =&gt; "&amp;IF(N376&amp;""="","NULL::smallint",N376&amp;"::smallint")&amp;", p_fecha_ultima_prueba_hidrostatica =&gt; "&amp;IF(O376&amp;""="","NULL","'"&amp;YEAR(O376)&amp;"-"&amp;TEXT(MONTH(O376),"00")&amp;"-"&amp;TEXT(DAY(O376),"00")&amp;"'")&amp;", p_numero_serie =&gt; "&amp;IF(TRIM(Q376&amp;"")="","NULL","'"&amp;SUBSTITUTE(TRIM(Q376),"'","''")&amp;"'")&amp;", p_id_marca_cilindro =&gt; "&amp;IF(TRIM(R376&amp;"")="","NULL","(SELECT lo.id FROM gen_lista_opciones lo JOIN gen_lista l ON l.id = lo.id_lista WHERE l.nombre = 'MarcaCilindro' AND upper(lo.nombre) = upper('"&amp;SUBSTITUTE(TRIM(R376),"'","''")&amp;"') AND lo.estado = 1 LIMIT 1)")&amp;", p_id_organo_inspector =&gt; "&amp;IF(TRIM(S376&amp;"")="","NULL","(SELECT lo.id FROM gen_lista_opciones lo JOIN gen_lista l ON l.id = lo.id_lista WHERE l.nombre = 'OrganoInspectorCilindro' AND upper(lo.nombre) = upper('"&amp;SUBSTITUTE(TRIM(S376),"'","''")&amp;"') AND lo.estado = 1 LIMIT 1)")&amp;", p_organo_inspector_no_aplica =&gt; "&amp;IF(S376="NO_APLICA","TRUE","FALSE")&amp;", p_presion_actual =&gt; "&amp;IF(T376&amp;""="","NULL",SUBSTITUTE(T376&amp;"",",","."))&amp;", p_tipo_valvula =&gt; "&amp;IF(TRIM(U376&amp;"")="","NULL","'"&amp;SUBSTITUTE(TRIM(U376),"'","''")&amp;"'")&amp;", p_libro_cilindro =&gt; "&amp;IF(TRIM(V376&amp;"")="","NULL","'"&amp;SUBSTITUTE(TRIM(V376),"'","''")&amp;"'")&amp;", p_pagina_libro =&gt; "&amp;IF(W376&amp;""="","NULL",SUBSTITUTE(W376&amp;"",",","."))&amp;", p_observacion =&gt; "&amp;IF(TRIM(X376&amp;"")="","NULL","'"&amp;SUBSTITUTE(TRIM(X376),"'","''")&amp;"'")&amp;") AS resultado_balon_"&amp;ROW()&amp;";")</f>
        <v/>
      </c>
    </row>
    <row r="377" ht="15.75" customHeight="1" s="64">
      <c r="A377" s="36" t="inlineStr">
        <is>
          <t>373</t>
        </is>
      </c>
      <c r="B377" s="25">
        <f>IF(AND(C377="",D377="",E377=""),"",IF(C377="","FALTA código balón",IF(D377="","FALTA tipo balón",IF(E377="","FALTA gas",IF(F377="","FALTA propietario",IF(AND(C377&lt;&gt;"",SUMPRODUCT(--($C$5:$C$1200=C377))&gt;1),"CÓDIGO BALÓN DUPLICADO",IF(AND(OR(UPPER(F377)="PLANTA",UPPER(F377)="CLIENTE"),G377=""),"FALTA doc propietario/planta",IF(AND(UPPER(F377)="PLANTA",G377="10175332796"),"PLANTA no puede ser RUC empresa","OK"))))))))</f>
        <v/>
      </c>
      <c r="C377" s="23" t="inlineStr">
        <is>
          <t>20S290094</t>
        </is>
      </c>
      <c r="D377" s="17" t="inlineStr">
        <is>
          <t>Oxígeno Medicinal 6 m³</t>
        </is>
      </c>
      <c r="E377" s="17" t="inlineStr">
        <is>
          <t>OXIGENO MEDICINAL</t>
        </is>
      </c>
      <c r="F377" s="17" t="inlineStr">
        <is>
          <t>EMPRESA</t>
        </is>
      </c>
      <c r="G377" s="23" t="inlineStr">
        <is>
          <t>10175332796</t>
        </is>
      </c>
      <c r="H377" s="25">
        <f t="array" ref="H377">IF(G377="","",IFERROR(IF(INDEX(Clientes!$D$5:$D$549,MATCH(G377,Clientes!$C$5:$C$549,0))&lt;&gt;"",INDEX(Clientes!$D$5:$D$549,MATCH(G377,Clientes!$C$5:$C$549,0)),TRIM(INDEX(Clientes!$E$5:$E$549,MATCH(G377,Clientes!$C$5:$C$549,0))&amp;" "&amp;INDEX(Clientes!$F$5:$F$549,MATCH(G377,Clientes!$C$5:$C$549,0)))),"NO EXISTE en Clientes"))</f>
        <v/>
      </c>
      <c r="I377" s="17" t="inlineStr">
        <is>
          <t>EN_RECARGA_EXTERNA</t>
        </is>
      </c>
      <c r="J377" s="17" t="n"/>
      <c r="K377" s="26" t="inlineStr">
        <is>
          <t>20536698834</t>
        </is>
      </c>
      <c r="L377" s="25">
        <f t="array" ref="L377">IF(K377="","",IFERROR(IF(INDEX(Clientes!$D$5:$D$549,MATCH(K377,Clientes!$C$5:$C$549,0))&lt;&gt;"",INDEX(Clientes!$D$5:$D$549,MATCH(K377,Clientes!$C$5:$C$549,0)),TRIM(INDEX(Clientes!$E$5:$E$549,MATCH(K377,Clientes!$C$5:$C$549,0))&amp;" "&amp;INDEX(Clientes!$F$5:$F$549,MATCH(K377,Clientes!$C$5:$C$549,0)))),"NO EXISTE en Clientes"))</f>
        <v/>
      </c>
      <c r="M377" s="17" t="n"/>
      <c r="N377" s="17" t="n"/>
      <c r="O377" s="42" t="n"/>
      <c r="P377" s="39">
        <f>IF(O377&lt;&gt;"",DATE(YEAR(O377)+5,MONTH(O377),1),IF(AND(M377&lt;&gt;"",N377&lt;&gt;""),DATE(M377+5,N377,1),""))</f>
        <v/>
      </c>
      <c r="Q377" s="23" t="n"/>
      <c r="R377" s="17" t="n"/>
      <c r="S377" s="17" t="n"/>
      <c r="T377" s="17" t="n"/>
      <c r="U377" s="17" t="n"/>
      <c r="V377" s="23" t="n"/>
      <c r="W377" s="17" t="n"/>
      <c r="X377" s="17" t="n"/>
      <c r="Y377" s="28">
        <f>IF(B377&lt;&gt;"OK","","SELECT bal_crear_balon(p_codigo_balon =&gt; "&amp;IF(TRIM(C377&amp;"")="","NULL","'"&amp;SUBSTITUTE(TRIM(C377),"'","''")&amp;"'")&amp;", p_id_tipo_balon =&gt; "&amp;"(SELECT id FROM bal_tipo_balon WHERE upper(nombre) = upper('"&amp;SUBSTITUTE(TRIM(D377),"'","''")&amp;"') AND estado = 1 LIMIT 1)"&amp;", p_id_producto_gas =&gt; "&amp;"(SELECT id FROM pro_producto WHERE es_gas = TRUE AND upper(nombre) = upper('"&amp;SUBSTITUTE(TRIM(E377),"'","''")&amp;"') AND estado = 1 LIMIT 1)"&amp;", p_id_propietario =&gt; "&amp;IF(TRIM(F377&amp;"")="","NULL","(SELECT lo.id FROM gen_lista_opciones lo JOIN gen_lista l ON l.id = lo.id_lista WHERE l.nombre = 'PropietarioBalon' AND upper(lo.nombre) = upper('"&amp;SUBSTITUTE(TRIM(F377),"'","''")&amp;"') AND lo.estado = 1 LIMIT 1)")&amp;", p_id_cliente_propietario =&gt; "&amp;IF(F377="CLIENTE",IF(TRIM(G377&amp;"")="","NULL","(SELECT id FROM cli_clientes WHERE numero_documento = '"&amp;SUBSTITUTE(TRIM(G377),"'","''")&amp;"' AND estado = 1 LIMIT 1)"),"NULL")&amp;", p_id_planta =&gt; "&amp;IF(F377="PLANTA",IF(TRIM(G377&amp;"")="","NULL","(SELECT id FROM cli_clientes WHERE numero_documento = '"&amp;SUBSTITUTE(TRIM(G377),"'","''")&amp;"'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"&amp;IF(TRIM(J377&amp;"")="","NULL","(SELECT id FROM gen_almacen WHERE upper(nombre) = upper('"&amp;SUBSTITUTE(TRIM(J377),"'","''")&amp;"') AND estado = 1 LIMIT 1)")&amp;", p_id_cliente_ubicacion =&gt; "&amp;IF(TRIM(K377&amp;"")="","NULL","(SELECT id FROM cli_clientes WHERE numero_documento = '"&amp;SUBSTITUTE(TRIM(K377),"'","''")&amp;"' AND estado = 1 LIMIT 1)")&amp;", p_id_referencia =&gt; "&amp;IF(TRIM(J377&amp;"")&lt;&gt;"","(SELECT lo.id FROM gen_lista_opciones lo JOIN gen_lista l ON l.id = lo.id_lista WHERE l.nombre = 'ReferenciaCilindro' AND upper(lo.nombre) = 'ALMACEN' AND lo.estado = 1 LIMIT 1)",IF(TRIM(K377&amp;"")&lt;&gt;"","(SELECT lo.id FROM gen_lista_opciones lo JOIN gen_lista l ON l.id = lo.id_lista WHERE l.nombre = 'ReferenciaCilindro' AND upper(lo.nombre) = 'CLIENTE' AND lo.estado = 1 LIMIT 1)","NULL"))&amp;", p_anio_fabricacion =&gt; "&amp;IF(M377&amp;""="","NULL::smallint",M377&amp;"::smallint")&amp;", p_mes_fabricacion =&gt; "&amp;IF(N377&amp;""="","NULL::smallint",N377&amp;"::smallint")&amp;", p_fecha_ultima_prueba_hidrostatica =&gt; "&amp;IF(O377&amp;""="","NULL","'"&amp;YEAR(O377)&amp;"-"&amp;TEXT(MONTH(O377),"00")&amp;"-"&amp;TEXT(DAY(O377),"00")&amp;"'")&amp;", p_numero_serie =&gt; "&amp;IF(TRIM(Q377&amp;"")="","NULL","'"&amp;SUBSTITUTE(TRIM(Q377),"'","''")&amp;"'")&amp;", p_id_marca_cilindro =&gt; "&amp;IF(TRIM(R377&amp;"")="","NULL","(SELECT lo.id FROM gen_lista_opciones lo JOIN gen_lista l ON l.id = lo.id_lista WHERE l.nombre = 'MarcaCilindro' AND upper(lo.nombre) = upper('"&amp;SUBSTITUTE(TRIM(R377),"'","''")&amp;"') AND lo.estado = 1 LIMIT 1)")&amp;", p_id_organo_inspector =&gt; "&amp;IF(TRIM(S377&amp;"")="","NULL","(SELECT lo.id FROM gen_lista_opciones lo JOIN gen_lista l ON l.id = lo.id_lista WHERE l.nombre = 'OrganoInspectorCilindro' AND upper(lo.nombre) = upper('"&amp;SUBSTITUTE(TRIM(S377),"'","''")&amp;"') AND lo.estado = 1 LIMIT 1)")&amp;", p_organo_inspector_no_aplica =&gt; "&amp;IF(S377="NO_APLICA","TRUE","FALSE")&amp;", p_presion_actual =&gt; "&amp;IF(T377&amp;""="","NULL",SUBSTITUTE(T377&amp;"",",","."))&amp;", p_tipo_valvula =&gt; "&amp;IF(TRIM(U377&amp;"")="","NULL","'"&amp;SUBSTITUTE(TRIM(U377),"'","''")&amp;"'")&amp;", p_libro_cilindro =&gt; "&amp;IF(TRIM(V377&amp;"")="","NULL","'"&amp;SUBSTITUTE(TRIM(V377),"'","''")&amp;"'")&amp;", p_pagina_libro =&gt; "&amp;IF(W377&amp;""="","NULL",SUBSTITUTE(W377&amp;"",",","."))&amp;", p_observacion =&gt; "&amp;IF(TRIM(X377&amp;"")="","NULL","'"&amp;SUBSTITUTE(TRIM(X377),"'","''")&amp;"'")&amp;") AS resultado_balon_"&amp;ROW()&amp;";")</f>
        <v/>
      </c>
    </row>
    <row r="378" ht="15.75" customHeight="1" s="64">
      <c r="A378" s="36" t="inlineStr">
        <is>
          <t>374</t>
        </is>
      </c>
      <c r="B378" s="25">
        <f>IF(AND(C378="",D378="",E378=""),"",IF(C378="","FALTA código balón",IF(D378="","FALTA tipo balón",IF(E378="","FALTA gas",IF(F378="","FALTA propietario",IF(AND(C378&lt;&gt;"",SUMPRODUCT(--($C$5:$C$1200=C378))&gt;1),"CÓDIGO BALÓN DUPLICADO",IF(AND(OR(UPPER(F378)="PLANTA",UPPER(F378)="CLIENTE"),G378=""),"FALTA doc propietario/planta",IF(AND(UPPER(F378)="PLANTA",G378="10175332796"),"PLANTA no puede ser RUC empresa","OK"))))))))</f>
        <v/>
      </c>
      <c r="C378" s="23" t="inlineStr">
        <is>
          <t>19S207078</t>
        </is>
      </c>
      <c r="D378" s="17" t="inlineStr">
        <is>
          <t>Oxígeno Medicinal 6 m³</t>
        </is>
      </c>
      <c r="E378" s="17" t="inlineStr">
        <is>
          <t>OXIGENO MEDICINAL</t>
        </is>
      </c>
      <c r="F378" s="17" t="inlineStr">
        <is>
          <t>EMPRESA</t>
        </is>
      </c>
      <c r="G378" s="23" t="inlineStr">
        <is>
          <t>10175332796</t>
        </is>
      </c>
      <c r="H378" s="25">
        <f t="array" ref="H378">IF(G378="","",IFERROR(IF(INDEX(Clientes!$D$5:$D$549,MATCH(G378,Clientes!$C$5:$C$549,0))&lt;&gt;"",INDEX(Clientes!$D$5:$D$549,MATCH(G378,Clientes!$C$5:$C$549,0)),TRIM(INDEX(Clientes!$E$5:$E$549,MATCH(G378,Clientes!$C$5:$C$549,0))&amp;" "&amp;INDEX(Clientes!$F$5:$F$549,MATCH(G378,Clientes!$C$5:$C$549,0)))),"NO EXISTE en Clientes"))</f>
        <v/>
      </c>
      <c r="I378" s="17" t="inlineStr">
        <is>
          <t>EN_RECARGA_EXTERNA</t>
        </is>
      </c>
      <c r="J378" s="17" t="n"/>
      <c r="K378" s="26" t="inlineStr">
        <is>
          <t>20536698834</t>
        </is>
      </c>
      <c r="L378" s="25">
        <f t="array" ref="L378">IF(K378="","",IFERROR(IF(INDEX(Clientes!$D$5:$D$549,MATCH(K378,Clientes!$C$5:$C$549,0))&lt;&gt;"",INDEX(Clientes!$D$5:$D$549,MATCH(K378,Clientes!$C$5:$C$549,0)),TRIM(INDEX(Clientes!$E$5:$E$549,MATCH(K378,Clientes!$C$5:$C$549,0))&amp;" "&amp;INDEX(Clientes!$F$5:$F$549,MATCH(K378,Clientes!$C$5:$C$549,0)))),"NO EXISTE en Clientes"))</f>
        <v/>
      </c>
      <c r="M378" s="17" t="n"/>
      <c r="N378" s="17" t="n"/>
      <c r="O378" s="42" t="n"/>
      <c r="P378" s="39">
        <f>IF(O378&lt;&gt;"",DATE(YEAR(O378)+5,MONTH(O378),1),IF(AND(M378&lt;&gt;"",N378&lt;&gt;""),DATE(M378+5,N378,1),""))</f>
        <v/>
      </c>
      <c r="Q378" s="23" t="n"/>
      <c r="R378" s="17" t="n"/>
      <c r="S378" s="17" t="n"/>
      <c r="T378" s="17" t="n"/>
      <c r="U378" s="17" t="n"/>
      <c r="V378" s="23" t="n"/>
      <c r="W378" s="17" t="n"/>
      <c r="X378" s="17" t="n"/>
      <c r="Y378" s="28">
        <f>IF(B378&lt;&gt;"OK","","SELECT bal_crear_balon(p_codigo_balon =&gt; "&amp;IF(TRIM(C378&amp;"")="","NULL","'"&amp;SUBSTITUTE(TRIM(C378),"'","''")&amp;"'")&amp;", p_id_tipo_balon =&gt; "&amp;"(SELECT id FROM bal_tipo_balon WHERE upper(nombre) = upper('"&amp;SUBSTITUTE(TRIM(D378),"'","''")&amp;"') AND estado = 1 LIMIT 1)"&amp;", p_id_producto_gas =&gt; "&amp;"(SELECT id FROM pro_producto WHERE es_gas = TRUE AND upper(nombre) = upper('"&amp;SUBSTITUTE(TRIM(E378),"'","''")&amp;"') AND estado = 1 LIMIT 1)"&amp;", p_id_propietario =&gt; "&amp;IF(TRIM(F378&amp;"")="","NULL","(SELECT lo.id FROM gen_lista_opciones lo JOIN gen_lista l ON l.id = lo.id_lista WHERE l.nombre = 'PropietarioBalon' AND upper(lo.nombre) = upper('"&amp;SUBSTITUTE(TRIM(F378),"'","''")&amp;"') AND lo.estado = 1 LIMIT 1)")&amp;", p_id_cliente_propietario =&gt; "&amp;IF(F378="CLIENTE",IF(TRIM(G378&amp;"")="","NULL","(SELECT id FROM cli_clientes WHERE numero_documento = '"&amp;SUBSTITUTE(TRIM(G378),"'","''")&amp;"' AND estado = 1 LIMIT 1)"),"NULL")&amp;", p_id_planta =&gt; "&amp;IF(F378="PLANTA",IF(TRIM(G378&amp;"")="","NULL","(SELECT id FROM cli_clientes WHERE numero_documento = '"&amp;SUBSTITUTE(TRIM(G378),"'","''")&amp;"'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"&amp;IF(TRIM(J378&amp;"")="","NULL","(SELECT id FROM gen_almacen WHERE upper(nombre) = upper('"&amp;SUBSTITUTE(TRIM(J378),"'","''")&amp;"') AND estado = 1 LIMIT 1)")&amp;", p_id_cliente_ubicacion =&gt; "&amp;IF(TRIM(K378&amp;"")="","NULL","(SELECT id FROM cli_clientes WHERE numero_documento = '"&amp;SUBSTITUTE(TRIM(K378),"'","''")&amp;"' AND estado = 1 LIMIT 1)")&amp;", p_id_referencia =&gt; "&amp;IF(TRIM(J378&amp;"")&lt;&gt;"","(SELECT lo.id FROM gen_lista_opciones lo JOIN gen_lista l ON l.id = lo.id_lista WHERE l.nombre = 'ReferenciaCilindro' AND upper(lo.nombre) = 'ALMACEN' AND lo.estado = 1 LIMIT 1)",IF(TRIM(K378&amp;"")&lt;&gt;"","(SELECT lo.id FROM gen_lista_opciones lo JOIN gen_lista l ON l.id = lo.id_lista WHERE l.nombre = 'ReferenciaCilindro' AND upper(lo.nombre) = 'CLIENTE' AND lo.estado = 1 LIMIT 1)","NULL"))&amp;", p_anio_fabricacion =&gt; "&amp;IF(M378&amp;""="","NULL::smallint",M378&amp;"::smallint")&amp;", p_mes_fabricacion =&gt; "&amp;IF(N378&amp;""="","NULL::smallint",N378&amp;"::smallint")&amp;", p_fecha_ultima_prueba_hidrostatica =&gt; "&amp;IF(O378&amp;""="","NULL","'"&amp;YEAR(O378)&amp;"-"&amp;TEXT(MONTH(O378),"00")&amp;"-"&amp;TEXT(DAY(O378),"00")&amp;"'")&amp;", p_numero_serie =&gt; "&amp;IF(TRIM(Q378&amp;"")="","NULL","'"&amp;SUBSTITUTE(TRIM(Q378),"'","''")&amp;"'")&amp;", p_id_marca_cilindro =&gt; "&amp;IF(TRIM(R378&amp;"")="","NULL","(SELECT lo.id FROM gen_lista_opciones lo JOIN gen_lista l ON l.id = lo.id_lista WHERE l.nombre = 'MarcaCilindro' AND upper(lo.nombre) = upper('"&amp;SUBSTITUTE(TRIM(R378),"'","''")&amp;"') AND lo.estado = 1 LIMIT 1)")&amp;", p_id_organo_inspector =&gt; "&amp;IF(TRIM(S378&amp;"")="","NULL","(SELECT lo.id FROM gen_lista_opciones lo JOIN gen_lista l ON l.id = lo.id_lista WHERE l.nombre = 'OrganoInspectorCilindro' AND upper(lo.nombre) = upper('"&amp;SUBSTITUTE(TRIM(S378),"'","''")&amp;"') AND lo.estado = 1 LIMIT 1)")&amp;", p_organo_inspector_no_aplica =&gt; "&amp;IF(S378="NO_APLICA","TRUE","FALSE")&amp;", p_presion_actual =&gt; "&amp;IF(T378&amp;""="","NULL",SUBSTITUTE(T378&amp;"",",","."))&amp;", p_tipo_valvula =&gt; "&amp;IF(TRIM(U378&amp;"")="","NULL","'"&amp;SUBSTITUTE(TRIM(U378),"'","''")&amp;"'")&amp;", p_libro_cilindro =&gt; "&amp;IF(TRIM(V378&amp;"")="","NULL","'"&amp;SUBSTITUTE(TRIM(V378),"'","''")&amp;"'")&amp;", p_pagina_libro =&gt; "&amp;IF(W378&amp;""="","NULL",SUBSTITUTE(W378&amp;"",",","."))&amp;", p_observacion =&gt; "&amp;IF(TRIM(X378&amp;"")="","NULL","'"&amp;SUBSTITUTE(TRIM(X378),"'","''")&amp;"'")&amp;") AS resultado_balon_"&amp;ROW()&amp;";")</f>
        <v/>
      </c>
    </row>
    <row r="379" ht="15.75" customHeight="1" s="64">
      <c r="A379" s="36" t="inlineStr">
        <is>
          <t>375</t>
        </is>
      </c>
      <c r="B379" s="25" t="inlineStr">
        <is>
          <t>OMITIDO PROPANO (sin código físico; stock producto)</t>
        </is>
      </c>
      <c r="C379" s="23" t="inlineStr">
        <is>
          <t>GAS PROPANO 1</t>
        </is>
      </c>
      <c r="D379" s="17" t="inlineStr">
        <is>
          <t>Gas Propano 45 kg</t>
        </is>
      </c>
      <c r="E379" s="17" t="inlineStr">
        <is>
          <t>GAS PROPANO</t>
        </is>
      </c>
      <c r="F379" s="17" t="inlineStr">
        <is>
          <t>EMPRESA</t>
        </is>
      </c>
      <c r="G379" s="23" t="inlineStr">
        <is>
          <t>10175332796</t>
        </is>
      </c>
      <c r="H379" s="25">
        <f t="array" ref="H379">IF(G379="","",IFERROR(IF(INDEX(Clientes!$D$5:$D$549,MATCH(G379,Clientes!$C$5:$C$549,0))&lt;&gt;"",INDEX(Clientes!$D$5:$D$549,MATCH(G379,Clientes!$C$5:$C$549,0)),TRIM(INDEX(Clientes!$E$5:$E$549,MATCH(G379,Clientes!$C$5:$C$549,0))&amp;" "&amp;INDEX(Clientes!$F$5:$F$549,MATCH(G379,Clientes!$C$5:$C$549,0)))),"NO EXISTE en Clientes"))</f>
        <v/>
      </c>
      <c r="I379" s="17" t="inlineStr">
        <is>
          <t>EN_PODER_CLIENTE</t>
        </is>
      </c>
      <c r="J379" s="17" t="n"/>
      <c r="K379" s="26" t="inlineStr">
        <is>
          <t>20174513245</t>
        </is>
      </c>
      <c r="L379" s="25">
        <f t="array" ref="L379">IF(K379="","",IFERROR(IF(INDEX(Clientes!$D$5:$D$549,MATCH(K379,Clientes!$C$5:$C$549,0))&lt;&gt;"",INDEX(Clientes!$D$5:$D$549,MATCH(K379,Clientes!$C$5:$C$549,0)),TRIM(INDEX(Clientes!$E$5:$E$549,MATCH(K379,Clientes!$C$5:$C$549,0))&amp;" "&amp;INDEX(Clientes!$F$5:$F$549,MATCH(K379,Clientes!$C$5:$C$549,0)))),"NO EXISTE en Clientes"))</f>
        <v/>
      </c>
      <c r="M379" s="17" t="n"/>
      <c r="N379" s="17" t="n"/>
      <c r="O379" s="42" t="n"/>
      <c r="P379" s="39">
        <f>IF(O379&lt;&gt;"",DATE(YEAR(O379)+5,MONTH(O379),1),IF(AND(M379&lt;&gt;"",N379&lt;&gt;""),DATE(M379+5,N379,1),""))</f>
        <v/>
      </c>
      <c r="Q379" s="23" t="n"/>
      <c r="R379" s="17" t="n"/>
      <c r="S379" s="17" t="n"/>
      <c r="T379" s="17" t="n"/>
      <c r="U379" s="17" t="n"/>
      <c r="V379" s="23" t="n"/>
      <c r="W379" s="17" t="n"/>
      <c r="X379" s="17" t="inlineStr">
        <is>
          <t>Omitido de bal_balon: control por stock producto (GAS-PROPANO-10/45)</t>
        </is>
      </c>
      <c r="Y379" s="28" t="n"/>
    </row>
    <row r="380" ht="15.75" customHeight="1" s="64">
      <c r="A380" s="36" t="inlineStr">
        <is>
          <t>376</t>
        </is>
      </c>
      <c r="B380" s="25" t="inlineStr">
        <is>
          <t>OMITIDO PROPANO (sin código físico; stock producto)</t>
        </is>
      </c>
      <c r="C380" s="23" t="inlineStr">
        <is>
          <t>GAS PROPANO 2</t>
        </is>
      </c>
      <c r="D380" s="17" t="inlineStr">
        <is>
          <t>Gas Propano 45 kg</t>
        </is>
      </c>
      <c r="E380" s="17" t="inlineStr">
        <is>
          <t>GAS PROPANO</t>
        </is>
      </c>
      <c r="F380" s="17" t="inlineStr">
        <is>
          <t>EMPRESA</t>
        </is>
      </c>
      <c r="G380" s="23" t="inlineStr">
        <is>
          <t>10175332796</t>
        </is>
      </c>
      <c r="H380" s="25">
        <f t="array" ref="H380">IF(G380="","",IFERROR(IF(INDEX(Clientes!$D$5:$D$549,MATCH(G380,Clientes!$C$5:$C$549,0))&lt;&gt;"",INDEX(Clientes!$D$5:$D$549,MATCH(G380,Clientes!$C$5:$C$549,0)),TRIM(INDEX(Clientes!$E$5:$E$549,MATCH(G380,Clientes!$C$5:$C$549,0))&amp;" "&amp;INDEX(Clientes!$F$5:$F$549,MATCH(G380,Clientes!$C$5:$C$549,0)))),"NO EXISTE en Clientes"))</f>
        <v/>
      </c>
      <c r="I380" s="17" t="inlineStr">
        <is>
          <t>EN_PODER_CLIENTE</t>
        </is>
      </c>
      <c r="J380" s="17" t="n"/>
      <c r="K380" s="26" t="inlineStr">
        <is>
          <t>20514134155</t>
        </is>
      </c>
      <c r="L380" s="25">
        <f t="array" ref="L380">IF(K380="","",IFERROR(IF(INDEX(Clientes!$D$5:$D$549,MATCH(K380,Clientes!$C$5:$C$549,0))&lt;&gt;"",INDEX(Clientes!$D$5:$D$549,MATCH(K380,Clientes!$C$5:$C$549,0)),TRIM(INDEX(Clientes!$E$5:$E$549,MATCH(K380,Clientes!$C$5:$C$549,0))&amp;" "&amp;INDEX(Clientes!$F$5:$F$549,MATCH(K380,Clientes!$C$5:$C$549,0)))),"NO EXISTE en Clientes"))</f>
        <v/>
      </c>
      <c r="M380" s="17" t="n"/>
      <c r="N380" s="17" t="n"/>
      <c r="O380" s="42" t="n"/>
      <c r="P380" s="39">
        <f>IF(O380&lt;&gt;"",DATE(YEAR(O380)+5,MONTH(O380),1),IF(AND(M380&lt;&gt;"",N380&lt;&gt;""),DATE(M380+5,N380,1),""))</f>
        <v/>
      </c>
      <c r="Q380" s="23" t="n"/>
      <c r="R380" s="17" t="n"/>
      <c r="S380" s="17" t="n"/>
      <c r="T380" s="17" t="n"/>
      <c r="U380" s="17" t="n"/>
      <c r="V380" s="23" t="n"/>
      <c r="W380" s="17" t="n"/>
      <c r="X380" s="17" t="inlineStr">
        <is>
          <t>Omitido de bal_balon: control por stock producto (GAS-PROPANO-10/45)</t>
        </is>
      </c>
      <c r="Y380" s="28" t="n"/>
    </row>
    <row r="381" ht="15.75" customHeight="1" s="64">
      <c r="A381" s="36" t="inlineStr">
        <is>
          <t>377</t>
        </is>
      </c>
      <c r="B381" s="25" t="inlineStr">
        <is>
          <t>OMITIDO PROPANO (sin código físico; stock producto)</t>
        </is>
      </c>
      <c r="C381" s="23" t="inlineStr">
        <is>
          <t>GAS PROPANO 3</t>
        </is>
      </c>
      <c r="D381" s="17" t="inlineStr">
        <is>
          <t>Gas Propano 45 kg</t>
        </is>
      </c>
      <c r="E381" s="17" t="inlineStr">
        <is>
          <t>GAS PROPANO</t>
        </is>
      </c>
      <c r="F381" s="17" t="inlineStr">
        <is>
          <t>EMPRESA</t>
        </is>
      </c>
      <c r="G381" s="23" t="inlineStr">
        <is>
          <t>10175332796</t>
        </is>
      </c>
      <c r="H381" s="25">
        <f t="array" ref="H381">IF(G381="","",IFERROR(IF(INDEX(Clientes!$D$5:$D$549,MATCH(G381,Clientes!$C$5:$C$549,0))&lt;&gt;"",INDEX(Clientes!$D$5:$D$549,MATCH(G381,Clientes!$C$5:$C$549,0)),TRIM(INDEX(Clientes!$E$5:$E$549,MATCH(G381,Clientes!$C$5:$C$549,0))&amp;" "&amp;INDEX(Clientes!$F$5:$F$549,MATCH(G381,Clientes!$C$5:$C$549,0)))),"NO EXISTE en Clientes"))</f>
        <v/>
      </c>
      <c r="I381" s="17" t="inlineStr">
        <is>
          <t>EN_PODER_CLIENTE</t>
        </is>
      </c>
      <c r="J381" s="17" t="n"/>
      <c r="K381" s="26" t="inlineStr">
        <is>
          <t>20603383967</t>
        </is>
      </c>
      <c r="L381" s="25">
        <f t="array" ref="L381">IF(K381="","",IFERROR(IF(INDEX(Clientes!$D$5:$D$549,MATCH(K381,Clientes!$C$5:$C$549,0))&lt;&gt;"",INDEX(Clientes!$D$5:$D$549,MATCH(K381,Clientes!$C$5:$C$549,0)),TRIM(INDEX(Clientes!$E$5:$E$549,MATCH(K381,Clientes!$C$5:$C$549,0))&amp;" "&amp;INDEX(Clientes!$F$5:$F$549,MATCH(K381,Clientes!$C$5:$C$549,0)))),"NO EXISTE en Clientes"))</f>
        <v/>
      </c>
      <c r="M381" s="17" t="n"/>
      <c r="N381" s="17" t="n"/>
      <c r="O381" s="42" t="n"/>
      <c r="P381" s="39">
        <f>IF(O381&lt;&gt;"",DATE(YEAR(O381)+5,MONTH(O381),1),IF(AND(M381&lt;&gt;"",N381&lt;&gt;""),DATE(M381+5,N381,1),""))</f>
        <v/>
      </c>
      <c r="Q381" s="23" t="n"/>
      <c r="R381" s="17" t="n"/>
      <c r="S381" s="17" t="n"/>
      <c r="T381" s="17" t="n"/>
      <c r="U381" s="17" t="n"/>
      <c r="V381" s="23" t="n"/>
      <c r="W381" s="17" t="n"/>
      <c r="X381" s="17" t="inlineStr">
        <is>
          <t>Omitido de bal_balon: control por stock producto (GAS-PROPANO-10/45)</t>
        </is>
      </c>
      <c r="Y381" s="28" t="n"/>
    </row>
    <row r="382" ht="15.75" customHeight="1" s="64">
      <c r="A382" s="36" t="inlineStr">
        <is>
          <t>378</t>
        </is>
      </c>
      <c r="B382" s="25" t="inlineStr">
        <is>
          <t>OMITIDO PROPANO (sin código físico; stock producto)</t>
        </is>
      </c>
      <c r="C382" s="23" t="inlineStr">
        <is>
          <t>GAS PROPANO 4</t>
        </is>
      </c>
      <c r="D382" s="17" t="inlineStr">
        <is>
          <t>Gas Propano 45 kg</t>
        </is>
      </c>
      <c r="E382" s="17" t="inlineStr">
        <is>
          <t>GAS PROPANO</t>
        </is>
      </c>
      <c r="F382" s="17" t="inlineStr">
        <is>
          <t>EMPRESA</t>
        </is>
      </c>
      <c r="G382" s="23" t="inlineStr">
        <is>
          <t>10175332796</t>
        </is>
      </c>
      <c r="H382" s="25">
        <f t="array" ref="H382">IF(G382="","",IFERROR(IF(INDEX(Clientes!$D$5:$D$549,MATCH(G382,Clientes!$C$5:$C$549,0))&lt;&gt;"",INDEX(Clientes!$D$5:$D$549,MATCH(G382,Clientes!$C$5:$C$549,0)),TRIM(INDEX(Clientes!$E$5:$E$549,MATCH(G382,Clientes!$C$5:$C$549,0))&amp;" "&amp;INDEX(Clientes!$F$5:$F$549,MATCH(G382,Clientes!$C$5:$C$549,0)))),"NO EXISTE en Clientes"))</f>
        <v/>
      </c>
      <c r="I382" s="17" t="inlineStr">
        <is>
          <t>EN_PODER_CLIENTE</t>
        </is>
      </c>
      <c r="J382" s="17" t="n"/>
      <c r="K382" s="23" t="inlineStr">
        <is>
          <t>20607756121</t>
        </is>
      </c>
      <c r="L382" s="25">
        <f t="array" ref="L382">IF(K382="","",IFERROR(IF(INDEX(Clientes!$D$5:$D$549,MATCH(K382,Clientes!$C$5:$C$549,0))&lt;&gt;"",INDEX(Clientes!$D$5:$D$549,MATCH(K382,Clientes!$C$5:$C$549,0)),TRIM(INDEX(Clientes!$E$5:$E$549,MATCH(K382,Clientes!$C$5:$C$549,0))&amp;" "&amp;INDEX(Clientes!$F$5:$F$549,MATCH(K382,Clientes!$C$5:$C$549,0)))),"NO EXISTE en Clientes"))</f>
        <v/>
      </c>
      <c r="M382" s="17" t="n"/>
      <c r="N382" s="17" t="n"/>
      <c r="O382" s="42" t="n"/>
      <c r="P382" s="39">
        <f>IF(O382&lt;&gt;"",DATE(YEAR(O382)+5,MONTH(O382),1),IF(AND(M382&lt;&gt;"",N382&lt;&gt;""),DATE(M382+5,N382,1),""))</f>
        <v/>
      </c>
      <c r="Q382" s="23" t="n"/>
      <c r="R382" s="17" t="n"/>
      <c r="S382" s="17" t="n"/>
      <c r="T382" s="17" t="n"/>
      <c r="U382" s="17" t="n"/>
      <c r="V382" s="23" t="n"/>
      <c r="W382" s="17" t="n"/>
      <c r="X382" s="17" t="inlineStr">
        <is>
          <t>Omitido de bal_balon: control por stock producto (GAS-PROPANO-10/45)</t>
        </is>
      </c>
      <c r="Y382" s="28" t="n"/>
    </row>
    <row r="383" ht="15.75" customHeight="1" s="64">
      <c r="A383" s="36" t="inlineStr">
        <is>
          <t>379</t>
        </is>
      </c>
      <c r="B383" s="25" t="inlineStr">
        <is>
          <t>OMITIDO PROPANO (sin código físico; stock producto)</t>
        </is>
      </c>
      <c r="C383" s="23" t="inlineStr">
        <is>
          <t>GAS PROPANO 5</t>
        </is>
      </c>
      <c r="D383" s="17" t="inlineStr">
        <is>
          <t>Gas Propano 45 kg</t>
        </is>
      </c>
      <c r="E383" s="17" t="inlineStr">
        <is>
          <t>GAS PROPANO</t>
        </is>
      </c>
      <c r="F383" s="17" t="inlineStr">
        <is>
          <t>EMPRESA</t>
        </is>
      </c>
      <c r="G383" s="23" t="inlineStr">
        <is>
          <t>10175332796</t>
        </is>
      </c>
      <c r="H383" s="25">
        <f t="array" ref="H383">IF(G383="","",IFERROR(IF(INDEX(Clientes!$D$5:$D$549,MATCH(G383,Clientes!$C$5:$C$549,0))&lt;&gt;"",INDEX(Clientes!$D$5:$D$549,MATCH(G383,Clientes!$C$5:$C$549,0)),TRIM(INDEX(Clientes!$E$5:$E$549,MATCH(G383,Clientes!$C$5:$C$549,0))&amp;" "&amp;INDEX(Clientes!$F$5:$F$549,MATCH(G383,Clientes!$C$5:$C$549,0)))),"NO EXISTE en Clientes"))</f>
        <v/>
      </c>
      <c r="I383" s="17" t="inlineStr">
        <is>
          <t>DISPONIBLE</t>
        </is>
      </c>
      <c r="J383" s="17" t="inlineStr">
        <is>
          <t>ALMACEN PRINCIPAL</t>
        </is>
      </c>
      <c r="K383" s="23" t="n"/>
      <c r="L383" s="25">
        <f t="array" ref="L383">IF(K383="","",IFERROR(IF(INDEX(Clientes!$D$5:$D$549,MATCH(K383,Clientes!$C$5:$C$549,0))&lt;&gt;"",INDEX(Clientes!$D$5:$D$549,MATCH(K383,Clientes!$C$5:$C$549,0)),TRIM(INDEX(Clientes!$E$5:$E$549,MATCH(K383,Clientes!$C$5:$C$549,0))&amp;" "&amp;INDEX(Clientes!$F$5:$F$549,MATCH(K383,Clientes!$C$5:$C$549,0)))),"NO EXISTE en Clientes"))</f>
        <v/>
      </c>
      <c r="M383" s="17" t="n"/>
      <c r="N383" s="17" t="n"/>
      <c r="O383" s="42" t="n"/>
      <c r="P383" s="39">
        <f>IF(O383&lt;&gt;"",DATE(YEAR(O383)+5,MONTH(O383),1),IF(AND(M383&lt;&gt;"",N383&lt;&gt;""),DATE(M383+5,N383,1),""))</f>
        <v/>
      </c>
      <c r="Q383" s="23" t="n"/>
      <c r="R383" s="17" t="n"/>
      <c r="S383" s="17" t="n"/>
      <c r="T383" s="17" t="n"/>
      <c r="U383" s="17" t="n"/>
      <c r="V383" s="23" t="n"/>
      <c r="W383" s="17" t="n"/>
      <c r="X383" s="17" t="inlineStr">
        <is>
          <t>Omitido de bal_balon: control por stock producto (GAS-PROPANO-10/45)</t>
        </is>
      </c>
      <c r="Y383" s="28" t="n"/>
    </row>
    <row r="384" ht="15.75" customHeight="1" s="64">
      <c r="A384" s="36" t="inlineStr">
        <is>
          <t>380</t>
        </is>
      </c>
      <c r="B384" s="25" t="inlineStr">
        <is>
          <t>OMITIDO PROPANO (sin código físico; stock producto)</t>
        </is>
      </c>
      <c r="C384" s="23" t="inlineStr">
        <is>
          <t>GAS PROPANO 6</t>
        </is>
      </c>
      <c r="D384" s="17" t="inlineStr">
        <is>
          <t>Gas Propano 45 kg</t>
        </is>
      </c>
      <c r="E384" s="17" t="inlineStr">
        <is>
          <t>GAS PROPANO</t>
        </is>
      </c>
      <c r="F384" s="17" t="inlineStr">
        <is>
          <t>EMPRESA</t>
        </is>
      </c>
      <c r="G384" s="23" t="inlineStr">
        <is>
          <t>10175332796</t>
        </is>
      </c>
      <c r="H384" s="25">
        <f t="array" ref="H384">IF(G384="","",IFERROR(IF(INDEX(Clientes!$D$5:$D$549,MATCH(G384,Clientes!$C$5:$C$549,0))&lt;&gt;"",INDEX(Clientes!$D$5:$D$549,MATCH(G384,Clientes!$C$5:$C$549,0)),TRIM(INDEX(Clientes!$E$5:$E$549,MATCH(G384,Clientes!$C$5:$C$549,0))&amp;" "&amp;INDEX(Clientes!$F$5:$F$549,MATCH(G384,Clientes!$C$5:$C$549,0)))),"NO EXISTE en Clientes"))</f>
        <v/>
      </c>
      <c r="I384" s="17" t="inlineStr">
        <is>
          <t>DISPONIBLE</t>
        </is>
      </c>
      <c r="J384" s="17" t="inlineStr">
        <is>
          <t>ALMACEN PRINCIPAL</t>
        </is>
      </c>
      <c r="K384" s="23" t="n"/>
      <c r="L384" s="25">
        <f t="array" ref="L384">IF(K384="","",IFERROR(IF(INDEX(Clientes!$D$5:$D$549,MATCH(K384,Clientes!$C$5:$C$549,0))&lt;&gt;"",INDEX(Clientes!$D$5:$D$549,MATCH(K384,Clientes!$C$5:$C$549,0)),TRIM(INDEX(Clientes!$E$5:$E$549,MATCH(K384,Clientes!$C$5:$C$549,0))&amp;" "&amp;INDEX(Clientes!$F$5:$F$549,MATCH(K384,Clientes!$C$5:$C$549,0)))),"NO EXISTE en Clientes"))</f>
        <v/>
      </c>
      <c r="M384" s="17" t="n"/>
      <c r="N384" s="17" t="n"/>
      <c r="O384" s="42" t="n"/>
      <c r="P384" s="39">
        <f>IF(O384&lt;&gt;"",DATE(YEAR(O384)+5,MONTH(O384),1),IF(AND(M384&lt;&gt;"",N384&lt;&gt;""),DATE(M384+5,N384,1),""))</f>
        <v/>
      </c>
      <c r="Q384" s="23" t="n"/>
      <c r="R384" s="17" t="n"/>
      <c r="S384" s="17" t="n"/>
      <c r="T384" s="17" t="n"/>
      <c r="U384" s="17" t="n"/>
      <c r="V384" s="23" t="n"/>
      <c r="W384" s="17" t="n"/>
      <c r="X384" s="17" t="inlineStr">
        <is>
          <t>Omitido de bal_balon: control por stock producto (GAS-PROPANO-10/45)</t>
        </is>
      </c>
      <c r="Y384" s="28" t="n"/>
    </row>
    <row r="385" ht="15.75" customHeight="1" s="64">
      <c r="A385" s="36" t="inlineStr">
        <is>
          <t>381</t>
        </is>
      </c>
      <c r="B385" s="25">
        <f>IF(AND(C385="",D385="",E385=""),"",IF(C385="","FALTA código balón",IF(D385="","FALTA tipo balón",IF(E385="","FALTA gas",IF(F385="","FALTA propietario",IF(AND(C385&lt;&gt;"",SUMPRODUCT(--($C$5:$C$1200=C385))&gt;1),"CÓDIGO BALÓN DUPLICADO",IF(AND(OR(UPPER(F385)="PLANTA",UPPER(F385)="CLIENTE"),G385=""),"FALTA doc propietario/planta",IF(AND(UPPER(F385)="PLANTA",G385="10175332796"),"PLANTA no puede ser RUC empresa","OK"))))))))</f>
        <v/>
      </c>
      <c r="C385" s="23" t="inlineStr">
        <is>
          <t>K5382048</t>
        </is>
      </c>
      <c r="D385" s="17" t="inlineStr">
        <is>
          <t>Oxígeno Industrial 10 m³</t>
        </is>
      </c>
      <c r="E385" s="17" t="inlineStr">
        <is>
          <t>OXIGENO INDUSTRIAL</t>
        </is>
      </c>
      <c r="F385" s="17" t="inlineStr">
        <is>
          <t>EMPRESA</t>
        </is>
      </c>
      <c r="G385" s="23" t="inlineStr">
        <is>
          <t>10175332796</t>
        </is>
      </c>
      <c r="H385" s="25">
        <f t="array" ref="H385">IF(G385="","",IFERROR(IF(INDEX(Clientes!$D$5:$D$549,MATCH(G385,Clientes!$C$5:$C$549,0))&lt;&gt;"",INDEX(Clientes!$D$5:$D$549,MATCH(G385,Clientes!$C$5:$C$549,0)),TRIM(INDEX(Clientes!$E$5:$E$549,MATCH(G385,Clientes!$C$5:$C$549,0))&amp;" "&amp;INDEX(Clientes!$F$5:$F$549,MATCH(G385,Clientes!$C$5:$C$549,0)))),"NO EXISTE en Clientes"))</f>
        <v/>
      </c>
      <c r="I385" s="17" t="inlineStr">
        <is>
          <t>DISPONIBLE</t>
        </is>
      </c>
      <c r="J385" s="17" t="inlineStr">
        <is>
          <t>ALMACEN PRINCIPAL</t>
        </is>
      </c>
      <c r="K385" s="23" t="n"/>
      <c r="L385" s="25">
        <f t="array" ref="L385">IF(K385="","",IFERROR(IF(INDEX(Clientes!$D$5:$D$549,MATCH(K385,Clientes!$C$5:$C$549,0))&lt;&gt;"",INDEX(Clientes!$D$5:$D$549,MATCH(K385,Clientes!$C$5:$C$549,0)),TRIM(INDEX(Clientes!$E$5:$E$549,MATCH(K385,Clientes!$C$5:$C$549,0))&amp;" "&amp;INDEX(Clientes!$F$5:$F$549,MATCH(K385,Clientes!$C$5:$C$549,0)))),"NO EXISTE en Clientes"))</f>
        <v/>
      </c>
      <c r="M385" s="17" t="n"/>
      <c r="N385" s="17" t="n"/>
      <c r="O385" s="42" t="n"/>
      <c r="P385" s="39">
        <f>IF(O385&lt;&gt;"",DATE(YEAR(O385)+5,MONTH(O385),1),IF(AND(M385&lt;&gt;"",N385&lt;&gt;""),DATE(M385+5,N385,1),""))</f>
        <v/>
      </c>
      <c r="Q385" s="23" t="n"/>
      <c r="R385" s="17" t="n"/>
      <c r="S385" s="17" t="n"/>
      <c r="T385" s="17" t="n"/>
      <c r="U385" s="17" t="n"/>
      <c r="V385" s="23" t="n"/>
      <c r="W385" s="17" t="n"/>
      <c r="X385" s="17" t="n"/>
      <c r="Y385" s="28">
        <f>IF(B385&lt;&gt;"OK","","SELECT bal_crear_balon(p_codigo_balon =&gt; "&amp;IF(TRIM(C385&amp;"")="","NULL","'"&amp;SUBSTITUTE(TRIM(C385),"'","''")&amp;"'")&amp;", p_id_tipo_balon =&gt; "&amp;"(SELECT id FROM bal_tipo_balon WHERE upper(nombre) = upper('"&amp;SUBSTITUTE(TRIM(D385),"'","''")&amp;"') AND estado = 1 LIMIT 1)"&amp;", p_id_producto_gas =&gt; "&amp;"(SELECT id FROM pro_producto WHERE es_gas = TRUE AND upper(nombre) = upper('"&amp;SUBSTITUTE(TRIM(E385),"'","''")&amp;"') AND estado = 1 LIMIT 1)"&amp;", p_id_propietario =&gt; "&amp;IF(TRIM(F385&amp;"")="","NULL","(SELECT lo.id FROM gen_lista_opciones lo JOIN gen_lista l ON l.id = lo.id_lista WHERE l.nombre = 'PropietarioBalon' AND upper(lo.nombre) = upper('"&amp;SUBSTITUTE(TRIM(F385),"'","''")&amp;"') AND lo.estado = 1 LIMIT 1)")&amp;", p_id_cliente_propietario =&gt; "&amp;IF(F385="CLIENTE",IF(TRIM(G385&amp;"")="","NULL","(SELECT id FROM cli_clientes WHERE numero_documento = '"&amp;SUBSTITUTE(TRIM(G385),"'","''")&amp;"' AND estado = 1 LIMIT 1)"),"NULL")&amp;", p_id_planta =&gt; "&amp;IF(F385="PLANTA",IF(TRIM(G385&amp;"")="","NULL","(SELECT id FROM cli_clientes WHERE numero_documento = '"&amp;SUBSTITUTE(TRIM(G385),"'","''")&amp;"'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"&amp;IF(TRIM(J385&amp;"")="","NULL","(SELECT id FROM gen_almacen WHERE upper(nombre) = upper('"&amp;SUBSTITUTE(TRIM(J385),"'","''")&amp;"') AND estado = 1 LIMIT 1)")&amp;", p_id_cliente_ubicacion =&gt; "&amp;IF(TRIM(K385&amp;"")="","NULL","(SELECT id FROM cli_clientes WHERE numero_documento = '"&amp;SUBSTITUTE(TRIM(K385),"'","''")&amp;"' AND estado = 1 LIMIT 1)")&amp;", p_id_referencia =&gt; "&amp;IF(TRIM(J385&amp;"")&lt;&gt;"","(SELECT lo.id FROM gen_lista_opciones lo JOIN gen_lista l ON l.id = lo.id_lista WHERE l.nombre = 'ReferenciaCilindro' AND upper(lo.nombre) = 'ALMACEN' AND lo.estado = 1 LIMIT 1)",IF(TRIM(K385&amp;"")&lt;&gt;"","(SELECT lo.id FROM gen_lista_opciones lo JOIN gen_lista l ON l.id = lo.id_lista WHERE l.nombre = 'ReferenciaCilindro' AND upper(lo.nombre) = 'CLIENTE' AND lo.estado = 1 LIMIT 1)","NULL"))&amp;", p_anio_fabricacion =&gt; "&amp;IF(M385&amp;""="","NULL::smallint",M385&amp;"::smallint")&amp;", p_mes_fabricacion =&gt; "&amp;IF(N385&amp;""="","NULL::smallint",N385&amp;"::smallint")&amp;", p_fecha_ultima_prueba_hidrostatica =&gt; "&amp;IF(O385&amp;""="","NULL","'"&amp;YEAR(O385)&amp;"-"&amp;TEXT(MONTH(O385),"00")&amp;"-"&amp;TEXT(DAY(O385),"00")&amp;"'")&amp;", p_numero_serie =&gt; "&amp;IF(TRIM(Q385&amp;"")="","NULL","'"&amp;SUBSTITUTE(TRIM(Q385),"'","''")&amp;"'")&amp;", p_id_marca_cilindro =&gt; "&amp;IF(TRIM(R385&amp;"")="","NULL","(SELECT lo.id FROM gen_lista_opciones lo JOIN gen_lista l ON l.id = lo.id_lista WHERE l.nombre = 'MarcaCilindro' AND upper(lo.nombre) = upper('"&amp;SUBSTITUTE(TRIM(R385),"'","''")&amp;"') AND lo.estado = 1 LIMIT 1)")&amp;", p_id_organo_inspector =&gt; "&amp;IF(TRIM(S385&amp;"")="","NULL","(SELECT lo.id FROM gen_lista_opciones lo JOIN gen_lista l ON l.id = lo.id_lista WHERE l.nombre = 'OrganoInspectorCilindro' AND upper(lo.nombre) = upper('"&amp;SUBSTITUTE(TRIM(S385),"'","''")&amp;"') AND lo.estado = 1 LIMIT 1)")&amp;", p_organo_inspector_no_aplica =&gt; "&amp;IF(S385="NO_APLICA","TRUE","FALSE")&amp;", p_presion_actual =&gt; "&amp;IF(T385&amp;""="","NULL",SUBSTITUTE(T385&amp;"",",","."))&amp;", p_tipo_valvula =&gt; "&amp;IF(TRIM(U385&amp;"")="","NULL","'"&amp;SUBSTITUTE(TRIM(U385),"'","''")&amp;"'")&amp;", p_libro_cilindro =&gt; "&amp;IF(TRIM(V385&amp;"")="","NULL","'"&amp;SUBSTITUTE(TRIM(V385),"'","''")&amp;"'")&amp;", p_pagina_libro =&gt; "&amp;IF(W385&amp;""="","NULL",SUBSTITUTE(W385&amp;"",",","."))&amp;", p_observacion =&gt; "&amp;IF(TRIM(X385&amp;"")="","NULL","'"&amp;SUBSTITUTE(TRIM(X385),"'","''")&amp;"'")&amp;") AS resultado_balon_"&amp;ROW()&amp;";")</f>
        <v/>
      </c>
    </row>
    <row r="386" ht="15.75" customHeight="1" s="64">
      <c r="A386" s="36" t="inlineStr">
        <is>
          <t>382</t>
        </is>
      </c>
      <c r="B386" s="25">
        <f>IF(AND(C386="",D386="",E386=""),"",IF(C386="","FALTA código balón",IF(D386="","FALTA tipo balón",IF(E386="","FALTA gas",IF(F386="","FALTA propietario",IF(AND(C386&lt;&gt;"",SUMPRODUCT(--($C$5:$C$1200=C386))&gt;1),"CÓDIGO BALÓN DUPLICADO",IF(AND(OR(UPPER(F386)="PLANTA",UPPER(F386)="CLIENTE"),G386=""),"FALTA doc propietario/planta",IF(AND(UPPER(F386)="PLANTA",G386="10175332796"),"PLANTA no puede ser RUC empresa","OK"))))))))</f>
        <v/>
      </c>
      <c r="C386" s="23" t="inlineStr">
        <is>
          <t>303190</t>
        </is>
      </c>
      <c r="D386" s="17" t="inlineStr">
        <is>
          <t>Oxígeno Industrial 6 m³</t>
        </is>
      </c>
      <c r="E386" s="17" t="inlineStr">
        <is>
          <t>OXIGENO INDUSTRIAL</t>
        </is>
      </c>
      <c r="F386" s="17" t="inlineStr">
        <is>
          <t>EMPRESA</t>
        </is>
      </c>
      <c r="G386" s="23" t="inlineStr">
        <is>
          <t>10175332796</t>
        </is>
      </c>
      <c r="H386" s="25">
        <f t="array" ref="H386">IF(G386="","",IFERROR(IF(INDEX(Clientes!$D$5:$D$549,MATCH(G386,Clientes!$C$5:$C$549,0))&lt;&gt;"",INDEX(Clientes!$D$5:$D$549,MATCH(G386,Clientes!$C$5:$C$549,0)),TRIM(INDEX(Clientes!$E$5:$E$549,MATCH(G386,Clientes!$C$5:$C$549,0))&amp;" "&amp;INDEX(Clientes!$F$5:$F$549,MATCH(G386,Clientes!$C$5:$C$549,0)))),"NO EXISTE en Clientes"))</f>
        <v/>
      </c>
      <c r="I386" s="17" t="inlineStr">
        <is>
          <t>DISPONIBLE</t>
        </is>
      </c>
      <c r="J386" s="17" t="inlineStr">
        <is>
          <t>ALMACEN PRINCIPAL</t>
        </is>
      </c>
      <c r="K386" s="23" t="n"/>
      <c r="L386" s="25">
        <f t="array" ref="L386">IF(K386="","",IFERROR(IF(INDEX(Clientes!$D$5:$D$549,MATCH(K386,Clientes!$C$5:$C$549,0))&lt;&gt;"",INDEX(Clientes!$D$5:$D$549,MATCH(K386,Clientes!$C$5:$C$549,0)),TRIM(INDEX(Clientes!$E$5:$E$549,MATCH(K386,Clientes!$C$5:$C$549,0))&amp;" "&amp;INDEX(Clientes!$F$5:$F$549,MATCH(K386,Clientes!$C$5:$C$549,0)))),"NO EXISTE en Clientes"))</f>
        <v/>
      </c>
      <c r="M386" s="17" t="n"/>
      <c r="N386" s="17" t="n"/>
      <c r="O386" s="42" t="n"/>
      <c r="P386" s="39">
        <f>IF(O386&lt;&gt;"",DATE(YEAR(O386)+5,MONTH(O386),1),IF(AND(M386&lt;&gt;"",N386&lt;&gt;""),DATE(M386+5,N386,1),""))</f>
        <v/>
      </c>
      <c r="Q386" s="23" t="n"/>
      <c r="R386" s="17" t="n"/>
      <c r="S386" s="17" t="n"/>
      <c r="T386" s="17" t="n"/>
      <c r="U386" s="17" t="n"/>
      <c r="V386" s="23" t="n"/>
      <c r="W386" s="17" t="n"/>
      <c r="X386" s="17" t="n"/>
      <c r="Y386" s="28">
        <f>IF(B386&lt;&gt;"OK","","SELECT bal_crear_balon(p_codigo_balon =&gt; "&amp;IF(TRIM(C386&amp;"")="","NULL","'"&amp;SUBSTITUTE(TRIM(C386),"'","''")&amp;"'")&amp;", p_id_tipo_balon =&gt; "&amp;"(SELECT id FROM bal_tipo_balon WHERE upper(nombre) = upper('"&amp;SUBSTITUTE(TRIM(D386),"'","''")&amp;"') AND estado = 1 LIMIT 1)"&amp;", p_id_producto_gas =&gt; "&amp;"(SELECT id FROM pro_producto WHERE es_gas = TRUE AND upper(nombre) = upper('"&amp;SUBSTITUTE(TRIM(E386),"'","''")&amp;"') AND estado = 1 LIMIT 1)"&amp;", p_id_propietario =&gt; "&amp;IF(TRIM(F386&amp;"")="","NULL","(SELECT lo.id FROM gen_lista_opciones lo JOIN gen_lista l ON l.id = lo.id_lista WHERE l.nombre = 'PropietarioBalon' AND upper(lo.nombre) = upper('"&amp;SUBSTITUTE(TRIM(F386),"'","''")&amp;"') AND lo.estado = 1 LIMIT 1)")&amp;", p_id_cliente_propietario =&gt; "&amp;IF(F386="CLIENTE",IF(TRIM(G386&amp;"")="","NULL","(SELECT id FROM cli_clientes WHERE numero_documento = '"&amp;SUBSTITUTE(TRIM(G386),"'","''")&amp;"' AND estado = 1 LIMIT 1)"),"NULL")&amp;", p_id_planta =&gt; "&amp;IF(F386="PLANTA",IF(TRIM(G386&amp;"")="","NULL","(SELECT id FROM cli_clientes WHERE numero_documento = '"&amp;SUBSTITUTE(TRIM(G386),"'","''")&amp;"'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"&amp;IF(TRIM(J386&amp;"")="","NULL","(SELECT id FROM gen_almacen WHERE upper(nombre) = upper('"&amp;SUBSTITUTE(TRIM(J386),"'","''")&amp;"') AND estado = 1 LIMIT 1)")&amp;", p_id_cliente_ubicacion =&gt; "&amp;IF(TRIM(K386&amp;"")="","NULL","(SELECT id FROM cli_clientes WHERE numero_documento = '"&amp;SUBSTITUTE(TRIM(K386),"'","''")&amp;"' AND estado = 1 LIMIT 1)")&amp;", p_id_referencia =&gt; "&amp;IF(TRIM(J386&amp;"")&lt;&gt;"","(SELECT lo.id FROM gen_lista_opciones lo JOIN gen_lista l ON l.id = lo.id_lista WHERE l.nombre = 'ReferenciaCilindro' AND upper(lo.nombre) = 'ALMACEN' AND lo.estado = 1 LIMIT 1)",IF(TRIM(K386&amp;"")&lt;&gt;"","(SELECT lo.id FROM gen_lista_opciones lo JOIN gen_lista l ON l.id = lo.id_lista WHERE l.nombre = 'ReferenciaCilindro' AND upper(lo.nombre) = 'CLIENTE' AND lo.estado = 1 LIMIT 1)","NULL"))&amp;", p_anio_fabricacion =&gt; "&amp;IF(M386&amp;""="","NULL::smallint",M386&amp;"::smallint")&amp;", p_mes_fabricacion =&gt; "&amp;IF(N386&amp;""="","NULL::smallint",N386&amp;"::smallint")&amp;", p_fecha_ultima_prueba_hidrostatica =&gt; "&amp;IF(O386&amp;""="","NULL","'"&amp;YEAR(O386)&amp;"-"&amp;TEXT(MONTH(O386),"00")&amp;"-"&amp;TEXT(DAY(O386),"00")&amp;"'")&amp;", p_numero_serie =&gt; "&amp;IF(TRIM(Q386&amp;"")="","NULL","'"&amp;SUBSTITUTE(TRIM(Q386),"'","''")&amp;"'")&amp;", p_id_marca_cilindro =&gt; "&amp;IF(TRIM(R386&amp;"")="","NULL","(SELECT lo.id FROM gen_lista_opciones lo JOIN gen_lista l ON l.id = lo.id_lista WHERE l.nombre = 'MarcaCilindro' AND upper(lo.nombre) = upper('"&amp;SUBSTITUTE(TRIM(R386),"'","''")&amp;"') AND lo.estado = 1 LIMIT 1)")&amp;", p_id_organo_inspector =&gt; "&amp;IF(TRIM(S386&amp;"")="","NULL","(SELECT lo.id FROM gen_lista_opciones lo JOIN gen_lista l ON l.id = lo.id_lista WHERE l.nombre = 'OrganoInspectorCilindro' AND upper(lo.nombre) = upper('"&amp;SUBSTITUTE(TRIM(S386),"'","''")&amp;"') AND lo.estado = 1 LIMIT 1)")&amp;", p_organo_inspector_no_aplica =&gt; "&amp;IF(S386="NO_APLICA","TRUE","FALSE")&amp;", p_presion_actual =&gt; "&amp;IF(T386&amp;""="","NULL",SUBSTITUTE(T386&amp;"",",","."))&amp;", p_tipo_valvula =&gt; "&amp;IF(TRIM(U386&amp;"")="","NULL","'"&amp;SUBSTITUTE(TRIM(U386),"'","''")&amp;"'")&amp;", p_libro_cilindro =&gt; "&amp;IF(TRIM(V386&amp;"")="","NULL","'"&amp;SUBSTITUTE(TRIM(V386),"'","''")&amp;"'")&amp;", p_pagina_libro =&gt; "&amp;IF(W386&amp;""="","NULL",SUBSTITUTE(W386&amp;"",",","."))&amp;", p_observacion =&gt; "&amp;IF(TRIM(X386&amp;"")="","NULL","'"&amp;SUBSTITUTE(TRIM(X386),"'","''")&amp;"'")&amp;") AS resultado_balon_"&amp;ROW()&amp;";")</f>
        <v/>
      </c>
    </row>
    <row r="387" ht="15.75" customHeight="1" s="64">
      <c r="A387" s="36" t="inlineStr">
        <is>
          <t>383</t>
        </is>
      </c>
      <c r="B387" s="25">
        <f>IF(AND(C387="",D387="",E387=""),"",IF(C387="","FALTA código balón",IF(D387="","FALTA tipo balón",IF(E387="","FALTA gas",IF(F387="","FALTA propietario",IF(AND(C387&lt;&gt;"",SUMPRODUCT(--($C$5:$C$1200=C387))&gt;1),"CÓDIGO BALÓN DUPLICADO",IF(AND(OR(UPPER(F387)="PLANTA",UPPER(F387)="CLIENTE"),G387=""),"FALTA doc propietario/planta",IF(AND(UPPER(F387)="PLANTA",G387="10175332796"),"PLANTA no puede ser RUC empresa","OK"))))))))</f>
        <v/>
      </c>
      <c r="C387" s="23" t="inlineStr">
        <is>
          <t>20S290030</t>
        </is>
      </c>
      <c r="D387" s="17" t="inlineStr">
        <is>
          <t>Oxígeno Medicinal 6 m³</t>
        </is>
      </c>
      <c r="E387" s="17" t="inlineStr">
        <is>
          <t>OXIGENO MEDICINAL</t>
        </is>
      </c>
      <c r="F387" s="17" t="inlineStr">
        <is>
          <t>EMPRESA</t>
        </is>
      </c>
      <c r="G387" s="23" t="inlineStr">
        <is>
          <t>10175332796</t>
        </is>
      </c>
      <c r="H387" s="25">
        <f t="array" ref="H387">IF(G387="","",IFERROR(IF(INDEX(Clientes!$D$5:$D$549,MATCH(G387,Clientes!$C$5:$C$549,0))&lt;&gt;"",INDEX(Clientes!$D$5:$D$549,MATCH(G387,Clientes!$C$5:$C$549,0)),TRIM(INDEX(Clientes!$E$5:$E$549,MATCH(G387,Clientes!$C$5:$C$549,0))&amp;" "&amp;INDEX(Clientes!$F$5:$F$549,MATCH(G387,Clientes!$C$5:$C$549,0)))),"NO EXISTE en Clientes"))</f>
        <v/>
      </c>
      <c r="I387" s="17" t="inlineStr">
        <is>
          <t>EN_RECARGA_EXTERNA</t>
        </is>
      </c>
      <c r="J387" s="17" t="n"/>
      <c r="K387" s="26" t="inlineStr">
        <is>
          <t>20536698834</t>
        </is>
      </c>
      <c r="L387" s="25">
        <f t="array" ref="L387">IF(K387="","",IFERROR(IF(INDEX(Clientes!$D$5:$D$549,MATCH(K387,Clientes!$C$5:$C$549,0))&lt;&gt;"",INDEX(Clientes!$D$5:$D$549,MATCH(K387,Clientes!$C$5:$C$549,0)),TRIM(INDEX(Clientes!$E$5:$E$549,MATCH(K387,Clientes!$C$5:$C$549,0))&amp;" "&amp;INDEX(Clientes!$F$5:$F$549,MATCH(K387,Clientes!$C$5:$C$549,0)))),"NO EXISTE en Clientes"))</f>
        <v/>
      </c>
      <c r="M387" s="17" t="n"/>
      <c r="N387" s="17" t="n"/>
      <c r="O387" s="42" t="n"/>
      <c r="P387" s="39">
        <f>IF(O387&lt;&gt;"",DATE(YEAR(O387)+5,MONTH(O387),1),IF(AND(M387&lt;&gt;"",N387&lt;&gt;""),DATE(M387+5,N387,1),""))</f>
        <v/>
      </c>
      <c r="Q387" s="23" t="n"/>
      <c r="R387" s="17" t="n"/>
      <c r="S387" s="17" t="n"/>
      <c r="T387" s="17" t="n"/>
      <c r="U387" s="17" t="n"/>
      <c r="V387" s="23" t="n"/>
      <c r="W387" s="17" t="n"/>
      <c r="X387" s="17" t="n"/>
      <c r="Y387" s="28">
        <f>IF(B387&lt;&gt;"OK","","SELECT bal_crear_balon(p_codigo_balon =&gt; "&amp;IF(TRIM(C387&amp;"")="","NULL","'"&amp;SUBSTITUTE(TRIM(C387),"'","''")&amp;"'")&amp;", p_id_tipo_balon =&gt; "&amp;"(SELECT id FROM bal_tipo_balon WHERE upper(nombre) = upper('"&amp;SUBSTITUTE(TRIM(D387),"'","''")&amp;"') AND estado = 1 LIMIT 1)"&amp;", p_id_producto_gas =&gt; "&amp;"(SELECT id FROM pro_producto WHERE es_gas = TRUE AND upper(nombre) = upper('"&amp;SUBSTITUTE(TRIM(E387),"'","''")&amp;"') AND estado = 1 LIMIT 1)"&amp;", p_id_propietario =&gt; "&amp;IF(TRIM(F387&amp;"")="","NULL","(SELECT lo.id FROM gen_lista_opciones lo JOIN gen_lista l ON l.id = lo.id_lista WHERE l.nombre = 'PropietarioBalon' AND upper(lo.nombre) = upper('"&amp;SUBSTITUTE(TRIM(F387),"'","''")&amp;"') AND lo.estado = 1 LIMIT 1)")&amp;", p_id_cliente_propietario =&gt; "&amp;IF(F387="CLIENTE",IF(TRIM(G387&amp;"")="","NULL","(SELECT id FROM cli_clientes WHERE numero_documento = '"&amp;SUBSTITUTE(TRIM(G387),"'","''")&amp;"' AND estado = 1 LIMIT 1)"),"NULL")&amp;", p_id_planta =&gt; "&amp;IF(F387="PLANTA",IF(TRIM(G387&amp;"")="","NULL","(SELECT id FROM cli_clientes WHERE numero_documento = '"&amp;SUBSTITUTE(TRIM(G387),"'","''")&amp;"'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"&amp;IF(TRIM(J387&amp;"")="","NULL","(SELECT id FROM gen_almacen WHERE upper(nombre) = upper('"&amp;SUBSTITUTE(TRIM(J387),"'","''")&amp;"') AND estado = 1 LIMIT 1)")&amp;", p_id_cliente_ubicacion =&gt; "&amp;IF(TRIM(K387&amp;"")="","NULL","(SELECT id FROM cli_clientes WHERE numero_documento = '"&amp;SUBSTITUTE(TRIM(K387),"'","''")&amp;"' AND estado = 1 LIMIT 1)")&amp;", p_id_referencia =&gt; "&amp;IF(TRIM(J387&amp;"")&lt;&gt;"","(SELECT lo.id FROM gen_lista_opciones lo JOIN gen_lista l ON l.id = lo.id_lista WHERE l.nombre = 'ReferenciaCilindro' AND upper(lo.nombre) = 'ALMACEN' AND lo.estado = 1 LIMIT 1)",IF(TRIM(K387&amp;"")&lt;&gt;"","(SELECT lo.id FROM gen_lista_opciones lo JOIN gen_lista l ON l.id = lo.id_lista WHERE l.nombre = 'ReferenciaCilindro' AND upper(lo.nombre) = 'CLIENTE' AND lo.estado = 1 LIMIT 1)","NULL"))&amp;", p_anio_fabricacion =&gt; "&amp;IF(M387&amp;""="","NULL::smallint",M387&amp;"::smallint")&amp;", p_mes_fabricacion =&gt; "&amp;IF(N387&amp;""="","NULL::smallint",N387&amp;"::smallint")&amp;", p_fecha_ultima_prueba_hidrostatica =&gt; "&amp;IF(O387&amp;""="","NULL","'"&amp;YEAR(O387)&amp;"-"&amp;TEXT(MONTH(O387),"00")&amp;"-"&amp;TEXT(DAY(O387),"00")&amp;"'")&amp;", p_numero_serie =&gt; "&amp;IF(TRIM(Q387&amp;"")="","NULL","'"&amp;SUBSTITUTE(TRIM(Q387),"'","''")&amp;"'")&amp;", p_id_marca_cilindro =&gt; "&amp;IF(TRIM(R387&amp;"")="","NULL","(SELECT lo.id FROM gen_lista_opciones lo JOIN gen_lista l ON l.id = lo.id_lista WHERE l.nombre = 'MarcaCilindro' AND upper(lo.nombre) = upper('"&amp;SUBSTITUTE(TRIM(R387),"'","''")&amp;"') AND lo.estado = 1 LIMIT 1)")&amp;", p_id_organo_inspector =&gt; "&amp;IF(TRIM(S387&amp;"")="","NULL","(SELECT lo.id FROM gen_lista_opciones lo JOIN gen_lista l ON l.id = lo.id_lista WHERE l.nombre = 'OrganoInspectorCilindro' AND upper(lo.nombre) = upper('"&amp;SUBSTITUTE(TRIM(S387),"'","''")&amp;"') AND lo.estado = 1 LIMIT 1)")&amp;", p_organo_inspector_no_aplica =&gt; "&amp;IF(S387="NO_APLICA","TRUE","FALSE")&amp;", p_presion_actual =&gt; "&amp;IF(T387&amp;""="","NULL",SUBSTITUTE(T387&amp;"",",","."))&amp;", p_tipo_valvula =&gt; "&amp;IF(TRIM(U387&amp;"")="","NULL","'"&amp;SUBSTITUTE(TRIM(U387),"'","''")&amp;"'")&amp;", p_libro_cilindro =&gt; "&amp;IF(TRIM(V387&amp;"")="","NULL","'"&amp;SUBSTITUTE(TRIM(V387),"'","''")&amp;"'")&amp;", p_pagina_libro =&gt; "&amp;IF(W387&amp;""="","NULL",SUBSTITUTE(W387&amp;"",",","."))&amp;", p_observacion =&gt; "&amp;IF(TRIM(X387&amp;"")="","NULL","'"&amp;SUBSTITUTE(TRIM(X387),"'","''")&amp;"'")&amp;") AS resultado_balon_"&amp;ROW()&amp;";")</f>
        <v/>
      </c>
    </row>
    <row r="388" ht="15.75" customHeight="1" s="64">
      <c r="A388" s="36" t="inlineStr">
        <is>
          <t>384</t>
        </is>
      </c>
      <c r="B388" s="25">
        <f>IF(AND(C388="",D388="",E388=""),"",IF(C388="","FALTA código balón",IF(D388="","FALTA tipo balón",IF(E388="","FALTA gas",IF(F388="","FALTA propietario",IF(AND(C388&lt;&gt;"",SUMPRODUCT(--($C$5:$C$1200=C388))&gt;1),"CÓDIGO BALÓN DUPLICADO",IF(AND(OR(UPPER(F388)="PLANTA",UPPER(F388)="CLIENTE"),G388=""),"FALTA doc propietario/planta",IF(AND(UPPER(F388)="PLANTA",G388="10175332796"),"PLANTA no puede ser RUC empresa","OK"))))))))</f>
        <v/>
      </c>
      <c r="C388" s="23" t="inlineStr">
        <is>
          <t>20S290095</t>
        </is>
      </c>
      <c r="D388" s="17" t="inlineStr">
        <is>
          <t>Oxígeno Medicinal 6 m³</t>
        </is>
      </c>
      <c r="E388" s="17" t="inlineStr">
        <is>
          <t>OXIGENO MEDICINAL</t>
        </is>
      </c>
      <c r="F388" s="17" t="inlineStr">
        <is>
          <t>EMPRESA</t>
        </is>
      </c>
      <c r="G388" s="23" t="inlineStr">
        <is>
          <t>10175332796</t>
        </is>
      </c>
      <c r="H388" s="25">
        <f t="array" ref="H388">IF(G388="","",IFERROR(IF(INDEX(Clientes!$D$5:$D$549,MATCH(G388,Clientes!$C$5:$C$549,0))&lt;&gt;"",INDEX(Clientes!$D$5:$D$549,MATCH(G388,Clientes!$C$5:$C$549,0)),TRIM(INDEX(Clientes!$E$5:$E$549,MATCH(G388,Clientes!$C$5:$C$549,0))&amp;" "&amp;INDEX(Clientes!$F$5:$F$549,MATCH(G388,Clientes!$C$5:$C$549,0)))),"NO EXISTE en Clientes"))</f>
        <v/>
      </c>
      <c r="I388" s="17" t="inlineStr">
        <is>
          <t>EN_RECARGA_EXTERNA</t>
        </is>
      </c>
      <c r="J388" s="17" t="n"/>
      <c r="K388" s="26" t="inlineStr">
        <is>
          <t>20536698834</t>
        </is>
      </c>
      <c r="L388" s="25">
        <f t="array" ref="L388">IF(K388="","",IFERROR(IF(INDEX(Clientes!$D$5:$D$549,MATCH(K388,Clientes!$C$5:$C$549,0))&lt;&gt;"",INDEX(Clientes!$D$5:$D$549,MATCH(K388,Clientes!$C$5:$C$549,0)),TRIM(INDEX(Clientes!$E$5:$E$549,MATCH(K388,Clientes!$C$5:$C$549,0))&amp;" "&amp;INDEX(Clientes!$F$5:$F$549,MATCH(K388,Clientes!$C$5:$C$549,0)))),"NO EXISTE en Clientes"))</f>
        <v/>
      </c>
      <c r="M388" s="17" t="n"/>
      <c r="N388" s="17" t="n"/>
      <c r="O388" s="42" t="n"/>
      <c r="P388" s="39">
        <f>IF(O388&lt;&gt;"",DATE(YEAR(O388)+5,MONTH(O388),1),IF(AND(M388&lt;&gt;"",N388&lt;&gt;""),DATE(M388+5,N388,1),""))</f>
        <v/>
      </c>
      <c r="Q388" s="23" t="n"/>
      <c r="R388" s="17" t="n"/>
      <c r="S388" s="17" t="n"/>
      <c r="T388" s="17" t="n"/>
      <c r="U388" s="17" t="n"/>
      <c r="V388" s="23" t="n"/>
      <c r="W388" s="17" t="n"/>
      <c r="X388" s="17" t="n"/>
      <c r="Y388" s="28">
        <f>IF(B388&lt;&gt;"OK","","SELECT bal_crear_balon(p_codigo_balon =&gt; "&amp;IF(TRIM(C388&amp;"")="","NULL","'"&amp;SUBSTITUTE(TRIM(C388),"'","''")&amp;"'")&amp;", p_id_tipo_balon =&gt; "&amp;"(SELECT id FROM bal_tipo_balon WHERE upper(nombre) = upper('"&amp;SUBSTITUTE(TRIM(D388),"'","''")&amp;"') AND estado = 1 LIMIT 1)"&amp;", p_id_producto_gas =&gt; "&amp;"(SELECT id FROM pro_producto WHERE es_gas = TRUE AND upper(nombre) = upper('"&amp;SUBSTITUTE(TRIM(E388),"'","''")&amp;"') AND estado = 1 LIMIT 1)"&amp;", p_id_propietario =&gt; "&amp;IF(TRIM(F388&amp;"")="","NULL","(SELECT lo.id FROM gen_lista_opciones lo JOIN gen_lista l ON l.id = lo.id_lista WHERE l.nombre = 'PropietarioBalon' AND upper(lo.nombre) = upper('"&amp;SUBSTITUTE(TRIM(F388),"'","''")&amp;"') AND lo.estado = 1 LIMIT 1)")&amp;", p_id_cliente_propietario =&gt; "&amp;IF(F388="CLIENTE",IF(TRIM(G388&amp;"")="","NULL","(SELECT id FROM cli_clientes WHERE numero_documento = '"&amp;SUBSTITUTE(TRIM(G388),"'","''")&amp;"' AND estado = 1 LIMIT 1)"),"NULL")&amp;", p_id_planta =&gt; "&amp;IF(F388="PLANTA",IF(TRIM(G388&amp;"")="","NULL","(SELECT id FROM cli_clientes WHERE numero_documento = '"&amp;SUBSTITUTE(TRIM(G388),"'","''")&amp;"'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"&amp;IF(TRIM(J388&amp;"")="","NULL","(SELECT id FROM gen_almacen WHERE upper(nombre) = upper('"&amp;SUBSTITUTE(TRIM(J388),"'","''")&amp;"') AND estado = 1 LIMIT 1)")&amp;", p_id_cliente_ubicacion =&gt; "&amp;IF(TRIM(K388&amp;"")="","NULL","(SELECT id FROM cli_clientes WHERE numero_documento = '"&amp;SUBSTITUTE(TRIM(K388),"'","''")&amp;"' AND estado = 1 LIMIT 1)")&amp;", p_id_referencia =&gt; "&amp;IF(TRIM(J388&amp;"")&lt;&gt;"","(SELECT lo.id FROM gen_lista_opciones lo JOIN gen_lista l ON l.id = lo.id_lista WHERE l.nombre = 'ReferenciaCilindro' AND upper(lo.nombre) = 'ALMACEN' AND lo.estado = 1 LIMIT 1)",IF(TRIM(K388&amp;"")&lt;&gt;"","(SELECT lo.id FROM gen_lista_opciones lo JOIN gen_lista l ON l.id = lo.id_lista WHERE l.nombre = 'ReferenciaCilindro' AND upper(lo.nombre) = 'CLIENTE' AND lo.estado = 1 LIMIT 1)","NULL"))&amp;", p_anio_fabricacion =&gt; "&amp;IF(M388&amp;""="","NULL::smallint",M388&amp;"::smallint")&amp;", p_mes_fabricacion =&gt; "&amp;IF(N388&amp;""="","NULL::smallint",N388&amp;"::smallint")&amp;", p_fecha_ultima_prueba_hidrostatica =&gt; "&amp;IF(O388&amp;""="","NULL","'"&amp;YEAR(O388)&amp;"-"&amp;TEXT(MONTH(O388),"00")&amp;"-"&amp;TEXT(DAY(O388),"00")&amp;"'")&amp;", p_numero_serie =&gt; "&amp;IF(TRIM(Q388&amp;"")="","NULL","'"&amp;SUBSTITUTE(TRIM(Q388),"'","''")&amp;"'")&amp;", p_id_marca_cilindro =&gt; "&amp;IF(TRIM(R388&amp;"")="","NULL","(SELECT lo.id FROM gen_lista_opciones lo JOIN gen_lista l ON l.id = lo.id_lista WHERE l.nombre = 'MarcaCilindro' AND upper(lo.nombre) = upper('"&amp;SUBSTITUTE(TRIM(R388),"'","''")&amp;"') AND lo.estado = 1 LIMIT 1)")&amp;", p_id_organo_inspector =&gt; "&amp;IF(TRIM(S388&amp;"")="","NULL","(SELECT lo.id FROM gen_lista_opciones lo JOIN gen_lista l ON l.id = lo.id_lista WHERE l.nombre = 'OrganoInspectorCilindro' AND upper(lo.nombre) = upper('"&amp;SUBSTITUTE(TRIM(S388),"'","''")&amp;"') AND lo.estado = 1 LIMIT 1)")&amp;", p_organo_inspector_no_aplica =&gt; "&amp;IF(S388="NO_APLICA","TRUE","FALSE")&amp;", p_presion_actual =&gt; "&amp;IF(T388&amp;""="","NULL",SUBSTITUTE(T388&amp;"",",","."))&amp;", p_tipo_valvula =&gt; "&amp;IF(TRIM(U388&amp;"")="","NULL","'"&amp;SUBSTITUTE(TRIM(U388),"'","''")&amp;"'")&amp;", p_libro_cilindro =&gt; "&amp;IF(TRIM(V388&amp;"")="","NULL","'"&amp;SUBSTITUTE(TRIM(V388),"'","''")&amp;"'")&amp;", p_pagina_libro =&gt; "&amp;IF(W388&amp;""="","NULL",SUBSTITUTE(W388&amp;"",",","."))&amp;", p_observacion =&gt; "&amp;IF(TRIM(X388&amp;"")="","NULL","'"&amp;SUBSTITUTE(TRIM(X388),"'","''")&amp;"'")&amp;") AS resultado_balon_"&amp;ROW()&amp;";")</f>
        <v/>
      </c>
    </row>
    <row r="389" ht="15.75" customHeight="1" s="64">
      <c r="A389" s="36" t="inlineStr">
        <is>
          <t>385</t>
        </is>
      </c>
      <c r="B389" s="25">
        <f>IF(AND(C389="",D389="",E389=""),"",IF(C389="","FALTA código balón",IF(D389="","FALTA tipo balón",IF(E389="","FALTA gas",IF(F389="","FALTA propietario",IF(AND(C389&lt;&gt;"",SUMPRODUCT(--($C$5:$C$1200=C389))&gt;1),"CÓDIGO BALÓN DUPLICADO",IF(AND(OR(UPPER(F389)="PLANTA",UPPER(F389)="CLIENTE"),G389=""),"FALTA doc propietario/planta",IF(AND(UPPER(F389)="PLANTA",G389="10175332796"),"PLANTA no puede ser RUC empresa","OK"))))))))</f>
        <v/>
      </c>
      <c r="C389" s="23" t="inlineStr">
        <is>
          <t>20S288024</t>
        </is>
      </c>
      <c r="D389" s="17" t="inlineStr">
        <is>
          <t>Oxígeno Medicinal 6 m³</t>
        </is>
      </c>
      <c r="E389" s="17" t="inlineStr">
        <is>
          <t>OXIGENO MEDICINAL</t>
        </is>
      </c>
      <c r="F389" s="17" t="inlineStr">
        <is>
          <t>EMPRESA</t>
        </is>
      </c>
      <c r="G389" s="23" t="inlineStr">
        <is>
          <t>10175332796</t>
        </is>
      </c>
      <c r="H389" s="25">
        <f t="array" ref="H389">IF(G389="","",IFERROR(IF(INDEX(Clientes!$D$5:$D$549,MATCH(G389,Clientes!$C$5:$C$549,0))&lt;&gt;"",INDEX(Clientes!$D$5:$D$549,MATCH(G389,Clientes!$C$5:$C$549,0)),TRIM(INDEX(Clientes!$E$5:$E$549,MATCH(G389,Clientes!$C$5:$C$549,0))&amp;" "&amp;INDEX(Clientes!$F$5:$F$549,MATCH(G389,Clientes!$C$5:$C$549,0)))),"NO EXISTE en Clientes"))</f>
        <v/>
      </c>
      <c r="I389" s="17" t="inlineStr">
        <is>
          <t>EN_RECARGA_EXTERNA</t>
        </is>
      </c>
      <c r="J389" s="17" t="n"/>
      <c r="K389" s="26" t="inlineStr">
        <is>
          <t>20536698834</t>
        </is>
      </c>
      <c r="L389" s="25">
        <f t="array" ref="L389">IF(K389="","",IFERROR(IF(INDEX(Clientes!$D$5:$D$549,MATCH(K389,Clientes!$C$5:$C$549,0))&lt;&gt;"",INDEX(Clientes!$D$5:$D$549,MATCH(K389,Clientes!$C$5:$C$549,0)),TRIM(INDEX(Clientes!$E$5:$E$549,MATCH(K389,Clientes!$C$5:$C$549,0))&amp;" "&amp;INDEX(Clientes!$F$5:$F$549,MATCH(K389,Clientes!$C$5:$C$549,0)))),"NO EXISTE en Clientes"))</f>
        <v/>
      </c>
      <c r="M389" s="17" t="n"/>
      <c r="N389" s="17" t="n"/>
      <c r="O389" s="42" t="n"/>
      <c r="P389" s="39">
        <f>IF(O389&lt;&gt;"",DATE(YEAR(O389)+5,MONTH(O389),1),IF(AND(M389&lt;&gt;"",N389&lt;&gt;""),DATE(M389+5,N389,1),""))</f>
        <v/>
      </c>
      <c r="Q389" s="23" t="n"/>
      <c r="R389" s="17" t="n"/>
      <c r="S389" s="17" t="n"/>
      <c r="T389" s="17" t="n"/>
      <c r="U389" s="17" t="n"/>
      <c r="V389" s="23" t="n"/>
      <c r="W389" s="17" t="n"/>
      <c r="X389" s="17" t="n"/>
      <c r="Y389" s="28">
        <f>IF(B389&lt;&gt;"OK","","SELECT bal_crear_balon(p_codigo_balon =&gt; "&amp;IF(TRIM(C389&amp;"")="","NULL","'"&amp;SUBSTITUTE(TRIM(C389),"'","''")&amp;"'")&amp;", p_id_tipo_balon =&gt; "&amp;"(SELECT id FROM bal_tipo_balon WHERE upper(nombre) = upper('"&amp;SUBSTITUTE(TRIM(D389),"'","''")&amp;"') AND estado = 1 LIMIT 1)"&amp;", p_id_producto_gas =&gt; "&amp;"(SELECT id FROM pro_producto WHERE es_gas = TRUE AND upper(nombre) = upper('"&amp;SUBSTITUTE(TRIM(E389),"'","''")&amp;"') AND estado = 1 LIMIT 1)"&amp;", p_id_propietario =&gt; "&amp;IF(TRIM(F389&amp;"")="","NULL","(SELECT lo.id FROM gen_lista_opciones lo JOIN gen_lista l ON l.id = lo.id_lista WHERE l.nombre = 'PropietarioBalon' AND upper(lo.nombre) = upper('"&amp;SUBSTITUTE(TRIM(F389),"'","''")&amp;"') AND lo.estado = 1 LIMIT 1)")&amp;", p_id_cliente_propietario =&gt; "&amp;IF(F389="CLIENTE",IF(TRIM(G389&amp;"")="","NULL","(SELECT id FROM cli_clientes WHERE numero_documento = '"&amp;SUBSTITUTE(TRIM(G389),"'","''")&amp;"' AND estado = 1 LIMIT 1)"),"NULL")&amp;", p_id_planta =&gt; "&amp;IF(F389="PLANTA",IF(TRIM(G389&amp;"")="","NULL","(SELECT id FROM cli_clientes WHERE numero_documento = '"&amp;SUBSTITUTE(TRIM(G389),"'","''")&amp;"'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"&amp;IF(TRIM(J389&amp;"")="","NULL","(SELECT id FROM gen_almacen WHERE upper(nombre) = upper('"&amp;SUBSTITUTE(TRIM(J389),"'","''")&amp;"') AND estado = 1 LIMIT 1)")&amp;", p_id_cliente_ubicacion =&gt; "&amp;IF(TRIM(K389&amp;"")="","NULL","(SELECT id FROM cli_clientes WHERE numero_documento = '"&amp;SUBSTITUTE(TRIM(K389),"'","''")&amp;"' AND estado = 1 LIMIT 1)")&amp;", p_id_referencia =&gt; "&amp;IF(TRIM(J389&amp;"")&lt;&gt;"","(SELECT lo.id FROM gen_lista_opciones lo JOIN gen_lista l ON l.id = lo.id_lista WHERE l.nombre = 'ReferenciaCilindro' AND upper(lo.nombre) = 'ALMACEN' AND lo.estado = 1 LIMIT 1)",IF(TRIM(K389&amp;"")&lt;&gt;"","(SELECT lo.id FROM gen_lista_opciones lo JOIN gen_lista l ON l.id = lo.id_lista WHERE l.nombre = 'ReferenciaCilindro' AND upper(lo.nombre) = 'CLIENTE' AND lo.estado = 1 LIMIT 1)","NULL"))&amp;", p_anio_fabricacion =&gt; "&amp;IF(M389&amp;""="","NULL::smallint",M389&amp;"::smallint")&amp;", p_mes_fabricacion =&gt; "&amp;IF(N389&amp;""="","NULL::smallint",N389&amp;"::smallint")&amp;", p_fecha_ultima_prueba_hidrostatica =&gt; "&amp;IF(O389&amp;""="","NULL","'"&amp;YEAR(O389)&amp;"-"&amp;TEXT(MONTH(O389),"00")&amp;"-"&amp;TEXT(DAY(O389),"00")&amp;"'")&amp;", p_numero_serie =&gt; "&amp;IF(TRIM(Q389&amp;"")="","NULL","'"&amp;SUBSTITUTE(TRIM(Q389),"'","''")&amp;"'")&amp;", p_id_marca_cilindro =&gt; "&amp;IF(TRIM(R389&amp;"")="","NULL","(SELECT lo.id FROM gen_lista_opciones lo JOIN gen_lista l ON l.id = lo.id_lista WHERE l.nombre = 'MarcaCilindro' AND upper(lo.nombre) = upper('"&amp;SUBSTITUTE(TRIM(R389),"'","''")&amp;"') AND lo.estado = 1 LIMIT 1)")&amp;", p_id_organo_inspector =&gt; "&amp;IF(TRIM(S389&amp;"")="","NULL","(SELECT lo.id FROM gen_lista_opciones lo JOIN gen_lista l ON l.id = lo.id_lista WHERE l.nombre = 'OrganoInspectorCilindro' AND upper(lo.nombre) = upper('"&amp;SUBSTITUTE(TRIM(S389),"'","''")&amp;"') AND lo.estado = 1 LIMIT 1)")&amp;", p_organo_inspector_no_aplica =&gt; "&amp;IF(S389="NO_APLICA","TRUE","FALSE")&amp;", p_presion_actual =&gt; "&amp;IF(T389&amp;""="","NULL",SUBSTITUTE(T389&amp;"",",","."))&amp;", p_tipo_valvula =&gt; "&amp;IF(TRIM(U389&amp;"")="","NULL","'"&amp;SUBSTITUTE(TRIM(U389),"'","''")&amp;"'")&amp;", p_libro_cilindro =&gt; "&amp;IF(TRIM(V389&amp;"")="","NULL","'"&amp;SUBSTITUTE(TRIM(V389),"'","''")&amp;"'")&amp;", p_pagina_libro =&gt; "&amp;IF(W389&amp;""="","NULL",SUBSTITUTE(W389&amp;"",",","."))&amp;", p_observacion =&gt; "&amp;IF(TRIM(X389&amp;"")="","NULL","'"&amp;SUBSTITUTE(TRIM(X389),"'","''")&amp;"'")&amp;") AS resultado_balon_"&amp;ROW()&amp;";")</f>
        <v/>
      </c>
    </row>
    <row r="390" ht="15.75" customHeight="1" s="64">
      <c r="A390" s="36" t="inlineStr">
        <is>
          <t>386</t>
        </is>
      </c>
      <c r="B390" s="25">
        <f>IF(AND(C390="",D390="",E390=""),"",IF(C390="","FALTA código balón",IF(D390="","FALTA tipo balón",IF(E390="","FALTA gas",IF(F390="","FALTA propietario",IF(AND(C390&lt;&gt;"",SUMPRODUCT(--($C$5:$C$1200=C390))&gt;1),"CÓDIGO BALÓN DUPLICADO",IF(AND(OR(UPPER(F390)="PLANTA",UPPER(F390)="CLIENTE"),G390=""),"FALTA doc propietario/planta",IF(AND(UPPER(F390)="PLANTA",G390="10175332796"),"PLANTA no puede ser RUC empresa","OK"))))))))</f>
        <v/>
      </c>
      <c r="C390" s="23" t="inlineStr">
        <is>
          <t>20S290114</t>
        </is>
      </c>
      <c r="D390" s="17" t="inlineStr">
        <is>
          <t>Oxígeno Medicinal 6 m³</t>
        </is>
      </c>
      <c r="E390" s="17" t="inlineStr">
        <is>
          <t>OXIGENO MEDICINAL</t>
        </is>
      </c>
      <c r="F390" s="17" t="inlineStr">
        <is>
          <t>EMPRESA</t>
        </is>
      </c>
      <c r="G390" s="23" t="inlineStr">
        <is>
          <t>10175332796</t>
        </is>
      </c>
      <c r="H390" s="25">
        <f t="array" ref="H390">IF(G390="","",IFERROR(IF(INDEX(Clientes!$D$5:$D$549,MATCH(G390,Clientes!$C$5:$C$549,0))&lt;&gt;"",INDEX(Clientes!$D$5:$D$549,MATCH(G390,Clientes!$C$5:$C$549,0)),TRIM(INDEX(Clientes!$E$5:$E$549,MATCH(G390,Clientes!$C$5:$C$549,0))&amp;" "&amp;INDEX(Clientes!$F$5:$F$549,MATCH(G390,Clientes!$C$5:$C$549,0)))),"NO EXISTE en Clientes"))</f>
        <v/>
      </c>
      <c r="I390" s="17" t="inlineStr">
        <is>
          <t>EN_RECARGA_EXTERNA</t>
        </is>
      </c>
      <c r="J390" s="17" t="n"/>
      <c r="K390" s="26" t="inlineStr">
        <is>
          <t>20536698834</t>
        </is>
      </c>
      <c r="L390" s="25">
        <f t="array" ref="L390">IF(K390="","",IFERROR(IF(INDEX(Clientes!$D$5:$D$549,MATCH(K390,Clientes!$C$5:$C$549,0))&lt;&gt;"",INDEX(Clientes!$D$5:$D$549,MATCH(K390,Clientes!$C$5:$C$549,0)),TRIM(INDEX(Clientes!$E$5:$E$549,MATCH(K390,Clientes!$C$5:$C$549,0))&amp;" "&amp;INDEX(Clientes!$F$5:$F$549,MATCH(K390,Clientes!$C$5:$C$549,0)))),"NO EXISTE en Clientes"))</f>
        <v/>
      </c>
      <c r="M390" s="17" t="n"/>
      <c r="N390" s="17" t="n"/>
      <c r="O390" s="42" t="n"/>
      <c r="P390" s="39">
        <f>IF(O390&lt;&gt;"",DATE(YEAR(O390)+5,MONTH(O390),1),IF(AND(M390&lt;&gt;"",N390&lt;&gt;""),DATE(M390+5,N390,1),""))</f>
        <v/>
      </c>
      <c r="Q390" s="23" t="n"/>
      <c r="R390" s="17" t="n"/>
      <c r="S390" s="17" t="n"/>
      <c r="T390" s="17" t="n"/>
      <c r="U390" s="17" t="n"/>
      <c r="V390" s="23" t="n"/>
      <c r="W390" s="17" t="n"/>
      <c r="X390" s="17" t="n"/>
      <c r="Y390" s="28">
        <f>IF(B390&lt;&gt;"OK","","SELECT bal_crear_balon(p_codigo_balon =&gt; "&amp;IF(TRIM(C390&amp;"")="","NULL","'"&amp;SUBSTITUTE(TRIM(C390),"'","''")&amp;"'")&amp;", p_id_tipo_balon =&gt; "&amp;"(SELECT id FROM bal_tipo_balon WHERE upper(nombre) = upper('"&amp;SUBSTITUTE(TRIM(D390),"'","''")&amp;"') AND estado = 1 LIMIT 1)"&amp;", p_id_producto_gas =&gt; "&amp;"(SELECT id FROM pro_producto WHERE es_gas = TRUE AND upper(nombre) = upper('"&amp;SUBSTITUTE(TRIM(E390),"'","''")&amp;"') AND estado = 1 LIMIT 1)"&amp;", p_id_propietario =&gt; "&amp;IF(TRIM(F390&amp;"")="","NULL","(SELECT lo.id FROM gen_lista_opciones lo JOIN gen_lista l ON l.id = lo.id_lista WHERE l.nombre = 'PropietarioBalon' AND upper(lo.nombre) = upper('"&amp;SUBSTITUTE(TRIM(F390),"'","''")&amp;"') AND lo.estado = 1 LIMIT 1)")&amp;", p_id_cliente_propietario =&gt; "&amp;IF(F390="CLIENTE",IF(TRIM(G390&amp;"")="","NULL","(SELECT id FROM cli_clientes WHERE numero_documento = '"&amp;SUBSTITUTE(TRIM(G390),"'","''")&amp;"' AND estado = 1 LIMIT 1)"),"NULL")&amp;", p_id_planta =&gt; "&amp;IF(F390="PLANTA",IF(TRIM(G390&amp;"")="","NULL","(SELECT id FROM cli_clientes WHERE numero_documento = '"&amp;SUBSTITUTE(TRIM(G390),"'","''")&amp;"'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"&amp;IF(TRIM(J390&amp;"")="","NULL","(SELECT id FROM gen_almacen WHERE upper(nombre) = upper('"&amp;SUBSTITUTE(TRIM(J390),"'","''")&amp;"') AND estado = 1 LIMIT 1)")&amp;", p_id_cliente_ubicacion =&gt; "&amp;IF(TRIM(K390&amp;"")="","NULL","(SELECT id FROM cli_clientes WHERE numero_documento = '"&amp;SUBSTITUTE(TRIM(K390),"'","''")&amp;"' AND estado = 1 LIMIT 1)")&amp;", p_id_referencia =&gt; "&amp;IF(TRIM(J390&amp;"")&lt;&gt;"","(SELECT lo.id FROM gen_lista_opciones lo JOIN gen_lista l ON l.id = lo.id_lista WHERE l.nombre = 'ReferenciaCilindro' AND upper(lo.nombre) = 'ALMACEN' AND lo.estado = 1 LIMIT 1)",IF(TRIM(K390&amp;"")&lt;&gt;"","(SELECT lo.id FROM gen_lista_opciones lo JOIN gen_lista l ON l.id = lo.id_lista WHERE l.nombre = 'ReferenciaCilindro' AND upper(lo.nombre) = 'CLIENTE' AND lo.estado = 1 LIMIT 1)","NULL"))&amp;", p_anio_fabricacion =&gt; "&amp;IF(M390&amp;""="","NULL::smallint",M390&amp;"::smallint")&amp;", p_mes_fabricacion =&gt; "&amp;IF(N390&amp;""="","NULL::smallint",N390&amp;"::smallint")&amp;", p_fecha_ultima_prueba_hidrostatica =&gt; "&amp;IF(O390&amp;""="","NULL","'"&amp;YEAR(O390)&amp;"-"&amp;TEXT(MONTH(O390),"00")&amp;"-"&amp;TEXT(DAY(O390),"00")&amp;"'")&amp;", p_numero_serie =&gt; "&amp;IF(TRIM(Q390&amp;"")="","NULL","'"&amp;SUBSTITUTE(TRIM(Q390),"'","''")&amp;"'")&amp;", p_id_marca_cilindro =&gt; "&amp;IF(TRIM(R390&amp;"")="","NULL","(SELECT lo.id FROM gen_lista_opciones lo JOIN gen_lista l ON l.id = lo.id_lista WHERE l.nombre = 'MarcaCilindro' AND upper(lo.nombre) = upper('"&amp;SUBSTITUTE(TRIM(R390),"'","''")&amp;"') AND lo.estado = 1 LIMIT 1)")&amp;", p_id_organo_inspector =&gt; "&amp;IF(TRIM(S390&amp;"")="","NULL","(SELECT lo.id FROM gen_lista_opciones lo JOIN gen_lista l ON l.id = lo.id_lista WHERE l.nombre = 'OrganoInspectorCilindro' AND upper(lo.nombre) = upper('"&amp;SUBSTITUTE(TRIM(S390),"'","''")&amp;"') AND lo.estado = 1 LIMIT 1)")&amp;", p_organo_inspector_no_aplica =&gt; "&amp;IF(S390="NO_APLICA","TRUE","FALSE")&amp;", p_presion_actual =&gt; "&amp;IF(T390&amp;""="","NULL",SUBSTITUTE(T390&amp;"",",","."))&amp;", p_tipo_valvula =&gt; "&amp;IF(TRIM(U390&amp;"")="","NULL","'"&amp;SUBSTITUTE(TRIM(U390),"'","''")&amp;"'")&amp;", p_libro_cilindro =&gt; "&amp;IF(TRIM(V390&amp;"")="","NULL","'"&amp;SUBSTITUTE(TRIM(V390),"'","''")&amp;"'")&amp;", p_pagina_libro =&gt; "&amp;IF(W390&amp;""="","NULL",SUBSTITUTE(W390&amp;"",",","."))&amp;", p_observacion =&gt; "&amp;IF(TRIM(X390&amp;"")="","NULL","'"&amp;SUBSTITUTE(TRIM(X390),"'","''")&amp;"'")&amp;") AS resultado_balon_"&amp;ROW()&amp;";")</f>
        <v/>
      </c>
    </row>
    <row r="391" ht="15.75" customHeight="1" s="64">
      <c r="A391" s="36" t="inlineStr">
        <is>
          <t>387</t>
        </is>
      </c>
      <c r="B391" s="25">
        <f>IF(AND(C391="",D391="",E391=""),"",IF(C391="","FALTA código balón",IF(D391="","FALTA tipo balón",IF(E391="","FALTA gas",IF(F391="","FALTA propietario",IF(AND(C391&lt;&gt;"",SUMPRODUCT(--($C$5:$C$1200=C391))&gt;1),"CÓDIGO BALÓN DUPLICADO",IF(AND(OR(UPPER(F391)="PLANTA",UPPER(F391)="CLIENTE"),G391=""),"FALTA doc propietario/planta",IF(AND(UPPER(F391)="PLANTA",G391="10175332796"),"PLANTA no puede ser RUC empresa","OK"))))))))</f>
        <v/>
      </c>
      <c r="C391" s="23" t="inlineStr">
        <is>
          <t>B251459</t>
        </is>
      </c>
      <c r="D391" s="17" t="inlineStr">
        <is>
          <t>Oxigeno Industrial 4 m³</t>
        </is>
      </c>
      <c r="E391" s="17" t="inlineStr">
        <is>
          <t>OXIGENO INDUSTRIAL</t>
        </is>
      </c>
      <c r="F391" s="17" t="inlineStr">
        <is>
          <t>EMPRESA</t>
        </is>
      </c>
      <c r="G391" s="23" t="inlineStr">
        <is>
          <t>10175332796</t>
        </is>
      </c>
      <c r="H391" s="25">
        <f t="array" ref="H391">IF(G391="","",IFERROR(IF(INDEX(Clientes!$D$5:$D$549,MATCH(G391,Clientes!$C$5:$C$549,0))&lt;&gt;"",INDEX(Clientes!$D$5:$D$549,MATCH(G391,Clientes!$C$5:$C$549,0)),TRIM(INDEX(Clientes!$E$5:$E$549,MATCH(G391,Clientes!$C$5:$C$549,0))&amp;" "&amp;INDEX(Clientes!$F$5:$F$549,MATCH(G391,Clientes!$C$5:$C$549,0)))),"NO EXISTE en Clientes"))</f>
        <v/>
      </c>
      <c r="I391" s="17" t="inlineStr">
        <is>
          <t>DISPONIBLE</t>
        </is>
      </c>
      <c r="J391" s="17" t="inlineStr">
        <is>
          <t>ALMACEN PRINCIPAL</t>
        </is>
      </c>
      <c r="K391" s="23" t="n"/>
      <c r="L391" s="25">
        <f t="array" ref="L391">IF(K391="","",IFERROR(IF(INDEX(Clientes!$D$5:$D$549,MATCH(K391,Clientes!$C$5:$C$549,0))&lt;&gt;"",INDEX(Clientes!$D$5:$D$549,MATCH(K391,Clientes!$C$5:$C$549,0)),TRIM(INDEX(Clientes!$E$5:$E$549,MATCH(K391,Clientes!$C$5:$C$549,0))&amp;" "&amp;INDEX(Clientes!$F$5:$F$549,MATCH(K391,Clientes!$C$5:$C$549,0)))),"NO EXISTE en Clientes"))</f>
        <v/>
      </c>
      <c r="M391" s="17" t="n"/>
      <c r="N391" s="17" t="n"/>
      <c r="O391" s="42" t="n"/>
      <c r="P391" s="39">
        <f>IF(O391&lt;&gt;"",DATE(YEAR(O391)+5,MONTH(O391),1),IF(AND(M391&lt;&gt;"",N391&lt;&gt;""),DATE(M391+5,N391,1),""))</f>
        <v/>
      </c>
      <c r="Q391" s="23" t="n"/>
      <c r="R391" s="17" t="n"/>
      <c r="S391" s="17" t="n"/>
      <c r="T391" s="17" t="n"/>
      <c r="U391" s="17" t="n"/>
      <c r="V391" s="23" t="n"/>
      <c r="W391" s="17" t="n"/>
      <c r="X391" s="17" t="n"/>
      <c r="Y391" s="28">
        <f>IF(B391&lt;&gt;"OK","","SELECT bal_crear_balon(p_codigo_balon =&gt; "&amp;IF(TRIM(C391&amp;"")="","NULL","'"&amp;SUBSTITUTE(TRIM(C391),"'","''")&amp;"'")&amp;", p_id_tipo_balon =&gt; "&amp;"(SELECT id FROM bal_tipo_balon WHERE upper(nombre) = upper('"&amp;SUBSTITUTE(TRIM(D391),"'","''")&amp;"') AND estado = 1 LIMIT 1)"&amp;", p_id_producto_gas =&gt; "&amp;"(SELECT id FROM pro_producto WHERE es_gas = TRUE AND upper(nombre) = upper('"&amp;SUBSTITUTE(TRIM(E391),"'","''")&amp;"') AND estado = 1 LIMIT 1)"&amp;", p_id_propietario =&gt; "&amp;IF(TRIM(F391&amp;"")="","NULL","(SELECT lo.id FROM gen_lista_opciones lo JOIN gen_lista l ON l.id = lo.id_lista WHERE l.nombre = 'PropietarioBalon' AND upper(lo.nombre) = upper('"&amp;SUBSTITUTE(TRIM(F391),"'","''")&amp;"') AND lo.estado = 1 LIMIT 1)")&amp;", p_id_cliente_propietario =&gt; "&amp;IF(F391="CLIENTE",IF(TRIM(G391&amp;"")="","NULL","(SELECT id FROM cli_clientes WHERE numero_documento = '"&amp;SUBSTITUTE(TRIM(G391),"'","''")&amp;"' AND estado = 1 LIMIT 1)"),"NULL")&amp;", p_id_planta =&gt; "&amp;IF(F391="PLANTA",IF(TRIM(G391&amp;"")="","NULL","(SELECT id FROM cli_clientes WHERE numero_documento = '"&amp;SUBSTITUTE(TRIM(G391),"'","''")&amp;"'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"&amp;IF(TRIM(J391&amp;"")="","NULL","(SELECT id FROM gen_almacen WHERE upper(nombre) = upper('"&amp;SUBSTITUTE(TRIM(J391),"'","''")&amp;"') AND estado = 1 LIMIT 1)")&amp;", p_id_cliente_ubicacion =&gt; "&amp;IF(TRIM(K391&amp;"")="","NULL","(SELECT id FROM cli_clientes WHERE numero_documento = '"&amp;SUBSTITUTE(TRIM(K391),"'","''")&amp;"' AND estado = 1 LIMIT 1)")&amp;", p_id_referencia =&gt; "&amp;IF(TRIM(J391&amp;"")&lt;&gt;"","(SELECT lo.id FROM gen_lista_opciones lo JOIN gen_lista l ON l.id = lo.id_lista WHERE l.nombre = 'ReferenciaCilindro' AND upper(lo.nombre) = 'ALMACEN' AND lo.estado = 1 LIMIT 1)",IF(TRIM(K391&amp;"")&lt;&gt;"","(SELECT lo.id FROM gen_lista_opciones lo JOIN gen_lista l ON l.id = lo.id_lista WHERE l.nombre = 'ReferenciaCilindro' AND upper(lo.nombre) = 'CLIENTE' AND lo.estado = 1 LIMIT 1)","NULL"))&amp;", p_anio_fabricacion =&gt; "&amp;IF(M391&amp;""="","NULL::smallint",M391&amp;"::smallint")&amp;", p_mes_fabricacion =&gt; "&amp;IF(N391&amp;""="","NULL::smallint",N391&amp;"::smallint")&amp;", p_fecha_ultima_prueba_hidrostatica =&gt; "&amp;IF(O391&amp;""="","NULL","'"&amp;YEAR(O391)&amp;"-"&amp;TEXT(MONTH(O391),"00")&amp;"-"&amp;TEXT(DAY(O391),"00")&amp;"'")&amp;", p_numero_serie =&gt; "&amp;IF(TRIM(Q391&amp;"")="","NULL","'"&amp;SUBSTITUTE(TRIM(Q391),"'","''")&amp;"'")&amp;", p_id_marca_cilindro =&gt; "&amp;IF(TRIM(R391&amp;"")="","NULL","(SELECT lo.id FROM gen_lista_opciones lo JOIN gen_lista l ON l.id = lo.id_lista WHERE l.nombre = 'MarcaCilindro' AND upper(lo.nombre) = upper('"&amp;SUBSTITUTE(TRIM(R391),"'","''")&amp;"') AND lo.estado = 1 LIMIT 1)")&amp;", p_id_organo_inspector =&gt; "&amp;IF(TRIM(S391&amp;"")="","NULL","(SELECT lo.id FROM gen_lista_opciones lo JOIN gen_lista l ON l.id = lo.id_lista WHERE l.nombre = 'OrganoInspectorCilindro' AND upper(lo.nombre) = upper('"&amp;SUBSTITUTE(TRIM(S391),"'","''")&amp;"') AND lo.estado = 1 LIMIT 1)")&amp;", p_organo_inspector_no_aplica =&gt; "&amp;IF(S391="NO_APLICA","TRUE","FALSE")&amp;", p_presion_actual =&gt; "&amp;IF(T391&amp;""="","NULL",SUBSTITUTE(T391&amp;"",",","."))&amp;", p_tipo_valvula =&gt; "&amp;IF(TRIM(U391&amp;"")="","NULL","'"&amp;SUBSTITUTE(TRIM(U391),"'","''")&amp;"'")&amp;", p_libro_cilindro =&gt; "&amp;IF(TRIM(V391&amp;"")="","NULL","'"&amp;SUBSTITUTE(TRIM(V391),"'","''")&amp;"'")&amp;", p_pagina_libro =&gt; "&amp;IF(W391&amp;""="","NULL",SUBSTITUTE(W391&amp;"",",","."))&amp;", p_observacion =&gt; "&amp;IF(TRIM(X391&amp;"")="","NULL","'"&amp;SUBSTITUTE(TRIM(X391),"'","''")&amp;"'")&amp;") AS resultado_balon_"&amp;ROW()&amp;";")</f>
        <v/>
      </c>
    </row>
    <row r="392" ht="15.75" customHeight="1" s="64">
      <c r="A392" s="36" t="inlineStr">
        <is>
          <t>388</t>
        </is>
      </c>
      <c r="B392" s="25">
        <f>IF(AND(C392="",D392="",E392=""),"",IF(C392="","FALTA código balón",IF(D392="","FALTA tipo balón",IF(E392="","FALTA gas",IF(F392="","FALTA propietario",IF(AND(C392&lt;&gt;"",SUMPRODUCT(--($C$5:$C$1200=C392))&gt;1),"CÓDIGO BALÓN DUPLICADO",IF(AND(OR(UPPER(F392)="PLANTA",UPPER(F392)="CLIENTE"),G392=""),"FALTA doc propietario/planta",IF(AND(UPPER(F392)="PLANTA",G392="10175332796"),"PLANTA no puede ser RUC empresa","OK"))))))))</f>
        <v/>
      </c>
      <c r="C392" s="23" t="inlineStr">
        <is>
          <t>M4141 (100010)</t>
        </is>
      </c>
      <c r="D392" s="17" t="inlineStr">
        <is>
          <t>Dióxido de carbono 7 kg</t>
        </is>
      </c>
      <c r="E392" s="17" t="inlineStr">
        <is>
          <t>DIÓXIDO DE CARBONO</t>
        </is>
      </c>
      <c r="F392" s="17" t="inlineStr">
        <is>
          <t>EMPRESA</t>
        </is>
      </c>
      <c r="G392" s="23" t="inlineStr">
        <is>
          <t>10175332796</t>
        </is>
      </c>
      <c r="H392" s="25">
        <f t="array" ref="H392">IF(G392="","",IFERROR(IF(INDEX(Clientes!$D$5:$D$549,MATCH(G392,Clientes!$C$5:$C$549,0))&lt;&gt;"",INDEX(Clientes!$D$5:$D$549,MATCH(G392,Clientes!$C$5:$C$549,0)),TRIM(INDEX(Clientes!$E$5:$E$549,MATCH(G392,Clientes!$C$5:$C$549,0))&amp;" "&amp;INDEX(Clientes!$F$5:$F$549,MATCH(G392,Clientes!$C$5:$C$549,0)))),"NO EXISTE en Clientes"))</f>
        <v/>
      </c>
      <c r="I392" s="17" t="inlineStr">
        <is>
          <t>EN_RECARGA_EXTERNA</t>
        </is>
      </c>
      <c r="J392" s="17" t="n"/>
      <c r="K392" s="26" t="inlineStr">
        <is>
          <t>20536698834</t>
        </is>
      </c>
      <c r="L392" s="25">
        <f t="array" ref="L392">IF(K392="","",IFERROR(IF(INDEX(Clientes!$D$5:$D$549,MATCH(K392,Clientes!$C$5:$C$549,0))&lt;&gt;"",INDEX(Clientes!$D$5:$D$549,MATCH(K392,Clientes!$C$5:$C$549,0)),TRIM(INDEX(Clientes!$E$5:$E$549,MATCH(K392,Clientes!$C$5:$C$549,0))&amp;" "&amp;INDEX(Clientes!$F$5:$F$549,MATCH(K392,Clientes!$C$5:$C$549,0)))),"NO EXISTE en Clientes"))</f>
        <v/>
      </c>
      <c r="M392" s="17" t="n"/>
      <c r="N392" s="17" t="n"/>
      <c r="O392" s="42" t="n"/>
      <c r="P392" s="39">
        <f>IF(O392&lt;&gt;"",DATE(YEAR(O392)+5,MONTH(O392),1),IF(AND(M392&lt;&gt;"",N392&lt;&gt;""),DATE(M392+5,N392,1),""))</f>
        <v/>
      </c>
      <c r="Q392" s="23" t="n"/>
      <c r="R392" s="17" t="n"/>
      <c r="S392" s="17" t="n"/>
      <c r="T392" s="17" t="n"/>
      <c r="U392" s="17" t="n"/>
      <c r="V392" s="23" t="n"/>
      <c r="W392" s="17" t="n"/>
      <c r="X392" s="17" t="n"/>
      <c r="Y392" s="28">
        <f>IF(B392&lt;&gt;"OK","","SELECT bal_crear_balon(p_codigo_balon =&gt; "&amp;IF(TRIM(C392&amp;"")="","NULL","'"&amp;SUBSTITUTE(TRIM(C392),"'","''")&amp;"'")&amp;", p_id_tipo_balon =&gt; "&amp;"(SELECT id FROM bal_tipo_balon WHERE upper(nombre) = upper('"&amp;SUBSTITUTE(TRIM(D392),"'","''")&amp;"') AND estado = 1 LIMIT 1)"&amp;", p_id_producto_gas =&gt; "&amp;"(SELECT id FROM pro_producto WHERE es_gas = TRUE AND upper(nombre) = upper('"&amp;SUBSTITUTE(TRIM(E392),"'","''")&amp;"') AND estado = 1 LIMIT 1)"&amp;", p_id_propietario =&gt; "&amp;IF(TRIM(F392&amp;"")="","NULL","(SELECT lo.id FROM gen_lista_opciones lo JOIN gen_lista l ON l.id = lo.id_lista WHERE l.nombre = 'PropietarioBalon' AND upper(lo.nombre) = upper('"&amp;SUBSTITUTE(TRIM(F392),"'","''")&amp;"') AND lo.estado = 1 LIMIT 1)")&amp;", p_id_cliente_propietario =&gt; "&amp;IF(F392="CLIENTE",IF(TRIM(G392&amp;"")="","NULL","(SELECT id FROM cli_clientes WHERE numero_documento = '"&amp;SUBSTITUTE(TRIM(G392),"'","''")&amp;"' AND estado = 1 LIMIT 1)"),"NULL")&amp;", p_id_planta =&gt; "&amp;IF(F392="PLANTA",IF(TRIM(G392&amp;"")="","NULL","(SELECT id FROM cli_clientes WHERE numero_documento = '"&amp;SUBSTITUTE(TRIM(G392),"'","''")&amp;"'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"&amp;IF(TRIM(J392&amp;"")="","NULL","(SELECT id FROM gen_almacen WHERE upper(nombre) = upper('"&amp;SUBSTITUTE(TRIM(J392),"'","''")&amp;"') AND estado = 1 LIMIT 1)")&amp;", p_id_cliente_ubicacion =&gt; "&amp;IF(TRIM(K392&amp;"")="","NULL","(SELECT id FROM cli_clientes WHERE numero_documento = '"&amp;SUBSTITUTE(TRIM(K392),"'","''")&amp;"' AND estado = 1 LIMIT 1)")&amp;", p_id_referencia =&gt; "&amp;IF(TRIM(J392&amp;"")&lt;&gt;"","(SELECT lo.id FROM gen_lista_opciones lo JOIN gen_lista l ON l.id = lo.id_lista WHERE l.nombre = 'ReferenciaCilindro' AND upper(lo.nombre) = 'ALMACEN' AND lo.estado = 1 LIMIT 1)",IF(TRIM(K392&amp;"")&lt;&gt;"","(SELECT lo.id FROM gen_lista_opciones lo JOIN gen_lista l ON l.id = lo.id_lista WHERE l.nombre = 'ReferenciaCilindro' AND upper(lo.nombre) = 'CLIENTE' AND lo.estado = 1 LIMIT 1)","NULL"))&amp;", p_anio_fabricacion =&gt; "&amp;IF(M392&amp;""="","NULL::smallint",M392&amp;"::smallint")&amp;", p_mes_fabricacion =&gt; "&amp;IF(N392&amp;""="","NULL::smallint",N392&amp;"::smallint")&amp;", p_fecha_ultima_prueba_hidrostatica =&gt; "&amp;IF(O392&amp;""="","NULL","'"&amp;YEAR(O392)&amp;"-"&amp;TEXT(MONTH(O392),"00")&amp;"-"&amp;TEXT(DAY(O392),"00")&amp;"'")&amp;", p_numero_serie =&gt; "&amp;IF(TRIM(Q392&amp;"")="","NULL","'"&amp;SUBSTITUTE(TRIM(Q392),"'","''")&amp;"'")&amp;", p_id_marca_cilindro =&gt; "&amp;IF(TRIM(R392&amp;"")="","NULL","(SELECT lo.id FROM gen_lista_opciones lo JOIN gen_lista l ON l.id = lo.id_lista WHERE l.nombre = 'MarcaCilindro' AND upper(lo.nombre) = upper('"&amp;SUBSTITUTE(TRIM(R392),"'","''")&amp;"') AND lo.estado = 1 LIMIT 1)")&amp;", p_id_organo_inspector =&gt; "&amp;IF(TRIM(S392&amp;"")="","NULL","(SELECT lo.id FROM gen_lista_opciones lo JOIN gen_lista l ON l.id = lo.id_lista WHERE l.nombre = 'OrganoInspectorCilindro' AND upper(lo.nombre) = upper('"&amp;SUBSTITUTE(TRIM(S392),"'","''")&amp;"') AND lo.estado = 1 LIMIT 1)")&amp;", p_organo_inspector_no_aplica =&gt; "&amp;IF(S392="NO_APLICA","TRUE","FALSE")&amp;", p_presion_actual =&gt; "&amp;IF(T392&amp;""="","NULL",SUBSTITUTE(T392&amp;"",",","."))&amp;", p_tipo_valvula =&gt; "&amp;IF(TRIM(U392&amp;"")="","NULL","'"&amp;SUBSTITUTE(TRIM(U392),"'","''")&amp;"'")&amp;", p_libro_cilindro =&gt; "&amp;IF(TRIM(V392&amp;"")="","NULL","'"&amp;SUBSTITUTE(TRIM(V392),"'","''")&amp;"'")&amp;", p_pagina_libro =&gt; "&amp;IF(W392&amp;""="","NULL",SUBSTITUTE(W392&amp;"",",","."))&amp;", p_observacion =&gt; "&amp;IF(TRIM(X392&amp;"")="","NULL","'"&amp;SUBSTITUTE(TRIM(X392),"'","''")&amp;"'")&amp;") AS resultado_balon_"&amp;ROW()&amp;";")</f>
        <v/>
      </c>
    </row>
    <row r="393" ht="15.75" customHeight="1" s="64">
      <c r="A393" s="36" t="inlineStr">
        <is>
          <t>389</t>
        </is>
      </c>
      <c r="B393" s="25">
        <f>IF(AND(C393="",D393="",E393=""),"",IF(C393="","FALTA código balón",IF(D393="","FALTA tipo balón",IF(E393="","FALTA gas",IF(F393="","FALTA propietario",IF(AND(C393&lt;&gt;"",SUMPRODUCT(--($C$5:$C$1200=C393))&gt;1),"CÓDIGO BALÓN DUPLICADO",IF(AND(OR(UPPER(F393)="PLANTA",UPPER(F393)="CLIENTE"),G393=""),"FALTA doc propietario/planta",IF(AND(UPPER(F393)="PLANTA",G393="10175332796"),"PLANTA no puede ser RUC empresa","OK"))))))))</f>
        <v/>
      </c>
      <c r="C393" s="23" t="inlineStr">
        <is>
          <t>20S129035</t>
        </is>
      </c>
      <c r="D393" s="17" t="inlineStr">
        <is>
          <t>Oxígeno Medicinal 6 m³</t>
        </is>
      </c>
      <c r="E393" s="17" t="inlineStr">
        <is>
          <t>OXIGENO MEDICINAL</t>
        </is>
      </c>
      <c r="F393" s="17" t="inlineStr">
        <is>
          <t>EMPRESA</t>
        </is>
      </c>
      <c r="G393" s="23" t="inlineStr">
        <is>
          <t>10175332796</t>
        </is>
      </c>
      <c r="H393" s="25">
        <f t="array" ref="H393">IF(G393="","",IFERROR(IF(INDEX(Clientes!$D$5:$D$549,MATCH(G393,Clientes!$C$5:$C$549,0))&lt;&gt;"",INDEX(Clientes!$D$5:$D$549,MATCH(G393,Clientes!$C$5:$C$549,0)),TRIM(INDEX(Clientes!$E$5:$E$549,MATCH(G393,Clientes!$C$5:$C$549,0))&amp;" "&amp;INDEX(Clientes!$F$5:$F$549,MATCH(G393,Clientes!$C$5:$C$549,0)))),"NO EXISTE en Clientes"))</f>
        <v/>
      </c>
      <c r="I393" s="17" t="inlineStr">
        <is>
          <t>EN_RECARGA_EXTERNA</t>
        </is>
      </c>
      <c r="J393" s="17" t="n"/>
      <c r="K393" s="26" t="inlineStr">
        <is>
          <t>20536698834</t>
        </is>
      </c>
      <c r="L393" s="25">
        <f t="array" ref="L393">IF(K393="","",IFERROR(IF(INDEX(Clientes!$D$5:$D$549,MATCH(K393,Clientes!$C$5:$C$549,0))&lt;&gt;"",INDEX(Clientes!$D$5:$D$549,MATCH(K393,Clientes!$C$5:$C$549,0)),TRIM(INDEX(Clientes!$E$5:$E$549,MATCH(K393,Clientes!$C$5:$C$549,0))&amp;" "&amp;INDEX(Clientes!$F$5:$F$549,MATCH(K393,Clientes!$C$5:$C$549,0)))),"NO EXISTE en Clientes"))</f>
        <v/>
      </c>
      <c r="M393" s="17" t="n"/>
      <c r="N393" s="17" t="n"/>
      <c r="O393" s="42" t="n"/>
      <c r="P393" s="39">
        <f>IF(O393&lt;&gt;"",DATE(YEAR(O393)+5,MONTH(O393),1),IF(AND(M393&lt;&gt;"",N393&lt;&gt;""),DATE(M393+5,N393,1),""))</f>
        <v/>
      </c>
      <c r="Q393" s="23" t="n"/>
      <c r="R393" s="17" t="n"/>
      <c r="S393" s="17" t="n"/>
      <c r="T393" s="17" t="n"/>
      <c r="U393" s="17" t="n"/>
      <c r="V393" s="23" t="n"/>
      <c r="W393" s="17" t="n"/>
      <c r="X393" s="17" t="n"/>
      <c r="Y393" s="28">
        <f>IF(B393&lt;&gt;"OK","","SELECT bal_crear_balon(p_codigo_balon =&gt; "&amp;IF(TRIM(C393&amp;"")="","NULL","'"&amp;SUBSTITUTE(TRIM(C393),"'","''")&amp;"'")&amp;", p_id_tipo_balon =&gt; "&amp;"(SELECT id FROM bal_tipo_balon WHERE upper(nombre) = upper('"&amp;SUBSTITUTE(TRIM(D393),"'","''")&amp;"') AND estado = 1 LIMIT 1)"&amp;", p_id_producto_gas =&gt; "&amp;"(SELECT id FROM pro_producto WHERE es_gas = TRUE AND upper(nombre) = upper('"&amp;SUBSTITUTE(TRIM(E393),"'","''")&amp;"') AND estado = 1 LIMIT 1)"&amp;", p_id_propietario =&gt; "&amp;IF(TRIM(F393&amp;"")="","NULL","(SELECT lo.id FROM gen_lista_opciones lo JOIN gen_lista l ON l.id = lo.id_lista WHERE l.nombre = 'PropietarioBalon' AND upper(lo.nombre) = upper('"&amp;SUBSTITUTE(TRIM(F393),"'","''")&amp;"') AND lo.estado = 1 LIMIT 1)")&amp;", p_id_cliente_propietario =&gt; "&amp;IF(F393="CLIENTE",IF(TRIM(G393&amp;"")="","NULL","(SELECT id FROM cli_clientes WHERE numero_documento = '"&amp;SUBSTITUTE(TRIM(G393),"'","''")&amp;"' AND estado = 1 LIMIT 1)"),"NULL")&amp;", p_id_planta =&gt; "&amp;IF(F393="PLANTA",IF(TRIM(G393&amp;"")="","NULL","(SELECT id FROM cli_clientes WHERE numero_documento = '"&amp;SUBSTITUTE(TRIM(G393),"'","''")&amp;"'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"&amp;IF(TRIM(J393&amp;"")="","NULL","(SELECT id FROM gen_almacen WHERE upper(nombre) = upper('"&amp;SUBSTITUTE(TRIM(J393),"'","''")&amp;"') AND estado = 1 LIMIT 1)")&amp;", p_id_cliente_ubicacion =&gt; "&amp;IF(TRIM(K393&amp;"")="","NULL","(SELECT id FROM cli_clientes WHERE numero_documento = '"&amp;SUBSTITUTE(TRIM(K393),"'","''")&amp;"' AND estado = 1 LIMIT 1)")&amp;", p_id_referencia =&gt; "&amp;IF(TRIM(J393&amp;"")&lt;&gt;"","(SELECT lo.id FROM gen_lista_opciones lo JOIN gen_lista l ON l.id = lo.id_lista WHERE l.nombre = 'ReferenciaCilindro' AND upper(lo.nombre) = 'ALMACEN' AND lo.estado = 1 LIMIT 1)",IF(TRIM(K393&amp;"")&lt;&gt;"","(SELECT lo.id FROM gen_lista_opciones lo JOIN gen_lista l ON l.id = lo.id_lista WHERE l.nombre = 'ReferenciaCilindro' AND upper(lo.nombre) = 'CLIENTE' AND lo.estado = 1 LIMIT 1)","NULL"))&amp;", p_anio_fabricacion =&gt; "&amp;IF(M393&amp;""="","NULL::smallint",M393&amp;"::smallint")&amp;", p_mes_fabricacion =&gt; "&amp;IF(N393&amp;""="","NULL::smallint",N393&amp;"::smallint")&amp;", p_fecha_ultima_prueba_hidrostatica =&gt; "&amp;IF(O393&amp;""="","NULL","'"&amp;YEAR(O393)&amp;"-"&amp;TEXT(MONTH(O393),"00")&amp;"-"&amp;TEXT(DAY(O393),"00")&amp;"'")&amp;", p_numero_serie =&gt; "&amp;IF(TRIM(Q393&amp;"")="","NULL","'"&amp;SUBSTITUTE(TRIM(Q393),"'","''")&amp;"'")&amp;", p_id_marca_cilindro =&gt; "&amp;IF(TRIM(R393&amp;"")="","NULL","(SELECT lo.id FROM gen_lista_opciones lo JOIN gen_lista l ON l.id = lo.id_lista WHERE l.nombre = 'MarcaCilindro' AND upper(lo.nombre) = upper('"&amp;SUBSTITUTE(TRIM(R393),"'","''")&amp;"') AND lo.estado = 1 LIMIT 1)")&amp;", p_id_organo_inspector =&gt; "&amp;IF(TRIM(S393&amp;"")="","NULL","(SELECT lo.id FROM gen_lista_opciones lo JOIN gen_lista l ON l.id = lo.id_lista WHERE l.nombre = 'OrganoInspectorCilindro' AND upper(lo.nombre) = upper('"&amp;SUBSTITUTE(TRIM(S393),"'","''")&amp;"') AND lo.estado = 1 LIMIT 1)")&amp;", p_organo_inspector_no_aplica =&gt; "&amp;IF(S393="NO_APLICA","TRUE","FALSE")&amp;", p_presion_actual =&gt; "&amp;IF(T393&amp;""="","NULL",SUBSTITUTE(T393&amp;"",",","."))&amp;", p_tipo_valvula =&gt; "&amp;IF(TRIM(U393&amp;"")="","NULL","'"&amp;SUBSTITUTE(TRIM(U393),"'","''")&amp;"'")&amp;", p_libro_cilindro =&gt; "&amp;IF(TRIM(V393&amp;"")="","NULL","'"&amp;SUBSTITUTE(TRIM(V393),"'","''")&amp;"'")&amp;", p_pagina_libro =&gt; "&amp;IF(W393&amp;""="","NULL",SUBSTITUTE(W393&amp;"",",","."))&amp;", p_observacion =&gt; "&amp;IF(TRIM(X393&amp;"")="","NULL","'"&amp;SUBSTITUTE(TRIM(X393),"'","''")&amp;"'")&amp;") AS resultado_balon_"&amp;ROW()&amp;";")</f>
        <v/>
      </c>
    </row>
    <row r="394" ht="15.75" customHeight="1" s="64">
      <c r="A394" s="36" t="inlineStr">
        <is>
          <t>390</t>
        </is>
      </c>
      <c r="B394" s="25">
        <f>IF(AND(C394="",D394="",E394=""),"",IF(C394="","FALTA código balón",IF(D394="","FALTA tipo balón",IF(E394="","FALTA gas",IF(F394="","FALTA propietario",IF(AND(C394&lt;&gt;"",SUMPRODUCT(--($C$5:$C$1200=C394))&gt;1),"CÓDIGO BALÓN DUPLICADO",IF(AND(OR(UPPER(F394)="PLANTA",UPPER(F394)="CLIENTE"),G394=""),"FALTA doc propietario/planta",IF(AND(UPPER(F394)="PLANTA",G394="10175332796"),"PLANTA no puede ser RUC empresa","OK"))))))))</f>
        <v/>
      </c>
      <c r="C394" s="23" t="inlineStr">
        <is>
          <t>469064</t>
        </is>
      </c>
      <c r="D394" s="17" t="inlineStr">
        <is>
          <t>Argón Estándar 10 m3</t>
        </is>
      </c>
      <c r="E394" s="17" t="inlineStr">
        <is>
          <t>ARGON</t>
        </is>
      </c>
      <c r="F394" s="17" t="inlineStr">
        <is>
          <t>EMPRESA</t>
        </is>
      </c>
      <c r="G394" s="23" t="inlineStr">
        <is>
          <t>10175332796</t>
        </is>
      </c>
      <c r="H394" s="25">
        <f t="array" ref="H394">IF(G394="","",IFERROR(IF(INDEX(Clientes!$D$5:$D$549,MATCH(G394,Clientes!$C$5:$C$549,0))&lt;&gt;"",INDEX(Clientes!$D$5:$D$549,MATCH(G394,Clientes!$C$5:$C$549,0)),TRIM(INDEX(Clientes!$E$5:$E$549,MATCH(G394,Clientes!$C$5:$C$549,0))&amp;" "&amp;INDEX(Clientes!$F$5:$F$549,MATCH(G394,Clientes!$C$5:$C$549,0)))),"NO EXISTE en Clientes"))</f>
        <v/>
      </c>
      <c r="I394" s="17" t="inlineStr">
        <is>
          <t>DISPONIBLE</t>
        </is>
      </c>
      <c r="J394" s="17" t="inlineStr">
        <is>
          <t>ALMACEN PRINCIPAL</t>
        </is>
      </c>
      <c r="K394" s="23" t="n"/>
      <c r="L394" s="25">
        <f t="array" ref="L394">IF(K394="","",IFERROR(IF(INDEX(Clientes!$D$5:$D$549,MATCH(K394,Clientes!$C$5:$C$549,0))&lt;&gt;"",INDEX(Clientes!$D$5:$D$549,MATCH(K394,Clientes!$C$5:$C$549,0)),TRIM(INDEX(Clientes!$E$5:$E$549,MATCH(K394,Clientes!$C$5:$C$549,0))&amp;" "&amp;INDEX(Clientes!$F$5:$F$549,MATCH(K394,Clientes!$C$5:$C$549,0)))),"NO EXISTE en Clientes"))</f>
        <v/>
      </c>
      <c r="M394" s="17" t="n"/>
      <c r="N394" s="17" t="n"/>
      <c r="O394" s="42" t="n"/>
      <c r="P394" s="39">
        <f>IF(O394&lt;&gt;"",DATE(YEAR(O394)+5,MONTH(O394),1),IF(AND(M394&lt;&gt;"",N394&lt;&gt;""),DATE(M394+5,N394,1),""))</f>
        <v/>
      </c>
      <c r="Q394" s="23" t="n"/>
      <c r="R394" s="17" t="n"/>
      <c r="S394" s="17" t="n"/>
      <c r="T394" s="17" t="n"/>
      <c r="U394" s="17" t="n"/>
      <c r="V394" s="23" t="n"/>
      <c r="W394" s="17" t="n"/>
      <c r="X394" s="17" t="n"/>
      <c r="Y394" s="28">
        <f>IF(B394&lt;&gt;"OK","","SELECT bal_crear_balon(p_codigo_balon =&gt; "&amp;IF(TRIM(C394&amp;"")="","NULL","'"&amp;SUBSTITUTE(TRIM(C394),"'","''")&amp;"'")&amp;", p_id_tipo_balon =&gt; "&amp;"(SELECT id FROM bal_tipo_balon WHERE upper(nombre) = upper('"&amp;SUBSTITUTE(TRIM(D394),"'","''")&amp;"') AND estado = 1 LIMIT 1)"&amp;", p_id_producto_gas =&gt; "&amp;"(SELECT id FROM pro_producto WHERE es_gas = TRUE AND upper(nombre) = upper('"&amp;SUBSTITUTE(TRIM(E394),"'","''")&amp;"') AND estado = 1 LIMIT 1)"&amp;", p_id_propietario =&gt; "&amp;IF(TRIM(F394&amp;"")="","NULL","(SELECT lo.id FROM gen_lista_opciones lo JOIN gen_lista l ON l.id = lo.id_lista WHERE l.nombre = 'PropietarioBalon' AND upper(lo.nombre) = upper('"&amp;SUBSTITUTE(TRIM(F394),"'","''")&amp;"') AND lo.estado = 1 LIMIT 1)")&amp;", p_id_cliente_propietario =&gt; "&amp;IF(F394="CLIENTE",IF(TRIM(G394&amp;"")="","NULL","(SELECT id FROM cli_clientes WHERE numero_documento = '"&amp;SUBSTITUTE(TRIM(G394),"'","''")&amp;"' AND estado = 1 LIMIT 1)"),"NULL")&amp;", p_id_planta =&gt; "&amp;IF(F394="PLANTA",IF(TRIM(G394&amp;"")="","NULL","(SELECT id FROM cli_clientes WHERE numero_documento = '"&amp;SUBSTITUTE(TRIM(G394),"'","''")&amp;"'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"&amp;IF(TRIM(J394&amp;"")="","NULL","(SELECT id FROM gen_almacen WHERE upper(nombre) = upper('"&amp;SUBSTITUTE(TRIM(J394),"'","''")&amp;"') AND estado = 1 LIMIT 1)")&amp;", p_id_cliente_ubicacion =&gt; "&amp;IF(TRIM(K394&amp;"")="","NULL","(SELECT id FROM cli_clientes WHERE numero_documento = '"&amp;SUBSTITUTE(TRIM(K394),"'","''")&amp;"' AND estado = 1 LIMIT 1)")&amp;", p_id_referencia =&gt; "&amp;IF(TRIM(J394&amp;"")&lt;&gt;"","(SELECT lo.id FROM gen_lista_opciones lo JOIN gen_lista l ON l.id = lo.id_lista WHERE l.nombre = 'ReferenciaCilindro' AND upper(lo.nombre) = 'ALMACEN' AND lo.estado = 1 LIMIT 1)",IF(TRIM(K394&amp;"")&lt;&gt;"","(SELECT lo.id FROM gen_lista_opciones lo JOIN gen_lista l ON l.id = lo.id_lista WHERE l.nombre = 'ReferenciaCilindro' AND upper(lo.nombre) = 'CLIENTE' AND lo.estado = 1 LIMIT 1)","NULL"))&amp;", p_anio_fabricacion =&gt; "&amp;IF(M394&amp;""="","NULL::smallint",M394&amp;"::smallint")&amp;", p_mes_fabricacion =&gt; "&amp;IF(N394&amp;""="","NULL::smallint",N394&amp;"::smallint")&amp;", p_fecha_ultima_prueba_hidrostatica =&gt; "&amp;IF(O394&amp;""="","NULL","'"&amp;YEAR(O394)&amp;"-"&amp;TEXT(MONTH(O394),"00")&amp;"-"&amp;TEXT(DAY(O394),"00")&amp;"'")&amp;", p_numero_serie =&gt; "&amp;IF(TRIM(Q394&amp;"")="","NULL","'"&amp;SUBSTITUTE(TRIM(Q394),"'","''")&amp;"'")&amp;", p_id_marca_cilindro =&gt; "&amp;IF(TRIM(R394&amp;"")="","NULL","(SELECT lo.id FROM gen_lista_opciones lo JOIN gen_lista l ON l.id = lo.id_lista WHERE l.nombre = 'MarcaCilindro' AND upper(lo.nombre) = upper('"&amp;SUBSTITUTE(TRIM(R394),"'","''")&amp;"') AND lo.estado = 1 LIMIT 1)")&amp;", p_id_organo_inspector =&gt; "&amp;IF(TRIM(S394&amp;"")="","NULL","(SELECT lo.id FROM gen_lista_opciones lo JOIN gen_lista l ON l.id = lo.id_lista WHERE l.nombre = 'OrganoInspectorCilindro' AND upper(lo.nombre) = upper('"&amp;SUBSTITUTE(TRIM(S394),"'","''")&amp;"') AND lo.estado = 1 LIMIT 1)")&amp;", p_organo_inspector_no_aplica =&gt; "&amp;IF(S394="NO_APLICA","TRUE","FALSE")&amp;", p_presion_actual =&gt; "&amp;IF(T394&amp;""="","NULL",SUBSTITUTE(T394&amp;"",",","."))&amp;", p_tipo_valvula =&gt; "&amp;IF(TRIM(U394&amp;"")="","NULL","'"&amp;SUBSTITUTE(TRIM(U394),"'","''")&amp;"'")&amp;", p_libro_cilindro =&gt; "&amp;IF(TRIM(V394&amp;"")="","NULL","'"&amp;SUBSTITUTE(TRIM(V394),"'","''")&amp;"'")&amp;", p_pagina_libro =&gt; "&amp;IF(W394&amp;""="","NULL",SUBSTITUTE(W394&amp;"",",","."))&amp;", p_observacion =&gt; "&amp;IF(TRIM(X394&amp;"")="","NULL","'"&amp;SUBSTITUTE(TRIM(X394),"'","''")&amp;"'")&amp;") AS resultado_balon_"&amp;ROW()&amp;";")</f>
        <v/>
      </c>
    </row>
    <row r="395" ht="15.75" customHeight="1" s="64">
      <c r="A395" s="36" t="inlineStr">
        <is>
          <t>391</t>
        </is>
      </c>
      <c r="B395" s="25">
        <f>IF(AND(C395="",D395="",E395=""),"",IF(C395="","FALTA código balón",IF(D395="","FALTA tipo balón",IF(E395="","FALTA gas",IF(F395="","FALTA propietario",IF(AND(C395&lt;&gt;"",SUMPRODUCT(--($C$5:$C$1200=C395))&gt;1),"CÓDIGO BALÓN DUPLICADO",IF(AND(OR(UPPER(F395)="PLANTA",UPPER(F395)="CLIENTE"),G395=""),"FALTA doc propietario/planta",IF(AND(UPPER(F395)="PLANTA",G395="10175332796"),"PLANTA no puede ser RUC empresa","OK"))))))))</f>
        <v/>
      </c>
      <c r="C395" s="23" t="inlineStr">
        <is>
          <t>K4860181</t>
        </is>
      </c>
      <c r="D395" s="17" t="inlineStr">
        <is>
          <t>Oxígeno Medicinal 10 m³</t>
        </is>
      </c>
      <c r="E395" s="17" t="inlineStr">
        <is>
          <t>OXIGENO MEDICINAL</t>
        </is>
      </c>
      <c r="F395" s="17" t="inlineStr">
        <is>
          <t>EMPRESA</t>
        </is>
      </c>
      <c r="G395" s="23" t="inlineStr">
        <is>
          <t>10175332796</t>
        </is>
      </c>
      <c r="H395" s="25">
        <f t="array" ref="H395">IF(G395="","",IFERROR(IF(INDEX(Clientes!$D$5:$D$549,MATCH(G395,Clientes!$C$5:$C$549,0))&lt;&gt;"",INDEX(Clientes!$D$5:$D$549,MATCH(G395,Clientes!$C$5:$C$549,0)),TRIM(INDEX(Clientes!$E$5:$E$549,MATCH(G395,Clientes!$C$5:$C$549,0))&amp;" "&amp;INDEX(Clientes!$F$5:$F$549,MATCH(G395,Clientes!$C$5:$C$549,0)))),"NO EXISTE en Clientes"))</f>
        <v/>
      </c>
      <c r="I395" s="17" t="inlineStr">
        <is>
          <t>DISPONIBLE</t>
        </is>
      </c>
      <c r="J395" s="17" t="inlineStr">
        <is>
          <t>ALMACEN PRINCIPAL</t>
        </is>
      </c>
      <c r="K395" s="23" t="n"/>
      <c r="L395" s="25">
        <f t="array" ref="L395">IF(K395="","",IFERROR(IF(INDEX(Clientes!$D$5:$D$549,MATCH(K395,Clientes!$C$5:$C$549,0))&lt;&gt;"",INDEX(Clientes!$D$5:$D$549,MATCH(K395,Clientes!$C$5:$C$549,0)),TRIM(INDEX(Clientes!$E$5:$E$549,MATCH(K395,Clientes!$C$5:$C$549,0))&amp;" "&amp;INDEX(Clientes!$F$5:$F$549,MATCH(K395,Clientes!$C$5:$C$549,0)))),"NO EXISTE en Clientes"))</f>
        <v/>
      </c>
      <c r="M395" s="17" t="n"/>
      <c r="N395" s="17" t="n"/>
      <c r="O395" s="42" t="n"/>
      <c r="P395" s="39">
        <f>IF(O395&lt;&gt;"",DATE(YEAR(O395)+5,MONTH(O395),1),IF(AND(M395&lt;&gt;"",N395&lt;&gt;""),DATE(M395+5,N395,1),""))</f>
        <v/>
      </c>
      <c r="Q395" s="23" t="n"/>
      <c r="R395" s="17" t="n"/>
      <c r="S395" s="17" t="n"/>
      <c r="T395" s="17" t="n"/>
      <c r="U395" s="17" t="n"/>
      <c r="V395" s="23" t="n"/>
      <c r="W395" s="17" t="n"/>
      <c r="X395" s="17" t="n"/>
      <c r="Y395" s="28">
        <f>IF(B395&lt;&gt;"OK","","SELECT bal_crear_balon(p_codigo_balon =&gt; "&amp;IF(TRIM(C395&amp;"")="","NULL","'"&amp;SUBSTITUTE(TRIM(C395),"'","''")&amp;"'")&amp;", p_id_tipo_balon =&gt; "&amp;"(SELECT id FROM bal_tipo_balon WHERE upper(nombre) = upper('"&amp;SUBSTITUTE(TRIM(D395),"'","''")&amp;"') AND estado = 1 LIMIT 1)"&amp;", p_id_producto_gas =&gt; "&amp;"(SELECT id FROM pro_producto WHERE es_gas = TRUE AND upper(nombre) = upper('"&amp;SUBSTITUTE(TRIM(E395),"'","''")&amp;"') AND estado = 1 LIMIT 1)"&amp;", p_id_propietario =&gt; "&amp;IF(TRIM(F395&amp;"")="","NULL","(SELECT lo.id FROM gen_lista_opciones lo JOIN gen_lista l ON l.id = lo.id_lista WHERE l.nombre = 'PropietarioBalon' AND upper(lo.nombre) = upper('"&amp;SUBSTITUTE(TRIM(F395),"'","''")&amp;"') AND lo.estado = 1 LIMIT 1)")&amp;", p_id_cliente_propietario =&gt; "&amp;IF(F395="CLIENTE",IF(TRIM(G395&amp;"")="","NULL","(SELECT id FROM cli_clientes WHERE numero_documento = '"&amp;SUBSTITUTE(TRIM(G395),"'","''")&amp;"' AND estado = 1 LIMIT 1)"),"NULL")&amp;", p_id_planta =&gt; "&amp;IF(F395="PLANTA",IF(TRIM(G395&amp;"")="","NULL","(SELECT id FROM cli_clientes WHERE numero_documento = '"&amp;SUBSTITUTE(TRIM(G395),"'","''")&amp;"'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"&amp;IF(TRIM(J395&amp;"")="","NULL","(SELECT id FROM gen_almacen WHERE upper(nombre) = upper('"&amp;SUBSTITUTE(TRIM(J395),"'","''")&amp;"') AND estado = 1 LIMIT 1)")&amp;", p_id_cliente_ubicacion =&gt; "&amp;IF(TRIM(K395&amp;"")="","NULL","(SELECT id FROM cli_clientes WHERE numero_documento = '"&amp;SUBSTITUTE(TRIM(K395),"'","''")&amp;"' AND estado = 1 LIMIT 1)")&amp;", p_id_referencia =&gt; "&amp;IF(TRIM(J395&amp;"")&lt;&gt;"","(SELECT lo.id FROM gen_lista_opciones lo JOIN gen_lista l ON l.id = lo.id_lista WHERE l.nombre = 'ReferenciaCilindro' AND upper(lo.nombre) = 'ALMACEN' AND lo.estado = 1 LIMIT 1)",IF(TRIM(K395&amp;"")&lt;&gt;"","(SELECT lo.id FROM gen_lista_opciones lo JOIN gen_lista l ON l.id = lo.id_lista WHERE l.nombre = 'ReferenciaCilindro' AND upper(lo.nombre) = 'CLIENTE' AND lo.estado = 1 LIMIT 1)","NULL"))&amp;", p_anio_fabricacion =&gt; "&amp;IF(M395&amp;""="","NULL::smallint",M395&amp;"::smallint")&amp;", p_mes_fabricacion =&gt; "&amp;IF(N395&amp;""="","NULL::smallint",N395&amp;"::smallint")&amp;", p_fecha_ultima_prueba_hidrostatica =&gt; "&amp;IF(O395&amp;""="","NULL","'"&amp;YEAR(O395)&amp;"-"&amp;TEXT(MONTH(O395),"00")&amp;"-"&amp;TEXT(DAY(O395),"00")&amp;"'")&amp;", p_numero_serie =&gt; "&amp;IF(TRIM(Q395&amp;"")="","NULL","'"&amp;SUBSTITUTE(TRIM(Q395),"'","''")&amp;"'")&amp;", p_id_marca_cilindro =&gt; "&amp;IF(TRIM(R395&amp;"")="","NULL","(SELECT lo.id FROM gen_lista_opciones lo JOIN gen_lista l ON l.id = lo.id_lista WHERE l.nombre = 'MarcaCilindro' AND upper(lo.nombre) = upper('"&amp;SUBSTITUTE(TRIM(R395),"'","''")&amp;"') AND lo.estado = 1 LIMIT 1)")&amp;", p_id_organo_inspector =&gt; "&amp;IF(TRIM(S395&amp;"")="","NULL","(SELECT lo.id FROM gen_lista_opciones lo JOIN gen_lista l ON l.id = lo.id_lista WHERE l.nombre = 'OrganoInspectorCilindro' AND upper(lo.nombre) = upper('"&amp;SUBSTITUTE(TRIM(S395),"'","''")&amp;"') AND lo.estado = 1 LIMIT 1)")&amp;", p_organo_inspector_no_aplica =&gt; "&amp;IF(S395="NO_APLICA","TRUE","FALSE")&amp;", p_presion_actual =&gt; "&amp;IF(T395&amp;""="","NULL",SUBSTITUTE(T395&amp;"",",","."))&amp;", p_tipo_valvula =&gt; "&amp;IF(TRIM(U395&amp;"")="","NULL","'"&amp;SUBSTITUTE(TRIM(U395),"'","''")&amp;"'")&amp;", p_libro_cilindro =&gt; "&amp;IF(TRIM(V395&amp;"")="","NULL","'"&amp;SUBSTITUTE(TRIM(V395),"'","''")&amp;"'")&amp;", p_pagina_libro =&gt; "&amp;IF(W395&amp;""="","NULL",SUBSTITUTE(W395&amp;"",",","."))&amp;", p_observacion =&gt; "&amp;IF(TRIM(X395&amp;"")="","NULL","'"&amp;SUBSTITUTE(TRIM(X395),"'","''")&amp;"'")&amp;") AS resultado_balon_"&amp;ROW()&amp;";")</f>
        <v/>
      </c>
    </row>
    <row r="396" ht="15.75" customHeight="1" s="64">
      <c r="A396" s="36" t="inlineStr">
        <is>
          <t>392</t>
        </is>
      </c>
      <c r="B396" s="25">
        <f>IF(AND(C396="",D396="",E396=""),"",IF(C396="","FALTA código balón",IF(D396="","FALTA tipo balón",IF(E396="","FALTA gas",IF(F396="","FALTA propietario",IF(AND(C396&lt;&gt;"",SUMPRODUCT(--($C$5:$C$1200=C396))&gt;1),"CÓDIGO BALÓN DUPLICADO",IF(AND(OR(UPPER(F396)="PLANTA",UPPER(F396)="CLIENTE"),G396=""),"FALTA doc propietario/planta",IF(AND(UPPER(F396)="PLANTA",G396="10175332796"),"PLANTA no puede ser RUC empresa","OK"))))))))</f>
        <v/>
      </c>
      <c r="C396" s="23" t="inlineStr">
        <is>
          <t>K4860050</t>
        </is>
      </c>
      <c r="D396" s="17" t="inlineStr">
        <is>
          <t>Oxígeno Medicinal 10 m³</t>
        </is>
      </c>
      <c r="E396" s="17" t="inlineStr">
        <is>
          <t>OXIGENO MEDICINAL</t>
        </is>
      </c>
      <c r="F396" s="17" t="inlineStr">
        <is>
          <t>EMPRESA</t>
        </is>
      </c>
      <c r="G396" s="23" t="inlineStr">
        <is>
          <t>10175332796</t>
        </is>
      </c>
      <c r="H396" s="25">
        <f t="array" ref="H396">IF(G396="","",IFERROR(IF(INDEX(Clientes!$D$5:$D$549,MATCH(G396,Clientes!$C$5:$C$549,0))&lt;&gt;"",INDEX(Clientes!$D$5:$D$549,MATCH(G396,Clientes!$C$5:$C$549,0)),TRIM(INDEX(Clientes!$E$5:$E$549,MATCH(G396,Clientes!$C$5:$C$549,0))&amp;" "&amp;INDEX(Clientes!$F$5:$F$549,MATCH(G396,Clientes!$C$5:$C$549,0)))),"NO EXISTE en Clientes"))</f>
        <v/>
      </c>
      <c r="I396" s="17" t="inlineStr">
        <is>
          <t>DISPONIBLE</t>
        </is>
      </c>
      <c r="J396" s="17" t="inlineStr">
        <is>
          <t>ALMACEN PRINCIPAL</t>
        </is>
      </c>
      <c r="K396" s="23" t="n"/>
      <c r="L396" s="25">
        <f t="array" ref="L396">IF(K396="","",IFERROR(IF(INDEX(Clientes!$D$5:$D$549,MATCH(K396,Clientes!$C$5:$C$549,0))&lt;&gt;"",INDEX(Clientes!$D$5:$D$549,MATCH(K396,Clientes!$C$5:$C$549,0)),TRIM(INDEX(Clientes!$E$5:$E$549,MATCH(K396,Clientes!$C$5:$C$549,0))&amp;" "&amp;INDEX(Clientes!$F$5:$F$549,MATCH(K396,Clientes!$C$5:$C$549,0)))),"NO EXISTE en Clientes"))</f>
        <v/>
      </c>
      <c r="M396" s="17" t="n"/>
      <c r="N396" s="17" t="n"/>
      <c r="O396" s="42" t="n"/>
      <c r="P396" s="39">
        <f>IF(O396&lt;&gt;"",DATE(YEAR(O396)+5,MONTH(O396),1),IF(AND(M396&lt;&gt;"",N396&lt;&gt;""),DATE(M396+5,N396,1),""))</f>
        <v/>
      </c>
      <c r="Q396" s="23" t="n"/>
      <c r="R396" s="17" t="n"/>
      <c r="S396" s="17" t="n"/>
      <c r="T396" s="17" t="n"/>
      <c r="U396" s="17" t="n"/>
      <c r="V396" s="23" t="n"/>
      <c r="W396" s="17" t="n"/>
      <c r="X396" s="17" t="n"/>
      <c r="Y396" s="28">
        <f>IF(B396&lt;&gt;"OK","","SELECT bal_crear_balon(p_codigo_balon =&gt; "&amp;IF(TRIM(C396&amp;"")="","NULL","'"&amp;SUBSTITUTE(TRIM(C396),"'","''")&amp;"'")&amp;", p_id_tipo_balon =&gt; "&amp;"(SELECT id FROM bal_tipo_balon WHERE upper(nombre) = upper('"&amp;SUBSTITUTE(TRIM(D396),"'","''")&amp;"') AND estado = 1 LIMIT 1)"&amp;", p_id_producto_gas =&gt; "&amp;"(SELECT id FROM pro_producto WHERE es_gas = TRUE AND upper(nombre) = upper('"&amp;SUBSTITUTE(TRIM(E396),"'","''")&amp;"') AND estado = 1 LIMIT 1)"&amp;", p_id_propietario =&gt; "&amp;IF(TRIM(F396&amp;"")="","NULL","(SELECT lo.id FROM gen_lista_opciones lo JOIN gen_lista l ON l.id = lo.id_lista WHERE l.nombre = 'PropietarioBalon' AND upper(lo.nombre) = upper('"&amp;SUBSTITUTE(TRIM(F396),"'","''")&amp;"') AND lo.estado = 1 LIMIT 1)")&amp;", p_id_cliente_propietario =&gt; "&amp;IF(F396="CLIENTE",IF(TRIM(G396&amp;"")="","NULL","(SELECT id FROM cli_clientes WHERE numero_documento = '"&amp;SUBSTITUTE(TRIM(G396),"'","''")&amp;"' AND estado = 1 LIMIT 1)"),"NULL")&amp;", p_id_planta =&gt; "&amp;IF(F396="PLANTA",IF(TRIM(G396&amp;"")="","NULL","(SELECT id FROM cli_clientes WHERE numero_documento = '"&amp;SUBSTITUTE(TRIM(G396),"'","''")&amp;"'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"&amp;IF(TRIM(J396&amp;"")="","NULL","(SELECT id FROM gen_almacen WHERE upper(nombre) = upper('"&amp;SUBSTITUTE(TRIM(J396),"'","''")&amp;"') AND estado = 1 LIMIT 1)")&amp;", p_id_cliente_ubicacion =&gt; "&amp;IF(TRIM(K396&amp;"")="","NULL","(SELECT id FROM cli_clientes WHERE numero_documento = '"&amp;SUBSTITUTE(TRIM(K396),"'","''")&amp;"' AND estado = 1 LIMIT 1)")&amp;", p_id_referencia =&gt; "&amp;IF(TRIM(J396&amp;"")&lt;&gt;"","(SELECT lo.id FROM gen_lista_opciones lo JOIN gen_lista l ON l.id = lo.id_lista WHERE l.nombre = 'ReferenciaCilindro' AND upper(lo.nombre) = 'ALMACEN' AND lo.estado = 1 LIMIT 1)",IF(TRIM(K396&amp;"")&lt;&gt;"","(SELECT lo.id FROM gen_lista_opciones lo JOIN gen_lista l ON l.id = lo.id_lista WHERE l.nombre = 'ReferenciaCilindro' AND upper(lo.nombre) = 'CLIENTE' AND lo.estado = 1 LIMIT 1)","NULL"))&amp;", p_anio_fabricacion =&gt; "&amp;IF(M396&amp;""="","NULL::smallint",M396&amp;"::smallint")&amp;", p_mes_fabricacion =&gt; "&amp;IF(N396&amp;""="","NULL::smallint",N396&amp;"::smallint")&amp;", p_fecha_ultima_prueba_hidrostatica =&gt; "&amp;IF(O396&amp;""="","NULL","'"&amp;YEAR(O396)&amp;"-"&amp;TEXT(MONTH(O396),"00")&amp;"-"&amp;TEXT(DAY(O396),"00")&amp;"'")&amp;", p_numero_serie =&gt; "&amp;IF(TRIM(Q396&amp;"")="","NULL","'"&amp;SUBSTITUTE(TRIM(Q396),"'","''")&amp;"'")&amp;", p_id_marca_cilindro =&gt; "&amp;IF(TRIM(R396&amp;"")="","NULL","(SELECT lo.id FROM gen_lista_opciones lo JOIN gen_lista l ON l.id = lo.id_lista WHERE l.nombre = 'MarcaCilindro' AND upper(lo.nombre) = upper('"&amp;SUBSTITUTE(TRIM(R396),"'","''")&amp;"') AND lo.estado = 1 LIMIT 1)")&amp;", p_id_organo_inspector =&gt; "&amp;IF(TRIM(S396&amp;"")="","NULL","(SELECT lo.id FROM gen_lista_opciones lo JOIN gen_lista l ON l.id = lo.id_lista WHERE l.nombre = 'OrganoInspectorCilindro' AND upper(lo.nombre) = upper('"&amp;SUBSTITUTE(TRIM(S396),"'","''")&amp;"') AND lo.estado = 1 LIMIT 1)")&amp;", p_organo_inspector_no_aplica =&gt; "&amp;IF(S396="NO_APLICA","TRUE","FALSE")&amp;", p_presion_actual =&gt; "&amp;IF(T396&amp;""="","NULL",SUBSTITUTE(T396&amp;"",",","."))&amp;", p_tipo_valvula =&gt; "&amp;IF(TRIM(U396&amp;"")="","NULL","'"&amp;SUBSTITUTE(TRIM(U396),"'","''")&amp;"'")&amp;", p_libro_cilindro =&gt; "&amp;IF(TRIM(V396&amp;"")="","NULL","'"&amp;SUBSTITUTE(TRIM(V396),"'","''")&amp;"'")&amp;", p_pagina_libro =&gt; "&amp;IF(W396&amp;""="","NULL",SUBSTITUTE(W396&amp;"",",","."))&amp;", p_observacion =&gt; "&amp;IF(TRIM(X396&amp;"")="","NULL","'"&amp;SUBSTITUTE(TRIM(X396),"'","''")&amp;"'")&amp;") AS resultado_balon_"&amp;ROW()&amp;";")</f>
        <v/>
      </c>
    </row>
    <row r="397" ht="15.75" customHeight="1" s="64">
      <c r="A397" s="36" t="inlineStr">
        <is>
          <t>393</t>
        </is>
      </c>
      <c r="B397" s="25">
        <f>IF(AND(C397="",D397="",E397=""),"",IF(C397="","FALTA código balón",IF(D397="","FALTA tipo balón",IF(E397="","FALTA gas",IF(F397="","FALTA propietario",IF(AND(C397&lt;&gt;"",SUMPRODUCT(--($C$5:$C$1200=C397))&gt;1),"CÓDIGO BALÓN DUPLICADO",IF(AND(OR(UPPER(F397)="PLANTA",UPPER(F397)="CLIENTE"),G397=""),"FALTA doc propietario/planta",IF(AND(UPPER(F397)="PLANTA",G397="10175332796"),"PLANTA no puede ser RUC empresa","OK"))))))))</f>
        <v/>
      </c>
      <c r="C397" s="23" t="inlineStr">
        <is>
          <t>D3953176</t>
        </is>
      </c>
      <c r="D397" s="17" t="inlineStr">
        <is>
          <t>Oxígeno Industrial 10 m³</t>
        </is>
      </c>
      <c r="E397" s="17" t="inlineStr">
        <is>
          <t>OXIGENO INDUSTRIAL</t>
        </is>
      </c>
      <c r="F397" s="17" t="inlineStr">
        <is>
          <t>EMPRESA</t>
        </is>
      </c>
      <c r="G397" s="23" t="inlineStr">
        <is>
          <t>10175332796</t>
        </is>
      </c>
      <c r="H397" s="25">
        <f t="array" ref="H397">IF(G397="","",IFERROR(IF(INDEX(Clientes!$D$5:$D$549,MATCH(G397,Clientes!$C$5:$C$549,0))&lt;&gt;"",INDEX(Clientes!$D$5:$D$549,MATCH(G397,Clientes!$C$5:$C$549,0)),TRIM(INDEX(Clientes!$E$5:$E$549,MATCH(G397,Clientes!$C$5:$C$549,0))&amp;" "&amp;INDEX(Clientes!$F$5:$F$549,MATCH(G397,Clientes!$C$5:$C$549,0)))),"NO EXISTE en Clientes"))</f>
        <v/>
      </c>
      <c r="I397" s="17" t="inlineStr">
        <is>
          <t>DISPONIBLE</t>
        </is>
      </c>
      <c r="J397" s="17" t="inlineStr">
        <is>
          <t>ALMACEN PRINCIPAL</t>
        </is>
      </c>
      <c r="K397" s="23" t="n"/>
      <c r="L397" s="25">
        <f t="array" ref="L397">IF(K397="","",IFERROR(IF(INDEX(Clientes!$D$5:$D$549,MATCH(K397,Clientes!$C$5:$C$549,0))&lt;&gt;"",INDEX(Clientes!$D$5:$D$549,MATCH(K397,Clientes!$C$5:$C$549,0)),TRIM(INDEX(Clientes!$E$5:$E$549,MATCH(K397,Clientes!$C$5:$C$549,0))&amp;" "&amp;INDEX(Clientes!$F$5:$F$549,MATCH(K397,Clientes!$C$5:$C$549,0)))),"NO EXISTE en Clientes"))</f>
        <v/>
      </c>
      <c r="M397" s="17" t="n"/>
      <c r="N397" s="17" t="n"/>
      <c r="O397" s="42" t="n"/>
      <c r="P397" s="39">
        <f>IF(O397&lt;&gt;"",DATE(YEAR(O397)+5,MONTH(O397),1),IF(AND(M397&lt;&gt;"",N397&lt;&gt;""),DATE(M397+5,N397,1),""))</f>
        <v/>
      </c>
      <c r="Q397" s="23" t="n"/>
      <c r="R397" s="17" t="n"/>
      <c r="S397" s="17" t="n"/>
      <c r="T397" s="17" t="n"/>
      <c r="U397" s="17" t="n"/>
      <c r="V397" s="23" t="n"/>
      <c r="W397" s="17" t="n"/>
      <c r="X397" s="17" t="n"/>
      <c r="Y397" s="28">
        <f>IF(B397&lt;&gt;"OK","","SELECT bal_crear_balon(p_codigo_balon =&gt; "&amp;IF(TRIM(C397&amp;"")="","NULL","'"&amp;SUBSTITUTE(TRIM(C397),"'","''")&amp;"'")&amp;", p_id_tipo_balon =&gt; "&amp;"(SELECT id FROM bal_tipo_balon WHERE upper(nombre) = upper('"&amp;SUBSTITUTE(TRIM(D397),"'","''")&amp;"') AND estado = 1 LIMIT 1)"&amp;", p_id_producto_gas =&gt; "&amp;"(SELECT id FROM pro_producto WHERE es_gas = TRUE AND upper(nombre) = upper('"&amp;SUBSTITUTE(TRIM(E397),"'","''")&amp;"') AND estado = 1 LIMIT 1)"&amp;", p_id_propietario =&gt; "&amp;IF(TRIM(F397&amp;"")="","NULL","(SELECT lo.id FROM gen_lista_opciones lo JOIN gen_lista l ON l.id = lo.id_lista WHERE l.nombre = 'PropietarioBalon' AND upper(lo.nombre) = upper('"&amp;SUBSTITUTE(TRIM(F397),"'","''")&amp;"') AND lo.estado = 1 LIMIT 1)")&amp;", p_id_cliente_propietario =&gt; "&amp;IF(F397="CLIENTE",IF(TRIM(G397&amp;"")="","NULL","(SELECT id FROM cli_clientes WHERE numero_documento = '"&amp;SUBSTITUTE(TRIM(G397),"'","''")&amp;"' AND estado = 1 LIMIT 1)"),"NULL")&amp;", p_id_planta =&gt; "&amp;IF(F397="PLANTA",IF(TRIM(G397&amp;"")="","NULL","(SELECT id FROM cli_clientes WHERE numero_documento = '"&amp;SUBSTITUTE(TRIM(G397),"'","''")&amp;"'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"&amp;IF(TRIM(J397&amp;"")="","NULL","(SELECT id FROM gen_almacen WHERE upper(nombre) = upper('"&amp;SUBSTITUTE(TRIM(J397),"'","''")&amp;"') AND estado = 1 LIMIT 1)")&amp;", p_id_cliente_ubicacion =&gt; "&amp;IF(TRIM(K397&amp;"")="","NULL","(SELECT id FROM cli_clientes WHERE numero_documento = '"&amp;SUBSTITUTE(TRIM(K397),"'","''")&amp;"' AND estado = 1 LIMIT 1)")&amp;", p_id_referencia =&gt; "&amp;IF(TRIM(J397&amp;"")&lt;&gt;"","(SELECT lo.id FROM gen_lista_opciones lo JOIN gen_lista l ON l.id = lo.id_lista WHERE l.nombre = 'ReferenciaCilindro' AND upper(lo.nombre) = 'ALMACEN' AND lo.estado = 1 LIMIT 1)",IF(TRIM(K397&amp;"")&lt;&gt;"","(SELECT lo.id FROM gen_lista_opciones lo JOIN gen_lista l ON l.id = lo.id_lista WHERE l.nombre = 'ReferenciaCilindro' AND upper(lo.nombre) = 'CLIENTE' AND lo.estado = 1 LIMIT 1)","NULL"))&amp;", p_anio_fabricacion =&gt; "&amp;IF(M397&amp;""="","NULL::smallint",M397&amp;"::smallint")&amp;", p_mes_fabricacion =&gt; "&amp;IF(N397&amp;""="","NULL::smallint",N397&amp;"::smallint")&amp;", p_fecha_ultima_prueba_hidrostatica =&gt; "&amp;IF(O397&amp;""="","NULL","'"&amp;YEAR(O397)&amp;"-"&amp;TEXT(MONTH(O397),"00")&amp;"-"&amp;TEXT(DAY(O397),"00")&amp;"'")&amp;", p_numero_serie =&gt; "&amp;IF(TRIM(Q397&amp;"")="","NULL","'"&amp;SUBSTITUTE(TRIM(Q397),"'","''")&amp;"'")&amp;", p_id_marca_cilindro =&gt; "&amp;IF(TRIM(R397&amp;"")="","NULL","(SELECT lo.id FROM gen_lista_opciones lo JOIN gen_lista l ON l.id = lo.id_lista WHERE l.nombre = 'MarcaCilindro' AND upper(lo.nombre) = upper('"&amp;SUBSTITUTE(TRIM(R397),"'","''")&amp;"') AND lo.estado = 1 LIMIT 1)")&amp;", p_id_organo_inspector =&gt; "&amp;IF(TRIM(S397&amp;"")="","NULL","(SELECT lo.id FROM gen_lista_opciones lo JOIN gen_lista l ON l.id = lo.id_lista WHERE l.nombre = 'OrganoInspectorCilindro' AND upper(lo.nombre) = upper('"&amp;SUBSTITUTE(TRIM(S397),"'","''")&amp;"') AND lo.estado = 1 LIMIT 1)")&amp;", p_organo_inspector_no_aplica =&gt; "&amp;IF(S397="NO_APLICA","TRUE","FALSE")&amp;", p_presion_actual =&gt; "&amp;IF(T397&amp;""="","NULL",SUBSTITUTE(T397&amp;"",",","."))&amp;", p_tipo_valvula =&gt; "&amp;IF(TRIM(U397&amp;"")="","NULL","'"&amp;SUBSTITUTE(TRIM(U397),"'","''")&amp;"'")&amp;", p_libro_cilindro =&gt; "&amp;IF(TRIM(V397&amp;"")="","NULL","'"&amp;SUBSTITUTE(TRIM(V397),"'","''")&amp;"'")&amp;", p_pagina_libro =&gt; "&amp;IF(W397&amp;""="","NULL",SUBSTITUTE(W397&amp;"",",","."))&amp;", p_observacion =&gt; "&amp;IF(TRIM(X397&amp;"")="","NULL","'"&amp;SUBSTITUTE(TRIM(X397),"'","''")&amp;"'")&amp;") AS resultado_balon_"&amp;ROW()&amp;";")</f>
        <v/>
      </c>
    </row>
    <row r="398" ht="15.75" customHeight="1" s="64">
      <c r="A398" s="36" t="inlineStr">
        <is>
          <t>394</t>
        </is>
      </c>
      <c r="B398" s="25">
        <f>IF(AND(C398="",D398="",E398=""),"",IF(C398="","FALTA código balón",IF(D398="","FALTA tipo balón",IF(E398="","FALTA gas",IF(F398="","FALTA propietario",IF(AND(C398&lt;&gt;"",SUMPRODUCT(--($C$5:$C$1200=C398))&gt;1),"CÓDIGO BALÓN DUPLICADO",IF(AND(OR(UPPER(F398)="PLANTA",UPPER(F398)="CLIENTE"),G398=""),"FALTA doc propietario/planta",IF(AND(UPPER(F398)="PLANTA",G398="10175332796"),"PLANTA no puede ser RUC empresa","OK"))))))))</f>
        <v/>
      </c>
      <c r="C398" s="23" t="inlineStr">
        <is>
          <t>704057</t>
        </is>
      </c>
      <c r="D398" s="17" t="inlineStr">
        <is>
          <t>Nitrógeno 10 m³</t>
        </is>
      </c>
      <c r="E398" s="17" t="inlineStr">
        <is>
          <t>NITROGENO</t>
        </is>
      </c>
      <c r="F398" s="17" t="inlineStr">
        <is>
          <t>EMPRESA</t>
        </is>
      </c>
      <c r="G398" s="23" t="inlineStr">
        <is>
          <t>10175332796</t>
        </is>
      </c>
      <c r="H398" s="25">
        <f t="array" ref="H398">IF(G398="","",IFERROR(IF(INDEX(Clientes!$D$5:$D$549,MATCH(G398,Clientes!$C$5:$C$549,0))&lt;&gt;"",INDEX(Clientes!$D$5:$D$549,MATCH(G398,Clientes!$C$5:$C$549,0)),TRIM(INDEX(Clientes!$E$5:$E$549,MATCH(G398,Clientes!$C$5:$C$549,0))&amp;" "&amp;INDEX(Clientes!$F$5:$F$549,MATCH(G398,Clientes!$C$5:$C$549,0)))),"NO EXISTE en Clientes"))</f>
        <v/>
      </c>
      <c r="I398" s="17" t="inlineStr">
        <is>
          <t>DISPONIBLE</t>
        </is>
      </c>
      <c r="J398" s="17" t="inlineStr">
        <is>
          <t>ALMACEN PRINCIPAL</t>
        </is>
      </c>
      <c r="K398" s="23" t="n"/>
      <c r="L398" s="25">
        <f t="array" ref="L398">IF(K398="","",IFERROR(IF(INDEX(Clientes!$D$5:$D$549,MATCH(K398,Clientes!$C$5:$C$549,0))&lt;&gt;"",INDEX(Clientes!$D$5:$D$549,MATCH(K398,Clientes!$C$5:$C$549,0)),TRIM(INDEX(Clientes!$E$5:$E$549,MATCH(K398,Clientes!$C$5:$C$549,0))&amp;" "&amp;INDEX(Clientes!$F$5:$F$549,MATCH(K398,Clientes!$C$5:$C$549,0)))),"NO EXISTE en Clientes"))</f>
        <v/>
      </c>
      <c r="M398" s="17" t="n"/>
      <c r="N398" s="17" t="n"/>
      <c r="O398" s="42" t="n"/>
      <c r="P398" s="39">
        <f>IF(O398&lt;&gt;"",DATE(YEAR(O398)+5,MONTH(O398),1),IF(AND(M398&lt;&gt;"",N398&lt;&gt;""),DATE(M398+5,N398,1),""))</f>
        <v/>
      </c>
      <c r="Q398" s="23" t="n"/>
      <c r="R398" s="17" t="n"/>
      <c r="S398" s="17" t="n"/>
      <c r="T398" s="17" t="n"/>
      <c r="U398" s="17" t="n"/>
      <c r="V398" s="23" t="n"/>
      <c r="W398" s="17" t="n"/>
      <c r="X398" s="17" t="n"/>
      <c r="Y398" s="28">
        <f>IF(B398&lt;&gt;"OK","","SELECT bal_crear_balon(p_codigo_balon =&gt; "&amp;IF(TRIM(C398&amp;"")="","NULL","'"&amp;SUBSTITUTE(TRIM(C398),"'","''")&amp;"'")&amp;", p_id_tipo_balon =&gt; "&amp;"(SELECT id FROM bal_tipo_balon WHERE upper(nombre) = upper('"&amp;SUBSTITUTE(TRIM(D398),"'","''")&amp;"') AND estado = 1 LIMIT 1)"&amp;", p_id_producto_gas =&gt; "&amp;"(SELECT id FROM pro_producto WHERE es_gas = TRUE AND upper(nombre) = upper('"&amp;SUBSTITUTE(TRIM(E398),"'","''")&amp;"') AND estado = 1 LIMIT 1)"&amp;", p_id_propietario =&gt; "&amp;IF(TRIM(F398&amp;"")="","NULL","(SELECT lo.id FROM gen_lista_opciones lo JOIN gen_lista l ON l.id = lo.id_lista WHERE l.nombre = 'PropietarioBalon' AND upper(lo.nombre) = upper('"&amp;SUBSTITUTE(TRIM(F398),"'","''")&amp;"') AND lo.estado = 1 LIMIT 1)")&amp;", p_id_cliente_propietario =&gt; "&amp;IF(F398="CLIENTE",IF(TRIM(G398&amp;"")="","NULL","(SELECT id FROM cli_clientes WHERE numero_documento = '"&amp;SUBSTITUTE(TRIM(G398),"'","''")&amp;"' AND estado = 1 LIMIT 1)"),"NULL")&amp;", p_id_planta =&gt; "&amp;IF(F398="PLANTA",IF(TRIM(G398&amp;"")="","NULL","(SELECT id FROM cli_clientes WHERE numero_documento = '"&amp;SUBSTITUTE(TRIM(G398),"'","''")&amp;"'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"&amp;IF(TRIM(J398&amp;"")="","NULL","(SELECT id FROM gen_almacen WHERE upper(nombre) = upper('"&amp;SUBSTITUTE(TRIM(J398),"'","''")&amp;"') AND estado = 1 LIMIT 1)")&amp;", p_id_cliente_ubicacion =&gt; "&amp;IF(TRIM(K398&amp;"")="","NULL","(SELECT id FROM cli_clientes WHERE numero_documento = '"&amp;SUBSTITUTE(TRIM(K398),"'","''")&amp;"' AND estado = 1 LIMIT 1)")&amp;", p_id_referencia =&gt; "&amp;IF(TRIM(J398&amp;"")&lt;&gt;"","(SELECT lo.id FROM gen_lista_opciones lo JOIN gen_lista l ON l.id = lo.id_lista WHERE l.nombre = 'ReferenciaCilindro' AND upper(lo.nombre) = 'ALMACEN' AND lo.estado = 1 LIMIT 1)",IF(TRIM(K398&amp;"")&lt;&gt;"","(SELECT lo.id FROM gen_lista_opciones lo JOIN gen_lista l ON l.id = lo.id_lista WHERE l.nombre = 'ReferenciaCilindro' AND upper(lo.nombre) = 'CLIENTE' AND lo.estado = 1 LIMIT 1)","NULL"))&amp;", p_anio_fabricacion =&gt; "&amp;IF(M398&amp;""="","NULL::smallint",M398&amp;"::smallint")&amp;", p_mes_fabricacion =&gt; "&amp;IF(N398&amp;""="","NULL::smallint",N398&amp;"::smallint")&amp;", p_fecha_ultima_prueba_hidrostatica =&gt; "&amp;IF(O398&amp;""="","NULL","'"&amp;YEAR(O398)&amp;"-"&amp;TEXT(MONTH(O398),"00")&amp;"-"&amp;TEXT(DAY(O398),"00")&amp;"'")&amp;", p_numero_serie =&gt; "&amp;IF(TRIM(Q398&amp;"")="","NULL","'"&amp;SUBSTITUTE(TRIM(Q398),"'","''")&amp;"'")&amp;", p_id_marca_cilindro =&gt; "&amp;IF(TRIM(R398&amp;"")="","NULL","(SELECT lo.id FROM gen_lista_opciones lo JOIN gen_lista l ON l.id = lo.id_lista WHERE l.nombre = 'MarcaCilindro' AND upper(lo.nombre) = upper('"&amp;SUBSTITUTE(TRIM(R398),"'","''")&amp;"') AND lo.estado = 1 LIMIT 1)")&amp;", p_id_organo_inspector =&gt; "&amp;IF(TRIM(S398&amp;"")="","NULL","(SELECT lo.id FROM gen_lista_opciones lo JOIN gen_lista l ON l.id = lo.id_lista WHERE l.nombre = 'OrganoInspectorCilindro' AND upper(lo.nombre) = upper('"&amp;SUBSTITUTE(TRIM(S398),"'","''")&amp;"') AND lo.estado = 1 LIMIT 1)")&amp;", p_organo_inspector_no_aplica =&gt; "&amp;IF(S398="NO_APLICA","TRUE","FALSE")&amp;", p_presion_actual =&gt; "&amp;IF(T398&amp;""="","NULL",SUBSTITUTE(T398&amp;"",",","."))&amp;", p_tipo_valvula =&gt; "&amp;IF(TRIM(U398&amp;"")="","NULL","'"&amp;SUBSTITUTE(TRIM(U398),"'","''")&amp;"'")&amp;", p_libro_cilindro =&gt; "&amp;IF(TRIM(V398&amp;"")="","NULL","'"&amp;SUBSTITUTE(TRIM(V398),"'","''")&amp;"'")&amp;", p_pagina_libro =&gt; "&amp;IF(W398&amp;""="","NULL",SUBSTITUTE(W398&amp;"",",","."))&amp;", p_observacion =&gt; "&amp;IF(TRIM(X398&amp;"")="","NULL","'"&amp;SUBSTITUTE(TRIM(X398),"'","''")&amp;"'")&amp;") AS resultado_balon_"&amp;ROW()&amp;";")</f>
        <v/>
      </c>
    </row>
    <row r="399" ht="15.75" customHeight="1" s="64">
      <c r="A399" s="36" t="inlineStr">
        <is>
          <t>395</t>
        </is>
      </c>
      <c r="B399" s="25">
        <f>IF(AND(C399="",D399="",E399=""),"",IF(C399="","FALTA código balón",IF(D399="","FALTA tipo balón",IF(E399="","FALTA gas",IF(F399="","FALTA propietario",IF(AND(C399&lt;&gt;"",SUMPRODUCT(--($C$5:$C$1200=C399))&gt;1),"CÓDIGO BALÓN DUPLICADO",IF(AND(OR(UPPER(F399)="PLANTA",UPPER(F399)="CLIENTE"),G399=""),"FALTA doc propietario/planta",IF(AND(UPPER(F399)="PLANTA",G399="10175332796"),"PLANTA no puede ser RUC empresa","OK"))))))))</f>
        <v/>
      </c>
      <c r="C399" s="23" t="inlineStr">
        <is>
          <t>20K646168</t>
        </is>
      </c>
      <c r="D399" s="17" t="inlineStr">
        <is>
          <t>Oxígeno Industrial 10 m³</t>
        </is>
      </c>
      <c r="E399" s="17" t="inlineStr">
        <is>
          <t>OXIGENO INDUSTRIAL</t>
        </is>
      </c>
      <c r="F399" s="17" t="inlineStr">
        <is>
          <t>EMPRESA</t>
        </is>
      </c>
      <c r="G399" s="23" t="inlineStr">
        <is>
          <t>10175332796</t>
        </is>
      </c>
      <c r="H399" s="25">
        <f t="array" ref="H399">IF(G399="","",IFERROR(IF(INDEX(Clientes!$D$5:$D$549,MATCH(G399,Clientes!$C$5:$C$549,0))&lt;&gt;"",INDEX(Clientes!$D$5:$D$549,MATCH(G399,Clientes!$C$5:$C$549,0)),TRIM(INDEX(Clientes!$E$5:$E$549,MATCH(G399,Clientes!$C$5:$C$549,0))&amp;" "&amp;INDEX(Clientes!$F$5:$F$549,MATCH(G399,Clientes!$C$5:$C$549,0)))),"NO EXISTE en Clientes"))</f>
        <v/>
      </c>
      <c r="I399" s="17" t="inlineStr">
        <is>
          <t>DISPONIBLE</t>
        </is>
      </c>
      <c r="J399" s="17" t="inlineStr">
        <is>
          <t>ALMACEN PRINCIPAL</t>
        </is>
      </c>
      <c r="K399" s="23" t="n"/>
      <c r="L399" s="25">
        <f t="array" ref="L399">IF(K399="","",IFERROR(IF(INDEX(Clientes!$D$5:$D$549,MATCH(K399,Clientes!$C$5:$C$549,0))&lt;&gt;"",INDEX(Clientes!$D$5:$D$549,MATCH(K399,Clientes!$C$5:$C$549,0)),TRIM(INDEX(Clientes!$E$5:$E$549,MATCH(K399,Clientes!$C$5:$C$549,0))&amp;" "&amp;INDEX(Clientes!$F$5:$F$549,MATCH(K399,Clientes!$C$5:$C$549,0)))),"NO EXISTE en Clientes"))</f>
        <v/>
      </c>
      <c r="M399" s="17" t="n"/>
      <c r="N399" s="17" t="n"/>
      <c r="O399" s="42" t="n"/>
      <c r="P399" s="39">
        <f>IF(O399&lt;&gt;"",DATE(YEAR(O399)+5,MONTH(O399),1),IF(AND(M399&lt;&gt;"",N399&lt;&gt;""),DATE(M399+5,N399,1),""))</f>
        <v/>
      </c>
      <c r="Q399" s="23" t="n"/>
      <c r="R399" s="17" t="n"/>
      <c r="S399" s="17" t="n"/>
      <c r="T399" s="17" t="n"/>
      <c r="U399" s="17" t="n"/>
      <c r="V399" s="23" t="n"/>
      <c r="W399" s="17" t="n"/>
      <c r="X399" s="17" t="n"/>
      <c r="Y399" s="28">
        <f>IF(B399&lt;&gt;"OK","","SELECT bal_crear_balon(p_codigo_balon =&gt; "&amp;IF(TRIM(C399&amp;"")="","NULL","'"&amp;SUBSTITUTE(TRIM(C399),"'","''")&amp;"'")&amp;", p_id_tipo_balon =&gt; "&amp;"(SELECT id FROM bal_tipo_balon WHERE upper(nombre) = upper('"&amp;SUBSTITUTE(TRIM(D399),"'","''")&amp;"') AND estado = 1 LIMIT 1)"&amp;", p_id_producto_gas =&gt; "&amp;"(SELECT id FROM pro_producto WHERE es_gas = TRUE AND upper(nombre) = upper('"&amp;SUBSTITUTE(TRIM(E399),"'","''")&amp;"') AND estado = 1 LIMIT 1)"&amp;", p_id_propietario =&gt; "&amp;IF(TRIM(F399&amp;"")="","NULL","(SELECT lo.id FROM gen_lista_opciones lo JOIN gen_lista l ON l.id = lo.id_lista WHERE l.nombre = 'PropietarioBalon' AND upper(lo.nombre) = upper('"&amp;SUBSTITUTE(TRIM(F399),"'","''")&amp;"') AND lo.estado = 1 LIMIT 1)")&amp;", p_id_cliente_propietario =&gt; "&amp;IF(F399="CLIENTE",IF(TRIM(G399&amp;"")="","NULL","(SELECT id FROM cli_clientes WHERE numero_documento = '"&amp;SUBSTITUTE(TRIM(G399),"'","''")&amp;"' AND estado = 1 LIMIT 1)"),"NULL")&amp;", p_id_planta =&gt; "&amp;IF(F399="PLANTA",IF(TRIM(G399&amp;"")="","NULL","(SELECT id FROM cli_clientes WHERE numero_documento = '"&amp;SUBSTITUTE(TRIM(G399),"'","''")&amp;"'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"&amp;IF(TRIM(J399&amp;"")="","NULL","(SELECT id FROM gen_almacen WHERE upper(nombre) = upper('"&amp;SUBSTITUTE(TRIM(J399),"'","''")&amp;"') AND estado = 1 LIMIT 1)")&amp;", p_id_cliente_ubicacion =&gt; "&amp;IF(TRIM(K399&amp;"")="","NULL","(SELECT id FROM cli_clientes WHERE numero_documento = '"&amp;SUBSTITUTE(TRIM(K399),"'","''")&amp;"' AND estado = 1 LIMIT 1)")&amp;", p_id_referencia =&gt; "&amp;IF(TRIM(J399&amp;"")&lt;&gt;"","(SELECT lo.id FROM gen_lista_opciones lo JOIN gen_lista l ON l.id = lo.id_lista WHERE l.nombre = 'ReferenciaCilindro' AND upper(lo.nombre) = 'ALMACEN' AND lo.estado = 1 LIMIT 1)",IF(TRIM(K399&amp;"")&lt;&gt;"","(SELECT lo.id FROM gen_lista_opciones lo JOIN gen_lista l ON l.id = lo.id_lista WHERE l.nombre = 'ReferenciaCilindro' AND upper(lo.nombre) = 'CLIENTE' AND lo.estado = 1 LIMIT 1)","NULL"))&amp;", p_anio_fabricacion =&gt; "&amp;IF(M399&amp;""="","NULL::smallint",M399&amp;"::smallint")&amp;", p_mes_fabricacion =&gt; "&amp;IF(N399&amp;""="","NULL::smallint",N399&amp;"::smallint")&amp;", p_fecha_ultima_prueba_hidrostatica =&gt; "&amp;IF(O399&amp;""="","NULL","'"&amp;YEAR(O399)&amp;"-"&amp;TEXT(MONTH(O399),"00")&amp;"-"&amp;TEXT(DAY(O399),"00")&amp;"'")&amp;", p_numero_serie =&gt; "&amp;IF(TRIM(Q399&amp;"")="","NULL","'"&amp;SUBSTITUTE(TRIM(Q399),"'","''")&amp;"'")&amp;", p_id_marca_cilindro =&gt; "&amp;IF(TRIM(R399&amp;"")="","NULL","(SELECT lo.id FROM gen_lista_opciones lo JOIN gen_lista l ON l.id = lo.id_lista WHERE l.nombre = 'MarcaCilindro' AND upper(lo.nombre) = upper('"&amp;SUBSTITUTE(TRIM(R399),"'","''")&amp;"') AND lo.estado = 1 LIMIT 1)")&amp;", p_id_organo_inspector =&gt; "&amp;IF(TRIM(S399&amp;"")="","NULL","(SELECT lo.id FROM gen_lista_opciones lo JOIN gen_lista l ON l.id = lo.id_lista WHERE l.nombre = 'OrganoInspectorCilindro' AND upper(lo.nombre) = upper('"&amp;SUBSTITUTE(TRIM(S399),"'","''")&amp;"') AND lo.estado = 1 LIMIT 1)")&amp;", p_organo_inspector_no_aplica =&gt; "&amp;IF(S399="NO_APLICA","TRUE","FALSE")&amp;", p_presion_actual =&gt; "&amp;IF(T399&amp;""="","NULL",SUBSTITUTE(T399&amp;"",",","."))&amp;", p_tipo_valvula =&gt; "&amp;IF(TRIM(U399&amp;"")="","NULL","'"&amp;SUBSTITUTE(TRIM(U399),"'","''")&amp;"'")&amp;", p_libro_cilindro =&gt; "&amp;IF(TRIM(V399&amp;"")="","NULL","'"&amp;SUBSTITUTE(TRIM(V399),"'","''")&amp;"'")&amp;", p_pagina_libro =&gt; "&amp;IF(W399&amp;""="","NULL",SUBSTITUTE(W399&amp;"",",","."))&amp;", p_observacion =&gt; "&amp;IF(TRIM(X399&amp;"")="","NULL","'"&amp;SUBSTITUTE(TRIM(X399),"'","''")&amp;"'")&amp;") AS resultado_balon_"&amp;ROW()&amp;";")</f>
        <v/>
      </c>
    </row>
    <row r="400" ht="15.75" customHeight="1" s="64">
      <c r="A400" s="36" t="inlineStr">
        <is>
          <t>396</t>
        </is>
      </c>
      <c r="B400" s="25">
        <f>IF(AND(C400="",D400="",E400=""),"",IF(C400="","FALTA código balón",IF(D400="","FALTA tipo balón",IF(E400="","FALTA gas",IF(F400="","FALTA propietario",IF(AND(C400&lt;&gt;"",SUMPRODUCT(--($C$5:$C$1200=C400))&gt;1),"CÓDIGO BALÓN DUPLICADO",IF(AND(OR(UPPER(F400)="PLANTA",UPPER(F400)="CLIENTE"),G400=""),"FALTA doc propietario/planta",IF(AND(UPPER(F400)="PLANTA",G400="10175332796"),"PLANTA no puede ser RUC empresa","OK"))))))))</f>
        <v/>
      </c>
      <c r="C400" s="23" t="inlineStr">
        <is>
          <t>P22564</t>
        </is>
      </c>
      <c r="D400" s="17" t="inlineStr">
        <is>
          <t>Oxígeno Medicinal 10 m³</t>
        </is>
      </c>
      <c r="E400" s="17" t="inlineStr">
        <is>
          <t>OXIGENO MEDICINAL</t>
        </is>
      </c>
      <c r="F400" s="17" t="inlineStr">
        <is>
          <t>EMPRESA</t>
        </is>
      </c>
      <c r="G400" s="23" t="inlineStr">
        <is>
          <t>10175332796</t>
        </is>
      </c>
      <c r="H400" s="25">
        <f t="array" ref="H400">IF(G400="","",IFERROR(IF(INDEX(Clientes!$D$5:$D$549,MATCH(G400,Clientes!$C$5:$C$549,0))&lt;&gt;"",INDEX(Clientes!$D$5:$D$549,MATCH(G400,Clientes!$C$5:$C$549,0)),TRIM(INDEX(Clientes!$E$5:$E$549,MATCH(G400,Clientes!$C$5:$C$549,0))&amp;" "&amp;INDEX(Clientes!$F$5:$F$549,MATCH(G400,Clientes!$C$5:$C$549,0)))),"NO EXISTE en Clientes"))</f>
        <v/>
      </c>
      <c r="I400" s="17" t="inlineStr">
        <is>
          <t>DISPONIBLE</t>
        </is>
      </c>
      <c r="J400" s="17" t="inlineStr">
        <is>
          <t>ALMACEN PRINCIPAL</t>
        </is>
      </c>
      <c r="K400" s="23" t="n"/>
      <c r="L400" s="25">
        <f t="array" ref="L400">IF(K400="","",IFERROR(IF(INDEX(Clientes!$D$5:$D$549,MATCH(K400,Clientes!$C$5:$C$549,0))&lt;&gt;"",INDEX(Clientes!$D$5:$D$549,MATCH(K400,Clientes!$C$5:$C$549,0)),TRIM(INDEX(Clientes!$E$5:$E$549,MATCH(K400,Clientes!$C$5:$C$549,0))&amp;" "&amp;INDEX(Clientes!$F$5:$F$549,MATCH(K400,Clientes!$C$5:$C$549,0)))),"NO EXISTE en Clientes"))</f>
        <v/>
      </c>
      <c r="M400" s="17" t="n"/>
      <c r="N400" s="17" t="n"/>
      <c r="O400" s="42" t="n"/>
      <c r="P400" s="39">
        <f>IF(O400&lt;&gt;"",DATE(YEAR(O400)+5,MONTH(O400),1),IF(AND(M400&lt;&gt;"",N400&lt;&gt;""),DATE(M400+5,N400,1),""))</f>
        <v/>
      </c>
      <c r="Q400" s="23" t="n"/>
      <c r="R400" s="17" t="n"/>
      <c r="S400" s="17" t="n"/>
      <c r="T400" s="17" t="n"/>
      <c r="U400" s="17" t="n"/>
      <c r="V400" s="23" t="n"/>
      <c r="W400" s="17" t="n"/>
      <c r="X400" s="17" t="n"/>
      <c r="Y400" s="28">
        <f>IF(B400&lt;&gt;"OK","","SELECT bal_crear_balon(p_codigo_balon =&gt; "&amp;IF(TRIM(C400&amp;"")="","NULL","'"&amp;SUBSTITUTE(TRIM(C400),"'","''")&amp;"'")&amp;", p_id_tipo_balon =&gt; "&amp;"(SELECT id FROM bal_tipo_balon WHERE upper(nombre) = upper('"&amp;SUBSTITUTE(TRIM(D400),"'","''")&amp;"') AND estado = 1 LIMIT 1)"&amp;", p_id_producto_gas =&gt; "&amp;"(SELECT id FROM pro_producto WHERE es_gas = TRUE AND upper(nombre) = upper('"&amp;SUBSTITUTE(TRIM(E400),"'","''")&amp;"') AND estado = 1 LIMIT 1)"&amp;", p_id_propietario =&gt; "&amp;IF(TRIM(F400&amp;"")="","NULL","(SELECT lo.id FROM gen_lista_opciones lo JOIN gen_lista l ON l.id = lo.id_lista WHERE l.nombre = 'PropietarioBalon' AND upper(lo.nombre) = upper('"&amp;SUBSTITUTE(TRIM(F400),"'","''")&amp;"') AND lo.estado = 1 LIMIT 1)")&amp;", p_id_cliente_propietario =&gt; "&amp;IF(F400="CLIENTE",IF(TRIM(G400&amp;"")="","NULL","(SELECT id FROM cli_clientes WHERE numero_documento = '"&amp;SUBSTITUTE(TRIM(G400),"'","''")&amp;"' AND estado = 1 LIMIT 1)"),"NULL")&amp;", p_id_planta =&gt; "&amp;IF(F400="PLANTA",IF(TRIM(G400&amp;"")="","NULL","(SELECT id FROM cli_clientes WHERE numero_documento = '"&amp;SUBSTITUTE(TRIM(G400),"'","''")&amp;"'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"&amp;IF(TRIM(J400&amp;"")="","NULL","(SELECT id FROM gen_almacen WHERE upper(nombre) = upper('"&amp;SUBSTITUTE(TRIM(J400),"'","''")&amp;"') AND estado = 1 LIMIT 1)")&amp;", p_id_cliente_ubicacion =&gt; "&amp;IF(TRIM(K400&amp;"")="","NULL","(SELECT id FROM cli_clientes WHERE numero_documento = '"&amp;SUBSTITUTE(TRIM(K400),"'","''")&amp;"' AND estado = 1 LIMIT 1)")&amp;", p_id_referencia =&gt; "&amp;IF(TRIM(J400&amp;"")&lt;&gt;"","(SELECT lo.id FROM gen_lista_opciones lo JOIN gen_lista l ON l.id = lo.id_lista WHERE l.nombre = 'ReferenciaCilindro' AND upper(lo.nombre) = 'ALMACEN' AND lo.estado = 1 LIMIT 1)",IF(TRIM(K400&amp;"")&lt;&gt;"","(SELECT lo.id FROM gen_lista_opciones lo JOIN gen_lista l ON l.id = lo.id_lista WHERE l.nombre = 'ReferenciaCilindro' AND upper(lo.nombre) = 'CLIENTE' AND lo.estado = 1 LIMIT 1)","NULL"))&amp;", p_anio_fabricacion =&gt; "&amp;IF(M400&amp;""="","NULL::smallint",M400&amp;"::smallint")&amp;", p_mes_fabricacion =&gt; "&amp;IF(N400&amp;""="","NULL::smallint",N400&amp;"::smallint")&amp;", p_fecha_ultima_prueba_hidrostatica =&gt; "&amp;IF(O400&amp;""="","NULL","'"&amp;YEAR(O400)&amp;"-"&amp;TEXT(MONTH(O400),"00")&amp;"-"&amp;TEXT(DAY(O400),"00")&amp;"'")&amp;", p_numero_serie =&gt; "&amp;IF(TRIM(Q400&amp;"")="","NULL","'"&amp;SUBSTITUTE(TRIM(Q400),"'","''")&amp;"'")&amp;", p_id_marca_cilindro =&gt; "&amp;IF(TRIM(R400&amp;"")="","NULL","(SELECT lo.id FROM gen_lista_opciones lo JOIN gen_lista l ON l.id = lo.id_lista WHERE l.nombre = 'MarcaCilindro' AND upper(lo.nombre) = upper('"&amp;SUBSTITUTE(TRIM(R400),"'","''")&amp;"') AND lo.estado = 1 LIMIT 1)")&amp;", p_id_organo_inspector =&gt; "&amp;IF(TRIM(S400&amp;"")="","NULL","(SELECT lo.id FROM gen_lista_opciones lo JOIN gen_lista l ON l.id = lo.id_lista WHERE l.nombre = 'OrganoInspectorCilindro' AND upper(lo.nombre) = upper('"&amp;SUBSTITUTE(TRIM(S400),"'","''")&amp;"') AND lo.estado = 1 LIMIT 1)")&amp;", p_organo_inspector_no_aplica =&gt; "&amp;IF(S400="NO_APLICA","TRUE","FALSE")&amp;", p_presion_actual =&gt; "&amp;IF(T400&amp;""="","NULL",SUBSTITUTE(T400&amp;"",",","."))&amp;", p_tipo_valvula =&gt; "&amp;IF(TRIM(U400&amp;"")="","NULL","'"&amp;SUBSTITUTE(TRIM(U400),"'","''")&amp;"'")&amp;", p_libro_cilindro =&gt; "&amp;IF(TRIM(V400&amp;"")="","NULL","'"&amp;SUBSTITUTE(TRIM(V400),"'","''")&amp;"'")&amp;", p_pagina_libro =&gt; "&amp;IF(W400&amp;""="","NULL",SUBSTITUTE(W400&amp;"",",","."))&amp;", p_observacion =&gt; "&amp;IF(TRIM(X400&amp;"")="","NULL","'"&amp;SUBSTITUTE(TRIM(X400),"'","''")&amp;"'")&amp;") AS resultado_balon_"&amp;ROW()&amp;";")</f>
        <v/>
      </c>
    </row>
    <row r="401" ht="15.75" customHeight="1" s="64">
      <c r="A401" s="36" t="inlineStr">
        <is>
          <t>397</t>
        </is>
      </c>
      <c r="B401" s="25">
        <f>IF(AND(C401="",D401="",E401=""),"",IF(C401="","FALTA código balón",IF(D401="","FALTA tipo balón",IF(E401="","FALTA gas",IF(F401="","FALTA propietario",IF(AND(C401&lt;&gt;"",SUMPRODUCT(--($C$5:$C$1200=C401))&gt;1),"CÓDIGO BALÓN DUPLICADO",IF(AND(OR(UPPER(F401)="PLANTA",UPPER(F401)="CLIENTE"),G401=""),"FALTA doc propietario/planta",IF(AND(UPPER(F401)="PLANTA",G401="10175332796"),"PLANTA no puede ser RUC empresa","OK"))))))))</f>
        <v/>
      </c>
      <c r="C401" s="23" t="inlineStr">
        <is>
          <t>20S129076</t>
        </is>
      </c>
      <c r="D401" s="17" t="inlineStr">
        <is>
          <t>Oxígeno Medicinal 6 m³</t>
        </is>
      </c>
      <c r="E401" s="17" t="inlineStr">
        <is>
          <t>OXIGENO MEDICINAL</t>
        </is>
      </c>
      <c r="F401" s="17" t="inlineStr">
        <is>
          <t>EMPRESA</t>
        </is>
      </c>
      <c r="G401" s="23" t="inlineStr">
        <is>
          <t>10175332796</t>
        </is>
      </c>
      <c r="H401" s="25">
        <f t="array" ref="H401">IF(G401="","",IFERROR(IF(INDEX(Clientes!$D$5:$D$549,MATCH(G401,Clientes!$C$5:$C$549,0))&lt;&gt;"",INDEX(Clientes!$D$5:$D$549,MATCH(G401,Clientes!$C$5:$C$549,0)),TRIM(INDEX(Clientes!$E$5:$E$549,MATCH(G401,Clientes!$C$5:$C$549,0))&amp;" "&amp;INDEX(Clientes!$F$5:$F$549,MATCH(G401,Clientes!$C$5:$C$549,0)))),"NO EXISTE en Clientes"))</f>
        <v/>
      </c>
      <c r="I401" s="17" t="inlineStr">
        <is>
          <t>EN_RECARGA_EXTERNA</t>
        </is>
      </c>
      <c r="J401" s="17" t="n"/>
      <c r="K401" s="26" t="inlineStr">
        <is>
          <t>20536698834</t>
        </is>
      </c>
      <c r="L401" s="25">
        <f t="array" ref="L401">IF(K401="","",IFERROR(IF(INDEX(Clientes!$D$5:$D$549,MATCH(K401,Clientes!$C$5:$C$549,0))&lt;&gt;"",INDEX(Clientes!$D$5:$D$549,MATCH(K401,Clientes!$C$5:$C$549,0)),TRIM(INDEX(Clientes!$E$5:$E$549,MATCH(K401,Clientes!$C$5:$C$549,0))&amp;" "&amp;INDEX(Clientes!$F$5:$F$549,MATCH(K401,Clientes!$C$5:$C$549,0)))),"NO EXISTE en Clientes"))</f>
        <v/>
      </c>
      <c r="M401" s="17" t="n"/>
      <c r="N401" s="17" t="n"/>
      <c r="O401" s="42" t="n"/>
      <c r="P401" s="39">
        <f>IF(O401&lt;&gt;"",DATE(YEAR(O401)+5,MONTH(O401),1),IF(AND(M401&lt;&gt;"",N401&lt;&gt;""),DATE(M401+5,N401,1),""))</f>
        <v/>
      </c>
      <c r="Q401" s="23" t="n"/>
      <c r="R401" s="17" t="n"/>
      <c r="S401" s="17" t="n"/>
      <c r="T401" s="17" t="n"/>
      <c r="U401" s="17" t="n"/>
      <c r="V401" s="23" t="n"/>
      <c r="W401" s="17" t="n"/>
      <c r="X401" s="17" t="n"/>
      <c r="Y401" s="28">
        <f>IF(B401&lt;&gt;"OK","","SELECT bal_crear_balon(p_codigo_balon =&gt; "&amp;IF(TRIM(C401&amp;"")="","NULL","'"&amp;SUBSTITUTE(TRIM(C401),"'","''")&amp;"'")&amp;", p_id_tipo_balon =&gt; "&amp;"(SELECT id FROM bal_tipo_balon WHERE upper(nombre) = upper('"&amp;SUBSTITUTE(TRIM(D401),"'","''")&amp;"') AND estado = 1 LIMIT 1)"&amp;", p_id_producto_gas =&gt; "&amp;"(SELECT id FROM pro_producto WHERE es_gas = TRUE AND upper(nombre) = upper('"&amp;SUBSTITUTE(TRIM(E401),"'","''")&amp;"') AND estado = 1 LIMIT 1)"&amp;", p_id_propietario =&gt; "&amp;IF(TRIM(F401&amp;"")="","NULL","(SELECT lo.id FROM gen_lista_opciones lo JOIN gen_lista l ON l.id = lo.id_lista WHERE l.nombre = 'PropietarioBalon' AND upper(lo.nombre) = upper('"&amp;SUBSTITUTE(TRIM(F401),"'","''")&amp;"') AND lo.estado = 1 LIMIT 1)")&amp;", p_id_cliente_propietario =&gt; "&amp;IF(F401="CLIENTE",IF(TRIM(G401&amp;"")="","NULL","(SELECT id FROM cli_clientes WHERE numero_documento = '"&amp;SUBSTITUTE(TRIM(G401),"'","''")&amp;"' AND estado = 1 LIMIT 1)"),"NULL")&amp;", p_id_planta =&gt; "&amp;IF(F401="PLANTA",IF(TRIM(G401&amp;"")="","NULL","(SELECT id FROM cli_clientes WHERE numero_documento = '"&amp;SUBSTITUTE(TRIM(G401),"'","''")&amp;"'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"&amp;IF(TRIM(J401&amp;"")="","NULL","(SELECT id FROM gen_almacen WHERE upper(nombre) = upper('"&amp;SUBSTITUTE(TRIM(J401),"'","''")&amp;"') AND estado = 1 LIMIT 1)")&amp;", p_id_cliente_ubicacion =&gt; "&amp;IF(TRIM(K401&amp;"")="","NULL","(SELECT id FROM cli_clientes WHERE numero_documento = '"&amp;SUBSTITUTE(TRIM(K401),"'","''")&amp;"' AND estado = 1 LIMIT 1)")&amp;", p_id_referencia =&gt; "&amp;IF(TRIM(J401&amp;"")&lt;&gt;"","(SELECT lo.id FROM gen_lista_opciones lo JOIN gen_lista l ON l.id = lo.id_lista WHERE l.nombre = 'ReferenciaCilindro' AND upper(lo.nombre) = 'ALMACEN' AND lo.estado = 1 LIMIT 1)",IF(TRIM(K401&amp;"")&lt;&gt;"","(SELECT lo.id FROM gen_lista_opciones lo JOIN gen_lista l ON l.id = lo.id_lista WHERE l.nombre = 'ReferenciaCilindro' AND upper(lo.nombre) = 'CLIENTE' AND lo.estado = 1 LIMIT 1)","NULL"))&amp;", p_anio_fabricacion =&gt; "&amp;IF(M401&amp;""="","NULL::smallint",M401&amp;"::smallint")&amp;", p_mes_fabricacion =&gt; "&amp;IF(N401&amp;""="","NULL::smallint",N401&amp;"::smallint")&amp;", p_fecha_ultima_prueba_hidrostatica =&gt; "&amp;IF(O401&amp;""="","NULL","'"&amp;YEAR(O401)&amp;"-"&amp;TEXT(MONTH(O401),"00")&amp;"-"&amp;TEXT(DAY(O401),"00")&amp;"'")&amp;", p_numero_serie =&gt; "&amp;IF(TRIM(Q401&amp;"")="","NULL","'"&amp;SUBSTITUTE(TRIM(Q401),"'","''")&amp;"'")&amp;", p_id_marca_cilindro =&gt; "&amp;IF(TRIM(R401&amp;"")="","NULL","(SELECT lo.id FROM gen_lista_opciones lo JOIN gen_lista l ON l.id = lo.id_lista WHERE l.nombre = 'MarcaCilindro' AND upper(lo.nombre) = upper('"&amp;SUBSTITUTE(TRIM(R401),"'","''")&amp;"') AND lo.estado = 1 LIMIT 1)")&amp;", p_id_organo_inspector =&gt; "&amp;IF(TRIM(S401&amp;"")="","NULL","(SELECT lo.id FROM gen_lista_opciones lo JOIN gen_lista l ON l.id = lo.id_lista WHERE l.nombre = 'OrganoInspectorCilindro' AND upper(lo.nombre) = upper('"&amp;SUBSTITUTE(TRIM(S401),"'","''")&amp;"') AND lo.estado = 1 LIMIT 1)")&amp;", p_organo_inspector_no_aplica =&gt; "&amp;IF(S401="NO_APLICA","TRUE","FALSE")&amp;", p_presion_actual =&gt; "&amp;IF(T401&amp;""="","NULL",SUBSTITUTE(T401&amp;"",",","."))&amp;", p_tipo_valvula =&gt; "&amp;IF(TRIM(U401&amp;"")="","NULL","'"&amp;SUBSTITUTE(TRIM(U401),"'","''")&amp;"'")&amp;", p_libro_cilindro =&gt; "&amp;IF(TRIM(V401&amp;"")="","NULL","'"&amp;SUBSTITUTE(TRIM(V401),"'","''")&amp;"'")&amp;", p_pagina_libro =&gt; "&amp;IF(W401&amp;""="","NULL",SUBSTITUTE(W401&amp;"",",","."))&amp;", p_observacion =&gt; "&amp;IF(TRIM(X401&amp;"")="","NULL","'"&amp;SUBSTITUTE(TRIM(X401),"'","''")&amp;"'")&amp;") AS resultado_balon_"&amp;ROW()&amp;";")</f>
        <v/>
      </c>
    </row>
    <row r="402" ht="15.75" customHeight="1" s="64">
      <c r="A402" s="36" t="inlineStr">
        <is>
          <t>398</t>
        </is>
      </c>
      <c r="B402" s="25">
        <f>IF(AND(C402="",D402="",E402=""),"",IF(C402="","FALTA código balón",IF(D402="","FALTA tipo balón",IF(E402="","FALTA gas",IF(F402="","FALTA propietario",IF(AND(C402&lt;&gt;"",SUMPRODUCT(--($C$5:$C$1200=C402))&gt;1),"CÓDIGO BALÓN DUPLICADO",IF(AND(OR(UPPER(F402)="PLANTA",UPPER(F402)="CLIENTE"),G402=""),"FALTA doc propietario/planta",IF(AND(UPPER(F402)="PLANTA",G402="10175332796"),"PLANTA no puede ser RUC empresa","OK"))))))))</f>
        <v/>
      </c>
      <c r="C402" s="23" t="inlineStr">
        <is>
          <t>YA21Y059160</t>
        </is>
      </c>
      <c r="D402" s="17" t="inlineStr">
        <is>
          <t>Oxígeno Medicinal 10 m³</t>
        </is>
      </c>
      <c r="E402" s="17" t="inlineStr">
        <is>
          <t>OXIGENO MEDICINAL</t>
        </is>
      </c>
      <c r="F402" s="17" t="inlineStr">
        <is>
          <t>EMPRESA</t>
        </is>
      </c>
      <c r="G402" s="23" t="inlineStr">
        <is>
          <t>10175332796</t>
        </is>
      </c>
      <c r="H402" s="25">
        <f t="array" ref="H402">IF(G402="","",IFERROR(IF(INDEX(Clientes!$D$5:$D$549,MATCH(G402,Clientes!$C$5:$C$549,0))&lt;&gt;"",INDEX(Clientes!$D$5:$D$549,MATCH(G402,Clientes!$C$5:$C$549,0)),TRIM(INDEX(Clientes!$E$5:$E$549,MATCH(G402,Clientes!$C$5:$C$549,0))&amp;" "&amp;INDEX(Clientes!$F$5:$F$549,MATCH(G402,Clientes!$C$5:$C$549,0)))),"NO EXISTE en Clientes"))</f>
        <v/>
      </c>
      <c r="I402" s="17" t="inlineStr">
        <is>
          <t>DISPONIBLE</t>
        </is>
      </c>
      <c r="J402" s="17" t="inlineStr">
        <is>
          <t>ALMACEN PRINCIPAL</t>
        </is>
      </c>
      <c r="K402" s="23" t="n"/>
      <c r="L402" s="25">
        <f t="array" ref="L402">IF(K402="","",IFERROR(IF(INDEX(Clientes!$D$5:$D$549,MATCH(K402,Clientes!$C$5:$C$549,0))&lt;&gt;"",INDEX(Clientes!$D$5:$D$549,MATCH(K402,Clientes!$C$5:$C$549,0)),TRIM(INDEX(Clientes!$E$5:$E$549,MATCH(K402,Clientes!$C$5:$C$549,0))&amp;" "&amp;INDEX(Clientes!$F$5:$F$549,MATCH(K402,Clientes!$C$5:$C$549,0)))),"NO EXISTE en Clientes"))</f>
        <v/>
      </c>
      <c r="M402" s="17" t="n"/>
      <c r="N402" s="17" t="n"/>
      <c r="O402" s="42" t="n"/>
      <c r="P402" s="39">
        <f>IF(O402&lt;&gt;"",DATE(YEAR(O402)+5,MONTH(O402),1),IF(AND(M402&lt;&gt;"",N402&lt;&gt;""),DATE(M402+5,N402,1),""))</f>
        <v/>
      </c>
      <c r="Q402" s="23" t="n"/>
      <c r="R402" s="17" t="n"/>
      <c r="S402" s="17" t="n"/>
      <c r="T402" s="17" t="n"/>
      <c r="U402" s="17" t="n"/>
      <c r="V402" s="23" t="n"/>
      <c r="W402" s="17" t="n"/>
      <c r="X402" s="17" t="n"/>
      <c r="Y402" s="28">
        <f>IF(B402&lt;&gt;"OK","","SELECT bal_crear_balon(p_codigo_balon =&gt; "&amp;IF(TRIM(C402&amp;"")="","NULL","'"&amp;SUBSTITUTE(TRIM(C402),"'","''")&amp;"'")&amp;", p_id_tipo_balon =&gt; "&amp;"(SELECT id FROM bal_tipo_balon WHERE upper(nombre) = upper('"&amp;SUBSTITUTE(TRIM(D402),"'","''")&amp;"') AND estado = 1 LIMIT 1)"&amp;", p_id_producto_gas =&gt; "&amp;"(SELECT id FROM pro_producto WHERE es_gas = TRUE AND upper(nombre) = upper('"&amp;SUBSTITUTE(TRIM(E402),"'","''")&amp;"') AND estado = 1 LIMIT 1)"&amp;", p_id_propietario =&gt; "&amp;IF(TRIM(F402&amp;"")="","NULL","(SELECT lo.id FROM gen_lista_opciones lo JOIN gen_lista l ON l.id = lo.id_lista WHERE l.nombre = 'PropietarioBalon' AND upper(lo.nombre) = upper('"&amp;SUBSTITUTE(TRIM(F402),"'","''")&amp;"') AND lo.estado = 1 LIMIT 1)")&amp;", p_id_cliente_propietario =&gt; "&amp;IF(F402="CLIENTE",IF(TRIM(G402&amp;"")="","NULL","(SELECT id FROM cli_clientes WHERE numero_documento = '"&amp;SUBSTITUTE(TRIM(G402),"'","''")&amp;"' AND estado = 1 LIMIT 1)"),"NULL")&amp;", p_id_planta =&gt; "&amp;IF(F402="PLANTA",IF(TRIM(G402&amp;"")="","NULL","(SELECT id FROM cli_clientes WHERE numero_documento = '"&amp;SUBSTITUTE(TRIM(G402),"'","''")&amp;"'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"&amp;IF(TRIM(J402&amp;"")="","NULL","(SELECT id FROM gen_almacen WHERE upper(nombre) = upper('"&amp;SUBSTITUTE(TRIM(J402),"'","''")&amp;"') AND estado = 1 LIMIT 1)")&amp;", p_id_cliente_ubicacion =&gt; "&amp;IF(TRIM(K402&amp;"")="","NULL","(SELECT id FROM cli_clientes WHERE numero_documento = '"&amp;SUBSTITUTE(TRIM(K402),"'","''")&amp;"' AND estado = 1 LIMIT 1)")&amp;", p_id_referencia =&gt; "&amp;IF(TRIM(J402&amp;"")&lt;&gt;"","(SELECT lo.id FROM gen_lista_opciones lo JOIN gen_lista l ON l.id = lo.id_lista WHERE l.nombre = 'ReferenciaCilindro' AND upper(lo.nombre) = 'ALMACEN' AND lo.estado = 1 LIMIT 1)",IF(TRIM(K402&amp;"")&lt;&gt;"","(SELECT lo.id FROM gen_lista_opciones lo JOIN gen_lista l ON l.id = lo.id_lista WHERE l.nombre = 'ReferenciaCilindro' AND upper(lo.nombre) = 'CLIENTE' AND lo.estado = 1 LIMIT 1)","NULL"))&amp;", p_anio_fabricacion =&gt; "&amp;IF(M402&amp;""="","NULL::smallint",M402&amp;"::smallint")&amp;", p_mes_fabricacion =&gt; "&amp;IF(N402&amp;""="","NULL::smallint",N402&amp;"::smallint")&amp;", p_fecha_ultima_prueba_hidrostatica =&gt; "&amp;IF(O402&amp;""="","NULL","'"&amp;YEAR(O402)&amp;"-"&amp;TEXT(MONTH(O402),"00")&amp;"-"&amp;TEXT(DAY(O402),"00")&amp;"'")&amp;", p_numero_serie =&gt; "&amp;IF(TRIM(Q402&amp;"")="","NULL","'"&amp;SUBSTITUTE(TRIM(Q402),"'","''")&amp;"'")&amp;", p_id_marca_cilindro =&gt; "&amp;IF(TRIM(R402&amp;"")="","NULL","(SELECT lo.id FROM gen_lista_opciones lo JOIN gen_lista l ON l.id = lo.id_lista WHERE l.nombre = 'MarcaCilindro' AND upper(lo.nombre) = upper('"&amp;SUBSTITUTE(TRIM(R402),"'","''")&amp;"') AND lo.estado = 1 LIMIT 1)")&amp;", p_id_organo_inspector =&gt; "&amp;IF(TRIM(S402&amp;"")="","NULL","(SELECT lo.id FROM gen_lista_opciones lo JOIN gen_lista l ON l.id = lo.id_lista WHERE l.nombre = 'OrganoInspectorCilindro' AND upper(lo.nombre) = upper('"&amp;SUBSTITUTE(TRIM(S402),"'","''")&amp;"') AND lo.estado = 1 LIMIT 1)")&amp;", p_organo_inspector_no_aplica =&gt; "&amp;IF(S402="NO_APLICA","TRUE","FALSE")&amp;", p_presion_actual =&gt; "&amp;IF(T402&amp;""="","NULL",SUBSTITUTE(T402&amp;"",",","."))&amp;", p_tipo_valvula =&gt; "&amp;IF(TRIM(U402&amp;"")="","NULL","'"&amp;SUBSTITUTE(TRIM(U402),"'","''")&amp;"'")&amp;", p_libro_cilindro =&gt; "&amp;IF(TRIM(V402&amp;"")="","NULL","'"&amp;SUBSTITUTE(TRIM(V402),"'","''")&amp;"'")&amp;", p_pagina_libro =&gt; "&amp;IF(W402&amp;""="","NULL",SUBSTITUTE(W402&amp;"",",","."))&amp;", p_observacion =&gt; "&amp;IF(TRIM(X402&amp;"")="","NULL","'"&amp;SUBSTITUTE(TRIM(X402),"'","''")&amp;"'")&amp;") AS resultado_balon_"&amp;ROW()&amp;";")</f>
        <v/>
      </c>
    </row>
    <row r="403" ht="15.75" customHeight="1" s="64">
      <c r="A403" s="36" t="inlineStr">
        <is>
          <t>399</t>
        </is>
      </c>
      <c r="B403" s="25">
        <f>IF(AND(C403="",D403="",E403=""),"",IF(C403="","FALTA código balón",IF(D403="","FALTA tipo balón",IF(E403="","FALTA gas",IF(F403="","FALTA propietario",IF(AND(C403&lt;&gt;"",SUMPRODUCT(--($C$5:$C$1200=C403))&gt;1),"CÓDIGO BALÓN DUPLICADO",IF(AND(OR(UPPER(F403)="PLANTA",UPPER(F403)="CLIENTE"),G403=""),"FALTA doc propietario/planta",IF(AND(UPPER(F403)="PLANTA",G403="10175332796"),"PLANTA no puede ser RUC empresa","OK"))))))))</f>
        <v/>
      </c>
      <c r="C403" s="23" t="inlineStr">
        <is>
          <t>K5409185</t>
        </is>
      </c>
      <c r="D403" s="17" t="inlineStr">
        <is>
          <t>Oxígeno Industrial 10 m³</t>
        </is>
      </c>
      <c r="E403" s="17" t="inlineStr">
        <is>
          <t>OXIGENO INDUSTRIAL</t>
        </is>
      </c>
      <c r="F403" s="17" t="inlineStr">
        <is>
          <t>EMPRESA</t>
        </is>
      </c>
      <c r="G403" s="23" t="inlineStr">
        <is>
          <t>10175332796</t>
        </is>
      </c>
      <c r="H403" s="25">
        <f t="array" ref="H403">IF(G403="","",IFERROR(IF(INDEX(Clientes!$D$5:$D$549,MATCH(G403,Clientes!$C$5:$C$549,0))&lt;&gt;"",INDEX(Clientes!$D$5:$D$549,MATCH(G403,Clientes!$C$5:$C$549,0)),TRIM(INDEX(Clientes!$E$5:$E$549,MATCH(G403,Clientes!$C$5:$C$549,0))&amp;" "&amp;INDEX(Clientes!$F$5:$F$549,MATCH(G403,Clientes!$C$5:$C$549,0)))),"NO EXISTE en Clientes"))</f>
        <v/>
      </c>
      <c r="I403" s="17" t="inlineStr">
        <is>
          <t>DISPONIBLE</t>
        </is>
      </c>
      <c r="J403" s="17" t="inlineStr">
        <is>
          <t>ALMACEN PRINCIPAL</t>
        </is>
      </c>
      <c r="K403" s="23" t="n"/>
      <c r="L403" s="25">
        <f t="array" ref="L403">IF(K403="","",IFERROR(IF(INDEX(Clientes!$D$5:$D$549,MATCH(K403,Clientes!$C$5:$C$549,0))&lt;&gt;"",INDEX(Clientes!$D$5:$D$549,MATCH(K403,Clientes!$C$5:$C$549,0)),TRIM(INDEX(Clientes!$E$5:$E$549,MATCH(K403,Clientes!$C$5:$C$549,0))&amp;" "&amp;INDEX(Clientes!$F$5:$F$549,MATCH(K403,Clientes!$C$5:$C$549,0)))),"NO EXISTE en Clientes"))</f>
        <v/>
      </c>
      <c r="M403" s="17" t="n"/>
      <c r="N403" s="17" t="n"/>
      <c r="O403" s="42" t="n"/>
      <c r="P403" s="39">
        <f>IF(O403&lt;&gt;"",DATE(YEAR(O403)+5,MONTH(O403),1),IF(AND(M403&lt;&gt;"",N403&lt;&gt;""),DATE(M403+5,N403,1),""))</f>
        <v/>
      </c>
      <c r="Q403" s="23" t="n"/>
      <c r="R403" s="17" t="n"/>
      <c r="S403" s="17" t="n"/>
      <c r="T403" s="17" t="n"/>
      <c r="U403" s="17" t="n"/>
      <c r="V403" s="23" t="n"/>
      <c r="W403" s="17" t="n"/>
      <c r="X403" s="17" t="n"/>
      <c r="Y403" s="28">
        <f>IF(B403&lt;&gt;"OK","","SELECT bal_crear_balon(p_codigo_balon =&gt; "&amp;IF(TRIM(C403&amp;"")="","NULL","'"&amp;SUBSTITUTE(TRIM(C403),"'","''")&amp;"'")&amp;", p_id_tipo_balon =&gt; "&amp;"(SELECT id FROM bal_tipo_balon WHERE upper(nombre) = upper('"&amp;SUBSTITUTE(TRIM(D403),"'","''")&amp;"') AND estado = 1 LIMIT 1)"&amp;", p_id_producto_gas =&gt; "&amp;"(SELECT id FROM pro_producto WHERE es_gas = TRUE AND upper(nombre) = upper('"&amp;SUBSTITUTE(TRIM(E403),"'","''")&amp;"') AND estado = 1 LIMIT 1)"&amp;", p_id_propietario =&gt; "&amp;IF(TRIM(F403&amp;"")="","NULL","(SELECT lo.id FROM gen_lista_opciones lo JOIN gen_lista l ON l.id = lo.id_lista WHERE l.nombre = 'PropietarioBalon' AND upper(lo.nombre) = upper('"&amp;SUBSTITUTE(TRIM(F403),"'","''")&amp;"') AND lo.estado = 1 LIMIT 1)")&amp;", p_id_cliente_propietario =&gt; "&amp;IF(F403="CLIENTE",IF(TRIM(G403&amp;"")="","NULL","(SELECT id FROM cli_clientes WHERE numero_documento = '"&amp;SUBSTITUTE(TRIM(G403),"'","''")&amp;"' AND estado = 1 LIMIT 1)"),"NULL")&amp;", p_id_planta =&gt; "&amp;IF(F403="PLANTA",IF(TRIM(G403&amp;"")="","NULL","(SELECT id FROM cli_clientes WHERE numero_documento = '"&amp;SUBSTITUTE(TRIM(G403),"'","''")&amp;"'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"&amp;IF(TRIM(J403&amp;"")="","NULL","(SELECT id FROM gen_almacen WHERE upper(nombre) = upper('"&amp;SUBSTITUTE(TRIM(J403),"'","''")&amp;"') AND estado = 1 LIMIT 1)")&amp;", p_id_cliente_ubicacion =&gt; "&amp;IF(TRIM(K403&amp;"")="","NULL","(SELECT id FROM cli_clientes WHERE numero_documento = '"&amp;SUBSTITUTE(TRIM(K403),"'","''")&amp;"' AND estado = 1 LIMIT 1)")&amp;", p_id_referencia =&gt; "&amp;IF(TRIM(J403&amp;"")&lt;&gt;"","(SELECT lo.id FROM gen_lista_opciones lo JOIN gen_lista l ON l.id = lo.id_lista WHERE l.nombre = 'ReferenciaCilindro' AND upper(lo.nombre) = 'ALMACEN' AND lo.estado = 1 LIMIT 1)",IF(TRIM(K403&amp;"")&lt;&gt;"","(SELECT lo.id FROM gen_lista_opciones lo JOIN gen_lista l ON l.id = lo.id_lista WHERE l.nombre = 'ReferenciaCilindro' AND upper(lo.nombre) = 'CLIENTE' AND lo.estado = 1 LIMIT 1)","NULL"))&amp;", p_anio_fabricacion =&gt; "&amp;IF(M403&amp;""="","NULL::smallint",M403&amp;"::smallint")&amp;", p_mes_fabricacion =&gt; "&amp;IF(N403&amp;""="","NULL::smallint",N403&amp;"::smallint")&amp;", p_fecha_ultima_prueba_hidrostatica =&gt; "&amp;IF(O403&amp;""="","NULL","'"&amp;YEAR(O403)&amp;"-"&amp;TEXT(MONTH(O403),"00")&amp;"-"&amp;TEXT(DAY(O403),"00")&amp;"'")&amp;", p_numero_serie =&gt; "&amp;IF(TRIM(Q403&amp;"")="","NULL","'"&amp;SUBSTITUTE(TRIM(Q403),"'","''")&amp;"'")&amp;", p_id_marca_cilindro =&gt; "&amp;IF(TRIM(R403&amp;"")="","NULL","(SELECT lo.id FROM gen_lista_opciones lo JOIN gen_lista l ON l.id = lo.id_lista WHERE l.nombre = 'MarcaCilindro' AND upper(lo.nombre) = upper('"&amp;SUBSTITUTE(TRIM(R403),"'","''")&amp;"') AND lo.estado = 1 LIMIT 1)")&amp;", p_id_organo_inspector =&gt; "&amp;IF(TRIM(S403&amp;"")="","NULL","(SELECT lo.id FROM gen_lista_opciones lo JOIN gen_lista l ON l.id = lo.id_lista WHERE l.nombre = 'OrganoInspectorCilindro' AND upper(lo.nombre) = upper('"&amp;SUBSTITUTE(TRIM(S403),"'","''")&amp;"') AND lo.estado = 1 LIMIT 1)")&amp;", p_organo_inspector_no_aplica =&gt; "&amp;IF(S403="NO_APLICA","TRUE","FALSE")&amp;", p_presion_actual =&gt; "&amp;IF(T403&amp;""="","NULL",SUBSTITUTE(T403&amp;"",",","."))&amp;", p_tipo_valvula =&gt; "&amp;IF(TRIM(U403&amp;"")="","NULL","'"&amp;SUBSTITUTE(TRIM(U403),"'","''")&amp;"'")&amp;", p_libro_cilindro =&gt; "&amp;IF(TRIM(V403&amp;"")="","NULL","'"&amp;SUBSTITUTE(TRIM(V403),"'","''")&amp;"'")&amp;", p_pagina_libro =&gt; "&amp;IF(W403&amp;""="","NULL",SUBSTITUTE(W403&amp;"",",","."))&amp;", p_observacion =&gt; "&amp;IF(TRIM(X403&amp;"")="","NULL","'"&amp;SUBSTITUTE(TRIM(X403),"'","''")&amp;"'")&amp;") AS resultado_balon_"&amp;ROW()&amp;";")</f>
        <v/>
      </c>
    </row>
    <row r="404" ht="15.75" customHeight="1" s="64">
      <c r="A404" s="36" t="inlineStr">
        <is>
          <t>400</t>
        </is>
      </c>
      <c r="B404" s="25">
        <f>IF(AND(C404="",D404="",E404=""),"",IF(C404="","FALTA código balón",IF(D404="","FALTA tipo balón",IF(E404="","FALTA gas",IF(F404="","FALTA propietario",IF(AND(C404&lt;&gt;"",SUMPRODUCT(--($C$5:$C$1200=C404))&gt;1),"CÓDIGO BALÓN DUPLICADO",IF(AND(OR(UPPER(F404)="PLANTA",UPPER(F404)="CLIENTE"),G404=""),"FALTA doc propietario/planta",IF(AND(UPPER(F404)="PLANTA",G404="10175332796"),"PLANTA no puede ser RUC empresa","OK"))))))))</f>
        <v/>
      </c>
      <c r="C404" s="23" t="inlineStr">
        <is>
          <t>20K447145</t>
        </is>
      </c>
      <c r="D404" s="17" t="inlineStr">
        <is>
          <t>Oxígeno Industrial 10 m³</t>
        </is>
      </c>
      <c r="E404" s="17" t="inlineStr">
        <is>
          <t>OXIGENO INDUSTRIAL</t>
        </is>
      </c>
      <c r="F404" s="17" t="inlineStr">
        <is>
          <t>EMPRESA</t>
        </is>
      </c>
      <c r="G404" s="23" t="inlineStr">
        <is>
          <t>10175332796</t>
        </is>
      </c>
      <c r="H404" s="25">
        <f t="array" ref="H404">IF(G404="","",IFERROR(IF(INDEX(Clientes!$D$5:$D$549,MATCH(G404,Clientes!$C$5:$C$549,0))&lt;&gt;"",INDEX(Clientes!$D$5:$D$549,MATCH(G404,Clientes!$C$5:$C$549,0)),TRIM(INDEX(Clientes!$E$5:$E$549,MATCH(G404,Clientes!$C$5:$C$549,0))&amp;" "&amp;INDEX(Clientes!$F$5:$F$549,MATCH(G404,Clientes!$C$5:$C$549,0)))),"NO EXISTE en Clientes"))</f>
        <v/>
      </c>
      <c r="I404" s="17" t="inlineStr">
        <is>
          <t>DISPONIBLE</t>
        </is>
      </c>
      <c r="J404" s="17" t="inlineStr">
        <is>
          <t>ALMACEN PRINCIPAL</t>
        </is>
      </c>
      <c r="K404" s="23" t="n"/>
      <c r="L404" s="25">
        <f t="array" ref="L404">IF(K404="","",IFERROR(IF(INDEX(Clientes!$D$5:$D$549,MATCH(K404,Clientes!$C$5:$C$549,0))&lt;&gt;"",INDEX(Clientes!$D$5:$D$549,MATCH(K404,Clientes!$C$5:$C$549,0)),TRIM(INDEX(Clientes!$E$5:$E$549,MATCH(K404,Clientes!$C$5:$C$549,0))&amp;" "&amp;INDEX(Clientes!$F$5:$F$549,MATCH(K404,Clientes!$C$5:$C$549,0)))),"NO EXISTE en Clientes"))</f>
        <v/>
      </c>
      <c r="M404" s="17" t="n"/>
      <c r="N404" s="17" t="n"/>
      <c r="O404" s="42" t="n"/>
      <c r="P404" s="39">
        <f>IF(O404&lt;&gt;"",DATE(YEAR(O404)+5,MONTH(O404),1),IF(AND(M404&lt;&gt;"",N404&lt;&gt;""),DATE(M404+5,N404,1),""))</f>
        <v/>
      </c>
      <c r="Q404" s="23" t="n"/>
      <c r="R404" s="17" t="n"/>
      <c r="S404" s="17" t="n"/>
      <c r="T404" s="17" t="n"/>
      <c r="U404" s="17" t="n"/>
      <c r="V404" s="23" t="n"/>
      <c r="W404" s="17" t="n"/>
      <c r="X404" s="17" t="n"/>
      <c r="Y404" s="28">
        <f>IF(B404&lt;&gt;"OK","","SELECT bal_crear_balon(p_codigo_balon =&gt; "&amp;IF(TRIM(C404&amp;"")="","NULL","'"&amp;SUBSTITUTE(TRIM(C404),"'","''")&amp;"'")&amp;", p_id_tipo_balon =&gt; "&amp;"(SELECT id FROM bal_tipo_balon WHERE upper(nombre) = upper('"&amp;SUBSTITUTE(TRIM(D404),"'","''")&amp;"') AND estado = 1 LIMIT 1)"&amp;", p_id_producto_gas =&gt; "&amp;"(SELECT id FROM pro_producto WHERE es_gas = TRUE AND upper(nombre) = upper('"&amp;SUBSTITUTE(TRIM(E404),"'","''")&amp;"') AND estado = 1 LIMIT 1)"&amp;", p_id_propietario =&gt; "&amp;IF(TRIM(F404&amp;"")="","NULL","(SELECT lo.id FROM gen_lista_opciones lo JOIN gen_lista l ON l.id = lo.id_lista WHERE l.nombre = 'PropietarioBalon' AND upper(lo.nombre) = upper('"&amp;SUBSTITUTE(TRIM(F404),"'","''")&amp;"') AND lo.estado = 1 LIMIT 1)")&amp;", p_id_cliente_propietario =&gt; "&amp;IF(F404="CLIENTE",IF(TRIM(G404&amp;"")="","NULL","(SELECT id FROM cli_clientes WHERE numero_documento = '"&amp;SUBSTITUTE(TRIM(G404),"'","''")&amp;"' AND estado = 1 LIMIT 1)"),"NULL")&amp;", p_id_planta =&gt; "&amp;IF(F404="PLANTA",IF(TRIM(G404&amp;"")="","NULL","(SELECT id FROM cli_clientes WHERE numero_documento = '"&amp;SUBSTITUTE(TRIM(G404),"'","''")&amp;"'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"&amp;IF(TRIM(J404&amp;"")="","NULL","(SELECT id FROM gen_almacen WHERE upper(nombre) = upper('"&amp;SUBSTITUTE(TRIM(J404),"'","''")&amp;"') AND estado = 1 LIMIT 1)")&amp;", p_id_cliente_ubicacion =&gt; "&amp;IF(TRIM(K404&amp;"")="","NULL","(SELECT id FROM cli_clientes WHERE numero_documento = '"&amp;SUBSTITUTE(TRIM(K404),"'","''")&amp;"' AND estado = 1 LIMIT 1)")&amp;", p_id_referencia =&gt; "&amp;IF(TRIM(J404&amp;"")&lt;&gt;"","(SELECT lo.id FROM gen_lista_opciones lo JOIN gen_lista l ON l.id = lo.id_lista WHERE l.nombre = 'ReferenciaCilindro' AND upper(lo.nombre) = 'ALMACEN' AND lo.estado = 1 LIMIT 1)",IF(TRIM(K404&amp;"")&lt;&gt;"","(SELECT lo.id FROM gen_lista_opciones lo JOIN gen_lista l ON l.id = lo.id_lista WHERE l.nombre = 'ReferenciaCilindro' AND upper(lo.nombre) = 'CLIENTE' AND lo.estado = 1 LIMIT 1)","NULL"))&amp;", p_anio_fabricacion =&gt; "&amp;IF(M404&amp;""="","NULL::smallint",M404&amp;"::smallint")&amp;", p_mes_fabricacion =&gt; "&amp;IF(N404&amp;""="","NULL::smallint",N404&amp;"::smallint")&amp;", p_fecha_ultima_prueba_hidrostatica =&gt; "&amp;IF(O404&amp;""="","NULL","'"&amp;YEAR(O404)&amp;"-"&amp;TEXT(MONTH(O404),"00")&amp;"-"&amp;TEXT(DAY(O404),"00")&amp;"'")&amp;", p_numero_serie =&gt; "&amp;IF(TRIM(Q404&amp;"")="","NULL","'"&amp;SUBSTITUTE(TRIM(Q404),"'","''")&amp;"'")&amp;", p_id_marca_cilindro =&gt; "&amp;IF(TRIM(R404&amp;"")="","NULL","(SELECT lo.id FROM gen_lista_opciones lo JOIN gen_lista l ON l.id = lo.id_lista WHERE l.nombre = 'MarcaCilindro' AND upper(lo.nombre) = upper('"&amp;SUBSTITUTE(TRIM(R404),"'","''")&amp;"') AND lo.estado = 1 LIMIT 1)")&amp;", p_id_organo_inspector =&gt; "&amp;IF(TRIM(S404&amp;"")="","NULL","(SELECT lo.id FROM gen_lista_opciones lo JOIN gen_lista l ON l.id = lo.id_lista WHERE l.nombre = 'OrganoInspectorCilindro' AND upper(lo.nombre) = upper('"&amp;SUBSTITUTE(TRIM(S404),"'","''")&amp;"') AND lo.estado = 1 LIMIT 1)")&amp;", p_organo_inspector_no_aplica =&gt; "&amp;IF(S404="NO_APLICA","TRUE","FALSE")&amp;", p_presion_actual =&gt; "&amp;IF(T404&amp;""="","NULL",SUBSTITUTE(T404&amp;"",",","."))&amp;", p_tipo_valvula =&gt; "&amp;IF(TRIM(U404&amp;"")="","NULL","'"&amp;SUBSTITUTE(TRIM(U404),"'","''")&amp;"'")&amp;", p_libro_cilindro =&gt; "&amp;IF(TRIM(V404&amp;"")="","NULL","'"&amp;SUBSTITUTE(TRIM(V404),"'","''")&amp;"'")&amp;", p_pagina_libro =&gt; "&amp;IF(W404&amp;""="","NULL",SUBSTITUTE(W404&amp;"",",","."))&amp;", p_observacion =&gt; "&amp;IF(TRIM(X404&amp;"")="","NULL","'"&amp;SUBSTITUTE(TRIM(X404),"'","''")&amp;"'")&amp;") AS resultado_balon_"&amp;ROW()&amp;";")</f>
        <v/>
      </c>
    </row>
    <row r="405" ht="15.75" customHeight="1" s="64">
      <c r="A405" s="36" t="inlineStr">
        <is>
          <t>401</t>
        </is>
      </c>
      <c r="B405" s="25" t="inlineStr">
        <is>
          <t>OMITIDO PROPANO (sin código físico; stock producto)</t>
        </is>
      </c>
      <c r="C405" s="23" t="inlineStr">
        <is>
          <t>GAS PROPANO 1</t>
        </is>
      </c>
      <c r="D405" s="17" t="inlineStr">
        <is>
          <t>Gas Propano 10 kg</t>
        </is>
      </c>
      <c r="E405" s="17" t="inlineStr">
        <is>
          <t>GAS PROPANO</t>
        </is>
      </c>
      <c r="F405" s="17" t="inlineStr">
        <is>
          <t>EMPRESA</t>
        </is>
      </c>
      <c r="G405" s="23" t="inlineStr">
        <is>
          <t>10175332796</t>
        </is>
      </c>
      <c r="H405" s="25">
        <f t="array" ref="H405">IF(G405="","",IFERROR(IF(INDEX(Clientes!$D$5:$D$549,MATCH(G405,Clientes!$C$5:$C$549,0))&lt;&gt;"",INDEX(Clientes!$D$5:$D$549,MATCH(G405,Clientes!$C$5:$C$549,0)),TRIM(INDEX(Clientes!$E$5:$E$549,MATCH(G405,Clientes!$C$5:$C$549,0))&amp;" "&amp;INDEX(Clientes!$F$5:$F$549,MATCH(G405,Clientes!$C$5:$C$549,0)))),"NO EXISTE en Clientes"))</f>
        <v/>
      </c>
      <c r="I405" s="17" t="inlineStr">
        <is>
          <t>DISPONIBLE</t>
        </is>
      </c>
      <c r="J405" s="17" t="inlineStr">
        <is>
          <t>ALMACEN PRINCIPAL</t>
        </is>
      </c>
      <c r="K405" s="23" t="n"/>
      <c r="L405" s="25">
        <f t="array" ref="L405">IF(K405="","",IFERROR(IF(INDEX(Clientes!$D$5:$D$549,MATCH(K405,Clientes!$C$5:$C$549,0))&lt;&gt;"",INDEX(Clientes!$D$5:$D$549,MATCH(K405,Clientes!$C$5:$C$549,0)),TRIM(INDEX(Clientes!$E$5:$E$549,MATCH(K405,Clientes!$C$5:$C$549,0))&amp;" "&amp;INDEX(Clientes!$F$5:$F$549,MATCH(K405,Clientes!$C$5:$C$549,0)))),"NO EXISTE en Clientes"))</f>
        <v/>
      </c>
      <c r="M405" s="17" t="n"/>
      <c r="N405" s="17" t="n"/>
      <c r="O405" s="42" t="n"/>
      <c r="P405" s="39">
        <f>IF(O405&lt;&gt;"",DATE(YEAR(O405)+5,MONTH(O405),1),IF(AND(M405&lt;&gt;"",N405&lt;&gt;""),DATE(M405+5,N405,1),""))</f>
        <v/>
      </c>
      <c r="Q405" s="23" t="n"/>
      <c r="R405" s="17" t="n"/>
      <c r="S405" s="17" t="n"/>
      <c r="T405" s="17" t="n"/>
      <c r="U405" s="17" t="n"/>
      <c r="V405" s="23" t="n"/>
      <c r="W405" s="17" t="n"/>
      <c r="X405" s="17" t="inlineStr">
        <is>
          <t>Omitido de bal_balon: control por stock producto (GAS-PROPANO-10/45)</t>
        </is>
      </c>
      <c r="Y405" s="28" t="n"/>
    </row>
    <row r="406" ht="15.75" customHeight="1" s="64">
      <c r="A406" s="36" t="inlineStr">
        <is>
          <t>402</t>
        </is>
      </c>
      <c r="B406" s="25" t="inlineStr">
        <is>
          <t>OMITIDO PROPANO (sin código físico; stock producto)</t>
        </is>
      </c>
      <c r="C406" s="23" t="inlineStr">
        <is>
          <t>GAS PROPANO 2</t>
        </is>
      </c>
      <c r="D406" s="17" t="inlineStr">
        <is>
          <t>Gas Propano 10 kg</t>
        </is>
      </c>
      <c r="E406" s="17" t="inlineStr">
        <is>
          <t>GAS PROPANO</t>
        </is>
      </c>
      <c r="F406" s="17" t="inlineStr">
        <is>
          <t>EMPRESA</t>
        </is>
      </c>
      <c r="G406" s="23" t="inlineStr">
        <is>
          <t>10175332796</t>
        </is>
      </c>
      <c r="H406" s="25">
        <f t="array" ref="H406">IF(G406="","",IFERROR(IF(INDEX(Clientes!$D$5:$D$549,MATCH(G406,Clientes!$C$5:$C$549,0))&lt;&gt;"",INDEX(Clientes!$D$5:$D$549,MATCH(G406,Clientes!$C$5:$C$549,0)),TRIM(INDEX(Clientes!$E$5:$E$549,MATCH(G406,Clientes!$C$5:$C$549,0))&amp;" "&amp;INDEX(Clientes!$F$5:$F$549,MATCH(G406,Clientes!$C$5:$C$549,0)))),"NO EXISTE en Clientes"))</f>
        <v/>
      </c>
      <c r="I406" s="17" t="inlineStr">
        <is>
          <t>DISPONIBLE</t>
        </is>
      </c>
      <c r="J406" s="17" t="inlineStr">
        <is>
          <t>ALMACEN PRINCIPAL</t>
        </is>
      </c>
      <c r="K406" s="23" t="n"/>
      <c r="L406" s="25">
        <f t="array" ref="L406">IF(K406="","",IFERROR(IF(INDEX(Clientes!$D$5:$D$549,MATCH(K406,Clientes!$C$5:$C$549,0))&lt;&gt;"",INDEX(Clientes!$D$5:$D$549,MATCH(K406,Clientes!$C$5:$C$549,0)),TRIM(INDEX(Clientes!$E$5:$E$549,MATCH(K406,Clientes!$C$5:$C$549,0))&amp;" "&amp;INDEX(Clientes!$F$5:$F$549,MATCH(K406,Clientes!$C$5:$C$549,0)))),"NO EXISTE en Clientes"))</f>
        <v/>
      </c>
      <c r="M406" s="17" t="n"/>
      <c r="N406" s="17" t="n"/>
      <c r="O406" s="42" t="n"/>
      <c r="P406" s="39">
        <f>IF(O406&lt;&gt;"",DATE(YEAR(O406)+5,MONTH(O406),1),IF(AND(M406&lt;&gt;"",N406&lt;&gt;""),DATE(M406+5,N406,1),""))</f>
        <v/>
      </c>
      <c r="Q406" s="23" t="n"/>
      <c r="R406" s="17" t="n"/>
      <c r="S406" s="17" t="n"/>
      <c r="T406" s="17" t="n"/>
      <c r="U406" s="17" t="n"/>
      <c r="V406" s="23" t="n"/>
      <c r="W406" s="17" t="n"/>
      <c r="X406" s="17" t="inlineStr">
        <is>
          <t>Omitido de bal_balon: control por stock producto (GAS-PROPANO-10/45)</t>
        </is>
      </c>
      <c r="Y406" s="28" t="n"/>
    </row>
    <row r="407" ht="15.75" customHeight="1" s="64">
      <c r="A407" s="36" t="inlineStr">
        <is>
          <t>403</t>
        </is>
      </c>
      <c r="B407" s="25" t="inlineStr">
        <is>
          <t>OMITIDO PROPANO (sin código físico; stock producto)</t>
        </is>
      </c>
      <c r="C407" s="23" t="inlineStr">
        <is>
          <t>GAS PROPANO 3</t>
        </is>
      </c>
      <c r="D407" s="17" t="inlineStr">
        <is>
          <t>Gas Propano 10 kg</t>
        </is>
      </c>
      <c r="E407" s="17" t="inlineStr">
        <is>
          <t>GAS PROPANO</t>
        </is>
      </c>
      <c r="F407" s="17" t="inlineStr">
        <is>
          <t>EMPRESA</t>
        </is>
      </c>
      <c r="G407" s="23" t="inlineStr">
        <is>
          <t>10175332796</t>
        </is>
      </c>
      <c r="H407" s="25">
        <f t="array" ref="H407">IF(G407="","",IFERROR(IF(INDEX(Clientes!$D$5:$D$549,MATCH(G407,Clientes!$C$5:$C$549,0))&lt;&gt;"",INDEX(Clientes!$D$5:$D$549,MATCH(G407,Clientes!$C$5:$C$549,0)),TRIM(INDEX(Clientes!$E$5:$E$549,MATCH(G407,Clientes!$C$5:$C$549,0))&amp;" "&amp;INDEX(Clientes!$F$5:$F$549,MATCH(G407,Clientes!$C$5:$C$549,0)))),"NO EXISTE en Clientes"))</f>
        <v/>
      </c>
      <c r="I407" s="17" t="inlineStr">
        <is>
          <t>DISPONIBLE</t>
        </is>
      </c>
      <c r="J407" s="17" t="inlineStr">
        <is>
          <t>ALMACEN PRINCIPAL</t>
        </is>
      </c>
      <c r="K407" s="23" t="n"/>
      <c r="L407" s="25">
        <f t="array" ref="L407">IF(K407="","",IFERROR(IF(INDEX(Clientes!$D$5:$D$549,MATCH(K407,Clientes!$C$5:$C$549,0))&lt;&gt;"",INDEX(Clientes!$D$5:$D$549,MATCH(K407,Clientes!$C$5:$C$549,0)),TRIM(INDEX(Clientes!$E$5:$E$549,MATCH(K407,Clientes!$C$5:$C$549,0))&amp;" "&amp;INDEX(Clientes!$F$5:$F$549,MATCH(K407,Clientes!$C$5:$C$549,0)))),"NO EXISTE en Clientes"))</f>
        <v/>
      </c>
      <c r="M407" s="17" t="n"/>
      <c r="N407" s="17" t="n"/>
      <c r="O407" s="42" t="n"/>
      <c r="P407" s="39">
        <f>IF(O407&lt;&gt;"",DATE(YEAR(O407)+5,MONTH(O407),1),IF(AND(M407&lt;&gt;"",N407&lt;&gt;""),DATE(M407+5,N407,1),""))</f>
        <v/>
      </c>
      <c r="Q407" s="23" t="n"/>
      <c r="R407" s="17" t="n"/>
      <c r="S407" s="17" t="n"/>
      <c r="T407" s="17" t="n"/>
      <c r="U407" s="17" t="n"/>
      <c r="V407" s="23" t="n"/>
      <c r="W407" s="17" t="n"/>
      <c r="X407" s="17" t="inlineStr">
        <is>
          <t>Omitido de bal_balon: control por stock producto (GAS-PROPANO-10/45)</t>
        </is>
      </c>
      <c r="Y407" s="28" t="n"/>
    </row>
    <row r="408" ht="15.75" customHeight="1" s="64">
      <c r="A408" s="36" t="inlineStr">
        <is>
          <t>404</t>
        </is>
      </c>
      <c r="B408" s="25" t="inlineStr">
        <is>
          <t>OMITIDO PROPANO (sin código físico; stock producto)</t>
        </is>
      </c>
      <c r="C408" s="23" t="inlineStr">
        <is>
          <t>GAS PROPANO 4</t>
        </is>
      </c>
      <c r="D408" s="17" t="inlineStr">
        <is>
          <t>Gas Propano 10 kg</t>
        </is>
      </c>
      <c r="E408" s="17" t="inlineStr">
        <is>
          <t>GAS PROPANO</t>
        </is>
      </c>
      <c r="F408" s="17" t="inlineStr">
        <is>
          <t>EMPRESA</t>
        </is>
      </c>
      <c r="G408" s="23" t="inlineStr">
        <is>
          <t>10175332796</t>
        </is>
      </c>
      <c r="H408" s="25">
        <f t="array" ref="H408">IF(G408="","",IFERROR(IF(INDEX(Clientes!$D$5:$D$549,MATCH(G408,Clientes!$C$5:$C$549,0))&lt;&gt;"",INDEX(Clientes!$D$5:$D$549,MATCH(G408,Clientes!$C$5:$C$549,0)),TRIM(INDEX(Clientes!$E$5:$E$549,MATCH(G408,Clientes!$C$5:$C$549,0))&amp;" "&amp;INDEX(Clientes!$F$5:$F$549,MATCH(G408,Clientes!$C$5:$C$549,0)))),"NO EXISTE en Clientes"))</f>
        <v/>
      </c>
      <c r="I408" s="17" t="inlineStr">
        <is>
          <t>DISPONIBLE</t>
        </is>
      </c>
      <c r="J408" s="17" t="inlineStr">
        <is>
          <t>ALMACEN PRINCIPAL</t>
        </is>
      </c>
      <c r="K408" s="23" t="n"/>
      <c r="L408" s="25">
        <f t="array" ref="L408">IF(K408="","",IFERROR(IF(INDEX(Clientes!$D$5:$D$549,MATCH(K408,Clientes!$C$5:$C$549,0))&lt;&gt;"",INDEX(Clientes!$D$5:$D$549,MATCH(K408,Clientes!$C$5:$C$549,0)),TRIM(INDEX(Clientes!$E$5:$E$549,MATCH(K408,Clientes!$C$5:$C$549,0))&amp;" "&amp;INDEX(Clientes!$F$5:$F$549,MATCH(K408,Clientes!$C$5:$C$549,0)))),"NO EXISTE en Clientes"))</f>
        <v/>
      </c>
      <c r="M408" s="17" t="n"/>
      <c r="N408" s="17" t="n"/>
      <c r="O408" s="42" t="n"/>
      <c r="P408" s="39">
        <f>IF(O408&lt;&gt;"",DATE(YEAR(O408)+5,MONTH(O408),1),IF(AND(M408&lt;&gt;"",N408&lt;&gt;""),DATE(M408+5,N408,1),""))</f>
        <v/>
      </c>
      <c r="Q408" s="23" t="n"/>
      <c r="R408" s="17" t="n"/>
      <c r="S408" s="17" t="n"/>
      <c r="T408" s="17" t="n"/>
      <c r="U408" s="17" t="n"/>
      <c r="V408" s="23" t="n"/>
      <c r="W408" s="17" t="n"/>
      <c r="X408" s="17" t="inlineStr">
        <is>
          <t>Omitido de bal_balon: control por stock producto (GAS-PROPANO-10/45)</t>
        </is>
      </c>
      <c r="Y408" s="28" t="n"/>
    </row>
    <row r="409" ht="15.75" customHeight="1" s="64">
      <c r="A409" s="36" t="inlineStr">
        <is>
          <t>405</t>
        </is>
      </c>
      <c r="B409" s="25" t="inlineStr">
        <is>
          <t>OMITIDO PROPANO (sin código físico; stock producto)</t>
        </is>
      </c>
      <c r="C409" s="23" t="inlineStr">
        <is>
          <t>GAS PROPANO 5</t>
        </is>
      </c>
      <c r="D409" s="17" t="inlineStr">
        <is>
          <t>Gas Propano 10 kg</t>
        </is>
      </c>
      <c r="E409" s="17" t="inlineStr">
        <is>
          <t>GAS PROPANO</t>
        </is>
      </c>
      <c r="F409" s="17" t="inlineStr">
        <is>
          <t>EMPRESA</t>
        </is>
      </c>
      <c r="G409" s="23" t="inlineStr">
        <is>
          <t>10175332796</t>
        </is>
      </c>
      <c r="H409" s="25">
        <f t="array" ref="H409">IF(G409="","",IFERROR(IF(INDEX(Clientes!$D$5:$D$549,MATCH(G409,Clientes!$C$5:$C$549,0))&lt;&gt;"",INDEX(Clientes!$D$5:$D$549,MATCH(G409,Clientes!$C$5:$C$549,0)),TRIM(INDEX(Clientes!$E$5:$E$549,MATCH(G409,Clientes!$C$5:$C$549,0))&amp;" "&amp;INDEX(Clientes!$F$5:$F$549,MATCH(G409,Clientes!$C$5:$C$549,0)))),"NO EXISTE en Clientes"))</f>
        <v/>
      </c>
      <c r="I409" s="17" t="inlineStr">
        <is>
          <t>DISPONIBLE</t>
        </is>
      </c>
      <c r="J409" s="17" t="inlineStr">
        <is>
          <t>ALMACEN PRINCIPAL</t>
        </is>
      </c>
      <c r="K409" s="23" t="n"/>
      <c r="L409" s="25">
        <f t="array" ref="L409">IF(K409="","",IFERROR(IF(INDEX(Clientes!$D$5:$D$549,MATCH(K409,Clientes!$C$5:$C$549,0))&lt;&gt;"",INDEX(Clientes!$D$5:$D$549,MATCH(K409,Clientes!$C$5:$C$549,0)),TRIM(INDEX(Clientes!$E$5:$E$549,MATCH(K409,Clientes!$C$5:$C$549,0))&amp;" "&amp;INDEX(Clientes!$F$5:$F$549,MATCH(K409,Clientes!$C$5:$C$549,0)))),"NO EXISTE en Clientes"))</f>
        <v/>
      </c>
      <c r="M409" s="17" t="n"/>
      <c r="N409" s="17" t="n"/>
      <c r="O409" s="42" t="n"/>
      <c r="P409" s="39">
        <f>IF(O409&lt;&gt;"",DATE(YEAR(O409)+5,MONTH(O409),1),IF(AND(M409&lt;&gt;"",N409&lt;&gt;""),DATE(M409+5,N409,1),""))</f>
        <v/>
      </c>
      <c r="Q409" s="23" t="n"/>
      <c r="R409" s="17" t="n"/>
      <c r="S409" s="17" t="n"/>
      <c r="T409" s="17" t="n"/>
      <c r="U409" s="17" t="n"/>
      <c r="V409" s="23" t="n"/>
      <c r="W409" s="17" t="n"/>
      <c r="X409" s="17" t="inlineStr">
        <is>
          <t>Omitido de bal_balon: control por stock producto (GAS-PROPANO-10/45)</t>
        </is>
      </c>
      <c r="Y409" s="28" t="n"/>
    </row>
    <row r="410" ht="15.75" customHeight="1" s="64">
      <c r="A410" s="36" t="inlineStr">
        <is>
          <t>406</t>
        </is>
      </c>
      <c r="B410" s="25" t="inlineStr">
        <is>
          <t>OMITIDO PROPANO (sin código físico; stock producto)</t>
        </is>
      </c>
      <c r="C410" s="23" t="inlineStr">
        <is>
          <t>GAS PROPANO 6</t>
        </is>
      </c>
      <c r="D410" s="17" t="inlineStr">
        <is>
          <t>Gas Propano 10 kg</t>
        </is>
      </c>
      <c r="E410" s="17" t="inlineStr">
        <is>
          <t>GAS PROPANO</t>
        </is>
      </c>
      <c r="F410" s="17" t="inlineStr">
        <is>
          <t>EMPRESA</t>
        </is>
      </c>
      <c r="G410" s="23" t="inlineStr">
        <is>
          <t>10175332796</t>
        </is>
      </c>
      <c r="H410" s="25">
        <f t="array" ref="H410">IF(G410="","",IFERROR(IF(INDEX(Clientes!$D$5:$D$549,MATCH(G410,Clientes!$C$5:$C$549,0))&lt;&gt;"",INDEX(Clientes!$D$5:$D$549,MATCH(G410,Clientes!$C$5:$C$549,0)),TRIM(INDEX(Clientes!$E$5:$E$549,MATCH(G410,Clientes!$C$5:$C$549,0))&amp;" "&amp;INDEX(Clientes!$F$5:$F$549,MATCH(G410,Clientes!$C$5:$C$549,0)))),"NO EXISTE en Clientes"))</f>
        <v/>
      </c>
      <c r="I410" s="17" t="inlineStr">
        <is>
          <t>DISPONIBLE</t>
        </is>
      </c>
      <c r="J410" s="17" t="inlineStr">
        <is>
          <t>ALMACEN PRINCIPAL</t>
        </is>
      </c>
      <c r="K410" s="23" t="n"/>
      <c r="L410" s="25">
        <f t="array" ref="L410">IF(K410="","",IFERROR(IF(INDEX(Clientes!$D$5:$D$549,MATCH(K410,Clientes!$C$5:$C$549,0))&lt;&gt;"",INDEX(Clientes!$D$5:$D$549,MATCH(K410,Clientes!$C$5:$C$549,0)),TRIM(INDEX(Clientes!$E$5:$E$549,MATCH(K410,Clientes!$C$5:$C$549,0))&amp;" "&amp;INDEX(Clientes!$F$5:$F$549,MATCH(K410,Clientes!$C$5:$C$549,0)))),"NO EXISTE en Clientes"))</f>
        <v/>
      </c>
      <c r="M410" s="17" t="n"/>
      <c r="N410" s="17" t="n"/>
      <c r="O410" s="42" t="n"/>
      <c r="P410" s="39">
        <f>IF(O410&lt;&gt;"",DATE(YEAR(O410)+5,MONTH(O410),1),IF(AND(M410&lt;&gt;"",N410&lt;&gt;""),DATE(M410+5,N410,1),""))</f>
        <v/>
      </c>
      <c r="Q410" s="23" t="n"/>
      <c r="R410" s="17" t="n"/>
      <c r="S410" s="17" t="n"/>
      <c r="T410" s="17" t="n"/>
      <c r="U410" s="17" t="n"/>
      <c r="V410" s="23" t="n"/>
      <c r="W410" s="17" t="n"/>
      <c r="X410" s="17" t="inlineStr">
        <is>
          <t>Omitido de bal_balon: control por stock producto (GAS-PROPANO-10/45)</t>
        </is>
      </c>
      <c r="Y410" s="28" t="n"/>
    </row>
    <row r="411" ht="15.75" customHeight="1" s="64">
      <c r="A411" s="36" t="inlineStr">
        <is>
          <t>407</t>
        </is>
      </c>
      <c r="B411" s="25" t="inlineStr">
        <is>
          <t>OMITIDO PROPANO (sin código físico; stock producto)</t>
        </is>
      </c>
      <c r="C411" s="23" t="inlineStr">
        <is>
          <t>GAS PROPANO 7</t>
        </is>
      </c>
      <c r="D411" s="17" t="inlineStr">
        <is>
          <t>Gas Propano 10 kg</t>
        </is>
      </c>
      <c r="E411" s="17" t="inlineStr">
        <is>
          <t>GAS PROPANO</t>
        </is>
      </c>
      <c r="F411" s="17" t="inlineStr">
        <is>
          <t>EMPRESA</t>
        </is>
      </c>
      <c r="G411" s="23" t="inlineStr">
        <is>
          <t>10175332796</t>
        </is>
      </c>
      <c r="H411" s="25">
        <f t="array" ref="H411">IF(G411="","",IFERROR(IF(INDEX(Clientes!$D$5:$D$549,MATCH(G411,Clientes!$C$5:$C$549,0))&lt;&gt;"",INDEX(Clientes!$D$5:$D$549,MATCH(G411,Clientes!$C$5:$C$549,0)),TRIM(INDEX(Clientes!$E$5:$E$549,MATCH(G411,Clientes!$C$5:$C$549,0))&amp;" "&amp;INDEX(Clientes!$F$5:$F$549,MATCH(G411,Clientes!$C$5:$C$549,0)))),"NO EXISTE en Clientes"))</f>
        <v/>
      </c>
      <c r="I411" s="17" t="inlineStr">
        <is>
          <t>DISPONIBLE</t>
        </is>
      </c>
      <c r="J411" s="17" t="inlineStr">
        <is>
          <t>ALMACEN PRINCIPAL</t>
        </is>
      </c>
      <c r="K411" s="23" t="n"/>
      <c r="L411" s="25">
        <f t="array" ref="L411">IF(K411="","",IFERROR(IF(INDEX(Clientes!$D$5:$D$549,MATCH(K411,Clientes!$C$5:$C$549,0))&lt;&gt;"",INDEX(Clientes!$D$5:$D$549,MATCH(K411,Clientes!$C$5:$C$549,0)),TRIM(INDEX(Clientes!$E$5:$E$549,MATCH(K411,Clientes!$C$5:$C$549,0))&amp;" "&amp;INDEX(Clientes!$F$5:$F$549,MATCH(K411,Clientes!$C$5:$C$549,0)))),"NO EXISTE en Clientes"))</f>
        <v/>
      </c>
      <c r="M411" s="17" t="n"/>
      <c r="N411" s="17" t="n"/>
      <c r="O411" s="42" t="n"/>
      <c r="P411" s="39">
        <f>IF(O411&lt;&gt;"",DATE(YEAR(O411)+5,MONTH(O411),1),IF(AND(M411&lt;&gt;"",N411&lt;&gt;""),DATE(M411+5,N411,1),""))</f>
        <v/>
      </c>
      <c r="Q411" s="23" t="n"/>
      <c r="R411" s="17" t="n"/>
      <c r="S411" s="17" t="n"/>
      <c r="T411" s="17" t="n"/>
      <c r="U411" s="17" t="n"/>
      <c r="V411" s="23" t="n"/>
      <c r="W411" s="17" t="n"/>
      <c r="X411" s="17" t="inlineStr">
        <is>
          <t>Omitido de bal_balon: control por stock producto (GAS-PROPANO-10/45)</t>
        </is>
      </c>
      <c r="Y411" s="28" t="n"/>
    </row>
    <row r="412" ht="15.75" customHeight="1" s="64">
      <c r="A412" s="36" t="inlineStr">
        <is>
          <t>408</t>
        </is>
      </c>
      <c r="B412" s="25" t="inlineStr">
        <is>
          <t>OMITIDO PROPANO (sin código físico; stock producto)</t>
        </is>
      </c>
      <c r="C412" s="23" t="inlineStr">
        <is>
          <t>GAS PROPANO 8</t>
        </is>
      </c>
      <c r="D412" s="17" t="inlineStr">
        <is>
          <t>Gas Propano 10 kg</t>
        </is>
      </c>
      <c r="E412" s="17" t="inlineStr">
        <is>
          <t>GAS PROPANO</t>
        </is>
      </c>
      <c r="F412" s="17" t="inlineStr">
        <is>
          <t>EMPRESA</t>
        </is>
      </c>
      <c r="G412" s="23" t="inlineStr">
        <is>
          <t>10175332796</t>
        </is>
      </c>
      <c r="H412" s="25">
        <f t="array" ref="H412">IF(G412="","",IFERROR(IF(INDEX(Clientes!$D$5:$D$549,MATCH(G412,Clientes!$C$5:$C$549,0))&lt;&gt;"",INDEX(Clientes!$D$5:$D$549,MATCH(G412,Clientes!$C$5:$C$549,0)),TRIM(INDEX(Clientes!$E$5:$E$549,MATCH(G412,Clientes!$C$5:$C$549,0))&amp;" "&amp;INDEX(Clientes!$F$5:$F$549,MATCH(G412,Clientes!$C$5:$C$549,0)))),"NO EXISTE en Clientes"))</f>
        <v/>
      </c>
      <c r="I412" s="17" t="inlineStr">
        <is>
          <t>DISPONIBLE</t>
        </is>
      </c>
      <c r="J412" s="17" t="inlineStr">
        <is>
          <t>ALMACEN PRINCIPAL</t>
        </is>
      </c>
      <c r="K412" s="23" t="n"/>
      <c r="L412" s="25">
        <f t="array" ref="L412">IF(K412="","",IFERROR(IF(INDEX(Clientes!$D$5:$D$549,MATCH(K412,Clientes!$C$5:$C$549,0))&lt;&gt;"",INDEX(Clientes!$D$5:$D$549,MATCH(K412,Clientes!$C$5:$C$549,0)),TRIM(INDEX(Clientes!$E$5:$E$549,MATCH(K412,Clientes!$C$5:$C$549,0))&amp;" "&amp;INDEX(Clientes!$F$5:$F$549,MATCH(K412,Clientes!$C$5:$C$549,0)))),"NO EXISTE en Clientes"))</f>
        <v/>
      </c>
      <c r="M412" s="17" t="n"/>
      <c r="N412" s="17" t="n"/>
      <c r="O412" s="42" t="n"/>
      <c r="P412" s="39">
        <f>IF(O412&lt;&gt;"",DATE(YEAR(O412)+5,MONTH(O412),1),IF(AND(M412&lt;&gt;"",N412&lt;&gt;""),DATE(M412+5,N412,1),""))</f>
        <v/>
      </c>
      <c r="Q412" s="23" t="n"/>
      <c r="R412" s="17" t="n"/>
      <c r="S412" s="17" t="n"/>
      <c r="T412" s="17" t="n"/>
      <c r="U412" s="17" t="n"/>
      <c r="V412" s="23" t="n"/>
      <c r="W412" s="17" t="n"/>
      <c r="X412" s="17" t="inlineStr">
        <is>
          <t>Omitido de bal_balon: control por stock producto (GAS-PROPANO-10/45)</t>
        </is>
      </c>
      <c r="Y412" s="28" t="n"/>
    </row>
    <row r="413" ht="15.75" customHeight="1" s="64">
      <c r="A413" s="36" t="inlineStr">
        <is>
          <t>409</t>
        </is>
      </c>
      <c r="B413" s="25">
        <f>IF(AND(C413="",D413="",E413=""),"",IF(C413="","FALTA código balón",IF(D413="","FALTA tipo balón",IF(E413="","FALTA gas",IF(F413="","FALTA propietario",IF(AND(C413&lt;&gt;"",SUMPRODUCT(--($C$5:$C$1200=C413))&gt;1),"CÓDIGO BALÓN DUPLICADO",IF(AND(OR(UPPER(F413)="PLANTA",UPPER(F413)="CLIENTE"),G413=""),"FALTA doc propietario/planta",IF(AND(UPPER(F413)="PLANTA",G413="10175332796"),"PLANTA no puede ser RUC empresa","OK"))))))))</f>
        <v/>
      </c>
      <c r="C413" s="23" t="inlineStr">
        <is>
          <t>GA546018</t>
        </is>
      </c>
      <c r="D413" s="17" t="inlineStr">
        <is>
          <t>Oxígeno Industrial 6 m³</t>
        </is>
      </c>
      <c r="E413" s="17" t="inlineStr">
        <is>
          <t>OXIGENO INDUSTRIAL</t>
        </is>
      </c>
      <c r="F413" s="17" t="inlineStr">
        <is>
          <t>EMPRESA</t>
        </is>
      </c>
      <c r="G413" s="23" t="inlineStr">
        <is>
          <t>10175332796</t>
        </is>
      </c>
      <c r="H413" s="25">
        <f t="array" ref="H413">IF(G413="","",IFERROR(IF(INDEX(Clientes!$D$5:$D$549,MATCH(G413,Clientes!$C$5:$C$549,0))&lt;&gt;"",INDEX(Clientes!$D$5:$D$549,MATCH(G413,Clientes!$C$5:$C$549,0)),TRIM(INDEX(Clientes!$E$5:$E$549,MATCH(G413,Clientes!$C$5:$C$549,0))&amp;" "&amp;INDEX(Clientes!$F$5:$F$549,MATCH(G413,Clientes!$C$5:$C$549,0)))),"NO EXISTE en Clientes"))</f>
        <v/>
      </c>
      <c r="I413" s="17" t="inlineStr">
        <is>
          <t>EN_PODER_CLIENTE</t>
        </is>
      </c>
      <c r="J413" s="17" t="n"/>
      <c r="K413" s="23" t="inlineStr">
        <is>
          <t>10748757070</t>
        </is>
      </c>
      <c r="L413" s="25">
        <f t="array" ref="L413">IF(K413="","",IFERROR(IF(INDEX(Clientes!$D$5:$D$549,MATCH(K413,Clientes!$C$5:$C$549,0))&lt;&gt;"",INDEX(Clientes!$D$5:$D$549,MATCH(K413,Clientes!$C$5:$C$549,0)),TRIM(INDEX(Clientes!$E$5:$E$549,MATCH(K413,Clientes!$C$5:$C$549,0))&amp;" "&amp;INDEX(Clientes!$F$5:$F$549,MATCH(K413,Clientes!$C$5:$C$549,0)))),"NO EXISTE en Clientes"))</f>
        <v/>
      </c>
      <c r="M413" s="17" t="n"/>
      <c r="N413" s="17" t="n"/>
      <c r="O413" s="42" t="n"/>
      <c r="P413" s="39">
        <f>IF(O413&lt;&gt;"",DATE(YEAR(O413)+5,MONTH(O413),1),IF(AND(M413&lt;&gt;"",N413&lt;&gt;""),DATE(M413+5,N413,1),""))</f>
        <v/>
      </c>
      <c r="Q413" s="23" t="n"/>
      <c r="R413" s="17" t="n"/>
      <c r="S413" s="17" t="n"/>
      <c r="T413" s="17" t="n"/>
      <c r="U413" s="17" t="n"/>
      <c r="V413" s="23" t="n"/>
      <c r="W413" s="17" t="n"/>
      <c r="X413" s="17" t="n"/>
      <c r="Y413" s="28">
        <f>IF(B413&lt;&gt;"OK","","SELECT bal_crear_balon(p_codigo_balon =&gt; "&amp;IF(TRIM(C413&amp;"")="","NULL","'"&amp;SUBSTITUTE(TRIM(C413),"'","''")&amp;"'")&amp;", p_id_tipo_balon =&gt; "&amp;"(SELECT id FROM bal_tipo_balon WHERE upper(nombre) = upper('"&amp;SUBSTITUTE(TRIM(D413),"'","''")&amp;"') AND estado = 1 LIMIT 1)"&amp;", p_id_producto_gas =&gt; "&amp;"(SELECT id FROM pro_producto WHERE es_gas = TRUE AND upper(nombre) = upper('"&amp;SUBSTITUTE(TRIM(E413),"'","''")&amp;"') AND estado = 1 LIMIT 1)"&amp;", p_id_propietario =&gt; "&amp;IF(TRIM(F413&amp;"")="","NULL","(SELECT lo.id FROM gen_lista_opciones lo JOIN gen_lista l ON l.id = lo.id_lista WHERE l.nombre = 'PropietarioBalon' AND upper(lo.nombre) = upper('"&amp;SUBSTITUTE(TRIM(F413),"'","''")&amp;"') AND lo.estado = 1 LIMIT 1)")&amp;", p_id_cliente_propietario =&gt; "&amp;IF(F413="CLIENTE",IF(TRIM(G413&amp;"")="","NULL","(SELECT id FROM cli_clientes WHERE numero_documento = '"&amp;SUBSTITUTE(TRIM(G413),"'","''")&amp;"' AND estado = 1 LIMIT 1)"),"NULL")&amp;", p_id_planta =&gt; "&amp;IF(F413="PLANTA",IF(TRIM(G413&amp;"")="","NULL","(SELECT id FROM cli_clientes WHERE numero_documento = '"&amp;SUBSTITUTE(TRIM(G413),"'","''")&amp;"'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"&amp;IF(TRIM(J413&amp;"")="","NULL","(SELECT id FROM gen_almacen WHERE upper(nombre) = upper('"&amp;SUBSTITUTE(TRIM(J413),"'","''")&amp;"') AND estado = 1 LIMIT 1)")&amp;", p_id_cliente_ubicacion =&gt; "&amp;IF(TRIM(K413&amp;"")="","NULL","(SELECT id FROM cli_clientes WHERE numero_documento = '"&amp;SUBSTITUTE(TRIM(K413),"'","''")&amp;"' AND estado = 1 LIMIT 1)")&amp;", p_id_referencia =&gt; "&amp;IF(TRIM(J413&amp;"")&lt;&gt;"","(SELECT lo.id FROM gen_lista_opciones lo JOIN gen_lista l ON l.id = lo.id_lista WHERE l.nombre = 'ReferenciaCilindro' AND upper(lo.nombre) = 'ALMACEN' AND lo.estado = 1 LIMIT 1)",IF(TRIM(K413&amp;"")&lt;&gt;"","(SELECT lo.id FROM gen_lista_opciones lo JOIN gen_lista l ON l.id = lo.id_lista WHERE l.nombre = 'ReferenciaCilindro' AND upper(lo.nombre) = 'CLIENTE' AND lo.estado = 1 LIMIT 1)","NULL"))&amp;", p_anio_fabricacion =&gt; "&amp;IF(M413&amp;""="","NULL::smallint",M413&amp;"::smallint")&amp;", p_mes_fabricacion =&gt; "&amp;IF(N413&amp;""="","NULL::smallint",N413&amp;"::smallint")&amp;", p_fecha_ultima_prueba_hidrostatica =&gt; "&amp;IF(O413&amp;""="","NULL","'"&amp;YEAR(O413)&amp;"-"&amp;TEXT(MONTH(O413),"00")&amp;"-"&amp;TEXT(DAY(O413),"00")&amp;"'")&amp;", p_numero_serie =&gt; "&amp;IF(TRIM(Q413&amp;"")="","NULL","'"&amp;SUBSTITUTE(TRIM(Q413),"'","''")&amp;"'")&amp;", p_id_marca_cilindro =&gt; "&amp;IF(TRIM(R413&amp;"")="","NULL","(SELECT lo.id FROM gen_lista_opciones lo JOIN gen_lista l ON l.id = lo.id_lista WHERE l.nombre = 'MarcaCilindro' AND upper(lo.nombre) = upper('"&amp;SUBSTITUTE(TRIM(R413),"'","''")&amp;"') AND lo.estado = 1 LIMIT 1)")&amp;", p_id_organo_inspector =&gt; "&amp;IF(TRIM(S413&amp;"")="","NULL","(SELECT lo.id FROM gen_lista_opciones lo JOIN gen_lista l ON l.id = lo.id_lista WHERE l.nombre = 'OrganoInspectorCilindro' AND upper(lo.nombre) = upper('"&amp;SUBSTITUTE(TRIM(S413),"'","''")&amp;"') AND lo.estado = 1 LIMIT 1)")&amp;", p_organo_inspector_no_aplica =&gt; "&amp;IF(S413="NO_APLICA","TRUE","FALSE")&amp;", p_presion_actual =&gt; "&amp;IF(T413&amp;""="","NULL",SUBSTITUTE(T413&amp;"",",","."))&amp;", p_tipo_valvula =&gt; "&amp;IF(TRIM(U413&amp;"")="","NULL","'"&amp;SUBSTITUTE(TRIM(U413),"'","''")&amp;"'")&amp;", p_libro_cilindro =&gt; "&amp;IF(TRIM(V413&amp;"")="","NULL","'"&amp;SUBSTITUTE(TRIM(V413),"'","''")&amp;"'")&amp;", p_pagina_libro =&gt; "&amp;IF(W413&amp;""="","NULL",SUBSTITUTE(W413&amp;"",",","."))&amp;", p_observacion =&gt; "&amp;IF(TRIM(X413&amp;"")="","NULL","'"&amp;SUBSTITUTE(TRIM(X413),"'","''")&amp;"'")&amp;") AS resultado_balon_"&amp;ROW()&amp;";")</f>
        <v/>
      </c>
    </row>
    <row r="414" ht="15.75" customHeight="1" s="64">
      <c r="A414" s="36" t="inlineStr">
        <is>
          <t>410</t>
        </is>
      </c>
      <c r="B414" s="25">
        <f>IF(AND(C414="",D414="",E414=""),"",IF(C414="","FALTA código balón",IF(D414="","FALTA tipo balón",IF(E414="","FALTA gas",IF(F414="","FALTA propietario",IF(AND(C414&lt;&gt;"",SUMPRODUCT(--($C$5:$C$1200=C414))&gt;1),"CÓDIGO BALÓN DUPLICADO",IF(AND(OR(UPPER(F414)="PLANTA",UPPER(F414)="CLIENTE"),G414=""),"FALTA doc propietario/planta",IF(AND(UPPER(F414)="PLANTA",G414="10175332796"),"PLANTA no puede ser RUC empresa","OK"))))))))</f>
        <v/>
      </c>
      <c r="C414" s="54" t="inlineStr">
        <is>
          <t>303215 (199166)</t>
        </is>
      </c>
      <c r="D414" s="17" t="inlineStr">
        <is>
          <t>Oxígeno Industrial 6 m³</t>
        </is>
      </c>
      <c r="E414" s="17" t="inlineStr">
        <is>
          <t>OXIGENO INDUSTRIAL</t>
        </is>
      </c>
      <c r="F414" s="17" t="inlineStr">
        <is>
          <t>EMPRESA</t>
        </is>
      </c>
      <c r="G414" s="23" t="inlineStr">
        <is>
          <t>10175332796</t>
        </is>
      </c>
      <c r="H414" s="25">
        <f t="array" ref="H414">IF(G414="","",IFERROR(IF(INDEX(Clientes!$D$5:$D$549,MATCH(G414,Clientes!$C$5:$C$549,0))&lt;&gt;"",INDEX(Clientes!$D$5:$D$549,MATCH(G414,Clientes!$C$5:$C$549,0)),TRIM(INDEX(Clientes!$E$5:$E$549,MATCH(G414,Clientes!$C$5:$C$549,0))&amp;" "&amp;INDEX(Clientes!$F$5:$F$549,MATCH(G414,Clientes!$C$5:$C$549,0)))),"NO EXISTE en Clientes"))</f>
        <v/>
      </c>
      <c r="I414" s="17" t="inlineStr">
        <is>
          <t>EN_PODER_CLIENTE</t>
        </is>
      </c>
      <c r="J414" s="17" t="n"/>
      <c r="K414" s="23" t="inlineStr">
        <is>
          <t>10748757070</t>
        </is>
      </c>
      <c r="L414" s="25">
        <f t="array" ref="L414">IF(K414="","",IFERROR(IF(INDEX(Clientes!$D$5:$D$549,MATCH(K414,Clientes!$C$5:$C$549,0))&lt;&gt;"",INDEX(Clientes!$D$5:$D$549,MATCH(K414,Clientes!$C$5:$C$549,0)),TRIM(INDEX(Clientes!$E$5:$E$549,MATCH(K414,Clientes!$C$5:$C$549,0))&amp;" "&amp;INDEX(Clientes!$F$5:$F$549,MATCH(K414,Clientes!$C$5:$C$549,0)))),"NO EXISTE en Clientes"))</f>
        <v/>
      </c>
      <c r="M414" s="17" t="n"/>
      <c r="N414" s="17" t="n"/>
      <c r="O414" s="42" t="n"/>
      <c r="P414" s="39">
        <f>IF(O414&lt;&gt;"",DATE(YEAR(O414)+5,MONTH(O414),1),IF(AND(M414&lt;&gt;"",N414&lt;&gt;""),DATE(M414+5,N414,1),""))</f>
        <v/>
      </c>
      <c r="Q414" s="23" t="n"/>
      <c r="R414" s="17" t="n"/>
      <c r="S414" s="17" t="n"/>
      <c r="T414" s="17" t="n"/>
      <c r="U414" s="17" t="n"/>
      <c r="V414" s="23" t="n"/>
      <c r="W414" s="17" t="n"/>
      <c r="X414" s="17" t="n"/>
      <c r="Y414" s="28">
        <f>IF(B414&lt;&gt;"OK","","SELECT bal_crear_balon(p_codigo_balon =&gt; "&amp;IF(TRIM(C414&amp;"")="","NULL","'"&amp;SUBSTITUTE(TRIM(C414),"'","''")&amp;"'")&amp;", p_id_tipo_balon =&gt; "&amp;"(SELECT id FROM bal_tipo_balon WHERE upper(nombre) = upper('"&amp;SUBSTITUTE(TRIM(D414),"'","''")&amp;"') AND estado = 1 LIMIT 1)"&amp;", p_id_producto_gas =&gt; "&amp;"(SELECT id FROM pro_producto WHERE es_gas = TRUE AND upper(nombre) = upper('"&amp;SUBSTITUTE(TRIM(E414),"'","''")&amp;"') AND estado = 1 LIMIT 1)"&amp;", p_id_propietario =&gt; "&amp;IF(TRIM(F414&amp;"")="","NULL","(SELECT lo.id FROM gen_lista_opciones lo JOIN gen_lista l ON l.id = lo.id_lista WHERE l.nombre = 'PropietarioBalon' AND upper(lo.nombre) = upper('"&amp;SUBSTITUTE(TRIM(F414),"'","''")&amp;"') AND lo.estado = 1 LIMIT 1)")&amp;", p_id_cliente_propietario =&gt; "&amp;IF(F414="CLIENTE",IF(TRIM(G414&amp;"")="","NULL","(SELECT id FROM cli_clientes WHERE numero_documento = '"&amp;SUBSTITUTE(TRIM(G414),"'","''")&amp;"' AND estado = 1 LIMIT 1)"),"NULL")&amp;", p_id_planta =&gt; "&amp;IF(F414="PLANTA",IF(TRIM(G414&amp;"")="","NULL","(SELECT id FROM cli_clientes WHERE numero_documento = '"&amp;SUBSTITUTE(TRIM(G414),"'","''")&amp;"'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"&amp;IF(TRIM(J414&amp;"")="","NULL","(SELECT id FROM gen_almacen WHERE upper(nombre) = upper('"&amp;SUBSTITUTE(TRIM(J414),"'","''")&amp;"') AND estado = 1 LIMIT 1)")&amp;", p_id_cliente_ubicacion =&gt; "&amp;IF(TRIM(K414&amp;"")="","NULL","(SELECT id FROM cli_clientes WHERE numero_documento = '"&amp;SUBSTITUTE(TRIM(K414),"'","''")&amp;"' AND estado = 1 LIMIT 1)")&amp;", p_id_referencia =&gt; "&amp;IF(TRIM(J414&amp;"")&lt;&gt;"","(SELECT lo.id FROM gen_lista_opciones lo JOIN gen_lista l ON l.id = lo.id_lista WHERE l.nombre = 'ReferenciaCilindro' AND upper(lo.nombre) = 'ALMACEN' AND lo.estado = 1 LIMIT 1)",IF(TRIM(K414&amp;"")&lt;&gt;"","(SELECT lo.id FROM gen_lista_opciones lo JOIN gen_lista l ON l.id = lo.id_lista WHERE l.nombre = 'ReferenciaCilindro' AND upper(lo.nombre) = 'CLIENTE' AND lo.estado = 1 LIMIT 1)","NULL"))&amp;", p_anio_fabricacion =&gt; "&amp;IF(M414&amp;""="","NULL::smallint",M414&amp;"::smallint")&amp;", p_mes_fabricacion =&gt; "&amp;IF(N414&amp;""="","NULL::smallint",N414&amp;"::smallint")&amp;", p_fecha_ultima_prueba_hidrostatica =&gt; "&amp;IF(O414&amp;""="","NULL","'"&amp;YEAR(O414)&amp;"-"&amp;TEXT(MONTH(O414),"00")&amp;"-"&amp;TEXT(DAY(O414),"00")&amp;"'")&amp;", p_numero_serie =&gt; "&amp;IF(TRIM(Q414&amp;"")="","NULL","'"&amp;SUBSTITUTE(TRIM(Q414),"'","''")&amp;"'")&amp;", p_id_marca_cilindro =&gt; "&amp;IF(TRIM(R414&amp;"")="","NULL","(SELECT lo.id FROM gen_lista_opciones lo JOIN gen_lista l ON l.id = lo.id_lista WHERE l.nombre = 'MarcaCilindro' AND upper(lo.nombre) = upper('"&amp;SUBSTITUTE(TRIM(R414),"'","''")&amp;"') AND lo.estado = 1 LIMIT 1)")&amp;", p_id_organo_inspector =&gt; "&amp;IF(TRIM(S414&amp;"")="","NULL","(SELECT lo.id FROM gen_lista_opciones lo JOIN gen_lista l ON l.id = lo.id_lista WHERE l.nombre = 'OrganoInspectorCilindro' AND upper(lo.nombre) = upper('"&amp;SUBSTITUTE(TRIM(S414),"'","''")&amp;"') AND lo.estado = 1 LIMIT 1)")&amp;", p_organo_inspector_no_aplica =&gt; "&amp;IF(S414="NO_APLICA","TRUE","FALSE")&amp;", p_presion_actual =&gt; "&amp;IF(T414&amp;""="","NULL",SUBSTITUTE(T414&amp;"",",","."))&amp;", p_tipo_valvula =&gt; "&amp;IF(TRIM(U414&amp;"")="","NULL","'"&amp;SUBSTITUTE(TRIM(U414),"'","''")&amp;"'")&amp;", p_libro_cilindro =&gt; "&amp;IF(TRIM(V414&amp;"")="","NULL","'"&amp;SUBSTITUTE(TRIM(V414),"'","''")&amp;"'")&amp;", p_pagina_libro =&gt; "&amp;IF(W414&amp;""="","NULL",SUBSTITUTE(W414&amp;"",",","."))&amp;", p_observacion =&gt; "&amp;IF(TRIM(X414&amp;"")="","NULL","'"&amp;SUBSTITUTE(TRIM(X414),"'","''")&amp;"'")&amp;") AS resultado_balon_"&amp;ROW()&amp;";")</f>
        <v/>
      </c>
    </row>
    <row r="415" ht="15.75" customHeight="1" s="64">
      <c r="A415" s="36" t="inlineStr">
        <is>
          <t>411</t>
        </is>
      </c>
      <c r="B415" s="25">
        <f>IF(AND(C415="",D415="",E415=""),"",IF(C415="","FALTA código balón",IF(D415="","FALTA tipo balón",IF(E415="","FALTA gas",IF(F415="","FALTA propietario",IF(AND(C415&lt;&gt;"",SUMPRODUCT(--($C$5:$C$1200=C415))&gt;1),"CÓDIGO BALÓN DUPLICADO",IF(AND(OR(UPPER(F415)="PLANTA",UPPER(F415)="CLIENTE"),G415=""),"FALTA doc propietario/planta",IF(AND(UPPER(F415)="PLANTA",G415="10175332796"),"PLANTA no puede ser RUC empresa","OK"))))))))</f>
        <v/>
      </c>
      <c r="C415" s="54" t="inlineStr">
        <is>
          <t>121Y319040</t>
        </is>
      </c>
      <c r="D415" s="17" t="inlineStr">
        <is>
          <t>Oxígeno Medicinal 10 m³</t>
        </is>
      </c>
      <c r="E415" s="17" t="inlineStr">
        <is>
          <t>OXIGENO MEDICINAL</t>
        </is>
      </c>
      <c r="F415" s="17" t="inlineStr">
        <is>
          <t>EMPRESA</t>
        </is>
      </c>
      <c r="G415" s="23" t="inlineStr">
        <is>
          <t>10175332796</t>
        </is>
      </c>
      <c r="H415" s="25">
        <f t="array" ref="H415">IF(G415="","",IFERROR(IF(INDEX(Clientes!$D$5:$D$549,MATCH(G415,Clientes!$C$5:$C$549,0))&lt;&gt;"",INDEX(Clientes!$D$5:$D$549,MATCH(G415,Clientes!$C$5:$C$549,0)),TRIM(INDEX(Clientes!$E$5:$E$549,MATCH(G415,Clientes!$C$5:$C$549,0))&amp;" "&amp;INDEX(Clientes!$F$5:$F$549,MATCH(G415,Clientes!$C$5:$C$549,0)))),"NO EXISTE en Clientes"))</f>
        <v/>
      </c>
      <c r="I415" s="17" t="inlineStr">
        <is>
          <t>EN_PODER_CLIENTE</t>
        </is>
      </c>
      <c r="J415" s="17" t="n"/>
      <c r="K415" s="23" t="inlineStr">
        <is>
          <t>44436445</t>
        </is>
      </c>
      <c r="L415" s="25">
        <f t="array" ref="L415">IF(K415="","",IFERROR(IF(INDEX(Clientes!$D$5:$D$549,MATCH(K415,Clientes!$C$5:$C$549,0))&lt;&gt;"",INDEX(Clientes!$D$5:$D$549,MATCH(K415,Clientes!$C$5:$C$549,0)),TRIM(INDEX(Clientes!$E$5:$E$549,MATCH(K415,Clientes!$C$5:$C$549,0))&amp;" "&amp;INDEX(Clientes!$F$5:$F$549,MATCH(K415,Clientes!$C$5:$C$549,0)))),"NO EXISTE en Clientes"))</f>
        <v/>
      </c>
      <c r="M415" s="17" t="n"/>
      <c r="N415" s="17" t="n"/>
      <c r="O415" s="42" t="n"/>
      <c r="P415" s="39">
        <f>IF(O415&lt;&gt;"",DATE(YEAR(O415)+5,MONTH(O415),1),IF(AND(M415&lt;&gt;"",N415&lt;&gt;""),DATE(M415+5,N415,1),""))</f>
        <v/>
      </c>
      <c r="Q415" s="23" t="n"/>
      <c r="R415" s="17" t="n"/>
      <c r="S415" s="17" t="n"/>
      <c r="T415" s="17" t="n"/>
      <c r="U415" s="17" t="n"/>
      <c r="V415" s="23" t="n"/>
      <c r="W415" s="17" t="n"/>
      <c r="X415" s="17" t="n"/>
      <c r="Y415" s="28">
        <f>IF(B415&lt;&gt;"OK","","SELECT bal_crear_balon(p_codigo_balon =&gt; "&amp;IF(TRIM(C415&amp;"")="","NULL","'"&amp;SUBSTITUTE(TRIM(C415),"'","''")&amp;"'")&amp;", p_id_tipo_balon =&gt; "&amp;"(SELECT id FROM bal_tipo_balon WHERE upper(nombre) = upper('"&amp;SUBSTITUTE(TRIM(D415),"'","''")&amp;"') AND estado = 1 LIMIT 1)"&amp;", p_id_producto_gas =&gt; "&amp;"(SELECT id FROM pro_producto WHERE es_gas = TRUE AND upper(nombre) = upper('"&amp;SUBSTITUTE(TRIM(E415),"'","''")&amp;"') AND estado = 1 LIMIT 1)"&amp;", p_id_propietario =&gt; "&amp;IF(TRIM(F415&amp;"")="","NULL","(SELECT lo.id FROM gen_lista_opciones lo JOIN gen_lista l ON l.id = lo.id_lista WHERE l.nombre = 'PropietarioBalon' AND upper(lo.nombre) = upper('"&amp;SUBSTITUTE(TRIM(F415),"'","''")&amp;"') AND lo.estado = 1 LIMIT 1)")&amp;", p_id_cliente_propietario =&gt; "&amp;IF(F415="CLIENTE",IF(TRIM(G415&amp;"")="","NULL","(SELECT id FROM cli_clientes WHERE numero_documento = '"&amp;SUBSTITUTE(TRIM(G415),"'","''")&amp;"' AND estado = 1 LIMIT 1)"),"NULL")&amp;", p_id_planta =&gt; "&amp;IF(F415="PLANTA",IF(TRIM(G415&amp;"")="","NULL","(SELECT id FROM cli_clientes WHERE numero_documento = '"&amp;SUBSTITUTE(TRIM(G415),"'","''")&amp;"'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"&amp;IF(TRIM(J415&amp;"")="","NULL","(SELECT id FROM gen_almacen WHERE upper(nombre) = upper('"&amp;SUBSTITUTE(TRIM(J415),"'","''")&amp;"') AND estado = 1 LIMIT 1)")&amp;", p_id_cliente_ubicacion =&gt; "&amp;IF(TRIM(K415&amp;"")="","NULL","(SELECT id FROM cli_clientes WHERE numero_documento = '"&amp;SUBSTITUTE(TRIM(K415),"'","''")&amp;"' AND estado = 1 LIMIT 1)")&amp;", p_id_referencia =&gt; "&amp;IF(TRIM(J415&amp;"")&lt;&gt;"","(SELECT lo.id FROM gen_lista_opciones lo JOIN gen_lista l ON l.id = lo.id_lista WHERE l.nombre = 'ReferenciaCilindro' AND upper(lo.nombre) = 'ALMACEN' AND lo.estado = 1 LIMIT 1)",IF(TRIM(K415&amp;"")&lt;&gt;"","(SELECT lo.id FROM gen_lista_opciones lo JOIN gen_lista l ON l.id = lo.id_lista WHERE l.nombre = 'ReferenciaCilindro' AND upper(lo.nombre) = 'CLIENTE' AND lo.estado = 1 LIMIT 1)","NULL"))&amp;", p_anio_fabricacion =&gt; "&amp;IF(M415&amp;""="","NULL::smallint",M415&amp;"::smallint")&amp;", p_mes_fabricacion =&gt; "&amp;IF(N415&amp;""="","NULL::smallint",N415&amp;"::smallint")&amp;", p_fecha_ultima_prueba_hidrostatica =&gt; "&amp;IF(O415&amp;""="","NULL","'"&amp;YEAR(O415)&amp;"-"&amp;TEXT(MONTH(O415),"00")&amp;"-"&amp;TEXT(DAY(O415),"00")&amp;"'")&amp;", p_numero_serie =&gt; "&amp;IF(TRIM(Q415&amp;"")="","NULL","'"&amp;SUBSTITUTE(TRIM(Q415),"'","''")&amp;"'")&amp;", p_id_marca_cilindro =&gt; "&amp;IF(TRIM(R415&amp;"")="","NULL","(SELECT lo.id FROM gen_lista_opciones lo JOIN gen_lista l ON l.id = lo.id_lista WHERE l.nombre = 'MarcaCilindro' AND upper(lo.nombre) = upper('"&amp;SUBSTITUTE(TRIM(R415),"'","''")&amp;"') AND lo.estado = 1 LIMIT 1)")&amp;", p_id_organo_inspector =&gt; "&amp;IF(TRIM(S415&amp;"")="","NULL","(SELECT lo.id FROM gen_lista_opciones lo JOIN gen_lista l ON l.id = lo.id_lista WHERE l.nombre = 'OrganoInspectorCilindro' AND upper(lo.nombre) = upper('"&amp;SUBSTITUTE(TRIM(S415),"'","''")&amp;"') AND lo.estado = 1 LIMIT 1)")&amp;", p_organo_inspector_no_aplica =&gt; "&amp;IF(S415="NO_APLICA","TRUE","FALSE")&amp;", p_presion_actual =&gt; "&amp;IF(T415&amp;""="","NULL",SUBSTITUTE(T415&amp;"",",","."))&amp;", p_tipo_valvula =&gt; "&amp;IF(TRIM(U415&amp;"")="","NULL","'"&amp;SUBSTITUTE(TRIM(U415),"'","''")&amp;"'")&amp;", p_libro_cilindro =&gt; "&amp;IF(TRIM(V415&amp;"")="","NULL","'"&amp;SUBSTITUTE(TRIM(V415),"'","''")&amp;"'")&amp;", p_pagina_libro =&gt; "&amp;IF(W415&amp;""="","NULL",SUBSTITUTE(W415&amp;"",",","."))&amp;", p_observacion =&gt; "&amp;IF(TRIM(X415&amp;"")="","NULL","'"&amp;SUBSTITUTE(TRIM(X415),"'","''")&amp;"'")&amp;") AS resultado_balon_"&amp;ROW()&amp;";")</f>
        <v/>
      </c>
    </row>
    <row r="416" ht="15.75" customHeight="1" s="64">
      <c r="A416" s="36" t="inlineStr">
        <is>
          <t>412</t>
        </is>
      </c>
      <c r="B416" s="25">
        <f>IF(AND(C416="",D416="",E416=""),"",IF(C416="","FALTA código balón",IF(D416="","FALTA tipo balón",IF(E416="","FALTA gas",IF(F416="","FALTA propietario",IF(AND(C416&lt;&gt;"",SUMPRODUCT(--($C$5:$C$1200=C416))&gt;1),"CÓDIGO BALÓN DUPLICADO",IF(AND(OR(UPPER(F416)="PLANTA",UPPER(F416)="CLIENTE"),G416=""),"FALTA doc propietario/planta",IF(AND(UPPER(F416)="PLANTA",G416="10175332796"),"PLANTA no puede ser RUC empresa","OK"))))))))</f>
        <v/>
      </c>
      <c r="C416" s="54" t="inlineStr">
        <is>
          <t>2845E061</t>
        </is>
      </c>
      <c r="D416" s="17" t="inlineStr">
        <is>
          <t>Oxígeno Industrial 6 m³</t>
        </is>
      </c>
      <c r="E416" s="17" t="inlineStr">
        <is>
          <t>OXIGENO INDUSTRIAL</t>
        </is>
      </c>
      <c r="F416" s="17" t="inlineStr">
        <is>
          <t>EMPRESA</t>
        </is>
      </c>
      <c r="G416" s="23" t="inlineStr">
        <is>
          <t>10175332796</t>
        </is>
      </c>
      <c r="H416" s="25">
        <f t="array" ref="H416">IF(G416="","",IFERROR(IF(INDEX(Clientes!$D$5:$D$549,MATCH(G416,Clientes!$C$5:$C$549,0))&lt;&gt;"",INDEX(Clientes!$D$5:$D$549,MATCH(G416,Clientes!$C$5:$C$549,0)),TRIM(INDEX(Clientes!$E$5:$E$549,MATCH(G416,Clientes!$C$5:$C$549,0))&amp;" "&amp;INDEX(Clientes!$F$5:$F$549,MATCH(G416,Clientes!$C$5:$C$549,0)))),"NO EXISTE en Clientes"))</f>
        <v/>
      </c>
      <c r="I416" s="17" t="inlineStr">
        <is>
          <t>EN_PODER_CLIENTE</t>
        </is>
      </c>
      <c r="J416" s="17" t="n"/>
      <c r="K416" s="23" t="inlineStr">
        <is>
          <t>46979641</t>
        </is>
      </c>
      <c r="L416" s="25">
        <f t="array" ref="L416">IF(K416="","",IFERROR(IF(INDEX(Clientes!$D$5:$D$549,MATCH(K416,Clientes!$C$5:$C$549,0))&lt;&gt;"",INDEX(Clientes!$D$5:$D$549,MATCH(K416,Clientes!$C$5:$C$549,0)),TRIM(INDEX(Clientes!$E$5:$E$549,MATCH(K416,Clientes!$C$5:$C$549,0))&amp;" "&amp;INDEX(Clientes!$F$5:$F$549,MATCH(K416,Clientes!$C$5:$C$549,0)))),"NO EXISTE en Clientes"))</f>
        <v/>
      </c>
      <c r="M416" s="17" t="n"/>
      <c r="N416" s="17" t="n"/>
      <c r="O416" s="42" t="n"/>
      <c r="P416" s="39">
        <f>IF(O416&lt;&gt;"",DATE(YEAR(O416)+5,MONTH(O416),1),IF(AND(M416&lt;&gt;"",N416&lt;&gt;""),DATE(M416+5,N416,1),""))</f>
        <v/>
      </c>
      <c r="Q416" s="23" t="n"/>
      <c r="R416" s="17" t="n"/>
      <c r="S416" s="17" t="n"/>
      <c r="T416" s="17" t="n"/>
      <c r="U416" s="17" t="n"/>
      <c r="V416" s="23" t="n"/>
      <c r="W416" s="17" t="n"/>
      <c r="X416" s="17" t="n"/>
      <c r="Y416" s="28">
        <f>IF(B416&lt;&gt;"OK","","SELECT bal_crear_balon(p_codigo_balon =&gt; "&amp;IF(TRIM(C416&amp;"")="","NULL","'"&amp;SUBSTITUTE(TRIM(C416),"'","''")&amp;"'")&amp;", p_id_tipo_balon =&gt; "&amp;"(SELECT id FROM bal_tipo_balon WHERE upper(nombre) = upper('"&amp;SUBSTITUTE(TRIM(D416),"'","''")&amp;"') AND estado = 1 LIMIT 1)"&amp;", p_id_producto_gas =&gt; "&amp;"(SELECT id FROM pro_producto WHERE es_gas = TRUE AND upper(nombre) = upper('"&amp;SUBSTITUTE(TRIM(E416),"'","''")&amp;"') AND estado = 1 LIMIT 1)"&amp;", p_id_propietario =&gt; "&amp;IF(TRIM(F416&amp;"")="","NULL","(SELECT lo.id FROM gen_lista_opciones lo JOIN gen_lista l ON l.id = lo.id_lista WHERE l.nombre = 'PropietarioBalon' AND upper(lo.nombre) = upper('"&amp;SUBSTITUTE(TRIM(F416),"'","''")&amp;"') AND lo.estado = 1 LIMIT 1)")&amp;", p_id_cliente_propietario =&gt; "&amp;IF(F416="CLIENTE",IF(TRIM(G416&amp;"")="","NULL","(SELECT id FROM cli_clientes WHERE numero_documento = '"&amp;SUBSTITUTE(TRIM(G416),"'","''")&amp;"' AND estado = 1 LIMIT 1)"),"NULL")&amp;", p_id_planta =&gt; "&amp;IF(F416="PLANTA",IF(TRIM(G416&amp;"")="","NULL","(SELECT id FROM cli_clientes WHERE numero_documento = '"&amp;SUBSTITUTE(TRIM(G416),"'","''")&amp;"'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"&amp;IF(TRIM(J416&amp;"")="","NULL","(SELECT id FROM gen_almacen WHERE upper(nombre) = upper('"&amp;SUBSTITUTE(TRIM(J416),"'","''")&amp;"') AND estado = 1 LIMIT 1)")&amp;", p_id_cliente_ubicacion =&gt; "&amp;IF(TRIM(K416&amp;"")="","NULL","(SELECT id FROM cli_clientes WHERE numero_documento = '"&amp;SUBSTITUTE(TRIM(K416),"'","''")&amp;"' AND estado = 1 LIMIT 1)")&amp;", p_id_referencia =&gt; "&amp;IF(TRIM(J416&amp;"")&lt;&gt;"","(SELECT lo.id FROM gen_lista_opciones lo JOIN gen_lista l ON l.id = lo.id_lista WHERE l.nombre = 'ReferenciaCilindro' AND upper(lo.nombre) = 'ALMACEN' AND lo.estado = 1 LIMIT 1)",IF(TRIM(K416&amp;"")&lt;&gt;"","(SELECT lo.id FROM gen_lista_opciones lo JOIN gen_lista l ON l.id = lo.id_lista WHERE l.nombre = 'ReferenciaCilindro' AND upper(lo.nombre) = 'CLIENTE' AND lo.estado = 1 LIMIT 1)","NULL"))&amp;", p_anio_fabricacion =&gt; "&amp;IF(M416&amp;""="","NULL::smallint",M416&amp;"::smallint")&amp;", p_mes_fabricacion =&gt; "&amp;IF(N416&amp;""="","NULL::smallint",N416&amp;"::smallint")&amp;", p_fecha_ultima_prueba_hidrostatica =&gt; "&amp;IF(O416&amp;""="","NULL","'"&amp;YEAR(O416)&amp;"-"&amp;TEXT(MONTH(O416),"00")&amp;"-"&amp;TEXT(DAY(O416),"00")&amp;"'")&amp;", p_numero_serie =&gt; "&amp;IF(TRIM(Q416&amp;"")="","NULL","'"&amp;SUBSTITUTE(TRIM(Q416),"'","''")&amp;"'")&amp;", p_id_marca_cilindro =&gt; "&amp;IF(TRIM(R416&amp;"")="","NULL","(SELECT lo.id FROM gen_lista_opciones lo JOIN gen_lista l ON l.id = lo.id_lista WHERE l.nombre = 'MarcaCilindro' AND upper(lo.nombre) = upper('"&amp;SUBSTITUTE(TRIM(R416),"'","''")&amp;"') AND lo.estado = 1 LIMIT 1)")&amp;", p_id_organo_inspector =&gt; "&amp;IF(TRIM(S416&amp;"")="","NULL","(SELECT lo.id FROM gen_lista_opciones lo JOIN gen_lista l ON l.id = lo.id_lista WHERE l.nombre = 'OrganoInspectorCilindro' AND upper(lo.nombre) = upper('"&amp;SUBSTITUTE(TRIM(S416),"'","''")&amp;"') AND lo.estado = 1 LIMIT 1)")&amp;", p_organo_inspector_no_aplica =&gt; "&amp;IF(S416="NO_APLICA","TRUE","FALSE")&amp;", p_presion_actual =&gt; "&amp;IF(T416&amp;""="","NULL",SUBSTITUTE(T416&amp;"",",","."))&amp;", p_tipo_valvula =&gt; "&amp;IF(TRIM(U416&amp;"")="","NULL","'"&amp;SUBSTITUTE(TRIM(U416),"'","''")&amp;"'")&amp;", p_libro_cilindro =&gt; "&amp;IF(TRIM(V416&amp;"")="","NULL","'"&amp;SUBSTITUTE(TRIM(V416),"'","''")&amp;"'")&amp;", p_pagina_libro =&gt; "&amp;IF(W416&amp;""="","NULL",SUBSTITUTE(W416&amp;"",",","."))&amp;", p_observacion =&gt; "&amp;IF(TRIM(X416&amp;"")="","NULL","'"&amp;SUBSTITUTE(TRIM(X416),"'","''")&amp;"'")&amp;") AS resultado_balon_"&amp;ROW()&amp;";")</f>
        <v/>
      </c>
    </row>
    <row r="417" ht="15.75" customHeight="1" s="64">
      <c r="A417" s="36" t="inlineStr">
        <is>
          <t>413</t>
        </is>
      </c>
      <c r="B417" s="25">
        <f>IF(AND(C417="",D417="",E417=""),"",IF(C417="","FALTA código balón",IF(D417="","FALTA tipo balón",IF(E417="","FALTA gas",IF(F417="","FALTA propietario",IF(AND(C417&lt;&gt;"",SUMPRODUCT(--($C$5:$C$1200=C417))&gt;1),"CÓDIGO BALÓN DUPLICADO",IF(AND(OR(UPPER(F417)="PLANTA",UPPER(F417)="CLIENTE"),G417=""),"FALTA doc propietario/planta",IF(AND(UPPER(F417)="PLANTA",G417="10175332796"),"PLANTA no puede ser RUC empresa","OK"))))))))</f>
        <v/>
      </c>
      <c r="C417" s="54" t="inlineStr">
        <is>
          <t>43148</t>
        </is>
      </c>
      <c r="D417" s="17" t="inlineStr">
        <is>
          <t>Oxigeno Industrial 3 m³</t>
        </is>
      </c>
      <c r="E417" s="17" t="inlineStr">
        <is>
          <t>OXIGENO INDUSTRIAL</t>
        </is>
      </c>
      <c r="F417" s="17" t="inlineStr">
        <is>
          <t>EMPRESA</t>
        </is>
      </c>
      <c r="G417" s="23" t="inlineStr">
        <is>
          <t>10175332796</t>
        </is>
      </c>
      <c r="H417" s="25">
        <f t="array" ref="H417">IF(G417="","",IFERROR(IF(INDEX(Clientes!$D$5:$D$549,MATCH(G417,Clientes!$C$5:$C$549,0))&lt;&gt;"",INDEX(Clientes!$D$5:$D$549,MATCH(G417,Clientes!$C$5:$C$549,0)),TRIM(INDEX(Clientes!$E$5:$E$549,MATCH(G417,Clientes!$C$5:$C$549,0))&amp;" "&amp;INDEX(Clientes!$F$5:$F$549,MATCH(G417,Clientes!$C$5:$C$549,0)))),"NO EXISTE en Clientes"))</f>
        <v/>
      </c>
      <c r="I417" s="17" t="inlineStr">
        <is>
          <t>EN_PODER_CLIENTE</t>
        </is>
      </c>
      <c r="J417" s="17" t="n"/>
      <c r="K417" s="23" t="inlineStr">
        <is>
          <t>20612747726</t>
        </is>
      </c>
      <c r="L417" s="25">
        <f t="array" ref="L417">IF(K417="","",IFERROR(IF(INDEX(Clientes!$D$5:$D$549,MATCH(K417,Clientes!$C$5:$C$549,0))&lt;&gt;"",INDEX(Clientes!$D$5:$D$549,MATCH(K417,Clientes!$C$5:$C$549,0)),TRIM(INDEX(Clientes!$E$5:$E$549,MATCH(K417,Clientes!$C$5:$C$549,0))&amp;" "&amp;INDEX(Clientes!$F$5:$F$549,MATCH(K417,Clientes!$C$5:$C$549,0)))),"NO EXISTE en Clientes"))</f>
        <v/>
      </c>
      <c r="M417" s="17" t="n"/>
      <c r="N417" s="17" t="n"/>
      <c r="O417" s="42" t="n"/>
      <c r="P417" s="39">
        <f>IF(O417&lt;&gt;"",DATE(YEAR(O417)+5,MONTH(O417),1),IF(AND(M417&lt;&gt;"",N417&lt;&gt;""),DATE(M417+5,N417,1),""))</f>
        <v/>
      </c>
      <c r="Q417" s="23" t="n"/>
      <c r="R417" s="17" t="n"/>
      <c r="S417" s="17" t="n"/>
      <c r="T417" s="17" t="n"/>
      <c r="U417" s="17" t="n"/>
      <c r="V417" s="23" t="n"/>
      <c r="W417" s="17" t="n"/>
      <c r="X417" s="17" t="n"/>
      <c r="Y417" s="28">
        <f>IF(B417&lt;&gt;"OK","","SELECT bal_crear_balon(p_codigo_balon =&gt; "&amp;IF(TRIM(C417&amp;"")="","NULL","'"&amp;SUBSTITUTE(TRIM(C417),"'","''")&amp;"'")&amp;", p_id_tipo_balon =&gt; "&amp;"(SELECT id FROM bal_tipo_balon WHERE upper(nombre) = upper('"&amp;SUBSTITUTE(TRIM(D417),"'","''")&amp;"') AND estado = 1 LIMIT 1)"&amp;", p_id_producto_gas =&gt; "&amp;"(SELECT id FROM pro_producto WHERE es_gas = TRUE AND upper(nombre) = upper('"&amp;SUBSTITUTE(TRIM(E417),"'","''")&amp;"') AND estado = 1 LIMIT 1)"&amp;", p_id_propietario =&gt; "&amp;IF(TRIM(F417&amp;"")="","NULL","(SELECT lo.id FROM gen_lista_opciones lo JOIN gen_lista l ON l.id = lo.id_lista WHERE l.nombre = 'PropietarioBalon' AND upper(lo.nombre) = upper('"&amp;SUBSTITUTE(TRIM(F417),"'","''")&amp;"') AND lo.estado = 1 LIMIT 1)")&amp;", p_id_cliente_propietario =&gt; "&amp;IF(F417="CLIENTE",IF(TRIM(G417&amp;"")="","NULL","(SELECT id FROM cli_clientes WHERE numero_documento = '"&amp;SUBSTITUTE(TRIM(G417),"'","''")&amp;"' AND estado = 1 LIMIT 1)"),"NULL")&amp;", p_id_planta =&gt; "&amp;IF(F417="PLANTA",IF(TRIM(G417&amp;"")="","NULL","(SELECT id FROM cli_clientes WHERE numero_documento = '"&amp;SUBSTITUTE(TRIM(G417),"'","''")&amp;"'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"&amp;IF(TRIM(J417&amp;"")="","NULL","(SELECT id FROM gen_almacen WHERE upper(nombre) = upper('"&amp;SUBSTITUTE(TRIM(J417),"'","''")&amp;"') AND estado = 1 LIMIT 1)")&amp;", p_id_cliente_ubicacion =&gt; "&amp;IF(TRIM(K417&amp;"")="","NULL","(SELECT id FROM cli_clientes WHERE numero_documento = '"&amp;SUBSTITUTE(TRIM(K417),"'","''")&amp;"' AND estado = 1 LIMIT 1)")&amp;", p_id_referencia =&gt; "&amp;IF(TRIM(J417&amp;"")&lt;&gt;"","(SELECT lo.id FROM gen_lista_opciones lo JOIN gen_lista l ON l.id = lo.id_lista WHERE l.nombre = 'ReferenciaCilindro' AND upper(lo.nombre) = 'ALMACEN' AND lo.estado = 1 LIMIT 1)",IF(TRIM(K417&amp;"")&lt;&gt;"","(SELECT lo.id FROM gen_lista_opciones lo JOIN gen_lista l ON l.id = lo.id_lista WHERE l.nombre = 'ReferenciaCilindro' AND upper(lo.nombre) = 'CLIENTE' AND lo.estado = 1 LIMIT 1)","NULL"))&amp;", p_anio_fabricacion =&gt; "&amp;IF(M417&amp;""="","NULL::smallint",M417&amp;"::smallint")&amp;", p_mes_fabricacion =&gt; "&amp;IF(N417&amp;""="","NULL::smallint",N417&amp;"::smallint")&amp;", p_fecha_ultima_prueba_hidrostatica =&gt; "&amp;IF(O417&amp;""="","NULL","'"&amp;YEAR(O417)&amp;"-"&amp;TEXT(MONTH(O417),"00")&amp;"-"&amp;TEXT(DAY(O417),"00")&amp;"'")&amp;", p_numero_serie =&gt; "&amp;IF(TRIM(Q417&amp;"")="","NULL","'"&amp;SUBSTITUTE(TRIM(Q417),"'","''")&amp;"'")&amp;", p_id_marca_cilindro =&gt; "&amp;IF(TRIM(R417&amp;"")="","NULL","(SELECT lo.id FROM gen_lista_opciones lo JOIN gen_lista l ON l.id = lo.id_lista WHERE l.nombre = 'MarcaCilindro' AND upper(lo.nombre) = upper('"&amp;SUBSTITUTE(TRIM(R417),"'","''")&amp;"') AND lo.estado = 1 LIMIT 1)")&amp;", p_id_organo_inspector =&gt; "&amp;IF(TRIM(S417&amp;"")="","NULL","(SELECT lo.id FROM gen_lista_opciones lo JOIN gen_lista l ON l.id = lo.id_lista WHERE l.nombre = 'OrganoInspectorCilindro' AND upper(lo.nombre) = upper('"&amp;SUBSTITUTE(TRIM(S417),"'","''")&amp;"') AND lo.estado = 1 LIMIT 1)")&amp;", p_organo_inspector_no_aplica =&gt; "&amp;IF(S417="NO_APLICA","TRUE","FALSE")&amp;", p_presion_actual =&gt; "&amp;IF(T417&amp;""="","NULL",SUBSTITUTE(T417&amp;"",",","."))&amp;", p_tipo_valvula =&gt; "&amp;IF(TRIM(U417&amp;"")="","NULL","'"&amp;SUBSTITUTE(TRIM(U417),"'","''")&amp;"'")&amp;", p_libro_cilindro =&gt; "&amp;IF(TRIM(V417&amp;"")="","NULL","'"&amp;SUBSTITUTE(TRIM(V417),"'","''")&amp;"'")&amp;", p_pagina_libro =&gt; "&amp;IF(W417&amp;""="","NULL",SUBSTITUTE(W417&amp;"",",","."))&amp;", p_observacion =&gt; "&amp;IF(TRIM(X417&amp;"")="","NULL","'"&amp;SUBSTITUTE(TRIM(X417),"'","''")&amp;"'")&amp;") AS resultado_balon_"&amp;ROW()&amp;";")</f>
        <v/>
      </c>
    </row>
    <row r="418" ht="15.75" customHeight="1" s="64">
      <c r="A418" s="36" t="inlineStr">
        <is>
          <t>414</t>
        </is>
      </c>
      <c r="B418" s="25">
        <f>IF(AND(C418="",D418="",E418=""),"",IF(C418="","FALTA código balón",IF(D418="","FALTA tipo balón",IF(E418="","FALTA gas",IF(F418="","FALTA propietario",IF(AND(C418&lt;&gt;"",SUMPRODUCT(--($C$5:$C$1200=C418))&gt;1),"CÓDIGO BALÓN DUPLICADO",IF(AND(OR(UPPER(F418)="PLANTA",UPPER(F418)="CLIENTE"),G418=""),"FALTA doc propietario/planta",IF(AND(UPPER(F418)="PLANTA",G418="10175332796"),"PLANTA no puede ser RUC empresa","OK"))))))))</f>
        <v/>
      </c>
      <c r="C418" s="54" t="inlineStr">
        <is>
          <t>121Y318009</t>
        </is>
      </c>
      <c r="D418" s="17" t="inlineStr">
        <is>
          <t>Oxígeno Medicinal 10 m³</t>
        </is>
      </c>
      <c r="E418" s="17" t="inlineStr">
        <is>
          <t>OXIGENO MEDICINAL</t>
        </is>
      </c>
      <c r="F418" s="17" t="inlineStr">
        <is>
          <t>EMPRESA</t>
        </is>
      </c>
      <c r="G418" s="23" t="inlineStr">
        <is>
          <t>10175332796</t>
        </is>
      </c>
      <c r="H418" s="25">
        <f t="array" ref="H418">IF(G418="","",IFERROR(IF(INDEX(Clientes!$D$5:$D$549,MATCH(G418,Clientes!$C$5:$C$549,0))&lt;&gt;"",INDEX(Clientes!$D$5:$D$549,MATCH(G418,Clientes!$C$5:$C$549,0)),TRIM(INDEX(Clientes!$E$5:$E$549,MATCH(G418,Clientes!$C$5:$C$549,0))&amp;" "&amp;INDEX(Clientes!$F$5:$F$549,MATCH(G418,Clientes!$C$5:$C$549,0)))),"NO EXISTE en Clientes"))</f>
        <v/>
      </c>
      <c r="I418" s="17" t="inlineStr">
        <is>
          <t>EN_PODER_CLIENTE</t>
        </is>
      </c>
      <c r="J418" s="17" t="n"/>
      <c r="K418" s="23" t="inlineStr">
        <is>
          <t>20608134001</t>
        </is>
      </c>
      <c r="L418" s="25">
        <f t="array" ref="L418">IF(K418="","",IFERROR(IF(INDEX(Clientes!$D$5:$D$549,MATCH(K418,Clientes!$C$5:$C$549,0))&lt;&gt;"",INDEX(Clientes!$D$5:$D$549,MATCH(K418,Clientes!$C$5:$C$549,0)),TRIM(INDEX(Clientes!$E$5:$E$549,MATCH(K418,Clientes!$C$5:$C$549,0))&amp;" "&amp;INDEX(Clientes!$F$5:$F$549,MATCH(K418,Clientes!$C$5:$C$549,0)))),"NO EXISTE en Clientes"))</f>
        <v/>
      </c>
      <c r="M418" s="17" t="n"/>
      <c r="N418" s="17" t="n"/>
      <c r="O418" s="42" t="n"/>
      <c r="P418" s="39">
        <f>IF(O418&lt;&gt;"",DATE(YEAR(O418)+5,MONTH(O418),1),IF(AND(M418&lt;&gt;"",N418&lt;&gt;""),DATE(M418+5,N418,1),""))</f>
        <v/>
      </c>
      <c r="Q418" s="23" t="n"/>
      <c r="R418" s="17" t="n"/>
      <c r="S418" s="17" t="n"/>
      <c r="T418" s="17" t="n"/>
      <c r="U418" s="17" t="n"/>
      <c r="V418" s="23" t="n"/>
      <c r="W418" s="17" t="n"/>
      <c r="X418" s="17" t="n"/>
      <c r="Y418" s="28">
        <f>IF(B418&lt;&gt;"OK","","SELECT bal_crear_balon(p_codigo_balon =&gt; "&amp;IF(TRIM(C418&amp;"")="","NULL","'"&amp;SUBSTITUTE(TRIM(C418),"'","''")&amp;"'")&amp;", p_id_tipo_balon =&gt; "&amp;"(SELECT id FROM bal_tipo_balon WHERE upper(nombre) = upper('"&amp;SUBSTITUTE(TRIM(D418),"'","''")&amp;"') AND estado = 1 LIMIT 1)"&amp;", p_id_producto_gas =&gt; "&amp;"(SELECT id FROM pro_producto WHERE es_gas = TRUE AND upper(nombre) = upper('"&amp;SUBSTITUTE(TRIM(E418),"'","''")&amp;"') AND estado = 1 LIMIT 1)"&amp;", p_id_propietario =&gt; "&amp;IF(TRIM(F418&amp;"")="","NULL","(SELECT lo.id FROM gen_lista_opciones lo JOIN gen_lista l ON l.id = lo.id_lista WHERE l.nombre = 'PropietarioBalon' AND upper(lo.nombre) = upper('"&amp;SUBSTITUTE(TRIM(F418),"'","''")&amp;"') AND lo.estado = 1 LIMIT 1)")&amp;", p_id_cliente_propietario =&gt; "&amp;IF(F418="CLIENTE",IF(TRIM(G418&amp;"")="","NULL","(SELECT id FROM cli_clientes WHERE numero_documento = '"&amp;SUBSTITUTE(TRIM(G418),"'","''")&amp;"' AND estado = 1 LIMIT 1)"),"NULL")&amp;", p_id_planta =&gt; "&amp;IF(F418="PLANTA",IF(TRIM(G418&amp;"")="","NULL","(SELECT id FROM cli_clientes WHERE numero_documento = '"&amp;SUBSTITUTE(TRIM(G418),"'","''")&amp;"'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"&amp;IF(TRIM(J418&amp;"")="","NULL","(SELECT id FROM gen_almacen WHERE upper(nombre) = upper('"&amp;SUBSTITUTE(TRIM(J418),"'","''")&amp;"') AND estado = 1 LIMIT 1)")&amp;", p_id_cliente_ubicacion =&gt; "&amp;IF(TRIM(K418&amp;"")="","NULL","(SELECT id FROM cli_clientes WHERE numero_documento = '"&amp;SUBSTITUTE(TRIM(K418),"'","''")&amp;"' AND estado = 1 LIMIT 1)")&amp;", p_id_referencia =&gt; "&amp;IF(TRIM(J418&amp;"")&lt;&gt;"","(SELECT lo.id FROM gen_lista_opciones lo JOIN gen_lista l ON l.id = lo.id_lista WHERE l.nombre = 'ReferenciaCilindro' AND upper(lo.nombre) = 'ALMACEN' AND lo.estado = 1 LIMIT 1)",IF(TRIM(K418&amp;"")&lt;&gt;"","(SELECT lo.id FROM gen_lista_opciones lo JOIN gen_lista l ON l.id = lo.id_lista WHERE l.nombre = 'ReferenciaCilindro' AND upper(lo.nombre) = 'CLIENTE' AND lo.estado = 1 LIMIT 1)","NULL"))&amp;", p_anio_fabricacion =&gt; "&amp;IF(M418&amp;""="","NULL::smallint",M418&amp;"::smallint")&amp;", p_mes_fabricacion =&gt; "&amp;IF(N418&amp;""="","NULL::smallint",N418&amp;"::smallint")&amp;", p_fecha_ultima_prueba_hidrostatica =&gt; "&amp;IF(O418&amp;""="","NULL","'"&amp;YEAR(O418)&amp;"-"&amp;TEXT(MONTH(O418),"00")&amp;"-"&amp;TEXT(DAY(O418),"00")&amp;"'")&amp;", p_numero_serie =&gt; "&amp;IF(TRIM(Q418&amp;"")="","NULL","'"&amp;SUBSTITUTE(TRIM(Q418),"'","''")&amp;"'")&amp;", p_id_marca_cilindro =&gt; "&amp;IF(TRIM(R418&amp;"")="","NULL","(SELECT lo.id FROM gen_lista_opciones lo JOIN gen_lista l ON l.id = lo.id_lista WHERE l.nombre = 'MarcaCilindro' AND upper(lo.nombre) = upper('"&amp;SUBSTITUTE(TRIM(R418),"'","''")&amp;"') AND lo.estado = 1 LIMIT 1)")&amp;", p_id_organo_inspector =&gt; "&amp;IF(TRIM(S418&amp;"")="","NULL","(SELECT lo.id FROM gen_lista_opciones lo JOIN gen_lista l ON l.id = lo.id_lista WHERE l.nombre = 'OrganoInspectorCilindro' AND upper(lo.nombre) = upper('"&amp;SUBSTITUTE(TRIM(S418),"'","''")&amp;"') AND lo.estado = 1 LIMIT 1)")&amp;", p_organo_inspector_no_aplica =&gt; "&amp;IF(S418="NO_APLICA","TRUE","FALSE")&amp;", p_presion_actual =&gt; "&amp;IF(T418&amp;""="","NULL",SUBSTITUTE(T418&amp;"",",","."))&amp;", p_tipo_valvula =&gt; "&amp;IF(TRIM(U418&amp;"")="","NULL","'"&amp;SUBSTITUTE(TRIM(U418),"'","''")&amp;"'")&amp;", p_libro_cilindro =&gt; "&amp;IF(TRIM(V418&amp;"")="","NULL","'"&amp;SUBSTITUTE(TRIM(V418),"'","''")&amp;"'")&amp;", p_pagina_libro =&gt; "&amp;IF(W418&amp;""="","NULL",SUBSTITUTE(W418&amp;"",",","."))&amp;", p_observacion =&gt; "&amp;IF(TRIM(X418&amp;"")="","NULL","'"&amp;SUBSTITUTE(TRIM(X418),"'","''")&amp;"'")&amp;") AS resultado_balon_"&amp;ROW()&amp;";")</f>
        <v/>
      </c>
    </row>
    <row r="419" ht="15.75" customHeight="1" s="64">
      <c r="A419" s="36" t="inlineStr">
        <is>
          <t>415</t>
        </is>
      </c>
      <c r="B419" s="25">
        <f>IF(AND(C419="",D419="",E419=""),"",IF(C419="","FALTA código balón",IF(D419="","FALTA tipo balón",IF(E419="","FALTA gas",IF(F419="","FALTA propietario",IF(AND(C419&lt;&gt;"",SUMPRODUCT(--($C$5:$C$1200=C419))&gt;1),"CÓDIGO BALÓN DUPLICADO",IF(AND(OR(UPPER(F419)="PLANTA",UPPER(F419)="CLIENTE"),G419=""),"FALTA doc propietario/planta",IF(AND(UPPER(F419)="PLANTA",G419="10175332796"),"PLANTA no puede ser RUC empresa","OK"))))))))</f>
        <v/>
      </c>
      <c r="C419" s="54" t="inlineStr">
        <is>
          <t>303199</t>
        </is>
      </c>
      <c r="D419" s="17" t="inlineStr">
        <is>
          <t>Oxígeno Medicinal 6 m³</t>
        </is>
      </c>
      <c r="E419" s="17" t="inlineStr">
        <is>
          <t>OXIGENO MEDICINAL</t>
        </is>
      </c>
      <c r="F419" s="17" t="inlineStr">
        <is>
          <t>EMPRESA</t>
        </is>
      </c>
      <c r="G419" s="23" t="inlineStr">
        <is>
          <t>10175332796</t>
        </is>
      </c>
      <c r="H419" s="25">
        <f t="array" ref="H419">IF(G419="","",IFERROR(IF(INDEX(Clientes!$D$5:$D$549,MATCH(G419,Clientes!$C$5:$C$549,0))&lt;&gt;"",INDEX(Clientes!$D$5:$D$549,MATCH(G419,Clientes!$C$5:$C$549,0)),TRIM(INDEX(Clientes!$E$5:$E$549,MATCH(G419,Clientes!$C$5:$C$549,0))&amp;" "&amp;INDEX(Clientes!$F$5:$F$549,MATCH(G419,Clientes!$C$5:$C$549,0)))),"NO EXISTE en Clientes"))</f>
        <v/>
      </c>
      <c r="I419" s="17" t="inlineStr">
        <is>
          <t>EN_PODER_CLIENTE</t>
        </is>
      </c>
      <c r="J419" s="17" t="n"/>
      <c r="K419" s="23" t="inlineStr">
        <is>
          <t>20607333875</t>
        </is>
      </c>
      <c r="L419" s="25">
        <f t="array" ref="L419">IF(K419="","",IFERROR(IF(INDEX(Clientes!$D$5:$D$549,MATCH(K419,Clientes!$C$5:$C$549,0))&lt;&gt;"",INDEX(Clientes!$D$5:$D$549,MATCH(K419,Clientes!$C$5:$C$549,0)),TRIM(INDEX(Clientes!$E$5:$E$549,MATCH(K419,Clientes!$C$5:$C$549,0))&amp;" "&amp;INDEX(Clientes!$F$5:$F$549,MATCH(K419,Clientes!$C$5:$C$549,0)))),"NO EXISTE en Clientes"))</f>
        <v/>
      </c>
      <c r="M419" s="17" t="n"/>
      <c r="N419" s="17" t="n"/>
      <c r="O419" s="42" t="n"/>
      <c r="P419" s="39">
        <f>IF(O419&lt;&gt;"",DATE(YEAR(O419)+5,MONTH(O419),1),IF(AND(M419&lt;&gt;"",N419&lt;&gt;""),DATE(M419+5,N419,1),""))</f>
        <v/>
      </c>
      <c r="Q419" s="23" t="n"/>
      <c r="R419" s="17" t="n"/>
      <c r="S419" s="17" t="n"/>
      <c r="T419" s="17" t="n"/>
      <c r="U419" s="17" t="n"/>
      <c r="V419" s="23" t="n"/>
      <c r="W419" s="17" t="n"/>
      <c r="X419" s="17" t="n"/>
      <c r="Y419" s="28">
        <f>IF(B419&lt;&gt;"OK","","SELECT bal_crear_balon(p_codigo_balon =&gt; "&amp;IF(TRIM(C419&amp;"")="","NULL","'"&amp;SUBSTITUTE(TRIM(C419),"'","''")&amp;"'")&amp;", p_id_tipo_balon =&gt; "&amp;"(SELECT id FROM bal_tipo_balon WHERE upper(nombre) = upper('"&amp;SUBSTITUTE(TRIM(D419),"'","''")&amp;"') AND estado = 1 LIMIT 1)"&amp;", p_id_producto_gas =&gt; "&amp;"(SELECT id FROM pro_producto WHERE es_gas = TRUE AND upper(nombre) = upper('"&amp;SUBSTITUTE(TRIM(E419),"'","''")&amp;"') AND estado = 1 LIMIT 1)"&amp;", p_id_propietario =&gt; "&amp;IF(TRIM(F419&amp;"")="","NULL","(SELECT lo.id FROM gen_lista_opciones lo JOIN gen_lista l ON l.id = lo.id_lista WHERE l.nombre = 'PropietarioBalon' AND upper(lo.nombre) = upper('"&amp;SUBSTITUTE(TRIM(F419),"'","''")&amp;"') AND lo.estado = 1 LIMIT 1)")&amp;", p_id_cliente_propietario =&gt; "&amp;IF(F419="CLIENTE",IF(TRIM(G419&amp;"")="","NULL","(SELECT id FROM cli_clientes WHERE numero_documento = '"&amp;SUBSTITUTE(TRIM(G419),"'","''")&amp;"' AND estado = 1 LIMIT 1)"),"NULL")&amp;", p_id_planta =&gt; "&amp;IF(F419="PLANTA",IF(TRIM(G419&amp;"")="","NULL","(SELECT id FROM cli_clientes WHERE numero_documento = '"&amp;SUBSTITUTE(TRIM(G419),"'","''")&amp;"'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"&amp;IF(TRIM(J419&amp;"")="","NULL","(SELECT id FROM gen_almacen WHERE upper(nombre) = upper('"&amp;SUBSTITUTE(TRIM(J419),"'","''")&amp;"') AND estado = 1 LIMIT 1)")&amp;", p_id_cliente_ubicacion =&gt; "&amp;IF(TRIM(K419&amp;"")="","NULL","(SELECT id FROM cli_clientes WHERE numero_documento = '"&amp;SUBSTITUTE(TRIM(K419),"'","''")&amp;"' AND estado = 1 LIMIT 1)")&amp;", p_id_referencia =&gt; "&amp;IF(TRIM(J419&amp;"")&lt;&gt;"","(SELECT lo.id FROM gen_lista_opciones lo JOIN gen_lista l ON l.id = lo.id_lista WHERE l.nombre = 'ReferenciaCilindro' AND upper(lo.nombre) = 'ALMACEN' AND lo.estado = 1 LIMIT 1)",IF(TRIM(K419&amp;"")&lt;&gt;"","(SELECT lo.id FROM gen_lista_opciones lo JOIN gen_lista l ON l.id = lo.id_lista WHERE l.nombre = 'ReferenciaCilindro' AND upper(lo.nombre) = 'CLIENTE' AND lo.estado = 1 LIMIT 1)","NULL"))&amp;", p_anio_fabricacion =&gt; "&amp;IF(M419&amp;""="","NULL::smallint",M419&amp;"::smallint")&amp;", p_mes_fabricacion =&gt; "&amp;IF(N419&amp;""="","NULL::smallint",N419&amp;"::smallint")&amp;", p_fecha_ultima_prueba_hidrostatica =&gt; "&amp;IF(O419&amp;""="","NULL","'"&amp;YEAR(O419)&amp;"-"&amp;TEXT(MONTH(O419),"00")&amp;"-"&amp;TEXT(DAY(O419),"00")&amp;"'")&amp;", p_numero_serie =&gt; "&amp;IF(TRIM(Q419&amp;"")="","NULL","'"&amp;SUBSTITUTE(TRIM(Q419),"'","''")&amp;"'")&amp;", p_id_marca_cilindro =&gt; "&amp;IF(TRIM(R419&amp;"")="","NULL","(SELECT lo.id FROM gen_lista_opciones lo JOIN gen_lista l ON l.id = lo.id_lista WHERE l.nombre = 'MarcaCilindro' AND upper(lo.nombre) = upper('"&amp;SUBSTITUTE(TRIM(R419),"'","''")&amp;"') AND lo.estado = 1 LIMIT 1)")&amp;", p_id_organo_inspector =&gt; "&amp;IF(TRIM(S419&amp;"")="","NULL","(SELECT lo.id FROM gen_lista_opciones lo JOIN gen_lista l ON l.id = lo.id_lista WHERE l.nombre = 'OrganoInspectorCilindro' AND upper(lo.nombre) = upper('"&amp;SUBSTITUTE(TRIM(S419),"'","''")&amp;"') AND lo.estado = 1 LIMIT 1)")&amp;", p_organo_inspector_no_aplica =&gt; "&amp;IF(S419="NO_APLICA","TRUE","FALSE")&amp;", p_presion_actual =&gt; "&amp;IF(T419&amp;""="","NULL",SUBSTITUTE(T419&amp;"",",","."))&amp;", p_tipo_valvula =&gt; "&amp;IF(TRIM(U419&amp;"")="","NULL","'"&amp;SUBSTITUTE(TRIM(U419),"'","''")&amp;"'")&amp;", p_libro_cilindro =&gt; "&amp;IF(TRIM(V419&amp;"")="","NULL","'"&amp;SUBSTITUTE(TRIM(V419),"'","''")&amp;"'")&amp;", p_pagina_libro =&gt; "&amp;IF(W419&amp;""="","NULL",SUBSTITUTE(W419&amp;"",",","."))&amp;", p_observacion =&gt; "&amp;IF(TRIM(X419&amp;"")="","NULL","'"&amp;SUBSTITUTE(TRIM(X419),"'","''")&amp;"'")&amp;") AS resultado_balon_"&amp;ROW()&amp;";")</f>
        <v/>
      </c>
    </row>
    <row r="420" ht="15.75" customHeight="1" s="64">
      <c r="A420" s="36" t="inlineStr">
        <is>
          <t>416</t>
        </is>
      </c>
      <c r="B420" s="25">
        <f>IF(AND(C420="",D420="",E420=""),"",IF(C420="","FALTA código balón",IF(D420="","FALTA tipo balón",IF(E420="","FALTA gas",IF(F420="","FALTA propietario",IF(AND(C420&lt;&gt;"",SUMPRODUCT(--($C$5:$C$1200=C420))&gt;1),"CÓDIGO BALÓN DUPLICADO",IF(AND(OR(UPPER(F420)="PLANTA",UPPER(F420)="CLIENTE"),G420=""),"FALTA doc propietario/planta",IF(AND(UPPER(F420)="PLANTA",G420="10175332796"),"PLANTA no puede ser RUC empresa","OK"))))))))</f>
        <v/>
      </c>
      <c r="C420" s="54" t="inlineStr">
        <is>
          <t>696659</t>
        </is>
      </c>
      <c r="D420" s="17" t="inlineStr">
        <is>
          <t>Oxígeno Industrial 6 m³</t>
        </is>
      </c>
      <c r="E420" s="17" t="inlineStr">
        <is>
          <t>OXIGENO INDUSTRIAL</t>
        </is>
      </c>
      <c r="F420" s="17" t="inlineStr">
        <is>
          <t>EMPRESA</t>
        </is>
      </c>
      <c r="G420" s="23" t="inlineStr">
        <is>
          <t>10175332796</t>
        </is>
      </c>
      <c r="H420" s="25">
        <f t="array" ref="H420">IF(G420="","",IFERROR(IF(INDEX(Clientes!$D$5:$D$549,MATCH(G420,Clientes!$C$5:$C$549,0))&lt;&gt;"",INDEX(Clientes!$D$5:$D$549,MATCH(G420,Clientes!$C$5:$C$549,0)),TRIM(INDEX(Clientes!$E$5:$E$549,MATCH(G420,Clientes!$C$5:$C$549,0))&amp;" "&amp;INDEX(Clientes!$F$5:$F$549,MATCH(G420,Clientes!$C$5:$C$549,0)))),"NO EXISTE en Clientes"))</f>
        <v/>
      </c>
      <c r="I420" s="17" t="inlineStr">
        <is>
          <t>EN_PODER_CLIENTE</t>
        </is>
      </c>
      <c r="J420" s="17" t="n"/>
      <c r="K420" s="23" t="inlineStr">
        <is>
          <t>000051</t>
        </is>
      </c>
      <c r="L420" s="25">
        <f t="array" ref="L420">IF(K420="","",IFERROR(IF(INDEX(Clientes!$D$5:$D$549,MATCH(K420,Clientes!$C$5:$C$549,0))&lt;&gt;"",INDEX(Clientes!$D$5:$D$549,MATCH(K420,Clientes!$C$5:$C$549,0)),TRIM(INDEX(Clientes!$E$5:$E$549,MATCH(K420,Clientes!$C$5:$C$549,0))&amp;" "&amp;INDEX(Clientes!$F$5:$F$549,MATCH(K420,Clientes!$C$5:$C$549,0)))),"NO EXISTE en Clientes"))</f>
        <v/>
      </c>
      <c r="M420" s="17" t="n"/>
      <c r="N420" s="17" t="n"/>
      <c r="O420" s="42" t="n"/>
      <c r="P420" s="39">
        <f>IF(O420&lt;&gt;"",DATE(YEAR(O420)+5,MONTH(O420),1),IF(AND(M420&lt;&gt;"",N420&lt;&gt;""),DATE(M420+5,N420,1),""))</f>
        <v/>
      </c>
      <c r="Q420" s="23" t="n"/>
      <c r="R420" s="17" t="n"/>
      <c r="S420" s="17" t="n"/>
      <c r="T420" s="17" t="n"/>
      <c r="U420" s="17" t="n"/>
      <c r="V420" s="23" t="n"/>
      <c r="W420" s="17" t="n"/>
      <c r="X420" s="17" t="n"/>
      <c r="Y420" s="28">
        <f>IF(B420&lt;&gt;"OK","","SELECT bal_crear_balon(p_codigo_balon =&gt; "&amp;IF(TRIM(C420&amp;"")="","NULL","'"&amp;SUBSTITUTE(TRIM(C420),"'","''")&amp;"'")&amp;", p_id_tipo_balon =&gt; "&amp;"(SELECT id FROM bal_tipo_balon WHERE upper(nombre) = upper('"&amp;SUBSTITUTE(TRIM(D420),"'","''")&amp;"') AND estado = 1 LIMIT 1)"&amp;", p_id_producto_gas =&gt; "&amp;"(SELECT id FROM pro_producto WHERE es_gas = TRUE AND upper(nombre) = upper('"&amp;SUBSTITUTE(TRIM(E420),"'","''")&amp;"') AND estado = 1 LIMIT 1)"&amp;", p_id_propietario =&gt; "&amp;IF(TRIM(F420&amp;"")="","NULL","(SELECT lo.id FROM gen_lista_opciones lo JOIN gen_lista l ON l.id = lo.id_lista WHERE l.nombre = 'PropietarioBalon' AND upper(lo.nombre) = upper('"&amp;SUBSTITUTE(TRIM(F420),"'","''")&amp;"') AND lo.estado = 1 LIMIT 1)")&amp;", p_id_cliente_propietario =&gt; "&amp;IF(F420="CLIENTE",IF(TRIM(G420&amp;"")="","NULL","(SELECT id FROM cli_clientes WHERE numero_documento = '"&amp;SUBSTITUTE(TRIM(G420),"'","''")&amp;"' AND estado = 1 LIMIT 1)"),"NULL")&amp;", p_id_planta =&gt; "&amp;IF(F420="PLANTA",IF(TRIM(G420&amp;"")="","NULL","(SELECT id FROM cli_clientes WHERE numero_documento = '"&amp;SUBSTITUTE(TRIM(G420),"'","''")&amp;"'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"&amp;IF(TRIM(J420&amp;"")="","NULL","(SELECT id FROM gen_almacen WHERE upper(nombre) = upper('"&amp;SUBSTITUTE(TRIM(J420),"'","''")&amp;"') AND estado = 1 LIMIT 1)")&amp;", p_id_cliente_ubicacion =&gt; "&amp;IF(TRIM(K420&amp;"")="","NULL","(SELECT id FROM cli_clientes WHERE numero_documento = '"&amp;SUBSTITUTE(TRIM(K420),"'","''")&amp;"' AND estado = 1 LIMIT 1)")&amp;", p_id_referencia =&gt; "&amp;IF(TRIM(J420&amp;"")&lt;&gt;"","(SELECT lo.id FROM gen_lista_opciones lo JOIN gen_lista l ON l.id = lo.id_lista WHERE l.nombre = 'ReferenciaCilindro' AND upper(lo.nombre) = 'ALMACEN' AND lo.estado = 1 LIMIT 1)",IF(TRIM(K420&amp;"")&lt;&gt;"","(SELECT lo.id FROM gen_lista_opciones lo JOIN gen_lista l ON l.id = lo.id_lista WHERE l.nombre = 'ReferenciaCilindro' AND upper(lo.nombre) = 'CLIENTE' AND lo.estado = 1 LIMIT 1)","NULL"))&amp;", p_anio_fabricacion =&gt; "&amp;IF(M420&amp;""="","NULL::smallint",M420&amp;"::smallint")&amp;", p_mes_fabricacion =&gt; "&amp;IF(N420&amp;""="","NULL::smallint",N420&amp;"::smallint")&amp;", p_fecha_ultima_prueba_hidrostatica =&gt; "&amp;IF(O420&amp;""="","NULL","'"&amp;YEAR(O420)&amp;"-"&amp;TEXT(MONTH(O420),"00")&amp;"-"&amp;TEXT(DAY(O420),"00")&amp;"'")&amp;", p_numero_serie =&gt; "&amp;IF(TRIM(Q420&amp;"")="","NULL","'"&amp;SUBSTITUTE(TRIM(Q420),"'","''")&amp;"'")&amp;", p_id_marca_cilindro =&gt; "&amp;IF(TRIM(R420&amp;"")="","NULL","(SELECT lo.id FROM gen_lista_opciones lo JOIN gen_lista l ON l.id = lo.id_lista WHERE l.nombre = 'MarcaCilindro' AND upper(lo.nombre) = upper('"&amp;SUBSTITUTE(TRIM(R420),"'","''")&amp;"') AND lo.estado = 1 LIMIT 1)")&amp;", p_id_organo_inspector =&gt; "&amp;IF(TRIM(S420&amp;"")="","NULL","(SELECT lo.id FROM gen_lista_opciones lo JOIN gen_lista l ON l.id = lo.id_lista WHERE l.nombre = 'OrganoInspectorCilindro' AND upper(lo.nombre) = upper('"&amp;SUBSTITUTE(TRIM(S420),"'","''")&amp;"') AND lo.estado = 1 LIMIT 1)")&amp;", p_organo_inspector_no_aplica =&gt; "&amp;IF(S420="NO_APLICA","TRUE","FALSE")&amp;", p_presion_actual =&gt; "&amp;IF(T420&amp;""="","NULL",SUBSTITUTE(T420&amp;"",",","."))&amp;", p_tipo_valvula =&gt; "&amp;IF(TRIM(U420&amp;"")="","NULL","'"&amp;SUBSTITUTE(TRIM(U420),"'","''")&amp;"'")&amp;", p_libro_cilindro =&gt; "&amp;IF(TRIM(V420&amp;"")="","NULL","'"&amp;SUBSTITUTE(TRIM(V420),"'","''")&amp;"'")&amp;", p_pagina_libro =&gt; "&amp;IF(W420&amp;""="","NULL",SUBSTITUTE(W420&amp;"",",","."))&amp;", p_observacion =&gt; "&amp;IF(TRIM(X420&amp;"")="","NULL","'"&amp;SUBSTITUTE(TRIM(X420),"'","''")&amp;"'")&amp;") AS resultado_balon_"&amp;ROW()&amp;";")</f>
        <v/>
      </c>
    </row>
    <row r="421" ht="15.75" customHeight="1" s="64">
      <c r="A421" s="36" t="inlineStr">
        <is>
          <t>417</t>
        </is>
      </c>
      <c r="B421" s="25">
        <f>IF(AND(C421="",D421="",E421=""),"",IF(C421="","FALTA código balón",IF(D421="","FALTA tipo balón",IF(E421="","FALTA gas",IF(F421="","FALTA propietario",IF(AND(C421&lt;&gt;"",SUMPRODUCT(--($C$5:$C$1200=C421))&gt;1),"CÓDIGO BALÓN DUPLICADO",IF(AND(OR(UPPER(F421)="PLANTA",UPPER(F421)="CLIENTE"),G421=""),"FALTA doc propietario/planta",IF(AND(UPPER(F421)="PLANTA",G421="10175332796"),"PLANTA no puede ser RUC empresa","OK"))))))))</f>
        <v/>
      </c>
      <c r="C421" s="54" t="inlineStr">
        <is>
          <t>9762</t>
        </is>
      </c>
      <c r="D421" s="17" t="inlineStr">
        <is>
          <t>Oxigeno Industrial 2.5 m³</t>
        </is>
      </c>
      <c r="E421" s="17" t="inlineStr">
        <is>
          <t>OXIGENO INDUSTRIAL</t>
        </is>
      </c>
      <c r="F421" s="17" t="inlineStr">
        <is>
          <t>EMPRESA</t>
        </is>
      </c>
      <c r="G421" s="23" t="inlineStr">
        <is>
          <t>10175332796</t>
        </is>
      </c>
      <c r="H421" s="25">
        <f t="array" ref="H421">IF(G421="","",IFERROR(IF(INDEX(Clientes!$D$5:$D$549,MATCH(G421,Clientes!$C$5:$C$549,0))&lt;&gt;"",INDEX(Clientes!$D$5:$D$549,MATCH(G421,Clientes!$C$5:$C$549,0)),TRIM(INDEX(Clientes!$E$5:$E$549,MATCH(G421,Clientes!$C$5:$C$549,0))&amp;" "&amp;INDEX(Clientes!$F$5:$F$549,MATCH(G421,Clientes!$C$5:$C$549,0)))),"NO EXISTE en Clientes"))</f>
        <v/>
      </c>
      <c r="I421" s="17" t="inlineStr">
        <is>
          <t>EN_PODER_CLIENTE</t>
        </is>
      </c>
      <c r="J421" s="17" t="n"/>
      <c r="K421" s="23" t="inlineStr">
        <is>
          <t>07558654</t>
        </is>
      </c>
      <c r="L421" s="25">
        <f t="array" ref="L421">IF(K421="","",IFERROR(IF(INDEX(Clientes!$D$5:$D$549,MATCH(K421,Clientes!$C$5:$C$549,0))&lt;&gt;"",INDEX(Clientes!$D$5:$D$549,MATCH(K421,Clientes!$C$5:$C$549,0)),TRIM(INDEX(Clientes!$E$5:$E$549,MATCH(K421,Clientes!$C$5:$C$549,0))&amp;" "&amp;INDEX(Clientes!$F$5:$F$549,MATCH(K421,Clientes!$C$5:$C$549,0)))),"NO EXISTE en Clientes"))</f>
        <v/>
      </c>
      <c r="M421" s="17" t="n"/>
      <c r="N421" s="17" t="n"/>
      <c r="O421" s="42" t="n"/>
      <c r="P421" s="39">
        <f>IF(O421&lt;&gt;"",DATE(YEAR(O421)+5,MONTH(O421),1),IF(AND(M421&lt;&gt;"",N421&lt;&gt;""),DATE(M421+5,N421,1),""))</f>
        <v/>
      </c>
      <c r="Q421" s="23" t="n"/>
      <c r="R421" s="17" t="n"/>
      <c r="S421" s="17" t="n"/>
      <c r="T421" s="17" t="n"/>
      <c r="U421" s="17" t="n"/>
      <c r="V421" s="23" t="n"/>
      <c r="W421" s="17" t="n"/>
      <c r="X421" s="17" t="n"/>
      <c r="Y421" s="28">
        <f>IF(B421&lt;&gt;"OK","","SELECT bal_crear_balon(p_codigo_balon =&gt; "&amp;IF(TRIM(C421&amp;"")="","NULL","'"&amp;SUBSTITUTE(TRIM(C421),"'","''")&amp;"'")&amp;", p_id_tipo_balon =&gt; "&amp;"(SELECT id FROM bal_tipo_balon WHERE upper(nombre) = upper('"&amp;SUBSTITUTE(TRIM(D421),"'","''")&amp;"') AND estado = 1 LIMIT 1)"&amp;", p_id_producto_gas =&gt; "&amp;"(SELECT id FROM pro_producto WHERE es_gas = TRUE AND upper(nombre) = upper('"&amp;SUBSTITUTE(TRIM(E421),"'","''")&amp;"') AND estado = 1 LIMIT 1)"&amp;", p_id_propietario =&gt; "&amp;IF(TRIM(F421&amp;"")="","NULL","(SELECT lo.id FROM gen_lista_opciones lo JOIN gen_lista l ON l.id = lo.id_lista WHERE l.nombre = 'PropietarioBalon' AND upper(lo.nombre) = upper('"&amp;SUBSTITUTE(TRIM(F421),"'","''")&amp;"') AND lo.estado = 1 LIMIT 1)")&amp;", p_id_cliente_propietario =&gt; "&amp;IF(F421="CLIENTE",IF(TRIM(G421&amp;"")="","NULL","(SELECT id FROM cli_clientes WHERE numero_documento = '"&amp;SUBSTITUTE(TRIM(G421),"'","''")&amp;"' AND estado = 1 LIMIT 1)"),"NULL")&amp;", p_id_planta =&gt; "&amp;IF(F421="PLANTA",IF(TRIM(G421&amp;"")="","NULL","(SELECT id FROM cli_clientes WHERE numero_documento = '"&amp;SUBSTITUTE(TRIM(G421),"'","''")&amp;"'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"&amp;IF(TRIM(J421&amp;"")="","NULL","(SELECT id FROM gen_almacen WHERE upper(nombre) = upper('"&amp;SUBSTITUTE(TRIM(J421),"'","''")&amp;"') AND estado = 1 LIMIT 1)")&amp;", p_id_cliente_ubicacion =&gt; "&amp;IF(TRIM(K421&amp;"")="","NULL","(SELECT id FROM cli_clientes WHERE numero_documento = '"&amp;SUBSTITUTE(TRIM(K421),"'","''")&amp;"' AND estado = 1 LIMIT 1)")&amp;", p_id_referencia =&gt; "&amp;IF(TRIM(J421&amp;"")&lt;&gt;"","(SELECT lo.id FROM gen_lista_opciones lo JOIN gen_lista l ON l.id = lo.id_lista WHERE l.nombre = 'ReferenciaCilindro' AND upper(lo.nombre) = 'ALMACEN' AND lo.estado = 1 LIMIT 1)",IF(TRIM(K421&amp;"")&lt;&gt;"","(SELECT lo.id FROM gen_lista_opciones lo JOIN gen_lista l ON l.id = lo.id_lista WHERE l.nombre = 'ReferenciaCilindro' AND upper(lo.nombre) = 'CLIENTE' AND lo.estado = 1 LIMIT 1)","NULL"))&amp;", p_anio_fabricacion =&gt; "&amp;IF(M421&amp;""="","NULL::smallint",M421&amp;"::smallint")&amp;", p_mes_fabricacion =&gt; "&amp;IF(N421&amp;""="","NULL::smallint",N421&amp;"::smallint")&amp;", p_fecha_ultima_prueba_hidrostatica =&gt; "&amp;IF(O421&amp;""="","NULL","'"&amp;YEAR(O421)&amp;"-"&amp;TEXT(MONTH(O421),"00")&amp;"-"&amp;TEXT(DAY(O421),"00")&amp;"'")&amp;", p_numero_serie =&gt; "&amp;IF(TRIM(Q421&amp;"")="","NULL","'"&amp;SUBSTITUTE(TRIM(Q421),"'","''")&amp;"'")&amp;", p_id_marca_cilindro =&gt; "&amp;IF(TRIM(R421&amp;"")="","NULL","(SELECT lo.id FROM gen_lista_opciones lo JOIN gen_lista l ON l.id = lo.id_lista WHERE l.nombre = 'MarcaCilindro' AND upper(lo.nombre) = upper('"&amp;SUBSTITUTE(TRIM(R421),"'","''")&amp;"') AND lo.estado = 1 LIMIT 1)")&amp;", p_id_organo_inspector =&gt; "&amp;IF(TRIM(S421&amp;"")="","NULL","(SELECT lo.id FROM gen_lista_opciones lo JOIN gen_lista l ON l.id = lo.id_lista WHERE l.nombre = 'OrganoInspectorCilindro' AND upper(lo.nombre) = upper('"&amp;SUBSTITUTE(TRIM(S421),"'","''")&amp;"') AND lo.estado = 1 LIMIT 1)")&amp;", p_organo_inspector_no_aplica =&gt; "&amp;IF(S421="NO_APLICA","TRUE","FALSE")&amp;", p_presion_actual =&gt; "&amp;IF(T421&amp;""="","NULL",SUBSTITUTE(T421&amp;"",",","."))&amp;", p_tipo_valvula =&gt; "&amp;IF(TRIM(U421&amp;"")="","NULL","'"&amp;SUBSTITUTE(TRIM(U421),"'","''")&amp;"'")&amp;", p_libro_cilindro =&gt; "&amp;IF(TRIM(V421&amp;"")="","NULL","'"&amp;SUBSTITUTE(TRIM(V421),"'","''")&amp;"'")&amp;", p_pagina_libro =&gt; "&amp;IF(W421&amp;""="","NULL",SUBSTITUTE(W421&amp;"",",","."))&amp;", p_observacion =&gt; "&amp;IF(TRIM(X421&amp;"")="","NULL","'"&amp;SUBSTITUTE(TRIM(X421),"'","''")&amp;"'")&amp;") AS resultado_balon_"&amp;ROW()&amp;";")</f>
        <v/>
      </c>
    </row>
    <row r="422" ht="15.75" customHeight="1" s="64">
      <c r="A422" s="36" t="inlineStr">
        <is>
          <t>418</t>
        </is>
      </c>
      <c r="B422" s="25">
        <f>IF(AND(C422="",D422="",E422=""),"",IF(C422="","FALTA código balón",IF(D422="","FALTA tipo balón",IF(E422="","FALTA gas",IF(F422="","FALTA propietario",IF(AND(C422&lt;&gt;"",SUMPRODUCT(--($C$5:$C$1200=C422))&gt;1),"CÓDIGO BALÓN DUPLICADO",IF(AND(OR(UPPER(F422)="PLANTA",UPPER(F422)="CLIENTE"),G422=""),"FALTA doc propietario/planta",IF(AND(UPPER(F422)="PLANTA",G422="10175332796"),"PLANTA no puede ser RUC empresa","OK"))))))))</f>
        <v/>
      </c>
      <c r="C422" s="54" t="inlineStr">
        <is>
          <t>20E460009</t>
        </is>
      </c>
      <c r="D422" s="17" t="inlineStr">
        <is>
          <t>Oxígeno Medicinal 10 m³</t>
        </is>
      </c>
      <c r="E422" s="17" t="inlineStr">
        <is>
          <t>OXIGENO MEDICINAL</t>
        </is>
      </c>
      <c r="F422" s="17" t="inlineStr">
        <is>
          <t>EMPRESA</t>
        </is>
      </c>
      <c r="G422" s="23" t="inlineStr">
        <is>
          <t>10175332796</t>
        </is>
      </c>
      <c r="H422" s="25">
        <f t="array" ref="H422">IF(G422="","",IFERROR(IF(INDEX(Clientes!$D$5:$D$549,MATCH(G422,Clientes!$C$5:$C$549,0))&lt;&gt;"",INDEX(Clientes!$D$5:$D$549,MATCH(G422,Clientes!$C$5:$C$549,0)),TRIM(INDEX(Clientes!$E$5:$E$549,MATCH(G422,Clientes!$C$5:$C$549,0))&amp;" "&amp;INDEX(Clientes!$F$5:$F$549,MATCH(G422,Clientes!$C$5:$C$549,0)))),"NO EXISTE en Clientes"))</f>
        <v/>
      </c>
      <c r="I422" s="17" t="inlineStr">
        <is>
          <t>EN_PODER_CLIENTE</t>
        </is>
      </c>
      <c r="J422" s="17" t="n"/>
      <c r="K422" s="23" t="inlineStr">
        <is>
          <t>17432701</t>
        </is>
      </c>
      <c r="L422" s="25">
        <f t="array" ref="L422">IF(K422="","",IFERROR(IF(INDEX(Clientes!$D$5:$D$549,MATCH(K422,Clientes!$C$5:$C$549,0))&lt;&gt;"",INDEX(Clientes!$D$5:$D$549,MATCH(K422,Clientes!$C$5:$C$549,0)),TRIM(INDEX(Clientes!$E$5:$E$549,MATCH(K422,Clientes!$C$5:$C$549,0))&amp;" "&amp;INDEX(Clientes!$F$5:$F$549,MATCH(K422,Clientes!$C$5:$C$549,0)))),"NO EXISTE en Clientes"))</f>
        <v/>
      </c>
      <c r="M422" s="17" t="n"/>
      <c r="N422" s="17" t="n"/>
      <c r="O422" s="42" t="n"/>
      <c r="P422" s="39">
        <f>IF(O422&lt;&gt;"",DATE(YEAR(O422)+5,MONTH(O422),1),IF(AND(M422&lt;&gt;"",N422&lt;&gt;""),DATE(M422+5,N422,1),""))</f>
        <v/>
      </c>
      <c r="Q422" s="23" t="n"/>
      <c r="R422" s="17" t="n"/>
      <c r="S422" s="17" t="n"/>
      <c r="T422" s="17" t="n"/>
      <c r="U422" s="17" t="n"/>
      <c r="V422" s="23" t="n"/>
      <c r="W422" s="17" t="n"/>
      <c r="X422" s="17" t="n"/>
      <c r="Y422" s="28">
        <f>IF(B422&lt;&gt;"OK","","SELECT bal_crear_balon(p_codigo_balon =&gt; "&amp;IF(TRIM(C422&amp;"")="","NULL","'"&amp;SUBSTITUTE(TRIM(C422),"'","''")&amp;"'")&amp;", p_id_tipo_balon =&gt; "&amp;"(SELECT id FROM bal_tipo_balon WHERE upper(nombre) = upper('"&amp;SUBSTITUTE(TRIM(D422),"'","''")&amp;"') AND estado = 1 LIMIT 1)"&amp;", p_id_producto_gas =&gt; "&amp;"(SELECT id FROM pro_producto WHERE es_gas = TRUE AND upper(nombre) = upper('"&amp;SUBSTITUTE(TRIM(E422),"'","''")&amp;"') AND estado = 1 LIMIT 1)"&amp;", p_id_propietario =&gt; "&amp;IF(TRIM(F422&amp;"")="","NULL","(SELECT lo.id FROM gen_lista_opciones lo JOIN gen_lista l ON l.id = lo.id_lista WHERE l.nombre = 'PropietarioBalon' AND upper(lo.nombre) = upper('"&amp;SUBSTITUTE(TRIM(F422),"'","''")&amp;"') AND lo.estado = 1 LIMIT 1)")&amp;", p_id_cliente_propietario =&gt; "&amp;IF(F422="CLIENTE",IF(TRIM(G422&amp;"")="","NULL","(SELECT id FROM cli_clientes WHERE numero_documento = '"&amp;SUBSTITUTE(TRIM(G422),"'","''")&amp;"' AND estado = 1 LIMIT 1)"),"NULL")&amp;", p_id_planta =&gt; "&amp;IF(F422="PLANTA",IF(TRIM(G422&amp;"")="","NULL","(SELECT id FROM cli_clientes WHERE numero_documento = '"&amp;SUBSTITUTE(TRIM(G422),"'","''")&amp;"'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"&amp;IF(TRIM(J422&amp;"")="","NULL","(SELECT id FROM gen_almacen WHERE upper(nombre) = upper('"&amp;SUBSTITUTE(TRIM(J422),"'","''")&amp;"') AND estado = 1 LIMIT 1)")&amp;", p_id_cliente_ubicacion =&gt; "&amp;IF(TRIM(K422&amp;"")="","NULL","(SELECT id FROM cli_clientes WHERE numero_documento = '"&amp;SUBSTITUTE(TRIM(K422),"'","''")&amp;"' AND estado = 1 LIMIT 1)")&amp;", p_id_referencia =&gt; "&amp;IF(TRIM(J422&amp;"")&lt;&gt;"","(SELECT lo.id FROM gen_lista_opciones lo JOIN gen_lista l ON l.id = lo.id_lista WHERE l.nombre = 'ReferenciaCilindro' AND upper(lo.nombre) = 'ALMACEN' AND lo.estado = 1 LIMIT 1)",IF(TRIM(K422&amp;"")&lt;&gt;"","(SELECT lo.id FROM gen_lista_opciones lo JOIN gen_lista l ON l.id = lo.id_lista WHERE l.nombre = 'ReferenciaCilindro' AND upper(lo.nombre) = 'CLIENTE' AND lo.estado = 1 LIMIT 1)","NULL"))&amp;", p_anio_fabricacion =&gt; "&amp;IF(M422&amp;""="","NULL::smallint",M422&amp;"::smallint")&amp;", p_mes_fabricacion =&gt; "&amp;IF(N422&amp;""="","NULL::smallint",N422&amp;"::smallint")&amp;", p_fecha_ultima_prueba_hidrostatica =&gt; "&amp;IF(O422&amp;""="","NULL","'"&amp;YEAR(O422)&amp;"-"&amp;TEXT(MONTH(O422),"00")&amp;"-"&amp;TEXT(DAY(O422),"00")&amp;"'")&amp;", p_numero_serie =&gt; "&amp;IF(TRIM(Q422&amp;"")="","NULL","'"&amp;SUBSTITUTE(TRIM(Q422),"'","''")&amp;"'")&amp;", p_id_marca_cilindro =&gt; "&amp;IF(TRIM(R422&amp;"")="","NULL","(SELECT lo.id FROM gen_lista_opciones lo JOIN gen_lista l ON l.id = lo.id_lista WHERE l.nombre = 'MarcaCilindro' AND upper(lo.nombre) = upper('"&amp;SUBSTITUTE(TRIM(R422),"'","''")&amp;"') AND lo.estado = 1 LIMIT 1)")&amp;", p_id_organo_inspector =&gt; "&amp;IF(TRIM(S422&amp;"")="","NULL","(SELECT lo.id FROM gen_lista_opciones lo JOIN gen_lista l ON l.id = lo.id_lista WHERE l.nombre = 'OrganoInspectorCilindro' AND upper(lo.nombre) = upper('"&amp;SUBSTITUTE(TRIM(S422),"'","''")&amp;"') AND lo.estado = 1 LIMIT 1)")&amp;", p_organo_inspector_no_aplica =&gt; "&amp;IF(S422="NO_APLICA","TRUE","FALSE")&amp;", p_presion_actual =&gt; "&amp;IF(T422&amp;""="","NULL",SUBSTITUTE(T422&amp;"",",","."))&amp;", p_tipo_valvula =&gt; "&amp;IF(TRIM(U422&amp;"")="","NULL","'"&amp;SUBSTITUTE(TRIM(U422),"'","''")&amp;"'")&amp;", p_libro_cilindro =&gt; "&amp;IF(TRIM(V422&amp;"")="","NULL","'"&amp;SUBSTITUTE(TRIM(V422),"'","''")&amp;"'")&amp;", p_pagina_libro =&gt; "&amp;IF(W422&amp;""="","NULL",SUBSTITUTE(W422&amp;"",",","."))&amp;", p_observacion =&gt; "&amp;IF(TRIM(X422&amp;"")="","NULL","'"&amp;SUBSTITUTE(TRIM(X422),"'","''")&amp;"'")&amp;") AS resultado_balon_"&amp;ROW()&amp;";")</f>
        <v/>
      </c>
    </row>
    <row r="423" ht="15.75" customHeight="1" s="64">
      <c r="A423" s="36" t="inlineStr">
        <is>
          <t>419</t>
        </is>
      </c>
      <c r="B423" s="25">
        <f>IF(AND(C423="",D423="",E423=""),"",IF(C423="","FALTA código balón",IF(D423="","FALTA tipo balón",IF(E423="","FALTA gas",IF(F423="","FALTA propietario",IF(AND(C423&lt;&gt;"",SUMPRODUCT(--($C$5:$C$1200=C423))&gt;1),"CÓDIGO BALÓN DUPLICADO",IF(AND(OR(UPPER(F423)="PLANTA",UPPER(F423)="CLIENTE"),G423=""),"FALTA doc propietario/planta",IF(AND(UPPER(F423)="PLANTA",G423="10175332796"),"PLANTA no puede ser RUC empresa","OK"))))))))</f>
        <v/>
      </c>
      <c r="C423" s="54" t="inlineStr">
        <is>
          <t>K5409119</t>
        </is>
      </c>
      <c r="D423" s="17" t="inlineStr">
        <is>
          <t>Oxígeno Medicinal 10 m³</t>
        </is>
      </c>
      <c r="E423" s="17" t="inlineStr">
        <is>
          <t>OXIGENO MEDICINAL</t>
        </is>
      </c>
      <c r="F423" s="17" t="inlineStr">
        <is>
          <t>EMPRESA</t>
        </is>
      </c>
      <c r="G423" s="23" t="inlineStr">
        <is>
          <t>10175332796</t>
        </is>
      </c>
      <c r="H423" s="25">
        <f t="array" ref="H423">IF(G423="","",IFERROR(IF(INDEX(Clientes!$D$5:$D$549,MATCH(G423,Clientes!$C$5:$C$549,0))&lt;&gt;"",INDEX(Clientes!$D$5:$D$549,MATCH(G423,Clientes!$C$5:$C$549,0)),TRIM(INDEX(Clientes!$E$5:$E$549,MATCH(G423,Clientes!$C$5:$C$549,0))&amp;" "&amp;INDEX(Clientes!$F$5:$F$549,MATCH(G423,Clientes!$C$5:$C$549,0)))),"NO EXISTE en Clientes"))</f>
        <v/>
      </c>
      <c r="I423" s="17" t="inlineStr">
        <is>
          <t>EN_PODER_CLIENTE</t>
        </is>
      </c>
      <c r="J423" s="17" t="n"/>
      <c r="K423" s="23" t="inlineStr">
        <is>
          <t>17432701</t>
        </is>
      </c>
      <c r="L423" s="25">
        <f t="array" ref="L423">IF(K423="","",IFERROR(IF(INDEX(Clientes!$D$5:$D$549,MATCH(K423,Clientes!$C$5:$C$549,0))&lt;&gt;"",INDEX(Clientes!$D$5:$D$549,MATCH(K423,Clientes!$C$5:$C$549,0)),TRIM(INDEX(Clientes!$E$5:$E$549,MATCH(K423,Clientes!$C$5:$C$549,0))&amp;" "&amp;INDEX(Clientes!$F$5:$F$549,MATCH(K423,Clientes!$C$5:$C$549,0)))),"NO EXISTE en Clientes"))</f>
        <v/>
      </c>
      <c r="M423" s="17" t="n"/>
      <c r="N423" s="17" t="n"/>
      <c r="O423" s="42" t="n"/>
      <c r="P423" s="39">
        <f>IF(O423&lt;&gt;"",DATE(YEAR(O423)+5,MONTH(O423),1),IF(AND(M423&lt;&gt;"",N423&lt;&gt;""),DATE(M423+5,N423,1),""))</f>
        <v/>
      </c>
      <c r="Q423" s="23" t="n"/>
      <c r="R423" s="17" t="n"/>
      <c r="S423" s="17" t="n"/>
      <c r="T423" s="17" t="n"/>
      <c r="U423" s="17" t="n"/>
      <c r="V423" s="23" t="n"/>
      <c r="W423" s="17" t="n"/>
      <c r="X423" s="17" t="n"/>
      <c r="Y423" s="28">
        <f>IF(B423&lt;&gt;"OK","","SELECT bal_crear_balon(p_codigo_balon =&gt; "&amp;IF(TRIM(C423&amp;"")="","NULL","'"&amp;SUBSTITUTE(TRIM(C423),"'","''")&amp;"'")&amp;", p_id_tipo_balon =&gt; "&amp;"(SELECT id FROM bal_tipo_balon WHERE upper(nombre) = upper('"&amp;SUBSTITUTE(TRIM(D423),"'","''")&amp;"') AND estado = 1 LIMIT 1)"&amp;", p_id_producto_gas =&gt; "&amp;"(SELECT id FROM pro_producto WHERE es_gas = TRUE AND upper(nombre) = upper('"&amp;SUBSTITUTE(TRIM(E423),"'","''")&amp;"') AND estado = 1 LIMIT 1)"&amp;", p_id_propietario =&gt; "&amp;IF(TRIM(F423&amp;"")="","NULL","(SELECT lo.id FROM gen_lista_opciones lo JOIN gen_lista l ON l.id = lo.id_lista WHERE l.nombre = 'PropietarioBalon' AND upper(lo.nombre) = upper('"&amp;SUBSTITUTE(TRIM(F423),"'","''")&amp;"') AND lo.estado = 1 LIMIT 1)")&amp;", p_id_cliente_propietario =&gt; "&amp;IF(F423="CLIENTE",IF(TRIM(G423&amp;"")="","NULL","(SELECT id FROM cli_clientes WHERE numero_documento = '"&amp;SUBSTITUTE(TRIM(G423),"'","''")&amp;"' AND estado = 1 LIMIT 1)"),"NULL")&amp;", p_id_planta =&gt; "&amp;IF(F423="PLANTA",IF(TRIM(G423&amp;"")="","NULL","(SELECT id FROM cli_clientes WHERE numero_documento = '"&amp;SUBSTITUTE(TRIM(G423),"'","''")&amp;"'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"&amp;IF(TRIM(J423&amp;"")="","NULL","(SELECT id FROM gen_almacen WHERE upper(nombre) = upper('"&amp;SUBSTITUTE(TRIM(J423),"'","''")&amp;"') AND estado = 1 LIMIT 1)")&amp;", p_id_cliente_ubicacion =&gt; "&amp;IF(TRIM(K423&amp;"")="","NULL","(SELECT id FROM cli_clientes WHERE numero_documento = '"&amp;SUBSTITUTE(TRIM(K423),"'","''")&amp;"' AND estado = 1 LIMIT 1)")&amp;", p_id_referencia =&gt; "&amp;IF(TRIM(J423&amp;"")&lt;&gt;"","(SELECT lo.id FROM gen_lista_opciones lo JOIN gen_lista l ON l.id = lo.id_lista WHERE l.nombre = 'ReferenciaCilindro' AND upper(lo.nombre) = 'ALMACEN' AND lo.estado = 1 LIMIT 1)",IF(TRIM(K423&amp;"")&lt;&gt;"","(SELECT lo.id FROM gen_lista_opciones lo JOIN gen_lista l ON l.id = lo.id_lista WHERE l.nombre = 'ReferenciaCilindro' AND upper(lo.nombre) = 'CLIENTE' AND lo.estado = 1 LIMIT 1)","NULL"))&amp;", p_anio_fabricacion =&gt; "&amp;IF(M423&amp;""="","NULL::smallint",M423&amp;"::smallint")&amp;", p_mes_fabricacion =&gt; "&amp;IF(N423&amp;""="","NULL::smallint",N423&amp;"::smallint")&amp;", p_fecha_ultima_prueba_hidrostatica =&gt; "&amp;IF(O423&amp;""="","NULL","'"&amp;YEAR(O423)&amp;"-"&amp;TEXT(MONTH(O423),"00")&amp;"-"&amp;TEXT(DAY(O423),"00")&amp;"'")&amp;", p_numero_serie =&gt; "&amp;IF(TRIM(Q423&amp;"")="","NULL","'"&amp;SUBSTITUTE(TRIM(Q423),"'","''")&amp;"'")&amp;", p_id_marca_cilindro =&gt; "&amp;IF(TRIM(R423&amp;"")="","NULL","(SELECT lo.id FROM gen_lista_opciones lo JOIN gen_lista l ON l.id = lo.id_lista WHERE l.nombre = 'MarcaCilindro' AND upper(lo.nombre) = upper('"&amp;SUBSTITUTE(TRIM(R423),"'","''")&amp;"') AND lo.estado = 1 LIMIT 1)")&amp;", p_id_organo_inspector =&gt; "&amp;IF(TRIM(S423&amp;"")="","NULL","(SELECT lo.id FROM gen_lista_opciones lo JOIN gen_lista l ON l.id = lo.id_lista WHERE l.nombre = 'OrganoInspectorCilindro' AND upper(lo.nombre) = upper('"&amp;SUBSTITUTE(TRIM(S423),"'","''")&amp;"') AND lo.estado = 1 LIMIT 1)")&amp;", p_organo_inspector_no_aplica =&gt; "&amp;IF(S423="NO_APLICA","TRUE","FALSE")&amp;", p_presion_actual =&gt; "&amp;IF(T423&amp;""="","NULL",SUBSTITUTE(T423&amp;"",",","."))&amp;", p_tipo_valvula =&gt; "&amp;IF(TRIM(U423&amp;"")="","NULL","'"&amp;SUBSTITUTE(TRIM(U423),"'","''")&amp;"'")&amp;", p_libro_cilindro =&gt; "&amp;IF(TRIM(V423&amp;"")="","NULL","'"&amp;SUBSTITUTE(TRIM(V423),"'","''")&amp;"'")&amp;", p_pagina_libro =&gt; "&amp;IF(W423&amp;""="","NULL",SUBSTITUTE(W423&amp;"",",","."))&amp;", p_observacion =&gt; "&amp;IF(TRIM(X423&amp;"")="","NULL","'"&amp;SUBSTITUTE(TRIM(X423),"'","''")&amp;"'")&amp;") AS resultado_balon_"&amp;ROW()&amp;";")</f>
        <v/>
      </c>
    </row>
    <row r="424" ht="15.75" customHeight="1" s="64">
      <c r="A424" s="36" t="inlineStr">
        <is>
          <t>420</t>
        </is>
      </c>
      <c r="B424" s="25">
        <f>IF(AND(C424="",D424="",E424=""),"",IF(C424="","FALTA código balón",IF(D424="","FALTA tipo balón",IF(E424="","FALTA gas",IF(F424="","FALTA propietario",IF(AND(C424&lt;&gt;"",SUMPRODUCT(--($C$5:$C$1200=C424))&gt;1),"CÓDIGO BALÓN DUPLICADO",IF(AND(OR(UPPER(F424)="PLANTA",UPPER(F424)="CLIENTE"),G424=""),"FALTA doc propietario/planta",IF(AND(UPPER(F424)="PLANTA",G424="10175332796"),"PLANTA no puede ser RUC empresa","OK"))))))))</f>
        <v/>
      </c>
      <c r="C424" s="54" t="inlineStr">
        <is>
          <t>21X647131</t>
        </is>
      </c>
      <c r="D424" s="17" t="inlineStr">
        <is>
          <t>Oxígeno Medicinal 10 m³</t>
        </is>
      </c>
      <c r="E424" s="17" t="inlineStr">
        <is>
          <t>OXIGENO MEDICINAL</t>
        </is>
      </c>
      <c r="F424" s="17" t="inlineStr">
        <is>
          <t>EMPRESA</t>
        </is>
      </c>
      <c r="G424" s="23" t="inlineStr">
        <is>
          <t>10175332796</t>
        </is>
      </c>
      <c r="H424" s="25">
        <f t="array" ref="H424">IF(G424="","",IFERROR(IF(INDEX(Clientes!$D$5:$D$549,MATCH(G424,Clientes!$C$5:$C$549,0))&lt;&gt;"",INDEX(Clientes!$D$5:$D$549,MATCH(G424,Clientes!$C$5:$C$549,0)),TRIM(INDEX(Clientes!$E$5:$E$549,MATCH(G424,Clientes!$C$5:$C$549,0))&amp;" "&amp;INDEX(Clientes!$F$5:$F$549,MATCH(G424,Clientes!$C$5:$C$549,0)))),"NO EXISTE en Clientes"))</f>
        <v/>
      </c>
      <c r="I424" s="17" t="inlineStr">
        <is>
          <t>EN_PODER_CLIENTE</t>
        </is>
      </c>
      <c r="J424" s="17" t="n"/>
      <c r="K424" s="23" t="inlineStr">
        <is>
          <t>17432701</t>
        </is>
      </c>
      <c r="L424" s="25">
        <f t="array" ref="L424">IF(K424="","",IFERROR(IF(INDEX(Clientes!$D$5:$D$549,MATCH(K424,Clientes!$C$5:$C$549,0))&lt;&gt;"",INDEX(Clientes!$D$5:$D$549,MATCH(K424,Clientes!$C$5:$C$549,0)),TRIM(INDEX(Clientes!$E$5:$E$549,MATCH(K424,Clientes!$C$5:$C$549,0))&amp;" "&amp;INDEX(Clientes!$F$5:$F$549,MATCH(K424,Clientes!$C$5:$C$549,0)))),"NO EXISTE en Clientes"))</f>
        <v/>
      </c>
      <c r="M424" s="17" t="n"/>
      <c r="N424" s="17" t="n"/>
      <c r="O424" s="42" t="n"/>
      <c r="P424" s="39">
        <f>IF(O424&lt;&gt;"",DATE(YEAR(O424)+5,MONTH(O424),1),IF(AND(M424&lt;&gt;"",N424&lt;&gt;""),DATE(M424+5,N424,1),""))</f>
        <v/>
      </c>
      <c r="Q424" s="23" t="n"/>
      <c r="R424" s="17" t="n"/>
      <c r="S424" s="17" t="n"/>
      <c r="T424" s="17" t="n"/>
      <c r="U424" s="17" t="n"/>
      <c r="V424" s="23" t="n"/>
      <c r="W424" s="17" t="n"/>
      <c r="X424" s="17" t="n"/>
      <c r="Y424" s="28">
        <f>IF(B424&lt;&gt;"OK","","SELECT bal_crear_balon(p_codigo_balon =&gt; "&amp;IF(TRIM(C424&amp;"")="","NULL","'"&amp;SUBSTITUTE(TRIM(C424),"'","''")&amp;"'")&amp;", p_id_tipo_balon =&gt; "&amp;"(SELECT id FROM bal_tipo_balon WHERE upper(nombre) = upper('"&amp;SUBSTITUTE(TRIM(D424),"'","''")&amp;"') AND estado = 1 LIMIT 1)"&amp;", p_id_producto_gas =&gt; "&amp;"(SELECT id FROM pro_producto WHERE es_gas = TRUE AND upper(nombre) = upper('"&amp;SUBSTITUTE(TRIM(E424),"'","''")&amp;"') AND estado = 1 LIMIT 1)"&amp;", p_id_propietario =&gt; "&amp;IF(TRIM(F424&amp;"")="","NULL","(SELECT lo.id FROM gen_lista_opciones lo JOIN gen_lista l ON l.id = lo.id_lista WHERE l.nombre = 'PropietarioBalon' AND upper(lo.nombre) = upper('"&amp;SUBSTITUTE(TRIM(F424),"'","''")&amp;"') AND lo.estado = 1 LIMIT 1)")&amp;", p_id_cliente_propietario =&gt; "&amp;IF(F424="CLIENTE",IF(TRIM(G424&amp;"")="","NULL","(SELECT id FROM cli_clientes WHERE numero_documento = '"&amp;SUBSTITUTE(TRIM(G424),"'","''")&amp;"' AND estado = 1 LIMIT 1)"),"NULL")&amp;", p_id_planta =&gt; "&amp;IF(F424="PLANTA",IF(TRIM(G424&amp;"")="","NULL","(SELECT id FROM cli_clientes WHERE numero_documento = '"&amp;SUBSTITUTE(TRIM(G424),"'","''")&amp;"'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"&amp;IF(TRIM(J424&amp;"")="","NULL","(SELECT id FROM gen_almacen WHERE upper(nombre) = upper('"&amp;SUBSTITUTE(TRIM(J424),"'","''")&amp;"') AND estado = 1 LIMIT 1)")&amp;", p_id_cliente_ubicacion =&gt; "&amp;IF(TRIM(K424&amp;"")="","NULL","(SELECT id FROM cli_clientes WHERE numero_documento = '"&amp;SUBSTITUTE(TRIM(K424),"'","''")&amp;"' AND estado = 1 LIMIT 1)")&amp;", p_id_referencia =&gt; "&amp;IF(TRIM(J424&amp;"")&lt;&gt;"","(SELECT lo.id FROM gen_lista_opciones lo JOIN gen_lista l ON l.id = lo.id_lista WHERE l.nombre = 'ReferenciaCilindro' AND upper(lo.nombre) = 'ALMACEN' AND lo.estado = 1 LIMIT 1)",IF(TRIM(K424&amp;"")&lt;&gt;"","(SELECT lo.id FROM gen_lista_opciones lo JOIN gen_lista l ON l.id = lo.id_lista WHERE l.nombre = 'ReferenciaCilindro' AND upper(lo.nombre) = 'CLIENTE' AND lo.estado = 1 LIMIT 1)","NULL"))&amp;", p_anio_fabricacion =&gt; "&amp;IF(M424&amp;""="","NULL::smallint",M424&amp;"::smallint")&amp;", p_mes_fabricacion =&gt; "&amp;IF(N424&amp;""="","NULL::smallint",N424&amp;"::smallint")&amp;", p_fecha_ultima_prueba_hidrostatica =&gt; "&amp;IF(O424&amp;""="","NULL","'"&amp;YEAR(O424)&amp;"-"&amp;TEXT(MONTH(O424),"00")&amp;"-"&amp;TEXT(DAY(O424),"00")&amp;"'")&amp;", p_numero_serie =&gt; "&amp;IF(TRIM(Q424&amp;"")="","NULL","'"&amp;SUBSTITUTE(TRIM(Q424),"'","''")&amp;"'")&amp;", p_id_marca_cilindro =&gt; "&amp;IF(TRIM(R424&amp;"")="","NULL","(SELECT lo.id FROM gen_lista_opciones lo JOIN gen_lista l ON l.id = lo.id_lista WHERE l.nombre = 'MarcaCilindro' AND upper(lo.nombre) = upper('"&amp;SUBSTITUTE(TRIM(R424),"'","''")&amp;"') AND lo.estado = 1 LIMIT 1)")&amp;", p_id_organo_inspector =&gt; "&amp;IF(TRIM(S424&amp;"")="","NULL","(SELECT lo.id FROM gen_lista_opciones lo JOIN gen_lista l ON l.id = lo.id_lista WHERE l.nombre = 'OrganoInspectorCilindro' AND upper(lo.nombre) = upper('"&amp;SUBSTITUTE(TRIM(S424),"'","''")&amp;"') AND lo.estado = 1 LIMIT 1)")&amp;", p_organo_inspector_no_aplica =&gt; "&amp;IF(S424="NO_APLICA","TRUE","FALSE")&amp;", p_presion_actual =&gt; "&amp;IF(T424&amp;""="","NULL",SUBSTITUTE(T424&amp;"",",","."))&amp;", p_tipo_valvula =&gt; "&amp;IF(TRIM(U424&amp;"")="","NULL","'"&amp;SUBSTITUTE(TRIM(U424),"'","''")&amp;"'")&amp;", p_libro_cilindro =&gt; "&amp;IF(TRIM(V424&amp;"")="","NULL","'"&amp;SUBSTITUTE(TRIM(V424),"'","''")&amp;"'")&amp;", p_pagina_libro =&gt; "&amp;IF(W424&amp;""="","NULL",SUBSTITUTE(W424&amp;"",",","."))&amp;", p_observacion =&gt; "&amp;IF(TRIM(X424&amp;"")="","NULL","'"&amp;SUBSTITUTE(TRIM(X424),"'","''")&amp;"'")&amp;") AS resultado_balon_"&amp;ROW()&amp;";")</f>
        <v/>
      </c>
    </row>
    <row r="425" ht="15.75" customHeight="1" s="64">
      <c r="A425" s="36" t="inlineStr">
        <is>
          <t>421</t>
        </is>
      </c>
      <c r="B425" s="25">
        <f>IF(AND(C425="",D425="",E425=""),"",IF(C425="","FALTA código balón",IF(D425="","FALTA tipo balón",IF(E425="","FALTA gas",IF(F425="","FALTA propietario",IF(AND(C425&lt;&gt;"",SUMPRODUCT(--($C$5:$C$1200=C425))&gt;1),"CÓDIGO BALÓN DUPLICADO",IF(AND(OR(UPPER(F425)="PLANTA",UPPER(F425)="CLIENTE"),G425=""),"FALTA doc propietario/planta",IF(AND(UPPER(F425)="PLANTA",G425="10175332796"),"PLANTA no puede ser RUC empresa","OK"))))))))</f>
        <v/>
      </c>
      <c r="C425" s="54" t="inlineStr">
        <is>
          <t>343868</t>
        </is>
      </c>
      <c r="D425" s="17" t="inlineStr">
        <is>
          <t>Oxígeno Industrial 6 m³</t>
        </is>
      </c>
      <c r="E425" s="17" t="inlineStr">
        <is>
          <t>OXIGENO INDUSTRIAL</t>
        </is>
      </c>
      <c r="F425" s="17" t="inlineStr">
        <is>
          <t>EMPRESA</t>
        </is>
      </c>
      <c r="G425" s="23" t="inlineStr">
        <is>
          <t>10175332796</t>
        </is>
      </c>
      <c r="H425" s="25">
        <f t="array" ref="H425">IF(G425="","",IFERROR(IF(INDEX(Clientes!$D$5:$D$549,MATCH(G425,Clientes!$C$5:$C$549,0))&lt;&gt;"",INDEX(Clientes!$D$5:$D$549,MATCH(G425,Clientes!$C$5:$C$549,0)),TRIM(INDEX(Clientes!$E$5:$E$549,MATCH(G425,Clientes!$C$5:$C$549,0))&amp;" "&amp;INDEX(Clientes!$F$5:$F$549,MATCH(G425,Clientes!$C$5:$C$549,0)))),"NO EXISTE en Clientes"))</f>
        <v/>
      </c>
      <c r="I425" s="17" t="inlineStr">
        <is>
          <t>EN_PODER_CLIENTE</t>
        </is>
      </c>
      <c r="J425" s="17" t="n"/>
      <c r="K425" s="23" t="inlineStr">
        <is>
          <t>20601073316</t>
        </is>
      </c>
      <c r="L425" s="25">
        <f t="array" ref="L425">IF(K425="","",IFERROR(IF(INDEX(Clientes!$D$5:$D$549,MATCH(K425,Clientes!$C$5:$C$549,0))&lt;&gt;"",INDEX(Clientes!$D$5:$D$549,MATCH(K425,Clientes!$C$5:$C$549,0)),TRIM(INDEX(Clientes!$E$5:$E$549,MATCH(K425,Clientes!$C$5:$C$549,0))&amp;" "&amp;INDEX(Clientes!$F$5:$F$549,MATCH(K425,Clientes!$C$5:$C$549,0)))),"NO EXISTE en Clientes"))</f>
        <v/>
      </c>
      <c r="M425" s="17" t="n"/>
      <c r="N425" s="17" t="n"/>
      <c r="O425" s="42" t="n"/>
      <c r="P425" s="39">
        <f>IF(O425&lt;&gt;"",DATE(YEAR(O425)+5,MONTH(O425),1),IF(AND(M425&lt;&gt;"",N425&lt;&gt;""),DATE(M425+5,N425,1),""))</f>
        <v/>
      </c>
      <c r="Q425" s="23" t="n"/>
      <c r="R425" s="17" t="n"/>
      <c r="S425" s="17" t="n"/>
      <c r="T425" s="17" t="n"/>
      <c r="U425" s="17" t="n"/>
      <c r="V425" s="23" t="n"/>
      <c r="W425" s="17" t="n"/>
      <c r="X425" s="17" t="n"/>
      <c r="Y425" s="28">
        <f>IF(B425&lt;&gt;"OK","","SELECT bal_crear_balon(p_codigo_balon =&gt; "&amp;IF(TRIM(C425&amp;"")="","NULL","'"&amp;SUBSTITUTE(TRIM(C425),"'","''")&amp;"'")&amp;", p_id_tipo_balon =&gt; "&amp;"(SELECT id FROM bal_tipo_balon WHERE upper(nombre) = upper('"&amp;SUBSTITUTE(TRIM(D425),"'","''")&amp;"') AND estado = 1 LIMIT 1)"&amp;", p_id_producto_gas =&gt; "&amp;"(SELECT id FROM pro_producto WHERE es_gas = TRUE AND upper(nombre) = upper('"&amp;SUBSTITUTE(TRIM(E425),"'","''")&amp;"') AND estado = 1 LIMIT 1)"&amp;", p_id_propietario =&gt; "&amp;IF(TRIM(F425&amp;"")="","NULL","(SELECT lo.id FROM gen_lista_opciones lo JOIN gen_lista l ON l.id = lo.id_lista WHERE l.nombre = 'PropietarioBalon' AND upper(lo.nombre) = upper('"&amp;SUBSTITUTE(TRIM(F425),"'","''")&amp;"') AND lo.estado = 1 LIMIT 1)")&amp;", p_id_cliente_propietario =&gt; "&amp;IF(F425="CLIENTE",IF(TRIM(G425&amp;"")="","NULL","(SELECT id FROM cli_clientes WHERE numero_documento = '"&amp;SUBSTITUTE(TRIM(G425),"'","''")&amp;"' AND estado = 1 LIMIT 1)"),"NULL")&amp;", p_id_planta =&gt; "&amp;IF(F425="PLANTA",IF(TRIM(G425&amp;"")="","NULL","(SELECT id FROM cli_clientes WHERE numero_documento = '"&amp;SUBSTITUTE(TRIM(G425),"'","''")&amp;"'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"&amp;IF(TRIM(J425&amp;"")="","NULL","(SELECT id FROM gen_almacen WHERE upper(nombre) = upper('"&amp;SUBSTITUTE(TRIM(J425),"'","''")&amp;"') AND estado = 1 LIMIT 1)")&amp;", p_id_cliente_ubicacion =&gt; "&amp;IF(TRIM(K425&amp;"")="","NULL","(SELECT id FROM cli_clientes WHERE numero_documento = '"&amp;SUBSTITUTE(TRIM(K425),"'","''")&amp;"' AND estado = 1 LIMIT 1)")&amp;", p_id_referencia =&gt; "&amp;IF(TRIM(J425&amp;"")&lt;&gt;"","(SELECT lo.id FROM gen_lista_opciones lo JOIN gen_lista l ON l.id = lo.id_lista WHERE l.nombre = 'ReferenciaCilindro' AND upper(lo.nombre) = 'ALMACEN' AND lo.estado = 1 LIMIT 1)",IF(TRIM(K425&amp;"")&lt;&gt;"","(SELECT lo.id FROM gen_lista_opciones lo JOIN gen_lista l ON l.id = lo.id_lista WHERE l.nombre = 'ReferenciaCilindro' AND upper(lo.nombre) = 'CLIENTE' AND lo.estado = 1 LIMIT 1)","NULL"))&amp;", p_anio_fabricacion =&gt; "&amp;IF(M425&amp;""="","NULL::smallint",M425&amp;"::smallint")&amp;", p_mes_fabricacion =&gt; "&amp;IF(N425&amp;""="","NULL::smallint",N425&amp;"::smallint")&amp;", p_fecha_ultima_prueba_hidrostatica =&gt; "&amp;IF(O425&amp;""="","NULL","'"&amp;YEAR(O425)&amp;"-"&amp;TEXT(MONTH(O425),"00")&amp;"-"&amp;TEXT(DAY(O425),"00")&amp;"'")&amp;", p_numero_serie =&gt; "&amp;IF(TRIM(Q425&amp;"")="","NULL","'"&amp;SUBSTITUTE(TRIM(Q425),"'","''")&amp;"'")&amp;", p_id_marca_cilindro =&gt; "&amp;IF(TRIM(R425&amp;"")="","NULL","(SELECT lo.id FROM gen_lista_opciones lo JOIN gen_lista l ON l.id = lo.id_lista WHERE l.nombre = 'MarcaCilindro' AND upper(lo.nombre) = upper('"&amp;SUBSTITUTE(TRIM(R425),"'","''")&amp;"') AND lo.estado = 1 LIMIT 1)")&amp;", p_id_organo_inspector =&gt; "&amp;IF(TRIM(S425&amp;"")="","NULL","(SELECT lo.id FROM gen_lista_opciones lo JOIN gen_lista l ON l.id = lo.id_lista WHERE l.nombre = 'OrganoInspectorCilindro' AND upper(lo.nombre) = upper('"&amp;SUBSTITUTE(TRIM(S425),"'","''")&amp;"') AND lo.estado = 1 LIMIT 1)")&amp;", p_organo_inspector_no_aplica =&gt; "&amp;IF(S425="NO_APLICA","TRUE","FALSE")&amp;", p_presion_actual =&gt; "&amp;IF(T425&amp;""="","NULL",SUBSTITUTE(T425&amp;"",",","."))&amp;", p_tipo_valvula =&gt; "&amp;IF(TRIM(U425&amp;"")="","NULL","'"&amp;SUBSTITUTE(TRIM(U425),"'","''")&amp;"'")&amp;", p_libro_cilindro =&gt; "&amp;IF(TRIM(V425&amp;"")="","NULL","'"&amp;SUBSTITUTE(TRIM(V425),"'","''")&amp;"'")&amp;", p_pagina_libro =&gt; "&amp;IF(W425&amp;""="","NULL",SUBSTITUTE(W425&amp;"",",","."))&amp;", p_observacion =&gt; "&amp;IF(TRIM(X425&amp;"")="","NULL","'"&amp;SUBSTITUTE(TRIM(X425),"'","''")&amp;"'")&amp;") AS resultado_balon_"&amp;ROW()&amp;";")</f>
        <v/>
      </c>
    </row>
    <row r="426" ht="15.75" customHeight="1" s="64">
      <c r="A426" s="36" t="inlineStr">
        <is>
          <t>422</t>
        </is>
      </c>
      <c r="B426" s="25">
        <f>IF(AND(C426="",D426="",E426=""),"",IF(C426="","FALTA código balón",IF(D426="","FALTA tipo balón",IF(E426="","FALTA gas",IF(F426="","FALTA propietario",IF(AND(C426&lt;&gt;"",SUMPRODUCT(--($C$5:$C$1200=C426))&gt;1),"CÓDIGO BALÓN DUPLICADO",IF(AND(OR(UPPER(F426)="PLANTA",UPPER(F426)="CLIENTE"),G426=""),"FALTA doc propietario/planta",IF(AND(UPPER(F426)="PLANTA",G426="10175332796"),"PLANTA no puede ser RUC empresa","OK"))))))))</f>
        <v/>
      </c>
      <c r="C426" s="54" t="inlineStr">
        <is>
          <t>4823820</t>
        </is>
      </c>
      <c r="D426" s="17" t="inlineStr">
        <is>
          <t>Oxígeno Industrial 6 m³</t>
        </is>
      </c>
      <c r="E426" s="17" t="inlineStr">
        <is>
          <t>OXIGENO INDUSTRIAL</t>
        </is>
      </c>
      <c r="F426" s="17" t="inlineStr">
        <is>
          <t>EMPRESA</t>
        </is>
      </c>
      <c r="G426" s="23" t="inlineStr">
        <is>
          <t>10175332796</t>
        </is>
      </c>
      <c r="H426" s="25">
        <f t="array" ref="H426">IF(G426="","",IFERROR(IF(INDEX(Clientes!$D$5:$D$549,MATCH(G426,Clientes!$C$5:$C$549,0))&lt;&gt;"",INDEX(Clientes!$D$5:$D$549,MATCH(G426,Clientes!$C$5:$C$549,0)),TRIM(INDEX(Clientes!$E$5:$E$549,MATCH(G426,Clientes!$C$5:$C$549,0))&amp;" "&amp;INDEX(Clientes!$F$5:$F$549,MATCH(G426,Clientes!$C$5:$C$549,0)))),"NO EXISTE en Clientes"))</f>
        <v/>
      </c>
      <c r="I426" s="17" t="inlineStr">
        <is>
          <t>EN_PODER_CLIENTE</t>
        </is>
      </c>
      <c r="J426" s="17" t="n"/>
      <c r="K426" s="23" t="inlineStr">
        <is>
          <t>000053</t>
        </is>
      </c>
      <c r="L426" s="25">
        <f t="array" ref="L426">IF(K426="","",IFERROR(IF(INDEX(Clientes!$D$5:$D$549,MATCH(K426,Clientes!$C$5:$C$549,0))&lt;&gt;"",INDEX(Clientes!$D$5:$D$549,MATCH(K426,Clientes!$C$5:$C$549,0)),TRIM(INDEX(Clientes!$E$5:$E$549,MATCH(K426,Clientes!$C$5:$C$549,0))&amp;" "&amp;INDEX(Clientes!$F$5:$F$549,MATCH(K426,Clientes!$C$5:$C$549,0)))),"NO EXISTE en Clientes"))</f>
        <v/>
      </c>
      <c r="M426" s="17" t="n"/>
      <c r="N426" s="17" t="n"/>
      <c r="O426" s="42" t="n"/>
      <c r="P426" s="39">
        <f>IF(O426&lt;&gt;"",DATE(YEAR(O426)+5,MONTH(O426),1),IF(AND(M426&lt;&gt;"",N426&lt;&gt;""),DATE(M426+5,N426,1),""))</f>
        <v/>
      </c>
      <c r="Q426" s="23" t="n"/>
      <c r="R426" s="17" t="n"/>
      <c r="S426" s="17" t="n"/>
      <c r="T426" s="17" t="n"/>
      <c r="U426" s="17" t="n"/>
      <c r="V426" s="23" t="n"/>
      <c r="W426" s="17" t="n"/>
      <c r="X426" s="17" t="n"/>
      <c r="Y426" s="28">
        <f>IF(B426&lt;&gt;"OK","","SELECT bal_crear_balon(p_codigo_balon =&gt; "&amp;IF(TRIM(C426&amp;"")="","NULL","'"&amp;SUBSTITUTE(TRIM(C426),"'","''")&amp;"'")&amp;", p_id_tipo_balon =&gt; "&amp;"(SELECT id FROM bal_tipo_balon WHERE upper(nombre) = upper('"&amp;SUBSTITUTE(TRIM(D426),"'","''")&amp;"') AND estado = 1 LIMIT 1)"&amp;", p_id_producto_gas =&gt; "&amp;"(SELECT id FROM pro_producto WHERE es_gas = TRUE AND upper(nombre) = upper('"&amp;SUBSTITUTE(TRIM(E426),"'","''")&amp;"') AND estado = 1 LIMIT 1)"&amp;", p_id_propietario =&gt; "&amp;IF(TRIM(F426&amp;"")="","NULL","(SELECT lo.id FROM gen_lista_opciones lo JOIN gen_lista l ON l.id = lo.id_lista WHERE l.nombre = 'PropietarioBalon' AND upper(lo.nombre) = upper('"&amp;SUBSTITUTE(TRIM(F426),"'","''")&amp;"') AND lo.estado = 1 LIMIT 1)")&amp;", p_id_cliente_propietario =&gt; "&amp;IF(F426="CLIENTE",IF(TRIM(G426&amp;"")="","NULL","(SELECT id FROM cli_clientes WHERE numero_documento = '"&amp;SUBSTITUTE(TRIM(G426),"'","''")&amp;"' AND estado = 1 LIMIT 1)"),"NULL")&amp;", p_id_planta =&gt; "&amp;IF(F426="PLANTA",IF(TRIM(G426&amp;"")="","NULL","(SELECT id FROM cli_clientes WHERE numero_documento = '"&amp;SUBSTITUTE(TRIM(G426),"'","''")&amp;"'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"&amp;IF(TRIM(J426&amp;"")="","NULL","(SELECT id FROM gen_almacen WHERE upper(nombre) = upper('"&amp;SUBSTITUTE(TRIM(J426),"'","''")&amp;"') AND estado = 1 LIMIT 1)")&amp;", p_id_cliente_ubicacion =&gt; "&amp;IF(TRIM(K426&amp;"")="","NULL","(SELECT id FROM cli_clientes WHERE numero_documento = '"&amp;SUBSTITUTE(TRIM(K426),"'","''")&amp;"' AND estado = 1 LIMIT 1)")&amp;", p_id_referencia =&gt; "&amp;IF(TRIM(J426&amp;"")&lt;&gt;"","(SELECT lo.id FROM gen_lista_opciones lo JOIN gen_lista l ON l.id = lo.id_lista WHERE l.nombre = 'ReferenciaCilindro' AND upper(lo.nombre) = 'ALMACEN' AND lo.estado = 1 LIMIT 1)",IF(TRIM(K426&amp;"")&lt;&gt;"","(SELECT lo.id FROM gen_lista_opciones lo JOIN gen_lista l ON l.id = lo.id_lista WHERE l.nombre = 'ReferenciaCilindro' AND upper(lo.nombre) = 'CLIENTE' AND lo.estado = 1 LIMIT 1)","NULL"))&amp;", p_anio_fabricacion =&gt; "&amp;IF(M426&amp;""="","NULL::smallint",M426&amp;"::smallint")&amp;", p_mes_fabricacion =&gt; "&amp;IF(N426&amp;""="","NULL::smallint",N426&amp;"::smallint")&amp;", p_fecha_ultima_prueba_hidrostatica =&gt; "&amp;IF(O426&amp;""="","NULL","'"&amp;YEAR(O426)&amp;"-"&amp;TEXT(MONTH(O426),"00")&amp;"-"&amp;TEXT(DAY(O426),"00")&amp;"'")&amp;", p_numero_serie =&gt; "&amp;IF(TRIM(Q426&amp;"")="","NULL","'"&amp;SUBSTITUTE(TRIM(Q426),"'","''")&amp;"'")&amp;", p_id_marca_cilindro =&gt; "&amp;IF(TRIM(R426&amp;"")="","NULL","(SELECT lo.id FROM gen_lista_opciones lo JOIN gen_lista l ON l.id = lo.id_lista WHERE l.nombre = 'MarcaCilindro' AND upper(lo.nombre) = upper('"&amp;SUBSTITUTE(TRIM(R426),"'","''")&amp;"') AND lo.estado = 1 LIMIT 1)")&amp;", p_id_organo_inspector =&gt; "&amp;IF(TRIM(S426&amp;"")="","NULL","(SELECT lo.id FROM gen_lista_opciones lo JOIN gen_lista l ON l.id = lo.id_lista WHERE l.nombre = 'OrganoInspectorCilindro' AND upper(lo.nombre) = upper('"&amp;SUBSTITUTE(TRIM(S426),"'","''")&amp;"') AND lo.estado = 1 LIMIT 1)")&amp;", p_organo_inspector_no_aplica =&gt; "&amp;IF(S426="NO_APLICA","TRUE","FALSE")&amp;", p_presion_actual =&gt; "&amp;IF(T426&amp;""="","NULL",SUBSTITUTE(T426&amp;"",",","."))&amp;", p_tipo_valvula =&gt; "&amp;IF(TRIM(U426&amp;"")="","NULL","'"&amp;SUBSTITUTE(TRIM(U426),"'","''")&amp;"'")&amp;", p_libro_cilindro =&gt; "&amp;IF(TRIM(V426&amp;"")="","NULL","'"&amp;SUBSTITUTE(TRIM(V426),"'","''")&amp;"'")&amp;", p_pagina_libro =&gt; "&amp;IF(W426&amp;""="","NULL",SUBSTITUTE(W426&amp;"",",","."))&amp;", p_observacion =&gt; "&amp;IF(TRIM(X426&amp;"")="","NULL","'"&amp;SUBSTITUTE(TRIM(X426),"'","''")&amp;"'")&amp;") AS resultado_balon_"&amp;ROW()&amp;";")</f>
        <v/>
      </c>
    </row>
    <row r="427" ht="15.75" customHeight="1" s="64">
      <c r="A427" s="36" t="inlineStr">
        <is>
          <t>423</t>
        </is>
      </c>
      <c r="B427" s="25">
        <f>IF(AND(C427="",D427="",E427=""),"",IF(C427="","FALTA código balón",IF(D427="","FALTA tipo balón",IF(E427="","FALTA gas",IF(F427="","FALTA propietario",IF(AND(C427&lt;&gt;"",SUMPRODUCT(--($C$5:$C$1200=C427))&gt;1),"CÓDIGO BALÓN DUPLICADO",IF(AND(OR(UPPER(F427)="PLANTA",UPPER(F427)="CLIENTE"),G427=""),"FALTA doc propietario/planta",IF(AND(UPPER(F427)="PLANTA",G427="10175332796"),"PLANTA no puede ser RUC empresa","OK"))))))))</f>
        <v/>
      </c>
      <c r="C427" s="54" t="inlineStr">
        <is>
          <t>611274</t>
        </is>
      </c>
      <c r="D427" s="17" t="inlineStr">
        <is>
          <t>Oxígeno Industrial 6 m³</t>
        </is>
      </c>
      <c r="E427" s="17" t="inlineStr">
        <is>
          <t>OXIGENO INDUSTRIAL</t>
        </is>
      </c>
      <c r="F427" s="17" t="inlineStr">
        <is>
          <t>EMPRESA</t>
        </is>
      </c>
      <c r="G427" s="23" t="inlineStr">
        <is>
          <t>10175332796</t>
        </is>
      </c>
      <c r="H427" s="25">
        <f t="array" ref="H427">IF(G427="","",IFERROR(IF(INDEX(Clientes!$D$5:$D$549,MATCH(G427,Clientes!$C$5:$C$549,0))&lt;&gt;"",INDEX(Clientes!$D$5:$D$549,MATCH(G427,Clientes!$C$5:$C$549,0)),TRIM(INDEX(Clientes!$E$5:$E$549,MATCH(G427,Clientes!$C$5:$C$549,0))&amp;" "&amp;INDEX(Clientes!$F$5:$F$549,MATCH(G427,Clientes!$C$5:$C$549,0)))),"NO EXISTE en Clientes"))</f>
        <v/>
      </c>
      <c r="I427" s="17" t="inlineStr">
        <is>
          <t>EN_PODER_CLIENTE</t>
        </is>
      </c>
      <c r="J427" s="17" t="n"/>
      <c r="K427" s="23" t="inlineStr">
        <is>
          <t>20613421492</t>
        </is>
      </c>
      <c r="L427" s="25">
        <f t="array" ref="L427">IF(K427="","",IFERROR(IF(INDEX(Clientes!$D$5:$D$549,MATCH(K427,Clientes!$C$5:$C$549,0))&lt;&gt;"",INDEX(Clientes!$D$5:$D$549,MATCH(K427,Clientes!$C$5:$C$549,0)),TRIM(INDEX(Clientes!$E$5:$E$549,MATCH(K427,Clientes!$C$5:$C$549,0))&amp;" "&amp;INDEX(Clientes!$F$5:$F$549,MATCH(K427,Clientes!$C$5:$C$549,0)))),"NO EXISTE en Clientes"))</f>
        <v/>
      </c>
      <c r="M427" s="17" t="n"/>
      <c r="N427" s="17" t="n"/>
      <c r="O427" s="42" t="n"/>
      <c r="P427" s="39">
        <f>IF(O427&lt;&gt;"",DATE(YEAR(O427)+5,MONTH(O427),1),IF(AND(M427&lt;&gt;"",N427&lt;&gt;""),DATE(M427+5,N427,1),""))</f>
        <v/>
      </c>
      <c r="Q427" s="23" t="n"/>
      <c r="R427" s="17" t="n"/>
      <c r="S427" s="17" t="n"/>
      <c r="T427" s="17" t="n"/>
      <c r="U427" s="17" t="n"/>
      <c r="V427" s="23" t="n"/>
      <c r="W427" s="17" t="n"/>
      <c r="X427" s="17" t="n"/>
      <c r="Y427" s="28">
        <f>IF(B427&lt;&gt;"OK","","SELECT bal_crear_balon(p_codigo_balon =&gt; "&amp;IF(TRIM(C427&amp;"")="","NULL","'"&amp;SUBSTITUTE(TRIM(C427),"'","''")&amp;"'")&amp;", p_id_tipo_balon =&gt; "&amp;"(SELECT id FROM bal_tipo_balon WHERE upper(nombre) = upper('"&amp;SUBSTITUTE(TRIM(D427),"'","''")&amp;"') AND estado = 1 LIMIT 1)"&amp;", p_id_producto_gas =&gt; "&amp;"(SELECT id FROM pro_producto WHERE es_gas = TRUE AND upper(nombre) = upper('"&amp;SUBSTITUTE(TRIM(E427),"'","''")&amp;"') AND estado = 1 LIMIT 1)"&amp;", p_id_propietario =&gt; "&amp;IF(TRIM(F427&amp;"")="","NULL","(SELECT lo.id FROM gen_lista_opciones lo JOIN gen_lista l ON l.id = lo.id_lista WHERE l.nombre = 'PropietarioBalon' AND upper(lo.nombre) = upper('"&amp;SUBSTITUTE(TRIM(F427),"'","''")&amp;"') AND lo.estado = 1 LIMIT 1)")&amp;", p_id_cliente_propietario =&gt; "&amp;IF(F427="CLIENTE",IF(TRIM(G427&amp;"")="","NULL","(SELECT id FROM cli_clientes WHERE numero_documento = '"&amp;SUBSTITUTE(TRIM(G427),"'","''")&amp;"' AND estado = 1 LIMIT 1)"),"NULL")&amp;", p_id_planta =&gt; "&amp;IF(F427="PLANTA",IF(TRIM(G427&amp;"")="","NULL","(SELECT id FROM cli_clientes WHERE numero_documento = '"&amp;SUBSTITUTE(TRIM(G427),"'","''")&amp;"'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"&amp;IF(TRIM(J427&amp;"")="","NULL","(SELECT id FROM gen_almacen WHERE upper(nombre) = upper('"&amp;SUBSTITUTE(TRIM(J427),"'","''")&amp;"') AND estado = 1 LIMIT 1)")&amp;", p_id_cliente_ubicacion =&gt; "&amp;IF(TRIM(K427&amp;"")="","NULL","(SELECT id FROM cli_clientes WHERE numero_documento = '"&amp;SUBSTITUTE(TRIM(K427),"'","''")&amp;"' AND estado = 1 LIMIT 1)")&amp;", p_id_referencia =&gt; "&amp;IF(TRIM(J427&amp;"")&lt;&gt;"","(SELECT lo.id FROM gen_lista_opciones lo JOIN gen_lista l ON l.id = lo.id_lista WHERE l.nombre = 'ReferenciaCilindro' AND upper(lo.nombre) = 'ALMACEN' AND lo.estado = 1 LIMIT 1)",IF(TRIM(K427&amp;"")&lt;&gt;"","(SELECT lo.id FROM gen_lista_opciones lo JOIN gen_lista l ON l.id = lo.id_lista WHERE l.nombre = 'ReferenciaCilindro' AND upper(lo.nombre) = 'CLIENTE' AND lo.estado = 1 LIMIT 1)","NULL"))&amp;", p_anio_fabricacion =&gt; "&amp;IF(M427&amp;""="","NULL::smallint",M427&amp;"::smallint")&amp;", p_mes_fabricacion =&gt; "&amp;IF(N427&amp;""="","NULL::smallint",N427&amp;"::smallint")&amp;", p_fecha_ultima_prueba_hidrostatica =&gt; "&amp;IF(O427&amp;""="","NULL","'"&amp;YEAR(O427)&amp;"-"&amp;TEXT(MONTH(O427),"00")&amp;"-"&amp;TEXT(DAY(O427),"00")&amp;"'")&amp;", p_numero_serie =&gt; "&amp;IF(TRIM(Q427&amp;"")="","NULL","'"&amp;SUBSTITUTE(TRIM(Q427),"'","''")&amp;"'")&amp;", p_id_marca_cilindro =&gt; "&amp;IF(TRIM(R427&amp;"")="","NULL","(SELECT lo.id FROM gen_lista_opciones lo JOIN gen_lista l ON l.id = lo.id_lista WHERE l.nombre = 'MarcaCilindro' AND upper(lo.nombre) = upper('"&amp;SUBSTITUTE(TRIM(R427),"'","''")&amp;"') AND lo.estado = 1 LIMIT 1)")&amp;", p_id_organo_inspector =&gt; "&amp;IF(TRIM(S427&amp;"")="","NULL","(SELECT lo.id FROM gen_lista_opciones lo JOIN gen_lista l ON l.id = lo.id_lista WHERE l.nombre = 'OrganoInspectorCilindro' AND upper(lo.nombre) = upper('"&amp;SUBSTITUTE(TRIM(S427),"'","''")&amp;"') AND lo.estado = 1 LIMIT 1)")&amp;", p_organo_inspector_no_aplica =&gt; "&amp;IF(S427="NO_APLICA","TRUE","FALSE")&amp;", p_presion_actual =&gt; "&amp;IF(T427&amp;""="","NULL",SUBSTITUTE(T427&amp;"",",","."))&amp;", p_tipo_valvula =&gt; "&amp;IF(TRIM(U427&amp;"")="","NULL","'"&amp;SUBSTITUTE(TRIM(U427),"'","''")&amp;"'")&amp;", p_libro_cilindro =&gt; "&amp;IF(TRIM(V427&amp;"")="","NULL","'"&amp;SUBSTITUTE(TRIM(V427),"'","''")&amp;"'")&amp;", p_pagina_libro =&gt; "&amp;IF(W427&amp;""="","NULL",SUBSTITUTE(W427&amp;"",",","."))&amp;", p_observacion =&gt; "&amp;IF(TRIM(X427&amp;"")="","NULL","'"&amp;SUBSTITUTE(TRIM(X427),"'","''")&amp;"'")&amp;") AS resultado_balon_"&amp;ROW()&amp;";")</f>
        <v/>
      </c>
    </row>
    <row r="428" ht="15.75" customHeight="1" s="64">
      <c r="A428" s="36" t="inlineStr">
        <is>
          <t>424</t>
        </is>
      </c>
      <c r="B428" s="25">
        <f>IF(AND(C428="",D428="",E428=""),"",IF(C428="","FALTA código balón",IF(D428="","FALTA tipo balón",IF(E428="","FALTA gas",IF(F428="","FALTA propietario",IF(AND(C428&lt;&gt;"",SUMPRODUCT(--($C$5:$C$1200=C428))&gt;1),"CÓDIGO BALÓN DUPLICADO",IF(AND(OR(UPPER(F428)="PLANTA",UPPER(F428)="CLIENTE"),G428=""),"FALTA doc propietario/planta",IF(AND(UPPER(F428)="PLANTA",G428="10175332796"),"PLANTA no puede ser RUC empresa","OK"))))))))</f>
        <v/>
      </c>
      <c r="C428" s="54" t="inlineStr">
        <is>
          <t>FC018006</t>
        </is>
      </c>
      <c r="D428" s="17" t="inlineStr">
        <is>
          <t>Oxígeno Industrial 10 m³</t>
        </is>
      </c>
      <c r="E428" s="17" t="inlineStr">
        <is>
          <t>OXIGENO INDUSTRIAL</t>
        </is>
      </c>
      <c r="F428" s="17" t="inlineStr">
        <is>
          <t>EMPRESA</t>
        </is>
      </c>
      <c r="G428" s="23" t="inlineStr">
        <is>
          <t>10175332796</t>
        </is>
      </c>
      <c r="H428" s="25">
        <f t="array" ref="H428">IF(G428="","",IFERROR(IF(INDEX(Clientes!$D$5:$D$549,MATCH(G428,Clientes!$C$5:$C$549,0))&lt;&gt;"",INDEX(Clientes!$D$5:$D$549,MATCH(G428,Clientes!$C$5:$C$549,0)),TRIM(INDEX(Clientes!$E$5:$E$549,MATCH(G428,Clientes!$C$5:$C$549,0))&amp;" "&amp;INDEX(Clientes!$F$5:$F$549,MATCH(G428,Clientes!$C$5:$C$549,0)))),"NO EXISTE en Clientes"))</f>
        <v/>
      </c>
      <c r="I428" s="17" t="inlineStr">
        <is>
          <t>EN_PODER_CLIENTE</t>
        </is>
      </c>
      <c r="J428" s="17" t="n"/>
      <c r="K428" s="23" t="n">
        <v>20608316419</v>
      </c>
      <c r="L428" s="25">
        <f t="array" ref="L428">IF(K428="","",IFERROR(IF(INDEX(Clientes!$D$5:$D$549,MATCH(K428,Clientes!$C$5:$C$549,0))&lt;&gt;"",INDEX(Clientes!$D$5:$D$549,MATCH(K428,Clientes!$C$5:$C$549,0)),TRIM(INDEX(Clientes!$E$5:$E$549,MATCH(K428,Clientes!$C$5:$C$549,0))&amp;" "&amp;INDEX(Clientes!$F$5:$F$549,MATCH(K428,Clientes!$C$5:$C$549,0)))),"NO EXISTE en Clientes"))</f>
        <v/>
      </c>
      <c r="M428" s="17" t="n"/>
      <c r="N428" s="17" t="n"/>
      <c r="O428" s="42" t="n"/>
      <c r="P428" s="39">
        <f>IF(O428&lt;&gt;"",DATE(YEAR(O428)+5,MONTH(O428),1),IF(AND(M428&lt;&gt;"",N428&lt;&gt;""),DATE(M428+5,N428,1),""))</f>
        <v/>
      </c>
      <c r="Q428" s="23" t="n"/>
      <c r="R428" s="17" t="n"/>
      <c r="S428" s="17" t="n"/>
      <c r="T428" s="17" t="n"/>
      <c r="U428" s="17" t="n"/>
      <c r="V428" s="23" t="n"/>
      <c r="W428" s="17" t="n"/>
      <c r="X428" s="17" t="n"/>
      <c r="Y428" s="28">
        <f>IF(B428&lt;&gt;"OK","","SELECT bal_crear_balon(p_codigo_balon =&gt; "&amp;IF(TRIM(C428&amp;"")="","NULL","'"&amp;SUBSTITUTE(TRIM(C428),"'","''")&amp;"'")&amp;", p_id_tipo_balon =&gt; "&amp;"(SELECT id FROM bal_tipo_balon WHERE upper(nombre) = upper('"&amp;SUBSTITUTE(TRIM(D428),"'","''")&amp;"') AND estado = 1 LIMIT 1)"&amp;", p_id_producto_gas =&gt; "&amp;"(SELECT id FROM pro_producto WHERE es_gas = TRUE AND upper(nombre) = upper('"&amp;SUBSTITUTE(TRIM(E428),"'","''")&amp;"') AND estado = 1 LIMIT 1)"&amp;", p_id_propietario =&gt; "&amp;IF(TRIM(F428&amp;"")="","NULL","(SELECT lo.id FROM gen_lista_opciones lo JOIN gen_lista l ON l.id = lo.id_lista WHERE l.nombre = 'PropietarioBalon' AND upper(lo.nombre) = upper('"&amp;SUBSTITUTE(TRIM(F428),"'","''")&amp;"') AND lo.estado = 1 LIMIT 1)")&amp;", p_id_cliente_propietario =&gt; "&amp;IF(F428="CLIENTE",IF(TRIM(G428&amp;"")="","NULL","(SELECT id FROM cli_clientes WHERE numero_documento = '"&amp;SUBSTITUTE(TRIM(G428),"'","''")&amp;"' AND estado = 1 LIMIT 1)"),"NULL")&amp;", p_id_planta =&gt; "&amp;IF(F428="PLANTA",IF(TRIM(G428&amp;"")="","NULL","(SELECT id FROM cli_clientes WHERE numero_documento = '"&amp;SUBSTITUTE(TRIM(G428),"'","''")&amp;"'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"&amp;IF(TRIM(J428&amp;"")="","NULL","(SELECT id FROM gen_almacen WHERE upper(nombre) = upper('"&amp;SUBSTITUTE(TRIM(J428),"'","''")&amp;"') AND estado = 1 LIMIT 1)")&amp;", p_id_cliente_ubicacion =&gt; "&amp;IF(TRIM(K428&amp;"")="","NULL","(SELECT id FROM cli_clientes WHERE numero_documento = '"&amp;SUBSTITUTE(TRIM(K428),"'","''")&amp;"' AND estado = 1 LIMIT 1)")&amp;", p_id_referencia =&gt; "&amp;IF(TRIM(J428&amp;"")&lt;&gt;"","(SELECT lo.id FROM gen_lista_opciones lo JOIN gen_lista l ON l.id = lo.id_lista WHERE l.nombre = 'ReferenciaCilindro' AND upper(lo.nombre) = 'ALMACEN' AND lo.estado = 1 LIMIT 1)",IF(TRIM(K428&amp;"")&lt;&gt;"","(SELECT lo.id FROM gen_lista_opciones lo JOIN gen_lista l ON l.id = lo.id_lista WHERE l.nombre = 'ReferenciaCilindro' AND upper(lo.nombre) = 'CLIENTE' AND lo.estado = 1 LIMIT 1)","NULL"))&amp;", p_anio_fabricacion =&gt; "&amp;IF(M428&amp;""="","NULL::smallint",M428&amp;"::smallint")&amp;", p_mes_fabricacion =&gt; "&amp;IF(N428&amp;""="","NULL::smallint",N428&amp;"::smallint")&amp;", p_fecha_ultima_prueba_hidrostatica =&gt; "&amp;IF(O428&amp;""="","NULL","'"&amp;YEAR(O428)&amp;"-"&amp;TEXT(MONTH(O428),"00")&amp;"-"&amp;TEXT(DAY(O428),"00")&amp;"'")&amp;", p_numero_serie =&gt; "&amp;IF(TRIM(Q428&amp;"")="","NULL","'"&amp;SUBSTITUTE(TRIM(Q428),"'","''")&amp;"'")&amp;", p_id_marca_cilindro =&gt; "&amp;IF(TRIM(R428&amp;"")="","NULL","(SELECT lo.id FROM gen_lista_opciones lo JOIN gen_lista l ON l.id = lo.id_lista WHERE l.nombre = 'MarcaCilindro' AND upper(lo.nombre) = upper('"&amp;SUBSTITUTE(TRIM(R428),"'","''")&amp;"') AND lo.estado = 1 LIMIT 1)")&amp;", p_id_organo_inspector =&gt; "&amp;IF(TRIM(S428&amp;"")="","NULL","(SELECT lo.id FROM gen_lista_opciones lo JOIN gen_lista l ON l.id = lo.id_lista WHERE l.nombre = 'OrganoInspectorCilindro' AND upper(lo.nombre) = upper('"&amp;SUBSTITUTE(TRIM(S428),"'","''")&amp;"') AND lo.estado = 1 LIMIT 1)")&amp;", p_organo_inspector_no_aplica =&gt; "&amp;IF(S428="NO_APLICA","TRUE","FALSE")&amp;", p_presion_actual =&gt; "&amp;IF(T428&amp;""="","NULL",SUBSTITUTE(T428&amp;"",",","."))&amp;", p_tipo_valvula =&gt; "&amp;IF(TRIM(U428&amp;"")="","NULL","'"&amp;SUBSTITUTE(TRIM(U428),"'","''")&amp;"'")&amp;", p_libro_cilindro =&gt; "&amp;IF(TRIM(V428&amp;"")="","NULL","'"&amp;SUBSTITUTE(TRIM(V428),"'","''")&amp;"'")&amp;", p_pagina_libro =&gt; "&amp;IF(W428&amp;""="","NULL",SUBSTITUTE(W428&amp;"",",","."))&amp;", p_observacion =&gt; "&amp;IF(TRIM(X428&amp;"")="","NULL","'"&amp;SUBSTITUTE(TRIM(X428),"'","''")&amp;"'")&amp;") AS resultado_balon_"&amp;ROW()&amp;";")</f>
        <v/>
      </c>
    </row>
    <row r="429" ht="15.75" customHeight="1" s="64">
      <c r="A429" s="36" t="inlineStr">
        <is>
          <t>425</t>
        </is>
      </c>
      <c r="B429" s="25">
        <f>IF(AND(C429="",D429="",E429=""),"",IF(C429="","FALTA código balón",IF(D429="","FALTA tipo balón",IF(E429="","FALTA gas",IF(F429="","FALTA propietario",IF(AND(C429&lt;&gt;"",SUMPRODUCT(--($C$5:$C$1200=C429))&gt;1),"CÓDIGO BALÓN DUPLICADO",IF(AND(OR(UPPER(F429)="PLANTA",UPPER(F429)="CLIENTE"),G429=""),"FALTA doc propietario/planta",IF(AND(UPPER(F429)="PLANTA",G429="10175332796"),"PLANTA no puede ser RUC empresa","OK"))))))))</f>
        <v/>
      </c>
      <c r="C429" s="54" t="inlineStr">
        <is>
          <t>20K650016</t>
        </is>
      </c>
      <c r="D429" s="17" t="inlineStr">
        <is>
          <t>Oxígeno Industrial 10 m³</t>
        </is>
      </c>
      <c r="E429" s="17" t="inlineStr">
        <is>
          <t>OXIGENO INDUSTRIAL</t>
        </is>
      </c>
      <c r="F429" s="17" t="inlineStr">
        <is>
          <t>EMPRESA</t>
        </is>
      </c>
      <c r="G429" s="23" t="inlineStr">
        <is>
          <t>10175332796</t>
        </is>
      </c>
      <c r="H429" s="25">
        <f t="array" ref="H429">IF(G429="","",IFERROR(IF(INDEX(Clientes!$D$5:$D$549,MATCH(G429,Clientes!$C$5:$C$549,0))&lt;&gt;"",INDEX(Clientes!$D$5:$D$549,MATCH(G429,Clientes!$C$5:$C$549,0)),TRIM(INDEX(Clientes!$E$5:$E$549,MATCH(G429,Clientes!$C$5:$C$549,0))&amp;" "&amp;INDEX(Clientes!$F$5:$F$549,MATCH(G429,Clientes!$C$5:$C$549,0)))),"NO EXISTE en Clientes"))</f>
        <v/>
      </c>
      <c r="I429" s="17" t="inlineStr">
        <is>
          <t>EN_PODER_CLIENTE</t>
        </is>
      </c>
      <c r="J429" s="17" t="n"/>
      <c r="K429" s="26" t="inlineStr">
        <is>
          <t>20514134155</t>
        </is>
      </c>
      <c r="L429" s="25">
        <f t="array" ref="L429">IF(K429="","",IFERROR(IF(INDEX(Clientes!$D$5:$D$549,MATCH(K429,Clientes!$C$5:$C$549,0))&lt;&gt;"",INDEX(Clientes!$D$5:$D$549,MATCH(K429,Clientes!$C$5:$C$549,0)),TRIM(INDEX(Clientes!$E$5:$E$549,MATCH(K429,Clientes!$C$5:$C$549,0))&amp;" "&amp;INDEX(Clientes!$F$5:$F$549,MATCH(K429,Clientes!$C$5:$C$549,0)))),"NO EXISTE en Clientes"))</f>
        <v/>
      </c>
      <c r="M429" s="17" t="n"/>
      <c r="N429" s="17" t="n"/>
      <c r="O429" s="42" t="n"/>
      <c r="P429" s="39">
        <f>IF(O429&lt;&gt;"",DATE(YEAR(O429)+5,MONTH(O429),1),IF(AND(M429&lt;&gt;"",N429&lt;&gt;""),DATE(M429+5,N429,1),""))</f>
        <v/>
      </c>
      <c r="Q429" s="23" t="n"/>
      <c r="R429" s="17" t="n"/>
      <c r="S429" s="17" t="n"/>
      <c r="T429" s="17" t="n"/>
      <c r="U429" s="17" t="n"/>
      <c r="V429" s="23" t="n"/>
      <c r="W429" s="17" t="n"/>
      <c r="X429" s="17" t="n"/>
      <c r="Y429" s="28">
        <f>IF(B429&lt;&gt;"OK","","SELECT bal_crear_balon(p_codigo_balon =&gt; "&amp;IF(TRIM(C429&amp;"")="","NULL","'"&amp;SUBSTITUTE(TRIM(C429),"'","''")&amp;"'")&amp;", p_id_tipo_balon =&gt; "&amp;"(SELECT id FROM bal_tipo_balon WHERE upper(nombre) = upper('"&amp;SUBSTITUTE(TRIM(D429),"'","''")&amp;"') AND estado = 1 LIMIT 1)"&amp;", p_id_producto_gas =&gt; "&amp;"(SELECT id FROM pro_producto WHERE es_gas = TRUE AND upper(nombre) = upper('"&amp;SUBSTITUTE(TRIM(E429),"'","''")&amp;"') AND estado = 1 LIMIT 1)"&amp;", p_id_propietario =&gt; "&amp;IF(TRIM(F429&amp;"")="","NULL","(SELECT lo.id FROM gen_lista_opciones lo JOIN gen_lista l ON l.id = lo.id_lista WHERE l.nombre = 'PropietarioBalon' AND upper(lo.nombre) = upper('"&amp;SUBSTITUTE(TRIM(F429),"'","''")&amp;"') AND lo.estado = 1 LIMIT 1)")&amp;", p_id_cliente_propietario =&gt; "&amp;IF(F429="CLIENTE",IF(TRIM(G429&amp;"")="","NULL","(SELECT id FROM cli_clientes WHERE numero_documento = '"&amp;SUBSTITUTE(TRIM(G429),"'","''")&amp;"' AND estado = 1 LIMIT 1)"),"NULL")&amp;", p_id_planta =&gt; "&amp;IF(F429="PLANTA",IF(TRIM(G429&amp;"")="","NULL","(SELECT id FROM cli_clientes WHERE numero_documento = '"&amp;SUBSTITUTE(TRIM(G429),"'","''")&amp;"'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"&amp;IF(TRIM(J429&amp;"")="","NULL","(SELECT id FROM gen_almacen WHERE upper(nombre) = upper('"&amp;SUBSTITUTE(TRIM(J429),"'","''")&amp;"') AND estado = 1 LIMIT 1)")&amp;", p_id_cliente_ubicacion =&gt; "&amp;IF(TRIM(K429&amp;"")="","NULL","(SELECT id FROM cli_clientes WHERE numero_documento = '"&amp;SUBSTITUTE(TRIM(K429),"'","''")&amp;"' AND estado = 1 LIMIT 1)")&amp;", p_id_referencia =&gt; "&amp;IF(TRIM(J429&amp;"")&lt;&gt;"","(SELECT lo.id FROM gen_lista_opciones lo JOIN gen_lista l ON l.id = lo.id_lista WHERE l.nombre = 'ReferenciaCilindro' AND upper(lo.nombre) = 'ALMACEN' AND lo.estado = 1 LIMIT 1)",IF(TRIM(K429&amp;"")&lt;&gt;"","(SELECT lo.id FROM gen_lista_opciones lo JOIN gen_lista l ON l.id = lo.id_lista WHERE l.nombre = 'ReferenciaCilindro' AND upper(lo.nombre) = 'CLIENTE' AND lo.estado = 1 LIMIT 1)","NULL"))&amp;", p_anio_fabricacion =&gt; "&amp;IF(M429&amp;""="","NULL::smallint",M429&amp;"::smallint")&amp;", p_mes_fabricacion =&gt; "&amp;IF(N429&amp;""="","NULL::smallint",N429&amp;"::smallint")&amp;", p_fecha_ultima_prueba_hidrostatica =&gt; "&amp;IF(O429&amp;""="","NULL","'"&amp;YEAR(O429)&amp;"-"&amp;TEXT(MONTH(O429),"00")&amp;"-"&amp;TEXT(DAY(O429),"00")&amp;"'")&amp;", p_numero_serie =&gt; "&amp;IF(TRIM(Q429&amp;"")="","NULL","'"&amp;SUBSTITUTE(TRIM(Q429),"'","''")&amp;"'")&amp;", p_id_marca_cilindro =&gt; "&amp;IF(TRIM(R429&amp;"")="","NULL","(SELECT lo.id FROM gen_lista_opciones lo JOIN gen_lista l ON l.id = lo.id_lista WHERE l.nombre = 'MarcaCilindro' AND upper(lo.nombre) = upper('"&amp;SUBSTITUTE(TRIM(R429),"'","''")&amp;"') AND lo.estado = 1 LIMIT 1)")&amp;", p_id_organo_inspector =&gt; "&amp;IF(TRIM(S429&amp;"")="","NULL","(SELECT lo.id FROM gen_lista_opciones lo JOIN gen_lista l ON l.id = lo.id_lista WHERE l.nombre = 'OrganoInspectorCilindro' AND upper(lo.nombre) = upper('"&amp;SUBSTITUTE(TRIM(S429),"'","''")&amp;"') AND lo.estado = 1 LIMIT 1)")&amp;", p_organo_inspector_no_aplica =&gt; "&amp;IF(S429="NO_APLICA","TRUE","FALSE")&amp;", p_presion_actual =&gt; "&amp;IF(T429&amp;""="","NULL",SUBSTITUTE(T429&amp;"",",","."))&amp;", p_tipo_valvula =&gt; "&amp;IF(TRIM(U429&amp;"")="","NULL","'"&amp;SUBSTITUTE(TRIM(U429),"'","''")&amp;"'")&amp;", p_libro_cilindro =&gt; "&amp;IF(TRIM(V429&amp;"")="","NULL","'"&amp;SUBSTITUTE(TRIM(V429),"'","''")&amp;"'")&amp;", p_pagina_libro =&gt; "&amp;IF(W429&amp;""="","NULL",SUBSTITUTE(W429&amp;"",",","."))&amp;", p_observacion =&gt; "&amp;IF(TRIM(X429&amp;"")="","NULL","'"&amp;SUBSTITUTE(TRIM(X429),"'","''")&amp;"'")&amp;") AS resultado_balon_"&amp;ROW()&amp;";")</f>
        <v/>
      </c>
    </row>
    <row r="430" ht="15.75" customHeight="1" s="64">
      <c r="A430" s="36" t="inlineStr">
        <is>
          <t>426</t>
        </is>
      </c>
      <c r="B430" s="25">
        <f>IF(AND(C430="",D430="",E430=""),"",IF(C430="","FALTA código balón",IF(D430="","FALTA tipo balón",IF(E430="","FALTA gas",IF(F430="","FALTA propietario",IF(AND(C430&lt;&gt;"",SUMPRODUCT(--($C$5:$C$1200=C430))&gt;1),"CÓDIGO BALÓN DUPLICADO",IF(AND(OR(UPPER(F430)="PLANTA",UPPER(F430)="CLIENTE"),G430=""),"FALTA doc propietario/planta",IF(AND(UPPER(F430)="PLANTA",G430="10175332796"),"PLANTA no puede ser RUC empresa","OK"))))))))</f>
        <v/>
      </c>
      <c r="C430" s="54" t="inlineStr">
        <is>
          <t>20K646062</t>
        </is>
      </c>
      <c r="D430" s="17" t="inlineStr">
        <is>
          <t>Oxígeno Industrial 10 m³</t>
        </is>
      </c>
      <c r="E430" s="17" t="inlineStr">
        <is>
          <t>OXIGENO INDUSTRIAL</t>
        </is>
      </c>
      <c r="F430" s="17" t="inlineStr">
        <is>
          <t>EMPRESA</t>
        </is>
      </c>
      <c r="G430" s="23" t="inlineStr">
        <is>
          <t>10175332796</t>
        </is>
      </c>
      <c r="H430" s="25">
        <f t="array" ref="H430">IF(G430="","",IFERROR(IF(INDEX(Clientes!$D$5:$D$549,MATCH(G430,Clientes!$C$5:$C$549,0))&lt;&gt;"",INDEX(Clientes!$D$5:$D$549,MATCH(G430,Clientes!$C$5:$C$549,0)),TRIM(INDEX(Clientes!$E$5:$E$549,MATCH(G430,Clientes!$C$5:$C$549,0))&amp;" "&amp;INDEX(Clientes!$F$5:$F$549,MATCH(G430,Clientes!$C$5:$C$549,0)))),"NO EXISTE en Clientes"))</f>
        <v/>
      </c>
      <c r="I430" s="17" t="inlineStr">
        <is>
          <t>EN_PODER_CLIENTE</t>
        </is>
      </c>
      <c r="J430" s="17" t="n"/>
      <c r="K430" s="26" t="inlineStr">
        <is>
          <t>20514134155</t>
        </is>
      </c>
      <c r="L430" s="25">
        <f t="array" ref="L430">IF(K430="","",IFERROR(IF(INDEX(Clientes!$D$5:$D$549,MATCH(K430,Clientes!$C$5:$C$549,0))&lt;&gt;"",INDEX(Clientes!$D$5:$D$549,MATCH(K430,Clientes!$C$5:$C$549,0)),TRIM(INDEX(Clientes!$E$5:$E$549,MATCH(K430,Clientes!$C$5:$C$549,0))&amp;" "&amp;INDEX(Clientes!$F$5:$F$549,MATCH(K430,Clientes!$C$5:$C$549,0)))),"NO EXISTE en Clientes"))</f>
        <v/>
      </c>
      <c r="M430" s="17" t="n"/>
      <c r="N430" s="17" t="n"/>
      <c r="O430" s="42" t="n"/>
      <c r="P430" s="39">
        <f>IF(O430&lt;&gt;"",DATE(YEAR(O430)+5,MONTH(O430),1),IF(AND(M430&lt;&gt;"",N430&lt;&gt;""),DATE(M430+5,N430,1),""))</f>
        <v/>
      </c>
      <c r="Q430" s="23" t="n"/>
      <c r="R430" s="17" t="n"/>
      <c r="S430" s="17" t="n"/>
      <c r="T430" s="17" t="n"/>
      <c r="U430" s="17" t="n"/>
      <c r="V430" s="23" t="n"/>
      <c r="W430" s="17" t="n"/>
      <c r="X430" s="17" t="n"/>
      <c r="Y430" s="28">
        <f>IF(B430&lt;&gt;"OK","","SELECT bal_crear_balon(p_codigo_balon =&gt; "&amp;IF(TRIM(C430&amp;"")="","NULL","'"&amp;SUBSTITUTE(TRIM(C430),"'","''")&amp;"'")&amp;", p_id_tipo_balon =&gt; "&amp;"(SELECT id FROM bal_tipo_balon WHERE upper(nombre) = upper('"&amp;SUBSTITUTE(TRIM(D430),"'","''")&amp;"') AND estado = 1 LIMIT 1)"&amp;", p_id_producto_gas =&gt; "&amp;"(SELECT id FROM pro_producto WHERE es_gas = TRUE AND upper(nombre) = upper('"&amp;SUBSTITUTE(TRIM(E430),"'","''")&amp;"') AND estado = 1 LIMIT 1)"&amp;", p_id_propietario =&gt; "&amp;IF(TRIM(F430&amp;"")="","NULL","(SELECT lo.id FROM gen_lista_opciones lo JOIN gen_lista l ON l.id = lo.id_lista WHERE l.nombre = 'PropietarioBalon' AND upper(lo.nombre) = upper('"&amp;SUBSTITUTE(TRIM(F430),"'","''")&amp;"') AND lo.estado = 1 LIMIT 1)")&amp;", p_id_cliente_propietario =&gt; "&amp;IF(F430="CLIENTE",IF(TRIM(G430&amp;"")="","NULL","(SELECT id FROM cli_clientes WHERE numero_documento = '"&amp;SUBSTITUTE(TRIM(G430),"'","''")&amp;"' AND estado = 1 LIMIT 1)"),"NULL")&amp;", p_id_planta =&gt; "&amp;IF(F430="PLANTA",IF(TRIM(G430&amp;"")="","NULL","(SELECT id FROM cli_clientes WHERE numero_documento = '"&amp;SUBSTITUTE(TRIM(G430),"'","''")&amp;"'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"&amp;IF(TRIM(J430&amp;"")="","NULL","(SELECT id FROM gen_almacen WHERE upper(nombre) = upper('"&amp;SUBSTITUTE(TRIM(J430),"'","''")&amp;"') AND estado = 1 LIMIT 1)")&amp;", p_id_cliente_ubicacion =&gt; "&amp;IF(TRIM(K430&amp;"")="","NULL","(SELECT id FROM cli_clientes WHERE numero_documento = '"&amp;SUBSTITUTE(TRIM(K430),"'","''")&amp;"' AND estado = 1 LIMIT 1)")&amp;", p_id_referencia =&gt; "&amp;IF(TRIM(J430&amp;"")&lt;&gt;"","(SELECT lo.id FROM gen_lista_opciones lo JOIN gen_lista l ON l.id = lo.id_lista WHERE l.nombre = 'ReferenciaCilindro' AND upper(lo.nombre) = 'ALMACEN' AND lo.estado = 1 LIMIT 1)",IF(TRIM(K430&amp;"")&lt;&gt;"","(SELECT lo.id FROM gen_lista_opciones lo JOIN gen_lista l ON l.id = lo.id_lista WHERE l.nombre = 'ReferenciaCilindro' AND upper(lo.nombre) = 'CLIENTE' AND lo.estado = 1 LIMIT 1)","NULL"))&amp;", p_anio_fabricacion =&gt; "&amp;IF(M430&amp;""="","NULL::smallint",M430&amp;"::smallint")&amp;", p_mes_fabricacion =&gt; "&amp;IF(N430&amp;""="","NULL::smallint",N430&amp;"::smallint")&amp;", p_fecha_ultima_prueba_hidrostatica =&gt; "&amp;IF(O430&amp;""="","NULL","'"&amp;YEAR(O430)&amp;"-"&amp;TEXT(MONTH(O430),"00")&amp;"-"&amp;TEXT(DAY(O430),"00")&amp;"'")&amp;", p_numero_serie =&gt; "&amp;IF(TRIM(Q430&amp;"")="","NULL","'"&amp;SUBSTITUTE(TRIM(Q430),"'","''")&amp;"'")&amp;", p_id_marca_cilindro =&gt; "&amp;IF(TRIM(R430&amp;"")="","NULL","(SELECT lo.id FROM gen_lista_opciones lo JOIN gen_lista l ON l.id = lo.id_lista WHERE l.nombre = 'MarcaCilindro' AND upper(lo.nombre) = upper('"&amp;SUBSTITUTE(TRIM(R430),"'","''")&amp;"') AND lo.estado = 1 LIMIT 1)")&amp;", p_id_organo_inspector =&gt; "&amp;IF(TRIM(S430&amp;"")="","NULL","(SELECT lo.id FROM gen_lista_opciones lo JOIN gen_lista l ON l.id = lo.id_lista WHERE l.nombre = 'OrganoInspectorCilindro' AND upper(lo.nombre) = upper('"&amp;SUBSTITUTE(TRIM(S430),"'","''")&amp;"') AND lo.estado = 1 LIMIT 1)")&amp;", p_organo_inspector_no_aplica =&gt; "&amp;IF(S430="NO_APLICA","TRUE","FALSE")&amp;", p_presion_actual =&gt; "&amp;IF(T430&amp;""="","NULL",SUBSTITUTE(T430&amp;"",",","."))&amp;", p_tipo_valvula =&gt; "&amp;IF(TRIM(U430&amp;"")="","NULL","'"&amp;SUBSTITUTE(TRIM(U430),"'","''")&amp;"'")&amp;", p_libro_cilindro =&gt; "&amp;IF(TRIM(V430&amp;"")="","NULL","'"&amp;SUBSTITUTE(TRIM(V430),"'","''")&amp;"'")&amp;", p_pagina_libro =&gt; "&amp;IF(W430&amp;""="","NULL",SUBSTITUTE(W430&amp;"",",","."))&amp;", p_observacion =&gt; "&amp;IF(TRIM(X430&amp;"")="","NULL","'"&amp;SUBSTITUTE(TRIM(X430),"'","''")&amp;"'")&amp;") AS resultado_balon_"&amp;ROW()&amp;";")</f>
        <v/>
      </c>
    </row>
    <row r="431" ht="15.75" customHeight="1" s="64">
      <c r="A431" s="36" t="inlineStr">
        <is>
          <t>427</t>
        </is>
      </c>
      <c r="B431" s="25">
        <f>IF(AND(C431="",D431="",E431=""),"",IF(C431="","FALTA código balón",IF(D431="","FALTA tipo balón",IF(E431="","FALTA gas",IF(F431="","FALTA propietario",IF(AND(C431&lt;&gt;"",SUMPRODUCT(--($C$5:$C$1200=C431))&gt;1),"CÓDIGO BALÓN DUPLICADO",IF(AND(OR(UPPER(F431)="PLANTA",UPPER(F431)="CLIENTE"),G431=""),"FALTA doc propietario/planta",IF(AND(UPPER(F431)="PLANTA",G431="10175332796"),"PLANTA no puede ser RUC empresa","OK"))))))))</f>
        <v/>
      </c>
      <c r="C431" s="54" t="inlineStr">
        <is>
          <t>YA20Y367017</t>
        </is>
      </c>
      <c r="D431" s="17" t="inlineStr">
        <is>
          <t>Oxígeno Industrial 10 m³</t>
        </is>
      </c>
      <c r="E431" s="17" t="inlineStr">
        <is>
          <t>OXIGENO INDUSTRIAL</t>
        </is>
      </c>
      <c r="F431" s="17" t="inlineStr">
        <is>
          <t>EMPRESA</t>
        </is>
      </c>
      <c r="G431" s="23" t="inlineStr">
        <is>
          <t>10175332796</t>
        </is>
      </c>
      <c r="H431" s="25">
        <f t="array" ref="H431">IF(G431="","",IFERROR(IF(INDEX(Clientes!$D$5:$D$549,MATCH(G431,Clientes!$C$5:$C$549,0))&lt;&gt;"",INDEX(Clientes!$D$5:$D$549,MATCH(G431,Clientes!$C$5:$C$549,0)),TRIM(INDEX(Clientes!$E$5:$E$549,MATCH(G431,Clientes!$C$5:$C$549,0))&amp;" "&amp;INDEX(Clientes!$F$5:$F$549,MATCH(G431,Clientes!$C$5:$C$549,0)))),"NO EXISTE en Clientes"))</f>
        <v/>
      </c>
      <c r="I431" s="17" t="inlineStr">
        <is>
          <t>EN_PODER_CLIENTE</t>
        </is>
      </c>
      <c r="J431" s="17" t="n"/>
      <c r="K431" s="26" t="inlineStr">
        <is>
          <t>20514134155</t>
        </is>
      </c>
      <c r="L431" s="25">
        <f t="array" ref="L431">IF(K431="","",IFERROR(IF(INDEX(Clientes!$D$5:$D$549,MATCH(K431,Clientes!$C$5:$C$549,0))&lt;&gt;"",INDEX(Clientes!$D$5:$D$549,MATCH(K431,Clientes!$C$5:$C$549,0)),TRIM(INDEX(Clientes!$E$5:$E$549,MATCH(K431,Clientes!$C$5:$C$549,0))&amp;" "&amp;INDEX(Clientes!$F$5:$F$549,MATCH(K431,Clientes!$C$5:$C$549,0)))),"NO EXISTE en Clientes"))</f>
        <v/>
      </c>
      <c r="M431" s="17" t="n"/>
      <c r="N431" s="17" t="n"/>
      <c r="O431" s="42" t="n"/>
      <c r="P431" s="39">
        <f>IF(O431&lt;&gt;"",DATE(YEAR(O431)+5,MONTH(O431),1),IF(AND(M431&lt;&gt;"",N431&lt;&gt;""),DATE(M431+5,N431,1),""))</f>
        <v/>
      </c>
      <c r="Q431" s="23" t="n"/>
      <c r="R431" s="17" t="n"/>
      <c r="S431" s="17" t="n"/>
      <c r="T431" s="17" t="n"/>
      <c r="U431" s="17" t="n"/>
      <c r="V431" s="23" t="n"/>
      <c r="W431" s="17" t="n"/>
      <c r="X431" s="17" t="n"/>
      <c r="Y431" s="28">
        <f>IF(B431&lt;&gt;"OK","","SELECT bal_crear_balon(p_codigo_balon =&gt; "&amp;IF(TRIM(C431&amp;"")="","NULL","'"&amp;SUBSTITUTE(TRIM(C431),"'","''")&amp;"'")&amp;", p_id_tipo_balon =&gt; "&amp;"(SELECT id FROM bal_tipo_balon WHERE upper(nombre) = upper('"&amp;SUBSTITUTE(TRIM(D431),"'","''")&amp;"') AND estado = 1 LIMIT 1)"&amp;", p_id_producto_gas =&gt; "&amp;"(SELECT id FROM pro_producto WHERE es_gas = TRUE AND upper(nombre) = upper('"&amp;SUBSTITUTE(TRIM(E431),"'","''")&amp;"') AND estado = 1 LIMIT 1)"&amp;", p_id_propietario =&gt; "&amp;IF(TRIM(F431&amp;"")="","NULL","(SELECT lo.id FROM gen_lista_opciones lo JOIN gen_lista l ON l.id = lo.id_lista WHERE l.nombre = 'PropietarioBalon' AND upper(lo.nombre) = upper('"&amp;SUBSTITUTE(TRIM(F431),"'","''")&amp;"') AND lo.estado = 1 LIMIT 1)")&amp;", p_id_cliente_propietario =&gt; "&amp;IF(F431="CLIENTE",IF(TRIM(G431&amp;"")="","NULL","(SELECT id FROM cli_clientes WHERE numero_documento = '"&amp;SUBSTITUTE(TRIM(G431),"'","''")&amp;"' AND estado = 1 LIMIT 1)"),"NULL")&amp;", p_id_planta =&gt; "&amp;IF(F431="PLANTA",IF(TRIM(G431&amp;"")="","NULL","(SELECT id FROM cli_clientes WHERE numero_documento = '"&amp;SUBSTITUTE(TRIM(G431),"'","''")&amp;"'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"&amp;IF(TRIM(J431&amp;"")="","NULL","(SELECT id FROM gen_almacen WHERE upper(nombre) = upper('"&amp;SUBSTITUTE(TRIM(J431),"'","''")&amp;"') AND estado = 1 LIMIT 1)")&amp;", p_id_cliente_ubicacion =&gt; "&amp;IF(TRIM(K431&amp;"")="","NULL","(SELECT id FROM cli_clientes WHERE numero_documento = '"&amp;SUBSTITUTE(TRIM(K431),"'","''")&amp;"' AND estado = 1 LIMIT 1)")&amp;", p_id_referencia =&gt; "&amp;IF(TRIM(J431&amp;"")&lt;&gt;"","(SELECT lo.id FROM gen_lista_opciones lo JOIN gen_lista l ON l.id = lo.id_lista WHERE l.nombre = 'ReferenciaCilindro' AND upper(lo.nombre) = 'ALMACEN' AND lo.estado = 1 LIMIT 1)",IF(TRIM(K431&amp;"")&lt;&gt;"","(SELECT lo.id FROM gen_lista_opciones lo JOIN gen_lista l ON l.id = lo.id_lista WHERE l.nombre = 'ReferenciaCilindro' AND upper(lo.nombre) = 'CLIENTE' AND lo.estado = 1 LIMIT 1)","NULL"))&amp;", p_anio_fabricacion =&gt; "&amp;IF(M431&amp;""="","NULL::smallint",M431&amp;"::smallint")&amp;", p_mes_fabricacion =&gt; "&amp;IF(N431&amp;""="","NULL::smallint",N431&amp;"::smallint")&amp;", p_fecha_ultima_prueba_hidrostatica =&gt; "&amp;IF(O431&amp;""="","NULL","'"&amp;YEAR(O431)&amp;"-"&amp;TEXT(MONTH(O431),"00")&amp;"-"&amp;TEXT(DAY(O431),"00")&amp;"'")&amp;", p_numero_serie =&gt; "&amp;IF(TRIM(Q431&amp;"")="","NULL","'"&amp;SUBSTITUTE(TRIM(Q431),"'","''")&amp;"'")&amp;", p_id_marca_cilindro =&gt; "&amp;IF(TRIM(R431&amp;"")="","NULL","(SELECT lo.id FROM gen_lista_opciones lo JOIN gen_lista l ON l.id = lo.id_lista WHERE l.nombre = 'MarcaCilindro' AND upper(lo.nombre) = upper('"&amp;SUBSTITUTE(TRIM(R431),"'","''")&amp;"') AND lo.estado = 1 LIMIT 1)")&amp;", p_id_organo_inspector =&gt; "&amp;IF(TRIM(S431&amp;"")="","NULL","(SELECT lo.id FROM gen_lista_opciones lo JOIN gen_lista l ON l.id = lo.id_lista WHERE l.nombre = 'OrganoInspectorCilindro' AND upper(lo.nombre) = upper('"&amp;SUBSTITUTE(TRIM(S431),"'","''")&amp;"') AND lo.estado = 1 LIMIT 1)")&amp;", p_organo_inspector_no_aplica =&gt; "&amp;IF(S431="NO_APLICA","TRUE","FALSE")&amp;", p_presion_actual =&gt; "&amp;IF(T431&amp;""="","NULL",SUBSTITUTE(T431&amp;"",",","."))&amp;", p_tipo_valvula =&gt; "&amp;IF(TRIM(U431&amp;"")="","NULL","'"&amp;SUBSTITUTE(TRIM(U431),"'","''")&amp;"'")&amp;", p_libro_cilindro =&gt; "&amp;IF(TRIM(V431&amp;"")="","NULL","'"&amp;SUBSTITUTE(TRIM(V431),"'","''")&amp;"'")&amp;", p_pagina_libro =&gt; "&amp;IF(W431&amp;""="","NULL",SUBSTITUTE(W431&amp;"",",","."))&amp;", p_observacion =&gt; "&amp;IF(TRIM(X431&amp;"")="","NULL","'"&amp;SUBSTITUTE(TRIM(X431),"'","''")&amp;"'")&amp;") AS resultado_balon_"&amp;ROW()&amp;";")</f>
        <v/>
      </c>
    </row>
    <row r="432" ht="15.75" customHeight="1" s="64">
      <c r="A432" s="36" t="inlineStr">
        <is>
          <t>428</t>
        </is>
      </c>
      <c r="B432" s="25">
        <f>IF(AND(C432="",D432="",E432=""),"",IF(C432="","FALTA código balón",IF(D432="","FALTA tipo balón",IF(E432="","FALTA gas",IF(F432="","FALTA propietario",IF(AND(C432&lt;&gt;"",SUMPRODUCT(--($C$5:$C$1200=C432))&gt;1),"CÓDIGO BALÓN DUPLICADO",IF(AND(OR(UPPER(F432)="PLANTA",UPPER(F432)="CLIENTE"),G432=""),"FALTA doc propietario/planta",IF(AND(UPPER(F432)="PLANTA",G432="10175332796"),"PLANTA no puede ser RUC empresa","OK"))))))))</f>
        <v/>
      </c>
      <c r="C432" s="54" t="inlineStr">
        <is>
          <t>GTA048024</t>
        </is>
      </c>
      <c r="D432" s="17" t="inlineStr">
        <is>
          <t>Oxigeno Industrial 3 m³</t>
        </is>
      </c>
      <c r="E432" s="17" t="inlineStr">
        <is>
          <t>OXIGENO INDUSTRIAL</t>
        </is>
      </c>
      <c r="F432" s="17" t="inlineStr">
        <is>
          <t>EMPRESA</t>
        </is>
      </c>
      <c r="G432" s="23" t="inlineStr">
        <is>
          <t>10175332796</t>
        </is>
      </c>
      <c r="H432" s="25">
        <f t="array" ref="H432">IF(G432="","",IFERROR(IF(INDEX(Clientes!$D$5:$D$549,MATCH(G432,Clientes!$C$5:$C$549,0))&lt;&gt;"",INDEX(Clientes!$D$5:$D$549,MATCH(G432,Clientes!$C$5:$C$549,0)),TRIM(INDEX(Clientes!$E$5:$E$549,MATCH(G432,Clientes!$C$5:$C$549,0))&amp;" "&amp;INDEX(Clientes!$F$5:$F$549,MATCH(G432,Clientes!$C$5:$C$549,0)))),"NO EXISTE en Clientes"))</f>
        <v/>
      </c>
      <c r="I432" s="17" t="inlineStr">
        <is>
          <t>CLIENTE EXTRAVIADO</t>
        </is>
      </c>
      <c r="J432" s="17" t="n"/>
      <c r="K432" s="26" t="inlineStr">
        <is>
          <t>20338570041</t>
        </is>
      </c>
      <c r="L432" s="25">
        <f t="array" ref="L432">IF(K432="","",IFERROR(IF(INDEX(Clientes!$D$5:$D$549,MATCH(K432,Clientes!$C$5:$C$549,0))&lt;&gt;"",INDEX(Clientes!$D$5:$D$549,MATCH(K432,Clientes!$C$5:$C$549,0)),TRIM(INDEX(Clientes!$E$5:$E$549,MATCH(K432,Clientes!$C$5:$C$549,0))&amp;" "&amp;INDEX(Clientes!$F$5:$F$549,MATCH(K432,Clientes!$C$5:$C$549,0)))),"NO EXISTE en Clientes"))</f>
        <v/>
      </c>
      <c r="M432" s="17" t="n"/>
      <c r="N432" s="17" t="n"/>
      <c r="O432" s="42" t="n"/>
      <c r="P432" s="39">
        <f>IF(O432&lt;&gt;"",DATE(YEAR(O432)+5,MONTH(O432),1),IF(AND(M432&lt;&gt;"",N432&lt;&gt;""),DATE(M432+5,N432,1),""))</f>
        <v/>
      </c>
      <c r="Q432" s="23" t="n"/>
      <c r="R432" s="17" t="n"/>
      <c r="S432" s="17" t="n"/>
      <c r="T432" s="17" t="n"/>
      <c r="U432" s="17" t="n"/>
      <c r="V432" s="23" t="n"/>
      <c r="W432" s="17" t="n"/>
      <c r="X432" s="17" t="n"/>
      <c r="Y432" s="28">
        <f>IF(B432&lt;&gt;"OK","","SELECT bal_crear_balon(p_codigo_balon =&gt; "&amp;IF(TRIM(C432&amp;"")="","NULL","'"&amp;SUBSTITUTE(TRIM(C432),"'","''")&amp;"'")&amp;", p_id_tipo_balon =&gt; "&amp;"(SELECT id FROM bal_tipo_balon WHERE upper(nombre) = upper('"&amp;SUBSTITUTE(TRIM(D432),"'","''")&amp;"') AND estado = 1 LIMIT 1)"&amp;", p_id_producto_gas =&gt; "&amp;"(SELECT id FROM pro_producto WHERE es_gas = TRUE AND upper(nombre) = upper('"&amp;SUBSTITUTE(TRIM(E432),"'","''")&amp;"') AND estado = 1 LIMIT 1)"&amp;", p_id_propietario =&gt; "&amp;IF(TRIM(F432&amp;"")="","NULL","(SELECT lo.id FROM gen_lista_opciones lo JOIN gen_lista l ON l.id = lo.id_lista WHERE l.nombre = 'PropietarioBalon' AND upper(lo.nombre) = upper('"&amp;SUBSTITUTE(TRIM(F432),"'","''")&amp;"') AND lo.estado = 1 LIMIT 1)")&amp;", p_id_cliente_propietario =&gt; "&amp;IF(F432="CLIENTE",IF(TRIM(G432&amp;"")="","NULL","(SELECT id FROM cli_clientes WHERE numero_documento = '"&amp;SUBSTITUTE(TRIM(G432),"'","''")&amp;"' AND estado = 1 LIMIT 1)"),"NULL")&amp;", p_id_planta =&gt; "&amp;IF(F432="PLANTA",IF(TRIM(G432&amp;"")="","NULL","(SELECT id FROM cli_clientes WHERE numero_documento = '"&amp;SUBSTITUTE(TRIM(G432),"'","''")&amp;"'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"&amp;IF(TRIM(J432&amp;"")="","NULL","(SELECT id FROM gen_almacen WHERE upper(nombre) = upper('"&amp;SUBSTITUTE(TRIM(J432),"'","''")&amp;"') AND estado = 1 LIMIT 1)")&amp;", p_id_cliente_ubicacion =&gt; "&amp;IF(TRIM(K432&amp;"")="","NULL","(SELECT id FROM cli_clientes WHERE numero_documento = '"&amp;SUBSTITUTE(TRIM(K432),"'","''")&amp;"' AND estado = 1 LIMIT 1)")&amp;", p_id_referencia =&gt; "&amp;IF(TRIM(J432&amp;"")&lt;&gt;"","(SELECT lo.id FROM gen_lista_opciones lo JOIN gen_lista l ON l.id = lo.id_lista WHERE l.nombre = 'ReferenciaCilindro' AND upper(lo.nombre) = 'ALMACEN' AND lo.estado = 1 LIMIT 1)",IF(TRIM(K432&amp;"")&lt;&gt;"","(SELECT lo.id FROM gen_lista_opciones lo JOIN gen_lista l ON l.id = lo.id_lista WHERE l.nombre = 'ReferenciaCilindro' AND upper(lo.nombre) = 'CLIENTE' AND lo.estado = 1 LIMIT 1)","NULL"))&amp;", p_anio_fabricacion =&gt; "&amp;IF(M432&amp;""="","NULL::smallint",M432&amp;"::smallint")&amp;", p_mes_fabricacion =&gt; "&amp;IF(N432&amp;""="","NULL::smallint",N432&amp;"::smallint")&amp;", p_fecha_ultima_prueba_hidrostatica =&gt; "&amp;IF(O432&amp;""="","NULL","'"&amp;YEAR(O432)&amp;"-"&amp;TEXT(MONTH(O432),"00")&amp;"-"&amp;TEXT(DAY(O432),"00")&amp;"'")&amp;", p_numero_serie =&gt; "&amp;IF(TRIM(Q432&amp;"")="","NULL","'"&amp;SUBSTITUTE(TRIM(Q432),"'","''")&amp;"'")&amp;", p_id_marca_cilindro =&gt; "&amp;IF(TRIM(R432&amp;"")="","NULL","(SELECT lo.id FROM gen_lista_opciones lo JOIN gen_lista l ON l.id = lo.id_lista WHERE l.nombre = 'MarcaCilindro' AND upper(lo.nombre) = upper('"&amp;SUBSTITUTE(TRIM(R432),"'","''")&amp;"') AND lo.estado = 1 LIMIT 1)")&amp;", p_id_organo_inspector =&gt; "&amp;IF(TRIM(S432&amp;"")="","NULL","(SELECT lo.id FROM gen_lista_opciones lo JOIN gen_lista l ON l.id = lo.id_lista WHERE l.nombre = 'OrganoInspectorCilindro' AND upper(lo.nombre) = upper('"&amp;SUBSTITUTE(TRIM(S432),"'","''")&amp;"') AND lo.estado = 1 LIMIT 1)")&amp;", p_organo_inspector_no_aplica =&gt; "&amp;IF(S432="NO_APLICA","TRUE","FALSE")&amp;", p_presion_actual =&gt; "&amp;IF(T432&amp;""="","NULL",SUBSTITUTE(T432&amp;"",",","."))&amp;", p_tipo_valvula =&gt; "&amp;IF(TRIM(U432&amp;"")="","NULL","'"&amp;SUBSTITUTE(TRIM(U432),"'","''")&amp;"'")&amp;", p_libro_cilindro =&gt; "&amp;IF(TRIM(V432&amp;"")="","NULL","'"&amp;SUBSTITUTE(TRIM(V432),"'","''")&amp;"'")&amp;", p_pagina_libro =&gt; "&amp;IF(W432&amp;""="","NULL",SUBSTITUTE(W432&amp;"",",","."))&amp;", p_observacion =&gt; "&amp;IF(TRIM(X432&amp;"")="","NULL","'"&amp;SUBSTITUTE(TRIM(X432),"'","''")&amp;"'")&amp;") AS resultado_balon_"&amp;ROW()&amp;";")</f>
        <v/>
      </c>
    </row>
    <row r="433" ht="15.75" customHeight="1" s="64">
      <c r="A433" s="36" t="inlineStr">
        <is>
          <t>429</t>
        </is>
      </c>
      <c r="B433" s="25">
        <f>IF(AND(C433="",D433="",E433=""),"",IF(C433="","FALTA código balón",IF(D433="","FALTA tipo balón",IF(E433="","FALTA gas",IF(F433="","FALTA propietario",IF(AND(C433&lt;&gt;"",SUMPRODUCT(--($C$5:$C$1200=C433))&gt;1),"CÓDIGO BALÓN DUPLICADO",IF(AND(OR(UPPER(F433)="PLANTA",UPPER(F433)="CLIENTE"),G433=""),"FALTA doc propietario/planta",IF(AND(UPPER(F433)="PLANTA",G433="10175332796"),"PLANTA no puede ser RUC empresa","OK"))))))))</f>
        <v/>
      </c>
      <c r="C433" s="54" t="inlineStr">
        <is>
          <t>GTA048126</t>
        </is>
      </c>
      <c r="D433" s="17" t="inlineStr">
        <is>
          <t>Oxigeno Industrial 3 m³</t>
        </is>
      </c>
      <c r="E433" s="17" t="inlineStr">
        <is>
          <t>OXIGENO INDUSTRIAL</t>
        </is>
      </c>
      <c r="F433" s="17" t="inlineStr">
        <is>
          <t>EMPRESA</t>
        </is>
      </c>
      <c r="G433" s="23" t="inlineStr">
        <is>
          <t>10175332796</t>
        </is>
      </c>
      <c r="H433" s="25">
        <f t="array" ref="H433">IF(G433="","",IFERROR(IF(INDEX(Clientes!$D$5:$D$549,MATCH(G433,Clientes!$C$5:$C$549,0))&lt;&gt;"",INDEX(Clientes!$D$5:$D$549,MATCH(G433,Clientes!$C$5:$C$549,0)),TRIM(INDEX(Clientes!$E$5:$E$549,MATCH(G433,Clientes!$C$5:$C$549,0))&amp;" "&amp;INDEX(Clientes!$F$5:$F$549,MATCH(G433,Clientes!$C$5:$C$549,0)))),"NO EXISTE en Clientes"))</f>
        <v/>
      </c>
      <c r="I433" s="17" t="inlineStr">
        <is>
          <t>CLIENTE EXTRAVIADO</t>
        </is>
      </c>
      <c r="J433" s="17" t="n"/>
      <c r="K433" s="26" t="inlineStr">
        <is>
          <t>20338570041</t>
        </is>
      </c>
      <c r="L433" s="25">
        <f t="array" ref="L433">IF(K433="","",IFERROR(IF(INDEX(Clientes!$D$5:$D$549,MATCH(K433,Clientes!$C$5:$C$549,0))&lt;&gt;"",INDEX(Clientes!$D$5:$D$549,MATCH(K433,Clientes!$C$5:$C$549,0)),TRIM(INDEX(Clientes!$E$5:$E$549,MATCH(K433,Clientes!$C$5:$C$549,0))&amp;" "&amp;INDEX(Clientes!$F$5:$F$549,MATCH(K433,Clientes!$C$5:$C$549,0)))),"NO EXISTE en Clientes"))</f>
        <v/>
      </c>
      <c r="M433" s="17" t="n"/>
      <c r="N433" s="17" t="n"/>
      <c r="O433" s="42" t="n"/>
      <c r="P433" s="39">
        <f>IF(O433&lt;&gt;"",DATE(YEAR(O433)+5,MONTH(O433),1),IF(AND(M433&lt;&gt;"",N433&lt;&gt;""),DATE(M433+5,N433,1),""))</f>
        <v/>
      </c>
      <c r="Q433" s="23" t="n"/>
      <c r="R433" s="17" t="n"/>
      <c r="S433" s="17" t="n"/>
      <c r="T433" s="17" t="n"/>
      <c r="U433" s="17" t="n"/>
      <c r="V433" s="23" t="n"/>
      <c r="W433" s="17" t="n"/>
      <c r="X433" s="17" t="n"/>
      <c r="Y433" s="28">
        <f>IF(B433&lt;&gt;"OK","","SELECT bal_crear_balon(p_codigo_balon =&gt; "&amp;IF(TRIM(C433&amp;"")="","NULL","'"&amp;SUBSTITUTE(TRIM(C433),"'","''")&amp;"'")&amp;", p_id_tipo_balon =&gt; "&amp;"(SELECT id FROM bal_tipo_balon WHERE upper(nombre) = upper('"&amp;SUBSTITUTE(TRIM(D433),"'","''")&amp;"') AND estado = 1 LIMIT 1)"&amp;", p_id_producto_gas =&gt; "&amp;"(SELECT id FROM pro_producto WHERE es_gas = TRUE AND upper(nombre) = upper('"&amp;SUBSTITUTE(TRIM(E433),"'","''")&amp;"') AND estado = 1 LIMIT 1)"&amp;", p_id_propietario =&gt; "&amp;IF(TRIM(F433&amp;"")="","NULL","(SELECT lo.id FROM gen_lista_opciones lo JOIN gen_lista l ON l.id = lo.id_lista WHERE l.nombre = 'PropietarioBalon' AND upper(lo.nombre) = upper('"&amp;SUBSTITUTE(TRIM(F433),"'","''")&amp;"') AND lo.estado = 1 LIMIT 1)")&amp;", p_id_cliente_propietario =&gt; "&amp;IF(F433="CLIENTE",IF(TRIM(G433&amp;"")="","NULL","(SELECT id FROM cli_clientes WHERE numero_documento = '"&amp;SUBSTITUTE(TRIM(G433),"'","''")&amp;"' AND estado = 1 LIMIT 1)"),"NULL")&amp;", p_id_planta =&gt; "&amp;IF(F433="PLANTA",IF(TRIM(G433&amp;"")="","NULL","(SELECT id FROM cli_clientes WHERE numero_documento = '"&amp;SUBSTITUTE(TRIM(G433),"'","''")&amp;"'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"&amp;IF(TRIM(J433&amp;"")="","NULL","(SELECT id FROM gen_almacen WHERE upper(nombre) = upper('"&amp;SUBSTITUTE(TRIM(J433),"'","''")&amp;"') AND estado = 1 LIMIT 1)")&amp;", p_id_cliente_ubicacion =&gt; "&amp;IF(TRIM(K433&amp;"")="","NULL","(SELECT id FROM cli_clientes WHERE numero_documento = '"&amp;SUBSTITUTE(TRIM(K433),"'","''")&amp;"' AND estado = 1 LIMIT 1)")&amp;", p_id_referencia =&gt; "&amp;IF(TRIM(J433&amp;"")&lt;&gt;"","(SELECT lo.id FROM gen_lista_opciones lo JOIN gen_lista l ON l.id = lo.id_lista WHERE l.nombre = 'ReferenciaCilindro' AND upper(lo.nombre) = 'ALMACEN' AND lo.estado = 1 LIMIT 1)",IF(TRIM(K433&amp;"")&lt;&gt;"","(SELECT lo.id FROM gen_lista_opciones lo JOIN gen_lista l ON l.id = lo.id_lista WHERE l.nombre = 'ReferenciaCilindro' AND upper(lo.nombre) = 'CLIENTE' AND lo.estado = 1 LIMIT 1)","NULL"))&amp;", p_anio_fabricacion =&gt; "&amp;IF(M433&amp;""="","NULL::smallint",M433&amp;"::smallint")&amp;", p_mes_fabricacion =&gt; "&amp;IF(N433&amp;""="","NULL::smallint",N433&amp;"::smallint")&amp;", p_fecha_ultima_prueba_hidrostatica =&gt; "&amp;IF(O433&amp;""="","NULL","'"&amp;YEAR(O433)&amp;"-"&amp;TEXT(MONTH(O433),"00")&amp;"-"&amp;TEXT(DAY(O433),"00")&amp;"'")&amp;", p_numero_serie =&gt; "&amp;IF(TRIM(Q433&amp;"")="","NULL","'"&amp;SUBSTITUTE(TRIM(Q433),"'","''")&amp;"'")&amp;", p_id_marca_cilindro =&gt; "&amp;IF(TRIM(R433&amp;"")="","NULL","(SELECT lo.id FROM gen_lista_opciones lo JOIN gen_lista l ON l.id = lo.id_lista WHERE l.nombre = 'MarcaCilindro' AND upper(lo.nombre) = upper('"&amp;SUBSTITUTE(TRIM(R433),"'","''")&amp;"') AND lo.estado = 1 LIMIT 1)")&amp;", p_id_organo_inspector =&gt; "&amp;IF(TRIM(S433&amp;"")="","NULL","(SELECT lo.id FROM gen_lista_opciones lo JOIN gen_lista l ON l.id = lo.id_lista WHERE l.nombre = 'OrganoInspectorCilindro' AND upper(lo.nombre) = upper('"&amp;SUBSTITUTE(TRIM(S433),"'","''")&amp;"') AND lo.estado = 1 LIMIT 1)")&amp;", p_organo_inspector_no_aplica =&gt; "&amp;IF(S433="NO_APLICA","TRUE","FALSE")&amp;", p_presion_actual =&gt; "&amp;IF(T433&amp;""="","NULL",SUBSTITUTE(T433&amp;"",",","."))&amp;", p_tipo_valvula =&gt; "&amp;IF(TRIM(U433&amp;"")="","NULL","'"&amp;SUBSTITUTE(TRIM(U433),"'","''")&amp;"'")&amp;", p_libro_cilindro =&gt; "&amp;IF(TRIM(V433&amp;"")="","NULL","'"&amp;SUBSTITUTE(TRIM(V433),"'","''")&amp;"'")&amp;", p_pagina_libro =&gt; "&amp;IF(W433&amp;""="","NULL",SUBSTITUTE(W433&amp;"",",","."))&amp;", p_observacion =&gt; "&amp;IF(TRIM(X433&amp;"")="","NULL","'"&amp;SUBSTITUTE(TRIM(X433),"'","''")&amp;"'")&amp;") AS resultado_balon_"&amp;ROW()&amp;";")</f>
        <v/>
      </c>
    </row>
    <row r="434" ht="15.75" customHeight="1" s="64">
      <c r="A434" s="36" t="inlineStr">
        <is>
          <t>430</t>
        </is>
      </c>
      <c r="B434" s="25">
        <f>IF(AND(C434="",D434="",E434=""),"",IF(C434="","FALTA código balón",IF(D434="","FALTA tipo balón",IF(E434="","FALTA gas",IF(F434="","FALTA propietario",IF(AND(C434&lt;&gt;"",SUMPRODUCT(--($C$5:$C$1200=C434))&gt;1),"CÓDIGO BALÓN DUPLICADO",IF(AND(OR(UPPER(F434)="PLANTA",UPPER(F434)="CLIENTE"),G434=""),"FALTA doc propietario/planta",IF(AND(UPPER(F434)="PLANTA",G434="10175332796"),"PLANTA no puede ser RUC empresa","OK"))))))))</f>
        <v/>
      </c>
      <c r="C434" s="54" t="inlineStr">
        <is>
          <t>N2611848</t>
        </is>
      </c>
      <c r="D434" s="17" t="inlineStr">
        <is>
          <t>Oxígeno Industrial 6 m³</t>
        </is>
      </c>
      <c r="E434" s="17" t="inlineStr">
        <is>
          <t>OXIGENO INDUSTRIAL</t>
        </is>
      </c>
      <c r="F434" s="17" t="inlineStr">
        <is>
          <t>EMPRESA</t>
        </is>
      </c>
      <c r="G434" s="23" t="inlineStr">
        <is>
          <t>10175332796</t>
        </is>
      </c>
      <c r="H434" s="25">
        <f t="array" ref="H434">IF(G434="","",IFERROR(IF(INDEX(Clientes!$D$5:$D$549,MATCH(G434,Clientes!$C$5:$C$549,0))&lt;&gt;"",INDEX(Clientes!$D$5:$D$549,MATCH(G434,Clientes!$C$5:$C$549,0)),TRIM(INDEX(Clientes!$E$5:$E$549,MATCH(G434,Clientes!$C$5:$C$549,0))&amp;" "&amp;INDEX(Clientes!$F$5:$F$549,MATCH(G434,Clientes!$C$5:$C$549,0)))),"NO EXISTE en Clientes"))</f>
        <v/>
      </c>
      <c r="I434" s="17" t="inlineStr">
        <is>
          <t>EN_RECARGA_EXTERNA</t>
        </is>
      </c>
      <c r="J434" s="17" t="n"/>
      <c r="K434" s="26" t="inlineStr">
        <is>
          <t>20338570041</t>
        </is>
      </c>
      <c r="L434" s="25">
        <f t="array" ref="L434">IF(K434="","",IFERROR(IF(INDEX(Clientes!$D$5:$D$549,MATCH(K434,Clientes!$C$5:$C$549,0))&lt;&gt;"",INDEX(Clientes!$D$5:$D$549,MATCH(K434,Clientes!$C$5:$C$549,0)),TRIM(INDEX(Clientes!$E$5:$E$549,MATCH(K434,Clientes!$C$5:$C$549,0))&amp;" "&amp;INDEX(Clientes!$F$5:$F$549,MATCH(K434,Clientes!$C$5:$C$549,0)))),"NO EXISTE en Clientes"))</f>
        <v/>
      </c>
      <c r="M434" s="17" t="n"/>
      <c r="N434" s="17" t="n"/>
      <c r="O434" s="42" t="n"/>
      <c r="P434" s="39">
        <f>IF(O434&lt;&gt;"",DATE(YEAR(O434)+5,MONTH(O434),1),IF(AND(M434&lt;&gt;"",N434&lt;&gt;""),DATE(M434+5,N434,1),""))</f>
        <v/>
      </c>
      <c r="Q434" s="23" t="n"/>
      <c r="R434" s="17" t="n"/>
      <c r="S434" s="17" t="n"/>
      <c r="T434" s="17" t="n"/>
      <c r="U434" s="17" t="n"/>
      <c r="V434" s="23" t="n"/>
      <c r="W434" s="17" t="n"/>
      <c r="X434" s="17" t="n"/>
      <c r="Y434" s="28">
        <f>IF(B434&lt;&gt;"OK","","SELECT bal_crear_balon(p_codigo_balon =&gt; "&amp;IF(TRIM(C434&amp;"")="","NULL","'"&amp;SUBSTITUTE(TRIM(C434),"'","''")&amp;"'")&amp;", p_id_tipo_balon =&gt; "&amp;"(SELECT id FROM bal_tipo_balon WHERE upper(nombre) = upper('"&amp;SUBSTITUTE(TRIM(D434),"'","''")&amp;"') AND estado = 1 LIMIT 1)"&amp;", p_id_producto_gas =&gt; "&amp;"(SELECT id FROM pro_producto WHERE es_gas = TRUE AND upper(nombre) = upper('"&amp;SUBSTITUTE(TRIM(E434),"'","''")&amp;"') AND estado = 1 LIMIT 1)"&amp;", p_id_propietario =&gt; "&amp;IF(TRIM(F434&amp;"")="","NULL","(SELECT lo.id FROM gen_lista_opciones lo JOIN gen_lista l ON l.id = lo.id_lista WHERE l.nombre = 'PropietarioBalon' AND upper(lo.nombre) = upper('"&amp;SUBSTITUTE(TRIM(F434),"'","''")&amp;"') AND lo.estado = 1 LIMIT 1)")&amp;", p_id_cliente_propietario =&gt; "&amp;IF(F434="CLIENTE",IF(TRIM(G434&amp;"")="","NULL","(SELECT id FROM cli_clientes WHERE numero_documento = '"&amp;SUBSTITUTE(TRIM(G434),"'","''")&amp;"' AND estado = 1 LIMIT 1)"),"NULL")&amp;", p_id_planta =&gt; "&amp;IF(F434="PLANTA",IF(TRIM(G434&amp;"")="","NULL","(SELECT id FROM cli_clientes WHERE numero_documento = '"&amp;SUBSTITUTE(TRIM(G434),"'","''")&amp;"'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"&amp;IF(TRIM(J434&amp;"")="","NULL","(SELECT id FROM gen_almacen WHERE upper(nombre) = upper('"&amp;SUBSTITUTE(TRIM(J434),"'","''")&amp;"') AND estado = 1 LIMIT 1)")&amp;", p_id_cliente_ubicacion =&gt; "&amp;IF(TRIM(K434&amp;"")="","NULL","(SELECT id FROM cli_clientes WHERE numero_documento = '"&amp;SUBSTITUTE(TRIM(K434),"'","''")&amp;"' AND estado = 1 LIMIT 1)")&amp;", p_id_referencia =&gt; "&amp;IF(TRIM(J434&amp;"")&lt;&gt;"","(SELECT lo.id FROM gen_lista_opciones lo JOIN gen_lista l ON l.id = lo.id_lista WHERE l.nombre = 'ReferenciaCilindro' AND upper(lo.nombre) = 'ALMACEN' AND lo.estado = 1 LIMIT 1)",IF(TRIM(K434&amp;"")&lt;&gt;"","(SELECT lo.id FROM gen_lista_opciones lo JOIN gen_lista l ON l.id = lo.id_lista WHERE l.nombre = 'ReferenciaCilindro' AND upper(lo.nombre) = 'CLIENTE' AND lo.estado = 1 LIMIT 1)","NULL"))&amp;", p_anio_fabricacion =&gt; "&amp;IF(M434&amp;""="","NULL::smallint",M434&amp;"::smallint")&amp;", p_mes_fabricacion =&gt; "&amp;IF(N434&amp;""="","NULL::smallint",N434&amp;"::smallint")&amp;", p_fecha_ultima_prueba_hidrostatica =&gt; "&amp;IF(O434&amp;""="","NULL","'"&amp;YEAR(O434)&amp;"-"&amp;TEXT(MONTH(O434),"00")&amp;"-"&amp;TEXT(DAY(O434),"00")&amp;"'")&amp;", p_numero_serie =&gt; "&amp;IF(TRIM(Q434&amp;"")="","NULL","'"&amp;SUBSTITUTE(TRIM(Q434),"'","''")&amp;"'")&amp;", p_id_marca_cilindro =&gt; "&amp;IF(TRIM(R434&amp;"")="","NULL","(SELECT lo.id FROM gen_lista_opciones lo JOIN gen_lista l ON l.id = lo.id_lista WHERE l.nombre = 'MarcaCilindro' AND upper(lo.nombre) = upper('"&amp;SUBSTITUTE(TRIM(R434),"'","''")&amp;"') AND lo.estado = 1 LIMIT 1)")&amp;", p_id_organo_inspector =&gt; "&amp;IF(TRIM(S434&amp;"")="","NULL","(SELECT lo.id FROM gen_lista_opciones lo JOIN gen_lista l ON l.id = lo.id_lista WHERE l.nombre = 'OrganoInspectorCilindro' AND upper(lo.nombre) = upper('"&amp;SUBSTITUTE(TRIM(S434),"'","''")&amp;"') AND lo.estado = 1 LIMIT 1)")&amp;", p_organo_inspector_no_aplica =&gt; "&amp;IF(S434="NO_APLICA","TRUE","FALSE")&amp;", p_presion_actual =&gt; "&amp;IF(T434&amp;""="","NULL",SUBSTITUTE(T434&amp;"",",","."))&amp;", p_tipo_valvula =&gt; "&amp;IF(TRIM(U434&amp;"")="","NULL","'"&amp;SUBSTITUTE(TRIM(U434),"'","''")&amp;"'")&amp;", p_libro_cilindro =&gt; "&amp;IF(TRIM(V434&amp;"")="","NULL","'"&amp;SUBSTITUTE(TRIM(V434),"'","''")&amp;"'")&amp;", p_pagina_libro =&gt; "&amp;IF(W434&amp;""="","NULL",SUBSTITUTE(W434&amp;"",",","."))&amp;", p_observacion =&gt; "&amp;IF(TRIM(X434&amp;"")="","NULL","'"&amp;SUBSTITUTE(TRIM(X434),"'","''")&amp;"'")&amp;") AS resultado_balon_"&amp;ROW()&amp;";")</f>
        <v/>
      </c>
    </row>
    <row r="435" ht="15.75" customHeight="1" s="64">
      <c r="A435" s="36" t="inlineStr">
        <is>
          <t>431</t>
        </is>
      </c>
      <c r="B435" s="25">
        <f>IF(AND(C435="",D435="",E435=""),"",IF(C435="","FALTA código balón",IF(D435="","FALTA tipo balón",IF(E435="","FALTA gas",IF(F435="","FALTA propietario",IF(AND(C435&lt;&gt;"",SUMPRODUCT(--($C$5:$C$1200=C435))&gt;1),"CÓDIGO BALÓN DUPLICADO",IF(AND(OR(UPPER(F435)="PLANTA",UPPER(F435)="CLIENTE"),G435=""),"FALTA doc propietario/planta",IF(AND(UPPER(F435)="PLANTA",G435="10175332796"),"PLANTA no puede ser RUC empresa","OK"))))))))</f>
        <v/>
      </c>
      <c r="C435" s="54" t="inlineStr">
        <is>
          <t>1162471</t>
        </is>
      </c>
      <c r="D435" s="17" t="inlineStr">
        <is>
          <t>Oxígeno Industrial 6 m³</t>
        </is>
      </c>
      <c r="E435" s="17" t="inlineStr">
        <is>
          <t>OXIGENO INDUSTRIAL</t>
        </is>
      </c>
      <c r="F435" s="17" t="inlineStr">
        <is>
          <t>EMPRESA</t>
        </is>
      </c>
      <c r="G435" s="23" t="inlineStr">
        <is>
          <t>10175332796</t>
        </is>
      </c>
      <c r="H435" s="25">
        <f t="array" ref="H435">IF(G435="","",IFERROR(IF(INDEX(Clientes!$D$5:$D$549,MATCH(G435,Clientes!$C$5:$C$549,0))&lt;&gt;"",INDEX(Clientes!$D$5:$D$549,MATCH(G435,Clientes!$C$5:$C$549,0)),TRIM(INDEX(Clientes!$E$5:$E$549,MATCH(G435,Clientes!$C$5:$C$549,0))&amp;" "&amp;INDEX(Clientes!$F$5:$F$549,MATCH(G435,Clientes!$C$5:$C$549,0)))),"NO EXISTE en Clientes"))</f>
        <v/>
      </c>
      <c r="I435" s="17" t="inlineStr">
        <is>
          <t>EN_RECARGA_EXTERNA</t>
        </is>
      </c>
      <c r="J435" s="17" t="n"/>
      <c r="K435" s="26" t="inlineStr">
        <is>
          <t>20338570041</t>
        </is>
      </c>
      <c r="L435" s="25">
        <f t="array" ref="L435">IF(K435="","",IFERROR(IF(INDEX(Clientes!$D$5:$D$549,MATCH(K435,Clientes!$C$5:$C$549,0))&lt;&gt;"",INDEX(Clientes!$D$5:$D$549,MATCH(K435,Clientes!$C$5:$C$549,0)),TRIM(INDEX(Clientes!$E$5:$E$549,MATCH(K435,Clientes!$C$5:$C$549,0))&amp;" "&amp;INDEX(Clientes!$F$5:$F$549,MATCH(K435,Clientes!$C$5:$C$549,0)))),"NO EXISTE en Clientes"))</f>
        <v/>
      </c>
      <c r="M435" s="17" t="n"/>
      <c r="N435" s="17" t="n"/>
      <c r="O435" s="42" t="n"/>
      <c r="P435" s="39">
        <f>IF(O435&lt;&gt;"",DATE(YEAR(O435)+5,MONTH(O435),1),IF(AND(M435&lt;&gt;"",N435&lt;&gt;""),DATE(M435+5,N435,1),""))</f>
        <v/>
      </c>
      <c r="Q435" s="23" t="n"/>
      <c r="R435" s="17" t="n"/>
      <c r="S435" s="17" t="n"/>
      <c r="T435" s="17" t="n"/>
      <c r="U435" s="17" t="n"/>
      <c r="V435" s="23" t="n"/>
      <c r="W435" s="17" t="n"/>
      <c r="X435" s="17" t="n"/>
      <c r="Y435" s="28">
        <f>IF(B435&lt;&gt;"OK","","SELECT bal_crear_balon(p_codigo_balon =&gt; "&amp;IF(TRIM(C435&amp;"")="","NULL","'"&amp;SUBSTITUTE(TRIM(C435),"'","''")&amp;"'")&amp;", p_id_tipo_balon =&gt; "&amp;"(SELECT id FROM bal_tipo_balon WHERE upper(nombre) = upper('"&amp;SUBSTITUTE(TRIM(D435),"'","''")&amp;"') AND estado = 1 LIMIT 1)"&amp;", p_id_producto_gas =&gt; "&amp;"(SELECT id FROM pro_producto WHERE es_gas = TRUE AND upper(nombre) = upper('"&amp;SUBSTITUTE(TRIM(E435),"'","''")&amp;"') AND estado = 1 LIMIT 1)"&amp;", p_id_propietario =&gt; "&amp;IF(TRIM(F435&amp;"")="","NULL","(SELECT lo.id FROM gen_lista_opciones lo JOIN gen_lista l ON l.id = lo.id_lista WHERE l.nombre = 'PropietarioBalon' AND upper(lo.nombre) = upper('"&amp;SUBSTITUTE(TRIM(F435),"'","''")&amp;"') AND lo.estado = 1 LIMIT 1)")&amp;", p_id_cliente_propietario =&gt; "&amp;IF(F435="CLIENTE",IF(TRIM(G435&amp;"")="","NULL","(SELECT id FROM cli_clientes WHERE numero_documento = '"&amp;SUBSTITUTE(TRIM(G435),"'","''")&amp;"' AND estado = 1 LIMIT 1)"),"NULL")&amp;", p_id_planta =&gt; "&amp;IF(F435="PLANTA",IF(TRIM(G435&amp;"")="","NULL","(SELECT id FROM cli_clientes WHERE numero_documento = '"&amp;SUBSTITUTE(TRIM(G435),"'","''")&amp;"'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"&amp;IF(TRIM(J435&amp;"")="","NULL","(SELECT id FROM gen_almacen WHERE upper(nombre) = upper('"&amp;SUBSTITUTE(TRIM(J435),"'","''")&amp;"') AND estado = 1 LIMIT 1)")&amp;", p_id_cliente_ubicacion =&gt; "&amp;IF(TRIM(K435&amp;"")="","NULL","(SELECT id FROM cli_clientes WHERE numero_documento = '"&amp;SUBSTITUTE(TRIM(K435),"'","''")&amp;"' AND estado = 1 LIMIT 1)")&amp;", p_id_referencia =&gt; "&amp;IF(TRIM(J435&amp;"")&lt;&gt;"","(SELECT lo.id FROM gen_lista_opciones lo JOIN gen_lista l ON l.id = lo.id_lista WHERE l.nombre = 'ReferenciaCilindro' AND upper(lo.nombre) = 'ALMACEN' AND lo.estado = 1 LIMIT 1)",IF(TRIM(K435&amp;"")&lt;&gt;"","(SELECT lo.id FROM gen_lista_opciones lo JOIN gen_lista l ON l.id = lo.id_lista WHERE l.nombre = 'ReferenciaCilindro' AND upper(lo.nombre) = 'CLIENTE' AND lo.estado = 1 LIMIT 1)","NULL"))&amp;", p_anio_fabricacion =&gt; "&amp;IF(M435&amp;""="","NULL::smallint",M435&amp;"::smallint")&amp;", p_mes_fabricacion =&gt; "&amp;IF(N435&amp;""="","NULL::smallint",N435&amp;"::smallint")&amp;", p_fecha_ultima_prueba_hidrostatica =&gt; "&amp;IF(O435&amp;""="","NULL","'"&amp;YEAR(O435)&amp;"-"&amp;TEXT(MONTH(O435),"00")&amp;"-"&amp;TEXT(DAY(O435),"00")&amp;"'")&amp;", p_numero_serie =&gt; "&amp;IF(TRIM(Q435&amp;"")="","NULL","'"&amp;SUBSTITUTE(TRIM(Q435),"'","''")&amp;"'")&amp;", p_id_marca_cilindro =&gt; "&amp;IF(TRIM(R435&amp;"")="","NULL","(SELECT lo.id FROM gen_lista_opciones lo JOIN gen_lista l ON l.id = lo.id_lista WHERE l.nombre = 'MarcaCilindro' AND upper(lo.nombre) = upper('"&amp;SUBSTITUTE(TRIM(R435),"'","''")&amp;"') AND lo.estado = 1 LIMIT 1)")&amp;", p_id_organo_inspector =&gt; "&amp;IF(TRIM(S435&amp;"")="","NULL","(SELECT lo.id FROM gen_lista_opciones lo JOIN gen_lista l ON l.id = lo.id_lista WHERE l.nombre = 'OrganoInspectorCilindro' AND upper(lo.nombre) = upper('"&amp;SUBSTITUTE(TRIM(S435),"'","''")&amp;"') AND lo.estado = 1 LIMIT 1)")&amp;", p_organo_inspector_no_aplica =&gt; "&amp;IF(S435="NO_APLICA","TRUE","FALSE")&amp;", p_presion_actual =&gt; "&amp;IF(T435&amp;""="","NULL",SUBSTITUTE(T435&amp;"",",","."))&amp;", p_tipo_valvula =&gt; "&amp;IF(TRIM(U435&amp;"")="","NULL","'"&amp;SUBSTITUTE(TRIM(U435),"'","''")&amp;"'")&amp;", p_libro_cilindro =&gt; "&amp;IF(TRIM(V435&amp;"")="","NULL","'"&amp;SUBSTITUTE(TRIM(V435),"'","''")&amp;"'")&amp;", p_pagina_libro =&gt; "&amp;IF(W435&amp;""="","NULL",SUBSTITUTE(W435&amp;"",",","."))&amp;", p_observacion =&gt; "&amp;IF(TRIM(X435&amp;"")="","NULL","'"&amp;SUBSTITUTE(TRIM(X435),"'","''")&amp;"'")&amp;") AS resultado_balon_"&amp;ROW()&amp;";")</f>
        <v/>
      </c>
    </row>
    <row r="436" ht="15.75" customHeight="1" s="64">
      <c r="A436" s="36" t="inlineStr">
        <is>
          <t>432</t>
        </is>
      </c>
      <c r="B436" s="25">
        <f>IF(AND(C436="",D436="",E436=""),"",IF(C436="","FALTA código balón",IF(D436="","FALTA tipo balón",IF(E436="","FALTA gas",IF(F436="","FALTA propietario",IF(AND(C436&lt;&gt;"",SUMPRODUCT(--($C$5:$C$1200=C436))&gt;1),"CÓDIGO BALÓN DUPLICADO",IF(AND(OR(UPPER(F436)="PLANTA",UPPER(F436)="CLIENTE"),G436=""),"FALTA doc propietario/planta",IF(AND(UPPER(F436)="PLANTA",G436="10175332796"),"PLANTA no puede ser RUC empresa","OK"))))))))</f>
        <v/>
      </c>
      <c r="C436" s="54" t="inlineStr">
        <is>
          <t>19S207088</t>
        </is>
      </c>
      <c r="D436" s="17" t="inlineStr">
        <is>
          <t>Oxígeno Industrial 6 m³</t>
        </is>
      </c>
      <c r="E436" s="17" t="inlineStr">
        <is>
          <t>OXIGENO INDUSTRIAL</t>
        </is>
      </c>
      <c r="F436" s="17" t="inlineStr">
        <is>
          <t>EMPRESA</t>
        </is>
      </c>
      <c r="G436" s="23" t="inlineStr">
        <is>
          <t>10175332796</t>
        </is>
      </c>
      <c r="H436" s="25">
        <f t="array" ref="H436">IF(G436="","",IFERROR(IF(INDEX(Clientes!$D$5:$D$549,MATCH(G436,Clientes!$C$5:$C$549,0))&lt;&gt;"",INDEX(Clientes!$D$5:$D$549,MATCH(G436,Clientes!$C$5:$C$549,0)),TRIM(INDEX(Clientes!$E$5:$E$549,MATCH(G436,Clientes!$C$5:$C$549,0))&amp;" "&amp;INDEX(Clientes!$F$5:$F$549,MATCH(G436,Clientes!$C$5:$C$549,0)))),"NO EXISTE en Clientes"))</f>
        <v/>
      </c>
      <c r="I436" s="17" t="inlineStr">
        <is>
          <t>EN_PODER_CLIENTE</t>
        </is>
      </c>
      <c r="J436" s="17" t="n"/>
      <c r="K436" s="23" t="inlineStr">
        <is>
          <t>47487670</t>
        </is>
      </c>
      <c r="L436" s="25">
        <f t="array" ref="L436">IF(K436="","",IFERROR(IF(INDEX(Clientes!$D$5:$D$549,MATCH(K436,Clientes!$C$5:$C$549,0))&lt;&gt;"",INDEX(Clientes!$D$5:$D$549,MATCH(K436,Clientes!$C$5:$C$549,0)),TRIM(INDEX(Clientes!$E$5:$E$549,MATCH(K436,Clientes!$C$5:$C$549,0))&amp;" "&amp;INDEX(Clientes!$F$5:$F$549,MATCH(K436,Clientes!$C$5:$C$549,0)))),"NO EXISTE en Clientes"))</f>
        <v/>
      </c>
      <c r="M436" s="17" t="n"/>
      <c r="N436" s="17" t="n"/>
      <c r="O436" s="42" t="n"/>
      <c r="P436" s="39">
        <f>IF(O436&lt;&gt;"",DATE(YEAR(O436)+5,MONTH(O436),1),IF(AND(M436&lt;&gt;"",N436&lt;&gt;""),DATE(M436+5,N436,1),""))</f>
        <v/>
      </c>
      <c r="Q436" s="23" t="n"/>
      <c r="R436" s="17" t="n"/>
      <c r="S436" s="17" t="n"/>
      <c r="T436" s="17" t="n"/>
      <c r="U436" s="17" t="n"/>
      <c r="V436" s="23" t="n"/>
      <c r="W436" s="17" t="n"/>
      <c r="X436" s="17" t="n"/>
      <c r="Y436" s="28">
        <f>IF(B436&lt;&gt;"OK","","SELECT bal_crear_balon(p_codigo_balon =&gt; "&amp;IF(TRIM(C436&amp;"")="","NULL","'"&amp;SUBSTITUTE(TRIM(C436),"'","''")&amp;"'")&amp;", p_id_tipo_balon =&gt; "&amp;"(SELECT id FROM bal_tipo_balon WHERE upper(nombre) = upper('"&amp;SUBSTITUTE(TRIM(D436),"'","''")&amp;"') AND estado = 1 LIMIT 1)"&amp;", p_id_producto_gas =&gt; "&amp;"(SELECT id FROM pro_producto WHERE es_gas = TRUE AND upper(nombre) = upper('"&amp;SUBSTITUTE(TRIM(E436),"'","''")&amp;"') AND estado = 1 LIMIT 1)"&amp;", p_id_propietario =&gt; "&amp;IF(TRIM(F436&amp;"")="","NULL","(SELECT lo.id FROM gen_lista_opciones lo JOIN gen_lista l ON l.id = lo.id_lista WHERE l.nombre = 'PropietarioBalon' AND upper(lo.nombre) = upper('"&amp;SUBSTITUTE(TRIM(F436),"'","''")&amp;"') AND lo.estado = 1 LIMIT 1)")&amp;", p_id_cliente_propietario =&gt; "&amp;IF(F436="CLIENTE",IF(TRIM(G436&amp;"")="","NULL","(SELECT id FROM cli_clientes WHERE numero_documento = '"&amp;SUBSTITUTE(TRIM(G436),"'","''")&amp;"' AND estado = 1 LIMIT 1)"),"NULL")&amp;", p_id_planta =&gt; "&amp;IF(F436="PLANTA",IF(TRIM(G436&amp;"")="","NULL","(SELECT id FROM cli_clientes WHERE numero_documento = '"&amp;SUBSTITUTE(TRIM(G436),"'","''")&amp;"'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"&amp;IF(TRIM(J436&amp;"")="","NULL","(SELECT id FROM gen_almacen WHERE upper(nombre) = upper('"&amp;SUBSTITUTE(TRIM(J436),"'","''")&amp;"') AND estado = 1 LIMIT 1)")&amp;", p_id_cliente_ubicacion =&gt; "&amp;IF(TRIM(K436&amp;"")="","NULL","(SELECT id FROM cli_clientes WHERE numero_documento = '"&amp;SUBSTITUTE(TRIM(K436),"'","''")&amp;"' AND estado = 1 LIMIT 1)")&amp;", p_id_referencia =&gt; "&amp;IF(TRIM(J436&amp;"")&lt;&gt;"","(SELECT lo.id FROM gen_lista_opciones lo JOIN gen_lista l ON l.id = lo.id_lista WHERE l.nombre = 'ReferenciaCilindro' AND upper(lo.nombre) = 'ALMACEN' AND lo.estado = 1 LIMIT 1)",IF(TRIM(K436&amp;"")&lt;&gt;"","(SELECT lo.id FROM gen_lista_opciones lo JOIN gen_lista l ON l.id = lo.id_lista WHERE l.nombre = 'ReferenciaCilindro' AND upper(lo.nombre) = 'CLIENTE' AND lo.estado = 1 LIMIT 1)","NULL"))&amp;", p_anio_fabricacion =&gt; "&amp;IF(M436&amp;""="","NULL::smallint",M436&amp;"::smallint")&amp;", p_mes_fabricacion =&gt; "&amp;IF(N436&amp;""="","NULL::smallint",N436&amp;"::smallint")&amp;", p_fecha_ultima_prueba_hidrostatica =&gt; "&amp;IF(O436&amp;""="","NULL","'"&amp;YEAR(O436)&amp;"-"&amp;TEXT(MONTH(O436),"00")&amp;"-"&amp;TEXT(DAY(O436),"00")&amp;"'")&amp;", p_numero_serie =&gt; "&amp;IF(TRIM(Q436&amp;"")="","NULL","'"&amp;SUBSTITUTE(TRIM(Q436),"'","''")&amp;"'")&amp;", p_id_marca_cilindro =&gt; "&amp;IF(TRIM(R436&amp;"")="","NULL","(SELECT lo.id FROM gen_lista_opciones lo JOIN gen_lista l ON l.id = lo.id_lista WHERE l.nombre = 'MarcaCilindro' AND upper(lo.nombre) = upper('"&amp;SUBSTITUTE(TRIM(R436),"'","''")&amp;"') AND lo.estado = 1 LIMIT 1)")&amp;", p_id_organo_inspector =&gt; "&amp;IF(TRIM(S436&amp;"")="","NULL","(SELECT lo.id FROM gen_lista_opciones lo JOIN gen_lista l ON l.id = lo.id_lista WHERE l.nombre = 'OrganoInspectorCilindro' AND upper(lo.nombre) = upper('"&amp;SUBSTITUTE(TRIM(S436),"'","''")&amp;"') AND lo.estado = 1 LIMIT 1)")&amp;", p_organo_inspector_no_aplica =&gt; "&amp;IF(S436="NO_APLICA","TRUE","FALSE")&amp;", p_presion_actual =&gt; "&amp;IF(T436&amp;""="","NULL",SUBSTITUTE(T436&amp;"",",","."))&amp;", p_tipo_valvula =&gt; "&amp;IF(TRIM(U436&amp;"")="","NULL","'"&amp;SUBSTITUTE(TRIM(U436),"'","''")&amp;"'")&amp;", p_libro_cilindro =&gt; "&amp;IF(TRIM(V436&amp;"")="","NULL","'"&amp;SUBSTITUTE(TRIM(V436),"'","''")&amp;"'")&amp;", p_pagina_libro =&gt; "&amp;IF(W436&amp;""="","NULL",SUBSTITUTE(W436&amp;"",",","."))&amp;", p_observacion =&gt; "&amp;IF(TRIM(X436&amp;"")="","NULL","'"&amp;SUBSTITUTE(TRIM(X436),"'","''")&amp;"'")&amp;") AS resultado_balon_"&amp;ROW()&amp;";")</f>
        <v/>
      </c>
    </row>
    <row r="437" ht="15.75" customHeight="1" s="64">
      <c r="A437" s="36" t="inlineStr">
        <is>
          <t>433</t>
        </is>
      </c>
      <c r="B437" s="25">
        <f>IF(AND(C437="",D437="",E437=""),"",IF(C437="","FALTA código balón",IF(D437="","FALTA tipo balón",IF(E437="","FALTA gas",IF(F437="","FALTA propietario",IF(AND(C437&lt;&gt;"",SUMPRODUCT(--($C$5:$C$1200=C437))&gt;1),"CÓDIGO BALÓN DUPLICADO",IF(AND(OR(UPPER(F437)="PLANTA",UPPER(F437)="CLIENTE"),G437=""),"FALTA doc propietario/planta",IF(AND(UPPER(F437)="PLANTA",G437="10175332796"),"PLANTA no puede ser RUC empresa","OK"))))))))</f>
        <v/>
      </c>
      <c r="C437" s="54" t="inlineStr">
        <is>
          <t>15660</t>
        </is>
      </c>
      <c r="D437" s="17" t="inlineStr">
        <is>
          <t>Oxigeno Industrial 3 m³</t>
        </is>
      </c>
      <c r="E437" s="17" t="inlineStr">
        <is>
          <t>OXIGENO INDUSTRIAL</t>
        </is>
      </c>
      <c r="F437" s="17" t="inlineStr">
        <is>
          <t>EMPRESA</t>
        </is>
      </c>
      <c r="G437" s="23" t="inlineStr">
        <is>
          <t>10175332796</t>
        </is>
      </c>
      <c r="H437" s="25">
        <f t="array" ref="H437">IF(G437="","",IFERROR(IF(INDEX(Clientes!$D$5:$D$549,MATCH(G437,Clientes!$C$5:$C$549,0))&lt;&gt;"",INDEX(Clientes!$D$5:$D$549,MATCH(G437,Clientes!$C$5:$C$549,0)),TRIM(INDEX(Clientes!$E$5:$E$549,MATCH(G437,Clientes!$C$5:$C$549,0))&amp;" "&amp;INDEX(Clientes!$F$5:$F$549,MATCH(G437,Clientes!$C$5:$C$549,0)))),"NO EXISTE en Clientes"))</f>
        <v/>
      </c>
      <c r="I437" s="17" t="inlineStr">
        <is>
          <t>EN_PODER_CLIENTE</t>
        </is>
      </c>
      <c r="J437" s="17" t="n"/>
      <c r="K437" s="23" t="inlineStr">
        <is>
          <t>000054</t>
        </is>
      </c>
      <c r="L437" s="25">
        <f t="array" ref="L437">IF(K437="","",IFERROR(IF(INDEX(Clientes!$D$5:$D$549,MATCH(K437,Clientes!$C$5:$C$549,0))&lt;&gt;"",INDEX(Clientes!$D$5:$D$549,MATCH(K437,Clientes!$C$5:$C$549,0)),TRIM(INDEX(Clientes!$E$5:$E$549,MATCH(K437,Clientes!$C$5:$C$549,0))&amp;" "&amp;INDEX(Clientes!$F$5:$F$549,MATCH(K437,Clientes!$C$5:$C$549,0)))),"NO EXISTE en Clientes"))</f>
        <v/>
      </c>
      <c r="M437" s="17" t="n"/>
      <c r="N437" s="17" t="n"/>
      <c r="O437" s="42" t="n"/>
      <c r="P437" s="39">
        <f>IF(O437&lt;&gt;"",DATE(YEAR(O437)+5,MONTH(O437),1),IF(AND(M437&lt;&gt;"",N437&lt;&gt;""),DATE(M437+5,N437,1),""))</f>
        <v/>
      </c>
      <c r="Q437" s="23" t="n"/>
      <c r="R437" s="17" t="n"/>
      <c r="S437" s="17" t="n"/>
      <c r="T437" s="17" t="n"/>
      <c r="U437" s="17" t="n"/>
      <c r="V437" s="23" t="n"/>
      <c r="W437" s="17" t="n"/>
      <c r="X437" s="17" t="n"/>
      <c r="Y437" s="28">
        <f>IF(B437&lt;&gt;"OK","","SELECT bal_crear_balon(p_codigo_balon =&gt; "&amp;IF(TRIM(C437&amp;"")="","NULL","'"&amp;SUBSTITUTE(TRIM(C437),"'","''")&amp;"'")&amp;", p_id_tipo_balon =&gt; "&amp;"(SELECT id FROM bal_tipo_balon WHERE upper(nombre) = upper('"&amp;SUBSTITUTE(TRIM(D437),"'","''")&amp;"') AND estado = 1 LIMIT 1)"&amp;", p_id_producto_gas =&gt; "&amp;"(SELECT id FROM pro_producto WHERE es_gas = TRUE AND upper(nombre) = upper('"&amp;SUBSTITUTE(TRIM(E437),"'","''")&amp;"') AND estado = 1 LIMIT 1)"&amp;", p_id_propietario =&gt; "&amp;IF(TRIM(F437&amp;"")="","NULL","(SELECT lo.id FROM gen_lista_opciones lo JOIN gen_lista l ON l.id = lo.id_lista WHERE l.nombre = 'PropietarioBalon' AND upper(lo.nombre) = upper('"&amp;SUBSTITUTE(TRIM(F437),"'","''")&amp;"') AND lo.estado = 1 LIMIT 1)")&amp;", p_id_cliente_propietario =&gt; "&amp;IF(F437="CLIENTE",IF(TRIM(G437&amp;"")="","NULL","(SELECT id FROM cli_clientes WHERE numero_documento = '"&amp;SUBSTITUTE(TRIM(G437),"'","''")&amp;"' AND estado = 1 LIMIT 1)"),"NULL")&amp;", p_id_planta =&gt; "&amp;IF(F437="PLANTA",IF(TRIM(G437&amp;"")="","NULL","(SELECT id FROM cli_clientes WHERE numero_documento = '"&amp;SUBSTITUTE(TRIM(G437),"'","''")&amp;"'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"&amp;IF(TRIM(J437&amp;"")="","NULL","(SELECT id FROM gen_almacen WHERE upper(nombre) = upper('"&amp;SUBSTITUTE(TRIM(J437),"'","''")&amp;"') AND estado = 1 LIMIT 1)")&amp;", p_id_cliente_ubicacion =&gt; "&amp;IF(TRIM(K437&amp;"")="","NULL","(SELECT id FROM cli_clientes WHERE numero_documento = '"&amp;SUBSTITUTE(TRIM(K437),"'","''")&amp;"' AND estado = 1 LIMIT 1)")&amp;", p_id_referencia =&gt; "&amp;IF(TRIM(J437&amp;"")&lt;&gt;"","(SELECT lo.id FROM gen_lista_opciones lo JOIN gen_lista l ON l.id = lo.id_lista WHERE l.nombre = 'ReferenciaCilindro' AND upper(lo.nombre) = 'ALMACEN' AND lo.estado = 1 LIMIT 1)",IF(TRIM(K437&amp;"")&lt;&gt;"","(SELECT lo.id FROM gen_lista_opciones lo JOIN gen_lista l ON l.id = lo.id_lista WHERE l.nombre = 'ReferenciaCilindro' AND upper(lo.nombre) = 'CLIENTE' AND lo.estado = 1 LIMIT 1)","NULL"))&amp;", p_anio_fabricacion =&gt; "&amp;IF(M437&amp;""="","NULL::smallint",M437&amp;"::smallint")&amp;", p_mes_fabricacion =&gt; "&amp;IF(N437&amp;""="","NULL::smallint",N437&amp;"::smallint")&amp;", p_fecha_ultima_prueba_hidrostatica =&gt; "&amp;IF(O437&amp;""="","NULL","'"&amp;YEAR(O437)&amp;"-"&amp;TEXT(MONTH(O437),"00")&amp;"-"&amp;TEXT(DAY(O437),"00")&amp;"'")&amp;", p_numero_serie =&gt; "&amp;IF(TRIM(Q437&amp;"")="","NULL","'"&amp;SUBSTITUTE(TRIM(Q437),"'","''")&amp;"'")&amp;", p_id_marca_cilindro =&gt; "&amp;IF(TRIM(R437&amp;"")="","NULL","(SELECT lo.id FROM gen_lista_opciones lo JOIN gen_lista l ON l.id = lo.id_lista WHERE l.nombre = 'MarcaCilindro' AND upper(lo.nombre) = upper('"&amp;SUBSTITUTE(TRIM(R437),"'","''")&amp;"') AND lo.estado = 1 LIMIT 1)")&amp;", p_id_organo_inspector =&gt; "&amp;IF(TRIM(S437&amp;"")="","NULL","(SELECT lo.id FROM gen_lista_opciones lo JOIN gen_lista l ON l.id = lo.id_lista WHERE l.nombre = 'OrganoInspectorCilindro' AND upper(lo.nombre) = upper('"&amp;SUBSTITUTE(TRIM(S437),"'","''")&amp;"') AND lo.estado = 1 LIMIT 1)")&amp;", p_organo_inspector_no_aplica =&gt; "&amp;IF(S437="NO_APLICA","TRUE","FALSE")&amp;", p_presion_actual =&gt; "&amp;IF(T437&amp;""="","NULL",SUBSTITUTE(T437&amp;"",",","."))&amp;", p_tipo_valvula =&gt; "&amp;IF(TRIM(U437&amp;"")="","NULL","'"&amp;SUBSTITUTE(TRIM(U437),"'","''")&amp;"'")&amp;", p_libro_cilindro =&gt; "&amp;IF(TRIM(V437&amp;"")="","NULL","'"&amp;SUBSTITUTE(TRIM(V437),"'","''")&amp;"'")&amp;", p_pagina_libro =&gt; "&amp;IF(W437&amp;""="","NULL",SUBSTITUTE(W437&amp;"",",","."))&amp;", p_observacion =&gt; "&amp;IF(TRIM(X437&amp;"")="","NULL","'"&amp;SUBSTITUTE(TRIM(X437),"'","''")&amp;"'")&amp;") AS resultado_balon_"&amp;ROW()&amp;";")</f>
        <v/>
      </c>
    </row>
    <row r="438" ht="15.75" customHeight="1" s="64">
      <c r="A438" s="36" t="inlineStr">
        <is>
          <t>434</t>
        </is>
      </c>
      <c r="B438" s="25">
        <f>IF(AND(C438="",D438="",E438=""),"",IF(C438="","FALTA código balón",IF(D438="","FALTA tipo balón",IF(E438="","FALTA gas",IF(F438="","FALTA propietario",IF(AND(C438&lt;&gt;"",SUMPRODUCT(--($C$5:$C$1200=C438))&gt;1),"CÓDIGO BALÓN DUPLICADO",IF(AND(OR(UPPER(F438)="PLANTA",UPPER(F438)="CLIENTE"),G438=""),"FALTA doc propietario/planta",IF(AND(UPPER(F438)="PLANTA",G438="10175332796"),"PLANTA no puede ser RUC empresa","OK"))))))))</f>
        <v/>
      </c>
      <c r="C438" s="54" t="inlineStr">
        <is>
          <t>20S132008</t>
        </is>
      </c>
      <c r="D438" s="17" t="inlineStr">
        <is>
          <t>Oxígeno Industrial 6 m³</t>
        </is>
      </c>
      <c r="E438" s="17" t="inlineStr">
        <is>
          <t>OXIGENO INDUSTRIAL</t>
        </is>
      </c>
      <c r="F438" s="17" t="inlineStr">
        <is>
          <t>EMPRESA</t>
        </is>
      </c>
      <c r="G438" s="23" t="inlineStr">
        <is>
          <t>10175332796</t>
        </is>
      </c>
      <c r="H438" s="25">
        <f t="array" ref="H438">IF(G438="","",IFERROR(IF(INDEX(Clientes!$D$5:$D$549,MATCH(G438,Clientes!$C$5:$C$549,0))&lt;&gt;"",INDEX(Clientes!$D$5:$D$549,MATCH(G438,Clientes!$C$5:$C$549,0)),TRIM(INDEX(Clientes!$E$5:$E$549,MATCH(G438,Clientes!$C$5:$C$549,0))&amp;" "&amp;INDEX(Clientes!$F$5:$F$549,MATCH(G438,Clientes!$C$5:$C$549,0)))),"NO EXISTE en Clientes"))</f>
        <v/>
      </c>
      <c r="I438" s="17" t="inlineStr">
        <is>
          <t>EN_PODER_CLIENTE</t>
        </is>
      </c>
      <c r="J438" s="17" t="n"/>
      <c r="K438" s="23" t="inlineStr">
        <is>
          <t>44089512</t>
        </is>
      </c>
      <c r="L438" s="25">
        <f t="array" ref="L438">IF(K438="","",IFERROR(IF(INDEX(Clientes!$D$5:$D$549,MATCH(K438,Clientes!$C$5:$C$549,0))&lt;&gt;"",INDEX(Clientes!$D$5:$D$549,MATCH(K438,Clientes!$C$5:$C$549,0)),TRIM(INDEX(Clientes!$E$5:$E$549,MATCH(K438,Clientes!$C$5:$C$549,0))&amp;" "&amp;INDEX(Clientes!$F$5:$F$549,MATCH(K438,Clientes!$C$5:$C$549,0)))),"NO EXISTE en Clientes"))</f>
        <v/>
      </c>
      <c r="M438" s="17" t="n"/>
      <c r="N438" s="17" t="n"/>
      <c r="O438" s="42" t="n"/>
      <c r="P438" s="39">
        <f>IF(O438&lt;&gt;"",DATE(YEAR(O438)+5,MONTH(O438),1),IF(AND(M438&lt;&gt;"",N438&lt;&gt;""),DATE(M438+5,N438,1),""))</f>
        <v/>
      </c>
      <c r="Q438" s="23" t="n"/>
      <c r="R438" s="17" t="n"/>
      <c r="S438" s="17" t="n"/>
      <c r="T438" s="17" t="n"/>
      <c r="U438" s="17" t="n"/>
      <c r="V438" s="23" t="n"/>
      <c r="W438" s="17" t="n"/>
      <c r="X438" s="17" t="n"/>
      <c r="Y438" s="28">
        <f>IF(B438&lt;&gt;"OK","","SELECT bal_crear_balon(p_codigo_balon =&gt; "&amp;IF(TRIM(C438&amp;"")="","NULL","'"&amp;SUBSTITUTE(TRIM(C438),"'","''")&amp;"'")&amp;", p_id_tipo_balon =&gt; "&amp;"(SELECT id FROM bal_tipo_balon WHERE upper(nombre) = upper('"&amp;SUBSTITUTE(TRIM(D438),"'","''")&amp;"') AND estado = 1 LIMIT 1)"&amp;", p_id_producto_gas =&gt; "&amp;"(SELECT id FROM pro_producto WHERE es_gas = TRUE AND upper(nombre) = upper('"&amp;SUBSTITUTE(TRIM(E438),"'","''")&amp;"') AND estado = 1 LIMIT 1)"&amp;", p_id_propietario =&gt; "&amp;IF(TRIM(F438&amp;"")="","NULL","(SELECT lo.id FROM gen_lista_opciones lo JOIN gen_lista l ON l.id = lo.id_lista WHERE l.nombre = 'PropietarioBalon' AND upper(lo.nombre) = upper('"&amp;SUBSTITUTE(TRIM(F438),"'","''")&amp;"') AND lo.estado = 1 LIMIT 1)")&amp;", p_id_cliente_propietario =&gt; "&amp;IF(F438="CLIENTE",IF(TRIM(G438&amp;"")="","NULL","(SELECT id FROM cli_clientes WHERE numero_documento = '"&amp;SUBSTITUTE(TRIM(G438),"'","''")&amp;"' AND estado = 1 LIMIT 1)"),"NULL")&amp;", p_id_planta =&gt; "&amp;IF(F438="PLANTA",IF(TRIM(G438&amp;"")="","NULL","(SELECT id FROM cli_clientes WHERE numero_documento = '"&amp;SUBSTITUTE(TRIM(G438),"'","''")&amp;"'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"&amp;IF(TRIM(J438&amp;"")="","NULL","(SELECT id FROM gen_almacen WHERE upper(nombre) = upper('"&amp;SUBSTITUTE(TRIM(J438),"'","''")&amp;"') AND estado = 1 LIMIT 1)")&amp;", p_id_cliente_ubicacion =&gt; "&amp;IF(TRIM(K438&amp;"")="","NULL","(SELECT id FROM cli_clientes WHERE numero_documento = '"&amp;SUBSTITUTE(TRIM(K438),"'","''")&amp;"' AND estado = 1 LIMIT 1)")&amp;", p_id_referencia =&gt; "&amp;IF(TRIM(J438&amp;"")&lt;&gt;"","(SELECT lo.id FROM gen_lista_opciones lo JOIN gen_lista l ON l.id = lo.id_lista WHERE l.nombre = 'ReferenciaCilindro' AND upper(lo.nombre) = 'ALMACEN' AND lo.estado = 1 LIMIT 1)",IF(TRIM(K438&amp;"")&lt;&gt;"","(SELECT lo.id FROM gen_lista_opciones lo JOIN gen_lista l ON l.id = lo.id_lista WHERE l.nombre = 'ReferenciaCilindro' AND upper(lo.nombre) = 'CLIENTE' AND lo.estado = 1 LIMIT 1)","NULL"))&amp;", p_anio_fabricacion =&gt; "&amp;IF(M438&amp;""="","NULL::smallint",M438&amp;"::smallint")&amp;", p_mes_fabricacion =&gt; "&amp;IF(N438&amp;""="","NULL::smallint",N438&amp;"::smallint")&amp;", p_fecha_ultima_prueba_hidrostatica =&gt; "&amp;IF(O438&amp;""="","NULL","'"&amp;YEAR(O438)&amp;"-"&amp;TEXT(MONTH(O438),"00")&amp;"-"&amp;TEXT(DAY(O438),"00")&amp;"'")&amp;", p_numero_serie =&gt; "&amp;IF(TRIM(Q438&amp;"")="","NULL","'"&amp;SUBSTITUTE(TRIM(Q438),"'","''")&amp;"'")&amp;", p_id_marca_cilindro =&gt; "&amp;IF(TRIM(R438&amp;"")="","NULL","(SELECT lo.id FROM gen_lista_opciones lo JOIN gen_lista l ON l.id = lo.id_lista WHERE l.nombre = 'MarcaCilindro' AND upper(lo.nombre) = upper('"&amp;SUBSTITUTE(TRIM(R438),"'","''")&amp;"') AND lo.estado = 1 LIMIT 1)")&amp;", p_id_organo_inspector =&gt; "&amp;IF(TRIM(S438&amp;"")="","NULL","(SELECT lo.id FROM gen_lista_opciones lo JOIN gen_lista l ON l.id = lo.id_lista WHERE l.nombre = 'OrganoInspectorCilindro' AND upper(lo.nombre) = upper('"&amp;SUBSTITUTE(TRIM(S438),"'","''")&amp;"') AND lo.estado = 1 LIMIT 1)")&amp;", p_organo_inspector_no_aplica =&gt; "&amp;IF(S438="NO_APLICA","TRUE","FALSE")&amp;", p_presion_actual =&gt; "&amp;IF(T438&amp;""="","NULL",SUBSTITUTE(T438&amp;"",",","."))&amp;", p_tipo_valvula =&gt; "&amp;IF(TRIM(U438&amp;"")="","NULL","'"&amp;SUBSTITUTE(TRIM(U438),"'","''")&amp;"'")&amp;", p_libro_cilindro =&gt; "&amp;IF(TRIM(V438&amp;"")="","NULL","'"&amp;SUBSTITUTE(TRIM(V438),"'","''")&amp;"'")&amp;", p_pagina_libro =&gt; "&amp;IF(W438&amp;""="","NULL",SUBSTITUTE(W438&amp;"",",","."))&amp;", p_observacion =&gt; "&amp;IF(TRIM(X438&amp;"")="","NULL","'"&amp;SUBSTITUTE(TRIM(X438),"'","''")&amp;"'")&amp;") AS resultado_balon_"&amp;ROW()&amp;";")</f>
        <v/>
      </c>
    </row>
    <row r="439" ht="15.75" customHeight="1" s="64">
      <c r="A439" s="36" t="inlineStr">
        <is>
          <t>435</t>
        </is>
      </c>
      <c r="B439" s="25">
        <f>IF(AND(C439="",D439="",E439=""),"",IF(C439="","FALTA código balón",IF(D439="","FALTA tipo balón",IF(E439="","FALTA gas",IF(F439="","FALTA propietario",IF(AND(C439&lt;&gt;"",SUMPRODUCT(--($C$5:$C$1200=C439))&gt;1),"CÓDIGO BALÓN DUPLICADO",IF(AND(OR(UPPER(F439)="PLANTA",UPPER(F439)="CLIENTE"),G439=""),"FALTA doc propietario/planta",IF(AND(UPPER(F439)="PLANTA",G439="10175332796"),"PLANTA no puede ser RUC empresa","OK"))))))))</f>
        <v/>
      </c>
      <c r="C439" s="54" t="inlineStr">
        <is>
          <t>20S288123</t>
        </is>
      </c>
      <c r="D439" s="17" t="inlineStr">
        <is>
          <t>Oxígeno Industrial 6 m³</t>
        </is>
      </c>
      <c r="E439" s="17" t="inlineStr">
        <is>
          <t>OXIGENO INDUSTRIAL</t>
        </is>
      </c>
      <c r="F439" s="17" t="inlineStr">
        <is>
          <t>EMPRESA</t>
        </is>
      </c>
      <c r="G439" s="23" t="inlineStr">
        <is>
          <t>10175332796</t>
        </is>
      </c>
      <c r="H439" s="25">
        <f t="array" ref="H439">IF(G439="","",IFERROR(IF(INDEX(Clientes!$D$5:$D$549,MATCH(G439,Clientes!$C$5:$C$549,0))&lt;&gt;"",INDEX(Clientes!$D$5:$D$549,MATCH(G439,Clientes!$C$5:$C$549,0)),TRIM(INDEX(Clientes!$E$5:$E$549,MATCH(G439,Clientes!$C$5:$C$549,0))&amp;" "&amp;INDEX(Clientes!$F$5:$F$549,MATCH(G439,Clientes!$C$5:$C$549,0)))),"NO EXISTE en Clientes"))</f>
        <v/>
      </c>
      <c r="I439" s="17" t="inlineStr">
        <is>
          <t>EN_PODER_CLIENTE</t>
        </is>
      </c>
      <c r="J439" s="17" t="n"/>
      <c r="K439" s="23" t="inlineStr">
        <is>
          <t>16764812</t>
        </is>
      </c>
      <c r="L439" s="25">
        <f t="array" ref="L439">IF(K439="","",IFERROR(IF(INDEX(Clientes!$D$5:$D$549,MATCH(K439,Clientes!$C$5:$C$549,0))&lt;&gt;"",INDEX(Clientes!$D$5:$D$549,MATCH(K439,Clientes!$C$5:$C$549,0)),TRIM(INDEX(Clientes!$E$5:$E$549,MATCH(K439,Clientes!$C$5:$C$549,0))&amp;" "&amp;INDEX(Clientes!$F$5:$F$549,MATCH(K439,Clientes!$C$5:$C$549,0)))),"NO EXISTE en Clientes"))</f>
        <v/>
      </c>
      <c r="M439" s="17" t="n"/>
      <c r="N439" s="17" t="n"/>
      <c r="O439" s="42" t="n"/>
      <c r="P439" s="39">
        <f>IF(O439&lt;&gt;"",DATE(YEAR(O439)+5,MONTH(O439),1),IF(AND(M439&lt;&gt;"",N439&lt;&gt;""),DATE(M439+5,N439,1),""))</f>
        <v/>
      </c>
      <c r="Q439" s="23" t="n"/>
      <c r="R439" s="17" t="n"/>
      <c r="S439" s="17" t="n"/>
      <c r="T439" s="17" t="n"/>
      <c r="U439" s="17" t="n"/>
      <c r="V439" s="23" t="n"/>
      <c r="W439" s="17" t="n"/>
      <c r="X439" s="17" t="n"/>
      <c r="Y439" s="28">
        <f>IF(B439&lt;&gt;"OK","","SELECT bal_crear_balon(p_codigo_balon =&gt; "&amp;IF(TRIM(C439&amp;"")="","NULL","'"&amp;SUBSTITUTE(TRIM(C439),"'","''")&amp;"'")&amp;", p_id_tipo_balon =&gt; "&amp;"(SELECT id FROM bal_tipo_balon WHERE upper(nombre) = upper('"&amp;SUBSTITUTE(TRIM(D439),"'","''")&amp;"') AND estado = 1 LIMIT 1)"&amp;", p_id_producto_gas =&gt; "&amp;"(SELECT id FROM pro_producto WHERE es_gas = TRUE AND upper(nombre) = upper('"&amp;SUBSTITUTE(TRIM(E439),"'","''")&amp;"') AND estado = 1 LIMIT 1)"&amp;", p_id_propietario =&gt; "&amp;IF(TRIM(F439&amp;"")="","NULL","(SELECT lo.id FROM gen_lista_opciones lo JOIN gen_lista l ON l.id = lo.id_lista WHERE l.nombre = 'PropietarioBalon' AND upper(lo.nombre) = upper('"&amp;SUBSTITUTE(TRIM(F439),"'","''")&amp;"') AND lo.estado = 1 LIMIT 1)")&amp;", p_id_cliente_propietario =&gt; "&amp;IF(F439="CLIENTE",IF(TRIM(G439&amp;"")="","NULL","(SELECT id FROM cli_clientes WHERE numero_documento = '"&amp;SUBSTITUTE(TRIM(G439),"'","''")&amp;"' AND estado = 1 LIMIT 1)"),"NULL")&amp;", p_id_planta =&gt; "&amp;IF(F439="PLANTA",IF(TRIM(G439&amp;"")="","NULL","(SELECT id FROM cli_clientes WHERE numero_documento = '"&amp;SUBSTITUTE(TRIM(G439),"'","''")&amp;"'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"&amp;IF(TRIM(J439&amp;"")="","NULL","(SELECT id FROM gen_almacen WHERE upper(nombre) = upper('"&amp;SUBSTITUTE(TRIM(J439),"'","''")&amp;"') AND estado = 1 LIMIT 1)")&amp;", p_id_cliente_ubicacion =&gt; "&amp;IF(TRIM(K439&amp;"")="","NULL","(SELECT id FROM cli_clientes WHERE numero_documento = '"&amp;SUBSTITUTE(TRIM(K439),"'","''")&amp;"' AND estado = 1 LIMIT 1)")&amp;", p_id_referencia =&gt; "&amp;IF(TRIM(J439&amp;"")&lt;&gt;"","(SELECT lo.id FROM gen_lista_opciones lo JOIN gen_lista l ON l.id = lo.id_lista WHERE l.nombre = 'ReferenciaCilindro' AND upper(lo.nombre) = 'ALMACEN' AND lo.estado = 1 LIMIT 1)",IF(TRIM(K439&amp;"")&lt;&gt;"","(SELECT lo.id FROM gen_lista_opciones lo JOIN gen_lista l ON l.id = lo.id_lista WHERE l.nombre = 'ReferenciaCilindro' AND upper(lo.nombre) = 'CLIENTE' AND lo.estado = 1 LIMIT 1)","NULL"))&amp;", p_anio_fabricacion =&gt; "&amp;IF(M439&amp;""="","NULL::smallint",M439&amp;"::smallint")&amp;", p_mes_fabricacion =&gt; "&amp;IF(N439&amp;""="","NULL::smallint",N439&amp;"::smallint")&amp;", p_fecha_ultima_prueba_hidrostatica =&gt; "&amp;IF(O439&amp;""="","NULL","'"&amp;YEAR(O439)&amp;"-"&amp;TEXT(MONTH(O439),"00")&amp;"-"&amp;TEXT(DAY(O439),"00")&amp;"'")&amp;", p_numero_serie =&gt; "&amp;IF(TRIM(Q439&amp;"")="","NULL","'"&amp;SUBSTITUTE(TRIM(Q439),"'","''")&amp;"'")&amp;", p_id_marca_cilindro =&gt; "&amp;IF(TRIM(R439&amp;"")="","NULL","(SELECT lo.id FROM gen_lista_opciones lo JOIN gen_lista l ON l.id = lo.id_lista WHERE l.nombre = 'MarcaCilindro' AND upper(lo.nombre) = upper('"&amp;SUBSTITUTE(TRIM(R439),"'","''")&amp;"') AND lo.estado = 1 LIMIT 1)")&amp;", p_id_organo_inspector =&gt; "&amp;IF(TRIM(S439&amp;"")="","NULL","(SELECT lo.id FROM gen_lista_opciones lo JOIN gen_lista l ON l.id = lo.id_lista WHERE l.nombre = 'OrganoInspectorCilindro' AND upper(lo.nombre) = upper('"&amp;SUBSTITUTE(TRIM(S439),"'","''")&amp;"') AND lo.estado = 1 LIMIT 1)")&amp;", p_organo_inspector_no_aplica =&gt; "&amp;IF(S439="NO_APLICA","TRUE","FALSE")&amp;", p_presion_actual =&gt; "&amp;IF(T439&amp;""="","NULL",SUBSTITUTE(T439&amp;"",",","."))&amp;", p_tipo_valvula =&gt; "&amp;IF(TRIM(U439&amp;"")="","NULL","'"&amp;SUBSTITUTE(TRIM(U439),"'","''")&amp;"'")&amp;", p_libro_cilindro =&gt; "&amp;IF(TRIM(V439&amp;"")="","NULL","'"&amp;SUBSTITUTE(TRIM(V439),"'","''")&amp;"'")&amp;", p_pagina_libro =&gt; "&amp;IF(W439&amp;""="","NULL",SUBSTITUTE(W439&amp;"",",","."))&amp;", p_observacion =&gt; "&amp;IF(TRIM(X439&amp;"")="","NULL","'"&amp;SUBSTITUTE(TRIM(X439),"'","''")&amp;"'")&amp;") AS resultado_balon_"&amp;ROW()&amp;";")</f>
        <v/>
      </c>
    </row>
    <row r="440" ht="15.75" customHeight="1" s="64">
      <c r="A440" s="36" t="inlineStr">
        <is>
          <t>436</t>
        </is>
      </c>
      <c r="B440" s="25">
        <f>IF(AND(C440="",D440="",E440=""),"",IF(C440="","FALTA código balón",IF(D440="","FALTA tipo balón",IF(E440="","FALTA gas",IF(F440="","FALTA propietario",IF(AND(C440&lt;&gt;"",SUMPRODUCT(--($C$5:$C$1200=C440))&gt;1),"CÓDIGO BALÓN DUPLICADO",IF(AND(OR(UPPER(F440)="PLANTA",UPPER(F440)="CLIENTE"),G440=""),"FALTA doc propietario/planta",IF(AND(UPPER(F440)="PLANTA",G440="10175332796"),"PLANTA no puede ser RUC empresa","OK"))))))))</f>
        <v/>
      </c>
      <c r="C440" s="54" t="inlineStr">
        <is>
          <t>126145</t>
        </is>
      </c>
      <c r="D440" s="17" t="inlineStr">
        <is>
          <t>Oxigeno Industrial 3 m³</t>
        </is>
      </c>
      <c r="E440" s="17" t="inlineStr">
        <is>
          <t>OXIGENO INDUSTRIAL</t>
        </is>
      </c>
      <c r="F440" s="17" t="inlineStr">
        <is>
          <t>EMPRESA</t>
        </is>
      </c>
      <c r="G440" s="23" t="inlineStr">
        <is>
          <t>10175332796</t>
        </is>
      </c>
      <c r="H440" s="25">
        <f t="array" ref="H440">IF(G440="","",IFERROR(IF(INDEX(Clientes!$D$5:$D$549,MATCH(G440,Clientes!$C$5:$C$549,0))&lt;&gt;"",INDEX(Clientes!$D$5:$D$549,MATCH(G440,Clientes!$C$5:$C$549,0)),TRIM(INDEX(Clientes!$E$5:$E$549,MATCH(G440,Clientes!$C$5:$C$549,0))&amp;" "&amp;INDEX(Clientes!$F$5:$F$549,MATCH(G440,Clientes!$C$5:$C$549,0)))),"NO EXISTE en Clientes"))</f>
        <v/>
      </c>
      <c r="I440" s="17" t="inlineStr">
        <is>
          <t>EN_PODER_CLIENTE</t>
        </is>
      </c>
      <c r="J440" s="17" t="n"/>
      <c r="K440" s="23" t="inlineStr">
        <is>
          <t>000055</t>
        </is>
      </c>
      <c r="L440" s="25">
        <f t="array" ref="L440">IF(K440="","",IFERROR(IF(INDEX(Clientes!$D$5:$D$549,MATCH(K440,Clientes!$C$5:$C$549,0))&lt;&gt;"",INDEX(Clientes!$D$5:$D$549,MATCH(K440,Clientes!$C$5:$C$549,0)),TRIM(INDEX(Clientes!$E$5:$E$549,MATCH(K440,Clientes!$C$5:$C$549,0))&amp;" "&amp;INDEX(Clientes!$F$5:$F$549,MATCH(K440,Clientes!$C$5:$C$549,0)))),"NO EXISTE en Clientes"))</f>
        <v/>
      </c>
      <c r="M440" s="17" t="n"/>
      <c r="N440" s="17" t="n"/>
      <c r="O440" s="42" t="n"/>
      <c r="P440" s="39">
        <f>IF(O440&lt;&gt;"",DATE(YEAR(O440)+5,MONTH(O440),1),IF(AND(M440&lt;&gt;"",N440&lt;&gt;""),DATE(M440+5,N440,1),""))</f>
        <v/>
      </c>
      <c r="Q440" s="23" t="n"/>
      <c r="R440" s="17" t="n"/>
      <c r="S440" s="17" t="n"/>
      <c r="T440" s="17" t="n"/>
      <c r="U440" s="17" t="n"/>
      <c r="V440" s="23" t="n"/>
      <c r="W440" s="17" t="n"/>
      <c r="X440" s="17" t="n"/>
      <c r="Y440" s="28">
        <f>IF(B440&lt;&gt;"OK","","SELECT bal_crear_balon(p_codigo_balon =&gt; "&amp;IF(TRIM(C440&amp;"")="","NULL","'"&amp;SUBSTITUTE(TRIM(C440),"'","''")&amp;"'")&amp;", p_id_tipo_balon =&gt; "&amp;"(SELECT id FROM bal_tipo_balon WHERE upper(nombre) = upper('"&amp;SUBSTITUTE(TRIM(D440),"'","''")&amp;"') AND estado = 1 LIMIT 1)"&amp;", p_id_producto_gas =&gt; "&amp;"(SELECT id FROM pro_producto WHERE es_gas = TRUE AND upper(nombre) = upper('"&amp;SUBSTITUTE(TRIM(E440),"'","''")&amp;"') AND estado = 1 LIMIT 1)"&amp;", p_id_propietario =&gt; "&amp;IF(TRIM(F440&amp;"")="","NULL","(SELECT lo.id FROM gen_lista_opciones lo JOIN gen_lista l ON l.id = lo.id_lista WHERE l.nombre = 'PropietarioBalon' AND upper(lo.nombre) = upper('"&amp;SUBSTITUTE(TRIM(F440),"'","''")&amp;"') AND lo.estado = 1 LIMIT 1)")&amp;", p_id_cliente_propietario =&gt; "&amp;IF(F440="CLIENTE",IF(TRIM(G440&amp;"")="","NULL","(SELECT id FROM cli_clientes WHERE numero_documento = '"&amp;SUBSTITUTE(TRIM(G440),"'","''")&amp;"' AND estado = 1 LIMIT 1)"),"NULL")&amp;", p_id_planta =&gt; "&amp;IF(F440="PLANTA",IF(TRIM(G440&amp;"")="","NULL","(SELECT id FROM cli_clientes WHERE numero_documento = '"&amp;SUBSTITUTE(TRIM(G440),"'","''")&amp;"'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"&amp;IF(TRIM(J440&amp;"")="","NULL","(SELECT id FROM gen_almacen WHERE upper(nombre) = upper('"&amp;SUBSTITUTE(TRIM(J440),"'","''")&amp;"') AND estado = 1 LIMIT 1)")&amp;", p_id_cliente_ubicacion =&gt; "&amp;IF(TRIM(K440&amp;"")="","NULL","(SELECT id FROM cli_clientes WHERE numero_documento = '"&amp;SUBSTITUTE(TRIM(K440),"'","''")&amp;"' AND estado = 1 LIMIT 1)")&amp;", p_id_referencia =&gt; "&amp;IF(TRIM(J440&amp;"")&lt;&gt;"","(SELECT lo.id FROM gen_lista_opciones lo JOIN gen_lista l ON l.id = lo.id_lista WHERE l.nombre = 'ReferenciaCilindro' AND upper(lo.nombre) = 'ALMACEN' AND lo.estado = 1 LIMIT 1)",IF(TRIM(K440&amp;"")&lt;&gt;"","(SELECT lo.id FROM gen_lista_opciones lo JOIN gen_lista l ON l.id = lo.id_lista WHERE l.nombre = 'ReferenciaCilindro' AND upper(lo.nombre) = 'CLIENTE' AND lo.estado = 1 LIMIT 1)","NULL"))&amp;", p_anio_fabricacion =&gt; "&amp;IF(M440&amp;""="","NULL::smallint",M440&amp;"::smallint")&amp;", p_mes_fabricacion =&gt; "&amp;IF(N440&amp;""="","NULL::smallint",N440&amp;"::smallint")&amp;", p_fecha_ultima_prueba_hidrostatica =&gt; "&amp;IF(O440&amp;""="","NULL","'"&amp;YEAR(O440)&amp;"-"&amp;TEXT(MONTH(O440),"00")&amp;"-"&amp;TEXT(DAY(O440),"00")&amp;"'")&amp;", p_numero_serie =&gt; "&amp;IF(TRIM(Q440&amp;"")="","NULL","'"&amp;SUBSTITUTE(TRIM(Q440),"'","''")&amp;"'")&amp;", p_id_marca_cilindro =&gt; "&amp;IF(TRIM(R440&amp;"")="","NULL","(SELECT lo.id FROM gen_lista_opciones lo JOIN gen_lista l ON l.id = lo.id_lista WHERE l.nombre = 'MarcaCilindro' AND upper(lo.nombre) = upper('"&amp;SUBSTITUTE(TRIM(R440),"'","''")&amp;"') AND lo.estado = 1 LIMIT 1)")&amp;", p_id_organo_inspector =&gt; "&amp;IF(TRIM(S440&amp;"")="","NULL","(SELECT lo.id FROM gen_lista_opciones lo JOIN gen_lista l ON l.id = lo.id_lista WHERE l.nombre = 'OrganoInspectorCilindro' AND upper(lo.nombre) = upper('"&amp;SUBSTITUTE(TRIM(S440),"'","''")&amp;"') AND lo.estado = 1 LIMIT 1)")&amp;", p_organo_inspector_no_aplica =&gt; "&amp;IF(S440="NO_APLICA","TRUE","FALSE")&amp;", p_presion_actual =&gt; "&amp;IF(T440&amp;""="","NULL",SUBSTITUTE(T440&amp;"",",","."))&amp;", p_tipo_valvula =&gt; "&amp;IF(TRIM(U440&amp;"")="","NULL","'"&amp;SUBSTITUTE(TRIM(U440),"'","''")&amp;"'")&amp;", p_libro_cilindro =&gt; "&amp;IF(TRIM(V440&amp;"")="","NULL","'"&amp;SUBSTITUTE(TRIM(V440),"'","''")&amp;"'")&amp;", p_pagina_libro =&gt; "&amp;IF(W440&amp;""="","NULL",SUBSTITUTE(W440&amp;"",",","."))&amp;", p_observacion =&gt; "&amp;IF(TRIM(X440&amp;"")="","NULL","'"&amp;SUBSTITUTE(TRIM(X440),"'","''")&amp;"'")&amp;") AS resultado_balon_"&amp;ROW()&amp;";")</f>
        <v/>
      </c>
    </row>
    <row r="441" ht="15.75" customHeight="1" s="64">
      <c r="A441" s="36" t="inlineStr">
        <is>
          <t>437</t>
        </is>
      </c>
      <c r="B441" s="25">
        <f>IF(AND(C441="",D441="",E441=""),"",IF(C441="","FALTA código balón",IF(D441="","FALTA tipo balón",IF(E441="","FALTA gas",IF(F441="","FALTA propietario",IF(AND(C441&lt;&gt;"",SUMPRODUCT(--($C$5:$C$1200=C441))&gt;1),"CÓDIGO BALÓN DUPLICADO",IF(AND(OR(UPPER(F441)="PLANTA",UPPER(F441)="CLIENTE"),G441=""),"FALTA doc propietario/planta",IF(AND(UPPER(F441)="PLANTA",G441="10175332796"),"PLANTA no puede ser RUC empresa","OK"))))))))</f>
        <v/>
      </c>
      <c r="C441" s="54" t="inlineStr">
        <is>
          <t>1967938</t>
        </is>
      </c>
      <c r="D441" s="17" t="inlineStr">
        <is>
          <t>Oxígeno Industrial 6 m³</t>
        </is>
      </c>
      <c r="E441" s="17" t="inlineStr">
        <is>
          <t>OXIGENO INDUSTRIAL</t>
        </is>
      </c>
      <c r="F441" s="17" t="inlineStr">
        <is>
          <t>EMPRESA</t>
        </is>
      </c>
      <c r="G441" s="23" t="inlineStr">
        <is>
          <t>10175332796</t>
        </is>
      </c>
      <c r="H441" s="25">
        <f t="array" ref="H441">IF(G441="","",IFERROR(IF(INDEX(Clientes!$D$5:$D$549,MATCH(G441,Clientes!$C$5:$C$549,0))&lt;&gt;"",INDEX(Clientes!$D$5:$D$549,MATCH(G441,Clientes!$C$5:$C$549,0)),TRIM(INDEX(Clientes!$E$5:$E$549,MATCH(G441,Clientes!$C$5:$C$549,0))&amp;" "&amp;INDEX(Clientes!$F$5:$F$549,MATCH(G441,Clientes!$C$5:$C$549,0)))),"NO EXISTE en Clientes"))</f>
        <v/>
      </c>
      <c r="I441" s="17" t="inlineStr">
        <is>
          <t>EN_PODER_CLIENTE</t>
        </is>
      </c>
      <c r="J441" s="17" t="n"/>
      <c r="K441" s="23" t="inlineStr">
        <is>
          <t>000056</t>
        </is>
      </c>
      <c r="L441" s="25">
        <f t="array" ref="L441">IF(K441="","",IFERROR(IF(INDEX(Clientes!$D$5:$D$549,MATCH(K441,Clientes!$C$5:$C$549,0))&lt;&gt;"",INDEX(Clientes!$D$5:$D$549,MATCH(K441,Clientes!$C$5:$C$549,0)),TRIM(INDEX(Clientes!$E$5:$E$549,MATCH(K441,Clientes!$C$5:$C$549,0))&amp;" "&amp;INDEX(Clientes!$F$5:$F$549,MATCH(K441,Clientes!$C$5:$C$549,0)))),"NO EXISTE en Clientes"))</f>
        <v/>
      </c>
      <c r="M441" s="17" t="n"/>
      <c r="N441" s="17" t="n"/>
      <c r="O441" s="42" t="n"/>
      <c r="P441" s="39">
        <f>IF(O441&lt;&gt;"",DATE(YEAR(O441)+5,MONTH(O441),1),IF(AND(M441&lt;&gt;"",N441&lt;&gt;""),DATE(M441+5,N441,1),""))</f>
        <v/>
      </c>
      <c r="Q441" s="23" t="n"/>
      <c r="R441" s="17" t="n"/>
      <c r="S441" s="17" t="n"/>
      <c r="T441" s="17" t="n"/>
      <c r="U441" s="17" t="n"/>
      <c r="V441" s="23" t="n"/>
      <c r="W441" s="17" t="n"/>
      <c r="X441" s="17" t="n"/>
      <c r="Y441" s="28">
        <f>IF(B441&lt;&gt;"OK","","SELECT bal_crear_balon(p_codigo_balon =&gt; "&amp;IF(TRIM(C441&amp;"")="","NULL","'"&amp;SUBSTITUTE(TRIM(C441),"'","''")&amp;"'")&amp;", p_id_tipo_balon =&gt; "&amp;"(SELECT id FROM bal_tipo_balon WHERE upper(nombre) = upper('"&amp;SUBSTITUTE(TRIM(D441),"'","''")&amp;"') AND estado = 1 LIMIT 1)"&amp;", p_id_producto_gas =&gt; "&amp;"(SELECT id FROM pro_producto WHERE es_gas = TRUE AND upper(nombre) = upper('"&amp;SUBSTITUTE(TRIM(E441),"'","''")&amp;"') AND estado = 1 LIMIT 1)"&amp;", p_id_propietario =&gt; "&amp;IF(TRIM(F441&amp;"")="","NULL","(SELECT lo.id FROM gen_lista_opciones lo JOIN gen_lista l ON l.id = lo.id_lista WHERE l.nombre = 'PropietarioBalon' AND upper(lo.nombre) = upper('"&amp;SUBSTITUTE(TRIM(F441),"'","''")&amp;"') AND lo.estado = 1 LIMIT 1)")&amp;", p_id_cliente_propietario =&gt; "&amp;IF(F441="CLIENTE",IF(TRIM(G441&amp;"")="","NULL","(SELECT id FROM cli_clientes WHERE numero_documento = '"&amp;SUBSTITUTE(TRIM(G441),"'","''")&amp;"' AND estado = 1 LIMIT 1)"),"NULL")&amp;", p_id_planta =&gt; "&amp;IF(F441="PLANTA",IF(TRIM(G441&amp;"")="","NULL","(SELECT id FROM cli_clientes WHERE numero_documento = '"&amp;SUBSTITUTE(TRIM(G441),"'","''")&amp;"'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"&amp;IF(TRIM(J441&amp;"")="","NULL","(SELECT id FROM gen_almacen WHERE upper(nombre) = upper('"&amp;SUBSTITUTE(TRIM(J441),"'","''")&amp;"') AND estado = 1 LIMIT 1)")&amp;", p_id_cliente_ubicacion =&gt; "&amp;IF(TRIM(K441&amp;"")="","NULL","(SELECT id FROM cli_clientes WHERE numero_documento = '"&amp;SUBSTITUTE(TRIM(K441),"'","''")&amp;"' AND estado = 1 LIMIT 1)")&amp;", p_id_referencia =&gt; "&amp;IF(TRIM(J441&amp;"")&lt;&gt;"","(SELECT lo.id FROM gen_lista_opciones lo JOIN gen_lista l ON l.id = lo.id_lista WHERE l.nombre = 'ReferenciaCilindro' AND upper(lo.nombre) = 'ALMACEN' AND lo.estado = 1 LIMIT 1)",IF(TRIM(K441&amp;"")&lt;&gt;"","(SELECT lo.id FROM gen_lista_opciones lo JOIN gen_lista l ON l.id = lo.id_lista WHERE l.nombre = 'ReferenciaCilindro' AND upper(lo.nombre) = 'CLIENTE' AND lo.estado = 1 LIMIT 1)","NULL"))&amp;", p_anio_fabricacion =&gt; "&amp;IF(M441&amp;""="","NULL::smallint",M441&amp;"::smallint")&amp;", p_mes_fabricacion =&gt; "&amp;IF(N441&amp;""="","NULL::smallint",N441&amp;"::smallint")&amp;", p_fecha_ultima_prueba_hidrostatica =&gt; "&amp;IF(O441&amp;""="","NULL","'"&amp;YEAR(O441)&amp;"-"&amp;TEXT(MONTH(O441),"00")&amp;"-"&amp;TEXT(DAY(O441),"00")&amp;"'")&amp;", p_numero_serie =&gt; "&amp;IF(TRIM(Q441&amp;"")="","NULL","'"&amp;SUBSTITUTE(TRIM(Q441),"'","''")&amp;"'")&amp;", p_id_marca_cilindro =&gt; "&amp;IF(TRIM(R441&amp;"")="","NULL","(SELECT lo.id FROM gen_lista_opciones lo JOIN gen_lista l ON l.id = lo.id_lista WHERE l.nombre = 'MarcaCilindro' AND upper(lo.nombre) = upper('"&amp;SUBSTITUTE(TRIM(R441),"'","''")&amp;"') AND lo.estado = 1 LIMIT 1)")&amp;", p_id_organo_inspector =&gt; "&amp;IF(TRIM(S441&amp;"")="","NULL","(SELECT lo.id FROM gen_lista_opciones lo JOIN gen_lista l ON l.id = lo.id_lista WHERE l.nombre = 'OrganoInspectorCilindro' AND upper(lo.nombre) = upper('"&amp;SUBSTITUTE(TRIM(S441),"'","''")&amp;"') AND lo.estado = 1 LIMIT 1)")&amp;", p_organo_inspector_no_aplica =&gt; "&amp;IF(S441="NO_APLICA","TRUE","FALSE")&amp;", p_presion_actual =&gt; "&amp;IF(T441&amp;""="","NULL",SUBSTITUTE(T441&amp;"",",","."))&amp;", p_tipo_valvula =&gt; "&amp;IF(TRIM(U441&amp;"")="","NULL","'"&amp;SUBSTITUTE(TRIM(U441),"'","''")&amp;"'")&amp;", p_libro_cilindro =&gt; "&amp;IF(TRIM(V441&amp;"")="","NULL","'"&amp;SUBSTITUTE(TRIM(V441),"'","''")&amp;"'")&amp;", p_pagina_libro =&gt; "&amp;IF(W441&amp;""="","NULL",SUBSTITUTE(W441&amp;"",",","."))&amp;", p_observacion =&gt; "&amp;IF(TRIM(X441&amp;"")="","NULL","'"&amp;SUBSTITUTE(TRIM(X441),"'","''")&amp;"'")&amp;") AS resultado_balon_"&amp;ROW()&amp;";")</f>
        <v/>
      </c>
    </row>
    <row r="442" ht="15.75" customHeight="1" s="64">
      <c r="A442" s="36" t="inlineStr">
        <is>
          <t>438</t>
        </is>
      </c>
      <c r="B442" s="25">
        <f>IF(AND(C442="",D442="",E442=""),"",IF(C442="","FALTA código balón",IF(D442="","FALTA tipo balón",IF(E442="","FALTA gas",IF(F442="","FALTA propietario",IF(AND(C442&lt;&gt;"",SUMPRODUCT(--($C$5:$C$1200=C442))&gt;1),"CÓDIGO BALÓN DUPLICADO",IF(AND(OR(UPPER(F442)="PLANTA",UPPER(F442)="CLIENTE"),G442=""),"FALTA doc propietario/planta",IF(AND(UPPER(F442)="PLANTA",G442="10175332796"),"PLANTA no puede ser RUC empresa","OK"))))))))</f>
        <v/>
      </c>
      <c r="C442" s="54" t="inlineStr">
        <is>
          <t>27</t>
        </is>
      </c>
      <c r="D442" s="17" t="inlineStr">
        <is>
          <t>Oxígeno Industrial 6 m³</t>
        </is>
      </c>
      <c r="E442" s="17" t="inlineStr">
        <is>
          <t>OXIGENO INDUSTRIAL</t>
        </is>
      </c>
      <c r="F442" s="17" t="inlineStr">
        <is>
          <t>EMPRESA</t>
        </is>
      </c>
      <c r="G442" s="23" t="inlineStr">
        <is>
          <t>10175332796</t>
        </is>
      </c>
      <c r="H442" s="25">
        <f t="array" ref="H442">IF(G442="","",IFERROR(IF(INDEX(Clientes!$D$5:$D$549,MATCH(G442,Clientes!$C$5:$C$549,0))&lt;&gt;"",INDEX(Clientes!$D$5:$D$549,MATCH(G442,Clientes!$C$5:$C$549,0)),TRIM(INDEX(Clientes!$E$5:$E$549,MATCH(G442,Clientes!$C$5:$C$549,0))&amp;" "&amp;INDEX(Clientes!$F$5:$F$549,MATCH(G442,Clientes!$C$5:$C$549,0)))),"NO EXISTE en Clientes"))</f>
        <v/>
      </c>
      <c r="I442" s="17" t="inlineStr">
        <is>
          <t>EN_PODER_CLIENTE</t>
        </is>
      </c>
      <c r="J442" s="17" t="n"/>
      <c r="K442" s="23" t="inlineStr">
        <is>
          <t>000057</t>
        </is>
      </c>
      <c r="L442" s="25">
        <f t="array" ref="L442">IF(K442="","",IFERROR(IF(INDEX(Clientes!$D$5:$D$549,MATCH(K442,Clientes!$C$5:$C$549,0))&lt;&gt;"",INDEX(Clientes!$D$5:$D$549,MATCH(K442,Clientes!$C$5:$C$549,0)),TRIM(INDEX(Clientes!$E$5:$E$549,MATCH(K442,Clientes!$C$5:$C$549,0))&amp;" "&amp;INDEX(Clientes!$F$5:$F$549,MATCH(K442,Clientes!$C$5:$C$549,0)))),"NO EXISTE en Clientes"))</f>
        <v/>
      </c>
      <c r="M442" s="17" t="n"/>
      <c r="N442" s="17" t="n"/>
      <c r="O442" s="42" t="n"/>
      <c r="P442" s="39">
        <f>IF(O442&lt;&gt;"",DATE(YEAR(O442)+5,MONTH(O442),1),IF(AND(M442&lt;&gt;"",N442&lt;&gt;""),DATE(M442+5,N442,1),""))</f>
        <v/>
      </c>
      <c r="Q442" s="23" t="n"/>
      <c r="R442" s="17" t="n"/>
      <c r="S442" s="17" t="n"/>
      <c r="T442" s="17" t="n"/>
      <c r="U442" s="17" t="n"/>
      <c r="V442" s="23" t="n"/>
      <c r="W442" s="17" t="n"/>
      <c r="X442" s="17" t="n"/>
      <c r="Y442" s="28">
        <f>IF(B442&lt;&gt;"OK","","SELECT bal_crear_balon(p_codigo_balon =&gt; "&amp;IF(TRIM(C442&amp;"")="","NULL","'"&amp;SUBSTITUTE(TRIM(C442),"'","''")&amp;"'")&amp;", p_id_tipo_balon =&gt; "&amp;"(SELECT id FROM bal_tipo_balon WHERE upper(nombre) = upper('"&amp;SUBSTITUTE(TRIM(D442),"'","''")&amp;"') AND estado = 1 LIMIT 1)"&amp;", p_id_producto_gas =&gt; "&amp;"(SELECT id FROM pro_producto WHERE es_gas = TRUE AND upper(nombre) = upper('"&amp;SUBSTITUTE(TRIM(E442),"'","''")&amp;"') AND estado = 1 LIMIT 1)"&amp;", p_id_propietario =&gt; "&amp;IF(TRIM(F442&amp;"")="","NULL","(SELECT lo.id FROM gen_lista_opciones lo JOIN gen_lista l ON l.id = lo.id_lista WHERE l.nombre = 'PropietarioBalon' AND upper(lo.nombre) = upper('"&amp;SUBSTITUTE(TRIM(F442),"'","''")&amp;"') AND lo.estado = 1 LIMIT 1)")&amp;", p_id_cliente_propietario =&gt; "&amp;IF(F442="CLIENTE",IF(TRIM(G442&amp;"")="","NULL","(SELECT id FROM cli_clientes WHERE numero_documento = '"&amp;SUBSTITUTE(TRIM(G442),"'","''")&amp;"' AND estado = 1 LIMIT 1)"),"NULL")&amp;", p_id_planta =&gt; "&amp;IF(F442="PLANTA",IF(TRIM(G442&amp;"")="","NULL","(SELECT id FROM cli_clientes WHERE numero_documento = '"&amp;SUBSTITUTE(TRIM(G442),"'","''")&amp;"'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"&amp;IF(TRIM(J442&amp;"")="","NULL","(SELECT id FROM gen_almacen WHERE upper(nombre) = upper('"&amp;SUBSTITUTE(TRIM(J442),"'","''")&amp;"') AND estado = 1 LIMIT 1)")&amp;", p_id_cliente_ubicacion =&gt; "&amp;IF(TRIM(K442&amp;"")="","NULL","(SELECT id FROM cli_clientes WHERE numero_documento = '"&amp;SUBSTITUTE(TRIM(K442),"'","''")&amp;"' AND estado = 1 LIMIT 1)")&amp;", p_id_referencia =&gt; "&amp;IF(TRIM(J442&amp;"")&lt;&gt;"","(SELECT lo.id FROM gen_lista_opciones lo JOIN gen_lista l ON l.id = lo.id_lista WHERE l.nombre = 'ReferenciaCilindro' AND upper(lo.nombre) = 'ALMACEN' AND lo.estado = 1 LIMIT 1)",IF(TRIM(K442&amp;"")&lt;&gt;"","(SELECT lo.id FROM gen_lista_opciones lo JOIN gen_lista l ON l.id = lo.id_lista WHERE l.nombre = 'ReferenciaCilindro' AND upper(lo.nombre) = 'CLIENTE' AND lo.estado = 1 LIMIT 1)","NULL"))&amp;", p_anio_fabricacion =&gt; "&amp;IF(M442&amp;""="","NULL::smallint",M442&amp;"::smallint")&amp;", p_mes_fabricacion =&gt; "&amp;IF(N442&amp;""="","NULL::smallint",N442&amp;"::smallint")&amp;", p_fecha_ultima_prueba_hidrostatica =&gt; "&amp;IF(O442&amp;""="","NULL","'"&amp;YEAR(O442)&amp;"-"&amp;TEXT(MONTH(O442),"00")&amp;"-"&amp;TEXT(DAY(O442),"00")&amp;"'")&amp;", p_numero_serie =&gt; "&amp;IF(TRIM(Q442&amp;"")="","NULL","'"&amp;SUBSTITUTE(TRIM(Q442),"'","''")&amp;"'")&amp;", p_id_marca_cilindro =&gt; "&amp;IF(TRIM(R442&amp;"")="","NULL","(SELECT lo.id FROM gen_lista_opciones lo JOIN gen_lista l ON l.id = lo.id_lista WHERE l.nombre = 'MarcaCilindro' AND upper(lo.nombre) = upper('"&amp;SUBSTITUTE(TRIM(R442),"'","''")&amp;"') AND lo.estado = 1 LIMIT 1)")&amp;", p_id_organo_inspector =&gt; "&amp;IF(TRIM(S442&amp;"")="","NULL","(SELECT lo.id FROM gen_lista_opciones lo JOIN gen_lista l ON l.id = lo.id_lista WHERE l.nombre = 'OrganoInspectorCilindro' AND upper(lo.nombre) = upper('"&amp;SUBSTITUTE(TRIM(S442),"'","''")&amp;"') AND lo.estado = 1 LIMIT 1)")&amp;", p_organo_inspector_no_aplica =&gt; "&amp;IF(S442="NO_APLICA","TRUE","FALSE")&amp;", p_presion_actual =&gt; "&amp;IF(T442&amp;""="","NULL",SUBSTITUTE(T442&amp;"",",","."))&amp;", p_tipo_valvula =&gt; "&amp;IF(TRIM(U442&amp;"")="","NULL","'"&amp;SUBSTITUTE(TRIM(U442),"'","''")&amp;"'")&amp;", p_libro_cilindro =&gt; "&amp;IF(TRIM(V442&amp;"")="","NULL","'"&amp;SUBSTITUTE(TRIM(V442),"'","''")&amp;"'")&amp;", p_pagina_libro =&gt; "&amp;IF(W442&amp;""="","NULL",SUBSTITUTE(W442&amp;"",",","."))&amp;", p_observacion =&gt; "&amp;IF(TRIM(X442&amp;"")="","NULL","'"&amp;SUBSTITUTE(TRIM(X442),"'","''")&amp;"'")&amp;") AS resultado_balon_"&amp;ROW()&amp;";")</f>
        <v/>
      </c>
    </row>
    <row r="443" ht="15.75" customHeight="1" s="64">
      <c r="A443" s="36" t="inlineStr">
        <is>
          <t>439</t>
        </is>
      </c>
      <c r="B443" s="25">
        <f>IF(AND(C443="",D443="",E443=""),"",IF(C443="","FALTA código balón",IF(D443="","FALTA tipo balón",IF(E443="","FALTA gas",IF(F443="","FALTA propietario",IF(AND(C443&lt;&gt;"",SUMPRODUCT(--($C$5:$C$1200=C443))&gt;1),"CÓDIGO BALÓN DUPLICADO",IF(AND(OR(UPPER(F443)="PLANTA",UPPER(F443)="CLIENTE"),G443=""),"FALTA doc propietario/planta",IF(AND(UPPER(F443)="PLANTA",G443="10175332796"),"PLANTA no puede ser RUC empresa","OK"))))))))</f>
        <v/>
      </c>
      <c r="C443" s="54" t="inlineStr">
        <is>
          <t>19S208028</t>
        </is>
      </c>
      <c r="D443" s="17" t="inlineStr">
        <is>
          <t>Oxígeno Industrial 6 m³</t>
        </is>
      </c>
      <c r="E443" s="17" t="inlineStr">
        <is>
          <t>OXIGENO INDUSTRIAL</t>
        </is>
      </c>
      <c r="F443" s="17" t="inlineStr">
        <is>
          <t>EMPRESA</t>
        </is>
      </c>
      <c r="G443" s="23" t="inlineStr">
        <is>
          <t>10175332796</t>
        </is>
      </c>
      <c r="H443" s="25">
        <f t="array" ref="H443">IF(G443="","",IFERROR(IF(INDEX(Clientes!$D$5:$D$549,MATCH(G443,Clientes!$C$5:$C$549,0))&lt;&gt;"",INDEX(Clientes!$D$5:$D$549,MATCH(G443,Clientes!$C$5:$C$549,0)),TRIM(INDEX(Clientes!$E$5:$E$549,MATCH(G443,Clientes!$C$5:$C$549,0))&amp;" "&amp;INDEX(Clientes!$F$5:$F$549,MATCH(G443,Clientes!$C$5:$C$549,0)))),"NO EXISTE en Clientes"))</f>
        <v/>
      </c>
      <c r="I443" s="17" t="inlineStr">
        <is>
          <t>EN_PODER_CLIENTE</t>
        </is>
      </c>
      <c r="J443" s="17" t="n"/>
      <c r="K443" s="23" t="inlineStr">
        <is>
          <t>16454507</t>
        </is>
      </c>
      <c r="L443" s="25">
        <f t="array" ref="L443">IF(K443="","",IFERROR(IF(INDEX(Clientes!$D$5:$D$549,MATCH(K443,Clientes!$C$5:$C$549,0))&lt;&gt;"",INDEX(Clientes!$D$5:$D$549,MATCH(K443,Clientes!$C$5:$C$549,0)),TRIM(INDEX(Clientes!$E$5:$E$549,MATCH(K443,Clientes!$C$5:$C$549,0))&amp;" "&amp;INDEX(Clientes!$F$5:$F$549,MATCH(K443,Clientes!$C$5:$C$549,0)))),"NO EXISTE en Clientes"))</f>
        <v/>
      </c>
      <c r="M443" s="17" t="n"/>
      <c r="N443" s="17" t="n"/>
      <c r="O443" s="42" t="n"/>
      <c r="P443" s="39">
        <f>IF(O443&lt;&gt;"",DATE(YEAR(O443)+5,MONTH(O443),1),IF(AND(M443&lt;&gt;"",N443&lt;&gt;""),DATE(M443+5,N443,1),""))</f>
        <v/>
      </c>
      <c r="Q443" s="23" t="n"/>
      <c r="R443" s="17" t="n"/>
      <c r="S443" s="17" t="n"/>
      <c r="T443" s="17" t="n"/>
      <c r="U443" s="17" t="n"/>
      <c r="V443" s="23" t="n"/>
      <c r="W443" s="17" t="n"/>
      <c r="X443" s="17" t="n"/>
      <c r="Y443" s="28">
        <f>IF(B443&lt;&gt;"OK","","SELECT bal_crear_balon(p_codigo_balon =&gt; "&amp;IF(TRIM(C443&amp;"")="","NULL","'"&amp;SUBSTITUTE(TRIM(C443),"'","''")&amp;"'")&amp;", p_id_tipo_balon =&gt; "&amp;"(SELECT id FROM bal_tipo_balon WHERE upper(nombre) = upper('"&amp;SUBSTITUTE(TRIM(D443),"'","''")&amp;"') AND estado = 1 LIMIT 1)"&amp;", p_id_producto_gas =&gt; "&amp;"(SELECT id FROM pro_producto WHERE es_gas = TRUE AND upper(nombre) = upper('"&amp;SUBSTITUTE(TRIM(E443),"'","''")&amp;"') AND estado = 1 LIMIT 1)"&amp;", p_id_propietario =&gt; "&amp;IF(TRIM(F443&amp;"")="","NULL","(SELECT lo.id FROM gen_lista_opciones lo JOIN gen_lista l ON l.id = lo.id_lista WHERE l.nombre = 'PropietarioBalon' AND upper(lo.nombre) = upper('"&amp;SUBSTITUTE(TRIM(F443),"'","''")&amp;"') AND lo.estado = 1 LIMIT 1)")&amp;", p_id_cliente_propietario =&gt; "&amp;IF(F443="CLIENTE",IF(TRIM(G443&amp;"")="","NULL","(SELECT id FROM cli_clientes WHERE numero_documento = '"&amp;SUBSTITUTE(TRIM(G443),"'","''")&amp;"' AND estado = 1 LIMIT 1)"),"NULL")&amp;", p_id_planta =&gt; "&amp;IF(F443="PLANTA",IF(TRIM(G443&amp;"")="","NULL","(SELECT id FROM cli_clientes WHERE numero_documento = '"&amp;SUBSTITUTE(TRIM(G443),"'","''")&amp;"'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"&amp;IF(TRIM(J443&amp;"")="","NULL","(SELECT id FROM gen_almacen WHERE upper(nombre) = upper('"&amp;SUBSTITUTE(TRIM(J443),"'","''")&amp;"') AND estado = 1 LIMIT 1)")&amp;", p_id_cliente_ubicacion =&gt; "&amp;IF(TRIM(K443&amp;"")="","NULL","(SELECT id FROM cli_clientes WHERE numero_documento = '"&amp;SUBSTITUTE(TRIM(K443),"'","''")&amp;"' AND estado = 1 LIMIT 1)")&amp;", p_id_referencia =&gt; "&amp;IF(TRIM(J443&amp;"")&lt;&gt;"","(SELECT lo.id FROM gen_lista_opciones lo JOIN gen_lista l ON l.id = lo.id_lista WHERE l.nombre = 'ReferenciaCilindro' AND upper(lo.nombre) = 'ALMACEN' AND lo.estado = 1 LIMIT 1)",IF(TRIM(K443&amp;"")&lt;&gt;"","(SELECT lo.id FROM gen_lista_opciones lo JOIN gen_lista l ON l.id = lo.id_lista WHERE l.nombre = 'ReferenciaCilindro' AND upper(lo.nombre) = 'CLIENTE' AND lo.estado = 1 LIMIT 1)","NULL"))&amp;", p_anio_fabricacion =&gt; "&amp;IF(M443&amp;""="","NULL::smallint",M443&amp;"::smallint")&amp;", p_mes_fabricacion =&gt; "&amp;IF(N443&amp;""="","NULL::smallint",N443&amp;"::smallint")&amp;", p_fecha_ultima_prueba_hidrostatica =&gt; "&amp;IF(O443&amp;""="","NULL","'"&amp;YEAR(O443)&amp;"-"&amp;TEXT(MONTH(O443),"00")&amp;"-"&amp;TEXT(DAY(O443),"00")&amp;"'")&amp;", p_numero_serie =&gt; "&amp;IF(TRIM(Q443&amp;"")="","NULL","'"&amp;SUBSTITUTE(TRIM(Q443),"'","''")&amp;"'")&amp;", p_id_marca_cilindro =&gt; "&amp;IF(TRIM(R443&amp;"")="","NULL","(SELECT lo.id FROM gen_lista_opciones lo JOIN gen_lista l ON l.id = lo.id_lista WHERE l.nombre = 'MarcaCilindro' AND upper(lo.nombre) = upper('"&amp;SUBSTITUTE(TRIM(R443),"'","''")&amp;"') AND lo.estado = 1 LIMIT 1)")&amp;", p_id_organo_inspector =&gt; "&amp;IF(TRIM(S443&amp;"")="","NULL","(SELECT lo.id FROM gen_lista_opciones lo JOIN gen_lista l ON l.id = lo.id_lista WHERE l.nombre = 'OrganoInspectorCilindro' AND upper(lo.nombre) = upper('"&amp;SUBSTITUTE(TRIM(S443),"'","''")&amp;"') AND lo.estado = 1 LIMIT 1)")&amp;", p_organo_inspector_no_aplica =&gt; "&amp;IF(S443="NO_APLICA","TRUE","FALSE")&amp;", p_presion_actual =&gt; "&amp;IF(T443&amp;""="","NULL",SUBSTITUTE(T443&amp;"",",","."))&amp;", p_tipo_valvula =&gt; "&amp;IF(TRIM(U443&amp;"")="","NULL","'"&amp;SUBSTITUTE(TRIM(U443),"'","''")&amp;"'")&amp;", p_libro_cilindro =&gt; "&amp;IF(TRIM(V443&amp;"")="","NULL","'"&amp;SUBSTITUTE(TRIM(V443),"'","''")&amp;"'")&amp;", p_pagina_libro =&gt; "&amp;IF(W443&amp;""="","NULL",SUBSTITUTE(W443&amp;"",",","."))&amp;", p_observacion =&gt; "&amp;IF(TRIM(X443&amp;"")="","NULL","'"&amp;SUBSTITUTE(TRIM(X443),"'","''")&amp;"'")&amp;") AS resultado_balon_"&amp;ROW()&amp;";")</f>
        <v/>
      </c>
    </row>
    <row r="444" ht="15.75" customHeight="1" s="64">
      <c r="A444" s="36" t="inlineStr">
        <is>
          <t>440</t>
        </is>
      </c>
      <c r="B444" s="25">
        <f>IF(AND(C444="",D444="",E444=""),"",IF(C444="","FALTA código balón",IF(D444="","FALTA tipo balón",IF(E444="","FALTA gas",IF(F444="","FALTA propietario",IF(AND(C444&lt;&gt;"",SUMPRODUCT(--($C$5:$C$1200=C444))&gt;1),"CÓDIGO BALÓN DUPLICADO",IF(AND(OR(UPPER(F444)="PLANTA",UPPER(F444)="CLIENTE"),G444=""),"FALTA doc propietario/planta",IF(AND(UPPER(F444)="PLANTA",G444="10175332796"),"PLANTA no puede ser RUC empresa","OK"))))))))</f>
        <v/>
      </c>
      <c r="C444" s="54" t="inlineStr">
        <is>
          <t>N240039</t>
        </is>
      </c>
      <c r="D444" s="17" t="inlineStr">
        <is>
          <t>Oxígeno Industrial 6 m³</t>
        </is>
      </c>
      <c r="E444" s="17" t="inlineStr">
        <is>
          <t>OXIGENO INDUSTRIAL</t>
        </is>
      </c>
      <c r="F444" s="17" t="inlineStr">
        <is>
          <t>EMPRESA</t>
        </is>
      </c>
      <c r="G444" s="23" t="inlineStr">
        <is>
          <t>10175332796</t>
        </is>
      </c>
      <c r="H444" s="25">
        <f t="array" ref="H444">IF(G444="","",IFERROR(IF(INDEX(Clientes!$D$5:$D$549,MATCH(G444,Clientes!$C$5:$C$549,0))&lt;&gt;"",INDEX(Clientes!$D$5:$D$549,MATCH(G444,Clientes!$C$5:$C$549,0)),TRIM(INDEX(Clientes!$E$5:$E$549,MATCH(G444,Clientes!$C$5:$C$549,0))&amp;" "&amp;INDEX(Clientes!$F$5:$F$549,MATCH(G444,Clientes!$C$5:$C$549,0)))),"NO EXISTE en Clientes"))</f>
        <v/>
      </c>
      <c r="I444" s="17" t="inlineStr">
        <is>
          <t>EN_PODER_CLIENTE</t>
        </is>
      </c>
      <c r="J444" s="17" t="n"/>
      <c r="K444" s="23" t="inlineStr">
        <is>
          <t>20609158264</t>
        </is>
      </c>
      <c r="L444" s="25">
        <f t="array" ref="L444">IF(K444="","",IFERROR(IF(INDEX(Clientes!$D$5:$D$549,MATCH(K444,Clientes!$C$5:$C$549,0))&lt;&gt;"",INDEX(Clientes!$D$5:$D$549,MATCH(K444,Clientes!$C$5:$C$549,0)),TRIM(INDEX(Clientes!$E$5:$E$549,MATCH(K444,Clientes!$C$5:$C$549,0))&amp;" "&amp;INDEX(Clientes!$F$5:$F$549,MATCH(K444,Clientes!$C$5:$C$549,0)))),"NO EXISTE en Clientes"))</f>
        <v/>
      </c>
      <c r="M444" s="17" t="n"/>
      <c r="N444" s="17" t="n"/>
      <c r="O444" s="42" t="n"/>
      <c r="P444" s="39">
        <f>IF(O444&lt;&gt;"",DATE(YEAR(O444)+5,MONTH(O444),1),IF(AND(M444&lt;&gt;"",N444&lt;&gt;""),DATE(M444+5,N444,1),""))</f>
        <v/>
      </c>
      <c r="Q444" s="23" t="n"/>
      <c r="R444" s="17" t="n"/>
      <c r="S444" s="17" t="n"/>
      <c r="T444" s="17" t="n"/>
      <c r="U444" s="17" t="n"/>
      <c r="V444" s="23" t="n"/>
      <c r="W444" s="17" t="n"/>
      <c r="X444" s="17" t="n"/>
      <c r="Y444" s="28">
        <f>IF(B444&lt;&gt;"OK","","SELECT bal_crear_balon(p_codigo_balon =&gt; "&amp;IF(TRIM(C444&amp;"")="","NULL","'"&amp;SUBSTITUTE(TRIM(C444),"'","''")&amp;"'")&amp;", p_id_tipo_balon =&gt; "&amp;"(SELECT id FROM bal_tipo_balon WHERE upper(nombre) = upper('"&amp;SUBSTITUTE(TRIM(D444),"'","''")&amp;"') AND estado = 1 LIMIT 1)"&amp;", p_id_producto_gas =&gt; "&amp;"(SELECT id FROM pro_producto WHERE es_gas = TRUE AND upper(nombre) = upper('"&amp;SUBSTITUTE(TRIM(E444),"'","''")&amp;"') AND estado = 1 LIMIT 1)"&amp;", p_id_propietario =&gt; "&amp;IF(TRIM(F444&amp;"")="","NULL","(SELECT lo.id FROM gen_lista_opciones lo JOIN gen_lista l ON l.id = lo.id_lista WHERE l.nombre = 'PropietarioBalon' AND upper(lo.nombre) = upper('"&amp;SUBSTITUTE(TRIM(F444),"'","''")&amp;"') AND lo.estado = 1 LIMIT 1)")&amp;", p_id_cliente_propietario =&gt; "&amp;IF(F444="CLIENTE",IF(TRIM(G444&amp;"")="","NULL","(SELECT id FROM cli_clientes WHERE numero_documento = '"&amp;SUBSTITUTE(TRIM(G444),"'","''")&amp;"' AND estado = 1 LIMIT 1)"),"NULL")&amp;", p_id_planta =&gt; "&amp;IF(F444="PLANTA",IF(TRIM(G444&amp;"")="","NULL","(SELECT id FROM cli_clientes WHERE numero_documento = '"&amp;SUBSTITUTE(TRIM(G444),"'","''")&amp;"'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"&amp;IF(TRIM(J444&amp;"")="","NULL","(SELECT id FROM gen_almacen WHERE upper(nombre) = upper('"&amp;SUBSTITUTE(TRIM(J444),"'","''")&amp;"') AND estado = 1 LIMIT 1)")&amp;", p_id_cliente_ubicacion =&gt; "&amp;IF(TRIM(K444&amp;"")="","NULL","(SELECT id FROM cli_clientes WHERE numero_documento = '"&amp;SUBSTITUTE(TRIM(K444),"'","''")&amp;"' AND estado = 1 LIMIT 1)")&amp;", p_id_referencia =&gt; "&amp;IF(TRIM(J444&amp;"")&lt;&gt;"","(SELECT lo.id FROM gen_lista_opciones lo JOIN gen_lista l ON l.id = lo.id_lista WHERE l.nombre = 'ReferenciaCilindro' AND upper(lo.nombre) = 'ALMACEN' AND lo.estado = 1 LIMIT 1)",IF(TRIM(K444&amp;"")&lt;&gt;"","(SELECT lo.id FROM gen_lista_opciones lo JOIN gen_lista l ON l.id = lo.id_lista WHERE l.nombre = 'ReferenciaCilindro' AND upper(lo.nombre) = 'CLIENTE' AND lo.estado = 1 LIMIT 1)","NULL"))&amp;", p_anio_fabricacion =&gt; "&amp;IF(M444&amp;""="","NULL::smallint",M444&amp;"::smallint")&amp;", p_mes_fabricacion =&gt; "&amp;IF(N444&amp;""="","NULL::smallint",N444&amp;"::smallint")&amp;", p_fecha_ultima_prueba_hidrostatica =&gt; "&amp;IF(O444&amp;""="","NULL","'"&amp;YEAR(O444)&amp;"-"&amp;TEXT(MONTH(O444),"00")&amp;"-"&amp;TEXT(DAY(O444),"00")&amp;"'")&amp;", p_numero_serie =&gt; "&amp;IF(TRIM(Q444&amp;"")="","NULL","'"&amp;SUBSTITUTE(TRIM(Q444),"'","''")&amp;"'")&amp;", p_id_marca_cilindro =&gt; "&amp;IF(TRIM(R444&amp;"")="","NULL","(SELECT lo.id FROM gen_lista_opciones lo JOIN gen_lista l ON l.id = lo.id_lista WHERE l.nombre = 'MarcaCilindro' AND upper(lo.nombre) = upper('"&amp;SUBSTITUTE(TRIM(R444),"'","''")&amp;"') AND lo.estado = 1 LIMIT 1)")&amp;", p_id_organo_inspector =&gt; "&amp;IF(TRIM(S444&amp;"")="","NULL","(SELECT lo.id FROM gen_lista_opciones lo JOIN gen_lista l ON l.id = lo.id_lista WHERE l.nombre = 'OrganoInspectorCilindro' AND upper(lo.nombre) = upper('"&amp;SUBSTITUTE(TRIM(S444),"'","''")&amp;"') AND lo.estado = 1 LIMIT 1)")&amp;", p_organo_inspector_no_aplica =&gt; "&amp;IF(S444="NO_APLICA","TRUE","FALSE")&amp;", p_presion_actual =&gt; "&amp;IF(T444&amp;""="","NULL",SUBSTITUTE(T444&amp;"",",","."))&amp;", p_tipo_valvula =&gt; "&amp;IF(TRIM(U444&amp;"")="","NULL","'"&amp;SUBSTITUTE(TRIM(U444),"'","''")&amp;"'")&amp;", p_libro_cilindro =&gt; "&amp;IF(TRIM(V444&amp;"")="","NULL","'"&amp;SUBSTITUTE(TRIM(V444),"'","''")&amp;"'")&amp;", p_pagina_libro =&gt; "&amp;IF(W444&amp;""="","NULL",SUBSTITUTE(W444&amp;"",",","."))&amp;", p_observacion =&gt; "&amp;IF(TRIM(X444&amp;"")="","NULL","'"&amp;SUBSTITUTE(TRIM(X444),"'","''")&amp;"'")&amp;") AS resultado_balon_"&amp;ROW()&amp;";")</f>
        <v/>
      </c>
    </row>
    <row r="445" ht="15.75" customHeight="1" s="64">
      <c r="A445" s="36" t="inlineStr">
        <is>
          <t>441</t>
        </is>
      </c>
      <c r="B445" s="25">
        <f>IF(AND(C445="",D445="",E445=""),"",IF(C445="","FALTA código balón",IF(D445="","FALTA tipo balón",IF(E445="","FALTA gas",IF(F445="","FALTA propietario",IF(AND(C445&lt;&gt;"",SUMPRODUCT(--($C$5:$C$1200=C445))&gt;1),"CÓDIGO BALÓN DUPLICADO",IF(AND(OR(UPPER(F445)="PLANTA",UPPER(F445)="CLIENTE"),G445=""),"FALTA doc propietario/planta",IF(AND(UPPER(F445)="PLANTA",G445="10175332796"),"PLANTA no puede ser RUC empresa","OK"))))))))</f>
        <v/>
      </c>
      <c r="C445" s="54" t="inlineStr">
        <is>
          <t>N825948</t>
        </is>
      </c>
      <c r="D445" s="17" t="inlineStr">
        <is>
          <t>Oxígeno Medicinal 6 m³</t>
        </is>
      </c>
      <c r="E445" s="17" t="inlineStr">
        <is>
          <t>OXIGENO MEDICINAL</t>
        </is>
      </c>
      <c r="F445" s="17" t="inlineStr">
        <is>
          <t>EMPRESA</t>
        </is>
      </c>
      <c r="G445" s="23" t="inlineStr">
        <is>
          <t>10175332796</t>
        </is>
      </c>
      <c r="H445" s="25">
        <f t="array" ref="H445">IF(G445="","",IFERROR(IF(INDEX(Clientes!$D$5:$D$549,MATCH(G445,Clientes!$C$5:$C$549,0))&lt;&gt;"",INDEX(Clientes!$D$5:$D$549,MATCH(G445,Clientes!$C$5:$C$549,0)),TRIM(INDEX(Clientes!$E$5:$E$549,MATCH(G445,Clientes!$C$5:$C$549,0))&amp;" "&amp;INDEX(Clientes!$F$5:$F$549,MATCH(G445,Clientes!$C$5:$C$549,0)))),"NO EXISTE en Clientes"))</f>
        <v/>
      </c>
      <c r="I445" s="17" t="inlineStr">
        <is>
          <t>EN_PODER_CLIENTE</t>
        </is>
      </c>
      <c r="J445" s="17" t="n"/>
      <c r="K445" s="23" t="inlineStr">
        <is>
          <t>20601042151</t>
        </is>
      </c>
      <c r="L445" s="25">
        <f t="array" ref="L445">IF(K445="","",IFERROR(IF(INDEX(Clientes!$D$5:$D$549,MATCH(K445,Clientes!$C$5:$C$549,0))&lt;&gt;"",INDEX(Clientes!$D$5:$D$549,MATCH(K445,Clientes!$C$5:$C$549,0)),TRIM(INDEX(Clientes!$E$5:$E$549,MATCH(K445,Clientes!$C$5:$C$549,0))&amp;" "&amp;INDEX(Clientes!$F$5:$F$549,MATCH(K445,Clientes!$C$5:$C$549,0)))),"NO EXISTE en Clientes"))</f>
        <v/>
      </c>
      <c r="M445" s="17" t="n"/>
      <c r="N445" s="17" t="n"/>
      <c r="O445" s="42" t="n"/>
      <c r="P445" s="39">
        <f>IF(O445&lt;&gt;"",DATE(YEAR(O445)+5,MONTH(O445),1),IF(AND(M445&lt;&gt;"",N445&lt;&gt;""),DATE(M445+5,N445,1),""))</f>
        <v/>
      </c>
      <c r="Q445" s="23" t="n"/>
      <c r="R445" s="17" t="n"/>
      <c r="S445" s="17" t="n"/>
      <c r="T445" s="17" t="n"/>
      <c r="U445" s="17" t="n"/>
      <c r="V445" s="23" t="n"/>
      <c r="W445" s="17" t="n"/>
      <c r="X445" s="17" t="n"/>
      <c r="Y445" s="28">
        <f>IF(B445&lt;&gt;"OK","","SELECT bal_crear_balon(p_codigo_balon =&gt; "&amp;IF(TRIM(C445&amp;"")="","NULL","'"&amp;SUBSTITUTE(TRIM(C445),"'","''")&amp;"'")&amp;", p_id_tipo_balon =&gt; "&amp;"(SELECT id FROM bal_tipo_balon WHERE upper(nombre) = upper('"&amp;SUBSTITUTE(TRIM(D445),"'","''")&amp;"') AND estado = 1 LIMIT 1)"&amp;", p_id_producto_gas =&gt; "&amp;"(SELECT id FROM pro_producto WHERE es_gas = TRUE AND upper(nombre) = upper('"&amp;SUBSTITUTE(TRIM(E445),"'","''")&amp;"') AND estado = 1 LIMIT 1)"&amp;", p_id_propietario =&gt; "&amp;IF(TRIM(F445&amp;"")="","NULL","(SELECT lo.id FROM gen_lista_opciones lo JOIN gen_lista l ON l.id = lo.id_lista WHERE l.nombre = 'PropietarioBalon' AND upper(lo.nombre) = upper('"&amp;SUBSTITUTE(TRIM(F445),"'","''")&amp;"') AND lo.estado = 1 LIMIT 1)")&amp;", p_id_cliente_propietario =&gt; "&amp;IF(F445="CLIENTE",IF(TRIM(G445&amp;"")="","NULL","(SELECT id FROM cli_clientes WHERE numero_documento = '"&amp;SUBSTITUTE(TRIM(G445),"'","''")&amp;"' AND estado = 1 LIMIT 1)"),"NULL")&amp;", p_id_planta =&gt; "&amp;IF(F445="PLANTA",IF(TRIM(G445&amp;"")="","NULL","(SELECT id FROM cli_clientes WHERE numero_documento = '"&amp;SUBSTITUTE(TRIM(G445),"'","''")&amp;"'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"&amp;IF(TRIM(J445&amp;"")="","NULL","(SELECT id FROM gen_almacen WHERE upper(nombre) = upper('"&amp;SUBSTITUTE(TRIM(J445),"'","''")&amp;"') AND estado = 1 LIMIT 1)")&amp;", p_id_cliente_ubicacion =&gt; "&amp;IF(TRIM(K445&amp;"")="","NULL","(SELECT id FROM cli_clientes WHERE numero_documento = '"&amp;SUBSTITUTE(TRIM(K445),"'","''")&amp;"' AND estado = 1 LIMIT 1)")&amp;", p_id_referencia =&gt; "&amp;IF(TRIM(J445&amp;"")&lt;&gt;"","(SELECT lo.id FROM gen_lista_opciones lo JOIN gen_lista l ON l.id = lo.id_lista WHERE l.nombre = 'ReferenciaCilindro' AND upper(lo.nombre) = 'ALMACEN' AND lo.estado = 1 LIMIT 1)",IF(TRIM(K445&amp;"")&lt;&gt;"","(SELECT lo.id FROM gen_lista_opciones lo JOIN gen_lista l ON l.id = lo.id_lista WHERE l.nombre = 'ReferenciaCilindro' AND upper(lo.nombre) = 'CLIENTE' AND lo.estado = 1 LIMIT 1)","NULL"))&amp;", p_anio_fabricacion =&gt; "&amp;IF(M445&amp;""="","NULL::smallint",M445&amp;"::smallint")&amp;", p_mes_fabricacion =&gt; "&amp;IF(N445&amp;""="","NULL::smallint",N445&amp;"::smallint")&amp;", p_fecha_ultima_prueba_hidrostatica =&gt; "&amp;IF(O445&amp;""="","NULL","'"&amp;YEAR(O445)&amp;"-"&amp;TEXT(MONTH(O445),"00")&amp;"-"&amp;TEXT(DAY(O445),"00")&amp;"'")&amp;", p_numero_serie =&gt; "&amp;IF(TRIM(Q445&amp;"")="","NULL","'"&amp;SUBSTITUTE(TRIM(Q445),"'","''")&amp;"'")&amp;", p_id_marca_cilindro =&gt; "&amp;IF(TRIM(R445&amp;"")="","NULL","(SELECT lo.id FROM gen_lista_opciones lo JOIN gen_lista l ON l.id = lo.id_lista WHERE l.nombre = 'MarcaCilindro' AND upper(lo.nombre) = upper('"&amp;SUBSTITUTE(TRIM(R445),"'","''")&amp;"') AND lo.estado = 1 LIMIT 1)")&amp;", p_id_organo_inspector =&gt; "&amp;IF(TRIM(S445&amp;"")="","NULL","(SELECT lo.id FROM gen_lista_opciones lo JOIN gen_lista l ON l.id = lo.id_lista WHERE l.nombre = 'OrganoInspectorCilindro' AND upper(lo.nombre) = upper('"&amp;SUBSTITUTE(TRIM(S445),"'","''")&amp;"') AND lo.estado = 1 LIMIT 1)")&amp;", p_organo_inspector_no_aplica =&gt; "&amp;IF(S445="NO_APLICA","TRUE","FALSE")&amp;", p_presion_actual =&gt; "&amp;IF(T445&amp;""="","NULL",SUBSTITUTE(T445&amp;"",",","."))&amp;", p_tipo_valvula =&gt; "&amp;IF(TRIM(U445&amp;"")="","NULL","'"&amp;SUBSTITUTE(TRIM(U445),"'","''")&amp;"'")&amp;", p_libro_cilindro =&gt; "&amp;IF(TRIM(V445&amp;"")="","NULL","'"&amp;SUBSTITUTE(TRIM(V445),"'","''")&amp;"'")&amp;", p_pagina_libro =&gt; "&amp;IF(W445&amp;""="","NULL",SUBSTITUTE(W445&amp;"",",","."))&amp;", p_observacion =&gt; "&amp;IF(TRIM(X445&amp;"")="","NULL","'"&amp;SUBSTITUTE(TRIM(X445),"'","''")&amp;"'")&amp;") AS resultado_balon_"&amp;ROW()&amp;";")</f>
        <v/>
      </c>
    </row>
    <row r="446" ht="15.75" customHeight="1" s="64">
      <c r="A446" s="36" t="inlineStr">
        <is>
          <t>442</t>
        </is>
      </c>
      <c r="B446" s="25">
        <f>IF(AND(C446="",D446="",E446=""),"",IF(C446="","FALTA código balón",IF(D446="","FALTA tipo balón",IF(E446="","FALTA gas",IF(F446="","FALTA propietario",IF(AND(C446&lt;&gt;"",SUMPRODUCT(--($C$5:$C$1200=C446))&gt;1),"CÓDIGO BALÓN DUPLICADO",IF(AND(OR(UPPER(F446)="PLANTA",UPPER(F446)="CLIENTE"),G446=""),"FALTA doc propietario/planta",IF(AND(UPPER(F446)="PLANTA",G446="10175332796"),"PLANTA no puede ser RUC empresa","OK"))))))))</f>
        <v/>
      </c>
      <c r="C446" s="54" t="inlineStr">
        <is>
          <t>EC043035</t>
        </is>
      </c>
      <c r="D446" s="17" t="inlineStr">
        <is>
          <t>Oxígeno Industrial 10 m³</t>
        </is>
      </c>
      <c r="E446" s="17" t="inlineStr">
        <is>
          <t>OXIGENO INDUSTRIAL</t>
        </is>
      </c>
      <c r="F446" s="17" t="inlineStr">
        <is>
          <t>EMPRESA</t>
        </is>
      </c>
      <c r="G446" s="23" t="inlineStr">
        <is>
          <t>10175332796</t>
        </is>
      </c>
      <c r="H446" s="25">
        <f t="array" ref="H446">IF(G446="","",IFERROR(IF(INDEX(Clientes!$D$5:$D$549,MATCH(G446,Clientes!$C$5:$C$549,0))&lt;&gt;"",INDEX(Clientes!$D$5:$D$549,MATCH(G446,Clientes!$C$5:$C$549,0)),TRIM(INDEX(Clientes!$E$5:$E$549,MATCH(G446,Clientes!$C$5:$C$549,0))&amp;" "&amp;INDEX(Clientes!$F$5:$F$549,MATCH(G446,Clientes!$C$5:$C$549,0)))),"NO EXISTE en Clientes"))</f>
        <v/>
      </c>
      <c r="I446" s="17" t="inlineStr">
        <is>
          <t>EN_RECARGA_EXTERNA</t>
        </is>
      </c>
      <c r="J446" s="17" t="n"/>
      <c r="K446" s="23" t="inlineStr">
        <is>
          <t>20536698834</t>
        </is>
      </c>
      <c r="L446" s="25">
        <f t="array" ref="L446">IF(K446="","",IFERROR(IF(INDEX(Clientes!$D$5:$D$549,MATCH(K446,Clientes!$C$5:$C$549,0))&lt;&gt;"",INDEX(Clientes!$D$5:$D$549,MATCH(K446,Clientes!$C$5:$C$549,0)),TRIM(INDEX(Clientes!$E$5:$E$549,MATCH(K446,Clientes!$C$5:$C$549,0))&amp;" "&amp;INDEX(Clientes!$F$5:$F$549,MATCH(K446,Clientes!$C$5:$C$549,0)))),"NO EXISTE en Clientes"))</f>
        <v/>
      </c>
      <c r="M446" s="17" t="n"/>
      <c r="N446" s="17" t="n"/>
      <c r="O446" s="42" t="n"/>
      <c r="P446" s="39">
        <f>IF(O446&lt;&gt;"",DATE(YEAR(O446)+5,MONTH(O446),1),IF(AND(M446&lt;&gt;"",N446&lt;&gt;""),DATE(M446+5,N446,1),""))</f>
        <v/>
      </c>
      <c r="Q446" s="23" t="n"/>
      <c r="R446" s="17" t="n"/>
      <c r="S446" s="17" t="n"/>
      <c r="T446" s="17" t="n"/>
      <c r="U446" s="17" t="n"/>
      <c r="V446" s="23" t="n"/>
      <c r="W446" s="17" t="n"/>
      <c r="X446" s="17" t="n"/>
      <c r="Y446" s="28">
        <f>IF(B446&lt;&gt;"OK","","SELECT bal_crear_balon(p_codigo_balon =&gt; "&amp;IF(TRIM(C446&amp;"")="","NULL","'"&amp;SUBSTITUTE(TRIM(C446),"'","''")&amp;"'")&amp;", p_id_tipo_balon =&gt; "&amp;"(SELECT id FROM bal_tipo_balon WHERE upper(nombre) = upper('"&amp;SUBSTITUTE(TRIM(D446),"'","''")&amp;"') AND estado = 1 LIMIT 1)"&amp;", p_id_producto_gas =&gt; "&amp;"(SELECT id FROM pro_producto WHERE es_gas = TRUE AND upper(nombre) = upper('"&amp;SUBSTITUTE(TRIM(E446),"'","''")&amp;"') AND estado = 1 LIMIT 1)"&amp;", p_id_propietario =&gt; "&amp;IF(TRIM(F446&amp;"")="","NULL","(SELECT lo.id FROM gen_lista_opciones lo JOIN gen_lista l ON l.id = lo.id_lista WHERE l.nombre = 'PropietarioBalon' AND upper(lo.nombre) = upper('"&amp;SUBSTITUTE(TRIM(F446),"'","''")&amp;"') AND lo.estado = 1 LIMIT 1)")&amp;", p_id_cliente_propietario =&gt; "&amp;IF(F446="CLIENTE",IF(TRIM(G446&amp;"")="","NULL","(SELECT id FROM cli_clientes WHERE numero_documento = '"&amp;SUBSTITUTE(TRIM(G446),"'","''")&amp;"' AND estado = 1 LIMIT 1)"),"NULL")&amp;", p_id_planta =&gt; "&amp;IF(F446="PLANTA",IF(TRIM(G446&amp;"")="","NULL","(SELECT id FROM cli_clientes WHERE numero_documento = '"&amp;SUBSTITUTE(TRIM(G446),"'","''")&amp;"'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"&amp;IF(TRIM(J446&amp;"")="","NULL","(SELECT id FROM gen_almacen WHERE upper(nombre) = upper('"&amp;SUBSTITUTE(TRIM(J446),"'","''")&amp;"') AND estado = 1 LIMIT 1)")&amp;", p_id_cliente_ubicacion =&gt; "&amp;IF(TRIM(K446&amp;"")="","NULL","(SELECT id FROM cli_clientes WHERE numero_documento = '"&amp;SUBSTITUTE(TRIM(K446),"'","''")&amp;"' AND estado = 1 LIMIT 1)")&amp;", p_id_referencia =&gt; "&amp;IF(TRIM(J446&amp;"")&lt;&gt;"","(SELECT lo.id FROM gen_lista_opciones lo JOIN gen_lista l ON l.id = lo.id_lista WHERE l.nombre = 'ReferenciaCilindro' AND upper(lo.nombre) = 'ALMACEN' AND lo.estado = 1 LIMIT 1)",IF(TRIM(K446&amp;"")&lt;&gt;"","(SELECT lo.id FROM gen_lista_opciones lo JOIN gen_lista l ON l.id = lo.id_lista WHERE l.nombre = 'ReferenciaCilindro' AND upper(lo.nombre) = 'CLIENTE' AND lo.estado = 1 LIMIT 1)","NULL"))&amp;", p_anio_fabricacion =&gt; "&amp;IF(M446&amp;""="","NULL::smallint",M446&amp;"::smallint")&amp;", p_mes_fabricacion =&gt; "&amp;IF(N446&amp;""="","NULL::smallint",N446&amp;"::smallint")&amp;", p_fecha_ultima_prueba_hidrostatica =&gt; "&amp;IF(O446&amp;""="","NULL","'"&amp;YEAR(O446)&amp;"-"&amp;TEXT(MONTH(O446),"00")&amp;"-"&amp;TEXT(DAY(O446),"00")&amp;"'")&amp;", p_numero_serie =&gt; "&amp;IF(TRIM(Q446&amp;"")="","NULL","'"&amp;SUBSTITUTE(TRIM(Q446),"'","''")&amp;"'")&amp;", p_id_marca_cilindro =&gt; "&amp;IF(TRIM(R446&amp;"")="","NULL","(SELECT lo.id FROM gen_lista_opciones lo JOIN gen_lista l ON l.id = lo.id_lista WHERE l.nombre = 'MarcaCilindro' AND upper(lo.nombre) = upper('"&amp;SUBSTITUTE(TRIM(R446),"'","''")&amp;"') AND lo.estado = 1 LIMIT 1)")&amp;", p_id_organo_inspector =&gt; "&amp;IF(TRIM(S446&amp;"")="","NULL","(SELECT lo.id FROM gen_lista_opciones lo JOIN gen_lista l ON l.id = lo.id_lista WHERE l.nombre = 'OrganoInspectorCilindro' AND upper(lo.nombre) = upper('"&amp;SUBSTITUTE(TRIM(S446),"'","''")&amp;"') AND lo.estado = 1 LIMIT 1)")&amp;", p_organo_inspector_no_aplica =&gt; "&amp;IF(S446="NO_APLICA","TRUE","FALSE")&amp;", p_presion_actual =&gt; "&amp;IF(T446&amp;""="","NULL",SUBSTITUTE(T446&amp;"",",","."))&amp;", p_tipo_valvula =&gt; "&amp;IF(TRIM(U446&amp;"")="","NULL","'"&amp;SUBSTITUTE(TRIM(U446),"'","''")&amp;"'")&amp;", p_libro_cilindro =&gt; "&amp;IF(TRIM(V446&amp;"")="","NULL","'"&amp;SUBSTITUTE(TRIM(V446),"'","''")&amp;"'")&amp;", p_pagina_libro =&gt; "&amp;IF(W446&amp;""="","NULL",SUBSTITUTE(W446&amp;"",",","."))&amp;", p_observacion =&gt; "&amp;IF(TRIM(X446&amp;"")="","NULL","'"&amp;SUBSTITUTE(TRIM(X446),"'","''")&amp;"'")&amp;") AS resultado_balon_"&amp;ROW()&amp;";")</f>
        <v/>
      </c>
    </row>
    <row r="447" ht="15.75" customHeight="1" s="64">
      <c r="A447" s="36" t="inlineStr">
        <is>
          <t>443</t>
        </is>
      </c>
      <c r="B447" s="25">
        <f>IF(AND(C447="",D447="",E447=""),"",IF(C447="","FALTA código balón",IF(D447="","FALTA tipo balón",IF(E447="","FALTA gas",IF(F447="","FALTA propietario",IF(AND(C447&lt;&gt;"",SUMPRODUCT(--($C$5:$C$1200=C447))&gt;1),"CÓDIGO BALÓN DUPLICADO",IF(AND(OR(UPPER(F447)="PLANTA",UPPER(F447)="CLIENTE"),G447=""),"FALTA doc propietario/planta",IF(AND(UPPER(F447)="PLANTA",G447="10175332796"),"PLANTA no puede ser RUC empresa","OK"))))))))</f>
        <v/>
      </c>
      <c r="C447" s="54" t="inlineStr">
        <is>
          <t>YA20Y504028</t>
        </is>
      </c>
      <c r="D447" s="17" t="inlineStr">
        <is>
          <t>Oxígeno Industrial 10 m³</t>
        </is>
      </c>
      <c r="E447" s="17" t="inlineStr">
        <is>
          <t>OXIGENO INDUSTRIAL</t>
        </is>
      </c>
      <c r="F447" s="17" t="inlineStr">
        <is>
          <t>EMPRESA</t>
        </is>
      </c>
      <c r="G447" s="23" t="inlineStr">
        <is>
          <t>10175332796</t>
        </is>
      </c>
      <c r="H447" s="25">
        <f t="array" ref="H447">IF(G447="","",IFERROR(IF(INDEX(Clientes!$D$5:$D$549,MATCH(G447,Clientes!$C$5:$C$549,0))&lt;&gt;"",INDEX(Clientes!$D$5:$D$549,MATCH(G447,Clientes!$C$5:$C$549,0)),TRIM(INDEX(Clientes!$E$5:$E$549,MATCH(G447,Clientes!$C$5:$C$549,0))&amp;" "&amp;INDEX(Clientes!$F$5:$F$549,MATCH(G447,Clientes!$C$5:$C$549,0)))),"NO EXISTE en Clientes"))</f>
        <v/>
      </c>
      <c r="I447" s="17" t="inlineStr">
        <is>
          <t>EN_RECARGA_EXTERNA</t>
        </is>
      </c>
      <c r="J447" s="17" t="n"/>
      <c r="K447" s="23" t="inlineStr">
        <is>
          <t>20536698834</t>
        </is>
      </c>
      <c r="L447" s="25">
        <f t="array" ref="L447">IF(K447="","",IFERROR(IF(INDEX(Clientes!$D$5:$D$549,MATCH(K447,Clientes!$C$5:$C$549,0))&lt;&gt;"",INDEX(Clientes!$D$5:$D$549,MATCH(K447,Clientes!$C$5:$C$549,0)),TRIM(INDEX(Clientes!$E$5:$E$549,MATCH(K447,Clientes!$C$5:$C$549,0))&amp;" "&amp;INDEX(Clientes!$F$5:$F$549,MATCH(K447,Clientes!$C$5:$C$549,0)))),"NO EXISTE en Clientes"))</f>
        <v/>
      </c>
      <c r="M447" s="17" t="n"/>
      <c r="N447" s="17" t="n"/>
      <c r="O447" s="42" t="n"/>
      <c r="P447" s="39">
        <f>IF(O447&lt;&gt;"",DATE(YEAR(O447)+5,MONTH(O447),1),IF(AND(M447&lt;&gt;"",N447&lt;&gt;""),DATE(M447+5,N447,1),""))</f>
        <v/>
      </c>
      <c r="Q447" s="23" t="n"/>
      <c r="R447" s="17" t="n"/>
      <c r="S447" s="17" t="n"/>
      <c r="T447" s="17" t="n"/>
      <c r="U447" s="17" t="n"/>
      <c r="V447" s="23" t="n"/>
      <c r="W447" s="17" t="n"/>
      <c r="X447" s="17" t="n"/>
      <c r="Y447" s="28">
        <f>IF(B447&lt;&gt;"OK","","SELECT bal_crear_balon(p_codigo_balon =&gt; "&amp;IF(TRIM(C447&amp;"")="","NULL","'"&amp;SUBSTITUTE(TRIM(C447),"'","''")&amp;"'")&amp;", p_id_tipo_balon =&gt; "&amp;"(SELECT id FROM bal_tipo_balon WHERE upper(nombre) = upper('"&amp;SUBSTITUTE(TRIM(D447),"'","''")&amp;"') AND estado = 1 LIMIT 1)"&amp;", p_id_producto_gas =&gt; "&amp;"(SELECT id FROM pro_producto WHERE es_gas = TRUE AND upper(nombre) = upper('"&amp;SUBSTITUTE(TRIM(E447),"'","''")&amp;"') AND estado = 1 LIMIT 1)"&amp;", p_id_propietario =&gt; "&amp;IF(TRIM(F447&amp;"")="","NULL","(SELECT lo.id FROM gen_lista_opciones lo JOIN gen_lista l ON l.id = lo.id_lista WHERE l.nombre = 'PropietarioBalon' AND upper(lo.nombre) = upper('"&amp;SUBSTITUTE(TRIM(F447),"'","''")&amp;"') AND lo.estado = 1 LIMIT 1)")&amp;", p_id_cliente_propietario =&gt; "&amp;IF(F447="CLIENTE",IF(TRIM(G447&amp;"")="","NULL","(SELECT id FROM cli_clientes WHERE numero_documento = '"&amp;SUBSTITUTE(TRIM(G447),"'","''")&amp;"' AND estado = 1 LIMIT 1)"),"NULL")&amp;", p_id_planta =&gt; "&amp;IF(F447="PLANTA",IF(TRIM(G447&amp;"")="","NULL","(SELECT id FROM cli_clientes WHERE numero_documento = '"&amp;SUBSTITUTE(TRIM(G447),"'","''")&amp;"'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"&amp;IF(TRIM(J447&amp;"")="","NULL","(SELECT id FROM gen_almacen WHERE upper(nombre) = upper('"&amp;SUBSTITUTE(TRIM(J447),"'","''")&amp;"') AND estado = 1 LIMIT 1)")&amp;", p_id_cliente_ubicacion =&gt; "&amp;IF(TRIM(K447&amp;"")="","NULL","(SELECT id FROM cli_clientes WHERE numero_documento = '"&amp;SUBSTITUTE(TRIM(K447),"'","''")&amp;"' AND estado = 1 LIMIT 1)")&amp;", p_id_referencia =&gt; "&amp;IF(TRIM(J447&amp;"")&lt;&gt;"","(SELECT lo.id FROM gen_lista_opciones lo JOIN gen_lista l ON l.id = lo.id_lista WHERE l.nombre = 'ReferenciaCilindro' AND upper(lo.nombre) = 'ALMACEN' AND lo.estado = 1 LIMIT 1)",IF(TRIM(K447&amp;"")&lt;&gt;"","(SELECT lo.id FROM gen_lista_opciones lo JOIN gen_lista l ON l.id = lo.id_lista WHERE l.nombre = 'ReferenciaCilindro' AND upper(lo.nombre) = 'CLIENTE' AND lo.estado = 1 LIMIT 1)","NULL"))&amp;", p_anio_fabricacion =&gt; "&amp;IF(M447&amp;""="","NULL::smallint",M447&amp;"::smallint")&amp;", p_mes_fabricacion =&gt; "&amp;IF(N447&amp;""="","NULL::smallint",N447&amp;"::smallint")&amp;", p_fecha_ultima_prueba_hidrostatica =&gt; "&amp;IF(O447&amp;""="","NULL","'"&amp;YEAR(O447)&amp;"-"&amp;TEXT(MONTH(O447),"00")&amp;"-"&amp;TEXT(DAY(O447),"00")&amp;"'")&amp;", p_numero_serie =&gt; "&amp;IF(TRIM(Q447&amp;"")="","NULL","'"&amp;SUBSTITUTE(TRIM(Q447),"'","''")&amp;"'")&amp;", p_id_marca_cilindro =&gt; "&amp;IF(TRIM(R447&amp;"")="","NULL","(SELECT lo.id FROM gen_lista_opciones lo JOIN gen_lista l ON l.id = lo.id_lista WHERE l.nombre = 'MarcaCilindro' AND upper(lo.nombre) = upper('"&amp;SUBSTITUTE(TRIM(R447),"'","''")&amp;"') AND lo.estado = 1 LIMIT 1)")&amp;", p_id_organo_inspector =&gt; "&amp;IF(TRIM(S447&amp;"")="","NULL","(SELECT lo.id FROM gen_lista_opciones lo JOIN gen_lista l ON l.id = lo.id_lista WHERE l.nombre = 'OrganoInspectorCilindro' AND upper(lo.nombre) = upper('"&amp;SUBSTITUTE(TRIM(S447),"'","''")&amp;"') AND lo.estado = 1 LIMIT 1)")&amp;", p_organo_inspector_no_aplica =&gt; "&amp;IF(S447="NO_APLICA","TRUE","FALSE")&amp;", p_presion_actual =&gt; "&amp;IF(T447&amp;""="","NULL",SUBSTITUTE(T447&amp;"",",","."))&amp;", p_tipo_valvula =&gt; "&amp;IF(TRIM(U447&amp;"")="","NULL","'"&amp;SUBSTITUTE(TRIM(U447),"'","''")&amp;"'")&amp;", p_libro_cilindro =&gt; "&amp;IF(TRIM(V447&amp;"")="","NULL","'"&amp;SUBSTITUTE(TRIM(V447),"'","''")&amp;"'")&amp;", p_pagina_libro =&gt; "&amp;IF(W447&amp;""="","NULL",SUBSTITUTE(W447&amp;"",",","."))&amp;", p_observacion =&gt; "&amp;IF(TRIM(X447&amp;"")="","NULL","'"&amp;SUBSTITUTE(TRIM(X447),"'","''")&amp;"'")&amp;") AS resultado_balon_"&amp;ROW()&amp;";")</f>
        <v/>
      </c>
    </row>
    <row r="448" ht="15.75" customHeight="1" s="64">
      <c r="A448" s="36" t="inlineStr">
        <is>
          <t>444</t>
        </is>
      </c>
      <c r="B448" s="25">
        <f>IF(AND(C448="",D448="",E448=""),"",IF(C448="","FALTA código balón",IF(D448="","FALTA tipo balón",IF(E448="","FALTA gas",IF(F448="","FALTA propietario",IF(AND(C448&lt;&gt;"",SUMPRODUCT(--($C$5:$C$1200=C448))&gt;1),"CÓDIGO BALÓN DUPLICADO",IF(AND(OR(UPPER(F448)="PLANTA",UPPER(F448)="CLIENTE"),G448=""),"FALTA doc propietario/planta",IF(AND(UPPER(F448)="PLANTA",G448="10175332796"),"PLANTA no puede ser RUC empresa","OK"))))))))</f>
        <v/>
      </c>
      <c r="C448" s="54" t="inlineStr">
        <is>
          <t>8999060</t>
        </is>
      </c>
      <c r="D448" s="17" t="inlineStr">
        <is>
          <t>Argón Estándar 10 m3</t>
        </is>
      </c>
      <c r="E448" s="17" t="inlineStr">
        <is>
          <t>ARGON</t>
        </is>
      </c>
      <c r="F448" s="17" t="inlineStr">
        <is>
          <t>EMPRESA</t>
        </is>
      </c>
      <c r="G448" s="23" t="inlineStr">
        <is>
          <t>10175332796</t>
        </is>
      </c>
      <c r="H448" s="25">
        <f t="array" ref="H448">IF(G448="","",IFERROR(IF(INDEX(Clientes!$D$5:$D$549,MATCH(G448,Clientes!$C$5:$C$549,0))&lt;&gt;"",INDEX(Clientes!$D$5:$D$549,MATCH(G448,Clientes!$C$5:$C$549,0)),TRIM(INDEX(Clientes!$E$5:$E$549,MATCH(G448,Clientes!$C$5:$C$549,0))&amp;" "&amp;INDEX(Clientes!$F$5:$F$549,MATCH(G448,Clientes!$C$5:$C$549,0)))),"NO EXISTE en Clientes"))</f>
        <v/>
      </c>
      <c r="I448" s="17" t="inlineStr">
        <is>
          <t>EN_RECARGA_EXTERNA</t>
        </is>
      </c>
      <c r="J448" s="17" t="n"/>
      <c r="K448" s="23" t="inlineStr">
        <is>
          <t>20536698834</t>
        </is>
      </c>
      <c r="L448" s="25">
        <f t="array" ref="L448">IF(K448="","",IFERROR(IF(INDEX(Clientes!$D$5:$D$549,MATCH(K448,Clientes!$C$5:$C$549,0))&lt;&gt;"",INDEX(Clientes!$D$5:$D$549,MATCH(K448,Clientes!$C$5:$C$549,0)),TRIM(INDEX(Clientes!$E$5:$E$549,MATCH(K448,Clientes!$C$5:$C$549,0))&amp;" "&amp;INDEX(Clientes!$F$5:$F$549,MATCH(K448,Clientes!$C$5:$C$549,0)))),"NO EXISTE en Clientes"))</f>
        <v/>
      </c>
      <c r="M448" s="17" t="n"/>
      <c r="N448" s="17" t="n"/>
      <c r="O448" s="42" t="n"/>
      <c r="P448" s="39">
        <f>IF(O448&lt;&gt;"",DATE(YEAR(O448)+5,MONTH(O448),1),IF(AND(M448&lt;&gt;"",N448&lt;&gt;""),DATE(M448+5,N448,1),""))</f>
        <v/>
      </c>
      <c r="Q448" s="23" t="n"/>
      <c r="R448" s="17" t="n"/>
      <c r="S448" s="17" t="n"/>
      <c r="T448" s="17" t="n"/>
      <c r="U448" s="17" t="n"/>
      <c r="V448" s="23" t="n"/>
      <c r="W448" s="17" t="n"/>
      <c r="X448" s="17" t="n"/>
      <c r="Y448" s="28">
        <f>IF(B448&lt;&gt;"OK","","SELECT bal_crear_balon(p_codigo_balon =&gt; "&amp;IF(TRIM(C448&amp;"")="","NULL","'"&amp;SUBSTITUTE(TRIM(C448),"'","''")&amp;"'")&amp;", p_id_tipo_balon =&gt; "&amp;"(SELECT id FROM bal_tipo_balon WHERE upper(nombre) = upper('"&amp;SUBSTITUTE(TRIM(D448),"'","''")&amp;"') AND estado = 1 LIMIT 1)"&amp;", p_id_producto_gas =&gt; "&amp;"(SELECT id FROM pro_producto WHERE es_gas = TRUE AND upper(nombre) = upper('"&amp;SUBSTITUTE(TRIM(E448),"'","''")&amp;"') AND estado = 1 LIMIT 1)"&amp;", p_id_propietario =&gt; "&amp;IF(TRIM(F448&amp;"")="","NULL","(SELECT lo.id FROM gen_lista_opciones lo JOIN gen_lista l ON l.id = lo.id_lista WHERE l.nombre = 'PropietarioBalon' AND upper(lo.nombre) = upper('"&amp;SUBSTITUTE(TRIM(F448),"'","''")&amp;"') AND lo.estado = 1 LIMIT 1)")&amp;", p_id_cliente_propietario =&gt; "&amp;IF(F448="CLIENTE",IF(TRIM(G448&amp;"")="","NULL","(SELECT id FROM cli_clientes WHERE numero_documento = '"&amp;SUBSTITUTE(TRIM(G448),"'","''")&amp;"' AND estado = 1 LIMIT 1)"),"NULL")&amp;", p_id_planta =&gt; "&amp;IF(F448="PLANTA",IF(TRIM(G448&amp;"")="","NULL","(SELECT id FROM cli_clientes WHERE numero_documento = '"&amp;SUBSTITUTE(TRIM(G448),"'","''")&amp;"'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"&amp;IF(TRIM(J448&amp;"")="","NULL","(SELECT id FROM gen_almacen WHERE upper(nombre) = upper('"&amp;SUBSTITUTE(TRIM(J448),"'","''")&amp;"') AND estado = 1 LIMIT 1)")&amp;", p_id_cliente_ubicacion =&gt; "&amp;IF(TRIM(K448&amp;"")="","NULL","(SELECT id FROM cli_clientes WHERE numero_documento = '"&amp;SUBSTITUTE(TRIM(K448),"'","''")&amp;"' AND estado = 1 LIMIT 1)")&amp;", p_id_referencia =&gt; "&amp;IF(TRIM(J448&amp;"")&lt;&gt;"","(SELECT lo.id FROM gen_lista_opciones lo JOIN gen_lista l ON l.id = lo.id_lista WHERE l.nombre = 'ReferenciaCilindro' AND upper(lo.nombre) = 'ALMACEN' AND lo.estado = 1 LIMIT 1)",IF(TRIM(K448&amp;"")&lt;&gt;"","(SELECT lo.id FROM gen_lista_opciones lo JOIN gen_lista l ON l.id = lo.id_lista WHERE l.nombre = 'ReferenciaCilindro' AND upper(lo.nombre) = 'CLIENTE' AND lo.estado = 1 LIMIT 1)","NULL"))&amp;", p_anio_fabricacion =&gt; "&amp;IF(M448&amp;""="","NULL::smallint",M448&amp;"::smallint")&amp;", p_mes_fabricacion =&gt; "&amp;IF(N448&amp;""="","NULL::smallint",N448&amp;"::smallint")&amp;", p_fecha_ultima_prueba_hidrostatica =&gt; "&amp;IF(O448&amp;""="","NULL","'"&amp;YEAR(O448)&amp;"-"&amp;TEXT(MONTH(O448),"00")&amp;"-"&amp;TEXT(DAY(O448),"00")&amp;"'")&amp;", p_numero_serie =&gt; "&amp;IF(TRIM(Q448&amp;"")="","NULL","'"&amp;SUBSTITUTE(TRIM(Q448),"'","''")&amp;"'")&amp;", p_id_marca_cilindro =&gt; "&amp;IF(TRIM(R448&amp;"")="","NULL","(SELECT lo.id FROM gen_lista_opciones lo JOIN gen_lista l ON l.id = lo.id_lista WHERE l.nombre = 'MarcaCilindro' AND upper(lo.nombre) = upper('"&amp;SUBSTITUTE(TRIM(R448),"'","''")&amp;"') AND lo.estado = 1 LIMIT 1)")&amp;", p_id_organo_inspector =&gt; "&amp;IF(TRIM(S448&amp;"")="","NULL","(SELECT lo.id FROM gen_lista_opciones lo JOIN gen_lista l ON l.id = lo.id_lista WHERE l.nombre = 'OrganoInspectorCilindro' AND upper(lo.nombre) = upper('"&amp;SUBSTITUTE(TRIM(S448),"'","''")&amp;"') AND lo.estado = 1 LIMIT 1)")&amp;", p_organo_inspector_no_aplica =&gt; "&amp;IF(S448="NO_APLICA","TRUE","FALSE")&amp;", p_presion_actual =&gt; "&amp;IF(T448&amp;""="","NULL",SUBSTITUTE(T448&amp;"",",","."))&amp;", p_tipo_valvula =&gt; "&amp;IF(TRIM(U448&amp;"")="","NULL","'"&amp;SUBSTITUTE(TRIM(U448),"'","''")&amp;"'")&amp;", p_libro_cilindro =&gt; "&amp;IF(TRIM(V448&amp;"")="","NULL","'"&amp;SUBSTITUTE(TRIM(V448),"'","''")&amp;"'")&amp;", p_pagina_libro =&gt; "&amp;IF(W448&amp;""="","NULL",SUBSTITUTE(W448&amp;"",",","."))&amp;", p_observacion =&gt; "&amp;IF(TRIM(X448&amp;"")="","NULL","'"&amp;SUBSTITUTE(TRIM(X448),"'","''")&amp;"'")&amp;") AS resultado_balon_"&amp;ROW()&amp;";")</f>
        <v/>
      </c>
    </row>
    <row r="449" ht="15.75" customHeight="1" s="64">
      <c r="A449" s="36" t="inlineStr">
        <is>
          <t>445</t>
        </is>
      </c>
      <c r="B449" s="25">
        <f>IF(AND(C449="",D449="",E449=""),"",IF(C449="","FALTA código balón",IF(D449="","FALTA tipo balón",IF(E449="","FALTA gas",IF(F449="","FALTA propietario",IF(AND(C449&lt;&gt;"",SUMPRODUCT(--($C$5:$C$1200=C449))&gt;1),"CÓDIGO BALÓN DUPLICADO",IF(AND(OR(UPPER(F449)="PLANTA",UPPER(F449)="CLIENTE"),G449=""),"FALTA doc propietario/planta",IF(AND(UPPER(F449)="PLANTA",G449="10175332796"),"PLANTA no puede ser RUC empresa","OK"))))))))</f>
        <v/>
      </c>
      <c r="C449" s="54" t="inlineStr">
        <is>
          <t>A2389096</t>
        </is>
      </c>
      <c r="D449" s="17" t="inlineStr">
        <is>
          <t>Dióxido de carbono 13 kg</t>
        </is>
      </c>
      <c r="E449" s="17" t="inlineStr">
        <is>
          <t>DIÓXIDO DE CARBONO</t>
        </is>
      </c>
      <c r="F449" s="17" t="inlineStr">
        <is>
          <t>EMPRESA</t>
        </is>
      </c>
      <c r="G449" s="23" t="inlineStr">
        <is>
          <t>10175332796</t>
        </is>
      </c>
      <c r="H449" s="25">
        <f t="array" ref="H449">IF(G449="","",IFERROR(IF(INDEX(Clientes!$D$5:$D$549,MATCH(G449,Clientes!$C$5:$C$549,0))&lt;&gt;"",INDEX(Clientes!$D$5:$D$549,MATCH(G449,Clientes!$C$5:$C$549,0)),TRIM(INDEX(Clientes!$E$5:$E$549,MATCH(G449,Clientes!$C$5:$C$549,0))&amp;" "&amp;INDEX(Clientes!$F$5:$F$549,MATCH(G449,Clientes!$C$5:$C$549,0)))),"NO EXISTE en Clientes"))</f>
        <v/>
      </c>
      <c r="I449" s="17" t="inlineStr">
        <is>
          <t>EN_RECARGA_EXTERNA</t>
        </is>
      </c>
      <c r="J449" s="17" t="n"/>
      <c r="K449" s="23" t="inlineStr">
        <is>
          <t>20536698834</t>
        </is>
      </c>
      <c r="L449" s="25">
        <f t="array" ref="L449">IF(K449="","",IFERROR(IF(INDEX(Clientes!$D$5:$D$549,MATCH(K449,Clientes!$C$5:$C$549,0))&lt;&gt;"",INDEX(Clientes!$D$5:$D$549,MATCH(K449,Clientes!$C$5:$C$549,0)),TRIM(INDEX(Clientes!$E$5:$E$549,MATCH(K449,Clientes!$C$5:$C$549,0))&amp;" "&amp;INDEX(Clientes!$F$5:$F$549,MATCH(K449,Clientes!$C$5:$C$549,0)))),"NO EXISTE en Clientes"))</f>
        <v/>
      </c>
      <c r="M449" s="17" t="n"/>
      <c r="N449" s="17" t="n"/>
      <c r="O449" s="42" t="n"/>
      <c r="P449" s="39">
        <f>IF(O449&lt;&gt;"",DATE(YEAR(O449)+5,MONTH(O449),1),IF(AND(M449&lt;&gt;"",N449&lt;&gt;""),DATE(M449+5,N449,1),""))</f>
        <v/>
      </c>
      <c r="Q449" s="23" t="n"/>
      <c r="R449" s="17" t="n"/>
      <c r="S449" s="17" t="n"/>
      <c r="T449" s="17" t="n"/>
      <c r="U449" s="17" t="n"/>
      <c r="V449" s="23" t="n"/>
      <c r="W449" s="17" t="n"/>
      <c r="X449" s="17" t="n"/>
      <c r="Y449" s="28">
        <f>IF(B449&lt;&gt;"OK","","SELECT bal_crear_balon(p_codigo_balon =&gt; "&amp;IF(TRIM(C449&amp;"")="","NULL","'"&amp;SUBSTITUTE(TRIM(C449),"'","''")&amp;"'")&amp;", p_id_tipo_balon =&gt; "&amp;"(SELECT id FROM bal_tipo_balon WHERE upper(nombre) = upper('"&amp;SUBSTITUTE(TRIM(D449),"'","''")&amp;"') AND estado = 1 LIMIT 1)"&amp;", p_id_producto_gas =&gt; "&amp;"(SELECT id FROM pro_producto WHERE es_gas = TRUE AND upper(nombre) = upper('"&amp;SUBSTITUTE(TRIM(E449),"'","''")&amp;"') AND estado = 1 LIMIT 1)"&amp;", p_id_propietario =&gt; "&amp;IF(TRIM(F449&amp;"")="","NULL","(SELECT lo.id FROM gen_lista_opciones lo JOIN gen_lista l ON l.id = lo.id_lista WHERE l.nombre = 'PropietarioBalon' AND upper(lo.nombre) = upper('"&amp;SUBSTITUTE(TRIM(F449),"'","''")&amp;"') AND lo.estado = 1 LIMIT 1)")&amp;", p_id_cliente_propietario =&gt; "&amp;IF(F449="CLIENTE",IF(TRIM(G449&amp;"")="","NULL","(SELECT id FROM cli_clientes WHERE numero_documento = '"&amp;SUBSTITUTE(TRIM(G449),"'","''")&amp;"' AND estado = 1 LIMIT 1)"),"NULL")&amp;", p_id_planta =&gt; "&amp;IF(F449="PLANTA",IF(TRIM(G449&amp;"")="","NULL","(SELECT id FROM cli_clientes WHERE numero_documento = '"&amp;SUBSTITUTE(TRIM(G449),"'","''")&amp;"'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"&amp;IF(TRIM(J449&amp;"")="","NULL","(SELECT id FROM gen_almacen WHERE upper(nombre) = upper('"&amp;SUBSTITUTE(TRIM(J449),"'","''")&amp;"') AND estado = 1 LIMIT 1)")&amp;", p_id_cliente_ubicacion =&gt; "&amp;IF(TRIM(K449&amp;"")="","NULL","(SELECT id FROM cli_clientes WHERE numero_documento = '"&amp;SUBSTITUTE(TRIM(K449),"'","''")&amp;"' AND estado = 1 LIMIT 1)")&amp;", p_id_referencia =&gt; "&amp;IF(TRIM(J449&amp;"")&lt;&gt;"","(SELECT lo.id FROM gen_lista_opciones lo JOIN gen_lista l ON l.id = lo.id_lista WHERE l.nombre = 'ReferenciaCilindro' AND upper(lo.nombre) = 'ALMACEN' AND lo.estado = 1 LIMIT 1)",IF(TRIM(K449&amp;"")&lt;&gt;"","(SELECT lo.id FROM gen_lista_opciones lo JOIN gen_lista l ON l.id = lo.id_lista WHERE l.nombre = 'ReferenciaCilindro' AND upper(lo.nombre) = 'CLIENTE' AND lo.estado = 1 LIMIT 1)","NULL"))&amp;", p_anio_fabricacion =&gt; "&amp;IF(M449&amp;""="","NULL::smallint",M449&amp;"::smallint")&amp;", p_mes_fabricacion =&gt; "&amp;IF(N449&amp;""="","NULL::smallint",N449&amp;"::smallint")&amp;", p_fecha_ultima_prueba_hidrostatica =&gt; "&amp;IF(O449&amp;""="","NULL","'"&amp;YEAR(O449)&amp;"-"&amp;TEXT(MONTH(O449),"00")&amp;"-"&amp;TEXT(DAY(O449),"00")&amp;"'")&amp;", p_numero_serie =&gt; "&amp;IF(TRIM(Q449&amp;"")="","NULL","'"&amp;SUBSTITUTE(TRIM(Q449),"'","''")&amp;"'")&amp;", p_id_marca_cilindro =&gt; "&amp;IF(TRIM(R449&amp;"")="","NULL","(SELECT lo.id FROM gen_lista_opciones lo JOIN gen_lista l ON l.id = lo.id_lista WHERE l.nombre = 'MarcaCilindro' AND upper(lo.nombre) = upper('"&amp;SUBSTITUTE(TRIM(R449),"'","''")&amp;"') AND lo.estado = 1 LIMIT 1)")&amp;", p_id_organo_inspector =&gt; "&amp;IF(TRIM(S449&amp;"")="","NULL","(SELECT lo.id FROM gen_lista_opciones lo JOIN gen_lista l ON l.id = lo.id_lista WHERE l.nombre = 'OrganoInspectorCilindro' AND upper(lo.nombre) = upper('"&amp;SUBSTITUTE(TRIM(S449),"'","''")&amp;"') AND lo.estado = 1 LIMIT 1)")&amp;", p_organo_inspector_no_aplica =&gt; "&amp;IF(S449="NO_APLICA","TRUE","FALSE")&amp;", p_presion_actual =&gt; "&amp;IF(T449&amp;""="","NULL",SUBSTITUTE(T449&amp;"",",","."))&amp;", p_tipo_valvula =&gt; "&amp;IF(TRIM(U449&amp;"")="","NULL","'"&amp;SUBSTITUTE(TRIM(U449),"'","''")&amp;"'")&amp;", p_libro_cilindro =&gt; "&amp;IF(TRIM(V449&amp;"")="","NULL","'"&amp;SUBSTITUTE(TRIM(V449),"'","''")&amp;"'")&amp;", p_pagina_libro =&gt; "&amp;IF(W449&amp;""="","NULL",SUBSTITUTE(W449&amp;"",",","."))&amp;", p_observacion =&gt; "&amp;IF(TRIM(X449&amp;"")="","NULL","'"&amp;SUBSTITUTE(TRIM(X449),"'","''")&amp;"'")&amp;") AS resultado_balon_"&amp;ROW()&amp;";")</f>
        <v/>
      </c>
    </row>
    <row r="450" ht="15.75" customHeight="1" s="64">
      <c r="A450" s="36" t="inlineStr">
        <is>
          <t>446</t>
        </is>
      </c>
      <c r="B450" s="25">
        <f>IF(AND(C450="",D450="",E450=""),"",IF(C450="","FALTA código balón",IF(D450="","FALTA tipo balón",IF(E450="","FALTA gas",IF(F450="","FALTA propietario",IF(AND(C450&lt;&gt;"",SUMPRODUCT(--($C$5:$C$1200=C450))&gt;1),"CÓDIGO BALÓN DUPLICADO",IF(AND(OR(UPPER(F450)="PLANTA",UPPER(F450)="CLIENTE"),G450=""),"FALTA doc propietario/planta",IF(AND(UPPER(F450)="PLANTA",G450="10175332796"),"PLANTA no puede ser RUC empresa","OK"))))))))</f>
        <v/>
      </c>
      <c r="C450" s="54" t="inlineStr">
        <is>
          <t>GA784176</t>
        </is>
      </c>
      <c r="D450" s="17" t="inlineStr">
        <is>
          <t>Dióxido de carbono 25 kg</t>
        </is>
      </c>
      <c r="E450" s="17" t="inlineStr">
        <is>
          <t>DIÓXIDO DE CARBONO</t>
        </is>
      </c>
      <c r="F450" s="17" t="inlineStr">
        <is>
          <t>EMPRESA</t>
        </is>
      </c>
      <c r="G450" s="23" t="inlineStr">
        <is>
          <t>10175332796</t>
        </is>
      </c>
      <c r="H450" s="25">
        <f t="array" ref="H450">IF(G450="","",IFERROR(IF(INDEX(Clientes!$D$5:$D$549,MATCH(G450,Clientes!$C$5:$C$549,0))&lt;&gt;"",INDEX(Clientes!$D$5:$D$549,MATCH(G450,Clientes!$C$5:$C$549,0)),TRIM(INDEX(Clientes!$E$5:$E$549,MATCH(G450,Clientes!$C$5:$C$549,0))&amp;" "&amp;INDEX(Clientes!$F$5:$F$549,MATCH(G450,Clientes!$C$5:$C$549,0)))),"NO EXISTE en Clientes"))</f>
        <v/>
      </c>
      <c r="I450" s="17" t="inlineStr">
        <is>
          <t>EN_RECARGA_EXTERNA</t>
        </is>
      </c>
      <c r="J450" s="17" t="n"/>
      <c r="K450" s="23" t="inlineStr">
        <is>
          <t>20536698834</t>
        </is>
      </c>
      <c r="L450" s="25">
        <f t="array" ref="L450">IF(K450="","",IFERROR(IF(INDEX(Clientes!$D$5:$D$549,MATCH(K450,Clientes!$C$5:$C$549,0))&lt;&gt;"",INDEX(Clientes!$D$5:$D$549,MATCH(K450,Clientes!$C$5:$C$549,0)),TRIM(INDEX(Clientes!$E$5:$E$549,MATCH(K450,Clientes!$C$5:$C$549,0))&amp;" "&amp;INDEX(Clientes!$F$5:$F$549,MATCH(K450,Clientes!$C$5:$C$549,0)))),"NO EXISTE en Clientes"))</f>
        <v/>
      </c>
      <c r="M450" s="17" t="n"/>
      <c r="N450" s="17" t="n"/>
      <c r="O450" s="42" t="n"/>
      <c r="P450" s="39">
        <f>IF(O450&lt;&gt;"",DATE(YEAR(O450)+5,MONTH(O450),1),IF(AND(M450&lt;&gt;"",N450&lt;&gt;""),DATE(M450+5,N450,1),""))</f>
        <v/>
      </c>
      <c r="Q450" s="23" t="n"/>
      <c r="R450" s="17" t="n"/>
      <c r="S450" s="17" t="n"/>
      <c r="T450" s="17" t="n"/>
      <c r="U450" s="17" t="n"/>
      <c r="V450" s="23" t="n"/>
      <c r="W450" s="17" t="n"/>
      <c r="X450" s="17" t="n"/>
      <c r="Y450" s="28">
        <f>IF(B450&lt;&gt;"OK","","SELECT bal_crear_balon(p_codigo_balon =&gt; "&amp;IF(TRIM(C450&amp;"")="","NULL","'"&amp;SUBSTITUTE(TRIM(C450),"'","''")&amp;"'")&amp;", p_id_tipo_balon =&gt; "&amp;"(SELECT id FROM bal_tipo_balon WHERE upper(nombre) = upper('"&amp;SUBSTITUTE(TRIM(D450),"'","''")&amp;"') AND estado = 1 LIMIT 1)"&amp;", p_id_producto_gas =&gt; "&amp;"(SELECT id FROM pro_producto WHERE es_gas = TRUE AND upper(nombre) = upper('"&amp;SUBSTITUTE(TRIM(E450),"'","''")&amp;"') AND estado = 1 LIMIT 1)"&amp;", p_id_propietario =&gt; "&amp;IF(TRIM(F450&amp;"")="","NULL","(SELECT lo.id FROM gen_lista_opciones lo JOIN gen_lista l ON l.id = lo.id_lista WHERE l.nombre = 'PropietarioBalon' AND upper(lo.nombre) = upper('"&amp;SUBSTITUTE(TRIM(F450),"'","''")&amp;"') AND lo.estado = 1 LIMIT 1)")&amp;", p_id_cliente_propietario =&gt; "&amp;IF(F450="CLIENTE",IF(TRIM(G450&amp;"")="","NULL","(SELECT id FROM cli_clientes WHERE numero_documento = '"&amp;SUBSTITUTE(TRIM(G450),"'","''")&amp;"' AND estado = 1 LIMIT 1)"),"NULL")&amp;", p_id_planta =&gt; "&amp;IF(F450="PLANTA",IF(TRIM(G450&amp;"")="","NULL","(SELECT id FROM cli_clientes WHERE numero_documento = '"&amp;SUBSTITUTE(TRIM(G450),"'","''")&amp;"'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"&amp;IF(TRIM(J450&amp;"")="","NULL","(SELECT id FROM gen_almacen WHERE upper(nombre) = upper('"&amp;SUBSTITUTE(TRIM(J450),"'","''")&amp;"') AND estado = 1 LIMIT 1)")&amp;", p_id_cliente_ubicacion =&gt; "&amp;IF(TRIM(K450&amp;"")="","NULL","(SELECT id FROM cli_clientes WHERE numero_documento = '"&amp;SUBSTITUTE(TRIM(K450),"'","''")&amp;"' AND estado = 1 LIMIT 1)")&amp;", p_id_referencia =&gt; "&amp;IF(TRIM(J450&amp;"")&lt;&gt;"","(SELECT lo.id FROM gen_lista_opciones lo JOIN gen_lista l ON l.id = lo.id_lista WHERE l.nombre = 'ReferenciaCilindro' AND upper(lo.nombre) = 'ALMACEN' AND lo.estado = 1 LIMIT 1)",IF(TRIM(K450&amp;"")&lt;&gt;"","(SELECT lo.id FROM gen_lista_opciones lo JOIN gen_lista l ON l.id = lo.id_lista WHERE l.nombre = 'ReferenciaCilindro' AND upper(lo.nombre) = 'CLIENTE' AND lo.estado = 1 LIMIT 1)","NULL"))&amp;", p_anio_fabricacion =&gt; "&amp;IF(M450&amp;""="","NULL::smallint",M450&amp;"::smallint")&amp;", p_mes_fabricacion =&gt; "&amp;IF(N450&amp;""="","NULL::smallint",N450&amp;"::smallint")&amp;", p_fecha_ultima_prueba_hidrostatica =&gt; "&amp;IF(O450&amp;""="","NULL","'"&amp;YEAR(O450)&amp;"-"&amp;TEXT(MONTH(O450),"00")&amp;"-"&amp;TEXT(DAY(O450),"00")&amp;"'")&amp;", p_numero_serie =&gt; "&amp;IF(TRIM(Q450&amp;"")="","NULL","'"&amp;SUBSTITUTE(TRIM(Q450),"'","''")&amp;"'")&amp;", p_id_marca_cilindro =&gt; "&amp;IF(TRIM(R450&amp;"")="","NULL","(SELECT lo.id FROM gen_lista_opciones lo JOIN gen_lista l ON l.id = lo.id_lista WHERE l.nombre = 'MarcaCilindro' AND upper(lo.nombre) = upper('"&amp;SUBSTITUTE(TRIM(R450),"'","''")&amp;"') AND lo.estado = 1 LIMIT 1)")&amp;", p_id_organo_inspector =&gt; "&amp;IF(TRIM(S450&amp;"")="","NULL","(SELECT lo.id FROM gen_lista_opciones lo JOIN gen_lista l ON l.id = lo.id_lista WHERE l.nombre = 'OrganoInspectorCilindro' AND upper(lo.nombre) = upper('"&amp;SUBSTITUTE(TRIM(S450),"'","''")&amp;"') AND lo.estado = 1 LIMIT 1)")&amp;", p_organo_inspector_no_aplica =&gt; "&amp;IF(S450="NO_APLICA","TRUE","FALSE")&amp;", p_presion_actual =&gt; "&amp;IF(T450&amp;""="","NULL",SUBSTITUTE(T450&amp;"",",","."))&amp;", p_tipo_valvula =&gt; "&amp;IF(TRIM(U450&amp;"")="","NULL","'"&amp;SUBSTITUTE(TRIM(U450),"'","''")&amp;"'")&amp;", p_libro_cilindro =&gt; "&amp;IF(TRIM(V450&amp;"")="","NULL","'"&amp;SUBSTITUTE(TRIM(V450),"'","''")&amp;"'")&amp;", p_pagina_libro =&gt; "&amp;IF(W450&amp;""="","NULL",SUBSTITUTE(W450&amp;"",",","."))&amp;", p_observacion =&gt; "&amp;IF(TRIM(X450&amp;"")="","NULL","'"&amp;SUBSTITUTE(TRIM(X450),"'","''")&amp;"'")&amp;") AS resultado_balon_"&amp;ROW()&amp;";")</f>
        <v/>
      </c>
    </row>
    <row r="451" ht="15.75" customHeight="1" s="64">
      <c r="A451" s="36" t="inlineStr">
        <is>
          <t>447</t>
        </is>
      </c>
      <c r="B451" s="25">
        <f>IF(AND(C451="",D451="",E451=""),"",IF(C451="","FALTA código balón",IF(D451="","FALTA tipo balón",IF(E451="","FALTA gas",IF(F451="","FALTA propietario",IF(AND(C451&lt;&gt;"",SUMPRODUCT(--($C$5:$C$1200=C451))&gt;1),"CÓDIGO BALÓN DUPLICADO",IF(AND(OR(UPPER(F451)="PLANTA",UPPER(F451)="CLIENTE"),G451=""),"FALTA doc propietario/planta",IF(AND(UPPER(F451)="PLANTA",G451="10175332796"),"PLANTA no puede ser RUC empresa","OK"))))))))</f>
        <v/>
      </c>
      <c r="C451" s="54" t="inlineStr">
        <is>
          <t>303205</t>
        </is>
      </c>
      <c r="D451" s="17" t="inlineStr">
        <is>
          <t>Oxígeno Industrial 10 m³</t>
        </is>
      </c>
      <c r="E451" s="17" t="inlineStr">
        <is>
          <t>OXIGENO INDUSTRIAL</t>
        </is>
      </c>
      <c r="F451" s="17" t="inlineStr">
        <is>
          <t>EMPRESA</t>
        </is>
      </c>
      <c r="G451" s="23" t="inlineStr">
        <is>
          <t>10175332796</t>
        </is>
      </c>
      <c r="H451" s="25">
        <f t="array" ref="H451">IF(G451="","",IFERROR(IF(INDEX(Clientes!$D$5:$D$549,MATCH(G451,Clientes!$C$5:$C$549,0))&lt;&gt;"",INDEX(Clientes!$D$5:$D$549,MATCH(G451,Clientes!$C$5:$C$549,0)),TRIM(INDEX(Clientes!$E$5:$E$549,MATCH(G451,Clientes!$C$5:$C$549,0))&amp;" "&amp;INDEX(Clientes!$F$5:$F$549,MATCH(G451,Clientes!$C$5:$C$549,0)))),"NO EXISTE en Clientes"))</f>
        <v/>
      </c>
      <c r="I451" s="17" t="inlineStr">
        <is>
          <t>EN_PODER_CLIENTE</t>
        </is>
      </c>
      <c r="J451" s="17" t="n"/>
      <c r="K451" s="23" t="inlineStr">
        <is>
          <t>20516367670</t>
        </is>
      </c>
      <c r="L451" s="25">
        <f t="array" ref="L451">IF(K451="","",IFERROR(IF(INDEX(Clientes!$D$5:$D$549,MATCH(K451,Clientes!$C$5:$C$549,0))&lt;&gt;"",INDEX(Clientes!$D$5:$D$549,MATCH(K451,Clientes!$C$5:$C$549,0)),TRIM(INDEX(Clientes!$E$5:$E$549,MATCH(K451,Clientes!$C$5:$C$549,0))&amp;" "&amp;INDEX(Clientes!$F$5:$F$549,MATCH(K451,Clientes!$C$5:$C$549,0)))),"NO EXISTE en Clientes"))</f>
        <v/>
      </c>
      <c r="M451" s="17" t="n"/>
      <c r="N451" s="17" t="n"/>
      <c r="O451" s="42" t="n"/>
      <c r="P451" s="39">
        <f>IF(O451&lt;&gt;"",DATE(YEAR(O451)+5,MONTH(O451),1),IF(AND(M451&lt;&gt;"",N451&lt;&gt;""),DATE(M451+5,N451,1),""))</f>
        <v/>
      </c>
      <c r="Q451" s="23" t="n"/>
      <c r="R451" s="17" t="n"/>
      <c r="S451" s="17" t="n"/>
      <c r="T451" s="17" t="n"/>
      <c r="U451" s="17" t="n"/>
      <c r="V451" s="23" t="n"/>
      <c r="W451" s="17" t="n"/>
      <c r="X451" s="17" t="n"/>
      <c r="Y451" s="28">
        <f>IF(B451&lt;&gt;"OK","","SELECT bal_crear_balon(p_codigo_balon =&gt; "&amp;IF(TRIM(C451&amp;"")="","NULL","'"&amp;SUBSTITUTE(TRIM(C451),"'","''")&amp;"'")&amp;", p_id_tipo_balon =&gt; "&amp;"(SELECT id FROM bal_tipo_balon WHERE upper(nombre) = upper('"&amp;SUBSTITUTE(TRIM(D451),"'","''")&amp;"') AND estado = 1 LIMIT 1)"&amp;", p_id_producto_gas =&gt; "&amp;"(SELECT id FROM pro_producto WHERE es_gas = TRUE AND upper(nombre) = upper('"&amp;SUBSTITUTE(TRIM(E451),"'","''")&amp;"') AND estado = 1 LIMIT 1)"&amp;", p_id_propietario =&gt; "&amp;IF(TRIM(F451&amp;"")="","NULL","(SELECT lo.id FROM gen_lista_opciones lo JOIN gen_lista l ON l.id = lo.id_lista WHERE l.nombre = 'PropietarioBalon' AND upper(lo.nombre) = upper('"&amp;SUBSTITUTE(TRIM(F451),"'","''")&amp;"') AND lo.estado = 1 LIMIT 1)")&amp;", p_id_cliente_propietario =&gt; "&amp;IF(F451="CLIENTE",IF(TRIM(G451&amp;"")="","NULL","(SELECT id FROM cli_clientes WHERE numero_documento = '"&amp;SUBSTITUTE(TRIM(G451),"'","''")&amp;"' AND estado = 1 LIMIT 1)"),"NULL")&amp;", p_id_planta =&gt; "&amp;IF(F451="PLANTA",IF(TRIM(G451&amp;"")="","NULL","(SELECT id FROM cli_clientes WHERE numero_documento = '"&amp;SUBSTITUTE(TRIM(G451),"'","''")&amp;"'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"&amp;IF(TRIM(J451&amp;"")="","NULL","(SELECT id FROM gen_almacen WHERE upper(nombre) = upper('"&amp;SUBSTITUTE(TRIM(J451),"'","''")&amp;"') AND estado = 1 LIMIT 1)")&amp;", p_id_cliente_ubicacion =&gt; "&amp;IF(TRIM(K451&amp;"")="","NULL","(SELECT id FROM cli_clientes WHERE numero_documento = '"&amp;SUBSTITUTE(TRIM(K451),"'","''")&amp;"' AND estado = 1 LIMIT 1)")&amp;", p_id_referencia =&gt; "&amp;IF(TRIM(J451&amp;"")&lt;&gt;"","(SELECT lo.id FROM gen_lista_opciones lo JOIN gen_lista l ON l.id = lo.id_lista WHERE l.nombre = 'ReferenciaCilindro' AND upper(lo.nombre) = 'ALMACEN' AND lo.estado = 1 LIMIT 1)",IF(TRIM(K451&amp;"")&lt;&gt;"","(SELECT lo.id FROM gen_lista_opciones lo JOIN gen_lista l ON l.id = lo.id_lista WHERE l.nombre = 'ReferenciaCilindro' AND upper(lo.nombre) = 'CLIENTE' AND lo.estado = 1 LIMIT 1)","NULL"))&amp;", p_anio_fabricacion =&gt; "&amp;IF(M451&amp;""="","NULL::smallint",M451&amp;"::smallint")&amp;", p_mes_fabricacion =&gt; "&amp;IF(N451&amp;""="","NULL::smallint",N451&amp;"::smallint")&amp;", p_fecha_ultima_prueba_hidrostatica =&gt; "&amp;IF(O451&amp;""="","NULL","'"&amp;YEAR(O451)&amp;"-"&amp;TEXT(MONTH(O451),"00")&amp;"-"&amp;TEXT(DAY(O451),"00")&amp;"'")&amp;", p_numero_serie =&gt; "&amp;IF(TRIM(Q451&amp;"")="","NULL","'"&amp;SUBSTITUTE(TRIM(Q451),"'","''")&amp;"'")&amp;", p_id_marca_cilindro =&gt; "&amp;IF(TRIM(R451&amp;"")="","NULL","(SELECT lo.id FROM gen_lista_opciones lo JOIN gen_lista l ON l.id = lo.id_lista WHERE l.nombre = 'MarcaCilindro' AND upper(lo.nombre) = upper('"&amp;SUBSTITUTE(TRIM(R451),"'","''")&amp;"') AND lo.estado = 1 LIMIT 1)")&amp;", p_id_organo_inspector =&gt; "&amp;IF(TRIM(S451&amp;"")="","NULL","(SELECT lo.id FROM gen_lista_opciones lo JOIN gen_lista l ON l.id = lo.id_lista WHERE l.nombre = 'OrganoInspectorCilindro' AND upper(lo.nombre) = upper('"&amp;SUBSTITUTE(TRIM(S451),"'","''")&amp;"') AND lo.estado = 1 LIMIT 1)")&amp;", p_organo_inspector_no_aplica =&gt; "&amp;IF(S451="NO_APLICA","TRUE","FALSE")&amp;", p_presion_actual =&gt; "&amp;IF(T451&amp;""="","NULL",SUBSTITUTE(T451&amp;"",",","."))&amp;", p_tipo_valvula =&gt; "&amp;IF(TRIM(U451&amp;"")="","NULL","'"&amp;SUBSTITUTE(TRIM(U451),"'","''")&amp;"'")&amp;", p_libro_cilindro =&gt; "&amp;IF(TRIM(V451&amp;"")="","NULL","'"&amp;SUBSTITUTE(TRIM(V451),"'","''")&amp;"'")&amp;", p_pagina_libro =&gt; "&amp;IF(W451&amp;""="","NULL",SUBSTITUTE(W451&amp;"",",","."))&amp;", p_observacion =&gt; "&amp;IF(TRIM(X451&amp;"")="","NULL","'"&amp;SUBSTITUTE(TRIM(X451),"'","''")&amp;"'")&amp;") AS resultado_balon_"&amp;ROW()&amp;";")</f>
        <v/>
      </c>
    </row>
    <row r="452" ht="15.75" customHeight="1" s="64">
      <c r="A452" s="36" t="inlineStr">
        <is>
          <t>448</t>
        </is>
      </c>
      <c r="B452" s="25">
        <f>IF(AND(C452="",D452="",E452=""),"",IF(C452="","FALTA código balón",IF(D452="","FALTA tipo balón",IF(E452="","FALTA gas",IF(F452="","FALTA propietario",IF(AND(C452&lt;&gt;"",SUMPRODUCT(--($C$5:$C$1200=C452))&gt;1),"CÓDIGO BALÓN DUPLICADO",IF(AND(OR(UPPER(F452)="PLANTA",UPPER(F452)="CLIENTE"),G452=""),"FALTA doc propietario/planta",IF(AND(UPPER(F452)="PLANTA",G452="10175332796"),"PLANTA no puede ser RUC empresa","OK"))))))))</f>
        <v/>
      </c>
      <c r="C452" s="54" t="inlineStr">
        <is>
          <t>303211</t>
        </is>
      </c>
      <c r="D452" s="17" t="inlineStr">
        <is>
          <t>Oxígeno Industrial 10 m³</t>
        </is>
      </c>
      <c r="E452" s="17" t="inlineStr">
        <is>
          <t>OXIGENO INDUSTRIAL</t>
        </is>
      </c>
      <c r="F452" s="17" t="inlineStr">
        <is>
          <t>EMPRESA</t>
        </is>
      </c>
      <c r="G452" s="23" t="inlineStr">
        <is>
          <t>10175332796</t>
        </is>
      </c>
      <c r="H452" s="25">
        <f t="array" ref="H452">IF(G452="","",IFERROR(IF(INDEX(Clientes!$D$5:$D$549,MATCH(G452,Clientes!$C$5:$C$549,0))&lt;&gt;"",INDEX(Clientes!$D$5:$D$549,MATCH(G452,Clientes!$C$5:$C$549,0)),TRIM(INDEX(Clientes!$E$5:$E$549,MATCH(G452,Clientes!$C$5:$C$549,0))&amp;" "&amp;INDEX(Clientes!$F$5:$F$549,MATCH(G452,Clientes!$C$5:$C$549,0)))),"NO EXISTE en Clientes"))</f>
        <v/>
      </c>
      <c r="I452" s="17" t="inlineStr">
        <is>
          <t>EN_PODER_CLIENTE</t>
        </is>
      </c>
      <c r="J452" s="17" t="n"/>
      <c r="K452" s="23" t="inlineStr">
        <is>
          <t>20516367670</t>
        </is>
      </c>
      <c r="L452" s="25">
        <f t="array" ref="L452">IF(K452="","",IFERROR(IF(INDEX(Clientes!$D$5:$D$549,MATCH(K452,Clientes!$C$5:$C$549,0))&lt;&gt;"",INDEX(Clientes!$D$5:$D$549,MATCH(K452,Clientes!$C$5:$C$549,0)),TRIM(INDEX(Clientes!$E$5:$E$549,MATCH(K452,Clientes!$C$5:$C$549,0))&amp;" "&amp;INDEX(Clientes!$F$5:$F$549,MATCH(K452,Clientes!$C$5:$C$549,0)))),"NO EXISTE en Clientes"))</f>
        <v/>
      </c>
      <c r="M452" s="17" t="n"/>
      <c r="N452" s="17" t="n"/>
      <c r="O452" s="42" t="n"/>
      <c r="P452" s="39">
        <f>IF(O452&lt;&gt;"",DATE(YEAR(O452)+5,MONTH(O452),1),IF(AND(M452&lt;&gt;"",N452&lt;&gt;""),DATE(M452+5,N452,1),""))</f>
        <v/>
      </c>
      <c r="Q452" s="23" t="n"/>
      <c r="R452" s="17" t="n"/>
      <c r="S452" s="17" t="n"/>
      <c r="T452" s="17" t="n"/>
      <c r="U452" s="17" t="n"/>
      <c r="V452" s="23" t="n"/>
      <c r="W452" s="17" t="n"/>
      <c r="X452" s="17" t="n"/>
      <c r="Y452" s="28">
        <f>IF(B452&lt;&gt;"OK","","SELECT bal_crear_balon(p_codigo_balon =&gt; "&amp;IF(TRIM(C452&amp;"")="","NULL","'"&amp;SUBSTITUTE(TRIM(C452),"'","''")&amp;"'")&amp;", p_id_tipo_balon =&gt; "&amp;"(SELECT id FROM bal_tipo_balon WHERE upper(nombre) = upper('"&amp;SUBSTITUTE(TRIM(D452),"'","''")&amp;"') AND estado = 1 LIMIT 1)"&amp;", p_id_producto_gas =&gt; "&amp;"(SELECT id FROM pro_producto WHERE es_gas = TRUE AND upper(nombre) = upper('"&amp;SUBSTITUTE(TRIM(E452),"'","''")&amp;"') AND estado = 1 LIMIT 1)"&amp;", p_id_propietario =&gt; "&amp;IF(TRIM(F452&amp;"")="","NULL","(SELECT lo.id FROM gen_lista_opciones lo JOIN gen_lista l ON l.id = lo.id_lista WHERE l.nombre = 'PropietarioBalon' AND upper(lo.nombre) = upper('"&amp;SUBSTITUTE(TRIM(F452),"'","''")&amp;"') AND lo.estado = 1 LIMIT 1)")&amp;", p_id_cliente_propietario =&gt; "&amp;IF(F452="CLIENTE",IF(TRIM(G452&amp;"")="","NULL","(SELECT id FROM cli_clientes WHERE numero_documento = '"&amp;SUBSTITUTE(TRIM(G452),"'","''")&amp;"' AND estado = 1 LIMIT 1)"),"NULL")&amp;", p_id_planta =&gt; "&amp;IF(F452="PLANTA",IF(TRIM(G452&amp;"")="","NULL","(SELECT id FROM cli_clientes WHERE numero_documento = '"&amp;SUBSTITUTE(TRIM(G452),"'","''")&amp;"'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"&amp;IF(TRIM(J452&amp;"")="","NULL","(SELECT id FROM gen_almacen WHERE upper(nombre) = upper('"&amp;SUBSTITUTE(TRIM(J452),"'","''")&amp;"') AND estado = 1 LIMIT 1)")&amp;", p_id_cliente_ubicacion =&gt; "&amp;IF(TRIM(K452&amp;"")="","NULL","(SELECT id FROM cli_clientes WHERE numero_documento = '"&amp;SUBSTITUTE(TRIM(K452),"'","''")&amp;"' AND estado = 1 LIMIT 1)")&amp;", p_id_referencia =&gt; "&amp;IF(TRIM(J452&amp;"")&lt;&gt;"","(SELECT lo.id FROM gen_lista_opciones lo JOIN gen_lista l ON l.id = lo.id_lista WHERE l.nombre = 'ReferenciaCilindro' AND upper(lo.nombre) = 'ALMACEN' AND lo.estado = 1 LIMIT 1)",IF(TRIM(K452&amp;"")&lt;&gt;"","(SELECT lo.id FROM gen_lista_opciones lo JOIN gen_lista l ON l.id = lo.id_lista WHERE l.nombre = 'ReferenciaCilindro' AND upper(lo.nombre) = 'CLIENTE' AND lo.estado = 1 LIMIT 1)","NULL"))&amp;", p_anio_fabricacion =&gt; "&amp;IF(M452&amp;""="","NULL::smallint",M452&amp;"::smallint")&amp;", p_mes_fabricacion =&gt; "&amp;IF(N452&amp;""="","NULL::smallint",N452&amp;"::smallint")&amp;", p_fecha_ultima_prueba_hidrostatica =&gt; "&amp;IF(O452&amp;""="","NULL","'"&amp;YEAR(O452)&amp;"-"&amp;TEXT(MONTH(O452),"00")&amp;"-"&amp;TEXT(DAY(O452),"00")&amp;"'")&amp;", p_numero_serie =&gt; "&amp;IF(TRIM(Q452&amp;"")="","NULL","'"&amp;SUBSTITUTE(TRIM(Q452),"'","''")&amp;"'")&amp;", p_id_marca_cilindro =&gt; "&amp;IF(TRIM(R452&amp;"")="","NULL","(SELECT lo.id FROM gen_lista_opciones lo JOIN gen_lista l ON l.id = lo.id_lista WHERE l.nombre = 'MarcaCilindro' AND upper(lo.nombre) = upper('"&amp;SUBSTITUTE(TRIM(R452),"'","''")&amp;"') AND lo.estado = 1 LIMIT 1)")&amp;", p_id_organo_inspector =&gt; "&amp;IF(TRIM(S452&amp;"")="","NULL","(SELECT lo.id FROM gen_lista_opciones lo JOIN gen_lista l ON l.id = lo.id_lista WHERE l.nombre = 'OrganoInspectorCilindro' AND upper(lo.nombre) = upper('"&amp;SUBSTITUTE(TRIM(S452),"'","''")&amp;"') AND lo.estado = 1 LIMIT 1)")&amp;", p_organo_inspector_no_aplica =&gt; "&amp;IF(S452="NO_APLICA","TRUE","FALSE")&amp;", p_presion_actual =&gt; "&amp;IF(T452&amp;""="","NULL",SUBSTITUTE(T452&amp;"",",","."))&amp;", p_tipo_valvula =&gt; "&amp;IF(TRIM(U452&amp;"")="","NULL","'"&amp;SUBSTITUTE(TRIM(U452),"'","''")&amp;"'")&amp;", p_libro_cilindro =&gt; "&amp;IF(TRIM(V452&amp;"")="","NULL","'"&amp;SUBSTITUTE(TRIM(V452),"'","''")&amp;"'")&amp;", p_pagina_libro =&gt; "&amp;IF(W452&amp;""="","NULL",SUBSTITUTE(W452&amp;"",",","."))&amp;", p_observacion =&gt; "&amp;IF(TRIM(X452&amp;"")="","NULL","'"&amp;SUBSTITUTE(TRIM(X452),"'","''")&amp;"'")&amp;") AS resultado_balon_"&amp;ROW()&amp;";")</f>
        <v/>
      </c>
    </row>
    <row r="453" ht="15.75" customHeight="1" s="64">
      <c r="A453" s="36" t="inlineStr">
        <is>
          <t>449</t>
        </is>
      </c>
      <c r="B453" s="25">
        <f>IF(AND(C453="",D453="",E453=""),"",IF(C453="","FALTA código balón",IF(D453="","FALTA tipo balón",IF(E453="","FALTA gas",IF(F453="","FALTA propietario",IF(AND(C453&lt;&gt;"",SUMPRODUCT(--($C$5:$C$1200=C453))&gt;1),"CÓDIGO BALÓN DUPLICADO",IF(AND(OR(UPPER(F453)="PLANTA",UPPER(F453)="CLIENTE"),G453=""),"FALTA doc propietario/planta",IF(AND(UPPER(F453)="PLANTA",G453="10175332796"),"PLANTA no puede ser RUC empresa","OK"))))))))</f>
        <v/>
      </c>
      <c r="C453" s="54" t="inlineStr">
        <is>
          <t>303104</t>
        </is>
      </c>
      <c r="D453" s="17" t="inlineStr">
        <is>
          <t>Oxígeno Industrial 10 m³</t>
        </is>
      </c>
      <c r="E453" s="17" t="inlineStr">
        <is>
          <t>OXIGENO INDUSTRIAL</t>
        </is>
      </c>
      <c r="F453" s="17" t="inlineStr">
        <is>
          <t>EMPRESA</t>
        </is>
      </c>
      <c r="G453" s="23" t="inlineStr">
        <is>
          <t>10175332796</t>
        </is>
      </c>
      <c r="H453" s="25">
        <f t="array" ref="H453">IF(G453="","",IFERROR(IF(INDEX(Clientes!$D$5:$D$549,MATCH(G453,Clientes!$C$5:$C$549,0))&lt;&gt;"",INDEX(Clientes!$D$5:$D$549,MATCH(G453,Clientes!$C$5:$C$549,0)),TRIM(INDEX(Clientes!$E$5:$E$549,MATCH(G453,Clientes!$C$5:$C$549,0))&amp;" "&amp;INDEX(Clientes!$F$5:$F$549,MATCH(G453,Clientes!$C$5:$C$549,0)))),"NO EXISTE en Clientes"))</f>
        <v/>
      </c>
      <c r="I453" s="17" t="inlineStr">
        <is>
          <t>EN_PODER_CLIENTE</t>
        </is>
      </c>
      <c r="J453" s="17" t="n"/>
      <c r="K453" s="23" t="inlineStr">
        <is>
          <t>20516367670</t>
        </is>
      </c>
      <c r="L453" s="25">
        <f t="array" ref="L453">IF(K453="","",IFERROR(IF(INDEX(Clientes!$D$5:$D$549,MATCH(K453,Clientes!$C$5:$C$549,0))&lt;&gt;"",INDEX(Clientes!$D$5:$D$549,MATCH(K453,Clientes!$C$5:$C$549,0)),TRIM(INDEX(Clientes!$E$5:$E$549,MATCH(K453,Clientes!$C$5:$C$549,0))&amp;" "&amp;INDEX(Clientes!$F$5:$F$549,MATCH(K453,Clientes!$C$5:$C$549,0)))),"NO EXISTE en Clientes"))</f>
        <v/>
      </c>
      <c r="M453" s="17" t="n"/>
      <c r="N453" s="17" t="n"/>
      <c r="O453" s="42" t="n"/>
      <c r="P453" s="39">
        <f>IF(O453&lt;&gt;"",DATE(YEAR(O453)+5,MONTH(O453),1),IF(AND(M453&lt;&gt;"",N453&lt;&gt;""),DATE(M453+5,N453,1),""))</f>
        <v/>
      </c>
      <c r="Q453" s="23" t="n"/>
      <c r="R453" s="17" t="n"/>
      <c r="S453" s="17" t="n"/>
      <c r="T453" s="17" t="n"/>
      <c r="U453" s="17" t="n"/>
      <c r="V453" s="23" t="n"/>
      <c r="W453" s="17" t="n"/>
      <c r="X453" s="17" t="n"/>
      <c r="Y453" s="28">
        <f>IF(B453&lt;&gt;"OK","","SELECT bal_crear_balon(p_codigo_balon =&gt; "&amp;IF(TRIM(C453&amp;"")="","NULL","'"&amp;SUBSTITUTE(TRIM(C453),"'","''")&amp;"'")&amp;", p_id_tipo_balon =&gt; "&amp;"(SELECT id FROM bal_tipo_balon WHERE upper(nombre) = upper('"&amp;SUBSTITUTE(TRIM(D453),"'","''")&amp;"') AND estado = 1 LIMIT 1)"&amp;", p_id_producto_gas =&gt; "&amp;"(SELECT id FROM pro_producto WHERE es_gas = TRUE AND upper(nombre) = upper('"&amp;SUBSTITUTE(TRIM(E453),"'","''")&amp;"') AND estado = 1 LIMIT 1)"&amp;", p_id_propietario =&gt; "&amp;IF(TRIM(F453&amp;"")="","NULL","(SELECT lo.id FROM gen_lista_opciones lo JOIN gen_lista l ON l.id = lo.id_lista WHERE l.nombre = 'PropietarioBalon' AND upper(lo.nombre) = upper('"&amp;SUBSTITUTE(TRIM(F453),"'","''")&amp;"') AND lo.estado = 1 LIMIT 1)")&amp;", p_id_cliente_propietario =&gt; "&amp;IF(F453="CLIENTE",IF(TRIM(G453&amp;"")="","NULL","(SELECT id FROM cli_clientes WHERE numero_documento = '"&amp;SUBSTITUTE(TRIM(G453),"'","''")&amp;"' AND estado = 1 LIMIT 1)"),"NULL")&amp;", p_id_planta =&gt; "&amp;IF(F453="PLANTA",IF(TRIM(G453&amp;"")="","NULL","(SELECT id FROM cli_clientes WHERE numero_documento = '"&amp;SUBSTITUTE(TRIM(G453),"'","''")&amp;"'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"&amp;IF(TRIM(J453&amp;"")="","NULL","(SELECT id FROM gen_almacen WHERE upper(nombre) = upper('"&amp;SUBSTITUTE(TRIM(J453),"'","''")&amp;"') AND estado = 1 LIMIT 1)")&amp;", p_id_cliente_ubicacion =&gt; "&amp;IF(TRIM(K453&amp;"")="","NULL","(SELECT id FROM cli_clientes WHERE numero_documento = '"&amp;SUBSTITUTE(TRIM(K453),"'","''")&amp;"' AND estado = 1 LIMIT 1)")&amp;", p_id_referencia =&gt; "&amp;IF(TRIM(J453&amp;"")&lt;&gt;"","(SELECT lo.id FROM gen_lista_opciones lo JOIN gen_lista l ON l.id = lo.id_lista WHERE l.nombre = 'ReferenciaCilindro' AND upper(lo.nombre) = 'ALMACEN' AND lo.estado = 1 LIMIT 1)",IF(TRIM(K453&amp;"")&lt;&gt;"","(SELECT lo.id FROM gen_lista_opciones lo JOIN gen_lista l ON l.id = lo.id_lista WHERE l.nombre = 'ReferenciaCilindro' AND upper(lo.nombre) = 'CLIENTE' AND lo.estado = 1 LIMIT 1)","NULL"))&amp;", p_anio_fabricacion =&gt; "&amp;IF(M453&amp;""="","NULL::smallint",M453&amp;"::smallint")&amp;", p_mes_fabricacion =&gt; "&amp;IF(N453&amp;""="","NULL::smallint",N453&amp;"::smallint")&amp;", p_fecha_ultima_prueba_hidrostatica =&gt; "&amp;IF(O453&amp;""="","NULL","'"&amp;YEAR(O453)&amp;"-"&amp;TEXT(MONTH(O453),"00")&amp;"-"&amp;TEXT(DAY(O453),"00")&amp;"'")&amp;", p_numero_serie =&gt; "&amp;IF(TRIM(Q453&amp;"")="","NULL","'"&amp;SUBSTITUTE(TRIM(Q453),"'","''")&amp;"'")&amp;", p_id_marca_cilindro =&gt; "&amp;IF(TRIM(R453&amp;"")="","NULL","(SELECT lo.id FROM gen_lista_opciones lo JOIN gen_lista l ON l.id = lo.id_lista WHERE l.nombre = 'MarcaCilindro' AND upper(lo.nombre) = upper('"&amp;SUBSTITUTE(TRIM(R453),"'","''")&amp;"') AND lo.estado = 1 LIMIT 1)")&amp;", p_id_organo_inspector =&gt; "&amp;IF(TRIM(S453&amp;"")="","NULL","(SELECT lo.id FROM gen_lista_opciones lo JOIN gen_lista l ON l.id = lo.id_lista WHERE l.nombre = 'OrganoInspectorCilindro' AND upper(lo.nombre) = upper('"&amp;SUBSTITUTE(TRIM(S453),"'","''")&amp;"') AND lo.estado = 1 LIMIT 1)")&amp;", p_organo_inspector_no_aplica =&gt; "&amp;IF(S453="NO_APLICA","TRUE","FALSE")&amp;", p_presion_actual =&gt; "&amp;IF(T453&amp;""="","NULL",SUBSTITUTE(T453&amp;"",",","."))&amp;", p_tipo_valvula =&gt; "&amp;IF(TRIM(U453&amp;"")="","NULL","'"&amp;SUBSTITUTE(TRIM(U453),"'","''")&amp;"'")&amp;", p_libro_cilindro =&gt; "&amp;IF(TRIM(V453&amp;"")="","NULL","'"&amp;SUBSTITUTE(TRIM(V453),"'","''")&amp;"'")&amp;", p_pagina_libro =&gt; "&amp;IF(W453&amp;""="","NULL",SUBSTITUTE(W453&amp;"",",","."))&amp;", p_observacion =&gt; "&amp;IF(TRIM(X453&amp;"")="","NULL","'"&amp;SUBSTITUTE(TRIM(X453),"'","''")&amp;"'")&amp;") AS resultado_balon_"&amp;ROW()&amp;";")</f>
        <v/>
      </c>
    </row>
    <row r="454" ht="15.75" customHeight="1" s="64">
      <c r="A454" s="36" t="inlineStr">
        <is>
          <t>450</t>
        </is>
      </c>
      <c r="B454" s="25">
        <f>IF(AND(C454="",D454="",E454=""),"",IF(C454="","FALTA código balón",IF(D454="","FALTA tipo balón",IF(E454="","FALTA gas",IF(F454="","FALTA propietario",IF(AND(C454&lt;&gt;"",SUMPRODUCT(--($C$5:$C$1200=C454))&gt;1),"CÓDIGO BALÓN DUPLICADO",IF(AND(OR(UPPER(F454)="PLANTA",UPPER(F454)="CLIENTE"),G454=""),"FALTA doc propietario/planta",IF(AND(UPPER(F454)="PLANTA",G454="10175332796"),"PLANTA no puede ser RUC empresa","OK"))))))))</f>
        <v/>
      </c>
      <c r="C454" s="54" t="inlineStr">
        <is>
          <t>K4616092</t>
        </is>
      </c>
      <c r="D454" s="17" t="inlineStr">
        <is>
          <t>Argón Estándar 10 m3</t>
        </is>
      </c>
      <c r="E454" s="17" t="inlineStr">
        <is>
          <t>ARGON</t>
        </is>
      </c>
      <c r="F454" s="17" t="inlineStr">
        <is>
          <t>EMPRESA</t>
        </is>
      </c>
      <c r="G454" s="23" t="inlineStr">
        <is>
          <t>10175332796</t>
        </is>
      </c>
      <c r="H454" s="25">
        <f t="array" ref="H454">IF(G454="","",IFERROR(IF(INDEX(Clientes!$D$5:$D$549,MATCH(G454,Clientes!$C$5:$C$549,0))&lt;&gt;"",INDEX(Clientes!$D$5:$D$549,MATCH(G454,Clientes!$C$5:$C$549,0)),TRIM(INDEX(Clientes!$E$5:$E$549,MATCH(G454,Clientes!$C$5:$C$549,0))&amp;" "&amp;INDEX(Clientes!$F$5:$F$549,MATCH(G454,Clientes!$C$5:$C$549,0)))),"NO EXISTE en Clientes"))</f>
        <v/>
      </c>
      <c r="I454" s="17" t="inlineStr">
        <is>
          <t>EN_PODER_CLIENTE</t>
        </is>
      </c>
      <c r="J454" s="17" t="n"/>
      <c r="K454" s="23" t="inlineStr">
        <is>
          <t>000058</t>
        </is>
      </c>
      <c r="L454" s="25">
        <f t="array" ref="L454">IF(K454="","",IFERROR(IF(INDEX(Clientes!$D$5:$D$549,MATCH(K454,Clientes!$C$5:$C$549,0))&lt;&gt;"",INDEX(Clientes!$D$5:$D$549,MATCH(K454,Clientes!$C$5:$C$549,0)),TRIM(INDEX(Clientes!$E$5:$E$549,MATCH(K454,Clientes!$C$5:$C$549,0))&amp;" "&amp;INDEX(Clientes!$F$5:$F$549,MATCH(K454,Clientes!$C$5:$C$549,0)))),"NO EXISTE en Clientes"))</f>
        <v/>
      </c>
      <c r="M454" s="17" t="n"/>
      <c r="N454" s="17" t="n"/>
      <c r="O454" s="42" t="n"/>
      <c r="P454" s="39">
        <f>IF(O454&lt;&gt;"",DATE(YEAR(O454)+5,MONTH(O454),1),IF(AND(M454&lt;&gt;"",N454&lt;&gt;""),DATE(M454+5,N454,1),""))</f>
        <v/>
      </c>
      <c r="Q454" s="23" t="n"/>
      <c r="R454" s="17" t="n"/>
      <c r="S454" s="17" t="n"/>
      <c r="T454" s="17" t="n"/>
      <c r="U454" s="17" t="n"/>
      <c r="V454" s="23" t="n"/>
      <c r="W454" s="17" t="n"/>
      <c r="X454" s="17" t="n"/>
      <c r="Y454" s="28">
        <f>IF(B454&lt;&gt;"OK","","SELECT bal_crear_balon(p_codigo_balon =&gt; "&amp;IF(TRIM(C454&amp;"")="","NULL","'"&amp;SUBSTITUTE(TRIM(C454),"'","''")&amp;"'")&amp;", p_id_tipo_balon =&gt; "&amp;"(SELECT id FROM bal_tipo_balon WHERE upper(nombre) = upper('"&amp;SUBSTITUTE(TRIM(D454),"'","''")&amp;"') AND estado = 1 LIMIT 1)"&amp;", p_id_producto_gas =&gt; "&amp;"(SELECT id FROM pro_producto WHERE es_gas = TRUE AND upper(nombre) = upper('"&amp;SUBSTITUTE(TRIM(E454),"'","''")&amp;"') AND estado = 1 LIMIT 1)"&amp;", p_id_propietario =&gt; "&amp;IF(TRIM(F454&amp;"")="","NULL","(SELECT lo.id FROM gen_lista_opciones lo JOIN gen_lista l ON l.id = lo.id_lista WHERE l.nombre = 'PropietarioBalon' AND upper(lo.nombre) = upper('"&amp;SUBSTITUTE(TRIM(F454),"'","''")&amp;"') AND lo.estado = 1 LIMIT 1)")&amp;", p_id_cliente_propietario =&gt; "&amp;IF(F454="CLIENTE",IF(TRIM(G454&amp;"")="","NULL","(SELECT id FROM cli_clientes WHERE numero_documento = '"&amp;SUBSTITUTE(TRIM(G454),"'","''")&amp;"' AND estado = 1 LIMIT 1)"),"NULL")&amp;", p_id_planta =&gt; "&amp;IF(F454="PLANTA",IF(TRIM(G454&amp;"")="","NULL","(SELECT id FROM cli_clientes WHERE numero_documento = '"&amp;SUBSTITUTE(TRIM(G454),"'","''")&amp;"'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"&amp;IF(TRIM(J454&amp;"")="","NULL","(SELECT id FROM gen_almacen WHERE upper(nombre) = upper('"&amp;SUBSTITUTE(TRIM(J454),"'","''")&amp;"') AND estado = 1 LIMIT 1)")&amp;", p_id_cliente_ubicacion =&gt; "&amp;IF(TRIM(K454&amp;"")="","NULL","(SELECT id FROM cli_clientes WHERE numero_documento = '"&amp;SUBSTITUTE(TRIM(K454),"'","''")&amp;"' AND estado = 1 LIMIT 1)")&amp;", p_id_referencia =&gt; "&amp;IF(TRIM(J454&amp;"")&lt;&gt;"","(SELECT lo.id FROM gen_lista_opciones lo JOIN gen_lista l ON l.id = lo.id_lista WHERE l.nombre = 'ReferenciaCilindro' AND upper(lo.nombre) = 'ALMACEN' AND lo.estado = 1 LIMIT 1)",IF(TRIM(K454&amp;"")&lt;&gt;"","(SELECT lo.id FROM gen_lista_opciones lo JOIN gen_lista l ON l.id = lo.id_lista WHERE l.nombre = 'ReferenciaCilindro' AND upper(lo.nombre) = 'CLIENTE' AND lo.estado = 1 LIMIT 1)","NULL"))&amp;", p_anio_fabricacion =&gt; "&amp;IF(M454&amp;""="","NULL::smallint",M454&amp;"::smallint")&amp;", p_mes_fabricacion =&gt; "&amp;IF(N454&amp;""="","NULL::smallint",N454&amp;"::smallint")&amp;", p_fecha_ultima_prueba_hidrostatica =&gt; "&amp;IF(O454&amp;""="","NULL","'"&amp;YEAR(O454)&amp;"-"&amp;TEXT(MONTH(O454),"00")&amp;"-"&amp;TEXT(DAY(O454),"00")&amp;"'")&amp;", p_numero_serie =&gt; "&amp;IF(TRIM(Q454&amp;"")="","NULL","'"&amp;SUBSTITUTE(TRIM(Q454),"'","''")&amp;"'")&amp;", p_id_marca_cilindro =&gt; "&amp;IF(TRIM(R454&amp;"")="","NULL","(SELECT lo.id FROM gen_lista_opciones lo JOIN gen_lista l ON l.id = lo.id_lista WHERE l.nombre = 'MarcaCilindro' AND upper(lo.nombre) = upper('"&amp;SUBSTITUTE(TRIM(R454),"'","''")&amp;"') AND lo.estado = 1 LIMIT 1)")&amp;", p_id_organo_inspector =&gt; "&amp;IF(TRIM(S454&amp;"")="","NULL","(SELECT lo.id FROM gen_lista_opciones lo JOIN gen_lista l ON l.id = lo.id_lista WHERE l.nombre = 'OrganoInspectorCilindro' AND upper(lo.nombre) = upper('"&amp;SUBSTITUTE(TRIM(S454),"'","''")&amp;"') AND lo.estado = 1 LIMIT 1)")&amp;", p_organo_inspector_no_aplica =&gt; "&amp;IF(S454="NO_APLICA","TRUE","FALSE")&amp;", p_presion_actual =&gt; "&amp;IF(T454&amp;""="","NULL",SUBSTITUTE(T454&amp;"",",","."))&amp;", p_tipo_valvula =&gt; "&amp;IF(TRIM(U454&amp;"")="","NULL","'"&amp;SUBSTITUTE(TRIM(U454),"'","''")&amp;"'")&amp;", p_libro_cilindro =&gt; "&amp;IF(TRIM(V454&amp;"")="","NULL","'"&amp;SUBSTITUTE(TRIM(V454),"'","''")&amp;"'")&amp;", p_pagina_libro =&gt; "&amp;IF(W454&amp;""="","NULL",SUBSTITUTE(W454&amp;"",",","."))&amp;", p_observacion =&gt; "&amp;IF(TRIM(X454&amp;"")="","NULL","'"&amp;SUBSTITUTE(TRIM(X454),"'","''")&amp;"'")&amp;") AS resultado_balon_"&amp;ROW()&amp;";")</f>
        <v/>
      </c>
    </row>
    <row r="455" ht="15.75" customHeight="1" s="64">
      <c r="A455" s="36" t="inlineStr">
        <is>
          <t>451</t>
        </is>
      </c>
      <c r="B455" s="25">
        <f>IF(AND(C455="",D455="",E455=""),"",IF(C455="","FALTA código balón",IF(D455="","FALTA tipo balón",IF(E455="","FALTA gas",IF(F455="","FALTA propietario",IF(AND(C455&lt;&gt;"",SUMPRODUCT(--($C$5:$C$1200=C455))&gt;1),"CÓDIGO BALÓN DUPLICADO",IF(AND(OR(UPPER(F455)="PLANTA",UPPER(F455)="CLIENTE"),G455=""),"FALTA doc propietario/planta",IF(AND(UPPER(F455)="PLANTA",G455="10175332796"),"PLANTA no puede ser RUC empresa","OK"))))))))</f>
        <v/>
      </c>
      <c r="C455" s="54" t="inlineStr">
        <is>
          <t>121Y320062</t>
        </is>
      </c>
      <c r="D455" s="17" t="inlineStr">
        <is>
          <t>Oxígeno Medicinal 10 m³</t>
        </is>
      </c>
      <c r="E455" s="17" t="inlineStr">
        <is>
          <t>OXIGENO MEDICINAL</t>
        </is>
      </c>
      <c r="F455" s="17" t="inlineStr">
        <is>
          <t>EMPRESA</t>
        </is>
      </c>
      <c r="G455" s="23" t="inlineStr">
        <is>
          <t>10175332796</t>
        </is>
      </c>
      <c r="H455" s="25">
        <f t="array" ref="H455">IF(G455="","",IFERROR(IF(INDEX(Clientes!$D$5:$D$549,MATCH(G455,Clientes!$C$5:$C$549,0))&lt;&gt;"",INDEX(Clientes!$D$5:$D$549,MATCH(G455,Clientes!$C$5:$C$549,0)),TRIM(INDEX(Clientes!$E$5:$E$549,MATCH(G455,Clientes!$C$5:$C$549,0))&amp;" "&amp;INDEX(Clientes!$F$5:$F$549,MATCH(G455,Clientes!$C$5:$C$549,0)))),"NO EXISTE en Clientes"))</f>
        <v/>
      </c>
      <c r="I455" s="17" t="inlineStr">
        <is>
          <t>EN_PODER_CLIENTE</t>
        </is>
      </c>
      <c r="J455" s="17" t="n"/>
      <c r="K455" s="23" t="inlineStr">
        <is>
          <t>20607710385</t>
        </is>
      </c>
      <c r="L455" s="25">
        <f t="array" ref="L455">IF(K455="","",IFERROR(IF(INDEX(Clientes!$D$5:$D$549,MATCH(K455,Clientes!$C$5:$C$549,0))&lt;&gt;"",INDEX(Clientes!$D$5:$D$549,MATCH(K455,Clientes!$C$5:$C$549,0)),TRIM(INDEX(Clientes!$E$5:$E$549,MATCH(K455,Clientes!$C$5:$C$549,0))&amp;" "&amp;INDEX(Clientes!$F$5:$F$549,MATCH(K455,Clientes!$C$5:$C$549,0)))),"NO EXISTE en Clientes"))</f>
        <v/>
      </c>
      <c r="M455" s="17" t="n"/>
      <c r="N455" s="17" t="n"/>
      <c r="O455" s="42" t="n"/>
      <c r="P455" s="39">
        <f>IF(O455&lt;&gt;"",DATE(YEAR(O455)+5,MONTH(O455),1),IF(AND(M455&lt;&gt;"",N455&lt;&gt;""),DATE(M455+5,N455,1),""))</f>
        <v/>
      </c>
      <c r="Q455" s="23" t="n"/>
      <c r="R455" s="17" t="n"/>
      <c r="S455" s="17" t="n"/>
      <c r="T455" s="17" t="n"/>
      <c r="U455" s="17" t="n"/>
      <c r="V455" s="23" t="n"/>
      <c r="W455" s="17" t="n"/>
      <c r="X455" s="17" t="n"/>
      <c r="Y455" s="28">
        <f>IF(B455&lt;&gt;"OK","","SELECT bal_crear_balon(p_codigo_balon =&gt; "&amp;IF(TRIM(C455&amp;"")="","NULL","'"&amp;SUBSTITUTE(TRIM(C455),"'","''")&amp;"'")&amp;", p_id_tipo_balon =&gt; "&amp;"(SELECT id FROM bal_tipo_balon WHERE upper(nombre) = upper('"&amp;SUBSTITUTE(TRIM(D455),"'","''")&amp;"') AND estado = 1 LIMIT 1)"&amp;", p_id_producto_gas =&gt; "&amp;"(SELECT id FROM pro_producto WHERE es_gas = TRUE AND upper(nombre) = upper('"&amp;SUBSTITUTE(TRIM(E455),"'","''")&amp;"') AND estado = 1 LIMIT 1)"&amp;", p_id_propietario =&gt; "&amp;IF(TRIM(F455&amp;"")="","NULL","(SELECT lo.id FROM gen_lista_opciones lo JOIN gen_lista l ON l.id = lo.id_lista WHERE l.nombre = 'PropietarioBalon' AND upper(lo.nombre) = upper('"&amp;SUBSTITUTE(TRIM(F455),"'","''")&amp;"') AND lo.estado = 1 LIMIT 1)")&amp;", p_id_cliente_propietario =&gt; "&amp;IF(F455="CLIENTE",IF(TRIM(G455&amp;"")="","NULL","(SELECT id FROM cli_clientes WHERE numero_documento = '"&amp;SUBSTITUTE(TRIM(G455),"'","''")&amp;"' AND estado = 1 LIMIT 1)"),"NULL")&amp;", p_id_planta =&gt; "&amp;IF(F455="PLANTA",IF(TRIM(G455&amp;"")="","NULL","(SELECT id FROM cli_clientes WHERE numero_documento = '"&amp;SUBSTITUTE(TRIM(G455),"'","''")&amp;"'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"&amp;IF(TRIM(J455&amp;"")="","NULL","(SELECT id FROM gen_almacen WHERE upper(nombre) = upper('"&amp;SUBSTITUTE(TRIM(J455),"'","''")&amp;"') AND estado = 1 LIMIT 1)")&amp;", p_id_cliente_ubicacion =&gt; "&amp;IF(TRIM(K455&amp;"")="","NULL","(SELECT id FROM cli_clientes WHERE numero_documento = '"&amp;SUBSTITUTE(TRIM(K455),"'","''")&amp;"' AND estado = 1 LIMIT 1)")&amp;", p_id_referencia =&gt; "&amp;IF(TRIM(J455&amp;"")&lt;&gt;"","(SELECT lo.id FROM gen_lista_opciones lo JOIN gen_lista l ON l.id = lo.id_lista WHERE l.nombre = 'ReferenciaCilindro' AND upper(lo.nombre) = 'ALMACEN' AND lo.estado = 1 LIMIT 1)",IF(TRIM(K455&amp;"")&lt;&gt;"","(SELECT lo.id FROM gen_lista_opciones lo JOIN gen_lista l ON l.id = lo.id_lista WHERE l.nombre = 'ReferenciaCilindro' AND upper(lo.nombre) = 'CLIENTE' AND lo.estado = 1 LIMIT 1)","NULL"))&amp;", p_anio_fabricacion =&gt; "&amp;IF(M455&amp;""="","NULL::smallint",M455&amp;"::smallint")&amp;", p_mes_fabricacion =&gt; "&amp;IF(N455&amp;""="","NULL::smallint",N455&amp;"::smallint")&amp;", p_fecha_ultima_prueba_hidrostatica =&gt; "&amp;IF(O455&amp;""="","NULL","'"&amp;YEAR(O455)&amp;"-"&amp;TEXT(MONTH(O455),"00")&amp;"-"&amp;TEXT(DAY(O455),"00")&amp;"'")&amp;", p_numero_serie =&gt; "&amp;IF(TRIM(Q455&amp;"")="","NULL","'"&amp;SUBSTITUTE(TRIM(Q455),"'","''")&amp;"'")&amp;", p_id_marca_cilindro =&gt; "&amp;IF(TRIM(R455&amp;"")="","NULL","(SELECT lo.id FROM gen_lista_opciones lo JOIN gen_lista l ON l.id = lo.id_lista WHERE l.nombre = 'MarcaCilindro' AND upper(lo.nombre) = upper('"&amp;SUBSTITUTE(TRIM(R455),"'","''")&amp;"') AND lo.estado = 1 LIMIT 1)")&amp;", p_id_organo_inspector =&gt; "&amp;IF(TRIM(S455&amp;"")="","NULL","(SELECT lo.id FROM gen_lista_opciones lo JOIN gen_lista l ON l.id = lo.id_lista WHERE l.nombre = 'OrganoInspectorCilindro' AND upper(lo.nombre) = upper('"&amp;SUBSTITUTE(TRIM(S455),"'","''")&amp;"') AND lo.estado = 1 LIMIT 1)")&amp;", p_organo_inspector_no_aplica =&gt; "&amp;IF(S455="NO_APLICA","TRUE","FALSE")&amp;", p_presion_actual =&gt; "&amp;IF(T455&amp;""="","NULL",SUBSTITUTE(T455&amp;"",",","."))&amp;", p_tipo_valvula =&gt; "&amp;IF(TRIM(U455&amp;"")="","NULL","'"&amp;SUBSTITUTE(TRIM(U455),"'","''")&amp;"'")&amp;", p_libro_cilindro =&gt; "&amp;IF(TRIM(V455&amp;"")="","NULL","'"&amp;SUBSTITUTE(TRIM(V455),"'","''")&amp;"'")&amp;", p_pagina_libro =&gt; "&amp;IF(W455&amp;""="","NULL",SUBSTITUTE(W455&amp;"",",","."))&amp;", p_observacion =&gt; "&amp;IF(TRIM(X455&amp;"")="","NULL","'"&amp;SUBSTITUTE(TRIM(X455),"'","''")&amp;"'")&amp;") AS resultado_balon_"&amp;ROW()&amp;";")</f>
        <v/>
      </c>
    </row>
    <row r="456" ht="15.75" customHeight="1" s="64">
      <c r="A456" s="36" t="inlineStr">
        <is>
          <t>452</t>
        </is>
      </c>
      <c r="B456" s="25">
        <f>IF(AND(C456="",D456="",E456=""),"",IF(C456="","FALTA código balón",IF(D456="","FALTA tipo balón",IF(E456="","FALTA gas",IF(F456="","FALTA propietario",IF(AND(C456&lt;&gt;"",SUMPRODUCT(--($C$5:$C$1200=C456))&gt;1),"CÓDIGO BALÓN DUPLICADO",IF(AND(OR(UPPER(F456)="PLANTA",UPPER(F456)="CLIENTE"),G456=""),"FALTA doc propietario/planta",IF(AND(UPPER(F456)="PLANTA",G456="10175332796"),"PLANTA no puede ser RUC empresa","OK"))))))))</f>
        <v/>
      </c>
      <c r="C456" s="54" t="inlineStr">
        <is>
          <t>20Y335128</t>
        </is>
      </c>
      <c r="D456" s="17" t="inlineStr">
        <is>
          <t>Oxígeno Medicinal 10 m³</t>
        </is>
      </c>
      <c r="E456" s="17" t="inlineStr">
        <is>
          <t>OXIGENO MEDICINAL</t>
        </is>
      </c>
      <c r="F456" s="17" t="inlineStr">
        <is>
          <t>EMPRESA</t>
        </is>
      </c>
      <c r="G456" s="23" t="inlineStr">
        <is>
          <t>10175332796</t>
        </is>
      </c>
      <c r="H456" s="25">
        <f t="array" ref="H456">IF(G456="","",IFERROR(IF(INDEX(Clientes!$D$5:$D$549,MATCH(G456,Clientes!$C$5:$C$549,0))&lt;&gt;"",INDEX(Clientes!$D$5:$D$549,MATCH(G456,Clientes!$C$5:$C$549,0)),TRIM(INDEX(Clientes!$E$5:$E$549,MATCH(G456,Clientes!$C$5:$C$549,0))&amp;" "&amp;INDEX(Clientes!$F$5:$F$549,MATCH(G456,Clientes!$C$5:$C$549,0)))),"NO EXISTE en Clientes"))</f>
        <v/>
      </c>
      <c r="I456" s="17" t="inlineStr">
        <is>
          <t>EN_PODER_CLIENTE</t>
        </is>
      </c>
      <c r="J456" s="17" t="n"/>
      <c r="K456" s="23" t="inlineStr">
        <is>
          <t>45831341</t>
        </is>
      </c>
      <c r="L456" s="25">
        <f t="array" ref="L456">IF(K456="","",IFERROR(IF(INDEX(Clientes!$D$5:$D$549,MATCH(K456,Clientes!$C$5:$C$549,0))&lt;&gt;"",INDEX(Clientes!$D$5:$D$549,MATCH(K456,Clientes!$C$5:$C$549,0)),TRIM(INDEX(Clientes!$E$5:$E$549,MATCH(K456,Clientes!$C$5:$C$549,0))&amp;" "&amp;INDEX(Clientes!$F$5:$F$549,MATCH(K456,Clientes!$C$5:$C$549,0)))),"NO EXISTE en Clientes"))</f>
        <v/>
      </c>
      <c r="M456" s="17" t="n"/>
      <c r="N456" s="17" t="n"/>
      <c r="O456" s="42" t="n"/>
      <c r="P456" s="39">
        <f>IF(O456&lt;&gt;"",DATE(YEAR(O456)+5,MONTH(O456),1),IF(AND(M456&lt;&gt;"",N456&lt;&gt;""),DATE(M456+5,N456,1),""))</f>
        <v/>
      </c>
      <c r="Q456" s="23" t="n"/>
      <c r="R456" s="17" t="n"/>
      <c r="S456" s="17" t="n"/>
      <c r="T456" s="17" t="n"/>
      <c r="U456" s="17" t="n"/>
      <c r="V456" s="23" t="n"/>
      <c r="W456" s="17" t="n"/>
      <c r="X456" s="17" t="n"/>
      <c r="Y456" s="28">
        <f>IF(B456&lt;&gt;"OK","","SELECT bal_crear_balon(p_codigo_balon =&gt; "&amp;IF(TRIM(C456&amp;"")="","NULL","'"&amp;SUBSTITUTE(TRIM(C456),"'","''")&amp;"'")&amp;", p_id_tipo_balon =&gt; "&amp;"(SELECT id FROM bal_tipo_balon WHERE upper(nombre) = upper('"&amp;SUBSTITUTE(TRIM(D456),"'","''")&amp;"') AND estado = 1 LIMIT 1)"&amp;", p_id_producto_gas =&gt; "&amp;"(SELECT id FROM pro_producto WHERE es_gas = TRUE AND upper(nombre) = upper('"&amp;SUBSTITUTE(TRIM(E456),"'","''")&amp;"') AND estado = 1 LIMIT 1)"&amp;", p_id_propietario =&gt; "&amp;IF(TRIM(F456&amp;"")="","NULL","(SELECT lo.id FROM gen_lista_opciones lo JOIN gen_lista l ON l.id = lo.id_lista WHERE l.nombre = 'PropietarioBalon' AND upper(lo.nombre) = upper('"&amp;SUBSTITUTE(TRIM(F456),"'","''")&amp;"') AND lo.estado = 1 LIMIT 1)")&amp;", p_id_cliente_propietario =&gt; "&amp;IF(F456="CLIENTE",IF(TRIM(G456&amp;"")="","NULL","(SELECT id FROM cli_clientes WHERE numero_documento = '"&amp;SUBSTITUTE(TRIM(G456),"'","''")&amp;"' AND estado = 1 LIMIT 1)"),"NULL")&amp;", p_id_planta =&gt; "&amp;IF(F456="PLANTA",IF(TRIM(G456&amp;"")="","NULL","(SELECT id FROM cli_clientes WHERE numero_documento = '"&amp;SUBSTITUTE(TRIM(G456),"'","''")&amp;"'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"&amp;IF(TRIM(J456&amp;"")="","NULL","(SELECT id FROM gen_almacen WHERE upper(nombre) = upper('"&amp;SUBSTITUTE(TRIM(J456),"'","''")&amp;"') AND estado = 1 LIMIT 1)")&amp;", p_id_cliente_ubicacion =&gt; "&amp;IF(TRIM(K456&amp;"")="","NULL","(SELECT id FROM cli_clientes WHERE numero_documento = '"&amp;SUBSTITUTE(TRIM(K456),"'","''")&amp;"' AND estado = 1 LIMIT 1)")&amp;", p_id_referencia =&gt; "&amp;IF(TRIM(J456&amp;"")&lt;&gt;"","(SELECT lo.id FROM gen_lista_opciones lo JOIN gen_lista l ON l.id = lo.id_lista WHERE l.nombre = 'ReferenciaCilindro' AND upper(lo.nombre) = 'ALMACEN' AND lo.estado = 1 LIMIT 1)",IF(TRIM(K456&amp;"")&lt;&gt;"","(SELECT lo.id FROM gen_lista_opciones lo JOIN gen_lista l ON l.id = lo.id_lista WHERE l.nombre = 'ReferenciaCilindro' AND upper(lo.nombre) = 'CLIENTE' AND lo.estado = 1 LIMIT 1)","NULL"))&amp;", p_anio_fabricacion =&gt; "&amp;IF(M456&amp;""="","NULL::smallint",M456&amp;"::smallint")&amp;", p_mes_fabricacion =&gt; "&amp;IF(N456&amp;""="","NULL::smallint",N456&amp;"::smallint")&amp;", p_fecha_ultima_prueba_hidrostatica =&gt; "&amp;IF(O456&amp;""="","NULL","'"&amp;YEAR(O456)&amp;"-"&amp;TEXT(MONTH(O456),"00")&amp;"-"&amp;TEXT(DAY(O456),"00")&amp;"'")&amp;", p_numero_serie =&gt; "&amp;IF(TRIM(Q456&amp;"")="","NULL","'"&amp;SUBSTITUTE(TRIM(Q456),"'","''")&amp;"'")&amp;", p_id_marca_cilindro =&gt; "&amp;IF(TRIM(R456&amp;"")="","NULL","(SELECT lo.id FROM gen_lista_opciones lo JOIN gen_lista l ON l.id = lo.id_lista WHERE l.nombre = 'MarcaCilindro' AND upper(lo.nombre) = upper('"&amp;SUBSTITUTE(TRIM(R456),"'","''")&amp;"') AND lo.estado = 1 LIMIT 1)")&amp;", p_id_organo_inspector =&gt; "&amp;IF(TRIM(S456&amp;"")="","NULL","(SELECT lo.id FROM gen_lista_opciones lo JOIN gen_lista l ON l.id = lo.id_lista WHERE l.nombre = 'OrganoInspectorCilindro' AND upper(lo.nombre) = upper('"&amp;SUBSTITUTE(TRIM(S456),"'","''")&amp;"') AND lo.estado = 1 LIMIT 1)")&amp;", p_organo_inspector_no_aplica =&gt; "&amp;IF(S456="NO_APLICA","TRUE","FALSE")&amp;", p_presion_actual =&gt; "&amp;IF(T456&amp;""="","NULL",SUBSTITUTE(T456&amp;"",",","."))&amp;", p_tipo_valvula =&gt; "&amp;IF(TRIM(U456&amp;"")="","NULL","'"&amp;SUBSTITUTE(TRIM(U456),"'","''")&amp;"'")&amp;", p_libro_cilindro =&gt; "&amp;IF(TRIM(V456&amp;"")="","NULL","'"&amp;SUBSTITUTE(TRIM(V456),"'","''")&amp;"'")&amp;", p_pagina_libro =&gt; "&amp;IF(W456&amp;""="","NULL",SUBSTITUTE(W456&amp;"",",","."))&amp;", p_observacion =&gt; "&amp;IF(TRIM(X456&amp;"")="","NULL","'"&amp;SUBSTITUTE(TRIM(X456),"'","''")&amp;"'")&amp;") AS resultado_balon_"&amp;ROW()&amp;";")</f>
        <v/>
      </c>
    </row>
    <row r="457" ht="15.75" customHeight="1" s="64">
      <c r="A457" s="36" t="inlineStr">
        <is>
          <t>453</t>
        </is>
      </c>
      <c r="B457" s="25">
        <f>IF(AND(C457="",D457="",E457=""),"",IF(C457="","FALTA código balón",IF(D457="","FALTA tipo balón",IF(E457="","FALTA gas",IF(F457="","FALTA propietario",IF(AND(C457&lt;&gt;"",SUMPRODUCT(--($C$5:$C$1200=C457))&gt;1),"CÓDIGO BALÓN DUPLICADO",IF(AND(OR(UPPER(F457)="PLANTA",UPPER(F457)="CLIENTE"),G457=""),"FALTA doc propietario/planta",IF(AND(UPPER(F457)="PLANTA",G457="10175332796"),"PLANTA no puede ser RUC empresa","OK"))))))))</f>
        <v/>
      </c>
      <c r="C457" s="54" t="inlineStr">
        <is>
          <t>911145</t>
        </is>
      </c>
      <c r="D457" s="17" t="inlineStr">
        <is>
          <t>Oxígeno Industrial 10 m³</t>
        </is>
      </c>
      <c r="E457" s="17" t="inlineStr">
        <is>
          <t>OXIGENO INDUSTRIAL</t>
        </is>
      </c>
      <c r="F457" s="17" t="inlineStr">
        <is>
          <t>EMPRESA</t>
        </is>
      </c>
      <c r="G457" s="23" t="inlineStr">
        <is>
          <t>10175332796</t>
        </is>
      </c>
      <c r="H457" s="25">
        <f t="array" ref="H457">IF(G457="","",IFERROR(IF(INDEX(Clientes!$D$5:$D$549,MATCH(G457,Clientes!$C$5:$C$549,0))&lt;&gt;"",INDEX(Clientes!$D$5:$D$549,MATCH(G457,Clientes!$C$5:$C$549,0)),TRIM(INDEX(Clientes!$E$5:$E$549,MATCH(G457,Clientes!$C$5:$C$549,0))&amp;" "&amp;INDEX(Clientes!$F$5:$F$549,MATCH(G457,Clientes!$C$5:$C$549,0)))),"NO EXISTE en Clientes"))</f>
        <v/>
      </c>
      <c r="I457" s="17" t="inlineStr">
        <is>
          <t>EN_PODER_CLIENTE</t>
        </is>
      </c>
      <c r="J457" s="17" t="n"/>
      <c r="K457" s="26" t="inlineStr">
        <is>
          <t>20270453679</t>
        </is>
      </c>
      <c r="L457" s="25">
        <f t="array" ref="L457">IF(K457="","",IFERROR(IF(INDEX(Clientes!$D$5:$D$549,MATCH(K457,Clientes!$C$5:$C$549,0))&lt;&gt;"",INDEX(Clientes!$D$5:$D$549,MATCH(K457,Clientes!$C$5:$C$549,0)),TRIM(INDEX(Clientes!$E$5:$E$549,MATCH(K457,Clientes!$C$5:$C$549,0))&amp;" "&amp;INDEX(Clientes!$F$5:$F$549,MATCH(K457,Clientes!$C$5:$C$549,0)))),"NO EXISTE en Clientes"))</f>
        <v/>
      </c>
      <c r="M457" s="17" t="n"/>
      <c r="N457" s="17" t="n"/>
      <c r="O457" s="42" t="n"/>
      <c r="P457" s="39">
        <f>IF(O457&lt;&gt;"",DATE(YEAR(O457)+5,MONTH(O457),1),IF(AND(M457&lt;&gt;"",N457&lt;&gt;""),DATE(M457+5,N457,1),""))</f>
        <v/>
      </c>
      <c r="Q457" s="23" t="n"/>
      <c r="R457" s="17" t="n"/>
      <c r="S457" s="17" t="n"/>
      <c r="T457" s="17" t="n"/>
      <c r="U457" s="17" t="n"/>
      <c r="V457" s="23" t="n"/>
      <c r="W457" s="17" t="n"/>
      <c r="X457" s="17" t="n"/>
      <c r="Y457" s="28">
        <f>IF(B457&lt;&gt;"OK","","SELECT bal_crear_balon(p_codigo_balon =&gt; "&amp;IF(TRIM(C457&amp;"")="","NULL","'"&amp;SUBSTITUTE(TRIM(C457),"'","''")&amp;"'")&amp;", p_id_tipo_balon =&gt; "&amp;"(SELECT id FROM bal_tipo_balon WHERE upper(nombre) = upper('"&amp;SUBSTITUTE(TRIM(D457),"'","''")&amp;"') AND estado = 1 LIMIT 1)"&amp;", p_id_producto_gas =&gt; "&amp;"(SELECT id FROM pro_producto WHERE es_gas = TRUE AND upper(nombre) = upper('"&amp;SUBSTITUTE(TRIM(E457),"'","''")&amp;"') AND estado = 1 LIMIT 1)"&amp;", p_id_propietario =&gt; "&amp;IF(TRIM(F457&amp;"")="","NULL","(SELECT lo.id FROM gen_lista_opciones lo JOIN gen_lista l ON l.id = lo.id_lista WHERE l.nombre = 'PropietarioBalon' AND upper(lo.nombre) = upper('"&amp;SUBSTITUTE(TRIM(F457),"'","''")&amp;"') AND lo.estado = 1 LIMIT 1)")&amp;", p_id_cliente_propietario =&gt; "&amp;IF(F457="CLIENTE",IF(TRIM(G457&amp;"")="","NULL","(SELECT id FROM cli_clientes WHERE numero_documento = '"&amp;SUBSTITUTE(TRIM(G457),"'","''")&amp;"' AND estado = 1 LIMIT 1)"),"NULL")&amp;", p_id_planta =&gt; "&amp;IF(F457="PLANTA",IF(TRIM(G457&amp;"")="","NULL","(SELECT id FROM cli_clientes WHERE numero_documento = '"&amp;SUBSTITUTE(TRIM(G457),"'","''")&amp;"'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"&amp;IF(TRIM(J457&amp;"")="","NULL","(SELECT id FROM gen_almacen WHERE upper(nombre) = upper('"&amp;SUBSTITUTE(TRIM(J457),"'","''")&amp;"') AND estado = 1 LIMIT 1)")&amp;", p_id_cliente_ubicacion =&gt; "&amp;IF(TRIM(K457&amp;"")="","NULL","(SELECT id FROM cli_clientes WHERE numero_documento = '"&amp;SUBSTITUTE(TRIM(K457),"'","''")&amp;"' AND estado = 1 LIMIT 1)")&amp;", p_id_referencia =&gt; "&amp;IF(TRIM(J457&amp;"")&lt;&gt;"","(SELECT lo.id FROM gen_lista_opciones lo JOIN gen_lista l ON l.id = lo.id_lista WHERE l.nombre = 'ReferenciaCilindro' AND upper(lo.nombre) = 'ALMACEN' AND lo.estado = 1 LIMIT 1)",IF(TRIM(K457&amp;"")&lt;&gt;"","(SELECT lo.id FROM gen_lista_opciones lo JOIN gen_lista l ON l.id = lo.id_lista WHERE l.nombre = 'ReferenciaCilindro' AND upper(lo.nombre) = 'CLIENTE' AND lo.estado = 1 LIMIT 1)","NULL"))&amp;", p_anio_fabricacion =&gt; "&amp;IF(M457&amp;""="","NULL::smallint",M457&amp;"::smallint")&amp;", p_mes_fabricacion =&gt; "&amp;IF(N457&amp;""="","NULL::smallint",N457&amp;"::smallint")&amp;", p_fecha_ultima_prueba_hidrostatica =&gt; "&amp;IF(O457&amp;""="","NULL","'"&amp;YEAR(O457)&amp;"-"&amp;TEXT(MONTH(O457),"00")&amp;"-"&amp;TEXT(DAY(O457),"00")&amp;"'")&amp;", p_numero_serie =&gt; "&amp;IF(TRIM(Q457&amp;"")="","NULL","'"&amp;SUBSTITUTE(TRIM(Q457),"'","''")&amp;"'")&amp;", p_id_marca_cilindro =&gt; "&amp;IF(TRIM(R457&amp;"")="","NULL","(SELECT lo.id FROM gen_lista_opciones lo JOIN gen_lista l ON l.id = lo.id_lista WHERE l.nombre = 'MarcaCilindro' AND upper(lo.nombre) = upper('"&amp;SUBSTITUTE(TRIM(R457),"'","''")&amp;"') AND lo.estado = 1 LIMIT 1)")&amp;", p_id_organo_inspector =&gt; "&amp;IF(TRIM(S457&amp;"")="","NULL","(SELECT lo.id FROM gen_lista_opciones lo JOIN gen_lista l ON l.id = lo.id_lista WHERE l.nombre = 'OrganoInspectorCilindro' AND upper(lo.nombre) = upper('"&amp;SUBSTITUTE(TRIM(S457),"'","''")&amp;"') AND lo.estado = 1 LIMIT 1)")&amp;", p_organo_inspector_no_aplica =&gt; "&amp;IF(S457="NO_APLICA","TRUE","FALSE")&amp;", p_presion_actual =&gt; "&amp;IF(T457&amp;""="","NULL",SUBSTITUTE(T457&amp;"",",","."))&amp;", p_tipo_valvula =&gt; "&amp;IF(TRIM(U457&amp;"")="","NULL","'"&amp;SUBSTITUTE(TRIM(U457),"'","''")&amp;"'")&amp;", p_libro_cilindro =&gt; "&amp;IF(TRIM(V457&amp;"")="","NULL","'"&amp;SUBSTITUTE(TRIM(V457),"'","''")&amp;"'")&amp;", p_pagina_libro =&gt; "&amp;IF(W457&amp;""="","NULL",SUBSTITUTE(W457&amp;"",",","."))&amp;", p_observacion =&gt; "&amp;IF(TRIM(X457&amp;"")="","NULL","'"&amp;SUBSTITUTE(TRIM(X457),"'","''")&amp;"'")&amp;") AS resultado_balon_"&amp;ROW()&amp;";")</f>
        <v/>
      </c>
    </row>
    <row r="458" ht="15.75" customHeight="1" s="64">
      <c r="A458" s="36" t="inlineStr">
        <is>
          <t>454</t>
        </is>
      </c>
      <c r="B458" s="25">
        <f>IF(AND(C458="",D458="",E458=""),"",IF(C458="","FALTA código balón",IF(D458="","FALTA tipo balón",IF(E458="","FALTA gas",IF(F458="","FALTA propietario",IF(AND(C458&lt;&gt;"",SUMPRODUCT(--($C$5:$C$1200=C458))&gt;1),"CÓDIGO BALÓN DUPLICADO",IF(AND(OR(UPPER(F458)="PLANTA",UPPER(F458)="CLIENTE"),G458=""),"FALTA doc propietario/planta",IF(AND(UPPER(F458)="PLANTA",G458="10175332796"),"PLANTA no puede ser RUC empresa","OK"))))))))</f>
        <v/>
      </c>
      <c r="C458" s="54" t="inlineStr">
        <is>
          <t>FC019160</t>
        </is>
      </c>
      <c r="D458" s="17" t="inlineStr">
        <is>
          <t>Oxígeno Industrial 10 m³</t>
        </is>
      </c>
      <c r="E458" s="17" t="inlineStr">
        <is>
          <t>OXIGENO INDUSTRIAL</t>
        </is>
      </c>
      <c r="F458" s="17" t="inlineStr">
        <is>
          <t>EMPRESA</t>
        </is>
      </c>
      <c r="G458" s="23" t="inlineStr">
        <is>
          <t>10175332796</t>
        </is>
      </c>
      <c r="H458" s="25">
        <f t="array" ref="H458">IF(G458="","",IFERROR(IF(INDEX(Clientes!$D$5:$D$549,MATCH(G458,Clientes!$C$5:$C$549,0))&lt;&gt;"",INDEX(Clientes!$D$5:$D$549,MATCH(G458,Clientes!$C$5:$C$549,0)),TRIM(INDEX(Clientes!$E$5:$E$549,MATCH(G458,Clientes!$C$5:$C$549,0))&amp;" "&amp;INDEX(Clientes!$F$5:$F$549,MATCH(G458,Clientes!$C$5:$C$549,0)))),"NO EXISTE en Clientes"))</f>
        <v/>
      </c>
      <c r="I458" s="17" t="inlineStr">
        <is>
          <t>EN_PODER_CLIENTE</t>
        </is>
      </c>
      <c r="J458" s="17" t="n"/>
      <c r="K458" s="23" t="inlineStr">
        <is>
          <t>20607756121</t>
        </is>
      </c>
      <c r="L458" s="25">
        <f t="array" ref="L458">IF(K458="","",IFERROR(IF(INDEX(Clientes!$D$5:$D$549,MATCH(K458,Clientes!$C$5:$C$549,0))&lt;&gt;"",INDEX(Clientes!$D$5:$D$549,MATCH(K458,Clientes!$C$5:$C$549,0)),TRIM(INDEX(Clientes!$E$5:$E$549,MATCH(K458,Clientes!$C$5:$C$549,0))&amp;" "&amp;INDEX(Clientes!$F$5:$F$549,MATCH(K458,Clientes!$C$5:$C$549,0)))),"NO EXISTE en Clientes"))</f>
        <v/>
      </c>
      <c r="M458" s="17" t="n"/>
      <c r="N458" s="17" t="n"/>
      <c r="O458" s="42" t="n"/>
      <c r="P458" s="39">
        <f>IF(O458&lt;&gt;"",DATE(YEAR(O458)+5,MONTH(O458),1),IF(AND(M458&lt;&gt;"",N458&lt;&gt;""),DATE(M458+5,N458,1),""))</f>
        <v/>
      </c>
      <c r="Q458" s="23" t="n"/>
      <c r="R458" s="17" t="n"/>
      <c r="S458" s="17" t="n"/>
      <c r="T458" s="17" t="n"/>
      <c r="U458" s="17" t="n"/>
      <c r="V458" s="23" t="n"/>
      <c r="W458" s="17" t="n"/>
      <c r="X458" s="17" t="n"/>
      <c r="Y458" s="28">
        <f>IF(B458&lt;&gt;"OK","","SELECT bal_crear_balon(p_codigo_balon =&gt; "&amp;IF(TRIM(C458&amp;"")="","NULL","'"&amp;SUBSTITUTE(TRIM(C458),"'","''")&amp;"'")&amp;", p_id_tipo_balon =&gt; "&amp;"(SELECT id FROM bal_tipo_balon WHERE upper(nombre) = upper('"&amp;SUBSTITUTE(TRIM(D458),"'","''")&amp;"') AND estado = 1 LIMIT 1)"&amp;", p_id_producto_gas =&gt; "&amp;"(SELECT id FROM pro_producto WHERE es_gas = TRUE AND upper(nombre) = upper('"&amp;SUBSTITUTE(TRIM(E458),"'","''")&amp;"') AND estado = 1 LIMIT 1)"&amp;", p_id_propietario =&gt; "&amp;IF(TRIM(F458&amp;"")="","NULL","(SELECT lo.id FROM gen_lista_opciones lo JOIN gen_lista l ON l.id = lo.id_lista WHERE l.nombre = 'PropietarioBalon' AND upper(lo.nombre) = upper('"&amp;SUBSTITUTE(TRIM(F458),"'","''")&amp;"') AND lo.estado = 1 LIMIT 1)")&amp;", p_id_cliente_propietario =&gt; "&amp;IF(F458="CLIENTE",IF(TRIM(G458&amp;"")="","NULL","(SELECT id FROM cli_clientes WHERE numero_documento = '"&amp;SUBSTITUTE(TRIM(G458),"'","''")&amp;"' AND estado = 1 LIMIT 1)"),"NULL")&amp;", p_id_planta =&gt; "&amp;IF(F458="PLANTA",IF(TRIM(G458&amp;"")="","NULL","(SELECT id FROM cli_clientes WHERE numero_documento = '"&amp;SUBSTITUTE(TRIM(G458),"'","''")&amp;"'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"&amp;IF(TRIM(J458&amp;"")="","NULL","(SELECT id FROM gen_almacen WHERE upper(nombre) = upper('"&amp;SUBSTITUTE(TRIM(J458),"'","''")&amp;"') AND estado = 1 LIMIT 1)")&amp;", p_id_cliente_ubicacion =&gt; "&amp;IF(TRIM(K458&amp;"")="","NULL","(SELECT id FROM cli_clientes WHERE numero_documento = '"&amp;SUBSTITUTE(TRIM(K458),"'","''")&amp;"' AND estado = 1 LIMIT 1)")&amp;", p_id_referencia =&gt; "&amp;IF(TRIM(J458&amp;"")&lt;&gt;"","(SELECT lo.id FROM gen_lista_opciones lo JOIN gen_lista l ON l.id = lo.id_lista WHERE l.nombre = 'ReferenciaCilindro' AND upper(lo.nombre) = 'ALMACEN' AND lo.estado = 1 LIMIT 1)",IF(TRIM(K458&amp;"")&lt;&gt;"","(SELECT lo.id FROM gen_lista_opciones lo JOIN gen_lista l ON l.id = lo.id_lista WHERE l.nombre = 'ReferenciaCilindro' AND upper(lo.nombre) = 'CLIENTE' AND lo.estado = 1 LIMIT 1)","NULL"))&amp;", p_anio_fabricacion =&gt; "&amp;IF(M458&amp;""="","NULL::smallint",M458&amp;"::smallint")&amp;", p_mes_fabricacion =&gt; "&amp;IF(N458&amp;""="","NULL::smallint",N458&amp;"::smallint")&amp;", p_fecha_ultima_prueba_hidrostatica =&gt; "&amp;IF(O458&amp;""="","NULL","'"&amp;YEAR(O458)&amp;"-"&amp;TEXT(MONTH(O458),"00")&amp;"-"&amp;TEXT(DAY(O458),"00")&amp;"'")&amp;", p_numero_serie =&gt; "&amp;IF(TRIM(Q458&amp;"")="","NULL","'"&amp;SUBSTITUTE(TRIM(Q458),"'","''")&amp;"'")&amp;", p_id_marca_cilindro =&gt; "&amp;IF(TRIM(R458&amp;"")="","NULL","(SELECT lo.id FROM gen_lista_opciones lo JOIN gen_lista l ON l.id = lo.id_lista WHERE l.nombre = 'MarcaCilindro' AND upper(lo.nombre) = upper('"&amp;SUBSTITUTE(TRIM(R458),"'","''")&amp;"') AND lo.estado = 1 LIMIT 1)")&amp;", p_id_organo_inspector =&gt; "&amp;IF(TRIM(S458&amp;"")="","NULL","(SELECT lo.id FROM gen_lista_opciones lo JOIN gen_lista l ON l.id = lo.id_lista WHERE l.nombre = 'OrganoInspectorCilindro' AND upper(lo.nombre) = upper('"&amp;SUBSTITUTE(TRIM(S458),"'","''")&amp;"') AND lo.estado = 1 LIMIT 1)")&amp;", p_organo_inspector_no_aplica =&gt; "&amp;IF(S458="NO_APLICA","TRUE","FALSE")&amp;", p_presion_actual =&gt; "&amp;IF(T458&amp;""="","NULL",SUBSTITUTE(T458&amp;"",",","."))&amp;", p_tipo_valvula =&gt; "&amp;IF(TRIM(U458&amp;"")="","NULL","'"&amp;SUBSTITUTE(TRIM(U458),"'","''")&amp;"'")&amp;", p_libro_cilindro =&gt; "&amp;IF(TRIM(V458&amp;"")="","NULL","'"&amp;SUBSTITUTE(TRIM(V458),"'","''")&amp;"'")&amp;", p_pagina_libro =&gt; "&amp;IF(W458&amp;""="","NULL",SUBSTITUTE(W458&amp;"",",","."))&amp;", p_observacion =&gt; "&amp;IF(TRIM(X458&amp;"")="","NULL","'"&amp;SUBSTITUTE(TRIM(X458),"'","''")&amp;"'")&amp;") AS resultado_balon_"&amp;ROW()&amp;";")</f>
        <v/>
      </c>
    </row>
    <row r="459" ht="15.75" customHeight="1" s="64">
      <c r="A459" s="36" t="inlineStr">
        <is>
          <t>455</t>
        </is>
      </c>
      <c r="B459" s="25">
        <f>IF(AND(C459="",D459="",E459=""),"",IF(C459="","FALTA código balón",IF(D459="","FALTA tipo balón",IF(E459="","FALTA gas",IF(F459="","FALTA propietario",IF(AND(C459&lt;&gt;"",SUMPRODUCT(--($C$5:$C$1200=C459))&gt;1),"CÓDIGO BALÓN DUPLICADO",IF(AND(OR(UPPER(F459)="PLANTA",UPPER(F459)="CLIENTE"),G459=""),"FALTA doc propietario/planta",IF(AND(UPPER(F459)="PLANTA",G459="10175332796"),"PLANTA no puede ser RUC empresa","OK"))))))))</f>
        <v/>
      </c>
      <c r="C459" s="54" t="inlineStr">
        <is>
          <t>39570</t>
        </is>
      </c>
      <c r="D459" s="17" t="inlineStr">
        <is>
          <t>Oxigeno Industrial 3 m³</t>
        </is>
      </c>
      <c r="E459" s="17" t="inlineStr">
        <is>
          <t>OXIGENO INDUSTRIAL</t>
        </is>
      </c>
      <c r="F459" s="17" t="inlineStr">
        <is>
          <t>EMPRESA</t>
        </is>
      </c>
      <c r="G459" s="23" t="inlineStr">
        <is>
          <t>10175332796</t>
        </is>
      </c>
      <c r="H459" s="25">
        <f t="array" ref="H459">IF(G459="","",IFERROR(IF(INDEX(Clientes!$D$5:$D$549,MATCH(G459,Clientes!$C$5:$C$549,0))&lt;&gt;"",INDEX(Clientes!$D$5:$D$549,MATCH(G459,Clientes!$C$5:$C$549,0)),TRIM(INDEX(Clientes!$E$5:$E$549,MATCH(G459,Clientes!$C$5:$C$549,0))&amp;" "&amp;INDEX(Clientes!$F$5:$F$549,MATCH(G459,Clientes!$C$5:$C$549,0)))),"NO EXISTE en Clientes"))</f>
        <v/>
      </c>
      <c r="I459" s="17" t="inlineStr">
        <is>
          <t>EN_PODER_CLIENTE</t>
        </is>
      </c>
      <c r="J459" s="17" t="n"/>
      <c r="K459" s="23" t="inlineStr">
        <is>
          <t>10165243299</t>
        </is>
      </c>
      <c r="L459" s="25">
        <f t="array" ref="L459">IF(K459="","",IFERROR(IF(INDEX(Clientes!$D$5:$D$549,MATCH(K459,Clientes!$C$5:$C$549,0))&lt;&gt;"",INDEX(Clientes!$D$5:$D$549,MATCH(K459,Clientes!$C$5:$C$549,0)),TRIM(INDEX(Clientes!$E$5:$E$549,MATCH(K459,Clientes!$C$5:$C$549,0))&amp;" "&amp;INDEX(Clientes!$F$5:$F$549,MATCH(K459,Clientes!$C$5:$C$549,0)))),"NO EXISTE en Clientes"))</f>
        <v/>
      </c>
      <c r="M459" s="17" t="n"/>
      <c r="N459" s="17" t="n"/>
      <c r="O459" s="42" t="n"/>
      <c r="P459" s="39">
        <f>IF(O459&lt;&gt;"",DATE(YEAR(O459)+5,MONTH(O459),1),IF(AND(M459&lt;&gt;"",N459&lt;&gt;""),DATE(M459+5,N459,1),""))</f>
        <v/>
      </c>
      <c r="Q459" s="23" t="n"/>
      <c r="R459" s="17" t="n"/>
      <c r="S459" s="17" t="n"/>
      <c r="T459" s="17" t="n"/>
      <c r="U459" s="17" t="n"/>
      <c r="V459" s="23" t="n"/>
      <c r="W459" s="17" t="n"/>
      <c r="X459" s="17" t="n"/>
      <c r="Y459" s="28">
        <f>IF(B459&lt;&gt;"OK","","SELECT bal_crear_balon(p_codigo_balon =&gt; "&amp;IF(TRIM(C459&amp;"")="","NULL","'"&amp;SUBSTITUTE(TRIM(C459),"'","''")&amp;"'")&amp;", p_id_tipo_balon =&gt; "&amp;"(SELECT id FROM bal_tipo_balon WHERE upper(nombre) = upper('"&amp;SUBSTITUTE(TRIM(D459),"'","''")&amp;"') AND estado = 1 LIMIT 1)"&amp;", p_id_producto_gas =&gt; "&amp;"(SELECT id FROM pro_producto WHERE es_gas = TRUE AND upper(nombre) = upper('"&amp;SUBSTITUTE(TRIM(E459),"'","''")&amp;"') AND estado = 1 LIMIT 1)"&amp;", p_id_propietario =&gt; "&amp;IF(TRIM(F459&amp;"")="","NULL","(SELECT lo.id FROM gen_lista_opciones lo JOIN gen_lista l ON l.id = lo.id_lista WHERE l.nombre = 'PropietarioBalon' AND upper(lo.nombre) = upper('"&amp;SUBSTITUTE(TRIM(F459),"'","''")&amp;"') AND lo.estado = 1 LIMIT 1)")&amp;", p_id_cliente_propietario =&gt; "&amp;IF(F459="CLIENTE",IF(TRIM(G459&amp;"")="","NULL","(SELECT id FROM cli_clientes WHERE numero_documento = '"&amp;SUBSTITUTE(TRIM(G459),"'","''")&amp;"' AND estado = 1 LIMIT 1)"),"NULL")&amp;", p_id_planta =&gt; "&amp;IF(F459="PLANTA",IF(TRIM(G459&amp;"")="","NULL","(SELECT id FROM cli_clientes WHERE numero_documento = '"&amp;SUBSTITUTE(TRIM(G459),"'","''")&amp;"'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"&amp;IF(TRIM(J459&amp;"")="","NULL","(SELECT id FROM gen_almacen WHERE upper(nombre) = upper('"&amp;SUBSTITUTE(TRIM(J459),"'","''")&amp;"') AND estado = 1 LIMIT 1)")&amp;", p_id_cliente_ubicacion =&gt; "&amp;IF(TRIM(K459&amp;"")="","NULL","(SELECT id FROM cli_clientes WHERE numero_documento = '"&amp;SUBSTITUTE(TRIM(K459),"'","''")&amp;"' AND estado = 1 LIMIT 1)")&amp;", p_id_referencia =&gt; "&amp;IF(TRIM(J459&amp;"")&lt;&gt;"","(SELECT lo.id FROM gen_lista_opciones lo JOIN gen_lista l ON l.id = lo.id_lista WHERE l.nombre = 'ReferenciaCilindro' AND upper(lo.nombre) = 'ALMACEN' AND lo.estado = 1 LIMIT 1)",IF(TRIM(K459&amp;"")&lt;&gt;"","(SELECT lo.id FROM gen_lista_opciones lo JOIN gen_lista l ON l.id = lo.id_lista WHERE l.nombre = 'ReferenciaCilindro' AND upper(lo.nombre) = 'CLIENTE' AND lo.estado = 1 LIMIT 1)","NULL"))&amp;", p_anio_fabricacion =&gt; "&amp;IF(M459&amp;""="","NULL::smallint",M459&amp;"::smallint")&amp;", p_mes_fabricacion =&gt; "&amp;IF(N459&amp;""="","NULL::smallint",N459&amp;"::smallint")&amp;", p_fecha_ultima_prueba_hidrostatica =&gt; "&amp;IF(O459&amp;""="","NULL","'"&amp;YEAR(O459)&amp;"-"&amp;TEXT(MONTH(O459),"00")&amp;"-"&amp;TEXT(DAY(O459),"00")&amp;"'")&amp;", p_numero_serie =&gt; "&amp;IF(TRIM(Q459&amp;"")="","NULL","'"&amp;SUBSTITUTE(TRIM(Q459),"'","''")&amp;"'")&amp;", p_id_marca_cilindro =&gt; "&amp;IF(TRIM(R459&amp;"")="","NULL","(SELECT lo.id FROM gen_lista_opciones lo JOIN gen_lista l ON l.id = lo.id_lista WHERE l.nombre = 'MarcaCilindro' AND upper(lo.nombre) = upper('"&amp;SUBSTITUTE(TRIM(R459),"'","''")&amp;"') AND lo.estado = 1 LIMIT 1)")&amp;", p_id_organo_inspector =&gt; "&amp;IF(TRIM(S459&amp;"")="","NULL","(SELECT lo.id FROM gen_lista_opciones lo JOIN gen_lista l ON l.id = lo.id_lista WHERE l.nombre = 'OrganoInspectorCilindro' AND upper(lo.nombre) = upper('"&amp;SUBSTITUTE(TRIM(S459),"'","''")&amp;"') AND lo.estado = 1 LIMIT 1)")&amp;", p_organo_inspector_no_aplica =&gt; "&amp;IF(S459="NO_APLICA","TRUE","FALSE")&amp;", p_presion_actual =&gt; "&amp;IF(T459&amp;""="","NULL",SUBSTITUTE(T459&amp;"",",","."))&amp;", p_tipo_valvula =&gt; "&amp;IF(TRIM(U459&amp;"")="","NULL","'"&amp;SUBSTITUTE(TRIM(U459),"'","''")&amp;"'")&amp;", p_libro_cilindro =&gt; "&amp;IF(TRIM(V459&amp;"")="","NULL","'"&amp;SUBSTITUTE(TRIM(V459),"'","''")&amp;"'")&amp;", p_pagina_libro =&gt; "&amp;IF(W459&amp;""="","NULL",SUBSTITUTE(W459&amp;"",",","."))&amp;", p_observacion =&gt; "&amp;IF(TRIM(X459&amp;"")="","NULL","'"&amp;SUBSTITUTE(TRIM(X459),"'","''")&amp;"'")&amp;") AS resultado_balon_"&amp;ROW()&amp;";")</f>
        <v/>
      </c>
    </row>
    <row r="460" ht="15.75" customHeight="1" s="64">
      <c r="A460" s="36" t="inlineStr">
        <is>
          <t>456</t>
        </is>
      </c>
      <c r="B460" s="25">
        <f>IF(AND(C460="",D460="",E460=""),"",IF(C460="","FALTA código balón",IF(D460="","FALTA tipo balón",IF(E460="","FALTA gas",IF(F460="","FALTA propietario",IF(AND(C460&lt;&gt;"",SUMPRODUCT(--($C$5:$C$1200=C460))&gt;1),"CÓDIGO BALÓN DUPLICADO",IF(AND(OR(UPPER(F460)="PLANTA",UPPER(F460)="CLIENTE"),G460=""),"FALTA doc propietario/planta",IF(AND(UPPER(F460)="PLANTA",G460="10175332796"),"PLANTA no puede ser RUC empresa","OK"))))))))</f>
        <v/>
      </c>
      <c r="C460" s="54" t="inlineStr">
        <is>
          <t>20S129060</t>
        </is>
      </c>
      <c r="D460" s="17" t="inlineStr">
        <is>
          <t>Oxígeno Industrial 6 m³</t>
        </is>
      </c>
      <c r="E460" s="17" t="inlineStr">
        <is>
          <t>OXIGENO INDUSTRIAL</t>
        </is>
      </c>
      <c r="F460" s="17" t="inlineStr">
        <is>
          <t>EMPRESA</t>
        </is>
      </c>
      <c r="G460" s="23" t="inlineStr">
        <is>
          <t>10175332796</t>
        </is>
      </c>
      <c r="H460" s="25">
        <f t="array" ref="H460">IF(G460="","",IFERROR(IF(INDEX(Clientes!$D$5:$D$549,MATCH(G460,Clientes!$C$5:$C$549,0))&lt;&gt;"",INDEX(Clientes!$D$5:$D$549,MATCH(G460,Clientes!$C$5:$C$549,0)),TRIM(INDEX(Clientes!$E$5:$E$549,MATCH(G460,Clientes!$C$5:$C$549,0))&amp;" "&amp;INDEX(Clientes!$F$5:$F$549,MATCH(G460,Clientes!$C$5:$C$549,0)))),"NO EXISTE en Clientes"))</f>
        <v/>
      </c>
      <c r="I460" s="17" t="inlineStr">
        <is>
          <t>EN_PODER_CLIENTE</t>
        </is>
      </c>
      <c r="J460" s="17" t="n"/>
      <c r="K460" s="23" t="inlineStr">
        <is>
          <t>000059</t>
        </is>
      </c>
      <c r="L460" s="25">
        <f t="array" ref="L460">IF(K460="","",IFERROR(IF(INDEX(Clientes!$D$5:$D$549,MATCH(K460,Clientes!$C$5:$C$549,0))&lt;&gt;"",INDEX(Clientes!$D$5:$D$549,MATCH(K460,Clientes!$C$5:$C$549,0)),TRIM(INDEX(Clientes!$E$5:$E$549,MATCH(K460,Clientes!$C$5:$C$549,0))&amp;" "&amp;INDEX(Clientes!$F$5:$F$549,MATCH(K460,Clientes!$C$5:$C$549,0)))),"NO EXISTE en Clientes"))</f>
        <v/>
      </c>
      <c r="M460" s="17" t="n"/>
      <c r="N460" s="17" t="n"/>
      <c r="O460" s="42" t="n"/>
      <c r="P460" s="39">
        <f>IF(O460&lt;&gt;"",DATE(YEAR(O460)+5,MONTH(O460),1),IF(AND(M460&lt;&gt;"",N460&lt;&gt;""),DATE(M460+5,N460,1),""))</f>
        <v/>
      </c>
      <c r="Q460" s="23" t="n"/>
      <c r="R460" s="17" t="n"/>
      <c r="S460" s="17" t="n"/>
      <c r="T460" s="17" t="n"/>
      <c r="U460" s="17" t="n"/>
      <c r="V460" s="23" t="n"/>
      <c r="W460" s="17" t="n"/>
      <c r="X460" s="17" t="n"/>
      <c r="Y460" s="28">
        <f>IF(B460&lt;&gt;"OK","","SELECT bal_crear_balon(p_codigo_balon =&gt; "&amp;IF(TRIM(C460&amp;"")="","NULL","'"&amp;SUBSTITUTE(TRIM(C460),"'","''")&amp;"'")&amp;", p_id_tipo_balon =&gt; "&amp;"(SELECT id FROM bal_tipo_balon WHERE upper(nombre) = upper('"&amp;SUBSTITUTE(TRIM(D460),"'","''")&amp;"') AND estado = 1 LIMIT 1)"&amp;", p_id_producto_gas =&gt; "&amp;"(SELECT id FROM pro_producto WHERE es_gas = TRUE AND upper(nombre) = upper('"&amp;SUBSTITUTE(TRIM(E460),"'","''")&amp;"') AND estado = 1 LIMIT 1)"&amp;", p_id_propietario =&gt; "&amp;IF(TRIM(F460&amp;"")="","NULL","(SELECT lo.id FROM gen_lista_opciones lo JOIN gen_lista l ON l.id = lo.id_lista WHERE l.nombre = 'PropietarioBalon' AND upper(lo.nombre) = upper('"&amp;SUBSTITUTE(TRIM(F460),"'","''")&amp;"') AND lo.estado = 1 LIMIT 1)")&amp;", p_id_cliente_propietario =&gt; "&amp;IF(F460="CLIENTE",IF(TRIM(G460&amp;"")="","NULL","(SELECT id FROM cli_clientes WHERE numero_documento = '"&amp;SUBSTITUTE(TRIM(G460),"'","''")&amp;"' AND estado = 1 LIMIT 1)"),"NULL")&amp;", p_id_planta =&gt; "&amp;IF(F460="PLANTA",IF(TRIM(G460&amp;"")="","NULL","(SELECT id FROM cli_clientes WHERE numero_documento = '"&amp;SUBSTITUTE(TRIM(G460),"'","''")&amp;"'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"&amp;IF(TRIM(J460&amp;"")="","NULL","(SELECT id FROM gen_almacen WHERE upper(nombre) = upper('"&amp;SUBSTITUTE(TRIM(J460),"'","''")&amp;"') AND estado = 1 LIMIT 1)")&amp;", p_id_cliente_ubicacion =&gt; "&amp;IF(TRIM(K460&amp;"")="","NULL","(SELECT id FROM cli_clientes WHERE numero_documento = '"&amp;SUBSTITUTE(TRIM(K460),"'","''")&amp;"' AND estado = 1 LIMIT 1)")&amp;", p_id_referencia =&gt; "&amp;IF(TRIM(J460&amp;"")&lt;&gt;"","(SELECT lo.id FROM gen_lista_opciones lo JOIN gen_lista l ON l.id = lo.id_lista WHERE l.nombre = 'ReferenciaCilindro' AND upper(lo.nombre) = 'ALMACEN' AND lo.estado = 1 LIMIT 1)",IF(TRIM(K460&amp;"")&lt;&gt;"","(SELECT lo.id FROM gen_lista_opciones lo JOIN gen_lista l ON l.id = lo.id_lista WHERE l.nombre = 'ReferenciaCilindro' AND upper(lo.nombre) = 'CLIENTE' AND lo.estado = 1 LIMIT 1)","NULL"))&amp;", p_anio_fabricacion =&gt; "&amp;IF(M460&amp;""="","NULL::smallint",M460&amp;"::smallint")&amp;", p_mes_fabricacion =&gt; "&amp;IF(N460&amp;""="","NULL::smallint",N460&amp;"::smallint")&amp;", p_fecha_ultima_prueba_hidrostatica =&gt; "&amp;IF(O460&amp;""="","NULL","'"&amp;YEAR(O460)&amp;"-"&amp;TEXT(MONTH(O460),"00")&amp;"-"&amp;TEXT(DAY(O460),"00")&amp;"'")&amp;", p_numero_serie =&gt; "&amp;IF(TRIM(Q460&amp;"")="","NULL","'"&amp;SUBSTITUTE(TRIM(Q460),"'","''")&amp;"'")&amp;", p_id_marca_cilindro =&gt; "&amp;IF(TRIM(R460&amp;"")="","NULL","(SELECT lo.id FROM gen_lista_opciones lo JOIN gen_lista l ON l.id = lo.id_lista WHERE l.nombre = 'MarcaCilindro' AND upper(lo.nombre) = upper('"&amp;SUBSTITUTE(TRIM(R460),"'","''")&amp;"') AND lo.estado = 1 LIMIT 1)")&amp;", p_id_organo_inspector =&gt; "&amp;IF(TRIM(S460&amp;"")="","NULL","(SELECT lo.id FROM gen_lista_opciones lo JOIN gen_lista l ON l.id = lo.id_lista WHERE l.nombre = 'OrganoInspectorCilindro' AND upper(lo.nombre) = upper('"&amp;SUBSTITUTE(TRIM(S460),"'","''")&amp;"') AND lo.estado = 1 LIMIT 1)")&amp;", p_organo_inspector_no_aplica =&gt; "&amp;IF(S460="NO_APLICA","TRUE","FALSE")&amp;", p_presion_actual =&gt; "&amp;IF(T460&amp;""="","NULL",SUBSTITUTE(T460&amp;"",",","."))&amp;", p_tipo_valvula =&gt; "&amp;IF(TRIM(U460&amp;"")="","NULL","'"&amp;SUBSTITUTE(TRIM(U460),"'","''")&amp;"'")&amp;", p_libro_cilindro =&gt; "&amp;IF(TRIM(V460&amp;"")="","NULL","'"&amp;SUBSTITUTE(TRIM(V460),"'","''")&amp;"'")&amp;", p_pagina_libro =&gt; "&amp;IF(W460&amp;""="","NULL",SUBSTITUTE(W460&amp;"",",","."))&amp;", p_observacion =&gt; "&amp;IF(TRIM(X460&amp;"")="","NULL","'"&amp;SUBSTITUTE(TRIM(X460),"'","''")&amp;"'")&amp;") AS resultado_balon_"&amp;ROW()&amp;";")</f>
        <v/>
      </c>
    </row>
    <row r="461" ht="15.75" customHeight="1" s="64">
      <c r="A461" s="36" t="inlineStr">
        <is>
          <t>457</t>
        </is>
      </c>
      <c r="B461" s="25">
        <f>IF(AND(C461="",D461="",E461=""),"",IF(C461="","FALTA código balón",IF(D461="","FALTA tipo balón",IF(E461="","FALTA gas",IF(F461="","FALTA propietario",IF(AND(C461&lt;&gt;"",SUMPRODUCT(--($C$5:$C$1200=C461))&gt;1),"CÓDIGO BALÓN DUPLICADO",IF(AND(OR(UPPER(F461)="PLANTA",UPPER(F461)="CLIENTE"),G461=""),"FALTA doc propietario/planta",IF(AND(UPPER(F461)="PLANTA",G461="10175332796"),"PLANTA no puede ser RUC empresa","OK"))))))))</f>
        <v/>
      </c>
      <c r="C461" s="54" t="inlineStr">
        <is>
          <t>19S206111</t>
        </is>
      </c>
      <c r="D461" s="17" t="inlineStr">
        <is>
          <t>Oxígeno Industrial 6 m³</t>
        </is>
      </c>
      <c r="E461" s="17" t="inlineStr">
        <is>
          <t>OXIGENO INDUSTRIAL</t>
        </is>
      </c>
      <c r="F461" s="17" t="inlineStr">
        <is>
          <t>EMPRESA</t>
        </is>
      </c>
      <c r="G461" s="23" t="inlineStr">
        <is>
          <t>10175332796</t>
        </is>
      </c>
      <c r="H461" s="25">
        <f t="array" ref="H461">IF(G461="","",IFERROR(IF(INDEX(Clientes!$D$5:$D$549,MATCH(G461,Clientes!$C$5:$C$549,0))&lt;&gt;"",INDEX(Clientes!$D$5:$D$549,MATCH(G461,Clientes!$C$5:$C$549,0)),TRIM(INDEX(Clientes!$E$5:$E$549,MATCH(G461,Clientes!$C$5:$C$549,0))&amp;" "&amp;INDEX(Clientes!$F$5:$F$549,MATCH(G461,Clientes!$C$5:$C$549,0)))),"NO EXISTE en Clientes"))</f>
        <v/>
      </c>
      <c r="I461" s="17" t="inlineStr">
        <is>
          <t>EN_PODER_CLIENTE</t>
        </is>
      </c>
      <c r="J461" s="17" t="n"/>
      <c r="K461" s="23" t="inlineStr">
        <is>
          <t>000059</t>
        </is>
      </c>
      <c r="L461" s="25">
        <f t="array" ref="L461">IF(K461="","",IFERROR(IF(INDEX(Clientes!$D$5:$D$549,MATCH(K461,Clientes!$C$5:$C$549,0))&lt;&gt;"",INDEX(Clientes!$D$5:$D$549,MATCH(K461,Clientes!$C$5:$C$549,0)),TRIM(INDEX(Clientes!$E$5:$E$549,MATCH(K461,Clientes!$C$5:$C$549,0))&amp;" "&amp;INDEX(Clientes!$F$5:$F$549,MATCH(K461,Clientes!$C$5:$C$549,0)))),"NO EXISTE en Clientes"))</f>
        <v/>
      </c>
      <c r="M461" s="17" t="n"/>
      <c r="N461" s="17" t="n"/>
      <c r="O461" s="42" t="n"/>
      <c r="P461" s="39">
        <f>IF(O461&lt;&gt;"",DATE(YEAR(O461)+5,MONTH(O461),1),IF(AND(M461&lt;&gt;"",N461&lt;&gt;""),DATE(M461+5,N461,1),""))</f>
        <v/>
      </c>
      <c r="Q461" s="23" t="n"/>
      <c r="R461" s="17" t="n"/>
      <c r="S461" s="17" t="n"/>
      <c r="T461" s="17" t="n"/>
      <c r="U461" s="17" t="n"/>
      <c r="V461" s="23" t="n"/>
      <c r="W461" s="17" t="n"/>
      <c r="X461" s="17" t="n"/>
      <c r="Y461" s="28">
        <f>IF(B461&lt;&gt;"OK","","SELECT bal_crear_balon(p_codigo_balon =&gt; "&amp;IF(TRIM(C461&amp;"")="","NULL","'"&amp;SUBSTITUTE(TRIM(C461),"'","''")&amp;"'")&amp;", p_id_tipo_balon =&gt; "&amp;"(SELECT id FROM bal_tipo_balon WHERE upper(nombre) = upper('"&amp;SUBSTITUTE(TRIM(D461),"'","''")&amp;"') AND estado = 1 LIMIT 1)"&amp;", p_id_producto_gas =&gt; "&amp;"(SELECT id FROM pro_producto WHERE es_gas = TRUE AND upper(nombre) = upper('"&amp;SUBSTITUTE(TRIM(E461),"'","''")&amp;"') AND estado = 1 LIMIT 1)"&amp;", p_id_propietario =&gt; "&amp;IF(TRIM(F461&amp;"")="","NULL","(SELECT lo.id FROM gen_lista_opciones lo JOIN gen_lista l ON l.id = lo.id_lista WHERE l.nombre = 'PropietarioBalon' AND upper(lo.nombre) = upper('"&amp;SUBSTITUTE(TRIM(F461),"'","''")&amp;"') AND lo.estado = 1 LIMIT 1)")&amp;", p_id_cliente_propietario =&gt; "&amp;IF(F461="CLIENTE",IF(TRIM(G461&amp;"")="","NULL","(SELECT id FROM cli_clientes WHERE numero_documento = '"&amp;SUBSTITUTE(TRIM(G461),"'","''")&amp;"' AND estado = 1 LIMIT 1)"),"NULL")&amp;", p_id_planta =&gt; "&amp;IF(F461="PLANTA",IF(TRIM(G461&amp;"")="","NULL","(SELECT id FROM cli_clientes WHERE numero_documento = '"&amp;SUBSTITUTE(TRIM(G461),"'","''")&amp;"'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"&amp;IF(TRIM(J461&amp;"")="","NULL","(SELECT id FROM gen_almacen WHERE upper(nombre) = upper('"&amp;SUBSTITUTE(TRIM(J461),"'","''")&amp;"') AND estado = 1 LIMIT 1)")&amp;", p_id_cliente_ubicacion =&gt; "&amp;IF(TRIM(K461&amp;"")="","NULL","(SELECT id FROM cli_clientes WHERE numero_documento = '"&amp;SUBSTITUTE(TRIM(K461),"'","''")&amp;"' AND estado = 1 LIMIT 1)")&amp;", p_id_referencia =&gt; "&amp;IF(TRIM(J461&amp;"")&lt;&gt;"","(SELECT lo.id FROM gen_lista_opciones lo JOIN gen_lista l ON l.id = lo.id_lista WHERE l.nombre = 'ReferenciaCilindro' AND upper(lo.nombre) = 'ALMACEN' AND lo.estado = 1 LIMIT 1)",IF(TRIM(K461&amp;"")&lt;&gt;"","(SELECT lo.id FROM gen_lista_opciones lo JOIN gen_lista l ON l.id = lo.id_lista WHERE l.nombre = 'ReferenciaCilindro' AND upper(lo.nombre) = 'CLIENTE' AND lo.estado = 1 LIMIT 1)","NULL"))&amp;", p_anio_fabricacion =&gt; "&amp;IF(M461&amp;""="","NULL::smallint",M461&amp;"::smallint")&amp;", p_mes_fabricacion =&gt; "&amp;IF(N461&amp;""="","NULL::smallint",N461&amp;"::smallint")&amp;", p_fecha_ultima_prueba_hidrostatica =&gt; "&amp;IF(O461&amp;""="","NULL","'"&amp;YEAR(O461)&amp;"-"&amp;TEXT(MONTH(O461),"00")&amp;"-"&amp;TEXT(DAY(O461),"00")&amp;"'")&amp;", p_numero_serie =&gt; "&amp;IF(TRIM(Q461&amp;"")="","NULL","'"&amp;SUBSTITUTE(TRIM(Q461),"'","''")&amp;"'")&amp;", p_id_marca_cilindro =&gt; "&amp;IF(TRIM(R461&amp;"")="","NULL","(SELECT lo.id FROM gen_lista_opciones lo JOIN gen_lista l ON l.id = lo.id_lista WHERE l.nombre = 'MarcaCilindro' AND upper(lo.nombre) = upper('"&amp;SUBSTITUTE(TRIM(R461),"'","''")&amp;"') AND lo.estado = 1 LIMIT 1)")&amp;", p_id_organo_inspector =&gt; "&amp;IF(TRIM(S461&amp;"")="","NULL","(SELECT lo.id FROM gen_lista_opciones lo JOIN gen_lista l ON l.id = lo.id_lista WHERE l.nombre = 'OrganoInspectorCilindro' AND upper(lo.nombre) = upper('"&amp;SUBSTITUTE(TRIM(S461),"'","''")&amp;"') AND lo.estado = 1 LIMIT 1)")&amp;", p_organo_inspector_no_aplica =&gt; "&amp;IF(S461="NO_APLICA","TRUE","FALSE")&amp;", p_presion_actual =&gt; "&amp;IF(T461&amp;""="","NULL",SUBSTITUTE(T461&amp;"",",","."))&amp;", p_tipo_valvula =&gt; "&amp;IF(TRIM(U461&amp;"")="","NULL","'"&amp;SUBSTITUTE(TRIM(U461),"'","''")&amp;"'")&amp;", p_libro_cilindro =&gt; "&amp;IF(TRIM(V461&amp;"")="","NULL","'"&amp;SUBSTITUTE(TRIM(V461),"'","''")&amp;"'")&amp;", p_pagina_libro =&gt; "&amp;IF(W461&amp;""="","NULL",SUBSTITUTE(W461&amp;"",",","."))&amp;", p_observacion =&gt; "&amp;IF(TRIM(X461&amp;"")="","NULL","'"&amp;SUBSTITUTE(TRIM(X461),"'","''")&amp;"'")&amp;") AS resultado_balon_"&amp;ROW()&amp;";")</f>
        <v/>
      </c>
    </row>
    <row r="462" ht="15.75" customHeight="1" s="64">
      <c r="A462" s="36" t="inlineStr">
        <is>
          <t>458</t>
        </is>
      </c>
      <c r="B462" s="25">
        <f>IF(AND(C462="",D462="",E462=""),"",IF(C462="","FALTA código balón",IF(D462="","FALTA tipo balón",IF(E462="","FALTA gas",IF(F462="","FALTA propietario",IF(AND(C462&lt;&gt;"",SUMPRODUCT(--($C$5:$C$1200=C462))&gt;1),"CÓDIGO BALÓN DUPLICADO",IF(AND(OR(UPPER(F462)="PLANTA",UPPER(F462)="CLIENTE"),G462=""),"FALTA doc propietario/planta",IF(AND(UPPER(F462)="PLANTA",G462="10175332796"),"PLANTA no puede ser RUC empresa","OK"))))))))</f>
        <v/>
      </c>
      <c r="C462" s="54" t="inlineStr">
        <is>
          <t>20S130068</t>
        </is>
      </c>
      <c r="D462" s="17" t="inlineStr">
        <is>
          <t>Oxígeno Industrial 6 m³</t>
        </is>
      </c>
      <c r="E462" s="17" t="inlineStr">
        <is>
          <t>OXIGENO INDUSTRIAL</t>
        </is>
      </c>
      <c r="F462" s="17" t="inlineStr">
        <is>
          <t>EMPRESA</t>
        </is>
      </c>
      <c r="G462" s="23" t="inlineStr">
        <is>
          <t>10175332796</t>
        </is>
      </c>
      <c r="H462" s="25">
        <f t="array" ref="H462">IF(G462="","",IFERROR(IF(INDEX(Clientes!$D$5:$D$549,MATCH(G462,Clientes!$C$5:$C$549,0))&lt;&gt;"",INDEX(Clientes!$D$5:$D$549,MATCH(G462,Clientes!$C$5:$C$549,0)),TRIM(INDEX(Clientes!$E$5:$E$549,MATCH(G462,Clientes!$C$5:$C$549,0))&amp;" "&amp;INDEX(Clientes!$F$5:$F$549,MATCH(G462,Clientes!$C$5:$C$549,0)))),"NO EXISTE en Clientes"))</f>
        <v/>
      </c>
      <c r="I462" s="17" t="inlineStr">
        <is>
          <t>EN_PODER_CLIENTE</t>
        </is>
      </c>
      <c r="J462" s="17" t="n"/>
      <c r="K462" s="23" t="inlineStr">
        <is>
          <t>44591416</t>
        </is>
      </c>
      <c r="L462" s="25">
        <f t="array" ref="L462">IF(K462="","",IFERROR(IF(INDEX(Clientes!$D$5:$D$549,MATCH(K462,Clientes!$C$5:$C$549,0))&lt;&gt;"",INDEX(Clientes!$D$5:$D$549,MATCH(K462,Clientes!$C$5:$C$549,0)),TRIM(INDEX(Clientes!$E$5:$E$549,MATCH(K462,Clientes!$C$5:$C$549,0))&amp;" "&amp;INDEX(Clientes!$F$5:$F$549,MATCH(K462,Clientes!$C$5:$C$549,0)))),"NO EXISTE en Clientes"))</f>
        <v/>
      </c>
      <c r="M462" s="17" t="n"/>
      <c r="N462" s="17" t="n"/>
      <c r="O462" s="42" t="n"/>
      <c r="P462" s="39">
        <f>IF(O462&lt;&gt;"",DATE(YEAR(O462)+5,MONTH(O462),1),IF(AND(M462&lt;&gt;"",N462&lt;&gt;""),DATE(M462+5,N462,1),""))</f>
        <v/>
      </c>
      <c r="Q462" s="23" t="n"/>
      <c r="R462" s="17" t="n"/>
      <c r="S462" s="17" t="n"/>
      <c r="T462" s="17" t="n"/>
      <c r="U462" s="17" t="n"/>
      <c r="V462" s="23" t="n"/>
      <c r="W462" s="17" t="n"/>
      <c r="X462" s="17" t="n"/>
      <c r="Y462" s="28">
        <f>IF(B462&lt;&gt;"OK","","SELECT bal_crear_balon(p_codigo_balon =&gt; "&amp;IF(TRIM(C462&amp;"")="","NULL","'"&amp;SUBSTITUTE(TRIM(C462),"'","''")&amp;"'")&amp;", p_id_tipo_balon =&gt; "&amp;"(SELECT id FROM bal_tipo_balon WHERE upper(nombre) = upper('"&amp;SUBSTITUTE(TRIM(D462),"'","''")&amp;"') AND estado = 1 LIMIT 1)"&amp;", p_id_producto_gas =&gt; "&amp;"(SELECT id FROM pro_producto WHERE es_gas = TRUE AND upper(nombre) = upper('"&amp;SUBSTITUTE(TRIM(E462),"'","''")&amp;"') AND estado = 1 LIMIT 1)"&amp;", p_id_propietario =&gt; "&amp;IF(TRIM(F462&amp;"")="","NULL","(SELECT lo.id FROM gen_lista_opciones lo JOIN gen_lista l ON l.id = lo.id_lista WHERE l.nombre = 'PropietarioBalon' AND upper(lo.nombre) = upper('"&amp;SUBSTITUTE(TRIM(F462),"'","''")&amp;"') AND lo.estado = 1 LIMIT 1)")&amp;", p_id_cliente_propietario =&gt; "&amp;IF(F462="CLIENTE",IF(TRIM(G462&amp;"")="","NULL","(SELECT id FROM cli_clientes WHERE numero_documento = '"&amp;SUBSTITUTE(TRIM(G462),"'","''")&amp;"' AND estado = 1 LIMIT 1)"),"NULL")&amp;", p_id_planta =&gt; "&amp;IF(F462="PLANTA",IF(TRIM(G462&amp;"")="","NULL","(SELECT id FROM cli_clientes WHERE numero_documento = '"&amp;SUBSTITUTE(TRIM(G462),"'","''")&amp;"'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"&amp;IF(TRIM(J462&amp;"")="","NULL","(SELECT id FROM gen_almacen WHERE upper(nombre) = upper('"&amp;SUBSTITUTE(TRIM(J462),"'","''")&amp;"') AND estado = 1 LIMIT 1)")&amp;", p_id_cliente_ubicacion =&gt; "&amp;IF(TRIM(K462&amp;"")="","NULL","(SELECT id FROM cli_clientes WHERE numero_documento = '"&amp;SUBSTITUTE(TRIM(K462),"'","''")&amp;"' AND estado = 1 LIMIT 1)")&amp;", p_id_referencia =&gt; "&amp;IF(TRIM(J462&amp;"")&lt;&gt;"","(SELECT lo.id FROM gen_lista_opciones lo JOIN gen_lista l ON l.id = lo.id_lista WHERE l.nombre = 'ReferenciaCilindro' AND upper(lo.nombre) = 'ALMACEN' AND lo.estado = 1 LIMIT 1)",IF(TRIM(K462&amp;"")&lt;&gt;"","(SELECT lo.id FROM gen_lista_opciones lo JOIN gen_lista l ON l.id = lo.id_lista WHERE l.nombre = 'ReferenciaCilindro' AND upper(lo.nombre) = 'CLIENTE' AND lo.estado = 1 LIMIT 1)","NULL"))&amp;", p_anio_fabricacion =&gt; "&amp;IF(M462&amp;""="","NULL::smallint",M462&amp;"::smallint")&amp;", p_mes_fabricacion =&gt; "&amp;IF(N462&amp;""="","NULL::smallint",N462&amp;"::smallint")&amp;", p_fecha_ultima_prueba_hidrostatica =&gt; "&amp;IF(O462&amp;""="","NULL","'"&amp;YEAR(O462)&amp;"-"&amp;TEXT(MONTH(O462),"00")&amp;"-"&amp;TEXT(DAY(O462),"00")&amp;"'")&amp;", p_numero_serie =&gt; "&amp;IF(TRIM(Q462&amp;"")="","NULL","'"&amp;SUBSTITUTE(TRIM(Q462),"'","''")&amp;"'")&amp;", p_id_marca_cilindro =&gt; "&amp;IF(TRIM(R462&amp;"")="","NULL","(SELECT lo.id FROM gen_lista_opciones lo JOIN gen_lista l ON l.id = lo.id_lista WHERE l.nombre = 'MarcaCilindro' AND upper(lo.nombre) = upper('"&amp;SUBSTITUTE(TRIM(R462),"'","''")&amp;"') AND lo.estado = 1 LIMIT 1)")&amp;", p_id_organo_inspector =&gt; "&amp;IF(TRIM(S462&amp;"")="","NULL","(SELECT lo.id FROM gen_lista_opciones lo JOIN gen_lista l ON l.id = lo.id_lista WHERE l.nombre = 'OrganoInspectorCilindro' AND upper(lo.nombre) = upper('"&amp;SUBSTITUTE(TRIM(S462),"'","''")&amp;"') AND lo.estado = 1 LIMIT 1)")&amp;", p_organo_inspector_no_aplica =&gt; "&amp;IF(S462="NO_APLICA","TRUE","FALSE")&amp;", p_presion_actual =&gt; "&amp;IF(T462&amp;""="","NULL",SUBSTITUTE(T462&amp;"",",","."))&amp;", p_tipo_valvula =&gt; "&amp;IF(TRIM(U462&amp;"")="","NULL","'"&amp;SUBSTITUTE(TRIM(U462),"'","''")&amp;"'")&amp;", p_libro_cilindro =&gt; "&amp;IF(TRIM(V462&amp;"")="","NULL","'"&amp;SUBSTITUTE(TRIM(V462),"'","''")&amp;"'")&amp;", p_pagina_libro =&gt; "&amp;IF(W462&amp;""="","NULL",SUBSTITUTE(W462&amp;"",",","."))&amp;", p_observacion =&gt; "&amp;IF(TRIM(X462&amp;"")="","NULL","'"&amp;SUBSTITUTE(TRIM(X462),"'","''")&amp;"'")&amp;") AS resultado_balon_"&amp;ROW()&amp;";")</f>
        <v/>
      </c>
    </row>
    <row r="463" ht="15.75" customHeight="1" s="64">
      <c r="A463" s="36" t="inlineStr">
        <is>
          <t>459</t>
        </is>
      </c>
      <c r="B463" s="25">
        <f>IF(AND(C463="",D463="",E463=""),"",IF(C463="","FALTA código balón",IF(D463="","FALTA tipo balón",IF(E463="","FALTA gas",IF(F463="","FALTA propietario",IF(AND(C463&lt;&gt;"",SUMPRODUCT(--($C$5:$C$1200=C463))&gt;1),"CÓDIGO BALÓN DUPLICADO",IF(AND(OR(UPPER(F463)="PLANTA",UPPER(F463)="CLIENTE"),G463=""),"FALTA doc propietario/planta",IF(AND(UPPER(F463)="PLANTA",G463="10175332796"),"PLANTA no puede ser RUC empresa","OK"))))))))</f>
        <v/>
      </c>
      <c r="C463" s="54" t="inlineStr">
        <is>
          <t>156596</t>
        </is>
      </c>
      <c r="D463" s="17" t="inlineStr">
        <is>
          <t>Oxigeno Industrial 8 m³</t>
        </is>
      </c>
      <c r="E463" s="17" t="inlineStr">
        <is>
          <t>OXIGENO INDUSTRIAL</t>
        </is>
      </c>
      <c r="F463" s="17" t="inlineStr">
        <is>
          <t>EMPRESA</t>
        </is>
      </c>
      <c r="G463" s="23" t="inlineStr">
        <is>
          <t>10175332796</t>
        </is>
      </c>
      <c r="H463" s="25">
        <f t="array" ref="H463">IF(G463="","",IFERROR(IF(INDEX(Clientes!$D$5:$D$549,MATCH(G463,Clientes!$C$5:$C$549,0))&lt;&gt;"",INDEX(Clientes!$D$5:$D$549,MATCH(G463,Clientes!$C$5:$C$549,0)),TRIM(INDEX(Clientes!$E$5:$E$549,MATCH(G463,Clientes!$C$5:$C$549,0))&amp;" "&amp;INDEX(Clientes!$F$5:$F$549,MATCH(G463,Clientes!$C$5:$C$549,0)))),"NO EXISTE en Clientes"))</f>
        <v/>
      </c>
      <c r="I463" s="17" t="inlineStr">
        <is>
          <t>EN_PODER_CLIENTE</t>
        </is>
      </c>
      <c r="J463" s="17" t="n"/>
      <c r="K463" s="23" t="inlineStr">
        <is>
          <t>16667648</t>
        </is>
      </c>
      <c r="L463" s="25">
        <f t="array" ref="L463">IF(K463="","",IFERROR(IF(INDEX(Clientes!$D$5:$D$549,MATCH(K463,Clientes!$C$5:$C$549,0))&lt;&gt;"",INDEX(Clientes!$D$5:$D$549,MATCH(K463,Clientes!$C$5:$C$549,0)),TRIM(INDEX(Clientes!$E$5:$E$549,MATCH(K463,Clientes!$C$5:$C$549,0))&amp;" "&amp;INDEX(Clientes!$F$5:$F$549,MATCH(K463,Clientes!$C$5:$C$549,0)))),"NO EXISTE en Clientes"))</f>
        <v/>
      </c>
      <c r="M463" s="17" t="n"/>
      <c r="N463" s="17" t="n"/>
      <c r="O463" s="42" t="n"/>
      <c r="P463" s="39">
        <f>IF(O463&lt;&gt;"",DATE(YEAR(O463)+5,MONTH(O463),1),IF(AND(M463&lt;&gt;"",N463&lt;&gt;""),DATE(M463+5,N463,1),""))</f>
        <v/>
      </c>
      <c r="Q463" s="23" t="n"/>
      <c r="R463" s="17" t="n"/>
      <c r="S463" s="17" t="n"/>
      <c r="T463" s="17" t="n"/>
      <c r="U463" s="17" t="n"/>
      <c r="V463" s="23" t="n"/>
      <c r="W463" s="17" t="n"/>
      <c r="X463" s="17" t="n"/>
      <c r="Y463" s="28">
        <f>IF(B463&lt;&gt;"OK","","SELECT bal_crear_balon(p_codigo_balon =&gt; "&amp;IF(TRIM(C463&amp;"")="","NULL","'"&amp;SUBSTITUTE(TRIM(C463),"'","''")&amp;"'")&amp;", p_id_tipo_balon =&gt; "&amp;"(SELECT id FROM bal_tipo_balon WHERE upper(nombre) = upper('"&amp;SUBSTITUTE(TRIM(D463),"'","''")&amp;"') AND estado = 1 LIMIT 1)"&amp;", p_id_producto_gas =&gt; "&amp;"(SELECT id FROM pro_producto WHERE es_gas = TRUE AND upper(nombre) = upper('"&amp;SUBSTITUTE(TRIM(E463),"'","''")&amp;"') AND estado = 1 LIMIT 1)"&amp;", p_id_propietario =&gt; "&amp;IF(TRIM(F463&amp;"")="","NULL","(SELECT lo.id FROM gen_lista_opciones lo JOIN gen_lista l ON l.id = lo.id_lista WHERE l.nombre = 'PropietarioBalon' AND upper(lo.nombre) = upper('"&amp;SUBSTITUTE(TRIM(F463),"'","''")&amp;"') AND lo.estado = 1 LIMIT 1)")&amp;", p_id_cliente_propietario =&gt; "&amp;IF(F463="CLIENTE",IF(TRIM(G463&amp;"")="","NULL","(SELECT id FROM cli_clientes WHERE numero_documento = '"&amp;SUBSTITUTE(TRIM(G463),"'","''")&amp;"' AND estado = 1 LIMIT 1)"),"NULL")&amp;", p_id_planta =&gt; "&amp;IF(F463="PLANTA",IF(TRIM(G463&amp;"")="","NULL","(SELECT id FROM cli_clientes WHERE numero_documento = '"&amp;SUBSTITUTE(TRIM(G463),"'","''")&amp;"'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"&amp;IF(TRIM(J463&amp;"")="","NULL","(SELECT id FROM gen_almacen WHERE upper(nombre) = upper('"&amp;SUBSTITUTE(TRIM(J463),"'","''")&amp;"') AND estado = 1 LIMIT 1)")&amp;", p_id_cliente_ubicacion =&gt; "&amp;IF(TRIM(K463&amp;"")="","NULL","(SELECT id FROM cli_clientes WHERE numero_documento = '"&amp;SUBSTITUTE(TRIM(K463),"'","''")&amp;"' AND estado = 1 LIMIT 1)")&amp;", p_id_referencia =&gt; "&amp;IF(TRIM(J463&amp;"")&lt;&gt;"","(SELECT lo.id FROM gen_lista_opciones lo JOIN gen_lista l ON l.id = lo.id_lista WHERE l.nombre = 'ReferenciaCilindro' AND upper(lo.nombre) = 'ALMACEN' AND lo.estado = 1 LIMIT 1)",IF(TRIM(K463&amp;"")&lt;&gt;"","(SELECT lo.id FROM gen_lista_opciones lo JOIN gen_lista l ON l.id = lo.id_lista WHERE l.nombre = 'ReferenciaCilindro' AND upper(lo.nombre) = 'CLIENTE' AND lo.estado = 1 LIMIT 1)","NULL"))&amp;", p_anio_fabricacion =&gt; "&amp;IF(M463&amp;""="","NULL::smallint",M463&amp;"::smallint")&amp;", p_mes_fabricacion =&gt; "&amp;IF(N463&amp;""="","NULL::smallint",N463&amp;"::smallint")&amp;", p_fecha_ultima_prueba_hidrostatica =&gt; "&amp;IF(O463&amp;""="","NULL","'"&amp;YEAR(O463)&amp;"-"&amp;TEXT(MONTH(O463),"00")&amp;"-"&amp;TEXT(DAY(O463),"00")&amp;"'")&amp;", p_numero_serie =&gt; "&amp;IF(TRIM(Q463&amp;"")="","NULL","'"&amp;SUBSTITUTE(TRIM(Q463),"'","''")&amp;"'")&amp;", p_id_marca_cilindro =&gt; "&amp;IF(TRIM(R463&amp;"")="","NULL","(SELECT lo.id FROM gen_lista_opciones lo JOIN gen_lista l ON l.id = lo.id_lista WHERE l.nombre = 'MarcaCilindro' AND upper(lo.nombre) = upper('"&amp;SUBSTITUTE(TRIM(R463),"'","''")&amp;"') AND lo.estado = 1 LIMIT 1)")&amp;", p_id_organo_inspector =&gt; "&amp;IF(TRIM(S463&amp;"")="","NULL","(SELECT lo.id FROM gen_lista_opciones lo JOIN gen_lista l ON l.id = lo.id_lista WHERE l.nombre = 'OrganoInspectorCilindro' AND upper(lo.nombre) = upper('"&amp;SUBSTITUTE(TRIM(S463),"'","''")&amp;"') AND lo.estado = 1 LIMIT 1)")&amp;", p_organo_inspector_no_aplica =&gt; "&amp;IF(S463="NO_APLICA","TRUE","FALSE")&amp;", p_presion_actual =&gt; "&amp;IF(T463&amp;""="","NULL",SUBSTITUTE(T463&amp;"",",","."))&amp;", p_tipo_valvula =&gt; "&amp;IF(TRIM(U463&amp;"")="","NULL","'"&amp;SUBSTITUTE(TRIM(U463),"'","''")&amp;"'")&amp;", p_libro_cilindro =&gt; "&amp;IF(TRIM(V463&amp;"")="","NULL","'"&amp;SUBSTITUTE(TRIM(V463),"'","''")&amp;"'")&amp;", p_pagina_libro =&gt; "&amp;IF(W463&amp;""="","NULL",SUBSTITUTE(W463&amp;"",",","."))&amp;", p_observacion =&gt; "&amp;IF(TRIM(X463&amp;"")="","NULL","'"&amp;SUBSTITUTE(TRIM(X463),"'","''")&amp;"'")&amp;") AS resultado_balon_"&amp;ROW()&amp;";")</f>
        <v/>
      </c>
    </row>
    <row r="464" ht="15.75" customHeight="1" s="64">
      <c r="A464" s="36" t="inlineStr">
        <is>
          <t>460</t>
        </is>
      </c>
      <c r="B464" s="25">
        <f>IF(AND(C464="",D464="",E464=""),"",IF(C464="","FALTA código balón",IF(D464="","FALTA tipo balón",IF(E464="","FALTA gas",IF(F464="","FALTA propietario",IF(AND(C464&lt;&gt;"",SUMPRODUCT(--($C$5:$C$1200=C464))&gt;1),"CÓDIGO BALÓN DUPLICADO",IF(AND(OR(UPPER(F464)="PLANTA",UPPER(F464)="CLIENTE"),G464=""),"FALTA doc propietario/planta",IF(AND(UPPER(F464)="PLANTA",G464="10175332796"),"PLANTA no puede ser RUC empresa","OK"))))))))</f>
        <v/>
      </c>
      <c r="C464" s="54" t="inlineStr">
        <is>
          <t>GTA217172</t>
        </is>
      </c>
      <c r="D464" s="17" t="inlineStr">
        <is>
          <t>Oxígeno Industrial 6 m³</t>
        </is>
      </c>
      <c r="E464" s="17" t="inlineStr">
        <is>
          <t>OXIGENO INDUSTRIAL</t>
        </is>
      </c>
      <c r="F464" s="17" t="inlineStr">
        <is>
          <t>EMPRESA</t>
        </is>
      </c>
      <c r="G464" s="23" t="inlineStr">
        <is>
          <t>10175332796</t>
        </is>
      </c>
      <c r="H464" s="25">
        <f t="array" ref="H464">IF(G464="","",IFERROR(IF(INDEX(Clientes!$D$5:$D$549,MATCH(G464,Clientes!$C$5:$C$549,0))&lt;&gt;"",INDEX(Clientes!$D$5:$D$549,MATCH(G464,Clientes!$C$5:$C$549,0)),TRIM(INDEX(Clientes!$E$5:$E$549,MATCH(G464,Clientes!$C$5:$C$549,0))&amp;" "&amp;INDEX(Clientes!$F$5:$F$549,MATCH(G464,Clientes!$C$5:$C$549,0)))),"NO EXISTE en Clientes"))</f>
        <v/>
      </c>
      <c r="I464" s="17" t="inlineStr">
        <is>
          <t>EN_PODER_CLIENTE</t>
        </is>
      </c>
      <c r="J464" s="17" t="n"/>
      <c r="K464" s="23" t="inlineStr">
        <is>
          <t>16667648</t>
        </is>
      </c>
      <c r="L464" s="25">
        <f t="array" ref="L464">IF(K464="","",IFERROR(IF(INDEX(Clientes!$D$5:$D$549,MATCH(K464,Clientes!$C$5:$C$549,0))&lt;&gt;"",INDEX(Clientes!$D$5:$D$549,MATCH(K464,Clientes!$C$5:$C$549,0)),TRIM(INDEX(Clientes!$E$5:$E$549,MATCH(K464,Clientes!$C$5:$C$549,0))&amp;" "&amp;INDEX(Clientes!$F$5:$F$549,MATCH(K464,Clientes!$C$5:$C$549,0)))),"NO EXISTE en Clientes"))</f>
        <v/>
      </c>
      <c r="M464" s="17" t="n"/>
      <c r="N464" s="17" t="n"/>
      <c r="O464" s="42" t="n"/>
      <c r="P464" s="39">
        <f>IF(O464&lt;&gt;"",DATE(YEAR(O464)+5,MONTH(O464),1),IF(AND(M464&lt;&gt;"",N464&lt;&gt;""),DATE(M464+5,N464,1),""))</f>
        <v/>
      </c>
      <c r="Q464" s="23" t="n"/>
      <c r="R464" s="17" t="n"/>
      <c r="S464" s="17" t="n"/>
      <c r="T464" s="17" t="n"/>
      <c r="U464" s="17" t="n"/>
      <c r="V464" s="23" t="n"/>
      <c r="W464" s="17" t="n"/>
      <c r="X464" s="17" t="n"/>
      <c r="Y464" s="28">
        <f>IF(B464&lt;&gt;"OK","","SELECT bal_crear_balon(p_codigo_balon =&gt; "&amp;IF(TRIM(C464&amp;"")="","NULL","'"&amp;SUBSTITUTE(TRIM(C464),"'","''")&amp;"'")&amp;", p_id_tipo_balon =&gt; "&amp;"(SELECT id FROM bal_tipo_balon WHERE upper(nombre) = upper('"&amp;SUBSTITUTE(TRIM(D464),"'","''")&amp;"') AND estado = 1 LIMIT 1)"&amp;", p_id_producto_gas =&gt; "&amp;"(SELECT id FROM pro_producto WHERE es_gas = TRUE AND upper(nombre) = upper('"&amp;SUBSTITUTE(TRIM(E464),"'","''")&amp;"') AND estado = 1 LIMIT 1)"&amp;", p_id_propietario =&gt; "&amp;IF(TRIM(F464&amp;"")="","NULL","(SELECT lo.id FROM gen_lista_opciones lo JOIN gen_lista l ON l.id = lo.id_lista WHERE l.nombre = 'PropietarioBalon' AND upper(lo.nombre) = upper('"&amp;SUBSTITUTE(TRIM(F464),"'","''")&amp;"') AND lo.estado = 1 LIMIT 1)")&amp;", p_id_cliente_propietario =&gt; "&amp;IF(F464="CLIENTE",IF(TRIM(G464&amp;"")="","NULL","(SELECT id FROM cli_clientes WHERE numero_documento = '"&amp;SUBSTITUTE(TRIM(G464),"'","''")&amp;"' AND estado = 1 LIMIT 1)"),"NULL")&amp;", p_id_planta =&gt; "&amp;IF(F464="PLANTA",IF(TRIM(G464&amp;"")="","NULL","(SELECT id FROM cli_clientes WHERE numero_documento = '"&amp;SUBSTITUTE(TRIM(G464),"'","''")&amp;"'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"&amp;IF(TRIM(J464&amp;"")="","NULL","(SELECT id FROM gen_almacen WHERE upper(nombre) = upper('"&amp;SUBSTITUTE(TRIM(J464),"'","''")&amp;"') AND estado = 1 LIMIT 1)")&amp;", p_id_cliente_ubicacion =&gt; "&amp;IF(TRIM(K464&amp;"")="","NULL","(SELECT id FROM cli_clientes WHERE numero_documento = '"&amp;SUBSTITUTE(TRIM(K464),"'","''")&amp;"' AND estado = 1 LIMIT 1)")&amp;", p_id_referencia =&gt; "&amp;IF(TRIM(J464&amp;"")&lt;&gt;"","(SELECT lo.id FROM gen_lista_opciones lo JOIN gen_lista l ON l.id = lo.id_lista WHERE l.nombre = 'ReferenciaCilindro' AND upper(lo.nombre) = 'ALMACEN' AND lo.estado = 1 LIMIT 1)",IF(TRIM(K464&amp;"")&lt;&gt;"","(SELECT lo.id FROM gen_lista_opciones lo JOIN gen_lista l ON l.id = lo.id_lista WHERE l.nombre = 'ReferenciaCilindro' AND upper(lo.nombre) = 'CLIENTE' AND lo.estado = 1 LIMIT 1)","NULL"))&amp;", p_anio_fabricacion =&gt; "&amp;IF(M464&amp;""="","NULL::smallint",M464&amp;"::smallint")&amp;", p_mes_fabricacion =&gt; "&amp;IF(N464&amp;""="","NULL::smallint",N464&amp;"::smallint")&amp;", p_fecha_ultima_prueba_hidrostatica =&gt; "&amp;IF(O464&amp;""="","NULL","'"&amp;YEAR(O464)&amp;"-"&amp;TEXT(MONTH(O464),"00")&amp;"-"&amp;TEXT(DAY(O464),"00")&amp;"'")&amp;", p_numero_serie =&gt; "&amp;IF(TRIM(Q464&amp;"")="","NULL","'"&amp;SUBSTITUTE(TRIM(Q464),"'","''")&amp;"'")&amp;", p_id_marca_cilindro =&gt; "&amp;IF(TRIM(R464&amp;"")="","NULL","(SELECT lo.id FROM gen_lista_opciones lo JOIN gen_lista l ON l.id = lo.id_lista WHERE l.nombre = 'MarcaCilindro' AND upper(lo.nombre) = upper('"&amp;SUBSTITUTE(TRIM(R464),"'","''")&amp;"') AND lo.estado = 1 LIMIT 1)")&amp;", p_id_organo_inspector =&gt; "&amp;IF(TRIM(S464&amp;"")="","NULL","(SELECT lo.id FROM gen_lista_opciones lo JOIN gen_lista l ON l.id = lo.id_lista WHERE l.nombre = 'OrganoInspectorCilindro' AND upper(lo.nombre) = upper('"&amp;SUBSTITUTE(TRIM(S464),"'","''")&amp;"') AND lo.estado = 1 LIMIT 1)")&amp;", p_organo_inspector_no_aplica =&gt; "&amp;IF(S464="NO_APLICA","TRUE","FALSE")&amp;", p_presion_actual =&gt; "&amp;IF(T464&amp;""="","NULL",SUBSTITUTE(T464&amp;"",",","."))&amp;", p_tipo_valvula =&gt; "&amp;IF(TRIM(U464&amp;"")="","NULL","'"&amp;SUBSTITUTE(TRIM(U464),"'","''")&amp;"'")&amp;", p_libro_cilindro =&gt; "&amp;IF(TRIM(V464&amp;"")="","NULL","'"&amp;SUBSTITUTE(TRIM(V464),"'","''")&amp;"'")&amp;", p_pagina_libro =&gt; "&amp;IF(W464&amp;""="","NULL",SUBSTITUTE(W464&amp;"",",","."))&amp;", p_observacion =&gt; "&amp;IF(TRIM(X464&amp;"")="","NULL","'"&amp;SUBSTITUTE(TRIM(X464),"'","''")&amp;"'")&amp;") AS resultado_balon_"&amp;ROW()&amp;";")</f>
        <v/>
      </c>
    </row>
    <row r="465" ht="15.75" customHeight="1" s="64">
      <c r="A465" s="36" t="inlineStr">
        <is>
          <t>461</t>
        </is>
      </c>
      <c r="B465" s="25">
        <f>IF(AND(C465="",D465="",E465=""),"",IF(C465="","FALTA código balón",IF(D465="","FALTA tipo balón",IF(E465="","FALTA gas",IF(F465="","FALTA propietario",IF(AND(C465&lt;&gt;"",SUMPRODUCT(--($C$5:$C$1200=C465))&gt;1),"CÓDIGO BALÓN DUPLICADO",IF(AND(OR(UPPER(F465)="PLANTA",UPPER(F465)="CLIENTE"),G465=""),"FALTA doc propietario/planta",IF(AND(UPPER(F465)="PLANTA",G465="10175332796"),"PLANTA no puede ser RUC empresa","OK"))))))))</f>
        <v/>
      </c>
      <c r="C465" s="54" t="inlineStr">
        <is>
          <t>1162125</t>
        </is>
      </c>
      <c r="D465" s="17" t="inlineStr">
        <is>
          <t>Oxígeno Industrial 6 m³</t>
        </is>
      </c>
      <c r="E465" s="17" t="inlineStr">
        <is>
          <t>OXIGENO INDUSTRIAL</t>
        </is>
      </c>
      <c r="F465" s="17" t="inlineStr">
        <is>
          <t>EMPRESA</t>
        </is>
      </c>
      <c r="G465" s="23" t="inlineStr">
        <is>
          <t>10175332796</t>
        </is>
      </c>
      <c r="H465" s="25">
        <f t="array" ref="H465">IF(G465="","",IFERROR(IF(INDEX(Clientes!$D$5:$D$549,MATCH(G465,Clientes!$C$5:$C$549,0))&lt;&gt;"",INDEX(Clientes!$D$5:$D$549,MATCH(G465,Clientes!$C$5:$C$549,0)),TRIM(INDEX(Clientes!$E$5:$E$549,MATCH(G465,Clientes!$C$5:$C$549,0))&amp;" "&amp;INDEX(Clientes!$F$5:$F$549,MATCH(G465,Clientes!$C$5:$C$549,0)))),"NO EXISTE en Clientes"))</f>
        <v/>
      </c>
      <c r="I465" s="17" t="inlineStr">
        <is>
          <t>EN_PODER_CLIENTE</t>
        </is>
      </c>
      <c r="J465" s="17" t="n"/>
      <c r="K465" s="23" t="inlineStr">
        <is>
          <t>000060</t>
        </is>
      </c>
      <c r="L465" s="25">
        <f t="array" ref="L465">IF(K465="","",IFERROR(IF(INDEX(Clientes!$D$5:$D$549,MATCH(K465,Clientes!$C$5:$C$549,0))&lt;&gt;"",INDEX(Clientes!$D$5:$D$549,MATCH(K465,Clientes!$C$5:$C$549,0)),TRIM(INDEX(Clientes!$E$5:$E$549,MATCH(K465,Clientes!$C$5:$C$549,0))&amp;" "&amp;INDEX(Clientes!$F$5:$F$549,MATCH(K465,Clientes!$C$5:$C$549,0)))),"NO EXISTE en Clientes"))</f>
        <v/>
      </c>
      <c r="M465" s="17" t="n"/>
      <c r="N465" s="17" t="n"/>
      <c r="O465" s="42" t="n"/>
      <c r="P465" s="39">
        <f>IF(O465&lt;&gt;"",DATE(YEAR(O465)+5,MONTH(O465),1),IF(AND(M465&lt;&gt;"",N465&lt;&gt;""),DATE(M465+5,N465,1),""))</f>
        <v/>
      </c>
      <c r="Q465" s="23" t="n"/>
      <c r="R465" s="17" t="n"/>
      <c r="S465" s="17" t="n"/>
      <c r="T465" s="17" t="n"/>
      <c r="U465" s="17" t="n"/>
      <c r="V465" s="23" t="n"/>
      <c r="W465" s="17" t="n"/>
      <c r="X465" s="17" t="n"/>
      <c r="Y465" s="28">
        <f>IF(B465&lt;&gt;"OK","","SELECT bal_crear_balon(p_codigo_balon =&gt; "&amp;IF(TRIM(C465&amp;"")="","NULL","'"&amp;SUBSTITUTE(TRIM(C465),"'","''")&amp;"'")&amp;", p_id_tipo_balon =&gt; "&amp;"(SELECT id FROM bal_tipo_balon WHERE upper(nombre) = upper('"&amp;SUBSTITUTE(TRIM(D465),"'","''")&amp;"') AND estado = 1 LIMIT 1)"&amp;", p_id_producto_gas =&gt; "&amp;"(SELECT id FROM pro_producto WHERE es_gas = TRUE AND upper(nombre) = upper('"&amp;SUBSTITUTE(TRIM(E465),"'","''")&amp;"') AND estado = 1 LIMIT 1)"&amp;", p_id_propietario =&gt; "&amp;IF(TRIM(F465&amp;"")="","NULL","(SELECT lo.id FROM gen_lista_opciones lo JOIN gen_lista l ON l.id = lo.id_lista WHERE l.nombre = 'PropietarioBalon' AND upper(lo.nombre) = upper('"&amp;SUBSTITUTE(TRIM(F465),"'","''")&amp;"') AND lo.estado = 1 LIMIT 1)")&amp;", p_id_cliente_propietario =&gt; "&amp;IF(F465="CLIENTE",IF(TRIM(G465&amp;"")="","NULL","(SELECT id FROM cli_clientes WHERE numero_documento = '"&amp;SUBSTITUTE(TRIM(G465),"'","''")&amp;"' AND estado = 1 LIMIT 1)"),"NULL")&amp;", p_id_planta =&gt; "&amp;IF(F465="PLANTA",IF(TRIM(G465&amp;"")="","NULL","(SELECT id FROM cli_clientes WHERE numero_documento = '"&amp;SUBSTITUTE(TRIM(G465),"'","''")&amp;"'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"&amp;IF(TRIM(J465&amp;"")="","NULL","(SELECT id FROM gen_almacen WHERE upper(nombre) = upper('"&amp;SUBSTITUTE(TRIM(J465),"'","''")&amp;"') AND estado = 1 LIMIT 1)")&amp;", p_id_cliente_ubicacion =&gt; "&amp;IF(TRIM(K465&amp;"")="","NULL","(SELECT id FROM cli_clientes WHERE numero_documento = '"&amp;SUBSTITUTE(TRIM(K465),"'","''")&amp;"' AND estado = 1 LIMIT 1)")&amp;", p_id_referencia =&gt; "&amp;IF(TRIM(J465&amp;"")&lt;&gt;"","(SELECT lo.id FROM gen_lista_opciones lo JOIN gen_lista l ON l.id = lo.id_lista WHERE l.nombre = 'ReferenciaCilindro' AND upper(lo.nombre) = 'ALMACEN' AND lo.estado = 1 LIMIT 1)",IF(TRIM(K465&amp;"")&lt;&gt;"","(SELECT lo.id FROM gen_lista_opciones lo JOIN gen_lista l ON l.id = lo.id_lista WHERE l.nombre = 'ReferenciaCilindro' AND upper(lo.nombre) = 'CLIENTE' AND lo.estado = 1 LIMIT 1)","NULL"))&amp;", p_anio_fabricacion =&gt; "&amp;IF(M465&amp;""="","NULL::smallint",M465&amp;"::smallint")&amp;", p_mes_fabricacion =&gt; "&amp;IF(N465&amp;""="","NULL::smallint",N465&amp;"::smallint")&amp;", p_fecha_ultima_prueba_hidrostatica =&gt; "&amp;IF(O465&amp;""="","NULL","'"&amp;YEAR(O465)&amp;"-"&amp;TEXT(MONTH(O465),"00")&amp;"-"&amp;TEXT(DAY(O465),"00")&amp;"'")&amp;", p_numero_serie =&gt; "&amp;IF(TRIM(Q465&amp;"")="","NULL","'"&amp;SUBSTITUTE(TRIM(Q465),"'","''")&amp;"'")&amp;", p_id_marca_cilindro =&gt; "&amp;IF(TRIM(R465&amp;"")="","NULL","(SELECT lo.id FROM gen_lista_opciones lo JOIN gen_lista l ON l.id = lo.id_lista WHERE l.nombre = 'MarcaCilindro' AND upper(lo.nombre) = upper('"&amp;SUBSTITUTE(TRIM(R465),"'","''")&amp;"') AND lo.estado = 1 LIMIT 1)")&amp;", p_id_organo_inspector =&gt; "&amp;IF(TRIM(S465&amp;"")="","NULL","(SELECT lo.id FROM gen_lista_opciones lo JOIN gen_lista l ON l.id = lo.id_lista WHERE l.nombre = 'OrganoInspectorCilindro' AND upper(lo.nombre) = upper('"&amp;SUBSTITUTE(TRIM(S465),"'","''")&amp;"') AND lo.estado = 1 LIMIT 1)")&amp;", p_organo_inspector_no_aplica =&gt; "&amp;IF(S465="NO_APLICA","TRUE","FALSE")&amp;", p_presion_actual =&gt; "&amp;IF(T465&amp;""="","NULL",SUBSTITUTE(T465&amp;"",",","."))&amp;", p_tipo_valvula =&gt; "&amp;IF(TRIM(U465&amp;"")="","NULL","'"&amp;SUBSTITUTE(TRIM(U465),"'","''")&amp;"'")&amp;", p_libro_cilindro =&gt; "&amp;IF(TRIM(V465&amp;"")="","NULL","'"&amp;SUBSTITUTE(TRIM(V465),"'","''")&amp;"'")&amp;", p_pagina_libro =&gt; "&amp;IF(W465&amp;""="","NULL",SUBSTITUTE(W465&amp;"",",","."))&amp;", p_observacion =&gt; "&amp;IF(TRIM(X465&amp;"")="","NULL","'"&amp;SUBSTITUTE(TRIM(X465),"'","''")&amp;"'")&amp;") AS resultado_balon_"&amp;ROW()&amp;";")</f>
        <v/>
      </c>
    </row>
    <row r="466" ht="15.75" customHeight="1" s="64">
      <c r="A466" s="36" t="inlineStr">
        <is>
          <t>462</t>
        </is>
      </c>
      <c r="B466" s="25">
        <f>IF(AND(C466="",D466="",E466=""),"",IF(C466="","FALTA código balón",IF(D466="","FALTA tipo balón",IF(E466="","FALTA gas",IF(F466="","FALTA propietario",IF(AND(C466&lt;&gt;"",SUMPRODUCT(--($C$5:$C$1200=C466))&gt;1),"CÓDIGO BALÓN DUPLICADO",IF(AND(OR(UPPER(F466)="PLANTA",UPPER(F466)="CLIENTE"),G466=""),"FALTA doc propietario/planta",IF(AND(UPPER(F466)="PLANTA",G466="10175332796"),"PLANTA no puede ser RUC empresa","OK"))))))))</f>
        <v/>
      </c>
      <c r="C466" s="54" t="inlineStr">
        <is>
          <t>20S290064</t>
        </is>
      </c>
      <c r="D466" s="17" t="inlineStr">
        <is>
          <t>Oxígeno Industrial 6 m³</t>
        </is>
      </c>
      <c r="E466" s="17" t="inlineStr">
        <is>
          <t>OXIGENO INDUSTRIAL</t>
        </is>
      </c>
      <c r="F466" s="17" t="inlineStr">
        <is>
          <t>EMPRESA</t>
        </is>
      </c>
      <c r="G466" s="23" t="inlineStr">
        <is>
          <t>10175332796</t>
        </is>
      </c>
      <c r="H466" s="25">
        <f t="array" ref="H466">IF(G466="","",IFERROR(IF(INDEX(Clientes!$D$5:$D$549,MATCH(G466,Clientes!$C$5:$C$549,0))&lt;&gt;"",INDEX(Clientes!$D$5:$D$549,MATCH(G466,Clientes!$C$5:$C$549,0)),TRIM(INDEX(Clientes!$E$5:$E$549,MATCH(G466,Clientes!$C$5:$C$549,0))&amp;" "&amp;INDEX(Clientes!$F$5:$F$549,MATCH(G466,Clientes!$C$5:$C$549,0)))),"NO EXISTE en Clientes"))</f>
        <v/>
      </c>
      <c r="I466" s="17" t="inlineStr">
        <is>
          <t>EN_PODER_CLIENTE</t>
        </is>
      </c>
      <c r="J466" s="17" t="n"/>
      <c r="K466" s="23" t="inlineStr">
        <is>
          <t>000061</t>
        </is>
      </c>
      <c r="L466" s="25">
        <f t="array" ref="L466">IF(K466="","",IFERROR(IF(INDEX(Clientes!$D$5:$D$549,MATCH(K466,Clientes!$C$5:$C$549,0))&lt;&gt;"",INDEX(Clientes!$D$5:$D$549,MATCH(K466,Clientes!$C$5:$C$549,0)),TRIM(INDEX(Clientes!$E$5:$E$549,MATCH(K466,Clientes!$C$5:$C$549,0))&amp;" "&amp;INDEX(Clientes!$F$5:$F$549,MATCH(K466,Clientes!$C$5:$C$549,0)))),"NO EXISTE en Clientes"))</f>
        <v/>
      </c>
      <c r="M466" s="17" t="n"/>
      <c r="N466" s="17" t="n"/>
      <c r="O466" s="42" t="n"/>
      <c r="P466" s="39">
        <f>IF(O466&lt;&gt;"",DATE(YEAR(O466)+5,MONTH(O466),1),IF(AND(M466&lt;&gt;"",N466&lt;&gt;""),DATE(M466+5,N466,1),""))</f>
        <v/>
      </c>
      <c r="Q466" s="23" t="n"/>
      <c r="R466" s="17" t="n"/>
      <c r="S466" s="17" t="n"/>
      <c r="T466" s="17" t="n"/>
      <c r="U466" s="17" t="n"/>
      <c r="V466" s="23" t="n"/>
      <c r="W466" s="17" t="n"/>
      <c r="X466" s="17" t="n"/>
      <c r="Y466" s="28">
        <f>IF(B466&lt;&gt;"OK","","SELECT bal_crear_balon(p_codigo_balon =&gt; "&amp;IF(TRIM(C466&amp;"")="","NULL","'"&amp;SUBSTITUTE(TRIM(C466),"'","''")&amp;"'")&amp;", p_id_tipo_balon =&gt; "&amp;"(SELECT id FROM bal_tipo_balon WHERE upper(nombre) = upper('"&amp;SUBSTITUTE(TRIM(D466),"'","''")&amp;"') AND estado = 1 LIMIT 1)"&amp;", p_id_producto_gas =&gt; "&amp;"(SELECT id FROM pro_producto WHERE es_gas = TRUE AND upper(nombre) = upper('"&amp;SUBSTITUTE(TRIM(E466),"'","''")&amp;"') AND estado = 1 LIMIT 1)"&amp;", p_id_propietario =&gt; "&amp;IF(TRIM(F466&amp;"")="","NULL","(SELECT lo.id FROM gen_lista_opciones lo JOIN gen_lista l ON l.id = lo.id_lista WHERE l.nombre = 'PropietarioBalon' AND upper(lo.nombre) = upper('"&amp;SUBSTITUTE(TRIM(F466),"'","''")&amp;"') AND lo.estado = 1 LIMIT 1)")&amp;", p_id_cliente_propietario =&gt; "&amp;IF(F466="CLIENTE",IF(TRIM(G466&amp;"")="","NULL","(SELECT id FROM cli_clientes WHERE numero_documento = '"&amp;SUBSTITUTE(TRIM(G466),"'","''")&amp;"' AND estado = 1 LIMIT 1)"),"NULL")&amp;", p_id_planta =&gt; "&amp;IF(F466="PLANTA",IF(TRIM(G466&amp;"")="","NULL","(SELECT id FROM cli_clientes WHERE numero_documento = '"&amp;SUBSTITUTE(TRIM(G466),"'","''")&amp;"'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"&amp;IF(TRIM(J466&amp;"")="","NULL","(SELECT id FROM gen_almacen WHERE upper(nombre) = upper('"&amp;SUBSTITUTE(TRIM(J466),"'","''")&amp;"') AND estado = 1 LIMIT 1)")&amp;", p_id_cliente_ubicacion =&gt; "&amp;IF(TRIM(K466&amp;"")="","NULL","(SELECT id FROM cli_clientes WHERE numero_documento = '"&amp;SUBSTITUTE(TRIM(K466),"'","''")&amp;"' AND estado = 1 LIMIT 1)")&amp;", p_id_referencia =&gt; "&amp;IF(TRIM(J466&amp;"")&lt;&gt;"","(SELECT lo.id FROM gen_lista_opciones lo JOIN gen_lista l ON l.id = lo.id_lista WHERE l.nombre = 'ReferenciaCilindro' AND upper(lo.nombre) = 'ALMACEN' AND lo.estado = 1 LIMIT 1)",IF(TRIM(K466&amp;"")&lt;&gt;"","(SELECT lo.id FROM gen_lista_opciones lo JOIN gen_lista l ON l.id = lo.id_lista WHERE l.nombre = 'ReferenciaCilindro' AND upper(lo.nombre) = 'CLIENTE' AND lo.estado = 1 LIMIT 1)","NULL"))&amp;", p_anio_fabricacion =&gt; "&amp;IF(M466&amp;""="","NULL::smallint",M466&amp;"::smallint")&amp;", p_mes_fabricacion =&gt; "&amp;IF(N466&amp;""="","NULL::smallint",N466&amp;"::smallint")&amp;", p_fecha_ultima_prueba_hidrostatica =&gt; "&amp;IF(O466&amp;""="","NULL","'"&amp;YEAR(O466)&amp;"-"&amp;TEXT(MONTH(O466),"00")&amp;"-"&amp;TEXT(DAY(O466),"00")&amp;"'")&amp;", p_numero_serie =&gt; "&amp;IF(TRIM(Q466&amp;"")="","NULL","'"&amp;SUBSTITUTE(TRIM(Q466),"'","''")&amp;"'")&amp;", p_id_marca_cilindro =&gt; "&amp;IF(TRIM(R466&amp;"")="","NULL","(SELECT lo.id FROM gen_lista_opciones lo JOIN gen_lista l ON l.id = lo.id_lista WHERE l.nombre = 'MarcaCilindro' AND upper(lo.nombre) = upper('"&amp;SUBSTITUTE(TRIM(R466),"'","''")&amp;"') AND lo.estado = 1 LIMIT 1)")&amp;", p_id_organo_inspector =&gt; "&amp;IF(TRIM(S466&amp;"")="","NULL","(SELECT lo.id FROM gen_lista_opciones lo JOIN gen_lista l ON l.id = lo.id_lista WHERE l.nombre = 'OrganoInspectorCilindro' AND upper(lo.nombre) = upper('"&amp;SUBSTITUTE(TRIM(S466),"'","''")&amp;"') AND lo.estado = 1 LIMIT 1)")&amp;", p_organo_inspector_no_aplica =&gt; "&amp;IF(S466="NO_APLICA","TRUE","FALSE")&amp;", p_presion_actual =&gt; "&amp;IF(T466&amp;""="","NULL",SUBSTITUTE(T466&amp;"",",","."))&amp;", p_tipo_valvula =&gt; "&amp;IF(TRIM(U466&amp;"")="","NULL","'"&amp;SUBSTITUTE(TRIM(U466),"'","''")&amp;"'")&amp;", p_libro_cilindro =&gt; "&amp;IF(TRIM(V466&amp;"")="","NULL","'"&amp;SUBSTITUTE(TRIM(V466),"'","''")&amp;"'")&amp;", p_pagina_libro =&gt; "&amp;IF(W466&amp;""="","NULL",SUBSTITUTE(W466&amp;"",",","."))&amp;", p_observacion =&gt; "&amp;IF(TRIM(X466&amp;"")="","NULL","'"&amp;SUBSTITUTE(TRIM(X466),"'","''")&amp;"'")&amp;") AS resultado_balon_"&amp;ROW()&amp;";")</f>
        <v/>
      </c>
    </row>
    <row r="467" ht="15.75" customHeight="1" s="64">
      <c r="A467" s="36" t="inlineStr">
        <is>
          <t>463</t>
        </is>
      </c>
      <c r="B467" s="25">
        <f>IF(AND(C467="",D467="",E467=""),"",IF(C467="","FALTA código balón",IF(D467="","FALTA tipo balón",IF(E467="","FALTA gas",IF(F467="","FALTA propietario",IF(AND(C467&lt;&gt;"",SUMPRODUCT(--($C$5:$C$1200=C467))&gt;1),"CÓDIGO BALÓN DUPLICADO",IF(AND(OR(UPPER(F467)="PLANTA",UPPER(F467)="CLIENTE"),G467=""),"FALTA doc propietario/planta",IF(AND(UPPER(F467)="PLANTA",G467="10175332796"),"PLANTA no puede ser RUC empresa","OK"))))))))</f>
        <v/>
      </c>
      <c r="C467" s="23" t="inlineStr">
        <is>
          <t>K4854156</t>
        </is>
      </c>
      <c r="D467" s="17" t="inlineStr">
        <is>
          <t>Oxígeno Industrial 10 m³</t>
        </is>
      </c>
      <c r="E467" s="17" t="inlineStr">
        <is>
          <t>OXIGENO INDUSTRIAL</t>
        </is>
      </c>
      <c r="F467" s="17" t="inlineStr">
        <is>
          <t>EMPRESA</t>
        </is>
      </c>
      <c r="G467" s="23" t="inlineStr">
        <is>
          <t>10175332796</t>
        </is>
      </c>
      <c r="H467" s="25">
        <f t="array" ref="H467">IF(G467="","",IFERROR(IF(INDEX(Clientes!$D$5:$D$549,MATCH(G467,Clientes!$C$5:$C$549,0))&lt;&gt;"",INDEX(Clientes!$D$5:$D$549,MATCH(G467,Clientes!$C$5:$C$549,0)),TRIM(INDEX(Clientes!$E$5:$E$549,MATCH(G467,Clientes!$C$5:$C$549,0))&amp;" "&amp;INDEX(Clientes!$F$5:$F$549,MATCH(G467,Clientes!$C$5:$C$549,0)))),"NO EXISTE en Clientes"))</f>
        <v/>
      </c>
      <c r="I467" s="17" t="inlineStr">
        <is>
          <t>EN_PODER_CLIENTE</t>
        </is>
      </c>
      <c r="J467" s="17" t="n"/>
      <c r="K467" s="26" t="inlineStr">
        <is>
          <t>20608006738</t>
        </is>
      </c>
      <c r="L467" s="25">
        <f t="array" ref="L467">IF(K467="","",IFERROR(IF(INDEX(Clientes!$D$5:$D$549,MATCH(K467,Clientes!$C$5:$C$549,0))&lt;&gt;"",INDEX(Clientes!$D$5:$D$549,MATCH(K467,Clientes!$C$5:$C$549,0)),TRIM(INDEX(Clientes!$E$5:$E$549,MATCH(K467,Clientes!$C$5:$C$549,0))&amp;" "&amp;INDEX(Clientes!$F$5:$F$549,MATCH(K467,Clientes!$C$5:$C$549,0)))),"NO EXISTE en Clientes"))</f>
        <v/>
      </c>
      <c r="M467" s="17" t="n"/>
      <c r="N467" s="17" t="n"/>
      <c r="O467" s="42" t="n"/>
      <c r="P467" s="39">
        <f>IF(O467&lt;&gt;"",DATE(YEAR(O467)+5,MONTH(O467),1),IF(AND(M467&lt;&gt;"",N467&lt;&gt;""),DATE(M467+5,N467,1),""))</f>
        <v/>
      </c>
      <c r="Q467" s="23" t="n"/>
      <c r="R467" s="17" t="n"/>
      <c r="S467" s="17" t="n"/>
      <c r="T467" s="17" t="n"/>
      <c r="U467" s="17" t="n"/>
      <c r="V467" s="23" t="n"/>
      <c r="W467" s="17" t="n"/>
      <c r="X467" s="17" t="n"/>
      <c r="Y467" s="28">
        <f>IF(B467&lt;&gt;"OK","","SELECT bal_crear_balon(p_codigo_balon =&gt; "&amp;IF(TRIM(C467&amp;"")="","NULL","'"&amp;SUBSTITUTE(TRIM(C467),"'","''")&amp;"'")&amp;", p_id_tipo_balon =&gt; "&amp;"(SELECT id FROM bal_tipo_balon WHERE upper(nombre) = upper('"&amp;SUBSTITUTE(TRIM(D467),"'","''")&amp;"') AND estado = 1 LIMIT 1)"&amp;", p_id_producto_gas =&gt; "&amp;"(SELECT id FROM pro_producto WHERE es_gas = TRUE AND upper(nombre) = upper('"&amp;SUBSTITUTE(TRIM(E467),"'","''")&amp;"') AND estado = 1 LIMIT 1)"&amp;", p_id_propietario =&gt; "&amp;IF(TRIM(F467&amp;"")="","NULL","(SELECT lo.id FROM gen_lista_opciones lo JOIN gen_lista l ON l.id = lo.id_lista WHERE l.nombre = 'PropietarioBalon' AND upper(lo.nombre) = upper('"&amp;SUBSTITUTE(TRIM(F467),"'","''")&amp;"') AND lo.estado = 1 LIMIT 1)")&amp;", p_id_cliente_propietario =&gt; "&amp;IF(F467="CLIENTE",IF(TRIM(G467&amp;"")="","NULL","(SELECT id FROM cli_clientes WHERE numero_documento = '"&amp;SUBSTITUTE(TRIM(G467),"'","''")&amp;"' AND estado = 1 LIMIT 1)"),"NULL")&amp;", p_id_planta =&gt; "&amp;IF(F467="PLANTA",IF(TRIM(G467&amp;"")="","NULL","(SELECT id FROM cli_clientes WHERE numero_documento = '"&amp;SUBSTITUTE(TRIM(G467),"'","''")&amp;"'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"&amp;IF(TRIM(J467&amp;"")="","NULL","(SELECT id FROM gen_almacen WHERE upper(nombre) = upper('"&amp;SUBSTITUTE(TRIM(J467),"'","''")&amp;"') AND estado = 1 LIMIT 1)")&amp;", p_id_cliente_ubicacion =&gt; "&amp;IF(TRIM(K467&amp;"")="","NULL","(SELECT id FROM cli_clientes WHERE numero_documento = '"&amp;SUBSTITUTE(TRIM(K467),"'","''")&amp;"' AND estado = 1 LIMIT 1)")&amp;", p_id_referencia =&gt; "&amp;IF(TRIM(J467&amp;"")&lt;&gt;"","(SELECT lo.id FROM gen_lista_opciones lo JOIN gen_lista l ON l.id = lo.id_lista WHERE l.nombre = 'ReferenciaCilindro' AND upper(lo.nombre) = 'ALMACEN' AND lo.estado = 1 LIMIT 1)",IF(TRIM(K467&amp;"")&lt;&gt;"","(SELECT lo.id FROM gen_lista_opciones lo JOIN gen_lista l ON l.id = lo.id_lista WHERE l.nombre = 'ReferenciaCilindro' AND upper(lo.nombre) = 'CLIENTE' AND lo.estado = 1 LIMIT 1)","NULL"))&amp;", p_anio_fabricacion =&gt; "&amp;IF(M467&amp;""="","NULL::smallint",M467&amp;"::smallint")&amp;", p_mes_fabricacion =&gt; "&amp;IF(N467&amp;""="","NULL::smallint",N467&amp;"::smallint")&amp;", p_fecha_ultima_prueba_hidrostatica =&gt; "&amp;IF(O467&amp;""="","NULL","'"&amp;YEAR(O467)&amp;"-"&amp;TEXT(MONTH(O467),"00")&amp;"-"&amp;TEXT(DAY(O467),"00")&amp;"'")&amp;", p_numero_serie =&gt; "&amp;IF(TRIM(Q467&amp;"")="","NULL","'"&amp;SUBSTITUTE(TRIM(Q467),"'","''")&amp;"'")&amp;", p_id_marca_cilindro =&gt; "&amp;IF(TRIM(R467&amp;"")="","NULL","(SELECT lo.id FROM gen_lista_opciones lo JOIN gen_lista l ON l.id = lo.id_lista WHERE l.nombre = 'MarcaCilindro' AND upper(lo.nombre) = upper('"&amp;SUBSTITUTE(TRIM(R467),"'","''")&amp;"') AND lo.estado = 1 LIMIT 1)")&amp;", p_id_organo_inspector =&gt; "&amp;IF(TRIM(S467&amp;"")="","NULL","(SELECT lo.id FROM gen_lista_opciones lo JOIN gen_lista l ON l.id = lo.id_lista WHERE l.nombre = 'OrganoInspectorCilindro' AND upper(lo.nombre) = upper('"&amp;SUBSTITUTE(TRIM(S467),"'","''")&amp;"') AND lo.estado = 1 LIMIT 1)")&amp;", p_organo_inspector_no_aplica =&gt; "&amp;IF(S467="NO_APLICA","TRUE","FALSE")&amp;", p_presion_actual =&gt; "&amp;IF(T467&amp;""="","NULL",SUBSTITUTE(T467&amp;"",",","."))&amp;", p_tipo_valvula =&gt; "&amp;IF(TRIM(U467&amp;"")="","NULL","'"&amp;SUBSTITUTE(TRIM(U467),"'","''")&amp;"'")&amp;", p_libro_cilindro =&gt; "&amp;IF(TRIM(V467&amp;"")="","NULL","'"&amp;SUBSTITUTE(TRIM(V467),"'","''")&amp;"'")&amp;", p_pagina_libro =&gt; "&amp;IF(W467&amp;""="","NULL",SUBSTITUTE(W467&amp;"",",","."))&amp;", p_observacion =&gt; "&amp;IF(TRIM(X467&amp;"")="","NULL","'"&amp;SUBSTITUTE(TRIM(X467),"'","''")&amp;"'")&amp;") AS resultado_balon_"&amp;ROW()&amp;";")</f>
        <v/>
      </c>
    </row>
    <row r="468" ht="15.75" customHeight="1" s="64">
      <c r="A468" s="36" t="inlineStr">
        <is>
          <t>464</t>
        </is>
      </c>
      <c r="B468" s="25">
        <f>IF(AND(C468="",D468="",E468=""),"",IF(C468="","FALTA código balón",IF(D468="","FALTA tipo balón",IF(E468="","FALTA gas",IF(F468="","FALTA propietario",IF(AND(C468&lt;&gt;"",SUMPRODUCT(--($C$5:$C$1200=C468))&gt;1),"CÓDIGO BALÓN DUPLICADO",IF(AND(OR(UPPER(F468)="PLANTA",UPPER(F468)="CLIENTE"),G468=""),"FALTA doc propietario/planta",IF(AND(UPPER(F468)="PLANTA",G468="10175332796"),"PLANTA no puede ser RUC empresa","OK"))))))))</f>
        <v/>
      </c>
      <c r="C468" s="23" t="inlineStr">
        <is>
          <t>Y9679068</t>
        </is>
      </c>
      <c r="D468" s="17" t="inlineStr">
        <is>
          <t>Oxígeno Industrial 10 m³</t>
        </is>
      </c>
      <c r="E468" s="17" t="inlineStr">
        <is>
          <t>OXIGENO INDUSTRIAL</t>
        </is>
      </c>
      <c r="F468" s="17" t="inlineStr">
        <is>
          <t>EMPRESA</t>
        </is>
      </c>
      <c r="G468" s="23" t="inlineStr">
        <is>
          <t>10175332796</t>
        </is>
      </c>
      <c r="H468" s="25">
        <f t="array" ref="H468">IF(G468="","",IFERROR(IF(INDEX(Clientes!$D$5:$D$549,MATCH(G468,Clientes!$C$5:$C$549,0))&lt;&gt;"",INDEX(Clientes!$D$5:$D$549,MATCH(G468,Clientes!$C$5:$C$549,0)),TRIM(INDEX(Clientes!$E$5:$E$549,MATCH(G468,Clientes!$C$5:$C$549,0))&amp;" "&amp;INDEX(Clientes!$F$5:$F$549,MATCH(G468,Clientes!$C$5:$C$549,0)))),"NO EXISTE en Clientes"))</f>
        <v/>
      </c>
      <c r="I468" s="17" t="inlineStr">
        <is>
          <t>EN_PODER_CLIENTE</t>
        </is>
      </c>
      <c r="J468" s="17" t="n"/>
      <c r="K468" s="26" t="inlineStr">
        <is>
          <t>20608006738</t>
        </is>
      </c>
      <c r="L468" s="25">
        <f t="array" ref="L468">IF(K468="","",IFERROR(IF(INDEX(Clientes!$D$5:$D$549,MATCH(K468,Clientes!$C$5:$C$549,0))&lt;&gt;"",INDEX(Clientes!$D$5:$D$549,MATCH(K468,Clientes!$C$5:$C$549,0)),TRIM(INDEX(Clientes!$E$5:$E$549,MATCH(K468,Clientes!$C$5:$C$549,0))&amp;" "&amp;INDEX(Clientes!$F$5:$F$549,MATCH(K468,Clientes!$C$5:$C$549,0)))),"NO EXISTE en Clientes"))</f>
        <v/>
      </c>
      <c r="M468" s="17" t="n"/>
      <c r="N468" s="17" t="n"/>
      <c r="O468" s="42" t="n"/>
      <c r="P468" s="39">
        <f>IF(O468&lt;&gt;"",DATE(YEAR(O468)+5,MONTH(O468),1),IF(AND(M468&lt;&gt;"",N468&lt;&gt;""),DATE(M468+5,N468,1),""))</f>
        <v/>
      </c>
      <c r="Q468" s="23" t="n"/>
      <c r="R468" s="17" t="n"/>
      <c r="S468" s="17" t="n"/>
      <c r="T468" s="17" t="n"/>
      <c r="U468" s="17" t="n"/>
      <c r="V468" s="23" t="n"/>
      <c r="W468" s="17" t="n"/>
      <c r="X468" s="17" t="n"/>
      <c r="Y468" s="28">
        <f>IF(B468&lt;&gt;"OK","","SELECT bal_crear_balon(p_codigo_balon =&gt; "&amp;IF(TRIM(C468&amp;"")="","NULL","'"&amp;SUBSTITUTE(TRIM(C468),"'","''")&amp;"'")&amp;", p_id_tipo_balon =&gt; "&amp;"(SELECT id FROM bal_tipo_balon WHERE upper(nombre) = upper('"&amp;SUBSTITUTE(TRIM(D468),"'","''")&amp;"') AND estado = 1 LIMIT 1)"&amp;", p_id_producto_gas =&gt; "&amp;"(SELECT id FROM pro_producto WHERE es_gas = TRUE AND upper(nombre) = upper('"&amp;SUBSTITUTE(TRIM(E468),"'","''")&amp;"') AND estado = 1 LIMIT 1)"&amp;", p_id_propietario =&gt; "&amp;IF(TRIM(F468&amp;"")="","NULL","(SELECT lo.id FROM gen_lista_opciones lo JOIN gen_lista l ON l.id = lo.id_lista WHERE l.nombre = 'PropietarioBalon' AND upper(lo.nombre) = upper('"&amp;SUBSTITUTE(TRIM(F468),"'","''")&amp;"') AND lo.estado = 1 LIMIT 1)")&amp;", p_id_cliente_propietario =&gt; "&amp;IF(F468="CLIENTE",IF(TRIM(G468&amp;"")="","NULL","(SELECT id FROM cli_clientes WHERE numero_documento = '"&amp;SUBSTITUTE(TRIM(G468),"'","''")&amp;"' AND estado = 1 LIMIT 1)"),"NULL")&amp;", p_id_planta =&gt; "&amp;IF(F468="PLANTA",IF(TRIM(G468&amp;"")="","NULL","(SELECT id FROM cli_clientes WHERE numero_documento = '"&amp;SUBSTITUTE(TRIM(G468),"'","''")&amp;"'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"&amp;IF(TRIM(J468&amp;"")="","NULL","(SELECT id FROM gen_almacen WHERE upper(nombre) = upper('"&amp;SUBSTITUTE(TRIM(J468),"'","''")&amp;"') AND estado = 1 LIMIT 1)")&amp;", p_id_cliente_ubicacion =&gt; "&amp;IF(TRIM(K468&amp;"")="","NULL","(SELECT id FROM cli_clientes WHERE numero_documento = '"&amp;SUBSTITUTE(TRIM(K468),"'","''")&amp;"' AND estado = 1 LIMIT 1)")&amp;", p_id_referencia =&gt; "&amp;IF(TRIM(J468&amp;"")&lt;&gt;"","(SELECT lo.id FROM gen_lista_opciones lo JOIN gen_lista l ON l.id = lo.id_lista WHERE l.nombre = 'ReferenciaCilindro' AND upper(lo.nombre) = 'ALMACEN' AND lo.estado = 1 LIMIT 1)",IF(TRIM(K468&amp;"")&lt;&gt;"","(SELECT lo.id FROM gen_lista_opciones lo JOIN gen_lista l ON l.id = lo.id_lista WHERE l.nombre = 'ReferenciaCilindro' AND upper(lo.nombre) = 'CLIENTE' AND lo.estado = 1 LIMIT 1)","NULL"))&amp;", p_anio_fabricacion =&gt; "&amp;IF(M468&amp;""="","NULL::smallint",M468&amp;"::smallint")&amp;", p_mes_fabricacion =&gt; "&amp;IF(N468&amp;""="","NULL::smallint",N468&amp;"::smallint")&amp;", p_fecha_ultima_prueba_hidrostatica =&gt; "&amp;IF(O468&amp;""="","NULL","'"&amp;YEAR(O468)&amp;"-"&amp;TEXT(MONTH(O468),"00")&amp;"-"&amp;TEXT(DAY(O468),"00")&amp;"'")&amp;", p_numero_serie =&gt; "&amp;IF(TRIM(Q468&amp;"")="","NULL","'"&amp;SUBSTITUTE(TRIM(Q468),"'","''")&amp;"'")&amp;", p_id_marca_cilindro =&gt; "&amp;IF(TRIM(R468&amp;"")="","NULL","(SELECT lo.id FROM gen_lista_opciones lo JOIN gen_lista l ON l.id = lo.id_lista WHERE l.nombre = 'MarcaCilindro' AND upper(lo.nombre) = upper('"&amp;SUBSTITUTE(TRIM(R468),"'","''")&amp;"') AND lo.estado = 1 LIMIT 1)")&amp;", p_id_organo_inspector =&gt; "&amp;IF(TRIM(S468&amp;"")="","NULL","(SELECT lo.id FROM gen_lista_opciones lo JOIN gen_lista l ON l.id = lo.id_lista WHERE l.nombre = 'OrganoInspectorCilindro' AND upper(lo.nombre) = upper('"&amp;SUBSTITUTE(TRIM(S468),"'","''")&amp;"') AND lo.estado = 1 LIMIT 1)")&amp;", p_organo_inspector_no_aplica =&gt; "&amp;IF(S468="NO_APLICA","TRUE","FALSE")&amp;", p_presion_actual =&gt; "&amp;IF(T468&amp;""="","NULL",SUBSTITUTE(T468&amp;"",",","."))&amp;", p_tipo_valvula =&gt; "&amp;IF(TRIM(U468&amp;"")="","NULL","'"&amp;SUBSTITUTE(TRIM(U468),"'","''")&amp;"'")&amp;", p_libro_cilindro =&gt; "&amp;IF(TRIM(V468&amp;"")="","NULL","'"&amp;SUBSTITUTE(TRIM(V468),"'","''")&amp;"'")&amp;", p_pagina_libro =&gt; "&amp;IF(W468&amp;""="","NULL",SUBSTITUTE(W468&amp;"",",","."))&amp;", p_observacion =&gt; "&amp;IF(TRIM(X468&amp;"")="","NULL","'"&amp;SUBSTITUTE(TRIM(X468),"'","''")&amp;"'")&amp;") AS resultado_balon_"&amp;ROW()&amp;";")</f>
        <v/>
      </c>
    </row>
    <row r="469" ht="15.75" customHeight="1" s="64">
      <c r="A469" s="36" t="inlineStr">
        <is>
          <t>465</t>
        </is>
      </c>
      <c r="B469" s="25">
        <f>IF(AND(C469="",D469="",E469=""),"",IF(C469="","FALTA código balón",IF(D469="","FALTA tipo balón",IF(E469="","FALTA gas",IF(F469="","FALTA propietario",IF(AND(C469&lt;&gt;"",SUMPRODUCT(--($C$5:$C$1200=C469))&gt;1),"CÓDIGO BALÓN DUPLICADO",IF(AND(OR(UPPER(F469)="PLANTA",UPPER(F469)="CLIENTE"),G469=""),"FALTA doc propietario/planta",IF(AND(UPPER(F469)="PLANTA",G469="10175332796"),"PLANTA no puede ser RUC empresa","OK"))))))))</f>
        <v/>
      </c>
      <c r="C469" s="23" t="inlineStr">
        <is>
          <t>Y8894112</t>
        </is>
      </c>
      <c r="D469" s="17" t="inlineStr">
        <is>
          <t>Oxígeno Industrial 10 m³</t>
        </is>
      </c>
      <c r="E469" s="17" t="inlineStr">
        <is>
          <t>OXIGENO INDUSTRIAL</t>
        </is>
      </c>
      <c r="F469" s="17" t="inlineStr">
        <is>
          <t>EMPRESA</t>
        </is>
      </c>
      <c r="G469" s="23" t="inlineStr">
        <is>
          <t>10175332796</t>
        </is>
      </c>
      <c r="H469" s="25">
        <f t="array" ref="H469">IF(G469="","",IFERROR(IF(INDEX(Clientes!$D$5:$D$549,MATCH(G469,Clientes!$C$5:$C$549,0))&lt;&gt;"",INDEX(Clientes!$D$5:$D$549,MATCH(G469,Clientes!$C$5:$C$549,0)),TRIM(INDEX(Clientes!$E$5:$E$549,MATCH(G469,Clientes!$C$5:$C$549,0))&amp;" "&amp;INDEX(Clientes!$F$5:$F$549,MATCH(G469,Clientes!$C$5:$C$549,0)))),"NO EXISTE en Clientes"))</f>
        <v/>
      </c>
      <c r="I469" s="17" t="inlineStr">
        <is>
          <t>EN_PODER_CLIENTE</t>
        </is>
      </c>
      <c r="J469" s="17" t="n"/>
      <c r="K469" s="26" t="inlineStr">
        <is>
          <t>20608006738</t>
        </is>
      </c>
      <c r="L469" s="25">
        <f t="array" ref="L469">IF(K469="","",IFERROR(IF(INDEX(Clientes!$D$5:$D$549,MATCH(K469,Clientes!$C$5:$C$549,0))&lt;&gt;"",INDEX(Clientes!$D$5:$D$549,MATCH(K469,Clientes!$C$5:$C$549,0)),TRIM(INDEX(Clientes!$E$5:$E$549,MATCH(K469,Clientes!$C$5:$C$549,0))&amp;" "&amp;INDEX(Clientes!$F$5:$F$549,MATCH(K469,Clientes!$C$5:$C$549,0)))),"NO EXISTE en Clientes"))</f>
        <v/>
      </c>
      <c r="M469" s="17" t="n"/>
      <c r="N469" s="17" t="n"/>
      <c r="O469" s="42" t="n"/>
      <c r="P469" s="39">
        <f>IF(O469&lt;&gt;"",DATE(YEAR(O469)+5,MONTH(O469),1),IF(AND(M469&lt;&gt;"",N469&lt;&gt;""),DATE(M469+5,N469,1),""))</f>
        <v/>
      </c>
      <c r="Q469" s="23" t="n"/>
      <c r="R469" s="17" t="n"/>
      <c r="S469" s="17" t="n"/>
      <c r="T469" s="17" t="n"/>
      <c r="U469" s="17" t="n"/>
      <c r="V469" s="23" t="n"/>
      <c r="W469" s="17" t="n"/>
      <c r="X469" s="17" t="n"/>
      <c r="Y469" s="28">
        <f>IF(B469&lt;&gt;"OK","","SELECT bal_crear_balon(p_codigo_balon =&gt; "&amp;IF(TRIM(C469&amp;"")="","NULL","'"&amp;SUBSTITUTE(TRIM(C469),"'","''")&amp;"'")&amp;", p_id_tipo_balon =&gt; "&amp;"(SELECT id FROM bal_tipo_balon WHERE upper(nombre) = upper('"&amp;SUBSTITUTE(TRIM(D469),"'","''")&amp;"') AND estado = 1 LIMIT 1)"&amp;", p_id_producto_gas =&gt; "&amp;"(SELECT id FROM pro_producto WHERE es_gas = TRUE AND upper(nombre) = upper('"&amp;SUBSTITUTE(TRIM(E469),"'","''")&amp;"') AND estado = 1 LIMIT 1)"&amp;", p_id_propietario =&gt; "&amp;IF(TRIM(F469&amp;"")="","NULL","(SELECT lo.id FROM gen_lista_opciones lo JOIN gen_lista l ON l.id = lo.id_lista WHERE l.nombre = 'PropietarioBalon' AND upper(lo.nombre) = upper('"&amp;SUBSTITUTE(TRIM(F469),"'","''")&amp;"') AND lo.estado = 1 LIMIT 1)")&amp;", p_id_cliente_propietario =&gt; "&amp;IF(F469="CLIENTE",IF(TRIM(G469&amp;"")="","NULL","(SELECT id FROM cli_clientes WHERE numero_documento = '"&amp;SUBSTITUTE(TRIM(G469),"'","''")&amp;"' AND estado = 1 LIMIT 1)"),"NULL")&amp;", p_id_planta =&gt; "&amp;IF(F469="PLANTA",IF(TRIM(G469&amp;"")="","NULL","(SELECT id FROM cli_clientes WHERE numero_documento = '"&amp;SUBSTITUTE(TRIM(G469),"'","''")&amp;"'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"&amp;IF(TRIM(J469&amp;"")="","NULL","(SELECT id FROM gen_almacen WHERE upper(nombre) = upper('"&amp;SUBSTITUTE(TRIM(J469),"'","''")&amp;"') AND estado = 1 LIMIT 1)")&amp;", p_id_cliente_ubicacion =&gt; "&amp;IF(TRIM(K469&amp;"")="","NULL","(SELECT id FROM cli_clientes WHERE numero_documento = '"&amp;SUBSTITUTE(TRIM(K469),"'","''")&amp;"' AND estado = 1 LIMIT 1)")&amp;", p_id_referencia =&gt; "&amp;IF(TRIM(J469&amp;"")&lt;&gt;"","(SELECT lo.id FROM gen_lista_opciones lo JOIN gen_lista l ON l.id = lo.id_lista WHERE l.nombre = 'ReferenciaCilindro' AND upper(lo.nombre) = 'ALMACEN' AND lo.estado = 1 LIMIT 1)",IF(TRIM(K469&amp;"")&lt;&gt;"","(SELECT lo.id FROM gen_lista_opciones lo JOIN gen_lista l ON l.id = lo.id_lista WHERE l.nombre = 'ReferenciaCilindro' AND upper(lo.nombre) = 'CLIENTE' AND lo.estado = 1 LIMIT 1)","NULL"))&amp;", p_anio_fabricacion =&gt; "&amp;IF(M469&amp;""="","NULL::smallint",M469&amp;"::smallint")&amp;", p_mes_fabricacion =&gt; "&amp;IF(N469&amp;""="","NULL::smallint",N469&amp;"::smallint")&amp;", p_fecha_ultima_prueba_hidrostatica =&gt; "&amp;IF(O469&amp;""="","NULL","'"&amp;YEAR(O469)&amp;"-"&amp;TEXT(MONTH(O469),"00")&amp;"-"&amp;TEXT(DAY(O469),"00")&amp;"'")&amp;", p_numero_serie =&gt; "&amp;IF(TRIM(Q469&amp;"")="","NULL","'"&amp;SUBSTITUTE(TRIM(Q469),"'","''")&amp;"'")&amp;", p_id_marca_cilindro =&gt; "&amp;IF(TRIM(R469&amp;"")="","NULL","(SELECT lo.id FROM gen_lista_opciones lo JOIN gen_lista l ON l.id = lo.id_lista WHERE l.nombre = 'MarcaCilindro' AND upper(lo.nombre) = upper('"&amp;SUBSTITUTE(TRIM(R469),"'","''")&amp;"') AND lo.estado = 1 LIMIT 1)")&amp;", p_id_organo_inspector =&gt; "&amp;IF(TRIM(S469&amp;"")="","NULL","(SELECT lo.id FROM gen_lista_opciones lo JOIN gen_lista l ON l.id = lo.id_lista WHERE l.nombre = 'OrganoInspectorCilindro' AND upper(lo.nombre) = upper('"&amp;SUBSTITUTE(TRIM(S469),"'","''")&amp;"') AND lo.estado = 1 LIMIT 1)")&amp;", p_organo_inspector_no_aplica =&gt; "&amp;IF(S469="NO_APLICA","TRUE","FALSE")&amp;", p_presion_actual =&gt; "&amp;IF(T469&amp;""="","NULL",SUBSTITUTE(T469&amp;"",",","."))&amp;", p_tipo_valvula =&gt; "&amp;IF(TRIM(U469&amp;"")="","NULL","'"&amp;SUBSTITUTE(TRIM(U469),"'","''")&amp;"'")&amp;", p_libro_cilindro =&gt; "&amp;IF(TRIM(V469&amp;"")="","NULL","'"&amp;SUBSTITUTE(TRIM(V469),"'","''")&amp;"'")&amp;", p_pagina_libro =&gt; "&amp;IF(W469&amp;""="","NULL",SUBSTITUTE(W469&amp;"",",","."))&amp;", p_observacion =&gt; "&amp;IF(TRIM(X469&amp;"")="","NULL","'"&amp;SUBSTITUTE(TRIM(X469),"'","''")&amp;"'")&amp;") AS resultado_balon_"&amp;ROW()&amp;";")</f>
        <v/>
      </c>
    </row>
    <row r="470" ht="15.75" customHeight="1" s="64">
      <c r="A470" s="36" t="inlineStr">
        <is>
          <t>466</t>
        </is>
      </c>
      <c r="B470" s="25">
        <f>IF(AND(C470="",D470="",E470=""),"",IF(C470="","FALTA código balón",IF(D470="","FALTA tipo balón",IF(E470="","FALTA gas",IF(F470="","FALTA propietario",IF(AND(C470&lt;&gt;"",SUMPRODUCT(--($C$5:$C$1200=C470))&gt;1),"CÓDIGO BALÓN DUPLICADO",IF(AND(OR(UPPER(F470)="PLANTA",UPPER(F470)="CLIENTE"),G470=""),"FALTA doc propietario/planta",IF(AND(UPPER(F470)="PLANTA",G470="10175332796"),"PLANTA no puede ser RUC empresa","OK"))))))))</f>
        <v/>
      </c>
      <c r="C470" s="23" t="inlineStr">
        <is>
          <t>K4860009</t>
        </is>
      </c>
      <c r="D470" s="17" t="inlineStr">
        <is>
          <t>Oxígeno Industrial 10 m³</t>
        </is>
      </c>
      <c r="E470" s="17" t="inlineStr">
        <is>
          <t>OXIGENO INDUSTRIAL</t>
        </is>
      </c>
      <c r="F470" s="17" t="inlineStr">
        <is>
          <t>EMPRESA</t>
        </is>
      </c>
      <c r="G470" s="23" t="inlineStr">
        <is>
          <t>10175332796</t>
        </is>
      </c>
      <c r="H470" s="25">
        <f t="array" ref="H470">IF(G470="","",IFERROR(IF(INDEX(Clientes!$D$5:$D$549,MATCH(G470,Clientes!$C$5:$C$549,0))&lt;&gt;"",INDEX(Clientes!$D$5:$D$549,MATCH(G470,Clientes!$C$5:$C$549,0)),TRIM(INDEX(Clientes!$E$5:$E$549,MATCH(G470,Clientes!$C$5:$C$549,0))&amp;" "&amp;INDEX(Clientes!$F$5:$F$549,MATCH(G470,Clientes!$C$5:$C$549,0)))),"NO EXISTE en Clientes"))</f>
        <v/>
      </c>
      <c r="I470" s="17" t="inlineStr">
        <is>
          <t>EN_PODER_CLIENTE</t>
        </is>
      </c>
      <c r="J470" s="17" t="n"/>
      <c r="K470" s="23" t="inlineStr">
        <is>
          <t>16747813</t>
        </is>
      </c>
      <c r="L470" s="25">
        <f t="array" ref="L470">IF(K470="","",IFERROR(IF(INDEX(Clientes!$D$5:$D$549,MATCH(K470,Clientes!$C$5:$C$549,0))&lt;&gt;"",INDEX(Clientes!$D$5:$D$549,MATCH(K470,Clientes!$C$5:$C$549,0)),TRIM(INDEX(Clientes!$E$5:$E$549,MATCH(K470,Clientes!$C$5:$C$549,0))&amp;" "&amp;INDEX(Clientes!$F$5:$F$549,MATCH(K470,Clientes!$C$5:$C$549,0)))),"NO EXISTE en Clientes"))</f>
        <v/>
      </c>
      <c r="M470" s="17" t="n"/>
      <c r="N470" s="17" t="n"/>
      <c r="O470" s="42" t="n"/>
      <c r="P470" s="39">
        <f>IF(O470&lt;&gt;"",DATE(YEAR(O470)+5,MONTH(O470),1),IF(AND(M470&lt;&gt;"",N470&lt;&gt;""),DATE(M470+5,N470,1),""))</f>
        <v/>
      </c>
      <c r="Q470" s="23" t="n"/>
      <c r="R470" s="17" t="n"/>
      <c r="S470" s="17" t="n"/>
      <c r="T470" s="17" t="n"/>
      <c r="U470" s="17" t="n"/>
      <c r="V470" s="23" t="n"/>
      <c r="W470" s="17" t="n"/>
      <c r="X470" s="17" t="n"/>
      <c r="Y470" s="28">
        <f>IF(B470&lt;&gt;"OK","","SELECT bal_crear_balon(p_codigo_balon =&gt; "&amp;IF(TRIM(C470&amp;"")="","NULL","'"&amp;SUBSTITUTE(TRIM(C470),"'","''")&amp;"'")&amp;", p_id_tipo_balon =&gt; "&amp;"(SELECT id FROM bal_tipo_balon WHERE upper(nombre) = upper('"&amp;SUBSTITUTE(TRIM(D470),"'","''")&amp;"') AND estado = 1 LIMIT 1)"&amp;", p_id_producto_gas =&gt; "&amp;"(SELECT id FROM pro_producto WHERE es_gas = TRUE AND upper(nombre) = upper('"&amp;SUBSTITUTE(TRIM(E470),"'","''")&amp;"') AND estado = 1 LIMIT 1)"&amp;", p_id_propietario =&gt; "&amp;IF(TRIM(F470&amp;"")="","NULL","(SELECT lo.id FROM gen_lista_opciones lo JOIN gen_lista l ON l.id = lo.id_lista WHERE l.nombre = 'PropietarioBalon' AND upper(lo.nombre) = upper('"&amp;SUBSTITUTE(TRIM(F470),"'","''")&amp;"') AND lo.estado = 1 LIMIT 1)")&amp;", p_id_cliente_propietario =&gt; "&amp;IF(F470="CLIENTE",IF(TRIM(G470&amp;"")="","NULL","(SELECT id FROM cli_clientes WHERE numero_documento = '"&amp;SUBSTITUTE(TRIM(G470),"'","''")&amp;"' AND estado = 1 LIMIT 1)"),"NULL")&amp;", p_id_planta =&gt; "&amp;IF(F470="PLANTA",IF(TRIM(G470&amp;"")="","NULL","(SELECT id FROM cli_clientes WHERE numero_documento = '"&amp;SUBSTITUTE(TRIM(G470),"'","''")&amp;"'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"&amp;IF(TRIM(J470&amp;"")="","NULL","(SELECT id FROM gen_almacen WHERE upper(nombre) = upper('"&amp;SUBSTITUTE(TRIM(J470),"'","''")&amp;"') AND estado = 1 LIMIT 1)")&amp;", p_id_cliente_ubicacion =&gt; "&amp;IF(TRIM(K470&amp;"")="","NULL","(SELECT id FROM cli_clientes WHERE numero_documento = '"&amp;SUBSTITUTE(TRIM(K470),"'","''")&amp;"' AND estado = 1 LIMIT 1)")&amp;", p_id_referencia =&gt; "&amp;IF(TRIM(J470&amp;"")&lt;&gt;"","(SELECT lo.id FROM gen_lista_opciones lo JOIN gen_lista l ON l.id = lo.id_lista WHERE l.nombre = 'ReferenciaCilindro' AND upper(lo.nombre) = 'ALMACEN' AND lo.estado = 1 LIMIT 1)",IF(TRIM(K470&amp;"")&lt;&gt;"","(SELECT lo.id FROM gen_lista_opciones lo JOIN gen_lista l ON l.id = lo.id_lista WHERE l.nombre = 'ReferenciaCilindro' AND upper(lo.nombre) = 'CLIENTE' AND lo.estado = 1 LIMIT 1)","NULL"))&amp;", p_anio_fabricacion =&gt; "&amp;IF(M470&amp;""="","NULL::smallint",M470&amp;"::smallint")&amp;", p_mes_fabricacion =&gt; "&amp;IF(N470&amp;""="","NULL::smallint",N470&amp;"::smallint")&amp;", p_fecha_ultima_prueba_hidrostatica =&gt; "&amp;IF(O470&amp;""="","NULL","'"&amp;YEAR(O470)&amp;"-"&amp;TEXT(MONTH(O470),"00")&amp;"-"&amp;TEXT(DAY(O470),"00")&amp;"'")&amp;", p_numero_serie =&gt; "&amp;IF(TRIM(Q470&amp;"")="","NULL","'"&amp;SUBSTITUTE(TRIM(Q470),"'","''")&amp;"'")&amp;", p_id_marca_cilindro =&gt; "&amp;IF(TRIM(R470&amp;"")="","NULL","(SELECT lo.id FROM gen_lista_opciones lo JOIN gen_lista l ON l.id = lo.id_lista WHERE l.nombre = 'MarcaCilindro' AND upper(lo.nombre) = upper('"&amp;SUBSTITUTE(TRIM(R470),"'","''")&amp;"') AND lo.estado = 1 LIMIT 1)")&amp;", p_id_organo_inspector =&gt; "&amp;IF(TRIM(S470&amp;"")="","NULL","(SELECT lo.id FROM gen_lista_opciones lo JOIN gen_lista l ON l.id = lo.id_lista WHERE l.nombre = 'OrganoInspectorCilindro' AND upper(lo.nombre) = upper('"&amp;SUBSTITUTE(TRIM(S470),"'","''")&amp;"') AND lo.estado = 1 LIMIT 1)")&amp;", p_organo_inspector_no_aplica =&gt; "&amp;IF(S470="NO_APLICA","TRUE","FALSE")&amp;", p_presion_actual =&gt; "&amp;IF(T470&amp;""="","NULL",SUBSTITUTE(T470&amp;"",",","."))&amp;", p_tipo_valvula =&gt; "&amp;IF(TRIM(U470&amp;"")="","NULL","'"&amp;SUBSTITUTE(TRIM(U470),"'","''")&amp;"'")&amp;", p_libro_cilindro =&gt; "&amp;IF(TRIM(V470&amp;"")="","NULL","'"&amp;SUBSTITUTE(TRIM(V470),"'","''")&amp;"'")&amp;", p_pagina_libro =&gt; "&amp;IF(W470&amp;""="","NULL",SUBSTITUTE(W470&amp;"",",","."))&amp;", p_observacion =&gt; "&amp;IF(TRIM(X470&amp;"")="","NULL","'"&amp;SUBSTITUTE(TRIM(X470),"'","''")&amp;"'")&amp;") AS resultado_balon_"&amp;ROW()&amp;";")</f>
        <v/>
      </c>
    </row>
    <row r="471" ht="15.75" customHeight="1" s="64">
      <c r="A471" s="36" t="inlineStr">
        <is>
          <t>467</t>
        </is>
      </c>
      <c r="B471" s="25">
        <f>IF(AND(C471="",D471="",E471=""),"",IF(C471="","FALTA código balón",IF(D471="","FALTA tipo balón",IF(E471="","FALTA gas",IF(F471="","FALTA propietario",IF(AND(C471&lt;&gt;"",SUMPRODUCT(--($C$5:$C$1200=C471))&gt;1),"CÓDIGO BALÓN DUPLICADO",IF(AND(OR(UPPER(F471)="PLANTA",UPPER(F471)="CLIENTE"),G471=""),"FALTA doc propietario/planta",IF(AND(UPPER(F471)="PLANTA",G471="10175332796"),"PLANTA no puede ser RUC empresa","OK"))))))))</f>
        <v/>
      </c>
      <c r="C471" s="23" t="inlineStr">
        <is>
          <t>K4860024</t>
        </is>
      </c>
      <c r="D471" s="17" t="inlineStr">
        <is>
          <t>Oxígeno Industrial 10 m³</t>
        </is>
      </c>
      <c r="E471" s="17" t="inlineStr">
        <is>
          <t>OXIGENO INDUSTRIAL</t>
        </is>
      </c>
      <c r="F471" s="17" t="inlineStr">
        <is>
          <t>EMPRESA</t>
        </is>
      </c>
      <c r="G471" s="23" t="inlineStr">
        <is>
          <t>10175332796</t>
        </is>
      </c>
      <c r="H471" s="25">
        <f t="array" ref="H471">IF(G471="","",IFERROR(IF(INDEX(Clientes!$D$5:$D$549,MATCH(G471,Clientes!$C$5:$C$549,0))&lt;&gt;"",INDEX(Clientes!$D$5:$D$549,MATCH(G471,Clientes!$C$5:$C$549,0)),TRIM(INDEX(Clientes!$E$5:$E$549,MATCH(G471,Clientes!$C$5:$C$549,0))&amp;" "&amp;INDEX(Clientes!$F$5:$F$549,MATCH(G471,Clientes!$C$5:$C$549,0)))),"NO EXISTE en Clientes"))</f>
        <v/>
      </c>
      <c r="I471" s="17" t="inlineStr">
        <is>
          <t>EN_PODER_CLIENTE</t>
        </is>
      </c>
      <c r="J471" s="17" t="n"/>
      <c r="K471" s="23" t="inlineStr">
        <is>
          <t>16747813</t>
        </is>
      </c>
      <c r="L471" s="25">
        <f t="array" ref="L471">IF(K471="","",IFERROR(IF(INDEX(Clientes!$D$5:$D$549,MATCH(K471,Clientes!$C$5:$C$549,0))&lt;&gt;"",INDEX(Clientes!$D$5:$D$549,MATCH(K471,Clientes!$C$5:$C$549,0)),TRIM(INDEX(Clientes!$E$5:$E$549,MATCH(K471,Clientes!$C$5:$C$549,0))&amp;" "&amp;INDEX(Clientes!$F$5:$F$549,MATCH(K471,Clientes!$C$5:$C$549,0)))),"NO EXISTE en Clientes"))</f>
        <v/>
      </c>
      <c r="M471" s="17" t="n"/>
      <c r="N471" s="17" t="n"/>
      <c r="O471" s="42" t="n"/>
      <c r="P471" s="39">
        <f>IF(O471&lt;&gt;"",DATE(YEAR(O471)+5,MONTH(O471),1),IF(AND(M471&lt;&gt;"",N471&lt;&gt;""),DATE(M471+5,N471,1),""))</f>
        <v/>
      </c>
      <c r="Q471" s="23" t="n"/>
      <c r="R471" s="17" t="n"/>
      <c r="S471" s="17" t="n"/>
      <c r="T471" s="17" t="n"/>
      <c r="U471" s="17" t="n"/>
      <c r="V471" s="23" t="n"/>
      <c r="W471" s="17" t="n"/>
      <c r="X471" s="17" t="n"/>
      <c r="Y471" s="28">
        <f>IF(B471&lt;&gt;"OK","","SELECT bal_crear_balon(p_codigo_balon =&gt; "&amp;IF(TRIM(C471&amp;"")="","NULL","'"&amp;SUBSTITUTE(TRIM(C471),"'","''")&amp;"'")&amp;", p_id_tipo_balon =&gt; "&amp;"(SELECT id FROM bal_tipo_balon WHERE upper(nombre) = upper('"&amp;SUBSTITUTE(TRIM(D471),"'","''")&amp;"') AND estado = 1 LIMIT 1)"&amp;", p_id_producto_gas =&gt; "&amp;"(SELECT id FROM pro_producto WHERE es_gas = TRUE AND upper(nombre) = upper('"&amp;SUBSTITUTE(TRIM(E471),"'","''")&amp;"') AND estado = 1 LIMIT 1)"&amp;", p_id_propietario =&gt; "&amp;IF(TRIM(F471&amp;"")="","NULL","(SELECT lo.id FROM gen_lista_opciones lo JOIN gen_lista l ON l.id = lo.id_lista WHERE l.nombre = 'PropietarioBalon' AND upper(lo.nombre) = upper('"&amp;SUBSTITUTE(TRIM(F471),"'","''")&amp;"') AND lo.estado = 1 LIMIT 1)")&amp;", p_id_cliente_propietario =&gt; "&amp;IF(F471="CLIENTE",IF(TRIM(G471&amp;"")="","NULL","(SELECT id FROM cli_clientes WHERE numero_documento = '"&amp;SUBSTITUTE(TRIM(G471),"'","''")&amp;"' AND estado = 1 LIMIT 1)"),"NULL")&amp;", p_id_planta =&gt; "&amp;IF(F471="PLANTA",IF(TRIM(G471&amp;"")="","NULL","(SELECT id FROM cli_clientes WHERE numero_documento = '"&amp;SUBSTITUTE(TRIM(G471),"'","''")&amp;"'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"&amp;IF(TRIM(J471&amp;"")="","NULL","(SELECT id FROM gen_almacen WHERE upper(nombre) = upper('"&amp;SUBSTITUTE(TRIM(J471),"'","''")&amp;"') AND estado = 1 LIMIT 1)")&amp;", p_id_cliente_ubicacion =&gt; "&amp;IF(TRIM(K471&amp;"")="","NULL","(SELECT id FROM cli_clientes WHERE numero_documento = '"&amp;SUBSTITUTE(TRIM(K471),"'","''")&amp;"' AND estado = 1 LIMIT 1)")&amp;", p_id_referencia =&gt; "&amp;IF(TRIM(J471&amp;"")&lt;&gt;"","(SELECT lo.id FROM gen_lista_opciones lo JOIN gen_lista l ON l.id = lo.id_lista WHERE l.nombre = 'ReferenciaCilindro' AND upper(lo.nombre) = 'ALMACEN' AND lo.estado = 1 LIMIT 1)",IF(TRIM(K471&amp;"")&lt;&gt;"","(SELECT lo.id FROM gen_lista_opciones lo JOIN gen_lista l ON l.id = lo.id_lista WHERE l.nombre = 'ReferenciaCilindro' AND upper(lo.nombre) = 'CLIENTE' AND lo.estado = 1 LIMIT 1)","NULL"))&amp;", p_anio_fabricacion =&gt; "&amp;IF(M471&amp;""="","NULL::smallint",M471&amp;"::smallint")&amp;", p_mes_fabricacion =&gt; "&amp;IF(N471&amp;""="","NULL::smallint",N471&amp;"::smallint")&amp;", p_fecha_ultima_prueba_hidrostatica =&gt; "&amp;IF(O471&amp;""="","NULL","'"&amp;YEAR(O471)&amp;"-"&amp;TEXT(MONTH(O471),"00")&amp;"-"&amp;TEXT(DAY(O471),"00")&amp;"'")&amp;", p_numero_serie =&gt; "&amp;IF(TRIM(Q471&amp;"")="","NULL","'"&amp;SUBSTITUTE(TRIM(Q471),"'","''")&amp;"'")&amp;", p_id_marca_cilindro =&gt; "&amp;IF(TRIM(R471&amp;"")="","NULL","(SELECT lo.id FROM gen_lista_opciones lo JOIN gen_lista l ON l.id = lo.id_lista WHERE l.nombre = 'MarcaCilindro' AND upper(lo.nombre) = upper('"&amp;SUBSTITUTE(TRIM(R471),"'","''")&amp;"') AND lo.estado = 1 LIMIT 1)")&amp;", p_id_organo_inspector =&gt; "&amp;IF(TRIM(S471&amp;"")="","NULL","(SELECT lo.id FROM gen_lista_opciones lo JOIN gen_lista l ON l.id = lo.id_lista WHERE l.nombre = 'OrganoInspectorCilindro' AND upper(lo.nombre) = upper('"&amp;SUBSTITUTE(TRIM(S471),"'","''")&amp;"') AND lo.estado = 1 LIMIT 1)")&amp;", p_organo_inspector_no_aplica =&gt; "&amp;IF(S471="NO_APLICA","TRUE","FALSE")&amp;", p_presion_actual =&gt; "&amp;IF(T471&amp;""="","NULL",SUBSTITUTE(T471&amp;"",",","."))&amp;", p_tipo_valvula =&gt; "&amp;IF(TRIM(U471&amp;"")="","NULL","'"&amp;SUBSTITUTE(TRIM(U471),"'","''")&amp;"'")&amp;", p_libro_cilindro =&gt; "&amp;IF(TRIM(V471&amp;"")="","NULL","'"&amp;SUBSTITUTE(TRIM(V471),"'","''")&amp;"'")&amp;", p_pagina_libro =&gt; "&amp;IF(W471&amp;""="","NULL",SUBSTITUTE(W471&amp;"",",","."))&amp;", p_observacion =&gt; "&amp;IF(TRIM(X471&amp;"")="","NULL","'"&amp;SUBSTITUTE(TRIM(X471),"'","''")&amp;"'")&amp;") AS resultado_balon_"&amp;ROW()&amp;";")</f>
        <v/>
      </c>
    </row>
    <row r="472" ht="15.75" customHeight="1" s="64">
      <c r="A472" s="36" t="inlineStr">
        <is>
          <t>468</t>
        </is>
      </c>
      <c r="B472" s="25">
        <f>IF(AND(C472="",D472="",E472=""),"",IF(C472="","FALTA código balón",IF(D472="","FALTA tipo balón",IF(E472="","FALTA gas",IF(F472="","FALTA propietario",IF(AND(C472&lt;&gt;"",SUMPRODUCT(--($C$5:$C$1200=C472))&gt;1),"CÓDIGO BALÓN DUPLICADO",IF(AND(OR(UPPER(F472)="PLANTA",UPPER(F472)="CLIENTE"),G472=""),"FALTA doc propietario/planta",IF(AND(UPPER(F472)="PLANTA",G472="10175332796"),"PLANTA no puede ser RUC empresa","OK"))))))))</f>
        <v/>
      </c>
      <c r="C472" s="23" t="inlineStr">
        <is>
          <t>K4632027</t>
        </is>
      </c>
      <c r="D472" s="17" t="inlineStr">
        <is>
          <t>Oxígeno Industrial 10 m³</t>
        </is>
      </c>
      <c r="E472" s="17" t="inlineStr">
        <is>
          <t>OXIGENO INDUSTRIAL</t>
        </is>
      </c>
      <c r="F472" s="17" t="inlineStr">
        <is>
          <t>EMPRESA</t>
        </is>
      </c>
      <c r="G472" s="23" t="inlineStr">
        <is>
          <t>10175332796</t>
        </is>
      </c>
      <c r="H472" s="25">
        <f t="array" ref="H472">IF(G472="","",IFERROR(IF(INDEX(Clientes!$D$5:$D$549,MATCH(G472,Clientes!$C$5:$C$549,0))&lt;&gt;"",INDEX(Clientes!$D$5:$D$549,MATCH(G472,Clientes!$C$5:$C$549,0)),TRIM(INDEX(Clientes!$E$5:$E$549,MATCH(G472,Clientes!$C$5:$C$549,0))&amp;" "&amp;INDEX(Clientes!$F$5:$F$549,MATCH(G472,Clientes!$C$5:$C$549,0)))),"NO EXISTE en Clientes"))</f>
        <v/>
      </c>
      <c r="I472" s="17" t="inlineStr">
        <is>
          <t>EN_PODER_CLIENTE</t>
        </is>
      </c>
      <c r="J472" s="17" t="n"/>
      <c r="K472" s="23" t="inlineStr">
        <is>
          <t>10448235012</t>
        </is>
      </c>
      <c r="L472" s="25">
        <f t="array" ref="L472">IF(K472="","",IFERROR(IF(INDEX(Clientes!$D$5:$D$549,MATCH(K472,Clientes!$C$5:$C$549,0))&lt;&gt;"",INDEX(Clientes!$D$5:$D$549,MATCH(K472,Clientes!$C$5:$C$549,0)),TRIM(INDEX(Clientes!$E$5:$E$549,MATCH(K472,Clientes!$C$5:$C$549,0))&amp;" "&amp;INDEX(Clientes!$F$5:$F$549,MATCH(K472,Clientes!$C$5:$C$549,0)))),"NO EXISTE en Clientes"))</f>
        <v/>
      </c>
      <c r="M472" s="17" t="n"/>
      <c r="N472" s="17" t="n"/>
      <c r="O472" s="42" t="n"/>
      <c r="P472" s="39">
        <f>IF(O472&lt;&gt;"",DATE(YEAR(O472)+5,MONTH(O472),1),IF(AND(M472&lt;&gt;"",N472&lt;&gt;""),DATE(M472+5,N472,1),""))</f>
        <v/>
      </c>
      <c r="Q472" s="23" t="n"/>
      <c r="R472" s="17" t="n"/>
      <c r="S472" s="17" t="n"/>
      <c r="T472" s="17" t="n"/>
      <c r="U472" s="17" t="n"/>
      <c r="V472" s="23" t="n"/>
      <c r="W472" s="17" t="n"/>
      <c r="X472" s="17" t="n"/>
      <c r="Y472" s="28">
        <f>IF(B472&lt;&gt;"OK","","SELECT bal_crear_balon(p_codigo_balon =&gt; "&amp;IF(TRIM(C472&amp;"")="","NULL","'"&amp;SUBSTITUTE(TRIM(C472),"'","''")&amp;"'")&amp;", p_id_tipo_balon =&gt; "&amp;"(SELECT id FROM bal_tipo_balon WHERE upper(nombre) = upper('"&amp;SUBSTITUTE(TRIM(D472),"'","''")&amp;"') AND estado = 1 LIMIT 1)"&amp;", p_id_producto_gas =&gt; "&amp;"(SELECT id FROM pro_producto WHERE es_gas = TRUE AND upper(nombre) = upper('"&amp;SUBSTITUTE(TRIM(E472),"'","''")&amp;"') AND estado = 1 LIMIT 1)"&amp;", p_id_propietario =&gt; "&amp;IF(TRIM(F472&amp;"")="","NULL","(SELECT lo.id FROM gen_lista_opciones lo JOIN gen_lista l ON l.id = lo.id_lista WHERE l.nombre = 'PropietarioBalon' AND upper(lo.nombre) = upper('"&amp;SUBSTITUTE(TRIM(F472),"'","''")&amp;"') AND lo.estado = 1 LIMIT 1)")&amp;", p_id_cliente_propietario =&gt; "&amp;IF(F472="CLIENTE",IF(TRIM(G472&amp;"")="","NULL","(SELECT id FROM cli_clientes WHERE numero_documento = '"&amp;SUBSTITUTE(TRIM(G472),"'","''")&amp;"' AND estado = 1 LIMIT 1)"),"NULL")&amp;", p_id_planta =&gt; "&amp;IF(F472="PLANTA",IF(TRIM(G472&amp;"")="","NULL","(SELECT id FROM cli_clientes WHERE numero_documento = '"&amp;SUBSTITUTE(TRIM(G472),"'","''")&amp;"'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"&amp;IF(TRIM(J472&amp;"")="","NULL","(SELECT id FROM gen_almacen WHERE upper(nombre) = upper('"&amp;SUBSTITUTE(TRIM(J472),"'","''")&amp;"') AND estado = 1 LIMIT 1)")&amp;", p_id_cliente_ubicacion =&gt; "&amp;IF(TRIM(K472&amp;"")="","NULL","(SELECT id FROM cli_clientes WHERE numero_documento = '"&amp;SUBSTITUTE(TRIM(K472),"'","''")&amp;"' AND estado = 1 LIMIT 1)")&amp;", p_id_referencia =&gt; "&amp;IF(TRIM(J472&amp;"")&lt;&gt;"","(SELECT lo.id FROM gen_lista_opciones lo JOIN gen_lista l ON l.id = lo.id_lista WHERE l.nombre = 'ReferenciaCilindro' AND upper(lo.nombre) = 'ALMACEN' AND lo.estado = 1 LIMIT 1)",IF(TRIM(K472&amp;"")&lt;&gt;"","(SELECT lo.id FROM gen_lista_opciones lo JOIN gen_lista l ON l.id = lo.id_lista WHERE l.nombre = 'ReferenciaCilindro' AND upper(lo.nombre) = 'CLIENTE' AND lo.estado = 1 LIMIT 1)","NULL"))&amp;", p_anio_fabricacion =&gt; "&amp;IF(M472&amp;""="","NULL::smallint",M472&amp;"::smallint")&amp;", p_mes_fabricacion =&gt; "&amp;IF(N472&amp;""="","NULL::smallint",N472&amp;"::smallint")&amp;", p_fecha_ultima_prueba_hidrostatica =&gt; "&amp;IF(O472&amp;""="","NULL","'"&amp;YEAR(O472)&amp;"-"&amp;TEXT(MONTH(O472),"00")&amp;"-"&amp;TEXT(DAY(O472),"00")&amp;"'")&amp;", p_numero_serie =&gt; "&amp;IF(TRIM(Q472&amp;"")="","NULL","'"&amp;SUBSTITUTE(TRIM(Q472),"'","''")&amp;"'")&amp;", p_id_marca_cilindro =&gt; "&amp;IF(TRIM(R472&amp;"")="","NULL","(SELECT lo.id FROM gen_lista_opciones lo JOIN gen_lista l ON l.id = lo.id_lista WHERE l.nombre = 'MarcaCilindro' AND upper(lo.nombre) = upper('"&amp;SUBSTITUTE(TRIM(R472),"'","''")&amp;"') AND lo.estado = 1 LIMIT 1)")&amp;", p_id_organo_inspector =&gt; "&amp;IF(TRIM(S472&amp;"")="","NULL","(SELECT lo.id FROM gen_lista_opciones lo JOIN gen_lista l ON l.id = lo.id_lista WHERE l.nombre = 'OrganoInspectorCilindro' AND upper(lo.nombre) = upper('"&amp;SUBSTITUTE(TRIM(S472),"'","''")&amp;"') AND lo.estado = 1 LIMIT 1)")&amp;", p_organo_inspector_no_aplica =&gt; "&amp;IF(S472="NO_APLICA","TRUE","FALSE")&amp;", p_presion_actual =&gt; "&amp;IF(T472&amp;""="","NULL",SUBSTITUTE(T472&amp;"",",","."))&amp;", p_tipo_valvula =&gt; "&amp;IF(TRIM(U472&amp;"")="","NULL","'"&amp;SUBSTITUTE(TRIM(U472),"'","''")&amp;"'")&amp;", p_libro_cilindro =&gt; "&amp;IF(TRIM(V472&amp;"")="","NULL","'"&amp;SUBSTITUTE(TRIM(V472),"'","''")&amp;"'")&amp;", p_pagina_libro =&gt; "&amp;IF(W472&amp;""="","NULL",SUBSTITUTE(W472&amp;"",",","."))&amp;", p_observacion =&gt; "&amp;IF(TRIM(X472&amp;"")="","NULL","'"&amp;SUBSTITUTE(TRIM(X472),"'","''")&amp;"'")&amp;") AS resultado_balon_"&amp;ROW()&amp;";")</f>
        <v/>
      </c>
    </row>
    <row r="473" ht="15.75" customHeight="1" s="64">
      <c r="A473" s="36" t="inlineStr">
        <is>
          <t>469</t>
        </is>
      </c>
      <c r="B473" s="25">
        <f>IF(AND(C473="",D473="",E473=""),"",IF(C473="","FALTA código balón",IF(D473="","FALTA tipo balón",IF(E473="","FALTA gas",IF(F473="","FALTA propietario",IF(AND(C473&lt;&gt;"",SUMPRODUCT(--($C$5:$C$1200=C473))&gt;1),"CÓDIGO BALÓN DUPLICADO",IF(AND(OR(UPPER(F473)="PLANTA",UPPER(F473)="CLIENTE"),G473=""),"FALTA doc propietario/planta",IF(AND(UPPER(F473)="PLANTA",G473="10175332796"),"PLANTA no puede ser RUC empresa","OK"))))))))</f>
        <v/>
      </c>
      <c r="C473" s="23" t="inlineStr">
        <is>
          <t>K4860088</t>
        </is>
      </c>
      <c r="D473" s="17" t="inlineStr">
        <is>
          <t>Oxígeno Medicinal 10 m³</t>
        </is>
      </c>
      <c r="E473" s="17" t="inlineStr">
        <is>
          <t>OXIGENO MEDICINAL</t>
        </is>
      </c>
      <c r="F473" s="17" t="inlineStr">
        <is>
          <t>EMPRESA</t>
        </is>
      </c>
      <c r="G473" s="23" t="inlineStr">
        <is>
          <t>10175332796</t>
        </is>
      </c>
      <c r="H473" s="25">
        <f t="array" ref="H473">IF(G473="","",IFERROR(IF(INDEX(Clientes!$D$5:$D$549,MATCH(G473,Clientes!$C$5:$C$549,0))&lt;&gt;"",INDEX(Clientes!$D$5:$D$549,MATCH(G473,Clientes!$C$5:$C$549,0)),TRIM(INDEX(Clientes!$E$5:$E$549,MATCH(G473,Clientes!$C$5:$C$549,0))&amp;" "&amp;INDEX(Clientes!$F$5:$F$549,MATCH(G473,Clientes!$C$5:$C$549,0)))),"NO EXISTE en Clientes"))</f>
        <v/>
      </c>
      <c r="I473" s="17" t="inlineStr">
        <is>
          <t>EN_PODER_CLIENTE</t>
        </is>
      </c>
      <c r="J473" s="17" t="n"/>
      <c r="K473" s="23" t="inlineStr">
        <is>
          <t>29268940</t>
        </is>
      </c>
      <c r="L473" s="25">
        <f t="array" ref="L473">IF(K473="","",IFERROR(IF(INDEX(Clientes!$D$5:$D$549,MATCH(K473,Clientes!$C$5:$C$549,0))&lt;&gt;"",INDEX(Clientes!$D$5:$D$549,MATCH(K473,Clientes!$C$5:$C$549,0)),TRIM(INDEX(Clientes!$E$5:$E$549,MATCH(K473,Clientes!$C$5:$C$549,0))&amp;" "&amp;INDEX(Clientes!$F$5:$F$549,MATCH(K473,Clientes!$C$5:$C$549,0)))),"NO EXISTE en Clientes"))</f>
        <v/>
      </c>
      <c r="M473" s="17" t="n"/>
      <c r="N473" s="17" t="n"/>
      <c r="O473" s="42" t="n"/>
      <c r="P473" s="39">
        <f>IF(O473&lt;&gt;"",DATE(YEAR(O473)+5,MONTH(O473),1),IF(AND(M473&lt;&gt;"",N473&lt;&gt;""),DATE(M473+5,N473,1),""))</f>
        <v/>
      </c>
      <c r="Q473" s="23" t="n"/>
      <c r="R473" s="17" t="n"/>
      <c r="S473" s="17" t="n"/>
      <c r="T473" s="17" t="n"/>
      <c r="U473" s="17" t="n"/>
      <c r="V473" s="23" t="n"/>
      <c r="W473" s="17" t="n"/>
      <c r="X473" s="17" t="n"/>
      <c r="Y473" s="28">
        <f>IF(B473&lt;&gt;"OK","","SELECT bal_crear_balon(p_codigo_balon =&gt; "&amp;IF(TRIM(C473&amp;"")="","NULL","'"&amp;SUBSTITUTE(TRIM(C473),"'","''")&amp;"'")&amp;", p_id_tipo_balon =&gt; "&amp;"(SELECT id FROM bal_tipo_balon WHERE upper(nombre) = upper('"&amp;SUBSTITUTE(TRIM(D473),"'","''")&amp;"') AND estado = 1 LIMIT 1)"&amp;", p_id_producto_gas =&gt; "&amp;"(SELECT id FROM pro_producto WHERE es_gas = TRUE AND upper(nombre) = upper('"&amp;SUBSTITUTE(TRIM(E473),"'","''")&amp;"') AND estado = 1 LIMIT 1)"&amp;", p_id_propietario =&gt; "&amp;IF(TRIM(F473&amp;"")="","NULL","(SELECT lo.id FROM gen_lista_opciones lo JOIN gen_lista l ON l.id = lo.id_lista WHERE l.nombre = 'PropietarioBalon' AND upper(lo.nombre) = upper('"&amp;SUBSTITUTE(TRIM(F473),"'","''")&amp;"') AND lo.estado = 1 LIMIT 1)")&amp;", p_id_cliente_propietario =&gt; "&amp;IF(F473="CLIENTE",IF(TRIM(G473&amp;"")="","NULL","(SELECT id FROM cli_clientes WHERE numero_documento = '"&amp;SUBSTITUTE(TRIM(G473),"'","''")&amp;"' AND estado = 1 LIMIT 1)"),"NULL")&amp;", p_id_planta =&gt; "&amp;IF(F473="PLANTA",IF(TRIM(G473&amp;"")="","NULL","(SELECT id FROM cli_clientes WHERE numero_documento = '"&amp;SUBSTITUTE(TRIM(G473),"'","''")&amp;"'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"&amp;IF(TRIM(J473&amp;"")="","NULL","(SELECT id FROM gen_almacen WHERE upper(nombre) = upper('"&amp;SUBSTITUTE(TRIM(J473),"'","''")&amp;"') AND estado = 1 LIMIT 1)")&amp;", p_id_cliente_ubicacion =&gt; "&amp;IF(TRIM(K473&amp;"")="","NULL","(SELECT id FROM cli_clientes WHERE numero_documento = '"&amp;SUBSTITUTE(TRIM(K473),"'","''")&amp;"' AND estado = 1 LIMIT 1)")&amp;", p_id_referencia =&gt; "&amp;IF(TRIM(J473&amp;"")&lt;&gt;"","(SELECT lo.id FROM gen_lista_opciones lo JOIN gen_lista l ON l.id = lo.id_lista WHERE l.nombre = 'ReferenciaCilindro' AND upper(lo.nombre) = 'ALMACEN' AND lo.estado = 1 LIMIT 1)",IF(TRIM(K473&amp;"")&lt;&gt;"","(SELECT lo.id FROM gen_lista_opciones lo JOIN gen_lista l ON l.id = lo.id_lista WHERE l.nombre = 'ReferenciaCilindro' AND upper(lo.nombre) = 'CLIENTE' AND lo.estado = 1 LIMIT 1)","NULL"))&amp;", p_anio_fabricacion =&gt; "&amp;IF(M473&amp;""="","NULL::smallint",M473&amp;"::smallint")&amp;", p_mes_fabricacion =&gt; "&amp;IF(N473&amp;""="","NULL::smallint",N473&amp;"::smallint")&amp;", p_fecha_ultima_prueba_hidrostatica =&gt; "&amp;IF(O473&amp;""="","NULL","'"&amp;YEAR(O473)&amp;"-"&amp;TEXT(MONTH(O473),"00")&amp;"-"&amp;TEXT(DAY(O473),"00")&amp;"'")&amp;", p_numero_serie =&gt; "&amp;IF(TRIM(Q473&amp;"")="","NULL","'"&amp;SUBSTITUTE(TRIM(Q473),"'","''")&amp;"'")&amp;", p_id_marca_cilindro =&gt; "&amp;IF(TRIM(R473&amp;"")="","NULL","(SELECT lo.id FROM gen_lista_opciones lo JOIN gen_lista l ON l.id = lo.id_lista WHERE l.nombre = 'MarcaCilindro' AND upper(lo.nombre) = upper('"&amp;SUBSTITUTE(TRIM(R473),"'","''")&amp;"') AND lo.estado = 1 LIMIT 1)")&amp;", p_id_organo_inspector =&gt; "&amp;IF(TRIM(S473&amp;"")="","NULL","(SELECT lo.id FROM gen_lista_opciones lo JOIN gen_lista l ON l.id = lo.id_lista WHERE l.nombre = 'OrganoInspectorCilindro' AND upper(lo.nombre) = upper('"&amp;SUBSTITUTE(TRIM(S473),"'","''")&amp;"') AND lo.estado = 1 LIMIT 1)")&amp;", p_organo_inspector_no_aplica =&gt; "&amp;IF(S473="NO_APLICA","TRUE","FALSE")&amp;", p_presion_actual =&gt; "&amp;IF(T473&amp;""="","NULL",SUBSTITUTE(T473&amp;"",",","."))&amp;", p_tipo_valvula =&gt; "&amp;IF(TRIM(U473&amp;"")="","NULL","'"&amp;SUBSTITUTE(TRIM(U473),"'","''")&amp;"'")&amp;", p_libro_cilindro =&gt; "&amp;IF(TRIM(V473&amp;"")="","NULL","'"&amp;SUBSTITUTE(TRIM(V473),"'","''")&amp;"'")&amp;", p_pagina_libro =&gt; "&amp;IF(W473&amp;""="","NULL",SUBSTITUTE(W473&amp;"",",","."))&amp;", p_observacion =&gt; "&amp;IF(TRIM(X473&amp;"")="","NULL","'"&amp;SUBSTITUTE(TRIM(X473),"'","''")&amp;"'")&amp;") AS resultado_balon_"&amp;ROW()&amp;";")</f>
        <v/>
      </c>
    </row>
    <row r="474" ht="15.75" customHeight="1" s="64">
      <c r="A474" s="36" t="inlineStr">
        <is>
          <t>470</t>
        </is>
      </c>
      <c r="B474" s="25">
        <f>IF(AND(C474="",D474="",E474=""),"",IF(C474="","FALTA código balón",IF(D474="","FALTA tipo balón",IF(E474="","FALTA gas",IF(F474="","FALTA propietario",IF(AND(C474&lt;&gt;"",SUMPRODUCT(--($C$5:$C$1200=C474))&gt;1),"CÓDIGO BALÓN DUPLICADO",IF(AND(OR(UPPER(F474)="PLANTA",UPPER(F474)="CLIENTE"),G474=""),"FALTA doc propietario/planta",IF(AND(UPPER(F474)="PLANTA",G474="10175332796"),"PLANTA no puede ser RUC empresa","OK"))))))))</f>
        <v/>
      </c>
      <c r="C474" s="23" t="inlineStr">
        <is>
          <t>21K024089</t>
        </is>
      </c>
      <c r="D474" s="17" t="inlineStr">
        <is>
          <t>Oxígeno Industrial 10 m³</t>
        </is>
      </c>
      <c r="E474" s="17" t="inlineStr">
        <is>
          <t>OXIGENO INDUSTRIAL</t>
        </is>
      </c>
      <c r="F474" s="17" t="inlineStr">
        <is>
          <t>EMPRESA</t>
        </is>
      </c>
      <c r="G474" s="23" t="inlineStr">
        <is>
          <t>10175332796</t>
        </is>
      </c>
      <c r="H474" s="25">
        <f t="array" ref="H474">IF(G474="","",IFERROR(IF(INDEX(Clientes!$D$5:$D$549,MATCH(G474,Clientes!$C$5:$C$549,0))&lt;&gt;"",INDEX(Clientes!$D$5:$D$549,MATCH(G474,Clientes!$C$5:$C$549,0)),TRIM(INDEX(Clientes!$E$5:$E$549,MATCH(G474,Clientes!$C$5:$C$549,0))&amp;" "&amp;INDEX(Clientes!$F$5:$F$549,MATCH(G474,Clientes!$C$5:$C$549,0)))),"NO EXISTE en Clientes"))</f>
        <v/>
      </c>
      <c r="I474" s="17" t="inlineStr">
        <is>
          <t>EN_PODER_CLIENTE</t>
        </is>
      </c>
      <c r="J474" s="17" t="n"/>
      <c r="K474" s="23" t="inlineStr">
        <is>
          <t>000040</t>
        </is>
      </c>
      <c r="L474" s="25">
        <f t="array" ref="L474">IF(K474="","",IFERROR(IF(INDEX(Clientes!$D$5:$D$549,MATCH(K474,Clientes!$C$5:$C$549,0))&lt;&gt;"",INDEX(Clientes!$D$5:$D$549,MATCH(K474,Clientes!$C$5:$C$549,0)),TRIM(INDEX(Clientes!$E$5:$E$549,MATCH(K474,Clientes!$C$5:$C$549,0))&amp;" "&amp;INDEX(Clientes!$F$5:$F$549,MATCH(K474,Clientes!$C$5:$C$549,0)))),"NO EXISTE en Clientes"))</f>
        <v/>
      </c>
      <c r="M474" s="17" t="n"/>
      <c r="N474" s="17" t="n"/>
      <c r="O474" s="42" t="n"/>
      <c r="P474" s="39">
        <f>IF(O474&lt;&gt;"",DATE(YEAR(O474)+5,MONTH(O474),1),IF(AND(M474&lt;&gt;"",N474&lt;&gt;""),DATE(M474+5,N474,1),""))</f>
        <v/>
      </c>
      <c r="Q474" s="23" t="n"/>
      <c r="R474" s="17" t="n"/>
      <c r="S474" s="17" t="n"/>
      <c r="T474" s="17" t="n"/>
      <c r="U474" s="17" t="n"/>
      <c r="V474" s="23" t="n"/>
      <c r="W474" s="17" t="n"/>
      <c r="X474" s="17" t="n"/>
      <c r="Y474" s="28">
        <f>IF(B474&lt;&gt;"OK","","SELECT bal_crear_balon(p_codigo_balon =&gt; "&amp;IF(TRIM(C474&amp;"")="","NULL","'"&amp;SUBSTITUTE(TRIM(C474),"'","''")&amp;"'")&amp;", p_id_tipo_balon =&gt; "&amp;"(SELECT id FROM bal_tipo_balon WHERE upper(nombre) = upper('"&amp;SUBSTITUTE(TRIM(D474),"'","''")&amp;"') AND estado = 1 LIMIT 1)"&amp;", p_id_producto_gas =&gt; "&amp;"(SELECT id FROM pro_producto WHERE es_gas = TRUE AND upper(nombre) = upper('"&amp;SUBSTITUTE(TRIM(E474),"'","''")&amp;"') AND estado = 1 LIMIT 1)"&amp;", p_id_propietario =&gt; "&amp;IF(TRIM(F474&amp;"")="","NULL","(SELECT lo.id FROM gen_lista_opciones lo JOIN gen_lista l ON l.id = lo.id_lista WHERE l.nombre = 'PropietarioBalon' AND upper(lo.nombre) = upper('"&amp;SUBSTITUTE(TRIM(F474),"'","''")&amp;"') AND lo.estado = 1 LIMIT 1)")&amp;", p_id_cliente_propietario =&gt; "&amp;IF(F474="CLIENTE",IF(TRIM(G474&amp;"")="","NULL","(SELECT id FROM cli_clientes WHERE numero_documento = '"&amp;SUBSTITUTE(TRIM(G474),"'","''")&amp;"' AND estado = 1 LIMIT 1)"),"NULL")&amp;", p_id_planta =&gt; "&amp;IF(F474="PLANTA",IF(TRIM(G474&amp;"")="","NULL","(SELECT id FROM cli_clientes WHERE numero_documento = '"&amp;SUBSTITUTE(TRIM(G474),"'","''")&amp;"'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"&amp;IF(TRIM(J474&amp;"")="","NULL","(SELECT id FROM gen_almacen WHERE upper(nombre) = upper('"&amp;SUBSTITUTE(TRIM(J474),"'","''")&amp;"') AND estado = 1 LIMIT 1)")&amp;", p_id_cliente_ubicacion =&gt; "&amp;IF(TRIM(K474&amp;"")="","NULL","(SELECT id FROM cli_clientes WHERE numero_documento = '"&amp;SUBSTITUTE(TRIM(K474),"'","''")&amp;"' AND estado = 1 LIMIT 1)")&amp;", p_id_referencia =&gt; "&amp;IF(TRIM(J474&amp;"")&lt;&gt;"","(SELECT lo.id FROM gen_lista_opciones lo JOIN gen_lista l ON l.id = lo.id_lista WHERE l.nombre = 'ReferenciaCilindro' AND upper(lo.nombre) = 'ALMACEN' AND lo.estado = 1 LIMIT 1)",IF(TRIM(K474&amp;"")&lt;&gt;"","(SELECT lo.id FROM gen_lista_opciones lo JOIN gen_lista l ON l.id = lo.id_lista WHERE l.nombre = 'ReferenciaCilindro' AND upper(lo.nombre) = 'CLIENTE' AND lo.estado = 1 LIMIT 1)","NULL"))&amp;", p_anio_fabricacion =&gt; "&amp;IF(M474&amp;""="","NULL::smallint",M474&amp;"::smallint")&amp;", p_mes_fabricacion =&gt; "&amp;IF(N474&amp;""="","NULL::smallint",N474&amp;"::smallint")&amp;", p_fecha_ultima_prueba_hidrostatica =&gt; "&amp;IF(O474&amp;""="","NULL","'"&amp;YEAR(O474)&amp;"-"&amp;TEXT(MONTH(O474),"00")&amp;"-"&amp;TEXT(DAY(O474),"00")&amp;"'")&amp;", p_numero_serie =&gt; "&amp;IF(TRIM(Q474&amp;"")="","NULL","'"&amp;SUBSTITUTE(TRIM(Q474),"'","''")&amp;"'")&amp;", p_id_marca_cilindro =&gt; "&amp;IF(TRIM(R474&amp;"")="","NULL","(SELECT lo.id FROM gen_lista_opciones lo JOIN gen_lista l ON l.id = lo.id_lista WHERE l.nombre = 'MarcaCilindro' AND upper(lo.nombre) = upper('"&amp;SUBSTITUTE(TRIM(R474),"'","''")&amp;"') AND lo.estado = 1 LIMIT 1)")&amp;", p_id_organo_inspector =&gt; "&amp;IF(TRIM(S474&amp;"")="","NULL","(SELECT lo.id FROM gen_lista_opciones lo JOIN gen_lista l ON l.id = lo.id_lista WHERE l.nombre = 'OrganoInspectorCilindro' AND upper(lo.nombre) = upper('"&amp;SUBSTITUTE(TRIM(S474),"'","''")&amp;"') AND lo.estado = 1 LIMIT 1)")&amp;", p_organo_inspector_no_aplica =&gt; "&amp;IF(S474="NO_APLICA","TRUE","FALSE")&amp;", p_presion_actual =&gt; "&amp;IF(T474&amp;""="","NULL",SUBSTITUTE(T474&amp;"",",","."))&amp;", p_tipo_valvula =&gt; "&amp;IF(TRIM(U474&amp;"")="","NULL","'"&amp;SUBSTITUTE(TRIM(U474),"'","''")&amp;"'")&amp;", p_libro_cilindro =&gt; "&amp;IF(TRIM(V474&amp;"")="","NULL","'"&amp;SUBSTITUTE(TRIM(V474),"'","''")&amp;"'")&amp;", p_pagina_libro =&gt; "&amp;IF(W474&amp;""="","NULL",SUBSTITUTE(W474&amp;"",",","."))&amp;", p_observacion =&gt; "&amp;IF(TRIM(X474&amp;"")="","NULL","'"&amp;SUBSTITUTE(TRIM(X474),"'","''")&amp;"'")&amp;") AS resultado_balon_"&amp;ROW()&amp;";")</f>
        <v/>
      </c>
    </row>
    <row r="475" ht="15.75" customHeight="1" s="64">
      <c r="A475" s="36" t="inlineStr">
        <is>
          <t>471</t>
        </is>
      </c>
      <c r="B475" s="25">
        <f>IF(AND(C475="",D475="",E475=""),"",IF(C475="","FALTA código balón",IF(D475="","FALTA tipo balón",IF(E475="","FALTA gas",IF(F475="","FALTA propietario",IF(AND(C475&lt;&gt;"",SUMPRODUCT(--($C$5:$C$1200=C475))&gt;1),"CÓDIGO BALÓN DUPLICADO",IF(AND(OR(UPPER(F475)="PLANTA",UPPER(F475)="CLIENTE"),G475=""),"FALTA doc propietario/planta",IF(AND(UPPER(F475)="PLANTA",G475="10175332796"),"PLANTA no puede ser RUC empresa","OK"))))))))</f>
        <v/>
      </c>
      <c r="C475" s="23" t="inlineStr">
        <is>
          <t>20K454202</t>
        </is>
      </c>
      <c r="D475" s="17" t="inlineStr">
        <is>
          <t>Oxígeno Industrial 10 m³</t>
        </is>
      </c>
      <c r="E475" s="17" t="inlineStr">
        <is>
          <t>OXIGENO INDUSTRIAL</t>
        </is>
      </c>
      <c r="F475" s="17" t="inlineStr">
        <is>
          <t>EMPRESA</t>
        </is>
      </c>
      <c r="G475" s="23" t="inlineStr">
        <is>
          <t>10175332796</t>
        </is>
      </c>
      <c r="H475" s="25">
        <f t="array" ref="H475">IF(G475="","",IFERROR(IF(INDEX(Clientes!$D$5:$D$549,MATCH(G475,Clientes!$C$5:$C$549,0))&lt;&gt;"",INDEX(Clientes!$D$5:$D$549,MATCH(G475,Clientes!$C$5:$C$549,0)),TRIM(INDEX(Clientes!$E$5:$E$549,MATCH(G475,Clientes!$C$5:$C$549,0))&amp;" "&amp;INDEX(Clientes!$F$5:$F$549,MATCH(G475,Clientes!$C$5:$C$549,0)))),"NO EXISTE en Clientes"))</f>
        <v/>
      </c>
      <c r="I475" s="17" t="inlineStr">
        <is>
          <t>EN_PODER_CLIENTE</t>
        </is>
      </c>
      <c r="J475" s="17" t="n"/>
      <c r="K475" s="23" t="inlineStr">
        <is>
          <t>20523386469</t>
        </is>
      </c>
      <c r="L475" s="25">
        <f t="array" ref="L475">IF(K475="","",IFERROR(IF(INDEX(Clientes!$D$5:$D$549,MATCH(K475,Clientes!$C$5:$C$549,0))&lt;&gt;"",INDEX(Clientes!$D$5:$D$549,MATCH(K475,Clientes!$C$5:$C$549,0)),TRIM(INDEX(Clientes!$E$5:$E$549,MATCH(K475,Clientes!$C$5:$C$549,0))&amp;" "&amp;INDEX(Clientes!$F$5:$F$549,MATCH(K475,Clientes!$C$5:$C$549,0)))),"NO EXISTE en Clientes"))</f>
        <v/>
      </c>
      <c r="M475" s="17" t="n"/>
      <c r="N475" s="17" t="n"/>
      <c r="O475" s="42" t="n"/>
      <c r="P475" s="39">
        <f>IF(O475&lt;&gt;"",DATE(YEAR(O475)+5,MONTH(O475),1),IF(AND(M475&lt;&gt;"",N475&lt;&gt;""),DATE(M475+5,N475,1),""))</f>
        <v/>
      </c>
      <c r="Q475" s="23" t="n"/>
      <c r="R475" s="17" t="n"/>
      <c r="S475" s="17" t="n"/>
      <c r="T475" s="17" t="n"/>
      <c r="U475" s="17" t="n"/>
      <c r="V475" s="23" t="n"/>
      <c r="W475" s="17" t="n"/>
      <c r="X475" s="17" t="n"/>
      <c r="Y475" s="28">
        <f>IF(B475&lt;&gt;"OK","","SELECT bal_crear_balon(p_codigo_balon =&gt; "&amp;IF(TRIM(C475&amp;"")="","NULL","'"&amp;SUBSTITUTE(TRIM(C475),"'","''")&amp;"'")&amp;", p_id_tipo_balon =&gt; "&amp;"(SELECT id FROM bal_tipo_balon WHERE upper(nombre) = upper('"&amp;SUBSTITUTE(TRIM(D475),"'","''")&amp;"') AND estado = 1 LIMIT 1)"&amp;", p_id_producto_gas =&gt; "&amp;"(SELECT id FROM pro_producto WHERE es_gas = TRUE AND upper(nombre) = upper('"&amp;SUBSTITUTE(TRIM(E475),"'","''")&amp;"') AND estado = 1 LIMIT 1)"&amp;", p_id_propietario =&gt; "&amp;IF(TRIM(F475&amp;"")="","NULL","(SELECT lo.id FROM gen_lista_opciones lo JOIN gen_lista l ON l.id = lo.id_lista WHERE l.nombre = 'PropietarioBalon' AND upper(lo.nombre) = upper('"&amp;SUBSTITUTE(TRIM(F475),"'","''")&amp;"') AND lo.estado = 1 LIMIT 1)")&amp;", p_id_cliente_propietario =&gt; "&amp;IF(F475="CLIENTE",IF(TRIM(G475&amp;"")="","NULL","(SELECT id FROM cli_clientes WHERE numero_documento = '"&amp;SUBSTITUTE(TRIM(G475),"'","''")&amp;"' AND estado = 1 LIMIT 1)"),"NULL")&amp;", p_id_planta =&gt; "&amp;IF(F475="PLANTA",IF(TRIM(G475&amp;"")="","NULL","(SELECT id FROM cli_clientes WHERE numero_documento = '"&amp;SUBSTITUTE(TRIM(G475),"'","''")&amp;"'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"&amp;IF(TRIM(J475&amp;"")="","NULL","(SELECT id FROM gen_almacen WHERE upper(nombre) = upper('"&amp;SUBSTITUTE(TRIM(J475),"'","''")&amp;"') AND estado = 1 LIMIT 1)")&amp;", p_id_cliente_ubicacion =&gt; "&amp;IF(TRIM(K475&amp;"")="","NULL","(SELECT id FROM cli_clientes WHERE numero_documento = '"&amp;SUBSTITUTE(TRIM(K475),"'","''")&amp;"' AND estado = 1 LIMIT 1)")&amp;", p_id_referencia =&gt; "&amp;IF(TRIM(J475&amp;"")&lt;&gt;"","(SELECT lo.id FROM gen_lista_opciones lo JOIN gen_lista l ON l.id = lo.id_lista WHERE l.nombre = 'ReferenciaCilindro' AND upper(lo.nombre) = 'ALMACEN' AND lo.estado = 1 LIMIT 1)",IF(TRIM(K475&amp;"")&lt;&gt;"","(SELECT lo.id FROM gen_lista_opciones lo JOIN gen_lista l ON l.id = lo.id_lista WHERE l.nombre = 'ReferenciaCilindro' AND upper(lo.nombre) = 'CLIENTE' AND lo.estado = 1 LIMIT 1)","NULL"))&amp;", p_anio_fabricacion =&gt; "&amp;IF(M475&amp;""="","NULL::smallint",M475&amp;"::smallint")&amp;", p_mes_fabricacion =&gt; "&amp;IF(N475&amp;""="","NULL::smallint",N475&amp;"::smallint")&amp;", p_fecha_ultima_prueba_hidrostatica =&gt; "&amp;IF(O475&amp;""="","NULL","'"&amp;YEAR(O475)&amp;"-"&amp;TEXT(MONTH(O475),"00")&amp;"-"&amp;TEXT(DAY(O475),"00")&amp;"'")&amp;", p_numero_serie =&gt; "&amp;IF(TRIM(Q475&amp;"")="","NULL","'"&amp;SUBSTITUTE(TRIM(Q475),"'","''")&amp;"'")&amp;", p_id_marca_cilindro =&gt; "&amp;IF(TRIM(R475&amp;"")="","NULL","(SELECT lo.id FROM gen_lista_opciones lo JOIN gen_lista l ON l.id = lo.id_lista WHERE l.nombre = 'MarcaCilindro' AND upper(lo.nombre) = upper('"&amp;SUBSTITUTE(TRIM(R475),"'","''")&amp;"') AND lo.estado = 1 LIMIT 1)")&amp;", p_id_organo_inspector =&gt; "&amp;IF(TRIM(S475&amp;"")="","NULL","(SELECT lo.id FROM gen_lista_opciones lo JOIN gen_lista l ON l.id = lo.id_lista WHERE l.nombre = 'OrganoInspectorCilindro' AND upper(lo.nombre) = upper('"&amp;SUBSTITUTE(TRIM(S475),"'","''")&amp;"') AND lo.estado = 1 LIMIT 1)")&amp;", p_organo_inspector_no_aplica =&gt; "&amp;IF(S475="NO_APLICA","TRUE","FALSE")&amp;", p_presion_actual =&gt; "&amp;IF(T475&amp;""="","NULL",SUBSTITUTE(T475&amp;"",",","."))&amp;", p_tipo_valvula =&gt; "&amp;IF(TRIM(U475&amp;"")="","NULL","'"&amp;SUBSTITUTE(TRIM(U475),"'","''")&amp;"'")&amp;", p_libro_cilindro =&gt; "&amp;IF(TRIM(V475&amp;"")="","NULL","'"&amp;SUBSTITUTE(TRIM(V475),"'","''")&amp;"'")&amp;", p_pagina_libro =&gt; "&amp;IF(W475&amp;""="","NULL",SUBSTITUTE(W475&amp;"",",","."))&amp;", p_observacion =&gt; "&amp;IF(TRIM(X475&amp;"")="","NULL","'"&amp;SUBSTITUTE(TRIM(X475),"'","''")&amp;"'")&amp;") AS resultado_balon_"&amp;ROW()&amp;";")</f>
        <v/>
      </c>
    </row>
    <row r="476" ht="15.75" customHeight="1" s="64">
      <c r="A476" s="36" t="inlineStr">
        <is>
          <t>472</t>
        </is>
      </c>
      <c r="B476" s="25">
        <f>IF(AND(C476="",D476="",E476=""),"",IF(C476="","FALTA código balón",IF(D476="","FALTA tipo balón",IF(E476="","FALTA gas",IF(F476="","FALTA propietario",IF(AND(C476&lt;&gt;"",SUMPRODUCT(--($C$5:$C$1200=C476))&gt;1),"CÓDIGO BALÓN DUPLICADO",IF(AND(OR(UPPER(F476)="PLANTA",UPPER(F476)="CLIENTE"),G476=""),"FALTA doc propietario/planta",IF(AND(UPPER(F476)="PLANTA",G476="10175332796"),"PLANTA no puede ser RUC empresa","OK"))))))))</f>
        <v/>
      </c>
      <c r="C476" s="23" t="inlineStr">
        <is>
          <t>K4853076</t>
        </is>
      </c>
      <c r="D476" s="17" t="inlineStr">
        <is>
          <t>Oxígeno Industrial 10 m³</t>
        </is>
      </c>
      <c r="E476" s="17" t="inlineStr">
        <is>
          <t>OXIGENO INDUSTRIAL</t>
        </is>
      </c>
      <c r="F476" s="17" t="inlineStr">
        <is>
          <t>EMPRESA</t>
        </is>
      </c>
      <c r="G476" s="23" t="inlineStr">
        <is>
          <t>10175332796</t>
        </is>
      </c>
      <c r="H476" s="25">
        <f t="array" ref="H476">IF(G476="","",IFERROR(IF(INDEX(Clientes!$D$5:$D$549,MATCH(G476,Clientes!$C$5:$C$549,0))&lt;&gt;"",INDEX(Clientes!$D$5:$D$549,MATCH(G476,Clientes!$C$5:$C$549,0)),TRIM(INDEX(Clientes!$E$5:$E$549,MATCH(G476,Clientes!$C$5:$C$549,0))&amp;" "&amp;INDEX(Clientes!$F$5:$F$549,MATCH(G476,Clientes!$C$5:$C$549,0)))),"NO EXISTE en Clientes"))</f>
        <v/>
      </c>
      <c r="I476" s="17" t="inlineStr">
        <is>
          <t>EN_PODER_CLIENTE</t>
        </is>
      </c>
      <c r="J476" s="17" t="n"/>
      <c r="K476" s="23" t="inlineStr">
        <is>
          <t>20523386469</t>
        </is>
      </c>
      <c r="L476" s="25">
        <f t="array" ref="L476">IF(K476="","",IFERROR(IF(INDEX(Clientes!$D$5:$D$549,MATCH(K476,Clientes!$C$5:$C$549,0))&lt;&gt;"",INDEX(Clientes!$D$5:$D$549,MATCH(K476,Clientes!$C$5:$C$549,0)),TRIM(INDEX(Clientes!$E$5:$E$549,MATCH(K476,Clientes!$C$5:$C$549,0))&amp;" "&amp;INDEX(Clientes!$F$5:$F$549,MATCH(K476,Clientes!$C$5:$C$549,0)))),"NO EXISTE en Clientes"))</f>
        <v/>
      </c>
      <c r="M476" s="17" t="n"/>
      <c r="N476" s="17" t="n"/>
      <c r="O476" s="42" t="n"/>
      <c r="P476" s="39">
        <f>IF(O476&lt;&gt;"",DATE(YEAR(O476)+5,MONTH(O476),1),IF(AND(M476&lt;&gt;"",N476&lt;&gt;""),DATE(M476+5,N476,1),""))</f>
        <v/>
      </c>
      <c r="Q476" s="23" t="n"/>
      <c r="R476" s="17" t="n"/>
      <c r="S476" s="17" t="n"/>
      <c r="T476" s="17" t="n"/>
      <c r="U476" s="17" t="n"/>
      <c r="V476" s="23" t="n"/>
      <c r="W476" s="17" t="n"/>
      <c r="X476" s="17" t="n"/>
      <c r="Y476" s="28">
        <f>IF(B476&lt;&gt;"OK","","SELECT bal_crear_balon(p_codigo_balon =&gt; "&amp;IF(TRIM(C476&amp;"")="","NULL","'"&amp;SUBSTITUTE(TRIM(C476),"'","''")&amp;"'")&amp;", p_id_tipo_balon =&gt; "&amp;"(SELECT id FROM bal_tipo_balon WHERE upper(nombre) = upper('"&amp;SUBSTITUTE(TRIM(D476),"'","''")&amp;"') AND estado = 1 LIMIT 1)"&amp;", p_id_producto_gas =&gt; "&amp;"(SELECT id FROM pro_producto WHERE es_gas = TRUE AND upper(nombre) = upper('"&amp;SUBSTITUTE(TRIM(E476),"'","''")&amp;"') AND estado = 1 LIMIT 1)"&amp;", p_id_propietario =&gt; "&amp;IF(TRIM(F476&amp;"")="","NULL","(SELECT lo.id FROM gen_lista_opciones lo JOIN gen_lista l ON l.id = lo.id_lista WHERE l.nombre = 'PropietarioBalon' AND upper(lo.nombre) = upper('"&amp;SUBSTITUTE(TRIM(F476),"'","''")&amp;"') AND lo.estado = 1 LIMIT 1)")&amp;", p_id_cliente_propietario =&gt; "&amp;IF(F476="CLIENTE",IF(TRIM(G476&amp;"")="","NULL","(SELECT id FROM cli_clientes WHERE numero_documento = '"&amp;SUBSTITUTE(TRIM(G476),"'","''")&amp;"' AND estado = 1 LIMIT 1)"),"NULL")&amp;", p_id_planta =&gt; "&amp;IF(F476="PLANTA",IF(TRIM(G476&amp;"")="","NULL","(SELECT id FROM cli_clientes WHERE numero_documento = '"&amp;SUBSTITUTE(TRIM(G476),"'","''")&amp;"'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"&amp;IF(TRIM(J476&amp;"")="","NULL","(SELECT id FROM gen_almacen WHERE upper(nombre) = upper('"&amp;SUBSTITUTE(TRIM(J476),"'","''")&amp;"') AND estado = 1 LIMIT 1)")&amp;", p_id_cliente_ubicacion =&gt; "&amp;IF(TRIM(K476&amp;"")="","NULL","(SELECT id FROM cli_clientes WHERE numero_documento = '"&amp;SUBSTITUTE(TRIM(K476),"'","''")&amp;"' AND estado = 1 LIMIT 1)")&amp;", p_id_referencia =&gt; "&amp;IF(TRIM(J476&amp;"")&lt;&gt;"","(SELECT lo.id FROM gen_lista_opciones lo JOIN gen_lista l ON l.id = lo.id_lista WHERE l.nombre = 'ReferenciaCilindro' AND upper(lo.nombre) = 'ALMACEN' AND lo.estado = 1 LIMIT 1)",IF(TRIM(K476&amp;"")&lt;&gt;"","(SELECT lo.id FROM gen_lista_opciones lo JOIN gen_lista l ON l.id = lo.id_lista WHERE l.nombre = 'ReferenciaCilindro' AND upper(lo.nombre) = 'CLIENTE' AND lo.estado = 1 LIMIT 1)","NULL"))&amp;", p_anio_fabricacion =&gt; "&amp;IF(M476&amp;""="","NULL::smallint",M476&amp;"::smallint")&amp;", p_mes_fabricacion =&gt; "&amp;IF(N476&amp;""="","NULL::smallint",N476&amp;"::smallint")&amp;", p_fecha_ultima_prueba_hidrostatica =&gt; "&amp;IF(O476&amp;""="","NULL","'"&amp;YEAR(O476)&amp;"-"&amp;TEXT(MONTH(O476),"00")&amp;"-"&amp;TEXT(DAY(O476),"00")&amp;"'")&amp;", p_numero_serie =&gt; "&amp;IF(TRIM(Q476&amp;"")="","NULL","'"&amp;SUBSTITUTE(TRIM(Q476),"'","''")&amp;"'")&amp;", p_id_marca_cilindro =&gt; "&amp;IF(TRIM(R476&amp;"")="","NULL","(SELECT lo.id FROM gen_lista_opciones lo JOIN gen_lista l ON l.id = lo.id_lista WHERE l.nombre = 'MarcaCilindro' AND upper(lo.nombre) = upper('"&amp;SUBSTITUTE(TRIM(R476),"'","''")&amp;"') AND lo.estado = 1 LIMIT 1)")&amp;", p_id_organo_inspector =&gt; "&amp;IF(TRIM(S476&amp;"")="","NULL","(SELECT lo.id FROM gen_lista_opciones lo JOIN gen_lista l ON l.id = lo.id_lista WHERE l.nombre = 'OrganoInspectorCilindro' AND upper(lo.nombre) = upper('"&amp;SUBSTITUTE(TRIM(S476),"'","''")&amp;"') AND lo.estado = 1 LIMIT 1)")&amp;", p_organo_inspector_no_aplica =&gt; "&amp;IF(S476="NO_APLICA","TRUE","FALSE")&amp;", p_presion_actual =&gt; "&amp;IF(T476&amp;""="","NULL",SUBSTITUTE(T476&amp;"",",","."))&amp;", p_tipo_valvula =&gt; "&amp;IF(TRIM(U476&amp;"")="","NULL","'"&amp;SUBSTITUTE(TRIM(U476),"'","''")&amp;"'")&amp;", p_libro_cilindro =&gt; "&amp;IF(TRIM(V476&amp;"")="","NULL","'"&amp;SUBSTITUTE(TRIM(V476),"'","''")&amp;"'")&amp;", p_pagina_libro =&gt; "&amp;IF(W476&amp;""="","NULL",SUBSTITUTE(W476&amp;"",",","."))&amp;", p_observacion =&gt; "&amp;IF(TRIM(X476&amp;"")="","NULL","'"&amp;SUBSTITUTE(TRIM(X476),"'","''")&amp;"'")&amp;") AS resultado_balon_"&amp;ROW()&amp;";")</f>
        <v/>
      </c>
    </row>
    <row r="477" ht="15.75" customHeight="1" s="64">
      <c r="A477" s="36" t="inlineStr">
        <is>
          <t>473</t>
        </is>
      </c>
      <c r="B477" s="25">
        <f>IF(AND(C477="",D477="",E477=""),"",IF(C477="","FALTA código balón",IF(D477="","FALTA tipo balón",IF(E477="","FALTA gas",IF(F477="","FALTA propietario",IF(AND(C477&lt;&gt;"",SUMPRODUCT(--($C$5:$C$1200=C477))&gt;1),"CÓDIGO BALÓN DUPLICADO",IF(AND(OR(UPPER(F477)="PLANTA",UPPER(F477)="CLIENTE"),G477=""),"FALTA doc propietario/planta",IF(AND(UPPER(F477)="PLANTA",G477="10175332796"),"PLANTA no puede ser RUC empresa","OK"))))))))</f>
        <v/>
      </c>
      <c r="C477" s="23" t="inlineStr">
        <is>
          <t>K4364150</t>
        </is>
      </c>
      <c r="D477" s="17" t="inlineStr">
        <is>
          <t>Oxígeno Industrial 10 m³</t>
        </is>
      </c>
      <c r="E477" s="17" t="inlineStr">
        <is>
          <t>OXIGENO INDUSTRIAL</t>
        </is>
      </c>
      <c r="F477" s="17" t="inlineStr">
        <is>
          <t>EMPRESA</t>
        </is>
      </c>
      <c r="G477" s="23" t="inlineStr">
        <is>
          <t>10175332796</t>
        </is>
      </c>
      <c r="H477" s="25">
        <f t="array" ref="H477">IF(G477="","",IFERROR(IF(INDEX(Clientes!$D$5:$D$549,MATCH(G477,Clientes!$C$5:$C$549,0))&lt;&gt;"",INDEX(Clientes!$D$5:$D$549,MATCH(G477,Clientes!$C$5:$C$549,0)),TRIM(INDEX(Clientes!$E$5:$E$549,MATCH(G477,Clientes!$C$5:$C$549,0))&amp;" "&amp;INDEX(Clientes!$F$5:$F$549,MATCH(G477,Clientes!$C$5:$C$549,0)))),"NO EXISTE en Clientes"))</f>
        <v/>
      </c>
      <c r="I477" s="17" t="inlineStr">
        <is>
          <t>EN_PODER_CLIENTE</t>
        </is>
      </c>
      <c r="J477" s="17" t="n"/>
      <c r="K477" s="23" t="inlineStr">
        <is>
          <t>20523386469</t>
        </is>
      </c>
      <c r="L477" s="25">
        <f t="array" ref="L477">IF(K477="","",IFERROR(IF(INDEX(Clientes!$D$5:$D$549,MATCH(K477,Clientes!$C$5:$C$549,0))&lt;&gt;"",INDEX(Clientes!$D$5:$D$549,MATCH(K477,Clientes!$C$5:$C$549,0)),TRIM(INDEX(Clientes!$E$5:$E$549,MATCH(K477,Clientes!$C$5:$C$549,0))&amp;" "&amp;INDEX(Clientes!$F$5:$F$549,MATCH(K477,Clientes!$C$5:$C$549,0)))),"NO EXISTE en Clientes"))</f>
        <v/>
      </c>
      <c r="M477" s="17" t="n"/>
      <c r="N477" s="17" t="n"/>
      <c r="O477" s="42" t="n"/>
      <c r="P477" s="39">
        <f>IF(O477&lt;&gt;"",DATE(YEAR(O477)+5,MONTH(O477),1),IF(AND(M477&lt;&gt;"",N477&lt;&gt;""),DATE(M477+5,N477,1),""))</f>
        <v/>
      </c>
      <c r="Q477" s="23" t="n"/>
      <c r="R477" s="17" t="n"/>
      <c r="S477" s="17" t="n"/>
      <c r="T477" s="17" t="n"/>
      <c r="U477" s="17" t="n"/>
      <c r="V477" s="23" t="n"/>
      <c r="W477" s="17" t="n"/>
      <c r="X477" s="17" t="n"/>
      <c r="Y477" s="28">
        <f>IF(B477&lt;&gt;"OK","","SELECT bal_crear_balon(p_codigo_balon =&gt; "&amp;IF(TRIM(C477&amp;"")="","NULL","'"&amp;SUBSTITUTE(TRIM(C477),"'","''")&amp;"'")&amp;", p_id_tipo_balon =&gt; "&amp;"(SELECT id FROM bal_tipo_balon WHERE upper(nombre) = upper('"&amp;SUBSTITUTE(TRIM(D477),"'","''")&amp;"') AND estado = 1 LIMIT 1)"&amp;", p_id_producto_gas =&gt; "&amp;"(SELECT id FROM pro_producto WHERE es_gas = TRUE AND upper(nombre) = upper('"&amp;SUBSTITUTE(TRIM(E477),"'","''")&amp;"') AND estado = 1 LIMIT 1)"&amp;", p_id_propietario =&gt; "&amp;IF(TRIM(F477&amp;"")="","NULL","(SELECT lo.id FROM gen_lista_opciones lo JOIN gen_lista l ON l.id = lo.id_lista WHERE l.nombre = 'PropietarioBalon' AND upper(lo.nombre) = upper('"&amp;SUBSTITUTE(TRIM(F477),"'","''")&amp;"') AND lo.estado = 1 LIMIT 1)")&amp;", p_id_cliente_propietario =&gt; "&amp;IF(F477="CLIENTE",IF(TRIM(G477&amp;"")="","NULL","(SELECT id FROM cli_clientes WHERE numero_documento = '"&amp;SUBSTITUTE(TRIM(G477),"'","''")&amp;"' AND estado = 1 LIMIT 1)"),"NULL")&amp;", p_id_planta =&gt; "&amp;IF(F477="PLANTA",IF(TRIM(G477&amp;"")="","NULL","(SELECT id FROM cli_clientes WHERE numero_documento = '"&amp;SUBSTITUTE(TRIM(G477),"'","''")&amp;"'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"&amp;IF(TRIM(J477&amp;"")="","NULL","(SELECT id FROM gen_almacen WHERE upper(nombre) = upper('"&amp;SUBSTITUTE(TRIM(J477),"'","''")&amp;"') AND estado = 1 LIMIT 1)")&amp;", p_id_cliente_ubicacion =&gt; "&amp;IF(TRIM(K477&amp;"")="","NULL","(SELECT id FROM cli_clientes WHERE numero_documento = '"&amp;SUBSTITUTE(TRIM(K477),"'","''")&amp;"' AND estado = 1 LIMIT 1)")&amp;", p_id_referencia =&gt; "&amp;IF(TRIM(J477&amp;"")&lt;&gt;"","(SELECT lo.id FROM gen_lista_opciones lo JOIN gen_lista l ON l.id = lo.id_lista WHERE l.nombre = 'ReferenciaCilindro' AND upper(lo.nombre) = 'ALMACEN' AND lo.estado = 1 LIMIT 1)",IF(TRIM(K477&amp;"")&lt;&gt;"","(SELECT lo.id FROM gen_lista_opciones lo JOIN gen_lista l ON l.id = lo.id_lista WHERE l.nombre = 'ReferenciaCilindro' AND upper(lo.nombre) = 'CLIENTE' AND lo.estado = 1 LIMIT 1)","NULL"))&amp;", p_anio_fabricacion =&gt; "&amp;IF(M477&amp;""="","NULL::smallint",M477&amp;"::smallint")&amp;", p_mes_fabricacion =&gt; "&amp;IF(N477&amp;""="","NULL::smallint",N477&amp;"::smallint")&amp;", p_fecha_ultima_prueba_hidrostatica =&gt; "&amp;IF(O477&amp;""="","NULL","'"&amp;YEAR(O477)&amp;"-"&amp;TEXT(MONTH(O477),"00")&amp;"-"&amp;TEXT(DAY(O477),"00")&amp;"'")&amp;", p_numero_serie =&gt; "&amp;IF(TRIM(Q477&amp;"")="","NULL","'"&amp;SUBSTITUTE(TRIM(Q477),"'","''")&amp;"'")&amp;", p_id_marca_cilindro =&gt; "&amp;IF(TRIM(R477&amp;"")="","NULL","(SELECT lo.id FROM gen_lista_opciones lo JOIN gen_lista l ON l.id = lo.id_lista WHERE l.nombre = 'MarcaCilindro' AND upper(lo.nombre) = upper('"&amp;SUBSTITUTE(TRIM(R477),"'","''")&amp;"') AND lo.estado = 1 LIMIT 1)")&amp;", p_id_organo_inspector =&gt; "&amp;IF(TRIM(S477&amp;"")="","NULL","(SELECT lo.id FROM gen_lista_opciones lo JOIN gen_lista l ON l.id = lo.id_lista WHERE l.nombre = 'OrganoInspectorCilindro' AND upper(lo.nombre) = upper('"&amp;SUBSTITUTE(TRIM(S477),"'","''")&amp;"') AND lo.estado = 1 LIMIT 1)")&amp;", p_organo_inspector_no_aplica =&gt; "&amp;IF(S477="NO_APLICA","TRUE","FALSE")&amp;", p_presion_actual =&gt; "&amp;IF(T477&amp;""="","NULL",SUBSTITUTE(T477&amp;"",",","."))&amp;", p_tipo_valvula =&gt; "&amp;IF(TRIM(U477&amp;"")="","NULL","'"&amp;SUBSTITUTE(TRIM(U477),"'","''")&amp;"'")&amp;", p_libro_cilindro =&gt; "&amp;IF(TRIM(V477&amp;"")="","NULL","'"&amp;SUBSTITUTE(TRIM(V477),"'","''")&amp;"'")&amp;", p_pagina_libro =&gt; "&amp;IF(W477&amp;""="","NULL",SUBSTITUTE(W477&amp;"",",","."))&amp;", p_observacion =&gt; "&amp;IF(TRIM(X477&amp;"")="","NULL","'"&amp;SUBSTITUTE(TRIM(X477),"'","''")&amp;"'")&amp;") AS resultado_balon_"&amp;ROW()&amp;";")</f>
        <v/>
      </c>
    </row>
    <row r="478" ht="15.75" customHeight="1" s="64">
      <c r="A478" s="36" t="inlineStr">
        <is>
          <t>474</t>
        </is>
      </c>
      <c r="B478" s="25">
        <f>IF(AND(C478="",D478="",E478=""),"",IF(C478="","FALTA código balón",IF(D478="","FALTA tipo balón",IF(E478="","FALTA gas",IF(F478="","FALTA propietario",IF(AND(C478&lt;&gt;"",SUMPRODUCT(--($C$5:$C$1200=C478))&gt;1),"CÓDIGO BALÓN DUPLICADO",IF(AND(OR(UPPER(F478)="PLANTA",UPPER(F478)="CLIENTE"),G478=""),"FALTA doc propietario/planta",IF(AND(UPPER(F478)="PLANTA",G478="10175332796"),"PLANTA no puede ser RUC empresa","OK"))))))))</f>
        <v/>
      </c>
      <c r="C478" s="23" t="inlineStr">
        <is>
          <t>K5409190</t>
        </is>
      </c>
      <c r="D478" s="17" t="inlineStr">
        <is>
          <t>Oxígeno Industrial 10 m³</t>
        </is>
      </c>
      <c r="E478" s="17" t="inlineStr">
        <is>
          <t>OXIGENO INDUSTRIAL</t>
        </is>
      </c>
      <c r="F478" s="17" t="inlineStr">
        <is>
          <t>EMPRESA</t>
        </is>
      </c>
      <c r="G478" s="23" t="inlineStr">
        <is>
          <t>10175332796</t>
        </is>
      </c>
      <c r="H478" s="25">
        <f t="array" ref="H478">IF(G478="","",IFERROR(IF(INDEX(Clientes!$D$5:$D$549,MATCH(G478,Clientes!$C$5:$C$549,0))&lt;&gt;"",INDEX(Clientes!$D$5:$D$549,MATCH(G478,Clientes!$C$5:$C$549,0)),TRIM(INDEX(Clientes!$E$5:$E$549,MATCH(G478,Clientes!$C$5:$C$549,0))&amp;" "&amp;INDEX(Clientes!$F$5:$F$549,MATCH(G478,Clientes!$C$5:$C$549,0)))),"NO EXISTE en Clientes"))</f>
        <v/>
      </c>
      <c r="I478" s="17" t="inlineStr">
        <is>
          <t>EN_PODER_CLIENTE</t>
        </is>
      </c>
      <c r="J478" s="17" t="n"/>
      <c r="K478" s="23" t="inlineStr">
        <is>
          <t>20523386469</t>
        </is>
      </c>
      <c r="L478" s="25">
        <f t="array" ref="L478">IF(K478="","",IFERROR(IF(INDEX(Clientes!$D$5:$D$549,MATCH(K478,Clientes!$C$5:$C$549,0))&lt;&gt;"",INDEX(Clientes!$D$5:$D$549,MATCH(K478,Clientes!$C$5:$C$549,0)),TRIM(INDEX(Clientes!$E$5:$E$549,MATCH(K478,Clientes!$C$5:$C$549,0))&amp;" "&amp;INDEX(Clientes!$F$5:$F$549,MATCH(K478,Clientes!$C$5:$C$549,0)))),"NO EXISTE en Clientes"))</f>
        <v/>
      </c>
      <c r="M478" s="17" t="n"/>
      <c r="N478" s="17" t="n"/>
      <c r="O478" s="42" t="n"/>
      <c r="P478" s="39">
        <f>IF(O478&lt;&gt;"",DATE(YEAR(O478)+5,MONTH(O478),1),IF(AND(M478&lt;&gt;"",N478&lt;&gt;""),DATE(M478+5,N478,1),""))</f>
        <v/>
      </c>
      <c r="Q478" s="23" t="n"/>
      <c r="R478" s="17" t="n"/>
      <c r="S478" s="17" t="n"/>
      <c r="T478" s="17" t="n"/>
      <c r="U478" s="17" t="n"/>
      <c r="V478" s="23" t="n"/>
      <c r="W478" s="17" t="n"/>
      <c r="X478" s="17" t="n"/>
      <c r="Y478" s="28">
        <f>IF(B478&lt;&gt;"OK","","SELECT bal_crear_balon(p_codigo_balon =&gt; "&amp;IF(TRIM(C478&amp;"")="","NULL","'"&amp;SUBSTITUTE(TRIM(C478),"'","''")&amp;"'")&amp;", p_id_tipo_balon =&gt; "&amp;"(SELECT id FROM bal_tipo_balon WHERE upper(nombre) = upper('"&amp;SUBSTITUTE(TRIM(D478),"'","''")&amp;"') AND estado = 1 LIMIT 1)"&amp;", p_id_producto_gas =&gt; "&amp;"(SELECT id FROM pro_producto WHERE es_gas = TRUE AND upper(nombre) = upper('"&amp;SUBSTITUTE(TRIM(E478),"'","''")&amp;"') AND estado = 1 LIMIT 1)"&amp;", p_id_propietario =&gt; "&amp;IF(TRIM(F478&amp;"")="","NULL","(SELECT lo.id FROM gen_lista_opciones lo JOIN gen_lista l ON l.id = lo.id_lista WHERE l.nombre = 'PropietarioBalon' AND upper(lo.nombre) = upper('"&amp;SUBSTITUTE(TRIM(F478),"'","''")&amp;"') AND lo.estado = 1 LIMIT 1)")&amp;", p_id_cliente_propietario =&gt; "&amp;IF(F478="CLIENTE",IF(TRIM(G478&amp;"")="","NULL","(SELECT id FROM cli_clientes WHERE numero_documento = '"&amp;SUBSTITUTE(TRIM(G478),"'","''")&amp;"' AND estado = 1 LIMIT 1)"),"NULL")&amp;", p_id_planta =&gt; "&amp;IF(F478="PLANTA",IF(TRIM(G478&amp;"")="","NULL","(SELECT id FROM cli_clientes WHERE numero_documento = '"&amp;SUBSTITUTE(TRIM(G478),"'","''")&amp;"'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"&amp;IF(TRIM(J478&amp;"")="","NULL","(SELECT id FROM gen_almacen WHERE upper(nombre) = upper('"&amp;SUBSTITUTE(TRIM(J478),"'","''")&amp;"') AND estado = 1 LIMIT 1)")&amp;", p_id_cliente_ubicacion =&gt; "&amp;IF(TRIM(K478&amp;"")="","NULL","(SELECT id FROM cli_clientes WHERE numero_documento = '"&amp;SUBSTITUTE(TRIM(K478),"'","''")&amp;"' AND estado = 1 LIMIT 1)")&amp;", p_id_referencia =&gt; "&amp;IF(TRIM(J478&amp;"")&lt;&gt;"","(SELECT lo.id FROM gen_lista_opciones lo JOIN gen_lista l ON l.id = lo.id_lista WHERE l.nombre = 'ReferenciaCilindro' AND upper(lo.nombre) = 'ALMACEN' AND lo.estado = 1 LIMIT 1)",IF(TRIM(K478&amp;"")&lt;&gt;"","(SELECT lo.id FROM gen_lista_opciones lo JOIN gen_lista l ON l.id = lo.id_lista WHERE l.nombre = 'ReferenciaCilindro' AND upper(lo.nombre) = 'CLIENTE' AND lo.estado = 1 LIMIT 1)","NULL"))&amp;", p_anio_fabricacion =&gt; "&amp;IF(M478&amp;""="","NULL::smallint",M478&amp;"::smallint")&amp;", p_mes_fabricacion =&gt; "&amp;IF(N478&amp;""="","NULL::smallint",N478&amp;"::smallint")&amp;", p_fecha_ultima_prueba_hidrostatica =&gt; "&amp;IF(O478&amp;""="","NULL","'"&amp;YEAR(O478)&amp;"-"&amp;TEXT(MONTH(O478),"00")&amp;"-"&amp;TEXT(DAY(O478),"00")&amp;"'")&amp;", p_numero_serie =&gt; "&amp;IF(TRIM(Q478&amp;"")="","NULL","'"&amp;SUBSTITUTE(TRIM(Q478),"'","''")&amp;"'")&amp;", p_id_marca_cilindro =&gt; "&amp;IF(TRIM(R478&amp;"")="","NULL","(SELECT lo.id FROM gen_lista_opciones lo JOIN gen_lista l ON l.id = lo.id_lista WHERE l.nombre = 'MarcaCilindro' AND upper(lo.nombre) = upper('"&amp;SUBSTITUTE(TRIM(R478),"'","''")&amp;"') AND lo.estado = 1 LIMIT 1)")&amp;", p_id_organo_inspector =&gt; "&amp;IF(TRIM(S478&amp;"")="","NULL","(SELECT lo.id FROM gen_lista_opciones lo JOIN gen_lista l ON l.id = lo.id_lista WHERE l.nombre = 'OrganoInspectorCilindro' AND upper(lo.nombre) = upper('"&amp;SUBSTITUTE(TRIM(S478),"'","''")&amp;"') AND lo.estado = 1 LIMIT 1)")&amp;", p_organo_inspector_no_aplica =&gt; "&amp;IF(S478="NO_APLICA","TRUE","FALSE")&amp;", p_presion_actual =&gt; "&amp;IF(T478&amp;""="","NULL",SUBSTITUTE(T478&amp;"",",","."))&amp;", p_tipo_valvula =&gt; "&amp;IF(TRIM(U478&amp;"")="","NULL","'"&amp;SUBSTITUTE(TRIM(U478),"'","''")&amp;"'")&amp;", p_libro_cilindro =&gt; "&amp;IF(TRIM(V478&amp;"")="","NULL","'"&amp;SUBSTITUTE(TRIM(V478),"'","''")&amp;"'")&amp;", p_pagina_libro =&gt; "&amp;IF(W478&amp;""="","NULL",SUBSTITUTE(W478&amp;"",",","."))&amp;", p_observacion =&gt; "&amp;IF(TRIM(X478&amp;"")="","NULL","'"&amp;SUBSTITUTE(TRIM(X478),"'","''")&amp;"'")&amp;") AS resultado_balon_"&amp;ROW()&amp;";")</f>
        <v/>
      </c>
    </row>
    <row r="479" ht="15.75" customHeight="1" s="64">
      <c r="A479" s="36" t="inlineStr">
        <is>
          <t>475</t>
        </is>
      </c>
      <c r="B479" s="25">
        <f>IF(AND(C479="",D479="",E479=""),"",IF(C479="","FALTA código balón",IF(D479="","FALTA tipo balón",IF(E479="","FALTA gas",IF(F479="","FALTA propietario",IF(AND(C479&lt;&gt;"",SUMPRODUCT(--($C$5:$C$1200=C479))&gt;1),"CÓDIGO BALÓN DUPLICADO",IF(AND(OR(UPPER(F479)="PLANTA",UPPER(F479)="CLIENTE"),G479=""),"FALTA doc propietario/planta",IF(AND(UPPER(F479)="PLANTA",G479="10175332796"),"PLANTA no puede ser RUC empresa","OK"))))))))</f>
        <v/>
      </c>
      <c r="C479" s="23" t="inlineStr">
        <is>
          <t>20S130032</t>
        </is>
      </c>
      <c r="D479" s="17" t="inlineStr">
        <is>
          <t>Oxígeno Industrial 6 m³</t>
        </is>
      </c>
      <c r="E479" s="17" t="inlineStr">
        <is>
          <t>OXIGENO INDUSTRIAL</t>
        </is>
      </c>
      <c r="F479" s="17" t="inlineStr">
        <is>
          <t>EMPRESA</t>
        </is>
      </c>
      <c r="G479" s="23" t="inlineStr">
        <is>
          <t>10175332796</t>
        </is>
      </c>
      <c r="H479" s="25">
        <f t="array" ref="H479">IF(G479="","",IFERROR(IF(INDEX(Clientes!$D$5:$D$549,MATCH(G479,Clientes!$C$5:$C$549,0))&lt;&gt;"",INDEX(Clientes!$D$5:$D$549,MATCH(G479,Clientes!$C$5:$C$549,0)),TRIM(INDEX(Clientes!$E$5:$E$549,MATCH(G479,Clientes!$C$5:$C$549,0))&amp;" "&amp;INDEX(Clientes!$F$5:$F$549,MATCH(G479,Clientes!$C$5:$C$549,0)))),"NO EXISTE en Clientes"))</f>
        <v/>
      </c>
      <c r="I479" s="17" t="inlineStr">
        <is>
          <t>EN_PODER_CLIENTE</t>
        </is>
      </c>
      <c r="J479" s="17" t="n"/>
      <c r="K479" s="23" t="inlineStr">
        <is>
          <t>16530972</t>
        </is>
      </c>
      <c r="L479" s="25">
        <f t="array" ref="L479">IF(K479="","",IFERROR(IF(INDEX(Clientes!$D$5:$D$549,MATCH(K479,Clientes!$C$5:$C$549,0))&lt;&gt;"",INDEX(Clientes!$D$5:$D$549,MATCH(K479,Clientes!$C$5:$C$549,0)),TRIM(INDEX(Clientes!$E$5:$E$549,MATCH(K479,Clientes!$C$5:$C$549,0))&amp;" "&amp;INDEX(Clientes!$F$5:$F$549,MATCH(K479,Clientes!$C$5:$C$549,0)))),"NO EXISTE en Clientes"))</f>
        <v/>
      </c>
      <c r="M479" s="17" t="n"/>
      <c r="N479" s="17" t="n"/>
      <c r="O479" s="42" t="n"/>
      <c r="P479" s="39">
        <f>IF(O479&lt;&gt;"",DATE(YEAR(O479)+5,MONTH(O479),1),IF(AND(M479&lt;&gt;"",N479&lt;&gt;""),DATE(M479+5,N479,1),""))</f>
        <v/>
      </c>
      <c r="Q479" s="23" t="n"/>
      <c r="R479" s="17" t="n"/>
      <c r="S479" s="17" t="n"/>
      <c r="T479" s="17" t="n"/>
      <c r="U479" s="17" t="n"/>
      <c r="V479" s="23" t="n"/>
      <c r="W479" s="17" t="n"/>
      <c r="X479" s="17" t="n"/>
      <c r="Y479" s="28">
        <f>IF(B479&lt;&gt;"OK","","SELECT bal_crear_balon(p_codigo_balon =&gt; "&amp;IF(TRIM(C479&amp;"")="","NULL","'"&amp;SUBSTITUTE(TRIM(C479),"'","''")&amp;"'")&amp;", p_id_tipo_balon =&gt; "&amp;"(SELECT id FROM bal_tipo_balon WHERE upper(nombre) = upper('"&amp;SUBSTITUTE(TRIM(D479),"'","''")&amp;"') AND estado = 1 LIMIT 1)"&amp;", p_id_producto_gas =&gt; "&amp;"(SELECT id FROM pro_producto WHERE es_gas = TRUE AND upper(nombre) = upper('"&amp;SUBSTITUTE(TRIM(E479),"'","''")&amp;"') AND estado = 1 LIMIT 1)"&amp;", p_id_propietario =&gt; "&amp;IF(TRIM(F479&amp;"")="","NULL","(SELECT lo.id FROM gen_lista_opciones lo JOIN gen_lista l ON l.id = lo.id_lista WHERE l.nombre = 'PropietarioBalon' AND upper(lo.nombre) = upper('"&amp;SUBSTITUTE(TRIM(F479),"'","''")&amp;"') AND lo.estado = 1 LIMIT 1)")&amp;", p_id_cliente_propietario =&gt; "&amp;IF(F479="CLIENTE",IF(TRIM(G479&amp;"")="","NULL","(SELECT id FROM cli_clientes WHERE numero_documento = '"&amp;SUBSTITUTE(TRIM(G479),"'","''")&amp;"' AND estado = 1 LIMIT 1)"),"NULL")&amp;", p_id_planta =&gt; "&amp;IF(F479="PLANTA",IF(TRIM(G479&amp;"")="","NULL","(SELECT id FROM cli_clientes WHERE numero_documento = '"&amp;SUBSTITUTE(TRIM(G479),"'","''")&amp;"'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"&amp;IF(TRIM(J479&amp;"")="","NULL","(SELECT id FROM gen_almacen WHERE upper(nombre) = upper('"&amp;SUBSTITUTE(TRIM(J479),"'","''")&amp;"') AND estado = 1 LIMIT 1)")&amp;", p_id_cliente_ubicacion =&gt; "&amp;IF(TRIM(K479&amp;"")="","NULL","(SELECT id FROM cli_clientes WHERE numero_documento = '"&amp;SUBSTITUTE(TRIM(K479),"'","''")&amp;"' AND estado = 1 LIMIT 1)")&amp;", p_id_referencia =&gt; "&amp;IF(TRIM(J479&amp;"")&lt;&gt;"","(SELECT lo.id FROM gen_lista_opciones lo JOIN gen_lista l ON l.id = lo.id_lista WHERE l.nombre = 'ReferenciaCilindro' AND upper(lo.nombre) = 'ALMACEN' AND lo.estado = 1 LIMIT 1)",IF(TRIM(K479&amp;"")&lt;&gt;"","(SELECT lo.id FROM gen_lista_opciones lo JOIN gen_lista l ON l.id = lo.id_lista WHERE l.nombre = 'ReferenciaCilindro' AND upper(lo.nombre) = 'CLIENTE' AND lo.estado = 1 LIMIT 1)","NULL"))&amp;", p_anio_fabricacion =&gt; "&amp;IF(M479&amp;""="","NULL::smallint",M479&amp;"::smallint")&amp;", p_mes_fabricacion =&gt; "&amp;IF(N479&amp;""="","NULL::smallint",N479&amp;"::smallint")&amp;", p_fecha_ultima_prueba_hidrostatica =&gt; "&amp;IF(O479&amp;""="","NULL","'"&amp;YEAR(O479)&amp;"-"&amp;TEXT(MONTH(O479),"00")&amp;"-"&amp;TEXT(DAY(O479),"00")&amp;"'")&amp;", p_numero_serie =&gt; "&amp;IF(TRIM(Q479&amp;"")="","NULL","'"&amp;SUBSTITUTE(TRIM(Q479),"'","''")&amp;"'")&amp;", p_id_marca_cilindro =&gt; "&amp;IF(TRIM(R479&amp;"")="","NULL","(SELECT lo.id FROM gen_lista_opciones lo JOIN gen_lista l ON l.id = lo.id_lista WHERE l.nombre = 'MarcaCilindro' AND upper(lo.nombre) = upper('"&amp;SUBSTITUTE(TRIM(R479),"'","''")&amp;"') AND lo.estado = 1 LIMIT 1)")&amp;", p_id_organo_inspector =&gt; "&amp;IF(TRIM(S479&amp;"")="","NULL","(SELECT lo.id FROM gen_lista_opciones lo JOIN gen_lista l ON l.id = lo.id_lista WHERE l.nombre = 'OrganoInspectorCilindro' AND upper(lo.nombre) = upper('"&amp;SUBSTITUTE(TRIM(S479),"'","''")&amp;"') AND lo.estado = 1 LIMIT 1)")&amp;", p_organo_inspector_no_aplica =&gt; "&amp;IF(S479="NO_APLICA","TRUE","FALSE")&amp;", p_presion_actual =&gt; "&amp;IF(T479&amp;""="","NULL",SUBSTITUTE(T479&amp;"",",","."))&amp;", p_tipo_valvula =&gt; "&amp;IF(TRIM(U479&amp;"")="","NULL","'"&amp;SUBSTITUTE(TRIM(U479),"'","''")&amp;"'")&amp;", p_libro_cilindro =&gt; "&amp;IF(TRIM(V479&amp;"")="","NULL","'"&amp;SUBSTITUTE(TRIM(V479),"'","''")&amp;"'")&amp;", p_pagina_libro =&gt; "&amp;IF(W479&amp;""="","NULL",SUBSTITUTE(W479&amp;"",",","."))&amp;", p_observacion =&gt; "&amp;IF(TRIM(X479&amp;"")="","NULL","'"&amp;SUBSTITUTE(TRIM(X479),"'","''")&amp;"'")&amp;") AS resultado_balon_"&amp;ROW()&amp;";")</f>
        <v/>
      </c>
    </row>
    <row r="480" ht="15.75" customHeight="1" s="64">
      <c r="A480" s="36" t="inlineStr">
        <is>
          <t>476</t>
        </is>
      </c>
      <c r="B480" s="25">
        <f>IF(AND(C480="",D480="",E480=""),"",IF(C480="","FALTA código balón",IF(D480="","FALTA tipo balón",IF(E480="","FALTA gas",IF(F480="","FALTA propietario",IF(AND(C480&lt;&gt;"",SUMPRODUCT(--($C$5:$C$1200=C480))&gt;1),"CÓDIGO BALÓN DUPLICADO",IF(AND(OR(UPPER(F480)="PLANTA",UPPER(F480)="CLIENTE"),G480=""),"FALTA doc propietario/planta",IF(AND(UPPER(F480)="PLANTA",G480="10175332796"),"PLANTA no puede ser RUC empresa","OK"))))))))</f>
        <v/>
      </c>
      <c r="C480" s="23" t="inlineStr">
        <is>
          <t>20S290102</t>
        </is>
      </c>
      <c r="D480" s="17" t="inlineStr">
        <is>
          <t>Oxígeno Industrial 6 m³</t>
        </is>
      </c>
      <c r="E480" s="17" t="inlineStr">
        <is>
          <t>OXIGENO MEDICINAL</t>
        </is>
      </c>
      <c r="F480" s="17" t="inlineStr">
        <is>
          <t>EMPRESA</t>
        </is>
      </c>
      <c r="G480" s="23" t="inlineStr">
        <is>
          <t>10175332796</t>
        </is>
      </c>
      <c r="H480" s="25">
        <f t="array" ref="H480">IF(G480="","",IFERROR(IF(INDEX(Clientes!$D$5:$D$549,MATCH(G480,Clientes!$C$5:$C$549,0))&lt;&gt;"",INDEX(Clientes!$D$5:$D$549,MATCH(G480,Clientes!$C$5:$C$549,0)),TRIM(INDEX(Clientes!$E$5:$E$549,MATCH(G480,Clientes!$C$5:$C$549,0))&amp;" "&amp;INDEX(Clientes!$F$5:$F$549,MATCH(G480,Clientes!$C$5:$C$549,0)))),"NO EXISTE en Clientes"))</f>
        <v/>
      </c>
      <c r="I480" s="17" t="inlineStr">
        <is>
          <t>EN_PODER_CLIENTE</t>
        </is>
      </c>
      <c r="J480" s="17" t="n"/>
      <c r="K480" s="23" t="inlineStr">
        <is>
          <t>20602375383</t>
        </is>
      </c>
      <c r="L480" s="25">
        <f t="array" ref="L480">IF(K480="","",IFERROR(IF(INDEX(Clientes!$D$5:$D$549,MATCH(K480,Clientes!$C$5:$C$549,0))&lt;&gt;"",INDEX(Clientes!$D$5:$D$549,MATCH(K480,Clientes!$C$5:$C$549,0)),TRIM(INDEX(Clientes!$E$5:$E$549,MATCH(K480,Clientes!$C$5:$C$549,0))&amp;" "&amp;INDEX(Clientes!$F$5:$F$549,MATCH(K480,Clientes!$C$5:$C$549,0)))),"NO EXISTE en Clientes"))</f>
        <v/>
      </c>
      <c r="M480" s="17" t="n"/>
      <c r="N480" s="17" t="n"/>
      <c r="O480" s="42" t="n"/>
      <c r="P480" s="39">
        <f>IF(O480&lt;&gt;"",DATE(YEAR(O480)+5,MONTH(O480),1),IF(AND(M480&lt;&gt;"",N480&lt;&gt;""),DATE(M480+5,N480,1),""))</f>
        <v/>
      </c>
      <c r="Q480" s="23" t="n"/>
      <c r="R480" s="17" t="n"/>
      <c r="S480" s="17" t="n"/>
      <c r="T480" s="17" t="n"/>
      <c r="U480" s="17" t="n"/>
      <c r="V480" s="23" t="n"/>
      <c r="W480" s="17" t="n"/>
      <c r="X480" s="17" t="n"/>
      <c r="Y480" s="28">
        <f>IF(B480&lt;&gt;"OK","","SELECT bal_crear_balon(p_codigo_balon =&gt; "&amp;IF(TRIM(C480&amp;"")="","NULL","'"&amp;SUBSTITUTE(TRIM(C480),"'","''")&amp;"'")&amp;", p_id_tipo_balon =&gt; "&amp;"(SELECT id FROM bal_tipo_balon WHERE upper(nombre) = upper('"&amp;SUBSTITUTE(TRIM(D480),"'","''")&amp;"') AND estado = 1 LIMIT 1)"&amp;", p_id_producto_gas =&gt; "&amp;"(SELECT id FROM pro_producto WHERE es_gas = TRUE AND upper(nombre) = upper('"&amp;SUBSTITUTE(TRIM(E480),"'","''")&amp;"') AND estado = 1 LIMIT 1)"&amp;", p_id_propietario =&gt; "&amp;IF(TRIM(F480&amp;"")="","NULL","(SELECT lo.id FROM gen_lista_opciones lo JOIN gen_lista l ON l.id = lo.id_lista WHERE l.nombre = 'PropietarioBalon' AND upper(lo.nombre) = upper('"&amp;SUBSTITUTE(TRIM(F480),"'","''")&amp;"') AND lo.estado = 1 LIMIT 1)")&amp;", p_id_cliente_propietario =&gt; "&amp;IF(F480="CLIENTE",IF(TRIM(G480&amp;"")="","NULL","(SELECT id FROM cli_clientes WHERE numero_documento = '"&amp;SUBSTITUTE(TRIM(G480),"'","''")&amp;"' AND estado = 1 LIMIT 1)"),"NULL")&amp;", p_id_planta =&gt; "&amp;IF(F480="PLANTA",IF(TRIM(G480&amp;"")="","NULL","(SELECT id FROM cli_clientes WHERE numero_documento = '"&amp;SUBSTITUTE(TRIM(G480),"'","''")&amp;"'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"&amp;IF(TRIM(J480&amp;"")="","NULL","(SELECT id FROM gen_almacen WHERE upper(nombre) = upper('"&amp;SUBSTITUTE(TRIM(J480),"'","''")&amp;"') AND estado = 1 LIMIT 1)")&amp;", p_id_cliente_ubicacion =&gt; "&amp;IF(TRIM(K480&amp;"")="","NULL","(SELECT id FROM cli_clientes WHERE numero_documento = '"&amp;SUBSTITUTE(TRIM(K480),"'","''")&amp;"' AND estado = 1 LIMIT 1)")&amp;", p_id_referencia =&gt; "&amp;IF(TRIM(J480&amp;"")&lt;&gt;"","(SELECT lo.id FROM gen_lista_opciones lo JOIN gen_lista l ON l.id = lo.id_lista WHERE l.nombre = 'ReferenciaCilindro' AND upper(lo.nombre) = 'ALMACEN' AND lo.estado = 1 LIMIT 1)",IF(TRIM(K480&amp;"")&lt;&gt;"","(SELECT lo.id FROM gen_lista_opciones lo JOIN gen_lista l ON l.id = lo.id_lista WHERE l.nombre = 'ReferenciaCilindro' AND upper(lo.nombre) = 'CLIENTE' AND lo.estado = 1 LIMIT 1)","NULL"))&amp;", p_anio_fabricacion =&gt; "&amp;IF(M480&amp;""="","NULL::smallint",M480&amp;"::smallint")&amp;", p_mes_fabricacion =&gt; "&amp;IF(N480&amp;""="","NULL::smallint",N480&amp;"::smallint")&amp;", p_fecha_ultima_prueba_hidrostatica =&gt; "&amp;IF(O480&amp;""="","NULL","'"&amp;YEAR(O480)&amp;"-"&amp;TEXT(MONTH(O480),"00")&amp;"-"&amp;TEXT(DAY(O480),"00")&amp;"'")&amp;", p_numero_serie =&gt; "&amp;IF(TRIM(Q480&amp;"")="","NULL","'"&amp;SUBSTITUTE(TRIM(Q480),"'","''")&amp;"'")&amp;", p_id_marca_cilindro =&gt; "&amp;IF(TRIM(R480&amp;"")="","NULL","(SELECT lo.id FROM gen_lista_opciones lo JOIN gen_lista l ON l.id = lo.id_lista WHERE l.nombre = 'MarcaCilindro' AND upper(lo.nombre) = upper('"&amp;SUBSTITUTE(TRIM(R480),"'","''")&amp;"') AND lo.estado = 1 LIMIT 1)")&amp;", p_id_organo_inspector =&gt; "&amp;IF(TRIM(S480&amp;"")="","NULL","(SELECT lo.id FROM gen_lista_opciones lo JOIN gen_lista l ON l.id = lo.id_lista WHERE l.nombre = 'OrganoInspectorCilindro' AND upper(lo.nombre) = upper('"&amp;SUBSTITUTE(TRIM(S480),"'","''")&amp;"') AND lo.estado = 1 LIMIT 1)")&amp;", p_organo_inspector_no_aplica =&gt; "&amp;IF(S480="NO_APLICA","TRUE","FALSE")&amp;", p_presion_actual =&gt; "&amp;IF(T480&amp;""="","NULL",SUBSTITUTE(T480&amp;"",",","."))&amp;", p_tipo_valvula =&gt; "&amp;IF(TRIM(U480&amp;"")="","NULL","'"&amp;SUBSTITUTE(TRIM(U480),"'","''")&amp;"'")&amp;", p_libro_cilindro =&gt; "&amp;IF(TRIM(V480&amp;"")="","NULL","'"&amp;SUBSTITUTE(TRIM(V480),"'","''")&amp;"'")&amp;", p_pagina_libro =&gt; "&amp;IF(W480&amp;""="","NULL",SUBSTITUTE(W480&amp;"",",","."))&amp;", p_observacion =&gt; "&amp;IF(TRIM(X480&amp;"")="","NULL","'"&amp;SUBSTITUTE(TRIM(X480),"'","''")&amp;"'")&amp;") AS resultado_balon_"&amp;ROW()&amp;";")</f>
        <v/>
      </c>
    </row>
    <row r="481" ht="15.75" customHeight="1" s="64">
      <c r="A481" s="36" t="inlineStr">
        <is>
          <t>477</t>
        </is>
      </c>
      <c r="B481" s="25">
        <f>IF(AND(C481="",D481="",E481=""),"",IF(C481="","FALTA código balón",IF(D481="","FALTA tipo balón",IF(E481="","FALTA gas",IF(F481="","FALTA propietario",IF(AND(C481&lt;&gt;"",SUMPRODUCT(--($C$5:$C$1200=C481))&gt;1),"CÓDIGO BALÓN DUPLICADO",IF(AND(OR(UPPER(F481)="PLANTA",UPPER(F481)="CLIENTE"),G481=""),"FALTA doc propietario/planta",IF(AND(UPPER(F481)="PLANTA",G481="10175332796"),"PLANTA no puede ser RUC empresa","OK"))))))))</f>
        <v/>
      </c>
      <c r="C481" s="23" t="inlineStr">
        <is>
          <t>AS1439247</t>
        </is>
      </c>
      <c r="D481" s="17" t="inlineStr">
        <is>
          <t>Oxigeno Industrial 1 m³</t>
        </is>
      </c>
      <c r="E481" s="17" t="inlineStr">
        <is>
          <t>OXIGENO INDUSTRIAL</t>
        </is>
      </c>
      <c r="F481" s="17" t="inlineStr">
        <is>
          <t>EMPRESA</t>
        </is>
      </c>
      <c r="G481" s="23" t="inlineStr">
        <is>
          <t>10175332796</t>
        </is>
      </c>
      <c r="H481" s="25">
        <f t="array" ref="H481">IF(G481="","",IFERROR(IF(INDEX(Clientes!$D$5:$D$549,MATCH(G481,Clientes!$C$5:$C$549,0))&lt;&gt;"",INDEX(Clientes!$D$5:$D$549,MATCH(G481,Clientes!$C$5:$C$549,0)),TRIM(INDEX(Clientes!$E$5:$E$549,MATCH(G481,Clientes!$C$5:$C$549,0))&amp;" "&amp;INDEX(Clientes!$F$5:$F$549,MATCH(G481,Clientes!$C$5:$C$549,0)))),"NO EXISTE en Clientes"))</f>
        <v/>
      </c>
      <c r="I481" s="17" t="inlineStr">
        <is>
          <t>EN_PODER_CLIENTE</t>
        </is>
      </c>
      <c r="J481" s="17" t="n"/>
      <c r="K481" s="23" t="inlineStr">
        <is>
          <t>20602375383</t>
        </is>
      </c>
      <c r="L481" s="25">
        <f t="array" ref="L481">IF(K481="","",IFERROR(IF(INDEX(Clientes!$D$5:$D$549,MATCH(K481,Clientes!$C$5:$C$549,0))&lt;&gt;"",INDEX(Clientes!$D$5:$D$549,MATCH(K481,Clientes!$C$5:$C$549,0)),TRIM(INDEX(Clientes!$E$5:$E$549,MATCH(K481,Clientes!$C$5:$C$549,0))&amp;" "&amp;INDEX(Clientes!$F$5:$F$549,MATCH(K481,Clientes!$C$5:$C$549,0)))),"NO EXISTE en Clientes"))</f>
        <v/>
      </c>
      <c r="M481" s="17" t="n"/>
      <c r="N481" s="17" t="n"/>
      <c r="O481" s="42" t="n"/>
      <c r="P481" s="39">
        <f>IF(O481&lt;&gt;"",DATE(YEAR(O481)+5,MONTH(O481),1),IF(AND(M481&lt;&gt;"",N481&lt;&gt;""),DATE(M481+5,N481,1),""))</f>
        <v/>
      </c>
      <c r="Q481" s="23" t="n"/>
      <c r="R481" s="17" t="n"/>
      <c r="S481" s="17" t="n"/>
      <c r="T481" s="17" t="n"/>
      <c r="U481" s="17" t="n"/>
      <c r="V481" s="23" t="n"/>
      <c r="W481" s="17" t="n"/>
      <c r="X481" s="17" t="n"/>
      <c r="Y481" s="28">
        <f>IF(B481&lt;&gt;"OK","","SELECT bal_crear_balon(p_codigo_balon =&gt; "&amp;IF(TRIM(C481&amp;"")="","NULL","'"&amp;SUBSTITUTE(TRIM(C481),"'","''")&amp;"'")&amp;", p_id_tipo_balon =&gt; "&amp;"(SELECT id FROM bal_tipo_balon WHERE upper(nombre) = upper('"&amp;SUBSTITUTE(TRIM(D481),"'","''")&amp;"') AND estado = 1 LIMIT 1)"&amp;", p_id_producto_gas =&gt; "&amp;"(SELECT id FROM pro_producto WHERE es_gas = TRUE AND upper(nombre) = upper('"&amp;SUBSTITUTE(TRIM(E481),"'","''")&amp;"') AND estado = 1 LIMIT 1)"&amp;", p_id_propietario =&gt; "&amp;IF(TRIM(F481&amp;"")="","NULL","(SELECT lo.id FROM gen_lista_opciones lo JOIN gen_lista l ON l.id = lo.id_lista WHERE l.nombre = 'PropietarioBalon' AND upper(lo.nombre) = upper('"&amp;SUBSTITUTE(TRIM(F481),"'","''")&amp;"') AND lo.estado = 1 LIMIT 1)")&amp;", p_id_cliente_propietario =&gt; "&amp;IF(F481="CLIENTE",IF(TRIM(G481&amp;"")="","NULL","(SELECT id FROM cli_clientes WHERE numero_documento = '"&amp;SUBSTITUTE(TRIM(G481),"'","''")&amp;"' AND estado = 1 LIMIT 1)"),"NULL")&amp;", p_id_planta =&gt; "&amp;IF(F481="PLANTA",IF(TRIM(G481&amp;"")="","NULL","(SELECT id FROM cli_clientes WHERE numero_documento = '"&amp;SUBSTITUTE(TRIM(G481),"'","''")&amp;"'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"&amp;IF(TRIM(J481&amp;"")="","NULL","(SELECT id FROM gen_almacen WHERE upper(nombre) = upper('"&amp;SUBSTITUTE(TRIM(J481),"'","''")&amp;"') AND estado = 1 LIMIT 1)")&amp;", p_id_cliente_ubicacion =&gt; "&amp;IF(TRIM(K481&amp;"")="","NULL","(SELECT id FROM cli_clientes WHERE numero_documento = '"&amp;SUBSTITUTE(TRIM(K481),"'","''")&amp;"' AND estado = 1 LIMIT 1)")&amp;", p_id_referencia =&gt; "&amp;IF(TRIM(J481&amp;"")&lt;&gt;"","(SELECT lo.id FROM gen_lista_opciones lo JOIN gen_lista l ON l.id = lo.id_lista WHERE l.nombre = 'ReferenciaCilindro' AND upper(lo.nombre) = 'ALMACEN' AND lo.estado = 1 LIMIT 1)",IF(TRIM(K481&amp;"")&lt;&gt;"","(SELECT lo.id FROM gen_lista_opciones lo JOIN gen_lista l ON l.id = lo.id_lista WHERE l.nombre = 'ReferenciaCilindro' AND upper(lo.nombre) = 'CLIENTE' AND lo.estado = 1 LIMIT 1)","NULL"))&amp;", p_anio_fabricacion =&gt; "&amp;IF(M481&amp;""="","NULL::smallint",M481&amp;"::smallint")&amp;", p_mes_fabricacion =&gt; "&amp;IF(N481&amp;""="","NULL::smallint",N481&amp;"::smallint")&amp;", p_fecha_ultima_prueba_hidrostatica =&gt; "&amp;IF(O481&amp;""="","NULL","'"&amp;YEAR(O481)&amp;"-"&amp;TEXT(MONTH(O481),"00")&amp;"-"&amp;TEXT(DAY(O481),"00")&amp;"'")&amp;", p_numero_serie =&gt; "&amp;IF(TRIM(Q481&amp;"")="","NULL","'"&amp;SUBSTITUTE(TRIM(Q481),"'","''")&amp;"'")&amp;", p_id_marca_cilindro =&gt; "&amp;IF(TRIM(R481&amp;"")="","NULL","(SELECT lo.id FROM gen_lista_opciones lo JOIN gen_lista l ON l.id = lo.id_lista WHERE l.nombre = 'MarcaCilindro' AND upper(lo.nombre) = upper('"&amp;SUBSTITUTE(TRIM(R481),"'","''")&amp;"') AND lo.estado = 1 LIMIT 1)")&amp;", p_id_organo_inspector =&gt; "&amp;IF(TRIM(S481&amp;"")="","NULL","(SELECT lo.id FROM gen_lista_opciones lo JOIN gen_lista l ON l.id = lo.id_lista WHERE l.nombre = 'OrganoInspectorCilindro' AND upper(lo.nombre) = upper('"&amp;SUBSTITUTE(TRIM(S481),"'","''")&amp;"') AND lo.estado = 1 LIMIT 1)")&amp;", p_organo_inspector_no_aplica =&gt; "&amp;IF(S481="NO_APLICA","TRUE","FALSE")&amp;", p_presion_actual =&gt; "&amp;IF(T481&amp;""="","NULL",SUBSTITUTE(T481&amp;"",",","."))&amp;", p_tipo_valvula =&gt; "&amp;IF(TRIM(U481&amp;"")="","NULL","'"&amp;SUBSTITUTE(TRIM(U481),"'","''")&amp;"'")&amp;", p_libro_cilindro =&gt; "&amp;IF(TRIM(V481&amp;"")="","NULL","'"&amp;SUBSTITUTE(TRIM(V481),"'","''")&amp;"'")&amp;", p_pagina_libro =&gt; "&amp;IF(W481&amp;""="","NULL",SUBSTITUTE(W481&amp;"",",","."))&amp;", p_observacion =&gt; "&amp;IF(TRIM(X481&amp;"")="","NULL","'"&amp;SUBSTITUTE(TRIM(X481),"'","''")&amp;"'")&amp;") AS resultado_balon_"&amp;ROW()&amp;";")</f>
        <v/>
      </c>
    </row>
    <row r="482" ht="15.75" customHeight="1" s="64">
      <c r="A482" s="36" t="inlineStr">
        <is>
          <t>478</t>
        </is>
      </c>
      <c r="B482" s="25">
        <f>IF(AND(C482="",D482="",E482=""),"",IF(C482="","FALTA código balón",IF(D482="","FALTA tipo balón",IF(E482="","FALTA gas",IF(F482="","FALTA propietario",IF(AND(C482&lt;&gt;"",SUMPRODUCT(--($C$5:$C$1200=C482))&gt;1),"CÓDIGO BALÓN DUPLICADO",IF(AND(OR(UPPER(F482)="PLANTA",UPPER(F482)="CLIENTE"),G482=""),"FALTA doc propietario/planta",IF(AND(UPPER(F482)="PLANTA",G482="10175332796"),"PLANTA no puede ser RUC empresa","OK"))))))))</f>
        <v/>
      </c>
      <c r="C482" s="23" t="inlineStr">
        <is>
          <t>1549</t>
        </is>
      </c>
      <c r="D482" s="17" t="inlineStr">
        <is>
          <t>Oxígeno Industrial 10 m³</t>
        </is>
      </c>
      <c r="E482" s="17" t="inlineStr">
        <is>
          <t>OXIGENO INDUSTRIAL</t>
        </is>
      </c>
      <c r="F482" s="17" t="inlineStr">
        <is>
          <t>EMPRESA</t>
        </is>
      </c>
      <c r="G482" s="23" t="inlineStr">
        <is>
          <t>10175332796</t>
        </is>
      </c>
      <c r="H482" s="25">
        <f t="array" ref="H482">IF(G482="","",IFERROR(IF(INDEX(Clientes!$D$5:$D$549,MATCH(G482,Clientes!$C$5:$C$549,0))&lt;&gt;"",INDEX(Clientes!$D$5:$D$549,MATCH(G482,Clientes!$C$5:$C$549,0)),TRIM(INDEX(Clientes!$E$5:$E$549,MATCH(G482,Clientes!$C$5:$C$549,0))&amp;" "&amp;INDEX(Clientes!$F$5:$F$549,MATCH(G482,Clientes!$C$5:$C$549,0)))),"NO EXISTE en Clientes"))</f>
        <v/>
      </c>
      <c r="I482" s="17" t="inlineStr">
        <is>
          <t>EN_PODER_CLIENTE</t>
        </is>
      </c>
      <c r="J482" s="17" t="n"/>
      <c r="K482" s="23" t="inlineStr">
        <is>
          <t>20604078866</t>
        </is>
      </c>
      <c r="L482" s="25">
        <f t="array" ref="L482">IF(K482="","",IFERROR(IF(INDEX(Clientes!$D$5:$D$549,MATCH(K482,Clientes!$C$5:$C$549,0))&lt;&gt;"",INDEX(Clientes!$D$5:$D$549,MATCH(K482,Clientes!$C$5:$C$549,0)),TRIM(INDEX(Clientes!$E$5:$E$549,MATCH(K482,Clientes!$C$5:$C$549,0))&amp;" "&amp;INDEX(Clientes!$F$5:$F$549,MATCH(K482,Clientes!$C$5:$C$549,0)))),"NO EXISTE en Clientes"))</f>
        <v/>
      </c>
      <c r="M482" s="17" t="n"/>
      <c r="N482" s="17" t="n"/>
      <c r="O482" s="42" t="n"/>
      <c r="P482" s="39">
        <f>IF(O482&lt;&gt;"",DATE(YEAR(O482)+5,MONTH(O482),1),IF(AND(M482&lt;&gt;"",N482&lt;&gt;""),DATE(M482+5,N482,1),""))</f>
        <v/>
      </c>
      <c r="Q482" s="23" t="n"/>
      <c r="R482" s="17" t="n"/>
      <c r="S482" s="17" t="n"/>
      <c r="T482" s="17" t="n"/>
      <c r="U482" s="17" t="n"/>
      <c r="V482" s="23" t="n"/>
      <c r="W482" s="17" t="n"/>
      <c r="X482" s="17" t="n"/>
      <c r="Y482" s="28">
        <f>IF(B482&lt;&gt;"OK","","SELECT bal_crear_balon(p_codigo_balon =&gt; "&amp;IF(TRIM(C482&amp;"")="","NULL","'"&amp;SUBSTITUTE(TRIM(C482),"'","''")&amp;"'")&amp;", p_id_tipo_balon =&gt; "&amp;"(SELECT id FROM bal_tipo_balon WHERE upper(nombre) = upper('"&amp;SUBSTITUTE(TRIM(D482),"'","''")&amp;"') AND estado = 1 LIMIT 1)"&amp;", p_id_producto_gas =&gt; "&amp;"(SELECT id FROM pro_producto WHERE es_gas = TRUE AND upper(nombre) = upper('"&amp;SUBSTITUTE(TRIM(E482),"'","''")&amp;"') AND estado = 1 LIMIT 1)"&amp;", p_id_propietario =&gt; "&amp;IF(TRIM(F482&amp;"")="","NULL","(SELECT lo.id FROM gen_lista_opciones lo JOIN gen_lista l ON l.id = lo.id_lista WHERE l.nombre = 'PropietarioBalon' AND upper(lo.nombre) = upper('"&amp;SUBSTITUTE(TRIM(F482),"'","''")&amp;"') AND lo.estado = 1 LIMIT 1)")&amp;", p_id_cliente_propietario =&gt; "&amp;IF(F482="CLIENTE",IF(TRIM(G482&amp;"")="","NULL","(SELECT id FROM cli_clientes WHERE numero_documento = '"&amp;SUBSTITUTE(TRIM(G482),"'","''")&amp;"' AND estado = 1 LIMIT 1)"),"NULL")&amp;", p_id_planta =&gt; "&amp;IF(F482="PLANTA",IF(TRIM(G482&amp;"")="","NULL","(SELECT id FROM cli_clientes WHERE numero_documento = '"&amp;SUBSTITUTE(TRIM(G482),"'","''")&amp;"'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"&amp;IF(TRIM(J482&amp;"")="","NULL","(SELECT id FROM gen_almacen WHERE upper(nombre) = upper('"&amp;SUBSTITUTE(TRIM(J482),"'","''")&amp;"') AND estado = 1 LIMIT 1)")&amp;", p_id_cliente_ubicacion =&gt; "&amp;IF(TRIM(K482&amp;"")="","NULL","(SELECT id FROM cli_clientes WHERE numero_documento = '"&amp;SUBSTITUTE(TRIM(K482),"'","''")&amp;"' AND estado = 1 LIMIT 1)")&amp;", p_id_referencia =&gt; "&amp;IF(TRIM(J482&amp;"")&lt;&gt;"","(SELECT lo.id FROM gen_lista_opciones lo JOIN gen_lista l ON l.id = lo.id_lista WHERE l.nombre = 'ReferenciaCilindro' AND upper(lo.nombre) = 'ALMACEN' AND lo.estado = 1 LIMIT 1)",IF(TRIM(K482&amp;"")&lt;&gt;"","(SELECT lo.id FROM gen_lista_opciones lo JOIN gen_lista l ON l.id = lo.id_lista WHERE l.nombre = 'ReferenciaCilindro' AND upper(lo.nombre) = 'CLIENTE' AND lo.estado = 1 LIMIT 1)","NULL"))&amp;", p_anio_fabricacion =&gt; "&amp;IF(M482&amp;""="","NULL::smallint",M482&amp;"::smallint")&amp;", p_mes_fabricacion =&gt; "&amp;IF(N482&amp;""="","NULL::smallint",N482&amp;"::smallint")&amp;", p_fecha_ultima_prueba_hidrostatica =&gt; "&amp;IF(O482&amp;""="","NULL","'"&amp;YEAR(O482)&amp;"-"&amp;TEXT(MONTH(O482),"00")&amp;"-"&amp;TEXT(DAY(O482),"00")&amp;"'")&amp;", p_numero_serie =&gt; "&amp;IF(TRIM(Q482&amp;"")="","NULL","'"&amp;SUBSTITUTE(TRIM(Q482),"'","''")&amp;"'")&amp;", p_id_marca_cilindro =&gt; "&amp;IF(TRIM(R482&amp;"")="","NULL","(SELECT lo.id FROM gen_lista_opciones lo JOIN gen_lista l ON l.id = lo.id_lista WHERE l.nombre = 'MarcaCilindro' AND upper(lo.nombre) = upper('"&amp;SUBSTITUTE(TRIM(R482),"'","''")&amp;"') AND lo.estado = 1 LIMIT 1)")&amp;", p_id_organo_inspector =&gt; "&amp;IF(TRIM(S482&amp;"")="","NULL","(SELECT lo.id FROM gen_lista_opciones lo JOIN gen_lista l ON l.id = lo.id_lista WHERE l.nombre = 'OrganoInspectorCilindro' AND upper(lo.nombre) = upper('"&amp;SUBSTITUTE(TRIM(S482),"'","''")&amp;"') AND lo.estado = 1 LIMIT 1)")&amp;", p_organo_inspector_no_aplica =&gt; "&amp;IF(S482="NO_APLICA","TRUE","FALSE")&amp;", p_presion_actual =&gt; "&amp;IF(T482&amp;""="","NULL",SUBSTITUTE(T482&amp;"",",","."))&amp;", p_tipo_valvula =&gt; "&amp;IF(TRIM(U482&amp;"")="","NULL","'"&amp;SUBSTITUTE(TRIM(U482),"'","''")&amp;"'")&amp;", p_libro_cilindro =&gt; "&amp;IF(TRIM(V482&amp;"")="","NULL","'"&amp;SUBSTITUTE(TRIM(V482),"'","''")&amp;"'")&amp;", p_pagina_libro =&gt; "&amp;IF(W482&amp;""="","NULL",SUBSTITUTE(W482&amp;"",",","."))&amp;", p_observacion =&gt; "&amp;IF(TRIM(X482&amp;"")="","NULL","'"&amp;SUBSTITUTE(TRIM(X482),"'","''")&amp;"'")&amp;") AS resultado_balon_"&amp;ROW()&amp;";")</f>
        <v/>
      </c>
    </row>
    <row r="483" ht="15.75" customHeight="1" s="64">
      <c r="A483" s="36" t="inlineStr">
        <is>
          <t>479</t>
        </is>
      </c>
      <c r="B483" s="25">
        <f>IF(AND(C483="",D483="",E483=""),"",IF(C483="","FALTA código balón",IF(D483="","FALTA tipo balón",IF(E483="","FALTA gas",IF(F483="","FALTA propietario",IF(AND(C483&lt;&gt;"",SUMPRODUCT(--($C$5:$C$1200=C483))&gt;1),"CÓDIGO BALÓN DUPLICADO",IF(AND(OR(UPPER(F483)="PLANTA",UPPER(F483)="CLIENTE"),G483=""),"FALTA doc propietario/planta",IF(AND(UPPER(F483)="PLANTA",G483="10175332796"),"PLANTA no puede ser RUC empresa","OK"))))))))</f>
        <v/>
      </c>
      <c r="C483" s="23" t="inlineStr">
        <is>
          <t>YA20X193181</t>
        </is>
      </c>
      <c r="D483" s="17" t="inlineStr">
        <is>
          <t>Oxígeno Industrial 10 m³</t>
        </is>
      </c>
      <c r="E483" s="17" t="inlineStr">
        <is>
          <t>OXIGENO INDUSTRIAL</t>
        </is>
      </c>
      <c r="F483" s="17" t="inlineStr">
        <is>
          <t>EMPRESA</t>
        </is>
      </c>
      <c r="G483" s="23" t="inlineStr">
        <is>
          <t>10175332796</t>
        </is>
      </c>
      <c r="H483" s="25">
        <f t="array" ref="H483">IF(G483="","",IFERROR(IF(INDEX(Clientes!$D$5:$D$549,MATCH(G483,Clientes!$C$5:$C$549,0))&lt;&gt;"",INDEX(Clientes!$D$5:$D$549,MATCH(G483,Clientes!$C$5:$C$549,0)),TRIM(INDEX(Clientes!$E$5:$E$549,MATCH(G483,Clientes!$C$5:$C$549,0))&amp;" "&amp;INDEX(Clientes!$F$5:$F$549,MATCH(G483,Clientes!$C$5:$C$549,0)))),"NO EXISTE en Clientes"))</f>
        <v/>
      </c>
      <c r="I483" s="17" t="inlineStr">
        <is>
          <t>EN_PODER_CLIENTE</t>
        </is>
      </c>
      <c r="J483" s="17" t="n"/>
      <c r="K483" s="23" t="inlineStr">
        <is>
          <t>20601783372</t>
        </is>
      </c>
      <c r="L483" s="25">
        <f t="array" ref="L483">IF(K483="","",IFERROR(IF(INDEX(Clientes!$D$5:$D$549,MATCH(K483,Clientes!$C$5:$C$549,0))&lt;&gt;"",INDEX(Clientes!$D$5:$D$549,MATCH(K483,Clientes!$C$5:$C$549,0)),TRIM(INDEX(Clientes!$E$5:$E$549,MATCH(K483,Clientes!$C$5:$C$549,0))&amp;" "&amp;INDEX(Clientes!$F$5:$F$549,MATCH(K483,Clientes!$C$5:$C$549,0)))),"NO EXISTE en Clientes"))</f>
        <v/>
      </c>
      <c r="M483" s="17" t="n"/>
      <c r="N483" s="17" t="n"/>
      <c r="O483" s="42" t="n"/>
      <c r="P483" s="39">
        <f>IF(O483&lt;&gt;"",DATE(YEAR(O483)+5,MONTH(O483),1),IF(AND(M483&lt;&gt;"",N483&lt;&gt;""),DATE(M483+5,N483,1),""))</f>
        <v/>
      </c>
      <c r="Q483" s="23" t="n"/>
      <c r="R483" s="17" t="n"/>
      <c r="S483" s="17" t="n"/>
      <c r="T483" s="17" t="n"/>
      <c r="U483" s="17" t="n"/>
      <c r="V483" s="23" t="n"/>
      <c r="W483" s="17" t="n"/>
      <c r="X483" s="17" t="n"/>
      <c r="Y483" s="28">
        <f>IF(B483&lt;&gt;"OK","","SELECT bal_crear_balon(p_codigo_balon =&gt; "&amp;IF(TRIM(C483&amp;"")="","NULL","'"&amp;SUBSTITUTE(TRIM(C483),"'","''")&amp;"'")&amp;", p_id_tipo_balon =&gt; "&amp;"(SELECT id FROM bal_tipo_balon WHERE upper(nombre) = upper('"&amp;SUBSTITUTE(TRIM(D483),"'","''")&amp;"') AND estado = 1 LIMIT 1)"&amp;", p_id_producto_gas =&gt; "&amp;"(SELECT id FROM pro_producto WHERE es_gas = TRUE AND upper(nombre) = upper('"&amp;SUBSTITUTE(TRIM(E483),"'","''")&amp;"') AND estado = 1 LIMIT 1)"&amp;", p_id_propietario =&gt; "&amp;IF(TRIM(F483&amp;"")="","NULL","(SELECT lo.id FROM gen_lista_opciones lo JOIN gen_lista l ON l.id = lo.id_lista WHERE l.nombre = 'PropietarioBalon' AND upper(lo.nombre) = upper('"&amp;SUBSTITUTE(TRIM(F483),"'","''")&amp;"') AND lo.estado = 1 LIMIT 1)")&amp;", p_id_cliente_propietario =&gt; "&amp;IF(F483="CLIENTE",IF(TRIM(G483&amp;"")="","NULL","(SELECT id FROM cli_clientes WHERE numero_documento = '"&amp;SUBSTITUTE(TRIM(G483),"'","''")&amp;"' AND estado = 1 LIMIT 1)"),"NULL")&amp;", p_id_planta =&gt; "&amp;IF(F483="PLANTA",IF(TRIM(G483&amp;"")="","NULL","(SELECT id FROM cli_clientes WHERE numero_documento = '"&amp;SUBSTITUTE(TRIM(G483),"'","''")&amp;"'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"&amp;IF(TRIM(J483&amp;"")="","NULL","(SELECT id FROM gen_almacen WHERE upper(nombre) = upper('"&amp;SUBSTITUTE(TRIM(J483),"'","''")&amp;"') AND estado = 1 LIMIT 1)")&amp;", p_id_cliente_ubicacion =&gt; "&amp;IF(TRIM(K483&amp;"")="","NULL","(SELECT id FROM cli_clientes WHERE numero_documento = '"&amp;SUBSTITUTE(TRIM(K483),"'","''")&amp;"' AND estado = 1 LIMIT 1)")&amp;", p_id_referencia =&gt; "&amp;IF(TRIM(J483&amp;"")&lt;&gt;"","(SELECT lo.id FROM gen_lista_opciones lo JOIN gen_lista l ON l.id = lo.id_lista WHERE l.nombre = 'ReferenciaCilindro' AND upper(lo.nombre) = 'ALMACEN' AND lo.estado = 1 LIMIT 1)",IF(TRIM(K483&amp;"")&lt;&gt;"","(SELECT lo.id FROM gen_lista_opciones lo JOIN gen_lista l ON l.id = lo.id_lista WHERE l.nombre = 'ReferenciaCilindro' AND upper(lo.nombre) = 'CLIENTE' AND lo.estado = 1 LIMIT 1)","NULL"))&amp;", p_anio_fabricacion =&gt; "&amp;IF(M483&amp;""="","NULL::smallint",M483&amp;"::smallint")&amp;", p_mes_fabricacion =&gt; "&amp;IF(N483&amp;""="","NULL::smallint",N483&amp;"::smallint")&amp;", p_fecha_ultima_prueba_hidrostatica =&gt; "&amp;IF(O483&amp;""="","NULL","'"&amp;YEAR(O483)&amp;"-"&amp;TEXT(MONTH(O483),"00")&amp;"-"&amp;TEXT(DAY(O483),"00")&amp;"'")&amp;", p_numero_serie =&gt; "&amp;IF(TRIM(Q483&amp;"")="","NULL","'"&amp;SUBSTITUTE(TRIM(Q483),"'","''")&amp;"'")&amp;", p_id_marca_cilindro =&gt; "&amp;IF(TRIM(R483&amp;"")="","NULL","(SELECT lo.id FROM gen_lista_opciones lo JOIN gen_lista l ON l.id = lo.id_lista WHERE l.nombre = 'MarcaCilindro' AND upper(lo.nombre) = upper('"&amp;SUBSTITUTE(TRIM(R483),"'","''")&amp;"') AND lo.estado = 1 LIMIT 1)")&amp;", p_id_organo_inspector =&gt; "&amp;IF(TRIM(S483&amp;"")="","NULL","(SELECT lo.id FROM gen_lista_opciones lo JOIN gen_lista l ON l.id = lo.id_lista WHERE l.nombre = 'OrganoInspectorCilindro' AND upper(lo.nombre) = upper('"&amp;SUBSTITUTE(TRIM(S483),"'","''")&amp;"') AND lo.estado = 1 LIMIT 1)")&amp;", p_organo_inspector_no_aplica =&gt; "&amp;IF(S483="NO_APLICA","TRUE","FALSE")&amp;", p_presion_actual =&gt; "&amp;IF(T483&amp;""="","NULL",SUBSTITUTE(T483&amp;"",",","."))&amp;", p_tipo_valvula =&gt; "&amp;IF(TRIM(U483&amp;"")="","NULL","'"&amp;SUBSTITUTE(TRIM(U483),"'","''")&amp;"'")&amp;", p_libro_cilindro =&gt; "&amp;IF(TRIM(V483&amp;"")="","NULL","'"&amp;SUBSTITUTE(TRIM(V483),"'","''")&amp;"'")&amp;", p_pagina_libro =&gt; "&amp;IF(W483&amp;""="","NULL",SUBSTITUTE(W483&amp;"",",","."))&amp;", p_observacion =&gt; "&amp;IF(TRIM(X483&amp;"")="","NULL","'"&amp;SUBSTITUTE(TRIM(X483),"'","''")&amp;"'")&amp;") AS resultado_balon_"&amp;ROW()&amp;";")</f>
        <v/>
      </c>
    </row>
    <row r="484" ht="15.75" customHeight="1" s="64">
      <c r="A484" s="36" t="inlineStr">
        <is>
          <t>480</t>
        </is>
      </c>
      <c r="B484" s="25">
        <f>IF(AND(C484="",D484="",E484=""),"",IF(C484="","FALTA código balón",IF(D484="","FALTA tipo balón",IF(E484="","FALTA gas",IF(F484="","FALTA propietario",IF(AND(C484&lt;&gt;"",SUMPRODUCT(--($C$5:$C$1200=C484))&gt;1),"CÓDIGO BALÓN DUPLICADO",IF(AND(OR(UPPER(F484)="PLANTA",UPPER(F484)="CLIENTE"),G484=""),"FALTA doc propietario/planta",IF(AND(UPPER(F484)="PLANTA",G484="10175332796"),"PLANTA no puede ser RUC empresa","OK"))))))))</f>
        <v/>
      </c>
      <c r="C484" s="23" t="inlineStr">
        <is>
          <t>303183</t>
        </is>
      </c>
      <c r="D484" s="17" t="inlineStr">
        <is>
          <t>Oxígeno Industrial 6 m³</t>
        </is>
      </c>
      <c r="E484" s="17" t="inlineStr">
        <is>
          <t>OXIGENO INDUSTRIAL</t>
        </is>
      </c>
      <c r="F484" s="17" t="inlineStr">
        <is>
          <t>EMPRESA</t>
        </is>
      </c>
      <c r="G484" s="23" t="inlineStr">
        <is>
          <t>10175332796</t>
        </is>
      </c>
      <c r="H484" s="25">
        <f t="array" ref="H484">IF(G484="","",IFERROR(IF(INDEX(Clientes!$D$5:$D$549,MATCH(G484,Clientes!$C$5:$C$549,0))&lt;&gt;"",INDEX(Clientes!$D$5:$D$549,MATCH(G484,Clientes!$C$5:$C$549,0)),TRIM(INDEX(Clientes!$E$5:$E$549,MATCH(G484,Clientes!$C$5:$C$549,0))&amp;" "&amp;INDEX(Clientes!$F$5:$F$549,MATCH(G484,Clientes!$C$5:$C$549,0)))),"NO EXISTE en Clientes"))</f>
        <v/>
      </c>
      <c r="I484" s="17" t="inlineStr">
        <is>
          <t>EN_PODER_CLIENTE</t>
        </is>
      </c>
      <c r="J484" s="17" t="n"/>
      <c r="K484" s="23" t="inlineStr">
        <is>
          <t>16563500</t>
        </is>
      </c>
      <c r="L484" s="25">
        <f t="array" ref="L484">IF(K484="","",IFERROR(IF(INDEX(Clientes!$D$5:$D$549,MATCH(K484,Clientes!$C$5:$C$549,0))&lt;&gt;"",INDEX(Clientes!$D$5:$D$549,MATCH(K484,Clientes!$C$5:$C$549,0)),TRIM(INDEX(Clientes!$E$5:$E$549,MATCH(K484,Clientes!$C$5:$C$549,0))&amp;" "&amp;INDEX(Clientes!$F$5:$F$549,MATCH(K484,Clientes!$C$5:$C$549,0)))),"NO EXISTE en Clientes"))</f>
        <v/>
      </c>
      <c r="M484" s="17" t="n"/>
      <c r="N484" s="17" t="n"/>
      <c r="O484" s="42" t="n"/>
      <c r="P484" s="39">
        <f>IF(O484&lt;&gt;"",DATE(YEAR(O484)+5,MONTH(O484),1),IF(AND(M484&lt;&gt;"",N484&lt;&gt;""),DATE(M484+5,N484,1),""))</f>
        <v/>
      </c>
      <c r="Q484" s="23" t="n"/>
      <c r="R484" s="17" t="n"/>
      <c r="S484" s="17" t="n"/>
      <c r="T484" s="17" t="n"/>
      <c r="U484" s="17" t="n"/>
      <c r="V484" s="23" t="n"/>
      <c r="W484" s="17" t="n"/>
      <c r="X484" s="17" t="n"/>
      <c r="Y484" s="28">
        <f>IF(B484&lt;&gt;"OK","","SELECT bal_crear_balon(p_codigo_balon =&gt; "&amp;IF(TRIM(C484&amp;"")="","NULL","'"&amp;SUBSTITUTE(TRIM(C484),"'","''")&amp;"'")&amp;", p_id_tipo_balon =&gt; "&amp;"(SELECT id FROM bal_tipo_balon WHERE upper(nombre) = upper('"&amp;SUBSTITUTE(TRIM(D484),"'","''")&amp;"') AND estado = 1 LIMIT 1)"&amp;", p_id_producto_gas =&gt; "&amp;"(SELECT id FROM pro_producto WHERE es_gas = TRUE AND upper(nombre) = upper('"&amp;SUBSTITUTE(TRIM(E484),"'","''")&amp;"') AND estado = 1 LIMIT 1)"&amp;", p_id_propietario =&gt; "&amp;IF(TRIM(F484&amp;"")="","NULL","(SELECT lo.id FROM gen_lista_opciones lo JOIN gen_lista l ON l.id = lo.id_lista WHERE l.nombre = 'PropietarioBalon' AND upper(lo.nombre) = upper('"&amp;SUBSTITUTE(TRIM(F484),"'","''")&amp;"') AND lo.estado = 1 LIMIT 1)")&amp;", p_id_cliente_propietario =&gt; "&amp;IF(F484="CLIENTE",IF(TRIM(G484&amp;"")="","NULL","(SELECT id FROM cli_clientes WHERE numero_documento = '"&amp;SUBSTITUTE(TRIM(G484),"'","''")&amp;"' AND estado = 1 LIMIT 1)"),"NULL")&amp;", p_id_planta =&gt; "&amp;IF(F484="PLANTA",IF(TRIM(G484&amp;"")="","NULL","(SELECT id FROM cli_clientes WHERE numero_documento = '"&amp;SUBSTITUTE(TRIM(G484),"'","''")&amp;"'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"&amp;IF(TRIM(J484&amp;"")="","NULL","(SELECT id FROM gen_almacen WHERE upper(nombre) = upper('"&amp;SUBSTITUTE(TRIM(J484),"'","''")&amp;"') AND estado = 1 LIMIT 1)")&amp;", p_id_cliente_ubicacion =&gt; "&amp;IF(TRIM(K484&amp;"")="","NULL","(SELECT id FROM cli_clientes WHERE numero_documento = '"&amp;SUBSTITUTE(TRIM(K484),"'","''")&amp;"' AND estado = 1 LIMIT 1)")&amp;", p_id_referencia =&gt; "&amp;IF(TRIM(J484&amp;"")&lt;&gt;"","(SELECT lo.id FROM gen_lista_opciones lo JOIN gen_lista l ON l.id = lo.id_lista WHERE l.nombre = 'ReferenciaCilindro' AND upper(lo.nombre) = 'ALMACEN' AND lo.estado = 1 LIMIT 1)",IF(TRIM(K484&amp;"")&lt;&gt;"","(SELECT lo.id FROM gen_lista_opciones lo JOIN gen_lista l ON l.id = lo.id_lista WHERE l.nombre = 'ReferenciaCilindro' AND upper(lo.nombre) = 'CLIENTE' AND lo.estado = 1 LIMIT 1)","NULL"))&amp;", p_anio_fabricacion =&gt; "&amp;IF(M484&amp;""="","NULL::smallint",M484&amp;"::smallint")&amp;", p_mes_fabricacion =&gt; "&amp;IF(N484&amp;""="","NULL::smallint",N484&amp;"::smallint")&amp;", p_fecha_ultima_prueba_hidrostatica =&gt; "&amp;IF(O484&amp;""="","NULL","'"&amp;YEAR(O484)&amp;"-"&amp;TEXT(MONTH(O484),"00")&amp;"-"&amp;TEXT(DAY(O484),"00")&amp;"'")&amp;", p_numero_serie =&gt; "&amp;IF(TRIM(Q484&amp;"")="","NULL","'"&amp;SUBSTITUTE(TRIM(Q484),"'","''")&amp;"'")&amp;", p_id_marca_cilindro =&gt; "&amp;IF(TRIM(R484&amp;"")="","NULL","(SELECT lo.id FROM gen_lista_opciones lo JOIN gen_lista l ON l.id = lo.id_lista WHERE l.nombre = 'MarcaCilindro' AND upper(lo.nombre) = upper('"&amp;SUBSTITUTE(TRIM(R484),"'","''")&amp;"') AND lo.estado = 1 LIMIT 1)")&amp;", p_id_organo_inspector =&gt; "&amp;IF(TRIM(S484&amp;"")="","NULL","(SELECT lo.id FROM gen_lista_opciones lo JOIN gen_lista l ON l.id = lo.id_lista WHERE l.nombre = 'OrganoInspectorCilindro' AND upper(lo.nombre) = upper('"&amp;SUBSTITUTE(TRIM(S484),"'","''")&amp;"') AND lo.estado = 1 LIMIT 1)")&amp;", p_organo_inspector_no_aplica =&gt; "&amp;IF(S484="NO_APLICA","TRUE","FALSE")&amp;", p_presion_actual =&gt; "&amp;IF(T484&amp;""="","NULL",SUBSTITUTE(T484&amp;"",",","."))&amp;", p_tipo_valvula =&gt; "&amp;IF(TRIM(U484&amp;"")="","NULL","'"&amp;SUBSTITUTE(TRIM(U484),"'","''")&amp;"'")&amp;", p_libro_cilindro =&gt; "&amp;IF(TRIM(V484&amp;"")="","NULL","'"&amp;SUBSTITUTE(TRIM(V484),"'","''")&amp;"'")&amp;", p_pagina_libro =&gt; "&amp;IF(W484&amp;""="","NULL",SUBSTITUTE(W484&amp;"",",","."))&amp;", p_observacion =&gt; "&amp;IF(TRIM(X484&amp;"")="","NULL","'"&amp;SUBSTITUTE(TRIM(X484),"'","''")&amp;"'")&amp;") AS resultado_balon_"&amp;ROW()&amp;";")</f>
        <v/>
      </c>
    </row>
    <row r="485" ht="15.75" customHeight="1" s="64">
      <c r="A485" s="36" t="inlineStr">
        <is>
          <t>481</t>
        </is>
      </c>
      <c r="B485" s="25">
        <f>IF(AND(C485="",D485="",E485=""),"",IF(C485="","FALTA código balón",IF(D485="","FALTA tipo balón",IF(E485="","FALTA gas",IF(F485="","FALTA propietario",IF(AND(C485&lt;&gt;"",SUMPRODUCT(--($C$5:$C$1200=C485))&gt;1),"CÓDIGO BALÓN DUPLICADO",IF(AND(OR(UPPER(F485)="PLANTA",UPPER(F485)="CLIENTE"),G485=""),"FALTA doc propietario/planta",IF(AND(UPPER(F485)="PLANTA",G485="10175332796"),"PLANTA no puede ser RUC empresa","OK"))))))))</f>
        <v/>
      </c>
      <c r="C485" s="23" t="inlineStr">
        <is>
          <t>LHP3048</t>
        </is>
      </c>
      <c r="D485" s="17" t="inlineStr">
        <is>
          <t>Oxígeno Industrial 10 m³</t>
        </is>
      </c>
      <c r="E485" s="17" t="inlineStr">
        <is>
          <t>OXIGENO INDUSTRIAL</t>
        </is>
      </c>
      <c r="F485" s="17" t="inlineStr">
        <is>
          <t>EMPRESA</t>
        </is>
      </c>
      <c r="G485" s="23" t="inlineStr">
        <is>
          <t>10175332796</t>
        </is>
      </c>
      <c r="H485" s="25">
        <f t="array" ref="H485">IF(G485="","",IFERROR(IF(INDEX(Clientes!$D$5:$D$549,MATCH(G485,Clientes!$C$5:$C$549,0))&lt;&gt;"",INDEX(Clientes!$D$5:$D$549,MATCH(G485,Clientes!$C$5:$C$549,0)),TRIM(INDEX(Clientes!$E$5:$E$549,MATCH(G485,Clientes!$C$5:$C$549,0))&amp;" "&amp;INDEX(Clientes!$F$5:$F$549,MATCH(G485,Clientes!$C$5:$C$549,0)))),"NO EXISTE en Clientes"))</f>
        <v/>
      </c>
      <c r="I485" s="17" t="inlineStr">
        <is>
          <t>EN_PODER_CLIENTE</t>
        </is>
      </c>
      <c r="J485" s="17" t="n"/>
      <c r="K485" s="23" t="inlineStr">
        <is>
          <t>20526140151</t>
        </is>
      </c>
      <c r="L485" s="25">
        <f t="array" ref="L485">IF(K485="","",IFERROR(IF(INDEX(Clientes!$D$5:$D$549,MATCH(K485,Clientes!$C$5:$C$549,0))&lt;&gt;"",INDEX(Clientes!$D$5:$D$549,MATCH(K485,Clientes!$C$5:$C$549,0)),TRIM(INDEX(Clientes!$E$5:$E$549,MATCH(K485,Clientes!$C$5:$C$549,0))&amp;" "&amp;INDEX(Clientes!$F$5:$F$549,MATCH(K485,Clientes!$C$5:$C$549,0)))),"NO EXISTE en Clientes"))</f>
        <v/>
      </c>
      <c r="M485" s="17" t="n"/>
      <c r="N485" s="17" t="n"/>
      <c r="O485" s="42" t="n"/>
      <c r="P485" s="39">
        <f>IF(O485&lt;&gt;"",DATE(YEAR(O485)+5,MONTH(O485),1),IF(AND(M485&lt;&gt;"",N485&lt;&gt;""),DATE(M485+5,N485,1),""))</f>
        <v/>
      </c>
      <c r="Q485" s="23" t="n"/>
      <c r="R485" s="17" t="n"/>
      <c r="S485" s="17" t="n"/>
      <c r="T485" s="17" t="n"/>
      <c r="U485" s="17" t="n"/>
      <c r="V485" s="23" t="n"/>
      <c r="W485" s="17" t="n"/>
      <c r="X485" s="17" t="n"/>
      <c r="Y485" s="28">
        <f>IF(B485&lt;&gt;"OK","","SELECT bal_crear_balon(p_codigo_balon =&gt; "&amp;IF(TRIM(C485&amp;"")="","NULL","'"&amp;SUBSTITUTE(TRIM(C485),"'","''")&amp;"'")&amp;", p_id_tipo_balon =&gt; "&amp;"(SELECT id FROM bal_tipo_balon WHERE upper(nombre) = upper('"&amp;SUBSTITUTE(TRIM(D485),"'","''")&amp;"') AND estado = 1 LIMIT 1)"&amp;", p_id_producto_gas =&gt; "&amp;"(SELECT id FROM pro_producto WHERE es_gas = TRUE AND upper(nombre) = upper('"&amp;SUBSTITUTE(TRIM(E485),"'","''")&amp;"') AND estado = 1 LIMIT 1)"&amp;", p_id_propietario =&gt; "&amp;IF(TRIM(F485&amp;"")="","NULL","(SELECT lo.id FROM gen_lista_opciones lo JOIN gen_lista l ON l.id = lo.id_lista WHERE l.nombre = 'PropietarioBalon' AND upper(lo.nombre) = upper('"&amp;SUBSTITUTE(TRIM(F485),"'","''")&amp;"') AND lo.estado = 1 LIMIT 1)")&amp;", p_id_cliente_propietario =&gt; "&amp;IF(F485="CLIENTE",IF(TRIM(G485&amp;"")="","NULL","(SELECT id FROM cli_clientes WHERE numero_documento = '"&amp;SUBSTITUTE(TRIM(G485),"'","''")&amp;"' AND estado = 1 LIMIT 1)"),"NULL")&amp;", p_id_planta =&gt; "&amp;IF(F485="PLANTA",IF(TRIM(G485&amp;"")="","NULL","(SELECT id FROM cli_clientes WHERE numero_documento = '"&amp;SUBSTITUTE(TRIM(G485),"'","''")&amp;"'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"&amp;IF(TRIM(J485&amp;"")="","NULL","(SELECT id FROM gen_almacen WHERE upper(nombre) = upper('"&amp;SUBSTITUTE(TRIM(J485),"'","''")&amp;"') AND estado = 1 LIMIT 1)")&amp;", p_id_cliente_ubicacion =&gt; "&amp;IF(TRIM(K485&amp;"")="","NULL","(SELECT id FROM cli_clientes WHERE numero_documento = '"&amp;SUBSTITUTE(TRIM(K485),"'","''")&amp;"' AND estado = 1 LIMIT 1)")&amp;", p_id_referencia =&gt; "&amp;IF(TRIM(J485&amp;"")&lt;&gt;"","(SELECT lo.id FROM gen_lista_opciones lo JOIN gen_lista l ON l.id = lo.id_lista WHERE l.nombre = 'ReferenciaCilindro' AND upper(lo.nombre) = 'ALMACEN' AND lo.estado = 1 LIMIT 1)",IF(TRIM(K485&amp;"")&lt;&gt;"","(SELECT lo.id FROM gen_lista_opciones lo JOIN gen_lista l ON l.id = lo.id_lista WHERE l.nombre = 'ReferenciaCilindro' AND upper(lo.nombre) = 'CLIENTE' AND lo.estado = 1 LIMIT 1)","NULL"))&amp;", p_anio_fabricacion =&gt; "&amp;IF(M485&amp;""="","NULL::smallint",M485&amp;"::smallint")&amp;", p_mes_fabricacion =&gt; "&amp;IF(N485&amp;""="","NULL::smallint",N485&amp;"::smallint")&amp;", p_fecha_ultima_prueba_hidrostatica =&gt; "&amp;IF(O485&amp;""="","NULL","'"&amp;YEAR(O485)&amp;"-"&amp;TEXT(MONTH(O485),"00")&amp;"-"&amp;TEXT(DAY(O485),"00")&amp;"'")&amp;", p_numero_serie =&gt; "&amp;IF(TRIM(Q485&amp;"")="","NULL","'"&amp;SUBSTITUTE(TRIM(Q485),"'","''")&amp;"'")&amp;", p_id_marca_cilindro =&gt; "&amp;IF(TRIM(R485&amp;"")="","NULL","(SELECT lo.id FROM gen_lista_opciones lo JOIN gen_lista l ON l.id = lo.id_lista WHERE l.nombre = 'MarcaCilindro' AND upper(lo.nombre) = upper('"&amp;SUBSTITUTE(TRIM(R485),"'","''")&amp;"') AND lo.estado = 1 LIMIT 1)")&amp;", p_id_organo_inspector =&gt; "&amp;IF(TRIM(S485&amp;"")="","NULL","(SELECT lo.id FROM gen_lista_opciones lo JOIN gen_lista l ON l.id = lo.id_lista WHERE l.nombre = 'OrganoInspectorCilindro' AND upper(lo.nombre) = upper('"&amp;SUBSTITUTE(TRIM(S485),"'","''")&amp;"') AND lo.estado = 1 LIMIT 1)")&amp;", p_organo_inspector_no_aplica =&gt; "&amp;IF(S485="NO_APLICA","TRUE","FALSE")&amp;", p_presion_actual =&gt; "&amp;IF(T485&amp;""="","NULL",SUBSTITUTE(T485&amp;"",",","."))&amp;", p_tipo_valvula =&gt; "&amp;IF(TRIM(U485&amp;"")="","NULL","'"&amp;SUBSTITUTE(TRIM(U485),"'","''")&amp;"'")&amp;", p_libro_cilindro =&gt; "&amp;IF(TRIM(V485&amp;"")="","NULL","'"&amp;SUBSTITUTE(TRIM(V485),"'","''")&amp;"'")&amp;", p_pagina_libro =&gt; "&amp;IF(W485&amp;""="","NULL",SUBSTITUTE(W485&amp;"",",","."))&amp;", p_observacion =&gt; "&amp;IF(TRIM(X485&amp;"")="","NULL","'"&amp;SUBSTITUTE(TRIM(X485),"'","''")&amp;"'")&amp;") AS resultado_balon_"&amp;ROW()&amp;";")</f>
        <v/>
      </c>
    </row>
    <row r="486" ht="15.75" customHeight="1" s="64">
      <c r="A486" s="36" t="inlineStr">
        <is>
          <t>482</t>
        </is>
      </c>
      <c r="B486" s="25">
        <f>IF(AND(C486="",D486="",E486=""),"",IF(C486="","FALTA código balón",IF(D486="","FALTA tipo balón",IF(E486="","FALTA gas",IF(F486="","FALTA propietario",IF(AND(C486&lt;&gt;"",SUMPRODUCT(--($C$5:$C$1200=C486))&gt;1),"CÓDIGO BALÓN DUPLICADO",IF(AND(OR(UPPER(F486)="PLANTA",UPPER(F486)="CLIENTE"),G486=""),"FALTA doc propietario/planta",IF(AND(UPPER(F486)="PLANTA",G486="10175332796"),"PLANTA no puede ser RUC empresa","OK"))))))))</f>
        <v/>
      </c>
      <c r="C486" s="23" t="inlineStr">
        <is>
          <t>194073116</t>
        </is>
      </c>
      <c r="D486" s="17" t="inlineStr">
        <is>
          <t>Oxígeno Industrial 6 m³</t>
        </is>
      </c>
      <c r="E486" s="17" t="inlineStr">
        <is>
          <t>OXIGENO INDUSTRIAL</t>
        </is>
      </c>
      <c r="F486" s="17" t="inlineStr">
        <is>
          <t>EMPRESA</t>
        </is>
      </c>
      <c r="G486" s="23" t="inlineStr">
        <is>
          <t>10175332796</t>
        </is>
      </c>
      <c r="H486" s="25">
        <f t="array" ref="H486">IF(G486="","",IFERROR(IF(INDEX(Clientes!$D$5:$D$549,MATCH(G486,Clientes!$C$5:$C$549,0))&lt;&gt;"",INDEX(Clientes!$D$5:$D$549,MATCH(G486,Clientes!$C$5:$C$549,0)),TRIM(INDEX(Clientes!$E$5:$E$549,MATCH(G486,Clientes!$C$5:$C$549,0))&amp;" "&amp;INDEX(Clientes!$F$5:$F$549,MATCH(G486,Clientes!$C$5:$C$549,0)))),"NO EXISTE en Clientes"))</f>
        <v/>
      </c>
      <c r="I486" s="17" t="inlineStr">
        <is>
          <t>EN_PODER_CLIENTE</t>
        </is>
      </c>
      <c r="J486" s="17" t="n"/>
      <c r="K486" s="23" t="inlineStr">
        <is>
          <t>000041</t>
        </is>
      </c>
      <c r="L486" s="25">
        <f t="array" ref="L486">IF(K486="","",IFERROR(IF(INDEX(Clientes!$D$5:$D$549,MATCH(K486,Clientes!$C$5:$C$549,0))&lt;&gt;"",INDEX(Clientes!$D$5:$D$549,MATCH(K486,Clientes!$C$5:$C$549,0)),TRIM(INDEX(Clientes!$E$5:$E$549,MATCH(K486,Clientes!$C$5:$C$549,0))&amp;" "&amp;INDEX(Clientes!$F$5:$F$549,MATCH(K486,Clientes!$C$5:$C$549,0)))),"NO EXISTE en Clientes"))</f>
        <v/>
      </c>
      <c r="M486" s="17" t="n"/>
      <c r="N486" s="17" t="n"/>
      <c r="O486" s="42" t="n"/>
      <c r="P486" s="39">
        <f>IF(O486&lt;&gt;"",DATE(YEAR(O486)+5,MONTH(O486),1),IF(AND(M486&lt;&gt;"",N486&lt;&gt;""),DATE(M486+5,N486,1),""))</f>
        <v/>
      </c>
      <c r="Q486" s="23" t="n"/>
      <c r="R486" s="17" t="n"/>
      <c r="S486" s="17" t="n"/>
      <c r="T486" s="17" t="n"/>
      <c r="U486" s="17" t="n"/>
      <c r="V486" s="23" t="n"/>
      <c r="W486" s="17" t="n"/>
      <c r="X486" s="17" t="n"/>
      <c r="Y486" s="28">
        <f>IF(B486&lt;&gt;"OK","","SELECT bal_crear_balon(p_codigo_balon =&gt; "&amp;IF(TRIM(C486&amp;"")="","NULL","'"&amp;SUBSTITUTE(TRIM(C486),"'","''")&amp;"'")&amp;", p_id_tipo_balon =&gt; "&amp;"(SELECT id FROM bal_tipo_balon WHERE upper(nombre) = upper('"&amp;SUBSTITUTE(TRIM(D486),"'","''")&amp;"') AND estado = 1 LIMIT 1)"&amp;", p_id_producto_gas =&gt; "&amp;"(SELECT id FROM pro_producto WHERE es_gas = TRUE AND upper(nombre) = upper('"&amp;SUBSTITUTE(TRIM(E486),"'","''")&amp;"') AND estado = 1 LIMIT 1)"&amp;", p_id_propietario =&gt; "&amp;IF(TRIM(F486&amp;"")="","NULL","(SELECT lo.id FROM gen_lista_opciones lo JOIN gen_lista l ON l.id = lo.id_lista WHERE l.nombre = 'PropietarioBalon' AND upper(lo.nombre) = upper('"&amp;SUBSTITUTE(TRIM(F486),"'","''")&amp;"') AND lo.estado = 1 LIMIT 1)")&amp;", p_id_cliente_propietario =&gt; "&amp;IF(F486="CLIENTE",IF(TRIM(G486&amp;"")="","NULL","(SELECT id FROM cli_clientes WHERE numero_documento = '"&amp;SUBSTITUTE(TRIM(G486),"'","''")&amp;"' AND estado = 1 LIMIT 1)"),"NULL")&amp;", p_id_planta =&gt; "&amp;IF(F486="PLANTA",IF(TRIM(G486&amp;"")="","NULL","(SELECT id FROM cli_clientes WHERE numero_documento = '"&amp;SUBSTITUTE(TRIM(G486),"'","''")&amp;"'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"&amp;IF(TRIM(J486&amp;"")="","NULL","(SELECT id FROM gen_almacen WHERE upper(nombre) = upper('"&amp;SUBSTITUTE(TRIM(J486),"'","''")&amp;"') AND estado = 1 LIMIT 1)")&amp;", p_id_cliente_ubicacion =&gt; "&amp;IF(TRIM(K486&amp;"")="","NULL","(SELECT id FROM cli_clientes WHERE numero_documento = '"&amp;SUBSTITUTE(TRIM(K486),"'","''")&amp;"' AND estado = 1 LIMIT 1)")&amp;", p_id_referencia =&gt; "&amp;IF(TRIM(J486&amp;"")&lt;&gt;"","(SELECT lo.id FROM gen_lista_opciones lo JOIN gen_lista l ON l.id = lo.id_lista WHERE l.nombre = 'ReferenciaCilindro' AND upper(lo.nombre) = 'ALMACEN' AND lo.estado = 1 LIMIT 1)",IF(TRIM(K486&amp;"")&lt;&gt;"","(SELECT lo.id FROM gen_lista_opciones lo JOIN gen_lista l ON l.id = lo.id_lista WHERE l.nombre = 'ReferenciaCilindro' AND upper(lo.nombre) = 'CLIENTE' AND lo.estado = 1 LIMIT 1)","NULL"))&amp;", p_anio_fabricacion =&gt; "&amp;IF(M486&amp;""="","NULL::smallint",M486&amp;"::smallint")&amp;", p_mes_fabricacion =&gt; "&amp;IF(N486&amp;""="","NULL::smallint",N486&amp;"::smallint")&amp;", p_fecha_ultima_prueba_hidrostatica =&gt; "&amp;IF(O486&amp;""="","NULL","'"&amp;YEAR(O486)&amp;"-"&amp;TEXT(MONTH(O486),"00")&amp;"-"&amp;TEXT(DAY(O486),"00")&amp;"'")&amp;", p_numero_serie =&gt; "&amp;IF(TRIM(Q486&amp;"")="","NULL","'"&amp;SUBSTITUTE(TRIM(Q486),"'","''")&amp;"'")&amp;", p_id_marca_cilindro =&gt; "&amp;IF(TRIM(R486&amp;"")="","NULL","(SELECT lo.id FROM gen_lista_opciones lo JOIN gen_lista l ON l.id = lo.id_lista WHERE l.nombre = 'MarcaCilindro' AND upper(lo.nombre) = upper('"&amp;SUBSTITUTE(TRIM(R486),"'","''")&amp;"') AND lo.estado = 1 LIMIT 1)")&amp;", p_id_organo_inspector =&gt; "&amp;IF(TRIM(S486&amp;"")="","NULL","(SELECT lo.id FROM gen_lista_opciones lo JOIN gen_lista l ON l.id = lo.id_lista WHERE l.nombre = 'OrganoInspectorCilindro' AND upper(lo.nombre) = upper('"&amp;SUBSTITUTE(TRIM(S486),"'","''")&amp;"') AND lo.estado = 1 LIMIT 1)")&amp;", p_organo_inspector_no_aplica =&gt; "&amp;IF(S486="NO_APLICA","TRUE","FALSE")&amp;", p_presion_actual =&gt; "&amp;IF(T486&amp;""="","NULL",SUBSTITUTE(T486&amp;"",",","."))&amp;", p_tipo_valvula =&gt; "&amp;IF(TRIM(U486&amp;"")="","NULL","'"&amp;SUBSTITUTE(TRIM(U486),"'","''")&amp;"'")&amp;", p_libro_cilindro =&gt; "&amp;IF(TRIM(V486&amp;"")="","NULL","'"&amp;SUBSTITUTE(TRIM(V486),"'","''")&amp;"'")&amp;", p_pagina_libro =&gt; "&amp;IF(W486&amp;""="","NULL",SUBSTITUTE(W486&amp;"",",","."))&amp;", p_observacion =&gt; "&amp;IF(TRIM(X486&amp;"")="","NULL","'"&amp;SUBSTITUTE(TRIM(X486),"'","''")&amp;"'")&amp;") AS resultado_balon_"&amp;ROW()&amp;";")</f>
        <v/>
      </c>
    </row>
    <row r="487" ht="15.75" customHeight="1" s="64">
      <c r="A487" s="36" t="inlineStr">
        <is>
          <t>483</t>
        </is>
      </c>
      <c r="B487" s="25">
        <f>IF(AND(C487="",D487="",E487=""),"",IF(C487="","FALTA código balón",IF(D487="","FALTA tipo balón",IF(E487="","FALTA gas",IF(F487="","FALTA propietario",IF(AND(C487&lt;&gt;"",SUMPRODUCT(--($C$5:$C$1200=C487))&gt;1),"CÓDIGO BALÓN DUPLICADO",IF(AND(OR(UPPER(F487)="PLANTA",UPPER(F487)="CLIENTE"),G487=""),"FALTA doc propietario/planta",IF(AND(UPPER(F487)="PLANTA",G487="10175332796"),"PLANTA no puede ser RUC empresa","OK"))))))))</f>
        <v/>
      </c>
      <c r="C487" s="23" t="inlineStr">
        <is>
          <t>358308</t>
        </is>
      </c>
      <c r="D487" s="17" t="inlineStr">
        <is>
          <t>Oxígeno Industrial 6 m³</t>
        </is>
      </c>
      <c r="E487" s="17" t="inlineStr">
        <is>
          <t>OXIGENO INDUSTRIAL</t>
        </is>
      </c>
      <c r="F487" s="17" t="inlineStr">
        <is>
          <t>EMPRESA</t>
        </is>
      </c>
      <c r="G487" s="23" t="inlineStr">
        <is>
          <t>10175332796</t>
        </is>
      </c>
      <c r="H487" s="25">
        <f t="array" ref="H487">IF(G487="","",IFERROR(IF(INDEX(Clientes!$D$5:$D$549,MATCH(G487,Clientes!$C$5:$C$549,0))&lt;&gt;"",INDEX(Clientes!$D$5:$D$549,MATCH(G487,Clientes!$C$5:$C$549,0)),TRIM(INDEX(Clientes!$E$5:$E$549,MATCH(G487,Clientes!$C$5:$C$549,0))&amp;" "&amp;INDEX(Clientes!$F$5:$F$549,MATCH(G487,Clientes!$C$5:$C$549,0)))),"NO EXISTE en Clientes"))</f>
        <v/>
      </c>
      <c r="I487" s="17" t="inlineStr">
        <is>
          <t>EN_PODER_CLIENTE</t>
        </is>
      </c>
      <c r="J487" s="17" t="n"/>
      <c r="K487" s="23" t="inlineStr">
        <is>
          <t>10176008763</t>
        </is>
      </c>
      <c r="L487" s="25">
        <f t="array" ref="L487">IF(K487="","",IFERROR(IF(INDEX(Clientes!$D$5:$D$549,MATCH(K487,Clientes!$C$5:$C$549,0))&lt;&gt;"",INDEX(Clientes!$D$5:$D$549,MATCH(K487,Clientes!$C$5:$C$549,0)),TRIM(INDEX(Clientes!$E$5:$E$549,MATCH(K487,Clientes!$C$5:$C$549,0))&amp;" "&amp;INDEX(Clientes!$F$5:$F$549,MATCH(K487,Clientes!$C$5:$C$549,0)))),"NO EXISTE en Clientes"))</f>
        <v/>
      </c>
      <c r="M487" s="17" t="n"/>
      <c r="N487" s="17" t="n"/>
      <c r="O487" s="42" t="n"/>
      <c r="P487" s="39">
        <f>IF(O487&lt;&gt;"",DATE(YEAR(O487)+5,MONTH(O487),1),IF(AND(M487&lt;&gt;"",N487&lt;&gt;""),DATE(M487+5,N487,1),""))</f>
        <v/>
      </c>
      <c r="Q487" s="23" t="n"/>
      <c r="R487" s="17" t="n"/>
      <c r="S487" s="17" t="n"/>
      <c r="T487" s="17" t="n"/>
      <c r="U487" s="17" t="n"/>
      <c r="V487" s="23" t="n"/>
      <c r="W487" s="17" t="n"/>
      <c r="X487" s="17" t="n"/>
      <c r="Y487" s="28">
        <f>IF(B487&lt;&gt;"OK","","SELECT bal_crear_balon(p_codigo_balon =&gt; "&amp;IF(TRIM(C487&amp;"")="","NULL","'"&amp;SUBSTITUTE(TRIM(C487),"'","''")&amp;"'")&amp;", p_id_tipo_balon =&gt; "&amp;"(SELECT id FROM bal_tipo_balon WHERE upper(nombre) = upper('"&amp;SUBSTITUTE(TRIM(D487),"'","''")&amp;"') AND estado = 1 LIMIT 1)"&amp;", p_id_producto_gas =&gt; "&amp;"(SELECT id FROM pro_producto WHERE es_gas = TRUE AND upper(nombre) = upper('"&amp;SUBSTITUTE(TRIM(E487),"'","''")&amp;"') AND estado = 1 LIMIT 1)"&amp;", p_id_propietario =&gt; "&amp;IF(TRIM(F487&amp;"")="","NULL","(SELECT lo.id FROM gen_lista_opciones lo JOIN gen_lista l ON l.id = lo.id_lista WHERE l.nombre = 'PropietarioBalon' AND upper(lo.nombre) = upper('"&amp;SUBSTITUTE(TRIM(F487),"'","''")&amp;"') AND lo.estado = 1 LIMIT 1)")&amp;", p_id_cliente_propietario =&gt; "&amp;IF(F487="CLIENTE",IF(TRIM(G487&amp;"")="","NULL","(SELECT id FROM cli_clientes WHERE numero_documento = '"&amp;SUBSTITUTE(TRIM(G487),"'","''")&amp;"' AND estado = 1 LIMIT 1)"),"NULL")&amp;", p_id_planta =&gt; "&amp;IF(F487="PLANTA",IF(TRIM(G487&amp;"")="","NULL","(SELECT id FROM cli_clientes WHERE numero_documento = '"&amp;SUBSTITUTE(TRIM(G487),"'","''")&amp;"'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"&amp;IF(TRIM(J487&amp;"")="","NULL","(SELECT id FROM gen_almacen WHERE upper(nombre) = upper('"&amp;SUBSTITUTE(TRIM(J487),"'","''")&amp;"') AND estado = 1 LIMIT 1)")&amp;", p_id_cliente_ubicacion =&gt; "&amp;IF(TRIM(K487&amp;"")="","NULL","(SELECT id FROM cli_clientes WHERE numero_documento = '"&amp;SUBSTITUTE(TRIM(K487),"'","''")&amp;"' AND estado = 1 LIMIT 1)")&amp;", p_id_referencia =&gt; "&amp;IF(TRIM(J487&amp;"")&lt;&gt;"","(SELECT lo.id FROM gen_lista_opciones lo JOIN gen_lista l ON l.id = lo.id_lista WHERE l.nombre = 'ReferenciaCilindro' AND upper(lo.nombre) = 'ALMACEN' AND lo.estado = 1 LIMIT 1)",IF(TRIM(K487&amp;"")&lt;&gt;"","(SELECT lo.id FROM gen_lista_opciones lo JOIN gen_lista l ON l.id = lo.id_lista WHERE l.nombre = 'ReferenciaCilindro' AND upper(lo.nombre) = 'CLIENTE' AND lo.estado = 1 LIMIT 1)","NULL"))&amp;", p_anio_fabricacion =&gt; "&amp;IF(M487&amp;""="","NULL::smallint",M487&amp;"::smallint")&amp;", p_mes_fabricacion =&gt; "&amp;IF(N487&amp;""="","NULL::smallint",N487&amp;"::smallint")&amp;", p_fecha_ultima_prueba_hidrostatica =&gt; "&amp;IF(O487&amp;""="","NULL","'"&amp;YEAR(O487)&amp;"-"&amp;TEXT(MONTH(O487),"00")&amp;"-"&amp;TEXT(DAY(O487),"00")&amp;"'")&amp;", p_numero_serie =&gt; "&amp;IF(TRIM(Q487&amp;"")="","NULL","'"&amp;SUBSTITUTE(TRIM(Q487),"'","''")&amp;"'")&amp;", p_id_marca_cilindro =&gt; "&amp;IF(TRIM(R487&amp;"")="","NULL","(SELECT lo.id FROM gen_lista_opciones lo JOIN gen_lista l ON l.id = lo.id_lista WHERE l.nombre = 'MarcaCilindro' AND upper(lo.nombre) = upper('"&amp;SUBSTITUTE(TRIM(R487),"'","''")&amp;"') AND lo.estado = 1 LIMIT 1)")&amp;", p_id_organo_inspector =&gt; "&amp;IF(TRIM(S487&amp;"")="","NULL","(SELECT lo.id FROM gen_lista_opciones lo JOIN gen_lista l ON l.id = lo.id_lista WHERE l.nombre = 'OrganoInspectorCilindro' AND upper(lo.nombre) = upper('"&amp;SUBSTITUTE(TRIM(S487),"'","''")&amp;"') AND lo.estado = 1 LIMIT 1)")&amp;", p_organo_inspector_no_aplica =&gt; "&amp;IF(S487="NO_APLICA","TRUE","FALSE")&amp;", p_presion_actual =&gt; "&amp;IF(T487&amp;""="","NULL",SUBSTITUTE(T487&amp;"",",","."))&amp;", p_tipo_valvula =&gt; "&amp;IF(TRIM(U487&amp;"")="","NULL","'"&amp;SUBSTITUTE(TRIM(U487),"'","''")&amp;"'")&amp;", p_libro_cilindro =&gt; "&amp;IF(TRIM(V487&amp;"")="","NULL","'"&amp;SUBSTITUTE(TRIM(V487),"'","''")&amp;"'")&amp;", p_pagina_libro =&gt; "&amp;IF(W487&amp;""="","NULL",SUBSTITUTE(W487&amp;"",",","."))&amp;", p_observacion =&gt; "&amp;IF(TRIM(X487&amp;"")="","NULL","'"&amp;SUBSTITUTE(TRIM(X487),"'","''")&amp;"'")&amp;") AS resultado_balon_"&amp;ROW()&amp;";")</f>
        <v/>
      </c>
    </row>
    <row r="488" ht="15.75" customHeight="1" s="64">
      <c r="A488" s="36" t="inlineStr">
        <is>
          <t>484</t>
        </is>
      </c>
      <c r="B488" s="25">
        <f>IF(AND(C488="",D488="",E488=""),"",IF(C488="","FALTA código balón",IF(D488="","FALTA tipo balón",IF(E488="","FALTA gas",IF(F488="","FALTA propietario",IF(AND(C488&lt;&gt;"",SUMPRODUCT(--($C$5:$C$1200=C488))&gt;1),"CÓDIGO BALÓN DUPLICADO",IF(AND(OR(UPPER(F488)="PLANTA",UPPER(F488)="CLIENTE"),G488=""),"FALTA doc propietario/planta",IF(AND(UPPER(F488)="PLANTA",G488="10175332796"),"PLANTA no puede ser RUC empresa","OK"))))))))</f>
        <v/>
      </c>
      <c r="C488" s="23" t="inlineStr">
        <is>
          <t>1299</t>
        </is>
      </c>
      <c r="D488" s="17" t="inlineStr">
        <is>
          <t>Oxígeno Industrial 6 m³</t>
        </is>
      </c>
      <c r="E488" s="17" t="inlineStr">
        <is>
          <t>OXIGENO INDUSTRIAL</t>
        </is>
      </c>
      <c r="F488" s="17" t="inlineStr">
        <is>
          <t>EMPRESA</t>
        </is>
      </c>
      <c r="G488" s="23" t="inlineStr">
        <is>
          <t>10175332796</t>
        </is>
      </c>
      <c r="H488" s="25">
        <f t="array" ref="H488">IF(G488="","",IFERROR(IF(INDEX(Clientes!$D$5:$D$549,MATCH(G488,Clientes!$C$5:$C$549,0))&lt;&gt;"",INDEX(Clientes!$D$5:$D$549,MATCH(G488,Clientes!$C$5:$C$549,0)),TRIM(INDEX(Clientes!$E$5:$E$549,MATCH(G488,Clientes!$C$5:$C$549,0))&amp;" "&amp;INDEX(Clientes!$F$5:$F$549,MATCH(G488,Clientes!$C$5:$C$549,0)))),"NO EXISTE en Clientes"))</f>
        <v/>
      </c>
      <c r="I488" s="17" t="inlineStr">
        <is>
          <t>EN_PODER_CLIENTE</t>
        </is>
      </c>
      <c r="J488" s="17" t="n"/>
      <c r="K488" s="23" t="inlineStr">
        <is>
          <t>000042</t>
        </is>
      </c>
      <c r="L488" s="25">
        <f t="array" ref="L488">IF(K488="","",IFERROR(IF(INDEX(Clientes!$D$5:$D$549,MATCH(K488,Clientes!$C$5:$C$549,0))&lt;&gt;"",INDEX(Clientes!$D$5:$D$549,MATCH(K488,Clientes!$C$5:$C$549,0)),TRIM(INDEX(Clientes!$E$5:$E$549,MATCH(K488,Clientes!$C$5:$C$549,0))&amp;" "&amp;INDEX(Clientes!$F$5:$F$549,MATCH(K488,Clientes!$C$5:$C$549,0)))),"NO EXISTE en Clientes"))</f>
        <v/>
      </c>
      <c r="M488" s="17" t="n"/>
      <c r="N488" s="17" t="n"/>
      <c r="O488" s="42" t="n"/>
      <c r="P488" s="39">
        <f>IF(O488&lt;&gt;"",DATE(YEAR(O488)+5,MONTH(O488),1),IF(AND(M488&lt;&gt;"",N488&lt;&gt;""),DATE(M488+5,N488,1),""))</f>
        <v/>
      </c>
      <c r="Q488" s="23" t="n"/>
      <c r="R488" s="17" t="n"/>
      <c r="S488" s="17" t="n"/>
      <c r="T488" s="17" t="n"/>
      <c r="U488" s="17" t="n"/>
      <c r="V488" s="23" t="n"/>
      <c r="W488" s="17" t="n"/>
      <c r="X488" s="17" t="n"/>
      <c r="Y488" s="28">
        <f>IF(B488&lt;&gt;"OK","","SELECT bal_crear_balon(p_codigo_balon =&gt; "&amp;IF(TRIM(C488&amp;"")="","NULL","'"&amp;SUBSTITUTE(TRIM(C488),"'","''")&amp;"'")&amp;", p_id_tipo_balon =&gt; "&amp;"(SELECT id FROM bal_tipo_balon WHERE upper(nombre) = upper('"&amp;SUBSTITUTE(TRIM(D488),"'","''")&amp;"') AND estado = 1 LIMIT 1)"&amp;", p_id_producto_gas =&gt; "&amp;"(SELECT id FROM pro_producto WHERE es_gas = TRUE AND upper(nombre) = upper('"&amp;SUBSTITUTE(TRIM(E488),"'","''")&amp;"') AND estado = 1 LIMIT 1)"&amp;", p_id_propietario =&gt; "&amp;IF(TRIM(F488&amp;"")="","NULL","(SELECT lo.id FROM gen_lista_opciones lo JOIN gen_lista l ON l.id = lo.id_lista WHERE l.nombre = 'PropietarioBalon' AND upper(lo.nombre) = upper('"&amp;SUBSTITUTE(TRIM(F488),"'","''")&amp;"') AND lo.estado = 1 LIMIT 1)")&amp;", p_id_cliente_propietario =&gt; "&amp;IF(F488="CLIENTE",IF(TRIM(G488&amp;"")="","NULL","(SELECT id FROM cli_clientes WHERE numero_documento = '"&amp;SUBSTITUTE(TRIM(G488),"'","''")&amp;"' AND estado = 1 LIMIT 1)"),"NULL")&amp;", p_id_planta =&gt; "&amp;IF(F488="PLANTA",IF(TRIM(G488&amp;"")="","NULL","(SELECT id FROM cli_clientes WHERE numero_documento = '"&amp;SUBSTITUTE(TRIM(G488),"'","''")&amp;"'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"&amp;IF(TRIM(J488&amp;"")="","NULL","(SELECT id FROM gen_almacen WHERE upper(nombre) = upper('"&amp;SUBSTITUTE(TRIM(J488),"'","''")&amp;"') AND estado = 1 LIMIT 1)")&amp;", p_id_cliente_ubicacion =&gt; "&amp;IF(TRIM(K488&amp;"")="","NULL","(SELECT id FROM cli_clientes WHERE numero_documento = '"&amp;SUBSTITUTE(TRIM(K488),"'","''")&amp;"' AND estado = 1 LIMIT 1)")&amp;", p_id_referencia =&gt; "&amp;IF(TRIM(J488&amp;"")&lt;&gt;"","(SELECT lo.id FROM gen_lista_opciones lo JOIN gen_lista l ON l.id = lo.id_lista WHERE l.nombre = 'ReferenciaCilindro' AND upper(lo.nombre) = 'ALMACEN' AND lo.estado = 1 LIMIT 1)",IF(TRIM(K488&amp;"")&lt;&gt;"","(SELECT lo.id FROM gen_lista_opciones lo JOIN gen_lista l ON l.id = lo.id_lista WHERE l.nombre = 'ReferenciaCilindro' AND upper(lo.nombre) = 'CLIENTE' AND lo.estado = 1 LIMIT 1)","NULL"))&amp;", p_anio_fabricacion =&gt; "&amp;IF(M488&amp;""="","NULL::smallint",M488&amp;"::smallint")&amp;", p_mes_fabricacion =&gt; "&amp;IF(N488&amp;""="","NULL::smallint",N488&amp;"::smallint")&amp;", p_fecha_ultima_prueba_hidrostatica =&gt; "&amp;IF(O488&amp;""="","NULL","'"&amp;YEAR(O488)&amp;"-"&amp;TEXT(MONTH(O488),"00")&amp;"-"&amp;TEXT(DAY(O488),"00")&amp;"'")&amp;", p_numero_serie =&gt; "&amp;IF(TRIM(Q488&amp;"")="","NULL","'"&amp;SUBSTITUTE(TRIM(Q488),"'","''")&amp;"'")&amp;", p_id_marca_cilindro =&gt; "&amp;IF(TRIM(R488&amp;"")="","NULL","(SELECT lo.id FROM gen_lista_opciones lo JOIN gen_lista l ON l.id = lo.id_lista WHERE l.nombre = 'MarcaCilindro' AND upper(lo.nombre) = upper('"&amp;SUBSTITUTE(TRIM(R488),"'","''")&amp;"') AND lo.estado = 1 LIMIT 1)")&amp;", p_id_organo_inspector =&gt; "&amp;IF(TRIM(S488&amp;"")="","NULL","(SELECT lo.id FROM gen_lista_opciones lo JOIN gen_lista l ON l.id = lo.id_lista WHERE l.nombre = 'OrganoInspectorCilindro' AND upper(lo.nombre) = upper('"&amp;SUBSTITUTE(TRIM(S488),"'","''")&amp;"') AND lo.estado = 1 LIMIT 1)")&amp;", p_organo_inspector_no_aplica =&gt; "&amp;IF(S488="NO_APLICA","TRUE","FALSE")&amp;", p_presion_actual =&gt; "&amp;IF(T488&amp;""="","NULL",SUBSTITUTE(T488&amp;"",",","."))&amp;", p_tipo_valvula =&gt; "&amp;IF(TRIM(U488&amp;"")="","NULL","'"&amp;SUBSTITUTE(TRIM(U488),"'","''")&amp;"'")&amp;", p_libro_cilindro =&gt; "&amp;IF(TRIM(V488&amp;"")="","NULL","'"&amp;SUBSTITUTE(TRIM(V488),"'","''")&amp;"'")&amp;", p_pagina_libro =&gt; "&amp;IF(W488&amp;""="","NULL",SUBSTITUTE(W488&amp;"",",","."))&amp;", p_observacion =&gt; "&amp;IF(TRIM(X488&amp;"")="","NULL","'"&amp;SUBSTITUTE(TRIM(X488),"'","''")&amp;"'")&amp;") AS resultado_balon_"&amp;ROW()&amp;";")</f>
        <v/>
      </c>
    </row>
    <row r="489" ht="15.75" customHeight="1" s="64">
      <c r="A489" s="36" t="inlineStr">
        <is>
          <t>485</t>
        </is>
      </c>
      <c r="B489" s="25">
        <f>IF(AND(C489="",D489="",E489=""),"",IF(C489="","FALTA código balón",IF(D489="","FALTA tipo balón",IF(E489="","FALTA gas",IF(F489="","FALTA propietario",IF(AND(C489&lt;&gt;"",SUMPRODUCT(--($C$5:$C$1200=C489))&gt;1),"CÓDIGO BALÓN DUPLICADO",IF(AND(OR(UPPER(F489)="PLANTA",UPPER(F489)="CLIENTE"),G489=""),"FALTA doc propietario/planta",IF(AND(UPPER(F489)="PLANTA",G489="10175332796"),"PLANTA no puede ser RUC empresa","OK"))))))))</f>
        <v/>
      </c>
      <c r="C489" s="23" t="inlineStr">
        <is>
          <t>N540609</t>
        </is>
      </c>
      <c r="D489" s="17" t="inlineStr">
        <is>
          <t>Oxígeno Industrial 6 m³</t>
        </is>
      </c>
      <c r="E489" s="17" t="inlineStr">
        <is>
          <t>OXIGENO INDUSTRIAL</t>
        </is>
      </c>
      <c r="F489" s="17" t="inlineStr">
        <is>
          <t>EMPRESA</t>
        </is>
      </c>
      <c r="G489" s="23" t="inlineStr">
        <is>
          <t>10175332796</t>
        </is>
      </c>
      <c r="H489" s="25">
        <f t="array" ref="H489">IF(G489="","",IFERROR(IF(INDEX(Clientes!$D$5:$D$549,MATCH(G489,Clientes!$C$5:$C$549,0))&lt;&gt;"",INDEX(Clientes!$D$5:$D$549,MATCH(G489,Clientes!$C$5:$C$549,0)),TRIM(INDEX(Clientes!$E$5:$E$549,MATCH(G489,Clientes!$C$5:$C$549,0))&amp;" "&amp;INDEX(Clientes!$F$5:$F$549,MATCH(G489,Clientes!$C$5:$C$549,0)))),"NO EXISTE en Clientes"))</f>
        <v/>
      </c>
      <c r="I489" s="17" t="inlineStr">
        <is>
          <t>EN_PODER_CLIENTE</t>
        </is>
      </c>
      <c r="J489" s="17" t="n"/>
      <c r="K489" s="23" t="inlineStr">
        <is>
          <t>10176242073</t>
        </is>
      </c>
      <c r="L489" s="25">
        <f t="array" ref="L489">IF(K489="","",IFERROR(IF(INDEX(Clientes!$D$5:$D$549,MATCH(K489,Clientes!$C$5:$C$549,0))&lt;&gt;"",INDEX(Clientes!$D$5:$D$549,MATCH(K489,Clientes!$C$5:$C$549,0)),TRIM(INDEX(Clientes!$E$5:$E$549,MATCH(K489,Clientes!$C$5:$C$549,0))&amp;" "&amp;INDEX(Clientes!$F$5:$F$549,MATCH(K489,Clientes!$C$5:$C$549,0)))),"NO EXISTE en Clientes"))</f>
        <v/>
      </c>
      <c r="M489" s="17" t="n"/>
      <c r="N489" s="17" t="n"/>
      <c r="O489" s="42" t="n"/>
      <c r="P489" s="39">
        <f>IF(O489&lt;&gt;"",DATE(YEAR(O489)+5,MONTH(O489),1),IF(AND(M489&lt;&gt;"",N489&lt;&gt;""),DATE(M489+5,N489,1),""))</f>
        <v/>
      </c>
      <c r="Q489" s="23" t="n"/>
      <c r="R489" s="17" t="n"/>
      <c r="S489" s="17" t="n"/>
      <c r="T489" s="17" t="n"/>
      <c r="U489" s="17" t="n"/>
      <c r="V489" s="23" t="n"/>
      <c r="W489" s="17" t="n"/>
      <c r="X489" s="17" t="n"/>
      <c r="Y489" s="28">
        <f>IF(B489&lt;&gt;"OK","","SELECT bal_crear_balon(p_codigo_balon =&gt; "&amp;IF(TRIM(C489&amp;"")="","NULL","'"&amp;SUBSTITUTE(TRIM(C489),"'","''")&amp;"'")&amp;", p_id_tipo_balon =&gt; "&amp;"(SELECT id FROM bal_tipo_balon WHERE upper(nombre) = upper('"&amp;SUBSTITUTE(TRIM(D489),"'","''")&amp;"') AND estado = 1 LIMIT 1)"&amp;", p_id_producto_gas =&gt; "&amp;"(SELECT id FROM pro_producto WHERE es_gas = TRUE AND upper(nombre) = upper('"&amp;SUBSTITUTE(TRIM(E489),"'","''")&amp;"') AND estado = 1 LIMIT 1)"&amp;", p_id_propietario =&gt; "&amp;IF(TRIM(F489&amp;"")="","NULL","(SELECT lo.id FROM gen_lista_opciones lo JOIN gen_lista l ON l.id = lo.id_lista WHERE l.nombre = 'PropietarioBalon' AND upper(lo.nombre) = upper('"&amp;SUBSTITUTE(TRIM(F489),"'","''")&amp;"') AND lo.estado = 1 LIMIT 1)")&amp;", p_id_cliente_propietario =&gt; "&amp;IF(F489="CLIENTE",IF(TRIM(G489&amp;"")="","NULL","(SELECT id FROM cli_clientes WHERE numero_documento = '"&amp;SUBSTITUTE(TRIM(G489),"'","''")&amp;"' AND estado = 1 LIMIT 1)"),"NULL")&amp;", p_id_planta =&gt; "&amp;IF(F489="PLANTA",IF(TRIM(G489&amp;"")="","NULL","(SELECT id FROM cli_clientes WHERE numero_documento = '"&amp;SUBSTITUTE(TRIM(G489),"'","''")&amp;"'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"&amp;IF(TRIM(J489&amp;"")="","NULL","(SELECT id FROM gen_almacen WHERE upper(nombre) = upper('"&amp;SUBSTITUTE(TRIM(J489),"'","''")&amp;"') AND estado = 1 LIMIT 1)")&amp;", p_id_cliente_ubicacion =&gt; "&amp;IF(TRIM(K489&amp;"")="","NULL","(SELECT id FROM cli_clientes WHERE numero_documento = '"&amp;SUBSTITUTE(TRIM(K489),"'","''")&amp;"' AND estado = 1 LIMIT 1)")&amp;", p_id_referencia =&gt; "&amp;IF(TRIM(J489&amp;"")&lt;&gt;"","(SELECT lo.id FROM gen_lista_opciones lo JOIN gen_lista l ON l.id = lo.id_lista WHERE l.nombre = 'ReferenciaCilindro' AND upper(lo.nombre) = 'ALMACEN' AND lo.estado = 1 LIMIT 1)",IF(TRIM(K489&amp;"")&lt;&gt;"","(SELECT lo.id FROM gen_lista_opciones lo JOIN gen_lista l ON l.id = lo.id_lista WHERE l.nombre = 'ReferenciaCilindro' AND upper(lo.nombre) = 'CLIENTE' AND lo.estado = 1 LIMIT 1)","NULL"))&amp;", p_anio_fabricacion =&gt; "&amp;IF(M489&amp;""="","NULL::smallint",M489&amp;"::smallint")&amp;", p_mes_fabricacion =&gt; "&amp;IF(N489&amp;""="","NULL::smallint",N489&amp;"::smallint")&amp;", p_fecha_ultima_prueba_hidrostatica =&gt; "&amp;IF(O489&amp;""="","NULL","'"&amp;YEAR(O489)&amp;"-"&amp;TEXT(MONTH(O489),"00")&amp;"-"&amp;TEXT(DAY(O489),"00")&amp;"'")&amp;", p_numero_serie =&gt; "&amp;IF(TRIM(Q489&amp;"")="","NULL","'"&amp;SUBSTITUTE(TRIM(Q489),"'","''")&amp;"'")&amp;", p_id_marca_cilindro =&gt; "&amp;IF(TRIM(R489&amp;"")="","NULL","(SELECT lo.id FROM gen_lista_opciones lo JOIN gen_lista l ON l.id = lo.id_lista WHERE l.nombre = 'MarcaCilindro' AND upper(lo.nombre) = upper('"&amp;SUBSTITUTE(TRIM(R489),"'","''")&amp;"') AND lo.estado = 1 LIMIT 1)")&amp;", p_id_organo_inspector =&gt; "&amp;IF(TRIM(S489&amp;"")="","NULL","(SELECT lo.id FROM gen_lista_opciones lo JOIN gen_lista l ON l.id = lo.id_lista WHERE l.nombre = 'OrganoInspectorCilindro' AND upper(lo.nombre) = upper('"&amp;SUBSTITUTE(TRIM(S489),"'","''")&amp;"') AND lo.estado = 1 LIMIT 1)")&amp;", p_organo_inspector_no_aplica =&gt; "&amp;IF(S489="NO_APLICA","TRUE","FALSE")&amp;", p_presion_actual =&gt; "&amp;IF(T489&amp;""="","NULL",SUBSTITUTE(T489&amp;"",",","."))&amp;", p_tipo_valvula =&gt; "&amp;IF(TRIM(U489&amp;"")="","NULL","'"&amp;SUBSTITUTE(TRIM(U489),"'","''")&amp;"'")&amp;", p_libro_cilindro =&gt; "&amp;IF(TRIM(V489&amp;"")="","NULL","'"&amp;SUBSTITUTE(TRIM(V489),"'","''")&amp;"'")&amp;", p_pagina_libro =&gt; "&amp;IF(W489&amp;""="","NULL",SUBSTITUTE(W489&amp;"",",","."))&amp;", p_observacion =&gt; "&amp;IF(TRIM(X489&amp;"")="","NULL","'"&amp;SUBSTITUTE(TRIM(X489),"'","''")&amp;"'")&amp;") AS resultado_balon_"&amp;ROW()&amp;";")</f>
        <v/>
      </c>
    </row>
    <row r="490" ht="15.75" customHeight="1" s="64">
      <c r="A490" s="36" t="inlineStr">
        <is>
          <t>486</t>
        </is>
      </c>
      <c r="B490" s="25">
        <f>IF(AND(C490="",D490="",E490=""),"",IF(C490="","FALTA código balón",IF(D490="","FALTA tipo balón",IF(E490="","FALTA gas",IF(F490="","FALTA propietario",IF(AND(C490&lt;&gt;"",SUMPRODUCT(--($C$5:$C$1200=C490))&gt;1),"CÓDIGO BALÓN DUPLICADO",IF(AND(OR(UPPER(F490)="PLANTA",UPPER(F490)="CLIENTE"),G490=""),"FALTA doc propietario/planta",IF(AND(UPPER(F490)="PLANTA",G490="10175332796"),"PLANTA no puede ser RUC empresa","OK"))))))))</f>
        <v/>
      </c>
      <c r="C490" s="23" t="inlineStr">
        <is>
          <t>GTA217117</t>
        </is>
      </c>
      <c r="D490" s="17" t="inlineStr">
        <is>
          <t>Oxígeno Industrial 6 m³</t>
        </is>
      </c>
      <c r="E490" s="17" t="inlineStr">
        <is>
          <t>OXIGENO INDUSTRIAL</t>
        </is>
      </c>
      <c r="F490" s="17" t="inlineStr">
        <is>
          <t>EMPRESA</t>
        </is>
      </c>
      <c r="G490" s="23" t="inlineStr">
        <is>
          <t>10175332796</t>
        </is>
      </c>
      <c r="H490" s="25">
        <f t="array" ref="H490">IF(G490="","",IFERROR(IF(INDEX(Clientes!$D$5:$D$549,MATCH(G490,Clientes!$C$5:$C$549,0))&lt;&gt;"",INDEX(Clientes!$D$5:$D$549,MATCH(G490,Clientes!$C$5:$C$549,0)),TRIM(INDEX(Clientes!$E$5:$E$549,MATCH(G490,Clientes!$C$5:$C$549,0))&amp;" "&amp;INDEX(Clientes!$F$5:$F$549,MATCH(G490,Clientes!$C$5:$C$549,0)))),"NO EXISTE en Clientes"))</f>
        <v/>
      </c>
      <c r="I490" s="17" t="inlineStr">
        <is>
          <t>EN_PODER_CLIENTE</t>
        </is>
      </c>
      <c r="J490" s="17" t="n"/>
      <c r="K490" s="23" t="inlineStr">
        <is>
          <t>10176242073</t>
        </is>
      </c>
      <c r="L490" s="25">
        <f t="array" ref="L490">IF(K490="","",IFERROR(IF(INDEX(Clientes!$D$5:$D$549,MATCH(K490,Clientes!$C$5:$C$549,0))&lt;&gt;"",INDEX(Clientes!$D$5:$D$549,MATCH(K490,Clientes!$C$5:$C$549,0)),TRIM(INDEX(Clientes!$E$5:$E$549,MATCH(K490,Clientes!$C$5:$C$549,0))&amp;" "&amp;INDEX(Clientes!$F$5:$F$549,MATCH(K490,Clientes!$C$5:$C$549,0)))),"NO EXISTE en Clientes"))</f>
        <v/>
      </c>
      <c r="M490" s="17" t="n"/>
      <c r="N490" s="17" t="n"/>
      <c r="O490" s="42" t="n"/>
      <c r="P490" s="39">
        <f>IF(O490&lt;&gt;"",DATE(YEAR(O490)+5,MONTH(O490),1),IF(AND(M490&lt;&gt;"",N490&lt;&gt;""),DATE(M490+5,N490,1),""))</f>
        <v/>
      </c>
      <c r="Q490" s="23" t="n"/>
      <c r="R490" s="17" t="n"/>
      <c r="S490" s="17" t="n"/>
      <c r="T490" s="17" t="n"/>
      <c r="U490" s="17" t="n"/>
      <c r="V490" s="23" t="n"/>
      <c r="W490" s="17" t="n"/>
      <c r="X490" s="17" t="n"/>
      <c r="Y490" s="28">
        <f>IF(B490&lt;&gt;"OK","","SELECT bal_crear_balon(p_codigo_balon =&gt; "&amp;IF(TRIM(C490&amp;"")="","NULL","'"&amp;SUBSTITUTE(TRIM(C490),"'","''")&amp;"'")&amp;", p_id_tipo_balon =&gt; "&amp;"(SELECT id FROM bal_tipo_balon WHERE upper(nombre) = upper('"&amp;SUBSTITUTE(TRIM(D490),"'","''")&amp;"') AND estado = 1 LIMIT 1)"&amp;", p_id_producto_gas =&gt; "&amp;"(SELECT id FROM pro_producto WHERE es_gas = TRUE AND upper(nombre) = upper('"&amp;SUBSTITUTE(TRIM(E490),"'","''")&amp;"') AND estado = 1 LIMIT 1)"&amp;", p_id_propietario =&gt; "&amp;IF(TRIM(F490&amp;"")="","NULL","(SELECT lo.id FROM gen_lista_opciones lo JOIN gen_lista l ON l.id = lo.id_lista WHERE l.nombre = 'PropietarioBalon' AND upper(lo.nombre) = upper('"&amp;SUBSTITUTE(TRIM(F490),"'","''")&amp;"') AND lo.estado = 1 LIMIT 1)")&amp;", p_id_cliente_propietario =&gt; "&amp;IF(F490="CLIENTE",IF(TRIM(G490&amp;"")="","NULL","(SELECT id FROM cli_clientes WHERE numero_documento = '"&amp;SUBSTITUTE(TRIM(G490),"'","''")&amp;"' AND estado = 1 LIMIT 1)"),"NULL")&amp;", p_id_planta =&gt; "&amp;IF(F490="PLANTA",IF(TRIM(G490&amp;"")="","NULL","(SELECT id FROM cli_clientes WHERE numero_documento = '"&amp;SUBSTITUTE(TRIM(G490),"'","''")&amp;"'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"&amp;IF(TRIM(J490&amp;"")="","NULL","(SELECT id FROM gen_almacen WHERE upper(nombre) = upper('"&amp;SUBSTITUTE(TRIM(J490),"'","''")&amp;"') AND estado = 1 LIMIT 1)")&amp;", p_id_cliente_ubicacion =&gt; "&amp;IF(TRIM(K490&amp;"")="","NULL","(SELECT id FROM cli_clientes WHERE numero_documento = '"&amp;SUBSTITUTE(TRIM(K490),"'","''")&amp;"' AND estado = 1 LIMIT 1)")&amp;", p_id_referencia =&gt; "&amp;IF(TRIM(J490&amp;"")&lt;&gt;"","(SELECT lo.id FROM gen_lista_opciones lo JOIN gen_lista l ON l.id = lo.id_lista WHERE l.nombre = 'ReferenciaCilindro' AND upper(lo.nombre) = 'ALMACEN' AND lo.estado = 1 LIMIT 1)",IF(TRIM(K490&amp;"")&lt;&gt;"","(SELECT lo.id FROM gen_lista_opciones lo JOIN gen_lista l ON l.id = lo.id_lista WHERE l.nombre = 'ReferenciaCilindro' AND upper(lo.nombre) = 'CLIENTE' AND lo.estado = 1 LIMIT 1)","NULL"))&amp;", p_anio_fabricacion =&gt; "&amp;IF(M490&amp;""="","NULL::smallint",M490&amp;"::smallint")&amp;", p_mes_fabricacion =&gt; "&amp;IF(N490&amp;""="","NULL::smallint",N490&amp;"::smallint")&amp;", p_fecha_ultima_prueba_hidrostatica =&gt; "&amp;IF(O490&amp;""="","NULL","'"&amp;YEAR(O490)&amp;"-"&amp;TEXT(MONTH(O490),"00")&amp;"-"&amp;TEXT(DAY(O490),"00")&amp;"'")&amp;", p_numero_serie =&gt; "&amp;IF(TRIM(Q490&amp;"")="","NULL","'"&amp;SUBSTITUTE(TRIM(Q490),"'","''")&amp;"'")&amp;", p_id_marca_cilindro =&gt; "&amp;IF(TRIM(R490&amp;"")="","NULL","(SELECT lo.id FROM gen_lista_opciones lo JOIN gen_lista l ON l.id = lo.id_lista WHERE l.nombre = 'MarcaCilindro' AND upper(lo.nombre) = upper('"&amp;SUBSTITUTE(TRIM(R490),"'","''")&amp;"') AND lo.estado = 1 LIMIT 1)")&amp;", p_id_organo_inspector =&gt; "&amp;IF(TRIM(S490&amp;"")="","NULL","(SELECT lo.id FROM gen_lista_opciones lo JOIN gen_lista l ON l.id = lo.id_lista WHERE l.nombre = 'OrganoInspectorCilindro' AND upper(lo.nombre) = upper('"&amp;SUBSTITUTE(TRIM(S490),"'","''")&amp;"') AND lo.estado = 1 LIMIT 1)")&amp;", p_organo_inspector_no_aplica =&gt; "&amp;IF(S490="NO_APLICA","TRUE","FALSE")&amp;", p_presion_actual =&gt; "&amp;IF(T490&amp;""="","NULL",SUBSTITUTE(T490&amp;"",",","."))&amp;", p_tipo_valvula =&gt; "&amp;IF(TRIM(U490&amp;"")="","NULL","'"&amp;SUBSTITUTE(TRIM(U490),"'","''")&amp;"'")&amp;", p_libro_cilindro =&gt; "&amp;IF(TRIM(V490&amp;"")="","NULL","'"&amp;SUBSTITUTE(TRIM(V490),"'","''")&amp;"'")&amp;", p_pagina_libro =&gt; "&amp;IF(W490&amp;""="","NULL",SUBSTITUTE(W490&amp;"",",","."))&amp;", p_observacion =&gt; "&amp;IF(TRIM(X490&amp;"")="","NULL","'"&amp;SUBSTITUTE(TRIM(X490),"'","''")&amp;"'")&amp;") AS resultado_balon_"&amp;ROW()&amp;";")</f>
        <v/>
      </c>
    </row>
    <row r="491" ht="15.75" customHeight="1" s="64">
      <c r="A491" s="36" t="inlineStr">
        <is>
          <t>487</t>
        </is>
      </c>
      <c r="B491" s="25">
        <f>IF(AND(C491="",D491="",E491=""),"",IF(C491="","FALTA código balón",IF(D491="","FALTA tipo balón",IF(E491="","FALTA gas",IF(F491="","FALTA propietario",IF(AND(C491&lt;&gt;"",SUMPRODUCT(--($C$5:$C$1200=C491))&gt;1),"CÓDIGO BALÓN DUPLICADO",IF(AND(OR(UPPER(F491)="PLANTA",UPPER(F491)="CLIENTE"),G491=""),"FALTA doc propietario/planta",IF(AND(UPPER(F491)="PLANTA",G491="10175332796"),"PLANTA no puede ser RUC empresa","OK"))))))))</f>
        <v/>
      </c>
      <c r="C491" s="23" t="inlineStr">
        <is>
          <t>20S290104</t>
        </is>
      </c>
      <c r="D491" s="17" t="inlineStr">
        <is>
          <t>Oxígeno Industrial 6 m³</t>
        </is>
      </c>
      <c r="E491" s="17" t="inlineStr">
        <is>
          <t>OXIGENO INDUSTRIAL</t>
        </is>
      </c>
      <c r="F491" s="17" t="inlineStr">
        <is>
          <t>EMPRESA</t>
        </is>
      </c>
      <c r="G491" s="23" t="inlineStr">
        <is>
          <t>10175332796</t>
        </is>
      </c>
      <c r="H491" s="25">
        <f t="array" ref="H491">IF(G491="","",IFERROR(IF(INDEX(Clientes!$D$5:$D$549,MATCH(G491,Clientes!$C$5:$C$549,0))&lt;&gt;"",INDEX(Clientes!$D$5:$D$549,MATCH(G491,Clientes!$C$5:$C$549,0)),TRIM(INDEX(Clientes!$E$5:$E$549,MATCH(G491,Clientes!$C$5:$C$549,0))&amp;" "&amp;INDEX(Clientes!$F$5:$F$549,MATCH(G491,Clientes!$C$5:$C$549,0)))),"NO EXISTE en Clientes"))</f>
        <v/>
      </c>
      <c r="I491" s="17" t="inlineStr">
        <is>
          <t>EN_PODER_CLIENTE</t>
        </is>
      </c>
      <c r="J491" s="17" t="n"/>
      <c r="K491" s="23" t="inlineStr">
        <is>
          <t>10176242073</t>
        </is>
      </c>
      <c r="L491" s="25">
        <f t="array" ref="L491">IF(K491="","",IFERROR(IF(INDEX(Clientes!$D$5:$D$549,MATCH(K491,Clientes!$C$5:$C$549,0))&lt;&gt;"",INDEX(Clientes!$D$5:$D$549,MATCH(K491,Clientes!$C$5:$C$549,0)),TRIM(INDEX(Clientes!$E$5:$E$549,MATCH(K491,Clientes!$C$5:$C$549,0))&amp;" "&amp;INDEX(Clientes!$F$5:$F$549,MATCH(K491,Clientes!$C$5:$C$549,0)))),"NO EXISTE en Clientes"))</f>
        <v/>
      </c>
      <c r="M491" s="17" t="n"/>
      <c r="N491" s="17" t="n"/>
      <c r="O491" s="42" t="n"/>
      <c r="P491" s="39">
        <f>IF(O491&lt;&gt;"",DATE(YEAR(O491)+5,MONTH(O491),1),IF(AND(M491&lt;&gt;"",N491&lt;&gt;""),DATE(M491+5,N491,1),""))</f>
        <v/>
      </c>
      <c r="Q491" s="23" t="n"/>
      <c r="R491" s="17" t="n"/>
      <c r="S491" s="17" t="n"/>
      <c r="T491" s="17" t="n"/>
      <c r="U491" s="17" t="n"/>
      <c r="V491" s="23" t="n"/>
      <c r="W491" s="17" t="n"/>
      <c r="X491" s="17" t="n"/>
      <c r="Y491" s="28">
        <f>IF(B491&lt;&gt;"OK","","SELECT bal_crear_balon(p_codigo_balon =&gt; "&amp;IF(TRIM(C491&amp;"")="","NULL","'"&amp;SUBSTITUTE(TRIM(C491),"'","''")&amp;"'")&amp;", p_id_tipo_balon =&gt; "&amp;"(SELECT id FROM bal_tipo_balon WHERE upper(nombre) = upper('"&amp;SUBSTITUTE(TRIM(D491),"'","''")&amp;"') AND estado = 1 LIMIT 1)"&amp;", p_id_producto_gas =&gt; "&amp;"(SELECT id FROM pro_producto WHERE es_gas = TRUE AND upper(nombre) = upper('"&amp;SUBSTITUTE(TRIM(E491),"'","''")&amp;"') AND estado = 1 LIMIT 1)"&amp;", p_id_propietario =&gt; "&amp;IF(TRIM(F491&amp;"")="","NULL","(SELECT lo.id FROM gen_lista_opciones lo JOIN gen_lista l ON l.id = lo.id_lista WHERE l.nombre = 'PropietarioBalon' AND upper(lo.nombre) = upper('"&amp;SUBSTITUTE(TRIM(F491),"'","''")&amp;"') AND lo.estado = 1 LIMIT 1)")&amp;", p_id_cliente_propietario =&gt; "&amp;IF(F491="CLIENTE",IF(TRIM(G491&amp;"")="","NULL","(SELECT id FROM cli_clientes WHERE numero_documento = '"&amp;SUBSTITUTE(TRIM(G491),"'","''")&amp;"' AND estado = 1 LIMIT 1)"),"NULL")&amp;", p_id_planta =&gt; "&amp;IF(F491="PLANTA",IF(TRIM(G491&amp;"")="","NULL","(SELECT id FROM cli_clientes WHERE numero_documento = '"&amp;SUBSTITUTE(TRIM(G491),"'","''")&amp;"'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"&amp;IF(TRIM(J491&amp;"")="","NULL","(SELECT id FROM gen_almacen WHERE upper(nombre) = upper('"&amp;SUBSTITUTE(TRIM(J491),"'","''")&amp;"') AND estado = 1 LIMIT 1)")&amp;", p_id_cliente_ubicacion =&gt; "&amp;IF(TRIM(K491&amp;"")="","NULL","(SELECT id FROM cli_clientes WHERE numero_documento = '"&amp;SUBSTITUTE(TRIM(K491),"'","''")&amp;"' AND estado = 1 LIMIT 1)")&amp;", p_id_referencia =&gt; "&amp;IF(TRIM(J491&amp;"")&lt;&gt;"","(SELECT lo.id FROM gen_lista_opciones lo JOIN gen_lista l ON l.id = lo.id_lista WHERE l.nombre = 'ReferenciaCilindro' AND upper(lo.nombre) = 'ALMACEN' AND lo.estado = 1 LIMIT 1)",IF(TRIM(K491&amp;"")&lt;&gt;"","(SELECT lo.id FROM gen_lista_opciones lo JOIN gen_lista l ON l.id = lo.id_lista WHERE l.nombre = 'ReferenciaCilindro' AND upper(lo.nombre) = 'CLIENTE' AND lo.estado = 1 LIMIT 1)","NULL"))&amp;", p_anio_fabricacion =&gt; "&amp;IF(M491&amp;""="","NULL::smallint",M491&amp;"::smallint")&amp;", p_mes_fabricacion =&gt; "&amp;IF(N491&amp;""="","NULL::smallint",N491&amp;"::smallint")&amp;", p_fecha_ultima_prueba_hidrostatica =&gt; "&amp;IF(O491&amp;""="","NULL","'"&amp;YEAR(O491)&amp;"-"&amp;TEXT(MONTH(O491),"00")&amp;"-"&amp;TEXT(DAY(O491),"00")&amp;"'")&amp;", p_numero_serie =&gt; "&amp;IF(TRIM(Q491&amp;"")="","NULL","'"&amp;SUBSTITUTE(TRIM(Q491),"'","''")&amp;"'")&amp;", p_id_marca_cilindro =&gt; "&amp;IF(TRIM(R491&amp;"")="","NULL","(SELECT lo.id FROM gen_lista_opciones lo JOIN gen_lista l ON l.id = lo.id_lista WHERE l.nombre = 'MarcaCilindro' AND upper(lo.nombre) = upper('"&amp;SUBSTITUTE(TRIM(R491),"'","''")&amp;"') AND lo.estado = 1 LIMIT 1)")&amp;", p_id_organo_inspector =&gt; "&amp;IF(TRIM(S491&amp;"")="","NULL","(SELECT lo.id FROM gen_lista_opciones lo JOIN gen_lista l ON l.id = lo.id_lista WHERE l.nombre = 'OrganoInspectorCilindro' AND upper(lo.nombre) = upper('"&amp;SUBSTITUTE(TRIM(S491),"'","''")&amp;"') AND lo.estado = 1 LIMIT 1)")&amp;", p_organo_inspector_no_aplica =&gt; "&amp;IF(S491="NO_APLICA","TRUE","FALSE")&amp;", p_presion_actual =&gt; "&amp;IF(T491&amp;""="","NULL",SUBSTITUTE(T491&amp;"",",","."))&amp;", p_tipo_valvula =&gt; "&amp;IF(TRIM(U491&amp;"")="","NULL","'"&amp;SUBSTITUTE(TRIM(U491),"'","''")&amp;"'")&amp;", p_libro_cilindro =&gt; "&amp;IF(TRIM(V491&amp;"")="","NULL","'"&amp;SUBSTITUTE(TRIM(V491),"'","''")&amp;"'")&amp;", p_pagina_libro =&gt; "&amp;IF(W491&amp;""="","NULL",SUBSTITUTE(W491&amp;"",",","."))&amp;", p_observacion =&gt; "&amp;IF(TRIM(X491&amp;"")="","NULL","'"&amp;SUBSTITUTE(TRIM(X491),"'","''")&amp;"'")&amp;") AS resultado_balon_"&amp;ROW()&amp;";")</f>
        <v/>
      </c>
    </row>
    <row r="492" ht="15.75" customHeight="1" s="64">
      <c r="A492" s="36" t="inlineStr">
        <is>
          <t>488</t>
        </is>
      </c>
      <c r="B492" s="25">
        <f>IF(AND(C492="",D492="",E492=""),"",IF(C492="","FALTA código balón",IF(D492="","FALTA tipo balón",IF(E492="","FALTA gas",IF(F492="","FALTA propietario",IF(AND(C492&lt;&gt;"",SUMPRODUCT(--($C$5:$C$1200=C492))&gt;1),"CÓDIGO BALÓN DUPLICADO",IF(AND(OR(UPPER(F492)="PLANTA",UPPER(F492)="CLIENTE"),G492=""),"FALTA doc propietario/planta",IF(AND(UPPER(F492)="PLANTA",G492="10175332796"),"PLANTA no puede ser RUC empresa","OK"))))))))</f>
        <v/>
      </c>
      <c r="C492" s="23" t="inlineStr">
        <is>
          <t>GA546022</t>
        </is>
      </c>
      <c r="D492" s="17" t="inlineStr">
        <is>
          <t>Oxígeno Industrial 6 m³</t>
        </is>
      </c>
      <c r="E492" s="17" t="inlineStr">
        <is>
          <t>OXIGENO INDUSTRIAL</t>
        </is>
      </c>
      <c r="F492" s="17" t="inlineStr">
        <is>
          <t>EMPRESA</t>
        </is>
      </c>
      <c r="G492" s="23" t="inlineStr">
        <is>
          <t>10175332796</t>
        </is>
      </c>
      <c r="H492" s="25">
        <f t="array" ref="H492">IF(G492="","",IFERROR(IF(INDEX(Clientes!$D$5:$D$549,MATCH(G492,Clientes!$C$5:$C$549,0))&lt;&gt;"",INDEX(Clientes!$D$5:$D$549,MATCH(G492,Clientes!$C$5:$C$549,0)),TRIM(INDEX(Clientes!$E$5:$E$549,MATCH(G492,Clientes!$C$5:$C$549,0))&amp;" "&amp;INDEX(Clientes!$F$5:$F$549,MATCH(G492,Clientes!$C$5:$C$549,0)))),"NO EXISTE en Clientes"))</f>
        <v/>
      </c>
      <c r="I492" s="17" t="inlineStr">
        <is>
          <t>EN_PODER_CLIENTE</t>
        </is>
      </c>
      <c r="J492" s="17" t="n"/>
      <c r="K492" s="23" t="inlineStr">
        <is>
          <t>10176242073</t>
        </is>
      </c>
      <c r="L492" s="25">
        <f t="array" ref="L492">IF(K492="","",IFERROR(IF(INDEX(Clientes!$D$5:$D$549,MATCH(K492,Clientes!$C$5:$C$549,0))&lt;&gt;"",INDEX(Clientes!$D$5:$D$549,MATCH(K492,Clientes!$C$5:$C$549,0)),TRIM(INDEX(Clientes!$E$5:$E$549,MATCH(K492,Clientes!$C$5:$C$549,0))&amp;" "&amp;INDEX(Clientes!$F$5:$F$549,MATCH(K492,Clientes!$C$5:$C$549,0)))),"NO EXISTE en Clientes"))</f>
        <v/>
      </c>
      <c r="M492" s="17" t="n"/>
      <c r="N492" s="17" t="n"/>
      <c r="O492" s="42" t="n"/>
      <c r="P492" s="39">
        <f>IF(O492&lt;&gt;"",DATE(YEAR(O492)+5,MONTH(O492),1),IF(AND(M492&lt;&gt;"",N492&lt;&gt;""),DATE(M492+5,N492,1),""))</f>
        <v/>
      </c>
      <c r="Q492" s="23" t="n"/>
      <c r="R492" s="17" t="n"/>
      <c r="S492" s="17" t="n"/>
      <c r="T492" s="17" t="n"/>
      <c r="U492" s="17" t="n"/>
      <c r="V492" s="23" t="n"/>
      <c r="W492" s="17" t="n"/>
      <c r="X492" s="17" t="n"/>
      <c r="Y492" s="28">
        <f>IF(B492&lt;&gt;"OK","","SELECT bal_crear_balon(p_codigo_balon =&gt; "&amp;IF(TRIM(C492&amp;"")="","NULL","'"&amp;SUBSTITUTE(TRIM(C492),"'","''")&amp;"'")&amp;", p_id_tipo_balon =&gt; "&amp;"(SELECT id FROM bal_tipo_balon WHERE upper(nombre) = upper('"&amp;SUBSTITUTE(TRIM(D492),"'","''")&amp;"') AND estado = 1 LIMIT 1)"&amp;", p_id_producto_gas =&gt; "&amp;"(SELECT id FROM pro_producto WHERE es_gas = TRUE AND upper(nombre) = upper('"&amp;SUBSTITUTE(TRIM(E492),"'","''")&amp;"') AND estado = 1 LIMIT 1)"&amp;", p_id_propietario =&gt; "&amp;IF(TRIM(F492&amp;"")="","NULL","(SELECT lo.id FROM gen_lista_opciones lo JOIN gen_lista l ON l.id = lo.id_lista WHERE l.nombre = 'PropietarioBalon' AND upper(lo.nombre) = upper('"&amp;SUBSTITUTE(TRIM(F492),"'","''")&amp;"') AND lo.estado = 1 LIMIT 1)")&amp;", p_id_cliente_propietario =&gt; "&amp;IF(F492="CLIENTE",IF(TRIM(G492&amp;"")="","NULL","(SELECT id FROM cli_clientes WHERE numero_documento = '"&amp;SUBSTITUTE(TRIM(G492),"'","''")&amp;"' AND estado = 1 LIMIT 1)"),"NULL")&amp;", p_id_planta =&gt; "&amp;IF(F492="PLANTA",IF(TRIM(G492&amp;"")="","NULL","(SELECT id FROM cli_clientes WHERE numero_documento = '"&amp;SUBSTITUTE(TRIM(G492),"'","''")&amp;"'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"&amp;IF(TRIM(J492&amp;"")="","NULL","(SELECT id FROM gen_almacen WHERE upper(nombre) = upper('"&amp;SUBSTITUTE(TRIM(J492),"'","''")&amp;"') AND estado = 1 LIMIT 1)")&amp;", p_id_cliente_ubicacion =&gt; "&amp;IF(TRIM(K492&amp;"")="","NULL","(SELECT id FROM cli_clientes WHERE numero_documento = '"&amp;SUBSTITUTE(TRIM(K492),"'","''")&amp;"' AND estado = 1 LIMIT 1)")&amp;", p_id_referencia =&gt; "&amp;IF(TRIM(J492&amp;"")&lt;&gt;"","(SELECT lo.id FROM gen_lista_opciones lo JOIN gen_lista l ON l.id = lo.id_lista WHERE l.nombre = 'ReferenciaCilindro' AND upper(lo.nombre) = 'ALMACEN' AND lo.estado = 1 LIMIT 1)",IF(TRIM(K492&amp;"")&lt;&gt;"","(SELECT lo.id FROM gen_lista_opciones lo JOIN gen_lista l ON l.id = lo.id_lista WHERE l.nombre = 'ReferenciaCilindro' AND upper(lo.nombre) = 'CLIENTE' AND lo.estado = 1 LIMIT 1)","NULL"))&amp;", p_anio_fabricacion =&gt; "&amp;IF(M492&amp;""="","NULL::smallint",M492&amp;"::smallint")&amp;", p_mes_fabricacion =&gt; "&amp;IF(N492&amp;""="","NULL::smallint",N492&amp;"::smallint")&amp;", p_fecha_ultima_prueba_hidrostatica =&gt; "&amp;IF(O492&amp;""="","NULL","'"&amp;YEAR(O492)&amp;"-"&amp;TEXT(MONTH(O492),"00")&amp;"-"&amp;TEXT(DAY(O492),"00")&amp;"'")&amp;", p_numero_serie =&gt; "&amp;IF(TRIM(Q492&amp;"")="","NULL","'"&amp;SUBSTITUTE(TRIM(Q492),"'","''")&amp;"'")&amp;", p_id_marca_cilindro =&gt; "&amp;IF(TRIM(R492&amp;"")="","NULL","(SELECT lo.id FROM gen_lista_opciones lo JOIN gen_lista l ON l.id = lo.id_lista WHERE l.nombre = 'MarcaCilindro' AND upper(lo.nombre) = upper('"&amp;SUBSTITUTE(TRIM(R492),"'","''")&amp;"') AND lo.estado = 1 LIMIT 1)")&amp;", p_id_organo_inspector =&gt; "&amp;IF(TRIM(S492&amp;"")="","NULL","(SELECT lo.id FROM gen_lista_opciones lo JOIN gen_lista l ON l.id = lo.id_lista WHERE l.nombre = 'OrganoInspectorCilindro' AND upper(lo.nombre) = upper('"&amp;SUBSTITUTE(TRIM(S492),"'","''")&amp;"') AND lo.estado = 1 LIMIT 1)")&amp;", p_organo_inspector_no_aplica =&gt; "&amp;IF(S492="NO_APLICA","TRUE","FALSE")&amp;", p_presion_actual =&gt; "&amp;IF(T492&amp;""="","NULL",SUBSTITUTE(T492&amp;"",",","."))&amp;", p_tipo_valvula =&gt; "&amp;IF(TRIM(U492&amp;"")="","NULL","'"&amp;SUBSTITUTE(TRIM(U492),"'","''")&amp;"'")&amp;", p_libro_cilindro =&gt; "&amp;IF(TRIM(V492&amp;"")="","NULL","'"&amp;SUBSTITUTE(TRIM(V492),"'","''")&amp;"'")&amp;", p_pagina_libro =&gt; "&amp;IF(W492&amp;""="","NULL",SUBSTITUTE(W492&amp;"",",","."))&amp;", p_observacion =&gt; "&amp;IF(TRIM(X492&amp;"")="","NULL","'"&amp;SUBSTITUTE(TRIM(X492),"'","''")&amp;"'")&amp;") AS resultado_balon_"&amp;ROW()&amp;";")</f>
        <v/>
      </c>
    </row>
    <row r="493" ht="15.75" customHeight="1" s="64">
      <c r="A493" s="36" t="inlineStr">
        <is>
          <t>489</t>
        </is>
      </c>
      <c r="B493" s="25">
        <f>IF(AND(C493="",D493="",E493=""),"",IF(C493="","FALTA código balón",IF(D493="","FALTA tipo balón",IF(E493="","FALTA gas",IF(F493="","FALTA propietario",IF(AND(C493&lt;&gt;"",SUMPRODUCT(--($C$5:$C$1200=C493))&gt;1),"CÓDIGO BALÓN DUPLICADO",IF(AND(OR(UPPER(F493)="PLANTA",UPPER(F493)="CLIENTE"),G493=""),"FALTA doc propietario/planta",IF(AND(UPPER(F493)="PLANTA",G493="10175332796"),"PLANTA no puede ser RUC empresa","OK"))))))))</f>
        <v/>
      </c>
      <c r="C493" s="23" t="inlineStr">
        <is>
          <t>N352343</t>
        </is>
      </c>
      <c r="D493" s="17" t="inlineStr">
        <is>
          <t>Oxígeno Industrial 6 m³</t>
        </is>
      </c>
      <c r="E493" s="17" t="inlineStr">
        <is>
          <t>OXIGENO INDUSTRIAL</t>
        </is>
      </c>
      <c r="F493" s="17" t="inlineStr">
        <is>
          <t>EMPRESA</t>
        </is>
      </c>
      <c r="G493" s="23" t="inlineStr">
        <is>
          <t>10175332796</t>
        </is>
      </c>
      <c r="H493" s="25">
        <f t="array" ref="H493">IF(G493="","",IFERROR(IF(INDEX(Clientes!$D$5:$D$549,MATCH(G493,Clientes!$C$5:$C$549,0))&lt;&gt;"",INDEX(Clientes!$D$5:$D$549,MATCH(G493,Clientes!$C$5:$C$549,0)),TRIM(INDEX(Clientes!$E$5:$E$549,MATCH(G493,Clientes!$C$5:$C$549,0))&amp;" "&amp;INDEX(Clientes!$F$5:$F$549,MATCH(G493,Clientes!$C$5:$C$549,0)))),"NO EXISTE en Clientes"))</f>
        <v/>
      </c>
      <c r="I493" s="17" t="inlineStr">
        <is>
          <t>EN_PODER_CLIENTE</t>
        </is>
      </c>
      <c r="J493" s="17" t="n"/>
      <c r="K493" s="23" t="inlineStr">
        <is>
          <t>10176242073</t>
        </is>
      </c>
      <c r="L493" s="25">
        <f t="array" ref="L493">IF(K493="","",IFERROR(IF(INDEX(Clientes!$D$5:$D$549,MATCH(K493,Clientes!$C$5:$C$549,0))&lt;&gt;"",INDEX(Clientes!$D$5:$D$549,MATCH(K493,Clientes!$C$5:$C$549,0)),TRIM(INDEX(Clientes!$E$5:$E$549,MATCH(K493,Clientes!$C$5:$C$549,0))&amp;" "&amp;INDEX(Clientes!$F$5:$F$549,MATCH(K493,Clientes!$C$5:$C$549,0)))),"NO EXISTE en Clientes"))</f>
        <v/>
      </c>
      <c r="M493" s="17" t="n"/>
      <c r="N493" s="17" t="n"/>
      <c r="O493" s="42" t="n"/>
      <c r="P493" s="39">
        <f>IF(O493&lt;&gt;"",DATE(YEAR(O493)+5,MONTH(O493),1),IF(AND(M493&lt;&gt;"",N493&lt;&gt;""),DATE(M493+5,N493,1),""))</f>
        <v/>
      </c>
      <c r="Q493" s="23" t="n"/>
      <c r="R493" s="17" t="n"/>
      <c r="S493" s="17" t="n"/>
      <c r="T493" s="17" t="n"/>
      <c r="U493" s="17" t="n"/>
      <c r="V493" s="23" t="n"/>
      <c r="W493" s="17" t="n"/>
      <c r="X493" s="17" t="n"/>
      <c r="Y493" s="28">
        <f>IF(B493&lt;&gt;"OK","","SELECT bal_crear_balon(p_codigo_balon =&gt; "&amp;IF(TRIM(C493&amp;"")="","NULL","'"&amp;SUBSTITUTE(TRIM(C493),"'","''")&amp;"'")&amp;", p_id_tipo_balon =&gt; "&amp;"(SELECT id FROM bal_tipo_balon WHERE upper(nombre) = upper('"&amp;SUBSTITUTE(TRIM(D493),"'","''")&amp;"') AND estado = 1 LIMIT 1)"&amp;", p_id_producto_gas =&gt; "&amp;"(SELECT id FROM pro_producto WHERE es_gas = TRUE AND upper(nombre) = upper('"&amp;SUBSTITUTE(TRIM(E493),"'","''")&amp;"') AND estado = 1 LIMIT 1)"&amp;", p_id_propietario =&gt; "&amp;IF(TRIM(F493&amp;"")="","NULL","(SELECT lo.id FROM gen_lista_opciones lo JOIN gen_lista l ON l.id = lo.id_lista WHERE l.nombre = 'PropietarioBalon' AND upper(lo.nombre) = upper('"&amp;SUBSTITUTE(TRIM(F493),"'","''")&amp;"') AND lo.estado = 1 LIMIT 1)")&amp;", p_id_cliente_propietario =&gt; "&amp;IF(F493="CLIENTE",IF(TRIM(G493&amp;"")="","NULL","(SELECT id FROM cli_clientes WHERE numero_documento = '"&amp;SUBSTITUTE(TRIM(G493),"'","''")&amp;"' AND estado = 1 LIMIT 1)"),"NULL")&amp;", p_id_planta =&gt; "&amp;IF(F493="PLANTA",IF(TRIM(G493&amp;"")="","NULL","(SELECT id FROM cli_clientes WHERE numero_documento = '"&amp;SUBSTITUTE(TRIM(G493),"'","''")&amp;"'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"&amp;IF(TRIM(J493&amp;"")="","NULL","(SELECT id FROM gen_almacen WHERE upper(nombre) = upper('"&amp;SUBSTITUTE(TRIM(J493),"'","''")&amp;"') AND estado = 1 LIMIT 1)")&amp;", p_id_cliente_ubicacion =&gt; "&amp;IF(TRIM(K493&amp;"")="","NULL","(SELECT id FROM cli_clientes WHERE numero_documento = '"&amp;SUBSTITUTE(TRIM(K493),"'","''")&amp;"' AND estado = 1 LIMIT 1)")&amp;", p_id_referencia =&gt; "&amp;IF(TRIM(J493&amp;"")&lt;&gt;"","(SELECT lo.id FROM gen_lista_opciones lo JOIN gen_lista l ON l.id = lo.id_lista WHERE l.nombre = 'ReferenciaCilindro' AND upper(lo.nombre) = 'ALMACEN' AND lo.estado = 1 LIMIT 1)",IF(TRIM(K493&amp;"")&lt;&gt;"","(SELECT lo.id FROM gen_lista_opciones lo JOIN gen_lista l ON l.id = lo.id_lista WHERE l.nombre = 'ReferenciaCilindro' AND upper(lo.nombre) = 'CLIENTE' AND lo.estado = 1 LIMIT 1)","NULL"))&amp;", p_anio_fabricacion =&gt; "&amp;IF(M493&amp;""="","NULL::smallint",M493&amp;"::smallint")&amp;", p_mes_fabricacion =&gt; "&amp;IF(N493&amp;""="","NULL::smallint",N493&amp;"::smallint")&amp;", p_fecha_ultima_prueba_hidrostatica =&gt; "&amp;IF(O493&amp;""="","NULL","'"&amp;YEAR(O493)&amp;"-"&amp;TEXT(MONTH(O493),"00")&amp;"-"&amp;TEXT(DAY(O493),"00")&amp;"'")&amp;", p_numero_serie =&gt; "&amp;IF(TRIM(Q493&amp;"")="","NULL","'"&amp;SUBSTITUTE(TRIM(Q493),"'","''")&amp;"'")&amp;", p_id_marca_cilindro =&gt; "&amp;IF(TRIM(R493&amp;"")="","NULL","(SELECT lo.id FROM gen_lista_opciones lo JOIN gen_lista l ON l.id = lo.id_lista WHERE l.nombre = 'MarcaCilindro' AND upper(lo.nombre) = upper('"&amp;SUBSTITUTE(TRIM(R493),"'","''")&amp;"') AND lo.estado = 1 LIMIT 1)")&amp;", p_id_organo_inspector =&gt; "&amp;IF(TRIM(S493&amp;"")="","NULL","(SELECT lo.id FROM gen_lista_opciones lo JOIN gen_lista l ON l.id = lo.id_lista WHERE l.nombre = 'OrganoInspectorCilindro' AND upper(lo.nombre) = upper('"&amp;SUBSTITUTE(TRIM(S493),"'","''")&amp;"') AND lo.estado = 1 LIMIT 1)")&amp;", p_organo_inspector_no_aplica =&gt; "&amp;IF(S493="NO_APLICA","TRUE","FALSE")&amp;", p_presion_actual =&gt; "&amp;IF(T493&amp;""="","NULL",SUBSTITUTE(T493&amp;"",",","."))&amp;", p_tipo_valvula =&gt; "&amp;IF(TRIM(U493&amp;"")="","NULL","'"&amp;SUBSTITUTE(TRIM(U493),"'","''")&amp;"'")&amp;", p_libro_cilindro =&gt; "&amp;IF(TRIM(V493&amp;"")="","NULL","'"&amp;SUBSTITUTE(TRIM(V493),"'","''")&amp;"'")&amp;", p_pagina_libro =&gt; "&amp;IF(W493&amp;""="","NULL",SUBSTITUTE(W493&amp;"",",","."))&amp;", p_observacion =&gt; "&amp;IF(TRIM(X493&amp;"")="","NULL","'"&amp;SUBSTITUTE(TRIM(X493),"'","''")&amp;"'")&amp;") AS resultado_balon_"&amp;ROW()&amp;";")</f>
        <v/>
      </c>
    </row>
    <row r="494" ht="15.75" customHeight="1" s="64">
      <c r="A494" s="36" t="inlineStr">
        <is>
          <t>490</t>
        </is>
      </c>
      <c r="B494" s="25">
        <f>IF(AND(C494="",D494="",E494=""),"",IF(C494="","FALTA código balón",IF(D494="","FALTA tipo balón",IF(E494="","FALTA gas",IF(F494="","FALTA propietario",IF(AND(C494&lt;&gt;"",SUMPRODUCT(--($C$5:$C$1200=C494))&gt;1),"CÓDIGO BALÓN DUPLICADO",IF(AND(OR(UPPER(F494)="PLANTA",UPPER(F494)="CLIENTE"),G494=""),"FALTA doc propietario/planta",IF(AND(UPPER(F494)="PLANTA",G494="10175332796"),"PLANTA no puede ser RUC empresa","OK"))))))))</f>
        <v/>
      </c>
      <c r="C494" s="23" t="inlineStr">
        <is>
          <t>5568</t>
        </is>
      </c>
      <c r="D494" s="17" t="inlineStr">
        <is>
          <t>Oxígeno Industrial 6 m³</t>
        </is>
      </c>
      <c r="E494" s="17" t="inlineStr">
        <is>
          <t>OXIGENO INDUSTRIAL</t>
        </is>
      </c>
      <c r="F494" s="17" t="inlineStr">
        <is>
          <t>EMPRESA</t>
        </is>
      </c>
      <c r="G494" s="23" t="inlineStr">
        <is>
          <t>10175332796</t>
        </is>
      </c>
      <c r="H494" s="25">
        <f t="array" ref="H494">IF(G494="","",IFERROR(IF(INDEX(Clientes!$D$5:$D$549,MATCH(G494,Clientes!$C$5:$C$549,0))&lt;&gt;"",INDEX(Clientes!$D$5:$D$549,MATCH(G494,Clientes!$C$5:$C$549,0)),TRIM(INDEX(Clientes!$E$5:$E$549,MATCH(G494,Clientes!$C$5:$C$549,0))&amp;" "&amp;INDEX(Clientes!$F$5:$F$549,MATCH(G494,Clientes!$C$5:$C$549,0)))),"NO EXISTE en Clientes"))</f>
        <v/>
      </c>
      <c r="I494" s="17" t="inlineStr">
        <is>
          <t>EN_PODER_CLIENTE</t>
        </is>
      </c>
      <c r="J494" s="17" t="n"/>
      <c r="K494" s="23" t="inlineStr">
        <is>
          <t>10176242073</t>
        </is>
      </c>
      <c r="L494" s="25">
        <f t="array" ref="L494">IF(K494="","",IFERROR(IF(INDEX(Clientes!$D$5:$D$549,MATCH(K494,Clientes!$C$5:$C$549,0))&lt;&gt;"",INDEX(Clientes!$D$5:$D$549,MATCH(K494,Clientes!$C$5:$C$549,0)),TRIM(INDEX(Clientes!$E$5:$E$549,MATCH(K494,Clientes!$C$5:$C$549,0))&amp;" "&amp;INDEX(Clientes!$F$5:$F$549,MATCH(K494,Clientes!$C$5:$C$549,0)))),"NO EXISTE en Clientes"))</f>
        <v/>
      </c>
      <c r="M494" s="17" t="n"/>
      <c r="N494" s="17" t="n"/>
      <c r="O494" s="42" t="n"/>
      <c r="P494" s="39">
        <f>IF(O494&lt;&gt;"",DATE(YEAR(O494)+5,MONTH(O494),1),IF(AND(M494&lt;&gt;"",N494&lt;&gt;""),DATE(M494+5,N494,1),""))</f>
        <v/>
      </c>
      <c r="Q494" s="23" t="n"/>
      <c r="R494" s="17" t="n"/>
      <c r="S494" s="17" t="n"/>
      <c r="T494" s="17" t="n"/>
      <c r="U494" s="17" t="n"/>
      <c r="V494" s="23" t="n"/>
      <c r="W494" s="17" t="n"/>
      <c r="X494" s="17" t="n"/>
      <c r="Y494" s="28">
        <f>IF(B494&lt;&gt;"OK","","SELECT bal_crear_balon(p_codigo_balon =&gt; "&amp;IF(TRIM(C494&amp;"")="","NULL","'"&amp;SUBSTITUTE(TRIM(C494),"'","''")&amp;"'")&amp;", p_id_tipo_balon =&gt; "&amp;"(SELECT id FROM bal_tipo_balon WHERE upper(nombre) = upper('"&amp;SUBSTITUTE(TRIM(D494),"'","''")&amp;"') AND estado = 1 LIMIT 1)"&amp;", p_id_producto_gas =&gt; "&amp;"(SELECT id FROM pro_producto WHERE es_gas = TRUE AND upper(nombre) = upper('"&amp;SUBSTITUTE(TRIM(E494),"'","''")&amp;"') AND estado = 1 LIMIT 1)"&amp;", p_id_propietario =&gt; "&amp;IF(TRIM(F494&amp;"")="","NULL","(SELECT lo.id FROM gen_lista_opciones lo JOIN gen_lista l ON l.id = lo.id_lista WHERE l.nombre = 'PropietarioBalon' AND upper(lo.nombre) = upper('"&amp;SUBSTITUTE(TRIM(F494),"'","''")&amp;"') AND lo.estado = 1 LIMIT 1)")&amp;", p_id_cliente_propietario =&gt; "&amp;IF(F494="CLIENTE",IF(TRIM(G494&amp;"")="","NULL","(SELECT id FROM cli_clientes WHERE numero_documento = '"&amp;SUBSTITUTE(TRIM(G494),"'","''")&amp;"' AND estado = 1 LIMIT 1)"),"NULL")&amp;", p_id_planta =&gt; "&amp;IF(F494="PLANTA",IF(TRIM(G494&amp;"")="","NULL","(SELECT id FROM cli_clientes WHERE numero_documento = '"&amp;SUBSTITUTE(TRIM(G494),"'","''")&amp;"'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"&amp;IF(TRIM(J494&amp;"")="","NULL","(SELECT id FROM gen_almacen WHERE upper(nombre) = upper('"&amp;SUBSTITUTE(TRIM(J494),"'","''")&amp;"') AND estado = 1 LIMIT 1)")&amp;", p_id_cliente_ubicacion =&gt; "&amp;IF(TRIM(K494&amp;"")="","NULL","(SELECT id FROM cli_clientes WHERE numero_documento = '"&amp;SUBSTITUTE(TRIM(K494),"'","''")&amp;"' AND estado = 1 LIMIT 1)")&amp;", p_id_referencia =&gt; "&amp;IF(TRIM(J494&amp;"")&lt;&gt;"","(SELECT lo.id FROM gen_lista_opciones lo JOIN gen_lista l ON l.id = lo.id_lista WHERE l.nombre = 'ReferenciaCilindro' AND upper(lo.nombre) = 'ALMACEN' AND lo.estado = 1 LIMIT 1)",IF(TRIM(K494&amp;"")&lt;&gt;"","(SELECT lo.id FROM gen_lista_opciones lo JOIN gen_lista l ON l.id = lo.id_lista WHERE l.nombre = 'ReferenciaCilindro' AND upper(lo.nombre) = 'CLIENTE' AND lo.estado = 1 LIMIT 1)","NULL"))&amp;", p_anio_fabricacion =&gt; "&amp;IF(M494&amp;""="","NULL::smallint",M494&amp;"::smallint")&amp;", p_mes_fabricacion =&gt; "&amp;IF(N494&amp;""="","NULL::smallint",N494&amp;"::smallint")&amp;", p_fecha_ultima_prueba_hidrostatica =&gt; "&amp;IF(O494&amp;""="","NULL","'"&amp;YEAR(O494)&amp;"-"&amp;TEXT(MONTH(O494),"00")&amp;"-"&amp;TEXT(DAY(O494),"00")&amp;"'")&amp;", p_numero_serie =&gt; "&amp;IF(TRIM(Q494&amp;"")="","NULL","'"&amp;SUBSTITUTE(TRIM(Q494),"'","''")&amp;"'")&amp;", p_id_marca_cilindro =&gt; "&amp;IF(TRIM(R494&amp;"")="","NULL","(SELECT lo.id FROM gen_lista_opciones lo JOIN gen_lista l ON l.id = lo.id_lista WHERE l.nombre = 'MarcaCilindro' AND upper(lo.nombre) = upper('"&amp;SUBSTITUTE(TRIM(R494),"'","''")&amp;"') AND lo.estado = 1 LIMIT 1)")&amp;", p_id_organo_inspector =&gt; "&amp;IF(TRIM(S494&amp;"")="","NULL","(SELECT lo.id FROM gen_lista_opciones lo JOIN gen_lista l ON l.id = lo.id_lista WHERE l.nombre = 'OrganoInspectorCilindro' AND upper(lo.nombre) = upper('"&amp;SUBSTITUTE(TRIM(S494),"'","''")&amp;"') AND lo.estado = 1 LIMIT 1)")&amp;", p_organo_inspector_no_aplica =&gt; "&amp;IF(S494="NO_APLICA","TRUE","FALSE")&amp;", p_presion_actual =&gt; "&amp;IF(T494&amp;""="","NULL",SUBSTITUTE(T494&amp;"",",","."))&amp;", p_tipo_valvula =&gt; "&amp;IF(TRIM(U494&amp;"")="","NULL","'"&amp;SUBSTITUTE(TRIM(U494),"'","''")&amp;"'")&amp;", p_libro_cilindro =&gt; "&amp;IF(TRIM(V494&amp;"")="","NULL","'"&amp;SUBSTITUTE(TRIM(V494),"'","''")&amp;"'")&amp;", p_pagina_libro =&gt; "&amp;IF(W494&amp;""="","NULL",SUBSTITUTE(W494&amp;"",",","."))&amp;", p_observacion =&gt; "&amp;IF(TRIM(X494&amp;"")="","NULL","'"&amp;SUBSTITUTE(TRIM(X494),"'","''")&amp;"'")&amp;") AS resultado_balon_"&amp;ROW()&amp;";")</f>
        <v/>
      </c>
    </row>
    <row r="495" ht="15.75" customHeight="1" s="64">
      <c r="A495" s="36" t="inlineStr">
        <is>
          <t>491</t>
        </is>
      </c>
      <c r="B495" s="25">
        <f>IF(AND(C495="",D495="",E495=""),"",IF(C495="","FALTA código balón",IF(D495="","FALTA tipo balón",IF(E495="","FALTA gas",IF(F495="","FALTA propietario",IF(AND(C495&lt;&gt;"",SUMPRODUCT(--($C$5:$C$1200=C495))&gt;1),"CÓDIGO BALÓN DUPLICADO",IF(AND(OR(UPPER(F495)="PLANTA",UPPER(F495)="CLIENTE"),G495=""),"FALTA doc propietario/planta",IF(AND(UPPER(F495)="PLANTA",G495="10175332796"),"PLANTA no puede ser RUC empresa","OK"))))))))</f>
        <v/>
      </c>
      <c r="C495" s="23" t="inlineStr">
        <is>
          <t>303172</t>
        </is>
      </c>
      <c r="D495" s="17" t="inlineStr">
        <is>
          <t>Oxígeno Industrial 6 m³</t>
        </is>
      </c>
      <c r="E495" s="17" t="inlineStr">
        <is>
          <t>OXIGENO INDUSTRIAL</t>
        </is>
      </c>
      <c r="F495" s="17" t="inlineStr">
        <is>
          <t>EMPRESA</t>
        </is>
      </c>
      <c r="G495" s="23" t="inlineStr">
        <is>
          <t>10175332796</t>
        </is>
      </c>
      <c r="H495" s="25">
        <f t="array" ref="H495">IF(G495="","",IFERROR(IF(INDEX(Clientes!$D$5:$D$549,MATCH(G495,Clientes!$C$5:$C$549,0))&lt;&gt;"",INDEX(Clientes!$D$5:$D$549,MATCH(G495,Clientes!$C$5:$C$549,0)),TRIM(INDEX(Clientes!$E$5:$E$549,MATCH(G495,Clientes!$C$5:$C$549,0))&amp;" "&amp;INDEX(Clientes!$F$5:$F$549,MATCH(G495,Clientes!$C$5:$C$549,0)))),"NO EXISTE en Clientes"))</f>
        <v/>
      </c>
      <c r="I495" s="17" t="inlineStr">
        <is>
          <t>EN_PODER_CLIENTE</t>
        </is>
      </c>
      <c r="J495" s="17" t="n"/>
      <c r="K495" s="23" t="inlineStr">
        <is>
          <t>10176242073</t>
        </is>
      </c>
      <c r="L495" s="25">
        <f t="array" ref="L495">IF(K495="","",IFERROR(IF(INDEX(Clientes!$D$5:$D$549,MATCH(K495,Clientes!$C$5:$C$549,0))&lt;&gt;"",INDEX(Clientes!$D$5:$D$549,MATCH(K495,Clientes!$C$5:$C$549,0)),TRIM(INDEX(Clientes!$E$5:$E$549,MATCH(K495,Clientes!$C$5:$C$549,0))&amp;" "&amp;INDEX(Clientes!$F$5:$F$549,MATCH(K495,Clientes!$C$5:$C$549,0)))),"NO EXISTE en Clientes"))</f>
        <v/>
      </c>
      <c r="M495" s="17" t="n"/>
      <c r="N495" s="17" t="n"/>
      <c r="O495" s="42" t="n"/>
      <c r="P495" s="39">
        <f>IF(O495&lt;&gt;"",DATE(YEAR(O495)+5,MONTH(O495),1),IF(AND(M495&lt;&gt;"",N495&lt;&gt;""),DATE(M495+5,N495,1),""))</f>
        <v/>
      </c>
      <c r="Q495" s="23" t="n"/>
      <c r="R495" s="17" t="n"/>
      <c r="S495" s="17" t="n"/>
      <c r="T495" s="17" t="n"/>
      <c r="U495" s="17" t="n"/>
      <c r="V495" s="23" t="n"/>
      <c r="W495" s="17" t="n"/>
      <c r="X495" s="17" t="n"/>
      <c r="Y495" s="28">
        <f>IF(B495&lt;&gt;"OK","","SELECT bal_crear_balon(p_codigo_balon =&gt; "&amp;IF(TRIM(C495&amp;"")="","NULL","'"&amp;SUBSTITUTE(TRIM(C495),"'","''")&amp;"'")&amp;", p_id_tipo_balon =&gt; "&amp;"(SELECT id FROM bal_tipo_balon WHERE upper(nombre) = upper('"&amp;SUBSTITUTE(TRIM(D495),"'","''")&amp;"') AND estado = 1 LIMIT 1)"&amp;", p_id_producto_gas =&gt; "&amp;"(SELECT id FROM pro_producto WHERE es_gas = TRUE AND upper(nombre) = upper('"&amp;SUBSTITUTE(TRIM(E495),"'","''")&amp;"') AND estado = 1 LIMIT 1)"&amp;", p_id_propietario =&gt; "&amp;IF(TRIM(F495&amp;"")="","NULL","(SELECT lo.id FROM gen_lista_opciones lo JOIN gen_lista l ON l.id = lo.id_lista WHERE l.nombre = 'PropietarioBalon' AND upper(lo.nombre) = upper('"&amp;SUBSTITUTE(TRIM(F495),"'","''")&amp;"') AND lo.estado = 1 LIMIT 1)")&amp;", p_id_cliente_propietario =&gt; "&amp;IF(F495="CLIENTE",IF(TRIM(G495&amp;"")="","NULL","(SELECT id FROM cli_clientes WHERE numero_documento = '"&amp;SUBSTITUTE(TRIM(G495),"'","''")&amp;"' AND estado = 1 LIMIT 1)"),"NULL")&amp;", p_id_planta =&gt; "&amp;IF(F495="PLANTA",IF(TRIM(G495&amp;"")="","NULL","(SELECT id FROM cli_clientes WHERE numero_documento = '"&amp;SUBSTITUTE(TRIM(G495),"'","''")&amp;"'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"&amp;IF(TRIM(J495&amp;"")="","NULL","(SELECT id FROM gen_almacen WHERE upper(nombre) = upper('"&amp;SUBSTITUTE(TRIM(J495),"'","''")&amp;"') AND estado = 1 LIMIT 1)")&amp;", p_id_cliente_ubicacion =&gt; "&amp;IF(TRIM(K495&amp;"")="","NULL","(SELECT id FROM cli_clientes WHERE numero_documento = '"&amp;SUBSTITUTE(TRIM(K495),"'","''")&amp;"' AND estado = 1 LIMIT 1)")&amp;", p_id_referencia =&gt; "&amp;IF(TRIM(J495&amp;"")&lt;&gt;"","(SELECT lo.id FROM gen_lista_opciones lo JOIN gen_lista l ON l.id = lo.id_lista WHERE l.nombre = 'ReferenciaCilindro' AND upper(lo.nombre) = 'ALMACEN' AND lo.estado = 1 LIMIT 1)",IF(TRIM(K495&amp;"")&lt;&gt;"","(SELECT lo.id FROM gen_lista_opciones lo JOIN gen_lista l ON l.id = lo.id_lista WHERE l.nombre = 'ReferenciaCilindro' AND upper(lo.nombre) = 'CLIENTE' AND lo.estado = 1 LIMIT 1)","NULL"))&amp;", p_anio_fabricacion =&gt; "&amp;IF(M495&amp;""="","NULL::smallint",M495&amp;"::smallint")&amp;", p_mes_fabricacion =&gt; "&amp;IF(N495&amp;""="","NULL::smallint",N495&amp;"::smallint")&amp;", p_fecha_ultima_prueba_hidrostatica =&gt; "&amp;IF(O495&amp;""="","NULL","'"&amp;YEAR(O495)&amp;"-"&amp;TEXT(MONTH(O495),"00")&amp;"-"&amp;TEXT(DAY(O495),"00")&amp;"'")&amp;", p_numero_serie =&gt; "&amp;IF(TRIM(Q495&amp;"")="","NULL","'"&amp;SUBSTITUTE(TRIM(Q495),"'","''")&amp;"'")&amp;", p_id_marca_cilindro =&gt; "&amp;IF(TRIM(R495&amp;"")="","NULL","(SELECT lo.id FROM gen_lista_opciones lo JOIN gen_lista l ON l.id = lo.id_lista WHERE l.nombre = 'MarcaCilindro' AND upper(lo.nombre) = upper('"&amp;SUBSTITUTE(TRIM(R495),"'","''")&amp;"') AND lo.estado = 1 LIMIT 1)")&amp;", p_id_organo_inspector =&gt; "&amp;IF(TRIM(S495&amp;"")="","NULL","(SELECT lo.id FROM gen_lista_opciones lo JOIN gen_lista l ON l.id = lo.id_lista WHERE l.nombre = 'OrganoInspectorCilindro' AND upper(lo.nombre) = upper('"&amp;SUBSTITUTE(TRIM(S495),"'","''")&amp;"') AND lo.estado = 1 LIMIT 1)")&amp;", p_organo_inspector_no_aplica =&gt; "&amp;IF(S495="NO_APLICA","TRUE","FALSE")&amp;", p_presion_actual =&gt; "&amp;IF(T495&amp;""="","NULL",SUBSTITUTE(T495&amp;"",",","."))&amp;", p_tipo_valvula =&gt; "&amp;IF(TRIM(U495&amp;"")="","NULL","'"&amp;SUBSTITUTE(TRIM(U495),"'","''")&amp;"'")&amp;", p_libro_cilindro =&gt; "&amp;IF(TRIM(V495&amp;"")="","NULL","'"&amp;SUBSTITUTE(TRIM(V495),"'","''")&amp;"'")&amp;", p_pagina_libro =&gt; "&amp;IF(W495&amp;""="","NULL",SUBSTITUTE(W495&amp;"",",","."))&amp;", p_observacion =&gt; "&amp;IF(TRIM(X495&amp;"")="","NULL","'"&amp;SUBSTITUTE(TRIM(X495),"'","''")&amp;"'")&amp;") AS resultado_balon_"&amp;ROW()&amp;";")</f>
        <v/>
      </c>
    </row>
    <row r="496" ht="15.75" customHeight="1" s="64">
      <c r="A496" s="36" t="inlineStr">
        <is>
          <t>492</t>
        </is>
      </c>
      <c r="B496" s="25">
        <f>IF(AND(C496="",D496="",E496=""),"",IF(C496="","FALTA código balón",IF(D496="","FALTA tipo balón",IF(E496="","FALTA gas",IF(F496="","FALTA propietario",IF(AND(C496&lt;&gt;"",SUMPRODUCT(--($C$5:$C$1200=C496))&gt;1),"CÓDIGO BALÓN DUPLICADO",IF(AND(OR(UPPER(F496)="PLANTA",UPPER(F496)="CLIENTE"),G496=""),"FALTA doc propietario/planta",IF(AND(UPPER(F496)="PLANTA",G496="10175332796"),"PLANTA no puede ser RUC empresa","OK"))))))))</f>
        <v/>
      </c>
      <c r="C496" s="23" t="inlineStr">
        <is>
          <t>K4853175</t>
        </is>
      </c>
      <c r="D496" s="17" t="inlineStr">
        <is>
          <t>Oxígeno Industrial 10 m³</t>
        </is>
      </c>
      <c r="E496" s="17" t="inlineStr">
        <is>
          <t>OXIGENO INDUSTRIAL</t>
        </is>
      </c>
      <c r="F496" s="17" t="inlineStr">
        <is>
          <t>EMPRESA</t>
        </is>
      </c>
      <c r="G496" s="23" t="inlineStr">
        <is>
          <t>10175332796</t>
        </is>
      </c>
      <c r="H496" s="25">
        <f t="array" ref="H496">IF(G496="","",IFERROR(IF(INDEX(Clientes!$D$5:$D$549,MATCH(G496,Clientes!$C$5:$C$549,0))&lt;&gt;"",INDEX(Clientes!$D$5:$D$549,MATCH(G496,Clientes!$C$5:$C$549,0)),TRIM(INDEX(Clientes!$E$5:$E$549,MATCH(G496,Clientes!$C$5:$C$549,0))&amp;" "&amp;INDEX(Clientes!$F$5:$F$549,MATCH(G496,Clientes!$C$5:$C$549,0)))),"NO EXISTE en Clientes"))</f>
        <v/>
      </c>
      <c r="I496" s="17" t="inlineStr">
        <is>
          <t>EN_PODER_CLIENTE</t>
        </is>
      </c>
      <c r="J496" s="17" t="inlineStr">
        <is>
          <t>ALMACEN PRINCIPAL</t>
        </is>
      </c>
      <c r="K496" s="23" t="n"/>
      <c r="L496" s="25">
        <f t="array" ref="L496">IF(K496="","",IFERROR(IF(INDEX(Clientes!$D$5:$D$549,MATCH(K496,Clientes!$C$5:$C$549,0))&lt;&gt;"",INDEX(Clientes!$D$5:$D$549,MATCH(K496,Clientes!$C$5:$C$549,0)),TRIM(INDEX(Clientes!$E$5:$E$549,MATCH(K496,Clientes!$C$5:$C$549,0))&amp;" "&amp;INDEX(Clientes!$F$5:$F$549,MATCH(K496,Clientes!$C$5:$C$549,0)))),"NO EXISTE en Clientes"))</f>
        <v/>
      </c>
      <c r="M496" s="17" t="n"/>
      <c r="N496" s="17" t="n"/>
      <c r="O496" s="42" t="n"/>
      <c r="P496" s="39">
        <f>IF(O496&lt;&gt;"",DATE(YEAR(O496)+5,MONTH(O496),1),IF(AND(M496&lt;&gt;"",N496&lt;&gt;""),DATE(M496+5,N496,1),""))</f>
        <v/>
      </c>
      <c r="Q496" s="23" t="n"/>
      <c r="R496" s="17" t="n"/>
      <c r="S496" s="17" t="n"/>
      <c r="T496" s="17" t="n"/>
      <c r="U496" s="17" t="n"/>
      <c r="V496" s="23" t="n"/>
      <c r="W496" s="17" t="n"/>
      <c r="X496" s="17" t="n"/>
      <c r="Y496" s="28">
        <f>IF(B496&lt;&gt;"OK","","SELECT bal_crear_balon(p_codigo_balon =&gt; "&amp;IF(TRIM(C496&amp;"")="","NULL","'"&amp;SUBSTITUTE(TRIM(C496),"'","''")&amp;"'")&amp;", p_id_tipo_balon =&gt; "&amp;"(SELECT id FROM bal_tipo_balon WHERE upper(nombre) = upper('"&amp;SUBSTITUTE(TRIM(D496),"'","''")&amp;"') AND estado = 1 LIMIT 1)"&amp;", p_id_producto_gas =&gt; "&amp;"(SELECT id FROM pro_producto WHERE es_gas = TRUE AND upper(nombre) = upper('"&amp;SUBSTITUTE(TRIM(E496),"'","''")&amp;"') AND estado = 1 LIMIT 1)"&amp;", p_id_propietario =&gt; "&amp;IF(TRIM(F496&amp;"")="","NULL","(SELECT lo.id FROM gen_lista_opciones lo JOIN gen_lista l ON l.id = lo.id_lista WHERE l.nombre = 'PropietarioBalon' AND upper(lo.nombre) = upper('"&amp;SUBSTITUTE(TRIM(F496),"'","''")&amp;"') AND lo.estado = 1 LIMIT 1)")&amp;", p_id_cliente_propietario =&gt; "&amp;IF(F496="CLIENTE",IF(TRIM(G496&amp;"")="","NULL","(SELECT id FROM cli_clientes WHERE numero_documento = '"&amp;SUBSTITUTE(TRIM(G496),"'","''")&amp;"' AND estado = 1 LIMIT 1)"),"NULL")&amp;", p_id_planta =&gt; "&amp;IF(F496="PLANTA",IF(TRIM(G496&amp;"")="","NULL","(SELECT id FROM cli_clientes WHERE numero_documento = '"&amp;SUBSTITUTE(TRIM(G496),"'","''")&amp;"'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"&amp;IF(TRIM(J496&amp;"")="","NULL","(SELECT id FROM gen_almacen WHERE upper(nombre) = upper('"&amp;SUBSTITUTE(TRIM(J496),"'","''")&amp;"') AND estado = 1 LIMIT 1)")&amp;", p_id_cliente_ubicacion =&gt; "&amp;IF(TRIM(K496&amp;"")="","NULL","(SELECT id FROM cli_clientes WHERE numero_documento = '"&amp;SUBSTITUTE(TRIM(K496),"'","''")&amp;"' AND estado = 1 LIMIT 1)")&amp;", p_id_referencia =&gt; "&amp;IF(TRIM(J496&amp;"")&lt;&gt;"","(SELECT lo.id FROM gen_lista_opciones lo JOIN gen_lista l ON l.id = lo.id_lista WHERE l.nombre = 'ReferenciaCilindro' AND upper(lo.nombre) = 'ALMACEN' AND lo.estado = 1 LIMIT 1)",IF(TRIM(K496&amp;"")&lt;&gt;"","(SELECT lo.id FROM gen_lista_opciones lo JOIN gen_lista l ON l.id = lo.id_lista WHERE l.nombre = 'ReferenciaCilindro' AND upper(lo.nombre) = 'CLIENTE' AND lo.estado = 1 LIMIT 1)","NULL"))&amp;", p_anio_fabricacion =&gt; "&amp;IF(M496&amp;""="","NULL::smallint",M496&amp;"::smallint")&amp;", p_mes_fabricacion =&gt; "&amp;IF(N496&amp;""="","NULL::smallint",N496&amp;"::smallint")&amp;", p_fecha_ultima_prueba_hidrostatica =&gt; "&amp;IF(O496&amp;""="","NULL","'"&amp;YEAR(O496)&amp;"-"&amp;TEXT(MONTH(O496),"00")&amp;"-"&amp;TEXT(DAY(O496),"00")&amp;"'")&amp;", p_numero_serie =&gt; "&amp;IF(TRIM(Q496&amp;"")="","NULL","'"&amp;SUBSTITUTE(TRIM(Q496),"'","''")&amp;"'")&amp;", p_id_marca_cilindro =&gt; "&amp;IF(TRIM(R496&amp;"")="","NULL","(SELECT lo.id FROM gen_lista_opciones lo JOIN gen_lista l ON l.id = lo.id_lista WHERE l.nombre = 'MarcaCilindro' AND upper(lo.nombre) = upper('"&amp;SUBSTITUTE(TRIM(R496),"'","''")&amp;"') AND lo.estado = 1 LIMIT 1)")&amp;", p_id_organo_inspector =&gt; "&amp;IF(TRIM(S496&amp;"")="","NULL","(SELECT lo.id FROM gen_lista_opciones lo JOIN gen_lista l ON l.id = lo.id_lista WHERE l.nombre = 'OrganoInspectorCilindro' AND upper(lo.nombre) = upper('"&amp;SUBSTITUTE(TRIM(S496),"'","''")&amp;"') AND lo.estado = 1 LIMIT 1)")&amp;", p_organo_inspector_no_aplica =&gt; "&amp;IF(S496="NO_APLICA","TRUE","FALSE")&amp;", p_presion_actual =&gt; "&amp;IF(T496&amp;""="","NULL",SUBSTITUTE(T496&amp;"",",","."))&amp;", p_tipo_valvula =&gt; "&amp;IF(TRIM(U496&amp;"")="","NULL","'"&amp;SUBSTITUTE(TRIM(U496),"'","''")&amp;"'")&amp;", p_libro_cilindro =&gt; "&amp;IF(TRIM(V496&amp;"")="","NULL","'"&amp;SUBSTITUTE(TRIM(V496),"'","''")&amp;"'")&amp;", p_pagina_libro =&gt; "&amp;IF(W496&amp;""="","NULL",SUBSTITUTE(W496&amp;"",",","."))&amp;", p_observacion =&gt; "&amp;IF(TRIM(X496&amp;"")="","NULL","'"&amp;SUBSTITUTE(TRIM(X496),"'","''")&amp;"'")&amp;") AS resultado_balon_"&amp;ROW()&amp;";")</f>
        <v/>
      </c>
    </row>
    <row r="497" ht="15.75" customHeight="1" s="64">
      <c r="A497" s="36" t="inlineStr">
        <is>
          <t>493</t>
        </is>
      </c>
      <c r="B497" s="25">
        <f>IF(AND(C497="",D497="",E497=""),"",IF(C497="","FALTA código balón",IF(D497="","FALTA tipo balón",IF(E497="","FALTA gas",IF(F497="","FALTA propietario",IF(AND(C497&lt;&gt;"",SUMPRODUCT(--($C$5:$C$1200=C497))&gt;1),"CÓDIGO BALÓN DUPLICADO",IF(AND(OR(UPPER(F497)="PLANTA",UPPER(F497)="CLIENTE"),G497=""),"FALTA doc propietario/planta",IF(AND(UPPER(F497)="PLANTA",G497="10175332796"),"PLANTA no puede ser RUC empresa","OK"))))))))</f>
        <v/>
      </c>
      <c r="C497" s="23" t="inlineStr">
        <is>
          <t>K4864082</t>
        </is>
      </c>
      <c r="D497" s="17" t="inlineStr">
        <is>
          <t>Oxígeno Medicinal 10 m³</t>
        </is>
      </c>
      <c r="E497" s="17" t="inlineStr">
        <is>
          <t>OXIGENO MEDICINAL</t>
        </is>
      </c>
      <c r="F497" s="17" t="inlineStr">
        <is>
          <t>EMPRESA</t>
        </is>
      </c>
      <c r="G497" s="23" t="inlineStr">
        <is>
          <t>10175332796</t>
        </is>
      </c>
      <c r="H497" s="25">
        <f t="array" ref="H497">IF(G497="","",IFERROR(IF(INDEX(Clientes!$D$5:$D$549,MATCH(G497,Clientes!$C$5:$C$549,0))&lt;&gt;"",INDEX(Clientes!$D$5:$D$549,MATCH(G497,Clientes!$C$5:$C$549,0)),TRIM(INDEX(Clientes!$E$5:$E$549,MATCH(G497,Clientes!$C$5:$C$549,0))&amp;" "&amp;INDEX(Clientes!$F$5:$F$549,MATCH(G497,Clientes!$C$5:$C$549,0)))),"NO EXISTE en Clientes"))</f>
        <v/>
      </c>
      <c r="I497" s="17" t="inlineStr">
        <is>
          <t>DISPONIBLE</t>
        </is>
      </c>
      <c r="J497" s="17" t="inlineStr">
        <is>
          <t>ALMACEN LAMBAYEQUE</t>
        </is>
      </c>
      <c r="K497" s="23" t="n"/>
      <c r="L497" s="25">
        <f t="array" ref="L497">IF(K497="","",IFERROR(IF(INDEX(Clientes!$D$5:$D$549,MATCH(K497,Clientes!$C$5:$C$549,0))&lt;&gt;"",INDEX(Clientes!$D$5:$D$549,MATCH(K497,Clientes!$C$5:$C$549,0)),TRIM(INDEX(Clientes!$E$5:$E$549,MATCH(K497,Clientes!$C$5:$C$549,0))&amp;" "&amp;INDEX(Clientes!$F$5:$F$549,MATCH(K497,Clientes!$C$5:$C$549,0)))),"NO EXISTE en Clientes"))</f>
        <v/>
      </c>
      <c r="M497" s="17" t="n"/>
      <c r="N497" s="17" t="n"/>
      <c r="O497" s="42" t="n"/>
      <c r="P497" s="39">
        <f>IF(O497&lt;&gt;"",DATE(YEAR(O497)+5,MONTH(O497),1),IF(AND(M497&lt;&gt;"",N497&lt;&gt;""),DATE(M497+5,N497,1),""))</f>
        <v/>
      </c>
      <c r="Q497" s="23" t="n"/>
      <c r="R497" s="17" t="n"/>
      <c r="S497" s="17" t="n"/>
      <c r="T497" s="17" t="n"/>
      <c r="U497" s="17" t="n"/>
      <c r="V497" s="23" t="n"/>
      <c r="W497" s="17" t="n"/>
      <c r="X497" s="17" t="n"/>
      <c r="Y497" s="28">
        <f>IF(B497&lt;&gt;"OK","","SELECT bal_crear_balon(p_codigo_balon =&gt; "&amp;IF(TRIM(C497&amp;"")="","NULL","'"&amp;SUBSTITUTE(TRIM(C497),"'","''")&amp;"'")&amp;", p_id_tipo_balon =&gt; "&amp;"(SELECT id FROM bal_tipo_balon WHERE upper(nombre) = upper('"&amp;SUBSTITUTE(TRIM(D497),"'","''")&amp;"') AND estado = 1 LIMIT 1)"&amp;", p_id_producto_gas =&gt; "&amp;"(SELECT id FROM pro_producto WHERE es_gas = TRUE AND upper(nombre) = upper('"&amp;SUBSTITUTE(TRIM(E497),"'","''")&amp;"') AND estado = 1 LIMIT 1)"&amp;", p_id_propietario =&gt; "&amp;IF(TRIM(F497&amp;"")="","NULL","(SELECT lo.id FROM gen_lista_opciones lo JOIN gen_lista l ON l.id = lo.id_lista WHERE l.nombre = 'PropietarioBalon' AND upper(lo.nombre) = upper('"&amp;SUBSTITUTE(TRIM(F497),"'","''")&amp;"') AND lo.estado = 1 LIMIT 1)")&amp;", p_id_cliente_propietario =&gt; "&amp;IF(F497="CLIENTE",IF(TRIM(G497&amp;"")="","NULL","(SELECT id FROM cli_clientes WHERE numero_documento = '"&amp;SUBSTITUTE(TRIM(G497),"'","''")&amp;"' AND estado = 1 LIMIT 1)"),"NULL")&amp;", p_id_planta =&gt; "&amp;IF(F497="PLANTA",IF(TRIM(G497&amp;"")="","NULL","(SELECT id FROM cli_clientes WHERE numero_documento = '"&amp;SUBSTITUTE(TRIM(G497),"'","''")&amp;"'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"&amp;IF(TRIM(J497&amp;"")="","NULL","(SELECT id FROM gen_almacen WHERE upper(nombre) = upper('"&amp;SUBSTITUTE(TRIM(J497),"'","''")&amp;"') AND estado = 1 LIMIT 1)")&amp;", p_id_cliente_ubicacion =&gt; "&amp;IF(TRIM(K497&amp;"")="","NULL","(SELECT id FROM cli_clientes WHERE numero_documento = '"&amp;SUBSTITUTE(TRIM(K497),"'","''")&amp;"' AND estado = 1 LIMIT 1)")&amp;", p_id_referencia =&gt; "&amp;IF(TRIM(J497&amp;"")&lt;&gt;"","(SELECT lo.id FROM gen_lista_opciones lo JOIN gen_lista l ON l.id = lo.id_lista WHERE l.nombre = 'ReferenciaCilindro' AND upper(lo.nombre) = 'ALMACEN' AND lo.estado = 1 LIMIT 1)",IF(TRIM(K497&amp;"")&lt;&gt;"","(SELECT lo.id FROM gen_lista_opciones lo JOIN gen_lista l ON l.id = lo.id_lista WHERE l.nombre = 'ReferenciaCilindro' AND upper(lo.nombre) = 'CLIENTE' AND lo.estado = 1 LIMIT 1)","NULL"))&amp;", p_anio_fabricacion =&gt; "&amp;IF(M497&amp;""="","NULL::smallint",M497&amp;"::smallint")&amp;", p_mes_fabricacion =&gt; "&amp;IF(N497&amp;""="","NULL::smallint",N497&amp;"::smallint")&amp;", p_fecha_ultima_prueba_hidrostatica =&gt; "&amp;IF(O497&amp;""="","NULL","'"&amp;YEAR(O497)&amp;"-"&amp;TEXT(MONTH(O497),"00")&amp;"-"&amp;TEXT(DAY(O497),"00")&amp;"'")&amp;", p_numero_serie =&gt; "&amp;IF(TRIM(Q497&amp;"")="","NULL","'"&amp;SUBSTITUTE(TRIM(Q497),"'","''")&amp;"'")&amp;", p_id_marca_cilindro =&gt; "&amp;IF(TRIM(R497&amp;"")="","NULL","(SELECT lo.id FROM gen_lista_opciones lo JOIN gen_lista l ON l.id = lo.id_lista WHERE l.nombre = 'MarcaCilindro' AND upper(lo.nombre) = upper('"&amp;SUBSTITUTE(TRIM(R497),"'","''")&amp;"') AND lo.estado = 1 LIMIT 1)")&amp;", p_id_organo_inspector =&gt; "&amp;IF(TRIM(S497&amp;"")="","NULL","(SELECT lo.id FROM gen_lista_opciones lo JOIN gen_lista l ON l.id = lo.id_lista WHERE l.nombre = 'OrganoInspectorCilindro' AND upper(lo.nombre) = upper('"&amp;SUBSTITUTE(TRIM(S497),"'","''")&amp;"') AND lo.estado = 1 LIMIT 1)")&amp;", p_organo_inspector_no_aplica =&gt; "&amp;IF(S497="NO_APLICA","TRUE","FALSE")&amp;", p_presion_actual =&gt; "&amp;IF(T497&amp;""="","NULL",SUBSTITUTE(T497&amp;"",",","."))&amp;", p_tipo_valvula =&gt; "&amp;IF(TRIM(U497&amp;"")="","NULL","'"&amp;SUBSTITUTE(TRIM(U497),"'","''")&amp;"'")&amp;", p_libro_cilindro =&gt; "&amp;IF(TRIM(V497&amp;"")="","NULL","'"&amp;SUBSTITUTE(TRIM(V497),"'","''")&amp;"'")&amp;", p_pagina_libro =&gt; "&amp;IF(W497&amp;""="","NULL",SUBSTITUTE(W497&amp;"",",","."))&amp;", p_observacion =&gt; "&amp;IF(TRIM(X497&amp;"")="","NULL","'"&amp;SUBSTITUTE(TRIM(X497),"'","''")&amp;"'")&amp;") AS resultado_balon_"&amp;ROW()&amp;";")</f>
        <v/>
      </c>
    </row>
    <row r="498" ht="15.75" customHeight="1" s="64">
      <c r="A498" s="36" t="inlineStr">
        <is>
          <t>494</t>
        </is>
      </c>
      <c r="B498" s="25">
        <f>IF(AND(C498="",D498="",E498=""),"",IF(C498="","FALTA código balón",IF(D498="","FALTA tipo balón",IF(E498="","FALTA gas",IF(F498="","FALTA propietario",IF(AND(C498&lt;&gt;"",SUMPRODUCT(--($C$5:$C$1200=C498))&gt;1),"CÓDIGO BALÓN DUPLICADO",IF(AND(OR(UPPER(F498)="PLANTA",UPPER(F498)="CLIENTE"),G498=""),"FALTA doc propietario/planta",IF(AND(UPPER(F498)="PLANTA",G498="10175332796"),"PLANTA no puede ser RUC empresa","OK"))))))))</f>
        <v/>
      </c>
      <c r="C498" s="23" t="inlineStr">
        <is>
          <t>K4852047</t>
        </is>
      </c>
      <c r="D498" s="17" t="inlineStr">
        <is>
          <t>Oxígeno Industrial 10 m³</t>
        </is>
      </c>
      <c r="E498" s="17" t="inlineStr">
        <is>
          <t>OXIGENO INDUSTRIAL</t>
        </is>
      </c>
      <c r="F498" s="17" t="inlineStr">
        <is>
          <t>EMPRESA</t>
        </is>
      </c>
      <c r="G498" s="23" t="inlineStr">
        <is>
          <t>10175332796</t>
        </is>
      </c>
      <c r="H498" s="25">
        <f t="array" ref="H498">IF(G498="","",IFERROR(IF(INDEX(Clientes!$D$5:$D$549,MATCH(G498,Clientes!$C$5:$C$549,0))&lt;&gt;"",INDEX(Clientes!$D$5:$D$549,MATCH(G498,Clientes!$C$5:$C$549,0)),TRIM(INDEX(Clientes!$E$5:$E$549,MATCH(G498,Clientes!$C$5:$C$549,0))&amp;" "&amp;INDEX(Clientes!$F$5:$F$549,MATCH(G498,Clientes!$C$5:$C$549,0)))),"NO EXISTE en Clientes"))</f>
        <v/>
      </c>
      <c r="I498" s="17" t="inlineStr">
        <is>
          <t>DISPONIBLE</t>
        </is>
      </c>
      <c r="J498" s="17" t="inlineStr">
        <is>
          <t>ALMACEN PRINCIPAL</t>
        </is>
      </c>
      <c r="K498" s="23" t="n"/>
      <c r="L498" s="25">
        <f t="array" ref="L498">IF(K498="","",IFERROR(IF(INDEX(Clientes!$D$5:$D$549,MATCH(K498,Clientes!$C$5:$C$549,0))&lt;&gt;"",INDEX(Clientes!$D$5:$D$549,MATCH(K498,Clientes!$C$5:$C$549,0)),TRIM(INDEX(Clientes!$E$5:$E$549,MATCH(K498,Clientes!$C$5:$C$549,0))&amp;" "&amp;INDEX(Clientes!$F$5:$F$549,MATCH(K498,Clientes!$C$5:$C$549,0)))),"NO EXISTE en Clientes"))</f>
        <v/>
      </c>
      <c r="M498" s="17" t="n"/>
      <c r="N498" s="17" t="n"/>
      <c r="O498" s="42" t="n"/>
      <c r="P498" s="39">
        <f>IF(O498&lt;&gt;"",DATE(YEAR(O498)+5,MONTH(O498),1),IF(AND(M498&lt;&gt;"",N498&lt;&gt;""),DATE(M498+5,N498,1),""))</f>
        <v/>
      </c>
      <c r="Q498" s="23" t="n"/>
      <c r="R498" s="17" t="n"/>
      <c r="S498" s="17" t="n"/>
      <c r="T498" s="17" t="n"/>
      <c r="U498" s="17" t="n"/>
      <c r="V498" s="23" t="n"/>
      <c r="W498" s="17" t="n"/>
      <c r="X498" s="17" t="n"/>
      <c r="Y498" s="28">
        <f>IF(B498&lt;&gt;"OK","","SELECT bal_crear_balon(p_codigo_balon =&gt; "&amp;IF(TRIM(C498&amp;"")="","NULL","'"&amp;SUBSTITUTE(TRIM(C498),"'","''")&amp;"'")&amp;", p_id_tipo_balon =&gt; "&amp;"(SELECT id FROM bal_tipo_balon WHERE upper(nombre) = upper('"&amp;SUBSTITUTE(TRIM(D498),"'","''")&amp;"') AND estado = 1 LIMIT 1)"&amp;", p_id_producto_gas =&gt; "&amp;"(SELECT id FROM pro_producto WHERE es_gas = TRUE AND upper(nombre) = upper('"&amp;SUBSTITUTE(TRIM(E498),"'","''")&amp;"') AND estado = 1 LIMIT 1)"&amp;", p_id_propietario =&gt; "&amp;IF(TRIM(F498&amp;"")="","NULL","(SELECT lo.id FROM gen_lista_opciones lo JOIN gen_lista l ON l.id = lo.id_lista WHERE l.nombre = 'PropietarioBalon' AND upper(lo.nombre) = upper('"&amp;SUBSTITUTE(TRIM(F498),"'","''")&amp;"') AND lo.estado = 1 LIMIT 1)")&amp;", p_id_cliente_propietario =&gt; "&amp;IF(F498="CLIENTE",IF(TRIM(G498&amp;"")="","NULL","(SELECT id FROM cli_clientes WHERE numero_documento = '"&amp;SUBSTITUTE(TRIM(G498),"'","''")&amp;"' AND estado = 1 LIMIT 1)"),"NULL")&amp;", p_id_planta =&gt; "&amp;IF(F498="PLANTA",IF(TRIM(G498&amp;"")="","NULL","(SELECT id FROM cli_clientes WHERE numero_documento = '"&amp;SUBSTITUTE(TRIM(G498),"'","''")&amp;"'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"&amp;IF(TRIM(J498&amp;"")="","NULL","(SELECT id FROM gen_almacen WHERE upper(nombre) = upper('"&amp;SUBSTITUTE(TRIM(J498),"'","''")&amp;"') AND estado = 1 LIMIT 1)")&amp;", p_id_cliente_ubicacion =&gt; "&amp;IF(TRIM(K498&amp;"")="","NULL","(SELECT id FROM cli_clientes WHERE numero_documento = '"&amp;SUBSTITUTE(TRIM(K498),"'","''")&amp;"' AND estado = 1 LIMIT 1)")&amp;", p_id_referencia =&gt; "&amp;IF(TRIM(J498&amp;"")&lt;&gt;"","(SELECT lo.id FROM gen_lista_opciones lo JOIN gen_lista l ON l.id = lo.id_lista WHERE l.nombre = 'ReferenciaCilindro' AND upper(lo.nombre) = 'ALMACEN' AND lo.estado = 1 LIMIT 1)",IF(TRIM(K498&amp;"")&lt;&gt;"","(SELECT lo.id FROM gen_lista_opciones lo JOIN gen_lista l ON l.id = lo.id_lista WHERE l.nombre = 'ReferenciaCilindro' AND upper(lo.nombre) = 'CLIENTE' AND lo.estado = 1 LIMIT 1)","NULL"))&amp;", p_anio_fabricacion =&gt; "&amp;IF(M498&amp;""="","NULL::smallint",M498&amp;"::smallint")&amp;", p_mes_fabricacion =&gt; "&amp;IF(N498&amp;""="","NULL::smallint",N498&amp;"::smallint")&amp;", p_fecha_ultima_prueba_hidrostatica =&gt; "&amp;IF(O498&amp;""="","NULL","'"&amp;YEAR(O498)&amp;"-"&amp;TEXT(MONTH(O498),"00")&amp;"-"&amp;TEXT(DAY(O498),"00")&amp;"'")&amp;", p_numero_serie =&gt; "&amp;IF(TRIM(Q498&amp;"")="","NULL","'"&amp;SUBSTITUTE(TRIM(Q498),"'","''")&amp;"'")&amp;", p_id_marca_cilindro =&gt; "&amp;IF(TRIM(R498&amp;"")="","NULL","(SELECT lo.id FROM gen_lista_opciones lo JOIN gen_lista l ON l.id = lo.id_lista WHERE l.nombre = 'MarcaCilindro' AND upper(lo.nombre) = upper('"&amp;SUBSTITUTE(TRIM(R498),"'","''")&amp;"') AND lo.estado = 1 LIMIT 1)")&amp;", p_id_organo_inspector =&gt; "&amp;IF(TRIM(S498&amp;"")="","NULL","(SELECT lo.id FROM gen_lista_opciones lo JOIN gen_lista l ON l.id = lo.id_lista WHERE l.nombre = 'OrganoInspectorCilindro' AND upper(lo.nombre) = upper('"&amp;SUBSTITUTE(TRIM(S498),"'","''")&amp;"') AND lo.estado = 1 LIMIT 1)")&amp;", p_organo_inspector_no_aplica =&gt; "&amp;IF(S498="NO_APLICA","TRUE","FALSE")&amp;", p_presion_actual =&gt; "&amp;IF(T498&amp;""="","NULL",SUBSTITUTE(T498&amp;"",",","."))&amp;", p_tipo_valvula =&gt; "&amp;IF(TRIM(U498&amp;"")="","NULL","'"&amp;SUBSTITUTE(TRIM(U498),"'","''")&amp;"'")&amp;", p_libro_cilindro =&gt; "&amp;IF(TRIM(V498&amp;"")="","NULL","'"&amp;SUBSTITUTE(TRIM(V498),"'","''")&amp;"'")&amp;", p_pagina_libro =&gt; "&amp;IF(W498&amp;""="","NULL",SUBSTITUTE(W498&amp;"",",","."))&amp;", p_observacion =&gt; "&amp;IF(TRIM(X498&amp;"")="","NULL","'"&amp;SUBSTITUTE(TRIM(X498),"'","''")&amp;"'")&amp;") AS resultado_balon_"&amp;ROW()&amp;";")</f>
        <v/>
      </c>
    </row>
    <row r="499" ht="15.75" customHeight="1" s="64">
      <c r="A499" s="36" t="inlineStr">
        <is>
          <t>495</t>
        </is>
      </c>
      <c r="B499" s="25">
        <f>IF(AND(C499="",D499="",E499=""),"",IF(C499="","FALTA código balón",IF(D499="","FALTA tipo balón",IF(E499="","FALTA gas",IF(F499="","FALTA propietario",IF(AND(C499&lt;&gt;"",SUMPRODUCT(--($C$5:$C$1200=C499))&gt;1),"CÓDIGO BALÓN DUPLICADO",IF(AND(OR(UPPER(F499)="PLANTA",UPPER(F499)="CLIENTE"),G499=""),"FALTA doc propietario/planta",IF(AND(UPPER(F499)="PLANTA",G499="10175332796"),"PLANTA no puede ser RUC empresa","OK"))))))))</f>
        <v/>
      </c>
      <c r="C499" s="23" t="inlineStr">
        <is>
          <t>EC210036</t>
        </is>
      </c>
      <c r="D499" s="17" t="inlineStr">
        <is>
          <t>Oxígeno Industrial 10 m³</t>
        </is>
      </c>
      <c r="E499" s="17" t="inlineStr">
        <is>
          <t>OXIGENO INDUSTRIAL</t>
        </is>
      </c>
      <c r="F499" s="17" t="inlineStr">
        <is>
          <t>EMPRESA</t>
        </is>
      </c>
      <c r="G499" s="23" t="inlineStr">
        <is>
          <t>10175332796</t>
        </is>
      </c>
      <c r="H499" s="25">
        <f t="array" ref="H499">IF(G499="","",IFERROR(IF(INDEX(Clientes!$D$5:$D$549,MATCH(G499,Clientes!$C$5:$C$549,0))&lt;&gt;"",INDEX(Clientes!$D$5:$D$549,MATCH(G499,Clientes!$C$5:$C$549,0)),TRIM(INDEX(Clientes!$E$5:$E$549,MATCH(G499,Clientes!$C$5:$C$549,0))&amp;" "&amp;INDEX(Clientes!$F$5:$F$549,MATCH(G499,Clientes!$C$5:$C$549,0)))),"NO EXISTE en Clientes"))</f>
        <v/>
      </c>
      <c r="I499" s="17" t="inlineStr">
        <is>
          <t>DISPONIBLE</t>
        </is>
      </c>
      <c r="J499" s="17" t="inlineStr">
        <is>
          <t>ALMACEN PRINCIPAL</t>
        </is>
      </c>
      <c r="K499" s="23" t="n"/>
      <c r="L499" s="25">
        <f t="array" ref="L499">IF(K499="","",IFERROR(IF(INDEX(Clientes!$D$5:$D$549,MATCH(K499,Clientes!$C$5:$C$549,0))&lt;&gt;"",INDEX(Clientes!$D$5:$D$549,MATCH(K499,Clientes!$C$5:$C$549,0)),TRIM(INDEX(Clientes!$E$5:$E$549,MATCH(K499,Clientes!$C$5:$C$549,0))&amp;" "&amp;INDEX(Clientes!$F$5:$F$549,MATCH(K499,Clientes!$C$5:$C$549,0)))),"NO EXISTE en Clientes"))</f>
        <v/>
      </c>
      <c r="M499" s="17" t="n"/>
      <c r="N499" s="17" t="n"/>
      <c r="O499" s="42" t="n"/>
      <c r="P499" s="39">
        <f>IF(O499&lt;&gt;"",DATE(YEAR(O499)+5,MONTH(O499),1),IF(AND(M499&lt;&gt;"",N499&lt;&gt;""),DATE(M499+5,N499,1),""))</f>
        <v/>
      </c>
      <c r="Q499" s="23" t="n"/>
      <c r="R499" s="17" t="n"/>
      <c r="S499" s="17" t="n"/>
      <c r="T499" s="17" t="n"/>
      <c r="U499" s="17" t="n"/>
      <c r="V499" s="23" t="n"/>
      <c r="W499" s="17" t="n"/>
      <c r="X499" s="17" t="n"/>
      <c r="Y499" s="28">
        <f>IF(B499&lt;&gt;"OK","","SELECT bal_crear_balon(p_codigo_balon =&gt; "&amp;IF(TRIM(C499&amp;"")="","NULL","'"&amp;SUBSTITUTE(TRIM(C499),"'","''")&amp;"'")&amp;", p_id_tipo_balon =&gt; "&amp;"(SELECT id FROM bal_tipo_balon WHERE upper(nombre) = upper('"&amp;SUBSTITUTE(TRIM(D499),"'","''")&amp;"') AND estado = 1 LIMIT 1)"&amp;", p_id_producto_gas =&gt; "&amp;"(SELECT id FROM pro_producto WHERE es_gas = TRUE AND upper(nombre) = upper('"&amp;SUBSTITUTE(TRIM(E499),"'","''")&amp;"') AND estado = 1 LIMIT 1)"&amp;", p_id_propietario =&gt; "&amp;IF(TRIM(F499&amp;"")="","NULL","(SELECT lo.id FROM gen_lista_opciones lo JOIN gen_lista l ON l.id = lo.id_lista WHERE l.nombre = 'PropietarioBalon' AND upper(lo.nombre) = upper('"&amp;SUBSTITUTE(TRIM(F499),"'","''")&amp;"') AND lo.estado = 1 LIMIT 1)")&amp;", p_id_cliente_propietario =&gt; "&amp;IF(F499="CLIENTE",IF(TRIM(G499&amp;"")="","NULL","(SELECT id FROM cli_clientes WHERE numero_documento = '"&amp;SUBSTITUTE(TRIM(G499),"'","''")&amp;"' AND estado = 1 LIMIT 1)"),"NULL")&amp;", p_id_planta =&gt; "&amp;IF(F499="PLANTA",IF(TRIM(G499&amp;"")="","NULL","(SELECT id FROM cli_clientes WHERE numero_documento = '"&amp;SUBSTITUTE(TRIM(G499),"'","''")&amp;"'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"&amp;IF(TRIM(J499&amp;"")="","NULL","(SELECT id FROM gen_almacen WHERE upper(nombre) = upper('"&amp;SUBSTITUTE(TRIM(J499),"'","''")&amp;"') AND estado = 1 LIMIT 1)")&amp;", p_id_cliente_ubicacion =&gt; "&amp;IF(TRIM(K499&amp;"")="","NULL","(SELECT id FROM cli_clientes WHERE numero_documento = '"&amp;SUBSTITUTE(TRIM(K499),"'","''")&amp;"' AND estado = 1 LIMIT 1)")&amp;", p_id_referencia =&gt; "&amp;IF(TRIM(J499&amp;"")&lt;&gt;"","(SELECT lo.id FROM gen_lista_opciones lo JOIN gen_lista l ON l.id = lo.id_lista WHERE l.nombre = 'ReferenciaCilindro' AND upper(lo.nombre) = 'ALMACEN' AND lo.estado = 1 LIMIT 1)",IF(TRIM(K499&amp;"")&lt;&gt;"","(SELECT lo.id FROM gen_lista_opciones lo JOIN gen_lista l ON l.id = lo.id_lista WHERE l.nombre = 'ReferenciaCilindro' AND upper(lo.nombre) = 'CLIENTE' AND lo.estado = 1 LIMIT 1)","NULL"))&amp;", p_anio_fabricacion =&gt; "&amp;IF(M499&amp;""="","NULL::smallint",M499&amp;"::smallint")&amp;", p_mes_fabricacion =&gt; "&amp;IF(N499&amp;""="","NULL::smallint",N499&amp;"::smallint")&amp;", p_fecha_ultima_prueba_hidrostatica =&gt; "&amp;IF(O499&amp;""="","NULL","'"&amp;YEAR(O499)&amp;"-"&amp;TEXT(MONTH(O499),"00")&amp;"-"&amp;TEXT(DAY(O499),"00")&amp;"'")&amp;", p_numero_serie =&gt; "&amp;IF(TRIM(Q499&amp;"")="","NULL","'"&amp;SUBSTITUTE(TRIM(Q499),"'","''")&amp;"'")&amp;", p_id_marca_cilindro =&gt; "&amp;IF(TRIM(R499&amp;"")="","NULL","(SELECT lo.id FROM gen_lista_opciones lo JOIN gen_lista l ON l.id = lo.id_lista WHERE l.nombre = 'MarcaCilindro' AND upper(lo.nombre) = upper('"&amp;SUBSTITUTE(TRIM(R499),"'","''")&amp;"') AND lo.estado = 1 LIMIT 1)")&amp;", p_id_organo_inspector =&gt; "&amp;IF(TRIM(S499&amp;"")="","NULL","(SELECT lo.id FROM gen_lista_opciones lo JOIN gen_lista l ON l.id = lo.id_lista WHERE l.nombre = 'OrganoInspectorCilindro' AND upper(lo.nombre) = upper('"&amp;SUBSTITUTE(TRIM(S499),"'","''")&amp;"') AND lo.estado = 1 LIMIT 1)")&amp;", p_organo_inspector_no_aplica =&gt; "&amp;IF(S499="NO_APLICA","TRUE","FALSE")&amp;", p_presion_actual =&gt; "&amp;IF(T499&amp;""="","NULL",SUBSTITUTE(T499&amp;"",",","."))&amp;", p_tipo_valvula =&gt; "&amp;IF(TRIM(U499&amp;"")="","NULL","'"&amp;SUBSTITUTE(TRIM(U499),"'","''")&amp;"'")&amp;", p_libro_cilindro =&gt; "&amp;IF(TRIM(V499&amp;"")="","NULL","'"&amp;SUBSTITUTE(TRIM(V499),"'","''")&amp;"'")&amp;", p_pagina_libro =&gt; "&amp;IF(W499&amp;""="","NULL",SUBSTITUTE(W499&amp;"",",","."))&amp;", p_observacion =&gt; "&amp;IF(TRIM(X499&amp;"")="","NULL","'"&amp;SUBSTITUTE(TRIM(X499),"'","''")&amp;"'")&amp;") AS resultado_balon_"&amp;ROW()&amp;";")</f>
        <v/>
      </c>
    </row>
    <row r="500" ht="15.75" customHeight="1" s="64">
      <c r="A500" s="36" t="inlineStr">
        <is>
          <t>496</t>
        </is>
      </c>
      <c r="B500" s="25">
        <f>IF(AND(C500="",D500="",E500=""),"",IF(C500="","FALTA código balón",IF(D500="","FALTA tipo balón",IF(E500="","FALTA gas",IF(F500="","FALTA propietario",IF(AND(C500&lt;&gt;"",SUMPRODUCT(--($C$5:$C$1200=C500))&gt;1),"CÓDIGO BALÓN DUPLICADO",IF(AND(OR(UPPER(F500)="PLANTA",UPPER(F500)="CLIENTE"),G500=""),"FALTA doc propietario/planta",IF(AND(UPPER(F500)="PLANTA",G500="10175332796"),"PLANTA no puede ser RUC empresa","OK"))))))))</f>
        <v/>
      </c>
      <c r="C500" s="23" t="inlineStr">
        <is>
          <t>20K647017</t>
        </is>
      </c>
      <c r="D500" s="17" t="inlineStr">
        <is>
          <t>Oxígeno Industrial 10 m³</t>
        </is>
      </c>
      <c r="E500" s="17" t="inlineStr">
        <is>
          <t>OXIGENO INDUSTRIAL</t>
        </is>
      </c>
      <c r="F500" s="17" t="inlineStr">
        <is>
          <t>EMPRESA</t>
        </is>
      </c>
      <c r="G500" s="23" t="inlineStr">
        <is>
          <t>10175332796</t>
        </is>
      </c>
      <c r="H500" s="25">
        <f t="array" ref="H500">IF(G500="","",IFERROR(IF(INDEX(Clientes!$D$5:$D$549,MATCH(G500,Clientes!$C$5:$C$549,0))&lt;&gt;"",INDEX(Clientes!$D$5:$D$549,MATCH(G500,Clientes!$C$5:$C$549,0)),TRIM(INDEX(Clientes!$E$5:$E$549,MATCH(G500,Clientes!$C$5:$C$549,0))&amp;" "&amp;INDEX(Clientes!$F$5:$F$549,MATCH(G500,Clientes!$C$5:$C$549,0)))),"NO EXISTE en Clientes"))</f>
        <v/>
      </c>
      <c r="I500" s="17" t="inlineStr">
        <is>
          <t>DISPONIBLE</t>
        </is>
      </c>
      <c r="J500" s="17" t="inlineStr">
        <is>
          <t>ALMACEN PRINCIPAL</t>
        </is>
      </c>
      <c r="K500" s="23" t="n"/>
      <c r="L500" s="25">
        <f t="array" ref="L500">IF(K500="","",IFERROR(IF(INDEX(Clientes!$D$5:$D$549,MATCH(K500,Clientes!$C$5:$C$549,0))&lt;&gt;"",INDEX(Clientes!$D$5:$D$549,MATCH(K500,Clientes!$C$5:$C$549,0)),TRIM(INDEX(Clientes!$E$5:$E$549,MATCH(K500,Clientes!$C$5:$C$549,0))&amp;" "&amp;INDEX(Clientes!$F$5:$F$549,MATCH(K500,Clientes!$C$5:$C$549,0)))),"NO EXISTE en Clientes"))</f>
        <v/>
      </c>
      <c r="M500" s="17" t="n"/>
      <c r="N500" s="17" t="n"/>
      <c r="O500" s="42" t="n"/>
      <c r="P500" s="39">
        <f>IF(O500&lt;&gt;"",DATE(YEAR(O500)+5,MONTH(O500),1),IF(AND(M500&lt;&gt;"",N500&lt;&gt;""),DATE(M500+5,N500,1),""))</f>
        <v/>
      </c>
      <c r="Q500" s="23" t="n"/>
      <c r="R500" s="17" t="n"/>
      <c r="S500" s="17" t="n"/>
      <c r="T500" s="17" t="n"/>
      <c r="U500" s="17" t="n"/>
      <c r="V500" s="23" t="n"/>
      <c r="W500" s="17" t="n"/>
      <c r="X500" s="17" t="n"/>
      <c r="Y500" s="28">
        <f>IF(B500&lt;&gt;"OK","","SELECT bal_crear_balon(p_codigo_balon =&gt; "&amp;IF(TRIM(C500&amp;"")="","NULL","'"&amp;SUBSTITUTE(TRIM(C500),"'","''")&amp;"'")&amp;", p_id_tipo_balon =&gt; "&amp;"(SELECT id FROM bal_tipo_balon WHERE upper(nombre) = upper('"&amp;SUBSTITUTE(TRIM(D500),"'","''")&amp;"') AND estado = 1 LIMIT 1)"&amp;", p_id_producto_gas =&gt; "&amp;"(SELECT id FROM pro_producto WHERE es_gas = TRUE AND upper(nombre) = upper('"&amp;SUBSTITUTE(TRIM(E500),"'","''")&amp;"') AND estado = 1 LIMIT 1)"&amp;", p_id_propietario =&gt; "&amp;IF(TRIM(F500&amp;"")="","NULL","(SELECT lo.id FROM gen_lista_opciones lo JOIN gen_lista l ON l.id = lo.id_lista WHERE l.nombre = 'PropietarioBalon' AND upper(lo.nombre) = upper('"&amp;SUBSTITUTE(TRIM(F500),"'","''")&amp;"') AND lo.estado = 1 LIMIT 1)")&amp;", p_id_cliente_propietario =&gt; "&amp;IF(F500="CLIENTE",IF(TRIM(G500&amp;"")="","NULL","(SELECT id FROM cli_clientes WHERE numero_documento = '"&amp;SUBSTITUTE(TRIM(G500),"'","''")&amp;"' AND estado = 1 LIMIT 1)"),"NULL")&amp;", p_id_planta =&gt; "&amp;IF(F500="PLANTA",IF(TRIM(G500&amp;"")="","NULL","(SELECT id FROM cli_clientes WHERE numero_documento = '"&amp;SUBSTITUTE(TRIM(G500),"'","''")&amp;"'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"&amp;IF(TRIM(J500&amp;"")="","NULL","(SELECT id FROM gen_almacen WHERE upper(nombre) = upper('"&amp;SUBSTITUTE(TRIM(J500),"'","''")&amp;"') AND estado = 1 LIMIT 1)")&amp;", p_id_cliente_ubicacion =&gt; "&amp;IF(TRIM(K500&amp;"")="","NULL","(SELECT id FROM cli_clientes WHERE numero_documento = '"&amp;SUBSTITUTE(TRIM(K500),"'","''")&amp;"' AND estado = 1 LIMIT 1)")&amp;", p_id_referencia =&gt; "&amp;IF(TRIM(J500&amp;"")&lt;&gt;"","(SELECT lo.id FROM gen_lista_opciones lo JOIN gen_lista l ON l.id = lo.id_lista WHERE l.nombre = 'ReferenciaCilindro' AND upper(lo.nombre) = 'ALMACEN' AND lo.estado = 1 LIMIT 1)",IF(TRIM(K500&amp;"")&lt;&gt;"","(SELECT lo.id FROM gen_lista_opciones lo JOIN gen_lista l ON l.id = lo.id_lista WHERE l.nombre = 'ReferenciaCilindro' AND upper(lo.nombre) = 'CLIENTE' AND lo.estado = 1 LIMIT 1)","NULL"))&amp;", p_anio_fabricacion =&gt; "&amp;IF(M500&amp;""="","NULL::smallint",M500&amp;"::smallint")&amp;", p_mes_fabricacion =&gt; "&amp;IF(N500&amp;""="","NULL::smallint",N500&amp;"::smallint")&amp;", p_fecha_ultima_prueba_hidrostatica =&gt; "&amp;IF(O500&amp;""="","NULL","'"&amp;YEAR(O500)&amp;"-"&amp;TEXT(MONTH(O500),"00")&amp;"-"&amp;TEXT(DAY(O500),"00")&amp;"'")&amp;", p_numero_serie =&gt; "&amp;IF(TRIM(Q500&amp;"")="","NULL","'"&amp;SUBSTITUTE(TRIM(Q500),"'","''")&amp;"'")&amp;", p_id_marca_cilindro =&gt; "&amp;IF(TRIM(R500&amp;"")="","NULL","(SELECT lo.id FROM gen_lista_opciones lo JOIN gen_lista l ON l.id = lo.id_lista WHERE l.nombre = 'MarcaCilindro' AND upper(lo.nombre) = upper('"&amp;SUBSTITUTE(TRIM(R500),"'","''")&amp;"') AND lo.estado = 1 LIMIT 1)")&amp;", p_id_organo_inspector =&gt; "&amp;IF(TRIM(S500&amp;"")="","NULL","(SELECT lo.id FROM gen_lista_opciones lo JOIN gen_lista l ON l.id = lo.id_lista WHERE l.nombre = 'OrganoInspectorCilindro' AND upper(lo.nombre) = upper('"&amp;SUBSTITUTE(TRIM(S500),"'","''")&amp;"') AND lo.estado = 1 LIMIT 1)")&amp;", p_organo_inspector_no_aplica =&gt; "&amp;IF(S500="NO_APLICA","TRUE","FALSE")&amp;", p_presion_actual =&gt; "&amp;IF(T500&amp;""="","NULL",SUBSTITUTE(T500&amp;"",",","."))&amp;", p_tipo_valvula =&gt; "&amp;IF(TRIM(U500&amp;"")="","NULL","'"&amp;SUBSTITUTE(TRIM(U500),"'","''")&amp;"'")&amp;", p_libro_cilindro =&gt; "&amp;IF(TRIM(V500&amp;"")="","NULL","'"&amp;SUBSTITUTE(TRIM(V500),"'","''")&amp;"'")&amp;", p_pagina_libro =&gt; "&amp;IF(W500&amp;""="","NULL",SUBSTITUTE(W500&amp;"",",","."))&amp;", p_observacion =&gt; "&amp;IF(TRIM(X500&amp;"")="","NULL","'"&amp;SUBSTITUTE(TRIM(X500),"'","''")&amp;"'")&amp;") AS resultado_balon_"&amp;ROW()&amp;";")</f>
        <v/>
      </c>
    </row>
    <row r="501" ht="15.75" customHeight="1" s="64">
      <c r="A501" s="36" t="inlineStr">
        <is>
          <t>497</t>
        </is>
      </c>
      <c r="B501" s="25">
        <f>IF(AND(C501="",D501="",E501=""),"",IF(C501="","FALTA código balón",IF(D501="","FALTA tipo balón",IF(E501="","FALTA gas",IF(F501="","FALTA propietario",IF(AND(C501&lt;&gt;"",SUMPRODUCT(--($C$5:$C$1200=C501))&gt;1),"CÓDIGO BALÓN DUPLICADO",IF(AND(OR(UPPER(F501)="PLANTA",UPPER(F501)="CLIENTE"),G501=""),"FALTA doc propietario/planta",IF(AND(UPPER(F501)="PLANTA",G501="10175332796"),"PLANTA no puede ser RUC empresa","OK"))))))))</f>
        <v/>
      </c>
      <c r="C501" s="23" t="inlineStr">
        <is>
          <t>22K035185</t>
        </is>
      </c>
      <c r="D501" s="17" t="inlineStr">
        <is>
          <t>Argón Estándar 10 m3</t>
        </is>
      </c>
      <c r="E501" s="17" t="inlineStr">
        <is>
          <t>ARGON</t>
        </is>
      </c>
      <c r="F501" s="17" t="inlineStr">
        <is>
          <t>EMPRESA</t>
        </is>
      </c>
      <c r="G501" s="23" t="inlineStr">
        <is>
          <t>10175332796</t>
        </is>
      </c>
      <c r="H501" s="25">
        <f t="array" ref="H501">IF(G501="","",IFERROR(IF(INDEX(Clientes!$D$5:$D$549,MATCH(G501,Clientes!$C$5:$C$549,0))&lt;&gt;"",INDEX(Clientes!$D$5:$D$549,MATCH(G501,Clientes!$C$5:$C$549,0)),TRIM(INDEX(Clientes!$E$5:$E$549,MATCH(G501,Clientes!$C$5:$C$549,0))&amp;" "&amp;INDEX(Clientes!$F$5:$F$549,MATCH(G501,Clientes!$C$5:$C$549,0)))),"NO EXISTE en Clientes"))</f>
        <v/>
      </c>
      <c r="I501" s="17" t="inlineStr">
        <is>
          <t>DISPONIBLE</t>
        </is>
      </c>
      <c r="J501" s="17" t="inlineStr">
        <is>
          <t>ALMACEN PRINCIPAL</t>
        </is>
      </c>
      <c r="K501" s="23" t="n"/>
      <c r="L501" s="25">
        <f t="array" ref="L501">IF(K501="","",IFERROR(IF(INDEX(Clientes!$D$5:$D$549,MATCH(K501,Clientes!$C$5:$C$549,0))&lt;&gt;"",INDEX(Clientes!$D$5:$D$549,MATCH(K501,Clientes!$C$5:$C$549,0)),TRIM(INDEX(Clientes!$E$5:$E$549,MATCH(K501,Clientes!$C$5:$C$549,0))&amp;" "&amp;INDEX(Clientes!$F$5:$F$549,MATCH(K501,Clientes!$C$5:$C$549,0)))),"NO EXISTE en Clientes"))</f>
        <v/>
      </c>
      <c r="M501" s="17" t="n"/>
      <c r="N501" s="17" t="n"/>
      <c r="O501" s="42" t="n"/>
      <c r="P501" s="39">
        <f>IF(O501&lt;&gt;"",DATE(YEAR(O501)+5,MONTH(O501),1),IF(AND(M501&lt;&gt;"",N501&lt;&gt;""),DATE(M501+5,N501,1),""))</f>
        <v/>
      </c>
      <c r="Q501" s="23" t="n"/>
      <c r="R501" s="17" t="n"/>
      <c r="S501" s="17" t="n"/>
      <c r="T501" s="17" t="n"/>
      <c r="U501" s="17" t="n"/>
      <c r="V501" s="23" t="n"/>
      <c r="W501" s="17" t="n"/>
      <c r="X501" s="17" t="n"/>
      <c r="Y501" s="28">
        <f>IF(B501&lt;&gt;"OK","","SELECT bal_crear_balon(p_codigo_balon =&gt; "&amp;IF(TRIM(C501&amp;"")="","NULL","'"&amp;SUBSTITUTE(TRIM(C501),"'","''")&amp;"'")&amp;", p_id_tipo_balon =&gt; "&amp;"(SELECT id FROM bal_tipo_balon WHERE upper(nombre) = upper('"&amp;SUBSTITUTE(TRIM(D501),"'","''")&amp;"') AND estado = 1 LIMIT 1)"&amp;", p_id_producto_gas =&gt; "&amp;"(SELECT id FROM pro_producto WHERE es_gas = TRUE AND upper(nombre) = upper('"&amp;SUBSTITUTE(TRIM(E501),"'","''")&amp;"') AND estado = 1 LIMIT 1)"&amp;", p_id_propietario =&gt; "&amp;IF(TRIM(F501&amp;"")="","NULL","(SELECT lo.id FROM gen_lista_opciones lo JOIN gen_lista l ON l.id = lo.id_lista WHERE l.nombre = 'PropietarioBalon' AND upper(lo.nombre) = upper('"&amp;SUBSTITUTE(TRIM(F501),"'","''")&amp;"') AND lo.estado = 1 LIMIT 1)")&amp;", p_id_cliente_propietario =&gt; "&amp;IF(F501="CLIENTE",IF(TRIM(G501&amp;"")="","NULL","(SELECT id FROM cli_clientes WHERE numero_documento = '"&amp;SUBSTITUTE(TRIM(G501),"'","''")&amp;"' AND estado = 1 LIMIT 1)"),"NULL")&amp;", p_id_planta =&gt; "&amp;IF(F501="PLANTA",IF(TRIM(G501&amp;"")="","NULL","(SELECT id FROM cli_clientes WHERE numero_documento = '"&amp;SUBSTITUTE(TRIM(G501),"'","''")&amp;"'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"&amp;IF(TRIM(J501&amp;"")="","NULL","(SELECT id FROM gen_almacen WHERE upper(nombre) = upper('"&amp;SUBSTITUTE(TRIM(J501),"'","''")&amp;"') AND estado = 1 LIMIT 1)")&amp;", p_id_cliente_ubicacion =&gt; "&amp;IF(TRIM(K501&amp;"")="","NULL","(SELECT id FROM cli_clientes WHERE numero_documento = '"&amp;SUBSTITUTE(TRIM(K501),"'","''")&amp;"' AND estado = 1 LIMIT 1)")&amp;", p_id_referencia =&gt; "&amp;IF(TRIM(J501&amp;"")&lt;&gt;"","(SELECT lo.id FROM gen_lista_opciones lo JOIN gen_lista l ON l.id = lo.id_lista WHERE l.nombre = 'ReferenciaCilindro' AND upper(lo.nombre) = 'ALMACEN' AND lo.estado = 1 LIMIT 1)",IF(TRIM(K501&amp;"")&lt;&gt;"","(SELECT lo.id FROM gen_lista_opciones lo JOIN gen_lista l ON l.id = lo.id_lista WHERE l.nombre = 'ReferenciaCilindro' AND upper(lo.nombre) = 'CLIENTE' AND lo.estado = 1 LIMIT 1)","NULL"))&amp;", p_anio_fabricacion =&gt; "&amp;IF(M501&amp;""="","NULL::smallint",M501&amp;"::smallint")&amp;", p_mes_fabricacion =&gt; "&amp;IF(N501&amp;""="","NULL::smallint",N501&amp;"::smallint")&amp;", p_fecha_ultima_prueba_hidrostatica =&gt; "&amp;IF(O501&amp;""="","NULL","'"&amp;YEAR(O501)&amp;"-"&amp;TEXT(MONTH(O501),"00")&amp;"-"&amp;TEXT(DAY(O501),"00")&amp;"'")&amp;", p_numero_serie =&gt; "&amp;IF(TRIM(Q501&amp;"")="","NULL","'"&amp;SUBSTITUTE(TRIM(Q501),"'","''")&amp;"'")&amp;", p_id_marca_cilindro =&gt; "&amp;IF(TRIM(R501&amp;"")="","NULL","(SELECT lo.id FROM gen_lista_opciones lo JOIN gen_lista l ON l.id = lo.id_lista WHERE l.nombre = 'MarcaCilindro' AND upper(lo.nombre) = upper('"&amp;SUBSTITUTE(TRIM(R501),"'","''")&amp;"') AND lo.estado = 1 LIMIT 1)")&amp;", p_id_organo_inspector =&gt; "&amp;IF(TRIM(S501&amp;"")="","NULL","(SELECT lo.id FROM gen_lista_opciones lo JOIN gen_lista l ON l.id = lo.id_lista WHERE l.nombre = 'OrganoInspectorCilindro' AND upper(lo.nombre) = upper('"&amp;SUBSTITUTE(TRIM(S501),"'","''")&amp;"') AND lo.estado = 1 LIMIT 1)")&amp;", p_organo_inspector_no_aplica =&gt; "&amp;IF(S501="NO_APLICA","TRUE","FALSE")&amp;", p_presion_actual =&gt; "&amp;IF(T501&amp;""="","NULL",SUBSTITUTE(T501&amp;"",",","."))&amp;", p_tipo_valvula =&gt; "&amp;IF(TRIM(U501&amp;"")="","NULL","'"&amp;SUBSTITUTE(TRIM(U501),"'","''")&amp;"'")&amp;", p_libro_cilindro =&gt; "&amp;IF(TRIM(V501&amp;"")="","NULL","'"&amp;SUBSTITUTE(TRIM(V501),"'","''")&amp;"'")&amp;", p_pagina_libro =&gt; "&amp;IF(W501&amp;""="","NULL",SUBSTITUTE(W501&amp;"",",","."))&amp;", p_observacion =&gt; "&amp;IF(TRIM(X501&amp;"")="","NULL","'"&amp;SUBSTITUTE(TRIM(X501),"'","''")&amp;"'")&amp;") AS resultado_balon_"&amp;ROW()&amp;";")</f>
        <v/>
      </c>
    </row>
    <row r="502" ht="15.75" customHeight="1" s="64">
      <c r="A502" s="36" t="inlineStr">
        <is>
          <t>498</t>
        </is>
      </c>
      <c r="B502" s="25">
        <f>IF(AND(C502="",D502="",E502=""),"",IF(C502="","FALTA código balón",IF(D502="","FALTA tipo balón",IF(E502="","FALTA gas",IF(F502="","FALTA propietario",IF(AND(C502&lt;&gt;"",SUMPRODUCT(--($C$5:$C$1200=C502))&gt;1),"CÓDIGO BALÓN DUPLICADO",IF(AND(OR(UPPER(F502)="PLANTA",UPPER(F502)="CLIENTE"),G502=""),"FALTA doc propietario/planta",IF(AND(UPPER(F502)="PLANTA",G502="10175332796"),"PLANTA no puede ser RUC empresa","OK"))))))))</f>
        <v/>
      </c>
      <c r="C502" s="23" t="inlineStr">
        <is>
          <t>21Y598109</t>
        </is>
      </c>
      <c r="D502" s="17" t="inlineStr">
        <is>
          <t>Argón Estándar 10 m3</t>
        </is>
      </c>
      <c r="E502" s="17" t="inlineStr">
        <is>
          <t>ARGON</t>
        </is>
      </c>
      <c r="F502" s="17" t="inlineStr">
        <is>
          <t>EMPRESA</t>
        </is>
      </c>
      <c r="G502" s="23" t="inlineStr">
        <is>
          <t>10175332796</t>
        </is>
      </c>
      <c r="H502" s="25">
        <f t="array" ref="H502">IF(G502="","",IFERROR(IF(INDEX(Clientes!$D$5:$D$549,MATCH(G502,Clientes!$C$5:$C$549,0))&lt;&gt;"",INDEX(Clientes!$D$5:$D$549,MATCH(G502,Clientes!$C$5:$C$549,0)),TRIM(INDEX(Clientes!$E$5:$E$549,MATCH(G502,Clientes!$C$5:$C$549,0))&amp;" "&amp;INDEX(Clientes!$F$5:$F$549,MATCH(G502,Clientes!$C$5:$C$549,0)))),"NO EXISTE en Clientes"))</f>
        <v/>
      </c>
      <c r="I502" s="17" t="inlineStr">
        <is>
          <t>DISPONIBLE</t>
        </is>
      </c>
      <c r="J502" s="17" t="inlineStr">
        <is>
          <t>ALMACEN PRINCIPAL</t>
        </is>
      </c>
      <c r="K502" s="23" t="n"/>
      <c r="L502" s="25">
        <f t="array" ref="L502">IF(K502="","",IFERROR(IF(INDEX(Clientes!$D$5:$D$549,MATCH(K502,Clientes!$C$5:$C$549,0))&lt;&gt;"",INDEX(Clientes!$D$5:$D$549,MATCH(K502,Clientes!$C$5:$C$549,0)),TRIM(INDEX(Clientes!$E$5:$E$549,MATCH(K502,Clientes!$C$5:$C$549,0))&amp;" "&amp;INDEX(Clientes!$F$5:$F$549,MATCH(K502,Clientes!$C$5:$C$549,0)))),"NO EXISTE en Clientes"))</f>
        <v/>
      </c>
      <c r="M502" s="17" t="n"/>
      <c r="N502" s="17" t="n"/>
      <c r="O502" s="42" t="n"/>
      <c r="P502" s="39">
        <f>IF(O502&lt;&gt;"",DATE(YEAR(O502)+5,MONTH(O502),1),IF(AND(M502&lt;&gt;"",N502&lt;&gt;""),DATE(M502+5,N502,1),""))</f>
        <v/>
      </c>
      <c r="Q502" s="23" t="n"/>
      <c r="R502" s="17" t="n"/>
      <c r="S502" s="17" t="n"/>
      <c r="T502" s="17" t="n"/>
      <c r="U502" s="17" t="n"/>
      <c r="V502" s="23" t="n"/>
      <c r="W502" s="17" t="n"/>
      <c r="X502" s="17" t="n"/>
      <c r="Y502" s="28">
        <f>IF(B502&lt;&gt;"OK","","SELECT bal_crear_balon(p_codigo_balon =&gt; "&amp;IF(TRIM(C502&amp;"")="","NULL","'"&amp;SUBSTITUTE(TRIM(C502),"'","''")&amp;"'")&amp;", p_id_tipo_balon =&gt; "&amp;"(SELECT id FROM bal_tipo_balon WHERE upper(nombre) = upper('"&amp;SUBSTITUTE(TRIM(D502),"'","''")&amp;"') AND estado = 1 LIMIT 1)"&amp;", p_id_producto_gas =&gt; "&amp;"(SELECT id FROM pro_producto WHERE es_gas = TRUE AND upper(nombre) = upper('"&amp;SUBSTITUTE(TRIM(E502),"'","''")&amp;"') AND estado = 1 LIMIT 1)"&amp;", p_id_propietario =&gt; "&amp;IF(TRIM(F502&amp;"")="","NULL","(SELECT lo.id FROM gen_lista_opciones lo JOIN gen_lista l ON l.id = lo.id_lista WHERE l.nombre = 'PropietarioBalon' AND upper(lo.nombre) = upper('"&amp;SUBSTITUTE(TRIM(F502),"'","''")&amp;"') AND lo.estado = 1 LIMIT 1)")&amp;", p_id_cliente_propietario =&gt; "&amp;IF(F502="CLIENTE",IF(TRIM(G502&amp;"")="","NULL","(SELECT id FROM cli_clientes WHERE numero_documento = '"&amp;SUBSTITUTE(TRIM(G502),"'","''")&amp;"' AND estado = 1 LIMIT 1)"),"NULL")&amp;", p_id_planta =&gt; "&amp;IF(F502="PLANTA",IF(TRIM(G502&amp;"")="","NULL","(SELECT id FROM cli_clientes WHERE numero_documento = '"&amp;SUBSTITUTE(TRIM(G502),"'","''")&amp;"'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"&amp;IF(TRIM(J502&amp;"")="","NULL","(SELECT id FROM gen_almacen WHERE upper(nombre) = upper('"&amp;SUBSTITUTE(TRIM(J502),"'","''")&amp;"') AND estado = 1 LIMIT 1)")&amp;", p_id_cliente_ubicacion =&gt; "&amp;IF(TRIM(K502&amp;"")="","NULL","(SELECT id FROM cli_clientes WHERE numero_documento = '"&amp;SUBSTITUTE(TRIM(K502),"'","''")&amp;"' AND estado = 1 LIMIT 1)")&amp;", p_id_referencia =&gt; "&amp;IF(TRIM(J502&amp;"")&lt;&gt;"","(SELECT lo.id FROM gen_lista_opciones lo JOIN gen_lista l ON l.id = lo.id_lista WHERE l.nombre = 'ReferenciaCilindro' AND upper(lo.nombre) = 'ALMACEN' AND lo.estado = 1 LIMIT 1)",IF(TRIM(K502&amp;"")&lt;&gt;"","(SELECT lo.id FROM gen_lista_opciones lo JOIN gen_lista l ON l.id = lo.id_lista WHERE l.nombre = 'ReferenciaCilindro' AND upper(lo.nombre) = 'CLIENTE' AND lo.estado = 1 LIMIT 1)","NULL"))&amp;", p_anio_fabricacion =&gt; "&amp;IF(M502&amp;""="","NULL::smallint",M502&amp;"::smallint")&amp;", p_mes_fabricacion =&gt; "&amp;IF(N502&amp;""="","NULL::smallint",N502&amp;"::smallint")&amp;", p_fecha_ultima_prueba_hidrostatica =&gt; "&amp;IF(O502&amp;""="","NULL","'"&amp;YEAR(O502)&amp;"-"&amp;TEXT(MONTH(O502),"00")&amp;"-"&amp;TEXT(DAY(O502),"00")&amp;"'")&amp;", p_numero_serie =&gt; "&amp;IF(TRIM(Q502&amp;"")="","NULL","'"&amp;SUBSTITUTE(TRIM(Q502),"'","''")&amp;"'")&amp;", p_id_marca_cilindro =&gt; "&amp;IF(TRIM(R502&amp;"")="","NULL","(SELECT lo.id FROM gen_lista_opciones lo JOIN gen_lista l ON l.id = lo.id_lista WHERE l.nombre = 'MarcaCilindro' AND upper(lo.nombre) = upper('"&amp;SUBSTITUTE(TRIM(R502),"'","''")&amp;"') AND lo.estado = 1 LIMIT 1)")&amp;", p_id_organo_inspector =&gt; "&amp;IF(TRIM(S502&amp;"")="","NULL","(SELECT lo.id FROM gen_lista_opciones lo JOIN gen_lista l ON l.id = lo.id_lista WHERE l.nombre = 'OrganoInspectorCilindro' AND upper(lo.nombre) = upper('"&amp;SUBSTITUTE(TRIM(S502),"'","''")&amp;"') AND lo.estado = 1 LIMIT 1)")&amp;", p_organo_inspector_no_aplica =&gt; "&amp;IF(S502="NO_APLICA","TRUE","FALSE")&amp;", p_presion_actual =&gt; "&amp;IF(T502&amp;""="","NULL",SUBSTITUTE(T502&amp;"",",","."))&amp;", p_tipo_valvula =&gt; "&amp;IF(TRIM(U502&amp;"")="","NULL","'"&amp;SUBSTITUTE(TRIM(U502),"'","''")&amp;"'")&amp;", p_libro_cilindro =&gt; "&amp;IF(TRIM(V502&amp;"")="","NULL","'"&amp;SUBSTITUTE(TRIM(V502),"'","''")&amp;"'")&amp;", p_pagina_libro =&gt; "&amp;IF(W502&amp;""="","NULL",SUBSTITUTE(W502&amp;"",",","."))&amp;", p_observacion =&gt; "&amp;IF(TRIM(X502&amp;"")="","NULL","'"&amp;SUBSTITUTE(TRIM(X502),"'","''")&amp;"'")&amp;") AS resultado_balon_"&amp;ROW()&amp;";")</f>
        <v/>
      </c>
    </row>
    <row r="503" ht="15.75" customHeight="1" s="64">
      <c r="A503" s="36" t="inlineStr">
        <is>
          <t>499</t>
        </is>
      </c>
      <c r="B503" s="25">
        <f>IF(AND(C503="",D503="",E503=""),"",IF(C503="","FALTA código balón",IF(D503="","FALTA tipo balón",IF(E503="","FALTA gas",IF(F503="","FALTA propietario",IF(AND(C503&lt;&gt;"",SUMPRODUCT(--($C$5:$C$1200=C503))&gt;1),"CÓDIGO BALÓN DUPLICADO",IF(AND(OR(UPPER(F503)="PLANTA",UPPER(F503)="CLIENTE"),G503=""),"FALTA doc propietario/planta",IF(AND(UPPER(F503)="PLANTA",G503="10175332796"),"PLANTA no puede ser RUC empresa","OK"))))))))</f>
        <v/>
      </c>
      <c r="C503" s="23" t="inlineStr">
        <is>
          <t>20K650018</t>
        </is>
      </c>
      <c r="D503" s="17" t="inlineStr">
        <is>
          <t>Oxígeno Medicinal 10 m³</t>
        </is>
      </c>
      <c r="E503" s="17" t="inlineStr">
        <is>
          <t>OXIGENO MEDICINAL</t>
        </is>
      </c>
      <c r="F503" s="17" t="inlineStr">
        <is>
          <t>EMPRESA</t>
        </is>
      </c>
      <c r="G503" s="23" t="inlineStr">
        <is>
          <t>10175332796</t>
        </is>
      </c>
      <c r="H503" s="25">
        <f t="array" ref="H503">IF(G503="","",IFERROR(IF(INDEX(Clientes!$D$5:$D$549,MATCH(G503,Clientes!$C$5:$C$549,0))&lt;&gt;"",INDEX(Clientes!$D$5:$D$549,MATCH(G503,Clientes!$C$5:$C$549,0)),TRIM(INDEX(Clientes!$E$5:$E$549,MATCH(G503,Clientes!$C$5:$C$549,0))&amp;" "&amp;INDEX(Clientes!$F$5:$F$549,MATCH(G503,Clientes!$C$5:$C$549,0)))),"NO EXISTE en Clientes"))</f>
        <v/>
      </c>
      <c r="I503" s="17" t="inlineStr">
        <is>
          <t>DISPONIBLE</t>
        </is>
      </c>
      <c r="J503" s="17" t="inlineStr">
        <is>
          <t>ALMACEN PRINCIPAL</t>
        </is>
      </c>
      <c r="K503" s="23" t="n"/>
      <c r="L503" s="25">
        <f t="array" ref="L503">IF(K503="","",IFERROR(IF(INDEX(Clientes!$D$5:$D$549,MATCH(K503,Clientes!$C$5:$C$549,0))&lt;&gt;"",INDEX(Clientes!$D$5:$D$549,MATCH(K503,Clientes!$C$5:$C$549,0)),TRIM(INDEX(Clientes!$E$5:$E$549,MATCH(K503,Clientes!$C$5:$C$549,0))&amp;" "&amp;INDEX(Clientes!$F$5:$F$549,MATCH(K503,Clientes!$C$5:$C$549,0)))),"NO EXISTE en Clientes"))</f>
        <v/>
      </c>
      <c r="M503" s="17" t="n"/>
      <c r="N503" s="17" t="n"/>
      <c r="O503" s="42" t="n"/>
      <c r="P503" s="39">
        <f>IF(O503&lt;&gt;"",DATE(YEAR(O503)+5,MONTH(O503),1),IF(AND(M503&lt;&gt;"",N503&lt;&gt;""),DATE(M503+5,N503,1),""))</f>
        <v/>
      </c>
      <c r="Q503" s="23" t="n"/>
      <c r="R503" s="17" t="n"/>
      <c r="S503" s="17" t="n"/>
      <c r="T503" s="17" t="n"/>
      <c r="U503" s="17" t="n"/>
      <c r="V503" s="23" t="n"/>
      <c r="W503" s="17" t="n"/>
      <c r="X503" s="17" t="n"/>
      <c r="Y503" s="28">
        <f>IF(B503&lt;&gt;"OK","","SELECT bal_crear_balon(p_codigo_balon =&gt; "&amp;IF(TRIM(C503&amp;"")="","NULL","'"&amp;SUBSTITUTE(TRIM(C503),"'","''")&amp;"'")&amp;", p_id_tipo_balon =&gt; "&amp;"(SELECT id FROM bal_tipo_balon WHERE upper(nombre) = upper('"&amp;SUBSTITUTE(TRIM(D503),"'","''")&amp;"') AND estado = 1 LIMIT 1)"&amp;", p_id_producto_gas =&gt; "&amp;"(SELECT id FROM pro_producto WHERE es_gas = TRUE AND upper(nombre) = upper('"&amp;SUBSTITUTE(TRIM(E503),"'","''")&amp;"') AND estado = 1 LIMIT 1)"&amp;", p_id_propietario =&gt; "&amp;IF(TRIM(F503&amp;"")="","NULL","(SELECT lo.id FROM gen_lista_opciones lo JOIN gen_lista l ON l.id = lo.id_lista WHERE l.nombre = 'PropietarioBalon' AND upper(lo.nombre) = upper('"&amp;SUBSTITUTE(TRIM(F503),"'","''")&amp;"') AND lo.estado = 1 LIMIT 1)")&amp;", p_id_cliente_propietario =&gt; "&amp;IF(F503="CLIENTE",IF(TRIM(G503&amp;"")="","NULL","(SELECT id FROM cli_clientes WHERE numero_documento = '"&amp;SUBSTITUTE(TRIM(G503),"'","''")&amp;"' AND estado = 1 LIMIT 1)"),"NULL")&amp;", p_id_planta =&gt; "&amp;IF(F503="PLANTA",IF(TRIM(G503&amp;"")="","NULL","(SELECT id FROM cli_clientes WHERE numero_documento = '"&amp;SUBSTITUTE(TRIM(G503),"'","''")&amp;"'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"&amp;IF(TRIM(J503&amp;"")="","NULL","(SELECT id FROM gen_almacen WHERE upper(nombre) = upper('"&amp;SUBSTITUTE(TRIM(J503),"'","''")&amp;"') AND estado = 1 LIMIT 1)")&amp;", p_id_cliente_ubicacion =&gt; "&amp;IF(TRIM(K503&amp;"")="","NULL","(SELECT id FROM cli_clientes WHERE numero_documento = '"&amp;SUBSTITUTE(TRIM(K503),"'","''")&amp;"' AND estado = 1 LIMIT 1)")&amp;", p_id_referencia =&gt; "&amp;IF(TRIM(J503&amp;"")&lt;&gt;"","(SELECT lo.id FROM gen_lista_opciones lo JOIN gen_lista l ON l.id = lo.id_lista WHERE l.nombre = 'ReferenciaCilindro' AND upper(lo.nombre) = 'ALMACEN' AND lo.estado = 1 LIMIT 1)",IF(TRIM(K503&amp;"")&lt;&gt;"","(SELECT lo.id FROM gen_lista_opciones lo JOIN gen_lista l ON l.id = lo.id_lista WHERE l.nombre = 'ReferenciaCilindro' AND upper(lo.nombre) = 'CLIENTE' AND lo.estado = 1 LIMIT 1)","NULL"))&amp;", p_anio_fabricacion =&gt; "&amp;IF(M503&amp;""="","NULL::smallint",M503&amp;"::smallint")&amp;", p_mes_fabricacion =&gt; "&amp;IF(N503&amp;""="","NULL::smallint",N503&amp;"::smallint")&amp;", p_fecha_ultima_prueba_hidrostatica =&gt; "&amp;IF(O503&amp;""="","NULL","'"&amp;YEAR(O503)&amp;"-"&amp;TEXT(MONTH(O503),"00")&amp;"-"&amp;TEXT(DAY(O503),"00")&amp;"'")&amp;", p_numero_serie =&gt; "&amp;IF(TRIM(Q503&amp;"")="","NULL","'"&amp;SUBSTITUTE(TRIM(Q503),"'","''")&amp;"'")&amp;", p_id_marca_cilindro =&gt; "&amp;IF(TRIM(R503&amp;"")="","NULL","(SELECT lo.id FROM gen_lista_opciones lo JOIN gen_lista l ON l.id = lo.id_lista WHERE l.nombre = 'MarcaCilindro' AND upper(lo.nombre) = upper('"&amp;SUBSTITUTE(TRIM(R503),"'","''")&amp;"') AND lo.estado = 1 LIMIT 1)")&amp;", p_id_organo_inspector =&gt; "&amp;IF(TRIM(S503&amp;"")="","NULL","(SELECT lo.id FROM gen_lista_opciones lo JOIN gen_lista l ON l.id = lo.id_lista WHERE l.nombre = 'OrganoInspectorCilindro' AND upper(lo.nombre) = upper('"&amp;SUBSTITUTE(TRIM(S503),"'","''")&amp;"') AND lo.estado = 1 LIMIT 1)")&amp;", p_organo_inspector_no_aplica =&gt; "&amp;IF(S503="NO_APLICA","TRUE","FALSE")&amp;", p_presion_actual =&gt; "&amp;IF(T503&amp;""="","NULL",SUBSTITUTE(T503&amp;"",",","."))&amp;", p_tipo_valvula =&gt; "&amp;IF(TRIM(U503&amp;"")="","NULL","'"&amp;SUBSTITUTE(TRIM(U503),"'","''")&amp;"'")&amp;", p_libro_cilindro =&gt; "&amp;IF(TRIM(V503&amp;"")="","NULL","'"&amp;SUBSTITUTE(TRIM(V503),"'","''")&amp;"'")&amp;", p_pagina_libro =&gt; "&amp;IF(W503&amp;""="","NULL",SUBSTITUTE(W503&amp;"",",","."))&amp;", p_observacion =&gt; "&amp;IF(TRIM(X503&amp;"")="","NULL","'"&amp;SUBSTITUTE(TRIM(X503),"'","''")&amp;"'")&amp;") AS resultado_balon_"&amp;ROW()&amp;";")</f>
        <v/>
      </c>
    </row>
    <row r="504" ht="15.75" customHeight="1" s="64">
      <c r="A504" s="36" t="inlineStr">
        <is>
          <t>500</t>
        </is>
      </c>
      <c r="B504" s="25">
        <f>IF(AND(C504="",D504="",E504=""),"",IF(C504="","FALTA código balón",IF(D504="","FALTA tipo balón",IF(E504="","FALTA gas",IF(F504="","FALTA propietario",IF(AND(C504&lt;&gt;"",SUMPRODUCT(--($C$5:$C$1200=C504))&gt;1),"CÓDIGO BALÓN DUPLICADO",IF(AND(OR(UPPER(F504)="PLANTA",UPPER(F504)="CLIENTE"),G504=""),"FALTA doc propietario/planta",IF(AND(UPPER(F504)="PLANTA",G504="10175332796"),"PLANTA no puede ser RUC empresa","OK"))))))))</f>
        <v/>
      </c>
      <c r="C504" s="23" t="inlineStr">
        <is>
          <t>Y8894049</t>
        </is>
      </c>
      <c r="D504" s="17" t="inlineStr">
        <is>
          <t>Argón Estándar 10 m3</t>
        </is>
      </c>
      <c r="E504" s="17" t="inlineStr">
        <is>
          <t>ARGON</t>
        </is>
      </c>
      <c r="F504" s="17" t="inlineStr">
        <is>
          <t>EMPRESA</t>
        </is>
      </c>
      <c r="G504" s="23" t="inlineStr">
        <is>
          <t>10175332796</t>
        </is>
      </c>
      <c r="H504" s="25">
        <f t="array" ref="H504">IF(G504="","",IFERROR(IF(INDEX(Clientes!$D$5:$D$549,MATCH(G504,Clientes!$C$5:$C$549,0))&lt;&gt;"",INDEX(Clientes!$D$5:$D$549,MATCH(G504,Clientes!$C$5:$C$549,0)),TRIM(INDEX(Clientes!$E$5:$E$549,MATCH(G504,Clientes!$C$5:$C$549,0))&amp;" "&amp;INDEX(Clientes!$F$5:$F$549,MATCH(G504,Clientes!$C$5:$C$549,0)))),"NO EXISTE en Clientes"))</f>
        <v/>
      </c>
      <c r="I504" s="17" t="inlineStr">
        <is>
          <t>DISPONIBLE</t>
        </is>
      </c>
      <c r="J504" s="17" t="inlineStr">
        <is>
          <t>ALMACEN PRINCIPAL</t>
        </is>
      </c>
      <c r="K504" s="23" t="n"/>
      <c r="L504" s="25">
        <f t="array" ref="L504">IF(K504="","",IFERROR(IF(INDEX(Clientes!$D$5:$D$549,MATCH(K504,Clientes!$C$5:$C$549,0))&lt;&gt;"",INDEX(Clientes!$D$5:$D$549,MATCH(K504,Clientes!$C$5:$C$549,0)),TRIM(INDEX(Clientes!$E$5:$E$549,MATCH(K504,Clientes!$C$5:$C$549,0))&amp;" "&amp;INDEX(Clientes!$F$5:$F$549,MATCH(K504,Clientes!$C$5:$C$549,0)))),"NO EXISTE en Clientes"))</f>
        <v/>
      </c>
      <c r="M504" s="17" t="n"/>
      <c r="N504" s="17" t="n"/>
      <c r="O504" s="42" t="n"/>
      <c r="P504" s="39">
        <f>IF(O504&lt;&gt;"",DATE(YEAR(O504)+5,MONTH(O504),1),IF(AND(M504&lt;&gt;"",N504&lt;&gt;""),DATE(M504+5,N504,1),""))</f>
        <v/>
      </c>
      <c r="Q504" s="23" t="n"/>
      <c r="R504" s="17" t="n"/>
      <c r="S504" s="17" t="n"/>
      <c r="T504" s="17" t="n"/>
      <c r="U504" s="17" t="n"/>
      <c r="V504" s="23" t="n"/>
      <c r="W504" s="17" t="n"/>
      <c r="X504" s="17" t="n"/>
      <c r="Y504" s="28">
        <f>IF(B504&lt;&gt;"OK","","SELECT bal_crear_balon(p_codigo_balon =&gt; "&amp;IF(TRIM(C504&amp;"")="","NULL","'"&amp;SUBSTITUTE(TRIM(C504),"'","''")&amp;"'")&amp;", p_id_tipo_balon =&gt; "&amp;"(SELECT id FROM bal_tipo_balon WHERE upper(nombre) = upper('"&amp;SUBSTITUTE(TRIM(D504),"'","''")&amp;"') AND estado = 1 LIMIT 1)"&amp;", p_id_producto_gas =&gt; "&amp;"(SELECT id FROM pro_producto WHERE es_gas = TRUE AND upper(nombre) = upper('"&amp;SUBSTITUTE(TRIM(E504),"'","''")&amp;"') AND estado = 1 LIMIT 1)"&amp;", p_id_propietario =&gt; "&amp;IF(TRIM(F504&amp;"")="","NULL","(SELECT lo.id FROM gen_lista_opciones lo JOIN gen_lista l ON l.id = lo.id_lista WHERE l.nombre = 'PropietarioBalon' AND upper(lo.nombre) = upper('"&amp;SUBSTITUTE(TRIM(F504),"'","''")&amp;"') AND lo.estado = 1 LIMIT 1)")&amp;", p_id_cliente_propietario =&gt; "&amp;IF(F504="CLIENTE",IF(TRIM(G504&amp;"")="","NULL","(SELECT id FROM cli_clientes WHERE numero_documento = '"&amp;SUBSTITUTE(TRIM(G504),"'","''")&amp;"' AND estado = 1 LIMIT 1)"),"NULL")&amp;", p_id_planta =&gt; "&amp;IF(F504="PLANTA",IF(TRIM(G504&amp;"")="","NULL","(SELECT id FROM cli_clientes WHERE numero_documento = '"&amp;SUBSTITUTE(TRIM(G504),"'","''")&amp;"'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"&amp;IF(TRIM(J504&amp;"")="","NULL","(SELECT id FROM gen_almacen WHERE upper(nombre) = upper('"&amp;SUBSTITUTE(TRIM(J504),"'","''")&amp;"') AND estado = 1 LIMIT 1)")&amp;", p_id_cliente_ubicacion =&gt; "&amp;IF(TRIM(K504&amp;"")="","NULL","(SELECT id FROM cli_clientes WHERE numero_documento = '"&amp;SUBSTITUTE(TRIM(K504),"'","''")&amp;"' AND estado = 1 LIMIT 1)")&amp;", p_id_referencia =&gt; "&amp;IF(TRIM(J504&amp;"")&lt;&gt;"","(SELECT lo.id FROM gen_lista_opciones lo JOIN gen_lista l ON l.id = lo.id_lista WHERE l.nombre = 'ReferenciaCilindro' AND upper(lo.nombre) = 'ALMACEN' AND lo.estado = 1 LIMIT 1)",IF(TRIM(K504&amp;"")&lt;&gt;"","(SELECT lo.id FROM gen_lista_opciones lo JOIN gen_lista l ON l.id = lo.id_lista WHERE l.nombre = 'ReferenciaCilindro' AND upper(lo.nombre) = 'CLIENTE' AND lo.estado = 1 LIMIT 1)","NULL"))&amp;", p_anio_fabricacion =&gt; "&amp;IF(M504&amp;""="","NULL::smallint",M504&amp;"::smallint")&amp;", p_mes_fabricacion =&gt; "&amp;IF(N504&amp;""="","NULL::smallint",N504&amp;"::smallint")&amp;", p_fecha_ultima_prueba_hidrostatica =&gt; "&amp;IF(O504&amp;""="","NULL","'"&amp;YEAR(O504)&amp;"-"&amp;TEXT(MONTH(O504),"00")&amp;"-"&amp;TEXT(DAY(O504),"00")&amp;"'")&amp;", p_numero_serie =&gt; "&amp;IF(TRIM(Q504&amp;"")="","NULL","'"&amp;SUBSTITUTE(TRIM(Q504),"'","''")&amp;"'")&amp;", p_id_marca_cilindro =&gt; "&amp;IF(TRIM(R504&amp;"")="","NULL","(SELECT lo.id FROM gen_lista_opciones lo JOIN gen_lista l ON l.id = lo.id_lista WHERE l.nombre = 'MarcaCilindro' AND upper(lo.nombre) = upper('"&amp;SUBSTITUTE(TRIM(R504),"'","''")&amp;"') AND lo.estado = 1 LIMIT 1)")&amp;", p_id_organo_inspector =&gt; "&amp;IF(TRIM(S504&amp;"")="","NULL","(SELECT lo.id FROM gen_lista_opciones lo JOIN gen_lista l ON l.id = lo.id_lista WHERE l.nombre = 'OrganoInspectorCilindro' AND upper(lo.nombre) = upper('"&amp;SUBSTITUTE(TRIM(S504),"'","''")&amp;"') AND lo.estado = 1 LIMIT 1)")&amp;", p_organo_inspector_no_aplica =&gt; "&amp;IF(S504="NO_APLICA","TRUE","FALSE")&amp;", p_presion_actual =&gt; "&amp;IF(T504&amp;""="","NULL",SUBSTITUTE(T504&amp;"",",","."))&amp;", p_tipo_valvula =&gt; "&amp;IF(TRIM(U504&amp;"")="","NULL","'"&amp;SUBSTITUTE(TRIM(U504),"'","''")&amp;"'")&amp;", p_libro_cilindro =&gt; "&amp;IF(TRIM(V504&amp;"")="","NULL","'"&amp;SUBSTITUTE(TRIM(V504),"'","''")&amp;"'")&amp;", p_pagina_libro =&gt; "&amp;IF(W504&amp;""="","NULL",SUBSTITUTE(W504&amp;"",",","."))&amp;", p_observacion =&gt; "&amp;IF(TRIM(X504&amp;"")="","NULL","'"&amp;SUBSTITUTE(TRIM(X504),"'","''")&amp;"'")&amp;") AS resultado_balon_"&amp;ROW()&amp;";")</f>
        <v/>
      </c>
    </row>
    <row r="505" ht="15.75" customHeight="1" s="64">
      <c r="A505" s="36" t="inlineStr">
        <is>
          <t>501</t>
        </is>
      </c>
      <c r="B505" s="25">
        <f>IF(AND(C505="",D505="",E505=""),"",IF(C505="","FALTA código balón",IF(D505="","FALTA tipo balón",IF(E505="","FALTA gas",IF(F505="","FALTA propietario",IF(AND(C505&lt;&gt;"",SUMPRODUCT(--($C$5:$C$1200=C505))&gt;1),"CÓDIGO BALÓN DUPLICADO",IF(AND(OR(UPPER(F505)="PLANTA",UPPER(F505)="CLIENTE"),G505=""),"FALTA doc propietario/planta",IF(AND(UPPER(F505)="PLANTA",G505="10175332796"),"PLANTA no puede ser RUC empresa","OK"))))))))</f>
        <v/>
      </c>
      <c r="C505" s="23" t="inlineStr">
        <is>
          <t>00575</t>
        </is>
      </c>
      <c r="D505" s="17" t="inlineStr">
        <is>
          <t>DIOXIDO DE CARBONO 3 KG</t>
        </is>
      </c>
      <c r="E505" s="17" t="inlineStr">
        <is>
          <t>DIÓXIDO DE CARBONO</t>
        </is>
      </c>
      <c r="F505" s="17" t="inlineStr">
        <is>
          <t>EMPRESA</t>
        </is>
      </c>
      <c r="G505" s="23" t="inlineStr">
        <is>
          <t>10175332796</t>
        </is>
      </c>
      <c r="H505" s="25">
        <f t="array" ref="H505">IF(G505="","",IFERROR(IF(INDEX(Clientes!$D$5:$D$549,MATCH(G505,Clientes!$C$5:$C$549,0))&lt;&gt;"",INDEX(Clientes!$D$5:$D$549,MATCH(G505,Clientes!$C$5:$C$549,0)),TRIM(INDEX(Clientes!$E$5:$E$549,MATCH(G505,Clientes!$C$5:$C$549,0))&amp;" "&amp;INDEX(Clientes!$F$5:$F$549,MATCH(G505,Clientes!$C$5:$C$549,0)))),"NO EXISTE en Clientes"))</f>
        <v/>
      </c>
      <c r="I505" s="17" t="inlineStr">
        <is>
          <t>DISPONIBLE</t>
        </is>
      </c>
      <c r="J505" s="17" t="inlineStr">
        <is>
          <t>ALMACEN PRINCIPAL</t>
        </is>
      </c>
      <c r="K505" s="23" t="n"/>
      <c r="L505" s="25">
        <f t="array" ref="L505">IF(K505="","",IFERROR(IF(INDEX(Clientes!$D$5:$D$549,MATCH(K505,Clientes!$C$5:$C$549,0))&lt;&gt;"",INDEX(Clientes!$D$5:$D$549,MATCH(K505,Clientes!$C$5:$C$549,0)),TRIM(INDEX(Clientes!$E$5:$E$549,MATCH(K505,Clientes!$C$5:$C$549,0))&amp;" "&amp;INDEX(Clientes!$F$5:$F$549,MATCH(K505,Clientes!$C$5:$C$549,0)))),"NO EXISTE en Clientes"))</f>
        <v/>
      </c>
      <c r="M505" s="17" t="n"/>
      <c r="N505" s="17" t="n"/>
      <c r="O505" s="42" t="n"/>
      <c r="P505" s="39">
        <f>IF(O505&lt;&gt;"",DATE(YEAR(O505)+5,MONTH(O505),1),IF(AND(M505&lt;&gt;"",N505&lt;&gt;""),DATE(M505+5,N505,1),""))</f>
        <v/>
      </c>
      <c r="Q505" s="23" t="n"/>
      <c r="R505" s="17" t="n"/>
      <c r="S505" s="17" t="n"/>
      <c r="T505" s="17" t="n"/>
      <c r="U505" s="17" t="n"/>
      <c r="V505" s="23" t="n"/>
      <c r="W505" s="17" t="n"/>
      <c r="X505" s="17" t="n"/>
      <c r="Y505" s="28">
        <f>IF(B505&lt;&gt;"OK","","SELECT bal_crear_balon(p_codigo_balon =&gt; "&amp;IF(TRIM(C505&amp;"")="","NULL","'"&amp;SUBSTITUTE(TRIM(C505),"'","''")&amp;"'")&amp;", p_id_tipo_balon =&gt; "&amp;"(SELECT id FROM bal_tipo_balon WHERE upper(nombre) = upper('"&amp;SUBSTITUTE(TRIM(D505),"'","''")&amp;"') AND estado = 1 LIMIT 1)"&amp;", p_id_producto_gas =&gt; "&amp;"(SELECT id FROM pro_producto WHERE es_gas = TRUE AND upper(nombre) = upper('"&amp;SUBSTITUTE(TRIM(E505),"'","''")&amp;"') AND estado = 1 LIMIT 1)"&amp;", p_id_propietario =&gt; "&amp;IF(TRIM(F505&amp;"")="","NULL","(SELECT lo.id FROM gen_lista_opciones lo JOIN gen_lista l ON l.id = lo.id_lista WHERE l.nombre = 'PropietarioBalon' AND upper(lo.nombre) = upper('"&amp;SUBSTITUTE(TRIM(F505),"'","''")&amp;"') AND lo.estado = 1 LIMIT 1)")&amp;", p_id_cliente_propietario =&gt; "&amp;IF(F505="CLIENTE",IF(TRIM(G505&amp;"")="","NULL","(SELECT id FROM cli_clientes WHERE numero_documento = '"&amp;SUBSTITUTE(TRIM(G505),"'","''")&amp;"' AND estado = 1 LIMIT 1)"),"NULL")&amp;", p_id_planta =&gt; "&amp;IF(F505="PLANTA",IF(TRIM(G505&amp;"")="","NULL","(SELECT id FROM cli_clientes WHERE numero_documento = '"&amp;SUBSTITUTE(TRIM(G505),"'","''")&amp;"'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"&amp;IF(TRIM(J505&amp;"")="","NULL","(SELECT id FROM gen_almacen WHERE upper(nombre) = upper('"&amp;SUBSTITUTE(TRIM(J505),"'","''")&amp;"') AND estado = 1 LIMIT 1)")&amp;", p_id_cliente_ubicacion =&gt; "&amp;IF(TRIM(K505&amp;"")="","NULL","(SELECT id FROM cli_clientes WHERE numero_documento = '"&amp;SUBSTITUTE(TRIM(K505),"'","''")&amp;"' AND estado = 1 LIMIT 1)")&amp;", p_id_referencia =&gt; "&amp;IF(TRIM(J505&amp;"")&lt;&gt;"","(SELECT lo.id FROM gen_lista_opciones lo JOIN gen_lista l ON l.id = lo.id_lista WHERE l.nombre = 'ReferenciaCilindro' AND upper(lo.nombre) = 'ALMACEN' AND lo.estado = 1 LIMIT 1)",IF(TRIM(K505&amp;"")&lt;&gt;"","(SELECT lo.id FROM gen_lista_opciones lo JOIN gen_lista l ON l.id = lo.id_lista WHERE l.nombre = 'ReferenciaCilindro' AND upper(lo.nombre) = 'CLIENTE' AND lo.estado = 1 LIMIT 1)","NULL"))&amp;", p_anio_fabricacion =&gt; "&amp;IF(M505&amp;""="","NULL::smallint",M505&amp;"::smallint")&amp;", p_mes_fabricacion =&gt; "&amp;IF(N505&amp;""="","NULL::smallint",N505&amp;"::smallint")&amp;", p_fecha_ultima_prueba_hidrostatica =&gt; "&amp;IF(O505&amp;""="","NULL","'"&amp;YEAR(O505)&amp;"-"&amp;TEXT(MONTH(O505),"00")&amp;"-"&amp;TEXT(DAY(O505),"00")&amp;"'")&amp;", p_numero_serie =&gt; "&amp;IF(TRIM(Q505&amp;"")="","NULL","'"&amp;SUBSTITUTE(TRIM(Q505),"'","''")&amp;"'")&amp;", p_id_marca_cilindro =&gt; "&amp;IF(TRIM(R505&amp;"")="","NULL","(SELECT lo.id FROM gen_lista_opciones lo JOIN gen_lista l ON l.id = lo.id_lista WHERE l.nombre = 'MarcaCilindro' AND upper(lo.nombre) = upper('"&amp;SUBSTITUTE(TRIM(R505),"'","''")&amp;"') AND lo.estado = 1 LIMIT 1)")&amp;", p_id_organo_inspector =&gt; "&amp;IF(TRIM(S505&amp;"")="","NULL","(SELECT lo.id FROM gen_lista_opciones lo JOIN gen_lista l ON l.id = lo.id_lista WHERE l.nombre = 'OrganoInspectorCilindro' AND upper(lo.nombre) = upper('"&amp;SUBSTITUTE(TRIM(S505),"'","''")&amp;"') AND lo.estado = 1 LIMIT 1)")&amp;", p_organo_inspector_no_aplica =&gt; "&amp;IF(S505="NO_APLICA","TRUE","FALSE")&amp;", p_presion_actual =&gt; "&amp;IF(T505&amp;""="","NULL",SUBSTITUTE(T505&amp;"",",","."))&amp;", p_tipo_valvula =&gt; "&amp;IF(TRIM(U505&amp;"")="","NULL","'"&amp;SUBSTITUTE(TRIM(U505),"'","''")&amp;"'")&amp;", p_libro_cilindro =&gt; "&amp;IF(TRIM(V505&amp;"")="","NULL","'"&amp;SUBSTITUTE(TRIM(V505),"'","''")&amp;"'")&amp;", p_pagina_libro =&gt; "&amp;IF(W505&amp;""="","NULL",SUBSTITUTE(W505&amp;"",",","."))&amp;", p_observacion =&gt; "&amp;IF(TRIM(X505&amp;"")="","NULL","'"&amp;SUBSTITUTE(TRIM(X505),"'","''")&amp;"'")&amp;") AS resultado_balon_"&amp;ROW()&amp;";")</f>
        <v/>
      </c>
    </row>
    <row r="506" ht="15.75" customHeight="1" s="64">
      <c r="A506" s="36" t="inlineStr">
        <is>
          <t>502</t>
        </is>
      </c>
      <c r="B506" s="25">
        <f>IF(AND(C506="",D506="",E506=""),"",IF(C506="","FALTA código balón",IF(D506="","FALTA tipo balón",IF(E506="","FALTA gas",IF(F506="","FALTA propietario",IF(AND(C506&lt;&gt;"",SUMPRODUCT(--($C$5:$C$1200=C506))&gt;1),"CÓDIGO BALÓN DUPLICADO",IF(AND(OR(UPPER(F506)="PLANTA",UPPER(F506)="CLIENTE"),G506=""),"FALTA doc propietario/planta",IF(AND(UPPER(F506)="PLANTA",G506="10175332796"),"PLANTA no puede ser RUC empresa","OK"))))))))</f>
        <v/>
      </c>
      <c r="C506" s="23" t="inlineStr">
        <is>
          <t>K5713102</t>
        </is>
      </c>
      <c r="D506" s="17" t="inlineStr">
        <is>
          <t>Oxígeno Medicinal 10 m³</t>
        </is>
      </c>
      <c r="E506" s="17" t="inlineStr">
        <is>
          <t>OXIGENO MEDICINAL</t>
        </is>
      </c>
      <c r="F506" s="17" t="inlineStr">
        <is>
          <t>EMPRESA</t>
        </is>
      </c>
      <c r="G506" s="23" t="inlineStr">
        <is>
          <t>10175332796</t>
        </is>
      </c>
      <c r="H506" s="25">
        <f t="array" ref="H506">IF(G506="","",IFERROR(IF(INDEX(Clientes!$D$5:$D$549,MATCH(G506,Clientes!$C$5:$C$549,0))&lt;&gt;"",INDEX(Clientes!$D$5:$D$549,MATCH(G506,Clientes!$C$5:$C$549,0)),TRIM(INDEX(Clientes!$E$5:$E$549,MATCH(G506,Clientes!$C$5:$C$549,0))&amp;" "&amp;INDEX(Clientes!$F$5:$F$549,MATCH(G506,Clientes!$C$5:$C$549,0)))),"NO EXISTE en Clientes"))</f>
        <v/>
      </c>
      <c r="I506" s="17" t="inlineStr">
        <is>
          <t>DISPONIBLE</t>
        </is>
      </c>
      <c r="J506" s="17" t="inlineStr">
        <is>
          <t>ALMACEN PRINCIPAL</t>
        </is>
      </c>
      <c r="K506" s="23" t="n"/>
      <c r="L506" s="25">
        <f t="array" ref="L506">IF(K506="","",IFERROR(IF(INDEX(Clientes!$D$5:$D$549,MATCH(K506,Clientes!$C$5:$C$549,0))&lt;&gt;"",INDEX(Clientes!$D$5:$D$549,MATCH(K506,Clientes!$C$5:$C$549,0)),TRIM(INDEX(Clientes!$E$5:$E$549,MATCH(K506,Clientes!$C$5:$C$549,0))&amp;" "&amp;INDEX(Clientes!$F$5:$F$549,MATCH(K506,Clientes!$C$5:$C$549,0)))),"NO EXISTE en Clientes"))</f>
        <v/>
      </c>
      <c r="M506" s="17" t="n"/>
      <c r="N506" s="17" t="n"/>
      <c r="O506" s="42" t="n"/>
      <c r="P506" s="39">
        <f>IF(O506&lt;&gt;"",DATE(YEAR(O506)+5,MONTH(O506),1),IF(AND(M506&lt;&gt;"",N506&lt;&gt;""),DATE(M506+5,N506,1),""))</f>
        <v/>
      </c>
      <c r="Q506" s="23" t="n"/>
      <c r="R506" s="17" t="n"/>
      <c r="S506" s="17" t="n"/>
      <c r="T506" s="17" t="n"/>
      <c r="U506" s="17" t="n"/>
      <c r="V506" s="23" t="n"/>
      <c r="W506" s="17" t="n"/>
      <c r="X506" s="17" t="n"/>
      <c r="Y506" s="28">
        <f>IF(B506&lt;&gt;"OK","","SELECT bal_crear_balon(p_codigo_balon =&gt; "&amp;IF(TRIM(C506&amp;"")="","NULL","'"&amp;SUBSTITUTE(TRIM(C506),"'","''")&amp;"'")&amp;", p_id_tipo_balon =&gt; "&amp;"(SELECT id FROM bal_tipo_balon WHERE upper(nombre) = upper('"&amp;SUBSTITUTE(TRIM(D506),"'","''")&amp;"') AND estado = 1 LIMIT 1)"&amp;", p_id_producto_gas =&gt; "&amp;"(SELECT id FROM pro_producto WHERE es_gas = TRUE AND upper(nombre) = upper('"&amp;SUBSTITUTE(TRIM(E506),"'","''")&amp;"') AND estado = 1 LIMIT 1)"&amp;", p_id_propietario =&gt; "&amp;IF(TRIM(F506&amp;"")="","NULL","(SELECT lo.id FROM gen_lista_opciones lo JOIN gen_lista l ON l.id = lo.id_lista WHERE l.nombre = 'PropietarioBalon' AND upper(lo.nombre) = upper('"&amp;SUBSTITUTE(TRIM(F506),"'","''")&amp;"') AND lo.estado = 1 LIMIT 1)")&amp;", p_id_cliente_propietario =&gt; "&amp;IF(F506="CLIENTE",IF(TRIM(G506&amp;"")="","NULL","(SELECT id FROM cli_clientes WHERE numero_documento = '"&amp;SUBSTITUTE(TRIM(G506),"'","''")&amp;"' AND estado = 1 LIMIT 1)"),"NULL")&amp;", p_id_planta =&gt; "&amp;IF(F506="PLANTA",IF(TRIM(G506&amp;"")="","NULL","(SELECT id FROM cli_clientes WHERE numero_documento = '"&amp;SUBSTITUTE(TRIM(G506),"'","''")&amp;"'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"&amp;IF(TRIM(J506&amp;"")="","NULL","(SELECT id FROM gen_almacen WHERE upper(nombre) = upper('"&amp;SUBSTITUTE(TRIM(J506),"'","''")&amp;"') AND estado = 1 LIMIT 1)")&amp;", p_id_cliente_ubicacion =&gt; "&amp;IF(TRIM(K506&amp;"")="","NULL","(SELECT id FROM cli_clientes WHERE numero_documento = '"&amp;SUBSTITUTE(TRIM(K506),"'","''")&amp;"' AND estado = 1 LIMIT 1)")&amp;", p_id_referencia =&gt; "&amp;IF(TRIM(J506&amp;"")&lt;&gt;"","(SELECT lo.id FROM gen_lista_opciones lo JOIN gen_lista l ON l.id = lo.id_lista WHERE l.nombre = 'ReferenciaCilindro' AND upper(lo.nombre) = 'ALMACEN' AND lo.estado = 1 LIMIT 1)",IF(TRIM(K506&amp;"")&lt;&gt;"","(SELECT lo.id FROM gen_lista_opciones lo JOIN gen_lista l ON l.id = lo.id_lista WHERE l.nombre = 'ReferenciaCilindro' AND upper(lo.nombre) = 'CLIENTE' AND lo.estado = 1 LIMIT 1)","NULL"))&amp;", p_anio_fabricacion =&gt; "&amp;IF(M506&amp;""="","NULL::smallint",M506&amp;"::smallint")&amp;", p_mes_fabricacion =&gt; "&amp;IF(N506&amp;""="","NULL::smallint",N506&amp;"::smallint")&amp;", p_fecha_ultima_prueba_hidrostatica =&gt; "&amp;IF(O506&amp;""="","NULL","'"&amp;YEAR(O506)&amp;"-"&amp;TEXT(MONTH(O506),"00")&amp;"-"&amp;TEXT(DAY(O506),"00")&amp;"'")&amp;", p_numero_serie =&gt; "&amp;IF(TRIM(Q506&amp;"")="","NULL","'"&amp;SUBSTITUTE(TRIM(Q506),"'","''")&amp;"'")&amp;", p_id_marca_cilindro =&gt; "&amp;IF(TRIM(R506&amp;"")="","NULL","(SELECT lo.id FROM gen_lista_opciones lo JOIN gen_lista l ON l.id = lo.id_lista WHERE l.nombre = 'MarcaCilindro' AND upper(lo.nombre) = upper('"&amp;SUBSTITUTE(TRIM(R506),"'","''")&amp;"') AND lo.estado = 1 LIMIT 1)")&amp;", p_id_organo_inspector =&gt; "&amp;IF(TRIM(S506&amp;"")="","NULL","(SELECT lo.id FROM gen_lista_opciones lo JOIN gen_lista l ON l.id = lo.id_lista WHERE l.nombre = 'OrganoInspectorCilindro' AND upper(lo.nombre) = upper('"&amp;SUBSTITUTE(TRIM(S506),"'","''")&amp;"') AND lo.estado = 1 LIMIT 1)")&amp;", p_organo_inspector_no_aplica =&gt; "&amp;IF(S506="NO_APLICA","TRUE","FALSE")&amp;", p_presion_actual =&gt; "&amp;IF(T506&amp;""="","NULL",SUBSTITUTE(T506&amp;"",",","."))&amp;", p_tipo_valvula =&gt; "&amp;IF(TRIM(U506&amp;"")="","NULL","'"&amp;SUBSTITUTE(TRIM(U506),"'","''")&amp;"'")&amp;", p_libro_cilindro =&gt; "&amp;IF(TRIM(V506&amp;"")="","NULL","'"&amp;SUBSTITUTE(TRIM(V506),"'","''")&amp;"'")&amp;", p_pagina_libro =&gt; "&amp;IF(W506&amp;""="","NULL",SUBSTITUTE(W506&amp;"",",","."))&amp;", p_observacion =&gt; "&amp;IF(TRIM(X506&amp;"")="","NULL","'"&amp;SUBSTITUTE(TRIM(X506),"'","''")&amp;"'")&amp;") AS resultado_balon_"&amp;ROW()&amp;";")</f>
        <v/>
      </c>
    </row>
    <row r="507" ht="15.75" customHeight="1" s="64">
      <c r="A507" s="36" t="inlineStr">
        <is>
          <t>503</t>
        </is>
      </c>
      <c r="B507" s="25">
        <f>IF(AND(C507="",D507="",E507=""),"",IF(C507="","FALTA código balón",IF(D507="","FALTA tipo balón",IF(E507="","FALTA gas",IF(F507="","FALTA propietario",IF(AND(C507&lt;&gt;"",SUMPRODUCT(--($C$5:$C$1200=C507))&gt;1),"CÓDIGO BALÓN DUPLICADO",IF(AND(OR(UPPER(F507)="PLANTA",UPPER(F507)="CLIENTE"),G507=""),"FALTA doc propietario/planta",IF(AND(UPPER(F507)="PLANTA",G507="10175332796"),"PLANTA no puede ser RUC empresa","OK"))))))))</f>
        <v/>
      </c>
      <c r="C507" s="23" t="inlineStr">
        <is>
          <t>K5434104</t>
        </is>
      </c>
      <c r="D507" s="17" t="inlineStr">
        <is>
          <t>Oxígeno Medicinal 10 m³</t>
        </is>
      </c>
      <c r="E507" s="17" t="inlineStr">
        <is>
          <t>OXIGENO MEDICINAL</t>
        </is>
      </c>
      <c r="F507" s="17" t="inlineStr">
        <is>
          <t>EMPRESA</t>
        </is>
      </c>
      <c r="G507" s="23" t="inlineStr">
        <is>
          <t>10175332796</t>
        </is>
      </c>
      <c r="H507" s="25">
        <f t="array" ref="H507">IF(G507="","",IFERROR(IF(INDEX(Clientes!$D$5:$D$549,MATCH(G507,Clientes!$C$5:$C$549,0))&lt;&gt;"",INDEX(Clientes!$D$5:$D$549,MATCH(G507,Clientes!$C$5:$C$549,0)),TRIM(INDEX(Clientes!$E$5:$E$549,MATCH(G507,Clientes!$C$5:$C$549,0))&amp;" "&amp;INDEX(Clientes!$F$5:$F$549,MATCH(G507,Clientes!$C$5:$C$549,0)))),"NO EXISTE en Clientes"))</f>
        <v/>
      </c>
      <c r="I507" s="17" t="inlineStr">
        <is>
          <t>DISPONIBLE</t>
        </is>
      </c>
      <c r="J507" s="17" t="inlineStr">
        <is>
          <t>ALMACEN PRINCIPAL</t>
        </is>
      </c>
      <c r="K507" s="23" t="n"/>
      <c r="L507" s="25">
        <f t="array" ref="L507">IF(K507="","",IFERROR(IF(INDEX(Clientes!$D$5:$D$549,MATCH(K507,Clientes!$C$5:$C$549,0))&lt;&gt;"",INDEX(Clientes!$D$5:$D$549,MATCH(K507,Clientes!$C$5:$C$549,0)),TRIM(INDEX(Clientes!$E$5:$E$549,MATCH(K507,Clientes!$C$5:$C$549,0))&amp;" "&amp;INDEX(Clientes!$F$5:$F$549,MATCH(K507,Clientes!$C$5:$C$549,0)))),"NO EXISTE en Clientes"))</f>
        <v/>
      </c>
      <c r="M507" s="17" t="n"/>
      <c r="N507" s="17" t="n"/>
      <c r="O507" s="42" t="n"/>
      <c r="P507" s="39">
        <f>IF(O507&lt;&gt;"",DATE(YEAR(O507)+5,MONTH(O507),1),IF(AND(M507&lt;&gt;"",N507&lt;&gt;""),DATE(M507+5,N507,1),""))</f>
        <v/>
      </c>
      <c r="Q507" s="23" t="n"/>
      <c r="R507" s="17" t="n"/>
      <c r="S507" s="17" t="n"/>
      <c r="T507" s="17" t="n"/>
      <c r="U507" s="17" t="n"/>
      <c r="V507" s="23" t="n"/>
      <c r="W507" s="17" t="n"/>
      <c r="X507" s="17" t="n"/>
      <c r="Y507" s="28">
        <f>IF(B507&lt;&gt;"OK","","SELECT bal_crear_balon(p_codigo_balon =&gt; "&amp;IF(TRIM(C507&amp;"")="","NULL","'"&amp;SUBSTITUTE(TRIM(C507),"'","''")&amp;"'")&amp;", p_id_tipo_balon =&gt; "&amp;"(SELECT id FROM bal_tipo_balon WHERE upper(nombre) = upper('"&amp;SUBSTITUTE(TRIM(D507),"'","''")&amp;"') AND estado = 1 LIMIT 1)"&amp;", p_id_producto_gas =&gt; "&amp;"(SELECT id FROM pro_producto WHERE es_gas = TRUE AND upper(nombre) = upper('"&amp;SUBSTITUTE(TRIM(E507),"'","''")&amp;"') AND estado = 1 LIMIT 1)"&amp;", p_id_propietario =&gt; "&amp;IF(TRIM(F507&amp;"")="","NULL","(SELECT lo.id FROM gen_lista_opciones lo JOIN gen_lista l ON l.id = lo.id_lista WHERE l.nombre = 'PropietarioBalon' AND upper(lo.nombre) = upper('"&amp;SUBSTITUTE(TRIM(F507),"'","''")&amp;"') AND lo.estado = 1 LIMIT 1)")&amp;", p_id_cliente_propietario =&gt; "&amp;IF(F507="CLIENTE",IF(TRIM(G507&amp;"")="","NULL","(SELECT id FROM cli_clientes WHERE numero_documento = '"&amp;SUBSTITUTE(TRIM(G507),"'","''")&amp;"' AND estado = 1 LIMIT 1)"),"NULL")&amp;", p_id_planta =&gt; "&amp;IF(F507="PLANTA",IF(TRIM(G507&amp;"")="","NULL","(SELECT id FROM cli_clientes WHERE numero_documento = '"&amp;SUBSTITUTE(TRIM(G507),"'","''")&amp;"'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"&amp;IF(TRIM(J507&amp;"")="","NULL","(SELECT id FROM gen_almacen WHERE upper(nombre) = upper('"&amp;SUBSTITUTE(TRIM(J507),"'","''")&amp;"') AND estado = 1 LIMIT 1)")&amp;", p_id_cliente_ubicacion =&gt; "&amp;IF(TRIM(K507&amp;"")="","NULL","(SELECT id FROM cli_clientes WHERE numero_documento = '"&amp;SUBSTITUTE(TRIM(K507),"'","''")&amp;"' AND estado = 1 LIMIT 1)")&amp;", p_id_referencia =&gt; "&amp;IF(TRIM(J507&amp;"")&lt;&gt;"","(SELECT lo.id FROM gen_lista_opciones lo JOIN gen_lista l ON l.id = lo.id_lista WHERE l.nombre = 'ReferenciaCilindro' AND upper(lo.nombre) = 'ALMACEN' AND lo.estado = 1 LIMIT 1)",IF(TRIM(K507&amp;"")&lt;&gt;"","(SELECT lo.id FROM gen_lista_opciones lo JOIN gen_lista l ON l.id = lo.id_lista WHERE l.nombre = 'ReferenciaCilindro' AND upper(lo.nombre) = 'CLIENTE' AND lo.estado = 1 LIMIT 1)","NULL"))&amp;", p_anio_fabricacion =&gt; "&amp;IF(M507&amp;""="","NULL::smallint",M507&amp;"::smallint")&amp;", p_mes_fabricacion =&gt; "&amp;IF(N507&amp;""="","NULL::smallint",N507&amp;"::smallint")&amp;", p_fecha_ultima_prueba_hidrostatica =&gt; "&amp;IF(O507&amp;""="","NULL","'"&amp;YEAR(O507)&amp;"-"&amp;TEXT(MONTH(O507),"00")&amp;"-"&amp;TEXT(DAY(O507),"00")&amp;"'")&amp;", p_numero_serie =&gt; "&amp;IF(TRIM(Q507&amp;"")="","NULL","'"&amp;SUBSTITUTE(TRIM(Q507),"'","''")&amp;"'")&amp;", p_id_marca_cilindro =&gt; "&amp;IF(TRIM(R507&amp;"")="","NULL","(SELECT lo.id FROM gen_lista_opciones lo JOIN gen_lista l ON l.id = lo.id_lista WHERE l.nombre = 'MarcaCilindro' AND upper(lo.nombre) = upper('"&amp;SUBSTITUTE(TRIM(R507),"'","''")&amp;"') AND lo.estado = 1 LIMIT 1)")&amp;", p_id_organo_inspector =&gt; "&amp;IF(TRIM(S507&amp;"")="","NULL","(SELECT lo.id FROM gen_lista_opciones lo JOIN gen_lista l ON l.id = lo.id_lista WHERE l.nombre = 'OrganoInspectorCilindro' AND upper(lo.nombre) = upper('"&amp;SUBSTITUTE(TRIM(S507),"'","''")&amp;"') AND lo.estado = 1 LIMIT 1)")&amp;", p_organo_inspector_no_aplica =&gt; "&amp;IF(S507="NO_APLICA","TRUE","FALSE")&amp;", p_presion_actual =&gt; "&amp;IF(T507&amp;""="","NULL",SUBSTITUTE(T507&amp;"",",","."))&amp;", p_tipo_valvula =&gt; "&amp;IF(TRIM(U507&amp;"")="","NULL","'"&amp;SUBSTITUTE(TRIM(U507),"'","''")&amp;"'")&amp;", p_libro_cilindro =&gt; "&amp;IF(TRIM(V507&amp;"")="","NULL","'"&amp;SUBSTITUTE(TRIM(V507),"'","''")&amp;"'")&amp;", p_pagina_libro =&gt; "&amp;IF(W507&amp;""="","NULL",SUBSTITUTE(W507&amp;"",",","."))&amp;", p_observacion =&gt; "&amp;IF(TRIM(X507&amp;"")="","NULL","'"&amp;SUBSTITUTE(TRIM(X507),"'","''")&amp;"'")&amp;") AS resultado_balon_"&amp;ROW()&amp;";")</f>
        <v/>
      </c>
    </row>
    <row r="508" ht="15.75" customHeight="1" s="64">
      <c r="A508" s="36" t="inlineStr">
        <is>
          <t>504</t>
        </is>
      </c>
      <c r="B508" s="25">
        <f>IF(AND(C508="",D508="",E508=""),"",IF(C508="","FALTA código balón",IF(D508="","FALTA tipo balón",IF(E508="","FALTA gas",IF(F508="","FALTA propietario",IF(AND(C508&lt;&gt;"",SUMPRODUCT(--($C$5:$C$1200=C508))&gt;1),"CÓDIGO BALÓN DUPLICADO",IF(AND(OR(UPPER(F508)="PLANTA",UPPER(F508)="CLIENTE"),G508=""),"FALTA doc propietario/planta",IF(AND(UPPER(F508)="PLANTA",G508="10175332796"),"PLANTA no puede ser RUC empresa","OK"))))))))</f>
        <v/>
      </c>
      <c r="C508" s="23" t="inlineStr">
        <is>
          <t>21Y058054</t>
        </is>
      </c>
      <c r="D508" s="17" t="inlineStr">
        <is>
          <t>Oxígeno Industrial 10 m³</t>
        </is>
      </c>
      <c r="E508" s="17" t="inlineStr">
        <is>
          <t>OXIGENO INDUSTRIAL</t>
        </is>
      </c>
      <c r="F508" s="17" t="inlineStr">
        <is>
          <t>EMPRESA</t>
        </is>
      </c>
      <c r="G508" s="23" t="inlineStr">
        <is>
          <t>10175332796</t>
        </is>
      </c>
      <c r="H508" s="25">
        <f t="array" ref="H508">IF(G508="","",IFERROR(IF(INDEX(Clientes!$D$5:$D$549,MATCH(G508,Clientes!$C$5:$C$549,0))&lt;&gt;"",INDEX(Clientes!$D$5:$D$549,MATCH(G508,Clientes!$C$5:$C$549,0)),TRIM(INDEX(Clientes!$E$5:$E$549,MATCH(G508,Clientes!$C$5:$C$549,0))&amp;" "&amp;INDEX(Clientes!$F$5:$F$549,MATCH(G508,Clientes!$C$5:$C$549,0)))),"NO EXISTE en Clientes"))</f>
        <v/>
      </c>
      <c r="I508" s="17" t="inlineStr">
        <is>
          <t>DISPONIBLE</t>
        </is>
      </c>
      <c r="J508" s="17" t="inlineStr">
        <is>
          <t>ALMACEN PRINCIPAL</t>
        </is>
      </c>
      <c r="K508" s="23" t="n"/>
      <c r="L508" s="25">
        <f t="array" ref="L508">IF(K508="","",IFERROR(IF(INDEX(Clientes!$D$5:$D$549,MATCH(K508,Clientes!$C$5:$C$549,0))&lt;&gt;"",INDEX(Clientes!$D$5:$D$549,MATCH(K508,Clientes!$C$5:$C$549,0)),TRIM(INDEX(Clientes!$E$5:$E$549,MATCH(K508,Clientes!$C$5:$C$549,0))&amp;" "&amp;INDEX(Clientes!$F$5:$F$549,MATCH(K508,Clientes!$C$5:$C$549,0)))),"NO EXISTE en Clientes"))</f>
        <v/>
      </c>
      <c r="M508" s="17" t="n"/>
      <c r="N508" s="17" t="n"/>
      <c r="O508" s="42" t="n"/>
      <c r="P508" s="39">
        <f>IF(O508&lt;&gt;"",DATE(YEAR(O508)+5,MONTH(O508),1),IF(AND(M508&lt;&gt;"",N508&lt;&gt;""),DATE(M508+5,N508,1),""))</f>
        <v/>
      </c>
      <c r="Q508" s="23" t="n"/>
      <c r="R508" s="17" t="n"/>
      <c r="S508" s="17" t="n"/>
      <c r="T508" s="17" t="n"/>
      <c r="U508" s="17" t="n"/>
      <c r="V508" s="23" t="n"/>
      <c r="W508" s="17" t="n"/>
      <c r="X508" s="17" t="n"/>
      <c r="Y508" s="28">
        <f>IF(B508&lt;&gt;"OK","","SELECT bal_crear_balon(p_codigo_balon =&gt; "&amp;IF(TRIM(C508&amp;"")="","NULL","'"&amp;SUBSTITUTE(TRIM(C508),"'","''")&amp;"'")&amp;", p_id_tipo_balon =&gt; "&amp;"(SELECT id FROM bal_tipo_balon WHERE upper(nombre) = upper('"&amp;SUBSTITUTE(TRIM(D508),"'","''")&amp;"') AND estado = 1 LIMIT 1)"&amp;", p_id_producto_gas =&gt; "&amp;"(SELECT id FROM pro_producto WHERE es_gas = TRUE AND upper(nombre) = upper('"&amp;SUBSTITUTE(TRIM(E508),"'","''")&amp;"') AND estado = 1 LIMIT 1)"&amp;", p_id_propietario =&gt; "&amp;IF(TRIM(F508&amp;"")="","NULL","(SELECT lo.id FROM gen_lista_opciones lo JOIN gen_lista l ON l.id = lo.id_lista WHERE l.nombre = 'PropietarioBalon' AND upper(lo.nombre) = upper('"&amp;SUBSTITUTE(TRIM(F508),"'","''")&amp;"') AND lo.estado = 1 LIMIT 1)")&amp;", p_id_cliente_propietario =&gt; "&amp;IF(F508="CLIENTE",IF(TRIM(G508&amp;"")="","NULL","(SELECT id FROM cli_clientes WHERE numero_documento = '"&amp;SUBSTITUTE(TRIM(G508),"'","''")&amp;"' AND estado = 1 LIMIT 1)"),"NULL")&amp;", p_id_planta =&gt; "&amp;IF(F508="PLANTA",IF(TRIM(G508&amp;"")="","NULL","(SELECT id FROM cli_clientes WHERE numero_documento = '"&amp;SUBSTITUTE(TRIM(G508),"'","''")&amp;"'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"&amp;IF(TRIM(J508&amp;"")="","NULL","(SELECT id FROM gen_almacen WHERE upper(nombre) = upper('"&amp;SUBSTITUTE(TRIM(J508),"'","''")&amp;"') AND estado = 1 LIMIT 1)")&amp;", p_id_cliente_ubicacion =&gt; "&amp;IF(TRIM(K508&amp;"")="","NULL","(SELECT id FROM cli_clientes WHERE numero_documento = '"&amp;SUBSTITUTE(TRIM(K508),"'","''")&amp;"' AND estado = 1 LIMIT 1)")&amp;", p_id_referencia =&gt; "&amp;IF(TRIM(J508&amp;"")&lt;&gt;"","(SELECT lo.id FROM gen_lista_opciones lo JOIN gen_lista l ON l.id = lo.id_lista WHERE l.nombre = 'ReferenciaCilindro' AND upper(lo.nombre) = 'ALMACEN' AND lo.estado = 1 LIMIT 1)",IF(TRIM(K508&amp;"")&lt;&gt;"","(SELECT lo.id FROM gen_lista_opciones lo JOIN gen_lista l ON l.id = lo.id_lista WHERE l.nombre = 'ReferenciaCilindro' AND upper(lo.nombre) = 'CLIENTE' AND lo.estado = 1 LIMIT 1)","NULL"))&amp;", p_anio_fabricacion =&gt; "&amp;IF(M508&amp;""="","NULL::smallint",M508&amp;"::smallint")&amp;", p_mes_fabricacion =&gt; "&amp;IF(N508&amp;""="","NULL::smallint",N508&amp;"::smallint")&amp;", p_fecha_ultima_prueba_hidrostatica =&gt; "&amp;IF(O508&amp;""="","NULL","'"&amp;YEAR(O508)&amp;"-"&amp;TEXT(MONTH(O508),"00")&amp;"-"&amp;TEXT(DAY(O508),"00")&amp;"'")&amp;", p_numero_serie =&gt; "&amp;IF(TRIM(Q508&amp;"")="","NULL","'"&amp;SUBSTITUTE(TRIM(Q508),"'","''")&amp;"'")&amp;", p_id_marca_cilindro =&gt; "&amp;IF(TRIM(R508&amp;"")="","NULL","(SELECT lo.id FROM gen_lista_opciones lo JOIN gen_lista l ON l.id = lo.id_lista WHERE l.nombre = 'MarcaCilindro' AND upper(lo.nombre) = upper('"&amp;SUBSTITUTE(TRIM(R508),"'","''")&amp;"') AND lo.estado = 1 LIMIT 1)")&amp;", p_id_organo_inspector =&gt; "&amp;IF(TRIM(S508&amp;"")="","NULL","(SELECT lo.id FROM gen_lista_opciones lo JOIN gen_lista l ON l.id = lo.id_lista WHERE l.nombre = 'OrganoInspectorCilindro' AND upper(lo.nombre) = upper('"&amp;SUBSTITUTE(TRIM(S508),"'","''")&amp;"') AND lo.estado = 1 LIMIT 1)")&amp;", p_organo_inspector_no_aplica =&gt; "&amp;IF(S508="NO_APLICA","TRUE","FALSE")&amp;", p_presion_actual =&gt; "&amp;IF(T508&amp;""="","NULL",SUBSTITUTE(T508&amp;"",",","."))&amp;", p_tipo_valvula =&gt; "&amp;IF(TRIM(U508&amp;"")="","NULL","'"&amp;SUBSTITUTE(TRIM(U508),"'","''")&amp;"'")&amp;", p_libro_cilindro =&gt; "&amp;IF(TRIM(V508&amp;"")="","NULL","'"&amp;SUBSTITUTE(TRIM(V508),"'","''")&amp;"'")&amp;", p_pagina_libro =&gt; "&amp;IF(W508&amp;""="","NULL",SUBSTITUTE(W508&amp;"",",","."))&amp;", p_observacion =&gt; "&amp;IF(TRIM(X508&amp;"")="","NULL","'"&amp;SUBSTITUTE(TRIM(X508),"'","''")&amp;"'")&amp;") AS resultado_balon_"&amp;ROW()&amp;";")</f>
        <v/>
      </c>
    </row>
    <row r="509" ht="15.75" customHeight="1" s="64">
      <c r="A509" s="36" t="inlineStr">
        <is>
          <t>505</t>
        </is>
      </c>
      <c r="B509" s="25">
        <f>IF(AND(C509="",D509="",E509=""),"",IF(C509="","FALTA código balón",IF(D509="","FALTA tipo balón",IF(E509="","FALTA gas",IF(F509="","FALTA propietario",IF(AND(C509&lt;&gt;"",SUMPRODUCT(--($C$5:$C$1200=C509))&gt;1),"CÓDIGO BALÓN DUPLICADO",IF(AND(OR(UPPER(F509)="PLANTA",UPPER(F509)="CLIENTE"),G509=""),"FALTA doc propietario/planta",IF(AND(UPPER(F509)="PLANTA",G509="10175332796"),"PLANTA no puede ser RUC empresa","OK"))))))))</f>
        <v/>
      </c>
      <c r="C509" s="23" t="inlineStr">
        <is>
          <t>22K036011</t>
        </is>
      </c>
      <c r="D509" s="17" t="inlineStr">
        <is>
          <t>Argón Estándar 10 m3</t>
        </is>
      </c>
      <c r="E509" s="17" t="inlineStr">
        <is>
          <t>ARGON</t>
        </is>
      </c>
      <c r="F509" s="17" t="inlineStr">
        <is>
          <t>EMPRESA</t>
        </is>
      </c>
      <c r="G509" s="23" t="inlineStr">
        <is>
          <t>10175332796</t>
        </is>
      </c>
      <c r="H509" s="25">
        <f t="array" ref="H509">IF(G509="","",IFERROR(IF(INDEX(Clientes!$D$5:$D$549,MATCH(G509,Clientes!$C$5:$C$549,0))&lt;&gt;"",INDEX(Clientes!$D$5:$D$549,MATCH(G509,Clientes!$C$5:$C$549,0)),TRIM(INDEX(Clientes!$E$5:$E$549,MATCH(G509,Clientes!$C$5:$C$549,0))&amp;" "&amp;INDEX(Clientes!$F$5:$F$549,MATCH(G509,Clientes!$C$5:$C$549,0)))),"NO EXISTE en Clientes"))</f>
        <v/>
      </c>
      <c r="I509" s="17" t="inlineStr">
        <is>
          <t>DISPONIBLE</t>
        </is>
      </c>
      <c r="J509" s="17" t="inlineStr">
        <is>
          <t>ALMACEN PRINCIPAL</t>
        </is>
      </c>
      <c r="K509" s="23" t="n"/>
      <c r="L509" s="25">
        <f t="array" ref="L509">IF(K509="","",IFERROR(IF(INDEX(Clientes!$D$5:$D$549,MATCH(K509,Clientes!$C$5:$C$549,0))&lt;&gt;"",INDEX(Clientes!$D$5:$D$549,MATCH(K509,Clientes!$C$5:$C$549,0)),TRIM(INDEX(Clientes!$E$5:$E$549,MATCH(K509,Clientes!$C$5:$C$549,0))&amp;" "&amp;INDEX(Clientes!$F$5:$F$549,MATCH(K509,Clientes!$C$5:$C$549,0)))),"NO EXISTE en Clientes"))</f>
        <v/>
      </c>
      <c r="M509" s="17" t="n"/>
      <c r="N509" s="17" t="n"/>
      <c r="O509" s="42" t="n"/>
      <c r="P509" s="39">
        <f>IF(O509&lt;&gt;"",DATE(YEAR(O509)+5,MONTH(O509),1),IF(AND(M509&lt;&gt;"",N509&lt;&gt;""),DATE(M509+5,N509,1),""))</f>
        <v/>
      </c>
      <c r="Q509" s="23" t="n"/>
      <c r="R509" s="17" t="n"/>
      <c r="S509" s="17" t="n"/>
      <c r="T509" s="17" t="n"/>
      <c r="U509" s="17" t="n"/>
      <c r="V509" s="23" t="n"/>
      <c r="W509" s="17" t="n"/>
      <c r="X509" s="17" t="n"/>
      <c r="Y509" s="28">
        <f>IF(B509&lt;&gt;"OK","","SELECT bal_crear_balon(p_codigo_balon =&gt; "&amp;IF(TRIM(C509&amp;"")="","NULL","'"&amp;SUBSTITUTE(TRIM(C509),"'","''")&amp;"'")&amp;", p_id_tipo_balon =&gt; "&amp;"(SELECT id FROM bal_tipo_balon WHERE upper(nombre) = upper('"&amp;SUBSTITUTE(TRIM(D509),"'","''")&amp;"') AND estado = 1 LIMIT 1)"&amp;", p_id_producto_gas =&gt; "&amp;"(SELECT id FROM pro_producto WHERE es_gas = TRUE AND upper(nombre) = upper('"&amp;SUBSTITUTE(TRIM(E509),"'","''")&amp;"') AND estado = 1 LIMIT 1)"&amp;", p_id_propietario =&gt; "&amp;IF(TRIM(F509&amp;"")="","NULL","(SELECT lo.id FROM gen_lista_opciones lo JOIN gen_lista l ON l.id = lo.id_lista WHERE l.nombre = 'PropietarioBalon' AND upper(lo.nombre) = upper('"&amp;SUBSTITUTE(TRIM(F509),"'","''")&amp;"') AND lo.estado = 1 LIMIT 1)")&amp;", p_id_cliente_propietario =&gt; "&amp;IF(F509="CLIENTE",IF(TRIM(G509&amp;"")="","NULL","(SELECT id FROM cli_clientes WHERE numero_documento = '"&amp;SUBSTITUTE(TRIM(G509),"'","''")&amp;"' AND estado = 1 LIMIT 1)"),"NULL")&amp;", p_id_planta =&gt; "&amp;IF(F509="PLANTA",IF(TRIM(G509&amp;"")="","NULL","(SELECT id FROM cli_clientes WHERE numero_documento = '"&amp;SUBSTITUTE(TRIM(G509),"'","''")&amp;"'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"&amp;IF(TRIM(J509&amp;"")="","NULL","(SELECT id FROM gen_almacen WHERE upper(nombre) = upper('"&amp;SUBSTITUTE(TRIM(J509),"'","''")&amp;"') AND estado = 1 LIMIT 1)")&amp;", p_id_cliente_ubicacion =&gt; "&amp;IF(TRIM(K509&amp;"")="","NULL","(SELECT id FROM cli_clientes WHERE numero_documento = '"&amp;SUBSTITUTE(TRIM(K509),"'","''")&amp;"' AND estado = 1 LIMIT 1)")&amp;", p_id_referencia =&gt; "&amp;IF(TRIM(J509&amp;"")&lt;&gt;"","(SELECT lo.id FROM gen_lista_opciones lo JOIN gen_lista l ON l.id = lo.id_lista WHERE l.nombre = 'ReferenciaCilindro' AND upper(lo.nombre) = 'ALMACEN' AND lo.estado = 1 LIMIT 1)",IF(TRIM(K509&amp;"")&lt;&gt;"","(SELECT lo.id FROM gen_lista_opciones lo JOIN gen_lista l ON l.id = lo.id_lista WHERE l.nombre = 'ReferenciaCilindro' AND upper(lo.nombre) = 'CLIENTE' AND lo.estado = 1 LIMIT 1)","NULL"))&amp;", p_anio_fabricacion =&gt; "&amp;IF(M509&amp;""="","NULL::smallint",M509&amp;"::smallint")&amp;", p_mes_fabricacion =&gt; "&amp;IF(N509&amp;""="","NULL::smallint",N509&amp;"::smallint")&amp;", p_fecha_ultima_prueba_hidrostatica =&gt; "&amp;IF(O509&amp;""="","NULL","'"&amp;YEAR(O509)&amp;"-"&amp;TEXT(MONTH(O509),"00")&amp;"-"&amp;TEXT(DAY(O509),"00")&amp;"'")&amp;", p_numero_serie =&gt; "&amp;IF(TRIM(Q509&amp;"")="","NULL","'"&amp;SUBSTITUTE(TRIM(Q509),"'","''")&amp;"'")&amp;", p_id_marca_cilindro =&gt; "&amp;IF(TRIM(R509&amp;"")="","NULL","(SELECT lo.id FROM gen_lista_opciones lo JOIN gen_lista l ON l.id = lo.id_lista WHERE l.nombre = 'MarcaCilindro' AND upper(lo.nombre) = upper('"&amp;SUBSTITUTE(TRIM(R509),"'","''")&amp;"') AND lo.estado = 1 LIMIT 1)")&amp;", p_id_organo_inspector =&gt; "&amp;IF(TRIM(S509&amp;"")="","NULL","(SELECT lo.id FROM gen_lista_opciones lo JOIN gen_lista l ON l.id = lo.id_lista WHERE l.nombre = 'OrganoInspectorCilindro' AND upper(lo.nombre) = upper('"&amp;SUBSTITUTE(TRIM(S509),"'","''")&amp;"') AND lo.estado = 1 LIMIT 1)")&amp;", p_organo_inspector_no_aplica =&gt; "&amp;IF(S509="NO_APLICA","TRUE","FALSE")&amp;", p_presion_actual =&gt; "&amp;IF(T509&amp;""="","NULL",SUBSTITUTE(T509&amp;"",",","."))&amp;", p_tipo_valvula =&gt; "&amp;IF(TRIM(U509&amp;"")="","NULL","'"&amp;SUBSTITUTE(TRIM(U509),"'","''")&amp;"'")&amp;", p_libro_cilindro =&gt; "&amp;IF(TRIM(V509&amp;"")="","NULL","'"&amp;SUBSTITUTE(TRIM(V509),"'","''")&amp;"'")&amp;", p_pagina_libro =&gt; "&amp;IF(W509&amp;""="","NULL",SUBSTITUTE(W509&amp;"",",","."))&amp;", p_observacion =&gt; "&amp;IF(TRIM(X509&amp;"")="","NULL","'"&amp;SUBSTITUTE(TRIM(X509),"'","''")&amp;"'")&amp;") AS resultado_balon_"&amp;ROW()&amp;";")</f>
        <v/>
      </c>
    </row>
    <row r="510" ht="15.75" customHeight="1" s="64">
      <c r="A510" s="36" t="inlineStr">
        <is>
          <t>506</t>
        </is>
      </c>
      <c r="B510" s="25">
        <f>IF(AND(C510="",D510="",E510=""),"",IF(C510="","FALTA código balón",IF(D510="","FALTA tipo balón",IF(E510="","FALTA gas",IF(F510="","FALTA propietario",IF(AND(C510&lt;&gt;"",SUMPRODUCT(--($C$5:$C$1200=C510))&gt;1),"CÓDIGO BALÓN DUPLICADO",IF(AND(OR(UPPER(F510)="PLANTA",UPPER(F510)="CLIENTE"),G510=""),"FALTA doc propietario/planta",IF(AND(UPPER(F510)="PLANTA",G510="10175332796"),"PLANTA no puede ser RUC empresa","OK"))))))))</f>
        <v/>
      </c>
      <c r="C510" s="23" t="inlineStr">
        <is>
          <t>24655</t>
        </is>
      </c>
      <c r="D510" s="17" t="inlineStr">
        <is>
          <t>Oxígeno Industrial 6 m³</t>
        </is>
      </c>
      <c r="E510" s="17" t="inlineStr">
        <is>
          <t>OXIGENO INDUSTRIAL</t>
        </is>
      </c>
      <c r="F510" s="17" t="inlineStr">
        <is>
          <t>EMPRESA</t>
        </is>
      </c>
      <c r="G510" s="23" t="inlineStr">
        <is>
          <t>10175332796</t>
        </is>
      </c>
      <c r="H510" s="25">
        <f t="array" ref="H510">IF(G510="","",IFERROR(IF(INDEX(Clientes!$D$5:$D$549,MATCH(G510,Clientes!$C$5:$C$549,0))&lt;&gt;"",INDEX(Clientes!$D$5:$D$549,MATCH(G510,Clientes!$C$5:$C$549,0)),TRIM(INDEX(Clientes!$E$5:$E$549,MATCH(G510,Clientes!$C$5:$C$549,0))&amp;" "&amp;INDEX(Clientes!$F$5:$F$549,MATCH(G510,Clientes!$C$5:$C$549,0)))),"NO EXISTE en Clientes"))</f>
        <v/>
      </c>
      <c r="I510" s="17" t="inlineStr">
        <is>
          <t>DISPONIBLE</t>
        </is>
      </c>
      <c r="J510" s="17" t="inlineStr">
        <is>
          <t>ALMACEN LAMBAYEQUE</t>
        </is>
      </c>
      <c r="K510" s="23" t="n"/>
      <c r="L510" s="25">
        <f t="array" ref="L510">IF(K510="","",IFERROR(IF(INDEX(Clientes!$D$5:$D$549,MATCH(K510,Clientes!$C$5:$C$549,0))&lt;&gt;"",INDEX(Clientes!$D$5:$D$549,MATCH(K510,Clientes!$C$5:$C$549,0)),TRIM(INDEX(Clientes!$E$5:$E$549,MATCH(K510,Clientes!$C$5:$C$549,0))&amp;" "&amp;INDEX(Clientes!$F$5:$F$549,MATCH(K510,Clientes!$C$5:$C$549,0)))),"NO EXISTE en Clientes"))</f>
        <v/>
      </c>
      <c r="M510" s="17" t="n"/>
      <c r="N510" s="17" t="n"/>
      <c r="O510" s="42" t="n"/>
      <c r="P510" s="39">
        <f>IF(O510&lt;&gt;"",DATE(YEAR(O510)+5,MONTH(O510),1),IF(AND(M510&lt;&gt;"",N510&lt;&gt;""),DATE(M510+5,N510,1),""))</f>
        <v/>
      </c>
      <c r="Q510" s="23" t="n"/>
      <c r="R510" s="17" t="n"/>
      <c r="S510" s="17" t="n"/>
      <c r="T510" s="17" t="n"/>
      <c r="U510" s="17" t="n"/>
      <c r="V510" s="23" t="n"/>
      <c r="W510" s="17" t="n"/>
      <c r="X510" s="17" t="n"/>
      <c r="Y510" s="28">
        <f>IF(B510&lt;&gt;"OK","","SELECT bal_crear_balon(p_codigo_balon =&gt; "&amp;IF(TRIM(C510&amp;"")="","NULL","'"&amp;SUBSTITUTE(TRIM(C510),"'","''")&amp;"'")&amp;", p_id_tipo_balon =&gt; "&amp;"(SELECT id FROM bal_tipo_balon WHERE upper(nombre) = upper('"&amp;SUBSTITUTE(TRIM(D510),"'","''")&amp;"') AND estado = 1 LIMIT 1)"&amp;", p_id_producto_gas =&gt; "&amp;"(SELECT id FROM pro_producto WHERE es_gas = TRUE AND upper(nombre) = upper('"&amp;SUBSTITUTE(TRIM(E510),"'","''")&amp;"') AND estado = 1 LIMIT 1)"&amp;", p_id_propietario =&gt; "&amp;IF(TRIM(F510&amp;"")="","NULL","(SELECT lo.id FROM gen_lista_opciones lo JOIN gen_lista l ON l.id = lo.id_lista WHERE l.nombre = 'PropietarioBalon' AND upper(lo.nombre) = upper('"&amp;SUBSTITUTE(TRIM(F510),"'","''")&amp;"') AND lo.estado = 1 LIMIT 1)")&amp;", p_id_cliente_propietario =&gt; "&amp;IF(F510="CLIENTE",IF(TRIM(G510&amp;"")="","NULL","(SELECT id FROM cli_clientes WHERE numero_documento = '"&amp;SUBSTITUTE(TRIM(G510),"'","''")&amp;"' AND estado = 1 LIMIT 1)"),"NULL")&amp;", p_id_planta =&gt; "&amp;IF(F510="PLANTA",IF(TRIM(G510&amp;"")="","NULL","(SELECT id FROM cli_clientes WHERE numero_documento = '"&amp;SUBSTITUTE(TRIM(G510),"'","''")&amp;"'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"&amp;IF(TRIM(J510&amp;"")="","NULL","(SELECT id FROM gen_almacen WHERE upper(nombre) = upper('"&amp;SUBSTITUTE(TRIM(J510),"'","''")&amp;"') AND estado = 1 LIMIT 1)")&amp;", p_id_cliente_ubicacion =&gt; "&amp;IF(TRIM(K510&amp;"")="","NULL","(SELECT id FROM cli_clientes WHERE numero_documento = '"&amp;SUBSTITUTE(TRIM(K510),"'","''")&amp;"' AND estado = 1 LIMIT 1)")&amp;", p_id_referencia =&gt; "&amp;IF(TRIM(J510&amp;"")&lt;&gt;"","(SELECT lo.id FROM gen_lista_opciones lo JOIN gen_lista l ON l.id = lo.id_lista WHERE l.nombre = 'ReferenciaCilindro' AND upper(lo.nombre) = 'ALMACEN' AND lo.estado = 1 LIMIT 1)",IF(TRIM(K510&amp;"")&lt;&gt;"","(SELECT lo.id FROM gen_lista_opciones lo JOIN gen_lista l ON l.id = lo.id_lista WHERE l.nombre = 'ReferenciaCilindro' AND upper(lo.nombre) = 'CLIENTE' AND lo.estado = 1 LIMIT 1)","NULL"))&amp;", p_anio_fabricacion =&gt; "&amp;IF(M510&amp;""="","NULL::smallint",M510&amp;"::smallint")&amp;", p_mes_fabricacion =&gt; "&amp;IF(N510&amp;""="","NULL::smallint",N510&amp;"::smallint")&amp;", p_fecha_ultima_prueba_hidrostatica =&gt; "&amp;IF(O510&amp;""="","NULL","'"&amp;YEAR(O510)&amp;"-"&amp;TEXT(MONTH(O510),"00")&amp;"-"&amp;TEXT(DAY(O510),"00")&amp;"'")&amp;", p_numero_serie =&gt; "&amp;IF(TRIM(Q510&amp;"")="","NULL","'"&amp;SUBSTITUTE(TRIM(Q510),"'","''")&amp;"'")&amp;", p_id_marca_cilindro =&gt; "&amp;IF(TRIM(R510&amp;"")="","NULL","(SELECT lo.id FROM gen_lista_opciones lo JOIN gen_lista l ON l.id = lo.id_lista WHERE l.nombre = 'MarcaCilindro' AND upper(lo.nombre) = upper('"&amp;SUBSTITUTE(TRIM(R510),"'","''")&amp;"') AND lo.estado = 1 LIMIT 1)")&amp;", p_id_organo_inspector =&gt; "&amp;IF(TRIM(S510&amp;"")="","NULL","(SELECT lo.id FROM gen_lista_opciones lo JOIN gen_lista l ON l.id = lo.id_lista WHERE l.nombre = 'OrganoInspectorCilindro' AND upper(lo.nombre) = upper('"&amp;SUBSTITUTE(TRIM(S510),"'","''")&amp;"') AND lo.estado = 1 LIMIT 1)")&amp;", p_organo_inspector_no_aplica =&gt; "&amp;IF(S510="NO_APLICA","TRUE","FALSE")&amp;", p_presion_actual =&gt; "&amp;IF(T510&amp;""="","NULL",SUBSTITUTE(T510&amp;"",",","."))&amp;", p_tipo_valvula =&gt; "&amp;IF(TRIM(U510&amp;"")="","NULL","'"&amp;SUBSTITUTE(TRIM(U510),"'","''")&amp;"'")&amp;", p_libro_cilindro =&gt; "&amp;IF(TRIM(V510&amp;"")="","NULL","'"&amp;SUBSTITUTE(TRIM(V510),"'","''")&amp;"'")&amp;", p_pagina_libro =&gt; "&amp;IF(W510&amp;""="","NULL",SUBSTITUTE(W510&amp;"",",","."))&amp;", p_observacion =&gt; "&amp;IF(TRIM(X510&amp;"")="","NULL","'"&amp;SUBSTITUTE(TRIM(X510),"'","''")&amp;"'")&amp;") AS resultado_balon_"&amp;ROW()&amp;";")</f>
        <v/>
      </c>
    </row>
    <row r="511" ht="15.75" customHeight="1" s="64">
      <c r="A511" s="36" t="inlineStr">
        <is>
          <t>507</t>
        </is>
      </c>
      <c r="B511" s="25">
        <f>IF(AND(C511="",D511="",E511=""),"",IF(C511="","FALTA código balón",IF(D511="","FALTA tipo balón",IF(E511="","FALTA gas",IF(F511="","FALTA propietario",IF(AND(C511&lt;&gt;"",SUMPRODUCT(--($C$5:$C$1200=C511))&gt;1),"CÓDIGO BALÓN DUPLICADO",IF(AND(OR(UPPER(F511)="PLANTA",UPPER(F511)="CLIENTE"),G511=""),"FALTA doc propietario/planta",IF(AND(UPPER(F511)="PLANTA",G511="10175332796"),"PLANTA no puede ser RUC empresa","OK"))))))))</f>
        <v/>
      </c>
      <c r="C511" s="23" t="inlineStr">
        <is>
          <t>K5392021</t>
        </is>
      </c>
      <c r="D511" s="17" t="inlineStr">
        <is>
          <t>Oxígeno Medicinal 10 m³</t>
        </is>
      </c>
      <c r="E511" s="17" t="inlineStr">
        <is>
          <t>OXIGENO MEDICINAL</t>
        </is>
      </c>
      <c r="F511" s="17" t="inlineStr">
        <is>
          <t>EMPRESA</t>
        </is>
      </c>
      <c r="G511" s="23" t="inlineStr">
        <is>
          <t>10175332796</t>
        </is>
      </c>
      <c r="H511" s="25">
        <f t="array" ref="H511">IF(G511="","",IFERROR(IF(INDEX(Clientes!$D$5:$D$549,MATCH(G511,Clientes!$C$5:$C$549,0))&lt;&gt;"",INDEX(Clientes!$D$5:$D$549,MATCH(G511,Clientes!$C$5:$C$549,0)),TRIM(INDEX(Clientes!$E$5:$E$549,MATCH(G511,Clientes!$C$5:$C$549,0))&amp;" "&amp;INDEX(Clientes!$F$5:$F$549,MATCH(G511,Clientes!$C$5:$C$549,0)))),"NO EXISTE en Clientes"))</f>
        <v/>
      </c>
      <c r="I511" s="17" t="inlineStr">
        <is>
          <t>DISPONIBLE</t>
        </is>
      </c>
      <c r="J511" s="17" t="inlineStr">
        <is>
          <t>ALMACEN PRINCIPAL</t>
        </is>
      </c>
      <c r="K511" s="23" t="n"/>
      <c r="L511" s="25">
        <f t="array" ref="L511">IF(K511="","",IFERROR(IF(INDEX(Clientes!$D$5:$D$549,MATCH(K511,Clientes!$C$5:$C$549,0))&lt;&gt;"",INDEX(Clientes!$D$5:$D$549,MATCH(K511,Clientes!$C$5:$C$549,0)),TRIM(INDEX(Clientes!$E$5:$E$549,MATCH(K511,Clientes!$C$5:$C$549,0))&amp;" "&amp;INDEX(Clientes!$F$5:$F$549,MATCH(K511,Clientes!$C$5:$C$549,0)))),"NO EXISTE en Clientes"))</f>
        <v/>
      </c>
      <c r="M511" s="17" t="n"/>
      <c r="N511" s="17" t="n"/>
      <c r="O511" s="42" t="n"/>
      <c r="P511" s="39">
        <f>IF(O511&lt;&gt;"",DATE(YEAR(O511)+5,MONTH(O511),1),IF(AND(M511&lt;&gt;"",N511&lt;&gt;""),DATE(M511+5,N511,1),""))</f>
        <v/>
      </c>
      <c r="Q511" s="23" t="n"/>
      <c r="R511" s="17" t="n"/>
      <c r="S511" s="17" t="n"/>
      <c r="T511" s="17" t="n"/>
      <c r="U511" s="17" t="n"/>
      <c r="V511" s="23" t="n"/>
      <c r="W511" s="17" t="n"/>
      <c r="X511" s="17" t="n"/>
      <c r="Y511" s="28">
        <f>IF(B511&lt;&gt;"OK","","SELECT bal_crear_balon(p_codigo_balon =&gt; "&amp;IF(TRIM(C511&amp;"")="","NULL","'"&amp;SUBSTITUTE(TRIM(C511),"'","''")&amp;"'")&amp;", p_id_tipo_balon =&gt; "&amp;"(SELECT id FROM bal_tipo_balon WHERE upper(nombre) = upper('"&amp;SUBSTITUTE(TRIM(D511),"'","''")&amp;"') AND estado = 1 LIMIT 1)"&amp;", p_id_producto_gas =&gt; "&amp;"(SELECT id FROM pro_producto WHERE es_gas = TRUE AND upper(nombre) = upper('"&amp;SUBSTITUTE(TRIM(E511),"'","''")&amp;"') AND estado = 1 LIMIT 1)"&amp;", p_id_propietario =&gt; "&amp;IF(TRIM(F511&amp;"")="","NULL","(SELECT lo.id FROM gen_lista_opciones lo JOIN gen_lista l ON l.id = lo.id_lista WHERE l.nombre = 'PropietarioBalon' AND upper(lo.nombre) = upper('"&amp;SUBSTITUTE(TRIM(F511),"'","''")&amp;"') AND lo.estado = 1 LIMIT 1)")&amp;", p_id_cliente_propietario =&gt; "&amp;IF(F511="CLIENTE",IF(TRIM(G511&amp;"")="","NULL","(SELECT id FROM cli_clientes WHERE numero_documento = '"&amp;SUBSTITUTE(TRIM(G511),"'","''")&amp;"' AND estado = 1 LIMIT 1)"),"NULL")&amp;", p_id_planta =&gt; "&amp;IF(F511="PLANTA",IF(TRIM(G511&amp;"")="","NULL","(SELECT id FROM cli_clientes WHERE numero_documento = '"&amp;SUBSTITUTE(TRIM(G511),"'","''")&amp;"'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"&amp;IF(TRIM(J511&amp;"")="","NULL","(SELECT id FROM gen_almacen WHERE upper(nombre) = upper('"&amp;SUBSTITUTE(TRIM(J511),"'","''")&amp;"') AND estado = 1 LIMIT 1)")&amp;", p_id_cliente_ubicacion =&gt; "&amp;IF(TRIM(K511&amp;"")="","NULL","(SELECT id FROM cli_clientes WHERE numero_documento = '"&amp;SUBSTITUTE(TRIM(K511),"'","''")&amp;"' AND estado = 1 LIMIT 1)")&amp;", p_id_referencia =&gt; "&amp;IF(TRIM(J511&amp;"")&lt;&gt;"","(SELECT lo.id FROM gen_lista_opciones lo JOIN gen_lista l ON l.id = lo.id_lista WHERE l.nombre = 'ReferenciaCilindro' AND upper(lo.nombre) = 'ALMACEN' AND lo.estado = 1 LIMIT 1)",IF(TRIM(K511&amp;"")&lt;&gt;"","(SELECT lo.id FROM gen_lista_opciones lo JOIN gen_lista l ON l.id = lo.id_lista WHERE l.nombre = 'ReferenciaCilindro' AND upper(lo.nombre) = 'CLIENTE' AND lo.estado = 1 LIMIT 1)","NULL"))&amp;", p_anio_fabricacion =&gt; "&amp;IF(M511&amp;""="","NULL::smallint",M511&amp;"::smallint")&amp;", p_mes_fabricacion =&gt; "&amp;IF(N511&amp;""="","NULL::smallint",N511&amp;"::smallint")&amp;", p_fecha_ultima_prueba_hidrostatica =&gt; "&amp;IF(O511&amp;""="","NULL","'"&amp;YEAR(O511)&amp;"-"&amp;TEXT(MONTH(O511),"00")&amp;"-"&amp;TEXT(DAY(O511),"00")&amp;"'")&amp;", p_numero_serie =&gt; "&amp;IF(TRIM(Q511&amp;"")="","NULL","'"&amp;SUBSTITUTE(TRIM(Q511),"'","''")&amp;"'")&amp;", p_id_marca_cilindro =&gt; "&amp;IF(TRIM(R511&amp;"")="","NULL","(SELECT lo.id FROM gen_lista_opciones lo JOIN gen_lista l ON l.id = lo.id_lista WHERE l.nombre = 'MarcaCilindro' AND upper(lo.nombre) = upper('"&amp;SUBSTITUTE(TRIM(R511),"'","''")&amp;"') AND lo.estado = 1 LIMIT 1)")&amp;", p_id_organo_inspector =&gt; "&amp;IF(TRIM(S511&amp;"")="","NULL","(SELECT lo.id FROM gen_lista_opciones lo JOIN gen_lista l ON l.id = lo.id_lista WHERE l.nombre = 'OrganoInspectorCilindro' AND upper(lo.nombre) = upper('"&amp;SUBSTITUTE(TRIM(S511),"'","''")&amp;"') AND lo.estado = 1 LIMIT 1)")&amp;", p_organo_inspector_no_aplica =&gt; "&amp;IF(S511="NO_APLICA","TRUE","FALSE")&amp;", p_presion_actual =&gt; "&amp;IF(T511&amp;""="","NULL",SUBSTITUTE(T511&amp;"",",","."))&amp;", p_tipo_valvula =&gt; "&amp;IF(TRIM(U511&amp;"")="","NULL","'"&amp;SUBSTITUTE(TRIM(U511),"'","''")&amp;"'")&amp;", p_libro_cilindro =&gt; "&amp;IF(TRIM(V511&amp;"")="","NULL","'"&amp;SUBSTITUTE(TRIM(V511),"'","''")&amp;"'")&amp;", p_pagina_libro =&gt; "&amp;IF(W511&amp;""="","NULL",SUBSTITUTE(W511&amp;"",",","."))&amp;", p_observacion =&gt; "&amp;IF(TRIM(X511&amp;"")="","NULL","'"&amp;SUBSTITUTE(TRIM(X511),"'","''")&amp;"'")&amp;") AS resultado_balon_"&amp;ROW()&amp;";")</f>
        <v/>
      </c>
    </row>
    <row r="512" ht="15.75" customHeight="1" s="64">
      <c r="A512" s="36" t="inlineStr">
        <is>
          <t>508</t>
        </is>
      </c>
      <c r="B512" s="25">
        <f>IF(AND(C512="",D512="",E512=""),"",IF(C512="","FALTA código balón",IF(D512="","FALTA tipo balón",IF(E512="","FALTA gas",IF(F512="","FALTA propietario",IF(AND(C512&lt;&gt;"",SUMPRODUCT(--($C$5:$C$1200=C512))&gt;1),"CÓDIGO BALÓN DUPLICADO",IF(AND(OR(UPPER(F512)="PLANTA",UPPER(F512)="CLIENTE"),G512=""),"FALTA doc propietario/planta",IF(AND(UPPER(F512)="PLANTA",G512="10175332796"),"PLANTA no puede ser RUC empresa","OK"))))))))</f>
        <v/>
      </c>
      <c r="C512" s="23" t="inlineStr">
        <is>
          <t>U388694</t>
        </is>
      </c>
      <c r="D512" s="17" t="inlineStr">
        <is>
          <t>Oxigeno Industrial 2 m³</t>
        </is>
      </c>
      <c r="E512" s="17" t="inlineStr">
        <is>
          <t>OXIGENO INDUSTRIAL</t>
        </is>
      </c>
      <c r="F512" s="17" t="inlineStr">
        <is>
          <t>EMPRESA</t>
        </is>
      </c>
      <c r="G512" s="23" t="inlineStr">
        <is>
          <t>10175332796</t>
        </is>
      </c>
      <c r="H512" s="25">
        <f t="array" ref="H512">IF(G512="","",IFERROR(IF(INDEX(Clientes!$D$5:$D$549,MATCH(G512,Clientes!$C$5:$C$549,0))&lt;&gt;"",INDEX(Clientes!$D$5:$D$549,MATCH(G512,Clientes!$C$5:$C$549,0)),TRIM(INDEX(Clientes!$E$5:$E$549,MATCH(G512,Clientes!$C$5:$C$549,0))&amp;" "&amp;INDEX(Clientes!$F$5:$F$549,MATCH(G512,Clientes!$C$5:$C$549,0)))),"NO EXISTE en Clientes"))</f>
        <v/>
      </c>
      <c r="I512" s="17" t="inlineStr">
        <is>
          <t>DISPONIBLE</t>
        </is>
      </c>
      <c r="J512" s="17" t="inlineStr">
        <is>
          <t>ALMACEN PRINCIPAL</t>
        </is>
      </c>
      <c r="K512" s="23" t="n"/>
      <c r="L512" s="25">
        <f t="array" ref="L512">IF(K512="","",IFERROR(IF(INDEX(Clientes!$D$5:$D$549,MATCH(K512,Clientes!$C$5:$C$549,0))&lt;&gt;"",INDEX(Clientes!$D$5:$D$549,MATCH(K512,Clientes!$C$5:$C$549,0)),TRIM(INDEX(Clientes!$E$5:$E$549,MATCH(K512,Clientes!$C$5:$C$549,0))&amp;" "&amp;INDEX(Clientes!$F$5:$F$549,MATCH(K512,Clientes!$C$5:$C$549,0)))),"NO EXISTE en Clientes"))</f>
        <v/>
      </c>
      <c r="M512" s="17" t="n"/>
      <c r="N512" s="17" t="n"/>
      <c r="O512" s="42" t="n"/>
      <c r="P512" s="39">
        <f>IF(O512&lt;&gt;"",DATE(YEAR(O512)+5,MONTH(O512),1),IF(AND(M512&lt;&gt;"",N512&lt;&gt;""),DATE(M512+5,N512,1),""))</f>
        <v/>
      </c>
      <c r="Q512" s="23" t="n"/>
      <c r="R512" s="17" t="n"/>
      <c r="S512" s="17" t="n"/>
      <c r="T512" s="17" t="n"/>
      <c r="U512" s="17" t="n"/>
      <c r="V512" s="23" t="n"/>
      <c r="W512" s="17" t="n"/>
      <c r="X512" s="17" t="n"/>
      <c r="Y512" s="28">
        <f>IF(B512&lt;&gt;"OK","","SELECT bal_crear_balon(p_codigo_balon =&gt; "&amp;IF(TRIM(C512&amp;"")="","NULL","'"&amp;SUBSTITUTE(TRIM(C512),"'","''")&amp;"'")&amp;", p_id_tipo_balon =&gt; "&amp;"(SELECT id FROM bal_tipo_balon WHERE upper(nombre) = upper('"&amp;SUBSTITUTE(TRIM(D512),"'","''")&amp;"') AND estado = 1 LIMIT 1)"&amp;", p_id_producto_gas =&gt; "&amp;"(SELECT id FROM pro_producto WHERE es_gas = TRUE AND upper(nombre) = upper('"&amp;SUBSTITUTE(TRIM(E512),"'","''")&amp;"') AND estado = 1 LIMIT 1)"&amp;", p_id_propietario =&gt; "&amp;IF(TRIM(F512&amp;"")="","NULL","(SELECT lo.id FROM gen_lista_opciones lo JOIN gen_lista l ON l.id = lo.id_lista WHERE l.nombre = 'PropietarioBalon' AND upper(lo.nombre) = upper('"&amp;SUBSTITUTE(TRIM(F512),"'","''")&amp;"') AND lo.estado = 1 LIMIT 1)")&amp;", p_id_cliente_propietario =&gt; "&amp;IF(F512="CLIENTE",IF(TRIM(G512&amp;"")="","NULL","(SELECT id FROM cli_clientes WHERE numero_documento = '"&amp;SUBSTITUTE(TRIM(G512),"'","''")&amp;"' AND estado = 1 LIMIT 1)"),"NULL")&amp;", p_id_planta =&gt; "&amp;IF(F512="PLANTA",IF(TRIM(G512&amp;"")="","NULL","(SELECT id FROM cli_clientes WHERE numero_documento = '"&amp;SUBSTITUTE(TRIM(G512),"'","''")&amp;"'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"&amp;IF(TRIM(J512&amp;"")="","NULL","(SELECT id FROM gen_almacen WHERE upper(nombre) = upper('"&amp;SUBSTITUTE(TRIM(J512),"'","''")&amp;"') AND estado = 1 LIMIT 1)")&amp;", p_id_cliente_ubicacion =&gt; "&amp;IF(TRIM(K512&amp;"")="","NULL","(SELECT id FROM cli_clientes WHERE numero_documento = '"&amp;SUBSTITUTE(TRIM(K512),"'","''")&amp;"' AND estado = 1 LIMIT 1)")&amp;", p_id_referencia =&gt; "&amp;IF(TRIM(J512&amp;"")&lt;&gt;"","(SELECT lo.id FROM gen_lista_opciones lo JOIN gen_lista l ON l.id = lo.id_lista WHERE l.nombre = 'ReferenciaCilindro' AND upper(lo.nombre) = 'ALMACEN' AND lo.estado = 1 LIMIT 1)",IF(TRIM(K512&amp;"")&lt;&gt;"","(SELECT lo.id FROM gen_lista_opciones lo JOIN gen_lista l ON l.id = lo.id_lista WHERE l.nombre = 'ReferenciaCilindro' AND upper(lo.nombre) = 'CLIENTE' AND lo.estado = 1 LIMIT 1)","NULL"))&amp;", p_anio_fabricacion =&gt; "&amp;IF(M512&amp;""="","NULL::smallint",M512&amp;"::smallint")&amp;", p_mes_fabricacion =&gt; "&amp;IF(N512&amp;""="","NULL::smallint",N512&amp;"::smallint")&amp;", p_fecha_ultima_prueba_hidrostatica =&gt; "&amp;IF(O512&amp;""="","NULL","'"&amp;YEAR(O512)&amp;"-"&amp;TEXT(MONTH(O512),"00")&amp;"-"&amp;TEXT(DAY(O512),"00")&amp;"'")&amp;", p_numero_serie =&gt; "&amp;IF(TRIM(Q512&amp;"")="","NULL","'"&amp;SUBSTITUTE(TRIM(Q512),"'","''")&amp;"'")&amp;", p_id_marca_cilindro =&gt; "&amp;IF(TRIM(R512&amp;"")="","NULL","(SELECT lo.id FROM gen_lista_opciones lo JOIN gen_lista l ON l.id = lo.id_lista WHERE l.nombre = 'MarcaCilindro' AND upper(lo.nombre) = upper('"&amp;SUBSTITUTE(TRIM(R512),"'","''")&amp;"') AND lo.estado = 1 LIMIT 1)")&amp;", p_id_organo_inspector =&gt; "&amp;IF(TRIM(S512&amp;"")="","NULL","(SELECT lo.id FROM gen_lista_opciones lo JOIN gen_lista l ON l.id = lo.id_lista WHERE l.nombre = 'OrganoInspectorCilindro' AND upper(lo.nombre) = upper('"&amp;SUBSTITUTE(TRIM(S512),"'","''")&amp;"') AND lo.estado = 1 LIMIT 1)")&amp;", p_organo_inspector_no_aplica =&gt; "&amp;IF(S512="NO_APLICA","TRUE","FALSE")&amp;", p_presion_actual =&gt; "&amp;IF(T512&amp;""="","NULL",SUBSTITUTE(T512&amp;"",",","."))&amp;", p_tipo_valvula =&gt; "&amp;IF(TRIM(U512&amp;"")="","NULL","'"&amp;SUBSTITUTE(TRIM(U512),"'","''")&amp;"'")&amp;", p_libro_cilindro =&gt; "&amp;IF(TRIM(V512&amp;"")="","NULL","'"&amp;SUBSTITUTE(TRIM(V512),"'","''")&amp;"'")&amp;", p_pagina_libro =&gt; "&amp;IF(W512&amp;""="","NULL",SUBSTITUTE(W512&amp;"",",","."))&amp;", p_observacion =&gt; "&amp;IF(TRIM(X512&amp;"")="","NULL","'"&amp;SUBSTITUTE(TRIM(X512),"'","''")&amp;"'")&amp;") AS resultado_balon_"&amp;ROW()&amp;";")</f>
        <v/>
      </c>
    </row>
    <row r="513" ht="15.75" customHeight="1" s="64">
      <c r="A513" s="36" t="inlineStr">
        <is>
          <t>509</t>
        </is>
      </c>
      <c r="B513" s="25">
        <f>IF(AND(C513="",D513="",E513=""),"",IF(C513="","FALTA código balón",IF(D513="","FALTA tipo balón",IF(E513="","FALTA gas",IF(F513="","FALTA propietario",IF(AND(C513&lt;&gt;"",SUMPRODUCT(--($C$5:$C$1200=C513))&gt;1),"CÓDIGO BALÓN DUPLICADO",IF(AND(OR(UPPER(F513)="PLANTA",UPPER(F513)="CLIENTE"),G513=""),"FALTA doc propietario/planta",IF(AND(UPPER(F513)="PLANTA",G513="10175332796"),"PLANTA no puede ser RUC empresa","OK"))))))))</f>
        <v/>
      </c>
      <c r="C513" s="23" t="inlineStr">
        <is>
          <t>GTA048137</t>
        </is>
      </c>
      <c r="D513" s="17" t="inlineStr">
        <is>
          <t>DIOXIDO DE CARBONO 9 KG</t>
        </is>
      </c>
      <c r="E513" s="17" t="inlineStr">
        <is>
          <t>DIÓXIDO DE CARBONO</t>
        </is>
      </c>
      <c r="F513" s="17" t="inlineStr">
        <is>
          <t>EMPRESA</t>
        </is>
      </c>
      <c r="G513" s="23" t="inlineStr">
        <is>
          <t>10175332796</t>
        </is>
      </c>
      <c r="H513" s="25">
        <f t="array" ref="H513">IF(G513="","",IFERROR(IF(INDEX(Clientes!$D$5:$D$549,MATCH(G513,Clientes!$C$5:$C$549,0))&lt;&gt;"",INDEX(Clientes!$D$5:$D$549,MATCH(G513,Clientes!$C$5:$C$549,0)),TRIM(INDEX(Clientes!$E$5:$E$549,MATCH(G513,Clientes!$C$5:$C$549,0))&amp;" "&amp;INDEX(Clientes!$F$5:$F$549,MATCH(G513,Clientes!$C$5:$C$549,0)))),"NO EXISTE en Clientes"))</f>
        <v/>
      </c>
      <c r="I513" s="17" t="inlineStr">
        <is>
          <t>DISPONIBLE</t>
        </is>
      </c>
      <c r="J513" s="17" t="inlineStr">
        <is>
          <t>ALMACEN PRINCIPAL</t>
        </is>
      </c>
      <c r="K513" s="23" t="n"/>
      <c r="L513" s="25">
        <f t="array" ref="L513">IF(K513="","",IFERROR(IF(INDEX(Clientes!$D$5:$D$549,MATCH(K513,Clientes!$C$5:$C$549,0))&lt;&gt;"",INDEX(Clientes!$D$5:$D$549,MATCH(K513,Clientes!$C$5:$C$549,0)),TRIM(INDEX(Clientes!$E$5:$E$549,MATCH(K513,Clientes!$C$5:$C$549,0))&amp;" "&amp;INDEX(Clientes!$F$5:$F$549,MATCH(K513,Clientes!$C$5:$C$549,0)))),"NO EXISTE en Clientes"))</f>
        <v/>
      </c>
      <c r="M513" s="17" t="n"/>
      <c r="N513" s="17" t="n"/>
      <c r="O513" s="42" t="n"/>
      <c r="P513" s="39">
        <f>IF(O513&lt;&gt;"",DATE(YEAR(O513)+5,MONTH(O513),1),IF(AND(M513&lt;&gt;"",N513&lt;&gt;""),DATE(M513+5,N513,1),""))</f>
        <v/>
      </c>
      <c r="Q513" s="23" t="n"/>
      <c r="R513" s="17" t="n"/>
      <c r="S513" s="17" t="n"/>
      <c r="T513" s="17" t="n"/>
      <c r="U513" s="17" t="n"/>
      <c r="V513" s="23" t="n"/>
      <c r="W513" s="17" t="n"/>
      <c r="X513" s="17" t="n"/>
      <c r="Y513" s="28">
        <f>IF(B513&lt;&gt;"OK","","SELECT bal_crear_balon(p_codigo_balon =&gt; "&amp;IF(TRIM(C513&amp;"")="","NULL","'"&amp;SUBSTITUTE(TRIM(C513),"'","''")&amp;"'")&amp;", p_id_tipo_balon =&gt; "&amp;"(SELECT id FROM bal_tipo_balon WHERE upper(nombre) = upper('"&amp;SUBSTITUTE(TRIM(D513),"'","''")&amp;"') AND estado = 1 LIMIT 1)"&amp;", p_id_producto_gas =&gt; "&amp;"(SELECT id FROM pro_producto WHERE es_gas = TRUE AND upper(nombre) = upper('"&amp;SUBSTITUTE(TRIM(E513),"'","''")&amp;"') AND estado = 1 LIMIT 1)"&amp;", p_id_propietario =&gt; "&amp;IF(TRIM(F513&amp;"")="","NULL","(SELECT lo.id FROM gen_lista_opciones lo JOIN gen_lista l ON l.id = lo.id_lista WHERE l.nombre = 'PropietarioBalon' AND upper(lo.nombre) = upper('"&amp;SUBSTITUTE(TRIM(F513),"'","''")&amp;"') AND lo.estado = 1 LIMIT 1)")&amp;", p_id_cliente_propietario =&gt; "&amp;IF(F513="CLIENTE",IF(TRIM(G513&amp;"")="","NULL","(SELECT id FROM cli_clientes WHERE numero_documento = '"&amp;SUBSTITUTE(TRIM(G513),"'","''")&amp;"' AND estado = 1 LIMIT 1)"),"NULL")&amp;", p_id_planta =&gt; "&amp;IF(F513="PLANTA",IF(TRIM(G513&amp;"")="","NULL","(SELECT id FROM cli_clientes WHERE numero_documento = '"&amp;SUBSTITUTE(TRIM(G513),"'","''")&amp;"'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"&amp;IF(TRIM(J513&amp;"")="","NULL","(SELECT id FROM gen_almacen WHERE upper(nombre) = upper('"&amp;SUBSTITUTE(TRIM(J513),"'","''")&amp;"') AND estado = 1 LIMIT 1)")&amp;", p_id_cliente_ubicacion =&gt; "&amp;IF(TRIM(K513&amp;"")="","NULL","(SELECT id FROM cli_clientes WHERE numero_documento = '"&amp;SUBSTITUTE(TRIM(K513),"'","''")&amp;"' AND estado = 1 LIMIT 1)")&amp;", p_id_referencia =&gt; "&amp;IF(TRIM(J513&amp;"")&lt;&gt;"","(SELECT lo.id FROM gen_lista_opciones lo JOIN gen_lista l ON l.id = lo.id_lista WHERE l.nombre = 'ReferenciaCilindro' AND upper(lo.nombre) = 'ALMACEN' AND lo.estado = 1 LIMIT 1)",IF(TRIM(K513&amp;"")&lt;&gt;"","(SELECT lo.id FROM gen_lista_opciones lo JOIN gen_lista l ON l.id = lo.id_lista WHERE l.nombre = 'ReferenciaCilindro' AND upper(lo.nombre) = 'CLIENTE' AND lo.estado = 1 LIMIT 1)","NULL"))&amp;", p_anio_fabricacion =&gt; "&amp;IF(M513&amp;""="","NULL::smallint",M513&amp;"::smallint")&amp;", p_mes_fabricacion =&gt; "&amp;IF(N513&amp;""="","NULL::smallint",N513&amp;"::smallint")&amp;", p_fecha_ultima_prueba_hidrostatica =&gt; "&amp;IF(O513&amp;""="","NULL","'"&amp;YEAR(O513)&amp;"-"&amp;TEXT(MONTH(O513),"00")&amp;"-"&amp;TEXT(DAY(O513),"00")&amp;"'")&amp;", p_numero_serie =&gt; "&amp;IF(TRIM(Q513&amp;"")="","NULL","'"&amp;SUBSTITUTE(TRIM(Q513),"'","''")&amp;"'")&amp;", p_id_marca_cilindro =&gt; "&amp;IF(TRIM(R513&amp;"")="","NULL","(SELECT lo.id FROM gen_lista_opciones lo JOIN gen_lista l ON l.id = lo.id_lista WHERE l.nombre = 'MarcaCilindro' AND upper(lo.nombre) = upper('"&amp;SUBSTITUTE(TRIM(R513),"'","''")&amp;"') AND lo.estado = 1 LIMIT 1)")&amp;", p_id_organo_inspector =&gt; "&amp;IF(TRIM(S513&amp;"")="","NULL","(SELECT lo.id FROM gen_lista_opciones lo JOIN gen_lista l ON l.id = lo.id_lista WHERE l.nombre = 'OrganoInspectorCilindro' AND upper(lo.nombre) = upper('"&amp;SUBSTITUTE(TRIM(S513),"'","''")&amp;"') AND lo.estado = 1 LIMIT 1)")&amp;", p_organo_inspector_no_aplica =&gt; "&amp;IF(S513="NO_APLICA","TRUE","FALSE")&amp;", p_presion_actual =&gt; "&amp;IF(T513&amp;""="","NULL",SUBSTITUTE(T513&amp;"",",","."))&amp;", p_tipo_valvula =&gt; "&amp;IF(TRIM(U513&amp;"")="","NULL","'"&amp;SUBSTITUTE(TRIM(U513),"'","''")&amp;"'")&amp;", p_libro_cilindro =&gt; "&amp;IF(TRIM(V513&amp;"")="","NULL","'"&amp;SUBSTITUTE(TRIM(V513),"'","''")&amp;"'")&amp;", p_pagina_libro =&gt; "&amp;IF(W513&amp;""="","NULL",SUBSTITUTE(W513&amp;"",",","."))&amp;", p_observacion =&gt; "&amp;IF(TRIM(X513&amp;"")="","NULL","'"&amp;SUBSTITUTE(TRIM(X513),"'","''")&amp;"'")&amp;") AS resultado_balon_"&amp;ROW()&amp;";")</f>
        <v/>
      </c>
    </row>
    <row r="514" ht="15.75" customHeight="1" s="64">
      <c r="A514" s="36" t="inlineStr">
        <is>
          <t>510</t>
        </is>
      </c>
      <c r="B514" s="25">
        <f>IF(AND(C514="",D514="",E514=""),"",IF(C514="","FALTA código balón",IF(D514="","FALTA tipo balón",IF(E514="","FALTA gas",IF(F514="","FALTA propietario",IF(AND(C514&lt;&gt;"",SUMPRODUCT(--($C$5:$C$1200=C514))&gt;1),"CÓDIGO BALÓN DUPLICADO",IF(AND(OR(UPPER(F514)="PLANTA",UPPER(F514)="CLIENTE"),G514=""),"FALTA doc propietario/planta",IF(AND(UPPER(F514)="PLANTA",G514="10175332796"),"PLANTA no puede ser RUC empresa","OK"))))))))</f>
        <v/>
      </c>
      <c r="C514" s="23" t="inlineStr">
        <is>
          <t>SG19934</t>
        </is>
      </c>
      <c r="D514" s="17" t="inlineStr">
        <is>
          <t>Oxigeno Industrial de 1.5 m3</t>
        </is>
      </c>
      <c r="E514" s="17" t="inlineStr">
        <is>
          <t>OXIGENO INDUSTRIAL</t>
        </is>
      </c>
      <c r="F514" s="17" t="inlineStr">
        <is>
          <t>EMPRESA</t>
        </is>
      </c>
      <c r="G514" s="23" t="inlineStr">
        <is>
          <t>10175332796</t>
        </is>
      </c>
      <c r="H514" s="25">
        <f t="array" ref="H514">IF(G514="","",IFERROR(IF(INDEX(Clientes!$D$5:$D$549,MATCH(G514,Clientes!$C$5:$C$549,0))&lt;&gt;"",INDEX(Clientes!$D$5:$D$549,MATCH(G514,Clientes!$C$5:$C$549,0)),TRIM(INDEX(Clientes!$E$5:$E$549,MATCH(G514,Clientes!$C$5:$C$549,0))&amp;" "&amp;INDEX(Clientes!$F$5:$F$549,MATCH(G514,Clientes!$C$5:$C$549,0)))),"NO EXISTE en Clientes"))</f>
        <v/>
      </c>
      <c r="I514" s="17" t="inlineStr">
        <is>
          <t>DISPONIBLE</t>
        </is>
      </c>
      <c r="J514" s="17" t="inlineStr">
        <is>
          <t>ALMACEN PRINCIPAL</t>
        </is>
      </c>
      <c r="K514" s="23" t="n"/>
      <c r="L514" s="25">
        <f t="array" ref="L514">IF(K514="","",IFERROR(IF(INDEX(Clientes!$D$5:$D$549,MATCH(K514,Clientes!$C$5:$C$549,0))&lt;&gt;"",INDEX(Clientes!$D$5:$D$549,MATCH(K514,Clientes!$C$5:$C$549,0)),TRIM(INDEX(Clientes!$E$5:$E$549,MATCH(K514,Clientes!$C$5:$C$549,0))&amp;" "&amp;INDEX(Clientes!$F$5:$F$549,MATCH(K514,Clientes!$C$5:$C$549,0)))),"NO EXISTE en Clientes"))</f>
        <v/>
      </c>
      <c r="M514" s="17" t="n"/>
      <c r="N514" s="17" t="n"/>
      <c r="O514" s="42" t="n"/>
      <c r="P514" s="39">
        <f>IF(O514&lt;&gt;"",DATE(YEAR(O514)+5,MONTH(O514),1),IF(AND(M514&lt;&gt;"",N514&lt;&gt;""),DATE(M514+5,N514,1),""))</f>
        <v/>
      </c>
      <c r="Q514" s="23" t="n"/>
      <c r="R514" s="17" t="n"/>
      <c r="S514" s="17" t="n"/>
      <c r="T514" s="17" t="n"/>
      <c r="U514" s="17" t="n"/>
      <c r="V514" s="23" t="n"/>
      <c r="W514" s="17" t="n"/>
      <c r="X514" s="17" t="n"/>
      <c r="Y514" s="28">
        <f>IF(B514&lt;&gt;"OK","","SELECT bal_crear_balon(p_codigo_balon =&gt; "&amp;IF(TRIM(C514&amp;"")="","NULL","'"&amp;SUBSTITUTE(TRIM(C514),"'","''")&amp;"'")&amp;", p_id_tipo_balon =&gt; "&amp;"(SELECT id FROM bal_tipo_balon WHERE upper(nombre) = upper('"&amp;SUBSTITUTE(TRIM(D514),"'","''")&amp;"') AND estado = 1 LIMIT 1)"&amp;", p_id_producto_gas =&gt; "&amp;"(SELECT id FROM pro_producto WHERE es_gas = TRUE AND upper(nombre) = upper('"&amp;SUBSTITUTE(TRIM(E514),"'","''")&amp;"') AND estado = 1 LIMIT 1)"&amp;", p_id_propietario =&gt; "&amp;IF(TRIM(F514&amp;"")="","NULL","(SELECT lo.id FROM gen_lista_opciones lo JOIN gen_lista l ON l.id = lo.id_lista WHERE l.nombre = 'PropietarioBalon' AND upper(lo.nombre) = upper('"&amp;SUBSTITUTE(TRIM(F514),"'","''")&amp;"') AND lo.estado = 1 LIMIT 1)")&amp;", p_id_cliente_propietario =&gt; "&amp;IF(F514="CLIENTE",IF(TRIM(G514&amp;"")="","NULL","(SELECT id FROM cli_clientes WHERE numero_documento = '"&amp;SUBSTITUTE(TRIM(G514),"'","''")&amp;"' AND estado = 1 LIMIT 1)"),"NULL")&amp;", p_id_planta =&gt; "&amp;IF(F514="PLANTA",IF(TRIM(G514&amp;"")="","NULL","(SELECT id FROM cli_clientes WHERE numero_documento = '"&amp;SUBSTITUTE(TRIM(G514),"'","''")&amp;"'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"&amp;IF(TRIM(J514&amp;"")="","NULL","(SELECT id FROM gen_almacen WHERE upper(nombre) = upper('"&amp;SUBSTITUTE(TRIM(J514),"'","''")&amp;"') AND estado = 1 LIMIT 1)")&amp;", p_id_cliente_ubicacion =&gt; "&amp;IF(TRIM(K514&amp;"")="","NULL","(SELECT id FROM cli_clientes WHERE numero_documento = '"&amp;SUBSTITUTE(TRIM(K514),"'","''")&amp;"' AND estado = 1 LIMIT 1)")&amp;", p_id_referencia =&gt; "&amp;IF(TRIM(J514&amp;"")&lt;&gt;"","(SELECT lo.id FROM gen_lista_opciones lo JOIN gen_lista l ON l.id = lo.id_lista WHERE l.nombre = 'ReferenciaCilindro' AND upper(lo.nombre) = 'ALMACEN' AND lo.estado = 1 LIMIT 1)",IF(TRIM(K514&amp;"")&lt;&gt;"","(SELECT lo.id FROM gen_lista_opciones lo JOIN gen_lista l ON l.id = lo.id_lista WHERE l.nombre = 'ReferenciaCilindro' AND upper(lo.nombre) = 'CLIENTE' AND lo.estado = 1 LIMIT 1)","NULL"))&amp;", p_anio_fabricacion =&gt; "&amp;IF(M514&amp;""="","NULL::smallint",M514&amp;"::smallint")&amp;", p_mes_fabricacion =&gt; "&amp;IF(N514&amp;""="","NULL::smallint",N514&amp;"::smallint")&amp;", p_fecha_ultima_prueba_hidrostatica =&gt; "&amp;IF(O514&amp;""="","NULL","'"&amp;YEAR(O514)&amp;"-"&amp;TEXT(MONTH(O514),"00")&amp;"-"&amp;TEXT(DAY(O514),"00")&amp;"'")&amp;", p_numero_serie =&gt; "&amp;IF(TRIM(Q514&amp;"")="","NULL","'"&amp;SUBSTITUTE(TRIM(Q514),"'","''")&amp;"'")&amp;", p_id_marca_cilindro =&gt; "&amp;IF(TRIM(R514&amp;"")="","NULL","(SELECT lo.id FROM gen_lista_opciones lo JOIN gen_lista l ON l.id = lo.id_lista WHERE l.nombre = 'MarcaCilindro' AND upper(lo.nombre) = upper('"&amp;SUBSTITUTE(TRIM(R514),"'","''")&amp;"') AND lo.estado = 1 LIMIT 1)")&amp;", p_id_organo_inspector =&gt; "&amp;IF(TRIM(S514&amp;"")="","NULL","(SELECT lo.id FROM gen_lista_opciones lo JOIN gen_lista l ON l.id = lo.id_lista WHERE l.nombre = 'OrganoInspectorCilindro' AND upper(lo.nombre) = upper('"&amp;SUBSTITUTE(TRIM(S514),"'","''")&amp;"') AND lo.estado = 1 LIMIT 1)")&amp;", p_organo_inspector_no_aplica =&gt; "&amp;IF(S514="NO_APLICA","TRUE","FALSE")&amp;", p_presion_actual =&gt; "&amp;IF(T514&amp;""="","NULL",SUBSTITUTE(T514&amp;"",",","."))&amp;", p_tipo_valvula =&gt; "&amp;IF(TRIM(U514&amp;"")="","NULL","'"&amp;SUBSTITUTE(TRIM(U514),"'","''")&amp;"'")&amp;", p_libro_cilindro =&gt; "&amp;IF(TRIM(V514&amp;"")="","NULL","'"&amp;SUBSTITUTE(TRIM(V514),"'","''")&amp;"'")&amp;", p_pagina_libro =&gt; "&amp;IF(W514&amp;""="","NULL",SUBSTITUTE(W514&amp;"",",","."))&amp;", p_observacion =&gt; "&amp;IF(TRIM(X514&amp;"")="","NULL","'"&amp;SUBSTITUTE(TRIM(X514),"'","''")&amp;"'")&amp;") AS resultado_balon_"&amp;ROW()&amp;";")</f>
        <v/>
      </c>
    </row>
    <row r="515" ht="15.75" customHeight="1" s="64">
      <c r="A515" s="36" t="inlineStr">
        <is>
          <t>511</t>
        </is>
      </c>
      <c r="B515" s="25">
        <f>IF(AND(C515="",D515="",E515=""),"",IF(C515="","FALTA código balón",IF(D515="","FALTA tipo balón",IF(E515="","FALTA gas",IF(F515="","FALTA propietario",IF(AND(C515&lt;&gt;"",SUMPRODUCT(--($C$5:$C$1200=C515))&gt;1),"CÓDIGO BALÓN DUPLICADO",IF(AND(OR(UPPER(F515)="PLANTA",UPPER(F515)="CLIENTE"),G515=""),"FALTA doc propietario/planta",IF(AND(UPPER(F515)="PLANTA",G515="10175332796"),"PLANTA no puede ser RUC empresa","OK"))))))))</f>
        <v/>
      </c>
      <c r="C515" s="23" t="inlineStr">
        <is>
          <t>E57888</t>
        </is>
      </c>
      <c r="D515" s="17" t="inlineStr">
        <is>
          <t>Oxigeno Industrial de 1.5 m3</t>
        </is>
      </c>
      <c r="E515" s="17" t="inlineStr">
        <is>
          <t>OXIGENO INDUSTRIAL</t>
        </is>
      </c>
      <c r="F515" s="17" t="inlineStr">
        <is>
          <t>EMPRESA</t>
        </is>
      </c>
      <c r="G515" s="23" t="inlineStr">
        <is>
          <t>10175332796</t>
        </is>
      </c>
      <c r="H515" s="25">
        <f t="array" ref="H515">IF(G515="","",IFERROR(IF(INDEX(Clientes!$D$5:$D$549,MATCH(G515,Clientes!$C$5:$C$549,0))&lt;&gt;"",INDEX(Clientes!$D$5:$D$549,MATCH(G515,Clientes!$C$5:$C$549,0)),TRIM(INDEX(Clientes!$E$5:$E$549,MATCH(G515,Clientes!$C$5:$C$549,0))&amp;" "&amp;INDEX(Clientes!$F$5:$F$549,MATCH(G515,Clientes!$C$5:$C$549,0)))),"NO EXISTE en Clientes"))</f>
        <v/>
      </c>
      <c r="I515" s="17" t="inlineStr">
        <is>
          <t>DISPONIBLE</t>
        </is>
      </c>
      <c r="J515" s="17" t="inlineStr">
        <is>
          <t>ALMACEN PRINCIPAL</t>
        </is>
      </c>
      <c r="K515" s="23" t="n"/>
      <c r="L515" s="25">
        <f t="array" ref="L515">IF(K515="","",IFERROR(IF(INDEX(Clientes!$D$5:$D$549,MATCH(K515,Clientes!$C$5:$C$549,0))&lt;&gt;"",INDEX(Clientes!$D$5:$D$549,MATCH(K515,Clientes!$C$5:$C$549,0)),TRIM(INDEX(Clientes!$E$5:$E$549,MATCH(K515,Clientes!$C$5:$C$549,0))&amp;" "&amp;INDEX(Clientes!$F$5:$F$549,MATCH(K515,Clientes!$C$5:$C$549,0)))),"NO EXISTE en Clientes"))</f>
        <v/>
      </c>
      <c r="M515" s="17" t="n"/>
      <c r="N515" s="17" t="n"/>
      <c r="O515" s="42" t="n"/>
      <c r="P515" s="39">
        <f>IF(O515&lt;&gt;"",DATE(YEAR(O515)+5,MONTH(O515),1),IF(AND(M515&lt;&gt;"",N515&lt;&gt;""),DATE(M515+5,N515,1),""))</f>
        <v/>
      </c>
      <c r="Q515" s="23" t="n"/>
      <c r="R515" s="17" t="n"/>
      <c r="S515" s="17" t="n"/>
      <c r="T515" s="17" t="n"/>
      <c r="U515" s="17" t="n"/>
      <c r="V515" s="23" t="n"/>
      <c r="W515" s="17" t="n"/>
      <c r="X515" s="17" t="n"/>
      <c r="Y515" s="28">
        <f>IF(B515&lt;&gt;"OK","","SELECT bal_crear_balon(p_codigo_balon =&gt; "&amp;IF(TRIM(C515&amp;"")="","NULL","'"&amp;SUBSTITUTE(TRIM(C515),"'","''")&amp;"'")&amp;", p_id_tipo_balon =&gt; "&amp;"(SELECT id FROM bal_tipo_balon WHERE upper(nombre) = upper('"&amp;SUBSTITUTE(TRIM(D515),"'","''")&amp;"') AND estado = 1 LIMIT 1)"&amp;", p_id_producto_gas =&gt; "&amp;"(SELECT id FROM pro_producto WHERE es_gas = TRUE AND upper(nombre) = upper('"&amp;SUBSTITUTE(TRIM(E515),"'","''")&amp;"') AND estado = 1 LIMIT 1)"&amp;", p_id_propietario =&gt; "&amp;IF(TRIM(F515&amp;"")="","NULL","(SELECT lo.id FROM gen_lista_opciones lo JOIN gen_lista l ON l.id = lo.id_lista WHERE l.nombre = 'PropietarioBalon' AND upper(lo.nombre) = upper('"&amp;SUBSTITUTE(TRIM(F515),"'","''")&amp;"') AND lo.estado = 1 LIMIT 1)")&amp;", p_id_cliente_propietario =&gt; "&amp;IF(F515="CLIENTE",IF(TRIM(G515&amp;"")="","NULL","(SELECT id FROM cli_clientes WHERE numero_documento = '"&amp;SUBSTITUTE(TRIM(G515),"'","''")&amp;"' AND estado = 1 LIMIT 1)"),"NULL")&amp;", p_id_planta =&gt; "&amp;IF(F515="PLANTA",IF(TRIM(G515&amp;"")="","NULL","(SELECT id FROM cli_clientes WHERE numero_documento = '"&amp;SUBSTITUTE(TRIM(G515),"'","''")&amp;"'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"&amp;IF(TRIM(J515&amp;"")="","NULL","(SELECT id FROM gen_almacen WHERE upper(nombre) = upper('"&amp;SUBSTITUTE(TRIM(J515),"'","''")&amp;"') AND estado = 1 LIMIT 1)")&amp;", p_id_cliente_ubicacion =&gt; "&amp;IF(TRIM(K515&amp;"")="","NULL","(SELECT id FROM cli_clientes WHERE numero_documento = '"&amp;SUBSTITUTE(TRIM(K515),"'","''")&amp;"' AND estado = 1 LIMIT 1)")&amp;", p_id_referencia =&gt; "&amp;IF(TRIM(J515&amp;"")&lt;&gt;"","(SELECT lo.id FROM gen_lista_opciones lo JOIN gen_lista l ON l.id = lo.id_lista WHERE l.nombre = 'ReferenciaCilindro' AND upper(lo.nombre) = 'ALMACEN' AND lo.estado = 1 LIMIT 1)",IF(TRIM(K515&amp;"")&lt;&gt;"","(SELECT lo.id FROM gen_lista_opciones lo JOIN gen_lista l ON l.id = lo.id_lista WHERE l.nombre = 'ReferenciaCilindro' AND upper(lo.nombre) = 'CLIENTE' AND lo.estado = 1 LIMIT 1)","NULL"))&amp;", p_anio_fabricacion =&gt; "&amp;IF(M515&amp;""="","NULL::smallint",M515&amp;"::smallint")&amp;", p_mes_fabricacion =&gt; "&amp;IF(N515&amp;""="","NULL::smallint",N515&amp;"::smallint")&amp;", p_fecha_ultima_prueba_hidrostatica =&gt; "&amp;IF(O515&amp;""="","NULL","'"&amp;YEAR(O515)&amp;"-"&amp;TEXT(MONTH(O515),"00")&amp;"-"&amp;TEXT(DAY(O515),"00")&amp;"'")&amp;", p_numero_serie =&gt; "&amp;IF(TRIM(Q515&amp;"")="","NULL","'"&amp;SUBSTITUTE(TRIM(Q515),"'","''")&amp;"'")&amp;", p_id_marca_cilindro =&gt; "&amp;IF(TRIM(R515&amp;"")="","NULL","(SELECT lo.id FROM gen_lista_opciones lo JOIN gen_lista l ON l.id = lo.id_lista WHERE l.nombre = 'MarcaCilindro' AND upper(lo.nombre) = upper('"&amp;SUBSTITUTE(TRIM(R515),"'","''")&amp;"') AND lo.estado = 1 LIMIT 1)")&amp;", p_id_organo_inspector =&gt; "&amp;IF(TRIM(S515&amp;"")="","NULL","(SELECT lo.id FROM gen_lista_opciones lo JOIN gen_lista l ON l.id = lo.id_lista WHERE l.nombre = 'OrganoInspectorCilindro' AND upper(lo.nombre) = upper('"&amp;SUBSTITUTE(TRIM(S515),"'","''")&amp;"') AND lo.estado = 1 LIMIT 1)")&amp;", p_organo_inspector_no_aplica =&gt; "&amp;IF(S515="NO_APLICA","TRUE","FALSE")&amp;", p_presion_actual =&gt; "&amp;IF(T515&amp;""="","NULL",SUBSTITUTE(T515&amp;"",",","."))&amp;", p_tipo_valvula =&gt; "&amp;IF(TRIM(U515&amp;"")="","NULL","'"&amp;SUBSTITUTE(TRIM(U515),"'","''")&amp;"'")&amp;", p_libro_cilindro =&gt; "&amp;IF(TRIM(V515&amp;"")="","NULL","'"&amp;SUBSTITUTE(TRIM(V515),"'","''")&amp;"'")&amp;", p_pagina_libro =&gt; "&amp;IF(W515&amp;""="","NULL",SUBSTITUTE(W515&amp;"",",","."))&amp;", p_observacion =&gt; "&amp;IF(TRIM(X515&amp;"")="","NULL","'"&amp;SUBSTITUTE(TRIM(X515),"'","''")&amp;"'")&amp;") AS resultado_balon_"&amp;ROW()&amp;";")</f>
        <v/>
      </c>
    </row>
    <row r="516" ht="15.75" customHeight="1" s="64">
      <c r="A516" s="36" t="inlineStr">
        <is>
          <t>512</t>
        </is>
      </c>
      <c r="B516" s="25">
        <f>IF(AND(C516="",D516="",E516=""),"",IF(C516="","FALTA código balón",IF(D516="","FALTA tipo balón",IF(E516="","FALTA gas",IF(F516="","FALTA propietario",IF(AND(C516&lt;&gt;"",SUMPRODUCT(--($C$5:$C$1200=C516))&gt;1),"CÓDIGO BALÓN DUPLICADO",IF(AND(OR(UPPER(F516)="PLANTA",UPPER(F516)="CLIENTE"),G516=""),"FALTA doc propietario/planta",IF(AND(UPPER(F516)="PLANTA",G516="10175332796"),"PLANTA no puede ser RUC empresa","OK"))))))))</f>
        <v/>
      </c>
      <c r="C516" s="23" t="inlineStr">
        <is>
          <t>K4852139</t>
        </is>
      </c>
      <c r="D516" s="17" t="inlineStr">
        <is>
          <t>Oxígeno Medicinal 10 m³</t>
        </is>
      </c>
      <c r="E516" s="17" t="inlineStr">
        <is>
          <t>OXIGENO MEDICINAL</t>
        </is>
      </c>
      <c r="F516" s="17" t="inlineStr">
        <is>
          <t>EMPRESA</t>
        </is>
      </c>
      <c r="G516" s="23" t="inlineStr">
        <is>
          <t>10175332796</t>
        </is>
      </c>
      <c r="H516" s="25">
        <f t="array" ref="H516">IF(G516="","",IFERROR(IF(INDEX(Clientes!$D$5:$D$549,MATCH(G516,Clientes!$C$5:$C$549,0))&lt;&gt;"",INDEX(Clientes!$D$5:$D$549,MATCH(G516,Clientes!$C$5:$C$549,0)),TRIM(INDEX(Clientes!$E$5:$E$549,MATCH(G516,Clientes!$C$5:$C$549,0))&amp;" "&amp;INDEX(Clientes!$F$5:$F$549,MATCH(G516,Clientes!$C$5:$C$549,0)))),"NO EXISTE en Clientes"))</f>
        <v/>
      </c>
      <c r="I516" s="17" t="inlineStr">
        <is>
          <t>DISPONIBLE</t>
        </is>
      </c>
      <c r="J516" s="17" t="inlineStr">
        <is>
          <t>ALMACEN PRINCIPAL</t>
        </is>
      </c>
      <c r="K516" s="23" t="n"/>
      <c r="L516" s="25">
        <f t="array" ref="L516">IF(K516="","",IFERROR(IF(INDEX(Clientes!$D$5:$D$549,MATCH(K516,Clientes!$C$5:$C$549,0))&lt;&gt;"",INDEX(Clientes!$D$5:$D$549,MATCH(K516,Clientes!$C$5:$C$549,0)),TRIM(INDEX(Clientes!$E$5:$E$549,MATCH(K516,Clientes!$C$5:$C$549,0))&amp;" "&amp;INDEX(Clientes!$F$5:$F$549,MATCH(K516,Clientes!$C$5:$C$549,0)))),"NO EXISTE en Clientes"))</f>
        <v/>
      </c>
      <c r="M516" s="17" t="n"/>
      <c r="N516" s="17" t="n"/>
      <c r="O516" s="42" t="n"/>
      <c r="P516" s="39">
        <f>IF(O516&lt;&gt;"",DATE(YEAR(O516)+5,MONTH(O516),1),IF(AND(M516&lt;&gt;"",N516&lt;&gt;""),DATE(M516+5,N516,1),""))</f>
        <v/>
      </c>
      <c r="Q516" s="23" t="n"/>
      <c r="R516" s="17" t="n"/>
      <c r="S516" s="17" t="n"/>
      <c r="T516" s="17" t="n"/>
      <c r="U516" s="17" t="n"/>
      <c r="V516" s="23" t="n"/>
      <c r="W516" s="17" t="n"/>
      <c r="X516" s="17" t="n"/>
      <c r="Y516" s="28">
        <f>IF(B516&lt;&gt;"OK","","SELECT bal_crear_balon(p_codigo_balon =&gt; "&amp;IF(TRIM(C516&amp;"")="","NULL","'"&amp;SUBSTITUTE(TRIM(C516),"'","''")&amp;"'")&amp;", p_id_tipo_balon =&gt; "&amp;"(SELECT id FROM bal_tipo_balon WHERE upper(nombre) = upper('"&amp;SUBSTITUTE(TRIM(D516),"'","''")&amp;"') AND estado = 1 LIMIT 1)"&amp;", p_id_producto_gas =&gt; "&amp;"(SELECT id FROM pro_producto WHERE es_gas = TRUE AND upper(nombre) = upper('"&amp;SUBSTITUTE(TRIM(E516),"'","''")&amp;"') AND estado = 1 LIMIT 1)"&amp;", p_id_propietario =&gt; "&amp;IF(TRIM(F516&amp;"")="","NULL","(SELECT lo.id FROM gen_lista_opciones lo JOIN gen_lista l ON l.id = lo.id_lista WHERE l.nombre = 'PropietarioBalon' AND upper(lo.nombre) = upper('"&amp;SUBSTITUTE(TRIM(F516),"'","''")&amp;"') AND lo.estado = 1 LIMIT 1)")&amp;", p_id_cliente_propietario =&gt; "&amp;IF(F516="CLIENTE",IF(TRIM(G516&amp;"")="","NULL","(SELECT id FROM cli_clientes WHERE numero_documento = '"&amp;SUBSTITUTE(TRIM(G516),"'","''")&amp;"' AND estado = 1 LIMIT 1)"),"NULL")&amp;", p_id_planta =&gt; "&amp;IF(F516="PLANTA",IF(TRIM(G516&amp;"")="","NULL","(SELECT id FROM cli_clientes WHERE numero_documento = '"&amp;SUBSTITUTE(TRIM(G516),"'","''")&amp;"'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"&amp;IF(TRIM(J516&amp;"")="","NULL","(SELECT id FROM gen_almacen WHERE upper(nombre) = upper('"&amp;SUBSTITUTE(TRIM(J516),"'","''")&amp;"') AND estado = 1 LIMIT 1)")&amp;", p_id_cliente_ubicacion =&gt; "&amp;IF(TRIM(K516&amp;"")="","NULL","(SELECT id FROM cli_clientes WHERE numero_documento = '"&amp;SUBSTITUTE(TRIM(K516),"'","''")&amp;"' AND estado = 1 LIMIT 1)")&amp;", p_id_referencia =&gt; "&amp;IF(TRIM(J516&amp;"")&lt;&gt;"","(SELECT lo.id FROM gen_lista_opciones lo JOIN gen_lista l ON l.id = lo.id_lista WHERE l.nombre = 'ReferenciaCilindro' AND upper(lo.nombre) = 'ALMACEN' AND lo.estado = 1 LIMIT 1)",IF(TRIM(K516&amp;"")&lt;&gt;"","(SELECT lo.id FROM gen_lista_opciones lo JOIN gen_lista l ON l.id = lo.id_lista WHERE l.nombre = 'ReferenciaCilindro' AND upper(lo.nombre) = 'CLIENTE' AND lo.estado = 1 LIMIT 1)","NULL"))&amp;", p_anio_fabricacion =&gt; "&amp;IF(M516&amp;""="","NULL::smallint",M516&amp;"::smallint")&amp;", p_mes_fabricacion =&gt; "&amp;IF(N516&amp;""="","NULL::smallint",N516&amp;"::smallint")&amp;", p_fecha_ultima_prueba_hidrostatica =&gt; "&amp;IF(O516&amp;""="","NULL","'"&amp;YEAR(O516)&amp;"-"&amp;TEXT(MONTH(O516),"00")&amp;"-"&amp;TEXT(DAY(O516),"00")&amp;"'")&amp;", p_numero_serie =&gt; "&amp;IF(TRIM(Q516&amp;"")="","NULL","'"&amp;SUBSTITUTE(TRIM(Q516),"'","''")&amp;"'")&amp;", p_id_marca_cilindro =&gt; "&amp;IF(TRIM(R516&amp;"")="","NULL","(SELECT lo.id FROM gen_lista_opciones lo JOIN gen_lista l ON l.id = lo.id_lista WHERE l.nombre = 'MarcaCilindro' AND upper(lo.nombre) = upper('"&amp;SUBSTITUTE(TRIM(R516),"'","''")&amp;"') AND lo.estado = 1 LIMIT 1)")&amp;", p_id_organo_inspector =&gt; "&amp;IF(TRIM(S516&amp;"")="","NULL","(SELECT lo.id FROM gen_lista_opciones lo JOIN gen_lista l ON l.id = lo.id_lista WHERE l.nombre = 'OrganoInspectorCilindro' AND upper(lo.nombre) = upper('"&amp;SUBSTITUTE(TRIM(S516),"'","''")&amp;"') AND lo.estado = 1 LIMIT 1)")&amp;", p_organo_inspector_no_aplica =&gt; "&amp;IF(S516="NO_APLICA","TRUE","FALSE")&amp;", p_presion_actual =&gt; "&amp;IF(T516&amp;""="","NULL",SUBSTITUTE(T516&amp;"",",","."))&amp;", p_tipo_valvula =&gt; "&amp;IF(TRIM(U516&amp;"")="","NULL","'"&amp;SUBSTITUTE(TRIM(U516),"'","''")&amp;"'")&amp;", p_libro_cilindro =&gt; "&amp;IF(TRIM(V516&amp;"")="","NULL","'"&amp;SUBSTITUTE(TRIM(V516),"'","''")&amp;"'")&amp;", p_pagina_libro =&gt; "&amp;IF(W516&amp;""="","NULL",SUBSTITUTE(W516&amp;"",",","."))&amp;", p_observacion =&gt; "&amp;IF(TRIM(X516&amp;"")="","NULL","'"&amp;SUBSTITUTE(TRIM(X516),"'","''")&amp;"'")&amp;") AS resultado_balon_"&amp;ROW()&amp;";")</f>
        <v/>
      </c>
    </row>
    <row r="517" ht="15.75" customHeight="1" s="64">
      <c r="A517" s="36" t="inlineStr">
        <is>
          <t>513</t>
        </is>
      </c>
      <c r="B517" s="25">
        <f>IF(AND(C517="",D517="",E517=""),"",IF(C517="","FALTA código balón",IF(D517="","FALTA tipo balón",IF(E517="","FALTA gas",IF(F517="","FALTA propietario",IF(AND(C517&lt;&gt;"",SUMPRODUCT(--($C$5:$C$1200=C517))&gt;1),"CÓDIGO BALÓN DUPLICADO",IF(AND(OR(UPPER(F517)="PLANTA",UPPER(F517)="CLIENTE"),G517=""),"FALTA doc propietario/planta",IF(AND(UPPER(F517)="PLANTA",G517="10175332796"),"PLANTA no puede ser RUC empresa","OK"))))))))</f>
        <v/>
      </c>
      <c r="C517" s="23" t="inlineStr">
        <is>
          <t>K5409141</t>
        </is>
      </c>
      <c r="D517" s="17" t="inlineStr">
        <is>
          <t>Oxígeno Medicinal 10 m³</t>
        </is>
      </c>
      <c r="E517" s="17" t="inlineStr">
        <is>
          <t>OXIGENO MEDICINAL</t>
        </is>
      </c>
      <c r="F517" s="17" t="inlineStr">
        <is>
          <t>EMPRESA</t>
        </is>
      </c>
      <c r="G517" s="23" t="inlineStr">
        <is>
          <t>10175332796</t>
        </is>
      </c>
      <c r="H517" s="25">
        <f t="array" ref="H517">IF(G517="","",IFERROR(IF(INDEX(Clientes!$D$5:$D$549,MATCH(G517,Clientes!$C$5:$C$549,0))&lt;&gt;"",INDEX(Clientes!$D$5:$D$549,MATCH(G517,Clientes!$C$5:$C$549,0)),TRIM(INDEX(Clientes!$E$5:$E$549,MATCH(G517,Clientes!$C$5:$C$549,0))&amp;" "&amp;INDEX(Clientes!$F$5:$F$549,MATCH(G517,Clientes!$C$5:$C$549,0)))),"NO EXISTE en Clientes"))</f>
        <v/>
      </c>
      <c r="I517" s="17" t="inlineStr">
        <is>
          <t>DISPONIBLE</t>
        </is>
      </c>
      <c r="J517" s="17" t="inlineStr">
        <is>
          <t>ALMACEN PRINCIPAL</t>
        </is>
      </c>
      <c r="K517" s="23" t="n"/>
      <c r="L517" s="25">
        <f t="array" ref="L517">IF(K517="","",IFERROR(IF(INDEX(Clientes!$D$5:$D$549,MATCH(K517,Clientes!$C$5:$C$549,0))&lt;&gt;"",INDEX(Clientes!$D$5:$D$549,MATCH(K517,Clientes!$C$5:$C$549,0)),TRIM(INDEX(Clientes!$E$5:$E$549,MATCH(K517,Clientes!$C$5:$C$549,0))&amp;" "&amp;INDEX(Clientes!$F$5:$F$549,MATCH(K517,Clientes!$C$5:$C$549,0)))),"NO EXISTE en Clientes"))</f>
        <v/>
      </c>
      <c r="M517" s="17" t="n"/>
      <c r="N517" s="17" t="n"/>
      <c r="O517" s="42" t="n"/>
      <c r="P517" s="39">
        <f>IF(O517&lt;&gt;"",DATE(YEAR(O517)+5,MONTH(O517),1),IF(AND(M517&lt;&gt;"",N517&lt;&gt;""),DATE(M517+5,N517,1),""))</f>
        <v/>
      </c>
      <c r="Q517" s="23" t="n"/>
      <c r="R517" s="17" t="n"/>
      <c r="S517" s="17" t="n"/>
      <c r="T517" s="17" t="n"/>
      <c r="U517" s="17" t="n"/>
      <c r="V517" s="23" t="n"/>
      <c r="W517" s="17" t="n"/>
      <c r="X517" s="17" t="n"/>
      <c r="Y517" s="28">
        <f>IF(B517&lt;&gt;"OK","","SELECT bal_crear_balon(p_codigo_balon =&gt; "&amp;IF(TRIM(C517&amp;"")="","NULL","'"&amp;SUBSTITUTE(TRIM(C517),"'","''")&amp;"'")&amp;", p_id_tipo_balon =&gt; "&amp;"(SELECT id FROM bal_tipo_balon WHERE upper(nombre) = upper('"&amp;SUBSTITUTE(TRIM(D517),"'","''")&amp;"') AND estado = 1 LIMIT 1)"&amp;", p_id_producto_gas =&gt; "&amp;"(SELECT id FROM pro_producto WHERE es_gas = TRUE AND upper(nombre) = upper('"&amp;SUBSTITUTE(TRIM(E517),"'","''")&amp;"') AND estado = 1 LIMIT 1)"&amp;", p_id_propietario =&gt; "&amp;IF(TRIM(F517&amp;"")="","NULL","(SELECT lo.id FROM gen_lista_opciones lo JOIN gen_lista l ON l.id = lo.id_lista WHERE l.nombre = 'PropietarioBalon' AND upper(lo.nombre) = upper('"&amp;SUBSTITUTE(TRIM(F517),"'","''")&amp;"') AND lo.estado = 1 LIMIT 1)")&amp;", p_id_cliente_propietario =&gt; "&amp;IF(F517="CLIENTE",IF(TRIM(G517&amp;"")="","NULL","(SELECT id FROM cli_clientes WHERE numero_documento = '"&amp;SUBSTITUTE(TRIM(G517),"'","''")&amp;"' AND estado = 1 LIMIT 1)"),"NULL")&amp;", p_id_planta =&gt; "&amp;IF(F517="PLANTA",IF(TRIM(G517&amp;"")="","NULL","(SELECT id FROM cli_clientes WHERE numero_documento = '"&amp;SUBSTITUTE(TRIM(G517),"'","''")&amp;"'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"&amp;IF(TRIM(J517&amp;"")="","NULL","(SELECT id FROM gen_almacen WHERE upper(nombre) = upper('"&amp;SUBSTITUTE(TRIM(J517),"'","''")&amp;"') AND estado = 1 LIMIT 1)")&amp;", p_id_cliente_ubicacion =&gt; "&amp;IF(TRIM(K517&amp;"")="","NULL","(SELECT id FROM cli_clientes WHERE numero_documento = '"&amp;SUBSTITUTE(TRIM(K517),"'","''")&amp;"' AND estado = 1 LIMIT 1)")&amp;", p_id_referencia =&gt; "&amp;IF(TRIM(J517&amp;"")&lt;&gt;"","(SELECT lo.id FROM gen_lista_opciones lo JOIN gen_lista l ON l.id = lo.id_lista WHERE l.nombre = 'ReferenciaCilindro' AND upper(lo.nombre) = 'ALMACEN' AND lo.estado = 1 LIMIT 1)",IF(TRIM(K517&amp;"")&lt;&gt;"","(SELECT lo.id FROM gen_lista_opciones lo JOIN gen_lista l ON l.id = lo.id_lista WHERE l.nombre = 'ReferenciaCilindro' AND upper(lo.nombre) = 'CLIENTE' AND lo.estado = 1 LIMIT 1)","NULL"))&amp;", p_anio_fabricacion =&gt; "&amp;IF(M517&amp;""="","NULL::smallint",M517&amp;"::smallint")&amp;", p_mes_fabricacion =&gt; "&amp;IF(N517&amp;""="","NULL::smallint",N517&amp;"::smallint")&amp;", p_fecha_ultima_prueba_hidrostatica =&gt; "&amp;IF(O517&amp;""="","NULL","'"&amp;YEAR(O517)&amp;"-"&amp;TEXT(MONTH(O517),"00")&amp;"-"&amp;TEXT(DAY(O517),"00")&amp;"'")&amp;", p_numero_serie =&gt; "&amp;IF(TRIM(Q517&amp;"")="","NULL","'"&amp;SUBSTITUTE(TRIM(Q517),"'","''")&amp;"'")&amp;", p_id_marca_cilindro =&gt; "&amp;IF(TRIM(R517&amp;"")="","NULL","(SELECT lo.id FROM gen_lista_opciones lo JOIN gen_lista l ON l.id = lo.id_lista WHERE l.nombre = 'MarcaCilindro' AND upper(lo.nombre) = upper('"&amp;SUBSTITUTE(TRIM(R517),"'","''")&amp;"') AND lo.estado = 1 LIMIT 1)")&amp;", p_id_organo_inspector =&gt; "&amp;IF(TRIM(S517&amp;"")="","NULL","(SELECT lo.id FROM gen_lista_opciones lo JOIN gen_lista l ON l.id = lo.id_lista WHERE l.nombre = 'OrganoInspectorCilindro' AND upper(lo.nombre) = upper('"&amp;SUBSTITUTE(TRIM(S517),"'","''")&amp;"') AND lo.estado = 1 LIMIT 1)")&amp;", p_organo_inspector_no_aplica =&gt; "&amp;IF(S517="NO_APLICA","TRUE","FALSE")&amp;", p_presion_actual =&gt; "&amp;IF(T517&amp;""="","NULL",SUBSTITUTE(T517&amp;"",",","."))&amp;", p_tipo_valvula =&gt; "&amp;IF(TRIM(U517&amp;"")="","NULL","'"&amp;SUBSTITUTE(TRIM(U517),"'","''")&amp;"'")&amp;", p_libro_cilindro =&gt; "&amp;IF(TRIM(V517&amp;"")="","NULL","'"&amp;SUBSTITUTE(TRIM(V517),"'","''")&amp;"'")&amp;", p_pagina_libro =&gt; "&amp;IF(W517&amp;""="","NULL",SUBSTITUTE(W517&amp;"",",","."))&amp;", p_observacion =&gt; "&amp;IF(TRIM(X517&amp;"")="","NULL","'"&amp;SUBSTITUTE(TRIM(X517),"'","''")&amp;"'")&amp;") AS resultado_balon_"&amp;ROW()&amp;";")</f>
        <v/>
      </c>
    </row>
    <row r="518" ht="15.75" customHeight="1" s="64">
      <c r="A518" s="36" t="inlineStr">
        <is>
          <t>514</t>
        </is>
      </c>
      <c r="B518" s="25">
        <f>IF(AND(C518="",D518="",E518=""),"",IF(C518="","FALTA código balón",IF(D518="","FALTA tipo balón",IF(E518="","FALTA gas",IF(F518="","FALTA propietario",IF(AND(C518&lt;&gt;"",SUMPRODUCT(--($C$5:$C$1200=C518))&gt;1),"CÓDIGO BALÓN DUPLICADO",IF(AND(OR(UPPER(F518)="PLANTA",UPPER(F518)="CLIENTE"),G518=""),"FALTA doc propietario/planta",IF(AND(UPPER(F518)="PLANTA",G518="10175332796"),"PLANTA no puede ser RUC empresa","OK"))))))))</f>
        <v/>
      </c>
      <c r="C518" s="23" t="inlineStr">
        <is>
          <t>9622</t>
        </is>
      </c>
      <c r="D518" s="17" t="inlineStr">
        <is>
          <t>Oxigeno Industrial 2.5 m³</t>
        </is>
      </c>
      <c r="E518" s="17" t="inlineStr">
        <is>
          <t>OXIGENO INDUSTRIAL</t>
        </is>
      </c>
      <c r="F518" s="17" t="inlineStr">
        <is>
          <t>EMPRESA</t>
        </is>
      </c>
      <c r="G518" s="23" t="inlineStr">
        <is>
          <t>10175332796</t>
        </is>
      </c>
      <c r="H518" s="25">
        <f t="array" ref="H518">IF(G518="","",IFERROR(IF(INDEX(Clientes!$D$5:$D$549,MATCH(G518,Clientes!$C$5:$C$549,0))&lt;&gt;"",INDEX(Clientes!$D$5:$D$549,MATCH(G518,Clientes!$C$5:$C$549,0)),TRIM(INDEX(Clientes!$E$5:$E$549,MATCH(G518,Clientes!$C$5:$C$549,0))&amp;" "&amp;INDEX(Clientes!$F$5:$F$549,MATCH(G518,Clientes!$C$5:$C$549,0)))),"NO EXISTE en Clientes"))</f>
        <v/>
      </c>
      <c r="I518" s="17" t="inlineStr">
        <is>
          <t>DISPONIBLE</t>
        </is>
      </c>
      <c r="J518" s="17" t="inlineStr">
        <is>
          <t>ALMACEN PRINCIPAL</t>
        </is>
      </c>
      <c r="K518" s="23" t="n"/>
      <c r="L518" s="25">
        <f t="array" ref="L518">IF(K518="","",IFERROR(IF(INDEX(Clientes!$D$5:$D$549,MATCH(K518,Clientes!$C$5:$C$549,0))&lt;&gt;"",INDEX(Clientes!$D$5:$D$549,MATCH(K518,Clientes!$C$5:$C$549,0)),TRIM(INDEX(Clientes!$E$5:$E$549,MATCH(K518,Clientes!$C$5:$C$549,0))&amp;" "&amp;INDEX(Clientes!$F$5:$F$549,MATCH(K518,Clientes!$C$5:$C$549,0)))),"NO EXISTE en Clientes"))</f>
        <v/>
      </c>
      <c r="M518" s="17" t="n"/>
      <c r="N518" s="17" t="n"/>
      <c r="O518" s="42" t="n"/>
      <c r="P518" s="39">
        <f>IF(O518&lt;&gt;"",DATE(YEAR(O518)+5,MONTH(O518),1),IF(AND(M518&lt;&gt;"",N518&lt;&gt;""),DATE(M518+5,N518,1),""))</f>
        <v/>
      </c>
      <c r="Q518" s="23" t="n"/>
      <c r="R518" s="17" t="n"/>
      <c r="S518" s="17" t="n"/>
      <c r="T518" s="17" t="n"/>
      <c r="U518" s="17" t="n"/>
      <c r="V518" s="23" t="n"/>
      <c r="W518" s="17" t="n"/>
      <c r="X518" s="17" t="n"/>
      <c r="Y518" s="28">
        <f>IF(B518&lt;&gt;"OK","","SELECT bal_crear_balon(p_codigo_balon =&gt; "&amp;IF(TRIM(C518&amp;"")="","NULL","'"&amp;SUBSTITUTE(TRIM(C518),"'","''")&amp;"'")&amp;", p_id_tipo_balon =&gt; "&amp;"(SELECT id FROM bal_tipo_balon WHERE upper(nombre) = upper('"&amp;SUBSTITUTE(TRIM(D518),"'","''")&amp;"') AND estado = 1 LIMIT 1)"&amp;", p_id_producto_gas =&gt; "&amp;"(SELECT id FROM pro_producto WHERE es_gas = TRUE AND upper(nombre) = upper('"&amp;SUBSTITUTE(TRIM(E518),"'","''")&amp;"') AND estado = 1 LIMIT 1)"&amp;", p_id_propietario =&gt; "&amp;IF(TRIM(F518&amp;"")="","NULL","(SELECT lo.id FROM gen_lista_opciones lo JOIN gen_lista l ON l.id = lo.id_lista WHERE l.nombre = 'PropietarioBalon' AND upper(lo.nombre) = upper('"&amp;SUBSTITUTE(TRIM(F518),"'","''")&amp;"') AND lo.estado = 1 LIMIT 1)")&amp;", p_id_cliente_propietario =&gt; "&amp;IF(F518="CLIENTE",IF(TRIM(G518&amp;"")="","NULL","(SELECT id FROM cli_clientes WHERE numero_documento = '"&amp;SUBSTITUTE(TRIM(G518),"'","''")&amp;"' AND estado = 1 LIMIT 1)"),"NULL")&amp;", p_id_planta =&gt; "&amp;IF(F518="PLANTA",IF(TRIM(G518&amp;"")="","NULL","(SELECT id FROM cli_clientes WHERE numero_documento = '"&amp;SUBSTITUTE(TRIM(G518),"'","''")&amp;"'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"&amp;IF(TRIM(J518&amp;"")="","NULL","(SELECT id FROM gen_almacen WHERE upper(nombre) = upper('"&amp;SUBSTITUTE(TRIM(J518),"'","''")&amp;"') AND estado = 1 LIMIT 1)")&amp;", p_id_cliente_ubicacion =&gt; "&amp;IF(TRIM(K518&amp;"")="","NULL","(SELECT id FROM cli_clientes WHERE numero_documento = '"&amp;SUBSTITUTE(TRIM(K518),"'","''")&amp;"' AND estado = 1 LIMIT 1)")&amp;", p_id_referencia =&gt; "&amp;IF(TRIM(J518&amp;"")&lt;&gt;"","(SELECT lo.id FROM gen_lista_opciones lo JOIN gen_lista l ON l.id = lo.id_lista WHERE l.nombre = 'ReferenciaCilindro' AND upper(lo.nombre) = 'ALMACEN' AND lo.estado = 1 LIMIT 1)",IF(TRIM(K518&amp;"")&lt;&gt;"","(SELECT lo.id FROM gen_lista_opciones lo JOIN gen_lista l ON l.id = lo.id_lista WHERE l.nombre = 'ReferenciaCilindro' AND upper(lo.nombre) = 'CLIENTE' AND lo.estado = 1 LIMIT 1)","NULL"))&amp;", p_anio_fabricacion =&gt; "&amp;IF(M518&amp;""="","NULL::smallint",M518&amp;"::smallint")&amp;", p_mes_fabricacion =&gt; "&amp;IF(N518&amp;""="","NULL::smallint",N518&amp;"::smallint")&amp;", p_fecha_ultima_prueba_hidrostatica =&gt; "&amp;IF(O518&amp;""="","NULL","'"&amp;YEAR(O518)&amp;"-"&amp;TEXT(MONTH(O518),"00")&amp;"-"&amp;TEXT(DAY(O518),"00")&amp;"'")&amp;", p_numero_serie =&gt; "&amp;IF(TRIM(Q518&amp;"")="","NULL","'"&amp;SUBSTITUTE(TRIM(Q518),"'","''")&amp;"'")&amp;", p_id_marca_cilindro =&gt; "&amp;IF(TRIM(R518&amp;"")="","NULL","(SELECT lo.id FROM gen_lista_opciones lo JOIN gen_lista l ON l.id = lo.id_lista WHERE l.nombre = 'MarcaCilindro' AND upper(lo.nombre) = upper('"&amp;SUBSTITUTE(TRIM(R518),"'","''")&amp;"') AND lo.estado = 1 LIMIT 1)")&amp;", p_id_organo_inspector =&gt; "&amp;IF(TRIM(S518&amp;"")="","NULL","(SELECT lo.id FROM gen_lista_opciones lo JOIN gen_lista l ON l.id = lo.id_lista WHERE l.nombre = 'OrganoInspectorCilindro' AND upper(lo.nombre) = upper('"&amp;SUBSTITUTE(TRIM(S518),"'","''")&amp;"') AND lo.estado = 1 LIMIT 1)")&amp;", p_organo_inspector_no_aplica =&gt; "&amp;IF(S518="NO_APLICA","TRUE","FALSE")&amp;", p_presion_actual =&gt; "&amp;IF(T518&amp;""="","NULL",SUBSTITUTE(T518&amp;"",",","."))&amp;", p_tipo_valvula =&gt; "&amp;IF(TRIM(U518&amp;"")="","NULL","'"&amp;SUBSTITUTE(TRIM(U518),"'","''")&amp;"'")&amp;", p_libro_cilindro =&gt; "&amp;IF(TRIM(V518&amp;"")="","NULL","'"&amp;SUBSTITUTE(TRIM(V518),"'","''")&amp;"'")&amp;", p_pagina_libro =&gt; "&amp;IF(W518&amp;""="","NULL",SUBSTITUTE(W518&amp;"",",","."))&amp;", p_observacion =&gt; "&amp;IF(TRIM(X518&amp;"")="","NULL","'"&amp;SUBSTITUTE(TRIM(X518),"'","''")&amp;"'")&amp;") AS resultado_balon_"&amp;ROW()&amp;";")</f>
        <v/>
      </c>
    </row>
    <row r="519" ht="15.75" customHeight="1" s="64">
      <c r="A519" s="36" t="inlineStr">
        <is>
          <t>515</t>
        </is>
      </c>
      <c r="B519" s="25">
        <f>IF(AND(C519="",D519="",E519=""),"",IF(C519="","FALTA código balón",IF(D519="","FALTA tipo balón",IF(E519="","FALTA gas",IF(F519="","FALTA propietario",IF(AND(C519&lt;&gt;"",SUMPRODUCT(--($C$5:$C$1200=C519))&gt;1),"CÓDIGO BALÓN DUPLICADO",IF(AND(OR(UPPER(F519)="PLANTA",UPPER(F519)="CLIENTE"),G519=""),"FALTA doc propietario/planta",IF(AND(UPPER(F519)="PLANTA",G519="10175332796"),"PLANTA no puede ser RUC empresa","OK"))))))))</f>
        <v/>
      </c>
      <c r="C519" s="23" t="inlineStr">
        <is>
          <t>816257</t>
        </is>
      </c>
      <c r="D519" s="17" t="inlineStr">
        <is>
          <t>Oxígeno Industrial 10 m³</t>
        </is>
      </c>
      <c r="E519" s="17" t="inlineStr">
        <is>
          <t>OXIGENO INDUSTRIAL</t>
        </is>
      </c>
      <c r="F519" s="17" t="inlineStr">
        <is>
          <t>EMPRESA</t>
        </is>
      </c>
      <c r="G519" s="23" t="inlineStr">
        <is>
          <t>10175332796</t>
        </is>
      </c>
      <c r="H519" s="25">
        <f t="array" ref="H519">IF(G519="","",IFERROR(IF(INDEX(Clientes!$D$5:$D$549,MATCH(G519,Clientes!$C$5:$C$549,0))&lt;&gt;"",INDEX(Clientes!$D$5:$D$549,MATCH(G519,Clientes!$C$5:$C$549,0)),TRIM(INDEX(Clientes!$E$5:$E$549,MATCH(G519,Clientes!$C$5:$C$549,0))&amp;" "&amp;INDEX(Clientes!$F$5:$F$549,MATCH(G519,Clientes!$C$5:$C$549,0)))),"NO EXISTE en Clientes"))</f>
        <v/>
      </c>
      <c r="I519" s="17" t="inlineStr">
        <is>
          <t>DISPONIBLE</t>
        </is>
      </c>
      <c r="J519" s="17" t="inlineStr">
        <is>
          <t>ALMACEN PRINCIPAL</t>
        </is>
      </c>
      <c r="K519" s="23" t="n"/>
      <c r="L519" s="25">
        <f t="array" ref="L519">IF(K519="","",IFERROR(IF(INDEX(Clientes!$D$5:$D$549,MATCH(K519,Clientes!$C$5:$C$549,0))&lt;&gt;"",INDEX(Clientes!$D$5:$D$549,MATCH(K519,Clientes!$C$5:$C$549,0)),TRIM(INDEX(Clientes!$E$5:$E$549,MATCH(K519,Clientes!$C$5:$C$549,0))&amp;" "&amp;INDEX(Clientes!$F$5:$F$549,MATCH(K519,Clientes!$C$5:$C$549,0)))),"NO EXISTE en Clientes"))</f>
        <v/>
      </c>
      <c r="M519" s="17" t="n"/>
      <c r="N519" s="17" t="n"/>
      <c r="O519" s="42" t="n"/>
      <c r="P519" s="39">
        <f>IF(O519&lt;&gt;"",DATE(YEAR(O519)+5,MONTH(O519),1),IF(AND(M519&lt;&gt;"",N519&lt;&gt;""),DATE(M519+5,N519,1),""))</f>
        <v/>
      </c>
      <c r="Q519" s="23" t="n"/>
      <c r="R519" s="17" t="n"/>
      <c r="S519" s="17" t="n"/>
      <c r="T519" s="17" t="n"/>
      <c r="U519" s="17" t="n"/>
      <c r="V519" s="23" t="n"/>
      <c r="W519" s="17" t="n"/>
      <c r="X519" s="17" t="n"/>
      <c r="Y519" s="28">
        <f>IF(B519&lt;&gt;"OK","","SELECT bal_crear_balon(p_codigo_balon =&gt; "&amp;IF(TRIM(C519&amp;"")="","NULL","'"&amp;SUBSTITUTE(TRIM(C519),"'","''")&amp;"'")&amp;", p_id_tipo_balon =&gt; "&amp;"(SELECT id FROM bal_tipo_balon WHERE upper(nombre) = upper('"&amp;SUBSTITUTE(TRIM(D519),"'","''")&amp;"') AND estado = 1 LIMIT 1)"&amp;", p_id_producto_gas =&gt; "&amp;"(SELECT id FROM pro_producto WHERE es_gas = TRUE AND upper(nombre) = upper('"&amp;SUBSTITUTE(TRIM(E519),"'","''")&amp;"') AND estado = 1 LIMIT 1)"&amp;", p_id_propietario =&gt; "&amp;IF(TRIM(F519&amp;"")="","NULL","(SELECT lo.id FROM gen_lista_opciones lo JOIN gen_lista l ON l.id = lo.id_lista WHERE l.nombre = 'PropietarioBalon' AND upper(lo.nombre) = upper('"&amp;SUBSTITUTE(TRIM(F519),"'","''")&amp;"') AND lo.estado = 1 LIMIT 1)")&amp;", p_id_cliente_propietario =&gt; "&amp;IF(F519="CLIENTE",IF(TRIM(G519&amp;"")="","NULL","(SELECT id FROM cli_clientes WHERE numero_documento = '"&amp;SUBSTITUTE(TRIM(G519),"'","''")&amp;"' AND estado = 1 LIMIT 1)"),"NULL")&amp;", p_id_planta =&gt; "&amp;IF(F519="PLANTA",IF(TRIM(G519&amp;"")="","NULL","(SELECT id FROM cli_clientes WHERE numero_documento = '"&amp;SUBSTITUTE(TRIM(G519),"'","''")&amp;"'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"&amp;IF(TRIM(J519&amp;"")="","NULL","(SELECT id FROM gen_almacen WHERE upper(nombre) = upper('"&amp;SUBSTITUTE(TRIM(J519),"'","''")&amp;"') AND estado = 1 LIMIT 1)")&amp;", p_id_cliente_ubicacion =&gt; "&amp;IF(TRIM(K519&amp;"")="","NULL","(SELECT id FROM cli_clientes WHERE numero_documento = '"&amp;SUBSTITUTE(TRIM(K519),"'","''")&amp;"' AND estado = 1 LIMIT 1)")&amp;", p_id_referencia =&gt; "&amp;IF(TRIM(J519&amp;"")&lt;&gt;"","(SELECT lo.id FROM gen_lista_opciones lo JOIN gen_lista l ON l.id = lo.id_lista WHERE l.nombre = 'ReferenciaCilindro' AND upper(lo.nombre) = 'ALMACEN' AND lo.estado = 1 LIMIT 1)",IF(TRIM(K519&amp;"")&lt;&gt;"","(SELECT lo.id FROM gen_lista_opciones lo JOIN gen_lista l ON l.id = lo.id_lista WHERE l.nombre = 'ReferenciaCilindro' AND upper(lo.nombre) = 'CLIENTE' AND lo.estado = 1 LIMIT 1)","NULL"))&amp;", p_anio_fabricacion =&gt; "&amp;IF(M519&amp;""="","NULL::smallint",M519&amp;"::smallint")&amp;", p_mes_fabricacion =&gt; "&amp;IF(N519&amp;""="","NULL::smallint",N519&amp;"::smallint")&amp;", p_fecha_ultima_prueba_hidrostatica =&gt; "&amp;IF(O519&amp;""="","NULL","'"&amp;YEAR(O519)&amp;"-"&amp;TEXT(MONTH(O519),"00")&amp;"-"&amp;TEXT(DAY(O519),"00")&amp;"'")&amp;", p_numero_serie =&gt; "&amp;IF(TRIM(Q519&amp;"")="","NULL","'"&amp;SUBSTITUTE(TRIM(Q519),"'","''")&amp;"'")&amp;", p_id_marca_cilindro =&gt; "&amp;IF(TRIM(R519&amp;"")="","NULL","(SELECT lo.id FROM gen_lista_opciones lo JOIN gen_lista l ON l.id = lo.id_lista WHERE l.nombre = 'MarcaCilindro' AND upper(lo.nombre) = upper('"&amp;SUBSTITUTE(TRIM(R519),"'","''")&amp;"') AND lo.estado = 1 LIMIT 1)")&amp;", p_id_organo_inspector =&gt; "&amp;IF(TRIM(S519&amp;"")="","NULL","(SELECT lo.id FROM gen_lista_opciones lo JOIN gen_lista l ON l.id = lo.id_lista WHERE l.nombre = 'OrganoInspectorCilindro' AND upper(lo.nombre) = upper('"&amp;SUBSTITUTE(TRIM(S519),"'","''")&amp;"') AND lo.estado = 1 LIMIT 1)")&amp;", p_organo_inspector_no_aplica =&gt; "&amp;IF(S519="NO_APLICA","TRUE","FALSE")&amp;", p_presion_actual =&gt; "&amp;IF(T519&amp;""="","NULL",SUBSTITUTE(T519&amp;"",",","."))&amp;", p_tipo_valvula =&gt; "&amp;IF(TRIM(U519&amp;"")="","NULL","'"&amp;SUBSTITUTE(TRIM(U519),"'","''")&amp;"'")&amp;", p_libro_cilindro =&gt; "&amp;IF(TRIM(V519&amp;"")="","NULL","'"&amp;SUBSTITUTE(TRIM(V519),"'","''")&amp;"'")&amp;", p_pagina_libro =&gt; "&amp;IF(W519&amp;""="","NULL",SUBSTITUTE(W519&amp;"",",","."))&amp;", p_observacion =&gt; "&amp;IF(TRIM(X519&amp;"")="","NULL","'"&amp;SUBSTITUTE(TRIM(X519),"'","''")&amp;"'")&amp;") AS resultado_balon_"&amp;ROW()&amp;";")</f>
        <v/>
      </c>
    </row>
    <row r="520" ht="15.75" customHeight="1" s="64">
      <c r="A520" s="36" t="inlineStr">
        <is>
          <t>516</t>
        </is>
      </c>
      <c r="B520" s="25">
        <f>IF(AND(C520="",D520="",E520=""),"",IF(C520="","FALTA código balón",IF(D520="","FALTA tipo balón",IF(E520="","FALTA gas",IF(F520="","FALTA propietario",IF(AND(C520&lt;&gt;"",SUMPRODUCT(--($C$5:$C$1200=C520))&gt;1),"CÓDIGO BALÓN DUPLICADO",IF(AND(OR(UPPER(F520)="PLANTA",UPPER(F520)="CLIENTE"),G520=""),"FALTA doc propietario/planta",IF(AND(UPPER(F520)="PLANTA",G520="10175332796"),"PLANTA no puede ser RUC empresa","OK"))))))))</f>
        <v/>
      </c>
      <c r="C520" s="23" t="inlineStr">
        <is>
          <t>E337123</t>
        </is>
      </c>
      <c r="D520" s="17" t="inlineStr">
        <is>
          <t>Oxigeno Industrial de 1.5 m3</t>
        </is>
      </c>
      <c r="E520" s="17" t="inlineStr">
        <is>
          <t>OXIGENO INDUSTRIAL</t>
        </is>
      </c>
      <c r="F520" s="17" t="inlineStr">
        <is>
          <t>EMPRESA</t>
        </is>
      </c>
      <c r="G520" s="23" t="inlineStr">
        <is>
          <t>10175332796</t>
        </is>
      </c>
      <c r="H520" s="25">
        <f t="array" ref="H520">IF(G520="","",IFERROR(IF(INDEX(Clientes!$D$5:$D$549,MATCH(G520,Clientes!$C$5:$C$549,0))&lt;&gt;"",INDEX(Clientes!$D$5:$D$549,MATCH(G520,Clientes!$C$5:$C$549,0)),TRIM(INDEX(Clientes!$E$5:$E$549,MATCH(G520,Clientes!$C$5:$C$549,0))&amp;" "&amp;INDEX(Clientes!$F$5:$F$549,MATCH(G520,Clientes!$C$5:$C$549,0)))),"NO EXISTE en Clientes"))</f>
        <v/>
      </c>
      <c r="I520" s="17" t="inlineStr">
        <is>
          <t>DISPONIBLE</t>
        </is>
      </c>
      <c r="J520" s="17" t="inlineStr">
        <is>
          <t>ALMACEN PRINCIPAL</t>
        </is>
      </c>
      <c r="K520" s="23" t="n"/>
      <c r="L520" s="25">
        <f t="array" ref="L520">IF(K520="","",IFERROR(IF(INDEX(Clientes!$D$5:$D$549,MATCH(K520,Clientes!$C$5:$C$549,0))&lt;&gt;"",INDEX(Clientes!$D$5:$D$549,MATCH(K520,Clientes!$C$5:$C$549,0)),TRIM(INDEX(Clientes!$E$5:$E$549,MATCH(K520,Clientes!$C$5:$C$549,0))&amp;" "&amp;INDEX(Clientes!$F$5:$F$549,MATCH(K520,Clientes!$C$5:$C$549,0)))),"NO EXISTE en Clientes"))</f>
        <v/>
      </c>
      <c r="M520" s="17" t="n"/>
      <c r="N520" s="17" t="n"/>
      <c r="O520" s="42" t="n"/>
      <c r="P520" s="39">
        <f>IF(O520&lt;&gt;"",DATE(YEAR(O520)+5,MONTH(O520),1),IF(AND(M520&lt;&gt;"",N520&lt;&gt;""),DATE(M520+5,N520,1),""))</f>
        <v/>
      </c>
      <c r="Q520" s="23" t="n"/>
      <c r="R520" s="17" t="n"/>
      <c r="S520" s="17" t="n"/>
      <c r="T520" s="17" t="n"/>
      <c r="U520" s="17" t="n"/>
      <c r="V520" s="23" t="n"/>
      <c r="W520" s="17" t="n"/>
      <c r="X520" s="17" t="n"/>
      <c r="Y520" s="28">
        <f>IF(B520&lt;&gt;"OK","","SELECT bal_crear_balon(p_codigo_balon =&gt; "&amp;IF(TRIM(C520&amp;"")="","NULL","'"&amp;SUBSTITUTE(TRIM(C520),"'","''")&amp;"'")&amp;", p_id_tipo_balon =&gt; "&amp;"(SELECT id FROM bal_tipo_balon WHERE upper(nombre) = upper('"&amp;SUBSTITUTE(TRIM(D520),"'","''")&amp;"') AND estado = 1 LIMIT 1)"&amp;", p_id_producto_gas =&gt; "&amp;"(SELECT id FROM pro_producto WHERE es_gas = TRUE AND upper(nombre) = upper('"&amp;SUBSTITUTE(TRIM(E520),"'","''")&amp;"') AND estado = 1 LIMIT 1)"&amp;", p_id_propietario =&gt; "&amp;IF(TRIM(F520&amp;"")="","NULL","(SELECT lo.id FROM gen_lista_opciones lo JOIN gen_lista l ON l.id = lo.id_lista WHERE l.nombre = 'PropietarioBalon' AND upper(lo.nombre) = upper('"&amp;SUBSTITUTE(TRIM(F520),"'","''")&amp;"') AND lo.estado = 1 LIMIT 1)")&amp;", p_id_cliente_propietario =&gt; "&amp;IF(F520="CLIENTE",IF(TRIM(G520&amp;"")="","NULL","(SELECT id FROM cli_clientes WHERE numero_documento = '"&amp;SUBSTITUTE(TRIM(G520),"'","''")&amp;"' AND estado = 1 LIMIT 1)"),"NULL")&amp;", p_id_planta =&gt; "&amp;IF(F520="PLANTA",IF(TRIM(G520&amp;"")="","NULL","(SELECT id FROM cli_clientes WHERE numero_documento = '"&amp;SUBSTITUTE(TRIM(G520),"'","''")&amp;"'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"&amp;IF(TRIM(J520&amp;"")="","NULL","(SELECT id FROM gen_almacen WHERE upper(nombre) = upper('"&amp;SUBSTITUTE(TRIM(J520),"'","''")&amp;"') AND estado = 1 LIMIT 1)")&amp;", p_id_cliente_ubicacion =&gt; "&amp;IF(TRIM(K520&amp;"")="","NULL","(SELECT id FROM cli_clientes WHERE numero_documento = '"&amp;SUBSTITUTE(TRIM(K520),"'","''")&amp;"' AND estado = 1 LIMIT 1)")&amp;", p_id_referencia =&gt; "&amp;IF(TRIM(J520&amp;"")&lt;&gt;"","(SELECT lo.id FROM gen_lista_opciones lo JOIN gen_lista l ON l.id = lo.id_lista WHERE l.nombre = 'ReferenciaCilindro' AND upper(lo.nombre) = 'ALMACEN' AND lo.estado = 1 LIMIT 1)",IF(TRIM(K520&amp;"")&lt;&gt;"","(SELECT lo.id FROM gen_lista_opciones lo JOIN gen_lista l ON l.id = lo.id_lista WHERE l.nombre = 'ReferenciaCilindro' AND upper(lo.nombre) = 'CLIENTE' AND lo.estado = 1 LIMIT 1)","NULL"))&amp;", p_anio_fabricacion =&gt; "&amp;IF(M520&amp;""="","NULL::smallint",M520&amp;"::smallint")&amp;", p_mes_fabricacion =&gt; "&amp;IF(N520&amp;""="","NULL::smallint",N520&amp;"::smallint")&amp;", p_fecha_ultima_prueba_hidrostatica =&gt; "&amp;IF(O520&amp;""="","NULL","'"&amp;YEAR(O520)&amp;"-"&amp;TEXT(MONTH(O520),"00")&amp;"-"&amp;TEXT(DAY(O520),"00")&amp;"'")&amp;", p_numero_serie =&gt; "&amp;IF(TRIM(Q520&amp;"")="","NULL","'"&amp;SUBSTITUTE(TRIM(Q520),"'","''")&amp;"'")&amp;", p_id_marca_cilindro =&gt; "&amp;IF(TRIM(R520&amp;"")="","NULL","(SELECT lo.id FROM gen_lista_opciones lo JOIN gen_lista l ON l.id = lo.id_lista WHERE l.nombre = 'MarcaCilindro' AND upper(lo.nombre) = upper('"&amp;SUBSTITUTE(TRIM(R520),"'","''")&amp;"') AND lo.estado = 1 LIMIT 1)")&amp;", p_id_organo_inspector =&gt; "&amp;IF(TRIM(S520&amp;"")="","NULL","(SELECT lo.id FROM gen_lista_opciones lo JOIN gen_lista l ON l.id = lo.id_lista WHERE l.nombre = 'OrganoInspectorCilindro' AND upper(lo.nombre) = upper('"&amp;SUBSTITUTE(TRIM(S520),"'","''")&amp;"') AND lo.estado = 1 LIMIT 1)")&amp;", p_organo_inspector_no_aplica =&gt; "&amp;IF(S520="NO_APLICA","TRUE","FALSE")&amp;", p_presion_actual =&gt; "&amp;IF(T520&amp;""="","NULL",SUBSTITUTE(T520&amp;"",",","."))&amp;", p_tipo_valvula =&gt; "&amp;IF(TRIM(U520&amp;"")="","NULL","'"&amp;SUBSTITUTE(TRIM(U520),"'","''")&amp;"'")&amp;", p_libro_cilindro =&gt; "&amp;IF(TRIM(V520&amp;"")="","NULL","'"&amp;SUBSTITUTE(TRIM(V520),"'","''")&amp;"'")&amp;", p_pagina_libro =&gt; "&amp;IF(W520&amp;""="","NULL",SUBSTITUTE(W520&amp;"",",","."))&amp;", p_observacion =&gt; "&amp;IF(TRIM(X520&amp;"")="","NULL","'"&amp;SUBSTITUTE(TRIM(X520),"'","''")&amp;"'")&amp;") AS resultado_balon_"&amp;ROW()&amp;";")</f>
        <v/>
      </c>
    </row>
    <row r="521" ht="15.75" customHeight="1" s="64">
      <c r="A521" s="36" t="inlineStr">
        <is>
          <t>517</t>
        </is>
      </c>
      <c r="B521" s="25">
        <f>IF(AND(C521="",D521="",E521=""),"",IF(C521="","FALTA código balón",IF(D521="","FALTA tipo balón",IF(E521="","FALTA gas",IF(F521="","FALTA propietario",IF(AND(C521&lt;&gt;"",SUMPRODUCT(--($C$5:$C$1200=C521))&gt;1),"CÓDIGO BALÓN DUPLICADO",IF(AND(OR(UPPER(F521)="PLANTA",UPPER(F521)="CLIENTE"),G521=""),"FALTA doc propietario/planta",IF(AND(UPPER(F521)="PLANTA",G521="10175332796"),"PLANTA no puede ser RUC empresa","OK"))))))))</f>
        <v/>
      </c>
      <c r="C521" s="23" t="inlineStr">
        <is>
          <t>K4853006</t>
        </is>
      </c>
      <c r="D521" s="17" t="inlineStr">
        <is>
          <t>Oxígeno Industrial 10 m³</t>
        </is>
      </c>
      <c r="E521" s="17" t="inlineStr">
        <is>
          <t>OXIGENO INDUSTRIAL</t>
        </is>
      </c>
      <c r="F521" s="17" t="inlineStr">
        <is>
          <t>EMPRESA</t>
        </is>
      </c>
      <c r="G521" s="23" t="inlineStr">
        <is>
          <t>10175332796</t>
        </is>
      </c>
      <c r="H521" s="25">
        <f t="array" ref="H521">IF(G521="","",IFERROR(IF(INDEX(Clientes!$D$5:$D$549,MATCH(G521,Clientes!$C$5:$C$549,0))&lt;&gt;"",INDEX(Clientes!$D$5:$D$549,MATCH(G521,Clientes!$C$5:$C$549,0)),TRIM(INDEX(Clientes!$E$5:$E$549,MATCH(G521,Clientes!$C$5:$C$549,0))&amp;" "&amp;INDEX(Clientes!$F$5:$F$549,MATCH(G521,Clientes!$C$5:$C$549,0)))),"NO EXISTE en Clientes"))</f>
        <v/>
      </c>
      <c r="I521" s="17" t="inlineStr">
        <is>
          <t>DISPONIBLE</t>
        </is>
      </c>
      <c r="J521" s="17" t="inlineStr">
        <is>
          <t>ALMACEN PRINCIPAL</t>
        </is>
      </c>
      <c r="K521" s="23" t="n"/>
      <c r="L521" s="25">
        <f t="array" ref="L521">IF(K521="","",IFERROR(IF(INDEX(Clientes!$D$5:$D$549,MATCH(K521,Clientes!$C$5:$C$549,0))&lt;&gt;"",INDEX(Clientes!$D$5:$D$549,MATCH(K521,Clientes!$C$5:$C$549,0)),TRIM(INDEX(Clientes!$E$5:$E$549,MATCH(K521,Clientes!$C$5:$C$549,0))&amp;" "&amp;INDEX(Clientes!$F$5:$F$549,MATCH(K521,Clientes!$C$5:$C$549,0)))),"NO EXISTE en Clientes"))</f>
        <v/>
      </c>
      <c r="M521" s="17" t="n"/>
      <c r="N521" s="17" t="n"/>
      <c r="O521" s="42" t="n"/>
      <c r="P521" s="39">
        <f>IF(O521&lt;&gt;"",DATE(YEAR(O521)+5,MONTH(O521),1),IF(AND(M521&lt;&gt;"",N521&lt;&gt;""),DATE(M521+5,N521,1),""))</f>
        <v/>
      </c>
      <c r="Q521" s="23" t="n"/>
      <c r="R521" s="17" t="n"/>
      <c r="S521" s="17" t="n"/>
      <c r="T521" s="17" t="n"/>
      <c r="U521" s="17" t="n"/>
      <c r="V521" s="23" t="n"/>
      <c r="W521" s="17" t="n"/>
      <c r="X521" s="17" t="n"/>
      <c r="Y521" s="28">
        <f>IF(B521&lt;&gt;"OK","","SELECT bal_crear_balon(p_codigo_balon =&gt; "&amp;IF(TRIM(C521&amp;"")="","NULL","'"&amp;SUBSTITUTE(TRIM(C521),"'","''")&amp;"'")&amp;", p_id_tipo_balon =&gt; "&amp;"(SELECT id FROM bal_tipo_balon WHERE upper(nombre) = upper('"&amp;SUBSTITUTE(TRIM(D521),"'","''")&amp;"') AND estado = 1 LIMIT 1)"&amp;", p_id_producto_gas =&gt; "&amp;"(SELECT id FROM pro_producto WHERE es_gas = TRUE AND upper(nombre) = upper('"&amp;SUBSTITUTE(TRIM(E521),"'","''")&amp;"') AND estado = 1 LIMIT 1)"&amp;", p_id_propietario =&gt; "&amp;IF(TRIM(F521&amp;"")="","NULL","(SELECT lo.id FROM gen_lista_opciones lo JOIN gen_lista l ON l.id = lo.id_lista WHERE l.nombre = 'PropietarioBalon' AND upper(lo.nombre) = upper('"&amp;SUBSTITUTE(TRIM(F521),"'","''")&amp;"') AND lo.estado = 1 LIMIT 1)")&amp;", p_id_cliente_propietario =&gt; "&amp;IF(F521="CLIENTE",IF(TRIM(G521&amp;"")="","NULL","(SELECT id FROM cli_clientes WHERE numero_documento = '"&amp;SUBSTITUTE(TRIM(G521),"'","''")&amp;"' AND estado = 1 LIMIT 1)"),"NULL")&amp;", p_id_planta =&gt; "&amp;IF(F521="PLANTA",IF(TRIM(G521&amp;"")="","NULL","(SELECT id FROM cli_clientes WHERE numero_documento = '"&amp;SUBSTITUTE(TRIM(G521),"'","''")&amp;"'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"&amp;IF(TRIM(J521&amp;"")="","NULL","(SELECT id FROM gen_almacen WHERE upper(nombre) = upper('"&amp;SUBSTITUTE(TRIM(J521),"'","''")&amp;"') AND estado = 1 LIMIT 1)")&amp;", p_id_cliente_ubicacion =&gt; "&amp;IF(TRIM(K521&amp;"")="","NULL","(SELECT id FROM cli_clientes WHERE numero_documento = '"&amp;SUBSTITUTE(TRIM(K521),"'","''")&amp;"' AND estado = 1 LIMIT 1)")&amp;", p_id_referencia =&gt; "&amp;IF(TRIM(J521&amp;"")&lt;&gt;"","(SELECT lo.id FROM gen_lista_opciones lo JOIN gen_lista l ON l.id = lo.id_lista WHERE l.nombre = 'ReferenciaCilindro' AND upper(lo.nombre) = 'ALMACEN' AND lo.estado = 1 LIMIT 1)",IF(TRIM(K521&amp;"")&lt;&gt;"","(SELECT lo.id FROM gen_lista_opciones lo JOIN gen_lista l ON l.id = lo.id_lista WHERE l.nombre = 'ReferenciaCilindro' AND upper(lo.nombre) = 'CLIENTE' AND lo.estado = 1 LIMIT 1)","NULL"))&amp;", p_anio_fabricacion =&gt; "&amp;IF(M521&amp;""="","NULL::smallint",M521&amp;"::smallint")&amp;", p_mes_fabricacion =&gt; "&amp;IF(N521&amp;""="","NULL::smallint",N521&amp;"::smallint")&amp;", p_fecha_ultima_prueba_hidrostatica =&gt; "&amp;IF(O521&amp;""="","NULL","'"&amp;YEAR(O521)&amp;"-"&amp;TEXT(MONTH(O521),"00")&amp;"-"&amp;TEXT(DAY(O521),"00")&amp;"'")&amp;", p_numero_serie =&gt; "&amp;IF(TRIM(Q521&amp;"")="","NULL","'"&amp;SUBSTITUTE(TRIM(Q521),"'","''")&amp;"'")&amp;", p_id_marca_cilindro =&gt; "&amp;IF(TRIM(R521&amp;"")="","NULL","(SELECT lo.id FROM gen_lista_opciones lo JOIN gen_lista l ON l.id = lo.id_lista WHERE l.nombre = 'MarcaCilindro' AND upper(lo.nombre) = upper('"&amp;SUBSTITUTE(TRIM(R521),"'","''")&amp;"') AND lo.estado = 1 LIMIT 1)")&amp;", p_id_organo_inspector =&gt; "&amp;IF(TRIM(S521&amp;"")="","NULL","(SELECT lo.id FROM gen_lista_opciones lo JOIN gen_lista l ON l.id = lo.id_lista WHERE l.nombre = 'OrganoInspectorCilindro' AND upper(lo.nombre) = upper('"&amp;SUBSTITUTE(TRIM(S521),"'","''")&amp;"') AND lo.estado = 1 LIMIT 1)")&amp;", p_organo_inspector_no_aplica =&gt; "&amp;IF(S521="NO_APLICA","TRUE","FALSE")&amp;", p_presion_actual =&gt; "&amp;IF(T521&amp;""="","NULL",SUBSTITUTE(T521&amp;"",",","."))&amp;", p_tipo_valvula =&gt; "&amp;IF(TRIM(U521&amp;"")="","NULL","'"&amp;SUBSTITUTE(TRIM(U521),"'","''")&amp;"'")&amp;", p_libro_cilindro =&gt; "&amp;IF(TRIM(V521&amp;"")="","NULL","'"&amp;SUBSTITUTE(TRIM(V521),"'","''")&amp;"'")&amp;", p_pagina_libro =&gt; "&amp;IF(W521&amp;""="","NULL",SUBSTITUTE(W521&amp;"",",","."))&amp;", p_observacion =&gt; "&amp;IF(TRIM(X521&amp;"")="","NULL","'"&amp;SUBSTITUTE(TRIM(X521),"'","''")&amp;"'")&amp;") AS resultado_balon_"&amp;ROW()&amp;";")</f>
        <v/>
      </c>
    </row>
    <row r="522" ht="15.75" customHeight="1" s="64">
      <c r="A522" s="36" t="inlineStr">
        <is>
          <t>518</t>
        </is>
      </c>
      <c r="B522" s="25">
        <f>IF(AND(C522="",D522="",E522=""),"",IF(C522="","FALTA código balón",IF(D522="","FALTA tipo balón",IF(E522="","FALTA gas",IF(F522="","FALTA propietario",IF(AND(C522&lt;&gt;"",SUMPRODUCT(--($C$5:$C$1200=C522))&gt;1),"CÓDIGO BALÓN DUPLICADO",IF(AND(OR(UPPER(F522)="PLANTA",UPPER(F522)="CLIENTE"),G522=""),"FALTA doc propietario/planta",IF(AND(UPPER(F522)="PLANTA",G522="10175332796"),"PLANTA no puede ser RUC empresa","OK"))))))))</f>
        <v/>
      </c>
      <c r="C522" s="23" t="inlineStr">
        <is>
          <t>K5713054</t>
        </is>
      </c>
      <c r="D522" s="17" t="inlineStr">
        <is>
          <t>Oxígeno Medicinal 10 m³</t>
        </is>
      </c>
      <c r="E522" s="17" t="inlineStr">
        <is>
          <t>OXIGENO MEDICINAL</t>
        </is>
      </c>
      <c r="F522" s="17" t="inlineStr">
        <is>
          <t>EMPRESA</t>
        </is>
      </c>
      <c r="G522" s="23" t="inlineStr">
        <is>
          <t>10175332796</t>
        </is>
      </c>
      <c r="H522" s="25">
        <f t="array" ref="H522">IF(G522="","",IFERROR(IF(INDEX(Clientes!$D$5:$D$549,MATCH(G522,Clientes!$C$5:$C$549,0))&lt;&gt;"",INDEX(Clientes!$D$5:$D$549,MATCH(G522,Clientes!$C$5:$C$549,0)),TRIM(INDEX(Clientes!$E$5:$E$549,MATCH(G522,Clientes!$C$5:$C$549,0))&amp;" "&amp;INDEX(Clientes!$F$5:$F$549,MATCH(G522,Clientes!$C$5:$C$549,0)))),"NO EXISTE en Clientes"))</f>
        <v/>
      </c>
      <c r="I522" s="17" t="inlineStr">
        <is>
          <t>DISPONIBLE</t>
        </is>
      </c>
      <c r="J522" s="17" t="inlineStr">
        <is>
          <t>ALMACEN PRINCIPAL</t>
        </is>
      </c>
      <c r="K522" s="23" t="n"/>
      <c r="L522" s="25">
        <f t="array" ref="L522">IF(K522="","",IFERROR(IF(INDEX(Clientes!$D$5:$D$549,MATCH(K522,Clientes!$C$5:$C$549,0))&lt;&gt;"",INDEX(Clientes!$D$5:$D$549,MATCH(K522,Clientes!$C$5:$C$549,0)),TRIM(INDEX(Clientes!$E$5:$E$549,MATCH(K522,Clientes!$C$5:$C$549,0))&amp;" "&amp;INDEX(Clientes!$F$5:$F$549,MATCH(K522,Clientes!$C$5:$C$549,0)))),"NO EXISTE en Clientes"))</f>
        <v/>
      </c>
      <c r="M522" s="17" t="n"/>
      <c r="N522" s="17" t="n"/>
      <c r="O522" s="42" t="n"/>
      <c r="P522" s="39">
        <f>IF(O522&lt;&gt;"",DATE(YEAR(O522)+5,MONTH(O522),1),IF(AND(M522&lt;&gt;"",N522&lt;&gt;""),DATE(M522+5,N522,1),""))</f>
        <v/>
      </c>
      <c r="Q522" s="23" t="n"/>
      <c r="R522" s="17" t="n"/>
      <c r="S522" s="17" t="n"/>
      <c r="T522" s="17" t="n"/>
      <c r="U522" s="17" t="n"/>
      <c r="V522" s="23" t="n"/>
      <c r="W522" s="17" t="n"/>
      <c r="X522" s="17" t="n"/>
      <c r="Y522" s="28">
        <f>IF(B522&lt;&gt;"OK","","SELECT bal_crear_balon(p_codigo_balon =&gt; "&amp;IF(TRIM(C522&amp;"")="","NULL","'"&amp;SUBSTITUTE(TRIM(C522),"'","''")&amp;"'")&amp;", p_id_tipo_balon =&gt; "&amp;"(SELECT id FROM bal_tipo_balon WHERE upper(nombre) = upper('"&amp;SUBSTITUTE(TRIM(D522),"'","''")&amp;"') AND estado = 1 LIMIT 1)"&amp;", p_id_producto_gas =&gt; "&amp;"(SELECT id FROM pro_producto WHERE es_gas = TRUE AND upper(nombre) = upper('"&amp;SUBSTITUTE(TRIM(E522),"'","''")&amp;"') AND estado = 1 LIMIT 1)"&amp;", p_id_propietario =&gt; "&amp;IF(TRIM(F522&amp;"")="","NULL","(SELECT lo.id FROM gen_lista_opciones lo JOIN gen_lista l ON l.id = lo.id_lista WHERE l.nombre = 'PropietarioBalon' AND upper(lo.nombre) = upper('"&amp;SUBSTITUTE(TRIM(F522),"'","''")&amp;"') AND lo.estado = 1 LIMIT 1)")&amp;", p_id_cliente_propietario =&gt; "&amp;IF(F522="CLIENTE",IF(TRIM(G522&amp;"")="","NULL","(SELECT id FROM cli_clientes WHERE numero_documento = '"&amp;SUBSTITUTE(TRIM(G522),"'","''")&amp;"' AND estado = 1 LIMIT 1)"),"NULL")&amp;", p_id_planta =&gt; "&amp;IF(F522="PLANTA",IF(TRIM(G522&amp;"")="","NULL","(SELECT id FROM cli_clientes WHERE numero_documento = '"&amp;SUBSTITUTE(TRIM(G522),"'","''")&amp;"'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"&amp;IF(TRIM(J522&amp;"")="","NULL","(SELECT id FROM gen_almacen WHERE upper(nombre) = upper('"&amp;SUBSTITUTE(TRIM(J522),"'","''")&amp;"') AND estado = 1 LIMIT 1)")&amp;", p_id_cliente_ubicacion =&gt; "&amp;IF(TRIM(K522&amp;"")="","NULL","(SELECT id FROM cli_clientes WHERE numero_documento = '"&amp;SUBSTITUTE(TRIM(K522),"'","''")&amp;"' AND estado = 1 LIMIT 1)")&amp;", p_id_referencia =&gt; "&amp;IF(TRIM(J522&amp;"")&lt;&gt;"","(SELECT lo.id FROM gen_lista_opciones lo JOIN gen_lista l ON l.id = lo.id_lista WHERE l.nombre = 'ReferenciaCilindro' AND upper(lo.nombre) = 'ALMACEN' AND lo.estado = 1 LIMIT 1)",IF(TRIM(K522&amp;"")&lt;&gt;"","(SELECT lo.id FROM gen_lista_opciones lo JOIN gen_lista l ON l.id = lo.id_lista WHERE l.nombre = 'ReferenciaCilindro' AND upper(lo.nombre) = 'CLIENTE' AND lo.estado = 1 LIMIT 1)","NULL"))&amp;", p_anio_fabricacion =&gt; "&amp;IF(M522&amp;""="","NULL::smallint",M522&amp;"::smallint")&amp;", p_mes_fabricacion =&gt; "&amp;IF(N522&amp;""="","NULL::smallint",N522&amp;"::smallint")&amp;", p_fecha_ultima_prueba_hidrostatica =&gt; "&amp;IF(O522&amp;""="","NULL","'"&amp;YEAR(O522)&amp;"-"&amp;TEXT(MONTH(O522),"00")&amp;"-"&amp;TEXT(DAY(O522),"00")&amp;"'")&amp;", p_numero_serie =&gt; "&amp;IF(TRIM(Q522&amp;"")="","NULL","'"&amp;SUBSTITUTE(TRIM(Q522),"'","''")&amp;"'")&amp;", p_id_marca_cilindro =&gt; "&amp;IF(TRIM(R522&amp;"")="","NULL","(SELECT lo.id FROM gen_lista_opciones lo JOIN gen_lista l ON l.id = lo.id_lista WHERE l.nombre = 'MarcaCilindro' AND upper(lo.nombre) = upper('"&amp;SUBSTITUTE(TRIM(R522),"'","''")&amp;"') AND lo.estado = 1 LIMIT 1)")&amp;", p_id_organo_inspector =&gt; "&amp;IF(TRIM(S522&amp;"")="","NULL","(SELECT lo.id FROM gen_lista_opciones lo JOIN gen_lista l ON l.id = lo.id_lista WHERE l.nombre = 'OrganoInspectorCilindro' AND upper(lo.nombre) = upper('"&amp;SUBSTITUTE(TRIM(S522),"'","''")&amp;"') AND lo.estado = 1 LIMIT 1)")&amp;", p_organo_inspector_no_aplica =&gt; "&amp;IF(S522="NO_APLICA","TRUE","FALSE")&amp;", p_presion_actual =&gt; "&amp;IF(T522&amp;""="","NULL",SUBSTITUTE(T522&amp;"",",","."))&amp;", p_tipo_valvula =&gt; "&amp;IF(TRIM(U522&amp;"")="","NULL","'"&amp;SUBSTITUTE(TRIM(U522),"'","''")&amp;"'")&amp;", p_libro_cilindro =&gt; "&amp;IF(TRIM(V522&amp;"")="","NULL","'"&amp;SUBSTITUTE(TRIM(V522),"'","''")&amp;"'")&amp;", p_pagina_libro =&gt; "&amp;IF(W522&amp;""="","NULL",SUBSTITUTE(W522&amp;"",",","."))&amp;", p_observacion =&gt; "&amp;IF(TRIM(X522&amp;"")="","NULL","'"&amp;SUBSTITUTE(TRIM(X522),"'","''")&amp;"'")&amp;") AS resultado_balon_"&amp;ROW()&amp;";")</f>
        <v/>
      </c>
    </row>
    <row r="523" ht="15.75" customHeight="1" s="64">
      <c r="A523" s="36" t="inlineStr">
        <is>
          <t>519</t>
        </is>
      </c>
      <c r="B523" s="25">
        <f>IF(AND(C523="",D523="",E523=""),"",IF(C523="","FALTA código balón",IF(D523="","FALTA tipo balón",IF(E523="","FALTA gas",IF(F523="","FALTA propietario",IF(AND(C523&lt;&gt;"",SUMPRODUCT(--($C$5:$C$1200=C523))&gt;1),"CÓDIGO BALÓN DUPLICADO",IF(AND(OR(UPPER(F523)="PLANTA",UPPER(F523)="CLIENTE"),G523=""),"FALTA doc propietario/planta",IF(AND(UPPER(F523)="PLANTA",G523="10175332796"),"PLANTA no puede ser RUC empresa","OK"))))))))</f>
        <v/>
      </c>
      <c r="C523" s="23" t="inlineStr">
        <is>
          <t>20X289026 (PW200)</t>
        </is>
      </c>
      <c r="D523" s="17" t="inlineStr">
        <is>
          <t>Oxígeno Industrial 10 m³</t>
        </is>
      </c>
      <c r="E523" s="17" t="inlineStr">
        <is>
          <t>OXIGENO INDUSTRIAL</t>
        </is>
      </c>
      <c r="F523" s="17" t="inlineStr">
        <is>
          <t>EMPRESA</t>
        </is>
      </c>
      <c r="G523" s="23" t="inlineStr">
        <is>
          <t>10175332796</t>
        </is>
      </c>
      <c r="H523" s="25">
        <f t="array" ref="H523">IF(G523="","",IFERROR(IF(INDEX(Clientes!$D$5:$D$549,MATCH(G523,Clientes!$C$5:$C$549,0))&lt;&gt;"",INDEX(Clientes!$D$5:$D$549,MATCH(G523,Clientes!$C$5:$C$549,0)),TRIM(INDEX(Clientes!$E$5:$E$549,MATCH(G523,Clientes!$C$5:$C$549,0))&amp;" "&amp;INDEX(Clientes!$F$5:$F$549,MATCH(G523,Clientes!$C$5:$C$549,0)))),"NO EXISTE en Clientes"))</f>
        <v/>
      </c>
      <c r="I523" s="17" t="inlineStr">
        <is>
          <t>DISPONIBLE</t>
        </is>
      </c>
      <c r="J523" s="17" t="inlineStr">
        <is>
          <t>ALMACEN PRINCIPAL</t>
        </is>
      </c>
      <c r="K523" s="23" t="n"/>
      <c r="L523" s="25">
        <f t="array" ref="L523">IF(K523="","",IFERROR(IF(INDEX(Clientes!$D$5:$D$549,MATCH(K523,Clientes!$C$5:$C$549,0))&lt;&gt;"",INDEX(Clientes!$D$5:$D$549,MATCH(K523,Clientes!$C$5:$C$549,0)),TRIM(INDEX(Clientes!$E$5:$E$549,MATCH(K523,Clientes!$C$5:$C$549,0))&amp;" "&amp;INDEX(Clientes!$F$5:$F$549,MATCH(K523,Clientes!$C$5:$C$549,0)))),"NO EXISTE en Clientes"))</f>
        <v/>
      </c>
      <c r="M523" s="17" t="n"/>
      <c r="N523" s="17" t="n"/>
      <c r="O523" s="42" t="n"/>
      <c r="P523" s="39">
        <f>IF(O523&lt;&gt;"",DATE(YEAR(O523)+5,MONTH(O523),1),IF(AND(M523&lt;&gt;"",N523&lt;&gt;""),DATE(M523+5,N523,1),""))</f>
        <v/>
      </c>
      <c r="Q523" s="23" t="n"/>
      <c r="R523" s="17" t="n"/>
      <c r="S523" s="17" t="n"/>
      <c r="T523" s="17" t="n"/>
      <c r="U523" s="17" t="n"/>
      <c r="V523" s="23" t="n"/>
      <c r="W523" s="17" t="n"/>
      <c r="X523" s="17" t="n"/>
      <c r="Y523" s="28">
        <f>IF(B523&lt;&gt;"OK","","SELECT bal_crear_balon(p_codigo_balon =&gt; "&amp;IF(TRIM(C523&amp;"")="","NULL","'"&amp;SUBSTITUTE(TRIM(C523),"'","''")&amp;"'")&amp;", p_id_tipo_balon =&gt; "&amp;"(SELECT id FROM bal_tipo_balon WHERE upper(nombre) = upper('"&amp;SUBSTITUTE(TRIM(D523),"'","''")&amp;"') AND estado = 1 LIMIT 1)"&amp;", p_id_producto_gas =&gt; "&amp;"(SELECT id FROM pro_producto WHERE es_gas = TRUE AND upper(nombre) = upper('"&amp;SUBSTITUTE(TRIM(E523),"'","''")&amp;"') AND estado = 1 LIMIT 1)"&amp;", p_id_propietario =&gt; "&amp;IF(TRIM(F523&amp;"")="","NULL","(SELECT lo.id FROM gen_lista_opciones lo JOIN gen_lista l ON l.id = lo.id_lista WHERE l.nombre = 'PropietarioBalon' AND upper(lo.nombre) = upper('"&amp;SUBSTITUTE(TRIM(F523),"'","''")&amp;"') AND lo.estado = 1 LIMIT 1)")&amp;", p_id_cliente_propietario =&gt; "&amp;IF(F523="CLIENTE",IF(TRIM(G523&amp;"")="","NULL","(SELECT id FROM cli_clientes WHERE numero_documento = '"&amp;SUBSTITUTE(TRIM(G523),"'","''")&amp;"' AND estado = 1 LIMIT 1)"),"NULL")&amp;", p_id_planta =&gt; "&amp;IF(F523="PLANTA",IF(TRIM(G523&amp;"")="","NULL","(SELECT id FROM cli_clientes WHERE numero_documento = '"&amp;SUBSTITUTE(TRIM(G523),"'","''")&amp;"'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"&amp;IF(TRIM(J523&amp;"")="","NULL","(SELECT id FROM gen_almacen WHERE upper(nombre) = upper('"&amp;SUBSTITUTE(TRIM(J523),"'","''")&amp;"') AND estado = 1 LIMIT 1)")&amp;", p_id_cliente_ubicacion =&gt; "&amp;IF(TRIM(K523&amp;"")="","NULL","(SELECT id FROM cli_clientes WHERE numero_documento = '"&amp;SUBSTITUTE(TRIM(K523),"'","''")&amp;"' AND estado = 1 LIMIT 1)")&amp;", p_id_referencia =&gt; "&amp;IF(TRIM(J523&amp;"")&lt;&gt;"","(SELECT lo.id FROM gen_lista_opciones lo JOIN gen_lista l ON l.id = lo.id_lista WHERE l.nombre = 'ReferenciaCilindro' AND upper(lo.nombre) = 'ALMACEN' AND lo.estado = 1 LIMIT 1)",IF(TRIM(K523&amp;"")&lt;&gt;"","(SELECT lo.id FROM gen_lista_opciones lo JOIN gen_lista l ON l.id = lo.id_lista WHERE l.nombre = 'ReferenciaCilindro' AND upper(lo.nombre) = 'CLIENTE' AND lo.estado = 1 LIMIT 1)","NULL"))&amp;", p_anio_fabricacion =&gt; "&amp;IF(M523&amp;""="","NULL::smallint",M523&amp;"::smallint")&amp;", p_mes_fabricacion =&gt; "&amp;IF(N523&amp;""="","NULL::smallint",N523&amp;"::smallint")&amp;", p_fecha_ultima_prueba_hidrostatica =&gt; "&amp;IF(O523&amp;""="","NULL","'"&amp;YEAR(O523)&amp;"-"&amp;TEXT(MONTH(O523),"00")&amp;"-"&amp;TEXT(DAY(O523),"00")&amp;"'")&amp;", p_numero_serie =&gt; "&amp;IF(TRIM(Q523&amp;"")="","NULL","'"&amp;SUBSTITUTE(TRIM(Q523),"'","''")&amp;"'")&amp;", p_id_marca_cilindro =&gt; "&amp;IF(TRIM(R523&amp;"")="","NULL","(SELECT lo.id FROM gen_lista_opciones lo JOIN gen_lista l ON l.id = lo.id_lista WHERE l.nombre = 'MarcaCilindro' AND upper(lo.nombre) = upper('"&amp;SUBSTITUTE(TRIM(R523),"'","''")&amp;"') AND lo.estado = 1 LIMIT 1)")&amp;", p_id_organo_inspector =&gt; "&amp;IF(TRIM(S523&amp;"")="","NULL","(SELECT lo.id FROM gen_lista_opciones lo JOIN gen_lista l ON l.id = lo.id_lista WHERE l.nombre = 'OrganoInspectorCilindro' AND upper(lo.nombre) = upper('"&amp;SUBSTITUTE(TRIM(S523),"'","''")&amp;"') AND lo.estado = 1 LIMIT 1)")&amp;", p_organo_inspector_no_aplica =&gt; "&amp;IF(S523="NO_APLICA","TRUE","FALSE")&amp;", p_presion_actual =&gt; "&amp;IF(T523&amp;""="","NULL",SUBSTITUTE(T523&amp;"",",","."))&amp;", p_tipo_valvula =&gt; "&amp;IF(TRIM(U523&amp;"")="","NULL","'"&amp;SUBSTITUTE(TRIM(U523),"'","''")&amp;"'")&amp;", p_libro_cilindro =&gt; "&amp;IF(TRIM(V523&amp;"")="","NULL","'"&amp;SUBSTITUTE(TRIM(V523),"'","''")&amp;"'")&amp;", p_pagina_libro =&gt; "&amp;IF(W523&amp;""="","NULL",SUBSTITUTE(W523&amp;"",",","."))&amp;", p_observacion =&gt; "&amp;IF(TRIM(X523&amp;"")="","NULL","'"&amp;SUBSTITUTE(TRIM(X523),"'","''")&amp;"'")&amp;") AS resultado_balon_"&amp;ROW()&amp;";")</f>
        <v/>
      </c>
    </row>
    <row r="524" ht="15.75" customHeight="1" s="64">
      <c r="A524" s="36" t="inlineStr">
        <is>
          <t>520</t>
        </is>
      </c>
      <c r="B524" s="25">
        <f>IF(AND(C524="",D524="",E524=""),"",IF(C524="","FALTA código balón",IF(D524="","FALTA tipo balón",IF(E524="","FALTA gas",IF(F524="","FALTA propietario",IF(AND(C524&lt;&gt;"",SUMPRODUCT(--($C$5:$C$1200=C524))&gt;1),"CÓDIGO BALÓN DUPLICADO",IF(AND(OR(UPPER(F524)="PLANTA",UPPER(F524)="CLIENTE"),G524=""),"FALTA doc propietario/planta",IF(AND(UPPER(F524)="PLANTA",G524="10175332796"),"PLANTA no puede ser RUC empresa","OK"))))))))</f>
        <v/>
      </c>
      <c r="C524" s="23" t="inlineStr">
        <is>
          <t>H24919</t>
        </is>
      </c>
      <c r="D524" s="17" t="inlineStr">
        <is>
          <t>Oxígeno Industrial 6 m³</t>
        </is>
      </c>
      <c r="E524" s="17" t="inlineStr">
        <is>
          <t>OXIGENO INDUSTRIAL</t>
        </is>
      </c>
      <c r="F524" s="17" t="inlineStr">
        <is>
          <t>EMPRESA</t>
        </is>
      </c>
      <c r="G524" s="23" t="inlineStr">
        <is>
          <t>10175332796</t>
        </is>
      </c>
      <c r="H524" s="25">
        <f t="array" ref="H524">IF(G524="","",IFERROR(IF(INDEX(Clientes!$D$5:$D$549,MATCH(G524,Clientes!$C$5:$C$549,0))&lt;&gt;"",INDEX(Clientes!$D$5:$D$549,MATCH(G524,Clientes!$C$5:$C$549,0)),TRIM(INDEX(Clientes!$E$5:$E$549,MATCH(G524,Clientes!$C$5:$C$549,0))&amp;" "&amp;INDEX(Clientes!$F$5:$F$549,MATCH(G524,Clientes!$C$5:$C$549,0)))),"NO EXISTE en Clientes"))</f>
        <v/>
      </c>
      <c r="I524" s="17" t="inlineStr">
        <is>
          <t>DISPONIBLE</t>
        </is>
      </c>
      <c r="J524" s="17" t="inlineStr">
        <is>
          <t>ALMACEN PRINCIPAL</t>
        </is>
      </c>
      <c r="K524" s="23" t="n"/>
      <c r="L524" s="25">
        <f t="array" ref="L524">IF(K524="","",IFERROR(IF(INDEX(Clientes!$D$5:$D$549,MATCH(K524,Clientes!$C$5:$C$549,0))&lt;&gt;"",INDEX(Clientes!$D$5:$D$549,MATCH(K524,Clientes!$C$5:$C$549,0)),TRIM(INDEX(Clientes!$E$5:$E$549,MATCH(K524,Clientes!$C$5:$C$549,0))&amp;" "&amp;INDEX(Clientes!$F$5:$F$549,MATCH(K524,Clientes!$C$5:$C$549,0)))),"NO EXISTE en Clientes"))</f>
        <v/>
      </c>
      <c r="M524" s="17" t="n"/>
      <c r="N524" s="17" t="n"/>
      <c r="O524" s="42" t="n"/>
      <c r="P524" s="39">
        <f>IF(O524&lt;&gt;"",DATE(YEAR(O524)+5,MONTH(O524),1),IF(AND(M524&lt;&gt;"",N524&lt;&gt;""),DATE(M524+5,N524,1),""))</f>
        <v/>
      </c>
      <c r="Q524" s="23" t="n"/>
      <c r="R524" s="17" t="n"/>
      <c r="S524" s="17" t="n"/>
      <c r="T524" s="17" t="n"/>
      <c r="U524" s="17" t="n"/>
      <c r="V524" s="23" t="n"/>
      <c r="W524" s="17" t="n"/>
      <c r="X524" s="17" t="n"/>
      <c r="Y524" s="28">
        <f>IF(B524&lt;&gt;"OK","","SELECT bal_crear_balon(p_codigo_balon =&gt; "&amp;IF(TRIM(C524&amp;"")="","NULL","'"&amp;SUBSTITUTE(TRIM(C524),"'","''")&amp;"'")&amp;", p_id_tipo_balon =&gt; "&amp;"(SELECT id FROM bal_tipo_balon WHERE upper(nombre) = upper('"&amp;SUBSTITUTE(TRIM(D524),"'","''")&amp;"') AND estado = 1 LIMIT 1)"&amp;", p_id_producto_gas =&gt; "&amp;"(SELECT id FROM pro_producto WHERE es_gas = TRUE AND upper(nombre) = upper('"&amp;SUBSTITUTE(TRIM(E524),"'","''")&amp;"') AND estado = 1 LIMIT 1)"&amp;", p_id_propietario =&gt; "&amp;IF(TRIM(F524&amp;"")="","NULL","(SELECT lo.id FROM gen_lista_opciones lo JOIN gen_lista l ON l.id = lo.id_lista WHERE l.nombre = 'PropietarioBalon' AND upper(lo.nombre) = upper('"&amp;SUBSTITUTE(TRIM(F524),"'","''")&amp;"') AND lo.estado = 1 LIMIT 1)")&amp;", p_id_cliente_propietario =&gt; "&amp;IF(F524="CLIENTE",IF(TRIM(G524&amp;"")="","NULL","(SELECT id FROM cli_clientes WHERE numero_documento = '"&amp;SUBSTITUTE(TRIM(G524),"'","''")&amp;"' AND estado = 1 LIMIT 1)"),"NULL")&amp;", p_id_planta =&gt; "&amp;IF(F524="PLANTA",IF(TRIM(G524&amp;"")="","NULL","(SELECT id FROM cli_clientes WHERE numero_documento = '"&amp;SUBSTITUTE(TRIM(G524),"'","''")&amp;"'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"&amp;IF(TRIM(J524&amp;"")="","NULL","(SELECT id FROM gen_almacen WHERE upper(nombre) = upper('"&amp;SUBSTITUTE(TRIM(J524),"'","''")&amp;"') AND estado = 1 LIMIT 1)")&amp;", p_id_cliente_ubicacion =&gt; "&amp;IF(TRIM(K524&amp;"")="","NULL","(SELECT id FROM cli_clientes WHERE numero_documento = '"&amp;SUBSTITUTE(TRIM(K524),"'","''")&amp;"' AND estado = 1 LIMIT 1)")&amp;", p_id_referencia =&gt; "&amp;IF(TRIM(J524&amp;"")&lt;&gt;"","(SELECT lo.id FROM gen_lista_opciones lo JOIN gen_lista l ON l.id = lo.id_lista WHERE l.nombre = 'ReferenciaCilindro' AND upper(lo.nombre) = 'ALMACEN' AND lo.estado = 1 LIMIT 1)",IF(TRIM(K524&amp;"")&lt;&gt;"","(SELECT lo.id FROM gen_lista_opciones lo JOIN gen_lista l ON l.id = lo.id_lista WHERE l.nombre = 'ReferenciaCilindro' AND upper(lo.nombre) = 'CLIENTE' AND lo.estado = 1 LIMIT 1)","NULL"))&amp;", p_anio_fabricacion =&gt; "&amp;IF(M524&amp;""="","NULL::smallint",M524&amp;"::smallint")&amp;", p_mes_fabricacion =&gt; "&amp;IF(N524&amp;""="","NULL::smallint",N524&amp;"::smallint")&amp;", p_fecha_ultima_prueba_hidrostatica =&gt; "&amp;IF(O524&amp;""="","NULL","'"&amp;YEAR(O524)&amp;"-"&amp;TEXT(MONTH(O524),"00")&amp;"-"&amp;TEXT(DAY(O524),"00")&amp;"'")&amp;", p_numero_serie =&gt; "&amp;IF(TRIM(Q524&amp;"")="","NULL","'"&amp;SUBSTITUTE(TRIM(Q524),"'","''")&amp;"'")&amp;", p_id_marca_cilindro =&gt; "&amp;IF(TRIM(R524&amp;"")="","NULL","(SELECT lo.id FROM gen_lista_opciones lo JOIN gen_lista l ON l.id = lo.id_lista WHERE l.nombre = 'MarcaCilindro' AND upper(lo.nombre) = upper('"&amp;SUBSTITUTE(TRIM(R524),"'","''")&amp;"') AND lo.estado = 1 LIMIT 1)")&amp;", p_id_organo_inspector =&gt; "&amp;IF(TRIM(S524&amp;"")="","NULL","(SELECT lo.id FROM gen_lista_opciones lo JOIN gen_lista l ON l.id = lo.id_lista WHERE l.nombre = 'OrganoInspectorCilindro' AND upper(lo.nombre) = upper('"&amp;SUBSTITUTE(TRIM(S524),"'","''")&amp;"') AND lo.estado = 1 LIMIT 1)")&amp;", p_organo_inspector_no_aplica =&gt; "&amp;IF(S524="NO_APLICA","TRUE","FALSE")&amp;", p_presion_actual =&gt; "&amp;IF(T524&amp;""="","NULL",SUBSTITUTE(T524&amp;"",",","."))&amp;", p_tipo_valvula =&gt; "&amp;IF(TRIM(U524&amp;"")="","NULL","'"&amp;SUBSTITUTE(TRIM(U524),"'","''")&amp;"'")&amp;", p_libro_cilindro =&gt; "&amp;IF(TRIM(V524&amp;"")="","NULL","'"&amp;SUBSTITUTE(TRIM(V524),"'","''")&amp;"'")&amp;", p_pagina_libro =&gt; "&amp;IF(W524&amp;""="","NULL",SUBSTITUTE(W524&amp;"",",","."))&amp;", p_observacion =&gt; "&amp;IF(TRIM(X524&amp;"")="","NULL","'"&amp;SUBSTITUTE(TRIM(X524),"'","''")&amp;"'")&amp;") AS resultado_balon_"&amp;ROW()&amp;";")</f>
        <v/>
      </c>
    </row>
    <row r="525" ht="15.75" customHeight="1" s="64">
      <c r="A525" s="36" t="inlineStr">
        <is>
          <t>521</t>
        </is>
      </c>
      <c r="B525" s="25">
        <f>IF(AND(C525="",D525="",E525=""),"",IF(C525="","FALTA código balón",IF(D525="","FALTA tipo balón",IF(E525="","FALTA gas",IF(F525="","FALTA propietario",IF(AND(C525&lt;&gt;"",SUMPRODUCT(--($C$5:$C$1200=C525))&gt;1),"CÓDIGO BALÓN DUPLICADO",IF(AND(OR(UPPER(F525)="PLANTA",UPPER(F525)="CLIENTE"),G525=""),"FALTA doc propietario/planta",IF(AND(UPPER(F525)="PLANTA",G525="10175332796"),"PLANTA no puede ser RUC empresa","OK"))))))))</f>
        <v/>
      </c>
      <c r="C525" s="23" t="inlineStr">
        <is>
          <t>A641 (GTA641)</t>
        </is>
      </c>
      <c r="D525" s="17" t="inlineStr">
        <is>
          <t>Oxígeno Industrial 6 m³</t>
        </is>
      </c>
      <c r="E525" s="17" t="inlineStr">
        <is>
          <t>OXIGENO INDUSTRIAL</t>
        </is>
      </c>
      <c r="F525" s="17" t="inlineStr">
        <is>
          <t>EMPRESA</t>
        </is>
      </c>
      <c r="G525" s="23" t="inlineStr">
        <is>
          <t>10175332796</t>
        </is>
      </c>
      <c r="H525" s="25">
        <f t="array" ref="H525">IF(G525="","",IFERROR(IF(INDEX(Clientes!$D$5:$D$549,MATCH(G525,Clientes!$C$5:$C$549,0))&lt;&gt;"",INDEX(Clientes!$D$5:$D$549,MATCH(G525,Clientes!$C$5:$C$549,0)),TRIM(INDEX(Clientes!$E$5:$E$549,MATCH(G525,Clientes!$C$5:$C$549,0))&amp;" "&amp;INDEX(Clientes!$F$5:$F$549,MATCH(G525,Clientes!$C$5:$C$549,0)))),"NO EXISTE en Clientes"))</f>
        <v/>
      </c>
      <c r="I525" s="17" t="inlineStr">
        <is>
          <t>DISPONIBLE</t>
        </is>
      </c>
      <c r="J525" s="17" t="inlineStr">
        <is>
          <t>ALMACEN PRINCIPAL</t>
        </is>
      </c>
      <c r="K525" s="23" t="n"/>
      <c r="L525" s="25">
        <f t="array" ref="L525">IF(K525="","",IFERROR(IF(INDEX(Clientes!$D$5:$D$549,MATCH(K525,Clientes!$C$5:$C$549,0))&lt;&gt;"",INDEX(Clientes!$D$5:$D$549,MATCH(K525,Clientes!$C$5:$C$549,0)),TRIM(INDEX(Clientes!$E$5:$E$549,MATCH(K525,Clientes!$C$5:$C$549,0))&amp;" "&amp;INDEX(Clientes!$F$5:$F$549,MATCH(K525,Clientes!$C$5:$C$549,0)))),"NO EXISTE en Clientes"))</f>
        <v/>
      </c>
      <c r="M525" s="17" t="n"/>
      <c r="N525" s="17" t="n"/>
      <c r="O525" s="42" t="n"/>
      <c r="P525" s="39">
        <f>IF(O525&lt;&gt;"",DATE(YEAR(O525)+5,MONTH(O525),1),IF(AND(M525&lt;&gt;"",N525&lt;&gt;""),DATE(M525+5,N525,1),""))</f>
        <v/>
      </c>
      <c r="Q525" s="23" t="n"/>
      <c r="R525" s="17" t="n"/>
      <c r="S525" s="17" t="n"/>
      <c r="T525" s="17" t="n"/>
      <c r="U525" s="17" t="n"/>
      <c r="V525" s="23" t="n"/>
      <c r="W525" s="17" t="n"/>
      <c r="X525" s="17" t="n"/>
      <c r="Y525" s="28">
        <f>IF(B525&lt;&gt;"OK","","SELECT bal_crear_balon(p_codigo_balon =&gt; "&amp;IF(TRIM(C525&amp;"")="","NULL","'"&amp;SUBSTITUTE(TRIM(C525),"'","''")&amp;"'")&amp;", p_id_tipo_balon =&gt; "&amp;"(SELECT id FROM bal_tipo_balon WHERE upper(nombre) = upper('"&amp;SUBSTITUTE(TRIM(D525),"'","''")&amp;"') AND estado = 1 LIMIT 1)"&amp;", p_id_producto_gas =&gt; "&amp;"(SELECT id FROM pro_producto WHERE es_gas = TRUE AND upper(nombre) = upper('"&amp;SUBSTITUTE(TRIM(E525),"'","''")&amp;"') AND estado = 1 LIMIT 1)"&amp;", p_id_propietario =&gt; "&amp;IF(TRIM(F525&amp;"")="","NULL","(SELECT lo.id FROM gen_lista_opciones lo JOIN gen_lista l ON l.id = lo.id_lista WHERE l.nombre = 'PropietarioBalon' AND upper(lo.nombre) = upper('"&amp;SUBSTITUTE(TRIM(F525),"'","''")&amp;"') AND lo.estado = 1 LIMIT 1)")&amp;", p_id_cliente_propietario =&gt; "&amp;IF(F525="CLIENTE",IF(TRIM(G525&amp;"")="","NULL","(SELECT id FROM cli_clientes WHERE numero_documento = '"&amp;SUBSTITUTE(TRIM(G525),"'","''")&amp;"' AND estado = 1 LIMIT 1)"),"NULL")&amp;", p_id_planta =&gt; "&amp;IF(F525="PLANTA",IF(TRIM(G525&amp;"")="","NULL","(SELECT id FROM cli_clientes WHERE numero_documento = '"&amp;SUBSTITUTE(TRIM(G525),"'","''")&amp;"'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"&amp;IF(TRIM(J525&amp;"")="","NULL","(SELECT id FROM gen_almacen WHERE upper(nombre) = upper('"&amp;SUBSTITUTE(TRIM(J525),"'","''")&amp;"') AND estado = 1 LIMIT 1)")&amp;", p_id_cliente_ubicacion =&gt; "&amp;IF(TRIM(K525&amp;"")="","NULL","(SELECT id FROM cli_clientes WHERE numero_documento = '"&amp;SUBSTITUTE(TRIM(K525),"'","''")&amp;"' AND estado = 1 LIMIT 1)")&amp;", p_id_referencia =&gt; "&amp;IF(TRIM(J525&amp;"")&lt;&gt;"","(SELECT lo.id FROM gen_lista_opciones lo JOIN gen_lista l ON l.id = lo.id_lista WHERE l.nombre = 'ReferenciaCilindro' AND upper(lo.nombre) = 'ALMACEN' AND lo.estado = 1 LIMIT 1)",IF(TRIM(K525&amp;"")&lt;&gt;"","(SELECT lo.id FROM gen_lista_opciones lo JOIN gen_lista l ON l.id = lo.id_lista WHERE l.nombre = 'ReferenciaCilindro' AND upper(lo.nombre) = 'CLIENTE' AND lo.estado = 1 LIMIT 1)","NULL"))&amp;", p_anio_fabricacion =&gt; "&amp;IF(M525&amp;""="","NULL::smallint",M525&amp;"::smallint")&amp;", p_mes_fabricacion =&gt; "&amp;IF(N525&amp;""="","NULL::smallint",N525&amp;"::smallint")&amp;", p_fecha_ultima_prueba_hidrostatica =&gt; "&amp;IF(O525&amp;""="","NULL","'"&amp;YEAR(O525)&amp;"-"&amp;TEXT(MONTH(O525),"00")&amp;"-"&amp;TEXT(DAY(O525),"00")&amp;"'")&amp;", p_numero_serie =&gt; "&amp;IF(TRIM(Q525&amp;"")="","NULL","'"&amp;SUBSTITUTE(TRIM(Q525),"'","''")&amp;"'")&amp;", p_id_marca_cilindro =&gt; "&amp;IF(TRIM(R525&amp;"")="","NULL","(SELECT lo.id FROM gen_lista_opciones lo JOIN gen_lista l ON l.id = lo.id_lista WHERE l.nombre = 'MarcaCilindro' AND upper(lo.nombre) = upper('"&amp;SUBSTITUTE(TRIM(R525),"'","''")&amp;"') AND lo.estado = 1 LIMIT 1)")&amp;", p_id_organo_inspector =&gt; "&amp;IF(TRIM(S525&amp;"")="","NULL","(SELECT lo.id FROM gen_lista_opciones lo JOIN gen_lista l ON l.id = lo.id_lista WHERE l.nombre = 'OrganoInspectorCilindro' AND upper(lo.nombre) = upper('"&amp;SUBSTITUTE(TRIM(S525),"'","''")&amp;"') AND lo.estado = 1 LIMIT 1)")&amp;", p_organo_inspector_no_aplica =&gt; "&amp;IF(S525="NO_APLICA","TRUE","FALSE")&amp;", p_presion_actual =&gt; "&amp;IF(T525&amp;""="","NULL",SUBSTITUTE(T525&amp;"",",","."))&amp;", p_tipo_valvula =&gt; "&amp;IF(TRIM(U525&amp;"")="","NULL","'"&amp;SUBSTITUTE(TRIM(U525),"'","''")&amp;"'")&amp;", p_libro_cilindro =&gt; "&amp;IF(TRIM(V525&amp;"")="","NULL","'"&amp;SUBSTITUTE(TRIM(V525),"'","''")&amp;"'")&amp;", p_pagina_libro =&gt; "&amp;IF(W525&amp;""="","NULL",SUBSTITUTE(W525&amp;"",",","."))&amp;", p_observacion =&gt; "&amp;IF(TRIM(X525&amp;"")="","NULL","'"&amp;SUBSTITUTE(TRIM(X525),"'","''")&amp;"'")&amp;") AS resultado_balon_"&amp;ROW()&amp;";")</f>
        <v/>
      </c>
    </row>
    <row r="526" ht="15.75" customHeight="1" s="64">
      <c r="A526" s="36" t="inlineStr">
        <is>
          <t>522</t>
        </is>
      </c>
      <c r="B526" s="25">
        <f>IF(AND(C526="",D526="",E526=""),"",IF(C526="","FALTA código balón",IF(D526="","FALTA tipo balón",IF(E526="","FALTA gas",IF(F526="","FALTA propietario",IF(AND(C526&lt;&gt;"",SUMPRODUCT(--($C$5:$C$1200=C526))&gt;1),"CÓDIGO BALÓN DUPLICADO",IF(AND(OR(UPPER(F526)="PLANTA",UPPER(F526)="CLIENTE"),G526=""),"FALTA doc propietario/planta",IF(AND(UPPER(F526)="PLANTA",G526="10175332796"),"PLANTA no puede ser RUC empresa","OK"))))))))</f>
        <v/>
      </c>
      <c r="C526" s="23" t="inlineStr">
        <is>
          <t>AS453840</t>
        </is>
      </c>
      <c r="D526" s="17" t="inlineStr">
        <is>
          <t>Oxigeno Industrial de 1.5 m3</t>
        </is>
      </c>
      <c r="E526" s="17" t="inlineStr">
        <is>
          <t>OXIGENO INDUSTRIAL</t>
        </is>
      </c>
      <c r="F526" s="17" t="inlineStr">
        <is>
          <t>EMPRESA</t>
        </is>
      </c>
      <c r="G526" s="23" t="inlineStr">
        <is>
          <t>10175332796</t>
        </is>
      </c>
      <c r="H526" s="25">
        <f t="array" ref="H526">IF(G526="","",IFERROR(IF(INDEX(Clientes!$D$5:$D$549,MATCH(G526,Clientes!$C$5:$C$549,0))&lt;&gt;"",INDEX(Clientes!$D$5:$D$549,MATCH(G526,Clientes!$C$5:$C$549,0)),TRIM(INDEX(Clientes!$E$5:$E$549,MATCH(G526,Clientes!$C$5:$C$549,0))&amp;" "&amp;INDEX(Clientes!$F$5:$F$549,MATCH(G526,Clientes!$C$5:$C$549,0)))),"NO EXISTE en Clientes"))</f>
        <v/>
      </c>
      <c r="I526" s="17" t="inlineStr">
        <is>
          <t>DISPONIBLE</t>
        </is>
      </c>
      <c r="J526" s="17" t="inlineStr">
        <is>
          <t>ALMACEN PRINCIPAL</t>
        </is>
      </c>
      <c r="K526" s="23" t="n"/>
      <c r="L526" s="25">
        <f t="array" ref="L526">IF(K526="","",IFERROR(IF(INDEX(Clientes!$D$5:$D$549,MATCH(K526,Clientes!$C$5:$C$549,0))&lt;&gt;"",INDEX(Clientes!$D$5:$D$549,MATCH(K526,Clientes!$C$5:$C$549,0)),TRIM(INDEX(Clientes!$E$5:$E$549,MATCH(K526,Clientes!$C$5:$C$549,0))&amp;" "&amp;INDEX(Clientes!$F$5:$F$549,MATCH(K526,Clientes!$C$5:$C$549,0)))),"NO EXISTE en Clientes"))</f>
        <v/>
      </c>
      <c r="M526" s="17" t="n"/>
      <c r="N526" s="17" t="n"/>
      <c r="O526" s="42" t="n"/>
      <c r="P526" s="39">
        <f>IF(O526&lt;&gt;"",DATE(YEAR(O526)+5,MONTH(O526),1),IF(AND(M526&lt;&gt;"",N526&lt;&gt;""),DATE(M526+5,N526,1),""))</f>
        <v/>
      </c>
      <c r="Q526" s="23" t="n"/>
      <c r="R526" s="17" t="n"/>
      <c r="S526" s="17" t="n"/>
      <c r="T526" s="17" t="n"/>
      <c r="U526" s="17" t="n"/>
      <c r="V526" s="23" t="n"/>
      <c r="W526" s="17" t="n"/>
      <c r="X526" s="17" t="n"/>
      <c r="Y526" s="28">
        <f>IF(B526&lt;&gt;"OK","","SELECT bal_crear_balon(p_codigo_balon =&gt; "&amp;IF(TRIM(C526&amp;"")="","NULL","'"&amp;SUBSTITUTE(TRIM(C526),"'","''")&amp;"'")&amp;", p_id_tipo_balon =&gt; "&amp;"(SELECT id FROM bal_tipo_balon WHERE upper(nombre) = upper('"&amp;SUBSTITUTE(TRIM(D526),"'","''")&amp;"') AND estado = 1 LIMIT 1)"&amp;", p_id_producto_gas =&gt; "&amp;"(SELECT id FROM pro_producto WHERE es_gas = TRUE AND upper(nombre) = upper('"&amp;SUBSTITUTE(TRIM(E526),"'","''")&amp;"') AND estado = 1 LIMIT 1)"&amp;", p_id_propietario =&gt; "&amp;IF(TRIM(F526&amp;"")="","NULL","(SELECT lo.id FROM gen_lista_opciones lo JOIN gen_lista l ON l.id = lo.id_lista WHERE l.nombre = 'PropietarioBalon' AND upper(lo.nombre) = upper('"&amp;SUBSTITUTE(TRIM(F526),"'","''")&amp;"') AND lo.estado = 1 LIMIT 1)")&amp;", p_id_cliente_propietario =&gt; "&amp;IF(F526="CLIENTE",IF(TRIM(G526&amp;"")="","NULL","(SELECT id FROM cli_clientes WHERE numero_documento = '"&amp;SUBSTITUTE(TRIM(G526),"'","''")&amp;"' AND estado = 1 LIMIT 1)"),"NULL")&amp;", p_id_planta =&gt; "&amp;IF(F526="PLANTA",IF(TRIM(G526&amp;"")="","NULL","(SELECT id FROM cli_clientes WHERE numero_documento = '"&amp;SUBSTITUTE(TRIM(G526),"'","''")&amp;"'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"&amp;IF(TRIM(J526&amp;"")="","NULL","(SELECT id FROM gen_almacen WHERE upper(nombre) = upper('"&amp;SUBSTITUTE(TRIM(J526),"'","''")&amp;"') AND estado = 1 LIMIT 1)")&amp;", p_id_cliente_ubicacion =&gt; "&amp;IF(TRIM(K526&amp;"")="","NULL","(SELECT id FROM cli_clientes WHERE numero_documento = '"&amp;SUBSTITUTE(TRIM(K526),"'","''")&amp;"' AND estado = 1 LIMIT 1)")&amp;", p_id_referencia =&gt; "&amp;IF(TRIM(J526&amp;"")&lt;&gt;"","(SELECT lo.id FROM gen_lista_opciones lo JOIN gen_lista l ON l.id = lo.id_lista WHERE l.nombre = 'ReferenciaCilindro' AND upper(lo.nombre) = 'ALMACEN' AND lo.estado = 1 LIMIT 1)",IF(TRIM(K526&amp;"")&lt;&gt;"","(SELECT lo.id FROM gen_lista_opciones lo JOIN gen_lista l ON l.id = lo.id_lista WHERE l.nombre = 'ReferenciaCilindro' AND upper(lo.nombre) = 'CLIENTE' AND lo.estado = 1 LIMIT 1)","NULL"))&amp;", p_anio_fabricacion =&gt; "&amp;IF(M526&amp;""="","NULL::smallint",M526&amp;"::smallint")&amp;", p_mes_fabricacion =&gt; "&amp;IF(N526&amp;""="","NULL::smallint",N526&amp;"::smallint")&amp;", p_fecha_ultima_prueba_hidrostatica =&gt; "&amp;IF(O526&amp;""="","NULL","'"&amp;YEAR(O526)&amp;"-"&amp;TEXT(MONTH(O526),"00")&amp;"-"&amp;TEXT(DAY(O526),"00")&amp;"'")&amp;", p_numero_serie =&gt; "&amp;IF(TRIM(Q526&amp;"")="","NULL","'"&amp;SUBSTITUTE(TRIM(Q526),"'","''")&amp;"'")&amp;", p_id_marca_cilindro =&gt; "&amp;IF(TRIM(R526&amp;"")="","NULL","(SELECT lo.id FROM gen_lista_opciones lo JOIN gen_lista l ON l.id = lo.id_lista WHERE l.nombre = 'MarcaCilindro' AND upper(lo.nombre) = upper('"&amp;SUBSTITUTE(TRIM(R526),"'","''")&amp;"') AND lo.estado = 1 LIMIT 1)")&amp;", p_id_organo_inspector =&gt; "&amp;IF(TRIM(S526&amp;"")="","NULL","(SELECT lo.id FROM gen_lista_opciones lo JOIN gen_lista l ON l.id = lo.id_lista WHERE l.nombre = 'OrganoInspectorCilindro' AND upper(lo.nombre) = upper('"&amp;SUBSTITUTE(TRIM(S526),"'","''")&amp;"') AND lo.estado = 1 LIMIT 1)")&amp;", p_organo_inspector_no_aplica =&gt; "&amp;IF(S526="NO_APLICA","TRUE","FALSE")&amp;", p_presion_actual =&gt; "&amp;IF(T526&amp;""="","NULL",SUBSTITUTE(T526&amp;"",",","."))&amp;", p_tipo_valvula =&gt; "&amp;IF(TRIM(U526&amp;"")="","NULL","'"&amp;SUBSTITUTE(TRIM(U526),"'","''")&amp;"'")&amp;", p_libro_cilindro =&gt; "&amp;IF(TRIM(V526&amp;"")="","NULL","'"&amp;SUBSTITUTE(TRIM(V526),"'","''")&amp;"'")&amp;", p_pagina_libro =&gt; "&amp;IF(W526&amp;""="","NULL",SUBSTITUTE(W526&amp;"",",","."))&amp;", p_observacion =&gt; "&amp;IF(TRIM(X526&amp;"")="","NULL","'"&amp;SUBSTITUTE(TRIM(X526),"'","''")&amp;"'")&amp;") AS resultado_balon_"&amp;ROW()&amp;";")</f>
        <v/>
      </c>
    </row>
    <row r="527" ht="15.75" customHeight="1" s="64">
      <c r="A527" s="36" t="inlineStr">
        <is>
          <t>523</t>
        </is>
      </c>
      <c r="B527" s="25">
        <f>IF(AND(C527="",D527="",E527=""),"",IF(C527="","FALTA código balón",IF(D527="","FALTA tipo balón",IF(E527="","FALTA gas",IF(F527="","FALTA propietario",IF(AND(C527&lt;&gt;"",SUMPRODUCT(--($C$5:$C$1200=C527))&gt;1),"CÓDIGO BALÓN DUPLICADO",IF(AND(OR(UPPER(F527)="PLANTA",UPPER(F527)="CLIENTE"),G527=""),"FALTA doc propietario/planta",IF(AND(UPPER(F527)="PLANTA",G527="10175332796"),"PLANTA no puede ser RUC empresa","OK"))))))))</f>
        <v/>
      </c>
      <c r="C527" s="23" t="inlineStr">
        <is>
          <t>20S129201</t>
        </is>
      </c>
      <c r="D527" s="17" t="inlineStr">
        <is>
          <t>Oxígeno Medicinal 6 m³</t>
        </is>
      </c>
      <c r="E527" s="17" t="inlineStr">
        <is>
          <t>OXIGENO MEDICINAL</t>
        </is>
      </c>
      <c r="F527" s="17" t="inlineStr">
        <is>
          <t>EMPRESA</t>
        </is>
      </c>
      <c r="G527" s="23" t="inlineStr">
        <is>
          <t>10175332796</t>
        </is>
      </c>
      <c r="H527" s="25">
        <f t="array" ref="H527">IF(G527="","",IFERROR(IF(INDEX(Clientes!$D$5:$D$549,MATCH(G527,Clientes!$C$5:$C$549,0))&lt;&gt;"",INDEX(Clientes!$D$5:$D$549,MATCH(G527,Clientes!$C$5:$C$549,0)),TRIM(INDEX(Clientes!$E$5:$E$549,MATCH(G527,Clientes!$C$5:$C$549,0))&amp;" "&amp;INDEX(Clientes!$F$5:$F$549,MATCH(G527,Clientes!$C$5:$C$549,0)))),"NO EXISTE en Clientes"))</f>
        <v/>
      </c>
      <c r="I527" s="17" t="inlineStr">
        <is>
          <t>DISPONIBLE</t>
        </is>
      </c>
      <c r="J527" s="17" t="inlineStr">
        <is>
          <t>ALMACEN PRINCIPAL</t>
        </is>
      </c>
      <c r="K527" s="23" t="n"/>
      <c r="L527" s="25">
        <f t="array" ref="L527">IF(K527="","",IFERROR(IF(INDEX(Clientes!$D$5:$D$549,MATCH(K527,Clientes!$C$5:$C$549,0))&lt;&gt;"",INDEX(Clientes!$D$5:$D$549,MATCH(K527,Clientes!$C$5:$C$549,0)),TRIM(INDEX(Clientes!$E$5:$E$549,MATCH(K527,Clientes!$C$5:$C$549,0))&amp;" "&amp;INDEX(Clientes!$F$5:$F$549,MATCH(K527,Clientes!$C$5:$C$549,0)))),"NO EXISTE en Clientes"))</f>
        <v/>
      </c>
      <c r="M527" s="17" t="n"/>
      <c r="N527" s="17" t="n"/>
      <c r="O527" s="42" t="n"/>
      <c r="P527" s="39">
        <f>IF(O527&lt;&gt;"",DATE(YEAR(O527)+5,MONTH(O527),1),IF(AND(M527&lt;&gt;"",N527&lt;&gt;""),DATE(M527+5,N527,1),""))</f>
        <v/>
      </c>
      <c r="Q527" s="23" t="n"/>
      <c r="R527" s="17" t="n"/>
      <c r="S527" s="17" t="n"/>
      <c r="T527" s="17" t="n"/>
      <c r="U527" s="17" t="n"/>
      <c r="V527" s="23" t="n"/>
      <c r="W527" s="17" t="n"/>
      <c r="X527" s="17" t="n"/>
      <c r="Y527" s="28">
        <f>IF(B527&lt;&gt;"OK","","SELECT bal_crear_balon(p_codigo_balon =&gt; "&amp;IF(TRIM(C527&amp;"")="","NULL","'"&amp;SUBSTITUTE(TRIM(C527),"'","''")&amp;"'")&amp;", p_id_tipo_balon =&gt; "&amp;"(SELECT id FROM bal_tipo_balon WHERE upper(nombre) = upper('"&amp;SUBSTITUTE(TRIM(D527),"'","''")&amp;"') AND estado = 1 LIMIT 1)"&amp;", p_id_producto_gas =&gt; "&amp;"(SELECT id FROM pro_producto WHERE es_gas = TRUE AND upper(nombre) = upper('"&amp;SUBSTITUTE(TRIM(E527),"'","''")&amp;"') AND estado = 1 LIMIT 1)"&amp;", p_id_propietario =&gt; "&amp;IF(TRIM(F527&amp;"")="","NULL","(SELECT lo.id FROM gen_lista_opciones lo JOIN gen_lista l ON l.id = lo.id_lista WHERE l.nombre = 'PropietarioBalon' AND upper(lo.nombre) = upper('"&amp;SUBSTITUTE(TRIM(F527),"'","''")&amp;"') AND lo.estado = 1 LIMIT 1)")&amp;", p_id_cliente_propietario =&gt; "&amp;IF(F527="CLIENTE",IF(TRIM(G527&amp;"")="","NULL","(SELECT id FROM cli_clientes WHERE numero_documento = '"&amp;SUBSTITUTE(TRIM(G527),"'","''")&amp;"' AND estado = 1 LIMIT 1)"),"NULL")&amp;", p_id_planta =&gt; "&amp;IF(F527="PLANTA",IF(TRIM(G527&amp;"")="","NULL","(SELECT id FROM cli_clientes WHERE numero_documento = '"&amp;SUBSTITUTE(TRIM(G527),"'","''")&amp;"'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"&amp;IF(TRIM(J527&amp;"")="","NULL","(SELECT id FROM gen_almacen WHERE upper(nombre) = upper('"&amp;SUBSTITUTE(TRIM(J527),"'","''")&amp;"') AND estado = 1 LIMIT 1)")&amp;", p_id_cliente_ubicacion =&gt; "&amp;IF(TRIM(K527&amp;"")="","NULL","(SELECT id FROM cli_clientes WHERE numero_documento = '"&amp;SUBSTITUTE(TRIM(K527),"'","''")&amp;"' AND estado = 1 LIMIT 1)")&amp;", p_id_referencia =&gt; "&amp;IF(TRIM(J527&amp;"")&lt;&gt;"","(SELECT lo.id FROM gen_lista_opciones lo JOIN gen_lista l ON l.id = lo.id_lista WHERE l.nombre = 'ReferenciaCilindro' AND upper(lo.nombre) = 'ALMACEN' AND lo.estado = 1 LIMIT 1)",IF(TRIM(K527&amp;"")&lt;&gt;"","(SELECT lo.id FROM gen_lista_opciones lo JOIN gen_lista l ON l.id = lo.id_lista WHERE l.nombre = 'ReferenciaCilindro' AND upper(lo.nombre) = 'CLIENTE' AND lo.estado = 1 LIMIT 1)","NULL"))&amp;", p_anio_fabricacion =&gt; "&amp;IF(M527&amp;""="","NULL::smallint",M527&amp;"::smallint")&amp;", p_mes_fabricacion =&gt; "&amp;IF(N527&amp;""="","NULL::smallint",N527&amp;"::smallint")&amp;", p_fecha_ultima_prueba_hidrostatica =&gt; "&amp;IF(O527&amp;""="","NULL","'"&amp;YEAR(O527)&amp;"-"&amp;TEXT(MONTH(O527),"00")&amp;"-"&amp;TEXT(DAY(O527),"00")&amp;"'")&amp;", p_numero_serie =&gt; "&amp;IF(TRIM(Q527&amp;"")="","NULL","'"&amp;SUBSTITUTE(TRIM(Q527),"'","''")&amp;"'")&amp;", p_id_marca_cilindro =&gt; "&amp;IF(TRIM(R527&amp;"")="","NULL","(SELECT lo.id FROM gen_lista_opciones lo JOIN gen_lista l ON l.id = lo.id_lista WHERE l.nombre = 'MarcaCilindro' AND upper(lo.nombre) = upper('"&amp;SUBSTITUTE(TRIM(R527),"'","''")&amp;"') AND lo.estado = 1 LIMIT 1)")&amp;", p_id_organo_inspector =&gt; "&amp;IF(TRIM(S527&amp;"")="","NULL","(SELECT lo.id FROM gen_lista_opciones lo JOIN gen_lista l ON l.id = lo.id_lista WHERE l.nombre = 'OrganoInspectorCilindro' AND upper(lo.nombre) = upper('"&amp;SUBSTITUTE(TRIM(S527),"'","''")&amp;"') AND lo.estado = 1 LIMIT 1)")&amp;", p_organo_inspector_no_aplica =&gt; "&amp;IF(S527="NO_APLICA","TRUE","FALSE")&amp;", p_presion_actual =&gt; "&amp;IF(T527&amp;""="","NULL",SUBSTITUTE(T527&amp;"",",","."))&amp;", p_tipo_valvula =&gt; "&amp;IF(TRIM(U527&amp;"")="","NULL","'"&amp;SUBSTITUTE(TRIM(U527),"'","''")&amp;"'")&amp;", p_libro_cilindro =&gt; "&amp;IF(TRIM(V527&amp;"")="","NULL","'"&amp;SUBSTITUTE(TRIM(V527),"'","''")&amp;"'")&amp;", p_pagina_libro =&gt; "&amp;IF(W527&amp;""="","NULL",SUBSTITUTE(W527&amp;"",",","."))&amp;", p_observacion =&gt; "&amp;IF(TRIM(X527&amp;"")="","NULL","'"&amp;SUBSTITUTE(TRIM(X527),"'","''")&amp;"'")&amp;") AS resultado_balon_"&amp;ROW()&amp;";")</f>
        <v/>
      </c>
    </row>
    <row r="528" ht="15.75" customHeight="1" s="64">
      <c r="A528" s="36" t="inlineStr">
        <is>
          <t>524</t>
        </is>
      </c>
      <c r="B528" s="25">
        <f>IF(AND(C528="",D528="",E528=""),"",IF(C528="","FALTA código balón",IF(D528="","FALTA tipo balón",IF(E528="","FALTA gas",IF(F528="","FALTA propietario",IF(AND(C528&lt;&gt;"",SUMPRODUCT(--($C$5:$C$1200=C528))&gt;1),"CÓDIGO BALÓN DUPLICADO",IF(AND(OR(UPPER(F528)="PLANTA",UPPER(F528)="CLIENTE"),G528=""),"FALTA doc propietario/planta",IF(AND(UPPER(F528)="PLANTA",G528="10175332796"),"PLANTA no puede ser RUC empresa","OK"))))))))</f>
        <v/>
      </c>
      <c r="C528" s="23" t="inlineStr">
        <is>
          <t>A592</t>
        </is>
      </c>
      <c r="D528" s="17" t="inlineStr">
        <is>
          <t>Oxígeno Industrial 6 m³</t>
        </is>
      </c>
      <c r="E528" s="17" t="inlineStr">
        <is>
          <t>OXIGENO INDUSTRIAL</t>
        </is>
      </c>
      <c r="F528" s="17" t="inlineStr">
        <is>
          <t>EMPRESA</t>
        </is>
      </c>
      <c r="G528" s="23" t="inlineStr">
        <is>
          <t>10175332796</t>
        </is>
      </c>
      <c r="H528" s="25">
        <f t="array" ref="H528">IF(G528="","",IFERROR(IF(INDEX(Clientes!$D$5:$D$549,MATCH(G528,Clientes!$C$5:$C$549,0))&lt;&gt;"",INDEX(Clientes!$D$5:$D$549,MATCH(G528,Clientes!$C$5:$C$549,0)),TRIM(INDEX(Clientes!$E$5:$E$549,MATCH(G528,Clientes!$C$5:$C$549,0))&amp;" "&amp;INDEX(Clientes!$F$5:$F$549,MATCH(G528,Clientes!$C$5:$C$549,0)))),"NO EXISTE en Clientes"))</f>
        <v/>
      </c>
      <c r="I528" s="17" t="inlineStr">
        <is>
          <t>DISPONIBLE</t>
        </is>
      </c>
      <c r="J528" s="17" t="inlineStr">
        <is>
          <t>ALMACEN PRINCIPAL</t>
        </is>
      </c>
      <c r="K528" s="23" t="n"/>
      <c r="L528" s="25">
        <f t="array" ref="L528">IF(K528="","",IFERROR(IF(INDEX(Clientes!$D$5:$D$549,MATCH(K528,Clientes!$C$5:$C$549,0))&lt;&gt;"",INDEX(Clientes!$D$5:$D$549,MATCH(K528,Clientes!$C$5:$C$549,0)),TRIM(INDEX(Clientes!$E$5:$E$549,MATCH(K528,Clientes!$C$5:$C$549,0))&amp;" "&amp;INDEX(Clientes!$F$5:$F$549,MATCH(K528,Clientes!$C$5:$C$549,0)))),"NO EXISTE en Clientes"))</f>
        <v/>
      </c>
      <c r="M528" s="17" t="n"/>
      <c r="N528" s="17" t="n"/>
      <c r="O528" s="42" t="n"/>
      <c r="P528" s="39">
        <f>IF(O528&lt;&gt;"",DATE(YEAR(O528)+5,MONTH(O528),1),IF(AND(M528&lt;&gt;"",N528&lt;&gt;""),DATE(M528+5,N528,1),""))</f>
        <v/>
      </c>
      <c r="Q528" s="23" t="n"/>
      <c r="R528" s="17" t="n"/>
      <c r="S528" s="17" t="n"/>
      <c r="T528" s="17" t="n"/>
      <c r="U528" s="17" t="n"/>
      <c r="V528" s="23" t="n"/>
      <c r="W528" s="17" t="n"/>
      <c r="X528" s="17" t="n"/>
      <c r="Y528" s="28">
        <f>IF(B528&lt;&gt;"OK","","SELECT bal_crear_balon(p_codigo_balon =&gt; "&amp;IF(TRIM(C528&amp;"")="","NULL","'"&amp;SUBSTITUTE(TRIM(C528),"'","''")&amp;"'")&amp;", p_id_tipo_balon =&gt; "&amp;"(SELECT id FROM bal_tipo_balon WHERE upper(nombre) = upper('"&amp;SUBSTITUTE(TRIM(D528),"'","''")&amp;"') AND estado = 1 LIMIT 1)"&amp;", p_id_producto_gas =&gt; "&amp;"(SELECT id FROM pro_producto WHERE es_gas = TRUE AND upper(nombre) = upper('"&amp;SUBSTITUTE(TRIM(E528),"'","''")&amp;"') AND estado = 1 LIMIT 1)"&amp;", p_id_propietario =&gt; "&amp;IF(TRIM(F528&amp;"")="","NULL","(SELECT lo.id FROM gen_lista_opciones lo JOIN gen_lista l ON l.id = lo.id_lista WHERE l.nombre = 'PropietarioBalon' AND upper(lo.nombre) = upper('"&amp;SUBSTITUTE(TRIM(F528),"'","''")&amp;"') AND lo.estado = 1 LIMIT 1)")&amp;", p_id_cliente_propietario =&gt; "&amp;IF(F528="CLIENTE",IF(TRIM(G528&amp;"")="","NULL","(SELECT id FROM cli_clientes WHERE numero_documento = '"&amp;SUBSTITUTE(TRIM(G528),"'","''")&amp;"' AND estado = 1 LIMIT 1)"),"NULL")&amp;", p_id_planta =&gt; "&amp;IF(F528="PLANTA",IF(TRIM(G528&amp;"")="","NULL","(SELECT id FROM cli_clientes WHERE numero_documento = '"&amp;SUBSTITUTE(TRIM(G528),"'","''")&amp;"'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"&amp;IF(TRIM(J528&amp;"")="","NULL","(SELECT id FROM gen_almacen WHERE upper(nombre) = upper('"&amp;SUBSTITUTE(TRIM(J528),"'","''")&amp;"') AND estado = 1 LIMIT 1)")&amp;", p_id_cliente_ubicacion =&gt; "&amp;IF(TRIM(K528&amp;"")="","NULL","(SELECT id FROM cli_clientes WHERE numero_documento = '"&amp;SUBSTITUTE(TRIM(K528),"'","''")&amp;"' AND estado = 1 LIMIT 1)")&amp;", p_id_referencia =&gt; "&amp;IF(TRIM(J528&amp;"")&lt;&gt;"","(SELECT lo.id FROM gen_lista_opciones lo JOIN gen_lista l ON l.id = lo.id_lista WHERE l.nombre = 'ReferenciaCilindro' AND upper(lo.nombre) = 'ALMACEN' AND lo.estado = 1 LIMIT 1)",IF(TRIM(K528&amp;"")&lt;&gt;"","(SELECT lo.id FROM gen_lista_opciones lo JOIN gen_lista l ON l.id = lo.id_lista WHERE l.nombre = 'ReferenciaCilindro' AND upper(lo.nombre) = 'CLIENTE' AND lo.estado = 1 LIMIT 1)","NULL"))&amp;", p_anio_fabricacion =&gt; "&amp;IF(M528&amp;""="","NULL::smallint",M528&amp;"::smallint")&amp;", p_mes_fabricacion =&gt; "&amp;IF(N528&amp;""="","NULL::smallint",N528&amp;"::smallint")&amp;", p_fecha_ultima_prueba_hidrostatica =&gt; "&amp;IF(O528&amp;""="","NULL","'"&amp;YEAR(O528)&amp;"-"&amp;TEXT(MONTH(O528),"00")&amp;"-"&amp;TEXT(DAY(O528),"00")&amp;"'")&amp;", p_numero_serie =&gt; "&amp;IF(TRIM(Q528&amp;"")="","NULL","'"&amp;SUBSTITUTE(TRIM(Q528),"'","''")&amp;"'")&amp;", p_id_marca_cilindro =&gt; "&amp;IF(TRIM(R528&amp;"")="","NULL","(SELECT lo.id FROM gen_lista_opciones lo JOIN gen_lista l ON l.id = lo.id_lista WHERE l.nombre = 'MarcaCilindro' AND upper(lo.nombre) = upper('"&amp;SUBSTITUTE(TRIM(R528),"'","''")&amp;"') AND lo.estado = 1 LIMIT 1)")&amp;", p_id_organo_inspector =&gt; "&amp;IF(TRIM(S528&amp;"")="","NULL","(SELECT lo.id FROM gen_lista_opciones lo JOIN gen_lista l ON l.id = lo.id_lista WHERE l.nombre = 'OrganoInspectorCilindro' AND upper(lo.nombre) = upper('"&amp;SUBSTITUTE(TRIM(S528),"'","''")&amp;"') AND lo.estado = 1 LIMIT 1)")&amp;", p_organo_inspector_no_aplica =&gt; "&amp;IF(S528="NO_APLICA","TRUE","FALSE")&amp;", p_presion_actual =&gt; "&amp;IF(T528&amp;""="","NULL",SUBSTITUTE(T528&amp;"",",","."))&amp;", p_tipo_valvula =&gt; "&amp;IF(TRIM(U528&amp;"")="","NULL","'"&amp;SUBSTITUTE(TRIM(U528),"'","''")&amp;"'")&amp;", p_libro_cilindro =&gt; "&amp;IF(TRIM(V528&amp;"")="","NULL","'"&amp;SUBSTITUTE(TRIM(V528),"'","''")&amp;"'")&amp;", p_pagina_libro =&gt; "&amp;IF(W528&amp;""="","NULL",SUBSTITUTE(W528&amp;"",",","."))&amp;", p_observacion =&gt; "&amp;IF(TRIM(X528&amp;"")="","NULL","'"&amp;SUBSTITUTE(TRIM(X528),"'","''")&amp;"'")&amp;") AS resultado_balon_"&amp;ROW()&amp;";")</f>
        <v/>
      </c>
    </row>
    <row r="529" ht="15.75" customHeight="1" s="64">
      <c r="A529" s="36" t="inlineStr">
        <is>
          <t>525</t>
        </is>
      </c>
      <c r="B529" s="25">
        <f>IF(AND(C529="",D529="",E529=""),"",IF(C529="","FALTA código balón",IF(D529="","FALTA tipo balón",IF(E529="","FALTA gas",IF(F529="","FALTA propietario",IF(AND(C529&lt;&gt;"",SUMPRODUCT(--($C$5:$C$1200=C529))&gt;1),"CÓDIGO BALÓN DUPLICADO",IF(AND(OR(UPPER(F529)="PLANTA",UPPER(F529)="CLIENTE"),G529=""),"FALTA doc propietario/planta",IF(AND(UPPER(F529)="PLANTA",G529="10175332796"),"PLANTA no puede ser RUC empresa","OK"))))))))</f>
        <v/>
      </c>
      <c r="C529" s="23" t="inlineStr">
        <is>
          <t>K5714008</t>
        </is>
      </c>
      <c r="D529" s="17" t="inlineStr">
        <is>
          <t>Oxígeno Medicinal 10 m³</t>
        </is>
      </c>
      <c r="E529" s="17" t="inlineStr">
        <is>
          <t>OXIGENO MEDICINAL</t>
        </is>
      </c>
      <c r="F529" s="17" t="inlineStr">
        <is>
          <t>EMPRESA</t>
        </is>
      </c>
      <c r="G529" s="23" t="inlineStr">
        <is>
          <t>10175332796</t>
        </is>
      </c>
      <c r="H529" s="25">
        <f t="array" ref="H529">IF(G529="","",IFERROR(IF(INDEX(Clientes!$D$5:$D$549,MATCH(G529,Clientes!$C$5:$C$549,0))&lt;&gt;"",INDEX(Clientes!$D$5:$D$549,MATCH(G529,Clientes!$C$5:$C$549,0)),TRIM(INDEX(Clientes!$E$5:$E$549,MATCH(G529,Clientes!$C$5:$C$549,0))&amp;" "&amp;INDEX(Clientes!$F$5:$F$549,MATCH(G529,Clientes!$C$5:$C$549,0)))),"NO EXISTE en Clientes"))</f>
        <v/>
      </c>
      <c r="I529" s="17" t="inlineStr">
        <is>
          <t>DISPONIBLE</t>
        </is>
      </c>
      <c r="J529" s="17" t="inlineStr">
        <is>
          <t>ALMACEN PRINCIPAL</t>
        </is>
      </c>
      <c r="K529" s="23" t="n"/>
      <c r="L529" s="25">
        <f t="array" ref="L529">IF(K529="","",IFERROR(IF(INDEX(Clientes!$D$5:$D$549,MATCH(K529,Clientes!$C$5:$C$549,0))&lt;&gt;"",INDEX(Clientes!$D$5:$D$549,MATCH(K529,Clientes!$C$5:$C$549,0)),TRIM(INDEX(Clientes!$E$5:$E$549,MATCH(K529,Clientes!$C$5:$C$549,0))&amp;" "&amp;INDEX(Clientes!$F$5:$F$549,MATCH(K529,Clientes!$C$5:$C$549,0)))),"NO EXISTE en Clientes"))</f>
        <v/>
      </c>
      <c r="M529" s="17" t="n"/>
      <c r="N529" s="17" t="n"/>
      <c r="O529" s="42" t="n"/>
      <c r="P529" s="39">
        <f>IF(O529&lt;&gt;"",DATE(YEAR(O529)+5,MONTH(O529),1),IF(AND(M529&lt;&gt;"",N529&lt;&gt;""),DATE(M529+5,N529,1),""))</f>
        <v/>
      </c>
      <c r="Q529" s="23" t="n"/>
      <c r="R529" s="17" t="n"/>
      <c r="S529" s="17" t="n"/>
      <c r="T529" s="17" t="n"/>
      <c r="U529" s="17" t="n"/>
      <c r="V529" s="23" t="n"/>
      <c r="W529" s="17" t="n"/>
      <c r="X529" s="17" t="n"/>
      <c r="Y529" s="28">
        <f>IF(B529&lt;&gt;"OK","","SELECT bal_crear_balon(p_codigo_balon =&gt; "&amp;IF(TRIM(C529&amp;"")="","NULL","'"&amp;SUBSTITUTE(TRIM(C529),"'","''")&amp;"'")&amp;", p_id_tipo_balon =&gt; "&amp;"(SELECT id FROM bal_tipo_balon WHERE upper(nombre) = upper('"&amp;SUBSTITUTE(TRIM(D529),"'","''")&amp;"') AND estado = 1 LIMIT 1)"&amp;", p_id_producto_gas =&gt; "&amp;"(SELECT id FROM pro_producto WHERE es_gas = TRUE AND upper(nombre) = upper('"&amp;SUBSTITUTE(TRIM(E529),"'","''")&amp;"') AND estado = 1 LIMIT 1)"&amp;", p_id_propietario =&gt; "&amp;IF(TRIM(F529&amp;"")="","NULL","(SELECT lo.id FROM gen_lista_opciones lo JOIN gen_lista l ON l.id = lo.id_lista WHERE l.nombre = 'PropietarioBalon' AND upper(lo.nombre) = upper('"&amp;SUBSTITUTE(TRIM(F529),"'","''")&amp;"') AND lo.estado = 1 LIMIT 1)")&amp;", p_id_cliente_propietario =&gt; "&amp;IF(F529="CLIENTE",IF(TRIM(G529&amp;"")="","NULL","(SELECT id FROM cli_clientes WHERE numero_documento = '"&amp;SUBSTITUTE(TRIM(G529),"'","''")&amp;"' AND estado = 1 LIMIT 1)"),"NULL")&amp;", p_id_planta =&gt; "&amp;IF(F529="PLANTA",IF(TRIM(G529&amp;"")="","NULL","(SELECT id FROM cli_clientes WHERE numero_documento = '"&amp;SUBSTITUTE(TRIM(G529),"'","''")&amp;"'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"&amp;IF(TRIM(J529&amp;"")="","NULL","(SELECT id FROM gen_almacen WHERE upper(nombre) = upper('"&amp;SUBSTITUTE(TRIM(J529),"'","''")&amp;"') AND estado = 1 LIMIT 1)")&amp;", p_id_cliente_ubicacion =&gt; "&amp;IF(TRIM(K529&amp;"")="","NULL","(SELECT id FROM cli_clientes WHERE numero_documento = '"&amp;SUBSTITUTE(TRIM(K529),"'","''")&amp;"' AND estado = 1 LIMIT 1)")&amp;", p_id_referencia =&gt; "&amp;IF(TRIM(J529&amp;"")&lt;&gt;"","(SELECT lo.id FROM gen_lista_opciones lo JOIN gen_lista l ON l.id = lo.id_lista WHERE l.nombre = 'ReferenciaCilindro' AND upper(lo.nombre) = 'ALMACEN' AND lo.estado = 1 LIMIT 1)",IF(TRIM(K529&amp;"")&lt;&gt;"","(SELECT lo.id FROM gen_lista_opciones lo JOIN gen_lista l ON l.id = lo.id_lista WHERE l.nombre = 'ReferenciaCilindro' AND upper(lo.nombre) = 'CLIENTE' AND lo.estado = 1 LIMIT 1)","NULL"))&amp;", p_anio_fabricacion =&gt; "&amp;IF(M529&amp;""="","NULL::smallint",M529&amp;"::smallint")&amp;", p_mes_fabricacion =&gt; "&amp;IF(N529&amp;""="","NULL::smallint",N529&amp;"::smallint")&amp;", p_fecha_ultima_prueba_hidrostatica =&gt; "&amp;IF(O529&amp;""="","NULL","'"&amp;YEAR(O529)&amp;"-"&amp;TEXT(MONTH(O529),"00")&amp;"-"&amp;TEXT(DAY(O529),"00")&amp;"'")&amp;", p_numero_serie =&gt; "&amp;IF(TRIM(Q529&amp;"")="","NULL","'"&amp;SUBSTITUTE(TRIM(Q529),"'","''")&amp;"'")&amp;", p_id_marca_cilindro =&gt; "&amp;IF(TRIM(R529&amp;"")="","NULL","(SELECT lo.id FROM gen_lista_opciones lo JOIN gen_lista l ON l.id = lo.id_lista WHERE l.nombre = 'MarcaCilindro' AND upper(lo.nombre) = upper('"&amp;SUBSTITUTE(TRIM(R529),"'","''")&amp;"') AND lo.estado = 1 LIMIT 1)")&amp;", p_id_organo_inspector =&gt; "&amp;IF(TRIM(S529&amp;"")="","NULL","(SELECT lo.id FROM gen_lista_opciones lo JOIN gen_lista l ON l.id = lo.id_lista WHERE l.nombre = 'OrganoInspectorCilindro' AND upper(lo.nombre) = upper('"&amp;SUBSTITUTE(TRIM(S529),"'","''")&amp;"') AND lo.estado = 1 LIMIT 1)")&amp;", p_organo_inspector_no_aplica =&gt; "&amp;IF(S529="NO_APLICA","TRUE","FALSE")&amp;", p_presion_actual =&gt; "&amp;IF(T529&amp;""="","NULL",SUBSTITUTE(T529&amp;"",",","."))&amp;", p_tipo_valvula =&gt; "&amp;IF(TRIM(U529&amp;"")="","NULL","'"&amp;SUBSTITUTE(TRIM(U529),"'","''")&amp;"'")&amp;", p_libro_cilindro =&gt; "&amp;IF(TRIM(V529&amp;"")="","NULL","'"&amp;SUBSTITUTE(TRIM(V529),"'","''")&amp;"'")&amp;", p_pagina_libro =&gt; "&amp;IF(W529&amp;""="","NULL",SUBSTITUTE(W529&amp;"",",","."))&amp;", p_observacion =&gt; "&amp;IF(TRIM(X529&amp;"")="","NULL","'"&amp;SUBSTITUTE(TRIM(X529),"'","''")&amp;"'")&amp;") AS resultado_balon_"&amp;ROW()&amp;";")</f>
        <v/>
      </c>
    </row>
    <row r="530" ht="15.75" customHeight="1" s="64">
      <c r="A530" s="36" t="inlineStr">
        <is>
          <t>526</t>
        </is>
      </c>
      <c r="B530" s="25">
        <f>IF(AND(C530="",D530="",E530=""),"",IF(C530="","FALTA código balón",IF(D530="","FALTA tipo balón",IF(E530="","FALTA gas",IF(F530="","FALTA propietario",IF(AND(C530&lt;&gt;"",SUMPRODUCT(--($C$5:$C$1200=C530))&gt;1),"CÓDIGO BALÓN DUPLICADO",IF(AND(OR(UPPER(F530)="PLANTA",UPPER(F530)="CLIENTE"),G530=""),"FALTA doc propietario/planta",IF(AND(UPPER(F530)="PLANTA",G530="10175332796"),"PLANTA no puede ser RUC empresa","OK"))))))))</f>
        <v/>
      </c>
      <c r="C530" s="23" t="inlineStr">
        <is>
          <t>373680</t>
        </is>
      </c>
      <c r="D530" s="17" t="inlineStr">
        <is>
          <t>Nitrógeno 6 m³</t>
        </is>
      </c>
      <c r="E530" s="17" t="inlineStr">
        <is>
          <t>NITROGENO</t>
        </is>
      </c>
      <c r="F530" s="17" t="inlineStr">
        <is>
          <t>EMPRESA</t>
        </is>
      </c>
      <c r="G530" s="23" t="inlineStr">
        <is>
          <t>10175332796</t>
        </is>
      </c>
      <c r="H530" s="25">
        <f t="array" ref="H530">IF(G530="","",IFERROR(IF(INDEX(Clientes!$D$5:$D$549,MATCH(G530,Clientes!$C$5:$C$549,0))&lt;&gt;"",INDEX(Clientes!$D$5:$D$549,MATCH(G530,Clientes!$C$5:$C$549,0)),TRIM(INDEX(Clientes!$E$5:$E$549,MATCH(G530,Clientes!$C$5:$C$549,0))&amp;" "&amp;INDEX(Clientes!$F$5:$F$549,MATCH(G530,Clientes!$C$5:$C$549,0)))),"NO EXISTE en Clientes"))</f>
        <v/>
      </c>
      <c r="I530" s="17" t="inlineStr">
        <is>
          <t>DISPONIBLE</t>
        </is>
      </c>
      <c r="J530" s="17" t="inlineStr">
        <is>
          <t>ALMACEN PRINCIPAL</t>
        </is>
      </c>
      <c r="K530" s="23" t="n"/>
      <c r="L530" s="25">
        <f t="array" ref="L530">IF(K530="","",IFERROR(IF(INDEX(Clientes!$D$5:$D$549,MATCH(K530,Clientes!$C$5:$C$549,0))&lt;&gt;"",INDEX(Clientes!$D$5:$D$549,MATCH(K530,Clientes!$C$5:$C$549,0)),TRIM(INDEX(Clientes!$E$5:$E$549,MATCH(K530,Clientes!$C$5:$C$549,0))&amp;" "&amp;INDEX(Clientes!$F$5:$F$549,MATCH(K530,Clientes!$C$5:$C$549,0)))),"NO EXISTE en Clientes"))</f>
        <v/>
      </c>
      <c r="M530" s="17" t="n"/>
      <c r="N530" s="17" t="n"/>
      <c r="O530" s="42" t="n"/>
      <c r="P530" s="39">
        <f>IF(O530&lt;&gt;"",DATE(YEAR(O530)+5,MONTH(O530),1),IF(AND(M530&lt;&gt;"",N530&lt;&gt;""),DATE(M530+5,N530,1),""))</f>
        <v/>
      </c>
      <c r="Q530" s="23" t="n"/>
      <c r="R530" s="17" t="n"/>
      <c r="S530" s="17" t="n"/>
      <c r="T530" s="17" t="n"/>
      <c r="U530" s="17" t="n"/>
      <c r="V530" s="23" t="n"/>
      <c r="W530" s="17" t="n"/>
      <c r="X530" s="17" t="n"/>
      <c r="Y530" s="28">
        <f>IF(B530&lt;&gt;"OK","","SELECT bal_crear_balon(p_codigo_balon =&gt; "&amp;IF(TRIM(C530&amp;"")="","NULL","'"&amp;SUBSTITUTE(TRIM(C530),"'","''")&amp;"'")&amp;", p_id_tipo_balon =&gt; "&amp;"(SELECT id FROM bal_tipo_balon WHERE upper(nombre) = upper('"&amp;SUBSTITUTE(TRIM(D530),"'","''")&amp;"') AND estado = 1 LIMIT 1)"&amp;", p_id_producto_gas =&gt; "&amp;"(SELECT id FROM pro_producto WHERE es_gas = TRUE AND upper(nombre) = upper('"&amp;SUBSTITUTE(TRIM(E530),"'","''")&amp;"') AND estado = 1 LIMIT 1)"&amp;", p_id_propietario =&gt; "&amp;IF(TRIM(F530&amp;"")="","NULL","(SELECT lo.id FROM gen_lista_opciones lo JOIN gen_lista l ON l.id = lo.id_lista WHERE l.nombre = 'PropietarioBalon' AND upper(lo.nombre) = upper('"&amp;SUBSTITUTE(TRIM(F530),"'","''")&amp;"') AND lo.estado = 1 LIMIT 1)")&amp;", p_id_cliente_propietario =&gt; "&amp;IF(F530="CLIENTE",IF(TRIM(G530&amp;"")="","NULL","(SELECT id FROM cli_clientes WHERE numero_documento = '"&amp;SUBSTITUTE(TRIM(G530),"'","''")&amp;"' AND estado = 1 LIMIT 1)"),"NULL")&amp;", p_id_planta =&gt; "&amp;IF(F530="PLANTA",IF(TRIM(G530&amp;"")="","NULL","(SELECT id FROM cli_clientes WHERE numero_documento = '"&amp;SUBSTITUTE(TRIM(G530),"'","''")&amp;"'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"&amp;IF(TRIM(J530&amp;"")="","NULL","(SELECT id FROM gen_almacen WHERE upper(nombre) = upper('"&amp;SUBSTITUTE(TRIM(J530),"'","''")&amp;"') AND estado = 1 LIMIT 1)")&amp;", p_id_cliente_ubicacion =&gt; "&amp;IF(TRIM(K530&amp;"")="","NULL","(SELECT id FROM cli_clientes WHERE numero_documento = '"&amp;SUBSTITUTE(TRIM(K530),"'","''")&amp;"' AND estado = 1 LIMIT 1)")&amp;", p_id_referencia =&gt; "&amp;IF(TRIM(J530&amp;"")&lt;&gt;"","(SELECT lo.id FROM gen_lista_opciones lo JOIN gen_lista l ON l.id = lo.id_lista WHERE l.nombre = 'ReferenciaCilindro' AND upper(lo.nombre) = 'ALMACEN' AND lo.estado = 1 LIMIT 1)",IF(TRIM(K530&amp;"")&lt;&gt;"","(SELECT lo.id FROM gen_lista_opciones lo JOIN gen_lista l ON l.id = lo.id_lista WHERE l.nombre = 'ReferenciaCilindro' AND upper(lo.nombre) = 'CLIENTE' AND lo.estado = 1 LIMIT 1)","NULL"))&amp;", p_anio_fabricacion =&gt; "&amp;IF(M530&amp;""="","NULL::smallint",M530&amp;"::smallint")&amp;", p_mes_fabricacion =&gt; "&amp;IF(N530&amp;""="","NULL::smallint",N530&amp;"::smallint")&amp;", p_fecha_ultima_prueba_hidrostatica =&gt; "&amp;IF(O530&amp;""="","NULL","'"&amp;YEAR(O530)&amp;"-"&amp;TEXT(MONTH(O530),"00")&amp;"-"&amp;TEXT(DAY(O530),"00")&amp;"'")&amp;", p_numero_serie =&gt; "&amp;IF(TRIM(Q530&amp;"")="","NULL","'"&amp;SUBSTITUTE(TRIM(Q530),"'","''")&amp;"'")&amp;", p_id_marca_cilindro =&gt; "&amp;IF(TRIM(R530&amp;"")="","NULL","(SELECT lo.id FROM gen_lista_opciones lo JOIN gen_lista l ON l.id = lo.id_lista WHERE l.nombre = 'MarcaCilindro' AND upper(lo.nombre) = upper('"&amp;SUBSTITUTE(TRIM(R530),"'","''")&amp;"') AND lo.estado = 1 LIMIT 1)")&amp;", p_id_organo_inspector =&gt; "&amp;IF(TRIM(S530&amp;"")="","NULL","(SELECT lo.id FROM gen_lista_opciones lo JOIN gen_lista l ON l.id = lo.id_lista WHERE l.nombre = 'OrganoInspectorCilindro' AND upper(lo.nombre) = upper('"&amp;SUBSTITUTE(TRIM(S530),"'","''")&amp;"') AND lo.estado = 1 LIMIT 1)")&amp;", p_organo_inspector_no_aplica =&gt; "&amp;IF(S530="NO_APLICA","TRUE","FALSE")&amp;", p_presion_actual =&gt; "&amp;IF(T530&amp;""="","NULL",SUBSTITUTE(T530&amp;"",",","."))&amp;", p_tipo_valvula =&gt; "&amp;IF(TRIM(U530&amp;"")="","NULL","'"&amp;SUBSTITUTE(TRIM(U530),"'","''")&amp;"'")&amp;", p_libro_cilindro =&gt; "&amp;IF(TRIM(V530&amp;"")="","NULL","'"&amp;SUBSTITUTE(TRIM(V530),"'","''")&amp;"'")&amp;", p_pagina_libro =&gt; "&amp;IF(W530&amp;""="","NULL",SUBSTITUTE(W530&amp;"",",","."))&amp;", p_observacion =&gt; "&amp;IF(TRIM(X530&amp;"")="","NULL","'"&amp;SUBSTITUTE(TRIM(X530),"'","''")&amp;"'")&amp;") AS resultado_balon_"&amp;ROW()&amp;";")</f>
        <v/>
      </c>
    </row>
    <row r="531" ht="15.75" customHeight="1" s="64">
      <c r="A531" s="36" t="inlineStr">
        <is>
          <t>527</t>
        </is>
      </c>
      <c r="B531" s="25">
        <f>IF(AND(C531="",D531="",E531=""),"",IF(C531="","FALTA código balón",IF(D531="","FALTA tipo balón",IF(E531="","FALTA gas",IF(F531="","FALTA propietario",IF(AND(C531&lt;&gt;"",SUMPRODUCT(--($C$5:$C$1200=C531))&gt;1),"CÓDIGO BALÓN DUPLICADO",IF(AND(OR(UPPER(F531)="PLANTA",UPPER(F531)="CLIENTE"),G531=""),"FALTA doc propietario/planta",IF(AND(UPPER(F531)="PLANTA",G531="10175332796"),"PLANTA no puede ser RUC empresa","OK"))))))))</f>
        <v/>
      </c>
      <c r="C531" s="23" t="inlineStr">
        <is>
          <t>20K650038</t>
        </is>
      </c>
      <c r="D531" s="17" t="inlineStr">
        <is>
          <t>Oxígeno Medicinal 10 m³</t>
        </is>
      </c>
      <c r="E531" s="17" t="inlineStr">
        <is>
          <t>OXIGENO MEDICINAL</t>
        </is>
      </c>
      <c r="F531" s="17" t="inlineStr">
        <is>
          <t>EMPRESA</t>
        </is>
      </c>
      <c r="G531" s="23" t="inlineStr">
        <is>
          <t>10175332796</t>
        </is>
      </c>
      <c r="H531" s="25">
        <f t="array" ref="H531">IF(G531="","",IFERROR(IF(INDEX(Clientes!$D$5:$D$549,MATCH(G531,Clientes!$C$5:$C$549,0))&lt;&gt;"",INDEX(Clientes!$D$5:$D$549,MATCH(G531,Clientes!$C$5:$C$549,0)),TRIM(INDEX(Clientes!$E$5:$E$549,MATCH(G531,Clientes!$C$5:$C$549,0))&amp;" "&amp;INDEX(Clientes!$F$5:$F$549,MATCH(G531,Clientes!$C$5:$C$549,0)))),"NO EXISTE en Clientes"))</f>
        <v/>
      </c>
      <c r="I531" s="17" t="inlineStr">
        <is>
          <t>DISPONIBLE</t>
        </is>
      </c>
      <c r="J531" s="17" t="inlineStr">
        <is>
          <t>ALMACEN PRINCIPAL</t>
        </is>
      </c>
      <c r="K531" s="23" t="n"/>
      <c r="L531" s="25">
        <f t="array" ref="L531">IF(K531="","",IFERROR(IF(INDEX(Clientes!$D$5:$D$549,MATCH(K531,Clientes!$C$5:$C$549,0))&lt;&gt;"",INDEX(Clientes!$D$5:$D$549,MATCH(K531,Clientes!$C$5:$C$549,0)),TRIM(INDEX(Clientes!$E$5:$E$549,MATCH(K531,Clientes!$C$5:$C$549,0))&amp;" "&amp;INDEX(Clientes!$F$5:$F$549,MATCH(K531,Clientes!$C$5:$C$549,0)))),"NO EXISTE en Clientes"))</f>
        <v/>
      </c>
      <c r="M531" s="17" t="n"/>
      <c r="N531" s="17" t="n"/>
      <c r="O531" s="42" t="n"/>
      <c r="P531" s="39">
        <f>IF(O531&lt;&gt;"",DATE(YEAR(O531)+5,MONTH(O531),1),IF(AND(M531&lt;&gt;"",N531&lt;&gt;""),DATE(M531+5,N531,1),""))</f>
        <v/>
      </c>
      <c r="Q531" s="23" t="n"/>
      <c r="R531" s="17" t="n"/>
      <c r="S531" s="17" t="n"/>
      <c r="T531" s="17" t="n"/>
      <c r="U531" s="17" t="n"/>
      <c r="V531" s="23" t="n"/>
      <c r="W531" s="17" t="n"/>
      <c r="X531" s="17" t="n"/>
      <c r="Y531" s="28">
        <f>IF(B531&lt;&gt;"OK","","SELECT bal_crear_balon(p_codigo_balon =&gt; "&amp;IF(TRIM(C531&amp;"")="","NULL","'"&amp;SUBSTITUTE(TRIM(C531),"'","''")&amp;"'")&amp;", p_id_tipo_balon =&gt; "&amp;"(SELECT id FROM bal_tipo_balon WHERE upper(nombre) = upper('"&amp;SUBSTITUTE(TRIM(D531),"'","''")&amp;"') AND estado = 1 LIMIT 1)"&amp;", p_id_producto_gas =&gt; "&amp;"(SELECT id FROM pro_producto WHERE es_gas = TRUE AND upper(nombre) = upper('"&amp;SUBSTITUTE(TRIM(E531),"'","''")&amp;"') AND estado = 1 LIMIT 1)"&amp;", p_id_propietario =&gt; "&amp;IF(TRIM(F531&amp;"")="","NULL","(SELECT lo.id FROM gen_lista_opciones lo JOIN gen_lista l ON l.id = lo.id_lista WHERE l.nombre = 'PropietarioBalon' AND upper(lo.nombre) = upper('"&amp;SUBSTITUTE(TRIM(F531),"'","''")&amp;"') AND lo.estado = 1 LIMIT 1)")&amp;", p_id_cliente_propietario =&gt; "&amp;IF(F531="CLIENTE",IF(TRIM(G531&amp;"")="","NULL","(SELECT id FROM cli_clientes WHERE numero_documento = '"&amp;SUBSTITUTE(TRIM(G531),"'","''")&amp;"' AND estado = 1 LIMIT 1)"),"NULL")&amp;", p_id_planta =&gt; "&amp;IF(F531="PLANTA",IF(TRIM(G531&amp;"")="","NULL","(SELECT id FROM cli_clientes WHERE numero_documento = '"&amp;SUBSTITUTE(TRIM(G531),"'","''")&amp;"'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"&amp;IF(TRIM(J531&amp;"")="","NULL","(SELECT id FROM gen_almacen WHERE upper(nombre) = upper('"&amp;SUBSTITUTE(TRIM(J531),"'","''")&amp;"') AND estado = 1 LIMIT 1)")&amp;", p_id_cliente_ubicacion =&gt; "&amp;IF(TRIM(K531&amp;"")="","NULL","(SELECT id FROM cli_clientes WHERE numero_documento = '"&amp;SUBSTITUTE(TRIM(K531),"'","''")&amp;"' AND estado = 1 LIMIT 1)")&amp;", p_id_referencia =&gt; "&amp;IF(TRIM(J531&amp;"")&lt;&gt;"","(SELECT lo.id FROM gen_lista_opciones lo JOIN gen_lista l ON l.id = lo.id_lista WHERE l.nombre = 'ReferenciaCilindro' AND upper(lo.nombre) = 'ALMACEN' AND lo.estado = 1 LIMIT 1)",IF(TRIM(K531&amp;"")&lt;&gt;"","(SELECT lo.id FROM gen_lista_opciones lo JOIN gen_lista l ON l.id = lo.id_lista WHERE l.nombre = 'ReferenciaCilindro' AND upper(lo.nombre) = 'CLIENTE' AND lo.estado = 1 LIMIT 1)","NULL"))&amp;", p_anio_fabricacion =&gt; "&amp;IF(M531&amp;""="","NULL::smallint",M531&amp;"::smallint")&amp;", p_mes_fabricacion =&gt; "&amp;IF(N531&amp;""="","NULL::smallint",N531&amp;"::smallint")&amp;", p_fecha_ultima_prueba_hidrostatica =&gt; "&amp;IF(O531&amp;""="","NULL","'"&amp;YEAR(O531)&amp;"-"&amp;TEXT(MONTH(O531),"00")&amp;"-"&amp;TEXT(DAY(O531),"00")&amp;"'")&amp;", p_numero_serie =&gt; "&amp;IF(TRIM(Q531&amp;"")="","NULL","'"&amp;SUBSTITUTE(TRIM(Q531),"'","''")&amp;"'")&amp;", p_id_marca_cilindro =&gt; "&amp;IF(TRIM(R531&amp;"")="","NULL","(SELECT lo.id FROM gen_lista_opciones lo JOIN gen_lista l ON l.id = lo.id_lista WHERE l.nombre = 'MarcaCilindro' AND upper(lo.nombre) = upper('"&amp;SUBSTITUTE(TRIM(R531),"'","''")&amp;"') AND lo.estado = 1 LIMIT 1)")&amp;", p_id_organo_inspector =&gt; "&amp;IF(TRIM(S531&amp;"")="","NULL","(SELECT lo.id FROM gen_lista_opciones lo JOIN gen_lista l ON l.id = lo.id_lista WHERE l.nombre = 'OrganoInspectorCilindro' AND upper(lo.nombre) = upper('"&amp;SUBSTITUTE(TRIM(S531),"'","''")&amp;"') AND lo.estado = 1 LIMIT 1)")&amp;", p_organo_inspector_no_aplica =&gt; "&amp;IF(S531="NO_APLICA","TRUE","FALSE")&amp;", p_presion_actual =&gt; "&amp;IF(T531&amp;""="","NULL",SUBSTITUTE(T531&amp;"",",","."))&amp;", p_tipo_valvula =&gt; "&amp;IF(TRIM(U531&amp;"")="","NULL","'"&amp;SUBSTITUTE(TRIM(U531),"'","''")&amp;"'")&amp;", p_libro_cilindro =&gt; "&amp;IF(TRIM(V531&amp;"")="","NULL","'"&amp;SUBSTITUTE(TRIM(V531),"'","''")&amp;"'")&amp;", p_pagina_libro =&gt; "&amp;IF(W531&amp;""="","NULL",SUBSTITUTE(W531&amp;"",",","."))&amp;", p_observacion =&gt; "&amp;IF(TRIM(X531&amp;"")="","NULL","'"&amp;SUBSTITUTE(TRIM(X531),"'","''")&amp;"'")&amp;") AS resultado_balon_"&amp;ROW()&amp;";")</f>
        <v/>
      </c>
    </row>
    <row r="532" ht="15.75" customHeight="1" s="64">
      <c r="A532" s="36" t="inlineStr">
        <is>
          <t>528</t>
        </is>
      </c>
      <c r="B532" s="25">
        <f>IF(AND(C532="",D532="",E532=""),"",IF(C532="","FALTA código balón",IF(D532="","FALTA tipo balón",IF(E532="","FALTA gas",IF(F532="","FALTA propietario",IF(AND(C532&lt;&gt;"",SUMPRODUCT(--($C$5:$C$1200=C532))&gt;1),"CÓDIGO BALÓN DUPLICADO",IF(AND(OR(UPPER(F532)="PLANTA",UPPER(F532)="CLIENTE"),G532=""),"FALTA doc propietario/planta",IF(AND(UPPER(F532)="PLANTA",G532="10175332796"),"PLANTA no puede ser RUC empresa","OK"))))))))</f>
        <v/>
      </c>
      <c r="C532" s="23" t="inlineStr">
        <is>
          <t>FC017042</t>
        </is>
      </c>
      <c r="D532" s="17" t="inlineStr">
        <is>
          <t>Oxígeno Industrial 10 m³</t>
        </is>
      </c>
      <c r="E532" s="17" t="inlineStr">
        <is>
          <t>OXIGENO INDUSTRIAL</t>
        </is>
      </c>
      <c r="F532" s="17" t="inlineStr">
        <is>
          <t>EMPRESA</t>
        </is>
      </c>
      <c r="G532" s="23" t="inlineStr">
        <is>
          <t>10175332796</t>
        </is>
      </c>
      <c r="H532" s="25">
        <f t="array" ref="H532">IF(G532="","",IFERROR(IF(INDEX(Clientes!$D$5:$D$549,MATCH(G532,Clientes!$C$5:$C$549,0))&lt;&gt;"",INDEX(Clientes!$D$5:$D$549,MATCH(G532,Clientes!$C$5:$C$549,0)),TRIM(INDEX(Clientes!$E$5:$E$549,MATCH(G532,Clientes!$C$5:$C$549,0))&amp;" "&amp;INDEX(Clientes!$F$5:$F$549,MATCH(G532,Clientes!$C$5:$C$549,0)))),"NO EXISTE en Clientes"))</f>
        <v/>
      </c>
      <c r="I532" s="17" t="inlineStr">
        <is>
          <t>DISPONIBLE</t>
        </is>
      </c>
      <c r="J532" s="17" t="inlineStr">
        <is>
          <t>ALMACEN PRINCIPAL</t>
        </is>
      </c>
      <c r="K532" s="23" t="n"/>
      <c r="L532" s="25">
        <f t="array" ref="L532">IF(K532="","",IFERROR(IF(INDEX(Clientes!$D$5:$D$549,MATCH(K532,Clientes!$C$5:$C$549,0))&lt;&gt;"",INDEX(Clientes!$D$5:$D$549,MATCH(K532,Clientes!$C$5:$C$549,0)),TRIM(INDEX(Clientes!$E$5:$E$549,MATCH(K532,Clientes!$C$5:$C$549,0))&amp;" "&amp;INDEX(Clientes!$F$5:$F$549,MATCH(K532,Clientes!$C$5:$C$549,0)))),"NO EXISTE en Clientes"))</f>
        <v/>
      </c>
      <c r="M532" s="17" t="n"/>
      <c r="N532" s="17" t="n"/>
      <c r="O532" s="42" t="n"/>
      <c r="P532" s="39">
        <f>IF(O532&lt;&gt;"",DATE(YEAR(O532)+5,MONTH(O532),1),IF(AND(M532&lt;&gt;"",N532&lt;&gt;""),DATE(M532+5,N532,1),""))</f>
        <v/>
      </c>
      <c r="Q532" s="23" t="n"/>
      <c r="R532" s="17" t="n"/>
      <c r="S532" s="17" t="n"/>
      <c r="T532" s="17" t="n"/>
      <c r="U532" s="17" t="n"/>
      <c r="V532" s="23" t="n"/>
      <c r="W532" s="17" t="n"/>
      <c r="X532" s="17" t="n"/>
      <c r="Y532" s="28">
        <f>IF(B532&lt;&gt;"OK","","SELECT bal_crear_balon(p_codigo_balon =&gt; "&amp;IF(TRIM(C532&amp;"")="","NULL","'"&amp;SUBSTITUTE(TRIM(C532),"'","''")&amp;"'")&amp;", p_id_tipo_balon =&gt; "&amp;"(SELECT id FROM bal_tipo_balon WHERE upper(nombre) = upper('"&amp;SUBSTITUTE(TRIM(D532),"'","''")&amp;"') AND estado = 1 LIMIT 1)"&amp;", p_id_producto_gas =&gt; "&amp;"(SELECT id FROM pro_producto WHERE es_gas = TRUE AND upper(nombre) = upper('"&amp;SUBSTITUTE(TRIM(E532),"'","''")&amp;"') AND estado = 1 LIMIT 1)"&amp;", p_id_propietario =&gt; "&amp;IF(TRIM(F532&amp;"")="","NULL","(SELECT lo.id FROM gen_lista_opciones lo JOIN gen_lista l ON l.id = lo.id_lista WHERE l.nombre = 'PropietarioBalon' AND upper(lo.nombre) = upper('"&amp;SUBSTITUTE(TRIM(F532),"'","''")&amp;"') AND lo.estado = 1 LIMIT 1)")&amp;", p_id_cliente_propietario =&gt; "&amp;IF(F532="CLIENTE",IF(TRIM(G532&amp;"")="","NULL","(SELECT id FROM cli_clientes WHERE numero_documento = '"&amp;SUBSTITUTE(TRIM(G532),"'","''")&amp;"' AND estado = 1 LIMIT 1)"),"NULL")&amp;", p_id_planta =&gt; "&amp;IF(F532="PLANTA",IF(TRIM(G532&amp;"")="","NULL","(SELECT id FROM cli_clientes WHERE numero_documento = '"&amp;SUBSTITUTE(TRIM(G532),"'","''")&amp;"'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"&amp;IF(TRIM(J532&amp;"")="","NULL","(SELECT id FROM gen_almacen WHERE upper(nombre) = upper('"&amp;SUBSTITUTE(TRIM(J532),"'","''")&amp;"') AND estado = 1 LIMIT 1)")&amp;", p_id_cliente_ubicacion =&gt; "&amp;IF(TRIM(K532&amp;"")="","NULL","(SELECT id FROM cli_clientes WHERE numero_documento = '"&amp;SUBSTITUTE(TRIM(K532),"'","''")&amp;"' AND estado = 1 LIMIT 1)")&amp;", p_id_referencia =&gt; "&amp;IF(TRIM(J532&amp;"")&lt;&gt;"","(SELECT lo.id FROM gen_lista_opciones lo JOIN gen_lista l ON l.id = lo.id_lista WHERE l.nombre = 'ReferenciaCilindro' AND upper(lo.nombre) = 'ALMACEN' AND lo.estado = 1 LIMIT 1)",IF(TRIM(K532&amp;"")&lt;&gt;"","(SELECT lo.id FROM gen_lista_opciones lo JOIN gen_lista l ON l.id = lo.id_lista WHERE l.nombre = 'ReferenciaCilindro' AND upper(lo.nombre) = 'CLIENTE' AND lo.estado = 1 LIMIT 1)","NULL"))&amp;", p_anio_fabricacion =&gt; "&amp;IF(M532&amp;""="","NULL::smallint",M532&amp;"::smallint")&amp;", p_mes_fabricacion =&gt; "&amp;IF(N532&amp;""="","NULL::smallint",N532&amp;"::smallint")&amp;", p_fecha_ultima_prueba_hidrostatica =&gt; "&amp;IF(O532&amp;""="","NULL","'"&amp;YEAR(O532)&amp;"-"&amp;TEXT(MONTH(O532),"00")&amp;"-"&amp;TEXT(DAY(O532),"00")&amp;"'")&amp;", p_numero_serie =&gt; "&amp;IF(TRIM(Q532&amp;"")="","NULL","'"&amp;SUBSTITUTE(TRIM(Q532),"'","''")&amp;"'")&amp;", p_id_marca_cilindro =&gt; "&amp;IF(TRIM(R532&amp;"")="","NULL","(SELECT lo.id FROM gen_lista_opciones lo JOIN gen_lista l ON l.id = lo.id_lista WHERE l.nombre = 'MarcaCilindro' AND upper(lo.nombre) = upper('"&amp;SUBSTITUTE(TRIM(R532),"'","''")&amp;"') AND lo.estado = 1 LIMIT 1)")&amp;", p_id_organo_inspector =&gt; "&amp;IF(TRIM(S532&amp;"")="","NULL","(SELECT lo.id FROM gen_lista_opciones lo JOIN gen_lista l ON l.id = lo.id_lista WHERE l.nombre = 'OrganoInspectorCilindro' AND upper(lo.nombre) = upper('"&amp;SUBSTITUTE(TRIM(S532),"'","''")&amp;"') AND lo.estado = 1 LIMIT 1)")&amp;", p_organo_inspector_no_aplica =&gt; "&amp;IF(S532="NO_APLICA","TRUE","FALSE")&amp;", p_presion_actual =&gt; "&amp;IF(T532&amp;""="","NULL",SUBSTITUTE(T532&amp;"",",","."))&amp;", p_tipo_valvula =&gt; "&amp;IF(TRIM(U532&amp;"")="","NULL","'"&amp;SUBSTITUTE(TRIM(U532),"'","''")&amp;"'")&amp;", p_libro_cilindro =&gt; "&amp;IF(TRIM(V532&amp;"")="","NULL","'"&amp;SUBSTITUTE(TRIM(V532),"'","''")&amp;"'")&amp;", p_pagina_libro =&gt; "&amp;IF(W532&amp;""="","NULL",SUBSTITUTE(W532&amp;"",",","."))&amp;", p_observacion =&gt; "&amp;IF(TRIM(X532&amp;"")="","NULL","'"&amp;SUBSTITUTE(TRIM(X532),"'","''")&amp;"'")&amp;") AS resultado_balon_"&amp;ROW()&amp;";")</f>
        <v/>
      </c>
    </row>
    <row r="533" ht="15.75" customHeight="1" s="64">
      <c r="A533" s="36" t="inlineStr">
        <is>
          <t>529</t>
        </is>
      </c>
      <c r="B533" s="25">
        <f>IF(AND(C533="",D533="",E533=""),"",IF(C533="","FALTA código balón",IF(D533="","FALTA tipo balón",IF(E533="","FALTA gas",IF(F533="","FALTA propietario",IF(AND(C533&lt;&gt;"",SUMPRODUCT(--($C$5:$C$1200=C533))&gt;1),"CÓDIGO BALÓN DUPLICADO",IF(AND(OR(UPPER(F533)="PLANTA",UPPER(F533)="CLIENTE"),G533=""),"FALTA doc propietario/planta",IF(AND(UPPER(F533)="PLANTA",G533="10175332796"),"PLANTA no puede ser RUC empresa","OK"))))))))</f>
        <v/>
      </c>
      <c r="C533" s="23" t="inlineStr">
        <is>
          <t>88800173</t>
        </is>
      </c>
      <c r="D533" s="17" t="inlineStr">
        <is>
          <t>Oxígeno Industrial 6 m³</t>
        </is>
      </c>
      <c r="E533" s="17" t="inlineStr">
        <is>
          <t>OXIGENO INDUSTRIAL</t>
        </is>
      </c>
      <c r="F533" s="17" t="inlineStr">
        <is>
          <t>EMPRESA</t>
        </is>
      </c>
      <c r="G533" s="23" t="inlineStr">
        <is>
          <t>10175332796</t>
        </is>
      </c>
      <c r="H533" s="25">
        <f t="array" ref="H533">IF(G533="","",IFERROR(IF(INDEX(Clientes!$D$5:$D$549,MATCH(G533,Clientes!$C$5:$C$549,0))&lt;&gt;"",INDEX(Clientes!$D$5:$D$549,MATCH(G533,Clientes!$C$5:$C$549,0)),TRIM(INDEX(Clientes!$E$5:$E$549,MATCH(G533,Clientes!$C$5:$C$549,0))&amp;" "&amp;INDEX(Clientes!$F$5:$F$549,MATCH(G533,Clientes!$C$5:$C$549,0)))),"NO EXISTE en Clientes"))</f>
        <v/>
      </c>
      <c r="I533" s="17" t="inlineStr">
        <is>
          <t>DISPONIBLE</t>
        </is>
      </c>
      <c r="J533" s="17" t="inlineStr">
        <is>
          <t>ALMACEN PRINCIPAL</t>
        </is>
      </c>
      <c r="K533" s="23" t="n"/>
      <c r="L533" s="25">
        <f t="array" ref="L533">IF(K533="","",IFERROR(IF(INDEX(Clientes!$D$5:$D$549,MATCH(K533,Clientes!$C$5:$C$549,0))&lt;&gt;"",INDEX(Clientes!$D$5:$D$549,MATCH(K533,Clientes!$C$5:$C$549,0)),TRIM(INDEX(Clientes!$E$5:$E$549,MATCH(K533,Clientes!$C$5:$C$549,0))&amp;" "&amp;INDEX(Clientes!$F$5:$F$549,MATCH(K533,Clientes!$C$5:$C$549,0)))),"NO EXISTE en Clientes"))</f>
        <v/>
      </c>
      <c r="M533" s="17" t="n"/>
      <c r="N533" s="17" t="n"/>
      <c r="O533" s="42" t="n"/>
      <c r="P533" s="39">
        <f>IF(O533&lt;&gt;"",DATE(YEAR(O533)+5,MONTH(O533),1),IF(AND(M533&lt;&gt;"",N533&lt;&gt;""),DATE(M533+5,N533,1),""))</f>
        <v/>
      </c>
      <c r="Q533" s="23" t="n"/>
      <c r="R533" s="17" t="n"/>
      <c r="S533" s="17" t="n"/>
      <c r="T533" s="17" t="n"/>
      <c r="U533" s="17" t="n"/>
      <c r="V533" s="23" t="n"/>
      <c r="W533" s="17" t="n"/>
      <c r="X533" s="17" t="n"/>
      <c r="Y533" s="28">
        <f>IF(B533&lt;&gt;"OK","","SELECT bal_crear_balon(p_codigo_balon =&gt; "&amp;IF(TRIM(C533&amp;"")="","NULL","'"&amp;SUBSTITUTE(TRIM(C533),"'","''")&amp;"'")&amp;", p_id_tipo_balon =&gt; "&amp;"(SELECT id FROM bal_tipo_balon WHERE upper(nombre) = upper('"&amp;SUBSTITUTE(TRIM(D533),"'","''")&amp;"') AND estado = 1 LIMIT 1)"&amp;", p_id_producto_gas =&gt; "&amp;"(SELECT id FROM pro_producto WHERE es_gas = TRUE AND upper(nombre) = upper('"&amp;SUBSTITUTE(TRIM(E533),"'","''")&amp;"') AND estado = 1 LIMIT 1)"&amp;", p_id_propietario =&gt; "&amp;IF(TRIM(F533&amp;"")="","NULL","(SELECT lo.id FROM gen_lista_opciones lo JOIN gen_lista l ON l.id = lo.id_lista WHERE l.nombre = 'PropietarioBalon' AND upper(lo.nombre) = upper('"&amp;SUBSTITUTE(TRIM(F533),"'","''")&amp;"') AND lo.estado = 1 LIMIT 1)")&amp;", p_id_cliente_propietario =&gt; "&amp;IF(F533="CLIENTE",IF(TRIM(G533&amp;"")="","NULL","(SELECT id FROM cli_clientes WHERE numero_documento = '"&amp;SUBSTITUTE(TRIM(G533),"'","''")&amp;"' AND estado = 1 LIMIT 1)"),"NULL")&amp;", p_id_planta =&gt; "&amp;IF(F533="PLANTA",IF(TRIM(G533&amp;"")="","NULL","(SELECT id FROM cli_clientes WHERE numero_documento = '"&amp;SUBSTITUTE(TRIM(G533),"'","''")&amp;"'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"&amp;IF(TRIM(J533&amp;"")="","NULL","(SELECT id FROM gen_almacen WHERE upper(nombre) = upper('"&amp;SUBSTITUTE(TRIM(J533),"'","''")&amp;"') AND estado = 1 LIMIT 1)")&amp;", p_id_cliente_ubicacion =&gt; "&amp;IF(TRIM(K533&amp;"")="","NULL","(SELECT id FROM cli_clientes WHERE numero_documento = '"&amp;SUBSTITUTE(TRIM(K533),"'","''")&amp;"' AND estado = 1 LIMIT 1)")&amp;", p_id_referencia =&gt; "&amp;IF(TRIM(J533&amp;"")&lt;&gt;"","(SELECT lo.id FROM gen_lista_opciones lo JOIN gen_lista l ON l.id = lo.id_lista WHERE l.nombre = 'ReferenciaCilindro' AND upper(lo.nombre) = 'ALMACEN' AND lo.estado = 1 LIMIT 1)",IF(TRIM(K533&amp;"")&lt;&gt;"","(SELECT lo.id FROM gen_lista_opciones lo JOIN gen_lista l ON l.id = lo.id_lista WHERE l.nombre = 'ReferenciaCilindro' AND upper(lo.nombre) = 'CLIENTE' AND lo.estado = 1 LIMIT 1)","NULL"))&amp;", p_anio_fabricacion =&gt; "&amp;IF(M533&amp;""="","NULL::smallint",M533&amp;"::smallint")&amp;", p_mes_fabricacion =&gt; "&amp;IF(N533&amp;""="","NULL::smallint",N533&amp;"::smallint")&amp;", p_fecha_ultima_prueba_hidrostatica =&gt; "&amp;IF(O533&amp;""="","NULL","'"&amp;YEAR(O533)&amp;"-"&amp;TEXT(MONTH(O533),"00")&amp;"-"&amp;TEXT(DAY(O533),"00")&amp;"'")&amp;", p_numero_serie =&gt; "&amp;IF(TRIM(Q533&amp;"")="","NULL","'"&amp;SUBSTITUTE(TRIM(Q533),"'","''")&amp;"'")&amp;", p_id_marca_cilindro =&gt; "&amp;IF(TRIM(R533&amp;"")="","NULL","(SELECT lo.id FROM gen_lista_opciones lo JOIN gen_lista l ON l.id = lo.id_lista WHERE l.nombre = 'MarcaCilindro' AND upper(lo.nombre) = upper('"&amp;SUBSTITUTE(TRIM(R533),"'","''")&amp;"') AND lo.estado = 1 LIMIT 1)")&amp;", p_id_organo_inspector =&gt; "&amp;IF(TRIM(S533&amp;"")="","NULL","(SELECT lo.id FROM gen_lista_opciones lo JOIN gen_lista l ON l.id = lo.id_lista WHERE l.nombre = 'OrganoInspectorCilindro' AND upper(lo.nombre) = upper('"&amp;SUBSTITUTE(TRIM(S533),"'","''")&amp;"') AND lo.estado = 1 LIMIT 1)")&amp;", p_organo_inspector_no_aplica =&gt; "&amp;IF(S533="NO_APLICA","TRUE","FALSE")&amp;", p_presion_actual =&gt; "&amp;IF(T533&amp;""="","NULL",SUBSTITUTE(T533&amp;"",",","."))&amp;", p_tipo_valvula =&gt; "&amp;IF(TRIM(U533&amp;"")="","NULL","'"&amp;SUBSTITUTE(TRIM(U533),"'","''")&amp;"'")&amp;", p_libro_cilindro =&gt; "&amp;IF(TRIM(V533&amp;"")="","NULL","'"&amp;SUBSTITUTE(TRIM(V533),"'","''")&amp;"'")&amp;", p_pagina_libro =&gt; "&amp;IF(W533&amp;""="","NULL",SUBSTITUTE(W533&amp;"",",","."))&amp;", p_observacion =&gt; "&amp;IF(TRIM(X533&amp;"")="","NULL","'"&amp;SUBSTITUTE(TRIM(X533),"'","''")&amp;"'")&amp;") AS resultado_balon_"&amp;ROW()&amp;";")</f>
        <v/>
      </c>
    </row>
    <row r="534" ht="15.75" customHeight="1" s="64">
      <c r="A534" s="36" t="inlineStr">
        <is>
          <t>530</t>
        </is>
      </c>
      <c r="B534" s="25">
        <f>IF(AND(C534="",D534="",E534=""),"",IF(C534="","FALTA código balón",IF(D534="","FALTA tipo balón",IF(E534="","FALTA gas",IF(F534="","FALTA propietario",IF(AND(C534&lt;&gt;"",SUMPRODUCT(--($C$5:$C$1200=C534))&gt;1),"CÓDIGO BALÓN DUPLICADO",IF(AND(OR(UPPER(F534)="PLANTA",UPPER(F534)="CLIENTE"),G534=""),"FALTA doc propietario/planta",IF(AND(UPPER(F534)="PLANTA",G534="10175332796"),"PLANTA no puede ser RUC empresa","OK"))))))))</f>
        <v/>
      </c>
      <c r="C534" s="23" t="inlineStr">
        <is>
          <t>K392006 (303216)</t>
        </is>
      </c>
      <c r="D534" s="17" t="inlineStr">
        <is>
          <t>Argón Estándar 10 m3</t>
        </is>
      </c>
      <c r="E534" s="17" t="inlineStr">
        <is>
          <t>ARGON</t>
        </is>
      </c>
      <c r="F534" s="17" t="inlineStr">
        <is>
          <t>EMPRESA</t>
        </is>
      </c>
      <c r="G534" s="23" t="inlineStr">
        <is>
          <t>10175332796</t>
        </is>
      </c>
      <c r="H534" s="25">
        <f t="array" ref="H534">IF(G534="","",IFERROR(IF(INDEX(Clientes!$D$5:$D$549,MATCH(G534,Clientes!$C$5:$C$549,0))&lt;&gt;"",INDEX(Clientes!$D$5:$D$549,MATCH(G534,Clientes!$C$5:$C$549,0)),TRIM(INDEX(Clientes!$E$5:$E$549,MATCH(G534,Clientes!$C$5:$C$549,0))&amp;" "&amp;INDEX(Clientes!$F$5:$F$549,MATCH(G534,Clientes!$C$5:$C$549,0)))),"NO EXISTE en Clientes"))</f>
        <v/>
      </c>
      <c r="I534" s="17" t="inlineStr">
        <is>
          <t>DISPONIBLE</t>
        </is>
      </c>
      <c r="J534" s="17" t="inlineStr">
        <is>
          <t>ALMACEN PRINCIPAL</t>
        </is>
      </c>
      <c r="K534" s="23" t="n"/>
      <c r="L534" s="25">
        <f t="array" ref="L534">IF(K534="","",IFERROR(IF(INDEX(Clientes!$D$5:$D$549,MATCH(K534,Clientes!$C$5:$C$549,0))&lt;&gt;"",INDEX(Clientes!$D$5:$D$549,MATCH(K534,Clientes!$C$5:$C$549,0)),TRIM(INDEX(Clientes!$E$5:$E$549,MATCH(K534,Clientes!$C$5:$C$549,0))&amp;" "&amp;INDEX(Clientes!$F$5:$F$549,MATCH(K534,Clientes!$C$5:$C$549,0)))),"NO EXISTE en Clientes"))</f>
        <v/>
      </c>
      <c r="M534" s="17" t="n"/>
      <c r="N534" s="17" t="n"/>
      <c r="O534" s="42" t="n"/>
      <c r="P534" s="39">
        <f>IF(O534&lt;&gt;"",DATE(YEAR(O534)+5,MONTH(O534),1),IF(AND(M534&lt;&gt;"",N534&lt;&gt;""),DATE(M534+5,N534,1),""))</f>
        <v/>
      </c>
      <c r="Q534" s="23" t="n"/>
      <c r="R534" s="17" t="n"/>
      <c r="S534" s="17" t="n"/>
      <c r="T534" s="17" t="n"/>
      <c r="U534" s="17" t="n"/>
      <c r="V534" s="23" t="n"/>
      <c r="W534" s="17" t="n"/>
      <c r="X534" s="17" t="n"/>
      <c r="Y534" s="28">
        <f>IF(B534&lt;&gt;"OK","","SELECT bal_crear_balon(p_codigo_balon =&gt; "&amp;IF(TRIM(C534&amp;"")="","NULL","'"&amp;SUBSTITUTE(TRIM(C534),"'","''")&amp;"'")&amp;", p_id_tipo_balon =&gt; "&amp;"(SELECT id FROM bal_tipo_balon WHERE upper(nombre) = upper('"&amp;SUBSTITUTE(TRIM(D534),"'","''")&amp;"') AND estado = 1 LIMIT 1)"&amp;", p_id_producto_gas =&gt; "&amp;"(SELECT id FROM pro_producto WHERE es_gas = TRUE AND upper(nombre) = upper('"&amp;SUBSTITUTE(TRIM(E534),"'","''")&amp;"') AND estado = 1 LIMIT 1)"&amp;", p_id_propietario =&gt; "&amp;IF(TRIM(F534&amp;"")="","NULL","(SELECT lo.id FROM gen_lista_opciones lo JOIN gen_lista l ON l.id = lo.id_lista WHERE l.nombre = 'PropietarioBalon' AND upper(lo.nombre) = upper('"&amp;SUBSTITUTE(TRIM(F534),"'","''")&amp;"') AND lo.estado = 1 LIMIT 1)")&amp;", p_id_cliente_propietario =&gt; "&amp;IF(F534="CLIENTE",IF(TRIM(G534&amp;"")="","NULL","(SELECT id FROM cli_clientes WHERE numero_documento = '"&amp;SUBSTITUTE(TRIM(G534),"'","''")&amp;"' AND estado = 1 LIMIT 1)"),"NULL")&amp;", p_id_planta =&gt; "&amp;IF(F534="PLANTA",IF(TRIM(G534&amp;"")="","NULL","(SELECT id FROM cli_clientes WHERE numero_documento = '"&amp;SUBSTITUTE(TRIM(G534),"'","''")&amp;"'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"&amp;IF(TRIM(J534&amp;"")="","NULL","(SELECT id FROM gen_almacen WHERE upper(nombre) = upper('"&amp;SUBSTITUTE(TRIM(J534),"'","''")&amp;"') AND estado = 1 LIMIT 1)")&amp;", p_id_cliente_ubicacion =&gt; "&amp;IF(TRIM(K534&amp;"")="","NULL","(SELECT id FROM cli_clientes WHERE numero_documento = '"&amp;SUBSTITUTE(TRIM(K534),"'","''")&amp;"' AND estado = 1 LIMIT 1)")&amp;", p_id_referencia =&gt; "&amp;IF(TRIM(J534&amp;"")&lt;&gt;"","(SELECT lo.id FROM gen_lista_opciones lo JOIN gen_lista l ON l.id = lo.id_lista WHERE l.nombre = 'ReferenciaCilindro' AND upper(lo.nombre) = 'ALMACEN' AND lo.estado = 1 LIMIT 1)",IF(TRIM(K534&amp;"")&lt;&gt;"","(SELECT lo.id FROM gen_lista_opciones lo JOIN gen_lista l ON l.id = lo.id_lista WHERE l.nombre = 'ReferenciaCilindro' AND upper(lo.nombre) = 'CLIENTE' AND lo.estado = 1 LIMIT 1)","NULL"))&amp;", p_anio_fabricacion =&gt; "&amp;IF(M534&amp;""="","NULL::smallint",M534&amp;"::smallint")&amp;", p_mes_fabricacion =&gt; "&amp;IF(N534&amp;""="","NULL::smallint",N534&amp;"::smallint")&amp;", p_fecha_ultima_prueba_hidrostatica =&gt; "&amp;IF(O534&amp;""="","NULL","'"&amp;YEAR(O534)&amp;"-"&amp;TEXT(MONTH(O534),"00")&amp;"-"&amp;TEXT(DAY(O534),"00")&amp;"'")&amp;", p_numero_serie =&gt; "&amp;IF(TRIM(Q534&amp;"")="","NULL","'"&amp;SUBSTITUTE(TRIM(Q534),"'","''")&amp;"'")&amp;", p_id_marca_cilindro =&gt; "&amp;IF(TRIM(R534&amp;"")="","NULL","(SELECT lo.id FROM gen_lista_opciones lo JOIN gen_lista l ON l.id = lo.id_lista WHERE l.nombre = 'MarcaCilindro' AND upper(lo.nombre) = upper('"&amp;SUBSTITUTE(TRIM(R534),"'","''")&amp;"') AND lo.estado = 1 LIMIT 1)")&amp;", p_id_organo_inspector =&gt; "&amp;IF(TRIM(S534&amp;"")="","NULL","(SELECT lo.id FROM gen_lista_opciones lo JOIN gen_lista l ON l.id = lo.id_lista WHERE l.nombre = 'OrganoInspectorCilindro' AND upper(lo.nombre) = upper('"&amp;SUBSTITUTE(TRIM(S534),"'","''")&amp;"') AND lo.estado = 1 LIMIT 1)")&amp;", p_organo_inspector_no_aplica =&gt; "&amp;IF(S534="NO_APLICA","TRUE","FALSE")&amp;", p_presion_actual =&gt; "&amp;IF(T534&amp;""="","NULL",SUBSTITUTE(T534&amp;"",",","."))&amp;", p_tipo_valvula =&gt; "&amp;IF(TRIM(U534&amp;"")="","NULL","'"&amp;SUBSTITUTE(TRIM(U534),"'","''")&amp;"'")&amp;", p_libro_cilindro =&gt; "&amp;IF(TRIM(V534&amp;"")="","NULL","'"&amp;SUBSTITUTE(TRIM(V534),"'","''")&amp;"'")&amp;", p_pagina_libro =&gt; "&amp;IF(W534&amp;""="","NULL",SUBSTITUTE(W534&amp;"",",","."))&amp;", p_observacion =&gt; "&amp;IF(TRIM(X534&amp;"")="","NULL","'"&amp;SUBSTITUTE(TRIM(X534),"'","''")&amp;"'")&amp;") AS resultado_balon_"&amp;ROW()&amp;";")</f>
        <v/>
      </c>
    </row>
    <row r="535" ht="15.75" customHeight="1" s="64">
      <c r="A535" s="36" t="inlineStr">
        <is>
          <t>531</t>
        </is>
      </c>
      <c r="B535" s="25">
        <f>IF(AND(C535="",D535="",E535=""),"",IF(C535="","FALTA código balón",IF(D535="","FALTA tipo balón",IF(E535="","FALTA gas",IF(F535="","FALTA propietario",IF(AND(C535&lt;&gt;"",SUMPRODUCT(--($C$5:$C$1200=C535))&gt;1),"CÓDIGO BALÓN DUPLICADO",IF(AND(OR(UPPER(F535)="PLANTA",UPPER(F535)="CLIENTE"),G535=""),"FALTA doc propietario/planta",IF(AND(UPPER(F535)="PLANTA",G535="10175332796"),"PLANTA no puede ser RUC empresa","OK"))))))))</f>
        <v/>
      </c>
      <c r="C535" s="23" t="inlineStr">
        <is>
          <t>AS3273644</t>
        </is>
      </c>
      <c r="D535" s="17" t="inlineStr">
        <is>
          <t>DIOXIDO DE CARBONO 3 KG</t>
        </is>
      </c>
      <c r="E535" s="17" t="inlineStr">
        <is>
          <t>DIÓXIDO DE CARBONO</t>
        </is>
      </c>
      <c r="F535" s="17" t="inlineStr">
        <is>
          <t>EMPRESA</t>
        </is>
      </c>
      <c r="G535" s="23" t="inlineStr">
        <is>
          <t>10175332796</t>
        </is>
      </c>
      <c r="H535" s="25">
        <f t="array" ref="H535">IF(G535="","",IFERROR(IF(INDEX(Clientes!$D$5:$D$549,MATCH(G535,Clientes!$C$5:$C$549,0))&lt;&gt;"",INDEX(Clientes!$D$5:$D$549,MATCH(G535,Clientes!$C$5:$C$549,0)),TRIM(INDEX(Clientes!$E$5:$E$549,MATCH(G535,Clientes!$C$5:$C$549,0))&amp;" "&amp;INDEX(Clientes!$F$5:$F$549,MATCH(G535,Clientes!$C$5:$C$549,0)))),"NO EXISTE en Clientes"))</f>
        <v/>
      </c>
      <c r="I535" s="17" t="inlineStr">
        <is>
          <t>DISPONIBLE</t>
        </is>
      </c>
      <c r="J535" s="17" t="inlineStr">
        <is>
          <t>ALMACEN PRINCIPAL</t>
        </is>
      </c>
      <c r="K535" s="23" t="n"/>
      <c r="L535" s="25">
        <f t="array" ref="L535">IF(K535="","",IFERROR(IF(INDEX(Clientes!$D$5:$D$549,MATCH(K535,Clientes!$C$5:$C$549,0))&lt;&gt;"",INDEX(Clientes!$D$5:$D$549,MATCH(K535,Clientes!$C$5:$C$549,0)),TRIM(INDEX(Clientes!$E$5:$E$549,MATCH(K535,Clientes!$C$5:$C$549,0))&amp;" "&amp;INDEX(Clientes!$F$5:$F$549,MATCH(K535,Clientes!$C$5:$C$549,0)))),"NO EXISTE en Clientes"))</f>
        <v/>
      </c>
      <c r="M535" s="17" t="n"/>
      <c r="N535" s="17" t="n"/>
      <c r="O535" s="42" t="n"/>
      <c r="P535" s="39">
        <f>IF(O535&lt;&gt;"",DATE(YEAR(O535)+5,MONTH(O535),1),IF(AND(M535&lt;&gt;"",N535&lt;&gt;""),DATE(M535+5,N535,1),""))</f>
        <v/>
      </c>
      <c r="Q535" s="23" t="n"/>
      <c r="R535" s="17" t="n"/>
      <c r="S535" s="17" t="n"/>
      <c r="T535" s="17" t="n"/>
      <c r="U535" s="17" t="n"/>
      <c r="V535" s="23" t="n"/>
      <c r="W535" s="17" t="n"/>
      <c r="X535" s="17" t="n"/>
      <c r="Y535" s="28">
        <f>IF(B535&lt;&gt;"OK","","SELECT bal_crear_balon(p_codigo_balon =&gt; "&amp;IF(TRIM(C535&amp;"")="","NULL","'"&amp;SUBSTITUTE(TRIM(C535),"'","''")&amp;"'")&amp;", p_id_tipo_balon =&gt; "&amp;"(SELECT id FROM bal_tipo_balon WHERE upper(nombre) = upper('"&amp;SUBSTITUTE(TRIM(D535),"'","''")&amp;"') AND estado = 1 LIMIT 1)"&amp;", p_id_producto_gas =&gt; "&amp;"(SELECT id FROM pro_producto WHERE es_gas = TRUE AND upper(nombre) = upper('"&amp;SUBSTITUTE(TRIM(E535),"'","''")&amp;"') AND estado = 1 LIMIT 1)"&amp;", p_id_propietario =&gt; "&amp;IF(TRIM(F535&amp;"")="","NULL","(SELECT lo.id FROM gen_lista_opciones lo JOIN gen_lista l ON l.id = lo.id_lista WHERE l.nombre = 'PropietarioBalon' AND upper(lo.nombre) = upper('"&amp;SUBSTITUTE(TRIM(F535),"'","''")&amp;"') AND lo.estado = 1 LIMIT 1)")&amp;", p_id_cliente_propietario =&gt; "&amp;IF(F535="CLIENTE",IF(TRIM(G535&amp;"")="","NULL","(SELECT id FROM cli_clientes WHERE numero_documento = '"&amp;SUBSTITUTE(TRIM(G535),"'","''")&amp;"' AND estado = 1 LIMIT 1)"),"NULL")&amp;", p_id_planta =&gt; "&amp;IF(F535="PLANTA",IF(TRIM(G535&amp;"")="","NULL","(SELECT id FROM cli_clientes WHERE numero_documento = '"&amp;SUBSTITUTE(TRIM(G535),"'","''")&amp;"'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"&amp;IF(TRIM(J535&amp;"")="","NULL","(SELECT id FROM gen_almacen WHERE upper(nombre) = upper('"&amp;SUBSTITUTE(TRIM(J535),"'","''")&amp;"') AND estado = 1 LIMIT 1)")&amp;", p_id_cliente_ubicacion =&gt; "&amp;IF(TRIM(K535&amp;"")="","NULL","(SELECT id FROM cli_clientes WHERE numero_documento = '"&amp;SUBSTITUTE(TRIM(K535),"'","''")&amp;"' AND estado = 1 LIMIT 1)")&amp;", p_id_referencia =&gt; "&amp;IF(TRIM(J535&amp;"")&lt;&gt;"","(SELECT lo.id FROM gen_lista_opciones lo JOIN gen_lista l ON l.id = lo.id_lista WHERE l.nombre = 'ReferenciaCilindro' AND upper(lo.nombre) = 'ALMACEN' AND lo.estado = 1 LIMIT 1)",IF(TRIM(K535&amp;"")&lt;&gt;"","(SELECT lo.id FROM gen_lista_opciones lo JOIN gen_lista l ON l.id = lo.id_lista WHERE l.nombre = 'ReferenciaCilindro' AND upper(lo.nombre) = 'CLIENTE' AND lo.estado = 1 LIMIT 1)","NULL"))&amp;", p_anio_fabricacion =&gt; "&amp;IF(M535&amp;""="","NULL::smallint",M535&amp;"::smallint")&amp;", p_mes_fabricacion =&gt; "&amp;IF(N535&amp;""="","NULL::smallint",N535&amp;"::smallint")&amp;", p_fecha_ultima_prueba_hidrostatica =&gt; "&amp;IF(O535&amp;""="","NULL","'"&amp;YEAR(O535)&amp;"-"&amp;TEXT(MONTH(O535),"00")&amp;"-"&amp;TEXT(DAY(O535),"00")&amp;"'")&amp;", p_numero_serie =&gt; "&amp;IF(TRIM(Q535&amp;"")="","NULL","'"&amp;SUBSTITUTE(TRIM(Q535),"'","''")&amp;"'")&amp;", p_id_marca_cilindro =&gt; "&amp;IF(TRIM(R535&amp;"")="","NULL","(SELECT lo.id FROM gen_lista_opciones lo JOIN gen_lista l ON l.id = lo.id_lista WHERE l.nombre = 'MarcaCilindro' AND upper(lo.nombre) = upper('"&amp;SUBSTITUTE(TRIM(R535),"'","''")&amp;"') AND lo.estado = 1 LIMIT 1)")&amp;", p_id_organo_inspector =&gt; "&amp;IF(TRIM(S535&amp;"")="","NULL","(SELECT lo.id FROM gen_lista_opciones lo JOIN gen_lista l ON l.id = lo.id_lista WHERE l.nombre = 'OrganoInspectorCilindro' AND upper(lo.nombre) = upper('"&amp;SUBSTITUTE(TRIM(S535),"'","''")&amp;"') AND lo.estado = 1 LIMIT 1)")&amp;", p_organo_inspector_no_aplica =&gt; "&amp;IF(S535="NO_APLICA","TRUE","FALSE")&amp;", p_presion_actual =&gt; "&amp;IF(T535&amp;""="","NULL",SUBSTITUTE(T535&amp;"",",","."))&amp;", p_tipo_valvula =&gt; "&amp;IF(TRIM(U535&amp;"")="","NULL","'"&amp;SUBSTITUTE(TRIM(U535),"'","''")&amp;"'")&amp;", p_libro_cilindro =&gt; "&amp;IF(TRIM(V535&amp;"")="","NULL","'"&amp;SUBSTITUTE(TRIM(V535),"'","''")&amp;"'")&amp;", p_pagina_libro =&gt; "&amp;IF(W535&amp;""="","NULL",SUBSTITUTE(W535&amp;"",",","."))&amp;", p_observacion =&gt; "&amp;IF(TRIM(X535&amp;"")="","NULL","'"&amp;SUBSTITUTE(TRIM(X535),"'","''")&amp;"'")&amp;") AS resultado_balon_"&amp;ROW()&amp;";")</f>
        <v/>
      </c>
    </row>
    <row r="536" ht="15.75" customHeight="1" s="64">
      <c r="A536" s="36" t="inlineStr">
        <is>
          <t>532</t>
        </is>
      </c>
      <c r="B536" s="25">
        <f>IF(AND(C536="",D536="",E536=""),"",IF(C536="","FALTA código balón",IF(D536="","FALTA tipo balón",IF(E536="","FALTA gas",IF(F536="","FALTA propietario",IF(AND(C536&lt;&gt;"",SUMPRODUCT(--($C$5:$C$1200=C536))&gt;1),"CÓDIGO BALÓN DUPLICADO",IF(AND(OR(UPPER(F536)="PLANTA",UPPER(F536)="CLIENTE"),G536=""),"FALTA doc propietario/planta",IF(AND(UPPER(F536)="PLANTA",G536="10175332796"),"PLANTA no puede ser RUC empresa","OK"))))))))</f>
        <v/>
      </c>
      <c r="C536" s="23" t="inlineStr">
        <is>
          <t>K4853138</t>
        </is>
      </c>
      <c r="D536" s="17" t="inlineStr">
        <is>
          <t>Nitrógeno 10 m³</t>
        </is>
      </c>
      <c r="E536" s="17" t="inlineStr">
        <is>
          <t>NITROGENO</t>
        </is>
      </c>
      <c r="F536" s="17" t="inlineStr">
        <is>
          <t>EMPRESA</t>
        </is>
      </c>
      <c r="G536" s="23" t="inlineStr">
        <is>
          <t>10175332796</t>
        </is>
      </c>
      <c r="H536" s="25">
        <f t="array" ref="H536">IF(G536="","",IFERROR(IF(INDEX(Clientes!$D$5:$D$549,MATCH(G536,Clientes!$C$5:$C$549,0))&lt;&gt;"",INDEX(Clientes!$D$5:$D$549,MATCH(G536,Clientes!$C$5:$C$549,0)),TRIM(INDEX(Clientes!$E$5:$E$549,MATCH(G536,Clientes!$C$5:$C$549,0))&amp;" "&amp;INDEX(Clientes!$F$5:$F$549,MATCH(G536,Clientes!$C$5:$C$549,0)))),"NO EXISTE en Clientes"))</f>
        <v/>
      </c>
      <c r="I536" s="17" t="inlineStr">
        <is>
          <t>DISPONIBLE</t>
        </is>
      </c>
      <c r="J536" s="17" t="inlineStr">
        <is>
          <t>ALMACEN PRINCIPAL</t>
        </is>
      </c>
      <c r="K536" s="23" t="n"/>
      <c r="L536" s="25">
        <f t="array" ref="L536">IF(K536="","",IFERROR(IF(INDEX(Clientes!$D$5:$D$549,MATCH(K536,Clientes!$C$5:$C$549,0))&lt;&gt;"",INDEX(Clientes!$D$5:$D$549,MATCH(K536,Clientes!$C$5:$C$549,0)),TRIM(INDEX(Clientes!$E$5:$E$549,MATCH(K536,Clientes!$C$5:$C$549,0))&amp;" "&amp;INDEX(Clientes!$F$5:$F$549,MATCH(K536,Clientes!$C$5:$C$549,0)))),"NO EXISTE en Clientes"))</f>
        <v/>
      </c>
      <c r="M536" s="17" t="n"/>
      <c r="N536" s="17" t="n"/>
      <c r="O536" s="42" t="n"/>
      <c r="P536" s="39">
        <f>IF(O536&lt;&gt;"",DATE(YEAR(O536)+5,MONTH(O536),1),IF(AND(M536&lt;&gt;"",N536&lt;&gt;""),DATE(M536+5,N536,1),""))</f>
        <v/>
      </c>
      <c r="Q536" s="23" t="n"/>
      <c r="R536" s="17" t="n"/>
      <c r="S536" s="17" t="n"/>
      <c r="T536" s="17" t="n"/>
      <c r="U536" s="17" t="n"/>
      <c r="V536" s="23" t="n"/>
      <c r="W536" s="17" t="n"/>
      <c r="X536" s="17" t="n"/>
      <c r="Y536" s="28">
        <f>IF(B536&lt;&gt;"OK","","SELECT bal_crear_balon(p_codigo_balon =&gt; "&amp;IF(TRIM(C536&amp;"")="","NULL","'"&amp;SUBSTITUTE(TRIM(C536),"'","''")&amp;"'")&amp;", p_id_tipo_balon =&gt; "&amp;"(SELECT id FROM bal_tipo_balon WHERE upper(nombre) = upper('"&amp;SUBSTITUTE(TRIM(D536),"'","''")&amp;"') AND estado = 1 LIMIT 1)"&amp;", p_id_producto_gas =&gt; "&amp;"(SELECT id FROM pro_producto WHERE es_gas = TRUE AND upper(nombre) = upper('"&amp;SUBSTITUTE(TRIM(E536),"'","''")&amp;"') AND estado = 1 LIMIT 1)"&amp;", p_id_propietario =&gt; "&amp;IF(TRIM(F536&amp;"")="","NULL","(SELECT lo.id FROM gen_lista_opciones lo JOIN gen_lista l ON l.id = lo.id_lista WHERE l.nombre = 'PropietarioBalon' AND upper(lo.nombre) = upper('"&amp;SUBSTITUTE(TRIM(F536),"'","''")&amp;"') AND lo.estado = 1 LIMIT 1)")&amp;", p_id_cliente_propietario =&gt; "&amp;IF(F536="CLIENTE",IF(TRIM(G536&amp;"")="","NULL","(SELECT id FROM cli_clientes WHERE numero_documento = '"&amp;SUBSTITUTE(TRIM(G536),"'","''")&amp;"' AND estado = 1 LIMIT 1)"),"NULL")&amp;", p_id_planta =&gt; "&amp;IF(F536="PLANTA",IF(TRIM(G536&amp;"")="","NULL","(SELECT id FROM cli_clientes WHERE numero_documento = '"&amp;SUBSTITUTE(TRIM(G536),"'","''")&amp;"'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"&amp;IF(TRIM(J536&amp;"")="","NULL","(SELECT id FROM gen_almacen WHERE upper(nombre) = upper('"&amp;SUBSTITUTE(TRIM(J536),"'","''")&amp;"') AND estado = 1 LIMIT 1)")&amp;", p_id_cliente_ubicacion =&gt; "&amp;IF(TRIM(K536&amp;"")="","NULL","(SELECT id FROM cli_clientes WHERE numero_documento = '"&amp;SUBSTITUTE(TRIM(K536),"'","''")&amp;"' AND estado = 1 LIMIT 1)")&amp;", p_id_referencia =&gt; "&amp;IF(TRIM(J536&amp;"")&lt;&gt;"","(SELECT lo.id FROM gen_lista_opciones lo JOIN gen_lista l ON l.id = lo.id_lista WHERE l.nombre = 'ReferenciaCilindro' AND upper(lo.nombre) = 'ALMACEN' AND lo.estado = 1 LIMIT 1)",IF(TRIM(K536&amp;"")&lt;&gt;"","(SELECT lo.id FROM gen_lista_opciones lo JOIN gen_lista l ON l.id = lo.id_lista WHERE l.nombre = 'ReferenciaCilindro' AND upper(lo.nombre) = 'CLIENTE' AND lo.estado = 1 LIMIT 1)","NULL"))&amp;", p_anio_fabricacion =&gt; "&amp;IF(M536&amp;""="","NULL::smallint",M536&amp;"::smallint")&amp;", p_mes_fabricacion =&gt; "&amp;IF(N536&amp;""="","NULL::smallint",N536&amp;"::smallint")&amp;", p_fecha_ultima_prueba_hidrostatica =&gt; "&amp;IF(O536&amp;""="","NULL","'"&amp;YEAR(O536)&amp;"-"&amp;TEXT(MONTH(O536),"00")&amp;"-"&amp;TEXT(DAY(O536),"00")&amp;"'")&amp;", p_numero_serie =&gt; "&amp;IF(TRIM(Q536&amp;"")="","NULL","'"&amp;SUBSTITUTE(TRIM(Q536),"'","''")&amp;"'")&amp;", p_id_marca_cilindro =&gt; "&amp;IF(TRIM(R536&amp;"")="","NULL","(SELECT lo.id FROM gen_lista_opciones lo JOIN gen_lista l ON l.id = lo.id_lista WHERE l.nombre = 'MarcaCilindro' AND upper(lo.nombre) = upper('"&amp;SUBSTITUTE(TRIM(R536),"'","''")&amp;"') AND lo.estado = 1 LIMIT 1)")&amp;", p_id_organo_inspector =&gt; "&amp;IF(TRIM(S536&amp;"")="","NULL","(SELECT lo.id FROM gen_lista_opciones lo JOIN gen_lista l ON l.id = lo.id_lista WHERE l.nombre = 'OrganoInspectorCilindro' AND upper(lo.nombre) = upper('"&amp;SUBSTITUTE(TRIM(S536),"'","''")&amp;"') AND lo.estado = 1 LIMIT 1)")&amp;", p_organo_inspector_no_aplica =&gt; "&amp;IF(S536="NO_APLICA","TRUE","FALSE")&amp;", p_presion_actual =&gt; "&amp;IF(T536&amp;""="","NULL",SUBSTITUTE(T536&amp;"",",","."))&amp;", p_tipo_valvula =&gt; "&amp;IF(TRIM(U536&amp;"")="","NULL","'"&amp;SUBSTITUTE(TRIM(U536),"'","''")&amp;"'")&amp;", p_libro_cilindro =&gt; "&amp;IF(TRIM(V536&amp;"")="","NULL","'"&amp;SUBSTITUTE(TRIM(V536),"'","''")&amp;"'")&amp;", p_pagina_libro =&gt; "&amp;IF(W536&amp;""="","NULL",SUBSTITUTE(W536&amp;"",",","."))&amp;", p_observacion =&gt; "&amp;IF(TRIM(X536&amp;"")="","NULL","'"&amp;SUBSTITUTE(TRIM(X536),"'","''")&amp;"'")&amp;") AS resultado_balon_"&amp;ROW()&amp;";")</f>
        <v/>
      </c>
    </row>
    <row r="537" ht="15.75" customHeight="1" s="64">
      <c r="A537" s="36" t="inlineStr">
        <is>
          <t>533</t>
        </is>
      </c>
      <c r="B537" s="25">
        <f>IF(AND(C537="",D537="",E537=""),"",IF(C537="","FALTA código balón",IF(D537="","FALTA tipo balón",IF(E537="","FALTA gas",IF(F537="","FALTA propietario",IF(AND(C537&lt;&gt;"",SUMPRODUCT(--($C$5:$C$1200=C537))&gt;1),"CÓDIGO BALÓN DUPLICADO",IF(AND(OR(UPPER(F537)="PLANTA",UPPER(F537)="CLIENTE"),G537=""),"FALTA doc propietario/planta",IF(AND(UPPER(F537)="PLANTA",G537="10175332796"),"PLANTA no puede ser RUC empresa","OK"))))))))</f>
        <v/>
      </c>
      <c r="C537" s="23" t="inlineStr">
        <is>
          <t>121Y318140</t>
        </is>
      </c>
      <c r="D537" s="17" t="inlineStr">
        <is>
          <t>Oxígeno Medicinal 10 m³</t>
        </is>
      </c>
      <c r="E537" s="17" t="inlineStr">
        <is>
          <t>OXIGENO MEDICINAL</t>
        </is>
      </c>
      <c r="F537" s="17" t="inlineStr">
        <is>
          <t>EMPRESA</t>
        </is>
      </c>
      <c r="G537" s="23" t="inlineStr">
        <is>
          <t>10175332796</t>
        </is>
      </c>
      <c r="H537" s="25">
        <f t="array" ref="H537">IF(G537="","",IFERROR(IF(INDEX(Clientes!$D$5:$D$549,MATCH(G537,Clientes!$C$5:$C$549,0))&lt;&gt;"",INDEX(Clientes!$D$5:$D$549,MATCH(G537,Clientes!$C$5:$C$549,0)),TRIM(INDEX(Clientes!$E$5:$E$549,MATCH(G537,Clientes!$C$5:$C$549,0))&amp;" "&amp;INDEX(Clientes!$F$5:$F$549,MATCH(G537,Clientes!$C$5:$C$549,0)))),"NO EXISTE en Clientes"))</f>
        <v/>
      </c>
      <c r="I537" s="17" t="inlineStr">
        <is>
          <t>DISPONIBLE</t>
        </is>
      </c>
      <c r="J537" s="17" t="inlineStr">
        <is>
          <t>ALMACEN PRINCIPAL</t>
        </is>
      </c>
      <c r="K537" s="23" t="n"/>
      <c r="L537" s="25">
        <f t="array" ref="L537">IF(K537="","",IFERROR(IF(INDEX(Clientes!$D$5:$D$549,MATCH(K537,Clientes!$C$5:$C$549,0))&lt;&gt;"",INDEX(Clientes!$D$5:$D$549,MATCH(K537,Clientes!$C$5:$C$549,0)),TRIM(INDEX(Clientes!$E$5:$E$549,MATCH(K537,Clientes!$C$5:$C$549,0))&amp;" "&amp;INDEX(Clientes!$F$5:$F$549,MATCH(K537,Clientes!$C$5:$C$549,0)))),"NO EXISTE en Clientes"))</f>
        <v/>
      </c>
      <c r="M537" s="17" t="n"/>
      <c r="N537" s="17" t="n"/>
      <c r="O537" s="42" t="n"/>
      <c r="P537" s="39">
        <f>IF(O537&lt;&gt;"",DATE(YEAR(O537)+5,MONTH(O537),1),IF(AND(M537&lt;&gt;"",N537&lt;&gt;""),DATE(M537+5,N537,1),""))</f>
        <v/>
      </c>
      <c r="Q537" s="23" t="n"/>
      <c r="R537" s="17" t="n"/>
      <c r="S537" s="17" t="n"/>
      <c r="T537" s="17" t="n"/>
      <c r="U537" s="17" t="n"/>
      <c r="V537" s="23" t="n"/>
      <c r="W537" s="17" t="n"/>
      <c r="X537" s="17" t="n"/>
      <c r="Y537" s="28">
        <f>IF(B537&lt;&gt;"OK","","SELECT bal_crear_balon(p_codigo_balon =&gt; "&amp;IF(TRIM(C537&amp;"")="","NULL","'"&amp;SUBSTITUTE(TRIM(C537),"'","''")&amp;"'")&amp;", p_id_tipo_balon =&gt; "&amp;"(SELECT id FROM bal_tipo_balon WHERE upper(nombre) = upper('"&amp;SUBSTITUTE(TRIM(D537),"'","''")&amp;"') AND estado = 1 LIMIT 1)"&amp;", p_id_producto_gas =&gt; "&amp;"(SELECT id FROM pro_producto WHERE es_gas = TRUE AND upper(nombre) = upper('"&amp;SUBSTITUTE(TRIM(E537),"'","''")&amp;"') AND estado = 1 LIMIT 1)"&amp;", p_id_propietario =&gt; "&amp;IF(TRIM(F537&amp;"")="","NULL","(SELECT lo.id FROM gen_lista_opciones lo JOIN gen_lista l ON l.id = lo.id_lista WHERE l.nombre = 'PropietarioBalon' AND upper(lo.nombre) = upper('"&amp;SUBSTITUTE(TRIM(F537),"'","''")&amp;"') AND lo.estado = 1 LIMIT 1)")&amp;", p_id_cliente_propietario =&gt; "&amp;IF(F537="CLIENTE",IF(TRIM(G537&amp;"")="","NULL","(SELECT id FROM cli_clientes WHERE numero_documento = '"&amp;SUBSTITUTE(TRIM(G537),"'","''")&amp;"' AND estado = 1 LIMIT 1)"),"NULL")&amp;", p_id_planta =&gt; "&amp;IF(F537="PLANTA",IF(TRIM(G537&amp;"")="","NULL","(SELECT id FROM cli_clientes WHERE numero_documento = '"&amp;SUBSTITUTE(TRIM(G537),"'","''")&amp;"'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"&amp;IF(TRIM(J537&amp;"")="","NULL","(SELECT id FROM gen_almacen WHERE upper(nombre) = upper('"&amp;SUBSTITUTE(TRIM(J537),"'","''")&amp;"') AND estado = 1 LIMIT 1)")&amp;", p_id_cliente_ubicacion =&gt; "&amp;IF(TRIM(K537&amp;"")="","NULL","(SELECT id FROM cli_clientes WHERE numero_documento = '"&amp;SUBSTITUTE(TRIM(K537),"'","''")&amp;"' AND estado = 1 LIMIT 1)")&amp;", p_id_referencia =&gt; "&amp;IF(TRIM(J537&amp;"")&lt;&gt;"","(SELECT lo.id FROM gen_lista_opciones lo JOIN gen_lista l ON l.id = lo.id_lista WHERE l.nombre = 'ReferenciaCilindro' AND upper(lo.nombre) = 'ALMACEN' AND lo.estado = 1 LIMIT 1)",IF(TRIM(K537&amp;"")&lt;&gt;"","(SELECT lo.id FROM gen_lista_opciones lo JOIN gen_lista l ON l.id = lo.id_lista WHERE l.nombre = 'ReferenciaCilindro' AND upper(lo.nombre) = 'CLIENTE' AND lo.estado = 1 LIMIT 1)","NULL"))&amp;", p_anio_fabricacion =&gt; "&amp;IF(M537&amp;""="","NULL::smallint",M537&amp;"::smallint")&amp;", p_mes_fabricacion =&gt; "&amp;IF(N537&amp;""="","NULL::smallint",N537&amp;"::smallint")&amp;", p_fecha_ultima_prueba_hidrostatica =&gt; "&amp;IF(O537&amp;""="","NULL","'"&amp;YEAR(O537)&amp;"-"&amp;TEXT(MONTH(O537),"00")&amp;"-"&amp;TEXT(DAY(O537),"00")&amp;"'")&amp;", p_numero_serie =&gt; "&amp;IF(TRIM(Q537&amp;"")="","NULL","'"&amp;SUBSTITUTE(TRIM(Q537),"'","''")&amp;"'")&amp;", p_id_marca_cilindro =&gt; "&amp;IF(TRIM(R537&amp;"")="","NULL","(SELECT lo.id FROM gen_lista_opciones lo JOIN gen_lista l ON l.id = lo.id_lista WHERE l.nombre = 'MarcaCilindro' AND upper(lo.nombre) = upper('"&amp;SUBSTITUTE(TRIM(R537),"'","''")&amp;"') AND lo.estado = 1 LIMIT 1)")&amp;", p_id_organo_inspector =&gt; "&amp;IF(TRIM(S537&amp;"")="","NULL","(SELECT lo.id FROM gen_lista_opciones lo JOIN gen_lista l ON l.id = lo.id_lista WHERE l.nombre = 'OrganoInspectorCilindro' AND upper(lo.nombre) = upper('"&amp;SUBSTITUTE(TRIM(S537),"'","''")&amp;"') AND lo.estado = 1 LIMIT 1)")&amp;", p_organo_inspector_no_aplica =&gt; "&amp;IF(S537="NO_APLICA","TRUE","FALSE")&amp;", p_presion_actual =&gt; "&amp;IF(T537&amp;""="","NULL",SUBSTITUTE(T537&amp;"",",","."))&amp;", p_tipo_valvula =&gt; "&amp;IF(TRIM(U537&amp;"")="","NULL","'"&amp;SUBSTITUTE(TRIM(U537),"'","''")&amp;"'")&amp;", p_libro_cilindro =&gt; "&amp;IF(TRIM(V537&amp;"")="","NULL","'"&amp;SUBSTITUTE(TRIM(V537),"'","''")&amp;"'")&amp;", p_pagina_libro =&gt; "&amp;IF(W537&amp;""="","NULL",SUBSTITUTE(W537&amp;"",",","."))&amp;", p_observacion =&gt; "&amp;IF(TRIM(X537&amp;"")="","NULL","'"&amp;SUBSTITUTE(TRIM(X537),"'","''")&amp;"'")&amp;") AS resultado_balon_"&amp;ROW()&amp;";")</f>
        <v/>
      </c>
    </row>
    <row r="538" ht="15.75" customHeight="1" s="64">
      <c r="A538" s="36" t="inlineStr">
        <is>
          <t>534</t>
        </is>
      </c>
      <c r="B538" s="25">
        <f>IF(AND(C538="",D538="",E538=""),"",IF(C538="","FALTA código balón",IF(D538="","FALTA tipo balón",IF(E538="","FALTA gas",IF(F538="","FALTA propietario",IF(AND(C538&lt;&gt;"",SUMPRODUCT(--($C$5:$C$1200=C538))&gt;1),"CÓDIGO BALÓN DUPLICADO",IF(AND(OR(UPPER(F538)="PLANTA",UPPER(F538)="CLIENTE"),G538=""),"FALTA doc propietario/planta",IF(AND(UPPER(F538)="PLANTA",G538="10175332796"),"PLANTA no puede ser RUC empresa","OK"))))))))</f>
        <v/>
      </c>
      <c r="C538" s="23" t="inlineStr">
        <is>
          <t>121Y318059</t>
        </is>
      </c>
      <c r="D538" s="17" t="inlineStr">
        <is>
          <t>Oxígeno Medicinal 10 m³</t>
        </is>
      </c>
      <c r="E538" s="17" t="inlineStr">
        <is>
          <t>OXIGENO MEDICINAL</t>
        </is>
      </c>
      <c r="F538" s="17" t="inlineStr">
        <is>
          <t>EMPRESA</t>
        </is>
      </c>
      <c r="G538" s="23" t="inlineStr">
        <is>
          <t>10175332796</t>
        </is>
      </c>
      <c r="H538" s="25">
        <f t="array" ref="H538">IF(G538="","",IFERROR(IF(INDEX(Clientes!$D$5:$D$549,MATCH(G538,Clientes!$C$5:$C$549,0))&lt;&gt;"",INDEX(Clientes!$D$5:$D$549,MATCH(G538,Clientes!$C$5:$C$549,0)),TRIM(INDEX(Clientes!$E$5:$E$549,MATCH(G538,Clientes!$C$5:$C$549,0))&amp;" "&amp;INDEX(Clientes!$F$5:$F$549,MATCH(G538,Clientes!$C$5:$C$549,0)))),"NO EXISTE en Clientes"))</f>
        <v/>
      </c>
      <c r="I538" s="17" t="inlineStr">
        <is>
          <t>DISPONIBLE</t>
        </is>
      </c>
      <c r="J538" s="17" t="inlineStr">
        <is>
          <t>ALMACEN PRINCIPAL</t>
        </is>
      </c>
      <c r="K538" s="23" t="n"/>
      <c r="L538" s="25">
        <f t="array" ref="L538">IF(K538="","",IFERROR(IF(INDEX(Clientes!$D$5:$D$549,MATCH(K538,Clientes!$C$5:$C$549,0))&lt;&gt;"",INDEX(Clientes!$D$5:$D$549,MATCH(K538,Clientes!$C$5:$C$549,0)),TRIM(INDEX(Clientes!$E$5:$E$549,MATCH(K538,Clientes!$C$5:$C$549,0))&amp;" "&amp;INDEX(Clientes!$F$5:$F$549,MATCH(K538,Clientes!$C$5:$C$549,0)))),"NO EXISTE en Clientes"))</f>
        <v/>
      </c>
      <c r="M538" s="17" t="n"/>
      <c r="N538" s="17" t="n"/>
      <c r="O538" s="42" t="n"/>
      <c r="P538" s="39">
        <f>IF(O538&lt;&gt;"",DATE(YEAR(O538)+5,MONTH(O538),1),IF(AND(M538&lt;&gt;"",N538&lt;&gt;""),DATE(M538+5,N538,1),""))</f>
        <v/>
      </c>
      <c r="Q538" s="23" t="n"/>
      <c r="R538" s="17" t="n"/>
      <c r="S538" s="17" t="n"/>
      <c r="T538" s="17" t="n"/>
      <c r="U538" s="17" t="n"/>
      <c r="V538" s="23" t="n"/>
      <c r="W538" s="17" t="n"/>
      <c r="X538" s="17" t="n"/>
      <c r="Y538" s="28">
        <f>IF(B538&lt;&gt;"OK","","SELECT bal_crear_balon(p_codigo_balon =&gt; "&amp;IF(TRIM(C538&amp;"")="","NULL","'"&amp;SUBSTITUTE(TRIM(C538),"'","''")&amp;"'")&amp;", p_id_tipo_balon =&gt; "&amp;"(SELECT id FROM bal_tipo_balon WHERE upper(nombre) = upper('"&amp;SUBSTITUTE(TRIM(D538),"'","''")&amp;"') AND estado = 1 LIMIT 1)"&amp;", p_id_producto_gas =&gt; "&amp;"(SELECT id FROM pro_producto WHERE es_gas = TRUE AND upper(nombre) = upper('"&amp;SUBSTITUTE(TRIM(E538),"'","''")&amp;"') AND estado = 1 LIMIT 1)"&amp;", p_id_propietario =&gt; "&amp;IF(TRIM(F538&amp;"")="","NULL","(SELECT lo.id FROM gen_lista_opciones lo JOIN gen_lista l ON l.id = lo.id_lista WHERE l.nombre = 'PropietarioBalon' AND upper(lo.nombre) = upper('"&amp;SUBSTITUTE(TRIM(F538),"'","''")&amp;"') AND lo.estado = 1 LIMIT 1)")&amp;", p_id_cliente_propietario =&gt; "&amp;IF(F538="CLIENTE",IF(TRIM(G538&amp;"")="","NULL","(SELECT id FROM cli_clientes WHERE numero_documento = '"&amp;SUBSTITUTE(TRIM(G538),"'","''")&amp;"' AND estado = 1 LIMIT 1)"),"NULL")&amp;", p_id_planta =&gt; "&amp;IF(F538="PLANTA",IF(TRIM(G538&amp;"")="","NULL","(SELECT id FROM cli_clientes WHERE numero_documento = '"&amp;SUBSTITUTE(TRIM(G538),"'","''")&amp;"'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"&amp;IF(TRIM(J538&amp;"")="","NULL","(SELECT id FROM gen_almacen WHERE upper(nombre) = upper('"&amp;SUBSTITUTE(TRIM(J538),"'","''")&amp;"') AND estado = 1 LIMIT 1)")&amp;", p_id_cliente_ubicacion =&gt; "&amp;IF(TRIM(K538&amp;"")="","NULL","(SELECT id FROM cli_clientes WHERE numero_documento = '"&amp;SUBSTITUTE(TRIM(K538),"'","''")&amp;"' AND estado = 1 LIMIT 1)")&amp;", p_id_referencia =&gt; "&amp;IF(TRIM(J538&amp;"")&lt;&gt;"","(SELECT lo.id FROM gen_lista_opciones lo JOIN gen_lista l ON l.id = lo.id_lista WHERE l.nombre = 'ReferenciaCilindro' AND upper(lo.nombre) = 'ALMACEN' AND lo.estado = 1 LIMIT 1)",IF(TRIM(K538&amp;"")&lt;&gt;"","(SELECT lo.id FROM gen_lista_opciones lo JOIN gen_lista l ON l.id = lo.id_lista WHERE l.nombre = 'ReferenciaCilindro' AND upper(lo.nombre) = 'CLIENTE' AND lo.estado = 1 LIMIT 1)","NULL"))&amp;", p_anio_fabricacion =&gt; "&amp;IF(M538&amp;""="","NULL::smallint",M538&amp;"::smallint")&amp;", p_mes_fabricacion =&gt; "&amp;IF(N538&amp;""="","NULL::smallint",N538&amp;"::smallint")&amp;", p_fecha_ultima_prueba_hidrostatica =&gt; "&amp;IF(O538&amp;""="","NULL","'"&amp;YEAR(O538)&amp;"-"&amp;TEXT(MONTH(O538),"00")&amp;"-"&amp;TEXT(DAY(O538),"00")&amp;"'")&amp;", p_numero_serie =&gt; "&amp;IF(TRIM(Q538&amp;"")="","NULL","'"&amp;SUBSTITUTE(TRIM(Q538),"'","''")&amp;"'")&amp;", p_id_marca_cilindro =&gt; "&amp;IF(TRIM(R538&amp;"")="","NULL","(SELECT lo.id FROM gen_lista_opciones lo JOIN gen_lista l ON l.id = lo.id_lista WHERE l.nombre = 'MarcaCilindro' AND upper(lo.nombre) = upper('"&amp;SUBSTITUTE(TRIM(R538),"'","''")&amp;"') AND lo.estado = 1 LIMIT 1)")&amp;", p_id_organo_inspector =&gt; "&amp;IF(TRIM(S538&amp;"")="","NULL","(SELECT lo.id FROM gen_lista_opciones lo JOIN gen_lista l ON l.id = lo.id_lista WHERE l.nombre = 'OrganoInspectorCilindro' AND upper(lo.nombre) = upper('"&amp;SUBSTITUTE(TRIM(S538),"'","''")&amp;"') AND lo.estado = 1 LIMIT 1)")&amp;", p_organo_inspector_no_aplica =&gt; "&amp;IF(S538="NO_APLICA","TRUE","FALSE")&amp;", p_presion_actual =&gt; "&amp;IF(T538&amp;""="","NULL",SUBSTITUTE(T538&amp;"",",","."))&amp;", p_tipo_valvula =&gt; "&amp;IF(TRIM(U538&amp;"")="","NULL","'"&amp;SUBSTITUTE(TRIM(U538),"'","''")&amp;"'")&amp;", p_libro_cilindro =&gt; "&amp;IF(TRIM(V538&amp;"")="","NULL","'"&amp;SUBSTITUTE(TRIM(V538),"'","''")&amp;"'")&amp;", p_pagina_libro =&gt; "&amp;IF(W538&amp;""="","NULL",SUBSTITUTE(W538&amp;"",",","."))&amp;", p_observacion =&gt; "&amp;IF(TRIM(X538&amp;"")="","NULL","'"&amp;SUBSTITUTE(TRIM(X538),"'","''")&amp;"'")&amp;") AS resultado_balon_"&amp;ROW()&amp;";")</f>
        <v/>
      </c>
    </row>
    <row r="539" ht="15.75" customHeight="1" s="64">
      <c r="A539" s="36" t="inlineStr">
        <is>
          <t>535</t>
        </is>
      </c>
      <c r="B539" s="25">
        <f>IF(AND(C539="",D539="",E539=""),"",IF(C539="","FALTA código balón",IF(D539="","FALTA tipo balón",IF(E539="","FALTA gas",IF(F539="","FALTA propietario",IF(AND(C539&lt;&gt;"",SUMPRODUCT(--($C$5:$C$1200=C539))&gt;1),"CÓDIGO BALÓN DUPLICADO",IF(AND(OR(UPPER(F539)="PLANTA",UPPER(F539)="CLIENTE"),G539=""),"FALTA doc propietario/planta",IF(AND(UPPER(F539)="PLANTA",G539="10175332796"),"PLANTA no puede ser RUC empresa","OK"))))))))</f>
        <v/>
      </c>
      <c r="C539" s="23" t="inlineStr">
        <is>
          <t>134585</t>
        </is>
      </c>
      <c r="D539" s="17" t="inlineStr">
        <is>
          <t>Oxigeno Industrial 3 m³</t>
        </is>
      </c>
      <c r="E539" s="17" t="inlineStr">
        <is>
          <t>OXIGENO INDUSTRIAL</t>
        </is>
      </c>
      <c r="F539" s="17" t="inlineStr">
        <is>
          <t>EMPRESA</t>
        </is>
      </c>
      <c r="G539" s="23" t="inlineStr">
        <is>
          <t>10175332796</t>
        </is>
      </c>
      <c r="H539" s="25">
        <f t="array" ref="H539">IF(G539="","",IFERROR(IF(INDEX(Clientes!$D$5:$D$549,MATCH(G539,Clientes!$C$5:$C$549,0))&lt;&gt;"",INDEX(Clientes!$D$5:$D$549,MATCH(G539,Clientes!$C$5:$C$549,0)),TRIM(INDEX(Clientes!$E$5:$E$549,MATCH(G539,Clientes!$C$5:$C$549,0))&amp;" "&amp;INDEX(Clientes!$F$5:$F$549,MATCH(G539,Clientes!$C$5:$C$549,0)))),"NO EXISTE en Clientes"))</f>
        <v/>
      </c>
      <c r="I539" s="17" t="inlineStr">
        <is>
          <t>DISPONIBLE</t>
        </is>
      </c>
      <c r="J539" s="17" t="inlineStr">
        <is>
          <t>ALMACEN PRINCIPAL</t>
        </is>
      </c>
      <c r="K539" s="23" t="n"/>
      <c r="L539" s="25">
        <f t="array" ref="L539">IF(K539="","",IFERROR(IF(INDEX(Clientes!$D$5:$D$549,MATCH(K539,Clientes!$C$5:$C$549,0))&lt;&gt;"",INDEX(Clientes!$D$5:$D$549,MATCH(K539,Clientes!$C$5:$C$549,0)),TRIM(INDEX(Clientes!$E$5:$E$549,MATCH(K539,Clientes!$C$5:$C$549,0))&amp;" "&amp;INDEX(Clientes!$F$5:$F$549,MATCH(K539,Clientes!$C$5:$C$549,0)))),"NO EXISTE en Clientes"))</f>
        <v/>
      </c>
      <c r="M539" s="17" t="n"/>
      <c r="N539" s="17" t="n"/>
      <c r="O539" s="42" t="n"/>
      <c r="P539" s="39">
        <f>IF(O539&lt;&gt;"",DATE(YEAR(O539)+5,MONTH(O539),1),IF(AND(M539&lt;&gt;"",N539&lt;&gt;""),DATE(M539+5,N539,1),""))</f>
        <v/>
      </c>
      <c r="Q539" s="23" t="n"/>
      <c r="R539" s="17" t="n"/>
      <c r="S539" s="17" t="n"/>
      <c r="T539" s="17" t="n"/>
      <c r="U539" s="17" t="n"/>
      <c r="V539" s="23" t="n"/>
      <c r="W539" s="17" t="n"/>
      <c r="X539" s="17" t="n"/>
      <c r="Y539" s="28">
        <f>IF(B539&lt;&gt;"OK","","SELECT bal_crear_balon(p_codigo_balon =&gt; "&amp;IF(TRIM(C539&amp;"")="","NULL","'"&amp;SUBSTITUTE(TRIM(C539),"'","''")&amp;"'")&amp;", p_id_tipo_balon =&gt; "&amp;"(SELECT id FROM bal_tipo_balon WHERE upper(nombre) = upper('"&amp;SUBSTITUTE(TRIM(D539),"'","''")&amp;"') AND estado = 1 LIMIT 1)"&amp;", p_id_producto_gas =&gt; "&amp;"(SELECT id FROM pro_producto WHERE es_gas = TRUE AND upper(nombre) = upper('"&amp;SUBSTITUTE(TRIM(E539),"'","''")&amp;"') AND estado = 1 LIMIT 1)"&amp;", p_id_propietario =&gt; "&amp;IF(TRIM(F539&amp;"")="","NULL","(SELECT lo.id FROM gen_lista_opciones lo JOIN gen_lista l ON l.id = lo.id_lista WHERE l.nombre = 'PropietarioBalon' AND upper(lo.nombre) = upper('"&amp;SUBSTITUTE(TRIM(F539),"'","''")&amp;"') AND lo.estado = 1 LIMIT 1)")&amp;", p_id_cliente_propietario =&gt; "&amp;IF(F539="CLIENTE",IF(TRIM(G539&amp;"")="","NULL","(SELECT id FROM cli_clientes WHERE numero_documento = '"&amp;SUBSTITUTE(TRIM(G539),"'","''")&amp;"' AND estado = 1 LIMIT 1)"),"NULL")&amp;", p_id_planta =&gt; "&amp;IF(F539="PLANTA",IF(TRIM(G539&amp;"")="","NULL","(SELECT id FROM cli_clientes WHERE numero_documento = '"&amp;SUBSTITUTE(TRIM(G539),"'","''")&amp;"'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"&amp;IF(TRIM(J539&amp;"")="","NULL","(SELECT id FROM gen_almacen WHERE upper(nombre) = upper('"&amp;SUBSTITUTE(TRIM(J539),"'","''")&amp;"') AND estado = 1 LIMIT 1)")&amp;", p_id_cliente_ubicacion =&gt; "&amp;IF(TRIM(K539&amp;"")="","NULL","(SELECT id FROM cli_clientes WHERE numero_documento = '"&amp;SUBSTITUTE(TRIM(K539),"'","''")&amp;"' AND estado = 1 LIMIT 1)")&amp;", p_id_referencia =&gt; "&amp;IF(TRIM(J539&amp;"")&lt;&gt;"","(SELECT lo.id FROM gen_lista_opciones lo JOIN gen_lista l ON l.id = lo.id_lista WHERE l.nombre = 'ReferenciaCilindro' AND upper(lo.nombre) = 'ALMACEN' AND lo.estado = 1 LIMIT 1)",IF(TRIM(K539&amp;"")&lt;&gt;"","(SELECT lo.id FROM gen_lista_opciones lo JOIN gen_lista l ON l.id = lo.id_lista WHERE l.nombre = 'ReferenciaCilindro' AND upper(lo.nombre) = 'CLIENTE' AND lo.estado = 1 LIMIT 1)","NULL"))&amp;", p_anio_fabricacion =&gt; "&amp;IF(M539&amp;""="","NULL::smallint",M539&amp;"::smallint")&amp;", p_mes_fabricacion =&gt; "&amp;IF(N539&amp;""="","NULL::smallint",N539&amp;"::smallint")&amp;", p_fecha_ultima_prueba_hidrostatica =&gt; "&amp;IF(O539&amp;""="","NULL","'"&amp;YEAR(O539)&amp;"-"&amp;TEXT(MONTH(O539),"00")&amp;"-"&amp;TEXT(DAY(O539),"00")&amp;"'")&amp;", p_numero_serie =&gt; "&amp;IF(TRIM(Q539&amp;"")="","NULL","'"&amp;SUBSTITUTE(TRIM(Q539),"'","''")&amp;"'")&amp;", p_id_marca_cilindro =&gt; "&amp;IF(TRIM(R539&amp;"")="","NULL","(SELECT lo.id FROM gen_lista_opciones lo JOIN gen_lista l ON l.id = lo.id_lista WHERE l.nombre = 'MarcaCilindro' AND upper(lo.nombre) = upper('"&amp;SUBSTITUTE(TRIM(R539),"'","''")&amp;"') AND lo.estado = 1 LIMIT 1)")&amp;", p_id_organo_inspector =&gt; "&amp;IF(TRIM(S539&amp;"")="","NULL","(SELECT lo.id FROM gen_lista_opciones lo JOIN gen_lista l ON l.id = lo.id_lista WHERE l.nombre = 'OrganoInspectorCilindro' AND upper(lo.nombre) = upper('"&amp;SUBSTITUTE(TRIM(S539),"'","''")&amp;"') AND lo.estado = 1 LIMIT 1)")&amp;", p_organo_inspector_no_aplica =&gt; "&amp;IF(S539="NO_APLICA","TRUE","FALSE")&amp;", p_presion_actual =&gt; "&amp;IF(T539&amp;""="","NULL",SUBSTITUTE(T539&amp;"",",","."))&amp;", p_tipo_valvula =&gt; "&amp;IF(TRIM(U539&amp;"")="","NULL","'"&amp;SUBSTITUTE(TRIM(U539),"'","''")&amp;"'")&amp;", p_libro_cilindro =&gt; "&amp;IF(TRIM(V539&amp;"")="","NULL","'"&amp;SUBSTITUTE(TRIM(V539),"'","''")&amp;"'")&amp;", p_pagina_libro =&gt; "&amp;IF(W539&amp;""="","NULL",SUBSTITUTE(W539&amp;"",",","."))&amp;", p_observacion =&gt; "&amp;IF(TRIM(X539&amp;"")="","NULL","'"&amp;SUBSTITUTE(TRIM(X539),"'","''")&amp;"'")&amp;") AS resultado_balon_"&amp;ROW()&amp;";")</f>
        <v/>
      </c>
    </row>
    <row r="540" ht="15.75" customHeight="1" s="64">
      <c r="A540" s="36" t="inlineStr">
        <is>
          <t>536</t>
        </is>
      </c>
      <c r="B540" s="25">
        <f>IF(AND(C540="",D540="",E540=""),"",IF(C540="","FALTA código balón",IF(D540="","FALTA tipo balón",IF(E540="","FALTA gas",IF(F540="","FALTA propietario",IF(AND(C540&lt;&gt;"",SUMPRODUCT(--($C$5:$C$1200=C540))&gt;1),"CÓDIGO BALÓN DUPLICADO",IF(AND(OR(UPPER(F540)="PLANTA",UPPER(F540)="CLIENTE"),G540=""),"FALTA doc propietario/planta",IF(AND(UPPER(F540)="PLANTA",G540="10175332796"),"PLANTA no puede ser RUC empresa","OK"))))))))</f>
        <v/>
      </c>
      <c r="C540" s="23" t="inlineStr">
        <is>
          <t>K4860139</t>
        </is>
      </c>
      <c r="D540" s="17" t="inlineStr">
        <is>
          <t>Oxígeno Medicinal 10 m³</t>
        </is>
      </c>
      <c r="E540" s="17" t="inlineStr">
        <is>
          <t>OXIGENO MEDICINAL</t>
        </is>
      </c>
      <c r="F540" s="17" t="inlineStr">
        <is>
          <t>EMPRESA</t>
        </is>
      </c>
      <c r="G540" s="23" t="inlineStr">
        <is>
          <t>10175332796</t>
        </is>
      </c>
      <c r="H540" s="25">
        <f t="array" ref="H540">IF(G540="","",IFERROR(IF(INDEX(Clientes!$D$5:$D$549,MATCH(G540,Clientes!$C$5:$C$549,0))&lt;&gt;"",INDEX(Clientes!$D$5:$D$549,MATCH(G540,Clientes!$C$5:$C$549,0)),TRIM(INDEX(Clientes!$E$5:$E$549,MATCH(G540,Clientes!$C$5:$C$549,0))&amp;" "&amp;INDEX(Clientes!$F$5:$F$549,MATCH(G540,Clientes!$C$5:$C$549,0)))),"NO EXISTE en Clientes"))</f>
        <v/>
      </c>
      <c r="I540" s="17" t="inlineStr">
        <is>
          <t>DISPONIBLE</t>
        </is>
      </c>
      <c r="J540" s="17" t="inlineStr">
        <is>
          <t>ALMACEN PRINCIPAL</t>
        </is>
      </c>
      <c r="K540" s="23" t="n"/>
      <c r="L540" s="25">
        <f t="array" ref="L540">IF(K540="","",IFERROR(IF(INDEX(Clientes!$D$5:$D$549,MATCH(K540,Clientes!$C$5:$C$549,0))&lt;&gt;"",INDEX(Clientes!$D$5:$D$549,MATCH(K540,Clientes!$C$5:$C$549,0)),TRIM(INDEX(Clientes!$E$5:$E$549,MATCH(K540,Clientes!$C$5:$C$549,0))&amp;" "&amp;INDEX(Clientes!$F$5:$F$549,MATCH(K540,Clientes!$C$5:$C$549,0)))),"NO EXISTE en Clientes"))</f>
        <v/>
      </c>
      <c r="M540" s="17" t="n"/>
      <c r="N540" s="17" t="n"/>
      <c r="O540" s="42" t="n"/>
      <c r="P540" s="39">
        <f>IF(O540&lt;&gt;"",DATE(YEAR(O540)+5,MONTH(O540),1),IF(AND(M540&lt;&gt;"",N540&lt;&gt;""),DATE(M540+5,N540,1),""))</f>
        <v/>
      </c>
      <c r="Q540" s="23" t="n"/>
      <c r="R540" s="17" t="n"/>
      <c r="S540" s="17" t="n"/>
      <c r="T540" s="17" t="n"/>
      <c r="U540" s="17" t="n"/>
      <c r="V540" s="23" t="n"/>
      <c r="W540" s="17" t="n"/>
      <c r="X540" s="17" t="n"/>
      <c r="Y540" s="28">
        <f>IF(B540&lt;&gt;"OK","","SELECT bal_crear_balon(p_codigo_balon =&gt; "&amp;IF(TRIM(C540&amp;"")="","NULL","'"&amp;SUBSTITUTE(TRIM(C540),"'","''")&amp;"'")&amp;", p_id_tipo_balon =&gt; "&amp;"(SELECT id FROM bal_tipo_balon WHERE upper(nombre) = upper('"&amp;SUBSTITUTE(TRIM(D540),"'","''")&amp;"') AND estado = 1 LIMIT 1)"&amp;", p_id_producto_gas =&gt; "&amp;"(SELECT id FROM pro_producto WHERE es_gas = TRUE AND upper(nombre) = upper('"&amp;SUBSTITUTE(TRIM(E540),"'","''")&amp;"') AND estado = 1 LIMIT 1)"&amp;", p_id_propietario =&gt; "&amp;IF(TRIM(F540&amp;"")="","NULL","(SELECT lo.id FROM gen_lista_opciones lo JOIN gen_lista l ON l.id = lo.id_lista WHERE l.nombre = 'PropietarioBalon' AND upper(lo.nombre) = upper('"&amp;SUBSTITUTE(TRIM(F540),"'","''")&amp;"') AND lo.estado = 1 LIMIT 1)")&amp;", p_id_cliente_propietario =&gt; "&amp;IF(F540="CLIENTE",IF(TRIM(G540&amp;"")="","NULL","(SELECT id FROM cli_clientes WHERE numero_documento = '"&amp;SUBSTITUTE(TRIM(G540),"'","''")&amp;"' AND estado = 1 LIMIT 1)"),"NULL")&amp;", p_id_planta =&gt; "&amp;IF(F540="PLANTA",IF(TRIM(G540&amp;"")="","NULL","(SELECT id FROM cli_clientes WHERE numero_documento = '"&amp;SUBSTITUTE(TRIM(G540),"'","''")&amp;"'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"&amp;IF(TRIM(J540&amp;"")="","NULL","(SELECT id FROM gen_almacen WHERE upper(nombre) = upper('"&amp;SUBSTITUTE(TRIM(J540),"'","''")&amp;"') AND estado = 1 LIMIT 1)")&amp;", p_id_cliente_ubicacion =&gt; "&amp;IF(TRIM(K540&amp;"")="","NULL","(SELECT id FROM cli_clientes WHERE numero_documento = '"&amp;SUBSTITUTE(TRIM(K540),"'","''")&amp;"' AND estado = 1 LIMIT 1)")&amp;", p_id_referencia =&gt; "&amp;IF(TRIM(J540&amp;"")&lt;&gt;"","(SELECT lo.id FROM gen_lista_opciones lo JOIN gen_lista l ON l.id = lo.id_lista WHERE l.nombre = 'ReferenciaCilindro' AND upper(lo.nombre) = 'ALMACEN' AND lo.estado = 1 LIMIT 1)",IF(TRIM(K540&amp;"")&lt;&gt;"","(SELECT lo.id FROM gen_lista_opciones lo JOIN gen_lista l ON l.id = lo.id_lista WHERE l.nombre = 'ReferenciaCilindro' AND upper(lo.nombre) = 'CLIENTE' AND lo.estado = 1 LIMIT 1)","NULL"))&amp;", p_anio_fabricacion =&gt; "&amp;IF(M540&amp;""="","NULL::smallint",M540&amp;"::smallint")&amp;", p_mes_fabricacion =&gt; "&amp;IF(N540&amp;""="","NULL::smallint",N540&amp;"::smallint")&amp;", p_fecha_ultima_prueba_hidrostatica =&gt; "&amp;IF(O540&amp;""="","NULL","'"&amp;YEAR(O540)&amp;"-"&amp;TEXT(MONTH(O540),"00")&amp;"-"&amp;TEXT(DAY(O540),"00")&amp;"'")&amp;", p_numero_serie =&gt; "&amp;IF(TRIM(Q540&amp;"")="","NULL","'"&amp;SUBSTITUTE(TRIM(Q540),"'","''")&amp;"'")&amp;", p_id_marca_cilindro =&gt; "&amp;IF(TRIM(R540&amp;"")="","NULL","(SELECT lo.id FROM gen_lista_opciones lo JOIN gen_lista l ON l.id = lo.id_lista WHERE l.nombre = 'MarcaCilindro' AND upper(lo.nombre) = upper('"&amp;SUBSTITUTE(TRIM(R540),"'","''")&amp;"') AND lo.estado = 1 LIMIT 1)")&amp;", p_id_organo_inspector =&gt; "&amp;IF(TRIM(S540&amp;"")="","NULL","(SELECT lo.id FROM gen_lista_opciones lo JOIN gen_lista l ON l.id = lo.id_lista WHERE l.nombre = 'OrganoInspectorCilindro' AND upper(lo.nombre) = upper('"&amp;SUBSTITUTE(TRIM(S540),"'","''")&amp;"') AND lo.estado = 1 LIMIT 1)")&amp;", p_organo_inspector_no_aplica =&gt; "&amp;IF(S540="NO_APLICA","TRUE","FALSE")&amp;", p_presion_actual =&gt; "&amp;IF(T540&amp;""="","NULL",SUBSTITUTE(T540&amp;"",",","."))&amp;", p_tipo_valvula =&gt; "&amp;IF(TRIM(U540&amp;"")="","NULL","'"&amp;SUBSTITUTE(TRIM(U540),"'","''")&amp;"'")&amp;", p_libro_cilindro =&gt; "&amp;IF(TRIM(V540&amp;"")="","NULL","'"&amp;SUBSTITUTE(TRIM(V540),"'","''")&amp;"'")&amp;", p_pagina_libro =&gt; "&amp;IF(W540&amp;""="","NULL",SUBSTITUTE(W540&amp;"",",","."))&amp;", p_observacion =&gt; "&amp;IF(TRIM(X540&amp;"")="","NULL","'"&amp;SUBSTITUTE(TRIM(X540),"'","''")&amp;"'")&amp;") AS resultado_balon_"&amp;ROW()&amp;";")</f>
        <v/>
      </c>
    </row>
    <row r="541" ht="15.75" customHeight="1" s="64">
      <c r="A541" s="36" t="inlineStr">
        <is>
          <t>537</t>
        </is>
      </c>
      <c r="B541" s="25">
        <f>IF(AND(C541="",D541="",E541=""),"",IF(C541="","FALTA código balón",IF(D541="","FALTA tipo balón",IF(E541="","FALTA gas",IF(F541="","FALTA propietario",IF(AND(C541&lt;&gt;"",SUMPRODUCT(--($C$5:$C$1200=C541))&gt;1),"CÓDIGO BALÓN DUPLICADO",IF(AND(OR(UPPER(F541)="PLANTA",UPPER(F541)="CLIENTE"),G541=""),"FALTA doc propietario/planta",IF(AND(UPPER(F541)="PLANTA",G541="10175332796"),"PLANTA no puede ser RUC empresa","OK"))))))))</f>
        <v/>
      </c>
      <c r="C541" s="23" t="inlineStr">
        <is>
          <t>20K646089</t>
        </is>
      </c>
      <c r="D541" s="17" t="inlineStr">
        <is>
          <t>Oxígeno Medicinal 10 m³</t>
        </is>
      </c>
      <c r="E541" s="17" t="inlineStr">
        <is>
          <t>OXIGENO MEDICINAL</t>
        </is>
      </c>
      <c r="F541" s="17" t="inlineStr">
        <is>
          <t>EMPRESA</t>
        </is>
      </c>
      <c r="G541" s="23" t="inlineStr">
        <is>
          <t>10175332796</t>
        </is>
      </c>
      <c r="H541" s="25">
        <f t="array" ref="H541">IF(G541="","",IFERROR(IF(INDEX(Clientes!$D$5:$D$549,MATCH(G541,Clientes!$C$5:$C$549,0))&lt;&gt;"",INDEX(Clientes!$D$5:$D$549,MATCH(G541,Clientes!$C$5:$C$549,0)),TRIM(INDEX(Clientes!$E$5:$E$549,MATCH(G541,Clientes!$C$5:$C$549,0))&amp;" "&amp;INDEX(Clientes!$F$5:$F$549,MATCH(G541,Clientes!$C$5:$C$549,0)))),"NO EXISTE en Clientes"))</f>
        <v/>
      </c>
      <c r="I541" s="17" t="inlineStr">
        <is>
          <t>DISPONIBLE</t>
        </is>
      </c>
      <c r="J541" s="17" t="inlineStr">
        <is>
          <t>ALMACEN PRINCIPAL</t>
        </is>
      </c>
      <c r="K541" s="23" t="n"/>
      <c r="L541" s="25">
        <f t="array" ref="L541">IF(K541="","",IFERROR(IF(INDEX(Clientes!$D$5:$D$549,MATCH(K541,Clientes!$C$5:$C$549,0))&lt;&gt;"",INDEX(Clientes!$D$5:$D$549,MATCH(K541,Clientes!$C$5:$C$549,0)),TRIM(INDEX(Clientes!$E$5:$E$549,MATCH(K541,Clientes!$C$5:$C$549,0))&amp;" "&amp;INDEX(Clientes!$F$5:$F$549,MATCH(K541,Clientes!$C$5:$C$549,0)))),"NO EXISTE en Clientes"))</f>
        <v/>
      </c>
      <c r="M541" s="17" t="n"/>
      <c r="N541" s="17" t="n"/>
      <c r="O541" s="42" t="n"/>
      <c r="P541" s="39">
        <f>IF(O541&lt;&gt;"",DATE(YEAR(O541)+5,MONTH(O541),1),IF(AND(M541&lt;&gt;"",N541&lt;&gt;""),DATE(M541+5,N541,1),""))</f>
        <v/>
      </c>
      <c r="Q541" s="23" t="n"/>
      <c r="R541" s="17" t="n"/>
      <c r="S541" s="17" t="n"/>
      <c r="T541" s="17" t="n"/>
      <c r="U541" s="17" t="n"/>
      <c r="V541" s="23" t="n"/>
      <c r="W541" s="17" t="n"/>
      <c r="X541" s="17" t="n"/>
      <c r="Y541" s="28">
        <f>IF(B541&lt;&gt;"OK","","SELECT bal_crear_balon(p_codigo_balon =&gt; "&amp;IF(TRIM(C541&amp;"")="","NULL","'"&amp;SUBSTITUTE(TRIM(C541),"'","''")&amp;"'")&amp;", p_id_tipo_balon =&gt; "&amp;"(SELECT id FROM bal_tipo_balon WHERE upper(nombre) = upper('"&amp;SUBSTITUTE(TRIM(D541),"'","''")&amp;"') AND estado = 1 LIMIT 1)"&amp;", p_id_producto_gas =&gt; "&amp;"(SELECT id FROM pro_producto WHERE es_gas = TRUE AND upper(nombre) = upper('"&amp;SUBSTITUTE(TRIM(E541),"'","''")&amp;"') AND estado = 1 LIMIT 1)"&amp;", p_id_propietario =&gt; "&amp;IF(TRIM(F541&amp;"")="","NULL","(SELECT lo.id FROM gen_lista_opciones lo JOIN gen_lista l ON l.id = lo.id_lista WHERE l.nombre = 'PropietarioBalon' AND upper(lo.nombre) = upper('"&amp;SUBSTITUTE(TRIM(F541),"'","''")&amp;"') AND lo.estado = 1 LIMIT 1)")&amp;", p_id_cliente_propietario =&gt; "&amp;IF(F541="CLIENTE",IF(TRIM(G541&amp;"")="","NULL","(SELECT id FROM cli_clientes WHERE numero_documento = '"&amp;SUBSTITUTE(TRIM(G541),"'","''")&amp;"' AND estado = 1 LIMIT 1)"),"NULL")&amp;", p_id_planta =&gt; "&amp;IF(F541="PLANTA",IF(TRIM(G541&amp;"")="","NULL","(SELECT id FROM cli_clientes WHERE numero_documento = '"&amp;SUBSTITUTE(TRIM(G541),"'","''")&amp;"'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"&amp;IF(TRIM(J541&amp;"")="","NULL","(SELECT id FROM gen_almacen WHERE upper(nombre) = upper('"&amp;SUBSTITUTE(TRIM(J541),"'","''")&amp;"') AND estado = 1 LIMIT 1)")&amp;", p_id_cliente_ubicacion =&gt; "&amp;IF(TRIM(K541&amp;"")="","NULL","(SELECT id FROM cli_clientes WHERE numero_documento = '"&amp;SUBSTITUTE(TRIM(K541),"'","''")&amp;"' AND estado = 1 LIMIT 1)")&amp;", p_id_referencia =&gt; "&amp;IF(TRIM(J541&amp;"")&lt;&gt;"","(SELECT lo.id FROM gen_lista_opciones lo JOIN gen_lista l ON l.id = lo.id_lista WHERE l.nombre = 'ReferenciaCilindro' AND upper(lo.nombre) = 'ALMACEN' AND lo.estado = 1 LIMIT 1)",IF(TRIM(K541&amp;"")&lt;&gt;"","(SELECT lo.id FROM gen_lista_opciones lo JOIN gen_lista l ON l.id = lo.id_lista WHERE l.nombre = 'ReferenciaCilindro' AND upper(lo.nombre) = 'CLIENTE' AND lo.estado = 1 LIMIT 1)","NULL"))&amp;", p_anio_fabricacion =&gt; "&amp;IF(M541&amp;""="","NULL::smallint",M541&amp;"::smallint")&amp;", p_mes_fabricacion =&gt; "&amp;IF(N541&amp;""="","NULL::smallint",N541&amp;"::smallint")&amp;", p_fecha_ultima_prueba_hidrostatica =&gt; "&amp;IF(O541&amp;""="","NULL","'"&amp;YEAR(O541)&amp;"-"&amp;TEXT(MONTH(O541),"00")&amp;"-"&amp;TEXT(DAY(O541),"00")&amp;"'")&amp;", p_numero_serie =&gt; "&amp;IF(TRIM(Q541&amp;"")="","NULL","'"&amp;SUBSTITUTE(TRIM(Q541),"'","''")&amp;"'")&amp;", p_id_marca_cilindro =&gt; "&amp;IF(TRIM(R541&amp;"")="","NULL","(SELECT lo.id FROM gen_lista_opciones lo JOIN gen_lista l ON l.id = lo.id_lista WHERE l.nombre = 'MarcaCilindro' AND upper(lo.nombre) = upper('"&amp;SUBSTITUTE(TRIM(R541),"'","''")&amp;"') AND lo.estado = 1 LIMIT 1)")&amp;", p_id_organo_inspector =&gt; "&amp;IF(TRIM(S541&amp;"")="","NULL","(SELECT lo.id FROM gen_lista_opciones lo JOIN gen_lista l ON l.id = lo.id_lista WHERE l.nombre = 'OrganoInspectorCilindro' AND upper(lo.nombre) = upper('"&amp;SUBSTITUTE(TRIM(S541),"'","''")&amp;"') AND lo.estado = 1 LIMIT 1)")&amp;", p_organo_inspector_no_aplica =&gt; "&amp;IF(S541="NO_APLICA","TRUE","FALSE")&amp;", p_presion_actual =&gt; "&amp;IF(T541&amp;""="","NULL",SUBSTITUTE(T541&amp;"",",","."))&amp;", p_tipo_valvula =&gt; "&amp;IF(TRIM(U541&amp;"")="","NULL","'"&amp;SUBSTITUTE(TRIM(U541),"'","''")&amp;"'")&amp;", p_libro_cilindro =&gt; "&amp;IF(TRIM(V541&amp;"")="","NULL","'"&amp;SUBSTITUTE(TRIM(V541),"'","''")&amp;"'")&amp;", p_pagina_libro =&gt; "&amp;IF(W541&amp;""="","NULL",SUBSTITUTE(W541&amp;"",",","."))&amp;", p_observacion =&gt; "&amp;IF(TRIM(X541&amp;"")="","NULL","'"&amp;SUBSTITUTE(TRIM(X541),"'","''")&amp;"'")&amp;") AS resultado_balon_"&amp;ROW()&amp;";")</f>
        <v/>
      </c>
    </row>
    <row r="542" ht="15.75" customHeight="1" s="64">
      <c r="A542" s="36" t="inlineStr">
        <is>
          <t>538</t>
        </is>
      </c>
      <c r="B542" s="25">
        <f>IF(AND(C542="",D542="",E542=""),"",IF(C542="","FALTA código balón",IF(D542="","FALTA tipo balón",IF(E542="","FALTA gas",IF(F542="","FALTA propietario",IF(AND(C542&lt;&gt;"",SUMPRODUCT(--($C$5:$C$1200=C542))&gt;1),"CÓDIGO BALÓN DUPLICADO",IF(AND(OR(UPPER(F542)="PLANTA",UPPER(F542)="CLIENTE"),G542=""),"FALTA doc propietario/planta",IF(AND(UPPER(F542)="PLANTA",G542="10175332796"),"PLANTA no puede ser RUC empresa","OK"))))))))</f>
        <v/>
      </c>
      <c r="C542" s="23" t="inlineStr">
        <is>
          <t>21Y060032</t>
        </is>
      </c>
      <c r="D542" s="17" t="inlineStr">
        <is>
          <t>Oxígeno Medicinal 10 m³</t>
        </is>
      </c>
      <c r="E542" s="17" t="inlineStr">
        <is>
          <t>OXIGENO MEDICINAL</t>
        </is>
      </c>
      <c r="F542" s="17" t="inlineStr">
        <is>
          <t>EMPRESA</t>
        </is>
      </c>
      <c r="G542" s="23" t="inlineStr">
        <is>
          <t>10175332796</t>
        </is>
      </c>
      <c r="H542" s="25">
        <f t="array" ref="H542">IF(G542="","",IFERROR(IF(INDEX(Clientes!$D$5:$D$549,MATCH(G542,Clientes!$C$5:$C$549,0))&lt;&gt;"",INDEX(Clientes!$D$5:$D$549,MATCH(G542,Clientes!$C$5:$C$549,0)),TRIM(INDEX(Clientes!$E$5:$E$549,MATCH(G542,Clientes!$C$5:$C$549,0))&amp;" "&amp;INDEX(Clientes!$F$5:$F$549,MATCH(G542,Clientes!$C$5:$C$549,0)))),"NO EXISTE en Clientes"))</f>
        <v/>
      </c>
      <c r="I542" s="17" t="inlineStr">
        <is>
          <t>DISPONIBLE</t>
        </is>
      </c>
      <c r="J542" s="17" t="inlineStr">
        <is>
          <t>ALMACEN PRINCIPAL</t>
        </is>
      </c>
      <c r="K542" s="23" t="n"/>
      <c r="L542" s="25">
        <f t="array" ref="L542">IF(K542="","",IFERROR(IF(INDEX(Clientes!$D$5:$D$549,MATCH(K542,Clientes!$C$5:$C$549,0))&lt;&gt;"",INDEX(Clientes!$D$5:$D$549,MATCH(K542,Clientes!$C$5:$C$549,0)),TRIM(INDEX(Clientes!$E$5:$E$549,MATCH(K542,Clientes!$C$5:$C$549,0))&amp;" "&amp;INDEX(Clientes!$F$5:$F$549,MATCH(K542,Clientes!$C$5:$C$549,0)))),"NO EXISTE en Clientes"))</f>
        <v/>
      </c>
      <c r="M542" s="17" t="n"/>
      <c r="N542" s="17" t="n"/>
      <c r="O542" s="42" t="n"/>
      <c r="P542" s="39">
        <f>IF(O542&lt;&gt;"",DATE(YEAR(O542)+5,MONTH(O542),1),IF(AND(M542&lt;&gt;"",N542&lt;&gt;""),DATE(M542+5,N542,1),""))</f>
        <v/>
      </c>
      <c r="Q542" s="23" t="n"/>
      <c r="R542" s="17" t="n"/>
      <c r="S542" s="17" t="n"/>
      <c r="T542" s="17" t="n"/>
      <c r="U542" s="17" t="n"/>
      <c r="V542" s="23" t="n"/>
      <c r="W542" s="17" t="n"/>
      <c r="X542" s="17" t="n"/>
      <c r="Y542" s="28">
        <f>IF(B542&lt;&gt;"OK","","SELECT bal_crear_balon(p_codigo_balon =&gt; "&amp;IF(TRIM(C542&amp;"")="","NULL","'"&amp;SUBSTITUTE(TRIM(C542),"'","''")&amp;"'")&amp;", p_id_tipo_balon =&gt; "&amp;"(SELECT id FROM bal_tipo_balon WHERE upper(nombre) = upper('"&amp;SUBSTITUTE(TRIM(D542),"'","''")&amp;"') AND estado = 1 LIMIT 1)"&amp;", p_id_producto_gas =&gt; "&amp;"(SELECT id FROM pro_producto WHERE es_gas = TRUE AND upper(nombre) = upper('"&amp;SUBSTITUTE(TRIM(E542),"'","''")&amp;"') AND estado = 1 LIMIT 1)"&amp;", p_id_propietario =&gt; "&amp;IF(TRIM(F542&amp;"")="","NULL","(SELECT lo.id FROM gen_lista_opciones lo JOIN gen_lista l ON l.id = lo.id_lista WHERE l.nombre = 'PropietarioBalon' AND upper(lo.nombre) = upper('"&amp;SUBSTITUTE(TRIM(F542),"'","''")&amp;"') AND lo.estado = 1 LIMIT 1)")&amp;", p_id_cliente_propietario =&gt; "&amp;IF(F542="CLIENTE",IF(TRIM(G542&amp;"")="","NULL","(SELECT id FROM cli_clientes WHERE numero_documento = '"&amp;SUBSTITUTE(TRIM(G542),"'","''")&amp;"' AND estado = 1 LIMIT 1)"),"NULL")&amp;", p_id_planta =&gt; "&amp;IF(F542="PLANTA",IF(TRIM(G542&amp;"")="","NULL","(SELECT id FROM cli_clientes WHERE numero_documento = '"&amp;SUBSTITUTE(TRIM(G542),"'","''")&amp;"'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"&amp;IF(TRIM(J542&amp;"")="","NULL","(SELECT id FROM gen_almacen WHERE upper(nombre) = upper('"&amp;SUBSTITUTE(TRIM(J542),"'","''")&amp;"') AND estado = 1 LIMIT 1)")&amp;", p_id_cliente_ubicacion =&gt; "&amp;IF(TRIM(K542&amp;"")="","NULL","(SELECT id FROM cli_clientes WHERE numero_documento = '"&amp;SUBSTITUTE(TRIM(K542),"'","''")&amp;"' AND estado = 1 LIMIT 1)")&amp;", p_id_referencia =&gt; "&amp;IF(TRIM(J542&amp;"")&lt;&gt;"","(SELECT lo.id FROM gen_lista_opciones lo JOIN gen_lista l ON l.id = lo.id_lista WHERE l.nombre = 'ReferenciaCilindro' AND upper(lo.nombre) = 'ALMACEN' AND lo.estado = 1 LIMIT 1)",IF(TRIM(K542&amp;"")&lt;&gt;"","(SELECT lo.id FROM gen_lista_opciones lo JOIN gen_lista l ON l.id = lo.id_lista WHERE l.nombre = 'ReferenciaCilindro' AND upper(lo.nombre) = 'CLIENTE' AND lo.estado = 1 LIMIT 1)","NULL"))&amp;", p_anio_fabricacion =&gt; "&amp;IF(M542&amp;""="","NULL::smallint",M542&amp;"::smallint")&amp;", p_mes_fabricacion =&gt; "&amp;IF(N542&amp;""="","NULL::smallint",N542&amp;"::smallint")&amp;", p_fecha_ultima_prueba_hidrostatica =&gt; "&amp;IF(O542&amp;""="","NULL","'"&amp;YEAR(O542)&amp;"-"&amp;TEXT(MONTH(O542),"00")&amp;"-"&amp;TEXT(DAY(O542),"00")&amp;"'")&amp;", p_numero_serie =&gt; "&amp;IF(TRIM(Q542&amp;"")="","NULL","'"&amp;SUBSTITUTE(TRIM(Q542),"'","''")&amp;"'")&amp;", p_id_marca_cilindro =&gt; "&amp;IF(TRIM(R542&amp;"")="","NULL","(SELECT lo.id FROM gen_lista_opciones lo JOIN gen_lista l ON l.id = lo.id_lista WHERE l.nombre = 'MarcaCilindro' AND upper(lo.nombre) = upper('"&amp;SUBSTITUTE(TRIM(R542),"'","''")&amp;"') AND lo.estado = 1 LIMIT 1)")&amp;", p_id_organo_inspector =&gt; "&amp;IF(TRIM(S542&amp;"")="","NULL","(SELECT lo.id FROM gen_lista_opciones lo JOIN gen_lista l ON l.id = lo.id_lista WHERE l.nombre = 'OrganoInspectorCilindro' AND upper(lo.nombre) = upper('"&amp;SUBSTITUTE(TRIM(S542),"'","''")&amp;"') AND lo.estado = 1 LIMIT 1)")&amp;", p_organo_inspector_no_aplica =&gt; "&amp;IF(S542="NO_APLICA","TRUE","FALSE")&amp;", p_presion_actual =&gt; "&amp;IF(T542&amp;""="","NULL",SUBSTITUTE(T542&amp;"",",","."))&amp;", p_tipo_valvula =&gt; "&amp;IF(TRIM(U542&amp;"")="","NULL","'"&amp;SUBSTITUTE(TRIM(U542),"'","''")&amp;"'")&amp;", p_libro_cilindro =&gt; "&amp;IF(TRIM(V542&amp;"")="","NULL","'"&amp;SUBSTITUTE(TRIM(V542),"'","''")&amp;"'")&amp;", p_pagina_libro =&gt; "&amp;IF(W542&amp;""="","NULL",SUBSTITUTE(W542&amp;"",",","."))&amp;", p_observacion =&gt; "&amp;IF(TRIM(X542&amp;"")="","NULL","'"&amp;SUBSTITUTE(TRIM(X542),"'","''")&amp;"'")&amp;") AS resultado_balon_"&amp;ROW()&amp;";")</f>
        <v/>
      </c>
    </row>
    <row r="543" ht="15.75" customHeight="1" s="64">
      <c r="A543" s="36" t="inlineStr">
        <is>
          <t>539</t>
        </is>
      </c>
      <c r="B543" s="25">
        <f>IF(AND(C543="",D543="",E543=""),"",IF(C543="","FALTA código balón",IF(D543="","FALTA tipo balón",IF(E543="","FALTA gas",IF(F543="","FALTA propietario",IF(AND(C543&lt;&gt;"",SUMPRODUCT(--($C$5:$C$1200=C543))&gt;1),"CÓDIGO BALÓN DUPLICADO",IF(AND(OR(UPPER(F543)="PLANTA",UPPER(F543)="CLIENTE"),G543=""),"FALTA doc propietario/planta",IF(AND(UPPER(F543)="PLANTA",G543="10175332796"),"PLANTA no puede ser RUC empresa","OK"))))))))</f>
        <v/>
      </c>
      <c r="C543" s="23" t="inlineStr">
        <is>
          <t>20K650005</t>
        </is>
      </c>
      <c r="D543" s="17" t="inlineStr">
        <is>
          <t>Oxígeno Medicinal 10 m³</t>
        </is>
      </c>
      <c r="E543" s="17" t="inlineStr">
        <is>
          <t>OXIGENO MEDICINAL</t>
        </is>
      </c>
      <c r="F543" s="17" t="inlineStr">
        <is>
          <t>EMPRESA</t>
        </is>
      </c>
      <c r="G543" s="23" t="inlineStr">
        <is>
          <t>10175332796</t>
        </is>
      </c>
      <c r="H543" s="25">
        <f t="array" ref="H543">IF(G543="","",IFERROR(IF(INDEX(Clientes!$D$5:$D$549,MATCH(G543,Clientes!$C$5:$C$549,0))&lt;&gt;"",INDEX(Clientes!$D$5:$D$549,MATCH(G543,Clientes!$C$5:$C$549,0)),TRIM(INDEX(Clientes!$E$5:$E$549,MATCH(G543,Clientes!$C$5:$C$549,0))&amp;" "&amp;INDEX(Clientes!$F$5:$F$549,MATCH(G543,Clientes!$C$5:$C$549,0)))),"NO EXISTE en Clientes"))</f>
        <v/>
      </c>
      <c r="I543" s="17" t="inlineStr">
        <is>
          <t>DISPONIBLE</t>
        </is>
      </c>
      <c r="J543" s="17" t="inlineStr">
        <is>
          <t>ALMACEN PRINCIPAL</t>
        </is>
      </c>
      <c r="K543" s="23" t="n"/>
      <c r="L543" s="25">
        <f t="array" ref="L543">IF(K543="","",IFERROR(IF(INDEX(Clientes!$D$5:$D$549,MATCH(K543,Clientes!$C$5:$C$549,0))&lt;&gt;"",INDEX(Clientes!$D$5:$D$549,MATCH(K543,Clientes!$C$5:$C$549,0)),TRIM(INDEX(Clientes!$E$5:$E$549,MATCH(K543,Clientes!$C$5:$C$549,0))&amp;" "&amp;INDEX(Clientes!$F$5:$F$549,MATCH(K543,Clientes!$C$5:$C$549,0)))),"NO EXISTE en Clientes"))</f>
        <v/>
      </c>
      <c r="M543" s="17" t="n"/>
      <c r="N543" s="17" t="n"/>
      <c r="O543" s="42" t="n"/>
      <c r="P543" s="39">
        <f>IF(O543&lt;&gt;"",DATE(YEAR(O543)+5,MONTH(O543),1),IF(AND(M543&lt;&gt;"",N543&lt;&gt;""),DATE(M543+5,N543,1),""))</f>
        <v/>
      </c>
      <c r="Q543" s="23" t="n"/>
      <c r="R543" s="17" t="n"/>
      <c r="S543" s="17" t="n"/>
      <c r="T543" s="17" t="n"/>
      <c r="U543" s="17" t="n"/>
      <c r="V543" s="23" t="n"/>
      <c r="W543" s="17" t="n"/>
      <c r="X543" s="17" t="n"/>
      <c r="Y543" s="28">
        <f>IF(B543&lt;&gt;"OK","","SELECT bal_crear_balon(p_codigo_balon =&gt; "&amp;IF(TRIM(C543&amp;"")="","NULL","'"&amp;SUBSTITUTE(TRIM(C543),"'","''")&amp;"'")&amp;", p_id_tipo_balon =&gt; "&amp;"(SELECT id FROM bal_tipo_balon WHERE upper(nombre) = upper('"&amp;SUBSTITUTE(TRIM(D543),"'","''")&amp;"') AND estado = 1 LIMIT 1)"&amp;", p_id_producto_gas =&gt; "&amp;"(SELECT id FROM pro_producto WHERE es_gas = TRUE AND upper(nombre) = upper('"&amp;SUBSTITUTE(TRIM(E543),"'","''")&amp;"') AND estado = 1 LIMIT 1)"&amp;", p_id_propietario =&gt; "&amp;IF(TRIM(F543&amp;"")="","NULL","(SELECT lo.id FROM gen_lista_opciones lo JOIN gen_lista l ON l.id = lo.id_lista WHERE l.nombre = 'PropietarioBalon' AND upper(lo.nombre) = upper('"&amp;SUBSTITUTE(TRIM(F543),"'","''")&amp;"') AND lo.estado = 1 LIMIT 1)")&amp;", p_id_cliente_propietario =&gt; "&amp;IF(F543="CLIENTE",IF(TRIM(G543&amp;"")="","NULL","(SELECT id FROM cli_clientes WHERE numero_documento = '"&amp;SUBSTITUTE(TRIM(G543),"'","''")&amp;"' AND estado = 1 LIMIT 1)"),"NULL")&amp;", p_id_planta =&gt; "&amp;IF(F543="PLANTA",IF(TRIM(G543&amp;"")="","NULL","(SELECT id FROM cli_clientes WHERE numero_documento = '"&amp;SUBSTITUTE(TRIM(G543),"'","''")&amp;"'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"&amp;IF(TRIM(J543&amp;"")="","NULL","(SELECT id FROM gen_almacen WHERE upper(nombre) = upper('"&amp;SUBSTITUTE(TRIM(J543),"'","''")&amp;"') AND estado = 1 LIMIT 1)")&amp;", p_id_cliente_ubicacion =&gt; "&amp;IF(TRIM(K543&amp;"")="","NULL","(SELECT id FROM cli_clientes WHERE numero_documento = '"&amp;SUBSTITUTE(TRIM(K543),"'","''")&amp;"' AND estado = 1 LIMIT 1)")&amp;", p_id_referencia =&gt; "&amp;IF(TRIM(J543&amp;"")&lt;&gt;"","(SELECT lo.id FROM gen_lista_opciones lo JOIN gen_lista l ON l.id = lo.id_lista WHERE l.nombre = 'ReferenciaCilindro' AND upper(lo.nombre) = 'ALMACEN' AND lo.estado = 1 LIMIT 1)",IF(TRIM(K543&amp;"")&lt;&gt;"","(SELECT lo.id FROM gen_lista_opciones lo JOIN gen_lista l ON l.id = lo.id_lista WHERE l.nombre = 'ReferenciaCilindro' AND upper(lo.nombre) = 'CLIENTE' AND lo.estado = 1 LIMIT 1)","NULL"))&amp;", p_anio_fabricacion =&gt; "&amp;IF(M543&amp;""="","NULL::smallint",M543&amp;"::smallint")&amp;", p_mes_fabricacion =&gt; "&amp;IF(N543&amp;""="","NULL::smallint",N543&amp;"::smallint")&amp;", p_fecha_ultima_prueba_hidrostatica =&gt; "&amp;IF(O543&amp;""="","NULL","'"&amp;YEAR(O543)&amp;"-"&amp;TEXT(MONTH(O543),"00")&amp;"-"&amp;TEXT(DAY(O543),"00")&amp;"'")&amp;", p_numero_serie =&gt; "&amp;IF(TRIM(Q543&amp;"")="","NULL","'"&amp;SUBSTITUTE(TRIM(Q543),"'","''")&amp;"'")&amp;", p_id_marca_cilindro =&gt; "&amp;IF(TRIM(R543&amp;"")="","NULL","(SELECT lo.id FROM gen_lista_opciones lo JOIN gen_lista l ON l.id = lo.id_lista WHERE l.nombre = 'MarcaCilindro' AND upper(lo.nombre) = upper('"&amp;SUBSTITUTE(TRIM(R543),"'","''")&amp;"') AND lo.estado = 1 LIMIT 1)")&amp;", p_id_organo_inspector =&gt; "&amp;IF(TRIM(S543&amp;"")="","NULL","(SELECT lo.id FROM gen_lista_opciones lo JOIN gen_lista l ON l.id = lo.id_lista WHERE l.nombre = 'OrganoInspectorCilindro' AND upper(lo.nombre) = upper('"&amp;SUBSTITUTE(TRIM(S543),"'","''")&amp;"') AND lo.estado = 1 LIMIT 1)")&amp;", p_organo_inspector_no_aplica =&gt; "&amp;IF(S543="NO_APLICA","TRUE","FALSE")&amp;", p_presion_actual =&gt; "&amp;IF(T543&amp;""="","NULL",SUBSTITUTE(T543&amp;"",",","."))&amp;", p_tipo_valvula =&gt; "&amp;IF(TRIM(U543&amp;"")="","NULL","'"&amp;SUBSTITUTE(TRIM(U543),"'","''")&amp;"'")&amp;", p_libro_cilindro =&gt; "&amp;IF(TRIM(V543&amp;"")="","NULL","'"&amp;SUBSTITUTE(TRIM(V543),"'","''")&amp;"'")&amp;", p_pagina_libro =&gt; "&amp;IF(W543&amp;""="","NULL",SUBSTITUTE(W543&amp;"",",","."))&amp;", p_observacion =&gt; "&amp;IF(TRIM(X543&amp;"")="","NULL","'"&amp;SUBSTITUTE(TRIM(X543),"'","''")&amp;"'")&amp;") AS resultado_balon_"&amp;ROW()&amp;";")</f>
        <v/>
      </c>
    </row>
    <row r="544" ht="15.75" customHeight="1" s="64">
      <c r="A544" s="36" t="inlineStr">
        <is>
          <t>540</t>
        </is>
      </c>
      <c r="B544" s="25">
        <f>IF(AND(C544="",D544="",E544=""),"",IF(C544="","FALTA código balón",IF(D544="","FALTA tipo balón",IF(E544="","FALTA gas",IF(F544="","FALTA propietario",IF(AND(C544&lt;&gt;"",SUMPRODUCT(--($C$5:$C$1200=C544))&gt;1),"CÓDIGO BALÓN DUPLICADO",IF(AND(OR(UPPER(F544)="PLANTA",UPPER(F544)="CLIENTE"),G544=""),"FALTA doc propietario/planta",IF(AND(UPPER(F544)="PLANTA",G544="10175332796"),"PLANTA no puede ser RUC empresa","OK"))))))))</f>
        <v/>
      </c>
      <c r="C544" s="23" t="inlineStr">
        <is>
          <t>20M089004</t>
        </is>
      </c>
      <c r="D544" s="17" t="inlineStr">
        <is>
          <t>Oxígeno Industrial 10 m³</t>
        </is>
      </c>
      <c r="E544" s="17" t="inlineStr">
        <is>
          <t>OXIGENO INDUSTRIAL</t>
        </is>
      </c>
      <c r="F544" s="17" t="inlineStr">
        <is>
          <t>EMPRESA</t>
        </is>
      </c>
      <c r="G544" s="23" t="inlineStr">
        <is>
          <t>10175332796</t>
        </is>
      </c>
      <c r="H544" s="25">
        <f t="array" ref="H544">IF(G544="","",IFERROR(IF(INDEX(Clientes!$D$5:$D$549,MATCH(G544,Clientes!$C$5:$C$549,0))&lt;&gt;"",INDEX(Clientes!$D$5:$D$549,MATCH(G544,Clientes!$C$5:$C$549,0)),TRIM(INDEX(Clientes!$E$5:$E$549,MATCH(G544,Clientes!$C$5:$C$549,0))&amp;" "&amp;INDEX(Clientes!$F$5:$F$549,MATCH(G544,Clientes!$C$5:$C$549,0)))),"NO EXISTE en Clientes"))</f>
        <v/>
      </c>
      <c r="I544" s="17" t="inlineStr">
        <is>
          <t>DISPONIBLE</t>
        </is>
      </c>
      <c r="J544" s="17" t="inlineStr">
        <is>
          <t>ALMACEN PRINCIPAL</t>
        </is>
      </c>
      <c r="K544" s="23" t="n"/>
      <c r="L544" s="25">
        <f t="array" ref="L544">IF(K544="","",IFERROR(IF(INDEX(Clientes!$D$5:$D$549,MATCH(K544,Clientes!$C$5:$C$549,0))&lt;&gt;"",INDEX(Clientes!$D$5:$D$549,MATCH(K544,Clientes!$C$5:$C$549,0)),TRIM(INDEX(Clientes!$E$5:$E$549,MATCH(K544,Clientes!$C$5:$C$549,0))&amp;" "&amp;INDEX(Clientes!$F$5:$F$549,MATCH(K544,Clientes!$C$5:$C$549,0)))),"NO EXISTE en Clientes"))</f>
        <v/>
      </c>
      <c r="M544" s="17" t="n"/>
      <c r="N544" s="17" t="n"/>
      <c r="O544" s="42" t="n"/>
      <c r="P544" s="39">
        <f>IF(O544&lt;&gt;"",DATE(YEAR(O544)+5,MONTH(O544),1),IF(AND(M544&lt;&gt;"",N544&lt;&gt;""),DATE(M544+5,N544,1),""))</f>
        <v/>
      </c>
      <c r="Q544" s="23" t="n"/>
      <c r="R544" s="17" t="n"/>
      <c r="S544" s="17" t="n"/>
      <c r="T544" s="17" t="n"/>
      <c r="U544" s="17" t="n"/>
      <c r="V544" s="23" t="n"/>
      <c r="W544" s="17" t="n"/>
      <c r="X544" s="17" t="n"/>
      <c r="Y544" s="28">
        <f>IF(B544&lt;&gt;"OK","","SELECT bal_crear_balon(p_codigo_balon =&gt; "&amp;IF(TRIM(C544&amp;"")="","NULL","'"&amp;SUBSTITUTE(TRIM(C544),"'","''")&amp;"'")&amp;", p_id_tipo_balon =&gt; "&amp;"(SELECT id FROM bal_tipo_balon WHERE upper(nombre) = upper('"&amp;SUBSTITUTE(TRIM(D544),"'","''")&amp;"') AND estado = 1 LIMIT 1)"&amp;", p_id_producto_gas =&gt; "&amp;"(SELECT id FROM pro_producto WHERE es_gas = TRUE AND upper(nombre) = upper('"&amp;SUBSTITUTE(TRIM(E544),"'","''")&amp;"') AND estado = 1 LIMIT 1)"&amp;", p_id_propietario =&gt; "&amp;IF(TRIM(F544&amp;"")="","NULL","(SELECT lo.id FROM gen_lista_opciones lo JOIN gen_lista l ON l.id = lo.id_lista WHERE l.nombre = 'PropietarioBalon' AND upper(lo.nombre) = upper('"&amp;SUBSTITUTE(TRIM(F544),"'","''")&amp;"') AND lo.estado = 1 LIMIT 1)")&amp;", p_id_cliente_propietario =&gt; "&amp;IF(F544="CLIENTE",IF(TRIM(G544&amp;"")="","NULL","(SELECT id FROM cli_clientes WHERE numero_documento = '"&amp;SUBSTITUTE(TRIM(G544),"'","''")&amp;"' AND estado = 1 LIMIT 1)"),"NULL")&amp;", p_id_planta =&gt; "&amp;IF(F544="PLANTA",IF(TRIM(G544&amp;"")="","NULL","(SELECT id FROM cli_clientes WHERE numero_documento = '"&amp;SUBSTITUTE(TRIM(G544),"'","''")&amp;"'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"&amp;IF(TRIM(J544&amp;"")="","NULL","(SELECT id FROM gen_almacen WHERE upper(nombre) = upper('"&amp;SUBSTITUTE(TRIM(J544),"'","''")&amp;"') AND estado = 1 LIMIT 1)")&amp;", p_id_cliente_ubicacion =&gt; "&amp;IF(TRIM(K544&amp;"")="","NULL","(SELECT id FROM cli_clientes WHERE numero_documento = '"&amp;SUBSTITUTE(TRIM(K544),"'","''")&amp;"' AND estado = 1 LIMIT 1)")&amp;", p_id_referencia =&gt; "&amp;IF(TRIM(J544&amp;"")&lt;&gt;"","(SELECT lo.id FROM gen_lista_opciones lo JOIN gen_lista l ON l.id = lo.id_lista WHERE l.nombre = 'ReferenciaCilindro' AND upper(lo.nombre) = 'ALMACEN' AND lo.estado = 1 LIMIT 1)",IF(TRIM(K544&amp;"")&lt;&gt;"","(SELECT lo.id FROM gen_lista_opciones lo JOIN gen_lista l ON l.id = lo.id_lista WHERE l.nombre = 'ReferenciaCilindro' AND upper(lo.nombre) = 'CLIENTE' AND lo.estado = 1 LIMIT 1)","NULL"))&amp;", p_anio_fabricacion =&gt; "&amp;IF(M544&amp;""="","NULL::smallint",M544&amp;"::smallint")&amp;", p_mes_fabricacion =&gt; "&amp;IF(N544&amp;""="","NULL::smallint",N544&amp;"::smallint")&amp;", p_fecha_ultima_prueba_hidrostatica =&gt; "&amp;IF(O544&amp;""="","NULL","'"&amp;YEAR(O544)&amp;"-"&amp;TEXT(MONTH(O544),"00")&amp;"-"&amp;TEXT(DAY(O544),"00")&amp;"'")&amp;", p_numero_serie =&gt; "&amp;IF(TRIM(Q544&amp;"")="","NULL","'"&amp;SUBSTITUTE(TRIM(Q544),"'","''")&amp;"'")&amp;", p_id_marca_cilindro =&gt; "&amp;IF(TRIM(R544&amp;"")="","NULL","(SELECT lo.id FROM gen_lista_opciones lo JOIN gen_lista l ON l.id = lo.id_lista WHERE l.nombre = 'MarcaCilindro' AND upper(lo.nombre) = upper('"&amp;SUBSTITUTE(TRIM(R544),"'","''")&amp;"') AND lo.estado = 1 LIMIT 1)")&amp;", p_id_organo_inspector =&gt; "&amp;IF(TRIM(S544&amp;"")="","NULL","(SELECT lo.id FROM gen_lista_opciones lo JOIN gen_lista l ON l.id = lo.id_lista WHERE l.nombre = 'OrganoInspectorCilindro' AND upper(lo.nombre) = upper('"&amp;SUBSTITUTE(TRIM(S544),"'","''")&amp;"') AND lo.estado = 1 LIMIT 1)")&amp;", p_organo_inspector_no_aplica =&gt; "&amp;IF(S544="NO_APLICA","TRUE","FALSE")&amp;", p_presion_actual =&gt; "&amp;IF(T544&amp;""="","NULL",SUBSTITUTE(T544&amp;"",",","."))&amp;", p_tipo_valvula =&gt; "&amp;IF(TRIM(U544&amp;"")="","NULL","'"&amp;SUBSTITUTE(TRIM(U544),"'","''")&amp;"'")&amp;", p_libro_cilindro =&gt; "&amp;IF(TRIM(V544&amp;"")="","NULL","'"&amp;SUBSTITUTE(TRIM(V544),"'","''")&amp;"'")&amp;", p_pagina_libro =&gt; "&amp;IF(W544&amp;""="","NULL",SUBSTITUTE(W544&amp;"",",","."))&amp;", p_observacion =&gt; "&amp;IF(TRIM(X544&amp;"")="","NULL","'"&amp;SUBSTITUTE(TRIM(X544),"'","''")&amp;"'")&amp;") AS resultado_balon_"&amp;ROW()&amp;";")</f>
        <v/>
      </c>
    </row>
    <row r="545" ht="15.75" customHeight="1" s="64">
      <c r="A545" s="36" t="inlineStr">
        <is>
          <t>541</t>
        </is>
      </c>
      <c r="B545" s="25">
        <f>IF(AND(C545="",D545="",E545=""),"",IF(C545="","FALTA código balón",IF(D545="","FALTA tipo balón",IF(E545="","FALTA gas",IF(F545="","FALTA propietario",IF(AND(C545&lt;&gt;"",SUMPRODUCT(--($C$5:$C$1200=C545))&gt;1),"CÓDIGO BALÓN DUPLICADO",IF(AND(OR(UPPER(F545)="PLANTA",UPPER(F545)="CLIENTE"),G545=""),"FALTA doc propietario/planta",IF(AND(UPPER(F545)="PLANTA",G545="10175332796"),"PLANTA no puede ser RUC empresa","OK"))))))))</f>
        <v/>
      </c>
      <c r="C545" s="23" t="inlineStr">
        <is>
          <t>1485989</t>
        </is>
      </c>
      <c r="D545" s="17" t="inlineStr">
        <is>
          <t>Oxigeno Industrial 3 m³</t>
        </is>
      </c>
      <c r="E545" s="17" t="inlineStr">
        <is>
          <t>OXIGENO INDUSTRIAL</t>
        </is>
      </c>
      <c r="F545" s="17" t="inlineStr">
        <is>
          <t>EMPRESA</t>
        </is>
      </c>
      <c r="G545" s="23" t="inlineStr">
        <is>
          <t>10175332796</t>
        </is>
      </c>
      <c r="H545" s="25">
        <f t="array" ref="H545">IF(G545="","",IFERROR(IF(INDEX(Clientes!$D$5:$D$549,MATCH(G545,Clientes!$C$5:$C$549,0))&lt;&gt;"",INDEX(Clientes!$D$5:$D$549,MATCH(G545,Clientes!$C$5:$C$549,0)),TRIM(INDEX(Clientes!$E$5:$E$549,MATCH(G545,Clientes!$C$5:$C$549,0))&amp;" "&amp;INDEX(Clientes!$F$5:$F$549,MATCH(G545,Clientes!$C$5:$C$549,0)))),"NO EXISTE en Clientes"))</f>
        <v/>
      </c>
      <c r="I545" s="17" t="inlineStr">
        <is>
          <t>DISPONIBLE</t>
        </is>
      </c>
      <c r="J545" s="17" t="inlineStr">
        <is>
          <t>ALMACEN PRINCIPAL</t>
        </is>
      </c>
      <c r="K545" s="23" t="n"/>
      <c r="L545" s="25">
        <f t="array" ref="L545">IF(K545="","",IFERROR(IF(INDEX(Clientes!$D$5:$D$549,MATCH(K545,Clientes!$C$5:$C$549,0))&lt;&gt;"",INDEX(Clientes!$D$5:$D$549,MATCH(K545,Clientes!$C$5:$C$549,0)),TRIM(INDEX(Clientes!$E$5:$E$549,MATCH(K545,Clientes!$C$5:$C$549,0))&amp;" "&amp;INDEX(Clientes!$F$5:$F$549,MATCH(K545,Clientes!$C$5:$C$549,0)))),"NO EXISTE en Clientes"))</f>
        <v/>
      </c>
      <c r="M545" s="17" t="n"/>
      <c r="N545" s="17" t="n"/>
      <c r="O545" s="42" t="n"/>
      <c r="P545" s="39">
        <f>IF(O545&lt;&gt;"",DATE(YEAR(O545)+5,MONTH(O545),1),IF(AND(M545&lt;&gt;"",N545&lt;&gt;""),DATE(M545+5,N545,1),""))</f>
        <v/>
      </c>
      <c r="Q545" s="23" t="n"/>
      <c r="R545" s="17" t="n"/>
      <c r="S545" s="17" t="n"/>
      <c r="T545" s="17" t="n"/>
      <c r="U545" s="17" t="n"/>
      <c r="V545" s="23" t="n"/>
      <c r="W545" s="17" t="n"/>
      <c r="X545" s="17" t="n"/>
      <c r="Y545" s="28">
        <f>IF(B545&lt;&gt;"OK","","SELECT bal_crear_balon(p_codigo_balon =&gt; "&amp;IF(TRIM(C545&amp;"")="","NULL","'"&amp;SUBSTITUTE(TRIM(C545),"'","''")&amp;"'")&amp;", p_id_tipo_balon =&gt; "&amp;"(SELECT id FROM bal_tipo_balon WHERE upper(nombre) = upper('"&amp;SUBSTITUTE(TRIM(D545),"'","''")&amp;"') AND estado = 1 LIMIT 1)"&amp;", p_id_producto_gas =&gt; "&amp;"(SELECT id FROM pro_producto WHERE es_gas = TRUE AND upper(nombre) = upper('"&amp;SUBSTITUTE(TRIM(E545),"'","''")&amp;"') AND estado = 1 LIMIT 1)"&amp;", p_id_propietario =&gt; "&amp;IF(TRIM(F545&amp;"")="","NULL","(SELECT lo.id FROM gen_lista_opciones lo JOIN gen_lista l ON l.id = lo.id_lista WHERE l.nombre = 'PropietarioBalon' AND upper(lo.nombre) = upper('"&amp;SUBSTITUTE(TRIM(F545),"'","''")&amp;"') AND lo.estado = 1 LIMIT 1)")&amp;", p_id_cliente_propietario =&gt; "&amp;IF(F545="CLIENTE",IF(TRIM(G545&amp;"")="","NULL","(SELECT id FROM cli_clientes WHERE numero_documento = '"&amp;SUBSTITUTE(TRIM(G545),"'","''")&amp;"' AND estado = 1 LIMIT 1)"),"NULL")&amp;", p_id_planta =&gt; "&amp;IF(F545="PLANTA",IF(TRIM(G545&amp;"")="","NULL","(SELECT id FROM cli_clientes WHERE numero_documento = '"&amp;SUBSTITUTE(TRIM(G545),"'","''")&amp;"'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"&amp;IF(TRIM(J545&amp;"")="","NULL","(SELECT id FROM gen_almacen WHERE upper(nombre) = upper('"&amp;SUBSTITUTE(TRIM(J545),"'","''")&amp;"') AND estado = 1 LIMIT 1)")&amp;", p_id_cliente_ubicacion =&gt; "&amp;IF(TRIM(K545&amp;"")="","NULL","(SELECT id FROM cli_clientes WHERE numero_documento = '"&amp;SUBSTITUTE(TRIM(K545),"'","''")&amp;"' AND estado = 1 LIMIT 1)")&amp;", p_id_referencia =&gt; "&amp;IF(TRIM(J545&amp;"")&lt;&gt;"","(SELECT lo.id FROM gen_lista_opciones lo JOIN gen_lista l ON l.id = lo.id_lista WHERE l.nombre = 'ReferenciaCilindro' AND upper(lo.nombre) = 'ALMACEN' AND lo.estado = 1 LIMIT 1)",IF(TRIM(K545&amp;"")&lt;&gt;"","(SELECT lo.id FROM gen_lista_opciones lo JOIN gen_lista l ON l.id = lo.id_lista WHERE l.nombre = 'ReferenciaCilindro' AND upper(lo.nombre) = 'CLIENTE' AND lo.estado = 1 LIMIT 1)","NULL"))&amp;", p_anio_fabricacion =&gt; "&amp;IF(M545&amp;""="","NULL::smallint",M545&amp;"::smallint")&amp;", p_mes_fabricacion =&gt; "&amp;IF(N545&amp;""="","NULL::smallint",N545&amp;"::smallint")&amp;", p_fecha_ultima_prueba_hidrostatica =&gt; "&amp;IF(O545&amp;""="","NULL","'"&amp;YEAR(O545)&amp;"-"&amp;TEXT(MONTH(O545),"00")&amp;"-"&amp;TEXT(DAY(O545),"00")&amp;"'")&amp;", p_numero_serie =&gt; "&amp;IF(TRIM(Q545&amp;"")="","NULL","'"&amp;SUBSTITUTE(TRIM(Q545),"'","''")&amp;"'")&amp;", p_id_marca_cilindro =&gt; "&amp;IF(TRIM(R545&amp;"")="","NULL","(SELECT lo.id FROM gen_lista_opciones lo JOIN gen_lista l ON l.id = lo.id_lista WHERE l.nombre = 'MarcaCilindro' AND upper(lo.nombre) = upper('"&amp;SUBSTITUTE(TRIM(R545),"'","''")&amp;"') AND lo.estado = 1 LIMIT 1)")&amp;", p_id_organo_inspector =&gt; "&amp;IF(TRIM(S545&amp;"")="","NULL","(SELECT lo.id FROM gen_lista_opciones lo JOIN gen_lista l ON l.id = lo.id_lista WHERE l.nombre = 'OrganoInspectorCilindro' AND upper(lo.nombre) = upper('"&amp;SUBSTITUTE(TRIM(S545),"'","''")&amp;"') AND lo.estado = 1 LIMIT 1)")&amp;", p_organo_inspector_no_aplica =&gt; "&amp;IF(S545="NO_APLICA","TRUE","FALSE")&amp;", p_presion_actual =&gt; "&amp;IF(T545&amp;""="","NULL",SUBSTITUTE(T545&amp;"",",","."))&amp;", p_tipo_valvula =&gt; "&amp;IF(TRIM(U545&amp;"")="","NULL","'"&amp;SUBSTITUTE(TRIM(U545),"'","''")&amp;"'")&amp;", p_libro_cilindro =&gt; "&amp;IF(TRIM(V545&amp;"")="","NULL","'"&amp;SUBSTITUTE(TRIM(V545),"'","''")&amp;"'")&amp;", p_pagina_libro =&gt; "&amp;IF(W545&amp;""="","NULL",SUBSTITUTE(W545&amp;"",",","."))&amp;", p_observacion =&gt; "&amp;IF(TRIM(X545&amp;"")="","NULL","'"&amp;SUBSTITUTE(TRIM(X545),"'","''")&amp;"'")&amp;") AS resultado_balon_"&amp;ROW()&amp;";")</f>
        <v/>
      </c>
    </row>
    <row r="546" ht="15.75" customHeight="1" s="64">
      <c r="A546" s="36" t="inlineStr">
        <is>
          <t>542</t>
        </is>
      </c>
      <c r="B546" s="25">
        <f>IF(AND(C546="",D546="",E546=""),"",IF(C546="","FALTA código balón",IF(D546="","FALTA tipo balón",IF(E546="","FALTA gas",IF(F546="","FALTA propietario",IF(AND(C546&lt;&gt;"",SUMPRODUCT(--($C$5:$C$1200=C546))&gt;1),"CÓDIGO BALÓN DUPLICADO",IF(AND(OR(UPPER(F546)="PLANTA",UPPER(F546)="CLIENTE"),G546=""),"FALTA doc propietario/planta",IF(AND(UPPER(F546)="PLANTA",G546="10175332796"),"PLANTA no puede ser RUC empresa","OK"))))))))</f>
        <v/>
      </c>
      <c r="C546" s="23" t="inlineStr">
        <is>
          <t>K4860090</t>
        </is>
      </c>
      <c r="D546" s="17" t="inlineStr">
        <is>
          <t>Oxígeno Medicinal 10 m³</t>
        </is>
      </c>
      <c r="E546" s="17" t="inlineStr">
        <is>
          <t>OXIGENO MEDICINAL</t>
        </is>
      </c>
      <c r="F546" s="17" t="inlineStr">
        <is>
          <t>EMPRESA</t>
        </is>
      </c>
      <c r="G546" s="23" t="inlineStr">
        <is>
          <t>10175332796</t>
        </is>
      </c>
      <c r="H546" s="25">
        <f t="array" ref="H546">IF(G546="","",IFERROR(IF(INDEX(Clientes!$D$5:$D$549,MATCH(G546,Clientes!$C$5:$C$549,0))&lt;&gt;"",INDEX(Clientes!$D$5:$D$549,MATCH(G546,Clientes!$C$5:$C$549,0)),TRIM(INDEX(Clientes!$E$5:$E$549,MATCH(G546,Clientes!$C$5:$C$549,0))&amp;" "&amp;INDEX(Clientes!$F$5:$F$549,MATCH(G546,Clientes!$C$5:$C$549,0)))),"NO EXISTE en Clientes"))</f>
        <v/>
      </c>
      <c r="I546" s="17" t="inlineStr">
        <is>
          <t>DISPONIBLE</t>
        </is>
      </c>
      <c r="J546" s="17" t="inlineStr">
        <is>
          <t>ALMACEN PRINCIPAL</t>
        </is>
      </c>
      <c r="K546" s="23" t="n"/>
      <c r="L546" s="25">
        <f t="array" ref="L546">IF(K546="","",IFERROR(IF(INDEX(Clientes!$D$5:$D$549,MATCH(K546,Clientes!$C$5:$C$549,0))&lt;&gt;"",INDEX(Clientes!$D$5:$D$549,MATCH(K546,Clientes!$C$5:$C$549,0)),TRIM(INDEX(Clientes!$E$5:$E$549,MATCH(K546,Clientes!$C$5:$C$549,0))&amp;" "&amp;INDEX(Clientes!$F$5:$F$549,MATCH(K546,Clientes!$C$5:$C$549,0)))),"NO EXISTE en Clientes"))</f>
        <v/>
      </c>
      <c r="M546" s="17" t="n"/>
      <c r="N546" s="17" t="n"/>
      <c r="O546" s="42" t="n"/>
      <c r="P546" s="39">
        <f>IF(O546&lt;&gt;"",DATE(YEAR(O546)+5,MONTH(O546),1),IF(AND(M546&lt;&gt;"",N546&lt;&gt;""),DATE(M546+5,N546,1),""))</f>
        <v/>
      </c>
      <c r="Q546" s="23" t="n"/>
      <c r="R546" s="17" t="n"/>
      <c r="S546" s="17" t="n"/>
      <c r="T546" s="17" t="n"/>
      <c r="U546" s="17" t="n"/>
      <c r="V546" s="23" t="n"/>
      <c r="W546" s="17" t="n"/>
      <c r="X546" s="17" t="n"/>
      <c r="Y546" s="28">
        <f>IF(B546&lt;&gt;"OK","","SELECT bal_crear_balon(p_codigo_balon =&gt; "&amp;IF(TRIM(C546&amp;"")="","NULL","'"&amp;SUBSTITUTE(TRIM(C546),"'","''")&amp;"'")&amp;", p_id_tipo_balon =&gt; "&amp;"(SELECT id FROM bal_tipo_balon WHERE upper(nombre) = upper('"&amp;SUBSTITUTE(TRIM(D546),"'","''")&amp;"') AND estado = 1 LIMIT 1)"&amp;", p_id_producto_gas =&gt; "&amp;"(SELECT id FROM pro_producto WHERE es_gas = TRUE AND upper(nombre) = upper('"&amp;SUBSTITUTE(TRIM(E546),"'","''")&amp;"') AND estado = 1 LIMIT 1)"&amp;", p_id_propietario =&gt; "&amp;IF(TRIM(F546&amp;"")="","NULL","(SELECT lo.id FROM gen_lista_opciones lo JOIN gen_lista l ON l.id = lo.id_lista WHERE l.nombre = 'PropietarioBalon' AND upper(lo.nombre) = upper('"&amp;SUBSTITUTE(TRIM(F546),"'","''")&amp;"') AND lo.estado = 1 LIMIT 1)")&amp;", p_id_cliente_propietario =&gt; "&amp;IF(F546="CLIENTE",IF(TRIM(G546&amp;"")="","NULL","(SELECT id FROM cli_clientes WHERE numero_documento = '"&amp;SUBSTITUTE(TRIM(G546),"'","''")&amp;"' AND estado = 1 LIMIT 1)"),"NULL")&amp;", p_id_planta =&gt; "&amp;IF(F546="PLANTA",IF(TRIM(G546&amp;"")="","NULL","(SELECT id FROM cli_clientes WHERE numero_documento = '"&amp;SUBSTITUTE(TRIM(G546),"'","''")&amp;"'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"&amp;IF(TRIM(J546&amp;"")="","NULL","(SELECT id FROM gen_almacen WHERE upper(nombre) = upper('"&amp;SUBSTITUTE(TRIM(J546),"'","''")&amp;"') AND estado = 1 LIMIT 1)")&amp;", p_id_cliente_ubicacion =&gt; "&amp;IF(TRIM(K546&amp;"")="","NULL","(SELECT id FROM cli_clientes WHERE numero_documento = '"&amp;SUBSTITUTE(TRIM(K546),"'","''")&amp;"' AND estado = 1 LIMIT 1)")&amp;", p_id_referencia =&gt; "&amp;IF(TRIM(J546&amp;"")&lt;&gt;"","(SELECT lo.id FROM gen_lista_opciones lo JOIN gen_lista l ON l.id = lo.id_lista WHERE l.nombre = 'ReferenciaCilindro' AND upper(lo.nombre) = 'ALMACEN' AND lo.estado = 1 LIMIT 1)",IF(TRIM(K546&amp;"")&lt;&gt;"","(SELECT lo.id FROM gen_lista_opciones lo JOIN gen_lista l ON l.id = lo.id_lista WHERE l.nombre = 'ReferenciaCilindro' AND upper(lo.nombre) = 'CLIENTE' AND lo.estado = 1 LIMIT 1)","NULL"))&amp;", p_anio_fabricacion =&gt; "&amp;IF(M546&amp;""="","NULL::smallint",M546&amp;"::smallint")&amp;", p_mes_fabricacion =&gt; "&amp;IF(N546&amp;""="","NULL::smallint",N546&amp;"::smallint")&amp;", p_fecha_ultima_prueba_hidrostatica =&gt; "&amp;IF(O546&amp;""="","NULL","'"&amp;YEAR(O546)&amp;"-"&amp;TEXT(MONTH(O546),"00")&amp;"-"&amp;TEXT(DAY(O546),"00")&amp;"'")&amp;", p_numero_serie =&gt; "&amp;IF(TRIM(Q546&amp;"")="","NULL","'"&amp;SUBSTITUTE(TRIM(Q546),"'","''")&amp;"'")&amp;", p_id_marca_cilindro =&gt; "&amp;IF(TRIM(R546&amp;"")="","NULL","(SELECT lo.id FROM gen_lista_opciones lo JOIN gen_lista l ON l.id = lo.id_lista WHERE l.nombre = 'MarcaCilindro' AND upper(lo.nombre) = upper('"&amp;SUBSTITUTE(TRIM(R546),"'","''")&amp;"') AND lo.estado = 1 LIMIT 1)")&amp;", p_id_organo_inspector =&gt; "&amp;IF(TRIM(S546&amp;"")="","NULL","(SELECT lo.id FROM gen_lista_opciones lo JOIN gen_lista l ON l.id = lo.id_lista WHERE l.nombre = 'OrganoInspectorCilindro' AND upper(lo.nombre) = upper('"&amp;SUBSTITUTE(TRIM(S546),"'","''")&amp;"') AND lo.estado = 1 LIMIT 1)")&amp;", p_organo_inspector_no_aplica =&gt; "&amp;IF(S546="NO_APLICA","TRUE","FALSE")&amp;", p_presion_actual =&gt; "&amp;IF(T546&amp;""="","NULL",SUBSTITUTE(T546&amp;"",",","."))&amp;", p_tipo_valvula =&gt; "&amp;IF(TRIM(U546&amp;"")="","NULL","'"&amp;SUBSTITUTE(TRIM(U546),"'","''")&amp;"'")&amp;", p_libro_cilindro =&gt; "&amp;IF(TRIM(V546&amp;"")="","NULL","'"&amp;SUBSTITUTE(TRIM(V546),"'","''")&amp;"'")&amp;", p_pagina_libro =&gt; "&amp;IF(W546&amp;""="","NULL",SUBSTITUTE(W546&amp;"",",","."))&amp;", p_observacion =&gt; "&amp;IF(TRIM(X546&amp;"")="","NULL","'"&amp;SUBSTITUTE(TRIM(X546),"'","''")&amp;"'")&amp;") AS resultado_balon_"&amp;ROW()&amp;";")</f>
        <v/>
      </c>
    </row>
    <row r="547" ht="15.75" customHeight="1" s="64">
      <c r="A547" s="36" t="inlineStr">
        <is>
          <t>543</t>
        </is>
      </c>
      <c r="B547" s="25">
        <f>IF(AND(C547="",D547="",E547=""),"",IF(C547="","FALTA código balón",IF(D547="","FALTA tipo balón",IF(E547="","FALTA gas",IF(F547="","FALTA propietario",IF(AND(C547&lt;&gt;"",SUMPRODUCT(--($C$5:$C$1200=C547))&gt;1),"CÓDIGO BALÓN DUPLICADO",IF(AND(OR(UPPER(F547)="PLANTA",UPPER(F547)="CLIENTE"),G547=""),"FALTA doc propietario/planta",IF(AND(UPPER(F547)="PLANTA",G547="10175332796"),"PLANTA no puede ser RUC empresa","OK"))))))))</f>
        <v/>
      </c>
      <c r="C547" s="23" t="inlineStr">
        <is>
          <t>20K646127</t>
        </is>
      </c>
      <c r="D547" s="17" t="inlineStr">
        <is>
          <t>Oxígeno Medicinal 10 m³</t>
        </is>
      </c>
      <c r="E547" s="17" t="inlineStr">
        <is>
          <t>OXIGENO MEDICINAL</t>
        </is>
      </c>
      <c r="F547" s="17" t="inlineStr">
        <is>
          <t>EMPRESA</t>
        </is>
      </c>
      <c r="G547" s="23" t="inlineStr">
        <is>
          <t>10175332796</t>
        </is>
      </c>
      <c r="H547" s="25">
        <f t="array" ref="H547">IF(G547="","",IFERROR(IF(INDEX(Clientes!$D$5:$D$549,MATCH(G547,Clientes!$C$5:$C$549,0))&lt;&gt;"",INDEX(Clientes!$D$5:$D$549,MATCH(G547,Clientes!$C$5:$C$549,0)),TRIM(INDEX(Clientes!$E$5:$E$549,MATCH(G547,Clientes!$C$5:$C$549,0))&amp;" "&amp;INDEX(Clientes!$F$5:$F$549,MATCH(G547,Clientes!$C$5:$C$549,0)))),"NO EXISTE en Clientes"))</f>
        <v/>
      </c>
      <c r="I547" s="17" t="inlineStr">
        <is>
          <t>DISPONIBLE</t>
        </is>
      </c>
      <c r="J547" s="17" t="inlineStr">
        <is>
          <t>ALMACEN PRINCIPAL</t>
        </is>
      </c>
      <c r="K547" s="23" t="n"/>
      <c r="L547" s="25">
        <f t="array" ref="L547">IF(K547="","",IFERROR(IF(INDEX(Clientes!$D$5:$D$549,MATCH(K547,Clientes!$C$5:$C$549,0))&lt;&gt;"",INDEX(Clientes!$D$5:$D$549,MATCH(K547,Clientes!$C$5:$C$549,0)),TRIM(INDEX(Clientes!$E$5:$E$549,MATCH(K547,Clientes!$C$5:$C$549,0))&amp;" "&amp;INDEX(Clientes!$F$5:$F$549,MATCH(K547,Clientes!$C$5:$C$549,0)))),"NO EXISTE en Clientes"))</f>
        <v/>
      </c>
      <c r="M547" s="17" t="n"/>
      <c r="N547" s="17" t="n"/>
      <c r="O547" s="42" t="n"/>
      <c r="P547" s="39">
        <f>IF(O547&lt;&gt;"",DATE(YEAR(O547)+5,MONTH(O547),1),IF(AND(M547&lt;&gt;"",N547&lt;&gt;""),DATE(M547+5,N547,1),""))</f>
        <v/>
      </c>
      <c r="Q547" s="23" t="n"/>
      <c r="R547" s="17" t="n"/>
      <c r="S547" s="17" t="n"/>
      <c r="T547" s="17" t="n"/>
      <c r="U547" s="17" t="n"/>
      <c r="V547" s="23" t="n"/>
      <c r="W547" s="17" t="n"/>
      <c r="X547" s="17" t="n"/>
      <c r="Y547" s="28">
        <f>IF(B547&lt;&gt;"OK","","SELECT bal_crear_balon(p_codigo_balon =&gt; "&amp;IF(TRIM(C547&amp;"")="","NULL","'"&amp;SUBSTITUTE(TRIM(C547),"'","''")&amp;"'")&amp;", p_id_tipo_balon =&gt; "&amp;"(SELECT id FROM bal_tipo_balon WHERE upper(nombre) = upper('"&amp;SUBSTITUTE(TRIM(D547),"'","''")&amp;"') AND estado = 1 LIMIT 1)"&amp;", p_id_producto_gas =&gt; "&amp;"(SELECT id FROM pro_producto WHERE es_gas = TRUE AND upper(nombre) = upper('"&amp;SUBSTITUTE(TRIM(E547),"'","''")&amp;"') AND estado = 1 LIMIT 1)"&amp;", p_id_propietario =&gt; "&amp;IF(TRIM(F547&amp;"")="","NULL","(SELECT lo.id FROM gen_lista_opciones lo JOIN gen_lista l ON l.id = lo.id_lista WHERE l.nombre = 'PropietarioBalon' AND upper(lo.nombre) = upper('"&amp;SUBSTITUTE(TRIM(F547),"'","''")&amp;"') AND lo.estado = 1 LIMIT 1)")&amp;", p_id_cliente_propietario =&gt; "&amp;IF(F547="CLIENTE",IF(TRIM(G547&amp;"")="","NULL","(SELECT id FROM cli_clientes WHERE numero_documento = '"&amp;SUBSTITUTE(TRIM(G547),"'","''")&amp;"' AND estado = 1 LIMIT 1)"),"NULL")&amp;", p_id_planta =&gt; "&amp;IF(F547="PLANTA",IF(TRIM(G547&amp;"")="","NULL","(SELECT id FROM cli_clientes WHERE numero_documento = '"&amp;SUBSTITUTE(TRIM(G547),"'","''")&amp;"'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"&amp;IF(TRIM(J547&amp;"")="","NULL","(SELECT id FROM gen_almacen WHERE upper(nombre) = upper('"&amp;SUBSTITUTE(TRIM(J547),"'","''")&amp;"') AND estado = 1 LIMIT 1)")&amp;", p_id_cliente_ubicacion =&gt; "&amp;IF(TRIM(K547&amp;"")="","NULL","(SELECT id FROM cli_clientes WHERE numero_documento = '"&amp;SUBSTITUTE(TRIM(K547),"'","''")&amp;"' AND estado = 1 LIMIT 1)")&amp;", p_id_referencia =&gt; "&amp;IF(TRIM(J547&amp;"")&lt;&gt;"","(SELECT lo.id FROM gen_lista_opciones lo JOIN gen_lista l ON l.id = lo.id_lista WHERE l.nombre = 'ReferenciaCilindro' AND upper(lo.nombre) = 'ALMACEN' AND lo.estado = 1 LIMIT 1)",IF(TRIM(K547&amp;"")&lt;&gt;"","(SELECT lo.id FROM gen_lista_opciones lo JOIN gen_lista l ON l.id = lo.id_lista WHERE l.nombre = 'ReferenciaCilindro' AND upper(lo.nombre) = 'CLIENTE' AND lo.estado = 1 LIMIT 1)","NULL"))&amp;", p_anio_fabricacion =&gt; "&amp;IF(M547&amp;""="","NULL::smallint",M547&amp;"::smallint")&amp;", p_mes_fabricacion =&gt; "&amp;IF(N547&amp;""="","NULL::smallint",N547&amp;"::smallint")&amp;", p_fecha_ultima_prueba_hidrostatica =&gt; "&amp;IF(O547&amp;""="","NULL","'"&amp;YEAR(O547)&amp;"-"&amp;TEXT(MONTH(O547),"00")&amp;"-"&amp;TEXT(DAY(O547),"00")&amp;"'")&amp;", p_numero_serie =&gt; "&amp;IF(TRIM(Q547&amp;"")="","NULL","'"&amp;SUBSTITUTE(TRIM(Q547),"'","''")&amp;"'")&amp;", p_id_marca_cilindro =&gt; "&amp;IF(TRIM(R547&amp;"")="","NULL","(SELECT lo.id FROM gen_lista_opciones lo JOIN gen_lista l ON l.id = lo.id_lista WHERE l.nombre = 'MarcaCilindro' AND upper(lo.nombre) = upper('"&amp;SUBSTITUTE(TRIM(R547),"'","''")&amp;"') AND lo.estado = 1 LIMIT 1)")&amp;", p_id_organo_inspector =&gt; "&amp;IF(TRIM(S547&amp;"")="","NULL","(SELECT lo.id FROM gen_lista_opciones lo JOIN gen_lista l ON l.id = lo.id_lista WHERE l.nombre = 'OrganoInspectorCilindro' AND upper(lo.nombre) = upper('"&amp;SUBSTITUTE(TRIM(S547),"'","''")&amp;"') AND lo.estado = 1 LIMIT 1)")&amp;", p_organo_inspector_no_aplica =&gt; "&amp;IF(S547="NO_APLICA","TRUE","FALSE")&amp;", p_presion_actual =&gt; "&amp;IF(T547&amp;""="","NULL",SUBSTITUTE(T547&amp;"",",","."))&amp;", p_tipo_valvula =&gt; "&amp;IF(TRIM(U547&amp;"")="","NULL","'"&amp;SUBSTITUTE(TRIM(U547),"'","''")&amp;"'")&amp;", p_libro_cilindro =&gt; "&amp;IF(TRIM(V547&amp;"")="","NULL","'"&amp;SUBSTITUTE(TRIM(V547),"'","''")&amp;"'")&amp;", p_pagina_libro =&gt; "&amp;IF(W547&amp;""="","NULL",SUBSTITUTE(W547&amp;"",",","."))&amp;", p_observacion =&gt; "&amp;IF(TRIM(X547&amp;"")="","NULL","'"&amp;SUBSTITUTE(TRIM(X547),"'","''")&amp;"'")&amp;") AS resultado_balon_"&amp;ROW()&amp;";")</f>
        <v/>
      </c>
    </row>
    <row r="548" ht="15.75" customHeight="1" s="64">
      <c r="A548" s="36" t="inlineStr">
        <is>
          <t>544</t>
        </is>
      </c>
      <c r="B548" s="25">
        <f>IF(AND(C548="",D548="",E548=""),"",IF(C548="","FALTA código balón",IF(D548="","FALTA tipo balón",IF(E548="","FALTA gas",IF(F548="","FALTA propietario",IF(AND(C548&lt;&gt;"",SUMPRODUCT(--($C$5:$C$1200=C548))&gt;1),"CÓDIGO BALÓN DUPLICADO",IF(AND(OR(UPPER(F548)="PLANTA",UPPER(F548)="CLIENTE"),G548=""),"FALTA doc propietario/planta",IF(AND(UPPER(F548)="PLANTA",G548="10175332796"),"PLANTA no puede ser RUC empresa","OK"))))))))</f>
        <v/>
      </c>
      <c r="C548" s="23" t="inlineStr">
        <is>
          <t>K4854162</t>
        </is>
      </c>
      <c r="D548" s="17" t="inlineStr">
        <is>
          <t>Oxígeno Medicinal 10 m³</t>
        </is>
      </c>
      <c r="E548" s="17" t="inlineStr">
        <is>
          <t>OXIGENO MEDICINAL</t>
        </is>
      </c>
      <c r="F548" s="17" t="inlineStr">
        <is>
          <t>EMPRESA</t>
        </is>
      </c>
      <c r="G548" s="23" t="inlineStr">
        <is>
          <t>10175332796</t>
        </is>
      </c>
      <c r="H548" s="25">
        <f t="array" ref="H548">IF(G548="","",IFERROR(IF(INDEX(Clientes!$D$5:$D$549,MATCH(G548,Clientes!$C$5:$C$549,0))&lt;&gt;"",INDEX(Clientes!$D$5:$D$549,MATCH(G548,Clientes!$C$5:$C$549,0)),TRIM(INDEX(Clientes!$E$5:$E$549,MATCH(G548,Clientes!$C$5:$C$549,0))&amp;" "&amp;INDEX(Clientes!$F$5:$F$549,MATCH(G548,Clientes!$C$5:$C$549,0)))),"NO EXISTE en Clientes"))</f>
        <v/>
      </c>
      <c r="I548" s="17" t="inlineStr">
        <is>
          <t>DISPONIBLE</t>
        </is>
      </c>
      <c r="J548" s="17" t="inlineStr">
        <is>
          <t>ALMACEN PRINCIPAL</t>
        </is>
      </c>
      <c r="K548" s="23" t="n"/>
      <c r="L548" s="25">
        <f t="array" ref="L548">IF(K548="","",IFERROR(IF(INDEX(Clientes!$D$5:$D$549,MATCH(K548,Clientes!$C$5:$C$549,0))&lt;&gt;"",INDEX(Clientes!$D$5:$D$549,MATCH(K548,Clientes!$C$5:$C$549,0)),TRIM(INDEX(Clientes!$E$5:$E$549,MATCH(K548,Clientes!$C$5:$C$549,0))&amp;" "&amp;INDEX(Clientes!$F$5:$F$549,MATCH(K548,Clientes!$C$5:$C$549,0)))),"NO EXISTE en Clientes"))</f>
        <v/>
      </c>
      <c r="M548" s="17" t="n"/>
      <c r="N548" s="17" t="n"/>
      <c r="O548" s="42" t="n"/>
      <c r="P548" s="39">
        <f>IF(O548&lt;&gt;"",DATE(YEAR(O548)+5,MONTH(O548),1),IF(AND(M548&lt;&gt;"",N548&lt;&gt;""),DATE(M548+5,N548,1),""))</f>
        <v/>
      </c>
      <c r="Q548" s="23" t="n"/>
      <c r="R548" s="17" t="n"/>
      <c r="S548" s="17" t="n"/>
      <c r="T548" s="17" t="n"/>
      <c r="U548" s="17" t="n"/>
      <c r="V548" s="23" t="n"/>
      <c r="W548" s="17" t="n"/>
      <c r="X548" s="17" t="n"/>
      <c r="Y548" s="28">
        <f>IF(B548&lt;&gt;"OK","","SELECT bal_crear_balon(p_codigo_balon =&gt; "&amp;IF(TRIM(C548&amp;"")="","NULL","'"&amp;SUBSTITUTE(TRIM(C548),"'","''")&amp;"'")&amp;", p_id_tipo_balon =&gt; "&amp;"(SELECT id FROM bal_tipo_balon WHERE upper(nombre) = upper('"&amp;SUBSTITUTE(TRIM(D548),"'","''")&amp;"') AND estado = 1 LIMIT 1)"&amp;", p_id_producto_gas =&gt; "&amp;"(SELECT id FROM pro_producto WHERE es_gas = TRUE AND upper(nombre) = upper('"&amp;SUBSTITUTE(TRIM(E548),"'","''")&amp;"') AND estado = 1 LIMIT 1)"&amp;", p_id_propietario =&gt; "&amp;IF(TRIM(F548&amp;"")="","NULL","(SELECT lo.id FROM gen_lista_opciones lo JOIN gen_lista l ON l.id = lo.id_lista WHERE l.nombre = 'PropietarioBalon' AND upper(lo.nombre) = upper('"&amp;SUBSTITUTE(TRIM(F548),"'","''")&amp;"') AND lo.estado = 1 LIMIT 1)")&amp;", p_id_cliente_propietario =&gt; "&amp;IF(F548="CLIENTE",IF(TRIM(G548&amp;"")="","NULL","(SELECT id FROM cli_clientes WHERE numero_documento = '"&amp;SUBSTITUTE(TRIM(G548),"'","''")&amp;"' AND estado = 1 LIMIT 1)"),"NULL")&amp;", p_id_planta =&gt; "&amp;IF(F548="PLANTA",IF(TRIM(G548&amp;"")="","NULL","(SELECT id FROM cli_clientes WHERE numero_documento = '"&amp;SUBSTITUTE(TRIM(G548),"'","''")&amp;"'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"&amp;IF(TRIM(J548&amp;"")="","NULL","(SELECT id FROM gen_almacen WHERE upper(nombre) = upper('"&amp;SUBSTITUTE(TRIM(J548),"'","''")&amp;"') AND estado = 1 LIMIT 1)")&amp;", p_id_cliente_ubicacion =&gt; "&amp;IF(TRIM(K548&amp;"")="","NULL","(SELECT id FROM cli_clientes WHERE numero_documento = '"&amp;SUBSTITUTE(TRIM(K548),"'","''")&amp;"' AND estado = 1 LIMIT 1)")&amp;", p_id_referencia =&gt; "&amp;IF(TRIM(J548&amp;"")&lt;&gt;"","(SELECT lo.id FROM gen_lista_opciones lo JOIN gen_lista l ON l.id = lo.id_lista WHERE l.nombre = 'ReferenciaCilindro' AND upper(lo.nombre) = 'ALMACEN' AND lo.estado = 1 LIMIT 1)",IF(TRIM(K548&amp;"")&lt;&gt;"","(SELECT lo.id FROM gen_lista_opciones lo JOIN gen_lista l ON l.id = lo.id_lista WHERE l.nombre = 'ReferenciaCilindro' AND upper(lo.nombre) = 'CLIENTE' AND lo.estado = 1 LIMIT 1)","NULL"))&amp;", p_anio_fabricacion =&gt; "&amp;IF(M548&amp;""="","NULL::smallint",M548&amp;"::smallint")&amp;", p_mes_fabricacion =&gt; "&amp;IF(N548&amp;""="","NULL::smallint",N548&amp;"::smallint")&amp;", p_fecha_ultima_prueba_hidrostatica =&gt; "&amp;IF(O548&amp;""="","NULL","'"&amp;YEAR(O548)&amp;"-"&amp;TEXT(MONTH(O548),"00")&amp;"-"&amp;TEXT(DAY(O548),"00")&amp;"'")&amp;", p_numero_serie =&gt; "&amp;IF(TRIM(Q548&amp;"")="","NULL","'"&amp;SUBSTITUTE(TRIM(Q548),"'","''")&amp;"'")&amp;", p_id_marca_cilindro =&gt; "&amp;IF(TRIM(R548&amp;"")="","NULL","(SELECT lo.id FROM gen_lista_opciones lo JOIN gen_lista l ON l.id = lo.id_lista WHERE l.nombre = 'MarcaCilindro' AND upper(lo.nombre) = upper('"&amp;SUBSTITUTE(TRIM(R548),"'","''")&amp;"') AND lo.estado = 1 LIMIT 1)")&amp;", p_id_organo_inspector =&gt; "&amp;IF(TRIM(S548&amp;"")="","NULL","(SELECT lo.id FROM gen_lista_opciones lo JOIN gen_lista l ON l.id = lo.id_lista WHERE l.nombre = 'OrganoInspectorCilindro' AND upper(lo.nombre) = upper('"&amp;SUBSTITUTE(TRIM(S548),"'","''")&amp;"') AND lo.estado = 1 LIMIT 1)")&amp;", p_organo_inspector_no_aplica =&gt; "&amp;IF(S548="NO_APLICA","TRUE","FALSE")&amp;", p_presion_actual =&gt; "&amp;IF(T548&amp;""="","NULL",SUBSTITUTE(T548&amp;"",",","."))&amp;", p_tipo_valvula =&gt; "&amp;IF(TRIM(U548&amp;"")="","NULL","'"&amp;SUBSTITUTE(TRIM(U548),"'","''")&amp;"'")&amp;", p_libro_cilindro =&gt; "&amp;IF(TRIM(V548&amp;"")="","NULL","'"&amp;SUBSTITUTE(TRIM(V548),"'","''")&amp;"'")&amp;", p_pagina_libro =&gt; "&amp;IF(W548&amp;""="","NULL",SUBSTITUTE(W548&amp;"",",","."))&amp;", p_observacion =&gt; "&amp;IF(TRIM(X548&amp;"")="","NULL","'"&amp;SUBSTITUTE(TRIM(X548),"'","''")&amp;"'")&amp;") AS resultado_balon_"&amp;ROW()&amp;";")</f>
        <v/>
      </c>
    </row>
    <row r="549" ht="15.75" customHeight="1" s="64">
      <c r="A549" s="36" t="inlineStr">
        <is>
          <t>545</t>
        </is>
      </c>
      <c r="B549" s="25">
        <f>IF(AND(C549="",D549="",E549=""),"",IF(C549="","FALTA código balón",IF(D549="","FALTA tipo balón",IF(E549="","FALTA gas",IF(F549="","FALTA propietario",IF(AND(C549&lt;&gt;"",SUMPRODUCT(--($C$5:$C$1200=C549))&gt;1),"CÓDIGO BALÓN DUPLICADO",IF(AND(OR(UPPER(F549)="PLANTA",UPPER(F549)="CLIENTE"),G549=""),"FALTA doc propietario/planta",IF(AND(UPPER(F549)="PLANTA",G549="10175332796"),"PLANTA no puede ser RUC empresa","OK"))))))))</f>
        <v/>
      </c>
      <c r="C549" s="23" t="inlineStr">
        <is>
          <t>AS1449415</t>
        </is>
      </c>
      <c r="D549" s="17" t="inlineStr">
        <is>
          <t>Oxigeno Industrial de 1.5 m3</t>
        </is>
      </c>
      <c r="E549" s="17" t="inlineStr">
        <is>
          <t>OXIGENO INDUSTRIAL</t>
        </is>
      </c>
      <c r="F549" s="17" t="inlineStr">
        <is>
          <t>EMPRESA</t>
        </is>
      </c>
      <c r="G549" s="23" t="inlineStr">
        <is>
          <t>10175332796</t>
        </is>
      </c>
      <c r="H549" s="25">
        <f t="array" ref="H549">IF(G549="","",IFERROR(IF(INDEX(Clientes!$D$5:$D$549,MATCH(G549,Clientes!$C$5:$C$549,0))&lt;&gt;"",INDEX(Clientes!$D$5:$D$549,MATCH(G549,Clientes!$C$5:$C$549,0)),TRIM(INDEX(Clientes!$E$5:$E$549,MATCH(G549,Clientes!$C$5:$C$549,0))&amp;" "&amp;INDEX(Clientes!$F$5:$F$549,MATCH(G549,Clientes!$C$5:$C$549,0)))),"NO EXISTE en Clientes"))</f>
        <v/>
      </c>
      <c r="I549" s="17" t="inlineStr">
        <is>
          <t>DISPONIBLE</t>
        </is>
      </c>
      <c r="J549" s="17" t="inlineStr">
        <is>
          <t>ALMACEN PRINCIPAL</t>
        </is>
      </c>
      <c r="K549" s="23" t="n"/>
      <c r="L549" s="25">
        <f t="array" ref="L549">IF(K549="","",IFERROR(IF(INDEX(Clientes!$D$5:$D$549,MATCH(K549,Clientes!$C$5:$C$549,0))&lt;&gt;"",INDEX(Clientes!$D$5:$D$549,MATCH(K549,Clientes!$C$5:$C$549,0)),TRIM(INDEX(Clientes!$E$5:$E$549,MATCH(K549,Clientes!$C$5:$C$549,0))&amp;" "&amp;INDEX(Clientes!$F$5:$F$549,MATCH(K549,Clientes!$C$5:$C$549,0)))),"NO EXISTE en Clientes"))</f>
        <v/>
      </c>
      <c r="M549" s="17" t="n"/>
      <c r="N549" s="17" t="n"/>
      <c r="O549" s="42" t="n"/>
      <c r="P549" s="39">
        <f>IF(O549&lt;&gt;"",DATE(YEAR(O549)+5,MONTH(O549),1),IF(AND(M549&lt;&gt;"",N549&lt;&gt;""),DATE(M549+5,N549,1),""))</f>
        <v/>
      </c>
      <c r="Q549" s="23" t="n"/>
      <c r="R549" s="17" t="n"/>
      <c r="S549" s="17" t="n"/>
      <c r="T549" s="17" t="n"/>
      <c r="U549" s="17" t="n"/>
      <c r="V549" s="23" t="n"/>
      <c r="W549" s="17" t="n"/>
      <c r="X549" s="17" t="n"/>
      <c r="Y549" s="28">
        <f>IF(B549&lt;&gt;"OK","","SELECT bal_crear_balon(p_codigo_balon =&gt; "&amp;IF(TRIM(C549&amp;"")="","NULL","'"&amp;SUBSTITUTE(TRIM(C549),"'","''")&amp;"'")&amp;", p_id_tipo_balon =&gt; "&amp;"(SELECT id FROM bal_tipo_balon WHERE upper(nombre) = upper('"&amp;SUBSTITUTE(TRIM(D549),"'","''")&amp;"') AND estado = 1 LIMIT 1)"&amp;", p_id_producto_gas =&gt; "&amp;"(SELECT id FROM pro_producto WHERE es_gas = TRUE AND upper(nombre) = upper('"&amp;SUBSTITUTE(TRIM(E549),"'","''")&amp;"') AND estado = 1 LIMIT 1)"&amp;", p_id_propietario =&gt; "&amp;IF(TRIM(F549&amp;"")="","NULL","(SELECT lo.id FROM gen_lista_opciones lo JOIN gen_lista l ON l.id = lo.id_lista WHERE l.nombre = 'PropietarioBalon' AND upper(lo.nombre) = upper('"&amp;SUBSTITUTE(TRIM(F549),"'","''")&amp;"') AND lo.estado = 1 LIMIT 1)")&amp;", p_id_cliente_propietario =&gt; "&amp;IF(F549="CLIENTE",IF(TRIM(G549&amp;"")="","NULL","(SELECT id FROM cli_clientes WHERE numero_documento = '"&amp;SUBSTITUTE(TRIM(G549),"'","''")&amp;"' AND estado = 1 LIMIT 1)"),"NULL")&amp;", p_id_planta =&gt; "&amp;IF(F549="PLANTA",IF(TRIM(G549&amp;"")="","NULL","(SELECT id FROM cli_clientes WHERE numero_documento = '"&amp;SUBSTITUTE(TRIM(G549),"'","''")&amp;"'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"&amp;IF(TRIM(J549&amp;"")="","NULL","(SELECT id FROM gen_almacen WHERE upper(nombre) = upper('"&amp;SUBSTITUTE(TRIM(J549),"'","''")&amp;"') AND estado = 1 LIMIT 1)")&amp;", p_id_cliente_ubicacion =&gt; "&amp;IF(TRIM(K549&amp;"")="","NULL","(SELECT id FROM cli_clientes WHERE numero_documento = '"&amp;SUBSTITUTE(TRIM(K549),"'","''")&amp;"' AND estado = 1 LIMIT 1)")&amp;", p_id_referencia =&gt; "&amp;IF(TRIM(J549&amp;"")&lt;&gt;"","(SELECT lo.id FROM gen_lista_opciones lo JOIN gen_lista l ON l.id = lo.id_lista WHERE l.nombre = 'ReferenciaCilindro' AND upper(lo.nombre) = 'ALMACEN' AND lo.estado = 1 LIMIT 1)",IF(TRIM(K549&amp;"")&lt;&gt;"","(SELECT lo.id FROM gen_lista_opciones lo JOIN gen_lista l ON l.id = lo.id_lista WHERE l.nombre = 'ReferenciaCilindro' AND upper(lo.nombre) = 'CLIENTE' AND lo.estado = 1 LIMIT 1)","NULL"))&amp;", p_anio_fabricacion =&gt; "&amp;IF(M549&amp;""="","NULL::smallint",M549&amp;"::smallint")&amp;", p_mes_fabricacion =&gt; "&amp;IF(N549&amp;""="","NULL::smallint",N549&amp;"::smallint")&amp;", p_fecha_ultima_prueba_hidrostatica =&gt; "&amp;IF(O549&amp;""="","NULL","'"&amp;YEAR(O549)&amp;"-"&amp;TEXT(MONTH(O549),"00")&amp;"-"&amp;TEXT(DAY(O549),"00")&amp;"'")&amp;", p_numero_serie =&gt; "&amp;IF(TRIM(Q549&amp;"")="","NULL","'"&amp;SUBSTITUTE(TRIM(Q549),"'","''")&amp;"'")&amp;", p_id_marca_cilindro =&gt; "&amp;IF(TRIM(R549&amp;"")="","NULL","(SELECT lo.id FROM gen_lista_opciones lo JOIN gen_lista l ON l.id = lo.id_lista WHERE l.nombre = 'MarcaCilindro' AND upper(lo.nombre) = upper('"&amp;SUBSTITUTE(TRIM(R549),"'","''")&amp;"') AND lo.estado = 1 LIMIT 1)")&amp;", p_id_organo_inspector =&gt; "&amp;IF(TRIM(S549&amp;"")="","NULL","(SELECT lo.id FROM gen_lista_opciones lo JOIN gen_lista l ON l.id = lo.id_lista WHERE l.nombre = 'OrganoInspectorCilindro' AND upper(lo.nombre) = upper('"&amp;SUBSTITUTE(TRIM(S549),"'","''")&amp;"') AND lo.estado = 1 LIMIT 1)")&amp;", p_organo_inspector_no_aplica =&gt; "&amp;IF(S549="NO_APLICA","TRUE","FALSE")&amp;", p_presion_actual =&gt; "&amp;IF(T549&amp;""="","NULL",SUBSTITUTE(T549&amp;"",",","."))&amp;", p_tipo_valvula =&gt; "&amp;IF(TRIM(U549&amp;"")="","NULL","'"&amp;SUBSTITUTE(TRIM(U549),"'","''")&amp;"'")&amp;", p_libro_cilindro =&gt; "&amp;IF(TRIM(V549&amp;"")="","NULL","'"&amp;SUBSTITUTE(TRIM(V549),"'","''")&amp;"'")&amp;", p_pagina_libro =&gt; "&amp;IF(W549&amp;""="","NULL",SUBSTITUTE(W549&amp;"",",","."))&amp;", p_observacion =&gt; "&amp;IF(TRIM(X549&amp;"")="","NULL","'"&amp;SUBSTITUTE(TRIM(X549),"'","''")&amp;"'")&amp;") AS resultado_balon_"&amp;ROW()&amp;";")</f>
        <v/>
      </c>
    </row>
    <row r="550" ht="15.75" customHeight="1" s="64">
      <c r="A550" s="36" t="inlineStr">
        <is>
          <t>546</t>
        </is>
      </c>
      <c r="B550" s="25">
        <f>IF(AND(C550="",D550="",E550=""),"",IF(C550="","FALTA código balón",IF(D550="","FALTA tipo balón",IF(E550="","FALTA gas",IF(F550="","FALTA propietario",IF(AND(C550&lt;&gt;"",SUMPRODUCT(--($C$5:$C$1200=C550))&gt;1),"CÓDIGO BALÓN DUPLICADO",IF(AND(OR(UPPER(F550)="PLANTA",UPPER(F550)="CLIENTE"),G550=""),"FALTA doc propietario/planta",IF(AND(UPPER(F550)="PLANTA",G550="10175332796"),"PLANTA no puede ser RUC empresa","OK"))))))))</f>
        <v/>
      </c>
      <c r="C550" s="23" t="inlineStr">
        <is>
          <t>K5714052</t>
        </is>
      </c>
      <c r="D550" s="17" t="inlineStr">
        <is>
          <t>Oxígeno Medicinal 10 m³</t>
        </is>
      </c>
      <c r="E550" s="17" t="inlineStr">
        <is>
          <t>OXIGENO MEDICINAL</t>
        </is>
      </c>
      <c r="F550" s="17" t="inlineStr">
        <is>
          <t>EMPRESA</t>
        </is>
      </c>
      <c r="G550" s="23" t="inlineStr">
        <is>
          <t>10175332796</t>
        </is>
      </c>
      <c r="H550" s="25">
        <f t="array" ref="H550">IF(G550="","",IFERROR(IF(INDEX(Clientes!$D$5:$D$549,MATCH(G550,Clientes!$C$5:$C$549,0))&lt;&gt;"",INDEX(Clientes!$D$5:$D$549,MATCH(G550,Clientes!$C$5:$C$549,0)),TRIM(INDEX(Clientes!$E$5:$E$549,MATCH(G550,Clientes!$C$5:$C$549,0))&amp;" "&amp;INDEX(Clientes!$F$5:$F$549,MATCH(G550,Clientes!$C$5:$C$549,0)))),"NO EXISTE en Clientes"))</f>
        <v/>
      </c>
      <c r="I550" s="17" t="inlineStr">
        <is>
          <t>DISPONIBLE</t>
        </is>
      </c>
      <c r="J550" s="17" t="inlineStr">
        <is>
          <t>ALMACEN PRINCIPAL</t>
        </is>
      </c>
      <c r="K550" s="23" t="n"/>
      <c r="L550" s="25">
        <f t="array" ref="L550">IF(K550="","",IFERROR(IF(INDEX(Clientes!$D$5:$D$549,MATCH(K550,Clientes!$C$5:$C$549,0))&lt;&gt;"",INDEX(Clientes!$D$5:$D$549,MATCH(K550,Clientes!$C$5:$C$549,0)),TRIM(INDEX(Clientes!$E$5:$E$549,MATCH(K550,Clientes!$C$5:$C$549,0))&amp;" "&amp;INDEX(Clientes!$F$5:$F$549,MATCH(K550,Clientes!$C$5:$C$549,0)))),"NO EXISTE en Clientes"))</f>
        <v/>
      </c>
      <c r="M550" s="17" t="n"/>
      <c r="N550" s="17" t="n"/>
      <c r="O550" s="42" t="n"/>
      <c r="P550" s="39">
        <f>IF(O550&lt;&gt;"",DATE(YEAR(O550)+5,MONTH(O550),1),IF(AND(M550&lt;&gt;"",N550&lt;&gt;""),DATE(M550+5,N550,1),""))</f>
        <v/>
      </c>
      <c r="Q550" s="23" t="n"/>
      <c r="R550" s="17" t="n"/>
      <c r="S550" s="17" t="n"/>
      <c r="T550" s="17" t="n"/>
      <c r="U550" s="17" t="n"/>
      <c r="V550" s="23" t="n"/>
      <c r="W550" s="17" t="n"/>
      <c r="X550" s="17" t="n"/>
      <c r="Y550" s="28">
        <f>IF(B550&lt;&gt;"OK","","SELECT bal_crear_balon(p_codigo_balon =&gt; "&amp;IF(TRIM(C550&amp;"")="","NULL","'"&amp;SUBSTITUTE(TRIM(C550),"'","''")&amp;"'")&amp;", p_id_tipo_balon =&gt; "&amp;"(SELECT id FROM bal_tipo_balon WHERE upper(nombre) = upper('"&amp;SUBSTITUTE(TRIM(D550),"'","''")&amp;"') AND estado = 1 LIMIT 1)"&amp;", p_id_producto_gas =&gt; "&amp;"(SELECT id FROM pro_producto WHERE es_gas = TRUE AND upper(nombre) = upper('"&amp;SUBSTITUTE(TRIM(E550),"'","''")&amp;"') AND estado = 1 LIMIT 1)"&amp;", p_id_propietario =&gt; "&amp;IF(TRIM(F550&amp;"")="","NULL","(SELECT lo.id FROM gen_lista_opciones lo JOIN gen_lista l ON l.id = lo.id_lista WHERE l.nombre = 'PropietarioBalon' AND upper(lo.nombre) = upper('"&amp;SUBSTITUTE(TRIM(F550),"'","''")&amp;"') AND lo.estado = 1 LIMIT 1)")&amp;", p_id_cliente_propietario =&gt; "&amp;IF(F550="CLIENTE",IF(TRIM(G550&amp;"")="","NULL","(SELECT id FROM cli_clientes WHERE numero_documento = '"&amp;SUBSTITUTE(TRIM(G550),"'","''")&amp;"' AND estado = 1 LIMIT 1)"),"NULL")&amp;", p_id_planta =&gt; "&amp;IF(F550="PLANTA",IF(TRIM(G550&amp;"")="","NULL","(SELECT id FROM cli_clientes WHERE numero_documento = '"&amp;SUBSTITUTE(TRIM(G550),"'","''")&amp;"'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"&amp;IF(TRIM(J550&amp;"")="","NULL","(SELECT id FROM gen_almacen WHERE upper(nombre) = upper('"&amp;SUBSTITUTE(TRIM(J550),"'","''")&amp;"') AND estado = 1 LIMIT 1)")&amp;", p_id_cliente_ubicacion =&gt; "&amp;IF(TRIM(K550&amp;"")="","NULL","(SELECT id FROM cli_clientes WHERE numero_documento = '"&amp;SUBSTITUTE(TRIM(K550),"'","''")&amp;"' AND estado = 1 LIMIT 1)")&amp;", p_id_referencia =&gt; "&amp;IF(TRIM(J550&amp;"")&lt;&gt;"","(SELECT lo.id FROM gen_lista_opciones lo JOIN gen_lista l ON l.id = lo.id_lista WHERE l.nombre = 'ReferenciaCilindro' AND upper(lo.nombre) = 'ALMACEN' AND lo.estado = 1 LIMIT 1)",IF(TRIM(K550&amp;"")&lt;&gt;"","(SELECT lo.id FROM gen_lista_opciones lo JOIN gen_lista l ON l.id = lo.id_lista WHERE l.nombre = 'ReferenciaCilindro' AND upper(lo.nombre) = 'CLIENTE' AND lo.estado = 1 LIMIT 1)","NULL"))&amp;", p_anio_fabricacion =&gt; "&amp;IF(M550&amp;""="","NULL::smallint",M550&amp;"::smallint")&amp;", p_mes_fabricacion =&gt; "&amp;IF(N550&amp;""="","NULL::smallint",N550&amp;"::smallint")&amp;", p_fecha_ultima_prueba_hidrostatica =&gt; "&amp;IF(O550&amp;""="","NULL","'"&amp;YEAR(O550)&amp;"-"&amp;TEXT(MONTH(O550),"00")&amp;"-"&amp;TEXT(DAY(O550),"00")&amp;"'")&amp;", p_numero_serie =&gt; "&amp;IF(TRIM(Q550&amp;"")="","NULL","'"&amp;SUBSTITUTE(TRIM(Q550),"'","''")&amp;"'")&amp;", p_id_marca_cilindro =&gt; "&amp;IF(TRIM(R550&amp;"")="","NULL","(SELECT lo.id FROM gen_lista_opciones lo JOIN gen_lista l ON l.id = lo.id_lista WHERE l.nombre = 'MarcaCilindro' AND upper(lo.nombre) = upper('"&amp;SUBSTITUTE(TRIM(R550),"'","''")&amp;"') AND lo.estado = 1 LIMIT 1)")&amp;", p_id_organo_inspector =&gt; "&amp;IF(TRIM(S550&amp;"")="","NULL","(SELECT lo.id FROM gen_lista_opciones lo JOIN gen_lista l ON l.id = lo.id_lista WHERE l.nombre = 'OrganoInspectorCilindro' AND upper(lo.nombre) = upper('"&amp;SUBSTITUTE(TRIM(S550),"'","''")&amp;"') AND lo.estado = 1 LIMIT 1)")&amp;", p_organo_inspector_no_aplica =&gt; "&amp;IF(S550="NO_APLICA","TRUE","FALSE")&amp;", p_presion_actual =&gt; "&amp;IF(T550&amp;""="","NULL",SUBSTITUTE(T550&amp;"",",","."))&amp;", p_tipo_valvula =&gt; "&amp;IF(TRIM(U550&amp;"")="","NULL","'"&amp;SUBSTITUTE(TRIM(U550),"'","''")&amp;"'")&amp;", p_libro_cilindro =&gt; "&amp;IF(TRIM(V550&amp;"")="","NULL","'"&amp;SUBSTITUTE(TRIM(V550),"'","''")&amp;"'")&amp;", p_pagina_libro =&gt; "&amp;IF(W550&amp;""="","NULL",SUBSTITUTE(W550&amp;"",",","."))&amp;", p_observacion =&gt; "&amp;IF(TRIM(X550&amp;"")="","NULL","'"&amp;SUBSTITUTE(TRIM(X550),"'","''")&amp;"'")&amp;") AS resultado_balon_"&amp;ROW()&amp;";")</f>
        <v/>
      </c>
    </row>
    <row r="551" ht="15.75" customHeight="1" s="64">
      <c r="A551" s="36" t="inlineStr">
        <is>
          <t>547</t>
        </is>
      </c>
      <c r="B551" s="25">
        <f>IF(AND(C551="",D551="",E551=""),"",IF(C551="","FALTA código balón",IF(D551="","FALTA tipo balón",IF(E551="","FALTA gas",IF(F551="","FALTA propietario",IF(AND(C551&lt;&gt;"",SUMPRODUCT(--($C$5:$C$1200=C551))&gt;1),"CÓDIGO BALÓN DUPLICADO",IF(AND(OR(UPPER(F551)="PLANTA",UPPER(F551)="CLIENTE"),G551=""),"FALTA doc propietario/planta",IF(AND(UPPER(F551)="PLANTA",G551="10175332796"),"PLANTA no puede ser RUC empresa","OK"))))))))</f>
        <v/>
      </c>
      <c r="C551" s="23" t="inlineStr">
        <is>
          <t>20K650007</t>
        </is>
      </c>
      <c r="D551" s="17" t="inlineStr">
        <is>
          <t>Oxígeno Medicinal 10 m³</t>
        </is>
      </c>
      <c r="E551" s="17" t="inlineStr">
        <is>
          <t>OXIGENO MEDICINAL</t>
        </is>
      </c>
      <c r="F551" s="17" t="inlineStr">
        <is>
          <t>EMPRESA</t>
        </is>
      </c>
      <c r="G551" s="23" t="inlineStr">
        <is>
          <t>10175332796</t>
        </is>
      </c>
      <c r="H551" s="25">
        <f t="array" ref="H551">IF(G551="","",IFERROR(IF(INDEX(Clientes!$D$5:$D$549,MATCH(G551,Clientes!$C$5:$C$549,0))&lt;&gt;"",INDEX(Clientes!$D$5:$D$549,MATCH(G551,Clientes!$C$5:$C$549,0)),TRIM(INDEX(Clientes!$E$5:$E$549,MATCH(G551,Clientes!$C$5:$C$549,0))&amp;" "&amp;INDEX(Clientes!$F$5:$F$549,MATCH(G551,Clientes!$C$5:$C$549,0)))),"NO EXISTE en Clientes"))</f>
        <v/>
      </c>
      <c r="I551" s="17" t="inlineStr">
        <is>
          <t>DISPONIBLE</t>
        </is>
      </c>
      <c r="J551" s="17" t="inlineStr">
        <is>
          <t>ALMACEN PRINCIPAL</t>
        </is>
      </c>
      <c r="K551" s="23" t="n"/>
      <c r="L551" s="25">
        <f t="array" ref="L551">IF(K551="","",IFERROR(IF(INDEX(Clientes!$D$5:$D$549,MATCH(K551,Clientes!$C$5:$C$549,0))&lt;&gt;"",INDEX(Clientes!$D$5:$D$549,MATCH(K551,Clientes!$C$5:$C$549,0)),TRIM(INDEX(Clientes!$E$5:$E$549,MATCH(K551,Clientes!$C$5:$C$549,0))&amp;" "&amp;INDEX(Clientes!$F$5:$F$549,MATCH(K551,Clientes!$C$5:$C$549,0)))),"NO EXISTE en Clientes"))</f>
        <v/>
      </c>
      <c r="M551" s="17" t="n"/>
      <c r="N551" s="17" t="n"/>
      <c r="O551" s="42" t="n"/>
      <c r="P551" s="39">
        <f>IF(O551&lt;&gt;"",DATE(YEAR(O551)+5,MONTH(O551),1),IF(AND(M551&lt;&gt;"",N551&lt;&gt;""),DATE(M551+5,N551,1),""))</f>
        <v/>
      </c>
      <c r="Q551" s="23" t="n"/>
      <c r="R551" s="17" t="n"/>
      <c r="S551" s="17" t="n"/>
      <c r="T551" s="17" t="n"/>
      <c r="U551" s="17" t="n"/>
      <c r="V551" s="23" t="n"/>
      <c r="W551" s="17" t="n"/>
      <c r="X551" s="17" t="n"/>
      <c r="Y551" s="28">
        <f>IF(B551&lt;&gt;"OK","","SELECT bal_crear_balon(p_codigo_balon =&gt; "&amp;IF(TRIM(C551&amp;"")="","NULL","'"&amp;SUBSTITUTE(TRIM(C551),"'","''")&amp;"'")&amp;", p_id_tipo_balon =&gt; "&amp;"(SELECT id FROM bal_tipo_balon WHERE upper(nombre) = upper('"&amp;SUBSTITUTE(TRIM(D551),"'","''")&amp;"') AND estado = 1 LIMIT 1)"&amp;", p_id_producto_gas =&gt; "&amp;"(SELECT id FROM pro_producto WHERE es_gas = TRUE AND upper(nombre) = upper('"&amp;SUBSTITUTE(TRIM(E551),"'","''")&amp;"') AND estado = 1 LIMIT 1)"&amp;", p_id_propietario =&gt; "&amp;IF(TRIM(F551&amp;"")="","NULL","(SELECT lo.id FROM gen_lista_opciones lo JOIN gen_lista l ON l.id = lo.id_lista WHERE l.nombre = 'PropietarioBalon' AND upper(lo.nombre) = upper('"&amp;SUBSTITUTE(TRIM(F551),"'","''")&amp;"') AND lo.estado = 1 LIMIT 1)")&amp;", p_id_cliente_propietario =&gt; "&amp;IF(F551="CLIENTE",IF(TRIM(G551&amp;"")="","NULL","(SELECT id FROM cli_clientes WHERE numero_documento = '"&amp;SUBSTITUTE(TRIM(G551),"'","''")&amp;"' AND estado = 1 LIMIT 1)"),"NULL")&amp;", p_id_planta =&gt; "&amp;IF(F551="PLANTA",IF(TRIM(G551&amp;"")="","NULL","(SELECT id FROM cli_clientes WHERE numero_documento = '"&amp;SUBSTITUTE(TRIM(G551),"'","''")&amp;"'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"&amp;IF(TRIM(J551&amp;"")="","NULL","(SELECT id FROM gen_almacen WHERE upper(nombre) = upper('"&amp;SUBSTITUTE(TRIM(J551),"'","''")&amp;"') AND estado = 1 LIMIT 1)")&amp;", p_id_cliente_ubicacion =&gt; "&amp;IF(TRIM(K551&amp;"")="","NULL","(SELECT id FROM cli_clientes WHERE numero_documento = '"&amp;SUBSTITUTE(TRIM(K551),"'","''")&amp;"' AND estado = 1 LIMIT 1)")&amp;", p_id_referencia =&gt; "&amp;IF(TRIM(J551&amp;"")&lt;&gt;"","(SELECT lo.id FROM gen_lista_opciones lo JOIN gen_lista l ON l.id = lo.id_lista WHERE l.nombre = 'ReferenciaCilindro' AND upper(lo.nombre) = 'ALMACEN' AND lo.estado = 1 LIMIT 1)",IF(TRIM(K551&amp;"")&lt;&gt;"","(SELECT lo.id FROM gen_lista_opciones lo JOIN gen_lista l ON l.id = lo.id_lista WHERE l.nombre = 'ReferenciaCilindro' AND upper(lo.nombre) = 'CLIENTE' AND lo.estado = 1 LIMIT 1)","NULL"))&amp;", p_anio_fabricacion =&gt; "&amp;IF(M551&amp;""="","NULL::smallint",M551&amp;"::smallint")&amp;", p_mes_fabricacion =&gt; "&amp;IF(N551&amp;""="","NULL::smallint",N551&amp;"::smallint")&amp;", p_fecha_ultima_prueba_hidrostatica =&gt; "&amp;IF(O551&amp;""="","NULL","'"&amp;YEAR(O551)&amp;"-"&amp;TEXT(MONTH(O551),"00")&amp;"-"&amp;TEXT(DAY(O551),"00")&amp;"'")&amp;", p_numero_serie =&gt; "&amp;IF(TRIM(Q551&amp;"")="","NULL","'"&amp;SUBSTITUTE(TRIM(Q551),"'","''")&amp;"'")&amp;", p_id_marca_cilindro =&gt; "&amp;IF(TRIM(R551&amp;"")="","NULL","(SELECT lo.id FROM gen_lista_opciones lo JOIN gen_lista l ON l.id = lo.id_lista WHERE l.nombre = 'MarcaCilindro' AND upper(lo.nombre) = upper('"&amp;SUBSTITUTE(TRIM(R551),"'","''")&amp;"') AND lo.estado = 1 LIMIT 1)")&amp;", p_id_organo_inspector =&gt; "&amp;IF(TRIM(S551&amp;"")="","NULL","(SELECT lo.id FROM gen_lista_opciones lo JOIN gen_lista l ON l.id = lo.id_lista WHERE l.nombre = 'OrganoInspectorCilindro' AND upper(lo.nombre) = upper('"&amp;SUBSTITUTE(TRIM(S551),"'","''")&amp;"') AND lo.estado = 1 LIMIT 1)")&amp;", p_organo_inspector_no_aplica =&gt; "&amp;IF(S551="NO_APLICA","TRUE","FALSE")&amp;", p_presion_actual =&gt; "&amp;IF(T551&amp;""="","NULL",SUBSTITUTE(T551&amp;"",",","."))&amp;", p_tipo_valvula =&gt; "&amp;IF(TRIM(U551&amp;"")="","NULL","'"&amp;SUBSTITUTE(TRIM(U551),"'","''")&amp;"'")&amp;", p_libro_cilindro =&gt; "&amp;IF(TRIM(V551&amp;"")="","NULL","'"&amp;SUBSTITUTE(TRIM(V551),"'","''")&amp;"'")&amp;", p_pagina_libro =&gt; "&amp;IF(W551&amp;""="","NULL",SUBSTITUTE(W551&amp;"",",","."))&amp;", p_observacion =&gt; "&amp;IF(TRIM(X551&amp;"")="","NULL","'"&amp;SUBSTITUTE(TRIM(X551),"'","''")&amp;"'")&amp;") AS resultado_balon_"&amp;ROW()&amp;";")</f>
        <v/>
      </c>
    </row>
    <row r="552" ht="15.75" customHeight="1" s="64">
      <c r="A552" s="36" t="inlineStr">
        <is>
          <t>548</t>
        </is>
      </c>
      <c r="B552" s="25">
        <f>IF(AND(C552="",D552="",E552=""),"",IF(C552="","FALTA código balón",IF(D552="","FALTA tipo balón",IF(E552="","FALTA gas",IF(F552="","FALTA propietario",IF(AND(C552&lt;&gt;"",SUMPRODUCT(--($C$5:$C$1200=C552))&gt;1),"CÓDIGO BALÓN DUPLICADO",IF(AND(OR(UPPER(F552)="PLANTA",UPPER(F552)="CLIENTE"),G552=""),"FALTA doc propietario/planta",IF(AND(UPPER(F552)="PLANTA",G552="10175332796"),"PLANTA no puede ser RUC empresa","OK"))))))))</f>
        <v/>
      </c>
      <c r="C552" s="23" t="inlineStr">
        <is>
          <t>K4853140</t>
        </is>
      </c>
      <c r="D552" s="17" t="inlineStr">
        <is>
          <t>Oxígeno Medicinal 10 m³</t>
        </is>
      </c>
      <c r="E552" s="17" t="inlineStr">
        <is>
          <t>OXIGENO MEDICINAL</t>
        </is>
      </c>
      <c r="F552" s="17" t="inlineStr">
        <is>
          <t>EMPRESA</t>
        </is>
      </c>
      <c r="G552" s="23" t="inlineStr">
        <is>
          <t>10175332796</t>
        </is>
      </c>
      <c r="H552" s="25">
        <f t="array" ref="H552">IF(G552="","",IFERROR(IF(INDEX(Clientes!$D$5:$D$549,MATCH(G552,Clientes!$C$5:$C$549,0))&lt;&gt;"",INDEX(Clientes!$D$5:$D$549,MATCH(G552,Clientes!$C$5:$C$549,0)),TRIM(INDEX(Clientes!$E$5:$E$549,MATCH(G552,Clientes!$C$5:$C$549,0))&amp;" "&amp;INDEX(Clientes!$F$5:$F$549,MATCH(G552,Clientes!$C$5:$C$549,0)))),"NO EXISTE en Clientes"))</f>
        <v/>
      </c>
      <c r="I552" s="17" t="inlineStr">
        <is>
          <t>DISPONIBLE</t>
        </is>
      </c>
      <c r="J552" s="17" t="inlineStr">
        <is>
          <t>ALMACEN PRINCIPAL</t>
        </is>
      </c>
      <c r="K552" s="23" t="n"/>
      <c r="L552" s="25">
        <f t="array" ref="L552">IF(K552="","",IFERROR(IF(INDEX(Clientes!$D$5:$D$549,MATCH(K552,Clientes!$C$5:$C$549,0))&lt;&gt;"",INDEX(Clientes!$D$5:$D$549,MATCH(K552,Clientes!$C$5:$C$549,0)),TRIM(INDEX(Clientes!$E$5:$E$549,MATCH(K552,Clientes!$C$5:$C$549,0))&amp;" "&amp;INDEX(Clientes!$F$5:$F$549,MATCH(K552,Clientes!$C$5:$C$549,0)))),"NO EXISTE en Clientes"))</f>
        <v/>
      </c>
      <c r="M552" s="17" t="n"/>
      <c r="N552" s="17" t="n"/>
      <c r="O552" s="42" t="n"/>
      <c r="P552" s="39">
        <f>IF(O552&lt;&gt;"",DATE(YEAR(O552)+5,MONTH(O552),1),IF(AND(M552&lt;&gt;"",N552&lt;&gt;""),DATE(M552+5,N552,1),""))</f>
        <v/>
      </c>
      <c r="Q552" s="23" t="n"/>
      <c r="R552" s="17" t="n"/>
      <c r="S552" s="17" t="n"/>
      <c r="T552" s="17" t="n"/>
      <c r="U552" s="17" t="n"/>
      <c r="V552" s="23" t="n"/>
      <c r="W552" s="17" t="n"/>
      <c r="X552" s="17" t="n"/>
      <c r="Y552" s="28">
        <f>IF(B552&lt;&gt;"OK","","SELECT bal_crear_balon(p_codigo_balon =&gt; "&amp;IF(TRIM(C552&amp;"")="","NULL","'"&amp;SUBSTITUTE(TRIM(C552),"'","''")&amp;"'")&amp;", p_id_tipo_balon =&gt; "&amp;"(SELECT id FROM bal_tipo_balon WHERE upper(nombre) = upper('"&amp;SUBSTITUTE(TRIM(D552),"'","''")&amp;"') AND estado = 1 LIMIT 1)"&amp;", p_id_producto_gas =&gt; "&amp;"(SELECT id FROM pro_producto WHERE es_gas = TRUE AND upper(nombre) = upper('"&amp;SUBSTITUTE(TRIM(E552),"'","''")&amp;"') AND estado = 1 LIMIT 1)"&amp;", p_id_propietario =&gt; "&amp;IF(TRIM(F552&amp;"")="","NULL","(SELECT lo.id FROM gen_lista_opciones lo JOIN gen_lista l ON l.id = lo.id_lista WHERE l.nombre = 'PropietarioBalon' AND upper(lo.nombre) = upper('"&amp;SUBSTITUTE(TRIM(F552),"'","''")&amp;"') AND lo.estado = 1 LIMIT 1)")&amp;", p_id_cliente_propietario =&gt; "&amp;IF(F552="CLIENTE",IF(TRIM(G552&amp;"")="","NULL","(SELECT id FROM cli_clientes WHERE numero_documento = '"&amp;SUBSTITUTE(TRIM(G552),"'","''")&amp;"' AND estado = 1 LIMIT 1)"),"NULL")&amp;", p_id_planta =&gt; "&amp;IF(F552="PLANTA",IF(TRIM(G552&amp;"")="","NULL","(SELECT id FROM cli_clientes WHERE numero_documento = '"&amp;SUBSTITUTE(TRIM(G552),"'","''")&amp;"'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"&amp;IF(TRIM(J552&amp;"")="","NULL","(SELECT id FROM gen_almacen WHERE upper(nombre) = upper('"&amp;SUBSTITUTE(TRIM(J552),"'","''")&amp;"') AND estado = 1 LIMIT 1)")&amp;", p_id_cliente_ubicacion =&gt; "&amp;IF(TRIM(K552&amp;"")="","NULL","(SELECT id FROM cli_clientes WHERE numero_documento = '"&amp;SUBSTITUTE(TRIM(K552),"'","''")&amp;"' AND estado = 1 LIMIT 1)")&amp;", p_id_referencia =&gt; "&amp;IF(TRIM(J552&amp;"")&lt;&gt;"","(SELECT lo.id FROM gen_lista_opciones lo JOIN gen_lista l ON l.id = lo.id_lista WHERE l.nombre = 'ReferenciaCilindro' AND upper(lo.nombre) = 'ALMACEN' AND lo.estado = 1 LIMIT 1)",IF(TRIM(K552&amp;"")&lt;&gt;"","(SELECT lo.id FROM gen_lista_opciones lo JOIN gen_lista l ON l.id = lo.id_lista WHERE l.nombre = 'ReferenciaCilindro' AND upper(lo.nombre) = 'CLIENTE' AND lo.estado = 1 LIMIT 1)","NULL"))&amp;", p_anio_fabricacion =&gt; "&amp;IF(M552&amp;""="","NULL::smallint",M552&amp;"::smallint")&amp;", p_mes_fabricacion =&gt; "&amp;IF(N552&amp;""="","NULL::smallint",N552&amp;"::smallint")&amp;", p_fecha_ultima_prueba_hidrostatica =&gt; "&amp;IF(O552&amp;""="","NULL","'"&amp;YEAR(O552)&amp;"-"&amp;TEXT(MONTH(O552),"00")&amp;"-"&amp;TEXT(DAY(O552),"00")&amp;"'")&amp;", p_numero_serie =&gt; "&amp;IF(TRIM(Q552&amp;"")="","NULL","'"&amp;SUBSTITUTE(TRIM(Q552),"'","''")&amp;"'")&amp;", p_id_marca_cilindro =&gt; "&amp;IF(TRIM(R552&amp;"")="","NULL","(SELECT lo.id FROM gen_lista_opciones lo JOIN gen_lista l ON l.id = lo.id_lista WHERE l.nombre = 'MarcaCilindro' AND upper(lo.nombre) = upper('"&amp;SUBSTITUTE(TRIM(R552),"'","''")&amp;"') AND lo.estado = 1 LIMIT 1)")&amp;", p_id_organo_inspector =&gt; "&amp;IF(TRIM(S552&amp;"")="","NULL","(SELECT lo.id FROM gen_lista_opciones lo JOIN gen_lista l ON l.id = lo.id_lista WHERE l.nombre = 'OrganoInspectorCilindro' AND upper(lo.nombre) = upper('"&amp;SUBSTITUTE(TRIM(S552),"'","''")&amp;"') AND lo.estado = 1 LIMIT 1)")&amp;", p_organo_inspector_no_aplica =&gt; "&amp;IF(S552="NO_APLICA","TRUE","FALSE")&amp;", p_presion_actual =&gt; "&amp;IF(T552&amp;""="","NULL",SUBSTITUTE(T552&amp;"",",","."))&amp;", p_tipo_valvula =&gt; "&amp;IF(TRIM(U552&amp;"")="","NULL","'"&amp;SUBSTITUTE(TRIM(U552),"'","''")&amp;"'")&amp;", p_libro_cilindro =&gt; "&amp;IF(TRIM(V552&amp;"")="","NULL","'"&amp;SUBSTITUTE(TRIM(V552),"'","''")&amp;"'")&amp;", p_pagina_libro =&gt; "&amp;IF(W552&amp;""="","NULL",SUBSTITUTE(W552&amp;"",",","."))&amp;", p_observacion =&gt; "&amp;IF(TRIM(X552&amp;"")="","NULL","'"&amp;SUBSTITUTE(TRIM(X552),"'","''")&amp;"'")&amp;") AS resultado_balon_"&amp;ROW()&amp;";")</f>
        <v/>
      </c>
    </row>
    <row r="553" ht="15.75" customHeight="1" s="64">
      <c r="A553" s="36" t="inlineStr">
        <is>
          <t>549</t>
        </is>
      </c>
      <c r="B553" s="25">
        <f>IF(AND(C553="",D553="",E553=""),"",IF(C553="","FALTA código balón",IF(D553="","FALTA tipo balón",IF(E553="","FALTA gas",IF(F553="","FALTA propietario",IF(AND(C553&lt;&gt;"",SUMPRODUCT(--($C$5:$C$1200=C553))&gt;1),"CÓDIGO BALÓN DUPLICADO",IF(AND(OR(UPPER(F553)="PLANTA",UPPER(F553)="CLIENTE"),G553=""),"FALTA doc propietario/planta",IF(AND(UPPER(F553)="PLANTA",G553="10175332796"),"PLANTA no puede ser RUC empresa","OK"))))))))</f>
        <v/>
      </c>
      <c r="C553" s="23" t="inlineStr">
        <is>
          <t>K5606146</t>
        </is>
      </c>
      <c r="D553" s="17" t="inlineStr">
        <is>
          <t>Oxígeno Medicinal 10 m³</t>
        </is>
      </c>
      <c r="E553" s="17" t="inlineStr">
        <is>
          <t>OXIGENO MEDICINAL</t>
        </is>
      </c>
      <c r="F553" s="17" t="inlineStr">
        <is>
          <t>EMPRESA</t>
        </is>
      </c>
      <c r="G553" s="23" t="inlineStr">
        <is>
          <t>10175332796</t>
        </is>
      </c>
      <c r="H553" s="25">
        <f t="array" ref="H553">IF(G553="","",IFERROR(IF(INDEX(Clientes!$D$5:$D$549,MATCH(G553,Clientes!$C$5:$C$549,0))&lt;&gt;"",INDEX(Clientes!$D$5:$D$549,MATCH(G553,Clientes!$C$5:$C$549,0)),TRIM(INDEX(Clientes!$E$5:$E$549,MATCH(G553,Clientes!$C$5:$C$549,0))&amp;" "&amp;INDEX(Clientes!$F$5:$F$549,MATCH(G553,Clientes!$C$5:$C$549,0)))),"NO EXISTE en Clientes"))</f>
        <v/>
      </c>
      <c r="I553" s="17" t="inlineStr">
        <is>
          <t>DISPONIBLE</t>
        </is>
      </c>
      <c r="J553" s="17" t="inlineStr">
        <is>
          <t>ALMACEN PRINCIPAL</t>
        </is>
      </c>
      <c r="K553" s="23" t="n"/>
      <c r="L553" s="25">
        <f t="array" ref="L553">IF(K553="","",IFERROR(IF(INDEX(Clientes!$D$5:$D$549,MATCH(K553,Clientes!$C$5:$C$549,0))&lt;&gt;"",INDEX(Clientes!$D$5:$D$549,MATCH(K553,Clientes!$C$5:$C$549,0)),TRIM(INDEX(Clientes!$E$5:$E$549,MATCH(K553,Clientes!$C$5:$C$549,0))&amp;" "&amp;INDEX(Clientes!$F$5:$F$549,MATCH(K553,Clientes!$C$5:$C$549,0)))),"NO EXISTE en Clientes"))</f>
        <v/>
      </c>
      <c r="M553" s="17" t="n"/>
      <c r="N553" s="17" t="n"/>
      <c r="O553" s="42" t="n"/>
      <c r="P553" s="39">
        <f>IF(O553&lt;&gt;"",DATE(YEAR(O553)+5,MONTH(O553),1),IF(AND(M553&lt;&gt;"",N553&lt;&gt;""),DATE(M553+5,N553,1),""))</f>
        <v/>
      </c>
      <c r="Q553" s="23" t="n"/>
      <c r="R553" s="17" t="n"/>
      <c r="S553" s="17" t="n"/>
      <c r="T553" s="17" t="n"/>
      <c r="U553" s="17" t="n"/>
      <c r="V553" s="23" t="n"/>
      <c r="W553" s="17" t="n"/>
      <c r="X553" s="17" t="n"/>
      <c r="Y553" s="28">
        <f>IF(B553&lt;&gt;"OK","","SELECT bal_crear_balon(p_codigo_balon =&gt; "&amp;IF(TRIM(C553&amp;"")="","NULL","'"&amp;SUBSTITUTE(TRIM(C553),"'","''")&amp;"'")&amp;", p_id_tipo_balon =&gt; "&amp;"(SELECT id FROM bal_tipo_balon WHERE upper(nombre) = upper('"&amp;SUBSTITUTE(TRIM(D553),"'","''")&amp;"') AND estado = 1 LIMIT 1)"&amp;", p_id_producto_gas =&gt; "&amp;"(SELECT id FROM pro_producto WHERE es_gas = TRUE AND upper(nombre) = upper('"&amp;SUBSTITUTE(TRIM(E553),"'","''")&amp;"') AND estado = 1 LIMIT 1)"&amp;", p_id_propietario =&gt; "&amp;IF(TRIM(F553&amp;"")="","NULL","(SELECT lo.id FROM gen_lista_opciones lo JOIN gen_lista l ON l.id = lo.id_lista WHERE l.nombre = 'PropietarioBalon' AND upper(lo.nombre) = upper('"&amp;SUBSTITUTE(TRIM(F553),"'","''")&amp;"') AND lo.estado = 1 LIMIT 1)")&amp;", p_id_cliente_propietario =&gt; "&amp;IF(F553="CLIENTE",IF(TRIM(G553&amp;"")="","NULL","(SELECT id FROM cli_clientes WHERE numero_documento = '"&amp;SUBSTITUTE(TRIM(G553),"'","''")&amp;"' AND estado = 1 LIMIT 1)"),"NULL")&amp;", p_id_planta =&gt; "&amp;IF(F553="PLANTA",IF(TRIM(G553&amp;"")="","NULL","(SELECT id FROM cli_clientes WHERE numero_documento = '"&amp;SUBSTITUTE(TRIM(G553),"'","''")&amp;"'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"&amp;IF(TRIM(J553&amp;"")="","NULL","(SELECT id FROM gen_almacen WHERE upper(nombre) = upper('"&amp;SUBSTITUTE(TRIM(J553),"'","''")&amp;"') AND estado = 1 LIMIT 1)")&amp;", p_id_cliente_ubicacion =&gt; "&amp;IF(TRIM(K553&amp;"")="","NULL","(SELECT id FROM cli_clientes WHERE numero_documento = '"&amp;SUBSTITUTE(TRIM(K553),"'","''")&amp;"' AND estado = 1 LIMIT 1)")&amp;", p_id_referencia =&gt; "&amp;IF(TRIM(J553&amp;"")&lt;&gt;"","(SELECT lo.id FROM gen_lista_opciones lo JOIN gen_lista l ON l.id = lo.id_lista WHERE l.nombre = 'ReferenciaCilindro' AND upper(lo.nombre) = 'ALMACEN' AND lo.estado = 1 LIMIT 1)",IF(TRIM(K553&amp;"")&lt;&gt;"","(SELECT lo.id FROM gen_lista_opciones lo JOIN gen_lista l ON l.id = lo.id_lista WHERE l.nombre = 'ReferenciaCilindro' AND upper(lo.nombre) = 'CLIENTE' AND lo.estado = 1 LIMIT 1)","NULL"))&amp;", p_anio_fabricacion =&gt; "&amp;IF(M553&amp;""="","NULL::smallint",M553&amp;"::smallint")&amp;", p_mes_fabricacion =&gt; "&amp;IF(N553&amp;""="","NULL::smallint",N553&amp;"::smallint")&amp;", p_fecha_ultima_prueba_hidrostatica =&gt; "&amp;IF(O553&amp;""="","NULL","'"&amp;YEAR(O553)&amp;"-"&amp;TEXT(MONTH(O553),"00")&amp;"-"&amp;TEXT(DAY(O553),"00")&amp;"'")&amp;", p_numero_serie =&gt; "&amp;IF(TRIM(Q553&amp;"")="","NULL","'"&amp;SUBSTITUTE(TRIM(Q553),"'","''")&amp;"'")&amp;", p_id_marca_cilindro =&gt; "&amp;IF(TRIM(R553&amp;"")="","NULL","(SELECT lo.id FROM gen_lista_opciones lo JOIN gen_lista l ON l.id = lo.id_lista WHERE l.nombre = 'MarcaCilindro' AND upper(lo.nombre) = upper('"&amp;SUBSTITUTE(TRIM(R553),"'","''")&amp;"') AND lo.estado = 1 LIMIT 1)")&amp;", p_id_organo_inspector =&gt; "&amp;IF(TRIM(S553&amp;"")="","NULL","(SELECT lo.id FROM gen_lista_opciones lo JOIN gen_lista l ON l.id = lo.id_lista WHERE l.nombre = 'OrganoInspectorCilindro' AND upper(lo.nombre) = upper('"&amp;SUBSTITUTE(TRIM(S553),"'","''")&amp;"') AND lo.estado = 1 LIMIT 1)")&amp;", p_organo_inspector_no_aplica =&gt; "&amp;IF(S553="NO_APLICA","TRUE","FALSE")&amp;", p_presion_actual =&gt; "&amp;IF(T553&amp;""="","NULL",SUBSTITUTE(T553&amp;"",",","."))&amp;", p_tipo_valvula =&gt; "&amp;IF(TRIM(U553&amp;"")="","NULL","'"&amp;SUBSTITUTE(TRIM(U553),"'","''")&amp;"'")&amp;", p_libro_cilindro =&gt; "&amp;IF(TRIM(V553&amp;"")="","NULL","'"&amp;SUBSTITUTE(TRIM(V553),"'","''")&amp;"'")&amp;", p_pagina_libro =&gt; "&amp;IF(W553&amp;""="","NULL",SUBSTITUTE(W553&amp;"",",","."))&amp;", p_observacion =&gt; "&amp;IF(TRIM(X553&amp;"")="","NULL","'"&amp;SUBSTITUTE(TRIM(X553),"'","''")&amp;"'")&amp;") AS resultado_balon_"&amp;ROW()&amp;";")</f>
        <v/>
      </c>
    </row>
    <row r="554" ht="15.75" customHeight="1" s="64">
      <c r="A554" s="36" t="inlineStr">
        <is>
          <t>550</t>
        </is>
      </c>
      <c r="B554" s="25">
        <f>IF(AND(C554="",D554="",E554=""),"",IF(C554="","FALTA código balón",IF(D554="","FALTA tipo balón",IF(E554="","FALTA gas",IF(F554="","FALTA propietario",IF(AND(C554&lt;&gt;"",SUMPRODUCT(--($C$5:$C$1200=C554))&gt;1),"CÓDIGO BALÓN DUPLICADO",IF(AND(OR(UPPER(F554)="PLANTA",UPPER(F554)="CLIENTE"),G554=""),"FALTA doc propietario/planta",IF(AND(UPPER(F554)="PLANTA",G554="10175332796"),"PLANTA no puede ser RUC empresa","OK"))))))))</f>
        <v/>
      </c>
      <c r="C554" s="23" t="inlineStr">
        <is>
          <t>20K646167</t>
        </is>
      </c>
      <c r="D554" s="17" t="inlineStr">
        <is>
          <t>Oxígeno Medicinal 10 m³</t>
        </is>
      </c>
      <c r="E554" s="17" t="inlineStr">
        <is>
          <t>OXIGENO MEDICINAL</t>
        </is>
      </c>
      <c r="F554" s="17" t="inlineStr">
        <is>
          <t>EMPRESA</t>
        </is>
      </c>
      <c r="G554" s="23" t="inlineStr">
        <is>
          <t>10175332796</t>
        </is>
      </c>
      <c r="H554" s="25">
        <f t="array" ref="H554">IF(G554="","",IFERROR(IF(INDEX(Clientes!$D$5:$D$549,MATCH(G554,Clientes!$C$5:$C$549,0))&lt;&gt;"",INDEX(Clientes!$D$5:$D$549,MATCH(G554,Clientes!$C$5:$C$549,0)),TRIM(INDEX(Clientes!$E$5:$E$549,MATCH(G554,Clientes!$C$5:$C$549,0))&amp;" "&amp;INDEX(Clientes!$F$5:$F$549,MATCH(G554,Clientes!$C$5:$C$549,0)))),"NO EXISTE en Clientes"))</f>
        <v/>
      </c>
      <c r="I554" s="17" t="inlineStr">
        <is>
          <t>DISPONIBLE</t>
        </is>
      </c>
      <c r="J554" s="17" t="inlineStr">
        <is>
          <t>ALMACEN PRINCIPAL</t>
        </is>
      </c>
      <c r="K554" s="23" t="n"/>
      <c r="L554" s="25">
        <f t="array" ref="L554">IF(K554="","",IFERROR(IF(INDEX(Clientes!$D$5:$D$549,MATCH(K554,Clientes!$C$5:$C$549,0))&lt;&gt;"",INDEX(Clientes!$D$5:$D$549,MATCH(K554,Clientes!$C$5:$C$549,0)),TRIM(INDEX(Clientes!$E$5:$E$549,MATCH(K554,Clientes!$C$5:$C$549,0))&amp;" "&amp;INDEX(Clientes!$F$5:$F$549,MATCH(K554,Clientes!$C$5:$C$549,0)))),"NO EXISTE en Clientes"))</f>
        <v/>
      </c>
      <c r="M554" s="17" t="n"/>
      <c r="N554" s="17" t="n"/>
      <c r="O554" s="42" t="n"/>
      <c r="P554" s="39">
        <f>IF(O554&lt;&gt;"",DATE(YEAR(O554)+5,MONTH(O554),1),IF(AND(M554&lt;&gt;"",N554&lt;&gt;""),DATE(M554+5,N554,1),""))</f>
        <v/>
      </c>
      <c r="Q554" s="23" t="n"/>
      <c r="R554" s="17" t="n"/>
      <c r="S554" s="17" t="n"/>
      <c r="T554" s="17" t="n"/>
      <c r="U554" s="17" t="n"/>
      <c r="V554" s="23" t="n"/>
      <c r="W554" s="17" t="n"/>
      <c r="X554" s="17" t="n"/>
      <c r="Y554" s="28">
        <f>IF(B554&lt;&gt;"OK","","SELECT bal_crear_balon(p_codigo_balon =&gt; "&amp;IF(TRIM(C554&amp;"")="","NULL","'"&amp;SUBSTITUTE(TRIM(C554),"'","''")&amp;"'")&amp;", p_id_tipo_balon =&gt; "&amp;"(SELECT id FROM bal_tipo_balon WHERE upper(nombre) = upper('"&amp;SUBSTITUTE(TRIM(D554),"'","''")&amp;"') AND estado = 1 LIMIT 1)"&amp;", p_id_producto_gas =&gt; "&amp;"(SELECT id FROM pro_producto WHERE es_gas = TRUE AND upper(nombre) = upper('"&amp;SUBSTITUTE(TRIM(E554),"'","''")&amp;"') AND estado = 1 LIMIT 1)"&amp;", p_id_propietario =&gt; "&amp;IF(TRIM(F554&amp;"")="","NULL","(SELECT lo.id FROM gen_lista_opciones lo JOIN gen_lista l ON l.id = lo.id_lista WHERE l.nombre = 'PropietarioBalon' AND upper(lo.nombre) = upper('"&amp;SUBSTITUTE(TRIM(F554),"'","''")&amp;"') AND lo.estado = 1 LIMIT 1)")&amp;", p_id_cliente_propietario =&gt; "&amp;IF(F554="CLIENTE",IF(TRIM(G554&amp;"")="","NULL","(SELECT id FROM cli_clientes WHERE numero_documento = '"&amp;SUBSTITUTE(TRIM(G554),"'","''")&amp;"' AND estado = 1 LIMIT 1)"),"NULL")&amp;", p_id_planta =&gt; "&amp;IF(F554="PLANTA",IF(TRIM(G554&amp;"")="","NULL","(SELECT id FROM cli_clientes WHERE numero_documento = '"&amp;SUBSTITUTE(TRIM(G554),"'","''")&amp;"'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"&amp;IF(TRIM(J554&amp;"")="","NULL","(SELECT id FROM gen_almacen WHERE upper(nombre) = upper('"&amp;SUBSTITUTE(TRIM(J554),"'","''")&amp;"') AND estado = 1 LIMIT 1)")&amp;", p_id_cliente_ubicacion =&gt; "&amp;IF(TRIM(K554&amp;"")="","NULL","(SELECT id FROM cli_clientes WHERE numero_documento = '"&amp;SUBSTITUTE(TRIM(K554),"'","''")&amp;"' AND estado = 1 LIMIT 1)")&amp;", p_id_referencia =&gt; "&amp;IF(TRIM(J554&amp;"")&lt;&gt;"","(SELECT lo.id FROM gen_lista_opciones lo JOIN gen_lista l ON l.id = lo.id_lista WHERE l.nombre = 'ReferenciaCilindro' AND upper(lo.nombre) = 'ALMACEN' AND lo.estado = 1 LIMIT 1)",IF(TRIM(K554&amp;"")&lt;&gt;"","(SELECT lo.id FROM gen_lista_opciones lo JOIN gen_lista l ON l.id = lo.id_lista WHERE l.nombre = 'ReferenciaCilindro' AND upper(lo.nombre) = 'CLIENTE' AND lo.estado = 1 LIMIT 1)","NULL"))&amp;", p_anio_fabricacion =&gt; "&amp;IF(M554&amp;""="","NULL::smallint",M554&amp;"::smallint")&amp;", p_mes_fabricacion =&gt; "&amp;IF(N554&amp;""="","NULL::smallint",N554&amp;"::smallint")&amp;", p_fecha_ultima_prueba_hidrostatica =&gt; "&amp;IF(O554&amp;""="","NULL","'"&amp;YEAR(O554)&amp;"-"&amp;TEXT(MONTH(O554),"00")&amp;"-"&amp;TEXT(DAY(O554),"00")&amp;"'")&amp;", p_numero_serie =&gt; "&amp;IF(TRIM(Q554&amp;"")="","NULL","'"&amp;SUBSTITUTE(TRIM(Q554),"'","''")&amp;"'")&amp;", p_id_marca_cilindro =&gt; "&amp;IF(TRIM(R554&amp;"")="","NULL","(SELECT lo.id FROM gen_lista_opciones lo JOIN gen_lista l ON l.id = lo.id_lista WHERE l.nombre = 'MarcaCilindro' AND upper(lo.nombre) = upper('"&amp;SUBSTITUTE(TRIM(R554),"'","''")&amp;"') AND lo.estado = 1 LIMIT 1)")&amp;", p_id_organo_inspector =&gt; "&amp;IF(TRIM(S554&amp;"")="","NULL","(SELECT lo.id FROM gen_lista_opciones lo JOIN gen_lista l ON l.id = lo.id_lista WHERE l.nombre = 'OrganoInspectorCilindro' AND upper(lo.nombre) = upper('"&amp;SUBSTITUTE(TRIM(S554),"'","''")&amp;"') AND lo.estado = 1 LIMIT 1)")&amp;", p_organo_inspector_no_aplica =&gt; "&amp;IF(S554="NO_APLICA","TRUE","FALSE")&amp;", p_presion_actual =&gt; "&amp;IF(T554&amp;""="","NULL",SUBSTITUTE(T554&amp;"",",","."))&amp;", p_tipo_valvula =&gt; "&amp;IF(TRIM(U554&amp;"")="","NULL","'"&amp;SUBSTITUTE(TRIM(U554),"'","''")&amp;"'")&amp;", p_libro_cilindro =&gt; "&amp;IF(TRIM(V554&amp;"")="","NULL","'"&amp;SUBSTITUTE(TRIM(V554),"'","''")&amp;"'")&amp;", p_pagina_libro =&gt; "&amp;IF(W554&amp;""="","NULL",SUBSTITUTE(W554&amp;"",",","."))&amp;", p_observacion =&gt; "&amp;IF(TRIM(X554&amp;"")="","NULL","'"&amp;SUBSTITUTE(TRIM(X554),"'","''")&amp;"'")&amp;") AS resultado_balon_"&amp;ROW()&amp;";")</f>
        <v/>
      </c>
    </row>
    <row r="555" ht="15.75" customHeight="1" s="64">
      <c r="A555" s="36" t="inlineStr">
        <is>
          <t>551</t>
        </is>
      </c>
      <c r="B555" s="25">
        <f>IF(AND(C555="",D555="",E555=""),"",IF(C555="","FALTA código balón",IF(D555="","FALTA tipo balón",IF(E555="","FALTA gas",IF(F555="","FALTA propietario",IF(AND(C555&lt;&gt;"",SUMPRODUCT(--($C$5:$C$1200=C555))&gt;1),"CÓDIGO BALÓN DUPLICADO",IF(AND(OR(UPPER(F555)="PLANTA",UPPER(F555)="CLIENTE"),G555=""),"FALTA doc propietario/planta",IF(AND(UPPER(F555)="PLANTA",G555="10175332796"),"PLANTA no puede ser RUC empresa","OK"))))))))</f>
        <v/>
      </c>
      <c r="C555" s="23" t="inlineStr">
        <is>
          <t>3135616</t>
        </is>
      </c>
      <c r="D555" s="17" t="inlineStr">
        <is>
          <t>Argón Estándar 10 m3</t>
        </is>
      </c>
      <c r="E555" s="17" t="inlineStr">
        <is>
          <t>ARGON</t>
        </is>
      </c>
      <c r="F555" s="17" t="inlineStr">
        <is>
          <t>EMPRESA</t>
        </is>
      </c>
      <c r="G555" s="23" t="inlineStr">
        <is>
          <t>10175332796</t>
        </is>
      </c>
      <c r="H555" s="25">
        <f t="array" ref="H555">IF(G555="","",IFERROR(IF(INDEX(Clientes!$D$5:$D$549,MATCH(G555,Clientes!$C$5:$C$549,0))&lt;&gt;"",INDEX(Clientes!$D$5:$D$549,MATCH(G555,Clientes!$C$5:$C$549,0)),TRIM(INDEX(Clientes!$E$5:$E$549,MATCH(G555,Clientes!$C$5:$C$549,0))&amp;" "&amp;INDEX(Clientes!$F$5:$F$549,MATCH(G555,Clientes!$C$5:$C$549,0)))),"NO EXISTE en Clientes"))</f>
        <v/>
      </c>
      <c r="I555" s="17" t="inlineStr">
        <is>
          <t>DISPONIBLE</t>
        </is>
      </c>
      <c r="J555" s="17" t="inlineStr">
        <is>
          <t>ALMACEN PRINCIPAL</t>
        </is>
      </c>
      <c r="K555" s="23" t="n"/>
      <c r="L555" s="25">
        <f t="array" ref="L555">IF(K555="","",IFERROR(IF(INDEX(Clientes!$D$5:$D$549,MATCH(K555,Clientes!$C$5:$C$549,0))&lt;&gt;"",INDEX(Clientes!$D$5:$D$549,MATCH(K555,Clientes!$C$5:$C$549,0)),TRIM(INDEX(Clientes!$E$5:$E$549,MATCH(K555,Clientes!$C$5:$C$549,0))&amp;" "&amp;INDEX(Clientes!$F$5:$F$549,MATCH(K555,Clientes!$C$5:$C$549,0)))),"NO EXISTE en Clientes"))</f>
        <v/>
      </c>
      <c r="M555" s="17" t="n"/>
      <c r="N555" s="17" t="n"/>
      <c r="O555" s="42" t="n"/>
      <c r="P555" s="39">
        <f>IF(O555&lt;&gt;"",DATE(YEAR(O555)+5,MONTH(O555),1),IF(AND(M555&lt;&gt;"",N555&lt;&gt;""),DATE(M555+5,N555,1),""))</f>
        <v/>
      </c>
      <c r="Q555" s="23" t="n"/>
      <c r="R555" s="17" t="n"/>
      <c r="S555" s="17" t="n"/>
      <c r="T555" s="17" t="n"/>
      <c r="U555" s="17" t="n"/>
      <c r="V555" s="23" t="n"/>
      <c r="W555" s="17" t="n"/>
      <c r="X555" s="17" t="n"/>
      <c r="Y555" s="28">
        <f>IF(B555&lt;&gt;"OK","","SELECT bal_crear_balon(p_codigo_balon =&gt; "&amp;IF(TRIM(C555&amp;"")="","NULL","'"&amp;SUBSTITUTE(TRIM(C555),"'","''")&amp;"'")&amp;", p_id_tipo_balon =&gt; "&amp;"(SELECT id FROM bal_tipo_balon WHERE upper(nombre) = upper('"&amp;SUBSTITUTE(TRIM(D555),"'","''")&amp;"') AND estado = 1 LIMIT 1)"&amp;", p_id_producto_gas =&gt; "&amp;"(SELECT id FROM pro_producto WHERE es_gas = TRUE AND upper(nombre) = upper('"&amp;SUBSTITUTE(TRIM(E555),"'","''")&amp;"') AND estado = 1 LIMIT 1)"&amp;", p_id_propietario =&gt; "&amp;IF(TRIM(F555&amp;"")="","NULL","(SELECT lo.id FROM gen_lista_opciones lo JOIN gen_lista l ON l.id = lo.id_lista WHERE l.nombre = 'PropietarioBalon' AND upper(lo.nombre) = upper('"&amp;SUBSTITUTE(TRIM(F555),"'","''")&amp;"') AND lo.estado = 1 LIMIT 1)")&amp;", p_id_cliente_propietario =&gt; "&amp;IF(F555="CLIENTE",IF(TRIM(G555&amp;"")="","NULL","(SELECT id FROM cli_clientes WHERE numero_documento = '"&amp;SUBSTITUTE(TRIM(G555),"'","''")&amp;"' AND estado = 1 LIMIT 1)"),"NULL")&amp;", p_id_planta =&gt; "&amp;IF(F555="PLANTA",IF(TRIM(G555&amp;"")="","NULL","(SELECT id FROM cli_clientes WHERE numero_documento = '"&amp;SUBSTITUTE(TRIM(G555),"'","''")&amp;"'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"&amp;IF(TRIM(J555&amp;"")="","NULL","(SELECT id FROM gen_almacen WHERE upper(nombre) = upper('"&amp;SUBSTITUTE(TRIM(J555),"'","''")&amp;"') AND estado = 1 LIMIT 1)")&amp;", p_id_cliente_ubicacion =&gt; "&amp;IF(TRIM(K555&amp;"")="","NULL","(SELECT id FROM cli_clientes WHERE numero_documento = '"&amp;SUBSTITUTE(TRIM(K555),"'","''")&amp;"' AND estado = 1 LIMIT 1)")&amp;", p_id_referencia =&gt; "&amp;IF(TRIM(J555&amp;"")&lt;&gt;"","(SELECT lo.id FROM gen_lista_opciones lo JOIN gen_lista l ON l.id = lo.id_lista WHERE l.nombre = 'ReferenciaCilindro' AND upper(lo.nombre) = 'ALMACEN' AND lo.estado = 1 LIMIT 1)",IF(TRIM(K555&amp;"")&lt;&gt;"","(SELECT lo.id FROM gen_lista_opciones lo JOIN gen_lista l ON l.id = lo.id_lista WHERE l.nombre = 'ReferenciaCilindro' AND upper(lo.nombre) = 'CLIENTE' AND lo.estado = 1 LIMIT 1)","NULL"))&amp;", p_anio_fabricacion =&gt; "&amp;IF(M555&amp;""="","NULL::smallint",M555&amp;"::smallint")&amp;", p_mes_fabricacion =&gt; "&amp;IF(N555&amp;""="","NULL::smallint",N555&amp;"::smallint")&amp;", p_fecha_ultima_prueba_hidrostatica =&gt; "&amp;IF(O555&amp;""="","NULL","'"&amp;YEAR(O555)&amp;"-"&amp;TEXT(MONTH(O555),"00")&amp;"-"&amp;TEXT(DAY(O555),"00")&amp;"'")&amp;", p_numero_serie =&gt; "&amp;IF(TRIM(Q555&amp;"")="","NULL","'"&amp;SUBSTITUTE(TRIM(Q555),"'","''")&amp;"'")&amp;", p_id_marca_cilindro =&gt; "&amp;IF(TRIM(R555&amp;"")="","NULL","(SELECT lo.id FROM gen_lista_opciones lo JOIN gen_lista l ON l.id = lo.id_lista WHERE l.nombre = 'MarcaCilindro' AND upper(lo.nombre) = upper('"&amp;SUBSTITUTE(TRIM(R555),"'","''")&amp;"') AND lo.estado = 1 LIMIT 1)")&amp;", p_id_organo_inspector =&gt; "&amp;IF(TRIM(S555&amp;"")="","NULL","(SELECT lo.id FROM gen_lista_opciones lo JOIN gen_lista l ON l.id = lo.id_lista WHERE l.nombre = 'OrganoInspectorCilindro' AND upper(lo.nombre) = upper('"&amp;SUBSTITUTE(TRIM(S555),"'","''")&amp;"') AND lo.estado = 1 LIMIT 1)")&amp;", p_organo_inspector_no_aplica =&gt; "&amp;IF(S555="NO_APLICA","TRUE","FALSE")&amp;", p_presion_actual =&gt; "&amp;IF(T555&amp;""="","NULL",SUBSTITUTE(T555&amp;"",",","."))&amp;", p_tipo_valvula =&gt; "&amp;IF(TRIM(U555&amp;"")="","NULL","'"&amp;SUBSTITUTE(TRIM(U555),"'","''")&amp;"'")&amp;", p_libro_cilindro =&gt; "&amp;IF(TRIM(V555&amp;"")="","NULL","'"&amp;SUBSTITUTE(TRIM(V555),"'","''")&amp;"'")&amp;", p_pagina_libro =&gt; "&amp;IF(W555&amp;""="","NULL",SUBSTITUTE(W555&amp;"",",","."))&amp;", p_observacion =&gt; "&amp;IF(TRIM(X555&amp;"")="","NULL","'"&amp;SUBSTITUTE(TRIM(X555),"'","''")&amp;"'")&amp;") AS resultado_balon_"&amp;ROW()&amp;";")</f>
        <v/>
      </c>
    </row>
    <row r="556" ht="15.75" customHeight="1" s="64">
      <c r="A556" s="36" t="inlineStr">
        <is>
          <t>552</t>
        </is>
      </c>
      <c r="B556" s="25">
        <f>IF(AND(C556="",D556="",E556=""),"",IF(C556="","FALTA código balón",IF(D556="","FALTA tipo balón",IF(E556="","FALTA gas",IF(F556="","FALTA propietario",IF(AND(C556&lt;&gt;"",SUMPRODUCT(--($C$5:$C$1200=C556))&gt;1),"CÓDIGO BALÓN DUPLICADO",IF(AND(OR(UPPER(F556)="PLANTA",UPPER(F556)="CLIENTE"),G556=""),"FALTA doc propietario/planta",IF(AND(UPPER(F556)="PLANTA",G556="10175332796"),"PLANTA no puede ser RUC empresa","OK"))))))))</f>
        <v/>
      </c>
      <c r="C556" s="23" t="inlineStr">
        <is>
          <t>K4861108</t>
        </is>
      </c>
      <c r="D556" s="17" t="inlineStr">
        <is>
          <t>Oxígeno Medicinal 10 m³</t>
        </is>
      </c>
      <c r="E556" s="17" t="inlineStr">
        <is>
          <t>OXIGENO MEDICINAL</t>
        </is>
      </c>
      <c r="F556" s="17" t="inlineStr">
        <is>
          <t>EMPRESA</t>
        </is>
      </c>
      <c r="G556" s="23" t="inlineStr">
        <is>
          <t>10175332796</t>
        </is>
      </c>
      <c r="H556" s="25">
        <f t="array" ref="H556">IF(G556="","",IFERROR(IF(INDEX(Clientes!$D$5:$D$549,MATCH(G556,Clientes!$C$5:$C$549,0))&lt;&gt;"",INDEX(Clientes!$D$5:$D$549,MATCH(G556,Clientes!$C$5:$C$549,0)),TRIM(INDEX(Clientes!$E$5:$E$549,MATCH(G556,Clientes!$C$5:$C$549,0))&amp;" "&amp;INDEX(Clientes!$F$5:$F$549,MATCH(G556,Clientes!$C$5:$C$549,0)))),"NO EXISTE en Clientes"))</f>
        <v/>
      </c>
      <c r="I556" s="17" t="inlineStr">
        <is>
          <t>DISPONIBLE</t>
        </is>
      </c>
      <c r="J556" s="17" t="inlineStr">
        <is>
          <t>ALMACEN PRINCIPAL</t>
        </is>
      </c>
      <c r="K556" s="23" t="n"/>
      <c r="L556" s="25">
        <f t="array" ref="L556">IF(K556="","",IFERROR(IF(INDEX(Clientes!$D$5:$D$549,MATCH(K556,Clientes!$C$5:$C$549,0))&lt;&gt;"",INDEX(Clientes!$D$5:$D$549,MATCH(K556,Clientes!$C$5:$C$549,0)),TRIM(INDEX(Clientes!$E$5:$E$549,MATCH(K556,Clientes!$C$5:$C$549,0))&amp;" "&amp;INDEX(Clientes!$F$5:$F$549,MATCH(K556,Clientes!$C$5:$C$549,0)))),"NO EXISTE en Clientes"))</f>
        <v/>
      </c>
      <c r="M556" s="17" t="n"/>
      <c r="N556" s="17" t="n"/>
      <c r="O556" s="42" t="n"/>
      <c r="P556" s="39">
        <f>IF(O556&lt;&gt;"",DATE(YEAR(O556)+5,MONTH(O556),1),IF(AND(M556&lt;&gt;"",N556&lt;&gt;""),DATE(M556+5,N556,1),""))</f>
        <v/>
      </c>
      <c r="Q556" s="23" t="n"/>
      <c r="R556" s="17" t="n"/>
      <c r="S556" s="17" t="n"/>
      <c r="T556" s="17" t="n"/>
      <c r="U556" s="17" t="n"/>
      <c r="V556" s="23" t="n"/>
      <c r="W556" s="17" t="n"/>
      <c r="X556" s="17" t="n"/>
      <c r="Y556" s="28">
        <f>IF(B556&lt;&gt;"OK","","SELECT bal_crear_balon(p_codigo_balon =&gt; "&amp;IF(TRIM(C556&amp;"")="","NULL","'"&amp;SUBSTITUTE(TRIM(C556),"'","''")&amp;"'")&amp;", p_id_tipo_balon =&gt; "&amp;"(SELECT id FROM bal_tipo_balon WHERE upper(nombre) = upper('"&amp;SUBSTITUTE(TRIM(D556),"'","''")&amp;"') AND estado = 1 LIMIT 1)"&amp;", p_id_producto_gas =&gt; "&amp;"(SELECT id FROM pro_producto WHERE es_gas = TRUE AND upper(nombre) = upper('"&amp;SUBSTITUTE(TRIM(E556),"'","''")&amp;"') AND estado = 1 LIMIT 1)"&amp;", p_id_propietario =&gt; "&amp;IF(TRIM(F556&amp;"")="","NULL","(SELECT lo.id FROM gen_lista_opciones lo JOIN gen_lista l ON l.id = lo.id_lista WHERE l.nombre = 'PropietarioBalon' AND upper(lo.nombre) = upper('"&amp;SUBSTITUTE(TRIM(F556),"'","''")&amp;"') AND lo.estado = 1 LIMIT 1)")&amp;", p_id_cliente_propietario =&gt; "&amp;IF(F556="CLIENTE",IF(TRIM(G556&amp;"")="","NULL","(SELECT id FROM cli_clientes WHERE numero_documento = '"&amp;SUBSTITUTE(TRIM(G556),"'","''")&amp;"' AND estado = 1 LIMIT 1)"),"NULL")&amp;", p_id_planta =&gt; "&amp;IF(F556="PLANTA",IF(TRIM(G556&amp;"")="","NULL","(SELECT id FROM cli_clientes WHERE numero_documento = '"&amp;SUBSTITUTE(TRIM(G556),"'","''")&amp;"'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"&amp;IF(TRIM(J556&amp;"")="","NULL","(SELECT id FROM gen_almacen WHERE upper(nombre) = upper('"&amp;SUBSTITUTE(TRIM(J556),"'","''")&amp;"') AND estado = 1 LIMIT 1)")&amp;", p_id_cliente_ubicacion =&gt; "&amp;IF(TRIM(K556&amp;"")="","NULL","(SELECT id FROM cli_clientes WHERE numero_documento = '"&amp;SUBSTITUTE(TRIM(K556),"'","''")&amp;"' AND estado = 1 LIMIT 1)")&amp;", p_id_referencia =&gt; "&amp;IF(TRIM(J556&amp;"")&lt;&gt;"","(SELECT lo.id FROM gen_lista_opciones lo JOIN gen_lista l ON l.id = lo.id_lista WHERE l.nombre = 'ReferenciaCilindro' AND upper(lo.nombre) = 'ALMACEN' AND lo.estado = 1 LIMIT 1)",IF(TRIM(K556&amp;"")&lt;&gt;"","(SELECT lo.id FROM gen_lista_opciones lo JOIN gen_lista l ON l.id = lo.id_lista WHERE l.nombre = 'ReferenciaCilindro' AND upper(lo.nombre) = 'CLIENTE' AND lo.estado = 1 LIMIT 1)","NULL"))&amp;", p_anio_fabricacion =&gt; "&amp;IF(M556&amp;""="","NULL::smallint",M556&amp;"::smallint")&amp;", p_mes_fabricacion =&gt; "&amp;IF(N556&amp;""="","NULL::smallint",N556&amp;"::smallint")&amp;", p_fecha_ultima_prueba_hidrostatica =&gt; "&amp;IF(O556&amp;""="","NULL","'"&amp;YEAR(O556)&amp;"-"&amp;TEXT(MONTH(O556),"00")&amp;"-"&amp;TEXT(DAY(O556),"00")&amp;"'")&amp;", p_numero_serie =&gt; "&amp;IF(TRIM(Q556&amp;"")="","NULL","'"&amp;SUBSTITUTE(TRIM(Q556),"'","''")&amp;"'")&amp;", p_id_marca_cilindro =&gt; "&amp;IF(TRIM(R556&amp;"")="","NULL","(SELECT lo.id FROM gen_lista_opciones lo JOIN gen_lista l ON l.id = lo.id_lista WHERE l.nombre = 'MarcaCilindro' AND upper(lo.nombre) = upper('"&amp;SUBSTITUTE(TRIM(R556),"'","''")&amp;"') AND lo.estado = 1 LIMIT 1)")&amp;", p_id_organo_inspector =&gt; "&amp;IF(TRIM(S556&amp;"")="","NULL","(SELECT lo.id FROM gen_lista_opciones lo JOIN gen_lista l ON l.id = lo.id_lista WHERE l.nombre = 'OrganoInspectorCilindro' AND upper(lo.nombre) = upper('"&amp;SUBSTITUTE(TRIM(S556),"'","''")&amp;"') AND lo.estado = 1 LIMIT 1)")&amp;", p_organo_inspector_no_aplica =&gt; "&amp;IF(S556="NO_APLICA","TRUE","FALSE")&amp;", p_presion_actual =&gt; "&amp;IF(T556&amp;""="","NULL",SUBSTITUTE(T556&amp;"",",","."))&amp;", p_tipo_valvula =&gt; "&amp;IF(TRIM(U556&amp;"")="","NULL","'"&amp;SUBSTITUTE(TRIM(U556),"'","''")&amp;"'")&amp;", p_libro_cilindro =&gt; "&amp;IF(TRIM(V556&amp;"")="","NULL","'"&amp;SUBSTITUTE(TRIM(V556),"'","''")&amp;"'")&amp;", p_pagina_libro =&gt; "&amp;IF(W556&amp;""="","NULL",SUBSTITUTE(W556&amp;"",",","."))&amp;", p_observacion =&gt; "&amp;IF(TRIM(X556&amp;"")="","NULL","'"&amp;SUBSTITUTE(TRIM(X556),"'","''")&amp;"'")&amp;") AS resultado_balon_"&amp;ROW()&amp;";")</f>
        <v/>
      </c>
    </row>
    <row r="557" ht="15.75" customHeight="1" s="64">
      <c r="A557" s="36" t="inlineStr">
        <is>
          <t>553</t>
        </is>
      </c>
      <c r="B557" s="25">
        <f>IF(AND(C557="",D557="",E557=""),"",IF(C557="","FALTA código balón",IF(D557="","FALTA tipo balón",IF(E557="","FALTA gas",IF(F557="","FALTA propietario",IF(AND(C557&lt;&gt;"",SUMPRODUCT(--($C$5:$C$1200=C557))&gt;1),"CÓDIGO BALÓN DUPLICADO",IF(AND(OR(UPPER(F557)="PLANTA",UPPER(F557)="CLIENTE"),G557=""),"FALTA doc propietario/planta",IF(AND(UPPER(F557)="PLANTA",G557="10175332796"),"PLANTA no puede ser RUC empresa","OK"))))))))</f>
        <v/>
      </c>
      <c r="C557" s="23" t="inlineStr">
        <is>
          <t>19S205140</t>
        </is>
      </c>
      <c r="D557" s="17" t="inlineStr">
        <is>
          <t>Oxígeno Industrial 6 m³</t>
        </is>
      </c>
      <c r="E557" s="17" t="inlineStr">
        <is>
          <t>OXIGENO INDUSTRIAL</t>
        </is>
      </c>
      <c r="F557" s="17" t="inlineStr">
        <is>
          <t>EMPRESA</t>
        </is>
      </c>
      <c r="G557" s="23" t="inlineStr">
        <is>
          <t>10175332796</t>
        </is>
      </c>
      <c r="H557" s="25">
        <f t="array" ref="H557">IF(G557="","",IFERROR(IF(INDEX(Clientes!$D$5:$D$549,MATCH(G557,Clientes!$C$5:$C$549,0))&lt;&gt;"",INDEX(Clientes!$D$5:$D$549,MATCH(G557,Clientes!$C$5:$C$549,0)),TRIM(INDEX(Clientes!$E$5:$E$549,MATCH(G557,Clientes!$C$5:$C$549,0))&amp;" "&amp;INDEX(Clientes!$F$5:$F$549,MATCH(G557,Clientes!$C$5:$C$549,0)))),"NO EXISTE en Clientes"))</f>
        <v/>
      </c>
      <c r="I557" s="17" t="inlineStr">
        <is>
          <t>EN_PODER_CLIENTE</t>
        </is>
      </c>
      <c r="J557" s="17" t="n"/>
      <c r="K557" s="23" t="inlineStr">
        <is>
          <t>44491850</t>
        </is>
      </c>
      <c r="L557" s="25">
        <f t="array" ref="L557">IF(K557="","",IFERROR(IF(INDEX(Clientes!$D$5:$D$549,MATCH(K557,Clientes!$C$5:$C$549,0))&lt;&gt;"",INDEX(Clientes!$D$5:$D$549,MATCH(K557,Clientes!$C$5:$C$549,0)),TRIM(INDEX(Clientes!$E$5:$E$549,MATCH(K557,Clientes!$C$5:$C$549,0))&amp;" "&amp;INDEX(Clientes!$F$5:$F$549,MATCH(K557,Clientes!$C$5:$C$549,0)))),"NO EXISTE en Clientes"))</f>
        <v/>
      </c>
      <c r="M557" s="17" t="n"/>
      <c r="N557" s="17" t="n"/>
      <c r="O557" s="42" t="n"/>
      <c r="P557" s="39">
        <f>IF(O557&lt;&gt;"",DATE(YEAR(O557)+5,MONTH(O557),1),IF(AND(M557&lt;&gt;"",N557&lt;&gt;""),DATE(M557+5,N557,1),""))</f>
        <v/>
      </c>
      <c r="Q557" s="23" t="n"/>
      <c r="R557" s="17" t="n"/>
      <c r="S557" s="17" t="n"/>
      <c r="T557" s="17" t="n"/>
      <c r="U557" s="17" t="n"/>
      <c r="V557" s="23" t="n"/>
      <c r="W557" s="17" t="n"/>
      <c r="X557" s="17" t="n"/>
      <c r="Y557" s="28">
        <f>IF(B557&lt;&gt;"OK","","SELECT bal_crear_balon(p_codigo_balon =&gt; "&amp;IF(TRIM(C557&amp;"")="","NULL","'"&amp;SUBSTITUTE(TRIM(C557),"'","''")&amp;"'")&amp;", p_id_tipo_balon =&gt; "&amp;"(SELECT id FROM bal_tipo_balon WHERE upper(nombre) = upper('"&amp;SUBSTITUTE(TRIM(D557),"'","''")&amp;"') AND estado = 1 LIMIT 1)"&amp;", p_id_producto_gas =&gt; "&amp;"(SELECT id FROM pro_producto WHERE es_gas = TRUE AND upper(nombre) = upper('"&amp;SUBSTITUTE(TRIM(E557),"'","''")&amp;"') AND estado = 1 LIMIT 1)"&amp;", p_id_propietario =&gt; "&amp;IF(TRIM(F557&amp;"")="","NULL","(SELECT lo.id FROM gen_lista_opciones lo JOIN gen_lista l ON l.id = lo.id_lista WHERE l.nombre = 'PropietarioBalon' AND upper(lo.nombre) = upper('"&amp;SUBSTITUTE(TRIM(F557),"'","''")&amp;"') AND lo.estado = 1 LIMIT 1)")&amp;", p_id_cliente_propietario =&gt; "&amp;IF(F557="CLIENTE",IF(TRIM(G557&amp;"")="","NULL","(SELECT id FROM cli_clientes WHERE numero_documento = '"&amp;SUBSTITUTE(TRIM(G557),"'","''")&amp;"' AND estado = 1 LIMIT 1)"),"NULL")&amp;", p_id_planta =&gt; "&amp;IF(F557="PLANTA",IF(TRIM(G557&amp;"")="","NULL","(SELECT id FROM cli_clientes WHERE numero_documento = '"&amp;SUBSTITUTE(TRIM(G557),"'","''")&amp;"'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"&amp;IF(TRIM(J557&amp;"")="","NULL","(SELECT id FROM gen_almacen WHERE upper(nombre) = upper('"&amp;SUBSTITUTE(TRIM(J557),"'","''")&amp;"') AND estado = 1 LIMIT 1)")&amp;", p_id_cliente_ubicacion =&gt; "&amp;IF(TRIM(K557&amp;"")="","NULL","(SELECT id FROM cli_clientes WHERE numero_documento = '"&amp;SUBSTITUTE(TRIM(K557),"'","''")&amp;"' AND estado = 1 LIMIT 1)")&amp;", p_id_referencia =&gt; "&amp;IF(TRIM(J557&amp;"")&lt;&gt;"","(SELECT lo.id FROM gen_lista_opciones lo JOIN gen_lista l ON l.id = lo.id_lista WHERE l.nombre = 'ReferenciaCilindro' AND upper(lo.nombre) = 'ALMACEN' AND lo.estado = 1 LIMIT 1)",IF(TRIM(K557&amp;"")&lt;&gt;"","(SELECT lo.id FROM gen_lista_opciones lo JOIN gen_lista l ON l.id = lo.id_lista WHERE l.nombre = 'ReferenciaCilindro' AND upper(lo.nombre) = 'CLIENTE' AND lo.estado = 1 LIMIT 1)","NULL"))&amp;", p_anio_fabricacion =&gt; "&amp;IF(M557&amp;""="","NULL::smallint",M557&amp;"::smallint")&amp;", p_mes_fabricacion =&gt; "&amp;IF(N557&amp;""="","NULL::smallint",N557&amp;"::smallint")&amp;", p_fecha_ultima_prueba_hidrostatica =&gt; "&amp;IF(O557&amp;""="","NULL","'"&amp;YEAR(O557)&amp;"-"&amp;TEXT(MONTH(O557),"00")&amp;"-"&amp;TEXT(DAY(O557),"00")&amp;"'")&amp;", p_numero_serie =&gt; "&amp;IF(TRIM(Q557&amp;"")="","NULL","'"&amp;SUBSTITUTE(TRIM(Q557),"'","''")&amp;"'")&amp;", p_id_marca_cilindro =&gt; "&amp;IF(TRIM(R557&amp;"")="","NULL","(SELECT lo.id FROM gen_lista_opciones lo JOIN gen_lista l ON l.id = lo.id_lista WHERE l.nombre = 'MarcaCilindro' AND upper(lo.nombre) = upper('"&amp;SUBSTITUTE(TRIM(R557),"'","''")&amp;"') AND lo.estado = 1 LIMIT 1)")&amp;", p_id_organo_inspector =&gt; "&amp;IF(TRIM(S557&amp;"")="","NULL","(SELECT lo.id FROM gen_lista_opciones lo JOIN gen_lista l ON l.id = lo.id_lista WHERE l.nombre = 'OrganoInspectorCilindro' AND upper(lo.nombre) = upper('"&amp;SUBSTITUTE(TRIM(S557),"'","''")&amp;"') AND lo.estado = 1 LIMIT 1)")&amp;", p_organo_inspector_no_aplica =&gt; "&amp;IF(S557="NO_APLICA","TRUE","FALSE")&amp;", p_presion_actual =&gt; "&amp;IF(T557&amp;""="","NULL",SUBSTITUTE(T557&amp;"",",","."))&amp;", p_tipo_valvula =&gt; "&amp;IF(TRIM(U557&amp;"")="","NULL","'"&amp;SUBSTITUTE(TRIM(U557),"'","''")&amp;"'")&amp;", p_libro_cilindro =&gt; "&amp;IF(TRIM(V557&amp;"")="","NULL","'"&amp;SUBSTITUTE(TRIM(V557),"'","''")&amp;"'")&amp;", p_pagina_libro =&gt; "&amp;IF(W557&amp;""="","NULL",SUBSTITUTE(W557&amp;"",",","."))&amp;", p_observacion =&gt; "&amp;IF(TRIM(X557&amp;"")="","NULL","'"&amp;SUBSTITUTE(TRIM(X557),"'","''")&amp;"'")&amp;") AS resultado_balon_"&amp;ROW()&amp;";")</f>
        <v/>
      </c>
    </row>
    <row r="558" ht="15.75" customHeight="1" s="64">
      <c r="A558" s="36" t="inlineStr">
        <is>
          <t>554</t>
        </is>
      </c>
      <c r="B558" s="25">
        <f>IF(AND(C558="",D558="",E558=""),"",IF(C558="","FALTA código balón",IF(D558="","FALTA tipo balón",IF(E558="","FALTA gas",IF(F558="","FALTA propietario",IF(AND(C558&lt;&gt;"",SUMPRODUCT(--($C$5:$C$1200=C558))&gt;1),"CÓDIGO BALÓN DUPLICADO",IF(AND(OR(UPPER(F558)="PLANTA",UPPER(F558)="CLIENTE"),G558=""),"FALTA doc propietario/planta",IF(AND(UPPER(F558)="PLANTA",G558="10175332796"),"PLANTA no puede ser RUC empresa","OK"))))))))</f>
        <v/>
      </c>
      <c r="C558" s="23" t="inlineStr">
        <is>
          <t>125398</t>
        </is>
      </c>
      <c r="D558" s="17" t="inlineStr">
        <is>
          <t>Oxigeno Industrial 3 m³</t>
        </is>
      </c>
      <c r="E558" s="17" t="inlineStr">
        <is>
          <t>OXIGENO INDUSTRIAL</t>
        </is>
      </c>
      <c r="F558" s="17" t="inlineStr">
        <is>
          <t>EMPRESA</t>
        </is>
      </c>
      <c r="G558" s="23" t="inlineStr">
        <is>
          <t>10175332796</t>
        </is>
      </c>
      <c r="H558" s="25">
        <f t="array" ref="H558">IF(G558="","",IFERROR(IF(INDEX(Clientes!$D$5:$D$549,MATCH(G558,Clientes!$C$5:$C$549,0))&lt;&gt;"",INDEX(Clientes!$D$5:$D$549,MATCH(G558,Clientes!$C$5:$C$549,0)),TRIM(INDEX(Clientes!$E$5:$E$549,MATCH(G558,Clientes!$C$5:$C$549,0))&amp;" "&amp;INDEX(Clientes!$F$5:$F$549,MATCH(G558,Clientes!$C$5:$C$549,0)))),"NO EXISTE en Clientes"))</f>
        <v/>
      </c>
      <c r="I558" s="17" t="inlineStr">
        <is>
          <t>EN_PODER_CLIENTE</t>
        </is>
      </c>
      <c r="J558" s="17" t="n"/>
      <c r="K558" s="23" t="inlineStr">
        <is>
          <t>10164549831</t>
        </is>
      </c>
      <c r="L558" s="25">
        <f t="array" ref="L558">IF(K558="","",IFERROR(IF(INDEX(Clientes!$D$5:$D$549,MATCH(K558,Clientes!$C$5:$C$549,0))&lt;&gt;"",INDEX(Clientes!$D$5:$D$549,MATCH(K558,Clientes!$C$5:$C$549,0)),TRIM(INDEX(Clientes!$E$5:$E$549,MATCH(K558,Clientes!$C$5:$C$549,0))&amp;" "&amp;INDEX(Clientes!$F$5:$F$549,MATCH(K558,Clientes!$C$5:$C$549,0)))),"NO EXISTE en Clientes"))</f>
        <v/>
      </c>
      <c r="M558" s="17" t="n"/>
      <c r="N558" s="17" t="n"/>
      <c r="O558" s="42" t="n"/>
      <c r="P558" s="39">
        <f>IF(O558&lt;&gt;"",DATE(YEAR(O558)+5,MONTH(O558),1),IF(AND(M558&lt;&gt;"",N558&lt;&gt;""),DATE(M558+5,N558,1),""))</f>
        <v/>
      </c>
      <c r="Q558" s="23" t="n"/>
      <c r="R558" s="17" t="n"/>
      <c r="S558" s="17" t="n"/>
      <c r="T558" s="17" t="n"/>
      <c r="U558" s="17" t="n"/>
      <c r="V558" s="23" t="n"/>
      <c r="W558" s="17" t="n"/>
      <c r="X558" s="17" t="n"/>
      <c r="Y558" s="28">
        <f>IF(B558&lt;&gt;"OK","","SELECT bal_crear_balon(p_codigo_balon =&gt; "&amp;IF(TRIM(C558&amp;"")="","NULL","'"&amp;SUBSTITUTE(TRIM(C558),"'","''")&amp;"'")&amp;", p_id_tipo_balon =&gt; "&amp;"(SELECT id FROM bal_tipo_balon WHERE upper(nombre) = upper('"&amp;SUBSTITUTE(TRIM(D558),"'","''")&amp;"') AND estado = 1 LIMIT 1)"&amp;", p_id_producto_gas =&gt; "&amp;"(SELECT id FROM pro_producto WHERE es_gas = TRUE AND upper(nombre) = upper('"&amp;SUBSTITUTE(TRIM(E558),"'","''")&amp;"') AND estado = 1 LIMIT 1)"&amp;", p_id_propietario =&gt; "&amp;IF(TRIM(F558&amp;"")="","NULL","(SELECT lo.id FROM gen_lista_opciones lo JOIN gen_lista l ON l.id = lo.id_lista WHERE l.nombre = 'PropietarioBalon' AND upper(lo.nombre) = upper('"&amp;SUBSTITUTE(TRIM(F558),"'","''")&amp;"') AND lo.estado = 1 LIMIT 1)")&amp;", p_id_cliente_propietario =&gt; "&amp;IF(F558="CLIENTE",IF(TRIM(G558&amp;"")="","NULL","(SELECT id FROM cli_clientes WHERE numero_documento = '"&amp;SUBSTITUTE(TRIM(G558),"'","''")&amp;"' AND estado = 1 LIMIT 1)"),"NULL")&amp;", p_id_planta =&gt; "&amp;IF(F558="PLANTA",IF(TRIM(G558&amp;"")="","NULL","(SELECT id FROM cli_clientes WHERE numero_documento = '"&amp;SUBSTITUTE(TRIM(G558),"'","''")&amp;"'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"&amp;IF(TRIM(J558&amp;"")="","NULL","(SELECT id FROM gen_almacen WHERE upper(nombre) = upper('"&amp;SUBSTITUTE(TRIM(J558),"'","''")&amp;"') AND estado = 1 LIMIT 1)")&amp;", p_id_cliente_ubicacion =&gt; "&amp;IF(TRIM(K558&amp;"")="","NULL","(SELECT id FROM cli_clientes WHERE numero_documento = '"&amp;SUBSTITUTE(TRIM(K558),"'","''")&amp;"' AND estado = 1 LIMIT 1)")&amp;", p_id_referencia =&gt; "&amp;IF(TRIM(J558&amp;"")&lt;&gt;"","(SELECT lo.id FROM gen_lista_opciones lo JOIN gen_lista l ON l.id = lo.id_lista WHERE l.nombre = 'ReferenciaCilindro' AND upper(lo.nombre) = 'ALMACEN' AND lo.estado = 1 LIMIT 1)",IF(TRIM(K558&amp;"")&lt;&gt;"","(SELECT lo.id FROM gen_lista_opciones lo JOIN gen_lista l ON l.id = lo.id_lista WHERE l.nombre = 'ReferenciaCilindro' AND upper(lo.nombre) = 'CLIENTE' AND lo.estado = 1 LIMIT 1)","NULL"))&amp;", p_anio_fabricacion =&gt; "&amp;IF(M558&amp;""="","NULL::smallint",M558&amp;"::smallint")&amp;", p_mes_fabricacion =&gt; "&amp;IF(N558&amp;""="","NULL::smallint",N558&amp;"::smallint")&amp;", p_fecha_ultima_prueba_hidrostatica =&gt; "&amp;IF(O558&amp;""="","NULL","'"&amp;YEAR(O558)&amp;"-"&amp;TEXT(MONTH(O558),"00")&amp;"-"&amp;TEXT(DAY(O558),"00")&amp;"'")&amp;", p_numero_serie =&gt; "&amp;IF(TRIM(Q558&amp;"")="","NULL","'"&amp;SUBSTITUTE(TRIM(Q558),"'","''")&amp;"'")&amp;", p_id_marca_cilindro =&gt; "&amp;IF(TRIM(R558&amp;"")="","NULL","(SELECT lo.id FROM gen_lista_opciones lo JOIN gen_lista l ON l.id = lo.id_lista WHERE l.nombre = 'MarcaCilindro' AND upper(lo.nombre) = upper('"&amp;SUBSTITUTE(TRIM(R558),"'","''")&amp;"') AND lo.estado = 1 LIMIT 1)")&amp;", p_id_organo_inspector =&gt; "&amp;IF(TRIM(S558&amp;"")="","NULL","(SELECT lo.id FROM gen_lista_opciones lo JOIN gen_lista l ON l.id = lo.id_lista WHERE l.nombre = 'OrganoInspectorCilindro' AND upper(lo.nombre) = upper('"&amp;SUBSTITUTE(TRIM(S558),"'","''")&amp;"') AND lo.estado = 1 LIMIT 1)")&amp;", p_organo_inspector_no_aplica =&gt; "&amp;IF(S558="NO_APLICA","TRUE","FALSE")&amp;", p_presion_actual =&gt; "&amp;IF(T558&amp;""="","NULL",SUBSTITUTE(T558&amp;"",",","."))&amp;", p_tipo_valvula =&gt; "&amp;IF(TRIM(U558&amp;"")="","NULL","'"&amp;SUBSTITUTE(TRIM(U558),"'","''")&amp;"'")&amp;", p_libro_cilindro =&gt; "&amp;IF(TRIM(V558&amp;"")="","NULL","'"&amp;SUBSTITUTE(TRIM(V558),"'","''")&amp;"'")&amp;", p_pagina_libro =&gt; "&amp;IF(W558&amp;""="","NULL",SUBSTITUTE(W558&amp;"",",","."))&amp;", p_observacion =&gt; "&amp;IF(TRIM(X558&amp;"")="","NULL","'"&amp;SUBSTITUTE(TRIM(X558),"'","''")&amp;"'")&amp;") AS resultado_balon_"&amp;ROW()&amp;";")</f>
        <v/>
      </c>
    </row>
    <row r="559" ht="15.75" customHeight="1" s="64">
      <c r="A559" s="36" t="inlineStr">
        <is>
          <t>555</t>
        </is>
      </c>
      <c r="B559" s="25">
        <f>IF(AND(C559="",D559="",E559=""),"",IF(C559="","FALTA código balón",IF(D559="","FALTA tipo balón",IF(E559="","FALTA gas",IF(F559="","FALTA propietario",IF(AND(C559&lt;&gt;"",SUMPRODUCT(--($C$5:$C$1200=C559))&gt;1),"CÓDIGO BALÓN DUPLICADO",IF(AND(OR(UPPER(F559)="PLANTA",UPPER(F559)="CLIENTE"),G559=""),"FALTA doc propietario/planta",IF(AND(UPPER(F559)="PLANTA",G559="10175332796"),"PLANTA no puede ser RUC empresa","OK"))))))))</f>
        <v/>
      </c>
      <c r="C559" s="23" t="inlineStr">
        <is>
          <t>21K274118</t>
        </is>
      </c>
      <c r="D559" s="17" t="inlineStr">
        <is>
          <t>Oxígeno Medicinal 10 m³</t>
        </is>
      </c>
      <c r="E559" s="17" t="inlineStr">
        <is>
          <t>OXIGENO MEDICINAL</t>
        </is>
      </c>
      <c r="F559" s="17" t="inlineStr">
        <is>
          <t>EMPRESA</t>
        </is>
      </c>
      <c r="G559" s="23" t="inlineStr">
        <is>
          <t>10175332796</t>
        </is>
      </c>
      <c r="H559" s="25">
        <f t="array" ref="H559">IF(G559="","",IFERROR(IF(INDEX(Clientes!$D$5:$D$549,MATCH(G559,Clientes!$C$5:$C$549,0))&lt;&gt;"",INDEX(Clientes!$D$5:$D$549,MATCH(G559,Clientes!$C$5:$C$549,0)),TRIM(INDEX(Clientes!$E$5:$E$549,MATCH(G559,Clientes!$C$5:$C$549,0))&amp;" "&amp;INDEX(Clientes!$F$5:$F$549,MATCH(G559,Clientes!$C$5:$C$549,0)))),"NO EXISTE en Clientes"))</f>
        <v/>
      </c>
      <c r="I559" s="17" t="inlineStr">
        <is>
          <t>EN_PODER_CLIENTE</t>
        </is>
      </c>
      <c r="J559" s="17" t="n"/>
      <c r="K559" s="23" t="inlineStr">
        <is>
          <t>16739420</t>
        </is>
      </c>
      <c r="L559" s="25">
        <f t="array" ref="L559">IF(K559="","",IFERROR(IF(INDEX(Clientes!$D$5:$D$549,MATCH(K559,Clientes!$C$5:$C$549,0))&lt;&gt;"",INDEX(Clientes!$D$5:$D$549,MATCH(K559,Clientes!$C$5:$C$549,0)),TRIM(INDEX(Clientes!$E$5:$E$549,MATCH(K559,Clientes!$C$5:$C$549,0))&amp;" "&amp;INDEX(Clientes!$F$5:$F$549,MATCH(K559,Clientes!$C$5:$C$549,0)))),"NO EXISTE en Clientes"))</f>
        <v/>
      </c>
      <c r="M559" s="17" t="n"/>
      <c r="N559" s="17" t="n"/>
      <c r="O559" s="42" t="n"/>
      <c r="P559" s="39">
        <f>IF(O559&lt;&gt;"",DATE(YEAR(O559)+5,MONTH(O559),1),IF(AND(M559&lt;&gt;"",N559&lt;&gt;""),DATE(M559+5,N559,1),""))</f>
        <v/>
      </c>
      <c r="Q559" s="23" t="n"/>
      <c r="R559" s="17" t="n"/>
      <c r="S559" s="17" t="n"/>
      <c r="T559" s="17" t="n"/>
      <c r="U559" s="17" t="n"/>
      <c r="V559" s="23" t="n"/>
      <c r="W559" s="17" t="n"/>
      <c r="X559" s="17" t="n"/>
      <c r="Y559" s="28">
        <f>IF(B559&lt;&gt;"OK","","SELECT bal_crear_balon(p_codigo_balon =&gt; "&amp;IF(TRIM(C559&amp;"")="","NULL","'"&amp;SUBSTITUTE(TRIM(C559),"'","''")&amp;"'")&amp;", p_id_tipo_balon =&gt; "&amp;"(SELECT id FROM bal_tipo_balon WHERE upper(nombre) = upper('"&amp;SUBSTITUTE(TRIM(D559),"'","''")&amp;"') AND estado = 1 LIMIT 1)"&amp;", p_id_producto_gas =&gt; "&amp;"(SELECT id FROM pro_producto WHERE es_gas = TRUE AND upper(nombre) = upper('"&amp;SUBSTITUTE(TRIM(E559),"'","''")&amp;"') AND estado = 1 LIMIT 1)"&amp;", p_id_propietario =&gt; "&amp;IF(TRIM(F559&amp;"")="","NULL","(SELECT lo.id FROM gen_lista_opciones lo JOIN gen_lista l ON l.id = lo.id_lista WHERE l.nombre = 'PropietarioBalon' AND upper(lo.nombre) = upper('"&amp;SUBSTITUTE(TRIM(F559),"'","''")&amp;"') AND lo.estado = 1 LIMIT 1)")&amp;", p_id_cliente_propietario =&gt; "&amp;IF(F559="CLIENTE",IF(TRIM(G559&amp;"")="","NULL","(SELECT id FROM cli_clientes WHERE numero_documento = '"&amp;SUBSTITUTE(TRIM(G559),"'","''")&amp;"' AND estado = 1 LIMIT 1)"),"NULL")&amp;", p_id_planta =&gt; "&amp;IF(F559="PLANTA",IF(TRIM(G559&amp;"")="","NULL","(SELECT id FROM cli_clientes WHERE numero_documento = '"&amp;SUBSTITUTE(TRIM(G559),"'","''")&amp;"'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"&amp;IF(TRIM(J559&amp;"")="","NULL","(SELECT id FROM gen_almacen WHERE upper(nombre) = upper('"&amp;SUBSTITUTE(TRIM(J559),"'","''")&amp;"') AND estado = 1 LIMIT 1)")&amp;", p_id_cliente_ubicacion =&gt; "&amp;IF(TRIM(K559&amp;"")="","NULL","(SELECT id FROM cli_clientes WHERE numero_documento = '"&amp;SUBSTITUTE(TRIM(K559),"'","''")&amp;"' AND estado = 1 LIMIT 1)")&amp;", p_id_referencia =&gt; "&amp;IF(TRIM(J559&amp;"")&lt;&gt;"","(SELECT lo.id FROM gen_lista_opciones lo JOIN gen_lista l ON l.id = lo.id_lista WHERE l.nombre = 'ReferenciaCilindro' AND upper(lo.nombre) = 'ALMACEN' AND lo.estado = 1 LIMIT 1)",IF(TRIM(K559&amp;"")&lt;&gt;"","(SELECT lo.id FROM gen_lista_opciones lo JOIN gen_lista l ON l.id = lo.id_lista WHERE l.nombre = 'ReferenciaCilindro' AND upper(lo.nombre) = 'CLIENTE' AND lo.estado = 1 LIMIT 1)","NULL"))&amp;", p_anio_fabricacion =&gt; "&amp;IF(M559&amp;""="","NULL::smallint",M559&amp;"::smallint")&amp;", p_mes_fabricacion =&gt; "&amp;IF(N559&amp;""="","NULL::smallint",N559&amp;"::smallint")&amp;", p_fecha_ultima_prueba_hidrostatica =&gt; "&amp;IF(O559&amp;""="","NULL","'"&amp;YEAR(O559)&amp;"-"&amp;TEXT(MONTH(O559),"00")&amp;"-"&amp;TEXT(DAY(O559),"00")&amp;"'")&amp;", p_numero_serie =&gt; "&amp;IF(TRIM(Q559&amp;"")="","NULL","'"&amp;SUBSTITUTE(TRIM(Q559),"'","''")&amp;"'")&amp;", p_id_marca_cilindro =&gt; "&amp;IF(TRIM(R559&amp;"")="","NULL","(SELECT lo.id FROM gen_lista_opciones lo JOIN gen_lista l ON l.id = lo.id_lista WHERE l.nombre = 'MarcaCilindro' AND upper(lo.nombre) = upper('"&amp;SUBSTITUTE(TRIM(R559),"'","''")&amp;"') AND lo.estado = 1 LIMIT 1)")&amp;", p_id_organo_inspector =&gt; "&amp;IF(TRIM(S559&amp;"")="","NULL","(SELECT lo.id FROM gen_lista_opciones lo JOIN gen_lista l ON l.id = lo.id_lista WHERE l.nombre = 'OrganoInspectorCilindro' AND upper(lo.nombre) = upper('"&amp;SUBSTITUTE(TRIM(S559),"'","''")&amp;"') AND lo.estado = 1 LIMIT 1)")&amp;", p_organo_inspector_no_aplica =&gt; "&amp;IF(S559="NO_APLICA","TRUE","FALSE")&amp;", p_presion_actual =&gt; "&amp;IF(T559&amp;""="","NULL",SUBSTITUTE(T559&amp;"",",","."))&amp;", p_tipo_valvula =&gt; "&amp;IF(TRIM(U559&amp;"")="","NULL","'"&amp;SUBSTITUTE(TRIM(U559),"'","''")&amp;"'")&amp;", p_libro_cilindro =&gt; "&amp;IF(TRIM(V559&amp;"")="","NULL","'"&amp;SUBSTITUTE(TRIM(V559),"'","''")&amp;"'")&amp;", p_pagina_libro =&gt; "&amp;IF(W559&amp;""="","NULL",SUBSTITUTE(W559&amp;"",",","."))&amp;", p_observacion =&gt; "&amp;IF(TRIM(X559&amp;"")="","NULL","'"&amp;SUBSTITUTE(TRIM(X559),"'","''")&amp;"'")&amp;") AS resultado_balon_"&amp;ROW()&amp;";")</f>
        <v/>
      </c>
    </row>
    <row r="560" ht="15.75" customHeight="1" s="64">
      <c r="A560" s="36" t="inlineStr">
        <is>
          <t>556</t>
        </is>
      </c>
      <c r="B560" s="25">
        <f>IF(AND(C560="",D560="",E560=""),"",IF(C560="","FALTA código balón",IF(D560="","FALTA tipo balón",IF(E560="","FALTA gas",IF(F560="","FALTA propietario",IF(AND(C560&lt;&gt;"",SUMPRODUCT(--($C$5:$C$1200=C560))&gt;1),"CÓDIGO BALÓN DUPLICADO",IF(AND(OR(UPPER(F560)="PLANTA",UPPER(F560)="CLIENTE"),G560=""),"FALTA doc propietario/planta",IF(AND(UPPER(F560)="PLANTA",G560="10175332796"),"PLANTA no puede ser RUC empresa","OK"))))))))</f>
        <v/>
      </c>
      <c r="C560" s="23" t="inlineStr">
        <is>
          <t>9141253</t>
        </is>
      </c>
      <c r="D560" s="17" t="inlineStr">
        <is>
          <t>Oxígeno Industrial 10 m³</t>
        </is>
      </c>
      <c r="E560" s="17" t="inlineStr">
        <is>
          <t>OXIGENO INDUSTRIAL</t>
        </is>
      </c>
      <c r="F560" s="17" t="inlineStr">
        <is>
          <t>EMPRESA</t>
        </is>
      </c>
      <c r="G560" s="23" t="inlineStr">
        <is>
          <t>10175332796</t>
        </is>
      </c>
      <c r="H560" s="25">
        <f t="array" ref="H560">IF(G560="","",IFERROR(IF(INDEX(Clientes!$D$5:$D$549,MATCH(G560,Clientes!$C$5:$C$549,0))&lt;&gt;"",INDEX(Clientes!$D$5:$D$549,MATCH(G560,Clientes!$C$5:$C$549,0)),TRIM(INDEX(Clientes!$E$5:$E$549,MATCH(G560,Clientes!$C$5:$C$549,0))&amp;" "&amp;INDEX(Clientes!$F$5:$F$549,MATCH(G560,Clientes!$C$5:$C$549,0)))),"NO EXISTE en Clientes"))</f>
        <v/>
      </c>
      <c r="I560" s="17" t="inlineStr">
        <is>
          <t>EN_PODER_CLIENTE</t>
        </is>
      </c>
      <c r="J560" s="17" t="n"/>
      <c r="K560" s="23" t="inlineStr">
        <is>
          <t>10167643812</t>
        </is>
      </c>
      <c r="L560" s="25">
        <f t="array" ref="L560">IF(K560="","",IFERROR(IF(INDEX(Clientes!$D$5:$D$549,MATCH(K560,Clientes!$C$5:$C$549,0))&lt;&gt;"",INDEX(Clientes!$D$5:$D$549,MATCH(K560,Clientes!$C$5:$C$549,0)),TRIM(INDEX(Clientes!$E$5:$E$549,MATCH(K560,Clientes!$C$5:$C$549,0))&amp;" "&amp;INDEX(Clientes!$F$5:$F$549,MATCH(K560,Clientes!$C$5:$C$549,0)))),"NO EXISTE en Clientes"))</f>
        <v/>
      </c>
      <c r="M560" s="17" t="n"/>
      <c r="N560" s="17" t="n"/>
      <c r="O560" s="42" t="n"/>
      <c r="P560" s="39">
        <f>IF(O560&lt;&gt;"",DATE(YEAR(O560)+5,MONTH(O560),1),IF(AND(M560&lt;&gt;"",N560&lt;&gt;""),DATE(M560+5,N560,1),""))</f>
        <v/>
      </c>
      <c r="Q560" s="23" t="n"/>
      <c r="R560" s="17" t="n"/>
      <c r="S560" s="17" t="n"/>
      <c r="T560" s="17" t="n"/>
      <c r="U560" s="17" t="n"/>
      <c r="V560" s="23" t="n"/>
      <c r="W560" s="17" t="n"/>
      <c r="X560" s="17" t="n"/>
      <c r="Y560" s="28">
        <f>IF(B560&lt;&gt;"OK","","SELECT bal_crear_balon(p_codigo_balon =&gt; "&amp;IF(TRIM(C560&amp;"")="","NULL","'"&amp;SUBSTITUTE(TRIM(C560),"'","''")&amp;"'")&amp;", p_id_tipo_balon =&gt; "&amp;"(SELECT id FROM bal_tipo_balon WHERE upper(nombre) = upper('"&amp;SUBSTITUTE(TRIM(D560),"'","''")&amp;"') AND estado = 1 LIMIT 1)"&amp;", p_id_producto_gas =&gt; "&amp;"(SELECT id FROM pro_producto WHERE es_gas = TRUE AND upper(nombre) = upper('"&amp;SUBSTITUTE(TRIM(E560),"'","''")&amp;"') AND estado = 1 LIMIT 1)"&amp;", p_id_propietario =&gt; "&amp;IF(TRIM(F560&amp;"")="","NULL","(SELECT lo.id FROM gen_lista_opciones lo JOIN gen_lista l ON l.id = lo.id_lista WHERE l.nombre = 'PropietarioBalon' AND upper(lo.nombre) = upper('"&amp;SUBSTITUTE(TRIM(F560),"'","''")&amp;"') AND lo.estado = 1 LIMIT 1)")&amp;", p_id_cliente_propietario =&gt; "&amp;IF(F560="CLIENTE",IF(TRIM(G560&amp;"")="","NULL","(SELECT id FROM cli_clientes WHERE numero_documento = '"&amp;SUBSTITUTE(TRIM(G560),"'","''")&amp;"' AND estado = 1 LIMIT 1)"),"NULL")&amp;", p_id_planta =&gt; "&amp;IF(F560="PLANTA",IF(TRIM(G560&amp;"")="","NULL","(SELECT id FROM cli_clientes WHERE numero_documento = '"&amp;SUBSTITUTE(TRIM(G560),"'","''")&amp;"'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"&amp;IF(TRIM(J560&amp;"")="","NULL","(SELECT id FROM gen_almacen WHERE upper(nombre) = upper('"&amp;SUBSTITUTE(TRIM(J560),"'","''")&amp;"') AND estado = 1 LIMIT 1)")&amp;", p_id_cliente_ubicacion =&gt; "&amp;IF(TRIM(K560&amp;"")="","NULL","(SELECT id FROM cli_clientes WHERE numero_documento = '"&amp;SUBSTITUTE(TRIM(K560),"'","''")&amp;"' AND estado = 1 LIMIT 1)")&amp;", p_id_referencia =&gt; "&amp;IF(TRIM(J560&amp;"")&lt;&gt;"","(SELECT lo.id FROM gen_lista_opciones lo JOIN gen_lista l ON l.id = lo.id_lista WHERE l.nombre = 'ReferenciaCilindro' AND upper(lo.nombre) = 'ALMACEN' AND lo.estado = 1 LIMIT 1)",IF(TRIM(K560&amp;"")&lt;&gt;"","(SELECT lo.id FROM gen_lista_opciones lo JOIN gen_lista l ON l.id = lo.id_lista WHERE l.nombre = 'ReferenciaCilindro' AND upper(lo.nombre) = 'CLIENTE' AND lo.estado = 1 LIMIT 1)","NULL"))&amp;", p_anio_fabricacion =&gt; "&amp;IF(M560&amp;""="","NULL::smallint",M560&amp;"::smallint")&amp;", p_mes_fabricacion =&gt; "&amp;IF(N560&amp;""="","NULL::smallint",N560&amp;"::smallint")&amp;", p_fecha_ultima_prueba_hidrostatica =&gt; "&amp;IF(O560&amp;""="","NULL","'"&amp;YEAR(O560)&amp;"-"&amp;TEXT(MONTH(O560),"00")&amp;"-"&amp;TEXT(DAY(O560),"00")&amp;"'")&amp;", p_numero_serie =&gt; "&amp;IF(TRIM(Q560&amp;"")="","NULL","'"&amp;SUBSTITUTE(TRIM(Q560),"'","''")&amp;"'")&amp;", p_id_marca_cilindro =&gt; "&amp;IF(TRIM(R560&amp;"")="","NULL","(SELECT lo.id FROM gen_lista_opciones lo JOIN gen_lista l ON l.id = lo.id_lista WHERE l.nombre = 'MarcaCilindro' AND upper(lo.nombre) = upper('"&amp;SUBSTITUTE(TRIM(R560),"'","''")&amp;"') AND lo.estado = 1 LIMIT 1)")&amp;", p_id_organo_inspector =&gt; "&amp;IF(TRIM(S560&amp;"")="","NULL","(SELECT lo.id FROM gen_lista_opciones lo JOIN gen_lista l ON l.id = lo.id_lista WHERE l.nombre = 'OrganoInspectorCilindro' AND upper(lo.nombre) = upper('"&amp;SUBSTITUTE(TRIM(S560),"'","''")&amp;"') AND lo.estado = 1 LIMIT 1)")&amp;", p_organo_inspector_no_aplica =&gt; "&amp;IF(S560="NO_APLICA","TRUE","FALSE")&amp;", p_presion_actual =&gt; "&amp;IF(T560&amp;""="","NULL",SUBSTITUTE(T560&amp;"",",","."))&amp;", p_tipo_valvula =&gt; "&amp;IF(TRIM(U560&amp;"")="","NULL","'"&amp;SUBSTITUTE(TRIM(U560),"'","''")&amp;"'")&amp;", p_libro_cilindro =&gt; "&amp;IF(TRIM(V560&amp;"")="","NULL","'"&amp;SUBSTITUTE(TRIM(V560),"'","''")&amp;"'")&amp;", p_pagina_libro =&gt; "&amp;IF(W560&amp;""="","NULL",SUBSTITUTE(W560&amp;"",",","."))&amp;", p_observacion =&gt; "&amp;IF(TRIM(X560&amp;"")="","NULL","'"&amp;SUBSTITUTE(TRIM(X560),"'","''")&amp;"'")&amp;") AS resultado_balon_"&amp;ROW()&amp;";")</f>
        <v/>
      </c>
    </row>
    <row r="561" ht="15.75" customHeight="1" s="64">
      <c r="A561" s="36" t="inlineStr">
        <is>
          <t>557</t>
        </is>
      </c>
      <c r="B561" s="25">
        <f>IF(AND(C561="",D561="",E561=""),"",IF(C561="","FALTA código balón",IF(D561="","FALTA tipo balón",IF(E561="","FALTA gas",IF(F561="","FALTA propietario",IF(AND(C561&lt;&gt;"",SUMPRODUCT(--($C$5:$C$1200=C561))&gt;1),"CÓDIGO BALÓN DUPLICADO",IF(AND(OR(UPPER(F561)="PLANTA",UPPER(F561)="CLIENTE"),G561=""),"FALTA doc propietario/planta",IF(AND(UPPER(F561)="PLANTA",G561="10175332796"),"PLANTA no puede ser RUC empresa","OK"))))))))</f>
        <v/>
      </c>
      <c r="C561" s="23" t="inlineStr">
        <is>
          <t>20K650031</t>
        </is>
      </c>
      <c r="D561" s="17" t="inlineStr">
        <is>
          <t>Oxígeno Medicinal 10 m³</t>
        </is>
      </c>
      <c r="E561" s="17" t="inlineStr">
        <is>
          <t>OXIGENO MEDICINAL</t>
        </is>
      </c>
      <c r="F561" s="17" t="inlineStr">
        <is>
          <t>EMPRESA</t>
        </is>
      </c>
      <c r="G561" s="23" t="inlineStr">
        <is>
          <t>10175332796</t>
        </is>
      </c>
      <c r="H561" s="25">
        <f t="array" ref="H561">IF(G561="","",IFERROR(IF(INDEX(Clientes!$D$5:$D$549,MATCH(G561,Clientes!$C$5:$C$549,0))&lt;&gt;"",INDEX(Clientes!$D$5:$D$549,MATCH(G561,Clientes!$C$5:$C$549,0)),TRIM(INDEX(Clientes!$E$5:$E$549,MATCH(G561,Clientes!$C$5:$C$549,0))&amp;" "&amp;INDEX(Clientes!$F$5:$F$549,MATCH(G561,Clientes!$C$5:$C$549,0)))),"NO EXISTE en Clientes"))</f>
        <v/>
      </c>
      <c r="I561" s="17" t="inlineStr">
        <is>
          <t>EN_PODER_CLIENTE</t>
        </is>
      </c>
      <c r="J561" s="17" t="n"/>
      <c r="K561" s="23" t="inlineStr">
        <is>
          <t>29646105</t>
        </is>
      </c>
      <c r="L561" s="25">
        <f t="array" ref="L561">IF(K561="","",IFERROR(IF(INDEX(Clientes!$D$5:$D$549,MATCH(K561,Clientes!$C$5:$C$549,0))&lt;&gt;"",INDEX(Clientes!$D$5:$D$549,MATCH(K561,Clientes!$C$5:$C$549,0)),TRIM(INDEX(Clientes!$E$5:$E$549,MATCH(K561,Clientes!$C$5:$C$549,0))&amp;" "&amp;INDEX(Clientes!$F$5:$F$549,MATCH(K561,Clientes!$C$5:$C$549,0)))),"NO EXISTE en Clientes"))</f>
        <v/>
      </c>
      <c r="M561" s="17" t="n"/>
      <c r="N561" s="17" t="n"/>
      <c r="O561" s="42" t="n"/>
      <c r="P561" s="39">
        <f>IF(O561&lt;&gt;"",DATE(YEAR(O561)+5,MONTH(O561),1),IF(AND(M561&lt;&gt;"",N561&lt;&gt;""),DATE(M561+5,N561,1),""))</f>
        <v/>
      </c>
      <c r="Q561" s="23" t="n"/>
      <c r="R561" s="17" t="n"/>
      <c r="S561" s="17" t="n"/>
      <c r="T561" s="17" t="n"/>
      <c r="U561" s="17" t="n"/>
      <c r="V561" s="23" t="n"/>
      <c r="W561" s="17" t="n"/>
      <c r="X561" s="17" t="n"/>
      <c r="Y561" s="28">
        <f>IF(B561&lt;&gt;"OK","","SELECT bal_crear_balon(p_codigo_balon =&gt; "&amp;IF(TRIM(C561&amp;"")="","NULL","'"&amp;SUBSTITUTE(TRIM(C561),"'","''")&amp;"'")&amp;", p_id_tipo_balon =&gt; "&amp;"(SELECT id FROM bal_tipo_balon WHERE upper(nombre) = upper('"&amp;SUBSTITUTE(TRIM(D561),"'","''")&amp;"') AND estado = 1 LIMIT 1)"&amp;", p_id_producto_gas =&gt; "&amp;"(SELECT id FROM pro_producto WHERE es_gas = TRUE AND upper(nombre) = upper('"&amp;SUBSTITUTE(TRIM(E561),"'","''")&amp;"') AND estado = 1 LIMIT 1)"&amp;", p_id_propietario =&gt; "&amp;IF(TRIM(F561&amp;"")="","NULL","(SELECT lo.id FROM gen_lista_opciones lo JOIN gen_lista l ON l.id = lo.id_lista WHERE l.nombre = 'PropietarioBalon' AND upper(lo.nombre) = upper('"&amp;SUBSTITUTE(TRIM(F561),"'","''")&amp;"') AND lo.estado = 1 LIMIT 1)")&amp;", p_id_cliente_propietario =&gt; "&amp;IF(F561="CLIENTE",IF(TRIM(G561&amp;"")="","NULL","(SELECT id FROM cli_clientes WHERE numero_documento = '"&amp;SUBSTITUTE(TRIM(G561),"'","''")&amp;"' AND estado = 1 LIMIT 1)"),"NULL")&amp;", p_id_planta =&gt; "&amp;IF(F561="PLANTA",IF(TRIM(G561&amp;"")="","NULL","(SELECT id FROM cli_clientes WHERE numero_documento = '"&amp;SUBSTITUTE(TRIM(G561),"'","''")&amp;"'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"&amp;IF(TRIM(J561&amp;"")="","NULL","(SELECT id FROM gen_almacen WHERE upper(nombre) = upper('"&amp;SUBSTITUTE(TRIM(J561),"'","''")&amp;"') AND estado = 1 LIMIT 1)")&amp;", p_id_cliente_ubicacion =&gt; "&amp;IF(TRIM(K561&amp;"")="","NULL","(SELECT id FROM cli_clientes WHERE numero_documento = '"&amp;SUBSTITUTE(TRIM(K561),"'","''")&amp;"' AND estado = 1 LIMIT 1)")&amp;", p_id_referencia =&gt; "&amp;IF(TRIM(J561&amp;"")&lt;&gt;"","(SELECT lo.id FROM gen_lista_opciones lo JOIN gen_lista l ON l.id = lo.id_lista WHERE l.nombre = 'ReferenciaCilindro' AND upper(lo.nombre) = 'ALMACEN' AND lo.estado = 1 LIMIT 1)",IF(TRIM(K561&amp;"")&lt;&gt;"","(SELECT lo.id FROM gen_lista_opciones lo JOIN gen_lista l ON l.id = lo.id_lista WHERE l.nombre = 'ReferenciaCilindro' AND upper(lo.nombre) = 'CLIENTE' AND lo.estado = 1 LIMIT 1)","NULL"))&amp;", p_anio_fabricacion =&gt; "&amp;IF(M561&amp;""="","NULL::smallint",M561&amp;"::smallint")&amp;", p_mes_fabricacion =&gt; "&amp;IF(N561&amp;""="","NULL::smallint",N561&amp;"::smallint")&amp;", p_fecha_ultima_prueba_hidrostatica =&gt; "&amp;IF(O561&amp;""="","NULL","'"&amp;YEAR(O561)&amp;"-"&amp;TEXT(MONTH(O561),"00")&amp;"-"&amp;TEXT(DAY(O561),"00")&amp;"'")&amp;", p_numero_serie =&gt; "&amp;IF(TRIM(Q561&amp;"")="","NULL","'"&amp;SUBSTITUTE(TRIM(Q561),"'","''")&amp;"'")&amp;", p_id_marca_cilindro =&gt; "&amp;IF(TRIM(R561&amp;"")="","NULL","(SELECT lo.id FROM gen_lista_opciones lo JOIN gen_lista l ON l.id = lo.id_lista WHERE l.nombre = 'MarcaCilindro' AND upper(lo.nombre) = upper('"&amp;SUBSTITUTE(TRIM(R561),"'","''")&amp;"') AND lo.estado = 1 LIMIT 1)")&amp;", p_id_organo_inspector =&gt; "&amp;IF(TRIM(S561&amp;"")="","NULL","(SELECT lo.id FROM gen_lista_opciones lo JOIN gen_lista l ON l.id = lo.id_lista WHERE l.nombre = 'OrganoInspectorCilindro' AND upper(lo.nombre) = upper('"&amp;SUBSTITUTE(TRIM(S561),"'","''")&amp;"') AND lo.estado = 1 LIMIT 1)")&amp;", p_organo_inspector_no_aplica =&gt; "&amp;IF(S561="NO_APLICA","TRUE","FALSE")&amp;", p_presion_actual =&gt; "&amp;IF(T561&amp;""="","NULL",SUBSTITUTE(T561&amp;"",",","."))&amp;", p_tipo_valvula =&gt; "&amp;IF(TRIM(U561&amp;"")="","NULL","'"&amp;SUBSTITUTE(TRIM(U561),"'","''")&amp;"'")&amp;", p_libro_cilindro =&gt; "&amp;IF(TRIM(V561&amp;"")="","NULL","'"&amp;SUBSTITUTE(TRIM(V561),"'","''")&amp;"'")&amp;", p_pagina_libro =&gt; "&amp;IF(W561&amp;""="","NULL",SUBSTITUTE(W561&amp;"",",","."))&amp;", p_observacion =&gt; "&amp;IF(TRIM(X561&amp;"")="","NULL","'"&amp;SUBSTITUTE(TRIM(X561),"'","''")&amp;"'")&amp;") AS resultado_balon_"&amp;ROW()&amp;";")</f>
        <v/>
      </c>
    </row>
    <row r="562" ht="15.75" customHeight="1" s="64">
      <c r="A562" s="36" t="inlineStr">
        <is>
          <t>558</t>
        </is>
      </c>
      <c r="B562" s="25">
        <f>IF(AND(C562="",D562="",E562=""),"",IF(C562="","FALTA código balón",IF(D562="","FALTA tipo balón",IF(E562="","FALTA gas",IF(F562="","FALTA propietario",IF(AND(C562&lt;&gt;"",SUMPRODUCT(--($C$5:$C$1200=C562))&gt;1),"CÓDIGO BALÓN DUPLICADO",IF(AND(OR(UPPER(F562)="PLANTA",UPPER(F562)="CLIENTE"),G562=""),"FALTA doc propietario/planta",IF(AND(UPPER(F562)="PLANTA",G562="10175332796"),"PLANTA no puede ser RUC empresa","OK"))))))))</f>
        <v/>
      </c>
      <c r="C562" s="23" t="inlineStr">
        <is>
          <t>AS1290638</t>
        </is>
      </c>
      <c r="D562" s="17" t="inlineStr">
        <is>
          <t>Oxigeno Industrial 1 m³</t>
        </is>
      </c>
      <c r="E562" s="17" t="inlineStr">
        <is>
          <t>OXIGENO INDUSTRIAL</t>
        </is>
      </c>
      <c r="F562" s="17" t="inlineStr">
        <is>
          <t>EMPRESA</t>
        </is>
      </c>
      <c r="G562" s="23" t="inlineStr">
        <is>
          <t>10175332796</t>
        </is>
      </c>
      <c r="H562" s="25">
        <f t="array" ref="H562">IF(G562="","",IFERROR(IF(INDEX(Clientes!$D$5:$D$549,MATCH(G562,Clientes!$C$5:$C$549,0))&lt;&gt;"",INDEX(Clientes!$D$5:$D$549,MATCH(G562,Clientes!$C$5:$C$549,0)),TRIM(INDEX(Clientes!$E$5:$E$549,MATCH(G562,Clientes!$C$5:$C$549,0))&amp;" "&amp;INDEX(Clientes!$F$5:$F$549,MATCH(G562,Clientes!$C$5:$C$549,0)))),"NO EXISTE en Clientes"))</f>
        <v/>
      </c>
      <c r="I562" s="17" t="inlineStr">
        <is>
          <t>EN_PODER_CLIENTE</t>
        </is>
      </c>
      <c r="J562" s="17" t="n"/>
      <c r="K562" s="23" t="inlineStr">
        <is>
          <t>44377974</t>
        </is>
      </c>
      <c r="L562" s="25">
        <f t="array" ref="L562">IF(K562="","",IFERROR(IF(INDEX(Clientes!$D$5:$D$549,MATCH(K562,Clientes!$C$5:$C$549,0))&lt;&gt;"",INDEX(Clientes!$D$5:$D$549,MATCH(K562,Clientes!$C$5:$C$549,0)),TRIM(INDEX(Clientes!$E$5:$E$549,MATCH(K562,Clientes!$C$5:$C$549,0))&amp;" "&amp;INDEX(Clientes!$F$5:$F$549,MATCH(K562,Clientes!$C$5:$C$549,0)))),"NO EXISTE en Clientes"))</f>
        <v/>
      </c>
      <c r="M562" s="17" t="n"/>
      <c r="N562" s="17" t="n"/>
      <c r="O562" s="42" t="n"/>
      <c r="P562" s="39">
        <f>IF(O562&lt;&gt;"",DATE(YEAR(O562)+5,MONTH(O562),1),IF(AND(M562&lt;&gt;"",N562&lt;&gt;""),DATE(M562+5,N562,1),""))</f>
        <v/>
      </c>
      <c r="Q562" s="23" t="n"/>
      <c r="R562" s="17" t="n"/>
      <c r="S562" s="17" t="n"/>
      <c r="T562" s="17" t="n"/>
      <c r="U562" s="17" t="n"/>
      <c r="V562" s="23" t="n"/>
      <c r="W562" s="17" t="n"/>
      <c r="X562" s="17" t="n"/>
      <c r="Y562" s="28">
        <f>IF(B562&lt;&gt;"OK","","SELECT bal_crear_balon(p_codigo_balon =&gt; "&amp;IF(TRIM(C562&amp;"")="","NULL","'"&amp;SUBSTITUTE(TRIM(C562),"'","''")&amp;"'")&amp;", p_id_tipo_balon =&gt; "&amp;"(SELECT id FROM bal_tipo_balon WHERE upper(nombre) = upper('"&amp;SUBSTITUTE(TRIM(D562),"'","''")&amp;"') AND estado = 1 LIMIT 1)"&amp;", p_id_producto_gas =&gt; "&amp;"(SELECT id FROM pro_producto WHERE es_gas = TRUE AND upper(nombre) = upper('"&amp;SUBSTITUTE(TRIM(E562),"'","''")&amp;"') AND estado = 1 LIMIT 1)"&amp;", p_id_propietario =&gt; "&amp;IF(TRIM(F562&amp;"")="","NULL","(SELECT lo.id FROM gen_lista_opciones lo JOIN gen_lista l ON l.id = lo.id_lista WHERE l.nombre = 'PropietarioBalon' AND upper(lo.nombre) = upper('"&amp;SUBSTITUTE(TRIM(F562),"'","''")&amp;"') AND lo.estado = 1 LIMIT 1)")&amp;", p_id_cliente_propietario =&gt; "&amp;IF(F562="CLIENTE",IF(TRIM(G562&amp;"")="","NULL","(SELECT id FROM cli_clientes WHERE numero_documento = '"&amp;SUBSTITUTE(TRIM(G562),"'","''")&amp;"' AND estado = 1 LIMIT 1)"),"NULL")&amp;", p_id_planta =&gt; "&amp;IF(F562="PLANTA",IF(TRIM(G562&amp;"")="","NULL","(SELECT id FROM cli_clientes WHERE numero_documento = '"&amp;SUBSTITUTE(TRIM(G562),"'","''")&amp;"'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"&amp;IF(TRIM(J562&amp;"")="","NULL","(SELECT id FROM gen_almacen WHERE upper(nombre) = upper('"&amp;SUBSTITUTE(TRIM(J562),"'","''")&amp;"') AND estado = 1 LIMIT 1)")&amp;", p_id_cliente_ubicacion =&gt; "&amp;IF(TRIM(K562&amp;"")="","NULL","(SELECT id FROM cli_clientes WHERE numero_documento = '"&amp;SUBSTITUTE(TRIM(K562),"'","''")&amp;"' AND estado = 1 LIMIT 1)")&amp;", p_id_referencia =&gt; "&amp;IF(TRIM(J562&amp;"")&lt;&gt;"","(SELECT lo.id FROM gen_lista_opciones lo JOIN gen_lista l ON l.id = lo.id_lista WHERE l.nombre = 'ReferenciaCilindro' AND upper(lo.nombre) = 'ALMACEN' AND lo.estado = 1 LIMIT 1)",IF(TRIM(K562&amp;"")&lt;&gt;"","(SELECT lo.id FROM gen_lista_opciones lo JOIN gen_lista l ON l.id = lo.id_lista WHERE l.nombre = 'ReferenciaCilindro' AND upper(lo.nombre) = 'CLIENTE' AND lo.estado = 1 LIMIT 1)","NULL"))&amp;", p_anio_fabricacion =&gt; "&amp;IF(M562&amp;""="","NULL::smallint",M562&amp;"::smallint")&amp;", p_mes_fabricacion =&gt; "&amp;IF(N562&amp;""="","NULL::smallint",N562&amp;"::smallint")&amp;", p_fecha_ultima_prueba_hidrostatica =&gt; "&amp;IF(O562&amp;""="","NULL","'"&amp;YEAR(O562)&amp;"-"&amp;TEXT(MONTH(O562),"00")&amp;"-"&amp;TEXT(DAY(O562),"00")&amp;"'")&amp;", p_numero_serie =&gt; "&amp;IF(TRIM(Q562&amp;"")="","NULL","'"&amp;SUBSTITUTE(TRIM(Q562),"'","''")&amp;"'")&amp;", p_id_marca_cilindro =&gt; "&amp;IF(TRIM(R562&amp;"")="","NULL","(SELECT lo.id FROM gen_lista_opciones lo JOIN gen_lista l ON l.id = lo.id_lista WHERE l.nombre = 'MarcaCilindro' AND upper(lo.nombre) = upper('"&amp;SUBSTITUTE(TRIM(R562),"'","''")&amp;"') AND lo.estado = 1 LIMIT 1)")&amp;", p_id_organo_inspector =&gt; "&amp;IF(TRIM(S562&amp;"")="","NULL","(SELECT lo.id FROM gen_lista_opciones lo JOIN gen_lista l ON l.id = lo.id_lista WHERE l.nombre = 'OrganoInspectorCilindro' AND upper(lo.nombre) = upper('"&amp;SUBSTITUTE(TRIM(S562),"'","''")&amp;"') AND lo.estado = 1 LIMIT 1)")&amp;", p_organo_inspector_no_aplica =&gt; "&amp;IF(S562="NO_APLICA","TRUE","FALSE")&amp;", p_presion_actual =&gt; "&amp;IF(T562&amp;""="","NULL",SUBSTITUTE(T562&amp;"",",","."))&amp;", p_tipo_valvula =&gt; "&amp;IF(TRIM(U562&amp;"")="","NULL","'"&amp;SUBSTITUTE(TRIM(U562),"'","''")&amp;"'")&amp;", p_libro_cilindro =&gt; "&amp;IF(TRIM(V562&amp;"")="","NULL","'"&amp;SUBSTITUTE(TRIM(V562),"'","''")&amp;"'")&amp;", p_pagina_libro =&gt; "&amp;IF(W562&amp;""="","NULL",SUBSTITUTE(W562&amp;"",",","."))&amp;", p_observacion =&gt; "&amp;IF(TRIM(X562&amp;"")="","NULL","'"&amp;SUBSTITUTE(TRIM(X562),"'","''")&amp;"'")&amp;") AS resultado_balon_"&amp;ROW()&amp;";")</f>
        <v/>
      </c>
    </row>
    <row r="563" ht="15.75" customHeight="1" s="64">
      <c r="A563" s="36" t="inlineStr">
        <is>
          <t>559</t>
        </is>
      </c>
      <c r="B563" s="25">
        <f>IF(AND(C563="",D563="",E563=""),"",IF(C563="","FALTA código balón",IF(D563="","FALTA tipo balón",IF(E563="","FALTA gas",IF(F563="","FALTA propietario",IF(AND(C563&lt;&gt;"",SUMPRODUCT(--($C$5:$C$1200=C563))&gt;1),"CÓDIGO BALÓN DUPLICADO",IF(AND(OR(UPPER(F563)="PLANTA",UPPER(F563)="CLIENTE"),G563=""),"FALTA doc propietario/planta",IF(AND(UPPER(F563)="PLANTA",G563="10175332796"),"PLANTA no puede ser RUC empresa","OK"))))))))</f>
        <v/>
      </c>
      <c r="C563" s="23" t="inlineStr">
        <is>
          <t>311116</t>
        </is>
      </c>
      <c r="D563" s="17" t="inlineStr">
        <is>
          <t>Oxígeno Industrial 6 m³</t>
        </is>
      </c>
      <c r="E563" s="17" t="inlineStr">
        <is>
          <t>OXIGENO INDUSTRIAL</t>
        </is>
      </c>
      <c r="F563" s="17" t="inlineStr">
        <is>
          <t>EMPRESA</t>
        </is>
      </c>
      <c r="G563" s="23" t="inlineStr">
        <is>
          <t>10175332796</t>
        </is>
      </c>
      <c r="H563" s="25">
        <f t="array" ref="H563">IF(G563="","",IFERROR(IF(INDEX(Clientes!$D$5:$D$549,MATCH(G563,Clientes!$C$5:$C$549,0))&lt;&gt;"",INDEX(Clientes!$D$5:$D$549,MATCH(G563,Clientes!$C$5:$C$549,0)),TRIM(INDEX(Clientes!$E$5:$E$549,MATCH(G563,Clientes!$C$5:$C$549,0))&amp;" "&amp;INDEX(Clientes!$F$5:$F$549,MATCH(G563,Clientes!$C$5:$C$549,0)))),"NO EXISTE en Clientes"))</f>
        <v/>
      </c>
      <c r="I563" s="17" t="inlineStr">
        <is>
          <t>EN_PODER_CLIENTE</t>
        </is>
      </c>
      <c r="J563" s="17" t="n"/>
      <c r="K563" s="23" t="inlineStr">
        <is>
          <t>10176064183</t>
        </is>
      </c>
      <c r="L563" s="25">
        <f t="array" ref="L563">IF(K563="","",IFERROR(IF(INDEX(Clientes!$D$5:$D$549,MATCH(K563,Clientes!$C$5:$C$549,0))&lt;&gt;"",INDEX(Clientes!$D$5:$D$549,MATCH(K563,Clientes!$C$5:$C$549,0)),TRIM(INDEX(Clientes!$E$5:$E$549,MATCH(K563,Clientes!$C$5:$C$549,0))&amp;" "&amp;INDEX(Clientes!$F$5:$F$549,MATCH(K563,Clientes!$C$5:$C$549,0)))),"NO EXISTE en Clientes"))</f>
        <v/>
      </c>
      <c r="M563" s="17" t="n"/>
      <c r="N563" s="17" t="n"/>
      <c r="O563" s="42" t="n"/>
      <c r="P563" s="39">
        <f>IF(O563&lt;&gt;"",DATE(YEAR(O563)+5,MONTH(O563),1),IF(AND(M563&lt;&gt;"",N563&lt;&gt;""),DATE(M563+5,N563,1),""))</f>
        <v/>
      </c>
      <c r="Q563" s="23" t="n"/>
      <c r="R563" s="17" t="n"/>
      <c r="S563" s="17" t="n"/>
      <c r="T563" s="17" t="n"/>
      <c r="U563" s="17" t="n"/>
      <c r="V563" s="23" t="n"/>
      <c r="W563" s="17" t="n"/>
      <c r="X563" s="17" t="n"/>
      <c r="Y563" s="28">
        <f>IF(B563&lt;&gt;"OK","","SELECT bal_crear_balon(p_codigo_balon =&gt; "&amp;IF(TRIM(C563&amp;"")="","NULL","'"&amp;SUBSTITUTE(TRIM(C563),"'","''")&amp;"'")&amp;", p_id_tipo_balon =&gt; "&amp;"(SELECT id FROM bal_tipo_balon WHERE upper(nombre) = upper('"&amp;SUBSTITUTE(TRIM(D563),"'","''")&amp;"') AND estado = 1 LIMIT 1)"&amp;", p_id_producto_gas =&gt; "&amp;"(SELECT id FROM pro_producto WHERE es_gas = TRUE AND upper(nombre) = upper('"&amp;SUBSTITUTE(TRIM(E563),"'","''")&amp;"') AND estado = 1 LIMIT 1)"&amp;", p_id_propietario =&gt; "&amp;IF(TRIM(F563&amp;"")="","NULL","(SELECT lo.id FROM gen_lista_opciones lo JOIN gen_lista l ON l.id = lo.id_lista WHERE l.nombre = 'PropietarioBalon' AND upper(lo.nombre) = upper('"&amp;SUBSTITUTE(TRIM(F563),"'","''")&amp;"') AND lo.estado = 1 LIMIT 1)")&amp;", p_id_cliente_propietario =&gt; "&amp;IF(F563="CLIENTE",IF(TRIM(G563&amp;"")="","NULL","(SELECT id FROM cli_clientes WHERE numero_documento = '"&amp;SUBSTITUTE(TRIM(G563),"'","''")&amp;"' AND estado = 1 LIMIT 1)"),"NULL")&amp;", p_id_planta =&gt; "&amp;IF(F563="PLANTA",IF(TRIM(G563&amp;"")="","NULL","(SELECT id FROM cli_clientes WHERE numero_documento = '"&amp;SUBSTITUTE(TRIM(G563),"'","''")&amp;"'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"&amp;IF(TRIM(J563&amp;"")="","NULL","(SELECT id FROM gen_almacen WHERE upper(nombre) = upper('"&amp;SUBSTITUTE(TRIM(J563),"'","''")&amp;"') AND estado = 1 LIMIT 1)")&amp;", p_id_cliente_ubicacion =&gt; "&amp;IF(TRIM(K563&amp;"")="","NULL","(SELECT id FROM cli_clientes WHERE numero_documento = '"&amp;SUBSTITUTE(TRIM(K563),"'","''")&amp;"' AND estado = 1 LIMIT 1)")&amp;", p_id_referencia =&gt; "&amp;IF(TRIM(J563&amp;"")&lt;&gt;"","(SELECT lo.id FROM gen_lista_opciones lo JOIN gen_lista l ON l.id = lo.id_lista WHERE l.nombre = 'ReferenciaCilindro' AND upper(lo.nombre) = 'ALMACEN' AND lo.estado = 1 LIMIT 1)",IF(TRIM(K563&amp;"")&lt;&gt;"","(SELECT lo.id FROM gen_lista_opciones lo JOIN gen_lista l ON l.id = lo.id_lista WHERE l.nombre = 'ReferenciaCilindro' AND upper(lo.nombre) = 'CLIENTE' AND lo.estado = 1 LIMIT 1)","NULL"))&amp;", p_anio_fabricacion =&gt; "&amp;IF(M563&amp;""="","NULL::smallint",M563&amp;"::smallint")&amp;", p_mes_fabricacion =&gt; "&amp;IF(N563&amp;""="","NULL::smallint",N563&amp;"::smallint")&amp;", p_fecha_ultima_prueba_hidrostatica =&gt; "&amp;IF(O563&amp;""="","NULL","'"&amp;YEAR(O563)&amp;"-"&amp;TEXT(MONTH(O563),"00")&amp;"-"&amp;TEXT(DAY(O563),"00")&amp;"'")&amp;", p_numero_serie =&gt; "&amp;IF(TRIM(Q563&amp;"")="","NULL","'"&amp;SUBSTITUTE(TRIM(Q563),"'","''")&amp;"'")&amp;", p_id_marca_cilindro =&gt; "&amp;IF(TRIM(R563&amp;"")="","NULL","(SELECT lo.id FROM gen_lista_opciones lo JOIN gen_lista l ON l.id = lo.id_lista WHERE l.nombre = 'MarcaCilindro' AND upper(lo.nombre) = upper('"&amp;SUBSTITUTE(TRIM(R563),"'","''")&amp;"') AND lo.estado = 1 LIMIT 1)")&amp;", p_id_organo_inspector =&gt; "&amp;IF(TRIM(S563&amp;"")="","NULL","(SELECT lo.id FROM gen_lista_opciones lo JOIN gen_lista l ON l.id = lo.id_lista WHERE l.nombre = 'OrganoInspectorCilindro' AND upper(lo.nombre) = upper('"&amp;SUBSTITUTE(TRIM(S563),"'","''")&amp;"') AND lo.estado = 1 LIMIT 1)")&amp;", p_organo_inspector_no_aplica =&gt; "&amp;IF(S563="NO_APLICA","TRUE","FALSE")&amp;", p_presion_actual =&gt; "&amp;IF(T563&amp;""="","NULL",SUBSTITUTE(T563&amp;"",",","."))&amp;", p_tipo_valvula =&gt; "&amp;IF(TRIM(U563&amp;"")="","NULL","'"&amp;SUBSTITUTE(TRIM(U563),"'","''")&amp;"'")&amp;", p_libro_cilindro =&gt; "&amp;IF(TRIM(V563&amp;"")="","NULL","'"&amp;SUBSTITUTE(TRIM(V563),"'","''")&amp;"'")&amp;", p_pagina_libro =&gt; "&amp;IF(W563&amp;""="","NULL",SUBSTITUTE(W563&amp;"",",","."))&amp;", p_observacion =&gt; "&amp;IF(TRIM(X563&amp;"")="","NULL","'"&amp;SUBSTITUTE(TRIM(X563),"'","''")&amp;"'")&amp;") AS resultado_balon_"&amp;ROW()&amp;";")</f>
        <v/>
      </c>
    </row>
    <row r="564" ht="15.75" customHeight="1" s="64">
      <c r="A564" s="36" t="inlineStr">
        <is>
          <t>560</t>
        </is>
      </c>
      <c r="B564" s="25">
        <f>IF(AND(C564="",D564="",E564=""),"",IF(C564="","FALTA código balón",IF(D564="","FALTA tipo balón",IF(E564="","FALTA gas",IF(F564="","FALTA propietario",IF(AND(C564&lt;&gt;"",SUMPRODUCT(--($C$5:$C$1200=C564))&gt;1),"CÓDIGO BALÓN DUPLICADO",IF(AND(OR(UPPER(F564)="PLANTA",UPPER(F564)="CLIENTE"),G564=""),"FALTA doc propietario/planta",IF(AND(UPPER(F564)="PLANTA",G564="10175332796"),"PLANTA no puede ser RUC empresa","OK"))))))))</f>
        <v/>
      </c>
      <c r="C564" s="23" t="inlineStr">
        <is>
          <t>4156802</t>
        </is>
      </c>
      <c r="D564" s="17" t="inlineStr">
        <is>
          <t>Oxígeno Industrial 6 m³</t>
        </is>
      </c>
      <c r="E564" s="17" t="inlineStr">
        <is>
          <t>OXIGENO INDUSTRIAL</t>
        </is>
      </c>
      <c r="F564" s="17" t="inlineStr">
        <is>
          <t>EMPRESA</t>
        </is>
      </c>
      <c r="G564" s="23" t="inlineStr">
        <is>
          <t>10175332796</t>
        </is>
      </c>
      <c r="H564" s="25">
        <f t="array" ref="H564">IF(G564="","",IFERROR(IF(INDEX(Clientes!$D$5:$D$549,MATCH(G564,Clientes!$C$5:$C$549,0))&lt;&gt;"",INDEX(Clientes!$D$5:$D$549,MATCH(G564,Clientes!$C$5:$C$549,0)),TRIM(INDEX(Clientes!$E$5:$E$549,MATCH(G564,Clientes!$C$5:$C$549,0))&amp;" "&amp;INDEX(Clientes!$F$5:$F$549,MATCH(G564,Clientes!$C$5:$C$549,0)))),"NO EXISTE en Clientes"))</f>
        <v/>
      </c>
      <c r="I564" s="17" t="inlineStr">
        <is>
          <t>EN_PODER_CLIENTE</t>
        </is>
      </c>
      <c r="J564" s="17" t="n"/>
      <c r="K564" s="23" t="inlineStr">
        <is>
          <t>10176064183</t>
        </is>
      </c>
      <c r="L564" s="25">
        <f t="array" ref="L564">IF(K564="","",IFERROR(IF(INDEX(Clientes!$D$5:$D$549,MATCH(K564,Clientes!$C$5:$C$549,0))&lt;&gt;"",INDEX(Clientes!$D$5:$D$549,MATCH(K564,Clientes!$C$5:$C$549,0)),TRIM(INDEX(Clientes!$E$5:$E$549,MATCH(K564,Clientes!$C$5:$C$549,0))&amp;" "&amp;INDEX(Clientes!$F$5:$F$549,MATCH(K564,Clientes!$C$5:$C$549,0)))),"NO EXISTE en Clientes"))</f>
        <v/>
      </c>
      <c r="M564" s="17" t="n"/>
      <c r="N564" s="17" t="n"/>
      <c r="O564" s="42" t="n"/>
      <c r="P564" s="39">
        <f>IF(O564&lt;&gt;"",DATE(YEAR(O564)+5,MONTH(O564),1),IF(AND(M564&lt;&gt;"",N564&lt;&gt;""),DATE(M564+5,N564,1),""))</f>
        <v/>
      </c>
      <c r="Q564" s="23" t="n"/>
      <c r="R564" s="17" t="n"/>
      <c r="S564" s="17" t="n"/>
      <c r="T564" s="17" t="n"/>
      <c r="U564" s="17" t="n"/>
      <c r="V564" s="23" t="n"/>
      <c r="W564" s="17" t="n"/>
      <c r="X564" s="17" t="n"/>
      <c r="Y564" s="28">
        <f>IF(B564&lt;&gt;"OK","","SELECT bal_crear_balon(p_codigo_balon =&gt; "&amp;IF(TRIM(C564&amp;"")="","NULL","'"&amp;SUBSTITUTE(TRIM(C564),"'","''")&amp;"'")&amp;", p_id_tipo_balon =&gt; "&amp;"(SELECT id FROM bal_tipo_balon WHERE upper(nombre) = upper('"&amp;SUBSTITUTE(TRIM(D564),"'","''")&amp;"') AND estado = 1 LIMIT 1)"&amp;", p_id_producto_gas =&gt; "&amp;"(SELECT id FROM pro_producto WHERE es_gas = TRUE AND upper(nombre) = upper('"&amp;SUBSTITUTE(TRIM(E564),"'","''")&amp;"') AND estado = 1 LIMIT 1)"&amp;", p_id_propietario =&gt; "&amp;IF(TRIM(F564&amp;"")="","NULL","(SELECT lo.id FROM gen_lista_opciones lo JOIN gen_lista l ON l.id = lo.id_lista WHERE l.nombre = 'PropietarioBalon' AND upper(lo.nombre) = upper('"&amp;SUBSTITUTE(TRIM(F564),"'","''")&amp;"') AND lo.estado = 1 LIMIT 1)")&amp;", p_id_cliente_propietario =&gt; "&amp;IF(F564="CLIENTE",IF(TRIM(G564&amp;"")="","NULL","(SELECT id FROM cli_clientes WHERE numero_documento = '"&amp;SUBSTITUTE(TRIM(G564),"'","''")&amp;"' AND estado = 1 LIMIT 1)"),"NULL")&amp;", p_id_planta =&gt; "&amp;IF(F564="PLANTA",IF(TRIM(G564&amp;"")="","NULL","(SELECT id FROM cli_clientes WHERE numero_documento = '"&amp;SUBSTITUTE(TRIM(G564),"'","''")&amp;"'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"&amp;IF(TRIM(J564&amp;"")="","NULL","(SELECT id FROM gen_almacen WHERE upper(nombre) = upper('"&amp;SUBSTITUTE(TRIM(J564),"'","''")&amp;"') AND estado = 1 LIMIT 1)")&amp;", p_id_cliente_ubicacion =&gt; "&amp;IF(TRIM(K564&amp;"")="","NULL","(SELECT id FROM cli_clientes WHERE numero_documento = '"&amp;SUBSTITUTE(TRIM(K564),"'","''")&amp;"' AND estado = 1 LIMIT 1)")&amp;", p_id_referencia =&gt; "&amp;IF(TRIM(J564&amp;"")&lt;&gt;"","(SELECT lo.id FROM gen_lista_opciones lo JOIN gen_lista l ON l.id = lo.id_lista WHERE l.nombre = 'ReferenciaCilindro' AND upper(lo.nombre) = 'ALMACEN' AND lo.estado = 1 LIMIT 1)",IF(TRIM(K564&amp;"")&lt;&gt;"","(SELECT lo.id FROM gen_lista_opciones lo JOIN gen_lista l ON l.id = lo.id_lista WHERE l.nombre = 'ReferenciaCilindro' AND upper(lo.nombre) = 'CLIENTE' AND lo.estado = 1 LIMIT 1)","NULL"))&amp;", p_anio_fabricacion =&gt; "&amp;IF(M564&amp;""="","NULL::smallint",M564&amp;"::smallint")&amp;", p_mes_fabricacion =&gt; "&amp;IF(N564&amp;""="","NULL::smallint",N564&amp;"::smallint")&amp;", p_fecha_ultima_prueba_hidrostatica =&gt; "&amp;IF(O564&amp;""="","NULL","'"&amp;YEAR(O564)&amp;"-"&amp;TEXT(MONTH(O564),"00")&amp;"-"&amp;TEXT(DAY(O564),"00")&amp;"'")&amp;", p_numero_serie =&gt; "&amp;IF(TRIM(Q564&amp;"")="","NULL","'"&amp;SUBSTITUTE(TRIM(Q564),"'","''")&amp;"'")&amp;", p_id_marca_cilindro =&gt; "&amp;IF(TRIM(R564&amp;"")="","NULL","(SELECT lo.id FROM gen_lista_opciones lo JOIN gen_lista l ON l.id = lo.id_lista WHERE l.nombre = 'MarcaCilindro' AND upper(lo.nombre) = upper('"&amp;SUBSTITUTE(TRIM(R564),"'","''")&amp;"') AND lo.estado = 1 LIMIT 1)")&amp;", p_id_organo_inspector =&gt; "&amp;IF(TRIM(S564&amp;"")="","NULL","(SELECT lo.id FROM gen_lista_opciones lo JOIN gen_lista l ON l.id = lo.id_lista WHERE l.nombre = 'OrganoInspectorCilindro' AND upper(lo.nombre) = upper('"&amp;SUBSTITUTE(TRIM(S564),"'","''")&amp;"') AND lo.estado = 1 LIMIT 1)")&amp;", p_organo_inspector_no_aplica =&gt; "&amp;IF(S564="NO_APLICA","TRUE","FALSE")&amp;", p_presion_actual =&gt; "&amp;IF(T564&amp;""="","NULL",SUBSTITUTE(T564&amp;"",",","."))&amp;", p_tipo_valvula =&gt; "&amp;IF(TRIM(U564&amp;"")="","NULL","'"&amp;SUBSTITUTE(TRIM(U564),"'","''")&amp;"'")&amp;", p_libro_cilindro =&gt; "&amp;IF(TRIM(V564&amp;"")="","NULL","'"&amp;SUBSTITUTE(TRIM(V564),"'","''")&amp;"'")&amp;", p_pagina_libro =&gt; "&amp;IF(W564&amp;""="","NULL",SUBSTITUTE(W564&amp;"",",","."))&amp;", p_observacion =&gt; "&amp;IF(TRIM(X564&amp;"")="","NULL","'"&amp;SUBSTITUTE(TRIM(X564),"'","''")&amp;"'")&amp;") AS resultado_balon_"&amp;ROW()&amp;";")</f>
        <v/>
      </c>
    </row>
    <row r="565" ht="15.75" customHeight="1" s="64">
      <c r="A565" s="36" t="inlineStr">
        <is>
          <t>561</t>
        </is>
      </c>
      <c r="B565" s="25">
        <f>IF(AND(C565="",D565="",E565=""),"",IF(C565="","FALTA código balón",IF(D565="","FALTA tipo balón",IF(E565="","FALTA gas",IF(F565="","FALTA propietario",IF(AND(C565&lt;&gt;"",SUMPRODUCT(--($C$5:$C$1200=C565))&gt;1),"CÓDIGO BALÓN DUPLICADO",IF(AND(OR(UPPER(F565)="PLANTA",UPPER(F565)="CLIENTE"),G565=""),"FALTA doc propietario/planta",IF(AND(UPPER(F565)="PLANTA",G565="10175332796"),"PLANTA no puede ser RUC empresa","OK"))))))))</f>
        <v/>
      </c>
      <c r="C565" s="23" t="inlineStr">
        <is>
          <t>194073111</t>
        </is>
      </c>
      <c r="D565" s="17" t="inlineStr">
        <is>
          <t>Oxígeno Industrial 6 m³</t>
        </is>
      </c>
      <c r="E565" s="17" t="inlineStr">
        <is>
          <t>OXIGENO INDUSTRIAL</t>
        </is>
      </c>
      <c r="F565" s="17" t="inlineStr">
        <is>
          <t>EMPRESA</t>
        </is>
      </c>
      <c r="G565" s="23" t="inlineStr">
        <is>
          <t>10175332796</t>
        </is>
      </c>
      <c r="H565" s="25">
        <f t="array" ref="H565">IF(G565="","",IFERROR(IF(INDEX(Clientes!$D$5:$D$549,MATCH(G565,Clientes!$C$5:$C$549,0))&lt;&gt;"",INDEX(Clientes!$D$5:$D$549,MATCH(G565,Clientes!$C$5:$C$549,0)),TRIM(INDEX(Clientes!$E$5:$E$549,MATCH(G565,Clientes!$C$5:$C$549,0))&amp;" "&amp;INDEX(Clientes!$F$5:$F$549,MATCH(G565,Clientes!$C$5:$C$549,0)))),"NO EXISTE en Clientes"))</f>
        <v/>
      </c>
      <c r="I565" s="17" t="inlineStr">
        <is>
          <t>EN_PODER_CLIENTE</t>
        </is>
      </c>
      <c r="J565" s="17" t="n"/>
      <c r="K565" s="23" t="inlineStr">
        <is>
          <t>10037018738</t>
        </is>
      </c>
      <c r="L565" s="25">
        <f t="array" ref="L565">IF(K565="","",IFERROR(IF(INDEX(Clientes!$D$5:$D$549,MATCH(K565,Clientes!$C$5:$C$549,0))&lt;&gt;"",INDEX(Clientes!$D$5:$D$549,MATCH(K565,Clientes!$C$5:$C$549,0)),TRIM(INDEX(Clientes!$E$5:$E$549,MATCH(K565,Clientes!$C$5:$C$549,0))&amp;" "&amp;INDEX(Clientes!$F$5:$F$549,MATCH(K565,Clientes!$C$5:$C$549,0)))),"NO EXISTE en Clientes"))</f>
        <v/>
      </c>
      <c r="M565" s="17" t="n"/>
      <c r="N565" s="17" t="n"/>
      <c r="O565" s="42" t="n"/>
      <c r="P565" s="39">
        <f>IF(O565&lt;&gt;"",DATE(YEAR(O565)+5,MONTH(O565),1),IF(AND(M565&lt;&gt;"",N565&lt;&gt;""),DATE(M565+5,N565,1),""))</f>
        <v/>
      </c>
      <c r="Q565" s="23" t="n"/>
      <c r="R565" s="17" t="n"/>
      <c r="S565" s="17" t="n"/>
      <c r="T565" s="17" t="n"/>
      <c r="U565" s="17" t="n"/>
      <c r="V565" s="23" t="n"/>
      <c r="W565" s="17" t="n"/>
      <c r="X565" s="17" t="n"/>
      <c r="Y565" s="28">
        <f>IF(B565&lt;&gt;"OK","","SELECT bal_crear_balon(p_codigo_balon =&gt; "&amp;IF(TRIM(C565&amp;"")="","NULL","'"&amp;SUBSTITUTE(TRIM(C565),"'","''")&amp;"'")&amp;", p_id_tipo_balon =&gt; "&amp;"(SELECT id FROM bal_tipo_balon WHERE upper(nombre) = upper('"&amp;SUBSTITUTE(TRIM(D565),"'","''")&amp;"') AND estado = 1 LIMIT 1)"&amp;", p_id_producto_gas =&gt; "&amp;"(SELECT id FROM pro_producto WHERE es_gas = TRUE AND upper(nombre) = upper('"&amp;SUBSTITUTE(TRIM(E565),"'","''")&amp;"') AND estado = 1 LIMIT 1)"&amp;", p_id_propietario =&gt; "&amp;IF(TRIM(F565&amp;"")="","NULL","(SELECT lo.id FROM gen_lista_opciones lo JOIN gen_lista l ON l.id = lo.id_lista WHERE l.nombre = 'PropietarioBalon' AND upper(lo.nombre) = upper('"&amp;SUBSTITUTE(TRIM(F565),"'","''")&amp;"') AND lo.estado = 1 LIMIT 1)")&amp;", p_id_cliente_propietario =&gt; "&amp;IF(F565="CLIENTE",IF(TRIM(G565&amp;"")="","NULL","(SELECT id FROM cli_clientes WHERE numero_documento = '"&amp;SUBSTITUTE(TRIM(G565),"'","''")&amp;"' AND estado = 1 LIMIT 1)"),"NULL")&amp;", p_id_planta =&gt; "&amp;IF(F565="PLANTA",IF(TRIM(G565&amp;"")="","NULL","(SELECT id FROM cli_clientes WHERE numero_documento = '"&amp;SUBSTITUTE(TRIM(G565),"'","''")&amp;"'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"&amp;IF(TRIM(J565&amp;"")="","NULL","(SELECT id FROM gen_almacen WHERE upper(nombre) = upper('"&amp;SUBSTITUTE(TRIM(J565),"'","''")&amp;"') AND estado = 1 LIMIT 1)")&amp;", p_id_cliente_ubicacion =&gt; "&amp;IF(TRIM(K565&amp;"")="","NULL","(SELECT id FROM cli_clientes WHERE numero_documento = '"&amp;SUBSTITUTE(TRIM(K565),"'","''")&amp;"' AND estado = 1 LIMIT 1)")&amp;", p_id_referencia =&gt; "&amp;IF(TRIM(J565&amp;"")&lt;&gt;"","(SELECT lo.id FROM gen_lista_opciones lo JOIN gen_lista l ON l.id = lo.id_lista WHERE l.nombre = 'ReferenciaCilindro' AND upper(lo.nombre) = 'ALMACEN' AND lo.estado = 1 LIMIT 1)",IF(TRIM(K565&amp;"")&lt;&gt;"","(SELECT lo.id FROM gen_lista_opciones lo JOIN gen_lista l ON l.id = lo.id_lista WHERE l.nombre = 'ReferenciaCilindro' AND upper(lo.nombre) = 'CLIENTE' AND lo.estado = 1 LIMIT 1)","NULL"))&amp;", p_anio_fabricacion =&gt; "&amp;IF(M565&amp;""="","NULL::smallint",M565&amp;"::smallint")&amp;", p_mes_fabricacion =&gt; "&amp;IF(N565&amp;""="","NULL::smallint",N565&amp;"::smallint")&amp;", p_fecha_ultima_prueba_hidrostatica =&gt; "&amp;IF(O565&amp;""="","NULL","'"&amp;YEAR(O565)&amp;"-"&amp;TEXT(MONTH(O565),"00")&amp;"-"&amp;TEXT(DAY(O565),"00")&amp;"'")&amp;", p_numero_serie =&gt; "&amp;IF(TRIM(Q565&amp;"")="","NULL","'"&amp;SUBSTITUTE(TRIM(Q565),"'","''")&amp;"'")&amp;", p_id_marca_cilindro =&gt; "&amp;IF(TRIM(R565&amp;"")="","NULL","(SELECT lo.id FROM gen_lista_opciones lo JOIN gen_lista l ON l.id = lo.id_lista WHERE l.nombre = 'MarcaCilindro' AND upper(lo.nombre) = upper('"&amp;SUBSTITUTE(TRIM(R565),"'","''")&amp;"') AND lo.estado = 1 LIMIT 1)")&amp;", p_id_organo_inspector =&gt; "&amp;IF(TRIM(S565&amp;"")="","NULL","(SELECT lo.id FROM gen_lista_opciones lo JOIN gen_lista l ON l.id = lo.id_lista WHERE l.nombre = 'OrganoInspectorCilindro' AND upper(lo.nombre) = upper('"&amp;SUBSTITUTE(TRIM(S565),"'","''")&amp;"') AND lo.estado = 1 LIMIT 1)")&amp;", p_organo_inspector_no_aplica =&gt; "&amp;IF(S565="NO_APLICA","TRUE","FALSE")&amp;", p_presion_actual =&gt; "&amp;IF(T565&amp;""="","NULL",SUBSTITUTE(T565&amp;"",",","."))&amp;", p_tipo_valvula =&gt; "&amp;IF(TRIM(U565&amp;"")="","NULL","'"&amp;SUBSTITUTE(TRIM(U565),"'","''")&amp;"'")&amp;", p_libro_cilindro =&gt; "&amp;IF(TRIM(V565&amp;"")="","NULL","'"&amp;SUBSTITUTE(TRIM(V565),"'","''")&amp;"'")&amp;", p_pagina_libro =&gt; "&amp;IF(W565&amp;""="","NULL",SUBSTITUTE(W565&amp;"",",","."))&amp;", p_observacion =&gt; "&amp;IF(TRIM(X565&amp;"")="","NULL","'"&amp;SUBSTITUTE(TRIM(X565),"'","''")&amp;"'")&amp;") AS resultado_balon_"&amp;ROW()&amp;";")</f>
        <v/>
      </c>
    </row>
    <row r="566" ht="15.75" customHeight="1" s="64">
      <c r="A566" s="36" t="inlineStr">
        <is>
          <t>562</t>
        </is>
      </c>
      <c r="B566" s="25">
        <f>IF(AND(C566="",D566="",E566=""),"",IF(C566="","FALTA código balón",IF(D566="","FALTA tipo balón",IF(E566="","FALTA gas",IF(F566="","FALTA propietario",IF(AND(C566&lt;&gt;"",SUMPRODUCT(--($C$5:$C$1200=C566))&gt;1),"CÓDIGO BALÓN DUPLICADO",IF(AND(OR(UPPER(F566)="PLANTA",UPPER(F566)="CLIENTE"),G566=""),"FALTA doc propietario/planta",IF(AND(UPPER(F566)="PLANTA",G566="10175332796"),"PLANTA no puede ser RUC empresa","OK"))))))))</f>
        <v/>
      </c>
      <c r="C566" s="23" t="inlineStr">
        <is>
          <t>20K646041</t>
        </is>
      </c>
      <c r="D566" s="17" t="inlineStr">
        <is>
          <t>Oxígeno Industrial 10 m³</t>
        </is>
      </c>
      <c r="E566" s="17" t="inlineStr">
        <is>
          <t>OXIGENO INDUSTRIAL</t>
        </is>
      </c>
      <c r="F566" s="17" t="inlineStr">
        <is>
          <t>EMPRESA</t>
        </is>
      </c>
      <c r="G566" s="23" t="inlineStr">
        <is>
          <t>10175332796</t>
        </is>
      </c>
      <c r="H566" s="25">
        <f t="array" ref="H566">IF(G566="","",IFERROR(IF(INDEX(Clientes!$D$5:$D$549,MATCH(G566,Clientes!$C$5:$C$549,0))&lt;&gt;"",INDEX(Clientes!$D$5:$D$549,MATCH(G566,Clientes!$C$5:$C$549,0)),TRIM(INDEX(Clientes!$E$5:$E$549,MATCH(G566,Clientes!$C$5:$C$549,0))&amp;" "&amp;INDEX(Clientes!$F$5:$F$549,MATCH(G566,Clientes!$C$5:$C$549,0)))),"NO EXISTE en Clientes"))</f>
        <v/>
      </c>
      <c r="I566" s="17" t="inlineStr">
        <is>
          <t>EN_PODER_CLIENTE</t>
        </is>
      </c>
      <c r="J566" s="17" t="n"/>
      <c r="K566" s="23" t="inlineStr">
        <is>
          <t>10176032800</t>
        </is>
      </c>
      <c r="L566" s="25">
        <f t="array" ref="L566">IF(K566="","",IFERROR(IF(INDEX(Clientes!$D$5:$D$549,MATCH(K566,Clientes!$C$5:$C$549,0))&lt;&gt;"",INDEX(Clientes!$D$5:$D$549,MATCH(K566,Clientes!$C$5:$C$549,0)),TRIM(INDEX(Clientes!$E$5:$E$549,MATCH(K566,Clientes!$C$5:$C$549,0))&amp;" "&amp;INDEX(Clientes!$F$5:$F$549,MATCH(K566,Clientes!$C$5:$C$549,0)))),"NO EXISTE en Clientes"))</f>
        <v/>
      </c>
      <c r="M566" s="17" t="n"/>
      <c r="N566" s="17" t="n"/>
      <c r="O566" s="42" t="n"/>
      <c r="P566" s="39">
        <f>IF(O566&lt;&gt;"",DATE(YEAR(O566)+5,MONTH(O566),1),IF(AND(M566&lt;&gt;"",N566&lt;&gt;""),DATE(M566+5,N566,1),""))</f>
        <v/>
      </c>
      <c r="Q566" s="23" t="n"/>
      <c r="R566" s="17" t="n"/>
      <c r="S566" s="17" t="n"/>
      <c r="T566" s="17" t="n"/>
      <c r="U566" s="17" t="n"/>
      <c r="V566" s="23" t="n"/>
      <c r="W566" s="17" t="n"/>
      <c r="X566" s="17" t="n"/>
      <c r="Y566" s="28">
        <f>IF(B566&lt;&gt;"OK","","SELECT bal_crear_balon(p_codigo_balon =&gt; "&amp;IF(TRIM(C566&amp;"")="","NULL","'"&amp;SUBSTITUTE(TRIM(C566),"'","''")&amp;"'")&amp;", p_id_tipo_balon =&gt; "&amp;"(SELECT id FROM bal_tipo_balon WHERE upper(nombre) = upper('"&amp;SUBSTITUTE(TRIM(D566),"'","''")&amp;"') AND estado = 1 LIMIT 1)"&amp;", p_id_producto_gas =&gt; "&amp;"(SELECT id FROM pro_producto WHERE es_gas = TRUE AND upper(nombre) = upper('"&amp;SUBSTITUTE(TRIM(E566),"'","''")&amp;"') AND estado = 1 LIMIT 1)"&amp;", p_id_propietario =&gt; "&amp;IF(TRIM(F566&amp;"")="","NULL","(SELECT lo.id FROM gen_lista_opciones lo JOIN gen_lista l ON l.id = lo.id_lista WHERE l.nombre = 'PropietarioBalon' AND upper(lo.nombre) = upper('"&amp;SUBSTITUTE(TRIM(F566),"'","''")&amp;"') AND lo.estado = 1 LIMIT 1)")&amp;", p_id_cliente_propietario =&gt; "&amp;IF(F566="CLIENTE",IF(TRIM(G566&amp;"")="","NULL","(SELECT id FROM cli_clientes WHERE numero_documento = '"&amp;SUBSTITUTE(TRIM(G566),"'","''")&amp;"' AND estado = 1 LIMIT 1)"),"NULL")&amp;", p_id_planta =&gt; "&amp;IF(F566="PLANTA",IF(TRIM(G566&amp;"")="","NULL","(SELECT id FROM cli_clientes WHERE numero_documento = '"&amp;SUBSTITUTE(TRIM(G566),"'","''")&amp;"'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"&amp;IF(TRIM(J566&amp;"")="","NULL","(SELECT id FROM gen_almacen WHERE upper(nombre) = upper('"&amp;SUBSTITUTE(TRIM(J566),"'","''")&amp;"') AND estado = 1 LIMIT 1)")&amp;", p_id_cliente_ubicacion =&gt; "&amp;IF(TRIM(K566&amp;"")="","NULL","(SELECT id FROM cli_clientes WHERE numero_documento = '"&amp;SUBSTITUTE(TRIM(K566),"'","''")&amp;"' AND estado = 1 LIMIT 1)")&amp;", p_id_referencia =&gt; "&amp;IF(TRIM(J566&amp;"")&lt;&gt;"","(SELECT lo.id FROM gen_lista_opciones lo JOIN gen_lista l ON l.id = lo.id_lista WHERE l.nombre = 'ReferenciaCilindro' AND upper(lo.nombre) = 'ALMACEN' AND lo.estado = 1 LIMIT 1)",IF(TRIM(K566&amp;"")&lt;&gt;"","(SELECT lo.id FROM gen_lista_opciones lo JOIN gen_lista l ON l.id = lo.id_lista WHERE l.nombre = 'ReferenciaCilindro' AND upper(lo.nombre) = 'CLIENTE' AND lo.estado = 1 LIMIT 1)","NULL"))&amp;", p_anio_fabricacion =&gt; "&amp;IF(M566&amp;""="","NULL::smallint",M566&amp;"::smallint")&amp;", p_mes_fabricacion =&gt; "&amp;IF(N566&amp;""="","NULL::smallint",N566&amp;"::smallint")&amp;", p_fecha_ultima_prueba_hidrostatica =&gt; "&amp;IF(O566&amp;""="","NULL","'"&amp;YEAR(O566)&amp;"-"&amp;TEXT(MONTH(O566),"00")&amp;"-"&amp;TEXT(DAY(O566),"00")&amp;"'")&amp;", p_numero_serie =&gt; "&amp;IF(TRIM(Q566&amp;"")="","NULL","'"&amp;SUBSTITUTE(TRIM(Q566),"'","''")&amp;"'")&amp;", p_id_marca_cilindro =&gt; "&amp;IF(TRIM(R566&amp;"")="","NULL","(SELECT lo.id FROM gen_lista_opciones lo JOIN gen_lista l ON l.id = lo.id_lista WHERE l.nombre = 'MarcaCilindro' AND upper(lo.nombre) = upper('"&amp;SUBSTITUTE(TRIM(R566),"'","''")&amp;"') AND lo.estado = 1 LIMIT 1)")&amp;", p_id_organo_inspector =&gt; "&amp;IF(TRIM(S566&amp;"")="","NULL","(SELECT lo.id FROM gen_lista_opciones lo JOIN gen_lista l ON l.id = lo.id_lista WHERE l.nombre = 'OrganoInspectorCilindro' AND upper(lo.nombre) = upper('"&amp;SUBSTITUTE(TRIM(S566),"'","''")&amp;"') AND lo.estado = 1 LIMIT 1)")&amp;", p_organo_inspector_no_aplica =&gt; "&amp;IF(S566="NO_APLICA","TRUE","FALSE")&amp;", p_presion_actual =&gt; "&amp;IF(T566&amp;""="","NULL",SUBSTITUTE(T566&amp;"",",","."))&amp;", p_tipo_valvula =&gt; "&amp;IF(TRIM(U566&amp;"")="","NULL","'"&amp;SUBSTITUTE(TRIM(U566),"'","''")&amp;"'")&amp;", p_libro_cilindro =&gt; "&amp;IF(TRIM(V566&amp;"")="","NULL","'"&amp;SUBSTITUTE(TRIM(V566),"'","''")&amp;"'")&amp;", p_pagina_libro =&gt; "&amp;IF(W566&amp;""="","NULL",SUBSTITUTE(W566&amp;"",",","."))&amp;", p_observacion =&gt; "&amp;IF(TRIM(X566&amp;"")="","NULL","'"&amp;SUBSTITUTE(TRIM(X566),"'","''")&amp;"'")&amp;") AS resultado_balon_"&amp;ROW()&amp;";")</f>
        <v/>
      </c>
    </row>
    <row r="567" ht="15.75" customHeight="1" s="64">
      <c r="A567" s="36" t="inlineStr">
        <is>
          <t>563</t>
        </is>
      </c>
      <c r="B567" s="25">
        <f>IF(AND(C567="",D567="",E567=""),"",IF(C567="","FALTA código balón",IF(D567="","FALTA tipo balón",IF(E567="","FALTA gas",IF(F567="","FALTA propietario",IF(AND(C567&lt;&gt;"",SUMPRODUCT(--($C$5:$C$1200=C567))&gt;1),"CÓDIGO BALÓN DUPLICADO",IF(AND(OR(UPPER(F567)="PLANTA",UPPER(F567)="CLIENTE"),G567=""),"FALTA doc propietario/planta",IF(AND(UPPER(F567)="PLANTA",G567="10175332796"),"PLANTA no puede ser RUC empresa","OK"))))))))</f>
        <v/>
      </c>
      <c r="C567" s="23" t="inlineStr">
        <is>
          <t>EC059086</t>
        </is>
      </c>
      <c r="D567" s="17" t="inlineStr">
        <is>
          <t>Oxígeno Industrial 10 m³</t>
        </is>
      </c>
      <c r="E567" s="17" t="inlineStr">
        <is>
          <t>OXIGENO INDUSTRIAL</t>
        </is>
      </c>
      <c r="F567" s="17" t="inlineStr">
        <is>
          <t>EMPRESA</t>
        </is>
      </c>
      <c r="G567" s="23" t="inlineStr">
        <is>
          <t>10175332796</t>
        </is>
      </c>
      <c r="H567" s="25">
        <f t="array" ref="H567">IF(G567="","",IFERROR(IF(INDEX(Clientes!$D$5:$D$549,MATCH(G567,Clientes!$C$5:$C$549,0))&lt;&gt;"",INDEX(Clientes!$D$5:$D$549,MATCH(G567,Clientes!$C$5:$C$549,0)),TRIM(INDEX(Clientes!$E$5:$E$549,MATCH(G567,Clientes!$C$5:$C$549,0))&amp;" "&amp;INDEX(Clientes!$F$5:$F$549,MATCH(G567,Clientes!$C$5:$C$549,0)))),"NO EXISTE en Clientes"))</f>
        <v/>
      </c>
      <c r="I567" s="17" t="inlineStr">
        <is>
          <t>EN_PODER_CLIENTE</t>
        </is>
      </c>
      <c r="J567" s="17" t="n"/>
      <c r="K567" s="23" t="inlineStr">
        <is>
          <t>10176032800</t>
        </is>
      </c>
      <c r="L567" s="25">
        <f t="array" ref="L567">IF(K567="","",IFERROR(IF(INDEX(Clientes!$D$5:$D$549,MATCH(K567,Clientes!$C$5:$C$549,0))&lt;&gt;"",INDEX(Clientes!$D$5:$D$549,MATCH(K567,Clientes!$C$5:$C$549,0)),TRIM(INDEX(Clientes!$E$5:$E$549,MATCH(K567,Clientes!$C$5:$C$549,0))&amp;" "&amp;INDEX(Clientes!$F$5:$F$549,MATCH(K567,Clientes!$C$5:$C$549,0)))),"NO EXISTE en Clientes"))</f>
        <v/>
      </c>
      <c r="M567" s="17" t="n"/>
      <c r="N567" s="17" t="n"/>
      <c r="O567" s="42" t="n"/>
      <c r="P567" s="39">
        <f>IF(O567&lt;&gt;"",DATE(YEAR(O567)+5,MONTH(O567),1),IF(AND(M567&lt;&gt;"",N567&lt;&gt;""),DATE(M567+5,N567,1),""))</f>
        <v/>
      </c>
      <c r="Q567" s="23" t="n"/>
      <c r="R567" s="17" t="n"/>
      <c r="S567" s="17" t="n"/>
      <c r="T567" s="17" t="n"/>
      <c r="U567" s="17" t="n"/>
      <c r="V567" s="23" t="n"/>
      <c r="W567" s="17" t="n"/>
      <c r="X567" s="17" t="n"/>
      <c r="Y567" s="28">
        <f>IF(B567&lt;&gt;"OK","","SELECT bal_crear_balon(p_codigo_balon =&gt; "&amp;IF(TRIM(C567&amp;"")="","NULL","'"&amp;SUBSTITUTE(TRIM(C567),"'","''")&amp;"'")&amp;", p_id_tipo_balon =&gt; "&amp;"(SELECT id FROM bal_tipo_balon WHERE upper(nombre) = upper('"&amp;SUBSTITUTE(TRIM(D567),"'","''")&amp;"') AND estado = 1 LIMIT 1)"&amp;", p_id_producto_gas =&gt; "&amp;"(SELECT id FROM pro_producto WHERE es_gas = TRUE AND upper(nombre) = upper('"&amp;SUBSTITUTE(TRIM(E567),"'","''")&amp;"') AND estado = 1 LIMIT 1)"&amp;", p_id_propietario =&gt; "&amp;IF(TRIM(F567&amp;"")="","NULL","(SELECT lo.id FROM gen_lista_opciones lo JOIN gen_lista l ON l.id = lo.id_lista WHERE l.nombre = 'PropietarioBalon' AND upper(lo.nombre) = upper('"&amp;SUBSTITUTE(TRIM(F567),"'","''")&amp;"') AND lo.estado = 1 LIMIT 1)")&amp;", p_id_cliente_propietario =&gt; "&amp;IF(F567="CLIENTE",IF(TRIM(G567&amp;"")="","NULL","(SELECT id FROM cli_clientes WHERE numero_documento = '"&amp;SUBSTITUTE(TRIM(G567),"'","''")&amp;"' AND estado = 1 LIMIT 1)"),"NULL")&amp;", p_id_planta =&gt; "&amp;IF(F567="PLANTA",IF(TRIM(G567&amp;"")="","NULL","(SELECT id FROM cli_clientes WHERE numero_documento = '"&amp;SUBSTITUTE(TRIM(G567),"'","''")&amp;"'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"&amp;IF(TRIM(J567&amp;"")="","NULL","(SELECT id FROM gen_almacen WHERE upper(nombre) = upper('"&amp;SUBSTITUTE(TRIM(J567),"'","''")&amp;"') AND estado = 1 LIMIT 1)")&amp;", p_id_cliente_ubicacion =&gt; "&amp;IF(TRIM(K567&amp;"")="","NULL","(SELECT id FROM cli_clientes WHERE numero_documento = '"&amp;SUBSTITUTE(TRIM(K567),"'","''")&amp;"' AND estado = 1 LIMIT 1)")&amp;", p_id_referencia =&gt; "&amp;IF(TRIM(J567&amp;"")&lt;&gt;"","(SELECT lo.id FROM gen_lista_opciones lo JOIN gen_lista l ON l.id = lo.id_lista WHERE l.nombre = 'ReferenciaCilindro' AND upper(lo.nombre) = 'ALMACEN' AND lo.estado = 1 LIMIT 1)",IF(TRIM(K567&amp;"")&lt;&gt;"","(SELECT lo.id FROM gen_lista_opciones lo JOIN gen_lista l ON l.id = lo.id_lista WHERE l.nombre = 'ReferenciaCilindro' AND upper(lo.nombre) = 'CLIENTE' AND lo.estado = 1 LIMIT 1)","NULL"))&amp;", p_anio_fabricacion =&gt; "&amp;IF(M567&amp;""="","NULL::smallint",M567&amp;"::smallint")&amp;", p_mes_fabricacion =&gt; "&amp;IF(N567&amp;""="","NULL::smallint",N567&amp;"::smallint")&amp;", p_fecha_ultima_prueba_hidrostatica =&gt; "&amp;IF(O567&amp;""="","NULL","'"&amp;YEAR(O567)&amp;"-"&amp;TEXT(MONTH(O567),"00")&amp;"-"&amp;TEXT(DAY(O567),"00")&amp;"'")&amp;", p_numero_serie =&gt; "&amp;IF(TRIM(Q567&amp;"")="","NULL","'"&amp;SUBSTITUTE(TRIM(Q567),"'","''")&amp;"'")&amp;", p_id_marca_cilindro =&gt; "&amp;IF(TRIM(R567&amp;"")="","NULL","(SELECT lo.id FROM gen_lista_opciones lo JOIN gen_lista l ON l.id = lo.id_lista WHERE l.nombre = 'MarcaCilindro' AND upper(lo.nombre) = upper('"&amp;SUBSTITUTE(TRIM(R567),"'","''")&amp;"') AND lo.estado = 1 LIMIT 1)")&amp;", p_id_organo_inspector =&gt; "&amp;IF(TRIM(S567&amp;"")="","NULL","(SELECT lo.id FROM gen_lista_opciones lo JOIN gen_lista l ON l.id = lo.id_lista WHERE l.nombre = 'OrganoInspectorCilindro' AND upper(lo.nombre) = upper('"&amp;SUBSTITUTE(TRIM(S567),"'","''")&amp;"') AND lo.estado = 1 LIMIT 1)")&amp;", p_organo_inspector_no_aplica =&gt; "&amp;IF(S567="NO_APLICA","TRUE","FALSE")&amp;", p_presion_actual =&gt; "&amp;IF(T567&amp;""="","NULL",SUBSTITUTE(T567&amp;"",",","."))&amp;", p_tipo_valvula =&gt; "&amp;IF(TRIM(U567&amp;"")="","NULL","'"&amp;SUBSTITUTE(TRIM(U567),"'","''")&amp;"'")&amp;", p_libro_cilindro =&gt; "&amp;IF(TRIM(V567&amp;"")="","NULL","'"&amp;SUBSTITUTE(TRIM(V567),"'","''")&amp;"'")&amp;", p_pagina_libro =&gt; "&amp;IF(W567&amp;""="","NULL",SUBSTITUTE(W567&amp;"",",","."))&amp;", p_observacion =&gt; "&amp;IF(TRIM(X567&amp;"")="","NULL","'"&amp;SUBSTITUTE(TRIM(X567),"'","''")&amp;"'")&amp;") AS resultado_balon_"&amp;ROW()&amp;";")</f>
        <v/>
      </c>
    </row>
    <row r="568" ht="15.75" customHeight="1" s="64">
      <c r="A568" s="36" t="inlineStr">
        <is>
          <t>564</t>
        </is>
      </c>
      <c r="B568" s="25">
        <f>IF(AND(C568="",D568="",E568=""),"",IF(C568="","FALTA código balón",IF(D568="","FALTA tipo balón",IF(E568="","FALTA gas",IF(F568="","FALTA propietario",IF(AND(C568&lt;&gt;"",SUMPRODUCT(--($C$5:$C$1200=C568))&gt;1),"CÓDIGO BALÓN DUPLICADO",IF(AND(OR(UPPER(F568)="PLANTA",UPPER(F568)="CLIENTE"),G568=""),"FALTA doc propietario/planta",IF(AND(UPPER(F568)="PLANTA",G568="10175332796"),"PLANTA no puede ser RUC empresa","OK"))))))))</f>
        <v/>
      </c>
      <c r="C568" s="23" t="inlineStr">
        <is>
          <t>N261197</t>
        </is>
      </c>
      <c r="D568" s="17" t="inlineStr">
        <is>
          <t>Oxígeno Industrial 6 m³</t>
        </is>
      </c>
      <c r="E568" s="17" t="inlineStr">
        <is>
          <t>OXIGENO INDUSTRIAL</t>
        </is>
      </c>
      <c r="F568" s="17" t="inlineStr">
        <is>
          <t>EMPRESA</t>
        </is>
      </c>
      <c r="G568" s="23" t="inlineStr">
        <is>
          <t>10175332796</t>
        </is>
      </c>
      <c r="H568" s="25">
        <f t="array" ref="H568">IF(G568="","",IFERROR(IF(INDEX(Clientes!$D$5:$D$549,MATCH(G568,Clientes!$C$5:$C$549,0))&lt;&gt;"",INDEX(Clientes!$D$5:$D$549,MATCH(G568,Clientes!$C$5:$C$549,0)),TRIM(INDEX(Clientes!$E$5:$E$549,MATCH(G568,Clientes!$C$5:$C$549,0))&amp;" "&amp;INDEX(Clientes!$F$5:$F$549,MATCH(G568,Clientes!$C$5:$C$549,0)))),"NO EXISTE en Clientes"))</f>
        <v/>
      </c>
      <c r="I568" s="17" t="inlineStr">
        <is>
          <t>EN_PODER_CLIENTE</t>
        </is>
      </c>
      <c r="J568" s="17" t="n"/>
      <c r="K568" s="23" t="inlineStr">
        <is>
          <t>000043</t>
        </is>
      </c>
      <c r="L568" s="25">
        <f t="array" ref="L568">IF(K568="","",IFERROR(IF(INDEX(Clientes!$D$5:$D$549,MATCH(K568,Clientes!$C$5:$C$549,0))&lt;&gt;"",INDEX(Clientes!$D$5:$D$549,MATCH(K568,Clientes!$C$5:$C$549,0)),TRIM(INDEX(Clientes!$E$5:$E$549,MATCH(K568,Clientes!$C$5:$C$549,0))&amp;" "&amp;INDEX(Clientes!$F$5:$F$549,MATCH(K568,Clientes!$C$5:$C$549,0)))),"NO EXISTE en Clientes"))</f>
        <v/>
      </c>
      <c r="M568" s="17" t="n"/>
      <c r="N568" s="17" t="n"/>
      <c r="O568" s="42" t="n"/>
      <c r="P568" s="39">
        <f>IF(O568&lt;&gt;"",DATE(YEAR(O568)+5,MONTH(O568),1),IF(AND(M568&lt;&gt;"",N568&lt;&gt;""),DATE(M568+5,N568,1),""))</f>
        <v/>
      </c>
      <c r="Q568" s="23" t="n"/>
      <c r="R568" s="17" t="n"/>
      <c r="S568" s="17" t="n"/>
      <c r="T568" s="17" t="n"/>
      <c r="U568" s="17" t="n"/>
      <c r="V568" s="23" t="n"/>
      <c r="W568" s="17" t="n"/>
      <c r="X568" s="17" t="n"/>
      <c r="Y568" s="28">
        <f>IF(B568&lt;&gt;"OK","","SELECT bal_crear_balon(p_codigo_balon =&gt; "&amp;IF(TRIM(C568&amp;"")="","NULL","'"&amp;SUBSTITUTE(TRIM(C568),"'","''")&amp;"'")&amp;", p_id_tipo_balon =&gt; "&amp;"(SELECT id FROM bal_tipo_balon WHERE upper(nombre) = upper('"&amp;SUBSTITUTE(TRIM(D568),"'","''")&amp;"') AND estado = 1 LIMIT 1)"&amp;", p_id_producto_gas =&gt; "&amp;"(SELECT id FROM pro_producto WHERE es_gas = TRUE AND upper(nombre) = upper('"&amp;SUBSTITUTE(TRIM(E568),"'","''")&amp;"') AND estado = 1 LIMIT 1)"&amp;", p_id_propietario =&gt; "&amp;IF(TRIM(F568&amp;"")="","NULL","(SELECT lo.id FROM gen_lista_opciones lo JOIN gen_lista l ON l.id = lo.id_lista WHERE l.nombre = 'PropietarioBalon' AND upper(lo.nombre) = upper('"&amp;SUBSTITUTE(TRIM(F568),"'","''")&amp;"') AND lo.estado = 1 LIMIT 1)")&amp;", p_id_cliente_propietario =&gt; "&amp;IF(F568="CLIENTE",IF(TRIM(G568&amp;"")="","NULL","(SELECT id FROM cli_clientes WHERE numero_documento = '"&amp;SUBSTITUTE(TRIM(G568),"'","''")&amp;"' AND estado = 1 LIMIT 1)"),"NULL")&amp;", p_id_planta =&gt; "&amp;IF(F568="PLANTA",IF(TRIM(G568&amp;"")="","NULL","(SELECT id FROM cli_clientes WHERE numero_documento = '"&amp;SUBSTITUTE(TRIM(G568),"'","''")&amp;"'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"&amp;IF(TRIM(J568&amp;"")="","NULL","(SELECT id FROM gen_almacen WHERE upper(nombre) = upper('"&amp;SUBSTITUTE(TRIM(J568),"'","''")&amp;"') AND estado = 1 LIMIT 1)")&amp;", p_id_cliente_ubicacion =&gt; "&amp;IF(TRIM(K568&amp;"")="","NULL","(SELECT id FROM cli_clientes WHERE numero_documento = '"&amp;SUBSTITUTE(TRIM(K568),"'","''")&amp;"' AND estado = 1 LIMIT 1)")&amp;", p_id_referencia =&gt; "&amp;IF(TRIM(J568&amp;"")&lt;&gt;"","(SELECT lo.id FROM gen_lista_opciones lo JOIN gen_lista l ON l.id = lo.id_lista WHERE l.nombre = 'ReferenciaCilindro' AND upper(lo.nombre) = 'ALMACEN' AND lo.estado = 1 LIMIT 1)",IF(TRIM(K568&amp;"")&lt;&gt;"","(SELECT lo.id FROM gen_lista_opciones lo JOIN gen_lista l ON l.id = lo.id_lista WHERE l.nombre = 'ReferenciaCilindro' AND upper(lo.nombre) = 'CLIENTE' AND lo.estado = 1 LIMIT 1)","NULL"))&amp;", p_anio_fabricacion =&gt; "&amp;IF(M568&amp;""="","NULL::smallint",M568&amp;"::smallint")&amp;", p_mes_fabricacion =&gt; "&amp;IF(N568&amp;""="","NULL::smallint",N568&amp;"::smallint")&amp;", p_fecha_ultima_prueba_hidrostatica =&gt; "&amp;IF(O568&amp;""="","NULL","'"&amp;YEAR(O568)&amp;"-"&amp;TEXT(MONTH(O568),"00")&amp;"-"&amp;TEXT(DAY(O568),"00")&amp;"'")&amp;", p_numero_serie =&gt; "&amp;IF(TRIM(Q568&amp;"")="","NULL","'"&amp;SUBSTITUTE(TRIM(Q568),"'","''")&amp;"'")&amp;", p_id_marca_cilindro =&gt; "&amp;IF(TRIM(R568&amp;"")="","NULL","(SELECT lo.id FROM gen_lista_opciones lo JOIN gen_lista l ON l.id = lo.id_lista WHERE l.nombre = 'MarcaCilindro' AND upper(lo.nombre) = upper('"&amp;SUBSTITUTE(TRIM(R568),"'","''")&amp;"') AND lo.estado = 1 LIMIT 1)")&amp;", p_id_organo_inspector =&gt; "&amp;IF(TRIM(S568&amp;"")="","NULL","(SELECT lo.id FROM gen_lista_opciones lo JOIN gen_lista l ON l.id = lo.id_lista WHERE l.nombre = 'OrganoInspectorCilindro' AND upper(lo.nombre) = upper('"&amp;SUBSTITUTE(TRIM(S568),"'","''")&amp;"') AND lo.estado = 1 LIMIT 1)")&amp;", p_organo_inspector_no_aplica =&gt; "&amp;IF(S568="NO_APLICA","TRUE","FALSE")&amp;", p_presion_actual =&gt; "&amp;IF(T568&amp;""="","NULL",SUBSTITUTE(T568&amp;"",",","."))&amp;", p_tipo_valvula =&gt; "&amp;IF(TRIM(U568&amp;"")="","NULL","'"&amp;SUBSTITUTE(TRIM(U568),"'","''")&amp;"'")&amp;", p_libro_cilindro =&gt; "&amp;IF(TRIM(V568&amp;"")="","NULL","'"&amp;SUBSTITUTE(TRIM(V568),"'","''")&amp;"'")&amp;", p_pagina_libro =&gt; "&amp;IF(W568&amp;""="","NULL",SUBSTITUTE(W568&amp;"",",","."))&amp;", p_observacion =&gt; "&amp;IF(TRIM(X568&amp;"")="","NULL","'"&amp;SUBSTITUTE(TRIM(X568),"'","''")&amp;"'")&amp;") AS resultado_balon_"&amp;ROW()&amp;";")</f>
        <v/>
      </c>
    </row>
    <row r="569" ht="15.75" customHeight="1" s="64">
      <c r="A569" s="36" t="inlineStr">
        <is>
          <t>565</t>
        </is>
      </c>
      <c r="B569" s="25">
        <f>IF(AND(C569="",D569="",E569=""),"",IF(C569="","FALTA código balón",IF(D569="","FALTA tipo balón",IF(E569="","FALTA gas",IF(F569="","FALTA propietario",IF(AND(C569&lt;&gt;"",SUMPRODUCT(--($C$5:$C$1200=C569))&gt;1),"CÓDIGO BALÓN DUPLICADO",IF(AND(OR(UPPER(F569)="PLANTA",UPPER(F569)="CLIENTE"),G569=""),"FALTA doc propietario/planta",IF(AND(UPPER(F569)="PLANTA",G569="10175332796"),"PLANTA no puede ser RUC empresa","OK"))))))))</f>
        <v/>
      </c>
      <c r="C569" s="23" t="inlineStr">
        <is>
          <t>K4795010</t>
        </is>
      </c>
      <c r="D569" s="17" t="inlineStr">
        <is>
          <t>Oxígeno Medicinal 10 m³</t>
        </is>
      </c>
      <c r="E569" s="17" t="inlineStr">
        <is>
          <t>OXIGENO MEDICINAL</t>
        </is>
      </c>
      <c r="F569" s="17" t="inlineStr">
        <is>
          <t>EMPRESA</t>
        </is>
      </c>
      <c r="G569" s="23" t="inlineStr">
        <is>
          <t>10175332796</t>
        </is>
      </c>
      <c r="H569" s="25">
        <f t="array" ref="H569">IF(G569="","",IFERROR(IF(INDEX(Clientes!$D$5:$D$549,MATCH(G569,Clientes!$C$5:$C$549,0))&lt;&gt;"",INDEX(Clientes!$D$5:$D$549,MATCH(G569,Clientes!$C$5:$C$549,0)),TRIM(INDEX(Clientes!$E$5:$E$549,MATCH(G569,Clientes!$C$5:$C$549,0))&amp;" "&amp;INDEX(Clientes!$F$5:$F$549,MATCH(G569,Clientes!$C$5:$C$549,0)))),"NO EXISTE en Clientes"))</f>
        <v/>
      </c>
      <c r="I569" s="17" t="inlineStr">
        <is>
          <t>EN_PODER_CLIENTE</t>
        </is>
      </c>
      <c r="J569" s="17" t="n"/>
      <c r="K569" s="23" t="inlineStr">
        <is>
          <t>20103324948</t>
        </is>
      </c>
      <c r="L569" s="25">
        <f t="array" ref="L569">IF(K569="","",IFERROR(IF(INDEX(Clientes!$D$5:$D$549,MATCH(K569,Clientes!$C$5:$C$549,0))&lt;&gt;"",INDEX(Clientes!$D$5:$D$549,MATCH(K569,Clientes!$C$5:$C$549,0)),TRIM(INDEX(Clientes!$E$5:$E$549,MATCH(K569,Clientes!$C$5:$C$549,0))&amp;" "&amp;INDEX(Clientes!$F$5:$F$549,MATCH(K569,Clientes!$C$5:$C$549,0)))),"NO EXISTE en Clientes"))</f>
        <v/>
      </c>
      <c r="M569" s="17" t="n"/>
      <c r="N569" s="17" t="n"/>
      <c r="O569" s="42" t="n"/>
      <c r="P569" s="39">
        <f>IF(O569&lt;&gt;"",DATE(YEAR(O569)+5,MONTH(O569),1),IF(AND(M569&lt;&gt;"",N569&lt;&gt;""),DATE(M569+5,N569,1),""))</f>
        <v/>
      </c>
      <c r="Q569" s="23" t="n"/>
      <c r="R569" s="17" t="n"/>
      <c r="S569" s="17" t="n"/>
      <c r="T569" s="17" t="n"/>
      <c r="U569" s="17" t="n"/>
      <c r="V569" s="23" t="n"/>
      <c r="W569" s="17" t="n"/>
      <c r="X569" s="17" t="n"/>
      <c r="Y569" s="28">
        <f>IF(B569&lt;&gt;"OK","","SELECT bal_crear_balon(p_codigo_balon =&gt; "&amp;IF(TRIM(C569&amp;"")="","NULL","'"&amp;SUBSTITUTE(TRIM(C569),"'","''")&amp;"'")&amp;", p_id_tipo_balon =&gt; "&amp;"(SELECT id FROM bal_tipo_balon WHERE upper(nombre) = upper('"&amp;SUBSTITUTE(TRIM(D569),"'","''")&amp;"') AND estado = 1 LIMIT 1)"&amp;", p_id_producto_gas =&gt; "&amp;"(SELECT id FROM pro_producto WHERE es_gas = TRUE AND upper(nombre) = upper('"&amp;SUBSTITUTE(TRIM(E569),"'","''")&amp;"') AND estado = 1 LIMIT 1)"&amp;", p_id_propietario =&gt; "&amp;IF(TRIM(F569&amp;"")="","NULL","(SELECT lo.id FROM gen_lista_opciones lo JOIN gen_lista l ON l.id = lo.id_lista WHERE l.nombre = 'PropietarioBalon' AND upper(lo.nombre) = upper('"&amp;SUBSTITUTE(TRIM(F569),"'","''")&amp;"') AND lo.estado = 1 LIMIT 1)")&amp;", p_id_cliente_propietario =&gt; "&amp;IF(F569="CLIENTE",IF(TRIM(G569&amp;"")="","NULL","(SELECT id FROM cli_clientes WHERE numero_documento = '"&amp;SUBSTITUTE(TRIM(G569),"'","''")&amp;"' AND estado = 1 LIMIT 1)"),"NULL")&amp;", p_id_planta =&gt; "&amp;IF(F569="PLANTA",IF(TRIM(G569&amp;"")="","NULL","(SELECT id FROM cli_clientes WHERE numero_documento = '"&amp;SUBSTITUTE(TRIM(G569),"'","''")&amp;"'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"&amp;IF(TRIM(J569&amp;"")="","NULL","(SELECT id FROM gen_almacen WHERE upper(nombre) = upper('"&amp;SUBSTITUTE(TRIM(J569),"'","''")&amp;"') AND estado = 1 LIMIT 1)")&amp;", p_id_cliente_ubicacion =&gt; "&amp;IF(TRIM(K569&amp;"")="","NULL","(SELECT id FROM cli_clientes WHERE numero_documento = '"&amp;SUBSTITUTE(TRIM(K569),"'","''")&amp;"' AND estado = 1 LIMIT 1)")&amp;", p_id_referencia =&gt; "&amp;IF(TRIM(J569&amp;"")&lt;&gt;"","(SELECT lo.id FROM gen_lista_opciones lo JOIN gen_lista l ON l.id = lo.id_lista WHERE l.nombre = 'ReferenciaCilindro' AND upper(lo.nombre) = 'ALMACEN' AND lo.estado = 1 LIMIT 1)",IF(TRIM(K569&amp;"")&lt;&gt;"","(SELECT lo.id FROM gen_lista_opciones lo JOIN gen_lista l ON l.id = lo.id_lista WHERE l.nombre = 'ReferenciaCilindro' AND upper(lo.nombre) = 'CLIENTE' AND lo.estado = 1 LIMIT 1)","NULL"))&amp;", p_anio_fabricacion =&gt; "&amp;IF(M569&amp;""="","NULL::smallint",M569&amp;"::smallint")&amp;", p_mes_fabricacion =&gt; "&amp;IF(N569&amp;""="","NULL::smallint",N569&amp;"::smallint")&amp;", p_fecha_ultima_prueba_hidrostatica =&gt; "&amp;IF(O569&amp;""="","NULL","'"&amp;YEAR(O569)&amp;"-"&amp;TEXT(MONTH(O569),"00")&amp;"-"&amp;TEXT(DAY(O569),"00")&amp;"'")&amp;", p_numero_serie =&gt; "&amp;IF(TRIM(Q569&amp;"")="","NULL","'"&amp;SUBSTITUTE(TRIM(Q569),"'","''")&amp;"'")&amp;", p_id_marca_cilindro =&gt; "&amp;IF(TRIM(R569&amp;"")="","NULL","(SELECT lo.id FROM gen_lista_opciones lo JOIN gen_lista l ON l.id = lo.id_lista WHERE l.nombre = 'MarcaCilindro' AND upper(lo.nombre) = upper('"&amp;SUBSTITUTE(TRIM(R569),"'","''")&amp;"') AND lo.estado = 1 LIMIT 1)")&amp;", p_id_organo_inspector =&gt; "&amp;IF(TRIM(S569&amp;"")="","NULL","(SELECT lo.id FROM gen_lista_opciones lo JOIN gen_lista l ON l.id = lo.id_lista WHERE l.nombre = 'OrganoInspectorCilindro' AND upper(lo.nombre) = upper('"&amp;SUBSTITUTE(TRIM(S569),"'","''")&amp;"') AND lo.estado = 1 LIMIT 1)")&amp;", p_organo_inspector_no_aplica =&gt; "&amp;IF(S569="NO_APLICA","TRUE","FALSE")&amp;", p_presion_actual =&gt; "&amp;IF(T569&amp;""="","NULL",SUBSTITUTE(T569&amp;"",",","."))&amp;", p_tipo_valvula =&gt; "&amp;IF(TRIM(U569&amp;"")="","NULL","'"&amp;SUBSTITUTE(TRIM(U569),"'","''")&amp;"'")&amp;", p_libro_cilindro =&gt; "&amp;IF(TRIM(V569&amp;"")="","NULL","'"&amp;SUBSTITUTE(TRIM(V569),"'","''")&amp;"'")&amp;", p_pagina_libro =&gt; "&amp;IF(W569&amp;""="","NULL",SUBSTITUTE(W569&amp;"",",","."))&amp;", p_observacion =&gt; "&amp;IF(TRIM(X569&amp;"")="","NULL","'"&amp;SUBSTITUTE(TRIM(X569),"'","''")&amp;"'")&amp;") AS resultado_balon_"&amp;ROW()&amp;";")</f>
        <v/>
      </c>
    </row>
    <row r="570" ht="15.75" customHeight="1" s="64">
      <c r="A570" s="36" t="inlineStr">
        <is>
          <t>566</t>
        </is>
      </c>
      <c r="B570" s="25">
        <f>IF(AND(C570="",D570="",E570=""),"",IF(C570="","FALTA código balón",IF(D570="","FALTA tipo balón",IF(E570="","FALTA gas",IF(F570="","FALTA propietario",IF(AND(C570&lt;&gt;"",SUMPRODUCT(--($C$5:$C$1200=C570))&gt;1),"CÓDIGO BALÓN DUPLICADO",IF(AND(OR(UPPER(F570)="PLANTA",UPPER(F570)="CLIENTE"),G570=""),"FALTA doc propietario/planta",IF(AND(UPPER(F570)="PLANTA",G570="10175332796"),"PLANTA no puede ser RUC empresa","OK"))))))))</f>
        <v/>
      </c>
      <c r="C570" s="23" t="inlineStr">
        <is>
          <t>Y5734141</t>
        </is>
      </c>
      <c r="D570" s="17" t="inlineStr">
        <is>
          <t>Oxígeno Medicinal 10 m³</t>
        </is>
      </c>
      <c r="E570" s="17" t="inlineStr">
        <is>
          <t>OXIGENO MEDICINAL</t>
        </is>
      </c>
      <c r="F570" s="17" t="inlineStr">
        <is>
          <t>EMPRESA</t>
        </is>
      </c>
      <c r="G570" s="23" t="inlineStr">
        <is>
          <t>10175332796</t>
        </is>
      </c>
      <c r="H570" s="25">
        <f t="array" ref="H570">IF(G570="","",IFERROR(IF(INDEX(Clientes!$D$5:$D$549,MATCH(G570,Clientes!$C$5:$C$549,0))&lt;&gt;"",INDEX(Clientes!$D$5:$D$549,MATCH(G570,Clientes!$C$5:$C$549,0)),TRIM(INDEX(Clientes!$E$5:$E$549,MATCH(G570,Clientes!$C$5:$C$549,0))&amp;" "&amp;INDEX(Clientes!$F$5:$F$549,MATCH(G570,Clientes!$C$5:$C$549,0)))),"NO EXISTE en Clientes"))</f>
        <v/>
      </c>
      <c r="I570" s="17" t="inlineStr">
        <is>
          <t>EN_PODER_CLIENTE</t>
        </is>
      </c>
      <c r="J570" s="17" t="n"/>
      <c r="K570" s="23" t="inlineStr">
        <is>
          <t>20103324948</t>
        </is>
      </c>
      <c r="L570" s="25">
        <f t="array" ref="L570">IF(K570="","",IFERROR(IF(INDEX(Clientes!$D$5:$D$549,MATCH(K570,Clientes!$C$5:$C$549,0))&lt;&gt;"",INDEX(Clientes!$D$5:$D$549,MATCH(K570,Clientes!$C$5:$C$549,0)),TRIM(INDEX(Clientes!$E$5:$E$549,MATCH(K570,Clientes!$C$5:$C$549,0))&amp;" "&amp;INDEX(Clientes!$F$5:$F$549,MATCH(K570,Clientes!$C$5:$C$549,0)))),"NO EXISTE en Clientes"))</f>
        <v/>
      </c>
      <c r="M570" s="17" t="n"/>
      <c r="N570" s="17" t="n"/>
      <c r="O570" s="42" t="n"/>
      <c r="P570" s="39">
        <f>IF(O570&lt;&gt;"",DATE(YEAR(O570)+5,MONTH(O570),1),IF(AND(M570&lt;&gt;"",N570&lt;&gt;""),DATE(M570+5,N570,1),""))</f>
        <v/>
      </c>
      <c r="Q570" s="23" t="n"/>
      <c r="R570" s="17" t="n"/>
      <c r="S570" s="17" t="n"/>
      <c r="T570" s="17" t="n"/>
      <c r="U570" s="17" t="n"/>
      <c r="V570" s="23" t="n"/>
      <c r="W570" s="17" t="n"/>
      <c r="X570" s="17" t="n"/>
      <c r="Y570" s="28">
        <f>IF(B570&lt;&gt;"OK","","SELECT bal_crear_balon(p_codigo_balon =&gt; "&amp;IF(TRIM(C570&amp;"")="","NULL","'"&amp;SUBSTITUTE(TRIM(C570),"'","''")&amp;"'")&amp;", p_id_tipo_balon =&gt; "&amp;"(SELECT id FROM bal_tipo_balon WHERE upper(nombre) = upper('"&amp;SUBSTITUTE(TRIM(D570),"'","''")&amp;"') AND estado = 1 LIMIT 1)"&amp;", p_id_producto_gas =&gt; "&amp;"(SELECT id FROM pro_producto WHERE es_gas = TRUE AND upper(nombre) = upper('"&amp;SUBSTITUTE(TRIM(E570),"'","''")&amp;"') AND estado = 1 LIMIT 1)"&amp;", p_id_propietario =&gt; "&amp;IF(TRIM(F570&amp;"")="","NULL","(SELECT lo.id FROM gen_lista_opciones lo JOIN gen_lista l ON l.id = lo.id_lista WHERE l.nombre = 'PropietarioBalon' AND upper(lo.nombre) = upper('"&amp;SUBSTITUTE(TRIM(F570),"'","''")&amp;"') AND lo.estado = 1 LIMIT 1)")&amp;", p_id_cliente_propietario =&gt; "&amp;IF(F570="CLIENTE",IF(TRIM(G570&amp;"")="","NULL","(SELECT id FROM cli_clientes WHERE numero_documento = '"&amp;SUBSTITUTE(TRIM(G570),"'","''")&amp;"' AND estado = 1 LIMIT 1)"),"NULL")&amp;", p_id_planta =&gt; "&amp;IF(F570="PLANTA",IF(TRIM(G570&amp;"")="","NULL","(SELECT id FROM cli_clientes WHERE numero_documento = '"&amp;SUBSTITUTE(TRIM(G570),"'","''")&amp;"'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"&amp;IF(TRIM(J570&amp;"")="","NULL","(SELECT id FROM gen_almacen WHERE upper(nombre) = upper('"&amp;SUBSTITUTE(TRIM(J570),"'","''")&amp;"') AND estado = 1 LIMIT 1)")&amp;", p_id_cliente_ubicacion =&gt; "&amp;IF(TRIM(K570&amp;"")="","NULL","(SELECT id FROM cli_clientes WHERE numero_documento = '"&amp;SUBSTITUTE(TRIM(K570),"'","''")&amp;"' AND estado = 1 LIMIT 1)")&amp;", p_id_referencia =&gt; "&amp;IF(TRIM(J570&amp;"")&lt;&gt;"","(SELECT lo.id FROM gen_lista_opciones lo JOIN gen_lista l ON l.id = lo.id_lista WHERE l.nombre = 'ReferenciaCilindro' AND upper(lo.nombre) = 'ALMACEN' AND lo.estado = 1 LIMIT 1)",IF(TRIM(K570&amp;"")&lt;&gt;"","(SELECT lo.id FROM gen_lista_opciones lo JOIN gen_lista l ON l.id = lo.id_lista WHERE l.nombre = 'ReferenciaCilindro' AND upper(lo.nombre) = 'CLIENTE' AND lo.estado = 1 LIMIT 1)","NULL"))&amp;", p_anio_fabricacion =&gt; "&amp;IF(M570&amp;""="","NULL::smallint",M570&amp;"::smallint")&amp;", p_mes_fabricacion =&gt; "&amp;IF(N570&amp;""="","NULL::smallint",N570&amp;"::smallint")&amp;", p_fecha_ultima_prueba_hidrostatica =&gt; "&amp;IF(O570&amp;""="","NULL","'"&amp;YEAR(O570)&amp;"-"&amp;TEXT(MONTH(O570),"00")&amp;"-"&amp;TEXT(DAY(O570),"00")&amp;"'")&amp;", p_numero_serie =&gt; "&amp;IF(TRIM(Q570&amp;"")="","NULL","'"&amp;SUBSTITUTE(TRIM(Q570),"'","''")&amp;"'")&amp;", p_id_marca_cilindro =&gt; "&amp;IF(TRIM(R570&amp;"")="","NULL","(SELECT lo.id FROM gen_lista_opciones lo JOIN gen_lista l ON l.id = lo.id_lista WHERE l.nombre = 'MarcaCilindro' AND upper(lo.nombre) = upper('"&amp;SUBSTITUTE(TRIM(R570),"'","''")&amp;"') AND lo.estado = 1 LIMIT 1)")&amp;", p_id_organo_inspector =&gt; "&amp;IF(TRIM(S570&amp;"")="","NULL","(SELECT lo.id FROM gen_lista_opciones lo JOIN gen_lista l ON l.id = lo.id_lista WHERE l.nombre = 'OrganoInspectorCilindro' AND upper(lo.nombre) = upper('"&amp;SUBSTITUTE(TRIM(S570),"'","''")&amp;"') AND lo.estado = 1 LIMIT 1)")&amp;", p_organo_inspector_no_aplica =&gt; "&amp;IF(S570="NO_APLICA","TRUE","FALSE")&amp;", p_presion_actual =&gt; "&amp;IF(T570&amp;""="","NULL",SUBSTITUTE(T570&amp;"",",","."))&amp;", p_tipo_valvula =&gt; "&amp;IF(TRIM(U570&amp;"")="","NULL","'"&amp;SUBSTITUTE(TRIM(U570),"'","''")&amp;"'")&amp;", p_libro_cilindro =&gt; "&amp;IF(TRIM(V570&amp;"")="","NULL","'"&amp;SUBSTITUTE(TRIM(V570),"'","''")&amp;"'")&amp;", p_pagina_libro =&gt; "&amp;IF(W570&amp;""="","NULL",SUBSTITUTE(W570&amp;"",",","."))&amp;", p_observacion =&gt; "&amp;IF(TRIM(X570&amp;"")="","NULL","'"&amp;SUBSTITUTE(TRIM(X570),"'","''")&amp;"'")&amp;") AS resultado_balon_"&amp;ROW()&amp;";")</f>
        <v/>
      </c>
    </row>
    <row r="571" ht="15.75" customHeight="1" s="64">
      <c r="A571" s="36" t="inlineStr">
        <is>
          <t>567</t>
        </is>
      </c>
      <c r="B571" s="25">
        <f>IF(AND(C571="",D571="",E571=""),"",IF(C571="","FALTA código balón",IF(D571="","FALTA tipo balón",IF(E571="","FALTA gas",IF(F571="","FALTA propietario",IF(AND(C571&lt;&gt;"",SUMPRODUCT(--($C$5:$C$1200=C571))&gt;1),"CÓDIGO BALÓN DUPLICADO",IF(AND(OR(UPPER(F571)="PLANTA",UPPER(F571)="CLIENTE"),G571=""),"FALTA doc propietario/planta",IF(AND(UPPER(F571)="PLANTA",G571="10175332796"),"PLANTA no puede ser RUC empresa","OK"))))))))</f>
        <v/>
      </c>
      <c r="C571" s="23" t="inlineStr">
        <is>
          <t>20X192063</t>
        </is>
      </c>
      <c r="D571" s="17" t="inlineStr">
        <is>
          <t>Oxígeno Medicinal 10 m³</t>
        </is>
      </c>
      <c r="E571" s="17" t="inlineStr">
        <is>
          <t>OXIGENO MEDICINAL</t>
        </is>
      </c>
      <c r="F571" s="17" t="inlineStr">
        <is>
          <t>EMPRESA</t>
        </is>
      </c>
      <c r="G571" s="23" t="inlineStr">
        <is>
          <t>10175332796</t>
        </is>
      </c>
      <c r="H571" s="25">
        <f t="array" ref="H571">IF(G571="","",IFERROR(IF(INDEX(Clientes!$D$5:$D$549,MATCH(G571,Clientes!$C$5:$C$549,0))&lt;&gt;"",INDEX(Clientes!$D$5:$D$549,MATCH(G571,Clientes!$C$5:$C$549,0)),TRIM(INDEX(Clientes!$E$5:$E$549,MATCH(G571,Clientes!$C$5:$C$549,0))&amp;" "&amp;INDEX(Clientes!$F$5:$F$549,MATCH(G571,Clientes!$C$5:$C$549,0)))),"NO EXISTE en Clientes"))</f>
        <v/>
      </c>
      <c r="I571" s="17" t="inlineStr">
        <is>
          <t>EN_PODER_CLIENTE</t>
        </is>
      </c>
      <c r="J571" s="17" t="n"/>
      <c r="K571" s="23" t="inlineStr">
        <is>
          <t>20103324948</t>
        </is>
      </c>
      <c r="L571" s="25">
        <f t="array" ref="L571">IF(K571="","",IFERROR(IF(INDEX(Clientes!$D$5:$D$549,MATCH(K571,Clientes!$C$5:$C$549,0))&lt;&gt;"",INDEX(Clientes!$D$5:$D$549,MATCH(K571,Clientes!$C$5:$C$549,0)),TRIM(INDEX(Clientes!$E$5:$E$549,MATCH(K571,Clientes!$C$5:$C$549,0))&amp;" "&amp;INDEX(Clientes!$F$5:$F$549,MATCH(K571,Clientes!$C$5:$C$549,0)))),"NO EXISTE en Clientes"))</f>
        <v/>
      </c>
      <c r="M571" s="17" t="n"/>
      <c r="N571" s="17" t="n"/>
      <c r="O571" s="42" t="n"/>
      <c r="P571" s="39">
        <f>IF(O571&lt;&gt;"",DATE(YEAR(O571)+5,MONTH(O571),1),IF(AND(M571&lt;&gt;"",N571&lt;&gt;""),DATE(M571+5,N571,1),""))</f>
        <v/>
      </c>
      <c r="Q571" s="23" t="n"/>
      <c r="R571" s="17" t="n"/>
      <c r="S571" s="17" t="n"/>
      <c r="T571" s="17" t="n"/>
      <c r="U571" s="17" t="n"/>
      <c r="V571" s="23" t="n"/>
      <c r="W571" s="17" t="n"/>
      <c r="X571" s="17" t="n"/>
      <c r="Y571" s="28">
        <f>IF(B571&lt;&gt;"OK","","SELECT bal_crear_balon(p_codigo_balon =&gt; "&amp;IF(TRIM(C571&amp;"")="","NULL","'"&amp;SUBSTITUTE(TRIM(C571),"'","''")&amp;"'")&amp;", p_id_tipo_balon =&gt; "&amp;"(SELECT id FROM bal_tipo_balon WHERE upper(nombre) = upper('"&amp;SUBSTITUTE(TRIM(D571),"'","''")&amp;"') AND estado = 1 LIMIT 1)"&amp;", p_id_producto_gas =&gt; "&amp;"(SELECT id FROM pro_producto WHERE es_gas = TRUE AND upper(nombre) = upper('"&amp;SUBSTITUTE(TRIM(E571),"'","''")&amp;"') AND estado = 1 LIMIT 1)"&amp;", p_id_propietario =&gt; "&amp;IF(TRIM(F571&amp;"")="","NULL","(SELECT lo.id FROM gen_lista_opciones lo JOIN gen_lista l ON l.id = lo.id_lista WHERE l.nombre = 'PropietarioBalon' AND upper(lo.nombre) = upper('"&amp;SUBSTITUTE(TRIM(F571),"'","''")&amp;"') AND lo.estado = 1 LIMIT 1)")&amp;", p_id_cliente_propietario =&gt; "&amp;IF(F571="CLIENTE",IF(TRIM(G571&amp;"")="","NULL","(SELECT id FROM cli_clientes WHERE numero_documento = '"&amp;SUBSTITUTE(TRIM(G571),"'","''")&amp;"' AND estado = 1 LIMIT 1)"),"NULL")&amp;", p_id_planta =&gt; "&amp;IF(F571="PLANTA",IF(TRIM(G571&amp;"")="","NULL","(SELECT id FROM cli_clientes WHERE numero_documento = '"&amp;SUBSTITUTE(TRIM(G571),"'","''")&amp;"'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"&amp;IF(TRIM(J571&amp;"")="","NULL","(SELECT id FROM gen_almacen WHERE upper(nombre) = upper('"&amp;SUBSTITUTE(TRIM(J571),"'","''")&amp;"') AND estado = 1 LIMIT 1)")&amp;", p_id_cliente_ubicacion =&gt; "&amp;IF(TRIM(K571&amp;"")="","NULL","(SELECT id FROM cli_clientes WHERE numero_documento = '"&amp;SUBSTITUTE(TRIM(K571),"'","''")&amp;"' AND estado = 1 LIMIT 1)")&amp;", p_id_referencia =&gt; "&amp;IF(TRIM(J571&amp;"")&lt;&gt;"","(SELECT lo.id FROM gen_lista_opciones lo JOIN gen_lista l ON l.id = lo.id_lista WHERE l.nombre = 'ReferenciaCilindro' AND upper(lo.nombre) = 'ALMACEN' AND lo.estado = 1 LIMIT 1)",IF(TRIM(K571&amp;"")&lt;&gt;"","(SELECT lo.id FROM gen_lista_opciones lo JOIN gen_lista l ON l.id = lo.id_lista WHERE l.nombre = 'ReferenciaCilindro' AND upper(lo.nombre) = 'CLIENTE' AND lo.estado = 1 LIMIT 1)","NULL"))&amp;", p_anio_fabricacion =&gt; "&amp;IF(M571&amp;""="","NULL::smallint",M571&amp;"::smallint")&amp;", p_mes_fabricacion =&gt; "&amp;IF(N571&amp;""="","NULL::smallint",N571&amp;"::smallint")&amp;", p_fecha_ultima_prueba_hidrostatica =&gt; "&amp;IF(O571&amp;""="","NULL","'"&amp;YEAR(O571)&amp;"-"&amp;TEXT(MONTH(O571),"00")&amp;"-"&amp;TEXT(DAY(O571),"00")&amp;"'")&amp;", p_numero_serie =&gt; "&amp;IF(TRIM(Q571&amp;"")="","NULL","'"&amp;SUBSTITUTE(TRIM(Q571),"'","''")&amp;"'")&amp;", p_id_marca_cilindro =&gt; "&amp;IF(TRIM(R571&amp;"")="","NULL","(SELECT lo.id FROM gen_lista_opciones lo JOIN gen_lista l ON l.id = lo.id_lista WHERE l.nombre = 'MarcaCilindro' AND upper(lo.nombre) = upper('"&amp;SUBSTITUTE(TRIM(R571),"'","''")&amp;"') AND lo.estado = 1 LIMIT 1)")&amp;", p_id_organo_inspector =&gt; "&amp;IF(TRIM(S571&amp;"")="","NULL","(SELECT lo.id FROM gen_lista_opciones lo JOIN gen_lista l ON l.id = lo.id_lista WHERE l.nombre = 'OrganoInspectorCilindro' AND upper(lo.nombre) = upper('"&amp;SUBSTITUTE(TRIM(S571),"'","''")&amp;"') AND lo.estado = 1 LIMIT 1)")&amp;", p_organo_inspector_no_aplica =&gt; "&amp;IF(S571="NO_APLICA","TRUE","FALSE")&amp;", p_presion_actual =&gt; "&amp;IF(T571&amp;""="","NULL",SUBSTITUTE(T571&amp;"",",","."))&amp;", p_tipo_valvula =&gt; "&amp;IF(TRIM(U571&amp;"")="","NULL","'"&amp;SUBSTITUTE(TRIM(U571),"'","''")&amp;"'")&amp;", p_libro_cilindro =&gt; "&amp;IF(TRIM(V571&amp;"")="","NULL","'"&amp;SUBSTITUTE(TRIM(V571),"'","''")&amp;"'")&amp;", p_pagina_libro =&gt; "&amp;IF(W571&amp;""="","NULL",SUBSTITUTE(W571&amp;"",",","."))&amp;", p_observacion =&gt; "&amp;IF(TRIM(X571&amp;"")="","NULL","'"&amp;SUBSTITUTE(TRIM(X571),"'","''")&amp;"'")&amp;") AS resultado_balon_"&amp;ROW()&amp;";")</f>
        <v/>
      </c>
    </row>
    <row r="572" ht="15.75" customHeight="1" s="64">
      <c r="A572" s="36" t="inlineStr">
        <is>
          <t>568</t>
        </is>
      </c>
      <c r="B572" s="25">
        <f>IF(AND(C572="",D572="",E572=""),"",IF(C572="","FALTA código balón",IF(D572="","FALTA tipo balón",IF(E572="","FALTA gas",IF(F572="","FALTA propietario",IF(AND(C572&lt;&gt;"",SUMPRODUCT(--($C$5:$C$1200=C572))&gt;1),"CÓDIGO BALÓN DUPLICADO",IF(AND(OR(UPPER(F572)="PLANTA",UPPER(F572)="CLIENTE"),G572=""),"FALTA doc propietario/planta",IF(AND(UPPER(F572)="PLANTA",G572="10175332796"),"PLANTA no puede ser RUC empresa","OK"))))))))</f>
        <v/>
      </c>
      <c r="C572" s="23" t="inlineStr">
        <is>
          <t>K4853091</t>
        </is>
      </c>
      <c r="D572" s="17" t="inlineStr">
        <is>
          <t>Oxígeno Medicinal 10 m³</t>
        </is>
      </c>
      <c r="E572" s="17" t="inlineStr">
        <is>
          <t>OXIGENO MEDICINAL</t>
        </is>
      </c>
      <c r="F572" s="17" t="inlineStr">
        <is>
          <t>EMPRESA</t>
        </is>
      </c>
      <c r="G572" s="23" t="inlineStr">
        <is>
          <t>10175332796</t>
        </is>
      </c>
      <c r="H572" s="25">
        <f t="array" ref="H572">IF(G572="","",IFERROR(IF(INDEX(Clientes!$D$5:$D$549,MATCH(G572,Clientes!$C$5:$C$549,0))&lt;&gt;"",INDEX(Clientes!$D$5:$D$549,MATCH(G572,Clientes!$C$5:$C$549,0)),TRIM(INDEX(Clientes!$E$5:$E$549,MATCH(G572,Clientes!$C$5:$C$549,0))&amp;" "&amp;INDEX(Clientes!$F$5:$F$549,MATCH(G572,Clientes!$C$5:$C$549,0)))),"NO EXISTE en Clientes"))</f>
        <v/>
      </c>
      <c r="I572" s="17" t="inlineStr">
        <is>
          <t>EN_PODER_CLIENTE</t>
        </is>
      </c>
      <c r="J572" s="17" t="n"/>
      <c r="K572" s="23" t="inlineStr">
        <is>
          <t>20103324948</t>
        </is>
      </c>
      <c r="L572" s="25">
        <f t="array" ref="L572">IF(K572="","",IFERROR(IF(INDEX(Clientes!$D$5:$D$549,MATCH(K572,Clientes!$C$5:$C$549,0))&lt;&gt;"",INDEX(Clientes!$D$5:$D$549,MATCH(K572,Clientes!$C$5:$C$549,0)),TRIM(INDEX(Clientes!$E$5:$E$549,MATCH(K572,Clientes!$C$5:$C$549,0))&amp;" "&amp;INDEX(Clientes!$F$5:$F$549,MATCH(K572,Clientes!$C$5:$C$549,0)))),"NO EXISTE en Clientes"))</f>
        <v/>
      </c>
      <c r="M572" s="17" t="n"/>
      <c r="N572" s="17" t="n"/>
      <c r="O572" s="42" t="n"/>
      <c r="P572" s="39">
        <f>IF(O572&lt;&gt;"",DATE(YEAR(O572)+5,MONTH(O572),1),IF(AND(M572&lt;&gt;"",N572&lt;&gt;""),DATE(M572+5,N572,1),""))</f>
        <v/>
      </c>
      <c r="Q572" s="23" t="n"/>
      <c r="R572" s="17" t="n"/>
      <c r="S572" s="17" t="n"/>
      <c r="T572" s="17" t="n"/>
      <c r="U572" s="17" t="n"/>
      <c r="V572" s="23" t="n"/>
      <c r="W572" s="17" t="n"/>
      <c r="X572" s="17" t="n"/>
      <c r="Y572" s="28">
        <f>IF(B572&lt;&gt;"OK","","SELECT bal_crear_balon(p_codigo_balon =&gt; "&amp;IF(TRIM(C572&amp;"")="","NULL","'"&amp;SUBSTITUTE(TRIM(C572),"'","''")&amp;"'")&amp;", p_id_tipo_balon =&gt; "&amp;"(SELECT id FROM bal_tipo_balon WHERE upper(nombre) = upper('"&amp;SUBSTITUTE(TRIM(D572),"'","''")&amp;"') AND estado = 1 LIMIT 1)"&amp;", p_id_producto_gas =&gt; "&amp;"(SELECT id FROM pro_producto WHERE es_gas = TRUE AND upper(nombre) = upper('"&amp;SUBSTITUTE(TRIM(E572),"'","''")&amp;"') AND estado = 1 LIMIT 1)"&amp;", p_id_propietario =&gt; "&amp;IF(TRIM(F572&amp;"")="","NULL","(SELECT lo.id FROM gen_lista_opciones lo JOIN gen_lista l ON l.id = lo.id_lista WHERE l.nombre = 'PropietarioBalon' AND upper(lo.nombre) = upper('"&amp;SUBSTITUTE(TRIM(F572),"'","''")&amp;"') AND lo.estado = 1 LIMIT 1)")&amp;", p_id_cliente_propietario =&gt; "&amp;IF(F572="CLIENTE",IF(TRIM(G572&amp;"")="","NULL","(SELECT id FROM cli_clientes WHERE numero_documento = '"&amp;SUBSTITUTE(TRIM(G572),"'","''")&amp;"' AND estado = 1 LIMIT 1)"),"NULL")&amp;", p_id_planta =&gt; "&amp;IF(F572="PLANTA",IF(TRIM(G572&amp;"")="","NULL","(SELECT id FROM cli_clientes WHERE numero_documento = '"&amp;SUBSTITUTE(TRIM(G572),"'","''")&amp;"'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"&amp;IF(TRIM(J572&amp;"")="","NULL","(SELECT id FROM gen_almacen WHERE upper(nombre) = upper('"&amp;SUBSTITUTE(TRIM(J572),"'","''")&amp;"') AND estado = 1 LIMIT 1)")&amp;", p_id_cliente_ubicacion =&gt; "&amp;IF(TRIM(K572&amp;"")="","NULL","(SELECT id FROM cli_clientes WHERE numero_documento = '"&amp;SUBSTITUTE(TRIM(K572),"'","''")&amp;"' AND estado = 1 LIMIT 1)")&amp;", p_id_referencia =&gt; "&amp;IF(TRIM(J572&amp;"")&lt;&gt;"","(SELECT lo.id FROM gen_lista_opciones lo JOIN gen_lista l ON l.id = lo.id_lista WHERE l.nombre = 'ReferenciaCilindro' AND upper(lo.nombre) = 'ALMACEN' AND lo.estado = 1 LIMIT 1)",IF(TRIM(K572&amp;"")&lt;&gt;"","(SELECT lo.id FROM gen_lista_opciones lo JOIN gen_lista l ON l.id = lo.id_lista WHERE l.nombre = 'ReferenciaCilindro' AND upper(lo.nombre) = 'CLIENTE' AND lo.estado = 1 LIMIT 1)","NULL"))&amp;", p_anio_fabricacion =&gt; "&amp;IF(M572&amp;""="","NULL::smallint",M572&amp;"::smallint")&amp;", p_mes_fabricacion =&gt; "&amp;IF(N572&amp;""="","NULL::smallint",N572&amp;"::smallint")&amp;", p_fecha_ultima_prueba_hidrostatica =&gt; "&amp;IF(O572&amp;""="","NULL","'"&amp;YEAR(O572)&amp;"-"&amp;TEXT(MONTH(O572),"00")&amp;"-"&amp;TEXT(DAY(O572),"00")&amp;"'")&amp;", p_numero_serie =&gt; "&amp;IF(TRIM(Q572&amp;"")="","NULL","'"&amp;SUBSTITUTE(TRIM(Q572),"'","''")&amp;"'")&amp;", p_id_marca_cilindro =&gt; "&amp;IF(TRIM(R572&amp;"")="","NULL","(SELECT lo.id FROM gen_lista_opciones lo JOIN gen_lista l ON l.id = lo.id_lista WHERE l.nombre = 'MarcaCilindro' AND upper(lo.nombre) = upper('"&amp;SUBSTITUTE(TRIM(R572),"'","''")&amp;"') AND lo.estado = 1 LIMIT 1)")&amp;", p_id_organo_inspector =&gt; "&amp;IF(TRIM(S572&amp;"")="","NULL","(SELECT lo.id FROM gen_lista_opciones lo JOIN gen_lista l ON l.id = lo.id_lista WHERE l.nombre = 'OrganoInspectorCilindro' AND upper(lo.nombre) = upper('"&amp;SUBSTITUTE(TRIM(S572),"'","''")&amp;"') AND lo.estado = 1 LIMIT 1)")&amp;", p_organo_inspector_no_aplica =&gt; "&amp;IF(S572="NO_APLICA","TRUE","FALSE")&amp;", p_presion_actual =&gt; "&amp;IF(T572&amp;""="","NULL",SUBSTITUTE(T572&amp;"",",","."))&amp;", p_tipo_valvula =&gt; "&amp;IF(TRIM(U572&amp;"")="","NULL","'"&amp;SUBSTITUTE(TRIM(U572),"'","''")&amp;"'")&amp;", p_libro_cilindro =&gt; "&amp;IF(TRIM(V572&amp;"")="","NULL","'"&amp;SUBSTITUTE(TRIM(V572),"'","''")&amp;"'")&amp;", p_pagina_libro =&gt; "&amp;IF(W572&amp;""="","NULL",SUBSTITUTE(W572&amp;"",",","."))&amp;", p_observacion =&gt; "&amp;IF(TRIM(X572&amp;"")="","NULL","'"&amp;SUBSTITUTE(TRIM(X572),"'","''")&amp;"'")&amp;") AS resultado_balon_"&amp;ROW()&amp;";")</f>
        <v/>
      </c>
    </row>
    <row r="573" ht="15.75" customHeight="1" s="64">
      <c r="A573" s="36" t="inlineStr">
        <is>
          <t>569</t>
        </is>
      </c>
      <c r="B573" s="25">
        <f>IF(AND(C573="",D573="",E573=""),"",IF(C573="","FALTA código balón",IF(D573="","FALTA tipo balón",IF(E573="","FALTA gas",IF(F573="","FALTA propietario",IF(AND(C573&lt;&gt;"",SUMPRODUCT(--($C$5:$C$1200=C573))&gt;1),"CÓDIGO BALÓN DUPLICADO",IF(AND(OR(UPPER(F573)="PLANTA",UPPER(F573)="CLIENTE"),G573=""),"FALTA doc propietario/planta",IF(AND(UPPER(F573)="PLANTA",G573="10175332796"),"PLANTA no puede ser RUC empresa","OK"))))))))</f>
        <v/>
      </c>
      <c r="C573" s="23" t="inlineStr">
        <is>
          <t>K4854121</t>
        </is>
      </c>
      <c r="D573" s="17" t="inlineStr">
        <is>
          <t>Oxígeno Medicinal 10 m³</t>
        </is>
      </c>
      <c r="E573" s="17" t="inlineStr">
        <is>
          <t>OXIGENO MEDICINAL</t>
        </is>
      </c>
      <c r="F573" s="17" t="inlineStr">
        <is>
          <t>EMPRESA</t>
        </is>
      </c>
      <c r="G573" s="23" t="inlineStr">
        <is>
          <t>10175332796</t>
        </is>
      </c>
      <c r="H573" s="25">
        <f t="array" ref="H573">IF(G573="","",IFERROR(IF(INDEX(Clientes!$D$5:$D$549,MATCH(G573,Clientes!$C$5:$C$549,0))&lt;&gt;"",INDEX(Clientes!$D$5:$D$549,MATCH(G573,Clientes!$C$5:$C$549,0)),TRIM(INDEX(Clientes!$E$5:$E$549,MATCH(G573,Clientes!$C$5:$C$549,0))&amp;" "&amp;INDEX(Clientes!$F$5:$F$549,MATCH(G573,Clientes!$C$5:$C$549,0)))),"NO EXISTE en Clientes"))</f>
        <v/>
      </c>
      <c r="I573" s="17" t="inlineStr">
        <is>
          <t>EN_PODER_CLIENTE</t>
        </is>
      </c>
      <c r="J573" s="17" t="n"/>
      <c r="K573" s="23" t="inlineStr">
        <is>
          <t>20103324948</t>
        </is>
      </c>
      <c r="L573" s="25">
        <f t="array" ref="L573">IF(K573="","",IFERROR(IF(INDEX(Clientes!$D$5:$D$549,MATCH(K573,Clientes!$C$5:$C$549,0))&lt;&gt;"",INDEX(Clientes!$D$5:$D$549,MATCH(K573,Clientes!$C$5:$C$549,0)),TRIM(INDEX(Clientes!$E$5:$E$549,MATCH(K573,Clientes!$C$5:$C$549,0))&amp;" "&amp;INDEX(Clientes!$F$5:$F$549,MATCH(K573,Clientes!$C$5:$C$549,0)))),"NO EXISTE en Clientes"))</f>
        <v/>
      </c>
      <c r="M573" s="17" t="n"/>
      <c r="N573" s="17" t="n"/>
      <c r="O573" s="42" t="n"/>
      <c r="P573" s="39">
        <f>IF(O573&lt;&gt;"",DATE(YEAR(O573)+5,MONTH(O573),1),IF(AND(M573&lt;&gt;"",N573&lt;&gt;""),DATE(M573+5,N573,1),""))</f>
        <v/>
      </c>
      <c r="Q573" s="23" t="n"/>
      <c r="R573" s="17" t="n"/>
      <c r="S573" s="17" t="n"/>
      <c r="T573" s="17" t="n"/>
      <c r="U573" s="17" t="n"/>
      <c r="V573" s="23" t="n"/>
      <c r="W573" s="17" t="n"/>
      <c r="X573" s="17" t="n"/>
      <c r="Y573" s="28">
        <f>IF(B573&lt;&gt;"OK","","SELECT bal_crear_balon(p_codigo_balon =&gt; "&amp;IF(TRIM(C573&amp;"")="","NULL","'"&amp;SUBSTITUTE(TRIM(C573),"'","''")&amp;"'")&amp;", p_id_tipo_balon =&gt; "&amp;"(SELECT id FROM bal_tipo_balon WHERE upper(nombre) = upper('"&amp;SUBSTITUTE(TRIM(D573),"'","''")&amp;"') AND estado = 1 LIMIT 1)"&amp;", p_id_producto_gas =&gt; "&amp;"(SELECT id FROM pro_producto WHERE es_gas = TRUE AND upper(nombre) = upper('"&amp;SUBSTITUTE(TRIM(E573),"'","''")&amp;"') AND estado = 1 LIMIT 1)"&amp;", p_id_propietario =&gt; "&amp;IF(TRIM(F573&amp;"")="","NULL","(SELECT lo.id FROM gen_lista_opciones lo JOIN gen_lista l ON l.id = lo.id_lista WHERE l.nombre = 'PropietarioBalon' AND upper(lo.nombre) = upper('"&amp;SUBSTITUTE(TRIM(F573),"'","''")&amp;"') AND lo.estado = 1 LIMIT 1)")&amp;", p_id_cliente_propietario =&gt; "&amp;IF(F573="CLIENTE",IF(TRIM(G573&amp;"")="","NULL","(SELECT id FROM cli_clientes WHERE numero_documento = '"&amp;SUBSTITUTE(TRIM(G573),"'","''")&amp;"' AND estado = 1 LIMIT 1)"),"NULL")&amp;", p_id_planta =&gt; "&amp;IF(F573="PLANTA",IF(TRIM(G573&amp;"")="","NULL","(SELECT id FROM cli_clientes WHERE numero_documento = '"&amp;SUBSTITUTE(TRIM(G573),"'","''")&amp;"'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"&amp;IF(TRIM(J573&amp;"")="","NULL","(SELECT id FROM gen_almacen WHERE upper(nombre) = upper('"&amp;SUBSTITUTE(TRIM(J573),"'","''")&amp;"') AND estado = 1 LIMIT 1)")&amp;", p_id_cliente_ubicacion =&gt; "&amp;IF(TRIM(K573&amp;"")="","NULL","(SELECT id FROM cli_clientes WHERE numero_documento = '"&amp;SUBSTITUTE(TRIM(K573),"'","''")&amp;"' AND estado = 1 LIMIT 1)")&amp;", p_id_referencia =&gt; "&amp;IF(TRIM(J573&amp;"")&lt;&gt;"","(SELECT lo.id FROM gen_lista_opciones lo JOIN gen_lista l ON l.id = lo.id_lista WHERE l.nombre = 'ReferenciaCilindro' AND upper(lo.nombre) = 'ALMACEN' AND lo.estado = 1 LIMIT 1)",IF(TRIM(K573&amp;"")&lt;&gt;"","(SELECT lo.id FROM gen_lista_opciones lo JOIN gen_lista l ON l.id = lo.id_lista WHERE l.nombre = 'ReferenciaCilindro' AND upper(lo.nombre) = 'CLIENTE' AND lo.estado = 1 LIMIT 1)","NULL"))&amp;", p_anio_fabricacion =&gt; "&amp;IF(M573&amp;""="","NULL::smallint",M573&amp;"::smallint")&amp;", p_mes_fabricacion =&gt; "&amp;IF(N573&amp;""="","NULL::smallint",N573&amp;"::smallint")&amp;", p_fecha_ultima_prueba_hidrostatica =&gt; "&amp;IF(O573&amp;""="","NULL","'"&amp;YEAR(O573)&amp;"-"&amp;TEXT(MONTH(O573),"00")&amp;"-"&amp;TEXT(DAY(O573),"00")&amp;"'")&amp;", p_numero_serie =&gt; "&amp;IF(TRIM(Q573&amp;"")="","NULL","'"&amp;SUBSTITUTE(TRIM(Q573),"'","''")&amp;"'")&amp;", p_id_marca_cilindro =&gt; "&amp;IF(TRIM(R573&amp;"")="","NULL","(SELECT lo.id FROM gen_lista_opciones lo JOIN gen_lista l ON l.id = lo.id_lista WHERE l.nombre = 'MarcaCilindro' AND upper(lo.nombre) = upper('"&amp;SUBSTITUTE(TRIM(R573),"'","''")&amp;"') AND lo.estado = 1 LIMIT 1)")&amp;", p_id_organo_inspector =&gt; "&amp;IF(TRIM(S573&amp;"")="","NULL","(SELECT lo.id FROM gen_lista_opciones lo JOIN gen_lista l ON l.id = lo.id_lista WHERE l.nombre = 'OrganoInspectorCilindro' AND upper(lo.nombre) = upper('"&amp;SUBSTITUTE(TRIM(S573),"'","''")&amp;"') AND lo.estado = 1 LIMIT 1)")&amp;", p_organo_inspector_no_aplica =&gt; "&amp;IF(S573="NO_APLICA","TRUE","FALSE")&amp;", p_presion_actual =&gt; "&amp;IF(T573&amp;""="","NULL",SUBSTITUTE(T573&amp;"",",","."))&amp;", p_tipo_valvula =&gt; "&amp;IF(TRIM(U573&amp;"")="","NULL","'"&amp;SUBSTITUTE(TRIM(U573),"'","''")&amp;"'")&amp;", p_libro_cilindro =&gt; "&amp;IF(TRIM(V573&amp;"")="","NULL","'"&amp;SUBSTITUTE(TRIM(V573),"'","''")&amp;"'")&amp;", p_pagina_libro =&gt; "&amp;IF(W573&amp;""="","NULL",SUBSTITUTE(W573&amp;"",",","."))&amp;", p_observacion =&gt; "&amp;IF(TRIM(X573&amp;"")="","NULL","'"&amp;SUBSTITUTE(TRIM(X573),"'","''")&amp;"'")&amp;") AS resultado_balon_"&amp;ROW()&amp;";")</f>
        <v/>
      </c>
    </row>
    <row r="574" ht="15.75" customHeight="1" s="64">
      <c r="A574" s="36" t="inlineStr">
        <is>
          <t>570</t>
        </is>
      </c>
      <c r="B574" s="25">
        <f>IF(AND(C574="",D574="",E574=""),"",IF(C574="","FALTA código balón",IF(D574="","FALTA tipo balón",IF(E574="","FALTA gas",IF(F574="","FALTA propietario",IF(AND(C574&lt;&gt;"",SUMPRODUCT(--($C$5:$C$1200=C574))&gt;1),"CÓDIGO BALÓN DUPLICADO",IF(AND(OR(UPPER(F574)="PLANTA",UPPER(F574)="CLIENTE"),G574=""),"FALTA doc propietario/planta",IF(AND(UPPER(F574)="PLANTA",G574="10175332796"),"PLANTA no puede ser RUC empresa","OK"))))))))</f>
        <v/>
      </c>
      <c r="C574" s="23" t="inlineStr">
        <is>
          <t>121Y320093</t>
        </is>
      </c>
      <c r="D574" s="17" t="inlineStr">
        <is>
          <t>Oxígeno Medicinal 10 m³</t>
        </is>
      </c>
      <c r="E574" s="17" t="inlineStr">
        <is>
          <t>OXIGENO MEDICINAL</t>
        </is>
      </c>
      <c r="F574" s="17" t="inlineStr">
        <is>
          <t>EMPRESA</t>
        </is>
      </c>
      <c r="G574" s="23" t="inlineStr">
        <is>
          <t>10175332796</t>
        </is>
      </c>
      <c r="H574" s="25">
        <f t="array" ref="H574">IF(G574="","",IFERROR(IF(INDEX(Clientes!$D$5:$D$549,MATCH(G574,Clientes!$C$5:$C$549,0))&lt;&gt;"",INDEX(Clientes!$D$5:$D$549,MATCH(G574,Clientes!$C$5:$C$549,0)),TRIM(INDEX(Clientes!$E$5:$E$549,MATCH(G574,Clientes!$C$5:$C$549,0))&amp;" "&amp;INDEX(Clientes!$F$5:$F$549,MATCH(G574,Clientes!$C$5:$C$549,0)))),"NO EXISTE en Clientes"))</f>
        <v/>
      </c>
      <c r="I574" s="17" t="inlineStr">
        <is>
          <t>EN_PODER_CLIENTE</t>
        </is>
      </c>
      <c r="J574" s="17" t="n"/>
      <c r="K574" s="23" t="inlineStr">
        <is>
          <t>20103324948</t>
        </is>
      </c>
      <c r="L574" s="25">
        <f t="array" ref="L574">IF(K574="","",IFERROR(IF(INDEX(Clientes!$D$5:$D$549,MATCH(K574,Clientes!$C$5:$C$549,0))&lt;&gt;"",INDEX(Clientes!$D$5:$D$549,MATCH(K574,Clientes!$C$5:$C$549,0)),TRIM(INDEX(Clientes!$E$5:$E$549,MATCH(K574,Clientes!$C$5:$C$549,0))&amp;" "&amp;INDEX(Clientes!$F$5:$F$549,MATCH(K574,Clientes!$C$5:$C$549,0)))),"NO EXISTE en Clientes"))</f>
        <v/>
      </c>
      <c r="M574" s="17" t="n"/>
      <c r="N574" s="17" t="n"/>
      <c r="O574" s="42" t="n"/>
      <c r="P574" s="39">
        <f>IF(O574&lt;&gt;"",DATE(YEAR(O574)+5,MONTH(O574),1),IF(AND(M574&lt;&gt;"",N574&lt;&gt;""),DATE(M574+5,N574,1),""))</f>
        <v/>
      </c>
      <c r="Q574" s="23" t="n"/>
      <c r="R574" s="17" t="n"/>
      <c r="S574" s="17" t="n"/>
      <c r="T574" s="17" t="n"/>
      <c r="U574" s="17" t="n"/>
      <c r="V574" s="23" t="n"/>
      <c r="W574" s="17" t="n"/>
      <c r="X574" s="17" t="n"/>
      <c r="Y574" s="28">
        <f>IF(B574&lt;&gt;"OK","","SELECT bal_crear_balon(p_codigo_balon =&gt; "&amp;IF(TRIM(C574&amp;"")="","NULL","'"&amp;SUBSTITUTE(TRIM(C574),"'","''")&amp;"'")&amp;", p_id_tipo_balon =&gt; "&amp;"(SELECT id FROM bal_tipo_balon WHERE upper(nombre) = upper('"&amp;SUBSTITUTE(TRIM(D574),"'","''")&amp;"') AND estado = 1 LIMIT 1)"&amp;", p_id_producto_gas =&gt; "&amp;"(SELECT id FROM pro_producto WHERE es_gas = TRUE AND upper(nombre) = upper('"&amp;SUBSTITUTE(TRIM(E574),"'","''")&amp;"') AND estado = 1 LIMIT 1)"&amp;", p_id_propietario =&gt; "&amp;IF(TRIM(F574&amp;"")="","NULL","(SELECT lo.id FROM gen_lista_opciones lo JOIN gen_lista l ON l.id = lo.id_lista WHERE l.nombre = 'PropietarioBalon' AND upper(lo.nombre) = upper('"&amp;SUBSTITUTE(TRIM(F574),"'","''")&amp;"') AND lo.estado = 1 LIMIT 1)")&amp;", p_id_cliente_propietario =&gt; "&amp;IF(F574="CLIENTE",IF(TRIM(G574&amp;"")="","NULL","(SELECT id FROM cli_clientes WHERE numero_documento = '"&amp;SUBSTITUTE(TRIM(G574),"'","''")&amp;"' AND estado = 1 LIMIT 1)"),"NULL")&amp;", p_id_planta =&gt; "&amp;IF(F574="PLANTA",IF(TRIM(G574&amp;"")="","NULL","(SELECT id FROM cli_clientes WHERE numero_documento = '"&amp;SUBSTITUTE(TRIM(G574),"'","''")&amp;"'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"&amp;IF(TRIM(J574&amp;"")="","NULL","(SELECT id FROM gen_almacen WHERE upper(nombre) = upper('"&amp;SUBSTITUTE(TRIM(J574),"'","''")&amp;"') AND estado = 1 LIMIT 1)")&amp;", p_id_cliente_ubicacion =&gt; "&amp;IF(TRIM(K574&amp;"")="","NULL","(SELECT id FROM cli_clientes WHERE numero_documento = '"&amp;SUBSTITUTE(TRIM(K574),"'","''")&amp;"' AND estado = 1 LIMIT 1)")&amp;", p_id_referencia =&gt; "&amp;IF(TRIM(J574&amp;"")&lt;&gt;"","(SELECT lo.id FROM gen_lista_opciones lo JOIN gen_lista l ON l.id = lo.id_lista WHERE l.nombre = 'ReferenciaCilindro' AND upper(lo.nombre) = 'ALMACEN' AND lo.estado = 1 LIMIT 1)",IF(TRIM(K574&amp;"")&lt;&gt;"","(SELECT lo.id FROM gen_lista_opciones lo JOIN gen_lista l ON l.id = lo.id_lista WHERE l.nombre = 'ReferenciaCilindro' AND upper(lo.nombre) = 'CLIENTE' AND lo.estado = 1 LIMIT 1)","NULL"))&amp;", p_anio_fabricacion =&gt; "&amp;IF(M574&amp;""="","NULL::smallint",M574&amp;"::smallint")&amp;", p_mes_fabricacion =&gt; "&amp;IF(N574&amp;""="","NULL::smallint",N574&amp;"::smallint")&amp;", p_fecha_ultima_prueba_hidrostatica =&gt; "&amp;IF(O574&amp;""="","NULL","'"&amp;YEAR(O574)&amp;"-"&amp;TEXT(MONTH(O574),"00")&amp;"-"&amp;TEXT(DAY(O574),"00")&amp;"'")&amp;", p_numero_serie =&gt; "&amp;IF(TRIM(Q574&amp;"")="","NULL","'"&amp;SUBSTITUTE(TRIM(Q574),"'","''")&amp;"'")&amp;", p_id_marca_cilindro =&gt; "&amp;IF(TRIM(R574&amp;"")="","NULL","(SELECT lo.id FROM gen_lista_opciones lo JOIN gen_lista l ON l.id = lo.id_lista WHERE l.nombre = 'MarcaCilindro' AND upper(lo.nombre) = upper('"&amp;SUBSTITUTE(TRIM(R574),"'","''")&amp;"') AND lo.estado = 1 LIMIT 1)")&amp;", p_id_organo_inspector =&gt; "&amp;IF(TRIM(S574&amp;"")="","NULL","(SELECT lo.id FROM gen_lista_opciones lo JOIN gen_lista l ON l.id = lo.id_lista WHERE l.nombre = 'OrganoInspectorCilindro' AND upper(lo.nombre) = upper('"&amp;SUBSTITUTE(TRIM(S574),"'","''")&amp;"') AND lo.estado = 1 LIMIT 1)")&amp;", p_organo_inspector_no_aplica =&gt; "&amp;IF(S574="NO_APLICA","TRUE","FALSE")&amp;", p_presion_actual =&gt; "&amp;IF(T574&amp;""="","NULL",SUBSTITUTE(T574&amp;"",",","."))&amp;", p_tipo_valvula =&gt; "&amp;IF(TRIM(U574&amp;"")="","NULL","'"&amp;SUBSTITUTE(TRIM(U574),"'","''")&amp;"'")&amp;", p_libro_cilindro =&gt; "&amp;IF(TRIM(V574&amp;"")="","NULL","'"&amp;SUBSTITUTE(TRIM(V574),"'","''")&amp;"'")&amp;", p_pagina_libro =&gt; "&amp;IF(W574&amp;""="","NULL",SUBSTITUTE(W574&amp;"",",","."))&amp;", p_observacion =&gt; "&amp;IF(TRIM(X574&amp;"")="","NULL","'"&amp;SUBSTITUTE(TRIM(X574),"'","''")&amp;"'")&amp;") AS resultado_balon_"&amp;ROW()&amp;";")</f>
        <v/>
      </c>
    </row>
    <row r="575" ht="15.75" customHeight="1" s="64">
      <c r="A575" s="36" t="inlineStr">
        <is>
          <t>571</t>
        </is>
      </c>
      <c r="B575" s="25">
        <f>IF(AND(C575="",D575="",E575=""),"",IF(C575="","FALTA código balón",IF(D575="","FALTA tipo balón",IF(E575="","FALTA gas",IF(F575="","FALTA propietario",IF(AND(C575&lt;&gt;"",SUMPRODUCT(--($C$5:$C$1200=C575))&gt;1),"CÓDIGO BALÓN DUPLICADO",IF(AND(OR(UPPER(F575)="PLANTA",UPPER(F575)="CLIENTE"),G575=""),"FALTA doc propietario/planta",IF(AND(UPPER(F575)="PLANTA",G575="10175332796"),"PLANTA no puede ser RUC empresa","OK"))))))))</f>
        <v/>
      </c>
      <c r="C575" s="23" t="inlineStr">
        <is>
          <t>121Y319008</t>
        </is>
      </c>
      <c r="D575" s="17" t="inlineStr">
        <is>
          <t>Oxígeno Medicinal 10 m³</t>
        </is>
      </c>
      <c r="E575" s="17" t="inlineStr">
        <is>
          <t>OXIGENO MEDICINAL</t>
        </is>
      </c>
      <c r="F575" s="17" t="inlineStr">
        <is>
          <t>EMPRESA</t>
        </is>
      </c>
      <c r="G575" s="23" t="inlineStr">
        <is>
          <t>10175332796</t>
        </is>
      </c>
      <c r="H575" s="25">
        <f t="array" ref="H575">IF(G575="","",IFERROR(IF(INDEX(Clientes!$D$5:$D$549,MATCH(G575,Clientes!$C$5:$C$549,0))&lt;&gt;"",INDEX(Clientes!$D$5:$D$549,MATCH(G575,Clientes!$C$5:$C$549,0)),TRIM(INDEX(Clientes!$E$5:$E$549,MATCH(G575,Clientes!$C$5:$C$549,0))&amp;" "&amp;INDEX(Clientes!$F$5:$F$549,MATCH(G575,Clientes!$C$5:$C$549,0)))),"NO EXISTE en Clientes"))</f>
        <v/>
      </c>
      <c r="I575" s="17" t="inlineStr">
        <is>
          <t>EN_PODER_CLIENTE</t>
        </is>
      </c>
      <c r="J575" s="17" t="n"/>
      <c r="K575" s="23" t="inlineStr">
        <is>
          <t>20103324948</t>
        </is>
      </c>
      <c r="L575" s="25">
        <f t="array" ref="L575">IF(K575="","",IFERROR(IF(INDEX(Clientes!$D$5:$D$549,MATCH(K575,Clientes!$C$5:$C$549,0))&lt;&gt;"",INDEX(Clientes!$D$5:$D$549,MATCH(K575,Clientes!$C$5:$C$549,0)),TRIM(INDEX(Clientes!$E$5:$E$549,MATCH(K575,Clientes!$C$5:$C$549,0))&amp;" "&amp;INDEX(Clientes!$F$5:$F$549,MATCH(K575,Clientes!$C$5:$C$549,0)))),"NO EXISTE en Clientes"))</f>
        <v/>
      </c>
      <c r="M575" s="17" t="n"/>
      <c r="N575" s="17" t="n"/>
      <c r="O575" s="42" t="n"/>
      <c r="P575" s="39">
        <f>IF(O575&lt;&gt;"",DATE(YEAR(O575)+5,MONTH(O575),1),IF(AND(M575&lt;&gt;"",N575&lt;&gt;""),DATE(M575+5,N575,1),""))</f>
        <v/>
      </c>
      <c r="Q575" s="23" t="n"/>
      <c r="R575" s="17" t="n"/>
      <c r="S575" s="17" t="n"/>
      <c r="T575" s="17" t="n"/>
      <c r="U575" s="17" t="n"/>
      <c r="V575" s="23" t="n"/>
      <c r="W575" s="17" t="n"/>
      <c r="X575" s="17" t="n"/>
      <c r="Y575" s="28">
        <f>IF(B575&lt;&gt;"OK","","SELECT bal_crear_balon(p_codigo_balon =&gt; "&amp;IF(TRIM(C575&amp;"")="","NULL","'"&amp;SUBSTITUTE(TRIM(C575),"'","''")&amp;"'")&amp;", p_id_tipo_balon =&gt; "&amp;"(SELECT id FROM bal_tipo_balon WHERE upper(nombre) = upper('"&amp;SUBSTITUTE(TRIM(D575),"'","''")&amp;"') AND estado = 1 LIMIT 1)"&amp;", p_id_producto_gas =&gt; "&amp;"(SELECT id FROM pro_producto WHERE es_gas = TRUE AND upper(nombre) = upper('"&amp;SUBSTITUTE(TRIM(E575),"'","''")&amp;"') AND estado = 1 LIMIT 1)"&amp;", p_id_propietario =&gt; "&amp;IF(TRIM(F575&amp;"")="","NULL","(SELECT lo.id FROM gen_lista_opciones lo JOIN gen_lista l ON l.id = lo.id_lista WHERE l.nombre = 'PropietarioBalon' AND upper(lo.nombre) = upper('"&amp;SUBSTITUTE(TRIM(F575),"'","''")&amp;"') AND lo.estado = 1 LIMIT 1)")&amp;", p_id_cliente_propietario =&gt; "&amp;IF(F575="CLIENTE",IF(TRIM(G575&amp;"")="","NULL","(SELECT id FROM cli_clientes WHERE numero_documento = '"&amp;SUBSTITUTE(TRIM(G575),"'","''")&amp;"' AND estado = 1 LIMIT 1)"),"NULL")&amp;", p_id_planta =&gt; "&amp;IF(F575="PLANTA",IF(TRIM(G575&amp;"")="","NULL","(SELECT id FROM cli_clientes WHERE numero_documento = '"&amp;SUBSTITUTE(TRIM(G575),"'","''")&amp;"'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"&amp;IF(TRIM(J575&amp;"")="","NULL","(SELECT id FROM gen_almacen WHERE upper(nombre) = upper('"&amp;SUBSTITUTE(TRIM(J575),"'","''")&amp;"') AND estado = 1 LIMIT 1)")&amp;", p_id_cliente_ubicacion =&gt; "&amp;IF(TRIM(K575&amp;"")="","NULL","(SELECT id FROM cli_clientes WHERE numero_documento = '"&amp;SUBSTITUTE(TRIM(K575),"'","''")&amp;"' AND estado = 1 LIMIT 1)")&amp;", p_id_referencia =&gt; "&amp;IF(TRIM(J575&amp;"")&lt;&gt;"","(SELECT lo.id FROM gen_lista_opciones lo JOIN gen_lista l ON l.id = lo.id_lista WHERE l.nombre = 'ReferenciaCilindro' AND upper(lo.nombre) = 'ALMACEN' AND lo.estado = 1 LIMIT 1)",IF(TRIM(K575&amp;"")&lt;&gt;"","(SELECT lo.id FROM gen_lista_opciones lo JOIN gen_lista l ON l.id = lo.id_lista WHERE l.nombre = 'ReferenciaCilindro' AND upper(lo.nombre) = 'CLIENTE' AND lo.estado = 1 LIMIT 1)","NULL"))&amp;", p_anio_fabricacion =&gt; "&amp;IF(M575&amp;""="","NULL::smallint",M575&amp;"::smallint")&amp;", p_mes_fabricacion =&gt; "&amp;IF(N575&amp;""="","NULL::smallint",N575&amp;"::smallint")&amp;", p_fecha_ultima_prueba_hidrostatica =&gt; "&amp;IF(O575&amp;""="","NULL","'"&amp;YEAR(O575)&amp;"-"&amp;TEXT(MONTH(O575),"00")&amp;"-"&amp;TEXT(DAY(O575),"00")&amp;"'")&amp;", p_numero_serie =&gt; "&amp;IF(TRIM(Q575&amp;"")="","NULL","'"&amp;SUBSTITUTE(TRIM(Q575),"'","''")&amp;"'")&amp;", p_id_marca_cilindro =&gt; "&amp;IF(TRIM(R575&amp;"")="","NULL","(SELECT lo.id FROM gen_lista_opciones lo JOIN gen_lista l ON l.id = lo.id_lista WHERE l.nombre = 'MarcaCilindro' AND upper(lo.nombre) = upper('"&amp;SUBSTITUTE(TRIM(R575),"'","''")&amp;"') AND lo.estado = 1 LIMIT 1)")&amp;", p_id_organo_inspector =&gt; "&amp;IF(TRIM(S575&amp;"")="","NULL","(SELECT lo.id FROM gen_lista_opciones lo JOIN gen_lista l ON l.id = lo.id_lista WHERE l.nombre = 'OrganoInspectorCilindro' AND upper(lo.nombre) = upper('"&amp;SUBSTITUTE(TRIM(S575),"'","''")&amp;"') AND lo.estado = 1 LIMIT 1)")&amp;", p_organo_inspector_no_aplica =&gt; "&amp;IF(S575="NO_APLICA","TRUE","FALSE")&amp;", p_presion_actual =&gt; "&amp;IF(T575&amp;""="","NULL",SUBSTITUTE(T575&amp;"",",","."))&amp;", p_tipo_valvula =&gt; "&amp;IF(TRIM(U575&amp;"")="","NULL","'"&amp;SUBSTITUTE(TRIM(U575),"'","''")&amp;"'")&amp;", p_libro_cilindro =&gt; "&amp;IF(TRIM(V575&amp;"")="","NULL","'"&amp;SUBSTITUTE(TRIM(V575),"'","''")&amp;"'")&amp;", p_pagina_libro =&gt; "&amp;IF(W575&amp;""="","NULL",SUBSTITUTE(W575&amp;"",",","."))&amp;", p_observacion =&gt; "&amp;IF(TRIM(X575&amp;"")="","NULL","'"&amp;SUBSTITUTE(TRIM(X575),"'","''")&amp;"'")&amp;") AS resultado_balon_"&amp;ROW()&amp;";")</f>
        <v/>
      </c>
    </row>
    <row r="576" ht="15.75" customHeight="1" s="64">
      <c r="A576" s="36" t="inlineStr">
        <is>
          <t>572</t>
        </is>
      </c>
      <c r="B576" s="25">
        <f>IF(AND(C576="",D576="",E576=""),"",IF(C576="","FALTA código balón",IF(D576="","FALTA tipo balón",IF(E576="","FALTA gas",IF(F576="","FALTA propietario",IF(AND(C576&lt;&gt;"",SUMPRODUCT(--($C$5:$C$1200=C576))&gt;1),"CÓDIGO BALÓN DUPLICADO",IF(AND(OR(UPPER(F576)="PLANTA",UPPER(F576)="CLIENTE"),G576=""),"FALTA doc propietario/planta",IF(AND(UPPER(F576)="PLANTA",G576="10175332796"),"PLANTA no puede ser RUC empresa","OK"))))))))</f>
        <v/>
      </c>
      <c r="C576" s="23" t="inlineStr">
        <is>
          <t>121Y319050</t>
        </is>
      </c>
      <c r="D576" s="17" t="inlineStr">
        <is>
          <t>Oxígeno Medicinal 10 m³</t>
        </is>
      </c>
      <c r="E576" s="17" t="inlineStr">
        <is>
          <t>OXIGENO MEDICINAL</t>
        </is>
      </c>
      <c r="F576" s="17" t="inlineStr">
        <is>
          <t>EMPRESA</t>
        </is>
      </c>
      <c r="G576" s="23" t="inlineStr">
        <is>
          <t>10175332796</t>
        </is>
      </c>
      <c r="H576" s="25">
        <f t="array" ref="H576">IF(G576="","",IFERROR(IF(INDEX(Clientes!$D$5:$D$549,MATCH(G576,Clientes!$C$5:$C$549,0))&lt;&gt;"",INDEX(Clientes!$D$5:$D$549,MATCH(G576,Clientes!$C$5:$C$549,0)),TRIM(INDEX(Clientes!$E$5:$E$549,MATCH(G576,Clientes!$C$5:$C$549,0))&amp;" "&amp;INDEX(Clientes!$F$5:$F$549,MATCH(G576,Clientes!$C$5:$C$549,0)))),"NO EXISTE en Clientes"))</f>
        <v/>
      </c>
      <c r="I576" s="17" t="inlineStr">
        <is>
          <t>EN_PODER_CLIENTE</t>
        </is>
      </c>
      <c r="J576" s="17" t="n"/>
      <c r="K576" s="23" t="inlineStr">
        <is>
          <t>20103324948</t>
        </is>
      </c>
      <c r="L576" s="25">
        <f t="array" ref="L576">IF(K576="","",IFERROR(IF(INDEX(Clientes!$D$5:$D$549,MATCH(K576,Clientes!$C$5:$C$549,0))&lt;&gt;"",INDEX(Clientes!$D$5:$D$549,MATCH(K576,Clientes!$C$5:$C$549,0)),TRIM(INDEX(Clientes!$E$5:$E$549,MATCH(K576,Clientes!$C$5:$C$549,0))&amp;" "&amp;INDEX(Clientes!$F$5:$F$549,MATCH(K576,Clientes!$C$5:$C$549,0)))),"NO EXISTE en Clientes"))</f>
        <v/>
      </c>
      <c r="M576" s="17" t="n"/>
      <c r="N576" s="17" t="n"/>
      <c r="O576" s="42" t="n"/>
      <c r="P576" s="39">
        <f>IF(O576&lt;&gt;"",DATE(YEAR(O576)+5,MONTH(O576),1),IF(AND(M576&lt;&gt;"",N576&lt;&gt;""),DATE(M576+5,N576,1),""))</f>
        <v/>
      </c>
      <c r="Q576" s="23" t="n"/>
      <c r="R576" s="17" t="n"/>
      <c r="S576" s="17" t="n"/>
      <c r="T576" s="17" t="n"/>
      <c r="U576" s="17" t="n"/>
      <c r="V576" s="23" t="n"/>
      <c r="W576" s="17" t="n"/>
      <c r="X576" s="17" t="n"/>
      <c r="Y576" s="28">
        <f>IF(B576&lt;&gt;"OK","","SELECT bal_crear_balon(p_codigo_balon =&gt; "&amp;IF(TRIM(C576&amp;"")="","NULL","'"&amp;SUBSTITUTE(TRIM(C576),"'","''")&amp;"'")&amp;", p_id_tipo_balon =&gt; "&amp;"(SELECT id FROM bal_tipo_balon WHERE upper(nombre) = upper('"&amp;SUBSTITUTE(TRIM(D576),"'","''")&amp;"') AND estado = 1 LIMIT 1)"&amp;", p_id_producto_gas =&gt; "&amp;"(SELECT id FROM pro_producto WHERE es_gas = TRUE AND upper(nombre) = upper('"&amp;SUBSTITUTE(TRIM(E576),"'","''")&amp;"') AND estado = 1 LIMIT 1)"&amp;", p_id_propietario =&gt; "&amp;IF(TRIM(F576&amp;"")="","NULL","(SELECT lo.id FROM gen_lista_opciones lo JOIN gen_lista l ON l.id = lo.id_lista WHERE l.nombre = 'PropietarioBalon' AND upper(lo.nombre) = upper('"&amp;SUBSTITUTE(TRIM(F576),"'","''")&amp;"') AND lo.estado = 1 LIMIT 1)")&amp;", p_id_cliente_propietario =&gt; "&amp;IF(F576="CLIENTE",IF(TRIM(G576&amp;"")="","NULL","(SELECT id FROM cli_clientes WHERE numero_documento = '"&amp;SUBSTITUTE(TRIM(G576),"'","''")&amp;"' AND estado = 1 LIMIT 1)"),"NULL")&amp;", p_id_planta =&gt; "&amp;IF(F576="PLANTA",IF(TRIM(G576&amp;"")="","NULL","(SELECT id FROM cli_clientes WHERE numero_documento = '"&amp;SUBSTITUTE(TRIM(G576),"'","''")&amp;"'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"&amp;IF(TRIM(J576&amp;"")="","NULL","(SELECT id FROM gen_almacen WHERE upper(nombre) = upper('"&amp;SUBSTITUTE(TRIM(J576),"'","''")&amp;"') AND estado = 1 LIMIT 1)")&amp;", p_id_cliente_ubicacion =&gt; "&amp;IF(TRIM(K576&amp;"")="","NULL","(SELECT id FROM cli_clientes WHERE numero_documento = '"&amp;SUBSTITUTE(TRIM(K576),"'","''")&amp;"' AND estado = 1 LIMIT 1)")&amp;", p_id_referencia =&gt; "&amp;IF(TRIM(J576&amp;"")&lt;&gt;"","(SELECT lo.id FROM gen_lista_opciones lo JOIN gen_lista l ON l.id = lo.id_lista WHERE l.nombre = 'ReferenciaCilindro' AND upper(lo.nombre) = 'ALMACEN' AND lo.estado = 1 LIMIT 1)",IF(TRIM(K576&amp;"")&lt;&gt;"","(SELECT lo.id FROM gen_lista_opciones lo JOIN gen_lista l ON l.id = lo.id_lista WHERE l.nombre = 'ReferenciaCilindro' AND upper(lo.nombre) = 'CLIENTE' AND lo.estado = 1 LIMIT 1)","NULL"))&amp;", p_anio_fabricacion =&gt; "&amp;IF(M576&amp;""="","NULL::smallint",M576&amp;"::smallint")&amp;", p_mes_fabricacion =&gt; "&amp;IF(N576&amp;""="","NULL::smallint",N576&amp;"::smallint")&amp;", p_fecha_ultima_prueba_hidrostatica =&gt; "&amp;IF(O576&amp;""="","NULL","'"&amp;YEAR(O576)&amp;"-"&amp;TEXT(MONTH(O576),"00")&amp;"-"&amp;TEXT(DAY(O576),"00")&amp;"'")&amp;", p_numero_serie =&gt; "&amp;IF(TRIM(Q576&amp;"")="","NULL","'"&amp;SUBSTITUTE(TRIM(Q576),"'","''")&amp;"'")&amp;", p_id_marca_cilindro =&gt; "&amp;IF(TRIM(R576&amp;"")="","NULL","(SELECT lo.id FROM gen_lista_opciones lo JOIN gen_lista l ON l.id = lo.id_lista WHERE l.nombre = 'MarcaCilindro' AND upper(lo.nombre) = upper('"&amp;SUBSTITUTE(TRIM(R576),"'","''")&amp;"') AND lo.estado = 1 LIMIT 1)")&amp;", p_id_organo_inspector =&gt; "&amp;IF(TRIM(S576&amp;"")="","NULL","(SELECT lo.id FROM gen_lista_opciones lo JOIN gen_lista l ON l.id = lo.id_lista WHERE l.nombre = 'OrganoInspectorCilindro' AND upper(lo.nombre) = upper('"&amp;SUBSTITUTE(TRIM(S576),"'","''")&amp;"') AND lo.estado = 1 LIMIT 1)")&amp;", p_organo_inspector_no_aplica =&gt; "&amp;IF(S576="NO_APLICA","TRUE","FALSE")&amp;", p_presion_actual =&gt; "&amp;IF(T576&amp;""="","NULL",SUBSTITUTE(T576&amp;"",",","."))&amp;", p_tipo_valvula =&gt; "&amp;IF(TRIM(U576&amp;"")="","NULL","'"&amp;SUBSTITUTE(TRIM(U576),"'","''")&amp;"'")&amp;", p_libro_cilindro =&gt; "&amp;IF(TRIM(V576&amp;"")="","NULL","'"&amp;SUBSTITUTE(TRIM(V576),"'","''")&amp;"'")&amp;", p_pagina_libro =&gt; "&amp;IF(W576&amp;""="","NULL",SUBSTITUTE(W576&amp;"",",","."))&amp;", p_observacion =&gt; "&amp;IF(TRIM(X576&amp;"")="","NULL","'"&amp;SUBSTITUTE(TRIM(X576),"'","''")&amp;"'")&amp;") AS resultado_balon_"&amp;ROW()&amp;";")</f>
        <v/>
      </c>
    </row>
    <row r="577" ht="15.75" customHeight="1" s="64">
      <c r="A577" s="36" t="inlineStr">
        <is>
          <t>573</t>
        </is>
      </c>
      <c r="B577" s="25">
        <f>IF(AND(C577="",D577="",E577=""),"",IF(C577="","FALTA código balón",IF(D577="","FALTA tipo balón",IF(E577="","FALTA gas",IF(F577="","FALTA propietario",IF(AND(C577&lt;&gt;"",SUMPRODUCT(--($C$5:$C$1200=C577))&gt;1),"CÓDIGO BALÓN DUPLICADO",IF(AND(OR(UPPER(F577)="PLANTA",UPPER(F577)="CLIENTE"),G577=""),"FALTA doc propietario/planta",IF(AND(UPPER(F577)="PLANTA",G577="10175332796"),"PLANTA no puede ser RUC empresa","OK"))))))))</f>
        <v/>
      </c>
      <c r="C577" s="23" t="inlineStr">
        <is>
          <t>FC017178</t>
        </is>
      </c>
      <c r="D577" s="17" t="inlineStr">
        <is>
          <t>Oxígeno Medicinal 10 m³</t>
        </is>
      </c>
      <c r="E577" s="17" t="inlineStr">
        <is>
          <t>OXIGENO MEDICINAL</t>
        </is>
      </c>
      <c r="F577" s="17" t="inlineStr">
        <is>
          <t>EMPRESA</t>
        </is>
      </c>
      <c r="G577" s="23" t="inlineStr">
        <is>
          <t>10175332796</t>
        </is>
      </c>
      <c r="H577" s="25">
        <f t="array" ref="H577">IF(G577="","",IFERROR(IF(INDEX(Clientes!$D$5:$D$549,MATCH(G577,Clientes!$C$5:$C$549,0))&lt;&gt;"",INDEX(Clientes!$D$5:$D$549,MATCH(G577,Clientes!$C$5:$C$549,0)),TRIM(INDEX(Clientes!$E$5:$E$549,MATCH(G577,Clientes!$C$5:$C$549,0))&amp;" "&amp;INDEX(Clientes!$F$5:$F$549,MATCH(G577,Clientes!$C$5:$C$549,0)))),"NO EXISTE en Clientes"))</f>
        <v/>
      </c>
      <c r="I577" s="17" t="inlineStr">
        <is>
          <t>EN_PODER_CLIENTE</t>
        </is>
      </c>
      <c r="J577" s="17" t="n"/>
      <c r="K577" s="23" t="inlineStr">
        <is>
          <t>20561370762</t>
        </is>
      </c>
      <c r="L577" s="25">
        <f t="array" ref="L577">IF(K577="","",IFERROR(IF(INDEX(Clientes!$D$5:$D$549,MATCH(K577,Clientes!$C$5:$C$549,0))&lt;&gt;"",INDEX(Clientes!$D$5:$D$549,MATCH(K577,Clientes!$C$5:$C$549,0)),TRIM(INDEX(Clientes!$E$5:$E$549,MATCH(K577,Clientes!$C$5:$C$549,0))&amp;" "&amp;INDEX(Clientes!$F$5:$F$549,MATCH(K577,Clientes!$C$5:$C$549,0)))),"NO EXISTE en Clientes"))</f>
        <v/>
      </c>
      <c r="M577" s="17" t="n"/>
      <c r="N577" s="17" t="n"/>
      <c r="O577" s="42" t="n"/>
      <c r="P577" s="39">
        <f>IF(O577&lt;&gt;"",DATE(YEAR(O577)+5,MONTH(O577),1),IF(AND(M577&lt;&gt;"",N577&lt;&gt;""),DATE(M577+5,N577,1),""))</f>
        <v/>
      </c>
      <c r="Q577" s="23" t="n"/>
      <c r="R577" s="17" t="n"/>
      <c r="S577" s="17" t="n"/>
      <c r="T577" s="17" t="n"/>
      <c r="U577" s="17" t="n"/>
      <c r="V577" s="23" t="n"/>
      <c r="W577" s="17" t="n"/>
      <c r="X577" s="17" t="n"/>
      <c r="Y577" s="28">
        <f>IF(B577&lt;&gt;"OK","","SELECT bal_crear_balon(p_codigo_balon =&gt; "&amp;IF(TRIM(C577&amp;"")="","NULL","'"&amp;SUBSTITUTE(TRIM(C577),"'","''")&amp;"'")&amp;", p_id_tipo_balon =&gt; "&amp;"(SELECT id FROM bal_tipo_balon WHERE upper(nombre) = upper('"&amp;SUBSTITUTE(TRIM(D577),"'","''")&amp;"') AND estado = 1 LIMIT 1)"&amp;", p_id_producto_gas =&gt; "&amp;"(SELECT id FROM pro_producto WHERE es_gas = TRUE AND upper(nombre) = upper('"&amp;SUBSTITUTE(TRIM(E577),"'","''")&amp;"') AND estado = 1 LIMIT 1)"&amp;", p_id_propietario =&gt; "&amp;IF(TRIM(F577&amp;"")="","NULL","(SELECT lo.id FROM gen_lista_opciones lo JOIN gen_lista l ON l.id = lo.id_lista WHERE l.nombre = 'PropietarioBalon' AND upper(lo.nombre) = upper('"&amp;SUBSTITUTE(TRIM(F577),"'","''")&amp;"') AND lo.estado = 1 LIMIT 1)")&amp;", p_id_cliente_propietario =&gt; "&amp;IF(F577="CLIENTE",IF(TRIM(G577&amp;"")="","NULL","(SELECT id FROM cli_clientes WHERE numero_documento = '"&amp;SUBSTITUTE(TRIM(G577),"'","''")&amp;"' AND estado = 1 LIMIT 1)"),"NULL")&amp;", p_id_planta =&gt; "&amp;IF(F577="PLANTA",IF(TRIM(G577&amp;"")="","NULL","(SELECT id FROM cli_clientes WHERE numero_documento = '"&amp;SUBSTITUTE(TRIM(G577),"'","''")&amp;"'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"&amp;IF(TRIM(J577&amp;"")="","NULL","(SELECT id FROM gen_almacen WHERE upper(nombre) = upper('"&amp;SUBSTITUTE(TRIM(J577),"'","''")&amp;"') AND estado = 1 LIMIT 1)")&amp;", p_id_cliente_ubicacion =&gt; "&amp;IF(TRIM(K577&amp;"")="","NULL","(SELECT id FROM cli_clientes WHERE numero_documento = '"&amp;SUBSTITUTE(TRIM(K577),"'","''")&amp;"' AND estado = 1 LIMIT 1)")&amp;", p_id_referencia =&gt; "&amp;IF(TRIM(J577&amp;"")&lt;&gt;"","(SELECT lo.id FROM gen_lista_opciones lo JOIN gen_lista l ON l.id = lo.id_lista WHERE l.nombre = 'ReferenciaCilindro' AND upper(lo.nombre) = 'ALMACEN' AND lo.estado = 1 LIMIT 1)",IF(TRIM(K577&amp;"")&lt;&gt;"","(SELECT lo.id FROM gen_lista_opciones lo JOIN gen_lista l ON l.id = lo.id_lista WHERE l.nombre = 'ReferenciaCilindro' AND upper(lo.nombre) = 'CLIENTE' AND lo.estado = 1 LIMIT 1)","NULL"))&amp;", p_anio_fabricacion =&gt; "&amp;IF(M577&amp;""="","NULL::smallint",M577&amp;"::smallint")&amp;", p_mes_fabricacion =&gt; "&amp;IF(N577&amp;""="","NULL::smallint",N577&amp;"::smallint")&amp;", p_fecha_ultima_prueba_hidrostatica =&gt; "&amp;IF(O577&amp;""="","NULL","'"&amp;YEAR(O577)&amp;"-"&amp;TEXT(MONTH(O577),"00")&amp;"-"&amp;TEXT(DAY(O577),"00")&amp;"'")&amp;", p_numero_serie =&gt; "&amp;IF(TRIM(Q577&amp;"")="","NULL","'"&amp;SUBSTITUTE(TRIM(Q577),"'","''")&amp;"'")&amp;", p_id_marca_cilindro =&gt; "&amp;IF(TRIM(R577&amp;"")="","NULL","(SELECT lo.id FROM gen_lista_opciones lo JOIN gen_lista l ON l.id = lo.id_lista WHERE l.nombre = 'MarcaCilindro' AND upper(lo.nombre) = upper('"&amp;SUBSTITUTE(TRIM(R577),"'","''")&amp;"') AND lo.estado = 1 LIMIT 1)")&amp;", p_id_organo_inspector =&gt; "&amp;IF(TRIM(S577&amp;"")="","NULL","(SELECT lo.id FROM gen_lista_opciones lo JOIN gen_lista l ON l.id = lo.id_lista WHERE l.nombre = 'OrganoInspectorCilindro' AND upper(lo.nombre) = upper('"&amp;SUBSTITUTE(TRIM(S577),"'","''")&amp;"') AND lo.estado = 1 LIMIT 1)")&amp;", p_organo_inspector_no_aplica =&gt; "&amp;IF(S577="NO_APLICA","TRUE","FALSE")&amp;", p_presion_actual =&gt; "&amp;IF(T577&amp;""="","NULL",SUBSTITUTE(T577&amp;"",",","."))&amp;", p_tipo_valvula =&gt; "&amp;IF(TRIM(U577&amp;"")="","NULL","'"&amp;SUBSTITUTE(TRIM(U577),"'","''")&amp;"'")&amp;", p_libro_cilindro =&gt; "&amp;IF(TRIM(V577&amp;"")="","NULL","'"&amp;SUBSTITUTE(TRIM(V577),"'","''")&amp;"'")&amp;", p_pagina_libro =&gt; "&amp;IF(W577&amp;""="","NULL",SUBSTITUTE(W577&amp;"",",","."))&amp;", p_observacion =&gt; "&amp;IF(TRIM(X577&amp;"")="","NULL","'"&amp;SUBSTITUTE(TRIM(X577),"'","''")&amp;"'")&amp;") AS resultado_balon_"&amp;ROW()&amp;";")</f>
        <v/>
      </c>
    </row>
    <row r="578" ht="15.75" customHeight="1" s="64">
      <c r="A578" s="36" t="inlineStr">
        <is>
          <t>574</t>
        </is>
      </c>
      <c r="B578" s="25">
        <f>IF(AND(C578="",D578="",E578=""),"",IF(C578="","FALTA código balón",IF(D578="","FALTA tipo balón",IF(E578="","FALTA gas",IF(F578="","FALTA propietario",IF(AND(C578&lt;&gt;"",SUMPRODUCT(--($C$5:$C$1200=C578))&gt;1),"CÓDIGO BALÓN DUPLICADO",IF(AND(OR(UPPER(F578)="PLANTA",UPPER(F578)="CLIENTE"),G578=""),"FALTA doc propietario/planta",IF(AND(UPPER(F578)="PLANTA",G578="10175332796"),"PLANTA no puede ser RUC empresa","OK"))))))))</f>
        <v/>
      </c>
      <c r="C578" s="23" t="inlineStr">
        <is>
          <t>A2389171</t>
        </is>
      </c>
      <c r="D578" s="17" t="inlineStr">
        <is>
          <t>Oxigeno Industrial 3 m³</t>
        </is>
      </c>
      <c r="E578" s="17" t="inlineStr">
        <is>
          <t>OXIGENO INDUSTRIAL</t>
        </is>
      </c>
      <c r="F578" s="17" t="inlineStr">
        <is>
          <t>EMPRESA</t>
        </is>
      </c>
      <c r="G578" s="23" t="inlineStr">
        <is>
          <t>10175332796</t>
        </is>
      </c>
      <c r="H578" s="25">
        <f t="array" ref="H578">IF(G578="","",IFERROR(IF(INDEX(Clientes!$D$5:$D$549,MATCH(G578,Clientes!$C$5:$C$549,0))&lt;&gt;"",INDEX(Clientes!$D$5:$D$549,MATCH(G578,Clientes!$C$5:$C$549,0)),TRIM(INDEX(Clientes!$E$5:$E$549,MATCH(G578,Clientes!$C$5:$C$549,0))&amp;" "&amp;INDEX(Clientes!$F$5:$F$549,MATCH(G578,Clientes!$C$5:$C$549,0)))),"NO EXISTE en Clientes"))</f>
        <v/>
      </c>
      <c r="I578" s="17" t="inlineStr">
        <is>
          <t>EN_PODER_CLIENTE</t>
        </is>
      </c>
      <c r="J578" s="17" t="n"/>
      <c r="K578" s="23" t="inlineStr">
        <is>
          <t>20561370762</t>
        </is>
      </c>
      <c r="L578" s="25">
        <f t="array" ref="L578">IF(K578="","",IFERROR(IF(INDEX(Clientes!$D$5:$D$549,MATCH(K578,Clientes!$C$5:$C$549,0))&lt;&gt;"",INDEX(Clientes!$D$5:$D$549,MATCH(K578,Clientes!$C$5:$C$549,0)),TRIM(INDEX(Clientes!$E$5:$E$549,MATCH(K578,Clientes!$C$5:$C$549,0))&amp;" "&amp;INDEX(Clientes!$F$5:$F$549,MATCH(K578,Clientes!$C$5:$C$549,0)))),"NO EXISTE en Clientes"))</f>
        <v/>
      </c>
      <c r="M578" s="17" t="n"/>
      <c r="N578" s="17" t="n"/>
      <c r="O578" s="42" t="n"/>
      <c r="P578" s="39">
        <f>IF(O578&lt;&gt;"",DATE(YEAR(O578)+5,MONTH(O578),1),IF(AND(M578&lt;&gt;"",N578&lt;&gt;""),DATE(M578+5,N578,1),""))</f>
        <v/>
      </c>
      <c r="Q578" s="23" t="n"/>
      <c r="R578" s="17" t="n"/>
      <c r="S578" s="17" t="n"/>
      <c r="T578" s="17" t="n"/>
      <c r="U578" s="17" t="n"/>
      <c r="V578" s="23" t="n"/>
      <c r="W578" s="17" t="n"/>
      <c r="X578" s="17" t="n"/>
      <c r="Y578" s="28">
        <f>IF(B578&lt;&gt;"OK","","SELECT bal_crear_balon(p_codigo_balon =&gt; "&amp;IF(TRIM(C578&amp;"")="","NULL","'"&amp;SUBSTITUTE(TRIM(C578),"'","''")&amp;"'")&amp;", p_id_tipo_balon =&gt; "&amp;"(SELECT id FROM bal_tipo_balon WHERE upper(nombre) = upper('"&amp;SUBSTITUTE(TRIM(D578),"'","''")&amp;"') AND estado = 1 LIMIT 1)"&amp;", p_id_producto_gas =&gt; "&amp;"(SELECT id FROM pro_producto WHERE es_gas = TRUE AND upper(nombre) = upper('"&amp;SUBSTITUTE(TRIM(E578),"'","''")&amp;"') AND estado = 1 LIMIT 1)"&amp;", p_id_propietario =&gt; "&amp;IF(TRIM(F578&amp;"")="","NULL","(SELECT lo.id FROM gen_lista_opciones lo JOIN gen_lista l ON l.id = lo.id_lista WHERE l.nombre = 'PropietarioBalon' AND upper(lo.nombre) = upper('"&amp;SUBSTITUTE(TRIM(F578),"'","''")&amp;"') AND lo.estado = 1 LIMIT 1)")&amp;", p_id_cliente_propietario =&gt; "&amp;IF(F578="CLIENTE",IF(TRIM(G578&amp;"")="","NULL","(SELECT id FROM cli_clientes WHERE numero_documento = '"&amp;SUBSTITUTE(TRIM(G578),"'","''")&amp;"' AND estado = 1 LIMIT 1)"),"NULL")&amp;", p_id_planta =&gt; "&amp;IF(F578="PLANTA",IF(TRIM(G578&amp;"")="","NULL","(SELECT id FROM cli_clientes WHERE numero_documento = '"&amp;SUBSTITUTE(TRIM(G578),"'","''")&amp;"'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"&amp;IF(TRIM(J578&amp;"")="","NULL","(SELECT id FROM gen_almacen WHERE upper(nombre) = upper('"&amp;SUBSTITUTE(TRIM(J578),"'","''")&amp;"') AND estado = 1 LIMIT 1)")&amp;", p_id_cliente_ubicacion =&gt; "&amp;IF(TRIM(K578&amp;"")="","NULL","(SELECT id FROM cli_clientes WHERE numero_documento = '"&amp;SUBSTITUTE(TRIM(K578),"'","''")&amp;"' AND estado = 1 LIMIT 1)")&amp;", p_id_referencia =&gt; "&amp;IF(TRIM(J578&amp;"")&lt;&gt;"","(SELECT lo.id FROM gen_lista_opciones lo JOIN gen_lista l ON l.id = lo.id_lista WHERE l.nombre = 'ReferenciaCilindro' AND upper(lo.nombre) = 'ALMACEN' AND lo.estado = 1 LIMIT 1)",IF(TRIM(K578&amp;"")&lt;&gt;"","(SELECT lo.id FROM gen_lista_opciones lo JOIN gen_lista l ON l.id = lo.id_lista WHERE l.nombre = 'ReferenciaCilindro' AND upper(lo.nombre) = 'CLIENTE' AND lo.estado = 1 LIMIT 1)","NULL"))&amp;", p_anio_fabricacion =&gt; "&amp;IF(M578&amp;""="","NULL::smallint",M578&amp;"::smallint")&amp;", p_mes_fabricacion =&gt; "&amp;IF(N578&amp;""="","NULL::smallint",N578&amp;"::smallint")&amp;", p_fecha_ultima_prueba_hidrostatica =&gt; "&amp;IF(O578&amp;""="","NULL","'"&amp;YEAR(O578)&amp;"-"&amp;TEXT(MONTH(O578),"00")&amp;"-"&amp;TEXT(DAY(O578),"00")&amp;"'")&amp;", p_numero_serie =&gt; "&amp;IF(TRIM(Q578&amp;"")="","NULL","'"&amp;SUBSTITUTE(TRIM(Q578),"'","''")&amp;"'")&amp;", p_id_marca_cilindro =&gt; "&amp;IF(TRIM(R578&amp;"")="","NULL","(SELECT lo.id FROM gen_lista_opciones lo JOIN gen_lista l ON l.id = lo.id_lista WHERE l.nombre = 'MarcaCilindro' AND upper(lo.nombre) = upper('"&amp;SUBSTITUTE(TRIM(R578),"'","''")&amp;"') AND lo.estado = 1 LIMIT 1)")&amp;", p_id_organo_inspector =&gt; "&amp;IF(TRIM(S578&amp;"")="","NULL","(SELECT lo.id FROM gen_lista_opciones lo JOIN gen_lista l ON l.id = lo.id_lista WHERE l.nombre = 'OrganoInspectorCilindro' AND upper(lo.nombre) = upper('"&amp;SUBSTITUTE(TRIM(S578),"'","''")&amp;"') AND lo.estado = 1 LIMIT 1)")&amp;", p_organo_inspector_no_aplica =&gt; "&amp;IF(S578="NO_APLICA","TRUE","FALSE")&amp;", p_presion_actual =&gt; "&amp;IF(T578&amp;""="","NULL",SUBSTITUTE(T578&amp;"",",","."))&amp;", p_tipo_valvula =&gt; "&amp;IF(TRIM(U578&amp;"")="","NULL","'"&amp;SUBSTITUTE(TRIM(U578),"'","''")&amp;"'")&amp;", p_libro_cilindro =&gt; "&amp;IF(TRIM(V578&amp;"")="","NULL","'"&amp;SUBSTITUTE(TRIM(V578),"'","''")&amp;"'")&amp;", p_pagina_libro =&gt; "&amp;IF(W578&amp;""="","NULL",SUBSTITUTE(W578&amp;"",",","."))&amp;", p_observacion =&gt; "&amp;IF(TRIM(X578&amp;"")="","NULL","'"&amp;SUBSTITUTE(TRIM(X578),"'","''")&amp;"'")&amp;") AS resultado_balon_"&amp;ROW()&amp;";")</f>
        <v/>
      </c>
    </row>
    <row r="579" ht="15.75" customHeight="1" s="64">
      <c r="A579" s="36" t="inlineStr">
        <is>
          <t>575</t>
        </is>
      </c>
      <c r="B579" s="25">
        <f>IF(AND(C579="",D579="",E579=""),"",IF(C579="","FALTA código balón",IF(D579="","FALTA tipo balón",IF(E579="","FALTA gas",IF(F579="","FALTA propietario",IF(AND(C579&lt;&gt;"",SUMPRODUCT(--($C$5:$C$1200=C579))&gt;1),"CÓDIGO BALÓN DUPLICADO",IF(AND(OR(UPPER(F579)="PLANTA",UPPER(F579)="CLIENTE"),G579=""),"FALTA doc propietario/planta",IF(AND(UPPER(F579)="PLANTA",G579="10175332796"),"PLANTA no puede ser RUC empresa","OK"))))))))</f>
        <v/>
      </c>
      <c r="C579" s="23" t="inlineStr">
        <is>
          <t>6641120Y</t>
        </is>
      </c>
      <c r="D579" s="17" t="inlineStr">
        <is>
          <t>Oxígeno Medicinal 10 m³</t>
        </is>
      </c>
      <c r="E579" s="17" t="inlineStr">
        <is>
          <t>OXIGENO MEDICINAL</t>
        </is>
      </c>
      <c r="F579" s="17" t="inlineStr">
        <is>
          <t>EMPRESA</t>
        </is>
      </c>
      <c r="G579" s="23" t="inlineStr">
        <is>
          <t>10175332796</t>
        </is>
      </c>
      <c r="H579" s="25">
        <f t="array" ref="H579">IF(G579="","",IFERROR(IF(INDEX(Clientes!$D$5:$D$549,MATCH(G579,Clientes!$C$5:$C$549,0))&lt;&gt;"",INDEX(Clientes!$D$5:$D$549,MATCH(G579,Clientes!$C$5:$C$549,0)),TRIM(INDEX(Clientes!$E$5:$E$549,MATCH(G579,Clientes!$C$5:$C$549,0))&amp;" "&amp;INDEX(Clientes!$F$5:$F$549,MATCH(G579,Clientes!$C$5:$C$549,0)))),"NO EXISTE en Clientes"))</f>
        <v/>
      </c>
      <c r="I579" s="17" t="inlineStr">
        <is>
          <t>EN_PODER_CLIENTE</t>
        </is>
      </c>
      <c r="J579" s="17" t="n"/>
      <c r="K579" s="23" t="inlineStr">
        <is>
          <t>20561359441</t>
        </is>
      </c>
      <c r="L579" s="25">
        <f t="array" ref="L579">IF(K579="","",IFERROR(IF(INDEX(Clientes!$D$5:$D$549,MATCH(K579,Clientes!$C$5:$C$549,0))&lt;&gt;"",INDEX(Clientes!$D$5:$D$549,MATCH(K579,Clientes!$C$5:$C$549,0)),TRIM(INDEX(Clientes!$E$5:$E$549,MATCH(K579,Clientes!$C$5:$C$549,0))&amp;" "&amp;INDEX(Clientes!$F$5:$F$549,MATCH(K579,Clientes!$C$5:$C$549,0)))),"NO EXISTE en Clientes"))</f>
        <v/>
      </c>
      <c r="M579" s="17" t="n"/>
      <c r="N579" s="17" t="n"/>
      <c r="O579" s="42" t="n"/>
      <c r="P579" s="39">
        <f>IF(O579&lt;&gt;"",DATE(YEAR(O579)+5,MONTH(O579),1),IF(AND(M579&lt;&gt;"",N579&lt;&gt;""),DATE(M579+5,N579,1),""))</f>
        <v/>
      </c>
      <c r="Q579" s="23" t="n"/>
      <c r="R579" s="17" t="n"/>
      <c r="S579" s="17" t="n"/>
      <c r="T579" s="17" t="n"/>
      <c r="U579" s="17" t="n"/>
      <c r="V579" s="23" t="n"/>
      <c r="W579" s="17" t="n"/>
      <c r="X579" s="17" t="n"/>
      <c r="Y579" s="28">
        <f>IF(B579&lt;&gt;"OK","","SELECT bal_crear_balon(p_codigo_balon =&gt; "&amp;IF(TRIM(C579&amp;"")="","NULL","'"&amp;SUBSTITUTE(TRIM(C579),"'","''")&amp;"'")&amp;", p_id_tipo_balon =&gt; "&amp;"(SELECT id FROM bal_tipo_balon WHERE upper(nombre) = upper('"&amp;SUBSTITUTE(TRIM(D579),"'","''")&amp;"') AND estado = 1 LIMIT 1)"&amp;", p_id_producto_gas =&gt; "&amp;"(SELECT id FROM pro_producto WHERE es_gas = TRUE AND upper(nombre) = upper('"&amp;SUBSTITUTE(TRIM(E579),"'","''")&amp;"') AND estado = 1 LIMIT 1)"&amp;", p_id_propietario =&gt; "&amp;IF(TRIM(F579&amp;"")="","NULL","(SELECT lo.id FROM gen_lista_opciones lo JOIN gen_lista l ON l.id = lo.id_lista WHERE l.nombre = 'PropietarioBalon' AND upper(lo.nombre) = upper('"&amp;SUBSTITUTE(TRIM(F579),"'","''")&amp;"') AND lo.estado = 1 LIMIT 1)")&amp;", p_id_cliente_propietario =&gt; "&amp;IF(F579="CLIENTE",IF(TRIM(G579&amp;"")="","NULL","(SELECT id FROM cli_clientes WHERE numero_documento = '"&amp;SUBSTITUTE(TRIM(G579),"'","''")&amp;"' AND estado = 1 LIMIT 1)"),"NULL")&amp;", p_id_planta =&gt; "&amp;IF(F579="PLANTA",IF(TRIM(G579&amp;"")="","NULL","(SELECT id FROM cli_clientes WHERE numero_documento = '"&amp;SUBSTITUTE(TRIM(G579),"'","''")&amp;"'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"&amp;IF(TRIM(J579&amp;"")="","NULL","(SELECT id FROM gen_almacen WHERE upper(nombre) = upper('"&amp;SUBSTITUTE(TRIM(J579),"'","''")&amp;"') AND estado = 1 LIMIT 1)")&amp;", p_id_cliente_ubicacion =&gt; "&amp;IF(TRIM(K579&amp;"")="","NULL","(SELECT id FROM cli_clientes WHERE numero_documento = '"&amp;SUBSTITUTE(TRIM(K579),"'","''")&amp;"' AND estado = 1 LIMIT 1)")&amp;", p_id_referencia =&gt; "&amp;IF(TRIM(J579&amp;"")&lt;&gt;"","(SELECT lo.id FROM gen_lista_opciones lo JOIN gen_lista l ON l.id = lo.id_lista WHERE l.nombre = 'ReferenciaCilindro' AND upper(lo.nombre) = 'ALMACEN' AND lo.estado = 1 LIMIT 1)",IF(TRIM(K579&amp;"")&lt;&gt;"","(SELECT lo.id FROM gen_lista_opciones lo JOIN gen_lista l ON l.id = lo.id_lista WHERE l.nombre = 'ReferenciaCilindro' AND upper(lo.nombre) = 'CLIENTE' AND lo.estado = 1 LIMIT 1)","NULL"))&amp;", p_anio_fabricacion =&gt; "&amp;IF(M579&amp;""="","NULL::smallint",M579&amp;"::smallint")&amp;", p_mes_fabricacion =&gt; "&amp;IF(N579&amp;""="","NULL::smallint",N579&amp;"::smallint")&amp;", p_fecha_ultima_prueba_hidrostatica =&gt; "&amp;IF(O579&amp;""="","NULL","'"&amp;YEAR(O579)&amp;"-"&amp;TEXT(MONTH(O579),"00")&amp;"-"&amp;TEXT(DAY(O579),"00")&amp;"'")&amp;", p_numero_serie =&gt; "&amp;IF(TRIM(Q579&amp;"")="","NULL","'"&amp;SUBSTITUTE(TRIM(Q579),"'","''")&amp;"'")&amp;", p_id_marca_cilindro =&gt; "&amp;IF(TRIM(R579&amp;"")="","NULL","(SELECT lo.id FROM gen_lista_opciones lo JOIN gen_lista l ON l.id = lo.id_lista WHERE l.nombre = 'MarcaCilindro' AND upper(lo.nombre) = upper('"&amp;SUBSTITUTE(TRIM(R579),"'","''")&amp;"') AND lo.estado = 1 LIMIT 1)")&amp;", p_id_organo_inspector =&gt; "&amp;IF(TRIM(S579&amp;"")="","NULL","(SELECT lo.id FROM gen_lista_opciones lo JOIN gen_lista l ON l.id = lo.id_lista WHERE l.nombre = 'OrganoInspectorCilindro' AND upper(lo.nombre) = upper('"&amp;SUBSTITUTE(TRIM(S579),"'","''")&amp;"') AND lo.estado = 1 LIMIT 1)")&amp;", p_organo_inspector_no_aplica =&gt; "&amp;IF(S579="NO_APLICA","TRUE","FALSE")&amp;", p_presion_actual =&gt; "&amp;IF(T579&amp;""="","NULL",SUBSTITUTE(T579&amp;"",",","."))&amp;", p_tipo_valvula =&gt; "&amp;IF(TRIM(U579&amp;"")="","NULL","'"&amp;SUBSTITUTE(TRIM(U579),"'","''")&amp;"'")&amp;", p_libro_cilindro =&gt; "&amp;IF(TRIM(V579&amp;"")="","NULL","'"&amp;SUBSTITUTE(TRIM(V579),"'","''")&amp;"'")&amp;", p_pagina_libro =&gt; "&amp;IF(W579&amp;""="","NULL",SUBSTITUTE(W579&amp;"",",","."))&amp;", p_observacion =&gt; "&amp;IF(TRIM(X579&amp;"")="","NULL","'"&amp;SUBSTITUTE(TRIM(X579),"'","''")&amp;"'")&amp;") AS resultado_balon_"&amp;ROW()&amp;";")</f>
        <v/>
      </c>
    </row>
    <row r="580" ht="15.75" customHeight="1" s="64">
      <c r="A580" s="36" t="inlineStr">
        <is>
          <t>576</t>
        </is>
      </c>
      <c r="B580" s="25">
        <f>IF(AND(C580="",D580="",E580=""),"",IF(C580="","FALTA código balón",IF(D580="","FALTA tipo balón",IF(E580="","FALTA gas",IF(F580="","FALTA propietario",IF(AND(C580&lt;&gt;"",SUMPRODUCT(--($C$5:$C$1200=C580))&gt;1),"CÓDIGO BALÓN DUPLICADO",IF(AND(OR(UPPER(F580)="PLANTA",UPPER(F580)="CLIENTE"),G580=""),"FALTA doc propietario/planta",IF(AND(UPPER(F580)="PLANTA",G580="10175332796"),"PLANTA no puede ser RUC empresa","OK"))))))))</f>
        <v/>
      </c>
      <c r="C580" s="23" t="inlineStr">
        <is>
          <t>121Y320102</t>
        </is>
      </c>
      <c r="D580" s="17" t="inlineStr">
        <is>
          <t>Oxígeno Medicinal 10 m³</t>
        </is>
      </c>
      <c r="E580" s="17" t="inlineStr">
        <is>
          <t>OXIGENO MEDICINAL</t>
        </is>
      </c>
      <c r="F580" s="17" t="inlineStr">
        <is>
          <t>EMPRESA</t>
        </is>
      </c>
      <c r="G580" s="23" t="inlineStr">
        <is>
          <t>10175332796</t>
        </is>
      </c>
      <c r="H580" s="25">
        <f t="array" ref="H580">IF(G580="","",IFERROR(IF(INDEX(Clientes!$D$5:$D$549,MATCH(G580,Clientes!$C$5:$C$549,0))&lt;&gt;"",INDEX(Clientes!$D$5:$D$549,MATCH(G580,Clientes!$C$5:$C$549,0)),TRIM(INDEX(Clientes!$E$5:$E$549,MATCH(G580,Clientes!$C$5:$C$549,0))&amp;" "&amp;INDEX(Clientes!$F$5:$F$549,MATCH(G580,Clientes!$C$5:$C$549,0)))),"NO EXISTE en Clientes"))</f>
        <v/>
      </c>
      <c r="I580" s="17" t="inlineStr">
        <is>
          <t>EN_PODER_CLIENTE</t>
        </is>
      </c>
      <c r="J580" s="17" t="n"/>
      <c r="K580" s="23" t="inlineStr">
        <is>
          <t>20561359441</t>
        </is>
      </c>
      <c r="L580" s="25">
        <f t="array" ref="L580">IF(K580="","",IFERROR(IF(INDEX(Clientes!$D$5:$D$549,MATCH(K580,Clientes!$C$5:$C$549,0))&lt;&gt;"",INDEX(Clientes!$D$5:$D$549,MATCH(K580,Clientes!$C$5:$C$549,0)),TRIM(INDEX(Clientes!$E$5:$E$549,MATCH(K580,Clientes!$C$5:$C$549,0))&amp;" "&amp;INDEX(Clientes!$F$5:$F$549,MATCH(K580,Clientes!$C$5:$C$549,0)))),"NO EXISTE en Clientes"))</f>
        <v/>
      </c>
      <c r="M580" s="17" t="n"/>
      <c r="N580" s="17" t="n"/>
      <c r="O580" s="42" t="n"/>
      <c r="P580" s="39">
        <f>IF(O580&lt;&gt;"",DATE(YEAR(O580)+5,MONTH(O580),1),IF(AND(M580&lt;&gt;"",N580&lt;&gt;""),DATE(M580+5,N580,1),""))</f>
        <v/>
      </c>
      <c r="Q580" s="23" t="n"/>
      <c r="R580" s="17" t="n"/>
      <c r="S580" s="17" t="n"/>
      <c r="T580" s="17" t="n"/>
      <c r="U580" s="17" t="n"/>
      <c r="V580" s="23" t="n"/>
      <c r="W580" s="17" t="n"/>
      <c r="X580" s="17" t="n"/>
      <c r="Y580" s="28">
        <f>IF(B580&lt;&gt;"OK","","SELECT bal_crear_balon(p_codigo_balon =&gt; "&amp;IF(TRIM(C580&amp;"")="","NULL","'"&amp;SUBSTITUTE(TRIM(C580),"'","''")&amp;"'")&amp;", p_id_tipo_balon =&gt; "&amp;"(SELECT id FROM bal_tipo_balon WHERE upper(nombre) = upper('"&amp;SUBSTITUTE(TRIM(D580),"'","''")&amp;"') AND estado = 1 LIMIT 1)"&amp;", p_id_producto_gas =&gt; "&amp;"(SELECT id FROM pro_producto WHERE es_gas = TRUE AND upper(nombre) = upper('"&amp;SUBSTITUTE(TRIM(E580),"'","''")&amp;"') AND estado = 1 LIMIT 1)"&amp;", p_id_propietario =&gt; "&amp;IF(TRIM(F580&amp;"")="","NULL","(SELECT lo.id FROM gen_lista_opciones lo JOIN gen_lista l ON l.id = lo.id_lista WHERE l.nombre = 'PropietarioBalon' AND upper(lo.nombre) = upper('"&amp;SUBSTITUTE(TRIM(F580),"'","''")&amp;"') AND lo.estado = 1 LIMIT 1)")&amp;", p_id_cliente_propietario =&gt; "&amp;IF(F580="CLIENTE",IF(TRIM(G580&amp;"")="","NULL","(SELECT id FROM cli_clientes WHERE numero_documento = '"&amp;SUBSTITUTE(TRIM(G580),"'","''")&amp;"' AND estado = 1 LIMIT 1)"),"NULL")&amp;", p_id_planta =&gt; "&amp;IF(F580="PLANTA",IF(TRIM(G580&amp;"")="","NULL","(SELECT id FROM cli_clientes WHERE numero_documento = '"&amp;SUBSTITUTE(TRIM(G580),"'","''")&amp;"'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"&amp;IF(TRIM(J580&amp;"")="","NULL","(SELECT id FROM gen_almacen WHERE upper(nombre) = upper('"&amp;SUBSTITUTE(TRIM(J580),"'","''")&amp;"') AND estado = 1 LIMIT 1)")&amp;", p_id_cliente_ubicacion =&gt; "&amp;IF(TRIM(K580&amp;"")="","NULL","(SELECT id FROM cli_clientes WHERE numero_documento = '"&amp;SUBSTITUTE(TRIM(K580),"'","''")&amp;"' AND estado = 1 LIMIT 1)")&amp;", p_id_referencia =&gt; "&amp;IF(TRIM(J580&amp;"")&lt;&gt;"","(SELECT lo.id FROM gen_lista_opciones lo JOIN gen_lista l ON l.id = lo.id_lista WHERE l.nombre = 'ReferenciaCilindro' AND upper(lo.nombre) = 'ALMACEN' AND lo.estado = 1 LIMIT 1)",IF(TRIM(K580&amp;"")&lt;&gt;"","(SELECT lo.id FROM gen_lista_opciones lo JOIN gen_lista l ON l.id = lo.id_lista WHERE l.nombre = 'ReferenciaCilindro' AND upper(lo.nombre) = 'CLIENTE' AND lo.estado = 1 LIMIT 1)","NULL"))&amp;", p_anio_fabricacion =&gt; "&amp;IF(M580&amp;""="","NULL::smallint",M580&amp;"::smallint")&amp;", p_mes_fabricacion =&gt; "&amp;IF(N580&amp;""="","NULL::smallint",N580&amp;"::smallint")&amp;", p_fecha_ultima_prueba_hidrostatica =&gt; "&amp;IF(O580&amp;""="","NULL","'"&amp;YEAR(O580)&amp;"-"&amp;TEXT(MONTH(O580),"00")&amp;"-"&amp;TEXT(DAY(O580),"00")&amp;"'")&amp;", p_numero_serie =&gt; "&amp;IF(TRIM(Q580&amp;"")="","NULL","'"&amp;SUBSTITUTE(TRIM(Q580),"'","''")&amp;"'")&amp;", p_id_marca_cilindro =&gt; "&amp;IF(TRIM(R580&amp;"")="","NULL","(SELECT lo.id FROM gen_lista_opciones lo JOIN gen_lista l ON l.id = lo.id_lista WHERE l.nombre = 'MarcaCilindro' AND upper(lo.nombre) = upper('"&amp;SUBSTITUTE(TRIM(R580),"'","''")&amp;"') AND lo.estado = 1 LIMIT 1)")&amp;", p_id_organo_inspector =&gt; "&amp;IF(TRIM(S580&amp;"")="","NULL","(SELECT lo.id FROM gen_lista_opciones lo JOIN gen_lista l ON l.id = lo.id_lista WHERE l.nombre = 'OrganoInspectorCilindro' AND upper(lo.nombre) = upper('"&amp;SUBSTITUTE(TRIM(S580),"'","''")&amp;"') AND lo.estado = 1 LIMIT 1)")&amp;", p_organo_inspector_no_aplica =&gt; "&amp;IF(S580="NO_APLICA","TRUE","FALSE")&amp;", p_presion_actual =&gt; "&amp;IF(T580&amp;""="","NULL",SUBSTITUTE(T580&amp;"",",","."))&amp;", p_tipo_valvula =&gt; "&amp;IF(TRIM(U580&amp;"")="","NULL","'"&amp;SUBSTITUTE(TRIM(U580),"'","''")&amp;"'")&amp;", p_libro_cilindro =&gt; "&amp;IF(TRIM(V580&amp;"")="","NULL","'"&amp;SUBSTITUTE(TRIM(V580),"'","''")&amp;"'")&amp;", p_pagina_libro =&gt; "&amp;IF(W580&amp;""="","NULL",SUBSTITUTE(W580&amp;"",",","."))&amp;", p_observacion =&gt; "&amp;IF(TRIM(X580&amp;"")="","NULL","'"&amp;SUBSTITUTE(TRIM(X580),"'","''")&amp;"'")&amp;") AS resultado_balon_"&amp;ROW()&amp;";")</f>
        <v/>
      </c>
    </row>
    <row r="581" ht="15.75" customHeight="1" s="64">
      <c r="A581" s="36" t="inlineStr">
        <is>
          <t>577</t>
        </is>
      </c>
      <c r="B581" s="25">
        <f>IF(AND(C581="",D581="",E581=""),"",IF(C581="","FALTA código balón",IF(D581="","FALTA tipo balón",IF(E581="","FALTA gas",IF(F581="","FALTA propietario",IF(AND(C581&lt;&gt;"",SUMPRODUCT(--($C$5:$C$1200=C581))&gt;1),"CÓDIGO BALÓN DUPLICADO",IF(AND(OR(UPPER(F581)="PLANTA",UPPER(F581)="CLIENTE"),G581=""),"FALTA doc propietario/planta",IF(AND(UPPER(F581)="PLANTA",G581="10175332796"),"PLANTA no puede ser RUC empresa","OK"))))))))</f>
        <v/>
      </c>
      <c r="C581" s="23" t="inlineStr">
        <is>
          <t>20K650003</t>
        </is>
      </c>
      <c r="D581" s="17" t="inlineStr">
        <is>
          <t>Oxígeno Medicinal 10 m³</t>
        </is>
      </c>
      <c r="E581" s="17" t="inlineStr">
        <is>
          <t>OXIGENO MEDICINAL</t>
        </is>
      </c>
      <c r="F581" s="17" t="inlineStr">
        <is>
          <t>EMPRESA</t>
        </is>
      </c>
      <c r="G581" s="23" t="inlineStr">
        <is>
          <t>10175332796</t>
        </is>
      </c>
      <c r="H581" s="25">
        <f t="array" ref="H581">IF(G581="","",IFERROR(IF(INDEX(Clientes!$D$5:$D$549,MATCH(G581,Clientes!$C$5:$C$549,0))&lt;&gt;"",INDEX(Clientes!$D$5:$D$549,MATCH(G581,Clientes!$C$5:$C$549,0)),TRIM(INDEX(Clientes!$E$5:$E$549,MATCH(G581,Clientes!$C$5:$C$549,0))&amp;" "&amp;INDEX(Clientes!$F$5:$F$549,MATCH(G581,Clientes!$C$5:$C$549,0)))),"NO EXISTE en Clientes"))</f>
        <v/>
      </c>
      <c r="I581" s="17" t="inlineStr">
        <is>
          <t>EN_PODER_CLIENTE</t>
        </is>
      </c>
      <c r="J581" s="17" t="n"/>
      <c r="K581" s="23" t="inlineStr">
        <is>
          <t>20561359441</t>
        </is>
      </c>
      <c r="L581" s="25">
        <f t="array" ref="L581">IF(K581="","",IFERROR(IF(INDEX(Clientes!$D$5:$D$549,MATCH(K581,Clientes!$C$5:$C$549,0))&lt;&gt;"",INDEX(Clientes!$D$5:$D$549,MATCH(K581,Clientes!$C$5:$C$549,0)),TRIM(INDEX(Clientes!$E$5:$E$549,MATCH(K581,Clientes!$C$5:$C$549,0))&amp;" "&amp;INDEX(Clientes!$F$5:$F$549,MATCH(K581,Clientes!$C$5:$C$549,0)))),"NO EXISTE en Clientes"))</f>
        <v/>
      </c>
      <c r="M581" s="17" t="n"/>
      <c r="N581" s="17" t="n"/>
      <c r="O581" s="42" t="n"/>
      <c r="P581" s="39">
        <f>IF(O581&lt;&gt;"",DATE(YEAR(O581)+5,MONTH(O581),1),IF(AND(M581&lt;&gt;"",N581&lt;&gt;""),DATE(M581+5,N581,1),""))</f>
        <v/>
      </c>
      <c r="Q581" s="23" t="n"/>
      <c r="R581" s="17" t="n"/>
      <c r="S581" s="17" t="n"/>
      <c r="T581" s="17" t="n"/>
      <c r="U581" s="17" t="n"/>
      <c r="V581" s="23" t="n"/>
      <c r="W581" s="17" t="n"/>
      <c r="X581" s="17" t="n"/>
      <c r="Y581" s="28">
        <f>IF(B581&lt;&gt;"OK","","SELECT bal_crear_balon(p_codigo_balon =&gt; "&amp;IF(TRIM(C581&amp;"")="","NULL","'"&amp;SUBSTITUTE(TRIM(C581),"'","''")&amp;"'")&amp;", p_id_tipo_balon =&gt; "&amp;"(SELECT id FROM bal_tipo_balon WHERE upper(nombre) = upper('"&amp;SUBSTITUTE(TRIM(D581),"'","''")&amp;"') AND estado = 1 LIMIT 1)"&amp;", p_id_producto_gas =&gt; "&amp;"(SELECT id FROM pro_producto WHERE es_gas = TRUE AND upper(nombre) = upper('"&amp;SUBSTITUTE(TRIM(E581),"'","''")&amp;"') AND estado = 1 LIMIT 1)"&amp;", p_id_propietario =&gt; "&amp;IF(TRIM(F581&amp;"")="","NULL","(SELECT lo.id FROM gen_lista_opciones lo JOIN gen_lista l ON l.id = lo.id_lista WHERE l.nombre = 'PropietarioBalon' AND upper(lo.nombre) = upper('"&amp;SUBSTITUTE(TRIM(F581),"'","''")&amp;"') AND lo.estado = 1 LIMIT 1)")&amp;", p_id_cliente_propietario =&gt; "&amp;IF(F581="CLIENTE",IF(TRIM(G581&amp;"")="","NULL","(SELECT id FROM cli_clientes WHERE numero_documento = '"&amp;SUBSTITUTE(TRIM(G581),"'","''")&amp;"' AND estado = 1 LIMIT 1)"),"NULL")&amp;", p_id_planta =&gt; "&amp;IF(F581="PLANTA",IF(TRIM(G581&amp;"")="","NULL","(SELECT id FROM cli_clientes WHERE numero_documento = '"&amp;SUBSTITUTE(TRIM(G581),"'","''")&amp;"'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"&amp;IF(TRIM(J581&amp;"")="","NULL","(SELECT id FROM gen_almacen WHERE upper(nombre) = upper('"&amp;SUBSTITUTE(TRIM(J581),"'","''")&amp;"') AND estado = 1 LIMIT 1)")&amp;", p_id_cliente_ubicacion =&gt; "&amp;IF(TRIM(K581&amp;"")="","NULL","(SELECT id FROM cli_clientes WHERE numero_documento = '"&amp;SUBSTITUTE(TRIM(K581),"'","''")&amp;"' AND estado = 1 LIMIT 1)")&amp;", p_id_referencia =&gt; "&amp;IF(TRIM(J581&amp;"")&lt;&gt;"","(SELECT lo.id FROM gen_lista_opciones lo JOIN gen_lista l ON l.id = lo.id_lista WHERE l.nombre = 'ReferenciaCilindro' AND upper(lo.nombre) = 'ALMACEN' AND lo.estado = 1 LIMIT 1)",IF(TRIM(K581&amp;"")&lt;&gt;"","(SELECT lo.id FROM gen_lista_opciones lo JOIN gen_lista l ON l.id = lo.id_lista WHERE l.nombre = 'ReferenciaCilindro' AND upper(lo.nombre) = 'CLIENTE' AND lo.estado = 1 LIMIT 1)","NULL"))&amp;", p_anio_fabricacion =&gt; "&amp;IF(M581&amp;""="","NULL::smallint",M581&amp;"::smallint")&amp;", p_mes_fabricacion =&gt; "&amp;IF(N581&amp;""="","NULL::smallint",N581&amp;"::smallint")&amp;", p_fecha_ultima_prueba_hidrostatica =&gt; "&amp;IF(O581&amp;""="","NULL","'"&amp;YEAR(O581)&amp;"-"&amp;TEXT(MONTH(O581),"00")&amp;"-"&amp;TEXT(DAY(O581),"00")&amp;"'")&amp;", p_numero_serie =&gt; "&amp;IF(TRIM(Q581&amp;"")="","NULL","'"&amp;SUBSTITUTE(TRIM(Q581),"'","''")&amp;"'")&amp;", p_id_marca_cilindro =&gt; "&amp;IF(TRIM(R581&amp;"")="","NULL","(SELECT lo.id FROM gen_lista_opciones lo JOIN gen_lista l ON l.id = lo.id_lista WHERE l.nombre = 'MarcaCilindro' AND upper(lo.nombre) = upper('"&amp;SUBSTITUTE(TRIM(R581),"'","''")&amp;"') AND lo.estado = 1 LIMIT 1)")&amp;", p_id_organo_inspector =&gt; "&amp;IF(TRIM(S581&amp;"")="","NULL","(SELECT lo.id FROM gen_lista_opciones lo JOIN gen_lista l ON l.id = lo.id_lista WHERE l.nombre = 'OrganoInspectorCilindro' AND upper(lo.nombre) = upper('"&amp;SUBSTITUTE(TRIM(S581),"'","''")&amp;"') AND lo.estado = 1 LIMIT 1)")&amp;", p_organo_inspector_no_aplica =&gt; "&amp;IF(S581="NO_APLICA","TRUE","FALSE")&amp;", p_presion_actual =&gt; "&amp;IF(T581&amp;""="","NULL",SUBSTITUTE(T581&amp;"",",","."))&amp;", p_tipo_valvula =&gt; "&amp;IF(TRIM(U581&amp;"")="","NULL","'"&amp;SUBSTITUTE(TRIM(U581),"'","''")&amp;"'")&amp;", p_libro_cilindro =&gt; "&amp;IF(TRIM(V581&amp;"")="","NULL","'"&amp;SUBSTITUTE(TRIM(V581),"'","''")&amp;"'")&amp;", p_pagina_libro =&gt; "&amp;IF(W581&amp;""="","NULL",SUBSTITUTE(W581&amp;"",",","."))&amp;", p_observacion =&gt; "&amp;IF(TRIM(X581&amp;"")="","NULL","'"&amp;SUBSTITUTE(TRIM(X581),"'","''")&amp;"'")&amp;") AS resultado_balon_"&amp;ROW()&amp;";")</f>
        <v/>
      </c>
    </row>
    <row r="582" ht="15.75" customHeight="1" s="64">
      <c r="A582" s="36" t="inlineStr">
        <is>
          <t>578</t>
        </is>
      </c>
      <c r="B582" s="25">
        <f>IF(AND(C582="",D582="",E582=""),"",IF(C582="","FALTA código balón",IF(D582="","FALTA tipo balón",IF(E582="","FALTA gas",IF(F582="","FALTA propietario",IF(AND(C582&lt;&gt;"",SUMPRODUCT(--($C$5:$C$1200=C582))&gt;1),"CÓDIGO BALÓN DUPLICADO",IF(AND(OR(UPPER(F582)="PLANTA",UPPER(F582)="CLIENTE"),G582=""),"FALTA doc propietario/planta",IF(AND(UPPER(F582)="PLANTA",G582="10175332796"),"PLANTA no puede ser RUC empresa","OK"))))))))</f>
        <v/>
      </c>
      <c r="C582" s="23" t="inlineStr">
        <is>
          <t>K4852108</t>
        </is>
      </c>
      <c r="D582" s="17" t="inlineStr">
        <is>
          <t>Oxígeno Medicinal 10 m³</t>
        </is>
      </c>
      <c r="E582" s="17" t="inlineStr">
        <is>
          <t>OXIGENO MEDICINAL</t>
        </is>
      </c>
      <c r="F582" s="17" t="inlineStr">
        <is>
          <t>EMPRESA</t>
        </is>
      </c>
      <c r="G582" s="23" t="inlineStr">
        <is>
          <t>10175332796</t>
        </is>
      </c>
      <c r="H582" s="25">
        <f t="array" ref="H582">IF(G582="","",IFERROR(IF(INDEX(Clientes!$D$5:$D$549,MATCH(G582,Clientes!$C$5:$C$549,0))&lt;&gt;"",INDEX(Clientes!$D$5:$D$549,MATCH(G582,Clientes!$C$5:$C$549,0)),TRIM(INDEX(Clientes!$E$5:$E$549,MATCH(G582,Clientes!$C$5:$C$549,0))&amp;" "&amp;INDEX(Clientes!$F$5:$F$549,MATCH(G582,Clientes!$C$5:$C$549,0)))),"NO EXISTE en Clientes"))</f>
        <v/>
      </c>
      <c r="I582" s="17" t="inlineStr">
        <is>
          <t>EN_PODER_CLIENTE</t>
        </is>
      </c>
      <c r="J582" s="17" t="n"/>
      <c r="K582" s="23" t="inlineStr">
        <is>
          <t>20561359441</t>
        </is>
      </c>
      <c r="L582" s="25">
        <f t="array" ref="L582">IF(K582="","",IFERROR(IF(INDEX(Clientes!$D$5:$D$549,MATCH(K582,Clientes!$C$5:$C$549,0))&lt;&gt;"",INDEX(Clientes!$D$5:$D$549,MATCH(K582,Clientes!$C$5:$C$549,0)),TRIM(INDEX(Clientes!$E$5:$E$549,MATCH(K582,Clientes!$C$5:$C$549,0))&amp;" "&amp;INDEX(Clientes!$F$5:$F$549,MATCH(K582,Clientes!$C$5:$C$549,0)))),"NO EXISTE en Clientes"))</f>
        <v/>
      </c>
      <c r="M582" s="17" t="n"/>
      <c r="N582" s="17" t="n"/>
      <c r="O582" s="42" t="n"/>
      <c r="P582" s="39">
        <f>IF(O582&lt;&gt;"",DATE(YEAR(O582)+5,MONTH(O582),1),IF(AND(M582&lt;&gt;"",N582&lt;&gt;""),DATE(M582+5,N582,1),""))</f>
        <v/>
      </c>
      <c r="Q582" s="23" t="n"/>
      <c r="R582" s="17" t="n"/>
      <c r="S582" s="17" t="n"/>
      <c r="T582" s="17" t="n"/>
      <c r="U582" s="17" t="n"/>
      <c r="V582" s="23" t="n"/>
      <c r="W582" s="17" t="n"/>
      <c r="X582" s="17" t="n"/>
      <c r="Y582" s="28">
        <f>IF(B582&lt;&gt;"OK","","SELECT bal_crear_balon(p_codigo_balon =&gt; "&amp;IF(TRIM(C582&amp;"")="","NULL","'"&amp;SUBSTITUTE(TRIM(C582),"'","''")&amp;"'")&amp;", p_id_tipo_balon =&gt; "&amp;"(SELECT id FROM bal_tipo_balon WHERE upper(nombre) = upper('"&amp;SUBSTITUTE(TRIM(D582),"'","''")&amp;"') AND estado = 1 LIMIT 1)"&amp;", p_id_producto_gas =&gt; "&amp;"(SELECT id FROM pro_producto WHERE es_gas = TRUE AND upper(nombre) = upper('"&amp;SUBSTITUTE(TRIM(E582),"'","''")&amp;"') AND estado = 1 LIMIT 1)"&amp;", p_id_propietario =&gt; "&amp;IF(TRIM(F582&amp;"")="","NULL","(SELECT lo.id FROM gen_lista_opciones lo JOIN gen_lista l ON l.id = lo.id_lista WHERE l.nombre = 'PropietarioBalon' AND upper(lo.nombre) = upper('"&amp;SUBSTITUTE(TRIM(F582),"'","''")&amp;"') AND lo.estado = 1 LIMIT 1)")&amp;", p_id_cliente_propietario =&gt; "&amp;IF(F582="CLIENTE",IF(TRIM(G582&amp;"")="","NULL","(SELECT id FROM cli_clientes WHERE numero_documento = '"&amp;SUBSTITUTE(TRIM(G582),"'","''")&amp;"' AND estado = 1 LIMIT 1)"),"NULL")&amp;", p_id_planta =&gt; "&amp;IF(F582="PLANTA",IF(TRIM(G582&amp;"")="","NULL","(SELECT id FROM cli_clientes WHERE numero_documento = '"&amp;SUBSTITUTE(TRIM(G582),"'","''")&amp;"'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"&amp;IF(TRIM(J582&amp;"")="","NULL","(SELECT id FROM gen_almacen WHERE upper(nombre) = upper('"&amp;SUBSTITUTE(TRIM(J582),"'","''")&amp;"') AND estado = 1 LIMIT 1)")&amp;", p_id_cliente_ubicacion =&gt; "&amp;IF(TRIM(K582&amp;"")="","NULL","(SELECT id FROM cli_clientes WHERE numero_documento = '"&amp;SUBSTITUTE(TRIM(K582),"'","''")&amp;"' AND estado = 1 LIMIT 1)")&amp;", p_id_referencia =&gt; "&amp;IF(TRIM(J582&amp;"")&lt;&gt;"","(SELECT lo.id FROM gen_lista_opciones lo JOIN gen_lista l ON l.id = lo.id_lista WHERE l.nombre = 'ReferenciaCilindro' AND upper(lo.nombre) = 'ALMACEN' AND lo.estado = 1 LIMIT 1)",IF(TRIM(K582&amp;"")&lt;&gt;"","(SELECT lo.id FROM gen_lista_opciones lo JOIN gen_lista l ON l.id = lo.id_lista WHERE l.nombre = 'ReferenciaCilindro' AND upper(lo.nombre) = 'CLIENTE' AND lo.estado = 1 LIMIT 1)","NULL"))&amp;", p_anio_fabricacion =&gt; "&amp;IF(M582&amp;""="","NULL::smallint",M582&amp;"::smallint")&amp;", p_mes_fabricacion =&gt; "&amp;IF(N582&amp;""="","NULL::smallint",N582&amp;"::smallint")&amp;", p_fecha_ultima_prueba_hidrostatica =&gt; "&amp;IF(O582&amp;""="","NULL","'"&amp;YEAR(O582)&amp;"-"&amp;TEXT(MONTH(O582),"00")&amp;"-"&amp;TEXT(DAY(O582),"00")&amp;"'")&amp;", p_numero_serie =&gt; "&amp;IF(TRIM(Q582&amp;"")="","NULL","'"&amp;SUBSTITUTE(TRIM(Q582),"'","''")&amp;"'")&amp;", p_id_marca_cilindro =&gt; "&amp;IF(TRIM(R582&amp;"")="","NULL","(SELECT lo.id FROM gen_lista_opciones lo JOIN gen_lista l ON l.id = lo.id_lista WHERE l.nombre = 'MarcaCilindro' AND upper(lo.nombre) = upper('"&amp;SUBSTITUTE(TRIM(R582),"'","''")&amp;"') AND lo.estado = 1 LIMIT 1)")&amp;", p_id_organo_inspector =&gt; "&amp;IF(TRIM(S582&amp;"")="","NULL","(SELECT lo.id FROM gen_lista_opciones lo JOIN gen_lista l ON l.id = lo.id_lista WHERE l.nombre = 'OrganoInspectorCilindro' AND upper(lo.nombre) = upper('"&amp;SUBSTITUTE(TRIM(S582),"'","''")&amp;"') AND lo.estado = 1 LIMIT 1)")&amp;", p_organo_inspector_no_aplica =&gt; "&amp;IF(S582="NO_APLICA","TRUE","FALSE")&amp;", p_presion_actual =&gt; "&amp;IF(T582&amp;""="","NULL",SUBSTITUTE(T582&amp;"",",","."))&amp;", p_tipo_valvula =&gt; "&amp;IF(TRIM(U582&amp;"")="","NULL","'"&amp;SUBSTITUTE(TRIM(U582),"'","''")&amp;"'")&amp;", p_libro_cilindro =&gt; "&amp;IF(TRIM(V582&amp;"")="","NULL","'"&amp;SUBSTITUTE(TRIM(V582),"'","''")&amp;"'")&amp;", p_pagina_libro =&gt; "&amp;IF(W582&amp;""="","NULL",SUBSTITUTE(W582&amp;"",",","."))&amp;", p_observacion =&gt; "&amp;IF(TRIM(X582&amp;"")="","NULL","'"&amp;SUBSTITUTE(TRIM(X582),"'","''")&amp;"'")&amp;") AS resultado_balon_"&amp;ROW()&amp;";")</f>
        <v/>
      </c>
    </row>
    <row r="583" ht="15.75" customHeight="1" s="64">
      <c r="A583" s="36" t="inlineStr">
        <is>
          <t>579</t>
        </is>
      </c>
      <c r="B583" s="25">
        <f>IF(AND(C583="",D583="",E583=""),"",IF(C583="","FALTA código balón",IF(D583="","FALTA tipo balón",IF(E583="","FALTA gas",IF(F583="","FALTA propietario",IF(AND(C583&lt;&gt;"",SUMPRODUCT(--($C$5:$C$1200=C583))&gt;1),"CÓDIGO BALÓN DUPLICADO",IF(AND(OR(UPPER(F583)="PLANTA",UPPER(F583)="CLIENTE"),G583=""),"FALTA doc propietario/planta",IF(AND(UPPER(F583)="PLANTA",G583="10175332796"),"PLANTA no puede ser RUC empresa","OK"))))))))</f>
        <v/>
      </c>
      <c r="C583" s="23" t="inlineStr">
        <is>
          <t>19S205054</t>
        </is>
      </c>
      <c r="D583" s="17" t="inlineStr">
        <is>
          <t>Oxígeno Industrial 6 m³</t>
        </is>
      </c>
      <c r="E583" s="17" t="inlineStr">
        <is>
          <t>OXIGENO INDUSTRIAL</t>
        </is>
      </c>
      <c r="F583" s="17" t="inlineStr">
        <is>
          <t>EMPRESA</t>
        </is>
      </c>
      <c r="G583" s="23" t="inlineStr">
        <is>
          <t>10175332796</t>
        </is>
      </c>
      <c r="H583" s="25">
        <f t="array" ref="H583">IF(G583="","",IFERROR(IF(INDEX(Clientes!$D$5:$D$549,MATCH(G583,Clientes!$C$5:$C$549,0))&lt;&gt;"",INDEX(Clientes!$D$5:$D$549,MATCH(G583,Clientes!$C$5:$C$549,0)),TRIM(INDEX(Clientes!$E$5:$E$549,MATCH(G583,Clientes!$C$5:$C$549,0))&amp;" "&amp;INDEX(Clientes!$F$5:$F$549,MATCH(G583,Clientes!$C$5:$C$549,0)))),"NO EXISTE en Clientes"))</f>
        <v/>
      </c>
      <c r="I583" s="17" t="inlineStr">
        <is>
          <t>EN_PODER_CLIENTE</t>
        </is>
      </c>
      <c r="J583" s="17" t="n"/>
      <c r="K583" s="23" t="inlineStr">
        <is>
          <t>16676149</t>
        </is>
      </c>
      <c r="L583" s="25">
        <f t="array" ref="L583">IF(K583="","",IFERROR(IF(INDEX(Clientes!$D$5:$D$549,MATCH(K583,Clientes!$C$5:$C$549,0))&lt;&gt;"",INDEX(Clientes!$D$5:$D$549,MATCH(K583,Clientes!$C$5:$C$549,0)),TRIM(INDEX(Clientes!$E$5:$E$549,MATCH(K583,Clientes!$C$5:$C$549,0))&amp;" "&amp;INDEX(Clientes!$F$5:$F$549,MATCH(K583,Clientes!$C$5:$C$549,0)))),"NO EXISTE en Clientes"))</f>
        <v/>
      </c>
      <c r="M583" s="17" t="n"/>
      <c r="N583" s="17" t="n"/>
      <c r="O583" s="42" t="n"/>
      <c r="P583" s="39">
        <f>IF(O583&lt;&gt;"",DATE(YEAR(O583)+5,MONTH(O583),1),IF(AND(M583&lt;&gt;"",N583&lt;&gt;""),DATE(M583+5,N583,1),""))</f>
        <v/>
      </c>
      <c r="Q583" s="23" t="n"/>
      <c r="R583" s="17" t="n"/>
      <c r="S583" s="17" t="n"/>
      <c r="T583" s="17" t="n"/>
      <c r="U583" s="17" t="n"/>
      <c r="V583" s="23" t="n"/>
      <c r="W583" s="17" t="n"/>
      <c r="X583" s="17" t="n"/>
      <c r="Y583" s="28">
        <f>IF(B583&lt;&gt;"OK","","SELECT bal_crear_balon(p_codigo_balon =&gt; "&amp;IF(TRIM(C583&amp;"")="","NULL","'"&amp;SUBSTITUTE(TRIM(C583),"'","''")&amp;"'")&amp;", p_id_tipo_balon =&gt; "&amp;"(SELECT id FROM bal_tipo_balon WHERE upper(nombre) = upper('"&amp;SUBSTITUTE(TRIM(D583),"'","''")&amp;"') AND estado = 1 LIMIT 1)"&amp;", p_id_producto_gas =&gt; "&amp;"(SELECT id FROM pro_producto WHERE es_gas = TRUE AND upper(nombre) = upper('"&amp;SUBSTITUTE(TRIM(E583),"'","''")&amp;"') AND estado = 1 LIMIT 1)"&amp;", p_id_propietario =&gt; "&amp;IF(TRIM(F583&amp;"")="","NULL","(SELECT lo.id FROM gen_lista_opciones lo JOIN gen_lista l ON l.id = lo.id_lista WHERE l.nombre = 'PropietarioBalon' AND upper(lo.nombre) = upper('"&amp;SUBSTITUTE(TRIM(F583),"'","''")&amp;"') AND lo.estado = 1 LIMIT 1)")&amp;", p_id_cliente_propietario =&gt; "&amp;IF(F583="CLIENTE",IF(TRIM(G583&amp;"")="","NULL","(SELECT id FROM cli_clientes WHERE numero_documento = '"&amp;SUBSTITUTE(TRIM(G583),"'","''")&amp;"' AND estado = 1 LIMIT 1)"),"NULL")&amp;", p_id_planta =&gt; "&amp;IF(F583="PLANTA",IF(TRIM(G583&amp;"")="","NULL","(SELECT id FROM cli_clientes WHERE numero_documento = '"&amp;SUBSTITUTE(TRIM(G583),"'","''")&amp;"'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"&amp;IF(TRIM(J583&amp;"")="","NULL","(SELECT id FROM gen_almacen WHERE upper(nombre) = upper('"&amp;SUBSTITUTE(TRIM(J583),"'","''")&amp;"') AND estado = 1 LIMIT 1)")&amp;", p_id_cliente_ubicacion =&gt; "&amp;IF(TRIM(K583&amp;"")="","NULL","(SELECT id FROM cli_clientes WHERE numero_documento = '"&amp;SUBSTITUTE(TRIM(K583),"'","''")&amp;"' AND estado = 1 LIMIT 1)")&amp;", p_id_referencia =&gt; "&amp;IF(TRIM(J583&amp;"")&lt;&gt;"","(SELECT lo.id FROM gen_lista_opciones lo JOIN gen_lista l ON l.id = lo.id_lista WHERE l.nombre = 'ReferenciaCilindro' AND upper(lo.nombre) = 'ALMACEN' AND lo.estado = 1 LIMIT 1)",IF(TRIM(K583&amp;"")&lt;&gt;"","(SELECT lo.id FROM gen_lista_opciones lo JOIN gen_lista l ON l.id = lo.id_lista WHERE l.nombre = 'ReferenciaCilindro' AND upper(lo.nombre) = 'CLIENTE' AND lo.estado = 1 LIMIT 1)","NULL"))&amp;", p_anio_fabricacion =&gt; "&amp;IF(M583&amp;""="","NULL::smallint",M583&amp;"::smallint")&amp;", p_mes_fabricacion =&gt; "&amp;IF(N583&amp;""="","NULL::smallint",N583&amp;"::smallint")&amp;", p_fecha_ultima_prueba_hidrostatica =&gt; "&amp;IF(O583&amp;""="","NULL","'"&amp;YEAR(O583)&amp;"-"&amp;TEXT(MONTH(O583),"00")&amp;"-"&amp;TEXT(DAY(O583),"00")&amp;"'")&amp;", p_numero_serie =&gt; "&amp;IF(TRIM(Q583&amp;"")="","NULL","'"&amp;SUBSTITUTE(TRIM(Q583),"'","''")&amp;"'")&amp;", p_id_marca_cilindro =&gt; "&amp;IF(TRIM(R583&amp;"")="","NULL","(SELECT lo.id FROM gen_lista_opciones lo JOIN gen_lista l ON l.id = lo.id_lista WHERE l.nombre = 'MarcaCilindro' AND upper(lo.nombre) = upper('"&amp;SUBSTITUTE(TRIM(R583),"'","''")&amp;"') AND lo.estado = 1 LIMIT 1)")&amp;", p_id_organo_inspector =&gt; "&amp;IF(TRIM(S583&amp;"")="","NULL","(SELECT lo.id FROM gen_lista_opciones lo JOIN gen_lista l ON l.id = lo.id_lista WHERE l.nombre = 'OrganoInspectorCilindro' AND upper(lo.nombre) = upper('"&amp;SUBSTITUTE(TRIM(S583),"'","''")&amp;"') AND lo.estado = 1 LIMIT 1)")&amp;", p_organo_inspector_no_aplica =&gt; "&amp;IF(S583="NO_APLICA","TRUE","FALSE")&amp;", p_presion_actual =&gt; "&amp;IF(T583&amp;""="","NULL",SUBSTITUTE(T583&amp;"",",","."))&amp;", p_tipo_valvula =&gt; "&amp;IF(TRIM(U583&amp;"")="","NULL","'"&amp;SUBSTITUTE(TRIM(U583),"'","''")&amp;"'")&amp;", p_libro_cilindro =&gt; "&amp;IF(TRIM(V583&amp;"")="","NULL","'"&amp;SUBSTITUTE(TRIM(V583),"'","''")&amp;"'")&amp;", p_pagina_libro =&gt; "&amp;IF(W583&amp;""="","NULL",SUBSTITUTE(W583&amp;"",",","."))&amp;", p_observacion =&gt; "&amp;IF(TRIM(X583&amp;"")="","NULL","'"&amp;SUBSTITUTE(TRIM(X583),"'","''")&amp;"'")&amp;") AS resultado_balon_"&amp;ROW()&amp;";")</f>
        <v/>
      </c>
    </row>
    <row r="584" ht="15.75" customHeight="1" s="64">
      <c r="A584" s="36" t="inlineStr">
        <is>
          <t>580</t>
        </is>
      </c>
      <c r="B584" s="25">
        <f>IF(AND(C584="",D584="",E584=""),"",IF(C584="","FALTA código balón",IF(D584="","FALTA tipo balón",IF(E584="","FALTA gas",IF(F584="","FALTA propietario",IF(AND(C584&lt;&gt;"",SUMPRODUCT(--($C$5:$C$1200=C584))&gt;1),"CÓDIGO BALÓN DUPLICADO",IF(AND(OR(UPPER(F584)="PLANTA",UPPER(F584)="CLIENTE"),G584=""),"FALTA doc propietario/planta",IF(AND(UPPER(F584)="PLANTA",G584="10175332796"),"PLANTA no puede ser RUC empresa","OK"))))))))</f>
        <v/>
      </c>
      <c r="C584" s="23" t="inlineStr">
        <is>
          <t>389324</t>
        </is>
      </c>
      <c r="D584" s="17" t="inlineStr">
        <is>
          <t>Oxígeno Industrial 6 m³</t>
        </is>
      </c>
      <c r="E584" s="17" t="inlineStr">
        <is>
          <t>OXIGENO INDUSTRIAL</t>
        </is>
      </c>
      <c r="F584" s="17" t="inlineStr">
        <is>
          <t>EMPRESA</t>
        </is>
      </c>
      <c r="G584" s="23" t="inlineStr">
        <is>
          <t>10175332796</t>
        </is>
      </c>
      <c r="H584" s="25">
        <f t="array" ref="H584">IF(G584="","",IFERROR(IF(INDEX(Clientes!$D$5:$D$549,MATCH(G584,Clientes!$C$5:$C$549,0))&lt;&gt;"",INDEX(Clientes!$D$5:$D$549,MATCH(G584,Clientes!$C$5:$C$549,0)),TRIM(INDEX(Clientes!$E$5:$E$549,MATCH(G584,Clientes!$C$5:$C$549,0))&amp;" "&amp;INDEX(Clientes!$F$5:$F$549,MATCH(G584,Clientes!$C$5:$C$549,0)))),"NO EXISTE en Clientes"))</f>
        <v/>
      </c>
      <c r="I584" s="17" t="inlineStr">
        <is>
          <t>EN_PODER_CLIENTE</t>
        </is>
      </c>
      <c r="J584" s="17" t="n"/>
      <c r="K584" s="26" t="inlineStr">
        <is>
          <t>20480725931</t>
        </is>
      </c>
      <c r="L584" s="25">
        <f t="array" ref="L584">IF(K584="","",IFERROR(IF(INDEX(Clientes!$D$5:$D$549,MATCH(K584,Clientes!$C$5:$C$549,0))&lt;&gt;"",INDEX(Clientes!$D$5:$D$549,MATCH(K584,Clientes!$C$5:$C$549,0)),TRIM(INDEX(Clientes!$E$5:$E$549,MATCH(K584,Clientes!$C$5:$C$549,0))&amp;" "&amp;INDEX(Clientes!$F$5:$F$549,MATCH(K584,Clientes!$C$5:$C$549,0)))),"NO EXISTE en Clientes"))</f>
        <v/>
      </c>
      <c r="M584" s="17" t="n"/>
      <c r="N584" s="17" t="n"/>
      <c r="O584" s="42" t="n"/>
      <c r="P584" s="39">
        <f>IF(O584&lt;&gt;"",DATE(YEAR(O584)+5,MONTH(O584),1),IF(AND(M584&lt;&gt;"",N584&lt;&gt;""),DATE(M584+5,N584,1),""))</f>
        <v/>
      </c>
      <c r="Q584" s="23" t="n"/>
      <c r="R584" s="17" t="n"/>
      <c r="S584" s="17" t="n"/>
      <c r="T584" s="17" t="n"/>
      <c r="U584" s="17" t="n"/>
      <c r="V584" s="23" t="n"/>
      <c r="W584" s="17" t="n"/>
      <c r="X584" s="17" t="n"/>
      <c r="Y584" s="28">
        <f>IF(B584&lt;&gt;"OK","","SELECT bal_crear_balon(p_codigo_balon =&gt; "&amp;IF(TRIM(C584&amp;"")="","NULL","'"&amp;SUBSTITUTE(TRIM(C584),"'","''")&amp;"'")&amp;", p_id_tipo_balon =&gt; "&amp;"(SELECT id FROM bal_tipo_balon WHERE upper(nombre) = upper('"&amp;SUBSTITUTE(TRIM(D584),"'","''")&amp;"') AND estado = 1 LIMIT 1)"&amp;", p_id_producto_gas =&gt; "&amp;"(SELECT id FROM pro_producto WHERE es_gas = TRUE AND upper(nombre) = upper('"&amp;SUBSTITUTE(TRIM(E584),"'","''")&amp;"') AND estado = 1 LIMIT 1)"&amp;", p_id_propietario =&gt; "&amp;IF(TRIM(F584&amp;"")="","NULL","(SELECT lo.id FROM gen_lista_opciones lo JOIN gen_lista l ON l.id = lo.id_lista WHERE l.nombre = 'PropietarioBalon' AND upper(lo.nombre) = upper('"&amp;SUBSTITUTE(TRIM(F584),"'","''")&amp;"') AND lo.estado = 1 LIMIT 1)")&amp;", p_id_cliente_propietario =&gt; "&amp;IF(F584="CLIENTE",IF(TRIM(G584&amp;"")="","NULL","(SELECT id FROM cli_clientes WHERE numero_documento = '"&amp;SUBSTITUTE(TRIM(G584),"'","''")&amp;"' AND estado = 1 LIMIT 1)"),"NULL")&amp;", p_id_planta =&gt; "&amp;IF(F584="PLANTA",IF(TRIM(G584&amp;"")="","NULL","(SELECT id FROM cli_clientes WHERE numero_documento = '"&amp;SUBSTITUTE(TRIM(G584),"'","''")&amp;"'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"&amp;IF(TRIM(J584&amp;"")="","NULL","(SELECT id FROM gen_almacen WHERE upper(nombre) = upper('"&amp;SUBSTITUTE(TRIM(J584),"'","''")&amp;"') AND estado = 1 LIMIT 1)")&amp;", p_id_cliente_ubicacion =&gt; "&amp;IF(TRIM(K584&amp;"")="","NULL","(SELECT id FROM cli_clientes WHERE numero_documento = '"&amp;SUBSTITUTE(TRIM(K584),"'","''")&amp;"' AND estado = 1 LIMIT 1)")&amp;", p_id_referencia =&gt; "&amp;IF(TRIM(J584&amp;"")&lt;&gt;"","(SELECT lo.id FROM gen_lista_opciones lo JOIN gen_lista l ON l.id = lo.id_lista WHERE l.nombre = 'ReferenciaCilindro' AND upper(lo.nombre) = 'ALMACEN' AND lo.estado = 1 LIMIT 1)",IF(TRIM(K584&amp;"")&lt;&gt;"","(SELECT lo.id FROM gen_lista_opciones lo JOIN gen_lista l ON l.id = lo.id_lista WHERE l.nombre = 'ReferenciaCilindro' AND upper(lo.nombre) = 'CLIENTE' AND lo.estado = 1 LIMIT 1)","NULL"))&amp;", p_anio_fabricacion =&gt; "&amp;IF(M584&amp;""="","NULL::smallint",M584&amp;"::smallint")&amp;", p_mes_fabricacion =&gt; "&amp;IF(N584&amp;""="","NULL::smallint",N584&amp;"::smallint")&amp;", p_fecha_ultima_prueba_hidrostatica =&gt; "&amp;IF(O584&amp;""="","NULL","'"&amp;YEAR(O584)&amp;"-"&amp;TEXT(MONTH(O584),"00")&amp;"-"&amp;TEXT(DAY(O584),"00")&amp;"'")&amp;", p_numero_serie =&gt; "&amp;IF(TRIM(Q584&amp;"")="","NULL","'"&amp;SUBSTITUTE(TRIM(Q584),"'","''")&amp;"'")&amp;", p_id_marca_cilindro =&gt; "&amp;IF(TRIM(R584&amp;"")="","NULL","(SELECT lo.id FROM gen_lista_opciones lo JOIN gen_lista l ON l.id = lo.id_lista WHERE l.nombre = 'MarcaCilindro' AND upper(lo.nombre) = upper('"&amp;SUBSTITUTE(TRIM(R584),"'","''")&amp;"') AND lo.estado = 1 LIMIT 1)")&amp;", p_id_organo_inspector =&gt; "&amp;IF(TRIM(S584&amp;"")="","NULL","(SELECT lo.id FROM gen_lista_opciones lo JOIN gen_lista l ON l.id = lo.id_lista WHERE l.nombre = 'OrganoInspectorCilindro' AND upper(lo.nombre) = upper('"&amp;SUBSTITUTE(TRIM(S584),"'","''")&amp;"') AND lo.estado = 1 LIMIT 1)")&amp;", p_organo_inspector_no_aplica =&gt; "&amp;IF(S584="NO_APLICA","TRUE","FALSE")&amp;", p_presion_actual =&gt; "&amp;IF(T584&amp;""="","NULL",SUBSTITUTE(T584&amp;"",",","."))&amp;", p_tipo_valvula =&gt; "&amp;IF(TRIM(U584&amp;"")="","NULL","'"&amp;SUBSTITUTE(TRIM(U584),"'","''")&amp;"'")&amp;", p_libro_cilindro =&gt; "&amp;IF(TRIM(V584&amp;"")="","NULL","'"&amp;SUBSTITUTE(TRIM(V584),"'","''")&amp;"'")&amp;", p_pagina_libro =&gt; "&amp;IF(W584&amp;""="","NULL",SUBSTITUTE(W584&amp;"",",","."))&amp;", p_observacion =&gt; "&amp;IF(TRIM(X584&amp;"")="","NULL","'"&amp;SUBSTITUTE(TRIM(X584),"'","''")&amp;"'")&amp;") AS resultado_balon_"&amp;ROW()&amp;";")</f>
        <v/>
      </c>
    </row>
    <row r="585" ht="15.75" customHeight="1" s="64">
      <c r="A585" s="36" t="inlineStr">
        <is>
          <t>581</t>
        </is>
      </c>
      <c r="B585" s="25">
        <f>IF(AND(C585="",D585="",E585=""),"",IF(C585="","FALTA código balón",IF(D585="","FALTA tipo balón",IF(E585="","FALTA gas",IF(F585="","FALTA propietario",IF(AND(C585&lt;&gt;"",SUMPRODUCT(--($C$5:$C$1200=C585))&gt;1),"CÓDIGO BALÓN DUPLICADO",IF(AND(OR(UPPER(F585)="PLANTA",UPPER(F585)="CLIENTE"),G585=""),"FALTA doc propietario/planta",IF(AND(UPPER(F585)="PLANTA",G585="10175332796"),"PLANTA no puede ser RUC empresa","OK"))))))))</f>
        <v/>
      </c>
      <c r="C585" s="23" t="inlineStr">
        <is>
          <t>GA546159</t>
        </is>
      </c>
      <c r="D585" s="17" t="inlineStr">
        <is>
          <t>Oxígeno Industrial 6 m³</t>
        </is>
      </c>
      <c r="E585" s="17" t="inlineStr">
        <is>
          <t>OXIGENO INDUSTRIAL</t>
        </is>
      </c>
      <c r="F585" s="17" t="inlineStr">
        <is>
          <t>EMPRESA</t>
        </is>
      </c>
      <c r="G585" s="23" t="inlineStr">
        <is>
          <t>10175332796</t>
        </is>
      </c>
      <c r="H585" s="25">
        <f t="array" ref="H585">IF(G585="","",IFERROR(IF(INDEX(Clientes!$D$5:$D$549,MATCH(G585,Clientes!$C$5:$C$549,0))&lt;&gt;"",INDEX(Clientes!$D$5:$D$549,MATCH(G585,Clientes!$C$5:$C$549,0)),TRIM(INDEX(Clientes!$E$5:$E$549,MATCH(G585,Clientes!$C$5:$C$549,0))&amp;" "&amp;INDEX(Clientes!$F$5:$F$549,MATCH(G585,Clientes!$C$5:$C$549,0)))),"NO EXISTE en Clientes"))</f>
        <v/>
      </c>
      <c r="I585" s="17" t="inlineStr">
        <is>
          <t>EN_PODER_CLIENTE</t>
        </is>
      </c>
      <c r="J585" s="17" t="n"/>
      <c r="K585" s="26" t="inlineStr">
        <is>
          <t>20480725931</t>
        </is>
      </c>
      <c r="L585" s="25">
        <f t="array" ref="L585">IF(K585="","",IFERROR(IF(INDEX(Clientes!$D$5:$D$549,MATCH(K585,Clientes!$C$5:$C$549,0))&lt;&gt;"",INDEX(Clientes!$D$5:$D$549,MATCH(K585,Clientes!$C$5:$C$549,0)),TRIM(INDEX(Clientes!$E$5:$E$549,MATCH(K585,Clientes!$C$5:$C$549,0))&amp;" "&amp;INDEX(Clientes!$F$5:$F$549,MATCH(K585,Clientes!$C$5:$C$549,0)))),"NO EXISTE en Clientes"))</f>
        <v/>
      </c>
      <c r="M585" s="17" t="n"/>
      <c r="N585" s="17" t="n"/>
      <c r="O585" s="42" t="n"/>
      <c r="P585" s="39">
        <f>IF(O585&lt;&gt;"",DATE(YEAR(O585)+5,MONTH(O585),1),IF(AND(M585&lt;&gt;"",N585&lt;&gt;""),DATE(M585+5,N585,1),""))</f>
        <v/>
      </c>
      <c r="Q585" s="23" t="n"/>
      <c r="R585" s="17" t="n"/>
      <c r="S585" s="17" t="n"/>
      <c r="T585" s="17" t="n"/>
      <c r="U585" s="17" t="n"/>
      <c r="V585" s="23" t="n"/>
      <c r="W585" s="17" t="n"/>
      <c r="X585" s="17" t="n"/>
      <c r="Y585" s="28">
        <f>IF(B585&lt;&gt;"OK","","SELECT bal_crear_balon(p_codigo_balon =&gt; "&amp;IF(TRIM(C585&amp;"")="","NULL","'"&amp;SUBSTITUTE(TRIM(C585),"'","''")&amp;"'")&amp;", p_id_tipo_balon =&gt; "&amp;"(SELECT id FROM bal_tipo_balon WHERE upper(nombre) = upper('"&amp;SUBSTITUTE(TRIM(D585),"'","''")&amp;"') AND estado = 1 LIMIT 1)"&amp;", p_id_producto_gas =&gt; "&amp;"(SELECT id FROM pro_producto WHERE es_gas = TRUE AND upper(nombre) = upper('"&amp;SUBSTITUTE(TRIM(E585),"'","''")&amp;"') AND estado = 1 LIMIT 1)"&amp;", p_id_propietario =&gt; "&amp;IF(TRIM(F585&amp;"")="","NULL","(SELECT lo.id FROM gen_lista_opciones lo JOIN gen_lista l ON l.id = lo.id_lista WHERE l.nombre = 'PropietarioBalon' AND upper(lo.nombre) = upper('"&amp;SUBSTITUTE(TRIM(F585),"'","''")&amp;"') AND lo.estado = 1 LIMIT 1)")&amp;", p_id_cliente_propietario =&gt; "&amp;IF(F585="CLIENTE",IF(TRIM(G585&amp;"")="","NULL","(SELECT id FROM cli_clientes WHERE numero_documento = '"&amp;SUBSTITUTE(TRIM(G585),"'","''")&amp;"' AND estado = 1 LIMIT 1)"),"NULL")&amp;", p_id_planta =&gt; "&amp;IF(F585="PLANTA",IF(TRIM(G585&amp;"")="","NULL","(SELECT id FROM cli_clientes WHERE numero_documento = '"&amp;SUBSTITUTE(TRIM(G585),"'","''")&amp;"'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"&amp;IF(TRIM(J585&amp;"")="","NULL","(SELECT id FROM gen_almacen WHERE upper(nombre) = upper('"&amp;SUBSTITUTE(TRIM(J585),"'","''")&amp;"') AND estado = 1 LIMIT 1)")&amp;", p_id_cliente_ubicacion =&gt; "&amp;IF(TRIM(K585&amp;"")="","NULL","(SELECT id FROM cli_clientes WHERE numero_documento = '"&amp;SUBSTITUTE(TRIM(K585),"'","''")&amp;"' AND estado = 1 LIMIT 1)")&amp;", p_id_referencia =&gt; "&amp;IF(TRIM(J585&amp;"")&lt;&gt;"","(SELECT lo.id FROM gen_lista_opciones lo JOIN gen_lista l ON l.id = lo.id_lista WHERE l.nombre = 'ReferenciaCilindro' AND upper(lo.nombre) = 'ALMACEN' AND lo.estado = 1 LIMIT 1)",IF(TRIM(K585&amp;"")&lt;&gt;"","(SELECT lo.id FROM gen_lista_opciones lo JOIN gen_lista l ON l.id = lo.id_lista WHERE l.nombre = 'ReferenciaCilindro' AND upper(lo.nombre) = 'CLIENTE' AND lo.estado = 1 LIMIT 1)","NULL"))&amp;", p_anio_fabricacion =&gt; "&amp;IF(M585&amp;""="","NULL::smallint",M585&amp;"::smallint")&amp;", p_mes_fabricacion =&gt; "&amp;IF(N585&amp;""="","NULL::smallint",N585&amp;"::smallint")&amp;", p_fecha_ultima_prueba_hidrostatica =&gt; "&amp;IF(O585&amp;""="","NULL","'"&amp;YEAR(O585)&amp;"-"&amp;TEXT(MONTH(O585),"00")&amp;"-"&amp;TEXT(DAY(O585),"00")&amp;"'")&amp;", p_numero_serie =&gt; "&amp;IF(TRIM(Q585&amp;"")="","NULL","'"&amp;SUBSTITUTE(TRIM(Q585),"'","''")&amp;"'")&amp;", p_id_marca_cilindro =&gt; "&amp;IF(TRIM(R585&amp;"")="","NULL","(SELECT lo.id FROM gen_lista_opciones lo JOIN gen_lista l ON l.id = lo.id_lista WHERE l.nombre = 'MarcaCilindro' AND upper(lo.nombre) = upper('"&amp;SUBSTITUTE(TRIM(R585),"'","''")&amp;"') AND lo.estado = 1 LIMIT 1)")&amp;", p_id_organo_inspector =&gt; "&amp;IF(TRIM(S585&amp;"")="","NULL","(SELECT lo.id FROM gen_lista_opciones lo JOIN gen_lista l ON l.id = lo.id_lista WHERE l.nombre = 'OrganoInspectorCilindro' AND upper(lo.nombre) = upper('"&amp;SUBSTITUTE(TRIM(S585),"'","''")&amp;"') AND lo.estado = 1 LIMIT 1)")&amp;", p_organo_inspector_no_aplica =&gt; "&amp;IF(S585="NO_APLICA","TRUE","FALSE")&amp;", p_presion_actual =&gt; "&amp;IF(T585&amp;""="","NULL",SUBSTITUTE(T585&amp;"",",","."))&amp;", p_tipo_valvula =&gt; "&amp;IF(TRIM(U585&amp;"")="","NULL","'"&amp;SUBSTITUTE(TRIM(U585),"'","''")&amp;"'")&amp;", p_libro_cilindro =&gt; "&amp;IF(TRIM(V585&amp;"")="","NULL","'"&amp;SUBSTITUTE(TRIM(V585),"'","''")&amp;"'")&amp;", p_pagina_libro =&gt; "&amp;IF(W585&amp;""="","NULL",SUBSTITUTE(W585&amp;"",",","."))&amp;", p_observacion =&gt; "&amp;IF(TRIM(X585&amp;"")="","NULL","'"&amp;SUBSTITUTE(TRIM(X585),"'","''")&amp;"'")&amp;") AS resultado_balon_"&amp;ROW()&amp;";")</f>
        <v/>
      </c>
    </row>
    <row r="586" ht="15.75" customHeight="1" s="64">
      <c r="A586" s="36" t="inlineStr">
        <is>
          <t>582</t>
        </is>
      </c>
      <c r="B586" s="25">
        <f>IF(AND(C586="",D586="",E586=""),"",IF(C586="","FALTA código balón",IF(D586="","FALTA tipo balón",IF(E586="","FALTA gas",IF(F586="","FALTA propietario",IF(AND(C586&lt;&gt;"",SUMPRODUCT(--($C$5:$C$1200=C586))&gt;1),"CÓDIGO BALÓN DUPLICADO",IF(AND(OR(UPPER(F586)="PLANTA",UPPER(F586)="CLIENTE"),G586=""),"FALTA doc propietario/planta",IF(AND(UPPER(F586)="PLANTA",G586="10175332796"),"PLANTA no puede ser RUC empresa","OK"))))))))</f>
        <v/>
      </c>
      <c r="C586" s="23" t="inlineStr">
        <is>
          <t>20S290056</t>
        </is>
      </c>
      <c r="D586" s="17" t="inlineStr">
        <is>
          <t>Oxígeno Industrial 6 m³</t>
        </is>
      </c>
      <c r="E586" s="17" t="inlineStr">
        <is>
          <t>OXIGENO INDUSTRIAL</t>
        </is>
      </c>
      <c r="F586" s="17" t="inlineStr">
        <is>
          <t>EMPRESA</t>
        </is>
      </c>
      <c r="G586" s="23" t="inlineStr">
        <is>
          <t>10175332796</t>
        </is>
      </c>
      <c r="H586" s="25">
        <f t="array" ref="H586">IF(G586="","",IFERROR(IF(INDEX(Clientes!$D$5:$D$549,MATCH(G586,Clientes!$C$5:$C$549,0))&lt;&gt;"",INDEX(Clientes!$D$5:$D$549,MATCH(G586,Clientes!$C$5:$C$549,0)),TRIM(INDEX(Clientes!$E$5:$E$549,MATCH(G586,Clientes!$C$5:$C$549,0))&amp;" "&amp;INDEX(Clientes!$F$5:$F$549,MATCH(G586,Clientes!$C$5:$C$549,0)))),"NO EXISTE en Clientes"))</f>
        <v/>
      </c>
      <c r="I586" s="17" t="inlineStr">
        <is>
          <t>EN_PODER_CLIENTE</t>
        </is>
      </c>
      <c r="J586" s="17" t="n"/>
      <c r="K586" s="26" t="inlineStr">
        <is>
          <t>20480725931</t>
        </is>
      </c>
      <c r="L586" s="25">
        <f t="array" ref="L586">IF(K586="","",IFERROR(IF(INDEX(Clientes!$D$5:$D$549,MATCH(K586,Clientes!$C$5:$C$549,0))&lt;&gt;"",INDEX(Clientes!$D$5:$D$549,MATCH(K586,Clientes!$C$5:$C$549,0)),TRIM(INDEX(Clientes!$E$5:$E$549,MATCH(K586,Clientes!$C$5:$C$549,0))&amp;" "&amp;INDEX(Clientes!$F$5:$F$549,MATCH(K586,Clientes!$C$5:$C$549,0)))),"NO EXISTE en Clientes"))</f>
        <v/>
      </c>
      <c r="M586" s="17" t="n"/>
      <c r="N586" s="17" t="n"/>
      <c r="O586" s="42" t="n"/>
      <c r="P586" s="39">
        <f>IF(O586&lt;&gt;"",DATE(YEAR(O586)+5,MONTH(O586),1),IF(AND(M586&lt;&gt;"",N586&lt;&gt;""),DATE(M586+5,N586,1),""))</f>
        <v/>
      </c>
      <c r="Q586" s="23" t="n"/>
      <c r="R586" s="17" t="n"/>
      <c r="S586" s="17" t="n"/>
      <c r="T586" s="17" t="n"/>
      <c r="U586" s="17" t="n"/>
      <c r="V586" s="23" t="n"/>
      <c r="W586" s="17" t="n"/>
      <c r="X586" s="17" t="n"/>
      <c r="Y586" s="28">
        <f>IF(B586&lt;&gt;"OK","","SELECT bal_crear_balon(p_codigo_balon =&gt; "&amp;IF(TRIM(C586&amp;"")="","NULL","'"&amp;SUBSTITUTE(TRIM(C586),"'","''")&amp;"'")&amp;", p_id_tipo_balon =&gt; "&amp;"(SELECT id FROM bal_tipo_balon WHERE upper(nombre) = upper('"&amp;SUBSTITUTE(TRIM(D586),"'","''")&amp;"') AND estado = 1 LIMIT 1)"&amp;", p_id_producto_gas =&gt; "&amp;"(SELECT id FROM pro_producto WHERE es_gas = TRUE AND upper(nombre) = upper('"&amp;SUBSTITUTE(TRIM(E586),"'","''")&amp;"') AND estado = 1 LIMIT 1)"&amp;", p_id_propietario =&gt; "&amp;IF(TRIM(F586&amp;"")="","NULL","(SELECT lo.id FROM gen_lista_opciones lo JOIN gen_lista l ON l.id = lo.id_lista WHERE l.nombre = 'PropietarioBalon' AND upper(lo.nombre) = upper('"&amp;SUBSTITUTE(TRIM(F586),"'","''")&amp;"') AND lo.estado = 1 LIMIT 1)")&amp;", p_id_cliente_propietario =&gt; "&amp;IF(F586="CLIENTE",IF(TRIM(G586&amp;"")="","NULL","(SELECT id FROM cli_clientes WHERE numero_documento = '"&amp;SUBSTITUTE(TRIM(G586),"'","''")&amp;"' AND estado = 1 LIMIT 1)"),"NULL")&amp;", p_id_planta =&gt; "&amp;IF(F586="PLANTA",IF(TRIM(G586&amp;"")="","NULL","(SELECT id FROM cli_clientes WHERE numero_documento = '"&amp;SUBSTITUTE(TRIM(G586),"'","''")&amp;"'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"&amp;IF(TRIM(J586&amp;"")="","NULL","(SELECT id FROM gen_almacen WHERE upper(nombre) = upper('"&amp;SUBSTITUTE(TRIM(J586),"'","''")&amp;"') AND estado = 1 LIMIT 1)")&amp;", p_id_cliente_ubicacion =&gt; "&amp;IF(TRIM(K586&amp;"")="","NULL","(SELECT id FROM cli_clientes WHERE numero_documento = '"&amp;SUBSTITUTE(TRIM(K586),"'","''")&amp;"' AND estado = 1 LIMIT 1)")&amp;", p_id_referencia =&gt; "&amp;IF(TRIM(J586&amp;"")&lt;&gt;"","(SELECT lo.id FROM gen_lista_opciones lo JOIN gen_lista l ON l.id = lo.id_lista WHERE l.nombre = 'ReferenciaCilindro' AND upper(lo.nombre) = 'ALMACEN' AND lo.estado = 1 LIMIT 1)",IF(TRIM(K586&amp;"")&lt;&gt;"","(SELECT lo.id FROM gen_lista_opciones lo JOIN gen_lista l ON l.id = lo.id_lista WHERE l.nombre = 'ReferenciaCilindro' AND upper(lo.nombre) = 'CLIENTE' AND lo.estado = 1 LIMIT 1)","NULL"))&amp;", p_anio_fabricacion =&gt; "&amp;IF(M586&amp;""="","NULL::smallint",M586&amp;"::smallint")&amp;", p_mes_fabricacion =&gt; "&amp;IF(N586&amp;""="","NULL::smallint",N586&amp;"::smallint")&amp;", p_fecha_ultima_prueba_hidrostatica =&gt; "&amp;IF(O586&amp;""="","NULL","'"&amp;YEAR(O586)&amp;"-"&amp;TEXT(MONTH(O586),"00")&amp;"-"&amp;TEXT(DAY(O586),"00")&amp;"'")&amp;", p_numero_serie =&gt; "&amp;IF(TRIM(Q586&amp;"")="","NULL","'"&amp;SUBSTITUTE(TRIM(Q586),"'","''")&amp;"'")&amp;", p_id_marca_cilindro =&gt; "&amp;IF(TRIM(R586&amp;"")="","NULL","(SELECT lo.id FROM gen_lista_opciones lo JOIN gen_lista l ON l.id = lo.id_lista WHERE l.nombre = 'MarcaCilindro' AND upper(lo.nombre) = upper('"&amp;SUBSTITUTE(TRIM(R586),"'","''")&amp;"') AND lo.estado = 1 LIMIT 1)")&amp;", p_id_organo_inspector =&gt; "&amp;IF(TRIM(S586&amp;"")="","NULL","(SELECT lo.id FROM gen_lista_opciones lo JOIN gen_lista l ON l.id = lo.id_lista WHERE l.nombre = 'OrganoInspectorCilindro' AND upper(lo.nombre) = upper('"&amp;SUBSTITUTE(TRIM(S586),"'","''")&amp;"') AND lo.estado = 1 LIMIT 1)")&amp;", p_organo_inspector_no_aplica =&gt; "&amp;IF(S586="NO_APLICA","TRUE","FALSE")&amp;", p_presion_actual =&gt; "&amp;IF(T586&amp;""="","NULL",SUBSTITUTE(T586&amp;"",",","."))&amp;", p_tipo_valvula =&gt; "&amp;IF(TRIM(U586&amp;"")="","NULL","'"&amp;SUBSTITUTE(TRIM(U586),"'","''")&amp;"'")&amp;", p_libro_cilindro =&gt; "&amp;IF(TRIM(V586&amp;"")="","NULL","'"&amp;SUBSTITUTE(TRIM(V586),"'","''")&amp;"'")&amp;", p_pagina_libro =&gt; "&amp;IF(W586&amp;""="","NULL",SUBSTITUTE(W586&amp;"",",","."))&amp;", p_observacion =&gt; "&amp;IF(TRIM(X586&amp;"")="","NULL","'"&amp;SUBSTITUTE(TRIM(X586),"'","''")&amp;"'")&amp;") AS resultado_balon_"&amp;ROW()&amp;";")</f>
        <v/>
      </c>
    </row>
    <row r="587" ht="15.75" customHeight="1" s="64">
      <c r="A587" s="36" t="inlineStr">
        <is>
          <t>583</t>
        </is>
      </c>
      <c r="B587" s="25">
        <f>IF(AND(C587="",D587="",E587=""),"",IF(C587="","FALTA código balón",IF(D587="","FALTA tipo balón",IF(E587="","FALTA gas",IF(F587="","FALTA propietario",IF(AND(C587&lt;&gt;"",SUMPRODUCT(--($C$5:$C$1200=C587))&gt;1),"CÓDIGO BALÓN DUPLICADO",IF(AND(OR(UPPER(F587)="PLANTA",UPPER(F587)="CLIENTE"),G587=""),"FALTA doc propietario/planta",IF(AND(UPPER(F587)="PLANTA",G587="10175332796"),"PLANTA no puede ser RUC empresa","OK"))))))))</f>
        <v/>
      </c>
      <c r="C587" s="23" t="inlineStr">
        <is>
          <t>GA373149</t>
        </is>
      </c>
      <c r="D587" s="17" t="inlineStr">
        <is>
          <t>Oxígeno Industrial 6 m³</t>
        </is>
      </c>
      <c r="E587" s="17" t="inlineStr">
        <is>
          <t>OXIGENO INDUSTRIAL</t>
        </is>
      </c>
      <c r="F587" s="17" t="inlineStr">
        <is>
          <t>EMPRESA</t>
        </is>
      </c>
      <c r="G587" s="23" t="inlineStr">
        <is>
          <t>10175332796</t>
        </is>
      </c>
      <c r="H587" s="25">
        <f t="array" ref="H587">IF(G587="","",IFERROR(IF(INDEX(Clientes!$D$5:$D$549,MATCH(G587,Clientes!$C$5:$C$549,0))&lt;&gt;"",INDEX(Clientes!$D$5:$D$549,MATCH(G587,Clientes!$C$5:$C$549,0)),TRIM(INDEX(Clientes!$E$5:$E$549,MATCH(G587,Clientes!$C$5:$C$549,0))&amp;" "&amp;INDEX(Clientes!$F$5:$F$549,MATCH(G587,Clientes!$C$5:$C$549,0)))),"NO EXISTE en Clientes"))</f>
        <v/>
      </c>
      <c r="I587" s="17" t="inlineStr">
        <is>
          <t>EN_PODER_CLIENTE</t>
        </is>
      </c>
      <c r="J587" s="17" t="n"/>
      <c r="K587" s="26" t="inlineStr">
        <is>
          <t>20480725931</t>
        </is>
      </c>
      <c r="L587" s="25">
        <f t="array" ref="L587">IF(K587="","",IFERROR(IF(INDEX(Clientes!$D$5:$D$549,MATCH(K587,Clientes!$C$5:$C$549,0))&lt;&gt;"",INDEX(Clientes!$D$5:$D$549,MATCH(K587,Clientes!$C$5:$C$549,0)),TRIM(INDEX(Clientes!$E$5:$E$549,MATCH(K587,Clientes!$C$5:$C$549,0))&amp;" "&amp;INDEX(Clientes!$F$5:$F$549,MATCH(K587,Clientes!$C$5:$C$549,0)))),"NO EXISTE en Clientes"))</f>
        <v/>
      </c>
      <c r="M587" s="17" t="n"/>
      <c r="N587" s="17" t="n"/>
      <c r="O587" s="42" t="n"/>
      <c r="P587" s="39">
        <f>IF(O587&lt;&gt;"",DATE(YEAR(O587)+5,MONTH(O587),1),IF(AND(M587&lt;&gt;"",N587&lt;&gt;""),DATE(M587+5,N587,1),""))</f>
        <v/>
      </c>
      <c r="Q587" s="23" t="n"/>
      <c r="R587" s="17" t="n"/>
      <c r="S587" s="17" t="n"/>
      <c r="T587" s="17" t="n"/>
      <c r="U587" s="17" t="n"/>
      <c r="V587" s="23" t="n"/>
      <c r="W587" s="17" t="n"/>
      <c r="X587" s="17" t="n"/>
      <c r="Y587" s="28">
        <f>IF(B587&lt;&gt;"OK","","SELECT bal_crear_balon(p_codigo_balon =&gt; "&amp;IF(TRIM(C587&amp;"")="","NULL","'"&amp;SUBSTITUTE(TRIM(C587),"'","''")&amp;"'")&amp;", p_id_tipo_balon =&gt; "&amp;"(SELECT id FROM bal_tipo_balon WHERE upper(nombre) = upper('"&amp;SUBSTITUTE(TRIM(D587),"'","''")&amp;"') AND estado = 1 LIMIT 1)"&amp;", p_id_producto_gas =&gt; "&amp;"(SELECT id FROM pro_producto WHERE es_gas = TRUE AND upper(nombre) = upper('"&amp;SUBSTITUTE(TRIM(E587),"'","''")&amp;"') AND estado = 1 LIMIT 1)"&amp;", p_id_propietario =&gt; "&amp;IF(TRIM(F587&amp;"")="","NULL","(SELECT lo.id FROM gen_lista_opciones lo JOIN gen_lista l ON l.id = lo.id_lista WHERE l.nombre = 'PropietarioBalon' AND upper(lo.nombre) = upper('"&amp;SUBSTITUTE(TRIM(F587),"'","''")&amp;"') AND lo.estado = 1 LIMIT 1)")&amp;", p_id_cliente_propietario =&gt; "&amp;IF(F587="CLIENTE",IF(TRIM(G587&amp;"")="","NULL","(SELECT id FROM cli_clientes WHERE numero_documento = '"&amp;SUBSTITUTE(TRIM(G587),"'","''")&amp;"' AND estado = 1 LIMIT 1)"),"NULL")&amp;", p_id_planta =&gt; "&amp;IF(F587="PLANTA",IF(TRIM(G587&amp;"")="","NULL","(SELECT id FROM cli_clientes WHERE numero_documento = '"&amp;SUBSTITUTE(TRIM(G587),"'","''")&amp;"'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"&amp;IF(TRIM(J587&amp;"")="","NULL","(SELECT id FROM gen_almacen WHERE upper(nombre) = upper('"&amp;SUBSTITUTE(TRIM(J587),"'","''")&amp;"') AND estado = 1 LIMIT 1)")&amp;", p_id_cliente_ubicacion =&gt; "&amp;IF(TRIM(K587&amp;"")="","NULL","(SELECT id FROM cli_clientes WHERE numero_documento = '"&amp;SUBSTITUTE(TRIM(K587),"'","''")&amp;"' AND estado = 1 LIMIT 1)")&amp;", p_id_referencia =&gt; "&amp;IF(TRIM(J587&amp;"")&lt;&gt;"","(SELECT lo.id FROM gen_lista_opciones lo JOIN gen_lista l ON l.id = lo.id_lista WHERE l.nombre = 'ReferenciaCilindro' AND upper(lo.nombre) = 'ALMACEN' AND lo.estado = 1 LIMIT 1)",IF(TRIM(K587&amp;"")&lt;&gt;"","(SELECT lo.id FROM gen_lista_opciones lo JOIN gen_lista l ON l.id = lo.id_lista WHERE l.nombre = 'ReferenciaCilindro' AND upper(lo.nombre) = 'CLIENTE' AND lo.estado = 1 LIMIT 1)","NULL"))&amp;", p_anio_fabricacion =&gt; "&amp;IF(M587&amp;""="","NULL::smallint",M587&amp;"::smallint")&amp;", p_mes_fabricacion =&gt; "&amp;IF(N587&amp;""="","NULL::smallint",N587&amp;"::smallint")&amp;", p_fecha_ultima_prueba_hidrostatica =&gt; "&amp;IF(O587&amp;""="","NULL","'"&amp;YEAR(O587)&amp;"-"&amp;TEXT(MONTH(O587),"00")&amp;"-"&amp;TEXT(DAY(O587),"00")&amp;"'")&amp;", p_numero_serie =&gt; "&amp;IF(TRIM(Q587&amp;"")="","NULL","'"&amp;SUBSTITUTE(TRIM(Q587),"'","''")&amp;"'")&amp;", p_id_marca_cilindro =&gt; "&amp;IF(TRIM(R587&amp;"")="","NULL","(SELECT lo.id FROM gen_lista_opciones lo JOIN gen_lista l ON l.id = lo.id_lista WHERE l.nombre = 'MarcaCilindro' AND upper(lo.nombre) = upper('"&amp;SUBSTITUTE(TRIM(R587),"'","''")&amp;"') AND lo.estado = 1 LIMIT 1)")&amp;", p_id_organo_inspector =&gt; "&amp;IF(TRIM(S587&amp;"")="","NULL","(SELECT lo.id FROM gen_lista_opciones lo JOIN gen_lista l ON l.id = lo.id_lista WHERE l.nombre = 'OrganoInspectorCilindro' AND upper(lo.nombre) = upper('"&amp;SUBSTITUTE(TRIM(S587),"'","''")&amp;"') AND lo.estado = 1 LIMIT 1)")&amp;", p_organo_inspector_no_aplica =&gt; "&amp;IF(S587="NO_APLICA","TRUE","FALSE")&amp;", p_presion_actual =&gt; "&amp;IF(T587&amp;""="","NULL",SUBSTITUTE(T587&amp;"",",","."))&amp;", p_tipo_valvula =&gt; "&amp;IF(TRIM(U587&amp;"")="","NULL","'"&amp;SUBSTITUTE(TRIM(U587),"'","''")&amp;"'")&amp;", p_libro_cilindro =&gt; "&amp;IF(TRIM(V587&amp;"")="","NULL","'"&amp;SUBSTITUTE(TRIM(V587),"'","''")&amp;"'")&amp;", p_pagina_libro =&gt; "&amp;IF(W587&amp;""="","NULL",SUBSTITUTE(W587&amp;"",",","."))&amp;", p_observacion =&gt; "&amp;IF(TRIM(X587&amp;"")="","NULL","'"&amp;SUBSTITUTE(TRIM(X587),"'","''")&amp;"'")&amp;") AS resultado_balon_"&amp;ROW()&amp;";")</f>
        <v/>
      </c>
    </row>
    <row r="588" ht="15.75" customHeight="1" s="64">
      <c r="A588" s="36" t="inlineStr">
        <is>
          <t>584</t>
        </is>
      </c>
      <c r="B588" s="25">
        <f>IF(AND(C588="",D588="",E588=""),"",IF(C588="","FALTA código balón",IF(D588="","FALTA tipo balón",IF(E588="","FALTA gas",IF(F588="","FALTA propietario",IF(AND(C588&lt;&gt;"",SUMPRODUCT(--($C$5:$C$1200=C588))&gt;1),"CÓDIGO BALÓN DUPLICADO",IF(AND(OR(UPPER(F588)="PLANTA",UPPER(F588)="CLIENTE"),G588=""),"FALTA doc propietario/planta",IF(AND(UPPER(F588)="PLANTA",G588="10175332796"),"PLANTA no puede ser RUC empresa","OK"))))))))</f>
        <v/>
      </c>
      <c r="C588" s="23" t="inlineStr">
        <is>
          <t>20S130092</t>
        </is>
      </c>
      <c r="D588" s="17" t="inlineStr">
        <is>
          <t>Oxígeno Industrial 6 m³</t>
        </is>
      </c>
      <c r="E588" s="17" t="inlineStr">
        <is>
          <t>OXIGENO INDUSTRIAL</t>
        </is>
      </c>
      <c r="F588" s="17" t="inlineStr">
        <is>
          <t>EMPRESA</t>
        </is>
      </c>
      <c r="G588" s="23" t="inlineStr">
        <is>
          <t>10175332796</t>
        </is>
      </c>
      <c r="H588" s="25">
        <f t="array" ref="H588">IF(G588="","",IFERROR(IF(INDEX(Clientes!$D$5:$D$549,MATCH(G588,Clientes!$C$5:$C$549,0))&lt;&gt;"",INDEX(Clientes!$D$5:$D$549,MATCH(G588,Clientes!$C$5:$C$549,0)),TRIM(INDEX(Clientes!$E$5:$E$549,MATCH(G588,Clientes!$C$5:$C$549,0))&amp;" "&amp;INDEX(Clientes!$F$5:$F$549,MATCH(G588,Clientes!$C$5:$C$549,0)))),"NO EXISTE en Clientes"))</f>
        <v/>
      </c>
      <c r="I588" s="17" t="inlineStr">
        <is>
          <t>EN_PODER_CLIENTE</t>
        </is>
      </c>
      <c r="J588" s="17" t="n"/>
      <c r="K588" s="26" t="inlineStr">
        <is>
          <t>20480725931</t>
        </is>
      </c>
      <c r="L588" s="25">
        <f t="array" ref="L588">IF(K588="","",IFERROR(IF(INDEX(Clientes!$D$5:$D$549,MATCH(K588,Clientes!$C$5:$C$549,0))&lt;&gt;"",INDEX(Clientes!$D$5:$D$549,MATCH(K588,Clientes!$C$5:$C$549,0)),TRIM(INDEX(Clientes!$E$5:$E$549,MATCH(K588,Clientes!$C$5:$C$549,0))&amp;" "&amp;INDEX(Clientes!$F$5:$F$549,MATCH(K588,Clientes!$C$5:$C$549,0)))),"NO EXISTE en Clientes"))</f>
        <v/>
      </c>
      <c r="M588" s="17" t="n"/>
      <c r="N588" s="17" t="n"/>
      <c r="O588" s="42" t="n"/>
      <c r="P588" s="39">
        <f>IF(O588&lt;&gt;"",DATE(YEAR(O588)+5,MONTH(O588),1),IF(AND(M588&lt;&gt;"",N588&lt;&gt;""),DATE(M588+5,N588,1),""))</f>
        <v/>
      </c>
      <c r="Q588" s="23" t="n"/>
      <c r="R588" s="17" t="n"/>
      <c r="S588" s="17" t="n"/>
      <c r="T588" s="17" t="n"/>
      <c r="U588" s="17" t="n"/>
      <c r="V588" s="23" t="n"/>
      <c r="W588" s="17" t="n"/>
      <c r="X588" s="17" t="n"/>
      <c r="Y588" s="28">
        <f>IF(B588&lt;&gt;"OK","","SELECT bal_crear_balon(p_codigo_balon =&gt; "&amp;IF(TRIM(C588&amp;"")="","NULL","'"&amp;SUBSTITUTE(TRIM(C588),"'","''")&amp;"'")&amp;", p_id_tipo_balon =&gt; "&amp;"(SELECT id FROM bal_tipo_balon WHERE upper(nombre) = upper('"&amp;SUBSTITUTE(TRIM(D588),"'","''")&amp;"') AND estado = 1 LIMIT 1)"&amp;", p_id_producto_gas =&gt; "&amp;"(SELECT id FROM pro_producto WHERE es_gas = TRUE AND upper(nombre) = upper('"&amp;SUBSTITUTE(TRIM(E588),"'","''")&amp;"') AND estado = 1 LIMIT 1)"&amp;", p_id_propietario =&gt; "&amp;IF(TRIM(F588&amp;"")="","NULL","(SELECT lo.id FROM gen_lista_opciones lo JOIN gen_lista l ON l.id = lo.id_lista WHERE l.nombre = 'PropietarioBalon' AND upper(lo.nombre) = upper('"&amp;SUBSTITUTE(TRIM(F588),"'","''")&amp;"') AND lo.estado = 1 LIMIT 1)")&amp;", p_id_cliente_propietario =&gt; "&amp;IF(F588="CLIENTE",IF(TRIM(G588&amp;"")="","NULL","(SELECT id FROM cli_clientes WHERE numero_documento = '"&amp;SUBSTITUTE(TRIM(G588),"'","''")&amp;"' AND estado = 1 LIMIT 1)"),"NULL")&amp;", p_id_planta =&gt; "&amp;IF(F588="PLANTA",IF(TRIM(G588&amp;"")="","NULL","(SELECT id FROM cli_clientes WHERE numero_documento = '"&amp;SUBSTITUTE(TRIM(G588),"'","''")&amp;"'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"&amp;IF(TRIM(J588&amp;"")="","NULL","(SELECT id FROM gen_almacen WHERE upper(nombre) = upper('"&amp;SUBSTITUTE(TRIM(J588),"'","''")&amp;"') AND estado = 1 LIMIT 1)")&amp;", p_id_cliente_ubicacion =&gt; "&amp;IF(TRIM(K588&amp;"")="","NULL","(SELECT id FROM cli_clientes WHERE numero_documento = '"&amp;SUBSTITUTE(TRIM(K588),"'","''")&amp;"' AND estado = 1 LIMIT 1)")&amp;", p_id_referencia =&gt; "&amp;IF(TRIM(J588&amp;"")&lt;&gt;"","(SELECT lo.id FROM gen_lista_opciones lo JOIN gen_lista l ON l.id = lo.id_lista WHERE l.nombre = 'ReferenciaCilindro' AND upper(lo.nombre) = 'ALMACEN' AND lo.estado = 1 LIMIT 1)",IF(TRIM(K588&amp;"")&lt;&gt;"","(SELECT lo.id FROM gen_lista_opciones lo JOIN gen_lista l ON l.id = lo.id_lista WHERE l.nombre = 'ReferenciaCilindro' AND upper(lo.nombre) = 'CLIENTE' AND lo.estado = 1 LIMIT 1)","NULL"))&amp;", p_anio_fabricacion =&gt; "&amp;IF(M588&amp;""="","NULL::smallint",M588&amp;"::smallint")&amp;", p_mes_fabricacion =&gt; "&amp;IF(N588&amp;""="","NULL::smallint",N588&amp;"::smallint")&amp;", p_fecha_ultima_prueba_hidrostatica =&gt; "&amp;IF(O588&amp;""="","NULL","'"&amp;YEAR(O588)&amp;"-"&amp;TEXT(MONTH(O588),"00")&amp;"-"&amp;TEXT(DAY(O588),"00")&amp;"'")&amp;", p_numero_serie =&gt; "&amp;IF(TRIM(Q588&amp;"")="","NULL","'"&amp;SUBSTITUTE(TRIM(Q588),"'","''")&amp;"'")&amp;", p_id_marca_cilindro =&gt; "&amp;IF(TRIM(R588&amp;"")="","NULL","(SELECT lo.id FROM gen_lista_opciones lo JOIN gen_lista l ON l.id = lo.id_lista WHERE l.nombre = 'MarcaCilindro' AND upper(lo.nombre) = upper('"&amp;SUBSTITUTE(TRIM(R588),"'","''")&amp;"') AND lo.estado = 1 LIMIT 1)")&amp;", p_id_organo_inspector =&gt; "&amp;IF(TRIM(S588&amp;"")="","NULL","(SELECT lo.id FROM gen_lista_opciones lo JOIN gen_lista l ON l.id = lo.id_lista WHERE l.nombre = 'OrganoInspectorCilindro' AND upper(lo.nombre) = upper('"&amp;SUBSTITUTE(TRIM(S588),"'","''")&amp;"') AND lo.estado = 1 LIMIT 1)")&amp;", p_organo_inspector_no_aplica =&gt; "&amp;IF(S588="NO_APLICA","TRUE","FALSE")&amp;", p_presion_actual =&gt; "&amp;IF(T588&amp;""="","NULL",SUBSTITUTE(T588&amp;"",",","."))&amp;", p_tipo_valvula =&gt; "&amp;IF(TRIM(U588&amp;"")="","NULL","'"&amp;SUBSTITUTE(TRIM(U588),"'","''")&amp;"'")&amp;", p_libro_cilindro =&gt; "&amp;IF(TRIM(V588&amp;"")="","NULL","'"&amp;SUBSTITUTE(TRIM(V588),"'","''")&amp;"'")&amp;", p_pagina_libro =&gt; "&amp;IF(W588&amp;""="","NULL",SUBSTITUTE(W588&amp;"",",","."))&amp;", p_observacion =&gt; "&amp;IF(TRIM(X588&amp;"")="","NULL","'"&amp;SUBSTITUTE(TRIM(X588),"'","''")&amp;"'")&amp;") AS resultado_balon_"&amp;ROW()&amp;";")</f>
        <v/>
      </c>
    </row>
    <row r="589" ht="15.75" customHeight="1" s="64">
      <c r="A589" s="36" t="inlineStr">
        <is>
          <t>585</t>
        </is>
      </c>
      <c r="B589" s="25">
        <f>IF(AND(C589="",D589="",E589=""),"",IF(C589="","FALTA código balón",IF(D589="","FALTA tipo balón",IF(E589="","FALTA gas",IF(F589="","FALTA propietario",IF(AND(C589&lt;&gt;"",SUMPRODUCT(--($C$5:$C$1200=C589))&gt;1),"CÓDIGO BALÓN DUPLICADO",IF(AND(OR(UPPER(F589)="PLANTA",UPPER(F589)="CLIENTE"),G589=""),"FALTA doc propietario/planta",IF(AND(UPPER(F589)="PLANTA",G589="10175332796"),"PLANTA no puede ser RUC empresa","OK"))))))))</f>
        <v/>
      </c>
      <c r="C589" s="23" t="inlineStr">
        <is>
          <t>382736</t>
        </is>
      </c>
      <c r="D589" s="17" t="inlineStr">
        <is>
          <t>Oxígeno Industrial 6 m³</t>
        </is>
      </c>
      <c r="E589" s="17" t="inlineStr">
        <is>
          <t>OXIGENO INDUSTRIAL</t>
        </is>
      </c>
      <c r="F589" s="17" t="inlineStr">
        <is>
          <t>EMPRESA</t>
        </is>
      </c>
      <c r="G589" s="23" t="inlineStr">
        <is>
          <t>10175332796</t>
        </is>
      </c>
      <c r="H589" s="25">
        <f t="array" ref="H589">IF(G589="","",IFERROR(IF(INDEX(Clientes!$D$5:$D$549,MATCH(G589,Clientes!$C$5:$C$549,0))&lt;&gt;"",INDEX(Clientes!$D$5:$D$549,MATCH(G589,Clientes!$C$5:$C$549,0)),TRIM(INDEX(Clientes!$E$5:$E$549,MATCH(G589,Clientes!$C$5:$C$549,0))&amp;" "&amp;INDEX(Clientes!$F$5:$F$549,MATCH(G589,Clientes!$C$5:$C$549,0)))),"NO EXISTE en Clientes"))</f>
        <v/>
      </c>
      <c r="I589" s="17" t="inlineStr">
        <is>
          <t>EN_PODER_CLIENTE</t>
        </is>
      </c>
      <c r="J589" s="17" t="n"/>
      <c r="K589" s="23" t="inlineStr">
        <is>
          <t>000044</t>
        </is>
      </c>
      <c r="L589" s="25">
        <f t="array" ref="L589">IF(K589="","",IFERROR(IF(INDEX(Clientes!$D$5:$D$549,MATCH(K589,Clientes!$C$5:$C$549,0))&lt;&gt;"",INDEX(Clientes!$D$5:$D$549,MATCH(K589,Clientes!$C$5:$C$549,0)),TRIM(INDEX(Clientes!$E$5:$E$549,MATCH(K589,Clientes!$C$5:$C$549,0))&amp;" "&amp;INDEX(Clientes!$F$5:$F$549,MATCH(K589,Clientes!$C$5:$C$549,0)))),"NO EXISTE en Clientes"))</f>
        <v/>
      </c>
      <c r="M589" s="17" t="n"/>
      <c r="N589" s="17" t="n"/>
      <c r="O589" s="42" t="n"/>
      <c r="P589" s="39">
        <f>IF(O589&lt;&gt;"",DATE(YEAR(O589)+5,MONTH(O589),1),IF(AND(M589&lt;&gt;"",N589&lt;&gt;""),DATE(M589+5,N589,1),""))</f>
        <v/>
      </c>
      <c r="Q589" s="23" t="n"/>
      <c r="R589" s="17" t="n"/>
      <c r="S589" s="17" t="n"/>
      <c r="T589" s="17" t="n"/>
      <c r="U589" s="17" t="n"/>
      <c r="V589" s="23" t="n"/>
      <c r="W589" s="17" t="n"/>
      <c r="X589" s="17" t="n"/>
      <c r="Y589" s="28">
        <f>IF(B589&lt;&gt;"OK","","SELECT bal_crear_balon(p_codigo_balon =&gt; "&amp;IF(TRIM(C589&amp;"")="","NULL","'"&amp;SUBSTITUTE(TRIM(C589),"'","''")&amp;"'")&amp;", p_id_tipo_balon =&gt; "&amp;"(SELECT id FROM bal_tipo_balon WHERE upper(nombre) = upper('"&amp;SUBSTITUTE(TRIM(D589),"'","''")&amp;"') AND estado = 1 LIMIT 1)"&amp;", p_id_producto_gas =&gt; "&amp;"(SELECT id FROM pro_producto WHERE es_gas = TRUE AND upper(nombre) = upper('"&amp;SUBSTITUTE(TRIM(E589),"'","''")&amp;"') AND estado = 1 LIMIT 1)"&amp;", p_id_propietario =&gt; "&amp;IF(TRIM(F589&amp;"")="","NULL","(SELECT lo.id FROM gen_lista_opciones lo JOIN gen_lista l ON l.id = lo.id_lista WHERE l.nombre = 'PropietarioBalon' AND upper(lo.nombre) = upper('"&amp;SUBSTITUTE(TRIM(F589),"'","''")&amp;"') AND lo.estado = 1 LIMIT 1)")&amp;", p_id_cliente_propietario =&gt; "&amp;IF(F589="CLIENTE",IF(TRIM(G589&amp;"")="","NULL","(SELECT id FROM cli_clientes WHERE numero_documento = '"&amp;SUBSTITUTE(TRIM(G589),"'","''")&amp;"' AND estado = 1 LIMIT 1)"),"NULL")&amp;", p_id_planta =&gt; "&amp;IF(F589="PLANTA",IF(TRIM(G589&amp;"")="","NULL","(SELECT id FROM cli_clientes WHERE numero_documento = '"&amp;SUBSTITUTE(TRIM(G589),"'","''")&amp;"'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"&amp;IF(TRIM(J589&amp;"")="","NULL","(SELECT id FROM gen_almacen WHERE upper(nombre) = upper('"&amp;SUBSTITUTE(TRIM(J589),"'","''")&amp;"') AND estado = 1 LIMIT 1)")&amp;", p_id_cliente_ubicacion =&gt; "&amp;IF(TRIM(K589&amp;"")="","NULL","(SELECT id FROM cli_clientes WHERE numero_documento = '"&amp;SUBSTITUTE(TRIM(K589),"'","''")&amp;"' AND estado = 1 LIMIT 1)")&amp;", p_id_referencia =&gt; "&amp;IF(TRIM(J589&amp;"")&lt;&gt;"","(SELECT lo.id FROM gen_lista_opciones lo JOIN gen_lista l ON l.id = lo.id_lista WHERE l.nombre = 'ReferenciaCilindro' AND upper(lo.nombre) = 'ALMACEN' AND lo.estado = 1 LIMIT 1)",IF(TRIM(K589&amp;"")&lt;&gt;"","(SELECT lo.id FROM gen_lista_opciones lo JOIN gen_lista l ON l.id = lo.id_lista WHERE l.nombre = 'ReferenciaCilindro' AND upper(lo.nombre) = 'CLIENTE' AND lo.estado = 1 LIMIT 1)","NULL"))&amp;", p_anio_fabricacion =&gt; "&amp;IF(M589&amp;""="","NULL::smallint",M589&amp;"::smallint")&amp;", p_mes_fabricacion =&gt; "&amp;IF(N589&amp;""="","NULL::smallint",N589&amp;"::smallint")&amp;", p_fecha_ultima_prueba_hidrostatica =&gt; "&amp;IF(O589&amp;""="","NULL","'"&amp;YEAR(O589)&amp;"-"&amp;TEXT(MONTH(O589),"00")&amp;"-"&amp;TEXT(DAY(O589),"00")&amp;"'")&amp;", p_numero_serie =&gt; "&amp;IF(TRIM(Q589&amp;"")="","NULL","'"&amp;SUBSTITUTE(TRIM(Q589),"'","''")&amp;"'")&amp;", p_id_marca_cilindro =&gt; "&amp;IF(TRIM(R589&amp;"")="","NULL","(SELECT lo.id FROM gen_lista_opciones lo JOIN gen_lista l ON l.id = lo.id_lista WHERE l.nombre = 'MarcaCilindro' AND upper(lo.nombre) = upper('"&amp;SUBSTITUTE(TRIM(R589),"'","''")&amp;"') AND lo.estado = 1 LIMIT 1)")&amp;", p_id_organo_inspector =&gt; "&amp;IF(TRIM(S589&amp;"")="","NULL","(SELECT lo.id FROM gen_lista_opciones lo JOIN gen_lista l ON l.id = lo.id_lista WHERE l.nombre = 'OrganoInspectorCilindro' AND upper(lo.nombre) = upper('"&amp;SUBSTITUTE(TRIM(S589),"'","''")&amp;"') AND lo.estado = 1 LIMIT 1)")&amp;", p_organo_inspector_no_aplica =&gt; "&amp;IF(S589="NO_APLICA","TRUE","FALSE")&amp;", p_presion_actual =&gt; "&amp;IF(T589&amp;""="","NULL",SUBSTITUTE(T589&amp;"",",","."))&amp;", p_tipo_valvula =&gt; "&amp;IF(TRIM(U589&amp;"")="","NULL","'"&amp;SUBSTITUTE(TRIM(U589),"'","''")&amp;"'")&amp;", p_libro_cilindro =&gt; "&amp;IF(TRIM(V589&amp;"")="","NULL","'"&amp;SUBSTITUTE(TRIM(V589),"'","''")&amp;"'")&amp;", p_pagina_libro =&gt; "&amp;IF(W589&amp;""="","NULL",SUBSTITUTE(W589&amp;"",",","."))&amp;", p_observacion =&gt; "&amp;IF(TRIM(X589&amp;"")="","NULL","'"&amp;SUBSTITUTE(TRIM(X589),"'","''")&amp;"'")&amp;") AS resultado_balon_"&amp;ROW()&amp;";")</f>
        <v/>
      </c>
    </row>
    <row r="590" ht="15.75" customHeight="1" s="64">
      <c r="A590" s="36" t="inlineStr">
        <is>
          <t>586</t>
        </is>
      </c>
      <c r="B590" s="25">
        <f>IF(AND(C590="",D590="",E590=""),"",IF(C590="","FALTA código balón",IF(D590="","FALTA tipo balón",IF(E590="","FALTA gas",IF(F590="","FALTA propietario",IF(AND(C590&lt;&gt;"",SUMPRODUCT(--($C$5:$C$1200=C590))&gt;1),"CÓDIGO BALÓN DUPLICADO",IF(AND(OR(UPPER(F590)="PLANTA",UPPER(F590)="CLIENTE"),G590=""),"FALTA doc propietario/planta",IF(AND(UPPER(F590)="PLANTA",G590="10175332796"),"PLANTA no puede ser RUC empresa","OK"))))))))</f>
        <v/>
      </c>
      <c r="C590" s="23" t="inlineStr">
        <is>
          <t>96740</t>
        </is>
      </c>
      <c r="D590" s="17" t="inlineStr">
        <is>
          <t>Oxígeno Industrial 6 m³</t>
        </is>
      </c>
      <c r="E590" s="17" t="inlineStr">
        <is>
          <t>OXIGENO INDUSTRIAL</t>
        </is>
      </c>
      <c r="F590" s="17" t="inlineStr">
        <is>
          <t>EMPRESA</t>
        </is>
      </c>
      <c r="G590" s="23" t="inlineStr">
        <is>
          <t>10175332796</t>
        </is>
      </c>
      <c r="H590" s="25">
        <f t="array" ref="H590">IF(G590="","",IFERROR(IF(INDEX(Clientes!$D$5:$D$549,MATCH(G590,Clientes!$C$5:$C$549,0))&lt;&gt;"",INDEX(Clientes!$D$5:$D$549,MATCH(G590,Clientes!$C$5:$C$549,0)),TRIM(INDEX(Clientes!$E$5:$E$549,MATCH(G590,Clientes!$C$5:$C$549,0))&amp;" "&amp;INDEX(Clientes!$F$5:$F$549,MATCH(G590,Clientes!$C$5:$C$549,0)))),"NO EXISTE en Clientes"))</f>
        <v/>
      </c>
      <c r="I590" s="17" t="inlineStr">
        <is>
          <t>EN_PODER_CLIENTE</t>
        </is>
      </c>
      <c r="J590" s="17" t="n"/>
      <c r="K590" s="23" t="inlineStr">
        <is>
          <t>47067456</t>
        </is>
      </c>
      <c r="L590" s="25">
        <f t="array" ref="L590">IF(K590="","",IFERROR(IF(INDEX(Clientes!$D$5:$D$549,MATCH(K590,Clientes!$C$5:$C$549,0))&lt;&gt;"",INDEX(Clientes!$D$5:$D$549,MATCH(K590,Clientes!$C$5:$C$549,0)),TRIM(INDEX(Clientes!$E$5:$E$549,MATCH(K590,Clientes!$C$5:$C$549,0))&amp;" "&amp;INDEX(Clientes!$F$5:$F$549,MATCH(K590,Clientes!$C$5:$C$549,0)))),"NO EXISTE en Clientes"))</f>
        <v/>
      </c>
      <c r="M590" s="17" t="n"/>
      <c r="N590" s="17" t="n"/>
      <c r="O590" s="42" t="n"/>
      <c r="P590" s="39">
        <f>IF(O590&lt;&gt;"",DATE(YEAR(O590)+5,MONTH(O590),1),IF(AND(M590&lt;&gt;"",N590&lt;&gt;""),DATE(M590+5,N590,1),""))</f>
        <v/>
      </c>
      <c r="Q590" s="23" t="n"/>
      <c r="R590" s="17" t="n"/>
      <c r="S590" s="17" t="n"/>
      <c r="T590" s="17" t="n"/>
      <c r="U590" s="17" t="n"/>
      <c r="V590" s="23" t="n"/>
      <c r="W590" s="17" t="n"/>
      <c r="X590" s="17" t="n"/>
      <c r="Y590" s="28">
        <f>IF(B590&lt;&gt;"OK","","SELECT bal_crear_balon(p_codigo_balon =&gt; "&amp;IF(TRIM(C590&amp;"")="","NULL","'"&amp;SUBSTITUTE(TRIM(C590),"'","''")&amp;"'")&amp;", p_id_tipo_balon =&gt; "&amp;"(SELECT id FROM bal_tipo_balon WHERE upper(nombre) = upper('"&amp;SUBSTITUTE(TRIM(D590),"'","''")&amp;"') AND estado = 1 LIMIT 1)"&amp;", p_id_producto_gas =&gt; "&amp;"(SELECT id FROM pro_producto WHERE es_gas = TRUE AND upper(nombre) = upper('"&amp;SUBSTITUTE(TRIM(E590),"'","''")&amp;"') AND estado = 1 LIMIT 1)"&amp;", p_id_propietario =&gt; "&amp;IF(TRIM(F590&amp;"")="","NULL","(SELECT lo.id FROM gen_lista_opciones lo JOIN gen_lista l ON l.id = lo.id_lista WHERE l.nombre = 'PropietarioBalon' AND upper(lo.nombre) = upper('"&amp;SUBSTITUTE(TRIM(F590),"'","''")&amp;"') AND lo.estado = 1 LIMIT 1)")&amp;", p_id_cliente_propietario =&gt; "&amp;IF(F590="CLIENTE",IF(TRIM(G590&amp;"")="","NULL","(SELECT id FROM cli_clientes WHERE numero_documento = '"&amp;SUBSTITUTE(TRIM(G590),"'","''")&amp;"' AND estado = 1 LIMIT 1)"),"NULL")&amp;", p_id_planta =&gt; "&amp;IF(F590="PLANTA",IF(TRIM(G590&amp;"")="","NULL","(SELECT id FROM cli_clientes WHERE numero_documento = '"&amp;SUBSTITUTE(TRIM(G590),"'","''")&amp;"'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"&amp;IF(TRIM(J590&amp;"")="","NULL","(SELECT id FROM gen_almacen WHERE upper(nombre) = upper('"&amp;SUBSTITUTE(TRIM(J590),"'","''")&amp;"') AND estado = 1 LIMIT 1)")&amp;", p_id_cliente_ubicacion =&gt; "&amp;IF(TRIM(K590&amp;"")="","NULL","(SELECT id FROM cli_clientes WHERE numero_documento = '"&amp;SUBSTITUTE(TRIM(K590),"'","''")&amp;"' AND estado = 1 LIMIT 1)")&amp;", p_id_referencia =&gt; "&amp;IF(TRIM(J590&amp;"")&lt;&gt;"","(SELECT lo.id FROM gen_lista_opciones lo JOIN gen_lista l ON l.id = lo.id_lista WHERE l.nombre = 'ReferenciaCilindro' AND upper(lo.nombre) = 'ALMACEN' AND lo.estado = 1 LIMIT 1)",IF(TRIM(K590&amp;"")&lt;&gt;"","(SELECT lo.id FROM gen_lista_opciones lo JOIN gen_lista l ON l.id = lo.id_lista WHERE l.nombre = 'ReferenciaCilindro' AND upper(lo.nombre) = 'CLIENTE' AND lo.estado = 1 LIMIT 1)","NULL"))&amp;", p_anio_fabricacion =&gt; "&amp;IF(M590&amp;""="","NULL::smallint",M590&amp;"::smallint")&amp;", p_mes_fabricacion =&gt; "&amp;IF(N590&amp;""="","NULL::smallint",N590&amp;"::smallint")&amp;", p_fecha_ultima_prueba_hidrostatica =&gt; "&amp;IF(O590&amp;""="","NULL","'"&amp;YEAR(O590)&amp;"-"&amp;TEXT(MONTH(O590),"00")&amp;"-"&amp;TEXT(DAY(O590),"00")&amp;"'")&amp;", p_numero_serie =&gt; "&amp;IF(TRIM(Q590&amp;"")="","NULL","'"&amp;SUBSTITUTE(TRIM(Q590),"'","''")&amp;"'")&amp;", p_id_marca_cilindro =&gt; "&amp;IF(TRIM(R590&amp;"")="","NULL","(SELECT lo.id FROM gen_lista_opciones lo JOIN gen_lista l ON l.id = lo.id_lista WHERE l.nombre = 'MarcaCilindro' AND upper(lo.nombre) = upper('"&amp;SUBSTITUTE(TRIM(R590),"'","''")&amp;"') AND lo.estado = 1 LIMIT 1)")&amp;", p_id_organo_inspector =&gt; "&amp;IF(TRIM(S590&amp;"")="","NULL","(SELECT lo.id FROM gen_lista_opciones lo JOIN gen_lista l ON l.id = lo.id_lista WHERE l.nombre = 'OrganoInspectorCilindro' AND upper(lo.nombre) = upper('"&amp;SUBSTITUTE(TRIM(S590),"'","''")&amp;"') AND lo.estado = 1 LIMIT 1)")&amp;", p_organo_inspector_no_aplica =&gt; "&amp;IF(S590="NO_APLICA","TRUE","FALSE")&amp;", p_presion_actual =&gt; "&amp;IF(T590&amp;""="","NULL",SUBSTITUTE(T590&amp;"",",","."))&amp;", p_tipo_valvula =&gt; "&amp;IF(TRIM(U590&amp;"")="","NULL","'"&amp;SUBSTITUTE(TRIM(U590),"'","''")&amp;"'")&amp;", p_libro_cilindro =&gt; "&amp;IF(TRIM(V590&amp;"")="","NULL","'"&amp;SUBSTITUTE(TRIM(V590),"'","''")&amp;"'")&amp;", p_pagina_libro =&gt; "&amp;IF(W590&amp;""="","NULL",SUBSTITUTE(W590&amp;"",",","."))&amp;", p_observacion =&gt; "&amp;IF(TRIM(X590&amp;"")="","NULL","'"&amp;SUBSTITUTE(TRIM(X590),"'","''")&amp;"'")&amp;") AS resultado_balon_"&amp;ROW()&amp;";")</f>
        <v/>
      </c>
    </row>
    <row r="591" ht="15.75" customHeight="1" s="64">
      <c r="A591" s="36" t="inlineStr">
        <is>
          <t>587</t>
        </is>
      </c>
      <c r="B591" s="25">
        <f>IF(AND(C591="",D591="",E591=""),"",IF(C591="","FALTA código balón",IF(D591="","FALTA tipo balón",IF(E591="","FALTA gas",IF(F591="","FALTA propietario",IF(AND(C591&lt;&gt;"",SUMPRODUCT(--($C$5:$C$1200=C591))&gt;1),"CÓDIGO BALÓN DUPLICADO",IF(AND(OR(UPPER(F591)="PLANTA",UPPER(F591)="CLIENTE"),G591=""),"FALTA doc propietario/planta",IF(AND(UPPER(F591)="PLANTA",G591="10175332796"),"PLANTA no puede ser RUC empresa","OK"))))))))</f>
        <v/>
      </c>
      <c r="C591" s="23" t="inlineStr">
        <is>
          <t>156672</t>
        </is>
      </c>
      <c r="D591" s="17" t="inlineStr">
        <is>
          <t>Oxigeno Industrial 3 m³</t>
        </is>
      </c>
      <c r="E591" s="17" t="inlineStr">
        <is>
          <t>OXIGENO INDUSTRIAL</t>
        </is>
      </c>
      <c r="F591" s="17" t="inlineStr">
        <is>
          <t>EMPRESA</t>
        </is>
      </c>
      <c r="G591" s="23" t="inlineStr">
        <is>
          <t>10175332796</t>
        </is>
      </c>
      <c r="H591" s="25">
        <f t="array" ref="H591">IF(G591="","",IFERROR(IF(INDEX(Clientes!$D$5:$D$549,MATCH(G591,Clientes!$C$5:$C$549,0))&lt;&gt;"",INDEX(Clientes!$D$5:$D$549,MATCH(G591,Clientes!$C$5:$C$549,0)),TRIM(INDEX(Clientes!$E$5:$E$549,MATCH(G591,Clientes!$C$5:$C$549,0))&amp;" "&amp;INDEX(Clientes!$F$5:$F$549,MATCH(G591,Clientes!$C$5:$C$549,0)))),"NO EXISTE en Clientes"))</f>
        <v/>
      </c>
      <c r="I591" s="17" t="inlineStr">
        <is>
          <t>EN_PODER_CLIENTE</t>
        </is>
      </c>
      <c r="J591" s="17" t="n"/>
      <c r="K591" s="23" t="inlineStr">
        <is>
          <t>10166403486</t>
        </is>
      </c>
      <c r="L591" s="25">
        <f t="array" ref="L591">IF(K591="","",IFERROR(IF(INDEX(Clientes!$D$5:$D$549,MATCH(K591,Clientes!$C$5:$C$549,0))&lt;&gt;"",INDEX(Clientes!$D$5:$D$549,MATCH(K591,Clientes!$C$5:$C$549,0)),TRIM(INDEX(Clientes!$E$5:$E$549,MATCH(K591,Clientes!$C$5:$C$549,0))&amp;" "&amp;INDEX(Clientes!$F$5:$F$549,MATCH(K591,Clientes!$C$5:$C$549,0)))),"NO EXISTE en Clientes"))</f>
        <v/>
      </c>
      <c r="M591" s="17" t="n"/>
      <c r="N591" s="17" t="n"/>
      <c r="O591" s="42" t="n"/>
      <c r="P591" s="39">
        <f>IF(O591&lt;&gt;"",DATE(YEAR(O591)+5,MONTH(O591),1),IF(AND(M591&lt;&gt;"",N591&lt;&gt;""),DATE(M591+5,N591,1),""))</f>
        <v/>
      </c>
      <c r="Q591" s="23" t="n"/>
      <c r="R591" s="17" t="n"/>
      <c r="S591" s="17" t="n"/>
      <c r="T591" s="17" t="n"/>
      <c r="U591" s="17" t="n"/>
      <c r="V591" s="23" t="n"/>
      <c r="W591" s="17" t="n"/>
      <c r="X591" s="17" t="n"/>
      <c r="Y591" s="28">
        <f>IF(B591&lt;&gt;"OK","","SELECT bal_crear_balon(p_codigo_balon =&gt; "&amp;IF(TRIM(C591&amp;"")="","NULL","'"&amp;SUBSTITUTE(TRIM(C591),"'","''")&amp;"'")&amp;", p_id_tipo_balon =&gt; "&amp;"(SELECT id FROM bal_tipo_balon WHERE upper(nombre) = upper('"&amp;SUBSTITUTE(TRIM(D591),"'","''")&amp;"') AND estado = 1 LIMIT 1)"&amp;", p_id_producto_gas =&gt; "&amp;"(SELECT id FROM pro_producto WHERE es_gas = TRUE AND upper(nombre) = upper('"&amp;SUBSTITUTE(TRIM(E591),"'","''")&amp;"') AND estado = 1 LIMIT 1)"&amp;", p_id_propietario =&gt; "&amp;IF(TRIM(F591&amp;"")="","NULL","(SELECT lo.id FROM gen_lista_opciones lo JOIN gen_lista l ON l.id = lo.id_lista WHERE l.nombre = 'PropietarioBalon' AND upper(lo.nombre) = upper('"&amp;SUBSTITUTE(TRIM(F591),"'","''")&amp;"') AND lo.estado = 1 LIMIT 1)")&amp;", p_id_cliente_propietario =&gt; "&amp;IF(F591="CLIENTE",IF(TRIM(G591&amp;"")="","NULL","(SELECT id FROM cli_clientes WHERE numero_documento = '"&amp;SUBSTITUTE(TRIM(G591),"'","''")&amp;"' AND estado = 1 LIMIT 1)"),"NULL")&amp;", p_id_planta =&gt; "&amp;IF(F591="PLANTA",IF(TRIM(G591&amp;"")="","NULL","(SELECT id FROM cli_clientes WHERE numero_documento = '"&amp;SUBSTITUTE(TRIM(G591),"'","''")&amp;"'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"&amp;IF(TRIM(J591&amp;"")="","NULL","(SELECT id FROM gen_almacen WHERE upper(nombre) = upper('"&amp;SUBSTITUTE(TRIM(J591),"'","''")&amp;"') AND estado = 1 LIMIT 1)")&amp;", p_id_cliente_ubicacion =&gt; "&amp;IF(TRIM(K591&amp;"")="","NULL","(SELECT id FROM cli_clientes WHERE numero_documento = '"&amp;SUBSTITUTE(TRIM(K591),"'","''")&amp;"' AND estado = 1 LIMIT 1)")&amp;", p_id_referencia =&gt; "&amp;IF(TRIM(J591&amp;"")&lt;&gt;"","(SELECT lo.id FROM gen_lista_opciones lo JOIN gen_lista l ON l.id = lo.id_lista WHERE l.nombre = 'ReferenciaCilindro' AND upper(lo.nombre) = 'ALMACEN' AND lo.estado = 1 LIMIT 1)",IF(TRIM(K591&amp;"")&lt;&gt;"","(SELECT lo.id FROM gen_lista_opciones lo JOIN gen_lista l ON l.id = lo.id_lista WHERE l.nombre = 'ReferenciaCilindro' AND upper(lo.nombre) = 'CLIENTE' AND lo.estado = 1 LIMIT 1)","NULL"))&amp;", p_anio_fabricacion =&gt; "&amp;IF(M591&amp;""="","NULL::smallint",M591&amp;"::smallint")&amp;", p_mes_fabricacion =&gt; "&amp;IF(N591&amp;""="","NULL::smallint",N591&amp;"::smallint")&amp;", p_fecha_ultima_prueba_hidrostatica =&gt; "&amp;IF(O591&amp;""="","NULL","'"&amp;YEAR(O591)&amp;"-"&amp;TEXT(MONTH(O591),"00")&amp;"-"&amp;TEXT(DAY(O591),"00")&amp;"'")&amp;", p_numero_serie =&gt; "&amp;IF(TRIM(Q591&amp;"")="","NULL","'"&amp;SUBSTITUTE(TRIM(Q591),"'","''")&amp;"'")&amp;", p_id_marca_cilindro =&gt; "&amp;IF(TRIM(R591&amp;"")="","NULL","(SELECT lo.id FROM gen_lista_opciones lo JOIN gen_lista l ON l.id = lo.id_lista WHERE l.nombre = 'MarcaCilindro' AND upper(lo.nombre) = upper('"&amp;SUBSTITUTE(TRIM(R591),"'","''")&amp;"') AND lo.estado = 1 LIMIT 1)")&amp;", p_id_organo_inspector =&gt; "&amp;IF(TRIM(S591&amp;"")="","NULL","(SELECT lo.id FROM gen_lista_opciones lo JOIN gen_lista l ON l.id = lo.id_lista WHERE l.nombre = 'OrganoInspectorCilindro' AND upper(lo.nombre) = upper('"&amp;SUBSTITUTE(TRIM(S591),"'","''")&amp;"') AND lo.estado = 1 LIMIT 1)")&amp;", p_organo_inspector_no_aplica =&gt; "&amp;IF(S591="NO_APLICA","TRUE","FALSE")&amp;", p_presion_actual =&gt; "&amp;IF(T591&amp;""="","NULL",SUBSTITUTE(T591&amp;"",",","."))&amp;", p_tipo_valvula =&gt; "&amp;IF(TRIM(U591&amp;"")="","NULL","'"&amp;SUBSTITUTE(TRIM(U591),"'","''")&amp;"'")&amp;", p_libro_cilindro =&gt; "&amp;IF(TRIM(V591&amp;"")="","NULL","'"&amp;SUBSTITUTE(TRIM(V591),"'","''")&amp;"'")&amp;", p_pagina_libro =&gt; "&amp;IF(W591&amp;""="","NULL",SUBSTITUTE(W591&amp;"",",","."))&amp;", p_observacion =&gt; "&amp;IF(TRIM(X591&amp;"")="","NULL","'"&amp;SUBSTITUTE(TRIM(X591),"'","''")&amp;"'")&amp;") AS resultado_balon_"&amp;ROW()&amp;";")</f>
        <v/>
      </c>
    </row>
    <row r="592" ht="15.75" customHeight="1" s="64">
      <c r="A592" s="36" t="inlineStr">
        <is>
          <t>588</t>
        </is>
      </c>
      <c r="B592" s="25">
        <f>IF(AND(C592="",D592="",E592=""),"",IF(C592="","FALTA código balón",IF(D592="","FALTA tipo balón",IF(E592="","FALTA gas",IF(F592="","FALTA propietario",IF(AND(C592&lt;&gt;"",SUMPRODUCT(--($C$5:$C$1200=C592))&gt;1),"CÓDIGO BALÓN DUPLICADO",IF(AND(OR(UPPER(F592)="PLANTA",UPPER(F592)="CLIENTE"),G592=""),"FALTA doc propietario/planta",IF(AND(UPPER(F592)="PLANTA",G592="10175332796"),"PLANTA no puede ser RUC empresa","OK"))))))))</f>
        <v/>
      </c>
      <c r="C592" s="23" t="inlineStr">
        <is>
          <t>FC018174</t>
        </is>
      </c>
      <c r="D592" s="17" t="inlineStr">
        <is>
          <t>Oxígeno Medicinal 10 m³</t>
        </is>
      </c>
      <c r="E592" s="17" t="inlineStr">
        <is>
          <t>OXIGENO MEDICINAL</t>
        </is>
      </c>
      <c r="F592" s="17" t="inlineStr">
        <is>
          <t>EMPRESA</t>
        </is>
      </c>
      <c r="G592" s="23" t="inlineStr">
        <is>
          <t>10175332796</t>
        </is>
      </c>
      <c r="H592" s="25">
        <f t="array" ref="H592">IF(G592="","",IFERROR(IF(INDEX(Clientes!$D$5:$D$549,MATCH(G592,Clientes!$C$5:$C$549,0))&lt;&gt;"",INDEX(Clientes!$D$5:$D$549,MATCH(G592,Clientes!$C$5:$C$549,0)),TRIM(INDEX(Clientes!$E$5:$E$549,MATCH(G592,Clientes!$C$5:$C$549,0))&amp;" "&amp;INDEX(Clientes!$F$5:$F$549,MATCH(G592,Clientes!$C$5:$C$549,0)))),"NO EXISTE en Clientes"))</f>
        <v/>
      </c>
      <c r="I592" s="17" t="inlineStr">
        <is>
          <t>EN_PODER_CLIENTE</t>
        </is>
      </c>
      <c r="J592" s="17" t="n"/>
      <c r="K592" s="23" t="inlineStr">
        <is>
          <t>90000386</t>
        </is>
      </c>
      <c r="L592" s="25">
        <f t="array" ref="L592">IF(K592="","",IFERROR(IF(INDEX(Clientes!$D$5:$D$549,MATCH(K592,Clientes!$C$5:$C$549,0))&lt;&gt;"",INDEX(Clientes!$D$5:$D$549,MATCH(K592,Clientes!$C$5:$C$549,0)),TRIM(INDEX(Clientes!$E$5:$E$549,MATCH(K592,Clientes!$C$5:$C$549,0))&amp;" "&amp;INDEX(Clientes!$F$5:$F$549,MATCH(K592,Clientes!$C$5:$C$549,0)))),"NO EXISTE en Clientes"))</f>
        <v/>
      </c>
      <c r="M592" s="17" t="n"/>
      <c r="N592" s="17" t="n"/>
      <c r="O592" s="42" t="n"/>
      <c r="P592" s="39">
        <f>IF(O592&lt;&gt;"",DATE(YEAR(O592)+5,MONTH(O592),1),IF(AND(M592&lt;&gt;"",N592&lt;&gt;""),DATE(M592+5,N592,1),""))</f>
        <v/>
      </c>
      <c r="Q592" s="23" t="n"/>
      <c r="R592" s="17" t="n"/>
      <c r="S592" s="17" t="n"/>
      <c r="T592" s="17" t="n"/>
      <c r="U592" s="17" t="n"/>
      <c r="V592" s="23" t="n"/>
      <c r="W592" s="17" t="n"/>
      <c r="X592" s="17" t="n"/>
      <c r="Y592" s="28">
        <f>IF(B592&lt;&gt;"OK","","SELECT bal_crear_balon(p_codigo_balon =&gt; "&amp;IF(TRIM(C592&amp;"")="","NULL","'"&amp;SUBSTITUTE(TRIM(C592),"'","''")&amp;"'")&amp;", p_id_tipo_balon =&gt; "&amp;"(SELECT id FROM bal_tipo_balon WHERE upper(nombre) = upper('"&amp;SUBSTITUTE(TRIM(D592),"'","''")&amp;"') AND estado = 1 LIMIT 1)"&amp;", p_id_producto_gas =&gt; "&amp;"(SELECT id FROM pro_producto WHERE es_gas = TRUE AND upper(nombre) = upper('"&amp;SUBSTITUTE(TRIM(E592),"'","''")&amp;"') AND estado = 1 LIMIT 1)"&amp;", p_id_propietario =&gt; "&amp;IF(TRIM(F592&amp;"")="","NULL","(SELECT lo.id FROM gen_lista_opciones lo JOIN gen_lista l ON l.id = lo.id_lista WHERE l.nombre = 'PropietarioBalon' AND upper(lo.nombre) = upper('"&amp;SUBSTITUTE(TRIM(F592),"'","''")&amp;"') AND lo.estado = 1 LIMIT 1)")&amp;", p_id_cliente_propietario =&gt; "&amp;IF(F592="CLIENTE",IF(TRIM(G592&amp;"")="","NULL","(SELECT id FROM cli_clientes WHERE numero_documento = '"&amp;SUBSTITUTE(TRIM(G592),"'","''")&amp;"' AND estado = 1 LIMIT 1)"),"NULL")&amp;", p_id_planta =&gt; "&amp;IF(F592="PLANTA",IF(TRIM(G592&amp;"")="","NULL","(SELECT id FROM cli_clientes WHERE numero_documento = '"&amp;SUBSTITUTE(TRIM(G592),"'","''")&amp;"'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"&amp;IF(TRIM(J592&amp;"")="","NULL","(SELECT id FROM gen_almacen WHERE upper(nombre) = upper('"&amp;SUBSTITUTE(TRIM(J592),"'","''")&amp;"') AND estado = 1 LIMIT 1)")&amp;", p_id_cliente_ubicacion =&gt; "&amp;IF(TRIM(K592&amp;"")="","NULL","(SELECT id FROM cli_clientes WHERE numero_documento = '"&amp;SUBSTITUTE(TRIM(K592),"'","''")&amp;"' AND estado = 1 LIMIT 1)")&amp;", p_id_referencia =&gt; "&amp;IF(TRIM(J592&amp;"")&lt;&gt;"","(SELECT lo.id FROM gen_lista_opciones lo JOIN gen_lista l ON l.id = lo.id_lista WHERE l.nombre = 'ReferenciaCilindro' AND upper(lo.nombre) = 'ALMACEN' AND lo.estado = 1 LIMIT 1)",IF(TRIM(K592&amp;"")&lt;&gt;"","(SELECT lo.id FROM gen_lista_opciones lo JOIN gen_lista l ON l.id = lo.id_lista WHERE l.nombre = 'ReferenciaCilindro' AND upper(lo.nombre) = 'CLIENTE' AND lo.estado = 1 LIMIT 1)","NULL"))&amp;", p_anio_fabricacion =&gt; "&amp;IF(M592&amp;""="","NULL::smallint",M592&amp;"::smallint")&amp;", p_mes_fabricacion =&gt; "&amp;IF(N592&amp;""="","NULL::smallint",N592&amp;"::smallint")&amp;", p_fecha_ultima_prueba_hidrostatica =&gt; "&amp;IF(O592&amp;""="","NULL","'"&amp;YEAR(O592)&amp;"-"&amp;TEXT(MONTH(O592),"00")&amp;"-"&amp;TEXT(DAY(O592),"00")&amp;"'")&amp;", p_numero_serie =&gt; "&amp;IF(TRIM(Q592&amp;"")="","NULL","'"&amp;SUBSTITUTE(TRIM(Q592),"'","''")&amp;"'")&amp;", p_id_marca_cilindro =&gt; "&amp;IF(TRIM(R592&amp;"")="","NULL","(SELECT lo.id FROM gen_lista_opciones lo JOIN gen_lista l ON l.id = lo.id_lista WHERE l.nombre = 'MarcaCilindro' AND upper(lo.nombre) = upper('"&amp;SUBSTITUTE(TRIM(R592),"'","''")&amp;"') AND lo.estado = 1 LIMIT 1)")&amp;", p_id_organo_inspector =&gt; "&amp;IF(TRIM(S592&amp;"")="","NULL","(SELECT lo.id FROM gen_lista_opciones lo JOIN gen_lista l ON l.id = lo.id_lista WHERE l.nombre = 'OrganoInspectorCilindro' AND upper(lo.nombre) = upper('"&amp;SUBSTITUTE(TRIM(S592),"'","''")&amp;"') AND lo.estado = 1 LIMIT 1)")&amp;", p_organo_inspector_no_aplica =&gt; "&amp;IF(S592="NO_APLICA","TRUE","FALSE")&amp;", p_presion_actual =&gt; "&amp;IF(T592&amp;""="","NULL",SUBSTITUTE(T592&amp;"",",","."))&amp;", p_tipo_valvula =&gt; "&amp;IF(TRIM(U592&amp;"")="","NULL","'"&amp;SUBSTITUTE(TRIM(U592),"'","''")&amp;"'")&amp;", p_libro_cilindro =&gt; "&amp;IF(TRIM(V592&amp;"")="","NULL","'"&amp;SUBSTITUTE(TRIM(V592),"'","''")&amp;"'")&amp;", p_pagina_libro =&gt; "&amp;IF(W592&amp;""="","NULL",SUBSTITUTE(W592&amp;"",",","."))&amp;", p_observacion =&gt; "&amp;IF(TRIM(X592&amp;"")="","NULL","'"&amp;SUBSTITUTE(TRIM(X592),"'","''")&amp;"'")&amp;") AS resultado_balon_"&amp;ROW()&amp;";")</f>
        <v/>
      </c>
    </row>
    <row r="593" ht="15.75" customHeight="1" s="64">
      <c r="A593" s="36" t="inlineStr">
        <is>
          <t>589</t>
        </is>
      </c>
      <c r="B593" s="25">
        <f>IF(AND(C593="",D593="",E593=""),"",IF(C593="","FALTA código balón",IF(D593="","FALTA tipo balón",IF(E593="","FALTA gas",IF(F593="","FALTA propietario",IF(AND(C593&lt;&gt;"",SUMPRODUCT(--($C$5:$C$1200=C593))&gt;1),"CÓDIGO BALÓN DUPLICADO",IF(AND(OR(UPPER(F593)="PLANTA",UPPER(F593)="CLIENTE"),G593=""),"FALTA doc propietario/planta",IF(AND(UPPER(F593)="PLANTA",G593="10175332796"),"PLANTA no puede ser RUC empresa","OK"))))))))</f>
        <v/>
      </c>
      <c r="C593" s="23" t="inlineStr">
        <is>
          <t>K4616144</t>
        </is>
      </c>
      <c r="D593" s="17" t="inlineStr">
        <is>
          <t>Oxígeno Medicinal 10 m³</t>
        </is>
      </c>
      <c r="E593" s="17" t="inlineStr">
        <is>
          <t>OXIGENO MEDICINAL</t>
        </is>
      </c>
      <c r="F593" s="17" t="inlineStr">
        <is>
          <t>EMPRESA</t>
        </is>
      </c>
      <c r="G593" s="23" t="inlineStr">
        <is>
          <t>10175332796</t>
        </is>
      </c>
      <c r="H593" s="25">
        <f t="array" ref="H593">IF(G593="","",IFERROR(IF(INDEX(Clientes!$D$5:$D$549,MATCH(G593,Clientes!$C$5:$C$549,0))&lt;&gt;"",INDEX(Clientes!$D$5:$D$549,MATCH(G593,Clientes!$C$5:$C$549,0)),TRIM(INDEX(Clientes!$E$5:$E$549,MATCH(G593,Clientes!$C$5:$C$549,0))&amp;" "&amp;INDEX(Clientes!$F$5:$F$549,MATCH(G593,Clientes!$C$5:$C$549,0)))),"NO EXISTE en Clientes"))</f>
        <v/>
      </c>
      <c r="I593" s="17" t="inlineStr">
        <is>
          <t>EN_PODER_CLIENTE</t>
        </is>
      </c>
      <c r="J593" s="17" t="n"/>
      <c r="K593" s="23" t="inlineStr">
        <is>
          <t>90000386</t>
        </is>
      </c>
      <c r="L593" s="25">
        <f t="array" ref="L593">IF(K593="","",IFERROR(IF(INDEX(Clientes!$D$5:$D$549,MATCH(K593,Clientes!$C$5:$C$549,0))&lt;&gt;"",INDEX(Clientes!$D$5:$D$549,MATCH(K593,Clientes!$C$5:$C$549,0)),TRIM(INDEX(Clientes!$E$5:$E$549,MATCH(K593,Clientes!$C$5:$C$549,0))&amp;" "&amp;INDEX(Clientes!$F$5:$F$549,MATCH(K593,Clientes!$C$5:$C$549,0)))),"NO EXISTE en Clientes"))</f>
        <v/>
      </c>
      <c r="M593" s="17" t="n"/>
      <c r="N593" s="17" t="n"/>
      <c r="O593" s="42" t="n"/>
      <c r="P593" s="39">
        <f>IF(O593&lt;&gt;"",DATE(YEAR(O593)+5,MONTH(O593),1),IF(AND(M593&lt;&gt;"",N593&lt;&gt;""),DATE(M593+5,N593,1),""))</f>
        <v/>
      </c>
      <c r="Q593" s="23" t="n"/>
      <c r="R593" s="17" t="n"/>
      <c r="S593" s="17" t="n"/>
      <c r="T593" s="17" t="n"/>
      <c r="U593" s="17" t="n"/>
      <c r="V593" s="23" t="n"/>
      <c r="W593" s="17" t="n"/>
      <c r="X593" s="17" t="n"/>
      <c r="Y593" s="28">
        <f>IF(B593&lt;&gt;"OK","","SELECT bal_crear_balon(p_codigo_balon =&gt; "&amp;IF(TRIM(C593&amp;"")="","NULL","'"&amp;SUBSTITUTE(TRIM(C593),"'","''")&amp;"'")&amp;", p_id_tipo_balon =&gt; "&amp;"(SELECT id FROM bal_tipo_balon WHERE upper(nombre) = upper('"&amp;SUBSTITUTE(TRIM(D593),"'","''")&amp;"') AND estado = 1 LIMIT 1)"&amp;", p_id_producto_gas =&gt; "&amp;"(SELECT id FROM pro_producto WHERE es_gas = TRUE AND upper(nombre) = upper('"&amp;SUBSTITUTE(TRIM(E593),"'","''")&amp;"') AND estado = 1 LIMIT 1)"&amp;", p_id_propietario =&gt; "&amp;IF(TRIM(F593&amp;"")="","NULL","(SELECT lo.id FROM gen_lista_opciones lo JOIN gen_lista l ON l.id = lo.id_lista WHERE l.nombre = 'PropietarioBalon' AND upper(lo.nombre) = upper('"&amp;SUBSTITUTE(TRIM(F593),"'","''")&amp;"') AND lo.estado = 1 LIMIT 1)")&amp;", p_id_cliente_propietario =&gt; "&amp;IF(F593="CLIENTE",IF(TRIM(G593&amp;"")="","NULL","(SELECT id FROM cli_clientes WHERE numero_documento = '"&amp;SUBSTITUTE(TRIM(G593),"'","''")&amp;"' AND estado = 1 LIMIT 1)"),"NULL")&amp;", p_id_planta =&gt; "&amp;IF(F593="PLANTA",IF(TRIM(G593&amp;"")="","NULL","(SELECT id FROM cli_clientes WHERE numero_documento = '"&amp;SUBSTITUTE(TRIM(G593),"'","''")&amp;"'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"&amp;IF(TRIM(J593&amp;"")="","NULL","(SELECT id FROM gen_almacen WHERE upper(nombre) = upper('"&amp;SUBSTITUTE(TRIM(J593),"'","''")&amp;"') AND estado = 1 LIMIT 1)")&amp;", p_id_cliente_ubicacion =&gt; "&amp;IF(TRIM(K593&amp;"")="","NULL","(SELECT id FROM cli_clientes WHERE numero_documento = '"&amp;SUBSTITUTE(TRIM(K593),"'","''")&amp;"' AND estado = 1 LIMIT 1)")&amp;", p_id_referencia =&gt; "&amp;IF(TRIM(J593&amp;"")&lt;&gt;"","(SELECT lo.id FROM gen_lista_opciones lo JOIN gen_lista l ON l.id = lo.id_lista WHERE l.nombre = 'ReferenciaCilindro' AND upper(lo.nombre) = 'ALMACEN' AND lo.estado = 1 LIMIT 1)",IF(TRIM(K593&amp;"")&lt;&gt;"","(SELECT lo.id FROM gen_lista_opciones lo JOIN gen_lista l ON l.id = lo.id_lista WHERE l.nombre = 'ReferenciaCilindro' AND upper(lo.nombre) = 'CLIENTE' AND lo.estado = 1 LIMIT 1)","NULL"))&amp;", p_anio_fabricacion =&gt; "&amp;IF(M593&amp;""="","NULL::smallint",M593&amp;"::smallint")&amp;", p_mes_fabricacion =&gt; "&amp;IF(N593&amp;""="","NULL::smallint",N593&amp;"::smallint")&amp;", p_fecha_ultima_prueba_hidrostatica =&gt; "&amp;IF(O593&amp;""="","NULL","'"&amp;YEAR(O593)&amp;"-"&amp;TEXT(MONTH(O593),"00")&amp;"-"&amp;TEXT(DAY(O593),"00")&amp;"'")&amp;", p_numero_serie =&gt; "&amp;IF(TRIM(Q593&amp;"")="","NULL","'"&amp;SUBSTITUTE(TRIM(Q593),"'","''")&amp;"'")&amp;", p_id_marca_cilindro =&gt; "&amp;IF(TRIM(R593&amp;"")="","NULL","(SELECT lo.id FROM gen_lista_opciones lo JOIN gen_lista l ON l.id = lo.id_lista WHERE l.nombre = 'MarcaCilindro' AND upper(lo.nombre) = upper('"&amp;SUBSTITUTE(TRIM(R593),"'","''")&amp;"') AND lo.estado = 1 LIMIT 1)")&amp;", p_id_organo_inspector =&gt; "&amp;IF(TRIM(S593&amp;"")="","NULL","(SELECT lo.id FROM gen_lista_opciones lo JOIN gen_lista l ON l.id = lo.id_lista WHERE l.nombre = 'OrganoInspectorCilindro' AND upper(lo.nombre) = upper('"&amp;SUBSTITUTE(TRIM(S593),"'","''")&amp;"') AND lo.estado = 1 LIMIT 1)")&amp;", p_organo_inspector_no_aplica =&gt; "&amp;IF(S593="NO_APLICA","TRUE","FALSE")&amp;", p_presion_actual =&gt; "&amp;IF(T593&amp;""="","NULL",SUBSTITUTE(T593&amp;"",",","."))&amp;", p_tipo_valvula =&gt; "&amp;IF(TRIM(U593&amp;"")="","NULL","'"&amp;SUBSTITUTE(TRIM(U593),"'","''")&amp;"'")&amp;", p_libro_cilindro =&gt; "&amp;IF(TRIM(V593&amp;"")="","NULL","'"&amp;SUBSTITUTE(TRIM(V593),"'","''")&amp;"'")&amp;", p_pagina_libro =&gt; "&amp;IF(W593&amp;""="","NULL",SUBSTITUTE(W593&amp;"",",","."))&amp;", p_observacion =&gt; "&amp;IF(TRIM(X593&amp;"")="","NULL","'"&amp;SUBSTITUTE(TRIM(X593),"'","''")&amp;"'")&amp;") AS resultado_balon_"&amp;ROW()&amp;";")</f>
        <v/>
      </c>
    </row>
    <row r="594" ht="15.75" customHeight="1" s="64">
      <c r="A594" s="36" t="inlineStr">
        <is>
          <t>590</t>
        </is>
      </c>
      <c r="B594" s="25">
        <f>IF(AND(C594="",D594="",E594=""),"",IF(C594="","FALTA código balón",IF(D594="","FALTA tipo balón",IF(E594="","FALTA gas",IF(F594="","FALTA propietario",IF(AND(C594&lt;&gt;"",SUMPRODUCT(--($C$5:$C$1200=C594))&gt;1),"CÓDIGO BALÓN DUPLICADO",IF(AND(OR(UPPER(F594)="PLANTA",UPPER(F594)="CLIENTE"),G594=""),"FALTA doc propietario/planta",IF(AND(UPPER(F594)="PLANTA",G594="10175332796"),"PLANTA no puede ser RUC empresa","OK"))))))))</f>
        <v/>
      </c>
      <c r="C594" s="23" t="inlineStr">
        <is>
          <t>K4616154</t>
        </is>
      </c>
      <c r="D594" s="17" t="inlineStr">
        <is>
          <t>Argón Estándar 10 m3</t>
        </is>
      </c>
      <c r="E594" s="17" t="inlineStr">
        <is>
          <t>ARGON</t>
        </is>
      </c>
      <c r="F594" s="17" t="inlineStr">
        <is>
          <t>EMPRESA</t>
        </is>
      </c>
      <c r="G594" s="23" t="inlineStr">
        <is>
          <t>10175332796</t>
        </is>
      </c>
      <c r="H594" s="25">
        <f t="array" ref="H594">IF(G594="","",IFERROR(IF(INDEX(Clientes!$D$5:$D$549,MATCH(G594,Clientes!$C$5:$C$549,0))&lt;&gt;"",INDEX(Clientes!$D$5:$D$549,MATCH(G594,Clientes!$C$5:$C$549,0)),TRIM(INDEX(Clientes!$E$5:$E$549,MATCH(G594,Clientes!$C$5:$C$549,0))&amp;" "&amp;INDEX(Clientes!$F$5:$F$549,MATCH(G594,Clientes!$C$5:$C$549,0)))),"NO EXISTE en Clientes"))</f>
        <v/>
      </c>
      <c r="I594" s="17" t="inlineStr">
        <is>
          <t>EN_PODER_CLIENTE</t>
        </is>
      </c>
      <c r="J594" s="17" t="n"/>
      <c r="K594" s="23" t="inlineStr">
        <is>
          <t>000045</t>
        </is>
      </c>
      <c r="L594" s="25">
        <f t="array" ref="L594">IF(K594="","",IFERROR(IF(INDEX(Clientes!$D$5:$D$549,MATCH(K594,Clientes!$C$5:$C$549,0))&lt;&gt;"",INDEX(Clientes!$D$5:$D$549,MATCH(K594,Clientes!$C$5:$C$549,0)),TRIM(INDEX(Clientes!$E$5:$E$549,MATCH(K594,Clientes!$C$5:$C$549,0))&amp;" "&amp;INDEX(Clientes!$F$5:$F$549,MATCH(K594,Clientes!$C$5:$C$549,0)))),"NO EXISTE en Clientes"))</f>
        <v/>
      </c>
      <c r="M594" s="17" t="n"/>
      <c r="N594" s="17" t="n"/>
      <c r="O594" s="42" t="n"/>
      <c r="P594" s="39">
        <f>IF(O594&lt;&gt;"",DATE(YEAR(O594)+5,MONTH(O594),1),IF(AND(M594&lt;&gt;"",N594&lt;&gt;""),DATE(M594+5,N594,1),""))</f>
        <v/>
      </c>
      <c r="Q594" s="23" t="n"/>
      <c r="R594" s="17" t="n"/>
      <c r="S594" s="17" t="n"/>
      <c r="T594" s="17" t="n"/>
      <c r="U594" s="17" t="n"/>
      <c r="V594" s="23" t="n"/>
      <c r="W594" s="17" t="n"/>
      <c r="X594" s="17" t="n"/>
      <c r="Y594" s="28">
        <f>IF(B594&lt;&gt;"OK","","SELECT bal_crear_balon(p_codigo_balon =&gt; "&amp;IF(TRIM(C594&amp;"")="","NULL","'"&amp;SUBSTITUTE(TRIM(C594),"'","''")&amp;"'")&amp;", p_id_tipo_balon =&gt; "&amp;"(SELECT id FROM bal_tipo_balon WHERE upper(nombre) = upper('"&amp;SUBSTITUTE(TRIM(D594),"'","''")&amp;"') AND estado = 1 LIMIT 1)"&amp;", p_id_producto_gas =&gt; "&amp;"(SELECT id FROM pro_producto WHERE es_gas = TRUE AND upper(nombre) = upper('"&amp;SUBSTITUTE(TRIM(E594),"'","''")&amp;"') AND estado = 1 LIMIT 1)"&amp;", p_id_propietario =&gt; "&amp;IF(TRIM(F594&amp;"")="","NULL","(SELECT lo.id FROM gen_lista_opciones lo JOIN gen_lista l ON l.id = lo.id_lista WHERE l.nombre = 'PropietarioBalon' AND upper(lo.nombre) = upper('"&amp;SUBSTITUTE(TRIM(F594),"'","''")&amp;"') AND lo.estado = 1 LIMIT 1)")&amp;", p_id_cliente_propietario =&gt; "&amp;IF(F594="CLIENTE",IF(TRIM(G594&amp;"")="","NULL","(SELECT id FROM cli_clientes WHERE numero_documento = '"&amp;SUBSTITUTE(TRIM(G594),"'","''")&amp;"' AND estado = 1 LIMIT 1)"),"NULL")&amp;", p_id_planta =&gt; "&amp;IF(F594="PLANTA",IF(TRIM(G594&amp;"")="","NULL","(SELECT id FROM cli_clientes WHERE numero_documento = '"&amp;SUBSTITUTE(TRIM(G594),"'","''")&amp;"'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"&amp;IF(TRIM(J594&amp;"")="","NULL","(SELECT id FROM gen_almacen WHERE upper(nombre) = upper('"&amp;SUBSTITUTE(TRIM(J594),"'","''")&amp;"') AND estado = 1 LIMIT 1)")&amp;", p_id_cliente_ubicacion =&gt; "&amp;IF(TRIM(K594&amp;"")="","NULL","(SELECT id FROM cli_clientes WHERE numero_documento = '"&amp;SUBSTITUTE(TRIM(K594),"'","''")&amp;"' AND estado = 1 LIMIT 1)")&amp;", p_id_referencia =&gt; "&amp;IF(TRIM(J594&amp;"")&lt;&gt;"","(SELECT lo.id FROM gen_lista_opciones lo JOIN gen_lista l ON l.id = lo.id_lista WHERE l.nombre = 'ReferenciaCilindro' AND upper(lo.nombre) = 'ALMACEN' AND lo.estado = 1 LIMIT 1)",IF(TRIM(K594&amp;"")&lt;&gt;"","(SELECT lo.id FROM gen_lista_opciones lo JOIN gen_lista l ON l.id = lo.id_lista WHERE l.nombre = 'ReferenciaCilindro' AND upper(lo.nombre) = 'CLIENTE' AND lo.estado = 1 LIMIT 1)","NULL"))&amp;", p_anio_fabricacion =&gt; "&amp;IF(M594&amp;""="","NULL::smallint",M594&amp;"::smallint")&amp;", p_mes_fabricacion =&gt; "&amp;IF(N594&amp;""="","NULL::smallint",N594&amp;"::smallint")&amp;", p_fecha_ultima_prueba_hidrostatica =&gt; "&amp;IF(O594&amp;""="","NULL","'"&amp;YEAR(O594)&amp;"-"&amp;TEXT(MONTH(O594),"00")&amp;"-"&amp;TEXT(DAY(O594),"00")&amp;"'")&amp;", p_numero_serie =&gt; "&amp;IF(TRIM(Q594&amp;"")="","NULL","'"&amp;SUBSTITUTE(TRIM(Q594),"'","''")&amp;"'")&amp;", p_id_marca_cilindro =&gt; "&amp;IF(TRIM(R594&amp;"")="","NULL","(SELECT lo.id FROM gen_lista_opciones lo JOIN gen_lista l ON l.id = lo.id_lista WHERE l.nombre = 'MarcaCilindro' AND upper(lo.nombre) = upper('"&amp;SUBSTITUTE(TRIM(R594),"'","''")&amp;"') AND lo.estado = 1 LIMIT 1)")&amp;", p_id_organo_inspector =&gt; "&amp;IF(TRIM(S594&amp;"")="","NULL","(SELECT lo.id FROM gen_lista_opciones lo JOIN gen_lista l ON l.id = lo.id_lista WHERE l.nombre = 'OrganoInspectorCilindro' AND upper(lo.nombre) = upper('"&amp;SUBSTITUTE(TRIM(S594),"'","''")&amp;"') AND lo.estado = 1 LIMIT 1)")&amp;", p_organo_inspector_no_aplica =&gt; "&amp;IF(S594="NO_APLICA","TRUE","FALSE")&amp;", p_presion_actual =&gt; "&amp;IF(T594&amp;""="","NULL",SUBSTITUTE(T594&amp;"",",","."))&amp;", p_tipo_valvula =&gt; "&amp;IF(TRIM(U594&amp;"")="","NULL","'"&amp;SUBSTITUTE(TRIM(U594),"'","''")&amp;"'")&amp;", p_libro_cilindro =&gt; "&amp;IF(TRIM(V594&amp;"")="","NULL","'"&amp;SUBSTITUTE(TRIM(V594),"'","''")&amp;"'")&amp;", p_pagina_libro =&gt; "&amp;IF(W594&amp;""="","NULL",SUBSTITUTE(W594&amp;"",",","."))&amp;", p_observacion =&gt; "&amp;IF(TRIM(X594&amp;"")="","NULL","'"&amp;SUBSTITUTE(TRIM(X594),"'","''")&amp;"'")&amp;") AS resultado_balon_"&amp;ROW()&amp;";")</f>
        <v/>
      </c>
    </row>
    <row r="595" ht="15.75" customHeight="1" s="64">
      <c r="A595" s="36" t="inlineStr">
        <is>
          <t>591</t>
        </is>
      </c>
      <c r="B595" s="25">
        <f>IF(AND(C595="",D595="",E595=""),"",IF(C595="","FALTA código balón",IF(D595="","FALTA tipo balón",IF(E595="","FALTA gas",IF(F595="","FALTA propietario",IF(AND(C595&lt;&gt;"",SUMPRODUCT(--($C$5:$C$1200=C595))&gt;1),"CÓDIGO BALÓN DUPLICADO",IF(AND(OR(UPPER(F595)="PLANTA",UPPER(F595)="CLIENTE"),G595=""),"FALTA doc propietario/planta",IF(AND(UPPER(F595)="PLANTA",G595="10175332796"),"PLANTA no puede ser RUC empresa","OK"))))))))</f>
        <v/>
      </c>
      <c r="C595" s="23" t="inlineStr">
        <is>
          <t>J25642136</t>
        </is>
      </c>
      <c r="D595" s="17" t="inlineStr">
        <is>
          <t>Oxígeno Medicinal 10 m³</t>
        </is>
      </c>
      <c r="E595" s="17" t="inlineStr">
        <is>
          <t>OXIGENO MEDICINAL</t>
        </is>
      </c>
      <c r="F595" s="17" t="inlineStr">
        <is>
          <t>EMPRESA</t>
        </is>
      </c>
      <c r="G595" s="23" t="inlineStr">
        <is>
          <t>10175332796</t>
        </is>
      </c>
      <c r="H595" s="25">
        <f t="array" ref="H595">IF(G595="","",IFERROR(IF(INDEX(Clientes!$D$5:$D$549,MATCH(G595,Clientes!$C$5:$C$549,0))&lt;&gt;"",INDEX(Clientes!$D$5:$D$549,MATCH(G595,Clientes!$C$5:$C$549,0)),TRIM(INDEX(Clientes!$E$5:$E$549,MATCH(G595,Clientes!$C$5:$C$549,0))&amp;" "&amp;INDEX(Clientes!$F$5:$F$549,MATCH(G595,Clientes!$C$5:$C$549,0)))),"NO EXISTE en Clientes"))</f>
        <v/>
      </c>
      <c r="I595" s="17" t="inlineStr">
        <is>
          <t>EN_PODER_CLIENTE</t>
        </is>
      </c>
      <c r="J595" s="17" t="n"/>
      <c r="K595" s="23" t="inlineStr">
        <is>
          <t>90000386</t>
        </is>
      </c>
      <c r="L595" s="25">
        <f t="array" ref="L595">IF(K595="","",IFERROR(IF(INDEX(Clientes!$D$5:$D$549,MATCH(K595,Clientes!$C$5:$C$549,0))&lt;&gt;"",INDEX(Clientes!$D$5:$D$549,MATCH(K595,Clientes!$C$5:$C$549,0)),TRIM(INDEX(Clientes!$E$5:$E$549,MATCH(K595,Clientes!$C$5:$C$549,0))&amp;" "&amp;INDEX(Clientes!$F$5:$F$549,MATCH(K595,Clientes!$C$5:$C$549,0)))),"NO EXISTE en Clientes"))</f>
        <v/>
      </c>
      <c r="M595" s="17" t="n"/>
      <c r="N595" s="17" t="n"/>
      <c r="O595" s="42" t="n"/>
      <c r="P595" s="39">
        <f>IF(O595&lt;&gt;"",DATE(YEAR(O595)+5,MONTH(O595),1),IF(AND(M595&lt;&gt;"",N595&lt;&gt;""),DATE(M595+5,N595,1),""))</f>
        <v/>
      </c>
      <c r="Q595" s="23" t="n"/>
      <c r="R595" s="17" t="n"/>
      <c r="S595" s="17" t="n"/>
      <c r="T595" s="17" t="n"/>
      <c r="U595" s="17" t="n"/>
      <c r="V595" s="23" t="n"/>
      <c r="W595" s="17" t="n"/>
      <c r="X595" s="17" t="n"/>
      <c r="Y595" s="28">
        <f>IF(B595&lt;&gt;"OK","","SELECT bal_crear_balon(p_codigo_balon =&gt; "&amp;IF(TRIM(C595&amp;"")="","NULL","'"&amp;SUBSTITUTE(TRIM(C595),"'","''")&amp;"'")&amp;", p_id_tipo_balon =&gt; "&amp;"(SELECT id FROM bal_tipo_balon WHERE upper(nombre) = upper('"&amp;SUBSTITUTE(TRIM(D595),"'","''")&amp;"') AND estado = 1 LIMIT 1)"&amp;", p_id_producto_gas =&gt; "&amp;"(SELECT id FROM pro_producto WHERE es_gas = TRUE AND upper(nombre) = upper('"&amp;SUBSTITUTE(TRIM(E595),"'","''")&amp;"') AND estado = 1 LIMIT 1)"&amp;", p_id_propietario =&gt; "&amp;IF(TRIM(F595&amp;"")="","NULL","(SELECT lo.id FROM gen_lista_opciones lo JOIN gen_lista l ON l.id = lo.id_lista WHERE l.nombre = 'PropietarioBalon' AND upper(lo.nombre) = upper('"&amp;SUBSTITUTE(TRIM(F595),"'","''")&amp;"') AND lo.estado = 1 LIMIT 1)")&amp;", p_id_cliente_propietario =&gt; "&amp;IF(F595="CLIENTE",IF(TRIM(G595&amp;"")="","NULL","(SELECT id FROM cli_clientes WHERE numero_documento = '"&amp;SUBSTITUTE(TRIM(G595),"'","''")&amp;"' AND estado = 1 LIMIT 1)"),"NULL")&amp;", p_id_planta =&gt; "&amp;IF(F595="PLANTA",IF(TRIM(G595&amp;"")="","NULL","(SELECT id FROM cli_clientes WHERE numero_documento = '"&amp;SUBSTITUTE(TRIM(G595),"'","''")&amp;"'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"&amp;IF(TRIM(J595&amp;"")="","NULL","(SELECT id FROM gen_almacen WHERE upper(nombre) = upper('"&amp;SUBSTITUTE(TRIM(J595),"'","''")&amp;"') AND estado = 1 LIMIT 1)")&amp;", p_id_cliente_ubicacion =&gt; "&amp;IF(TRIM(K595&amp;"")="","NULL","(SELECT id FROM cli_clientes WHERE numero_documento = '"&amp;SUBSTITUTE(TRIM(K595),"'","''")&amp;"' AND estado = 1 LIMIT 1)")&amp;", p_id_referencia =&gt; "&amp;IF(TRIM(J595&amp;"")&lt;&gt;"","(SELECT lo.id FROM gen_lista_opciones lo JOIN gen_lista l ON l.id = lo.id_lista WHERE l.nombre = 'ReferenciaCilindro' AND upper(lo.nombre) = 'ALMACEN' AND lo.estado = 1 LIMIT 1)",IF(TRIM(K595&amp;"")&lt;&gt;"","(SELECT lo.id FROM gen_lista_opciones lo JOIN gen_lista l ON l.id = lo.id_lista WHERE l.nombre = 'ReferenciaCilindro' AND upper(lo.nombre) = 'CLIENTE' AND lo.estado = 1 LIMIT 1)","NULL"))&amp;", p_anio_fabricacion =&gt; "&amp;IF(M595&amp;""="","NULL::smallint",M595&amp;"::smallint")&amp;", p_mes_fabricacion =&gt; "&amp;IF(N595&amp;""="","NULL::smallint",N595&amp;"::smallint")&amp;", p_fecha_ultima_prueba_hidrostatica =&gt; "&amp;IF(O595&amp;""="","NULL","'"&amp;YEAR(O595)&amp;"-"&amp;TEXT(MONTH(O595),"00")&amp;"-"&amp;TEXT(DAY(O595),"00")&amp;"'")&amp;", p_numero_serie =&gt; "&amp;IF(TRIM(Q595&amp;"")="","NULL","'"&amp;SUBSTITUTE(TRIM(Q595),"'","''")&amp;"'")&amp;", p_id_marca_cilindro =&gt; "&amp;IF(TRIM(R595&amp;"")="","NULL","(SELECT lo.id FROM gen_lista_opciones lo JOIN gen_lista l ON l.id = lo.id_lista WHERE l.nombre = 'MarcaCilindro' AND upper(lo.nombre) = upper('"&amp;SUBSTITUTE(TRIM(R595),"'","''")&amp;"') AND lo.estado = 1 LIMIT 1)")&amp;", p_id_organo_inspector =&gt; "&amp;IF(TRIM(S595&amp;"")="","NULL","(SELECT lo.id FROM gen_lista_opciones lo JOIN gen_lista l ON l.id = lo.id_lista WHERE l.nombre = 'OrganoInspectorCilindro' AND upper(lo.nombre) = upper('"&amp;SUBSTITUTE(TRIM(S595),"'","''")&amp;"') AND lo.estado = 1 LIMIT 1)")&amp;", p_organo_inspector_no_aplica =&gt; "&amp;IF(S595="NO_APLICA","TRUE","FALSE")&amp;", p_presion_actual =&gt; "&amp;IF(T595&amp;""="","NULL",SUBSTITUTE(T595&amp;"",",","."))&amp;", p_tipo_valvula =&gt; "&amp;IF(TRIM(U595&amp;"")="","NULL","'"&amp;SUBSTITUTE(TRIM(U595),"'","''")&amp;"'")&amp;", p_libro_cilindro =&gt; "&amp;IF(TRIM(V595&amp;"")="","NULL","'"&amp;SUBSTITUTE(TRIM(V595),"'","''")&amp;"'")&amp;", p_pagina_libro =&gt; "&amp;IF(W595&amp;""="","NULL",SUBSTITUTE(W595&amp;"",",","."))&amp;", p_observacion =&gt; "&amp;IF(TRIM(X595&amp;"")="","NULL","'"&amp;SUBSTITUTE(TRIM(X595),"'","''")&amp;"'")&amp;") AS resultado_balon_"&amp;ROW()&amp;";")</f>
        <v/>
      </c>
    </row>
    <row r="596" ht="15.75" customHeight="1" s="64">
      <c r="A596" s="36" t="inlineStr">
        <is>
          <t>592</t>
        </is>
      </c>
      <c r="B596" s="25">
        <f>IF(AND(C596="",D596="",E596=""),"",IF(C596="","FALTA código balón",IF(D596="","FALTA tipo balón",IF(E596="","FALTA gas",IF(F596="","FALTA propietario",IF(AND(C596&lt;&gt;"",SUMPRODUCT(--($C$5:$C$1200=C596))&gt;1),"CÓDIGO BALÓN DUPLICADO",IF(AND(OR(UPPER(F596)="PLANTA",UPPER(F596)="CLIENTE"),G596=""),"FALTA doc propietario/planta",IF(AND(UPPER(F596)="PLANTA",G596="10175332796"),"PLANTA no puede ser RUC empresa","OK"))))))))</f>
        <v/>
      </c>
      <c r="C596" s="23" t="inlineStr">
        <is>
          <t>303194</t>
        </is>
      </c>
      <c r="D596" s="17" t="inlineStr">
        <is>
          <t>Oxígeno Industrial 6 m³</t>
        </is>
      </c>
      <c r="E596" s="17" t="inlineStr">
        <is>
          <t>OXIGENO INDUSTRIAL</t>
        </is>
      </c>
      <c r="F596" s="17" t="inlineStr">
        <is>
          <t>EMPRESA</t>
        </is>
      </c>
      <c r="G596" s="23" t="inlineStr">
        <is>
          <t>10175332796</t>
        </is>
      </c>
      <c r="H596" s="25">
        <f t="array" ref="H596">IF(G596="","",IFERROR(IF(INDEX(Clientes!$D$5:$D$549,MATCH(G596,Clientes!$C$5:$C$549,0))&lt;&gt;"",INDEX(Clientes!$D$5:$D$549,MATCH(G596,Clientes!$C$5:$C$549,0)),TRIM(INDEX(Clientes!$E$5:$E$549,MATCH(G596,Clientes!$C$5:$C$549,0))&amp;" "&amp;INDEX(Clientes!$F$5:$F$549,MATCH(G596,Clientes!$C$5:$C$549,0)))),"NO EXISTE en Clientes"))</f>
        <v/>
      </c>
      <c r="I596" s="17" t="inlineStr">
        <is>
          <t>EN_PODER_CLIENTE</t>
        </is>
      </c>
      <c r="J596" s="17" t="n"/>
      <c r="K596" s="23" t="inlineStr">
        <is>
          <t>000046</t>
        </is>
      </c>
      <c r="L596" s="25">
        <f t="array" ref="L596">IF(K596="","",IFERROR(IF(INDEX(Clientes!$D$5:$D$549,MATCH(K596,Clientes!$C$5:$C$549,0))&lt;&gt;"",INDEX(Clientes!$D$5:$D$549,MATCH(K596,Clientes!$C$5:$C$549,0)),TRIM(INDEX(Clientes!$E$5:$E$549,MATCH(K596,Clientes!$C$5:$C$549,0))&amp;" "&amp;INDEX(Clientes!$F$5:$F$549,MATCH(K596,Clientes!$C$5:$C$549,0)))),"NO EXISTE en Clientes"))</f>
        <v/>
      </c>
      <c r="M596" s="17" t="n"/>
      <c r="N596" s="17" t="n"/>
      <c r="O596" s="42" t="n"/>
      <c r="P596" s="39">
        <f>IF(O596&lt;&gt;"",DATE(YEAR(O596)+5,MONTH(O596),1),IF(AND(M596&lt;&gt;"",N596&lt;&gt;""),DATE(M596+5,N596,1),""))</f>
        <v/>
      </c>
      <c r="Q596" s="23" t="n"/>
      <c r="R596" s="17" t="n"/>
      <c r="S596" s="17" t="n"/>
      <c r="T596" s="17" t="n"/>
      <c r="U596" s="17" t="n"/>
      <c r="V596" s="23" t="n"/>
      <c r="W596" s="17" t="n"/>
      <c r="X596" s="17" t="n"/>
      <c r="Y596" s="28">
        <f>IF(B596&lt;&gt;"OK","","SELECT bal_crear_balon(p_codigo_balon =&gt; "&amp;IF(TRIM(C596&amp;"")="","NULL","'"&amp;SUBSTITUTE(TRIM(C596),"'","''")&amp;"'")&amp;", p_id_tipo_balon =&gt; "&amp;"(SELECT id FROM bal_tipo_balon WHERE upper(nombre) = upper('"&amp;SUBSTITUTE(TRIM(D596),"'","''")&amp;"') AND estado = 1 LIMIT 1)"&amp;", p_id_producto_gas =&gt; "&amp;"(SELECT id FROM pro_producto WHERE es_gas = TRUE AND upper(nombre) = upper('"&amp;SUBSTITUTE(TRIM(E596),"'","''")&amp;"') AND estado = 1 LIMIT 1)"&amp;", p_id_propietario =&gt; "&amp;IF(TRIM(F596&amp;"")="","NULL","(SELECT lo.id FROM gen_lista_opciones lo JOIN gen_lista l ON l.id = lo.id_lista WHERE l.nombre = 'PropietarioBalon' AND upper(lo.nombre) = upper('"&amp;SUBSTITUTE(TRIM(F596),"'","''")&amp;"') AND lo.estado = 1 LIMIT 1)")&amp;", p_id_cliente_propietario =&gt; "&amp;IF(F596="CLIENTE",IF(TRIM(G596&amp;"")="","NULL","(SELECT id FROM cli_clientes WHERE numero_documento = '"&amp;SUBSTITUTE(TRIM(G596),"'","''")&amp;"' AND estado = 1 LIMIT 1)"),"NULL")&amp;", p_id_planta =&gt; "&amp;IF(F596="PLANTA",IF(TRIM(G596&amp;"")="","NULL","(SELECT id FROM cli_clientes WHERE numero_documento = '"&amp;SUBSTITUTE(TRIM(G596),"'","''")&amp;"'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"&amp;IF(TRIM(J596&amp;"")="","NULL","(SELECT id FROM gen_almacen WHERE upper(nombre) = upper('"&amp;SUBSTITUTE(TRIM(J596),"'","''")&amp;"') AND estado = 1 LIMIT 1)")&amp;", p_id_cliente_ubicacion =&gt; "&amp;IF(TRIM(K596&amp;"")="","NULL","(SELECT id FROM cli_clientes WHERE numero_documento = '"&amp;SUBSTITUTE(TRIM(K596),"'","''")&amp;"' AND estado = 1 LIMIT 1)")&amp;", p_id_referencia =&gt; "&amp;IF(TRIM(J596&amp;"")&lt;&gt;"","(SELECT lo.id FROM gen_lista_opciones lo JOIN gen_lista l ON l.id = lo.id_lista WHERE l.nombre = 'ReferenciaCilindro' AND upper(lo.nombre) = 'ALMACEN' AND lo.estado = 1 LIMIT 1)",IF(TRIM(K596&amp;"")&lt;&gt;"","(SELECT lo.id FROM gen_lista_opciones lo JOIN gen_lista l ON l.id = lo.id_lista WHERE l.nombre = 'ReferenciaCilindro' AND upper(lo.nombre) = 'CLIENTE' AND lo.estado = 1 LIMIT 1)","NULL"))&amp;", p_anio_fabricacion =&gt; "&amp;IF(M596&amp;""="","NULL::smallint",M596&amp;"::smallint")&amp;", p_mes_fabricacion =&gt; "&amp;IF(N596&amp;""="","NULL::smallint",N596&amp;"::smallint")&amp;", p_fecha_ultima_prueba_hidrostatica =&gt; "&amp;IF(O596&amp;""="","NULL","'"&amp;YEAR(O596)&amp;"-"&amp;TEXT(MONTH(O596),"00")&amp;"-"&amp;TEXT(DAY(O596),"00")&amp;"'")&amp;", p_numero_serie =&gt; "&amp;IF(TRIM(Q596&amp;"")="","NULL","'"&amp;SUBSTITUTE(TRIM(Q596),"'","''")&amp;"'")&amp;", p_id_marca_cilindro =&gt; "&amp;IF(TRIM(R596&amp;"")="","NULL","(SELECT lo.id FROM gen_lista_opciones lo JOIN gen_lista l ON l.id = lo.id_lista WHERE l.nombre = 'MarcaCilindro' AND upper(lo.nombre) = upper('"&amp;SUBSTITUTE(TRIM(R596),"'","''")&amp;"') AND lo.estado = 1 LIMIT 1)")&amp;", p_id_organo_inspector =&gt; "&amp;IF(TRIM(S596&amp;"")="","NULL","(SELECT lo.id FROM gen_lista_opciones lo JOIN gen_lista l ON l.id = lo.id_lista WHERE l.nombre = 'OrganoInspectorCilindro' AND upper(lo.nombre) = upper('"&amp;SUBSTITUTE(TRIM(S596),"'","''")&amp;"') AND lo.estado = 1 LIMIT 1)")&amp;", p_organo_inspector_no_aplica =&gt; "&amp;IF(S596="NO_APLICA","TRUE","FALSE")&amp;", p_presion_actual =&gt; "&amp;IF(T596&amp;""="","NULL",SUBSTITUTE(T596&amp;"",",","."))&amp;", p_tipo_valvula =&gt; "&amp;IF(TRIM(U596&amp;"")="","NULL","'"&amp;SUBSTITUTE(TRIM(U596),"'","''")&amp;"'")&amp;", p_libro_cilindro =&gt; "&amp;IF(TRIM(V596&amp;"")="","NULL","'"&amp;SUBSTITUTE(TRIM(V596),"'","''")&amp;"'")&amp;", p_pagina_libro =&gt; "&amp;IF(W596&amp;""="","NULL",SUBSTITUTE(W596&amp;"",",","."))&amp;", p_observacion =&gt; "&amp;IF(TRIM(X596&amp;"")="","NULL","'"&amp;SUBSTITUTE(TRIM(X596),"'","''")&amp;"'")&amp;") AS resultado_balon_"&amp;ROW()&amp;";")</f>
        <v/>
      </c>
    </row>
    <row r="597" ht="15.75" customHeight="1" s="64">
      <c r="A597" s="36" t="inlineStr">
        <is>
          <t>593</t>
        </is>
      </c>
      <c r="B597" s="25">
        <f>IF(AND(C597="",D597="",E597=""),"",IF(C597="","FALTA código balón",IF(D597="","FALTA tipo balón",IF(E597="","FALTA gas",IF(F597="","FALTA propietario",IF(AND(C597&lt;&gt;"",SUMPRODUCT(--($C$5:$C$1200=C597))&gt;1),"CÓDIGO BALÓN DUPLICADO",IF(AND(OR(UPPER(F597)="PLANTA",UPPER(F597)="CLIENTE"),G597=""),"FALTA doc propietario/planta",IF(AND(UPPER(F597)="PLANTA",G597="10175332796"),"PLANTA no puede ser RUC empresa","OK"))))))))</f>
        <v/>
      </c>
      <c r="C597" s="23" t="inlineStr">
        <is>
          <t>20X161130</t>
        </is>
      </c>
      <c r="D597" s="17" t="inlineStr">
        <is>
          <t>Oxígeno Medicinal 10 m³</t>
        </is>
      </c>
      <c r="E597" s="17" t="inlineStr">
        <is>
          <t>OXIGENO MEDICINAL</t>
        </is>
      </c>
      <c r="F597" s="17" t="inlineStr">
        <is>
          <t>EMPRESA</t>
        </is>
      </c>
      <c r="G597" s="23" t="inlineStr">
        <is>
          <t>10175332796</t>
        </is>
      </c>
      <c r="H597" s="25">
        <f t="array" ref="H597">IF(G597="","",IFERROR(IF(INDEX(Clientes!$D$5:$D$549,MATCH(G597,Clientes!$C$5:$C$549,0))&lt;&gt;"",INDEX(Clientes!$D$5:$D$549,MATCH(G597,Clientes!$C$5:$C$549,0)),TRIM(INDEX(Clientes!$E$5:$E$549,MATCH(G597,Clientes!$C$5:$C$549,0))&amp;" "&amp;INDEX(Clientes!$F$5:$F$549,MATCH(G597,Clientes!$C$5:$C$549,0)))),"NO EXISTE en Clientes"))</f>
        <v/>
      </c>
      <c r="I597" s="17" t="inlineStr">
        <is>
          <t>EN_PODER_CLIENTE</t>
        </is>
      </c>
      <c r="J597" s="17" t="n"/>
      <c r="K597" s="23" t="inlineStr">
        <is>
          <t>000047</t>
        </is>
      </c>
      <c r="L597" s="25">
        <f t="array" ref="L597">IF(K597="","",IFERROR(IF(INDEX(Clientes!$D$5:$D$549,MATCH(K597,Clientes!$C$5:$C$549,0))&lt;&gt;"",INDEX(Clientes!$D$5:$D$549,MATCH(K597,Clientes!$C$5:$C$549,0)),TRIM(INDEX(Clientes!$E$5:$E$549,MATCH(K597,Clientes!$C$5:$C$549,0))&amp;" "&amp;INDEX(Clientes!$F$5:$F$549,MATCH(K597,Clientes!$C$5:$C$549,0)))),"NO EXISTE en Clientes"))</f>
        <v/>
      </c>
      <c r="M597" s="17" t="n"/>
      <c r="N597" s="17" t="n"/>
      <c r="O597" s="42" t="n"/>
      <c r="P597" s="39">
        <f>IF(O597&lt;&gt;"",DATE(YEAR(O597)+5,MONTH(O597),1),IF(AND(M597&lt;&gt;"",N597&lt;&gt;""),DATE(M597+5,N597,1),""))</f>
        <v/>
      </c>
      <c r="Q597" s="23" t="n"/>
      <c r="R597" s="17" t="n"/>
      <c r="S597" s="17" t="n"/>
      <c r="T597" s="17" t="n"/>
      <c r="U597" s="17" t="n"/>
      <c r="V597" s="23" t="n"/>
      <c r="W597" s="17" t="n"/>
      <c r="X597" s="17" t="n"/>
      <c r="Y597" s="28">
        <f>IF(B597&lt;&gt;"OK","","SELECT bal_crear_balon(p_codigo_balon =&gt; "&amp;IF(TRIM(C597&amp;"")="","NULL","'"&amp;SUBSTITUTE(TRIM(C597),"'","''")&amp;"'")&amp;", p_id_tipo_balon =&gt; "&amp;"(SELECT id FROM bal_tipo_balon WHERE upper(nombre) = upper('"&amp;SUBSTITUTE(TRIM(D597),"'","''")&amp;"') AND estado = 1 LIMIT 1)"&amp;", p_id_producto_gas =&gt; "&amp;"(SELECT id FROM pro_producto WHERE es_gas = TRUE AND upper(nombre) = upper('"&amp;SUBSTITUTE(TRIM(E597),"'","''")&amp;"') AND estado = 1 LIMIT 1)"&amp;", p_id_propietario =&gt; "&amp;IF(TRIM(F597&amp;"")="","NULL","(SELECT lo.id FROM gen_lista_opciones lo JOIN gen_lista l ON l.id = lo.id_lista WHERE l.nombre = 'PropietarioBalon' AND upper(lo.nombre) = upper('"&amp;SUBSTITUTE(TRIM(F597),"'","''")&amp;"') AND lo.estado = 1 LIMIT 1)")&amp;", p_id_cliente_propietario =&gt; "&amp;IF(F597="CLIENTE",IF(TRIM(G597&amp;"")="","NULL","(SELECT id FROM cli_clientes WHERE numero_documento = '"&amp;SUBSTITUTE(TRIM(G597),"'","''")&amp;"' AND estado = 1 LIMIT 1)"),"NULL")&amp;", p_id_planta =&gt; "&amp;IF(F597="PLANTA",IF(TRIM(G597&amp;"")="","NULL","(SELECT id FROM cli_clientes WHERE numero_documento = '"&amp;SUBSTITUTE(TRIM(G597),"'","''")&amp;"'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"&amp;IF(TRIM(J597&amp;"")="","NULL","(SELECT id FROM gen_almacen WHERE upper(nombre) = upper('"&amp;SUBSTITUTE(TRIM(J597),"'","''")&amp;"') AND estado = 1 LIMIT 1)")&amp;", p_id_cliente_ubicacion =&gt; "&amp;IF(TRIM(K597&amp;"")="","NULL","(SELECT id FROM cli_clientes WHERE numero_documento = '"&amp;SUBSTITUTE(TRIM(K597),"'","''")&amp;"' AND estado = 1 LIMIT 1)")&amp;", p_id_referencia =&gt; "&amp;IF(TRIM(J597&amp;"")&lt;&gt;"","(SELECT lo.id FROM gen_lista_opciones lo JOIN gen_lista l ON l.id = lo.id_lista WHERE l.nombre = 'ReferenciaCilindro' AND upper(lo.nombre) = 'ALMACEN' AND lo.estado = 1 LIMIT 1)",IF(TRIM(K597&amp;"")&lt;&gt;"","(SELECT lo.id FROM gen_lista_opciones lo JOIN gen_lista l ON l.id = lo.id_lista WHERE l.nombre = 'ReferenciaCilindro' AND upper(lo.nombre) = 'CLIENTE' AND lo.estado = 1 LIMIT 1)","NULL"))&amp;", p_anio_fabricacion =&gt; "&amp;IF(M597&amp;""="","NULL::smallint",M597&amp;"::smallint")&amp;", p_mes_fabricacion =&gt; "&amp;IF(N597&amp;""="","NULL::smallint",N597&amp;"::smallint")&amp;", p_fecha_ultima_prueba_hidrostatica =&gt; "&amp;IF(O597&amp;""="","NULL","'"&amp;YEAR(O597)&amp;"-"&amp;TEXT(MONTH(O597),"00")&amp;"-"&amp;TEXT(DAY(O597),"00")&amp;"'")&amp;", p_numero_serie =&gt; "&amp;IF(TRIM(Q597&amp;"")="","NULL","'"&amp;SUBSTITUTE(TRIM(Q597),"'","''")&amp;"'")&amp;", p_id_marca_cilindro =&gt; "&amp;IF(TRIM(R597&amp;"")="","NULL","(SELECT lo.id FROM gen_lista_opciones lo JOIN gen_lista l ON l.id = lo.id_lista WHERE l.nombre = 'MarcaCilindro' AND upper(lo.nombre) = upper('"&amp;SUBSTITUTE(TRIM(R597),"'","''")&amp;"') AND lo.estado = 1 LIMIT 1)")&amp;", p_id_organo_inspector =&gt; "&amp;IF(TRIM(S597&amp;"")="","NULL","(SELECT lo.id FROM gen_lista_opciones lo JOIN gen_lista l ON l.id = lo.id_lista WHERE l.nombre = 'OrganoInspectorCilindro' AND upper(lo.nombre) = upper('"&amp;SUBSTITUTE(TRIM(S597),"'","''")&amp;"') AND lo.estado = 1 LIMIT 1)")&amp;", p_organo_inspector_no_aplica =&gt; "&amp;IF(S597="NO_APLICA","TRUE","FALSE")&amp;", p_presion_actual =&gt; "&amp;IF(T597&amp;""="","NULL",SUBSTITUTE(T597&amp;"",",","."))&amp;", p_tipo_valvula =&gt; "&amp;IF(TRIM(U597&amp;"")="","NULL","'"&amp;SUBSTITUTE(TRIM(U597),"'","''")&amp;"'")&amp;", p_libro_cilindro =&gt; "&amp;IF(TRIM(V597&amp;"")="","NULL","'"&amp;SUBSTITUTE(TRIM(V597),"'","''")&amp;"'")&amp;", p_pagina_libro =&gt; "&amp;IF(W597&amp;""="","NULL",SUBSTITUTE(W597&amp;"",",","."))&amp;", p_observacion =&gt; "&amp;IF(TRIM(X597&amp;"")="","NULL","'"&amp;SUBSTITUTE(TRIM(X597),"'","''")&amp;"'")&amp;") AS resultado_balon_"&amp;ROW()&amp;";")</f>
        <v/>
      </c>
    </row>
    <row r="598" ht="15.75" customHeight="1" s="64">
      <c r="A598" s="36" t="inlineStr">
        <is>
          <t>594</t>
        </is>
      </c>
      <c r="B598" s="25">
        <f>IF(AND(C598="",D598="",E598=""),"",IF(C598="","FALTA código balón",IF(D598="","FALTA tipo balón",IF(E598="","FALTA gas",IF(F598="","FALTA propietario",IF(AND(C598&lt;&gt;"",SUMPRODUCT(--($C$5:$C$1200=C598))&gt;1),"CÓDIGO BALÓN DUPLICADO",IF(AND(OR(UPPER(F598)="PLANTA",UPPER(F598)="CLIENTE"),G598=""),"FALTA doc propietario/planta",IF(AND(UPPER(F598)="PLANTA",G598="10175332796"),"PLANTA no puede ser RUC empresa","OK"))))))))</f>
        <v/>
      </c>
      <c r="C598" s="23" t="inlineStr">
        <is>
          <t>20S290065</t>
        </is>
      </c>
      <c r="D598" s="17" t="inlineStr">
        <is>
          <t>Oxígeno Industrial 6 m³</t>
        </is>
      </c>
      <c r="E598" s="17" t="inlineStr">
        <is>
          <t>OXIGENO INDUSTRIAL</t>
        </is>
      </c>
      <c r="F598" s="17" t="inlineStr">
        <is>
          <t>EMPRESA</t>
        </is>
      </c>
      <c r="G598" s="23" t="inlineStr">
        <is>
          <t>10175332796</t>
        </is>
      </c>
      <c r="H598" s="25">
        <f t="array" ref="H598">IF(G598="","",IFERROR(IF(INDEX(Clientes!$D$5:$D$549,MATCH(G598,Clientes!$C$5:$C$549,0))&lt;&gt;"",INDEX(Clientes!$D$5:$D$549,MATCH(G598,Clientes!$C$5:$C$549,0)),TRIM(INDEX(Clientes!$E$5:$E$549,MATCH(G598,Clientes!$C$5:$C$549,0))&amp;" "&amp;INDEX(Clientes!$F$5:$F$549,MATCH(G598,Clientes!$C$5:$C$549,0)))),"NO EXISTE en Clientes"))</f>
        <v/>
      </c>
      <c r="I598" s="17" t="inlineStr">
        <is>
          <t>EN_PODER_CLIENTE</t>
        </is>
      </c>
      <c r="J598" s="17" t="n"/>
      <c r="K598" s="23" t="inlineStr">
        <is>
          <t>000048</t>
        </is>
      </c>
      <c r="L598" s="25">
        <f t="array" ref="L598">IF(K598="","",IFERROR(IF(INDEX(Clientes!$D$5:$D$549,MATCH(K598,Clientes!$C$5:$C$549,0))&lt;&gt;"",INDEX(Clientes!$D$5:$D$549,MATCH(K598,Clientes!$C$5:$C$549,0)),TRIM(INDEX(Clientes!$E$5:$E$549,MATCH(K598,Clientes!$C$5:$C$549,0))&amp;" "&amp;INDEX(Clientes!$F$5:$F$549,MATCH(K598,Clientes!$C$5:$C$549,0)))),"NO EXISTE en Clientes"))</f>
        <v/>
      </c>
      <c r="M598" s="17" t="n"/>
      <c r="N598" s="17" t="n"/>
      <c r="O598" s="42" t="n"/>
      <c r="P598" s="39">
        <f>IF(O598&lt;&gt;"",DATE(YEAR(O598)+5,MONTH(O598),1),IF(AND(M598&lt;&gt;"",N598&lt;&gt;""),DATE(M598+5,N598,1),""))</f>
        <v/>
      </c>
      <c r="Q598" s="23" t="n"/>
      <c r="R598" s="17" t="n"/>
      <c r="S598" s="17" t="n"/>
      <c r="T598" s="17" t="n"/>
      <c r="U598" s="17" t="n"/>
      <c r="V598" s="23" t="n"/>
      <c r="W598" s="17" t="n"/>
      <c r="X598" s="17" t="n"/>
      <c r="Y598" s="28">
        <f>IF(B598&lt;&gt;"OK","","SELECT bal_crear_balon(p_codigo_balon =&gt; "&amp;IF(TRIM(C598&amp;"")="","NULL","'"&amp;SUBSTITUTE(TRIM(C598),"'","''")&amp;"'")&amp;", p_id_tipo_balon =&gt; "&amp;"(SELECT id FROM bal_tipo_balon WHERE upper(nombre) = upper('"&amp;SUBSTITUTE(TRIM(D598),"'","''")&amp;"') AND estado = 1 LIMIT 1)"&amp;", p_id_producto_gas =&gt; "&amp;"(SELECT id FROM pro_producto WHERE es_gas = TRUE AND upper(nombre) = upper('"&amp;SUBSTITUTE(TRIM(E598),"'","''")&amp;"') AND estado = 1 LIMIT 1)"&amp;", p_id_propietario =&gt; "&amp;IF(TRIM(F598&amp;"")="","NULL","(SELECT lo.id FROM gen_lista_opciones lo JOIN gen_lista l ON l.id = lo.id_lista WHERE l.nombre = 'PropietarioBalon' AND upper(lo.nombre) = upper('"&amp;SUBSTITUTE(TRIM(F598),"'","''")&amp;"') AND lo.estado = 1 LIMIT 1)")&amp;", p_id_cliente_propietario =&gt; "&amp;IF(F598="CLIENTE",IF(TRIM(G598&amp;"")="","NULL","(SELECT id FROM cli_clientes WHERE numero_documento = '"&amp;SUBSTITUTE(TRIM(G598),"'","''")&amp;"' AND estado = 1 LIMIT 1)"),"NULL")&amp;", p_id_planta =&gt; "&amp;IF(F598="PLANTA",IF(TRIM(G598&amp;"")="","NULL","(SELECT id FROM cli_clientes WHERE numero_documento = '"&amp;SUBSTITUTE(TRIM(G598),"'","''")&amp;"'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"&amp;IF(TRIM(J598&amp;"")="","NULL","(SELECT id FROM gen_almacen WHERE upper(nombre) = upper('"&amp;SUBSTITUTE(TRIM(J598),"'","''")&amp;"') AND estado = 1 LIMIT 1)")&amp;", p_id_cliente_ubicacion =&gt; "&amp;IF(TRIM(K598&amp;"")="","NULL","(SELECT id FROM cli_clientes WHERE numero_documento = '"&amp;SUBSTITUTE(TRIM(K598),"'","''")&amp;"' AND estado = 1 LIMIT 1)")&amp;", p_id_referencia =&gt; "&amp;IF(TRIM(J598&amp;"")&lt;&gt;"","(SELECT lo.id FROM gen_lista_opciones lo JOIN gen_lista l ON l.id = lo.id_lista WHERE l.nombre = 'ReferenciaCilindro' AND upper(lo.nombre) = 'ALMACEN' AND lo.estado = 1 LIMIT 1)",IF(TRIM(K598&amp;"")&lt;&gt;"","(SELECT lo.id FROM gen_lista_opciones lo JOIN gen_lista l ON l.id = lo.id_lista WHERE l.nombre = 'ReferenciaCilindro' AND upper(lo.nombre) = 'CLIENTE' AND lo.estado = 1 LIMIT 1)","NULL"))&amp;", p_anio_fabricacion =&gt; "&amp;IF(M598&amp;""="","NULL::smallint",M598&amp;"::smallint")&amp;", p_mes_fabricacion =&gt; "&amp;IF(N598&amp;""="","NULL::smallint",N598&amp;"::smallint")&amp;", p_fecha_ultima_prueba_hidrostatica =&gt; "&amp;IF(O598&amp;""="","NULL","'"&amp;YEAR(O598)&amp;"-"&amp;TEXT(MONTH(O598),"00")&amp;"-"&amp;TEXT(DAY(O598),"00")&amp;"'")&amp;", p_numero_serie =&gt; "&amp;IF(TRIM(Q598&amp;"")="","NULL","'"&amp;SUBSTITUTE(TRIM(Q598),"'","''")&amp;"'")&amp;", p_id_marca_cilindro =&gt; "&amp;IF(TRIM(R598&amp;"")="","NULL","(SELECT lo.id FROM gen_lista_opciones lo JOIN gen_lista l ON l.id = lo.id_lista WHERE l.nombre = 'MarcaCilindro' AND upper(lo.nombre) = upper('"&amp;SUBSTITUTE(TRIM(R598),"'","''")&amp;"') AND lo.estado = 1 LIMIT 1)")&amp;", p_id_organo_inspector =&gt; "&amp;IF(TRIM(S598&amp;"")="","NULL","(SELECT lo.id FROM gen_lista_opciones lo JOIN gen_lista l ON l.id = lo.id_lista WHERE l.nombre = 'OrganoInspectorCilindro' AND upper(lo.nombre) = upper('"&amp;SUBSTITUTE(TRIM(S598),"'","''")&amp;"') AND lo.estado = 1 LIMIT 1)")&amp;", p_organo_inspector_no_aplica =&gt; "&amp;IF(S598="NO_APLICA","TRUE","FALSE")&amp;", p_presion_actual =&gt; "&amp;IF(T598&amp;""="","NULL",SUBSTITUTE(T598&amp;"",",","."))&amp;", p_tipo_valvula =&gt; "&amp;IF(TRIM(U598&amp;"")="","NULL","'"&amp;SUBSTITUTE(TRIM(U598),"'","''")&amp;"'")&amp;", p_libro_cilindro =&gt; "&amp;IF(TRIM(V598&amp;"")="","NULL","'"&amp;SUBSTITUTE(TRIM(V598),"'","''")&amp;"'")&amp;", p_pagina_libro =&gt; "&amp;IF(W598&amp;""="","NULL",SUBSTITUTE(W598&amp;"",",","."))&amp;", p_observacion =&gt; "&amp;IF(TRIM(X598&amp;"")="","NULL","'"&amp;SUBSTITUTE(TRIM(X598),"'","''")&amp;"'")&amp;") AS resultado_balon_"&amp;ROW()&amp;";")</f>
        <v/>
      </c>
    </row>
    <row r="599" ht="15.75" customHeight="1" s="64">
      <c r="A599" s="36" t="inlineStr">
        <is>
          <t>595</t>
        </is>
      </c>
      <c r="B599" s="25">
        <f>IF(AND(C599="",D599="",E599=""),"",IF(C599="","FALTA código balón",IF(D599="","FALTA tipo balón",IF(E599="","FALTA gas",IF(F599="","FALTA propietario",IF(AND(C599&lt;&gt;"",SUMPRODUCT(--($C$5:$C$1200=C599))&gt;1),"CÓDIGO BALÓN DUPLICADO",IF(AND(OR(UPPER(F599)="PLANTA",UPPER(F599)="CLIENTE"),G599=""),"FALTA doc propietario/planta",IF(AND(UPPER(F599)="PLANTA",G599="10175332796"),"PLANTA no puede ser RUC empresa","OK"))))))))</f>
        <v/>
      </c>
      <c r="C599" s="23" t="inlineStr">
        <is>
          <t>20S130067</t>
        </is>
      </c>
      <c r="D599" s="17" t="inlineStr">
        <is>
          <t>Oxígeno Industrial 6 m³</t>
        </is>
      </c>
      <c r="E599" s="17" t="inlineStr">
        <is>
          <t>OXIGENO INDUSTRIAL</t>
        </is>
      </c>
      <c r="F599" s="17" t="inlineStr">
        <is>
          <t>EMPRESA</t>
        </is>
      </c>
      <c r="G599" s="23" t="inlineStr">
        <is>
          <t>10175332796</t>
        </is>
      </c>
      <c r="H599" s="25">
        <f t="array" ref="H599">IF(G599="","",IFERROR(IF(INDEX(Clientes!$D$5:$D$549,MATCH(G599,Clientes!$C$5:$C$549,0))&lt;&gt;"",INDEX(Clientes!$D$5:$D$549,MATCH(G599,Clientes!$C$5:$C$549,0)),TRIM(INDEX(Clientes!$E$5:$E$549,MATCH(G599,Clientes!$C$5:$C$549,0))&amp;" "&amp;INDEX(Clientes!$F$5:$F$549,MATCH(G599,Clientes!$C$5:$C$549,0)))),"NO EXISTE en Clientes"))</f>
        <v/>
      </c>
      <c r="I599" s="17" t="inlineStr">
        <is>
          <t>EN_PODER_CLIENTE</t>
        </is>
      </c>
      <c r="J599" s="17" t="n"/>
      <c r="K599" s="23" t="inlineStr">
        <is>
          <t>16456285</t>
        </is>
      </c>
      <c r="L599" s="25">
        <f t="array" ref="L599">IF(K599="","",IFERROR(IF(INDEX(Clientes!$D$5:$D$549,MATCH(K599,Clientes!$C$5:$C$549,0))&lt;&gt;"",INDEX(Clientes!$D$5:$D$549,MATCH(K599,Clientes!$C$5:$C$549,0)),TRIM(INDEX(Clientes!$E$5:$E$549,MATCH(K599,Clientes!$C$5:$C$549,0))&amp;" "&amp;INDEX(Clientes!$F$5:$F$549,MATCH(K599,Clientes!$C$5:$C$549,0)))),"NO EXISTE en Clientes"))</f>
        <v/>
      </c>
      <c r="M599" s="17" t="n"/>
      <c r="N599" s="17" t="n"/>
      <c r="O599" s="42" t="n"/>
      <c r="P599" s="39">
        <f>IF(O599&lt;&gt;"",DATE(YEAR(O599)+5,MONTH(O599),1),IF(AND(M599&lt;&gt;"",N599&lt;&gt;""),DATE(M599+5,N599,1),""))</f>
        <v/>
      </c>
      <c r="Q599" s="23" t="n"/>
      <c r="R599" s="17" t="n"/>
      <c r="S599" s="17" t="n"/>
      <c r="T599" s="17" t="n"/>
      <c r="U599" s="17" t="n"/>
      <c r="V599" s="23" t="n"/>
      <c r="W599" s="17" t="n"/>
      <c r="X599" s="17" t="n"/>
      <c r="Y599" s="28">
        <f>IF(B599&lt;&gt;"OK","","SELECT bal_crear_balon(p_codigo_balon =&gt; "&amp;IF(TRIM(C599&amp;"")="","NULL","'"&amp;SUBSTITUTE(TRIM(C599),"'","''")&amp;"'")&amp;", p_id_tipo_balon =&gt; "&amp;"(SELECT id FROM bal_tipo_balon WHERE upper(nombre) = upper('"&amp;SUBSTITUTE(TRIM(D599),"'","''")&amp;"') AND estado = 1 LIMIT 1)"&amp;", p_id_producto_gas =&gt; "&amp;"(SELECT id FROM pro_producto WHERE es_gas = TRUE AND upper(nombre) = upper('"&amp;SUBSTITUTE(TRIM(E599),"'","''")&amp;"') AND estado = 1 LIMIT 1)"&amp;", p_id_propietario =&gt; "&amp;IF(TRIM(F599&amp;"")="","NULL","(SELECT lo.id FROM gen_lista_opciones lo JOIN gen_lista l ON l.id = lo.id_lista WHERE l.nombre = 'PropietarioBalon' AND upper(lo.nombre) = upper('"&amp;SUBSTITUTE(TRIM(F599),"'","''")&amp;"') AND lo.estado = 1 LIMIT 1)")&amp;", p_id_cliente_propietario =&gt; "&amp;IF(F599="CLIENTE",IF(TRIM(G599&amp;"")="","NULL","(SELECT id FROM cli_clientes WHERE numero_documento = '"&amp;SUBSTITUTE(TRIM(G599),"'","''")&amp;"' AND estado = 1 LIMIT 1)"),"NULL")&amp;", p_id_planta =&gt; "&amp;IF(F599="PLANTA",IF(TRIM(G599&amp;"")="","NULL","(SELECT id FROM cli_clientes WHERE numero_documento = '"&amp;SUBSTITUTE(TRIM(G599),"'","''")&amp;"'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"&amp;IF(TRIM(J599&amp;"")="","NULL","(SELECT id FROM gen_almacen WHERE upper(nombre) = upper('"&amp;SUBSTITUTE(TRIM(J599),"'","''")&amp;"') AND estado = 1 LIMIT 1)")&amp;", p_id_cliente_ubicacion =&gt; "&amp;IF(TRIM(K599&amp;"")="","NULL","(SELECT id FROM cli_clientes WHERE numero_documento = '"&amp;SUBSTITUTE(TRIM(K599),"'","''")&amp;"' AND estado = 1 LIMIT 1)")&amp;", p_id_referencia =&gt; "&amp;IF(TRIM(J599&amp;"")&lt;&gt;"","(SELECT lo.id FROM gen_lista_opciones lo JOIN gen_lista l ON l.id = lo.id_lista WHERE l.nombre = 'ReferenciaCilindro' AND upper(lo.nombre) = 'ALMACEN' AND lo.estado = 1 LIMIT 1)",IF(TRIM(K599&amp;"")&lt;&gt;"","(SELECT lo.id FROM gen_lista_opciones lo JOIN gen_lista l ON l.id = lo.id_lista WHERE l.nombre = 'ReferenciaCilindro' AND upper(lo.nombre) = 'CLIENTE' AND lo.estado = 1 LIMIT 1)","NULL"))&amp;", p_anio_fabricacion =&gt; "&amp;IF(M599&amp;""="","NULL::smallint",M599&amp;"::smallint")&amp;", p_mes_fabricacion =&gt; "&amp;IF(N599&amp;""="","NULL::smallint",N599&amp;"::smallint")&amp;", p_fecha_ultima_prueba_hidrostatica =&gt; "&amp;IF(O599&amp;""="","NULL","'"&amp;YEAR(O599)&amp;"-"&amp;TEXT(MONTH(O599),"00")&amp;"-"&amp;TEXT(DAY(O599),"00")&amp;"'")&amp;", p_numero_serie =&gt; "&amp;IF(TRIM(Q599&amp;"")="","NULL","'"&amp;SUBSTITUTE(TRIM(Q599),"'","''")&amp;"'")&amp;", p_id_marca_cilindro =&gt; "&amp;IF(TRIM(R599&amp;"")="","NULL","(SELECT lo.id FROM gen_lista_opciones lo JOIN gen_lista l ON l.id = lo.id_lista WHERE l.nombre = 'MarcaCilindro' AND upper(lo.nombre) = upper('"&amp;SUBSTITUTE(TRIM(R599),"'","''")&amp;"') AND lo.estado = 1 LIMIT 1)")&amp;", p_id_organo_inspector =&gt; "&amp;IF(TRIM(S599&amp;"")="","NULL","(SELECT lo.id FROM gen_lista_opciones lo JOIN gen_lista l ON l.id = lo.id_lista WHERE l.nombre = 'OrganoInspectorCilindro' AND upper(lo.nombre) = upper('"&amp;SUBSTITUTE(TRIM(S599),"'","''")&amp;"') AND lo.estado = 1 LIMIT 1)")&amp;", p_organo_inspector_no_aplica =&gt; "&amp;IF(S599="NO_APLICA","TRUE","FALSE")&amp;", p_presion_actual =&gt; "&amp;IF(T599&amp;""="","NULL",SUBSTITUTE(T599&amp;"",",","."))&amp;", p_tipo_valvula =&gt; "&amp;IF(TRIM(U599&amp;"")="","NULL","'"&amp;SUBSTITUTE(TRIM(U599),"'","''")&amp;"'")&amp;", p_libro_cilindro =&gt; "&amp;IF(TRIM(V599&amp;"")="","NULL","'"&amp;SUBSTITUTE(TRIM(V599),"'","''")&amp;"'")&amp;", p_pagina_libro =&gt; "&amp;IF(W599&amp;""="","NULL",SUBSTITUTE(W599&amp;"",",","."))&amp;", p_observacion =&gt; "&amp;IF(TRIM(X599&amp;"")="","NULL","'"&amp;SUBSTITUTE(TRIM(X599),"'","''")&amp;"'")&amp;") AS resultado_balon_"&amp;ROW()&amp;";")</f>
        <v/>
      </c>
    </row>
    <row r="600" ht="15.75" customHeight="1" s="64">
      <c r="A600" s="36" t="inlineStr">
        <is>
          <t>596</t>
        </is>
      </c>
      <c r="B600" s="25">
        <f>IF(AND(C600="",D600="",E600=""),"",IF(C600="","FALTA código balón",IF(D600="","FALTA tipo balón",IF(E600="","FALTA gas",IF(F600="","FALTA propietario",IF(AND(C600&lt;&gt;"",SUMPRODUCT(--($C$5:$C$1200=C600))&gt;1),"CÓDIGO BALÓN DUPLICADO",IF(AND(OR(UPPER(F600)="PLANTA",UPPER(F600)="CLIENTE"),G600=""),"FALTA doc propietario/planta",IF(AND(UPPER(F600)="PLANTA",G600="10175332796"),"PLANTA no puede ser RUC empresa","OK"))))))))</f>
        <v/>
      </c>
      <c r="C600" s="23" t="inlineStr">
        <is>
          <t>26CQ004189</t>
        </is>
      </c>
      <c r="D600" s="17" t="inlineStr">
        <is>
          <t>Nitrógeno 3 m³</t>
        </is>
      </c>
      <c r="E600" s="17" t="inlineStr">
        <is>
          <t>NITROGENO</t>
        </is>
      </c>
      <c r="F600" s="17" t="inlineStr">
        <is>
          <t>EMPRESA</t>
        </is>
      </c>
      <c r="G600" s="23" t="inlineStr">
        <is>
          <t>10175332796</t>
        </is>
      </c>
      <c r="H600" s="25">
        <f t="array" ref="H600">IF(G600="","",IFERROR(IF(INDEX(Clientes!$D$5:$D$549,MATCH(G600,Clientes!$C$5:$C$549,0))&lt;&gt;"",INDEX(Clientes!$D$5:$D$549,MATCH(G600,Clientes!$C$5:$C$549,0)),TRIM(INDEX(Clientes!$E$5:$E$549,MATCH(G600,Clientes!$C$5:$C$549,0))&amp;" "&amp;INDEX(Clientes!$F$5:$F$549,MATCH(G600,Clientes!$C$5:$C$549,0)))),"NO EXISTE en Clientes"))</f>
        <v/>
      </c>
      <c r="I600" s="17" t="inlineStr">
        <is>
          <t>EN_PODER_CLIENTE</t>
        </is>
      </c>
      <c r="J600" s="17" t="n"/>
      <c r="K600" s="23" t="inlineStr">
        <is>
          <t>20611929596</t>
        </is>
      </c>
      <c r="L600" s="25">
        <f t="array" ref="L600">IF(K600="","",IFERROR(IF(INDEX(Clientes!$D$5:$D$549,MATCH(K600,Clientes!$C$5:$C$549,0))&lt;&gt;"",INDEX(Clientes!$D$5:$D$549,MATCH(K600,Clientes!$C$5:$C$549,0)),TRIM(INDEX(Clientes!$E$5:$E$549,MATCH(K600,Clientes!$C$5:$C$549,0))&amp;" "&amp;INDEX(Clientes!$F$5:$F$549,MATCH(K600,Clientes!$C$5:$C$549,0)))),"NO EXISTE en Clientes"))</f>
        <v/>
      </c>
      <c r="M600" s="17" t="n"/>
      <c r="N600" s="17" t="n"/>
      <c r="O600" s="42" t="n"/>
      <c r="P600" s="39">
        <f>IF(O600&lt;&gt;"",DATE(YEAR(O600)+5,MONTH(O600),1),IF(AND(M600&lt;&gt;"",N600&lt;&gt;""),DATE(M600+5,N600,1),""))</f>
        <v/>
      </c>
      <c r="Q600" s="23" t="n"/>
      <c r="R600" s="17" t="n"/>
      <c r="S600" s="17" t="n"/>
      <c r="T600" s="17" t="n"/>
      <c r="U600" s="17" t="n"/>
      <c r="V600" s="23" t="n"/>
      <c r="W600" s="17" t="n"/>
      <c r="X600" s="17" t="n"/>
      <c r="Y600" s="28">
        <f>IF(B600&lt;&gt;"OK","","SELECT bal_crear_balon(p_codigo_balon =&gt; "&amp;IF(TRIM(C600&amp;"")="","NULL","'"&amp;SUBSTITUTE(TRIM(C600),"'","''")&amp;"'")&amp;", p_id_tipo_balon =&gt; "&amp;"(SELECT id FROM bal_tipo_balon WHERE upper(nombre) = upper('"&amp;SUBSTITUTE(TRIM(D600),"'","''")&amp;"') AND estado = 1 LIMIT 1)"&amp;", p_id_producto_gas =&gt; "&amp;"(SELECT id FROM pro_producto WHERE es_gas = TRUE AND upper(nombre) = upper('"&amp;SUBSTITUTE(TRIM(E600),"'","''")&amp;"') AND estado = 1 LIMIT 1)"&amp;", p_id_propietario =&gt; "&amp;IF(TRIM(F600&amp;"")="","NULL","(SELECT lo.id FROM gen_lista_opciones lo JOIN gen_lista l ON l.id = lo.id_lista WHERE l.nombre = 'PropietarioBalon' AND upper(lo.nombre) = upper('"&amp;SUBSTITUTE(TRIM(F600),"'","''")&amp;"') AND lo.estado = 1 LIMIT 1)")&amp;", p_id_cliente_propietario =&gt; "&amp;IF(F600="CLIENTE",IF(TRIM(G600&amp;"")="","NULL","(SELECT id FROM cli_clientes WHERE numero_documento = '"&amp;SUBSTITUTE(TRIM(G600),"'","''")&amp;"' AND estado = 1 LIMIT 1)"),"NULL")&amp;", p_id_planta =&gt; "&amp;IF(F600="PLANTA",IF(TRIM(G600&amp;"")="","NULL","(SELECT id FROM cli_clientes WHERE numero_documento = '"&amp;SUBSTITUTE(TRIM(G600),"'","''")&amp;"'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"&amp;IF(TRIM(J600&amp;"")="","NULL","(SELECT id FROM gen_almacen WHERE upper(nombre) = upper('"&amp;SUBSTITUTE(TRIM(J600),"'","''")&amp;"') AND estado = 1 LIMIT 1)")&amp;", p_id_cliente_ubicacion =&gt; "&amp;IF(TRIM(K600&amp;"")="","NULL","(SELECT id FROM cli_clientes WHERE numero_documento = '"&amp;SUBSTITUTE(TRIM(K600),"'","''")&amp;"' AND estado = 1 LIMIT 1)")&amp;", p_id_referencia =&gt; "&amp;IF(TRIM(J600&amp;"")&lt;&gt;"","(SELECT lo.id FROM gen_lista_opciones lo JOIN gen_lista l ON l.id = lo.id_lista WHERE l.nombre = 'ReferenciaCilindro' AND upper(lo.nombre) = 'ALMACEN' AND lo.estado = 1 LIMIT 1)",IF(TRIM(K600&amp;"")&lt;&gt;"","(SELECT lo.id FROM gen_lista_opciones lo JOIN gen_lista l ON l.id = lo.id_lista WHERE l.nombre = 'ReferenciaCilindro' AND upper(lo.nombre) = 'CLIENTE' AND lo.estado = 1 LIMIT 1)","NULL"))&amp;", p_anio_fabricacion =&gt; "&amp;IF(M600&amp;""="","NULL::smallint",M600&amp;"::smallint")&amp;", p_mes_fabricacion =&gt; "&amp;IF(N600&amp;""="","NULL::smallint",N600&amp;"::smallint")&amp;", p_fecha_ultima_prueba_hidrostatica =&gt; "&amp;IF(O600&amp;""="","NULL","'"&amp;YEAR(O600)&amp;"-"&amp;TEXT(MONTH(O600),"00")&amp;"-"&amp;TEXT(DAY(O600),"00")&amp;"'")&amp;", p_numero_serie =&gt; "&amp;IF(TRIM(Q600&amp;"")="","NULL","'"&amp;SUBSTITUTE(TRIM(Q600),"'","''")&amp;"'")&amp;", p_id_marca_cilindro =&gt; "&amp;IF(TRIM(R600&amp;"")="","NULL","(SELECT lo.id FROM gen_lista_opciones lo JOIN gen_lista l ON l.id = lo.id_lista WHERE l.nombre = 'MarcaCilindro' AND upper(lo.nombre) = upper('"&amp;SUBSTITUTE(TRIM(R600),"'","''")&amp;"') AND lo.estado = 1 LIMIT 1)")&amp;", p_id_organo_inspector =&gt; "&amp;IF(TRIM(S600&amp;"")="","NULL","(SELECT lo.id FROM gen_lista_opciones lo JOIN gen_lista l ON l.id = lo.id_lista WHERE l.nombre = 'OrganoInspectorCilindro' AND upper(lo.nombre) = upper('"&amp;SUBSTITUTE(TRIM(S600),"'","''")&amp;"') AND lo.estado = 1 LIMIT 1)")&amp;", p_organo_inspector_no_aplica =&gt; "&amp;IF(S600="NO_APLICA","TRUE","FALSE")&amp;", p_presion_actual =&gt; "&amp;IF(T600&amp;""="","NULL",SUBSTITUTE(T600&amp;"",",","."))&amp;", p_tipo_valvula =&gt; "&amp;IF(TRIM(U600&amp;"")="","NULL","'"&amp;SUBSTITUTE(TRIM(U600),"'","''")&amp;"'")&amp;", p_libro_cilindro =&gt; "&amp;IF(TRIM(V600&amp;"")="","NULL","'"&amp;SUBSTITUTE(TRIM(V600),"'","''")&amp;"'")&amp;", p_pagina_libro =&gt; "&amp;IF(W600&amp;""="","NULL",SUBSTITUTE(W600&amp;"",",","."))&amp;", p_observacion =&gt; "&amp;IF(TRIM(X600&amp;"")="","NULL","'"&amp;SUBSTITUTE(TRIM(X600),"'","''")&amp;"'")&amp;") AS resultado_balon_"&amp;ROW()&amp;";")</f>
        <v/>
      </c>
    </row>
    <row r="601" ht="15.75" customHeight="1" s="64">
      <c r="A601" s="36" t="inlineStr">
        <is>
          <t>597</t>
        </is>
      </c>
      <c r="B601" s="25">
        <f>IF(AND(C601="",D601="",E601=""),"",IF(C601="","FALTA código balón",IF(D601="","FALTA tipo balón",IF(E601="","FALTA gas",IF(F601="","FALTA propietario",IF(AND(C601&lt;&gt;"",SUMPRODUCT(--($C$5:$C$1200=C601))&gt;1),"CÓDIGO BALÓN DUPLICADO",IF(AND(OR(UPPER(F601)="PLANTA",UPPER(F601)="CLIENTE"),G601=""),"FALTA doc propietario/planta",IF(AND(UPPER(F601)="PLANTA",G601="10175332796"),"PLANTA no puede ser RUC empresa","OK"))))))))</f>
        <v/>
      </c>
      <c r="C601" s="23" t="inlineStr">
        <is>
          <t>303209</t>
        </is>
      </c>
      <c r="D601" s="17" t="inlineStr">
        <is>
          <t>Oxígeno Medicinal 10 m³</t>
        </is>
      </c>
      <c r="E601" s="17" t="inlineStr">
        <is>
          <t>OXIGENO MEDICINAL</t>
        </is>
      </c>
      <c r="F601" s="17" t="inlineStr">
        <is>
          <t>EMPRESA</t>
        </is>
      </c>
      <c r="G601" s="23" t="inlineStr">
        <is>
          <t>10175332796</t>
        </is>
      </c>
      <c r="H601" s="25">
        <f t="array" ref="H601">IF(G601="","",IFERROR(IF(INDEX(Clientes!$D$5:$D$549,MATCH(G601,Clientes!$C$5:$C$549,0))&lt;&gt;"",INDEX(Clientes!$D$5:$D$549,MATCH(G601,Clientes!$C$5:$C$549,0)),TRIM(INDEX(Clientes!$E$5:$E$549,MATCH(G601,Clientes!$C$5:$C$549,0))&amp;" "&amp;INDEX(Clientes!$F$5:$F$549,MATCH(G601,Clientes!$C$5:$C$549,0)))),"NO EXISTE en Clientes"))</f>
        <v/>
      </c>
      <c r="I601" s="17" t="inlineStr">
        <is>
          <t>EN_PODER_CLIENTE</t>
        </is>
      </c>
      <c r="J601" s="17" t="n"/>
      <c r="K601" s="23" t="inlineStr">
        <is>
          <t>16688260</t>
        </is>
      </c>
      <c r="L601" s="25">
        <f t="array" ref="L601">IF(K601="","",IFERROR(IF(INDEX(Clientes!$D$5:$D$549,MATCH(K601,Clientes!$C$5:$C$549,0))&lt;&gt;"",INDEX(Clientes!$D$5:$D$549,MATCH(K601,Clientes!$C$5:$C$549,0)),TRIM(INDEX(Clientes!$E$5:$E$549,MATCH(K601,Clientes!$C$5:$C$549,0))&amp;" "&amp;INDEX(Clientes!$F$5:$F$549,MATCH(K601,Clientes!$C$5:$C$549,0)))),"NO EXISTE en Clientes"))</f>
        <v/>
      </c>
      <c r="M601" s="17" t="n"/>
      <c r="N601" s="17" t="n"/>
      <c r="O601" s="42" t="n"/>
      <c r="P601" s="39">
        <f>IF(O601&lt;&gt;"",DATE(YEAR(O601)+5,MONTH(O601),1),IF(AND(M601&lt;&gt;"",N601&lt;&gt;""),DATE(M601+5,N601,1),""))</f>
        <v/>
      </c>
      <c r="Q601" s="23" t="n"/>
      <c r="R601" s="17" t="n"/>
      <c r="S601" s="17" t="n"/>
      <c r="T601" s="17" t="n"/>
      <c r="U601" s="17" t="n"/>
      <c r="V601" s="23" t="n"/>
      <c r="W601" s="17" t="n"/>
      <c r="X601" s="17" t="n"/>
      <c r="Y601" s="28">
        <f>IF(B601&lt;&gt;"OK","","SELECT bal_crear_balon(p_codigo_balon =&gt; "&amp;IF(TRIM(C601&amp;"")="","NULL","'"&amp;SUBSTITUTE(TRIM(C601),"'","''")&amp;"'")&amp;", p_id_tipo_balon =&gt; "&amp;"(SELECT id FROM bal_tipo_balon WHERE upper(nombre) = upper('"&amp;SUBSTITUTE(TRIM(D601),"'","''")&amp;"') AND estado = 1 LIMIT 1)"&amp;", p_id_producto_gas =&gt; "&amp;"(SELECT id FROM pro_producto WHERE es_gas = TRUE AND upper(nombre) = upper('"&amp;SUBSTITUTE(TRIM(E601),"'","''")&amp;"') AND estado = 1 LIMIT 1)"&amp;", p_id_propietario =&gt; "&amp;IF(TRIM(F601&amp;"")="","NULL","(SELECT lo.id FROM gen_lista_opciones lo JOIN gen_lista l ON l.id = lo.id_lista WHERE l.nombre = 'PropietarioBalon' AND upper(lo.nombre) = upper('"&amp;SUBSTITUTE(TRIM(F601),"'","''")&amp;"') AND lo.estado = 1 LIMIT 1)")&amp;", p_id_cliente_propietario =&gt; "&amp;IF(F601="CLIENTE",IF(TRIM(G601&amp;"")="","NULL","(SELECT id FROM cli_clientes WHERE numero_documento = '"&amp;SUBSTITUTE(TRIM(G601),"'","''")&amp;"' AND estado = 1 LIMIT 1)"),"NULL")&amp;", p_id_planta =&gt; "&amp;IF(F601="PLANTA",IF(TRIM(G601&amp;"")="","NULL","(SELECT id FROM cli_clientes WHERE numero_documento = '"&amp;SUBSTITUTE(TRIM(G601),"'","''")&amp;"'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"&amp;IF(TRIM(J601&amp;"")="","NULL","(SELECT id FROM gen_almacen WHERE upper(nombre) = upper('"&amp;SUBSTITUTE(TRIM(J601),"'","''")&amp;"') AND estado = 1 LIMIT 1)")&amp;", p_id_cliente_ubicacion =&gt; "&amp;IF(TRIM(K601&amp;"")="","NULL","(SELECT id FROM cli_clientes WHERE numero_documento = '"&amp;SUBSTITUTE(TRIM(K601),"'","''")&amp;"' AND estado = 1 LIMIT 1)")&amp;", p_id_referencia =&gt; "&amp;IF(TRIM(J601&amp;"")&lt;&gt;"","(SELECT lo.id FROM gen_lista_opciones lo JOIN gen_lista l ON l.id = lo.id_lista WHERE l.nombre = 'ReferenciaCilindro' AND upper(lo.nombre) = 'ALMACEN' AND lo.estado = 1 LIMIT 1)",IF(TRIM(K601&amp;"")&lt;&gt;"","(SELECT lo.id FROM gen_lista_opciones lo JOIN gen_lista l ON l.id = lo.id_lista WHERE l.nombre = 'ReferenciaCilindro' AND upper(lo.nombre) = 'CLIENTE' AND lo.estado = 1 LIMIT 1)","NULL"))&amp;", p_anio_fabricacion =&gt; "&amp;IF(M601&amp;""="","NULL::smallint",M601&amp;"::smallint")&amp;", p_mes_fabricacion =&gt; "&amp;IF(N601&amp;""="","NULL::smallint",N601&amp;"::smallint")&amp;", p_fecha_ultima_prueba_hidrostatica =&gt; "&amp;IF(O601&amp;""="","NULL","'"&amp;YEAR(O601)&amp;"-"&amp;TEXT(MONTH(O601),"00")&amp;"-"&amp;TEXT(DAY(O601),"00")&amp;"'")&amp;", p_numero_serie =&gt; "&amp;IF(TRIM(Q601&amp;"")="","NULL","'"&amp;SUBSTITUTE(TRIM(Q601),"'","''")&amp;"'")&amp;", p_id_marca_cilindro =&gt; "&amp;IF(TRIM(R601&amp;"")="","NULL","(SELECT lo.id FROM gen_lista_opciones lo JOIN gen_lista l ON l.id = lo.id_lista WHERE l.nombre = 'MarcaCilindro' AND upper(lo.nombre) = upper('"&amp;SUBSTITUTE(TRIM(R601),"'","''")&amp;"') AND lo.estado = 1 LIMIT 1)")&amp;", p_id_organo_inspector =&gt; "&amp;IF(TRIM(S601&amp;"")="","NULL","(SELECT lo.id FROM gen_lista_opciones lo JOIN gen_lista l ON l.id = lo.id_lista WHERE l.nombre = 'OrganoInspectorCilindro' AND upper(lo.nombre) = upper('"&amp;SUBSTITUTE(TRIM(S601),"'","''")&amp;"') AND lo.estado = 1 LIMIT 1)")&amp;", p_organo_inspector_no_aplica =&gt; "&amp;IF(S601="NO_APLICA","TRUE","FALSE")&amp;", p_presion_actual =&gt; "&amp;IF(T601&amp;""="","NULL",SUBSTITUTE(T601&amp;"",",","."))&amp;", p_tipo_valvula =&gt; "&amp;IF(TRIM(U601&amp;"")="","NULL","'"&amp;SUBSTITUTE(TRIM(U601),"'","''")&amp;"'")&amp;", p_libro_cilindro =&gt; "&amp;IF(TRIM(V601&amp;"")="","NULL","'"&amp;SUBSTITUTE(TRIM(V601),"'","''")&amp;"'")&amp;", p_pagina_libro =&gt; "&amp;IF(W601&amp;""="","NULL",SUBSTITUTE(W601&amp;"",",","."))&amp;", p_observacion =&gt; "&amp;IF(TRIM(X601&amp;"")="","NULL","'"&amp;SUBSTITUTE(TRIM(X601),"'","''")&amp;"'")&amp;") AS resultado_balon_"&amp;ROW()&amp;";")</f>
        <v/>
      </c>
    </row>
    <row r="602" ht="15.75" customHeight="1" s="64">
      <c r="A602" s="36" t="inlineStr">
        <is>
          <t>598</t>
        </is>
      </c>
      <c r="B602" s="25">
        <f>IF(AND(C602="",D602="",E602=""),"",IF(C602="","FALTA código balón",IF(D602="","FALTA tipo balón",IF(E602="","FALTA gas",IF(F602="","FALTA propietario",IF(AND(C602&lt;&gt;"",SUMPRODUCT(--($C$5:$C$1200=C602))&gt;1),"CÓDIGO BALÓN DUPLICADO",IF(AND(OR(UPPER(F602)="PLANTA",UPPER(F602)="CLIENTE"),G602=""),"FALTA doc propietario/planta",IF(AND(UPPER(F602)="PLANTA",G602="10175332796"),"PLANTA no puede ser RUC empresa","OK"))))))))</f>
        <v/>
      </c>
      <c r="C602" s="23" t="inlineStr">
        <is>
          <t>5899</t>
        </is>
      </c>
      <c r="D602" s="17" t="inlineStr">
        <is>
          <t>Oxígeno Industrial 6 m³</t>
        </is>
      </c>
      <c r="E602" s="17" t="inlineStr">
        <is>
          <t>OXIGENO INDUSTRIAL</t>
        </is>
      </c>
      <c r="F602" s="17" t="inlineStr">
        <is>
          <t>EMPRESA</t>
        </is>
      </c>
      <c r="G602" s="23" t="inlineStr">
        <is>
          <t>10175332796</t>
        </is>
      </c>
      <c r="H602" s="25">
        <f t="array" ref="H602">IF(G602="","",IFERROR(IF(INDEX(Clientes!$D$5:$D$549,MATCH(G602,Clientes!$C$5:$C$549,0))&lt;&gt;"",INDEX(Clientes!$D$5:$D$549,MATCH(G602,Clientes!$C$5:$C$549,0)),TRIM(INDEX(Clientes!$E$5:$E$549,MATCH(G602,Clientes!$C$5:$C$549,0))&amp;" "&amp;INDEX(Clientes!$F$5:$F$549,MATCH(G602,Clientes!$C$5:$C$549,0)))),"NO EXISTE en Clientes"))</f>
        <v/>
      </c>
      <c r="I602" s="17" t="inlineStr">
        <is>
          <t>EN_PODER_CLIENTE</t>
        </is>
      </c>
      <c r="J602" s="17" t="n"/>
      <c r="K602" s="23" t="inlineStr">
        <is>
          <t>10403521197</t>
        </is>
      </c>
      <c r="L602" s="25">
        <f t="array" ref="L602">IF(K602="","",IFERROR(IF(INDEX(Clientes!$D$5:$D$549,MATCH(K602,Clientes!$C$5:$C$549,0))&lt;&gt;"",INDEX(Clientes!$D$5:$D$549,MATCH(K602,Clientes!$C$5:$C$549,0)),TRIM(INDEX(Clientes!$E$5:$E$549,MATCH(K602,Clientes!$C$5:$C$549,0))&amp;" "&amp;INDEX(Clientes!$F$5:$F$549,MATCH(K602,Clientes!$C$5:$C$549,0)))),"NO EXISTE en Clientes"))</f>
        <v/>
      </c>
      <c r="M602" s="17" t="n"/>
      <c r="N602" s="17" t="n"/>
      <c r="O602" s="42" t="n"/>
      <c r="P602" s="39">
        <f>IF(O602&lt;&gt;"",DATE(YEAR(O602)+5,MONTH(O602),1),IF(AND(M602&lt;&gt;"",N602&lt;&gt;""),DATE(M602+5,N602,1),""))</f>
        <v/>
      </c>
      <c r="Q602" s="23" t="n"/>
      <c r="R602" s="17" t="n"/>
      <c r="S602" s="17" t="n"/>
      <c r="T602" s="17" t="n"/>
      <c r="U602" s="17" t="n"/>
      <c r="V602" s="23" t="n"/>
      <c r="W602" s="17" t="n"/>
      <c r="X602" s="17" t="n"/>
      <c r="Y602" s="28">
        <f>IF(B602&lt;&gt;"OK","","SELECT bal_crear_balon(p_codigo_balon =&gt; "&amp;IF(TRIM(C602&amp;"")="","NULL","'"&amp;SUBSTITUTE(TRIM(C602),"'","''")&amp;"'")&amp;", p_id_tipo_balon =&gt; "&amp;"(SELECT id FROM bal_tipo_balon WHERE upper(nombre) = upper('"&amp;SUBSTITUTE(TRIM(D602),"'","''")&amp;"') AND estado = 1 LIMIT 1)"&amp;", p_id_producto_gas =&gt; "&amp;"(SELECT id FROM pro_producto WHERE es_gas = TRUE AND upper(nombre) = upper('"&amp;SUBSTITUTE(TRIM(E602),"'","''")&amp;"') AND estado = 1 LIMIT 1)"&amp;", p_id_propietario =&gt; "&amp;IF(TRIM(F602&amp;"")="","NULL","(SELECT lo.id FROM gen_lista_opciones lo JOIN gen_lista l ON l.id = lo.id_lista WHERE l.nombre = 'PropietarioBalon' AND upper(lo.nombre) = upper('"&amp;SUBSTITUTE(TRIM(F602),"'","''")&amp;"') AND lo.estado = 1 LIMIT 1)")&amp;", p_id_cliente_propietario =&gt; "&amp;IF(F602="CLIENTE",IF(TRIM(G602&amp;"")="","NULL","(SELECT id FROM cli_clientes WHERE numero_documento = '"&amp;SUBSTITUTE(TRIM(G602),"'","''")&amp;"' AND estado = 1 LIMIT 1)"),"NULL")&amp;", p_id_planta =&gt; "&amp;IF(F602="PLANTA",IF(TRIM(G602&amp;"")="","NULL","(SELECT id FROM cli_clientes WHERE numero_documento = '"&amp;SUBSTITUTE(TRIM(G602),"'","''")&amp;"'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"&amp;IF(TRIM(J602&amp;"")="","NULL","(SELECT id FROM gen_almacen WHERE upper(nombre) = upper('"&amp;SUBSTITUTE(TRIM(J602),"'","''")&amp;"') AND estado = 1 LIMIT 1)")&amp;", p_id_cliente_ubicacion =&gt; "&amp;IF(TRIM(K602&amp;"")="","NULL","(SELECT id FROM cli_clientes WHERE numero_documento = '"&amp;SUBSTITUTE(TRIM(K602),"'","''")&amp;"' AND estado = 1 LIMIT 1)")&amp;", p_id_referencia =&gt; "&amp;IF(TRIM(J602&amp;"")&lt;&gt;"","(SELECT lo.id FROM gen_lista_opciones lo JOIN gen_lista l ON l.id = lo.id_lista WHERE l.nombre = 'ReferenciaCilindro' AND upper(lo.nombre) = 'ALMACEN' AND lo.estado = 1 LIMIT 1)",IF(TRIM(K602&amp;"")&lt;&gt;"","(SELECT lo.id FROM gen_lista_opciones lo JOIN gen_lista l ON l.id = lo.id_lista WHERE l.nombre = 'ReferenciaCilindro' AND upper(lo.nombre) = 'CLIENTE' AND lo.estado = 1 LIMIT 1)","NULL"))&amp;", p_anio_fabricacion =&gt; "&amp;IF(M602&amp;""="","NULL::smallint",M602&amp;"::smallint")&amp;", p_mes_fabricacion =&gt; "&amp;IF(N602&amp;""="","NULL::smallint",N602&amp;"::smallint")&amp;", p_fecha_ultima_prueba_hidrostatica =&gt; "&amp;IF(O602&amp;""="","NULL","'"&amp;YEAR(O602)&amp;"-"&amp;TEXT(MONTH(O602),"00")&amp;"-"&amp;TEXT(DAY(O602),"00")&amp;"'")&amp;", p_numero_serie =&gt; "&amp;IF(TRIM(Q602&amp;"")="","NULL","'"&amp;SUBSTITUTE(TRIM(Q602),"'","''")&amp;"'")&amp;", p_id_marca_cilindro =&gt; "&amp;IF(TRIM(R602&amp;"")="","NULL","(SELECT lo.id FROM gen_lista_opciones lo JOIN gen_lista l ON l.id = lo.id_lista WHERE l.nombre = 'MarcaCilindro' AND upper(lo.nombre) = upper('"&amp;SUBSTITUTE(TRIM(R602),"'","''")&amp;"') AND lo.estado = 1 LIMIT 1)")&amp;", p_id_organo_inspector =&gt; "&amp;IF(TRIM(S602&amp;"")="","NULL","(SELECT lo.id FROM gen_lista_opciones lo JOIN gen_lista l ON l.id = lo.id_lista WHERE l.nombre = 'OrganoInspectorCilindro' AND upper(lo.nombre) = upper('"&amp;SUBSTITUTE(TRIM(S602),"'","''")&amp;"') AND lo.estado = 1 LIMIT 1)")&amp;", p_organo_inspector_no_aplica =&gt; "&amp;IF(S602="NO_APLICA","TRUE","FALSE")&amp;", p_presion_actual =&gt; "&amp;IF(T602&amp;""="","NULL",SUBSTITUTE(T602&amp;"",",","."))&amp;", p_tipo_valvula =&gt; "&amp;IF(TRIM(U602&amp;"")="","NULL","'"&amp;SUBSTITUTE(TRIM(U602),"'","''")&amp;"'")&amp;", p_libro_cilindro =&gt; "&amp;IF(TRIM(V602&amp;"")="","NULL","'"&amp;SUBSTITUTE(TRIM(V602),"'","''")&amp;"'")&amp;", p_pagina_libro =&gt; "&amp;IF(W602&amp;""="","NULL",SUBSTITUTE(W602&amp;"",",","."))&amp;", p_observacion =&gt; "&amp;IF(TRIM(X602&amp;"")="","NULL","'"&amp;SUBSTITUTE(TRIM(X602),"'","''")&amp;"'")&amp;") AS resultado_balon_"&amp;ROW()&amp;";")</f>
        <v/>
      </c>
    </row>
    <row r="603" ht="15.75" customHeight="1" s="64">
      <c r="A603" s="36" t="inlineStr">
        <is>
          <t>599</t>
        </is>
      </c>
      <c r="B603" s="25">
        <f>IF(AND(C603="",D603="",E603=""),"",IF(C603="","FALTA código balón",IF(D603="","FALTA tipo balón",IF(E603="","FALTA gas",IF(F603="","FALTA propietario",IF(AND(C603&lt;&gt;"",SUMPRODUCT(--($C$5:$C$1200=C603))&gt;1),"CÓDIGO BALÓN DUPLICADO",IF(AND(OR(UPPER(F603)="PLANTA",UPPER(F603)="CLIENTE"),G603=""),"FALTA doc propietario/planta",IF(AND(UPPER(F603)="PLANTA",G603="10175332796"),"PLANTA no puede ser RUC empresa","OK"))))))))</f>
        <v/>
      </c>
      <c r="C603" s="23" t="inlineStr">
        <is>
          <t>19S207007</t>
        </is>
      </c>
      <c r="D603" s="17" t="inlineStr">
        <is>
          <t>Oxígeno Industrial 6 m³</t>
        </is>
      </c>
      <c r="E603" s="17" t="inlineStr">
        <is>
          <t>OXIGENO INDUSTRIAL</t>
        </is>
      </c>
      <c r="F603" s="17" t="inlineStr">
        <is>
          <t>EMPRESA</t>
        </is>
      </c>
      <c r="G603" s="23" t="inlineStr">
        <is>
          <t>10175332796</t>
        </is>
      </c>
      <c r="H603" s="25">
        <f t="array" ref="H603">IF(G603="","",IFERROR(IF(INDEX(Clientes!$D$5:$D$549,MATCH(G603,Clientes!$C$5:$C$549,0))&lt;&gt;"",INDEX(Clientes!$D$5:$D$549,MATCH(G603,Clientes!$C$5:$C$549,0)),TRIM(INDEX(Clientes!$E$5:$E$549,MATCH(G603,Clientes!$C$5:$C$549,0))&amp;" "&amp;INDEX(Clientes!$F$5:$F$549,MATCH(G603,Clientes!$C$5:$C$549,0)))),"NO EXISTE en Clientes"))</f>
        <v/>
      </c>
      <c r="I603" s="17" t="inlineStr">
        <is>
          <t>EN_PODER_CLIENTE</t>
        </is>
      </c>
      <c r="J603" s="17" t="n"/>
      <c r="K603" s="23" t="inlineStr">
        <is>
          <t>10403521197</t>
        </is>
      </c>
      <c r="L603" s="25">
        <f t="array" ref="L603">IF(K603="","",IFERROR(IF(INDEX(Clientes!$D$5:$D$549,MATCH(K603,Clientes!$C$5:$C$549,0))&lt;&gt;"",INDEX(Clientes!$D$5:$D$549,MATCH(K603,Clientes!$C$5:$C$549,0)),TRIM(INDEX(Clientes!$E$5:$E$549,MATCH(K603,Clientes!$C$5:$C$549,0))&amp;" "&amp;INDEX(Clientes!$F$5:$F$549,MATCH(K603,Clientes!$C$5:$C$549,0)))),"NO EXISTE en Clientes"))</f>
        <v/>
      </c>
      <c r="M603" s="17" t="n"/>
      <c r="N603" s="17" t="n"/>
      <c r="O603" s="42" t="n"/>
      <c r="P603" s="39">
        <f>IF(O603&lt;&gt;"",DATE(YEAR(O603)+5,MONTH(O603),1),IF(AND(M603&lt;&gt;"",N603&lt;&gt;""),DATE(M603+5,N603,1),""))</f>
        <v/>
      </c>
      <c r="Q603" s="23" t="n"/>
      <c r="R603" s="17" t="n"/>
      <c r="S603" s="17" t="n"/>
      <c r="T603" s="17" t="n"/>
      <c r="U603" s="17" t="n"/>
      <c r="V603" s="23" t="n"/>
      <c r="W603" s="17" t="n"/>
      <c r="X603" s="17" t="n"/>
      <c r="Y603" s="28">
        <f>IF(B603&lt;&gt;"OK","","SELECT bal_crear_balon(p_codigo_balon =&gt; "&amp;IF(TRIM(C603&amp;"")="","NULL","'"&amp;SUBSTITUTE(TRIM(C603),"'","''")&amp;"'")&amp;", p_id_tipo_balon =&gt; "&amp;"(SELECT id FROM bal_tipo_balon WHERE upper(nombre) = upper('"&amp;SUBSTITUTE(TRIM(D603),"'","''")&amp;"') AND estado = 1 LIMIT 1)"&amp;", p_id_producto_gas =&gt; "&amp;"(SELECT id FROM pro_producto WHERE es_gas = TRUE AND upper(nombre) = upper('"&amp;SUBSTITUTE(TRIM(E603),"'","''")&amp;"') AND estado = 1 LIMIT 1)"&amp;", p_id_propietario =&gt; "&amp;IF(TRIM(F603&amp;"")="","NULL","(SELECT lo.id FROM gen_lista_opciones lo JOIN gen_lista l ON l.id = lo.id_lista WHERE l.nombre = 'PropietarioBalon' AND upper(lo.nombre) = upper('"&amp;SUBSTITUTE(TRIM(F603),"'","''")&amp;"') AND lo.estado = 1 LIMIT 1)")&amp;", p_id_cliente_propietario =&gt; "&amp;IF(F603="CLIENTE",IF(TRIM(G603&amp;"")="","NULL","(SELECT id FROM cli_clientes WHERE numero_documento = '"&amp;SUBSTITUTE(TRIM(G603),"'","''")&amp;"' AND estado = 1 LIMIT 1)"),"NULL")&amp;", p_id_planta =&gt; "&amp;IF(F603="PLANTA",IF(TRIM(G603&amp;"")="","NULL","(SELECT id FROM cli_clientes WHERE numero_documento = '"&amp;SUBSTITUTE(TRIM(G603),"'","''")&amp;"'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"&amp;IF(TRIM(J603&amp;"")="","NULL","(SELECT id FROM gen_almacen WHERE upper(nombre) = upper('"&amp;SUBSTITUTE(TRIM(J603),"'","''")&amp;"') AND estado = 1 LIMIT 1)")&amp;", p_id_cliente_ubicacion =&gt; "&amp;IF(TRIM(K603&amp;"")="","NULL","(SELECT id FROM cli_clientes WHERE numero_documento = '"&amp;SUBSTITUTE(TRIM(K603),"'","''")&amp;"' AND estado = 1 LIMIT 1)")&amp;", p_id_referencia =&gt; "&amp;IF(TRIM(J603&amp;"")&lt;&gt;"","(SELECT lo.id FROM gen_lista_opciones lo JOIN gen_lista l ON l.id = lo.id_lista WHERE l.nombre = 'ReferenciaCilindro' AND upper(lo.nombre) = 'ALMACEN' AND lo.estado = 1 LIMIT 1)",IF(TRIM(K603&amp;"")&lt;&gt;"","(SELECT lo.id FROM gen_lista_opciones lo JOIN gen_lista l ON l.id = lo.id_lista WHERE l.nombre = 'ReferenciaCilindro' AND upper(lo.nombre) = 'CLIENTE' AND lo.estado = 1 LIMIT 1)","NULL"))&amp;", p_anio_fabricacion =&gt; "&amp;IF(M603&amp;""="","NULL::smallint",M603&amp;"::smallint")&amp;", p_mes_fabricacion =&gt; "&amp;IF(N603&amp;""="","NULL::smallint",N603&amp;"::smallint")&amp;", p_fecha_ultima_prueba_hidrostatica =&gt; "&amp;IF(O603&amp;""="","NULL","'"&amp;YEAR(O603)&amp;"-"&amp;TEXT(MONTH(O603),"00")&amp;"-"&amp;TEXT(DAY(O603),"00")&amp;"'")&amp;", p_numero_serie =&gt; "&amp;IF(TRIM(Q603&amp;"")="","NULL","'"&amp;SUBSTITUTE(TRIM(Q603),"'","''")&amp;"'")&amp;", p_id_marca_cilindro =&gt; "&amp;IF(TRIM(R603&amp;"")="","NULL","(SELECT lo.id FROM gen_lista_opciones lo JOIN gen_lista l ON l.id = lo.id_lista WHERE l.nombre = 'MarcaCilindro' AND upper(lo.nombre) = upper('"&amp;SUBSTITUTE(TRIM(R603),"'","''")&amp;"') AND lo.estado = 1 LIMIT 1)")&amp;", p_id_organo_inspector =&gt; "&amp;IF(TRIM(S603&amp;"")="","NULL","(SELECT lo.id FROM gen_lista_opciones lo JOIN gen_lista l ON l.id = lo.id_lista WHERE l.nombre = 'OrganoInspectorCilindro' AND upper(lo.nombre) = upper('"&amp;SUBSTITUTE(TRIM(S603),"'","''")&amp;"') AND lo.estado = 1 LIMIT 1)")&amp;", p_organo_inspector_no_aplica =&gt; "&amp;IF(S603="NO_APLICA","TRUE","FALSE")&amp;", p_presion_actual =&gt; "&amp;IF(T603&amp;""="","NULL",SUBSTITUTE(T603&amp;"",",","."))&amp;", p_tipo_valvula =&gt; "&amp;IF(TRIM(U603&amp;"")="","NULL","'"&amp;SUBSTITUTE(TRIM(U603),"'","''")&amp;"'")&amp;", p_libro_cilindro =&gt; "&amp;IF(TRIM(V603&amp;"")="","NULL","'"&amp;SUBSTITUTE(TRIM(V603),"'","''")&amp;"'")&amp;", p_pagina_libro =&gt; "&amp;IF(W603&amp;""="","NULL",SUBSTITUTE(W603&amp;"",",","."))&amp;", p_observacion =&gt; "&amp;IF(TRIM(X603&amp;"")="","NULL","'"&amp;SUBSTITUTE(TRIM(X603),"'","''")&amp;"'")&amp;") AS resultado_balon_"&amp;ROW()&amp;";")</f>
        <v/>
      </c>
    </row>
    <row r="604" ht="15.75" customHeight="1" s="64">
      <c r="A604" s="36" t="inlineStr">
        <is>
          <t>600</t>
        </is>
      </c>
      <c r="B604" s="25">
        <f>IF(AND(C604="",D604="",E604=""),"",IF(C604="","FALTA código balón",IF(D604="","FALTA tipo balón",IF(E604="","FALTA gas",IF(F604="","FALTA propietario",IF(AND(C604&lt;&gt;"",SUMPRODUCT(--($C$5:$C$1200=C604))&gt;1),"CÓDIGO BALÓN DUPLICADO",IF(AND(OR(UPPER(F604)="PLANTA",UPPER(F604)="CLIENTE"),G604=""),"FALTA doc propietario/planta",IF(AND(UPPER(F604)="PLANTA",G604="10175332796"),"PLANTA no puede ser RUC empresa","OK"))))))))</f>
        <v/>
      </c>
      <c r="C604" s="23" t="inlineStr">
        <is>
          <t>302354</t>
        </is>
      </c>
      <c r="D604" s="17" t="inlineStr">
        <is>
          <t>Nitrógeno 10 m³</t>
        </is>
      </c>
      <c r="E604" s="17" t="inlineStr">
        <is>
          <t>NITROGENO</t>
        </is>
      </c>
      <c r="F604" s="17" t="inlineStr">
        <is>
          <t>EMPRESA</t>
        </is>
      </c>
      <c r="G604" s="23" t="inlineStr">
        <is>
          <t>10175332796</t>
        </is>
      </c>
      <c r="H604" s="25">
        <f t="array" ref="H604">IF(G604="","",IFERROR(IF(INDEX(Clientes!$D$5:$D$549,MATCH(G604,Clientes!$C$5:$C$549,0))&lt;&gt;"",INDEX(Clientes!$D$5:$D$549,MATCH(G604,Clientes!$C$5:$C$549,0)),TRIM(INDEX(Clientes!$E$5:$E$549,MATCH(G604,Clientes!$C$5:$C$549,0))&amp;" "&amp;INDEX(Clientes!$F$5:$F$549,MATCH(G604,Clientes!$C$5:$C$549,0)))),"NO EXISTE en Clientes"))</f>
        <v/>
      </c>
      <c r="I604" s="17" t="inlineStr">
        <is>
          <t>EN_PODER_CLIENTE</t>
        </is>
      </c>
      <c r="J604" s="17" t="n"/>
      <c r="K604" s="23" t="inlineStr">
        <is>
          <t>20612690007</t>
        </is>
      </c>
      <c r="L604" s="25">
        <f t="array" ref="L604">IF(K604="","",IFERROR(IF(INDEX(Clientes!$D$5:$D$549,MATCH(K604,Clientes!$C$5:$C$549,0))&lt;&gt;"",INDEX(Clientes!$D$5:$D$549,MATCH(K604,Clientes!$C$5:$C$549,0)),TRIM(INDEX(Clientes!$E$5:$E$549,MATCH(K604,Clientes!$C$5:$C$549,0))&amp;" "&amp;INDEX(Clientes!$F$5:$F$549,MATCH(K604,Clientes!$C$5:$C$549,0)))),"NO EXISTE en Clientes"))</f>
        <v/>
      </c>
      <c r="M604" s="17" t="n"/>
      <c r="N604" s="17" t="n"/>
      <c r="O604" s="42" t="n"/>
      <c r="P604" s="39">
        <f>IF(O604&lt;&gt;"",DATE(YEAR(O604)+5,MONTH(O604),1),IF(AND(M604&lt;&gt;"",N604&lt;&gt;""),DATE(M604+5,N604,1),""))</f>
        <v/>
      </c>
      <c r="Q604" s="23" t="n"/>
      <c r="R604" s="17" t="n"/>
      <c r="S604" s="17" t="n"/>
      <c r="T604" s="17" t="n"/>
      <c r="U604" s="17" t="n"/>
      <c r="V604" s="23" t="n"/>
      <c r="W604" s="17" t="n"/>
      <c r="X604" s="17" t="n"/>
      <c r="Y604" s="28">
        <f>IF(B604&lt;&gt;"OK","","SELECT bal_crear_balon(p_codigo_balon =&gt; "&amp;IF(TRIM(C604&amp;"")="","NULL","'"&amp;SUBSTITUTE(TRIM(C604),"'","''")&amp;"'")&amp;", p_id_tipo_balon =&gt; "&amp;"(SELECT id FROM bal_tipo_balon WHERE upper(nombre) = upper('"&amp;SUBSTITUTE(TRIM(D604),"'","''")&amp;"') AND estado = 1 LIMIT 1)"&amp;", p_id_producto_gas =&gt; "&amp;"(SELECT id FROM pro_producto WHERE es_gas = TRUE AND upper(nombre) = upper('"&amp;SUBSTITUTE(TRIM(E604),"'","''")&amp;"') AND estado = 1 LIMIT 1)"&amp;", p_id_propietario =&gt; "&amp;IF(TRIM(F604&amp;"")="","NULL","(SELECT lo.id FROM gen_lista_opciones lo JOIN gen_lista l ON l.id = lo.id_lista WHERE l.nombre = 'PropietarioBalon' AND upper(lo.nombre) = upper('"&amp;SUBSTITUTE(TRIM(F604),"'","''")&amp;"') AND lo.estado = 1 LIMIT 1)")&amp;", p_id_cliente_propietario =&gt; "&amp;IF(F604="CLIENTE",IF(TRIM(G604&amp;"")="","NULL","(SELECT id FROM cli_clientes WHERE numero_documento = '"&amp;SUBSTITUTE(TRIM(G604),"'","''")&amp;"' AND estado = 1 LIMIT 1)"),"NULL")&amp;", p_id_planta =&gt; "&amp;IF(F604="PLANTA",IF(TRIM(G604&amp;"")="","NULL","(SELECT id FROM cli_clientes WHERE numero_documento = '"&amp;SUBSTITUTE(TRIM(G604),"'","''")&amp;"'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"&amp;IF(TRIM(J604&amp;"")="","NULL","(SELECT id FROM gen_almacen WHERE upper(nombre) = upper('"&amp;SUBSTITUTE(TRIM(J604),"'","''")&amp;"') AND estado = 1 LIMIT 1)")&amp;", p_id_cliente_ubicacion =&gt; "&amp;IF(TRIM(K604&amp;"")="","NULL","(SELECT id FROM cli_clientes WHERE numero_documento = '"&amp;SUBSTITUTE(TRIM(K604),"'","''")&amp;"' AND estado = 1 LIMIT 1)")&amp;", p_id_referencia =&gt; "&amp;IF(TRIM(J604&amp;"")&lt;&gt;"","(SELECT lo.id FROM gen_lista_opciones lo JOIN gen_lista l ON l.id = lo.id_lista WHERE l.nombre = 'ReferenciaCilindro' AND upper(lo.nombre) = 'ALMACEN' AND lo.estado = 1 LIMIT 1)",IF(TRIM(K604&amp;"")&lt;&gt;"","(SELECT lo.id FROM gen_lista_opciones lo JOIN gen_lista l ON l.id = lo.id_lista WHERE l.nombre = 'ReferenciaCilindro' AND upper(lo.nombre) = 'CLIENTE' AND lo.estado = 1 LIMIT 1)","NULL"))&amp;", p_anio_fabricacion =&gt; "&amp;IF(M604&amp;""="","NULL::smallint",M604&amp;"::smallint")&amp;", p_mes_fabricacion =&gt; "&amp;IF(N604&amp;""="","NULL::smallint",N604&amp;"::smallint")&amp;", p_fecha_ultima_prueba_hidrostatica =&gt; "&amp;IF(O604&amp;""="","NULL","'"&amp;YEAR(O604)&amp;"-"&amp;TEXT(MONTH(O604),"00")&amp;"-"&amp;TEXT(DAY(O604),"00")&amp;"'")&amp;", p_numero_serie =&gt; "&amp;IF(TRIM(Q604&amp;"")="","NULL","'"&amp;SUBSTITUTE(TRIM(Q604),"'","''")&amp;"'")&amp;", p_id_marca_cilindro =&gt; "&amp;IF(TRIM(R604&amp;"")="","NULL","(SELECT lo.id FROM gen_lista_opciones lo JOIN gen_lista l ON l.id = lo.id_lista WHERE l.nombre = 'MarcaCilindro' AND upper(lo.nombre) = upper('"&amp;SUBSTITUTE(TRIM(R604),"'","''")&amp;"') AND lo.estado = 1 LIMIT 1)")&amp;", p_id_organo_inspector =&gt; "&amp;IF(TRIM(S604&amp;"")="","NULL","(SELECT lo.id FROM gen_lista_opciones lo JOIN gen_lista l ON l.id = lo.id_lista WHERE l.nombre = 'OrganoInspectorCilindro' AND upper(lo.nombre) = upper('"&amp;SUBSTITUTE(TRIM(S604),"'","''")&amp;"') AND lo.estado = 1 LIMIT 1)")&amp;", p_organo_inspector_no_aplica =&gt; "&amp;IF(S604="NO_APLICA","TRUE","FALSE")&amp;", p_presion_actual =&gt; "&amp;IF(T604&amp;""="","NULL",SUBSTITUTE(T604&amp;"",",","."))&amp;", p_tipo_valvula =&gt; "&amp;IF(TRIM(U604&amp;"")="","NULL","'"&amp;SUBSTITUTE(TRIM(U604),"'","''")&amp;"'")&amp;", p_libro_cilindro =&gt; "&amp;IF(TRIM(V604&amp;"")="","NULL","'"&amp;SUBSTITUTE(TRIM(V604),"'","''")&amp;"'")&amp;", p_pagina_libro =&gt; "&amp;IF(W604&amp;""="","NULL",SUBSTITUTE(W604&amp;"",",","."))&amp;", p_observacion =&gt; "&amp;IF(TRIM(X604&amp;"")="","NULL","'"&amp;SUBSTITUTE(TRIM(X604),"'","''")&amp;"'")&amp;") AS resultado_balon_"&amp;ROW()&amp;";")</f>
        <v/>
      </c>
    </row>
    <row r="605" ht="15.75" customHeight="1" s="64">
      <c r="A605" s="36" t="inlineStr">
        <is>
          <t>601</t>
        </is>
      </c>
      <c r="B605" s="25">
        <f>IF(AND(C605="",D605="",E605=""),"",IF(C605="","FALTA código balón",IF(D605="","FALTA tipo balón",IF(E605="","FALTA gas",IF(F605="","FALTA propietario",IF(AND(C605&lt;&gt;"",SUMPRODUCT(--($C$5:$C$1200=C605))&gt;1),"CÓDIGO BALÓN DUPLICADO",IF(AND(OR(UPPER(F605)="PLANTA",UPPER(F605)="CLIENTE"),G605=""),"FALTA doc propietario/planta",IF(AND(UPPER(F605)="PLANTA",G605="10175332796"),"PLANTA no puede ser RUC empresa","OK"))))))))</f>
        <v/>
      </c>
      <c r="C605" s="23" t="inlineStr">
        <is>
          <t>19S206053</t>
        </is>
      </c>
      <c r="D605" s="17" t="inlineStr">
        <is>
          <t>Oxígeno Industrial 6 m³</t>
        </is>
      </c>
      <c r="E605" s="17" t="inlineStr">
        <is>
          <t>OXIGENO INDUSTRIAL</t>
        </is>
      </c>
      <c r="F605" s="17" t="inlineStr">
        <is>
          <t>EMPRESA</t>
        </is>
      </c>
      <c r="G605" s="23" t="inlineStr">
        <is>
          <t>10175332796</t>
        </is>
      </c>
      <c r="H605" s="25">
        <f t="array" ref="H605">IF(G605="","",IFERROR(IF(INDEX(Clientes!$D$5:$D$549,MATCH(G605,Clientes!$C$5:$C$549,0))&lt;&gt;"",INDEX(Clientes!$D$5:$D$549,MATCH(G605,Clientes!$C$5:$C$549,0)),TRIM(INDEX(Clientes!$E$5:$E$549,MATCH(G605,Clientes!$C$5:$C$549,0))&amp;" "&amp;INDEX(Clientes!$F$5:$F$549,MATCH(G605,Clientes!$C$5:$C$549,0)))),"NO EXISTE en Clientes"))</f>
        <v/>
      </c>
      <c r="I605" s="17" t="inlineStr">
        <is>
          <t>EN_PODER_CLIENTE</t>
        </is>
      </c>
      <c r="J605" s="17" t="n"/>
      <c r="K605" s="23" t="inlineStr">
        <is>
          <t>000049</t>
        </is>
      </c>
      <c r="L605" s="25">
        <f t="array" ref="L605">IF(K605="","",IFERROR(IF(INDEX(Clientes!$D$5:$D$549,MATCH(K605,Clientes!$C$5:$C$549,0))&lt;&gt;"",INDEX(Clientes!$D$5:$D$549,MATCH(K605,Clientes!$C$5:$C$549,0)),TRIM(INDEX(Clientes!$E$5:$E$549,MATCH(K605,Clientes!$C$5:$C$549,0))&amp;" "&amp;INDEX(Clientes!$F$5:$F$549,MATCH(K605,Clientes!$C$5:$C$549,0)))),"NO EXISTE en Clientes"))</f>
        <v/>
      </c>
      <c r="M605" s="17" t="n"/>
      <c r="N605" s="17" t="n"/>
      <c r="O605" s="42" t="n"/>
      <c r="P605" s="39">
        <f>IF(O605&lt;&gt;"",DATE(YEAR(O605)+5,MONTH(O605),1),IF(AND(M605&lt;&gt;"",N605&lt;&gt;""),DATE(M605+5,N605,1),""))</f>
        <v/>
      </c>
      <c r="Q605" s="23" t="n"/>
      <c r="R605" s="17" t="n"/>
      <c r="S605" s="17" t="n"/>
      <c r="T605" s="17" t="n"/>
      <c r="U605" s="17" t="n"/>
      <c r="V605" s="23" t="n"/>
      <c r="W605" s="17" t="n"/>
      <c r="X605" s="17" t="n"/>
      <c r="Y605" s="28">
        <f>IF(B605&lt;&gt;"OK","","SELECT bal_crear_balon(p_codigo_balon =&gt; "&amp;IF(TRIM(C605&amp;"")="","NULL","'"&amp;SUBSTITUTE(TRIM(C605),"'","''")&amp;"'")&amp;", p_id_tipo_balon =&gt; "&amp;"(SELECT id FROM bal_tipo_balon WHERE upper(nombre) = upper('"&amp;SUBSTITUTE(TRIM(D605),"'","''")&amp;"') AND estado = 1 LIMIT 1)"&amp;", p_id_producto_gas =&gt; "&amp;"(SELECT id FROM pro_producto WHERE es_gas = TRUE AND upper(nombre) = upper('"&amp;SUBSTITUTE(TRIM(E605),"'","''")&amp;"') AND estado = 1 LIMIT 1)"&amp;", p_id_propietario =&gt; "&amp;IF(TRIM(F605&amp;"")="","NULL","(SELECT lo.id FROM gen_lista_opciones lo JOIN gen_lista l ON l.id = lo.id_lista WHERE l.nombre = 'PropietarioBalon' AND upper(lo.nombre) = upper('"&amp;SUBSTITUTE(TRIM(F605),"'","''")&amp;"') AND lo.estado = 1 LIMIT 1)")&amp;", p_id_cliente_propietario =&gt; "&amp;IF(F605="CLIENTE",IF(TRIM(G605&amp;"")="","NULL","(SELECT id FROM cli_clientes WHERE numero_documento = '"&amp;SUBSTITUTE(TRIM(G605),"'","''")&amp;"' AND estado = 1 LIMIT 1)"),"NULL")&amp;", p_id_planta =&gt; "&amp;IF(F605="PLANTA",IF(TRIM(G605&amp;"")="","NULL","(SELECT id FROM cli_clientes WHERE numero_documento = '"&amp;SUBSTITUTE(TRIM(G605),"'","''")&amp;"'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"&amp;IF(TRIM(J605&amp;"")="","NULL","(SELECT id FROM gen_almacen WHERE upper(nombre) = upper('"&amp;SUBSTITUTE(TRIM(J605),"'","''")&amp;"') AND estado = 1 LIMIT 1)")&amp;", p_id_cliente_ubicacion =&gt; "&amp;IF(TRIM(K605&amp;"")="","NULL","(SELECT id FROM cli_clientes WHERE numero_documento = '"&amp;SUBSTITUTE(TRIM(K605),"'","''")&amp;"' AND estado = 1 LIMIT 1)")&amp;", p_id_referencia =&gt; "&amp;IF(TRIM(J605&amp;"")&lt;&gt;"","(SELECT lo.id FROM gen_lista_opciones lo JOIN gen_lista l ON l.id = lo.id_lista WHERE l.nombre = 'ReferenciaCilindro' AND upper(lo.nombre) = 'ALMACEN' AND lo.estado = 1 LIMIT 1)",IF(TRIM(K605&amp;"")&lt;&gt;"","(SELECT lo.id FROM gen_lista_opciones lo JOIN gen_lista l ON l.id = lo.id_lista WHERE l.nombre = 'ReferenciaCilindro' AND upper(lo.nombre) = 'CLIENTE' AND lo.estado = 1 LIMIT 1)","NULL"))&amp;", p_anio_fabricacion =&gt; "&amp;IF(M605&amp;""="","NULL::smallint",M605&amp;"::smallint")&amp;", p_mes_fabricacion =&gt; "&amp;IF(N605&amp;""="","NULL::smallint",N605&amp;"::smallint")&amp;", p_fecha_ultima_prueba_hidrostatica =&gt; "&amp;IF(O605&amp;""="","NULL","'"&amp;YEAR(O605)&amp;"-"&amp;TEXT(MONTH(O605),"00")&amp;"-"&amp;TEXT(DAY(O605),"00")&amp;"'")&amp;", p_numero_serie =&gt; "&amp;IF(TRIM(Q605&amp;"")="","NULL","'"&amp;SUBSTITUTE(TRIM(Q605),"'","''")&amp;"'")&amp;", p_id_marca_cilindro =&gt; "&amp;IF(TRIM(R605&amp;"")="","NULL","(SELECT lo.id FROM gen_lista_opciones lo JOIN gen_lista l ON l.id = lo.id_lista WHERE l.nombre = 'MarcaCilindro' AND upper(lo.nombre) = upper('"&amp;SUBSTITUTE(TRIM(R605),"'","''")&amp;"') AND lo.estado = 1 LIMIT 1)")&amp;", p_id_organo_inspector =&gt; "&amp;IF(TRIM(S605&amp;"")="","NULL","(SELECT lo.id FROM gen_lista_opciones lo JOIN gen_lista l ON l.id = lo.id_lista WHERE l.nombre = 'OrganoInspectorCilindro' AND upper(lo.nombre) = upper('"&amp;SUBSTITUTE(TRIM(S605),"'","''")&amp;"') AND lo.estado = 1 LIMIT 1)")&amp;", p_organo_inspector_no_aplica =&gt; "&amp;IF(S605="NO_APLICA","TRUE","FALSE")&amp;", p_presion_actual =&gt; "&amp;IF(T605&amp;""="","NULL",SUBSTITUTE(T605&amp;"",",","."))&amp;", p_tipo_valvula =&gt; "&amp;IF(TRIM(U605&amp;"")="","NULL","'"&amp;SUBSTITUTE(TRIM(U605),"'","''")&amp;"'")&amp;", p_libro_cilindro =&gt; "&amp;IF(TRIM(V605&amp;"")="","NULL","'"&amp;SUBSTITUTE(TRIM(V605),"'","''")&amp;"'")&amp;", p_pagina_libro =&gt; "&amp;IF(W605&amp;""="","NULL",SUBSTITUTE(W605&amp;"",",","."))&amp;", p_observacion =&gt; "&amp;IF(TRIM(X605&amp;"")="","NULL","'"&amp;SUBSTITUTE(TRIM(X605),"'","''")&amp;"'")&amp;") AS resultado_balon_"&amp;ROW()&amp;";")</f>
        <v/>
      </c>
    </row>
    <row r="606" ht="15.75" customHeight="1" s="64">
      <c r="A606" s="36" t="inlineStr">
        <is>
          <t>602</t>
        </is>
      </c>
      <c r="B606" s="25">
        <f>IF(AND(C606="",D606="",E606=""),"",IF(C606="","FALTA código balón",IF(D606="","FALTA tipo balón",IF(E606="","FALTA gas",IF(F606="","FALTA propietario",IF(AND(C606&lt;&gt;"",SUMPRODUCT(--($C$5:$C$1200=C606))&gt;1),"CÓDIGO BALÓN DUPLICADO",IF(AND(OR(UPPER(F606)="PLANTA",UPPER(F606)="CLIENTE"),G606=""),"FALTA doc propietario/planta",IF(AND(UPPER(F606)="PLANTA",G606="10175332796"),"PLANTA no puede ser RUC empresa","OK"))))))))</f>
        <v/>
      </c>
      <c r="C606" s="23" t="inlineStr">
        <is>
          <t>20K646081</t>
        </is>
      </c>
      <c r="D606" s="17" t="inlineStr">
        <is>
          <t>Argón Estándar 10 m3</t>
        </is>
      </c>
      <c r="E606" s="17" t="inlineStr">
        <is>
          <t>ARGON</t>
        </is>
      </c>
      <c r="F606" s="17" t="inlineStr">
        <is>
          <t>EMPRESA</t>
        </is>
      </c>
      <c r="G606" s="23" t="inlineStr">
        <is>
          <t>10175332796</t>
        </is>
      </c>
      <c r="H606" s="25">
        <f t="array" ref="H606">IF(G606="","",IFERROR(IF(INDEX(Clientes!$D$5:$D$549,MATCH(G606,Clientes!$C$5:$C$549,0))&lt;&gt;"",INDEX(Clientes!$D$5:$D$549,MATCH(G606,Clientes!$C$5:$C$549,0)),TRIM(INDEX(Clientes!$E$5:$E$549,MATCH(G606,Clientes!$C$5:$C$549,0))&amp;" "&amp;INDEX(Clientes!$F$5:$F$549,MATCH(G606,Clientes!$C$5:$C$549,0)))),"NO EXISTE en Clientes"))</f>
        <v/>
      </c>
      <c r="I606" s="17" t="inlineStr">
        <is>
          <t>EN_PODER_CLIENTE</t>
        </is>
      </c>
      <c r="J606" s="17" t="n"/>
      <c r="K606" s="23" t="inlineStr">
        <is>
          <t>10167238195</t>
        </is>
      </c>
      <c r="L606" s="25">
        <f t="array" ref="L606">IF(K606="","",IFERROR(IF(INDEX(Clientes!$D$5:$D$549,MATCH(K606,Clientes!$C$5:$C$549,0))&lt;&gt;"",INDEX(Clientes!$D$5:$D$549,MATCH(K606,Clientes!$C$5:$C$549,0)),TRIM(INDEX(Clientes!$E$5:$E$549,MATCH(K606,Clientes!$C$5:$C$549,0))&amp;" "&amp;INDEX(Clientes!$F$5:$F$549,MATCH(K606,Clientes!$C$5:$C$549,0)))),"NO EXISTE en Clientes"))</f>
        <v/>
      </c>
      <c r="M606" s="17" t="n"/>
      <c r="N606" s="17" t="n"/>
      <c r="O606" s="42" t="n"/>
      <c r="P606" s="39">
        <f>IF(O606&lt;&gt;"",DATE(YEAR(O606)+5,MONTH(O606),1),IF(AND(M606&lt;&gt;"",N606&lt;&gt;""),DATE(M606+5,N606,1),""))</f>
        <v/>
      </c>
      <c r="Q606" s="23" t="n"/>
      <c r="R606" s="17" t="n"/>
      <c r="S606" s="17" t="n"/>
      <c r="T606" s="17" t="n"/>
      <c r="U606" s="17" t="n"/>
      <c r="V606" s="23" t="n"/>
      <c r="W606" s="17" t="n"/>
      <c r="X606" s="17" t="n"/>
      <c r="Y606" s="28">
        <f>IF(B606&lt;&gt;"OK","","SELECT bal_crear_balon(p_codigo_balon =&gt; "&amp;IF(TRIM(C606&amp;"")="","NULL","'"&amp;SUBSTITUTE(TRIM(C606),"'","''")&amp;"'")&amp;", p_id_tipo_balon =&gt; "&amp;"(SELECT id FROM bal_tipo_balon WHERE upper(nombre) = upper('"&amp;SUBSTITUTE(TRIM(D606),"'","''")&amp;"') AND estado = 1 LIMIT 1)"&amp;", p_id_producto_gas =&gt; "&amp;"(SELECT id FROM pro_producto WHERE es_gas = TRUE AND upper(nombre) = upper('"&amp;SUBSTITUTE(TRIM(E606),"'","''")&amp;"') AND estado = 1 LIMIT 1)"&amp;", p_id_propietario =&gt; "&amp;IF(TRIM(F606&amp;"")="","NULL","(SELECT lo.id FROM gen_lista_opciones lo JOIN gen_lista l ON l.id = lo.id_lista WHERE l.nombre = 'PropietarioBalon' AND upper(lo.nombre) = upper('"&amp;SUBSTITUTE(TRIM(F606),"'","''")&amp;"') AND lo.estado = 1 LIMIT 1)")&amp;", p_id_cliente_propietario =&gt; "&amp;IF(F606="CLIENTE",IF(TRIM(G606&amp;"")="","NULL","(SELECT id FROM cli_clientes WHERE numero_documento = '"&amp;SUBSTITUTE(TRIM(G606),"'","''")&amp;"' AND estado = 1 LIMIT 1)"),"NULL")&amp;", p_id_planta =&gt; "&amp;IF(F606="PLANTA",IF(TRIM(G606&amp;"")="","NULL","(SELECT id FROM cli_clientes WHERE numero_documento = '"&amp;SUBSTITUTE(TRIM(G606),"'","''")&amp;"'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"&amp;IF(TRIM(J606&amp;"")="","NULL","(SELECT id FROM gen_almacen WHERE upper(nombre) = upper('"&amp;SUBSTITUTE(TRIM(J606),"'","''")&amp;"') AND estado = 1 LIMIT 1)")&amp;", p_id_cliente_ubicacion =&gt; "&amp;IF(TRIM(K606&amp;"")="","NULL","(SELECT id FROM cli_clientes WHERE numero_documento = '"&amp;SUBSTITUTE(TRIM(K606),"'","''")&amp;"' AND estado = 1 LIMIT 1)")&amp;", p_id_referencia =&gt; "&amp;IF(TRIM(J606&amp;"")&lt;&gt;"","(SELECT lo.id FROM gen_lista_opciones lo JOIN gen_lista l ON l.id = lo.id_lista WHERE l.nombre = 'ReferenciaCilindro' AND upper(lo.nombre) = 'ALMACEN' AND lo.estado = 1 LIMIT 1)",IF(TRIM(K606&amp;"")&lt;&gt;"","(SELECT lo.id FROM gen_lista_opciones lo JOIN gen_lista l ON l.id = lo.id_lista WHERE l.nombre = 'ReferenciaCilindro' AND upper(lo.nombre) = 'CLIENTE' AND lo.estado = 1 LIMIT 1)","NULL"))&amp;", p_anio_fabricacion =&gt; "&amp;IF(M606&amp;""="","NULL::smallint",M606&amp;"::smallint")&amp;", p_mes_fabricacion =&gt; "&amp;IF(N606&amp;""="","NULL::smallint",N606&amp;"::smallint")&amp;", p_fecha_ultima_prueba_hidrostatica =&gt; "&amp;IF(O606&amp;""="","NULL","'"&amp;YEAR(O606)&amp;"-"&amp;TEXT(MONTH(O606),"00")&amp;"-"&amp;TEXT(DAY(O606),"00")&amp;"'")&amp;", p_numero_serie =&gt; "&amp;IF(TRIM(Q606&amp;"")="","NULL","'"&amp;SUBSTITUTE(TRIM(Q606),"'","''")&amp;"'")&amp;", p_id_marca_cilindro =&gt; "&amp;IF(TRIM(R606&amp;"")="","NULL","(SELECT lo.id FROM gen_lista_opciones lo JOIN gen_lista l ON l.id = lo.id_lista WHERE l.nombre = 'MarcaCilindro' AND upper(lo.nombre) = upper('"&amp;SUBSTITUTE(TRIM(R606),"'","''")&amp;"') AND lo.estado = 1 LIMIT 1)")&amp;", p_id_organo_inspector =&gt; "&amp;IF(TRIM(S606&amp;"")="","NULL","(SELECT lo.id FROM gen_lista_opciones lo JOIN gen_lista l ON l.id = lo.id_lista WHERE l.nombre = 'OrganoInspectorCilindro' AND upper(lo.nombre) = upper('"&amp;SUBSTITUTE(TRIM(S606),"'","''")&amp;"') AND lo.estado = 1 LIMIT 1)")&amp;", p_organo_inspector_no_aplica =&gt; "&amp;IF(S606="NO_APLICA","TRUE","FALSE")&amp;", p_presion_actual =&gt; "&amp;IF(T606&amp;""="","NULL",SUBSTITUTE(T606&amp;"",",","."))&amp;", p_tipo_valvula =&gt; "&amp;IF(TRIM(U606&amp;"")="","NULL","'"&amp;SUBSTITUTE(TRIM(U606),"'","''")&amp;"'")&amp;", p_libro_cilindro =&gt; "&amp;IF(TRIM(V606&amp;"")="","NULL","'"&amp;SUBSTITUTE(TRIM(V606),"'","''")&amp;"'")&amp;", p_pagina_libro =&gt; "&amp;IF(W606&amp;""="","NULL",SUBSTITUTE(W606&amp;"",",","."))&amp;", p_observacion =&gt; "&amp;IF(TRIM(X606&amp;"")="","NULL","'"&amp;SUBSTITUTE(TRIM(X606),"'","''")&amp;"'")&amp;") AS resultado_balon_"&amp;ROW()&amp;";")</f>
        <v/>
      </c>
    </row>
    <row r="607" ht="15.75" customHeight="1" s="64">
      <c r="A607" s="36" t="inlineStr">
        <is>
          <t>603</t>
        </is>
      </c>
      <c r="B607" s="25">
        <f>IF(AND(C607="",D607="",E607=""),"",IF(C607="","FALTA código balón",IF(D607="","FALTA tipo balón",IF(E607="","FALTA gas",IF(F607="","FALTA propietario",IF(AND(C607&lt;&gt;"",SUMPRODUCT(--($C$5:$C$1200=C607))&gt;1),"CÓDIGO BALÓN DUPLICADO",IF(AND(OR(UPPER(F607)="PLANTA",UPPER(F607)="CLIENTE"),G607=""),"FALTA doc propietario/planta",IF(AND(UPPER(F607)="PLANTA",G607="10175332796"),"PLANTA no puede ser RUC empresa","OK"))))))))</f>
        <v/>
      </c>
      <c r="C607" s="23" t="inlineStr">
        <is>
          <t>K5409176</t>
        </is>
      </c>
      <c r="D607" s="17" t="inlineStr">
        <is>
          <t>Oxígeno Industrial 10 m³</t>
        </is>
      </c>
      <c r="E607" s="17" t="inlineStr">
        <is>
          <t>OXIGENO INDUSTRIAL</t>
        </is>
      </c>
      <c r="F607" s="17" t="inlineStr">
        <is>
          <t>EMPRESA</t>
        </is>
      </c>
      <c r="G607" s="23" t="inlineStr">
        <is>
          <t>10175332796</t>
        </is>
      </c>
      <c r="H607" s="25">
        <f t="array" ref="H607">IF(G607="","",IFERROR(IF(INDEX(Clientes!$D$5:$D$549,MATCH(G607,Clientes!$C$5:$C$549,0))&lt;&gt;"",INDEX(Clientes!$D$5:$D$549,MATCH(G607,Clientes!$C$5:$C$549,0)),TRIM(INDEX(Clientes!$E$5:$E$549,MATCH(G607,Clientes!$C$5:$C$549,0))&amp;" "&amp;INDEX(Clientes!$F$5:$F$549,MATCH(G607,Clientes!$C$5:$C$549,0)))),"NO EXISTE en Clientes"))</f>
        <v/>
      </c>
      <c r="I607" s="17" t="inlineStr">
        <is>
          <t>EN_PODER_CLIENTE</t>
        </is>
      </c>
      <c r="J607" s="17" t="n"/>
      <c r="K607" s="26" t="inlineStr">
        <is>
          <t>20103626448</t>
        </is>
      </c>
      <c r="L607" s="25">
        <f t="array" ref="L607">IF(K607="","",IFERROR(IF(INDEX(Clientes!$D$5:$D$549,MATCH(K607,Clientes!$C$5:$C$549,0))&lt;&gt;"",INDEX(Clientes!$D$5:$D$549,MATCH(K607,Clientes!$C$5:$C$549,0)),TRIM(INDEX(Clientes!$E$5:$E$549,MATCH(K607,Clientes!$C$5:$C$549,0))&amp;" "&amp;INDEX(Clientes!$F$5:$F$549,MATCH(K607,Clientes!$C$5:$C$549,0)))),"NO EXISTE en Clientes"))</f>
        <v/>
      </c>
      <c r="M607" s="17" t="n"/>
      <c r="N607" s="17" t="n"/>
      <c r="O607" s="42" t="n"/>
      <c r="P607" s="39">
        <f>IF(O607&lt;&gt;"",DATE(YEAR(O607)+5,MONTH(O607),1),IF(AND(M607&lt;&gt;"",N607&lt;&gt;""),DATE(M607+5,N607,1),""))</f>
        <v/>
      </c>
      <c r="Q607" s="23" t="n"/>
      <c r="R607" s="17" t="n"/>
      <c r="S607" s="17" t="n"/>
      <c r="T607" s="17" t="n"/>
      <c r="U607" s="17" t="n"/>
      <c r="V607" s="23" t="n"/>
      <c r="W607" s="17" t="n"/>
      <c r="X607" s="17" t="n"/>
      <c r="Y607" s="28">
        <f>IF(B607&lt;&gt;"OK","","SELECT bal_crear_balon(p_codigo_balon =&gt; "&amp;IF(TRIM(C607&amp;"")="","NULL","'"&amp;SUBSTITUTE(TRIM(C607),"'","''")&amp;"'")&amp;", p_id_tipo_balon =&gt; "&amp;"(SELECT id FROM bal_tipo_balon WHERE upper(nombre) = upper('"&amp;SUBSTITUTE(TRIM(D607),"'","''")&amp;"') AND estado = 1 LIMIT 1)"&amp;", p_id_producto_gas =&gt; "&amp;"(SELECT id FROM pro_producto WHERE es_gas = TRUE AND upper(nombre) = upper('"&amp;SUBSTITUTE(TRIM(E607),"'","''")&amp;"') AND estado = 1 LIMIT 1)"&amp;", p_id_propietario =&gt; "&amp;IF(TRIM(F607&amp;"")="","NULL","(SELECT lo.id FROM gen_lista_opciones lo JOIN gen_lista l ON l.id = lo.id_lista WHERE l.nombre = 'PropietarioBalon' AND upper(lo.nombre) = upper('"&amp;SUBSTITUTE(TRIM(F607),"'","''")&amp;"') AND lo.estado = 1 LIMIT 1)")&amp;", p_id_cliente_propietario =&gt; "&amp;IF(F607="CLIENTE",IF(TRIM(G607&amp;"")="","NULL","(SELECT id FROM cli_clientes WHERE numero_documento = '"&amp;SUBSTITUTE(TRIM(G607),"'","''")&amp;"' AND estado = 1 LIMIT 1)"),"NULL")&amp;", p_id_planta =&gt; "&amp;IF(F607="PLANTA",IF(TRIM(G607&amp;"")="","NULL","(SELECT id FROM cli_clientes WHERE numero_documento = '"&amp;SUBSTITUTE(TRIM(G607),"'","''")&amp;"'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"&amp;IF(TRIM(J607&amp;"")="","NULL","(SELECT id FROM gen_almacen WHERE upper(nombre) = upper('"&amp;SUBSTITUTE(TRIM(J607),"'","''")&amp;"') AND estado = 1 LIMIT 1)")&amp;", p_id_cliente_ubicacion =&gt; "&amp;IF(TRIM(K607&amp;"")="","NULL","(SELECT id FROM cli_clientes WHERE numero_documento = '"&amp;SUBSTITUTE(TRIM(K607),"'","''")&amp;"' AND estado = 1 LIMIT 1)")&amp;", p_id_referencia =&gt; "&amp;IF(TRIM(J607&amp;"")&lt;&gt;"","(SELECT lo.id FROM gen_lista_opciones lo JOIN gen_lista l ON l.id = lo.id_lista WHERE l.nombre = 'ReferenciaCilindro' AND upper(lo.nombre) = 'ALMACEN' AND lo.estado = 1 LIMIT 1)",IF(TRIM(K607&amp;"")&lt;&gt;"","(SELECT lo.id FROM gen_lista_opciones lo JOIN gen_lista l ON l.id = lo.id_lista WHERE l.nombre = 'ReferenciaCilindro' AND upper(lo.nombre) = 'CLIENTE' AND lo.estado = 1 LIMIT 1)","NULL"))&amp;", p_anio_fabricacion =&gt; "&amp;IF(M607&amp;""="","NULL::smallint",M607&amp;"::smallint")&amp;", p_mes_fabricacion =&gt; "&amp;IF(N607&amp;""="","NULL::smallint",N607&amp;"::smallint")&amp;", p_fecha_ultima_prueba_hidrostatica =&gt; "&amp;IF(O607&amp;""="","NULL","'"&amp;YEAR(O607)&amp;"-"&amp;TEXT(MONTH(O607),"00")&amp;"-"&amp;TEXT(DAY(O607),"00")&amp;"'")&amp;", p_numero_serie =&gt; "&amp;IF(TRIM(Q607&amp;"")="","NULL","'"&amp;SUBSTITUTE(TRIM(Q607),"'","''")&amp;"'")&amp;", p_id_marca_cilindro =&gt; "&amp;IF(TRIM(R607&amp;"")="","NULL","(SELECT lo.id FROM gen_lista_opciones lo JOIN gen_lista l ON l.id = lo.id_lista WHERE l.nombre = 'MarcaCilindro' AND upper(lo.nombre) = upper('"&amp;SUBSTITUTE(TRIM(R607),"'","''")&amp;"') AND lo.estado = 1 LIMIT 1)")&amp;", p_id_organo_inspector =&gt; "&amp;IF(TRIM(S607&amp;"")="","NULL","(SELECT lo.id FROM gen_lista_opciones lo JOIN gen_lista l ON l.id = lo.id_lista WHERE l.nombre = 'OrganoInspectorCilindro' AND upper(lo.nombre) = upper('"&amp;SUBSTITUTE(TRIM(S607),"'","''")&amp;"') AND lo.estado = 1 LIMIT 1)")&amp;", p_organo_inspector_no_aplica =&gt; "&amp;IF(S607="NO_APLICA","TRUE","FALSE")&amp;", p_presion_actual =&gt; "&amp;IF(T607&amp;""="","NULL",SUBSTITUTE(T607&amp;"",",","."))&amp;", p_tipo_valvula =&gt; "&amp;IF(TRIM(U607&amp;"")="","NULL","'"&amp;SUBSTITUTE(TRIM(U607),"'","''")&amp;"'")&amp;", p_libro_cilindro =&gt; "&amp;IF(TRIM(V607&amp;"")="","NULL","'"&amp;SUBSTITUTE(TRIM(V607),"'","''")&amp;"'")&amp;", p_pagina_libro =&gt; "&amp;IF(W607&amp;""="","NULL",SUBSTITUTE(W607&amp;"",",","."))&amp;", p_observacion =&gt; "&amp;IF(TRIM(X607&amp;"")="","NULL","'"&amp;SUBSTITUTE(TRIM(X607),"'","''")&amp;"'")&amp;") AS resultado_balon_"&amp;ROW()&amp;";")</f>
        <v/>
      </c>
    </row>
    <row r="608" ht="15.75" customHeight="1" s="64">
      <c r="A608" s="36" t="inlineStr">
        <is>
          <t>604</t>
        </is>
      </c>
      <c r="B608" s="25">
        <f>IF(AND(C608="",D608="",E608=""),"",IF(C608="","FALTA código balón",IF(D608="","FALTA tipo balón",IF(E608="","FALTA gas",IF(F608="","FALTA propietario",IF(AND(C608&lt;&gt;"",SUMPRODUCT(--($C$5:$C$1200=C608))&gt;1),"CÓDIGO BALÓN DUPLICADO",IF(AND(OR(UPPER(F608)="PLANTA",UPPER(F608)="CLIENTE"),G608=""),"FALTA doc propietario/planta",IF(AND(UPPER(F608)="PLANTA",G608="10175332796"),"PLANTA no puede ser RUC empresa","OK"))))))))</f>
        <v/>
      </c>
      <c r="C608" s="23" t="inlineStr">
        <is>
          <t>19S205109</t>
        </is>
      </c>
      <c r="D608" s="17" t="inlineStr">
        <is>
          <t>Oxígeno Industrial 6 m³</t>
        </is>
      </c>
      <c r="E608" s="17" t="inlineStr">
        <is>
          <t>OXIGENO INDUSTRIAL</t>
        </is>
      </c>
      <c r="F608" s="17" t="inlineStr">
        <is>
          <t>EMPRESA</t>
        </is>
      </c>
      <c r="G608" s="23" t="inlineStr">
        <is>
          <t>10175332796</t>
        </is>
      </c>
      <c r="H608" s="25">
        <f t="array" ref="H608">IF(G608="","",IFERROR(IF(INDEX(Clientes!$D$5:$D$549,MATCH(G608,Clientes!$C$5:$C$549,0))&lt;&gt;"",INDEX(Clientes!$D$5:$D$549,MATCH(G608,Clientes!$C$5:$C$549,0)),TRIM(INDEX(Clientes!$E$5:$E$549,MATCH(G608,Clientes!$C$5:$C$549,0))&amp;" "&amp;INDEX(Clientes!$F$5:$F$549,MATCH(G608,Clientes!$C$5:$C$549,0)))),"NO EXISTE en Clientes"))</f>
        <v/>
      </c>
      <c r="I608" s="17" t="inlineStr">
        <is>
          <t>EN_PODER_CLIENTE</t>
        </is>
      </c>
      <c r="J608" s="17" t="n"/>
      <c r="K608" s="23" t="inlineStr">
        <is>
          <t>000018</t>
        </is>
      </c>
      <c r="L608" s="25">
        <f t="array" ref="L608">IF(K608="","",IFERROR(IF(INDEX(Clientes!$D$5:$D$549,MATCH(K608,Clientes!$C$5:$C$549,0))&lt;&gt;"",INDEX(Clientes!$D$5:$D$549,MATCH(K608,Clientes!$C$5:$C$549,0)),TRIM(INDEX(Clientes!$E$5:$E$549,MATCH(K608,Clientes!$C$5:$C$549,0))&amp;" "&amp;INDEX(Clientes!$F$5:$F$549,MATCH(K608,Clientes!$C$5:$C$549,0)))),"NO EXISTE en Clientes"))</f>
        <v/>
      </c>
      <c r="M608" s="17" t="n"/>
      <c r="N608" s="17" t="n"/>
      <c r="O608" s="42" t="n"/>
      <c r="P608" s="39">
        <f>IF(O608&lt;&gt;"",DATE(YEAR(O608)+5,MONTH(O608),1),IF(AND(M608&lt;&gt;"",N608&lt;&gt;""),DATE(M608+5,N608,1),""))</f>
        <v/>
      </c>
      <c r="Q608" s="23" t="n"/>
      <c r="R608" s="17" t="n"/>
      <c r="S608" s="17" t="n"/>
      <c r="T608" s="17" t="n"/>
      <c r="U608" s="17" t="n"/>
      <c r="V608" s="23" t="n"/>
      <c r="W608" s="17" t="n"/>
      <c r="X608" s="17" t="n"/>
      <c r="Y608" s="28">
        <f>IF(B608&lt;&gt;"OK","","SELECT bal_crear_balon(p_codigo_balon =&gt; "&amp;IF(TRIM(C608&amp;"")="","NULL","'"&amp;SUBSTITUTE(TRIM(C608),"'","''")&amp;"'")&amp;", p_id_tipo_balon =&gt; "&amp;"(SELECT id FROM bal_tipo_balon WHERE upper(nombre) = upper('"&amp;SUBSTITUTE(TRIM(D608),"'","''")&amp;"') AND estado = 1 LIMIT 1)"&amp;", p_id_producto_gas =&gt; "&amp;"(SELECT id FROM pro_producto WHERE es_gas = TRUE AND upper(nombre) = upper('"&amp;SUBSTITUTE(TRIM(E608),"'","''")&amp;"') AND estado = 1 LIMIT 1)"&amp;", p_id_propietario =&gt; "&amp;IF(TRIM(F608&amp;"")="","NULL","(SELECT lo.id FROM gen_lista_opciones lo JOIN gen_lista l ON l.id = lo.id_lista WHERE l.nombre = 'PropietarioBalon' AND upper(lo.nombre) = upper('"&amp;SUBSTITUTE(TRIM(F608),"'","''")&amp;"') AND lo.estado = 1 LIMIT 1)")&amp;", p_id_cliente_propietario =&gt; "&amp;IF(F608="CLIENTE",IF(TRIM(G608&amp;"")="","NULL","(SELECT id FROM cli_clientes WHERE numero_documento = '"&amp;SUBSTITUTE(TRIM(G608),"'","''")&amp;"' AND estado = 1 LIMIT 1)"),"NULL")&amp;", p_id_planta =&gt; "&amp;IF(F608="PLANTA",IF(TRIM(G608&amp;"")="","NULL","(SELECT id FROM cli_clientes WHERE numero_documento = '"&amp;SUBSTITUTE(TRIM(G608),"'","''")&amp;"'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"&amp;IF(TRIM(J608&amp;"")="","NULL","(SELECT id FROM gen_almacen WHERE upper(nombre) = upper('"&amp;SUBSTITUTE(TRIM(J608),"'","''")&amp;"') AND estado = 1 LIMIT 1)")&amp;", p_id_cliente_ubicacion =&gt; "&amp;IF(TRIM(K608&amp;"")="","NULL","(SELECT id FROM cli_clientes WHERE numero_documento = '"&amp;SUBSTITUTE(TRIM(K608),"'","''")&amp;"' AND estado = 1 LIMIT 1)")&amp;", p_id_referencia =&gt; "&amp;IF(TRIM(J608&amp;"")&lt;&gt;"","(SELECT lo.id FROM gen_lista_opciones lo JOIN gen_lista l ON l.id = lo.id_lista WHERE l.nombre = 'ReferenciaCilindro' AND upper(lo.nombre) = 'ALMACEN' AND lo.estado = 1 LIMIT 1)",IF(TRIM(K608&amp;"")&lt;&gt;"","(SELECT lo.id FROM gen_lista_opciones lo JOIN gen_lista l ON l.id = lo.id_lista WHERE l.nombre = 'ReferenciaCilindro' AND upper(lo.nombre) = 'CLIENTE' AND lo.estado = 1 LIMIT 1)","NULL"))&amp;", p_anio_fabricacion =&gt; "&amp;IF(M608&amp;""="","NULL::smallint",M608&amp;"::smallint")&amp;", p_mes_fabricacion =&gt; "&amp;IF(N608&amp;""="","NULL::smallint",N608&amp;"::smallint")&amp;", p_fecha_ultima_prueba_hidrostatica =&gt; "&amp;IF(O608&amp;""="","NULL","'"&amp;YEAR(O608)&amp;"-"&amp;TEXT(MONTH(O608),"00")&amp;"-"&amp;TEXT(DAY(O608),"00")&amp;"'")&amp;", p_numero_serie =&gt; "&amp;IF(TRIM(Q608&amp;"")="","NULL","'"&amp;SUBSTITUTE(TRIM(Q608),"'","''")&amp;"'")&amp;", p_id_marca_cilindro =&gt; "&amp;IF(TRIM(R608&amp;"")="","NULL","(SELECT lo.id FROM gen_lista_opciones lo JOIN gen_lista l ON l.id = lo.id_lista WHERE l.nombre = 'MarcaCilindro' AND upper(lo.nombre) = upper('"&amp;SUBSTITUTE(TRIM(R608),"'","''")&amp;"') AND lo.estado = 1 LIMIT 1)")&amp;", p_id_organo_inspector =&gt; "&amp;IF(TRIM(S608&amp;"")="","NULL","(SELECT lo.id FROM gen_lista_opciones lo JOIN gen_lista l ON l.id = lo.id_lista WHERE l.nombre = 'OrganoInspectorCilindro' AND upper(lo.nombre) = upper('"&amp;SUBSTITUTE(TRIM(S608),"'","''")&amp;"') AND lo.estado = 1 LIMIT 1)")&amp;", p_organo_inspector_no_aplica =&gt; "&amp;IF(S608="NO_APLICA","TRUE","FALSE")&amp;", p_presion_actual =&gt; "&amp;IF(T608&amp;""="","NULL",SUBSTITUTE(T608&amp;"",",","."))&amp;", p_tipo_valvula =&gt; "&amp;IF(TRIM(U608&amp;"")="","NULL","'"&amp;SUBSTITUTE(TRIM(U608),"'","''")&amp;"'")&amp;", p_libro_cilindro =&gt; "&amp;IF(TRIM(V608&amp;"")="","NULL","'"&amp;SUBSTITUTE(TRIM(V608),"'","''")&amp;"'")&amp;", p_pagina_libro =&gt; "&amp;IF(W608&amp;""="","NULL",SUBSTITUTE(W608&amp;"",",","."))&amp;", p_observacion =&gt; "&amp;IF(TRIM(X608&amp;"")="","NULL","'"&amp;SUBSTITUTE(TRIM(X608),"'","''")&amp;"'")&amp;") AS resultado_balon_"&amp;ROW()&amp;";")</f>
        <v/>
      </c>
    </row>
    <row r="609" ht="15.75" customHeight="1" s="64">
      <c r="A609" s="36" t="inlineStr">
        <is>
          <t>605</t>
        </is>
      </c>
      <c r="B609" s="25">
        <f>IF(AND(C609="",D609="",E609=""),"",IF(C609="","FALTA código balón",IF(D609="","FALTA tipo balón",IF(E609="","FALTA gas",IF(F609="","FALTA propietario",IF(AND(C609&lt;&gt;"",SUMPRODUCT(--($C$5:$C$1200=C609))&gt;1),"CÓDIGO BALÓN DUPLICADO",IF(AND(OR(UPPER(F609)="PLANTA",UPPER(F609)="CLIENTE"),G609=""),"FALTA doc propietario/planta",IF(AND(UPPER(F609)="PLANTA",G609="10175332796"),"PLANTA no puede ser RUC empresa","OK"))))))))</f>
        <v/>
      </c>
      <c r="C609" s="23" t="inlineStr">
        <is>
          <t>A2389038</t>
        </is>
      </c>
      <c r="D609" s="17" t="inlineStr">
        <is>
          <t>Dioxido de Carbono de 12 kg</t>
        </is>
      </c>
      <c r="E609" s="17" t="inlineStr">
        <is>
          <t>DIÓXIDO DE CARBONO</t>
        </is>
      </c>
      <c r="F609" s="17" t="inlineStr">
        <is>
          <t>EMPRESA</t>
        </is>
      </c>
      <c r="G609" s="23" t="inlineStr">
        <is>
          <t>10175332796</t>
        </is>
      </c>
      <c r="H609" s="25">
        <f t="array" ref="H609">IF(G609="","",IFERROR(IF(INDEX(Clientes!$D$5:$D$549,MATCH(G609,Clientes!$C$5:$C$549,0))&lt;&gt;"",INDEX(Clientes!$D$5:$D$549,MATCH(G609,Clientes!$C$5:$C$549,0)),TRIM(INDEX(Clientes!$E$5:$E$549,MATCH(G609,Clientes!$C$5:$C$549,0))&amp;" "&amp;INDEX(Clientes!$F$5:$F$549,MATCH(G609,Clientes!$C$5:$C$549,0)))),"NO EXISTE en Clientes"))</f>
        <v/>
      </c>
      <c r="I609" s="17" t="inlineStr">
        <is>
          <t>EN_PODER_CLIENTE</t>
        </is>
      </c>
      <c r="J609" s="17" t="n"/>
      <c r="K609" s="23" t="inlineStr">
        <is>
          <t>000050</t>
        </is>
      </c>
      <c r="L609" s="25">
        <f t="array" ref="L609">IF(K609="","",IFERROR(IF(INDEX(Clientes!$D$5:$D$549,MATCH(K609,Clientes!$C$5:$C$549,0))&lt;&gt;"",INDEX(Clientes!$D$5:$D$549,MATCH(K609,Clientes!$C$5:$C$549,0)),TRIM(INDEX(Clientes!$E$5:$E$549,MATCH(K609,Clientes!$C$5:$C$549,0))&amp;" "&amp;INDEX(Clientes!$F$5:$F$549,MATCH(K609,Clientes!$C$5:$C$549,0)))),"NO EXISTE en Clientes"))</f>
        <v/>
      </c>
      <c r="M609" s="17" t="n"/>
      <c r="N609" s="17" t="n"/>
      <c r="O609" s="42" t="n"/>
      <c r="P609" s="39">
        <f>IF(O609&lt;&gt;"",DATE(YEAR(O609)+5,MONTH(O609),1),IF(AND(M609&lt;&gt;"",N609&lt;&gt;""),DATE(M609+5,N609,1),""))</f>
        <v/>
      </c>
      <c r="Q609" s="23" t="n"/>
      <c r="R609" s="17" t="n"/>
      <c r="S609" s="17" t="n"/>
      <c r="T609" s="17" t="n"/>
      <c r="U609" s="17" t="n"/>
      <c r="V609" s="23" t="n"/>
      <c r="W609" s="17" t="n"/>
      <c r="X609" s="17" t="n"/>
      <c r="Y609" s="28">
        <f>IF(B609&lt;&gt;"OK","","SELECT bal_crear_balon(p_codigo_balon =&gt; "&amp;IF(TRIM(C609&amp;"")="","NULL","'"&amp;SUBSTITUTE(TRIM(C609),"'","''")&amp;"'")&amp;", p_id_tipo_balon =&gt; "&amp;"(SELECT id FROM bal_tipo_balon WHERE upper(nombre) = upper('"&amp;SUBSTITUTE(TRIM(D609),"'","''")&amp;"') AND estado = 1 LIMIT 1)"&amp;", p_id_producto_gas =&gt; "&amp;"(SELECT id FROM pro_producto WHERE es_gas = TRUE AND upper(nombre) = upper('"&amp;SUBSTITUTE(TRIM(E609),"'","''")&amp;"') AND estado = 1 LIMIT 1)"&amp;", p_id_propietario =&gt; "&amp;IF(TRIM(F609&amp;"")="","NULL","(SELECT lo.id FROM gen_lista_opciones lo JOIN gen_lista l ON l.id = lo.id_lista WHERE l.nombre = 'PropietarioBalon' AND upper(lo.nombre) = upper('"&amp;SUBSTITUTE(TRIM(F609),"'","''")&amp;"') AND lo.estado = 1 LIMIT 1)")&amp;", p_id_cliente_propietario =&gt; "&amp;IF(F609="CLIENTE",IF(TRIM(G609&amp;"")="","NULL","(SELECT id FROM cli_clientes WHERE numero_documento = '"&amp;SUBSTITUTE(TRIM(G609),"'","''")&amp;"' AND estado = 1 LIMIT 1)"),"NULL")&amp;", p_id_planta =&gt; "&amp;IF(F609="PLANTA",IF(TRIM(G609&amp;"")="","NULL","(SELECT id FROM cli_clientes WHERE numero_documento = '"&amp;SUBSTITUTE(TRIM(G609),"'","''")&amp;"'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"&amp;IF(TRIM(J609&amp;"")="","NULL","(SELECT id FROM gen_almacen WHERE upper(nombre) = upper('"&amp;SUBSTITUTE(TRIM(J609),"'","''")&amp;"') AND estado = 1 LIMIT 1)")&amp;", p_id_cliente_ubicacion =&gt; "&amp;IF(TRIM(K609&amp;"")="","NULL","(SELECT id FROM cli_clientes WHERE numero_documento = '"&amp;SUBSTITUTE(TRIM(K609),"'","''")&amp;"' AND estado = 1 LIMIT 1)")&amp;", p_id_referencia =&gt; "&amp;IF(TRIM(J609&amp;"")&lt;&gt;"","(SELECT lo.id FROM gen_lista_opciones lo JOIN gen_lista l ON l.id = lo.id_lista WHERE l.nombre = 'ReferenciaCilindro' AND upper(lo.nombre) = 'ALMACEN' AND lo.estado = 1 LIMIT 1)",IF(TRIM(K609&amp;"")&lt;&gt;"","(SELECT lo.id FROM gen_lista_opciones lo JOIN gen_lista l ON l.id = lo.id_lista WHERE l.nombre = 'ReferenciaCilindro' AND upper(lo.nombre) = 'CLIENTE' AND lo.estado = 1 LIMIT 1)","NULL"))&amp;", p_anio_fabricacion =&gt; "&amp;IF(M609&amp;""="","NULL::smallint",M609&amp;"::smallint")&amp;", p_mes_fabricacion =&gt; "&amp;IF(N609&amp;""="","NULL::smallint",N609&amp;"::smallint")&amp;", p_fecha_ultima_prueba_hidrostatica =&gt; "&amp;IF(O609&amp;""="","NULL","'"&amp;YEAR(O609)&amp;"-"&amp;TEXT(MONTH(O609),"00")&amp;"-"&amp;TEXT(DAY(O609),"00")&amp;"'")&amp;", p_numero_serie =&gt; "&amp;IF(TRIM(Q609&amp;"")="","NULL","'"&amp;SUBSTITUTE(TRIM(Q609),"'","''")&amp;"'")&amp;", p_id_marca_cilindro =&gt; "&amp;IF(TRIM(R609&amp;"")="","NULL","(SELECT lo.id FROM gen_lista_opciones lo JOIN gen_lista l ON l.id = lo.id_lista WHERE l.nombre = 'MarcaCilindro' AND upper(lo.nombre) = upper('"&amp;SUBSTITUTE(TRIM(R609),"'","''")&amp;"') AND lo.estado = 1 LIMIT 1)")&amp;", p_id_organo_inspector =&gt; "&amp;IF(TRIM(S609&amp;"")="","NULL","(SELECT lo.id FROM gen_lista_opciones lo JOIN gen_lista l ON l.id = lo.id_lista WHERE l.nombre = 'OrganoInspectorCilindro' AND upper(lo.nombre) = upper('"&amp;SUBSTITUTE(TRIM(S609),"'","''")&amp;"') AND lo.estado = 1 LIMIT 1)")&amp;", p_organo_inspector_no_aplica =&gt; "&amp;IF(S609="NO_APLICA","TRUE","FALSE")&amp;", p_presion_actual =&gt; "&amp;IF(T609&amp;""="","NULL",SUBSTITUTE(T609&amp;"",",","."))&amp;", p_tipo_valvula =&gt; "&amp;IF(TRIM(U609&amp;"")="","NULL","'"&amp;SUBSTITUTE(TRIM(U609),"'","''")&amp;"'")&amp;", p_libro_cilindro =&gt; "&amp;IF(TRIM(V609&amp;"")="","NULL","'"&amp;SUBSTITUTE(TRIM(V609),"'","''")&amp;"'")&amp;", p_pagina_libro =&gt; "&amp;IF(W609&amp;""="","NULL",SUBSTITUTE(W609&amp;"",",","."))&amp;", p_observacion =&gt; "&amp;IF(TRIM(X609&amp;"")="","NULL","'"&amp;SUBSTITUTE(TRIM(X609),"'","''")&amp;"'")&amp;") AS resultado_balon_"&amp;ROW()&amp;";")</f>
        <v/>
      </c>
    </row>
    <row r="610" ht="15.75" customHeight="1" s="64">
      <c r="A610" s="36" t="inlineStr">
        <is>
          <t>606</t>
        </is>
      </c>
      <c r="B610" s="25">
        <f>IF(AND(C610="",D610="",E610=""),"",IF(C610="","FALTA código balón",IF(D610="","FALTA tipo balón",IF(E610="","FALTA gas",IF(F610="","FALTA propietario",IF(AND(C610&lt;&gt;"",SUMPRODUCT(--($C$5:$C$1200=C610))&gt;1),"CÓDIGO BALÓN DUPLICADO",IF(AND(OR(UPPER(F610)="PLANTA",UPPER(F610)="CLIENTE"),G610=""),"FALTA doc propietario/planta",IF(AND(UPPER(F610)="PLANTA",G610="10175332796"),"PLANTA no puede ser RUC empresa","OK"))))))))</f>
        <v/>
      </c>
      <c r="C610" s="23" t="inlineStr">
        <is>
          <t>K4983032</t>
        </is>
      </c>
      <c r="D610" s="17" t="inlineStr">
        <is>
          <t>Oxígeno Industrial 10 m³</t>
        </is>
      </c>
      <c r="E610" s="17" t="inlineStr">
        <is>
          <t>OXIGENO INDUSTRIAL</t>
        </is>
      </c>
      <c r="F610" s="17" t="inlineStr">
        <is>
          <t>EMPRESA</t>
        </is>
      </c>
      <c r="G610" s="23" t="inlineStr">
        <is>
          <t>10175332796</t>
        </is>
      </c>
      <c r="H610" s="25">
        <f t="array" ref="H610">IF(G610="","",IFERROR(IF(INDEX(Clientes!$D$5:$D$549,MATCH(G610,Clientes!$C$5:$C$549,0))&lt;&gt;"",INDEX(Clientes!$D$5:$D$549,MATCH(G610,Clientes!$C$5:$C$549,0)),TRIM(INDEX(Clientes!$E$5:$E$549,MATCH(G610,Clientes!$C$5:$C$549,0))&amp;" "&amp;INDEX(Clientes!$F$5:$F$549,MATCH(G610,Clientes!$C$5:$C$549,0)))),"NO EXISTE en Clientes"))</f>
        <v/>
      </c>
      <c r="I610" s="17" t="inlineStr">
        <is>
          <t>EN_PODER_CLIENTE</t>
        </is>
      </c>
      <c r="J610" s="17" t="n"/>
      <c r="K610" s="26" t="inlineStr">
        <is>
          <t>20480192932</t>
        </is>
      </c>
      <c r="L610" s="25">
        <f t="array" ref="L610">IF(K610="","",IFERROR(IF(INDEX(Clientes!$D$5:$D$549,MATCH(K610,Clientes!$C$5:$C$549,0))&lt;&gt;"",INDEX(Clientes!$D$5:$D$549,MATCH(K610,Clientes!$C$5:$C$549,0)),TRIM(INDEX(Clientes!$E$5:$E$549,MATCH(K610,Clientes!$C$5:$C$549,0))&amp;" "&amp;INDEX(Clientes!$F$5:$F$549,MATCH(K610,Clientes!$C$5:$C$549,0)))),"NO EXISTE en Clientes"))</f>
        <v/>
      </c>
      <c r="M610" s="17" t="n"/>
      <c r="N610" s="17" t="n"/>
      <c r="O610" s="42" t="n"/>
      <c r="P610" s="39">
        <f>IF(O610&lt;&gt;"",DATE(YEAR(O610)+5,MONTH(O610),1),IF(AND(M610&lt;&gt;"",N610&lt;&gt;""),DATE(M610+5,N610,1),""))</f>
        <v/>
      </c>
      <c r="Q610" s="23" t="n"/>
      <c r="R610" s="17" t="n"/>
      <c r="S610" s="17" t="n"/>
      <c r="T610" s="17" t="n"/>
      <c r="U610" s="17" t="n"/>
      <c r="V610" s="23" t="n"/>
      <c r="W610" s="17" t="n"/>
      <c r="X610" s="17" t="n"/>
      <c r="Y610" s="28">
        <f>IF(B610&lt;&gt;"OK","","SELECT bal_crear_balon(p_codigo_balon =&gt; "&amp;IF(TRIM(C610&amp;"")="","NULL","'"&amp;SUBSTITUTE(TRIM(C610),"'","''")&amp;"'")&amp;", p_id_tipo_balon =&gt; "&amp;"(SELECT id FROM bal_tipo_balon WHERE upper(nombre) = upper('"&amp;SUBSTITUTE(TRIM(D610),"'","''")&amp;"') AND estado = 1 LIMIT 1)"&amp;", p_id_producto_gas =&gt; "&amp;"(SELECT id FROM pro_producto WHERE es_gas = TRUE AND upper(nombre) = upper('"&amp;SUBSTITUTE(TRIM(E610),"'","''")&amp;"') AND estado = 1 LIMIT 1)"&amp;", p_id_propietario =&gt; "&amp;IF(TRIM(F610&amp;"")="","NULL","(SELECT lo.id FROM gen_lista_opciones lo JOIN gen_lista l ON l.id = lo.id_lista WHERE l.nombre = 'PropietarioBalon' AND upper(lo.nombre) = upper('"&amp;SUBSTITUTE(TRIM(F610),"'","''")&amp;"') AND lo.estado = 1 LIMIT 1)")&amp;", p_id_cliente_propietario =&gt; "&amp;IF(F610="CLIENTE",IF(TRIM(G610&amp;"")="","NULL","(SELECT id FROM cli_clientes WHERE numero_documento = '"&amp;SUBSTITUTE(TRIM(G610),"'","''")&amp;"' AND estado = 1 LIMIT 1)"),"NULL")&amp;", p_id_planta =&gt; "&amp;IF(F610="PLANTA",IF(TRIM(G610&amp;"")="","NULL","(SELECT id FROM cli_clientes WHERE numero_documento = '"&amp;SUBSTITUTE(TRIM(G610),"'","''")&amp;"'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"&amp;IF(TRIM(J610&amp;"")="","NULL","(SELECT id FROM gen_almacen WHERE upper(nombre) = upper('"&amp;SUBSTITUTE(TRIM(J610),"'","''")&amp;"') AND estado = 1 LIMIT 1)")&amp;", p_id_cliente_ubicacion =&gt; "&amp;IF(TRIM(K610&amp;"")="","NULL","(SELECT id FROM cli_clientes WHERE numero_documento = '"&amp;SUBSTITUTE(TRIM(K610),"'","''")&amp;"' AND estado = 1 LIMIT 1)")&amp;", p_id_referencia =&gt; "&amp;IF(TRIM(J610&amp;"")&lt;&gt;"","(SELECT lo.id FROM gen_lista_opciones lo JOIN gen_lista l ON l.id = lo.id_lista WHERE l.nombre = 'ReferenciaCilindro' AND upper(lo.nombre) = 'ALMACEN' AND lo.estado = 1 LIMIT 1)",IF(TRIM(K610&amp;"")&lt;&gt;"","(SELECT lo.id FROM gen_lista_opciones lo JOIN gen_lista l ON l.id = lo.id_lista WHERE l.nombre = 'ReferenciaCilindro' AND upper(lo.nombre) = 'CLIENTE' AND lo.estado = 1 LIMIT 1)","NULL"))&amp;", p_anio_fabricacion =&gt; "&amp;IF(M610&amp;""="","NULL::smallint",M610&amp;"::smallint")&amp;", p_mes_fabricacion =&gt; "&amp;IF(N610&amp;""="","NULL::smallint",N610&amp;"::smallint")&amp;", p_fecha_ultima_prueba_hidrostatica =&gt; "&amp;IF(O610&amp;""="","NULL","'"&amp;YEAR(O610)&amp;"-"&amp;TEXT(MONTH(O610),"00")&amp;"-"&amp;TEXT(DAY(O610),"00")&amp;"'")&amp;", p_numero_serie =&gt; "&amp;IF(TRIM(Q610&amp;"")="","NULL","'"&amp;SUBSTITUTE(TRIM(Q610),"'","''")&amp;"'")&amp;", p_id_marca_cilindro =&gt; "&amp;IF(TRIM(R610&amp;"")="","NULL","(SELECT lo.id FROM gen_lista_opciones lo JOIN gen_lista l ON l.id = lo.id_lista WHERE l.nombre = 'MarcaCilindro' AND upper(lo.nombre) = upper('"&amp;SUBSTITUTE(TRIM(R610),"'","''")&amp;"') AND lo.estado = 1 LIMIT 1)")&amp;", p_id_organo_inspector =&gt; "&amp;IF(TRIM(S610&amp;"")="","NULL","(SELECT lo.id FROM gen_lista_opciones lo JOIN gen_lista l ON l.id = lo.id_lista WHERE l.nombre = 'OrganoInspectorCilindro' AND upper(lo.nombre) = upper('"&amp;SUBSTITUTE(TRIM(S610),"'","''")&amp;"') AND lo.estado = 1 LIMIT 1)")&amp;", p_organo_inspector_no_aplica =&gt; "&amp;IF(S610="NO_APLICA","TRUE","FALSE")&amp;", p_presion_actual =&gt; "&amp;IF(T610&amp;""="","NULL",SUBSTITUTE(T610&amp;"",",","."))&amp;", p_tipo_valvula =&gt; "&amp;IF(TRIM(U610&amp;"")="","NULL","'"&amp;SUBSTITUTE(TRIM(U610),"'","''")&amp;"'")&amp;", p_libro_cilindro =&gt; "&amp;IF(TRIM(V610&amp;"")="","NULL","'"&amp;SUBSTITUTE(TRIM(V610),"'","''")&amp;"'")&amp;", p_pagina_libro =&gt; "&amp;IF(W610&amp;""="","NULL",SUBSTITUTE(W610&amp;"",",","."))&amp;", p_observacion =&gt; "&amp;IF(TRIM(X610&amp;"")="","NULL","'"&amp;SUBSTITUTE(TRIM(X610),"'","''")&amp;"'")&amp;") AS resultado_balon_"&amp;ROW()&amp;";")</f>
        <v/>
      </c>
    </row>
    <row r="611" ht="15.75" customHeight="1" s="64">
      <c r="A611" s="36" t="inlineStr">
        <is>
          <t>607</t>
        </is>
      </c>
      <c r="B611" s="25">
        <f>IF(AND(C611="",D611="",E611=""),"",IF(C611="","FALTA código balón",IF(D611="","FALTA tipo balón",IF(E611="","FALTA gas",IF(F611="","FALTA propietario",IF(AND(C611&lt;&gt;"",SUMPRODUCT(--($C$5:$C$1200=C611))&gt;1),"CÓDIGO BALÓN DUPLICADO",IF(AND(OR(UPPER(F611)="PLANTA",UPPER(F611)="CLIENTE"),G611=""),"FALTA doc propietario/planta",IF(AND(UPPER(F611)="PLANTA",G611="10175332796"),"PLANTA no puede ser RUC empresa","OK"))))))))</f>
        <v/>
      </c>
      <c r="C611" s="23" t="inlineStr">
        <is>
          <t>20X306094</t>
        </is>
      </c>
      <c r="D611" s="17" t="inlineStr">
        <is>
          <t>Oxígeno Industrial 10 m³</t>
        </is>
      </c>
      <c r="E611" s="17" t="inlineStr">
        <is>
          <t>OXIGENO INDUSTRIAL</t>
        </is>
      </c>
      <c r="F611" s="17" t="inlineStr">
        <is>
          <t>EMPRESA</t>
        </is>
      </c>
      <c r="G611" s="23" t="inlineStr">
        <is>
          <t>10175332796</t>
        </is>
      </c>
      <c r="H611" s="25">
        <f t="array" ref="H611">IF(G611="","",IFERROR(IF(INDEX(Clientes!$D$5:$D$549,MATCH(G611,Clientes!$C$5:$C$549,0))&lt;&gt;"",INDEX(Clientes!$D$5:$D$549,MATCH(G611,Clientes!$C$5:$C$549,0)),TRIM(INDEX(Clientes!$E$5:$E$549,MATCH(G611,Clientes!$C$5:$C$549,0))&amp;" "&amp;INDEX(Clientes!$F$5:$F$549,MATCH(G611,Clientes!$C$5:$C$549,0)))),"NO EXISTE en Clientes"))</f>
        <v/>
      </c>
      <c r="I611" s="17" t="inlineStr">
        <is>
          <t>EN_PODER_CLIENTE</t>
        </is>
      </c>
      <c r="J611" s="17" t="n"/>
      <c r="K611" s="26" t="inlineStr">
        <is>
          <t>20480192932</t>
        </is>
      </c>
      <c r="L611" s="25">
        <f t="array" ref="L611">IF(K611="","",IFERROR(IF(INDEX(Clientes!$D$5:$D$549,MATCH(K611,Clientes!$C$5:$C$549,0))&lt;&gt;"",INDEX(Clientes!$D$5:$D$549,MATCH(K611,Clientes!$C$5:$C$549,0)),TRIM(INDEX(Clientes!$E$5:$E$549,MATCH(K611,Clientes!$C$5:$C$549,0))&amp;" "&amp;INDEX(Clientes!$F$5:$F$549,MATCH(K611,Clientes!$C$5:$C$549,0)))),"NO EXISTE en Clientes"))</f>
        <v/>
      </c>
      <c r="M611" s="17" t="n"/>
      <c r="N611" s="17" t="n"/>
      <c r="O611" s="42" t="n"/>
      <c r="P611" s="39">
        <f>IF(O611&lt;&gt;"",DATE(YEAR(O611)+5,MONTH(O611),1),IF(AND(M611&lt;&gt;"",N611&lt;&gt;""),DATE(M611+5,N611,1),""))</f>
        <v/>
      </c>
      <c r="Q611" s="23" t="n"/>
      <c r="R611" s="17" t="n"/>
      <c r="S611" s="17" t="n"/>
      <c r="T611" s="17" t="n"/>
      <c r="U611" s="17" t="n"/>
      <c r="V611" s="23" t="n"/>
      <c r="W611" s="17" t="n"/>
      <c r="X611" s="17" t="n"/>
      <c r="Y611" s="28">
        <f>IF(B611&lt;&gt;"OK","","SELECT bal_crear_balon(p_codigo_balon =&gt; "&amp;IF(TRIM(C611&amp;"")="","NULL","'"&amp;SUBSTITUTE(TRIM(C611),"'","''")&amp;"'")&amp;", p_id_tipo_balon =&gt; "&amp;"(SELECT id FROM bal_tipo_balon WHERE upper(nombre) = upper('"&amp;SUBSTITUTE(TRIM(D611),"'","''")&amp;"') AND estado = 1 LIMIT 1)"&amp;", p_id_producto_gas =&gt; "&amp;"(SELECT id FROM pro_producto WHERE es_gas = TRUE AND upper(nombre) = upper('"&amp;SUBSTITUTE(TRIM(E611),"'","''")&amp;"') AND estado = 1 LIMIT 1)"&amp;", p_id_propietario =&gt; "&amp;IF(TRIM(F611&amp;"")="","NULL","(SELECT lo.id FROM gen_lista_opciones lo JOIN gen_lista l ON l.id = lo.id_lista WHERE l.nombre = 'PropietarioBalon' AND upper(lo.nombre) = upper('"&amp;SUBSTITUTE(TRIM(F611),"'","''")&amp;"') AND lo.estado = 1 LIMIT 1)")&amp;", p_id_cliente_propietario =&gt; "&amp;IF(F611="CLIENTE",IF(TRIM(G611&amp;"")="","NULL","(SELECT id FROM cli_clientes WHERE numero_documento = '"&amp;SUBSTITUTE(TRIM(G611),"'","''")&amp;"' AND estado = 1 LIMIT 1)"),"NULL")&amp;", p_id_planta =&gt; "&amp;IF(F611="PLANTA",IF(TRIM(G611&amp;"")="","NULL","(SELECT id FROM cli_clientes WHERE numero_documento = '"&amp;SUBSTITUTE(TRIM(G611),"'","''")&amp;"'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"&amp;IF(TRIM(J611&amp;"")="","NULL","(SELECT id FROM gen_almacen WHERE upper(nombre) = upper('"&amp;SUBSTITUTE(TRIM(J611),"'","''")&amp;"') AND estado = 1 LIMIT 1)")&amp;", p_id_cliente_ubicacion =&gt; "&amp;IF(TRIM(K611&amp;"")="","NULL","(SELECT id FROM cli_clientes WHERE numero_documento = '"&amp;SUBSTITUTE(TRIM(K611),"'","''")&amp;"' AND estado = 1 LIMIT 1)")&amp;", p_id_referencia =&gt; "&amp;IF(TRIM(J611&amp;"")&lt;&gt;"","(SELECT lo.id FROM gen_lista_opciones lo JOIN gen_lista l ON l.id = lo.id_lista WHERE l.nombre = 'ReferenciaCilindro' AND upper(lo.nombre) = 'ALMACEN' AND lo.estado = 1 LIMIT 1)",IF(TRIM(K611&amp;"")&lt;&gt;"","(SELECT lo.id FROM gen_lista_opciones lo JOIN gen_lista l ON l.id = lo.id_lista WHERE l.nombre = 'ReferenciaCilindro' AND upper(lo.nombre) = 'CLIENTE' AND lo.estado = 1 LIMIT 1)","NULL"))&amp;", p_anio_fabricacion =&gt; "&amp;IF(M611&amp;""="","NULL::smallint",M611&amp;"::smallint")&amp;", p_mes_fabricacion =&gt; "&amp;IF(N611&amp;""="","NULL::smallint",N611&amp;"::smallint")&amp;", p_fecha_ultima_prueba_hidrostatica =&gt; "&amp;IF(O611&amp;""="","NULL","'"&amp;YEAR(O611)&amp;"-"&amp;TEXT(MONTH(O611),"00")&amp;"-"&amp;TEXT(DAY(O611),"00")&amp;"'")&amp;", p_numero_serie =&gt; "&amp;IF(TRIM(Q611&amp;"")="","NULL","'"&amp;SUBSTITUTE(TRIM(Q611),"'","''")&amp;"'")&amp;", p_id_marca_cilindro =&gt; "&amp;IF(TRIM(R611&amp;"")="","NULL","(SELECT lo.id FROM gen_lista_opciones lo JOIN gen_lista l ON l.id = lo.id_lista WHERE l.nombre = 'MarcaCilindro' AND upper(lo.nombre) = upper('"&amp;SUBSTITUTE(TRIM(R611),"'","''")&amp;"') AND lo.estado = 1 LIMIT 1)")&amp;", p_id_organo_inspector =&gt; "&amp;IF(TRIM(S611&amp;"")="","NULL","(SELECT lo.id FROM gen_lista_opciones lo JOIN gen_lista l ON l.id = lo.id_lista WHERE l.nombre = 'OrganoInspectorCilindro' AND upper(lo.nombre) = upper('"&amp;SUBSTITUTE(TRIM(S611),"'","''")&amp;"') AND lo.estado = 1 LIMIT 1)")&amp;", p_organo_inspector_no_aplica =&gt; "&amp;IF(S611="NO_APLICA","TRUE","FALSE")&amp;", p_presion_actual =&gt; "&amp;IF(T611&amp;""="","NULL",SUBSTITUTE(T611&amp;"",",","."))&amp;", p_tipo_valvula =&gt; "&amp;IF(TRIM(U611&amp;"")="","NULL","'"&amp;SUBSTITUTE(TRIM(U611),"'","''")&amp;"'")&amp;", p_libro_cilindro =&gt; "&amp;IF(TRIM(V611&amp;"")="","NULL","'"&amp;SUBSTITUTE(TRIM(V611),"'","''")&amp;"'")&amp;", p_pagina_libro =&gt; "&amp;IF(W611&amp;""="","NULL",SUBSTITUTE(W611&amp;"",",","."))&amp;", p_observacion =&gt; "&amp;IF(TRIM(X611&amp;"")="","NULL","'"&amp;SUBSTITUTE(TRIM(X611),"'","''")&amp;"'")&amp;") AS resultado_balon_"&amp;ROW()&amp;";")</f>
        <v/>
      </c>
    </row>
    <row r="612" ht="15.75" customHeight="1" s="64">
      <c r="A612" s="36" t="inlineStr">
        <is>
          <t>608</t>
        </is>
      </c>
      <c r="B612" s="25">
        <f>IF(AND(C612="",D612="",E612=""),"",IF(C612="","FALTA código balón",IF(D612="","FALTA tipo balón",IF(E612="","FALTA gas",IF(F612="","FALTA propietario",IF(AND(C612&lt;&gt;"",SUMPRODUCT(--($C$5:$C$1200=C612))&gt;1),"CÓDIGO BALÓN DUPLICADO",IF(AND(OR(UPPER(F612)="PLANTA",UPPER(F612)="CLIENTE"),G612=""),"FALTA doc propietario/planta",IF(AND(UPPER(F612)="PLANTA",G612="10175332796"),"PLANTA no puede ser RUC empresa","OK"))))))))</f>
        <v/>
      </c>
      <c r="C612" s="23" t="inlineStr">
        <is>
          <t>20S129184</t>
        </is>
      </c>
      <c r="D612" s="17" t="inlineStr">
        <is>
          <t>Oxígeno Medicinal 6 m³</t>
        </is>
      </c>
      <c r="E612" s="17" t="inlineStr">
        <is>
          <t>OXIGENO MEDICINAL</t>
        </is>
      </c>
      <c r="F612" s="17" t="inlineStr">
        <is>
          <t>EMPRESA</t>
        </is>
      </c>
      <c r="G612" s="23" t="inlineStr">
        <is>
          <t>10175332796</t>
        </is>
      </c>
      <c r="H612" s="25">
        <f t="array" ref="H612">IF(G612="","",IFERROR(IF(INDEX(Clientes!$D$5:$D$549,MATCH(G612,Clientes!$C$5:$C$549,0))&lt;&gt;"",INDEX(Clientes!$D$5:$D$549,MATCH(G612,Clientes!$C$5:$C$549,0)),TRIM(INDEX(Clientes!$E$5:$E$549,MATCH(G612,Clientes!$C$5:$C$549,0))&amp;" "&amp;INDEX(Clientes!$F$5:$F$549,MATCH(G612,Clientes!$C$5:$C$549,0)))),"NO EXISTE en Clientes"))</f>
        <v/>
      </c>
      <c r="I612" s="17" t="inlineStr">
        <is>
          <t>EN_PODER_CLIENTE</t>
        </is>
      </c>
      <c r="J612" s="17" t="n"/>
      <c r="K612" s="23" t="inlineStr">
        <is>
          <t>20611122013</t>
        </is>
      </c>
      <c r="L612" s="25">
        <f t="array" ref="L612">IF(K612="","",IFERROR(IF(INDEX(Clientes!$D$5:$D$549,MATCH(K612,Clientes!$C$5:$C$549,0))&lt;&gt;"",INDEX(Clientes!$D$5:$D$549,MATCH(K612,Clientes!$C$5:$C$549,0)),TRIM(INDEX(Clientes!$E$5:$E$549,MATCH(K612,Clientes!$C$5:$C$549,0))&amp;" "&amp;INDEX(Clientes!$F$5:$F$549,MATCH(K612,Clientes!$C$5:$C$549,0)))),"NO EXISTE en Clientes"))</f>
        <v/>
      </c>
      <c r="M612" s="17" t="n"/>
      <c r="N612" s="17" t="n"/>
      <c r="O612" s="42" t="n"/>
      <c r="P612" s="39">
        <f>IF(O612&lt;&gt;"",DATE(YEAR(O612)+5,MONTH(O612),1),IF(AND(M612&lt;&gt;"",N612&lt;&gt;""),DATE(M612+5,N612,1),""))</f>
        <v/>
      </c>
      <c r="Q612" s="23" t="n"/>
      <c r="R612" s="17" t="n"/>
      <c r="S612" s="17" t="n"/>
      <c r="T612" s="17" t="n"/>
      <c r="U612" s="17" t="n"/>
      <c r="V612" s="23" t="n"/>
      <c r="W612" s="17" t="n"/>
      <c r="X612" s="17" t="n"/>
      <c r="Y612" s="28">
        <f>IF(B612&lt;&gt;"OK","","SELECT bal_crear_balon(p_codigo_balon =&gt; "&amp;IF(TRIM(C612&amp;"")="","NULL","'"&amp;SUBSTITUTE(TRIM(C612),"'","''")&amp;"'")&amp;", p_id_tipo_balon =&gt; "&amp;"(SELECT id FROM bal_tipo_balon WHERE upper(nombre) = upper('"&amp;SUBSTITUTE(TRIM(D612),"'","''")&amp;"') AND estado = 1 LIMIT 1)"&amp;", p_id_producto_gas =&gt; "&amp;"(SELECT id FROM pro_producto WHERE es_gas = TRUE AND upper(nombre) = upper('"&amp;SUBSTITUTE(TRIM(E612),"'","''")&amp;"') AND estado = 1 LIMIT 1)"&amp;", p_id_propietario =&gt; "&amp;IF(TRIM(F612&amp;"")="","NULL","(SELECT lo.id FROM gen_lista_opciones lo JOIN gen_lista l ON l.id = lo.id_lista WHERE l.nombre = 'PropietarioBalon' AND upper(lo.nombre) = upper('"&amp;SUBSTITUTE(TRIM(F612),"'","''")&amp;"') AND lo.estado = 1 LIMIT 1)")&amp;", p_id_cliente_propietario =&gt; "&amp;IF(F612="CLIENTE",IF(TRIM(G612&amp;"")="","NULL","(SELECT id FROM cli_clientes WHERE numero_documento = '"&amp;SUBSTITUTE(TRIM(G612),"'","''")&amp;"' AND estado = 1 LIMIT 1)"),"NULL")&amp;", p_id_planta =&gt; "&amp;IF(F612="PLANTA",IF(TRIM(G612&amp;"")="","NULL","(SELECT id FROM cli_clientes WHERE numero_documento = '"&amp;SUBSTITUTE(TRIM(G612),"'","''")&amp;"'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"&amp;IF(TRIM(J612&amp;"")="","NULL","(SELECT id FROM gen_almacen WHERE upper(nombre) = upper('"&amp;SUBSTITUTE(TRIM(J612),"'","''")&amp;"') AND estado = 1 LIMIT 1)")&amp;", p_id_cliente_ubicacion =&gt; "&amp;IF(TRIM(K612&amp;"")="","NULL","(SELECT id FROM cli_clientes WHERE numero_documento = '"&amp;SUBSTITUTE(TRIM(K612),"'","''")&amp;"' AND estado = 1 LIMIT 1)")&amp;", p_id_referencia =&gt; "&amp;IF(TRIM(J612&amp;"")&lt;&gt;"","(SELECT lo.id FROM gen_lista_opciones lo JOIN gen_lista l ON l.id = lo.id_lista WHERE l.nombre = 'ReferenciaCilindro' AND upper(lo.nombre) = 'ALMACEN' AND lo.estado = 1 LIMIT 1)",IF(TRIM(K612&amp;"")&lt;&gt;"","(SELECT lo.id FROM gen_lista_opciones lo JOIN gen_lista l ON l.id = lo.id_lista WHERE l.nombre = 'ReferenciaCilindro' AND upper(lo.nombre) = 'CLIENTE' AND lo.estado = 1 LIMIT 1)","NULL"))&amp;", p_anio_fabricacion =&gt; "&amp;IF(M612&amp;""="","NULL::smallint",M612&amp;"::smallint")&amp;", p_mes_fabricacion =&gt; "&amp;IF(N612&amp;""="","NULL::smallint",N612&amp;"::smallint")&amp;", p_fecha_ultima_prueba_hidrostatica =&gt; "&amp;IF(O612&amp;""="","NULL","'"&amp;YEAR(O612)&amp;"-"&amp;TEXT(MONTH(O612),"00")&amp;"-"&amp;TEXT(DAY(O612),"00")&amp;"'")&amp;", p_numero_serie =&gt; "&amp;IF(TRIM(Q612&amp;"")="","NULL","'"&amp;SUBSTITUTE(TRIM(Q612),"'","''")&amp;"'")&amp;", p_id_marca_cilindro =&gt; "&amp;IF(TRIM(R612&amp;"")="","NULL","(SELECT lo.id FROM gen_lista_opciones lo JOIN gen_lista l ON l.id = lo.id_lista WHERE l.nombre = 'MarcaCilindro' AND upper(lo.nombre) = upper('"&amp;SUBSTITUTE(TRIM(R612),"'","''")&amp;"') AND lo.estado = 1 LIMIT 1)")&amp;", p_id_organo_inspector =&gt; "&amp;IF(TRIM(S612&amp;"")="","NULL","(SELECT lo.id FROM gen_lista_opciones lo JOIN gen_lista l ON l.id = lo.id_lista WHERE l.nombre = 'OrganoInspectorCilindro' AND upper(lo.nombre) = upper('"&amp;SUBSTITUTE(TRIM(S612),"'","''")&amp;"') AND lo.estado = 1 LIMIT 1)")&amp;", p_organo_inspector_no_aplica =&gt; "&amp;IF(S612="NO_APLICA","TRUE","FALSE")&amp;", p_presion_actual =&gt; "&amp;IF(T612&amp;""="","NULL",SUBSTITUTE(T612&amp;"",",","."))&amp;", p_tipo_valvula =&gt; "&amp;IF(TRIM(U612&amp;"")="","NULL","'"&amp;SUBSTITUTE(TRIM(U612),"'","''")&amp;"'")&amp;", p_libro_cilindro =&gt; "&amp;IF(TRIM(V612&amp;"")="","NULL","'"&amp;SUBSTITUTE(TRIM(V612),"'","''")&amp;"'")&amp;", p_pagina_libro =&gt; "&amp;IF(W612&amp;""="","NULL",SUBSTITUTE(W612&amp;"",",","."))&amp;", p_observacion =&gt; "&amp;IF(TRIM(X612&amp;"")="","NULL","'"&amp;SUBSTITUTE(TRIM(X612),"'","''")&amp;"'")&amp;") AS resultado_balon_"&amp;ROW()&amp;";")</f>
        <v/>
      </c>
    </row>
    <row r="613" ht="15.75" customHeight="1" s="64">
      <c r="A613" s="36" t="inlineStr">
        <is>
          <t>609</t>
        </is>
      </c>
      <c r="B613" s="25">
        <f>IF(AND(C613="",D613="",E613=""),"",IF(C613="","FALTA código balón",IF(D613="","FALTA tipo balón",IF(E613="","FALTA gas",IF(F613="","FALTA propietario",IF(AND(C613&lt;&gt;"",SUMPRODUCT(--($C$5:$C$1200=C613))&gt;1),"CÓDIGO BALÓN DUPLICADO",IF(AND(OR(UPPER(F613)="PLANTA",UPPER(F613)="CLIENTE"),G613=""),"FALTA doc propietario/planta",IF(AND(UPPER(F613)="PLANTA",G613="10175332796"),"PLANTA no puede ser RUC empresa","OK"))))))))</f>
        <v/>
      </c>
      <c r="C613" s="23" t="inlineStr">
        <is>
          <t>GA784156</t>
        </is>
      </c>
      <c r="D613" s="17" t="inlineStr">
        <is>
          <t>Oxígeno Industrial 6 m³</t>
        </is>
      </c>
      <c r="E613" s="17" t="inlineStr">
        <is>
          <t>OXIGENO INDUSTRIAL</t>
        </is>
      </c>
      <c r="F613" s="17" t="inlineStr">
        <is>
          <t>EMPRESA</t>
        </is>
      </c>
      <c r="G613" s="23" t="inlineStr">
        <is>
          <t>10175332796</t>
        </is>
      </c>
      <c r="H613" s="25">
        <f t="array" ref="H613">IF(G613="","",IFERROR(IF(INDEX(Clientes!$D$5:$D$549,MATCH(G613,Clientes!$C$5:$C$549,0))&lt;&gt;"",INDEX(Clientes!$D$5:$D$549,MATCH(G613,Clientes!$C$5:$C$549,0)),TRIM(INDEX(Clientes!$E$5:$E$549,MATCH(G613,Clientes!$C$5:$C$549,0))&amp;" "&amp;INDEX(Clientes!$F$5:$F$549,MATCH(G613,Clientes!$C$5:$C$549,0)))),"NO EXISTE en Clientes"))</f>
        <v/>
      </c>
      <c r="I613" s="17" t="inlineStr">
        <is>
          <t>EN_PODER_CLIENTE</t>
        </is>
      </c>
      <c r="J613" s="17" t="n"/>
      <c r="K613" s="23" t="inlineStr">
        <is>
          <t>10402505643</t>
        </is>
      </c>
      <c r="L613" s="25">
        <f t="array" ref="L613">IF(K613="","",IFERROR(IF(INDEX(Clientes!$D$5:$D$549,MATCH(K613,Clientes!$C$5:$C$549,0))&lt;&gt;"",INDEX(Clientes!$D$5:$D$549,MATCH(K613,Clientes!$C$5:$C$549,0)),TRIM(INDEX(Clientes!$E$5:$E$549,MATCH(K613,Clientes!$C$5:$C$549,0))&amp;" "&amp;INDEX(Clientes!$F$5:$F$549,MATCH(K613,Clientes!$C$5:$C$549,0)))),"NO EXISTE en Clientes"))</f>
        <v/>
      </c>
      <c r="M613" s="17" t="n"/>
      <c r="N613" s="17" t="n"/>
      <c r="O613" s="42" t="n"/>
      <c r="P613" s="39">
        <f>IF(O613&lt;&gt;"",DATE(YEAR(O613)+5,MONTH(O613),1),IF(AND(M613&lt;&gt;"",N613&lt;&gt;""),DATE(M613+5,N613,1),""))</f>
        <v/>
      </c>
      <c r="Q613" s="23" t="n"/>
      <c r="R613" s="17" t="n"/>
      <c r="S613" s="17" t="n"/>
      <c r="T613" s="17" t="n"/>
      <c r="U613" s="17" t="n"/>
      <c r="V613" s="23" t="n"/>
      <c r="W613" s="17" t="n"/>
      <c r="X613" s="17" t="n"/>
      <c r="Y613" s="28">
        <f>IF(B613&lt;&gt;"OK","","SELECT bal_crear_balon(p_codigo_balon =&gt; "&amp;IF(TRIM(C613&amp;"")="","NULL","'"&amp;SUBSTITUTE(TRIM(C613),"'","''")&amp;"'")&amp;", p_id_tipo_balon =&gt; "&amp;"(SELECT id FROM bal_tipo_balon WHERE upper(nombre) = upper('"&amp;SUBSTITUTE(TRIM(D613),"'","''")&amp;"') AND estado = 1 LIMIT 1)"&amp;", p_id_producto_gas =&gt; "&amp;"(SELECT id FROM pro_producto WHERE es_gas = TRUE AND upper(nombre) = upper('"&amp;SUBSTITUTE(TRIM(E613),"'","''")&amp;"') AND estado = 1 LIMIT 1)"&amp;", p_id_propietario =&gt; "&amp;IF(TRIM(F613&amp;"")="","NULL","(SELECT lo.id FROM gen_lista_opciones lo JOIN gen_lista l ON l.id = lo.id_lista WHERE l.nombre = 'PropietarioBalon' AND upper(lo.nombre) = upper('"&amp;SUBSTITUTE(TRIM(F613),"'","''")&amp;"') AND lo.estado = 1 LIMIT 1)")&amp;", p_id_cliente_propietario =&gt; "&amp;IF(F613="CLIENTE",IF(TRIM(G613&amp;"")="","NULL","(SELECT id FROM cli_clientes WHERE numero_documento = '"&amp;SUBSTITUTE(TRIM(G613),"'","''")&amp;"' AND estado = 1 LIMIT 1)"),"NULL")&amp;", p_id_planta =&gt; "&amp;IF(F613="PLANTA",IF(TRIM(G613&amp;"")="","NULL","(SELECT id FROM cli_clientes WHERE numero_documento = '"&amp;SUBSTITUTE(TRIM(G613),"'","''")&amp;"'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"&amp;IF(TRIM(J613&amp;"")="","NULL","(SELECT id FROM gen_almacen WHERE upper(nombre) = upper('"&amp;SUBSTITUTE(TRIM(J613),"'","''")&amp;"') AND estado = 1 LIMIT 1)")&amp;", p_id_cliente_ubicacion =&gt; "&amp;IF(TRIM(K613&amp;"")="","NULL","(SELECT id FROM cli_clientes WHERE numero_documento = '"&amp;SUBSTITUTE(TRIM(K613),"'","''")&amp;"' AND estado = 1 LIMIT 1)")&amp;", p_id_referencia =&gt; "&amp;IF(TRIM(J613&amp;"")&lt;&gt;"","(SELECT lo.id FROM gen_lista_opciones lo JOIN gen_lista l ON l.id = lo.id_lista WHERE l.nombre = 'ReferenciaCilindro' AND upper(lo.nombre) = 'ALMACEN' AND lo.estado = 1 LIMIT 1)",IF(TRIM(K613&amp;"")&lt;&gt;"","(SELECT lo.id FROM gen_lista_opciones lo JOIN gen_lista l ON l.id = lo.id_lista WHERE l.nombre = 'ReferenciaCilindro' AND upper(lo.nombre) = 'CLIENTE' AND lo.estado = 1 LIMIT 1)","NULL"))&amp;", p_anio_fabricacion =&gt; "&amp;IF(M613&amp;""="","NULL::smallint",M613&amp;"::smallint")&amp;", p_mes_fabricacion =&gt; "&amp;IF(N613&amp;""="","NULL::smallint",N613&amp;"::smallint")&amp;", p_fecha_ultima_prueba_hidrostatica =&gt; "&amp;IF(O613&amp;""="","NULL","'"&amp;YEAR(O613)&amp;"-"&amp;TEXT(MONTH(O613),"00")&amp;"-"&amp;TEXT(DAY(O613),"00")&amp;"'")&amp;", p_numero_serie =&gt; "&amp;IF(TRIM(Q613&amp;"")="","NULL","'"&amp;SUBSTITUTE(TRIM(Q613),"'","''")&amp;"'")&amp;", p_id_marca_cilindro =&gt; "&amp;IF(TRIM(R613&amp;"")="","NULL","(SELECT lo.id FROM gen_lista_opciones lo JOIN gen_lista l ON l.id = lo.id_lista WHERE l.nombre = 'MarcaCilindro' AND upper(lo.nombre) = upper('"&amp;SUBSTITUTE(TRIM(R613),"'","''")&amp;"') AND lo.estado = 1 LIMIT 1)")&amp;", p_id_organo_inspector =&gt; "&amp;IF(TRIM(S613&amp;"")="","NULL","(SELECT lo.id FROM gen_lista_opciones lo JOIN gen_lista l ON l.id = lo.id_lista WHERE l.nombre = 'OrganoInspectorCilindro' AND upper(lo.nombre) = upper('"&amp;SUBSTITUTE(TRIM(S613),"'","''")&amp;"') AND lo.estado = 1 LIMIT 1)")&amp;", p_organo_inspector_no_aplica =&gt; "&amp;IF(S613="NO_APLICA","TRUE","FALSE")&amp;", p_presion_actual =&gt; "&amp;IF(T613&amp;""="","NULL",SUBSTITUTE(T613&amp;"",",","."))&amp;", p_tipo_valvula =&gt; "&amp;IF(TRIM(U613&amp;"")="","NULL","'"&amp;SUBSTITUTE(TRIM(U613),"'","''")&amp;"'")&amp;", p_libro_cilindro =&gt; "&amp;IF(TRIM(V613&amp;"")="","NULL","'"&amp;SUBSTITUTE(TRIM(V613),"'","''")&amp;"'")&amp;", p_pagina_libro =&gt; "&amp;IF(W613&amp;""="","NULL",SUBSTITUTE(W613&amp;"",",","."))&amp;", p_observacion =&gt; "&amp;IF(TRIM(X613&amp;"")="","NULL","'"&amp;SUBSTITUTE(TRIM(X613),"'","''")&amp;"'")&amp;") AS resultado_balon_"&amp;ROW()&amp;";")</f>
        <v/>
      </c>
    </row>
    <row r="614" ht="15.75" customHeight="1" s="64">
      <c r="A614" s="36" t="inlineStr">
        <is>
          <t>610</t>
        </is>
      </c>
      <c r="B614" s="25">
        <f>IF(AND(C614="",D614="",E614=""),"",IF(C614="","FALTA código balón",IF(D614="","FALTA tipo balón",IF(E614="","FALTA gas",IF(F614="","FALTA propietario",IF(AND(C614&lt;&gt;"",SUMPRODUCT(--($C$5:$C$1200=C614))&gt;1),"CÓDIGO BALÓN DUPLICADO",IF(AND(OR(UPPER(F614)="PLANTA",UPPER(F614)="CLIENTE"),G614=""),"FALTA doc propietario/planta",IF(AND(UPPER(F614)="PLANTA",G614="10175332796"),"PLANTA no puede ser RUC empresa","OK"))))))))</f>
        <v/>
      </c>
      <c r="C614" s="23" t="inlineStr">
        <is>
          <t>1187759</t>
        </is>
      </c>
      <c r="D614" s="17" t="inlineStr">
        <is>
          <t>Oxígeno Industrial 6 m³</t>
        </is>
      </c>
      <c r="E614" s="17" t="inlineStr">
        <is>
          <t>OXIGENO INDUSTRIAL</t>
        </is>
      </c>
      <c r="F614" s="17" t="inlineStr">
        <is>
          <t>EMPRESA</t>
        </is>
      </c>
      <c r="G614" s="23" t="inlineStr">
        <is>
          <t>10175332796</t>
        </is>
      </c>
      <c r="H614" s="25">
        <f t="array" ref="H614">IF(G614="","",IFERROR(IF(INDEX(Clientes!$D$5:$D$549,MATCH(G614,Clientes!$C$5:$C$549,0))&lt;&gt;"",INDEX(Clientes!$D$5:$D$549,MATCH(G614,Clientes!$C$5:$C$549,0)),TRIM(INDEX(Clientes!$E$5:$E$549,MATCH(G614,Clientes!$C$5:$C$549,0))&amp;" "&amp;INDEX(Clientes!$F$5:$F$549,MATCH(G614,Clientes!$C$5:$C$549,0)))),"NO EXISTE en Clientes"))</f>
        <v/>
      </c>
      <c r="I614" s="17" t="inlineStr">
        <is>
          <t>EN_PODER_CLIENTE</t>
        </is>
      </c>
      <c r="J614" s="17" t="n"/>
      <c r="K614" s="23" t="inlineStr">
        <is>
          <t>10402505643</t>
        </is>
      </c>
      <c r="L614" s="25">
        <f t="array" ref="L614">IF(K614="","",IFERROR(IF(INDEX(Clientes!$D$5:$D$549,MATCH(K614,Clientes!$C$5:$C$549,0))&lt;&gt;"",INDEX(Clientes!$D$5:$D$549,MATCH(K614,Clientes!$C$5:$C$549,0)),TRIM(INDEX(Clientes!$E$5:$E$549,MATCH(K614,Clientes!$C$5:$C$549,0))&amp;" "&amp;INDEX(Clientes!$F$5:$F$549,MATCH(K614,Clientes!$C$5:$C$549,0)))),"NO EXISTE en Clientes"))</f>
        <v/>
      </c>
      <c r="M614" s="17" t="n"/>
      <c r="N614" s="17" t="n"/>
      <c r="O614" s="42" t="n"/>
      <c r="P614" s="39">
        <f>IF(O614&lt;&gt;"",DATE(YEAR(O614)+5,MONTH(O614),1),IF(AND(M614&lt;&gt;"",N614&lt;&gt;""),DATE(M614+5,N614,1),""))</f>
        <v/>
      </c>
      <c r="Q614" s="23" t="n"/>
      <c r="R614" s="17" t="n"/>
      <c r="S614" s="17" t="n"/>
      <c r="T614" s="17" t="n"/>
      <c r="U614" s="17" t="n"/>
      <c r="V614" s="23" t="n"/>
      <c r="W614" s="17" t="n"/>
      <c r="X614" s="17" t="n"/>
      <c r="Y614" s="28">
        <f>IF(B614&lt;&gt;"OK","","SELECT bal_crear_balon(p_codigo_balon =&gt; "&amp;IF(TRIM(C614&amp;"")="","NULL","'"&amp;SUBSTITUTE(TRIM(C614),"'","''")&amp;"'")&amp;", p_id_tipo_balon =&gt; "&amp;"(SELECT id FROM bal_tipo_balon WHERE upper(nombre) = upper('"&amp;SUBSTITUTE(TRIM(D614),"'","''")&amp;"') AND estado = 1 LIMIT 1)"&amp;", p_id_producto_gas =&gt; "&amp;"(SELECT id FROM pro_producto WHERE es_gas = TRUE AND upper(nombre) = upper('"&amp;SUBSTITUTE(TRIM(E614),"'","''")&amp;"') AND estado = 1 LIMIT 1)"&amp;", p_id_propietario =&gt; "&amp;IF(TRIM(F614&amp;"")="","NULL","(SELECT lo.id FROM gen_lista_opciones lo JOIN gen_lista l ON l.id = lo.id_lista WHERE l.nombre = 'PropietarioBalon' AND upper(lo.nombre) = upper('"&amp;SUBSTITUTE(TRIM(F614),"'","''")&amp;"') AND lo.estado = 1 LIMIT 1)")&amp;", p_id_cliente_propietario =&gt; "&amp;IF(F614="CLIENTE",IF(TRIM(G614&amp;"")="","NULL","(SELECT id FROM cli_clientes WHERE numero_documento = '"&amp;SUBSTITUTE(TRIM(G614),"'","''")&amp;"' AND estado = 1 LIMIT 1)"),"NULL")&amp;", p_id_planta =&gt; "&amp;IF(F614="PLANTA",IF(TRIM(G614&amp;"")="","NULL","(SELECT id FROM cli_clientes WHERE numero_documento = '"&amp;SUBSTITUTE(TRIM(G614),"'","''")&amp;"'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"&amp;IF(TRIM(J614&amp;"")="","NULL","(SELECT id FROM gen_almacen WHERE upper(nombre) = upper('"&amp;SUBSTITUTE(TRIM(J614),"'","''")&amp;"') AND estado = 1 LIMIT 1)")&amp;", p_id_cliente_ubicacion =&gt; "&amp;IF(TRIM(K614&amp;"")="","NULL","(SELECT id FROM cli_clientes WHERE numero_documento = '"&amp;SUBSTITUTE(TRIM(K614),"'","''")&amp;"' AND estado = 1 LIMIT 1)")&amp;", p_id_referencia =&gt; "&amp;IF(TRIM(J614&amp;"")&lt;&gt;"","(SELECT lo.id FROM gen_lista_opciones lo JOIN gen_lista l ON l.id = lo.id_lista WHERE l.nombre = 'ReferenciaCilindro' AND upper(lo.nombre) = 'ALMACEN' AND lo.estado = 1 LIMIT 1)",IF(TRIM(K614&amp;"")&lt;&gt;"","(SELECT lo.id FROM gen_lista_opciones lo JOIN gen_lista l ON l.id = lo.id_lista WHERE l.nombre = 'ReferenciaCilindro' AND upper(lo.nombre) = 'CLIENTE' AND lo.estado = 1 LIMIT 1)","NULL"))&amp;", p_anio_fabricacion =&gt; "&amp;IF(M614&amp;""="","NULL::smallint",M614&amp;"::smallint")&amp;", p_mes_fabricacion =&gt; "&amp;IF(N614&amp;""="","NULL::smallint",N614&amp;"::smallint")&amp;", p_fecha_ultima_prueba_hidrostatica =&gt; "&amp;IF(O614&amp;""="","NULL","'"&amp;YEAR(O614)&amp;"-"&amp;TEXT(MONTH(O614),"00")&amp;"-"&amp;TEXT(DAY(O614),"00")&amp;"'")&amp;", p_numero_serie =&gt; "&amp;IF(TRIM(Q614&amp;"")="","NULL","'"&amp;SUBSTITUTE(TRIM(Q614),"'","''")&amp;"'")&amp;", p_id_marca_cilindro =&gt; "&amp;IF(TRIM(R614&amp;"")="","NULL","(SELECT lo.id FROM gen_lista_opciones lo JOIN gen_lista l ON l.id = lo.id_lista WHERE l.nombre = 'MarcaCilindro' AND upper(lo.nombre) = upper('"&amp;SUBSTITUTE(TRIM(R614),"'","''")&amp;"') AND lo.estado = 1 LIMIT 1)")&amp;", p_id_organo_inspector =&gt; "&amp;IF(TRIM(S614&amp;"")="","NULL","(SELECT lo.id FROM gen_lista_opciones lo JOIN gen_lista l ON l.id = lo.id_lista WHERE l.nombre = 'OrganoInspectorCilindro' AND upper(lo.nombre) = upper('"&amp;SUBSTITUTE(TRIM(S614),"'","''")&amp;"') AND lo.estado = 1 LIMIT 1)")&amp;", p_organo_inspector_no_aplica =&gt; "&amp;IF(S614="NO_APLICA","TRUE","FALSE")&amp;", p_presion_actual =&gt; "&amp;IF(T614&amp;""="","NULL",SUBSTITUTE(T614&amp;"",",","."))&amp;", p_tipo_valvula =&gt; "&amp;IF(TRIM(U614&amp;"")="","NULL","'"&amp;SUBSTITUTE(TRIM(U614),"'","''")&amp;"'")&amp;", p_libro_cilindro =&gt; "&amp;IF(TRIM(V614&amp;"")="","NULL","'"&amp;SUBSTITUTE(TRIM(V614),"'","''")&amp;"'")&amp;", p_pagina_libro =&gt; "&amp;IF(W614&amp;""="","NULL",SUBSTITUTE(W614&amp;"",",","."))&amp;", p_observacion =&gt; "&amp;IF(TRIM(X614&amp;"")="","NULL","'"&amp;SUBSTITUTE(TRIM(X614),"'","''")&amp;"'")&amp;") AS resultado_balon_"&amp;ROW()&amp;";")</f>
        <v/>
      </c>
    </row>
    <row r="615" ht="15.75" customHeight="1" s="64">
      <c r="A615" s="36" t="inlineStr">
        <is>
          <t>611</t>
        </is>
      </c>
      <c r="B615" s="25">
        <f>IF(AND(C615="",D615="",E615=""),"",IF(C615="","FALTA código balón",IF(D615="","FALTA tipo balón",IF(E615="","FALTA gas",IF(F615="","FALTA propietario",IF(AND(C615&lt;&gt;"",SUMPRODUCT(--($C$5:$C$1200=C615))&gt;1),"CÓDIGO BALÓN DUPLICADO",IF(AND(OR(UPPER(F615)="PLANTA",UPPER(F615)="CLIENTE"),G615=""),"FALTA doc propietario/planta",IF(AND(UPPER(F615)="PLANTA",G615="10175332796"),"PLANTA no puede ser RUC empresa","OK"))))))))</f>
        <v/>
      </c>
      <c r="C615" s="23" t="inlineStr">
        <is>
          <t>19S205079</t>
        </is>
      </c>
      <c r="D615" s="17" t="inlineStr">
        <is>
          <t>Oxígeno Industrial 6 m³</t>
        </is>
      </c>
      <c r="E615" s="17" t="inlineStr">
        <is>
          <t>OXIGENO INDUSTRIAL</t>
        </is>
      </c>
      <c r="F615" s="17" t="inlineStr">
        <is>
          <t>EMPRESA</t>
        </is>
      </c>
      <c r="G615" s="23" t="inlineStr">
        <is>
          <t>10175332796</t>
        </is>
      </c>
      <c r="H615" s="25">
        <f t="array" ref="H615">IF(G615="","",IFERROR(IF(INDEX(Clientes!$D$5:$D$549,MATCH(G615,Clientes!$C$5:$C$549,0))&lt;&gt;"",INDEX(Clientes!$D$5:$D$549,MATCH(G615,Clientes!$C$5:$C$549,0)),TRIM(INDEX(Clientes!$E$5:$E$549,MATCH(G615,Clientes!$C$5:$C$549,0))&amp;" "&amp;INDEX(Clientes!$F$5:$F$549,MATCH(G615,Clientes!$C$5:$C$549,0)))),"NO EXISTE en Clientes"))</f>
        <v/>
      </c>
      <c r="I615" s="17" t="inlineStr">
        <is>
          <t>EN_PODER_CLIENTE</t>
        </is>
      </c>
      <c r="J615" s="17" t="n"/>
      <c r="K615" s="26" t="inlineStr">
        <is>
          <t>20561169404</t>
        </is>
      </c>
      <c r="L615" s="25">
        <f t="array" ref="L615">IF(K615="","",IFERROR(IF(INDEX(Clientes!$D$5:$D$549,MATCH(K615,Clientes!$C$5:$C$549,0))&lt;&gt;"",INDEX(Clientes!$D$5:$D$549,MATCH(K615,Clientes!$C$5:$C$549,0)),TRIM(INDEX(Clientes!$E$5:$E$549,MATCH(K615,Clientes!$C$5:$C$549,0))&amp;" "&amp;INDEX(Clientes!$F$5:$F$549,MATCH(K615,Clientes!$C$5:$C$549,0)))),"NO EXISTE en Clientes"))</f>
        <v/>
      </c>
      <c r="M615" s="17" t="n"/>
      <c r="N615" s="17" t="n"/>
      <c r="O615" s="42" t="n"/>
      <c r="P615" s="39">
        <f>IF(O615&lt;&gt;"",DATE(YEAR(O615)+5,MONTH(O615),1),IF(AND(M615&lt;&gt;"",N615&lt;&gt;""),DATE(M615+5,N615,1),""))</f>
        <v/>
      </c>
      <c r="Q615" s="23" t="n"/>
      <c r="R615" s="17" t="n"/>
      <c r="S615" s="17" t="n"/>
      <c r="T615" s="17" t="n"/>
      <c r="U615" s="17" t="n"/>
      <c r="V615" s="23" t="n"/>
      <c r="W615" s="17" t="n"/>
      <c r="X615" s="17" t="n"/>
      <c r="Y615" s="28">
        <f>IF(B615&lt;&gt;"OK","","SELECT bal_crear_balon(p_codigo_balon =&gt; "&amp;IF(TRIM(C615&amp;"")="","NULL","'"&amp;SUBSTITUTE(TRIM(C615),"'","''")&amp;"'")&amp;", p_id_tipo_balon =&gt; "&amp;"(SELECT id FROM bal_tipo_balon WHERE upper(nombre) = upper('"&amp;SUBSTITUTE(TRIM(D615),"'","''")&amp;"') AND estado = 1 LIMIT 1)"&amp;", p_id_producto_gas =&gt; "&amp;"(SELECT id FROM pro_producto WHERE es_gas = TRUE AND upper(nombre) = upper('"&amp;SUBSTITUTE(TRIM(E615),"'","''")&amp;"') AND estado = 1 LIMIT 1)"&amp;", p_id_propietario =&gt; "&amp;IF(TRIM(F615&amp;"")="","NULL","(SELECT lo.id FROM gen_lista_opciones lo JOIN gen_lista l ON l.id = lo.id_lista WHERE l.nombre = 'PropietarioBalon' AND upper(lo.nombre) = upper('"&amp;SUBSTITUTE(TRIM(F615),"'","''")&amp;"') AND lo.estado = 1 LIMIT 1)")&amp;", p_id_cliente_propietario =&gt; "&amp;IF(F615="CLIENTE",IF(TRIM(G615&amp;"")="","NULL","(SELECT id FROM cli_clientes WHERE numero_documento = '"&amp;SUBSTITUTE(TRIM(G615),"'","''")&amp;"' AND estado = 1 LIMIT 1)"),"NULL")&amp;", p_id_planta =&gt; "&amp;IF(F615="PLANTA",IF(TRIM(G615&amp;"")="","NULL","(SELECT id FROM cli_clientes WHERE numero_documento = '"&amp;SUBSTITUTE(TRIM(G615),"'","''")&amp;"'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"&amp;IF(TRIM(J615&amp;"")="","NULL","(SELECT id FROM gen_almacen WHERE upper(nombre) = upper('"&amp;SUBSTITUTE(TRIM(J615),"'","''")&amp;"') AND estado = 1 LIMIT 1)")&amp;", p_id_cliente_ubicacion =&gt; "&amp;IF(TRIM(K615&amp;"")="","NULL","(SELECT id FROM cli_clientes WHERE numero_documento = '"&amp;SUBSTITUTE(TRIM(K615),"'","''")&amp;"' AND estado = 1 LIMIT 1)")&amp;", p_id_referencia =&gt; "&amp;IF(TRIM(J615&amp;"")&lt;&gt;"","(SELECT lo.id FROM gen_lista_opciones lo JOIN gen_lista l ON l.id = lo.id_lista WHERE l.nombre = 'ReferenciaCilindro' AND upper(lo.nombre) = 'ALMACEN' AND lo.estado = 1 LIMIT 1)",IF(TRIM(K615&amp;"")&lt;&gt;"","(SELECT lo.id FROM gen_lista_opciones lo JOIN gen_lista l ON l.id = lo.id_lista WHERE l.nombre = 'ReferenciaCilindro' AND upper(lo.nombre) = 'CLIENTE' AND lo.estado = 1 LIMIT 1)","NULL"))&amp;", p_anio_fabricacion =&gt; "&amp;IF(M615&amp;""="","NULL::smallint",M615&amp;"::smallint")&amp;", p_mes_fabricacion =&gt; "&amp;IF(N615&amp;""="","NULL::smallint",N615&amp;"::smallint")&amp;", p_fecha_ultima_prueba_hidrostatica =&gt; "&amp;IF(O615&amp;""="","NULL","'"&amp;YEAR(O615)&amp;"-"&amp;TEXT(MONTH(O615),"00")&amp;"-"&amp;TEXT(DAY(O615),"00")&amp;"'")&amp;", p_numero_serie =&gt; "&amp;IF(TRIM(Q615&amp;"")="","NULL","'"&amp;SUBSTITUTE(TRIM(Q615),"'","''")&amp;"'")&amp;", p_id_marca_cilindro =&gt; "&amp;IF(TRIM(R615&amp;"")="","NULL","(SELECT lo.id FROM gen_lista_opciones lo JOIN gen_lista l ON l.id = lo.id_lista WHERE l.nombre = 'MarcaCilindro' AND upper(lo.nombre) = upper('"&amp;SUBSTITUTE(TRIM(R615),"'","''")&amp;"') AND lo.estado = 1 LIMIT 1)")&amp;", p_id_organo_inspector =&gt; "&amp;IF(TRIM(S615&amp;"")="","NULL","(SELECT lo.id FROM gen_lista_opciones lo JOIN gen_lista l ON l.id = lo.id_lista WHERE l.nombre = 'OrganoInspectorCilindro' AND upper(lo.nombre) = upper('"&amp;SUBSTITUTE(TRIM(S615),"'","''")&amp;"') AND lo.estado = 1 LIMIT 1)")&amp;", p_organo_inspector_no_aplica =&gt; "&amp;IF(S615="NO_APLICA","TRUE","FALSE")&amp;", p_presion_actual =&gt; "&amp;IF(T615&amp;""="","NULL",SUBSTITUTE(T615&amp;"",",","."))&amp;", p_tipo_valvula =&gt; "&amp;IF(TRIM(U615&amp;"")="","NULL","'"&amp;SUBSTITUTE(TRIM(U615),"'","''")&amp;"'")&amp;", p_libro_cilindro =&gt; "&amp;IF(TRIM(V615&amp;"")="","NULL","'"&amp;SUBSTITUTE(TRIM(V615),"'","''")&amp;"'")&amp;", p_pagina_libro =&gt; "&amp;IF(W615&amp;""="","NULL",SUBSTITUTE(W615&amp;"",",","."))&amp;", p_observacion =&gt; "&amp;IF(TRIM(X615&amp;"")="","NULL","'"&amp;SUBSTITUTE(TRIM(X615),"'","''")&amp;"'")&amp;") AS resultado_balon_"&amp;ROW()&amp;";")</f>
        <v/>
      </c>
    </row>
    <row r="616" ht="15.75" customHeight="1" s="64">
      <c r="A616" s="36" t="inlineStr">
        <is>
          <t>612</t>
        </is>
      </c>
      <c r="B616" s="25">
        <f>IF(AND(C616="",D616="",E616=""),"",IF(C616="","FALTA código balón",IF(D616="","FALTA tipo balón",IF(E616="","FALTA gas",IF(F616="","FALTA propietario",IF(AND(C616&lt;&gt;"",SUMPRODUCT(--($C$5:$C$1200=C616))&gt;1),"CÓDIGO BALÓN DUPLICADO",IF(AND(OR(UPPER(F616)="PLANTA",UPPER(F616)="CLIENTE"),G616=""),"FALTA doc propietario/planta",IF(AND(UPPER(F616)="PLANTA",G616="10175332796"),"PLANTA no puede ser RUC empresa","OK"))))))))</f>
        <v/>
      </c>
      <c r="C616" s="23" t="inlineStr">
        <is>
          <t>4117403</t>
        </is>
      </c>
      <c r="D616" s="17" t="inlineStr">
        <is>
          <t>Nitrógeno 10 m³</t>
        </is>
      </c>
      <c r="E616" s="17" t="inlineStr">
        <is>
          <t>NITROGENO</t>
        </is>
      </c>
      <c r="F616" s="17" t="inlineStr">
        <is>
          <t>EMPRESA</t>
        </is>
      </c>
      <c r="G616" s="23" t="inlineStr">
        <is>
          <t>10175332796</t>
        </is>
      </c>
      <c r="H616" s="25">
        <f t="array" ref="H616">IF(G616="","",IFERROR(IF(INDEX(Clientes!$D$5:$D$549,MATCH(G616,Clientes!$C$5:$C$549,0))&lt;&gt;"",INDEX(Clientes!$D$5:$D$549,MATCH(G616,Clientes!$C$5:$C$549,0)),TRIM(INDEX(Clientes!$E$5:$E$549,MATCH(G616,Clientes!$C$5:$C$549,0))&amp;" "&amp;INDEX(Clientes!$F$5:$F$549,MATCH(G616,Clientes!$C$5:$C$549,0)))),"NO EXISTE en Clientes"))</f>
        <v/>
      </c>
      <c r="I616" s="17" t="inlineStr">
        <is>
          <t>EN_PODER_CLIENTE</t>
        </is>
      </c>
      <c r="J616" s="17" t="n"/>
      <c r="K616" s="26" t="inlineStr">
        <is>
          <t>20561169404</t>
        </is>
      </c>
      <c r="L616" s="25">
        <f t="array" ref="L616">IF(K616="","",IFERROR(IF(INDEX(Clientes!$D$5:$D$549,MATCH(K616,Clientes!$C$5:$C$549,0))&lt;&gt;"",INDEX(Clientes!$D$5:$D$549,MATCH(K616,Clientes!$C$5:$C$549,0)),TRIM(INDEX(Clientes!$E$5:$E$549,MATCH(K616,Clientes!$C$5:$C$549,0))&amp;" "&amp;INDEX(Clientes!$F$5:$F$549,MATCH(K616,Clientes!$C$5:$C$549,0)))),"NO EXISTE en Clientes"))</f>
        <v/>
      </c>
      <c r="M616" s="17" t="n"/>
      <c r="N616" s="17" t="n"/>
      <c r="O616" s="42" t="n"/>
      <c r="P616" s="39">
        <f>IF(O616&lt;&gt;"",DATE(YEAR(O616)+5,MONTH(O616),1),IF(AND(M616&lt;&gt;"",N616&lt;&gt;""),DATE(M616+5,N616,1),""))</f>
        <v/>
      </c>
      <c r="Q616" s="23" t="n"/>
      <c r="R616" s="17" t="n"/>
      <c r="S616" s="17" t="n"/>
      <c r="T616" s="17" t="n"/>
      <c r="U616" s="17" t="n"/>
      <c r="V616" s="23" t="n"/>
      <c r="W616" s="17" t="n"/>
      <c r="X616" s="17" t="n"/>
      <c r="Y616" s="28">
        <f>IF(B616&lt;&gt;"OK","","SELECT bal_crear_balon(p_codigo_balon =&gt; "&amp;IF(TRIM(C616&amp;"")="","NULL","'"&amp;SUBSTITUTE(TRIM(C616),"'","''")&amp;"'")&amp;", p_id_tipo_balon =&gt; "&amp;"(SELECT id FROM bal_tipo_balon WHERE upper(nombre) = upper('"&amp;SUBSTITUTE(TRIM(D616),"'","''")&amp;"') AND estado = 1 LIMIT 1)"&amp;", p_id_producto_gas =&gt; "&amp;"(SELECT id FROM pro_producto WHERE es_gas = TRUE AND upper(nombre) = upper('"&amp;SUBSTITUTE(TRIM(E616),"'","''")&amp;"') AND estado = 1 LIMIT 1)"&amp;", p_id_propietario =&gt; "&amp;IF(TRIM(F616&amp;"")="","NULL","(SELECT lo.id FROM gen_lista_opciones lo JOIN gen_lista l ON l.id = lo.id_lista WHERE l.nombre = 'PropietarioBalon' AND upper(lo.nombre) = upper('"&amp;SUBSTITUTE(TRIM(F616),"'","''")&amp;"') AND lo.estado = 1 LIMIT 1)")&amp;", p_id_cliente_propietario =&gt; "&amp;IF(F616="CLIENTE",IF(TRIM(G616&amp;"")="","NULL","(SELECT id FROM cli_clientes WHERE numero_documento = '"&amp;SUBSTITUTE(TRIM(G616),"'","''")&amp;"' AND estado = 1 LIMIT 1)"),"NULL")&amp;", p_id_planta =&gt; "&amp;IF(F616="PLANTA",IF(TRIM(G616&amp;"")="","NULL","(SELECT id FROM cli_clientes WHERE numero_documento = '"&amp;SUBSTITUTE(TRIM(G616),"'","''")&amp;"'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"&amp;IF(TRIM(J616&amp;"")="","NULL","(SELECT id FROM gen_almacen WHERE upper(nombre) = upper('"&amp;SUBSTITUTE(TRIM(J616),"'","''")&amp;"') AND estado = 1 LIMIT 1)")&amp;", p_id_cliente_ubicacion =&gt; "&amp;IF(TRIM(K616&amp;"")="","NULL","(SELECT id FROM cli_clientes WHERE numero_documento = '"&amp;SUBSTITUTE(TRIM(K616),"'","''")&amp;"' AND estado = 1 LIMIT 1)")&amp;", p_id_referencia =&gt; "&amp;IF(TRIM(J616&amp;"")&lt;&gt;"","(SELECT lo.id FROM gen_lista_opciones lo JOIN gen_lista l ON l.id = lo.id_lista WHERE l.nombre = 'ReferenciaCilindro' AND upper(lo.nombre) = 'ALMACEN' AND lo.estado = 1 LIMIT 1)",IF(TRIM(K616&amp;"")&lt;&gt;"","(SELECT lo.id FROM gen_lista_opciones lo JOIN gen_lista l ON l.id = lo.id_lista WHERE l.nombre = 'ReferenciaCilindro' AND upper(lo.nombre) = 'CLIENTE' AND lo.estado = 1 LIMIT 1)","NULL"))&amp;", p_anio_fabricacion =&gt; "&amp;IF(M616&amp;""="","NULL::smallint",M616&amp;"::smallint")&amp;", p_mes_fabricacion =&gt; "&amp;IF(N616&amp;""="","NULL::smallint",N616&amp;"::smallint")&amp;", p_fecha_ultima_prueba_hidrostatica =&gt; "&amp;IF(O616&amp;""="","NULL","'"&amp;YEAR(O616)&amp;"-"&amp;TEXT(MONTH(O616),"00")&amp;"-"&amp;TEXT(DAY(O616),"00")&amp;"'")&amp;", p_numero_serie =&gt; "&amp;IF(TRIM(Q616&amp;"")="","NULL","'"&amp;SUBSTITUTE(TRIM(Q616),"'","''")&amp;"'")&amp;", p_id_marca_cilindro =&gt; "&amp;IF(TRIM(R616&amp;"")="","NULL","(SELECT lo.id FROM gen_lista_opciones lo JOIN gen_lista l ON l.id = lo.id_lista WHERE l.nombre = 'MarcaCilindro' AND upper(lo.nombre) = upper('"&amp;SUBSTITUTE(TRIM(R616),"'","''")&amp;"') AND lo.estado = 1 LIMIT 1)")&amp;", p_id_organo_inspector =&gt; "&amp;IF(TRIM(S616&amp;"")="","NULL","(SELECT lo.id FROM gen_lista_opciones lo JOIN gen_lista l ON l.id = lo.id_lista WHERE l.nombre = 'OrganoInspectorCilindro' AND upper(lo.nombre) = upper('"&amp;SUBSTITUTE(TRIM(S616),"'","''")&amp;"') AND lo.estado = 1 LIMIT 1)")&amp;", p_organo_inspector_no_aplica =&gt; "&amp;IF(S616="NO_APLICA","TRUE","FALSE")&amp;", p_presion_actual =&gt; "&amp;IF(T616&amp;""="","NULL",SUBSTITUTE(T616&amp;"",",","."))&amp;", p_tipo_valvula =&gt; "&amp;IF(TRIM(U616&amp;"")="","NULL","'"&amp;SUBSTITUTE(TRIM(U616),"'","''")&amp;"'")&amp;", p_libro_cilindro =&gt; "&amp;IF(TRIM(V616&amp;"")="","NULL","'"&amp;SUBSTITUTE(TRIM(V616),"'","''")&amp;"'")&amp;", p_pagina_libro =&gt; "&amp;IF(W616&amp;""="","NULL",SUBSTITUTE(W616&amp;"",",","."))&amp;", p_observacion =&gt; "&amp;IF(TRIM(X616&amp;"")="","NULL","'"&amp;SUBSTITUTE(TRIM(X616),"'","''")&amp;"'")&amp;") AS resultado_balon_"&amp;ROW()&amp;";")</f>
        <v/>
      </c>
    </row>
    <row r="617" ht="15.75" customHeight="1" s="64">
      <c r="A617" s="36" t="inlineStr">
        <is>
          <t>613</t>
        </is>
      </c>
      <c r="B617" s="25">
        <f>IF(AND(C617="",D617="",E617=""),"",IF(C617="","FALTA código balón",IF(D617="","FALTA tipo balón",IF(E617="","FALTA gas",IF(F617="","FALTA propietario",IF(AND(C617&lt;&gt;"",SUMPRODUCT(--($C$5:$C$1200=C617))&gt;1),"CÓDIGO BALÓN DUPLICADO",IF(AND(OR(UPPER(F617)="PLANTA",UPPER(F617)="CLIENTE"),G617=""),"FALTA doc propietario/planta",IF(AND(UPPER(F617)="PLANTA",G617="10175332796"),"PLANTA no puede ser RUC empresa","OK"))))))))</f>
        <v/>
      </c>
      <c r="C617" s="23" t="inlineStr">
        <is>
          <t>20S290071</t>
        </is>
      </c>
      <c r="D617" s="17" t="inlineStr">
        <is>
          <t>Oxígeno Industrial 6 m³</t>
        </is>
      </c>
      <c r="E617" s="17" t="inlineStr">
        <is>
          <t>OXIGENO INDUSTRIAL</t>
        </is>
      </c>
      <c r="F617" s="17" t="inlineStr">
        <is>
          <t>EMPRESA</t>
        </is>
      </c>
      <c r="G617" s="23" t="inlineStr">
        <is>
          <t>10175332796</t>
        </is>
      </c>
      <c r="H617" s="25">
        <f t="array" ref="H617">IF(G617="","",IFERROR(IF(INDEX(Clientes!$D$5:$D$549,MATCH(G617,Clientes!$C$5:$C$549,0))&lt;&gt;"",INDEX(Clientes!$D$5:$D$549,MATCH(G617,Clientes!$C$5:$C$549,0)),TRIM(INDEX(Clientes!$E$5:$E$549,MATCH(G617,Clientes!$C$5:$C$549,0))&amp;" "&amp;INDEX(Clientes!$F$5:$F$549,MATCH(G617,Clientes!$C$5:$C$549,0)))),"NO EXISTE en Clientes"))</f>
        <v/>
      </c>
      <c r="I617" s="17" t="inlineStr">
        <is>
          <t>EN_PODER_CLIENTE</t>
        </is>
      </c>
      <c r="J617" s="17" t="n"/>
      <c r="K617" s="23" t="inlineStr">
        <is>
          <t>41026210</t>
        </is>
      </c>
      <c r="L617" s="25">
        <f t="array" ref="L617">IF(K617="","",IFERROR(IF(INDEX(Clientes!$D$5:$D$549,MATCH(K617,Clientes!$C$5:$C$549,0))&lt;&gt;"",INDEX(Clientes!$D$5:$D$549,MATCH(K617,Clientes!$C$5:$C$549,0)),TRIM(INDEX(Clientes!$E$5:$E$549,MATCH(K617,Clientes!$C$5:$C$549,0))&amp;" "&amp;INDEX(Clientes!$F$5:$F$549,MATCH(K617,Clientes!$C$5:$C$549,0)))),"NO EXISTE en Clientes"))</f>
        <v/>
      </c>
      <c r="M617" s="17" t="n"/>
      <c r="N617" s="17" t="n"/>
      <c r="O617" s="42" t="n"/>
      <c r="P617" s="39">
        <f>IF(O617&lt;&gt;"",DATE(YEAR(O617)+5,MONTH(O617),1),IF(AND(M617&lt;&gt;"",N617&lt;&gt;""),DATE(M617+5,N617,1),""))</f>
        <v/>
      </c>
      <c r="Q617" s="23" t="n"/>
      <c r="R617" s="17" t="n"/>
      <c r="S617" s="17" t="n"/>
      <c r="T617" s="17" t="n"/>
      <c r="U617" s="17" t="n"/>
      <c r="V617" s="23" t="n"/>
      <c r="W617" s="17" t="n"/>
      <c r="X617" s="17" t="n"/>
      <c r="Y617" s="28">
        <f>IF(B617&lt;&gt;"OK","","SELECT bal_crear_balon(p_codigo_balon =&gt; "&amp;IF(TRIM(C617&amp;"")="","NULL","'"&amp;SUBSTITUTE(TRIM(C617),"'","''")&amp;"'")&amp;", p_id_tipo_balon =&gt; "&amp;"(SELECT id FROM bal_tipo_balon WHERE upper(nombre) = upper('"&amp;SUBSTITUTE(TRIM(D617),"'","''")&amp;"') AND estado = 1 LIMIT 1)"&amp;", p_id_producto_gas =&gt; "&amp;"(SELECT id FROM pro_producto WHERE es_gas = TRUE AND upper(nombre) = upper('"&amp;SUBSTITUTE(TRIM(E617),"'","''")&amp;"') AND estado = 1 LIMIT 1)"&amp;", p_id_propietario =&gt; "&amp;IF(TRIM(F617&amp;"")="","NULL","(SELECT lo.id FROM gen_lista_opciones lo JOIN gen_lista l ON l.id = lo.id_lista WHERE l.nombre = 'PropietarioBalon' AND upper(lo.nombre) = upper('"&amp;SUBSTITUTE(TRIM(F617),"'","''")&amp;"') AND lo.estado = 1 LIMIT 1)")&amp;", p_id_cliente_propietario =&gt; "&amp;IF(F617="CLIENTE",IF(TRIM(G617&amp;"")="","NULL","(SELECT id FROM cli_clientes WHERE numero_documento = '"&amp;SUBSTITUTE(TRIM(G617),"'","''")&amp;"' AND estado = 1 LIMIT 1)"),"NULL")&amp;", p_id_planta =&gt; "&amp;IF(F617="PLANTA",IF(TRIM(G617&amp;"")="","NULL","(SELECT id FROM cli_clientes WHERE numero_documento = '"&amp;SUBSTITUTE(TRIM(G617),"'","''")&amp;"'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"&amp;IF(TRIM(J617&amp;"")="","NULL","(SELECT id FROM gen_almacen WHERE upper(nombre) = upper('"&amp;SUBSTITUTE(TRIM(J617),"'","''")&amp;"') AND estado = 1 LIMIT 1)")&amp;", p_id_cliente_ubicacion =&gt; "&amp;IF(TRIM(K617&amp;"")="","NULL","(SELECT id FROM cli_clientes WHERE numero_documento = '"&amp;SUBSTITUTE(TRIM(K617),"'","''")&amp;"' AND estado = 1 LIMIT 1)")&amp;", p_id_referencia =&gt; "&amp;IF(TRIM(J617&amp;"")&lt;&gt;"","(SELECT lo.id FROM gen_lista_opciones lo JOIN gen_lista l ON l.id = lo.id_lista WHERE l.nombre = 'ReferenciaCilindro' AND upper(lo.nombre) = 'ALMACEN' AND lo.estado = 1 LIMIT 1)",IF(TRIM(K617&amp;"")&lt;&gt;"","(SELECT lo.id FROM gen_lista_opciones lo JOIN gen_lista l ON l.id = lo.id_lista WHERE l.nombre = 'ReferenciaCilindro' AND upper(lo.nombre) = 'CLIENTE' AND lo.estado = 1 LIMIT 1)","NULL"))&amp;", p_anio_fabricacion =&gt; "&amp;IF(M617&amp;""="","NULL::smallint",M617&amp;"::smallint")&amp;", p_mes_fabricacion =&gt; "&amp;IF(N617&amp;""="","NULL::smallint",N617&amp;"::smallint")&amp;", p_fecha_ultima_prueba_hidrostatica =&gt; "&amp;IF(O617&amp;""="","NULL","'"&amp;YEAR(O617)&amp;"-"&amp;TEXT(MONTH(O617),"00")&amp;"-"&amp;TEXT(DAY(O617),"00")&amp;"'")&amp;", p_numero_serie =&gt; "&amp;IF(TRIM(Q617&amp;"")="","NULL","'"&amp;SUBSTITUTE(TRIM(Q617),"'","''")&amp;"'")&amp;", p_id_marca_cilindro =&gt; "&amp;IF(TRIM(R617&amp;"")="","NULL","(SELECT lo.id FROM gen_lista_opciones lo JOIN gen_lista l ON l.id = lo.id_lista WHERE l.nombre = 'MarcaCilindro' AND upper(lo.nombre) = upper('"&amp;SUBSTITUTE(TRIM(R617),"'","''")&amp;"') AND lo.estado = 1 LIMIT 1)")&amp;", p_id_organo_inspector =&gt; "&amp;IF(TRIM(S617&amp;"")="","NULL","(SELECT lo.id FROM gen_lista_opciones lo JOIN gen_lista l ON l.id = lo.id_lista WHERE l.nombre = 'OrganoInspectorCilindro' AND upper(lo.nombre) = upper('"&amp;SUBSTITUTE(TRIM(S617),"'","''")&amp;"') AND lo.estado = 1 LIMIT 1)")&amp;", p_organo_inspector_no_aplica =&gt; "&amp;IF(S617="NO_APLICA","TRUE","FALSE")&amp;", p_presion_actual =&gt; "&amp;IF(T617&amp;""="","NULL",SUBSTITUTE(T617&amp;"",",","."))&amp;", p_tipo_valvula =&gt; "&amp;IF(TRIM(U617&amp;"")="","NULL","'"&amp;SUBSTITUTE(TRIM(U617),"'","''")&amp;"'")&amp;", p_libro_cilindro =&gt; "&amp;IF(TRIM(V617&amp;"")="","NULL","'"&amp;SUBSTITUTE(TRIM(V617),"'","''")&amp;"'")&amp;", p_pagina_libro =&gt; "&amp;IF(W617&amp;""="","NULL",SUBSTITUTE(W617&amp;"",",","."))&amp;", p_observacion =&gt; "&amp;IF(TRIM(X617&amp;"")="","NULL","'"&amp;SUBSTITUTE(TRIM(X617),"'","''")&amp;"'")&amp;") AS resultado_balon_"&amp;ROW()&amp;";")</f>
        <v/>
      </c>
    </row>
    <row r="618" ht="15.75" customHeight="1" s="64">
      <c r="A618" s="36" t="inlineStr">
        <is>
          <t>614</t>
        </is>
      </c>
      <c r="B618" s="25">
        <f>IF(AND(C618="",D618="",E618=""),"",IF(C618="","FALTA código balón",IF(D618="","FALTA tipo balón",IF(E618="","FALTA gas",IF(F618="","FALTA propietario",IF(AND(C618&lt;&gt;"",SUMPRODUCT(--($C$5:$C$1200=C618))&gt;1),"CÓDIGO BALÓN DUPLICADO",IF(AND(OR(UPPER(F618)="PLANTA",UPPER(F618)="CLIENTE"),G618=""),"FALTA doc propietario/planta",IF(AND(UPPER(F618)="PLANTA",G618="10175332796"),"PLANTA no puede ser RUC empresa","OK"))))))))</f>
        <v/>
      </c>
      <c r="C618" s="23" t="inlineStr">
        <is>
          <t>GTA217121</t>
        </is>
      </c>
      <c r="D618" s="17" t="inlineStr">
        <is>
          <t>Oxígeno Industrial 6 m³</t>
        </is>
      </c>
      <c r="E618" s="17" t="inlineStr">
        <is>
          <t>OXIGENO INDUSTRIAL</t>
        </is>
      </c>
      <c r="F618" s="17" t="inlineStr">
        <is>
          <t>EMPRESA</t>
        </is>
      </c>
      <c r="G618" s="23" t="inlineStr">
        <is>
          <t>10175332796</t>
        </is>
      </c>
      <c r="H618" s="25">
        <f t="array" ref="H618">IF(G618="","",IFERROR(IF(INDEX(Clientes!$D$5:$D$549,MATCH(G618,Clientes!$C$5:$C$549,0))&lt;&gt;"",INDEX(Clientes!$D$5:$D$549,MATCH(G618,Clientes!$C$5:$C$549,0)),TRIM(INDEX(Clientes!$E$5:$E$549,MATCH(G618,Clientes!$C$5:$C$549,0))&amp;" "&amp;INDEX(Clientes!$F$5:$F$549,MATCH(G618,Clientes!$C$5:$C$549,0)))),"NO EXISTE en Clientes"))</f>
        <v/>
      </c>
      <c r="I618" s="17" t="inlineStr">
        <is>
          <t>EN_PODER_CLIENTE</t>
        </is>
      </c>
      <c r="J618" s="17" t="n"/>
      <c r="K618" s="23" t="inlineStr">
        <is>
          <t>10471465572</t>
        </is>
      </c>
      <c r="L618" s="25">
        <f t="array" ref="L618">IF(K618="","",IFERROR(IF(INDEX(Clientes!$D$5:$D$549,MATCH(K618,Clientes!$C$5:$C$549,0))&lt;&gt;"",INDEX(Clientes!$D$5:$D$549,MATCH(K618,Clientes!$C$5:$C$549,0)),TRIM(INDEX(Clientes!$E$5:$E$549,MATCH(K618,Clientes!$C$5:$C$549,0))&amp;" "&amp;INDEX(Clientes!$F$5:$F$549,MATCH(K618,Clientes!$C$5:$C$549,0)))),"NO EXISTE en Clientes"))</f>
        <v/>
      </c>
      <c r="M618" s="17" t="n"/>
      <c r="N618" s="17" t="n"/>
      <c r="O618" s="42" t="n"/>
      <c r="P618" s="39">
        <f>IF(O618&lt;&gt;"",DATE(YEAR(O618)+5,MONTH(O618),1),IF(AND(M618&lt;&gt;"",N618&lt;&gt;""),DATE(M618+5,N618,1),""))</f>
        <v/>
      </c>
      <c r="Q618" s="23" t="n"/>
      <c r="R618" s="17" t="n"/>
      <c r="S618" s="17" t="n"/>
      <c r="T618" s="17" t="n"/>
      <c r="U618" s="17" t="n"/>
      <c r="V618" s="23" t="n"/>
      <c r="W618" s="17" t="n"/>
      <c r="X618" s="17" t="n"/>
      <c r="Y618" s="28">
        <f>IF(B618&lt;&gt;"OK","","SELECT bal_crear_balon(p_codigo_balon =&gt; "&amp;IF(TRIM(C618&amp;"")="","NULL","'"&amp;SUBSTITUTE(TRIM(C618),"'","''")&amp;"'")&amp;", p_id_tipo_balon =&gt; "&amp;"(SELECT id FROM bal_tipo_balon WHERE upper(nombre) = upper('"&amp;SUBSTITUTE(TRIM(D618),"'","''")&amp;"') AND estado = 1 LIMIT 1)"&amp;", p_id_producto_gas =&gt; "&amp;"(SELECT id FROM pro_producto WHERE es_gas = TRUE AND upper(nombre) = upper('"&amp;SUBSTITUTE(TRIM(E618),"'","''")&amp;"') AND estado = 1 LIMIT 1)"&amp;", p_id_propietario =&gt; "&amp;IF(TRIM(F618&amp;"")="","NULL","(SELECT lo.id FROM gen_lista_opciones lo JOIN gen_lista l ON l.id = lo.id_lista WHERE l.nombre = 'PropietarioBalon' AND upper(lo.nombre) = upper('"&amp;SUBSTITUTE(TRIM(F618),"'","''")&amp;"') AND lo.estado = 1 LIMIT 1)")&amp;", p_id_cliente_propietario =&gt; "&amp;IF(F618="CLIENTE",IF(TRIM(G618&amp;"")="","NULL","(SELECT id FROM cli_clientes WHERE numero_documento = '"&amp;SUBSTITUTE(TRIM(G618),"'","''")&amp;"' AND estado = 1 LIMIT 1)"),"NULL")&amp;", p_id_planta =&gt; "&amp;IF(F618="PLANTA",IF(TRIM(G618&amp;"")="","NULL","(SELECT id FROM cli_clientes WHERE numero_documento = '"&amp;SUBSTITUTE(TRIM(G618),"'","''")&amp;"'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"&amp;IF(TRIM(J618&amp;"")="","NULL","(SELECT id FROM gen_almacen WHERE upper(nombre) = upper('"&amp;SUBSTITUTE(TRIM(J618),"'","''")&amp;"') AND estado = 1 LIMIT 1)")&amp;", p_id_cliente_ubicacion =&gt; "&amp;IF(TRIM(K618&amp;"")="","NULL","(SELECT id FROM cli_clientes WHERE numero_documento = '"&amp;SUBSTITUTE(TRIM(K618),"'","''")&amp;"' AND estado = 1 LIMIT 1)")&amp;", p_id_referencia =&gt; "&amp;IF(TRIM(J618&amp;"")&lt;&gt;"","(SELECT lo.id FROM gen_lista_opciones lo JOIN gen_lista l ON l.id = lo.id_lista WHERE l.nombre = 'ReferenciaCilindro' AND upper(lo.nombre) = 'ALMACEN' AND lo.estado = 1 LIMIT 1)",IF(TRIM(K618&amp;"")&lt;&gt;"","(SELECT lo.id FROM gen_lista_opciones lo JOIN gen_lista l ON l.id = lo.id_lista WHERE l.nombre = 'ReferenciaCilindro' AND upper(lo.nombre) = 'CLIENTE' AND lo.estado = 1 LIMIT 1)","NULL"))&amp;", p_anio_fabricacion =&gt; "&amp;IF(M618&amp;""="","NULL::smallint",M618&amp;"::smallint")&amp;", p_mes_fabricacion =&gt; "&amp;IF(N618&amp;""="","NULL::smallint",N618&amp;"::smallint")&amp;", p_fecha_ultima_prueba_hidrostatica =&gt; "&amp;IF(O618&amp;""="","NULL","'"&amp;YEAR(O618)&amp;"-"&amp;TEXT(MONTH(O618),"00")&amp;"-"&amp;TEXT(DAY(O618),"00")&amp;"'")&amp;", p_numero_serie =&gt; "&amp;IF(TRIM(Q618&amp;"")="","NULL","'"&amp;SUBSTITUTE(TRIM(Q618),"'","''")&amp;"'")&amp;", p_id_marca_cilindro =&gt; "&amp;IF(TRIM(R618&amp;"")="","NULL","(SELECT lo.id FROM gen_lista_opciones lo JOIN gen_lista l ON l.id = lo.id_lista WHERE l.nombre = 'MarcaCilindro' AND upper(lo.nombre) = upper('"&amp;SUBSTITUTE(TRIM(R618),"'","''")&amp;"') AND lo.estado = 1 LIMIT 1)")&amp;", p_id_organo_inspector =&gt; "&amp;IF(TRIM(S618&amp;"")="","NULL","(SELECT lo.id FROM gen_lista_opciones lo JOIN gen_lista l ON l.id = lo.id_lista WHERE l.nombre = 'OrganoInspectorCilindro' AND upper(lo.nombre) = upper('"&amp;SUBSTITUTE(TRIM(S618),"'","''")&amp;"') AND lo.estado = 1 LIMIT 1)")&amp;", p_organo_inspector_no_aplica =&gt; "&amp;IF(S618="NO_APLICA","TRUE","FALSE")&amp;", p_presion_actual =&gt; "&amp;IF(T618&amp;""="","NULL",SUBSTITUTE(T618&amp;"",",","."))&amp;", p_tipo_valvula =&gt; "&amp;IF(TRIM(U618&amp;"")="","NULL","'"&amp;SUBSTITUTE(TRIM(U618),"'","''")&amp;"'")&amp;", p_libro_cilindro =&gt; "&amp;IF(TRIM(V618&amp;"")="","NULL","'"&amp;SUBSTITUTE(TRIM(V618),"'","''")&amp;"'")&amp;", p_pagina_libro =&gt; "&amp;IF(W618&amp;""="","NULL",SUBSTITUTE(W618&amp;"",",","."))&amp;", p_observacion =&gt; "&amp;IF(TRIM(X618&amp;"")="","NULL","'"&amp;SUBSTITUTE(TRIM(X618),"'","''")&amp;"'")&amp;") AS resultado_balon_"&amp;ROW()&amp;";")</f>
        <v/>
      </c>
    </row>
    <row r="619" ht="15.75" customHeight="1" s="64">
      <c r="A619" s="36" t="inlineStr">
        <is>
          <t>615</t>
        </is>
      </c>
      <c r="B619" s="25">
        <f>IF(AND(C619="",D619="",E619=""),"",IF(C619="","FALTA código balón",IF(D619="","FALTA tipo balón",IF(E619="","FALTA gas",IF(F619="","FALTA propietario",IF(AND(C619&lt;&gt;"",SUMPRODUCT(--($C$5:$C$1200=C619))&gt;1),"CÓDIGO BALÓN DUPLICADO",IF(AND(OR(UPPER(F619)="PLANTA",UPPER(F619)="CLIENTE"),G619=""),"FALTA doc propietario/planta",IF(AND(UPPER(F619)="PLANTA",G619="10175332796"),"PLANTA no puede ser RUC empresa","OK"))))))))</f>
        <v/>
      </c>
      <c r="C619" s="23" t="inlineStr">
        <is>
          <t>21K022117</t>
        </is>
      </c>
      <c r="D619" s="17" t="inlineStr">
        <is>
          <t>Oxígeno Medicinal 10 m³</t>
        </is>
      </c>
      <c r="E619" s="17" t="inlineStr">
        <is>
          <t>OXIGENO MEDICINAL</t>
        </is>
      </c>
      <c r="F619" s="17" t="inlineStr">
        <is>
          <t>EMPRESA</t>
        </is>
      </c>
      <c r="G619" s="23" t="inlineStr">
        <is>
          <t>10175332796</t>
        </is>
      </c>
      <c r="H619" s="25">
        <f t="array" ref="H619">IF(G619="","",IFERROR(IF(INDEX(Clientes!$D$5:$D$549,MATCH(G619,Clientes!$C$5:$C$549,0))&lt;&gt;"",INDEX(Clientes!$D$5:$D$549,MATCH(G619,Clientes!$C$5:$C$549,0)),TRIM(INDEX(Clientes!$E$5:$E$549,MATCH(G619,Clientes!$C$5:$C$549,0))&amp;" "&amp;INDEX(Clientes!$F$5:$F$549,MATCH(G619,Clientes!$C$5:$C$549,0)))),"NO EXISTE en Clientes"))</f>
        <v/>
      </c>
      <c r="I619" s="17" t="inlineStr">
        <is>
          <t>EN_PODER_CLIENTE</t>
        </is>
      </c>
      <c r="J619" s="17" t="n"/>
      <c r="K619" s="23" t="inlineStr">
        <is>
          <t>16482081</t>
        </is>
      </c>
      <c r="L619" s="25">
        <f t="array" ref="L619">IF(K619="","",IFERROR(IF(INDEX(Clientes!$D$5:$D$549,MATCH(K619,Clientes!$C$5:$C$549,0))&lt;&gt;"",INDEX(Clientes!$D$5:$D$549,MATCH(K619,Clientes!$C$5:$C$549,0)),TRIM(INDEX(Clientes!$E$5:$E$549,MATCH(K619,Clientes!$C$5:$C$549,0))&amp;" "&amp;INDEX(Clientes!$F$5:$F$549,MATCH(K619,Clientes!$C$5:$C$549,0)))),"NO EXISTE en Clientes"))</f>
        <v/>
      </c>
      <c r="M619" s="17" t="n"/>
      <c r="N619" s="17" t="n"/>
      <c r="O619" s="42" t="n"/>
      <c r="P619" s="39">
        <f>IF(O619&lt;&gt;"",DATE(YEAR(O619)+5,MONTH(O619),1),IF(AND(M619&lt;&gt;"",N619&lt;&gt;""),DATE(M619+5,N619,1),""))</f>
        <v/>
      </c>
      <c r="Q619" s="23" t="n"/>
      <c r="R619" s="17" t="n"/>
      <c r="S619" s="17" t="n"/>
      <c r="T619" s="17" t="n"/>
      <c r="U619" s="17" t="n"/>
      <c r="V619" s="23" t="n"/>
      <c r="W619" s="17" t="n"/>
      <c r="X619" s="17" t="n"/>
      <c r="Y619" s="28">
        <f>IF(B619&lt;&gt;"OK","","SELECT bal_crear_balon(p_codigo_balon =&gt; "&amp;IF(TRIM(C619&amp;"")="","NULL","'"&amp;SUBSTITUTE(TRIM(C619),"'","''")&amp;"'")&amp;", p_id_tipo_balon =&gt; "&amp;"(SELECT id FROM bal_tipo_balon WHERE upper(nombre) = upper('"&amp;SUBSTITUTE(TRIM(D619),"'","''")&amp;"') AND estado = 1 LIMIT 1)"&amp;", p_id_producto_gas =&gt; "&amp;"(SELECT id FROM pro_producto WHERE es_gas = TRUE AND upper(nombre) = upper('"&amp;SUBSTITUTE(TRIM(E619),"'","''")&amp;"') AND estado = 1 LIMIT 1)"&amp;", p_id_propietario =&gt; "&amp;IF(TRIM(F619&amp;"")="","NULL","(SELECT lo.id FROM gen_lista_opciones lo JOIN gen_lista l ON l.id = lo.id_lista WHERE l.nombre = 'PropietarioBalon' AND upper(lo.nombre) = upper('"&amp;SUBSTITUTE(TRIM(F619),"'","''")&amp;"') AND lo.estado = 1 LIMIT 1)")&amp;", p_id_cliente_propietario =&gt; "&amp;IF(F619="CLIENTE",IF(TRIM(G619&amp;"")="","NULL","(SELECT id FROM cli_clientes WHERE numero_documento = '"&amp;SUBSTITUTE(TRIM(G619),"'","''")&amp;"' AND estado = 1 LIMIT 1)"),"NULL")&amp;", p_id_planta =&gt; "&amp;IF(F619="PLANTA",IF(TRIM(G619&amp;"")="","NULL","(SELECT id FROM cli_clientes WHERE numero_documento = '"&amp;SUBSTITUTE(TRIM(G619),"'","''")&amp;"'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"&amp;IF(TRIM(J619&amp;"")="","NULL","(SELECT id FROM gen_almacen WHERE upper(nombre) = upper('"&amp;SUBSTITUTE(TRIM(J619),"'","''")&amp;"') AND estado = 1 LIMIT 1)")&amp;", p_id_cliente_ubicacion =&gt; "&amp;IF(TRIM(K619&amp;"")="","NULL","(SELECT id FROM cli_clientes WHERE numero_documento = '"&amp;SUBSTITUTE(TRIM(K619),"'","''")&amp;"' AND estado = 1 LIMIT 1)")&amp;", p_id_referencia =&gt; "&amp;IF(TRIM(J619&amp;"")&lt;&gt;"","(SELECT lo.id FROM gen_lista_opciones lo JOIN gen_lista l ON l.id = lo.id_lista WHERE l.nombre = 'ReferenciaCilindro' AND upper(lo.nombre) = 'ALMACEN' AND lo.estado = 1 LIMIT 1)",IF(TRIM(K619&amp;"")&lt;&gt;"","(SELECT lo.id FROM gen_lista_opciones lo JOIN gen_lista l ON l.id = lo.id_lista WHERE l.nombre = 'ReferenciaCilindro' AND upper(lo.nombre) = 'CLIENTE' AND lo.estado = 1 LIMIT 1)","NULL"))&amp;", p_anio_fabricacion =&gt; "&amp;IF(M619&amp;""="","NULL::smallint",M619&amp;"::smallint")&amp;", p_mes_fabricacion =&gt; "&amp;IF(N619&amp;""="","NULL::smallint",N619&amp;"::smallint")&amp;", p_fecha_ultima_prueba_hidrostatica =&gt; "&amp;IF(O619&amp;""="","NULL","'"&amp;YEAR(O619)&amp;"-"&amp;TEXT(MONTH(O619),"00")&amp;"-"&amp;TEXT(DAY(O619),"00")&amp;"'")&amp;", p_numero_serie =&gt; "&amp;IF(TRIM(Q619&amp;"")="","NULL","'"&amp;SUBSTITUTE(TRIM(Q619),"'","''")&amp;"'")&amp;", p_id_marca_cilindro =&gt; "&amp;IF(TRIM(R619&amp;"")="","NULL","(SELECT lo.id FROM gen_lista_opciones lo JOIN gen_lista l ON l.id = lo.id_lista WHERE l.nombre = 'MarcaCilindro' AND upper(lo.nombre) = upper('"&amp;SUBSTITUTE(TRIM(R619),"'","''")&amp;"') AND lo.estado = 1 LIMIT 1)")&amp;", p_id_organo_inspector =&gt; "&amp;IF(TRIM(S619&amp;"")="","NULL","(SELECT lo.id FROM gen_lista_opciones lo JOIN gen_lista l ON l.id = lo.id_lista WHERE l.nombre = 'OrganoInspectorCilindro' AND upper(lo.nombre) = upper('"&amp;SUBSTITUTE(TRIM(S619),"'","''")&amp;"') AND lo.estado = 1 LIMIT 1)")&amp;", p_organo_inspector_no_aplica =&gt; "&amp;IF(S619="NO_APLICA","TRUE","FALSE")&amp;", p_presion_actual =&gt; "&amp;IF(T619&amp;""="","NULL",SUBSTITUTE(T619&amp;"",",","."))&amp;", p_tipo_valvula =&gt; "&amp;IF(TRIM(U619&amp;"")="","NULL","'"&amp;SUBSTITUTE(TRIM(U619),"'","''")&amp;"'")&amp;", p_libro_cilindro =&gt; "&amp;IF(TRIM(V619&amp;"")="","NULL","'"&amp;SUBSTITUTE(TRIM(V619),"'","''")&amp;"'")&amp;", p_pagina_libro =&gt; "&amp;IF(W619&amp;""="","NULL",SUBSTITUTE(W619&amp;"",",","."))&amp;", p_observacion =&gt; "&amp;IF(TRIM(X619&amp;"")="","NULL","'"&amp;SUBSTITUTE(TRIM(X619),"'","''")&amp;"'")&amp;") AS resultado_balon_"&amp;ROW()&amp;";")</f>
        <v/>
      </c>
    </row>
    <row r="620" ht="15.75" customHeight="1" s="64">
      <c r="A620" s="36" t="inlineStr">
        <is>
          <t>616</t>
        </is>
      </c>
      <c r="B620" s="25">
        <f>IF(AND(C620="",D620="",E620=""),"",IF(C620="","FALTA código balón",IF(D620="","FALTA tipo balón",IF(E620="","FALTA gas",IF(F620="","FALTA propietario",IF(AND(C620&lt;&gt;"",SUMPRODUCT(--($C$5:$C$1200=C620))&gt;1),"CÓDIGO BALÓN DUPLICADO",IF(AND(OR(UPPER(F620)="PLANTA",UPPER(F620)="CLIENTE"),G620=""),"FALTA doc propietario/planta",IF(AND(UPPER(F620)="PLANTA",G620="10175332796"),"PLANTA no puede ser RUC empresa","OK"))))))))</f>
        <v/>
      </c>
      <c r="C620" s="23" t="inlineStr">
        <is>
          <t>20K650004</t>
        </is>
      </c>
      <c r="D620" s="17" t="inlineStr">
        <is>
          <t>Oxígeno Medicinal 10 m³</t>
        </is>
      </c>
      <c r="E620" s="17" t="inlineStr">
        <is>
          <t>OXIGENO MEDICINAL</t>
        </is>
      </c>
      <c r="F620" s="17" t="inlineStr">
        <is>
          <t>EMPRESA</t>
        </is>
      </c>
      <c r="G620" s="23" t="inlineStr">
        <is>
          <t>10175332796</t>
        </is>
      </c>
      <c r="H620" s="25">
        <f t="array" ref="H620">IF(G620="","",IFERROR(IF(INDEX(Clientes!$D$5:$D$549,MATCH(G620,Clientes!$C$5:$C$549,0))&lt;&gt;"",INDEX(Clientes!$D$5:$D$549,MATCH(G620,Clientes!$C$5:$C$549,0)),TRIM(INDEX(Clientes!$E$5:$E$549,MATCH(G620,Clientes!$C$5:$C$549,0))&amp;" "&amp;INDEX(Clientes!$F$5:$F$549,MATCH(G620,Clientes!$C$5:$C$549,0)))),"NO EXISTE en Clientes"))</f>
        <v/>
      </c>
      <c r="I620" s="17" t="inlineStr">
        <is>
          <t>EN_PODER_CLIENTE</t>
        </is>
      </c>
      <c r="J620" s="17" t="n"/>
      <c r="K620" s="23" t="inlineStr">
        <is>
          <t>44556460</t>
        </is>
      </c>
      <c r="L620" s="25">
        <f t="array" ref="L620">IF(K620="","",IFERROR(IF(INDEX(Clientes!$D$5:$D$549,MATCH(K620,Clientes!$C$5:$C$549,0))&lt;&gt;"",INDEX(Clientes!$D$5:$D$549,MATCH(K620,Clientes!$C$5:$C$549,0)),TRIM(INDEX(Clientes!$E$5:$E$549,MATCH(K620,Clientes!$C$5:$C$549,0))&amp;" "&amp;INDEX(Clientes!$F$5:$F$549,MATCH(K620,Clientes!$C$5:$C$549,0)))),"NO EXISTE en Clientes"))</f>
        <v/>
      </c>
      <c r="M620" s="17" t="n"/>
      <c r="N620" s="17" t="n"/>
      <c r="O620" s="42" t="n"/>
      <c r="P620" s="39">
        <f>IF(O620&lt;&gt;"",DATE(YEAR(O620)+5,MONTH(O620),1),IF(AND(M620&lt;&gt;"",N620&lt;&gt;""),DATE(M620+5,N620,1),""))</f>
        <v/>
      </c>
      <c r="Q620" s="23" t="n"/>
      <c r="R620" s="17" t="n"/>
      <c r="S620" s="17" t="n"/>
      <c r="T620" s="17" t="n"/>
      <c r="U620" s="17" t="n"/>
      <c r="V620" s="23" t="n"/>
      <c r="W620" s="17" t="n"/>
      <c r="X620" s="17" t="n"/>
      <c r="Y620" s="28">
        <f>IF(B620&lt;&gt;"OK","","SELECT bal_crear_balon(p_codigo_balon =&gt; "&amp;IF(TRIM(C620&amp;"")="","NULL","'"&amp;SUBSTITUTE(TRIM(C620),"'","''")&amp;"'")&amp;", p_id_tipo_balon =&gt; "&amp;"(SELECT id FROM bal_tipo_balon WHERE upper(nombre) = upper('"&amp;SUBSTITUTE(TRIM(D620),"'","''")&amp;"') AND estado = 1 LIMIT 1)"&amp;", p_id_producto_gas =&gt; "&amp;"(SELECT id FROM pro_producto WHERE es_gas = TRUE AND upper(nombre) = upper('"&amp;SUBSTITUTE(TRIM(E620),"'","''")&amp;"') AND estado = 1 LIMIT 1)"&amp;", p_id_propietario =&gt; "&amp;IF(TRIM(F620&amp;"")="","NULL","(SELECT lo.id FROM gen_lista_opciones lo JOIN gen_lista l ON l.id = lo.id_lista WHERE l.nombre = 'PropietarioBalon' AND upper(lo.nombre) = upper('"&amp;SUBSTITUTE(TRIM(F620),"'","''")&amp;"') AND lo.estado = 1 LIMIT 1)")&amp;", p_id_cliente_propietario =&gt; "&amp;IF(F620="CLIENTE",IF(TRIM(G620&amp;"")="","NULL","(SELECT id FROM cli_clientes WHERE numero_documento = '"&amp;SUBSTITUTE(TRIM(G620),"'","''")&amp;"' AND estado = 1 LIMIT 1)"),"NULL")&amp;", p_id_planta =&gt; "&amp;IF(F620="PLANTA",IF(TRIM(G620&amp;"")="","NULL","(SELECT id FROM cli_clientes WHERE numero_documento = '"&amp;SUBSTITUTE(TRIM(G620),"'","''")&amp;"'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"&amp;IF(TRIM(J620&amp;"")="","NULL","(SELECT id FROM gen_almacen WHERE upper(nombre) = upper('"&amp;SUBSTITUTE(TRIM(J620),"'","''")&amp;"') AND estado = 1 LIMIT 1)")&amp;", p_id_cliente_ubicacion =&gt; "&amp;IF(TRIM(K620&amp;"")="","NULL","(SELECT id FROM cli_clientes WHERE numero_documento = '"&amp;SUBSTITUTE(TRIM(K620),"'","''")&amp;"' AND estado = 1 LIMIT 1)")&amp;", p_id_referencia =&gt; "&amp;IF(TRIM(J620&amp;"")&lt;&gt;"","(SELECT lo.id FROM gen_lista_opciones lo JOIN gen_lista l ON l.id = lo.id_lista WHERE l.nombre = 'ReferenciaCilindro' AND upper(lo.nombre) = 'ALMACEN' AND lo.estado = 1 LIMIT 1)",IF(TRIM(K620&amp;"")&lt;&gt;"","(SELECT lo.id FROM gen_lista_opciones lo JOIN gen_lista l ON l.id = lo.id_lista WHERE l.nombre = 'ReferenciaCilindro' AND upper(lo.nombre) = 'CLIENTE' AND lo.estado = 1 LIMIT 1)","NULL"))&amp;", p_anio_fabricacion =&gt; "&amp;IF(M620&amp;""="","NULL::smallint",M620&amp;"::smallint")&amp;", p_mes_fabricacion =&gt; "&amp;IF(N620&amp;""="","NULL::smallint",N620&amp;"::smallint")&amp;", p_fecha_ultima_prueba_hidrostatica =&gt; "&amp;IF(O620&amp;""="","NULL","'"&amp;YEAR(O620)&amp;"-"&amp;TEXT(MONTH(O620),"00")&amp;"-"&amp;TEXT(DAY(O620),"00")&amp;"'")&amp;", p_numero_serie =&gt; "&amp;IF(TRIM(Q620&amp;"")="","NULL","'"&amp;SUBSTITUTE(TRIM(Q620),"'","''")&amp;"'")&amp;", p_id_marca_cilindro =&gt; "&amp;IF(TRIM(R620&amp;"")="","NULL","(SELECT lo.id FROM gen_lista_opciones lo JOIN gen_lista l ON l.id = lo.id_lista WHERE l.nombre = 'MarcaCilindro' AND upper(lo.nombre) = upper('"&amp;SUBSTITUTE(TRIM(R620),"'","''")&amp;"') AND lo.estado = 1 LIMIT 1)")&amp;", p_id_organo_inspector =&gt; "&amp;IF(TRIM(S620&amp;"")="","NULL","(SELECT lo.id FROM gen_lista_opciones lo JOIN gen_lista l ON l.id = lo.id_lista WHERE l.nombre = 'OrganoInspectorCilindro' AND upper(lo.nombre) = upper('"&amp;SUBSTITUTE(TRIM(S620),"'","''")&amp;"') AND lo.estado = 1 LIMIT 1)")&amp;", p_organo_inspector_no_aplica =&gt; "&amp;IF(S620="NO_APLICA","TRUE","FALSE")&amp;", p_presion_actual =&gt; "&amp;IF(T620&amp;""="","NULL",SUBSTITUTE(T620&amp;"",",","."))&amp;", p_tipo_valvula =&gt; "&amp;IF(TRIM(U620&amp;"")="","NULL","'"&amp;SUBSTITUTE(TRIM(U620),"'","''")&amp;"'")&amp;", p_libro_cilindro =&gt; "&amp;IF(TRIM(V620&amp;"")="","NULL","'"&amp;SUBSTITUTE(TRIM(V620),"'","''")&amp;"'")&amp;", p_pagina_libro =&gt; "&amp;IF(W620&amp;""="","NULL",SUBSTITUTE(W620&amp;"",",","."))&amp;", p_observacion =&gt; "&amp;IF(TRIM(X620&amp;"")="","NULL","'"&amp;SUBSTITUTE(TRIM(X620),"'","''")&amp;"'")&amp;") AS resultado_balon_"&amp;ROW()&amp;";")</f>
        <v/>
      </c>
    </row>
    <row r="621" ht="16.5" customHeight="1" s="64">
      <c r="A621" s="36" t="inlineStr">
        <is>
          <t>617</t>
        </is>
      </c>
      <c r="B621" s="25">
        <f>IF(AND(C621="",D621="",E621=""),"",IF(C621="","FALTA código balón",IF(D621="","FALTA tipo balón",IF(E621="","FALTA gas",IF(F621="","FALTA propietario",IF(AND(C621&lt;&gt;"",SUMPRODUCT(--($C$5:$C$1200=C621))&gt;1),"CÓDIGO BALÓN DUPLICADO",IF(AND(OR(UPPER(F621)="PLANTA",UPPER(F621)="CLIENTE"),G621=""),"FALTA doc propietario/planta",IF(AND(UPPER(F621)="PLANTA",G621="10175332796"),"PLANTA no puede ser RUC empresa","OK"))))))))</f>
        <v/>
      </c>
      <c r="C621" s="23" t="inlineStr">
        <is>
          <t>20S288180</t>
        </is>
      </c>
      <c r="D621" s="17" t="inlineStr">
        <is>
          <t>Oxígeno Industrial 6 m³</t>
        </is>
      </c>
      <c r="E621" s="17" t="inlineStr">
        <is>
          <t>OXIGENO INDUSTRIAL</t>
        </is>
      </c>
      <c r="F621" s="17" t="inlineStr">
        <is>
          <t>EMPRESA</t>
        </is>
      </c>
      <c r="G621" s="23" t="inlineStr">
        <is>
          <t>10175332796</t>
        </is>
      </c>
      <c r="H621" s="25">
        <f t="array" ref="H621">IF(G621="","",IFERROR(IF(INDEX(Clientes!$D$5:$D$549,MATCH(G621,Clientes!$C$5:$C$549,0))&lt;&gt;"",INDEX(Clientes!$D$5:$D$549,MATCH(G621,Clientes!$C$5:$C$549,0)),TRIM(INDEX(Clientes!$E$5:$E$549,MATCH(G621,Clientes!$C$5:$C$549,0))&amp;" "&amp;INDEX(Clientes!$F$5:$F$549,MATCH(G621,Clientes!$C$5:$C$549,0)))),"NO EXISTE en Clientes"))</f>
        <v/>
      </c>
      <c r="I621" s="17" t="inlineStr">
        <is>
          <t>EN_PODER_CLIENTE</t>
        </is>
      </c>
      <c r="J621" s="17" t="n"/>
      <c r="K621" s="23" t="inlineStr">
        <is>
          <t>45172067</t>
        </is>
      </c>
      <c r="L621" s="25">
        <f t="array" ref="L621">IF(K621="","",IFERROR(IF(INDEX(Clientes!$D$5:$D$549,MATCH(K621,Clientes!$C$5:$C$549,0))&lt;&gt;"",INDEX(Clientes!$D$5:$D$549,MATCH(K621,Clientes!$C$5:$C$549,0)),TRIM(INDEX(Clientes!$E$5:$E$549,MATCH(K621,Clientes!$C$5:$C$549,0))&amp;" "&amp;INDEX(Clientes!$F$5:$F$549,MATCH(K621,Clientes!$C$5:$C$549,0)))),"NO EXISTE en Clientes"))</f>
        <v/>
      </c>
      <c r="M621" s="17" t="n"/>
      <c r="N621" s="17" t="n"/>
      <c r="O621" s="42" t="n"/>
      <c r="P621" s="39">
        <f>IF(O621&lt;&gt;"",DATE(YEAR(O621)+5,MONTH(O621),1),IF(AND(M621&lt;&gt;"",N621&lt;&gt;""),DATE(M621+5,N621,1),""))</f>
        <v/>
      </c>
      <c r="Q621" s="23" t="n"/>
      <c r="R621" s="17" t="n"/>
      <c r="S621" s="17" t="n"/>
      <c r="T621" s="17" t="n"/>
      <c r="U621" s="17" t="n"/>
      <c r="V621" s="23" t="n"/>
      <c r="W621" s="17" t="n"/>
      <c r="X621" s="17" t="n"/>
      <c r="Y621" s="28">
        <f>IF(B621&lt;&gt;"OK","","SELECT bal_crear_balon(p_codigo_balon =&gt; "&amp;IF(TRIM(C621&amp;"")="","NULL","'"&amp;SUBSTITUTE(TRIM(C621),"'","''")&amp;"'")&amp;", p_id_tipo_balon =&gt; "&amp;"(SELECT id FROM bal_tipo_balon WHERE upper(nombre) = upper('"&amp;SUBSTITUTE(TRIM(D621),"'","''")&amp;"') AND estado = 1 LIMIT 1)"&amp;", p_id_producto_gas =&gt; "&amp;"(SELECT id FROM pro_producto WHERE es_gas = TRUE AND upper(nombre) = upper('"&amp;SUBSTITUTE(TRIM(E621),"'","''")&amp;"') AND estado = 1 LIMIT 1)"&amp;", p_id_propietario =&gt; "&amp;IF(TRIM(F621&amp;"")="","NULL","(SELECT lo.id FROM gen_lista_opciones lo JOIN gen_lista l ON l.id = lo.id_lista WHERE l.nombre = 'PropietarioBalon' AND upper(lo.nombre) = upper('"&amp;SUBSTITUTE(TRIM(F621),"'","''")&amp;"') AND lo.estado = 1 LIMIT 1)")&amp;", p_id_cliente_propietario =&gt; "&amp;IF(F621="CLIENTE",IF(TRIM(G621&amp;"")="","NULL","(SELECT id FROM cli_clientes WHERE numero_documento = '"&amp;SUBSTITUTE(TRIM(G621),"'","''")&amp;"' AND estado = 1 LIMIT 1)"),"NULL")&amp;", p_id_planta =&gt; "&amp;IF(F621="PLANTA",IF(TRIM(G621&amp;"")="","NULL","(SELECT id FROM cli_clientes WHERE numero_documento = '"&amp;SUBSTITUTE(TRIM(G621),"'","''")&amp;"'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"&amp;IF(TRIM(J621&amp;"")="","NULL","(SELECT id FROM gen_almacen WHERE upper(nombre) = upper('"&amp;SUBSTITUTE(TRIM(J621),"'","''")&amp;"') AND estado = 1 LIMIT 1)")&amp;", p_id_cliente_ubicacion =&gt; "&amp;IF(TRIM(K621&amp;"")="","NULL","(SELECT id FROM cli_clientes WHERE numero_documento = '"&amp;SUBSTITUTE(TRIM(K621),"'","''")&amp;"' AND estado = 1 LIMIT 1)")&amp;", p_id_referencia =&gt; "&amp;IF(TRIM(J621&amp;"")&lt;&gt;"","(SELECT lo.id FROM gen_lista_opciones lo JOIN gen_lista l ON l.id = lo.id_lista WHERE l.nombre = 'ReferenciaCilindro' AND upper(lo.nombre) = 'ALMACEN' AND lo.estado = 1 LIMIT 1)",IF(TRIM(K621&amp;"")&lt;&gt;"","(SELECT lo.id FROM gen_lista_opciones lo JOIN gen_lista l ON l.id = lo.id_lista WHERE l.nombre = 'ReferenciaCilindro' AND upper(lo.nombre) = 'CLIENTE' AND lo.estado = 1 LIMIT 1)","NULL"))&amp;", p_anio_fabricacion =&gt; "&amp;IF(M621&amp;""="","NULL::smallint",M621&amp;"::smallint")&amp;", p_mes_fabricacion =&gt; "&amp;IF(N621&amp;""="","NULL::smallint",N621&amp;"::smallint")&amp;", p_fecha_ultima_prueba_hidrostatica =&gt; "&amp;IF(O621&amp;""="","NULL","'"&amp;YEAR(O621)&amp;"-"&amp;TEXT(MONTH(O621),"00")&amp;"-"&amp;TEXT(DAY(O621),"00")&amp;"'")&amp;", p_numero_serie =&gt; "&amp;IF(TRIM(Q621&amp;"")="","NULL","'"&amp;SUBSTITUTE(TRIM(Q621),"'","''")&amp;"'")&amp;", p_id_marca_cilindro =&gt; "&amp;IF(TRIM(R621&amp;"")="","NULL","(SELECT lo.id FROM gen_lista_opciones lo JOIN gen_lista l ON l.id = lo.id_lista WHERE l.nombre = 'MarcaCilindro' AND upper(lo.nombre) = upper('"&amp;SUBSTITUTE(TRIM(R621),"'","''")&amp;"') AND lo.estado = 1 LIMIT 1)")&amp;", p_id_organo_inspector =&gt; "&amp;IF(TRIM(S621&amp;"")="","NULL","(SELECT lo.id FROM gen_lista_opciones lo JOIN gen_lista l ON l.id = lo.id_lista WHERE l.nombre = 'OrganoInspectorCilindro' AND upper(lo.nombre) = upper('"&amp;SUBSTITUTE(TRIM(S621),"'","''")&amp;"') AND lo.estado = 1 LIMIT 1)")&amp;", p_organo_inspector_no_aplica =&gt; "&amp;IF(S621="NO_APLICA","TRUE","FALSE")&amp;", p_presion_actual =&gt; "&amp;IF(T621&amp;""="","NULL",SUBSTITUTE(T621&amp;"",",","."))&amp;", p_tipo_valvula =&gt; "&amp;IF(TRIM(U621&amp;"")="","NULL","'"&amp;SUBSTITUTE(TRIM(U621),"'","''")&amp;"'")&amp;", p_libro_cilindro =&gt; "&amp;IF(TRIM(V621&amp;"")="","NULL","'"&amp;SUBSTITUTE(TRIM(V621),"'","''")&amp;"'")&amp;", p_pagina_libro =&gt; "&amp;IF(W621&amp;""="","NULL",SUBSTITUTE(W621&amp;"",",","."))&amp;", p_observacion =&gt; "&amp;IF(TRIM(X621&amp;"")="","NULL","'"&amp;SUBSTITUTE(TRIM(X621),"'","''")&amp;"'")&amp;") AS resultado_balon_"&amp;ROW()&amp;";")</f>
        <v/>
      </c>
    </row>
    <row r="622" ht="15.75" customHeight="1" s="64">
      <c r="A622" s="36" t="inlineStr">
        <is>
          <t>618</t>
        </is>
      </c>
      <c r="B622" s="25">
        <f>IF(AND(C622="",D622="",E622=""),"",IF(C622="","FALTA código balón",IF(D622="","FALTA tipo balón",IF(E622="","FALTA gas",IF(F622="","FALTA propietario",IF(AND(C622&lt;&gt;"",SUMPRODUCT(--($C$5:$C$1200=C622))&gt;1),"CÓDIGO BALÓN DUPLICADO",IF(AND(OR(UPPER(F622)="PLANTA",UPPER(F622)="CLIENTE"),G622=""),"FALTA doc propietario/planta",IF(AND(UPPER(F622)="PLANTA",G622="10175332796"),"PLANTA no puede ser RUC empresa","OK"))))))))</f>
        <v/>
      </c>
      <c r="C622" s="23" t="inlineStr">
        <is>
          <t>19S207103</t>
        </is>
      </c>
      <c r="D622" s="17" t="inlineStr">
        <is>
          <t>Oxígeno Industrial 6 m³</t>
        </is>
      </c>
      <c r="E622" s="17" t="inlineStr">
        <is>
          <t>OXIGENO INDUSTRIAL</t>
        </is>
      </c>
      <c r="F622" s="17" t="inlineStr">
        <is>
          <t>EMPRESA</t>
        </is>
      </c>
      <c r="G622" s="23" t="inlineStr">
        <is>
          <t>10175332796</t>
        </is>
      </c>
      <c r="H622" s="25">
        <f t="array" ref="H622">IF(G622="","",IFERROR(IF(INDEX(Clientes!$D$5:$D$549,MATCH(G622,Clientes!$C$5:$C$549,0))&lt;&gt;"",INDEX(Clientes!$D$5:$D$549,MATCH(G622,Clientes!$C$5:$C$549,0)),TRIM(INDEX(Clientes!$E$5:$E$549,MATCH(G622,Clientes!$C$5:$C$549,0))&amp;" "&amp;INDEX(Clientes!$F$5:$F$549,MATCH(G622,Clientes!$C$5:$C$549,0)))),"NO EXISTE en Clientes"))</f>
        <v/>
      </c>
      <c r="I622" s="17" t="inlineStr">
        <is>
          <t>EN_PODER_CLIENTE</t>
        </is>
      </c>
      <c r="J622" s="17" t="n"/>
      <c r="K622" s="23" t="inlineStr">
        <is>
          <t>17621023</t>
        </is>
      </c>
      <c r="L622" s="25">
        <f t="array" ref="L622">IF(K622="","",IFERROR(IF(INDEX(Clientes!$D$5:$D$549,MATCH(K622,Clientes!$C$5:$C$549,0))&lt;&gt;"",INDEX(Clientes!$D$5:$D$549,MATCH(K622,Clientes!$C$5:$C$549,0)),TRIM(INDEX(Clientes!$E$5:$E$549,MATCH(K622,Clientes!$C$5:$C$549,0))&amp;" "&amp;INDEX(Clientes!$F$5:$F$549,MATCH(K622,Clientes!$C$5:$C$549,0)))),"NO EXISTE en Clientes"))</f>
        <v/>
      </c>
      <c r="M622" s="17" t="n"/>
      <c r="N622" s="17" t="n"/>
      <c r="O622" s="42" t="n"/>
      <c r="P622" s="39">
        <f>IF(O622&lt;&gt;"",DATE(YEAR(O622)+5,MONTH(O622),1),IF(AND(M622&lt;&gt;"",N622&lt;&gt;""),DATE(M622+5,N622,1),""))</f>
        <v/>
      </c>
      <c r="Q622" s="23" t="n"/>
      <c r="R622" s="17" t="n"/>
      <c r="S622" s="17" t="n"/>
      <c r="T622" s="17" t="n"/>
      <c r="U622" s="17" t="n"/>
      <c r="V622" s="23" t="n"/>
      <c r="W622" s="17" t="n"/>
      <c r="X622" s="17" t="n"/>
      <c r="Y622" s="28">
        <f>IF(B622&lt;&gt;"OK","","SELECT bal_crear_balon(p_codigo_balon =&gt; "&amp;IF(TRIM(C622&amp;"")="","NULL","'"&amp;SUBSTITUTE(TRIM(C622),"'","''")&amp;"'")&amp;", p_id_tipo_balon =&gt; "&amp;"(SELECT id FROM bal_tipo_balon WHERE upper(nombre) = upper('"&amp;SUBSTITUTE(TRIM(D622),"'","''")&amp;"') AND estado = 1 LIMIT 1)"&amp;", p_id_producto_gas =&gt; "&amp;"(SELECT id FROM pro_producto WHERE es_gas = TRUE AND upper(nombre) = upper('"&amp;SUBSTITUTE(TRIM(E622),"'","''")&amp;"') AND estado = 1 LIMIT 1)"&amp;", p_id_propietario =&gt; "&amp;IF(TRIM(F622&amp;"")="","NULL","(SELECT lo.id FROM gen_lista_opciones lo JOIN gen_lista l ON l.id = lo.id_lista WHERE l.nombre = 'PropietarioBalon' AND upper(lo.nombre) = upper('"&amp;SUBSTITUTE(TRIM(F622),"'","''")&amp;"') AND lo.estado = 1 LIMIT 1)")&amp;", p_id_cliente_propietario =&gt; "&amp;IF(F622="CLIENTE",IF(TRIM(G622&amp;"")="","NULL","(SELECT id FROM cli_clientes WHERE numero_documento = '"&amp;SUBSTITUTE(TRIM(G622),"'","''")&amp;"' AND estado = 1 LIMIT 1)"),"NULL")&amp;", p_id_planta =&gt; "&amp;IF(F622="PLANTA",IF(TRIM(G622&amp;"")="","NULL","(SELECT id FROM cli_clientes WHERE numero_documento = '"&amp;SUBSTITUTE(TRIM(G622),"'","''")&amp;"'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"&amp;IF(TRIM(J622&amp;"")="","NULL","(SELECT id FROM gen_almacen WHERE upper(nombre) = upper('"&amp;SUBSTITUTE(TRIM(J622),"'","''")&amp;"') AND estado = 1 LIMIT 1)")&amp;", p_id_cliente_ubicacion =&gt; "&amp;IF(TRIM(K622&amp;"")="","NULL","(SELECT id FROM cli_clientes WHERE numero_documento = '"&amp;SUBSTITUTE(TRIM(K622),"'","''")&amp;"' AND estado = 1 LIMIT 1)")&amp;", p_id_referencia =&gt; "&amp;IF(TRIM(J622&amp;"")&lt;&gt;"","(SELECT lo.id FROM gen_lista_opciones lo JOIN gen_lista l ON l.id = lo.id_lista WHERE l.nombre = 'ReferenciaCilindro' AND upper(lo.nombre) = 'ALMACEN' AND lo.estado = 1 LIMIT 1)",IF(TRIM(K622&amp;"")&lt;&gt;"","(SELECT lo.id FROM gen_lista_opciones lo JOIN gen_lista l ON l.id = lo.id_lista WHERE l.nombre = 'ReferenciaCilindro' AND upper(lo.nombre) = 'CLIENTE' AND lo.estado = 1 LIMIT 1)","NULL"))&amp;", p_anio_fabricacion =&gt; "&amp;IF(M622&amp;""="","NULL::smallint",M622&amp;"::smallint")&amp;", p_mes_fabricacion =&gt; "&amp;IF(N622&amp;""="","NULL::smallint",N622&amp;"::smallint")&amp;", p_fecha_ultima_prueba_hidrostatica =&gt; "&amp;IF(O622&amp;""="","NULL","'"&amp;YEAR(O622)&amp;"-"&amp;TEXT(MONTH(O622),"00")&amp;"-"&amp;TEXT(DAY(O622),"00")&amp;"'")&amp;", p_numero_serie =&gt; "&amp;IF(TRIM(Q622&amp;"")="","NULL","'"&amp;SUBSTITUTE(TRIM(Q622),"'","''")&amp;"'")&amp;", p_id_marca_cilindro =&gt; "&amp;IF(TRIM(R622&amp;"")="","NULL","(SELECT lo.id FROM gen_lista_opciones lo JOIN gen_lista l ON l.id = lo.id_lista WHERE l.nombre = 'MarcaCilindro' AND upper(lo.nombre) = upper('"&amp;SUBSTITUTE(TRIM(R622),"'","''")&amp;"') AND lo.estado = 1 LIMIT 1)")&amp;", p_id_organo_inspector =&gt; "&amp;IF(TRIM(S622&amp;"")="","NULL","(SELECT lo.id FROM gen_lista_opciones lo JOIN gen_lista l ON l.id = lo.id_lista WHERE l.nombre = 'OrganoInspectorCilindro' AND upper(lo.nombre) = upper('"&amp;SUBSTITUTE(TRIM(S622),"'","''")&amp;"') AND lo.estado = 1 LIMIT 1)")&amp;", p_organo_inspector_no_aplica =&gt; "&amp;IF(S622="NO_APLICA","TRUE","FALSE")&amp;", p_presion_actual =&gt; "&amp;IF(T622&amp;""="","NULL",SUBSTITUTE(T622&amp;"",",","."))&amp;", p_tipo_valvula =&gt; "&amp;IF(TRIM(U622&amp;"")="","NULL","'"&amp;SUBSTITUTE(TRIM(U622),"'","''")&amp;"'")&amp;", p_libro_cilindro =&gt; "&amp;IF(TRIM(V622&amp;"")="","NULL","'"&amp;SUBSTITUTE(TRIM(V622),"'","''")&amp;"'")&amp;", p_pagina_libro =&gt; "&amp;IF(W622&amp;""="","NULL",SUBSTITUTE(W622&amp;"",",","."))&amp;", p_observacion =&gt; "&amp;IF(TRIM(X622&amp;"")="","NULL","'"&amp;SUBSTITUTE(TRIM(X622),"'","''")&amp;"'")&amp;") AS resultado_balon_"&amp;ROW()&amp;";")</f>
        <v/>
      </c>
    </row>
    <row r="623" ht="15.75" customHeight="1" s="64">
      <c r="A623" s="36" t="inlineStr">
        <is>
          <t>619</t>
        </is>
      </c>
      <c r="B623" s="25">
        <f>IF(AND(C623="",D623="",E623=""),"",IF(C623="","FALTA código balón",IF(D623="","FALTA tipo balón",IF(E623="","FALTA gas",IF(F623="","FALTA propietario",IF(AND(C623&lt;&gt;"",SUMPRODUCT(--($C$5:$C$1200=C623))&gt;1),"CÓDIGO BALÓN DUPLICADO",IF(AND(OR(UPPER(F623)="PLANTA",UPPER(F623)="CLIENTE"),G623=""),"FALTA doc propietario/planta",IF(AND(UPPER(F623)="PLANTA",G623="10175332796"),"PLANTA no puede ser RUC empresa","OK"))))))))</f>
        <v/>
      </c>
      <c r="C623" s="23" t="inlineStr">
        <is>
          <t>19S165072</t>
        </is>
      </c>
      <c r="D623" s="17" t="inlineStr">
        <is>
          <t>Oxígeno Industrial 6 m³</t>
        </is>
      </c>
      <c r="E623" s="17" t="inlineStr">
        <is>
          <t>OXIGENO INDUSTRIAL</t>
        </is>
      </c>
      <c r="F623" s="17" t="inlineStr">
        <is>
          <t>EMPRESA</t>
        </is>
      </c>
      <c r="G623" s="23" t="inlineStr">
        <is>
          <t>10175332796</t>
        </is>
      </c>
      <c r="H623" s="25">
        <f t="array" ref="H623">IF(G623="","",IFERROR(IF(INDEX(Clientes!$D$5:$D$549,MATCH(G623,Clientes!$C$5:$C$549,0))&lt;&gt;"",INDEX(Clientes!$D$5:$D$549,MATCH(G623,Clientes!$C$5:$C$549,0)),TRIM(INDEX(Clientes!$E$5:$E$549,MATCH(G623,Clientes!$C$5:$C$549,0))&amp;" "&amp;INDEX(Clientes!$F$5:$F$549,MATCH(G623,Clientes!$C$5:$C$549,0)))),"NO EXISTE en Clientes"))</f>
        <v/>
      </c>
      <c r="I623" s="17" t="inlineStr">
        <is>
          <t>EN_PODER_CLIENTE</t>
        </is>
      </c>
      <c r="J623" s="17" t="n"/>
      <c r="K623" s="23" t="inlineStr">
        <is>
          <t>10477042347</t>
        </is>
      </c>
      <c r="L623" s="25">
        <f t="array" ref="L623">IF(K623="","",IFERROR(IF(INDEX(Clientes!$D$5:$D$549,MATCH(K623,Clientes!$C$5:$C$549,0))&lt;&gt;"",INDEX(Clientes!$D$5:$D$549,MATCH(K623,Clientes!$C$5:$C$549,0)),TRIM(INDEX(Clientes!$E$5:$E$549,MATCH(K623,Clientes!$C$5:$C$549,0))&amp;" "&amp;INDEX(Clientes!$F$5:$F$549,MATCH(K623,Clientes!$C$5:$C$549,0)))),"NO EXISTE en Clientes"))</f>
        <v/>
      </c>
      <c r="M623" s="17" t="n"/>
      <c r="N623" s="17" t="n"/>
      <c r="O623" s="42" t="n"/>
      <c r="P623" s="39">
        <f>IF(O623&lt;&gt;"",DATE(YEAR(O623)+5,MONTH(O623),1),IF(AND(M623&lt;&gt;"",N623&lt;&gt;""),DATE(M623+5,N623,1),""))</f>
        <v/>
      </c>
      <c r="Q623" s="23" t="n"/>
      <c r="R623" s="17" t="n"/>
      <c r="S623" s="17" t="n"/>
      <c r="T623" s="17" t="n"/>
      <c r="U623" s="17" t="n"/>
      <c r="V623" s="23" t="n"/>
      <c r="W623" s="17" t="n"/>
      <c r="X623" s="17" t="n"/>
      <c r="Y623" s="28">
        <f>IF(B623&lt;&gt;"OK","","SELECT bal_crear_balon(p_codigo_balon =&gt; "&amp;IF(TRIM(C623&amp;"")="","NULL","'"&amp;SUBSTITUTE(TRIM(C623),"'","''")&amp;"'")&amp;", p_id_tipo_balon =&gt; "&amp;"(SELECT id FROM bal_tipo_balon WHERE upper(nombre) = upper('"&amp;SUBSTITUTE(TRIM(D623),"'","''")&amp;"') AND estado = 1 LIMIT 1)"&amp;", p_id_producto_gas =&gt; "&amp;"(SELECT id FROM pro_producto WHERE es_gas = TRUE AND upper(nombre) = upper('"&amp;SUBSTITUTE(TRIM(E623),"'","''")&amp;"') AND estado = 1 LIMIT 1)"&amp;", p_id_propietario =&gt; "&amp;IF(TRIM(F623&amp;"")="","NULL","(SELECT lo.id FROM gen_lista_opciones lo JOIN gen_lista l ON l.id = lo.id_lista WHERE l.nombre = 'PropietarioBalon' AND upper(lo.nombre) = upper('"&amp;SUBSTITUTE(TRIM(F623),"'","''")&amp;"') AND lo.estado = 1 LIMIT 1)")&amp;", p_id_cliente_propietario =&gt; "&amp;IF(F623="CLIENTE",IF(TRIM(G623&amp;"")="","NULL","(SELECT id FROM cli_clientes WHERE numero_documento = '"&amp;SUBSTITUTE(TRIM(G623),"'","''")&amp;"' AND estado = 1 LIMIT 1)"),"NULL")&amp;", p_id_planta =&gt; "&amp;IF(F623="PLANTA",IF(TRIM(G623&amp;"")="","NULL","(SELECT id FROM cli_clientes WHERE numero_documento = '"&amp;SUBSTITUTE(TRIM(G623),"'","''")&amp;"'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"&amp;IF(TRIM(J623&amp;"")="","NULL","(SELECT id FROM gen_almacen WHERE upper(nombre) = upper('"&amp;SUBSTITUTE(TRIM(J623),"'","''")&amp;"') AND estado = 1 LIMIT 1)")&amp;", p_id_cliente_ubicacion =&gt; "&amp;IF(TRIM(K623&amp;"")="","NULL","(SELECT id FROM cli_clientes WHERE numero_documento = '"&amp;SUBSTITUTE(TRIM(K623),"'","''")&amp;"' AND estado = 1 LIMIT 1)")&amp;", p_id_referencia =&gt; "&amp;IF(TRIM(J623&amp;"")&lt;&gt;"","(SELECT lo.id FROM gen_lista_opciones lo JOIN gen_lista l ON l.id = lo.id_lista WHERE l.nombre = 'ReferenciaCilindro' AND upper(lo.nombre) = 'ALMACEN' AND lo.estado = 1 LIMIT 1)",IF(TRIM(K623&amp;"")&lt;&gt;"","(SELECT lo.id FROM gen_lista_opciones lo JOIN gen_lista l ON l.id = lo.id_lista WHERE l.nombre = 'ReferenciaCilindro' AND upper(lo.nombre) = 'CLIENTE' AND lo.estado = 1 LIMIT 1)","NULL"))&amp;", p_anio_fabricacion =&gt; "&amp;IF(M623&amp;""="","NULL::smallint",M623&amp;"::smallint")&amp;", p_mes_fabricacion =&gt; "&amp;IF(N623&amp;""="","NULL::smallint",N623&amp;"::smallint")&amp;", p_fecha_ultima_prueba_hidrostatica =&gt; "&amp;IF(O623&amp;""="","NULL","'"&amp;YEAR(O623)&amp;"-"&amp;TEXT(MONTH(O623),"00")&amp;"-"&amp;TEXT(DAY(O623),"00")&amp;"'")&amp;", p_numero_serie =&gt; "&amp;IF(TRIM(Q623&amp;"")="","NULL","'"&amp;SUBSTITUTE(TRIM(Q623),"'","''")&amp;"'")&amp;", p_id_marca_cilindro =&gt; "&amp;IF(TRIM(R623&amp;"")="","NULL","(SELECT lo.id FROM gen_lista_opciones lo JOIN gen_lista l ON l.id = lo.id_lista WHERE l.nombre = 'MarcaCilindro' AND upper(lo.nombre) = upper('"&amp;SUBSTITUTE(TRIM(R623),"'","''")&amp;"') AND lo.estado = 1 LIMIT 1)")&amp;", p_id_organo_inspector =&gt; "&amp;IF(TRIM(S623&amp;"")="","NULL","(SELECT lo.id FROM gen_lista_opciones lo JOIN gen_lista l ON l.id = lo.id_lista WHERE l.nombre = 'OrganoInspectorCilindro' AND upper(lo.nombre) = upper('"&amp;SUBSTITUTE(TRIM(S623),"'","''")&amp;"') AND lo.estado = 1 LIMIT 1)")&amp;", p_organo_inspector_no_aplica =&gt; "&amp;IF(S623="NO_APLICA","TRUE","FALSE")&amp;", p_presion_actual =&gt; "&amp;IF(T623&amp;""="","NULL",SUBSTITUTE(T623&amp;"",",","."))&amp;", p_tipo_valvula =&gt; "&amp;IF(TRIM(U623&amp;"")="","NULL","'"&amp;SUBSTITUTE(TRIM(U623),"'","''")&amp;"'")&amp;", p_libro_cilindro =&gt; "&amp;IF(TRIM(V623&amp;"")="","NULL","'"&amp;SUBSTITUTE(TRIM(V623),"'","''")&amp;"'")&amp;", p_pagina_libro =&gt; "&amp;IF(W623&amp;""="","NULL",SUBSTITUTE(W623&amp;"",",","."))&amp;", p_observacion =&gt; "&amp;IF(TRIM(X623&amp;"")="","NULL","'"&amp;SUBSTITUTE(TRIM(X623),"'","''")&amp;"'")&amp;") AS resultado_balon_"&amp;ROW()&amp;";")</f>
        <v/>
      </c>
    </row>
    <row r="624" ht="15.75" customHeight="1" s="64">
      <c r="A624" s="36" t="inlineStr">
        <is>
          <t>620</t>
        </is>
      </c>
      <c r="B624" s="25">
        <f>IF(AND(C624="",D624="",E624=""),"",IF(C624="","FALTA código balón",IF(D624="","FALTA tipo balón",IF(E624="","FALTA gas",IF(F624="","FALTA propietario",IF(AND(C624&lt;&gt;"",SUMPRODUCT(--($C$5:$C$1200=C624))&gt;1),"CÓDIGO BALÓN DUPLICADO",IF(AND(OR(UPPER(F624)="PLANTA",UPPER(F624)="CLIENTE"),G624=""),"FALTA doc propietario/planta",IF(AND(UPPER(F624)="PLANTA",G624="10175332796"),"PLANTA no puede ser RUC empresa","OK"))))))))</f>
        <v/>
      </c>
      <c r="C624" s="23" t="inlineStr">
        <is>
          <t>1205</t>
        </is>
      </c>
      <c r="D624" s="17" t="inlineStr">
        <is>
          <t>Oxígeno Industrial 6 m³</t>
        </is>
      </c>
      <c r="E624" s="17" t="inlineStr">
        <is>
          <t>OXIGENO INDUSTRIAL</t>
        </is>
      </c>
      <c r="F624" s="17" t="inlineStr">
        <is>
          <t>EMPRESA</t>
        </is>
      </c>
      <c r="G624" s="23" t="inlineStr">
        <is>
          <t>10175332796</t>
        </is>
      </c>
      <c r="H624" s="25">
        <f t="array" ref="H624">IF(G624="","",IFERROR(IF(INDEX(Clientes!$D$5:$D$549,MATCH(G624,Clientes!$C$5:$C$549,0))&lt;&gt;"",INDEX(Clientes!$D$5:$D$549,MATCH(G624,Clientes!$C$5:$C$549,0)),TRIM(INDEX(Clientes!$E$5:$E$549,MATCH(G624,Clientes!$C$5:$C$549,0))&amp;" "&amp;INDEX(Clientes!$F$5:$F$549,MATCH(G624,Clientes!$C$5:$C$549,0)))),"NO EXISTE en Clientes"))</f>
        <v/>
      </c>
      <c r="I624" s="17" t="inlineStr">
        <is>
          <t>EN_PODER_CLIENTE</t>
        </is>
      </c>
      <c r="J624" s="17" t="n"/>
      <c r="K624" s="23" t="inlineStr">
        <is>
          <t>10477042347</t>
        </is>
      </c>
      <c r="L624" s="25">
        <f t="array" ref="L624">IF(K624="","",IFERROR(IF(INDEX(Clientes!$D$5:$D$549,MATCH(K624,Clientes!$C$5:$C$549,0))&lt;&gt;"",INDEX(Clientes!$D$5:$D$549,MATCH(K624,Clientes!$C$5:$C$549,0)),TRIM(INDEX(Clientes!$E$5:$E$549,MATCH(K624,Clientes!$C$5:$C$549,0))&amp;" "&amp;INDEX(Clientes!$F$5:$F$549,MATCH(K624,Clientes!$C$5:$C$549,0)))),"NO EXISTE en Clientes"))</f>
        <v/>
      </c>
      <c r="M624" s="17" t="n"/>
      <c r="N624" s="17" t="n"/>
      <c r="O624" s="42" t="n"/>
      <c r="P624" s="39">
        <f>IF(O624&lt;&gt;"",DATE(YEAR(O624)+5,MONTH(O624),1),IF(AND(M624&lt;&gt;"",N624&lt;&gt;""),DATE(M624+5,N624,1),""))</f>
        <v/>
      </c>
      <c r="Q624" s="23" t="n"/>
      <c r="R624" s="17" t="n"/>
      <c r="S624" s="17" t="n"/>
      <c r="T624" s="17" t="n"/>
      <c r="U624" s="17" t="n"/>
      <c r="V624" s="23" t="n"/>
      <c r="W624" s="17" t="n"/>
      <c r="X624" s="17" t="n"/>
      <c r="Y624" s="28">
        <f>IF(B624&lt;&gt;"OK","","SELECT bal_crear_balon(p_codigo_balon =&gt; "&amp;IF(TRIM(C624&amp;"")="","NULL","'"&amp;SUBSTITUTE(TRIM(C624),"'","''")&amp;"'")&amp;", p_id_tipo_balon =&gt; "&amp;"(SELECT id FROM bal_tipo_balon WHERE upper(nombre) = upper('"&amp;SUBSTITUTE(TRIM(D624),"'","''")&amp;"') AND estado = 1 LIMIT 1)"&amp;", p_id_producto_gas =&gt; "&amp;"(SELECT id FROM pro_producto WHERE es_gas = TRUE AND upper(nombre) = upper('"&amp;SUBSTITUTE(TRIM(E624),"'","''")&amp;"') AND estado = 1 LIMIT 1)"&amp;", p_id_propietario =&gt; "&amp;IF(TRIM(F624&amp;"")="","NULL","(SELECT lo.id FROM gen_lista_opciones lo JOIN gen_lista l ON l.id = lo.id_lista WHERE l.nombre = 'PropietarioBalon' AND upper(lo.nombre) = upper('"&amp;SUBSTITUTE(TRIM(F624),"'","''")&amp;"') AND lo.estado = 1 LIMIT 1)")&amp;", p_id_cliente_propietario =&gt; "&amp;IF(F624="CLIENTE",IF(TRIM(G624&amp;"")="","NULL","(SELECT id FROM cli_clientes WHERE numero_documento = '"&amp;SUBSTITUTE(TRIM(G624),"'","''")&amp;"' AND estado = 1 LIMIT 1)"),"NULL")&amp;", p_id_planta =&gt; "&amp;IF(F624="PLANTA",IF(TRIM(G624&amp;"")="","NULL","(SELECT id FROM cli_clientes WHERE numero_documento = '"&amp;SUBSTITUTE(TRIM(G624),"'","''")&amp;"'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"&amp;IF(TRIM(J624&amp;"")="","NULL","(SELECT id FROM gen_almacen WHERE upper(nombre) = upper('"&amp;SUBSTITUTE(TRIM(J624),"'","''")&amp;"') AND estado = 1 LIMIT 1)")&amp;", p_id_cliente_ubicacion =&gt; "&amp;IF(TRIM(K624&amp;"")="","NULL","(SELECT id FROM cli_clientes WHERE numero_documento = '"&amp;SUBSTITUTE(TRIM(K624),"'","''")&amp;"' AND estado = 1 LIMIT 1)")&amp;", p_id_referencia =&gt; "&amp;IF(TRIM(J624&amp;"")&lt;&gt;"","(SELECT lo.id FROM gen_lista_opciones lo JOIN gen_lista l ON l.id = lo.id_lista WHERE l.nombre = 'ReferenciaCilindro' AND upper(lo.nombre) = 'ALMACEN' AND lo.estado = 1 LIMIT 1)",IF(TRIM(K624&amp;"")&lt;&gt;"","(SELECT lo.id FROM gen_lista_opciones lo JOIN gen_lista l ON l.id = lo.id_lista WHERE l.nombre = 'ReferenciaCilindro' AND upper(lo.nombre) = 'CLIENTE' AND lo.estado = 1 LIMIT 1)","NULL"))&amp;", p_anio_fabricacion =&gt; "&amp;IF(M624&amp;""="","NULL::smallint",M624&amp;"::smallint")&amp;", p_mes_fabricacion =&gt; "&amp;IF(N624&amp;""="","NULL::smallint",N624&amp;"::smallint")&amp;", p_fecha_ultima_prueba_hidrostatica =&gt; "&amp;IF(O624&amp;""="","NULL","'"&amp;YEAR(O624)&amp;"-"&amp;TEXT(MONTH(O624),"00")&amp;"-"&amp;TEXT(DAY(O624),"00")&amp;"'")&amp;", p_numero_serie =&gt; "&amp;IF(TRIM(Q624&amp;"")="","NULL","'"&amp;SUBSTITUTE(TRIM(Q624),"'","''")&amp;"'")&amp;", p_id_marca_cilindro =&gt; "&amp;IF(TRIM(R624&amp;"")="","NULL","(SELECT lo.id FROM gen_lista_opciones lo JOIN gen_lista l ON l.id = lo.id_lista WHERE l.nombre = 'MarcaCilindro' AND upper(lo.nombre) = upper('"&amp;SUBSTITUTE(TRIM(R624),"'","''")&amp;"') AND lo.estado = 1 LIMIT 1)")&amp;", p_id_organo_inspector =&gt; "&amp;IF(TRIM(S624&amp;"")="","NULL","(SELECT lo.id FROM gen_lista_opciones lo JOIN gen_lista l ON l.id = lo.id_lista WHERE l.nombre = 'OrganoInspectorCilindro' AND upper(lo.nombre) = upper('"&amp;SUBSTITUTE(TRIM(S624),"'","''")&amp;"') AND lo.estado = 1 LIMIT 1)")&amp;", p_organo_inspector_no_aplica =&gt; "&amp;IF(S624="NO_APLICA","TRUE","FALSE")&amp;", p_presion_actual =&gt; "&amp;IF(T624&amp;""="","NULL",SUBSTITUTE(T624&amp;"",",","."))&amp;", p_tipo_valvula =&gt; "&amp;IF(TRIM(U624&amp;"")="","NULL","'"&amp;SUBSTITUTE(TRIM(U624),"'","''")&amp;"'")&amp;", p_libro_cilindro =&gt; "&amp;IF(TRIM(V624&amp;"")="","NULL","'"&amp;SUBSTITUTE(TRIM(V624),"'","''")&amp;"'")&amp;", p_pagina_libro =&gt; "&amp;IF(W624&amp;""="","NULL",SUBSTITUTE(W624&amp;"",",","."))&amp;", p_observacion =&gt; "&amp;IF(TRIM(X624&amp;"")="","NULL","'"&amp;SUBSTITUTE(TRIM(X624),"'","''")&amp;"'")&amp;") AS resultado_balon_"&amp;ROW()&amp;";")</f>
        <v/>
      </c>
    </row>
    <row r="625" ht="15.75" customHeight="1" s="64">
      <c r="A625" s="36" t="inlineStr">
        <is>
          <t>621</t>
        </is>
      </c>
      <c r="B625" s="25">
        <f>IF(AND(C625="",D625="",E625=""),"",IF(C625="","FALTA código balón",IF(D625="","FALTA tipo balón",IF(E625="","FALTA gas",IF(F625="","FALTA propietario",IF(AND(C625&lt;&gt;"",SUMPRODUCT(--($C$5:$C$1200=C625))&gt;1),"CÓDIGO BALÓN DUPLICADO",IF(AND(OR(UPPER(F625)="PLANTA",UPPER(F625)="CLIENTE"),G625=""),"FALTA doc propietario/planta",IF(AND(UPPER(F625)="PLANTA",G625="10175332796"),"PLANTA no puede ser RUC empresa","OK"))))))))</f>
        <v/>
      </c>
      <c r="C625" s="23" t="inlineStr">
        <is>
          <t>20K633010</t>
        </is>
      </c>
      <c r="D625" s="17" t="inlineStr">
        <is>
          <t>Oxígeno Industrial 10 m³</t>
        </is>
      </c>
      <c r="E625" s="17" t="inlineStr">
        <is>
          <t>OXIGENO INDUSTRIAL</t>
        </is>
      </c>
      <c r="F625" s="17" t="inlineStr">
        <is>
          <t>EMPRESA</t>
        </is>
      </c>
      <c r="G625" s="23" t="inlineStr">
        <is>
          <t>10175332796</t>
        </is>
      </c>
      <c r="H625" s="25">
        <f t="array" ref="H625">IF(G625="","",IFERROR(IF(INDEX(Clientes!$D$5:$D$549,MATCH(G625,Clientes!$C$5:$C$549,0))&lt;&gt;"",INDEX(Clientes!$D$5:$D$549,MATCH(G625,Clientes!$C$5:$C$549,0)),TRIM(INDEX(Clientes!$E$5:$E$549,MATCH(G625,Clientes!$C$5:$C$549,0))&amp;" "&amp;INDEX(Clientes!$F$5:$F$549,MATCH(G625,Clientes!$C$5:$C$549,0)))),"NO EXISTE en Clientes"))</f>
        <v/>
      </c>
      <c r="I625" s="17" t="inlineStr">
        <is>
          <t>EN_PODER_CLIENTE</t>
        </is>
      </c>
      <c r="J625" s="17" t="n"/>
      <c r="K625" s="23" t="inlineStr">
        <is>
          <t>10433676349</t>
        </is>
      </c>
      <c r="L625" s="25">
        <f t="array" ref="L625">IF(K625="","",IFERROR(IF(INDEX(Clientes!$D$5:$D$549,MATCH(K625,Clientes!$C$5:$C$549,0))&lt;&gt;"",INDEX(Clientes!$D$5:$D$549,MATCH(K625,Clientes!$C$5:$C$549,0)),TRIM(INDEX(Clientes!$E$5:$E$549,MATCH(K625,Clientes!$C$5:$C$549,0))&amp;" "&amp;INDEX(Clientes!$F$5:$F$549,MATCH(K625,Clientes!$C$5:$C$549,0)))),"NO EXISTE en Clientes"))</f>
        <v/>
      </c>
      <c r="M625" s="17" t="n"/>
      <c r="N625" s="17" t="n"/>
      <c r="O625" s="42" t="n"/>
      <c r="P625" s="39">
        <f>IF(O625&lt;&gt;"",DATE(YEAR(O625)+5,MONTH(O625),1),IF(AND(M625&lt;&gt;"",N625&lt;&gt;""),DATE(M625+5,N625,1),""))</f>
        <v/>
      </c>
      <c r="Q625" s="23" t="n"/>
      <c r="R625" s="17" t="n"/>
      <c r="S625" s="17" t="n"/>
      <c r="T625" s="17" t="n"/>
      <c r="U625" s="17" t="n"/>
      <c r="V625" s="23" t="n"/>
      <c r="W625" s="17" t="n"/>
      <c r="X625" s="17" t="n"/>
      <c r="Y625" s="28">
        <f>IF(B625&lt;&gt;"OK","","SELECT bal_crear_balon(p_codigo_balon =&gt; "&amp;IF(TRIM(C625&amp;"")="","NULL","'"&amp;SUBSTITUTE(TRIM(C625),"'","''")&amp;"'")&amp;", p_id_tipo_balon =&gt; "&amp;"(SELECT id FROM bal_tipo_balon WHERE upper(nombre) = upper('"&amp;SUBSTITUTE(TRIM(D625),"'","''")&amp;"') AND estado = 1 LIMIT 1)"&amp;", p_id_producto_gas =&gt; "&amp;"(SELECT id FROM pro_producto WHERE es_gas = TRUE AND upper(nombre) = upper('"&amp;SUBSTITUTE(TRIM(E625),"'","''")&amp;"') AND estado = 1 LIMIT 1)"&amp;", p_id_propietario =&gt; "&amp;IF(TRIM(F625&amp;"")="","NULL","(SELECT lo.id FROM gen_lista_opciones lo JOIN gen_lista l ON l.id = lo.id_lista WHERE l.nombre = 'PropietarioBalon' AND upper(lo.nombre) = upper('"&amp;SUBSTITUTE(TRIM(F625),"'","''")&amp;"') AND lo.estado = 1 LIMIT 1)")&amp;", p_id_cliente_propietario =&gt; "&amp;IF(F625="CLIENTE",IF(TRIM(G625&amp;"")="","NULL","(SELECT id FROM cli_clientes WHERE numero_documento = '"&amp;SUBSTITUTE(TRIM(G625),"'","''")&amp;"' AND estado = 1 LIMIT 1)"),"NULL")&amp;", p_id_planta =&gt; "&amp;IF(F625="PLANTA",IF(TRIM(G625&amp;"")="","NULL","(SELECT id FROM cli_clientes WHERE numero_documento = '"&amp;SUBSTITUTE(TRIM(G625),"'","''")&amp;"'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"&amp;IF(TRIM(J625&amp;"")="","NULL","(SELECT id FROM gen_almacen WHERE upper(nombre) = upper('"&amp;SUBSTITUTE(TRIM(J625),"'","''")&amp;"') AND estado = 1 LIMIT 1)")&amp;", p_id_cliente_ubicacion =&gt; "&amp;IF(TRIM(K625&amp;"")="","NULL","(SELECT id FROM cli_clientes WHERE numero_documento = '"&amp;SUBSTITUTE(TRIM(K625),"'","''")&amp;"' AND estado = 1 LIMIT 1)")&amp;", p_id_referencia =&gt; "&amp;IF(TRIM(J625&amp;"")&lt;&gt;"","(SELECT lo.id FROM gen_lista_opciones lo JOIN gen_lista l ON l.id = lo.id_lista WHERE l.nombre = 'ReferenciaCilindro' AND upper(lo.nombre) = 'ALMACEN' AND lo.estado = 1 LIMIT 1)",IF(TRIM(K625&amp;"")&lt;&gt;"","(SELECT lo.id FROM gen_lista_opciones lo JOIN gen_lista l ON l.id = lo.id_lista WHERE l.nombre = 'ReferenciaCilindro' AND upper(lo.nombre) = 'CLIENTE' AND lo.estado = 1 LIMIT 1)","NULL"))&amp;", p_anio_fabricacion =&gt; "&amp;IF(M625&amp;""="","NULL::smallint",M625&amp;"::smallint")&amp;", p_mes_fabricacion =&gt; "&amp;IF(N625&amp;""="","NULL::smallint",N625&amp;"::smallint")&amp;", p_fecha_ultima_prueba_hidrostatica =&gt; "&amp;IF(O625&amp;""="","NULL","'"&amp;YEAR(O625)&amp;"-"&amp;TEXT(MONTH(O625),"00")&amp;"-"&amp;TEXT(DAY(O625),"00")&amp;"'")&amp;", p_numero_serie =&gt; "&amp;IF(TRIM(Q625&amp;"")="","NULL","'"&amp;SUBSTITUTE(TRIM(Q625),"'","''")&amp;"'")&amp;", p_id_marca_cilindro =&gt; "&amp;IF(TRIM(R625&amp;"")="","NULL","(SELECT lo.id FROM gen_lista_opciones lo JOIN gen_lista l ON l.id = lo.id_lista WHERE l.nombre = 'MarcaCilindro' AND upper(lo.nombre) = upper('"&amp;SUBSTITUTE(TRIM(R625),"'","''")&amp;"') AND lo.estado = 1 LIMIT 1)")&amp;", p_id_organo_inspector =&gt; "&amp;IF(TRIM(S625&amp;"")="","NULL","(SELECT lo.id FROM gen_lista_opciones lo JOIN gen_lista l ON l.id = lo.id_lista WHERE l.nombre = 'OrganoInspectorCilindro' AND upper(lo.nombre) = upper('"&amp;SUBSTITUTE(TRIM(S625),"'","''")&amp;"') AND lo.estado = 1 LIMIT 1)")&amp;", p_organo_inspector_no_aplica =&gt; "&amp;IF(S625="NO_APLICA","TRUE","FALSE")&amp;", p_presion_actual =&gt; "&amp;IF(T625&amp;""="","NULL",SUBSTITUTE(T625&amp;"",",","."))&amp;", p_tipo_valvula =&gt; "&amp;IF(TRIM(U625&amp;"")="","NULL","'"&amp;SUBSTITUTE(TRIM(U625),"'","''")&amp;"'")&amp;", p_libro_cilindro =&gt; "&amp;IF(TRIM(V625&amp;"")="","NULL","'"&amp;SUBSTITUTE(TRIM(V625),"'","''")&amp;"'")&amp;", p_pagina_libro =&gt; "&amp;IF(W625&amp;""="","NULL",SUBSTITUTE(W625&amp;"",",","."))&amp;", p_observacion =&gt; "&amp;IF(TRIM(X625&amp;"")="","NULL","'"&amp;SUBSTITUTE(TRIM(X625),"'","''")&amp;"'")&amp;") AS resultado_balon_"&amp;ROW()&amp;";")</f>
        <v/>
      </c>
    </row>
    <row r="626" ht="15.75" customHeight="1" s="64">
      <c r="A626" s="36" t="inlineStr">
        <is>
          <t>622</t>
        </is>
      </c>
      <c r="B626" s="25">
        <f>IF(AND(C626="",D626="",E626=""),"",IF(C626="","FALTA código balón",IF(D626="","FALTA tipo balón",IF(E626="","FALTA gas",IF(F626="","FALTA propietario",IF(AND(C626&lt;&gt;"",SUMPRODUCT(--($C$5:$C$1200=C626))&gt;1),"CÓDIGO BALÓN DUPLICADO",IF(AND(OR(UPPER(F626)="PLANTA",UPPER(F626)="CLIENTE"),G626=""),"FALTA doc propietario/planta",IF(AND(UPPER(F626)="PLANTA",G626="10175332796"),"PLANTA no puede ser RUC empresa","OK"))))))))</f>
        <v/>
      </c>
      <c r="C626" s="23" t="inlineStr">
        <is>
          <t>214963</t>
        </is>
      </c>
      <c r="D626" s="17" t="inlineStr">
        <is>
          <t>Oxígeno Industrial 6 m³</t>
        </is>
      </c>
      <c r="E626" s="17" t="inlineStr">
        <is>
          <t>OXIGENO INDUSTRIAL</t>
        </is>
      </c>
      <c r="F626" s="17" t="inlineStr">
        <is>
          <t>EMPRESA</t>
        </is>
      </c>
      <c r="G626" s="23" t="inlineStr">
        <is>
          <t>10175332796</t>
        </is>
      </c>
      <c r="H626" s="25">
        <f t="array" ref="H626">IF(G626="","",IFERROR(IF(INDEX(Clientes!$D$5:$D$549,MATCH(G626,Clientes!$C$5:$C$549,0))&lt;&gt;"",INDEX(Clientes!$D$5:$D$549,MATCH(G626,Clientes!$C$5:$C$549,0)),TRIM(INDEX(Clientes!$E$5:$E$549,MATCH(G626,Clientes!$C$5:$C$549,0))&amp;" "&amp;INDEX(Clientes!$F$5:$F$549,MATCH(G626,Clientes!$C$5:$C$549,0)))),"NO EXISTE en Clientes"))</f>
        <v/>
      </c>
      <c r="I626" s="17" t="inlineStr">
        <is>
          <t>EN_PODER_CLIENTE</t>
        </is>
      </c>
      <c r="J626" s="17" t="n"/>
      <c r="K626" s="23" t="inlineStr">
        <is>
          <t>42781779</t>
        </is>
      </c>
      <c r="L626" s="25">
        <f t="array" ref="L626">IF(K626="","",IFERROR(IF(INDEX(Clientes!$D$5:$D$549,MATCH(K626,Clientes!$C$5:$C$549,0))&lt;&gt;"",INDEX(Clientes!$D$5:$D$549,MATCH(K626,Clientes!$C$5:$C$549,0)),TRIM(INDEX(Clientes!$E$5:$E$549,MATCH(K626,Clientes!$C$5:$C$549,0))&amp;" "&amp;INDEX(Clientes!$F$5:$F$549,MATCH(K626,Clientes!$C$5:$C$549,0)))),"NO EXISTE en Clientes"))</f>
        <v/>
      </c>
      <c r="M626" s="17" t="n"/>
      <c r="N626" s="17" t="n"/>
      <c r="O626" s="42" t="n"/>
      <c r="P626" s="39">
        <f>IF(O626&lt;&gt;"",DATE(YEAR(O626)+5,MONTH(O626),1),IF(AND(M626&lt;&gt;"",N626&lt;&gt;""),DATE(M626+5,N626,1),""))</f>
        <v/>
      </c>
      <c r="Q626" s="23" t="n"/>
      <c r="R626" s="17" t="n"/>
      <c r="S626" s="17" t="n"/>
      <c r="T626" s="17" t="n"/>
      <c r="U626" s="17" t="n"/>
      <c r="V626" s="23" t="n"/>
      <c r="W626" s="17" t="n"/>
      <c r="X626" s="17" t="n"/>
      <c r="Y626" s="28">
        <f>IF(B626&lt;&gt;"OK","","SELECT bal_crear_balon(p_codigo_balon =&gt; "&amp;IF(TRIM(C626&amp;"")="","NULL","'"&amp;SUBSTITUTE(TRIM(C626),"'","''")&amp;"'")&amp;", p_id_tipo_balon =&gt; "&amp;"(SELECT id FROM bal_tipo_balon WHERE upper(nombre) = upper('"&amp;SUBSTITUTE(TRIM(D626),"'","''")&amp;"') AND estado = 1 LIMIT 1)"&amp;", p_id_producto_gas =&gt; "&amp;"(SELECT id FROM pro_producto WHERE es_gas = TRUE AND upper(nombre) = upper('"&amp;SUBSTITUTE(TRIM(E626),"'","''")&amp;"') AND estado = 1 LIMIT 1)"&amp;", p_id_propietario =&gt; "&amp;IF(TRIM(F626&amp;"")="","NULL","(SELECT lo.id FROM gen_lista_opciones lo JOIN gen_lista l ON l.id = lo.id_lista WHERE l.nombre = 'PropietarioBalon' AND upper(lo.nombre) = upper('"&amp;SUBSTITUTE(TRIM(F626),"'","''")&amp;"') AND lo.estado = 1 LIMIT 1)")&amp;", p_id_cliente_propietario =&gt; "&amp;IF(F626="CLIENTE",IF(TRIM(G626&amp;"")="","NULL","(SELECT id FROM cli_clientes WHERE numero_documento = '"&amp;SUBSTITUTE(TRIM(G626),"'","''")&amp;"' AND estado = 1 LIMIT 1)"),"NULL")&amp;", p_id_planta =&gt; "&amp;IF(F626="PLANTA",IF(TRIM(G626&amp;"")="","NULL","(SELECT id FROM cli_clientes WHERE numero_documento = '"&amp;SUBSTITUTE(TRIM(G626),"'","''")&amp;"'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"&amp;IF(TRIM(J626&amp;"")="","NULL","(SELECT id FROM gen_almacen WHERE upper(nombre) = upper('"&amp;SUBSTITUTE(TRIM(J626),"'","''")&amp;"') AND estado = 1 LIMIT 1)")&amp;", p_id_cliente_ubicacion =&gt; "&amp;IF(TRIM(K626&amp;"")="","NULL","(SELECT id FROM cli_clientes WHERE numero_documento = '"&amp;SUBSTITUTE(TRIM(K626),"'","''")&amp;"' AND estado = 1 LIMIT 1)")&amp;", p_id_referencia =&gt; "&amp;IF(TRIM(J626&amp;"")&lt;&gt;"","(SELECT lo.id FROM gen_lista_opciones lo JOIN gen_lista l ON l.id = lo.id_lista WHERE l.nombre = 'ReferenciaCilindro' AND upper(lo.nombre) = 'ALMACEN' AND lo.estado = 1 LIMIT 1)",IF(TRIM(K626&amp;"")&lt;&gt;"","(SELECT lo.id FROM gen_lista_opciones lo JOIN gen_lista l ON l.id = lo.id_lista WHERE l.nombre = 'ReferenciaCilindro' AND upper(lo.nombre) = 'CLIENTE' AND lo.estado = 1 LIMIT 1)","NULL"))&amp;", p_anio_fabricacion =&gt; "&amp;IF(M626&amp;""="","NULL::smallint",M626&amp;"::smallint")&amp;", p_mes_fabricacion =&gt; "&amp;IF(N626&amp;""="","NULL::smallint",N626&amp;"::smallint")&amp;", p_fecha_ultima_prueba_hidrostatica =&gt; "&amp;IF(O626&amp;""="","NULL","'"&amp;YEAR(O626)&amp;"-"&amp;TEXT(MONTH(O626),"00")&amp;"-"&amp;TEXT(DAY(O626),"00")&amp;"'")&amp;", p_numero_serie =&gt; "&amp;IF(TRIM(Q626&amp;"")="","NULL","'"&amp;SUBSTITUTE(TRIM(Q626),"'","''")&amp;"'")&amp;", p_id_marca_cilindro =&gt; "&amp;IF(TRIM(R626&amp;"")="","NULL","(SELECT lo.id FROM gen_lista_opciones lo JOIN gen_lista l ON l.id = lo.id_lista WHERE l.nombre = 'MarcaCilindro' AND upper(lo.nombre) = upper('"&amp;SUBSTITUTE(TRIM(R626),"'","''")&amp;"') AND lo.estado = 1 LIMIT 1)")&amp;", p_id_organo_inspector =&gt; "&amp;IF(TRIM(S626&amp;"")="","NULL","(SELECT lo.id FROM gen_lista_opciones lo JOIN gen_lista l ON l.id = lo.id_lista WHERE l.nombre = 'OrganoInspectorCilindro' AND upper(lo.nombre) = upper('"&amp;SUBSTITUTE(TRIM(S626),"'","''")&amp;"') AND lo.estado = 1 LIMIT 1)")&amp;", p_organo_inspector_no_aplica =&gt; "&amp;IF(S626="NO_APLICA","TRUE","FALSE")&amp;", p_presion_actual =&gt; "&amp;IF(T626&amp;""="","NULL",SUBSTITUTE(T626&amp;"",",","."))&amp;", p_tipo_valvula =&gt; "&amp;IF(TRIM(U626&amp;"")="","NULL","'"&amp;SUBSTITUTE(TRIM(U626),"'","''")&amp;"'")&amp;", p_libro_cilindro =&gt; "&amp;IF(TRIM(V626&amp;"")="","NULL","'"&amp;SUBSTITUTE(TRIM(V626),"'","''")&amp;"'")&amp;", p_pagina_libro =&gt; "&amp;IF(W626&amp;""="","NULL",SUBSTITUTE(W626&amp;"",",","."))&amp;", p_observacion =&gt; "&amp;IF(TRIM(X626&amp;"")="","NULL","'"&amp;SUBSTITUTE(TRIM(X626),"'","''")&amp;"'")&amp;") AS resultado_balon_"&amp;ROW()&amp;";")</f>
        <v/>
      </c>
    </row>
    <row r="627" ht="15.75" customHeight="1" s="64">
      <c r="A627" s="36" t="inlineStr">
        <is>
          <t>623</t>
        </is>
      </c>
      <c r="B627" s="25">
        <f>IF(AND(C627="",D627="",E627=""),"",IF(C627="","FALTA código balón",IF(D627="","FALTA tipo balón",IF(E627="","FALTA gas",IF(F627="","FALTA propietario",IF(AND(C627&lt;&gt;"",SUMPRODUCT(--($C$5:$C$1200=C627))&gt;1),"CÓDIGO BALÓN DUPLICADO",IF(AND(OR(UPPER(F627)="PLANTA",UPPER(F627)="CLIENTE"),G627=""),"FALTA doc propietario/planta",IF(AND(UPPER(F627)="PLANTA",G627="10175332796"),"PLANTA no puede ser RUC empresa","OK"))))))))</f>
        <v/>
      </c>
      <c r="C627" s="23" t="inlineStr">
        <is>
          <t>YA20Y334177</t>
        </is>
      </c>
      <c r="D627" s="17" t="inlineStr">
        <is>
          <t>Oxígeno Industrial 10 m³</t>
        </is>
      </c>
      <c r="E627" s="17" t="inlineStr">
        <is>
          <t>OXIGENO INDUSTRIAL</t>
        </is>
      </c>
      <c r="F627" s="17" t="inlineStr">
        <is>
          <t>EMPRESA</t>
        </is>
      </c>
      <c r="G627" s="23" t="inlineStr">
        <is>
          <t>10175332796</t>
        </is>
      </c>
      <c r="H627" s="25">
        <f t="array" ref="H627">IF(G627="","",IFERROR(IF(INDEX(Clientes!$D$5:$D$549,MATCH(G627,Clientes!$C$5:$C$549,0))&lt;&gt;"",INDEX(Clientes!$D$5:$D$549,MATCH(G627,Clientes!$C$5:$C$549,0)),TRIM(INDEX(Clientes!$E$5:$E$549,MATCH(G627,Clientes!$C$5:$C$549,0))&amp;" "&amp;INDEX(Clientes!$F$5:$F$549,MATCH(G627,Clientes!$C$5:$C$549,0)))),"NO EXISTE en Clientes"))</f>
        <v/>
      </c>
      <c r="I627" s="17" t="inlineStr">
        <is>
          <t>EN_PODER_CLIENTE</t>
        </is>
      </c>
      <c r="J627" s="17" t="n"/>
      <c r="K627" s="23" t="inlineStr">
        <is>
          <t>43626737</t>
        </is>
      </c>
      <c r="L627" s="25">
        <f t="array" ref="L627">IF(K627="","",IFERROR(IF(INDEX(Clientes!$D$5:$D$549,MATCH(K627,Clientes!$C$5:$C$549,0))&lt;&gt;"",INDEX(Clientes!$D$5:$D$549,MATCH(K627,Clientes!$C$5:$C$549,0)),TRIM(INDEX(Clientes!$E$5:$E$549,MATCH(K627,Clientes!$C$5:$C$549,0))&amp;" "&amp;INDEX(Clientes!$F$5:$F$549,MATCH(K627,Clientes!$C$5:$C$549,0)))),"NO EXISTE en Clientes"))</f>
        <v/>
      </c>
      <c r="M627" s="17" t="n"/>
      <c r="N627" s="17" t="n"/>
      <c r="O627" s="42" t="n"/>
      <c r="P627" s="39">
        <f>IF(O627&lt;&gt;"",DATE(YEAR(O627)+5,MONTH(O627),1),IF(AND(M627&lt;&gt;"",N627&lt;&gt;""),DATE(M627+5,N627,1),""))</f>
        <v/>
      </c>
      <c r="Q627" s="23" t="n"/>
      <c r="R627" s="17" t="n"/>
      <c r="S627" s="17" t="n"/>
      <c r="T627" s="17" t="n"/>
      <c r="U627" s="17" t="n"/>
      <c r="V627" s="23" t="n"/>
      <c r="W627" s="17" t="n"/>
      <c r="X627" s="17" t="n"/>
      <c r="Y627" s="28">
        <f>IF(B627&lt;&gt;"OK","","SELECT bal_crear_balon(p_codigo_balon =&gt; "&amp;IF(TRIM(C627&amp;"")="","NULL","'"&amp;SUBSTITUTE(TRIM(C627),"'","''")&amp;"'")&amp;", p_id_tipo_balon =&gt; "&amp;"(SELECT id FROM bal_tipo_balon WHERE upper(nombre) = upper('"&amp;SUBSTITUTE(TRIM(D627),"'","''")&amp;"') AND estado = 1 LIMIT 1)"&amp;", p_id_producto_gas =&gt; "&amp;"(SELECT id FROM pro_producto WHERE es_gas = TRUE AND upper(nombre) = upper('"&amp;SUBSTITUTE(TRIM(E627),"'","''")&amp;"') AND estado = 1 LIMIT 1)"&amp;", p_id_propietario =&gt; "&amp;IF(TRIM(F627&amp;"")="","NULL","(SELECT lo.id FROM gen_lista_opciones lo JOIN gen_lista l ON l.id = lo.id_lista WHERE l.nombre = 'PropietarioBalon' AND upper(lo.nombre) = upper('"&amp;SUBSTITUTE(TRIM(F627),"'","''")&amp;"') AND lo.estado = 1 LIMIT 1)")&amp;", p_id_cliente_propietario =&gt; "&amp;IF(F627="CLIENTE",IF(TRIM(G627&amp;"")="","NULL","(SELECT id FROM cli_clientes WHERE numero_documento = '"&amp;SUBSTITUTE(TRIM(G627),"'","''")&amp;"' AND estado = 1 LIMIT 1)"),"NULL")&amp;", p_id_planta =&gt; "&amp;IF(F627="PLANTA",IF(TRIM(G627&amp;"")="","NULL","(SELECT id FROM cli_clientes WHERE numero_documento = '"&amp;SUBSTITUTE(TRIM(G627),"'","''")&amp;"'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"&amp;IF(TRIM(J627&amp;"")="","NULL","(SELECT id FROM gen_almacen WHERE upper(nombre) = upper('"&amp;SUBSTITUTE(TRIM(J627),"'","''")&amp;"') AND estado = 1 LIMIT 1)")&amp;", p_id_cliente_ubicacion =&gt; "&amp;IF(TRIM(K627&amp;"")="","NULL","(SELECT id FROM cli_clientes WHERE numero_documento = '"&amp;SUBSTITUTE(TRIM(K627),"'","''")&amp;"' AND estado = 1 LIMIT 1)")&amp;", p_id_referencia =&gt; "&amp;IF(TRIM(J627&amp;"")&lt;&gt;"","(SELECT lo.id FROM gen_lista_opciones lo JOIN gen_lista l ON l.id = lo.id_lista WHERE l.nombre = 'ReferenciaCilindro' AND upper(lo.nombre) = 'ALMACEN' AND lo.estado = 1 LIMIT 1)",IF(TRIM(K627&amp;"")&lt;&gt;"","(SELECT lo.id FROM gen_lista_opciones lo JOIN gen_lista l ON l.id = lo.id_lista WHERE l.nombre = 'ReferenciaCilindro' AND upper(lo.nombre) = 'CLIENTE' AND lo.estado = 1 LIMIT 1)","NULL"))&amp;", p_anio_fabricacion =&gt; "&amp;IF(M627&amp;""="","NULL::smallint",M627&amp;"::smallint")&amp;", p_mes_fabricacion =&gt; "&amp;IF(N627&amp;""="","NULL::smallint",N627&amp;"::smallint")&amp;", p_fecha_ultima_prueba_hidrostatica =&gt; "&amp;IF(O627&amp;""="","NULL","'"&amp;YEAR(O627)&amp;"-"&amp;TEXT(MONTH(O627),"00")&amp;"-"&amp;TEXT(DAY(O627),"00")&amp;"'")&amp;", p_numero_serie =&gt; "&amp;IF(TRIM(Q627&amp;"")="","NULL","'"&amp;SUBSTITUTE(TRIM(Q627),"'","''")&amp;"'")&amp;", p_id_marca_cilindro =&gt; "&amp;IF(TRIM(R627&amp;"")="","NULL","(SELECT lo.id FROM gen_lista_opciones lo JOIN gen_lista l ON l.id = lo.id_lista WHERE l.nombre = 'MarcaCilindro' AND upper(lo.nombre) = upper('"&amp;SUBSTITUTE(TRIM(R627),"'","''")&amp;"') AND lo.estado = 1 LIMIT 1)")&amp;", p_id_organo_inspector =&gt; "&amp;IF(TRIM(S627&amp;"")="","NULL","(SELECT lo.id FROM gen_lista_opciones lo JOIN gen_lista l ON l.id = lo.id_lista WHERE l.nombre = 'OrganoInspectorCilindro' AND upper(lo.nombre) = upper('"&amp;SUBSTITUTE(TRIM(S627),"'","''")&amp;"') AND lo.estado = 1 LIMIT 1)")&amp;", p_organo_inspector_no_aplica =&gt; "&amp;IF(S627="NO_APLICA","TRUE","FALSE")&amp;", p_presion_actual =&gt; "&amp;IF(T627&amp;""="","NULL",SUBSTITUTE(T627&amp;"",",","."))&amp;", p_tipo_valvula =&gt; "&amp;IF(TRIM(U627&amp;"")="","NULL","'"&amp;SUBSTITUTE(TRIM(U627),"'","''")&amp;"'")&amp;", p_libro_cilindro =&gt; "&amp;IF(TRIM(V627&amp;"")="","NULL","'"&amp;SUBSTITUTE(TRIM(V627),"'","''")&amp;"'")&amp;", p_pagina_libro =&gt; "&amp;IF(W627&amp;""="","NULL",SUBSTITUTE(W627&amp;"",",","."))&amp;", p_observacion =&gt; "&amp;IF(TRIM(X627&amp;"")="","NULL","'"&amp;SUBSTITUTE(TRIM(X627),"'","''")&amp;"'")&amp;") AS resultado_balon_"&amp;ROW()&amp;";")</f>
        <v/>
      </c>
    </row>
    <row r="628" ht="15.75" customHeight="1" s="64">
      <c r="A628" s="36" t="inlineStr">
        <is>
          <t>624</t>
        </is>
      </c>
      <c r="B628" s="25">
        <f>IF(AND(C628="",D628="",E628=""),"",IF(C628="","FALTA código balón",IF(D628="","FALTA tipo balón",IF(E628="","FALTA gas",IF(F628="","FALTA propietario",IF(AND(C628&lt;&gt;"",SUMPRODUCT(--($C$5:$C$1200=C628))&gt;1),"CÓDIGO BALÓN DUPLICADO",IF(AND(OR(UPPER(F628)="PLANTA",UPPER(F628)="CLIENTE"),G628=""),"FALTA doc propietario/planta",IF(AND(UPPER(F628)="PLANTA",G628="10175332796"),"PLANTA no puede ser RUC empresa","OK"))))))))</f>
        <v/>
      </c>
      <c r="C628" s="23" t="inlineStr">
        <is>
          <t>K4852160</t>
        </is>
      </c>
      <c r="D628" s="17" t="inlineStr">
        <is>
          <t>Oxígeno Industrial 10 m³</t>
        </is>
      </c>
      <c r="E628" s="17" t="inlineStr">
        <is>
          <t>OXIGENO INDUSTRIAL</t>
        </is>
      </c>
      <c r="F628" s="17" t="inlineStr">
        <is>
          <t>EMPRESA</t>
        </is>
      </c>
      <c r="G628" s="23" t="inlineStr">
        <is>
          <t>10175332796</t>
        </is>
      </c>
      <c r="H628" s="25">
        <f t="array" ref="H628">IF(G628="","",IFERROR(IF(INDEX(Clientes!$D$5:$D$549,MATCH(G628,Clientes!$C$5:$C$549,0))&lt;&gt;"",INDEX(Clientes!$D$5:$D$549,MATCH(G628,Clientes!$C$5:$C$549,0)),TRIM(INDEX(Clientes!$E$5:$E$549,MATCH(G628,Clientes!$C$5:$C$549,0))&amp;" "&amp;INDEX(Clientes!$F$5:$F$549,MATCH(G628,Clientes!$C$5:$C$549,0)))),"NO EXISTE en Clientes"))</f>
        <v/>
      </c>
      <c r="I628" s="17" t="inlineStr">
        <is>
          <t>EN_PODER_CLIENTE</t>
        </is>
      </c>
      <c r="J628" s="17" t="n"/>
      <c r="K628" s="23" t="inlineStr">
        <is>
          <t>43626737</t>
        </is>
      </c>
      <c r="L628" s="25">
        <f t="array" ref="L628">IF(K628="","",IFERROR(IF(INDEX(Clientes!$D$5:$D$549,MATCH(K628,Clientes!$C$5:$C$549,0))&lt;&gt;"",INDEX(Clientes!$D$5:$D$549,MATCH(K628,Clientes!$C$5:$C$549,0)),TRIM(INDEX(Clientes!$E$5:$E$549,MATCH(K628,Clientes!$C$5:$C$549,0))&amp;" "&amp;INDEX(Clientes!$F$5:$F$549,MATCH(K628,Clientes!$C$5:$C$549,0)))),"NO EXISTE en Clientes"))</f>
        <v/>
      </c>
      <c r="M628" s="17" t="n"/>
      <c r="N628" s="17" t="n"/>
      <c r="O628" s="42" t="n"/>
      <c r="P628" s="39">
        <f>IF(O628&lt;&gt;"",DATE(YEAR(O628)+5,MONTH(O628),1),IF(AND(M628&lt;&gt;"",N628&lt;&gt;""),DATE(M628+5,N628,1),""))</f>
        <v/>
      </c>
      <c r="Q628" s="23" t="n"/>
      <c r="R628" s="17" t="n"/>
      <c r="S628" s="17" t="n"/>
      <c r="T628" s="17" t="n"/>
      <c r="U628" s="17" t="n"/>
      <c r="V628" s="23" t="n"/>
      <c r="W628" s="17" t="n"/>
      <c r="X628" s="17" t="n"/>
      <c r="Y628" s="28">
        <f>IF(B628&lt;&gt;"OK","","SELECT bal_crear_balon(p_codigo_balon =&gt; "&amp;IF(TRIM(C628&amp;"")="","NULL","'"&amp;SUBSTITUTE(TRIM(C628),"'","''")&amp;"'")&amp;", p_id_tipo_balon =&gt; "&amp;"(SELECT id FROM bal_tipo_balon WHERE upper(nombre) = upper('"&amp;SUBSTITUTE(TRIM(D628),"'","''")&amp;"') AND estado = 1 LIMIT 1)"&amp;", p_id_producto_gas =&gt; "&amp;"(SELECT id FROM pro_producto WHERE es_gas = TRUE AND upper(nombre) = upper('"&amp;SUBSTITUTE(TRIM(E628),"'","''")&amp;"') AND estado = 1 LIMIT 1)"&amp;", p_id_propietario =&gt; "&amp;IF(TRIM(F628&amp;"")="","NULL","(SELECT lo.id FROM gen_lista_opciones lo JOIN gen_lista l ON l.id = lo.id_lista WHERE l.nombre = 'PropietarioBalon' AND upper(lo.nombre) = upper('"&amp;SUBSTITUTE(TRIM(F628),"'","''")&amp;"') AND lo.estado = 1 LIMIT 1)")&amp;", p_id_cliente_propietario =&gt; "&amp;IF(F628="CLIENTE",IF(TRIM(G628&amp;"")="","NULL","(SELECT id FROM cli_clientes WHERE numero_documento = '"&amp;SUBSTITUTE(TRIM(G628),"'","''")&amp;"' AND estado = 1 LIMIT 1)"),"NULL")&amp;", p_id_planta =&gt; "&amp;IF(F628="PLANTA",IF(TRIM(G628&amp;"")="","NULL","(SELECT id FROM cli_clientes WHERE numero_documento = '"&amp;SUBSTITUTE(TRIM(G628),"'","''")&amp;"'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"&amp;IF(TRIM(J628&amp;"")="","NULL","(SELECT id FROM gen_almacen WHERE upper(nombre) = upper('"&amp;SUBSTITUTE(TRIM(J628),"'","''")&amp;"') AND estado = 1 LIMIT 1)")&amp;", p_id_cliente_ubicacion =&gt; "&amp;IF(TRIM(K628&amp;"")="","NULL","(SELECT id FROM cli_clientes WHERE numero_documento = '"&amp;SUBSTITUTE(TRIM(K628),"'","''")&amp;"' AND estado = 1 LIMIT 1)")&amp;", p_id_referencia =&gt; "&amp;IF(TRIM(J628&amp;"")&lt;&gt;"","(SELECT lo.id FROM gen_lista_opciones lo JOIN gen_lista l ON l.id = lo.id_lista WHERE l.nombre = 'ReferenciaCilindro' AND upper(lo.nombre) = 'ALMACEN' AND lo.estado = 1 LIMIT 1)",IF(TRIM(K628&amp;"")&lt;&gt;"","(SELECT lo.id FROM gen_lista_opciones lo JOIN gen_lista l ON l.id = lo.id_lista WHERE l.nombre = 'ReferenciaCilindro' AND upper(lo.nombre) = 'CLIENTE' AND lo.estado = 1 LIMIT 1)","NULL"))&amp;", p_anio_fabricacion =&gt; "&amp;IF(M628&amp;""="","NULL::smallint",M628&amp;"::smallint")&amp;", p_mes_fabricacion =&gt; "&amp;IF(N628&amp;""="","NULL::smallint",N628&amp;"::smallint")&amp;", p_fecha_ultima_prueba_hidrostatica =&gt; "&amp;IF(O628&amp;""="","NULL","'"&amp;YEAR(O628)&amp;"-"&amp;TEXT(MONTH(O628),"00")&amp;"-"&amp;TEXT(DAY(O628),"00")&amp;"'")&amp;", p_numero_serie =&gt; "&amp;IF(TRIM(Q628&amp;"")="","NULL","'"&amp;SUBSTITUTE(TRIM(Q628),"'","''")&amp;"'")&amp;", p_id_marca_cilindro =&gt; "&amp;IF(TRIM(R628&amp;"")="","NULL","(SELECT lo.id FROM gen_lista_opciones lo JOIN gen_lista l ON l.id = lo.id_lista WHERE l.nombre = 'MarcaCilindro' AND upper(lo.nombre) = upper('"&amp;SUBSTITUTE(TRIM(R628),"'","''")&amp;"') AND lo.estado = 1 LIMIT 1)")&amp;", p_id_organo_inspector =&gt; "&amp;IF(TRIM(S628&amp;"")="","NULL","(SELECT lo.id FROM gen_lista_opciones lo JOIN gen_lista l ON l.id = lo.id_lista WHERE l.nombre = 'OrganoInspectorCilindro' AND upper(lo.nombre) = upper('"&amp;SUBSTITUTE(TRIM(S628),"'","''")&amp;"') AND lo.estado = 1 LIMIT 1)")&amp;", p_organo_inspector_no_aplica =&gt; "&amp;IF(S628="NO_APLICA","TRUE","FALSE")&amp;", p_presion_actual =&gt; "&amp;IF(T628&amp;""="","NULL",SUBSTITUTE(T628&amp;"",",","."))&amp;", p_tipo_valvula =&gt; "&amp;IF(TRIM(U628&amp;"")="","NULL","'"&amp;SUBSTITUTE(TRIM(U628),"'","''")&amp;"'")&amp;", p_libro_cilindro =&gt; "&amp;IF(TRIM(V628&amp;"")="","NULL","'"&amp;SUBSTITUTE(TRIM(V628),"'","''")&amp;"'")&amp;", p_pagina_libro =&gt; "&amp;IF(W628&amp;""="","NULL",SUBSTITUTE(W628&amp;"",",","."))&amp;", p_observacion =&gt; "&amp;IF(TRIM(X628&amp;"")="","NULL","'"&amp;SUBSTITUTE(TRIM(X628),"'","''")&amp;"'")&amp;") AS resultado_balon_"&amp;ROW()&amp;";")</f>
        <v/>
      </c>
    </row>
    <row r="629" ht="15.75" customHeight="1" s="64">
      <c r="A629" s="36" t="inlineStr">
        <is>
          <t>625</t>
        </is>
      </c>
      <c r="B629" s="25">
        <f>IF(AND(C629="",D629="",E629=""),"",IF(C629="","FALTA código balón",IF(D629="","FALTA tipo balón",IF(E629="","FALTA gas",IF(F629="","FALTA propietario",IF(AND(C629&lt;&gt;"",SUMPRODUCT(--($C$5:$C$1200=C629))&gt;1),"CÓDIGO BALÓN DUPLICADO",IF(AND(OR(UPPER(F629)="PLANTA",UPPER(F629)="CLIENTE"),G629=""),"FALTA doc propietario/planta",IF(AND(UPPER(F629)="PLANTA",G629="10175332796"),"PLANTA no puede ser RUC empresa","OK"))))))))</f>
        <v/>
      </c>
      <c r="C629" s="23" t="inlineStr">
        <is>
          <t>303180</t>
        </is>
      </c>
      <c r="D629" s="17" t="inlineStr">
        <is>
          <t>Oxígeno Industrial 6 m³</t>
        </is>
      </c>
      <c r="E629" s="17" t="inlineStr">
        <is>
          <t>OXIGENO INDUSTRIAL</t>
        </is>
      </c>
      <c r="F629" s="17" t="inlineStr">
        <is>
          <t>EMPRESA</t>
        </is>
      </c>
      <c r="G629" s="23" t="inlineStr">
        <is>
          <t>10175332796</t>
        </is>
      </c>
      <c r="H629" s="25">
        <f t="array" ref="H629">IF(G629="","",IFERROR(IF(INDEX(Clientes!$D$5:$D$549,MATCH(G629,Clientes!$C$5:$C$549,0))&lt;&gt;"",INDEX(Clientes!$D$5:$D$549,MATCH(G629,Clientes!$C$5:$C$549,0)),TRIM(INDEX(Clientes!$E$5:$E$549,MATCH(G629,Clientes!$C$5:$C$549,0))&amp;" "&amp;INDEX(Clientes!$F$5:$F$549,MATCH(G629,Clientes!$C$5:$C$549,0)))),"NO EXISTE en Clientes"))</f>
        <v/>
      </c>
      <c r="I629" s="17" t="inlineStr">
        <is>
          <t>EN_PODER_CLIENTE</t>
        </is>
      </c>
      <c r="J629" s="17" t="n"/>
      <c r="K629" s="23" t="inlineStr">
        <is>
          <t>16413826</t>
        </is>
      </c>
      <c r="L629" s="25">
        <f t="array" ref="L629">IF(K629="","",IFERROR(IF(INDEX(Clientes!$D$5:$D$549,MATCH(K629,Clientes!$C$5:$C$549,0))&lt;&gt;"",INDEX(Clientes!$D$5:$D$549,MATCH(K629,Clientes!$C$5:$C$549,0)),TRIM(INDEX(Clientes!$E$5:$E$549,MATCH(K629,Clientes!$C$5:$C$549,0))&amp;" "&amp;INDEX(Clientes!$F$5:$F$549,MATCH(K629,Clientes!$C$5:$C$549,0)))),"NO EXISTE en Clientes"))</f>
        <v/>
      </c>
      <c r="M629" s="17" t="n"/>
      <c r="N629" s="17" t="n"/>
      <c r="O629" s="42" t="n"/>
      <c r="P629" s="39">
        <f>IF(O629&lt;&gt;"",DATE(YEAR(O629)+5,MONTH(O629),1),IF(AND(M629&lt;&gt;"",N629&lt;&gt;""),DATE(M629+5,N629,1),""))</f>
        <v/>
      </c>
      <c r="Q629" s="23" t="n"/>
      <c r="R629" s="17" t="n"/>
      <c r="S629" s="17" t="n"/>
      <c r="T629" s="17" t="n"/>
      <c r="U629" s="17" t="n"/>
      <c r="V629" s="23" t="n"/>
      <c r="W629" s="17" t="n"/>
      <c r="X629" s="17" t="n"/>
      <c r="Y629" s="28">
        <f>IF(B629&lt;&gt;"OK","","SELECT bal_crear_balon(p_codigo_balon =&gt; "&amp;IF(TRIM(C629&amp;"")="","NULL","'"&amp;SUBSTITUTE(TRIM(C629),"'","''")&amp;"'")&amp;", p_id_tipo_balon =&gt; "&amp;"(SELECT id FROM bal_tipo_balon WHERE upper(nombre) = upper('"&amp;SUBSTITUTE(TRIM(D629),"'","''")&amp;"') AND estado = 1 LIMIT 1)"&amp;", p_id_producto_gas =&gt; "&amp;"(SELECT id FROM pro_producto WHERE es_gas = TRUE AND upper(nombre) = upper('"&amp;SUBSTITUTE(TRIM(E629),"'","''")&amp;"') AND estado = 1 LIMIT 1)"&amp;", p_id_propietario =&gt; "&amp;IF(TRIM(F629&amp;"")="","NULL","(SELECT lo.id FROM gen_lista_opciones lo JOIN gen_lista l ON l.id = lo.id_lista WHERE l.nombre = 'PropietarioBalon' AND upper(lo.nombre) = upper('"&amp;SUBSTITUTE(TRIM(F629),"'","''")&amp;"') AND lo.estado = 1 LIMIT 1)")&amp;", p_id_cliente_propietario =&gt; "&amp;IF(F629="CLIENTE",IF(TRIM(G629&amp;"")="","NULL","(SELECT id FROM cli_clientes WHERE numero_documento = '"&amp;SUBSTITUTE(TRIM(G629),"'","''")&amp;"' AND estado = 1 LIMIT 1)"),"NULL")&amp;", p_id_planta =&gt; "&amp;IF(F629="PLANTA",IF(TRIM(G629&amp;"")="","NULL","(SELECT id FROM cli_clientes WHERE numero_documento = '"&amp;SUBSTITUTE(TRIM(G629),"'","''")&amp;"'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"&amp;IF(TRIM(J629&amp;"")="","NULL","(SELECT id FROM gen_almacen WHERE upper(nombre) = upper('"&amp;SUBSTITUTE(TRIM(J629),"'","''")&amp;"') AND estado = 1 LIMIT 1)")&amp;", p_id_cliente_ubicacion =&gt; "&amp;IF(TRIM(K629&amp;"")="","NULL","(SELECT id FROM cli_clientes WHERE numero_documento = '"&amp;SUBSTITUTE(TRIM(K629),"'","''")&amp;"' AND estado = 1 LIMIT 1)")&amp;", p_id_referencia =&gt; "&amp;IF(TRIM(J629&amp;"")&lt;&gt;"","(SELECT lo.id FROM gen_lista_opciones lo JOIN gen_lista l ON l.id = lo.id_lista WHERE l.nombre = 'ReferenciaCilindro' AND upper(lo.nombre) = 'ALMACEN' AND lo.estado = 1 LIMIT 1)",IF(TRIM(K629&amp;"")&lt;&gt;"","(SELECT lo.id FROM gen_lista_opciones lo JOIN gen_lista l ON l.id = lo.id_lista WHERE l.nombre = 'ReferenciaCilindro' AND upper(lo.nombre) = 'CLIENTE' AND lo.estado = 1 LIMIT 1)","NULL"))&amp;", p_anio_fabricacion =&gt; "&amp;IF(M629&amp;""="","NULL::smallint",M629&amp;"::smallint")&amp;", p_mes_fabricacion =&gt; "&amp;IF(N629&amp;""="","NULL::smallint",N629&amp;"::smallint")&amp;", p_fecha_ultima_prueba_hidrostatica =&gt; "&amp;IF(O629&amp;""="","NULL","'"&amp;YEAR(O629)&amp;"-"&amp;TEXT(MONTH(O629),"00")&amp;"-"&amp;TEXT(DAY(O629),"00")&amp;"'")&amp;", p_numero_serie =&gt; "&amp;IF(TRIM(Q629&amp;"")="","NULL","'"&amp;SUBSTITUTE(TRIM(Q629),"'","''")&amp;"'")&amp;", p_id_marca_cilindro =&gt; "&amp;IF(TRIM(R629&amp;"")="","NULL","(SELECT lo.id FROM gen_lista_opciones lo JOIN gen_lista l ON l.id = lo.id_lista WHERE l.nombre = 'MarcaCilindro' AND upper(lo.nombre) = upper('"&amp;SUBSTITUTE(TRIM(R629),"'","''")&amp;"') AND lo.estado = 1 LIMIT 1)")&amp;", p_id_organo_inspector =&gt; "&amp;IF(TRIM(S629&amp;"")="","NULL","(SELECT lo.id FROM gen_lista_opciones lo JOIN gen_lista l ON l.id = lo.id_lista WHERE l.nombre = 'OrganoInspectorCilindro' AND upper(lo.nombre) = upper('"&amp;SUBSTITUTE(TRIM(S629),"'","''")&amp;"') AND lo.estado = 1 LIMIT 1)")&amp;", p_organo_inspector_no_aplica =&gt; "&amp;IF(S629="NO_APLICA","TRUE","FALSE")&amp;", p_presion_actual =&gt; "&amp;IF(T629&amp;""="","NULL",SUBSTITUTE(T629&amp;"",",","."))&amp;", p_tipo_valvula =&gt; "&amp;IF(TRIM(U629&amp;"")="","NULL","'"&amp;SUBSTITUTE(TRIM(U629),"'","''")&amp;"'")&amp;", p_libro_cilindro =&gt; "&amp;IF(TRIM(V629&amp;"")="","NULL","'"&amp;SUBSTITUTE(TRIM(V629),"'","''")&amp;"'")&amp;", p_pagina_libro =&gt; "&amp;IF(W629&amp;""="","NULL",SUBSTITUTE(W629&amp;"",",","."))&amp;", p_observacion =&gt; "&amp;IF(TRIM(X629&amp;"")="","NULL","'"&amp;SUBSTITUTE(TRIM(X629),"'","''")&amp;"'")&amp;") AS resultado_balon_"&amp;ROW()&amp;";")</f>
        <v/>
      </c>
    </row>
    <row r="630" ht="15.75" customHeight="1" s="64">
      <c r="A630" s="36" t="inlineStr">
        <is>
          <t>626</t>
        </is>
      </c>
      <c r="B630" s="25">
        <f>IF(AND(C630="",D630="",E630=""),"",IF(C630="","FALTA código balón",IF(D630="","FALTA tipo balón",IF(E630="","FALTA gas",IF(F630="","FALTA propietario",IF(AND(C630&lt;&gt;"",SUMPRODUCT(--($C$5:$C$1200=C630))&gt;1),"CÓDIGO BALÓN DUPLICADO",IF(AND(OR(UPPER(F630)="PLANTA",UPPER(F630)="CLIENTE"),G630=""),"FALTA doc propietario/planta",IF(AND(UPPER(F630)="PLANTA",G630="10175332796"),"PLANTA no puede ser RUC empresa","OK"))))))))</f>
        <v/>
      </c>
      <c r="C630" s="23" t="inlineStr">
        <is>
          <t>0303</t>
        </is>
      </c>
      <c r="D630" s="17" t="inlineStr">
        <is>
          <t>Oxígeno Industrial 6 m³</t>
        </is>
      </c>
      <c r="E630" s="17" t="inlineStr">
        <is>
          <t>OXIGENO INDUSTRIAL</t>
        </is>
      </c>
      <c r="F630" s="17" t="inlineStr">
        <is>
          <t>EMPRESA</t>
        </is>
      </c>
      <c r="G630" s="23" t="inlineStr">
        <is>
          <t>10175332796</t>
        </is>
      </c>
      <c r="H630" s="25">
        <f t="array" ref="H630">IF(G630="","",IFERROR(IF(INDEX(Clientes!$D$5:$D$549,MATCH(G630,Clientes!$C$5:$C$549,0))&lt;&gt;"",INDEX(Clientes!$D$5:$D$549,MATCH(G630,Clientes!$C$5:$C$549,0)),TRIM(INDEX(Clientes!$E$5:$E$549,MATCH(G630,Clientes!$C$5:$C$549,0))&amp;" "&amp;INDEX(Clientes!$F$5:$F$549,MATCH(G630,Clientes!$C$5:$C$549,0)))),"NO EXISTE en Clientes"))</f>
        <v/>
      </c>
      <c r="I630" s="17" t="inlineStr">
        <is>
          <t>EN_PODER_CLIENTE</t>
        </is>
      </c>
      <c r="J630" s="17" t="n"/>
      <c r="K630" s="23" t="inlineStr">
        <is>
          <t>000062</t>
        </is>
      </c>
      <c r="L630" s="25">
        <f t="array" ref="L630">IF(K630="","",IFERROR(IF(INDEX(Clientes!$D$5:$D$549,MATCH(K630,Clientes!$C$5:$C$549,0))&lt;&gt;"",INDEX(Clientes!$D$5:$D$549,MATCH(K630,Clientes!$C$5:$C$549,0)),TRIM(INDEX(Clientes!$E$5:$E$549,MATCH(K630,Clientes!$C$5:$C$549,0))&amp;" "&amp;INDEX(Clientes!$F$5:$F$549,MATCH(K630,Clientes!$C$5:$C$549,0)))),"NO EXISTE en Clientes"))</f>
        <v/>
      </c>
      <c r="M630" s="17" t="n"/>
      <c r="N630" s="17" t="n"/>
      <c r="O630" s="42" t="n"/>
      <c r="P630" s="39" t="n"/>
      <c r="Q630" s="23" t="n"/>
      <c r="R630" s="17" t="n"/>
      <c r="S630" s="17" t="n"/>
      <c r="T630" s="17" t="n"/>
      <c r="U630" s="17" t="n"/>
      <c r="V630" s="23" t="n"/>
      <c r="W630" s="17" t="n"/>
      <c r="X630" s="17" t="n"/>
      <c r="Y630" s="28">
        <f>IF(B630&lt;&gt;"OK","","SELECT bal_crear_balon(p_codigo_balon =&gt; "&amp;IF(TRIM(C630&amp;"")="","NULL","'"&amp;SUBSTITUTE(TRIM(C630),"'","''")&amp;"'")&amp;", p_id_tipo_balon =&gt; "&amp;"(SELECT id FROM bal_tipo_balon WHERE upper(nombre) = upper('"&amp;SUBSTITUTE(TRIM(D630),"'","''")&amp;"') AND estado = 1 LIMIT 1)"&amp;", p_id_producto_gas =&gt; "&amp;"(SELECT id FROM pro_producto WHERE es_gas = TRUE AND upper(nombre) = upper('"&amp;SUBSTITUTE(TRIM(E630),"'","''")&amp;"') AND estado = 1 LIMIT 1)"&amp;", p_id_propietario =&gt; "&amp;IF(TRIM(F630&amp;"")="","NULL","(SELECT lo.id FROM gen_lista_opciones lo JOIN gen_lista l ON l.id = lo.id_lista WHERE l.nombre = 'PropietarioBalon' AND upper(lo.nombre) = upper('"&amp;SUBSTITUTE(TRIM(F630),"'","''")&amp;"') AND lo.estado = 1 LIMIT 1)")&amp;", p_id_cliente_propietario =&gt; "&amp;IF(F630="CLIENTE",IF(TRIM(G630&amp;"")="","NULL","(SELECT id FROM cli_clientes WHERE numero_documento = '"&amp;SUBSTITUTE(TRIM(G630),"'","''")&amp;"' AND estado = 1 LIMIT 1)"),"NULL")&amp;", p_id_planta =&gt; "&amp;IF(F630="PLANTA",IF(TRIM(G630&amp;"")="","NULL","(SELECT id FROM cli_clientes WHERE numero_documento = '"&amp;SUBSTITUTE(TRIM(G630),"'","''")&amp;"'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"&amp;IF(TRIM(J630&amp;"")="","NULL","(SELECT id FROM gen_almacen WHERE upper(nombre) = upper('"&amp;SUBSTITUTE(TRIM(J630),"'","''")&amp;"') AND estado = 1 LIMIT 1)")&amp;", p_id_cliente_ubicacion =&gt; "&amp;IF(TRIM(K630&amp;"")="","NULL","(SELECT id FROM cli_clientes WHERE numero_documento = '"&amp;SUBSTITUTE(TRIM(K630),"'","''")&amp;"' AND estado = 1 LIMIT 1)")&amp;", p_id_referencia =&gt; "&amp;IF(TRIM(J630&amp;"")&lt;&gt;"","(SELECT lo.id FROM gen_lista_opciones lo JOIN gen_lista l ON l.id = lo.id_lista WHERE l.nombre = 'ReferenciaCilindro' AND upper(lo.nombre) = 'ALMACEN' AND lo.estado = 1 LIMIT 1)",IF(TRIM(K630&amp;"")&lt;&gt;"","(SELECT lo.id FROM gen_lista_opciones lo JOIN gen_lista l ON l.id = lo.id_lista WHERE l.nombre = 'ReferenciaCilindro' AND upper(lo.nombre) = 'CLIENTE' AND lo.estado = 1 LIMIT 1)","NULL"))&amp;", p_anio_fabricacion =&gt; "&amp;IF(M630&amp;""="","NULL::smallint",M630&amp;"::smallint")&amp;", p_mes_fabricacion =&gt; "&amp;IF(N630&amp;""="","NULL::smallint",N630&amp;"::smallint")&amp;", p_fecha_ultima_prueba_hidrostatica =&gt; "&amp;IF(O630&amp;""="","NULL","'"&amp;YEAR(O630)&amp;"-"&amp;TEXT(MONTH(O630),"00")&amp;"-"&amp;TEXT(DAY(O630),"00")&amp;"'")&amp;", p_numero_serie =&gt; "&amp;IF(TRIM(Q630&amp;"")="","NULL","'"&amp;SUBSTITUTE(TRIM(Q630),"'","''")&amp;"'")&amp;", p_id_marca_cilindro =&gt; "&amp;IF(TRIM(R630&amp;"")="","NULL","(SELECT lo.id FROM gen_lista_opciones lo JOIN gen_lista l ON l.id = lo.id_lista WHERE l.nombre = 'MarcaCilindro' AND upper(lo.nombre) = upper('"&amp;SUBSTITUTE(TRIM(R630),"'","''")&amp;"') AND lo.estado = 1 LIMIT 1)")&amp;", p_id_organo_inspector =&gt; "&amp;IF(TRIM(S630&amp;"")="","NULL","(SELECT lo.id FROM gen_lista_opciones lo JOIN gen_lista l ON l.id = lo.id_lista WHERE l.nombre = 'OrganoInspectorCilindro' AND upper(lo.nombre) = upper('"&amp;SUBSTITUTE(TRIM(S630),"'","''")&amp;"') AND lo.estado = 1 LIMIT 1)")&amp;", p_organo_inspector_no_aplica =&gt; "&amp;IF(S630="NO_APLICA","TRUE","FALSE")&amp;", p_presion_actual =&gt; "&amp;IF(T630&amp;""="","NULL",SUBSTITUTE(T630&amp;"",",","."))&amp;", p_tipo_valvula =&gt; "&amp;IF(TRIM(U630&amp;"")="","NULL","'"&amp;SUBSTITUTE(TRIM(U630),"'","''")&amp;"'")&amp;", p_libro_cilindro =&gt; "&amp;IF(TRIM(V630&amp;"")="","NULL","'"&amp;SUBSTITUTE(TRIM(V630),"'","''")&amp;"'")&amp;", p_pagina_libro =&gt; "&amp;IF(W630&amp;""="","NULL",SUBSTITUTE(W630&amp;"",",","."))&amp;", p_observacion =&gt; "&amp;IF(TRIM(X630&amp;"")="","NULL","'"&amp;SUBSTITUTE(TRIM(X630),"'","''")&amp;"'")&amp;") AS resultado_balon_"&amp;ROW()&amp;";")</f>
        <v/>
      </c>
    </row>
    <row r="631" ht="15.75" customHeight="1" s="64">
      <c r="A631" s="36" t="inlineStr">
        <is>
          <t>627</t>
        </is>
      </c>
      <c r="B631" s="25">
        <f>IF(AND(C631="",D631="",E631=""),"",IF(C631="","FALTA código balón",IF(D631="","FALTA tipo balón",IF(E631="","FALTA gas",IF(F631="","FALTA propietario",IF(AND(C631&lt;&gt;"",SUMPRODUCT(--($C$5:$C$1200=C631))&gt;1),"CÓDIGO BALÓN DUPLICADO",IF(AND(OR(UPPER(F631)="PLANTA",UPPER(F631)="CLIENTE"),G631=""),"FALTA doc propietario/planta",IF(AND(UPPER(F631)="PLANTA",G631="10175332796"),"PLANTA no puede ser RUC empresa","OK"))))))))</f>
        <v/>
      </c>
      <c r="C631" s="23" t="inlineStr">
        <is>
          <t>303181</t>
        </is>
      </c>
      <c r="D631" s="17" t="inlineStr">
        <is>
          <t>Oxigeno Industrial 7 m³</t>
        </is>
      </c>
      <c r="E631" s="17" t="inlineStr">
        <is>
          <t>OXIGENO INDUSTRIAL</t>
        </is>
      </c>
      <c r="F631" s="17" t="inlineStr">
        <is>
          <t>EMPRESA</t>
        </is>
      </c>
      <c r="G631" s="23" t="inlineStr">
        <is>
          <t>10175332796</t>
        </is>
      </c>
      <c r="H631" s="25">
        <f t="array" ref="H631">IF(G631="","",IFERROR(IF(INDEX(Clientes!$D$5:$D$549,MATCH(G631,Clientes!$C$5:$C$549,0))&lt;&gt;"",INDEX(Clientes!$D$5:$D$549,MATCH(G631,Clientes!$C$5:$C$549,0)),TRIM(INDEX(Clientes!$E$5:$E$549,MATCH(G631,Clientes!$C$5:$C$549,0))&amp;" "&amp;INDEX(Clientes!$F$5:$F$549,MATCH(G631,Clientes!$C$5:$C$549,0)))),"NO EXISTE en Clientes"))</f>
        <v/>
      </c>
      <c r="I631" s="17" t="inlineStr">
        <is>
          <t>EN_PODER_CLIENTE</t>
        </is>
      </c>
      <c r="J631" s="17" t="n"/>
      <c r="K631" s="23" t="inlineStr">
        <is>
          <t>40518031</t>
        </is>
      </c>
      <c r="L631" s="25">
        <f t="array" ref="L631">IF(K631="","",IFERROR(IF(INDEX(Clientes!$D$5:$D$549,MATCH(K631,Clientes!$C$5:$C$549,0))&lt;&gt;"",INDEX(Clientes!$D$5:$D$549,MATCH(K631,Clientes!$C$5:$C$549,0)),TRIM(INDEX(Clientes!$E$5:$E$549,MATCH(K631,Clientes!$C$5:$C$549,0))&amp;" "&amp;INDEX(Clientes!$F$5:$F$549,MATCH(K631,Clientes!$C$5:$C$549,0)))),"NO EXISTE en Clientes"))</f>
        <v/>
      </c>
      <c r="M631" s="17" t="n"/>
      <c r="N631" s="17" t="n"/>
      <c r="O631" s="42" t="n"/>
      <c r="P631" s="39" t="n"/>
      <c r="Q631" s="23" t="n"/>
      <c r="R631" s="17" t="n"/>
      <c r="S631" s="17" t="n"/>
      <c r="T631" s="17" t="n"/>
      <c r="U631" s="17" t="n"/>
      <c r="V631" s="23" t="n"/>
      <c r="W631" s="17" t="n"/>
      <c r="X631" s="17" t="n"/>
      <c r="Y631" s="28">
        <f>IF(B631&lt;&gt;"OK","","SELECT bal_crear_balon(p_codigo_balon =&gt; "&amp;IF(TRIM(C631&amp;"")="","NULL","'"&amp;SUBSTITUTE(TRIM(C631),"'","''")&amp;"'")&amp;", p_id_tipo_balon =&gt; "&amp;"(SELECT id FROM bal_tipo_balon WHERE upper(nombre) = upper('"&amp;SUBSTITUTE(TRIM(D631),"'","''")&amp;"') AND estado = 1 LIMIT 1)"&amp;", p_id_producto_gas =&gt; "&amp;"(SELECT id FROM pro_producto WHERE es_gas = TRUE AND upper(nombre) = upper('"&amp;SUBSTITUTE(TRIM(E631),"'","''")&amp;"') AND estado = 1 LIMIT 1)"&amp;", p_id_propietario =&gt; "&amp;IF(TRIM(F631&amp;"")="","NULL","(SELECT lo.id FROM gen_lista_opciones lo JOIN gen_lista l ON l.id = lo.id_lista WHERE l.nombre = 'PropietarioBalon' AND upper(lo.nombre) = upper('"&amp;SUBSTITUTE(TRIM(F631),"'","''")&amp;"') AND lo.estado = 1 LIMIT 1)")&amp;", p_id_cliente_propietario =&gt; "&amp;IF(F631="CLIENTE",IF(TRIM(G631&amp;"")="","NULL","(SELECT id FROM cli_clientes WHERE numero_documento = '"&amp;SUBSTITUTE(TRIM(G631),"'","''")&amp;"' AND estado = 1 LIMIT 1)"),"NULL")&amp;", p_id_planta =&gt; "&amp;IF(F631="PLANTA",IF(TRIM(G631&amp;"")="","NULL","(SELECT id FROM cli_clientes WHERE numero_documento = '"&amp;SUBSTITUTE(TRIM(G631),"'","''")&amp;"'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"&amp;IF(TRIM(J631&amp;"")="","NULL","(SELECT id FROM gen_almacen WHERE upper(nombre) = upper('"&amp;SUBSTITUTE(TRIM(J631),"'","''")&amp;"') AND estado = 1 LIMIT 1)")&amp;", p_id_cliente_ubicacion =&gt; "&amp;IF(TRIM(K631&amp;"")="","NULL","(SELECT id FROM cli_clientes WHERE numero_documento = '"&amp;SUBSTITUTE(TRIM(K631),"'","''")&amp;"' AND estado = 1 LIMIT 1)")&amp;", p_id_referencia =&gt; "&amp;IF(TRIM(J631&amp;"")&lt;&gt;"","(SELECT lo.id FROM gen_lista_opciones lo JOIN gen_lista l ON l.id = lo.id_lista WHERE l.nombre = 'ReferenciaCilindro' AND upper(lo.nombre) = 'ALMACEN' AND lo.estado = 1 LIMIT 1)",IF(TRIM(K631&amp;"")&lt;&gt;"","(SELECT lo.id FROM gen_lista_opciones lo JOIN gen_lista l ON l.id = lo.id_lista WHERE l.nombre = 'ReferenciaCilindro' AND upper(lo.nombre) = 'CLIENTE' AND lo.estado = 1 LIMIT 1)","NULL"))&amp;", p_anio_fabricacion =&gt; "&amp;IF(M631&amp;""="","NULL::smallint",M631&amp;"::smallint")&amp;", p_mes_fabricacion =&gt; "&amp;IF(N631&amp;""="","NULL::smallint",N631&amp;"::smallint")&amp;", p_fecha_ultima_prueba_hidrostatica =&gt; "&amp;IF(O631&amp;""="","NULL","'"&amp;YEAR(O631)&amp;"-"&amp;TEXT(MONTH(O631),"00")&amp;"-"&amp;TEXT(DAY(O631),"00")&amp;"'")&amp;", p_numero_serie =&gt; "&amp;IF(TRIM(Q631&amp;"")="","NULL","'"&amp;SUBSTITUTE(TRIM(Q631),"'","''")&amp;"'")&amp;", p_id_marca_cilindro =&gt; "&amp;IF(TRIM(R631&amp;"")="","NULL","(SELECT lo.id FROM gen_lista_opciones lo JOIN gen_lista l ON l.id = lo.id_lista WHERE l.nombre = 'MarcaCilindro' AND upper(lo.nombre) = upper('"&amp;SUBSTITUTE(TRIM(R631),"'","''")&amp;"') AND lo.estado = 1 LIMIT 1)")&amp;", p_id_organo_inspector =&gt; "&amp;IF(TRIM(S631&amp;"")="","NULL","(SELECT lo.id FROM gen_lista_opciones lo JOIN gen_lista l ON l.id = lo.id_lista WHERE l.nombre = 'OrganoInspectorCilindro' AND upper(lo.nombre) = upper('"&amp;SUBSTITUTE(TRIM(S631),"'","''")&amp;"') AND lo.estado = 1 LIMIT 1)")&amp;", p_organo_inspector_no_aplica =&gt; "&amp;IF(S631="NO_APLICA","TRUE","FALSE")&amp;", p_presion_actual =&gt; "&amp;IF(T631&amp;""="","NULL",SUBSTITUTE(T631&amp;"",",","."))&amp;", p_tipo_valvula =&gt; "&amp;IF(TRIM(U631&amp;"")="","NULL","'"&amp;SUBSTITUTE(TRIM(U631),"'","''")&amp;"'")&amp;", p_libro_cilindro =&gt; "&amp;IF(TRIM(V631&amp;"")="","NULL","'"&amp;SUBSTITUTE(TRIM(V631),"'","''")&amp;"'")&amp;", p_pagina_libro =&gt; "&amp;IF(W631&amp;""="","NULL",SUBSTITUTE(W631&amp;"",",","."))&amp;", p_observacion =&gt; "&amp;IF(TRIM(X631&amp;"")="","NULL","'"&amp;SUBSTITUTE(TRIM(X631),"'","''")&amp;"'")&amp;") AS resultado_balon_"&amp;ROW()&amp;";")</f>
        <v/>
      </c>
    </row>
    <row r="632" ht="15.75" customHeight="1" s="64">
      <c r="A632" s="36" t="inlineStr">
        <is>
          <t>628</t>
        </is>
      </c>
      <c r="B632" s="25">
        <f>IF(AND(C632="",D632="",E632=""),"",IF(C632="","FALTA código balón",IF(D632="","FALTA tipo balón",IF(E632="","FALTA gas",IF(F632="","FALTA propietario",IF(AND(C632&lt;&gt;"",SUMPRODUCT(--($C$5:$C$1200=C632))&gt;1),"CÓDIGO BALÓN DUPLICADO",IF(AND(OR(UPPER(F632)="PLANTA",UPPER(F632)="CLIENTE"),G632=""),"FALTA doc propietario/planta",IF(AND(UPPER(F632)="PLANTA",G632="10175332796"),"PLANTA no puede ser RUC empresa","OK"))))))))</f>
        <v/>
      </c>
      <c r="C632" s="23" t="inlineStr">
        <is>
          <t>303192</t>
        </is>
      </c>
      <c r="D632" s="17" t="inlineStr">
        <is>
          <t>Oxigeno Industrial 7 m³</t>
        </is>
      </c>
      <c r="E632" s="17" t="inlineStr">
        <is>
          <t>OXIGENO INDUSTRIAL</t>
        </is>
      </c>
      <c r="F632" s="17" t="inlineStr">
        <is>
          <t>EMPRESA</t>
        </is>
      </c>
      <c r="G632" s="23" t="inlineStr">
        <is>
          <t>10175332796</t>
        </is>
      </c>
      <c r="H632" s="25">
        <f t="array" ref="H632">IF(G632="","",IFERROR(IF(INDEX(Clientes!$D$5:$D$549,MATCH(G632,Clientes!$C$5:$C$549,0))&lt;&gt;"",INDEX(Clientes!$D$5:$D$549,MATCH(G632,Clientes!$C$5:$C$549,0)),TRIM(INDEX(Clientes!$E$5:$E$549,MATCH(G632,Clientes!$C$5:$C$549,0))&amp;" "&amp;INDEX(Clientes!$F$5:$F$549,MATCH(G632,Clientes!$C$5:$C$549,0)))),"NO EXISTE en Clientes"))</f>
        <v/>
      </c>
      <c r="I632" s="17" t="inlineStr">
        <is>
          <t>EN_PODER_CLIENTE</t>
        </is>
      </c>
      <c r="J632" s="17" t="n"/>
      <c r="K632" s="23" t="inlineStr">
        <is>
          <t>40518031</t>
        </is>
      </c>
      <c r="L632" s="25">
        <f t="array" ref="L632">IF(K632="","",IFERROR(IF(INDEX(Clientes!$D$5:$D$549,MATCH(K632,Clientes!$C$5:$C$549,0))&lt;&gt;"",INDEX(Clientes!$D$5:$D$549,MATCH(K632,Clientes!$C$5:$C$549,0)),TRIM(INDEX(Clientes!$E$5:$E$549,MATCH(K632,Clientes!$C$5:$C$549,0))&amp;" "&amp;INDEX(Clientes!$F$5:$F$549,MATCH(K632,Clientes!$C$5:$C$549,0)))),"NO EXISTE en Clientes"))</f>
        <v/>
      </c>
      <c r="M632" s="17" t="n"/>
      <c r="N632" s="17" t="n"/>
      <c r="O632" s="42" t="n"/>
      <c r="P632" s="39" t="n"/>
      <c r="Q632" s="23" t="n"/>
      <c r="R632" s="17" t="n"/>
      <c r="S632" s="17" t="n"/>
      <c r="T632" s="17" t="n"/>
      <c r="U632" s="17" t="n"/>
      <c r="V632" s="23" t="n"/>
      <c r="W632" s="17" t="n"/>
      <c r="X632" s="17" t="n"/>
      <c r="Y632" s="28">
        <f>IF(B632&lt;&gt;"OK","","SELECT bal_crear_balon(p_codigo_balon =&gt; "&amp;IF(TRIM(C632&amp;"")="","NULL","'"&amp;SUBSTITUTE(TRIM(C632),"'","''")&amp;"'")&amp;", p_id_tipo_balon =&gt; "&amp;"(SELECT id FROM bal_tipo_balon WHERE upper(nombre) = upper('"&amp;SUBSTITUTE(TRIM(D632),"'","''")&amp;"') AND estado = 1 LIMIT 1)"&amp;", p_id_producto_gas =&gt; "&amp;"(SELECT id FROM pro_producto WHERE es_gas = TRUE AND upper(nombre) = upper('"&amp;SUBSTITUTE(TRIM(E632),"'","''")&amp;"') AND estado = 1 LIMIT 1)"&amp;", p_id_propietario =&gt; "&amp;IF(TRIM(F632&amp;"")="","NULL","(SELECT lo.id FROM gen_lista_opciones lo JOIN gen_lista l ON l.id = lo.id_lista WHERE l.nombre = 'PropietarioBalon' AND upper(lo.nombre) = upper('"&amp;SUBSTITUTE(TRIM(F632),"'","''")&amp;"') AND lo.estado = 1 LIMIT 1)")&amp;", p_id_cliente_propietario =&gt; "&amp;IF(F632="CLIENTE",IF(TRIM(G632&amp;"")="","NULL","(SELECT id FROM cli_clientes WHERE numero_documento = '"&amp;SUBSTITUTE(TRIM(G632),"'","''")&amp;"' AND estado = 1 LIMIT 1)"),"NULL")&amp;", p_id_planta =&gt; "&amp;IF(F632="PLANTA",IF(TRIM(G632&amp;"")="","NULL","(SELECT id FROM cli_clientes WHERE numero_documento = '"&amp;SUBSTITUTE(TRIM(G632),"'","''")&amp;"'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"&amp;IF(TRIM(J632&amp;"")="","NULL","(SELECT id FROM gen_almacen WHERE upper(nombre) = upper('"&amp;SUBSTITUTE(TRIM(J632),"'","''")&amp;"') AND estado = 1 LIMIT 1)")&amp;", p_id_cliente_ubicacion =&gt; "&amp;IF(TRIM(K632&amp;"")="","NULL","(SELECT id FROM cli_clientes WHERE numero_documento = '"&amp;SUBSTITUTE(TRIM(K632),"'","''")&amp;"' AND estado = 1 LIMIT 1)")&amp;", p_id_referencia =&gt; "&amp;IF(TRIM(J632&amp;"")&lt;&gt;"","(SELECT lo.id FROM gen_lista_opciones lo JOIN gen_lista l ON l.id = lo.id_lista WHERE l.nombre = 'ReferenciaCilindro' AND upper(lo.nombre) = 'ALMACEN' AND lo.estado = 1 LIMIT 1)",IF(TRIM(K632&amp;"")&lt;&gt;"","(SELECT lo.id FROM gen_lista_opciones lo JOIN gen_lista l ON l.id = lo.id_lista WHERE l.nombre = 'ReferenciaCilindro' AND upper(lo.nombre) = 'CLIENTE' AND lo.estado = 1 LIMIT 1)","NULL"))&amp;", p_anio_fabricacion =&gt; "&amp;IF(M632&amp;""="","NULL::smallint",M632&amp;"::smallint")&amp;", p_mes_fabricacion =&gt; "&amp;IF(N632&amp;""="","NULL::smallint",N632&amp;"::smallint")&amp;", p_fecha_ultima_prueba_hidrostatica =&gt; "&amp;IF(O632&amp;""="","NULL","'"&amp;YEAR(O632)&amp;"-"&amp;TEXT(MONTH(O632),"00")&amp;"-"&amp;TEXT(DAY(O632),"00")&amp;"'")&amp;", p_numero_serie =&gt; "&amp;IF(TRIM(Q632&amp;"")="","NULL","'"&amp;SUBSTITUTE(TRIM(Q632),"'","''")&amp;"'")&amp;", p_id_marca_cilindro =&gt; "&amp;IF(TRIM(R632&amp;"")="","NULL","(SELECT lo.id FROM gen_lista_opciones lo JOIN gen_lista l ON l.id = lo.id_lista WHERE l.nombre = 'MarcaCilindro' AND upper(lo.nombre) = upper('"&amp;SUBSTITUTE(TRIM(R632),"'","''")&amp;"') AND lo.estado = 1 LIMIT 1)")&amp;", p_id_organo_inspector =&gt; "&amp;IF(TRIM(S632&amp;"")="","NULL","(SELECT lo.id FROM gen_lista_opciones lo JOIN gen_lista l ON l.id = lo.id_lista WHERE l.nombre = 'OrganoInspectorCilindro' AND upper(lo.nombre) = upper('"&amp;SUBSTITUTE(TRIM(S632),"'","''")&amp;"') AND lo.estado = 1 LIMIT 1)")&amp;", p_organo_inspector_no_aplica =&gt; "&amp;IF(S632="NO_APLICA","TRUE","FALSE")&amp;", p_presion_actual =&gt; "&amp;IF(T632&amp;""="","NULL",SUBSTITUTE(T632&amp;"",",","."))&amp;", p_tipo_valvula =&gt; "&amp;IF(TRIM(U632&amp;"")="","NULL","'"&amp;SUBSTITUTE(TRIM(U632),"'","''")&amp;"'")&amp;", p_libro_cilindro =&gt; "&amp;IF(TRIM(V632&amp;"")="","NULL","'"&amp;SUBSTITUTE(TRIM(V632),"'","''")&amp;"'")&amp;", p_pagina_libro =&gt; "&amp;IF(W632&amp;""="","NULL",SUBSTITUTE(W632&amp;"",",","."))&amp;", p_observacion =&gt; "&amp;IF(TRIM(X632&amp;"")="","NULL","'"&amp;SUBSTITUTE(TRIM(X632),"'","''")&amp;"'")&amp;") AS resultado_balon_"&amp;ROW()&amp;";")</f>
        <v/>
      </c>
    </row>
    <row r="633" ht="15.75" customHeight="1" s="64">
      <c r="A633" s="36" t="inlineStr">
        <is>
          <t>629</t>
        </is>
      </c>
      <c r="B633" s="25">
        <f>IF(AND(C633="",D633="",E633=""),"",IF(C633="","FALTA código balón",IF(D633="","FALTA tipo balón",IF(E633="","FALTA gas",IF(F633="","FALTA propietario",IF(AND(C633&lt;&gt;"",SUMPRODUCT(--($C$5:$C$1200=C633))&gt;1),"CÓDIGO BALÓN DUPLICADO",IF(AND(OR(UPPER(F633)="PLANTA",UPPER(F633)="CLIENTE"),G633=""),"FALTA doc propietario/planta",IF(AND(UPPER(F633)="PLANTA",G633="10175332796"),"PLANTA no puede ser RUC empresa","OK"))))))))</f>
        <v/>
      </c>
      <c r="C633" s="23" t="inlineStr">
        <is>
          <t>303196</t>
        </is>
      </c>
      <c r="D633" s="17" t="inlineStr">
        <is>
          <t>Oxígeno Industrial 6 m³</t>
        </is>
      </c>
      <c r="E633" s="17" t="inlineStr">
        <is>
          <t>OXIGENO INDUSTRIAL</t>
        </is>
      </c>
      <c r="F633" s="17" t="inlineStr">
        <is>
          <t>EMPRESA</t>
        </is>
      </c>
      <c r="G633" s="23" t="inlineStr">
        <is>
          <t>10175332796</t>
        </is>
      </c>
      <c r="H633" s="25">
        <f t="array" ref="H633">IF(G633="","",IFERROR(IF(INDEX(Clientes!$D$5:$D$549,MATCH(G633,Clientes!$C$5:$C$549,0))&lt;&gt;"",INDEX(Clientes!$D$5:$D$549,MATCH(G633,Clientes!$C$5:$C$549,0)),TRIM(INDEX(Clientes!$E$5:$E$549,MATCH(G633,Clientes!$C$5:$C$549,0))&amp;" "&amp;INDEX(Clientes!$F$5:$F$549,MATCH(G633,Clientes!$C$5:$C$549,0)))),"NO EXISTE en Clientes"))</f>
        <v/>
      </c>
      <c r="I633" s="17" t="inlineStr">
        <is>
          <t>EN_PODER_CLIENTE</t>
        </is>
      </c>
      <c r="J633" s="17" t="n"/>
      <c r="K633" s="23" t="inlineStr">
        <is>
          <t>80542803</t>
        </is>
      </c>
      <c r="L633" s="25">
        <f t="array" ref="L633">IF(K633="","",IFERROR(IF(INDEX(Clientes!$D$5:$D$549,MATCH(K633,Clientes!$C$5:$C$549,0))&lt;&gt;"",INDEX(Clientes!$D$5:$D$549,MATCH(K633,Clientes!$C$5:$C$549,0)),TRIM(INDEX(Clientes!$E$5:$E$549,MATCH(K633,Clientes!$C$5:$C$549,0))&amp;" "&amp;INDEX(Clientes!$F$5:$F$549,MATCH(K633,Clientes!$C$5:$C$549,0)))),"NO EXISTE en Clientes"))</f>
        <v/>
      </c>
      <c r="M633" s="17" t="n"/>
      <c r="N633" s="17" t="n"/>
      <c r="O633" s="42" t="n"/>
      <c r="P633" s="39" t="n"/>
      <c r="Q633" s="23" t="n"/>
      <c r="R633" s="17" t="n"/>
      <c r="S633" s="17" t="n"/>
      <c r="T633" s="17" t="n"/>
      <c r="U633" s="17" t="n"/>
      <c r="V633" s="23" t="n"/>
      <c r="W633" s="17" t="n"/>
      <c r="X633" s="17" t="n"/>
      <c r="Y633" s="28">
        <f>IF(B633&lt;&gt;"OK","","SELECT bal_crear_balon(p_codigo_balon =&gt; "&amp;IF(TRIM(C633&amp;"")="","NULL","'"&amp;SUBSTITUTE(TRIM(C633),"'","''")&amp;"'")&amp;", p_id_tipo_balon =&gt; "&amp;"(SELECT id FROM bal_tipo_balon WHERE upper(nombre) = upper('"&amp;SUBSTITUTE(TRIM(D633),"'","''")&amp;"') AND estado = 1 LIMIT 1)"&amp;", p_id_producto_gas =&gt; "&amp;"(SELECT id FROM pro_producto WHERE es_gas = TRUE AND upper(nombre) = upper('"&amp;SUBSTITUTE(TRIM(E633),"'","''")&amp;"') AND estado = 1 LIMIT 1)"&amp;", p_id_propietario =&gt; "&amp;IF(TRIM(F633&amp;"")="","NULL","(SELECT lo.id FROM gen_lista_opciones lo JOIN gen_lista l ON l.id = lo.id_lista WHERE l.nombre = 'PropietarioBalon' AND upper(lo.nombre) = upper('"&amp;SUBSTITUTE(TRIM(F633),"'","''")&amp;"') AND lo.estado = 1 LIMIT 1)")&amp;", p_id_cliente_propietario =&gt; "&amp;IF(F633="CLIENTE",IF(TRIM(G633&amp;"")="","NULL","(SELECT id FROM cli_clientes WHERE numero_documento = '"&amp;SUBSTITUTE(TRIM(G633),"'","''")&amp;"' AND estado = 1 LIMIT 1)"),"NULL")&amp;", p_id_planta =&gt; "&amp;IF(F633="PLANTA",IF(TRIM(G633&amp;"")="","NULL","(SELECT id FROM cli_clientes WHERE numero_documento = '"&amp;SUBSTITUTE(TRIM(G633),"'","''")&amp;"'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"&amp;IF(TRIM(J633&amp;"")="","NULL","(SELECT id FROM gen_almacen WHERE upper(nombre) = upper('"&amp;SUBSTITUTE(TRIM(J633),"'","''")&amp;"') AND estado = 1 LIMIT 1)")&amp;", p_id_cliente_ubicacion =&gt; "&amp;IF(TRIM(K633&amp;"")="","NULL","(SELECT id FROM cli_clientes WHERE numero_documento = '"&amp;SUBSTITUTE(TRIM(K633),"'","''")&amp;"' AND estado = 1 LIMIT 1)")&amp;", p_id_referencia =&gt; "&amp;IF(TRIM(J633&amp;"")&lt;&gt;"","(SELECT lo.id FROM gen_lista_opciones lo JOIN gen_lista l ON l.id = lo.id_lista WHERE l.nombre = 'ReferenciaCilindro' AND upper(lo.nombre) = 'ALMACEN' AND lo.estado = 1 LIMIT 1)",IF(TRIM(K633&amp;"")&lt;&gt;"","(SELECT lo.id FROM gen_lista_opciones lo JOIN gen_lista l ON l.id = lo.id_lista WHERE l.nombre = 'ReferenciaCilindro' AND upper(lo.nombre) = 'CLIENTE' AND lo.estado = 1 LIMIT 1)","NULL"))&amp;", p_anio_fabricacion =&gt; "&amp;IF(M633&amp;""="","NULL::smallint",M633&amp;"::smallint")&amp;", p_mes_fabricacion =&gt; "&amp;IF(N633&amp;""="","NULL::smallint",N633&amp;"::smallint")&amp;", p_fecha_ultima_prueba_hidrostatica =&gt; "&amp;IF(O633&amp;""="","NULL","'"&amp;YEAR(O633)&amp;"-"&amp;TEXT(MONTH(O633),"00")&amp;"-"&amp;TEXT(DAY(O633),"00")&amp;"'")&amp;", p_numero_serie =&gt; "&amp;IF(TRIM(Q633&amp;"")="","NULL","'"&amp;SUBSTITUTE(TRIM(Q633),"'","''")&amp;"'")&amp;", p_id_marca_cilindro =&gt; "&amp;IF(TRIM(R633&amp;"")="","NULL","(SELECT lo.id FROM gen_lista_opciones lo JOIN gen_lista l ON l.id = lo.id_lista WHERE l.nombre = 'MarcaCilindro' AND upper(lo.nombre) = upper('"&amp;SUBSTITUTE(TRIM(R633),"'","''")&amp;"') AND lo.estado = 1 LIMIT 1)")&amp;", p_id_organo_inspector =&gt; "&amp;IF(TRIM(S633&amp;"")="","NULL","(SELECT lo.id FROM gen_lista_opciones lo JOIN gen_lista l ON l.id = lo.id_lista WHERE l.nombre = 'OrganoInspectorCilindro' AND upper(lo.nombre) = upper('"&amp;SUBSTITUTE(TRIM(S633),"'","''")&amp;"') AND lo.estado = 1 LIMIT 1)")&amp;", p_organo_inspector_no_aplica =&gt; "&amp;IF(S633="NO_APLICA","TRUE","FALSE")&amp;", p_presion_actual =&gt; "&amp;IF(T633&amp;""="","NULL",SUBSTITUTE(T633&amp;"",",","."))&amp;", p_tipo_valvula =&gt; "&amp;IF(TRIM(U633&amp;"")="","NULL","'"&amp;SUBSTITUTE(TRIM(U633),"'","''")&amp;"'")&amp;", p_libro_cilindro =&gt; "&amp;IF(TRIM(V633&amp;"")="","NULL","'"&amp;SUBSTITUTE(TRIM(V633),"'","''")&amp;"'")&amp;", p_pagina_libro =&gt; "&amp;IF(W633&amp;""="","NULL",SUBSTITUTE(W633&amp;"",",","."))&amp;", p_observacion =&gt; "&amp;IF(TRIM(X633&amp;"")="","NULL","'"&amp;SUBSTITUTE(TRIM(X633),"'","''")&amp;"'")&amp;") AS resultado_balon_"&amp;ROW()&amp;";")</f>
        <v/>
      </c>
    </row>
    <row r="634" ht="15.75" customHeight="1" s="64">
      <c r="A634" s="36" t="inlineStr">
        <is>
          <t>630</t>
        </is>
      </c>
      <c r="B634" s="25">
        <f>IF(AND(C634="",D634="",E634=""),"",IF(C634="","FALTA código balón",IF(D634="","FALTA tipo balón",IF(E634="","FALTA gas",IF(F634="","FALTA propietario",IF(AND(C634&lt;&gt;"",SUMPRODUCT(--($C$5:$C$1200=C634))&gt;1),"CÓDIGO BALÓN DUPLICADO",IF(AND(OR(UPPER(F634)="PLANTA",UPPER(F634)="CLIENTE"),G634=""),"FALTA doc propietario/planta",IF(AND(UPPER(F634)="PLANTA",G634="10175332796"),"PLANTA no puede ser RUC empresa","OK"))))))))</f>
        <v/>
      </c>
      <c r="C634" s="23" t="inlineStr">
        <is>
          <t>20K646192</t>
        </is>
      </c>
      <c r="D634" s="17" t="inlineStr">
        <is>
          <t>Oxígeno Industrial 10 m³</t>
        </is>
      </c>
      <c r="E634" s="17" t="inlineStr">
        <is>
          <t>OXIGENO INDUSTRIAL</t>
        </is>
      </c>
      <c r="F634" s="17" t="inlineStr">
        <is>
          <t>EMPRESA</t>
        </is>
      </c>
      <c r="G634" s="23" t="inlineStr">
        <is>
          <t>10175332796</t>
        </is>
      </c>
      <c r="H634" s="25">
        <f t="array" ref="H634">IF(G634="","",IFERROR(IF(INDEX(Clientes!$D$5:$D$549,MATCH(G634,Clientes!$C$5:$C$549,0))&lt;&gt;"",INDEX(Clientes!$D$5:$D$549,MATCH(G634,Clientes!$C$5:$C$549,0)),TRIM(INDEX(Clientes!$E$5:$E$549,MATCH(G634,Clientes!$C$5:$C$549,0))&amp;" "&amp;INDEX(Clientes!$F$5:$F$549,MATCH(G634,Clientes!$C$5:$C$549,0)))),"NO EXISTE en Clientes"))</f>
        <v/>
      </c>
      <c r="I634" s="17" t="inlineStr">
        <is>
          <t>EN_PODER_CLIENTE</t>
        </is>
      </c>
      <c r="J634" s="17" t="n"/>
      <c r="K634" s="23" t="inlineStr">
        <is>
          <t>20601110661</t>
        </is>
      </c>
      <c r="L634" s="25">
        <f t="array" ref="L634">IF(K634="","",IFERROR(IF(INDEX(Clientes!$D$5:$D$549,MATCH(K634,Clientes!$C$5:$C$549,0))&lt;&gt;"",INDEX(Clientes!$D$5:$D$549,MATCH(K634,Clientes!$C$5:$C$549,0)),TRIM(INDEX(Clientes!$E$5:$E$549,MATCH(K634,Clientes!$C$5:$C$549,0))&amp;" "&amp;INDEX(Clientes!$F$5:$F$549,MATCH(K634,Clientes!$C$5:$C$549,0)))),"NO EXISTE en Clientes"))</f>
        <v/>
      </c>
      <c r="M634" s="17" t="n"/>
      <c r="N634" s="17" t="n"/>
      <c r="O634" s="42" t="n"/>
      <c r="P634" s="39" t="n"/>
      <c r="Q634" s="23" t="n"/>
      <c r="R634" s="17" t="n"/>
      <c r="S634" s="17" t="n"/>
      <c r="T634" s="17" t="n"/>
      <c r="U634" s="17" t="n"/>
      <c r="V634" s="23" t="n"/>
      <c r="W634" s="17" t="n"/>
      <c r="X634" s="17" t="n"/>
      <c r="Y634" s="28">
        <f>IF(B634&lt;&gt;"OK","","SELECT bal_crear_balon(p_codigo_balon =&gt; "&amp;IF(TRIM(C634&amp;"")="","NULL","'"&amp;SUBSTITUTE(TRIM(C634),"'","''")&amp;"'")&amp;", p_id_tipo_balon =&gt; "&amp;"(SELECT id FROM bal_tipo_balon WHERE upper(nombre) = upper('"&amp;SUBSTITUTE(TRIM(D634),"'","''")&amp;"') AND estado = 1 LIMIT 1)"&amp;", p_id_producto_gas =&gt; "&amp;"(SELECT id FROM pro_producto WHERE es_gas = TRUE AND upper(nombre) = upper('"&amp;SUBSTITUTE(TRIM(E634),"'","''")&amp;"') AND estado = 1 LIMIT 1)"&amp;", p_id_propietario =&gt; "&amp;IF(TRIM(F634&amp;"")="","NULL","(SELECT lo.id FROM gen_lista_opciones lo JOIN gen_lista l ON l.id = lo.id_lista WHERE l.nombre = 'PropietarioBalon' AND upper(lo.nombre) = upper('"&amp;SUBSTITUTE(TRIM(F634),"'","''")&amp;"') AND lo.estado = 1 LIMIT 1)")&amp;", p_id_cliente_propietario =&gt; "&amp;IF(F634="CLIENTE",IF(TRIM(G634&amp;"")="","NULL","(SELECT id FROM cli_clientes WHERE numero_documento = '"&amp;SUBSTITUTE(TRIM(G634),"'","''")&amp;"' AND estado = 1 LIMIT 1)"),"NULL")&amp;", p_id_planta =&gt; "&amp;IF(F634="PLANTA",IF(TRIM(G634&amp;"")="","NULL","(SELECT id FROM cli_clientes WHERE numero_documento = '"&amp;SUBSTITUTE(TRIM(G634),"'","''")&amp;"'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"&amp;IF(TRIM(J634&amp;"")="","NULL","(SELECT id FROM gen_almacen WHERE upper(nombre) = upper('"&amp;SUBSTITUTE(TRIM(J634),"'","''")&amp;"') AND estado = 1 LIMIT 1)")&amp;", p_id_cliente_ubicacion =&gt; "&amp;IF(TRIM(K634&amp;"")="","NULL","(SELECT id FROM cli_clientes WHERE numero_documento = '"&amp;SUBSTITUTE(TRIM(K634),"'","''")&amp;"' AND estado = 1 LIMIT 1)")&amp;", p_id_referencia =&gt; "&amp;IF(TRIM(J634&amp;"")&lt;&gt;"","(SELECT lo.id FROM gen_lista_opciones lo JOIN gen_lista l ON l.id = lo.id_lista WHERE l.nombre = 'ReferenciaCilindro' AND upper(lo.nombre) = 'ALMACEN' AND lo.estado = 1 LIMIT 1)",IF(TRIM(K634&amp;"")&lt;&gt;"","(SELECT lo.id FROM gen_lista_opciones lo JOIN gen_lista l ON l.id = lo.id_lista WHERE l.nombre = 'ReferenciaCilindro' AND upper(lo.nombre) = 'CLIENTE' AND lo.estado = 1 LIMIT 1)","NULL"))&amp;", p_anio_fabricacion =&gt; "&amp;IF(M634&amp;""="","NULL::smallint",M634&amp;"::smallint")&amp;", p_mes_fabricacion =&gt; "&amp;IF(N634&amp;""="","NULL::smallint",N634&amp;"::smallint")&amp;", p_fecha_ultima_prueba_hidrostatica =&gt; "&amp;IF(O634&amp;""="","NULL","'"&amp;YEAR(O634)&amp;"-"&amp;TEXT(MONTH(O634),"00")&amp;"-"&amp;TEXT(DAY(O634),"00")&amp;"'")&amp;", p_numero_serie =&gt; "&amp;IF(TRIM(Q634&amp;"")="","NULL","'"&amp;SUBSTITUTE(TRIM(Q634),"'","''")&amp;"'")&amp;", p_id_marca_cilindro =&gt; "&amp;IF(TRIM(R634&amp;"")="","NULL","(SELECT lo.id FROM gen_lista_opciones lo JOIN gen_lista l ON l.id = lo.id_lista WHERE l.nombre = 'MarcaCilindro' AND upper(lo.nombre) = upper('"&amp;SUBSTITUTE(TRIM(R634),"'","''")&amp;"') AND lo.estado = 1 LIMIT 1)")&amp;", p_id_organo_inspector =&gt; "&amp;IF(TRIM(S634&amp;"")="","NULL","(SELECT lo.id FROM gen_lista_opciones lo JOIN gen_lista l ON l.id = lo.id_lista WHERE l.nombre = 'OrganoInspectorCilindro' AND upper(lo.nombre) = upper('"&amp;SUBSTITUTE(TRIM(S634),"'","''")&amp;"') AND lo.estado = 1 LIMIT 1)")&amp;", p_organo_inspector_no_aplica =&gt; "&amp;IF(S634="NO_APLICA","TRUE","FALSE")&amp;", p_presion_actual =&gt; "&amp;IF(T634&amp;""="","NULL",SUBSTITUTE(T634&amp;"",",","."))&amp;", p_tipo_valvula =&gt; "&amp;IF(TRIM(U634&amp;"")="","NULL","'"&amp;SUBSTITUTE(TRIM(U634),"'","''")&amp;"'")&amp;", p_libro_cilindro =&gt; "&amp;IF(TRIM(V634&amp;"")="","NULL","'"&amp;SUBSTITUTE(TRIM(V634),"'","''")&amp;"'")&amp;", p_pagina_libro =&gt; "&amp;IF(W634&amp;""="","NULL",SUBSTITUTE(W634&amp;"",",","."))&amp;", p_observacion =&gt; "&amp;IF(TRIM(X634&amp;"")="","NULL","'"&amp;SUBSTITUTE(TRIM(X634),"'","''")&amp;"'")&amp;") AS resultado_balon_"&amp;ROW()&amp;";")</f>
        <v/>
      </c>
    </row>
    <row r="635" ht="15.75" customHeight="1" s="64">
      <c r="A635" s="36" t="inlineStr">
        <is>
          <t>631</t>
        </is>
      </c>
      <c r="B635" s="25">
        <f>IF(AND(C635="",D635="",E635=""),"",IF(C635="","FALTA código balón",IF(D635="","FALTA tipo balón",IF(E635="","FALTA gas",IF(F635="","FALTA propietario",IF(AND(C635&lt;&gt;"",SUMPRODUCT(--($C$5:$C$1200=C635))&gt;1),"CÓDIGO BALÓN DUPLICADO",IF(AND(OR(UPPER(F635)="PLANTA",UPPER(F635)="CLIENTE"),G635=""),"FALTA doc propietario/planta",IF(AND(UPPER(F635)="PLANTA",G635="10175332796"),"PLANTA no puede ser RUC empresa","OK"))))))))</f>
        <v/>
      </c>
      <c r="C635" s="23" t="inlineStr">
        <is>
          <t>19S205168</t>
        </is>
      </c>
      <c r="D635" s="17" t="inlineStr">
        <is>
          <t>Oxígeno Industrial 6 m³</t>
        </is>
      </c>
      <c r="E635" s="17" t="inlineStr">
        <is>
          <t>OXIGENO INDUSTRIAL</t>
        </is>
      </c>
      <c r="F635" s="17" t="inlineStr">
        <is>
          <t>EMPRESA</t>
        </is>
      </c>
      <c r="G635" s="23" t="inlineStr">
        <is>
          <t>10175332796</t>
        </is>
      </c>
      <c r="H635" s="25">
        <f t="array" ref="H635">IF(G635="","",IFERROR(IF(INDEX(Clientes!$D$5:$D$549,MATCH(G635,Clientes!$C$5:$C$549,0))&lt;&gt;"",INDEX(Clientes!$D$5:$D$549,MATCH(G635,Clientes!$C$5:$C$549,0)),TRIM(INDEX(Clientes!$E$5:$E$549,MATCH(G635,Clientes!$C$5:$C$549,0))&amp;" "&amp;INDEX(Clientes!$F$5:$F$549,MATCH(G635,Clientes!$C$5:$C$549,0)))),"NO EXISTE en Clientes"))</f>
        <v/>
      </c>
      <c r="I635" s="17" t="inlineStr">
        <is>
          <t>EN_PODER_CLIENTE</t>
        </is>
      </c>
      <c r="J635" s="17" t="n"/>
      <c r="K635" s="23" t="inlineStr">
        <is>
          <t>16530919</t>
        </is>
      </c>
      <c r="L635" s="25">
        <f t="array" ref="L635">IF(K635="","",IFERROR(IF(INDEX(Clientes!$D$5:$D$549,MATCH(K635,Clientes!$C$5:$C$549,0))&lt;&gt;"",INDEX(Clientes!$D$5:$D$549,MATCH(K635,Clientes!$C$5:$C$549,0)),TRIM(INDEX(Clientes!$E$5:$E$549,MATCH(K635,Clientes!$C$5:$C$549,0))&amp;" "&amp;INDEX(Clientes!$F$5:$F$549,MATCH(K635,Clientes!$C$5:$C$549,0)))),"NO EXISTE en Clientes"))</f>
        <v/>
      </c>
      <c r="M635" s="17" t="n"/>
      <c r="N635" s="17" t="n"/>
      <c r="O635" s="42" t="n"/>
      <c r="P635" s="39" t="n"/>
      <c r="Q635" s="23" t="n"/>
      <c r="R635" s="17" t="n"/>
      <c r="S635" s="17" t="n"/>
      <c r="T635" s="17" t="n"/>
      <c r="U635" s="17" t="n"/>
      <c r="V635" s="23" t="n"/>
      <c r="W635" s="17" t="n"/>
      <c r="X635" s="17" t="n"/>
      <c r="Y635" s="28">
        <f>IF(B635&lt;&gt;"OK","","SELECT bal_crear_balon(p_codigo_balon =&gt; "&amp;IF(TRIM(C635&amp;"")="","NULL","'"&amp;SUBSTITUTE(TRIM(C635),"'","''")&amp;"'")&amp;", p_id_tipo_balon =&gt; "&amp;"(SELECT id FROM bal_tipo_balon WHERE upper(nombre) = upper('"&amp;SUBSTITUTE(TRIM(D635),"'","''")&amp;"') AND estado = 1 LIMIT 1)"&amp;", p_id_producto_gas =&gt; "&amp;"(SELECT id FROM pro_producto WHERE es_gas = TRUE AND upper(nombre) = upper('"&amp;SUBSTITUTE(TRIM(E635),"'","''")&amp;"') AND estado = 1 LIMIT 1)"&amp;", p_id_propietario =&gt; "&amp;IF(TRIM(F635&amp;"")="","NULL","(SELECT lo.id FROM gen_lista_opciones lo JOIN gen_lista l ON l.id = lo.id_lista WHERE l.nombre = 'PropietarioBalon' AND upper(lo.nombre) = upper('"&amp;SUBSTITUTE(TRIM(F635),"'","''")&amp;"') AND lo.estado = 1 LIMIT 1)")&amp;", p_id_cliente_propietario =&gt; "&amp;IF(F635="CLIENTE",IF(TRIM(G635&amp;"")="","NULL","(SELECT id FROM cli_clientes WHERE numero_documento = '"&amp;SUBSTITUTE(TRIM(G635),"'","''")&amp;"' AND estado = 1 LIMIT 1)"),"NULL")&amp;", p_id_planta =&gt; "&amp;IF(F635="PLANTA",IF(TRIM(G635&amp;"")="","NULL","(SELECT id FROM cli_clientes WHERE numero_documento = '"&amp;SUBSTITUTE(TRIM(G635),"'","''")&amp;"'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"&amp;IF(TRIM(J635&amp;"")="","NULL","(SELECT id FROM gen_almacen WHERE upper(nombre) = upper('"&amp;SUBSTITUTE(TRIM(J635),"'","''")&amp;"') AND estado = 1 LIMIT 1)")&amp;", p_id_cliente_ubicacion =&gt; "&amp;IF(TRIM(K635&amp;"")="","NULL","(SELECT id FROM cli_clientes WHERE numero_documento = '"&amp;SUBSTITUTE(TRIM(K635),"'","''")&amp;"' AND estado = 1 LIMIT 1)")&amp;", p_id_referencia =&gt; "&amp;IF(TRIM(J635&amp;"")&lt;&gt;"","(SELECT lo.id FROM gen_lista_opciones lo JOIN gen_lista l ON l.id = lo.id_lista WHERE l.nombre = 'ReferenciaCilindro' AND upper(lo.nombre) = 'ALMACEN' AND lo.estado = 1 LIMIT 1)",IF(TRIM(K635&amp;"")&lt;&gt;"","(SELECT lo.id FROM gen_lista_opciones lo JOIN gen_lista l ON l.id = lo.id_lista WHERE l.nombre = 'ReferenciaCilindro' AND upper(lo.nombre) = 'CLIENTE' AND lo.estado = 1 LIMIT 1)","NULL"))&amp;", p_anio_fabricacion =&gt; "&amp;IF(M635&amp;""="","NULL::smallint",M635&amp;"::smallint")&amp;", p_mes_fabricacion =&gt; "&amp;IF(N635&amp;""="","NULL::smallint",N635&amp;"::smallint")&amp;", p_fecha_ultima_prueba_hidrostatica =&gt; "&amp;IF(O635&amp;""="","NULL","'"&amp;YEAR(O635)&amp;"-"&amp;TEXT(MONTH(O635),"00")&amp;"-"&amp;TEXT(DAY(O635),"00")&amp;"'")&amp;", p_numero_serie =&gt; "&amp;IF(TRIM(Q635&amp;"")="","NULL","'"&amp;SUBSTITUTE(TRIM(Q635),"'","''")&amp;"'")&amp;", p_id_marca_cilindro =&gt; "&amp;IF(TRIM(R635&amp;"")="","NULL","(SELECT lo.id FROM gen_lista_opciones lo JOIN gen_lista l ON l.id = lo.id_lista WHERE l.nombre = 'MarcaCilindro' AND upper(lo.nombre) = upper('"&amp;SUBSTITUTE(TRIM(R635),"'","''")&amp;"') AND lo.estado = 1 LIMIT 1)")&amp;", p_id_organo_inspector =&gt; "&amp;IF(TRIM(S635&amp;"")="","NULL","(SELECT lo.id FROM gen_lista_opciones lo JOIN gen_lista l ON l.id = lo.id_lista WHERE l.nombre = 'OrganoInspectorCilindro' AND upper(lo.nombre) = upper('"&amp;SUBSTITUTE(TRIM(S635),"'","''")&amp;"') AND lo.estado = 1 LIMIT 1)")&amp;", p_organo_inspector_no_aplica =&gt; "&amp;IF(S635="NO_APLICA","TRUE","FALSE")&amp;", p_presion_actual =&gt; "&amp;IF(T635&amp;""="","NULL",SUBSTITUTE(T635&amp;"",",","."))&amp;", p_tipo_valvula =&gt; "&amp;IF(TRIM(U635&amp;"")="","NULL","'"&amp;SUBSTITUTE(TRIM(U635),"'","''")&amp;"'")&amp;", p_libro_cilindro =&gt; "&amp;IF(TRIM(V635&amp;"")="","NULL","'"&amp;SUBSTITUTE(TRIM(V635),"'","''")&amp;"'")&amp;", p_pagina_libro =&gt; "&amp;IF(W635&amp;""="","NULL",SUBSTITUTE(W635&amp;"",",","."))&amp;", p_observacion =&gt; "&amp;IF(TRIM(X635&amp;"")="","NULL","'"&amp;SUBSTITUTE(TRIM(X635),"'","''")&amp;"'")&amp;") AS resultado_balon_"&amp;ROW()&amp;";")</f>
        <v/>
      </c>
    </row>
    <row r="636" ht="15.75" customHeight="1" s="64">
      <c r="A636" s="36" t="inlineStr">
        <is>
          <t>632</t>
        </is>
      </c>
      <c r="B636" s="25">
        <f>IF(AND(C636="",D636="",E636=""),"",IF(C636="","FALTA código balón",IF(D636="","FALTA tipo balón",IF(E636="","FALTA gas",IF(F636="","FALTA propietario",IF(AND(C636&lt;&gt;"",SUMPRODUCT(--($C$5:$C$1200=C636))&gt;1),"CÓDIGO BALÓN DUPLICADO",IF(AND(OR(UPPER(F636)="PLANTA",UPPER(F636)="CLIENTE"),G636=""),"FALTA doc propietario/planta",IF(AND(UPPER(F636)="PLANTA",G636="10175332796"),"PLANTA no puede ser RUC empresa","OK"))))))))</f>
        <v/>
      </c>
      <c r="C636" s="23" t="inlineStr">
        <is>
          <t>20K684148</t>
        </is>
      </c>
      <c r="D636" s="17" t="inlineStr">
        <is>
          <t>Oxígeno Industrial 10 m³</t>
        </is>
      </c>
      <c r="E636" s="17" t="inlineStr">
        <is>
          <t>OXIGENO INDUSTRIAL</t>
        </is>
      </c>
      <c r="F636" s="17" t="inlineStr">
        <is>
          <t>EMPRESA</t>
        </is>
      </c>
      <c r="G636" s="23" t="inlineStr">
        <is>
          <t>10175332796</t>
        </is>
      </c>
      <c r="H636" s="25">
        <f t="array" ref="H636">IF(G636="","",IFERROR(IF(INDEX(Clientes!$D$5:$D$549,MATCH(G636,Clientes!$C$5:$C$549,0))&lt;&gt;"",INDEX(Clientes!$D$5:$D$549,MATCH(G636,Clientes!$C$5:$C$549,0)),TRIM(INDEX(Clientes!$E$5:$E$549,MATCH(G636,Clientes!$C$5:$C$549,0))&amp;" "&amp;INDEX(Clientes!$F$5:$F$549,MATCH(G636,Clientes!$C$5:$C$549,0)))),"NO EXISTE en Clientes"))</f>
        <v/>
      </c>
      <c r="I636" s="17" t="inlineStr">
        <is>
          <t>EN_PODER_CLIENTE</t>
        </is>
      </c>
      <c r="J636" s="17" t="n"/>
      <c r="K636" s="26" t="inlineStr">
        <is>
          <t>20174513245</t>
        </is>
      </c>
      <c r="L636" s="25">
        <f t="array" ref="L636">IF(K636="","",IFERROR(IF(INDEX(Clientes!$D$5:$D$549,MATCH(K636,Clientes!$C$5:$C$549,0))&lt;&gt;"",INDEX(Clientes!$D$5:$D$549,MATCH(K636,Clientes!$C$5:$C$549,0)),TRIM(INDEX(Clientes!$E$5:$E$549,MATCH(K636,Clientes!$C$5:$C$549,0))&amp;" "&amp;INDEX(Clientes!$F$5:$F$549,MATCH(K636,Clientes!$C$5:$C$549,0)))),"NO EXISTE en Clientes"))</f>
        <v/>
      </c>
      <c r="M636" s="17" t="n"/>
      <c r="N636" s="17" t="n"/>
      <c r="O636" s="42" t="n"/>
      <c r="P636" s="39" t="n"/>
      <c r="Q636" s="23" t="n"/>
      <c r="R636" s="17" t="n"/>
      <c r="S636" s="17" t="n"/>
      <c r="T636" s="17" t="n"/>
      <c r="U636" s="17" t="n"/>
      <c r="V636" s="23" t="n"/>
      <c r="W636" s="17" t="n"/>
      <c r="X636" s="17" t="n"/>
      <c r="Y636" s="28">
        <f>IF(B636&lt;&gt;"OK","","SELECT bal_crear_balon(p_codigo_balon =&gt; "&amp;IF(TRIM(C636&amp;"")="","NULL","'"&amp;SUBSTITUTE(TRIM(C636),"'","''")&amp;"'")&amp;", p_id_tipo_balon =&gt; "&amp;"(SELECT id FROM bal_tipo_balon WHERE upper(nombre) = upper('"&amp;SUBSTITUTE(TRIM(D636),"'","''")&amp;"') AND estado = 1 LIMIT 1)"&amp;", p_id_producto_gas =&gt; "&amp;"(SELECT id FROM pro_producto WHERE es_gas = TRUE AND upper(nombre) = upper('"&amp;SUBSTITUTE(TRIM(E636),"'","''")&amp;"') AND estado = 1 LIMIT 1)"&amp;", p_id_propietario =&gt; "&amp;IF(TRIM(F636&amp;"")="","NULL","(SELECT lo.id FROM gen_lista_opciones lo JOIN gen_lista l ON l.id = lo.id_lista WHERE l.nombre = 'PropietarioBalon' AND upper(lo.nombre) = upper('"&amp;SUBSTITUTE(TRIM(F636),"'","''")&amp;"') AND lo.estado = 1 LIMIT 1)")&amp;", p_id_cliente_propietario =&gt; "&amp;IF(F636="CLIENTE",IF(TRIM(G636&amp;"")="","NULL","(SELECT id FROM cli_clientes WHERE numero_documento = '"&amp;SUBSTITUTE(TRIM(G636),"'","''")&amp;"' AND estado = 1 LIMIT 1)"),"NULL")&amp;", p_id_planta =&gt; "&amp;IF(F636="PLANTA",IF(TRIM(G636&amp;"")="","NULL","(SELECT id FROM cli_clientes WHERE numero_documento = '"&amp;SUBSTITUTE(TRIM(G636),"'","''")&amp;"'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"&amp;IF(TRIM(J636&amp;"")="","NULL","(SELECT id FROM gen_almacen WHERE upper(nombre) = upper('"&amp;SUBSTITUTE(TRIM(J636),"'","''")&amp;"') AND estado = 1 LIMIT 1)")&amp;", p_id_cliente_ubicacion =&gt; "&amp;IF(TRIM(K636&amp;"")="","NULL","(SELECT id FROM cli_clientes WHERE numero_documento = '"&amp;SUBSTITUTE(TRIM(K636),"'","''")&amp;"' AND estado = 1 LIMIT 1)")&amp;", p_id_referencia =&gt; "&amp;IF(TRIM(J636&amp;"")&lt;&gt;"","(SELECT lo.id FROM gen_lista_opciones lo JOIN gen_lista l ON l.id = lo.id_lista WHERE l.nombre = 'ReferenciaCilindro' AND upper(lo.nombre) = 'ALMACEN' AND lo.estado = 1 LIMIT 1)",IF(TRIM(K636&amp;"")&lt;&gt;"","(SELECT lo.id FROM gen_lista_opciones lo JOIN gen_lista l ON l.id = lo.id_lista WHERE l.nombre = 'ReferenciaCilindro' AND upper(lo.nombre) = 'CLIENTE' AND lo.estado = 1 LIMIT 1)","NULL"))&amp;", p_anio_fabricacion =&gt; "&amp;IF(M636&amp;""="","NULL::smallint",M636&amp;"::smallint")&amp;", p_mes_fabricacion =&gt; "&amp;IF(N636&amp;""="","NULL::smallint",N636&amp;"::smallint")&amp;", p_fecha_ultima_prueba_hidrostatica =&gt; "&amp;IF(O636&amp;""="","NULL","'"&amp;YEAR(O636)&amp;"-"&amp;TEXT(MONTH(O636),"00")&amp;"-"&amp;TEXT(DAY(O636),"00")&amp;"'")&amp;", p_numero_serie =&gt; "&amp;IF(TRIM(Q636&amp;"")="","NULL","'"&amp;SUBSTITUTE(TRIM(Q636),"'","''")&amp;"'")&amp;", p_id_marca_cilindro =&gt; "&amp;IF(TRIM(R636&amp;"")="","NULL","(SELECT lo.id FROM gen_lista_opciones lo JOIN gen_lista l ON l.id = lo.id_lista WHERE l.nombre = 'MarcaCilindro' AND upper(lo.nombre) = upper('"&amp;SUBSTITUTE(TRIM(R636),"'","''")&amp;"') AND lo.estado = 1 LIMIT 1)")&amp;", p_id_organo_inspector =&gt; "&amp;IF(TRIM(S636&amp;"")="","NULL","(SELECT lo.id FROM gen_lista_opciones lo JOIN gen_lista l ON l.id = lo.id_lista WHERE l.nombre = 'OrganoInspectorCilindro' AND upper(lo.nombre) = upper('"&amp;SUBSTITUTE(TRIM(S636),"'","''")&amp;"') AND lo.estado = 1 LIMIT 1)")&amp;", p_organo_inspector_no_aplica =&gt; "&amp;IF(S636="NO_APLICA","TRUE","FALSE")&amp;", p_presion_actual =&gt; "&amp;IF(T636&amp;""="","NULL",SUBSTITUTE(T636&amp;"",",","."))&amp;", p_tipo_valvula =&gt; "&amp;IF(TRIM(U636&amp;"")="","NULL","'"&amp;SUBSTITUTE(TRIM(U636),"'","''")&amp;"'")&amp;", p_libro_cilindro =&gt; "&amp;IF(TRIM(V636&amp;"")="","NULL","'"&amp;SUBSTITUTE(TRIM(V636),"'","''")&amp;"'")&amp;", p_pagina_libro =&gt; "&amp;IF(W636&amp;""="","NULL",SUBSTITUTE(W636&amp;"",",","."))&amp;", p_observacion =&gt; "&amp;IF(TRIM(X636&amp;"")="","NULL","'"&amp;SUBSTITUTE(TRIM(X636),"'","''")&amp;"'")&amp;") AS resultado_balon_"&amp;ROW()&amp;";")</f>
        <v/>
      </c>
    </row>
    <row r="637" ht="15.75" customHeight="1" s="64">
      <c r="A637" s="36" t="inlineStr">
        <is>
          <t>633</t>
        </is>
      </c>
      <c r="B637" s="25">
        <f>IF(AND(C637="",D637="",E637=""),"",IF(C637="","FALTA código balón",IF(D637="","FALTA tipo balón",IF(E637="","FALTA gas",IF(F637="","FALTA propietario",IF(AND(C637&lt;&gt;"",SUMPRODUCT(--($C$5:$C$1200=C637))&gt;1),"CÓDIGO BALÓN DUPLICADO",IF(AND(OR(UPPER(F637)="PLANTA",UPPER(F637)="CLIENTE"),G637=""),"FALTA doc propietario/planta",IF(AND(UPPER(F637)="PLANTA",G637="10175332796"),"PLANTA no puede ser RUC empresa","OK"))))))))</f>
        <v/>
      </c>
      <c r="C637" s="23" t="inlineStr">
        <is>
          <t>20K709121</t>
        </is>
      </c>
      <c r="D637" s="17" t="inlineStr">
        <is>
          <t>Oxígeno Industrial 10 m³</t>
        </is>
      </c>
      <c r="E637" s="17" t="inlineStr">
        <is>
          <t>OXIGENO INDUSTRIAL</t>
        </is>
      </c>
      <c r="F637" s="17" t="inlineStr">
        <is>
          <t>EMPRESA</t>
        </is>
      </c>
      <c r="G637" s="23" t="inlineStr">
        <is>
          <t>10175332796</t>
        </is>
      </c>
      <c r="H637" s="25">
        <f t="array" ref="H637">IF(G637="","",IFERROR(IF(INDEX(Clientes!$D$5:$D$549,MATCH(G637,Clientes!$C$5:$C$549,0))&lt;&gt;"",INDEX(Clientes!$D$5:$D$549,MATCH(G637,Clientes!$C$5:$C$549,0)),TRIM(INDEX(Clientes!$E$5:$E$549,MATCH(G637,Clientes!$C$5:$C$549,0))&amp;" "&amp;INDEX(Clientes!$F$5:$F$549,MATCH(G637,Clientes!$C$5:$C$549,0)))),"NO EXISTE en Clientes"))</f>
        <v/>
      </c>
      <c r="I637" s="17" t="inlineStr">
        <is>
          <t>EN_PODER_CLIENTE</t>
        </is>
      </c>
      <c r="J637" s="17" t="n"/>
      <c r="K637" s="26" t="inlineStr">
        <is>
          <t>20174513245</t>
        </is>
      </c>
      <c r="L637" s="25">
        <f t="array" ref="L637">IF(K637="","",IFERROR(IF(INDEX(Clientes!$D$5:$D$549,MATCH(K637,Clientes!$C$5:$C$549,0))&lt;&gt;"",INDEX(Clientes!$D$5:$D$549,MATCH(K637,Clientes!$C$5:$C$549,0)),TRIM(INDEX(Clientes!$E$5:$E$549,MATCH(K637,Clientes!$C$5:$C$549,0))&amp;" "&amp;INDEX(Clientes!$F$5:$F$549,MATCH(K637,Clientes!$C$5:$C$549,0)))),"NO EXISTE en Clientes"))</f>
        <v/>
      </c>
      <c r="M637" s="17" t="n"/>
      <c r="N637" s="17" t="n"/>
      <c r="O637" s="42" t="n"/>
      <c r="P637" s="39" t="n"/>
      <c r="Q637" s="23" t="n"/>
      <c r="R637" s="17" t="n"/>
      <c r="S637" s="17" t="n"/>
      <c r="T637" s="17" t="n"/>
      <c r="U637" s="17" t="n"/>
      <c r="V637" s="23" t="n"/>
      <c r="W637" s="17" t="n"/>
      <c r="X637" s="17" t="n"/>
      <c r="Y637" s="28">
        <f>IF(B637&lt;&gt;"OK","","SELECT bal_crear_balon(p_codigo_balon =&gt; "&amp;IF(TRIM(C637&amp;"")="","NULL","'"&amp;SUBSTITUTE(TRIM(C637),"'","''")&amp;"'")&amp;", p_id_tipo_balon =&gt; "&amp;"(SELECT id FROM bal_tipo_balon WHERE upper(nombre) = upper('"&amp;SUBSTITUTE(TRIM(D637),"'","''")&amp;"') AND estado = 1 LIMIT 1)"&amp;", p_id_producto_gas =&gt; "&amp;"(SELECT id FROM pro_producto WHERE es_gas = TRUE AND upper(nombre) = upper('"&amp;SUBSTITUTE(TRIM(E637),"'","''")&amp;"') AND estado = 1 LIMIT 1)"&amp;", p_id_propietario =&gt; "&amp;IF(TRIM(F637&amp;"")="","NULL","(SELECT lo.id FROM gen_lista_opciones lo JOIN gen_lista l ON l.id = lo.id_lista WHERE l.nombre = 'PropietarioBalon' AND upper(lo.nombre) = upper('"&amp;SUBSTITUTE(TRIM(F637),"'","''")&amp;"') AND lo.estado = 1 LIMIT 1)")&amp;", p_id_cliente_propietario =&gt; "&amp;IF(F637="CLIENTE",IF(TRIM(G637&amp;"")="","NULL","(SELECT id FROM cli_clientes WHERE numero_documento = '"&amp;SUBSTITUTE(TRIM(G637),"'","''")&amp;"' AND estado = 1 LIMIT 1)"),"NULL")&amp;", p_id_planta =&gt; "&amp;IF(F637="PLANTA",IF(TRIM(G637&amp;"")="","NULL","(SELECT id FROM cli_clientes WHERE numero_documento = '"&amp;SUBSTITUTE(TRIM(G637),"'","''")&amp;"'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"&amp;IF(TRIM(J637&amp;"")="","NULL","(SELECT id FROM gen_almacen WHERE upper(nombre) = upper('"&amp;SUBSTITUTE(TRIM(J637),"'","''")&amp;"') AND estado = 1 LIMIT 1)")&amp;", p_id_cliente_ubicacion =&gt; "&amp;IF(TRIM(K637&amp;"")="","NULL","(SELECT id FROM cli_clientes WHERE numero_documento = '"&amp;SUBSTITUTE(TRIM(K637),"'","''")&amp;"' AND estado = 1 LIMIT 1)")&amp;", p_id_referencia =&gt; "&amp;IF(TRIM(J637&amp;"")&lt;&gt;"","(SELECT lo.id FROM gen_lista_opciones lo JOIN gen_lista l ON l.id = lo.id_lista WHERE l.nombre = 'ReferenciaCilindro' AND upper(lo.nombre) = 'ALMACEN' AND lo.estado = 1 LIMIT 1)",IF(TRIM(K637&amp;"")&lt;&gt;"","(SELECT lo.id FROM gen_lista_opciones lo JOIN gen_lista l ON l.id = lo.id_lista WHERE l.nombre = 'ReferenciaCilindro' AND upper(lo.nombre) = 'CLIENTE' AND lo.estado = 1 LIMIT 1)","NULL"))&amp;", p_anio_fabricacion =&gt; "&amp;IF(M637&amp;""="","NULL::smallint",M637&amp;"::smallint")&amp;", p_mes_fabricacion =&gt; "&amp;IF(N637&amp;""="","NULL::smallint",N637&amp;"::smallint")&amp;", p_fecha_ultima_prueba_hidrostatica =&gt; "&amp;IF(O637&amp;""="","NULL","'"&amp;YEAR(O637)&amp;"-"&amp;TEXT(MONTH(O637),"00")&amp;"-"&amp;TEXT(DAY(O637),"00")&amp;"'")&amp;", p_numero_serie =&gt; "&amp;IF(TRIM(Q637&amp;"")="","NULL","'"&amp;SUBSTITUTE(TRIM(Q637),"'","''")&amp;"'")&amp;", p_id_marca_cilindro =&gt; "&amp;IF(TRIM(R637&amp;"")="","NULL","(SELECT lo.id FROM gen_lista_opciones lo JOIN gen_lista l ON l.id = lo.id_lista WHERE l.nombre = 'MarcaCilindro' AND upper(lo.nombre) = upper('"&amp;SUBSTITUTE(TRIM(R637),"'","''")&amp;"') AND lo.estado = 1 LIMIT 1)")&amp;", p_id_organo_inspector =&gt; "&amp;IF(TRIM(S637&amp;"")="","NULL","(SELECT lo.id FROM gen_lista_opciones lo JOIN gen_lista l ON l.id = lo.id_lista WHERE l.nombre = 'OrganoInspectorCilindro' AND upper(lo.nombre) = upper('"&amp;SUBSTITUTE(TRIM(S637),"'","''")&amp;"') AND lo.estado = 1 LIMIT 1)")&amp;", p_organo_inspector_no_aplica =&gt; "&amp;IF(S637="NO_APLICA","TRUE","FALSE")&amp;", p_presion_actual =&gt; "&amp;IF(T637&amp;""="","NULL",SUBSTITUTE(T637&amp;"",",","."))&amp;", p_tipo_valvula =&gt; "&amp;IF(TRIM(U637&amp;"")="","NULL","'"&amp;SUBSTITUTE(TRIM(U637),"'","''")&amp;"'")&amp;", p_libro_cilindro =&gt; "&amp;IF(TRIM(V637&amp;"")="","NULL","'"&amp;SUBSTITUTE(TRIM(V637),"'","''")&amp;"'")&amp;", p_pagina_libro =&gt; "&amp;IF(W637&amp;""="","NULL",SUBSTITUTE(W637&amp;"",",","."))&amp;", p_observacion =&gt; "&amp;IF(TRIM(X637&amp;"")="","NULL","'"&amp;SUBSTITUTE(TRIM(X637),"'","''")&amp;"'")&amp;") AS resultado_balon_"&amp;ROW()&amp;";")</f>
        <v/>
      </c>
    </row>
    <row r="638" ht="15.75" customHeight="1" s="64">
      <c r="A638" s="36" t="inlineStr">
        <is>
          <t>634</t>
        </is>
      </c>
      <c r="B638" s="25">
        <f>IF(AND(C638="",D638="",E638=""),"",IF(C638="","FALTA código balón",IF(D638="","FALTA tipo balón",IF(E638="","FALTA gas",IF(F638="","FALTA propietario",IF(AND(C638&lt;&gt;"",SUMPRODUCT(--($C$5:$C$1200=C638))&gt;1),"CÓDIGO BALÓN DUPLICADO",IF(AND(OR(UPPER(F638)="PLANTA",UPPER(F638)="CLIENTE"),G638=""),"FALTA doc propietario/planta",IF(AND(UPPER(F638)="PLANTA",G638="10175332796"),"PLANTA no puede ser RUC empresa","OK"))))))))</f>
        <v/>
      </c>
      <c r="C638" s="23" t="inlineStr">
        <is>
          <t>K4616005</t>
        </is>
      </c>
      <c r="D638" s="17" t="inlineStr">
        <is>
          <t>Oxígeno Industrial 10 m³</t>
        </is>
      </c>
      <c r="E638" s="17" t="inlineStr">
        <is>
          <t>OXIGENO INDUSTRIAL</t>
        </is>
      </c>
      <c r="F638" s="17" t="inlineStr">
        <is>
          <t>EMPRESA</t>
        </is>
      </c>
      <c r="G638" s="23" t="inlineStr">
        <is>
          <t>10175332796</t>
        </is>
      </c>
      <c r="H638" s="25">
        <f t="array" ref="H638">IF(G638="","",IFERROR(IF(INDEX(Clientes!$D$5:$D$549,MATCH(G638,Clientes!$C$5:$C$549,0))&lt;&gt;"",INDEX(Clientes!$D$5:$D$549,MATCH(G638,Clientes!$C$5:$C$549,0)),TRIM(INDEX(Clientes!$E$5:$E$549,MATCH(G638,Clientes!$C$5:$C$549,0))&amp;" "&amp;INDEX(Clientes!$F$5:$F$549,MATCH(G638,Clientes!$C$5:$C$549,0)))),"NO EXISTE en Clientes"))</f>
        <v/>
      </c>
      <c r="I638" s="17" t="inlineStr">
        <is>
          <t>EN_PODER_CLIENTE</t>
        </is>
      </c>
      <c r="J638" s="17" t="n"/>
      <c r="K638" s="26" t="inlineStr">
        <is>
          <t>20174513245</t>
        </is>
      </c>
      <c r="L638" s="25">
        <f t="array" ref="L638">IF(K638="","",IFERROR(IF(INDEX(Clientes!$D$5:$D$549,MATCH(K638,Clientes!$C$5:$C$549,0))&lt;&gt;"",INDEX(Clientes!$D$5:$D$549,MATCH(K638,Clientes!$C$5:$C$549,0)),TRIM(INDEX(Clientes!$E$5:$E$549,MATCH(K638,Clientes!$C$5:$C$549,0))&amp;" "&amp;INDEX(Clientes!$F$5:$F$549,MATCH(K638,Clientes!$C$5:$C$549,0)))),"NO EXISTE en Clientes"))</f>
        <v/>
      </c>
      <c r="M638" s="17" t="n"/>
      <c r="N638" s="17" t="n"/>
      <c r="O638" s="42" t="n"/>
      <c r="P638" s="39" t="n"/>
      <c r="Q638" s="23" t="n"/>
      <c r="R638" s="17" t="n"/>
      <c r="S638" s="17" t="n"/>
      <c r="T638" s="17" t="n"/>
      <c r="U638" s="17" t="n"/>
      <c r="V638" s="23" t="n"/>
      <c r="W638" s="17" t="n"/>
      <c r="X638" s="17" t="n"/>
      <c r="Y638" s="28">
        <f>IF(B638&lt;&gt;"OK","","SELECT bal_crear_balon(p_codigo_balon =&gt; "&amp;IF(TRIM(C638&amp;"")="","NULL","'"&amp;SUBSTITUTE(TRIM(C638),"'","''")&amp;"'")&amp;", p_id_tipo_balon =&gt; "&amp;"(SELECT id FROM bal_tipo_balon WHERE upper(nombre) = upper('"&amp;SUBSTITUTE(TRIM(D638),"'","''")&amp;"') AND estado = 1 LIMIT 1)"&amp;", p_id_producto_gas =&gt; "&amp;"(SELECT id FROM pro_producto WHERE es_gas = TRUE AND upper(nombre) = upper('"&amp;SUBSTITUTE(TRIM(E638),"'","''")&amp;"') AND estado = 1 LIMIT 1)"&amp;", p_id_propietario =&gt; "&amp;IF(TRIM(F638&amp;"")="","NULL","(SELECT lo.id FROM gen_lista_opciones lo JOIN gen_lista l ON l.id = lo.id_lista WHERE l.nombre = 'PropietarioBalon' AND upper(lo.nombre) = upper('"&amp;SUBSTITUTE(TRIM(F638),"'","''")&amp;"') AND lo.estado = 1 LIMIT 1)")&amp;", p_id_cliente_propietario =&gt; "&amp;IF(F638="CLIENTE",IF(TRIM(G638&amp;"")="","NULL","(SELECT id FROM cli_clientes WHERE numero_documento = '"&amp;SUBSTITUTE(TRIM(G638),"'","''")&amp;"' AND estado = 1 LIMIT 1)"),"NULL")&amp;", p_id_planta =&gt; "&amp;IF(F638="PLANTA",IF(TRIM(G638&amp;"")="","NULL","(SELECT id FROM cli_clientes WHERE numero_documento = '"&amp;SUBSTITUTE(TRIM(G638),"'","''")&amp;"'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"&amp;IF(TRIM(J638&amp;"")="","NULL","(SELECT id FROM gen_almacen WHERE upper(nombre) = upper('"&amp;SUBSTITUTE(TRIM(J638),"'","''")&amp;"') AND estado = 1 LIMIT 1)")&amp;", p_id_cliente_ubicacion =&gt; "&amp;IF(TRIM(K638&amp;"")="","NULL","(SELECT id FROM cli_clientes WHERE numero_documento = '"&amp;SUBSTITUTE(TRIM(K638),"'","''")&amp;"' AND estado = 1 LIMIT 1)")&amp;", p_id_referencia =&gt; "&amp;IF(TRIM(J638&amp;"")&lt;&gt;"","(SELECT lo.id FROM gen_lista_opciones lo JOIN gen_lista l ON l.id = lo.id_lista WHERE l.nombre = 'ReferenciaCilindro' AND upper(lo.nombre) = 'ALMACEN' AND lo.estado = 1 LIMIT 1)",IF(TRIM(K638&amp;"")&lt;&gt;"","(SELECT lo.id FROM gen_lista_opciones lo JOIN gen_lista l ON l.id = lo.id_lista WHERE l.nombre = 'ReferenciaCilindro' AND upper(lo.nombre) = 'CLIENTE' AND lo.estado = 1 LIMIT 1)","NULL"))&amp;", p_anio_fabricacion =&gt; "&amp;IF(M638&amp;""="","NULL::smallint",M638&amp;"::smallint")&amp;", p_mes_fabricacion =&gt; "&amp;IF(N638&amp;""="","NULL::smallint",N638&amp;"::smallint")&amp;", p_fecha_ultima_prueba_hidrostatica =&gt; "&amp;IF(O638&amp;""="","NULL","'"&amp;YEAR(O638)&amp;"-"&amp;TEXT(MONTH(O638),"00")&amp;"-"&amp;TEXT(DAY(O638),"00")&amp;"'")&amp;", p_numero_serie =&gt; "&amp;IF(TRIM(Q638&amp;"")="","NULL","'"&amp;SUBSTITUTE(TRIM(Q638),"'","''")&amp;"'")&amp;", p_id_marca_cilindro =&gt; "&amp;IF(TRIM(R638&amp;"")="","NULL","(SELECT lo.id FROM gen_lista_opciones lo JOIN gen_lista l ON l.id = lo.id_lista WHERE l.nombre = 'MarcaCilindro' AND upper(lo.nombre) = upper('"&amp;SUBSTITUTE(TRIM(R638),"'","''")&amp;"') AND lo.estado = 1 LIMIT 1)")&amp;", p_id_organo_inspector =&gt; "&amp;IF(TRIM(S638&amp;"")="","NULL","(SELECT lo.id FROM gen_lista_opciones lo JOIN gen_lista l ON l.id = lo.id_lista WHERE l.nombre = 'OrganoInspectorCilindro' AND upper(lo.nombre) = upper('"&amp;SUBSTITUTE(TRIM(S638),"'","''")&amp;"') AND lo.estado = 1 LIMIT 1)")&amp;", p_organo_inspector_no_aplica =&gt; "&amp;IF(S638="NO_APLICA","TRUE","FALSE")&amp;", p_presion_actual =&gt; "&amp;IF(T638&amp;""="","NULL",SUBSTITUTE(T638&amp;"",",","."))&amp;", p_tipo_valvula =&gt; "&amp;IF(TRIM(U638&amp;"")="","NULL","'"&amp;SUBSTITUTE(TRIM(U638),"'","''")&amp;"'")&amp;", p_libro_cilindro =&gt; "&amp;IF(TRIM(V638&amp;"")="","NULL","'"&amp;SUBSTITUTE(TRIM(V638),"'","''")&amp;"'")&amp;", p_pagina_libro =&gt; "&amp;IF(W638&amp;""="","NULL",SUBSTITUTE(W638&amp;"",",","."))&amp;", p_observacion =&gt; "&amp;IF(TRIM(X638&amp;"")="","NULL","'"&amp;SUBSTITUTE(TRIM(X638),"'","''")&amp;"'")&amp;") AS resultado_balon_"&amp;ROW()&amp;";")</f>
        <v/>
      </c>
    </row>
    <row r="639" ht="15.75" customHeight="1" s="64">
      <c r="A639" s="36" t="inlineStr">
        <is>
          <t>635</t>
        </is>
      </c>
      <c r="B639" s="25">
        <f>IF(AND(C639="",D639="",E639=""),"",IF(C639="","FALTA código balón",IF(D639="","FALTA tipo balón",IF(E639="","FALTA gas",IF(F639="","FALTA propietario",IF(AND(C639&lt;&gt;"",SUMPRODUCT(--($C$5:$C$1200=C639))&gt;1),"CÓDIGO BALÓN DUPLICADO",IF(AND(OR(UPPER(F639)="PLANTA",UPPER(F639)="CLIENTE"),G639=""),"FALTA doc propietario/planta",IF(AND(UPPER(F639)="PLANTA",G639="10175332796"),"PLANTA no puede ser RUC empresa","OK"))))))))</f>
        <v/>
      </c>
      <c r="C639" s="23" t="inlineStr">
        <is>
          <t>K4842039</t>
        </is>
      </c>
      <c r="D639" s="17" t="inlineStr">
        <is>
          <t>Oxígeno Industrial 10 m³</t>
        </is>
      </c>
      <c r="E639" s="17" t="inlineStr">
        <is>
          <t>OXIGENO INDUSTRIAL</t>
        </is>
      </c>
      <c r="F639" s="17" t="inlineStr">
        <is>
          <t>EMPRESA</t>
        </is>
      </c>
      <c r="G639" s="23" t="inlineStr">
        <is>
          <t>10175332796</t>
        </is>
      </c>
      <c r="H639" s="25">
        <f t="array" ref="H639">IF(G639="","",IFERROR(IF(INDEX(Clientes!$D$5:$D$549,MATCH(G639,Clientes!$C$5:$C$549,0))&lt;&gt;"",INDEX(Clientes!$D$5:$D$549,MATCH(G639,Clientes!$C$5:$C$549,0)),TRIM(INDEX(Clientes!$E$5:$E$549,MATCH(G639,Clientes!$C$5:$C$549,0))&amp;" "&amp;INDEX(Clientes!$F$5:$F$549,MATCH(G639,Clientes!$C$5:$C$549,0)))),"NO EXISTE en Clientes"))</f>
        <v/>
      </c>
      <c r="I639" s="17" t="inlineStr">
        <is>
          <t>EN_PODER_CLIENTE</t>
        </is>
      </c>
      <c r="J639" s="17" t="n"/>
      <c r="K639" s="26" t="inlineStr">
        <is>
          <t>20174513245</t>
        </is>
      </c>
      <c r="L639" s="25">
        <f t="array" ref="L639">IF(K639="","",IFERROR(IF(INDEX(Clientes!$D$5:$D$549,MATCH(K639,Clientes!$C$5:$C$549,0))&lt;&gt;"",INDEX(Clientes!$D$5:$D$549,MATCH(K639,Clientes!$C$5:$C$549,0)),TRIM(INDEX(Clientes!$E$5:$E$549,MATCH(K639,Clientes!$C$5:$C$549,0))&amp;" "&amp;INDEX(Clientes!$F$5:$F$549,MATCH(K639,Clientes!$C$5:$C$549,0)))),"NO EXISTE en Clientes"))</f>
        <v/>
      </c>
      <c r="M639" s="17" t="n"/>
      <c r="N639" s="17" t="n"/>
      <c r="O639" s="42" t="n"/>
      <c r="P639" s="39" t="n"/>
      <c r="Q639" s="23" t="n"/>
      <c r="R639" s="17" t="n"/>
      <c r="S639" s="17" t="n"/>
      <c r="T639" s="17" t="n"/>
      <c r="U639" s="17" t="n"/>
      <c r="V639" s="23" t="n"/>
      <c r="W639" s="17" t="n"/>
      <c r="X639" s="17" t="n"/>
      <c r="Y639" s="28">
        <f>IF(B639&lt;&gt;"OK","","SELECT bal_crear_balon(p_codigo_balon =&gt; "&amp;IF(TRIM(C639&amp;"")="","NULL","'"&amp;SUBSTITUTE(TRIM(C639),"'","''")&amp;"'")&amp;", p_id_tipo_balon =&gt; "&amp;"(SELECT id FROM bal_tipo_balon WHERE upper(nombre) = upper('"&amp;SUBSTITUTE(TRIM(D639),"'","''")&amp;"') AND estado = 1 LIMIT 1)"&amp;", p_id_producto_gas =&gt; "&amp;"(SELECT id FROM pro_producto WHERE es_gas = TRUE AND upper(nombre) = upper('"&amp;SUBSTITUTE(TRIM(E639),"'","''")&amp;"') AND estado = 1 LIMIT 1)"&amp;", p_id_propietario =&gt; "&amp;IF(TRIM(F639&amp;"")="","NULL","(SELECT lo.id FROM gen_lista_opciones lo JOIN gen_lista l ON l.id = lo.id_lista WHERE l.nombre = 'PropietarioBalon' AND upper(lo.nombre) = upper('"&amp;SUBSTITUTE(TRIM(F639),"'","''")&amp;"') AND lo.estado = 1 LIMIT 1)")&amp;", p_id_cliente_propietario =&gt; "&amp;IF(F639="CLIENTE",IF(TRIM(G639&amp;"")="","NULL","(SELECT id FROM cli_clientes WHERE numero_documento = '"&amp;SUBSTITUTE(TRIM(G639),"'","''")&amp;"' AND estado = 1 LIMIT 1)"),"NULL")&amp;", p_id_planta =&gt; "&amp;IF(F639="PLANTA",IF(TRIM(G639&amp;"")="","NULL","(SELECT id FROM cli_clientes WHERE numero_documento = '"&amp;SUBSTITUTE(TRIM(G639),"'","''")&amp;"'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"&amp;IF(TRIM(J639&amp;"")="","NULL","(SELECT id FROM gen_almacen WHERE upper(nombre) = upper('"&amp;SUBSTITUTE(TRIM(J639),"'","''")&amp;"') AND estado = 1 LIMIT 1)")&amp;", p_id_cliente_ubicacion =&gt; "&amp;IF(TRIM(K639&amp;"")="","NULL","(SELECT id FROM cli_clientes WHERE numero_documento = '"&amp;SUBSTITUTE(TRIM(K639),"'","''")&amp;"' AND estado = 1 LIMIT 1)")&amp;", p_id_referencia =&gt; "&amp;IF(TRIM(J639&amp;"")&lt;&gt;"","(SELECT lo.id FROM gen_lista_opciones lo JOIN gen_lista l ON l.id = lo.id_lista WHERE l.nombre = 'ReferenciaCilindro' AND upper(lo.nombre) = 'ALMACEN' AND lo.estado = 1 LIMIT 1)",IF(TRIM(K639&amp;"")&lt;&gt;"","(SELECT lo.id FROM gen_lista_opciones lo JOIN gen_lista l ON l.id = lo.id_lista WHERE l.nombre = 'ReferenciaCilindro' AND upper(lo.nombre) = 'CLIENTE' AND lo.estado = 1 LIMIT 1)","NULL"))&amp;", p_anio_fabricacion =&gt; "&amp;IF(M639&amp;""="","NULL::smallint",M639&amp;"::smallint")&amp;", p_mes_fabricacion =&gt; "&amp;IF(N639&amp;""="","NULL::smallint",N639&amp;"::smallint")&amp;", p_fecha_ultima_prueba_hidrostatica =&gt; "&amp;IF(O639&amp;""="","NULL","'"&amp;YEAR(O639)&amp;"-"&amp;TEXT(MONTH(O639),"00")&amp;"-"&amp;TEXT(DAY(O639),"00")&amp;"'")&amp;", p_numero_serie =&gt; "&amp;IF(TRIM(Q639&amp;"")="","NULL","'"&amp;SUBSTITUTE(TRIM(Q639),"'","''")&amp;"'")&amp;", p_id_marca_cilindro =&gt; "&amp;IF(TRIM(R639&amp;"")="","NULL","(SELECT lo.id FROM gen_lista_opciones lo JOIN gen_lista l ON l.id = lo.id_lista WHERE l.nombre = 'MarcaCilindro' AND upper(lo.nombre) = upper('"&amp;SUBSTITUTE(TRIM(R639),"'","''")&amp;"') AND lo.estado = 1 LIMIT 1)")&amp;", p_id_organo_inspector =&gt; "&amp;IF(TRIM(S639&amp;"")="","NULL","(SELECT lo.id FROM gen_lista_opciones lo JOIN gen_lista l ON l.id = lo.id_lista WHERE l.nombre = 'OrganoInspectorCilindro' AND upper(lo.nombre) = upper('"&amp;SUBSTITUTE(TRIM(S639),"'","''")&amp;"') AND lo.estado = 1 LIMIT 1)")&amp;", p_organo_inspector_no_aplica =&gt; "&amp;IF(S639="NO_APLICA","TRUE","FALSE")&amp;", p_presion_actual =&gt; "&amp;IF(T639&amp;""="","NULL",SUBSTITUTE(T639&amp;"",",","."))&amp;", p_tipo_valvula =&gt; "&amp;IF(TRIM(U639&amp;"")="","NULL","'"&amp;SUBSTITUTE(TRIM(U639),"'","''")&amp;"'")&amp;", p_libro_cilindro =&gt; "&amp;IF(TRIM(V639&amp;"")="","NULL","'"&amp;SUBSTITUTE(TRIM(V639),"'","''")&amp;"'")&amp;", p_pagina_libro =&gt; "&amp;IF(W639&amp;""="","NULL",SUBSTITUTE(W639&amp;"",",","."))&amp;", p_observacion =&gt; "&amp;IF(TRIM(X639&amp;"")="","NULL","'"&amp;SUBSTITUTE(TRIM(X639),"'","''")&amp;"'")&amp;") AS resultado_balon_"&amp;ROW()&amp;";")</f>
        <v/>
      </c>
    </row>
    <row r="640" ht="15.75" customHeight="1" s="64">
      <c r="A640" s="36" t="inlineStr">
        <is>
          <t>636</t>
        </is>
      </c>
      <c r="B640" s="25">
        <f>IF(AND(C640="",D640="",E640=""),"",IF(C640="","FALTA código balón",IF(D640="","FALTA tipo balón",IF(E640="","FALTA gas",IF(F640="","FALTA propietario",IF(AND(C640&lt;&gt;"",SUMPRODUCT(--($C$5:$C$1200=C640))&gt;1),"CÓDIGO BALÓN DUPLICADO",IF(AND(OR(UPPER(F640)="PLANTA",UPPER(F640)="CLIENTE"),G640=""),"FALTA doc propietario/planta",IF(AND(UPPER(F640)="PLANTA",G640="10175332796"),"PLANTA no puede ser RUC empresa","OK"))))))))</f>
        <v/>
      </c>
      <c r="C640" s="23" t="inlineStr">
        <is>
          <t>K4853011</t>
        </is>
      </c>
      <c r="D640" s="17" t="inlineStr">
        <is>
          <t>Oxígeno Industrial 10 m³</t>
        </is>
      </c>
      <c r="E640" s="17" t="inlineStr">
        <is>
          <t>OXIGENO INDUSTRIAL</t>
        </is>
      </c>
      <c r="F640" s="17" t="inlineStr">
        <is>
          <t>EMPRESA</t>
        </is>
      </c>
      <c r="G640" s="23" t="inlineStr">
        <is>
          <t>10175332796</t>
        </is>
      </c>
      <c r="H640" s="25">
        <f t="array" ref="H640">IF(G640="","",IFERROR(IF(INDEX(Clientes!$D$5:$D$549,MATCH(G640,Clientes!$C$5:$C$549,0))&lt;&gt;"",INDEX(Clientes!$D$5:$D$549,MATCH(G640,Clientes!$C$5:$C$549,0)),TRIM(INDEX(Clientes!$E$5:$E$549,MATCH(G640,Clientes!$C$5:$C$549,0))&amp;" "&amp;INDEX(Clientes!$F$5:$F$549,MATCH(G640,Clientes!$C$5:$C$549,0)))),"NO EXISTE en Clientes"))</f>
        <v/>
      </c>
      <c r="I640" s="17" t="inlineStr">
        <is>
          <t>EN_PODER_CLIENTE</t>
        </is>
      </c>
      <c r="J640" s="17" t="n"/>
      <c r="K640" s="26" t="inlineStr">
        <is>
          <t>20174513245</t>
        </is>
      </c>
      <c r="L640" s="25">
        <f t="array" ref="L640">IF(K640="","",IFERROR(IF(INDEX(Clientes!$D$5:$D$549,MATCH(K640,Clientes!$C$5:$C$549,0))&lt;&gt;"",INDEX(Clientes!$D$5:$D$549,MATCH(K640,Clientes!$C$5:$C$549,0)),TRIM(INDEX(Clientes!$E$5:$E$549,MATCH(K640,Clientes!$C$5:$C$549,0))&amp;" "&amp;INDEX(Clientes!$F$5:$F$549,MATCH(K640,Clientes!$C$5:$C$549,0)))),"NO EXISTE en Clientes"))</f>
        <v/>
      </c>
      <c r="M640" s="17" t="n"/>
      <c r="N640" s="17" t="n"/>
      <c r="O640" s="42" t="n"/>
      <c r="P640" s="39" t="n"/>
      <c r="Q640" s="23" t="n"/>
      <c r="R640" s="17" t="n"/>
      <c r="S640" s="17" t="n"/>
      <c r="T640" s="17" t="n"/>
      <c r="U640" s="17" t="n"/>
      <c r="V640" s="23" t="n"/>
      <c r="W640" s="17" t="n"/>
      <c r="X640" s="17" t="n"/>
      <c r="Y640" s="28">
        <f>IF(B640&lt;&gt;"OK","","SELECT bal_crear_balon(p_codigo_balon =&gt; "&amp;IF(TRIM(C640&amp;"")="","NULL","'"&amp;SUBSTITUTE(TRIM(C640),"'","''")&amp;"'")&amp;", p_id_tipo_balon =&gt; "&amp;"(SELECT id FROM bal_tipo_balon WHERE upper(nombre) = upper('"&amp;SUBSTITUTE(TRIM(D640),"'","''")&amp;"') AND estado = 1 LIMIT 1)"&amp;", p_id_producto_gas =&gt; "&amp;"(SELECT id FROM pro_producto WHERE es_gas = TRUE AND upper(nombre) = upper('"&amp;SUBSTITUTE(TRIM(E640),"'","''")&amp;"') AND estado = 1 LIMIT 1)"&amp;", p_id_propietario =&gt; "&amp;IF(TRIM(F640&amp;"")="","NULL","(SELECT lo.id FROM gen_lista_opciones lo JOIN gen_lista l ON l.id = lo.id_lista WHERE l.nombre = 'PropietarioBalon' AND upper(lo.nombre) = upper('"&amp;SUBSTITUTE(TRIM(F640),"'","''")&amp;"') AND lo.estado = 1 LIMIT 1)")&amp;", p_id_cliente_propietario =&gt; "&amp;IF(F640="CLIENTE",IF(TRIM(G640&amp;"")="","NULL","(SELECT id FROM cli_clientes WHERE numero_documento = '"&amp;SUBSTITUTE(TRIM(G640),"'","''")&amp;"' AND estado = 1 LIMIT 1)"),"NULL")&amp;", p_id_planta =&gt; "&amp;IF(F640="PLANTA",IF(TRIM(G640&amp;"")="","NULL","(SELECT id FROM cli_clientes WHERE numero_documento = '"&amp;SUBSTITUTE(TRIM(G640),"'","''")&amp;"'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"&amp;IF(TRIM(J640&amp;"")="","NULL","(SELECT id FROM gen_almacen WHERE upper(nombre) = upper('"&amp;SUBSTITUTE(TRIM(J640),"'","''")&amp;"') AND estado = 1 LIMIT 1)")&amp;", p_id_cliente_ubicacion =&gt; "&amp;IF(TRIM(K640&amp;"")="","NULL","(SELECT id FROM cli_clientes WHERE numero_documento = '"&amp;SUBSTITUTE(TRIM(K640),"'","''")&amp;"' AND estado = 1 LIMIT 1)")&amp;", p_id_referencia =&gt; "&amp;IF(TRIM(J640&amp;"")&lt;&gt;"","(SELECT lo.id FROM gen_lista_opciones lo JOIN gen_lista l ON l.id = lo.id_lista WHERE l.nombre = 'ReferenciaCilindro' AND upper(lo.nombre) = 'ALMACEN' AND lo.estado = 1 LIMIT 1)",IF(TRIM(K640&amp;"")&lt;&gt;"","(SELECT lo.id FROM gen_lista_opciones lo JOIN gen_lista l ON l.id = lo.id_lista WHERE l.nombre = 'ReferenciaCilindro' AND upper(lo.nombre) = 'CLIENTE' AND lo.estado = 1 LIMIT 1)","NULL"))&amp;", p_anio_fabricacion =&gt; "&amp;IF(M640&amp;""="","NULL::smallint",M640&amp;"::smallint")&amp;", p_mes_fabricacion =&gt; "&amp;IF(N640&amp;""="","NULL::smallint",N640&amp;"::smallint")&amp;", p_fecha_ultima_prueba_hidrostatica =&gt; "&amp;IF(O640&amp;""="","NULL","'"&amp;YEAR(O640)&amp;"-"&amp;TEXT(MONTH(O640),"00")&amp;"-"&amp;TEXT(DAY(O640),"00")&amp;"'")&amp;", p_numero_serie =&gt; "&amp;IF(TRIM(Q640&amp;"")="","NULL","'"&amp;SUBSTITUTE(TRIM(Q640),"'","''")&amp;"'")&amp;", p_id_marca_cilindro =&gt; "&amp;IF(TRIM(R640&amp;"")="","NULL","(SELECT lo.id FROM gen_lista_opciones lo JOIN gen_lista l ON l.id = lo.id_lista WHERE l.nombre = 'MarcaCilindro' AND upper(lo.nombre) = upper('"&amp;SUBSTITUTE(TRIM(R640),"'","''")&amp;"') AND lo.estado = 1 LIMIT 1)")&amp;", p_id_organo_inspector =&gt; "&amp;IF(TRIM(S640&amp;"")="","NULL","(SELECT lo.id FROM gen_lista_opciones lo JOIN gen_lista l ON l.id = lo.id_lista WHERE l.nombre = 'OrganoInspectorCilindro' AND upper(lo.nombre) = upper('"&amp;SUBSTITUTE(TRIM(S640),"'","''")&amp;"') AND lo.estado = 1 LIMIT 1)")&amp;", p_organo_inspector_no_aplica =&gt; "&amp;IF(S640="NO_APLICA","TRUE","FALSE")&amp;", p_presion_actual =&gt; "&amp;IF(T640&amp;""="","NULL",SUBSTITUTE(T640&amp;"",",","."))&amp;", p_tipo_valvula =&gt; "&amp;IF(TRIM(U640&amp;"")="","NULL","'"&amp;SUBSTITUTE(TRIM(U640),"'","''")&amp;"'")&amp;", p_libro_cilindro =&gt; "&amp;IF(TRIM(V640&amp;"")="","NULL","'"&amp;SUBSTITUTE(TRIM(V640),"'","''")&amp;"'")&amp;", p_pagina_libro =&gt; "&amp;IF(W640&amp;""="","NULL",SUBSTITUTE(W640&amp;"",",","."))&amp;", p_observacion =&gt; "&amp;IF(TRIM(X640&amp;"")="","NULL","'"&amp;SUBSTITUTE(TRIM(X640),"'","''")&amp;"'")&amp;") AS resultado_balon_"&amp;ROW()&amp;";")</f>
        <v/>
      </c>
    </row>
    <row r="641" ht="15.75" customHeight="1" s="64">
      <c r="A641" s="36" t="inlineStr">
        <is>
          <t>637</t>
        </is>
      </c>
      <c r="B641" s="25">
        <f>IF(AND(C641="",D641="",E641=""),"",IF(C641="","FALTA código balón",IF(D641="","FALTA tipo balón",IF(E641="","FALTA gas",IF(F641="","FALTA propietario",IF(AND(C641&lt;&gt;"",SUMPRODUCT(--($C$5:$C$1200=C641))&gt;1),"CÓDIGO BALÓN DUPLICADO",IF(AND(OR(UPPER(F641)="PLANTA",UPPER(F641)="CLIENTE"),G641=""),"FALTA doc propietario/planta",IF(AND(UPPER(F641)="PLANTA",G641="10175332796"),"PLANTA no puede ser RUC empresa","OK"))))))))</f>
        <v/>
      </c>
      <c r="C641" s="23" t="inlineStr">
        <is>
          <t>K4852092</t>
        </is>
      </c>
      <c r="D641" s="17" t="inlineStr">
        <is>
          <t>Oxígeno Industrial 10 m³</t>
        </is>
      </c>
      <c r="E641" s="17" t="inlineStr">
        <is>
          <t>OXIGENO INDUSTRIAL</t>
        </is>
      </c>
      <c r="F641" s="17" t="inlineStr">
        <is>
          <t>EMPRESA</t>
        </is>
      </c>
      <c r="G641" s="23" t="inlineStr">
        <is>
          <t>10175332796</t>
        </is>
      </c>
      <c r="H641" s="25">
        <f t="array" ref="H641">IF(G641="","",IFERROR(IF(INDEX(Clientes!$D$5:$D$549,MATCH(G641,Clientes!$C$5:$C$549,0))&lt;&gt;"",INDEX(Clientes!$D$5:$D$549,MATCH(G641,Clientes!$C$5:$C$549,0)),TRIM(INDEX(Clientes!$E$5:$E$549,MATCH(G641,Clientes!$C$5:$C$549,0))&amp;" "&amp;INDEX(Clientes!$F$5:$F$549,MATCH(G641,Clientes!$C$5:$C$549,0)))),"NO EXISTE en Clientes"))</f>
        <v/>
      </c>
      <c r="I641" s="17" t="inlineStr">
        <is>
          <t>EN_PODER_CLIENTE</t>
        </is>
      </c>
      <c r="J641" s="17" t="n"/>
      <c r="K641" s="26" t="inlineStr">
        <is>
          <t>20174513245</t>
        </is>
      </c>
      <c r="L641" s="25">
        <f t="array" ref="L641">IF(K641="","",IFERROR(IF(INDEX(Clientes!$D$5:$D$549,MATCH(K641,Clientes!$C$5:$C$549,0))&lt;&gt;"",INDEX(Clientes!$D$5:$D$549,MATCH(K641,Clientes!$C$5:$C$549,0)),TRIM(INDEX(Clientes!$E$5:$E$549,MATCH(K641,Clientes!$C$5:$C$549,0))&amp;" "&amp;INDEX(Clientes!$F$5:$F$549,MATCH(K641,Clientes!$C$5:$C$549,0)))),"NO EXISTE en Clientes"))</f>
        <v/>
      </c>
      <c r="M641" s="17" t="n"/>
      <c r="N641" s="17" t="n"/>
      <c r="O641" s="42" t="n"/>
      <c r="P641" s="39" t="n"/>
      <c r="Q641" s="23" t="n"/>
      <c r="R641" s="17" t="n"/>
      <c r="S641" s="17" t="n"/>
      <c r="T641" s="17" t="n"/>
      <c r="U641" s="17" t="n"/>
      <c r="V641" s="23" t="n"/>
      <c r="W641" s="17" t="n"/>
      <c r="X641" s="17" t="n"/>
      <c r="Y641" s="28">
        <f>IF(B641&lt;&gt;"OK","","SELECT bal_crear_balon(p_codigo_balon =&gt; "&amp;IF(TRIM(C641&amp;"")="","NULL","'"&amp;SUBSTITUTE(TRIM(C641),"'","''")&amp;"'")&amp;", p_id_tipo_balon =&gt; "&amp;"(SELECT id FROM bal_tipo_balon WHERE upper(nombre) = upper('"&amp;SUBSTITUTE(TRIM(D641),"'","''")&amp;"') AND estado = 1 LIMIT 1)"&amp;", p_id_producto_gas =&gt; "&amp;"(SELECT id FROM pro_producto WHERE es_gas = TRUE AND upper(nombre) = upper('"&amp;SUBSTITUTE(TRIM(E641),"'","''")&amp;"') AND estado = 1 LIMIT 1)"&amp;", p_id_propietario =&gt; "&amp;IF(TRIM(F641&amp;"")="","NULL","(SELECT lo.id FROM gen_lista_opciones lo JOIN gen_lista l ON l.id = lo.id_lista WHERE l.nombre = 'PropietarioBalon' AND upper(lo.nombre) = upper('"&amp;SUBSTITUTE(TRIM(F641),"'","''")&amp;"') AND lo.estado = 1 LIMIT 1)")&amp;", p_id_cliente_propietario =&gt; "&amp;IF(F641="CLIENTE",IF(TRIM(G641&amp;"")="","NULL","(SELECT id FROM cli_clientes WHERE numero_documento = '"&amp;SUBSTITUTE(TRIM(G641),"'","''")&amp;"' AND estado = 1 LIMIT 1)"),"NULL")&amp;", p_id_planta =&gt; "&amp;IF(F641="PLANTA",IF(TRIM(G641&amp;"")="","NULL","(SELECT id FROM cli_clientes WHERE numero_documento = '"&amp;SUBSTITUTE(TRIM(G641),"'","''")&amp;"'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"&amp;IF(TRIM(J641&amp;"")="","NULL","(SELECT id FROM gen_almacen WHERE upper(nombre) = upper('"&amp;SUBSTITUTE(TRIM(J641),"'","''")&amp;"') AND estado = 1 LIMIT 1)")&amp;", p_id_cliente_ubicacion =&gt; "&amp;IF(TRIM(K641&amp;"")="","NULL","(SELECT id FROM cli_clientes WHERE numero_documento = '"&amp;SUBSTITUTE(TRIM(K641),"'","''")&amp;"' AND estado = 1 LIMIT 1)")&amp;", p_id_referencia =&gt; "&amp;IF(TRIM(J641&amp;"")&lt;&gt;"","(SELECT lo.id FROM gen_lista_opciones lo JOIN gen_lista l ON l.id = lo.id_lista WHERE l.nombre = 'ReferenciaCilindro' AND upper(lo.nombre) = 'ALMACEN' AND lo.estado = 1 LIMIT 1)",IF(TRIM(K641&amp;"")&lt;&gt;"","(SELECT lo.id FROM gen_lista_opciones lo JOIN gen_lista l ON l.id = lo.id_lista WHERE l.nombre = 'ReferenciaCilindro' AND upper(lo.nombre) = 'CLIENTE' AND lo.estado = 1 LIMIT 1)","NULL"))&amp;", p_anio_fabricacion =&gt; "&amp;IF(M641&amp;""="","NULL::smallint",M641&amp;"::smallint")&amp;", p_mes_fabricacion =&gt; "&amp;IF(N641&amp;""="","NULL::smallint",N641&amp;"::smallint")&amp;", p_fecha_ultima_prueba_hidrostatica =&gt; "&amp;IF(O641&amp;""="","NULL","'"&amp;YEAR(O641)&amp;"-"&amp;TEXT(MONTH(O641),"00")&amp;"-"&amp;TEXT(DAY(O641),"00")&amp;"'")&amp;", p_numero_serie =&gt; "&amp;IF(TRIM(Q641&amp;"")="","NULL","'"&amp;SUBSTITUTE(TRIM(Q641),"'","''")&amp;"'")&amp;", p_id_marca_cilindro =&gt; "&amp;IF(TRIM(R641&amp;"")="","NULL","(SELECT lo.id FROM gen_lista_opciones lo JOIN gen_lista l ON l.id = lo.id_lista WHERE l.nombre = 'MarcaCilindro' AND upper(lo.nombre) = upper('"&amp;SUBSTITUTE(TRIM(R641),"'","''")&amp;"') AND lo.estado = 1 LIMIT 1)")&amp;", p_id_organo_inspector =&gt; "&amp;IF(TRIM(S641&amp;"")="","NULL","(SELECT lo.id FROM gen_lista_opciones lo JOIN gen_lista l ON l.id = lo.id_lista WHERE l.nombre = 'OrganoInspectorCilindro' AND upper(lo.nombre) = upper('"&amp;SUBSTITUTE(TRIM(S641),"'","''")&amp;"') AND lo.estado = 1 LIMIT 1)")&amp;", p_organo_inspector_no_aplica =&gt; "&amp;IF(S641="NO_APLICA","TRUE","FALSE")&amp;", p_presion_actual =&gt; "&amp;IF(T641&amp;""="","NULL",SUBSTITUTE(T641&amp;"",",","."))&amp;", p_tipo_valvula =&gt; "&amp;IF(TRIM(U641&amp;"")="","NULL","'"&amp;SUBSTITUTE(TRIM(U641),"'","''")&amp;"'")&amp;", p_libro_cilindro =&gt; "&amp;IF(TRIM(V641&amp;"")="","NULL","'"&amp;SUBSTITUTE(TRIM(V641),"'","''")&amp;"'")&amp;", p_pagina_libro =&gt; "&amp;IF(W641&amp;""="","NULL",SUBSTITUTE(W641&amp;"",",","."))&amp;", p_observacion =&gt; "&amp;IF(TRIM(X641&amp;"")="","NULL","'"&amp;SUBSTITUTE(TRIM(X641),"'","''")&amp;"'")&amp;") AS resultado_balon_"&amp;ROW()&amp;";")</f>
        <v/>
      </c>
    </row>
    <row r="642" ht="15.75" customHeight="1" s="64">
      <c r="A642" s="36" t="inlineStr">
        <is>
          <t>638</t>
        </is>
      </c>
      <c r="B642" s="25">
        <f>IF(AND(C642="",D642="",E642=""),"",IF(C642="","FALTA código balón",IF(D642="","FALTA tipo balón",IF(E642="","FALTA gas",IF(F642="","FALTA propietario",IF(AND(C642&lt;&gt;"",SUMPRODUCT(--($C$5:$C$1200=C642))&gt;1),"CÓDIGO BALÓN DUPLICADO",IF(AND(OR(UPPER(F642)="PLANTA",UPPER(F642)="CLIENTE"),G642=""),"FALTA doc propietario/planta",IF(AND(UPPER(F642)="PLANTA",G642="10175332796"),"PLANTA no puede ser RUC empresa","OK"))))))))</f>
        <v/>
      </c>
      <c r="C642" s="23" t="inlineStr">
        <is>
          <t>6679781Y</t>
        </is>
      </c>
      <c r="D642" s="17" t="inlineStr">
        <is>
          <t>Oxígeno Industrial 10 m³</t>
        </is>
      </c>
      <c r="E642" s="17" t="inlineStr">
        <is>
          <t>OXIGENO INDUSTRIAL</t>
        </is>
      </c>
      <c r="F642" s="17" t="inlineStr">
        <is>
          <t>EMPRESA</t>
        </is>
      </c>
      <c r="G642" s="23" t="inlineStr">
        <is>
          <t>10175332796</t>
        </is>
      </c>
      <c r="H642" s="25">
        <f t="array" ref="H642">IF(G642="","",IFERROR(IF(INDEX(Clientes!$D$5:$D$549,MATCH(G642,Clientes!$C$5:$C$549,0))&lt;&gt;"",INDEX(Clientes!$D$5:$D$549,MATCH(G642,Clientes!$C$5:$C$549,0)),TRIM(INDEX(Clientes!$E$5:$E$549,MATCH(G642,Clientes!$C$5:$C$549,0))&amp;" "&amp;INDEX(Clientes!$F$5:$F$549,MATCH(G642,Clientes!$C$5:$C$549,0)))),"NO EXISTE en Clientes"))</f>
        <v/>
      </c>
      <c r="I642" s="17" t="inlineStr">
        <is>
          <t>EN_PODER_CLIENTE</t>
        </is>
      </c>
      <c r="J642" s="17" t="n"/>
      <c r="K642" s="26" t="inlineStr">
        <is>
          <t>20480319860</t>
        </is>
      </c>
      <c r="L642" s="25">
        <f t="array" ref="L642">IF(K642="","",IFERROR(IF(INDEX(Clientes!$D$5:$D$549,MATCH(K642,Clientes!$C$5:$C$549,0))&lt;&gt;"",INDEX(Clientes!$D$5:$D$549,MATCH(K642,Clientes!$C$5:$C$549,0)),TRIM(INDEX(Clientes!$E$5:$E$549,MATCH(K642,Clientes!$C$5:$C$549,0))&amp;" "&amp;INDEX(Clientes!$F$5:$F$549,MATCH(K642,Clientes!$C$5:$C$549,0)))),"NO EXISTE en Clientes"))</f>
        <v/>
      </c>
      <c r="M642" s="17" t="n"/>
      <c r="N642" s="17" t="n"/>
      <c r="O642" s="42" t="n"/>
      <c r="P642" s="39" t="n"/>
      <c r="Q642" s="23" t="n"/>
      <c r="R642" s="17" t="n"/>
      <c r="S642" s="17" t="n"/>
      <c r="T642" s="17" t="n"/>
      <c r="U642" s="17" t="n"/>
      <c r="V642" s="23" t="n"/>
      <c r="W642" s="17" t="n"/>
      <c r="X642" s="17" t="n"/>
      <c r="Y642" s="28">
        <f>IF(B642&lt;&gt;"OK","","SELECT bal_crear_balon(p_codigo_balon =&gt; "&amp;IF(TRIM(C642&amp;"")="","NULL","'"&amp;SUBSTITUTE(TRIM(C642),"'","''")&amp;"'")&amp;", p_id_tipo_balon =&gt; "&amp;"(SELECT id FROM bal_tipo_balon WHERE upper(nombre) = upper('"&amp;SUBSTITUTE(TRIM(D642),"'","''")&amp;"') AND estado = 1 LIMIT 1)"&amp;", p_id_producto_gas =&gt; "&amp;"(SELECT id FROM pro_producto WHERE es_gas = TRUE AND upper(nombre) = upper('"&amp;SUBSTITUTE(TRIM(E642),"'","''")&amp;"') AND estado = 1 LIMIT 1)"&amp;", p_id_propietario =&gt; "&amp;IF(TRIM(F642&amp;"")="","NULL","(SELECT lo.id FROM gen_lista_opciones lo JOIN gen_lista l ON l.id = lo.id_lista WHERE l.nombre = 'PropietarioBalon' AND upper(lo.nombre) = upper('"&amp;SUBSTITUTE(TRIM(F642),"'","''")&amp;"') AND lo.estado = 1 LIMIT 1)")&amp;", p_id_cliente_propietario =&gt; "&amp;IF(F642="CLIENTE",IF(TRIM(G642&amp;"")="","NULL","(SELECT id FROM cli_clientes WHERE numero_documento = '"&amp;SUBSTITUTE(TRIM(G642),"'","''")&amp;"' AND estado = 1 LIMIT 1)"),"NULL")&amp;", p_id_planta =&gt; "&amp;IF(F642="PLANTA",IF(TRIM(G642&amp;"")="","NULL","(SELECT id FROM cli_clientes WHERE numero_documento = '"&amp;SUBSTITUTE(TRIM(G642),"'","''")&amp;"'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"&amp;IF(TRIM(J642&amp;"")="","NULL","(SELECT id FROM gen_almacen WHERE upper(nombre) = upper('"&amp;SUBSTITUTE(TRIM(J642),"'","''")&amp;"') AND estado = 1 LIMIT 1)")&amp;", p_id_cliente_ubicacion =&gt; "&amp;IF(TRIM(K642&amp;"")="","NULL","(SELECT id FROM cli_clientes WHERE numero_documento = '"&amp;SUBSTITUTE(TRIM(K642),"'","''")&amp;"' AND estado = 1 LIMIT 1)")&amp;", p_id_referencia =&gt; "&amp;IF(TRIM(J642&amp;"")&lt;&gt;"","(SELECT lo.id FROM gen_lista_opciones lo JOIN gen_lista l ON l.id = lo.id_lista WHERE l.nombre = 'ReferenciaCilindro' AND upper(lo.nombre) = 'ALMACEN' AND lo.estado = 1 LIMIT 1)",IF(TRIM(K642&amp;"")&lt;&gt;"","(SELECT lo.id FROM gen_lista_opciones lo JOIN gen_lista l ON l.id = lo.id_lista WHERE l.nombre = 'ReferenciaCilindro' AND upper(lo.nombre) = 'CLIENTE' AND lo.estado = 1 LIMIT 1)","NULL"))&amp;", p_anio_fabricacion =&gt; "&amp;IF(M642&amp;""="","NULL::smallint",M642&amp;"::smallint")&amp;", p_mes_fabricacion =&gt; "&amp;IF(N642&amp;""="","NULL::smallint",N642&amp;"::smallint")&amp;", p_fecha_ultima_prueba_hidrostatica =&gt; "&amp;IF(O642&amp;""="","NULL","'"&amp;YEAR(O642)&amp;"-"&amp;TEXT(MONTH(O642),"00")&amp;"-"&amp;TEXT(DAY(O642),"00")&amp;"'")&amp;", p_numero_serie =&gt; "&amp;IF(TRIM(Q642&amp;"")="","NULL","'"&amp;SUBSTITUTE(TRIM(Q642),"'","''")&amp;"'")&amp;", p_id_marca_cilindro =&gt; "&amp;IF(TRIM(R642&amp;"")="","NULL","(SELECT lo.id FROM gen_lista_opciones lo JOIN gen_lista l ON l.id = lo.id_lista WHERE l.nombre = 'MarcaCilindro' AND upper(lo.nombre) = upper('"&amp;SUBSTITUTE(TRIM(R642),"'","''")&amp;"') AND lo.estado = 1 LIMIT 1)")&amp;", p_id_organo_inspector =&gt; "&amp;IF(TRIM(S642&amp;"")="","NULL","(SELECT lo.id FROM gen_lista_opciones lo JOIN gen_lista l ON l.id = lo.id_lista WHERE l.nombre = 'OrganoInspectorCilindro' AND upper(lo.nombre) = upper('"&amp;SUBSTITUTE(TRIM(S642),"'","''")&amp;"') AND lo.estado = 1 LIMIT 1)")&amp;", p_organo_inspector_no_aplica =&gt; "&amp;IF(S642="NO_APLICA","TRUE","FALSE")&amp;", p_presion_actual =&gt; "&amp;IF(T642&amp;""="","NULL",SUBSTITUTE(T642&amp;"",",","."))&amp;", p_tipo_valvula =&gt; "&amp;IF(TRIM(U642&amp;"")="","NULL","'"&amp;SUBSTITUTE(TRIM(U642),"'","''")&amp;"'")&amp;", p_libro_cilindro =&gt; "&amp;IF(TRIM(V642&amp;"")="","NULL","'"&amp;SUBSTITUTE(TRIM(V642),"'","''")&amp;"'")&amp;", p_pagina_libro =&gt; "&amp;IF(W642&amp;""="","NULL",SUBSTITUTE(W642&amp;"",",","."))&amp;", p_observacion =&gt; "&amp;IF(TRIM(X642&amp;"")="","NULL","'"&amp;SUBSTITUTE(TRIM(X642),"'","''")&amp;"'")&amp;") AS resultado_balon_"&amp;ROW()&amp;";")</f>
        <v/>
      </c>
    </row>
    <row r="643" ht="15.75" customHeight="1" s="64">
      <c r="A643" s="36" t="inlineStr">
        <is>
          <t>639</t>
        </is>
      </c>
      <c r="B643" s="25">
        <f>IF(AND(C643="",D643="",E643=""),"",IF(C643="","FALTA código balón",IF(D643="","FALTA tipo balón",IF(E643="","FALTA gas",IF(F643="","FALTA propietario",IF(AND(C643&lt;&gt;"",SUMPRODUCT(--($C$5:$C$1200=C643))&gt;1),"CÓDIGO BALÓN DUPLICADO",IF(AND(OR(UPPER(F643)="PLANTA",UPPER(F643)="CLIENTE"),G643=""),"FALTA doc propietario/planta",IF(AND(UPPER(F643)="PLANTA",G643="10175332796"),"PLANTA no puede ser RUC empresa","OK"))))))))</f>
        <v/>
      </c>
      <c r="C643" s="23" t="inlineStr">
        <is>
          <t>155737</t>
        </is>
      </c>
      <c r="D643" s="17" t="inlineStr">
        <is>
          <t>Oxígeno Industrial 10 m³</t>
        </is>
      </c>
      <c r="E643" s="17" t="inlineStr">
        <is>
          <t>OXIGENO INDUSTRIAL</t>
        </is>
      </c>
      <c r="F643" s="17" t="inlineStr">
        <is>
          <t>EMPRESA</t>
        </is>
      </c>
      <c r="G643" s="23" t="inlineStr">
        <is>
          <t>10175332796</t>
        </is>
      </c>
      <c r="H643" s="25">
        <f t="array" ref="H643">IF(G643="","",IFERROR(IF(INDEX(Clientes!$D$5:$D$549,MATCH(G643,Clientes!$C$5:$C$549,0))&lt;&gt;"",INDEX(Clientes!$D$5:$D$549,MATCH(G643,Clientes!$C$5:$C$549,0)),TRIM(INDEX(Clientes!$E$5:$E$549,MATCH(G643,Clientes!$C$5:$C$549,0))&amp;" "&amp;INDEX(Clientes!$F$5:$F$549,MATCH(G643,Clientes!$C$5:$C$549,0)))),"NO EXISTE en Clientes"))</f>
        <v/>
      </c>
      <c r="I643" s="17" t="inlineStr">
        <is>
          <t>EN_PODER_CLIENTE</t>
        </is>
      </c>
      <c r="J643" s="17" t="n"/>
      <c r="K643" s="26" t="inlineStr">
        <is>
          <t>20480319860</t>
        </is>
      </c>
      <c r="L643" s="25">
        <f t="array" ref="L643">IF(K643="","",IFERROR(IF(INDEX(Clientes!$D$5:$D$549,MATCH(K643,Clientes!$C$5:$C$549,0))&lt;&gt;"",INDEX(Clientes!$D$5:$D$549,MATCH(K643,Clientes!$C$5:$C$549,0)),TRIM(INDEX(Clientes!$E$5:$E$549,MATCH(K643,Clientes!$C$5:$C$549,0))&amp;" "&amp;INDEX(Clientes!$F$5:$F$549,MATCH(K643,Clientes!$C$5:$C$549,0)))),"NO EXISTE en Clientes"))</f>
        <v/>
      </c>
      <c r="M643" s="17" t="n"/>
      <c r="N643" s="17" t="n"/>
      <c r="O643" s="42" t="n"/>
      <c r="P643" s="39" t="n"/>
      <c r="Q643" s="23" t="n"/>
      <c r="R643" s="17" t="n"/>
      <c r="S643" s="17" t="n"/>
      <c r="T643" s="17" t="n"/>
      <c r="U643" s="17" t="n"/>
      <c r="V643" s="23" t="n"/>
      <c r="W643" s="17" t="n"/>
      <c r="X643" s="17" t="n"/>
      <c r="Y643" s="28">
        <f>IF(B643&lt;&gt;"OK","","SELECT bal_crear_balon(p_codigo_balon =&gt; "&amp;IF(TRIM(C643&amp;"")="","NULL","'"&amp;SUBSTITUTE(TRIM(C643),"'","''")&amp;"'")&amp;", p_id_tipo_balon =&gt; "&amp;"(SELECT id FROM bal_tipo_balon WHERE upper(nombre) = upper('"&amp;SUBSTITUTE(TRIM(D643),"'","''")&amp;"') AND estado = 1 LIMIT 1)"&amp;", p_id_producto_gas =&gt; "&amp;"(SELECT id FROM pro_producto WHERE es_gas = TRUE AND upper(nombre) = upper('"&amp;SUBSTITUTE(TRIM(E643),"'","''")&amp;"') AND estado = 1 LIMIT 1)"&amp;", p_id_propietario =&gt; "&amp;IF(TRIM(F643&amp;"")="","NULL","(SELECT lo.id FROM gen_lista_opciones lo JOIN gen_lista l ON l.id = lo.id_lista WHERE l.nombre = 'PropietarioBalon' AND upper(lo.nombre) = upper('"&amp;SUBSTITUTE(TRIM(F643),"'","''")&amp;"') AND lo.estado = 1 LIMIT 1)")&amp;", p_id_cliente_propietario =&gt; "&amp;IF(F643="CLIENTE",IF(TRIM(G643&amp;"")="","NULL","(SELECT id FROM cli_clientes WHERE numero_documento = '"&amp;SUBSTITUTE(TRIM(G643),"'","''")&amp;"' AND estado = 1 LIMIT 1)"),"NULL")&amp;", p_id_planta =&gt; "&amp;IF(F643="PLANTA",IF(TRIM(G643&amp;"")="","NULL","(SELECT id FROM cli_clientes WHERE numero_documento = '"&amp;SUBSTITUTE(TRIM(G643),"'","''")&amp;"'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"&amp;IF(TRIM(J643&amp;"")="","NULL","(SELECT id FROM gen_almacen WHERE upper(nombre) = upper('"&amp;SUBSTITUTE(TRIM(J643),"'","''")&amp;"') AND estado = 1 LIMIT 1)")&amp;", p_id_cliente_ubicacion =&gt; "&amp;IF(TRIM(K643&amp;"")="","NULL","(SELECT id FROM cli_clientes WHERE numero_documento = '"&amp;SUBSTITUTE(TRIM(K643),"'","''")&amp;"' AND estado = 1 LIMIT 1)")&amp;", p_id_referencia =&gt; "&amp;IF(TRIM(J643&amp;"")&lt;&gt;"","(SELECT lo.id FROM gen_lista_opciones lo JOIN gen_lista l ON l.id = lo.id_lista WHERE l.nombre = 'ReferenciaCilindro' AND upper(lo.nombre) = 'ALMACEN' AND lo.estado = 1 LIMIT 1)",IF(TRIM(K643&amp;"")&lt;&gt;"","(SELECT lo.id FROM gen_lista_opciones lo JOIN gen_lista l ON l.id = lo.id_lista WHERE l.nombre = 'ReferenciaCilindro' AND upper(lo.nombre) = 'CLIENTE' AND lo.estado = 1 LIMIT 1)","NULL"))&amp;", p_anio_fabricacion =&gt; "&amp;IF(M643&amp;""="","NULL::smallint",M643&amp;"::smallint")&amp;", p_mes_fabricacion =&gt; "&amp;IF(N643&amp;""="","NULL::smallint",N643&amp;"::smallint")&amp;", p_fecha_ultima_prueba_hidrostatica =&gt; "&amp;IF(O643&amp;""="","NULL","'"&amp;YEAR(O643)&amp;"-"&amp;TEXT(MONTH(O643),"00")&amp;"-"&amp;TEXT(DAY(O643),"00")&amp;"'")&amp;", p_numero_serie =&gt; "&amp;IF(TRIM(Q643&amp;"")="","NULL","'"&amp;SUBSTITUTE(TRIM(Q643),"'","''")&amp;"'")&amp;", p_id_marca_cilindro =&gt; "&amp;IF(TRIM(R643&amp;"")="","NULL","(SELECT lo.id FROM gen_lista_opciones lo JOIN gen_lista l ON l.id = lo.id_lista WHERE l.nombre = 'MarcaCilindro' AND upper(lo.nombre) = upper('"&amp;SUBSTITUTE(TRIM(R643),"'","''")&amp;"') AND lo.estado = 1 LIMIT 1)")&amp;", p_id_organo_inspector =&gt; "&amp;IF(TRIM(S643&amp;"")="","NULL","(SELECT lo.id FROM gen_lista_opciones lo JOIN gen_lista l ON l.id = lo.id_lista WHERE l.nombre = 'OrganoInspectorCilindro' AND upper(lo.nombre) = upper('"&amp;SUBSTITUTE(TRIM(S643),"'","''")&amp;"') AND lo.estado = 1 LIMIT 1)")&amp;", p_organo_inspector_no_aplica =&gt; "&amp;IF(S643="NO_APLICA","TRUE","FALSE")&amp;", p_presion_actual =&gt; "&amp;IF(T643&amp;""="","NULL",SUBSTITUTE(T643&amp;"",",","."))&amp;", p_tipo_valvula =&gt; "&amp;IF(TRIM(U643&amp;"")="","NULL","'"&amp;SUBSTITUTE(TRIM(U643),"'","''")&amp;"'")&amp;", p_libro_cilindro =&gt; "&amp;IF(TRIM(V643&amp;"")="","NULL","'"&amp;SUBSTITUTE(TRIM(V643),"'","''")&amp;"'")&amp;", p_pagina_libro =&gt; "&amp;IF(W643&amp;""="","NULL",SUBSTITUTE(W643&amp;"",",","."))&amp;", p_observacion =&gt; "&amp;IF(TRIM(X643&amp;"")="","NULL","'"&amp;SUBSTITUTE(TRIM(X643),"'","''")&amp;"'")&amp;") AS resultado_balon_"&amp;ROW()&amp;";")</f>
        <v/>
      </c>
    </row>
    <row r="644" ht="15.75" customHeight="1" s="64">
      <c r="A644" s="36" t="inlineStr">
        <is>
          <t>640</t>
        </is>
      </c>
      <c r="B644" s="25">
        <f>IF(AND(C644="",D644="",E644=""),"",IF(C644="","FALTA código balón",IF(D644="","FALTA tipo balón",IF(E644="","FALTA gas",IF(F644="","FALTA propietario",IF(AND(C644&lt;&gt;"",SUMPRODUCT(--($C$5:$C$1200=C644))&gt;1),"CÓDIGO BALÓN DUPLICADO",IF(AND(OR(UPPER(F644)="PLANTA",UPPER(F644)="CLIENTE"),G644=""),"FALTA doc propietario/planta",IF(AND(UPPER(F644)="PLANTA",G644="10175332796"),"PLANTA no puede ser RUC empresa","OK"))))))))</f>
        <v/>
      </c>
      <c r="C644" s="23" t="inlineStr">
        <is>
          <t>GA373189</t>
        </is>
      </c>
      <c r="D644" s="17" t="inlineStr">
        <is>
          <t>Oxígeno Industrial 6 m³</t>
        </is>
      </c>
      <c r="E644" s="17" t="inlineStr">
        <is>
          <t>OXIGENO INDUSTRIAL</t>
        </is>
      </c>
      <c r="F644" s="17" t="inlineStr">
        <is>
          <t>EMPRESA</t>
        </is>
      </c>
      <c r="G644" s="23" t="inlineStr">
        <is>
          <t>10175332796</t>
        </is>
      </c>
      <c r="H644" s="25">
        <f t="array" ref="H644">IF(G644="","",IFERROR(IF(INDEX(Clientes!$D$5:$D$549,MATCH(G644,Clientes!$C$5:$C$549,0))&lt;&gt;"",INDEX(Clientes!$D$5:$D$549,MATCH(G644,Clientes!$C$5:$C$549,0)),TRIM(INDEX(Clientes!$E$5:$E$549,MATCH(G644,Clientes!$C$5:$C$549,0))&amp;" "&amp;INDEX(Clientes!$F$5:$F$549,MATCH(G644,Clientes!$C$5:$C$549,0)))),"NO EXISTE en Clientes"))</f>
        <v/>
      </c>
      <c r="I644" s="17" t="inlineStr">
        <is>
          <t>EN_PODER_CLIENTE</t>
        </is>
      </c>
      <c r="J644" s="17" t="n"/>
      <c r="K644" s="23" t="inlineStr">
        <is>
          <t>00001</t>
        </is>
      </c>
      <c r="L644" s="25">
        <f t="array" ref="L644">IF(K644="","",IFERROR(IF(INDEX(Clientes!$D$5:$D$549,MATCH(K644,Clientes!$C$5:$C$549,0))&lt;&gt;"",INDEX(Clientes!$D$5:$D$549,MATCH(K644,Clientes!$C$5:$C$549,0)),TRIM(INDEX(Clientes!$E$5:$E$549,MATCH(K644,Clientes!$C$5:$C$549,0))&amp;" "&amp;INDEX(Clientes!$F$5:$F$549,MATCH(K644,Clientes!$C$5:$C$549,0)))),"NO EXISTE en Clientes"))</f>
        <v/>
      </c>
      <c r="M644" s="17" t="n"/>
      <c r="N644" s="17" t="n"/>
      <c r="O644" s="42" t="n"/>
      <c r="P644" s="39" t="n"/>
      <c r="Q644" s="23" t="n"/>
      <c r="R644" s="17" t="n"/>
      <c r="S644" s="17" t="n"/>
      <c r="T644" s="17" t="n"/>
      <c r="U644" s="17" t="n"/>
      <c r="V644" s="23" t="n"/>
      <c r="W644" s="17" t="n"/>
      <c r="X644" s="17" t="n"/>
      <c r="Y644" s="28">
        <f>IF(B644&lt;&gt;"OK","","SELECT bal_crear_balon(p_codigo_balon =&gt; "&amp;IF(TRIM(C644&amp;"")="","NULL","'"&amp;SUBSTITUTE(TRIM(C644),"'","''")&amp;"'")&amp;", p_id_tipo_balon =&gt; "&amp;"(SELECT id FROM bal_tipo_balon WHERE upper(nombre) = upper('"&amp;SUBSTITUTE(TRIM(D644),"'","''")&amp;"') AND estado = 1 LIMIT 1)"&amp;", p_id_producto_gas =&gt; "&amp;"(SELECT id FROM pro_producto WHERE es_gas = TRUE AND upper(nombre) = upper('"&amp;SUBSTITUTE(TRIM(E644),"'","''")&amp;"') AND estado = 1 LIMIT 1)"&amp;", p_id_propietario =&gt; "&amp;IF(TRIM(F644&amp;"")="","NULL","(SELECT lo.id FROM gen_lista_opciones lo JOIN gen_lista l ON l.id = lo.id_lista WHERE l.nombre = 'PropietarioBalon' AND upper(lo.nombre) = upper('"&amp;SUBSTITUTE(TRIM(F644),"'","''")&amp;"') AND lo.estado = 1 LIMIT 1)")&amp;", p_id_cliente_propietario =&gt; "&amp;IF(F644="CLIENTE",IF(TRIM(G644&amp;"")="","NULL","(SELECT id FROM cli_clientes WHERE numero_documento = '"&amp;SUBSTITUTE(TRIM(G644),"'","''")&amp;"' AND estado = 1 LIMIT 1)"),"NULL")&amp;", p_id_planta =&gt; "&amp;IF(F644="PLANTA",IF(TRIM(G644&amp;"")="","NULL","(SELECT id FROM cli_clientes WHERE numero_documento = '"&amp;SUBSTITUTE(TRIM(G644),"'","''")&amp;"'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"&amp;IF(TRIM(J644&amp;"")="","NULL","(SELECT id FROM gen_almacen WHERE upper(nombre) = upper('"&amp;SUBSTITUTE(TRIM(J644),"'","''")&amp;"') AND estado = 1 LIMIT 1)")&amp;", p_id_cliente_ubicacion =&gt; "&amp;IF(TRIM(K644&amp;"")="","NULL","(SELECT id FROM cli_clientes WHERE numero_documento = '"&amp;SUBSTITUTE(TRIM(K644),"'","''")&amp;"' AND estado = 1 LIMIT 1)")&amp;", p_id_referencia =&gt; "&amp;IF(TRIM(J644&amp;"")&lt;&gt;"","(SELECT lo.id FROM gen_lista_opciones lo JOIN gen_lista l ON l.id = lo.id_lista WHERE l.nombre = 'ReferenciaCilindro' AND upper(lo.nombre) = 'ALMACEN' AND lo.estado = 1 LIMIT 1)",IF(TRIM(K644&amp;"")&lt;&gt;"","(SELECT lo.id FROM gen_lista_opciones lo JOIN gen_lista l ON l.id = lo.id_lista WHERE l.nombre = 'ReferenciaCilindro' AND upper(lo.nombre) = 'CLIENTE' AND lo.estado = 1 LIMIT 1)","NULL"))&amp;", p_anio_fabricacion =&gt; "&amp;IF(M644&amp;""="","NULL::smallint",M644&amp;"::smallint")&amp;", p_mes_fabricacion =&gt; "&amp;IF(N644&amp;""="","NULL::smallint",N644&amp;"::smallint")&amp;", p_fecha_ultima_prueba_hidrostatica =&gt; "&amp;IF(O644&amp;""="","NULL","'"&amp;YEAR(O644)&amp;"-"&amp;TEXT(MONTH(O644),"00")&amp;"-"&amp;TEXT(DAY(O644),"00")&amp;"'")&amp;", p_numero_serie =&gt; "&amp;IF(TRIM(Q644&amp;"")="","NULL","'"&amp;SUBSTITUTE(TRIM(Q644),"'","''")&amp;"'")&amp;", p_id_marca_cilindro =&gt; "&amp;IF(TRIM(R644&amp;"")="","NULL","(SELECT lo.id FROM gen_lista_opciones lo JOIN gen_lista l ON l.id = lo.id_lista WHERE l.nombre = 'MarcaCilindro' AND upper(lo.nombre) = upper('"&amp;SUBSTITUTE(TRIM(R644),"'","''")&amp;"') AND lo.estado = 1 LIMIT 1)")&amp;", p_id_organo_inspector =&gt; "&amp;IF(TRIM(S644&amp;"")="","NULL","(SELECT lo.id FROM gen_lista_opciones lo JOIN gen_lista l ON l.id = lo.id_lista WHERE l.nombre = 'OrganoInspectorCilindro' AND upper(lo.nombre) = upper('"&amp;SUBSTITUTE(TRIM(S644),"'","''")&amp;"') AND lo.estado = 1 LIMIT 1)")&amp;", p_organo_inspector_no_aplica =&gt; "&amp;IF(S644="NO_APLICA","TRUE","FALSE")&amp;", p_presion_actual =&gt; "&amp;IF(T644&amp;""="","NULL",SUBSTITUTE(T644&amp;"",",","."))&amp;", p_tipo_valvula =&gt; "&amp;IF(TRIM(U644&amp;"")="","NULL","'"&amp;SUBSTITUTE(TRIM(U644),"'","''")&amp;"'")&amp;", p_libro_cilindro =&gt; "&amp;IF(TRIM(V644&amp;"")="","NULL","'"&amp;SUBSTITUTE(TRIM(V644),"'","''")&amp;"'")&amp;", p_pagina_libro =&gt; "&amp;IF(W644&amp;""="","NULL",SUBSTITUTE(W644&amp;"",",","."))&amp;", p_observacion =&gt; "&amp;IF(TRIM(X644&amp;"")="","NULL","'"&amp;SUBSTITUTE(TRIM(X644),"'","''")&amp;"'")&amp;") AS resultado_balon_"&amp;ROW()&amp;";")</f>
        <v/>
      </c>
    </row>
    <row r="645" ht="15.75" customHeight="1" s="64">
      <c r="A645" s="36" t="inlineStr">
        <is>
          <t>641</t>
        </is>
      </c>
      <c r="B645" s="25">
        <f>IF(AND(C645="",D645="",E645=""),"",IF(C645="","FALTA código balón",IF(D645="","FALTA tipo balón",IF(E645="","FALTA gas",IF(F645="","FALTA propietario",IF(AND(C645&lt;&gt;"",SUMPRODUCT(--($C$5:$C$1200=C645))&gt;1),"CÓDIGO BALÓN DUPLICADO",IF(AND(OR(UPPER(F645)="PLANTA",UPPER(F645)="CLIENTE"),G645=""),"FALTA doc propietario/planta",IF(AND(UPPER(F645)="PLANTA",G645="10175332796"),"PLANTA no puede ser RUC empresa","OK"))))))))</f>
        <v/>
      </c>
      <c r="C645" s="23" t="inlineStr">
        <is>
          <t>14918</t>
        </is>
      </c>
      <c r="D645" s="17" t="inlineStr">
        <is>
          <t>Oxígeno Industrial 10 m³</t>
        </is>
      </c>
      <c r="E645" s="17" t="inlineStr">
        <is>
          <t>OXIGENO INDUSTRIAL</t>
        </is>
      </c>
      <c r="F645" s="17" t="inlineStr">
        <is>
          <t>EMPRESA</t>
        </is>
      </c>
      <c r="G645" s="23" t="inlineStr">
        <is>
          <t>10175332796</t>
        </is>
      </c>
      <c r="H645" s="25">
        <f t="array" ref="H645">IF(G645="","",IFERROR(IF(INDEX(Clientes!$D$5:$D$549,MATCH(G645,Clientes!$C$5:$C$549,0))&lt;&gt;"",INDEX(Clientes!$D$5:$D$549,MATCH(G645,Clientes!$C$5:$C$549,0)),TRIM(INDEX(Clientes!$E$5:$E$549,MATCH(G645,Clientes!$C$5:$C$549,0))&amp;" "&amp;INDEX(Clientes!$F$5:$F$549,MATCH(G645,Clientes!$C$5:$C$549,0)))),"NO EXISTE en Clientes"))</f>
        <v/>
      </c>
      <c r="I645" s="17" t="inlineStr">
        <is>
          <t>EN_PODER_CLIENTE</t>
        </is>
      </c>
      <c r="J645" s="17" t="n"/>
      <c r="K645" s="23" t="inlineStr">
        <is>
          <t>00001</t>
        </is>
      </c>
      <c r="L645" s="25">
        <f t="array" ref="L645">IF(K645="","",IFERROR(IF(INDEX(Clientes!$D$5:$D$549,MATCH(K645,Clientes!$C$5:$C$549,0))&lt;&gt;"",INDEX(Clientes!$D$5:$D$549,MATCH(K645,Clientes!$C$5:$C$549,0)),TRIM(INDEX(Clientes!$E$5:$E$549,MATCH(K645,Clientes!$C$5:$C$549,0))&amp;" "&amp;INDEX(Clientes!$F$5:$F$549,MATCH(K645,Clientes!$C$5:$C$549,0)))),"NO EXISTE en Clientes"))</f>
        <v/>
      </c>
      <c r="M645" s="17" t="n"/>
      <c r="N645" s="17" t="n"/>
      <c r="O645" s="42" t="n"/>
      <c r="P645" s="39" t="n"/>
      <c r="Q645" s="23" t="n"/>
      <c r="R645" s="17" t="n"/>
      <c r="S645" s="17" t="n"/>
      <c r="T645" s="17" t="n"/>
      <c r="U645" s="17" t="n"/>
      <c r="V645" s="23" t="n"/>
      <c r="W645" s="17" t="n"/>
      <c r="X645" s="17" t="n"/>
      <c r="Y645" s="28">
        <f>IF(B645&lt;&gt;"OK","","SELECT bal_crear_balon(p_codigo_balon =&gt; "&amp;IF(TRIM(C645&amp;"")="","NULL","'"&amp;SUBSTITUTE(TRIM(C645),"'","''")&amp;"'")&amp;", p_id_tipo_balon =&gt; "&amp;"(SELECT id FROM bal_tipo_balon WHERE upper(nombre) = upper('"&amp;SUBSTITUTE(TRIM(D645),"'","''")&amp;"') AND estado = 1 LIMIT 1)"&amp;", p_id_producto_gas =&gt; "&amp;"(SELECT id FROM pro_producto WHERE es_gas = TRUE AND upper(nombre) = upper('"&amp;SUBSTITUTE(TRIM(E645),"'","''")&amp;"') AND estado = 1 LIMIT 1)"&amp;", p_id_propietario =&gt; "&amp;IF(TRIM(F645&amp;"")="","NULL","(SELECT lo.id FROM gen_lista_opciones lo JOIN gen_lista l ON l.id = lo.id_lista WHERE l.nombre = 'PropietarioBalon' AND upper(lo.nombre) = upper('"&amp;SUBSTITUTE(TRIM(F645),"'","''")&amp;"') AND lo.estado = 1 LIMIT 1)")&amp;", p_id_cliente_propietario =&gt; "&amp;IF(F645="CLIENTE",IF(TRIM(G645&amp;"")="","NULL","(SELECT id FROM cli_clientes WHERE numero_documento = '"&amp;SUBSTITUTE(TRIM(G645),"'","''")&amp;"' AND estado = 1 LIMIT 1)"),"NULL")&amp;", p_id_planta =&gt; "&amp;IF(F645="PLANTA",IF(TRIM(G645&amp;"")="","NULL","(SELECT id FROM cli_clientes WHERE numero_documento = '"&amp;SUBSTITUTE(TRIM(G645),"'","''")&amp;"'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"&amp;IF(TRIM(J645&amp;"")="","NULL","(SELECT id FROM gen_almacen WHERE upper(nombre) = upper('"&amp;SUBSTITUTE(TRIM(J645),"'","''")&amp;"') AND estado = 1 LIMIT 1)")&amp;", p_id_cliente_ubicacion =&gt; "&amp;IF(TRIM(K645&amp;"")="","NULL","(SELECT id FROM cli_clientes WHERE numero_documento = '"&amp;SUBSTITUTE(TRIM(K645),"'","''")&amp;"' AND estado = 1 LIMIT 1)")&amp;", p_id_referencia =&gt; "&amp;IF(TRIM(J645&amp;"")&lt;&gt;"","(SELECT lo.id FROM gen_lista_opciones lo JOIN gen_lista l ON l.id = lo.id_lista WHERE l.nombre = 'ReferenciaCilindro' AND upper(lo.nombre) = 'ALMACEN' AND lo.estado = 1 LIMIT 1)",IF(TRIM(K645&amp;"")&lt;&gt;"","(SELECT lo.id FROM gen_lista_opciones lo JOIN gen_lista l ON l.id = lo.id_lista WHERE l.nombre = 'ReferenciaCilindro' AND upper(lo.nombre) = 'CLIENTE' AND lo.estado = 1 LIMIT 1)","NULL"))&amp;", p_anio_fabricacion =&gt; "&amp;IF(M645&amp;""="","NULL::smallint",M645&amp;"::smallint")&amp;", p_mes_fabricacion =&gt; "&amp;IF(N645&amp;""="","NULL::smallint",N645&amp;"::smallint")&amp;", p_fecha_ultima_prueba_hidrostatica =&gt; "&amp;IF(O645&amp;""="","NULL","'"&amp;YEAR(O645)&amp;"-"&amp;TEXT(MONTH(O645),"00")&amp;"-"&amp;TEXT(DAY(O645),"00")&amp;"'")&amp;", p_numero_serie =&gt; "&amp;IF(TRIM(Q645&amp;"")="","NULL","'"&amp;SUBSTITUTE(TRIM(Q645),"'","''")&amp;"'")&amp;", p_id_marca_cilindro =&gt; "&amp;IF(TRIM(R645&amp;"")="","NULL","(SELECT lo.id FROM gen_lista_opciones lo JOIN gen_lista l ON l.id = lo.id_lista WHERE l.nombre = 'MarcaCilindro' AND upper(lo.nombre) = upper('"&amp;SUBSTITUTE(TRIM(R645),"'","''")&amp;"') AND lo.estado = 1 LIMIT 1)")&amp;", p_id_organo_inspector =&gt; "&amp;IF(TRIM(S645&amp;"")="","NULL","(SELECT lo.id FROM gen_lista_opciones lo JOIN gen_lista l ON l.id = lo.id_lista WHERE l.nombre = 'OrganoInspectorCilindro' AND upper(lo.nombre) = upper('"&amp;SUBSTITUTE(TRIM(S645),"'","''")&amp;"') AND lo.estado = 1 LIMIT 1)")&amp;", p_organo_inspector_no_aplica =&gt; "&amp;IF(S645="NO_APLICA","TRUE","FALSE")&amp;", p_presion_actual =&gt; "&amp;IF(T645&amp;""="","NULL",SUBSTITUTE(T645&amp;"",",","."))&amp;", p_tipo_valvula =&gt; "&amp;IF(TRIM(U645&amp;"")="","NULL","'"&amp;SUBSTITUTE(TRIM(U645),"'","''")&amp;"'")&amp;", p_libro_cilindro =&gt; "&amp;IF(TRIM(V645&amp;"")="","NULL","'"&amp;SUBSTITUTE(TRIM(V645),"'","''")&amp;"'")&amp;", p_pagina_libro =&gt; "&amp;IF(W645&amp;""="","NULL",SUBSTITUTE(W645&amp;"",",","."))&amp;", p_observacion =&gt; "&amp;IF(TRIM(X645&amp;"")="","NULL","'"&amp;SUBSTITUTE(TRIM(X645),"'","''")&amp;"'")&amp;") AS resultado_balon_"&amp;ROW()&amp;";")</f>
        <v/>
      </c>
    </row>
    <row r="646" ht="15.75" customHeight="1" s="64">
      <c r="A646" s="36" t="inlineStr">
        <is>
          <t>642</t>
        </is>
      </c>
      <c r="B646" s="25">
        <f>IF(AND(C646="",D646="",E646=""),"",IF(C646="","FALTA código balón",IF(D646="","FALTA tipo balón",IF(E646="","FALTA gas",IF(F646="","FALTA propietario",IF(AND(C646&lt;&gt;"",SUMPRODUCT(--($C$5:$C$1200=C646))&gt;1),"CÓDIGO BALÓN DUPLICADO",IF(AND(OR(UPPER(F646)="PLANTA",UPPER(F646)="CLIENTE"),G646=""),"FALTA doc propietario/planta",IF(AND(UPPER(F646)="PLANTA",G646="10175332796"),"PLANTA no puede ser RUC empresa","OK"))))))))</f>
        <v/>
      </c>
      <c r="C646" s="23" t="inlineStr">
        <is>
          <t>AS1440000</t>
        </is>
      </c>
      <c r="D646" s="17" t="inlineStr">
        <is>
          <t>Oxigeno Industrial 1 m³</t>
        </is>
      </c>
      <c r="E646" s="17" t="inlineStr">
        <is>
          <t>OXIGENO INDUSTRIAL</t>
        </is>
      </c>
      <c r="F646" s="17" t="inlineStr">
        <is>
          <t>EMPRESA</t>
        </is>
      </c>
      <c r="G646" s="23" t="inlineStr">
        <is>
          <t>10175332796</t>
        </is>
      </c>
      <c r="H646" s="25">
        <f t="array" ref="H646">IF(G646="","",IFERROR(IF(INDEX(Clientes!$D$5:$D$549,MATCH(G646,Clientes!$C$5:$C$549,0))&lt;&gt;"",INDEX(Clientes!$D$5:$D$549,MATCH(G646,Clientes!$C$5:$C$549,0)),TRIM(INDEX(Clientes!$E$5:$E$549,MATCH(G646,Clientes!$C$5:$C$549,0))&amp;" "&amp;INDEX(Clientes!$F$5:$F$549,MATCH(G646,Clientes!$C$5:$C$549,0)))),"NO EXISTE en Clientes"))</f>
        <v/>
      </c>
      <c r="I646" s="17" t="inlineStr">
        <is>
          <t>EN_PODER_CLIENTE</t>
        </is>
      </c>
      <c r="J646" s="17" t="n"/>
      <c r="K646" s="23" t="inlineStr">
        <is>
          <t>40446471</t>
        </is>
      </c>
      <c r="L646" s="25">
        <f t="array" ref="L646">IF(K646="","",IFERROR(IF(INDEX(Clientes!$D$5:$D$549,MATCH(K646,Clientes!$C$5:$C$549,0))&lt;&gt;"",INDEX(Clientes!$D$5:$D$549,MATCH(K646,Clientes!$C$5:$C$549,0)),TRIM(INDEX(Clientes!$E$5:$E$549,MATCH(K646,Clientes!$C$5:$C$549,0))&amp;" "&amp;INDEX(Clientes!$F$5:$F$549,MATCH(K646,Clientes!$C$5:$C$549,0)))),"NO EXISTE en Clientes"))</f>
        <v/>
      </c>
      <c r="M646" s="17" t="n"/>
      <c r="N646" s="17" t="n"/>
      <c r="O646" s="42" t="n"/>
      <c r="P646" s="39" t="n"/>
      <c r="Q646" s="23" t="n"/>
      <c r="R646" s="17" t="n"/>
      <c r="S646" s="17" t="n"/>
      <c r="T646" s="17" t="n"/>
      <c r="U646" s="17" t="n"/>
      <c r="V646" s="23" t="n"/>
      <c r="W646" s="17" t="n"/>
      <c r="X646" s="17" t="n"/>
      <c r="Y646" s="28">
        <f>IF(B646&lt;&gt;"OK","","SELECT bal_crear_balon(p_codigo_balon =&gt; "&amp;IF(TRIM(C646&amp;"")="","NULL","'"&amp;SUBSTITUTE(TRIM(C646),"'","''")&amp;"'")&amp;", p_id_tipo_balon =&gt; "&amp;"(SELECT id FROM bal_tipo_balon WHERE upper(nombre) = upper('"&amp;SUBSTITUTE(TRIM(D646),"'","''")&amp;"') AND estado = 1 LIMIT 1)"&amp;", p_id_producto_gas =&gt; "&amp;"(SELECT id FROM pro_producto WHERE es_gas = TRUE AND upper(nombre) = upper('"&amp;SUBSTITUTE(TRIM(E646),"'","''")&amp;"') AND estado = 1 LIMIT 1)"&amp;", p_id_propietario =&gt; "&amp;IF(TRIM(F646&amp;"")="","NULL","(SELECT lo.id FROM gen_lista_opciones lo JOIN gen_lista l ON l.id = lo.id_lista WHERE l.nombre = 'PropietarioBalon' AND upper(lo.nombre) = upper('"&amp;SUBSTITUTE(TRIM(F646),"'","''")&amp;"') AND lo.estado = 1 LIMIT 1)")&amp;", p_id_cliente_propietario =&gt; "&amp;IF(F646="CLIENTE",IF(TRIM(G646&amp;"")="","NULL","(SELECT id FROM cli_clientes WHERE numero_documento = '"&amp;SUBSTITUTE(TRIM(G646),"'","''")&amp;"' AND estado = 1 LIMIT 1)"),"NULL")&amp;", p_id_planta =&gt; "&amp;IF(F646="PLANTA",IF(TRIM(G646&amp;"")="","NULL","(SELECT id FROM cli_clientes WHERE numero_documento = '"&amp;SUBSTITUTE(TRIM(G646),"'","''")&amp;"'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"&amp;IF(TRIM(J646&amp;"")="","NULL","(SELECT id FROM gen_almacen WHERE upper(nombre) = upper('"&amp;SUBSTITUTE(TRIM(J646),"'","''")&amp;"') AND estado = 1 LIMIT 1)")&amp;", p_id_cliente_ubicacion =&gt; "&amp;IF(TRIM(K646&amp;"")="","NULL","(SELECT id FROM cli_clientes WHERE numero_documento = '"&amp;SUBSTITUTE(TRIM(K646),"'","''")&amp;"' AND estado = 1 LIMIT 1)")&amp;", p_id_referencia =&gt; "&amp;IF(TRIM(J646&amp;"")&lt;&gt;"","(SELECT lo.id FROM gen_lista_opciones lo JOIN gen_lista l ON l.id = lo.id_lista WHERE l.nombre = 'ReferenciaCilindro' AND upper(lo.nombre) = 'ALMACEN' AND lo.estado = 1 LIMIT 1)",IF(TRIM(K646&amp;"")&lt;&gt;"","(SELECT lo.id FROM gen_lista_opciones lo JOIN gen_lista l ON l.id = lo.id_lista WHERE l.nombre = 'ReferenciaCilindro' AND upper(lo.nombre) = 'CLIENTE' AND lo.estado = 1 LIMIT 1)","NULL"))&amp;", p_anio_fabricacion =&gt; "&amp;IF(M646&amp;""="","NULL::smallint",M646&amp;"::smallint")&amp;", p_mes_fabricacion =&gt; "&amp;IF(N646&amp;""="","NULL::smallint",N646&amp;"::smallint")&amp;", p_fecha_ultima_prueba_hidrostatica =&gt; "&amp;IF(O646&amp;""="","NULL","'"&amp;YEAR(O646)&amp;"-"&amp;TEXT(MONTH(O646),"00")&amp;"-"&amp;TEXT(DAY(O646),"00")&amp;"'")&amp;", p_numero_serie =&gt; "&amp;IF(TRIM(Q646&amp;"")="","NULL","'"&amp;SUBSTITUTE(TRIM(Q646),"'","''")&amp;"'")&amp;", p_id_marca_cilindro =&gt; "&amp;IF(TRIM(R646&amp;"")="","NULL","(SELECT lo.id FROM gen_lista_opciones lo JOIN gen_lista l ON l.id = lo.id_lista WHERE l.nombre = 'MarcaCilindro' AND upper(lo.nombre) = upper('"&amp;SUBSTITUTE(TRIM(R646),"'","''")&amp;"') AND lo.estado = 1 LIMIT 1)")&amp;", p_id_organo_inspector =&gt; "&amp;IF(TRIM(S646&amp;"")="","NULL","(SELECT lo.id FROM gen_lista_opciones lo JOIN gen_lista l ON l.id = lo.id_lista WHERE l.nombre = 'OrganoInspectorCilindro' AND upper(lo.nombre) = upper('"&amp;SUBSTITUTE(TRIM(S646),"'","''")&amp;"') AND lo.estado = 1 LIMIT 1)")&amp;", p_organo_inspector_no_aplica =&gt; "&amp;IF(S646="NO_APLICA","TRUE","FALSE")&amp;", p_presion_actual =&gt; "&amp;IF(T646&amp;""="","NULL",SUBSTITUTE(T646&amp;"",",","."))&amp;", p_tipo_valvula =&gt; "&amp;IF(TRIM(U646&amp;"")="","NULL","'"&amp;SUBSTITUTE(TRIM(U646),"'","''")&amp;"'")&amp;", p_libro_cilindro =&gt; "&amp;IF(TRIM(V646&amp;"")="","NULL","'"&amp;SUBSTITUTE(TRIM(V646),"'","''")&amp;"'")&amp;", p_pagina_libro =&gt; "&amp;IF(W646&amp;""="","NULL",SUBSTITUTE(W646&amp;"",",","."))&amp;", p_observacion =&gt; "&amp;IF(TRIM(X646&amp;"")="","NULL","'"&amp;SUBSTITUTE(TRIM(X646),"'","''")&amp;"'")&amp;") AS resultado_balon_"&amp;ROW()&amp;";")</f>
        <v/>
      </c>
    </row>
    <row r="647" ht="15.75" customHeight="1" s="64">
      <c r="A647" s="36" t="inlineStr">
        <is>
          <t>643</t>
        </is>
      </c>
      <c r="B647" s="25">
        <f>IF(AND(C647="",D647="",E647=""),"",IF(C647="","FALTA código balón",IF(D647="","FALTA tipo balón",IF(E647="","FALTA gas",IF(F647="","FALTA propietario",IF(AND(C647&lt;&gt;"",SUMPRODUCT(--($C$5:$C$1200=C647))&gt;1),"CÓDIGO BALÓN DUPLICADO",IF(AND(OR(UPPER(F647)="PLANTA",UPPER(F647)="CLIENTE"),G647=""),"FALTA doc propietario/planta",IF(AND(UPPER(F647)="PLANTA",G647="10175332796"),"PLANTA no puede ser RUC empresa","OK"))))))))</f>
        <v/>
      </c>
      <c r="C647" s="23" t="inlineStr">
        <is>
          <t>K5434029</t>
        </is>
      </c>
      <c r="D647" s="17" t="inlineStr">
        <is>
          <t>Oxígeno Medicinal 10 m³</t>
        </is>
      </c>
      <c r="E647" s="17" t="inlineStr">
        <is>
          <t>OXIGENO MEDICINAL</t>
        </is>
      </c>
      <c r="F647" s="17" t="inlineStr">
        <is>
          <t>EMPRESA</t>
        </is>
      </c>
      <c r="G647" s="23" t="inlineStr">
        <is>
          <t>10175332796</t>
        </is>
      </c>
      <c r="H647" s="25">
        <f t="array" ref="H647">IF(G647="","",IFERROR(IF(INDEX(Clientes!$D$5:$D$549,MATCH(G647,Clientes!$C$5:$C$549,0))&lt;&gt;"",INDEX(Clientes!$D$5:$D$549,MATCH(G647,Clientes!$C$5:$C$549,0)),TRIM(INDEX(Clientes!$E$5:$E$549,MATCH(G647,Clientes!$C$5:$C$549,0))&amp;" "&amp;INDEX(Clientes!$F$5:$F$549,MATCH(G647,Clientes!$C$5:$C$549,0)))),"NO EXISTE en Clientes"))</f>
        <v/>
      </c>
      <c r="I647" s="17" t="inlineStr">
        <is>
          <t>EN_PODER_CLIENTE</t>
        </is>
      </c>
      <c r="J647" s="17" t="n"/>
      <c r="K647" s="23" t="inlineStr">
        <is>
          <t>17522246</t>
        </is>
      </c>
      <c r="L647" s="25">
        <f t="array" ref="L647">IF(K647="","",IFERROR(IF(INDEX(Clientes!$D$5:$D$549,MATCH(K647,Clientes!$C$5:$C$549,0))&lt;&gt;"",INDEX(Clientes!$D$5:$D$549,MATCH(K647,Clientes!$C$5:$C$549,0)),TRIM(INDEX(Clientes!$E$5:$E$549,MATCH(K647,Clientes!$C$5:$C$549,0))&amp;" "&amp;INDEX(Clientes!$F$5:$F$549,MATCH(K647,Clientes!$C$5:$C$549,0)))),"NO EXISTE en Clientes"))</f>
        <v/>
      </c>
      <c r="M647" s="17" t="n"/>
      <c r="N647" s="17" t="n"/>
      <c r="O647" s="42" t="n"/>
      <c r="P647" s="39" t="n"/>
      <c r="Q647" s="23" t="n"/>
      <c r="R647" s="17" t="n"/>
      <c r="S647" s="17" t="n"/>
      <c r="T647" s="17" t="n"/>
      <c r="U647" s="17" t="n"/>
      <c r="V647" s="23" t="n"/>
      <c r="W647" s="17" t="n"/>
      <c r="X647" s="17" t="n"/>
      <c r="Y647" s="28">
        <f>IF(B647&lt;&gt;"OK","","SELECT bal_crear_balon(p_codigo_balon =&gt; "&amp;IF(TRIM(C647&amp;"")="","NULL","'"&amp;SUBSTITUTE(TRIM(C647),"'","''")&amp;"'")&amp;", p_id_tipo_balon =&gt; "&amp;"(SELECT id FROM bal_tipo_balon WHERE upper(nombre) = upper('"&amp;SUBSTITUTE(TRIM(D647),"'","''")&amp;"') AND estado = 1 LIMIT 1)"&amp;", p_id_producto_gas =&gt; "&amp;"(SELECT id FROM pro_producto WHERE es_gas = TRUE AND upper(nombre) = upper('"&amp;SUBSTITUTE(TRIM(E647),"'","''")&amp;"') AND estado = 1 LIMIT 1)"&amp;", p_id_propietario =&gt; "&amp;IF(TRIM(F647&amp;"")="","NULL","(SELECT lo.id FROM gen_lista_opciones lo JOIN gen_lista l ON l.id = lo.id_lista WHERE l.nombre = 'PropietarioBalon' AND upper(lo.nombre) = upper('"&amp;SUBSTITUTE(TRIM(F647),"'","''")&amp;"') AND lo.estado = 1 LIMIT 1)")&amp;", p_id_cliente_propietario =&gt; "&amp;IF(F647="CLIENTE",IF(TRIM(G647&amp;"")="","NULL","(SELECT id FROM cli_clientes WHERE numero_documento = '"&amp;SUBSTITUTE(TRIM(G647),"'","''")&amp;"' AND estado = 1 LIMIT 1)"),"NULL")&amp;", p_id_planta =&gt; "&amp;IF(F647="PLANTA",IF(TRIM(G647&amp;"")="","NULL","(SELECT id FROM cli_clientes WHERE numero_documento = '"&amp;SUBSTITUTE(TRIM(G647),"'","''")&amp;"'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"&amp;IF(TRIM(J647&amp;"")="","NULL","(SELECT id FROM gen_almacen WHERE upper(nombre) = upper('"&amp;SUBSTITUTE(TRIM(J647),"'","''")&amp;"') AND estado = 1 LIMIT 1)")&amp;", p_id_cliente_ubicacion =&gt; "&amp;IF(TRIM(K647&amp;"")="","NULL","(SELECT id FROM cli_clientes WHERE numero_documento = '"&amp;SUBSTITUTE(TRIM(K647),"'","''")&amp;"' AND estado = 1 LIMIT 1)")&amp;", p_id_referencia =&gt; "&amp;IF(TRIM(J647&amp;"")&lt;&gt;"","(SELECT lo.id FROM gen_lista_opciones lo JOIN gen_lista l ON l.id = lo.id_lista WHERE l.nombre = 'ReferenciaCilindro' AND upper(lo.nombre) = 'ALMACEN' AND lo.estado = 1 LIMIT 1)",IF(TRIM(K647&amp;"")&lt;&gt;"","(SELECT lo.id FROM gen_lista_opciones lo JOIN gen_lista l ON l.id = lo.id_lista WHERE l.nombre = 'ReferenciaCilindro' AND upper(lo.nombre) = 'CLIENTE' AND lo.estado = 1 LIMIT 1)","NULL"))&amp;", p_anio_fabricacion =&gt; "&amp;IF(M647&amp;""="","NULL::smallint",M647&amp;"::smallint")&amp;", p_mes_fabricacion =&gt; "&amp;IF(N647&amp;""="","NULL::smallint",N647&amp;"::smallint")&amp;", p_fecha_ultima_prueba_hidrostatica =&gt; "&amp;IF(O647&amp;""="","NULL","'"&amp;YEAR(O647)&amp;"-"&amp;TEXT(MONTH(O647),"00")&amp;"-"&amp;TEXT(DAY(O647),"00")&amp;"'")&amp;", p_numero_serie =&gt; "&amp;IF(TRIM(Q647&amp;"")="","NULL","'"&amp;SUBSTITUTE(TRIM(Q647),"'","''")&amp;"'")&amp;", p_id_marca_cilindro =&gt; "&amp;IF(TRIM(R647&amp;"")="","NULL","(SELECT lo.id FROM gen_lista_opciones lo JOIN gen_lista l ON l.id = lo.id_lista WHERE l.nombre = 'MarcaCilindro' AND upper(lo.nombre) = upper('"&amp;SUBSTITUTE(TRIM(R647),"'","''")&amp;"') AND lo.estado = 1 LIMIT 1)")&amp;", p_id_organo_inspector =&gt; "&amp;IF(TRIM(S647&amp;"")="","NULL","(SELECT lo.id FROM gen_lista_opciones lo JOIN gen_lista l ON l.id = lo.id_lista WHERE l.nombre = 'OrganoInspectorCilindro' AND upper(lo.nombre) = upper('"&amp;SUBSTITUTE(TRIM(S647),"'","''")&amp;"') AND lo.estado = 1 LIMIT 1)")&amp;", p_organo_inspector_no_aplica =&gt; "&amp;IF(S647="NO_APLICA","TRUE","FALSE")&amp;", p_presion_actual =&gt; "&amp;IF(T647&amp;""="","NULL",SUBSTITUTE(T647&amp;"",",","."))&amp;", p_tipo_valvula =&gt; "&amp;IF(TRIM(U647&amp;"")="","NULL","'"&amp;SUBSTITUTE(TRIM(U647),"'","''")&amp;"'")&amp;", p_libro_cilindro =&gt; "&amp;IF(TRIM(V647&amp;"")="","NULL","'"&amp;SUBSTITUTE(TRIM(V647),"'","''")&amp;"'")&amp;", p_pagina_libro =&gt; "&amp;IF(W647&amp;""="","NULL",SUBSTITUTE(W647&amp;"",",","."))&amp;", p_observacion =&gt; "&amp;IF(TRIM(X647&amp;"")="","NULL","'"&amp;SUBSTITUTE(TRIM(X647),"'","''")&amp;"'")&amp;") AS resultado_balon_"&amp;ROW()&amp;";")</f>
        <v/>
      </c>
    </row>
    <row r="648" ht="15.75" customHeight="1" s="64">
      <c r="A648" s="36" t="inlineStr">
        <is>
          <t>644</t>
        </is>
      </c>
      <c r="B648" s="25">
        <f>IF(AND(C648="",D648="",E648=""),"",IF(C648="","FALTA código balón",IF(D648="","FALTA tipo balón",IF(E648="","FALTA gas",IF(F648="","FALTA propietario",IF(AND(C648&lt;&gt;"",SUMPRODUCT(--($C$5:$C$1200=C648))&gt;1),"CÓDIGO BALÓN DUPLICADO",IF(AND(OR(UPPER(F648)="PLANTA",UPPER(F648)="CLIENTE"),G648=""),"FALTA doc propietario/planta",IF(AND(UPPER(F648)="PLANTA",G648="10175332796"),"PLANTA no puede ser RUC empresa","OK"))))))))</f>
        <v/>
      </c>
      <c r="C648" s="23" t="inlineStr">
        <is>
          <t>EC044029</t>
        </is>
      </c>
      <c r="D648" s="17" t="inlineStr">
        <is>
          <t>Oxígeno Industrial 10 m³</t>
        </is>
      </c>
      <c r="E648" s="17" t="inlineStr">
        <is>
          <t>OXIGENO INDUSTRIAL</t>
        </is>
      </c>
      <c r="F648" s="17" t="inlineStr">
        <is>
          <t>EMPRESA</t>
        </is>
      </c>
      <c r="G648" s="23" t="inlineStr">
        <is>
          <t>10175332796</t>
        </is>
      </c>
      <c r="H648" s="25">
        <f t="array" ref="H648">IF(G648="","",IFERROR(IF(INDEX(Clientes!$D$5:$D$549,MATCH(G648,Clientes!$C$5:$C$549,0))&lt;&gt;"",INDEX(Clientes!$D$5:$D$549,MATCH(G648,Clientes!$C$5:$C$549,0)),TRIM(INDEX(Clientes!$E$5:$E$549,MATCH(G648,Clientes!$C$5:$C$549,0))&amp;" "&amp;INDEX(Clientes!$F$5:$F$549,MATCH(G648,Clientes!$C$5:$C$549,0)))),"NO EXISTE en Clientes"))</f>
        <v/>
      </c>
      <c r="I648" s="17" t="inlineStr">
        <is>
          <t>EN_PODER_CLIENTE</t>
        </is>
      </c>
      <c r="J648" s="17" t="n"/>
      <c r="K648" s="23" t="inlineStr">
        <is>
          <t>20615458440</t>
        </is>
      </c>
      <c r="L648" s="25">
        <f t="array" ref="L648">IF(K648="","",IFERROR(IF(INDEX(Clientes!$D$5:$D$549,MATCH(K648,Clientes!$C$5:$C$549,0))&lt;&gt;"",INDEX(Clientes!$D$5:$D$549,MATCH(K648,Clientes!$C$5:$C$549,0)),TRIM(INDEX(Clientes!$E$5:$E$549,MATCH(K648,Clientes!$C$5:$C$549,0))&amp;" "&amp;INDEX(Clientes!$F$5:$F$549,MATCH(K648,Clientes!$C$5:$C$549,0)))),"NO EXISTE en Clientes"))</f>
        <v/>
      </c>
      <c r="M648" s="17" t="n"/>
      <c r="N648" s="17" t="n"/>
      <c r="O648" s="42" t="n"/>
      <c r="P648" s="39" t="n"/>
      <c r="Q648" s="23" t="n"/>
      <c r="R648" s="17" t="n"/>
      <c r="S648" s="17" t="n"/>
      <c r="T648" s="17" t="n"/>
      <c r="U648" s="17" t="n"/>
      <c r="V648" s="23" t="n"/>
      <c r="W648" s="17" t="n"/>
      <c r="X648" s="17" t="n"/>
      <c r="Y648" s="28">
        <f>IF(B648&lt;&gt;"OK","","SELECT bal_crear_balon(p_codigo_balon =&gt; "&amp;IF(TRIM(C648&amp;"")="","NULL","'"&amp;SUBSTITUTE(TRIM(C648),"'","''")&amp;"'")&amp;", p_id_tipo_balon =&gt; "&amp;"(SELECT id FROM bal_tipo_balon WHERE upper(nombre) = upper('"&amp;SUBSTITUTE(TRIM(D648),"'","''")&amp;"') AND estado = 1 LIMIT 1)"&amp;", p_id_producto_gas =&gt; "&amp;"(SELECT id FROM pro_producto WHERE es_gas = TRUE AND upper(nombre) = upper('"&amp;SUBSTITUTE(TRIM(E648),"'","''")&amp;"') AND estado = 1 LIMIT 1)"&amp;", p_id_propietario =&gt; "&amp;IF(TRIM(F648&amp;"")="","NULL","(SELECT lo.id FROM gen_lista_opciones lo JOIN gen_lista l ON l.id = lo.id_lista WHERE l.nombre = 'PropietarioBalon' AND upper(lo.nombre) = upper('"&amp;SUBSTITUTE(TRIM(F648),"'","''")&amp;"') AND lo.estado = 1 LIMIT 1)")&amp;", p_id_cliente_propietario =&gt; "&amp;IF(F648="CLIENTE",IF(TRIM(G648&amp;"")="","NULL","(SELECT id FROM cli_clientes WHERE numero_documento = '"&amp;SUBSTITUTE(TRIM(G648),"'","''")&amp;"' AND estado = 1 LIMIT 1)"),"NULL")&amp;", p_id_planta =&gt; "&amp;IF(F648="PLANTA",IF(TRIM(G648&amp;"")="","NULL","(SELECT id FROM cli_clientes WHERE numero_documento = '"&amp;SUBSTITUTE(TRIM(G648),"'","''")&amp;"'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"&amp;IF(TRIM(J648&amp;"")="","NULL","(SELECT id FROM gen_almacen WHERE upper(nombre) = upper('"&amp;SUBSTITUTE(TRIM(J648),"'","''")&amp;"') AND estado = 1 LIMIT 1)")&amp;", p_id_cliente_ubicacion =&gt; "&amp;IF(TRIM(K648&amp;"")="","NULL","(SELECT id FROM cli_clientes WHERE numero_documento = '"&amp;SUBSTITUTE(TRIM(K648),"'","''")&amp;"' AND estado = 1 LIMIT 1)")&amp;", p_id_referencia =&gt; "&amp;IF(TRIM(J648&amp;"")&lt;&gt;"","(SELECT lo.id FROM gen_lista_opciones lo JOIN gen_lista l ON l.id = lo.id_lista WHERE l.nombre = 'ReferenciaCilindro' AND upper(lo.nombre) = 'ALMACEN' AND lo.estado = 1 LIMIT 1)",IF(TRIM(K648&amp;"")&lt;&gt;"","(SELECT lo.id FROM gen_lista_opciones lo JOIN gen_lista l ON l.id = lo.id_lista WHERE l.nombre = 'ReferenciaCilindro' AND upper(lo.nombre) = 'CLIENTE' AND lo.estado = 1 LIMIT 1)","NULL"))&amp;", p_anio_fabricacion =&gt; "&amp;IF(M648&amp;""="","NULL::smallint",M648&amp;"::smallint")&amp;", p_mes_fabricacion =&gt; "&amp;IF(N648&amp;""="","NULL::smallint",N648&amp;"::smallint")&amp;", p_fecha_ultima_prueba_hidrostatica =&gt; "&amp;IF(O648&amp;""="","NULL","'"&amp;YEAR(O648)&amp;"-"&amp;TEXT(MONTH(O648),"00")&amp;"-"&amp;TEXT(DAY(O648),"00")&amp;"'")&amp;", p_numero_serie =&gt; "&amp;IF(TRIM(Q648&amp;"")="","NULL","'"&amp;SUBSTITUTE(TRIM(Q648),"'","''")&amp;"'")&amp;", p_id_marca_cilindro =&gt; "&amp;IF(TRIM(R648&amp;"")="","NULL","(SELECT lo.id FROM gen_lista_opciones lo JOIN gen_lista l ON l.id = lo.id_lista WHERE l.nombre = 'MarcaCilindro' AND upper(lo.nombre) = upper('"&amp;SUBSTITUTE(TRIM(R648),"'","''")&amp;"') AND lo.estado = 1 LIMIT 1)")&amp;", p_id_organo_inspector =&gt; "&amp;IF(TRIM(S648&amp;"")="","NULL","(SELECT lo.id FROM gen_lista_opciones lo JOIN gen_lista l ON l.id = lo.id_lista WHERE l.nombre = 'OrganoInspectorCilindro' AND upper(lo.nombre) = upper('"&amp;SUBSTITUTE(TRIM(S648),"'","''")&amp;"') AND lo.estado = 1 LIMIT 1)")&amp;", p_organo_inspector_no_aplica =&gt; "&amp;IF(S648="NO_APLICA","TRUE","FALSE")&amp;", p_presion_actual =&gt; "&amp;IF(T648&amp;""="","NULL",SUBSTITUTE(T648&amp;"",",","."))&amp;", p_tipo_valvula =&gt; "&amp;IF(TRIM(U648&amp;"")="","NULL","'"&amp;SUBSTITUTE(TRIM(U648),"'","''")&amp;"'")&amp;", p_libro_cilindro =&gt; "&amp;IF(TRIM(V648&amp;"")="","NULL","'"&amp;SUBSTITUTE(TRIM(V648),"'","''")&amp;"'")&amp;", p_pagina_libro =&gt; "&amp;IF(W648&amp;""="","NULL",SUBSTITUTE(W648&amp;"",",","."))&amp;", p_observacion =&gt; "&amp;IF(TRIM(X648&amp;"")="","NULL","'"&amp;SUBSTITUTE(TRIM(X648),"'","''")&amp;"'")&amp;") AS resultado_balon_"&amp;ROW()&amp;";")</f>
        <v/>
      </c>
    </row>
    <row r="649" ht="15.75" customHeight="1" s="64">
      <c r="A649" s="36" t="inlineStr">
        <is>
          <t>645</t>
        </is>
      </c>
      <c r="B649" s="25">
        <f>IF(AND(C649="",D649="",E649=""),"",IF(C649="","FALTA código balón",IF(D649="","FALTA tipo balón",IF(E649="","FALTA gas",IF(F649="","FALTA propietario",IF(AND(C649&lt;&gt;"",SUMPRODUCT(--($C$5:$C$1200=C649))&gt;1),"CÓDIGO BALÓN DUPLICADO",IF(AND(OR(UPPER(F649)="PLANTA",UPPER(F649)="CLIENTE"),G649=""),"FALTA doc propietario/planta",IF(AND(UPPER(F649)="PLANTA",G649="10175332796"),"PLANTA no puede ser RUC empresa","OK"))))))))</f>
        <v/>
      </c>
      <c r="C649" s="23" t="inlineStr">
        <is>
          <t>LH03191</t>
        </is>
      </c>
      <c r="D649" s="17" t="inlineStr">
        <is>
          <t>Oxígeno Industrial 10 m³</t>
        </is>
      </c>
      <c r="E649" s="17" t="inlineStr">
        <is>
          <t>OXIGENO INDUSTRIAL</t>
        </is>
      </c>
      <c r="F649" s="17" t="inlineStr">
        <is>
          <t>EMPRESA</t>
        </is>
      </c>
      <c r="G649" s="23" t="inlineStr">
        <is>
          <t>10175332796</t>
        </is>
      </c>
      <c r="H649" s="25">
        <f t="array" ref="H649">IF(G649="","",IFERROR(IF(INDEX(Clientes!$D$5:$D$549,MATCH(G649,Clientes!$C$5:$C$549,0))&lt;&gt;"",INDEX(Clientes!$D$5:$D$549,MATCH(G649,Clientes!$C$5:$C$549,0)),TRIM(INDEX(Clientes!$E$5:$E$549,MATCH(G649,Clientes!$C$5:$C$549,0))&amp;" "&amp;INDEX(Clientes!$F$5:$F$549,MATCH(G649,Clientes!$C$5:$C$549,0)))),"NO EXISTE en Clientes"))</f>
        <v/>
      </c>
      <c r="I649" s="17" t="inlineStr">
        <is>
          <t>EN_PODER_CLIENTE</t>
        </is>
      </c>
      <c r="J649" s="17" t="n"/>
      <c r="K649" s="23" t="inlineStr">
        <is>
          <t>20615458440</t>
        </is>
      </c>
      <c r="L649" s="25">
        <f t="array" ref="L649">IF(K649="","",IFERROR(IF(INDEX(Clientes!$D$5:$D$549,MATCH(K649,Clientes!$C$5:$C$549,0))&lt;&gt;"",INDEX(Clientes!$D$5:$D$549,MATCH(K649,Clientes!$C$5:$C$549,0)),TRIM(INDEX(Clientes!$E$5:$E$549,MATCH(K649,Clientes!$C$5:$C$549,0))&amp;" "&amp;INDEX(Clientes!$F$5:$F$549,MATCH(K649,Clientes!$C$5:$C$549,0)))),"NO EXISTE en Clientes"))</f>
        <v/>
      </c>
      <c r="M649" s="17" t="n"/>
      <c r="N649" s="17" t="n"/>
      <c r="O649" s="42" t="n"/>
      <c r="P649" s="39" t="n"/>
      <c r="Q649" s="23" t="n"/>
      <c r="R649" s="17" t="n"/>
      <c r="S649" s="17" t="n"/>
      <c r="T649" s="17" t="n"/>
      <c r="U649" s="17" t="n"/>
      <c r="V649" s="23" t="n"/>
      <c r="W649" s="17" t="n"/>
      <c r="X649" s="17" t="n"/>
      <c r="Y649" s="28">
        <f>IF(B649&lt;&gt;"OK","","SELECT bal_crear_balon(p_codigo_balon =&gt; "&amp;IF(TRIM(C649&amp;"")="","NULL","'"&amp;SUBSTITUTE(TRIM(C649),"'","''")&amp;"'")&amp;", p_id_tipo_balon =&gt; "&amp;"(SELECT id FROM bal_tipo_balon WHERE upper(nombre) = upper('"&amp;SUBSTITUTE(TRIM(D649),"'","''")&amp;"') AND estado = 1 LIMIT 1)"&amp;", p_id_producto_gas =&gt; "&amp;"(SELECT id FROM pro_producto WHERE es_gas = TRUE AND upper(nombre) = upper('"&amp;SUBSTITUTE(TRIM(E649),"'","''")&amp;"') AND estado = 1 LIMIT 1)"&amp;", p_id_propietario =&gt; "&amp;IF(TRIM(F649&amp;"")="","NULL","(SELECT lo.id FROM gen_lista_opciones lo JOIN gen_lista l ON l.id = lo.id_lista WHERE l.nombre = 'PropietarioBalon' AND upper(lo.nombre) = upper('"&amp;SUBSTITUTE(TRIM(F649),"'","''")&amp;"') AND lo.estado = 1 LIMIT 1)")&amp;", p_id_cliente_propietario =&gt; "&amp;IF(F649="CLIENTE",IF(TRIM(G649&amp;"")="","NULL","(SELECT id FROM cli_clientes WHERE numero_documento = '"&amp;SUBSTITUTE(TRIM(G649),"'","''")&amp;"' AND estado = 1 LIMIT 1)"),"NULL")&amp;", p_id_planta =&gt; "&amp;IF(F649="PLANTA",IF(TRIM(G649&amp;"")="","NULL","(SELECT id FROM cli_clientes WHERE numero_documento = '"&amp;SUBSTITUTE(TRIM(G649),"'","''")&amp;"'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"&amp;IF(TRIM(J649&amp;"")="","NULL","(SELECT id FROM gen_almacen WHERE upper(nombre) = upper('"&amp;SUBSTITUTE(TRIM(J649),"'","''")&amp;"') AND estado = 1 LIMIT 1)")&amp;", p_id_cliente_ubicacion =&gt; "&amp;IF(TRIM(K649&amp;"")="","NULL","(SELECT id FROM cli_clientes WHERE numero_documento = '"&amp;SUBSTITUTE(TRIM(K649),"'","''")&amp;"' AND estado = 1 LIMIT 1)")&amp;", p_id_referencia =&gt; "&amp;IF(TRIM(J649&amp;"")&lt;&gt;"","(SELECT lo.id FROM gen_lista_opciones lo JOIN gen_lista l ON l.id = lo.id_lista WHERE l.nombre = 'ReferenciaCilindro' AND upper(lo.nombre) = 'ALMACEN' AND lo.estado = 1 LIMIT 1)",IF(TRIM(K649&amp;"")&lt;&gt;"","(SELECT lo.id FROM gen_lista_opciones lo JOIN gen_lista l ON l.id = lo.id_lista WHERE l.nombre = 'ReferenciaCilindro' AND upper(lo.nombre) = 'CLIENTE' AND lo.estado = 1 LIMIT 1)","NULL"))&amp;", p_anio_fabricacion =&gt; "&amp;IF(M649&amp;""="","NULL::smallint",M649&amp;"::smallint")&amp;", p_mes_fabricacion =&gt; "&amp;IF(N649&amp;""="","NULL::smallint",N649&amp;"::smallint")&amp;", p_fecha_ultima_prueba_hidrostatica =&gt; "&amp;IF(O649&amp;""="","NULL","'"&amp;YEAR(O649)&amp;"-"&amp;TEXT(MONTH(O649),"00")&amp;"-"&amp;TEXT(DAY(O649),"00")&amp;"'")&amp;", p_numero_serie =&gt; "&amp;IF(TRIM(Q649&amp;"")="","NULL","'"&amp;SUBSTITUTE(TRIM(Q649),"'","''")&amp;"'")&amp;", p_id_marca_cilindro =&gt; "&amp;IF(TRIM(R649&amp;"")="","NULL","(SELECT lo.id FROM gen_lista_opciones lo JOIN gen_lista l ON l.id = lo.id_lista WHERE l.nombre = 'MarcaCilindro' AND upper(lo.nombre) = upper('"&amp;SUBSTITUTE(TRIM(R649),"'","''")&amp;"') AND lo.estado = 1 LIMIT 1)")&amp;", p_id_organo_inspector =&gt; "&amp;IF(TRIM(S649&amp;"")="","NULL","(SELECT lo.id FROM gen_lista_opciones lo JOIN gen_lista l ON l.id = lo.id_lista WHERE l.nombre = 'OrganoInspectorCilindro' AND upper(lo.nombre) = upper('"&amp;SUBSTITUTE(TRIM(S649),"'","''")&amp;"') AND lo.estado = 1 LIMIT 1)")&amp;", p_organo_inspector_no_aplica =&gt; "&amp;IF(S649="NO_APLICA","TRUE","FALSE")&amp;", p_presion_actual =&gt; "&amp;IF(T649&amp;""="","NULL",SUBSTITUTE(T649&amp;"",",","."))&amp;", p_tipo_valvula =&gt; "&amp;IF(TRIM(U649&amp;"")="","NULL","'"&amp;SUBSTITUTE(TRIM(U649),"'","''")&amp;"'")&amp;", p_libro_cilindro =&gt; "&amp;IF(TRIM(V649&amp;"")="","NULL","'"&amp;SUBSTITUTE(TRIM(V649),"'","''")&amp;"'")&amp;", p_pagina_libro =&gt; "&amp;IF(W649&amp;""="","NULL",SUBSTITUTE(W649&amp;"",",","."))&amp;", p_observacion =&gt; "&amp;IF(TRIM(X649&amp;"")="","NULL","'"&amp;SUBSTITUTE(TRIM(X649),"'","''")&amp;"'")&amp;") AS resultado_balon_"&amp;ROW()&amp;";")</f>
        <v/>
      </c>
    </row>
    <row r="650" ht="15.75" customHeight="1" s="64">
      <c r="A650" s="36" t="inlineStr">
        <is>
          <t>646</t>
        </is>
      </c>
      <c r="B650" s="25">
        <f>IF(AND(C650="",D650="",E650=""),"",IF(C650="","FALTA código balón",IF(D650="","FALTA tipo balón",IF(E650="","FALTA gas",IF(F650="","FALTA propietario",IF(AND(C650&lt;&gt;"",SUMPRODUCT(--($C$5:$C$1200=C650))&gt;1),"CÓDIGO BALÓN DUPLICADO",IF(AND(OR(UPPER(F650)="PLANTA",UPPER(F650)="CLIENTE"),G650=""),"FALTA doc propietario/planta",IF(AND(UPPER(F650)="PLANTA",G650="10175332796"),"PLANTA no puede ser RUC empresa","OK"))))))))</f>
        <v/>
      </c>
      <c r="C650" s="23" t="inlineStr">
        <is>
          <t>K5392019</t>
        </is>
      </c>
      <c r="D650" s="17" t="inlineStr">
        <is>
          <t>Oxígeno Industrial 10 m³</t>
        </is>
      </c>
      <c r="E650" s="17" t="inlineStr">
        <is>
          <t>OXIGENO INDUSTRIAL</t>
        </is>
      </c>
      <c r="F650" s="17" t="inlineStr">
        <is>
          <t>EMPRESA</t>
        </is>
      </c>
      <c r="G650" s="23" t="inlineStr">
        <is>
          <t>10175332796</t>
        </is>
      </c>
      <c r="H650" s="25">
        <f t="array" ref="H650">IF(G650="","",IFERROR(IF(INDEX(Clientes!$D$5:$D$549,MATCH(G650,Clientes!$C$5:$C$549,0))&lt;&gt;"",INDEX(Clientes!$D$5:$D$549,MATCH(G650,Clientes!$C$5:$C$549,0)),TRIM(INDEX(Clientes!$E$5:$E$549,MATCH(G650,Clientes!$C$5:$C$549,0))&amp;" "&amp;INDEX(Clientes!$F$5:$F$549,MATCH(G650,Clientes!$C$5:$C$549,0)))),"NO EXISTE en Clientes"))</f>
        <v/>
      </c>
      <c r="I650" s="17" t="inlineStr">
        <is>
          <t>EN_PODER_CLIENTE</t>
        </is>
      </c>
      <c r="J650" s="17" t="n"/>
      <c r="K650" s="23" t="inlineStr">
        <is>
          <t>20615458440</t>
        </is>
      </c>
      <c r="L650" s="25">
        <f t="array" ref="L650">IF(K650="","",IFERROR(IF(INDEX(Clientes!$D$5:$D$549,MATCH(K650,Clientes!$C$5:$C$549,0))&lt;&gt;"",INDEX(Clientes!$D$5:$D$549,MATCH(K650,Clientes!$C$5:$C$549,0)),TRIM(INDEX(Clientes!$E$5:$E$549,MATCH(K650,Clientes!$C$5:$C$549,0))&amp;" "&amp;INDEX(Clientes!$F$5:$F$549,MATCH(K650,Clientes!$C$5:$C$549,0)))),"NO EXISTE en Clientes"))</f>
        <v/>
      </c>
      <c r="M650" s="17" t="n"/>
      <c r="N650" s="17" t="n"/>
      <c r="O650" s="42" t="n"/>
      <c r="P650" s="39" t="n"/>
      <c r="Q650" s="23" t="n"/>
      <c r="R650" s="17" t="n"/>
      <c r="S650" s="17" t="n"/>
      <c r="T650" s="17" t="n"/>
      <c r="U650" s="17" t="n"/>
      <c r="V650" s="23" t="n"/>
      <c r="W650" s="17" t="n"/>
      <c r="X650" s="17" t="n"/>
      <c r="Y650" s="28">
        <f>IF(B650&lt;&gt;"OK","","SELECT bal_crear_balon(p_codigo_balon =&gt; "&amp;IF(TRIM(C650&amp;"")="","NULL","'"&amp;SUBSTITUTE(TRIM(C650),"'","''")&amp;"'")&amp;", p_id_tipo_balon =&gt; "&amp;"(SELECT id FROM bal_tipo_balon WHERE upper(nombre) = upper('"&amp;SUBSTITUTE(TRIM(D650),"'","''")&amp;"') AND estado = 1 LIMIT 1)"&amp;", p_id_producto_gas =&gt; "&amp;"(SELECT id FROM pro_producto WHERE es_gas = TRUE AND upper(nombre) = upper('"&amp;SUBSTITUTE(TRIM(E650),"'","''")&amp;"') AND estado = 1 LIMIT 1)"&amp;", p_id_propietario =&gt; "&amp;IF(TRIM(F650&amp;"")="","NULL","(SELECT lo.id FROM gen_lista_opciones lo JOIN gen_lista l ON l.id = lo.id_lista WHERE l.nombre = 'PropietarioBalon' AND upper(lo.nombre) = upper('"&amp;SUBSTITUTE(TRIM(F650),"'","''")&amp;"') AND lo.estado = 1 LIMIT 1)")&amp;", p_id_cliente_propietario =&gt; "&amp;IF(F650="CLIENTE",IF(TRIM(G650&amp;"")="","NULL","(SELECT id FROM cli_clientes WHERE numero_documento = '"&amp;SUBSTITUTE(TRIM(G650),"'","''")&amp;"' AND estado = 1 LIMIT 1)"),"NULL")&amp;", p_id_planta =&gt; "&amp;IF(F650="PLANTA",IF(TRIM(G650&amp;"")="","NULL","(SELECT id FROM cli_clientes WHERE numero_documento = '"&amp;SUBSTITUTE(TRIM(G650),"'","''")&amp;"'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"&amp;IF(TRIM(J650&amp;"")="","NULL","(SELECT id FROM gen_almacen WHERE upper(nombre) = upper('"&amp;SUBSTITUTE(TRIM(J650),"'","''")&amp;"') AND estado = 1 LIMIT 1)")&amp;", p_id_cliente_ubicacion =&gt; "&amp;IF(TRIM(K650&amp;"")="","NULL","(SELECT id FROM cli_clientes WHERE numero_documento = '"&amp;SUBSTITUTE(TRIM(K650),"'","''")&amp;"' AND estado = 1 LIMIT 1)")&amp;", p_id_referencia =&gt; "&amp;IF(TRIM(J650&amp;"")&lt;&gt;"","(SELECT lo.id FROM gen_lista_opciones lo JOIN gen_lista l ON l.id = lo.id_lista WHERE l.nombre = 'ReferenciaCilindro' AND upper(lo.nombre) = 'ALMACEN' AND lo.estado = 1 LIMIT 1)",IF(TRIM(K650&amp;"")&lt;&gt;"","(SELECT lo.id FROM gen_lista_opciones lo JOIN gen_lista l ON l.id = lo.id_lista WHERE l.nombre = 'ReferenciaCilindro' AND upper(lo.nombre) = 'CLIENTE' AND lo.estado = 1 LIMIT 1)","NULL"))&amp;", p_anio_fabricacion =&gt; "&amp;IF(M650&amp;""="","NULL::smallint",M650&amp;"::smallint")&amp;", p_mes_fabricacion =&gt; "&amp;IF(N650&amp;""="","NULL::smallint",N650&amp;"::smallint")&amp;", p_fecha_ultima_prueba_hidrostatica =&gt; "&amp;IF(O650&amp;""="","NULL","'"&amp;YEAR(O650)&amp;"-"&amp;TEXT(MONTH(O650),"00")&amp;"-"&amp;TEXT(DAY(O650),"00")&amp;"'")&amp;", p_numero_serie =&gt; "&amp;IF(TRIM(Q650&amp;"")="","NULL","'"&amp;SUBSTITUTE(TRIM(Q650),"'","''")&amp;"'")&amp;", p_id_marca_cilindro =&gt; "&amp;IF(TRIM(R650&amp;"")="","NULL","(SELECT lo.id FROM gen_lista_opciones lo JOIN gen_lista l ON l.id = lo.id_lista WHERE l.nombre = 'MarcaCilindro' AND upper(lo.nombre) = upper('"&amp;SUBSTITUTE(TRIM(R650),"'","''")&amp;"') AND lo.estado = 1 LIMIT 1)")&amp;", p_id_organo_inspector =&gt; "&amp;IF(TRIM(S650&amp;"")="","NULL","(SELECT lo.id FROM gen_lista_opciones lo JOIN gen_lista l ON l.id = lo.id_lista WHERE l.nombre = 'OrganoInspectorCilindro' AND upper(lo.nombre) = upper('"&amp;SUBSTITUTE(TRIM(S650),"'","''")&amp;"') AND lo.estado = 1 LIMIT 1)")&amp;", p_organo_inspector_no_aplica =&gt; "&amp;IF(S650="NO_APLICA","TRUE","FALSE")&amp;", p_presion_actual =&gt; "&amp;IF(T650&amp;""="","NULL",SUBSTITUTE(T650&amp;"",",","."))&amp;", p_tipo_valvula =&gt; "&amp;IF(TRIM(U650&amp;"")="","NULL","'"&amp;SUBSTITUTE(TRIM(U650),"'","''")&amp;"'")&amp;", p_libro_cilindro =&gt; "&amp;IF(TRIM(V650&amp;"")="","NULL","'"&amp;SUBSTITUTE(TRIM(V650),"'","''")&amp;"'")&amp;", p_pagina_libro =&gt; "&amp;IF(W650&amp;""="","NULL",SUBSTITUTE(W650&amp;"",",","."))&amp;", p_observacion =&gt; "&amp;IF(TRIM(X650&amp;"")="","NULL","'"&amp;SUBSTITUTE(TRIM(X650),"'","''")&amp;"'")&amp;") AS resultado_balon_"&amp;ROW()&amp;";")</f>
        <v/>
      </c>
    </row>
    <row r="651" ht="15.75" customHeight="1" s="64">
      <c r="A651" s="36" t="inlineStr">
        <is>
          <t>647</t>
        </is>
      </c>
      <c r="B651" s="25">
        <f>IF(AND(C651="",D651="",E651=""),"",IF(C651="","FALTA código balón",IF(D651="","FALTA tipo balón",IF(E651="","FALTA gas",IF(F651="","FALTA propietario",IF(AND(C651&lt;&gt;"",SUMPRODUCT(--($C$5:$C$1200=C651))&gt;1),"CÓDIGO BALÓN DUPLICADO",IF(AND(OR(UPPER(F651)="PLANTA",UPPER(F651)="CLIENTE"),G651=""),"FALTA doc propietario/planta",IF(AND(UPPER(F651)="PLANTA",G651="10175332796"),"PLANTA no puede ser RUC empresa","OK"))))))))</f>
        <v/>
      </c>
      <c r="C651" s="23" t="inlineStr">
        <is>
          <t>6640848Y</t>
        </is>
      </c>
      <c r="D651" s="17" t="inlineStr">
        <is>
          <t>Oxígeno Industrial 10 m³</t>
        </is>
      </c>
      <c r="E651" s="17" t="inlineStr">
        <is>
          <t>OXIGENO INDUSTRIAL</t>
        </is>
      </c>
      <c r="F651" s="17" t="inlineStr">
        <is>
          <t>EMPRESA</t>
        </is>
      </c>
      <c r="G651" s="23" t="inlineStr">
        <is>
          <t>10175332796</t>
        </is>
      </c>
      <c r="H651" s="25">
        <f t="array" ref="H651">IF(G651="","",IFERROR(IF(INDEX(Clientes!$D$5:$D$549,MATCH(G651,Clientes!$C$5:$C$549,0))&lt;&gt;"",INDEX(Clientes!$D$5:$D$549,MATCH(G651,Clientes!$C$5:$C$549,0)),TRIM(INDEX(Clientes!$E$5:$E$549,MATCH(G651,Clientes!$C$5:$C$549,0))&amp;" "&amp;INDEX(Clientes!$F$5:$F$549,MATCH(G651,Clientes!$C$5:$C$549,0)))),"NO EXISTE en Clientes"))</f>
        <v/>
      </c>
      <c r="I651" s="17" t="inlineStr">
        <is>
          <t>EN_PODER_CLIENTE</t>
        </is>
      </c>
      <c r="J651" s="17" t="n"/>
      <c r="K651" s="23" t="inlineStr">
        <is>
          <t>20615458440</t>
        </is>
      </c>
      <c r="L651" s="25">
        <f t="array" ref="L651">IF(K651="","",IFERROR(IF(INDEX(Clientes!$D$5:$D$549,MATCH(K651,Clientes!$C$5:$C$549,0))&lt;&gt;"",INDEX(Clientes!$D$5:$D$549,MATCH(K651,Clientes!$C$5:$C$549,0)),TRIM(INDEX(Clientes!$E$5:$E$549,MATCH(K651,Clientes!$C$5:$C$549,0))&amp;" "&amp;INDEX(Clientes!$F$5:$F$549,MATCH(K651,Clientes!$C$5:$C$549,0)))),"NO EXISTE en Clientes"))</f>
        <v/>
      </c>
      <c r="M651" s="17" t="n"/>
      <c r="N651" s="17" t="n"/>
      <c r="O651" s="42" t="n"/>
      <c r="P651" s="39" t="n"/>
      <c r="Q651" s="23" t="n"/>
      <c r="R651" s="17" t="n"/>
      <c r="S651" s="17" t="n"/>
      <c r="T651" s="17" t="n"/>
      <c r="U651" s="17" t="n"/>
      <c r="V651" s="23" t="n"/>
      <c r="W651" s="17" t="n"/>
      <c r="X651" s="17" t="n"/>
      <c r="Y651" s="28">
        <f>IF(B651&lt;&gt;"OK","","SELECT bal_crear_balon(p_codigo_balon =&gt; "&amp;IF(TRIM(C651&amp;"")="","NULL","'"&amp;SUBSTITUTE(TRIM(C651),"'","''")&amp;"'")&amp;", p_id_tipo_balon =&gt; "&amp;"(SELECT id FROM bal_tipo_balon WHERE upper(nombre) = upper('"&amp;SUBSTITUTE(TRIM(D651),"'","''")&amp;"') AND estado = 1 LIMIT 1)"&amp;", p_id_producto_gas =&gt; "&amp;"(SELECT id FROM pro_producto WHERE es_gas = TRUE AND upper(nombre) = upper('"&amp;SUBSTITUTE(TRIM(E651),"'","''")&amp;"') AND estado = 1 LIMIT 1)"&amp;", p_id_propietario =&gt; "&amp;IF(TRIM(F651&amp;"")="","NULL","(SELECT lo.id FROM gen_lista_opciones lo JOIN gen_lista l ON l.id = lo.id_lista WHERE l.nombre = 'PropietarioBalon' AND upper(lo.nombre) = upper('"&amp;SUBSTITUTE(TRIM(F651),"'","''")&amp;"') AND lo.estado = 1 LIMIT 1)")&amp;", p_id_cliente_propietario =&gt; "&amp;IF(F651="CLIENTE",IF(TRIM(G651&amp;"")="","NULL","(SELECT id FROM cli_clientes WHERE numero_documento = '"&amp;SUBSTITUTE(TRIM(G651),"'","''")&amp;"' AND estado = 1 LIMIT 1)"),"NULL")&amp;", p_id_planta =&gt; "&amp;IF(F651="PLANTA",IF(TRIM(G651&amp;"")="","NULL","(SELECT id FROM cli_clientes WHERE numero_documento = '"&amp;SUBSTITUTE(TRIM(G651),"'","''")&amp;"'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"&amp;IF(TRIM(J651&amp;"")="","NULL","(SELECT id FROM gen_almacen WHERE upper(nombre) = upper('"&amp;SUBSTITUTE(TRIM(J651),"'","''")&amp;"') AND estado = 1 LIMIT 1)")&amp;", p_id_cliente_ubicacion =&gt; "&amp;IF(TRIM(K651&amp;"")="","NULL","(SELECT id FROM cli_clientes WHERE numero_documento = '"&amp;SUBSTITUTE(TRIM(K651),"'","''")&amp;"' AND estado = 1 LIMIT 1)")&amp;", p_id_referencia =&gt; "&amp;IF(TRIM(J651&amp;"")&lt;&gt;"","(SELECT lo.id FROM gen_lista_opciones lo JOIN gen_lista l ON l.id = lo.id_lista WHERE l.nombre = 'ReferenciaCilindro' AND upper(lo.nombre) = 'ALMACEN' AND lo.estado = 1 LIMIT 1)",IF(TRIM(K651&amp;"")&lt;&gt;"","(SELECT lo.id FROM gen_lista_opciones lo JOIN gen_lista l ON l.id = lo.id_lista WHERE l.nombre = 'ReferenciaCilindro' AND upper(lo.nombre) = 'CLIENTE' AND lo.estado = 1 LIMIT 1)","NULL"))&amp;", p_anio_fabricacion =&gt; "&amp;IF(M651&amp;""="","NULL::smallint",M651&amp;"::smallint")&amp;", p_mes_fabricacion =&gt; "&amp;IF(N651&amp;""="","NULL::smallint",N651&amp;"::smallint")&amp;", p_fecha_ultima_prueba_hidrostatica =&gt; "&amp;IF(O651&amp;""="","NULL","'"&amp;YEAR(O651)&amp;"-"&amp;TEXT(MONTH(O651),"00")&amp;"-"&amp;TEXT(DAY(O651),"00")&amp;"'")&amp;", p_numero_serie =&gt; "&amp;IF(TRIM(Q651&amp;"")="","NULL","'"&amp;SUBSTITUTE(TRIM(Q651),"'","''")&amp;"'")&amp;", p_id_marca_cilindro =&gt; "&amp;IF(TRIM(R651&amp;"")="","NULL","(SELECT lo.id FROM gen_lista_opciones lo JOIN gen_lista l ON l.id = lo.id_lista WHERE l.nombre = 'MarcaCilindro' AND upper(lo.nombre) = upper('"&amp;SUBSTITUTE(TRIM(R651),"'","''")&amp;"') AND lo.estado = 1 LIMIT 1)")&amp;", p_id_organo_inspector =&gt; "&amp;IF(TRIM(S651&amp;"")="","NULL","(SELECT lo.id FROM gen_lista_opciones lo JOIN gen_lista l ON l.id = lo.id_lista WHERE l.nombre = 'OrganoInspectorCilindro' AND upper(lo.nombre) = upper('"&amp;SUBSTITUTE(TRIM(S651),"'","''")&amp;"') AND lo.estado = 1 LIMIT 1)")&amp;", p_organo_inspector_no_aplica =&gt; "&amp;IF(S651="NO_APLICA","TRUE","FALSE")&amp;", p_presion_actual =&gt; "&amp;IF(T651&amp;""="","NULL",SUBSTITUTE(T651&amp;"",",","."))&amp;", p_tipo_valvula =&gt; "&amp;IF(TRIM(U651&amp;"")="","NULL","'"&amp;SUBSTITUTE(TRIM(U651),"'","''")&amp;"'")&amp;", p_libro_cilindro =&gt; "&amp;IF(TRIM(V651&amp;"")="","NULL","'"&amp;SUBSTITUTE(TRIM(V651),"'","''")&amp;"'")&amp;", p_pagina_libro =&gt; "&amp;IF(W651&amp;""="","NULL",SUBSTITUTE(W651&amp;"",",","."))&amp;", p_observacion =&gt; "&amp;IF(TRIM(X651&amp;"")="","NULL","'"&amp;SUBSTITUTE(TRIM(X651),"'","''")&amp;"'")&amp;") AS resultado_balon_"&amp;ROW()&amp;";")</f>
        <v/>
      </c>
    </row>
    <row r="652" ht="15.75" customHeight="1" s="64">
      <c r="A652" s="36" t="inlineStr">
        <is>
          <t>648</t>
        </is>
      </c>
      <c r="B652" s="25">
        <f>IF(AND(C652="",D652="",E652=""),"",IF(C652="","FALTA código balón",IF(D652="","FALTA tipo balón",IF(E652="","FALTA gas",IF(F652="","FALTA propietario",IF(AND(C652&lt;&gt;"",SUMPRODUCT(--($C$5:$C$1200=C652))&gt;1),"CÓDIGO BALÓN DUPLICADO",IF(AND(OR(UPPER(F652)="PLANTA",UPPER(F652)="CLIENTE"),G652=""),"FALTA doc propietario/planta",IF(AND(UPPER(F652)="PLANTA",G652="10175332796"),"PLANTA no puede ser RUC empresa","OK"))))))))</f>
        <v/>
      </c>
      <c r="C652" s="23" t="inlineStr">
        <is>
          <t>19S206027</t>
        </is>
      </c>
      <c r="D652" s="17" t="inlineStr">
        <is>
          <t>Oxígeno Industrial 6 m³</t>
        </is>
      </c>
      <c r="E652" s="17" t="inlineStr">
        <is>
          <t>OXIGENO INDUSTRIAL</t>
        </is>
      </c>
      <c r="F652" s="17" t="inlineStr">
        <is>
          <t>EMPRESA</t>
        </is>
      </c>
      <c r="G652" s="23" t="inlineStr">
        <is>
          <t>10175332796</t>
        </is>
      </c>
      <c r="H652" s="25">
        <f t="array" ref="H652">IF(G652="","",IFERROR(IF(INDEX(Clientes!$D$5:$D$549,MATCH(G652,Clientes!$C$5:$C$549,0))&lt;&gt;"",INDEX(Clientes!$D$5:$D$549,MATCH(G652,Clientes!$C$5:$C$549,0)),TRIM(INDEX(Clientes!$E$5:$E$549,MATCH(G652,Clientes!$C$5:$C$549,0))&amp;" "&amp;INDEX(Clientes!$F$5:$F$549,MATCH(G652,Clientes!$C$5:$C$549,0)))),"NO EXISTE en Clientes"))</f>
        <v/>
      </c>
      <c r="I652" s="17" t="inlineStr">
        <is>
          <t>EN_PODER_CLIENTE</t>
        </is>
      </c>
      <c r="J652" s="17" t="n"/>
      <c r="K652" s="23" t="inlineStr">
        <is>
          <t>10190310839</t>
        </is>
      </c>
      <c r="L652" s="25">
        <f t="array" ref="L652">IF(K652="","",IFERROR(IF(INDEX(Clientes!$D$5:$D$549,MATCH(K652,Clientes!$C$5:$C$549,0))&lt;&gt;"",INDEX(Clientes!$D$5:$D$549,MATCH(K652,Clientes!$C$5:$C$549,0)),TRIM(INDEX(Clientes!$E$5:$E$549,MATCH(K652,Clientes!$C$5:$C$549,0))&amp;" "&amp;INDEX(Clientes!$F$5:$F$549,MATCH(K652,Clientes!$C$5:$C$549,0)))),"NO EXISTE en Clientes"))</f>
        <v/>
      </c>
      <c r="M652" s="17" t="n"/>
      <c r="N652" s="17" t="n"/>
      <c r="O652" s="42" t="n"/>
      <c r="P652" s="39" t="n"/>
      <c r="Q652" s="23" t="n"/>
      <c r="R652" s="17" t="n"/>
      <c r="S652" s="17" t="n"/>
      <c r="T652" s="17" t="n"/>
      <c r="U652" s="17" t="n"/>
      <c r="V652" s="23" t="n"/>
      <c r="W652" s="17" t="n"/>
      <c r="X652" s="17" t="n"/>
      <c r="Y652" s="28">
        <f>IF(B652&lt;&gt;"OK","","SELECT bal_crear_balon(p_codigo_balon =&gt; "&amp;IF(TRIM(C652&amp;"")="","NULL","'"&amp;SUBSTITUTE(TRIM(C652),"'","''")&amp;"'")&amp;", p_id_tipo_balon =&gt; "&amp;"(SELECT id FROM bal_tipo_balon WHERE upper(nombre) = upper('"&amp;SUBSTITUTE(TRIM(D652),"'","''")&amp;"') AND estado = 1 LIMIT 1)"&amp;", p_id_producto_gas =&gt; "&amp;"(SELECT id FROM pro_producto WHERE es_gas = TRUE AND upper(nombre) = upper('"&amp;SUBSTITUTE(TRIM(E652),"'","''")&amp;"') AND estado = 1 LIMIT 1)"&amp;", p_id_propietario =&gt; "&amp;IF(TRIM(F652&amp;"")="","NULL","(SELECT lo.id FROM gen_lista_opciones lo JOIN gen_lista l ON l.id = lo.id_lista WHERE l.nombre = 'PropietarioBalon' AND upper(lo.nombre) = upper('"&amp;SUBSTITUTE(TRIM(F652),"'","''")&amp;"') AND lo.estado = 1 LIMIT 1)")&amp;", p_id_cliente_propietario =&gt; "&amp;IF(F652="CLIENTE",IF(TRIM(G652&amp;"")="","NULL","(SELECT id FROM cli_clientes WHERE numero_documento = '"&amp;SUBSTITUTE(TRIM(G652),"'","''")&amp;"' AND estado = 1 LIMIT 1)"),"NULL")&amp;", p_id_planta =&gt; "&amp;IF(F652="PLANTA",IF(TRIM(G652&amp;"")="","NULL","(SELECT id FROM cli_clientes WHERE numero_documento = '"&amp;SUBSTITUTE(TRIM(G652),"'","''")&amp;"'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"&amp;IF(TRIM(J652&amp;"")="","NULL","(SELECT id FROM gen_almacen WHERE upper(nombre) = upper('"&amp;SUBSTITUTE(TRIM(J652),"'","''")&amp;"') AND estado = 1 LIMIT 1)")&amp;", p_id_cliente_ubicacion =&gt; "&amp;IF(TRIM(K652&amp;"")="","NULL","(SELECT id FROM cli_clientes WHERE numero_documento = '"&amp;SUBSTITUTE(TRIM(K652),"'","''")&amp;"' AND estado = 1 LIMIT 1)")&amp;", p_id_referencia =&gt; "&amp;IF(TRIM(J652&amp;"")&lt;&gt;"","(SELECT lo.id FROM gen_lista_opciones lo JOIN gen_lista l ON l.id = lo.id_lista WHERE l.nombre = 'ReferenciaCilindro' AND upper(lo.nombre) = 'ALMACEN' AND lo.estado = 1 LIMIT 1)",IF(TRIM(K652&amp;"")&lt;&gt;"","(SELECT lo.id FROM gen_lista_opciones lo JOIN gen_lista l ON l.id = lo.id_lista WHERE l.nombre = 'ReferenciaCilindro' AND upper(lo.nombre) = 'CLIENTE' AND lo.estado = 1 LIMIT 1)","NULL"))&amp;", p_anio_fabricacion =&gt; "&amp;IF(M652&amp;""="","NULL::smallint",M652&amp;"::smallint")&amp;", p_mes_fabricacion =&gt; "&amp;IF(N652&amp;""="","NULL::smallint",N652&amp;"::smallint")&amp;", p_fecha_ultima_prueba_hidrostatica =&gt; "&amp;IF(O652&amp;""="","NULL","'"&amp;YEAR(O652)&amp;"-"&amp;TEXT(MONTH(O652),"00")&amp;"-"&amp;TEXT(DAY(O652),"00")&amp;"'")&amp;", p_numero_serie =&gt; "&amp;IF(TRIM(Q652&amp;"")="","NULL","'"&amp;SUBSTITUTE(TRIM(Q652),"'","''")&amp;"'")&amp;", p_id_marca_cilindro =&gt; "&amp;IF(TRIM(R652&amp;"")="","NULL","(SELECT lo.id FROM gen_lista_opciones lo JOIN gen_lista l ON l.id = lo.id_lista WHERE l.nombre = 'MarcaCilindro' AND upper(lo.nombre) = upper('"&amp;SUBSTITUTE(TRIM(R652),"'","''")&amp;"') AND lo.estado = 1 LIMIT 1)")&amp;", p_id_organo_inspector =&gt; "&amp;IF(TRIM(S652&amp;"")="","NULL","(SELECT lo.id FROM gen_lista_opciones lo JOIN gen_lista l ON l.id = lo.id_lista WHERE l.nombre = 'OrganoInspectorCilindro' AND upper(lo.nombre) = upper('"&amp;SUBSTITUTE(TRIM(S652),"'","''")&amp;"') AND lo.estado = 1 LIMIT 1)")&amp;", p_organo_inspector_no_aplica =&gt; "&amp;IF(S652="NO_APLICA","TRUE","FALSE")&amp;", p_presion_actual =&gt; "&amp;IF(T652&amp;""="","NULL",SUBSTITUTE(T652&amp;"",",","."))&amp;", p_tipo_valvula =&gt; "&amp;IF(TRIM(U652&amp;"")="","NULL","'"&amp;SUBSTITUTE(TRIM(U652),"'","''")&amp;"'")&amp;", p_libro_cilindro =&gt; "&amp;IF(TRIM(V652&amp;"")="","NULL","'"&amp;SUBSTITUTE(TRIM(V652),"'","''")&amp;"'")&amp;", p_pagina_libro =&gt; "&amp;IF(W652&amp;""="","NULL",SUBSTITUTE(W652&amp;"",",","."))&amp;", p_observacion =&gt; "&amp;IF(TRIM(X652&amp;"")="","NULL","'"&amp;SUBSTITUTE(TRIM(X652),"'","''")&amp;"'")&amp;") AS resultado_balon_"&amp;ROW()&amp;";")</f>
        <v/>
      </c>
    </row>
    <row r="653" ht="15.75" customHeight="1" s="64">
      <c r="A653" s="36" t="inlineStr">
        <is>
          <t>649</t>
        </is>
      </c>
      <c r="B653" s="25">
        <f>IF(AND(C653="",D653="",E653=""),"",IF(C653="","FALTA código balón",IF(D653="","FALTA tipo balón",IF(E653="","FALTA gas",IF(F653="","FALTA propietario",IF(AND(C653&lt;&gt;"",SUMPRODUCT(--($C$5:$C$1200=C653))&gt;1),"CÓDIGO BALÓN DUPLICADO",IF(AND(OR(UPPER(F653)="PLANTA",UPPER(F653)="CLIENTE"),G653=""),"FALTA doc propietario/planta",IF(AND(UPPER(F653)="PLANTA",G653="10175332796"),"PLANTA no puede ser RUC empresa","OK"))))))))</f>
        <v/>
      </c>
      <c r="C653" s="23" t="inlineStr">
        <is>
          <t>22K035136</t>
        </is>
      </c>
      <c r="D653" s="17" t="inlineStr">
        <is>
          <t>Argón Estándar 10 m3</t>
        </is>
      </c>
      <c r="E653" s="17" t="inlineStr">
        <is>
          <t>ARGON</t>
        </is>
      </c>
      <c r="F653" s="17" t="inlineStr">
        <is>
          <t>EMPRESA</t>
        </is>
      </c>
      <c r="G653" s="23" t="inlineStr">
        <is>
          <t>10175332796</t>
        </is>
      </c>
      <c r="H653" s="25">
        <f t="array" ref="H653">IF(G653="","",IFERROR(IF(INDEX(Clientes!$D$5:$D$549,MATCH(G653,Clientes!$C$5:$C$549,0))&lt;&gt;"",INDEX(Clientes!$D$5:$D$549,MATCH(G653,Clientes!$C$5:$C$549,0)),TRIM(INDEX(Clientes!$E$5:$E$549,MATCH(G653,Clientes!$C$5:$C$549,0))&amp;" "&amp;INDEX(Clientes!$F$5:$F$549,MATCH(G653,Clientes!$C$5:$C$549,0)))),"NO EXISTE en Clientes"))</f>
        <v/>
      </c>
      <c r="I653" s="17" t="inlineStr">
        <is>
          <t>EN_PODER_CLIENTE</t>
        </is>
      </c>
      <c r="J653" s="17" t="n"/>
      <c r="K653" s="23" t="inlineStr">
        <is>
          <t>20611355239</t>
        </is>
      </c>
      <c r="L653" s="25">
        <f t="array" ref="L653">IF(K653="","",IFERROR(IF(INDEX(Clientes!$D$5:$D$549,MATCH(K653,Clientes!$C$5:$C$549,0))&lt;&gt;"",INDEX(Clientes!$D$5:$D$549,MATCH(K653,Clientes!$C$5:$C$549,0)),TRIM(INDEX(Clientes!$E$5:$E$549,MATCH(K653,Clientes!$C$5:$C$549,0))&amp;" "&amp;INDEX(Clientes!$F$5:$F$549,MATCH(K653,Clientes!$C$5:$C$549,0)))),"NO EXISTE en Clientes"))</f>
        <v/>
      </c>
      <c r="M653" s="17" t="n"/>
      <c r="N653" s="17" t="n"/>
      <c r="O653" s="42" t="n"/>
      <c r="P653" s="39" t="n"/>
      <c r="Q653" s="23" t="n"/>
      <c r="R653" s="17" t="n"/>
      <c r="S653" s="17" t="n"/>
      <c r="T653" s="17" t="n"/>
      <c r="U653" s="17" t="n"/>
      <c r="V653" s="23" t="n"/>
      <c r="W653" s="17" t="n"/>
      <c r="X653" s="17" t="n"/>
      <c r="Y653" s="28">
        <f>IF(B653&lt;&gt;"OK","","SELECT bal_crear_balon(p_codigo_balon =&gt; "&amp;IF(TRIM(C653&amp;"")="","NULL","'"&amp;SUBSTITUTE(TRIM(C653),"'","''")&amp;"'")&amp;", p_id_tipo_balon =&gt; "&amp;"(SELECT id FROM bal_tipo_balon WHERE upper(nombre) = upper('"&amp;SUBSTITUTE(TRIM(D653),"'","''")&amp;"') AND estado = 1 LIMIT 1)"&amp;", p_id_producto_gas =&gt; "&amp;"(SELECT id FROM pro_producto WHERE es_gas = TRUE AND upper(nombre) = upper('"&amp;SUBSTITUTE(TRIM(E653),"'","''")&amp;"') AND estado = 1 LIMIT 1)"&amp;", p_id_propietario =&gt; "&amp;IF(TRIM(F653&amp;"")="","NULL","(SELECT lo.id FROM gen_lista_opciones lo JOIN gen_lista l ON l.id = lo.id_lista WHERE l.nombre = 'PropietarioBalon' AND upper(lo.nombre) = upper('"&amp;SUBSTITUTE(TRIM(F653),"'","''")&amp;"') AND lo.estado = 1 LIMIT 1)")&amp;", p_id_cliente_propietario =&gt; "&amp;IF(F653="CLIENTE",IF(TRIM(G653&amp;"")="","NULL","(SELECT id FROM cli_clientes WHERE numero_documento = '"&amp;SUBSTITUTE(TRIM(G653),"'","''")&amp;"' AND estado = 1 LIMIT 1)"),"NULL")&amp;", p_id_planta =&gt; "&amp;IF(F653="PLANTA",IF(TRIM(G653&amp;"")="","NULL","(SELECT id FROM cli_clientes WHERE numero_documento = '"&amp;SUBSTITUTE(TRIM(G653),"'","''")&amp;"'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"&amp;IF(TRIM(J653&amp;"")="","NULL","(SELECT id FROM gen_almacen WHERE upper(nombre) = upper('"&amp;SUBSTITUTE(TRIM(J653),"'","''")&amp;"') AND estado = 1 LIMIT 1)")&amp;", p_id_cliente_ubicacion =&gt; "&amp;IF(TRIM(K653&amp;"")="","NULL","(SELECT id FROM cli_clientes WHERE numero_documento = '"&amp;SUBSTITUTE(TRIM(K653),"'","''")&amp;"' AND estado = 1 LIMIT 1)")&amp;", p_id_referencia =&gt; "&amp;IF(TRIM(J653&amp;"")&lt;&gt;"","(SELECT lo.id FROM gen_lista_opciones lo JOIN gen_lista l ON l.id = lo.id_lista WHERE l.nombre = 'ReferenciaCilindro' AND upper(lo.nombre) = 'ALMACEN' AND lo.estado = 1 LIMIT 1)",IF(TRIM(K653&amp;"")&lt;&gt;"","(SELECT lo.id FROM gen_lista_opciones lo JOIN gen_lista l ON l.id = lo.id_lista WHERE l.nombre = 'ReferenciaCilindro' AND upper(lo.nombre) = 'CLIENTE' AND lo.estado = 1 LIMIT 1)","NULL"))&amp;", p_anio_fabricacion =&gt; "&amp;IF(M653&amp;""="","NULL::smallint",M653&amp;"::smallint")&amp;", p_mes_fabricacion =&gt; "&amp;IF(N653&amp;""="","NULL::smallint",N653&amp;"::smallint")&amp;", p_fecha_ultima_prueba_hidrostatica =&gt; "&amp;IF(O653&amp;""="","NULL","'"&amp;YEAR(O653)&amp;"-"&amp;TEXT(MONTH(O653),"00")&amp;"-"&amp;TEXT(DAY(O653),"00")&amp;"'")&amp;", p_numero_serie =&gt; "&amp;IF(TRIM(Q653&amp;"")="","NULL","'"&amp;SUBSTITUTE(TRIM(Q653),"'","''")&amp;"'")&amp;", p_id_marca_cilindro =&gt; "&amp;IF(TRIM(R653&amp;"")="","NULL","(SELECT lo.id FROM gen_lista_opciones lo JOIN gen_lista l ON l.id = lo.id_lista WHERE l.nombre = 'MarcaCilindro' AND upper(lo.nombre) = upper('"&amp;SUBSTITUTE(TRIM(R653),"'","''")&amp;"') AND lo.estado = 1 LIMIT 1)")&amp;", p_id_organo_inspector =&gt; "&amp;IF(TRIM(S653&amp;"")="","NULL","(SELECT lo.id FROM gen_lista_opciones lo JOIN gen_lista l ON l.id = lo.id_lista WHERE l.nombre = 'OrganoInspectorCilindro' AND upper(lo.nombre) = upper('"&amp;SUBSTITUTE(TRIM(S653),"'","''")&amp;"') AND lo.estado = 1 LIMIT 1)")&amp;", p_organo_inspector_no_aplica =&gt; "&amp;IF(S653="NO_APLICA","TRUE","FALSE")&amp;", p_presion_actual =&gt; "&amp;IF(T653&amp;""="","NULL",SUBSTITUTE(T653&amp;"",",","."))&amp;", p_tipo_valvula =&gt; "&amp;IF(TRIM(U653&amp;"")="","NULL","'"&amp;SUBSTITUTE(TRIM(U653),"'","''")&amp;"'")&amp;", p_libro_cilindro =&gt; "&amp;IF(TRIM(V653&amp;"")="","NULL","'"&amp;SUBSTITUTE(TRIM(V653),"'","''")&amp;"'")&amp;", p_pagina_libro =&gt; "&amp;IF(W653&amp;""="","NULL",SUBSTITUTE(W653&amp;"",",","."))&amp;", p_observacion =&gt; "&amp;IF(TRIM(X653&amp;"")="","NULL","'"&amp;SUBSTITUTE(TRIM(X653),"'","''")&amp;"'")&amp;") AS resultado_balon_"&amp;ROW()&amp;";")</f>
        <v/>
      </c>
    </row>
    <row r="654" ht="15.75" customHeight="1" s="64">
      <c r="A654" s="36" t="inlineStr">
        <is>
          <t>650</t>
        </is>
      </c>
      <c r="B654" s="25">
        <f>IF(AND(C654="",D654="",E654=""),"",IF(C654="","FALTA código balón",IF(D654="","FALTA tipo balón",IF(E654="","FALTA gas",IF(F654="","FALTA propietario",IF(AND(C654&lt;&gt;"",SUMPRODUCT(--($C$5:$C$1200=C654))&gt;1),"CÓDIGO BALÓN DUPLICADO",IF(AND(OR(UPPER(F654)="PLANTA",UPPER(F654)="CLIENTE"),G654=""),"FALTA doc propietario/planta",IF(AND(UPPER(F654)="PLANTA",G654="10175332796"),"PLANTA no puede ser RUC empresa","OK"))))))))</f>
        <v/>
      </c>
      <c r="C654" s="23" t="inlineStr">
        <is>
          <t>K4860192</t>
        </is>
      </c>
      <c r="D654" s="17" t="inlineStr">
        <is>
          <t>Argón Estándar 10 m3</t>
        </is>
      </c>
      <c r="E654" s="17" t="inlineStr">
        <is>
          <t>ARGON</t>
        </is>
      </c>
      <c r="F654" s="17" t="inlineStr">
        <is>
          <t>EMPRESA</t>
        </is>
      </c>
      <c r="G654" s="23" t="inlineStr">
        <is>
          <t>10175332796</t>
        </is>
      </c>
      <c r="H654" s="25">
        <f t="array" ref="H654">IF(G654="","",IFERROR(IF(INDEX(Clientes!$D$5:$D$549,MATCH(G654,Clientes!$C$5:$C$549,0))&lt;&gt;"",INDEX(Clientes!$D$5:$D$549,MATCH(G654,Clientes!$C$5:$C$549,0)),TRIM(INDEX(Clientes!$E$5:$E$549,MATCH(G654,Clientes!$C$5:$C$549,0))&amp;" "&amp;INDEX(Clientes!$F$5:$F$549,MATCH(G654,Clientes!$C$5:$C$549,0)))),"NO EXISTE en Clientes"))</f>
        <v/>
      </c>
      <c r="I654" s="17" t="inlineStr">
        <is>
          <t>EN_PODER_CLIENTE</t>
        </is>
      </c>
      <c r="J654" s="17" t="n"/>
      <c r="K654" s="23" t="inlineStr">
        <is>
          <t>20611355239</t>
        </is>
      </c>
      <c r="L654" s="25">
        <f t="array" ref="L654">IF(K654="","",IFERROR(IF(INDEX(Clientes!$D$5:$D$549,MATCH(K654,Clientes!$C$5:$C$549,0))&lt;&gt;"",INDEX(Clientes!$D$5:$D$549,MATCH(K654,Clientes!$C$5:$C$549,0)),TRIM(INDEX(Clientes!$E$5:$E$549,MATCH(K654,Clientes!$C$5:$C$549,0))&amp;" "&amp;INDEX(Clientes!$F$5:$F$549,MATCH(K654,Clientes!$C$5:$C$549,0)))),"NO EXISTE en Clientes"))</f>
        <v/>
      </c>
      <c r="M654" s="17" t="n"/>
      <c r="N654" s="17" t="n"/>
      <c r="O654" s="42" t="n"/>
      <c r="P654" s="39" t="n"/>
      <c r="Q654" s="23" t="n"/>
      <c r="R654" s="17" t="n"/>
      <c r="S654" s="17" t="n"/>
      <c r="T654" s="17" t="n"/>
      <c r="U654" s="17" t="n"/>
      <c r="V654" s="23" t="n"/>
      <c r="W654" s="17" t="n"/>
      <c r="X654" s="17" t="n"/>
      <c r="Y654" s="28">
        <f>IF(B654&lt;&gt;"OK","","SELECT bal_crear_balon(p_codigo_balon =&gt; "&amp;IF(TRIM(C654&amp;"")="","NULL","'"&amp;SUBSTITUTE(TRIM(C654),"'","''")&amp;"'")&amp;", p_id_tipo_balon =&gt; "&amp;"(SELECT id FROM bal_tipo_balon WHERE upper(nombre) = upper('"&amp;SUBSTITUTE(TRIM(D654),"'","''")&amp;"') AND estado = 1 LIMIT 1)"&amp;", p_id_producto_gas =&gt; "&amp;"(SELECT id FROM pro_producto WHERE es_gas = TRUE AND upper(nombre) = upper('"&amp;SUBSTITUTE(TRIM(E654),"'","''")&amp;"') AND estado = 1 LIMIT 1)"&amp;", p_id_propietario =&gt; "&amp;IF(TRIM(F654&amp;"")="","NULL","(SELECT lo.id FROM gen_lista_opciones lo JOIN gen_lista l ON l.id = lo.id_lista WHERE l.nombre = 'PropietarioBalon' AND upper(lo.nombre) = upper('"&amp;SUBSTITUTE(TRIM(F654),"'","''")&amp;"') AND lo.estado = 1 LIMIT 1)")&amp;", p_id_cliente_propietario =&gt; "&amp;IF(F654="CLIENTE",IF(TRIM(G654&amp;"")="","NULL","(SELECT id FROM cli_clientes WHERE numero_documento = '"&amp;SUBSTITUTE(TRIM(G654),"'","''")&amp;"' AND estado = 1 LIMIT 1)"),"NULL")&amp;", p_id_planta =&gt; "&amp;IF(F654="PLANTA",IF(TRIM(G654&amp;"")="","NULL","(SELECT id FROM cli_clientes WHERE numero_documento = '"&amp;SUBSTITUTE(TRIM(G654),"'","''")&amp;"'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"&amp;IF(TRIM(J654&amp;"")="","NULL","(SELECT id FROM gen_almacen WHERE upper(nombre) = upper('"&amp;SUBSTITUTE(TRIM(J654),"'","''")&amp;"') AND estado = 1 LIMIT 1)")&amp;", p_id_cliente_ubicacion =&gt; "&amp;IF(TRIM(K654&amp;"")="","NULL","(SELECT id FROM cli_clientes WHERE numero_documento = '"&amp;SUBSTITUTE(TRIM(K654),"'","''")&amp;"' AND estado = 1 LIMIT 1)")&amp;", p_id_referencia =&gt; "&amp;IF(TRIM(J654&amp;"")&lt;&gt;"","(SELECT lo.id FROM gen_lista_opciones lo JOIN gen_lista l ON l.id = lo.id_lista WHERE l.nombre = 'ReferenciaCilindro' AND upper(lo.nombre) = 'ALMACEN' AND lo.estado = 1 LIMIT 1)",IF(TRIM(K654&amp;"")&lt;&gt;"","(SELECT lo.id FROM gen_lista_opciones lo JOIN gen_lista l ON l.id = lo.id_lista WHERE l.nombre = 'ReferenciaCilindro' AND upper(lo.nombre) = 'CLIENTE' AND lo.estado = 1 LIMIT 1)","NULL"))&amp;", p_anio_fabricacion =&gt; "&amp;IF(M654&amp;""="","NULL::smallint",M654&amp;"::smallint")&amp;", p_mes_fabricacion =&gt; "&amp;IF(N654&amp;""="","NULL::smallint",N654&amp;"::smallint")&amp;", p_fecha_ultima_prueba_hidrostatica =&gt; "&amp;IF(O654&amp;""="","NULL","'"&amp;YEAR(O654)&amp;"-"&amp;TEXT(MONTH(O654),"00")&amp;"-"&amp;TEXT(DAY(O654),"00")&amp;"'")&amp;", p_numero_serie =&gt; "&amp;IF(TRIM(Q654&amp;"")="","NULL","'"&amp;SUBSTITUTE(TRIM(Q654),"'","''")&amp;"'")&amp;", p_id_marca_cilindro =&gt; "&amp;IF(TRIM(R654&amp;"")="","NULL","(SELECT lo.id FROM gen_lista_opciones lo JOIN gen_lista l ON l.id = lo.id_lista WHERE l.nombre = 'MarcaCilindro' AND upper(lo.nombre) = upper('"&amp;SUBSTITUTE(TRIM(R654),"'","''")&amp;"') AND lo.estado = 1 LIMIT 1)")&amp;", p_id_organo_inspector =&gt; "&amp;IF(TRIM(S654&amp;"")="","NULL","(SELECT lo.id FROM gen_lista_opciones lo JOIN gen_lista l ON l.id = lo.id_lista WHERE l.nombre = 'OrganoInspectorCilindro' AND upper(lo.nombre) = upper('"&amp;SUBSTITUTE(TRIM(S654),"'","''")&amp;"') AND lo.estado = 1 LIMIT 1)")&amp;", p_organo_inspector_no_aplica =&gt; "&amp;IF(S654="NO_APLICA","TRUE","FALSE")&amp;", p_presion_actual =&gt; "&amp;IF(T654&amp;""="","NULL",SUBSTITUTE(T654&amp;"",",","."))&amp;", p_tipo_valvula =&gt; "&amp;IF(TRIM(U654&amp;"")="","NULL","'"&amp;SUBSTITUTE(TRIM(U654),"'","''")&amp;"'")&amp;", p_libro_cilindro =&gt; "&amp;IF(TRIM(V654&amp;"")="","NULL","'"&amp;SUBSTITUTE(TRIM(V654),"'","''")&amp;"'")&amp;", p_pagina_libro =&gt; "&amp;IF(W654&amp;""="","NULL",SUBSTITUTE(W654&amp;"",",","."))&amp;", p_observacion =&gt; "&amp;IF(TRIM(X654&amp;"")="","NULL","'"&amp;SUBSTITUTE(TRIM(X654),"'","''")&amp;"'")&amp;") AS resultado_balon_"&amp;ROW()&amp;";")</f>
        <v/>
      </c>
    </row>
    <row r="655" ht="15.75" customHeight="1" s="64">
      <c r="A655" s="36" t="inlineStr">
        <is>
          <t>651</t>
        </is>
      </c>
      <c r="B655" s="25">
        <f>IF(AND(C655="",D655="",E655=""),"",IF(C655="","FALTA código balón",IF(D655="","FALTA tipo balón",IF(E655="","FALTA gas",IF(F655="","FALTA propietario",IF(AND(C655&lt;&gt;"",SUMPRODUCT(--($C$5:$C$1200=C655))&gt;1),"CÓDIGO BALÓN DUPLICADO",IF(AND(OR(UPPER(F655)="PLANTA",UPPER(F655)="CLIENTE"),G655=""),"FALTA doc propietario/planta",IF(AND(UPPER(F655)="PLANTA",G655="10175332796"),"PLANTA no puede ser RUC empresa","OK"))))))))</f>
        <v/>
      </c>
      <c r="C655" s="23" t="inlineStr">
        <is>
          <t>K4853132</t>
        </is>
      </c>
      <c r="D655" s="17" t="inlineStr">
        <is>
          <t>Oxígeno Industrial 10 m³</t>
        </is>
      </c>
      <c r="E655" s="17" t="inlineStr">
        <is>
          <t>OXIGENO INDUSTRIAL</t>
        </is>
      </c>
      <c r="F655" s="17" t="inlineStr">
        <is>
          <t>EMPRESA</t>
        </is>
      </c>
      <c r="G655" s="23" t="inlineStr">
        <is>
          <t>10175332796</t>
        </is>
      </c>
      <c r="H655" s="25">
        <f t="array" ref="H655">IF(G655="","",IFERROR(IF(INDEX(Clientes!$D$5:$D$549,MATCH(G655,Clientes!$C$5:$C$549,0))&lt;&gt;"",INDEX(Clientes!$D$5:$D$549,MATCH(G655,Clientes!$C$5:$C$549,0)),TRIM(INDEX(Clientes!$E$5:$E$549,MATCH(G655,Clientes!$C$5:$C$549,0))&amp;" "&amp;INDEX(Clientes!$F$5:$F$549,MATCH(G655,Clientes!$C$5:$C$549,0)))),"NO EXISTE en Clientes"))</f>
        <v/>
      </c>
      <c r="I655" s="17" t="inlineStr">
        <is>
          <t>EN_PODER_CLIENTE</t>
        </is>
      </c>
      <c r="J655" s="17" t="n"/>
      <c r="K655" s="23" t="inlineStr">
        <is>
          <t>42715935</t>
        </is>
      </c>
      <c r="L655" s="25">
        <f t="array" ref="L655">IF(K655="","",IFERROR(IF(INDEX(Clientes!$D$5:$D$549,MATCH(K655,Clientes!$C$5:$C$549,0))&lt;&gt;"",INDEX(Clientes!$D$5:$D$549,MATCH(K655,Clientes!$C$5:$C$549,0)),TRIM(INDEX(Clientes!$E$5:$E$549,MATCH(K655,Clientes!$C$5:$C$549,0))&amp;" "&amp;INDEX(Clientes!$F$5:$F$549,MATCH(K655,Clientes!$C$5:$C$549,0)))),"NO EXISTE en Clientes"))</f>
        <v/>
      </c>
      <c r="M655" s="17" t="n"/>
      <c r="N655" s="17" t="n"/>
      <c r="O655" s="42" t="n"/>
      <c r="P655" s="39" t="n"/>
      <c r="Q655" s="23" t="n"/>
      <c r="R655" s="17" t="n"/>
      <c r="S655" s="17" t="n"/>
      <c r="T655" s="17" t="n"/>
      <c r="U655" s="17" t="n"/>
      <c r="V655" s="23" t="n"/>
      <c r="W655" s="17" t="n"/>
      <c r="X655" s="17" t="n"/>
      <c r="Y655" s="28">
        <f>IF(B655&lt;&gt;"OK","","SELECT bal_crear_balon(p_codigo_balon =&gt; "&amp;IF(TRIM(C655&amp;"")="","NULL","'"&amp;SUBSTITUTE(TRIM(C655),"'","''")&amp;"'")&amp;", p_id_tipo_balon =&gt; "&amp;"(SELECT id FROM bal_tipo_balon WHERE upper(nombre) = upper('"&amp;SUBSTITUTE(TRIM(D655),"'","''")&amp;"') AND estado = 1 LIMIT 1)"&amp;", p_id_producto_gas =&gt; "&amp;"(SELECT id FROM pro_producto WHERE es_gas = TRUE AND upper(nombre) = upper('"&amp;SUBSTITUTE(TRIM(E655),"'","''")&amp;"') AND estado = 1 LIMIT 1)"&amp;", p_id_propietario =&gt; "&amp;IF(TRIM(F655&amp;"")="","NULL","(SELECT lo.id FROM gen_lista_opciones lo JOIN gen_lista l ON l.id = lo.id_lista WHERE l.nombre = 'PropietarioBalon' AND upper(lo.nombre) = upper('"&amp;SUBSTITUTE(TRIM(F655),"'","''")&amp;"') AND lo.estado = 1 LIMIT 1)")&amp;", p_id_cliente_propietario =&gt; "&amp;IF(F655="CLIENTE",IF(TRIM(G655&amp;"")="","NULL","(SELECT id FROM cli_clientes WHERE numero_documento = '"&amp;SUBSTITUTE(TRIM(G655),"'","''")&amp;"' AND estado = 1 LIMIT 1)"),"NULL")&amp;", p_id_planta =&gt; "&amp;IF(F655="PLANTA",IF(TRIM(G655&amp;"")="","NULL","(SELECT id FROM cli_clientes WHERE numero_documento = '"&amp;SUBSTITUTE(TRIM(G655),"'","''")&amp;"'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"&amp;IF(TRIM(J655&amp;"")="","NULL","(SELECT id FROM gen_almacen WHERE upper(nombre) = upper('"&amp;SUBSTITUTE(TRIM(J655),"'","''")&amp;"') AND estado = 1 LIMIT 1)")&amp;", p_id_cliente_ubicacion =&gt; "&amp;IF(TRIM(K655&amp;"")="","NULL","(SELECT id FROM cli_clientes WHERE numero_documento = '"&amp;SUBSTITUTE(TRIM(K655),"'","''")&amp;"' AND estado = 1 LIMIT 1)")&amp;", p_id_referencia =&gt; "&amp;IF(TRIM(J655&amp;"")&lt;&gt;"","(SELECT lo.id FROM gen_lista_opciones lo JOIN gen_lista l ON l.id = lo.id_lista WHERE l.nombre = 'ReferenciaCilindro' AND upper(lo.nombre) = 'ALMACEN' AND lo.estado = 1 LIMIT 1)",IF(TRIM(K655&amp;"")&lt;&gt;"","(SELECT lo.id FROM gen_lista_opciones lo JOIN gen_lista l ON l.id = lo.id_lista WHERE l.nombre = 'ReferenciaCilindro' AND upper(lo.nombre) = 'CLIENTE' AND lo.estado = 1 LIMIT 1)","NULL"))&amp;", p_anio_fabricacion =&gt; "&amp;IF(M655&amp;""="","NULL::smallint",M655&amp;"::smallint")&amp;", p_mes_fabricacion =&gt; "&amp;IF(N655&amp;""="","NULL::smallint",N655&amp;"::smallint")&amp;", p_fecha_ultima_prueba_hidrostatica =&gt; "&amp;IF(O655&amp;""="","NULL","'"&amp;YEAR(O655)&amp;"-"&amp;TEXT(MONTH(O655),"00")&amp;"-"&amp;TEXT(DAY(O655),"00")&amp;"'")&amp;", p_numero_serie =&gt; "&amp;IF(TRIM(Q655&amp;"")="","NULL","'"&amp;SUBSTITUTE(TRIM(Q655),"'","''")&amp;"'")&amp;", p_id_marca_cilindro =&gt; "&amp;IF(TRIM(R655&amp;"")="","NULL","(SELECT lo.id FROM gen_lista_opciones lo JOIN gen_lista l ON l.id = lo.id_lista WHERE l.nombre = 'MarcaCilindro' AND upper(lo.nombre) = upper('"&amp;SUBSTITUTE(TRIM(R655),"'","''")&amp;"') AND lo.estado = 1 LIMIT 1)")&amp;", p_id_organo_inspector =&gt; "&amp;IF(TRIM(S655&amp;"")="","NULL","(SELECT lo.id FROM gen_lista_opciones lo JOIN gen_lista l ON l.id = lo.id_lista WHERE l.nombre = 'OrganoInspectorCilindro' AND upper(lo.nombre) = upper('"&amp;SUBSTITUTE(TRIM(S655),"'","''")&amp;"') AND lo.estado = 1 LIMIT 1)")&amp;", p_organo_inspector_no_aplica =&gt; "&amp;IF(S655="NO_APLICA","TRUE","FALSE")&amp;", p_presion_actual =&gt; "&amp;IF(T655&amp;""="","NULL",SUBSTITUTE(T655&amp;"",",","."))&amp;", p_tipo_valvula =&gt; "&amp;IF(TRIM(U655&amp;"")="","NULL","'"&amp;SUBSTITUTE(TRIM(U655),"'","''")&amp;"'")&amp;", p_libro_cilindro =&gt; "&amp;IF(TRIM(V655&amp;"")="","NULL","'"&amp;SUBSTITUTE(TRIM(V655),"'","''")&amp;"'")&amp;", p_pagina_libro =&gt; "&amp;IF(W655&amp;""="","NULL",SUBSTITUTE(W655&amp;"",",","."))&amp;", p_observacion =&gt; "&amp;IF(TRIM(X655&amp;"")="","NULL","'"&amp;SUBSTITUTE(TRIM(X655),"'","''")&amp;"'")&amp;") AS resultado_balon_"&amp;ROW()&amp;";")</f>
        <v/>
      </c>
    </row>
    <row r="656" ht="15.75" customHeight="1" s="64">
      <c r="A656" s="36" t="inlineStr">
        <is>
          <t>652</t>
        </is>
      </c>
      <c r="B656" s="25">
        <f>IF(AND(C656="",D656="",E656=""),"",IF(C656="","FALTA código balón",IF(D656="","FALTA tipo balón",IF(E656="","FALTA gas",IF(F656="","FALTA propietario",IF(AND(C656&lt;&gt;"",SUMPRODUCT(--($C$5:$C$1200=C656))&gt;1),"CÓDIGO BALÓN DUPLICADO",IF(AND(OR(UPPER(F656)="PLANTA",UPPER(F656)="CLIENTE"),G656=""),"FALTA doc propietario/planta",IF(AND(UPPER(F656)="PLANTA",G656="10175332796"),"PLANTA no puede ser RUC empresa","OK"))))))))</f>
        <v/>
      </c>
      <c r="C656" s="23" t="inlineStr">
        <is>
          <t>K5409108</t>
        </is>
      </c>
      <c r="D656" s="17" t="inlineStr">
        <is>
          <t>Oxígeno Industrial 10 m³</t>
        </is>
      </c>
      <c r="E656" s="17" t="inlineStr">
        <is>
          <t>OXIGENO INDUSTRIAL</t>
        </is>
      </c>
      <c r="F656" s="17" t="inlineStr">
        <is>
          <t>EMPRESA</t>
        </is>
      </c>
      <c r="G656" s="23" t="inlineStr">
        <is>
          <t>10175332796</t>
        </is>
      </c>
      <c r="H656" s="25">
        <f t="array" ref="H656">IF(G656="","",IFERROR(IF(INDEX(Clientes!$D$5:$D$549,MATCH(G656,Clientes!$C$5:$C$549,0))&lt;&gt;"",INDEX(Clientes!$D$5:$D$549,MATCH(G656,Clientes!$C$5:$C$549,0)),TRIM(INDEX(Clientes!$E$5:$E$549,MATCH(G656,Clientes!$C$5:$C$549,0))&amp;" "&amp;INDEX(Clientes!$F$5:$F$549,MATCH(G656,Clientes!$C$5:$C$549,0)))),"NO EXISTE en Clientes"))</f>
        <v/>
      </c>
      <c r="I656" s="17" t="inlineStr">
        <is>
          <t>EN_PODER_CLIENTE</t>
        </is>
      </c>
      <c r="J656" s="17" t="n"/>
      <c r="K656" s="23" t="inlineStr">
        <is>
          <t>42715935</t>
        </is>
      </c>
      <c r="L656" s="25">
        <f t="array" ref="L656">IF(K656="","",IFERROR(IF(INDEX(Clientes!$D$5:$D$549,MATCH(K656,Clientes!$C$5:$C$549,0))&lt;&gt;"",INDEX(Clientes!$D$5:$D$549,MATCH(K656,Clientes!$C$5:$C$549,0)),TRIM(INDEX(Clientes!$E$5:$E$549,MATCH(K656,Clientes!$C$5:$C$549,0))&amp;" "&amp;INDEX(Clientes!$F$5:$F$549,MATCH(K656,Clientes!$C$5:$C$549,0)))),"NO EXISTE en Clientes"))</f>
        <v/>
      </c>
      <c r="M656" s="17" t="n"/>
      <c r="N656" s="17" t="n"/>
      <c r="O656" s="42" t="n"/>
      <c r="P656" s="39" t="n"/>
      <c r="Q656" s="23" t="n"/>
      <c r="R656" s="17" t="n"/>
      <c r="S656" s="17" t="n"/>
      <c r="T656" s="17" t="n"/>
      <c r="U656" s="17" t="n"/>
      <c r="V656" s="23" t="n"/>
      <c r="W656" s="17" t="n"/>
      <c r="X656" s="17" t="n"/>
      <c r="Y656" s="28">
        <f>IF(B656&lt;&gt;"OK","","SELECT bal_crear_balon(p_codigo_balon =&gt; "&amp;IF(TRIM(C656&amp;"")="","NULL","'"&amp;SUBSTITUTE(TRIM(C656),"'","''")&amp;"'")&amp;", p_id_tipo_balon =&gt; "&amp;"(SELECT id FROM bal_tipo_balon WHERE upper(nombre) = upper('"&amp;SUBSTITUTE(TRIM(D656),"'","''")&amp;"') AND estado = 1 LIMIT 1)"&amp;", p_id_producto_gas =&gt; "&amp;"(SELECT id FROM pro_producto WHERE es_gas = TRUE AND upper(nombre) = upper('"&amp;SUBSTITUTE(TRIM(E656),"'","''")&amp;"') AND estado = 1 LIMIT 1)"&amp;", p_id_propietario =&gt; "&amp;IF(TRIM(F656&amp;"")="","NULL","(SELECT lo.id FROM gen_lista_opciones lo JOIN gen_lista l ON l.id = lo.id_lista WHERE l.nombre = 'PropietarioBalon' AND upper(lo.nombre) = upper('"&amp;SUBSTITUTE(TRIM(F656),"'","''")&amp;"') AND lo.estado = 1 LIMIT 1)")&amp;", p_id_cliente_propietario =&gt; "&amp;IF(F656="CLIENTE",IF(TRIM(G656&amp;"")="","NULL","(SELECT id FROM cli_clientes WHERE numero_documento = '"&amp;SUBSTITUTE(TRIM(G656),"'","''")&amp;"' AND estado = 1 LIMIT 1)"),"NULL")&amp;", p_id_planta =&gt; "&amp;IF(F656="PLANTA",IF(TRIM(G656&amp;"")="","NULL","(SELECT id FROM cli_clientes WHERE numero_documento = '"&amp;SUBSTITUTE(TRIM(G656),"'","''")&amp;"'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"&amp;IF(TRIM(J656&amp;"")="","NULL","(SELECT id FROM gen_almacen WHERE upper(nombre) = upper('"&amp;SUBSTITUTE(TRIM(J656),"'","''")&amp;"') AND estado = 1 LIMIT 1)")&amp;", p_id_cliente_ubicacion =&gt; "&amp;IF(TRIM(K656&amp;"")="","NULL","(SELECT id FROM cli_clientes WHERE numero_documento = '"&amp;SUBSTITUTE(TRIM(K656),"'","''")&amp;"' AND estado = 1 LIMIT 1)")&amp;", p_id_referencia =&gt; "&amp;IF(TRIM(J656&amp;"")&lt;&gt;"","(SELECT lo.id FROM gen_lista_opciones lo JOIN gen_lista l ON l.id = lo.id_lista WHERE l.nombre = 'ReferenciaCilindro' AND upper(lo.nombre) = 'ALMACEN' AND lo.estado = 1 LIMIT 1)",IF(TRIM(K656&amp;"")&lt;&gt;"","(SELECT lo.id FROM gen_lista_opciones lo JOIN gen_lista l ON l.id = lo.id_lista WHERE l.nombre = 'ReferenciaCilindro' AND upper(lo.nombre) = 'CLIENTE' AND lo.estado = 1 LIMIT 1)","NULL"))&amp;", p_anio_fabricacion =&gt; "&amp;IF(M656&amp;""="","NULL::smallint",M656&amp;"::smallint")&amp;", p_mes_fabricacion =&gt; "&amp;IF(N656&amp;""="","NULL::smallint",N656&amp;"::smallint")&amp;", p_fecha_ultima_prueba_hidrostatica =&gt; "&amp;IF(O656&amp;""="","NULL","'"&amp;YEAR(O656)&amp;"-"&amp;TEXT(MONTH(O656),"00")&amp;"-"&amp;TEXT(DAY(O656),"00")&amp;"'")&amp;", p_numero_serie =&gt; "&amp;IF(TRIM(Q656&amp;"")="","NULL","'"&amp;SUBSTITUTE(TRIM(Q656),"'","''")&amp;"'")&amp;", p_id_marca_cilindro =&gt; "&amp;IF(TRIM(R656&amp;"")="","NULL","(SELECT lo.id FROM gen_lista_opciones lo JOIN gen_lista l ON l.id = lo.id_lista WHERE l.nombre = 'MarcaCilindro' AND upper(lo.nombre) = upper('"&amp;SUBSTITUTE(TRIM(R656),"'","''")&amp;"') AND lo.estado = 1 LIMIT 1)")&amp;", p_id_organo_inspector =&gt; "&amp;IF(TRIM(S656&amp;"")="","NULL","(SELECT lo.id FROM gen_lista_opciones lo JOIN gen_lista l ON l.id = lo.id_lista WHERE l.nombre = 'OrganoInspectorCilindro' AND upper(lo.nombre) = upper('"&amp;SUBSTITUTE(TRIM(S656),"'","''")&amp;"') AND lo.estado = 1 LIMIT 1)")&amp;", p_organo_inspector_no_aplica =&gt; "&amp;IF(S656="NO_APLICA","TRUE","FALSE")&amp;", p_presion_actual =&gt; "&amp;IF(T656&amp;""="","NULL",SUBSTITUTE(T656&amp;"",",","."))&amp;", p_tipo_valvula =&gt; "&amp;IF(TRIM(U656&amp;"")="","NULL","'"&amp;SUBSTITUTE(TRIM(U656),"'","''")&amp;"'")&amp;", p_libro_cilindro =&gt; "&amp;IF(TRIM(V656&amp;"")="","NULL","'"&amp;SUBSTITUTE(TRIM(V656),"'","''")&amp;"'")&amp;", p_pagina_libro =&gt; "&amp;IF(W656&amp;""="","NULL",SUBSTITUTE(W656&amp;"",",","."))&amp;", p_observacion =&gt; "&amp;IF(TRIM(X656&amp;"")="","NULL","'"&amp;SUBSTITUTE(TRIM(X656),"'","''")&amp;"'")&amp;") AS resultado_balon_"&amp;ROW()&amp;";")</f>
        <v/>
      </c>
    </row>
    <row r="657" ht="15.75" customHeight="1" s="64">
      <c r="A657" s="36" t="inlineStr">
        <is>
          <t>653</t>
        </is>
      </c>
      <c r="B657" s="25">
        <f>IF(AND(C657="",D657="",E657=""),"",IF(C657="","FALTA código balón",IF(D657="","FALTA tipo balón",IF(E657="","FALTA gas",IF(F657="","FALTA propietario",IF(AND(C657&lt;&gt;"",SUMPRODUCT(--($C$5:$C$1200=C657))&gt;1),"CÓDIGO BALÓN DUPLICADO",IF(AND(OR(UPPER(F657)="PLANTA",UPPER(F657)="CLIENTE"),G657=""),"FALTA doc propietario/planta",IF(AND(UPPER(F657)="PLANTA",G657="10175332796"),"PLANTA no puede ser RUC empresa","OK"))))))))</f>
        <v/>
      </c>
      <c r="C657" s="23" t="inlineStr">
        <is>
          <t>99961</t>
        </is>
      </c>
      <c r="D657" s="17" t="inlineStr">
        <is>
          <t>Oxígeno Industrial 6 m³</t>
        </is>
      </c>
      <c r="E657" s="17" t="inlineStr">
        <is>
          <t>OXIGENO INDUSTRIAL</t>
        </is>
      </c>
      <c r="F657" s="17" t="inlineStr">
        <is>
          <t>EMPRESA</t>
        </is>
      </c>
      <c r="G657" s="23" t="inlineStr">
        <is>
          <t>10175332796</t>
        </is>
      </c>
      <c r="H657" s="25">
        <f t="array" ref="H657">IF(G657="","",IFERROR(IF(INDEX(Clientes!$D$5:$D$549,MATCH(G657,Clientes!$C$5:$C$549,0))&lt;&gt;"",INDEX(Clientes!$D$5:$D$549,MATCH(G657,Clientes!$C$5:$C$549,0)),TRIM(INDEX(Clientes!$E$5:$E$549,MATCH(G657,Clientes!$C$5:$C$549,0))&amp;" "&amp;INDEX(Clientes!$F$5:$F$549,MATCH(G657,Clientes!$C$5:$C$549,0)))),"NO EXISTE en Clientes"))</f>
        <v/>
      </c>
      <c r="I657" s="17" t="inlineStr">
        <is>
          <t>EN_PODER_CLIENTE</t>
        </is>
      </c>
      <c r="J657" s="17" t="n"/>
      <c r="K657" s="23" t="inlineStr">
        <is>
          <t>000063</t>
        </is>
      </c>
      <c r="L657" s="25">
        <f t="array" ref="L657">IF(K657="","",IFERROR(IF(INDEX(Clientes!$D$5:$D$549,MATCH(K657,Clientes!$C$5:$C$549,0))&lt;&gt;"",INDEX(Clientes!$D$5:$D$549,MATCH(K657,Clientes!$C$5:$C$549,0)),TRIM(INDEX(Clientes!$E$5:$E$549,MATCH(K657,Clientes!$C$5:$C$549,0))&amp;" "&amp;INDEX(Clientes!$F$5:$F$549,MATCH(K657,Clientes!$C$5:$C$549,0)))),"NO EXISTE en Clientes"))</f>
        <v/>
      </c>
      <c r="M657" s="17" t="n"/>
      <c r="N657" s="17" t="n"/>
      <c r="O657" s="42" t="n"/>
      <c r="P657" s="39" t="n"/>
      <c r="Q657" s="23" t="n"/>
      <c r="R657" s="17" t="n"/>
      <c r="S657" s="17" t="n"/>
      <c r="T657" s="17" t="n"/>
      <c r="U657" s="17" t="n"/>
      <c r="V657" s="23" t="n"/>
      <c r="W657" s="17" t="n"/>
      <c r="X657" s="17" t="n"/>
      <c r="Y657" s="28">
        <f>IF(B657&lt;&gt;"OK","","SELECT bal_crear_balon(p_codigo_balon =&gt; "&amp;IF(TRIM(C657&amp;"")="","NULL","'"&amp;SUBSTITUTE(TRIM(C657),"'","''")&amp;"'")&amp;", p_id_tipo_balon =&gt; "&amp;"(SELECT id FROM bal_tipo_balon WHERE upper(nombre) = upper('"&amp;SUBSTITUTE(TRIM(D657),"'","''")&amp;"') AND estado = 1 LIMIT 1)"&amp;", p_id_producto_gas =&gt; "&amp;"(SELECT id FROM pro_producto WHERE es_gas = TRUE AND upper(nombre) = upper('"&amp;SUBSTITUTE(TRIM(E657),"'","''")&amp;"') AND estado = 1 LIMIT 1)"&amp;", p_id_propietario =&gt; "&amp;IF(TRIM(F657&amp;"")="","NULL","(SELECT lo.id FROM gen_lista_opciones lo JOIN gen_lista l ON l.id = lo.id_lista WHERE l.nombre = 'PropietarioBalon' AND upper(lo.nombre) = upper('"&amp;SUBSTITUTE(TRIM(F657),"'","''")&amp;"') AND lo.estado = 1 LIMIT 1)")&amp;", p_id_cliente_propietario =&gt; "&amp;IF(F657="CLIENTE",IF(TRIM(G657&amp;"")="","NULL","(SELECT id FROM cli_clientes WHERE numero_documento = '"&amp;SUBSTITUTE(TRIM(G657),"'","''")&amp;"' AND estado = 1 LIMIT 1)"),"NULL")&amp;", p_id_planta =&gt; "&amp;IF(F657="PLANTA",IF(TRIM(G657&amp;"")="","NULL","(SELECT id FROM cli_clientes WHERE numero_documento = '"&amp;SUBSTITUTE(TRIM(G657),"'","''")&amp;"'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"&amp;IF(TRIM(J657&amp;"")="","NULL","(SELECT id FROM gen_almacen WHERE upper(nombre) = upper('"&amp;SUBSTITUTE(TRIM(J657),"'","''")&amp;"') AND estado = 1 LIMIT 1)")&amp;", p_id_cliente_ubicacion =&gt; "&amp;IF(TRIM(K657&amp;"")="","NULL","(SELECT id FROM cli_clientes WHERE numero_documento = '"&amp;SUBSTITUTE(TRIM(K657),"'","''")&amp;"' AND estado = 1 LIMIT 1)")&amp;", p_id_referencia =&gt; "&amp;IF(TRIM(J657&amp;"")&lt;&gt;"","(SELECT lo.id FROM gen_lista_opciones lo JOIN gen_lista l ON l.id = lo.id_lista WHERE l.nombre = 'ReferenciaCilindro' AND upper(lo.nombre) = 'ALMACEN' AND lo.estado = 1 LIMIT 1)",IF(TRIM(K657&amp;"")&lt;&gt;"","(SELECT lo.id FROM gen_lista_opciones lo JOIN gen_lista l ON l.id = lo.id_lista WHERE l.nombre = 'ReferenciaCilindro' AND upper(lo.nombre) = 'CLIENTE' AND lo.estado = 1 LIMIT 1)","NULL"))&amp;", p_anio_fabricacion =&gt; "&amp;IF(M657&amp;""="","NULL::smallint",M657&amp;"::smallint")&amp;", p_mes_fabricacion =&gt; "&amp;IF(N657&amp;""="","NULL::smallint",N657&amp;"::smallint")&amp;", p_fecha_ultima_prueba_hidrostatica =&gt; "&amp;IF(O657&amp;""="","NULL","'"&amp;YEAR(O657)&amp;"-"&amp;TEXT(MONTH(O657),"00")&amp;"-"&amp;TEXT(DAY(O657),"00")&amp;"'")&amp;", p_numero_serie =&gt; "&amp;IF(TRIM(Q657&amp;"")="","NULL","'"&amp;SUBSTITUTE(TRIM(Q657),"'","''")&amp;"'")&amp;", p_id_marca_cilindro =&gt; "&amp;IF(TRIM(R657&amp;"")="","NULL","(SELECT lo.id FROM gen_lista_opciones lo JOIN gen_lista l ON l.id = lo.id_lista WHERE l.nombre = 'MarcaCilindro' AND upper(lo.nombre) = upper('"&amp;SUBSTITUTE(TRIM(R657),"'","''")&amp;"') AND lo.estado = 1 LIMIT 1)")&amp;", p_id_organo_inspector =&gt; "&amp;IF(TRIM(S657&amp;"")="","NULL","(SELECT lo.id FROM gen_lista_opciones lo JOIN gen_lista l ON l.id = lo.id_lista WHERE l.nombre = 'OrganoInspectorCilindro' AND upper(lo.nombre) = upper('"&amp;SUBSTITUTE(TRIM(S657),"'","''")&amp;"') AND lo.estado = 1 LIMIT 1)")&amp;", p_organo_inspector_no_aplica =&gt; "&amp;IF(S657="NO_APLICA","TRUE","FALSE")&amp;", p_presion_actual =&gt; "&amp;IF(T657&amp;""="","NULL",SUBSTITUTE(T657&amp;"",",","."))&amp;", p_tipo_valvula =&gt; "&amp;IF(TRIM(U657&amp;"")="","NULL","'"&amp;SUBSTITUTE(TRIM(U657),"'","''")&amp;"'")&amp;", p_libro_cilindro =&gt; "&amp;IF(TRIM(V657&amp;"")="","NULL","'"&amp;SUBSTITUTE(TRIM(V657),"'","''")&amp;"'")&amp;", p_pagina_libro =&gt; "&amp;IF(W657&amp;""="","NULL",SUBSTITUTE(W657&amp;"",",","."))&amp;", p_observacion =&gt; "&amp;IF(TRIM(X657&amp;"")="","NULL","'"&amp;SUBSTITUTE(TRIM(X657),"'","''")&amp;"'")&amp;") AS resultado_balon_"&amp;ROW()&amp;";")</f>
        <v/>
      </c>
    </row>
    <row r="658" ht="15.75" customHeight="1" s="64">
      <c r="A658" s="36" t="inlineStr">
        <is>
          <t>654</t>
        </is>
      </c>
      <c r="B658" s="25">
        <f>IF(AND(C658="",D658="",E658=""),"",IF(C658="","FALTA código balón",IF(D658="","FALTA tipo balón",IF(E658="","FALTA gas",IF(F658="","FALTA propietario",IF(AND(C658&lt;&gt;"",SUMPRODUCT(--($C$5:$C$1200=C658))&gt;1),"CÓDIGO BALÓN DUPLICADO",IF(AND(OR(UPPER(F658)="PLANTA",UPPER(F658)="CLIENTE"),G658=""),"FALTA doc propietario/planta",IF(AND(UPPER(F658)="PLANTA",G658="10175332796"),"PLANTA no puede ser RUC empresa","OK"))))))))</f>
        <v/>
      </c>
      <c r="C658" s="23" t="inlineStr">
        <is>
          <t>3949</t>
        </is>
      </c>
      <c r="D658" s="17" t="inlineStr">
        <is>
          <t>Oxígeno Industrial 6 m³</t>
        </is>
      </c>
      <c r="E658" s="17" t="inlineStr">
        <is>
          <t>OXIGENO INDUSTRIAL</t>
        </is>
      </c>
      <c r="F658" s="17" t="inlineStr">
        <is>
          <t>EMPRESA</t>
        </is>
      </c>
      <c r="G658" s="23" t="inlineStr">
        <is>
          <t>10175332796</t>
        </is>
      </c>
      <c r="H658" s="25">
        <f t="array" ref="H658">IF(G658="","",IFERROR(IF(INDEX(Clientes!$D$5:$D$549,MATCH(G658,Clientes!$C$5:$C$549,0))&lt;&gt;"",INDEX(Clientes!$D$5:$D$549,MATCH(G658,Clientes!$C$5:$C$549,0)),TRIM(INDEX(Clientes!$E$5:$E$549,MATCH(G658,Clientes!$C$5:$C$549,0))&amp;" "&amp;INDEX(Clientes!$F$5:$F$549,MATCH(G658,Clientes!$C$5:$C$549,0)))),"NO EXISTE en Clientes"))</f>
        <v/>
      </c>
      <c r="I658" s="17" t="inlineStr">
        <is>
          <t>EN_PODER_CLIENTE</t>
        </is>
      </c>
      <c r="J658" s="17" t="n"/>
      <c r="K658" s="23" t="inlineStr">
        <is>
          <t>48189363</t>
        </is>
      </c>
      <c r="L658" s="25">
        <f t="array" ref="L658">IF(K658="","",IFERROR(IF(INDEX(Clientes!$D$5:$D$549,MATCH(K658,Clientes!$C$5:$C$549,0))&lt;&gt;"",INDEX(Clientes!$D$5:$D$549,MATCH(K658,Clientes!$C$5:$C$549,0)),TRIM(INDEX(Clientes!$E$5:$E$549,MATCH(K658,Clientes!$C$5:$C$549,0))&amp;" "&amp;INDEX(Clientes!$F$5:$F$549,MATCH(K658,Clientes!$C$5:$C$549,0)))),"NO EXISTE en Clientes"))</f>
        <v/>
      </c>
      <c r="M658" s="17" t="n"/>
      <c r="N658" s="17" t="n"/>
      <c r="O658" s="42" t="n"/>
      <c r="P658" s="39" t="n"/>
      <c r="Q658" s="23" t="n"/>
      <c r="R658" s="17" t="n"/>
      <c r="S658" s="17" t="n"/>
      <c r="T658" s="17" t="n"/>
      <c r="U658" s="17" t="n"/>
      <c r="V658" s="23" t="n"/>
      <c r="W658" s="17" t="n"/>
      <c r="X658" s="17" t="n"/>
      <c r="Y658" s="28">
        <f>IF(B658&lt;&gt;"OK","","SELECT bal_crear_balon(p_codigo_balon =&gt; "&amp;IF(TRIM(C658&amp;"")="","NULL","'"&amp;SUBSTITUTE(TRIM(C658),"'","''")&amp;"'")&amp;", p_id_tipo_balon =&gt; "&amp;"(SELECT id FROM bal_tipo_balon WHERE upper(nombre) = upper('"&amp;SUBSTITUTE(TRIM(D658),"'","''")&amp;"') AND estado = 1 LIMIT 1)"&amp;", p_id_producto_gas =&gt; "&amp;"(SELECT id FROM pro_producto WHERE es_gas = TRUE AND upper(nombre) = upper('"&amp;SUBSTITUTE(TRIM(E658),"'","''")&amp;"') AND estado = 1 LIMIT 1)"&amp;", p_id_propietario =&gt; "&amp;IF(TRIM(F658&amp;"")="","NULL","(SELECT lo.id FROM gen_lista_opciones lo JOIN gen_lista l ON l.id = lo.id_lista WHERE l.nombre = 'PropietarioBalon' AND upper(lo.nombre) = upper('"&amp;SUBSTITUTE(TRIM(F658),"'","''")&amp;"') AND lo.estado = 1 LIMIT 1)")&amp;", p_id_cliente_propietario =&gt; "&amp;IF(F658="CLIENTE",IF(TRIM(G658&amp;"")="","NULL","(SELECT id FROM cli_clientes WHERE numero_documento = '"&amp;SUBSTITUTE(TRIM(G658),"'","''")&amp;"' AND estado = 1 LIMIT 1)"),"NULL")&amp;", p_id_planta =&gt; "&amp;IF(F658="PLANTA",IF(TRIM(G658&amp;"")="","NULL","(SELECT id FROM cli_clientes WHERE numero_documento = '"&amp;SUBSTITUTE(TRIM(G658),"'","''")&amp;"'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"&amp;IF(TRIM(J658&amp;"")="","NULL","(SELECT id FROM gen_almacen WHERE upper(nombre) = upper('"&amp;SUBSTITUTE(TRIM(J658),"'","''")&amp;"') AND estado = 1 LIMIT 1)")&amp;", p_id_cliente_ubicacion =&gt; "&amp;IF(TRIM(K658&amp;"")="","NULL","(SELECT id FROM cli_clientes WHERE numero_documento = '"&amp;SUBSTITUTE(TRIM(K658),"'","''")&amp;"' AND estado = 1 LIMIT 1)")&amp;", p_id_referencia =&gt; "&amp;IF(TRIM(J658&amp;"")&lt;&gt;"","(SELECT lo.id FROM gen_lista_opciones lo JOIN gen_lista l ON l.id = lo.id_lista WHERE l.nombre = 'ReferenciaCilindro' AND upper(lo.nombre) = 'ALMACEN' AND lo.estado = 1 LIMIT 1)",IF(TRIM(K658&amp;"")&lt;&gt;"","(SELECT lo.id FROM gen_lista_opciones lo JOIN gen_lista l ON l.id = lo.id_lista WHERE l.nombre = 'ReferenciaCilindro' AND upper(lo.nombre) = 'CLIENTE' AND lo.estado = 1 LIMIT 1)","NULL"))&amp;", p_anio_fabricacion =&gt; "&amp;IF(M658&amp;""="","NULL::smallint",M658&amp;"::smallint")&amp;", p_mes_fabricacion =&gt; "&amp;IF(N658&amp;""="","NULL::smallint",N658&amp;"::smallint")&amp;", p_fecha_ultima_prueba_hidrostatica =&gt; "&amp;IF(O658&amp;""="","NULL","'"&amp;YEAR(O658)&amp;"-"&amp;TEXT(MONTH(O658),"00")&amp;"-"&amp;TEXT(DAY(O658),"00")&amp;"'")&amp;", p_numero_serie =&gt; "&amp;IF(TRIM(Q658&amp;"")="","NULL","'"&amp;SUBSTITUTE(TRIM(Q658),"'","''")&amp;"'")&amp;", p_id_marca_cilindro =&gt; "&amp;IF(TRIM(R658&amp;"")="","NULL","(SELECT lo.id FROM gen_lista_opciones lo JOIN gen_lista l ON l.id = lo.id_lista WHERE l.nombre = 'MarcaCilindro' AND upper(lo.nombre) = upper('"&amp;SUBSTITUTE(TRIM(R658),"'","''")&amp;"') AND lo.estado = 1 LIMIT 1)")&amp;", p_id_organo_inspector =&gt; "&amp;IF(TRIM(S658&amp;"")="","NULL","(SELECT lo.id FROM gen_lista_opciones lo JOIN gen_lista l ON l.id = lo.id_lista WHERE l.nombre = 'OrganoInspectorCilindro' AND upper(lo.nombre) = upper('"&amp;SUBSTITUTE(TRIM(S658),"'","''")&amp;"') AND lo.estado = 1 LIMIT 1)")&amp;", p_organo_inspector_no_aplica =&gt; "&amp;IF(S658="NO_APLICA","TRUE","FALSE")&amp;", p_presion_actual =&gt; "&amp;IF(T658&amp;""="","NULL",SUBSTITUTE(T658&amp;"",",","."))&amp;", p_tipo_valvula =&gt; "&amp;IF(TRIM(U658&amp;"")="","NULL","'"&amp;SUBSTITUTE(TRIM(U658),"'","''")&amp;"'")&amp;", p_libro_cilindro =&gt; "&amp;IF(TRIM(V658&amp;"")="","NULL","'"&amp;SUBSTITUTE(TRIM(V658),"'","''")&amp;"'")&amp;", p_pagina_libro =&gt; "&amp;IF(W658&amp;""="","NULL",SUBSTITUTE(W658&amp;"",",","."))&amp;", p_observacion =&gt; "&amp;IF(TRIM(X658&amp;"")="","NULL","'"&amp;SUBSTITUTE(TRIM(X658),"'","''")&amp;"'")&amp;") AS resultado_balon_"&amp;ROW()&amp;";")</f>
        <v/>
      </c>
    </row>
    <row r="659" ht="15.75" customHeight="1" s="64">
      <c r="A659" s="36" t="inlineStr">
        <is>
          <t>655</t>
        </is>
      </c>
      <c r="B659" s="25">
        <f>IF(AND(C659="",D659="",E659=""),"",IF(C659="","FALTA código balón",IF(D659="","FALTA tipo balón",IF(E659="","FALTA gas",IF(F659="","FALTA propietario",IF(AND(C659&lt;&gt;"",SUMPRODUCT(--($C$5:$C$1200=C659))&gt;1),"CÓDIGO BALÓN DUPLICADO",IF(AND(OR(UPPER(F659)="PLANTA",UPPER(F659)="CLIENTE"),G659=""),"FALTA doc propietario/planta",IF(AND(UPPER(F659)="PLANTA",G659="10175332796"),"PLANTA no puede ser RUC empresa","OK"))))))))</f>
        <v/>
      </c>
      <c r="C659" s="23" t="inlineStr">
        <is>
          <t>GA547015</t>
        </is>
      </c>
      <c r="D659" s="17" t="inlineStr">
        <is>
          <t>Oxígeno Industrial 6 m³</t>
        </is>
      </c>
      <c r="E659" s="17" t="inlineStr">
        <is>
          <t>OXIGENO INDUSTRIAL</t>
        </is>
      </c>
      <c r="F659" s="17" t="inlineStr">
        <is>
          <t>EMPRESA</t>
        </is>
      </c>
      <c r="G659" s="23" t="inlineStr">
        <is>
          <t>10175332796</t>
        </is>
      </c>
      <c r="H659" s="25">
        <f t="array" ref="H659">IF(G659="","",IFERROR(IF(INDEX(Clientes!$D$5:$D$549,MATCH(G659,Clientes!$C$5:$C$549,0))&lt;&gt;"",INDEX(Clientes!$D$5:$D$549,MATCH(G659,Clientes!$C$5:$C$549,0)),TRIM(INDEX(Clientes!$E$5:$E$549,MATCH(G659,Clientes!$C$5:$C$549,0))&amp;" "&amp;INDEX(Clientes!$F$5:$F$549,MATCH(G659,Clientes!$C$5:$C$549,0)))),"NO EXISTE en Clientes"))</f>
        <v/>
      </c>
      <c r="I659" s="17" t="inlineStr">
        <is>
          <t>EN_PODER_CLIENTE</t>
        </is>
      </c>
      <c r="J659" s="17" t="n"/>
      <c r="K659" s="23" t="inlineStr">
        <is>
          <t>10483897940</t>
        </is>
      </c>
      <c r="L659" s="25">
        <f t="array" ref="L659">IF(K659="","",IFERROR(IF(INDEX(Clientes!$D$5:$D$549,MATCH(K659,Clientes!$C$5:$C$549,0))&lt;&gt;"",INDEX(Clientes!$D$5:$D$549,MATCH(K659,Clientes!$C$5:$C$549,0)),TRIM(INDEX(Clientes!$E$5:$E$549,MATCH(K659,Clientes!$C$5:$C$549,0))&amp;" "&amp;INDEX(Clientes!$F$5:$F$549,MATCH(K659,Clientes!$C$5:$C$549,0)))),"NO EXISTE en Clientes"))</f>
        <v/>
      </c>
      <c r="M659" s="17" t="n"/>
      <c r="N659" s="17" t="n"/>
      <c r="O659" s="42" t="n"/>
      <c r="P659" s="39" t="n"/>
      <c r="Q659" s="23" t="n"/>
      <c r="R659" s="17" t="n"/>
      <c r="S659" s="17" t="n"/>
      <c r="T659" s="17" t="n"/>
      <c r="U659" s="17" t="n"/>
      <c r="V659" s="23" t="n"/>
      <c r="W659" s="17" t="n"/>
      <c r="X659" s="17" t="n"/>
      <c r="Y659" s="28">
        <f>IF(B659&lt;&gt;"OK","","SELECT bal_crear_balon(p_codigo_balon =&gt; "&amp;IF(TRIM(C659&amp;"")="","NULL","'"&amp;SUBSTITUTE(TRIM(C659),"'","''")&amp;"'")&amp;", p_id_tipo_balon =&gt; "&amp;"(SELECT id FROM bal_tipo_balon WHERE upper(nombre) = upper('"&amp;SUBSTITUTE(TRIM(D659),"'","''")&amp;"') AND estado = 1 LIMIT 1)"&amp;", p_id_producto_gas =&gt; "&amp;"(SELECT id FROM pro_producto WHERE es_gas = TRUE AND upper(nombre) = upper('"&amp;SUBSTITUTE(TRIM(E659),"'","''")&amp;"') AND estado = 1 LIMIT 1)"&amp;", p_id_propietario =&gt; "&amp;IF(TRIM(F659&amp;"")="","NULL","(SELECT lo.id FROM gen_lista_opciones lo JOIN gen_lista l ON l.id = lo.id_lista WHERE l.nombre = 'PropietarioBalon' AND upper(lo.nombre) = upper('"&amp;SUBSTITUTE(TRIM(F659),"'","''")&amp;"') AND lo.estado = 1 LIMIT 1)")&amp;", p_id_cliente_propietario =&gt; "&amp;IF(F659="CLIENTE",IF(TRIM(G659&amp;"")="","NULL","(SELECT id FROM cli_clientes WHERE numero_documento = '"&amp;SUBSTITUTE(TRIM(G659),"'","''")&amp;"' AND estado = 1 LIMIT 1)"),"NULL")&amp;", p_id_planta =&gt; "&amp;IF(F659="PLANTA",IF(TRIM(G659&amp;"")="","NULL","(SELECT id FROM cli_clientes WHERE numero_documento = '"&amp;SUBSTITUTE(TRIM(G659),"'","''")&amp;"'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"&amp;IF(TRIM(J659&amp;"")="","NULL","(SELECT id FROM gen_almacen WHERE upper(nombre) = upper('"&amp;SUBSTITUTE(TRIM(J659),"'","''")&amp;"') AND estado = 1 LIMIT 1)")&amp;", p_id_cliente_ubicacion =&gt; "&amp;IF(TRIM(K659&amp;"")="","NULL","(SELECT id FROM cli_clientes WHERE numero_documento = '"&amp;SUBSTITUTE(TRIM(K659),"'","''")&amp;"' AND estado = 1 LIMIT 1)")&amp;", p_id_referencia =&gt; "&amp;IF(TRIM(J659&amp;"")&lt;&gt;"","(SELECT lo.id FROM gen_lista_opciones lo JOIN gen_lista l ON l.id = lo.id_lista WHERE l.nombre = 'ReferenciaCilindro' AND upper(lo.nombre) = 'ALMACEN' AND lo.estado = 1 LIMIT 1)",IF(TRIM(K659&amp;"")&lt;&gt;"","(SELECT lo.id FROM gen_lista_opciones lo JOIN gen_lista l ON l.id = lo.id_lista WHERE l.nombre = 'ReferenciaCilindro' AND upper(lo.nombre) = 'CLIENTE' AND lo.estado = 1 LIMIT 1)","NULL"))&amp;", p_anio_fabricacion =&gt; "&amp;IF(M659&amp;""="","NULL::smallint",M659&amp;"::smallint")&amp;", p_mes_fabricacion =&gt; "&amp;IF(N659&amp;""="","NULL::smallint",N659&amp;"::smallint")&amp;", p_fecha_ultima_prueba_hidrostatica =&gt; "&amp;IF(O659&amp;""="","NULL","'"&amp;YEAR(O659)&amp;"-"&amp;TEXT(MONTH(O659),"00")&amp;"-"&amp;TEXT(DAY(O659),"00")&amp;"'")&amp;", p_numero_serie =&gt; "&amp;IF(TRIM(Q659&amp;"")="","NULL","'"&amp;SUBSTITUTE(TRIM(Q659),"'","''")&amp;"'")&amp;", p_id_marca_cilindro =&gt; "&amp;IF(TRIM(R659&amp;"")="","NULL","(SELECT lo.id FROM gen_lista_opciones lo JOIN gen_lista l ON l.id = lo.id_lista WHERE l.nombre = 'MarcaCilindro' AND upper(lo.nombre) = upper('"&amp;SUBSTITUTE(TRIM(R659),"'","''")&amp;"') AND lo.estado = 1 LIMIT 1)")&amp;", p_id_organo_inspector =&gt; "&amp;IF(TRIM(S659&amp;"")="","NULL","(SELECT lo.id FROM gen_lista_opciones lo JOIN gen_lista l ON l.id = lo.id_lista WHERE l.nombre = 'OrganoInspectorCilindro' AND upper(lo.nombre) = upper('"&amp;SUBSTITUTE(TRIM(S659),"'","''")&amp;"') AND lo.estado = 1 LIMIT 1)")&amp;", p_organo_inspector_no_aplica =&gt; "&amp;IF(S659="NO_APLICA","TRUE","FALSE")&amp;", p_presion_actual =&gt; "&amp;IF(T659&amp;""="","NULL",SUBSTITUTE(T659&amp;"",",","."))&amp;", p_tipo_valvula =&gt; "&amp;IF(TRIM(U659&amp;"")="","NULL","'"&amp;SUBSTITUTE(TRIM(U659),"'","''")&amp;"'")&amp;", p_libro_cilindro =&gt; "&amp;IF(TRIM(V659&amp;"")="","NULL","'"&amp;SUBSTITUTE(TRIM(V659),"'","''")&amp;"'")&amp;", p_pagina_libro =&gt; "&amp;IF(W659&amp;""="","NULL",SUBSTITUTE(W659&amp;"",",","."))&amp;", p_observacion =&gt; "&amp;IF(TRIM(X659&amp;"")="","NULL","'"&amp;SUBSTITUTE(TRIM(X659),"'","''")&amp;"'")&amp;") AS resultado_balon_"&amp;ROW()&amp;";")</f>
        <v/>
      </c>
    </row>
    <row r="660" ht="15.75" customHeight="1" s="64">
      <c r="A660" s="36" t="inlineStr">
        <is>
          <t>656</t>
        </is>
      </c>
      <c r="B660" s="25">
        <f>IF(AND(C660="",D660="",E660=""),"",IF(C660="","FALTA código balón",IF(D660="","FALTA tipo balón",IF(E660="","FALTA gas",IF(F660="","FALTA propietario",IF(AND(C660&lt;&gt;"",SUMPRODUCT(--($C$5:$C$1200=C660))&gt;1),"CÓDIGO BALÓN DUPLICADO",IF(AND(OR(UPPER(F660)="PLANTA",UPPER(F660)="CLIENTE"),G660=""),"FALTA doc propietario/planta",IF(AND(UPPER(F660)="PLANTA",G660="10175332796"),"PLANTA no puede ser RUC empresa","OK"))))))))</f>
        <v/>
      </c>
      <c r="C660" s="23" t="inlineStr">
        <is>
          <t>GA547012</t>
        </is>
      </c>
      <c r="D660" s="17" t="inlineStr">
        <is>
          <t>Oxígeno Industrial 6 m³</t>
        </is>
      </c>
      <c r="E660" s="17" t="inlineStr">
        <is>
          <t>OXIGENO INDUSTRIAL</t>
        </is>
      </c>
      <c r="F660" s="17" t="inlineStr">
        <is>
          <t>EMPRESA</t>
        </is>
      </c>
      <c r="G660" s="23" t="inlineStr">
        <is>
          <t>10175332796</t>
        </is>
      </c>
      <c r="H660" s="25">
        <f t="array" ref="H660">IF(G660="","",IFERROR(IF(INDEX(Clientes!$D$5:$D$549,MATCH(G660,Clientes!$C$5:$C$549,0))&lt;&gt;"",INDEX(Clientes!$D$5:$D$549,MATCH(G660,Clientes!$C$5:$C$549,0)),TRIM(INDEX(Clientes!$E$5:$E$549,MATCH(G660,Clientes!$C$5:$C$549,0))&amp;" "&amp;INDEX(Clientes!$F$5:$F$549,MATCH(G660,Clientes!$C$5:$C$549,0)))),"NO EXISTE en Clientes"))</f>
        <v/>
      </c>
      <c r="I660" s="17" t="inlineStr">
        <is>
          <t>EN_PODER_CLIENTE</t>
        </is>
      </c>
      <c r="J660" s="17" t="n"/>
      <c r="K660" s="23" t="inlineStr">
        <is>
          <t>10483897940</t>
        </is>
      </c>
      <c r="L660" s="25">
        <f t="array" ref="L660">IF(K660="","",IFERROR(IF(INDEX(Clientes!$D$5:$D$549,MATCH(K660,Clientes!$C$5:$C$549,0))&lt;&gt;"",INDEX(Clientes!$D$5:$D$549,MATCH(K660,Clientes!$C$5:$C$549,0)),TRIM(INDEX(Clientes!$E$5:$E$549,MATCH(K660,Clientes!$C$5:$C$549,0))&amp;" "&amp;INDEX(Clientes!$F$5:$F$549,MATCH(K660,Clientes!$C$5:$C$549,0)))),"NO EXISTE en Clientes"))</f>
        <v/>
      </c>
      <c r="M660" s="17" t="n"/>
      <c r="N660" s="17" t="n"/>
      <c r="O660" s="42" t="n"/>
      <c r="P660" s="39" t="n"/>
      <c r="Q660" s="23" t="n"/>
      <c r="R660" s="17" t="n"/>
      <c r="S660" s="17" t="n"/>
      <c r="T660" s="17" t="n"/>
      <c r="U660" s="17" t="n"/>
      <c r="V660" s="23" t="n"/>
      <c r="W660" s="17" t="n"/>
      <c r="X660" s="17" t="n"/>
      <c r="Y660" s="28">
        <f>IF(B660&lt;&gt;"OK","","SELECT bal_crear_balon(p_codigo_balon =&gt; "&amp;IF(TRIM(C660&amp;"")="","NULL","'"&amp;SUBSTITUTE(TRIM(C660),"'","''")&amp;"'")&amp;", p_id_tipo_balon =&gt; "&amp;"(SELECT id FROM bal_tipo_balon WHERE upper(nombre) = upper('"&amp;SUBSTITUTE(TRIM(D660),"'","''")&amp;"') AND estado = 1 LIMIT 1)"&amp;", p_id_producto_gas =&gt; "&amp;"(SELECT id FROM pro_producto WHERE es_gas = TRUE AND upper(nombre) = upper('"&amp;SUBSTITUTE(TRIM(E660),"'","''")&amp;"') AND estado = 1 LIMIT 1)"&amp;", p_id_propietario =&gt; "&amp;IF(TRIM(F660&amp;"")="","NULL","(SELECT lo.id FROM gen_lista_opciones lo JOIN gen_lista l ON l.id = lo.id_lista WHERE l.nombre = 'PropietarioBalon' AND upper(lo.nombre) = upper('"&amp;SUBSTITUTE(TRIM(F660),"'","''")&amp;"') AND lo.estado = 1 LIMIT 1)")&amp;", p_id_cliente_propietario =&gt; "&amp;IF(F660="CLIENTE",IF(TRIM(G660&amp;"")="","NULL","(SELECT id FROM cli_clientes WHERE numero_documento = '"&amp;SUBSTITUTE(TRIM(G660),"'","''")&amp;"' AND estado = 1 LIMIT 1)"),"NULL")&amp;", p_id_planta =&gt; "&amp;IF(F660="PLANTA",IF(TRIM(G660&amp;"")="","NULL","(SELECT id FROM cli_clientes WHERE numero_documento = '"&amp;SUBSTITUTE(TRIM(G660),"'","''")&amp;"'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"&amp;IF(TRIM(J660&amp;"")="","NULL","(SELECT id FROM gen_almacen WHERE upper(nombre) = upper('"&amp;SUBSTITUTE(TRIM(J660),"'","''")&amp;"') AND estado = 1 LIMIT 1)")&amp;", p_id_cliente_ubicacion =&gt; "&amp;IF(TRIM(K660&amp;"")="","NULL","(SELECT id FROM cli_clientes WHERE numero_documento = '"&amp;SUBSTITUTE(TRIM(K660),"'","''")&amp;"' AND estado = 1 LIMIT 1)")&amp;", p_id_referencia =&gt; "&amp;IF(TRIM(J660&amp;"")&lt;&gt;"","(SELECT lo.id FROM gen_lista_opciones lo JOIN gen_lista l ON l.id = lo.id_lista WHERE l.nombre = 'ReferenciaCilindro' AND upper(lo.nombre) = 'ALMACEN' AND lo.estado = 1 LIMIT 1)",IF(TRIM(K660&amp;"")&lt;&gt;"","(SELECT lo.id FROM gen_lista_opciones lo JOIN gen_lista l ON l.id = lo.id_lista WHERE l.nombre = 'ReferenciaCilindro' AND upper(lo.nombre) = 'CLIENTE' AND lo.estado = 1 LIMIT 1)","NULL"))&amp;", p_anio_fabricacion =&gt; "&amp;IF(M660&amp;""="","NULL::smallint",M660&amp;"::smallint")&amp;", p_mes_fabricacion =&gt; "&amp;IF(N660&amp;""="","NULL::smallint",N660&amp;"::smallint")&amp;", p_fecha_ultima_prueba_hidrostatica =&gt; "&amp;IF(O660&amp;""="","NULL","'"&amp;YEAR(O660)&amp;"-"&amp;TEXT(MONTH(O660),"00")&amp;"-"&amp;TEXT(DAY(O660),"00")&amp;"'")&amp;", p_numero_serie =&gt; "&amp;IF(TRIM(Q660&amp;"")="","NULL","'"&amp;SUBSTITUTE(TRIM(Q660),"'","''")&amp;"'")&amp;", p_id_marca_cilindro =&gt; "&amp;IF(TRIM(R660&amp;"")="","NULL","(SELECT lo.id FROM gen_lista_opciones lo JOIN gen_lista l ON l.id = lo.id_lista WHERE l.nombre = 'MarcaCilindro' AND upper(lo.nombre) = upper('"&amp;SUBSTITUTE(TRIM(R660),"'","''")&amp;"') AND lo.estado = 1 LIMIT 1)")&amp;", p_id_organo_inspector =&gt; "&amp;IF(TRIM(S660&amp;"")="","NULL","(SELECT lo.id FROM gen_lista_opciones lo JOIN gen_lista l ON l.id = lo.id_lista WHERE l.nombre = 'OrganoInspectorCilindro' AND upper(lo.nombre) = upper('"&amp;SUBSTITUTE(TRIM(S660),"'","''")&amp;"') AND lo.estado = 1 LIMIT 1)")&amp;", p_organo_inspector_no_aplica =&gt; "&amp;IF(S660="NO_APLICA","TRUE","FALSE")&amp;", p_presion_actual =&gt; "&amp;IF(T660&amp;""="","NULL",SUBSTITUTE(T660&amp;"",",","."))&amp;", p_tipo_valvula =&gt; "&amp;IF(TRIM(U660&amp;"")="","NULL","'"&amp;SUBSTITUTE(TRIM(U660),"'","''")&amp;"'")&amp;", p_libro_cilindro =&gt; "&amp;IF(TRIM(V660&amp;"")="","NULL","'"&amp;SUBSTITUTE(TRIM(V660),"'","''")&amp;"'")&amp;", p_pagina_libro =&gt; "&amp;IF(W660&amp;""="","NULL",SUBSTITUTE(W660&amp;"",",","."))&amp;", p_observacion =&gt; "&amp;IF(TRIM(X660&amp;"")="","NULL","'"&amp;SUBSTITUTE(TRIM(X660),"'","''")&amp;"'")&amp;") AS resultado_balon_"&amp;ROW()&amp;";")</f>
        <v/>
      </c>
    </row>
    <row r="661" ht="15.75" customHeight="1" s="64">
      <c r="A661" s="36" t="inlineStr">
        <is>
          <t>657</t>
        </is>
      </c>
      <c r="B661" s="25">
        <f>IF(AND(C661="",D661="",E661=""),"",IF(C661="","FALTA código balón",IF(D661="","FALTA tipo balón",IF(E661="","FALTA gas",IF(F661="","FALTA propietario",IF(AND(C661&lt;&gt;"",SUMPRODUCT(--($C$5:$C$1200=C661))&gt;1),"CÓDIGO BALÓN DUPLICADO",IF(AND(OR(UPPER(F661)="PLANTA",UPPER(F661)="CLIENTE"),G661=""),"FALTA doc propietario/planta",IF(AND(UPPER(F661)="PLANTA",G661="10175332796"),"PLANTA no puede ser RUC empresa","OK"))))))))</f>
        <v/>
      </c>
      <c r="C661" s="23" t="inlineStr">
        <is>
          <t>22K034102</t>
        </is>
      </c>
      <c r="D661" s="17" t="inlineStr">
        <is>
          <t>Oxígeno Industrial 10 m³</t>
        </is>
      </c>
      <c r="E661" s="17" t="inlineStr">
        <is>
          <t>OXIGENO INDUSTRIAL</t>
        </is>
      </c>
      <c r="F661" s="17" t="inlineStr">
        <is>
          <t>EMPRESA</t>
        </is>
      </c>
      <c r="G661" s="23" t="inlineStr">
        <is>
          <t>10175332796</t>
        </is>
      </c>
      <c r="H661" s="25">
        <f t="array" ref="H661">IF(G661="","",IFERROR(IF(INDEX(Clientes!$D$5:$D$549,MATCH(G661,Clientes!$C$5:$C$549,0))&lt;&gt;"",INDEX(Clientes!$D$5:$D$549,MATCH(G661,Clientes!$C$5:$C$549,0)),TRIM(INDEX(Clientes!$E$5:$E$549,MATCH(G661,Clientes!$C$5:$C$549,0))&amp;" "&amp;INDEX(Clientes!$F$5:$F$549,MATCH(G661,Clientes!$C$5:$C$549,0)))),"NO EXISTE en Clientes"))</f>
        <v/>
      </c>
      <c r="I661" s="17" t="inlineStr">
        <is>
          <t>EN_PODER_CLIENTE</t>
        </is>
      </c>
      <c r="J661" s="17" t="n"/>
      <c r="K661" s="23" t="inlineStr">
        <is>
          <t>10483897940</t>
        </is>
      </c>
      <c r="L661" s="25">
        <f t="array" ref="L661">IF(K661="","",IFERROR(IF(INDEX(Clientes!$D$5:$D$549,MATCH(K661,Clientes!$C$5:$C$549,0))&lt;&gt;"",INDEX(Clientes!$D$5:$D$549,MATCH(K661,Clientes!$C$5:$C$549,0)),TRIM(INDEX(Clientes!$E$5:$E$549,MATCH(K661,Clientes!$C$5:$C$549,0))&amp;" "&amp;INDEX(Clientes!$F$5:$F$549,MATCH(K661,Clientes!$C$5:$C$549,0)))),"NO EXISTE en Clientes"))</f>
        <v/>
      </c>
      <c r="M661" s="17" t="n"/>
      <c r="N661" s="17" t="n"/>
      <c r="O661" s="42" t="n"/>
      <c r="P661" s="39" t="n"/>
      <c r="Q661" s="23" t="n"/>
      <c r="R661" s="17" t="n"/>
      <c r="S661" s="17" t="n"/>
      <c r="T661" s="17" t="n"/>
      <c r="U661" s="17" t="n"/>
      <c r="V661" s="23" t="n"/>
      <c r="W661" s="17" t="n"/>
      <c r="X661" s="17" t="n"/>
      <c r="Y661" s="28">
        <f>IF(B661&lt;&gt;"OK","","SELECT bal_crear_balon(p_codigo_balon =&gt; "&amp;IF(TRIM(C661&amp;"")="","NULL","'"&amp;SUBSTITUTE(TRIM(C661),"'","''")&amp;"'")&amp;", p_id_tipo_balon =&gt; "&amp;"(SELECT id FROM bal_tipo_balon WHERE upper(nombre) = upper('"&amp;SUBSTITUTE(TRIM(D661),"'","''")&amp;"') AND estado = 1 LIMIT 1)"&amp;", p_id_producto_gas =&gt; "&amp;"(SELECT id FROM pro_producto WHERE es_gas = TRUE AND upper(nombre) = upper('"&amp;SUBSTITUTE(TRIM(E661),"'","''")&amp;"') AND estado = 1 LIMIT 1)"&amp;", p_id_propietario =&gt; "&amp;IF(TRIM(F661&amp;"")="","NULL","(SELECT lo.id FROM gen_lista_opciones lo JOIN gen_lista l ON l.id = lo.id_lista WHERE l.nombre = 'PropietarioBalon' AND upper(lo.nombre) = upper('"&amp;SUBSTITUTE(TRIM(F661),"'","''")&amp;"') AND lo.estado = 1 LIMIT 1)")&amp;", p_id_cliente_propietario =&gt; "&amp;IF(F661="CLIENTE",IF(TRIM(G661&amp;"")="","NULL","(SELECT id FROM cli_clientes WHERE numero_documento = '"&amp;SUBSTITUTE(TRIM(G661),"'","''")&amp;"' AND estado = 1 LIMIT 1)"),"NULL")&amp;", p_id_planta =&gt; "&amp;IF(F661="PLANTA",IF(TRIM(G661&amp;"")="","NULL","(SELECT id FROM cli_clientes WHERE numero_documento = '"&amp;SUBSTITUTE(TRIM(G661),"'","''")&amp;"'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"&amp;IF(TRIM(J661&amp;"")="","NULL","(SELECT id FROM gen_almacen WHERE upper(nombre) = upper('"&amp;SUBSTITUTE(TRIM(J661),"'","''")&amp;"') AND estado = 1 LIMIT 1)")&amp;", p_id_cliente_ubicacion =&gt; "&amp;IF(TRIM(K661&amp;"")="","NULL","(SELECT id FROM cli_clientes WHERE numero_documento = '"&amp;SUBSTITUTE(TRIM(K661),"'","''")&amp;"' AND estado = 1 LIMIT 1)")&amp;", p_id_referencia =&gt; "&amp;IF(TRIM(J661&amp;"")&lt;&gt;"","(SELECT lo.id FROM gen_lista_opciones lo JOIN gen_lista l ON l.id = lo.id_lista WHERE l.nombre = 'ReferenciaCilindro' AND upper(lo.nombre) = 'ALMACEN' AND lo.estado = 1 LIMIT 1)",IF(TRIM(K661&amp;"")&lt;&gt;"","(SELECT lo.id FROM gen_lista_opciones lo JOIN gen_lista l ON l.id = lo.id_lista WHERE l.nombre = 'ReferenciaCilindro' AND upper(lo.nombre) = 'CLIENTE' AND lo.estado = 1 LIMIT 1)","NULL"))&amp;", p_anio_fabricacion =&gt; "&amp;IF(M661&amp;""="","NULL::smallint",M661&amp;"::smallint")&amp;", p_mes_fabricacion =&gt; "&amp;IF(N661&amp;""="","NULL::smallint",N661&amp;"::smallint")&amp;", p_fecha_ultima_prueba_hidrostatica =&gt; "&amp;IF(O661&amp;""="","NULL","'"&amp;YEAR(O661)&amp;"-"&amp;TEXT(MONTH(O661),"00")&amp;"-"&amp;TEXT(DAY(O661),"00")&amp;"'")&amp;", p_numero_serie =&gt; "&amp;IF(TRIM(Q661&amp;"")="","NULL","'"&amp;SUBSTITUTE(TRIM(Q661),"'","''")&amp;"'")&amp;", p_id_marca_cilindro =&gt; "&amp;IF(TRIM(R661&amp;"")="","NULL","(SELECT lo.id FROM gen_lista_opciones lo JOIN gen_lista l ON l.id = lo.id_lista WHERE l.nombre = 'MarcaCilindro' AND upper(lo.nombre) = upper('"&amp;SUBSTITUTE(TRIM(R661),"'","''")&amp;"') AND lo.estado = 1 LIMIT 1)")&amp;", p_id_organo_inspector =&gt; "&amp;IF(TRIM(S661&amp;"")="","NULL","(SELECT lo.id FROM gen_lista_opciones lo JOIN gen_lista l ON l.id = lo.id_lista WHERE l.nombre = 'OrganoInspectorCilindro' AND upper(lo.nombre) = upper('"&amp;SUBSTITUTE(TRIM(S661),"'","''")&amp;"') AND lo.estado = 1 LIMIT 1)")&amp;", p_organo_inspector_no_aplica =&gt; "&amp;IF(S661="NO_APLICA","TRUE","FALSE")&amp;", p_presion_actual =&gt; "&amp;IF(T661&amp;""="","NULL",SUBSTITUTE(T661&amp;"",",","."))&amp;", p_tipo_valvula =&gt; "&amp;IF(TRIM(U661&amp;"")="","NULL","'"&amp;SUBSTITUTE(TRIM(U661),"'","''")&amp;"'")&amp;", p_libro_cilindro =&gt; "&amp;IF(TRIM(V661&amp;"")="","NULL","'"&amp;SUBSTITUTE(TRIM(V661),"'","''")&amp;"'")&amp;", p_pagina_libro =&gt; "&amp;IF(W661&amp;""="","NULL",SUBSTITUTE(W661&amp;"",",","."))&amp;", p_observacion =&gt; "&amp;IF(TRIM(X661&amp;"")="","NULL","'"&amp;SUBSTITUTE(TRIM(X661),"'","''")&amp;"'")&amp;") AS resultado_balon_"&amp;ROW()&amp;";")</f>
        <v/>
      </c>
    </row>
    <row r="662" ht="15.75" customHeight="1" s="64">
      <c r="A662" s="36" t="inlineStr">
        <is>
          <t>658</t>
        </is>
      </c>
      <c r="B662" s="25">
        <f>IF(AND(C662="",D662="",E662=""),"",IF(C662="","FALTA código balón",IF(D662="","FALTA tipo balón",IF(E662="","FALTA gas",IF(F662="","FALTA propietario",IF(AND(C662&lt;&gt;"",SUMPRODUCT(--($C$5:$C$1200=C662))&gt;1),"CÓDIGO BALÓN DUPLICADO",IF(AND(OR(UPPER(F662)="PLANTA",UPPER(F662)="CLIENTE"),G662=""),"FALTA doc propietario/planta",IF(AND(UPPER(F662)="PLANTA",G662="10175332796"),"PLANTA no puede ser RUC empresa","OK"))))))))</f>
        <v/>
      </c>
      <c r="C662" s="23" t="inlineStr">
        <is>
          <t>K4860167</t>
        </is>
      </c>
      <c r="D662" s="17" t="inlineStr">
        <is>
          <t>Oxígeno Medicinal 10 m³</t>
        </is>
      </c>
      <c r="E662" s="17" t="inlineStr">
        <is>
          <t>OXIGENO MEDICINAL</t>
        </is>
      </c>
      <c r="F662" s="17" t="inlineStr">
        <is>
          <t>EMPRESA</t>
        </is>
      </c>
      <c r="G662" s="23" t="inlineStr">
        <is>
          <t>10175332796</t>
        </is>
      </c>
      <c r="H662" s="25">
        <f t="array" ref="H662">IF(G662="","",IFERROR(IF(INDEX(Clientes!$D$5:$D$549,MATCH(G662,Clientes!$C$5:$C$549,0))&lt;&gt;"",INDEX(Clientes!$D$5:$D$549,MATCH(G662,Clientes!$C$5:$C$549,0)),TRIM(INDEX(Clientes!$E$5:$E$549,MATCH(G662,Clientes!$C$5:$C$549,0))&amp;" "&amp;INDEX(Clientes!$F$5:$F$549,MATCH(G662,Clientes!$C$5:$C$549,0)))),"NO EXISTE en Clientes"))</f>
        <v/>
      </c>
      <c r="I662" s="17" t="inlineStr">
        <is>
          <t>EN_PODER_CLIENTE</t>
        </is>
      </c>
      <c r="J662" s="17" t="n"/>
      <c r="K662" s="23" t="inlineStr">
        <is>
          <t>16475399</t>
        </is>
      </c>
      <c r="L662" s="25">
        <f t="array" ref="L662">IF(K662="","",IFERROR(IF(INDEX(Clientes!$D$5:$D$549,MATCH(K662,Clientes!$C$5:$C$549,0))&lt;&gt;"",INDEX(Clientes!$D$5:$D$549,MATCH(K662,Clientes!$C$5:$C$549,0)),TRIM(INDEX(Clientes!$E$5:$E$549,MATCH(K662,Clientes!$C$5:$C$549,0))&amp;" "&amp;INDEX(Clientes!$F$5:$F$549,MATCH(K662,Clientes!$C$5:$C$549,0)))),"NO EXISTE en Clientes"))</f>
        <v/>
      </c>
      <c r="M662" s="17" t="n"/>
      <c r="N662" s="17" t="n"/>
      <c r="O662" s="42" t="n"/>
      <c r="P662" s="39" t="n"/>
      <c r="Q662" s="23" t="n"/>
      <c r="R662" s="17" t="n"/>
      <c r="S662" s="17" t="n"/>
      <c r="T662" s="17" t="n"/>
      <c r="U662" s="17" t="n"/>
      <c r="V662" s="23" t="n"/>
      <c r="W662" s="17" t="n"/>
      <c r="X662" s="17" t="n"/>
      <c r="Y662" s="28">
        <f>IF(B662&lt;&gt;"OK","","SELECT bal_crear_balon(p_codigo_balon =&gt; "&amp;IF(TRIM(C662&amp;"")="","NULL","'"&amp;SUBSTITUTE(TRIM(C662),"'","''")&amp;"'")&amp;", p_id_tipo_balon =&gt; "&amp;"(SELECT id FROM bal_tipo_balon WHERE upper(nombre) = upper('"&amp;SUBSTITUTE(TRIM(D662),"'","''")&amp;"') AND estado = 1 LIMIT 1)"&amp;", p_id_producto_gas =&gt; "&amp;"(SELECT id FROM pro_producto WHERE es_gas = TRUE AND upper(nombre) = upper('"&amp;SUBSTITUTE(TRIM(E662),"'","''")&amp;"') AND estado = 1 LIMIT 1)"&amp;", p_id_propietario =&gt; "&amp;IF(TRIM(F662&amp;"")="","NULL","(SELECT lo.id FROM gen_lista_opciones lo JOIN gen_lista l ON l.id = lo.id_lista WHERE l.nombre = 'PropietarioBalon' AND upper(lo.nombre) = upper('"&amp;SUBSTITUTE(TRIM(F662),"'","''")&amp;"') AND lo.estado = 1 LIMIT 1)")&amp;", p_id_cliente_propietario =&gt; "&amp;IF(F662="CLIENTE",IF(TRIM(G662&amp;"")="","NULL","(SELECT id FROM cli_clientes WHERE numero_documento = '"&amp;SUBSTITUTE(TRIM(G662),"'","''")&amp;"' AND estado = 1 LIMIT 1)"),"NULL")&amp;", p_id_planta =&gt; "&amp;IF(F662="PLANTA",IF(TRIM(G662&amp;"")="","NULL","(SELECT id FROM cli_clientes WHERE numero_documento = '"&amp;SUBSTITUTE(TRIM(G662),"'","''")&amp;"'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"&amp;IF(TRIM(J662&amp;"")="","NULL","(SELECT id FROM gen_almacen WHERE upper(nombre) = upper('"&amp;SUBSTITUTE(TRIM(J662),"'","''")&amp;"') AND estado = 1 LIMIT 1)")&amp;", p_id_cliente_ubicacion =&gt; "&amp;IF(TRIM(K662&amp;"")="","NULL","(SELECT id FROM cli_clientes WHERE numero_documento = '"&amp;SUBSTITUTE(TRIM(K662),"'","''")&amp;"' AND estado = 1 LIMIT 1)")&amp;", p_id_referencia =&gt; "&amp;IF(TRIM(J662&amp;"")&lt;&gt;"","(SELECT lo.id FROM gen_lista_opciones lo JOIN gen_lista l ON l.id = lo.id_lista WHERE l.nombre = 'ReferenciaCilindro' AND upper(lo.nombre) = 'ALMACEN' AND lo.estado = 1 LIMIT 1)",IF(TRIM(K662&amp;"")&lt;&gt;"","(SELECT lo.id FROM gen_lista_opciones lo JOIN gen_lista l ON l.id = lo.id_lista WHERE l.nombre = 'ReferenciaCilindro' AND upper(lo.nombre) = 'CLIENTE' AND lo.estado = 1 LIMIT 1)","NULL"))&amp;", p_anio_fabricacion =&gt; "&amp;IF(M662&amp;""="","NULL::smallint",M662&amp;"::smallint")&amp;", p_mes_fabricacion =&gt; "&amp;IF(N662&amp;""="","NULL::smallint",N662&amp;"::smallint")&amp;", p_fecha_ultima_prueba_hidrostatica =&gt; "&amp;IF(O662&amp;""="","NULL","'"&amp;YEAR(O662)&amp;"-"&amp;TEXT(MONTH(O662),"00")&amp;"-"&amp;TEXT(DAY(O662),"00")&amp;"'")&amp;", p_numero_serie =&gt; "&amp;IF(TRIM(Q662&amp;"")="","NULL","'"&amp;SUBSTITUTE(TRIM(Q662),"'","''")&amp;"'")&amp;", p_id_marca_cilindro =&gt; "&amp;IF(TRIM(R662&amp;"")="","NULL","(SELECT lo.id FROM gen_lista_opciones lo JOIN gen_lista l ON l.id = lo.id_lista WHERE l.nombre = 'MarcaCilindro' AND upper(lo.nombre) = upper('"&amp;SUBSTITUTE(TRIM(R662),"'","''")&amp;"') AND lo.estado = 1 LIMIT 1)")&amp;", p_id_organo_inspector =&gt; "&amp;IF(TRIM(S662&amp;"")="","NULL","(SELECT lo.id FROM gen_lista_opciones lo JOIN gen_lista l ON l.id = lo.id_lista WHERE l.nombre = 'OrganoInspectorCilindro' AND upper(lo.nombre) = upper('"&amp;SUBSTITUTE(TRIM(S662),"'","''")&amp;"') AND lo.estado = 1 LIMIT 1)")&amp;", p_organo_inspector_no_aplica =&gt; "&amp;IF(S662="NO_APLICA","TRUE","FALSE")&amp;", p_presion_actual =&gt; "&amp;IF(T662&amp;""="","NULL",SUBSTITUTE(T662&amp;"",",","."))&amp;", p_tipo_valvula =&gt; "&amp;IF(TRIM(U662&amp;"")="","NULL","'"&amp;SUBSTITUTE(TRIM(U662),"'","''")&amp;"'")&amp;", p_libro_cilindro =&gt; "&amp;IF(TRIM(V662&amp;"")="","NULL","'"&amp;SUBSTITUTE(TRIM(V662),"'","''")&amp;"'")&amp;", p_pagina_libro =&gt; "&amp;IF(W662&amp;""="","NULL",SUBSTITUTE(W662&amp;"",",","."))&amp;", p_observacion =&gt; "&amp;IF(TRIM(X662&amp;"")="","NULL","'"&amp;SUBSTITUTE(TRIM(X662),"'","''")&amp;"'")&amp;") AS resultado_balon_"&amp;ROW()&amp;";")</f>
        <v/>
      </c>
    </row>
    <row r="663" ht="15.75" customHeight="1" s="64">
      <c r="A663" s="36" t="inlineStr">
        <is>
          <t>659</t>
        </is>
      </c>
      <c r="B663" s="25">
        <f>IF(AND(C663="",D663="",E663=""),"",IF(C663="","FALTA código balón",IF(D663="","FALTA tipo balón",IF(E663="","FALTA gas",IF(F663="","FALTA propietario",IF(AND(C663&lt;&gt;"",SUMPRODUCT(--($C$5:$C$1200=C663))&gt;1),"CÓDIGO BALÓN DUPLICADO",IF(AND(OR(UPPER(F663)="PLANTA",UPPER(F663)="CLIENTE"),G663=""),"FALTA doc propietario/planta",IF(AND(UPPER(F663)="PLANTA",G663="10175332796"),"PLANTA no puede ser RUC empresa","OK"))))))))</f>
        <v/>
      </c>
      <c r="C663" s="23" t="inlineStr">
        <is>
          <t>9704</t>
        </is>
      </c>
      <c r="D663" s="17" t="inlineStr">
        <is>
          <t>Oxigeno Industrial 2.5 m³</t>
        </is>
      </c>
      <c r="E663" s="17" t="inlineStr">
        <is>
          <t>OXIGENO INDUSTRIAL</t>
        </is>
      </c>
      <c r="F663" s="17" t="inlineStr">
        <is>
          <t>EMPRESA</t>
        </is>
      </c>
      <c r="G663" s="23" t="inlineStr">
        <is>
          <t>10175332796</t>
        </is>
      </c>
      <c r="H663" s="25">
        <f t="array" ref="H663">IF(G663="","",IFERROR(IF(INDEX(Clientes!$D$5:$D$549,MATCH(G663,Clientes!$C$5:$C$549,0))&lt;&gt;"",INDEX(Clientes!$D$5:$D$549,MATCH(G663,Clientes!$C$5:$C$549,0)),TRIM(INDEX(Clientes!$E$5:$E$549,MATCH(G663,Clientes!$C$5:$C$549,0))&amp;" "&amp;INDEX(Clientes!$F$5:$F$549,MATCH(G663,Clientes!$C$5:$C$549,0)))),"NO EXISTE en Clientes"))</f>
        <v/>
      </c>
      <c r="I663" s="17" t="inlineStr">
        <is>
          <t>EN_PODER_CLIENTE</t>
        </is>
      </c>
      <c r="J663" s="17" t="n"/>
      <c r="K663" s="23" t="inlineStr">
        <is>
          <t>71201541</t>
        </is>
      </c>
      <c r="L663" s="25">
        <f t="array" ref="L663">IF(K663="","",IFERROR(IF(INDEX(Clientes!$D$5:$D$549,MATCH(K663,Clientes!$C$5:$C$549,0))&lt;&gt;"",INDEX(Clientes!$D$5:$D$549,MATCH(K663,Clientes!$C$5:$C$549,0)),TRIM(INDEX(Clientes!$E$5:$E$549,MATCH(K663,Clientes!$C$5:$C$549,0))&amp;" "&amp;INDEX(Clientes!$F$5:$F$549,MATCH(K663,Clientes!$C$5:$C$549,0)))),"NO EXISTE en Clientes"))</f>
        <v/>
      </c>
      <c r="M663" s="17" t="n"/>
      <c r="N663" s="17" t="n"/>
      <c r="O663" s="42" t="n"/>
      <c r="P663" s="39" t="n"/>
      <c r="Q663" s="23" t="n"/>
      <c r="R663" s="17" t="n"/>
      <c r="S663" s="17" t="n"/>
      <c r="T663" s="17" t="n"/>
      <c r="U663" s="17" t="n"/>
      <c r="V663" s="23" t="n"/>
      <c r="W663" s="17" t="n"/>
      <c r="X663" s="17" t="n"/>
      <c r="Y663" s="28">
        <f>IF(B663&lt;&gt;"OK","","SELECT bal_crear_balon(p_codigo_balon =&gt; "&amp;IF(TRIM(C663&amp;"")="","NULL","'"&amp;SUBSTITUTE(TRIM(C663),"'","''")&amp;"'")&amp;", p_id_tipo_balon =&gt; "&amp;"(SELECT id FROM bal_tipo_balon WHERE upper(nombre) = upper('"&amp;SUBSTITUTE(TRIM(D663),"'","''")&amp;"') AND estado = 1 LIMIT 1)"&amp;", p_id_producto_gas =&gt; "&amp;"(SELECT id FROM pro_producto WHERE es_gas = TRUE AND upper(nombre) = upper('"&amp;SUBSTITUTE(TRIM(E663),"'","''")&amp;"') AND estado = 1 LIMIT 1)"&amp;", p_id_propietario =&gt; "&amp;IF(TRIM(F663&amp;"")="","NULL","(SELECT lo.id FROM gen_lista_opciones lo JOIN gen_lista l ON l.id = lo.id_lista WHERE l.nombre = 'PropietarioBalon' AND upper(lo.nombre) = upper('"&amp;SUBSTITUTE(TRIM(F663),"'","''")&amp;"') AND lo.estado = 1 LIMIT 1)")&amp;", p_id_cliente_propietario =&gt; "&amp;IF(F663="CLIENTE",IF(TRIM(G663&amp;"")="","NULL","(SELECT id FROM cli_clientes WHERE numero_documento = '"&amp;SUBSTITUTE(TRIM(G663),"'","''")&amp;"' AND estado = 1 LIMIT 1)"),"NULL")&amp;", p_id_planta =&gt; "&amp;IF(F663="PLANTA",IF(TRIM(G663&amp;"")="","NULL","(SELECT id FROM cli_clientes WHERE numero_documento = '"&amp;SUBSTITUTE(TRIM(G663),"'","''")&amp;"'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"&amp;IF(TRIM(J663&amp;"")="","NULL","(SELECT id FROM gen_almacen WHERE upper(nombre) = upper('"&amp;SUBSTITUTE(TRIM(J663),"'","''")&amp;"') AND estado = 1 LIMIT 1)")&amp;", p_id_cliente_ubicacion =&gt; "&amp;IF(TRIM(K663&amp;"")="","NULL","(SELECT id FROM cli_clientes WHERE numero_documento = '"&amp;SUBSTITUTE(TRIM(K663),"'","''")&amp;"' AND estado = 1 LIMIT 1)")&amp;", p_id_referencia =&gt; "&amp;IF(TRIM(J663&amp;"")&lt;&gt;"","(SELECT lo.id FROM gen_lista_opciones lo JOIN gen_lista l ON l.id = lo.id_lista WHERE l.nombre = 'ReferenciaCilindro' AND upper(lo.nombre) = 'ALMACEN' AND lo.estado = 1 LIMIT 1)",IF(TRIM(K663&amp;"")&lt;&gt;"","(SELECT lo.id FROM gen_lista_opciones lo JOIN gen_lista l ON l.id = lo.id_lista WHERE l.nombre = 'ReferenciaCilindro' AND upper(lo.nombre) = 'CLIENTE' AND lo.estado = 1 LIMIT 1)","NULL"))&amp;", p_anio_fabricacion =&gt; "&amp;IF(M663&amp;""="","NULL::smallint",M663&amp;"::smallint")&amp;", p_mes_fabricacion =&gt; "&amp;IF(N663&amp;""="","NULL::smallint",N663&amp;"::smallint")&amp;", p_fecha_ultima_prueba_hidrostatica =&gt; "&amp;IF(O663&amp;""="","NULL","'"&amp;YEAR(O663)&amp;"-"&amp;TEXT(MONTH(O663),"00")&amp;"-"&amp;TEXT(DAY(O663),"00")&amp;"'")&amp;", p_numero_serie =&gt; "&amp;IF(TRIM(Q663&amp;"")="","NULL","'"&amp;SUBSTITUTE(TRIM(Q663),"'","''")&amp;"'")&amp;", p_id_marca_cilindro =&gt; "&amp;IF(TRIM(R663&amp;"")="","NULL","(SELECT lo.id FROM gen_lista_opciones lo JOIN gen_lista l ON l.id = lo.id_lista WHERE l.nombre = 'MarcaCilindro' AND upper(lo.nombre) = upper('"&amp;SUBSTITUTE(TRIM(R663),"'","''")&amp;"') AND lo.estado = 1 LIMIT 1)")&amp;", p_id_organo_inspector =&gt; "&amp;IF(TRIM(S663&amp;"")="","NULL","(SELECT lo.id FROM gen_lista_opciones lo JOIN gen_lista l ON l.id = lo.id_lista WHERE l.nombre = 'OrganoInspectorCilindro' AND upper(lo.nombre) = upper('"&amp;SUBSTITUTE(TRIM(S663),"'","''")&amp;"') AND lo.estado = 1 LIMIT 1)")&amp;", p_organo_inspector_no_aplica =&gt; "&amp;IF(S663="NO_APLICA","TRUE","FALSE")&amp;", p_presion_actual =&gt; "&amp;IF(T663&amp;""="","NULL",SUBSTITUTE(T663&amp;"",",","."))&amp;", p_tipo_valvula =&gt; "&amp;IF(TRIM(U663&amp;"")="","NULL","'"&amp;SUBSTITUTE(TRIM(U663),"'","''")&amp;"'")&amp;", p_libro_cilindro =&gt; "&amp;IF(TRIM(V663&amp;"")="","NULL","'"&amp;SUBSTITUTE(TRIM(V663),"'","''")&amp;"'")&amp;", p_pagina_libro =&gt; "&amp;IF(W663&amp;""="","NULL",SUBSTITUTE(W663&amp;"",",","."))&amp;", p_observacion =&gt; "&amp;IF(TRIM(X663&amp;"")="","NULL","'"&amp;SUBSTITUTE(TRIM(X663),"'","''")&amp;"'")&amp;") AS resultado_balon_"&amp;ROW()&amp;";")</f>
        <v/>
      </c>
    </row>
    <row r="664" ht="15.75" customHeight="1" s="64">
      <c r="A664" s="36" t="inlineStr">
        <is>
          <t>660</t>
        </is>
      </c>
      <c r="B664" s="25">
        <f>IF(AND(C664="",D664="",E664=""),"",IF(C664="","FALTA código balón",IF(D664="","FALTA tipo balón",IF(E664="","FALTA gas",IF(F664="","FALTA propietario",IF(AND(C664&lt;&gt;"",SUMPRODUCT(--($C$5:$C$1200=C664))&gt;1),"CÓDIGO BALÓN DUPLICADO",IF(AND(OR(UPPER(F664)="PLANTA",UPPER(F664)="CLIENTE"),G664=""),"FALTA doc propietario/planta",IF(AND(UPPER(F664)="PLANTA",G664="10175332796"),"PLANTA no puede ser RUC empresa","OK"))))))))</f>
        <v/>
      </c>
      <c r="C664" s="23" t="inlineStr">
        <is>
          <t>K5715193</t>
        </is>
      </c>
      <c r="D664" s="17" t="inlineStr">
        <is>
          <t>Oxígeno Medicinal 10 m³</t>
        </is>
      </c>
      <c r="E664" s="17" t="inlineStr">
        <is>
          <t>OXIGENO MEDICINAL</t>
        </is>
      </c>
      <c r="F664" s="17" t="inlineStr">
        <is>
          <t>EMPRESA</t>
        </is>
      </c>
      <c r="G664" s="23" t="inlineStr">
        <is>
          <t>10175332796</t>
        </is>
      </c>
      <c r="H664" s="25">
        <f t="array" ref="H664">IF(G664="","",IFERROR(IF(INDEX(Clientes!$D$5:$D$549,MATCH(G664,Clientes!$C$5:$C$549,0))&lt;&gt;"",INDEX(Clientes!$D$5:$D$549,MATCH(G664,Clientes!$C$5:$C$549,0)),TRIM(INDEX(Clientes!$E$5:$E$549,MATCH(G664,Clientes!$C$5:$C$549,0))&amp;" "&amp;INDEX(Clientes!$F$5:$F$549,MATCH(G664,Clientes!$C$5:$C$549,0)))),"NO EXISTE en Clientes"))</f>
        <v/>
      </c>
      <c r="I664" s="17" t="inlineStr">
        <is>
          <t>EN_PODER_CLIENTE</t>
        </is>
      </c>
      <c r="J664" s="17" t="n"/>
      <c r="K664" s="23" t="inlineStr">
        <is>
          <t>71201541</t>
        </is>
      </c>
      <c r="L664" s="25">
        <f t="array" ref="L664">IF(K664="","",IFERROR(IF(INDEX(Clientes!$D$5:$D$549,MATCH(K664,Clientes!$C$5:$C$549,0))&lt;&gt;"",INDEX(Clientes!$D$5:$D$549,MATCH(K664,Clientes!$C$5:$C$549,0)),TRIM(INDEX(Clientes!$E$5:$E$549,MATCH(K664,Clientes!$C$5:$C$549,0))&amp;" "&amp;INDEX(Clientes!$F$5:$F$549,MATCH(K664,Clientes!$C$5:$C$549,0)))),"NO EXISTE en Clientes"))</f>
        <v/>
      </c>
      <c r="M664" s="17" t="n"/>
      <c r="N664" s="17" t="n"/>
      <c r="O664" s="42" t="n"/>
      <c r="P664" s="39" t="n"/>
      <c r="Q664" s="23" t="n"/>
      <c r="R664" s="17" t="n"/>
      <c r="S664" s="17" t="n"/>
      <c r="T664" s="17" t="n"/>
      <c r="U664" s="17" t="n"/>
      <c r="V664" s="23" t="n"/>
      <c r="W664" s="17" t="n"/>
      <c r="X664" s="17" t="n"/>
      <c r="Y664" s="28">
        <f>IF(B664&lt;&gt;"OK","","SELECT bal_crear_balon(p_codigo_balon =&gt; "&amp;IF(TRIM(C664&amp;"")="","NULL","'"&amp;SUBSTITUTE(TRIM(C664),"'","''")&amp;"'")&amp;", p_id_tipo_balon =&gt; "&amp;"(SELECT id FROM bal_tipo_balon WHERE upper(nombre) = upper('"&amp;SUBSTITUTE(TRIM(D664),"'","''")&amp;"') AND estado = 1 LIMIT 1)"&amp;", p_id_producto_gas =&gt; "&amp;"(SELECT id FROM pro_producto WHERE es_gas = TRUE AND upper(nombre) = upper('"&amp;SUBSTITUTE(TRIM(E664),"'","''")&amp;"') AND estado = 1 LIMIT 1)"&amp;", p_id_propietario =&gt; "&amp;IF(TRIM(F664&amp;"")="","NULL","(SELECT lo.id FROM gen_lista_opciones lo JOIN gen_lista l ON l.id = lo.id_lista WHERE l.nombre = 'PropietarioBalon' AND upper(lo.nombre) = upper('"&amp;SUBSTITUTE(TRIM(F664),"'","''")&amp;"') AND lo.estado = 1 LIMIT 1)")&amp;", p_id_cliente_propietario =&gt; "&amp;IF(F664="CLIENTE",IF(TRIM(G664&amp;"")="","NULL","(SELECT id FROM cli_clientes WHERE numero_documento = '"&amp;SUBSTITUTE(TRIM(G664),"'","''")&amp;"' AND estado = 1 LIMIT 1)"),"NULL")&amp;", p_id_planta =&gt; "&amp;IF(F664="PLANTA",IF(TRIM(G664&amp;"")="","NULL","(SELECT id FROM cli_clientes WHERE numero_documento = '"&amp;SUBSTITUTE(TRIM(G664),"'","''")&amp;"'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"&amp;IF(TRIM(J664&amp;"")="","NULL","(SELECT id FROM gen_almacen WHERE upper(nombre) = upper('"&amp;SUBSTITUTE(TRIM(J664),"'","''")&amp;"') AND estado = 1 LIMIT 1)")&amp;", p_id_cliente_ubicacion =&gt; "&amp;IF(TRIM(K664&amp;"")="","NULL","(SELECT id FROM cli_clientes WHERE numero_documento = '"&amp;SUBSTITUTE(TRIM(K664),"'","''")&amp;"' AND estado = 1 LIMIT 1)")&amp;", p_id_referencia =&gt; "&amp;IF(TRIM(J664&amp;"")&lt;&gt;"","(SELECT lo.id FROM gen_lista_opciones lo JOIN gen_lista l ON l.id = lo.id_lista WHERE l.nombre = 'ReferenciaCilindro' AND upper(lo.nombre) = 'ALMACEN' AND lo.estado = 1 LIMIT 1)",IF(TRIM(K664&amp;"")&lt;&gt;"","(SELECT lo.id FROM gen_lista_opciones lo JOIN gen_lista l ON l.id = lo.id_lista WHERE l.nombre = 'ReferenciaCilindro' AND upper(lo.nombre) = 'CLIENTE' AND lo.estado = 1 LIMIT 1)","NULL"))&amp;", p_anio_fabricacion =&gt; "&amp;IF(M664&amp;""="","NULL::smallint",M664&amp;"::smallint")&amp;", p_mes_fabricacion =&gt; "&amp;IF(N664&amp;""="","NULL::smallint",N664&amp;"::smallint")&amp;", p_fecha_ultima_prueba_hidrostatica =&gt; "&amp;IF(O664&amp;""="","NULL","'"&amp;YEAR(O664)&amp;"-"&amp;TEXT(MONTH(O664),"00")&amp;"-"&amp;TEXT(DAY(O664),"00")&amp;"'")&amp;", p_numero_serie =&gt; "&amp;IF(TRIM(Q664&amp;"")="","NULL","'"&amp;SUBSTITUTE(TRIM(Q664),"'","''")&amp;"'")&amp;", p_id_marca_cilindro =&gt; "&amp;IF(TRIM(R664&amp;"")="","NULL","(SELECT lo.id FROM gen_lista_opciones lo JOIN gen_lista l ON l.id = lo.id_lista WHERE l.nombre = 'MarcaCilindro' AND upper(lo.nombre) = upper('"&amp;SUBSTITUTE(TRIM(R664),"'","''")&amp;"') AND lo.estado = 1 LIMIT 1)")&amp;", p_id_organo_inspector =&gt; "&amp;IF(TRIM(S664&amp;"")="","NULL","(SELECT lo.id FROM gen_lista_opciones lo JOIN gen_lista l ON l.id = lo.id_lista WHERE l.nombre = 'OrganoInspectorCilindro' AND upper(lo.nombre) = upper('"&amp;SUBSTITUTE(TRIM(S664),"'","''")&amp;"') AND lo.estado = 1 LIMIT 1)")&amp;", p_organo_inspector_no_aplica =&gt; "&amp;IF(S664="NO_APLICA","TRUE","FALSE")&amp;", p_presion_actual =&gt; "&amp;IF(T664&amp;""="","NULL",SUBSTITUTE(T664&amp;"",",","."))&amp;", p_tipo_valvula =&gt; "&amp;IF(TRIM(U664&amp;"")="","NULL","'"&amp;SUBSTITUTE(TRIM(U664),"'","''")&amp;"'")&amp;", p_libro_cilindro =&gt; "&amp;IF(TRIM(V664&amp;"")="","NULL","'"&amp;SUBSTITUTE(TRIM(V664),"'","''")&amp;"'")&amp;", p_pagina_libro =&gt; "&amp;IF(W664&amp;""="","NULL",SUBSTITUTE(W664&amp;"",",","."))&amp;", p_observacion =&gt; "&amp;IF(TRIM(X664&amp;"")="","NULL","'"&amp;SUBSTITUTE(TRIM(X664),"'","''")&amp;"'")&amp;") AS resultado_balon_"&amp;ROW()&amp;";")</f>
        <v/>
      </c>
    </row>
    <row r="665" ht="15.75" customHeight="1" s="64">
      <c r="A665" s="36" t="n"/>
      <c r="B665" s="25">
        <f>IF(AND(C665="",D665="",E665=""),"",IF(C665="","FALTA código balón",IF(D665="","FALTA tipo balón",IF(E665="","FALTA gas",IF(F665="","FALTA propietario",IF(AND(C665&lt;&gt;"",SUMPRODUCT(--($C$5:$C$1200=C665))&gt;1),"CÓDIGO BALÓN DUPLICADO",IF(AND(OR(UPPER(F665)="PLANTA",UPPER(F665)="CLIENTE"),G665=""),"FALTA doc propietario/planta",IF(AND(UPPER(F665)="PLANTA",G665="10175332796"),"PLANTA no puede ser RUC empresa","OK"))))))))</f>
        <v/>
      </c>
      <c r="C665" s="23" t="n"/>
      <c r="D665" s="17" t="n"/>
      <c r="E665" s="17" t="n"/>
      <c r="F665" s="17" t="n"/>
      <c r="G665" s="23" t="n"/>
      <c r="H665" s="25" t="n"/>
      <c r="I665" s="17" t="n"/>
      <c r="J665" s="17" t="n"/>
      <c r="K665" s="23" t="n"/>
      <c r="L665" s="25">
        <f t="array" ref="L665">IF(K665="","",IFERROR(IF(INDEX(Clientes!$D$5:$D$549,MATCH(K665,Clientes!$C$5:$C$549,0))&lt;&gt;"",INDEX(Clientes!$D$5:$D$549,MATCH(K665,Clientes!$C$5:$C$549,0)),TRIM(INDEX(Clientes!$E$5:$E$549,MATCH(K665,Clientes!$C$5:$C$549,0))&amp;" "&amp;INDEX(Clientes!$F$5:$F$549,MATCH(K665,Clientes!$C$5:$C$549,0)))),"NO EXISTE en Clientes"))</f>
        <v/>
      </c>
      <c r="M665" s="17" t="n"/>
      <c r="N665" s="17" t="n"/>
      <c r="O665" s="42" t="n"/>
      <c r="P665" s="39" t="n"/>
      <c r="Q665" s="23" t="n"/>
      <c r="R665" s="17" t="n"/>
      <c r="S665" s="17" t="n"/>
      <c r="T665" s="17" t="n"/>
      <c r="U665" s="17" t="n"/>
      <c r="V665" s="23" t="n"/>
      <c r="W665" s="17" t="n"/>
      <c r="X665" s="17" t="n"/>
      <c r="Y665" s="28">
        <f>IF(B665&lt;&gt;"OK","","SELECT bal_crear_balon(p_codigo_balon =&gt; "&amp;IF(TRIM(C665&amp;"")="","NULL","'"&amp;SUBSTITUTE(TRIM(C665),"'","''")&amp;"'")&amp;", p_id_tipo_balon =&gt; "&amp;"(SELECT id FROM bal_tipo_balon WHERE upper(nombre) = upper('"&amp;SUBSTITUTE(TRIM(D665),"'","''")&amp;"') AND estado = 1 LIMIT 1)"&amp;", p_id_producto_gas =&gt; "&amp;"(SELECT id FROM pro_producto WHERE es_gas = TRUE AND upper(nombre) = upper('"&amp;SUBSTITUTE(TRIM(E665),"'","''")&amp;"') AND estado = 1 LIMIT 1)"&amp;", p_id_propietario =&gt; "&amp;IF(TRIM(F665&amp;"")="","NULL","(SELECT lo.id FROM gen_lista_opciones lo JOIN gen_lista l ON l.id = lo.id_lista WHERE l.nombre = 'PropietarioBalon' AND upper(lo.nombre) = upper('"&amp;SUBSTITUTE(TRIM(F665),"'","''")&amp;"') AND lo.estado = 1 LIMIT 1)")&amp;", p_id_cliente_propietario =&gt; "&amp;IF(F665="CLIENTE",IF(TRIM(G665&amp;"")="","NULL","(SELECT id FROM cli_clientes WHERE numero_documento = '"&amp;SUBSTITUTE(TRIM(G665),"'","''")&amp;"' AND estado = 1 LIMIT 1)"),"NULL")&amp;", p_id_planta =&gt; "&amp;IF(F665="PLANTA",IF(TRIM(G665&amp;"")="","NULL","(SELECT id FROM cli_clientes WHERE numero_documento = '"&amp;SUBSTITUTE(TRIM(G665),"'","''")&amp;"'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"&amp;IF(TRIM(J665&amp;"")="","NULL","(SELECT id FROM gen_almacen WHERE upper(nombre) = upper('"&amp;SUBSTITUTE(TRIM(J665),"'","''")&amp;"') AND estado = 1 LIMIT 1)")&amp;", p_id_cliente_ubicacion =&gt; "&amp;IF(TRIM(K665&amp;"")="","NULL","(SELECT id FROM cli_clientes WHERE numero_documento = '"&amp;SUBSTITUTE(TRIM(K665),"'","''")&amp;"' AND estado = 1 LIMIT 1)")&amp;", p_id_referencia =&gt; "&amp;IF(TRIM(J665&amp;"")&lt;&gt;"","(SELECT lo.id FROM gen_lista_opciones lo JOIN gen_lista l ON l.id = lo.id_lista WHERE l.nombre = 'ReferenciaCilindro' AND upper(lo.nombre) = 'ALMACEN' AND lo.estado = 1 LIMIT 1)",IF(TRIM(K665&amp;"")&lt;&gt;"","(SELECT lo.id FROM gen_lista_opciones lo JOIN gen_lista l ON l.id = lo.id_lista WHERE l.nombre = 'ReferenciaCilindro' AND upper(lo.nombre) = 'CLIENTE' AND lo.estado = 1 LIMIT 1)","NULL"))&amp;", p_anio_fabricacion =&gt; "&amp;IF(M665&amp;""="","NULL::smallint",M665&amp;"::smallint")&amp;", p_mes_fabricacion =&gt; "&amp;IF(N665&amp;""="","NULL::smallint",N665&amp;"::smallint")&amp;", p_fecha_ultima_prueba_hidrostatica =&gt; "&amp;IF(O665&amp;""="","NULL","'"&amp;YEAR(O665)&amp;"-"&amp;TEXT(MONTH(O665),"00")&amp;"-"&amp;TEXT(DAY(O665),"00")&amp;"'")&amp;", p_numero_serie =&gt; "&amp;IF(TRIM(Q665&amp;"")="","NULL","'"&amp;SUBSTITUTE(TRIM(Q665),"'","''")&amp;"'")&amp;", p_id_marca_cilindro =&gt; "&amp;IF(TRIM(R665&amp;"")="","NULL","(SELECT lo.id FROM gen_lista_opciones lo JOIN gen_lista l ON l.id = lo.id_lista WHERE l.nombre = 'MarcaCilindro' AND upper(lo.nombre) = upper('"&amp;SUBSTITUTE(TRIM(R665),"'","''")&amp;"') AND lo.estado = 1 LIMIT 1)")&amp;", p_id_organo_inspector =&gt; "&amp;IF(TRIM(S665&amp;"")="","NULL","(SELECT lo.id FROM gen_lista_opciones lo JOIN gen_lista l ON l.id = lo.id_lista WHERE l.nombre = 'OrganoInspectorCilindro' AND upper(lo.nombre) = upper('"&amp;SUBSTITUTE(TRIM(S665),"'","''")&amp;"') AND lo.estado = 1 LIMIT 1)")&amp;", p_organo_inspector_no_aplica =&gt; "&amp;IF(S665="NO_APLICA","TRUE","FALSE")&amp;", p_presion_actual =&gt; "&amp;IF(T665&amp;""="","NULL",SUBSTITUTE(T665&amp;"",",","."))&amp;", p_tipo_valvula =&gt; "&amp;IF(TRIM(U665&amp;"")="","NULL","'"&amp;SUBSTITUTE(TRIM(U665),"'","''")&amp;"'")&amp;", p_libro_cilindro =&gt; "&amp;IF(TRIM(V665&amp;"")="","NULL","'"&amp;SUBSTITUTE(TRIM(V665),"'","''")&amp;"'")&amp;", p_pagina_libro =&gt; "&amp;IF(W665&amp;""="","NULL",SUBSTITUTE(W665&amp;"",",","."))&amp;", p_observacion =&gt; "&amp;IF(TRIM(X665&amp;"")="","NULL","'"&amp;SUBSTITUTE(TRIM(X665),"'","''")&amp;"'")&amp;") AS resultado_balon_"&amp;ROW()&amp;";")</f>
        <v/>
      </c>
    </row>
    <row r="666" ht="15.75" customHeight="1" s="64">
      <c r="A666" s="36" t="n"/>
      <c r="B666" s="25" t="n"/>
      <c r="C666" s="23" t="n"/>
      <c r="D666" s="17" t="n"/>
      <c r="E666" s="17" t="n"/>
      <c r="F666" s="17" t="n"/>
      <c r="G666" s="23" t="n"/>
      <c r="H666" s="25" t="n"/>
      <c r="I666" s="17" t="n"/>
      <c r="J666" s="17" t="n"/>
      <c r="K666" s="23" t="n"/>
      <c r="L666" s="25" t="n"/>
      <c r="M666" s="17" t="n"/>
      <c r="N666" s="17" t="n"/>
      <c r="O666" s="42" t="n"/>
      <c r="P666" s="39" t="n"/>
      <c r="Q666" s="23" t="n"/>
      <c r="R666" s="17" t="n"/>
      <c r="S666" s="17" t="n"/>
      <c r="T666" s="17" t="n"/>
      <c r="U666" s="17" t="n"/>
      <c r="V666" s="23" t="n"/>
      <c r="W666" s="17" t="n"/>
      <c r="X666" s="17" t="n"/>
      <c r="Y666" s="28" t="n"/>
    </row>
    <row r="667" ht="15.75" customHeight="1" s="64">
      <c r="A667" s="36" t="n"/>
      <c r="B667" s="25" t="n"/>
      <c r="C667" s="23" t="n"/>
      <c r="D667" s="17" t="n"/>
      <c r="E667" s="17" t="n"/>
      <c r="F667" s="17" t="n"/>
      <c r="G667" s="23" t="n"/>
      <c r="H667" s="25" t="n"/>
      <c r="I667" s="17" t="n"/>
      <c r="J667" s="17" t="n"/>
      <c r="K667" s="23" t="n"/>
      <c r="L667" s="25" t="n"/>
      <c r="M667" s="17" t="n"/>
      <c r="N667" s="17" t="n"/>
      <c r="O667" s="42" t="n"/>
      <c r="P667" s="39" t="n"/>
      <c r="Q667" s="23" t="n"/>
      <c r="R667" s="17" t="n"/>
      <c r="S667" s="17" t="n"/>
      <c r="T667" s="17" t="n"/>
      <c r="U667" s="17" t="n"/>
      <c r="V667" s="23" t="n"/>
      <c r="W667" s="17" t="n"/>
      <c r="X667" s="17" t="n"/>
      <c r="Y667" s="28" t="n"/>
    </row>
    <row r="668" ht="15.75" customHeight="1" s="64">
      <c r="A668" s="36" t="n"/>
      <c r="B668" s="25" t="n"/>
      <c r="C668" s="23" t="n"/>
      <c r="D668" s="17" t="n"/>
      <c r="E668" s="17" t="n"/>
      <c r="F668" s="17" t="n"/>
      <c r="G668" s="23" t="n"/>
      <c r="H668" s="25" t="n"/>
      <c r="I668" s="17" t="n"/>
      <c r="J668" s="17" t="n"/>
      <c r="K668" s="23" t="n"/>
      <c r="L668" s="25" t="n"/>
      <c r="M668" s="17" t="n"/>
      <c r="N668" s="17" t="n"/>
      <c r="O668" s="42" t="n"/>
      <c r="P668" s="39" t="n"/>
      <c r="Q668" s="23" t="n"/>
      <c r="R668" s="17" t="n"/>
      <c r="S668" s="17" t="n"/>
      <c r="T668" s="17" t="n"/>
      <c r="U668" s="17" t="n"/>
      <c r="V668" s="23" t="n"/>
      <c r="W668" s="17" t="n"/>
      <c r="X668" s="17" t="n"/>
      <c r="Y668" s="28" t="n"/>
    </row>
    <row r="669" ht="15.75" customHeight="1" s="64">
      <c r="A669" s="36" t="n"/>
      <c r="B669" s="25" t="n"/>
      <c r="C669" s="23" t="n"/>
      <c r="D669" s="17" t="n"/>
      <c r="E669" s="17" t="n"/>
      <c r="F669" s="17" t="n"/>
      <c r="G669" s="23" t="n"/>
      <c r="H669" s="25" t="n"/>
      <c r="I669" s="17" t="n"/>
      <c r="J669" s="17" t="n"/>
      <c r="K669" s="23" t="n"/>
      <c r="L669" s="25" t="n"/>
      <c r="M669" s="17" t="n"/>
      <c r="N669" s="17" t="n"/>
      <c r="O669" s="42" t="n"/>
      <c r="P669" s="39" t="n"/>
      <c r="Q669" s="23" t="n"/>
      <c r="R669" s="17" t="n"/>
      <c r="S669" s="17" t="n"/>
      <c r="T669" s="17" t="n"/>
      <c r="U669" s="17" t="n"/>
      <c r="V669" s="23" t="n"/>
      <c r="W669" s="17" t="n"/>
      <c r="X669" s="17" t="n"/>
      <c r="Y669" s="28" t="n"/>
    </row>
    <row r="670" ht="15.75" customHeight="1" s="64">
      <c r="A670" s="36" t="n"/>
      <c r="B670" s="25" t="n"/>
      <c r="C670" s="23" t="n"/>
      <c r="D670" s="17" t="n"/>
      <c r="E670" s="17" t="n"/>
      <c r="F670" s="17" t="n"/>
      <c r="G670" s="23" t="n"/>
      <c r="H670" s="25" t="n"/>
      <c r="I670" s="17" t="n"/>
      <c r="J670" s="17" t="n"/>
      <c r="K670" s="23" t="n"/>
      <c r="L670" s="25" t="n"/>
      <c r="M670" s="17" t="n"/>
      <c r="N670" s="17" t="n"/>
      <c r="O670" s="42" t="n"/>
      <c r="P670" s="39" t="n"/>
      <c r="Q670" s="23" t="n"/>
      <c r="R670" s="17" t="n"/>
      <c r="S670" s="17" t="n"/>
      <c r="T670" s="17" t="n"/>
      <c r="U670" s="17" t="n"/>
      <c r="V670" s="23" t="n"/>
      <c r="W670" s="17" t="n"/>
      <c r="X670" s="17" t="n"/>
      <c r="Y670" s="28" t="n"/>
    </row>
    <row r="671" ht="15.75" customHeight="1" s="64">
      <c r="A671" s="36" t="n"/>
      <c r="B671" s="25" t="n"/>
      <c r="C671" s="23" t="n"/>
      <c r="D671" s="17" t="n"/>
      <c r="E671" s="17" t="n"/>
      <c r="F671" s="17" t="n"/>
      <c r="G671" s="23" t="n"/>
      <c r="H671" s="25" t="n"/>
      <c r="I671" s="17" t="n"/>
      <c r="J671" s="17" t="n"/>
      <c r="K671" s="23" t="n"/>
      <c r="L671" s="25" t="n"/>
      <c r="M671" s="17" t="n"/>
      <c r="N671" s="17" t="n"/>
      <c r="O671" s="42" t="n"/>
      <c r="P671" s="39" t="n"/>
      <c r="Q671" s="23" t="n"/>
      <c r="R671" s="17" t="n"/>
      <c r="S671" s="17" t="n"/>
      <c r="T671" s="17" t="n"/>
      <c r="U671" s="17" t="n"/>
      <c r="V671" s="23" t="n"/>
      <c r="W671" s="17" t="n"/>
      <c r="X671" s="17" t="n"/>
      <c r="Y671" s="28" t="n"/>
    </row>
    <row r="672" ht="15.75" customHeight="1" s="64">
      <c r="A672" s="36" t="n"/>
      <c r="B672" s="25" t="n"/>
      <c r="C672" s="23" t="n"/>
      <c r="D672" s="17" t="n"/>
      <c r="E672" s="17" t="n"/>
      <c r="F672" s="17" t="n"/>
      <c r="G672" s="23" t="n"/>
      <c r="H672" s="25" t="n"/>
      <c r="I672" s="17" t="n"/>
      <c r="J672" s="17" t="n"/>
      <c r="K672" s="23" t="n"/>
      <c r="L672" s="25" t="n"/>
      <c r="M672" s="17" t="n"/>
      <c r="N672" s="17" t="n"/>
      <c r="O672" s="42" t="n"/>
      <c r="P672" s="39" t="n"/>
      <c r="Q672" s="23" t="n"/>
      <c r="R672" s="17" t="n"/>
      <c r="S672" s="17" t="n"/>
      <c r="T672" s="17" t="n"/>
      <c r="U672" s="17" t="n"/>
      <c r="V672" s="23" t="n"/>
      <c r="W672" s="17" t="n"/>
      <c r="X672" s="17" t="n"/>
      <c r="Y672" s="28" t="n"/>
    </row>
    <row r="673" ht="15.75" customHeight="1" s="64">
      <c r="A673" s="36" t="n"/>
      <c r="B673" s="25" t="n"/>
      <c r="C673" s="23" t="n"/>
      <c r="D673" s="17" t="n"/>
      <c r="E673" s="17" t="n"/>
      <c r="F673" s="17" t="n"/>
      <c r="G673" s="23" t="n"/>
      <c r="H673" s="25" t="n"/>
      <c r="I673" s="17" t="n"/>
      <c r="J673" s="17" t="n"/>
      <c r="K673" s="23" t="n"/>
      <c r="L673" s="25" t="n"/>
      <c r="M673" s="17" t="n"/>
      <c r="N673" s="17" t="n"/>
      <c r="O673" s="42" t="n"/>
      <c r="P673" s="39" t="n"/>
      <c r="Q673" s="23" t="n"/>
      <c r="R673" s="17" t="n"/>
      <c r="S673" s="17" t="n"/>
      <c r="T673" s="17" t="n"/>
      <c r="U673" s="17" t="n"/>
      <c r="V673" s="23" t="n"/>
      <c r="W673" s="17" t="n"/>
      <c r="X673" s="17" t="n"/>
      <c r="Y673" s="28" t="n"/>
    </row>
    <row r="674" ht="15.75" customHeight="1" s="64">
      <c r="A674" s="36" t="n"/>
      <c r="B674" s="25" t="n"/>
      <c r="C674" s="23" t="n"/>
      <c r="D674" s="17" t="n"/>
      <c r="E674" s="17" t="n"/>
      <c r="F674" s="17" t="n"/>
      <c r="G674" s="23" t="n"/>
      <c r="H674" s="25" t="n"/>
      <c r="I674" s="17" t="n"/>
      <c r="J674" s="17" t="n"/>
      <c r="K674" s="23" t="n"/>
      <c r="L674" s="25" t="n"/>
      <c r="M674" s="17" t="n"/>
      <c r="N674" s="17" t="n"/>
      <c r="O674" s="42" t="n"/>
      <c r="P674" s="39" t="n"/>
      <c r="Q674" s="23" t="n"/>
      <c r="R674" s="17" t="n"/>
      <c r="S674" s="17" t="n"/>
      <c r="T674" s="17" t="n"/>
      <c r="U674" s="17" t="n"/>
      <c r="V674" s="23" t="n"/>
      <c r="W674" s="17" t="n"/>
      <c r="X674" s="17" t="n"/>
      <c r="Y674" s="28" t="n"/>
    </row>
    <row r="675" ht="15.75" customHeight="1" s="64">
      <c r="A675" s="36" t="n"/>
      <c r="B675" s="25" t="n"/>
      <c r="C675" s="23" t="n"/>
      <c r="D675" s="17" t="n"/>
      <c r="E675" s="17" t="n"/>
      <c r="F675" s="17" t="n"/>
      <c r="G675" s="23" t="n"/>
      <c r="H675" s="25" t="n"/>
      <c r="I675" s="17" t="n"/>
      <c r="J675" s="17" t="n"/>
      <c r="K675" s="23" t="n"/>
      <c r="L675" s="25" t="n"/>
      <c r="M675" s="17" t="n"/>
      <c r="N675" s="17" t="n"/>
      <c r="O675" s="42" t="n"/>
      <c r="P675" s="39" t="n"/>
      <c r="Q675" s="23" t="n"/>
      <c r="R675" s="17" t="n"/>
      <c r="S675" s="17" t="n"/>
      <c r="T675" s="17" t="n"/>
      <c r="U675" s="17" t="n"/>
      <c r="V675" s="23" t="n"/>
      <c r="W675" s="17" t="n"/>
      <c r="X675" s="17" t="n"/>
      <c r="Y675" s="28" t="n"/>
    </row>
    <row r="676" ht="15.75" customHeight="1" s="64">
      <c r="A676" s="36" t="n"/>
      <c r="B676" s="25" t="n"/>
      <c r="C676" s="23" t="n"/>
      <c r="D676" s="17" t="n"/>
      <c r="E676" s="17" t="n"/>
      <c r="F676" s="17" t="n"/>
      <c r="G676" s="23" t="n"/>
      <c r="H676" s="25" t="n"/>
      <c r="I676" s="17" t="n"/>
      <c r="J676" s="17" t="n"/>
      <c r="K676" s="23" t="n"/>
      <c r="L676" s="25" t="n"/>
      <c r="M676" s="17" t="n"/>
      <c r="N676" s="17" t="n"/>
      <c r="O676" s="42" t="n"/>
      <c r="P676" s="39" t="n"/>
      <c r="Q676" s="23" t="n"/>
      <c r="R676" s="17" t="n"/>
      <c r="S676" s="17" t="n"/>
      <c r="T676" s="17" t="n"/>
      <c r="U676" s="17" t="n"/>
      <c r="V676" s="23" t="n"/>
      <c r="W676" s="17" t="n"/>
      <c r="X676" s="17" t="n"/>
      <c r="Y676" s="28" t="n"/>
    </row>
    <row r="677" ht="15.75" customHeight="1" s="64">
      <c r="A677" s="36" t="n"/>
      <c r="B677" s="25" t="n"/>
      <c r="C677" s="23" t="n"/>
      <c r="D677" s="17" t="n"/>
      <c r="E677" s="17" t="n"/>
      <c r="F677" s="17" t="n"/>
      <c r="G677" s="23" t="n"/>
      <c r="H677" s="25" t="n"/>
      <c r="I677" s="17" t="n"/>
      <c r="J677" s="17" t="n"/>
      <c r="K677" s="23" t="n"/>
      <c r="L677" s="25" t="n"/>
      <c r="M677" s="17" t="n"/>
      <c r="N677" s="17" t="n"/>
      <c r="O677" s="42" t="n"/>
      <c r="P677" s="39" t="n"/>
      <c r="Q677" s="23" t="n"/>
      <c r="R677" s="17" t="n"/>
      <c r="S677" s="17" t="n"/>
      <c r="T677" s="17" t="n"/>
      <c r="U677" s="17" t="n"/>
      <c r="V677" s="23" t="n"/>
      <c r="W677" s="17" t="n"/>
      <c r="X677" s="17" t="n"/>
      <c r="Y677" s="28" t="n"/>
    </row>
    <row r="678" ht="15.75" customHeight="1" s="64">
      <c r="A678" s="36" t="n"/>
      <c r="B678" s="25" t="n"/>
      <c r="C678" s="23" t="n"/>
      <c r="D678" s="17" t="n"/>
      <c r="E678" s="17" t="n"/>
      <c r="F678" s="17" t="n"/>
      <c r="G678" s="23" t="n"/>
      <c r="H678" s="25" t="n"/>
      <c r="I678" s="17" t="n"/>
      <c r="J678" s="17" t="n"/>
      <c r="K678" s="23" t="n"/>
      <c r="L678" s="25" t="n"/>
      <c r="M678" s="17" t="n"/>
      <c r="N678" s="17" t="n"/>
      <c r="O678" s="42" t="n"/>
      <c r="P678" s="39" t="n"/>
      <c r="Q678" s="23" t="n"/>
      <c r="R678" s="17" t="n"/>
      <c r="S678" s="17" t="n"/>
      <c r="T678" s="17" t="n"/>
      <c r="U678" s="17" t="n"/>
      <c r="V678" s="23" t="n"/>
      <c r="W678" s="17" t="n"/>
      <c r="X678" s="17" t="n"/>
      <c r="Y678" s="28" t="n"/>
    </row>
    <row r="679" ht="15.75" customHeight="1" s="64">
      <c r="A679" s="36" t="n"/>
      <c r="B679" s="25" t="n"/>
      <c r="C679" s="23" t="n"/>
      <c r="D679" s="17" t="n"/>
      <c r="E679" s="17" t="n"/>
      <c r="F679" s="17" t="n"/>
      <c r="G679" s="23" t="n"/>
      <c r="H679" s="25" t="n"/>
      <c r="I679" s="17" t="n"/>
      <c r="J679" s="17" t="n"/>
      <c r="K679" s="23" t="n"/>
      <c r="L679" s="25" t="n"/>
      <c r="M679" s="17" t="n"/>
      <c r="N679" s="17" t="n"/>
      <c r="O679" s="42" t="n"/>
      <c r="P679" s="39" t="n"/>
      <c r="Q679" s="23" t="n"/>
      <c r="R679" s="17" t="n"/>
      <c r="S679" s="17" t="n"/>
      <c r="T679" s="17" t="n"/>
      <c r="U679" s="17" t="n"/>
      <c r="V679" s="23" t="n"/>
      <c r="W679" s="17" t="n"/>
      <c r="X679" s="17" t="n"/>
      <c r="Y679" s="28" t="n"/>
    </row>
    <row r="680" ht="15.75" customHeight="1" s="64">
      <c r="A680" s="36" t="n"/>
      <c r="B680" s="25" t="n"/>
      <c r="C680" s="23" t="n"/>
      <c r="D680" s="17" t="n"/>
      <c r="E680" s="17" t="n"/>
      <c r="F680" s="17" t="n"/>
      <c r="G680" s="23" t="n"/>
      <c r="H680" s="25" t="n"/>
      <c r="I680" s="17" t="n"/>
      <c r="J680" s="17" t="n"/>
      <c r="K680" s="23" t="n"/>
      <c r="L680" s="25" t="n"/>
      <c r="M680" s="17" t="n"/>
      <c r="N680" s="17" t="n"/>
      <c r="O680" s="42" t="n"/>
      <c r="P680" s="39" t="n"/>
      <c r="Q680" s="23" t="n"/>
      <c r="R680" s="17" t="n"/>
      <c r="S680" s="17" t="n"/>
      <c r="T680" s="17" t="n"/>
      <c r="U680" s="17" t="n"/>
      <c r="V680" s="23" t="n"/>
      <c r="W680" s="17" t="n"/>
      <c r="X680" s="17" t="n"/>
      <c r="Y680" s="28" t="n"/>
    </row>
    <row r="681" ht="15.75" customHeight="1" s="64">
      <c r="A681" s="36" t="n"/>
      <c r="B681" s="25" t="n"/>
      <c r="C681" s="23" t="n"/>
      <c r="D681" s="17" t="n"/>
      <c r="E681" s="17" t="n"/>
      <c r="F681" s="17" t="n"/>
      <c r="G681" s="23" t="n"/>
      <c r="H681" s="25" t="n"/>
      <c r="I681" s="17" t="n"/>
      <c r="J681" s="17" t="n"/>
      <c r="K681" s="23" t="n"/>
      <c r="L681" s="25" t="n"/>
      <c r="M681" s="17" t="n"/>
      <c r="N681" s="17" t="n"/>
      <c r="O681" s="42" t="n"/>
      <c r="P681" s="39" t="n"/>
      <c r="Q681" s="23" t="n"/>
      <c r="R681" s="17" t="n"/>
      <c r="S681" s="17" t="n"/>
      <c r="T681" s="17" t="n"/>
      <c r="U681" s="17" t="n"/>
      <c r="V681" s="23" t="n"/>
      <c r="W681" s="17" t="n"/>
      <c r="X681" s="17" t="n"/>
      <c r="Y681" s="28" t="n"/>
    </row>
    <row r="682" ht="15.75" customHeight="1" s="64">
      <c r="A682" s="36" t="n"/>
      <c r="B682" s="25" t="n"/>
      <c r="C682" s="23" t="n"/>
      <c r="D682" s="17" t="n"/>
      <c r="E682" s="17" t="n"/>
      <c r="F682" s="17" t="n"/>
      <c r="G682" s="23" t="n"/>
      <c r="H682" s="25" t="n"/>
      <c r="I682" s="17" t="n"/>
      <c r="J682" s="17" t="n"/>
      <c r="K682" s="23" t="n"/>
      <c r="L682" s="25" t="n"/>
      <c r="M682" s="17" t="n"/>
      <c r="N682" s="17" t="n"/>
      <c r="O682" s="42" t="n"/>
      <c r="P682" s="39" t="n"/>
      <c r="Q682" s="23" t="n"/>
      <c r="R682" s="17" t="n"/>
      <c r="S682" s="17" t="n"/>
      <c r="T682" s="17" t="n"/>
      <c r="U682" s="17" t="n"/>
      <c r="V682" s="23" t="n"/>
      <c r="W682" s="17" t="n"/>
      <c r="X682" s="17" t="n"/>
      <c r="Y682" s="28" t="n"/>
    </row>
    <row r="683" ht="15.75" customHeight="1" s="64">
      <c r="A683" s="36" t="n"/>
      <c r="B683" s="25" t="n"/>
      <c r="C683" s="23" t="n"/>
      <c r="D683" s="17" t="n"/>
      <c r="E683" s="17" t="n"/>
      <c r="F683" s="17" t="n"/>
      <c r="G683" s="23" t="n"/>
      <c r="H683" s="25" t="n"/>
      <c r="I683" s="17" t="n"/>
      <c r="J683" s="17" t="n"/>
      <c r="K683" s="23" t="n"/>
      <c r="L683" s="25" t="n"/>
      <c r="M683" s="17" t="n"/>
      <c r="N683" s="17" t="n"/>
      <c r="O683" s="42" t="n"/>
      <c r="P683" s="39" t="n"/>
      <c r="Q683" s="23" t="n"/>
      <c r="R683" s="17" t="n"/>
      <c r="S683" s="17" t="n"/>
      <c r="T683" s="17" t="n"/>
      <c r="U683" s="17" t="n"/>
      <c r="V683" s="23" t="n"/>
      <c r="W683" s="17" t="n"/>
      <c r="X683" s="17" t="n"/>
      <c r="Y683" s="28" t="n"/>
    </row>
    <row r="684" ht="15.75" customHeight="1" s="64">
      <c r="A684" s="36" t="n"/>
      <c r="B684" s="25" t="n"/>
      <c r="C684" s="23" t="n"/>
      <c r="D684" s="17" t="n"/>
      <c r="E684" s="17" t="n"/>
      <c r="F684" s="17" t="n"/>
      <c r="G684" s="23" t="n"/>
      <c r="H684" s="25" t="n"/>
      <c r="I684" s="17" t="n"/>
      <c r="J684" s="17" t="n"/>
      <c r="K684" s="23" t="n"/>
      <c r="L684" s="25" t="n"/>
      <c r="M684" s="17" t="n"/>
      <c r="N684" s="17" t="n"/>
      <c r="O684" s="42" t="n"/>
      <c r="P684" s="39" t="n"/>
      <c r="Q684" s="23" t="n"/>
      <c r="R684" s="17" t="n"/>
      <c r="S684" s="17" t="n"/>
      <c r="T684" s="17" t="n"/>
      <c r="U684" s="17" t="n"/>
      <c r="V684" s="23" t="n"/>
      <c r="W684" s="17" t="n"/>
      <c r="X684" s="17" t="n"/>
      <c r="Y684" s="28" t="n"/>
    </row>
    <row r="685" ht="15.75" customHeight="1" s="64">
      <c r="A685" s="36" t="n"/>
      <c r="B685" s="25" t="n"/>
      <c r="C685" s="23" t="n"/>
      <c r="D685" s="17" t="n"/>
      <c r="E685" s="17" t="n"/>
      <c r="F685" s="17" t="n"/>
      <c r="G685" s="23" t="n"/>
      <c r="H685" s="25" t="n"/>
      <c r="I685" s="17" t="n"/>
      <c r="J685" s="17" t="n"/>
      <c r="K685" s="23" t="n"/>
      <c r="L685" s="25" t="n"/>
      <c r="M685" s="17" t="n"/>
      <c r="N685" s="17" t="n"/>
      <c r="O685" s="42" t="n"/>
      <c r="P685" s="39" t="n"/>
      <c r="Q685" s="23" t="n"/>
      <c r="R685" s="17" t="n"/>
      <c r="S685" s="17" t="n"/>
      <c r="T685" s="17" t="n"/>
      <c r="U685" s="17" t="n"/>
      <c r="V685" s="23" t="n"/>
      <c r="W685" s="17" t="n"/>
      <c r="X685" s="17" t="n"/>
      <c r="Y685" s="28" t="n"/>
    </row>
    <row r="686" ht="15.75" customHeight="1" s="64">
      <c r="A686" s="36" t="n"/>
      <c r="B686" s="25" t="n"/>
      <c r="C686" s="23" t="n"/>
      <c r="D686" s="17" t="n"/>
      <c r="E686" s="17" t="n"/>
      <c r="F686" s="17" t="n"/>
      <c r="G686" s="23" t="n"/>
      <c r="H686" s="25" t="n"/>
      <c r="I686" s="17" t="n"/>
      <c r="J686" s="17" t="n"/>
      <c r="K686" s="23" t="n"/>
      <c r="L686" s="25" t="n"/>
      <c r="M686" s="17" t="n"/>
      <c r="N686" s="17" t="n"/>
      <c r="O686" s="42" t="n"/>
      <c r="P686" s="39" t="n"/>
      <c r="Q686" s="23" t="n"/>
      <c r="R686" s="17" t="n"/>
      <c r="S686" s="17" t="n"/>
      <c r="T686" s="17" t="n"/>
      <c r="U686" s="17" t="n"/>
      <c r="V686" s="23" t="n"/>
      <c r="W686" s="17" t="n"/>
      <c r="X686" s="17" t="n"/>
      <c r="Y686" s="28" t="n"/>
    </row>
    <row r="687" ht="15.75" customHeight="1" s="64">
      <c r="A687" s="36" t="n"/>
      <c r="B687" s="25" t="n"/>
      <c r="C687" s="23" t="n"/>
      <c r="D687" s="17" t="n"/>
      <c r="E687" s="17" t="n"/>
      <c r="F687" s="17" t="n"/>
      <c r="G687" s="23" t="n"/>
      <c r="H687" s="25" t="n"/>
      <c r="I687" s="17" t="n"/>
      <c r="J687" s="17" t="n"/>
      <c r="K687" s="23" t="n"/>
      <c r="L687" s="25" t="n"/>
      <c r="M687" s="17" t="n"/>
      <c r="N687" s="17" t="n"/>
      <c r="O687" s="42" t="n"/>
      <c r="P687" s="39" t="n"/>
      <c r="Q687" s="23" t="n"/>
      <c r="R687" s="17" t="n"/>
      <c r="S687" s="17" t="n"/>
      <c r="T687" s="17" t="n"/>
      <c r="U687" s="17" t="n"/>
      <c r="V687" s="23" t="n"/>
      <c r="W687" s="17" t="n"/>
      <c r="X687" s="17" t="n"/>
      <c r="Y687" s="28" t="n"/>
    </row>
    <row r="688" ht="15.75" customHeight="1" s="64">
      <c r="A688" s="36" t="n"/>
      <c r="B688" s="25" t="n"/>
      <c r="C688" s="23" t="n"/>
      <c r="D688" s="17" t="n"/>
      <c r="E688" s="17" t="n"/>
      <c r="F688" s="17" t="n"/>
      <c r="G688" s="23" t="n"/>
      <c r="H688" s="25" t="n"/>
      <c r="I688" s="17" t="n"/>
      <c r="J688" s="17" t="n"/>
      <c r="K688" s="23" t="n"/>
      <c r="L688" s="25" t="n"/>
      <c r="M688" s="17" t="n"/>
      <c r="N688" s="17" t="n"/>
      <c r="O688" s="42" t="n"/>
      <c r="P688" s="39" t="n"/>
      <c r="Q688" s="23" t="n"/>
      <c r="R688" s="17" t="n"/>
      <c r="S688" s="17" t="n"/>
      <c r="T688" s="17" t="n"/>
      <c r="U688" s="17" t="n"/>
      <c r="V688" s="23" t="n"/>
      <c r="W688" s="17" t="n"/>
      <c r="X688" s="17" t="n"/>
      <c r="Y688" s="28" t="n"/>
    </row>
    <row r="689" ht="15.75" customHeight="1" s="64">
      <c r="A689" s="36" t="n"/>
      <c r="B689" s="25" t="n"/>
      <c r="C689" s="23" t="n"/>
      <c r="D689" s="17" t="n"/>
      <c r="E689" s="17" t="n"/>
      <c r="F689" s="17" t="n"/>
      <c r="G689" s="23" t="n"/>
      <c r="H689" s="25" t="n"/>
      <c r="I689" s="17" t="n"/>
      <c r="J689" s="17" t="n"/>
      <c r="K689" s="23" t="n"/>
      <c r="L689" s="25" t="n"/>
      <c r="M689" s="17" t="n"/>
      <c r="N689" s="17" t="n"/>
      <c r="O689" s="42" t="n"/>
      <c r="P689" s="39" t="n"/>
      <c r="Q689" s="23" t="n"/>
      <c r="R689" s="17" t="n"/>
      <c r="S689" s="17" t="n"/>
      <c r="T689" s="17" t="n"/>
      <c r="U689" s="17" t="n"/>
      <c r="V689" s="23" t="n"/>
      <c r="W689" s="17" t="n"/>
      <c r="X689" s="17" t="n"/>
      <c r="Y689" s="28" t="n"/>
    </row>
    <row r="690" ht="15.75" customHeight="1" s="64">
      <c r="A690" s="36" t="n"/>
      <c r="B690" s="25" t="n"/>
      <c r="C690" s="23" t="n"/>
      <c r="D690" s="17" t="n"/>
      <c r="E690" s="17" t="n"/>
      <c r="F690" s="17" t="n"/>
      <c r="G690" s="23" t="n"/>
      <c r="H690" s="25" t="n"/>
      <c r="I690" s="17" t="n"/>
      <c r="J690" s="17" t="n"/>
      <c r="K690" s="23" t="n"/>
      <c r="L690" s="25" t="n"/>
      <c r="M690" s="17" t="n"/>
      <c r="N690" s="17" t="n"/>
      <c r="O690" s="42" t="n"/>
      <c r="P690" s="39" t="n"/>
      <c r="Q690" s="23" t="n"/>
      <c r="R690" s="17" t="n"/>
      <c r="S690" s="17" t="n"/>
      <c r="T690" s="17" t="n"/>
      <c r="U690" s="17" t="n"/>
      <c r="V690" s="23" t="n"/>
      <c r="W690" s="17" t="n"/>
      <c r="X690" s="17" t="n"/>
      <c r="Y690" s="28" t="n"/>
    </row>
    <row r="691" ht="15.75" customHeight="1" s="64">
      <c r="A691" s="36" t="n"/>
      <c r="B691" s="25">
        <f>IF(AND(C691="",D691="",E691=""),"",IF(C691="","FALTA código balón",IF(D691="","FALTA tipo balón",IF(E691="","FALTA gas",IF(F691="","FALTA propietario",IF(AND(C691&lt;&gt;"",SUMPRODUCT(--($C$5:$C$1200=C691))&gt;1),"CÓDIGO BALÓN DUPLICADO",IF(AND(OR(UPPER(F691)="PLANTA",UPPER(F691)="CLIENTE"),G691=""),"FALTA doc propietario/planta",IF(AND(UPPER(F691)="PLANTA",G691="10175332796"),"PLANTA no puede ser RUC empresa","OK"))))))))</f>
        <v/>
      </c>
      <c r="C691" s="23" t="n"/>
      <c r="D691" s="17" t="n"/>
      <c r="E691" s="17" t="n"/>
      <c r="F691" s="17" t="n"/>
      <c r="G691" s="23" t="n"/>
      <c r="H691" s="25">
        <f t="array" ref="H691">IF(G691="","",IFERROR(IF(INDEX(Clientes!$D$5:$D$549,MATCH(G691,Clientes!$C$5:$C$549,0))&lt;&gt;"",INDEX(Clientes!$D$5:$D$549,MATCH(G691,Clientes!$C$5:$C$549,0)),TRIM(INDEX(Clientes!$E$5:$E$549,MATCH(G691,Clientes!$C$5:$C$549,0))&amp;" "&amp;INDEX(Clientes!$F$5:$F$549,MATCH(G691,Clientes!$C$5:$C$549,0)))),"NO EXISTE en Clientes"))</f>
        <v/>
      </c>
      <c r="I691" s="17" t="n"/>
      <c r="J691" s="17" t="n"/>
      <c r="K691" s="23" t="n"/>
      <c r="L691" s="25">
        <f t="array" ref="L691">IF(K691="","",IFERROR(IF(INDEX(Clientes!$D$5:$D$549,MATCH(K691,Clientes!$C$5:$C$549,0))&lt;&gt;"",INDEX(Clientes!$D$5:$D$549,MATCH(K691,Clientes!$C$5:$C$549,0)),TRIM(INDEX(Clientes!$E$5:$E$549,MATCH(K691,Clientes!$C$5:$C$549,0))&amp;" "&amp;INDEX(Clientes!$F$5:$F$549,MATCH(K691,Clientes!$C$5:$C$549,0)))),"NO EXISTE en Clientes"))</f>
        <v/>
      </c>
      <c r="M691" s="17" t="n"/>
      <c r="N691" s="17" t="n"/>
      <c r="O691" s="42" t="n"/>
      <c r="P691" s="39">
        <f>IF(O691&lt;&gt;"",DATE(YEAR(O691)+5,MONTH(O691),1),IF(AND(M691&lt;&gt;"",N691&lt;&gt;""),DATE(M691+5,N691,1),""))</f>
        <v/>
      </c>
      <c r="Q691" s="23" t="n"/>
      <c r="R691" s="17" t="n"/>
      <c r="S691" s="17" t="n"/>
      <c r="T691" s="17" t="n"/>
      <c r="U691" s="17" t="n"/>
      <c r="V691" s="23" t="n"/>
      <c r="W691" s="17" t="n"/>
      <c r="X691" s="17" t="n"/>
      <c r="Y691" s="28">
        <f>IF(B691&lt;&gt;"OK","","SELECT bal_crear_balon(p_codigo_balon =&gt; "&amp;IF(TRIM(C691&amp;"")="","NULL","'"&amp;SUBSTITUTE(TRIM(C691),"'","''")&amp;"'")&amp;", p_id_tipo_balon =&gt; "&amp;"(SELECT id FROM bal_tipo_balon WHERE upper(nombre) = upper('"&amp;SUBSTITUTE(TRIM(D691),"'","''")&amp;"') AND estado = 1 LIMIT 1)"&amp;", p_id_producto_gas =&gt; "&amp;"(SELECT id FROM pro_producto WHERE es_gas = TRUE AND upper(nombre) = upper('"&amp;SUBSTITUTE(TRIM(E691),"'","''")&amp;"') AND estado = 1 LIMIT 1)"&amp;", p_id_propietario =&gt; "&amp;IF(TRIM(F691&amp;"")="","NULL","(SELECT lo.id FROM gen_lista_opciones lo JOIN gen_lista l ON l.id = lo.id_lista WHERE l.nombre = 'PropietarioBalon' AND upper(lo.nombre) = upper('"&amp;SUBSTITUTE(TRIM(F691),"'","''")&amp;"') AND lo.estado = 1 LIMIT 1)")&amp;", p_id_cliente_propietario =&gt; "&amp;IF(F691="CLIENTE",IF(TRIM(G691&amp;"")="","NULL","(SELECT id FROM cli_clientes WHERE numero_documento = '"&amp;SUBSTITUTE(TRIM(G691),"'","''")&amp;"' AND estado = 1 LIMIT 1)"),"NULL")&amp;", p_id_planta =&gt; "&amp;IF(F691="PLANTA",IF(TRIM(G691&amp;"")="","NULL","(SELECT id FROM cli_clientes WHERE numero_documento = '"&amp;SUBSTITUTE(TRIM(G691),"'","''")&amp;"'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"&amp;IF(TRIM(J691&amp;"")="","NULL","(SELECT id FROM gen_almacen WHERE upper(nombre) = upper('"&amp;SUBSTITUTE(TRIM(J691),"'","''")&amp;"') AND estado = 1 LIMIT 1)")&amp;", p_id_cliente_ubicacion =&gt; "&amp;IF(TRIM(K691&amp;"")="","NULL","(SELECT id FROM cli_clientes WHERE numero_documento = '"&amp;SUBSTITUTE(TRIM(K691),"'","''")&amp;"' AND estado = 1 LIMIT 1)")&amp;", p_id_referencia =&gt; "&amp;IF(TRIM(J691&amp;"")&lt;&gt;"","(SELECT lo.id FROM gen_lista_opciones lo JOIN gen_lista l ON l.id = lo.id_lista WHERE l.nombre = 'ReferenciaCilindro' AND upper(lo.nombre) = 'ALMACEN' AND lo.estado = 1 LIMIT 1)",IF(TRIM(K691&amp;"")&lt;&gt;"","(SELECT lo.id FROM gen_lista_opciones lo JOIN gen_lista l ON l.id = lo.id_lista WHERE l.nombre = 'ReferenciaCilindro' AND upper(lo.nombre) = 'CLIENTE' AND lo.estado = 1 LIMIT 1)","NULL"))&amp;", p_anio_fabricacion =&gt; "&amp;IF(M691&amp;""="","NULL::smallint",M691&amp;"::smallint")&amp;", p_mes_fabricacion =&gt; "&amp;IF(N691&amp;""="","NULL::smallint",N691&amp;"::smallint")&amp;", p_fecha_ultima_prueba_hidrostatica =&gt; "&amp;IF(O691&amp;""="","NULL","'"&amp;YEAR(O691)&amp;"-"&amp;TEXT(MONTH(O691),"00")&amp;"-"&amp;TEXT(DAY(O691),"00")&amp;"'")&amp;", p_numero_serie =&gt; "&amp;IF(TRIM(Q691&amp;"")="","NULL","'"&amp;SUBSTITUTE(TRIM(Q691),"'","''")&amp;"'")&amp;", p_id_marca_cilindro =&gt; "&amp;IF(TRIM(R691&amp;"")="","NULL","(SELECT lo.id FROM gen_lista_opciones lo JOIN gen_lista l ON l.id = lo.id_lista WHERE l.nombre = 'MarcaCilindro' AND upper(lo.nombre) = upper('"&amp;SUBSTITUTE(TRIM(R691),"'","''")&amp;"') AND lo.estado = 1 LIMIT 1)")&amp;", p_id_organo_inspector =&gt; "&amp;IF(TRIM(S691&amp;"")="","NULL","(SELECT lo.id FROM gen_lista_opciones lo JOIN gen_lista l ON l.id = lo.id_lista WHERE l.nombre = 'OrganoInspectorCilindro' AND upper(lo.nombre) = upper('"&amp;SUBSTITUTE(TRIM(S691),"'","''")&amp;"') AND lo.estado = 1 LIMIT 1)")&amp;", p_organo_inspector_no_aplica =&gt; "&amp;IF(S691="NO_APLICA","TRUE","FALSE")&amp;", p_presion_actual =&gt; "&amp;IF(T691&amp;""="","NULL",SUBSTITUTE(T691&amp;"",",","."))&amp;", p_tipo_valvula =&gt; "&amp;IF(TRIM(U691&amp;"")="","NULL","'"&amp;SUBSTITUTE(TRIM(U691),"'","''")&amp;"'")&amp;", p_libro_cilindro =&gt; "&amp;IF(TRIM(V691&amp;"")="","NULL","'"&amp;SUBSTITUTE(TRIM(V691),"'","''")&amp;"'")&amp;", p_pagina_libro =&gt; "&amp;IF(W691&amp;""="","NULL",SUBSTITUTE(W691&amp;"",",","."))&amp;", p_observacion =&gt; "&amp;IF(TRIM(X691&amp;"")="","NULL","'"&amp;SUBSTITUTE(TRIM(X691),"'","''")&amp;"'")&amp;") AS resultado_balon_"&amp;ROW()&amp;";")</f>
        <v/>
      </c>
    </row>
    <row r="692" ht="15.75" customHeight="1" s="64">
      <c r="A692" s="36" t="n"/>
      <c r="B692" s="25">
        <f>IF(AND(C692="",D692="",E692=""),"",IF(C692="","FALTA código balón",IF(D692="","FALTA tipo balón",IF(E692="","FALTA gas",IF(F692="","FALTA propietario",IF(AND(C692&lt;&gt;"",SUMPRODUCT(--($C$5:$C$1200=C692))&gt;1),"CÓDIGO BALÓN DUPLICADO",IF(AND(OR(UPPER(F692)="PLANTA",UPPER(F692)="CLIENTE"),G692=""),"FALTA doc propietario/planta",IF(AND(UPPER(F692)="PLANTA",G692="10175332796"),"PLANTA no puede ser RUC empresa","OK"))))))))</f>
        <v/>
      </c>
      <c r="C692" s="23" t="n"/>
      <c r="D692" s="17" t="n"/>
      <c r="E692" s="17" t="n"/>
      <c r="F692" s="17" t="n"/>
      <c r="G692" s="23" t="n"/>
      <c r="H692" s="25">
        <f t="array" ref="H692">IF(G692="","",IFERROR(IF(INDEX(Clientes!$D$5:$D$549,MATCH(G692,Clientes!$C$5:$C$549,0))&lt;&gt;"",INDEX(Clientes!$D$5:$D$549,MATCH(G692,Clientes!$C$5:$C$549,0)),TRIM(INDEX(Clientes!$E$5:$E$549,MATCH(G692,Clientes!$C$5:$C$549,0))&amp;" "&amp;INDEX(Clientes!$F$5:$F$549,MATCH(G692,Clientes!$C$5:$C$549,0)))),"NO EXISTE en Clientes"))</f>
        <v/>
      </c>
      <c r="I692" s="17" t="n"/>
      <c r="J692" s="17" t="n"/>
      <c r="K692" s="23" t="n"/>
      <c r="L692" s="25">
        <f t="array" ref="L692">IF(K692="","",IFERROR(IF(INDEX(Clientes!$D$5:$D$549,MATCH(K692,Clientes!$C$5:$C$549,0))&lt;&gt;"",INDEX(Clientes!$D$5:$D$549,MATCH(K692,Clientes!$C$5:$C$549,0)),TRIM(INDEX(Clientes!$E$5:$E$549,MATCH(K692,Clientes!$C$5:$C$549,0))&amp;" "&amp;INDEX(Clientes!$F$5:$F$549,MATCH(K692,Clientes!$C$5:$C$549,0)))),"NO EXISTE en Clientes"))</f>
        <v/>
      </c>
      <c r="M692" s="17" t="n"/>
      <c r="N692" s="17" t="n"/>
      <c r="O692" s="42" t="n"/>
      <c r="P692" s="39">
        <f>IF(O692&lt;&gt;"",DATE(YEAR(O692)+5,MONTH(O692),1),IF(AND(M692&lt;&gt;"",N692&lt;&gt;""),DATE(M692+5,N692,1),""))</f>
        <v/>
      </c>
      <c r="Q692" s="23" t="n"/>
      <c r="R692" s="17" t="n"/>
      <c r="S692" s="17" t="n"/>
      <c r="T692" s="17" t="n"/>
      <c r="U692" s="17" t="n"/>
      <c r="V692" s="23" t="n"/>
      <c r="W692" s="17" t="n"/>
      <c r="X692" s="17" t="n"/>
      <c r="Y692" s="28">
        <f>IF(B692&lt;&gt;"OK","","SELECT bal_crear_balon(p_codigo_balon =&gt; "&amp;IF(TRIM(C692&amp;"")="","NULL","'"&amp;SUBSTITUTE(TRIM(C692),"'","''")&amp;"'")&amp;", p_id_tipo_balon =&gt; "&amp;"(SELECT id FROM bal_tipo_balon WHERE upper(nombre) = upper('"&amp;SUBSTITUTE(TRIM(D692),"'","''")&amp;"') AND estado = 1 LIMIT 1)"&amp;", p_id_producto_gas =&gt; "&amp;"(SELECT id FROM pro_producto WHERE es_gas = TRUE AND upper(nombre) = upper('"&amp;SUBSTITUTE(TRIM(E692),"'","''")&amp;"') AND estado = 1 LIMIT 1)"&amp;", p_id_propietario =&gt; "&amp;IF(TRIM(F692&amp;"")="","NULL","(SELECT lo.id FROM gen_lista_opciones lo JOIN gen_lista l ON l.id = lo.id_lista WHERE l.nombre = 'PropietarioBalon' AND upper(lo.nombre) = upper('"&amp;SUBSTITUTE(TRIM(F692),"'","''")&amp;"') AND lo.estado = 1 LIMIT 1)")&amp;", p_id_cliente_propietario =&gt; "&amp;IF(F692="CLIENTE",IF(TRIM(G692&amp;"")="","NULL","(SELECT id FROM cli_clientes WHERE numero_documento = '"&amp;SUBSTITUTE(TRIM(G692),"'","''")&amp;"' AND estado = 1 LIMIT 1)"),"NULL")&amp;", p_id_planta =&gt; "&amp;IF(F692="PLANTA",IF(TRIM(G692&amp;"")="","NULL","(SELECT id FROM cli_clientes WHERE numero_documento = '"&amp;SUBSTITUTE(TRIM(G692),"'","''")&amp;"'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"&amp;IF(TRIM(J692&amp;"")="","NULL","(SELECT id FROM gen_almacen WHERE upper(nombre) = upper('"&amp;SUBSTITUTE(TRIM(J692),"'","''")&amp;"') AND estado = 1 LIMIT 1)")&amp;", p_id_cliente_ubicacion =&gt; "&amp;IF(TRIM(K692&amp;"")="","NULL","(SELECT id FROM cli_clientes WHERE numero_documento = '"&amp;SUBSTITUTE(TRIM(K692),"'","''")&amp;"' AND estado = 1 LIMIT 1)")&amp;", p_id_referencia =&gt; "&amp;IF(TRIM(J692&amp;"")&lt;&gt;"","(SELECT lo.id FROM gen_lista_opciones lo JOIN gen_lista l ON l.id = lo.id_lista WHERE l.nombre = 'ReferenciaCilindro' AND upper(lo.nombre) = 'ALMACEN' AND lo.estado = 1 LIMIT 1)",IF(TRIM(K692&amp;"")&lt;&gt;"","(SELECT lo.id FROM gen_lista_opciones lo JOIN gen_lista l ON l.id = lo.id_lista WHERE l.nombre = 'ReferenciaCilindro' AND upper(lo.nombre) = 'CLIENTE' AND lo.estado = 1 LIMIT 1)","NULL"))&amp;", p_anio_fabricacion =&gt; "&amp;IF(M692&amp;""="","NULL::smallint",M692&amp;"::smallint")&amp;", p_mes_fabricacion =&gt; "&amp;IF(N692&amp;""="","NULL::smallint",N692&amp;"::smallint")&amp;", p_fecha_ultima_prueba_hidrostatica =&gt; "&amp;IF(O692&amp;""="","NULL","'"&amp;YEAR(O692)&amp;"-"&amp;TEXT(MONTH(O692),"00")&amp;"-"&amp;TEXT(DAY(O692),"00")&amp;"'")&amp;", p_numero_serie =&gt; "&amp;IF(TRIM(Q692&amp;"")="","NULL","'"&amp;SUBSTITUTE(TRIM(Q692),"'","''")&amp;"'")&amp;", p_id_marca_cilindro =&gt; "&amp;IF(TRIM(R692&amp;"")="","NULL","(SELECT lo.id FROM gen_lista_opciones lo JOIN gen_lista l ON l.id = lo.id_lista WHERE l.nombre = 'MarcaCilindro' AND upper(lo.nombre) = upper('"&amp;SUBSTITUTE(TRIM(R692),"'","''")&amp;"') AND lo.estado = 1 LIMIT 1)")&amp;", p_id_organo_inspector =&gt; "&amp;IF(TRIM(S692&amp;"")="","NULL","(SELECT lo.id FROM gen_lista_opciones lo JOIN gen_lista l ON l.id = lo.id_lista WHERE l.nombre = 'OrganoInspectorCilindro' AND upper(lo.nombre) = upper('"&amp;SUBSTITUTE(TRIM(S692),"'","''")&amp;"') AND lo.estado = 1 LIMIT 1)")&amp;", p_organo_inspector_no_aplica =&gt; "&amp;IF(S692="NO_APLICA","TRUE","FALSE")&amp;", p_presion_actual =&gt; "&amp;IF(T692&amp;""="","NULL",SUBSTITUTE(T692&amp;"",",","."))&amp;", p_tipo_valvula =&gt; "&amp;IF(TRIM(U692&amp;"")="","NULL","'"&amp;SUBSTITUTE(TRIM(U692),"'","''")&amp;"'")&amp;", p_libro_cilindro =&gt; "&amp;IF(TRIM(V692&amp;"")="","NULL","'"&amp;SUBSTITUTE(TRIM(V692),"'","''")&amp;"'")&amp;", p_pagina_libro =&gt; "&amp;IF(W692&amp;""="","NULL",SUBSTITUTE(W692&amp;"",",","."))&amp;", p_observacion =&gt; "&amp;IF(TRIM(X692&amp;"")="","NULL","'"&amp;SUBSTITUTE(TRIM(X692),"'","''")&amp;"'")&amp;") AS resultado_balon_"&amp;ROW()&amp;";")</f>
        <v/>
      </c>
    </row>
    <row r="693" ht="15.75" customHeight="1" s="64">
      <c r="A693" s="62" t="n"/>
      <c r="B693" s="1">
        <f>IF(AND(C693="",D693="",E693=""),"",IF(C693="","FALTA código balón",IF(D693="","FALTA tipo balón",IF(E693="","FALTA gas",IF(F693="","FALTA propietario",IF(AND(C693&lt;&gt;"",SUMPRODUCT(--($C$5:$C$1200=C693))&gt;1),"CÓDIGO BALÓN DUPLICADO",IF(AND(OR(UPPER(F693)="PLANTA",UPPER(F693)="CLIENTE"),G693=""),"FALTA doc propietario/planta",IF(AND(UPPER(F693)="PLANTA",G693="10175332796"),"PLANTA no puede ser RUC empresa","OK"))))))))</f>
        <v/>
      </c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25">
        <f t="array" ref="L693">IF(K693="","",IFERROR(IF(INDEX(Clientes!$D$5:$D$549,MATCH(K693,Clientes!$C$5:$C$549,0))&lt;&gt;"",INDEX(Clientes!$D$5:$D$549,MATCH(K693,Clientes!$C$5:$C$549,0)),TRIM(INDEX(Clientes!$E$5:$E$549,MATCH(K693,Clientes!$C$5:$C$549,0))&amp;" "&amp;INDEX(Clientes!$F$5:$F$549,MATCH(K693,Clientes!$C$5:$C$549,0)))),"NO EXISTE en Clientes"))</f>
        <v/>
      </c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>
        <f>IF(B693&lt;&gt;"OK","","SELECT bal_crear_balon(p_codigo_balon =&gt; "&amp;IF(TRIM(C693&amp;"")="","NULL","'"&amp;SUBSTITUTE(TRIM(C693),"'","''")&amp;"'")&amp;", p_id_tipo_balon =&gt; "&amp;"(SELECT id FROM bal_tipo_balon WHERE upper(nombre) = upper('"&amp;SUBSTITUTE(TRIM(D693),"'","''")&amp;"') AND estado = 1 LIMIT 1)"&amp;", p_id_producto_gas =&gt; "&amp;"(SELECT id FROM pro_producto WHERE es_gas = TRUE AND upper(nombre) = upper('"&amp;SUBSTITUTE(TRIM(E693),"'","''")&amp;"') AND estado = 1 LIMIT 1)"&amp;", p_id_propietario =&gt; "&amp;IF(TRIM(F693&amp;"")="","NULL","(SELECT lo.id FROM gen_lista_opciones lo JOIN gen_lista l ON l.id = lo.id_lista WHERE l.nombre = 'PropietarioBalon' AND upper(lo.nombre) = upper('"&amp;SUBSTITUTE(TRIM(F693),"'","''")&amp;"') AND lo.estado = 1 LIMIT 1)")&amp;", p_id_cliente_propietario =&gt; "&amp;IF(F693="CLIENTE",IF(TRIM(G693&amp;"")="","NULL","(SELECT id FROM cli_clientes WHERE numero_documento = '"&amp;SUBSTITUTE(TRIM(G693),"'","''")&amp;"' AND estado = 1 LIMIT 1)"),"NULL")&amp;", p_id_planta =&gt; "&amp;IF(F693="PLANTA",IF(TRIM(G693&amp;"")="","NULL","(SELECT id FROM cli_clientes WHERE numero_documento = '"&amp;SUBSTITUTE(TRIM(G693),"'","''")&amp;"'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"&amp;IF(TRIM(J693&amp;"")="","NULL","(SELECT id FROM gen_almacen WHERE upper(nombre) = upper('"&amp;SUBSTITUTE(TRIM(J693),"'","''")&amp;"') AND estado = 1 LIMIT 1)")&amp;", p_id_cliente_ubicacion =&gt; "&amp;IF(TRIM(K693&amp;"")="","NULL","(SELECT id FROM cli_clientes WHERE numero_documento = '"&amp;SUBSTITUTE(TRIM(K693),"'","''")&amp;"' AND estado = 1 LIMIT 1)")&amp;", p_id_referencia =&gt; "&amp;IF(TRIM(J693&amp;"")&lt;&gt;"","(SELECT lo.id FROM gen_lista_opciones lo JOIN gen_lista l ON l.id = lo.id_lista WHERE l.nombre = 'ReferenciaCilindro' AND upper(lo.nombre) = 'ALMACEN' AND lo.estado = 1 LIMIT 1)",IF(TRIM(K693&amp;"")&lt;&gt;"","(SELECT lo.id FROM gen_lista_opciones lo JOIN gen_lista l ON l.id = lo.id_lista WHERE l.nombre = 'ReferenciaCilindro' AND upper(lo.nombre) = 'CLIENTE' AND lo.estado = 1 LIMIT 1)","NULL"))&amp;", p_anio_fabricacion =&gt; "&amp;IF(M693&amp;""="","NULL::smallint",M693&amp;"::smallint")&amp;", p_mes_fabricacion =&gt; "&amp;IF(N693&amp;""="","NULL::smallint",N693&amp;"::smallint")&amp;", p_fecha_ultima_prueba_hidrostatica =&gt; "&amp;IF(O693&amp;""="","NULL","'"&amp;YEAR(O693)&amp;"-"&amp;TEXT(MONTH(O693),"00")&amp;"-"&amp;TEXT(DAY(O693),"00")&amp;"'")&amp;", p_numero_serie =&gt; "&amp;IF(TRIM(Q693&amp;"")="","NULL","'"&amp;SUBSTITUTE(TRIM(Q693),"'","''")&amp;"'")&amp;", p_id_marca_cilindro =&gt; "&amp;IF(TRIM(R693&amp;"")="","NULL","(SELECT lo.id FROM gen_lista_opciones lo JOIN gen_lista l ON l.id = lo.id_lista WHERE l.nombre = 'MarcaCilindro' AND upper(lo.nombre) = upper('"&amp;SUBSTITUTE(TRIM(R693),"'","''")&amp;"') AND lo.estado = 1 LIMIT 1)")&amp;", p_id_organo_inspector =&gt; "&amp;IF(TRIM(S693&amp;"")="","NULL","(SELECT lo.id FROM gen_lista_opciones lo JOIN gen_lista l ON l.id = lo.id_lista WHERE l.nombre = 'OrganoInspectorCilindro' AND upper(lo.nombre) = upper('"&amp;SUBSTITUTE(TRIM(S693),"'","''")&amp;"') AND lo.estado = 1 LIMIT 1)")&amp;", p_organo_inspector_no_aplica =&gt; "&amp;IF(S693="NO_APLICA","TRUE","FALSE")&amp;", p_presion_actual =&gt; "&amp;IF(T693&amp;""="","NULL",SUBSTITUTE(T693&amp;"",",","."))&amp;", p_tipo_valvula =&gt; "&amp;IF(TRIM(U693&amp;"")="","NULL","'"&amp;SUBSTITUTE(TRIM(U693),"'","''")&amp;"'")&amp;", p_libro_cilindro =&gt; "&amp;IF(TRIM(V693&amp;"")="","NULL","'"&amp;SUBSTITUTE(TRIM(V693),"'","''")&amp;"'")&amp;", p_pagina_libro =&gt; "&amp;IF(W693&amp;""="","NULL",SUBSTITUTE(W693&amp;"",",","."))&amp;", p_observacion =&gt; "&amp;IF(TRIM(X693&amp;"")="","NULL","'"&amp;SUBSTITUTE(TRIM(X693),"'","''")&amp;"'")&amp;") AS resultado_balon_"&amp;ROW()&amp;";")</f>
        <v/>
      </c>
    </row>
    <row r="694" ht="15.75" customHeight="1" s="64">
      <c r="A694" s="62" t="n"/>
      <c r="B694" s="1">
        <f>IF(AND(C694="",D694="",E694=""),"",IF(C694="","FALTA código balón",IF(D694="","FALTA tipo balón",IF(E694="","FALTA gas",IF(F694="","FALTA propietario",IF(AND(C694&lt;&gt;"",SUMPRODUCT(--($C$5:$C$1200=C694))&gt;1),"CÓDIGO BALÓN DUPLICADO",IF(AND(OR(UPPER(F694)="PLANTA",UPPER(F694)="CLIENTE"),G694=""),"FALTA doc propietario/planta",IF(AND(UPPER(F694)="PLANTA",G694="10175332796"),"PLANTA no puede ser RUC empresa","OK"))))))))</f>
        <v/>
      </c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25">
        <f t="array" ref="L694">IF(K694="","",IFERROR(IF(INDEX(Clientes!$D$5:$D$549,MATCH(K694,Clientes!$C$5:$C$549,0))&lt;&gt;"",INDEX(Clientes!$D$5:$D$549,MATCH(K694,Clientes!$C$5:$C$549,0)),TRIM(INDEX(Clientes!$E$5:$E$549,MATCH(K694,Clientes!$C$5:$C$549,0))&amp;" "&amp;INDEX(Clientes!$F$5:$F$549,MATCH(K694,Clientes!$C$5:$C$549,0)))),"NO EXISTE en Clientes"))</f>
        <v/>
      </c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>
        <f>IF(B694&lt;&gt;"OK","","SELECT bal_crear_balon(p_codigo_balon =&gt; "&amp;IF(TRIM(C694&amp;"")="","NULL","'"&amp;SUBSTITUTE(TRIM(C694),"'","''")&amp;"'")&amp;", p_id_tipo_balon =&gt; "&amp;"(SELECT id FROM bal_tipo_balon WHERE upper(nombre) = upper('"&amp;SUBSTITUTE(TRIM(D694),"'","''")&amp;"') AND estado = 1 LIMIT 1)"&amp;", p_id_producto_gas =&gt; "&amp;"(SELECT id FROM pro_producto WHERE es_gas = TRUE AND upper(nombre) = upper('"&amp;SUBSTITUTE(TRIM(E694),"'","''")&amp;"') AND estado = 1 LIMIT 1)"&amp;", p_id_propietario =&gt; "&amp;IF(TRIM(F694&amp;"")="","NULL","(SELECT lo.id FROM gen_lista_opciones lo JOIN gen_lista l ON l.id = lo.id_lista WHERE l.nombre = 'PropietarioBalon' AND upper(lo.nombre) = upper('"&amp;SUBSTITUTE(TRIM(F694),"'","''")&amp;"') AND lo.estado = 1 LIMIT 1)")&amp;", p_id_cliente_propietario =&gt; "&amp;IF(F694="CLIENTE",IF(TRIM(G694&amp;"")="","NULL","(SELECT id FROM cli_clientes WHERE numero_documento = '"&amp;SUBSTITUTE(TRIM(G694),"'","''")&amp;"' AND estado = 1 LIMIT 1)"),"NULL")&amp;", p_id_planta =&gt; "&amp;IF(F694="PLANTA",IF(TRIM(G694&amp;"")="","NULL","(SELECT id FROM cli_clientes WHERE numero_documento = '"&amp;SUBSTITUTE(TRIM(G694),"'","''")&amp;"'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"&amp;IF(TRIM(J694&amp;"")="","NULL","(SELECT id FROM gen_almacen WHERE upper(nombre) = upper('"&amp;SUBSTITUTE(TRIM(J694),"'","''")&amp;"') AND estado = 1 LIMIT 1)")&amp;", p_id_cliente_ubicacion =&gt; "&amp;IF(TRIM(K694&amp;"")="","NULL","(SELECT id FROM cli_clientes WHERE numero_documento = '"&amp;SUBSTITUTE(TRIM(K694),"'","''")&amp;"' AND estado = 1 LIMIT 1)")&amp;", p_id_referencia =&gt; "&amp;IF(TRIM(J694&amp;"")&lt;&gt;"","(SELECT lo.id FROM gen_lista_opciones lo JOIN gen_lista l ON l.id = lo.id_lista WHERE l.nombre = 'ReferenciaCilindro' AND upper(lo.nombre) = 'ALMACEN' AND lo.estado = 1 LIMIT 1)",IF(TRIM(K694&amp;"")&lt;&gt;"","(SELECT lo.id FROM gen_lista_opciones lo JOIN gen_lista l ON l.id = lo.id_lista WHERE l.nombre = 'ReferenciaCilindro' AND upper(lo.nombre) = 'CLIENTE' AND lo.estado = 1 LIMIT 1)","NULL"))&amp;", p_anio_fabricacion =&gt; "&amp;IF(M694&amp;""="","NULL::smallint",M694&amp;"::smallint")&amp;", p_mes_fabricacion =&gt; "&amp;IF(N694&amp;""="","NULL::smallint",N694&amp;"::smallint")&amp;", p_fecha_ultima_prueba_hidrostatica =&gt; "&amp;IF(O694&amp;""="","NULL","'"&amp;YEAR(O694)&amp;"-"&amp;TEXT(MONTH(O694),"00")&amp;"-"&amp;TEXT(DAY(O694),"00")&amp;"'")&amp;", p_numero_serie =&gt; "&amp;IF(TRIM(Q694&amp;"")="","NULL","'"&amp;SUBSTITUTE(TRIM(Q694),"'","''")&amp;"'")&amp;", p_id_marca_cilindro =&gt; "&amp;IF(TRIM(R694&amp;"")="","NULL","(SELECT lo.id FROM gen_lista_opciones lo JOIN gen_lista l ON l.id = lo.id_lista WHERE l.nombre = 'MarcaCilindro' AND upper(lo.nombre) = upper('"&amp;SUBSTITUTE(TRIM(R694),"'","''")&amp;"') AND lo.estado = 1 LIMIT 1)")&amp;", p_id_organo_inspector =&gt; "&amp;IF(TRIM(S694&amp;"")="","NULL","(SELECT lo.id FROM gen_lista_opciones lo JOIN gen_lista l ON l.id = lo.id_lista WHERE l.nombre = 'OrganoInspectorCilindro' AND upper(lo.nombre) = upper('"&amp;SUBSTITUTE(TRIM(S694),"'","''")&amp;"') AND lo.estado = 1 LIMIT 1)")&amp;", p_organo_inspector_no_aplica =&gt; "&amp;IF(S694="NO_APLICA","TRUE","FALSE")&amp;", p_presion_actual =&gt; "&amp;IF(T694&amp;""="","NULL",SUBSTITUTE(T694&amp;"",",","."))&amp;", p_tipo_valvula =&gt; "&amp;IF(TRIM(U694&amp;"")="","NULL","'"&amp;SUBSTITUTE(TRIM(U694),"'","''")&amp;"'")&amp;", p_libro_cilindro =&gt; "&amp;IF(TRIM(V694&amp;"")="","NULL","'"&amp;SUBSTITUTE(TRIM(V694),"'","''")&amp;"'")&amp;", p_pagina_libro =&gt; "&amp;IF(W694&amp;""="","NULL",SUBSTITUTE(W694&amp;"",",","."))&amp;", p_observacion =&gt; "&amp;IF(TRIM(X694&amp;"")="","NULL","'"&amp;SUBSTITUTE(TRIM(X694),"'","''")&amp;"'")&amp;") AS resultado_balon_"&amp;ROW()&amp;";")</f>
        <v/>
      </c>
    </row>
    <row r="695" ht="15.75" customHeight="1" s="64">
      <c r="A695" s="62" t="n"/>
      <c r="B695" s="1">
        <f>IF(AND(C695="",D695="",E695=""),"",IF(C695="","FALTA código balón",IF(D695="","FALTA tipo balón",IF(E695="","FALTA gas",IF(F695="","FALTA propietario",IF(AND(C695&lt;&gt;"",SUMPRODUCT(--($C$5:$C$1200=C695))&gt;1),"CÓDIGO BALÓN DUPLICADO",IF(AND(OR(UPPER(F695)="PLANTA",UPPER(F695)="CLIENTE"),G695=""),"FALTA doc propietario/planta",IF(AND(UPPER(F695)="PLANTA",G695="10175332796"),"PLANTA no puede ser RUC empresa","OK"))))))))</f>
        <v/>
      </c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25">
        <f t="array" ref="L695">IF(K695="","",IFERROR(IF(INDEX(Clientes!$D$5:$D$549,MATCH(K695,Clientes!$C$5:$C$549,0))&lt;&gt;"",INDEX(Clientes!$D$5:$D$549,MATCH(K695,Clientes!$C$5:$C$549,0)),TRIM(INDEX(Clientes!$E$5:$E$549,MATCH(K695,Clientes!$C$5:$C$549,0))&amp;" "&amp;INDEX(Clientes!$F$5:$F$549,MATCH(K695,Clientes!$C$5:$C$549,0)))),"NO EXISTE en Clientes"))</f>
        <v/>
      </c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>
        <f>IF(B695&lt;&gt;"OK","","SELECT bal_crear_balon(p_codigo_balon =&gt; "&amp;IF(TRIM(C695&amp;"")="","NULL","'"&amp;SUBSTITUTE(TRIM(C695),"'","''")&amp;"'")&amp;", p_id_tipo_balon =&gt; "&amp;"(SELECT id FROM bal_tipo_balon WHERE upper(nombre) = upper('"&amp;SUBSTITUTE(TRIM(D695),"'","''")&amp;"') AND estado = 1 LIMIT 1)"&amp;", p_id_producto_gas =&gt; "&amp;"(SELECT id FROM pro_producto WHERE es_gas = TRUE AND upper(nombre) = upper('"&amp;SUBSTITUTE(TRIM(E695),"'","''")&amp;"') AND estado = 1 LIMIT 1)"&amp;", p_id_propietario =&gt; "&amp;IF(TRIM(F695&amp;"")="","NULL","(SELECT lo.id FROM gen_lista_opciones lo JOIN gen_lista l ON l.id = lo.id_lista WHERE l.nombre = 'PropietarioBalon' AND upper(lo.nombre) = upper('"&amp;SUBSTITUTE(TRIM(F695),"'","''")&amp;"') AND lo.estado = 1 LIMIT 1)")&amp;", p_id_cliente_propietario =&gt; "&amp;IF(F695="CLIENTE",IF(TRIM(G695&amp;"")="","NULL","(SELECT id FROM cli_clientes WHERE numero_documento = '"&amp;SUBSTITUTE(TRIM(G695),"'","''")&amp;"' AND estado = 1 LIMIT 1)"),"NULL")&amp;", p_id_planta =&gt; "&amp;IF(F695="PLANTA",IF(TRIM(G695&amp;"")="","NULL","(SELECT id FROM cli_clientes WHERE numero_documento = '"&amp;SUBSTITUTE(TRIM(G695),"'","''")&amp;"'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"&amp;IF(TRIM(J695&amp;"")="","NULL","(SELECT id FROM gen_almacen WHERE upper(nombre) = upper('"&amp;SUBSTITUTE(TRIM(J695),"'","''")&amp;"') AND estado = 1 LIMIT 1)")&amp;", p_id_cliente_ubicacion =&gt; "&amp;IF(TRIM(K695&amp;"")="","NULL","(SELECT id FROM cli_clientes WHERE numero_documento = '"&amp;SUBSTITUTE(TRIM(K695),"'","''")&amp;"' AND estado = 1 LIMIT 1)")&amp;", p_id_referencia =&gt; "&amp;IF(TRIM(J695&amp;"")&lt;&gt;"","(SELECT lo.id FROM gen_lista_opciones lo JOIN gen_lista l ON l.id = lo.id_lista WHERE l.nombre = 'ReferenciaCilindro' AND upper(lo.nombre) = 'ALMACEN' AND lo.estado = 1 LIMIT 1)",IF(TRIM(K695&amp;"")&lt;&gt;"","(SELECT lo.id FROM gen_lista_opciones lo JOIN gen_lista l ON l.id = lo.id_lista WHERE l.nombre = 'ReferenciaCilindro' AND upper(lo.nombre) = 'CLIENTE' AND lo.estado = 1 LIMIT 1)","NULL"))&amp;", p_anio_fabricacion =&gt; "&amp;IF(M695&amp;""="","NULL::smallint",M695&amp;"::smallint")&amp;", p_mes_fabricacion =&gt; "&amp;IF(N695&amp;""="","NULL::smallint",N695&amp;"::smallint")&amp;", p_fecha_ultima_prueba_hidrostatica =&gt; "&amp;IF(O695&amp;""="","NULL","'"&amp;YEAR(O695)&amp;"-"&amp;TEXT(MONTH(O695),"00")&amp;"-"&amp;TEXT(DAY(O695),"00")&amp;"'")&amp;", p_numero_serie =&gt; "&amp;IF(TRIM(Q695&amp;"")="","NULL","'"&amp;SUBSTITUTE(TRIM(Q695),"'","''")&amp;"'")&amp;", p_id_marca_cilindro =&gt; "&amp;IF(TRIM(R695&amp;"")="","NULL","(SELECT lo.id FROM gen_lista_opciones lo JOIN gen_lista l ON l.id = lo.id_lista WHERE l.nombre = 'MarcaCilindro' AND upper(lo.nombre) = upper('"&amp;SUBSTITUTE(TRIM(R695),"'","''")&amp;"') AND lo.estado = 1 LIMIT 1)")&amp;", p_id_organo_inspector =&gt; "&amp;IF(TRIM(S695&amp;"")="","NULL","(SELECT lo.id FROM gen_lista_opciones lo JOIN gen_lista l ON l.id = lo.id_lista WHERE l.nombre = 'OrganoInspectorCilindro' AND upper(lo.nombre) = upper('"&amp;SUBSTITUTE(TRIM(S695),"'","''")&amp;"') AND lo.estado = 1 LIMIT 1)")&amp;", p_organo_inspector_no_aplica =&gt; "&amp;IF(S695="NO_APLICA","TRUE","FALSE")&amp;", p_presion_actual =&gt; "&amp;IF(T695&amp;""="","NULL",SUBSTITUTE(T695&amp;"",",","."))&amp;", p_tipo_valvula =&gt; "&amp;IF(TRIM(U695&amp;"")="","NULL","'"&amp;SUBSTITUTE(TRIM(U695),"'","''")&amp;"'")&amp;", p_libro_cilindro =&gt; "&amp;IF(TRIM(V695&amp;"")="","NULL","'"&amp;SUBSTITUTE(TRIM(V695),"'","''")&amp;"'")&amp;", p_pagina_libro =&gt; "&amp;IF(W695&amp;""="","NULL",SUBSTITUTE(W695&amp;"",",","."))&amp;", p_observacion =&gt; "&amp;IF(TRIM(X695&amp;"")="","NULL","'"&amp;SUBSTITUTE(TRIM(X695),"'","''")&amp;"'")&amp;") AS resultado_balon_"&amp;ROW()&amp;";")</f>
        <v/>
      </c>
    </row>
    <row r="696" ht="15.75" customHeight="1" s="64">
      <c r="A696" s="62" t="n"/>
      <c r="B696" s="1">
        <f>IF(AND(C696="",D696="",E696=""),"",IF(C696="","FALTA código balón",IF(D696="","FALTA tipo balón",IF(E696="","FALTA gas",IF(F696="","FALTA propietario",IF(AND(C696&lt;&gt;"",SUMPRODUCT(--($C$5:$C$1200=C696))&gt;1),"CÓDIGO BALÓN DUPLICADO",IF(AND(OR(UPPER(F696)="PLANTA",UPPER(F696)="CLIENTE"),G696=""),"FALTA doc propietario/planta",IF(AND(UPPER(F696)="PLANTA",G696="10175332796"),"PLANTA no puede ser RUC empresa","OK"))))))))</f>
        <v/>
      </c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25">
        <f t="array" ref="L696">IF(K696="","",IFERROR(IF(INDEX(Clientes!$D$5:$D$549,MATCH(K696,Clientes!$C$5:$C$549,0))&lt;&gt;"",INDEX(Clientes!$D$5:$D$549,MATCH(K696,Clientes!$C$5:$C$549,0)),TRIM(INDEX(Clientes!$E$5:$E$549,MATCH(K696,Clientes!$C$5:$C$549,0))&amp;" "&amp;INDEX(Clientes!$F$5:$F$549,MATCH(K696,Clientes!$C$5:$C$549,0)))),"NO EXISTE en Clientes"))</f>
        <v/>
      </c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>
        <f>IF(B696&lt;&gt;"OK","","SELECT bal_crear_balon(p_codigo_balon =&gt; "&amp;IF(TRIM(C696&amp;"")="","NULL","'"&amp;SUBSTITUTE(TRIM(C696),"'","''")&amp;"'")&amp;", p_id_tipo_balon =&gt; "&amp;"(SELECT id FROM bal_tipo_balon WHERE upper(nombre) = upper('"&amp;SUBSTITUTE(TRIM(D696),"'","''")&amp;"') AND estado = 1 LIMIT 1)"&amp;", p_id_producto_gas =&gt; "&amp;"(SELECT id FROM pro_producto WHERE es_gas = TRUE AND upper(nombre) = upper('"&amp;SUBSTITUTE(TRIM(E696),"'","''")&amp;"') AND estado = 1 LIMIT 1)"&amp;", p_id_propietario =&gt; "&amp;IF(TRIM(F696&amp;"")="","NULL","(SELECT lo.id FROM gen_lista_opciones lo JOIN gen_lista l ON l.id = lo.id_lista WHERE l.nombre = 'PropietarioBalon' AND upper(lo.nombre) = upper('"&amp;SUBSTITUTE(TRIM(F696),"'","''")&amp;"') AND lo.estado = 1 LIMIT 1)")&amp;", p_id_cliente_propietario =&gt; "&amp;IF(F696="CLIENTE",IF(TRIM(G696&amp;"")="","NULL","(SELECT id FROM cli_clientes WHERE numero_documento = '"&amp;SUBSTITUTE(TRIM(G696),"'","''")&amp;"' AND estado = 1 LIMIT 1)"),"NULL")&amp;", p_id_planta =&gt; "&amp;IF(F696="PLANTA",IF(TRIM(G696&amp;"")="","NULL","(SELECT id FROM cli_clientes WHERE numero_documento = '"&amp;SUBSTITUTE(TRIM(G696),"'","''")&amp;"'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"&amp;IF(TRIM(J696&amp;"")="","NULL","(SELECT id FROM gen_almacen WHERE upper(nombre) = upper('"&amp;SUBSTITUTE(TRIM(J696),"'","''")&amp;"') AND estado = 1 LIMIT 1)")&amp;", p_id_cliente_ubicacion =&gt; "&amp;IF(TRIM(K696&amp;"")="","NULL","(SELECT id FROM cli_clientes WHERE numero_documento = '"&amp;SUBSTITUTE(TRIM(K696),"'","''")&amp;"' AND estado = 1 LIMIT 1)")&amp;", p_id_referencia =&gt; "&amp;IF(TRIM(J696&amp;"")&lt;&gt;"","(SELECT lo.id FROM gen_lista_opciones lo JOIN gen_lista l ON l.id = lo.id_lista WHERE l.nombre = 'ReferenciaCilindro' AND upper(lo.nombre) = 'ALMACEN' AND lo.estado = 1 LIMIT 1)",IF(TRIM(K696&amp;"")&lt;&gt;"","(SELECT lo.id FROM gen_lista_opciones lo JOIN gen_lista l ON l.id = lo.id_lista WHERE l.nombre = 'ReferenciaCilindro' AND upper(lo.nombre) = 'CLIENTE' AND lo.estado = 1 LIMIT 1)","NULL"))&amp;", p_anio_fabricacion =&gt; "&amp;IF(M696&amp;""="","NULL::smallint",M696&amp;"::smallint")&amp;", p_mes_fabricacion =&gt; "&amp;IF(N696&amp;""="","NULL::smallint",N696&amp;"::smallint")&amp;", p_fecha_ultima_prueba_hidrostatica =&gt; "&amp;IF(O696&amp;""="","NULL","'"&amp;YEAR(O696)&amp;"-"&amp;TEXT(MONTH(O696),"00")&amp;"-"&amp;TEXT(DAY(O696),"00")&amp;"'")&amp;", p_numero_serie =&gt; "&amp;IF(TRIM(Q696&amp;"")="","NULL","'"&amp;SUBSTITUTE(TRIM(Q696),"'","''")&amp;"'")&amp;", p_id_marca_cilindro =&gt; "&amp;IF(TRIM(R696&amp;"")="","NULL","(SELECT lo.id FROM gen_lista_opciones lo JOIN gen_lista l ON l.id = lo.id_lista WHERE l.nombre = 'MarcaCilindro' AND upper(lo.nombre) = upper('"&amp;SUBSTITUTE(TRIM(R696),"'","''")&amp;"') AND lo.estado = 1 LIMIT 1)")&amp;", p_id_organo_inspector =&gt; "&amp;IF(TRIM(S696&amp;"")="","NULL","(SELECT lo.id FROM gen_lista_opciones lo JOIN gen_lista l ON l.id = lo.id_lista WHERE l.nombre = 'OrganoInspectorCilindro' AND upper(lo.nombre) = upper('"&amp;SUBSTITUTE(TRIM(S696),"'","''")&amp;"') AND lo.estado = 1 LIMIT 1)")&amp;", p_organo_inspector_no_aplica =&gt; "&amp;IF(S696="NO_APLICA","TRUE","FALSE")&amp;", p_presion_actual =&gt; "&amp;IF(T696&amp;""="","NULL",SUBSTITUTE(T696&amp;"",",","."))&amp;", p_tipo_valvula =&gt; "&amp;IF(TRIM(U696&amp;"")="","NULL","'"&amp;SUBSTITUTE(TRIM(U696),"'","''")&amp;"'")&amp;", p_libro_cilindro =&gt; "&amp;IF(TRIM(V696&amp;"")="","NULL","'"&amp;SUBSTITUTE(TRIM(V696),"'","''")&amp;"'")&amp;", p_pagina_libro =&gt; "&amp;IF(W696&amp;""="","NULL",SUBSTITUTE(W696&amp;"",",","."))&amp;", p_observacion =&gt; "&amp;IF(TRIM(X696&amp;"")="","NULL","'"&amp;SUBSTITUTE(TRIM(X696),"'","''")&amp;"'")&amp;") AS resultado_balon_"&amp;ROW()&amp;";")</f>
        <v/>
      </c>
    </row>
    <row r="697" ht="15.75" customHeight="1" s="64">
      <c r="A697" s="62" t="n"/>
      <c r="B697" s="1">
        <f>IF(AND(C697="",D697="",E697=""),"",IF(C697="","FALTA código balón",IF(D697="","FALTA tipo balón",IF(E697="","FALTA gas",IF(F697="","FALTA propietario",IF(AND(C697&lt;&gt;"",SUMPRODUCT(--($C$5:$C$1200=C697))&gt;1),"CÓDIGO BALÓN DUPLICADO",IF(AND(OR(UPPER(F697)="PLANTA",UPPER(F697)="CLIENTE"),G697=""),"FALTA doc propietario/planta",IF(AND(UPPER(F697)="PLANTA",G697="10175332796"),"PLANTA no puede ser RUC empresa","OK"))))))))</f>
        <v/>
      </c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25">
        <f t="array" ref="L697">IF(K697="","",IFERROR(IF(INDEX(Clientes!$D$5:$D$549,MATCH(K697,Clientes!$C$5:$C$549,0))&lt;&gt;"",INDEX(Clientes!$D$5:$D$549,MATCH(K697,Clientes!$C$5:$C$549,0)),TRIM(INDEX(Clientes!$E$5:$E$549,MATCH(K697,Clientes!$C$5:$C$549,0))&amp;" "&amp;INDEX(Clientes!$F$5:$F$549,MATCH(K697,Clientes!$C$5:$C$549,0)))),"NO EXISTE en Clientes"))</f>
        <v/>
      </c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>
        <f>IF(B697&lt;&gt;"OK","","SELECT bal_crear_balon(p_codigo_balon =&gt; "&amp;IF(TRIM(C697&amp;"")="","NULL","'"&amp;SUBSTITUTE(TRIM(C697),"'","''")&amp;"'")&amp;", p_id_tipo_balon =&gt; "&amp;"(SELECT id FROM bal_tipo_balon WHERE upper(nombre) = upper('"&amp;SUBSTITUTE(TRIM(D697),"'","''")&amp;"') AND estado = 1 LIMIT 1)"&amp;", p_id_producto_gas =&gt; "&amp;"(SELECT id FROM pro_producto WHERE es_gas = TRUE AND upper(nombre) = upper('"&amp;SUBSTITUTE(TRIM(E697),"'","''")&amp;"') AND estado = 1 LIMIT 1)"&amp;", p_id_propietario =&gt; "&amp;IF(TRIM(F697&amp;"")="","NULL","(SELECT lo.id FROM gen_lista_opciones lo JOIN gen_lista l ON l.id = lo.id_lista WHERE l.nombre = 'PropietarioBalon' AND upper(lo.nombre) = upper('"&amp;SUBSTITUTE(TRIM(F697),"'","''")&amp;"') AND lo.estado = 1 LIMIT 1)")&amp;", p_id_cliente_propietario =&gt; "&amp;IF(F697="CLIENTE",IF(TRIM(G697&amp;"")="","NULL","(SELECT id FROM cli_clientes WHERE numero_documento = '"&amp;SUBSTITUTE(TRIM(G697),"'","''")&amp;"' AND estado = 1 LIMIT 1)"),"NULL")&amp;", p_id_planta =&gt; "&amp;IF(F697="PLANTA",IF(TRIM(G697&amp;"")="","NULL","(SELECT id FROM cli_clientes WHERE numero_documento = '"&amp;SUBSTITUTE(TRIM(G697),"'","''")&amp;"'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"&amp;IF(TRIM(J697&amp;"")="","NULL","(SELECT id FROM gen_almacen WHERE upper(nombre) = upper('"&amp;SUBSTITUTE(TRIM(J697),"'","''")&amp;"') AND estado = 1 LIMIT 1)")&amp;", p_id_cliente_ubicacion =&gt; "&amp;IF(TRIM(K697&amp;"")="","NULL","(SELECT id FROM cli_clientes WHERE numero_documento = '"&amp;SUBSTITUTE(TRIM(K697),"'","''")&amp;"' AND estado = 1 LIMIT 1)")&amp;", p_id_referencia =&gt; "&amp;IF(TRIM(J697&amp;"")&lt;&gt;"","(SELECT lo.id FROM gen_lista_opciones lo JOIN gen_lista l ON l.id = lo.id_lista WHERE l.nombre = 'ReferenciaCilindro' AND upper(lo.nombre) = 'ALMACEN' AND lo.estado = 1 LIMIT 1)",IF(TRIM(K697&amp;"")&lt;&gt;"","(SELECT lo.id FROM gen_lista_opciones lo JOIN gen_lista l ON l.id = lo.id_lista WHERE l.nombre = 'ReferenciaCilindro' AND upper(lo.nombre) = 'CLIENTE' AND lo.estado = 1 LIMIT 1)","NULL"))&amp;", p_anio_fabricacion =&gt; "&amp;IF(M697&amp;""="","NULL::smallint",M697&amp;"::smallint")&amp;", p_mes_fabricacion =&gt; "&amp;IF(N697&amp;""="","NULL::smallint",N697&amp;"::smallint")&amp;", p_fecha_ultima_prueba_hidrostatica =&gt; "&amp;IF(O697&amp;""="","NULL","'"&amp;YEAR(O697)&amp;"-"&amp;TEXT(MONTH(O697),"00")&amp;"-"&amp;TEXT(DAY(O697),"00")&amp;"'")&amp;", p_numero_serie =&gt; "&amp;IF(TRIM(Q697&amp;"")="","NULL","'"&amp;SUBSTITUTE(TRIM(Q697),"'","''")&amp;"'")&amp;", p_id_marca_cilindro =&gt; "&amp;IF(TRIM(R697&amp;"")="","NULL","(SELECT lo.id FROM gen_lista_opciones lo JOIN gen_lista l ON l.id = lo.id_lista WHERE l.nombre = 'MarcaCilindro' AND upper(lo.nombre) = upper('"&amp;SUBSTITUTE(TRIM(R697),"'","''")&amp;"') AND lo.estado = 1 LIMIT 1)")&amp;", p_id_organo_inspector =&gt; "&amp;IF(TRIM(S697&amp;"")="","NULL","(SELECT lo.id FROM gen_lista_opciones lo JOIN gen_lista l ON l.id = lo.id_lista WHERE l.nombre = 'OrganoInspectorCilindro' AND upper(lo.nombre) = upper('"&amp;SUBSTITUTE(TRIM(S697),"'","''")&amp;"') AND lo.estado = 1 LIMIT 1)")&amp;", p_organo_inspector_no_aplica =&gt; "&amp;IF(S697="NO_APLICA","TRUE","FALSE")&amp;", p_presion_actual =&gt; "&amp;IF(T697&amp;""="","NULL",SUBSTITUTE(T697&amp;"",",","."))&amp;", p_tipo_valvula =&gt; "&amp;IF(TRIM(U697&amp;"")="","NULL","'"&amp;SUBSTITUTE(TRIM(U697),"'","''")&amp;"'")&amp;", p_libro_cilindro =&gt; "&amp;IF(TRIM(V697&amp;"")="","NULL","'"&amp;SUBSTITUTE(TRIM(V697),"'","''")&amp;"'")&amp;", p_pagina_libro =&gt; "&amp;IF(W697&amp;""="","NULL",SUBSTITUTE(W697&amp;"",",","."))&amp;", p_observacion =&gt; "&amp;IF(TRIM(X697&amp;"")="","NULL","'"&amp;SUBSTITUTE(TRIM(X697),"'","''")&amp;"'")&amp;") AS resultado_balon_"&amp;ROW()&amp;";")</f>
        <v/>
      </c>
    </row>
    <row r="698" ht="15.75" customHeight="1" s="64">
      <c r="A698" s="62" t="n"/>
      <c r="B698" s="1">
        <f>IF(AND(C698="",D698="",E698=""),"",IF(C698="","FALTA código balón",IF(D698="","FALTA tipo balón",IF(E698="","FALTA gas",IF(F698="","FALTA propietario",IF(AND(C698&lt;&gt;"",SUMPRODUCT(--($C$5:$C$1200=C698))&gt;1),"CÓDIGO BALÓN DUPLICADO",IF(AND(OR(UPPER(F698)="PLANTA",UPPER(F698)="CLIENTE"),G698=""),"FALTA doc propietario/planta",IF(AND(UPPER(F698)="PLANTA",G698="10175332796"),"PLANTA no puede ser RUC empresa","OK"))))))))</f>
        <v/>
      </c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25">
        <f t="array" ref="L698">IF(K698="","",IFERROR(IF(INDEX(Clientes!$D$5:$D$549,MATCH(K698,Clientes!$C$5:$C$549,0))&lt;&gt;"",INDEX(Clientes!$D$5:$D$549,MATCH(K698,Clientes!$C$5:$C$549,0)),TRIM(INDEX(Clientes!$E$5:$E$549,MATCH(K698,Clientes!$C$5:$C$549,0))&amp;" "&amp;INDEX(Clientes!$F$5:$F$549,MATCH(K698,Clientes!$C$5:$C$549,0)))),"NO EXISTE en Clientes"))</f>
        <v/>
      </c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>
        <f>IF(B698&lt;&gt;"OK","","SELECT bal_crear_balon(p_codigo_balon =&gt; "&amp;IF(TRIM(C698&amp;"")="","NULL","'"&amp;SUBSTITUTE(TRIM(C698),"'","''")&amp;"'")&amp;", p_id_tipo_balon =&gt; "&amp;"(SELECT id FROM bal_tipo_balon WHERE upper(nombre) = upper('"&amp;SUBSTITUTE(TRIM(D698),"'","''")&amp;"') AND estado = 1 LIMIT 1)"&amp;", p_id_producto_gas =&gt; "&amp;"(SELECT id FROM pro_producto WHERE es_gas = TRUE AND upper(nombre) = upper('"&amp;SUBSTITUTE(TRIM(E698),"'","''")&amp;"') AND estado = 1 LIMIT 1)"&amp;", p_id_propietario =&gt; "&amp;IF(TRIM(F698&amp;"")="","NULL","(SELECT lo.id FROM gen_lista_opciones lo JOIN gen_lista l ON l.id = lo.id_lista WHERE l.nombre = 'PropietarioBalon' AND upper(lo.nombre) = upper('"&amp;SUBSTITUTE(TRIM(F698),"'","''")&amp;"') AND lo.estado = 1 LIMIT 1)")&amp;", p_id_cliente_propietario =&gt; "&amp;IF(F698="CLIENTE",IF(TRIM(G698&amp;"")="","NULL","(SELECT id FROM cli_clientes WHERE numero_documento = '"&amp;SUBSTITUTE(TRIM(G698),"'","''")&amp;"' AND estado = 1 LIMIT 1)"),"NULL")&amp;", p_id_planta =&gt; "&amp;IF(F698="PLANTA",IF(TRIM(G698&amp;"")="","NULL","(SELECT id FROM cli_clientes WHERE numero_documento = '"&amp;SUBSTITUTE(TRIM(G698),"'","''")&amp;"'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"&amp;IF(TRIM(J698&amp;"")="","NULL","(SELECT id FROM gen_almacen WHERE upper(nombre) = upper('"&amp;SUBSTITUTE(TRIM(J698),"'","''")&amp;"') AND estado = 1 LIMIT 1)")&amp;", p_id_cliente_ubicacion =&gt; "&amp;IF(TRIM(K698&amp;"")="","NULL","(SELECT id FROM cli_clientes WHERE numero_documento = '"&amp;SUBSTITUTE(TRIM(K698),"'","''")&amp;"' AND estado = 1 LIMIT 1)")&amp;", p_id_referencia =&gt; "&amp;IF(TRIM(J698&amp;"")&lt;&gt;"","(SELECT lo.id FROM gen_lista_opciones lo JOIN gen_lista l ON l.id = lo.id_lista WHERE l.nombre = 'ReferenciaCilindro' AND upper(lo.nombre) = 'ALMACEN' AND lo.estado = 1 LIMIT 1)",IF(TRIM(K698&amp;"")&lt;&gt;"","(SELECT lo.id FROM gen_lista_opciones lo JOIN gen_lista l ON l.id = lo.id_lista WHERE l.nombre = 'ReferenciaCilindro' AND upper(lo.nombre) = 'CLIENTE' AND lo.estado = 1 LIMIT 1)","NULL"))&amp;", p_anio_fabricacion =&gt; "&amp;IF(M698&amp;""="","NULL::smallint",M698&amp;"::smallint")&amp;", p_mes_fabricacion =&gt; "&amp;IF(N698&amp;""="","NULL::smallint",N698&amp;"::smallint")&amp;", p_fecha_ultima_prueba_hidrostatica =&gt; "&amp;IF(O698&amp;""="","NULL","'"&amp;YEAR(O698)&amp;"-"&amp;TEXT(MONTH(O698),"00")&amp;"-"&amp;TEXT(DAY(O698),"00")&amp;"'")&amp;", p_numero_serie =&gt; "&amp;IF(TRIM(Q698&amp;"")="","NULL","'"&amp;SUBSTITUTE(TRIM(Q698),"'","''")&amp;"'")&amp;", p_id_marca_cilindro =&gt; "&amp;IF(TRIM(R698&amp;"")="","NULL","(SELECT lo.id FROM gen_lista_opciones lo JOIN gen_lista l ON l.id = lo.id_lista WHERE l.nombre = 'MarcaCilindro' AND upper(lo.nombre) = upper('"&amp;SUBSTITUTE(TRIM(R698),"'","''")&amp;"') AND lo.estado = 1 LIMIT 1)")&amp;", p_id_organo_inspector =&gt; "&amp;IF(TRIM(S698&amp;"")="","NULL","(SELECT lo.id FROM gen_lista_opciones lo JOIN gen_lista l ON l.id = lo.id_lista WHERE l.nombre = 'OrganoInspectorCilindro' AND upper(lo.nombre) = upper('"&amp;SUBSTITUTE(TRIM(S698),"'","''")&amp;"') AND lo.estado = 1 LIMIT 1)")&amp;", p_organo_inspector_no_aplica =&gt; "&amp;IF(S698="NO_APLICA","TRUE","FALSE")&amp;", p_presion_actual =&gt; "&amp;IF(T698&amp;""="","NULL",SUBSTITUTE(T698&amp;"",",","."))&amp;", p_tipo_valvula =&gt; "&amp;IF(TRIM(U698&amp;"")="","NULL","'"&amp;SUBSTITUTE(TRIM(U698),"'","''")&amp;"'")&amp;", p_libro_cilindro =&gt; "&amp;IF(TRIM(V698&amp;"")="","NULL","'"&amp;SUBSTITUTE(TRIM(V698),"'","''")&amp;"'")&amp;", p_pagina_libro =&gt; "&amp;IF(W698&amp;""="","NULL",SUBSTITUTE(W698&amp;"",",","."))&amp;", p_observacion =&gt; "&amp;IF(TRIM(X698&amp;"")="","NULL","'"&amp;SUBSTITUTE(TRIM(X698),"'","''")&amp;"'")&amp;") AS resultado_balon_"&amp;ROW()&amp;";")</f>
        <v/>
      </c>
    </row>
    <row r="699" ht="15.75" customHeight="1" s="64">
      <c r="A699" s="62" t="n"/>
      <c r="B699" s="1">
        <f>IF(AND(C699="",D699="",E699=""),"",IF(C699="","FALTA código balón",IF(D699="","FALTA tipo balón",IF(E699="","FALTA gas",IF(F699="","FALTA propietario",IF(AND(C699&lt;&gt;"",SUMPRODUCT(--($C$5:$C$1200=C699))&gt;1),"CÓDIGO BALÓN DUPLICADO",IF(AND(OR(UPPER(F699)="PLANTA",UPPER(F699)="CLIENTE"),G699=""),"FALTA doc propietario/planta",IF(AND(UPPER(F699)="PLANTA",G699="10175332796"),"PLANTA no puede ser RUC empresa","OK"))))))))</f>
        <v/>
      </c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25">
        <f t="array" ref="L699">IF(K699="","",IFERROR(IF(INDEX(Clientes!$D$5:$D$549,MATCH(K699,Clientes!$C$5:$C$549,0))&lt;&gt;"",INDEX(Clientes!$D$5:$D$549,MATCH(K699,Clientes!$C$5:$C$549,0)),TRIM(INDEX(Clientes!$E$5:$E$549,MATCH(K699,Clientes!$C$5:$C$549,0))&amp;" "&amp;INDEX(Clientes!$F$5:$F$549,MATCH(K699,Clientes!$C$5:$C$549,0)))),"NO EXISTE en Clientes"))</f>
        <v/>
      </c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>
        <f>IF(B699&lt;&gt;"OK","","SELECT bal_crear_balon(p_codigo_balon =&gt; "&amp;IF(TRIM(C699&amp;"")="","NULL","'"&amp;SUBSTITUTE(TRIM(C699),"'","''")&amp;"'")&amp;", p_id_tipo_balon =&gt; "&amp;"(SELECT id FROM bal_tipo_balon WHERE upper(nombre) = upper('"&amp;SUBSTITUTE(TRIM(D699),"'","''")&amp;"') AND estado = 1 LIMIT 1)"&amp;", p_id_producto_gas =&gt; "&amp;"(SELECT id FROM pro_producto WHERE es_gas = TRUE AND upper(nombre) = upper('"&amp;SUBSTITUTE(TRIM(E699),"'","''")&amp;"') AND estado = 1 LIMIT 1)"&amp;", p_id_propietario =&gt; "&amp;IF(TRIM(F699&amp;"")="","NULL","(SELECT lo.id FROM gen_lista_opciones lo JOIN gen_lista l ON l.id = lo.id_lista WHERE l.nombre = 'PropietarioBalon' AND upper(lo.nombre) = upper('"&amp;SUBSTITUTE(TRIM(F699),"'","''")&amp;"') AND lo.estado = 1 LIMIT 1)")&amp;", p_id_cliente_propietario =&gt; "&amp;IF(F699="CLIENTE",IF(TRIM(G699&amp;"")="","NULL","(SELECT id FROM cli_clientes WHERE numero_documento = '"&amp;SUBSTITUTE(TRIM(G699),"'","''")&amp;"' AND estado = 1 LIMIT 1)"),"NULL")&amp;", p_id_planta =&gt; "&amp;IF(F699="PLANTA",IF(TRIM(G699&amp;"")="","NULL","(SELECT id FROM cli_clientes WHERE numero_documento = '"&amp;SUBSTITUTE(TRIM(G699),"'","''")&amp;"'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"&amp;IF(TRIM(J699&amp;"")="","NULL","(SELECT id FROM gen_almacen WHERE upper(nombre) = upper('"&amp;SUBSTITUTE(TRIM(J699),"'","''")&amp;"') AND estado = 1 LIMIT 1)")&amp;", p_id_cliente_ubicacion =&gt; "&amp;IF(TRIM(K699&amp;"")="","NULL","(SELECT id FROM cli_clientes WHERE numero_documento = '"&amp;SUBSTITUTE(TRIM(K699),"'","''")&amp;"' AND estado = 1 LIMIT 1)")&amp;", p_id_referencia =&gt; "&amp;IF(TRIM(J699&amp;"")&lt;&gt;"","(SELECT lo.id FROM gen_lista_opciones lo JOIN gen_lista l ON l.id = lo.id_lista WHERE l.nombre = 'ReferenciaCilindro' AND upper(lo.nombre) = 'ALMACEN' AND lo.estado = 1 LIMIT 1)",IF(TRIM(K699&amp;"")&lt;&gt;"","(SELECT lo.id FROM gen_lista_opciones lo JOIN gen_lista l ON l.id = lo.id_lista WHERE l.nombre = 'ReferenciaCilindro' AND upper(lo.nombre) = 'CLIENTE' AND lo.estado = 1 LIMIT 1)","NULL"))&amp;", p_anio_fabricacion =&gt; "&amp;IF(M699&amp;""="","NULL::smallint",M699&amp;"::smallint")&amp;", p_mes_fabricacion =&gt; "&amp;IF(N699&amp;""="","NULL::smallint",N699&amp;"::smallint")&amp;", p_fecha_ultima_prueba_hidrostatica =&gt; "&amp;IF(O699&amp;""="","NULL","'"&amp;YEAR(O699)&amp;"-"&amp;TEXT(MONTH(O699),"00")&amp;"-"&amp;TEXT(DAY(O699),"00")&amp;"'")&amp;", p_numero_serie =&gt; "&amp;IF(TRIM(Q699&amp;"")="","NULL","'"&amp;SUBSTITUTE(TRIM(Q699),"'","''")&amp;"'")&amp;", p_id_marca_cilindro =&gt; "&amp;IF(TRIM(R699&amp;"")="","NULL","(SELECT lo.id FROM gen_lista_opciones lo JOIN gen_lista l ON l.id = lo.id_lista WHERE l.nombre = 'MarcaCilindro' AND upper(lo.nombre) = upper('"&amp;SUBSTITUTE(TRIM(R699),"'","''")&amp;"') AND lo.estado = 1 LIMIT 1)")&amp;", p_id_organo_inspector =&gt; "&amp;IF(TRIM(S699&amp;"")="","NULL","(SELECT lo.id FROM gen_lista_opciones lo JOIN gen_lista l ON l.id = lo.id_lista WHERE l.nombre = 'OrganoInspectorCilindro' AND upper(lo.nombre) = upper('"&amp;SUBSTITUTE(TRIM(S699),"'","''")&amp;"') AND lo.estado = 1 LIMIT 1)")&amp;", p_organo_inspector_no_aplica =&gt; "&amp;IF(S699="NO_APLICA","TRUE","FALSE")&amp;", p_presion_actual =&gt; "&amp;IF(T699&amp;""="","NULL",SUBSTITUTE(T699&amp;"",",","."))&amp;", p_tipo_valvula =&gt; "&amp;IF(TRIM(U699&amp;"")="","NULL","'"&amp;SUBSTITUTE(TRIM(U699),"'","''")&amp;"'")&amp;", p_libro_cilindro =&gt; "&amp;IF(TRIM(V699&amp;"")="","NULL","'"&amp;SUBSTITUTE(TRIM(V699),"'","''")&amp;"'")&amp;", p_pagina_libro =&gt; "&amp;IF(W699&amp;""="","NULL",SUBSTITUTE(W699&amp;"",",","."))&amp;", p_observacion =&gt; "&amp;IF(TRIM(X699&amp;"")="","NULL","'"&amp;SUBSTITUTE(TRIM(X699),"'","''")&amp;"'")&amp;") AS resultado_balon_"&amp;ROW()&amp;";")</f>
        <v/>
      </c>
    </row>
    <row r="700" ht="15.75" customHeight="1" s="64">
      <c r="A700" s="62" t="n"/>
      <c r="B700" s="1">
        <f>IF(AND(C700="",D700="",E700=""),"",IF(C700="","FALTA código balón",IF(D700="","FALTA tipo balón",IF(E700="","FALTA gas",IF(F700="","FALTA propietario",IF(AND(C700&lt;&gt;"",SUMPRODUCT(--($C$5:$C$1200=C700))&gt;1),"CÓDIGO BALÓN DUPLICADO",IF(AND(OR(UPPER(F700)="PLANTA",UPPER(F700)="CLIENTE"),G700=""),"FALTA doc propietario/planta",IF(AND(UPPER(F700)="PLANTA",G700="10175332796"),"PLANTA no puede ser RUC empresa","OK"))))))))</f>
        <v/>
      </c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25">
        <f t="array" ref="L700">IF(K700="","",IFERROR(IF(INDEX(Clientes!$D$5:$D$549,MATCH(K700,Clientes!$C$5:$C$549,0))&lt;&gt;"",INDEX(Clientes!$D$5:$D$549,MATCH(K700,Clientes!$C$5:$C$549,0)),TRIM(INDEX(Clientes!$E$5:$E$549,MATCH(K700,Clientes!$C$5:$C$549,0))&amp;" "&amp;INDEX(Clientes!$F$5:$F$549,MATCH(K700,Clientes!$C$5:$C$549,0)))),"NO EXISTE en Clientes"))</f>
        <v/>
      </c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>
        <f>IF(B700&lt;&gt;"OK","","SELECT bal_crear_balon(p_codigo_balon =&gt; "&amp;IF(TRIM(C700&amp;"")="","NULL","'"&amp;SUBSTITUTE(TRIM(C700),"'","''")&amp;"'")&amp;", p_id_tipo_balon =&gt; "&amp;"(SELECT id FROM bal_tipo_balon WHERE upper(nombre) = upper('"&amp;SUBSTITUTE(TRIM(D700),"'","''")&amp;"') AND estado = 1 LIMIT 1)"&amp;", p_id_producto_gas =&gt; "&amp;"(SELECT id FROM pro_producto WHERE es_gas = TRUE AND upper(nombre) = upper('"&amp;SUBSTITUTE(TRIM(E700),"'","''")&amp;"') AND estado = 1 LIMIT 1)"&amp;", p_id_propietario =&gt; "&amp;IF(TRIM(F700&amp;"")="","NULL","(SELECT lo.id FROM gen_lista_opciones lo JOIN gen_lista l ON l.id = lo.id_lista WHERE l.nombre = 'PropietarioBalon' AND upper(lo.nombre) = upper('"&amp;SUBSTITUTE(TRIM(F700),"'","''")&amp;"') AND lo.estado = 1 LIMIT 1)")&amp;", p_id_cliente_propietario =&gt; "&amp;IF(F700="CLIENTE",IF(TRIM(G700&amp;"")="","NULL","(SELECT id FROM cli_clientes WHERE numero_documento = '"&amp;SUBSTITUTE(TRIM(G700),"'","''")&amp;"' AND estado = 1 LIMIT 1)"),"NULL")&amp;", p_id_planta =&gt; "&amp;IF(F700="PLANTA",IF(TRIM(G700&amp;"")="","NULL","(SELECT id FROM cli_clientes WHERE numero_documento = '"&amp;SUBSTITUTE(TRIM(G700),"'","''")&amp;"'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"&amp;IF(TRIM(J700&amp;"")="","NULL","(SELECT id FROM gen_almacen WHERE upper(nombre) = upper('"&amp;SUBSTITUTE(TRIM(J700),"'","''")&amp;"') AND estado = 1 LIMIT 1)")&amp;", p_id_cliente_ubicacion =&gt; "&amp;IF(TRIM(K700&amp;"")="","NULL","(SELECT id FROM cli_clientes WHERE numero_documento = '"&amp;SUBSTITUTE(TRIM(K700),"'","''")&amp;"' AND estado = 1 LIMIT 1)")&amp;", p_id_referencia =&gt; "&amp;IF(TRIM(J700&amp;"")&lt;&gt;"","(SELECT lo.id FROM gen_lista_opciones lo JOIN gen_lista l ON l.id = lo.id_lista WHERE l.nombre = 'ReferenciaCilindro' AND upper(lo.nombre) = 'ALMACEN' AND lo.estado = 1 LIMIT 1)",IF(TRIM(K700&amp;"")&lt;&gt;"","(SELECT lo.id FROM gen_lista_opciones lo JOIN gen_lista l ON l.id = lo.id_lista WHERE l.nombre = 'ReferenciaCilindro' AND upper(lo.nombre) = 'CLIENTE' AND lo.estado = 1 LIMIT 1)","NULL"))&amp;", p_anio_fabricacion =&gt; "&amp;IF(M700&amp;""="","NULL::smallint",M700&amp;"::smallint")&amp;", p_mes_fabricacion =&gt; "&amp;IF(N700&amp;""="","NULL::smallint",N700&amp;"::smallint")&amp;", p_fecha_ultima_prueba_hidrostatica =&gt; "&amp;IF(O700&amp;""="","NULL","'"&amp;YEAR(O700)&amp;"-"&amp;TEXT(MONTH(O700),"00")&amp;"-"&amp;TEXT(DAY(O700),"00")&amp;"'")&amp;", p_numero_serie =&gt; "&amp;IF(TRIM(Q700&amp;"")="","NULL","'"&amp;SUBSTITUTE(TRIM(Q700),"'","''")&amp;"'")&amp;", p_id_marca_cilindro =&gt; "&amp;IF(TRIM(R700&amp;"")="","NULL","(SELECT lo.id FROM gen_lista_opciones lo JOIN gen_lista l ON l.id = lo.id_lista WHERE l.nombre = 'MarcaCilindro' AND upper(lo.nombre) = upper('"&amp;SUBSTITUTE(TRIM(R700),"'","''")&amp;"') AND lo.estado = 1 LIMIT 1)")&amp;", p_id_organo_inspector =&gt; "&amp;IF(TRIM(S700&amp;"")="","NULL","(SELECT lo.id FROM gen_lista_opciones lo JOIN gen_lista l ON l.id = lo.id_lista WHERE l.nombre = 'OrganoInspectorCilindro' AND upper(lo.nombre) = upper('"&amp;SUBSTITUTE(TRIM(S700),"'","''")&amp;"') AND lo.estado = 1 LIMIT 1)")&amp;", p_organo_inspector_no_aplica =&gt; "&amp;IF(S700="NO_APLICA","TRUE","FALSE")&amp;", p_presion_actual =&gt; "&amp;IF(T700&amp;""="","NULL",SUBSTITUTE(T700&amp;"",",","."))&amp;", p_tipo_valvula =&gt; "&amp;IF(TRIM(U700&amp;"")="","NULL","'"&amp;SUBSTITUTE(TRIM(U700),"'","''")&amp;"'")&amp;", p_libro_cilindro =&gt; "&amp;IF(TRIM(V700&amp;"")="","NULL","'"&amp;SUBSTITUTE(TRIM(V700),"'","''")&amp;"'")&amp;", p_pagina_libro =&gt; "&amp;IF(W700&amp;""="","NULL",SUBSTITUTE(W700&amp;"",",","."))&amp;", p_observacion =&gt; "&amp;IF(TRIM(X700&amp;"")="","NULL","'"&amp;SUBSTITUTE(TRIM(X700),"'","''")&amp;"'")&amp;") AS resultado_balon_"&amp;ROW()&amp;";")</f>
        <v/>
      </c>
    </row>
    <row r="701" ht="15.75" customHeight="1" s="64">
      <c r="A701" s="62" t="n"/>
      <c r="B701" s="1">
        <f>IF(AND(C701="",D701="",E701=""),"",IF(C701="","FALTA código balón",IF(D701="","FALTA tipo balón",IF(E701="","FALTA gas",IF(F701="","FALTA propietario",IF(AND(C701&lt;&gt;"",SUMPRODUCT(--($C$5:$C$1200=C701))&gt;1),"CÓDIGO BALÓN DUPLICADO",IF(AND(OR(UPPER(F701)="PLANTA",UPPER(F701)="CLIENTE"),G701=""),"FALTA doc propietario/planta",IF(AND(UPPER(F701)="PLANTA",G701="10175332796"),"PLANTA no puede ser RUC empresa","OK"))))))))</f>
        <v/>
      </c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25">
        <f t="array" ref="L701">IF(K701="","",IFERROR(IF(INDEX(Clientes!$D$5:$D$549,MATCH(K701,Clientes!$C$5:$C$549,0))&lt;&gt;"",INDEX(Clientes!$D$5:$D$549,MATCH(K701,Clientes!$C$5:$C$549,0)),TRIM(INDEX(Clientes!$E$5:$E$549,MATCH(K701,Clientes!$C$5:$C$549,0))&amp;" "&amp;INDEX(Clientes!$F$5:$F$549,MATCH(K701,Clientes!$C$5:$C$549,0)))),"NO EXISTE en Clientes"))</f>
        <v/>
      </c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>
        <f>IF(B701&lt;&gt;"OK","","SELECT bal_crear_balon(p_codigo_balon =&gt; "&amp;IF(TRIM(C701&amp;"")="","NULL","'"&amp;SUBSTITUTE(TRIM(C701),"'","''")&amp;"'")&amp;", p_id_tipo_balon =&gt; "&amp;"(SELECT id FROM bal_tipo_balon WHERE upper(nombre) = upper('"&amp;SUBSTITUTE(TRIM(D701),"'","''")&amp;"') AND estado = 1 LIMIT 1)"&amp;", p_id_producto_gas =&gt; "&amp;"(SELECT id FROM pro_producto WHERE es_gas = TRUE AND upper(nombre) = upper('"&amp;SUBSTITUTE(TRIM(E701),"'","''")&amp;"') AND estado = 1 LIMIT 1)"&amp;", p_id_propietario =&gt; "&amp;IF(TRIM(F701&amp;"")="","NULL","(SELECT lo.id FROM gen_lista_opciones lo JOIN gen_lista l ON l.id = lo.id_lista WHERE l.nombre = 'PropietarioBalon' AND upper(lo.nombre) = upper('"&amp;SUBSTITUTE(TRIM(F701),"'","''")&amp;"') AND lo.estado = 1 LIMIT 1)")&amp;", p_id_cliente_propietario =&gt; "&amp;IF(F701="CLIENTE",IF(TRIM(G701&amp;"")="","NULL","(SELECT id FROM cli_clientes WHERE numero_documento = '"&amp;SUBSTITUTE(TRIM(G701),"'","''")&amp;"' AND estado = 1 LIMIT 1)"),"NULL")&amp;", p_id_planta =&gt; "&amp;IF(F701="PLANTA",IF(TRIM(G701&amp;"")="","NULL","(SELECT id FROM cli_clientes WHERE numero_documento = '"&amp;SUBSTITUTE(TRIM(G701),"'","''")&amp;"'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"&amp;IF(TRIM(J701&amp;"")="","NULL","(SELECT id FROM gen_almacen WHERE upper(nombre) = upper('"&amp;SUBSTITUTE(TRIM(J701),"'","''")&amp;"') AND estado = 1 LIMIT 1)")&amp;", p_id_cliente_ubicacion =&gt; "&amp;IF(TRIM(K701&amp;"")="","NULL","(SELECT id FROM cli_clientes WHERE numero_documento = '"&amp;SUBSTITUTE(TRIM(K701),"'","''")&amp;"' AND estado = 1 LIMIT 1)")&amp;", p_id_referencia =&gt; "&amp;IF(TRIM(J701&amp;"")&lt;&gt;"","(SELECT lo.id FROM gen_lista_opciones lo JOIN gen_lista l ON l.id = lo.id_lista WHERE l.nombre = 'ReferenciaCilindro' AND upper(lo.nombre) = 'ALMACEN' AND lo.estado = 1 LIMIT 1)",IF(TRIM(K701&amp;"")&lt;&gt;"","(SELECT lo.id FROM gen_lista_opciones lo JOIN gen_lista l ON l.id = lo.id_lista WHERE l.nombre = 'ReferenciaCilindro' AND upper(lo.nombre) = 'CLIENTE' AND lo.estado = 1 LIMIT 1)","NULL"))&amp;", p_anio_fabricacion =&gt; "&amp;IF(M701&amp;""="","NULL::smallint",M701&amp;"::smallint")&amp;", p_mes_fabricacion =&gt; "&amp;IF(N701&amp;""="","NULL::smallint",N701&amp;"::smallint")&amp;", p_fecha_ultima_prueba_hidrostatica =&gt; "&amp;IF(O701&amp;""="","NULL","'"&amp;YEAR(O701)&amp;"-"&amp;TEXT(MONTH(O701),"00")&amp;"-"&amp;TEXT(DAY(O701),"00")&amp;"'")&amp;", p_numero_serie =&gt; "&amp;IF(TRIM(Q701&amp;"")="","NULL","'"&amp;SUBSTITUTE(TRIM(Q701),"'","''")&amp;"'")&amp;", p_id_marca_cilindro =&gt; "&amp;IF(TRIM(R701&amp;"")="","NULL","(SELECT lo.id FROM gen_lista_opciones lo JOIN gen_lista l ON l.id = lo.id_lista WHERE l.nombre = 'MarcaCilindro' AND upper(lo.nombre) = upper('"&amp;SUBSTITUTE(TRIM(R701),"'","''")&amp;"') AND lo.estado = 1 LIMIT 1)")&amp;", p_id_organo_inspector =&gt; "&amp;IF(TRIM(S701&amp;"")="","NULL","(SELECT lo.id FROM gen_lista_opciones lo JOIN gen_lista l ON l.id = lo.id_lista WHERE l.nombre = 'OrganoInspectorCilindro' AND upper(lo.nombre) = upper('"&amp;SUBSTITUTE(TRIM(S701),"'","''")&amp;"') AND lo.estado = 1 LIMIT 1)")&amp;", p_organo_inspector_no_aplica =&gt; "&amp;IF(S701="NO_APLICA","TRUE","FALSE")&amp;", p_presion_actual =&gt; "&amp;IF(T701&amp;""="","NULL",SUBSTITUTE(T701&amp;"",",","."))&amp;", p_tipo_valvula =&gt; "&amp;IF(TRIM(U701&amp;"")="","NULL","'"&amp;SUBSTITUTE(TRIM(U701),"'","''")&amp;"'")&amp;", p_libro_cilindro =&gt; "&amp;IF(TRIM(V701&amp;"")="","NULL","'"&amp;SUBSTITUTE(TRIM(V701),"'","''")&amp;"'")&amp;", p_pagina_libro =&gt; "&amp;IF(W701&amp;""="","NULL",SUBSTITUTE(W701&amp;"",",","."))&amp;", p_observacion =&gt; "&amp;IF(TRIM(X701&amp;"")="","NULL","'"&amp;SUBSTITUTE(TRIM(X701),"'","''")&amp;"'")&amp;") AS resultado_balon_"&amp;ROW()&amp;";")</f>
        <v/>
      </c>
    </row>
    <row r="702" ht="15.75" customHeight="1" s="64">
      <c r="A702" s="62" t="n"/>
      <c r="B702" s="1">
        <f>IF(AND(C702="",D702="",E702=""),"",IF(C702="","FALTA código balón",IF(D702="","FALTA tipo balón",IF(E702="","FALTA gas",IF(F702="","FALTA propietario",IF(AND(C702&lt;&gt;"",SUMPRODUCT(--($C$5:$C$1200=C702))&gt;1),"CÓDIGO BALÓN DUPLICADO",IF(AND(OR(UPPER(F702)="PLANTA",UPPER(F702)="CLIENTE"),G702=""),"FALTA doc propietario/planta",IF(AND(UPPER(F702)="PLANTA",G702="10175332796"),"PLANTA no puede ser RUC empresa","OK"))))))))</f>
        <v/>
      </c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25">
        <f t="array" ref="L702">IF(K702="","",IFERROR(IF(INDEX(Clientes!$D$5:$D$549,MATCH(K702,Clientes!$C$5:$C$549,0))&lt;&gt;"",INDEX(Clientes!$D$5:$D$549,MATCH(K702,Clientes!$C$5:$C$549,0)),TRIM(INDEX(Clientes!$E$5:$E$549,MATCH(K702,Clientes!$C$5:$C$549,0))&amp;" "&amp;INDEX(Clientes!$F$5:$F$549,MATCH(K702,Clientes!$C$5:$C$549,0)))),"NO EXISTE en Clientes"))</f>
        <v/>
      </c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>
        <f>IF(B702&lt;&gt;"OK","","SELECT bal_crear_balon(p_codigo_balon =&gt; "&amp;IF(TRIM(C702&amp;"")="","NULL","'"&amp;SUBSTITUTE(TRIM(C702),"'","''")&amp;"'")&amp;", p_id_tipo_balon =&gt; "&amp;"(SELECT id FROM bal_tipo_balon WHERE upper(nombre) = upper('"&amp;SUBSTITUTE(TRIM(D702),"'","''")&amp;"') AND estado = 1 LIMIT 1)"&amp;", p_id_producto_gas =&gt; "&amp;"(SELECT id FROM pro_producto WHERE es_gas = TRUE AND upper(nombre) = upper('"&amp;SUBSTITUTE(TRIM(E702),"'","''")&amp;"') AND estado = 1 LIMIT 1)"&amp;", p_id_propietario =&gt; "&amp;IF(TRIM(F702&amp;"")="","NULL","(SELECT lo.id FROM gen_lista_opciones lo JOIN gen_lista l ON l.id = lo.id_lista WHERE l.nombre = 'PropietarioBalon' AND upper(lo.nombre) = upper('"&amp;SUBSTITUTE(TRIM(F702),"'","''")&amp;"') AND lo.estado = 1 LIMIT 1)")&amp;", p_id_cliente_propietario =&gt; "&amp;IF(F702="CLIENTE",IF(TRIM(G702&amp;"")="","NULL","(SELECT id FROM cli_clientes WHERE numero_documento = '"&amp;SUBSTITUTE(TRIM(G702),"'","''")&amp;"' AND estado = 1 LIMIT 1)"),"NULL")&amp;", p_id_planta =&gt; "&amp;IF(F702="PLANTA",IF(TRIM(G702&amp;"")="","NULL","(SELECT id FROM cli_clientes WHERE numero_documento = '"&amp;SUBSTITUTE(TRIM(G702),"'","''")&amp;"'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"&amp;IF(TRIM(J702&amp;"")="","NULL","(SELECT id FROM gen_almacen WHERE upper(nombre) = upper('"&amp;SUBSTITUTE(TRIM(J702),"'","''")&amp;"') AND estado = 1 LIMIT 1)")&amp;", p_id_cliente_ubicacion =&gt; "&amp;IF(TRIM(K702&amp;"")="","NULL","(SELECT id FROM cli_clientes WHERE numero_documento = '"&amp;SUBSTITUTE(TRIM(K702),"'","''")&amp;"' AND estado = 1 LIMIT 1)")&amp;", p_id_referencia =&gt; "&amp;IF(TRIM(J702&amp;"")&lt;&gt;"","(SELECT lo.id FROM gen_lista_opciones lo JOIN gen_lista l ON l.id = lo.id_lista WHERE l.nombre = 'ReferenciaCilindro' AND upper(lo.nombre) = 'ALMACEN' AND lo.estado = 1 LIMIT 1)",IF(TRIM(K702&amp;"")&lt;&gt;"","(SELECT lo.id FROM gen_lista_opciones lo JOIN gen_lista l ON l.id = lo.id_lista WHERE l.nombre = 'ReferenciaCilindro' AND upper(lo.nombre) = 'CLIENTE' AND lo.estado = 1 LIMIT 1)","NULL"))&amp;", p_anio_fabricacion =&gt; "&amp;IF(M702&amp;""="","NULL::smallint",M702&amp;"::smallint")&amp;", p_mes_fabricacion =&gt; "&amp;IF(N702&amp;""="","NULL::smallint",N702&amp;"::smallint")&amp;", p_fecha_ultima_prueba_hidrostatica =&gt; "&amp;IF(O702&amp;""="","NULL","'"&amp;YEAR(O702)&amp;"-"&amp;TEXT(MONTH(O702),"00")&amp;"-"&amp;TEXT(DAY(O702),"00")&amp;"'")&amp;", p_numero_serie =&gt; "&amp;IF(TRIM(Q702&amp;"")="","NULL","'"&amp;SUBSTITUTE(TRIM(Q702),"'","''")&amp;"'")&amp;", p_id_marca_cilindro =&gt; "&amp;IF(TRIM(R702&amp;"")="","NULL","(SELECT lo.id FROM gen_lista_opciones lo JOIN gen_lista l ON l.id = lo.id_lista WHERE l.nombre = 'MarcaCilindro' AND upper(lo.nombre) = upper('"&amp;SUBSTITUTE(TRIM(R702),"'","''")&amp;"') AND lo.estado = 1 LIMIT 1)")&amp;", p_id_organo_inspector =&gt; "&amp;IF(TRIM(S702&amp;"")="","NULL","(SELECT lo.id FROM gen_lista_opciones lo JOIN gen_lista l ON l.id = lo.id_lista WHERE l.nombre = 'OrganoInspectorCilindro' AND upper(lo.nombre) = upper('"&amp;SUBSTITUTE(TRIM(S702),"'","''")&amp;"') AND lo.estado = 1 LIMIT 1)")&amp;", p_organo_inspector_no_aplica =&gt; "&amp;IF(S702="NO_APLICA","TRUE","FALSE")&amp;", p_presion_actual =&gt; "&amp;IF(T702&amp;""="","NULL",SUBSTITUTE(T702&amp;"",",","."))&amp;", p_tipo_valvula =&gt; "&amp;IF(TRIM(U702&amp;"")="","NULL","'"&amp;SUBSTITUTE(TRIM(U702),"'","''")&amp;"'")&amp;", p_libro_cilindro =&gt; "&amp;IF(TRIM(V702&amp;"")="","NULL","'"&amp;SUBSTITUTE(TRIM(V702),"'","''")&amp;"'")&amp;", p_pagina_libro =&gt; "&amp;IF(W702&amp;""="","NULL",SUBSTITUTE(W702&amp;"",",","."))&amp;", p_observacion =&gt; "&amp;IF(TRIM(X702&amp;"")="","NULL","'"&amp;SUBSTITUTE(TRIM(X702),"'","''")&amp;"'")&amp;") AS resultado_balon_"&amp;ROW()&amp;";")</f>
        <v/>
      </c>
    </row>
    <row r="703" ht="15.75" customHeight="1" s="64">
      <c r="A703" s="62" t="n"/>
      <c r="B703" s="1">
        <f>IF(AND(C703="",D703="",E703=""),"",IF(C703="","FALTA código balón",IF(D703="","FALTA tipo balón",IF(E703="","FALTA gas",IF(F703="","FALTA propietario",IF(AND(C703&lt;&gt;"",SUMPRODUCT(--($C$5:$C$1200=C703))&gt;1),"CÓDIGO BALÓN DUPLICADO",IF(AND(OR(UPPER(F703)="PLANTA",UPPER(F703)="CLIENTE"),G703=""),"FALTA doc propietario/planta",IF(AND(UPPER(F703)="PLANTA",G703="10175332796"),"PLANTA no puede ser RUC empresa","OK"))))))))</f>
        <v/>
      </c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25">
        <f t="array" ref="L703">IF(K703="","",IFERROR(IF(INDEX(Clientes!$D$5:$D$549,MATCH(K703,Clientes!$C$5:$C$549,0))&lt;&gt;"",INDEX(Clientes!$D$5:$D$549,MATCH(K703,Clientes!$C$5:$C$549,0)),TRIM(INDEX(Clientes!$E$5:$E$549,MATCH(K703,Clientes!$C$5:$C$549,0))&amp;" "&amp;INDEX(Clientes!$F$5:$F$549,MATCH(K703,Clientes!$C$5:$C$549,0)))),"NO EXISTE en Clientes"))</f>
        <v/>
      </c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>
        <f>IF(B703&lt;&gt;"OK","","SELECT bal_crear_balon(p_codigo_balon =&gt; "&amp;IF(TRIM(C703&amp;"")="","NULL","'"&amp;SUBSTITUTE(TRIM(C703),"'","''")&amp;"'")&amp;", p_id_tipo_balon =&gt; "&amp;"(SELECT id FROM bal_tipo_balon WHERE upper(nombre) = upper('"&amp;SUBSTITUTE(TRIM(D703),"'","''")&amp;"') AND estado = 1 LIMIT 1)"&amp;", p_id_producto_gas =&gt; "&amp;"(SELECT id FROM pro_producto WHERE es_gas = TRUE AND upper(nombre) = upper('"&amp;SUBSTITUTE(TRIM(E703),"'","''")&amp;"') AND estado = 1 LIMIT 1)"&amp;", p_id_propietario =&gt; "&amp;IF(TRIM(F703&amp;"")="","NULL","(SELECT lo.id FROM gen_lista_opciones lo JOIN gen_lista l ON l.id = lo.id_lista WHERE l.nombre = 'PropietarioBalon' AND upper(lo.nombre) = upper('"&amp;SUBSTITUTE(TRIM(F703),"'","''")&amp;"') AND lo.estado = 1 LIMIT 1)")&amp;", p_id_cliente_propietario =&gt; "&amp;IF(F703="CLIENTE",IF(TRIM(G703&amp;"")="","NULL","(SELECT id FROM cli_clientes WHERE numero_documento = '"&amp;SUBSTITUTE(TRIM(G703),"'","''")&amp;"' AND estado = 1 LIMIT 1)"),"NULL")&amp;", p_id_planta =&gt; "&amp;IF(F703="PLANTA",IF(TRIM(G703&amp;"")="","NULL","(SELECT id FROM cli_clientes WHERE numero_documento = '"&amp;SUBSTITUTE(TRIM(G703),"'","''")&amp;"'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"&amp;IF(TRIM(J703&amp;"")="","NULL","(SELECT id FROM gen_almacen WHERE upper(nombre) = upper('"&amp;SUBSTITUTE(TRIM(J703),"'","''")&amp;"') AND estado = 1 LIMIT 1)")&amp;", p_id_cliente_ubicacion =&gt; "&amp;IF(TRIM(K703&amp;"")="","NULL","(SELECT id FROM cli_clientes WHERE numero_documento = '"&amp;SUBSTITUTE(TRIM(K703),"'","''")&amp;"' AND estado = 1 LIMIT 1)")&amp;", p_id_referencia =&gt; "&amp;IF(TRIM(J703&amp;"")&lt;&gt;"","(SELECT lo.id FROM gen_lista_opciones lo JOIN gen_lista l ON l.id = lo.id_lista WHERE l.nombre = 'ReferenciaCilindro' AND upper(lo.nombre) = 'ALMACEN' AND lo.estado = 1 LIMIT 1)",IF(TRIM(K703&amp;"")&lt;&gt;"","(SELECT lo.id FROM gen_lista_opciones lo JOIN gen_lista l ON l.id = lo.id_lista WHERE l.nombre = 'ReferenciaCilindro' AND upper(lo.nombre) = 'CLIENTE' AND lo.estado = 1 LIMIT 1)","NULL"))&amp;", p_anio_fabricacion =&gt; "&amp;IF(M703&amp;""="","NULL::smallint",M703&amp;"::smallint")&amp;", p_mes_fabricacion =&gt; "&amp;IF(N703&amp;""="","NULL::smallint",N703&amp;"::smallint")&amp;", p_fecha_ultima_prueba_hidrostatica =&gt; "&amp;IF(O703&amp;""="","NULL","'"&amp;YEAR(O703)&amp;"-"&amp;TEXT(MONTH(O703),"00")&amp;"-"&amp;TEXT(DAY(O703),"00")&amp;"'")&amp;", p_numero_serie =&gt; "&amp;IF(TRIM(Q703&amp;"")="","NULL","'"&amp;SUBSTITUTE(TRIM(Q703),"'","''")&amp;"'")&amp;", p_id_marca_cilindro =&gt; "&amp;IF(TRIM(R703&amp;"")="","NULL","(SELECT lo.id FROM gen_lista_opciones lo JOIN gen_lista l ON l.id = lo.id_lista WHERE l.nombre = 'MarcaCilindro' AND upper(lo.nombre) = upper('"&amp;SUBSTITUTE(TRIM(R703),"'","''")&amp;"') AND lo.estado = 1 LIMIT 1)")&amp;", p_id_organo_inspector =&gt; "&amp;IF(TRIM(S703&amp;"")="","NULL","(SELECT lo.id FROM gen_lista_opciones lo JOIN gen_lista l ON l.id = lo.id_lista WHERE l.nombre = 'OrganoInspectorCilindro' AND upper(lo.nombre) = upper('"&amp;SUBSTITUTE(TRIM(S703),"'","''")&amp;"') AND lo.estado = 1 LIMIT 1)")&amp;", p_organo_inspector_no_aplica =&gt; "&amp;IF(S703="NO_APLICA","TRUE","FALSE")&amp;", p_presion_actual =&gt; "&amp;IF(T703&amp;""="","NULL",SUBSTITUTE(T703&amp;"",",","."))&amp;", p_tipo_valvula =&gt; "&amp;IF(TRIM(U703&amp;"")="","NULL","'"&amp;SUBSTITUTE(TRIM(U703),"'","''")&amp;"'")&amp;", p_libro_cilindro =&gt; "&amp;IF(TRIM(V703&amp;"")="","NULL","'"&amp;SUBSTITUTE(TRIM(V703),"'","''")&amp;"'")&amp;", p_pagina_libro =&gt; "&amp;IF(W703&amp;""="","NULL",SUBSTITUTE(W703&amp;"",",","."))&amp;", p_observacion =&gt; "&amp;IF(TRIM(X703&amp;"")="","NULL","'"&amp;SUBSTITUTE(TRIM(X703),"'","''")&amp;"'")&amp;") AS resultado_balon_"&amp;ROW()&amp;";")</f>
        <v/>
      </c>
    </row>
    <row r="704" ht="15.75" customHeight="1" s="64">
      <c r="A704" s="62" t="n"/>
      <c r="B704" s="1">
        <f>IF(AND(C704="",D704="",E704=""),"",IF(C704="","FALTA código balón",IF(D704="","FALTA tipo balón",IF(E704="","FALTA gas",IF(F704="","FALTA propietario",IF(AND(C704&lt;&gt;"",SUMPRODUCT(--($C$5:$C$1200=C704))&gt;1),"CÓDIGO BALÓN DUPLICADO",IF(AND(OR(UPPER(F704)="PLANTA",UPPER(F704)="CLIENTE"),G704=""),"FALTA doc propietario/planta",IF(AND(UPPER(F704)="PLANTA",G704="10175332796"),"PLANTA no puede ser RUC empresa","OK"))))))))</f>
        <v/>
      </c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25">
        <f t="array" ref="L704">IF(K704="","",IFERROR(IF(INDEX(Clientes!$D$5:$D$549,MATCH(K704,Clientes!$C$5:$C$549,0))&lt;&gt;"",INDEX(Clientes!$D$5:$D$549,MATCH(K704,Clientes!$C$5:$C$549,0)),TRIM(INDEX(Clientes!$E$5:$E$549,MATCH(K704,Clientes!$C$5:$C$549,0))&amp;" "&amp;INDEX(Clientes!$F$5:$F$549,MATCH(K704,Clientes!$C$5:$C$549,0)))),"NO EXISTE en Clientes"))</f>
        <v/>
      </c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>
        <f>IF(B704&lt;&gt;"OK","","SELECT bal_crear_balon(p_codigo_balon =&gt; "&amp;IF(TRIM(C704&amp;"")="","NULL","'"&amp;SUBSTITUTE(TRIM(C704),"'","''")&amp;"'")&amp;", p_id_tipo_balon =&gt; "&amp;"(SELECT id FROM bal_tipo_balon WHERE upper(nombre) = upper('"&amp;SUBSTITUTE(TRIM(D704),"'","''")&amp;"') AND estado = 1 LIMIT 1)"&amp;", p_id_producto_gas =&gt; "&amp;"(SELECT id FROM pro_producto WHERE es_gas = TRUE AND upper(nombre) = upper('"&amp;SUBSTITUTE(TRIM(E704),"'","''")&amp;"') AND estado = 1 LIMIT 1)"&amp;", p_id_propietario =&gt; "&amp;IF(TRIM(F704&amp;"")="","NULL","(SELECT lo.id FROM gen_lista_opciones lo JOIN gen_lista l ON l.id = lo.id_lista WHERE l.nombre = 'PropietarioBalon' AND upper(lo.nombre) = upper('"&amp;SUBSTITUTE(TRIM(F704),"'","''")&amp;"') AND lo.estado = 1 LIMIT 1)")&amp;", p_id_cliente_propietario =&gt; "&amp;IF(F704="CLIENTE",IF(TRIM(G704&amp;"")="","NULL","(SELECT id FROM cli_clientes WHERE numero_documento = '"&amp;SUBSTITUTE(TRIM(G704),"'","''")&amp;"' AND estado = 1 LIMIT 1)"),"NULL")&amp;", p_id_planta =&gt; "&amp;IF(F704="PLANTA",IF(TRIM(G704&amp;"")="","NULL","(SELECT id FROM cli_clientes WHERE numero_documento = '"&amp;SUBSTITUTE(TRIM(G704),"'","''")&amp;"'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"&amp;IF(TRIM(J704&amp;"")="","NULL","(SELECT id FROM gen_almacen WHERE upper(nombre) = upper('"&amp;SUBSTITUTE(TRIM(J704),"'","''")&amp;"') AND estado = 1 LIMIT 1)")&amp;", p_id_cliente_ubicacion =&gt; "&amp;IF(TRIM(K704&amp;"")="","NULL","(SELECT id FROM cli_clientes WHERE numero_documento = '"&amp;SUBSTITUTE(TRIM(K704),"'","''")&amp;"' AND estado = 1 LIMIT 1)")&amp;", p_id_referencia =&gt; "&amp;IF(TRIM(J704&amp;"")&lt;&gt;"","(SELECT lo.id FROM gen_lista_opciones lo JOIN gen_lista l ON l.id = lo.id_lista WHERE l.nombre = 'ReferenciaCilindro' AND upper(lo.nombre) = 'ALMACEN' AND lo.estado = 1 LIMIT 1)",IF(TRIM(K704&amp;"")&lt;&gt;"","(SELECT lo.id FROM gen_lista_opciones lo JOIN gen_lista l ON l.id = lo.id_lista WHERE l.nombre = 'ReferenciaCilindro' AND upper(lo.nombre) = 'CLIENTE' AND lo.estado = 1 LIMIT 1)","NULL"))&amp;", p_anio_fabricacion =&gt; "&amp;IF(M704&amp;""="","NULL::smallint",M704&amp;"::smallint")&amp;", p_mes_fabricacion =&gt; "&amp;IF(N704&amp;""="","NULL::smallint",N704&amp;"::smallint")&amp;", p_fecha_ultima_prueba_hidrostatica =&gt; "&amp;IF(O704&amp;""="","NULL","'"&amp;YEAR(O704)&amp;"-"&amp;TEXT(MONTH(O704),"00")&amp;"-"&amp;TEXT(DAY(O704),"00")&amp;"'")&amp;", p_numero_serie =&gt; "&amp;IF(TRIM(Q704&amp;"")="","NULL","'"&amp;SUBSTITUTE(TRIM(Q704),"'","''")&amp;"'")&amp;", p_id_marca_cilindro =&gt; "&amp;IF(TRIM(R704&amp;"")="","NULL","(SELECT lo.id FROM gen_lista_opciones lo JOIN gen_lista l ON l.id = lo.id_lista WHERE l.nombre = 'MarcaCilindro' AND upper(lo.nombre) = upper('"&amp;SUBSTITUTE(TRIM(R704),"'","''")&amp;"') AND lo.estado = 1 LIMIT 1)")&amp;", p_id_organo_inspector =&gt; "&amp;IF(TRIM(S704&amp;"")="","NULL","(SELECT lo.id FROM gen_lista_opciones lo JOIN gen_lista l ON l.id = lo.id_lista WHERE l.nombre = 'OrganoInspectorCilindro' AND upper(lo.nombre) = upper('"&amp;SUBSTITUTE(TRIM(S704),"'","''")&amp;"') AND lo.estado = 1 LIMIT 1)")&amp;", p_organo_inspector_no_aplica =&gt; "&amp;IF(S704="NO_APLICA","TRUE","FALSE")&amp;", p_presion_actual =&gt; "&amp;IF(T704&amp;""="","NULL",SUBSTITUTE(T704&amp;"",",","."))&amp;", p_tipo_valvula =&gt; "&amp;IF(TRIM(U704&amp;"")="","NULL","'"&amp;SUBSTITUTE(TRIM(U704),"'","''")&amp;"'")&amp;", p_libro_cilindro =&gt; "&amp;IF(TRIM(V704&amp;"")="","NULL","'"&amp;SUBSTITUTE(TRIM(V704),"'","''")&amp;"'")&amp;", p_pagina_libro =&gt; "&amp;IF(W704&amp;""="","NULL",SUBSTITUTE(W704&amp;"",",","."))&amp;", p_observacion =&gt; "&amp;IF(TRIM(X704&amp;"")="","NULL","'"&amp;SUBSTITUTE(TRIM(X704),"'","''")&amp;"'")&amp;") AS resultado_balon_"&amp;ROW()&amp;";")</f>
        <v/>
      </c>
    </row>
    <row r="705" ht="15.75" customHeight="1" s="64">
      <c r="A705" s="62" t="n"/>
      <c r="B705" s="1">
        <f>IF(AND(C705="",D705="",E705=""),"",IF(C705="","FALTA código balón",IF(D705="","FALTA tipo balón",IF(E705="","FALTA gas",IF(F705="","FALTA propietario",IF(AND(C705&lt;&gt;"",SUMPRODUCT(--($C$5:$C$1200=C705))&gt;1),"CÓDIGO BALÓN DUPLICADO",IF(AND(OR(UPPER(F705)="PLANTA",UPPER(F705)="CLIENTE"),G705=""),"FALTA doc propietario/planta",IF(AND(UPPER(F705)="PLANTA",G705="10175332796"),"PLANTA no puede ser RUC empresa","OK"))))))))</f>
        <v/>
      </c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25">
        <f t="array" ref="L705">IF(K705="","",IFERROR(IF(INDEX(Clientes!$D$5:$D$549,MATCH(K705,Clientes!$C$5:$C$549,0))&lt;&gt;"",INDEX(Clientes!$D$5:$D$549,MATCH(K705,Clientes!$C$5:$C$549,0)),TRIM(INDEX(Clientes!$E$5:$E$549,MATCH(K705,Clientes!$C$5:$C$549,0))&amp;" "&amp;INDEX(Clientes!$F$5:$F$549,MATCH(K705,Clientes!$C$5:$C$549,0)))),"NO EXISTE en Clientes"))</f>
        <v/>
      </c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>
        <f>IF(B705&lt;&gt;"OK","","SELECT bal_crear_balon(p_codigo_balon =&gt; "&amp;IF(TRIM(C705&amp;"")="","NULL","'"&amp;SUBSTITUTE(TRIM(C705),"'","''")&amp;"'")&amp;", p_id_tipo_balon =&gt; "&amp;"(SELECT id FROM bal_tipo_balon WHERE upper(nombre) = upper('"&amp;SUBSTITUTE(TRIM(D705),"'","''")&amp;"') AND estado = 1 LIMIT 1)"&amp;", p_id_producto_gas =&gt; "&amp;"(SELECT id FROM pro_producto WHERE es_gas = TRUE AND upper(nombre) = upper('"&amp;SUBSTITUTE(TRIM(E705),"'","''")&amp;"') AND estado = 1 LIMIT 1)"&amp;", p_id_propietario =&gt; "&amp;IF(TRIM(F705&amp;"")="","NULL","(SELECT lo.id FROM gen_lista_opciones lo JOIN gen_lista l ON l.id = lo.id_lista WHERE l.nombre = 'PropietarioBalon' AND upper(lo.nombre) = upper('"&amp;SUBSTITUTE(TRIM(F705),"'","''")&amp;"') AND lo.estado = 1 LIMIT 1)")&amp;", p_id_cliente_propietario =&gt; "&amp;IF(F705="CLIENTE",IF(TRIM(G705&amp;"")="","NULL","(SELECT id FROM cli_clientes WHERE numero_documento = '"&amp;SUBSTITUTE(TRIM(G705),"'","''")&amp;"' AND estado = 1 LIMIT 1)"),"NULL")&amp;", p_id_planta =&gt; "&amp;IF(F705="PLANTA",IF(TRIM(G705&amp;"")="","NULL","(SELECT id FROM cli_clientes WHERE numero_documento = '"&amp;SUBSTITUTE(TRIM(G705),"'","''")&amp;"' AND estado = 1 LIMIT 1)"),"NULL")&amp;", p_id_estado_balon =&gt; "&amp;IF(TRIM(#REF!&amp;"")="","NULL","(SELECT lo.id FROM gen_lista_opciones lo JOIN gen_lista l ON l.id = lo.id_lista WHERE l.nombre = 'EstadoBalon' AND upper(lo.nombre) = upper('"&amp;SUBSTITUTE(TRIM(#REF!),"'","''")&amp;"') AND lo.estado = 1 LIMIT 1)")&amp;", p_id_almacen =&gt; "&amp;IF(TRIM(J705&amp;"")="","NULL","(SELECT id FROM gen_almacen WHERE upper(nombre) = upper('"&amp;SUBSTITUTE(TRIM(J705),"'","''")&amp;"') AND estado = 1 LIMIT 1)")&amp;", p_id_cliente_ubicacion =&gt; "&amp;IF(TRIM(K705&amp;"")="","NULL","(SELECT id FROM cli_clientes WHERE numero_documento = '"&amp;SUBSTITUTE(TRIM(K705),"'","''")&amp;"' AND estado = 1 LIMIT 1)")&amp;", p_id_referencia =&gt; "&amp;IF(TRIM(J705&amp;"")&lt;&gt;"","(SELECT lo.id FROM gen_lista_opciones lo JOIN gen_lista l ON l.id = lo.id_lista WHERE l.nombre = 'ReferenciaCilindro' AND upper(lo.nombre) = 'ALMACEN' AND lo.estado = 1 LIMIT 1)",IF(TRIM(K705&amp;"")&lt;&gt;"","(SELECT lo.id FROM gen_lista_opciones lo JOIN gen_lista l ON l.id = lo.id_lista WHERE l.nombre = 'ReferenciaCilindro' AND upper(lo.nombre) = 'CLIENTE' AND lo.estado = 1 LIMIT 1)","NULL"))&amp;", p_anio_fabricacion =&gt; "&amp;IF(M705&amp;""="","NULL::smallint",M705&amp;"::smallint")&amp;", p_mes_fabricacion =&gt; "&amp;IF(N705&amp;""="","NULL::smallint",N705&amp;"::smallint")&amp;", p_fecha_ultima_prueba_hidrostatica =&gt; "&amp;IF(O705&amp;""="","NULL","'"&amp;YEAR(O705)&amp;"-"&amp;TEXT(MONTH(O705),"00")&amp;"-"&amp;TEXT(DAY(O705),"00")&amp;"'")&amp;", p_numero_serie =&gt; "&amp;IF(TRIM(Q705&amp;"")="","NULL","'"&amp;SUBSTITUTE(TRIM(Q705),"'","''")&amp;"'")&amp;", p_id_marca_cilindro =&gt; "&amp;IF(TRIM(R705&amp;"")="","NULL","(SELECT lo.id FROM gen_lista_opciones lo JOIN gen_lista l ON l.id = lo.id_lista WHERE l.nombre = 'MarcaCilindro' AND upper(lo.nombre) = upper('"&amp;SUBSTITUTE(TRIM(R705),"'","''")&amp;"') AND lo.estado = 1 LIMIT 1)")&amp;", p_id_organo_inspector =&gt; "&amp;IF(TRIM(S705&amp;"")="","NULL","(SELECT lo.id FROM gen_lista_opciones lo JOIN gen_lista l ON l.id = lo.id_lista WHERE l.nombre = 'OrganoInspectorCilindro' AND upper(lo.nombre) = upper('"&amp;SUBSTITUTE(TRIM(S705),"'","''")&amp;"') AND lo.estado = 1 LIMIT 1)")&amp;", p_organo_inspector_no_aplica =&gt; "&amp;IF(S705="NO_APLICA","TRUE","FALSE")&amp;", p_presion_actual =&gt; "&amp;IF(T705&amp;""="","NULL",SUBSTITUTE(T705&amp;"",",","."))&amp;", p_tipo_valvula =&gt; "&amp;IF(TRIM(U705&amp;"")="","NULL","'"&amp;SUBSTITUTE(TRIM(U705),"'","''")&amp;"'")&amp;", p_libro_cilindro =&gt; "&amp;IF(TRIM(V705&amp;"")="","NULL","'"&amp;SUBSTITUTE(TRIM(V705),"'","''")&amp;"'")&amp;", p_pagina_libro =&gt; "&amp;IF(W705&amp;""="","NULL",SUBSTITUTE(W705&amp;"",",","."))&amp;", p_observacion =&gt; "&amp;IF(TRIM(X705&amp;"")="","NULL","'"&amp;SUBSTITUTE(TRIM(X705),"'","''")&amp;"'")&amp;") AS resultado_balon_"&amp;ROW()&amp;";")</f>
        <v/>
      </c>
    </row>
    <row r="706" ht="15.75" customHeight="1" s="64">
      <c r="A706" s="62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5.75" customHeight="1" s="64">
      <c r="A707" s="62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5.75" customHeight="1" s="64">
      <c r="A708" s="62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5.75" customHeight="1" s="64">
      <c r="A709" s="62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5.75" customHeight="1" s="64">
      <c r="A710" s="62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5.75" customHeight="1" s="64">
      <c r="A711" s="62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5.75" customHeight="1" s="64">
      <c r="A712" s="62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5.75" customHeight="1" s="64">
      <c r="A713" s="62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5.75" customHeight="1" s="64">
      <c r="A714" s="62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5.75" customHeight="1" s="64">
      <c r="A715" s="62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5.75" customHeight="1" s="64">
      <c r="A716" s="62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5.75" customHeight="1" s="64">
      <c r="A717" s="62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5.75" customHeight="1" s="64">
      <c r="A718" s="62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5.75" customHeight="1" s="64">
      <c r="A719" s="62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5.75" customHeight="1" s="64">
      <c r="A720" s="62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5.75" customHeight="1" s="64">
      <c r="A721" s="62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5.75" customHeight="1" s="64">
      <c r="A722" s="62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5.75" customHeight="1" s="64">
      <c r="A723" s="62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5.75" customHeight="1" s="64">
      <c r="A724" s="62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5.75" customHeight="1" s="64">
      <c r="A725" s="62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5.75" customHeight="1" s="64">
      <c r="A726" s="62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5.75" customHeight="1" s="64">
      <c r="A727" s="62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5.75" customHeight="1" s="64">
      <c r="A728" s="62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5.75" customHeight="1" s="64">
      <c r="A729" s="62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5.75" customHeight="1" s="64">
      <c r="A730" s="62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5.75" customHeight="1" s="64">
      <c r="A731" s="62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5.75" customHeight="1" s="64">
      <c r="A732" s="62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5.75" customHeight="1" s="64">
      <c r="A733" s="62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5.75" customHeight="1" s="64">
      <c r="A734" s="62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5.75" customHeight="1" s="64">
      <c r="A735" s="62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5.75" customHeight="1" s="64">
      <c r="A736" s="62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5.75" customHeight="1" s="64">
      <c r="A737" s="62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5.75" customHeight="1" s="64">
      <c r="A738" s="62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5.75" customHeight="1" s="64">
      <c r="A739" s="62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5.75" customHeight="1" s="64">
      <c r="A740" s="62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5.75" customHeight="1" s="64">
      <c r="A741" s="62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5.75" customHeight="1" s="64">
      <c r="A742" s="62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5.75" customHeight="1" s="64">
      <c r="A743" s="62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5.75" customHeight="1" s="64">
      <c r="A744" s="62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5.75" customHeight="1" s="64">
      <c r="A745" s="62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5.75" customHeight="1" s="64">
      <c r="A746" s="62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5.75" customHeight="1" s="64">
      <c r="A747" s="62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5.75" customHeight="1" s="64">
      <c r="A748" s="62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5.75" customHeight="1" s="64">
      <c r="A749" s="62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5.75" customHeight="1" s="64">
      <c r="A750" s="62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5.75" customHeight="1" s="64">
      <c r="A751" s="62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5.75" customHeight="1" s="64">
      <c r="A752" s="62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5.75" customHeight="1" s="64">
      <c r="A753" s="62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5.75" customHeight="1" s="64">
      <c r="A754" s="62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5.75" customHeight="1" s="64">
      <c r="A755" s="62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5.75" customHeight="1" s="64">
      <c r="A756" s="62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5.75" customHeight="1" s="64">
      <c r="A757" s="62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5.75" customHeight="1" s="64">
      <c r="A758" s="62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5.75" customHeight="1" s="64">
      <c r="A759" s="62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5.75" customHeight="1" s="64">
      <c r="A760" s="62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5.75" customHeight="1" s="64">
      <c r="A761" s="62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5.75" customHeight="1" s="64">
      <c r="A762" s="62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5.75" customHeight="1" s="64">
      <c r="A763" s="62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5.75" customHeight="1" s="64">
      <c r="A764" s="62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5.75" customHeight="1" s="64">
      <c r="A765" s="62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5.75" customHeight="1" s="64">
      <c r="A766" s="62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5.75" customHeight="1" s="64">
      <c r="A767" s="62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5.75" customHeight="1" s="64">
      <c r="A768" s="62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5.75" customHeight="1" s="64">
      <c r="A769" s="62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5.75" customHeight="1" s="64">
      <c r="A770" s="62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5.75" customHeight="1" s="64">
      <c r="A771" s="62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5.75" customHeight="1" s="64">
      <c r="A772" s="62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5.75" customHeight="1" s="64">
      <c r="A773" s="62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5.75" customHeight="1" s="64">
      <c r="A774" s="62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5.75" customHeight="1" s="64">
      <c r="A775" s="62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5.75" customHeight="1" s="64">
      <c r="A776" s="62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5.75" customHeight="1" s="64">
      <c r="A777" s="62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5.75" customHeight="1" s="64">
      <c r="A778" s="62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5.75" customHeight="1" s="64">
      <c r="A779" s="62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5.75" customHeight="1" s="64">
      <c r="A780" s="62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5.75" customHeight="1" s="64">
      <c r="A781" s="62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5.75" customHeight="1" s="64">
      <c r="A782" s="62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5.75" customHeight="1" s="64">
      <c r="A783" s="62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5.75" customHeight="1" s="64">
      <c r="A784" s="62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5.75" customHeight="1" s="64">
      <c r="A785" s="62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5.75" customHeight="1" s="64">
      <c r="A786" s="62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5.75" customHeight="1" s="64">
      <c r="A787" s="62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5.75" customHeight="1" s="64">
      <c r="A788" s="62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5.75" customHeight="1" s="64">
      <c r="A789" s="62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5.75" customHeight="1" s="64">
      <c r="A790" s="62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5.75" customHeight="1" s="64">
      <c r="A791" s="62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5.75" customHeight="1" s="64">
      <c r="A792" s="62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5.75" customHeight="1" s="64">
      <c r="A793" s="62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5.75" customHeight="1" s="64">
      <c r="A794" s="62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5.75" customHeight="1" s="64">
      <c r="A795" s="62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5.75" customHeight="1" s="64">
      <c r="A796" s="62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5.75" customHeight="1" s="64">
      <c r="A797" s="62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5.75" customHeight="1" s="64">
      <c r="A798" s="62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5.75" customHeight="1" s="64">
      <c r="A799" s="62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5.75" customHeight="1" s="64">
      <c r="A800" s="62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5.75" customHeight="1" s="64">
      <c r="A801" s="62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5.75" customHeight="1" s="64">
      <c r="A802" s="62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5.75" customHeight="1" s="64">
      <c r="A803" s="62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5.75" customHeight="1" s="64">
      <c r="A804" s="62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5.75" customHeight="1" s="64">
      <c r="A805" s="62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5.75" customHeight="1" s="64">
      <c r="A806" s="62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5.75" customHeight="1" s="64">
      <c r="A807" s="62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5.75" customHeight="1" s="64">
      <c r="A808" s="62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5.75" customHeight="1" s="64">
      <c r="A809" s="62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5.75" customHeight="1" s="64">
      <c r="A810" s="62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5.75" customHeight="1" s="64">
      <c r="A811" s="62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5.75" customHeight="1" s="64">
      <c r="A812" s="62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5.75" customHeight="1" s="64">
      <c r="A813" s="62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5.75" customHeight="1" s="64">
      <c r="A814" s="62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5.75" customHeight="1" s="64">
      <c r="A815" s="62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5.75" customHeight="1" s="64">
      <c r="A816" s="62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5.75" customHeight="1" s="64">
      <c r="A817" s="62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5.75" customHeight="1" s="64">
      <c r="A818" s="62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5.75" customHeight="1" s="64">
      <c r="A819" s="62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5.75" customHeight="1" s="64">
      <c r="A820" s="62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5.75" customHeight="1" s="64">
      <c r="A821" s="62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5.75" customHeight="1" s="64">
      <c r="A822" s="62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5.75" customHeight="1" s="64">
      <c r="A823" s="62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5.75" customHeight="1" s="64">
      <c r="A824" s="62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5.75" customHeight="1" s="64">
      <c r="A825" s="62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5.75" customHeight="1" s="64">
      <c r="A826" s="62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5.75" customHeight="1" s="64">
      <c r="A827" s="62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5.75" customHeight="1" s="64">
      <c r="A828" s="62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5.75" customHeight="1" s="64">
      <c r="A829" s="62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5.75" customHeight="1" s="64">
      <c r="A830" s="62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5.75" customHeight="1" s="64">
      <c r="A831" s="62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5.75" customHeight="1" s="64">
      <c r="A832" s="62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5.75" customHeight="1" s="64">
      <c r="A833" s="62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5.75" customHeight="1" s="64">
      <c r="A834" s="62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5.75" customHeight="1" s="64">
      <c r="A835" s="62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5.75" customHeight="1" s="64">
      <c r="A836" s="62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5.75" customHeight="1" s="64">
      <c r="A837" s="62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5.75" customHeight="1" s="64">
      <c r="A838" s="62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5.75" customHeight="1" s="64">
      <c r="A839" s="62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5.75" customHeight="1" s="64">
      <c r="A840" s="62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5.75" customHeight="1" s="64">
      <c r="A841" s="62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5.75" customHeight="1" s="64">
      <c r="A842" s="62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5.75" customHeight="1" s="64">
      <c r="A843" s="62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5.75" customHeight="1" s="64">
      <c r="A844" s="62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5.75" customHeight="1" s="64">
      <c r="A845" s="62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5.75" customHeight="1" s="64">
      <c r="A846" s="62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5.75" customHeight="1" s="64">
      <c r="A847" s="62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5.75" customHeight="1" s="64">
      <c r="A848" s="62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5.75" customHeight="1" s="64">
      <c r="A849" s="62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5.75" customHeight="1" s="64">
      <c r="A850" s="62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5.75" customHeight="1" s="64">
      <c r="A851" s="62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5.75" customHeight="1" s="64">
      <c r="A852" s="62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5.75" customHeight="1" s="64">
      <c r="A853" s="62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5.75" customHeight="1" s="64">
      <c r="A854" s="62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5.75" customHeight="1" s="64">
      <c r="A855" s="62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5.75" customHeight="1" s="64">
      <c r="A856" s="62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5.75" customHeight="1" s="64">
      <c r="A857" s="62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5.75" customHeight="1" s="64">
      <c r="A858" s="62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5.75" customHeight="1" s="64">
      <c r="A859" s="62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5.75" customHeight="1" s="64">
      <c r="A860" s="62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5.75" customHeight="1" s="64">
      <c r="A861" s="62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5.75" customHeight="1" s="64">
      <c r="A862" s="62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5.75" customHeight="1" s="64">
      <c r="A863" s="62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5.75" customHeight="1" s="64">
      <c r="A864" s="62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5.75" customHeight="1" s="64">
      <c r="A865" s="62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5.75" customHeight="1" s="64">
      <c r="A866" s="62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5.75" customHeight="1" s="64">
      <c r="A867" s="62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5.75" customHeight="1" s="64">
      <c r="A868" s="62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5.75" customHeight="1" s="64">
      <c r="A869" s="62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5.75" customHeight="1" s="64">
      <c r="A870" s="62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5.75" customHeight="1" s="64">
      <c r="A871" s="62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5.75" customHeight="1" s="64">
      <c r="A872" s="62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5.75" customHeight="1" s="64">
      <c r="A873" s="62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5.75" customHeight="1" s="64">
      <c r="A874" s="62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5.75" customHeight="1" s="64">
      <c r="A875" s="62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5.75" customHeight="1" s="64">
      <c r="A876" s="62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5.75" customHeight="1" s="64">
      <c r="A877" s="62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5.75" customHeight="1" s="64">
      <c r="A878" s="62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5.75" customHeight="1" s="64">
      <c r="A879" s="62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5.75" customHeight="1" s="64">
      <c r="A880" s="62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5.75" customHeight="1" s="64">
      <c r="A881" s="62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5.75" customHeight="1" s="64">
      <c r="A882" s="62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5.75" customHeight="1" s="64">
      <c r="A883" s="62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5.75" customHeight="1" s="64">
      <c r="A884" s="62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5.75" customHeight="1" s="64">
      <c r="A885" s="62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5.75" customHeight="1" s="64">
      <c r="A886" s="62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5.75" customHeight="1" s="64">
      <c r="A887" s="62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5.75" customHeight="1" s="64">
      <c r="A888" s="62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5.75" customHeight="1" s="64">
      <c r="A889" s="62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5.75" customHeight="1" s="64">
      <c r="A890" s="62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5.75" customHeight="1" s="64">
      <c r="A891" s="62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5.75" customHeight="1" s="64">
      <c r="A892" s="62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5.75" customHeight="1" s="64">
      <c r="A893" s="62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5.75" customHeight="1" s="64">
      <c r="A894" s="62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5.75" customHeight="1" s="64">
      <c r="A895" s="62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5.75" customHeight="1" s="64">
      <c r="A896" s="62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5.75" customHeight="1" s="64">
      <c r="A897" s="62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5.75" customHeight="1" s="64">
      <c r="A898" s="62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5.75" customHeight="1" s="64">
      <c r="A899" s="62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5.75" customHeight="1" s="64">
      <c r="A900" s="62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5.75" customHeight="1" s="64">
      <c r="A901" s="62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5.75" customHeight="1" s="64">
      <c r="A902" s="62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5.75" customHeight="1" s="64">
      <c r="A903" s="62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5.75" customHeight="1" s="64">
      <c r="A904" s="62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5.75" customHeight="1" s="64">
      <c r="A905" s="62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5.75" customHeight="1" s="64">
      <c r="A906" s="62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5.75" customHeight="1" s="64">
      <c r="A907" s="62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5.75" customHeight="1" s="64">
      <c r="A908" s="62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5.75" customHeight="1" s="64">
      <c r="A909" s="62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5.75" customHeight="1" s="64">
      <c r="A910" s="62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5.75" customHeight="1" s="64">
      <c r="A911" s="62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5.75" customHeight="1" s="64">
      <c r="A912" s="62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5.75" customHeight="1" s="64">
      <c r="A913" s="62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5.75" customHeight="1" s="64">
      <c r="A914" s="62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5.75" customHeight="1" s="64">
      <c r="A915" s="62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5.75" customHeight="1" s="64">
      <c r="A916" s="62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5.75" customHeight="1" s="64">
      <c r="A917" s="62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5.75" customHeight="1" s="64">
      <c r="A918" s="62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5.75" customHeight="1" s="64">
      <c r="A919" s="62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5.75" customHeight="1" s="64">
      <c r="A920" s="62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5.75" customHeight="1" s="64">
      <c r="A921" s="62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5.75" customHeight="1" s="64">
      <c r="A922" s="62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5.75" customHeight="1" s="64">
      <c r="A923" s="62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5.75" customHeight="1" s="64">
      <c r="A924" s="62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5.75" customHeight="1" s="64">
      <c r="A925" s="62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5.75" customHeight="1" s="64">
      <c r="A926" s="62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5.75" customHeight="1" s="64">
      <c r="A927" s="62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5.75" customHeight="1" s="64">
      <c r="A928" s="62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5.75" customHeight="1" s="64">
      <c r="A929" s="62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5.75" customHeight="1" s="64">
      <c r="A930" s="62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5.75" customHeight="1" s="64">
      <c r="A931" s="62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5.75" customHeight="1" s="64">
      <c r="A932" s="62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5.75" customHeight="1" s="64">
      <c r="A933" s="62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5.75" customHeight="1" s="64">
      <c r="A934" s="62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5.75" customHeight="1" s="64">
      <c r="A935" s="62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5.75" customHeight="1" s="64">
      <c r="A936" s="62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5.75" customHeight="1" s="64">
      <c r="A937" s="62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5.75" customHeight="1" s="64">
      <c r="A938" s="62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5.75" customHeight="1" s="64">
      <c r="A939" s="62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5.75" customHeight="1" s="64">
      <c r="A940" s="62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5.75" customHeight="1" s="64">
      <c r="A941" s="62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5.75" customHeight="1" s="64">
      <c r="A942" s="62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5.75" customHeight="1" s="64">
      <c r="A943" s="62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5.75" customHeight="1" s="64">
      <c r="A944" s="62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5.75" customHeight="1" s="64">
      <c r="A945" s="62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5.75" customHeight="1" s="64">
      <c r="A946" s="62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5.75" customHeight="1" s="64">
      <c r="A947" s="62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5.75" customHeight="1" s="64">
      <c r="A948" s="62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5.75" customHeight="1" s="64">
      <c r="A949" s="62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5.75" customHeight="1" s="64">
      <c r="A950" s="62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5.75" customHeight="1" s="64">
      <c r="A951" s="62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5.75" customHeight="1" s="64">
      <c r="A952" s="62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5.75" customHeight="1" s="64">
      <c r="A953" s="62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5.75" customHeight="1" s="64">
      <c r="A954" s="62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5.75" customHeight="1" s="64">
      <c r="A955" s="62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5.75" customHeight="1" s="64">
      <c r="A956" s="62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5.75" customHeight="1" s="64">
      <c r="A957" s="62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5.75" customHeight="1" s="64">
      <c r="A958" s="62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5.75" customHeight="1" s="64">
      <c r="A959" s="62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5.75" customHeight="1" s="64">
      <c r="A960" s="62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5.75" customHeight="1" s="64">
      <c r="A961" s="62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5.75" customHeight="1" s="64">
      <c r="A962" s="62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5.75" customHeight="1" s="64">
      <c r="A963" s="62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5.75" customHeight="1" s="64">
      <c r="A964" s="62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5.75" customHeight="1" s="64">
      <c r="A965" s="62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5.75" customHeight="1" s="64">
      <c r="A966" s="62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5.75" customHeight="1" s="64">
      <c r="A967" s="62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5.75" customHeight="1" s="64">
      <c r="A968" s="62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5.75" customHeight="1" s="64">
      <c r="A969" s="62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5.75" customHeight="1" s="64">
      <c r="A970" s="62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5.75" customHeight="1" s="64">
      <c r="A971" s="62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5.75" customHeight="1" s="64">
      <c r="A972" s="62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5.75" customHeight="1" s="64">
      <c r="A973" s="62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5.75" customHeight="1" s="64">
      <c r="A974" s="62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5.75" customHeight="1" s="64">
      <c r="A975" s="62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5.75" customHeight="1" s="64">
      <c r="A976" s="62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5.75" customHeight="1" s="64">
      <c r="A977" s="62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5.75" customHeight="1" s="64">
      <c r="A978" s="62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5.75" customHeight="1" s="64">
      <c r="A979" s="62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5.75" customHeight="1" s="64">
      <c r="A980" s="62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5.75" customHeight="1" s="64">
      <c r="A981" s="62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5.75" customHeight="1" s="64">
      <c r="A982" s="62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5.75" customHeight="1" s="64">
      <c r="A983" s="62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5.75" customHeight="1" s="64">
      <c r="A984" s="62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5.75" customHeight="1" s="64">
      <c r="A985" s="62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5.75" customHeight="1" s="64">
      <c r="A986" s="62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5.75" customHeight="1" s="64">
      <c r="A987" s="62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5.75" customHeight="1" s="64">
      <c r="A988" s="62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5.75" customHeight="1" s="64">
      <c r="A989" s="62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5.75" customHeight="1" s="64">
      <c r="A990" s="62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5.75" customHeight="1" s="64">
      <c r="A991" s="62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5.75" customHeight="1" s="64">
      <c r="A992" s="62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5.75" customHeight="1" s="64">
      <c r="A993" s="62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5.75" customHeight="1" s="64">
      <c r="A994" s="62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5.75" customHeight="1" s="64">
      <c r="A995" s="62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5.75" customHeight="1" s="64">
      <c r="A996" s="62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5.75" customHeight="1" s="64">
      <c r="A997" s="62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5.75" customHeight="1" s="64">
      <c r="A998" s="62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5.75" customHeight="1" s="64">
      <c r="A999" s="62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5.75" customHeight="1" s="64">
      <c r="A1000" s="62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5.75" customHeight="1" s="64">
      <c r="A1001" s="62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5.75" customHeight="1" s="64">
      <c r="A1002" s="62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5.75" customHeight="1" s="64">
      <c r="A1003" s="62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5.75" customHeight="1" s="64">
      <c r="A1004" s="62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  <row r="1005" ht="15.75" customHeight="1" s="64">
      <c r="A1005" s="62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</row>
    <row r="1006" ht="15.75" customHeight="1" s="64">
      <c r="A1006" s="62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</row>
    <row r="1007" ht="15.75" customHeight="1" s="64">
      <c r="A1007" s="62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</row>
    <row r="1008" ht="15.75" customHeight="1" s="64">
      <c r="A1008" s="62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</row>
    <row r="1009" ht="15.75" customHeight="1" s="64">
      <c r="A1009" s="62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</row>
    <row r="1010" ht="15.75" customHeight="1" s="64">
      <c r="A1010" s="62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</row>
    <row r="1011" ht="15.75" customHeight="1" s="64">
      <c r="A1011" s="62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</row>
    <row r="1012" ht="15.75" customHeight="1" s="64">
      <c r="A1012" s="62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</row>
    <row r="1013" ht="15.75" customHeight="1" s="64">
      <c r="A1013" s="62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</row>
    <row r="1014" ht="15.75" customHeight="1" s="64">
      <c r="A1014" s="62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</row>
    <row r="1015" ht="15.75" customHeight="1" s="64">
      <c r="A1015" s="62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</row>
    <row r="1016" ht="15.75" customHeight="1" s="64">
      <c r="A1016" s="62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</row>
    <row r="1017" ht="15.75" customHeight="1" s="64">
      <c r="A1017" s="62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</row>
    <row r="1018" ht="15.75" customHeight="1" s="64">
      <c r="A1018" s="62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</row>
    <row r="1019" ht="15.75" customHeight="1" s="64">
      <c r="A1019" s="62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</row>
    <row r="1020" ht="15.75" customHeight="1" s="64">
      <c r="A1020" s="62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</row>
    <row r="1021" ht="15.75" customHeight="1" s="64">
      <c r="A1021" s="62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</row>
    <row r="1022" ht="15.75" customHeight="1" s="64">
      <c r="A1022" s="62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</row>
    <row r="1023" ht="15.75" customHeight="1" s="64">
      <c r="A1023" s="62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</row>
    <row r="1024" ht="15.75" customHeight="1" s="64">
      <c r="A1024" s="62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1" t="n"/>
      <c r="X1024" s="1" t="n"/>
      <c r="Y1024" s="1" t="n"/>
    </row>
    <row r="1025" ht="15.75" customHeight="1" s="64">
      <c r="A1025" s="62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s="1" t="n"/>
    </row>
    <row r="1026" ht="15.75" customHeight="1" s="64">
      <c r="A1026" s="62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1" t="n"/>
      <c r="X1026" s="1" t="n"/>
      <c r="Y1026" s="1" t="n"/>
    </row>
    <row r="1027" ht="15.75" customHeight="1" s="64">
      <c r="A1027" s="62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</row>
    <row r="1028" ht="15.75" customHeight="1" s="64">
      <c r="A1028" s="62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1" t="n"/>
      <c r="X1028" s="1" t="n"/>
      <c r="Y1028" s="1" t="n"/>
    </row>
    <row r="1029" ht="15.75" customHeight="1" s="64">
      <c r="A1029" s="62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</row>
    <row r="1030" ht="15.75" customHeight="1" s="64">
      <c r="A1030" s="62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1" t="n"/>
      <c r="X1030" s="1" t="n"/>
      <c r="Y1030" s="1" t="n"/>
    </row>
    <row r="1031" ht="15.75" customHeight="1" s="64">
      <c r="A1031" s="62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1" t="n"/>
      <c r="X1031" s="1" t="n"/>
      <c r="Y1031" s="1" t="n"/>
    </row>
    <row r="1032" ht="15.75" customHeight="1" s="64">
      <c r="A1032" s="62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1" t="n"/>
      <c r="X1032" s="1" t="n"/>
      <c r="Y1032" s="1" t="n"/>
    </row>
    <row r="1033" ht="15.75" customHeight="1" s="64">
      <c r="A1033" s="62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s="1" t="n"/>
    </row>
    <row r="1034" ht="15.75" customHeight="1" s="64">
      <c r="A1034" s="62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s="1" t="n"/>
      <c r="X1034" s="1" t="n"/>
      <c r="Y1034" s="1" t="n"/>
    </row>
    <row r="1035" ht="15.75" customHeight="1" s="64">
      <c r="A1035" s="62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1" t="n"/>
      <c r="X1035" s="1" t="n"/>
      <c r="Y1035" s="1" t="n"/>
    </row>
    <row r="1036" ht="15.75" customHeight="1" s="64">
      <c r="A1036" s="62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1" t="n"/>
      <c r="X1036" s="1" t="n"/>
      <c r="Y1036" s="1" t="n"/>
    </row>
    <row r="1037" ht="15.75" customHeight="1" s="64">
      <c r="A1037" s="62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1" t="n"/>
      <c r="X1037" s="1" t="n"/>
      <c r="Y1037" s="1" t="n"/>
    </row>
    <row r="1038" ht="15.75" customHeight="1" s="64">
      <c r="A1038" s="62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s="1" t="n"/>
      <c r="X1038" s="1" t="n"/>
      <c r="Y1038" s="1" t="n"/>
    </row>
    <row r="1039" ht="15.75" customHeight="1" s="64">
      <c r="A1039" s="62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1" t="n"/>
      <c r="X1039" s="1" t="n"/>
      <c r="Y1039" s="1" t="n"/>
    </row>
    <row r="1040" ht="15.75" customHeight="1" s="64">
      <c r="A1040" s="62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s="1" t="n"/>
      <c r="X1040" s="1" t="n"/>
      <c r="Y1040" s="1" t="n"/>
    </row>
    <row r="1041" ht="15.75" customHeight="1" s="64">
      <c r="A1041" s="62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1" t="n"/>
      <c r="X1041" s="1" t="n"/>
      <c r="Y1041" s="1" t="n"/>
    </row>
    <row r="1042" ht="15.75" customHeight="1" s="64">
      <c r="A1042" s="62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s="1" t="n"/>
      <c r="X1042" s="1" t="n"/>
      <c r="Y1042" s="1" t="n"/>
    </row>
    <row r="1043" ht="15.75" customHeight="1" s="64">
      <c r="A1043" s="62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s="1" t="n"/>
      <c r="X1043" s="1" t="n"/>
      <c r="Y1043" s="1" t="n"/>
    </row>
    <row r="1044" ht="15.75" customHeight="1" s="64">
      <c r="A1044" s="62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1" t="n"/>
      <c r="Q1044" s="1" t="n"/>
      <c r="R1044" s="1" t="n"/>
      <c r="S1044" s="1" t="n"/>
      <c r="T1044" s="1" t="n"/>
      <c r="U1044" s="1" t="n"/>
      <c r="V1044" s="1" t="n"/>
      <c r="W1044" s="1" t="n"/>
      <c r="X1044" s="1" t="n"/>
      <c r="Y1044" s="1" t="n"/>
    </row>
    <row r="1045" ht="15.75" customHeight="1" s="64">
      <c r="A1045" s="62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s="1" t="n"/>
      <c r="X1045" s="1" t="n"/>
      <c r="Y1045" s="1" t="n"/>
    </row>
    <row r="1046" ht="15.75" customHeight="1" s="64">
      <c r="A1046" s="62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s="1" t="n"/>
      <c r="X1046" s="1" t="n"/>
      <c r="Y1046" s="1" t="n"/>
    </row>
    <row r="1047" ht="15.75" customHeight="1" s="64">
      <c r="A1047" s="62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s="1" t="n"/>
      <c r="X1047" s="1" t="n"/>
      <c r="Y1047" s="1" t="n"/>
    </row>
    <row r="1048" ht="15.75" customHeight="1" s="64">
      <c r="A1048" s="62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1" t="n"/>
      <c r="Q1048" s="1" t="n"/>
      <c r="R1048" s="1" t="n"/>
      <c r="S1048" s="1" t="n"/>
      <c r="T1048" s="1" t="n"/>
      <c r="U1048" s="1" t="n"/>
      <c r="V1048" s="1" t="n"/>
      <c r="W1048" s="1" t="n"/>
      <c r="X1048" s="1" t="n"/>
      <c r="Y1048" s="1" t="n"/>
    </row>
    <row r="1049" ht="15.75" customHeight="1" s="64">
      <c r="A1049" s="62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1" t="n"/>
      <c r="Q1049" s="1" t="n"/>
      <c r="R1049" s="1" t="n"/>
      <c r="S1049" s="1" t="n"/>
      <c r="T1049" s="1" t="n"/>
      <c r="U1049" s="1" t="n"/>
      <c r="V1049" s="1" t="n"/>
      <c r="W1049" s="1" t="n"/>
      <c r="X1049" s="1" t="n"/>
      <c r="Y1049" s="1" t="n"/>
    </row>
    <row r="1050" ht="15.75" customHeight="1" s="64">
      <c r="A1050" s="62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1" t="n"/>
      <c r="Q1050" s="1" t="n"/>
      <c r="R1050" s="1" t="n"/>
      <c r="S1050" s="1" t="n"/>
      <c r="T1050" s="1" t="n"/>
      <c r="U1050" s="1" t="n"/>
      <c r="V1050" s="1" t="n"/>
      <c r="W1050" s="1" t="n"/>
      <c r="X1050" s="1" t="n"/>
      <c r="Y1050" s="1" t="n"/>
    </row>
    <row r="1051" ht="15.75" customHeight="1" s="64">
      <c r="A1051" s="62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s="1" t="n"/>
      <c r="X1051" s="1" t="n"/>
      <c r="Y1051" s="1" t="n"/>
    </row>
    <row r="1052" ht="15.75" customHeight="1" s="64">
      <c r="A1052" s="62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1" t="n"/>
      <c r="Q1052" s="1" t="n"/>
      <c r="R1052" s="1" t="n"/>
      <c r="S1052" s="1" t="n"/>
      <c r="T1052" s="1" t="n"/>
      <c r="U1052" s="1" t="n"/>
      <c r="V1052" s="1" t="n"/>
      <c r="W1052" s="1" t="n"/>
      <c r="X1052" s="1" t="n"/>
      <c r="Y1052" s="1" t="n"/>
    </row>
    <row r="1053" ht="15.75" customHeight="1" s="64">
      <c r="A1053" s="62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1" t="n"/>
      <c r="Q1053" s="1" t="n"/>
      <c r="R1053" s="1" t="n"/>
      <c r="S1053" s="1" t="n"/>
      <c r="T1053" s="1" t="n"/>
      <c r="U1053" s="1" t="n"/>
      <c r="V1053" s="1" t="n"/>
      <c r="W1053" s="1" t="n"/>
      <c r="X1053" s="1" t="n"/>
      <c r="Y1053" s="1" t="n"/>
    </row>
    <row r="1054" ht="15.75" customHeight="1" s="64">
      <c r="A1054" s="62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1" t="n"/>
      <c r="Q1054" s="1" t="n"/>
      <c r="R1054" s="1" t="n"/>
      <c r="S1054" s="1" t="n"/>
      <c r="T1054" s="1" t="n"/>
      <c r="U1054" s="1" t="n"/>
      <c r="V1054" s="1" t="n"/>
      <c r="W1054" s="1" t="n"/>
      <c r="X1054" s="1" t="n"/>
      <c r="Y1054" s="1" t="n"/>
    </row>
    <row r="1055" ht="15.75" customHeight="1" s="64">
      <c r="A1055" s="62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1" t="n"/>
      <c r="Q1055" s="1" t="n"/>
      <c r="R1055" s="1" t="n"/>
      <c r="S1055" s="1" t="n"/>
      <c r="T1055" s="1" t="n"/>
      <c r="U1055" s="1" t="n"/>
      <c r="V1055" s="1" t="n"/>
      <c r="W1055" s="1" t="n"/>
      <c r="X1055" s="1" t="n"/>
      <c r="Y1055" s="1" t="n"/>
    </row>
    <row r="1056" ht="15.75" customHeight="1" s="64">
      <c r="A1056" s="62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1" t="n"/>
      <c r="Q1056" s="1" t="n"/>
      <c r="R1056" s="1" t="n"/>
      <c r="S1056" s="1" t="n"/>
      <c r="T1056" s="1" t="n"/>
      <c r="U1056" s="1" t="n"/>
      <c r="V1056" s="1" t="n"/>
      <c r="W1056" s="1" t="n"/>
      <c r="X1056" s="1" t="n"/>
      <c r="Y1056" s="1" t="n"/>
    </row>
    <row r="1057" ht="15.75" customHeight="1" s="64">
      <c r="A1057" s="62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1" t="n"/>
      <c r="Q1057" s="1" t="n"/>
      <c r="R1057" s="1" t="n"/>
      <c r="S1057" s="1" t="n"/>
      <c r="T1057" s="1" t="n"/>
      <c r="U1057" s="1" t="n"/>
      <c r="V1057" s="1" t="n"/>
      <c r="W1057" s="1" t="n"/>
      <c r="X1057" s="1" t="n"/>
      <c r="Y1057" s="1" t="n"/>
    </row>
    <row r="1058" ht="15.75" customHeight="1" s="64">
      <c r="A1058" s="62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1" t="n"/>
      <c r="Q1058" s="1" t="n"/>
      <c r="R1058" s="1" t="n"/>
      <c r="S1058" s="1" t="n"/>
      <c r="T1058" s="1" t="n"/>
      <c r="U1058" s="1" t="n"/>
      <c r="V1058" s="1" t="n"/>
      <c r="W1058" s="1" t="n"/>
      <c r="X1058" s="1" t="n"/>
      <c r="Y1058" s="1" t="n"/>
    </row>
    <row r="1059" ht="15.75" customHeight="1" s="64">
      <c r="A1059" s="62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1" t="n"/>
      <c r="Q1059" s="1" t="n"/>
      <c r="R1059" s="1" t="n"/>
      <c r="S1059" s="1" t="n"/>
      <c r="T1059" s="1" t="n"/>
      <c r="U1059" s="1" t="n"/>
      <c r="V1059" s="1" t="n"/>
      <c r="W1059" s="1" t="n"/>
      <c r="X1059" s="1" t="n"/>
      <c r="Y1059" s="1" t="n"/>
    </row>
    <row r="1060" ht="15.75" customHeight="1" s="64">
      <c r="A1060" s="62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1" t="n"/>
      <c r="Q1060" s="1" t="n"/>
      <c r="R1060" s="1" t="n"/>
      <c r="S1060" s="1" t="n"/>
      <c r="T1060" s="1" t="n"/>
      <c r="U1060" s="1" t="n"/>
      <c r="V1060" s="1" t="n"/>
      <c r="W1060" s="1" t="n"/>
      <c r="X1060" s="1" t="n"/>
      <c r="Y1060" s="1" t="n"/>
    </row>
    <row r="1061" ht="15.75" customHeight="1" s="64">
      <c r="A1061" s="62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1" t="n"/>
      <c r="Q1061" s="1" t="n"/>
      <c r="R1061" s="1" t="n"/>
      <c r="S1061" s="1" t="n"/>
      <c r="T1061" s="1" t="n"/>
      <c r="U1061" s="1" t="n"/>
      <c r="V1061" s="1" t="n"/>
      <c r="W1061" s="1" t="n"/>
      <c r="X1061" s="1" t="n"/>
      <c r="Y1061" s="1" t="n"/>
    </row>
    <row r="1062" ht="15.75" customHeight="1" s="64">
      <c r="A1062" s="62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1" t="n"/>
      <c r="Q1062" s="1" t="n"/>
      <c r="R1062" s="1" t="n"/>
      <c r="S1062" s="1" t="n"/>
      <c r="T1062" s="1" t="n"/>
      <c r="U1062" s="1" t="n"/>
      <c r="V1062" s="1" t="n"/>
      <c r="W1062" s="1" t="n"/>
      <c r="X1062" s="1" t="n"/>
      <c r="Y1062" s="1" t="n"/>
    </row>
    <row r="1063" ht="15.75" customHeight="1" s="64">
      <c r="A1063" s="62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1" t="n"/>
      <c r="Q1063" s="1" t="n"/>
      <c r="R1063" s="1" t="n"/>
      <c r="S1063" s="1" t="n"/>
      <c r="T1063" s="1" t="n"/>
      <c r="U1063" s="1" t="n"/>
      <c r="V1063" s="1" t="n"/>
      <c r="W1063" s="1" t="n"/>
      <c r="X1063" s="1" t="n"/>
      <c r="Y1063" s="1" t="n"/>
    </row>
    <row r="1064" ht="15.75" customHeight="1" s="64">
      <c r="A1064" s="62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1" t="n"/>
      <c r="Q1064" s="1" t="n"/>
      <c r="R1064" s="1" t="n"/>
      <c r="S1064" s="1" t="n"/>
      <c r="T1064" s="1" t="n"/>
      <c r="U1064" s="1" t="n"/>
      <c r="V1064" s="1" t="n"/>
      <c r="W1064" s="1" t="n"/>
      <c r="X1064" s="1" t="n"/>
      <c r="Y1064" s="1" t="n"/>
    </row>
    <row r="1065" ht="15.75" customHeight="1" s="64">
      <c r="A1065" s="62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1" t="n"/>
      <c r="Q1065" s="1" t="n"/>
      <c r="R1065" s="1" t="n"/>
      <c r="S1065" s="1" t="n"/>
      <c r="T1065" s="1" t="n"/>
      <c r="U1065" s="1" t="n"/>
      <c r="V1065" s="1" t="n"/>
      <c r="W1065" s="1" t="n"/>
      <c r="X1065" s="1" t="n"/>
      <c r="Y1065" s="1" t="n"/>
    </row>
    <row r="1066" ht="15.75" customHeight="1" s="64">
      <c r="A1066" s="62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1" t="n"/>
      <c r="Q1066" s="1" t="n"/>
      <c r="R1066" s="1" t="n"/>
      <c r="S1066" s="1" t="n"/>
      <c r="T1066" s="1" t="n"/>
      <c r="U1066" s="1" t="n"/>
      <c r="V1066" s="1" t="n"/>
      <c r="W1066" s="1" t="n"/>
      <c r="X1066" s="1" t="n"/>
      <c r="Y1066" s="1" t="n"/>
    </row>
    <row r="1067" ht="15.75" customHeight="1" s="64">
      <c r="A1067" s="62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1" t="n"/>
      <c r="Q1067" s="1" t="n"/>
      <c r="R1067" s="1" t="n"/>
      <c r="S1067" s="1" t="n"/>
      <c r="T1067" s="1" t="n"/>
      <c r="U1067" s="1" t="n"/>
      <c r="V1067" s="1" t="n"/>
      <c r="W1067" s="1" t="n"/>
      <c r="X1067" s="1" t="n"/>
      <c r="Y1067" s="1" t="n"/>
    </row>
    <row r="1068" ht="15.75" customHeight="1" s="64">
      <c r="A1068" s="62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1" t="n"/>
      <c r="Q1068" s="1" t="n"/>
      <c r="R1068" s="1" t="n"/>
      <c r="S1068" s="1" t="n"/>
      <c r="T1068" s="1" t="n"/>
      <c r="U1068" s="1" t="n"/>
      <c r="V1068" s="1" t="n"/>
      <c r="W1068" s="1" t="n"/>
      <c r="X1068" s="1" t="n"/>
      <c r="Y1068" s="1" t="n"/>
    </row>
    <row r="1069" ht="15.75" customHeight="1" s="64">
      <c r="A1069" s="62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1" t="n"/>
      <c r="Q1069" s="1" t="n"/>
      <c r="R1069" s="1" t="n"/>
      <c r="S1069" s="1" t="n"/>
      <c r="T1069" s="1" t="n"/>
      <c r="U1069" s="1" t="n"/>
      <c r="V1069" s="1" t="n"/>
      <c r="W1069" s="1" t="n"/>
      <c r="X1069" s="1" t="n"/>
      <c r="Y1069" s="1" t="n"/>
    </row>
    <row r="1070" ht="15.75" customHeight="1" s="64">
      <c r="A1070" s="62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1" t="n"/>
      <c r="Q1070" s="1" t="n"/>
      <c r="R1070" s="1" t="n"/>
      <c r="S1070" s="1" t="n"/>
      <c r="T1070" s="1" t="n"/>
      <c r="U1070" s="1" t="n"/>
      <c r="V1070" s="1" t="n"/>
      <c r="W1070" s="1" t="n"/>
      <c r="X1070" s="1" t="n"/>
      <c r="Y1070" s="1" t="n"/>
    </row>
    <row r="1071" ht="15.75" customHeight="1" s="64">
      <c r="A1071" s="62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1" t="n"/>
      <c r="Q1071" s="1" t="n"/>
      <c r="R1071" s="1" t="n"/>
      <c r="S1071" s="1" t="n"/>
      <c r="T1071" s="1" t="n"/>
      <c r="U1071" s="1" t="n"/>
      <c r="V1071" s="1" t="n"/>
      <c r="W1071" s="1" t="n"/>
      <c r="X1071" s="1" t="n"/>
      <c r="Y1071" s="1" t="n"/>
    </row>
    <row r="1072" ht="15.75" customHeight="1" s="64">
      <c r="A1072" s="62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1" t="n"/>
      <c r="Q1072" s="1" t="n"/>
      <c r="R1072" s="1" t="n"/>
      <c r="S1072" s="1" t="n"/>
      <c r="T1072" s="1" t="n"/>
      <c r="U1072" s="1" t="n"/>
      <c r="V1072" s="1" t="n"/>
      <c r="W1072" s="1" t="n"/>
      <c r="X1072" s="1" t="n"/>
      <c r="Y1072" s="1" t="n"/>
    </row>
    <row r="1073" ht="15.75" customHeight="1" s="64">
      <c r="A1073" s="62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1" t="n"/>
      <c r="Q1073" s="1" t="n"/>
      <c r="R1073" s="1" t="n"/>
      <c r="S1073" s="1" t="n"/>
      <c r="T1073" s="1" t="n"/>
      <c r="U1073" s="1" t="n"/>
      <c r="V1073" s="1" t="n"/>
      <c r="W1073" s="1" t="n"/>
      <c r="X1073" s="1" t="n"/>
      <c r="Y1073" s="1" t="n"/>
    </row>
    <row r="1074" ht="15.75" customHeight="1" s="64">
      <c r="A1074" s="62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1" t="n"/>
      <c r="Q1074" s="1" t="n"/>
      <c r="R1074" s="1" t="n"/>
      <c r="S1074" s="1" t="n"/>
      <c r="T1074" s="1" t="n"/>
      <c r="U1074" s="1" t="n"/>
      <c r="V1074" s="1" t="n"/>
      <c r="W1074" s="1" t="n"/>
      <c r="X1074" s="1" t="n"/>
      <c r="Y1074" s="1" t="n"/>
    </row>
    <row r="1075" ht="15.75" customHeight="1" s="64">
      <c r="A1075" s="62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1" t="n"/>
      <c r="Q1075" s="1" t="n"/>
      <c r="R1075" s="1" t="n"/>
      <c r="S1075" s="1" t="n"/>
      <c r="T1075" s="1" t="n"/>
      <c r="U1075" s="1" t="n"/>
      <c r="V1075" s="1" t="n"/>
      <c r="W1075" s="1" t="n"/>
      <c r="X1075" s="1" t="n"/>
      <c r="Y1075" s="1" t="n"/>
    </row>
    <row r="1076" ht="15.75" customHeight="1" s="64">
      <c r="A1076" s="62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1" t="n"/>
      <c r="Q1076" s="1" t="n"/>
      <c r="R1076" s="1" t="n"/>
      <c r="S1076" s="1" t="n"/>
      <c r="T1076" s="1" t="n"/>
      <c r="U1076" s="1" t="n"/>
      <c r="V1076" s="1" t="n"/>
      <c r="W1076" s="1" t="n"/>
      <c r="X1076" s="1" t="n"/>
      <c r="Y1076" s="1" t="n"/>
    </row>
    <row r="1077" ht="15.75" customHeight="1" s="64">
      <c r="A1077" s="62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1" t="n"/>
      <c r="Q1077" s="1" t="n"/>
      <c r="R1077" s="1" t="n"/>
      <c r="S1077" s="1" t="n"/>
      <c r="T1077" s="1" t="n"/>
      <c r="U1077" s="1" t="n"/>
      <c r="V1077" s="1" t="n"/>
      <c r="W1077" s="1" t="n"/>
      <c r="X1077" s="1" t="n"/>
      <c r="Y1077" s="1" t="n"/>
    </row>
    <row r="1078" ht="15.75" customHeight="1" s="64">
      <c r="A1078" s="62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1" t="n"/>
      <c r="Q1078" s="1" t="n"/>
      <c r="R1078" s="1" t="n"/>
      <c r="S1078" s="1" t="n"/>
      <c r="T1078" s="1" t="n"/>
      <c r="U1078" s="1" t="n"/>
      <c r="V1078" s="1" t="n"/>
      <c r="W1078" s="1" t="n"/>
      <c r="X1078" s="1" t="n"/>
      <c r="Y1078" s="1" t="n"/>
    </row>
    <row r="1079" ht="15.75" customHeight="1" s="64">
      <c r="A1079" s="62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1" t="n"/>
      <c r="Q1079" s="1" t="n"/>
      <c r="R1079" s="1" t="n"/>
      <c r="S1079" s="1" t="n"/>
      <c r="T1079" s="1" t="n"/>
      <c r="U1079" s="1" t="n"/>
      <c r="V1079" s="1" t="n"/>
      <c r="W1079" s="1" t="n"/>
      <c r="X1079" s="1" t="n"/>
      <c r="Y1079" s="1" t="n"/>
    </row>
    <row r="1080" ht="15.75" customHeight="1" s="64">
      <c r="A1080" s="62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1" t="n"/>
      <c r="Q1080" s="1" t="n"/>
      <c r="R1080" s="1" t="n"/>
      <c r="S1080" s="1" t="n"/>
      <c r="T1080" s="1" t="n"/>
      <c r="U1080" s="1" t="n"/>
      <c r="V1080" s="1" t="n"/>
      <c r="W1080" s="1" t="n"/>
      <c r="X1080" s="1" t="n"/>
      <c r="Y1080" s="1" t="n"/>
    </row>
    <row r="1081" ht="15.75" customHeight="1" s="64">
      <c r="A1081" s="62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1" t="n"/>
      <c r="Q1081" s="1" t="n"/>
      <c r="R1081" s="1" t="n"/>
      <c r="S1081" s="1" t="n"/>
      <c r="T1081" s="1" t="n"/>
      <c r="U1081" s="1" t="n"/>
      <c r="V1081" s="1" t="n"/>
      <c r="W1081" s="1" t="n"/>
      <c r="X1081" s="1" t="n"/>
      <c r="Y1081" s="1" t="n"/>
    </row>
    <row r="1082" ht="15.75" customHeight="1" s="64">
      <c r="A1082" s="62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1" t="n"/>
      <c r="Q1082" s="1" t="n"/>
      <c r="R1082" s="1" t="n"/>
      <c r="S1082" s="1" t="n"/>
      <c r="T1082" s="1" t="n"/>
      <c r="U1082" s="1" t="n"/>
      <c r="V1082" s="1" t="n"/>
      <c r="W1082" s="1" t="n"/>
      <c r="X1082" s="1" t="n"/>
      <c r="Y1082" s="1" t="n"/>
    </row>
    <row r="1083" ht="15.75" customHeight="1" s="64">
      <c r="A1083" s="62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1" t="n"/>
      <c r="Q1083" s="1" t="n"/>
      <c r="R1083" s="1" t="n"/>
      <c r="S1083" s="1" t="n"/>
      <c r="T1083" s="1" t="n"/>
      <c r="U1083" s="1" t="n"/>
      <c r="V1083" s="1" t="n"/>
      <c r="W1083" s="1" t="n"/>
      <c r="X1083" s="1" t="n"/>
      <c r="Y1083" s="1" t="n"/>
    </row>
    <row r="1084" ht="15.75" customHeight="1" s="64">
      <c r="A1084" s="62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1" t="n"/>
      <c r="Q1084" s="1" t="n"/>
      <c r="R1084" s="1" t="n"/>
      <c r="S1084" s="1" t="n"/>
      <c r="T1084" s="1" t="n"/>
      <c r="U1084" s="1" t="n"/>
      <c r="V1084" s="1" t="n"/>
      <c r="W1084" s="1" t="n"/>
      <c r="X1084" s="1" t="n"/>
      <c r="Y1084" s="1" t="n"/>
    </row>
    <row r="1085" ht="15.75" customHeight="1" s="64">
      <c r="A1085" s="62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1" t="n"/>
      <c r="Q1085" s="1" t="n"/>
      <c r="R1085" s="1" t="n"/>
      <c r="S1085" s="1" t="n"/>
      <c r="T1085" s="1" t="n"/>
      <c r="U1085" s="1" t="n"/>
      <c r="V1085" s="1" t="n"/>
      <c r="W1085" s="1" t="n"/>
      <c r="X1085" s="1" t="n"/>
      <c r="Y1085" s="1" t="n"/>
    </row>
    <row r="1086" ht="15.75" customHeight="1" s="64">
      <c r="A1086" s="62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1" t="n"/>
      <c r="Q1086" s="1" t="n"/>
      <c r="R1086" s="1" t="n"/>
      <c r="S1086" s="1" t="n"/>
      <c r="T1086" s="1" t="n"/>
      <c r="U1086" s="1" t="n"/>
      <c r="V1086" s="1" t="n"/>
      <c r="W1086" s="1" t="n"/>
      <c r="X1086" s="1" t="n"/>
      <c r="Y1086" s="1" t="n"/>
    </row>
    <row r="1087" ht="15.75" customHeight="1" s="64">
      <c r="A1087" s="62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1" t="n"/>
      <c r="Q1087" s="1" t="n"/>
      <c r="R1087" s="1" t="n"/>
      <c r="S1087" s="1" t="n"/>
      <c r="T1087" s="1" t="n"/>
      <c r="U1087" s="1" t="n"/>
      <c r="V1087" s="1" t="n"/>
      <c r="W1087" s="1" t="n"/>
      <c r="X1087" s="1" t="n"/>
      <c r="Y1087" s="1" t="n"/>
    </row>
    <row r="1088" ht="15.75" customHeight="1" s="64">
      <c r="A1088" s="62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1" t="n"/>
      <c r="Q1088" s="1" t="n"/>
      <c r="R1088" s="1" t="n"/>
      <c r="S1088" s="1" t="n"/>
      <c r="T1088" s="1" t="n"/>
      <c r="U1088" s="1" t="n"/>
      <c r="V1088" s="1" t="n"/>
      <c r="W1088" s="1" t="n"/>
      <c r="X1088" s="1" t="n"/>
      <c r="Y1088" s="1" t="n"/>
    </row>
    <row r="1089" ht="15.75" customHeight="1" s="64">
      <c r="A1089" s="62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1" t="n"/>
      <c r="Q1089" s="1" t="n"/>
      <c r="R1089" s="1" t="n"/>
      <c r="S1089" s="1" t="n"/>
      <c r="T1089" s="1" t="n"/>
      <c r="U1089" s="1" t="n"/>
      <c r="V1089" s="1" t="n"/>
      <c r="W1089" s="1" t="n"/>
      <c r="X1089" s="1" t="n"/>
      <c r="Y1089" s="1" t="n"/>
    </row>
    <row r="1090" ht="15.75" customHeight="1" s="64">
      <c r="A1090" s="62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1" t="n"/>
      <c r="Q1090" s="1" t="n"/>
      <c r="R1090" s="1" t="n"/>
      <c r="S1090" s="1" t="n"/>
      <c r="T1090" s="1" t="n"/>
      <c r="U1090" s="1" t="n"/>
      <c r="V1090" s="1" t="n"/>
      <c r="W1090" s="1" t="n"/>
      <c r="X1090" s="1" t="n"/>
      <c r="Y1090" s="1" t="n"/>
    </row>
    <row r="1091" ht="15.75" customHeight="1" s="64">
      <c r="A1091" s="62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1" t="n"/>
      <c r="Q1091" s="1" t="n"/>
      <c r="R1091" s="1" t="n"/>
      <c r="S1091" s="1" t="n"/>
      <c r="T1091" s="1" t="n"/>
      <c r="U1091" s="1" t="n"/>
      <c r="V1091" s="1" t="n"/>
      <c r="W1091" s="1" t="n"/>
      <c r="X1091" s="1" t="n"/>
      <c r="Y1091" s="1" t="n"/>
    </row>
    <row r="1092" ht="15.75" customHeight="1" s="64">
      <c r="A1092" s="62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1" t="n"/>
      <c r="Q1092" s="1" t="n"/>
      <c r="R1092" s="1" t="n"/>
      <c r="S1092" s="1" t="n"/>
      <c r="T1092" s="1" t="n"/>
      <c r="U1092" s="1" t="n"/>
      <c r="V1092" s="1" t="n"/>
      <c r="W1092" s="1" t="n"/>
      <c r="X1092" s="1" t="n"/>
      <c r="Y1092" s="1" t="n"/>
    </row>
    <row r="1093" ht="15.75" customHeight="1" s="64">
      <c r="A1093" s="62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1" t="n"/>
      <c r="Q1093" s="1" t="n"/>
      <c r="R1093" s="1" t="n"/>
      <c r="S1093" s="1" t="n"/>
      <c r="T1093" s="1" t="n"/>
      <c r="U1093" s="1" t="n"/>
      <c r="V1093" s="1" t="n"/>
      <c r="W1093" s="1" t="n"/>
      <c r="X1093" s="1" t="n"/>
      <c r="Y1093" s="1" t="n"/>
    </row>
    <row r="1094" ht="15.75" customHeight="1" s="64">
      <c r="A1094" s="62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1" t="n"/>
      <c r="Q1094" s="1" t="n"/>
      <c r="R1094" s="1" t="n"/>
      <c r="S1094" s="1" t="n"/>
      <c r="T1094" s="1" t="n"/>
      <c r="U1094" s="1" t="n"/>
      <c r="V1094" s="1" t="n"/>
      <c r="W1094" s="1" t="n"/>
      <c r="X1094" s="1" t="n"/>
      <c r="Y1094" s="1" t="n"/>
    </row>
    <row r="1095" ht="15.75" customHeight="1" s="64">
      <c r="A1095" s="62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1" t="n"/>
      <c r="Q1095" s="1" t="n"/>
      <c r="R1095" s="1" t="n"/>
      <c r="S1095" s="1" t="n"/>
      <c r="T1095" s="1" t="n"/>
      <c r="U1095" s="1" t="n"/>
      <c r="V1095" s="1" t="n"/>
      <c r="W1095" s="1" t="n"/>
      <c r="X1095" s="1" t="n"/>
      <c r="Y1095" s="1" t="n"/>
    </row>
    <row r="1096" ht="15.75" customHeight="1" s="64">
      <c r="A1096" s="62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1" t="n"/>
      <c r="Q1096" s="1" t="n"/>
      <c r="R1096" s="1" t="n"/>
      <c r="S1096" s="1" t="n"/>
      <c r="T1096" s="1" t="n"/>
      <c r="U1096" s="1" t="n"/>
      <c r="V1096" s="1" t="n"/>
      <c r="W1096" s="1" t="n"/>
      <c r="X1096" s="1" t="n"/>
      <c r="Y1096" s="1" t="n"/>
    </row>
    <row r="1097" ht="15.75" customHeight="1" s="64">
      <c r="A1097" s="62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1" t="n"/>
      <c r="Q1097" s="1" t="n"/>
      <c r="R1097" s="1" t="n"/>
      <c r="S1097" s="1" t="n"/>
      <c r="T1097" s="1" t="n"/>
      <c r="U1097" s="1" t="n"/>
      <c r="V1097" s="1" t="n"/>
      <c r="W1097" s="1" t="n"/>
      <c r="X1097" s="1" t="n"/>
      <c r="Y1097" s="1" t="n"/>
    </row>
    <row r="1098" ht="15.75" customHeight="1" s="64">
      <c r="A1098" s="62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1" t="n"/>
      <c r="Q1098" s="1" t="n"/>
      <c r="R1098" s="1" t="n"/>
      <c r="S1098" s="1" t="n"/>
      <c r="T1098" s="1" t="n"/>
      <c r="U1098" s="1" t="n"/>
      <c r="V1098" s="1" t="n"/>
      <c r="W1098" s="1" t="n"/>
      <c r="X1098" s="1" t="n"/>
      <c r="Y1098" s="1" t="n"/>
    </row>
    <row r="1099" ht="15.75" customHeight="1" s="64">
      <c r="A1099" s="62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1" t="n"/>
      <c r="Q1099" s="1" t="n"/>
      <c r="R1099" s="1" t="n"/>
      <c r="S1099" s="1" t="n"/>
      <c r="T1099" s="1" t="n"/>
      <c r="U1099" s="1" t="n"/>
      <c r="V1099" s="1" t="n"/>
      <c r="W1099" s="1" t="n"/>
      <c r="X1099" s="1" t="n"/>
      <c r="Y1099" s="1" t="n"/>
    </row>
    <row r="1100" ht="15.75" customHeight="1" s="64">
      <c r="A1100" s="62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1" t="n"/>
      <c r="Q1100" s="1" t="n"/>
      <c r="R1100" s="1" t="n"/>
      <c r="S1100" s="1" t="n"/>
      <c r="T1100" s="1" t="n"/>
      <c r="U1100" s="1" t="n"/>
      <c r="V1100" s="1" t="n"/>
      <c r="W1100" s="1" t="n"/>
      <c r="X1100" s="1" t="n"/>
      <c r="Y1100" s="1" t="n"/>
    </row>
    <row r="1101" ht="15.75" customHeight="1" s="64">
      <c r="A1101" s="62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1" t="n"/>
      <c r="Q1101" s="1" t="n"/>
      <c r="R1101" s="1" t="n"/>
      <c r="S1101" s="1" t="n"/>
      <c r="T1101" s="1" t="n"/>
      <c r="U1101" s="1" t="n"/>
      <c r="V1101" s="1" t="n"/>
      <c r="W1101" s="1" t="n"/>
      <c r="X1101" s="1" t="n"/>
      <c r="Y1101" s="1" t="n"/>
    </row>
    <row r="1102" ht="15.75" customHeight="1" s="64">
      <c r="A1102" s="62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1" t="n"/>
      <c r="Q1102" s="1" t="n"/>
      <c r="R1102" s="1" t="n"/>
      <c r="S1102" s="1" t="n"/>
      <c r="T1102" s="1" t="n"/>
      <c r="U1102" s="1" t="n"/>
      <c r="V1102" s="1" t="n"/>
      <c r="W1102" s="1" t="n"/>
      <c r="X1102" s="1" t="n"/>
      <c r="Y1102" s="1" t="n"/>
    </row>
    <row r="1103" ht="15.75" customHeight="1" s="64">
      <c r="A1103" s="62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1" t="n"/>
      <c r="Q1103" s="1" t="n"/>
      <c r="R1103" s="1" t="n"/>
      <c r="S1103" s="1" t="n"/>
      <c r="T1103" s="1" t="n"/>
      <c r="U1103" s="1" t="n"/>
      <c r="V1103" s="1" t="n"/>
      <c r="W1103" s="1" t="n"/>
      <c r="X1103" s="1" t="n"/>
      <c r="Y1103" s="1" t="n"/>
    </row>
    <row r="1104" ht="15.75" customHeight="1" s="64">
      <c r="A1104" s="62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1" t="n"/>
      <c r="Q1104" s="1" t="n"/>
      <c r="R1104" s="1" t="n"/>
      <c r="S1104" s="1" t="n"/>
      <c r="T1104" s="1" t="n"/>
      <c r="U1104" s="1" t="n"/>
      <c r="V1104" s="1" t="n"/>
      <c r="W1104" s="1" t="n"/>
      <c r="X1104" s="1" t="n"/>
      <c r="Y1104" s="1" t="n"/>
    </row>
    <row r="1105" ht="15.75" customHeight="1" s="64">
      <c r="A1105" s="62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1" t="n"/>
      <c r="Q1105" s="1" t="n"/>
      <c r="R1105" s="1" t="n"/>
      <c r="S1105" s="1" t="n"/>
      <c r="T1105" s="1" t="n"/>
      <c r="U1105" s="1" t="n"/>
      <c r="V1105" s="1" t="n"/>
      <c r="W1105" s="1" t="n"/>
      <c r="X1105" s="1" t="n"/>
      <c r="Y1105" s="1" t="n"/>
    </row>
    <row r="1106" ht="15.75" customHeight="1" s="64">
      <c r="A1106" s="62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1" t="n"/>
      <c r="Q1106" s="1" t="n"/>
      <c r="R1106" s="1" t="n"/>
      <c r="S1106" s="1" t="n"/>
      <c r="T1106" s="1" t="n"/>
      <c r="U1106" s="1" t="n"/>
      <c r="V1106" s="1" t="n"/>
      <c r="W1106" s="1" t="n"/>
      <c r="X1106" s="1" t="n"/>
      <c r="Y1106" s="1" t="n"/>
    </row>
    <row r="1107" ht="15.75" customHeight="1" s="64">
      <c r="A1107" s="62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1" t="n"/>
      <c r="Q1107" s="1" t="n"/>
      <c r="R1107" s="1" t="n"/>
      <c r="S1107" s="1" t="n"/>
      <c r="T1107" s="1" t="n"/>
      <c r="U1107" s="1" t="n"/>
      <c r="V1107" s="1" t="n"/>
      <c r="W1107" s="1" t="n"/>
      <c r="X1107" s="1" t="n"/>
      <c r="Y1107" s="1" t="n"/>
    </row>
    <row r="1108" ht="15.75" customHeight="1" s="64">
      <c r="A1108" s="62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1" t="n"/>
      <c r="Q1108" s="1" t="n"/>
      <c r="R1108" s="1" t="n"/>
      <c r="S1108" s="1" t="n"/>
      <c r="T1108" s="1" t="n"/>
      <c r="U1108" s="1" t="n"/>
      <c r="V1108" s="1" t="n"/>
      <c r="W1108" s="1" t="n"/>
      <c r="X1108" s="1" t="n"/>
      <c r="Y1108" s="1" t="n"/>
    </row>
    <row r="1109" ht="15.75" customHeight="1" s="64">
      <c r="A1109" s="62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1" t="n"/>
      <c r="Q1109" s="1" t="n"/>
      <c r="R1109" s="1" t="n"/>
      <c r="S1109" s="1" t="n"/>
      <c r="T1109" s="1" t="n"/>
      <c r="U1109" s="1" t="n"/>
      <c r="V1109" s="1" t="n"/>
      <c r="W1109" s="1" t="n"/>
      <c r="X1109" s="1" t="n"/>
      <c r="Y1109" s="1" t="n"/>
    </row>
    <row r="1110" ht="15.75" customHeight="1" s="64">
      <c r="A1110" s="62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1" t="n"/>
      <c r="Q1110" s="1" t="n"/>
      <c r="R1110" s="1" t="n"/>
      <c r="S1110" s="1" t="n"/>
      <c r="T1110" s="1" t="n"/>
      <c r="U1110" s="1" t="n"/>
      <c r="V1110" s="1" t="n"/>
      <c r="W1110" s="1" t="n"/>
      <c r="X1110" s="1" t="n"/>
      <c r="Y1110" s="1" t="n"/>
    </row>
    <row r="1111" ht="15.75" customHeight="1" s="64">
      <c r="A1111" s="62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1" t="n"/>
      <c r="Q1111" s="1" t="n"/>
      <c r="R1111" s="1" t="n"/>
      <c r="S1111" s="1" t="n"/>
      <c r="T1111" s="1" t="n"/>
      <c r="U1111" s="1" t="n"/>
      <c r="V1111" s="1" t="n"/>
      <c r="W1111" s="1" t="n"/>
      <c r="X1111" s="1" t="n"/>
      <c r="Y1111" s="1" t="n"/>
    </row>
    <row r="1112" ht="15.75" customHeight="1" s="64">
      <c r="A1112" s="62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1" t="n"/>
      <c r="Q1112" s="1" t="n"/>
      <c r="R1112" s="1" t="n"/>
      <c r="S1112" s="1" t="n"/>
      <c r="T1112" s="1" t="n"/>
      <c r="U1112" s="1" t="n"/>
      <c r="V1112" s="1" t="n"/>
      <c r="W1112" s="1" t="n"/>
      <c r="X1112" s="1" t="n"/>
      <c r="Y1112" s="1" t="n"/>
    </row>
    <row r="1113" ht="15.75" customHeight="1" s="64">
      <c r="A1113" s="62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1" t="n"/>
      <c r="Q1113" s="1" t="n"/>
      <c r="R1113" s="1" t="n"/>
      <c r="S1113" s="1" t="n"/>
      <c r="T1113" s="1" t="n"/>
      <c r="U1113" s="1" t="n"/>
      <c r="V1113" s="1" t="n"/>
      <c r="W1113" s="1" t="n"/>
      <c r="X1113" s="1" t="n"/>
      <c r="Y1113" s="1" t="n"/>
    </row>
    <row r="1114" ht="15.75" customHeight="1" s="64">
      <c r="A1114" s="62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1" t="n"/>
      <c r="Q1114" s="1" t="n"/>
      <c r="R1114" s="1" t="n"/>
      <c r="S1114" s="1" t="n"/>
      <c r="T1114" s="1" t="n"/>
      <c r="U1114" s="1" t="n"/>
      <c r="V1114" s="1" t="n"/>
      <c r="W1114" s="1" t="n"/>
      <c r="X1114" s="1" t="n"/>
      <c r="Y1114" s="1" t="n"/>
    </row>
    <row r="1115" ht="15.75" customHeight="1" s="64">
      <c r="A1115" s="62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1" t="n"/>
      <c r="Q1115" s="1" t="n"/>
      <c r="R1115" s="1" t="n"/>
      <c r="S1115" s="1" t="n"/>
      <c r="T1115" s="1" t="n"/>
      <c r="U1115" s="1" t="n"/>
      <c r="V1115" s="1" t="n"/>
      <c r="W1115" s="1" t="n"/>
      <c r="X1115" s="1" t="n"/>
      <c r="Y1115" s="1" t="n"/>
    </row>
    <row r="1116" ht="15.75" customHeight="1" s="64">
      <c r="A1116" s="62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1" t="n"/>
      <c r="Q1116" s="1" t="n"/>
      <c r="R1116" s="1" t="n"/>
      <c r="S1116" s="1" t="n"/>
      <c r="T1116" s="1" t="n"/>
      <c r="U1116" s="1" t="n"/>
      <c r="V1116" s="1" t="n"/>
      <c r="W1116" s="1" t="n"/>
      <c r="X1116" s="1" t="n"/>
      <c r="Y1116" s="1" t="n"/>
    </row>
    <row r="1117" ht="15.75" customHeight="1" s="64">
      <c r="A1117" s="62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1" t="n"/>
      <c r="Q1117" s="1" t="n"/>
      <c r="R1117" s="1" t="n"/>
      <c r="S1117" s="1" t="n"/>
      <c r="T1117" s="1" t="n"/>
      <c r="U1117" s="1" t="n"/>
      <c r="V1117" s="1" t="n"/>
      <c r="W1117" s="1" t="n"/>
      <c r="X1117" s="1" t="n"/>
      <c r="Y1117" s="1" t="n"/>
    </row>
    <row r="1118" ht="15.75" customHeight="1" s="64">
      <c r="A1118" s="62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1" t="n"/>
      <c r="Q1118" s="1" t="n"/>
      <c r="R1118" s="1" t="n"/>
      <c r="S1118" s="1" t="n"/>
      <c r="T1118" s="1" t="n"/>
      <c r="U1118" s="1" t="n"/>
      <c r="V1118" s="1" t="n"/>
      <c r="W1118" s="1" t="n"/>
      <c r="X1118" s="1" t="n"/>
      <c r="Y1118" s="1" t="n"/>
    </row>
    <row r="1119" ht="15.75" customHeight="1" s="64">
      <c r="A1119" s="62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1" t="n"/>
      <c r="Q1119" s="1" t="n"/>
      <c r="R1119" s="1" t="n"/>
      <c r="S1119" s="1" t="n"/>
      <c r="T1119" s="1" t="n"/>
      <c r="U1119" s="1" t="n"/>
      <c r="V1119" s="1" t="n"/>
      <c r="W1119" s="1" t="n"/>
      <c r="X1119" s="1" t="n"/>
      <c r="Y1119" s="1" t="n"/>
    </row>
    <row r="1120" ht="15.75" customHeight="1" s="64">
      <c r="A1120" s="62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1" t="n"/>
      <c r="Q1120" s="1" t="n"/>
      <c r="R1120" s="1" t="n"/>
      <c r="S1120" s="1" t="n"/>
      <c r="T1120" s="1" t="n"/>
      <c r="U1120" s="1" t="n"/>
      <c r="V1120" s="1" t="n"/>
      <c r="W1120" s="1" t="n"/>
      <c r="X1120" s="1" t="n"/>
      <c r="Y1120" s="1" t="n"/>
    </row>
    <row r="1121" ht="15.75" customHeight="1" s="64">
      <c r="A1121" s="62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1" t="n"/>
      <c r="Q1121" s="1" t="n"/>
      <c r="R1121" s="1" t="n"/>
      <c r="S1121" s="1" t="n"/>
      <c r="T1121" s="1" t="n"/>
      <c r="U1121" s="1" t="n"/>
      <c r="V1121" s="1" t="n"/>
      <c r="W1121" s="1" t="n"/>
      <c r="X1121" s="1" t="n"/>
      <c r="Y1121" s="1" t="n"/>
    </row>
    <row r="1122" ht="15.75" customHeight="1" s="64">
      <c r="A1122" s="62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1" t="n"/>
      <c r="Q1122" s="1" t="n"/>
      <c r="R1122" s="1" t="n"/>
      <c r="S1122" s="1" t="n"/>
      <c r="T1122" s="1" t="n"/>
      <c r="U1122" s="1" t="n"/>
      <c r="V1122" s="1" t="n"/>
      <c r="W1122" s="1" t="n"/>
      <c r="X1122" s="1" t="n"/>
      <c r="Y1122" s="1" t="n"/>
    </row>
    <row r="1123" ht="15.75" customHeight="1" s="64">
      <c r="A1123" s="62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1" t="n"/>
      <c r="Q1123" s="1" t="n"/>
      <c r="R1123" s="1" t="n"/>
      <c r="S1123" s="1" t="n"/>
      <c r="T1123" s="1" t="n"/>
      <c r="U1123" s="1" t="n"/>
      <c r="V1123" s="1" t="n"/>
      <c r="W1123" s="1" t="n"/>
      <c r="X1123" s="1" t="n"/>
      <c r="Y1123" s="1" t="n"/>
    </row>
    <row r="1124" ht="15.75" customHeight="1" s="64">
      <c r="A1124" s="62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1" t="n"/>
      <c r="Q1124" s="1" t="n"/>
      <c r="R1124" s="1" t="n"/>
      <c r="S1124" s="1" t="n"/>
      <c r="T1124" s="1" t="n"/>
      <c r="U1124" s="1" t="n"/>
      <c r="V1124" s="1" t="n"/>
      <c r="W1124" s="1" t="n"/>
      <c r="X1124" s="1" t="n"/>
      <c r="Y1124" s="1" t="n"/>
    </row>
    <row r="1125" ht="15.75" customHeight="1" s="64">
      <c r="A1125" s="62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1" t="n"/>
      <c r="Q1125" s="1" t="n"/>
      <c r="R1125" s="1" t="n"/>
      <c r="S1125" s="1" t="n"/>
      <c r="T1125" s="1" t="n"/>
      <c r="U1125" s="1" t="n"/>
      <c r="V1125" s="1" t="n"/>
      <c r="W1125" s="1" t="n"/>
      <c r="X1125" s="1" t="n"/>
      <c r="Y1125" s="1" t="n"/>
    </row>
    <row r="1126" ht="15.75" customHeight="1" s="64">
      <c r="A1126" s="62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1" t="n"/>
      <c r="Q1126" s="1" t="n"/>
      <c r="R1126" s="1" t="n"/>
      <c r="S1126" s="1" t="n"/>
      <c r="T1126" s="1" t="n"/>
      <c r="U1126" s="1" t="n"/>
      <c r="V1126" s="1" t="n"/>
      <c r="W1126" s="1" t="n"/>
      <c r="X1126" s="1" t="n"/>
      <c r="Y1126" s="1" t="n"/>
    </row>
    <row r="1127" ht="15.75" customHeight="1" s="64">
      <c r="A1127" s="62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1" t="n"/>
      <c r="Q1127" s="1" t="n"/>
      <c r="R1127" s="1" t="n"/>
      <c r="S1127" s="1" t="n"/>
      <c r="T1127" s="1" t="n"/>
      <c r="U1127" s="1" t="n"/>
      <c r="V1127" s="1" t="n"/>
      <c r="W1127" s="1" t="n"/>
      <c r="X1127" s="1" t="n"/>
      <c r="Y1127" s="1" t="n"/>
    </row>
    <row r="1128" ht="15.75" customHeight="1" s="64">
      <c r="A1128" s="62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1" t="n"/>
      <c r="Q1128" s="1" t="n"/>
      <c r="R1128" s="1" t="n"/>
      <c r="S1128" s="1" t="n"/>
      <c r="T1128" s="1" t="n"/>
      <c r="U1128" s="1" t="n"/>
      <c r="V1128" s="1" t="n"/>
      <c r="W1128" s="1" t="n"/>
      <c r="X1128" s="1" t="n"/>
      <c r="Y1128" s="1" t="n"/>
    </row>
    <row r="1129" ht="15.75" customHeight="1" s="64">
      <c r="A1129" s="62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1" t="n"/>
      <c r="Q1129" s="1" t="n"/>
      <c r="R1129" s="1" t="n"/>
      <c r="S1129" s="1" t="n"/>
      <c r="T1129" s="1" t="n"/>
      <c r="U1129" s="1" t="n"/>
      <c r="V1129" s="1" t="n"/>
      <c r="W1129" s="1" t="n"/>
      <c r="X1129" s="1" t="n"/>
      <c r="Y1129" s="1" t="n"/>
    </row>
    <row r="1130" ht="15.75" customHeight="1" s="64">
      <c r="A1130" s="62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1" t="n"/>
      <c r="Q1130" s="1" t="n"/>
      <c r="R1130" s="1" t="n"/>
      <c r="S1130" s="1" t="n"/>
      <c r="T1130" s="1" t="n"/>
      <c r="U1130" s="1" t="n"/>
      <c r="V1130" s="1" t="n"/>
      <c r="W1130" s="1" t="n"/>
      <c r="X1130" s="1" t="n"/>
      <c r="Y1130" s="1" t="n"/>
    </row>
    <row r="1131" ht="15.75" customHeight="1" s="64">
      <c r="A1131" s="62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1" t="n"/>
      <c r="Q1131" s="1" t="n"/>
      <c r="R1131" s="1" t="n"/>
      <c r="S1131" s="1" t="n"/>
      <c r="T1131" s="1" t="n"/>
      <c r="U1131" s="1" t="n"/>
      <c r="V1131" s="1" t="n"/>
      <c r="W1131" s="1" t="n"/>
      <c r="X1131" s="1" t="n"/>
      <c r="Y1131" s="1" t="n"/>
    </row>
    <row r="1132" ht="15.75" customHeight="1" s="64">
      <c r="A1132" s="62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1" t="n"/>
      <c r="Q1132" s="1" t="n"/>
      <c r="R1132" s="1" t="n"/>
      <c r="S1132" s="1" t="n"/>
      <c r="T1132" s="1" t="n"/>
      <c r="U1132" s="1" t="n"/>
      <c r="V1132" s="1" t="n"/>
      <c r="W1132" s="1" t="n"/>
      <c r="X1132" s="1" t="n"/>
      <c r="Y1132" s="1" t="n"/>
    </row>
    <row r="1133" ht="15.75" customHeight="1" s="64">
      <c r="A1133" s="62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1" t="n"/>
      <c r="Q1133" s="1" t="n"/>
      <c r="R1133" s="1" t="n"/>
      <c r="S1133" s="1" t="n"/>
      <c r="T1133" s="1" t="n"/>
      <c r="U1133" s="1" t="n"/>
      <c r="V1133" s="1" t="n"/>
      <c r="W1133" s="1" t="n"/>
      <c r="X1133" s="1" t="n"/>
      <c r="Y1133" s="1" t="n"/>
    </row>
    <row r="1134" ht="15.75" customHeight="1" s="64">
      <c r="A1134" s="62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1" t="n"/>
      <c r="Q1134" s="1" t="n"/>
      <c r="R1134" s="1" t="n"/>
      <c r="S1134" s="1" t="n"/>
      <c r="T1134" s="1" t="n"/>
      <c r="U1134" s="1" t="n"/>
      <c r="V1134" s="1" t="n"/>
      <c r="W1134" s="1" t="n"/>
      <c r="X1134" s="1" t="n"/>
      <c r="Y1134" s="1" t="n"/>
    </row>
    <row r="1135" ht="15.75" customHeight="1" s="64">
      <c r="A1135" s="62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1" t="n"/>
      <c r="Q1135" s="1" t="n"/>
      <c r="R1135" s="1" t="n"/>
      <c r="S1135" s="1" t="n"/>
      <c r="T1135" s="1" t="n"/>
      <c r="U1135" s="1" t="n"/>
      <c r="V1135" s="1" t="n"/>
      <c r="W1135" s="1" t="n"/>
      <c r="X1135" s="1" t="n"/>
      <c r="Y1135" s="1" t="n"/>
    </row>
    <row r="1136" ht="15.75" customHeight="1" s="64">
      <c r="A1136" s="62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1" t="n"/>
      <c r="Q1136" s="1" t="n"/>
      <c r="R1136" s="1" t="n"/>
      <c r="S1136" s="1" t="n"/>
      <c r="T1136" s="1" t="n"/>
      <c r="U1136" s="1" t="n"/>
      <c r="V1136" s="1" t="n"/>
      <c r="W1136" s="1" t="n"/>
      <c r="X1136" s="1" t="n"/>
      <c r="Y1136" s="1" t="n"/>
    </row>
    <row r="1137" ht="15.75" customHeight="1" s="64">
      <c r="A1137" s="62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1" t="n"/>
      <c r="Q1137" s="1" t="n"/>
      <c r="R1137" s="1" t="n"/>
      <c r="S1137" s="1" t="n"/>
      <c r="T1137" s="1" t="n"/>
      <c r="U1137" s="1" t="n"/>
      <c r="V1137" s="1" t="n"/>
      <c r="W1137" s="1" t="n"/>
      <c r="X1137" s="1" t="n"/>
      <c r="Y1137" s="1" t="n"/>
    </row>
    <row r="1138" ht="15.75" customHeight="1" s="64">
      <c r="A1138" s="62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1" t="n"/>
      <c r="Q1138" s="1" t="n"/>
      <c r="R1138" s="1" t="n"/>
      <c r="S1138" s="1" t="n"/>
      <c r="T1138" s="1" t="n"/>
      <c r="U1138" s="1" t="n"/>
      <c r="V1138" s="1" t="n"/>
      <c r="W1138" s="1" t="n"/>
      <c r="X1138" s="1" t="n"/>
      <c r="Y1138" s="1" t="n"/>
    </row>
    <row r="1139" ht="15.75" customHeight="1" s="64">
      <c r="A1139" s="62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1" t="n"/>
      <c r="Q1139" s="1" t="n"/>
      <c r="R1139" s="1" t="n"/>
      <c r="S1139" s="1" t="n"/>
      <c r="T1139" s="1" t="n"/>
      <c r="U1139" s="1" t="n"/>
      <c r="V1139" s="1" t="n"/>
      <c r="W1139" s="1" t="n"/>
      <c r="X1139" s="1" t="n"/>
      <c r="Y1139" s="1" t="n"/>
    </row>
    <row r="1140" ht="15.75" customHeight="1" s="64">
      <c r="A1140" s="62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1" t="n"/>
      <c r="Q1140" s="1" t="n"/>
      <c r="R1140" s="1" t="n"/>
      <c r="S1140" s="1" t="n"/>
      <c r="T1140" s="1" t="n"/>
      <c r="U1140" s="1" t="n"/>
      <c r="V1140" s="1" t="n"/>
      <c r="W1140" s="1" t="n"/>
      <c r="X1140" s="1" t="n"/>
      <c r="Y1140" s="1" t="n"/>
    </row>
    <row r="1141" ht="15.75" customHeight="1" s="64">
      <c r="A1141" s="62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1" t="n"/>
      <c r="Q1141" s="1" t="n"/>
      <c r="R1141" s="1" t="n"/>
      <c r="S1141" s="1" t="n"/>
      <c r="T1141" s="1" t="n"/>
      <c r="U1141" s="1" t="n"/>
      <c r="V1141" s="1" t="n"/>
      <c r="W1141" s="1" t="n"/>
      <c r="X1141" s="1" t="n"/>
      <c r="Y1141" s="1" t="n"/>
    </row>
    <row r="1142" ht="15.75" customHeight="1" s="64">
      <c r="A1142" s="62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1" t="n"/>
      <c r="Q1142" s="1" t="n"/>
      <c r="R1142" s="1" t="n"/>
      <c r="S1142" s="1" t="n"/>
      <c r="T1142" s="1" t="n"/>
      <c r="U1142" s="1" t="n"/>
      <c r="V1142" s="1" t="n"/>
      <c r="W1142" s="1" t="n"/>
      <c r="X1142" s="1" t="n"/>
      <c r="Y1142" s="1" t="n"/>
    </row>
    <row r="1143" ht="15.75" customHeight="1" s="64">
      <c r="A1143" s="62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1" t="n"/>
      <c r="Q1143" s="1" t="n"/>
      <c r="R1143" s="1" t="n"/>
      <c r="S1143" s="1" t="n"/>
      <c r="T1143" s="1" t="n"/>
      <c r="U1143" s="1" t="n"/>
      <c r="V1143" s="1" t="n"/>
      <c r="W1143" s="1" t="n"/>
      <c r="X1143" s="1" t="n"/>
      <c r="Y1143" s="1" t="n"/>
    </row>
    <row r="1144" ht="15.75" customHeight="1" s="64">
      <c r="A1144" s="62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1" t="n"/>
      <c r="Q1144" s="1" t="n"/>
      <c r="R1144" s="1" t="n"/>
      <c r="S1144" s="1" t="n"/>
      <c r="T1144" s="1" t="n"/>
      <c r="U1144" s="1" t="n"/>
      <c r="V1144" s="1" t="n"/>
      <c r="W1144" s="1" t="n"/>
      <c r="X1144" s="1" t="n"/>
      <c r="Y1144" s="1" t="n"/>
    </row>
    <row r="1145" ht="15.75" customHeight="1" s="64">
      <c r="A1145" s="62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1" t="n"/>
      <c r="Q1145" s="1" t="n"/>
      <c r="R1145" s="1" t="n"/>
      <c r="S1145" s="1" t="n"/>
      <c r="T1145" s="1" t="n"/>
      <c r="U1145" s="1" t="n"/>
      <c r="V1145" s="1" t="n"/>
      <c r="W1145" s="1" t="n"/>
      <c r="X1145" s="1" t="n"/>
      <c r="Y1145" s="1" t="n"/>
    </row>
    <row r="1146" ht="15.75" customHeight="1" s="64">
      <c r="A1146" s="62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1" t="n"/>
      <c r="Q1146" s="1" t="n"/>
      <c r="R1146" s="1" t="n"/>
      <c r="S1146" s="1" t="n"/>
      <c r="T1146" s="1" t="n"/>
      <c r="U1146" s="1" t="n"/>
      <c r="V1146" s="1" t="n"/>
      <c r="W1146" s="1" t="n"/>
      <c r="X1146" s="1" t="n"/>
      <c r="Y1146" s="1" t="n"/>
    </row>
    <row r="1147" ht="15.75" customHeight="1" s="64">
      <c r="A1147" s="62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1" t="n"/>
      <c r="Q1147" s="1" t="n"/>
      <c r="R1147" s="1" t="n"/>
      <c r="S1147" s="1" t="n"/>
      <c r="T1147" s="1" t="n"/>
      <c r="U1147" s="1" t="n"/>
      <c r="V1147" s="1" t="n"/>
      <c r="W1147" s="1" t="n"/>
      <c r="X1147" s="1" t="n"/>
      <c r="Y1147" s="1" t="n"/>
    </row>
    <row r="1148" ht="15.75" customHeight="1" s="64">
      <c r="A1148" s="62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1" t="n"/>
      <c r="Q1148" s="1" t="n"/>
      <c r="R1148" s="1" t="n"/>
      <c r="S1148" s="1" t="n"/>
      <c r="T1148" s="1" t="n"/>
      <c r="U1148" s="1" t="n"/>
      <c r="V1148" s="1" t="n"/>
      <c r="W1148" s="1" t="n"/>
      <c r="X1148" s="1" t="n"/>
      <c r="Y1148" s="1" t="n"/>
    </row>
    <row r="1149" ht="15.75" customHeight="1" s="64">
      <c r="A1149" s="62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1" t="n"/>
      <c r="Q1149" s="1" t="n"/>
      <c r="R1149" s="1" t="n"/>
      <c r="S1149" s="1" t="n"/>
      <c r="T1149" s="1" t="n"/>
      <c r="U1149" s="1" t="n"/>
      <c r="V1149" s="1" t="n"/>
      <c r="W1149" s="1" t="n"/>
      <c r="X1149" s="1" t="n"/>
      <c r="Y1149" s="1" t="n"/>
    </row>
    <row r="1150" ht="15.75" customHeight="1" s="64">
      <c r="A1150" s="62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1" t="n"/>
      <c r="Q1150" s="1" t="n"/>
      <c r="R1150" s="1" t="n"/>
      <c r="S1150" s="1" t="n"/>
      <c r="T1150" s="1" t="n"/>
      <c r="U1150" s="1" t="n"/>
      <c r="V1150" s="1" t="n"/>
      <c r="W1150" s="1" t="n"/>
      <c r="X1150" s="1" t="n"/>
      <c r="Y1150" s="1" t="n"/>
    </row>
    <row r="1151" ht="15.75" customHeight="1" s="64">
      <c r="A1151" s="62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1" t="n"/>
      <c r="Q1151" s="1" t="n"/>
      <c r="R1151" s="1" t="n"/>
      <c r="S1151" s="1" t="n"/>
      <c r="T1151" s="1" t="n"/>
      <c r="U1151" s="1" t="n"/>
      <c r="V1151" s="1" t="n"/>
      <c r="W1151" s="1" t="n"/>
      <c r="X1151" s="1" t="n"/>
      <c r="Y1151" s="1" t="n"/>
    </row>
    <row r="1152" ht="15.75" customHeight="1" s="64">
      <c r="A1152" s="62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  <c r="L1152" s="1" t="n"/>
      <c r="M1152" s="1" t="n"/>
      <c r="N1152" s="1" t="n"/>
      <c r="O1152" s="1" t="n"/>
      <c r="P1152" s="1" t="n"/>
      <c r="Q1152" s="1" t="n"/>
      <c r="R1152" s="1" t="n"/>
      <c r="S1152" s="1" t="n"/>
      <c r="T1152" s="1" t="n"/>
      <c r="U1152" s="1" t="n"/>
      <c r="V1152" s="1" t="n"/>
      <c r="W1152" s="1" t="n"/>
      <c r="X1152" s="1" t="n"/>
      <c r="Y1152" s="1" t="n"/>
    </row>
    <row r="1153" ht="15.75" customHeight="1" s="64">
      <c r="A1153" s="62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  <c r="K1153" s="1" t="n"/>
      <c r="L1153" s="1" t="n"/>
      <c r="M1153" s="1" t="n"/>
      <c r="N1153" s="1" t="n"/>
      <c r="O1153" s="1" t="n"/>
      <c r="P1153" s="1" t="n"/>
      <c r="Q1153" s="1" t="n"/>
      <c r="R1153" s="1" t="n"/>
      <c r="S1153" s="1" t="n"/>
      <c r="T1153" s="1" t="n"/>
      <c r="U1153" s="1" t="n"/>
      <c r="V1153" s="1" t="n"/>
      <c r="W1153" s="1" t="n"/>
      <c r="X1153" s="1" t="n"/>
      <c r="Y1153" s="1" t="n"/>
    </row>
    <row r="1154" ht="15.75" customHeight="1" s="64">
      <c r="A1154" s="62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  <c r="K1154" s="1" t="n"/>
      <c r="L1154" s="1" t="n"/>
      <c r="M1154" s="1" t="n"/>
      <c r="N1154" s="1" t="n"/>
      <c r="O1154" s="1" t="n"/>
      <c r="P1154" s="1" t="n"/>
      <c r="Q1154" s="1" t="n"/>
      <c r="R1154" s="1" t="n"/>
      <c r="S1154" s="1" t="n"/>
      <c r="T1154" s="1" t="n"/>
      <c r="U1154" s="1" t="n"/>
      <c r="V1154" s="1" t="n"/>
      <c r="W1154" s="1" t="n"/>
      <c r="X1154" s="1" t="n"/>
      <c r="Y1154" s="1" t="n"/>
    </row>
    <row r="1155" ht="15.75" customHeight="1" s="64">
      <c r="A1155" s="62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  <c r="K1155" s="1" t="n"/>
      <c r="L1155" s="1" t="n"/>
      <c r="M1155" s="1" t="n"/>
      <c r="N1155" s="1" t="n"/>
      <c r="O1155" s="1" t="n"/>
      <c r="P1155" s="1" t="n"/>
      <c r="Q1155" s="1" t="n"/>
      <c r="R1155" s="1" t="n"/>
      <c r="S1155" s="1" t="n"/>
      <c r="T1155" s="1" t="n"/>
      <c r="U1155" s="1" t="n"/>
      <c r="V1155" s="1" t="n"/>
      <c r="W1155" s="1" t="n"/>
      <c r="X1155" s="1" t="n"/>
      <c r="Y1155" s="1" t="n"/>
    </row>
    <row r="1156" ht="15.75" customHeight="1" s="64">
      <c r="A1156" s="62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  <c r="K1156" s="1" t="n"/>
      <c r="L1156" s="1" t="n"/>
      <c r="M1156" s="1" t="n"/>
      <c r="N1156" s="1" t="n"/>
      <c r="O1156" s="1" t="n"/>
      <c r="P1156" s="1" t="n"/>
      <c r="Q1156" s="1" t="n"/>
      <c r="R1156" s="1" t="n"/>
      <c r="S1156" s="1" t="n"/>
      <c r="T1156" s="1" t="n"/>
      <c r="U1156" s="1" t="n"/>
      <c r="V1156" s="1" t="n"/>
      <c r="W1156" s="1" t="n"/>
      <c r="X1156" s="1" t="n"/>
      <c r="Y1156" s="1" t="n"/>
    </row>
    <row r="1157" ht="15.75" customHeight="1" s="64">
      <c r="A1157" s="62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  <c r="K1157" s="1" t="n"/>
      <c r="L1157" s="1" t="n"/>
      <c r="M1157" s="1" t="n"/>
      <c r="N1157" s="1" t="n"/>
      <c r="O1157" s="1" t="n"/>
      <c r="P1157" s="1" t="n"/>
      <c r="Q1157" s="1" t="n"/>
      <c r="R1157" s="1" t="n"/>
      <c r="S1157" s="1" t="n"/>
      <c r="T1157" s="1" t="n"/>
      <c r="U1157" s="1" t="n"/>
      <c r="V1157" s="1" t="n"/>
      <c r="W1157" s="1" t="n"/>
      <c r="X1157" s="1" t="n"/>
      <c r="Y1157" s="1" t="n"/>
    </row>
    <row r="1158" ht="15.75" customHeight="1" s="64">
      <c r="A1158" s="62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  <c r="L1158" s="1" t="n"/>
      <c r="M1158" s="1" t="n"/>
      <c r="N1158" s="1" t="n"/>
      <c r="O1158" s="1" t="n"/>
      <c r="P1158" s="1" t="n"/>
      <c r="Q1158" s="1" t="n"/>
      <c r="R1158" s="1" t="n"/>
      <c r="S1158" s="1" t="n"/>
      <c r="T1158" s="1" t="n"/>
      <c r="U1158" s="1" t="n"/>
      <c r="V1158" s="1" t="n"/>
      <c r="W1158" s="1" t="n"/>
      <c r="X1158" s="1" t="n"/>
      <c r="Y1158" s="1" t="n"/>
    </row>
    <row r="1159" ht="15.75" customHeight="1" s="64">
      <c r="A1159" s="62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  <c r="K1159" s="1" t="n"/>
      <c r="L1159" s="1" t="n"/>
      <c r="M1159" s="1" t="n"/>
      <c r="N1159" s="1" t="n"/>
      <c r="O1159" s="1" t="n"/>
      <c r="P1159" s="1" t="n"/>
      <c r="Q1159" s="1" t="n"/>
      <c r="R1159" s="1" t="n"/>
      <c r="S1159" s="1" t="n"/>
      <c r="T1159" s="1" t="n"/>
      <c r="U1159" s="1" t="n"/>
      <c r="V1159" s="1" t="n"/>
      <c r="W1159" s="1" t="n"/>
      <c r="X1159" s="1" t="n"/>
      <c r="Y1159" s="1" t="n"/>
    </row>
    <row r="1160" ht="15.75" customHeight="1" s="64">
      <c r="A1160" s="62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  <c r="K1160" s="1" t="n"/>
      <c r="L1160" s="1" t="n"/>
      <c r="M1160" s="1" t="n"/>
      <c r="N1160" s="1" t="n"/>
      <c r="O1160" s="1" t="n"/>
      <c r="P1160" s="1" t="n"/>
      <c r="Q1160" s="1" t="n"/>
      <c r="R1160" s="1" t="n"/>
      <c r="S1160" s="1" t="n"/>
      <c r="T1160" s="1" t="n"/>
      <c r="U1160" s="1" t="n"/>
      <c r="V1160" s="1" t="n"/>
      <c r="W1160" s="1" t="n"/>
      <c r="X1160" s="1" t="n"/>
      <c r="Y1160" s="1" t="n"/>
    </row>
    <row r="1161" ht="15.75" customHeight="1" s="64">
      <c r="A1161" s="62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  <c r="K1161" s="1" t="n"/>
      <c r="L1161" s="1" t="n"/>
      <c r="M1161" s="1" t="n"/>
      <c r="N1161" s="1" t="n"/>
      <c r="O1161" s="1" t="n"/>
      <c r="P1161" s="1" t="n"/>
      <c r="Q1161" s="1" t="n"/>
      <c r="R1161" s="1" t="n"/>
      <c r="S1161" s="1" t="n"/>
      <c r="T1161" s="1" t="n"/>
      <c r="U1161" s="1" t="n"/>
      <c r="V1161" s="1" t="n"/>
      <c r="W1161" s="1" t="n"/>
      <c r="X1161" s="1" t="n"/>
      <c r="Y1161" s="1" t="n"/>
    </row>
    <row r="1162" ht="15.75" customHeight="1" s="64">
      <c r="A1162" s="62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  <c r="K1162" s="1" t="n"/>
      <c r="L1162" s="1" t="n"/>
      <c r="M1162" s="1" t="n"/>
      <c r="N1162" s="1" t="n"/>
      <c r="O1162" s="1" t="n"/>
      <c r="P1162" s="1" t="n"/>
      <c r="Q1162" s="1" t="n"/>
      <c r="R1162" s="1" t="n"/>
      <c r="S1162" s="1" t="n"/>
      <c r="T1162" s="1" t="n"/>
      <c r="U1162" s="1" t="n"/>
      <c r="V1162" s="1" t="n"/>
      <c r="W1162" s="1" t="n"/>
      <c r="X1162" s="1" t="n"/>
      <c r="Y1162" s="1" t="n"/>
    </row>
    <row r="1163" ht="15.75" customHeight="1" s="64">
      <c r="A1163" s="62" t="n"/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  <c r="K1163" s="1" t="n"/>
      <c r="L1163" s="1" t="n"/>
      <c r="M1163" s="1" t="n"/>
      <c r="N1163" s="1" t="n"/>
      <c r="O1163" s="1" t="n"/>
      <c r="P1163" s="1" t="n"/>
      <c r="Q1163" s="1" t="n"/>
      <c r="R1163" s="1" t="n"/>
      <c r="S1163" s="1" t="n"/>
      <c r="T1163" s="1" t="n"/>
      <c r="U1163" s="1" t="n"/>
      <c r="V1163" s="1" t="n"/>
      <c r="W1163" s="1" t="n"/>
      <c r="X1163" s="1" t="n"/>
      <c r="Y1163" s="1" t="n"/>
    </row>
    <row r="1164" ht="15.75" customHeight="1" s="64">
      <c r="A1164" s="62" t="n"/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  <c r="K1164" s="1" t="n"/>
      <c r="L1164" s="1" t="n"/>
      <c r="M1164" s="1" t="n"/>
      <c r="N1164" s="1" t="n"/>
      <c r="O1164" s="1" t="n"/>
      <c r="P1164" s="1" t="n"/>
      <c r="Q1164" s="1" t="n"/>
      <c r="R1164" s="1" t="n"/>
      <c r="S1164" s="1" t="n"/>
      <c r="T1164" s="1" t="n"/>
      <c r="U1164" s="1" t="n"/>
      <c r="V1164" s="1" t="n"/>
      <c r="W1164" s="1" t="n"/>
      <c r="X1164" s="1" t="n"/>
      <c r="Y1164" s="1" t="n"/>
    </row>
    <row r="1165" ht="15.75" customHeight="1" s="64">
      <c r="A1165" s="62" t="n"/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  <c r="K1165" s="1" t="n"/>
      <c r="L1165" s="1" t="n"/>
      <c r="M1165" s="1" t="n"/>
      <c r="N1165" s="1" t="n"/>
      <c r="O1165" s="1" t="n"/>
      <c r="P1165" s="1" t="n"/>
      <c r="Q1165" s="1" t="n"/>
      <c r="R1165" s="1" t="n"/>
      <c r="S1165" s="1" t="n"/>
      <c r="T1165" s="1" t="n"/>
      <c r="U1165" s="1" t="n"/>
      <c r="V1165" s="1" t="n"/>
      <c r="W1165" s="1" t="n"/>
      <c r="X1165" s="1" t="n"/>
      <c r="Y1165" s="1" t="n"/>
    </row>
    <row r="1166" ht="15.75" customHeight="1" s="64">
      <c r="A1166" s="62" t="n"/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  <c r="K1166" s="1" t="n"/>
      <c r="L1166" s="1" t="n"/>
      <c r="M1166" s="1" t="n"/>
      <c r="N1166" s="1" t="n"/>
      <c r="O1166" s="1" t="n"/>
      <c r="P1166" s="1" t="n"/>
      <c r="Q1166" s="1" t="n"/>
      <c r="R1166" s="1" t="n"/>
      <c r="S1166" s="1" t="n"/>
      <c r="T1166" s="1" t="n"/>
      <c r="U1166" s="1" t="n"/>
      <c r="V1166" s="1" t="n"/>
      <c r="W1166" s="1" t="n"/>
      <c r="X1166" s="1" t="n"/>
      <c r="Y1166" s="1" t="n"/>
    </row>
    <row r="1167" ht="15.75" customHeight="1" s="64">
      <c r="A1167" s="62" t="n"/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  <c r="K1167" s="1" t="n"/>
      <c r="L1167" s="1" t="n"/>
      <c r="M1167" s="1" t="n"/>
      <c r="N1167" s="1" t="n"/>
      <c r="O1167" s="1" t="n"/>
      <c r="P1167" s="1" t="n"/>
      <c r="Q1167" s="1" t="n"/>
      <c r="R1167" s="1" t="n"/>
      <c r="S1167" s="1" t="n"/>
      <c r="T1167" s="1" t="n"/>
      <c r="U1167" s="1" t="n"/>
      <c r="V1167" s="1" t="n"/>
      <c r="W1167" s="1" t="n"/>
      <c r="X1167" s="1" t="n"/>
      <c r="Y1167" s="1" t="n"/>
    </row>
    <row r="1168" ht="15.75" customHeight="1" s="64">
      <c r="A1168" s="62" t="n"/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  <c r="K1168" s="1" t="n"/>
      <c r="L1168" s="1" t="n"/>
      <c r="M1168" s="1" t="n"/>
      <c r="N1168" s="1" t="n"/>
      <c r="O1168" s="1" t="n"/>
      <c r="P1168" s="1" t="n"/>
      <c r="Q1168" s="1" t="n"/>
      <c r="R1168" s="1" t="n"/>
      <c r="S1168" s="1" t="n"/>
      <c r="T1168" s="1" t="n"/>
      <c r="U1168" s="1" t="n"/>
      <c r="V1168" s="1" t="n"/>
      <c r="W1168" s="1" t="n"/>
      <c r="X1168" s="1" t="n"/>
      <c r="Y1168" s="1" t="n"/>
    </row>
    <row r="1169" ht="15.75" customHeight="1" s="64">
      <c r="A1169" s="62" t="n"/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  <c r="K1169" s="1" t="n"/>
      <c r="L1169" s="1" t="n"/>
      <c r="M1169" s="1" t="n"/>
      <c r="N1169" s="1" t="n"/>
      <c r="O1169" s="1" t="n"/>
      <c r="P1169" s="1" t="n"/>
      <c r="Q1169" s="1" t="n"/>
      <c r="R1169" s="1" t="n"/>
      <c r="S1169" s="1" t="n"/>
      <c r="T1169" s="1" t="n"/>
      <c r="U1169" s="1" t="n"/>
      <c r="V1169" s="1" t="n"/>
      <c r="W1169" s="1" t="n"/>
      <c r="X1169" s="1" t="n"/>
      <c r="Y1169" s="1" t="n"/>
    </row>
    <row r="1170" ht="15.75" customHeight="1" s="64">
      <c r="A1170" s="62" t="n"/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  <c r="K1170" s="1" t="n"/>
      <c r="L1170" s="1" t="n"/>
      <c r="M1170" s="1" t="n"/>
      <c r="N1170" s="1" t="n"/>
      <c r="O1170" s="1" t="n"/>
      <c r="P1170" s="1" t="n"/>
      <c r="Q1170" s="1" t="n"/>
      <c r="R1170" s="1" t="n"/>
      <c r="S1170" s="1" t="n"/>
      <c r="T1170" s="1" t="n"/>
      <c r="U1170" s="1" t="n"/>
      <c r="V1170" s="1" t="n"/>
      <c r="W1170" s="1" t="n"/>
      <c r="X1170" s="1" t="n"/>
      <c r="Y1170" s="1" t="n"/>
    </row>
    <row r="1171" ht="15.75" customHeight="1" s="64">
      <c r="A1171" s="62" t="n"/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  <c r="K1171" s="1" t="n"/>
      <c r="L1171" s="1" t="n"/>
      <c r="M1171" s="1" t="n"/>
      <c r="N1171" s="1" t="n"/>
      <c r="O1171" s="1" t="n"/>
      <c r="P1171" s="1" t="n"/>
      <c r="Q1171" s="1" t="n"/>
      <c r="R1171" s="1" t="n"/>
      <c r="S1171" s="1" t="n"/>
      <c r="T1171" s="1" t="n"/>
      <c r="U1171" s="1" t="n"/>
      <c r="V1171" s="1" t="n"/>
      <c r="W1171" s="1" t="n"/>
      <c r="X1171" s="1" t="n"/>
      <c r="Y1171" s="1" t="n"/>
    </row>
    <row r="1172" ht="15.75" customHeight="1" s="64">
      <c r="A1172" s="62" t="n"/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  <c r="K1172" s="1" t="n"/>
      <c r="L1172" s="1" t="n"/>
      <c r="M1172" s="1" t="n"/>
      <c r="N1172" s="1" t="n"/>
      <c r="O1172" s="1" t="n"/>
      <c r="P1172" s="1" t="n"/>
      <c r="Q1172" s="1" t="n"/>
      <c r="R1172" s="1" t="n"/>
      <c r="S1172" s="1" t="n"/>
      <c r="T1172" s="1" t="n"/>
      <c r="U1172" s="1" t="n"/>
      <c r="V1172" s="1" t="n"/>
      <c r="W1172" s="1" t="n"/>
      <c r="X1172" s="1" t="n"/>
      <c r="Y1172" s="1" t="n"/>
    </row>
    <row r="1173" ht="15.75" customHeight="1" s="64">
      <c r="A1173" s="62" t="n"/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  <c r="K1173" s="1" t="n"/>
      <c r="L1173" s="1" t="n"/>
      <c r="M1173" s="1" t="n"/>
      <c r="N1173" s="1" t="n"/>
      <c r="O1173" s="1" t="n"/>
      <c r="P1173" s="1" t="n"/>
      <c r="Q1173" s="1" t="n"/>
      <c r="R1173" s="1" t="n"/>
      <c r="S1173" s="1" t="n"/>
      <c r="T1173" s="1" t="n"/>
      <c r="U1173" s="1" t="n"/>
      <c r="V1173" s="1" t="n"/>
      <c r="W1173" s="1" t="n"/>
      <c r="X1173" s="1" t="n"/>
      <c r="Y1173" s="1" t="n"/>
    </row>
    <row r="1174" ht="15.75" customHeight="1" s="64">
      <c r="A1174" s="62" t="n"/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  <c r="K1174" s="1" t="n"/>
      <c r="L1174" s="1" t="n"/>
      <c r="M1174" s="1" t="n"/>
      <c r="N1174" s="1" t="n"/>
      <c r="O1174" s="1" t="n"/>
      <c r="P1174" s="1" t="n"/>
      <c r="Q1174" s="1" t="n"/>
      <c r="R1174" s="1" t="n"/>
      <c r="S1174" s="1" t="n"/>
      <c r="T1174" s="1" t="n"/>
      <c r="U1174" s="1" t="n"/>
      <c r="V1174" s="1" t="n"/>
      <c r="W1174" s="1" t="n"/>
      <c r="X1174" s="1" t="n"/>
      <c r="Y1174" s="1" t="n"/>
    </row>
    <row r="1175" ht="15.75" customHeight="1" s="64">
      <c r="A1175" s="62" t="n"/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  <c r="K1175" s="1" t="n"/>
      <c r="L1175" s="1" t="n"/>
      <c r="M1175" s="1" t="n"/>
      <c r="N1175" s="1" t="n"/>
      <c r="O1175" s="1" t="n"/>
      <c r="P1175" s="1" t="n"/>
      <c r="Q1175" s="1" t="n"/>
      <c r="R1175" s="1" t="n"/>
      <c r="S1175" s="1" t="n"/>
      <c r="T1175" s="1" t="n"/>
      <c r="U1175" s="1" t="n"/>
      <c r="V1175" s="1" t="n"/>
      <c r="W1175" s="1" t="n"/>
      <c r="X1175" s="1" t="n"/>
      <c r="Y1175" s="1" t="n"/>
    </row>
    <row r="1176" ht="15.75" customHeight="1" s="64">
      <c r="A1176" s="62" t="n"/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  <c r="K1176" s="1" t="n"/>
      <c r="L1176" s="1" t="n"/>
      <c r="M1176" s="1" t="n"/>
      <c r="N1176" s="1" t="n"/>
      <c r="O1176" s="1" t="n"/>
      <c r="P1176" s="1" t="n"/>
      <c r="Q1176" s="1" t="n"/>
      <c r="R1176" s="1" t="n"/>
      <c r="S1176" s="1" t="n"/>
      <c r="T1176" s="1" t="n"/>
      <c r="U1176" s="1" t="n"/>
      <c r="V1176" s="1" t="n"/>
      <c r="W1176" s="1" t="n"/>
      <c r="X1176" s="1" t="n"/>
      <c r="Y1176" s="1" t="n"/>
    </row>
    <row r="1177" ht="15.75" customHeight="1" s="64">
      <c r="A1177" s="62" t="n"/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  <c r="K1177" s="1" t="n"/>
      <c r="L1177" s="1" t="n"/>
      <c r="M1177" s="1" t="n"/>
      <c r="N1177" s="1" t="n"/>
      <c r="O1177" s="1" t="n"/>
      <c r="P1177" s="1" t="n"/>
      <c r="Q1177" s="1" t="n"/>
      <c r="R1177" s="1" t="n"/>
      <c r="S1177" s="1" t="n"/>
      <c r="T1177" s="1" t="n"/>
      <c r="U1177" s="1" t="n"/>
      <c r="V1177" s="1" t="n"/>
      <c r="W1177" s="1" t="n"/>
      <c r="X1177" s="1" t="n"/>
      <c r="Y1177" s="1" t="n"/>
    </row>
    <row r="1178" ht="15.75" customHeight="1" s="64">
      <c r="A1178" s="62" t="n"/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  <c r="K1178" s="1" t="n"/>
      <c r="L1178" s="1" t="n"/>
      <c r="M1178" s="1" t="n"/>
      <c r="N1178" s="1" t="n"/>
      <c r="O1178" s="1" t="n"/>
      <c r="P1178" s="1" t="n"/>
      <c r="Q1178" s="1" t="n"/>
      <c r="R1178" s="1" t="n"/>
      <c r="S1178" s="1" t="n"/>
      <c r="T1178" s="1" t="n"/>
      <c r="U1178" s="1" t="n"/>
      <c r="V1178" s="1" t="n"/>
      <c r="W1178" s="1" t="n"/>
      <c r="X1178" s="1" t="n"/>
      <c r="Y1178" s="1" t="n"/>
    </row>
    <row r="1179" ht="15.75" customHeight="1" s="64">
      <c r="A1179" s="62" t="n"/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  <c r="K1179" s="1" t="n"/>
      <c r="L1179" s="1" t="n"/>
      <c r="M1179" s="1" t="n"/>
      <c r="N1179" s="1" t="n"/>
      <c r="O1179" s="1" t="n"/>
      <c r="P1179" s="1" t="n"/>
      <c r="Q1179" s="1" t="n"/>
      <c r="R1179" s="1" t="n"/>
      <c r="S1179" s="1" t="n"/>
      <c r="T1179" s="1" t="n"/>
      <c r="U1179" s="1" t="n"/>
      <c r="V1179" s="1" t="n"/>
      <c r="W1179" s="1" t="n"/>
      <c r="X1179" s="1" t="n"/>
      <c r="Y1179" s="1" t="n"/>
    </row>
    <row r="1180" ht="15.75" customHeight="1" s="64">
      <c r="A1180" s="62" t="n"/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  <c r="K1180" s="1" t="n"/>
      <c r="L1180" s="1" t="n"/>
      <c r="M1180" s="1" t="n"/>
      <c r="N1180" s="1" t="n"/>
      <c r="O1180" s="1" t="n"/>
      <c r="P1180" s="1" t="n"/>
      <c r="Q1180" s="1" t="n"/>
      <c r="R1180" s="1" t="n"/>
      <c r="S1180" s="1" t="n"/>
      <c r="T1180" s="1" t="n"/>
      <c r="U1180" s="1" t="n"/>
      <c r="V1180" s="1" t="n"/>
      <c r="W1180" s="1" t="n"/>
      <c r="X1180" s="1" t="n"/>
      <c r="Y1180" s="1" t="n"/>
    </row>
    <row r="1181" ht="15.75" customHeight="1" s="64">
      <c r="A1181" s="62" t="n"/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  <c r="K1181" s="1" t="n"/>
      <c r="L1181" s="1" t="n"/>
      <c r="M1181" s="1" t="n"/>
      <c r="N1181" s="1" t="n"/>
      <c r="O1181" s="1" t="n"/>
      <c r="P1181" s="1" t="n"/>
      <c r="Q1181" s="1" t="n"/>
      <c r="R1181" s="1" t="n"/>
      <c r="S1181" s="1" t="n"/>
      <c r="T1181" s="1" t="n"/>
      <c r="U1181" s="1" t="n"/>
      <c r="V1181" s="1" t="n"/>
      <c r="W1181" s="1" t="n"/>
      <c r="X1181" s="1" t="n"/>
      <c r="Y1181" s="1" t="n"/>
    </row>
    <row r="1182" ht="15.75" customHeight="1" s="64">
      <c r="A1182" s="62" t="n"/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  <c r="K1182" s="1" t="n"/>
      <c r="L1182" s="1" t="n"/>
      <c r="M1182" s="1" t="n"/>
      <c r="N1182" s="1" t="n"/>
      <c r="O1182" s="1" t="n"/>
      <c r="P1182" s="1" t="n"/>
      <c r="Q1182" s="1" t="n"/>
      <c r="R1182" s="1" t="n"/>
      <c r="S1182" s="1" t="n"/>
      <c r="T1182" s="1" t="n"/>
      <c r="U1182" s="1" t="n"/>
      <c r="V1182" s="1" t="n"/>
      <c r="W1182" s="1" t="n"/>
      <c r="X1182" s="1" t="n"/>
      <c r="Y1182" s="1" t="n"/>
    </row>
    <row r="1183" ht="15.75" customHeight="1" s="64">
      <c r="A1183" s="62" t="n"/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  <c r="K1183" s="1" t="n"/>
      <c r="L1183" s="1" t="n"/>
      <c r="M1183" s="1" t="n"/>
      <c r="N1183" s="1" t="n"/>
      <c r="O1183" s="1" t="n"/>
      <c r="P1183" s="1" t="n"/>
      <c r="Q1183" s="1" t="n"/>
      <c r="R1183" s="1" t="n"/>
      <c r="S1183" s="1" t="n"/>
      <c r="T1183" s="1" t="n"/>
      <c r="U1183" s="1" t="n"/>
      <c r="V1183" s="1" t="n"/>
      <c r="W1183" s="1" t="n"/>
      <c r="X1183" s="1" t="n"/>
      <c r="Y1183" s="1" t="n"/>
    </row>
    <row r="1184" ht="15.75" customHeight="1" s="64">
      <c r="A1184" s="62" t="n"/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  <c r="K1184" s="1" t="n"/>
      <c r="L1184" s="1" t="n"/>
      <c r="M1184" s="1" t="n"/>
      <c r="N1184" s="1" t="n"/>
      <c r="O1184" s="1" t="n"/>
      <c r="P1184" s="1" t="n"/>
      <c r="Q1184" s="1" t="n"/>
      <c r="R1184" s="1" t="n"/>
      <c r="S1184" s="1" t="n"/>
      <c r="T1184" s="1" t="n"/>
      <c r="U1184" s="1" t="n"/>
      <c r="V1184" s="1" t="n"/>
      <c r="W1184" s="1" t="n"/>
      <c r="X1184" s="1" t="n"/>
      <c r="Y1184" s="1" t="n"/>
    </row>
    <row r="1185" ht="15.75" customHeight="1" s="64">
      <c r="A1185" s="62" t="n"/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  <c r="K1185" s="1" t="n"/>
      <c r="L1185" s="1" t="n"/>
      <c r="M1185" s="1" t="n"/>
      <c r="N1185" s="1" t="n"/>
      <c r="O1185" s="1" t="n"/>
      <c r="P1185" s="1" t="n"/>
      <c r="Q1185" s="1" t="n"/>
      <c r="R1185" s="1" t="n"/>
      <c r="S1185" s="1" t="n"/>
      <c r="T1185" s="1" t="n"/>
      <c r="U1185" s="1" t="n"/>
      <c r="V1185" s="1" t="n"/>
      <c r="W1185" s="1" t="n"/>
      <c r="X1185" s="1" t="n"/>
      <c r="Y1185" s="1" t="n"/>
    </row>
    <row r="1186" ht="15.75" customHeight="1" s="64">
      <c r="A1186" s="62" t="n"/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  <c r="K1186" s="1" t="n"/>
      <c r="L1186" s="1" t="n"/>
      <c r="M1186" s="1" t="n"/>
      <c r="N1186" s="1" t="n"/>
      <c r="O1186" s="1" t="n"/>
      <c r="P1186" s="1" t="n"/>
      <c r="Q1186" s="1" t="n"/>
      <c r="R1186" s="1" t="n"/>
      <c r="S1186" s="1" t="n"/>
      <c r="T1186" s="1" t="n"/>
      <c r="U1186" s="1" t="n"/>
      <c r="V1186" s="1" t="n"/>
      <c r="W1186" s="1" t="n"/>
      <c r="X1186" s="1" t="n"/>
      <c r="Y1186" s="1" t="n"/>
    </row>
    <row r="1187" ht="15.75" customHeight="1" s="64">
      <c r="A1187" s="62" t="n"/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  <c r="K1187" s="1" t="n"/>
      <c r="L1187" s="1" t="n"/>
      <c r="M1187" s="1" t="n"/>
      <c r="N1187" s="1" t="n"/>
      <c r="O1187" s="1" t="n"/>
      <c r="P1187" s="1" t="n"/>
      <c r="Q1187" s="1" t="n"/>
      <c r="R1187" s="1" t="n"/>
      <c r="S1187" s="1" t="n"/>
      <c r="T1187" s="1" t="n"/>
      <c r="U1187" s="1" t="n"/>
      <c r="V1187" s="1" t="n"/>
      <c r="W1187" s="1" t="n"/>
      <c r="X1187" s="1" t="n"/>
      <c r="Y1187" s="1" t="n"/>
    </row>
    <row r="1188" ht="15.75" customHeight="1" s="64">
      <c r="A1188" s="62" t="n"/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  <c r="K1188" s="1" t="n"/>
      <c r="L1188" s="1" t="n"/>
      <c r="M1188" s="1" t="n"/>
      <c r="N1188" s="1" t="n"/>
      <c r="O1188" s="1" t="n"/>
      <c r="P1188" s="1" t="n"/>
      <c r="Q1188" s="1" t="n"/>
      <c r="R1188" s="1" t="n"/>
      <c r="S1188" s="1" t="n"/>
      <c r="T1188" s="1" t="n"/>
      <c r="U1188" s="1" t="n"/>
      <c r="V1188" s="1" t="n"/>
      <c r="W1188" s="1" t="n"/>
      <c r="X1188" s="1" t="n"/>
      <c r="Y1188" s="1" t="n"/>
    </row>
    <row r="1189" ht="15.75" customHeight="1" s="64">
      <c r="A1189" s="62" t="n"/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  <c r="K1189" s="1" t="n"/>
      <c r="L1189" s="1" t="n"/>
      <c r="M1189" s="1" t="n"/>
      <c r="N1189" s="1" t="n"/>
      <c r="O1189" s="1" t="n"/>
      <c r="P1189" s="1" t="n"/>
      <c r="Q1189" s="1" t="n"/>
      <c r="R1189" s="1" t="n"/>
      <c r="S1189" s="1" t="n"/>
      <c r="T1189" s="1" t="n"/>
      <c r="U1189" s="1" t="n"/>
      <c r="V1189" s="1" t="n"/>
      <c r="W1189" s="1" t="n"/>
      <c r="X1189" s="1" t="n"/>
      <c r="Y1189" s="1" t="n"/>
    </row>
    <row r="1190" ht="15.75" customHeight="1" s="64">
      <c r="A1190" s="62" t="n"/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  <c r="K1190" s="1" t="n"/>
      <c r="L1190" s="1" t="n"/>
      <c r="M1190" s="1" t="n"/>
      <c r="N1190" s="1" t="n"/>
      <c r="O1190" s="1" t="n"/>
      <c r="P1190" s="1" t="n"/>
      <c r="Q1190" s="1" t="n"/>
      <c r="R1190" s="1" t="n"/>
      <c r="S1190" s="1" t="n"/>
      <c r="T1190" s="1" t="n"/>
      <c r="U1190" s="1" t="n"/>
      <c r="V1190" s="1" t="n"/>
      <c r="W1190" s="1" t="n"/>
      <c r="X1190" s="1" t="n"/>
      <c r="Y1190" s="1" t="n"/>
    </row>
    <row r="1191" ht="15.75" customHeight="1" s="64">
      <c r="A1191" s="62" t="n"/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  <c r="K1191" s="1" t="n"/>
      <c r="L1191" s="1" t="n"/>
      <c r="M1191" s="1" t="n"/>
      <c r="N1191" s="1" t="n"/>
      <c r="O1191" s="1" t="n"/>
      <c r="P1191" s="1" t="n"/>
      <c r="Q1191" s="1" t="n"/>
      <c r="R1191" s="1" t="n"/>
      <c r="S1191" s="1" t="n"/>
      <c r="T1191" s="1" t="n"/>
      <c r="U1191" s="1" t="n"/>
      <c r="V1191" s="1" t="n"/>
      <c r="W1191" s="1" t="n"/>
      <c r="X1191" s="1" t="n"/>
      <c r="Y1191" s="1" t="n"/>
    </row>
    <row r="1192" ht="15.75" customHeight="1" s="64">
      <c r="A1192" s="62" t="n"/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  <c r="K1192" s="1" t="n"/>
      <c r="L1192" s="1" t="n"/>
      <c r="M1192" s="1" t="n"/>
      <c r="N1192" s="1" t="n"/>
      <c r="O1192" s="1" t="n"/>
      <c r="P1192" s="1" t="n"/>
      <c r="Q1192" s="1" t="n"/>
      <c r="R1192" s="1" t="n"/>
      <c r="S1192" s="1" t="n"/>
      <c r="T1192" s="1" t="n"/>
      <c r="U1192" s="1" t="n"/>
      <c r="V1192" s="1" t="n"/>
      <c r="W1192" s="1" t="n"/>
      <c r="X1192" s="1" t="n"/>
      <c r="Y1192" s="1" t="n"/>
    </row>
    <row r="1193" ht="15.75" customHeight="1" s="64">
      <c r="A1193" s="62" t="n"/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  <c r="K1193" s="1" t="n"/>
      <c r="L1193" s="1" t="n"/>
      <c r="M1193" s="1" t="n"/>
      <c r="N1193" s="1" t="n"/>
      <c r="O1193" s="1" t="n"/>
      <c r="P1193" s="1" t="n"/>
      <c r="Q1193" s="1" t="n"/>
      <c r="R1193" s="1" t="n"/>
      <c r="S1193" s="1" t="n"/>
      <c r="T1193" s="1" t="n"/>
      <c r="U1193" s="1" t="n"/>
      <c r="V1193" s="1" t="n"/>
      <c r="W1193" s="1" t="n"/>
      <c r="X1193" s="1" t="n"/>
      <c r="Y1193" s="1" t="n"/>
    </row>
    <row r="1194" ht="15.75" customHeight="1" s="64">
      <c r="A1194" s="62" t="n"/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  <c r="K1194" s="1" t="n"/>
      <c r="L1194" s="1" t="n"/>
      <c r="M1194" s="1" t="n"/>
      <c r="N1194" s="1" t="n"/>
      <c r="O1194" s="1" t="n"/>
      <c r="P1194" s="1" t="n"/>
      <c r="Q1194" s="1" t="n"/>
      <c r="R1194" s="1" t="n"/>
      <c r="S1194" s="1" t="n"/>
      <c r="T1194" s="1" t="n"/>
      <c r="U1194" s="1" t="n"/>
      <c r="V1194" s="1" t="n"/>
      <c r="W1194" s="1" t="n"/>
      <c r="X1194" s="1" t="n"/>
      <c r="Y1194" s="1" t="n"/>
    </row>
    <row r="1195" ht="15.75" customHeight="1" s="64">
      <c r="A1195" s="62" t="n"/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  <c r="K1195" s="1" t="n"/>
      <c r="L1195" s="1" t="n"/>
      <c r="M1195" s="1" t="n"/>
      <c r="N1195" s="1" t="n"/>
      <c r="O1195" s="1" t="n"/>
      <c r="P1195" s="1" t="n"/>
      <c r="Q1195" s="1" t="n"/>
      <c r="R1195" s="1" t="n"/>
      <c r="S1195" s="1" t="n"/>
      <c r="T1195" s="1" t="n"/>
      <c r="U1195" s="1" t="n"/>
      <c r="V1195" s="1" t="n"/>
      <c r="W1195" s="1" t="n"/>
      <c r="X1195" s="1" t="n"/>
      <c r="Y1195" s="1" t="n"/>
    </row>
  </sheetData>
  <autoFilter ref="A4:AA322"/>
  <mergeCells count="1">
    <mergeCell ref="C2:P2"/>
  </mergeCells>
  <conditionalFormatting sqref="B5:B692">
    <cfRule type="expression" priority="1" dxfId="0">
      <formula>AND(#REF!&lt;&gt;"",#REF!&lt;&gt;"OK")</formula>
    </cfRule>
    <cfRule type="expression" priority="2" dxfId="1">
      <formula>#REF!="OK"</formula>
    </cfRule>
  </conditionalFormatting>
  <conditionalFormatting sqref="H5:H692 L5:L705">
    <cfRule type="expression" priority="3" dxfId="0">
      <formula>#REF!="NO EXISTE en Clientes"</formula>
    </cfRule>
  </conditionalFormatting>
  <dataValidations count="4">
    <dataValidation sqref="N5:N692" showDropDown="0" showInputMessage="1" showErrorMessage="1" allowBlank="1" prompt="Mes inválido - Ingrese un mes de 1 a 12." type="decimal">
      <formula1>1</formula1>
      <formula2>12</formula2>
    </dataValidation>
    <dataValidation sqref="M5:M692" showDropDown="0" showInputMessage="1" showErrorMessage="1" allowBlank="1" prompt="Año inválido - Ingrese un año de 4 dígitos (1950-2100)." type="decimal">
      <formula1>1950</formula1>
      <formula2>2100</formula2>
    </dataValidation>
    <dataValidation sqref="T5:T692" showDropDown="0" showInputMessage="1" showErrorMessage="1" allowBlank="1" prompt="Valor inválido - Ingrese un número mayor o igual a 0." type="decimal" operator="greaterThanOrEqual">
      <formula1>0</formula1>
    </dataValidation>
    <dataValidation sqref="O5:O692" showDropDown="0" showInputMessage="1" showErrorMessage="1" allowBlank="1" prompt="Fecha inválida - Ingrese una fecha válida (dd/mm/aaaa)." type="date">
      <formula1>18264</formula1>
      <formula2>73415</formula2>
    </dataValidation>
  </dataValidation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019"/>
  <sheetViews>
    <sheetView tabSelected="1" workbookViewId="0">
      <pane ySplit="2" topLeftCell="A3" activePane="bottomLeft" state="frozen"/>
      <selection pane="bottomLeft" activeCell="A18" sqref="A18"/>
    </sheetView>
  </sheetViews>
  <sheetFormatPr baseColWidth="10" defaultColWidth="14.42578125" defaultRowHeight="15" customHeight="1"/>
  <cols>
    <col width="255.7109375" bestFit="1" customWidth="1" style="64" min="1" max="1"/>
    <col width="8.5703125" customWidth="1" style="64" min="2" max="26"/>
  </cols>
  <sheetData>
    <row r="1">
      <c r="A1" s="49" t="inlineStr">
        <is>
          <t>Script SQL consolidado (solo lectura) — seleccione la columna A completa, copie y pegue en la BD destino. Las filas vacías se ignoran.</t>
        </is>
      </c>
    </row>
    <row r="2">
      <c r="A2" s="1" t="n"/>
    </row>
    <row r="3">
      <c r="A3" s="50" t="inlineStr">
        <is>
          <t>-- ============================================================</t>
        </is>
      </c>
    </row>
    <row r="4">
      <c r="A4" s="50" t="inlineStr">
        <is>
          <t>-- CARGA INICIAL · Sistema Sarita · generado desde la plantilla Excel</t>
        </is>
      </c>
    </row>
    <row r="5">
      <c r="A5" s="50" t="inlineStr">
        <is>
          <t>-- Orden: Clientes → Contactos → Direcciones → Balones</t>
        </is>
      </c>
    </row>
    <row r="6">
      <c r="A6" s="50" t="inlineStr">
        <is>
          <t>-- ============================================================</t>
        </is>
      </c>
    </row>
    <row r="7">
      <c r="A7" s="51" t="inlineStr">
        <is>
          <t>BEGIN;</t>
        </is>
      </c>
    </row>
    <row r="8">
      <c r="A8" s="51" t="n"/>
    </row>
    <row r="9">
      <c r="A9" s="50" t="inlineStr">
        <is>
          <t>-- 1) CLIENTES (cli_crear_clientes) ---------------------------------</t>
        </is>
      </c>
    </row>
    <row r="10">
      <c r="A10" s="51">
        <f>#REF!</f>
        <v/>
      </c>
    </row>
    <row r="11">
      <c r="A11" s="51">
        <f>#REF!</f>
        <v/>
      </c>
    </row>
    <row r="12">
      <c r="A12" s="51">
        <f>#REF!</f>
        <v/>
      </c>
    </row>
    <row r="13">
      <c r="A13" s="51">
        <f>#REF!</f>
        <v/>
      </c>
    </row>
    <row r="14">
      <c r="A14" s="51">
        <f>#REF!</f>
        <v/>
      </c>
    </row>
    <row r="15">
      <c r="A15" s="51">
        <f>Clientes!P5</f>
        <v/>
      </c>
    </row>
    <row r="16">
      <c r="A16" s="51">
        <f>Clientes!P6</f>
        <v/>
      </c>
    </row>
    <row r="17">
      <c r="A17" s="51">
        <f>Clientes!P7</f>
        <v/>
      </c>
    </row>
    <row r="18">
      <c r="A18" s="51">
        <f>Clientes!P8</f>
        <v/>
      </c>
    </row>
    <row r="19">
      <c r="A19" s="51">
        <f>Clientes!P13</f>
        <v/>
      </c>
    </row>
    <row r="20">
      <c r="A20" s="51">
        <f>Clientes!P14</f>
        <v/>
      </c>
    </row>
    <row r="21" ht="15.75" customHeight="1" s="64">
      <c r="A21" s="51">
        <f>Clientes!P15</f>
        <v/>
      </c>
    </row>
    <row r="22" ht="15.75" customHeight="1" s="64">
      <c r="A22" s="51">
        <f>Clientes!P16</f>
        <v/>
      </c>
    </row>
    <row r="23" ht="15.75" customHeight="1" s="64">
      <c r="A23" s="51">
        <f>Clientes!P17</f>
        <v/>
      </c>
    </row>
    <row r="24" ht="15.75" customHeight="1" s="64">
      <c r="A24" s="51">
        <f>Clientes!P18</f>
        <v/>
      </c>
    </row>
    <row r="25" ht="15.75" customHeight="1" s="64">
      <c r="A25" s="51">
        <f>Clientes!P19</f>
        <v/>
      </c>
    </row>
    <row r="26" ht="15.75" customHeight="1" s="64">
      <c r="A26" s="51">
        <f>Clientes!P21</f>
        <v/>
      </c>
    </row>
    <row r="27" ht="15.75" customHeight="1" s="64">
      <c r="A27" s="51">
        <f>Clientes!P22</f>
        <v/>
      </c>
    </row>
    <row r="28" ht="15.75" customHeight="1" s="64">
      <c r="A28" s="51">
        <f>Clientes!P23</f>
        <v/>
      </c>
    </row>
    <row r="29" ht="15.75" customHeight="1" s="64">
      <c r="A29" s="51">
        <f>Clientes!P24</f>
        <v/>
      </c>
    </row>
    <row r="30" ht="15.75" customHeight="1" s="64">
      <c r="A30" s="51">
        <f>Clientes!P25</f>
        <v/>
      </c>
    </row>
    <row r="31" ht="15.75" customHeight="1" s="64">
      <c r="A31" s="51">
        <f>Clientes!P26</f>
        <v/>
      </c>
    </row>
    <row r="32" ht="15.75" customHeight="1" s="64">
      <c r="A32" s="51">
        <f>Clientes!P27</f>
        <v/>
      </c>
    </row>
    <row r="33" ht="15.75" customHeight="1" s="64">
      <c r="A33" s="51">
        <f>Clientes!P28</f>
        <v/>
      </c>
    </row>
    <row r="34" ht="15.75" customHeight="1" s="64">
      <c r="A34" s="51">
        <f>Clientes!P29</f>
        <v/>
      </c>
    </row>
    <row r="35" ht="15.75" customHeight="1" s="64">
      <c r="A35" s="51">
        <f>Clientes!P30</f>
        <v/>
      </c>
    </row>
    <row r="36" ht="15.75" customHeight="1" s="64">
      <c r="A36" s="51">
        <f>Clientes!P31</f>
        <v/>
      </c>
    </row>
    <row r="37" ht="15.75" customHeight="1" s="64">
      <c r="A37" s="51">
        <f>Clientes!P32</f>
        <v/>
      </c>
    </row>
    <row r="38" ht="15.75" customHeight="1" s="64">
      <c r="A38" s="51">
        <f>Clientes!P33</f>
        <v/>
      </c>
    </row>
    <row r="39" ht="15.75" customHeight="1" s="64">
      <c r="A39" s="51">
        <f>Clientes!P34</f>
        <v/>
      </c>
    </row>
    <row r="40" ht="15.75" customHeight="1" s="64">
      <c r="A40" s="51">
        <f>Clientes!P35</f>
        <v/>
      </c>
    </row>
    <row r="41" ht="15.75" customHeight="1" s="64">
      <c r="A41" s="51">
        <f>Clientes!P36</f>
        <v/>
      </c>
    </row>
    <row r="42" ht="15.75" customHeight="1" s="64">
      <c r="A42" s="51">
        <f>Clientes!P37</f>
        <v/>
      </c>
    </row>
    <row r="43" ht="15.75" customHeight="1" s="64">
      <c r="A43" s="51">
        <f>Clientes!P38</f>
        <v/>
      </c>
    </row>
    <row r="44" ht="15.75" customHeight="1" s="64">
      <c r="A44" s="51">
        <f>Clientes!P39</f>
        <v/>
      </c>
    </row>
    <row r="45" ht="15.75" customHeight="1" s="64">
      <c r="A45" s="51">
        <f>Clientes!P40</f>
        <v/>
      </c>
    </row>
    <row r="46" ht="15.75" customHeight="1" s="64">
      <c r="A46" s="51">
        <f>Clientes!P41</f>
        <v/>
      </c>
    </row>
    <row r="47" ht="15.75" customHeight="1" s="64">
      <c r="A47" s="51">
        <f>Clientes!P42</f>
        <v/>
      </c>
    </row>
    <row r="48" ht="15.75" customHeight="1" s="64">
      <c r="A48" s="51">
        <f>Clientes!P43</f>
        <v/>
      </c>
    </row>
    <row r="49" ht="15.75" customHeight="1" s="64">
      <c r="A49" s="51">
        <f>Clientes!P44</f>
        <v/>
      </c>
    </row>
    <row r="50" ht="15.75" customHeight="1" s="64">
      <c r="A50" s="51">
        <f>Clientes!P45</f>
        <v/>
      </c>
    </row>
    <row r="51" ht="15.75" customHeight="1" s="64">
      <c r="A51" s="51">
        <f>Clientes!P46</f>
        <v/>
      </c>
    </row>
    <row r="52" ht="15.75" customHeight="1" s="64">
      <c r="A52" s="51">
        <f>Clientes!P47</f>
        <v/>
      </c>
    </row>
    <row r="53" ht="15.75" customHeight="1" s="64">
      <c r="A53" s="51">
        <f>Clientes!P48</f>
        <v/>
      </c>
    </row>
    <row r="54" ht="15.75" customHeight="1" s="64">
      <c r="A54" s="51">
        <f>Clientes!P49</f>
        <v/>
      </c>
    </row>
    <row r="55" ht="15.75" customHeight="1" s="64">
      <c r="A55" s="51">
        <f>Clientes!P50</f>
        <v/>
      </c>
    </row>
    <row r="56" ht="15.75" customHeight="1" s="64">
      <c r="A56" s="51">
        <f>Clientes!P51</f>
        <v/>
      </c>
    </row>
    <row r="57" ht="15.75" customHeight="1" s="64">
      <c r="A57" s="51">
        <f>Clientes!P52</f>
        <v/>
      </c>
    </row>
    <row r="58" ht="15.75" customHeight="1" s="64">
      <c r="A58" s="51">
        <f>Clientes!P53</f>
        <v/>
      </c>
    </row>
    <row r="59" ht="15.75" customHeight="1" s="64">
      <c r="A59" s="51">
        <f>Clientes!P54</f>
        <v/>
      </c>
    </row>
    <row r="60" ht="15.75" customHeight="1" s="64">
      <c r="A60" s="51">
        <f>Clientes!P55</f>
        <v/>
      </c>
    </row>
    <row r="61" ht="15.75" customHeight="1" s="64">
      <c r="A61" s="51">
        <f>Clientes!P56</f>
        <v/>
      </c>
    </row>
    <row r="62" ht="15.75" customHeight="1" s="64">
      <c r="A62" s="51">
        <f>Clientes!P60</f>
        <v/>
      </c>
    </row>
    <row r="63" ht="15.75" customHeight="1" s="64">
      <c r="A63" s="51">
        <f>Clientes!P61</f>
        <v/>
      </c>
    </row>
    <row r="64" ht="15.75" customHeight="1" s="64">
      <c r="A64" s="51">
        <f>Clientes!P62</f>
        <v/>
      </c>
    </row>
    <row r="65" ht="15.75" customHeight="1" s="64">
      <c r="A65" s="51">
        <f>Clientes!P64</f>
        <v/>
      </c>
    </row>
    <row r="66" ht="15.75" customHeight="1" s="64">
      <c r="A66" s="51">
        <f>Clientes!P67</f>
        <v/>
      </c>
    </row>
    <row r="67" ht="15.75" customHeight="1" s="64">
      <c r="A67" s="51">
        <f>Clientes!P70</f>
        <v/>
      </c>
    </row>
    <row r="68" ht="15.75" customHeight="1" s="64">
      <c r="A68" s="51">
        <f>Clientes!P108</f>
        <v/>
      </c>
    </row>
    <row r="69" ht="15.75" customHeight="1" s="64">
      <c r="A69" s="51">
        <f>Clientes!P109</f>
        <v/>
      </c>
    </row>
    <row r="70" ht="15.75" customHeight="1" s="64">
      <c r="A70" s="51">
        <f>Clientes!P110</f>
        <v/>
      </c>
    </row>
    <row r="71" ht="15.75" customHeight="1" s="64">
      <c r="A71" s="51">
        <f>Clientes!P111</f>
        <v/>
      </c>
    </row>
    <row r="72" ht="15.75" customHeight="1" s="64">
      <c r="A72" s="51">
        <f>Clientes!P112</f>
        <v/>
      </c>
    </row>
    <row r="73" ht="15.75" customHeight="1" s="64">
      <c r="A73" s="51">
        <f>Clientes!P113</f>
        <v/>
      </c>
    </row>
    <row r="74" ht="15.75" customHeight="1" s="64">
      <c r="A74" s="51">
        <f>Clientes!P114</f>
        <v/>
      </c>
    </row>
    <row r="75" ht="15.75" customHeight="1" s="64">
      <c r="A75" s="51">
        <f>Clientes!P115</f>
        <v/>
      </c>
    </row>
    <row r="76" ht="15.75" customHeight="1" s="64">
      <c r="A76" s="51">
        <f>Clientes!P116</f>
        <v/>
      </c>
    </row>
    <row r="77" ht="15.75" customHeight="1" s="64">
      <c r="A77" s="51">
        <f>Clientes!P117</f>
        <v/>
      </c>
    </row>
    <row r="78" ht="15.75" customHeight="1" s="64">
      <c r="A78" s="51">
        <f>Clientes!P118</f>
        <v/>
      </c>
    </row>
    <row r="79" ht="15.75" customHeight="1" s="64">
      <c r="A79" s="51">
        <f>Clientes!P119</f>
        <v/>
      </c>
    </row>
    <row r="80" ht="15.75" customHeight="1" s="64">
      <c r="A80" s="51">
        <f>Clientes!P120</f>
        <v/>
      </c>
    </row>
    <row r="81" ht="15.75" customHeight="1" s="64">
      <c r="A81" s="51">
        <f>Clientes!P121</f>
        <v/>
      </c>
    </row>
    <row r="82" ht="15.75" customHeight="1" s="64">
      <c r="A82" s="51">
        <f>Clientes!P122</f>
        <v/>
      </c>
    </row>
    <row r="83" ht="15.75" customHeight="1" s="64">
      <c r="A83" s="51">
        <f>Clientes!P123</f>
        <v/>
      </c>
    </row>
    <row r="84" ht="15.75" customHeight="1" s="64">
      <c r="A84" s="51">
        <f>Clientes!P124</f>
        <v/>
      </c>
    </row>
    <row r="85" ht="15.75" customHeight="1" s="64">
      <c r="A85" s="51">
        <f>Clientes!P125</f>
        <v/>
      </c>
    </row>
    <row r="86" ht="15.75" customHeight="1" s="64">
      <c r="A86" s="51">
        <f>Clientes!P126</f>
        <v/>
      </c>
    </row>
    <row r="87" ht="15.75" customHeight="1" s="64">
      <c r="A87" s="51">
        <f>Clientes!P127</f>
        <v/>
      </c>
    </row>
    <row r="88" ht="15.75" customHeight="1" s="64">
      <c r="A88" s="51">
        <f>Clientes!P128</f>
        <v/>
      </c>
    </row>
    <row r="89" ht="15.75" customHeight="1" s="64">
      <c r="A89" s="51">
        <f>Clientes!P129</f>
        <v/>
      </c>
    </row>
    <row r="90" ht="15.75" customHeight="1" s="64">
      <c r="A90" s="51">
        <f>Clientes!P130</f>
        <v/>
      </c>
    </row>
    <row r="91" ht="15.75" customHeight="1" s="64">
      <c r="A91" s="51">
        <f>Clientes!P131</f>
        <v/>
      </c>
    </row>
    <row r="92" ht="15.75" customHeight="1" s="64">
      <c r="A92" s="51">
        <f>Clientes!P132</f>
        <v/>
      </c>
    </row>
    <row r="93" ht="15.75" customHeight="1" s="64">
      <c r="A93" s="51">
        <f>Clientes!P133</f>
        <v/>
      </c>
    </row>
    <row r="94" ht="15.75" customHeight="1" s="64">
      <c r="A94" s="51">
        <f>Clientes!P134</f>
        <v/>
      </c>
    </row>
    <row r="95" ht="15.75" customHeight="1" s="64">
      <c r="A95" s="51">
        <f>Clientes!P135</f>
        <v/>
      </c>
    </row>
    <row r="96" ht="15.75" customHeight="1" s="64">
      <c r="A96" s="51">
        <f>Clientes!P136</f>
        <v/>
      </c>
    </row>
    <row r="97" ht="15.75" customHeight="1" s="64">
      <c r="A97" s="51">
        <f>Clientes!P137</f>
        <v/>
      </c>
    </row>
    <row r="98" ht="15.75" customHeight="1" s="64">
      <c r="A98" s="51">
        <f>Clientes!P138</f>
        <v/>
      </c>
    </row>
    <row r="99" ht="15.75" customHeight="1" s="64">
      <c r="A99" s="51">
        <f>Clientes!P139</f>
        <v/>
      </c>
    </row>
    <row r="100" ht="15.75" customHeight="1" s="64">
      <c r="A100" s="51">
        <f>Clientes!P140</f>
        <v/>
      </c>
    </row>
    <row r="101" ht="15.75" customHeight="1" s="64">
      <c r="A101" s="51">
        <f>Clientes!P141</f>
        <v/>
      </c>
    </row>
    <row r="102" ht="15.75" customHeight="1" s="64">
      <c r="A102" s="51">
        <f>Clientes!P142</f>
        <v/>
      </c>
    </row>
    <row r="103" ht="15.75" customHeight="1" s="64">
      <c r="A103" s="51">
        <f>Clientes!P143</f>
        <v/>
      </c>
    </row>
    <row r="104" ht="15.75" customHeight="1" s="64">
      <c r="A104" s="51">
        <f>Clientes!P144</f>
        <v/>
      </c>
    </row>
    <row r="105" ht="15.75" customHeight="1" s="64">
      <c r="A105" s="51">
        <f>Clientes!P145</f>
        <v/>
      </c>
    </row>
    <row r="106" ht="15.75" customHeight="1" s="64">
      <c r="A106" s="51">
        <f>Clientes!P146</f>
        <v/>
      </c>
    </row>
    <row r="107" ht="15.75" customHeight="1" s="64">
      <c r="A107" s="51">
        <f>Clientes!P147</f>
        <v/>
      </c>
    </row>
    <row r="108" ht="15.75" customHeight="1" s="64">
      <c r="A108" s="51">
        <f>Clientes!P148</f>
        <v/>
      </c>
    </row>
    <row r="109" ht="15.75" customHeight="1" s="64">
      <c r="A109" s="51">
        <f>Clientes!P149</f>
        <v/>
      </c>
    </row>
    <row r="110" ht="15.75" customHeight="1" s="64">
      <c r="A110" s="51">
        <f>Clientes!P150</f>
        <v/>
      </c>
    </row>
    <row r="111" ht="15.75" customHeight="1" s="64">
      <c r="A111" s="51">
        <f>Clientes!P151</f>
        <v/>
      </c>
    </row>
    <row r="112" ht="15.75" customHeight="1" s="64">
      <c r="A112" s="51">
        <f>Clientes!P152</f>
        <v/>
      </c>
    </row>
    <row r="113" ht="15.75" customHeight="1" s="64">
      <c r="A113" s="51">
        <f>Clientes!P153</f>
        <v/>
      </c>
    </row>
    <row r="114" ht="15.75" customHeight="1" s="64">
      <c r="A114" s="51">
        <f>Clientes!P154</f>
        <v/>
      </c>
    </row>
    <row r="115" ht="15.75" customHeight="1" s="64">
      <c r="A115" s="51">
        <f>Clientes!P155</f>
        <v/>
      </c>
    </row>
    <row r="116" ht="15.75" customHeight="1" s="64">
      <c r="A116" s="51">
        <f>Clientes!P156</f>
        <v/>
      </c>
    </row>
    <row r="117" ht="15.75" customHeight="1" s="64">
      <c r="A117" s="51">
        <f>Clientes!P157</f>
        <v/>
      </c>
    </row>
    <row r="118" ht="15.75" customHeight="1" s="64">
      <c r="A118" s="51">
        <f>Clientes!P158</f>
        <v/>
      </c>
    </row>
    <row r="119" ht="15.75" customHeight="1" s="64">
      <c r="A119" s="51">
        <f>Clientes!P159</f>
        <v/>
      </c>
    </row>
    <row r="120" ht="15.75" customHeight="1" s="64">
      <c r="A120" s="51">
        <f>Clientes!P160</f>
        <v/>
      </c>
    </row>
    <row r="121" ht="15.75" customHeight="1" s="64">
      <c r="A121" s="51">
        <f>Clientes!P161</f>
        <v/>
      </c>
    </row>
    <row r="122" ht="15.75" customHeight="1" s="64">
      <c r="A122" s="51">
        <f>Clientes!P162</f>
        <v/>
      </c>
    </row>
    <row r="123" ht="15.75" customHeight="1" s="64">
      <c r="A123" s="51">
        <f>Clientes!P163</f>
        <v/>
      </c>
    </row>
    <row r="124" ht="15.75" customHeight="1" s="64">
      <c r="A124" s="51">
        <f>Clientes!P164</f>
        <v/>
      </c>
    </row>
    <row r="125" ht="15.75" customHeight="1" s="64">
      <c r="A125" s="51">
        <f>Clientes!P165</f>
        <v/>
      </c>
    </row>
    <row r="126" ht="15.75" customHeight="1" s="64">
      <c r="A126" s="51">
        <f>Clientes!P166</f>
        <v/>
      </c>
    </row>
    <row r="127" ht="15.75" customHeight="1" s="64">
      <c r="A127" s="51">
        <f>Clientes!P167</f>
        <v/>
      </c>
    </row>
    <row r="128" ht="15.75" customHeight="1" s="64">
      <c r="A128" s="51">
        <f>Clientes!P168</f>
        <v/>
      </c>
    </row>
    <row r="129" ht="15.75" customHeight="1" s="64">
      <c r="A129" s="51">
        <f>Clientes!P169</f>
        <v/>
      </c>
    </row>
    <row r="130" ht="15.75" customHeight="1" s="64">
      <c r="A130" s="51">
        <f>Clientes!P170</f>
        <v/>
      </c>
    </row>
    <row r="131" ht="15.75" customHeight="1" s="64">
      <c r="A131" s="51">
        <f>Clientes!P171</f>
        <v/>
      </c>
    </row>
    <row r="132" ht="15.75" customHeight="1" s="64">
      <c r="A132" s="51">
        <f>Clientes!P172</f>
        <v/>
      </c>
    </row>
    <row r="133" ht="15.75" customHeight="1" s="64">
      <c r="A133" s="51">
        <f>Clientes!P173</f>
        <v/>
      </c>
    </row>
    <row r="134" ht="15.75" customHeight="1" s="64">
      <c r="A134" s="51">
        <f>Clientes!P174</f>
        <v/>
      </c>
    </row>
    <row r="135" ht="15.75" customHeight="1" s="64">
      <c r="A135" s="51">
        <f>Clientes!P175</f>
        <v/>
      </c>
    </row>
    <row r="136" ht="15.75" customHeight="1" s="64">
      <c r="A136" s="51">
        <f>Clientes!P176</f>
        <v/>
      </c>
    </row>
    <row r="137" ht="15.75" customHeight="1" s="64">
      <c r="A137" s="51">
        <f>Clientes!P177</f>
        <v/>
      </c>
    </row>
    <row r="138" ht="15.75" customHeight="1" s="64">
      <c r="A138" s="51">
        <f>Clientes!P178</f>
        <v/>
      </c>
    </row>
    <row r="139" ht="15.75" customHeight="1" s="64">
      <c r="A139" s="51">
        <f>Clientes!P179</f>
        <v/>
      </c>
    </row>
    <row r="140" ht="15.75" customHeight="1" s="64">
      <c r="A140" s="51">
        <f>Clientes!P180</f>
        <v/>
      </c>
    </row>
    <row r="141" ht="15.75" customHeight="1" s="64">
      <c r="A141" s="51">
        <f>Clientes!P181</f>
        <v/>
      </c>
    </row>
    <row r="142" ht="15.75" customHeight="1" s="64">
      <c r="A142" s="51">
        <f>Clientes!P182</f>
        <v/>
      </c>
    </row>
    <row r="143" ht="15.75" customHeight="1" s="64">
      <c r="A143" s="51">
        <f>Clientes!P183</f>
        <v/>
      </c>
    </row>
    <row r="144" ht="15.75" customHeight="1" s="64">
      <c r="A144" s="51">
        <f>Clientes!P184</f>
        <v/>
      </c>
    </row>
    <row r="145" ht="15.75" customHeight="1" s="64">
      <c r="A145" s="51">
        <f>Clientes!P185</f>
        <v/>
      </c>
    </row>
    <row r="146" ht="15.75" customHeight="1" s="64">
      <c r="A146" s="51">
        <f>Clientes!P186</f>
        <v/>
      </c>
    </row>
    <row r="147" ht="15.75" customHeight="1" s="64">
      <c r="A147" s="51">
        <f>Clientes!P187</f>
        <v/>
      </c>
    </row>
    <row r="148" ht="15.75" customHeight="1" s="64">
      <c r="A148" s="51">
        <f>Clientes!P188</f>
        <v/>
      </c>
    </row>
    <row r="149" ht="15.75" customHeight="1" s="64">
      <c r="A149" s="51">
        <f>Clientes!P189</f>
        <v/>
      </c>
    </row>
    <row r="150" ht="15.75" customHeight="1" s="64">
      <c r="A150" s="51">
        <f>Clientes!P190</f>
        <v/>
      </c>
    </row>
    <row r="151" ht="15.75" customHeight="1" s="64">
      <c r="A151" s="51">
        <f>Clientes!P191</f>
        <v/>
      </c>
    </row>
    <row r="152" ht="15.75" customHeight="1" s="64">
      <c r="A152" s="51">
        <f>Clientes!P192</f>
        <v/>
      </c>
    </row>
    <row r="153" ht="15.75" customHeight="1" s="64">
      <c r="A153" s="51">
        <f>Clientes!P193</f>
        <v/>
      </c>
    </row>
    <row r="154" ht="15.75" customHeight="1" s="64">
      <c r="A154" s="51">
        <f>Clientes!P194</f>
        <v/>
      </c>
    </row>
    <row r="155" ht="15.75" customHeight="1" s="64">
      <c r="A155" s="51">
        <f>Clientes!P195</f>
        <v/>
      </c>
    </row>
    <row r="156" ht="15.75" customHeight="1" s="64">
      <c r="A156" s="51">
        <f>Clientes!P196</f>
        <v/>
      </c>
    </row>
    <row r="157" ht="15.75" customHeight="1" s="64">
      <c r="A157" s="51">
        <f>Clientes!P197</f>
        <v/>
      </c>
    </row>
    <row r="158" ht="15.75" customHeight="1" s="64">
      <c r="A158" s="51">
        <f>Clientes!P198</f>
        <v/>
      </c>
    </row>
    <row r="159" ht="15.75" customHeight="1" s="64">
      <c r="A159" s="51">
        <f>Clientes!P199</f>
        <v/>
      </c>
    </row>
    <row r="160" ht="15.75" customHeight="1" s="64">
      <c r="A160" s="51">
        <f>Clientes!P200</f>
        <v/>
      </c>
    </row>
    <row r="161" ht="15.75" customHeight="1" s="64">
      <c r="A161" s="51">
        <f>Clientes!P201</f>
        <v/>
      </c>
    </row>
    <row r="162" ht="15.75" customHeight="1" s="64">
      <c r="A162" s="51">
        <f>Clientes!P202</f>
        <v/>
      </c>
    </row>
    <row r="163" ht="15.75" customHeight="1" s="64">
      <c r="A163" s="51">
        <f>Clientes!P203</f>
        <v/>
      </c>
    </row>
    <row r="164" ht="15.75" customHeight="1" s="64">
      <c r="A164" s="51">
        <f>Clientes!P204</f>
        <v/>
      </c>
    </row>
    <row r="165" ht="15.75" customHeight="1" s="64">
      <c r="A165" s="51">
        <f>Clientes!P205</f>
        <v/>
      </c>
    </row>
    <row r="166" ht="15.75" customHeight="1" s="64">
      <c r="A166" s="51">
        <f>Clientes!P206</f>
        <v/>
      </c>
    </row>
    <row r="167" ht="15.75" customHeight="1" s="64">
      <c r="A167" s="51">
        <f>Clientes!P207</f>
        <v/>
      </c>
    </row>
    <row r="168" ht="15.75" customHeight="1" s="64">
      <c r="A168" s="51">
        <f>Clientes!P208</f>
        <v/>
      </c>
    </row>
    <row r="169" ht="15.75" customHeight="1" s="64">
      <c r="A169" s="51">
        <f>Clientes!P209</f>
        <v/>
      </c>
    </row>
    <row r="170" ht="15.75" customHeight="1" s="64">
      <c r="A170" s="51">
        <f>Clientes!P210</f>
        <v/>
      </c>
    </row>
    <row r="171" ht="15.75" customHeight="1" s="64">
      <c r="A171" s="51">
        <f>Clientes!P211</f>
        <v/>
      </c>
    </row>
    <row r="172" ht="15.75" customHeight="1" s="64">
      <c r="A172" s="51">
        <f>Clientes!P212</f>
        <v/>
      </c>
    </row>
    <row r="173" ht="15.75" customHeight="1" s="64">
      <c r="A173" s="51">
        <f>Clientes!P213</f>
        <v/>
      </c>
    </row>
    <row r="174" ht="15.75" customHeight="1" s="64">
      <c r="A174" s="51">
        <f>Clientes!P214</f>
        <v/>
      </c>
    </row>
    <row r="175" ht="15.75" customHeight="1" s="64">
      <c r="A175" s="51">
        <f>Clientes!P215</f>
        <v/>
      </c>
    </row>
    <row r="176" ht="15.75" customHeight="1" s="64">
      <c r="A176" s="51">
        <f>Clientes!P216</f>
        <v/>
      </c>
    </row>
    <row r="177" ht="15.75" customHeight="1" s="64">
      <c r="A177" s="51">
        <f>Clientes!P217</f>
        <v/>
      </c>
    </row>
    <row r="178" ht="15.75" customHeight="1" s="64">
      <c r="A178" s="51">
        <f>Clientes!P218</f>
        <v/>
      </c>
    </row>
    <row r="179" ht="15.75" customHeight="1" s="64">
      <c r="A179" s="51">
        <f>Clientes!P219</f>
        <v/>
      </c>
    </row>
    <row r="180" ht="15.75" customHeight="1" s="64">
      <c r="A180" s="51">
        <f>Clientes!P220</f>
        <v/>
      </c>
    </row>
    <row r="181" ht="15.75" customHeight="1" s="64">
      <c r="A181" s="51">
        <f>Clientes!P221</f>
        <v/>
      </c>
    </row>
    <row r="182" ht="15.75" customHeight="1" s="64">
      <c r="A182" s="51">
        <f>Clientes!P222</f>
        <v/>
      </c>
    </row>
    <row r="183" ht="15.75" customHeight="1" s="64">
      <c r="A183" s="51">
        <f>Clientes!P223</f>
        <v/>
      </c>
    </row>
    <row r="184" ht="15.75" customHeight="1" s="64">
      <c r="A184" s="51">
        <f>Clientes!P224</f>
        <v/>
      </c>
    </row>
    <row r="185" ht="15.75" customHeight="1" s="64">
      <c r="A185" s="51">
        <f>Clientes!P225</f>
        <v/>
      </c>
    </row>
    <row r="186" ht="15.75" customHeight="1" s="64">
      <c r="A186" s="51">
        <f>Clientes!P226</f>
        <v/>
      </c>
    </row>
    <row r="187" ht="15.75" customHeight="1" s="64">
      <c r="A187" s="51">
        <f>Clientes!P227</f>
        <v/>
      </c>
    </row>
    <row r="188" ht="15.75" customHeight="1" s="64">
      <c r="A188" s="51">
        <f>Clientes!P228</f>
        <v/>
      </c>
    </row>
    <row r="189" ht="15.75" customHeight="1" s="64">
      <c r="A189" s="51">
        <f>Clientes!P229</f>
        <v/>
      </c>
    </row>
    <row r="190" ht="15.75" customHeight="1" s="64">
      <c r="A190" s="51">
        <f>Clientes!P230</f>
        <v/>
      </c>
    </row>
    <row r="191" ht="15.75" customHeight="1" s="64">
      <c r="A191" s="51">
        <f>Clientes!P231</f>
        <v/>
      </c>
    </row>
    <row r="192" ht="15.75" customHeight="1" s="64">
      <c r="A192" s="51">
        <f>Clientes!P232</f>
        <v/>
      </c>
    </row>
    <row r="193" ht="15.75" customHeight="1" s="64">
      <c r="A193" s="51">
        <f>Clientes!P233</f>
        <v/>
      </c>
    </row>
    <row r="194" ht="15.75" customHeight="1" s="64">
      <c r="A194" s="51">
        <f>Clientes!P234</f>
        <v/>
      </c>
    </row>
    <row r="195" ht="15.75" customHeight="1" s="64">
      <c r="A195" s="51">
        <f>Clientes!P235</f>
        <v/>
      </c>
    </row>
    <row r="196" ht="15.75" customHeight="1" s="64">
      <c r="A196" s="51">
        <f>Clientes!P236</f>
        <v/>
      </c>
    </row>
    <row r="197" ht="15.75" customHeight="1" s="64">
      <c r="A197" s="51">
        <f>Clientes!P237</f>
        <v/>
      </c>
    </row>
    <row r="198" ht="15.75" customHeight="1" s="64">
      <c r="A198" s="51">
        <f>Clientes!P238</f>
        <v/>
      </c>
    </row>
    <row r="199" ht="15.75" customHeight="1" s="64">
      <c r="A199" s="51">
        <f>Clientes!P239</f>
        <v/>
      </c>
    </row>
    <row r="200" ht="15.75" customHeight="1" s="64">
      <c r="A200" s="51">
        <f>Clientes!P240</f>
        <v/>
      </c>
    </row>
    <row r="201" ht="15.75" customHeight="1" s="64">
      <c r="A201" s="51">
        <f>Clientes!P241</f>
        <v/>
      </c>
    </row>
    <row r="202" ht="15.75" customHeight="1" s="64">
      <c r="A202" s="51">
        <f>Clientes!P242</f>
        <v/>
      </c>
    </row>
    <row r="203" ht="15.75" customHeight="1" s="64">
      <c r="A203" s="51">
        <f>Clientes!P243</f>
        <v/>
      </c>
    </row>
    <row r="204" ht="15.75" customHeight="1" s="64">
      <c r="A204" s="51">
        <f>Clientes!P244</f>
        <v/>
      </c>
    </row>
    <row r="205" ht="15.75" customHeight="1" s="64">
      <c r="A205" s="51">
        <f>Clientes!P245</f>
        <v/>
      </c>
    </row>
    <row r="206" ht="15.75" customHeight="1" s="64">
      <c r="A206" s="51">
        <f>Clientes!P246</f>
        <v/>
      </c>
    </row>
    <row r="207" ht="15.75" customHeight="1" s="64">
      <c r="A207" s="51">
        <f>Clientes!P247</f>
        <v/>
      </c>
    </row>
    <row r="208" ht="15.75" customHeight="1" s="64">
      <c r="A208" s="51">
        <f>Clientes!P248</f>
        <v/>
      </c>
    </row>
    <row r="209" ht="15.75" customHeight="1" s="64">
      <c r="A209" s="51">
        <f>Clientes!P249</f>
        <v/>
      </c>
    </row>
    <row r="210" ht="15.75" customHeight="1" s="64">
      <c r="A210" s="51">
        <f>Clientes!P250</f>
        <v/>
      </c>
    </row>
    <row r="211" ht="15.75" customHeight="1" s="64">
      <c r="A211" s="51">
        <f>Clientes!P251</f>
        <v/>
      </c>
    </row>
    <row r="212" ht="15.75" customHeight="1" s="64">
      <c r="A212" s="51">
        <f>Clientes!P252</f>
        <v/>
      </c>
    </row>
    <row r="213" ht="15.75" customHeight="1" s="64">
      <c r="A213" s="51">
        <f>Clientes!P253</f>
        <v/>
      </c>
    </row>
    <row r="214" ht="15.75" customHeight="1" s="64">
      <c r="A214" s="51">
        <f>Clientes!P254</f>
        <v/>
      </c>
    </row>
    <row r="215" ht="15.75" customHeight="1" s="64">
      <c r="A215" s="51">
        <f>Clientes!P255</f>
        <v/>
      </c>
    </row>
    <row r="216" ht="15.75" customHeight="1" s="64">
      <c r="A216" s="51">
        <f>Clientes!P256</f>
        <v/>
      </c>
    </row>
    <row r="217" ht="15.75" customHeight="1" s="64">
      <c r="A217" s="51">
        <f>Clientes!P257</f>
        <v/>
      </c>
    </row>
    <row r="218" ht="15.75" customHeight="1" s="64">
      <c r="A218" s="51">
        <f>Clientes!P258</f>
        <v/>
      </c>
    </row>
    <row r="219" ht="15.75" customHeight="1" s="64">
      <c r="A219" s="51">
        <f>Clientes!P259</f>
        <v/>
      </c>
    </row>
    <row r="220" ht="15.75" customHeight="1" s="64">
      <c r="A220" s="51">
        <f>Clientes!P260</f>
        <v/>
      </c>
    </row>
    <row r="221" ht="15.75" customHeight="1" s="64">
      <c r="A221" s="51">
        <f>Clientes!P261</f>
        <v/>
      </c>
    </row>
    <row r="222" ht="15.75" customHeight="1" s="64">
      <c r="A222" s="51">
        <f>Clientes!P262</f>
        <v/>
      </c>
    </row>
    <row r="223" ht="15.75" customHeight="1" s="64">
      <c r="A223" s="51">
        <f>Clientes!P263</f>
        <v/>
      </c>
    </row>
    <row r="224" ht="15.75" customHeight="1" s="64">
      <c r="A224" s="51">
        <f>Clientes!P264</f>
        <v/>
      </c>
    </row>
    <row r="225" ht="15.75" customHeight="1" s="64">
      <c r="A225" s="51">
        <f>Clientes!P265</f>
        <v/>
      </c>
    </row>
    <row r="226" ht="15.75" customHeight="1" s="64">
      <c r="A226" s="51">
        <f>Clientes!P266</f>
        <v/>
      </c>
    </row>
    <row r="227" ht="15.75" customHeight="1" s="64">
      <c r="A227" s="51">
        <f>Clientes!P267</f>
        <v/>
      </c>
    </row>
    <row r="228" ht="15.75" customHeight="1" s="64">
      <c r="A228" s="51">
        <f>Clientes!P268</f>
        <v/>
      </c>
    </row>
    <row r="229" ht="15.75" customHeight="1" s="64">
      <c r="A229" s="51">
        <f>Clientes!P269</f>
        <v/>
      </c>
    </row>
    <row r="230" ht="15.75" customHeight="1" s="64">
      <c r="A230" s="51">
        <f>Clientes!P270</f>
        <v/>
      </c>
    </row>
    <row r="231" ht="15.75" customHeight="1" s="64">
      <c r="A231" s="51">
        <f>Clientes!P271</f>
        <v/>
      </c>
    </row>
    <row r="232" ht="15.75" customHeight="1" s="64">
      <c r="A232" s="51">
        <f>Clientes!P272</f>
        <v/>
      </c>
    </row>
    <row r="233" ht="15.75" customHeight="1" s="64">
      <c r="A233" s="51">
        <f>Clientes!P273</f>
        <v/>
      </c>
    </row>
    <row r="234" ht="15.75" customHeight="1" s="64">
      <c r="A234" s="51">
        <f>Clientes!P274</f>
        <v/>
      </c>
    </row>
    <row r="235" ht="15.75" customHeight="1" s="64">
      <c r="A235" s="51">
        <f>Clientes!P275</f>
        <v/>
      </c>
    </row>
    <row r="236" ht="15.75" customHeight="1" s="64">
      <c r="A236" s="51">
        <f>Clientes!P276</f>
        <v/>
      </c>
    </row>
    <row r="237" ht="15.75" customHeight="1" s="64">
      <c r="A237" s="51">
        <f>Clientes!P277</f>
        <v/>
      </c>
    </row>
    <row r="238" ht="15.75" customHeight="1" s="64">
      <c r="A238" s="51">
        <f>Clientes!P278</f>
        <v/>
      </c>
    </row>
    <row r="239" ht="15.75" customHeight="1" s="64">
      <c r="A239" s="51">
        <f>Clientes!P279</f>
        <v/>
      </c>
    </row>
    <row r="240" ht="15.75" customHeight="1" s="64">
      <c r="A240" s="51">
        <f>Clientes!P280</f>
        <v/>
      </c>
    </row>
    <row r="241" ht="15.75" customHeight="1" s="64">
      <c r="A241" s="51">
        <f>Clientes!P281</f>
        <v/>
      </c>
    </row>
    <row r="242" ht="15.75" customHeight="1" s="64">
      <c r="A242" s="51">
        <f>Clientes!P282</f>
        <v/>
      </c>
    </row>
    <row r="243" ht="15.75" customHeight="1" s="64">
      <c r="A243" s="51">
        <f>Clientes!P283</f>
        <v/>
      </c>
    </row>
    <row r="244" ht="15.75" customHeight="1" s="64">
      <c r="A244" s="51">
        <f>Clientes!P284</f>
        <v/>
      </c>
    </row>
    <row r="245" ht="15.75" customHeight="1" s="64">
      <c r="A245" s="51">
        <f>Clientes!P285</f>
        <v/>
      </c>
    </row>
    <row r="246" ht="15.75" customHeight="1" s="64">
      <c r="A246" s="51">
        <f>Clientes!P286</f>
        <v/>
      </c>
    </row>
    <row r="247" ht="15.75" customHeight="1" s="64">
      <c r="A247" s="51">
        <f>Clientes!P287</f>
        <v/>
      </c>
    </row>
    <row r="248" ht="15.75" customHeight="1" s="64">
      <c r="A248" s="51">
        <f>Clientes!P288</f>
        <v/>
      </c>
    </row>
    <row r="249" ht="15.75" customHeight="1" s="64">
      <c r="A249" s="51">
        <f>Clientes!P289</f>
        <v/>
      </c>
    </row>
    <row r="250" ht="15.75" customHeight="1" s="64">
      <c r="A250" s="51">
        <f>Clientes!P290</f>
        <v/>
      </c>
    </row>
    <row r="251" ht="15.75" customHeight="1" s="64">
      <c r="A251" s="51">
        <f>Clientes!P291</f>
        <v/>
      </c>
    </row>
    <row r="252" ht="15.75" customHeight="1" s="64">
      <c r="A252" s="51">
        <f>Clientes!P292</f>
        <v/>
      </c>
    </row>
    <row r="253" ht="15.75" customHeight="1" s="64">
      <c r="A253" s="51">
        <f>Clientes!P293</f>
        <v/>
      </c>
    </row>
    <row r="254" ht="15.75" customHeight="1" s="64">
      <c r="A254" s="51">
        <f>Clientes!P294</f>
        <v/>
      </c>
    </row>
    <row r="255" ht="15.75" customHeight="1" s="64">
      <c r="A255" s="51">
        <f>Clientes!P295</f>
        <v/>
      </c>
    </row>
    <row r="256" ht="15.75" customHeight="1" s="64">
      <c r="A256" s="51">
        <f>Clientes!P296</f>
        <v/>
      </c>
    </row>
    <row r="257" ht="15.75" customHeight="1" s="64">
      <c r="A257" s="51">
        <f>Clientes!P297</f>
        <v/>
      </c>
    </row>
    <row r="258" ht="15.75" customHeight="1" s="64">
      <c r="A258" s="51">
        <f>Clientes!P298</f>
        <v/>
      </c>
    </row>
    <row r="259" ht="15.75" customHeight="1" s="64">
      <c r="A259" s="51">
        <f>Clientes!P299</f>
        <v/>
      </c>
    </row>
    <row r="260" ht="15.75" customHeight="1" s="64">
      <c r="A260" s="51">
        <f>Clientes!P300</f>
        <v/>
      </c>
    </row>
    <row r="261" ht="15.75" customHeight="1" s="64">
      <c r="A261" s="51">
        <f>Clientes!P301</f>
        <v/>
      </c>
    </row>
    <row r="262" ht="15.75" customHeight="1" s="64">
      <c r="A262" s="51">
        <f>Clientes!P302</f>
        <v/>
      </c>
    </row>
    <row r="263" ht="15.75" customHeight="1" s="64">
      <c r="A263" s="51">
        <f>Clientes!P303</f>
        <v/>
      </c>
    </row>
    <row r="264" ht="15.75" customHeight="1" s="64">
      <c r="A264" s="51">
        <f>Clientes!P304</f>
        <v/>
      </c>
    </row>
    <row r="265" ht="15.75" customHeight="1" s="64">
      <c r="A265" s="51">
        <f>Clientes!P305</f>
        <v/>
      </c>
    </row>
    <row r="266" ht="15.75" customHeight="1" s="64">
      <c r="A266" s="51">
        <f>Clientes!P306</f>
        <v/>
      </c>
    </row>
    <row r="267" ht="15.75" customHeight="1" s="64">
      <c r="A267" s="51">
        <f>Clientes!P307</f>
        <v/>
      </c>
    </row>
    <row r="268" ht="15.75" customHeight="1" s="64">
      <c r="A268" s="51">
        <f>Clientes!P308</f>
        <v/>
      </c>
    </row>
    <row r="269" ht="15.75" customHeight="1" s="64">
      <c r="A269" s="51">
        <f>Clientes!P309</f>
        <v/>
      </c>
    </row>
    <row r="270" ht="15.75" customHeight="1" s="64">
      <c r="A270" s="51">
        <f>Clientes!P310</f>
        <v/>
      </c>
    </row>
    <row r="271" ht="15.75" customHeight="1" s="64">
      <c r="A271" s="51">
        <f>Clientes!P311</f>
        <v/>
      </c>
    </row>
    <row r="272" ht="15.75" customHeight="1" s="64">
      <c r="A272" s="51">
        <f>Clientes!P312</f>
        <v/>
      </c>
    </row>
    <row r="273" ht="15.75" customHeight="1" s="64">
      <c r="A273" s="51">
        <f>Clientes!P313</f>
        <v/>
      </c>
    </row>
    <row r="274" ht="15.75" customHeight="1" s="64">
      <c r="A274" s="51">
        <f>Clientes!P314</f>
        <v/>
      </c>
    </row>
    <row r="275" ht="15.75" customHeight="1" s="64">
      <c r="A275" s="51">
        <f>Clientes!P315</f>
        <v/>
      </c>
    </row>
    <row r="276" ht="15.75" customHeight="1" s="64">
      <c r="A276" s="51">
        <f>Clientes!P316</f>
        <v/>
      </c>
    </row>
    <row r="277" ht="15.75" customHeight="1" s="64">
      <c r="A277" s="51">
        <f>Clientes!P317</f>
        <v/>
      </c>
    </row>
    <row r="278" ht="15.75" customHeight="1" s="64">
      <c r="A278" s="51">
        <f>Clientes!P318</f>
        <v/>
      </c>
    </row>
    <row r="279" ht="15.75" customHeight="1" s="64">
      <c r="A279" s="51">
        <f>Clientes!P319</f>
        <v/>
      </c>
    </row>
    <row r="280" ht="15.75" customHeight="1" s="64">
      <c r="A280" s="51">
        <f>Clientes!P320</f>
        <v/>
      </c>
    </row>
    <row r="281" ht="15.75" customHeight="1" s="64">
      <c r="A281" s="51">
        <f>Clientes!P321</f>
        <v/>
      </c>
    </row>
    <row r="282" ht="15.75" customHeight="1" s="64">
      <c r="A282" s="51">
        <f>Clientes!P322</f>
        <v/>
      </c>
    </row>
    <row r="283" ht="15.75" customHeight="1" s="64">
      <c r="A283" s="51">
        <f>Clientes!P323</f>
        <v/>
      </c>
    </row>
    <row r="284" ht="15.75" customHeight="1" s="64">
      <c r="A284" s="51">
        <f>Clientes!P324</f>
        <v/>
      </c>
    </row>
    <row r="285" ht="15.75" customHeight="1" s="64">
      <c r="A285" s="51">
        <f>Clientes!P325</f>
        <v/>
      </c>
    </row>
    <row r="286" ht="15.75" customHeight="1" s="64">
      <c r="A286" s="51">
        <f>Clientes!P326</f>
        <v/>
      </c>
    </row>
    <row r="287" ht="15.75" customHeight="1" s="64">
      <c r="A287" s="51">
        <f>Clientes!P327</f>
        <v/>
      </c>
    </row>
    <row r="288" ht="15.75" customHeight="1" s="64">
      <c r="A288" s="51">
        <f>Clientes!P328</f>
        <v/>
      </c>
    </row>
    <row r="289" ht="15.75" customHeight="1" s="64">
      <c r="A289" s="51">
        <f>Clientes!P329</f>
        <v/>
      </c>
    </row>
    <row r="290" ht="15.75" customHeight="1" s="64">
      <c r="A290" s="51">
        <f>Clientes!P330</f>
        <v/>
      </c>
    </row>
    <row r="291" ht="15.75" customHeight="1" s="64">
      <c r="A291" s="51">
        <f>Clientes!P331</f>
        <v/>
      </c>
    </row>
    <row r="292" ht="15.75" customHeight="1" s="64">
      <c r="A292" s="51">
        <f>Clientes!P332</f>
        <v/>
      </c>
    </row>
    <row r="293" ht="15.75" customHeight="1" s="64">
      <c r="A293" s="51">
        <f>Clientes!P333</f>
        <v/>
      </c>
    </row>
    <row r="294" ht="15.75" customHeight="1" s="64">
      <c r="A294" s="51">
        <f>Clientes!P334</f>
        <v/>
      </c>
    </row>
    <row r="295" ht="15.75" customHeight="1" s="64">
      <c r="A295" s="51">
        <f>Clientes!P335</f>
        <v/>
      </c>
    </row>
    <row r="296" ht="15.75" customHeight="1" s="64">
      <c r="A296" s="51">
        <f>Clientes!P336</f>
        <v/>
      </c>
    </row>
    <row r="297" ht="15.75" customHeight="1" s="64">
      <c r="A297" s="51">
        <f>Clientes!P337</f>
        <v/>
      </c>
    </row>
    <row r="298" ht="15.75" customHeight="1" s="64">
      <c r="A298" s="51">
        <f>Clientes!P338</f>
        <v/>
      </c>
    </row>
    <row r="299" ht="15.75" customHeight="1" s="64">
      <c r="A299" s="51">
        <f>Clientes!P339</f>
        <v/>
      </c>
    </row>
    <row r="300" ht="15.75" customHeight="1" s="64">
      <c r="A300" s="51">
        <f>Clientes!P340</f>
        <v/>
      </c>
    </row>
    <row r="301" ht="15.75" customHeight="1" s="64">
      <c r="A301" s="51">
        <f>Clientes!P341</f>
        <v/>
      </c>
    </row>
    <row r="302" ht="15.75" customHeight="1" s="64">
      <c r="A302" s="51">
        <f>Clientes!P342</f>
        <v/>
      </c>
    </row>
    <row r="303" ht="15.75" customHeight="1" s="64">
      <c r="A303" s="51">
        <f>Clientes!P343</f>
        <v/>
      </c>
    </row>
    <row r="304" ht="15.75" customHeight="1" s="64">
      <c r="A304" s="51">
        <f>Clientes!P344</f>
        <v/>
      </c>
    </row>
    <row r="305" ht="15.75" customHeight="1" s="64">
      <c r="A305" s="51">
        <f>Clientes!P345</f>
        <v/>
      </c>
    </row>
    <row r="306" ht="15.75" customHeight="1" s="64">
      <c r="A306" s="51">
        <f>Clientes!P346</f>
        <v/>
      </c>
    </row>
    <row r="307" ht="15.75" customHeight="1" s="64">
      <c r="A307" s="51">
        <f>Clientes!P347</f>
        <v/>
      </c>
    </row>
    <row r="308" ht="15.75" customHeight="1" s="64">
      <c r="A308" s="51">
        <f>Clientes!P348</f>
        <v/>
      </c>
    </row>
    <row r="309" ht="15.75" customHeight="1" s="64">
      <c r="A309" s="51">
        <f>Clientes!P349</f>
        <v/>
      </c>
    </row>
    <row r="310" ht="15.75" customHeight="1" s="64">
      <c r="A310" s="51">
        <f>Clientes!P350</f>
        <v/>
      </c>
    </row>
    <row r="311" ht="15.75" customHeight="1" s="64">
      <c r="A311" s="51">
        <f>Clientes!P351</f>
        <v/>
      </c>
    </row>
    <row r="312" ht="15.75" customHeight="1" s="64">
      <c r="A312" s="51">
        <f>Clientes!P352</f>
        <v/>
      </c>
    </row>
    <row r="313" ht="15.75" customHeight="1" s="64">
      <c r="A313" s="51">
        <f>Clientes!P353</f>
        <v/>
      </c>
    </row>
    <row r="314" ht="15.75" customHeight="1" s="64">
      <c r="A314" s="51">
        <f>Clientes!P354</f>
        <v/>
      </c>
    </row>
    <row r="315" ht="15.75" customHeight="1" s="64">
      <c r="A315" s="51">
        <f>Clientes!P355</f>
        <v/>
      </c>
    </row>
    <row r="316" ht="15.75" customHeight="1" s="64">
      <c r="A316" s="51">
        <f>Clientes!P356</f>
        <v/>
      </c>
    </row>
    <row r="317" ht="15.75" customHeight="1" s="64">
      <c r="A317" s="51">
        <f>Clientes!P357</f>
        <v/>
      </c>
    </row>
    <row r="318" ht="15.75" customHeight="1" s="64">
      <c r="A318" s="51">
        <f>Clientes!P358</f>
        <v/>
      </c>
    </row>
    <row r="319" ht="15.75" customHeight="1" s="64">
      <c r="A319" s="51">
        <f>Clientes!P359</f>
        <v/>
      </c>
    </row>
    <row r="320" ht="15.75" customHeight="1" s="64">
      <c r="A320" s="51">
        <f>Clientes!P360</f>
        <v/>
      </c>
    </row>
    <row r="321" ht="15.75" customHeight="1" s="64">
      <c r="A321" s="51">
        <f>Clientes!P361</f>
        <v/>
      </c>
    </row>
    <row r="322" ht="15.75" customHeight="1" s="64">
      <c r="A322" s="51">
        <f>Clientes!P362</f>
        <v/>
      </c>
    </row>
    <row r="323" ht="15.75" customHeight="1" s="64">
      <c r="A323" s="51">
        <f>Clientes!P363</f>
        <v/>
      </c>
    </row>
    <row r="324" ht="15.75" customHeight="1" s="64">
      <c r="A324" s="51">
        <f>Clientes!P364</f>
        <v/>
      </c>
    </row>
    <row r="325" ht="15.75" customHeight="1" s="64">
      <c r="A325" s="51">
        <f>Clientes!P365</f>
        <v/>
      </c>
    </row>
    <row r="326" ht="15.75" customHeight="1" s="64">
      <c r="A326" s="51">
        <f>Clientes!P366</f>
        <v/>
      </c>
    </row>
    <row r="327" ht="15.75" customHeight="1" s="64">
      <c r="A327" s="51">
        <f>Clientes!P367</f>
        <v/>
      </c>
    </row>
    <row r="328" ht="15.75" customHeight="1" s="64">
      <c r="A328" s="51">
        <f>Clientes!P368</f>
        <v/>
      </c>
    </row>
    <row r="329" ht="15.75" customHeight="1" s="64">
      <c r="A329" s="51">
        <f>Clientes!P369</f>
        <v/>
      </c>
    </row>
    <row r="330" ht="15.75" customHeight="1" s="64">
      <c r="A330" s="51">
        <f>Clientes!P370</f>
        <v/>
      </c>
    </row>
    <row r="331" ht="15.75" customHeight="1" s="64">
      <c r="A331" s="51">
        <f>Clientes!P371</f>
        <v/>
      </c>
    </row>
    <row r="332" ht="15.75" customHeight="1" s="64">
      <c r="A332" s="51">
        <f>Clientes!P372</f>
        <v/>
      </c>
    </row>
    <row r="333" ht="15.75" customHeight="1" s="64">
      <c r="A333" s="51">
        <f>Clientes!P373</f>
        <v/>
      </c>
    </row>
    <row r="334" ht="15.75" customHeight="1" s="64">
      <c r="A334" s="51">
        <f>Clientes!P374</f>
        <v/>
      </c>
    </row>
    <row r="335" ht="15.75" customHeight="1" s="64">
      <c r="A335" s="51">
        <f>Clientes!P375</f>
        <v/>
      </c>
    </row>
    <row r="336" ht="15.75" customHeight="1" s="64">
      <c r="A336" s="51">
        <f>Clientes!P376</f>
        <v/>
      </c>
    </row>
    <row r="337" ht="15.75" customHeight="1" s="64">
      <c r="A337" s="51">
        <f>Clientes!P377</f>
        <v/>
      </c>
    </row>
    <row r="338" ht="15.75" customHeight="1" s="64">
      <c r="A338" s="51">
        <f>Clientes!P378</f>
        <v/>
      </c>
    </row>
    <row r="339" ht="15.75" customHeight="1" s="64">
      <c r="A339" s="51">
        <f>Clientes!P379</f>
        <v/>
      </c>
    </row>
    <row r="340" ht="15.75" customHeight="1" s="64">
      <c r="A340" s="51">
        <f>Clientes!P380</f>
        <v/>
      </c>
    </row>
    <row r="341" ht="15.75" customHeight="1" s="64">
      <c r="A341" s="51">
        <f>Clientes!P381</f>
        <v/>
      </c>
    </row>
    <row r="342" ht="15.75" customHeight="1" s="64">
      <c r="A342" s="51">
        <f>Clientes!P382</f>
        <v/>
      </c>
    </row>
    <row r="343" ht="15.75" customHeight="1" s="64">
      <c r="A343" s="51">
        <f>Clientes!P383</f>
        <v/>
      </c>
    </row>
    <row r="344" ht="15.75" customHeight="1" s="64">
      <c r="A344" s="51">
        <f>Clientes!P384</f>
        <v/>
      </c>
    </row>
    <row r="345" ht="15.75" customHeight="1" s="64">
      <c r="A345" s="51">
        <f>Clientes!P385</f>
        <v/>
      </c>
    </row>
    <row r="346" ht="15.75" customHeight="1" s="64">
      <c r="A346" s="51">
        <f>Clientes!P386</f>
        <v/>
      </c>
    </row>
    <row r="347" ht="15.75" customHeight="1" s="64">
      <c r="A347" s="51">
        <f>Clientes!P387</f>
        <v/>
      </c>
    </row>
    <row r="348" ht="15.75" customHeight="1" s="64">
      <c r="A348" s="51">
        <f>Clientes!P388</f>
        <v/>
      </c>
    </row>
    <row r="349" ht="15.75" customHeight="1" s="64">
      <c r="A349" s="51">
        <f>Clientes!P389</f>
        <v/>
      </c>
    </row>
    <row r="350" ht="15.75" customHeight="1" s="64">
      <c r="A350" s="51">
        <f>Clientes!P390</f>
        <v/>
      </c>
    </row>
    <row r="351" ht="15.75" customHeight="1" s="64">
      <c r="A351" s="51">
        <f>Clientes!P391</f>
        <v/>
      </c>
    </row>
    <row r="352" ht="15.75" customHeight="1" s="64">
      <c r="A352" s="51">
        <f>Clientes!P392</f>
        <v/>
      </c>
    </row>
    <row r="353" ht="15.75" customHeight="1" s="64">
      <c r="A353" s="51">
        <f>Clientes!P393</f>
        <v/>
      </c>
    </row>
    <row r="354" ht="15.75" customHeight="1" s="64">
      <c r="A354" s="51">
        <f>Clientes!P394</f>
        <v/>
      </c>
    </row>
    <row r="355" ht="15.75" customHeight="1" s="64">
      <c r="A355" s="51">
        <f>Clientes!P395</f>
        <v/>
      </c>
    </row>
    <row r="356" ht="15.75" customHeight="1" s="64">
      <c r="A356" s="51">
        <f>Clientes!P396</f>
        <v/>
      </c>
    </row>
    <row r="357" ht="15.75" customHeight="1" s="64">
      <c r="A357" s="51">
        <f>Clientes!P397</f>
        <v/>
      </c>
    </row>
    <row r="358" ht="15.75" customHeight="1" s="64">
      <c r="A358" s="51">
        <f>Clientes!P398</f>
        <v/>
      </c>
    </row>
    <row r="359" ht="15.75" customHeight="1" s="64">
      <c r="A359" s="51">
        <f>Clientes!P399</f>
        <v/>
      </c>
    </row>
    <row r="360" ht="15.75" customHeight="1" s="64">
      <c r="A360" s="51">
        <f>Clientes!P400</f>
        <v/>
      </c>
    </row>
    <row r="361" ht="15.75" customHeight="1" s="64">
      <c r="A361" s="51">
        <f>Clientes!P401</f>
        <v/>
      </c>
    </row>
    <row r="362" ht="15.75" customHeight="1" s="64">
      <c r="A362" s="51">
        <f>Clientes!P402</f>
        <v/>
      </c>
    </row>
    <row r="363" ht="15.75" customHeight="1" s="64">
      <c r="A363" s="51">
        <f>Clientes!P403</f>
        <v/>
      </c>
    </row>
    <row r="364" ht="15.75" customHeight="1" s="64">
      <c r="A364" s="51">
        <f>Clientes!P404</f>
        <v/>
      </c>
    </row>
    <row r="365" ht="15.75" customHeight="1" s="64">
      <c r="A365" s="51">
        <f>Clientes!P405</f>
        <v/>
      </c>
    </row>
    <row r="366" ht="15.75" customHeight="1" s="64">
      <c r="A366" s="51">
        <f>Clientes!P406</f>
        <v/>
      </c>
    </row>
    <row r="367" ht="15.75" customHeight="1" s="64">
      <c r="A367" s="51">
        <f>Clientes!P407</f>
        <v/>
      </c>
    </row>
    <row r="368" ht="15.75" customHeight="1" s="64">
      <c r="A368" s="51">
        <f>Clientes!P408</f>
        <v/>
      </c>
    </row>
    <row r="369" ht="15.75" customHeight="1" s="64">
      <c r="A369" s="51">
        <f>Clientes!P409</f>
        <v/>
      </c>
    </row>
    <row r="370" ht="15.75" customHeight="1" s="64">
      <c r="A370" s="51">
        <f>Clientes!P410</f>
        <v/>
      </c>
    </row>
    <row r="371" ht="15.75" customHeight="1" s="64">
      <c r="A371" s="51">
        <f>Clientes!P411</f>
        <v/>
      </c>
    </row>
    <row r="372" ht="15.75" customHeight="1" s="64">
      <c r="A372" s="51">
        <f>Clientes!P412</f>
        <v/>
      </c>
    </row>
    <row r="373" ht="15.75" customHeight="1" s="64">
      <c r="A373" s="51">
        <f>Clientes!P413</f>
        <v/>
      </c>
    </row>
    <row r="374" ht="15.75" customHeight="1" s="64">
      <c r="A374" s="51">
        <f>Clientes!P414</f>
        <v/>
      </c>
    </row>
    <row r="375" ht="15.75" customHeight="1" s="64">
      <c r="A375" s="51">
        <f>Clientes!P415</f>
        <v/>
      </c>
    </row>
    <row r="376" ht="15.75" customHeight="1" s="64">
      <c r="A376" s="51">
        <f>Clientes!P416</f>
        <v/>
      </c>
    </row>
    <row r="377" ht="15.75" customHeight="1" s="64">
      <c r="A377" s="51">
        <f>Clientes!P417</f>
        <v/>
      </c>
    </row>
    <row r="378" ht="15.75" customHeight="1" s="64">
      <c r="A378" s="51">
        <f>Clientes!P418</f>
        <v/>
      </c>
    </row>
    <row r="379" ht="15.75" customHeight="1" s="64">
      <c r="A379" s="51">
        <f>Clientes!P419</f>
        <v/>
      </c>
    </row>
    <row r="380" ht="15.75" customHeight="1" s="64">
      <c r="A380" s="51">
        <f>Clientes!P420</f>
        <v/>
      </c>
    </row>
    <row r="381" ht="15.75" customHeight="1" s="64">
      <c r="A381" s="51">
        <f>Clientes!P421</f>
        <v/>
      </c>
    </row>
    <row r="382" ht="15.75" customHeight="1" s="64">
      <c r="A382" s="51">
        <f>Clientes!P422</f>
        <v/>
      </c>
    </row>
    <row r="383" ht="15.75" customHeight="1" s="64">
      <c r="A383" s="51">
        <f>Clientes!P423</f>
        <v/>
      </c>
    </row>
    <row r="384" ht="15.75" customHeight="1" s="64">
      <c r="A384" s="51">
        <f>Clientes!P424</f>
        <v/>
      </c>
    </row>
    <row r="385" ht="15.75" customHeight="1" s="64">
      <c r="A385" s="51">
        <f>Clientes!P425</f>
        <v/>
      </c>
    </row>
    <row r="386" ht="15.75" customHeight="1" s="64">
      <c r="A386" s="51">
        <f>Clientes!P426</f>
        <v/>
      </c>
    </row>
    <row r="387" ht="15.75" customHeight="1" s="64">
      <c r="A387" s="51">
        <f>Clientes!P427</f>
        <v/>
      </c>
    </row>
    <row r="388" ht="15.75" customHeight="1" s="64">
      <c r="A388" s="51">
        <f>Clientes!P428</f>
        <v/>
      </c>
    </row>
    <row r="389" ht="15.75" customHeight="1" s="64">
      <c r="A389" s="51">
        <f>Clientes!P429</f>
        <v/>
      </c>
    </row>
    <row r="390" ht="15.75" customHeight="1" s="64">
      <c r="A390" s="51">
        <f>Clientes!P430</f>
        <v/>
      </c>
    </row>
    <row r="391" ht="15.75" customHeight="1" s="64">
      <c r="A391" s="51">
        <f>Clientes!P431</f>
        <v/>
      </c>
    </row>
    <row r="392" ht="15.75" customHeight="1" s="64">
      <c r="A392" s="51">
        <f>Clientes!P432</f>
        <v/>
      </c>
    </row>
    <row r="393" ht="15.75" customHeight="1" s="64">
      <c r="A393" s="51">
        <f>Clientes!P433</f>
        <v/>
      </c>
    </row>
    <row r="394" ht="15.75" customHeight="1" s="64">
      <c r="A394" s="51">
        <f>Clientes!P434</f>
        <v/>
      </c>
    </row>
    <row r="395" ht="15.75" customHeight="1" s="64">
      <c r="A395" s="51">
        <f>Clientes!P435</f>
        <v/>
      </c>
    </row>
    <row r="396" ht="15.75" customHeight="1" s="64">
      <c r="A396" s="51">
        <f>Clientes!P436</f>
        <v/>
      </c>
    </row>
    <row r="397" ht="15.75" customHeight="1" s="64">
      <c r="A397" s="51">
        <f>Clientes!P437</f>
        <v/>
      </c>
    </row>
    <row r="398" ht="15.75" customHeight="1" s="64">
      <c r="A398" s="51">
        <f>Clientes!P438</f>
        <v/>
      </c>
    </row>
    <row r="399" ht="15.75" customHeight="1" s="64">
      <c r="A399" s="51">
        <f>Clientes!P439</f>
        <v/>
      </c>
    </row>
    <row r="400" ht="15.75" customHeight="1" s="64">
      <c r="A400" s="51">
        <f>Clientes!P440</f>
        <v/>
      </c>
    </row>
    <row r="401" ht="15.75" customHeight="1" s="64">
      <c r="A401" s="51">
        <f>Clientes!P441</f>
        <v/>
      </c>
    </row>
    <row r="402" ht="15.75" customHeight="1" s="64">
      <c r="A402" s="51">
        <f>Clientes!P442</f>
        <v/>
      </c>
    </row>
    <row r="403" ht="15.75" customHeight="1" s="64">
      <c r="A403" s="51">
        <f>Clientes!P443</f>
        <v/>
      </c>
    </row>
    <row r="404" ht="15.75" customHeight="1" s="64">
      <c r="A404" s="51">
        <f>Clientes!P444</f>
        <v/>
      </c>
    </row>
    <row r="405" ht="15.75" customHeight="1" s="64">
      <c r="A405" s="51">
        <f>Clientes!P445</f>
        <v/>
      </c>
    </row>
    <row r="406" ht="15.75" customHeight="1" s="64">
      <c r="A406" s="51">
        <f>Clientes!P446</f>
        <v/>
      </c>
    </row>
    <row r="407" ht="15.75" customHeight="1" s="64">
      <c r="A407" s="51">
        <f>Clientes!P447</f>
        <v/>
      </c>
    </row>
    <row r="408" ht="15.75" customHeight="1" s="64">
      <c r="A408" s="51">
        <f>Clientes!P448</f>
        <v/>
      </c>
    </row>
    <row r="409" ht="15.75" customHeight="1" s="64">
      <c r="A409" s="51">
        <f>Clientes!P449</f>
        <v/>
      </c>
    </row>
    <row r="410" ht="15.75" customHeight="1" s="64">
      <c r="A410" s="51">
        <f>Clientes!P450</f>
        <v/>
      </c>
    </row>
    <row r="411" ht="15.75" customHeight="1" s="64">
      <c r="A411" s="51">
        <f>Clientes!P451</f>
        <v/>
      </c>
    </row>
    <row r="412" ht="15.75" customHeight="1" s="64">
      <c r="A412" s="51">
        <f>Clientes!P452</f>
        <v/>
      </c>
    </row>
    <row r="413" ht="15.75" customHeight="1" s="64">
      <c r="A413" s="51">
        <f>Clientes!P453</f>
        <v/>
      </c>
    </row>
    <row r="414" ht="15.75" customHeight="1" s="64">
      <c r="A414" s="51">
        <f>Clientes!P454</f>
        <v/>
      </c>
    </row>
    <row r="415" ht="15.75" customHeight="1" s="64">
      <c r="A415" s="51">
        <f>Clientes!P455</f>
        <v/>
      </c>
    </row>
    <row r="416" ht="15.75" customHeight="1" s="64">
      <c r="A416" s="51">
        <f>Clientes!P456</f>
        <v/>
      </c>
    </row>
    <row r="417" ht="15.75" customHeight="1" s="64">
      <c r="A417" s="51">
        <f>Clientes!P457</f>
        <v/>
      </c>
    </row>
    <row r="418" ht="15.75" customHeight="1" s="64">
      <c r="A418" s="51">
        <f>Clientes!P458</f>
        <v/>
      </c>
    </row>
    <row r="419" ht="15.75" customHeight="1" s="64">
      <c r="A419" s="51">
        <f>Clientes!P459</f>
        <v/>
      </c>
    </row>
    <row r="420" ht="15.75" customHeight="1" s="64">
      <c r="A420" s="51">
        <f>Clientes!P460</f>
        <v/>
      </c>
    </row>
    <row r="421" ht="15.75" customHeight="1" s="64">
      <c r="A421" s="51">
        <f>Clientes!P461</f>
        <v/>
      </c>
    </row>
    <row r="422" ht="15.75" customHeight="1" s="64">
      <c r="A422" s="51">
        <f>Clientes!P462</f>
        <v/>
      </c>
    </row>
    <row r="423" ht="15.75" customHeight="1" s="64">
      <c r="A423" s="51">
        <f>Clientes!P463</f>
        <v/>
      </c>
    </row>
    <row r="424" ht="15.75" customHeight="1" s="64">
      <c r="A424" s="51">
        <f>Clientes!P464</f>
        <v/>
      </c>
    </row>
    <row r="425" ht="15.75" customHeight="1" s="64">
      <c r="A425" s="51">
        <f>Clientes!P465</f>
        <v/>
      </c>
    </row>
    <row r="426" ht="15.75" customHeight="1" s="64">
      <c r="A426" s="51">
        <f>Clientes!P466</f>
        <v/>
      </c>
    </row>
    <row r="427" ht="15.75" customHeight="1" s="64">
      <c r="A427" s="51">
        <f>Clientes!P467</f>
        <v/>
      </c>
    </row>
    <row r="428" ht="15.75" customHeight="1" s="64">
      <c r="A428" s="51">
        <f>Clientes!P468</f>
        <v/>
      </c>
    </row>
    <row r="429" ht="15.75" customHeight="1" s="64">
      <c r="A429" s="51">
        <f>Clientes!P469</f>
        <v/>
      </c>
    </row>
    <row r="430" ht="15.75" customHeight="1" s="64">
      <c r="A430" s="51">
        <f>Clientes!P470</f>
        <v/>
      </c>
    </row>
    <row r="431" ht="15.75" customHeight="1" s="64">
      <c r="A431" s="51">
        <f>Clientes!P471</f>
        <v/>
      </c>
    </row>
    <row r="432" ht="15.75" customHeight="1" s="64">
      <c r="A432" s="51">
        <f>Clientes!P472</f>
        <v/>
      </c>
    </row>
    <row r="433" ht="15.75" customHeight="1" s="64">
      <c r="A433" s="51">
        <f>Clientes!P473</f>
        <v/>
      </c>
    </row>
    <row r="434" ht="15.75" customHeight="1" s="64">
      <c r="A434" s="51">
        <f>Clientes!P474</f>
        <v/>
      </c>
    </row>
    <row r="435" ht="15.75" customHeight="1" s="64">
      <c r="A435" s="51">
        <f>Clientes!P475</f>
        <v/>
      </c>
    </row>
    <row r="436" ht="15.75" customHeight="1" s="64">
      <c r="A436" s="51">
        <f>Clientes!P476</f>
        <v/>
      </c>
    </row>
    <row r="437" ht="15.75" customHeight="1" s="64">
      <c r="A437" s="51">
        <f>Clientes!P477</f>
        <v/>
      </c>
    </row>
    <row r="438" ht="15.75" customHeight="1" s="64">
      <c r="A438" s="51">
        <f>Clientes!P478</f>
        <v/>
      </c>
    </row>
    <row r="439" ht="15.75" customHeight="1" s="64">
      <c r="A439" s="51">
        <f>Clientes!P479</f>
        <v/>
      </c>
    </row>
    <row r="440" ht="15.75" customHeight="1" s="64">
      <c r="A440" s="51">
        <f>Clientes!P480</f>
        <v/>
      </c>
    </row>
    <row r="441" ht="15.75" customHeight="1" s="64">
      <c r="A441" s="51">
        <f>Clientes!P481</f>
        <v/>
      </c>
    </row>
    <row r="442" ht="15.75" customHeight="1" s="64">
      <c r="A442" s="51">
        <f>Clientes!P482</f>
        <v/>
      </c>
    </row>
    <row r="443" ht="15.75" customHeight="1" s="64">
      <c r="A443" s="51">
        <f>Clientes!P483</f>
        <v/>
      </c>
    </row>
    <row r="444" ht="15.75" customHeight="1" s="64">
      <c r="A444" s="51">
        <f>Clientes!P484</f>
        <v/>
      </c>
    </row>
    <row r="445" ht="15.75" customHeight="1" s="64">
      <c r="A445" s="51">
        <f>Clientes!P485</f>
        <v/>
      </c>
    </row>
    <row r="446" ht="15.75" customHeight="1" s="64">
      <c r="A446" s="51">
        <f>Clientes!P486</f>
        <v/>
      </c>
    </row>
    <row r="447" ht="15.75" customHeight="1" s="64">
      <c r="A447" s="51">
        <f>Clientes!P487</f>
        <v/>
      </c>
    </row>
    <row r="448" ht="15.75" customHeight="1" s="64">
      <c r="A448" s="51">
        <f>Clientes!P488</f>
        <v/>
      </c>
    </row>
    <row r="449" ht="15.75" customHeight="1" s="64">
      <c r="A449" s="51">
        <f>Clientes!P489</f>
        <v/>
      </c>
    </row>
    <row r="450" ht="15.75" customHeight="1" s="64">
      <c r="A450" s="51">
        <f>Clientes!P490</f>
        <v/>
      </c>
    </row>
    <row r="451" ht="15.75" customHeight="1" s="64">
      <c r="A451" s="51">
        <f>Clientes!P491</f>
        <v/>
      </c>
    </row>
    <row r="452" ht="15.75" customHeight="1" s="64">
      <c r="A452" s="51">
        <f>Clientes!P492</f>
        <v/>
      </c>
    </row>
    <row r="453" ht="15.75" customHeight="1" s="64">
      <c r="A453" s="51">
        <f>Clientes!P493</f>
        <v/>
      </c>
    </row>
    <row r="454" ht="15.75" customHeight="1" s="64">
      <c r="A454" s="51">
        <f>Clientes!P494</f>
        <v/>
      </c>
    </row>
    <row r="455" ht="15.75" customHeight="1" s="64">
      <c r="A455" s="51">
        <f>Clientes!P495</f>
        <v/>
      </c>
    </row>
    <row r="456" ht="15.75" customHeight="1" s="64">
      <c r="A456" s="51">
        <f>Clientes!P496</f>
        <v/>
      </c>
    </row>
    <row r="457" ht="15.75" customHeight="1" s="64">
      <c r="A457" s="51">
        <f>Clientes!P497</f>
        <v/>
      </c>
    </row>
    <row r="458" ht="15.75" customHeight="1" s="64">
      <c r="A458" s="51">
        <f>Clientes!P498</f>
        <v/>
      </c>
    </row>
    <row r="459" ht="15.75" customHeight="1" s="64">
      <c r="A459" s="51">
        <f>Clientes!P499</f>
        <v/>
      </c>
    </row>
    <row r="460" ht="15.75" customHeight="1" s="64">
      <c r="A460" s="51">
        <f>Clientes!P500</f>
        <v/>
      </c>
    </row>
    <row r="461" ht="15.75" customHeight="1" s="64">
      <c r="A461" s="51">
        <f>Clientes!P501</f>
        <v/>
      </c>
    </row>
    <row r="462" ht="15.75" customHeight="1" s="64">
      <c r="A462" s="51">
        <f>Clientes!P502</f>
        <v/>
      </c>
    </row>
    <row r="463" ht="15.75" customHeight="1" s="64">
      <c r="A463" s="51">
        <f>Clientes!P503</f>
        <v/>
      </c>
    </row>
    <row r="464" ht="15.75" customHeight="1" s="64">
      <c r="A464" s="51">
        <f>Clientes!P504</f>
        <v/>
      </c>
    </row>
    <row r="465" ht="15.75" customHeight="1" s="64">
      <c r="A465" s="51">
        <f>Clientes!P505</f>
        <v/>
      </c>
    </row>
    <row r="466" ht="15.75" customHeight="1" s="64">
      <c r="A466" s="51">
        <f>Clientes!P506</f>
        <v/>
      </c>
    </row>
    <row r="467" ht="15.75" customHeight="1" s="64">
      <c r="A467" s="51">
        <f>Clientes!P507</f>
        <v/>
      </c>
    </row>
    <row r="468" ht="15.75" customHeight="1" s="64">
      <c r="A468" s="51">
        <f>Clientes!P508</f>
        <v/>
      </c>
    </row>
    <row r="469" ht="15.75" customHeight="1" s="64">
      <c r="A469" s="51">
        <f>Clientes!P509</f>
        <v/>
      </c>
    </row>
    <row r="470" ht="15.75" customHeight="1" s="64">
      <c r="A470" s="51">
        <f>Clientes!P510</f>
        <v/>
      </c>
    </row>
    <row r="471" ht="15.75" customHeight="1" s="64">
      <c r="A471" s="51">
        <f>Clientes!P511</f>
        <v/>
      </c>
    </row>
    <row r="472" ht="15.75" customHeight="1" s="64">
      <c r="A472" s="51">
        <f>Clientes!P512</f>
        <v/>
      </c>
    </row>
    <row r="473" ht="15.75" customHeight="1" s="64">
      <c r="A473" s="51">
        <f>Clientes!P513</f>
        <v/>
      </c>
    </row>
    <row r="474" ht="15.75" customHeight="1" s="64">
      <c r="A474" s="51">
        <f>Clientes!P514</f>
        <v/>
      </c>
    </row>
    <row r="475" ht="15.75" customHeight="1" s="64">
      <c r="A475" s="51">
        <f>Clientes!P515</f>
        <v/>
      </c>
    </row>
    <row r="476" ht="15.75" customHeight="1" s="64">
      <c r="A476" s="51">
        <f>Clientes!P516</f>
        <v/>
      </c>
    </row>
    <row r="477" ht="15.75" customHeight="1" s="64">
      <c r="A477" s="51">
        <f>Clientes!P517</f>
        <v/>
      </c>
    </row>
    <row r="478" ht="15.75" customHeight="1" s="64">
      <c r="A478" s="51">
        <f>Clientes!P518</f>
        <v/>
      </c>
    </row>
    <row r="479" ht="15.75" customHeight="1" s="64">
      <c r="A479" s="51">
        <f>Clientes!P519</f>
        <v/>
      </c>
    </row>
    <row r="480" ht="15.75" customHeight="1" s="64">
      <c r="A480" s="51">
        <f>Clientes!P520</f>
        <v/>
      </c>
    </row>
    <row r="481" ht="15.75" customHeight="1" s="64">
      <c r="A481" s="51">
        <f>Clientes!P521</f>
        <v/>
      </c>
    </row>
    <row r="482" ht="15.75" customHeight="1" s="64">
      <c r="A482" s="51">
        <f>Clientes!P522</f>
        <v/>
      </c>
    </row>
    <row r="483" ht="15.75" customHeight="1" s="64">
      <c r="A483" s="51">
        <f>Clientes!P523</f>
        <v/>
      </c>
    </row>
    <row r="484" ht="15.75" customHeight="1" s="64">
      <c r="A484" s="51">
        <f>Clientes!P524</f>
        <v/>
      </c>
    </row>
    <row r="485" ht="15.75" customHeight="1" s="64">
      <c r="A485" s="51">
        <f>Clientes!P525</f>
        <v/>
      </c>
    </row>
    <row r="486" ht="15.75" customHeight="1" s="64">
      <c r="A486" s="51">
        <f>Clientes!P526</f>
        <v/>
      </c>
    </row>
    <row r="487" ht="15.75" customHeight="1" s="64">
      <c r="A487" s="51">
        <f>Clientes!P527</f>
        <v/>
      </c>
    </row>
    <row r="488" ht="15.75" customHeight="1" s="64">
      <c r="A488" s="51">
        <f>Clientes!P528</f>
        <v/>
      </c>
    </row>
    <row r="489" ht="15.75" customHeight="1" s="64">
      <c r="A489" s="51">
        <f>Clientes!P529</f>
        <v/>
      </c>
    </row>
    <row r="490" ht="15.75" customHeight="1" s="64">
      <c r="A490" s="51">
        <f>Clientes!P530</f>
        <v/>
      </c>
    </row>
    <row r="491" ht="15.75" customHeight="1" s="64">
      <c r="A491" s="51">
        <f>Clientes!P531</f>
        <v/>
      </c>
    </row>
    <row r="492" ht="15.75" customHeight="1" s="64">
      <c r="A492" s="51">
        <f>Clientes!P532</f>
        <v/>
      </c>
    </row>
    <row r="493" ht="15.75" customHeight="1" s="64">
      <c r="A493" s="51">
        <f>Clientes!P533</f>
        <v/>
      </c>
    </row>
    <row r="494" ht="15.75" customHeight="1" s="64">
      <c r="A494" s="51">
        <f>Clientes!P534</f>
        <v/>
      </c>
    </row>
    <row r="495" ht="15.75" customHeight="1" s="64">
      <c r="A495" s="51">
        <f>Clientes!P535</f>
        <v/>
      </c>
    </row>
    <row r="496" ht="15.75" customHeight="1" s="64">
      <c r="A496" s="51">
        <f>Clientes!P536</f>
        <v/>
      </c>
    </row>
    <row r="497" ht="15.75" customHeight="1" s="64">
      <c r="A497" s="51">
        <f>Clientes!P537</f>
        <v/>
      </c>
    </row>
    <row r="498" ht="15.75" customHeight="1" s="64">
      <c r="A498" s="51">
        <f>Clientes!P538</f>
        <v/>
      </c>
    </row>
    <row r="499" ht="15.75" customHeight="1" s="64">
      <c r="A499" s="51">
        <f>Clientes!P539</f>
        <v/>
      </c>
    </row>
    <row r="500" ht="15.75" customHeight="1" s="64">
      <c r="A500" s="51">
        <f>Clientes!P540</f>
        <v/>
      </c>
    </row>
    <row r="501" ht="15.75" customHeight="1" s="64">
      <c r="A501" s="51">
        <f>Clientes!P541</f>
        <v/>
      </c>
    </row>
    <row r="502" ht="15.75" customHeight="1" s="64">
      <c r="A502" s="51">
        <f>Clientes!P542</f>
        <v/>
      </c>
    </row>
    <row r="503" ht="15.75" customHeight="1" s="64">
      <c r="A503" s="51">
        <f>Clientes!P543</f>
        <v/>
      </c>
    </row>
    <row r="504" ht="15.75" customHeight="1" s="64">
      <c r="A504" s="51">
        <f>Clientes!P544</f>
        <v/>
      </c>
    </row>
    <row r="505" ht="15.75" customHeight="1" s="64">
      <c r="A505" s="51">
        <f>Clientes!P545</f>
        <v/>
      </c>
    </row>
    <row r="506" ht="15.75" customHeight="1" s="64">
      <c r="A506" s="51">
        <f>Clientes!P546</f>
        <v/>
      </c>
    </row>
    <row r="507" ht="15.75" customHeight="1" s="64">
      <c r="A507" s="51">
        <f>Clientes!P547</f>
        <v/>
      </c>
    </row>
    <row r="508" ht="15.75" customHeight="1" s="64">
      <c r="A508" s="51">
        <f>Clientes!P548</f>
        <v/>
      </c>
    </row>
    <row r="509" ht="15.75" customHeight="1" s="64">
      <c r="A509" s="51">
        <f>Clientes!P549</f>
        <v/>
      </c>
    </row>
    <row r="510" ht="15.75" customHeight="1" s="64">
      <c r="A510" s="51" t="n"/>
    </row>
    <row r="511" ht="15.75" customHeight="1" s="64">
      <c r="A511" s="50" t="inlineStr">
        <is>
          <t>-- 2) CONTACTOS (cli_contacto) --------------------------------------</t>
        </is>
      </c>
    </row>
    <row r="512" ht="15.75" customHeight="1" s="64">
      <c r="A512" s="51">
        <f>#REF!</f>
        <v/>
      </c>
    </row>
    <row r="513" ht="15.75" customHeight="1" s="64">
      <c r="A513" s="51">
        <f>#REF!</f>
        <v/>
      </c>
    </row>
    <row r="514" ht="15.75" customHeight="1" s="64">
      <c r="A514" s="51">
        <f>#REF!</f>
        <v/>
      </c>
    </row>
    <row r="515" ht="15.75" customHeight="1" s="64">
      <c r="A515" s="51">
        <f>#REF!</f>
        <v/>
      </c>
    </row>
    <row r="516" ht="15.75" customHeight="1" s="64">
      <c r="A516" s="51">
        <f>#REF!</f>
        <v/>
      </c>
    </row>
    <row r="517" ht="15.75" customHeight="1" s="64">
      <c r="A517" s="51">
        <f>Contactos!M5</f>
        <v/>
      </c>
    </row>
    <row r="518" ht="15.75" customHeight="1" s="64">
      <c r="A518" s="51">
        <f>Contactos!M6</f>
        <v/>
      </c>
    </row>
    <row r="519" ht="15.75" customHeight="1" s="64">
      <c r="A519" s="51">
        <f>Contactos!M7</f>
        <v/>
      </c>
    </row>
    <row r="520" ht="15.75" customHeight="1" s="64">
      <c r="A520" s="51">
        <f>Contactos!M8</f>
        <v/>
      </c>
    </row>
    <row r="521" ht="15.75" customHeight="1" s="64">
      <c r="A521" s="51">
        <f>Contactos!M9</f>
        <v/>
      </c>
    </row>
    <row r="522" ht="15.75" customHeight="1" s="64">
      <c r="A522" s="51">
        <f>Contactos!M10</f>
        <v/>
      </c>
    </row>
    <row r="523" ht="15.75" customHeight="1" s="64">
      <c r="A523" s="51">
        <f>Contactos!M11</f>
        <v/>
      </c>
    </row>
    <row r="524" ht="15.75" customHeight="1" s="64">
      <c r="A524" s="51">
        <f>Contactos!M12</f>
        <v/>
      </c>
    </row>
    <row r="525" ht="15.75" customHeight="1" s="64">
      <c r="A525" s="51">
        <f>Contactos!M13</f>
        <v/>
      </c>
    </row>
    <row r="526" ht="15.75" customHeight="1" s="64">
      <c r="A526" s="51">
        <f>Contactos!M14</f>
        <v/>
      </c>
    </row>
    <row r="527" ht="15.75" customHeight="1" s="64">
      <c r="A527" s="51">
        <f>Contactos!M15</f>
        <v/>
      </c>
    </row>
    <row r="528" ht="15.75" customHeight="1" s="64">
      <c r="A528" s="51">
        <f>Contactos!M16</f>
        <v/>
      </c>
    </row>
    <row r="529" ht="15.75" customHeight="1" s="64">
      <c r="A529" s="51">
        <f>Contactos!M17</f>
        <v/>
      </c>
    </row>
    <row r="530" ht="15.75" customHeight="1" s="64">
      <c r="A530" s="51">
        <f>Contactos!M18</f>
        <v/>
      </c>
    </row>
    <row r="531" ht="15.75" customHeight="1" s="64">
      <c r="A531" s="51">
        <f>Contactos!M19</f>
        <v/>
      </c>
    </row>
    <row r="532" ht="15.75" customHeight="1" s="64">
      <c r="A532" s="51">
        <f>Contactos!M20</f>
        <v/>
      </c>
    </row>
    <row r="533" ht="15.75" customHeight="1" s="64">
      <c r="A533" s="51">
        <f>Contactos!M21</f>
        <v/>
      </c>
    </row>
    <row r="534" ht="15.75" customHeight="1" s="64">
      <c r="A534" s="51">
        <f>Contactos!M22</f>
        <v/>
      </c>
    </row>
    <row r="535" ht="15.75" customHeight="1" s="64">
      <c r="A535" s="51">
        <f>Contactos!M23</f>
        <v/>
      </c>
    </row>
    <row r="536" ht="15.75" customHeight="1" s="64">
      <c r="A536" s="51">
        <f>Contactos!M24</f>
        <v/>
      </c>
    </row>
    <row r="537" ht="15.75" customHeight="1" s="64">
      <c r="A537" s="51">
        <f>Contactos!M25</f>
        <v/>
      </c>
    </row>
    <row r="538" ht="15.75" customHeight="1" s="64">
      <c r="A538" s="51">
        <f>Contactos!M26</f>
        <v/>
      </c>
    </row>
    <row r="539" ht="15.75" customHeight="1" s="64">
      <c r="A539" s="51">
        <f>Contactos!M27</f>
        <v/>
      </c>
    </row>
    <row r="540" ht="15.75" customHeight="1" s="64">
      <c r="A540" s="51">
        <f>Contactos!M28</f>
        <v/>
      </c>
    </row>
    <row r="541" ht="15.75" customHeight="1" s="64">
      <c r="A541" s="51">
        <f>Contactos!M29</f>
        <v/>
      </c>
    </row>
    <row r="542" ht="15.75" customHeight="1" s="64">
      <c r="A542" s="51">
        <f>Contactos!M30</f>
        <v/>
      </c>
    </row>
    <row r="543" ht="15.75" customHeight="1" s="64">
      <c r="A543" s="51">
        <f>Contactos!M31</f>
        <v/>
      </c>
    </row>
    <row r="544" ht="15.75" customHeight="1" s="64">
      <c r="A544" s="51">
        <f>Contactos!M32</f>
        <v/>
      </c>
    </row>
    <row r="545" ht="15.75" customHeight="1" s="64">
      <c r="A545" s="51">
        <f>Contactos!M33</f>
        <v/>
      </c>
    </row>
    <row r="546" ht="15.75" customHeight="1" s="64">
      <c r="A546" s="51">
        <f>Contactos!M34</f>
        <v/>
      </c>
    </row>
    <row r="547" ht="15.75" customHeight="1" s="64">
      <c r="A547" s="51">
        <f>Contactos!M35</f>
        <v/>
      </c>
    </row>
    <row r="548" ht="15.75" customHeight="1" s="64">
      <c r="A548" s="51">
        <f>Contactos!M36</f>
        <v/>
      </c>
    </row>
    <row r="549" ht="15.75" customHeight="1" s="64">
      <c r="A549" s="51">
        <f>Contactos!M37</f>
        <v/>
      </c>
    </row>
    <row r="550" ht="15.75" customHeight="1" s="64">
      <c r="A550" s="51">
        <f>Contactos!M38</f>
        <v/>
      </c>
    </row>
    <row r="551" ht="15.75" customHeight="1" s="64">
      <c r="A551" s="51">
        <f>Contactos!M39</f>
        <v/>
      </c>
    </row>
    <row r="552" ht="15.75" customHeight="1" s="64">
      <c r="A552" s="51">
        <f>Contactos!M40</f>
        <v/>
      </c>
    </row>
    <row r="553" ht="15.75" customHeight="1" s="64">
      <c r="A553" s="51">
        <f>Contactos!M41</f>
        <v/>
      </c>
    </row>
    <row r="554" ht="15.75" customHeight="1" s="64">
      <c r="A554" s="51">
        <f>Contactos!M42</f>
        <v/>
      </c>
    </row>
    <row r="555" ht="15.75" customHeight="1" s="64">
      <c r="A555" s="51">
        <f>Contactos!M43</f>
        <v/>
      </c>
    </row>
    <row r="556" ht="15.75" customHeight="1" s="64">
      <c r="A556" s="51">
        <f>Contactos!M44</f>
        <v/>
      </c>
    </row>
    <row r="557" ht="15.75" customHeight="1" s="64">
      <c r="A557" s="51">
        <f>Contactos!M45</f>
        <v/>
      </c>
    </row>
    <row r="558" ht="15.75" customHeight="1" s="64">
      <c r="A558" s="51">
        <f>Contactos!M46</f>
        <v/>
      </c>
    </row>
    <row r="559" ht="15.75" customHeight="1" s="64">
      <c r="A559" s="51">
        <f>Contactos!M47</f>
        <v/>
      </c>
    </row>
    <row r="560" ht="15.75" customHeight="1" s="64">
      <c r="A560" s="51">
        <f>Contactos!M48</f>
        <v/>
      </c>
    </row>
    <row r="561" ht="15.75" customHeight="1" s="64">
      <c r="A561" s="51">
        <f>Contactos!M49</f>
        <v/>
      </c>
    </row>
    <row r="562" ht="15.75" customHeight="1" s="64">
      <c r="A562" s="51">
        <f>Contactos!M50</f>
        <v/>
      </c>
    </row>
    <row r="563" ht="15.75" customHeight="1" s="64">
      <c r="A563" s="51">
        <f>Contactos!M51</f>
        <v/>
      </c>
    </row>
    <row r="564" ht="15.75" customHeight="1" s="64">
      <c r="A564" s="51">
        <f>Contactos!M52</f>
        <v/>
      </c>
    </row>
    <row r="565" ht="15.75" customHeight="1" s="64">
      <c r="A565" s="51">
        <f>Contactos!M53</f>
        <v/>
      </c>
    </row>
    <row r="566" ht="15.75" customHeight="1" s="64">
      <c r="A566" s="51">
        <f>Contactos!M54</f>
        <v/>
      </c>
    </row>
    <row r="567" ht="15.75" customHeight="1" s="64">
      <c r="A567" s="51">
        <f>Contactos!M55</f>
        <v/>
      </c>
    </row>
    <row r="568" ht="15.75" customHeight="1" s="64">
      <c r="A568" s="51">
        <f>Contactos!M56</f>
        <v/>
      </c>
    </row>
    <row r="569" ht="15.75" customHeight="1" s="64">
      <c r="A569" s="51">
        <f>Contactos!M57</f>
        <v/>
      </c>
    </row>
    <row r="570" ht="15.75" customHeight="1" s="64">
      <c r="A570" s="51">
        <f>Contactos!M58</f>
        <v/>
      </c>
    </row>
    <row r="571" ht="15.75" customHeight="1" s="64">
      <c r="A571" s="51">
        <f>Contactos!M59</f>
        <v/>
      </c>
    </row>
    <row r="572" ht="15.75" customHeight="1" s="64">
      <c r="A572" s="51">
        <f>Contactos!M60</f>
        <v/>
      </c>
    </row>
    <row r="573" ht="15.75" customHeight="1" s="64">
      <c r="A573" s="51">
        <f>Contactos!M61</f>
        <v/>
      </c>
    </row>
    <row r="574" ht="15.75" customHeight="1" s="64">
      <c r="A574" s="51">
        <f>Contactos!M62</f>
        <v/>
      </c>
    </row>
    <row r="575" ht="15.75" customHeight="1" s="64">
      <c r="A575" s="51">
        <f>Contactos!M63</f>
        <v/>
      </c>
    </row>
    <row r="576" ht="15.75" customHeight="1" s="64">
      <c r="A576" s="51">
        <f>Contactos!M64</f>
        <v/>
      </c>
    </row>
    <row r="577" ht="15.75" customHeight="1" s="64">
      <c r="A577" s="51">
        <f>Contactos!M65</f>
        <v/>
      </c>
    </row>
    <row r="578" ht="15.75" customHeight="1" s="64">
      <c r="A578" s="51">
        <f>Contactos!M66</f>
        <v/>
      </c>
    </row>
    <row r="579" ht="15.75" customHeight="1" s="64">
      <c r="A579" s="51">
        <f>Contactos!M67</f>
        <v/>
      </c>
    </row>
    <row r="580" ht="15.75" customHeight="1" s="64">
      <c r="A580" s="51">
        <f>Contactos!M68</f>
        <v/>
      </c>
    </row>
    <row r="581" ht="15.75" customHeight="1" s="64">
      <c r="A581" s="51">
        <f>Contactos!M69</f>
        <v/>
      </c>
    </row>
    <row r="582" ht="15.75" customHeight="1" s="64">
      <c r="A582" s="51">
        <f>Contactos!M70</f>
        <v/>
      </c>
    </row>
    <row r="583" ht="15.75" customHeight="1" s="64">
      <c r="A583" s="51">
        <f>Contactos!M71</f>
        <v/>
      </c>
    </row>
    <row r="584" ht="15.75" customHeight="1" s="64">
      <c r="A584" s="51">
        <f>Contactos!M72</f>
        <v/>
      </c>
    </row>
    <row r="585" ht="15.75" customHeight="1" s="64">
      <c r="A585" s="51">
        <f>Contactos!M73</f>
        <v/>
      </c>
    </row>
    <row r="586" ht="15.75" customHeight="1" s="64">
      <c r="A586" s="51">
        <f>Contactos!M74</f>
        <v/>
      </c>
    </row>
    <row r="587" ht="15.75" customHeight="1" s="64">
      <c r="A587" s="51">
        <f>Contactos!M75</f>
        <v/>
      </c>
    </row>
    <row r="588" ht="15.75" customHeight="1" s="64">
      <c r="A588" s="51">
        <f>Contactos!M76</f>
        <v/>
      </c>
    </row>
    <row r="589" ht="15.75" customHeight="1" s="64">
      <c r="A589" s="51">
        <f>Contactos!M77</f>
        <v/>
      </c>
    </row>
    <row r="590" ht="15.75" customHeight="1" s="64">
      <c r="A590" s="51">
        <f>Contactos!M78</f>
        <v/>
      </c>
    </row>
    <row r="591" ht="15.75" customHeight="1" s="64">
      <c r="A591" s="51">
        <f>Contactos!M79</f>
        <v/>
      </c>
    </row>
    <row r="592" ht="15.75" customHeight="1" s="64">
      <c r="A592" s="51">
        <f>Contactos!M80</f>
        <v/>
      </c>
    </row>
    <row r="593" ht="15.75" customHeight="1" s="64">
      <c r="A593" s="51">
        <f>Contactos!M81</f>
        <v/>
      </c>
    </row>
    <row r="594" ht="15.75" customHeight="1" s="64">
      <c r="A594" s="51">
        <f>Contactos!M82</f>
        <v/>
      </c>
    </row>
    <row r="595" ht="15.75" customHeight="1" s="64">
      <c r="A595" s="51">
        <f>Contactos!M83</f>
        <v/>
      </c>
    </row>
    <row r="596" ht="15.75" customHeight="1" s="64">
      <c r="A596" s="51">
        <f>Contactos!M84</f>
        <v/>
      </c>
    </row>
    <row r="597" ht="15.75" customHeight="1" s="64">
      <c r="A597" s="51">
        <f>Contactos!M85</f>
        <v/>
      </c>
    </row>
    <row r="598" ht="15.75" customHeight="1" s="64">
      <c r="A598" s="51">
        <f>Contactos!M86</f>
        <v/>
      </c>
    </row>
    <row r="599" ht="15.75" customHeight="1" s="64">
      <c r="A599" s="51">
        <f>Contactos!M87</f>
        <v/>
      </c>
    </row>
    <row r="600" ht="15.75" customHeight="1" s="64">
      <c r="A600" s="51">
        <f>Contactos!M88</f>
        <v/>
      </c>
    </row>
    <row r="601" ht="15.75" customHeight="1" s="64">
      <c r="A601" s="51">
        <f>Contactos!M89</f>
        <v/>
      </c>
    </row>
    <row r="602" ht="15.75" customHeight="1" s="64">
      <c r="A602" s="51">
        <f>Contactos!M90</f>
        <v/>
      </c>
    </row>
    <row r="603" ht="15.75" customHeight="1" s="64">
      <c r="A603" s="51">
        <f>Contactos!M91</f>
        <v/>
      </c>
    </row>
    <row r="604" ht="15.75" customHeight="1" s="64">
      <c r="A604" s="51">
        <f>Contactos!M92</f>
        <v/>
      </c>
    </row>
    <row r="605" ht="15.75" customHeight="1" s="64">
      <c r="A605" s="51">
        <f>Contactos!M93</f>
        <v/>
      </c>
    </row>
    <row r="606" ht="15.75" customHeight="1" s="64">
      <c r="A606" s="51">
        <f>Contactos!M94</f>
        <v/>
      </c>
    </row>
    <row r="607" ht="15.75" customHeight="1" s="64">
      <c r="A607" s="51">
        <f>Contactos!M95</f>
        <v/>
      </c>
    </row>
    <row r="608" ht="15.75" customHeight="1" s="64">
      <c r="A608" s="51">
        <f>Contactos!M96</f>
        <v/>
      </c>
    </row>
    <row r="609" ht="15.75" customHeight="1" s="64">
      <c r="A609" s="51">
        <f>Contactos!M97</f>
        <v/>
      </c>
    </row>
    <row r="610" ht="15.75" customHeight="1" s="64">
      <c r="A610" s="51">
        <f>Contactos!M98</f>
        <v/>
      </c>
    </row>
    <row r="611" ht="15.75" customHeight="1" s="64">
      <c r="A611" s="51">
        <f>Contactos!M99</f>
        <v/>
      </c>
    </row>
    <row r="612" ht="15.75" customHeight="1" s="64">
      <c r="A612" s="51">
        <f>Contactos!M100</f>
        <v/>
      </c>
    </row>
    <row r="613" ht="15.75" customHeight="1" s="64">
      <c r="A613" s="51">
        <f>Contactos!M101</f>
        <v/>
      </c>
    </row>
    <row r="614" ht="15.75" customHeight="1" s="64">
      <c r="A614" s="51">
        <f>Contactos!M102</f>
        <v/>
      </c>
    </row>
    <row r="615" ht="15.75" customHeight="1" s="64">
      <c r="A615" s="51">
        <f>Contactos!M103</f>
        <v/>
      </c>
    </row>
    <row r="616" ht="15.75" customHeight="1" s="64">
      <c r="A616" s="51">
        <f>Contactos!M104</f>
        <v/>
      </c>
    </row>
    <row r="617" ht="15.75" customHeight="1" s="64">
      <c r="A617" s="51">
        <f>Contactos!M105</f>
        <v/>
      </c>
    </row>
    <row r="618" ht="15.75" customHeight="1" s="64">
      <c r="A618" s="51">
        <f>Contactos!M106</f>
        <v/>
      </c>
    </row>
    <row r="619" ht="15.75" customHeight="1" s="64">
      <c r="A619" s="51">
        <f>Contactos!M107</f>
        <v/>
      </c>
    </row>
    <row r="620" ht="15.75" customHeight="1" s="64">
      <c r="A620" s="51">
        <f>Contactos!M108</f>
        <v/>
      </c>
    </row>
    <row r="621" ht="15.75" customHeight="1" s="64">
      <c r="A621" s="51">
        <f>Contactos!M109</f>
        <v/>
      </c>
    </row>
    <row r="622" ht="15.75" customHeight="1" s="64">
      <c r="A622" s="51">
        <f>Contactos!M110</f>
        <v/>
      </c>
    </row>
    <row r="623" ht="15.75" customHeight="1" s="64">
      <c r="A623" s="51">
        <f>Contactos!M111</f>
        <v/>
      </c>
    </row>
    <row r="624" ht="15.75" customHeight="1" s="64">
      <c r="A624" s="51">
        <f>Contactos!M112</f>
        <v/>
      </c>
    </row>
    <row r="625" ht="15.75" customHeight="1" s="64">
      <c r="A625" s="51">
        <f>Contactos!M113</f>
        <v/>
      </c>
    </row>
    <row r="626" ht="15.75" customHeight="1" s="64">
      <c r="A626" s="51">
        <f>Contactos!M114</f>
        <v/>
      </c>
    </row>
    <row r="627" ht="15.75" customHeight="1" s="64">
      <c r="A627" s="51">
        <f>Contactos!M115</f>
        <v/>
      </c>
    </row>
    <row r="628" ht="15.75" customHeight="1" s="64">
      <c r="A628" s="51">
        <f>Contactos!M116</f>
        <v/>
      </c>
    </row>
    <row r="629" ht="15.75" customHeight="1" s="64">
      <c r="A629" s="51">
        <f>Contactos!M117</f>
        <v/>
      </c>
    </row>
    <row r="630" ht="15.75" customHeight="1" s="64">
      <c r="A630" s="51">
        <f>Contactos!M118</f>
        <v/>
      </c>
    </row>
    <row r="631" ht="15.75" customHeight="1" s="64">
      <c r="A631" s="51">
        <f>Contactos!M119</f>
        <v/>
      </c>
    </row>
    <row r="632" ht="15.75" customHeight="1" s="64">
      <c r="A632" s="51">
        <f>Contactos!M120</f>
        <v/>
      </c>
    </row>
    <row r="633" ht="15.75" customHeight="1" s="64">
      <c r="A633" s="51">
        <f>Contactos!M121</f>
        <v/>
      </c>
    </row>
    <row r="634" ht="15.75" customHeight="1" s="64">
      <c r="A634" s="51">
        <f>Contactos!M122</f>
        <v/>
      </c>
    </row>
    <row r="635" ht="15.75" customHeight="1" s="64">
      <c r="A635" s="51">
        <f>Contactos!M123</f>
        <v/>
      </c>
    </row>
    <row r="636" ht="15.75" customHeight="1" s="64">
      <c r="A636" s="51">
        <f>Contactos!M124</f>
        <v/>
      </c>
    </row>
    <row r="637" ht="15.75" customHeight="1" s="64">
      <c r="A637" s="51">
        <f>Contactos!M125</f>
        <v/>
      </c>
    </row>
    <row r="638" ht="15.75" customHeight="1" s="64">
      <c r="A638" s="51">
        <f>Contactos!M126</f>
        <v/>
      </c>
    </row>
    <row r="639" ht="15.75" customHeight="1" s="64">
      <c r="A639" s="51">
        <f>Contactos!M127</f>
        <v/>
      </c>
    </row>
    <row r="640" ht="15.75" customHeight="1" s="64">
      <c r="A640" s="51">
        <f>Contactos!M128</f>
        <v/>
      </c>
    </row>
    <row r="641" ht="15.75" customHeight="1" s="64">
      <c r="A641" s="51">
        <f>Contactos!M129</f>
        <v/>
      </c>
    </row>
    <row r="642" ht="15.75" customHeight="1" s="64">
      <c r="A642" s="51">
        <f>Contactos!M130</f>
        <v/>
      </c>
    </row>
    <row r="643" ht="15.75" customHeight="1" s="64">
      <c r="A643" s="51">
        <f>Contactos!M131</f>
        <v/>
      </c>
    </row>
    <row r="644" ht="15.75" customHeight="1" s="64">
      <c r="A644" s="51">
        <f>Contactos!M132</f>
        <v/>
      </c>
    </row>
    <row r="645" ht="15.75" customHeight="1" s="64">
      <c r="A645" s="51">
        <f>Contactos!M133</f>
        <v/>
      </c>
    </row>
    <row r="646" ht="15.75" customHeight="1" s="64">
      <c r="A646" s="51">
        <f>Contactos!M134</f>
        <v/>
      </c>
    </row>
    <row r="647" ht="15.75" customHeight="1" s="64">
      <c r="A647" s="51">
        <f>Contactos!M135</f>
        <v/>
      </c>
    </row>
    <row r="648" ht="15.75" customHeight="1" s="64">
      <c r="A648" s="51">
        <f>Contactos!M136</f>
        <v/>
      </c>
    </row>
    <row r="649" ht="15.75" customHeight="1" s="64">
      <c r="A649" s="51">
        <f>Contactos!M137</f>
        <v/>
      </c>
    </row>
    <row r="650" ht="15.75" customHeight="1" s="64">
      <c r="A650" s="51">
        <f>Contactos!M138</f>
        <v/>
      </c>
    </row>
    <row r="651" ht="15.75" customHeight="1" s="64">
      <c r="A651" s="51">
        <f>Contactos!M139</f>
        <v/>
      </c>
    </row>
    <row r="652" ht="15.75" customHeight="1" s="64">
      <c r="A652" s="51">
        <f>Contactos!M140</f>
        <v/>
      </c>
    </row>
    <row r="653" ht="15.75" customHeight="1" s="64">
      <c r="A653" s="51">
        <f>Contactos!M141</f>
        <v/>
      </c>
    </row>
    <row r="654" ht="15.75" customHeight="1" s="64">
      <c r="A654" s="51">
        <f>Contactos!M142</f>
        <v/>
      </c>
    </row>
    <row r="655" ht="15.75" customHeight="1" s="64">
      <c r="A655" s="51">
        <f>Contactos!M143</f>
        <v/>
      </c>
    </row>
    <row r="656" ht="15.75" customHeight="1" s="64">
      <c r="A656" s="51">
        <f>Contactos!M144</f>
        <v/>
      </c>
    </row>
    <row r="657" ht="15.75" customHeight="1" s="64">
      <c r="A657" s="51">
        <f>Contactos!M145</f>
        <v/>
      </c>
    </row>
    <row r="658" ht="15.75" customHeight="1" s="64">
      <c r="A658" s="51">
        <f>Contactos!M146</f>
        <v/>
      </c>
    </row>
    <row r="659" ht="15.75" customHeight="1" s="64">
      <c r="A659" s="51">
        <f>Contactos!M147</f>
        <v/>
      </c>
    </row>
    <row r="660" ht="15.75" customHeight="1" s="64">
      <c r="A660" s="51">
        <f>Contactos!M148</f>
        <v/>
      </c>
    </row>
    <row r="661" ht="15.75" customHeight="1" s="64">
      <c r="A661" s="51">
        <f>Contactos!M149</f>
        <v/>
      </c>
    </row>
    <row r="662" ht="15.75" customHeight="1" s="64">
      <c r="A662" s="51">
        <f>Contactos!M150</f>
        <v/>
      </c>
    </row>
    <row r="663" ht="15.75" customHeight="1" s="64">
      <c r="A663" s="51">
        <f>Contactos!M151</f>
        <v/>
      </c>
    </row>
    <row r="664" ht="15.75" customHeight="1" s="64">
      <c r="A664" s="51">
        <f>Contactos!M152</f>
        <v/>
      </c>
    </row>
    <row r="665" ht="15.75" customHeight="1" s="64">
      <c r="A665" s="51">
        <f>Contactos!M153</f>
        <v/>
      </c>
    </row>
    <row r="666" ht="15.75" customHeight="1" s="64">
      <c r="A666" s="51">
        <f>Contactos!M154</f>
        <v/>
      </c>
    </row>
    <row r="667" ht="15.75" customHeight="1" s="64">
      <c r="A667" s="51">
        <f>Contactos!M155</f>
        <v/>
      </c>
    </row>
    <row r="668" ht="15.75" customHeight="1" s="64">
      <c r="A668" s="51">
        <f>Contactos!M156</f>
        <v/>
      </c>
    </row>
    <row r="669" ht="15.75" customHeight="1" s="64">
      <c r="A669" s="51">
        <f>Contactos!M157</f>
        <v/>
      </c>
    </row>
    <row r="670" ht="15.75" customHeight="1" s="64">
      <c r="A670" s="51">
        <f>Contactos!M158</f>
        <v/>
      </c>
    </row>
    <row r="671" ht="15.75" customHeight="1" s="64">
      <c r="A671" s="51">
        <f>Contactos!M159</f>
        <v/>
      </c>
    </row>
    <row r="672" ht="15.75" customHeight="1" s="64">
      <c r="A672" s="51">
        <f>Contactos!M160</f>
        <v/>
      </c>
    </row>
    <row r="673" ht="15.75" customHeight="1" s="64">
      <c r="A673" s="51">
        <f>Contactos!M161</f>
        <v/>
      </c>
    </row>
    <row r="674" ht="15.75" customHeight="1" s="64">
      <c r="A674" s="51">
        <f>Contactos!M162</f>
        <v/>
      </c>
    </row>
    <row r="675" ht="15.75" customHeight="1" s="64">
      <c r="A675" s="51">
        <f>Contactos!M163</f>
        <v/>
      </c>
    </row>
    <row r="676" ht="15.75" customHeight="1" s="64">
      <c r="A676" s="51">
        <f>Contactos!M164</f>
        <v/>
      </c>
    </row>
    <row r="677" ht="15.75" customHeight="1" s="64">
      <c r="A677" s="51">
        <f>Contactos!M165</f>
        <v/>
      </c>
    </row>
    <row r="678" ht="15.75" customHeight="1" s="64">
      <c r="A678" s="51">
        <f>Contactos!M166</f>
        <v/>
      </c>
    </row>
    <row r="679" ht="15.75" customHeight="1" s="64">
      <c r="A679" s="51">
        <f>Contactos!M167</f>
        <v/>
      </c>
    </row>
    <row r="680" ht="15.75" customHeight="1" s="64">
      <c r="A680" s="51">
        <f>Contactos!M168</f>
        <v/>
      </c>
    </row>
    <row r="681" ht="15.75" customHeight="1" s="64">
      <c r="A681" s="51">
        <f>Contactos!M169</f>
        <v/>
      </c>
    </row>
    <row r="682" ht="15.75" customHeight="1" s="64">
      <c r="A682" s="51">
        <f>Contactos!M170</f>
        <v/>
      </c>
    </row>
    <row r="683" ht="15.75" customHeight="1" s="64">
      <c r="A683" s="51">
        <f>Contactos!M171</f>
        <v/>
      </c>
    </row>
    <row r="684" ht="15.75" customHeight="1" s="64">
      <c r="A684" s="51">
        <f>Contactos!M172</f>
        <v/>
      </c>
    </row>
    <row r="685" ht="15.75" customHeight="1" s="64">
      <c r="A685" s="51">
        <f>Contactos!M173</f>
        <v/>
      </c>
    </row>
    <row r="686" ht="15.75" customHeight="1" s="64">
      <c r="A686" s="51">
        <f>Contactos!M174</f>
        <v/>
      </c>
    </row>
    <row r="687" ht="15.75" customHeight="1" s="64">
      <c r="A687" s="51">
        <f>Contactos!M175</f>
        <v/>
      </c>
    </row>
    <row r="688" ht="15.75" customHeight="1" s="64">
      <c r="A688" s="51">
        <f>Contactos!M176</f>
        <v/>
      </c>
    </row>
    <row r="689" ht="15.75" customHeight="1" s="64">
      <c r="A689" s="51">
        <f>Contactos!M177</f>
        <v/>
      </c>
    </row>
    <row r="690" ht="15.75" customHeight="1" s="64">
      <c r="A690" s="51">
        <f>Contactos!M178</f>
        <v/>
      </c>
    </row>
    <row r="691" ht="15.75" customHeight="1" s="64">
      <c r="A691" s="51">
        <f>Contactos!M179</f>
        <v/>
      </c>
    </row>
    <row r="692" ht="15.75" customHeight="1" s="64">
      <c r="A692" s="51">
        <f>Contactos!M180</f>
        <v/>
      </c>
    </row>
    <row r="693" ht="15.75" customHeight="1" s="64">
      <c r="A693" s="51">
        <f>Contactos!M181</f>
        <v/>
      </c>
    </row>
    <row r="694" ht="15.75" customHeight="1" s="64">
      <c r="A694" s="51">
        <f>Contactos!M182</f>
        <v/>
      </c>
    </row>
    <row r="695" ht="15.75" customHeight="1" s="64">
      <c r="A695" s="51">
        <f>Contactos!M183</f>
        <v/>
      </c>
    </row>
    <row r="696" ht="15.75" customHeight="1" s="64">
      <c r="A696" s="51">
        <f>Contactos!M184</f>
        <v/>
      </c>
    </row>
    <row r="697" ht="15.75" customHeight="1" s="64">
      <c r="A697" s="51">
        <f>Contactos!M185</f>
        <v/>
      </c>
    </row>
    <row r="698" ht="15.75" customHeight="1" s="64">
      <c r="A698" s="51">
        <f>Contactos!M186</f>
        <v/>
      </c>
    </row>
    <row r="699" ht="15.75" customHeight="1" s="64">
      <c r="A699" s="51">
        <f>Contactos!M187</f>
        <v/>
      </c>
    </row>
    <row r="700" ht="15.75" customHeight="1" s="64">
      <c r="A700" s="51">
        <f>Contactos!M188</f>
        <v/>
      </c>
    </row>
    <row r="701" ht="15.75" customHeight="1" s="64">
      <c r="A701" s="51">
        <f>Contactos!M189</f>
        <v/>
      </c>
    </row>
    <row r="702" ht="15.75" customHeight="1" s="64">
      <c r="A702" s="51">
        <f>Contactos!M190</f>
        <v/>
      </c>
    </row>
    <row r="703" ht="15.75" customHeight="1" s="64">
      <c r="A703" s="51">
        <f>Contactos!M191</f>
        <v/>
      </c>
    </row>
    <row r="704" ht="15.75" customHeight="1" s="64">
      <c r="A704" s="51">
        <f>Contactos!M192</f>
        <v/>
      </c>
    </row>
    <row r="705" ht="15.75" customHeight="1" s="64">
      <c r="A705" s="51">
        <f>Contactos!M193</f>
        <v/>
      </c>
    </row>
    <row r="706" ht="15.75" customHeight="1" s="64">
      <c r="A706" s="51">
        <f>Contactos!M194</f>
        <v/>
      </c>
    </row>
    <row r="707" ht="15.75" customHeight="1" s="64">
      <c r="A707" s="51">
        <f>Contactos!M195</f>
        <v/>
      </c>
    </row>
    <row r="708" ht="15.75" customHeight="1" s="64">
      <c r="A708" s="51">
        <f>Contactos!M196</f>
        <v/>
      </c>
    </row>
    <row r="709" ht="15.75" customHeight="1" s="64">
      <c r="A709" s="51">
        <f>Contactos!M197</f>
        <v/>
      </c>
    </row>
    <row r="710" ht="15.75" customHeight="1" s="64">
      <c r="A710" s="51">
        <f>Contactos!M198</f>
        <v/>
      </c>
    </row>
    <row r="711" ht="15.75" customHeight="1" s="64">
      <c r="A711" s="51">
        <f>Contactos!M199</f>
        <v/>
      </c>
    </row>
    <row r="712" ht="15.75" customHeight="1" s="64">
      <c r="A712" s="51">
        <f>Contactos!M200</f>
        <v/>
      </c>
    </row>
    <row r="713" ht="15.75" customHeight="1" s="64">
      <c r="A713" s="51">
        <f>Contactos!M201</f>
        <v/>
      </c>
    </row>
    <row r="714" ht="15.75" customHeight="1" s="64">
      <c r="A714" s="51">
        <f>Contactos!M202</f>
        <v/>
      </c>
    </row>
    <row r="715" ht="15.75" customHeight="1" s="64">
      <c r="A715" s="51">
        <f>Contactos!M203</f>
        <v/>
      </c>
    </row>
    <row r="716" ht="15.75" customHeight="1" s="64">
      <c r="A716" s="51">
        <f>Contactos!M204</f>
        <v/>
      </c>
    </row>
    <row r="717" ht="15.75" customHeight="1" s="64">
      <c r="A717" s="51">
        <f>Contactos!M205</f>
        <v/>
      </c>
    </row>
    <row r="718" ht="15.75" customHeight="1" s="64">
      <c r="A718" s="51">
        <f>Contactos!M206</f>
        <v/>
      </c>
    </row>
    <row r="719" ht="15.75" customHeight="1" s="64">
      <c r="A719" s="51">
        <f>Contactos!M207</f>
        <v/>
      </c>
    </row>
    <row r="720" ht="15.75" customHeight="1" s="64">
      <c r="A720" s="51">
        <f>Contactos!M208</f>
        <v/>
      </c>
    </row>
    <row r="721" ht="15.75" customHeight="1" s="64">
      <c r="A721" s="51">
        <f>Contactos!M209</f>
        <v/>
      </c>
    </row>
    <row r="722" ht="15.75" customHeight="1" s="64">
      <c r="A722" s="51">
        <f>Contactos!M210</f>
        <v/>
      </c>
    </row>
    <row r="723" ht="15.75" customHeight="1" s="64">
      <c r="A723" s="51">
        <f>Contactos!M211</f>
        <v/>
      </c>
    </row>
    <row r="724" ht="15.75" customHeight="1" s="64">
      <c r="A724" s="51">
        <f>Contactos!M212</f>
        <v/>
      </c>
    </row>
    <row r="725" ht="15.75" customHeight="1" s="64">
      <c r="A725" s="51">
        <f>Contactos!M213</f>
        <v/>
      </c>
    </row>
    <row r="726" ht="15.75" customHeight="1" s="64">
      <c r="A726" s="51">
        <f>Contactos!M214</f>
        <v/>
      </c>
    </row>
    <row r="727" ht="15.75" customHeight="1" s="64">
      <c r="A727" s="51">
        <f>Contactos!M215</f>
        <v/>
      </c>
    </row>
    <row r="728" ht="15.75" customHeight="1" s="64">
      <c r="A728" s="51">
        <f>Contactos!M216</f>
        <v/>
      </c>
    </row>
    <row r="729" ht="15.75" customHeight="1" s="64">
      <c r="A729" s="51">
        <f>Contactos!M217</f>
        <v/>
      </c>
    </row>
    <row r="730" ht="15.75" customHeight="1" s="64">
      <c r="A730" s="51">
        <f>Contactos!M218</f>
        <v/>
      </c>
    </row>
    <row r="731" ht="15.75" customHeight="1" s="64">
      <c r="A731" s="51">
        <f>Contactos!M219</f>
        <v/>
      </c>
    </row>
    <row r="732" ht="15.75" customHeight="1" s="64">
      <c r="A732" s="51">
        <f>Contactos!M220</f>
        <v/>
      </c>
    </row>
    <row r="733" ht="15.75" customHeight="1" s="64">
      <c r="A733" s="51">
        <f>Contactos!M221</f>
        <v/>
      </c>
    </row>
    <row r="734" ht="15.75" customHeight="1" s="64">
      <c r="A734" s="51">
        <f>Contactos!M222</f>
        <v/>
      </c>
    </row>
    <row r="735" ht="15.75" customHeight="1" s="64">
      <c r="A735" s="51">
        <f>Contactos!M223</f>
        <v/>
      </c>
    </row>
    <row r="736" ht="15.75" customHeight="1" s="64">
      <c r="A736" s="51">
        <f>Contactos!M224</f>
        <v/>
      </c>
    </row>
    <row r="737" ht="15.75" customHeight="1" s="64">
      <c r="A737" s="51">
        <f>Contactos!M225</f>
        <v/>
      </c>
    </row>
    <row r="738" ht="15.75" customHeight="1" s="64">
      <c r="A738" s="51">
        <f>Contactos!M226</f>
        <v/>
      </c>
    </row>
    <row r="739" ht="15.75" customHeight="1" s="64">
      <c r="A739" s="51">
        <f>Contactos!M227</f>
        <v/>
      </c>
    </row>
    <row r="740" ht="15.75" customHeight="1" s="64">
      <c r="A740" s="51">
        <f>Contactos!M228</f>
        <v/>
      </c>
    </row>
    <row r="741" ht="15.75" customHeight="1" s="64">
      <c r="A741" s="51">
        <f>Contactos!M229</f>
        <v/>
      </c>
    </row>
    <row r="742" ht="15.75" customHeight="1" s="64">
      <c r="A742" s="51">
        <f>Contactos!M230</f>
        <v/>
      </c>
    </row>
    <row r="743" ht="15.75" customHeight="1" s="64">
      <c r="A743" s="51">
        <f>Contactos!M231</f>
        <v/>
      </c>
    </row>
    <row r="744" ht="15.75" customHeight="1" s="64">
      <c r="A744" s="51">
        <f>Contactos!M232</f>
        <v/>
      </c>
    </row>
    <row r="745" ht="15.75" customHeight="1" s="64">
      <c r="A745" s="51">
        <f>Contactos!M233</f>
        <v/>
      </c>
    </row>
    <row r="746" ht="15.75" customHeight="1" s="64">
      <c r="A746" s="51">
        <f>Contactos!M234</f>
        <v/>
      </c>
    </row>
    <row r="747" ht="15.75" customHeight="1" s="64">
      <c r="A747" s="51">
        <f>Contactos!M235</f>
        <v/>
      </c>
    </row>
    <row r="748" ht="15.75" customHeight="1" s="64">
      <c r="A748" s="51">
        <f>Contactos!M236</f>
        <v/>
      </c>
    </row>
    <row r="749" ht="15.75" customHeight="1" s="64">
      <c r="A749" s="51">
        <f>Contactos!M237</f>
        <v/>
      </c>
    </row>
    <row r="750" ht="15.75" customHeight="1" s="64">
      <c r="A750" s="51">
        <f>Contactos!M238</f>
        <v/>
      </c>
    </row>
    <row r="751" ht="15.75" customHeight="1" s="64">
      <c r="A751" s="51">
        <f>Contactos!M239</f>
        <v/>
      </c>
    </row>
    <row r="752" ht="15.75" customHeight="1" s="64">
      <c r="A752" s="51">
        <f>Contactos!M240</f>
        <v/>
      </c>
    </row>
    <row r="753" ht="15.75" customHeight="1" s="64">
      <c r="A753" s="51">
        <f>Contactos!M241</f>
        <v/>
      </c>
    </row>
    <row r="754" ht="15.75" customHeight="1" s="64">
      <c r="A754" s="51">
        <f>Contactos!M242</f>
        <v/>
      </c>
    </row>
    <row r="755" ht="15.75" customHeight="1" s="64">
      <c r="A755" s="51">
        <f>Contactos!M243</f>
        <v/>
      </c>
    </row>
    <row r="756" ht="15.75" customHeight="1" s="64">
      <c r="A756" s="51">
        <f>Contactos!M244</f>
        <v/>
      </c>
    </row>
    <row r="757" ht="15.75" customHeight="1" s="64">
      <c r="A757" s="51">
        <f>Contactos!M245</f>
        <v/>
      </c>
    </row>
    <row r="758" ht="15.75" customHeight="1" s="64">
      <c r="A758" s="51">
        <f>Contactos!M246</f>
        <v/>
      </c>
    </row>
    <row r="759" ht="15.75" customHeight="1" s="64">
      <c r="A759" s="51">
        <f>Contactos!M247</f>
        <v/>
      </c>
    </row>
    <row r="760" ht="15.75" customHeight="1" s="64">
      <c r="A760" s="51">
        <f>Contactos!M248</f>
        <v/>
      </c>
    </row>
    <row r="761" ht="15.75" customHeight="1" s="64">
      <c r="A761" s="51">
        <f>Contactos!M249</f>
        <v/>
      </c>
    </row>
    <row r="762" ht="15.75" customHeight="1" s="64">
      <c r="A762" s="51">
        <f>Contactos!M250</f>
        <v/>
      </c>
    </row>
    <row r="763" ht="15.75" customHeight="1" s="64">
      <c r="A763" s="51">
        <f>Contactos!M251</f>
        <v/>
      </c>
    </row>
    <row r="764" ht="15.75" customHeight="1" s="64">
      <c r="A764" s="51">
        <f>Contactos!M252</f>
        <v/>
      </c>
    </row>
    <row r="765" ht="15.75" customHeight="1" s="64">
      <c r="A765" s="51">
        <f>Contactos!M253</f>
        <v/>
      </c>
    </row>
    <row r="766" ht="15.75" customHeight="1" s="64">
      <c r="A766" s="51">
        <f>Contactos!M254</f>
        <v/>
      </c>
    </row>
    <row r="767" ht="15.75" customHeight="1" s="64">
      <c r="A767" s="51">
        <f>Contactos!M255</f>
        <v/>
      </c>
    </row>
    <row r="768" ht="15.75" customHeight="1" s="64">
      <c r="A768" s="51">
        <f>Contactos!M256</f>
        <v/>
      </c>
    </row>
    <row r="769" ht="15.75" customHeight="1" s="64">
      <c r="A769" s="51">
        <f>Contactos!M257</f>
        <v/>
      </c>
    </row>
    <row r="770" ht="15.75" customHeight="1" s="64">
      <c r="A770" s="51">
        <f>Contactos!M258</f>
        <v/>
      </c>
    </row>
    <row r="771" ht="15.75" customHeight="1" s="64">
      <c r="A771" s="51">
        <f>Contactos!M259</f>
        <v/>
      </c>
    </row>
    <row r="772" ht="15.75" customHeight="1" s="64">
      <c r="A772" s="51">
        <f>Contactos!M260</f>
        <v/>
      </c>
    </row>
    <row r="773" ht="15.75" customHeight="1" s="64">
      <c r="A773" s="51">
        <f>Contactos!M261</f>
        <v/>
      </c>
    </row>
    <row r="774" ht="15.75" customHeight="1" s="64">
      <c r="A774" s="51">
        <f>Contactos!M262</f>
        <v/>
      </c>
    </row>
    <row r="775" ht="15.75" customHeight="1" s="64">
      <c r="A775" s="51">
        <f>Contactos!M263</f>
        <v/>
      </c>
    </row>
    <row r="776" ht="15.75" customHeight="1" s="64">
      <c r="A776" s="51">
        <f>Contactos!M264</f>
        <v/>
      </c>
    </row>
    <row r="777" ht="15.75" customHeight="1" s="64">
      <c r="A777" s="51">
        <f>Contactos!M265</f>
        <v/>
      </c>
    </row>
    <row r="778" ht="15.75" customHeight="1" s="64">
      <c r="A778" s="51">
        <f>Contactos!M266</f>
        <v/>
      </c>
    </row>
    <row r="779" ht="15.75" customHeight="1" s="64">
      <c r="A779" s="51">
        <f>Contactos!M267</f>
        <v/>
      </c>
    </row>
    <row r="780" ht="15.75" customHeight="1" s="64">
      <c r="A780" s="51">
        <f>Contactos!M268</f>
        <v/>
      </c>
    </row>
    <row r="781" ht="15.75" customHeight="1" s="64">
      <c r="A781" s="51">
        <f>Contactos!M269</f>
        <v/>
      </c>
    </row>
    <row r="782" ht="15.75" customHeight="1" s="64">
      <c r="A782" s="51">
        <f>Contactos!M270</f>
        <v/>
      </c>
    </row>
    <row r="783" ht="15.75" customHeight="1" s="64">
      <c r="A783" s="51">
        <f>Contactos!M271</f>
        <v/>
      </c>
    </row>
    <row r="784" ht="15.75" customHeight="1" s="64">
      <c r="A784" s="51">
        <f>Contactos!M272</f>
        <v/>
      </c>
    </row>
    <row r="785" ht="15.75" customHeight="1" s="64">
      <c r="A785" s="51">
        <f>Contactos!M273</f>
        <v/>
      </c>
    </row>
    <row r="786" ht="15.75" customHeight="1" s="64">
      <c r="A786" s="51">
        <f>Contactos!M274</f>
        <v/>
      </c>
    </row>
    <row r="787" ht="15.75" customHeight="1" s="64">
      <c r="A787" s="51">
        <f>Contactos!M275</f>
        <v/>
      </c>
    </row>
    <row r="788" ht="15.75" customHeight="1" s="64">
      <c r="A788" s="51">
        <f>Contactos!M276</f>
        <v/>
      </c>
    </row>
    <row r="789" ht="15.75" customHeight="1" s="64">
      <c r="A789" s="51">
        <f>Contactos!M277</f>
        <v/>
      </c>
    </row>
    <row r="790" ht="15.75" customHeight="1" s="64">
      <c r="A790" s="51">
        <f>Contactos!M278</f>
        <v/>
      </c>
    </row>
    <row r="791" ht="15.75" customHeight="1" s="64">
      <c r="A791" s="51">
        <f>Contactos!M279</f>
        <v/>
      </c>
    </row>
    <row r="792" ht="15.75" customHeight="1" s="64">
      <c r="A792" s="51">
        <f>Contactos!M280</f>
        <v/>
      </c>
    </row>
    <row r="793" ht="15.75" customHeight="1" s="64">
      <c r="A793" s="51">
        <f>Contactos!M281</f>
        <v/>
      </c>
    </row>
    <row r="794" ht="15.75" customHeight="1" s="64">
      <c r="A794" s="51">
        <f>Contactos!M282</f>
        <v/>
      </c>
    </row>
    <row r="795" ht="15.75" customHeight="1" s="64">
      <c r="A795" s="51">
        <f>Contactos!M283</f>
        <v/>
      </c>
    </row>
    <row r="796" ht="15.75" customHeight="1" s="64">
      <c r="A796" s="51">
        <f>Contactos!M284</f>
        <v/>
      </c>
    </row>
    <row r="797" ht="15.75" customHeight="1" s="64">
      <c r="A797" s="51">
        <f>Contactos!M285</f>
        <v/>
      </c>
    </row>
    <row r="798" ht="15.75" customHeight="1" s="64">
      <c r="A798" s="51">
        <f>Contactos!M286</f>
        <v/>
      </c>
    </row>
    <row r="799" ht="15.75" customHeight="1" s="64">
      <c r="A799" s="51">
        <f>Contactos!M287</f>
        <v/>
      </c>
    </row>
    <row r="800" ht="15.75" customHeight="1" s="64">
      <c r="A800" s="51">
        <f>Contactos!M288</f>
        <v/>
      </c>
    </row>
    <row r="801" ht="15.75" customHeight="1" s="64">
      <c r="A801" s="51">
        <f>Contactos!M289</f>
        <v/>
      </c>
    </row>
    <row r="802" ht="15.75" customHeight="1" s="64">
      <c r="A802" s="51">
        <f>Contactos!M290</f>
        <v/>
      </c>
    </row>
    <row r="803" ht="15.75" customHeight="1" s="64">
      <c r="A803" s="51">
        <f>Contactos!M291</f>
        <v/>
      </c>
    </row>
    <row r="804" ht="15.75" customHeight="1" s="64">
      <c r="A804" s="51">
        <f>Contactos!M292</f>
        <v/>
      </c>
    </row>
    <row r="805" ht="15.75" customHeight="1" s="64">
      <c r="A805" s="51">
        <f>Contactos!M293</f>
        <v/>
      </c>
    </row>
    <row r="806" ht="15.75" customHeight="1" s="64">
      <c r="A806" s="51">
        <f>Contactos!M294</f>
        <v/>
      </c>
    </row>
    <row r="807" ht="15.75" customHeight="1" s="64">
      <c r="A807" s="51">
        <f>Contactos!M295</f>
        <v/>
      </c>
    </row>
    <row r="808" ht="15.75" customHeight="1" s="64">
      <c r="A808" s="51">
        <f>Contactos!M296</f>
        <v/>
      </c>
    </row>
    <row r="809" ht="15.75" customHeight="1" s="64">
      <c r="A809" s="51">
        <f>Contactos!M297</f>
        <v/>
      </c>
    </row>
    <row r="810" ht="15.75" customHeight="1" s="64">
      <c r="A810" s="51">
        <f>Contactos!M298</f>
        <v/>
      </c>
    </row>
    <row r="811" ht="15.75" customHeight="1" s="64">
      <c r="A811" s="51">
        <f>Contactos!M299</f>
        <v/>
      </c>
    </row>
    <row r="812" ht="15.75" customHeight="1" s="64">
      <c r="A812" s="51">
        <f>Contactos!M300</f>
        <v/>
      </c>
    </row>
    <row r="813" ht="15.75" customHeight="1" s="64">
      <c r="A813" s="51">
        <f>Contactos!M301</f>
        <v/>
      </c>
    </row>
    <row r="814" ht="15.75" customHeight="1" s="64">
      <c r="A814" s="51">
        <f>Contactos!M302</f>
        <v/>
      </c>
    </row>
    <row r="815" ht="15.75" customHeight="1" s="64">
      <c r="A815" s="51">
        <f>Contactos!M303</f>
        <v/>
      </c>
    </row>
    <row r="816" ht="15.75" customHeight="1" s="64">
      <c r="A816" s="51">
        <f>Contactos!M304</f>
        <v/>
      </c>
    </row>
    <row r="817" ht="15.75" customHeight="1" s="64">
      <c r="A817" s="51">
        <f>Contactos!M305</f>
        <v/>
      </c>
    </row>
    <row r="818" ht="15.75" customHeight="1" s="64">
      <c r="A818" s="51">
        <f>Contactos!M306</f>
        <v/>
      </c>
    </row>
    <row r="819" ht="15.75" customHeight="1" s="64">
      <c r="A819" s="51">
        <f>Contactos!M307</f>
        <v/>
      </c>
    </row>
    <row r="820" ht="15.75" customHeight="1" s="64">
      <c r="A820" s="51">
        <f>Contactos!M308</f>
        <v/>
      </c>
    </row>
    <row r="821" ht="15.75" customHeight="1" s="64">
      <c r="A821" s="51">
        <f>Contactos!M309</f>
        <v/>
      </c>
    </row>
    <row r="822" ht="15.75" customHeight="1" s="64">
      <c r="A822" s="51">
        <f>Contactos!M310</f>
        <v/>
      </c>
    </row>
    <row r="823" ht="15.75" customHeight="1" s="64">
      <c r="A823" s="51">
        <f>Contactos!M311</f>
        <v/>
      </c>
    </row>
    <row r="824" ht="15.75" customHeight="1" s="64">
      <c r="A824" s="51">
        <f>Contactos!M312</f>
        <v/>
      </c>
    </row>
    <row r="825" ht="15.75" customHeight="1" s="64">
      <c r="A825" s="51">
        <f>Contactos!M313</f>
        <v/>
      </c>
    </row>
    <row r="826" ht="15.75" customHeight="1" s="64">
      <c r="A826" s="51">
        <f>Contactos!M314</f>
        <v/>
      </c>
    </row>
    <row r="827" ht="15.75" customHeight="1" s="64">
      <c r="A827" s="51">
        <f>Contactos!M315</f>
        <v/>
      </c>
    </row>
    <row r="828" ht="15.75" customHeight="1" s="64">
      <c r="A828" s="51">
        <f>Contactos!M316</f>
        <v/>
      </c>
    </row>
    <row r="829" ht="15.75" customHeight="1" s="64">
      <c r="A829" s="51">
        <f>Contactos!M317</f>
        <v/>
      </c>
    </row>
    <row r="830" ht="15.75" customHeight="1" s="64">
      <c r="A830" s="51">
        <f>Contactos!M318</f>
        <v/>
      </c>
    </row>
    <row r="831" ht="15.75" customHeight="1" s="64">
      <c r="A831" s="51">
        <f>Contactos!M319</f>
        <v/>
      </c>
    </row>
    <row r="832" ht="15.75" customHeight="1" s="64">
      <c r="A832" s="51">
        <f>Contactos!M320</f>
        <v/>
      </c>
    </row>
    <row r="833" ht="15.75" customHeight="1" s="64">
      <c r="A833" s="51">
        <f>Contactos!M321</f>
        <v/>
      </c>
    </row>
    <row r="834" ht="15.75" customHeight="1" s="64">
      <c r="A834" s="51">
        <f>Contactos!M322</f>
        <v/>
      </c>
    </row>
    <row r="835" ht="15.75" customHeight="1" s="64">
      <c r="A835" s="51">
        <f>Contactos!M323</f>
        <v/>
      </c>
    </row>
    <row r="836" ht="15.75" customHeight="1" s="64">
      <c r="A836" s="51">
        <f>Contactos!M324</f>
        <v/>
      </c>
    </row>
    <row r="837" ht="15.75" customHeight="1" s="64">
      <c r="A837" s="51">
        <f>Contactos!M325</f>
        <v/>
      </c>
    </row>
    <row r="838" ht="15.75" customHeight="1" s="64">
      <c r="A838" s="51">
        <f>Contactos!M326</f>
        <v/>
      </c>
    </row>
    <row r="839" ht="15.75" customHeight="1" s="64">
      <c r="A839" s="51">
        <f>Contactos!M327</f>
        <v/>
      </c>
    </row>
    <row r="840" ht="15.75" customHeight="1" s="64">
      <c r="A840" s="51">
        <f>Contactos!M328</f>
        <v/>
      </c>
    </row>
    <row r="841" ht="15.75" customHeight="1" s="64">
      <c r="A841" s="51">
        <f>Contactos!M329</f>
        <v/>
      </c>
    </row>
    <row r="842" ht="15.75" customHeight="1" s="64">
      <c r="A842" s="51">
        <f>Contactos!M330</f>
        <v/>
      </c>
    </row>
    <row r="843" ht="15.75" customHeight="1" s="64">
      <c r="A843" s="51">
        <f>Contactos!M331</f>
        <v/>
      </c>
    </row>
    <row r="844" ht="15.75" customHeight="1" s="64">
      <c r="A844" s="51">
        <f>Contactos!M332</f>
        <v/>
      </c>
    </row>
    <row r="845" ht="15.75" customHeight="1" s="64">
      <c r="A845" s="51">
        <f>Contactos!M333</f>
        <v/>
      </c>
    </row>
    <row r="846" ht="15.75" customHeight="1" s="64">
      <c r="A846" s="51">
        <f>Contactos!M334</f>
        <v/>
      </c>
    </row>
    <row r="847" ht="15.75" customHeight="1" s="64">
      <c r="A847" s="51">
        <f>Contactos!M335</f>
        <v/>
      </c>
    </row>
    <row r="848" ht="15.75" customHeight="1" s="64">
      <c r="A848" s="51">
        <f>Contactos!M336</f>
        <v/>
      </c>
    </row>
    <row r="849" ht="15.75" customHeight="1" s="64">
      <c r="A849" s="51">
        <f>Contactos!M337</f>
        <v/>
      </c>
    </row>
    <row r="850" ht="15.75" customHeight="1" s="64">
      <c r="A850" s="51">
        <f>Contactos!M338</f>
        <v/>
      </c>
    </row>
    <row r="851" ht="15.75" customHeight="1" s="64">
      <c r="A851" s="51">
        <f>Contactos!M339</f>
        <v/>
      </c>
    </row>
    <row r="852" ht="15.75" customHeight="1" s="64">
      <c r="A852" s="51">
        <f>Contactos!M340</f>
        <v/>
      </c>
    </row>
    <row r="853" ht="15.75" customHeight="1" s="64">
      <c r="A853" s="51">
        <f>Contactos!M341</f>
        <v/>
      </c>
    </row>
    <row r="854" ht="15.75" customHeight="1" s="64">
      <c r="A854" s="51">
        <f>Contactos!M342</f>
        <v/>
      </c>
    </row>
    <row r="855" ht="15.75" customHeight="1" s="64">
      <c r="A855" s="51">
        <f>Contactos!M343</f>
        <v/>
      </c>
    </row>
    <row r="856" ht="15.75" customHeight="1" s="64">
      <c r="A856" s="51">
        <f>Contactos!M344</f>
        <v/>
      </c>
    </row>
    <row r="857" ht="15.75" customHeight="1" s="64">
      <c r="A857" s="51">
        <f>Contactos!M345</f>
        <v/>
      </c>
    </row>
    <row r="858" ht="15.75" customHeight="1" s="64">
      <c r="A858" s="51">
        <f>Contactos!M346</f>
        <v/>
      </c>
    </row>
    <row r="859" ht="15.75" customHeight="1" s="64">
      <c r="A859" s="51">
        <f>Contactos!M347</f>
        <v/>
      </c>
    </row>
    <row r="860" ht="15.75" customHeight="1" s="64">
      <c r="A860" s="51">
        <f>Contactos!M348</f>
        <v/>
      </c>
    </row>
    <row r="861" ht="15.75" customHeight="1" s="64">
      <c r="A861" s="51">
        <f>Contactos!M349</f>
        <v/>
      </c>
    </row>
    <row r="862" ht="15.75" customHeight="1" s="64">
      <c r="A862" s="51">
        <f>Contactos!M350</f>
        <v/>
      </c>
    </row>
    <row r="863" ht="15.75" customHeight="1" s="64">
      <c r="A863" s="51">
        <f>Contactos!M351</f>
        <v/>
      </c>
    </row>
    <row r="864" ht="15.75" customHeight="1" s="64">
      <c r="A864" s="51">
        <f>Contactos!M352</f>
        <v/>
      </c>
    </row>
    <row r="865" ht="15.75" customHeight="1" s="64">
      <c r="A865" s="51">
        <f>Contactos!M353</f>
        <v/>
      </c>
    </row>
    <row r="866" ht="15.75" customHeight="1" s="64">
      <c r="A866" s="51">
        <f>Contactos!M354</f>
        <v/>
      </c>
    </row>
    <row r="867" ht="15.75" customHeight="1" s="64">
      <c r="A867" s="51">
        <f>Contactos!M355</f>
        <v/>
      </c>
    </row>
    <row r="868" ht="15.75" customHeight="1" s="64">
      <c r="A868" s="51">
        <f>Contactos!M356</f>
        <v/>
      </c>
    </row>
    <row r="869" ht="15.75" customHeight="1" s="64">
      <c r="A869" s="51">
        <f>Contactos!M357</f>
        <v/>
      </c>
    </row>
    <row r="870" ht="15.75" customHeight="1" s="64">
      <c r="A870" s="51">
        <f>Contactos!M358</f>
        <v/>
      </c>
    </row>
    <row r="871" ht="15.75" customHeight="1" s="64">
      <c r="A871" s="51">
        <f>Contactos!M359</f>
        <v/>
      </c>
    </row>
    <row r="872" ht="15.75" customHeight="1" s="64">
      <c r="A872" s="51">
        <f>Contactos!M360</f>
        <v/>
      </c>
    </row>
    <row r="873" ht="15.75" customHeight="1" s="64">
      <c r="A873" s="51">
        <f>Contactos!M361</f>
        <v/>
      </c>
    </row>
    <row r="874" ht="15.75" customHeight="1" s="64">
      <c r="A874" s="51">
        <f>Contactos!M362</f>
        <v/>
      </c>
    </row>
    <row r="875" ht="15.75" customHeight="1" s="64">
      <c r="A875" s="51">
        <f>Contactos!M363</f>
        <v/>
      </c>
    </row>
    <row r="876" ht="15.75" customHeight="1" s="64">
      <c r="A876" s="51">
        <f>Contactos!M364</f>
        <v/>
      </c>
    </row>
    <row r="877" ht="15.75" customHeight="1" s="64">
      <c r="A877" s="51">
        <f>Contactos!M365</f>
        <v/>
      </c>
    </row>
    <row r="878" ht="15.75" customHeight="1" s="64">
      <c r="A878" s="51">
        <f>Contactos!M366</f>
        <v/>
      </c>
    </row>
    <row r="879" ht="15.75" customHeight="1" s="64">
      <c r="A879" s="51">
        <f>Contactos!M367</f>
        <v/>
      </c>
    </row>
    <row r="880" ht="15.75" customHeight="1" s="64">
      <c r="A880" s="51">
        <f>Contactos!M368</f>
        <v/>
      </c>
    </row>
    <row r="881" ht="15.75" customHeight="1" s="64">
      <c r="A881" s="51">
        <f>Contactos!M369</f>
        <v/>
      </c>
    </row>
    <row r="882" ht="15.75" customHeight="1" s="64">
      <c r="A882" s="51">
        <f>Contactos!M370</f>
        <v/>
      </c>
    </row>
    <row r="883" ht="15.75" customHeight="1" s="64">
      <c r="A883" s="51">
        <f>Contactos!M371</f>
        <v/>
      </c>
    </row>
    <row r="884" ht="15.75" customHeight="1" s="64">
      <c r="A884" s="51">
        <f>Contactos!M372</f>
        <v/>
      </c>
    </row>
    <row r="885" ht="15.75" customHeight="1" s="64">
      <c r="A885" s="51">
        <f>Contactos!M373</f>
        <v/>
      </c>
    </row>
    <row r="886" ht="15.75" customHeight="1" s="64">
      <c r="A886" s="51">
        <f>Contactos!M374</f>
        <v/>
      </c>
    </row>
    <row r="887" ht="15.75" customHeight="1" s="64">
      <c r="A887" s="51">
        <f>Contactos!M375</f>
        <v/>
      </c>
    </row>
    <row r="888" ht="15.75" customHeight="1" s="64">
      <c r="A888" s="51">
        <f>Contactos!M376</f>
        <v/>
      </c>
    </row>
    <row r="889" ht="15.75" customHeight="1" s="64">
      <c r="A889" s="51">
        <f>Contactos!M377</f>
        <v/>
      </c>
    </row>
    <row r="890" ht="15.75" customHeight="1" s="64">
      <c r="A890" s="51">
        <f>Contactos!M378</f>
        <v/>
      </c>
    </row>
    <row r="891" ht="15.75" customHeight="1" s="64">
      <c r="A891" s="51">
        <f>Contactos!M379</f>
        <v/>
      </c>
    </row>
    <row r="892" ht="15.75" customHeight="1" s="64">
      <c r="A892" s="51">
        <f>Contactos!M380</f>
        <v/>
      </c>
    </row>
    <row r="893" ht="15.75" customHeight="1" s="64">
      <c r="A893" s="51">
        <f>Contactos!M381</f>
        <v/>
      </c>
    </row>
    <row r="894" ht="15.75" customHeight="1" s="64">
      <c r="A894" s="51">
        <f>Contactos!M382</f>
        <v/>
      </c>
    </row>
    <row r="895" ht="15.75" customHeight="1" s="64">
      <c r="A895" s="51">
        <f>Contactos!M383</f>
        <v/>
      </c>
    </row>
    <row r="896" ht="15.75" customHeight="1" s="64">
      <c r="A896" s="51">
        <f>Contactos!M384</f>
        <v/>
      </c>
    </row>
    <row r="897" ht="15.75" customHeight="1" s="64">
      <c r="A897" s="51">
        <f>Contactos!M385</f>
        <v/>
      </c>
    </row>
    <row r="898" ht="15.75" customHeight="1" s="64">
      <c r="A898" s="51">
        <f>Contactos!M386</f>
        <v/>
      </c>
    </row>
    <row r="899" ht="15.75" customHeight="1" s="64">
      <c r="A899" s="51">
        <f>Contactos!M387</f>
        <v/>
      </c>
    </row>
    <row r="900" ht="15.75" customHeight="1" s="64">
      <c r="A900" s="51">
        <f>Contactos!M388</f>
        <v/>
      </c>
    </row>
    <row r="901" ht="15.75" customHeight="1" s="64">
      <c r="A901" s="51">
        <f>Contactos!M389</f>
        <v/>
      </c>
    </row>
    <row r="902" ht="15.75" customHeight="1" s="64">
      <c r="A902" s="51">
        <f>Contactos!M390</f>
        <v/>
      </c>
    </row>
    <row r="903" ht="15.75" customHeight="1" s="64">
      <c r="A903" s="51">
        <f>Contactos!M391</f>
        <v/>
      </c>
    </row>
    <row r="904" ht="15.75" customHeight="1" s="64">
      <c r="A904" s="51">
        <f>Contactos!M392</f>
        <v/>
      </c>
    </row>
    <row r="905" ht="15.75" customHeight="1" s="64">
      <c r="A905" s="51">
        <f>Contactos!M393</f>
        <v/>
      </c>
    </row>
    <row r="906" ht="15.75" customHeight="1" s="64">
      <c r="A906" s="51">
        <f>Contactos!M394</f>
        <v/>
      </c>
    </row>
    <row r="907" ht="15.75" customHeight="1" s="64">
      <c r="A907" s="51">
        <f>Contactos!M395</f>
        <v/>
      </c>
    </row>
    <row r="908" ht="15.75" customHeight="1" s="64">
      <c r="A908" s="51">
        <f>Contactos!M396</f>
        <v/>
      </c>
    </row>
    <row r="909" ht="15.75" customHeight="1" s="64">
      <c r="A909" s="51">
        <f>Contactos!M397</f>
        <v/>
      </c>
    </row>
    <row r="910" ht="15.75" customHeight="1" s="64">
      <c r="A910" s="51">
        <f>Contactos!M398</f>
        <v/>
      </c>
    </row>
    <row r="911" ht="15.75" customHeight="1" s="64">
      <c r="A911" s="51">
        <f>Contactos!M399</f>
        <v/>
      </c>
    </row>
    <row r="912" ht="15.75" customHeight="1" s="64">
      <c r="A912" s="51">
        <f>Contactos!M400</f>
        <v/>
      </c>
    </row>
    <row r="913" ht="15.75" customHeight="1" s="64">
      <c r="A913" s="51">
        <f>Contactos!M401</f>
        <v/>
      </c>
    </row>
    <row r="914" ht="15.75" customHeight="1" s="64">
      <c r="A914" s="51">
        <f>Contactos!M402</f>
        <v/>
      </c>
    </row>
    <row r="915" ht="15.75" customHeight="1" s="64">
      <c r="A915" s="51">
        <f>Contactos!M403</f>
        <v/>
      </c>
    </row>
    <row r="916" ht="15.75" customHeight="1" s="64">
      <c r="A916" s="51">
        <f>Contactos!M404</f>
        <v/>
      </c>
    </row>
    <row r="917" ht="15.75" customHeight="1" s="64">
      <c r="A917" s="51">
        <f>Contactos!M405</f>
        <v/>
      </c>
    </row>
    <row r="918" ht="15.75" customHeight="1" s="64">
      <c r="A918" s="51">
        <f>Contactos!M406</f>
        <v/>
      </c>
    </row>
    <row r="919" ht="15.75" customHeight="1" s="64">
      <c r="A919" s="51">
        <f>Contactos!M407</f>
        <v/>
      </c>
    </row>
    <row r="920" ht="15.75" customHeight="1" s="64">
      <c r="A920" s="51">
        <f>Contactos!M408</f>
        <v/>
      </c>
    </row>
    <row r="921" ht="15.75" customHeight="1" s="64">
      <c r="A921" s="51">
        <f>Contactos!M409</f>
        <v/>
      </c>
    </row>
    <row r="922" ht="15.75" customHeight="1" s="64">
      <c r="A922" s="51">
        <f>Contactos!M410</f>
        <v/>
      </c>
    </row>
    <row r="923" ht="15.75" customHeight="1" s="64">
      <c r="A923" s="51">
        <f>Contactos!M411</f>
        <v/>
      </c>
    </row>
    <row r="924" ht="15.75" customHeight="1" s="64">
      <c r="A924" s="51">
        <f>Contactos!M412</f>
        <v/>
      </c>
    </row>
    <row r="925" ht="15.75" customHeight="1" s="64">
      <c r="A925" s="51">
        <f>Contactos!M413</f>
        <v/>
      </c>
    </row>
    <row r="926" ht="15.75" customHeight="1" s="64">
      <c r="A926" s="51">
        <f>Contactos!M414</f>
        <v/>
      </c>
    </row>
    <row r="927" ht="15.75" customHeight="1" s="64">
      <c r="A927" s="51">
        <f>Contactos!M415</f>
        <v/>
      </c>
    </row>
    <row r="928" ht="15.75" customHeight="1" s="64">
      <c r="A928" s="51">
        <f>Contactos!M416</f>
        <v/>
      </c>
    </row>
    <row r="929" ht="15.75" customHeight="1" s="64">
      <c r="A929" s="51">
        <f>Contactos!M417</f>
        <v/>
      </c>
    </row>
    <row r="930" ht="15.75" customHeight="1" s="64">
      <c r="A930" s="51">
        <f>Contactos!M418</f>
        <v/>
      </c>
    </row>
    <row r="931" ht="15.75" customHeight="1" s="64">
      <c r="A931" s="51">
        <f>Contactos!M419</f>
        <v/>
      </c>
    </row>
    <row r="932" ht="15.75" customHeight="1" s="64">
      <c r="A932" s="51">
        <f>Contactos!M420</f>
        <v/>
      </c>
    </row>
    <row r="933" ht="15.75" customHeight="1" s="64">
      <c r="A933" s="51">
        <f>Contactos!M421</f>
        <v/>
      </c>
    </row>
    <row r="934" ht="15.75" customHeight="1" s="64">
      <c r="A934" s="51">
        <f>Contactos!M422</f>
        <v/>
      </c>
    </row>
    <row r="935" ht="15.75" customHeight="1" s="64">
      <c r="A935" s="51">
        <f>Contactos!M423</f>
        <v/>
      </c>
    </row>
    <row r="936" ht="15.75" customHeight="1" s="64">
      <c r="A936" s="51">
        <f>Contactos!M424</f>
        <v/>
      </c>
    </row>
    <row r="937" ht="15.75" customHeight="1" s="64">
      <c r="A937" s="51">
        <f>Contactos!M425</f>
        <v/>
      </c>
    </row>
    <row r="938" ht="15.75" customHeight="1" s="64">
      <c r="A938" s="51">
        <f>Contactos!M426</f>
        <v/>
      </c>
    </row>
    <row r="939" ht="15.75" customHeight="1" s="64">
      <c r="A939" s="51">
        <f>Contactos!M427</f>
        <v/>
      </c>
    </row>
    <row r="940" ht="15.75" customHeight="1" s="64">
      <c r="A940" s="51">
        <f>Contactos!M428</f>
        <v/>
      </c>
    </row>
    <row r="941" ht="15.75" customHeight="1" s="64">
      <c r="A941" s="51">
        <f>Contactos!M429</f>
        <v/>
      </c>
    </row>
    <row r="942" ht="15.75" customHeight="1" s="64">
      <c r="A942" s="51">
        <f>Contactos!M430</f>
        <v/>
      </c>
    </row>
    <row r="943" ht="15.75" customHeight="1" s="64">
      <c r="A943" s="51">
        <f>Contactos!M431</f>
        <v/>
      </c>
    </row>
    <row r="944" ht="15.75" customHeight="1" s="64">
      <c r="A944" s="51">
        <f>Contactos!M432</f>
        <v/>
      </c>
    </row>
    <row r="945" ht="15.75" customHeight="1" s="64">
      <c r="A945" s="51">
        <f>Contactos!M433</f>
        <v/>
      </c>
    </row>
    <row r="946" ht="15.75" customHeight="1" s="64">
      <c r="A946" s="51">
        <f>Contactos!M434</f>
        <v/>
      </c>
    </row>
    <row r="947" ht="15.75" customHeight="1" s="64">
      <c r="A947" s="51">
        <f>Contactos!M435</f>
        <v/>
      </c>
    </row>
    <row r="948" ht="15.75" customHeight="1" s="64">
      <c r="A948" s="51">
        <f>Contactos!M436</f>
        <v/>
      </c>
    </row>
    <row r="949" ht="15.75" customHeight="1" s="64">
      <c r="A949" s="51">
        <f>Contactos!M437</f>
        <v/>
      </c>
    </row>
    <row r="950" ht="15.75" customHeight="1" s="64">
      <c r="A950" s="51">
        <f>Contactos!M438</f>
        <v/>
      </c>
    </row>
    <row r="951" ht="15.75" customHeight="1" s="64">
      <c r="A951" s="51">
        <f>Contactos!M439</f>
        <v/>
      </c>
    </row>
    <row r="952" ht="15.75" customHeight="1" s="64">
      <c r="A952" s="51">
        <f>Contactos!M440</f>
        <v/>
      </c>
    </row>
    <row r="953" ht="15.75" customHeight="1" s="64">
      <c r="A953" s="51">
        <f>Contactos!M441</f>
        <v/>
      </c>
    </row>
    <row r="954" ht="15.75" customHeight="1" s="64">
      <c r="A954" s="51">
        <f>Contactos!M442</f>
        <v/>
      </c>
    </row>
    <row r="955" ht="15.75" customHeight="1" s="64">
      <c r="A955" s="51">
        <f>Contactos!M443</f>
        <v/>
      </c>
    </row>
    <row r="956" ht="15.75" customHeight="1" s="64">
      <c r="A956" s="51">
        <f>Contactos!M444</f>
        <v/>
      </c>
    </row>
    <row r="957" ht="15.75" customHeight="1" s="64">
      <c r="A957" s="51">
        <f>Contactos!M445</f>
        <v/>
      </c>
    </row>
    <row r="958" ht="15.75" customHeight="1" s="64">
      <c r="A958" s="51">
        <f>Contactos!M446</f>
        <v/>
      </c>
    </row>
    <row r="959" ht="15.75" customHeight="1" s="64">
      <c r="A959" s="51">
        <f>Contactos!M447</f>
        <v/>
      </c>
    </row>
    <row r="960" ht="15.75" customHeight="1" s="64">
      <c r="A960" s="51">
        <f>Contactos!M448</f>
        <v/>
      </c>
    </row>
    <row r="961" ht="15.75" customHeight="1" s="64">
      <c r="A961" s="51">
        <f>Contactos!M449</f>
        <v/>
      </c>
    </row>
    <row r="962" ht="15.75" customHeight="1" s="64">
      <c r="A962" s="51">
        <f>Contactos!M450</f>
        <v/>
      </c>
    </row>
    <row r="963" ht="15.75" customHeight="1" s="64">
      <c r="A963" s="51">
        <f>Contactos!M451</f>
        <v/>
      </c>
    </row>
    <row r="964" ht="15.75" customHeight="1" s="64">
      <c r="A964" s="51">
        <f>Contactos!M452</f>
        <v/>
      </c>
    </row>
    <row r="965" ht="15.75" customHeight="1" s="64">
      <c r="A965" s="51">
        <f>Contactos!M453</f>
        <v/>
      </c>
    </row>
    <row r="966" ht="15.75" customHeight="1" s="64">
      <c r="A966" s="51">
        <f>Contactos!M454</f>
        <v/>
      </c>
    </row>
    <row r="967" ht="15.75" customHeight="1" s="64">
      <c r="A967" s="51">
        <f>Contactos!M455</f>
        <v/>
      </c>
    </row>
    <row r="968" ht="15.75" customHeight="1" s="64">
      <c r="A968" s="51">
        <f>Contactos!M456</f>
        <v/>
      </c>
    </row>
    <row r="969" ht="15.75" customHeight="1" s="64">
      <c r="A969" s="51">
        <f>Contactos!M457</f>
        <v/>
      </c>
    </row>
    <row r="970" ht="15.75" customHeight="1" s="64">
      <c r="A970" s="51">
        <f>Contactos!M458</f>
        <v/>
      </c>
    </row>
    <row r="971" ht="15.75" customHeight="1" s="64">
      <c r="A971" s="51">
        <f>Contactos!M459</f>
        <v/>
      </c>
    </row>
    <row r="972" ht="15.75" customHeight="1" s="64">
      <c r="A972" s="51">
        <f>Contactos!M460</f>
        <v/>
      </c>
    </row>
    <row r="973" ht="15.75" customHeight="1" s="64">
      <c r="A973" s="51">
        <f>Contactos!M461</f>
        <v/>
      </c>
    </row>
    <row r="974" ht="15.75" customHeight="1" s="64">
      <c r="A974" s="51">
        <f>Contactos!M462</f>
        <v/>
      </c>
    </row>
    <row r="975" ht="15.75" customHeight="1" s="64">
      <c r="A975" s="51">
        <f>Contactos!M463</f>
        <v/>
      </c>
    </row>
    <row r="976" ht="15.75" customHeight="1" s="64">
      <c r="A976" s="51">
        <f>Contactos!M464</f>
        <v/>
      </c>
    </row>
    <row r="977" ht="15.75" customHeight="1" s="64">
      <c r="A977" s="51">
        <f>Contactos!M465</f>
        <v/>
      </c>
    </row>
    <row r="978" ht="15.75" customHeight="1" s="64">
      <c r="A978" s="51">
        <f>Contactos!M466</f>
        <v/>
      </c>
    </row>
    <row r="979" ht="15.75" customHeight="1" s="64">
      <c r="A979" s="51">
        <f>Contactos!M467</f>
        <v/>
      </c>
    </row>
    <row r="980" ht="15.75" customHeight="1" s="64">
      <c r="A980" s="51">
        <f>Contactos!M468</f>
        <v/>
      </c>
    </row>
    <row r="981" ht="15.75" customHeight="1" s="64">
      <c r="A981" s="51">
        <f>Contactos!M469</f>
        <v/>
      </c>
    </row>
    <row r="982" ht="15.75" customHeight="1" s="64">
      <c r="A982" s="51">
        <f>Contactos!M470</f>
        <v/>
      </c>
    </row>
    <row r="983" ht="15.75" customHeight="1" s="64">
      <c r="A983" s="51">
        <f>Contactos!M471</f>
        <v/>
      </c>
    </row>
    <row r="984" ht="15.75" customHeight="1" s="64">
      <c r="A984" s="51">
        <f>Contactos!M472</f>
        <v/>
      </c>
    </row>
    <row r="985" ht="15.75" customHeight="1" s="64">
      <c r="A985" s="51">
        <f>Contactos!M473</f>
        <v/>
      </c>
    </row>
    <row r="986" ht="15.75" customHeight="1" s="64">
      <c r="A986" s="51">
        <f>Contactos!M474</f>
        <v/>
      </c>
    </row>
    <row r="987" ht="15.75" customHeight="1" s="64">
      <c r="A987" s="51">
        <f>Contactos!M475</f>
        <v/>
      </c>
    </row>
    <row r="988" ht="15.75" customHeight="1" s="64">
      <c r="A988" s="51">
        <f>Contactos!M476</f>
        <v/>
      </c>
    </row>
    <row r="989" ht="15.75" customHeight="1" s="64">
      <c r="A989" s="51">
        <f>Contactos!M477</f>
        <v/>
      </c>
    </row>
    <row r="990" ht="15.75" customHeight="1" s="64">
      <c r="A990" s="51">
        <f>Contactos!M478</f>
        <v/>
      </c>
    </row>
    <row r="991" ht="15.75" customHeight="1" s="64">
      <c r="A991" s="51">
        <f>Contactos!M479</f>
        <v/>
      </c>
    </row>
    <row r="992" ht="15.75" customHeight="1" s="64">
      <c r="A992" s="51">
        <f>Contactos!M480</f>
        <v/>
      </c>
    </row>
    <row r="993" ht="15.75" customHeight="1" s="64">
      <c r="A993" s="51">
        <f>Contactos!M481</f>
        <v/>
      </c>
    </row>
    <row r="994" ht="15.75" customHeight="1" s="64">
      <c r="A994" s="51">
        <f>Contactos!M482</f>
        <v/>
      </c>
    </row>
    <row r="995" ht="15.75" customHeight="1" s="64">
      <c r="A995" s="51">
        <f>Contactos!M483</f>
        <v/>
      </c>
    </row>
    <row r="996" ht="15.75" customHeight="1" s="64">
      <c r="A996" s="51">
        <f>Contactos!M484</f>
        <v/>
      </c>
    </row>
    <row r="997" ht="15.75" customHeight="1" s="64">
      <c r="A997" s="51">
        <f>Contactos!M485</f>
        <v/>
      </c>
    </row>
    <row r="998" ht="15.75" customHeight="1" s="64">
      <c r="A998" s="51">
        <f>Contactos!M486</f>
        <v/>
      </c>
    </row>
    <row r="999" ht="15.75" customHeight="1" s="64">
      <c r="A999" s="51">
        <f>Contactos!M487</f>
        <v/>
      </c>
    </row>
    <row r="1000" ht="15.75" customHeight="1" s="64">
      <c r="A1000" s="51">
        <f>Contactos!M488</f>
        <v/>
      </c>
    </row>
    <row r="1001" ht="15.75" customHeight="1" s="64">
      <c r="A1001" s="51">
        <f>Contactos!M489</f>
        <v/>
      </c>
    </row>
    <row r="1002" ht="15.75" customHeight="1" s="64">
      <c r="A1002" s="51">
        <f>Contactos!M490</f>
        <v/>
      </c>
    </row>
    <row r="1003" ht="15.75" customHeight="1" s="64">
      <c r="A1003" s="51">
        <f>Contactos!M491</f>
        <v/>
      </c>
    </row>
    <row r="1004" ht="15.75" customHeight="1" s="64">
      <c r="A1004" s="51">
        <f>Contactos!M492</f>
        <v/>
      </c>
    </row>
    <row r="1005" ht="15.75" customHeight="1" s="64">
      <c r="A1005" s="51">
        <f>Contactos!M493</f>
        <v/>
      </c>
    </row>
    <row r="1006" ht="15.75" customHeight="1" s="64">
      <c r="A1006" s="51">
        <f>Contactos!M494</f>
        <v/>
      </c>
    </row>
    <row r="1007" ht="15.75" customHeight="1" s="64">
      <c r="A1007" s="51">
        <f>Contactos!M495</f>
        <v/>
      </c>
    </row>
    <row r="1008" ht="15.75" customHeight="1" s="64">
      <c r="A1008" s="51">
        <f>Contactos!M496</f>
        <v/>
      </c>
    </row>
    <row r="1009" ht="15.75" customHeight="1" s="64">
      <c r="A1009" s="51">
        <f>Contactos!M497</f>
        <v/>
      </c>
    </row>
    <row r="1010" ht="15.75" customHeight="1" s="64">
      <c r="A1010" s="51">
        <f>Contactos!M498</f>
        <v/>
      </c>
    </row>
    <row r="1011" ht="15.75" customHeight="1" s="64">
      <c r="A1011" s="51">
        <f>Contactos!M499</f>
        <v/>
      </c>
    </row>
    <row r="1012" ht="15.75" customHeight="1" s="64">
      <c r="A1012" s="51" t="n"/>
    </row>
    <row r="1013" ht="15.75" customHeight="1" s="64">
      <c r="A1013" s="50" t="inlineStr">
        <is>
          <t>-- 3) DIRECCIONES ADICIONALES (cli_direcciones) ----------------------</t>
        </is>
      </c>
    </row>
    <row r="1014" ht="15.75" customHeight="1" s="64">
      <c r="A1014" s="51">
        <f>#REF!</f>
        <v/>
      </c>
    </row>
    <row r="1015" ht="15.75" customHeight="1" s="64">
      <c r="A1015" s="51">
        <f>#REF!</f>
        <v/>
      </c>
    </row>
    <row r="1016" ht="15.75" customHeight="1" s="64">
      <c r="A1016" s="51">
        <f>#REF!</f>
        <v/>
      </c>
    </row>
    <row r="1017" ht="15.75" customHeight="1" s="64">
      <c r="A1017" s="51">
        <f>#REF!</f>
        <v/>
      </c>
    </row>
    <row r="1018" ht="15.75" customHeight="1" s="64">
      <c r="A1018" s="51">
        <f>#REF!</f>
        <v/>
      </c>
    </row>
    <row r="1019" ht="15.75" customHeight="1" s="64">
      <c r="A1019" s="51">
        <f>#REF!</f>
        <v/>
      </c>
    </row>
    <row r="1020" ht="15.75" customHeight="1" s="64">
      <c r="A1020" s="51">
        <f>#REF!</f>
        <v/>
      </c>
    </row>
    <row r="1021" ht="15.75" customHeight="1" s="64">
      <c r="A1021" s="51">
        <f>Direcciones!M5</f>
        <v/>
      </c>
    </row>
    <row r="1022" ht="15.75" customHeight="1" s="64">
      <c r="A1022" s="51">
        <f>Direcciones!M6</f>
        <v/>
      </c>
    </row>
    <row r="1023" ht="15.75" customHeight="1" s="64">
      <c r="A1023" s="51">
        <f>Direcciones!M7</f>
        <v/>
      </c>
    </row>
    <row r="1024" ht="15.75" customHeight="1" s="64">
      <c r="A1024" s="51">
        <f>Direcciones!M8</f>
        <v/>
      </c>
    </row>
    <row r="1025" ht="15.75" customHeight="1" s="64">
      <c r="A1025" s="51">
        <f>Direcciones!M9</f>
        <v/>
      </c>
    </row>
    <row r="1026" ht="15.75" customHeight="1" s="64">
      <c r="A1026" s="51">
        <f>Direcciones!M10</f>
        <v/>
      </c>
    </row>
    <row r="1027" ht="15.75" customHeight="1" s="64">
      <c r="A1027" s="51">
        <f>Direcciones!M11</f>
        <v/>
      </c>
    </row>
    <row r="1028" ht="15.75" customHeight="1" s="64">
      <c r="A1028" s="51">
        <f>Direcciones!M12</f>
        <v/>
      </c>
    </row>
    <row r="1029" ht="15.75" customHeight="1" s="64">
      <c r="A1029" s="51">
        <f>Direcciones!M13</f>
        <v/>
      </c>
    </row>
    <row r="1030" ht="15.75" customHeight="1" s="64">
      <c r="A1030" s="51">
        <f>Direcciones!M14</f>
        <v/>
      </c>
    </row>
    <row r="1031" ht="15.75" customHeight="1" s="64">
      <c r="A1031" s="51">
        <f>Direcciones!M15</f>
        <v/>
      </c>
    </row>
    <row r="1032" ht="15.75" customHeight="1" s="64">
      <c r="A1032" s="51">
        <f>Direcciones!M16</f>
        <v/>
      </c>
    </row>
    <row r="1033" ht="15.75" customHeight="1" s="64">
      <c r="A1033" s="51">
        <f>Direcciones!M17</f>
        <v/>
      </c>
    </row>
    <row r="1034" ht="15.75" customHeight="1" s="64">
      <c r="A1034" s="51">
        <f>Direcciones!M18</f>
        <v/>
      </c>
    </row>
    <row r="1035" ht="15.75" customHeight="1" s="64">
      <c r="A1035" s="51">
        <f>Direcciones!M19</f>
        <v/>
      </c>
    </row>
    <row r="1036" ht="15.75" customHeight="1" s="64">
      <c r="A1036" s="51">
        <f>Direcciones!M20</f>
        <v/>
      </c>
    </row>
    <row r="1037" ht="15.75" customHeight="1" s="64">
      <c r="A1037" s="51">
        <f>Direcciones!M21</f>
        <v/>
      </c>
    </row>
    <row r="1038" ht="15.75" customHeight="1" s="64">
      <c r="A1038" s="51">
        <f>Direcciones!M22</f>
        <v/>
      </c>
    </row>
    <row r="1039" ht="15.75" customHeight="1" s="64">
      <c r="A1039" s="51">
        <f>Direcciones!M23</f>
        <v/>
      </c>
    </row>
    <row r="1040" ht="15.75" customHeight="1" s="64">
      <c r="A1040" s="51">
        <f>Direcciones!M24</f>
        <v/>
      </c>
    </row>
    <row r="1041" ht="15.75" customHeight="1" s="64">
      <c r="A1041" s="51">
        <f>Direcciones!M25</f>
        <v/>
      </c>
    </row>
    <row r="1042" ht="15.75" customHeight="1" s="64">
      <c r="A1042" s="51">
        <f>Direcciones!M26</f>
        <v/>
      </c>
    </row>
    <row r="1043" ht="15.75" customHeight="1" s="64">
      <c r="A1043" s="51">
        <f>Direcciones!M27</f>
        <v/>
      </c>
    </row>
    <row r="1044" ht="15.75" customHeight="1" s="64">
      <c r="A1044" s="51">
        <f>Direcciones!M28</f>
        <v/>
      </c>
    </row>
    <row r="1045" ht="15.75" customHeight="1" s="64">
      <c r="A1045" s="51">
        <f>Direcciones!M29</f>
        <v/>
      </c>
    </row>
    <row r="1046" ht="15.75" customHeight="1" s="64">
      <c r="A1046" s="51">
        <f>Direcciones!M30</f>
        <v/>
      </c>
    </row>
    <row r="1047" ht="15.75" customHeight="1" s="64">
      <c r="A1047" s="51">
        <f>Direcciones!M31</f>
        <v/>
      </c>
    </row>
    <row r="1048" ht="15.75" customHeight="1" s="64">
      <c r="A1048" s="51">
        <f>Direcciones!M32</f>
        <v/>
      </c>
    </row>
    <row r="1049" ht="15.75" customHeight="1" s="64">
      <c r="A1049" s="51">
        <f>Direcciones!M33</f>
        <v/>
      </c>
    </row>
    <row r="1050" ht="15.75" customHeight="1" s="64">
      <c r="A1050" s="51">
        <f>Direcciones!M34</f>
        <v/>
      </c>
    </row>
    <row r="1051" ht="15.75" customHeight="1" s="64">
      <c r="A1051" s="51">
        <f>Direcciones!M35</f>
        <v/>
      </c>
    </row>
    <row r="1052" ht="15.75" customHeight="1" s="64">
      <c r="A1052" s="51">
        <f>Direcciones!M36</f>
        <v/>
      </c>
    </row>
    <row r="1053" ht="15.75" customHeight="1" s="64">
      <c r="A1053" s="51">
        <f>Direcciones!M37</f>
        <v/>
      </c>
    </row>
    <row r="1054" ht="15.75" customHeight="1" s="64">
      <c r="A1054" s="51">
        <f>Direcciones!M38</f>
        <v/>
      </c>
    </row>
    <row r="1055" ht="15.75" customHeight="1" s="64">
      <c r="A1055" s="51">
        <f>Direcciones!M39</f>
        <v/>
      </c>
    </row>
    <row r="1056" ht="15.75" customHeight="1" s="64">
      <c r="A1056" s="51">
        <f>Direcciones!M40</f>
        <v/>
      </c>
    </row>
    <row r="1057" ht="15.75" customHeight="1" s="64">
      <c r="A1057" s="51">
        <f>Direcciones!M41</f>
        <v/>
      </c>
    </row>
    <row r="1058" ht="15.75" customHeight="1" s="64">
      <c r="A1058" s="51">
        <f>Direcciones!M42</f>
        <v/>
      </c>
    </row>
    <row r="1059" ht="15.75" customHeight="1" s="64">
      <c r="A1059" s="51">
        <f>Direcciones!M43</f>
        <v/>
      </c>
    </row>
    <row r="1060" ht="15.75" customHeight="1" s="64">
      <c r="A1060" s="51">
        <f>Direcciones!M44</f>
        <v/>
      </c>
    </row>
    <row r="1061" ht="15.75" customHeight="1" s="64">
      <c r="A1061" s="51">
        <f>Direcciones!M45</f>
        <v/>
      </c>
    </row>
    <row r="1062" ht="15.75" customHeight="1" s="64">
      <c r="A1062" s="51">
        <f>Direcciones!M46</f>
        <v/>
      </c>
    </row>
    <row r="1063" ht="15.75" customHeight="1" s="64">
      <c r="A1063" s="51">
        <f>Direcciones!M47</f>
        <v/>
      </c>
    </row>
    <row r="1064" ht="15.75" customHeight="1" s="64">
      <c r="A1064" s="51">
        <f>Direcciones!M48</f>
        <v/>
      </c>
    </row>
    <row r="1065" ht="15.75" customHeight="1" s="64">
      <c r="A1065" s="51">
        <f>Direcciones!M49</f>
        <v/>
      </c>
    </row>
    <row r="1066" ht="15.75" customHeight="1" s="64">
      <c r="A1066" s="51">
        <f>Direcciones!M50</f>
        <v/>
      </c>
    </row>
    <row r="1067" ht="15.75" customHeight="1" s="64">
      <c r="A1067" s="51">
        <f>Direcciones!M51</f>
        <v/>
      </c>
    </row>
    <row r="1068" ht="15.75" customHeight="1" s="64">
      <c r="A1068" s="51">
        <f>Direcciones!M52</f>
        <v/>
      </c>
    </row>
    <row r="1069" ht="15.75" customHeight="1" s="64">
      <c r="A1069" s="51">
        <f>Direcciones!M53</f>
        <v/>
      </c>
    </row>
    <row r="1070" ht="15.75" customHeight="1" s="64">
      <c r="A1070" s="51">
        <f>Direcciones!M54</f>
        <v/>
      </c>
    </row>
    <row r="1071" ht="15.75" customHeight="1" s="64">
      <c r="A1071" s="51">
        <f>Direcciones!M55</f>
        <v/>
      </c>
    </row>
    <row r="1072" ht="15.75" customHeight="1" s="64">
      <c r="A1072" s="51">
        <f>Direcciones!M56</f>
        <v/>
      </c>
    </row>
    <row r="1073" ht="15.75" customHeight="1" s="64">
      <c r="A1073" s="51">
        <f>Direcciones!M57</f>
        <v/>
      </c>
    </row>
    <row r="1074" ht="15.75" customHeight="1" s="64">
      <c r="A1074" s="51">
        <f>Direcciones!M58</f>
        <v/>
      </c>
    </row>
    <row r="1075" ht="15.75" customHeight="1" s="64">
      <c r="A1075" s="51">
        <f>Direcciones!M59</f>
        <v/>
      </c>
    </row>
    <row r="1076" ht="15.75" customHeight="1" s="64">
      <c r="A1076" s="51">
        <f>Direcciones!M60</f>
        <v/>
      </c>
    </row>
    <row r="1077" ht="15.75" customHeight="1" s="64">
      <c r="A1077" s="51">
        <f>Direcciones!M61</f>
        <v/>
      </c>
    </row>
    <row r="1078" ht="15.75" customHeight="1" s="64">
      <c r="A1078" s="51">
        <f>Direcciones!M62</f>
        <v/>
      </c>
    </row>
    <row r="1079" ht="15.75" customHeight="1" s="64">
      <c r="A1079" s="51">
        <f>Direcciones!M63</f>
        <v/>
      </c>
    </row>
    <row r="1080" ht="15.75" customHeight="1" s="64">
      <c r="A1080" s="51">
        <f>Direcciones!M64</f>
        <v/>
      </c>
    </row>
    <row r="1081" ht="15.75" customHeight="1" s="64">
      <c r="A1081" s="51">
        <f>Direcciones!M65</f>
        <v/>
      </c>
    </row>
    <row r="1082" ht="15.75" customHeight="1" s="64">
      <c r="A1082" s="51">
        <f>Direcciones!M66</f>
        <v/>
      </c>
    </row>
    <row r="1083" ht="15.75" customHeight="1" s="64">
      <c r="A1083" s="51">
        <f>Direcciones!M67</f>
        <v/>
      </c>
    </row>
    <row r="1084" ht="15.75" customHeight="1" s="64">
      <c r="A1084" s="51">
        <f>Direcciones!M68</f>
        <v/>
      </c>
    </row>
    <row r="1085" ht="15.75" customHeight="1" s="64">
      <c r="A1085" s="51">
        <f>Direcciones!M69</f>
        <v/>
      </c>
    </row>
    <row r="1086" ht="15.75" customHeight="1" s="64">
      <c r="A1086" s="51">
        <f>Direcciones!M70</f>
        <v/>
      </c>
    </row>
    <row r="1087" ht="15.75" customHeight="1" s="64">
      <c r="A1087" s="51">
        <f>Direcciones!M71</f>
        <v/>
      </c>
    </row>
    <row r="1088" ht="15.75" customHeight="1" s="64">
      <c r="A1088" s="51">
        <f>Direcciones!M72</f>
        <v/>
      </c>
    </row>
    <row r="1089" ht="15.75" customHeight="1" s="64">
      <c r="A1089" s="51">
        <f>Direcciones!M73</f>
        <v/>
      </c>
    </row>
    <row r="1090" ht="15.75" customHeight="1" s="64">
      <c r="A1090" s="51">
        <f>Direcciones!M74</f>
        <v/>
      </c>
    </row>
    <row r="1091" ht="15.75" customHeight="1" s="64">
      <c r="A1091" s="51">
        <f>Direcciones!M75</f>
        <v/>
      </c>
    </row>
    <row r="1092" ht="15.75" customHeight="1" s="64">
      <c r="A1092" s="51">
        <f>Direcciones!M76</f>
        <v/>
      </c>
    </row>
    <row r="1093" ht="15.75" customHeight="1" s="64">
      <c r="A1093" s="51">
        <f>Direcciones!M77</f>
        <v/>
      </c>
    </row>
    <row r="1094" ht="15.75" customHeight="1" s="64">
      <c r="A1094" s="51">
        <f>Direcciones!M78</f>
        <v/>
      </c>
    </row>
    <row r="1095" ht="15.75" customHeight="1" s="64">
      <c r="A1095" s="51">
        <f>Direcciones!M79</f>
        <v/>
      </c>
    </row>
    <row r="1096" ht="15.75" customHeight="1" s="64">
      <c r="A1096" s="51">
        <f>Direcciones!M80</f>
        <v/>
      </c>
    </row>
    <row r="1097" ht="15.75" customHeight="1" s="64">
      <c r="A1097" s="51">
        <f>Direcciones!M81</f>
        <v/>
      </c>
    </row>
    <row r="1098" ht="15.75" customHeight="1" s="64">
      <c r="A1098" s="51">
        <f>Direcciones!M82</f>
        <v/>
      </c>
    </row>
    <row r="1099" ht="15.75" customHeight="1" s="64">
      <c r="A1099" s="51">
        <f>Direcciones!M83</f>
        <v/>
      </c>
    </row>
    <row r="1100" ht="15.75" customHeight="1" s="64">
      <c r="A1100" s="51">
        <f>Direcciones!M84</f>
        <v/>
      </c>
    </row>
    <row r="1101" ht="15.75" customHeight="1" s="64">
      <c r="A1101" s="51">
        <f>Direcciones!M85</f>
        <v/>
      </c>
    </row>
    <row r="1102" ht="15.75" customHeight="1" s="64">
      <c r="A1102" s="51">
        <f>Direcciones!M86</f>
        <v/>
      </c>
    </row>
    <row r="1103" ht="15.75" customHeight="1" s="64">
      <c r="A1103" s="51">
        <f>Direcciones!M87</f>
        <v/>
      </c>
    </row>
    <row r="1104" ht="15.75" customHeight="1" s="64">
      <c r="A1104" s="51">
        <f>Direcciones!M88</f>
        <v/>
      </c>
    </row>
    <row r="1105" ht="15.75" customHeight="1" s="64">
      <c r="A1105" s="51">
        <f>Direcciones!M89</f>
        <v/>
      </c>
    </row>
    <row r="1106" ht="15.75" customHeight="1" s="64">
      <c r="A1106" s="51">
        <f>Direcciones!M90</f>
        <v/>
      </c>
    </row>
    <row r="1107" ht="15.75" customHeight="1" s="64">
      <c r="A1107" s="51">
        <f>Direcciones!M91</f>
        <v/>
      </c>
    </row>
    <row r="1108" ht="15.75" customHeight="1" s="64">
      <c r="A1108" s="51">
        <f>Direcciones!M92</f>
        <v/>
      </c>
    </row>
    <row r="1109" ht="15.75" customHeight="1" s="64">
      <c r="A1109" s="51">
        <f>Direcciones!M93</f>
        <v/>
      </c>
    </row>
    <row r="1110" ht="15.75" customHeight="1" s="64">
      <c r="A1110" s="51">
        <f>Direcciones!M94</f>
        <v/>
      </c>
    </row>
    <row r="1111" ht="15.75" customHeight="1" s="64">
      <c r="A1111" s="51">
        <f>Direcciones!M95</f>
        <v/>
      </c>
    </row>
    <row r="1112" ht="15.75" customHeight="1" s="64">
      <c r="A1112" s="51">
        <f>Direcciones!M96</f>
        <v/>
      </c>
    </row>
    <row r="1113" ht="15.75" customHeight="1" s="64">
      <c r="A1113" s="51">
        <f>Direcciones!M97</f>
        <v/>
      </c>
    </row>
    <row r="1114" ht="15.75" customHeight="1" s="64">
      <c r="A1114" s="51">
        <f>Direcciones!M98</f>
        <v/>
      </c>
    </row>
    <row r="1115" ht="15.75" customHeight="1" s="64">
      <c r="A1115" s="51">
        <f>Direcciones!M99</f>
        <v/>
      </c>
    </row>
    <row r="1116" ht="15.75" customHeight="1" s="64">
      <c r="A1116" s="51">
        <f>Direcciones!M100</f>
        <v/>
      </c>
    </row>
    <row r="1117" ht="15.75" customHeight="1" s="64">
      <c r="A1117" s="51">
        <f>Direcciones!M101</f>
        <v/>
      </c>
    </row>
    <row r="1118" ht="15.75" customHeight="1" s="64">
      <c r="A1118" s="51">
        <f>Direcciones!M102</f>
        <v/>
      </c>
    </row>
    <row r="1119" ht="15.75" customHeight="1" s="64">
      <c r="A1119" s="51">
        <f>Direcciones!M103</f>
        <v/>
      </c>
    </row>
    <row r="1120" ht="15.75" customHeight="1" s="64">
      <c r="A1120" s="51">
        <f>Direcciones!M104</f>
        <v/>
      </c>
    </row>
    <row r="1121" ht="15.75" customHeight="1" s="64">
      <c r="A1121" s="51">
        <f>Direcciones!M105</f>
        <v/>
      </c>
    </row>
    <row r="1122" ht="15.75" customHeight="1" s="64">
      <c r="A1122" s="51">
        <f>Direcciones!M106</f>
        <v/>
      </c>
    </row>
    <row r="1123" ht="15.75" customHeight="1" s="64">
      <c r="A1123" s="51">
        <f>Direcciones!M107</f>
        <v/>
      </c>
    </row>
    <row r="1124" ht="15.75" customHeight="1" s="64">
      <c r="A1124" s="51">
        <f>Direcciones!M108</f>
        <v/>
      </c>
    </row>
    <row r="1125" ht="15.75" customHeight="1" s="64">
      <c r="A1125" s="51">
        <f>Direcciones!M109</f>
        <v/>
      </c>
    </row>
    <row r="1126" ht="15.75" customHeight="1" s="64">
      <c r="A1126" s="51">
        <f>Direcciones!M110</f>
        <v/>
      </c>
    </row>
    <row r="1127" ht="15.75" customHeight="1" s="64">
      <c r="A1127" s="51">
        <f>Direcciones!M111</f>
        <v/>
      </c>
    </row>
    <row r="1128" ht="15.75" customHeight="1" s="64">
      <c r="A1128" s="51">
        <f>Direcciones!M112</f>
        <v/>
      </c>
    </row>
    <row r="1129" ht="15.75" customHeight="1" s="64">
      <c r="A1129" s="51">
        <f>Direcciones!M113</f>
        <v/>
      </c>
    </row>
    <row r="1130" ht="15.75" customHeight="1" s="64">
      <c r="A1130" s="51">
        <f>Direcciones!M114</f>
        <v/>
      </c>
    </row>
    <row r="1131" ht="15.75" customHeight="1" s="64">
      <c r="A1131" s="51">
        <f>Direcciones!M115</f>
        <v/>
      </c>
    </row>
    <row r="1132" ht="15.75" customHeight="1" s="64">
      <c r="A1132" s="51">
        <f>Direcciones!M116</f>
        <v/>
      </c>
    </row>
    <row r="1133" ht="15.75" customHeight="1" s="64">
      <c r="A1133" s="51">
        <f>Direcciones!M117</f>
        <v/>
      </c>
    </row>
    <row r="1134" ht="15.75" customHeight="1" s="64">
      <c r="A1134" s="51">
        <f>Direcciones!M118</f>
        <v/>
      </c>
    </row>
    <row r="1135" ht="15.75" customHeight="1" s="64">
      <c r="A1135" s="51">
        <f>Direcciones!M119</f>
        <v/>
      </c>
    </row>
    <row r="1136" ht="15.75" customHeight="1" s="64">
      <c r="A1136" s="51">
        <f>Direcciones!M120</f>
        <v/>
      </c>
    </row>
    <row r="1137" ht="15.75" customHeight="1" s="64">
      <c r="A1137" s="51">
        <f>Direcciones!M121</f>
        <v/>
      </c>
    </row>
    <row r="1138" ht="15.75" customHeight="1" s="64">
      <c r="A1138" s="51">
        <f>Direcciones!M122</f>
        <v/>
      </c>
    </row>
    <row r="1139" ht="15.75" customHeight="1" s="64">
      <c r="A1139" s="51">
        <f>Direcciones!M123</f>
        <v/>
      </c>
    </row>
    <row r="1140" ht="15.75" customHeight="1" s="64">
      <c r="A1140" s="51">
        <f>Direcciones!M124</f>
        <v/>
      </c>
    </row>
    <row r="1141" ht="15.75" customHeight="1" s="64">
      <c r="A1141" s="51">
        <f>Direcciones!M125</f>
        <v/>
      </c>
    </row>
    <row r="1142" ht="15.75" customHeight="1" s="64">
      <c r="A1142" s="51">
        <f>Direcciones!M126</f>
        <v/>
      </c>
    </row>
    <row r="1143" ht="15.75" customHeight="1" s="64">
      <c r="A1143" s="51">
        <f>Direcciones!M127</f>
        <v/>
      </c>
    </row>
    <row r="1144" ht="15.75" customHeight="1" s="64">
      <c r="A1144" s="51">
        <f>Direcciones!M128</f>
        <v/>
      </c>
    </row>
    <row r="1145" ht="15.75" customHeight="1" s="64">
      <c r="A1145" s="51">
        <f>Direcciones!M129</f>
        <v/>
      </c>
    </row>
    <row r="1146" ht="15.75" customHeight="1" s="64">
      <c r="A1146" s="51">
        <f>Direcciones!M130</f>
        <v/>
      </c>
    </row>
    <row r="1147" ht="15.75" customHeight="1" s="64">
      <c r="A1147" s="51">
        <f>Direcciones!M131</f>
        <v/>
      </c>
    </row>
    <row r="1148" ht="15.75" customHeight="1" s="64">
      <c r="A1148" s="51">
        <f>Direcciones!M132</f>
        <v/>
      </c>
    </row>
    <row r="1149" ht="15.75" customHeight="1" s="64">
      <c r="A1149" s="51">
        <f>Direcciones!M133</f>
        <v/>
      </c>
    </row>
    <row r="1150" ht="15.75" customHeight="1" s="64">
      <c r="A1150" s="51">
        <f>Direcciones!M134</f>
        <v/>
      </c>
    </row>
    <row r="1151" ht="15.75" customHeight="1" s="64">
      <c r="A1151" s="51">
        <f>Direcciones!M135</f>
        <v/>
      </c>
    </row>
    <row r="1152" ht="15.75" customHeight="1" s="64">
      <c r="A1152" s="51">
        <f>Direcciones!M136</f>
        <v/>
      </c>
    </row>
    <row r="1153" ht="15.75" customHeight="1" s="64">
      <c r="A1153" s="51">
        <f>Direcciones!M137</f>
        <v/>
      </c>
    </row>
    <row r="1154" ht="15.75" customHeight="1" s="64">
      <c r="A1154" s="51">
        <f>Direcciones!M138</f>
        <v/>
      </c>
    </row>
    <row r="1155" ht="15.75" customHeight="1" s="64">
      <c r="A1155" s="51">
        <f>Direcciones!M139</f>
        <v/>
      </c>
    </row>
    <row r="1156" ht="15.75" customHeight="1" s="64">
      <c r="A1156" s="51">
        <f>Direcciones!M140</f>
        <v/>
      </c>
    </row>
    <row r="1157" ht="15.75" customHeight="1" s="64">
      <c r="A1157" s="51">
        <f>Direcciones!M141</f>
        <v/>
      </c>
    </row>
    <row r="1158" ht="15.75" customHeight="1" s="64">
      <c r="A1158" s="51">
        <f>Direcciones!M142</f>
        <v/>
      </c>
    </row>
    <row r="1159" ht="15.75" customHeight="1" s="64">
      <c r="A1159" s="51">
        <f>Direcciones!M143</f>
        <v/>
      </c>
    </row>
    <row r="1160" ht="15.75" customHeight="1" s="64">
      <c r="A1160" s="51">
        <f>Direcciones!M144</f>
        <v/>
      </c>
    </row>
    <row r="1161" ht="15.75" customHeight="1" s="64">
      <c r="A1161" s="51">
        <f>Direcciones!M145</f>
        <v/>
      </c>
    </row>
    <row r="1162" ht="15.75" customHeight="1" s="64">
      <c r="A1162" s="51">
        <f>Direcciones!M146</f>
        <v/>
      </c>
    </row>
    <row r="1163" ht="15.75" customHeight="1" s="64">
      <c r="A1163" s="51">
        <f>Direcciones!M147</f>
        <v/>
      </c>
    </row>
    <row r="1164" ht="15.75" customHeight="1" s="64">
      <c r="A1164" s="51">
        <f>Direcciones!M148</f>
        <v/>
      </c>
    </row>
    <row r="1165" ht="15.75" customHeight="1" s="64">
      <c r="A1165" s="51">
        <f>Direcciones!M149</f>
        <v/>
      </c>
    </row>
    <row r="1166" ht="15.75" customHeight="1" s="64">
      <c r="A1166" s="51">
        <f>Direcciones!M150</f>
        <v/>
      </c>
    </row>
    <row r="1167" ht="15.75" customHeight="1" s="64">
      <c r="A1167" s="51">
        <f>Direcciones!M151</f>
        <v/>
      </c>
    </row>
    <row r="1168" ht="15.75" customHeight="1" s="64">
      <c r="A1168" s="51">
        <f>Direcciones!M152</f>
        <v/>
      </c>
    </row>
    <row r="1169" ht="15.75" customHeight="1" s="64">
      <c r="A1169" s="51">
        <f>Direcciones!M153</f>
        <v/>
      </c>
    </row>
    <row r="1170" ht="15.75" customHeight="1" s="64">
      <c r="A1170" s="51">
        <f>Direcciones!M154</f>
        <v/>
      </c>
    </row>
    <row r="1171" ht="15.75" customHeight="1" s="64">
      <c r="A1171" s="51">
        <f>Direcciones!M155</f>
        <v/>
      </c>
    </row>
    <row r="1172" ht="15.75" customHeight="1" s="64">
      <c r="A1172" s="51">
        <f>Direcciones!M156</f>
        <v/>
      </c>
    </row>
    <row r="1173" ht="15.75" customHeight="1" s="64">
      <c r="A1173" s="51">
        <f>Direcciones!M157</f>
        <v/>
      </c>
    </row>
    <row r="1174" ht="15.75" customHeight="1" s="64">
      <c r="A1174" s="51">
        <f>Direcciones!M158</f>
        <v/>
      </c>
    </row>
    <row r="1175" ht="15.75" customHeight="1" s="64">
      <c r="A1175" s="51">
        <f>Direcciones!M159</f>
        <v/>
      </c>
    </row>
    <row r="1176" ht="15.75" customHeight="1" s="64">
      <c r="A1176" s="51">
        <f>Direcciones!M160</f>
        <v/>
      </c>
    </row>
    <row r="1177" ht="15.75" customHeight="1" s="64">
      <c r="A1177" s="51">
        <f>Direcciones!M161</f>
        <v/>
      </c>
    </row>
    <row r="1178" ht="15.75" customHeight="1" s="64">
      <c r="A1178" s="51">
        <f>Direcciones!M162</f>
        <v/>
      </c>
    </row>
    <row r="1179" ht="15.75" customHeight="1" s="64">
      <c r="A1179" s="51">
        <f>Direcciones!M163</f>
        <v/>
      </c>
    </row>
    <row r="1180" ht="15.75" customHeight="1" s="64">
      <c r="A1180" s="51">
        <f>Direcciones!M164</f>
        <v/>
      </c>
    </row>
    <row r="1181" ht="15.75" customHeight="1" s="64">
      <c r="A1181" s="51">
        <f>Direcciones!M165</f>
        <v/>
      </c>
    </row>
    <row r="1182" ht="15.75" customHeight="1" s="64">
      <c r="A1182" s="51">
        <f>Direcciones!M166</f>
        <v/>
      </c>
    </row>
    <row r="1183" ht="15.75" customHeight="1" s="64">
      <c r="A1183" s="51">
        <f>Direcciones!M167</f>
        <v/>
      </c>
    </row>
    <row r="1184" ht="15.75" customHeight="1" s="64">
      <c r="A1184" s="51">
        <f>Direcciones!M168</f>
        <v/>
      </c>
    </row>
    <row r="1185" ht="15.75" customHeight="1" s="64">
      <c r="A1185" s="51">
        <f>Direcciones!M169</f>
        <v/>
      </c>
    </row>
    <row r="1186" ht="15.75" customHeight="1" s="64">
      <c r="A1186" s="51">
        <f>Direcciones!M170</f>
        <v/>
      </c>
    </row>
    <row r="1187" ht="15.75" customHeight="1" s="64">
      <c r="A1187" s="51">
        <f>Direcciones!M171</f>
        <v/>
      </c>
    </row>
    <row r="1188" ht="15.75" customHeight="1" s="64">
      <c r="A1188" s="51">
        <f>Direcciones!M172</f>
        <v/>
      </c>
    </row>
    <row r="1189" ht="15.75" customHeight="1" s="64">
      <c r="A1189" s="51">
        <f>Direcciones!M173</f>
        <v/>
      </c>
    </row>
    <row r="1190" ht="15.75" customHeight="1" s="64">
      <c r="A1190" s="51">
        <f>Direcciones!M174</f>
        <v/>
      </c>
    </row>
    <row r="1191" ht="15.75" customHeight="1" s="64">
      <c r="A1191" s="51">
        <f>Direcciones!M175</f>
        <v/>
      </c>
    </row>
    <row r="1192" ht="15.75" customHeight="1" s="64">
      <c r="A1192" s="51">
        <f>Direcciones!M176</f>
        <v/>
      </c>
    </row>
    <row r="1193" ht="15.75" customHeight="1" s="64">
      <c r="A1193" s="51">
        <f>Direcciones!M177</f>
        <v/>
      </c>
    </row>
    <row r="1194" ht="15.75" customHeight="1" s="64">
      <c r="A1194" s="51">
        <f>Direcciones!M178</f>
        <v/>
      </c>
    </row>
    <row r="1195" ht="15.75" customHeight="1" s="64">
      <c r="A1195" s="51">
        <f>Direcciones!M179</f>
        <v/>
      </c>
    </row>
    <row r="1196" ht="15.75" customHeight="1" s="64">
      <c r="A1196" s="51">
        <f>Direcciones!M180</f>
        <v/>
      </c>
    </row>
    <row r="1197" ht="15.75" customHeight="1" s="64">
      <c r="A1197" s="51">
        <f>Direcciones!M181</f>
        <v/>
      </c>
    </row>
    <row r="1198" ht="15.75" customHeight="1" s="64">
      <c r="A1198" s="51">
        <f>Direcciones!M182</f>
        <v/>
      </c>
    </row>
    <row r="1199" ht="15.75" customHeight="1" s="64">
      <c r="A1199" s="51">
        <f>Direcciones!M183</f>
        <v/>
      </c>
    </row>
    <row r="1200" ht="15.75" customHeight="1" s="64">
      <c r="A1200" s="51">
        <f>Direcciones!M184</f>
        <v/>
      </c>
    </row>
    <row r="1201" ht="15.75" customHeight="1" s="64">
      <c r="A1201" s="51">
        <f>Direcciones!M185</f>
        <v/>
      </c>
    </row>
    <row r="1202" ht="15.75" customHeight="1" s="64">
      <c r="A1202" s="51">
        <f>Direcciones!M186</f>
        <v/>
      </c>
    </row>
    <row r="1203" ht="15.75" customHeight="1" s="64">
      <c r="A1203" s="51">
        <f>Direcciones!M187</f>
        <v/>
      </c>
    </row>
    <row r="1204" ht="15.75" customHeight="1" s="64">
      <c r="A1204" s="51">
        <f>Direcciones!M188</f>
        <v/>
      </c>
    </row>
    <row r="1205" ht="15.75" customHeight="1" s="64">
      <c r="A1205" s="51">
        <f>Direcciones!M189</f>
        <v/>
      </c>
    </row>
    <row r="1206" ht="15.75" customHeight="1" s="64">
      <c r="A1206" s="51">
        <f>Direcciones!M190</f>
        <v/>
      </c>
    </row>
    <row r="1207" ht="15.75" customHeight="1" s="64">
      <c r="A1207" s="51">
        <f>Direcciones!M191</f>
        <v/>
      </c>
    </row>
    <row r="1208" ht="15.75" customHeight="1" s="64">
      <c r="A1208" s="51">
        <f>Direcciones!M192</f>
        <v/>
      </c>
    </row>
    <row r="1209" ht="15.75" customHeight="1" s="64">
      <c r="A1209" s="51">
        <f>Direcciones!M193</f>
        <v/>
      </c>
    </row>
    <row r="1210" ht="15.75" customHeight="1" s="64">
      <c r="A1210" s="51">
        <f>Direcciones!M194</f>
        <v/>
      </c>
    </row>
    <row r="1211" ht="15.75" customHeight="1" s="64">
      <c r="A1211" s="51">
        <f>Direcciones!M195</f>
        <v/>
      </c>
    </row>
    <row r="1212" ht="15.75" customHeight="1" s="64">
      <c r="A1212" s="51">
        <f>Direcciones!M196</f>
        <v/>
      </c>
    </row>
    <row r="1213" ht="15.75" customHeight="1" s="64">
      <c r="A1213" s="51">
        <f>Direcciones!M197</f>
        <v/>
      </c>
    </row>
    <row r="1214" ht="15.75" customHeight="1" s="64">
      <c r="A1214" s="51">
        <f>Direcciones!M198</f>
        <v/>
      </c>
    </row>
    <row r="1215" ht="15.75" customHeight="1" s="64">
      <c r="A1215" s="51">
        <f>Direcciones!M199</f>
        <v/>
      </c>
    </row>
    <row r="1216" ht="15.75" customHeight="1" s="64">
      <c r="A1216" s="51">
        <f>Direcciones!M200</f>
        <v/>
      </c>
    </row>
    <row r="1217" ht="15.75" customHeight="1" s="64">
      <c r="A1217" s="51">
        <f>Direcciones!M201</f>
        <v/>
      </c>
    </row>
    <row r="1218" ht="15.75" customHeight="1" s="64">
      <c r="A1218" s="51">
        <f>Direcciones!M202</f>
        <v/>
      </c>
    </row>
    <row r="1219" ht="15.75" customHeight="1" s="64">
      <c r="A1219" s="51">
        <f>Direcciones!M203</f>
        <v/>
      </c>
    </row>
    <row r="1220" ht="15.75" customHeight="1" s="64">
      <c r="A1220" s="51">
        <f>Direcciones!M204</f>
        <v/>
      </c>
    </row>
    <row r="1221" ht="15.75" customHeight="1" s="64">
      <c r="A1221" s="51">
        <f>Direcciones!M205</f>
        <v/>
      </c>
    </row>
    <row r="1222" ht="15.75" customHeight="1" s="64">
      <c r="A1222" s="51">
        <f>Direcciones!M206</f>
        <v/>
      </c>
    </row>
    <row r="1223" ht="15.75" customHeight="1" s="64">
      <c r="A1223" s="51">
        <f>Direcciones!M207</f>
        <v/>
      </c>
    </row>
    <row r="1224" ht="15.75" customHeight="1" s="64">
      <c r="A1224" s="51">
        <f>Direcciones!M208</f>
        <v/>
      </c>
    </row>
    <row r="1225" ht="15.75" customHeight="1" s="64">
      <c r="A1225" s="51">
        <f>Direcciones!M209</f>
        <v/>
      </c>
    </row>
    <row r="1226" ht="15.75" customHeight="1" s="64">
      <c r="A1226" s="51">
        <f>Direcciones!M210</f>
        <v/>
      </c>
    </row>
    <row r="1227" ht="15.75" customHeight="1" s="64">
      <c r="A1227" s="51">
        <f>Direcciones!M211</f>
        <v/>
      </c>
    </row>
    <row r="1228" ht="15.75" customHeight="1" s="64">
      <c r="A1228" s="51">
        <f>Direcciones!M212</f>
        <v/>
      </c>
    </row>
    <row r="1229" ht="15.75" customHeight="1" s="64">
      <c r="A1229" s="51">
        <f>Direcciones!M213</f>
        <v/>
      </c>
    </row>
    <row r="1230" ht="15.75" customHeight="1" s="64">
      <c r="A1230" s="51">
        <f>Direcciones!M214</f>
        <v/>
      </c>
    </row>
    <row r="1231" ht="15.75" customHeight="1" s="64">
      <c r="A1231" s="51">
        <f>Direcciones!M215</f>
        <v/>
      </c>
    </row>
    <row r="1232" ht="15.75" customHeight="1" s="64">
      <c r="A1232" s="51">
        <f>Direcciones!M216</f>
        <v/>
      </c>
    </row>
    <row r="1233" ht="15.75" customHeight="1" s="64">
      <c r="A1233" s="51">
        <f>Direcciones!M217</f>
        <v/>
      </c>
    </row>
    <row r="1234" ht="15.75" customHeight="1" s="64">
      <c r="A1234" s="51">
        <f>Direcciones!M218</f>
        <v/>
      </c>
    </row>
    <row r="1235" ht="15.75" customHeight="1" s="64">
      <c r="A1235" s="51">
        <f>Direcciones!M219</f>
        <v/>
      </c>
    </row>
    <row r="1236" ht="15.75" customHeight="1" s="64">
      <c r="A1236" s="51">
        <f>Direcciones!M220</f>
        <v/>
      </c>
    </row>
    <row r="1237" ht="15.75" customHeight="1" s="64">
      <c r="A1237" s="51">
        <f>Direcciones!M221</f>
        <v/>
      </c>
    </row>
    <row r="1238" ht="15.75" customHeight="1" s="64">
      <c r="A1238" s="51">
        <f>Direcciones!M222</f>
        <v/>
      </c>
    </row>
    <row r="1239" ht="15.75" customHeight="1" s="64">
      <c r="A1239" s="51">
        <f>Direcciones!M223</f>
        <v/>
      </c>
    </row>
    <row r="1240" ht="15.75" customHeight="1" s="64">
      <c r="A1240" s="51">
        <f>Direcciones!M224</f>
        <v/>
      </c>
    </row>
    <row r="1241" ht="15.75" customHeight="1" s="64">
      <c r="A1241" s="51">
        <f>Direcciones!M225</f>
        <v/>
      </c>
    </row>
    <row r="1242" ht="15.75" customHeight="1" s="64">
      <c r="A1242" s="51">
        <f>Direcciones!M226</f>
        <v/>
      </c>
    </row>
    <row r="1243" ht="15.75" customHeight="1" s="64">
      <c r="A1243" s="51">
        <f>Direcciones!M227</f>
        <v/>
      </c>
    </row>
    <row r="1244" ht="15.75" customHeight="1" s="64">
      <c r="A1244" s="51">
        <f>Direcciones!M228</f>
        <v/>
      </c>
    </row>
    <row r="1245" ht="15.75" customHeight="1" s="64">
      <c r="A1245" s="51">
        <f>Direcciones!M229</f>
        <v/>
      </c>
    </row>
    <row r="1246" ht="15.75" customHeight="1" s="64">
      <c r="A1246" s="51">
        <f>Direcciones!M230</f>
        <v/>
      </c>
    </row>
    <row r="1247" ht="15.75" customHeight="1" s="64">
      <c r="A1247" s="51">
        <f>Direcciones!M231</f>
        <v/>
      </c>
    </row>
    <row r="1248" ht="15.75" customHeight="1" s="64">
      <c r="A1248" s="51">
        <f>Direcciones!M232</f>
        <v/>
      </c>
    </row>
    <row r="1249" ht="15.75" customHeight="1" s="64">
      <c r="A1249" s="51">
        <f>Direcciones!M233</f>
        <v/>
      </c>
    </row>
    <row r="1250" ht="15.75" customHeight="1" s="64">
      <c r="A1250" s="51">
        <f>Direcciones!M234</f>
        <v/>
      </c>
    </row>
    <row r="1251" ht="15.75" customHeight="1" s="64">
      <c r="A1251" s="51">
        <f>Direcciones!M235</f>
        <v/>
      </c>
    </row>
    <row r="1252" ht="15.75" customHeight="1" s="64">
      <c r="A1252" s="51">
        <f>Direcciones!M236</f>
        <v/>
      </c>
    </row>
    <row r="1253" ht="15.75" customHeight="1" s="64">
      <c r="A1253" s="51">
        <f>Direcciones!M237</f>
        <v/>
      </c>
    </row>
    <row r="1254" ht="15.75" customHeight="1" s="64">
      <c r="A1254" s="51">
        <f>Direcciones!M238</f>
        <v/>
      </c>
    </row>
    <row r="1255" ht="15.75" customHeight="1" s="64">
      <c r="A1255" s="51">
        <f>Direcciones!M239</f>
        <v/>
      </c>
    </row>
    <row r="1256" ht="15.75" customHeight="1" s="64">
      <c r="A1256" s="51">
        <f>Direcciones!M240</f>
        <v/>
      </c>
    </row>
    <row r="1257" ht="15.75" customHeight="1" s="64">
      <c r="A1257" s="51">
        <f>Direcciones!M241</f>
        <v/>
      </c>
    </row>
    <row r="1258" ht="15.75" customHeight="1" s="64">
      <c r="A1258" s="51">
        <f>Direcciones!M242</f>
        <v/>
      </c>
    </row>
    <row r="1259" ht="15.75" customHeight="1" s="64">
      <c r="A1259" s="51">
        <f>Direcciones!M243</f>
        <v/>
      </c>
    </row>
    <row r="1260" ht="15.75" customHeight="1" s="64">
      <c r="A1260" s="51">
        <f>Direcciones!M244</f>
        <v/>
      </c>
    </row>
    <row r="1261" ht="15.75" customHeight="1" s="64">
      <c r="A1261" s="51">
        <f>Direcciones!M245</f>
        <v/>
      </c>
    </row>
    <row r="1262" ht="15.75" customHeight="1" s="64">
      <c r="A1262" s="51">
        <f>Direcciones!M246</f>
        <v/>
      </c>
    </row>
    <row r="1263" ht="15.75" customHeight="1" s="64">
      <c r="A1263" s="51">
        <f>Direcciones!M247</f>
        <v/>
      </c>
    </row>
    <row r="1264" ht="15.75" customHeight="1" s="64">
      <c r="A1264" s="51">
        <f>Direcciones!M248</f>
        <v/>
      </c>
    </row>
    <row r="1265" ht="15.75" customHeight="1" s="64">
      <c r="A1265" s="51">
        <f>Direcciones!M249</f>
        <v/>
      </c>
    </row>
    <row r="1266" ht="15.75" customHeight="1" s="64">
      <c r="A1266" s="51">
        <f>Direcciones!M250</f>
        <v/>
      </c>
    </row>
    <row r="1267" ht="15.75" customHeight="1" s="64">
      <c r="A1267" s="51">
        <f>Direcciones!M251</f>
        <v/>
      </c>
    </row>
    <row r="1268" ht="15.75" customHeight="1" s="64">
      <c r="A1268" s="51">
        <f>Direcciones!M252</f>
        <v/>
      </c>
    </row>
    <row r="1269" ht="15.75" customHeight="1" s="64">
      <c r="A1269" s="51">
        <f>Direcciones!M253</f>
        <v/>
      </c>
    </row>
    <row r="1270" ht="15.75" customHeight="1" s="64">
      <c r="A1270" s="51">
        <f>Direcciones!M254</f>
        <v/>
      </c>
    </row>
    <row r="1271" ht="15.75" customHeight="1" s="64">
      <c r="A1271" s="51">
        <f>Direcciones!M255</f>
        <v/>
      </c>
    </row>
    <row r="1272" ht="15.75" customHeight="1" s="64">
      <c r="A1272" s="51">
        <f>Direcciones!M256</f>
        <v/>
      </c>
    </row>
    <row r="1273" ht="15.75" customHeight="1" s="64">
      <c r="A1273" s="51">
        <f>Direcciones!M257</f>
        <v/>
      </c>
    </row>
    <row r="1274" ht="15.75" customHeight="1" s="64">
      <c r="A1274" s="51">
        <f>Direcciones!M258</f>
        <v/>
      </c>
    </row>
    <row r="1275" ht="15.75" customHeight="1" s="64">
      <c r="A1275" s="51">
        <f>Direcciones!M259</f>
        <v/>
      </c>
    </row>
    <row r="1276" ht="15.75" customHeight="1" s="64">
      <c r="A1276" s="51">
        <f>Direcciones!M260</f>
        <v/>
      </c>
    </row>
    <row r="1277" ht="15.75" customHeight="1" s="64">
      <c r="A1277" s="51">
        <f>Direcciones!M261</f>
        <v/>
      </c>
    </row>
    <row r="1278" ht="15.75" customHeight="1" s="64">
      <c r="A1278" s="51">
        <f>Direcciones!M262</f>
        <v/>
      </c>
    </row>
    <row r="1279" ht="15.75" customHeight="1" s="64">
      <c r="A1279" s="51">
        <f>Direcciones!M263</f>
        <v/>
      </c>
    </row>
    <row r="1280" ht="15.75" customHeight="1" s="64">
      <c r="A1280" s="51">
        <f>Direcciones!M264</f>
        <v/>
      </c>
    </row>
    <row r="1281" ht="15.75" customHeight="1" s="64">
      <c r="A1281" s="51">
        <f>Direcciones!M265</f>
        <v/>
      </c>
    </row>
    <row r="1282" ht="15.75" customHeight="1" s="64">
      <c r="A1282" s="51">
        <f>Direcciones!M266</f>
        <v/>
      </c>
    </row>
    <row r="1283" ht="15.75" customHeight="1" s="64">
      <c r="A1283" s="51">
        <f>Direcciones!M267</f>
        <v/>
      </c>
    </row>
    <row r="1284" ht="15.75" customHeight="1" s="64">
      <c r="A1284" s="51">
        <f>Direcciones!M268</f>
        <v/>
      </c>
    </row>
    <row r="1285" ht="15.75" customHeight="1" s="64">
      <c r="A1285" s="51">
        <f>Direcciones!M269</f>
        <v/>
      </c>
    </row>
    <row r="1286" ht="15.75" customHeight="1" s="64">
      <c r="A1286" s="51">
        <f>Direcciones!M270</f>
        <v/>
      </c>
    </row>
    <row r="1287" ht="15.75" customHeight="1" s="64">
      <c r="A1287" s="51">
        <f>Direcciones!M271</f>
        <v/>
      </c>
    </row>
    <row r="1288" ht="15.75" customHeight="1" s="64">
      <c r="A1288" s="51">
        <f>Direcciones!M272</f>
        <v/>
      </c>
    </row>
    <row r="1289" ht="15.75" customHeight="1" s="64">
      <c r="A1289" s="51">
        <f>Direcciones!M273</f>
        <v/>
      </c>
    </row>
    <row r="1290" ht="15.75" customHeight="1" s="64">
      <c r="A1290" s="51">
        <f>Direcciones!M274</f>
        <v/>
      </c>
    </row>
    <row r="1291" ht="15.75" customHeight="1" s="64">
      <c r="A1291" s="51">
        <f>Direcciones!M275</f>
        <v/>
      </c>
    </row>
    <row r="1292" ht="15.75" customHeight="1" s="64">
      <c r="A1292" s="51">
        <f>Direcciones!M276</f>
        <v/>
      </c>
    </row>
    <row r="1293" ht="15.75" customHeight="1" s="64">
      <c r="A1293" s="51">
        <f>Direcciones!M277</f>
        <v/>
      </c>
    </row>
    <row r="1294" ht="15.75" customHeight="1" s="64">
      <c r="A1294" s="51">
        <f>Direcciones!M278</f>
        <v/>
      </c>
    </row>
    <row r="1295" ht="15.75" customHeight="1" s="64">
      <c r="A1295" s="51">
        <f>Direcciones!M279</f>
        <v/>
      </c>
    </row>
    <row r="1296" ht="15.75" customHeight="1" s="64">
      <c r="A1296" s="51">
        <f>Direcciones!M280</f>
        <v/>
      </c>
    </row>
    <row r="1297" ht="15.75" customHeight="1" s="64">
      <c r="A1297" s="51">
        <f>Direcciones!M281</f>
        <v/>
      </c>
    </row>
    <row r="1298" ht="15.75" customHeight="1" s="64">
      <c r="A1298" s="51">
        <f>Direcciones!M282</f>
        <v/>
      </c>
    </row>
    <row r="1299" ht="15.75" customHeight="1" s="64">
      <c r="A1299" s="51">
        <f>Direcciones!M283</f>
        <v/>
      </c>
    </row>
    <row r="1300" ht="15.75" customHeight="1" s="64">
      <c r="A1300" s="51">
        <f>Direcciones!M284</f>
        <v/>
      </c>
    </row>
    <row r="1301" ht="15.75" customHeight="1" s="64">
      <c r="A1301" s="51">
        <f>Direcciones!M285</f>
        <v/>
      </c>
    </row>
    <row r="1302" ht="15.75" customHeight="1" s="64">
      <c r="A1302" s="51">
        <f>Direcciones!M286</f>
        <v/>
      </c>
    </row>
    <row r="1303" ht="15.75" customHeight="1" s="64">
      <c r="A1303" s="51">
        <f>Direcciones!M287</f>
        <v/>
      </c>
    </row>
    <row r="1304" ht="15.75" customHeight="1" s="64">
      <c r="A1304" s="51">
        <f>Direcciones!M288</f>
        <v/>
      </c>
    </row>
    <row r="1305" ht="15.75" customHeight="1" s="64">
      <c r="A1305" s="51">
        <f>Direcciones!M289</f>
        <v/>
      </c>
    </row>
    <row r="1306" ht="15.75" customHeight="1" s="64">
      <c r="A1306" s="51">
        <f>Direcciones!M290</f>
        <v/>
      </c>
    </row>
    <row r="1307" ht="15.75" customHeight="1" s="64">
      <c r="A1307" s="51">
        <f>Direcciones!M291</f>
        <v/>
      </c>
    </row>
    <row r="1308" ht="15.75" customHeight="1" s="64">
      <c r="A1308" s="51">
        <f>Direcciones!M292</f>
        <v/>
      </c>
    </row>
    <row r="1309" ht="15.75" customHeight="1" s="64">
      <c r="A1309" s="51">
        <f>Direcciones!M293</f>
        <v/>
      </c>
    </row>
    <row r="1310" ht="15.75" customHeight="1" s="64">
      <c r="A1310" s="51">
        <f>Direcciones!M294</f>
        <v/>
      </c>
    </row>
    <row r="1311" ht="15.75" customHeight="1" s="64">
      <c r="A1311" s="51">
        <f>Direcciones!M295</f>
        <v/>
      </c>
    </row>
    <row r="1312" ht="15.75" customHeight="1" s="64">
      <c r="A1312" s="51">
        <f>Direcciones!M296</f>
        <v/>
      </c>
    </row>
    <row r="1313" ht="15.75" customHeight="1" s="64">
      <c r="A1313" s="51">
        <f>Direcciones!M297</f>
        <v/>
      </c>
    </row>
    <row r="1314" ht="15.75" customHeight="1" s="64">
      <c r="A1314" s="51">
        <f>Direcciones!M298</f>
        <v/>
      </c>
    </row>
    <row r="1315" ht="15.75" customHeight="1" s="64">
      <c r="A1315" s="51">
        <f>Direcciones!M299</f>
        <v/>
      </c>
    </row>
    <row r="1316" ht="15.75" customHeight="1" s="64">
      <c r="A1316" s="51">
        <f>Direcciones!M300</f>
        <v/>
      </c>
    </row>
    <row r="1317" ht="15.75" customHeight="1" s="64">
      <c r="A1317" s="51">
        <f>Direcciones!M301</f>
        <v/>
      </c>
    </row>
    <row r="1318" ht="15.75" customHeight="1" s="64">
      <c r="A1318" s="51">
        <f>Direcciones!M302</f>
        <v/>
      </c>
    </row>
    <row r="1319" ht="15.75" customHeight="1" s="64">
      <c r="A1319" s="51">
        <f>Direcciones!M303</f>
        <v/>
      </c>
    </row>
    <row r="1320" ht="15.75" customHeight="1" s="64">
      <c r="A1320" s="51">
        <f>Direcciones!M304</f>
        <v/>
      </c>
    </row>
    <row r="1321" ht="15.75" customHeight="1" s="64">
      <c r="A1321" s="51">
        <f>Direcciones!M305</f>
        <v/>
      </c>
    </row>
    <row r="1322" ht="15.75" customHeight="1" s="64">
      <c r="A1322" s="51">
        <f>Direcciones!M306</f>
        <v/>
      </c>
    </row>
    <row r="1323" ht="15.75" customHeight="1" s="64">
      <c r="A1323" s="51">
        <f>Direcciones!M307</f>
        <v/>
      </c>
    </row>
    <row r="1324" ht="15.75" customHeight="1" s="64">
      <c r="A1324" s="51">
        <f>Direcciones!M308</f>
        <v/>
      </c>
    </row>
    <row r="1325" ht="15.75" customHeight="1" s="64">
      <c r="A1325" s="51">
        <f>Direcciones!M309</f>
        <v/>
      </c>
    </row>
    <row r="1326" ht="15.75" customHeight="1" s="64">
      <c r="A1326" s="51">
        <f>Direcciones!M310</f>
        <v/>
      </c>
    </row>
    <row r="1327" ht="15.75" customHeight="1" s="64">
      <c r="A1327" s="51">
        <f>Direcciones!M311</f>
        <v/>
      </c>
    </row>
    <row r="1328" ht="15.75" customHeight="1" s="64">
      <c r="A1328" s="51">
        <f>Direcciones!M312</f>
        <v/>
      </c>
    </row>
    <row r="1329" ht="15.75" customHeight="1" s="64">
      <c r="A1329" s="51">
        <f>Direcciones!M313</f>
        <v/>
      </c>
    </row>
    <row r="1330" ht="15.75" customHeight="1" s="64">
      <c r="A1330" s="51">
        <f>Direcciones!M314</f>
        <v/>
      </c>
    </row>
    <row r="1331" ht="15.75" customHeight="1" s="64">
      <c r="A1331" s="51">
        <f>Direcciones!M315</f>
        <v/>
      </c>
    </row>
    <row r="1332" ht="15.75" customHeight="1" s="64">
      <c r="A1332" s="51">
        <f>Direcciones!M316</f>
        <v/>
      </c>
    </row>
    <row r="1333" ht="15.75" customHeight="1" s="64">
      <c r="A1333" s="51">
        <f>Direcciones!M317</f>
        <v/>
      </c>
    </row>
    <row r="1334" ht="15.75" customHeight="1" s="64">
      <c r="A1334" s="51">
        <f>Direcciones!M318</f>
        <v/>
      </c>
    </row>
    <row r="1335" ht="15.75" customHeight="1" s="64">
      <c r="A1335" s="51">
        <f>Direcciones!M319</f>
        <v/>
      </c>
    </row>
    <row r="1336" ht="15.75" customHeight="1" s="64">
      <c r="A1336" s="51">
        <f>Direcciones!M320</f>
        <v/>
      </c>
    </row>
    <row r="1337" ht="15.75" customHeight="1" s="64">
      <c r="A1337" s="51">
        <f>Direcciones!M321</f>
        <v/>
      </c>
    </row>
    <row r="1338" ht="15.75" customHeight="1" s="64">
      <c r="A1338" s="51">
        <f>Direcciones!M322</f>
        <v/>
      </c>
    </row>
    <row r="1339" ht="15.75" customHeight="1" s="64">
      <c r="A1339" s="51">
        <f>Direcciones!M323</f>
        <v/>
      </c>
    </row>
    <row r="1340" ht="15.75" customHeight="1" s="64">
      <c r="A1340" s="51">
        <f>Direcciones!M324</f>
        <v/>
      </c>
    </row>
    <row r="1341" ht="15.75" customHeight="1" s="64">
      <c r="A1341" s="51">
        <f>Direcciones!M325</f>
        <v/>
      </c>
    </row>
    <row r="1342" ht="15.75" customHeight="1" s="64">
      <c r="A1342" s="51">
        <f>Direcciones!M326</f>
        <v/>
      </c>
    </row>
    <row r="1343" ht="15.75" customHeight="1" s="64">
      <c r="A1343" s="51">
        <f>Direcciones!M327</f>
        <v/>
      </c>
    </row>
    <row r="1344" ht="15.75" customHeight="1" s="64">
      <c r="A1344" s="51">
        <f>Direcciones!M328</f>
        <v/>
      </c>
    </row>
    <row r="1345" ht="15.75" customHeight="1" s="64">
      <c r="A1345" s="51">
        <f>Direcciones!M329</f>
        <v/>
      </c>
    </row>
    <row r="1346" ht="15.75" customHeight="1" s="64">
      <c r="A1346" s="51">
        <f>Direcciones!M330</f>
        <v/>
      </c>
    </row>
    <row r="1347" ht="15.75" customHeight="1" s="64">
      <c r="A1347" s="51">
        <f>Direcciones!M331</f>
        <v/>
      </c>
    </row>
    <row r="1348" ht="15.75" customHeight="1" s="64">
      <c r="A1348" s="51">
        <f>Direcciones!M332</f>
        <v/>
      </c>
    </row>
    <row r="1349" ht="15.75" customHeight="1" s="64">
      <c r="A1349" s="51">
        <f>Direcciones!M333</f>
        <v/>
      </c>
    </row>
    <row r="1350" ht="15.75" customHeight="1" s="64">
      <c r="A1350" s="51">
        <f>Direcciones!M334</f>
        <v/>
      </c>
    </row>
    <row r="1351" ht="15.75" customHeight="1" s="64">
      <c r="A1351" s="51">
        <f>Direcciones!M335</f>
        <v/>
      </c>
    </row>
    <row r="1352" ht="15.75" customHeight="1" s="64">
      <c r="A1352" s="51">
        <f>Direcciones!M336</f>
        <v/>
      </c>
    </row>
    <row r="1353" ht="15.75" customHeight="1" s="64">
      <c r="A1353" s="51">
        <f>Direcciones!M337</f>
        <v/>
      </c>
    </row>
    <row r="1354" ht="15.75" customHeight="1" s="64">
      <c r="A1354" s="51">
        <f>Direcciones!M338</f>
        <v/>
      </c>
    </row>
    <row r="1355" ht="15.75" customHeight="1" s="64">
      <c r="A1355" s="51">
        <f>Direcciones!M339</f>
        <v/>
      </c>
    </row>
    <row r="1356" ht="15.75" customHeight="1" s="64">
      <c r="A1356" s="51">
        <f>Direcciones!M340</f>
        <v/>
      </c>
    </row>
    <row r="1357" ht="15.75" customHeight="1" s="64">
      <c r="A1357" s="51">
        <f>Direcciones!M341</f>
        <v/>
      </c>
    </row>
    <row r="1358" ht="15.75" customHeight="1" s="64">
      <c r="A1358" s="51">
        <f>Direcciones!M342</f>
        <v/>
      </c>
    </row>
    <row r="1359" ht="15.75" customHeight="1" s="64">
      <c r="A1359" s="51">
        <f>Direcciones!M343</f>
        <v/>
      </c>
    </row>
    <row r="1360" ht="15.75" customHeight="1" s="64">
      <c r="A1360" s="51">
        <f>Direcciones!M344</f>
        <v/>
      </c>
    </row>
    <row r="1361" ht="15.75" customHeight="1" s="64">
      <c r="A1361" s="51">
        <f>Direcciones!M345</f>
        <v/>
      </c>
    </row>
    <row r="1362" ht="15.75" customHeight="1" s="64">
      <c r="A1362" s="51">
        <f>Direcciones!M346</f>
        <v/>
      </c>
    </row>
    <row r="1363" ht="15.75" customHeight="1" s="64">
      <c r="A1363" s="51">
        <f>Direcciones!M347</f>
        <v/>
      </c>
    </row>
    <row r="1364" ht="15.75" customHeight="1" s="64">
      <c r="A1364" s="51">
        <f>Direcciones!M348</f>
        <v/>
      </c>
    </row>
    <row r="1365" ht="15.75" customHeight="1" s="64">
      <c r="A1365" s="51">
        <f>Direcciones!M349</f>
        <v/>
      </c>
    </row>
    <row r="1366" ht="15.75" customHeight="1" s="64">
      <c r="A1366" s="51">
        <f>Direcciones!M350</f>
        <v/>
      </c>
    </row>
    <row r="1367" ht="15.75" customHeight="1" s="64">
      <c r="A1367" s="51">
        <f>Direcciones!M351</f>
        <v/>
      </c>
    </row>
    <row r="1368" ht="15.75" customHeight="1" s="64">
      <c r="A1368" s="51">
        <f>Direcciones!M352</f>
        <v/>
      </c>
    </row>
    <row r="1369" ht="15.75" customHeight="1" s="64">
      <c r="A1369" s="51">
        <f>Direcciones!M353</f>
        <v/>
      </c>
    </row>
    <row r="1370" ht="15.75" customHeight="1" s="64">
      <c r="A1370" s="51">
        <f>Direcciones!M354</f>
        <v/>
      </c>
    </row>
    <row r="1371" ht="15.75" customHeight="1" s="64">
      <c r="A1371" s="51">
        <f>Direcciones!M355</f>
        <v/>
      </c>
    </row>
    <row r="1372" ht="15.75" customHeight="1" s="64">
      <c r="A1372" s="51">
        <f>Direcciones!M356</f>
        <v/>
      </c>
    </row>
    <row r="1373" ht="15.75" customHeight="1" s="64">
      <c r="A1373" s="51">
        <f>Direcciones!M357</f>
        <v/>
      </c>
    </row>
    <row r="1374" ht="15.75" customHeight="1" s="64">
      <c r="A1374" s="51">
        <f>Direcciones!M358</f>
        <v/>
      </c>
    </row>
    <row r="1375" ht="15.75" customHeight="1" s="64">
      <c r="A1375" s="51">
        <f>Direcciones!M359</f>
        <v/>
      </c>
    </row>
    <row r="1376" ht="15.75" customHeight="1" s="64">
      <c r="A1376" s="51">
        <f>Direcciones!M360</f>
        <v/>
      </c>
    </row>
    <row r="1377" ht="15.75" customHeight="1" s="64">
      <c r="A1377" s="51">
        <f>Direcciones!M361</f>
        <v/>
      </c>
    </row>
    <row r="1378" ht="15.75" customHeight="1" s="64">
      <c r="A1378" s="51">
        <f>Direcciones!M362</f>
        <v/>
      </c>
    </row>
    <row r="1379" ht="15.75" customHeight="1" s="64">
      <c r="A1379" s="51">
        <f>Direcciones!M363</f>
        <v/>
      </c>
    </row>
    <row r="1380" ht="15.75" customHeight="1" s="64">
      <c r="A1380" s="51">
        <f>Direcciones!M364</f>
        <v/>
      </c>
    </row>
    <row r="1381" ht="15.75" customHeight="1" s="64">
      <c r="A1381" s="51">
        <f>Direcciones!M365</f>
        <v/>
      </c>
    </row>
    <row r="1382" ht="15.75" customHeight="1" s="64">
      <c r="A1382" s="51">
        <f>Direcciones!M366</f>
        <v/>
      </c>
    </row>
    <row r="1383" ht="15.75" customHeight="1" s="64">
      <c r="A1383" s="51">
        <f>Direcciones!M367</f>
        <v/>
      </c>
    </row>
    <row r="1384" ht="15.75" customHeight="1" s="64">
      <c r="A1384" s="51">
        <f>Direcciones!M368</f>
        <v/>
      </c>
    </row>
    <row r="1385" ht="15.75" customHeight="1" s="64">
      <c r="A1385" s="51">
        <f>Direcciones!M369</f>
        <v/>
      </c>
    </row>
    <row r="1386" ht="15.75" customHeight="1" s="64">
      <c r="A1386" s="51">
        <f>Direcciones!M370</f>
        <v/>
      </c>
    </row>
    <row r="1387" ht="15.75" customHeight="1" s="64">
      <c r="A1387" s="51">
        <f>Direcciones!M371</f>
        <v/>
      </c>
    </row>
    <row r="1388" ht="15.75" customHeight="1" s="64">
      <c r="A1388" s="51">
        <f>Direcciones!M372</f>
        <v/>
      </c>
    </row>
    <row r="1389" ht="15.75" customHeight="1" s="64">
      <c r="A1389" s="51">
        <f>Direcciones!M373</f>
        <v/>
      </c>
    </row>
    <row r="1390" ht="15.75" customHeight="1" s="64">
      <c r="A1390" s="51">
        <f>Direcciones!M374</f>
        <v/>
      </c>
    </row>
    <row r="1391" ht="15.75" customHeight="1" s="64">
      <c r="A1391" s="51">
        <f>Direcciones!M375</f>
        <v/>
      </c>
    </row>
    <row r="1392" ht="15.75" customHeight="1" s="64">
      <c r="A1392" s="51">
        <f>Direcciones!M376</f>
        <v/>
      </c>
    </row>
    <row r="1393" ht="15.75" customHeight="1" s="64">
      <c r="A1393" s="51">
        <f>Direcciones!M377</f>
        <v/>
      </c>
    </row>
    <row r="1394" ht="15.75" customHeight="1" s="64">
      <c r="A1394" s="51">
        <f>Direcciones!M378</f>
        <v/>
      </c>
    </row>
    <row r="1395" ht="15.75" customHeight="1" s="64">
      <c r="A1395" s="51">
        <f>Direcciones!M379</f>
        <v/>
      </c>
    </row>
    <row r="1396" ht="15.75" customHeight="1" s="64">
      <c r="A1396" s="51">
        <f>Direcciones!M380</f>
        <v/>
      </c>
    </row>
    <row r="1397" ht="15.75" customHeight="1" s="64">
      <c r="A1397" s="51">
        <f>Direcciones!M381</f>
        <v/>
      </c>
    </row>
    <row r="1398" ht="15.75" customHeight="1" s="64">
      <c r="A1398" s="51">
        <f>Direcciones!M382</f>
        <v/>
      </c>
    </row>
    <row r="1399" ht="15.75" customHeight="1" s="64">
      <c r="A1399" s="51">
        <f>Direcciones!M383</f>
        <v/>
      </c>
    </row>
    <row r="1400" ht="15.75" customHeight="1" s="64">
      <c r="A1400" s="51">
        <f>Direcciones!M384</f>
        <v/>
      </c>
    </row>
    <row r="1401" ht="15.75" customHeight="1" s="64">
      <c r="A1401" s="51">
        <f>Direcciones!M385</f>
        <v/>
      </c>
    </row>
    <row r="1402" ht="15.75" customHeight="1" s="64">
      <c r="A1402" s="51">
        <f>Direcciones!M386</f>
        <v/>
      </c>
    </row>
    <row r="1403" ht="15.75" customHeight="1" s="64">
      <c r="A1403" s="51">
        <f>Direcciones!M387</f>
        <v/>
      </c>
    </row>
    <row r="1404" ht="15.75" customHeight="1" s="64">
      <c r="A1404" s="51">
        <f>Direcciones!M388</f>
        <v/>
      </c>
    </row>
    <row r="1405" ht="15.75" customHeight="1" s="64">
      <c r="A1405" s="51">
        <f>Direcciones!M389</f>
        <v/>
      </c>
    </row>
    <row r="1406" ht="15.75" customHeight="1" s="64">
      <c r="A1406" s="51">
        <f>Direcciones!M390</f>
        <v/>
      </c>
    </row>
    <row r="1407" ht="15.75" customHeight="1" s="64">
      <c r="A1407" s="51">
        <f>Direcciones!M391</f>
        <v/>
      </c>
    </row>
    <row r="1408" ht="15.75" customHeight="1" s="64">
      <c r="A1408" s="51">
        <f>Direcciones!M392</f>
        <v/>
      </c>
    </row>
    <row r="1409" ht="15.75" customHeight="1" s="64">
      <c r="A1409" s="51">
        <f>Direcciones!M393</f>
        <v/>
      </c>
    </row>
    <row r="1410" ht="15.75" customHeight="1" s="64">
      <c r="A1410" s="51">
        <f>Direcciones!M394</f>
        <v/>
      </c>
    </row>
    <row r="1411" ht="15.75" customHeight="1" s="64">
      <c r="A1411" s="51">
        <f>Direcciones!M395</f>
        <v/>
      </c>
    </row>
    <row r="1412" ht="15.75" customHeight="1" s="64">
      <c r="A1412" s="51">
        <f>Direcciones!M396</f>
        <v/>
      </c>
    </row>
    <row r="1413" ht="15.75" customHeight="1" s="64">
      <c r="A1413" s="51">
        <f>Direcciones!M397</f>
        <v/>
      </c>
    </row>
    <row r="1414" ht="15.75" customHeight="1" s="64">
      <c r="A1414" s="51">
        <f>Direcciones!M398</f>
        <v/>
      </c>
    </row>
    <row r="1415" ht="15.75" customHeight="1" s="64">
      <c r="A1415" s="51">
        <f>Direcciones!M399</f>
        <v/>
      </c>
    </row>
    <row r="1416" ht="15.75" customHeight="1" s="64">
      <c r="A1416" s="51">
        <f>Direcciones!M400</f>
        <v/>
      </c>
    </row>
    <row r="1417" ht="15.75" customHeight="1" s="64">
      <c r="A1417" s="51">
        <f>Direcciones!M401</f>
        <v/>
      </c>
    </row>
    <row r="1418" ht="15.75" customHeight="1" s="64">
      <c r="A1418" s="51">
        <f>Direcciones!M402</f>
        <v/>
      </c>
    </row>
    <row r="1419" ht="15.75" customHeight="1" s="64">
      <c r="A1419" s="51">
        <f>Direcciones!M403</f>
        <v/>
      </c>
    </row>
    <row r="1420" ht="15.75" customHeight="1" s="64">
      <c r="A1420" s="51">
        <f>Direcciones!M404</f>
        <v/>
      </c>
    </row>
    <row r="1421" ht="15.75" customHeight="1" s="64">
      <c r="A1421" s="51">
        <f>Direcciones!M405</f>
        <v/>
      </c>
    </row>
    <row r="1422" ht="15.75" customHeight="1" s="64">
      <c r="A1422" s="51">
        <f>Direcciones!M406</f>
        <v/>
      </c>
    </row>
    <row r="1423" ht="15.75" customHeight="1" s="64">
      <c r="A1423" s="51">
        <f>Direcciones!M407</f>
        <v/>
      </c>
    </row>
    <row r="1424" ht="15.75" customHeight="1" s="64">
      <c r="A1424" s="51">
        <f>Direcciones!M408</f>
        <v/>
      </c>
    </row>
    <row r="1425" ht="15.75" customHeight="1" s="64">
      <c r="A1425" s="51">
        <f>Direcciones!M409</f>
        <v/>
      </c>
    </row>
    <row r="1426" ht="15.75" customHeight="1" s="64">
      <c r="A1426" s="51">
        <f>Direcciones!M410</f>
        <v/>
      </c>
    </row>
    <row r="1427" ht="15.75" customHeight="1" s="64">
      <c r="A1427" s="51">
        <f>Direcciones!M411</f>
        <v/>
      </c>
    </row>
    <row r="1428" ht="15.75" customHeight="1" s="64">
      <c r="A1428" s="51">
        <f>Direcciones!M412</f>
        <v/>
      </c>
    </row>
    <row r="1429" ht="15.75" customHeight="1" s="64">
      <c r="A1429" s="51">
        <f>Direcciones!M413</f>
        <v/>
      </c>
    </row>
    <row r="1430" ht="15.75" customHeight="1" s="64">
      <c r="A1430" s="51">
        <f>Direcciones!M414</f>
        <v/>
      </c>
    </row>
    <row r="1431" ht="15.75" customHeight="1" s="64">
      <c r="A1431" s="51">
        <f>Direcciones!M415</f>
        <v/>
      </c>
    </row>
    <row r="1432" ht="15.75" customHeight="1" s="64">
      <c r="A1432" s="51">
        <f>Direcciones!M416</f>
        <v/>
      </c>
    </row>
    <row r="1433" ht="15.75" customHeight="1" s="64">
      <c r="A1433" s="51">
        <f>Direcciones!M417</f>
        <v/>
      </c>
    </row>
    <row r="1434" ht="15.75" customHeight="1" s="64">
      <c r="A1434" s="51">
        <f>Direcciones!M418</f>
        <v/>
      </c>
    </row>
    <row r="1435" ht="15.75" customHeight="1" s="64">
      <c r="A1435" s="51">
        <f>Direcciones!M419</f>
        <v/>
      </c>
    </row>
    <row r="1436" ht="15.75" customHeight="1" s="64">
      <c r="A1436" s="51">
        <f>Direcciones!M420</f>
        <v/>
      </c>
    </row>
    <row r="1437" ht="15.75" customHeight="1" s="64">
      <c r="A1437" s="51">
        <f>Direcciones!M421</f>
        <v/>
      </c>
    </row>
    <row r="1438" ht="15.75" customHeight="1" s="64">
      <c r="A1438" s="51">
        <f>Direcciones!M422</f>
        <v/>
      </c>
    </row>
    <row r="1439" ht="15.75" customHeight="1" s="64">
      <c r="A1439" s="51">
        <f>Direcciones!M423</f>
        <v/>
      </c>
    </row>
    <row r="1440" ht="15.75" customHeight="1" s="64">
      <c r="A1440" s="51">
        <f>Direcciones!M424</f>
        <v/>
      </c>
    </row>
    <row r="1441" ht="15.75" customHeight="1" s="64">
      <c r="A1441" s="51">
        <f>Direcciones!M425</f>
        <v/>
      </c>
    </row>
    <row r="1442" ht="15.75" customHeight="1" s="64">
      <c r="A1442" s="51">
        <f>Direcciones!M426</f>
        <v/>
      </c>
    </row>
    <row r="1443" ht="15.75" customHeight="1" s="64">
      <c r="A1443" s="51">
        <f>Direcciones!M427</f>
        <v/>
      </c>
    </row>
    <row r="1444" ht="15.75" customHeight="1" s="64">
      <c r="A1444" s="51">
        <f>Direcciones!M428</f>
        <v/>
      </c>
    </row>
    <row r="1445" ht="15.75" customHeight="1" s="64">
      <c r="A1445" s="51">
        <f>Direcciones!M429</f>
        <v/>
      </c>
    </row>
    <row r="1446" ht="15.75" customHeight="1" s="64">
      <c r="A1446" s="51">
        <f>Direcciones!M430</f>
        <v/>
      </c>
    </row>
    <row r="1447" ht="15.75" customHeight="1" s="64">
      <c r="A1447" s="51">
        <f>Direcciones!M431</f>
        <v/>
      </c>
    </row>
    <row r="1448" ht="15.75" customHeight="1" s="64">
      <c r="A1448" s="51">
        <f>Direcciones!M432</f>
        <v/>
      </c>
    </row>
    <row r="1449" ht="15.75" customHeight="1" s="64">
      <c r="A1449" s="51">
        <f>Direcciones!M433</f>
        <v/>
      </c>
    </row>
    <row r="1450" ht="15.75" customHeight="1" s="64">
      <c r="A1450" s="51">
        <f>Direcciones!M434</f>
        <v/>
      </c>
    </row>
    <row r="1451" ht="15.75" customHeight="1" s="64">
      <c r="A1451" s="51">
        <f>Direcciones!M435</f>
        <v/>
      </c>
    </row>
    <row r="1452" ht="15.75" customHeight="1" s="64">
      <c r="A1452" s="51">
        <f>Direcciones!M436</f>
        <v/>
      </c>
    </row>
    <row r="1453" ht="15.75" customHeight="1" s="64">
      <c r="A1453" s="51">
        <f>Direcciones!M437</f>
        <v/>
      </c>
    </row>
    <row r="1454" ht="15.75" customHeight="1" s="64">
      <c r="A1454" s="51">
        <f>Direcciones!M438</f>
        <v/>
      </c>
    </row>
    <row r="1455" ht="15.75" customHeight="1" s="64">
      <c r="A1455" s="51">
        <f>Direcciones!M439</f>
        <v/>
      </c>
    </row>
    <row r="1456" ht="15.75" customHeight="1" s="64">
      <c r="A1456" s="51">
        <f>Direcciones!M440</f>
        <v/>
      </c>
    </row>
    <row r="1457" ht="15.75" customHeight="1" s="64">
      <c r="A1457" s="51">
        <f>Direcciones!M441</f>
        <v/>
      </c>
    </row>
    <row r="1458" ht="15.75" customHeight="1" s="64">
      <c r="A1458" s="51">
        <f>Direcciones!M442</f>
        <v/>
      </c>
    </row>
    <row r="1459" ht="15.75" customHeight="1" s="64">
      <c r="A1459" s="51">
        <f>Direcciones!M443</f>
        <v/>
      </c>
    </row>
    <row r="1460" ht="15.75" customHeight="1" s="64">
      <c r="A1460" s="51">
        <f>Direcciones!M444</f>
        <v/>
      </c>
    </row>
    <row r="1461" ht="15.75" customHeight="1" s="64">
      <c r="A1461" s="51">
        <f>Direcciones!M445</f>
        <v/>
      </c>
    </row>
    <row r="1462" ht="15.75" customHeight="1" s="64">
      <c r="A1462" s="51">
        <f>Direcciones!M446</f>
        <v/>
      </c>
    </row>
    <row r="1463" ht="15.75" customHeight="1" s="64">
      <c r="A1463" s="51">
        <f>Direcciones!M447</f>
        <v/>
      </c>
    </row>
    <row r="1464" ht="15.75" customHeight="1" s="64">
      <c r="A1464" s="51">
        <f>Direcciones!M448</f>
        <v/>
      </c>
    </row>
    <row r="1465" ht="15.75" customHeight="1" s="64">
      <c r="A1465" s="51">
        <f>Direcciones!M449</f>
        <v/>
      </c>
    </row>
    <row r="1466" ht="15.75" customHeight="1" s="64">
      <c r="A1466" s="51">
        <f>Direcciones!M450</f>
        <v/>
      </c>
    </row>
    <row r="1467" ht="15.75" customHeight="1" s="64">
      <c r="A1467" s="51">
        <f>Direcciones!M451</f>
        <v/>
      </c>
    </row>
    <row r="1468" ht="15.75" customHeight="1" s="64">
      <c r="A1468" s="51">
        <f>Direcciones!M452</f>
        <v/>
      </c>
    </row>
    <row r="1469" ht="15.75" customHeight="1" s="64">
      <c r="A1469" s="51">
        <f>Direcciones!M453</f>
        <v/>
      </c>
    </row>
    <row r="1470" ht="15.75" customHeight="1" s="64">
      <c r="A1470" s="51">
        <f>Direcciones!M454</f>
        <v/>
      </c>
    </row>
    <row r="1471" ht="15.75" customHeight="1" s="64">
      <c r="A1471" s="51">
        <f>Direcciones!M455</f>
        <v/>
      </c>
    </row>
    <row r="1472" ht="15.75" customHeight="1" s="64">
      <c r="A1472" s="51">
        <f>Direcciones!M456</f>
        <v/>
      </c>
    </row>
    <row r="1473" ht="15.75" customHeight="1" s="64">
      <c r="A1473" s="51">
        <f>Direcciones!M457</f>
        <v/>
      </c>
    </row>
    <row r="1474" ht="15.75" customHeight="1" s="64">
      <c r="A1474" s="51">
        <f>Direcciones!M458</f>
        <v/>
      </c>
    </row>
    <row r="1475" ht="15.75" customHeight="1" s="64">
      <c r="A1475" s="51">
        <f>Direcciones!M459</f>
        <v/>
      </c>
    </row>
    <row r="1476" ht="15.75" customHeight="1" s="64">
      <c r="A1476" s="51">
        <f>Direcciones!M460</f>
        <v/>
      </c>
    </row>
    <row r="1477" ht="15.75" customHeight="1" s="64">
      <c r="A1477" s="51">
        <f>Direcciones!M461</f>
        <v/>
      </c>
    </row>
    <row r="1478" ht="15.75" customHeight="1" s="64">
      <c r="A1478" s="51">
        <f>Direcciones!M462</f>
        <v/>
      </c>
    </row>
    <row r="1479" ht="15.75" customHeight="1" s="64">
      <c r="A1479" s="51">
        <f>Direcciones!M463</f>
        <v/>
      </c>
    </row>
    <row r="1480" ht="15.75" customHeight="1" s="64">
      <c r="A1480" s="51">
        <f>Direcciones!M464</f>
        <v/>
      </c>
    </row>
    <row r="1481" ht="15.75" customHeight="1" s="64">
      <c r="A1481" s="51">
        <f>Direcciones!M465</f>
        <v/>
      </c>
    </row>
    <row r="1482" ht="15.75" customHeight="1" s="64">
      <c r="A1482" s="51">
        <f>Direcciones!M466</f>
        <v/>
      </c>
    </row>
    <row r="1483" ht="15.75" customHeight="1" s="64">
      <c r="A1483" s="51">
        <f>Direcciones!M467</f>
        <v/>
      </c>
    </row>
    <row r="1484" ht="15.75" customHeight="1" s="64">
      <c r="A1484" s="51">
        <f>Direcciones!M468</f>
        <v/>
      </c>
    </row>
    <row r="1485" ht="15.75" customHeight="1" s="64">
      <c r="A1485" s="51">
        <f>Direcciones!M469</f>
        <v/>
      </c>
    </row>
    <row r="1486" ht="15.75" customHeight="1" s="64">
      <c r="A1486" s="51">
        <f>Direcciones!M470</f>
        <v/>
      </c>
    </row>
    <row r="1487" ht="15.75" customHeight="1" s="64">
      <c r="A1487" s="51">
        <f>Direcciones!M471</f>
        <v/>
      </c>
    </row>
    <row r="1488" ht="15.75" customHeight="1" s="64">
      <c r="A1488" s="51">
        <f>Direcciones!M472</f>
        <v/>
      </c>
    </row>
    <row r="1489" ht="15.75" customHeight="1" s="64">
      <c r="A1489" s="51">
        <f>Direcciones!M473</f>
        <v/>
      </c>
    </row>
    <row r="1490" ht="15.75" customHeight="1" s="64">
      <c r="A1490" s="51">
        <f>Direcciones!M474</f>
        <v/>
      </c>
    </row>
    <row r="1491" ht="15.75" customHeight="1" s="64">
      <c r="A1491" s="51">
        <f>Direcciones!M475</f>
        <v/>
      </c>
    </row>
    <row r="1492" ht="15.75" customHeight="1" s="64">
      <c r="A1492" s="51">
        <f>Direcciones!M476</f>
        <v/>
      </c>
    </row>
    <row r="1493" ht="15.75" customHeight="1" s="64">
      <c r="A1493" s="51">
        <f>Direcciones!M477</f>
        <v/>
      </c>
    </row>
    <row r="1494" ht="15.75" customHeight="1" s="64">
      <c r="A1494" s="51">
        <f>Direcciones!M478</f>
        <v/>
      </c>
    </row>
    <row r="1495" ht="15.75" customHeight="1" s="64">
      <c r="A1495" s="51">
        <f>Direcciones!M479</f>
        <v/>
      </c>
    </row>
    <row r="1496" ht="15.75" customHeight="1" s="64">
      <c r="A1496" s="51">
        <f>Direcciones!M480</f>
        <v/>
      </c>
    </row>
    <row r="1497" ht="15.75" customHeight="1" s="64">
      <c r="A1497" s="51">
        <f>Direcciones!M481</f>
        <v/>
      </c>
    </row>
    <row r="1498" ht="15.75" customHeight="1" s="64">
      <c r="A1498" s="51">
        <f>Direcciones!M482</f>
        <v/>
      </c>
    </row>
    <row r="1499" ht="15.75" customHeight="1" s="64">
      <c r="A1499" s="51">
        <f>Direcciones!M483</f>
        <v/>
      </c>
    </row>
    <row r="1500" ht="15.75" customHeight="1" s="64">
      <c r="A1500" s="51">
        <f>Direcciones!M484</f>
        <v/>
      </c>
    </row>
    <row r="1501" ht="15.75" customHeight="1" s="64">
      <c r="A1501" s="51">
        <f>Direcciones!M485</f>
        <v/>
      </c>
    </row>
    <row r="1502" ht="15.75" customHeight="1" s="64">
      <c r="A1502" s="51">
        <f>Direcciones!M486</f>
        <v/>
      </c>
    </row>
    <row r="1503" ht="15.75" customHeight="1" s="64">
      <c r="A1503" s="51">
        <f>Direcciones!M487</f>
        <v/>
      </c>
    </row>
    <row r="1504" ht="15.75" customHeight="1" s="64">
      <c r="A1504" s="51">
        <f>Direcciones!M488</f>
        <v/>
      </c>
    </row>
    <row r="1505" ht="15.75" customHeight="1" s="64">
      <c r="A1505" s="51">
        <f>Direcciones!M489</f>
        <v/>
      </c>
    </row>
    <row r="1506" ht="15.75" customHeight="1" s="64">
      <c r="A1506" s="51">
        <f>Direcciones!M490</f>
        <v/>
      </c>
    </row>
    <row r="1507" ht="15.75" customHeight="1" s="64">
      <c r="A1507" s="51">
        <f>Direcciones!M491</f>
        <v/>
      </c>
    </row>
    <row r="1508" ht="15.75" customHeight="1" s="64">
      <c r="A1508" s="51">
        <f>Direcciones!M492</f>
        <v/>
      </c>
    </row>
    <row r="1509" ht="15.75" customHeight="1" s="64">
      <c r="A1509" s="51">
        <f>Direcciones!M493</f>
        <v/>
      </c>
    </row>
    <row r="1510" ht="15.75" customHeight="1" s="64">
      <c r="A1510" s="51">
        <f>Direcciones!M494</f>
        <v/>
      </c>
    </row>
    <row r="1511" ht="15.75" customHeight="1" s="64">
      <c r="A1511" s="51">
        <f>Direcciones!M495</f>
        <v/>
      </c>
    </row>
    <row r="1512" ht="15.75" customHeight="1" s="64">
      <c r="A1512" s="51">
        <f>Direcciones!M496</f>
        <v/>
      </c>
    </row>
    <row r="1513" ht="15.75" customHeight="1" s="64">
      <c r="A1513" s="51">
        <f>Direcciones!M497</f>
        <v/>
      </c>
    </row>
    <row r="1514" ht="15.75" customHeight="1" s="64">
      <c r="A1514" s="51" t="n"/>
    </row>
    <row r="1515" ht="15.75" customHeight="1" s="64">
      <c r="A1515" s="50" t="inlineStr">
        <is>
          <t>-- 4) BALONES (bal_crear_balon) -------------------------------------</t>
        </is>
      </c>
    </row>
    <row r="1516" ht="15.75" customHeight="1" s="64">
      <c r="A1516" s="51">
        <f>#REF!</f>
        <v/>
      </c>
    </row>
    <row r="1517" ht="15.75" customHeight="1" s="64">
      <c r="A1517" s="51">
        <f>#REF!</f>
        <v/>
      </c>
    </row>
    <row r="1518" ht="15.75" customHeight="1" s="64">
      <c r="A1518" s="51">
        <f>#REF!</f>
        <v/>
      </c>
    </row>
    <row r="1519" ht="15.75" customHeight="1" s="64">
      <c r="A1519" s="51">
        <f>#REF!</f>
        <v/>
      </c>
    </row>
    <row r="1520" ht="15.75" customHeight="1" s="64">
      <c r="A1520" s="51">
        <f>#REF!</f>
        <v/>
      </c>
    </row>
    <row r="1521" ht="15.75" customHeight="1" s="64">
      <c r="A1521" s="51">
        <f>#REF!</f>
        <v/>
      </c>
    </row>
    <row r="1522" ht="15.75" customHeight="1" s="64">
      <c r="A1522" s="51">
        <f>#REF!</f>
        <v/>
      </c>
    </row>
    <row r="1523" ht="15.75" customHeight="1" s="64">
      <c r="A1523" s="51">
        <f>#REF!</f>
        <v/>
      </c>
    </row>
    <row r="1524" ht="15.75" customHeight="1" s="64">
      <c r="A1524" s="51">
        <f>Balones!Y5</f>
        <v/>
      </c>
    </row>
    <row r="1525" ht="15.75" customHeight="1" s="64">
      <c r="A1525" s="51">
        <f>Balones!Y6</f>
        <v/>
      </c>
    </row>
    <row r="1526" ht="15.75" customHeight="1" s="64">
      <c r="A1526" s="51">
        <f>Balones!Y7</f>
        <v/>
      </c>
    </row>
    <row r="1527" ht="15.75" customHeight="1" s="64">
      <c r="A1527" s="51">
        <f>Balones!Y8</f>
        <v/>
      </c>
    </row>
    <row r="1528" ht="15.75" customHeight="1" s="64">
      <c r="A1528" s="51">
        <f>Balones!Y9</f>
        <v/>
      </c>
    </row>
    <row r="1529" ht="15.75" customHeight="1" s="64">
      <c r="A1529" s="51">
        <f>Balones!Y10</f>
        <v/>
      </c>
    </row>
    <row r="1530" ht="15.75" customHeight="1" s="64">
      <c r="A1530" s="51">
        <f>Balones!Y11</f>
        <v/>
      </c>
    </row>
    <row r="1531" ht="15.75" customHeight="1" s="64">
      <c r="A1531" s="51">
        <f>Balones!Y12</f>
        <v/>
      </c>
    </row>
    <row r="1532" ht="15.75" customHeight="1" s="64">
      <c r="A1532" s="51">
        <f>Balones!Y13</f>
        <v/>
      </c>
    </row>
    <row r="1533" ht="15.75" customHeight="1" s="64">
      <c r="A1533" s="51">
        <f>Balones!Y14</f>
        <v/>
      </c>
    </row>
    <row r="1534" ht="15.75" customHeight="1" s="64">
      <c r="A1534" s="51">
        <f>Balones!Y15</f>
        <v/>
      </c>
    </row>
    <row r="1535" ht="15.75" customHeight="1" s="64">
      <c r="A1535" s="51">
        <f>Balones!Y16</f>
        <v/>
      </c>
    </row>
    <row r="1536" ht="15.75" customHeight="1" s="64">
      <c r="A1536" s="51">
        <f>Balones!Y17</f>
        <v/>
      </c>
    </row>
    <row r="1537" ht="15.75" customHeight="1" s="64">
      <c r="A1537" s="51">
        <f>Balones!Y18</f>
        <v/>
      </c>
    </row>
    <row r="1538" ht="15.75" customHeight="1" s="64">
      <c r="A1538" s="51">
        <f>Balones!Y19</f>
        <v/>
      </c>
    </row>
    <row r="1539" ht="15.75" customHeight="1" s="64">
      <c r="A1539" s="51">
        <f>Balones!Y20</f>
        <v/>
      </c>
    </row>
    <row r="1540" ht="15.75" customHeight="1" s="64">
      <c r="A1540" s="51">
        <f>Balones!Y21</f>
        <v/>
      </c>
    </row>
    <row r="1541" ht="15.75" customHeight="1" s="64">
      <c r="A1541" s="51">
        <f>Balones!Y22</f>
        <v/>
      </c>
    </row>
    <row r="1542" ht="15.75" customHeight="1" s="64">
      <c r="A1542" s="51">
        <f>Balones!Y23</f>
        <v/>
      </c>
    </row>
    <row r="1543" ht="15.75" customHeight="1" s="64">
      <c r="A1543" s="51">
        <f>Balones!Y24</f>
        <v/>
      </c>
    </row>
    <row r="1544" ht="15.75" customHeight="1" s="64">
      <c r="A1544" s="51">
        <f>Balones!Y25</f>
        <v/>
      </c>
    </row>
    <row r="1545" ht="15.75" customHeight="1" s="64">
      <c r="A1545" s="51">
        <f>Balones!Y26</f>
        <v/>
      </c>
    </row>
    <row r="1546" ht="15.75" customHeight="1" s="64">
      <c r="A1546" s="51">
        <f>Balones!Y27</f>
        <v/>
      </c>
    </row>
    <row r="1547" ht="15.75" customHeight="1" s="64">
      <c r="A1547" s="51">
        <f>Balones!Y28</f>
        <v/>
      </c>
    </row>
    <row r="1548" ht="15.75" customHeight="1" s="64">
      <c r="A1548" s="51">
        <f>Balones!Y29</f>
        <v/>
      </c>
    </row>
    <row r="1549" ht="15.75" customHeight="1" s="64">
      <c r="A1549" s="51">
        <f>Balones!Y30</f>
        <v/>
      </c>
    </row>
    <row r="1550" ht="15.75" customHeight="1" s="64">
      <c r="A1550" s="51">
        <f>Balones!Y31</f>
        <v/>
      </c>
    </row>
    <row r="1551" ht="15.75" customHeight="1" s="64">
      <c r="A1551" s="51">
        <f>Balones!Y32</f>
        <v/>
      </c>
    </row>
    <row r="1552" ht="15.75" customHeight="1" s="64">
      <c r="A1552" s="51">
        <f>Balones!Y33</f>
        <v/>
      </c>
    </row>
    <row r="1553" ht="15.75" customHeight="1" s="64">
      <c r="A1553" s="51">
        <f>Balones!Y34</f>
        <v/>
      </c>
    </row>
    <row r="1554" ht="15.75" customHeight="1" s="64">
      <c r="A1554" s="51">
        <f>Balones!Y35</f>
        <v/>
      </c>
    </row>
    <row r="1555" ht="15.75" customHeight="1" s="64">
      <c r="A1555" s="51">
        <f>Balones!Y36</f>
        <v/>
      </c>
    </row>
    <row r="1556" ht="15.75" customHeight="1" s="64">
      <c r="A1556" s="51">
        <f>Balones!Y37</f>
        <v/>
      </c>
    </row>
    <row r="1557" ht="15.75" customHeight="1" s="64">
      <c r="A1557" s="51">
        <f>Balones!Y38</f>
        <v/>
      </c>
    </row>
    <row r="1558" ht="15.75" customHeight="1" s="64">
      <c r="A1558" s="51">
        <f>Balones!Y39</f>
        <v/>
      </c>
    </row>
    <row r="1559" ht="15.75" customHeight="1" s="64">
      <c r="A1559" s="51">
        <f>Balones!Y40</f>
        <v/>
      </c>
    </row>
    <row r="1560" ht="15.75" customHeight="1" s="64">
      <c r="A1560" s="51">
        <f>Balones!Y41</f>
        <v/>
      </c>
    </row>
    <row r="1561" ht="15.75" customHeight="1" s="64">
      <c r="A1561" s="51">
        <f>Balones!Y43</f>
        <v/>
      </c>
    </row>
    <row r="1562" ht="15.75" customHeight="1" s="64">
      <c r="A1562" s="51">
        <f>Balones!Y44</f>
        <v/>
      </c>
    </row>
    <row r="1563" ht="15.75" customHeight="1" s="64">
      <c r="A1563" s="51">
        <f>Balones!Y45</f>
        <v/>
      </c>
    </row>
    <row r="1564" ht="15.75" customHeight="1" s="64">
      <c r="A1564" s="51">
        <f>Balones!Y46</f>
        <v/>
      </c>
    </row>
    <row r="1565" ht="15.75" customHeight="1" s="64">
      <c r="A1565" s="51">
        <f>Balones!Y47</f>
        <v/>
      </c>
    </row>
    <row r="1566" ht="15.75" customHeight="1" s="64">
      <c r="A1566" s="51">
        <f>Balones!Y48</f>
        <v/>
      </c>
    </row>
    <row r="1567" ht="15.75" customHeight="1" s="64">
      <c r="A1567" s="51">
        <f>Balones!Y49</f>
        <v/>
      </c>
    </row>
    <row r="1568" ht="15.75" customHeight="1" s="64">
      <c r="A1568" s="51">
        <f>Balones!Y50</f>
        <v/>
      </c>
    </row>
    <row r="1569" ht="15.75" customHeight="1" s="64">
      <c r="A1569" s="51">
        <f>Balones!Y51</f>
        <v/>
      </c>
    </row>
    <row r="1570" ht="15.75" customHeight="1" s="64">
      <c r="A1570" s="51">
        <f>Balones!Y52</f>
        <v/>
      </c>
    </row>
    <row r="1571" ht="15.75" customHeight="1" s="64">
      <c r="A1571" s="51">
        <f>Balones!Y53</f>
        <v/>
      </c>
    </row>
    <row r="1572" ht="15.75" customHeight="1" s="64">
      <c r="A1572" s="51">
        <f>Balones!Y54</f>
        <v/>
      </c>
    </row>
    <row r="1573" ht="15.75" customHeight="1" s="64">
      <c r="A1573" s="51">
        <f>Balones!Y55</f>
        <v/>
      </c>
    </row>
    <row r="1574" ht="15.75" customHeight="1" s="64">
      <c r="A1574" s="51">
        <f>Balones!Y56</f>
        <v/>
      </c>
    </row>
    <row r="1575" ht="15.75" customHeight="1" s="64">
      <c r="A1575" s="51">
        <f>Balones!Y57</f>
        <v/>
      </c>
    </row>
    <row r="1576" ht="15.75" customHeight="1" s="64">
      <c r="A1576" s="51">
        <f>Balones!Y58</f>
        <v/>
      </c>
    </row>
    <row r="1577" ht="15.75" customHeight="1" s="64">
      <c r="A1577" s="51">
        <f>Balones!Y59</f>
        <v/>
      </c>
    </row>
    <row r="1578" ht="15.75" customHeight="1" s="64">
      <c r="A1578" s="51">
        <f>Balones!Y60</f>
        <v/>
      </c>
    </row>
    <row r="1579" ht="15.75" customHeight="1" s="64">
      <c r="A1579" s="51">
        <f>Balones!Y61</f>
        <v/>
      </c>
    </row>
    <row r="1580" ht="15.75" customHeight="1" s="64">
      <c r="A1580" s="51">
        <f>Balones!Y62</f>
        <v/>
      </c>
    </row>
    <row r="1581" ht="15.75" customHeight="1" s="64">
      <c r="A1581" s="51">
        <f>Balones!Y63</f>
        <v/>
      </c>
    </row>
    <row r="1582" ht="15.75" customHeight="1" s="64">
      <c r="A1582" s="51">
        <f>Balones!Y64</f>
        <v/>
      </c>
    </row>
    <row r="1583" ht="15.75" customHeight="1" s="64">
      <c r="A1583" s="51">
        <f>Balones!Y65</f>
        <v/>
      </c>
    </row>
    <row r="1584" ht="15.75" customHeight="1" s="64">
      <c r="A1584" s="51">
        <f>Balones!Y66</f>
        <v/>
      </c>
    </row>
    <row r="1585" ht="15.75" customHeight="1" s="64">
      <c r="A1585" s="51">
        <f>Balones!Y67</f>
        <v/>
      </c>
    </row>
    <row r="1586" ht="15.75" customHeight="1" s="64">
      <c r="A1586" s="51">
        <f>Balones!Y68</f>
        <v/>
      </c>
    </row>
    <row r="1587" ht="15.75" customHeight="1" s="64">
      <c r="A1587" s="51">
        <f>Balones!Y69</f>
        <v/>
      </c>
    </row>
    <row r="1588" ht="15.75" customHeight="1" s="64">
      <c r="A1588" s="51">
        <f>Balones!Y70</f>
        <v/>
      </c>
    </row>
    <row r="1589" ht="15.75" customHeight="1" s="64">
      <c r="A1589" s="51">
        <f>#REF!</f>
        <v/>
      </c>
    </row>
    <row r="1590" ht="15.75" customHeight="1" s="64">
      <c r="A1590" s="51">
        <f>Balones!Y71</f>
        <v/>
      </c>
    </row>
    <row r="1591" ht="15.75" customHeight="1" s="64">
      <c r="A1591" s="51">
        <f>Balones!Y72</f>
        <v/>
      </c>
    </row>
    <row r="1592" ht="15.75" customHeight="1" s="64">
      <c r="A1592" s="51">
        <f>Balones!Y73</f>
        <v/>
      </c>
    </row>
    <row r="1593" ht="15.75" customHeight="1" s="64">
      <c r="A1593" s="51">
        <f>Balones!Y74</f>
        <v/>
      </c>
    </row>
    <row r="1594" ht="15.75" customHeight="1" s="64">
      <c r="A1594" s="51">
        <f>Balones!Y75</f>
        <v/>
      </c>
    </row>
    <row r="1595" ht="15.75" customHeight="1" s="64">
      <c r="A1595" s="51">
        <f>Balones!Y76</f>
        <v/>
      </c>
    </row>
    <row r="1596" ht="15.75" customHeight="1" s="64">
      <c r="A1596" s="51">
        <f>Balones!Y77</f>
        <v/>
      </c>
    </row>
    <row r="1597" ht="15.75" customHeight="1" s="64">
      <c r="A1597" s="51">
        <f>Balones!Y78</f>
        <v/>
      </c>
    </row>
    <row r="1598" ht="15.75" customHeight="1" s="64">
      <c r="A1598" s="51">
        <f>Balones!Y79</f>
        <v/>
      </c>
    </row>
    <row r="1599" ht="15.75" customHeight="1" s="64">
      <c r="A1599" s="51">
        <f>Balones!Y80</f>
        <v/>
      </c>
    </row>
    <row r="1600" ht="15.75" customHeight="1" s="64">
      <c r="A1600" s="51">
        <f>Balones!Y218</f>
        <v/>
      </c>
    </row>
    <row r="1601" ht="15.75" customHeight="1" s="64">
      <c r="A1601" s="51">
        <f>Balones!Y219</f>
        <v/>
      </c>
    </row>
    <row r="1602" ht="15.75" customHeight="1" s="64">
      <c r="A1602" s="51">
        <f>Balones!Y220</f>
        <v/>
      </c>
    </row>
    <row r="1603" ht="15.75" customHeight="1" s="64">
      <c r="A1603" s="51">
        <f>Balones!Y221</f>
        <v/>
      </c>
    </row>
    <row r="1604" ht="15.75" customHeight="1" s="64">
      <c r="A1604" s="51">
        <f>Balones!Y222</f>
        <v/>
      </c>
    </row>
    <row r="1605" ht="15.75" customHeight="1" s="64">
      <c r="A1605" s="51">
        <f>Balones!Y223</f>
        <v/>
      </c>
    </row>
    <row r="1606" ht="15.75" customHeight="1" s="64">
      <c r="A1606" s="51">
        <f>Balones!Y224</f>
        <v/>
      </c>
    </row>
    <row r="1607" ht="15.75" customHeight="1" s="64">
      <c r="A1607" s="51">
        <f>Balones!Y225</f>
        <v/>
      </c>
    </row>
    <row r="1608" ht="15.75" customHeight="1" s="64">
      <c r="A1608" s="51">
        <f>Balones!Y226</f>
        <v/>
      </c>
    </row>
    <row r="1609" ht="15.75" customHeight="1" s="64">
      <c r="A1609" s="51">
        <f>Balones!Y227</f>
        <v/>
      </c>
    </row>
    <row r="1610" ht="15.75" customHeight="1" s="64">
      <c r="A1610" s="51">
        <f>Balones!Y228</f>
        <v/>
      </c>
    </row>
    <row r="1611" ht="15.75" customHeight="1" s="64">
      <c r="A1611" s="51">
        <f>Balones!Y229</f>
        <v/>
      </c>
    </row>
    <row r="1612" ht="15.75" customHeight="1" s="64">
      <c r="A1612" s="51">
        <f>Balones!Y230</f>
        <v/>
      </c>
    </row>
    <row r="1613" ht="15.75" customHeight="1" s="64">
      <c r="A1613" s="51">
        <f>Balones!Y231</f>
        <v/>
      </c>
    </row>
    <row r="1614" ht="15.75" customHeight="1" s="64">
      <c r="A1614" s="51">
        <f>Balones!Y232</f>
        <v/>
      </c>
    </row>
    <row r="1615" ht="15.75" customHeight="1" s="64">
      <c r="A1615" s="51">
        <f>Balones!Y233</f>
        <v/>
      </c>
    </row>
    <row r="1616" ht="15.75" customHeight="1" s="64">
      <c r="A1616" s="51">
        <f>Balones!Y234</f>
        <v/>
      </c>
    </row>
    <row r="1617" ht="15.75" customHeight="1" s="64">
      <c r="A1617" s="51">
        <f>Balones!Y235</f>
        <v/>
      </c>
    </row>
    <row r="1618" ht="15.75" customHeight="1" s="64">
      <c r="A1618" s="51">
        <f>Balones!Y236</f>
        <v/>
      </c>
    </row>
    <row r="1619" ht="15.75" customHeight="1" s="64">
      <c r="A1619" s="51">
        <f>Balones!Y237</f>
        <v/>
      </c>
    </row>
    <row r="1620" ht="15.75" customHeight="1" s="64">
      <c r="A1620" s="51">
        <f>Balones!Y238</f>
        <v/>
      </c>
    </row>
    <row r="1621" ht="15.75" customHeight="1" s="64">
      <c r="A1621" s="51">
        <f>Balones!Y239</f>
        <v/>
      </c>
    </row>
    <row r="1622" ht="15.75" customHeight="1" s="64">
      <c r="A1622" s="51">
        <f>Balones!Y240</f>
        <v/>
      </c>
    </row>
    <row r="1623" ht="15.75" customHeight="1" s="64">
      <c r="A1623" s="51">
        <f>Balones!Y241</f>
        <v/>
      </c>
    </row>
    <row r="1624" ht="15.75" customHeight="1" s="64">
      <c r="A1624" s="51">
        <f>Balones!Y242</f>
        <v/>
      </c>
    </row>
    <row r="1625" ht="15.75" customHeight="1" s="64">
      <c r="A1625" s="51">
        <f>Balones!Y243</f>
        <v/>
      </c>
    </row>
    <row r="1626" ht="15.75" customHeight="1" s="64">
      <c r="A1626" s="51">
        <f>Balones!Y244</f>
        <v/>
      </c>
    </row>
    <row r="1627" ht="15.75" customHeight="1" s="64">
      <c r="A1627" s="51">
        <f>Balones!Y245</f>
        <v/>
      </c>
    </row>
    <row r="1628" ht="15.75" customHeight="1" s="64">
      <c r="A1628" s="51">
        <f>Balones!Y246</f>
        <v/>
      </c>
    </row>
    <row r="1629" ht="15.75" customHeight="1" s="64">
      <c r="A1629" s="51">
        <f>Balones!Y247</f>
        <v/>
      </c>
    </row>
    <row r="1630" ht="15.75" customHeight="1" s="64">
      <c r="A1630" s="51">
        <f>Balones!Y248</f>
        <v/>
      </c>
    </row>
    <row r="1631" ht="15.75" customHeight="1" s="64">
      <c r="A1631" s="51">
        <f>Balones!Y249</f>
        <v/>
      </c>
    </row>
    <row r="1632" ht="15.75" customHeight="1" s="64">
      <c r="A1632" s="51">
        <f>Balones!Y250</f>
        <v/>
      </c>
    </row>
    <row r="1633" ht="15.75" customHeight="1" s="64">
      <c r="A1633" s="51">
        <f>Balones!Y251</f>
        <v/>
      </c>
    </row>
    <row r="1634" ht="15.75" customHeight="1" s="64">
      <c r="A1634" s="51">
        <f>Balones!Y252</f>
        <v/>
      </c>
    </row>
    <row r="1635" ht="15.75" customHeight="1" s="64">
      <c r="A1635" s="51">
        <f>Balones!Y253</f>
        <v/>
      </c>
    </row>
    <row r="1636" ht="15.75" customHeight="1" s="64">
      <c r="A1636" s="51">
        <f>Balones!Y254</f>
        <v/>
      </c>
    </row>
    <row r="1637" ht="15.75" customHeight="1" s="64">
      <c r="A1637" s="51">
        <f>Balones!Y255</f>
        <v/>
      </c>
    </row>
    <row r="1638" ht="15.75" customHeight="1" s="64">
      <c r="A1638" s="51">
        <f>Balones!Y256</f>
        <v/>
      </c>
    </row>
    <row r="1639" ht="15.75" customHeight="1" s="64">
      <c r="A1639" s="51">
        <f>Balones!Y257</f>
        <v/>
      </c>
    </row>
    <row r="1640" ht="15.75" customHeight="1" s="64">
      <c r="A1640" s="51">
        <f>Balones!Y258</f>
        <v/>
      </c>
    </row>
    <row r="1641" ht="15.75" customHeight="1" s="64">
      <c r="A1641" s="51">
        <f>Balones!Y259</f>
        <v/>
      </c>
    </row>
    <row r="1642" ht="15.75" customHeight="1" s="64">
      <c r="A1642" s="51">
        <f>Balones!Y260</f>
        <v/>
      </c>
    </row>
    <row r="1643" ht="15.75" customHeight="1" s="64">
      <c r="A1643" s="51">
        <f>#REF!</f>
        <v/>
      </c>
    </row>
    <row r="1644" ht="15.75" customHeight="1" s="64">
      <c r="A1644" s="51">
        <f>Balones!Y261</f>
        <v/>
      </c>
    </row>
    <row r="1645" ht="15.75" customHeight="1" s="64">
      <c r="A1645" s="51">
        <f>Balones!Y262</f>
        <v/>
      </c>
    </row>
    <row r="1646" ht="15.75" customHeight="1" s="64">
      <c r="A1646" s="51">
        <f>Balones!Y263</f>
        <v/>
      </c>
    </row>
    <row r="1647" ht="15.75" customHeight="1" s="64">
      <c r="A1647" s="51">
        <f>Balones!Y264</f>
        <v/>
      </c>
    </row>
    <row r="1648" ht="15.75" customHeight="1" s="64">
      <c r="A1648" s="51">
        <f>Balones!Y265</f>
        <v/>
      </c>
    </row>
    <row r="1649" ht="15.75" customHeight="1" s="64">
      <c r="A1649" s="51">
        <f>Balones!Y266</f>
        <v/>
      </c>
    </row>
    <row r="1650" ht="15.75" customHeight="1" s="64">
      <c r="A1650" s="51">
        <f>Balones!Y267</f>
        <v/>
      </c>
    </row>
    <row r="1651" ht="15.75" customHeight="1" s="64">
      <c r="A1651" s="51">
        <f>Balones!Y268</f>
        <v/>
      </c>
    </row>
    <row r="1652" ht="15.75" customHeight="1" s="64">
      <c r="A1652" s="51">
        <f>Balones!Y269</f>
        <v/>
      </c>
    </row>
    <row r="1653" ht="15.75" customHeight="1" s="64">
      <c r="A1653" s="51">
        <f>Balones!Y270</f>
        <v/>
      </c>
    </row>
    <row r="1654" ht="15.75" customHeight="1" s="64">
      <c r="A1654" s="51">
        <f>Balones!Y271</f>
        <v/>
      </c>
    </row>
    <row r="1655" ht="15.75" customHeight="1" s="64">
      <c r="A1655" s="51">
        <f>Balones!Y272</f>
        <v/>
      </c>
    </row>
    <row r="1656" ht="15.75" customHeight="1" s="64">
      <c r="A1656" s="51">
        <f>Balones!Y273</f>
        <v/>
      </c>
    </row>
    <row r="1657" ht="15.75" customHeight="1" s="64">
      <c r="A1657" s="51">
        <f>Balones!Y274</f>
        <v/>
      </c>
    </row>
    <row r="1658" ht="15.75" customHeight="1" s="64">
      <c r="A1658" s="51">
        <f>Balones!Y275</f>
        <v/>
      </c>
    </row>
    <row r="1659" ht="15.75" customHeight="1" s="64">
      <c r="A1659" s="51">
        <f>Balones!Y276</f>
        <v/>
      </c>
    </row>
    <row r="1660" ht="15.75" customHeight="1" s="64">
      <c r="A1660" s="51">
        <f>Balones!Y277</f>
        <v/>
      </c>
    </row>
    <row r="1661" ht="15.75" customHeight="1" s="64">
      <c r="A1661" s="51">
        <f>Balones!Y278</f>
        <v/>
      </c>
    </row>
    <row r="1662" ht="15.75" customHeight="1" s="64">
      <c r="A1662" s="51">
        <f>Balones!Y279</f>
        <v/>
      </c>
    </row>
    <row r="1663" ht="15.75" customHeight="1" s="64">
      <c r="A1663" s="51">
        <f>#REF!</f>
        <v/>
      </c>
    </row>
    <row r="1664" ht="15.75" customHeight="1" s="64">
      <c r="A1664" s="51">
        <f>Balones!Y280</f>
        <v/>
      </c>
    </row>
    <row r="1665" ht="15.75" customHeight="1" s="64">
      <c r="A1665" s="51">
        <f>Balones!Y281</f>
        <v/>
      </c>
    </row>
    <row r="1666" ht="15.75" customHeight="1" s="64">
      <c r="A1666" s="51">
        <f>Balones!Y282</f>
        <v/>
      </c>
    </row>
    <row r="1667" ht="15.75" customHeight="1" s="64">
      <c r="A1667" s="51">
        <f>Balones!Y283</f>
        <v/>
      </c>
    </row>
    <row r="1668" ht="15.75" customHeight="1" s="64">
      <c r="A1668" s="51">
        <f>Balones!Y284</f>
        <v/>
      </c>
    </row>
    <row r="1669" ht="15.75" customHeight="1" s="64">
      <c r="A1669" s="51">
        <f>Balones!Y285</f>
        <v/>
      </c>
    </row>
    <row r="1670" ht="15.75" customHeight="1" s="64">
      <c r="A1670" s="51">
        <f>Balones!Y286</f>
        <v/>
      </c>
    </row>
    <row r="1671" ht="15.75" customHeight="1" s="64">
      <c r="A1671" s="51">
        <f>Balones!Y287</f>
        <v/>
      </c>
    </row>
    <row r="1672" ht="15.75" customHeight="1" s="64">
      <c r="A1672" s="51">
        <f>Balones!Y288</f>
        <v/>
      </c>
    </row>
    <row r="1673" ht="15.75" customHeight="1" s="64">
      <c r="A1673" s="51">
        <f>Balones!Y289</f>
        <v/>
      </c>
    </row>
    <row r="1674" ht="15.75" customHeight="1" s="64">
      <c r="A1674" s="51">
        <f>Balones!Y290</f>
        <v/>
      </c>
    </row>
    <row r="1675" ht="15.75" customHeight="1" s="64">
      <c r="A1675" s="51">
        <f>Balones!Y291</f>
        <v/>
      </c>
    </row>
    <row r="1676" ht="15.75" customHeight="1" s="64">
      <c r="A1676" s="51">
        <f>Balones!Y292</f>
        <v/>
      </c>
    </row>
    <row r="1677" ht="15.75" customHeight="1" s="64">
      <c r="A1677" s="51">
        <f>Balones!Y293</f>
        <v/>
      </c>
    </row>
    <row r="1678" ht="15.75" customHeight="1" s="64">
      <c r="A1678" s="51">
        <f>Balones!Y294</f>
        <v/>
      </c>
    </row>
    <row r="1679" ht="15.75" customHeight="1" s="64">
      <c r="A1679" s="51">
        <f>Balones!Y295</f>
        <v/>
      </c>
    </row>
    <row r="1680" ht="15.75" customHeight="1" s="64">
      <c r="A1680" s="51">
        <f>Balones!Y296</f>
        <v/>
      </c>
    </row>
    <row r="1681" ht="15.75" customHeight="1" s="64">
      <c r="A1681" s="51">
        <f>Balones!Y297</f>
        <v/>
      </c>
    </row>
    <row r="1682" ht="15.75" customHeight="1" s="64">
      <c r="A1682" s="51">
        <f>Balones!Y298</f>
        <v/>
      </c>
    </row>
    <row r="1683" ht="15.75" customHeight="1" s="64">
      <c r="A1683" s="51">
        <f>Balones!Y299</f>
        <v/>
      </c>
    </row>
    <row r="1684" ht="15.75" customHeight="1" s="64">
      <c r="A1684" s="51">
        <f>Balones!Y300</f>
        <v/>
      </c>
    </row>
    <row r="1685" ht="15.75" customHeight="1" s="64">
      <c r="A1685" s="51">
        <f>Balones!Y301</f>
        <v/>
      </c>
    </row>
    <row r="1686" ht="15.75" customHeight="1" s="64">
      <c r="A1686" s="51">
        <f>Balones!Y302</f>
        <v/>
      </c>
    </row>
    <row r="1687" ht="15.75" customHeight="1" s="64">
      <c r="A1687" s="51">
        <f>Balones!Y303</f>
        <v/>
      </c>
    </row>
    <row r="1688" ht="15.75" customHeight="1" s="64">
      <c r="A1688" s="51">
        <f>Balones!Y304</f>
        <v/>
      </c>
    </row>
    <row r="1689" ht="15.75" customHeight="1" s="64">
      <c r="A1689" s="51">
        <f>Balones!Y305</f>
        <v/>
      </c>
    </row>
    <row r="1690" ht="15.75" customHeight="1" s="64">
      <c r="A1690" s="51">
        <f>Balones!Y306</f>
        <v/>
      </c>
    </row>
    <row r="1691" ht="15.75" customHeight="1" s="64">
      <c r="A1691" s="51">
        <f>Balones!Y307</f>
        <v/>
      </c>
    </row>
    <row r="1692" ht="15.75" customHeight="1" s="64">
      <c r="A1692" s="51">
        <f>Balones!Y308</f>
        <v/>
      </c>
    </row>
    <row r="1693" ht="15.75" customHeight="1" s="64">
      <c r="A1693" s="51">
        <f>Balones!Y309</f>
        <v/>
      </c>
    </row>
    <row r="1694" ht="15.75" customHeight="1" s="64">
      <c r="A1694" s="51">
        <f>Balones!Y310</f>
        <v/>
      </c>
    </row>
    <row r="1695" ht="15.75" customHeight="1" s="64">
      <c r="A1695" s="51">
        <f>Balones!Y311</f>
        <v/>
      </c>
    </row>
    <row r="1696" ht="15.75" customHeight="1" s="64">
      <c r="A1696" s="51">
        <f>Balones!Y312</f>
        <v/>
      </c>
    </row>
    <row r="1697" ht="15.75" customHeight="1" s="64">
      <c r="A1697" s="51">
        <f>Balones!Y313</f>
        <v/>
      </c>
    </row>
    <row r="1698" ht="15.75" customHeight="1" s="64">
      <c r="A1698" s="51">
        <f>Balones!Y314</f>
        <v/>
      </c>
    </row>
    <row r="1699" ht="15.75" customHeight="1" s="64">
      <c r="A1699" s="51">
        <f>Balones!Y315</f>
        <v/>
      </c>
    </row>
    <row r="1700" ht="15.75" customHeight="1" s="64">
      <c r="A1700" s="51">
        <f>Balones!Y316</f>
        <v/>
      </c>
    </row>
    <row r="1701" ht="15.75" customHeight="1" s="64">
      <c r="A1701" s="51">
        <f>Balones!Y317</f>
        <v/>
      </c>
    </row>
    <row r="1702" ht="15.75" customHeight="1" s="64">
      <c r="A1702" s="51">
        <f>Balones!Y318</f>
        <v/>
      </c>
    </row>
    <row r="1703" ht="15.75" customHeight="1" s="64">
      <c r="A1703" s="51">
        <f>Balones!Y319</f>
        <v/>
      </c>
    </row>
    <row r="1704" ht="15.75" customHeight="1" s="64">
      <c r="A1704" s="51">
        <f>Balones!Y320</f>
        <v/>
      </c>
    </row>
    <row r="1705" ht="15.75" customHeight="1" s="64">
      <c r="A1705" s="51">
        <f>Balones!Y321</f>
        <v/>
      </c>
    </row>
    <row r="1706" ht="15.75" customHeight="1" s="64">
      <c r="A1706" s="51">
        <f>Balones!Y322</f>
        <v/>
      </c>
    </row>
    <row r="1707" ht="15.75" customHeight="1" s="64">
      <c r="A1707" s="51">
        <f>Balones!Y323</f>
        <v/>
      </c>
    </row>
    <row r="1708" ht="15.75" customHeight="1" s="64">
      <c r="A1708" s="51">
        <f>Balones!Y324</f>
        <v/>
      </c>
    </row>
    <row r="1709" ht="15.75" customHeight="1" s="64">
      <c r="A1709" s="51">
        <f>Balones!Y325</f>
        <v/>
      </c>
    </row>
    <row r="1710" ht="15.75" customHeight="1" s="64">
      <c r="A1710" s="51">
        <f>Balones!Y326</f>
        <v/>
      </c>
    </row>
    <row r="1711" ht="15.75" customHeight="1" s="64">
      <c r="A1711" s="51">
        <f>Balones!Y327</f>
        <v/>
      </c>
    </row>
    <row r="1712" ht="15.75" customHeight="1" s="64">
      <c r="A1712" s="51">
        <f>Balones!Y328</f>
        <v/>
      </c>
    </row>
    <row r="1713" ht="15.75" customHeight="1" s="64">
      <c r="A1713" s="51">
        <f>Balones!Y329</f>
        <v/>
      </c>
    </row>
    <row r="1714" ht="15.75" customHeight="1" s="64">
      <c r="A1714" s="51">
        <f>Balones!Y330</f>
        <v/>
      </c>
    </row>
    <row r="1715" ht="15.75" customHeight="1" s="64">
      <c r="A1715" s="51">
        <f>Balones!Y331</f>
        <v/>
      </c>
    </row>
    <row r="1716" ht="15.75" customHeight="1" s="64">
      <c r="A1716" s="51">
        <f>Balones!Y332</f>
        <v/>
      </c>
    </row>
    <row r="1717" ht="15.75" customHeight="1" s="64">
      <c r="A1717" s="51">
        <f>Balones!Y333</f>
        <v/>
      </c>
    </row>
    <row r="1718" ht="15.75" customHeight="1" s="64">
      <c r="A1718" s="51">
        <f>Balones!Y334</f>
        <v/>
      </c>
    </row>
    <row r="1719" ht="15.75" customHeight="1" s="64">
      <c r="A1719" s="51">
        <f>Balones!Y335</f>
        <v/>
      </c>
    </row>
    <row r="1720" ht="15.75" customHeight="1" s="64">
      <c r="A1720" s="51">
        <f>Balones!Y336</f>
        <v/>
      </c>
    </row>
    <row r="1721" ht="15.75" customHeight="1" s="64">
      <c r="A1721" s="51">
        <f>Balones!Y337</f>
        <v/>
      </c>
    </row>
    <row r="1722" ht="15.75" customHeight="1" s="64">
      <c r="A1722" s="51">
        <f>Balones!Y338</f>
        <v/>
      </c>
    </row>
    <row r="1723" ht="15.75" customHeight="1" s="64">
      <c r="A1723" s="51">
        <f>Balones!Y339</f>
        <v/>
      </c>
    </row>
    <row r="1724" ht="15.75" customHeight="1" s="64">
      <c r="A1724" s="51">
        <f>Balones!Y340</f>
        <v/>
      </c>
    </row>
    <row r="1725" ht="15.75" customHeight="1" s="64">
      <c r="A1725" s="51">
        <f>Balones!Y341</f>
        <v/>
      </c>
    </row>
    <row r="1726" ht="15.75" customHeight="1" s="64">
      <c r="A1726" s="51">
        <f>Balones!Y342</f>
        <v/>
      </c>
    </row>
    <row r="1727" ht="15.75" customHeight="1" s="64">
      <c r="A1727" s="51">
        <f>Balones!Y343</f>
        <v/>
      </c>
    </row>
    <row r="1728" ht="15.75" customHeight="1" s="64">
      <c r="A1728" s="51">
        <f>Balones!Y344</f>
        <v/>
      </c>
    </row>
    <row r="1729" ht="15.75" customHeight="1" s="64">
      <c r="A1729" s="51">
        <f>Balones!Y345</f>
        <v/>
      </c>
    </row>
    <row r="1730" ht="15.75" customHeight="1" s="64">
      <c r="A1730" s="51">
        <f>Balones!Y346</f>
        <v/>
      </c>
    </row>
    <row r="1731" ht="15.75" customHeight="1" s="64">
      <c r="A1731" s="51">
        <f>Balones!Y347</f>
        <v/>
      </c>
    </row>
    <row r="1732" ht="15.75" customHeight="1" s="64">
      <c r="A1732" s="51">
        <f>Balones!Y348</f>
        <v/>
      </c>
    </row>
    <row r="1733" ht="15.75" customHeight="1" s="64">
      <c r="A1733" s="51">
        <f>Balones!Y349</f>
        <v/>
      </c>
    </row>
    <row r="1734" ht="15.75" customHeight="1" s="64">
      <c r="A1734" s="51">
        <f>Balones!Y350</f>
        <v/>
      </c>
    </row>
    <row r="1735" ht="15.75" customHeight="1" s="64">
      <c r="A1735" s="51">
        <f>Balones!Y351</f>
        <v/>
      </c>
    </row>
    <row r="1736" ht="15.75" customHeight="1" s="64">
      <c r="A1736" s="51">
        <f>Balones!Y352</f>
        <v/>
      </c>
    </row>
    <row r="1737" ht="15.75" customHeight="1" s="64">
      <c r="A1737" s="51">
        <f>Balones!Y353</f>
        <v/>
      </c>
    </row>
    <row r="1738" ht="15.75" customHeight="1" s="64">
      <c r="A1738" s="51">
        <f>Balones!Y354</f>
        <v/>
      </c>
    </row>
    <row r="1739" ht="15.75" customHeight="1" s="64">
      <c r="A1739" s="51">
        <f>Balones!Y355</f>
        <v/>
      </c>
    </row>
    <row r="1740" ht="15.75" customHeight="1" s="64">
      <c r="A1740" s="51">
        <f>Balones!Y356</f>
        <v/>
      </c>
    </row>
    <row r="1741" ht="15.75" customHeight="1" s="64">
      <c r="A1741" s="51">
        <f>Balones!Y357</f>
        <v/>
      </c>
    </row>
    <row r="1742" ht="15.75" customHeight="1" s="64">
      <c r="A1742" s="51">
        <f>Balones!Y358</f>
        <v/>
      </c>
    </row>
    <row r="1743" ht="15.75" customHeight="1" s="64">
      <c r="A1743" s="51">
        <f>Balones!Y359</f>
        <v/>
      </c>
    </row>
    <row r="1744" ht="15.75" customHeight="1" s="64">
      <c r="A1744" s="51">
        <f>Balones!Y360</f>
        <v/>
      </c>
    </row>
    <row r="1745" ht="15.75" customHeight="1" s="64">
      <c r="A1745" s="51">
        <f>Balones!Y361</f>
        <v/>
      </c>
    </row>
    <row r="1746" ht="15.75" customHeight="1" s="64">
      <c r="A1746" s="51">
        <f>Balones!Y362</f>
        <v/>
      </c>
    </row>
    <row r="1747" ht="15.75" customHeight="1" s="64">
      <c r="A1747" s="51">
        <f>Balones!Y363</f>
        <v/>
      </c>
    </row>
    <row r="1748" ht="15.75" customHeight="1" s="64">
      <c r="A1748" s="51">
        <f>Balones!Y364</f>
        <v/>
      </c>
    </row>
    <row r="1749" ht="15.75" customHeight="1" s="64">
      <c r="A1749" s="51">
        <f>Balones!Y365</f>
        <v/>
      </c>
    </row>
    <row r="1750" ht="15.75" customHeight="1" s="64">
      <c r="A1750" s="51">
        <f>Balones!Y366</f>
        <v/>
      </c>
    </row>
    <row r="1751" ht="15.75" customHeight="1" s="64">
      <c r="A1751" s="51">
        <f>Balones!Y367</f>
        <v/>
      </c>
    </row>
    <row r="1752" ht="15.75" customHeight="1" s="64">
      <c r="A1752" s="51">
        <f>Balones!Y368</f>
        <v/>
      </c>
    </row>
    <row r="1753" ht="15.75" customHeight="1" s="64">
      <c r="A1753" s="51">
        <f>Balones!Y369</f>
        <v/>
      </c>
    </row>
    <row r="1754" ht="15.75" customHeight="1" s="64">
      <c r="A1754" s="51">
        <f>Balones!Y370</f>
        <v/>
      </c>
    </row>
    <row r="1755" ht="15.75" customHeight="1" s="64">
      <c r="A1755" s="51">
        <f>Balones!Y371</f>
        <v/>
      </c>
    </row>
    <row r="1756" ht="15.75" customHeight="1" s="64">
      <c r="A1756" s="51">
        <f>Balones!Y372</f>
        <v/>
      </c>
    </row>
    <row r="1757" ht="15.75" customHeight="1" s="64">
      <c r="A1757" s="51">
        <f>Balones!Y373</f>
        <v/>
      </c>
    </row>
    <row r="1758" ht="15.75" customHeight="1" s="64">
      <c r="A1758" s="51">
        <f>Balones!Y374</f>
        <v/>
      </c>
    </row>
    <row r="1759" ht="15.75" customHeight="1" s="64">
      <c r="A1759" s="51">
        <f>Balones!Y375</f>
        <v/>
      </c>
    </row>
    <row r="1760" ht="15.75" customHeight="1" s="64">
      <c r="A1760" s="51">
        <f>Balones!Y376</f>
        <v/>
      </c>
    </row>
    <row r="1761" ht="15.75" customHeight="1" s="64">
      <c r="A1761" s="51">
        <f>Balones!Y377</f>
        <v/>
      </c>
    </row>
    <row r="1762" ht="15.75" customHeight="1" s="64">
      <c r="A1762" s="51">
        <f>Balones!Y378</f>
        <v/>
      </c>
    </row>
    <row r="1763" ht="15.75" customHeight="1" s="64">
      <c r="A1763" s="51">
        <f>Balones!Y379</f>
        <v/>
      </c>
    </row>
    <row r="1764" ht="15.75" customHeight="1" s="64">
      <c r="A1764" s="51">
        <f>Balones!Y380</f>
        <v/>
      </c>
    </row>
    <row r="1765" ht="15.75" customHeight="1" s="64">
      <c r="A1765" s="51">
        <f>Balones!Y381</f>
        <v/>
      </c>
    </row>
    <row r="1766" ht="15.75" customHeight="1" s="64">
      <c r="A1766" s="51">
        <f>Balones!Y382</f>
        <v/>
      </c>
    </row>
    <row r="1767" ht="15.75" customHeight="1" s="64">
      <c r="A1767" s="51">
        <f>Balones!Y383</f>
        <v/>
      </c>
    </row>
    <row r="1768" ht="15.75" customHeight="1" s="64">
      <c r="A1768" s="51">
        <f>Balones!Y384</f>
        <v/>
      </c>
    </row>
    <row r="1769" ht="15.75" customHeight="1" s="64">
      <c r="A1769" s="51">
        <f>Balones!Y385</f>
        <v/>
      </c>
    </row>
    <row r="1770" ht="15.75" customHeight="1" s="64">
      <c r="A1770" s="51">
        <f>Balones!Y386</f>
        <v/>
      </c>
    </row>
    <row r="1771" ht="15.75" customHeight="1" s="64">
      <c r="A1771" s="51">
        <f>Balones!Y387</f>
        <v/>
      </c>
    </row>
    <row r="1772" ht="15.75" customHeight="1" s="64">
      <c r="A1772" s="51">
        <f>Balones!Y388</f>
        <v/>
      </c>
    </row>
    <row r="1773" ht="15.75" customHeight="1" s="64">
      <c r="A1773" s="51">
        <f>Balones!Y389</f>
        <v/>
      </c>
    </row>
    <row r="1774" ht="15.75" customHeight="1" s="64">
      <c r="A1774" s="51">
        <f>Balones!Y390</f>
        <v/>
      </c>
    </row>
    <row r="1775" ht="15.75" customHeight="1" s="64">
      <c r="A1775" s="51">
        <f>Balones!Y391</f>
        <v/>
      </c>
    </row>
    <row r="1776" ht="15.75" customHeight="1" s="64">
      <c r="A1776" s="51">
        <f>Balones!Y392</f>
        <v/>
      </c>
    </row>
    <row r="1777" ht="15.75" customHeight="1" s="64">
      <c r="A1777" s="51">
        <f>Balones!Y393</f>
        <v/>
      </c>
    </row>
    <row r="1778" ht="15.75" customHeight="1" s="64">
      <c r="A1778" s="51">
        <f>Balones!Y394</f>
        <v/>
      </c>
    </row>
    <row r="1779" ht="15.75" customHeight="1" s="64">
      <c r="A1779" s="51">
        <f>Balones!Y395</f>
        <v/>
      </c>
    </row>
    <row r="1780" ht="15.75" customHeight="1" s="64">
      <c r="A1780" s="51">
        <f>Balones!Y396</f>
        <v/>
      </c>
    </row>
    <row r="1781" ht="15.75" customHeight="1" s="64">
      <c r="A1781" s="51">
        <f>Balones!Y397</f>
        <v/>
      </c>
    </row>
    <row r="1782" ht="15.75" customHeight="1" s="64">
      <c r="A1782" s="51">
        <f>Balones!Y398</f>
        <v/>
      </c>
    </row>
    <row r="1783" ht="15.75" customHeight="1" s="64">
      <c r="A1783" s="51">
        <f>Balones!Y399</f>
        <v/>
      </c>
    </row>
    <row r="1784" ht="15.75" customHeight="1" s="64">
      <c r="A1784" s="51">
        <f>Balones!Y400</f>
        <v/>
      </c>
    </row>
    <row r="1785" ht="15.75" customHeight="1" s="64">
      <c r="A1785" s="51">
        <f>Balones!Y401</f>
        <v/>
      </c>
    </row>
    <row r="1786" ht="15.75" customHeight="1" s="64">
      <c r="A1786" s="51">
        <f>Balones!Y402</f>
        <v/>
      </c>
    </row>
    <row r="1787" ht="15.75" customHeight="1" s="64">
      <c r="A1787" s="51">
        <f>Balones!Y403</f>
        <v/>
      </c>
    </row>
    <row r="1788" ht="15.75" customHeight="1" s="64">
      <c r="A1788" s="51">
        <f>Balones!Y404</f>
        <v/>
      </c>
    </row>
    <row r="1789" ht="15.75" customHeight="1" s="64">
      <c r="A1789" s="51">
        <f>Balones!Y405</f>
        <v/>
      </c>
    </row>
    <row r="1790" ht="15.75" customHeight="1" s="64">
      <c r="A1790" s="51">
        <f>Balones!Y406</f>
        <v/>
      </c>
    </row>
    <row r="1791" ht="15.75" customHeight="1" s="64">
      <c r="A1791" s="51">
        <f>Balones!Y407</f>
        <v/>
      </c>
    </row>
    <row r="1792" ht="15.75" customHeight="1" s="64">
      <c r="A1792" s="51">
        <f>Balones!Y408</f>
        <v/>
      </c>
    </row>
    <row r="1793" ht="15.75" customHeight="1" s="64">
      <c r="A1793" s="51">
        <f>Balones!Y409</f>
        <v/>
      </c>
    </row>
    <row r="1794" ht="15.75" customHeight="1" s="64">
      <c r="A1794" s="51">
        <f>Balones!Y410</f>
        <v/>
      </c>
    </row>
    <row r="1795" ht="15.75" customHeight="1" s="64">
      <c r="A1795" s="51">
        <f>Balones!Y411</f>
        <v/>
      </c>
    </row>
    <row r="1796" ht="15.75" customHeight="1" s="64">
      <c r="A1796" s="51">
        <f>Balones!Y412</f>
        <v/>
      </c>
    </row>
    <row r="1797" ht="15.75" customHeight="1" s="64">
      <c r="A1797" s="51">
        <f>Balones!Y413</f>
        <v/>
      </c>
    </row>
    <row r="1798" ht="15.75" customHeight="1" s="64">
      <c r="A1798" s="51">
        <f>Balones!Y414</f>
        <v/>
      </c>
    </row>
    <row r="1799" ht="15.75" customHeight="1" s="64">
      <c r="A1799" s="51">
        <f>Balones!Y415</f>
        <v/>
      </c>
    </row>
    <row r="1800" ht="15.75" customHeight="1" s="64">
      <c r="A1800" s="51">
        <f>Balones!Y416</f>
        <v/>
      </c>
    </row>
    <row r="1801" ht="15.75" customHeight="1" s="64">
      <c r="A1801" s="51">
        <f>Balones!Y417</f>
        <v/>
      </c>
    </row>
    <row r="1802" ht="15.75" customHeight="1" s="64">
      <c r="A1802" s="51">
        <f>Balones!Y418</f>
        <v/>
      </c>
    </row>
    <row r="1803" ht="15.75" customHeight="1" s="64">
      <c r="A1803" s="51">
        <f>Balones!Y419</f>
        <v/>
      </c>
    </row>
    <row r="1804" ht="15.75" customHeight="1" s="64">
      <c r="A1804" s="51">
        <f>Balones!Y420</f>
        <v/>
      </c>
    </row>
    <row r="1805" ht="15.75" customHeight="1" s="64">
      <c r="A1805" s="51">
        <f>Balones!Y421</f>
        <v/>
      </c>
    </row>
    <row r="1806" ht="15.75" customHeight="1" s="64">
      <c r="A1806" s="51">
        <f>Balones!Y422</f>
        <v/>
      </c>
    </row>
    <row r="1807" ht="15.75" customHeight="1" s="64">
      <c r="A1807" s="51">
        <f>Balones!Y423</f>
        <v/>
      </c>
    </row>
    <row r="1808" ht="15.75" customHeight="1" s="64">
      <c r="A1808" s="51">
        <f>Balones!Y424</f>
        <v/>
      </c>
    </row>
    <row r="1809" ht="15.75" customHeight="1" s="64">
      <c r="A1809" s="51">
        <f>Balones!Y425</f>
        <v/>
      </c>
    </row>
    <row r="1810" ht="15.75" customHeight="1" s="64">
      <c r="A1810" s="51">
        <f>Balones!Y426</f>
        <v/>
      </c>
    </row>
    <row r="1811" ht="15.75" customHeight="1" s="64">
      <c r="A1811" s="51">
        <f>Balones!Y427</f>
        <v/>
      </c>
    </row>
    <row r="1812" ht="15.75" customHeight="1" s="64">
      <c r="A1812" s="51">
        <f>Balones!Y428</f>
        <v/>
      </c>
    </row>
    <row r="1813" ht="15.75" customHeight="1" s="64">
      <c r="A1813" s="51">
        <f>Balones!Y429</f>
        <v/>
      </c>
    </row>
    <row r="1814" ht="15.75" customHeight="1" s="64">
      <c r="A1814" s="51">
        <f>Balones!Y430</f>
        <v/>
      </c>
    </row>
    <row r="1815" ht="15.75" customHeight="1" s="64">
      <c r="A1815" s="51">
        <f>Balones!Y431</f>
        <v/>
      </c>
    </row>
    <row r="1816" ht="15.75" customHeight="1" s="64">
      <c r="A1816" s="51">
        <f>Balones!Y432</f>
        <v/>
      </c>
    </row>
    <row r="1817" ht="15.75" customHeight="1" s="64">
      <c r="A1817" s="51">
        <f>Balones!Y433</f>
        <v/>
      </c>
    </row>
    <row r="1818" ht="15.75" customHeight="1" s="64">
      <c r="A1818" s="51">
        <f>Balones!Y434</f>
        <v/>
      </c>
    </row>
    <row r="1819" ht="15.75" customHeight="1" s="64">
      <c r="A1819" s="51">
        <f>Balones!Y435</f>
        <v/>
      </c>
    </row>
    <row r="1820" ht="15.75" customHeight="1" s="64">
      <c r="A1820" s="51">
        <f>Balones!Y436</f>
        <v/>
      </c>
    </row>
    <row r="1821" ht="15.75" customHeight="1" s="64">
      <c r="A1821" s="51">
        <f>Balones!Y437</f>
        <v/>
      </c>
    </row>
    <row r="1822" ht="15.75" customHeight="1" s="64">
      <c r="A1822" s="51">
        <f>Balones!Y438</f>
        <v/>
      </c>
    </row>
    <row r="1823" ht="15.75" customHeight="1" s="64">
      <c r="A1823" s="51">
        <f>Balones!Y439</f>
        <v/>
      </c>
    </row>
    <row r="1824" ht="15.75" customHeight="1" s="64">
      <c r="A1824" s="51">
        <f>Balones!Y440</f>
        <v/>
      </c>
    </row>
    <row r="1825" ht="15.75" customHeight="1" s="64">
      <c r="A1825" s="51">
        <f>Balones!Y441</f>
        <v/>
      </c>
    </row>
    <row r="1826" ht="15.75" customHeight="1" s="64">
      <c r="A1826" s="51">
        <f>Balones!Y442</f>
        <v/>
      </c>
    </row>
    <row r="1827" ht="15.75" customHeight="1" s="64">
      <c r="A1827" s="51">
        <f>Balones!Y443</f>
        <v/>
      </c>
    </row>
    <row r="1828" ht="15.75" customHeight="1" s="64">
      <c r="A1828" s="51">
        <f>Balones!Y444</f>
        <v/>
      </c>
    </row>
    <row r="1829" ht="15.75" customHeight="1" s="64">
      <c r="A1829" s="51">
        <f>Balones!Y445</f>
        <v/>
      </c>
    </row>
    <row r="1830" ht="15.75" customHeight="1" s="64">
      <c r="A1830" s="51">
        <f>Balones!Y446</f>
        <v/>
      </c>
    </row>
    <row r="1831" ht="15.75" customHeight="1" s="64">
      <c r="A1831" s="51">
        <f>Balones!Y447</f>
        <v/>
      </c>
    </row>
    <row r="1832" ht="15.75" customHeight="1" s="64">
      <c r="A1832" s="51">
        <f>Balones!Y448</f>
        <v/>
      </c>
    </row>
    <row r="1833" ht="15.75" customHeight="1" s="64">
      <c r="A1833" s="51">
        <f>Balones!Y449</f>
        <v/>
      </c>
    </row>
    <row r="1834" ht="15.75" customHeight="1" s="64">
      <c r="A1834" s="51">
        <f>Balones!Y450</f>
        <v/>
      </c>
    </row>
    <row r="1835" ht="15.75" customHeight="1" s="64">
      <c r="A1835" s="51">
        <f>Balones!Y451</f>
        <v/>
      </c>
    </row>
    <row r="1836" ht="15.75" customHeight="1" s="64">
      <c r="A1836" s="51">
        <f>Balones!Y452</f>
        <v/>
      </c>
    </row>
    <row r="1837" ht="15.75" customHeight="1" s="64">
      <c r="A1837" s="51">
        <f>Balones!Y453</f>
        <v/>
      </c>
    </row>
    <row r="1838" ht="15.75" customHeight="1" s="64">
      <c r="A1838" s="51">
        <f>Balones!Y454</f>
        <v/>
      </c>
    </row>
    <row r="1839" ht="15.75" customHeight="1" s="64">
      <c r="A1839" s="51">
        <f>Balones!Y455</f>
        <v/>
      </c>
    </row>
    <row r="1840" ht="15.75" customHeight="1" s="64">
      <c r="A1840" s="51">
        <f>Balones!Y456</f>
        <v/>
      </c>
    </row>
    <row r="1841" ht="15.75" customHeight="1" s="64">
      <c r="A1841" s="51">
        <f>Balones!Y457</f>
        <v/>
      </c>
    </row>
    <row r="1842" ht="15.75" customHeight="1" s="64">
      <c r="A1842" s="51">
        <f>Balones!Y458</f>
        <v/>
      </c>
    </row>
    <row r="1843" ht="15.75" customHeight="1" s="64">
      <c r="A1843" s="51">
        <f>Balones!Y459</f>
        <v/>
      </c>
    </row>
    <row r="1844" ht="15.75" customHeight="1" s="64">
      <c r="A1844" s="51">
        <f>Balones!Y460</f>
        <v/>
      </c>
    </row>
    <row r="1845" ht="15.75" customHeight="1" s="64">
      <c r="A1845" s="51">
        <f>Balones!Y461</f>
        <v/>
      </c>
    </row>
    <row r="1846" ht="15.75" customHeight="1" s="64">
      <c r="A1846" s="51">
        <f>Balones!Y462</f>
        <v/>
      </c>
    </row>
    <row r="1847" ht="15.75" customHeight="1" s="64">
      <c r="A1847" s="51">
        <f>Balones!Y463</f>
        <v/>
      </c>
    </row>
    <row r="1848" ht="15.75" customHeight="1" s="64">
      <c r="A1848" s="51">
        <f>Balones!Y464</f>
        <v/>
      </c>
    </row>
    <row r="1849" ht="15.75" customHeight="1" s="64">
      <c r="A1849" s="51">
        <f>Balones!Y465</f>
        <v/>
      </c>
    </row>
    <row r="1850" ht="15.75" customHeight="1" s="64">
      <c r="A1850" s="51">
        <f>Balones!Y466</f>
        <v/>
      </c>
    </row>
    <row r="1851" ht="15.75" customHeight="1" s="64">
      <c r="A1851" s="51">
        <f>Balones!Y467</f>
        <v/>
      </c>
    </row>
    <row r="1852" ht="15.75" customHeight="1" s="64">
      <c r="A1852" s="51">
        <f>Balones!Y468</f>
        <v/>
      </c>
    </row>
    <row r="1853" ht="15.75" customHeight="1" s="64">
      <c r="A1853" s="51">
        <f>Balones!Y469</f>
        <v/>
      </c>
    </row>
    <row r="1854" ht="15.75" customHeight="1" s="64">
      <c r="A1854" s="51">
        <f>Balones!Y470</f>
        <v/>
      </c>
    </row>
    <row r="1855" ht="15.75" customHeight="1" s="64">
      <c r="A1855" s="51">
        <f>Balones!Y471</f>
        <v/>
      </c>
    </row>
    <row r="1856" ht="15.75" customHeight="1" s="64">
      <c r="A1856" s="51">
        <f>Balones!Y472</f>
        <v/>
      </c>
    </row>
    <row r="1857" ht="15.75" customHeight="1" s="64">
      <c r="A1857" s="51">
        <f>Balones!Y473</f>
        <v/>
      </c>
    </row>
    <row r="1858" ht="15.75" customHeight="1" s="64">
      <c r="A1858" s="51">
        <f>Balones!Y474</f>
        <v/>
      </c>
    </row>
    <row r="1859" ht="15.75" customHeight="1" s="64">
      <c r="A1859" s="51">
        <f>Balones!Y475</f>
        <v/>
      </c>
    </row>
    <row r="1860" ht="15.75" customHeight="1" s="64">
      <c r="A1860" s="51">
        <f>Balones!Y476</f>
        <v/>
      </c>
    </row>
    <row r="1861" ht="15.75" customHeight="1" s="64">
      <c r="A1861" s="51">
        <f>Balones!Y477</f>
        <v/>
      </c>
    </row>
    <row r="1862" ht="15.75" customHeight="1" s="64">
      <c r="A1862" s="51">
        <f>Balones!Y478</f>
        <v/>
      </c>
    </row>
    <row r="1863" ht="15.75" customHeight="1" s="64">
      <c r="A1863" s="51">
        <f>Balones!Y479</f>
        <v/>
      </c>
    </row>
    <row r="1864" ht="15.75" customHeight="1" s="64">
      <c r="A1864" s="51">
        <f>Balones!Y480</f>
        <v/>
      </c>
    </row>
    <row r="1865" ht="15.75" customHeight="1" s="64">
      <c r="A1865" s="51">
        <f>Balones!Y481</f>
        <v/>
      </c>
    </row>
    <row r="1866" ht="15.75" customHeight="1" s="64">
      <c r="A1866" s="51">
        <f>Balones!Y482</f>
        <v/>
      </c>
    </row>
    <row r="1867" ht="15.75" customHeight="1" s="64">
      <c r="A1867" s="51">
        <f>Balones!Y483</f>
        <v/>
      </c>
    </row>
    <row r="1868" ht="15.75" customHeight="1" s="64">
      <c r="A1868" s="51">
        <f>Balones!Y484</f>
        <v/>
      </c>
    </row>
    <row r="1869" ht="15.75" customHeight="1" s="64">
      <c r="A1869" s="51">
        <f>Balones!Y485</f>
        <v/>
      </c>
    </row>
    <row r="1870" ht="15.75" customHeight="1" s="64">
      <c r="A1870" s="51">
        <f>Balones!Y486</f>
        <v/>
      </c>
    </row>
    <row r="1871" ht="15.75" customHeight="1" s="64">
      <c r="A1871" s="51">
        <f>Balones!Y487</f>
        <v/>
      </c>
    </row>
    <row r="1872" ht="15.75" customHeight="1" s="64">
      <c r="A1872" s="51">
        <f>Balones!Y488</f>
        <v/>
      </c>
    </row>
    <row r="1873" ht="15.75" customHeight="1" s="64">
      <c r="A1873" s="51">
        <f>Balones!Y489</f>
        <v/>
      </c>
    </row>
    <row r="1874" ht="15.75" customHeight="1" s="64">
      <c r="A1874" s="51">
        <f>Balones!Y490</f>
        <v/>
      </c>
    </row>
    <row r="1875" ht="15.75" customHeight="1" s="64">
      <c r="A1875" s="51">
        <f>Balones!Y491</f>
        <v/>
      </c>
    </row>
    <row r="1876" ht="15.75" customHeight="1" s="64">
      <c r="A1876" s="51">
        <f>Balones!Y492</f>
        <v/>
      </c>
    </row>
    <row r="1877" ht="15.75" customHeight="1" s="64">
      <c r="A1877" s="51">
        <f>Balones!Y493</f>
        <v/>
      </c>
    </row>
    <row r="1878" ht="15.75" customHeight="1" s="64">
      <c r="A1878" s="51">
        <f>Balones!Y494</f>
        <v/>
      </c>
    </row>
    <row r="1879" ht="15.75" customHeight="1" s="64">
      <c r="A1879" s="51">
        <f>Balones!Y495</f>
        <v/>
      </c>
    </row>
    <row r="1880" ht="15.75" customHeight="1" s="64">
      <c r="A1880" s="51">
        <f>Balones!Y496</f>
        <v/>
      </c>
    </row>
    <row r="1881" ht="15.75" customHeight="1" s="64">
      <c r="A1881" s="51">
        <f>Balones!Y497</f>
        <v/>
      </c>
    </row>
    <row r="1882" ht="15.75" customHeight="1" s="64">
      <c r="A1882" s="51">
        <f>Balones!Y498</f>
        <v/>
      </c>
    </row>
    <row r="1883" ht="15.75" customHeight="1" s="64">
      <c r="A1883" s="51">
        <f>Balones!Y499</f>
        <v/>
      </c>
    </row>
    <row r="1884" ht="15.75" customHeight="1" s="64">
      <c r="A1884" s="51">
        <f>Balones!Y500</f>
        <v/>
      </c>
    </row>
    <row r="1885" ht="15.75" customHeight="1" s="64">
      <c r="A1885" s="51">
        <f>Balones!Y501</f>
        <v/>
      </c>
    </row>
    <row r="1886" ht="15.75" customHeight="1" s="64">
      <c r="A1886" s="51">
        <f>Balones!Y502</f>
        <v/>
      </c>
    </row>
    <row r="1887" ht="15.75" customHeight="1" s="64">
      <c r="A1887" s="51">
        <f>Balones!Y503</f>
        <v/>
      </c>
    </row>
    <row r="1888" ht="15.75" customHeight="1" s="64">
      <c r="A1888" s="51">
        <f>Balones!Y504</f>
        <v/>
      </c>
    </row>
    <row r="1889" ht="15.75" customHeight="1" s="64">
      <c r="A1889" s="51">
        <f>Balones!Y505</f>
        <v/>
      </c>
    </row>
    <row r="1890" ht="15.75" customHeight="1" s="64">
      <c r="A1890" s="51">
        <f>Balones!Y506</f>
        <v/>
      </c>
    </row>
    <row r="1891" ht="15.75" customHeight="1" s="64">
      <c r="A1891" s="51">
        <f>Balones!Y507</f>
        <v/>
      </c>
    </row>
    <row r="1892" ht="15.75" customHeight="1" s="64">
      <c r="A1892" s="51">
        <f>Balones!Y508</f>
        <v/>
      </c>
    </row>
    <row r="1893" ht="15.75" customHeight="1" s="64">
      <c r="A1893" s="51">
        <f>Balones!Y509</f>
        <v/>
      </c>
    </row>
    <row r="1894" ht="15.75" customHeight="1" s="64">
      <c r="A1894" s="51">
        <f>Balones!Y510</f>
        <v/>
      </c>
    </row>
    <row r="1895" ht="15.75" customHeight="1" s="64">
      <c r="A1895" s="51">
        <f>Balones!Y511</f>
        <v/>
      </c>
    </row>
    <row r="1896" ht="15.75" customHeight="1" s="64">
      <c r="A1896" s="51">
        <f>Balones!Y512</f>
        <v/>
      </c>
    </row>
    <row r="1897" ht="15.75" customHeight="1" s="64">
      <c r="A1897" s="51">
        <f>Balones!Y513</f>
        <v/>
      </c>
    </row>
    <row r="1898" ht="15.75" customHeight="1" s="64">
      <c r="A1898" s="51">
        <f>Balones!Y514</f>
        <v/>
      </c>
    </row>
    <row r="1899" ht="15.75" customHeight="1" s="64">
      <c r="A1899" s="51">
        <f>Balones!Y515</f>
        <v/>
      </c>
    </row>
    <row r="1900" ht="15.75" customHeight="1" s="64">
      <c r="A1900" s="51">
        <f>Balones!Y516</f>
        <v/>
      </c>
    </row>
    <row r="1901" ht="15.75" customHeight="1" s="64">
      <c r="A1901" s="51">
        <f>Balones!Y517</f>
        <v/>
      </c>
    </row>
    <row r="1902" ht="15.75" customHeight="1" s="64">
      <c r="A1902" s="51">
        <f>Balones!Y518</f>
        <v/>
      </c>
    </row>
    <row r="1903" ht="15.75" customHeight="1" s="64">
      <c r="A1903" s="51">
        <f>Balones!Y519</f>
        <v/>
      </c>
    </row>
    <row r="1904" ht="15.75" customHeight="1" s="64">
      <c r="A1904" s="51">
        <f>Balones!Y520</f>
        <v/>
      </c>
    </row>
    <row r="1905" ht="15.75" customHeight="1" s="64">
      <c r="A1905" s="51">
        <f>Balones!Y521</f>
        <v/>
      </c>
    </row>
    <row r="1906" ht="15.75" customHeight="1" s="64">
      <c r="A1906" s="51">
        <f>Balones!Y522</f>
        <v/>
      </c>
    </row>
    <row r="1907" ht="15.75" customHeight="1" s="64">
      <c r="A1907" s="51">
        <f>Balones!Y523</f>
        <v/>
      </c>
    </row>
    <row r="1908" ht="15.75" customHeight="1" s="64">
      <c r="A1908" s="51">
        <f>Balones!Y524</f>
        <v/>
      </c>
    </row>
    <row r="1909" ht="15.75" customHeight="1" s="64">
      <c r="A1909" s="51">
        <f>Balones!Y525</f>
        <v/>
      </c>
    </row>
    <row r="1910" ht="15.75" customHeight="1" s="64">
      <c r="A1910" s="51">
        <f>Balones!Y526</f>
        <v/>
      </c>
    </row>
    <row r="1911" ht="15.75" customHeight="1" s="64">
      <c r="A1911" s="51">
        <f>Balones!Y527</f>
        <v/>
      </c>
    </row>
    <row r="1912" ht="15.75" customHeight="1" s="64">
      <c r="A1912" s="51">
        <f>Balones!Y528</f>
        <v/>
      </c>
    </row>
    <row r="1913" ht="15.75" customHeight="1" s="64">
      <c r="A1913" s="51">
        <f>Balones!Y529</f>
        <v/>
      </c>
    </row>
    <row r="1914" ht="15.75" customHeight="1" s="64">
      <c r="A1914" s="51">
        <f>Balones!Y530</f>
        <v/>
      </c>
    </row>
    <row r="1915" ht="15.75" customHeight="1" s="64">
      <c r="A1915" s="51">
        <f>Balones!Y531</f>
        <v/>
      </c>
    </row>
    <row r="1916" ht="15.75" customHeight="1" s="64">
      <c r="A1916" s="51">
        <f>Balones!Y532</f>
        <v/>
      </c>
    </row>
    <row r="1917" ht="15.75" customHeight="1" s="64">
      <c r="A1917" s="51">
        <f>Balones!Y533</f>
        <v/>
      </c>
    </row>
    <row r="1918" ht="15.75" customHeight="1" s="64">
      <c r="A1918" s="51">
        <f>Balones!Y534</f>
        <v/>
      </c>
    </row>
    <row r="1919" ht="15.75" customHeight="1" s="64">
      <c r="A1919" s="51">
        <f>Balones!Y535</f>
        <v/>
      </c>
    </row>
    <row r="1920" ht="15.75" customHeight="1" s="64">
      <c r="A1920" s="51">
        <f>Balones!Y536</f>
        <v/>
      </c>
    </row>
    <row r="1921" ht="15.75" customHeight="1" s="64">
      <c r="A1921" s="51">
        <f>Balones!Y537</f>
        <v/>
      </c>
    </row>
    <row r="1922" ht="15.75" customHeight="1" s="64">
      <c r="A1922" s="51">
        <f>Balones!Y538</f>
        <v/>
      </c>
    </row>
    <row r="1923" ht="15.75" customHeight="1" s="64">
      <c r="A1923" s="51">
        <f>Balones!Y539</f>
        <v/>
      </c>
    </row>
    <row r="1924" ht="15.75" customHeight="1" s="64">
      <c r="A1924" s="51">
        <f>Balones!Y540</f>
        <v/>
      </c>
    </row>
    <row r="1925" ht="15.75" customHeight="1" s="64">
      <c r="A1925" s="51">
        <f>Balones!Y541</f>
        <v/>
      </c>
    </row>
    <row r="1926" ht="15.75" customHeight="1" s="64">
      <c r="A1926" s="51">
        <f>Balones!Y542</f>
        <v/>
      </c>
    </row>
    <row r="1927" ht="15.75" customHeight="1" s="64">
      <c r="A1927" s="51">
        <f>Balones!Y543</f>
        <v/>
      </c>
    </row>
    <row r="1928" ht="15.75" customHeight="1" s="64">
      <c r="A1928" s="51">
        <f>Balones!Y544</f>
        <v/>
      </c>
    </row>
    <row r="1929" ht="15.75" customHeight="1" s="64">
      <c r="A1929" s="51">
        <f>Balones!Y545</f>
        <v/>
      </c>
    </row>
    <row r="1930" ht="15.75" customHeight="1" s="64">
      <c r="A1930" s="51">
        <f>Balones!Y546</f>
        <v/>
      </c>
    </row>
    <row r="1931" ht="15.75" customHeight="1" s="64">
      <c r="A1931" s="51">
        <f>Balones!Y547</f>
        <v/>
      </c>
    </row>
    <row r="1932" ht="15.75" customHeight="1" s="64">
      <c r="A1932" s="51">
        <f>Balones!Y548</f>
        <v/>
      </c>
    </row>
    <row r="1933" ht="15.75" customHeight="1" s="64">
      <c r="A1933" s="51">
        <f>Balones!Y549</f>
        <v/>
      </c>
    </row>
    <row r="1934" ht="15.75" customHeight="1" s="64">
      <c r="A1934" s="51">
        <f>Balones!Y550</f>
        <v/>
      </c>
    </row>
    <row r="1935" ht="15.75" customHeight="1" s="64">
      <c r="A1935" s="51">
        <f>Balones!Y551</f>
        <v/>
      </c>
    </row>
    <row r="1936" ht="15.75" customHeight="1" s="64">
      <c r="A1936" s="51">
        <f>Balones!Y552</f>
        <v/>
      </c>
    </row>
    <row r="1937" ht="15.75" customHeight="1" s="64">
      <c r="A1937" s="51">
        <f>Balones!Y553</f>
        <v/>
      </c>
    </row>
    <row r="1938" ht="15.75" customHeight="1" s="64">
      <c r="A1938" s="51">
        <f>Balones!Y554</f>
        <v/>
      </c>
    </row>
    <row r="1939" ht="15.75" customHeight="1" s="64">
      <c r="A1939" s="51">
        <f>Balones!Y555</f>
        <v/>
      </c>
    </row>
    <row r="1940" ht="15.75" customHeight="1" s="64">
      <c r="A1940" s="51">
        <f>Balones!Y556</f>
        <v/>
      </c>
    </row>
    <row r="1941" ht="15.75" customHeight="1" s="64">
      <c r="A1941" s="51">
        <f>Balones!Y557</f>
        <v/>
      </c>
    </row>
    <row r="1942" ht="15.75" customHeight="1" s="64">
      <c r="A1942" s="51">
        <f>Balones!Y558</f>
        <v/>
      </c>
    </row>
    <row r="1943" ht="15.75" customHeight="1" s="64">
      <c r="A1943" s="51">
        <f>Balones!Y559</f>
        <v/>
      </c>
    </row>
    <row r="1944" ht="15.75" customHeight="1" s="64">
      <c r="A1944" s="51">
        <f>Balones!Y560</f>
        <v/>
      </c>
    </row>
    <row r="1945" ht="15.75" customHeight="1" s="64">
      <c r="A1945" s="51">
        <f>Balones!Y561</f>
        <v/>
      </c>
    </row>
    <row r="1946" ht="15.75" customHeight="1" s="64">
      <c r="A1946" s="51">
        <f>Balones!Y562</f>
        <v/>
      </c>
    </row>
    <row r="1947" ht="15.75" customHeight="1" s="64">
      <c r="A1947" s="51">
        <f>Balones!Y563</f>
        <v/>
      </c>
    </row>
    <row r="1948" ht="15.75" customHeight="1" s="64">
      <c r="A1948" s="51">
        <f>Balones!Y564</f>
        <v/>
      </c>
    </row>
    <row r="1949" ht="15.75" customHeight="1" s="64">
      <c r="A1949" s="51">
        <f>Balones!Y565</f>
        <v/>
      </c>
    </row>
    <row r="1950" ht="15.75" customHeight="1" s="64">
      <c r="A1950" s="51">
        <f>Balones!Y566</f>
        <v/>
      </c>
    </row>
    <row r="1951" ht="15.75" customHeight="1" s="64">
      <c r="A1951" s="51">
        <f>Balones!Y567</f>
        <v/>
      </c>
    </row>
    <row r="1952" ht="15.75" customHeight="1" s="64">
      <c r="A1952" s="51">
        <f>Balones!Y568</f>
        <v/>
      </c>
    </row>
    <row r="1953" ht="15.75" customHeight="1" s="64">
      <c r="A1953" s="51">
        <f>Balones!Y569</f>
        <v/>
      </c>
    </row>
    <row r="1954" ht="15.75" customHeight="1" s="64">
      <c r="A1954" s="51">
        <f>Balones!Y570</f>
        <v/>
      </c>
    </row>
    <row r="1955" ht="15.75" customHeight="1" s="64">
      <c r="A1955" s="51">
        <f>Balones!Y571</f>
        <v/>
      </c>
    </row>
    <row r="1956" ht="15.75" customHeight="1" s="64">
      <c r="A1956" s="51">
        <f>Balones!Y572</f>
        <v/>
      </c>
    </row>
    <row r="1957" ht="15.75" customHeight="1" s="64">
      <c r="A1957" s="51">
        <f>Balones!Y573</f>
        <v/>
      </c>
    </row>
    <row r="1958" ht="15.75" customHeight="1" s="64">
      <c r="A1958" s="51">
        <f>Balones!Y574</f>
        <v/>
      </c>
    </row>
    <row r="1959" ht="15.75" customHeight="1" s="64">
      <c r="A1959" s="51">
        <f>Balones!Y575</f>
        <v/>
      </c>
    </row>
    <row r="1960" ht="15.75" customHeight="1" s="64">
      <c r="A1960" s="51">
        <f>Balones!Y576</f>
        <v/>
      </c>
    </row>
    <row r="1961" ht="15.75" customHeight="1" s="64">
      <c r="A1961" s="51">
        <f>Balones!Y577</f>
        <v/>
      </c>
    </row>
    <row r="1962" ht="15.75" customHeight="1" s="64">
      <c r="A1962" s="51">
        <f>Balones!Y578</f>
        <v/>
      </c>
    </row>
    <row r="1963" ht="15.75" customHeight="1" s="64">
      <c r="A1963" s="51">
        <f>Balones!Y579</f>
        <v/>
      </c>
    </row>
    <row r="1964" ht="15.75" customHeight="1" s="64">
      <c r="A1964" s="51">
        <f>Balones!Y580</f>
        <v/>
      </c>
    </row>
    <row r="1965" ht="15.75" customHeight="1" s="64">
      <c r="A1965" s="51">
        <f>Balones!Y581</f>
        <v/>
      </c>
    </row>
    <row r="1966" ht="15.75" customHeight="1" s="64">
      <c r="A1966" s="51">
        <f>Balones!Y582</f>
        <v/>
      </c>
    </row>
    <row r="1967" ht="15.75" customHeight="1" s="64">
      <c r="A1967" s="51">
        <f>Balones!Y583</f>
        <v/>
      </c>
    </row>
    <row r="1968" ht="15.75" customHeight="1" s="64">
      <c r="A1968" s="51">
        <f>Balones!Y584</f>
        <v/>
      </c>
    </row>
    <row r="1969" ht="15.75" customHeight="1" s="64">
      <c r="A1969" s="51">
        <f>Balones!Y585</f>
        <v/>
      </c>
    </row>
    <row r="1970" ht="15.75" customHeight="1" s="64">
      <c r="A1970" s="51">
        <f>Balones!Y586</f>
        <v/>
      </c>
    </row>
    <row r="1971" ht="15.75" customHeight="1" s="64">
      <c r="A1971" s="51">
        <f>Balones!Y587</f>
        <v/>
      </c>
    </row>
    <row r="1972" ht="15.75" customHeight="1" s="64">
      <c r="A1972" s="51">
        <f>Balones!Y588</f>
        <v/>
      </c>
    </row>
    <row r="1973" ht="15.75" customHeight="1" s="64">
      <c r="A1973" s="51">
        <f>Balones!Y589</f>
        <v/>
      </c>
    </row>
    <row r="1974" ht="15.75" customHeight="1" s="64">
      <c r="A1974" s="51">
        <f>Balones!Y590</f>
        <v/>
      </c>
    </row>
    <row r="1975" ht="15.75" customHeight="1" s="64">
      <c r="A1975" s="51">
        <f>Balones!Y591</f>
        <v/>
      </c>
    </row>
    <row r="1976" ht="15.75" customHeight="1" s="64">
      <c r="A1976" s="51">
        <f>Balones!Y592</f>
        <v/>
      </c>
    </row>
    <row r="1977" ht="15.75" customHeight="1" s="64">
      <c r="A1977" s="51">
        <f>Balones!Y593</f>
        <v/>
      </c>
    </row>
    <row r="1978" ht="15.75" customHeight="1" s="64">
      <c r="A1978" s="51">
        <f>Balones!Y594</f>
        <v/>
      </c>
    </row>
    <row r="1979" ht="15.75" customHeight="1" s="64">
      <c r="A1979" s="51">
        <f>Balones!Y595</f>
        <v/>
      </c>
    </row>
    <row r="1980" ht="15.75" customHeight="1" s="64">
      <c r="A1980" s="51">
        <f>Balones!Y596</f>
        <v/>
      </c>
    </row>
    <row r="1981" ht="15.75" customHeight="1" s="64">
      <c r="A1981" s="51">
        <f>Balones!Y597</f>
        <v/>
      </c>
    </row>
    <row r="1982" ht="15.75" customHeight="1" s="64">
      <c r="A1982" s="51">
        <f>Balones!Y598</f>
        <v/>
      </c>
    </row>
    <row r="1983" ht="15.75" customHeight="1" s="64">
      <c r="A1983" s="51">
        <f>Balones!Y599</f>
        <v/>
      </c>
    </row>
    <row r="1984" ht="15.75" customHeight="1" s="64">
      <c r="A1984" s="51">
        <f>Balones!Y600</f>
        <v/>
      </c>
    </row>
    <row r="1985" ht="15.75" customHeight="1" s="64">
      <c r="A1985" s="51">
        <f>Balones!Y601</f>
        <v/>
      </c>
    </row>
    <row r="1986" ht="15.75" customHeight="1" s="64">
      <c r="A1986" s="51">
        <f>Balones!Y602</f>
        <v/>
      </c>
    </row>
    <row r="1987" ht="15.75" customHeight="1" s="64">
      <c r="A1987" s="51">
        <f>Balones!Y603</f>
        <v/>
      </c>
    </row>
    <row r="1988" ht="15.75" customHeight="1" s="64">
      <c r="A1988" s="51">
        <f>Balones!Y604</f>
        <v/>
      </c>
    </row>
    <row r="1989" ht="15.75" customHeight="1" s="64">
      <c r="A1989" s="51">
        <f>Balones!Y605</f>
        <v/>
      </c>
    </row>
    <row r="1990" ht="15.75" customHeight="1" s="64">
      <c r="A1990" s="51">
        <f>Balones!Y606</f>
        <v/>
      </c>
    </row>
    <row r="1991" ht="15.75" customHeight="1" s="64">
      <c r="A1991" s="51">
        <f>Balones!Y607</f>
        <v/>
      </c>
    </row>
    <row r="1992" ht="15.75" customHeight="1" s="64">
      <c r="A1992" s="51">
        <f>Balones!Y608</f>
        <v/>
      </c>
    </row>
    <row r="1993" ht="15.75" customHeight="1" s="64">
      <c r="A1993" s="51">
        <f>Balones!Y609</f>
        <v/>
      </c>
    </row>
    <row r="1994" ht="15.75" customHeight="1" s="64">
      <c r="A1994" s="51">
        <f>Balones!Y610</f>
        <v/>
      </c>
    </row>
    <row r="1995" ht="15.75" customHeight="1" s="64">
      <c r="A1995" s="51">
        <f>Balones!Y611</f>
        <v/>
      </c>
    </row>
    <row r="1996" ht="15.75" customHeight="1" s="64">
      <c r="A1996" s="51">
        <f>Balones!Y612</f>
        <v/>
      </c>
    </row>
    <row r="1997" ht="15.75" customHeight="1" s="64">
      <c r="A1997" s="51">
        <f>Balones!Y613</f>
        <v/>
      </c>
    </row>
    <row r="1998" ht="15.75" customHeight="1" s="64">
      <c r="A1998" s="51">
        <f>Balones!Y614</f>
        <v/>
      </c>
    </row>
    <row r="1999" ht="15.75" customHeight="1" s="64">
      <c r="A1999" s="51">
        <f>Balones!Y615</f>
        <v/>
      </c>
    </row>
    <row r="2000" ht="15.75" customHeight="1" s="64">
      <c r="A2000" s="51">
        <f>Balones!Y616</f>
        <v/>
      </c>
    </row>
    <row r="2001" ht="15.75" customHeight="1" s="64">
      <c r="A2001" s="51">
        <f>Balones!Y617</f>
        <v/>
      </c>
    </row>
    <row r="2002" ht="15.75" customHeight="1" s="64">
      <c r="A2002" s="51">
        <f>Balones!Y618</f>
        <v/>
      </c>
    </row>
    <row r="2003" ht="15.75" customHeight="1" s="64">
      <c r="A2003" s="51">
        <f>Balones!Y619</f>
        <v/>
      </c>
    </row>
    <row r="2004" ht="15.75" customHeight="1" s="64">
      <c r="A2004" s="51">
        <f>Balones!Y620</f>
        <v/>
      </c>
    </row>
    <row r="2005" ht="15.75" customHeight="1" s="64">
      <c r="A2005" s="51">
        <f>Balones!Y621</f>
        <v/>
      </c>
    </row>
    <row r="2006" ht="15.75" customHeight="1" s="64">
      <c r="A2006" s="51">
        <f>Balones!Y622</f>
        <v/>
      </c>
    </row>
    <row r="2007" ht="15.75" customHeight="1" s="64">
      <c r="A2007" s="51">
        <f>Balones!Y623</f>
        <v/>
      </c>
    </row>
    <row r="2008" ht="15.75" customHeight="1" s="64">
      <c r="A2008" s="51">
        <f>Balones!Y624</f>
        <v/>
      </c>
    </row>
    <row r="2009" ht="15.75" customHeight="1" s="64">
      <c r="A2009" s="51">
        <f>Balones!Y625</f>
        <v/>
      </c>
    </row>
    <row r="2010" ht="15.75" customHeight="1" s="64">
      <c r="A2010" s="51">
        <f>Balones!Y626</f>
        <v/>
      </c>
    </row>
    <row r="2011" ht="15.75" customHeight="1" s="64">
      <c r="A2011" s="51">
        <f>Balones!Y627</f>
        <v/>
      </c>
    </row>
    <row r="2012" ht="15.75" customHeight="1" s="64">
      <c r="A2012" s="51">
        <f>Balones!Y628</f>
        <v/>
      </c>
    </row>
    <row r="2013" ht="15.75" customHeight="1" s="64">
      <c r="A2013" s="51">
        <f>Balones!Y629</f>
        <v/>
      </c>
    </row>
    <row r="2014" ht="15.75" customHeight="1" s="64">
      <c r="A2014" s="51">
        <f>Balones!Y691</f>
        <v/>
      </c>
    </row>
    <row r="2015" ht="15.75" customHeight="1" s="64">
      <c r="A2015" s="51">
        <f>Balones!Y692</f>
        <v/>
      </c>
    </row>
    <row r="2016" ht="15.75" customHeight="1" s="64">
      <c r="A2016" s="51" t="n"/>
    </row>
    <row r="2017" ht="15.75" customHeight="1" s="64">
      <c r="A2017" s="50" t="inlineStr">
        <is>
          <t>-- Revise los resultados: cualquier fila con {"error": ...} no se cargó.</t>
        </is>
      </c>
    </row>
    <row r="2018" ht="15.75" customHeight="1" s="64">
      <c r="A2018" s="50" t="inlineStr">
        <is>
          <t>-- Si todo está correcto: COMMIT;   Si hay problemas: ROLLBACK;</t>
        </is>
      </c>
    </row>
    <row r="2019" ht="15.75" customHeight="1" s="64">
      <c r="A2019" s="51" t="inlineStr">
        <is>
          <t>COMMIT;</t>
        </is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Sarita</dc:creator>
  <dcterms:created xsi:type="dcterms:W3CDTF">2026-09-12T15:09:13Z</dcterms:created>
  <dcterms:modified xsi:type="dcterms:W3CDTF">2026-09-29T22:21:10Z</dcterms:modified>
  <cp:lastModifiedBy>Santos Bernui</cp:lastModifiedBy>
</cp:coreProperties>
</file>